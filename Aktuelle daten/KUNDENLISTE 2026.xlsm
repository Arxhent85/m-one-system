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imelineCaches/timelineCache2.xml" ContentType="application/vnd.ms-excel.timelineCache+xml"/>
  <Override PartName="/xl/timelineCaches/timelineCache3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timelines/timeline2.xml" ContentType="application/vnd.ms-excel.timelin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trlProps/ctrlProp3.xml" ContentType="application/vnd.ms-excel.controlproperties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timelines/timeline3.xml" ContentType="application/vnd.ms-excel.timeline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4.xml" ContentType="application/vnd.ms-excel.controlpropertie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1\Desktop\"/>
    </mc:Choice>
  </mc:AlternateContent>
  <xr:revisionPtr revIDLastSave="0" documentId="13_ncr:1_{3E44801B-E1CB-4BF4-A833-A6CF903C7C71}" xr6:coauthVersionLast="47" xr6:coauthVersionMax="47" xr10:uidLastSave="{00000000-0000-0000-0000-000000000000}"/>
  <bookViews>
    <workbookView xWindow="-120" yWindow="-120" windowWidth="29040" windowHeight="15840" xr2:uid="{CD226B06-90CC-4B9C-A3C5-C7D7297EC06B}"/>
  </bookViews>
  <sheets>
    <sheet name="Renditja" sheetId="2" r:id="rId1"/>
    <sheet name="KUNDEN" sheetId="1" r:id="rId2"/>
    <sheet name="FIRMA INFO" sheetId="28" r:id="rId3"/>
    <sheet name="Tabelle2" sheetId="30" r:id="rId4"/>
    <sheet name="Tabelle3" sheetId="31" r:id="rId5"/>
    <sheet name="AGENT INFO" sheetId="26" r:id="rId6"/>
    <sheet name="Tabelle1" sheetId="29" r:id="rId7"/>
    <sheet name="INFO" sheetId="13" r:id="rId8"/>
    <sheet name="Produkt Info" sheetId="27" r:id="rId9"/>
    <sheet name="Produkte" sheetId="3" r:id="rId10"/>
    <sheet name="Formular" sheetId="4" r:id="rId11"/>
    <sheet name="Datenbasis aufbereitet" sheetId="25" r:id="rId12"/>
  </sheets>
  <definedNames>
    <definedName name="_xlnm.Print_Area" localSheetId="10">Formular!$A$1:$F$33</definedName>
    <definedName name="NativeZeitachse_Datum">#N/A</definedName>
    <definedName name="NativeZeitachse_Datum1">#N/A</definedName>
    <definedName name="NativeZeitachse_Datum3">#N/A</definedName>
  </definedNames>
  <calcPr calcId="191029"/>
  <pivotCaches>
    <pivotCache cacheId="2" r:id="rId13"/>
    <pivotCache cacheId="3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  <x15:timelineCacheRef r:id="rId16"/>
        <x15:timelineCacheRef r:id="rId17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0" i="26" l="1"/>
  <c r="D33" i="26"/>
  <c r="G4001" i="25"/>
  <c r="I4001" i="25"/>
  <c r="K4001" i="25"/>
  <c r="L4001" i="25"/>
  <c r="G4000" i="25"/>
  <c r="I4000" i="25"/>
  <c r="K4000" i="25"/>
  <c r="L4000" i="25"/>
  <c r="G3999" i="25"/>
  <c r="I3999" i="25"/>
  <c r="K3999" i="25"/>
  <c r="L3999" i="25"/>
  <c r="G3998" i="25"/>
  <c r="I3998" i="25"/>
  <c r="K3998" i="25"/>
  <c r="L3998" i="25"/>
  <c r="G3997" i="25"/>
  <c r="I3997" i="25"/>
  <c r="K3997" i="25"/>
  <c r="L3997" i="25"/>
  <c r="G3996" i="25"/>
  <c r="I3996" i="25"/>
  <c r="K3996" i="25"/>
  <c r="L3996" i="25"/>
  <c r="G3995" i="25"/>
  <c r="I3995" i="25"/>
  <c r="K3995" i="25"/>
  <c r="L3995" i="25"/>
  <c r="G3994" i="25"/>
  <c r="I3994" i="25"/>
  <c r="K3994" i="25"/>
  <c r="L3994" i="25"/>
  <c r="G3993" i="25"/>
  <c r="I3993" i="25"/>
  <c r="K3993" i="25"/>
  <c r="L3993" i="25"/>
  <c r="G3992" i="25"/>
  <c r="I3992" i="25"/>
  <c r="K3992" i="25"/>
  <c r="L3992" i="25"/>
  <c r="G3991" i="25"/>
  <c r="I3991" i="25"/>
  <c r="K3991" i="25"/>
  <c r="L3991" i="25"/>
  <c r="G3990" i="25"/>
  <c r="I3990" i="25"/>
  <c r="K3990" i="25"/>
  <c r="L3990" i="25"/>
  <c r="G3989" i="25"/>
  <c r="I3989" i="25"/>
  <c r="K3989" i="25"/>
  <c r="L3989" i="25"/>
  <c r="G3988" i="25"/>
  <c r="I3988" i="25"/>
  <c r="K3988" i="25"/>
  <c r="L3988" i="25"/>
  <c r="G3987" i="25"/>
  <c r="I3987" i="25"/>
  <c r="K3987" i="25"/>
  <c r="L3987" i="25"/>
  <c r="G3986" i="25"/>
  <c r="I3986" i="25"/>
  <c r="K3986" i="25"/>
  <c r="L3986" i="25"/>
  <c r="G3985" i="25"/>
  <c r="I3985" i="25"/>
  <c r="K3985" i="25"/>
  <c r="L3985" i="25"/>
  <c r="G3984" i="25"/>
  <c r="I3984" i="25"/>
  <c r="K3984" i="25"/>
  <c r="L3984" i="25"/>
  <c r="G3983" i="25"/>
  <c r="I3983" i="25"/>
  <c r="K3983" i="25"/>
  <c r="L3983" i="25"/>
  <c r="G3982" i="25"/>
  <c r="I3982" i="25"/>
  <c r="K3982" i="25"/>
  <c r="L3982" i="25"/>
  <c r="G3981" i="25"/>
  <c r="I3981" i="25"/>
  <c r="K3981" i="25"/>
  <c r="L3981" i="25"/>
  <c r="G3980" i="25"/>
  <c r="I3980" i="25"/>
  <c r="K3980" i="25"/>
  <c r="L3980" i="25"/>
  <c r="G3979" i="25"/>
  <c r="I3979" i="25"/>
  <c r="K3979" i="25"/>
  <c r="L3979" i="25"/>
  <c r="G3978" i="25"/>
  <c r="I3978" i="25"/>
  <c r="K3978" i="25"/>
  <c r="L3978" i="25"/>
  <c r="G3977" i="25"/>
  <c r="I3977" i="25"/>
  <c r="K3977" i="25"/>
  <c r="L3977" i="25"/>
  <c r="G3976" i="25"/>
  <c r="I3976" i="25"/>
  <c r="K3976" i="25"/>
  <c r="L3976" i="25"/>
  <c r="G3975" i="25"/>
  <c r="I3975" i="25"/>
  <c r="K3975" i="25"/>
  <c r="L3975" i="25"/>
  <c r="G3974" i="25"/>
  <c r="I3974" i="25"/>
  <c r="K3974" i="25"/>
  <c r="L3974" i="25"/>
  <c r="G3973" i="25"/>
  <c r="I3973" i="25"/>
  <c r="K3973" i="25"/>
  <c r="L3973" i="25"/>
  <c r="G3972" i="25"/>
  <c r="I3972" i="25"/>
  <c r="K3972" i="25"/>
  <c r="L3972" i="25"/>
  <c r="G3971" i="25"/>
  <c r="I3971" i="25"/>
  <c r="K3971" i="25"/>
  <c r="L3971" i="25"/>
  <c r="G3970" i="25"/>
  <c r="I3970" i="25"/>
  <c r="K3970" i="25"/>
  <c r="L3970" i="25"/>
  <c r="G3969" i="25"/>
  <c r="I3969" i="25"/>
  <c r="K3969" i="25"/>
  <c r="L3969" i="25"/>
  <c r="G3968" i="25"/>
  <c r="I3968" i="25"/>
  <c r="K3968" i="25"/>
  <c r="L3968" i="25"/>
  <c r="G3967" i="25"/>
  <c r="I3967" i="25"/>
  <c r="K3967" i="25"/>
  <c r="L3967" i="25"/>
  <c r="G3966" i="25"/>
  <c r="I3966" i="25"/>
  <c r="K3966" i="25"/>
  <c r="L3966" i="25"/>
  <c r="G3965" i="25"/>
  <c r="I3965" i="25"/>
  <c r="K3965" i="25"/>
  <c r="L3965" i="25"/>
  <c r="G3964" i="25"/>
  <c r="I3964" i="25"/>
  <c r="K3964" i="25"/>
  <c r="L3964" i="25"/>
  <c r="G3963" i="25"/>
  <c r="I3963" i="25"/>
  <c r="K3963" i="25"/>
  <c r="L3963" i="25"/>
  <c r="G3962" i="25"/>
  <c r="I3962" i="25"/>
  <c r="K3962" i="25"/>
  <c r="L3962" i="25"/>
  <c r="G3961" i="25"/>
  <c r="I3961" i="25"/>
  <c r="K3961" i="25"/>
  <c r="L3961" i="25"/>
  <c r="G3960" i="25"/>
  <c r="I3960" i="25"/>
  <c r="K3960" i="25"/>
  <c r="L3960" i="25"/>
  <c r="G3959" i="25"/>
  <c r="I3959" i="25"/>
  <c r="K3959" i="25"/>
  <c r="L3959" i="25"/>
  <c r="G3958" i="25"/>
  <c r="I3958" i="25"/>
  <c r="K3958" i="25"/>
  <c r="L3958" i="25"/>
  <c r="G3957" i="25"/>
  <c r="I3957" i="25"/>
  <c r="K3957" i="25"/>
  <c r="L3957" i="25"/>
  <c r="G3956" i="25"/>
  <c r="I3956" i="25"/>
  <c r="K3956" i="25"/>
  <c r="L3956" i="25"/>
  <c r="G3955" i="25"/>
  <c r="I3955" i="25"/>
  <c r="K3955" i="25"/>
  <c r="L3955" i="25"/>
  <c r="G3954" i="25"/>
  <c r="I3954" i="25"/>
  <c r="K3954" i="25"/>
  <c r="L3954" i="25"/>
  <c r="G3953" i="25"/>
  <c r="I3953" i="25"/>
  <c r="K3953" i="25"/>
  <c r="L3953" i="25"/>
  <c r="G3952" i="25"/>
  <c r="I3952" i="25"/>
  <c r="K3952" i="25"/>
  <c r="L3952" i="25"/>
  <c r="G3951" i="25"/>
  <c r="I3951" i="25"/>
  <c r="K3951" i="25"/>
  <c r="L3951" i="25"/>
  <c r="G3950" i="25"/>
  <c r="I3950" i="25"/>
  <c r="K3950" i="25"/>
  <c r="L3950" i="25"/>
  <c r="G3949" i="25"/>
  <c r="I3949" i="25"/>
  <c r="K3949" i="25"/>
  <c r="L3949" i="25"/>
  <c r="G3948" i="25"/>
  <c r="I3948" i="25"/>
  <c r="K3948" i="25"/>
  <c r="L3948" i="25"/>
  <c r="G3947" i="25"/>
  <c r="I3947" i="25"/>
  <c r="K3947" i="25"/>
  <c r="L3947" i="25"/>
  <c r="G3946" i="25"/>
  <c r="I3946" i="25"/>
  <c r="K3946" i="25"/>
  <c r="L3946" i="25"/>
  <c r="G3945" i="25"/>
  <c r="I3945" i="25"/>
  <c r="K3945" i="25"/>
  <c r="L3945" i="25"/>
  <c r="G3944" i="25"/>
  <c r="I3944" i="25"/>
  <c r="K3944" i="25"/>
  <c r="L3944" i="25"/>
  <c r="G3943" i="25"/>
  <c r="I3943" i="25"/>
  <c r="K3943" i="25"/>
  <c r="L3943" i="25"/>
  <c r="G3942" i="25"/>
  <c r="I3942" i="25"/>
  <c r="K3942" i="25"/>
  <c r="L3942" i="25"/>
  <c r="G3941" i="25"/>
  <c r="I3941" i="25"/>
  <c r="K3941" i="25"/>
  <c r="L3941" i="25"/>
  <c r="G3940" i="25"/>
  <c r="I3940" i="25"/>
  <c r="K3940" i="25"/>
  <c r="L3940" i="25"/>
  <c r="G3939" i="25"/>
  <c r="I3939" i="25"/>
  <c r="K3939" i="25"/>
  <c r="L3939" i="25"/>
  <c r="G3938" i="25"/>
  <c r="I3938" i="25"/>
  <c r="K3938" i="25"/>
  <c r="L3938" i="25"/>
  <c r="G3937" i="25"/>
  <c r="I3937" i="25"/>
  <c r="K3937" i="25"/>
  <c r="L3937" i="25"/>
  <c r="G3936" i="25"/>
  <c r="I3936" i="25"/>
  <c r="K3936" i="25"/>
  <c r="L3936" i="25"/>
  <c r="G3935" i="25"/>
  <c r="I3935" i="25"/>
  <c r="K3935" i="25"/>
  <c r="L3935" i="25"/>
  <c r="G3934" i="25"/>
  <c r="I3934" i="25"/>
  <c r="K3934" i="25"/>
  <c r="L3934" i="25"/>
  <c r="G3933" i="25"/>
  <c r="I3933" i="25"/>
  <c r="K3933" i="25"/>
  <c r="L3933" i="25"/>
  <c r="G3932" i="25"/>
  <c r="I3932" i="25"/>
  <c r="K3932" i="25"/>
  <c r="L3932" i="25"/>
  <c r="G3931" i="25"/>
  <c r="I3931" i="25"/>
  <c r="K3931" i="25"/>
  <c r="L3931" i="25"/>
  <c r="G3930" i="25"/>
  <c r="I3930" i="25"/>
  <c r="K3930" i="25"/>
  <c r="L3930" i="25"/>
  <c r="G3929" i="25"/>
  <c r="I3929" i="25"/>
  <c r="K3929" i="25"/>
  <c r="L3929" i="25"/>
  <c r="G3928" i="25"/>
  <c r="I3928" i="25"/>
  <c r="K3928" i="25"/>
  <c r="L3928" i="25"/>
  <c r="G3927" i="25"/>
  <c r="I3927" i="25"/>
  <c r="K3927" i="25"/>
  <c r="L3927" i="25"/>
  <c r="G3926" i="25"/>
  <c r="I3926" i="25"/>
  <c r="K3926" i="25"/>
  <c r="L3926" i="25"/>
  <c r="G3925" i="25"/>
  <c r="I3925" i="25"/>
  <c r="K3925" i="25"/>
  <c r="L3925" i="25"/>
  <c r="G3924" i="25"/>
  <c r="I3924" i="25"/>
  <c r="K3924" i="25"/>
  <c r="L3924" i="25"/>
  <c r="G3923" i="25"/>
  <c r="I3923" i="25"/>
  <c r="K3923" i="25"/>
  <c r="L3923" i="25"/>
  <c r="G3922" i="25"/>
  <c r="I3922" i="25"/>
  <c r="K3922" i="25"/>
  <c r="L3922" i="25"/>
  <c r="G3921" i="25"/>
  <c r="I3921" i="25"/>
  <c r="K3921" i="25"/>
  <c r="L3921" i="25"/>
  <c r="G3920" i="25"/>
  <c r="I3920" i="25"/>
  <c r="K3920" i="25"/>
  <c r="L3920" i="25"/>
  <c r="G3919" i="25"/>
  <c r="I3919" i="25"/>
  <c r="K3919" i="25"/>
  <c r="L3919" i="25"/>
  <c r="G3918" i="25"/>
  <c r="I3918" i="25"/>
  <c r="K3918" i="25"/>
  <c r="L3918" i="25"/>
  <c r="G3917" i="25"/>
  <c r="I3917" i="25"/>
  <c r="K3917" i="25"/>
  <c r="L3917" i="25"/>
  <c r="G3916" i="25"/>
  <c r="I3916" i="25"/>
  <c r="K3916" i="25"/>
  <c r="L3916" i="25"/>
  <c r="G3915" i="25"/>
  <c r="I3915" i="25"/>
  <c r="K3915" i="25"/>
  <c r="L3915" i="25"/>
  <c r="G3914" i="25"/>
  <c r="I3914" i="25"/>
  <c r="K3914" i="25"/>
  <c r="L3914" i="25"/>
  <c r="G3913" i="25"/>
  <c r="I3913" i="25"/>
  <c r="K3913" i="25"/>
  <c r="L3913" i="25"/>
  <c r="G3912" i="25"/>
  <c r="I3912" i="25"/>
  <c r="K3912" i="25"/>
  <c r="L3912" i="25"/>
  <c r="G3911" i="25"/>
  <c r="I3911" i="25"/>
  <c r="K3911" i="25"/>
  <c r="L3911" i="25"/>
  <c r="G3910" i="25"/>
  <c r="I3910" i="25"/>
  <c r="K3910" i="25"/>
  <c r="L3910" i="25"/>
  <c r="G3909" i="25"/>
  <c r="I3909" i="25"/>
  <c r="K3909" i="25"/>
  <c r="L3909" i="25"/>
  <c r="G3908" i="25"/>
  <c r="I3908" i="25"/>
  <c r="K3908" i="25"/>
  <c r="L3908" i="25"/>
  <c r="G3907" i="25"/>
  <c r="I3907" i="25"/>
  <c r="K3907" i="25"/>
  <c r="L3907" i="25"/>
  <c r="G3906" i="25"/>
  <c r="I3906" i="25"/>
  <c r="K3906" i="25"/>
  <c r="L3906" i="25"/>
  <c r="G3905" i="25"/>
  <c r="I3905" i="25"/>
  <c r="K3905" i="25"/>
  <c r="L3905" i="25"/>
  <c r="G3904" i="25"/>
  <c r="I3904" i="25"/>
  <c r="K3904" i="25"/>
  <c r="L3904" i="25"/>
  <c r="G3903" i="25"/>
  <c r="I3903" i="25"/>
  <c r="K3903" i="25"/>
  <c r="L3903" i="25"/>
  <c r="G3902" i="25"/>
  <c r="I3902" i="25"/>
  <c r="K3902" i="25"/>
  <c r="L3902" i="25"/>
  <c r="G3901" i="25"/>
  <c r="I3901" i="25"/>
  <c r="K3901" i="25"/>
  <c r="L3901" i="25"/>
  <c r="G3900" i="25"/>
  <c r="I3900" i="25"/>
  <c r="K3900" i="25"/>
  <c r="L3900" i="25"/>
  <c r="G3899" i="25"/>
  <c r="I3899" i="25"/>
  <c r="K3899" i="25"/>
  <c r="L3899" i="25"/>
  <c r="G3898" i="25"/>
  <c r="I3898" i="25"/>
  <c r="K3898" i="25"/>
  <c r="L3898" i="25"/>
  <c r="G3897" i="25"/>
  <c r="I3897" i="25"/>
  <c r="K3897" i="25"/>
  <c r="L3897" i="25"/>
  <c r="G3896" i="25"/>
  <c r="I3896" i="25"/>
  <c r="K3896" i="25"/>
  <c r="L3896" i="25"/>
  <c r="G3895" i="25"/>
  <c r="I3895" i="25"/>
  <c r="K3895" i="25"/>
  <c r="L3895" i="25"/>
  <c r="G3894" i="25"/>
  <c r="I3894" i="25"/>
  <c r="K3894" i="25"/>
  <c r="L3894" i="25"/>
  <c r="G3893" i="25"/>
  <c r="I3893" i="25"/>
  <c r="K3893" i="25"/>
  <c r="L3893" i="25"/>
  <c r="G3892" i="25"/>
  <c r="I3892" i="25"/>
  <c r="K3892" i="25"/>
  <c r="L3892" i="25"/>
  <c r="G3891" i="25"/>
  <c r="I3891" i="25"/>
  <c r="K3891" i="25"/>
  <c r="L3891" i="25"/>
  <c r="G3890" i="25"/>
  <c r="I3890" i="25"/>
  <c r="K3890" i="25"/>
  <c r="L3890" i="25"/>
  <c r="G3889" i="25"/>
  <c r="I3889" i="25"/>
  <c r="K3889" i="25"/>
  <c r="L3889" i="25"/>
  <c r="G3888" i="25"/>
  <c r="I3888" i="25"/>
  <c r="K3888" i="25"/>
  <c r="L3888" i="25"/>
  <c r="G3887" i="25"/>
  <c r="I3887" i="25"/>
  <c r="K3887" i="25"/>
  <c r="L3887" i="25"/>
  <c r="G3886" i="25"/>
  <c r="I3886" i="25"/>
  <c r="K3886" i="25"/>
  <c r="L3886" i="25"/>
  <c r="G3885" i="25"/>
  <c r="I3885" i="25"/>
  <c r="K3885" i="25"/>
  <c r="L3885" i="25"/>
  <c r="G3884" i="25"/>
  <c r="I3884" i="25"/>
  <c r="K3884" i="25"/>
  <c r="L3884" i="25"/>
  <c r="G3883" i="25"/>
  <c r="I3883" i="25"/>
  <c r="K3883" i="25"/>
  <c r="L3883" i="25"/>
  <c r="G3882" i="25"/>
  <c r="I3882" i="25"/>
  <c r="K3882" i="25"/>
  <c r="L3882" i="25"/>
  <c r="G3881" i="25"/>
  <c r="I3881" i="25"/>
  <c r="K3881" i="25"/>
  <c r="L3881" i="25"/>
  <c r="G3880" i="25"/>
  <c r="I3880" i="25"/>
  <c r="K3880" i="25"/>
  <c r="L3880" i="25"/>
  <c r="G3879" i="25"/>
  <c r="I3879" i="25"/>
  <c r="K3879" i="25"/>
  <c r="L3879" i="25"/>
  <c r="G3878" i="25"/>
  <c r="I3878" i="25"/>
  <c r="K3878" i="25"/>
  <c r="L3878" i="25"/>
  <c r="G3877" i="25"/>
  <c r="I3877" i="25"/>
  <c r="K3877" i="25"/>
  <c r="L3877" i="25"/>
  <c r="G3876" i="25"/>
  <c r="I3876" i="25"/>
  <c r="K3876" i="25"/>
  <c r="L3876" i="25"/>
  <c r="G3875" i="25"/>
  <c r="I3875" i="25"/>
  <c r="K3875" i="25"/>
  <c r="L3875" i="25"/>
  <c r="G3874" i="25"/>
  <c r="I3874" i="25"/>
  <c r="K3874" i="25"/>
  <c r="L3874" i="25"/>
  <c r="G3873" i="25"/>
  <c r="I3873" i="25"/>
  <c r="K3873" i="25"/>
  <c r="L3873" i="25"/>
  <c r="G3872" i="25"/>
  <c r="I3872" i="25"/>
  <c r="K3872" i="25"/>
  <c r="L3872" i="25"/>
  <c r="G3871" i="25"/>
  <c r="I3871" i="25"/>
  <c r="K3871" i="25"/>
  <c r="L3871" i="25"/>
  <c r="G3870" i="25"/>
  <c r="I3870" i="25"/>
  <c r="K3870" i="25"/>
  <c r="L3870" i="25"/>
  <c r="G3869" i="25"/>
  <c r="I3869" i="25"/>
  <c r="K3869" i="25"/>
  <c r="L3869" i="25"/>
  <c r="G3868" i="25"/>
  <c r="I3868" i="25"/>
  <c r="K3868" i="25"/>
  <c r="L3868" i="25"/>
  <c r="G3867" i="25"/>
  <c r="I3867" i="25"/>
  <c r="K3867" i="25"/>
  <c r="L3867" i="25"/>
  <c r="G3866" i="25"/>
  <c r="I3866" i="25"/>
  <c r="K3866" i="25"/>
  <c r="L3866" i="25"/>
  <c r="G3865" i="25"/>
  <c r="I3865" i="25"/>
  <c r="K3865" i="25"/>
  <c r="L3865" i="25"/>
  <c r="G3864" i="25"/>
  <c r="I3864" i="25"/>
  <c r="K3864" i="25"/>
  <c r="L3864" i="25"/>
  <c r="G3863" i="25"/>
  <c r="I3863" i="25"/>
  <c r="K3863" i="25"/>
  <c r="L3863" i="25"/>
  <c r="G3862" i="25"/>
  <c r="I3862" i="25"/>
  <c r="K3862" i="25"/>
  <c r="L3862" i="25"/>
  <c r="G3861" i="25"/>
  <c r="I3861" i="25"/>
  <c r="K3861" i="25"/>
  <c r="L3861" i="25"/>
  <c r="G3860" i="25"/>
  <c r="I3860" i="25"/>
  <c r="K3860" i="25"/>
  <c r="L3860" i="25"/>
  <c r="G3859" i="25"/>
  <c r="I3859" i="25"/>
  <c r="K3859" i="25"/>
  <c r="L3859" i="25"/>
  <c r="G3858" i="25"/>
  <c r="I3858" i="25"/>
  <c r="K3858" i="25"/>
  <c r="L3858" i="25"/>
  <c r="G3857" i="25"/>
  <c r="I3857" i="25"/>
  <c r="K3857" i="25"/>
  <c r="L3857" i="25"/>
  <c r="G3856" i="25"/>
  <c r="I3856" i="25"/>
  <c r="K3856" i="25"/>
  <c r="L3856" i="25"/>
  <c r="G3855" i="25"/>
  <c r="I3855" i="25"/>
  <c r="K3855" i="25"/>
  <c r="L3855" i="25"/>
  <c r="G3854" i="25"/>
  <c r="I3854" i="25"/>
  <c r="K3854" i="25"/>
  <c r="L3854" i="25"/>
  <c r="G3853" i="25"/>
  <c r="I3853" i="25"/>
  <c r="K3853" i="25"/>
  <c r="L3853" i="25"/>
  <c r="G3852" i="25"/>
  <c r="I3852" i="25"/>
  <c r="K3852" i="25"/>
  <c r="L3852" i="25"/>
  <c r="G3851" i="25"/>
  <c r="I3851" i="25"/>
  <c r="K3851" i="25"/>
  <c r="L3851" i="25"/>
  <c r="G3850" i="25"/>
  <c r="I3850" i="25"/>
  <c r="K3850" i="25"/>
  <c r="L3850" i="25"/>
  <c r="G3849" i="25"/>
  <c r="I3849" i="25"/>
  <c r="K3849" i="25"/>
  <c r="L3849" i="25"/>
  <c r="G3848" i="25"/>
  <c r="I3848" i="25"/>
  <c r="K3848" i="25"/>
  <c r="L3848" i="25"/>
  <c r="G3847" i="25"/>
  <c r="I3847" i="25"/>
  <c r="K3847" i="25"/>
  <c r="L3847" i="25"/>
  <c r="G3846" i="25"/>
  <c r="I3846" i="25"/>
  <c r="K3846" i="25"/>
  <c r="L3846" i="25"/>
  <c r="G3845" i="25"/>
  <c r="I3845" i="25"/>
  <c r="K3845" i="25"/>
  <c r="L3845" i="25"/>
  <c r="G3844" i="25"/>
  <c r="I3844" i="25"/>
  <c r="K3844" i="25"/>
  <c r="L3844" i="25"/>
  <c r="G3843" i="25"/>
  <c r="I3843" i="25"/>
  <c r="K3843" i="25"/>
  <c r="L3843" i="25"/>
  <c r="G3842" i="25"/>
  <c r="I3842" i="25"/>
  <c r="K3842" i="25"/>
  <c r="L3842" i="25"/>
  <c r="G3841" i="25"/>
  <c r="I3841" i="25"/>
  <c r="K3841" i="25"/>
  <c r="L3841" i="25"/>
  <c r="G3840" i="25"/>
  <c r="I3840" i="25"/>
  <c r="K3840" i="25"/>
  <c r="L3840" i="25"/>
  <c r="G3839" i="25"/>
  <c r="I3839" i="25"/>
  <c r="K3839" i="25"/>
  <c r="L3839" i="25"/>
  <c r="G3838" i="25"/>
  <c r="I3838" i="25"/>
  <c r="K3838" i="25"/>
  <c r="L3838" i="25"/>
  <c r="G3837" i="25"/>
  <c r="I3837" i="25"/>
  <c r="K3837" i="25"/>
  <c r="L3837" i="25"/>
  <c r="G3836" i="25"/>
  <c r="I3836" i="25"/>
  <c r="K3836" i="25"/>
  <c r="L3836" i="25"/>
  <c r="G3835" i="25"/>
  <c r="I3835" i="25"/>
  <c r="K3835" i="25"/>
  <c r="L3835" i="25"/>
  <c r="G3834" i="25"/>
  <c r="I3834" i="25"/>
  <c r="K3834" i="25"/>
  <c r="L3834" i="25"/>
  <c r="G3833" i="25"/>
  <c r="I3833" i="25"/>
  <c r="K3833" i="25"/>
  <c r="L3833" i="25"/>
  <c r="G3832" i="25"/>
  <c r="I3832" i="25"/>
  <c r="K3832" i="25"/>
  <c r="L3832" i="25"/>
  <c r="G3831" i="25"/>
  <c r="I3831" i="25"/>
  <c r="K3831" i="25"/>
  <c r="L3831" i="25"/>
  <c r="G3830" i="25"/>
  <c r="I3830" i="25"/>
  <c r="K3830" i="25"/>
  <c r="L3830" i="25"/>
  <c r="G3829" i="25"/>
  <c r="I3829" i="25"/>
  <c r="K3829" i="25"/>
  <c r="L3829" i="25"/>
  <c r="G3828" i="25"/>
  <c r="I3828" i="25"/>
  <c r="K3828" i="25"/>
  <c r="L3828" i="25"/>
  <c r="G3827" i="25"/>
  <c r="I3827" i="25"/>
  <c r="K3827" i="25"/>
  <c r="L3827" i="25"/>
  <c r="G3826" i="25"/>
  <c r="I3826" i="25"/>
  <c r="K3826" i="25"/>
  <c r="L3826" i="25"/>
  <c r="G3825" i="25"/>
  <c r="I3825" i="25"/>
  <c r="K3825" i="25"/>
  <c r="L3825" i="25"/>
  <c r="G3824" i="25"/>
  <c r="I3824" i="25"/>
  <c r="K3824" i="25"/>
  <c r="L3824" i="25"/>
  <c r="G3823" i="25"/>
  <c r="I3823" i="25"/>
  <c r="K3823" i="25"/>
  <c r="L3823" i="25"/>
  <c r="G3822" i="25"/>
  <c r="I3822" i="25"/>
  <c r="K3822" i="25"/>
  <c r="L3822" i="25"/>
  <c r="G3821" i="25"/>
  <c r="I3821" i="25"/>
  <c r="K3821" i="25"/>
  <c r="L3821" i="25"/>
  <c r="G3820" i="25"/>
  <c r="I3820" i="25"/>
  <c r="K3820" i="25"/>
  <c r="L3820" i="25"/>
  <c r="G3819" i="25"/>
  <c r="I3819" i="25"/>
  <c r="K3819" i="25"/>
  <c r="L3819" i="25"/>
  <c r="G3818" i="25"/>
  <c r="I3818" i="25"/>
  <c r="K3818" i="25"/>
  <c r="L3818" i="25"/>
  <c r="G3817" i="25"/>
  <c r="I3817" i="25"/>
  <c r="K3817" i="25"/>
  <c r="L3817" i="25"/>
  <c r="G3816" i="25"/>
  <c r="I3816" i="25"/>
  <c r="K3816" i="25"/>
  <c r="L3816" i="25"/>
  <c r="G3815" i="25"/>
  <c r="I3815" i="25"/>
  <c r="K3815" i="25"/>
  <c r="L3815" i="25"/>
  <c r="G3814" i="25"/>
  <c r="I3814" i="25"/>
  <c r="K3814" i="25"/>
  <c r="L3814" i="25"/>
  <c r="G3813" i="25"/>
  <c r="I3813" i="25"/>
  <c r="K3813" i="25"/>
  <c r="L3813" i="25"/>
  <c r="G3812" i="25"/>
  <c r="I3812" i="25"/>
  <c r="K3812" i="25"/>
  <c r="L3812" i="25"/>
  <c r="G3811" i="25"/>
  <c r="I3811" i="25"/>
  <c r="K3811" i="25"/>
  <c r="L3811" i="25"/>
  <c r="G3810" i="25"/>
  <c r="I3810" i="25"/>
  <c r="K3810" i="25"/>
  <c r="L3810" i="25"/>
  <c r="G3809" i="25"/>
  <c r="I3809" i="25"/>
  <c r="K3809" i="25"/>
  <c r="L3809" i="25"/>
  <c r="G3808" i="25"/>
  <c r="I3808" i="25"/>
  <c r="K3808" i="25"/>
  <c r="L3808" i="25"/>
  <c r="G3807" i="25"/>
  <c r="I3807" i="25"/>
  <c r="K3807" i="25"/>
  <c r="L3807" i="25"/>
  <c r="G3806" i="25"/>
  <c r="I3806" i="25"/>
  <c r="K3806" i="25"/>
  <c r="L3806" i="25"/>
  <c r="G3805" i="25"/>
  <c r="I3805" i="25"/>
  <c r="K3805" i="25"/>
  <c r="L3805" i="25"/>
  <c r="G3804" i="25"/>
  <c r="I3804" i="25"/>
  <c r="K3804" i="25"/>
  <c r="L3804" i="25"/>
  <c r="G3803" i="25"/>
  <c r="I3803" i="25"/>
  <c r="K3803" i="25"/>
  <c r="L3803" i="25"/>
  <c r="G3802" i="25"/>
  <c r="I3802" i="25"/>
  <c r="K3802" i="25"/>
  <c r="L3802" i="25"/>
  <c r="G3801" i="25"/>
  <c r="I3801" i="25"/>
  <c r="K3801" i="25"/>
  <c r="L3801" i="25"/>
  <c r="G3800" i="25"/>
  <c r="I3800" i="25"/>
  <c r="K3800" i="25"/>
  <c r="L3800" i="25"/>
  <c r="G3799" i="25"/>
  <c r="I3799" i="25"/>
  <c r="K3799" i="25"/>
  <c r="L3799" i="25"/>
  <c r="G3798" i="25"/>
  <c r="I3798" i="25"/>
  <c r="K3798" i="25"/>
  <c r="L3798" i="25"/>
  <c r="G3797" i="25"/>
  <c r="I3797" i="25"/>
  <c r="K3797" i="25"/>
  <c r="L3797" i="25"/>
  <c r="G3796" i="25"/>
  <c r="I3796" i="25"/>
  <c r="K3796" i="25"/>
  <c r="L3796" i="25"/>
  <c r="G3795" i="25"/>
  <c r="I3795" i="25"/>
  <c r="K3795" i="25"/>
  <c r="L3795" i="25"/>
  <c r="G3794" i="25"/>
  <c r="I3794" i="25"/>
  <c r="K3794" i="25"/>
  <c r="L3794" i="25"/>
  <c r="G3793" i="25"/>
  <c r="I3793" i="25"/>
  <c r="K3793" i="25"/>
  <c r="L3793" i="25"/>
  <c r="G3792" i="25"/>
  <c r="I3792" i="25"/>
  <c r="K3792" i="25"/>
  <c r="L3792" i="25"/>
  <c r="G3791" i="25"/>
  <c r="I3791" i="25"/>
  <c r="K3791" i="25"/>
  <c r="L3791" i="25"/>
  <c r="G3790" i="25"/>
  <c r="I3790" i="25"/>
  <c r="K3790" i="25"/>
  <c r="L3790" i="25"/>
  <c r="G3789" i="25"/>
  <c r="I3789" i="25"/>
  <c r="K3789" i="25"/>
  <c r="L3789" i="25"/>
  <c r="G3788" i="25"/>
  <c r="I3788" i="25"/>
  <c r="K3788" i="25"/>
  <c r="L3788" i="25"/>
  <c r="G3787" i="25"/>
  <c r="I3787" i="25"/>
  <c r="K3787" i="25"/>
  <c r="L3787" i="25"/>
  <c r="G3786" i="25"/>
  <c r="I3786" i="25"/>
  <c r="K3786" i="25"/>
  <c r="L3786" i="25"/>
  <c r="G3785" i="25"/>
  <c r="I3785" i="25"/>
  <c r="K3785" i="25"/>
  <c r="L3785" i="25"/>
  <c r="G3784" i="25"/>
  <c r="I3784" i="25"/>
  <c r="K3784" i="25"/>
  <c r="L3784" i="25"/>
  <c r="G3783" i="25"/>
  <c r="I3783" i="25"/>
  <c r="K3783" i="25"/>
  <c r="L3783" i="25"/>
  <c r="G3782" i="25"/>
  <c r="I3782" i="25"/>
  <c r="K3782" i="25"/>
  <c r="L3782" i="25"/>
  <c r="G3781" i="25"/>
  <c r="I3781" i="25"/>
  <c r="K3781" i="25"/>
  <c r="L3781" i="25"/>
  <c r="G3780" i="25"/>
  <c r="I3780" i="25"/>
  <c r="K3780" i="25"/>
  <c r="L3780" i="25"/>
  <c r="G3779" i="25"/>
  <c r="I3779" i="25"/>
  <c r="K3779" i="25"/>
  <c r="L3779" i="25"/>
  <c r="G3778" i="25"/>
  <c r="I3778" i="25"/>
  <c r="K3778" i="25"/>
  <c r="L3778" i="25"/>
  <c r="G3777" i="25"/>
  <c r="I3777" i="25"/>
  <c r="K3777" i="25"/>
  <c r="L3777" i="25"/>
  <c r="G3776" i="25"/>
  <c r="I3776" i="25"/>
  <c r="K3776" i="25"/>
  <c r="L3776" i="25"/>
  <c r="G3775" i="25"/>
  <c r="I3775" i="25"/>
  <c r="K3775" i="25"/>
  <c r="L3775" i="25"/>
  <c r="G3774" i="25"/>
  <c r="I3774" i="25"/>
  <c r="K3774" i="25"/>
  <c r="L3774" i="25"/>
  <c r="G3773" i="25"/>
  <c r="I3773" i="25"/>
  <c r="K3773" i="25"/>
  <c r="L3773" i="25"/>
  <c r="G3772" i="25"/>
  <c r="I3772" i="25"/>
  <c r="K3772" i="25"/>
  <c r="L3772" i="25"/>
  <c r="G3771" i="25"/>
  <c r="I3771" i="25"/>
  <c r="K3771" i="25"/>
  <c r="L3771" i="25"/>
  <c r="G3770" i="25"/>
  <c r="I3770" i="25"/>
  <c r="K3770" i="25"/>
  <c r="L3770" i="25"/>
  <c r="G3769" i="25"/>
  <c r="I3769" i="25"/>
  <c r="K3769" i="25"/>
  <c r="L3769" i="25"/>
  <c r="G3768" i="25"/>
  <c r="I3768" i="25"/>
  <c r="K3768" i="25"/>
  <c r="L3768" i="25"/>
  <c r="G3767" i="25"/>
  <c r="I3767" i="25"/>
  <c r="K3767" i="25"/>
  <c r="L3767" i="25"/>
  <c r="G3766" i="25"/>
  <c r="I3766" i="25"/>
  <c r="K3766" i="25"/>
  <c r="L3766" i="25"/>
  <c r="G3765" i="25"/>
  <c r="I3765" i="25"/>
  <c r="K3765" i="25"/>
  <c r="L3765" i="25"/>
  <c r="G3764" i="25"/>
  <c r="I3764" i="25"/>
  <c r="K3764" i="25"/>
  <c r="L3764" i="25"/>
  <c r="G3763" i="25"/>
  <c r="I3763" i="25"/>
  <c r="K3763" i="25"/>
  <c r="L3763" i="25"/>
  <c r="G3762" i="25"/>
  <c r="I3762" i="25"/>
  <c r="K3762" i="25"/>
  <c r="L3762" i="25"/>
  <c r="G3761" i="25"/>
  <c r="I3761" i="25"/>
  <c r="K3761" i="25"/>
  <c r="L3761" i="25"/>
  <c r="G3760" i="25"/>
  <c r="I3760" i="25"/>
  <c r="K3760" i="25"/>
  <c r="L3760" i="25"/>
  <c r="G3759" i="25"/>
  <c r="I3759" i="25"/>
  <c r="K3759" i="25"/>
  <c r="L3759" i="25"/>
  <c r="G3758" i="25"/>
  <c r="I3758" i="25"/>
  <c r="K3758" i="25"/>
  <c r="L3758" i="25"/>
  <c r="G3757" i="25"/>
  <c r="I3757" i="25"/>
  <c r="K3757" i="25"/>
  <c r="L3757" i="25"/>
  <c r="G3756" i="25"/>
  <c r="I3756" i="25"/>
  <c r="K3756" i="25"/>
  <c r="L3756" i="25"/>
  <c r="G3755" i="25"/>
  <c r="I3755" i="25"/>
  <c r="K3755" i="25"/>
  <c r="L3755" i="25"/>
  <c r="G3754" i="25"/>
  <c r="I3754" i="25"/>
  <c r="K3754" i="25"/>
  <c r="L3754" i="25"/>
  <c r="G3753" i="25"/>
  <c r="I3753" i="25"/>
  <c r="K3753" i="25"/>
  <c r="L3753" i="25"/>
  <c r="G3752" i="25"/>
  <c r="I3752" i="25"/>
  <c r="K3752" i="25"/>
  <c r="L3752" i="25"/>
  <c r="G3751" i="25"/>
  <c r="I3751" i="25"/>
  <c r="K3751" i="25"/>
  <c r="L3751" i="25"/>
  <c r="G3750" i="25"/>
  <c r="I3750" i="25"/>
  <c r="K3750" i="25"/>
  <c r="L3750" i="25"/>
  <c r="G3749" i="25"/>
  <c r="I3749" i="25"/>
  <c r="K3749" i="25"/>
  <c r="L3749" i="25"/>
  <c r="G3748" i="25"/>
  <c r="I3748" i="25"/>
  <c r="K3748" i="25"/>
  <c r="L3748" i="25"/>
  <c r="G3747" i="25"/>
  <c r="I3747" i="25"/>
  <c r="K3747" i="25"/>
  <c r="L3747" i="25"/>
  <c r="G3746" i="25"/>
  <c r="I3746" i="25"/>
  <c r="K3746" i="25"/>
  <c r="L3746" i="25"/>
  <c r="G3745" i="25"/>
  <c r="I3745" i="25"/>
  <c r="K3745" i="25"/>
  <c r="L3745" i="25"/>
  <c r="G3744" i="25"/>
  <c r="I3744" i="25"/>
  <c r="K3744" i="25"/>
  <c r="L3744" i="25"/>
  <c r="G3743" i="25"/>
  <c r="I3743" i="25"/>
  <c r="K3743" i="25"/>
  <c r="L3743" i="25"/>
  <c r="G3742" i="25"/>
  <c r="I3742" i="25"/>
  <c r="K3742" i="25"/>
  <c r="L3742" i="25"/>
  <c r="G3741" i="25"/>
  <c r="I3741" i="25"/>
  <c r="K3741" i="25"/>
  <c r="L3741" i="25"/>
  <c r="G3740" i="25"/>
  <c r="I3740" i="25"/>
  <c r="K3740" i="25"/>
  <c r="L3740" i="25"/>
  <c r="G3739" i="25"/>
  <c r="I3739" i="25"/>
  <c r="K3739" i="25"/>
  <c r="L3739" i="25"/>
  <c r="G3738" i="25"/>
  <c r="I3738" i="25"/>
  <c r="K3738" i="25"/>
  <c r="L3738" i="25"/>
  <c r="G3737" i="25"/>
  <c r="I3737" i="25"/>
  <c r="K3737" i="25"/>
  <c r="L3737" i="25"/>
  <c r="G3736" i="25"/>
  <c r="I3736" i="25"/>
  <c r="K3736" i="25"/>
  <c r="L3736" i="25"/>
  <c r="G3735" i="25"/>
  <c r="I3735" i="25"/>
  <c r="K3735" i="25"/>
  <c r="L3735" i="25"/>
  <c r="G3734" i="25"/>
  <c r="I3734" i="25"/>
  <c r="K3734" i="25"/>
  <c r="L3734" i="25"/>
  <c r="G3733" i="25"/>
  <c r="I3733" i="25"/>
  <c r="K3733" i="25"/>
  <c r="L3733" i="25"/>
  <c r="G3732" i="25"/>
  <c r="I3732" i="25"/>
  <c r="K3732" i="25"/>
  <c r="L3732" i="25"/>
  <c r="G3731" i="25"/>
  <c r="I3731" i="25"/>
  <c r="K3731" i="25"/>
  <c r="L3731" i="25"/>
  <c r="G3730" i="25"/>
  <c r="I3730" i="25"/>
  <c r="K3730" i="25"/>
  <c r="L3730" i="25"/>
  <c r="G3729" i="25"/>
  <c r="I3729" i="25"/>
  <c r="K3729" i="25"/>
  <c r="L3729" i="25"/>
  <c r="G3728" i="25"/>
  <c r="I3728" i="25"/>
  <c r="K3728" i="25"/>
  <c r="L3728" i="25"/>
  <c r="G3727" i="25"/>
  <c r="I3727" i="25"/>
  <c r="K3727" i="25"/>
  <c r="L3727" i="25"/>
  <c r="G3726" i="25"/>
  <c r="I3726" i="25"/>
  <c r="K3726" i="25"/>
  <c r="L3726" i="25"/>
  <c r="G3725" i="25"/>
  <c r="I3725" i="25"/>
  <c r="K3725" i="25"/>
  <c r="L3725" i="25"/>
  <c r="G3724" i="25"/>
  <c r="I3724" i="25"/>
  <c r="K3724" i="25"/>
  <c r="L3724" i="25"/>
  <c r="G3723" i="25"/>
  <c r="I3723" i="25"/>
  <c r="K3723" i="25"/>
  <c r="L3723" i="25"/>
  <c r="G3722" i="25"/>
  <c r="I3722" i="25"/>
  <c r="K3722" i="25"/>
  <c r="L3722" i="25"/>
  <c r="G3721" i="25"/>
  <c r="I3721" i="25"/>
  <c r="K3721" i="25"/>
  <c r="L3721" i="25"/>
  <c r="G3720" i="25"/>
  <c r="I3720" i="25"/>
  <c r="K3720" i="25"/>
  <c r="L3720" i="25"/>
  <c r="G3719" i="25"/>
  <c r="I3719" i="25"/>
  <c r="K3719" i="25"/>
  <c r="L3719" i="25"/>
  <c r="G3718" i="25"/>
  <c r="I3718" i="25"/>
  <c r="K3718" i="25"/>
  <c r="L3718" i="25"/>
  <c r="G3717" i="25"/>
  <c r="I3717" i="25"/>
  <c r="K3717" i="25"/>
  <c r="L3717" i="25"/>
  <c r="G3716" i="25"/>
  <c r="I3716" i="25"/>
  <c r="K3716" i="25"/>
  <c r="L3716" i="25"/>
  <c r="G3715" i="25"/>
  <c r="I3715" i="25"/>
  <c r="K3715" i="25"/>
  <c r="L3715" i="25"/>
  <c r="G3714" i="25"/>
  <c r="I3714" i="25"/>
  <c r="K3714" i="25"/>
  <c r="L3714" i="25"/>
  <c r="G3713" i="25"/>
  <c r="I3713" i="25"/>
  <c r="K3713" i="25"/>
  <c r="L3713" i="25"/>
  <c r="G3712" i="25"/>
  <c r="I3712" i="25"/>
  <c r="K3712" i="25"/>
  <c r="L3712" i="25"/>
  <c r="G3711" i="25"/>
  <c r="I3711" i="25"/>
  <c r="K3711" i="25"/>
  <c r="L3711" i="25"/>
  <c r="G3710" i="25"/>
  <c r="I3710" i="25"/>
  <c r="K3710" i="25"/>
  <c r="L3710" i="25"/>
  <c r="G3709" i="25"/>
  <c r="I3709" i="25"/>
  <c r="K3709" i="25"/>
  <c r="L3709" i="25"/>
  <c r="G3708" i="25"/>
  <c r="I3708" i="25"/>
  <c r="K3708" i="25"/>
  <c r="L3708" i="25"/>
  <c r="G3707" i="25"/>
  <c r="I3707" i="25"/>
  <c r="K3707" i="25"/>
  <c r="L3707" i="25"/>
  <c r="G3706" i="25"/>
  <c r="I3706" i="25"/>
  <c r="K3706" i="25"/>
  <c r="L3706" i="25"/>
  <c r="G3705" i="25"/>
  <c r="I3705" i="25"/>
  <c r="K3705" i="25"/>
  <c r="L3705" i="25"/>
  <c r="G3704" i="25"/>
  <c r="I3704" i="25"/>
  <c r="K3704" i="25"/>
  <c r="L3704" i="25"/>
  <c r="G3703" i="25"/>
  <c r="I3703" i="25"/>
  <c r="K3703" i="25"/>
  <c r="L3703" i="25"/>
  <c r="G3702" i="25"/>
  <c r="I3702" i="25"/>
  <c r="K3702" i="25"/>
  <c r="L3702" i="25"/>
  <c r="G3701" i="25"/>
  <c r="I3701" i="25"/>
  <c r="K3701" i="25"/>
  <c r="L3701" i="25"/>
  <c r="G3700" i="25"/>
  <c r="I3700" i="25"/>
  <c r="K3700" i="25"/>
  <c r="L3700" i="25"/>
  <c r="G3699" i="25"/>
  <c r="I3699" i="25"/>
  <c r="K3699" i="25"/>
  <c r="L3699" i="25"/>
  <c r="G3698" i="25"/>
  <c r="I3698" i="25"/>
  <c r="K3698" i="25"/>
  <c r="L3698" i="25"/>
  <c r="G3697" i="25"/>
  <c r="I3697" i="25"/>
  <c r="K3697" i="25"/>
  <c r="L3697" i="25"/>
  <c r="G3696" i="25"/>
  <c r="I3696" i="25"/>
  <c r="K3696" i="25"/>
  <c r="L3696" i="25"/>
  <c r="G3695" i="25"/>
  <c r="I3695" i="25"/>
  <c r="K3695" i="25"/>
  <c r="L3695" i="25"/>
  <c r="G3694" i="25"/>
  <c r="I3694" i="25"/>
  <c r="K3694" i="25"/>
  <c r="L3694" i="25"/>
  <c r="G3693" i="25"/>
  <c r="I3693" i="25"/>
  <c r="K3693" i="25"/>
  <c r="L3693" i="25"/>
  <c r="G3692" i="25"/>
  <c r="I3692" i="25"/>
  <c r="K3692" i="25"/>
  <c r="L3692" i="25"/>
  <c r="G3691" i="25"/>
  <c r="I3691" i="25"/>
  <c r="K3691" i="25"/>
  <c r="L3691" i="25"/>
  <c r="G3690" i="25"/>
  <c r="I3690" i="25"/>
  <c r="K3690" i="25"/>
  <c r="L3690" i="25"/>
  <c r="G3689" i="25"/>
  <c r="I3689" i="25"/>
  <c r="K3689" i="25"/>
  <c r="L3689" i="25"/>
  <c r="G3688" i="25"/>
  <c r="I3688" i="25"/>
  <c r="K3688" i="25"/>
  <c r="L3688" i="25"/>
  <c r="G3687" i="25"/>
  <c r="I3687" i="25"/>
  <c r="K3687" i="25"/>
  <c r="L3687" i="25"/>
  <c r="G3686" i="25"/>
  <c r="I3686" i="25"/>
  <c r="K3686" i="25"/>
  <c r="L3686" i="25"/>
  <c r="G3685" i="25"/>
  <c r="I3685" i="25"/>
  <c r="K3685" i="25"/>
  <c r="L3685" i="25"/>
  <c r="G3684" i="25"/>
  <c r="I3684" i="25"/>
  <c r="K3684" i="25"/>
  <c r="L3684" i="25"/>
  <c r="G3683" i="25"/>
  <c r="I3683" i="25"/>
  <c r="K3683" i="25"/>
  <c r="L3683" i="25"/>
  <c r="G3682" i="25"/>
  <c r="I3682" i="25"/>
  <c r="K3682" i="25"/>
  <c r="L3682" i="25"/>
  <c r="G3681" i="25"/>
  <c r="I3681" i="25"/>
  <c r="K3681" i="25"/>
  <c r="L3681" i="25"/>
  <c r="G3680" i="25"/>
  <c r="I3680" i="25"/>
  <c r="K3680" i="25"/>
  <c r="L3680" i="25"/>
  <c r="G3679" i="25"/>
  <c r="I3679" i="25"/>
  <c r="K3679" i="25"/>
  <c r="L3679" i="25"/>
  <c r="G3678" i="25"/>
  <c r="I3678" i="25"/>
  <c r="K3678" i="25"/>
  <c r="L3678" i="25"/>
  <c r="G3677" i="25"/>
  <c r="I3677" i="25"/>
  <c r="K3677" i="25"/>
  <c r="L3677" i="25"/>
  <c r="G3676" i="25"/>
  <c r="I3676" i="25"/>
  <c r="K3676" i="25"/>
  <c r="L3676" i="25"/>
  <c r="G3675" i="25"/>
  <c r="I3675" i="25"/>
  <c r="K3675" i="25"/>
  <c r="L3675" i="25"/>
  <c r="G3674" i="25"/>
  <c r="I3674" i="25"/>
  <c r="K3674" i="25"/>
  <c r="L3674" i="25"/>
  <c r="G3673" i="25"/>
  <c r="I3673" i="25"/>
  <c r="K3673" i="25"/>
  <c r="L3673" i="25"/>
  <c r="G3672" i="25"/>
  <c r="I3672" i="25"/>
  <c r="K3672" i="25"/>
  <c r="L3672" i="25"/>
  <c r="G3671" i="25"/>
  <c r="I3671" i="25"/>
  <c r="K3671" i="25"/>
  <c r="L3671" i="25"/>
  <c r="G3670" i="25"/>
  <c r="I3670" i="25"/>
  <c r="K3670" i="25"/>
  <c r="L3670" i="25"/>
  <c r="G3669" i="25"/>
  <c r="I3669" i="25"/>
  <c r="K3669" i="25"/>
  <c r="L3669" i="25"/>
  <c r="G3668" i="25"/>
  <c r="I3668" i="25"/>
  <c r="K3668" i="25"/>
  <c r="L3668" i="25"/>
  <c r="G3667" i="25"/>
  <c r="I3667" i="25"/>
  <c r="K3667" i="25"/>
  <c r="L3667" i="25"/>
  <c r="G3666" i="25"/>
  <c r="I3666" i="25"/>
  <c r="K3666" i="25"/>
  <c r="L3666" i="25"/>
  <c r="G3665" i="25"/>
  <c r="I3665" i="25"/>
  <c r="K3665" i="25"/>
  <c r="L3665" i="25"/>
  <c r="G3664" i="25"/>
  <c r="I3664" i="25"/>
  <c r="K3664" i="25"/>
  <c r="L3664" i="25"/>
  <c r="G3663" i="25"/>
  <c r="I3663" i="25"/>
  <c r="K3663" i="25"/>
  <c r="L3663" i="25"/>
  <c r="G3662" i="25"/>
  <c r="I3662" i="25"/>
  <c r="K3662" i="25"/>
  <c r="L3662" i="25"/>
  <c r="G3661" i="25"/>
  <c r="I3661" i="25"/>
  <c r="K3661" i="25"/>
  <c r="L3661" i="25"/>
  <c r="G3660" i="25"/>
  <c r="I3660" i="25"/>
  <c r="K3660" i="25"/>
  <c r="L3660" i="25"/>
  <c r="G3659" i="25"/>
  <c r="I3659" i="25"/>
  <c r="K3659" i="25"/>
  <c r="L3659" i="25"/>
  <c r="G3658" i="25"/>
  <c r="I3658" i="25"/>
  <c r="K3658" i="25"/>
  <c r="L3658" i="25"/>
  <c r="G3657" i="25"/>
  <c r="I3657" i="25"/>
  <c r="K3657" i="25"/>
  <c r="L3657" i="25"/>
  <c r="G3656" i="25"/>
  <c r="I3656" i="25"/>
  <c r="K3656" i="25"/>
  <c r="L3656" i="25"/>
  <c r="G3655" i="25"/>
  <c r="I3655" i="25"/>
  <c r="K3655" i="25"/>
  <c r="L3655" i="25"/>
  <c r="G3654" i="25"/>
  <c r="I3654" i="25"/>
  <c r="K3654" i="25"/>
  <c r="L3654" i="25"/>
  <c r="G3653" i="25"/>
  <c r="I3653" i="25"/>
  <c r="K3653" i="25"/>
  <c r="L3653" i="25"/>
  <c r="G3652" i="25"/>
  <c r="I3652" i="25"/>
  <c r="K3652" i="25"/>
  <c r="L3652" i="25"/>
  <c r="G3651" i="25"/>
  <c r="I3651" i="25"/>
  <c r="K3651" i="25"/>
  <c r="L3651" i="25"/>
  <c r="G3650" i="25"/>
  <c r="I3650" i="25"/>
  <c r="K3650" i="25"/>
  <c r="L3650" i="25"/>
  <c r="G3649" i="25"/>
  <c r="I3649" i="25"/>
  <c r="K3649" i="25"/>
  <c r="L3649" i="25"/>
  <c r="G3648" i="25"/>
  <c r="I3648" i="25"/>
  <c r="K3648" i="25"/>
  <c r="L3648" i="25"/>
  <c r="G3647" i="25"/>
  <c r="I3647" i="25"/>
  <c r="K3647" i="25"/>
  <c r="L3647" i="25"/>
  <c r="G3646" i="25"/>
  <c r="I3646" i="25"/>
  <c r="K3646" i="25"/>
  <c r="L3646" i="25"/>
  <c r="G3645" i="25"/>
  <c r="I3645" i="25"/>
  <c r="K3645" i="25"/>
  <c r="L3645" i="25"/>
  <c r="G3644" i="25"/>
  <c r="I3644" i="25"/>
  <c r="K3644" i="25"/>
  <c r="L3644" i="25"/>
  <c r="G3643" i="25"/>
  <c r="I3643" i="25"/>
  <c r="K3643" i="25"/>
  <c r="L3643" i="25"/>
  <c r="G3642" i="25"/>
  <c r="I3642" i="25"/>
  <c r="K3642" i="25"/>
  <c r="L3642" i="25"/>
  <c r="G3641" i="25"/>
  <c r="I3641" i="25"/>
  <c r="K3641" i="25"/>
  <c r="L3641" i="25"/>
  <c r="G3640" i="25"/>
  <c r="I3640" i="25"/>
  <c r="K3640" i="25"/>
  <c r="L3640" i="25"/>
  <c r="G3639" i="25"/>
  <c r="I3639" i="25"/>
  <c r="K3639" i="25"/>
  <c r="L3639" i="25"/>
  <c r="G3638" i="25"/>
  <c r="I3638" i="25"/>
  <c r="K3638" i="25"/>
  <c r="L3638" i="25"/>
  <c r="G3637" i="25"/>
  <c r="I3637" i="25"/>
  <c r="K3637" i="25"/>
  <c r="L3637" i="25"/>
  <c r="G3636" i="25"/>
  <c r="I3636" i="25"/>
  <c r="K3636" i="25"/>
  <c r="L3636" i="25"/>
  <c r="G3635" i="25"/>
  <c r="I3635" i="25"/>
  <c r="K3635" i="25"/>
  <c r="L3635" i="25"/>
  <c r="G3634" i="25"/>
  <c r="I3634" i="25"/>
  <c r="K3634" i="25"/>
  <c r="L3634" i="25"/>
  <c r="G3633" i="25"/>
  <c r="I3633" i="25"/>
  <c r="K3633" i="25"/>
  <c r="L3633" i="25"/>
  <c r="G3632" i="25"/>
  <c r="I3632" i="25"/>
  <c r="K3632" i="25"/>
  <c r="L3632" i="25"/>
  <c r="G3631" i="25"/>
  <c r="I3631" i="25"/>
  <c r="K3631" i="25"/>
  <c r="L3631" i="25"/>
  <c r="G3630" i="25"/>
  <c r="I3630" i="25"/>
  <c r="K3630" i="25"/>
  <c r="L3630" i="25"/>
  <c r="G3629" i="25"/>
  <c r="I3629" i="25"/>
  <c r="K3629" i="25"/>
  <c r="L3629" i="25"/>
  <c r="G3628" i="25"/>
  <c r="I3628" i="25"/>
  <c r="K3628" i="25"/>
  <c r="L3628" i="25"/>
  <c r="G3627" i="25"/>
  <c r="I3627" i="25"/>
  <c r="K3627" i="25"/>
  <c r="L3627" i="25"/>
  <c r="G3626" i="25"/>
  <c r="I3626" i="25"/>
  <c r="K3626" i="25"/>
  <c r="L3626" i="25"/>
  <c r="G3625" i="25"/>
  <c r="I3625" i="25"/>
  <c r="K3625" i="25"/>
  <c r="L3625" i="25"/>
  <c r="G3624" i="25"/>
  <c r="I3624" i="25"/>
  <c r="K3624" i="25"/>
  <c r="L3624" i="25"/>
  <c r="G3623" i="25"/>
  <c r="I3623" i="25"/>
  <c r="K3623" i="25"/>
  <c r="L3623" i="25"/>
  <c r="G3622" i="25"/>
  <c r="I3622" i="25"/>
  <c r="K3622" i="25"/>
  <c r="L3622" i="25"/>
  <c r="G3621" i="25"/>
  <c r="I3621" i="25"/>
  <c r="K3621" i="25"/>
  <c r="L3621" i="25"/>
  <c r="G3620" i="25"/>
  <c r="I3620" i="25"/>
  <c r="K3620" i="25"/>
  <c r="L3620" i="25"/>
  <c r="G3619" i="25"/>
  <c r="I3619" i="25"/>
  <c r="K3619" i="25"/>
  <c r="L3619" i="25"/>
  <c r="G3618" i="25"/>
  <c r="I3618" i="25"/>
  <c r="K3618" i="25"/>
  <c r="L3618" i="25"/>
  <c r="G3617" i="25"/>
  <c r="I3617" i="25"/>
  <c r="K3617" i="25"/>
  <c r="L3617" i="25"/>
  <c r="G3616" i="25"/>
  <c r="I3616" i="25"/>
  <c r="K3616" i="25"/>
  <c r="L3616" i="25"/>
  <c r="G3615" i="25"/>
  <c r="I3615" i="25"/>
  <c r="K3615" i="25"/>
  <c r="L3615" i="25"/>
  <c r="G3614" i="25"/>
  <c r="I3614" i="25"/>
  <c r="K3614" i="25"/>
  <c r="L3614" i="25"/>
  <c r="G3613" i="25"/>
  <c r="I3613" i="25"/>
  <c r="K3613" i="25"/>
  <c r="L3613" i="25"/>
  <c r="G3612" i="25"/>
  <c r="I3612" i="25"/>
  <c r="K3612" i="25"/>
  <c r="L3612" i="25"/>
  <c r="G3611" i="25"/>
  <c r="I3611" i="25"/>
  <c r="K3611" i="25"/>
  <c r="L3611" i="25"/>
  <c r="G3610" i="25"/>
  <c r="I3610" i="25"/>
  <c r="K3610" i="25"/>
  <c r="L3610" i="25"/>
  <c r="G3609" i="25"/>
  <c r="I3609" i="25"/>
  <c r="K3609" i="25"/>
  <c r="L3609" i="25"/>
  <c r="G3608" i="25"/>
  <c r="I3608" i="25"/>
  <c r="K3608" i="25"/>
  <c r="L3608" i="25"/>
  <c r="G3607" i="25"/>
  <c r="I3607" i="25"/>
  <c r="K3607" i="25"/>
  <c r="L3607" i="25"/>
  <c r="G3606" i="25"/>
  <c r="I3606" i="25"/>
  <c r="K3606" i="25"/>
  <c r="L3606" i="25"/>
  <c r="G3605" i="25"/>
  <c r="I3605" i="25"/>
  <c r="K3605" i="25"/>
  <c r="L3605" i="25"/>
  <c r="G3604" i="25"/>
  <c r="I3604" i="25"/>
  <c r="K3604" i="25"/>
  <c r="L3604" i="25"/>
  <c r="G3603" i="25"/>
  <c r="I3603" i="25"/>
  <c r="K3603" i="25"/>
  <c r="L3603" i="25"/>
  <c r="G3602" i="25"/>
  <c r="I3602" i="25"/>
  <c r="K3602" i="25"/>
  <c r="L3602" i="25"/>
  <c r="G3601" i="25"/>
  <c r="I3601" i="25"/>
  <c r="K3601" i="25"/>
  <c r="L3601" i="25"/>
  <c r="G3600" i="25"/>
  <c r="I3600" i="25"/>
  <c r="K3600" i="25"/>
  <c r="L3600" i="25"/>
  <c r="G3599" i="25"/>
  <c r="I3599" i="25"/>
  <c r="K3599" i="25"/>
  <c r="L3599" i="25"/>
  <c r="G3598" i="25"/>
  <c r="I3598" i="25"/>
  <c r="K3598" i="25"/>
  <c r="L3598" i="25"/>
  <c r="G3597" i="25"/>
  <c r="I3597" i="25"/>
  <c r="K3597" i="25"/>
  <c r="L3597" i="25"/>
  <c r="G3596" i="25"/>
  <c r="I3596" i="25"/>
  <c r="K3596" i="25"/>
  <c r="L3596" i="25"/>
  <c r="G3595" i="25"/>
  <c r="I3595" i="25"/>
  <c r="K3595" i="25"/>
  <c r="L3595" i="25"/>
  <c r="G3594" i="25"/>
  <c r="I3594" i="25"/>
  <c r="K3594" i="25"/>
  <c r="L3594" i="25"/>
  <c r="G3593" i="25"/>
  <c r="I3593" i="25"/>
  <c r="K3593" i="25"/>
  <c r="L3593" i="25"/>
  <c r="G3592" i="25"/>
  <c r="I3592" i="25"/>
  <c r="K3592" i="25"/>
  <c r="L3592" i="25"/>
  <c r="G3591" i="25"/>
  <c r="I3591" i="25"/>
  <c r="K3591" i="25"/>
  <c r="L3591" i="25"/>
  <c r="G3590" i="25"/>
  <c r="I3590" i="25"/>
  <c r="K3590" i="25"/>
  <c r="L3590" i="25"/>
  <c r="G3589" i="25"/>
  <c r="I3589" i="25"/>
  <c r="K3589" i="25"/>
  <c r="L3589" i="25"/>
  <c r="G3588" i="25"/>
  <c r="I3588" i="25"/>
  <c r="K3588" i="25"/>
  <c r="L3588" i="25"/>
  <c r="G3587" i="25"/>
  <c r="I3587" i="25"/>
  <c r="K3587" i="25"/>
  <c r="L3587" i="25"/>
  <c r="G3586" i="25"/>
  <c r="I3586" i="25"/>
  <c r="K3586" i="25"/>
  <c r="L3586" i="25"/>
  <c r="G3585" i="25"/>
  <c r="I3585" i="25"/>
  <c r="K3585" i="25"/>
  <c r="L3585" i="25"/>
  <c r="G3584" i="25"/>
  <c r="I3584" i="25"/>
  <c r="K3584" i="25"/>
  <c r="L3584" i="25"/>
  <c r="G3583" i="25"/>
  <c r="I3583" i="25"/>
  <c r="K3583" i="25"/>
  <c r="L3583" i="25"/>
  <c r="G3582" i="25"/>
  <c r="I3582" i="25"/>
  <c r="K3582" i="25"/>
  <c r="L3582" i="25"/>
  <c r="G3581" i="25"/>
  <c r="I3581" i="25"/>
  <c r="K3581" i="25"/>
  <c r="L3581" i="25"/>
  <c r="G3580" i="25"/>
  <c r="I3580" i="25"/>
  <c r="K3580" i="25"/>
  <c r="L3580" i="25"/>
  <c r="G3579" i="25"/>
  <c r="I3579" i="25"/>
  <c r="K3579" i="25"/>
  <c r="L3579" i="25"/>
  <c r="G3578" i="25"/>
  <c r="I3578" i="25"/>
  <c r="K3578" i="25"/>
  <c r="L3578" i="25"/>
  <c r="G3577" i="25"/>
  <c r="I3577" i="25"/>
  <c r="K3577" i="25"/>
  <c r="L3577" i="25"/>
  <c r="G3576" i="25"/>
  <c r="I3576" i="25"/>
  <c r="K3576" i="25"/>
  <c r="L3576" i="25"/>
  <c r="G3575" i="25"/>
  <c r="I3575" i="25"/>
  <c r="K3575" i="25"/>
  <c r="L3575" i="25"/>
  <c r="G3574" i="25"/>
  <c r="I3574" i="25"/>
  <c r="K3574" i="25"/>
  <c r="L3574" i="25"/>
  <c r="G3573" i="25"/>
  <c r="I3573" i="25"/>
  <c r="K3573" i="25"/>
  <c r="L3573" i="25"/>
  <c r="G3572" i="25"/>
  <c r="I3572" i="25"/>
  <c r="K3572" i="25"/>
  <c r="L3572" i="25"/>
  <c r="G3571" i="25"/>
  <c r="I3571" i="25"/>
  <c r="K3571" i="25"/>
  <c r="L3571" i="25"/>
  <c r="G3570" i="25"/>
  <c r="I3570" i="25"/>
  <c r="K3570" i="25"/>
  <c r="L3570" i="25"/>
  <c r="G3569" i="25"/>
  <c r="I3569" i="25"/>
  <c r="K3569" i="25"/>
  <c r="L3569" i="25"/>
  <c r="G3568" i="25"/>
  <c r="I3568" i="25"/>
  <c r="K3568" i="25"/>
  <c r="L3568" i="25"/>
  <c r="G3567" i="25"/>
  <c r="I3567" i="25"/>
  <c r="K3567" i="25"/>
  <c r="L3567" i="25"/>
  <c r="G3566" i="25"/>
  <c r="I3566" i="25"/>
  <c r="K3566" i="25"/>
  <c r="L3566" i="25"/>
  <c r="G3565" i="25"/>
  <c r="I3565" i="25"/>
  <c r="K3565" i="25"/>
  <c r="L3565" i="25"/>
  <c r="G3564" i="25"/>
  <c r="I3564" i="25"/>
  <c r="K3564" i="25"/>
  <c r="L3564" i="25"/>
  <c r="G3563" i="25"/>
  <c r="I3563" i="25"/>
  <c r="K3563" i="25"/>
  <c r="L3563" i="25"/>
  <c r="G3562" i="25"/>
  <c r="I3562" i="25"/>
  <c r="K3562" i="25"/>
  <c r="L3562" i="25"/>
  <c r="G3561" i="25"/>
  <c r="I3561" i="25"/>
  <c r="K3561" i="25"/>
  <c r="L3561" i="25"/>
  <c r="G3560" i="25"/>
  <c r="I3560" i="25"/>
  <c r="K3560" i="25"/>
  <c r="L3560" i="25"/>
  <c r="G3559" i="25"/>
  <c r="I3559" i="25"/>
  <c r="K3559" i="25"/>
  <c r="L3559" i="25"/>
  <c r="G3558" i="25"/>
  <c r="I3558" i="25"/>
  <c r="K3558" i="25"/>
  <c r="L3558" i="25"/>
  <c r="G3557" i="25"/>
  <c r="I3557" i="25"/>
  <c r="K3557" i="25"/>
  <c r="L3557" i="25"/>
  <c r="G3556" i="25"/>
  <c r="I3556" i="25"/>
  <c r="K3556" i="25"/>
  <c r="L3556" i="25"/>
  <c r="G3555" i="25"/>
  <c r="I3555" i="25"/>
  <c r="K3555" i="25"/>
  <c r="L3555" i="25"/>
  <c r="G3554" i="25"/>
  <c r="I3554" i="25"/>
  <c r="K3554" i="25"/>
  <c r="L3554" i="25"/>
  <c r="G3553" i="25"/>
  <c r="I3553" i="25"/>
  <c r="K3553" i="25"/>
  <c r="L3553" i="25"/>
  <c r="G3552" i="25"/>
  <c r="I3552" i="25"/>
  <c r="K3552" i="25"/>
  <c r="L3552" i="25"/>
  <c r="G3551" i="25"/>
  <c r="I3551" i="25"/>
  <c r="K3551" i="25"/>
  <c r="L3551" i="25"/>
  <c r="G3550" i="25"/>
  <c r="I3550" i="25"/>
  <c r="K3550" i="25"/>
  <c r="L3550" i="25"/>
  <c r="G3549" i="25"/>
  <c r="I3549" i="25"/>
  <c r="K3549" i="25"/>
  <c r="L3549" i="25"/>
  <c r="G3548" i="25"/>
  <c r="I3548" i="25"/>
  <c r="K3548" i="25"/>
  <c r="L3548" i="25"/>
  <c r="G3547" i="25"/>
  <c r="I3547" i="25"/>
  <c r="K3547" i="25"/>
  <c r="L3547" i="25"/>
  <c r="G3546" i="25"/>
  <c r="I3546" i="25"/>
  <c r="K3546" i="25"/>
  <c r="L3546" i="25"/>
  <c r="G3545" i="25"/>
  <c r="I3545" i="25"/>
  <c r="K3545" i="25"/>
  <c r="L3545" i="25"/>
  <c r="G3544" i="25"/>
  <c r="I3544" i="25"/>
  <c r="K3544" i="25"/>
  <c r="L3544" i="25"/>
  <c r="G3543" i="25"/>
  <c r="I3543" i="25"/>
  <c r="K3543" i="25"/>
  <c r="L3543" i="25"/>
  <c r="G3542" i="25"/>
  <c r="I3542" i="25"/>
  <c r="K3542" i="25"/>
  <c r="L3542" i="25"/>
  <c r="G3541" i="25"/>
  <c r="I3541" i="25"/>
  <c r="K3541" i="25"/>
  <c r="L3541" i="25"/>
  <c r="G3540" i="25"/>
  <c r="I3540" i="25"/>
  <c r="K3540" i="25"/>
  <c r="L3540" i="25"/>
  <c r="G3539" i="25"/>
  <c r="I3539" i="25"/>
  <c r="K3539" i="25"/>
  <c r="L3539" i="25"/>
  <c r="G3538" i="25"/>
  <c r="I3538" i="25"/>
  <c r="K3538" i="25"/>
  <c r="L3538" i="25"/>
  <c r="G3537" i="25"/>
  <c r="I3537" i="25"/>
  <c r="K3537" i="25"/>
  <c r="L3537" i="25"/>
  <c r="G3536" i="25"/>
  <c r="I3536" i="25"/>
  <c r="K3536" i="25"/>
  <c r="L3536" i="25"/>
  <c r="G3535" i="25"/>
  <c r="I3535" i="25"/>
  <c r="K3535" i="25"/>
  <c r="L3535" i="25"/>
  <c r="G3534" i="25"/>
  <c r="I3534" i="25"/>
  <c r="K3534" i="25"/>
  <c r="L3534" i="25"/>
  <c r="G3533" i="25"/>
  <c r="I3533" i="25"/>
  <c r="K3533" i="25"/>
  <c r="L3533" i="25"/>
  <c r="G3532" i="25"/>
  <c r="I3532" i="25"/>
  <c r="K3532" i="25"/>
  <c r="L3532" i="25"/>
  <c r="G3531" i="25"/>
  <c r="I3531" i="25"/>
  <c r="K3531" i="25"/>
  <c r="L3531" i="25"/>
  <c r="G3530" i="25"/>
  <c r="I3530" i="25"/>
  <c r="K3530" i="25"/>
  <c r="L3530" i="25"/>
  <c r="G3529" i="25"/>
  <c r="I3529" i="25"/>
  <c r="K3529" i="25"/>
  <c r="L3529" i="25"/>
  <c r="G3528" i="25"/>
  <c r="I3528" i="25"/>
  <c r="K3528" i="25"/>
  <c r="L3528" i="25"/>
  <c r="G3527" i="25"/>
  <c r="I3527" i="25"/>
  <c r="K3527" i="25"/>
  <c r="L3527" i="25"/>
  <c r="G3526" i="25"/>
  <c r="I3526" i="25"/>
  <c r="K3526" i="25"/>
  <c r="L3526" i="25"/>
  <c r="G3525" i="25"/>
  <c r="I3525" i="25"/>
  <c r="K3525" i="25"/>
  <c r="L3525" i="25"/>
  <c r="G3524" i="25"/>
  <c r="I3524" i="25"/>
  <c r="K3524" i="25"/>
  <c r="L3524" i="25"/>
  <c r="G3523" i="25"/>
  <c r="I3523" i="25"/>
  <c r="K3523" i="25"/>
  <c r="L3523" i="25"/>
  <c r="G3522" i="25"/>
  <c r="I3522" i="25"/>
  <c r="K3522" i="25"/>
  <c r="L3522" i="25"/>
  <c r="G3521" i="25"/>
  <c r="I3521" i="25"/>
  <c r="K3521" i="25"/>
  <c r="L3521" i="25"/>
  <c r="G3520" i="25"/>
  <c r="I3520" i="25"/>
  <c r="K3520" i="25"/>
  <c r="L3520" i="25"/>
  <c r="G3519" i="25"/>
  <c r="I3519" i="25"/>
  <c r="K3519" i="25"/>
  <c r="L3519" i="25"/>
  <c r="G3518" i="25"/>
  <c r="I3518" i="25"/>
  <c r="K3518" i="25"/>
  <c r="L3518" i="25"/>
  <c r="G3517" i="25"/>
  <c r="I3517" i="25"/>
  <c r="K3517" i="25"/>
  <c r="L3517" i="25"/>
  <c r="G3516" i="25"/>
  <c r="I3516" i="25"/>
  <c r="K3516" i="25"/>
  <c r="L3516" i="25"/>
  <c r="G3515" i="25"/>
  <c r="I3515" i="25"/>
  <c r="K3515" i="25"/>
  <c r="L3515" i="25"/>
  <c r="G3514" i="25"/>
  <c r="I3514" i="25"/>
  <c r="K3514" i="25"/>
  <c r="L3514" i="25"/>
  <c r="G3513" i="25"/>
  <c r="I3513" i="25"/>
  <c r="K3513" i="25"/>
  <c r="L3513" i="25"/>
  <c r="G3512" i="25"/>
  <c r="I3512" i="25"/>
  <c r="K3512" i="25"/>
  <c r="L3512" i="25"/>
  <c r="G3511" i="25"/>
  <c r="I3511" i="25"/>
  <c r="K3511" i="25"/>
  <c r="L3511" i="25"/>
  <c r="G3510" i="25"/>
  <c r="I3510" i="25"/>
  <c r="K3510" i="25"/>
  <c r="L3510" i="25"/>
  <c r="G3509" i="25"/>
  <c r="I3509" i="25"/>
  <c r="K3509" i="25"/>
  <c r="L3509" i="25"/>
  <c r="G3508" i="25"/>
  <c r="I3508" i="25"/>
  <c r="K3508" i="25"/>
  <c r="L3508" i="25"/>
  <c r="G3507" i="25"/>
  <c r="I3507" i="25"/>
  <c r="K3507" i="25"/>
  <c r="L3507" i="25"/>
  <c r="G3506" i="25"/>
  <c r="I3506" i="25"/>
  <c r="K3506" i="25"/>
  <c r="L3506" i="25"/>
  <c r="G3505" i="25"/>
  <c r="I3505" i="25"/>
  <c r="K3505" i="25"/>
  <c r="L3505" i="25"/>
  <c r="G3504" i="25"/>
  <c r="I3504" i="25"/>
  <c r="K3504" i="25"/>
  <c r="L3504" i="25"/>
  <c r="G3503" i="25"/>
  <c r="I3503" i="25"/>
  <c r="K3503" i="25"/>
  <c r="L3503" i="25"/>
  <c r="G3502" i="25"/>
  <c r="I3502" i="25"/>
  <c r="K3502" i="25"/>
  <c r="L3502" i="25"/>
  <c r="G3501" i="25"/>
  <c r="I3501" i="25"/>
  <c r="K3501" i="25"/>
  <c r="L3501" i="25"/>
  <c r="G3500" i="25"/>
  <c r="I3500" i="25"/>
  <c r="K3500" i="25"/>
  <c r="L3500" i="25"/>
  <c r="G3499" i="25"/>
  <c r="I3499" i="25"/>
  <c r="K3499" i="25"/>
  <c r="L3499" i="25"/>
  <c r="G3498" i="25"/>
  <c r="I3498" i="25"/>
  <c r="K3498" i="25"/>
  <c r="L3498" i="25"/>
  <c r="G3497" i="25"/>
  <c r="I3497" i="25"/>
  <c r="K3497" i="25"/>
  <c r="L3497" i="25"/>
  <c r="G3496" i="25"/>
  <c r="I3496" i="25"/>
  <c r="K3496" i="25"/>
  <c r="L3496" i="25"/>
  <c r="G3495" i="25"/>
  <c r="I3495" i="25"/>
  <c r="K3495" i="25"/>
  <c r="L3495" i="25"/>
  <c r="G3494" i="25"/>
  <c r="I3494" i="25"/>
  <c r="K3494" i="25"/>
  <c r="L3494" i="25"/>
  <c r="G3493" i="25"/>
  <c r="I3493" i="25"/>
  <c r="K3493" i="25"/>
  <c r="L3493" i="25"/>
  <c r="G3492" i="25"/>
  <c r="I3492" i="25"/>
  <c r="K3492" i="25"/>
  <c r="L3492" i="25"/>
  <c r="G3491" i="25"/>
  <c r="I3491" i="25"/>
  <c r="K3491" i="25"/>
  <c r="L3491" i="25"/>
  <c r="G3490" i="25"/>
  <c r="I3490" i="25"/>
  <c r="K3490" i="25"/>
  <c r="L3490" i="25"/>
  <c r="G3489" i="25"/>
  <c r="I3489" i="25"/>
  <c r="K3489" i="25"/>
  <c r="L3489" i="25"/>
  <c r="G3488" i="25"/>
  <c r="I3488" i="25"/>
  <c r="K3488" i="25"/>
  <c r="L3488" i="25"/>
  <c r="G3487" i="25"/>
  <c r="I3487" i="25"/>
  <c r="K3487" i="25"/>
  <c r="L3487" i="25"/>
  <c r="G3486" i="25"/>
  <c r="I3486" i="25"/>
  <c r="K3486" i="25"/>
  <c r="L3486" i="25"/>
  <c r="G3485" i="25"/>
  <c r="I3485" i="25"/>
  <c r="K3485" i="25"/>
  <c r="L3485" i="25"/>
  <c r="G3484" i="25"/>
  <c r="I3484" i="25"/>
  <c r="K3484" i="25"/>
  <c r="L3484" i="25"/>
  <c r="G3483" i="25"/>
  <c r="I3483" i="25"/>
  <c r="K3483" i="25"/>
  <c r="L3483" i="25"/>
  <c r="G3482" i="25"/>
  <c r="I3482" i="25"/>
  <c r="K3482" i="25"/>
  <c r="L3482" i="25"/>
  <c r="G3481" i="25"/>
  <c r="I3481" i="25"/>
  <c r="K3481" i="25"/>
  <c r="L3481" i="25"/>
  <c r="G3480" i="25"/>
  <c r="I3480" i="25"/>
  <c r="K3480" i="25"/>
  <c r="L3480" i="25"/>
  <c r="G3479" i="25"/>
  <c r="I3479" i="25"/>
  <c r="K3479" i="25"/>
  <c r="L3479" i="25"/>
  <c r="G3478" i="25"/>
  <c r="I3478" i="25"/>
  <c r="K3478" i="25"/>
  <c r="L3478" i="25"/>
  <c r="G3477" i="25"/>
  <c r="I3477" i="25"/>
  <c r="K3477" i="25"/>
  <c r="L3477" i="25"/>
  <c r="G3476" i="25"/>
  <c r="I3476" i="25"/>
  <c r="K3476" i="25"/>
  <c r="L3476" i="25"/>
  <c r="G3475" i="25"/>
  <c r="I3475" i="25"/>
  <c r="K3475" i="25"/>
  <c r="L3475" i="25"/>
  <c r="G3474" i="25"/>
  <c r="I3474" i="25"/>
  <c r="K3474" i="25"/>
  <c r="L3474" i="25"/>
  <c r="G3473" i="25"/>
  <c r="I3473" i="25"/>
  <c r="K3473" i="25"/>
  <c r="L3473" i="25"/>
  <c r="G3472" i="25"/>
  <c r="I3472" i="25"/>
  <c r="K3472" i="25"/>
  <c r="L3472" i="25"/>
  <c r="G3471" i="25"/>
  <c r="I3471" i="25"/>
  <c r="K3471" i="25"/>
  <c r="L3471" i="25"/>
  <c r="G3470" i="25"/>
  <c r="I3470" i="25"/>
  <c r="K3470" i="25"/>
  <c r="L3470" i="25"/>
  <c r="G3469" i="25"/>
  <c r="I3469" i="25"/>
  <c r="K3469" i="25"/>
  <c r="L3469" i="25"/>
  <c r="G3468" i="25"/>
  <c r="I3468" i="25"/>
  <c r="K3468" i="25"/>
  <c r="L3468" i="25"/>
  <c r="G3467" i="25"/>
  <c r="I3467" i="25"/>
  <c r="K3467" i="25"/>
  <c r="L3467" i="25"/>
  <c r="G3466" i="25"/>
  <c r="I3466" i="25"/>
  <c r="K3466" i="25"/>
  <c r="L3466" i="25"/>
  <c r="G3465" i="25"/>
  <c r="I3465" i="25"/>
  <c r="K3465" i="25"/>
  <c r="L3465" i="25"/>
  <c r="G3464" i="25"/>
  <c r="I3464" i="25"/>
  <c r="K3464" i="25"/>
  <c r="L3464" i="25"/>
  <c r="G3463" i="25"/>
  <c r="I3463" i="25"/>
  <c r="K3463" i="25"/>
  <c r="L3463" i="25"/>
  <c r="G3462" i="25"/>
  <c r="I3462" i="25"/>
  <c r="K3462" i="25"/>
  <c r="L3462" i="25"/>
  <c r="G3461" i="25"/>
  <c r="I3461" i="25"/>
  <c r="K3461" i="25"/>
  <c r="L3461" i="25"/>
  <c r="G3460" i="25"/>
  <c r="I3460" i="25"/>
  <c r="K3460" i="25"/>
  <c r="L3460" i="25"/>
  <c r="G3459" i="25"/>
  <c r="I3459" i="25"/>
  <c r="K3459" i="25"/>
  <c r="L3459" i="25"/>
  <c r="G3458" i="25"/>
  <c r="I3458" i="25"/>
  <c r="K3458" i="25"/>
  <c r="L3458" i="25"/>
  <c r="G3457" i="25"/>
  <c r="I3457" i="25"/>
  <c r="K3457" i="25"/>
  <c r="L3457" i="25"/>
  <c r="G3456" i="25"/>
  <c r="I3456" i="25"/>
  <c r="K3456" i="25"/>
  <c r="L3456" i="25"/>
  <c r="G3455" i="25"/>
  <c r="I3455" i="25"/>
  <c r="K3455" i="25"/>
  <c r="L3455" i="25"/>
  <c r="G3454" i="25"/>
  <c r="I3454" i="25"/>
  <c r="K3454" i="25"/>
  <c r="L3454" i="25"/>
  <c r="G3453" i="25"/>
  <c r="I3453" i="25"/>
  <c r="K3453" i="25"/>
  <c r="L3453" i="25"/>
  <c r="G3452" i="25"/>
  <c r="I3452" i="25"/>
  <c r="K3452" i="25"/>
  <c r="L3452" i="25"/>
  <c r="G3451" i="25"/>
  <c r="I3451" i="25"/>
  <c r="K3451" i="25"/>
  <c r="L3451" i="25"/>
  <c r="G3450" i="25"/>
  <c r="I3450" i="25"/>
  <c r="K3450" i="25"/>
  <c r="L3450" i="25"/>
  <c r="G3449" i="25"/>
  <c r="I3449" i="25"/>
  <c r="K3449" i="25"/>
  <c r="L3449" i="25"/>
  <c r="G3448" i="25"/>
  <c r="I3448" i="25"/>
  <c r="K3448" i="25"/>
  <c r="L3448" i="25"/>
  <c r="G3447" i="25"/>
  <c r="I3447" i="25"/>
  <c r="K3447" i="25"/>
  <c r="L3447" i="25"/>
  <c r="G3446" i="25"/>
  <c r="I3446" i="25"/>
  <c r="K3446" i="25"/>
  <c r="L3446" i="25"/>
  <c r="G3445" i="25"/>
  <c r="I3445" i="25"/>
  <c r="K3445" i="25"/>
  <c r="L3445" i="25"/>
  <c r="G3444" i="25"/>
  <c r="I3444" i="25"/>
  <c r="K3444" i="25"/>
  <c r="L3444" i="25"/>
  <c r="G3443" i="25"/>
  <c r="I3443" i="25"/>
  <c r="K3443" i="25"/>
  <c r="L3443" i="25"/>
  <c r="G3442" i="25"/>
  <c r="I3442" i="25"/>
  <c r="K3442" i="25"/>
  <c r="L3442" i="25"/>
  <c r="G3441" i="25"/>
  <c r="I3441" i="25"/>
  <c r="K3441" i="25"/>
  <c r="L3441" i="25"/>
  <c r="G3440" i="25"/>
  <c r="I3440" i="25"/>
  <c r="K3440" i="25"/>
  <c r="L3440" i="25"/>
  <c r="G3439" i="25"/>
  <c r="I3439" i="25"/>
  <c r="K3439" i="25"/>
  <c r="L3439" i="25"/>
  <c r="G3438" i="25"/>
  <c r="I3438" i="25"/>
  <c r="K3438" i="25"/>
  <c r="L3438" i="25"/>
  <c r="G3437" i="25"/>
  <c r="I3437" i="25"/>
  <c r="K3437" i="25"/>
  <c r="L3437" i="25"/>
  <c r="G3436" i="25"/>
  <c r="I3436" i="25"/>
  <c r="K3436" i="25"/>
  <c r="L3436" i="25"/>
  <c r="G3435" i="25"/>
  <c r="I3435" i="25"/>
  <c r="K3435" i="25"/>
  <c r="L3435" i="25"/>
  <c r="G3434" i="25"/>
  <c r="I3434" i="25"/>
  <c r="K3434" i="25"/>
  <c r="L3434" i="25"/>
  <c r="G3433" i="25"/>
  <c r="I3433" i="25"/>
  <c r="K3433" i="25"/>
  <c r="L3433" i="25"/>
  <c r="G3432" i="25"/>
  <c r="I3432" i="25"/>
  <c r="K3432" i="25"/>
  <c r="L3432" i="25"/>
  <c r="G3431" i="25"/>
  <c r="I3431" i="25"/>
  <c r="K3431" i="25"/>
  <c r="L3431" i="25"/>
  <c r="G3430" i="25"/>
  <c r="I3430" i="25"/>
  <c r="K3430" i="25"/>
  <c r="L3430" i="25"/>
  <c r="G3429" i="25"/>
  <c r="I3429" i="25"/>
  <c r="K3429" i="25"/>
  <c r="L3429" i="25"/>
  <c r="G3428" i="25"/>
  <c r="I3428" i="25"/>
  <c r="K3428" i="25"/>
  <c r="L3428" i="25"/>
  <c r="G3427" i="25"/>
  <c r="I3427" i="25"/>
  <c r="K3427" i="25"/>
  <c r="L3427" i="25"/>
  <c r="G3426" i="25"/>
  <c r="I3426" i="25"/>
  <c r="K3426" i="25"/>
  <c r="L3426" i="25"/>
  <c r="G3425" i="25"/>
  <c r="I3425" i="25"/>
  <c r="K3425" i="25"/>
  <c r="L3425" i="25"/>
  <c r="G3424" i="25"/>
  <c r="I3424" i="25"/>
  <c r="K3424" i="25"/>
  <c r="L3424" i="25"/>
  <c r="G3423" i="25"/>
  <c r="I3423" i="25"/>
  <c r="K3423" i="25"/>
  <c r="L3423" i="25"/>
  <c r="G3422" i="25"/>
  <c r="I3422" i="25"/>
  <c r="K3422" i="25"/>
  <c r="L3422" i="25"/>
  <c r="G3421" i="25"/>
  <c r="I3421" i="25"/>
  <c r="K3421" i="25"/>
  <c r="L3421" i="25"/>
  <c r="G3420" i="25"/>
  <c r="I3420" i="25"/>
  <c r="K3420" i="25"/>
  <c r="L3420" i="25"/>
  <c r="G3419" i="25"/>
  <c r="I3419" i="25"/>
  <c r="K3419" i="25"/>
  <c r="L3419" i="25"/>
  <c r="G3418" i="25"/>
  <c r="I3418" i="25"/>
  <c r="K3418" i="25"/>
  <c r="L3418" i="25"/>
  <c r="G3417" i="25"/>
  <c r="I3417" i="25"/>
  <c r="K3417" i="25"/>
  <c r="L3417" i="25"/>
  <c r="G3416" i="25"/>
  <c r="I3416" i="25"/>
  <c r="K3416" i="25"/>
  <c r="L3416" i="25"/>
  <c r="G3415" i="25"/>
  <c r="I3415" i="25"/>
  <c r="K3415" i="25"/>
  <c r="L3415" i="25"/>
  <c r="G3414" i="25"/>
  <c r="I3414" i="25"/>
  <c r="K3414" i="25"/>
  <c r="L3414" i="25"/>
  <c r="G3413" i="25"/>
  <c r="I3413" i="25"/>
  <c r="K3413" i="25"/>
  <c r="L3413" i="25"/>
  <c r="G3412" i="25"/>
  <c r="I3412" i="25"/>
  <c r="K3412" i="25"/>
  <c r="L3412" i="25"/>
  <c r="G3411" i="25"/>
  <c r="I3411" i="25"/>
  <c r="K3411" i="25"/>
  <c r="L3411" i="25"/>
  <c r="G3410" i="25"/>
  <c r="I3410" i="25"/>
  <c r="K3410" i="25"/>
  <c r="L3410" i="25"/>
  <c r="G3409" i="25"/>
  <c r="I3409" i="25"/>
  <c r="K3409" i="25"/>
  <c r="L3409" i="25"/>
  <c r="G3408" i="25"/>
  <c r="I3408" i="25"/>
  <c r="K3408" i="25"/>
  <c r="L3408" i="25"/>
  <c r="G3407" i="25"/>
  <c r="I3407" i="25"/>
  <c r="K3407" i="25"/>
  <c r="L3407" i="25"/>
  <c r="G3406" i="25"/>
  <c r="I3406" i="25"/>
  <c r="K3406" i="25"/>
  <c r="L3406" i="25"/>
  <c r="G3405" i="25"/>
  <c r="I3405" i="25"/>
  <c r="K3405" i="25"/>
  <c r="L3405" i="25"/>
  <c r="G3404" i="25"/>
  <c r="I3404" i="25"/>
  <c r="K3404" i="25"/>
  <c r="L3404" i="25"/>
  <c r="G3403" i="25"/>
  <c r="I3403" i="25"/>
  <c r="K3403" i="25"/>
  <c r="L3403" i="25"/>
  <c r="G3402" i="25"/>
  <c r="I3402" i="25"/>
  <c r="K3402" i="25"/>
  <c r="L3402" i="25"/>
  <c r="G3401" i="25"/>
  <c r="I3401" i="25"/>
  <c r="K3401" i="25"/>
  <c r="L3401" i="25"/>
  <c r="G3400" i="25"/>
  <c r="I3400" i="25"/>
  <c r="K3400" i="25"/>
  <c r="L3400" i="25"/>
  <c r="G3399" i="25"/>
  <c r="I3399" i="25"/>
  <c r="K3399" i="25"/>
  <c r="L3399" i="25"/>
  <c r="G3398" i="25"/>
  <c r="I3398" i="25"/>
  <c r="K3398" i="25"/>
  <c r="L3398" i="25"/>
  <c r="G3397" i="25"/>
  <c r="I3397" i="25"/>
  <c r="K3397" i="25"/>
  <c r="L3397" i="25"/>
  <c r="G3396" i="25"/>
  <c r="I3396" i="25"/>
  <c r="K3396" i="25"/>
  <c r="L3396" i="25"/>
  <c r="G3395" i="25"/>
  <c r="I3395" i="25"/>
  <c r="K3395" i="25"/>
  <c r="L3395" i="25"/>
  <c r="G3394" i="25"/>
  <c r="I3394" i="25"/>
  <c r="K3394" i="25"/>
  <c r="L3394" i="25"/>
  <c r="G3393" i="25"/>
  <c r="I3393" i="25"/>
  <c r="K3393" i="25"/>
  <c r="L3393" i="25"/>
  <c r="G3392" i="25"/>
  <c r="I3392" i="25"/>
  <c r="K3392" i="25"/>
  <c r="L3392" i="25"/>
  <c r="G3391" i="25"/>
  <c r="I3391" i="25"/>
  <c r="K3391" i="25"/>
  <c r="L3391" i="25"/>
  <c r="G3390" i="25"/>
  <c r="I3390" i="25"/>
  <c r="K3390" i="25"/>
  <c r="L3390" i="25"/>
  <c r="G3389" i="25"/>
  <c r="I3389" i="25"/>
  <c r="K3389" i="25"/>
  <c r="L3389" i="25"/>
  <c r="G3388" i="25"/>
  <c r="I3388" i="25"/>
  <c r="K3388" i="25"/>
  <c r="L3388" i="25"/>
  <c r="G3387" i="25"/>
  <c r="I3387" i="25"/>
  <c r="K3387" i="25"/>
  <c r="L3387" i="25"/>
  <c r="G3386" i="25"/>
  <c r="I3386" i="25"/>
  <c r="K3386" i="25"/>
  <c r="L3386" i="25"/>
  <c r="G3385" i="25"/>
  <c r="I3385" i="25"/>
  <c r="K3385" i="25"/>
  <c r="L3385" i="25"/>
  <c r="G3384" i="25"/>
  <c r="I3384" i="25"/>
  <c r="K3384" i="25"/>
  <c r="L3384" i="25"/>
  <c r="G3383" i="25"/>
  <c r="I3383" i="25"/>
  <c r="K3383" i="25"/>
  <c r="L3383" i="25"/>
  <c r="G3382" i="25"/>
  <c r="I3382" i="25"/>
  <c r="K3382" i="25"/>
  <c r="L3382" i="25"/>
  <c r="G3381" i="25"/>
  <c r="I3381" i="25"/>
  <c r="K3381" i="25"/>
  <c r="L3381" i="25"/>
  <c r="G3380" i="25"/>
  <c r="I3380" i="25"/>
  <c r="K3380" i="25"/>
  <c r="L3380" i="25"/>
  <c r="G3379" i="25"/>
  <c r="I3379" i="25"/>
  <c r="K3379" i="25"/>
  <c r="L3379" i="25"/>
  <c r="G3378" i="25"/>
  <c r="I3378" i="25"/>
  <c r="K3378" i="25"/>
  <c r="L3378" i="25"/>
  <c r="G3377" i="25"/>
  <c r="I3377" i="25"/>
  <c r="K3377" i="25"/>
  <c r="L3377" i="25"/>
  <c r="G3376" i="25"/>
  <c r="I3376" i="25"/>
  <c r="K3376" i="25"/>
  <c r="L3376" i="25"/>
  <c r="G3375" i="25"/>
  <c r="I3375" i="25"/>
  <c r="K3375" i="25"/>
  <c r="L3375" i="25"/>
  <c r="G3374" i="25"/>
  <c r="I3374" i="25"/>
  <c r="K3374" i="25"/>
  <c r="L3374" i="25"/>
  <c r="G3373" i="25"/>
  <c r="I3373" i="25"/>
  <c r="K3373" i="25"/>
  <c r="L3373" i="25"/>
  <c r="G3372" i="25"/>
  <c r="I3372" i="25"/>
  <c r="K3372" i="25"/>
  <c r="L3372" i="25"/>
  <c r="G3371" i="25"/>
  <c r="I3371" i="25"/>
  <c r="K3371" i="25"/>
  <c r="L3371" i="25"/>
  <c r="G3370" i="25"/>
  <c r="I3370" i="25"/>
  <c r="K3370" i="25"/>
  <c r="L3370" i="25"/>
  <c r="G3369" i="25"/>
  <c r="I3369" i="25"/>
  <c r="K3369" i="25"/>
  <c r="L3369" i="25"/>
  <c r="G3368" i="25"/>
  <c r="I3368" i="25"/>
  <c r="K3368" i="25"/>
  <c r="L3368" i="25"/>
  <c r="G3367" i="25"/>
  <c r="I3367" i="25"/>
  <c r="K3367" i="25"/>
  <c r="L3367" i="25"/>
  <c r="G3366" i="25"/>
  <c r="I3366" i="25"/>
  <c r="K3366" i="25"/>
  <c r="L3366" i="25"/>
  <c r="G3365" i="25"/>
  <c r="I3365" i="25"/>
  <c r="K3365" i="25"/>
  <c r="L3365" i="25"/>
  <c r="G3364" i="25"/>
  <c r="I3364" i="25"/>
  <c r="K3364" i="25"/>
  <c r="L3364" i="25"/>
  <c r="G3363" i="25"/>
  <c r="I3363" i="25"/>
  <c r="K3363" i="25"/>
  <c r="L3363" i="25"/>
  <c r="G3362" i="25"/>
  <c r="I3362" i="25"/>
  <c r="K3362" i="25"/>
  <c r="L3362" i="25"/>
  <c r="G3361" i="25"/>
  <c r="I3361" i="25"/>
  <c r="K3361" i="25"/>
  <c r="L3361" i="25"/>
  <c r="G3360" i="25"/>
  <c r="I3360" i="25"/>
  <c r="K3360" i="25"/>
  <c r="L3360" i="25"/>
  <c r="G3359" i="25"/>
  <c r="I3359" i="25"/>
  <c r="K3359" i="25"/>
  <c r="L3359" i="25"/>
  <c r="G3358" i="25"/>
  <c r="I3358" i="25"/>
  <c r="K3358" i="25"/>
  <c r="L3358" i="25"/>
  <c r="G3357" i="25"/>
  <c r="I3357" i="25"/>
  <c r="K3357" i="25"/>
  <c r="L3357" i="25"/>
  <c r="G3356" i="25"/>
  <c r="I3356" i="25"/>
  <c r="K3356" i="25"/>
  <c r="L3356" i="25"/>
  <c r="G3355" i="25"/>
  <c r="I3355" i="25"/>
  <c r="K3355" i="25"/>
  <c r="L3355" i="25"/>
  <c r="G3354" i="25"/>
  <c r="I3354" i="25"/>
  <c r="K3354" i="25"/>
  <c r="L3354" i="25"/>
  <c r="G3353" i="25"/>
  <c r="I3353" i="25"/>
  <c r="K3353" i="25"/>
  <c r="L3353" i="25"/>
  <c r="G3352" i="25"/>
  <c r="I3352" i="25"/>
  <c r="K3352" i="25"/>
  <c r="L3352" i="25"/>
  <c r="G3351" i="25"/>
  <c r="I3351" i="25"/>
  <c r="K3351" i="25"/>
  <c r="L3351" i="25"/>
  <c r="G3350" i="25"/>
  <c r="I3350" i="25"/>
  <c r="K3350" i="25"/>
  <c r="L3350" i="25"/>
  <c r="G3349" i="25"/>
  <c r="I3349" i="25"/>
  <c r="K3349" i="25"/>
  <c r="L3349" i="25"/>
  <c r="G3348" i="25"/>
  <c r="I3348" i="25"/>
  <c r="K3348" i="25"/>
  <c r="L3348" i="25"/>
  <c r="G3347" i="25"/>
  <c r="I3347" i="25"/>
  <c r="K3347" i="25"/>
  <c r="L3347" i="25"/>
  <c r="G3346" i="25"/>
  <c r="I3346" i="25"/>
  <c r="K3346" i="25"/>
  <c r="L3346" i="25"/>
  <c r="G3345" i="25"/>
  <c r="I3345" i="25"/>
  <c r="K3345" i="25"/>
  <c r="L3345" i="25"/>
  <c r="G3344" i="25"/>
  <c r="I3344" i="25"/>
  <c r="K3344" i="25"/>
  <c r="L3344" i="25"/>
  <c r="G3343" i="25"/>
  <c r="I3343" i="25"/>
  <c r="K3343" i="25"/>
  <c r="L3343" i="25"/>
  <c r="G3342" i="25"/>
  <c r="I3342" i="25"/>
  <c r="K3342" i="25"/>
  <c r="L3342" i="25"/>
  <c r="G3341" i="25"/>
  <c r="I3341" i="25"/>
  <c r="K3341" i="25"/>
  <c r="L3341" i="25"/>
  <c r="G3340" i="25"/>
  <c r="I3340" i="25"/>
  <c r="K3340" i="25"/>
  <c r="L3340" i="25"/>
  <c r="G3339" i="25"/>
  <c r="I3339" i="25"/>
  <c r="K3339" i="25"/>
  <c r="L3339" i="25"/>
  <c r="G3338" i="25"/>
  <c r="I3338" i="25"/>
  <c r="K3338" i="25"/>
  <c r="L3338" i="25"/>
  <c r="G3337" i="25"/>
  <c r="I3337" i="25"/>
  <c r="K3337" i="25"/>
  <c r="L3337" i="25"/>
  <c r="G3336" i="25"/>
  <c r="I3336" i="25"/>
  <c r="K3336" i="25"/>
  <c r="L3336" i="25"/>
  <c r="G3335" i="25"/>
  <c r="I3335" i="25"/>
  <c r="K3335" i="25"/>
  <c r="L3335" i="25"/>
  <c r="G3334" i="25"/>
  <c r="I3334" i="25"/>
  <c r="K3334" i="25"/>
  <c r="L3334" i="25"/>
  <c r="G3333" i="25"/>
  <c r="I3333" i="25"/>
  <c r="K3333" i="25"/>
  <c r="L3333" i="25"/>
  <c r="G3332" i="25"/>
  <c r="I3332" i="25"/>
  <c r="K3332" i="25"/>
  <c r="L3332" i="25"/>
  <c r="G3331" i="25"/>
  <c r="I3331" i="25"/>
  <c r="K3331" i="25"/>
  <c r="L3331" i="25"/>
  <c r="G3330" i="25"/>
  <c r="I3330" i="25"/>
  <c r="K3330" i="25"/>
  <c r="L3330" i="25"/>
  <c r="G3329" i="25"/>
  <c r="I3329" i="25"/>
  <c r="K3329" i="25"/>
  <c r="L3329" i="25"/>
  <c r="G3328" i="25"/>
  <c r="I3328" i="25"/>
  <c r="K3328" i="25"/>
  <c r="L3328" i="25"/>
  <c r="G3327" i="25"/>
  <c r="I3327" i="25"/>
  <c r="K3327" i="25"/>
  <c r="L3327" i="25"/>
  <c r="G3326" i="25"/>
  <c r="I3326" i="25"/>
  <c r="K3326" i="25"/>
  <c r="L3326" i="25"/>
  <c r="G3325" i="25"/>
  <c r="I3325" i="25"/>
  <c r="K3325" i="25"/>
  <c r="L3325" i="25"/>
  <c r="G3324" i="25"/>
  <c r="I3324" i="25"/>
  <c r="K3324" i="25"/>
  <c r="L3324" i="25"/>
  <c r="G3323" i="25"/>
  <c r="I3323" i="25"/>
  <c r="K3323" i="25"/>
  <c r="L3323" i="25"/>
  <c r="G3322" i="25"/>
  <c r="I3322" i="25"/>
  <c r="K3322" i="25"/>
  <c r="L3322" i="25"/>
  <c r="G3321" i="25"/>
  <c r="I3321" i="25"/>
  <c r="K3321" i="25"/>
  <c r="L3321" i="25"/>
  <c r="G3320" i="25"/>
  <c r="I3320" i="25"/>
  <c r="K3320" i="25"/>
  <c r="L3320" i="25"/>
  <c r="G3319" i="25"/>
  <c r="I3319" i="25"/>
  <c r="K3319" i="25"/>
  <c r="L3319" i="25"/>
  <c r="G3318" i="25"/>
  <c r="I3318" i="25"/>
  <c r="K3318" i="25"/>
  <c r="L3318" i="25"/>
  <c r="G3317" i="25"/>
  <c r="I3317" i="25"/>
  <c r="K3317" i="25"/>
  <c r="L3317" i="25"/>
  <c r="G3316" i="25"/>
  <c r="I3316" i="25"/>
  <c r="K3316" i="25"/>
  <c r="L3316" i="25"/>
  <c r="G3315" i="25"/>
  <c r="I3315" i="25"/>
  <c r="K3315" i="25"/>
  <c r="L3315" i="25"/>
  <c r="G3314" i="25"/>
  <c r="I3314" i="25"/>
  <c r="K3314" i="25"/>
  <c r="L3314" i="25"/>
  <c r="G3313" i="25"/>
  <c r="I3313" i="25"/>
  <c r="K3313" i="25"/>
  <c r="L3313" i="25"/>
  <c r="G3312" i="25"/>
  <c r="I3312" i="25"/>
  <c r="K3312" i="25"/>
  <c r="L3312" i="25"/>
  <c r="G3311" i="25"/>
  <c r="I3311" i="25"/>
  <c r="K3311" i="25"/>
  <c r="L3311" i="25"/>
  <c r="G3310" i="25"/>
  <c r="I3310" i="25"/>
  <c r="K3310" i="25"/>
  <c r="L3310" i="25"/>
  <c r="G3309" i="25"/>
  <c r="I3309" i="25"/>
  <c r="K3309" i="25"/>
  <c r="L3309" i="25"/>
  <c r="G3308" i="25"/>
  <c r="I3308" i="25"/>
  <c r="K3308" i="25"/>
  <c r="L3308" i="25"/>
  <c r="G3307" i="25"/>
  <c r="I3307" i="25"/>
  <c r="K3307" i="25"/>
  <c r="L3307" i="25"/>
  <c r="G3306" i="25"/>
  <c r="I3306" i="25"/>
  <c r="K3306" i="25"/>
  <c r="L3306" i="25"/>
  <c r="G3305" i="25"/>
  <c r="I3305" i="25"/>
  <c r="K3305" i="25"/>
  <c r="L3305" i="25"/>
  <c r="G3304" i="25"/>
  <c r="I3304" i="25"/>
  <c r="K3304" i="25"/>
  <c r="L3304" i="25"/>
  <c r="G3303" i="25"/>
  <c r="I3303" i="25"/>
  <c r="K3303" i="25"/>
  <c r="L3303" i="25"/>
  <c r="G3302" i="25"/>
  <c r="I3302" i="25"/>
  <c r="K3302" i="25"/>
  <c r="L3302" i="25"/>
  <c r="G3301" i="25"/>
  <c r="I3301" i="25"/>
  <c r="K3301" i="25"/>
  <c r="L3301" i="25"/>
  <c r="G3300" i="25"/>
  <c r="I3300" i="25"/>
  <c r="K3300" i="25"/>
  <c r="L3300" i="25"/>
  <c r="G3299" i="25"/>
  <c r="I3299" i="25"/>
  <c r="K3299" i="25"/>
  <c r="L3299" i="25"/>
  <c r="G3298" i="25"/>
  <c r="I3298" i="25"/>
  <c r="K3298" i="25"/>
  <c r="L3298" i="25"/>
  <c r="G3297" i="25"/>
  <c r="I3297" i="25"/>
  <c r="K3297" i="25"/>
  <c r="L3297" i="25"/>
  <c r="G3296" i="25"/>
  <c r="I3296" i="25"/>
  <c r="K3296" i="25"/>
  <c r="L3296" i="25"/>
  <c r="G3295" i="25"/>
  <c r="I3295" i="25"/>
  <c r="K3295" i="25"/>
  <c r="L3295" i="25"/>
  <c r="G3294" i="25"/>
  <c r="I3294" i="25"/>
  <c r="K3294" i="25"/>
  <c r="L3294" i="25"/>
  <c r="G3293" i="25"/>
  <c r="I3293" i="25"/>
  <c r="K3293" i="25"/>
  <c r="L3293" i="25"/>
  <c r="G3292" i="25"/>
  <c r="I3292" i="25"/>
  <c r="K3292" i="25"/>
  <c r="L3292" i="25"/>
  <c r="G3291" i="25"/>
  <c r="I3291" i="25"/>
  <c r="K3291" i="25"/>
  <c r="L3291" i="25"/>
  <c r="G3290" i="25"/>
  <c r="I3290" i="25"/>
  <c r="K3290" i="25"/>
  <c r="L3290" i="25"/>
  <c r="G3289" i="25"/>
  <c r="I3289" i="25"/>
  <c r="K3289" i="25"/>
  <c r="L3289" i="25"/>
  <c r="G3288" i="25"/>
  <c r="I3288" i="25"/>
  <c r="K3288" i="25"/>
  <c r="L3288" i="25"/>
  <c r="G3287" i="25"/>
  <c r="I3287" i="25"/>
  <c r="K3287" i="25"/>
  <c r="L3287" i="25"/>
  <c r="G3286" i="25"/>
  <c r="I3286" i="25"/>
  <c r="K3286" i="25"/>
  <c r="L3286" i="25"/>
  <c r="G3285" i="25"/>
  <c r="I3285" i="25"/>
  <c r="K3285" i="25"/>
  <c r="L3285" i="25"/>
  <c r="G3284" i="25"/>
  <c r="I3284" i="25"/>
  <c r="K3284" i="25"/>
  <c r="L3284" i="25"/>
  <c r="G3283" i="25"/>
  <c r="I3283" i="25"/>
  <c r="K3283" i="25"/>
  <c r="L3283" i="25"/>
  <c r="G3282" i="25"/>
  <c r="I3282" i="25"/>
  <c r="K3282" i="25"/>
  <c r="L3282" i="25"/>
  <c r="G3281" i="25"/>
  <c r="I3281" i="25"/>
  <c r="K3281" i="25"/>
  <c r="L3281" i="25"/>
  <c r="G3280" i="25"/>
  <c r="I3280" i="25"/>
  <c r="K3280" i="25"/>
  <c r="L3280" i="25"/>
  <c r="G3279" i="25"/>
  <c r="I3279" i="25"/>
  <c r="K3279" i="25"/>
  <c r="L3279" i="25"/>
  <c r="G3278" i="25"/>
  <c r="I3278" i="25"/>
  <c r="K3278" i="25"/>
  <c r="L3278" i="25"/>
  <c r="G3277" i="25"/>
  <c r="I3277" i="25"/>
  <c r="K3277" i="25"/>
  <c r="L3277" i="25"/>
  <c r="G3276" i="25"/>
  <c r="I3276" i="25"/>
  <c r="K3276" i="25"/>
  <c r="L3276" i="25"/>
  <c r="G3275" i="25"/>
  <c r="I3275" i="25"/>
  <c r="K3275" i="25"/>
  <c r="L3275" i="25"/>
  <c r="G3274" i="25"/>
  <c r="I3274" i="25"/>
  <c r="K3274" i="25"/>
  <c r="L3274" i="25"/>
  <c r="G3273" i="25"/>
  <c r="I3273" i="25"/>
  <c r="K3273" i="25"/>
  <c r="L3273" i="25"/>
  <c r="G3272" i="25"/>
  <c r="I3272" i="25"/>
  <c r="K3272" i="25"/>
  <c r="L3272" i="25"/>
  <c r="G3271" i="25"/>
  <c r="I3271" i="25"/>
  <c r="K3271" i="25"/>
  <c r="L3271" i="25"/>
  <c r="G3270" i="25"/>
  <c r="I3270" i="25"/>
  <c r="K3270" i="25"/>
  <c r="L3270" i="25"/>
  <c r="G3269" i="25"/>
  <c r="I3269" i="25"/>
  <c r="K3269" i="25"/>
  <c r="L3269" i="25"/>
  <c r="G3268" i="25"/>
  <c r="I3268" i="25"/>
  <c r="K3268" i="25"/>
  <c r="L3268" i="25"/>
  <c r="G3267" i="25"/>
  <c r="I3267" i="25"/>
  <c r="K3267" i="25"/>
  <c r="L3267" i="25"/>
  <c r="G3266" i="25"/>
  <c r="I3266" i="25"/>
  <c r="K3266" i="25"/>
  <c r="L3266" i="25"/>
  <c r="G3265" i="25"/>
  <c r="I3265" i="25"/>
  <c r="K3265" i="25"/>
  <c r="L3265" i="25"/>
  <c r="G3264" i="25"/>
  <c r="I3264" i="25"/>
  <c r="K3264" i="25"/>
  <c r="L3264" i="25"/>
  <c r="G3263" i="25"/>
  <c r="I3263" i="25"/>
  <c r="K3263" i="25"/>
  <c r="L3263" i="25"/>
  <c r="G3262" i="25"/>
  <c r="I3262" i="25"/>
  <c r="K3262" i="25"/>
  <c r="L3262" i="25"/>
  <c r="G3261" i="25"/>
  <c r="I3261" i="25"/>
  <c r="K3261" i="25"/>
  <c r="L3261" i="25"/>
  <c r="G3260" i="25"/>
  <c r="I3260" i="25"/>
  <c r="K3260" i="25"/>
  <c r="L3260" i="25"/>
  <c r="G3259" i="25"/>
  <c r="I3259" i="25"/>
  <c r="K3259" i="25"/>
  <c r="L3259" i="25"/>
  <c r="G3258" i="25"/>
  <c r="I3258" i="25"/>
  <c r="K3258" i="25"/>
  <c r="L3258" i="25"/>
  <c r="G3257" i="25"/>
  <c r="I3257" i="25"/>
  <c r="K3257" i="25"/>
  <c r="L3257" i="25"/>
  <c r="G3256" i="25"/>
  <c r="I3256" i="25"/>
  <c r="K3256" i="25"/>
  <c r="L3256" i="25"/>
  <c r="G3255" i="25"/>
  <c r="I3255" i="25"/>
  <c r="K3255" i="25"/>
  <c r="L3255" i="25"/>
  <c r="G3254" i="25"/>
  <c r="I3254" i="25"/>
  <c r="K3254" i="25"/>
  <c r="L3254" i="25"/>
  <c r="G3253" i="25"/>
  <c r="I3253" i="25"/>
  <c r="K3253" i="25"/>
  <c r="L3253" i="25"/>
  <c r="G3252" i="25"/>
  <c r="I3252" i="25"/>
  <c r="K3252" i="25"/>
  <c r="L3252" i="25"/>
  <c r="G3251" i="25"/>
  <c r="I3251" i="25"/>
  <c r="K3251" i="25"/>
  <c r="L3251" i="25"/>
  <c r="G3250" i="25"/>
  <c r="I3250" i="25"/>
  <c r="K3250" i="25"/>
  <c r="L3250" i="25"/>
  <c r="G3249" i="25"/>
  <c r="I3249" i="25"/>
  <c r="K3249" i="25"/>
  <c r="L3249" i="25"/>
  <c r="G3248" i="25"/>
  <c r="I3248" i="25"/>
  <c r="K3248" i="25"/>
  <c r="L3248" i="25"/>
  <c r="G3247" i="25"/>
  <c r="I3247" i="25"/>
  <c r="K3247" i="25"/>
  <c r="L3247" i="25"/>
  <c r="G3246" i="25"/>
  <c r="I3246" i="25"/>
  <c r="K3246" i="25"/>
  <c r="L3246" i="25"/>
  <c r="G3245" i="25"/>
  <c r="I3245" i="25"/>
  <c r="K3245" i="25"/>
  <c r="L3245" i="25"/>
  <c r="G3244" i="25"/>
  <c r="I3244" i="25"/>
  <c r="K3244" i="25"/>
  <c r="L3244" i="25"/>
  <c r="G3243" i="25"/>
  <c r="I3243" i="25"/>
  <c r="K3243" i="25"/>
  <c r="L3243" i="25"/>
  <c r="G3242" i="25"/>
  <c r="I3242" i="25"/>
  <c r="K3242" i="25"/>
  <c r="L3242" i="25"/>
  <c r="G3241" i="25"/>
  <c r="I3241" i="25"/>
  <c r="K3241" i="25"/>
  <c r="L3241" i="25"/>
  <c r="G3240" i="25"/>
  <c r="I3240" i="25"/>
  <c r="K3240" i="25"/>
  <c r="L3240" i="25"/>
  <c r="G3239" i="25"/>
  <c r="I3239" i="25"/>
  <c r="K3239" i="25"/>
  <c r="L3239" i="25"/>
  <c r="G3238" i="25"/>
  <c r="I3238" i="25"/>
  <c r="K3238" i="25"/>
  <c r="L3238" i="25"/>
  <c r="G3237" i="25"/>
  <c r="I3237" i="25"/>
  <c r="K3237" i="25"/>
  <c r="L3237" i="25"/>
  <c r="G3236" i="25"/>
  <c r="I3236" i="25"/>
  <c r="K3236" i="25"/>
  <c r="L3236" i="25"/>
  <c r="G3235" i="25"/>
  <c r="I3235" i="25"/>
  <c r="K3235" i="25"/>
  <c r="L3235" i="25"/>
  <c r="G3234" i="25"/>
  <c r="I3234" i="25"/>
  <c r="K3234" i="25"/>
  <c r="L3234" i="25"/>
  <c r="G3233" i="25"/>
  <c r="I3233" i="25"/>
  <c r="K3233" i="25"/>
  <c r="L3233" i="25"/>
  <c r="G3232" i="25"/>
  <c r="I3232" i="25"/>
  <c r="K3232" i="25"/>
  <c r="L3232" i="25"/>
  <c r="G3231" i="25"/>
  <c r="I3231" i="25"/>
  <c r="K3231" i="25"/>
  <c r="L3231" i="25"/>
  <c r="G3230" i="25"/>
  <c r="I3230" i="25"/>
  <c r="K3230" i="25"/>
  <c r="L3230" i="25"/>
  <c r="G3229" i="25"/>
  <c r="I3229" i="25"/>
  <c r="K3229" i="25"/>
  <c r="L3229" i="25"/>
  <c r="G3228" i="25"/>
  <c r="I3228" i="25"/>
  <c r="K3228" i="25"/>
  <c r="L3228" i="25"/>
  <c r="G3227" i="25"/>
  <c r="I3227" i="25"/>
  <c r="K3227" i="25"/>
  <c r="L3227" i="25"/>
  <c r="G3226" i="25"/>
  <c r="I3226" i="25"/>
  <c r="K3226" i="25"/>
  <c r="L3226" i="25"/>
  <c r="G3225" i="25"/>
  <c r="I3225" i="25"/>
  <c r="K3225" i="25"/>
  <c r="L3225" i="25"/>
  <c r="G3224" i="25"/>
  <c r="I3224" i="25"/>
  <c r="K3224" i="25"/>
  <c r="L3224" i="25"/>
  <c r="G3223" i="25"/>
  <c r="I3223" i="25"/>
  <c r="K3223" i="25"/>
  <c r="L3223" i="25"/>
  <c r="G3222" i="25"/>
  <c r="I3222" i="25"/>
  <c r="K3222" i="25"/>
  <c r="L3222" i="25"/>
  <c r="G3221" i="25"/>
  <c r="I3221" i="25"/>
  <c r="K3221" i="25"/>
  <c r="L3221" i="25"/>
  <c r="G3220" i="25"/>
  <c r="I3220" i="25"/>
  <c r="K3220" i="25"/>
  <c r="L3220" i="25"/>
  <c r="G3219" i="25"/>
  <c r="I3219" i="25"/>
  <c r="K3219" i="25"/>
  <c r="L3219" i="25"/>
  <c r="G3218" i="25"/>
  <c r="I3218" i="25"/>
  <c r="K3218" i="25"/>
  <c r="L3218" i="25"/>
  <c r="G3217" i="25"/>
  <c r="I3217" i="25"/>
  <c r="K3217" i="25"/>
  <c r="L3217" i="25"/>
  <c r="G3216" i="25"/>
  <c r="I3216" i="25"/>
  <c r="K3216" i="25"/>
  <c r="L3216" i="25"/>
  <c r="G3215" i="25"/>
  <c r="I3215" i="25"/>
  <c r="K3215" i="25"/>
  <c r="L3215" i="25"/>
  <c r="G3214" i="25"/>
  <c r="I3214" i="25"/>
  <c r="K3214" i="25"/>
  <c r="L3214" i="25"/>
  <c r="G3213" i="25"/>
  <c r="I3213" i="25"/>
  <c r="K3213" i="25"/>
  <c r="L3213" i="25"/>
  <c r="G3212" i="25"/>
  <c r="I3212" i="25"/>
  <c r="K3212" i="25"/>
  <c r="L3212" i="25"/>
  <c r="G3211" i="25"/>
  <c r="I3211" i="25"/>
  <c r="K3211" i="25"/>
  <c r="L3211" i="25"/>
  <c r="G3210" i="25"/>
  <c r="I3210" i="25"/>
  <c r="K3210" i="25"/>
  <c r="L3210" i="25"/>
  <c r="G3209" i="25"/>
  <c r="I3209" i="25"/>
  <c r="K3209" i="25"/>
  <c r="L3209" i="25"/>
  <c r="G3208" i="25"/>
  <c r="I3208" i="25"/>
  <c r="K3208" i="25"/>
  <c r="L3208" i="25"/>
  <c r="G3207" i="25"/>
  <c r="I3207" i="25"/>
  <c r="K3207" i="25"/>
  <c r="L3207" i="25"/>
  <c r="G3206" i="25"/>
  <c r="I3206" i="25"/>
  <c r="K3206" i="25"/>
  <c r="L3206" i="25"/>
  <c r="G3205" i="25"/>
  <c r="I3205" i="25"/>
  <c r="K3205" i="25"/>
  <c r="L3205" i="25"/>
  <c r="G3204" i="25"/>
  <c r="I3204" i="25"/>
  <c r="K3204" i="25"/>
  <c r="L3204" i="25"/>
  <c r="G3203" i="25"/>
  <c r="I3203" i="25"/>
  <c r="K3203" i="25"/>
  <c r="L3203" i="25"/>
  <c r="G3202" i="25"/>
  <c r="I3202" i="25"/>
  <c r="K3202" i="25"/>
  <c r="L3202" i="25"/>
  <c r="G3201" i="25"/>
  <c r="I3201" i="25"/>
  <c r="K3201" i="25"/>
  <c r="L3201" i="25"/>
  <c r="G3200" i="25"/>
  <c r="I3200" i="25"/>
  <c r="K3200" i="25"/>
  <c r="L3200" i="25"/>
  <c r="G3199" i="25"/>
  <c r="I3199" i="25"/>
  <c r="K3199" i="25"/>
  <c r="L3199" i="25"/>
  <c r="G3198" i="25"/>
  <c r="I3198" i="25"/>
  <c r="K3198" i="25"/>
  <c r="L3198" i="25"/>
  <c r="G3197" i="25"/>
  <c r="I3197" i="25"/>
  <c r="K3197" i="25"/>
  <c r="L3197" i="25"/>
  <c r="G3196" i="25"/>
  <c r="I3196" i="25"/>
  <c r="K3196" i="25"/>
  <c r="L3196" i="25"/>
  <c r="G3195" i="25"/>
  <c r="I3195" i="25"/>
  <c r="K3195" i="25"/>
  <c r="L3195" i="25"/>
  <c r="G3194" i="25"/>
  <c r="I3194" i="25"/>
  <c r="K3194" i="25"/>
  <c r="L3194" i="25"/>
  <c r="G3193" i="25"/>
  <c r="I3193" i="25"/>
  <c r="K3193" i="25"/>
  <c r="L3193" i="25"/>
  <c r="G3192" i="25"/>
  <c r="I3192" i="25"/>
  <c r="K3192" i="25"/>
  <c r="L3192" i="25"/>
  <c r="G3191" i="25"/>
  <c r="I3191" i="25"/>
  <c r="K3191" i="25"/>
  <c r="L3191" i="25"/>
  <c r="G3190" i="25"/>
  <c r="I3190" i="25"/>
  <c r="K3190" i="25"/>
  <c r="L3190" i="25"/>
  <c r="G3189" i="25"/>
  <c r="I3189" i="25"/>
  <c r="K3189" i="25"/>
  <c r="L3189" i="25"/>
  <c r="G3188" i="25"/>
  <c r="I3188" i="25"/>
  <c r="K3188" i="25"/>
  <c r="L3188" i="25"/>
  <c r="G3187" i="25"/>
  <c r="I3187" i="25"/>
  <c r="K3187" i="25"/>
  <c r="L3187" i="25"/>
  <c r="G3186" i="25"/>
  <c r="I3186" i="25"/>
  <c r="K3186" i="25"/>
  <c r="L3186" i="25"/>
  <c r="G3185" i="25"/>
  <c r="I3185" i="25"/>
  <c r="K3185" i="25"/>
  <c r="L3185" i="25"/>
  <c r="G3184" i="25"/>
  <c r="I3184" i="25"/>
  <c r="K3184" i="25"/>
  <c r="L3184" i="25"/>
  <c r="G3183" i="25"/>
  <c r="I3183" i="25"/>
  <c r="K3183" i="25"/>
  <c r="L3183" i="25"/>
  <c r="G3182" i="25"/>
  <c r="I3182" i="25"/>
  <c r="K3182" i="25"/>
  <c r="L3182" i="25"/>
  <c r="G3181" i="25"/>
  <c r="I3181" i="25"/>
  <c r="K3181" i="25"/>
  <c r="L3181" i="25"/>
  <c r="G3180" i="25"/>
  <c r="I3180" i="25"/>
  <c r="K3180" i="25"/>
  <c r="L3180" i="25"/>
  <c r="G3179" i="25"/>
  <c r="I3179" i="25"/>
  <c r="K3179" i="25"/>
  <c r="L3179" i="25"/>
  <c r="G3178" i="25"/>
  <c r="I3178" i="25"/>
  <c r="K3178" i="25"/>
  <c r="L3178" i="25"/>
  <c r="G3177" i="25"/>
  <c r="I3177" i="25"/>
  <c r="K3177" i="25"/>
  <c r="L3177" i="25"/>
  <c r="G3176" i="25"/>
  <c r="I3176" i="25"/>
  <c r="K3176" i="25"/>
  <c r="L3176" i="25"/>
  <c r="G3175" i="25"/>
  <c r="I3175" i="25"/>
  <c r="K3175" i="25"/>
  <c r="L3175" i="25"/>
  <c r="G3174" i="25"/>
  <c r="I3174" i="25"/>
  <c r="K3174" i="25"/>
  <c r="L3174" i="25"/>
  <c r="G3173" i="25"/>
  <c r="I3173" i="25"/>
  <c r="K3173" i="25"/>
  <c r="L3173" i="25"/>
  <c r="G3172" i="25"/>
  <c r="I3172" i="25"/>
  <c r="K3172" i="25"/>
  <c r="L3172" i="25"/>
  <c r="G3171" i="25"/>
  <c r="I3171" i="25"/>
  <c r="K3171" i="25"/>
  <c r="L3171" i="25"/>
  <c r="G3170" i="25"/>
  <c r="I3170" i="25"/>
  <c r="K3170" i="25"/>
  <c r="L3170" i="25"/>
  <c r="G3169" i="25"/>
  <c r="I3169" i="25"/>
  <c r="K3169" i="25"/>
  <c r="L3169" i="25"/>
  <c r="G3168" i="25"/>
  <c r="I3168" i="25"/>
  <c r="K3168" i="25"/>
  <c r="L3168" i="25"/>
  <c r="G3167" i="25"/>
  <c r="I3167" i="25"/>
  <c r="K3167" i="25"/>
  <c r="L3167" i="25"/>
  <c r="G3166" i="25"/>
  <c r="I3166" i="25"/>
  <c r="K3166" i="25"/>
  <c r="L3166" i="25"/>
  <c r="G3165" i="25"/>
  <c r="I3165" i="25"/>
  <c r="K3165" i="25"/>
  <c r="L3165" i="25"/>
  <c r="G3164" i="25"/>
  <c r="I3164" i="25"/>
  <c r="K3164" i="25"/>
  <c r="L3164" i="25"/>
  <c r="G3163" i="25"/>
  <c r="I3163" i="25"/>
  <c r="K3163" i="25"/>
  <c r="L3163" i="25"/>
  <c r="G3162" i="25"/>
  <c r="I3162" i="25"/>
  <c r="K3162" i="25"/>
  <c r="L3162" i="25"/>
  <c r="G3161" i="25"/>
  <c r="I3161" i="25"/>
  <c r="K3161" i="25"/>
  <c r="L3161" i="25"/>
  <c r="G3160" i="25"/>
  <c r="I3160" i="25"/>
  <c r="K3160" i="25"/>
  <c r="L3160" i="25"/>
  <c r="G3159" i="25"/>
  <c r="I3159" i="25"/>
  <c r="K3159" i="25"/>
  <c r="L3159" i="25"/>
  <c r="G3158" i="25"/>
  <c r="I3158" i="25"/>
  <c r="K3158" i="25"/>
  <c r="L3158" i="25"/>
  <c r="G3157" i="25"/>
  <c r="I3157" i="25"/>
  <c r="K3157" i="25"/>
  <c r="L3157" i="25"/>
  <c r="G3156" i="25"/>
  <c r="I3156" i="25"/>
  <c r="K3156" i="25"/>
  <c r="L3156" i="25"/>
  <c r="G3155" i="25"/>
  <c r="I3155" i="25"/>
  <c r="K3155" i="25"/>
  <c r="L3155" i="25"/>
  <c r="G3154" i="25"/>
  <c r="I3154" i="25"/>
  <c r="K3154" i="25"/>
  <c r="L3154" i="25"/>
  <c r="G3153" i="25"/>
  <c r="I3153" i="25"/>
  <c r="K3153" i="25"/>
  <c r="L3153" i="25"/>
  <c r="G3152" i="25"/>
  <c r="I3152" i="25"/>
  <c r="K3152" i="25"/>
  <c r="L3152" i="25"/>
  <c r="G3151" i="25"/>
  <c r="I3151" i="25"/>
  <c r="K3151" i="25"/>
  <c r="L3151" i="25"/>
  <c r="G3150" i="25"/>
  <c r="I3150" i="25"/>
  <c r="K3150" i="25"/>
  <c r="L3150" i="25"/>
  <c r="G3149" i="25"/>
  <c r="I3149" i="25"/>
  <c r="K3149" i="25"/>
  <c r="L3149" i="25"/>
  <c r="G3148" i="25"/>
  <c r="I3148" i="25"/>
  <c r="K3148" i="25"/>
  <c r="L3148" i="25"/>
  <c r="G3147" i="25"/>
  <c r="I3147" i="25"/>
  <c r="K3147" i="25"/>
  <c r="L3147" i="25"/>
  <c r="G3146" i="25"/>
  <c r="I3146" i="25"/>
  <c r="K3146" i="25"/>
  <c r="L3146" i="25"/>
  <c r="G3145" i="25"/>
  <c r="I3145" i="25"/>
  <c r="K3145" i="25"/>
  <c r="L3145" i="25"/>
  <c r="G3144" i="25"/>
  <c r="I3144" i="25"/>
  <c r="K3144" i="25"/>
  <c r="L3144" i="25"/>
  <c r="G3143" i="25"/>
  <c r="I3143" i="25"/>
  <c r="K3143" i="25"/>
  <c r="L3143" i="25"/>
  <c r="G3142" i="25"/>
  <c r="I3142" i="25"/>
  <c r="K3142" i="25"/>
  <c r="L3142" i="25"/>
  <c r="G3141" i="25"/>
  <c r="I3141" i="25"/>
  <c r="K3141" i="25"/>
  <c r="L3141" i="25"/>
  <c r="G3140" i="25"/>
  <c r="I3140" i="25"/>
  <c r="K3140" i="25"/>
  <c r="L3140" i="25"/>
  <c r="G3139" i="25"/>
  <c r="I3139" i="25"/>
  <c r="K3139" i="25"/>
  <c r="L3139" i="25"/>
  <c r="G3138" i="25"/>
  <c r="I3138" i="25"/>
  <c r="K3138" i="25"/>
  <c r="L3138" i="25"/>
  <c r="G3137" i="25"/>
  <c r="I3137" i="25"/>
  <c r="K3137" i="25"/>
  <c r="L3137" i="25"/>
  <c r="G3136" i="25"/>
  <c r="I3136" i="25"/>
  <c r="K3136" i="25"/>
  <c r="L3136" i="25"/>
  <c r="G3135" i="25"/>
  <c r="I3135" i="25"/>
  <c r="K3135" i="25"/>
  <c r="L3135" i="25"/>
  <c r="G3134" i="25"/>
  <c r="I3134" i="25"/>
  <c r="K3134" i="25"/>
  <c r="L3134" i="25"/>
  <c r="G3133" i="25"/>
  <c r="I3133" i="25"/>
  <c r="K3133" i="25"/>
  <c r="L3133" i="25"/>
  <c r="G3132" i="25"/>
  <c r="I3132" i="25"/>
  <c r="K3132" i="25"/>
  <c r="L3132" i="25"/>
  <c r="G3131" i="25"/>
  <c r="I3131" i="25"/>
  <c r="K3131" i="25"/>
  <c r="L3131" i="25"/>
  <c r="G3130" i="25"/>
  <c r="I3130" i="25"/>
  <c r="K3130" i="25"/>
  <c r="L3130" i="25"/>
  <c r="G3129" i="25"/>
  <c r="I3129" i="25"/>
  <c r="K3129" i="25"/>
  <c r="L3129" i="25"/>
  <c r="G3128" i="25"/>
  <c r="I3128" i="25"/>
  <c r="K3128" i="25"/>
  <c r="L3128" i="25"/>
  <c r="G3127" i="25"/>
  <c r="I3127" i="25"/>
  <c r="K3127" i="25"/>
  <c r="L3127" i="25"/>
  <c r="G3126" i="25"/>
  <c r="I3126" i="25"/>
  <c r="K3126" i="25"/>
  <c r="L3126" i="25"/>
  <c r="G3125" i="25"/>
  <c r="I3125" i="25"/>
  <c r="K3125" i="25"/>
  <c r="L3125" i="25"/>
  <c r="G3124" i="25"/>
  <c r="I3124" i="25"/>
  <c r="K3124" i="25"/>
  <c r="L3124" i="25"/>
  <c r="G3123" i="25"/>
  <c r="I3123" i="25"/>
  <c r="K3123" i="25"/>
  <c r="L3123" i="25"/>
  <c r="G3122" i="25"/>
  <c r="I3122" i="25"/>
  <c r="K3122" i="25"/>
  <c r="L3122" i="25"/>
  <c r="G3121" i="25"/>
  <c r="I3121" i="25"/>
  <c r="K3121" i="25"/>
  <c r="L3121" i="25"/>
  <c r="G3120" i="25"/>
  <c r="I3120" i="25"/>
  <c r="K3120" i="25"/>
  <c r="L3120" i="25"/>
  <c r="G3119" i="25"/>
  <c r="I3119" i="25"/>
  <c r="K3119" i="25"/>
  <c r="L3119" i="25"/>
  <c r="G3118" i="25"/>
  <c r="I3118" i="25"/>
  <c r="K3118" i="25"/>
  <c r="L3118" i="25"/>
  <c r="G3117" i="25"/>
  <c r="I3117" i="25"/>
  <c r="K3117" i="25"/>
  <c r="L3117" i="25"/>
  <c r="G3116" i="25"/>
  <c r="I3116" i="25"/>
  <c r="K3116" i="25"/>
  <c r="L3116" i="25"/>
  <c r="G3115" i="25"/>
  <c r="I3115" i="25"/>
  <c r="K3115" i="25"/>
  <c r="L3115" i="25"/>
  <c r="G3114" i="25"/>
  <c r="I3114" i="25"/>
  <c r="K3114" i="25"/>
  <c r="L3114" i="25"/>
  <c r="G3113" i="25"/>
  <c r="I3113" i="25"/>
  <c r="K3113" i="25"/>
  <c r="L3113" i="25"/>
  <c r="G3112" i="25"/>
  <c r="I3112" i="25"/>
  <c r="K3112" i="25"/>
  <c r="L3112" i="25"/>
  <c r="G3111" i="25"/>
  <c r="I3111" i="25"/>
  <c r="K3111" i="25"/>
  <c r="L3111" i="25"/>
  <c r="G3110" i="25"/>
  <c r="I3110" i="25"/>
  <c r="K3110" i="25"/>
  <c r="L3110" i="25"/>
  <c r="G3109" i="25"/>
  <c r="I3109" i="25"/>
  <c r="K3109" i="25"/>
  <c r="L3109" i="25"/>
  <c r="G3108" i="25"/>
  <c r="I3108" i="25"/>
  <c r="K3108" i="25"/>
  <c r="L3108" i="25"/>
  <c r="G3107" i="25"/>
  <c r="I3107" i="25"/>
  <c r="K3107" i="25"/>
  <c r="L3107" i="25"/>
  <c r="G3106" i="25"/>
  <c r="I3106" i="25"/>
  <c r="K3106" i="25"/>
  <c r="L3106" i="25"/>
  <c r="G3105" i="25"/>
  <c r="I3105" i="25"/>
  <c r="K3105" i="25"/>
  <c r="L3105" i="25"/>
  <c r="G3104" i="25"/>
  <c r="I3104" i="25"/>
  <c r="K3104" i="25"/>
  <c r="L3104" i="25"/>
  <c r="G3103" i="25"/>
  <c r="I3103" i="25"/>
  <c r="K3103" i="25"/>
  <c r="L3103" i="25"/>
  <c r="G3102" i="25"/>
  <c r="I3102" i="25"/>
  <c r="K3102" i="25"/>
  <c r="L3102" i="25"/>
  <c r="G3101" i="25"/>
  <c r="I3101" i="25"/>
  <c r="K3101" i="25"/>
  <c r="L3101" i="25"/>
  <c r="G3100" i="25"/>
  <c r="I3100" i="25"/>
  <c r="K3100" i="25"/>
  <c r="L3100" i="25"/>
  <c r="G3099" i="25"/>
  <c r="I3099" i="25"/>
  <c r="K3099" i="25"/>
  <c r="L3099" i="25"/>
  <c r="G3098" i="25"/>
  <c r="I3098" i="25"/>
  <c r="K3098" i="25"/>
  <c r="L3098" i="25"/>
  <c r="G3097" i="25"/>
  <c r="I3097" i="25"/>
  <c r="K3097" i="25"/>
  <c r="L3097" i="25"/>
  <c r="G3096" i="25"/>
  <c r="I3096" i="25"/>
  <c r="K3096" i="25"/>
  <c r="L3096" i="25"/>
  <c r="G3095" i="25"/>
  <c r="I3095" i="25"/>
  <c r="K3095" i="25"/>
  <c r="L3095" i="25"/>
  <c r="G3094" i="25"/>
  <c r="I3094" i="25"/>
  <c r="K3094" i="25"/>
  <c r="L3094" i="25"/>
  <c r="G3093" i="25"/>
  <c r="I3093" i="25"/>
  <c r="K3093" i="25"/>
  <c r="L3093" i="25"/>
  <c r="G3092" i="25"/>
  <c r="I3092" i="25"/>
  <c r="K3092" i="25"/>
  <c r="L3092" i="25"/>
  <c r="G3091" i="25"/>
  <c r="I3091" i="25"/>
  <c r="K3091" i="25"/>
  <c r="L3091" i="25"/>
  <c r="G3090" i="25"/>
  <c r="I3090" i="25"/>
  <c r="K3090" i="25"/>
  <c r="L3090" i="25"/>
  <c r="G3089" i="25"/>
  <c r="I3089" i="25"/>
  <c r="K3089" i="25"/>
  <c r="L3089" i="25"/>
  <c r="G3088" i="25"/>
  <c r="I3088" i="25"/>
  <c r="K3088" i="25"/>
  <c r="L3088" i="25"/>
  <c r="G3087" i="25"/>
  <c r="I3087" i="25"/>
  <c r="K3087" i="25"/>
  <c r="L3087" i="25"/>
  <c r="G3086" i="25"/>
  <c r="I3086" i="25"/>
  <c r="K3086" i="25"/>
  <c r="L3086" i="25"/>
  <c r="G3085" i="25"/>
  <c r="I3085" i="25"/>
  <c r="K3085" i="25"/>
  <c r="L3085" i="25"/>
  <c r="G3084" i="25"/>
  <c r="I3084" i="25"/>
  <c r="K3084" i="25"/>
  <c r="L3084" i="25"/>
  <c r="G3083" i="25"/>
  <c r="I3083" i="25"/>
  <c r="K3083" i="25"/>
  <c r="L3083" i="25"/>
  <c r="G3082" i="25"/>
  <c r="I3082" i="25"/>
  <c r="K3082" i="25"/>
  <c r="L3082" i="25"/>
  <c r="G3081" i="25"/>
  <c r="I3081" i="25"/>
  <c r="K3081" i="25"/>
  <c r="L3081" i="25"/>
  <c r="G3080" i="25"/>
  <c r="I3080" i="25"/>
  <c r="K3080" i="25"/>
  <c r="L3080" i="25"/>
  <c r="G3079" i="25"/>
  <c r="I3079" i="25"/>
  <c r="K3079" i="25"/>
  <c r="L3079" i="25"/>
  <c r="G3078" i="25"/>
  <c r="I3078" i="25"/>
  <c r="K3078" i="25"/>
  <c r="L3078" i="25"/>
  <c r="G3077" i="25"/>
  <c r="I3077" i="25"/>
  <c r="K3077" i="25"/>
  <c r="L3077" i="25"/>
  <c r="G3076" i="25"/>
  <c r="I3076" i="25"/>
  <c r="K3076" i="25"/>
  <c r="L3076" i="25"/>
  <c r="G3075" i="25"/>
  <c r="I3075" i="25"/>
  <c r="K3075" i="25"/>
  <c r="L3075" i="25"/>
  <c r="G3074" i="25"/>
  <c r="I3074" i="25"/>
  <c r="K3074" i="25"/>
  <c r="L3074" i="25"/>
  <c r="G3073" i="25"/>
  <c r="I3073" i="25"/>
  <c r="K3073" i="25"/>
  <c r="L3073" i="25"/>
  <c r="G3072" i="25"/>
  <c r="I3072" i="25"/>
  <c r="K3072" i="25"/>
  <c r="L3072" i="25"/>
  <c r="G3071" i="25"/>
  <c r="I3071" i="25"/>
  <c r="K3071" i="25"/>
  <c r="L3071" i="25"/>
  <c r="G3070" i="25"/>
  <c r="I3070" i="25"/>
  <c r="K3070" i="25"/>
  <c r="L3070" i="25"/>
  <c r="G3069" i="25"/>
  <c r="I3069" i="25"/>
  <c r="K3069" i="25"/>
  <c r="L3069" i="25"/>
  <c r="G3068" i="25"/>
  <c r="I3068" i="25"/>
  <c r="K3068" i="25"/>
  <c r="L3068" i="25"/>
  <c r="G3067" i="25"/>
  <c r="I3067" i="25"/>
  <c r="K3067" i="25"/>
  <c r="L3067" i="25"/>
  <c r="G3066" i="25"/>
  <c r="I3066" i="25"/>
  <c r="K3066" i="25"/>
  <c r="L3066" i="25"/>
  <c r="G3065" i="25"/>
  <c r="I3065" i="25"/>
  <c r="K3065" i="25"/>
  <c r="L3065" i="25"/>
  <c r="G3064" i="25"/>
  <c r="I3064" i="25"/>
  <c r="K3064" i="25"/>
  <c r="L3064" i="25"/>
  <c r="G3063" i="25"/>
  <c r="I3063" i="25"/>
  <c r="K3063" i="25"/>
  <c r="L3063" i="25"/>
  <c r="G3062" i="25"/>
  <c r="I3062" i="25"/>
  <c r="K3062" i="25"/>
  <c r="L3062" i="25"/>
  <c r="G3061" i="25"/>
  <c r="I3061" i="25"/>
  <c r="K3061" i="25"/>
  <c r="L3061" i="25"/>
  <c r="G3060" i="25"/>
  <c r="I3060" i="25"/>
  <c r="K3060" i="25"/>
  <c r="L3060" i="25"/>
  <c r="G3059" i="25"/>
  <c r="I3059" i="25"/>
  <c r="K3059" i="25"/>
  <c r="L3059" i="25"/>
  <c r="G3058" i="25"/>
  <c r="I3058" i="25"/>
  <c r="K3058" i="25"/>
  <c r="L3058" i="25"/>
  <c r="G3057" i="25"/>
  <c r="I3057" i="25"/>
  <c r="K3057" i="25"/>
  <c r="L3057" i="25"/>
  <c r="G3056" i="25"/>
  <c r="I3056" i="25"/>
  <c r="K3056" i="25"/>
  <c r="L3056" i="25"/>
  <c r="G3055" i="25"/>
  <c r="I3055" i="25"/>
  <c r="K3055" i="25"/>
  <c r="L3055" i="25"/>
  <c r="G3054" i="25"/>
  <c r="I3054" i="25"/>
  <c r="K3054" i="25"/>
  <c r="L3054" i="25"/>
  <c r="G3053" i="25"/>
  <c r="I3053" i="25"/>
  <c r="K3053" i="25"/>
  <c r="L3053" i="25"/>
  <c r="G3052" i="25"/>
  <c r="I3052" i="25"/>
  <c r="K3052" i="25"/>
  <c r="L3052" i="25"/>
  <c r="G3051" i="25"/>
  <c r="I3051" i="25"/>
  <c r="K3051" i="25"/>
  <c r="L3051" i="25"/>
  <c r="G3050" i="25"/>
  <c r="I3050" i="25"/>
  <c r="K3050" i="25"/>
  <c r="L3050" i="25"/>
  <c r="G3049" i="25"/>
  <c r="I3049" i="25"/>
  <c r="K3049" i="25"/>
  <c r="L3049" i="25"/>
  <c r="G3048" i="25"/>
  <c r="I3048" i="25"/>
  <c r="K3048" i="25"/>
  <c r="L3048" i="25"/>
  <c r="G3047" i="25"/>
  <c r="I3047" i="25"/>
  <c r="K3047" i="25"/>
  <c r="L3047" i="25"/>
  <c r="G3046" i="25"/>
  <c r="I3046" i="25"/>
  <c r="K3046" i="25"/>
  <c r="L3046" i="25"/>
  <c r="G3045" i="25"/>
  <c r="I3045" i="25"/>
  <c r="K3045" i="25"/>
  <c r="L3045" i="25"/>
  <c r="G3044" i="25"/>
  <c r="I3044" i="25"/>
  <c r="K3044" i="25"/>
  <c r="L3044" i="25"/>
  <c r="G3043" i="25"/>
  <c r="I3043" i="25"/>
  <c r="K3043" i="25"/>
  <c r="L3043" i="25"/>
  <c r="G3042" i="25"/>
  <c r="I3042" i="25"/>
  <c r="K3042" i="25"/>
  <c r="L3042" i="25"/>
  <c r="G3041" i="25"/>
  <c r="I3041" i="25"/>
  <c r="K3041" i="25"/>
  <c r="L3041" i="25"/>
  <c r="G3040" i="25"/>
  <c r="I3040" i="25"/>
  <c r="K3040" i="25"/>
  <c r="L3040" i="25"/>
  <c r="G3039" i="25"/>
  <c r="I3039" i="25"/>
  <c r="K3039" i="25"/>
  <c r="L3039" i="25"/>
  <c r="G3038" i="25"/>
  <c r="I3038" i="25"/>
  <c r="K3038" i="25"/>
  <c r="L3038" i="25"/>
  <c r="G3037" i="25"/>
  <c r="I3037" i="25"/>
  <c r="K3037" i="25"/>
  <c r="L3037" i="25"/>
  <c r="G3036" i="25"/>
  <c r="I3036" i="25"/>
  <c r="K3036" i="25"/>
  <c r="L3036" i="25"/>
  <c r="G3035" i="25"/>
  <c r="I3035" i="25"/>
  <c r="K3035" i="25"/>
  <c r="L3035" i="25"/>
  <c r="G3034" i="25"/>
  <c r="I3034" i="25"/>
  <c r="K3034" i="25"/>
  <c r="L3034" i="25"/>
  <c r="G3033" i="25"/>
  <c r="I3033" i="25"/>
  <c r="K3033" i="25"/>
  <c r="L3033" i="25"/>
  <c r="G3032" i="25"/>
  <c r="I3032" i="25"/>
  <c r="K3032" i="25"/>
  <c r="L3032" i="25"/>
  <c r="G3031" i="25"/>
  <c r="I3031" i="25"/>
  <c r="K3031" i="25"/>
  <c r="L3031" i="25"/>
  <c r="G3030" i="25"/>
  <c r="I3030" i="25"/>
  <c r="K3030" i="25"/>
  <c r="L3030" i="25"/>
  <c r="G3029" i="25"/>
  <c r="I3029" i="25"/>
  <c r="K3029" i="25"/>
  <c r="L3029" i="25"/>
  <c r="G3028" i="25"/>
  <c r="I3028" i="25"/>
  <c r="K3028" i="25"/>
  <c r="L3028" i="25"/>
  <c r="G3027" i="25"/>
  <c r="I3027" i="25"/>
  <c r="K3027" i="25"/>
  <c r="L3027" i="25"/>
  <c r="G3026" i="25"/>
  <c r="I3026" i="25"/>
  <c r="K3026" i="25"/>
  <c r="L3026" i="25"/>
  <c r="G3025" i="25"/>
  <c r="I3025" i="25"/>
  <c r="K3025" i="25"/>
  <c r="L3025" i="25"/>
  <c r="G3024" i="25"/>
  <c r="I3024" i="25"/>
  <c r="K3024" i="25"/>
  <c r="L3024" i="25"/>
  <c r="G3023" i="25"/>
  <c r="I3023" i="25"/>
  <c r="K3023" i="25"/>
  <c r="L3023" i="25"/>
  <c r="G3022" i="25"/>
  <c r="I3022" i="25"/>
  <c r="K3022" i="25"/>
  <c r="L3022" i="25"/>
  <c r="G3021" i="25"/>
  <c r="I3021" i="25"/>
  <c r="K3021" i="25"/>
  <c r="L3021" i="25"/>
  <c r="G3020" i="25"/>
  <c r="I3020" i="25"/>
  <c r="K3020" i="25"/>
  <c r="L3020" i="25"/>
  <c r="G3019" i="25"/>
  <c r="I3019" i="25"/>
  <c r="K3019" i="25"/>
  <c r="L3019" i="25"/>
  <c r="G3018" i="25"/>
  <c r="I3018" i="25"/>
  <c r="K3018" i="25"/>
  <c r="L3018" i="25"/>
  <c r="G3017" i="25"/>
  <c r="I3017" i="25"/>
  <c r="K3017" i="25"/>
  <c r="L3017" i="25"/>
  <c r="G3016" i="25"/>
  <c r="I3016" i="25"/>
  <c r="K3016" i="25"/>
  <c r="L3016" i="25"/>
  <c r="G3015" i="25"/>
  <c r="I3015" i="25"/>
  <c r="K3015" i="25"/>
  <c r="L3015" i="25"/>
  <c r="G3014" i="25"/>
  <c r="I3014" i="25"/>
  <c r="K3014" i="25"/>
  <c r="L3014" i="25"/>
  <c r="G3013" i="25"/>
  <c r="I3013" i="25"/>
  <c r="K3013" i="25"/>
  <c r="L3013" i="25"/>
  <c r="G3012" i="25"/>
  <c r="I3012" i="25"/>
  <c r="K3012" i="25"/>
  <c r="L3012" i="25"/>
  <c r="G3011" i="25"/>
  <c r="I3011" i="25"/>
  <c r="K3011" i="25"/>
  <c r="L3011" i="25"/>
  <c r="G3010" i="25"/>
  <c r="I3010" i="25"/>
  <c r="K3010" i="25"/>
  <c r="L3010" i="25"/>
  <c r="G3009" i="25"/>
  <c r="I3009" i="25"/>
  <c r="K3009" i="25"/>
  <c r="L3009" i="25"/>
  <c r="G3008" i="25"/>
  <c r="I3008" i="25"/>
  <c r="K3008" i="25"/>
  <c r="L3008" i="25"/>
  <c r="G3007" i="25"/>
  <c r="I3007" i="25"/>
  <c r="K3007" i="25"/>
  <c r="L3007" i="25"/>
  <c r="G3006" i="25"/>
  <c r="I3006" i="25"/>
  <c r="K3006" i="25"/>
  <c r="L3006" i="25"/>
  <c r="G3005" i="25"/>
  <c r="I3005" i="25"/>
  <c r="K3005" i="25"/>
  <c r="L3005" i="25"/>
  <c r="G3004" i="25"/>
  <c r="I3004" i="25"/>
  <c r="K3004" i="25"/>
  <c r="L3004" i="25"/>
  <c r="G3003" i="25"/>
  <c r="I3003" i="25"/>
  <c r="K3003" i="25"/>
  <c r="L3003" i="25"/>
  <c r="G3002" i="25"/>
  <c r="I3002" i="25"/>
  <c r="K3002" i="25"/>
  <c r="L3002" i="25"/>
  <c r="G3001" i="25"/>
  <c r="I3001" i="25"/>
  <c r="K3001" i="25"/>
  <c r="L3001" i="25"/>
  <c r="G3000" i="25"/>
  <c r="I3000" i="25"/>
  <c r="K3000" i="25"/>
  <c r="L3000" i="25"/>
  <c r="G2999" i="25"/>
  <c r="I2999" i="25"/>
  <c r="K2999" i="25"/>
  <c r="L2999" i="25"/>
  <c r="G2998" i="25"/>
  <c r="I2998" i="25"/>
  <c r="K2998" i="25"/>
  <c r="L2998" i="25"/>
  <c r="G2997" i="25"/>
  <c r="I2997" i="25"/>
  <c r="K2997" i="25"/>
  <c r="L2997" i="25"/>
  <c r="G2996" i="25"/>
  <c r="I2996" i="25"/>
  <c r="K2996" i="25"/>
  <c r="L2996" i="25"/>
  <c r="G2995" i="25"/>
  <c r="I2995" i="25"/>
  <c r="K2995" i="25"/>
  <c r="L2995" i="25"/>
  <c r="G2994" i="25"/>
  <c r="I2994" i="25"/>
  <c r="K2994" i="25"/>
  <c r="L2994" i="25"/>
  <c r="G2993" i="25"/>
  <c r="I2993" i="25"/>
  <c r="K2993" i="25"/>
  <c r="L2993" i="25"/>
  <c r="G2992" i="25"/>
  <c r="I2992" i="25"/>
  <c r="K2992" i="25"/>
  <c r="L2992" i="25"/>
  <c r="G2991" i="25"/>
  <c r="I2991" i="25"/>
  <c r="K2991" i="25"/>
  <c r="L2991" i="25"/>
  <c r="G2990" i="25"/>
  <c r="I2990" i="25"/>
  <c r="K2990" i="25"/>
  <c r="L2990" i="25"/>
  <c r="G2989" i="25"/>
  <c r="I2989" i="25"/>
  <c r="K2989" i="25"/>
  <c r="L2989" i="25"/>
  <c r="G2988" i="25"/>
  <c r="I2988" i="25"/>
  <c r="K2988" i="25"/>
  <c r="L2988" i="25"/>
  <c r="G2987" i="25"/>
  <c r="I2987" i="25"/>
  <c r="K2987" i="25"/>
  <c r="L2987" i="25"/>
  <c r="G2986" i="25"/>
  <c r="I2986" i="25"/>
  <c r="K2986" i="25"/>
  <c r="L2986" i="25"/>
  <c r="G2985" i="25"/>
  <c r="I2985" i="25"/>
  <c r="K2985" i="25"/>
  <c r="L2985" i="25"/>
  <c r="G2984" i="25"/>
  <c r="I2984" i="25"/>
  <c r="K2984" i="25"/>
  <c r="L2984" i="25"/>
  <c r="G2983" i="25"/>
  <c r="I2983" i="25"/>
  <c r="K2983" i="25"/>
  <c r="L2983" i="25"/>
  <c r="G2982" i="25"/>
  <c r="I2982" i="25"/>
  <c r="K2982" i="25"/>
  <c r="L2982" i="25"/>
  <c r="G2981" i="25"/>
  <c r="I2981" i="25"/>
  <c r="K2981" i="25"/>
  <c r="L2981" i="25"/>
  <c r="G2980" i="25"/>
  <c r="I2980" i="25"/>
  <c r="K2980" i="25"/>
  <c r="L2980" i="25"/>
  <c r="G2979" i="25"/>
  <c r="I2979" i="25"/>
  <c r="K2979" i="25"/>
  <c r="L2979" i="25"/>
  <c r="G2978" i="25"/>
  <c r="I2978" i="25"/>
  <c r="K2978" i="25"/>
  <c r="L2978" i="25"/>
  <c r="G2977" i="25"/>
  <c r="I2977" i="25"/>
  <c r="K2977" i="25"/>
  <c r="L2977" i="25"/>
  <c r="G2976" i="25"/>
  <c r="I2976" i="25"/>
  <c r="K2976" i="25"/>
  <c r="L2976" i="25"/>
  <c r="G2975" i="25"/>
  <c r="I2975" i="25"/>
  <c r="K2975" i="25"/>
  <c r="L2975" i="25"/>
  <c r="G2974" i="25"/>
  <c r="I2974" i="25"/>
  <c r="K2974" i="25"/>
  <c r="L2974" i="25"/>
  <c r="G2973" i="25"/>
  <c r="I2973" i="25"/>
  <c r="K2973" i="25"/>
  <c r="L2973" i="25"/>
  <c r="G2972" i="25"/>
  <c r="I2972" i="25"/>
  <c r="K2972" i="25"/>
  <c r="L2972" i="25"/>
  <c r="G2971" i="25"/>
  <c r="I2971" i="25"/>
  <c r="K2971" i="25"/>
  <c r="L2971" i="25"/>
  <c r="G2970" i="25"/>
  <c r="I2970" i="25"/>
  <c r="K2970" i="25"/>
  <c r="L2970" i="25"/>
  <c r="G2969" i="25"/>
  <c r="I2969" i="25"/>
  <c r="K2969" i="25"/>
  <c r="L2969" i="25"/>
  <c r="G2968" i="25"/>
  <c r="I2968" i="25"/>
  <c r="K2968" i="25"/>
  <c r="L2968" i="25"/>
  <c r="G2967" i="25"/>
  <c r="I2967" i="25"/>
  <c r="K2967" i="25"/>
  <c r="L2967" i="25"/>
  <c r="G2966" i="25"/>
  <c r="I2966" i="25"/>
  <c r="K2966" i="25"/>
  <c r="L2966" i="25"/>
  <c r="G2965" i="25"/>
  <c r="I2965" i="25"/>
  <c r="K2965" i="25"/>
  <c r="L2965" i="25"/>
  <c r="G2964" i="25"/>
  <c r="I2964" i="25"/>
  <c r="K2964" i="25"/>
  <c r="L2964" i="25"/>
  <c r="G2963" i="25"/>
  <c r="I2963" i="25"/>
  <c r="K2963" i="25"/>
  <c r="L2963" i="25"/>
  <c r="G2962" i="25"/>
  <c r="I2962" i="25"/>
  <c r="K2962" i="25"/>
  <c r="L2962" i="25"/>
  <c r="G2961" i="25"/>
  <c r="I2961" i="25"/>
  <c r="K2961" i="25"/>
  <c r="L2961" i="25"/>
  <c r="G2960" i="25"/>
  <c r="I2960" i="25"/>
  <c r="K2960" i="25"/>
  <c r="L2960" i="25"/>
  <c r="G2959" i="25"/>
  <c r="I2959" i="25"/>
  <c r="K2959" i="25"/>
  <c r="L2959" i="25"/>
  <c r="G2958" i="25"/>
  <c r="I2958" i="25"/>
  <c r="K2958" i="25"/>
  <c r="L2958" i="25"/>
  <c r="G2957" i="25"/>
  <c r="I2957" i="25"/>
  <c r="K2957" i="25"/>
  <c r="L2957" i="25"/>
  <c r="G2956" i="25"/>
  <c r="I2956" i="25"/>
  <c r="K2956" i="25"/>
  <c r="L2956" i="25"/>
  <c r="G2955" i="25"/>
  <c r="I2955" i="25"/>
  <c r="K2955" i="25"/>
  <c r="L2955" i="25"/>
  <c r="G2954" i="25"/>
  <c r="I2954" i="25"/>
  <c r="K2954" i="25"/>
  <c r="L2954" i="25"/>
  <c r="G2953" i="25"/>
  <c r="I2953" i="25"/>
  <c r="K2953" i="25"/>
  <c r="L2953" i="25"/>
  <c r="G2952" i="25"/>
  <c r="I2952" i="25"/>
  <c r="K2952" i="25"/>
  <c r="L2952" i="25"/>
  <c r="G2951" i="25"/>
  <c r="I2951" i="25"/>
  <c r="K2951" i="25"/>
  <c r="L2951" i="25"/>
  <c r="G2950" i="25"/>
  <c r="I2950" i="25"/>
  <c r="K2950" i="25"/>
  <c r="L2950" i="25"/>
  <c r="G2949" i="25"/>
  <c r="I2949" i="25"/>
  <c r="K2949" i="25"/>
  <c r="L2949" i="25"/>
  <c r="G2948" i="25"/>
  <c r="I2948" i="25"/>
  <c r="K2948" i="25"/>
  <c r="L2948" i="25"/>
  <c r="G2947" i="25"/>
  <c r="I2947" i="25"/>
  <c r="K2947" i="25"/>
  <c r="L2947" i="25"/>
  <c r="G2946" i="25"/>
  <c r="I2946" i="25"/>
  <c r="K2946" i="25"/>
  <c r="L2946" i="25"/>
  <c r="G2945" i="25"/>
  <c r="I2945" i="25"/>
  <c r="K2945" i="25"/>
  <c r="L2945" i="25"/>
  <c r="G2944" i="25"/>
  <c r="I2944" i="25"/>
  <c r="K2944" i="25"/>
  <c r="L2944" i="25"/>
  <c r="G2943" i="25"/>
  <c r="I2943" i="25"/>
  <c r="K2943" i="25"/>
  <c r="L2943" i="25"/>
  <c r="G2942" i="25"/>
  <c r="I2942" i="25"/>
  <c r="K2942" i="25"/>
  <c r="L2942" i="25"/>
  <c r="G2941" i="25"/>
  <c r="I2941" i="25"/>
  <c r="K2941" i="25"/>
  <c r="L2941" i="25"/>
  <c r="G2940" i="25"/>
  <c r="I2940" i="25"/>
  <c r="K2940" i="25"/>
  <c r="L2940" i="25"/>
  <c r="G2939" i="25"/>
  <c r="I2939" i="25"/>
  <c r="K2939" i="25"/>
  <c r="L2939" i="25"/>
  <c r="G2938" i="25"/>
  <c r="I2938" i="25"/>
  <c r="K2938" i="25"/>
  <c r="L2938" i="25"/>
  <c r="G2937" i="25"/>
  <c r="I2937" i="25"/>
  <c r="K2937" i="25"/>
  <c r="L2937" i="25"/>
  <c r="G2936" i="25"/>
  <c r="I2936" i="25"/>
  <c r="K2936" i="25"/>
  <c r="L2936" i="25"/>
  <c r="G2935" i="25"/>
  <c r="I2935" i="25"/>
  <c r="K2935" i="25"/>
  <c r="L2935" i="25"/>
  <c r="G2934" i="25"/>
  <c r="I2934" i="25"/>
  <c r="K2934" i="25"/>
  <c r="L2934" i="25"/>
  <c r="G2933" i="25"/>
  <c r="I2933" i="25"/>
  <c r="K2933" i="25"/>
  <c r="L2933" i="25"/>
  <c r="G2932" i="25"/>
  <c r="I2932" i="25"/>
  <c r="K2932" i="25"/>
  <c r="L2932" i="25"/>
  <c r="G2931" i="25"/>
  <c r="I2931" i="25"/>
  <c r="K2931" i="25"/>
  <c r="L2931" i="25"/>
  <c r="G2930" i="25"/>
  <c r="I2930" i="25"/>
  <c r="K2930" i="25"/>
  <c r="L2930" i="25"/>
  <c r="G2929" i="25"/>
  <c r="I2929" i="25"/>
  <c r="K2929" i="25"/>
  <c r="L2929" i="25"/>
  <c r="G2928" i="25"/>
  <c r="I2928" i="25"/>
  <c r="K2928" i="25"/>
  <c r="L2928" i="25"/>
  <c r="G2927" i="25"/>
  <c r="I2927" i="25"/>
  <c r="K2927" i="25"/>
  <c r="L2927" i="25"/>
  <c r="G2926" i="25"/>
  <c r="I2926" i="25"/>
  <c r="K2926" i="25"/>
  <c r="L2926" i="25"/>
  <c r="G2925" i="25"/>
  <c r="I2925" i="25"/>
  <c r="K2925" i="25"/>
  <c r="L2925" i="25"/>
  <c r="G2924" i="25"/>
  <c r="I2924" i="25"/>
  <c r="K2924" i="25"/>
  <c r="L2924" i="25"/>
  <c r="G2923" i="25"/>
  <c r="I2923" i="25"/>
  <c r="K2923" i="25"/>
  <c r="L2923" i="25"/>
  <c r="G2922" i="25"/>
  <c r="I2922" i="25"/>
  <c r="K2922" i="25"/>
  <c r="L2922" i="25"/>
  <c r="G2921" i="25"/>
  <c r="I2921" i="25"/>
  <c r="K2921" i="25"/>
  <c r="L2921" i="25"/>
  <c r="G2920" i="25"/>
  <c r="I2920" i="25"/>
  <c r="K2920" i="25"/>
  <c r="L2920" i="25"/>
  <c r="G2919" i="25"/>
  <c r="I2919" i="25"/>
  <c r="K2919" i="25"/>
  <c r="L2919" i="25"/>
  <c r="G2918" i="25"/>
  <c r="I2918" i="25"/>
  <c r="K2918" i="25"/>
  <c r="L2918" i="25"/>
  <c r="G2917" i="25"/>
  <c r="I2917" i="25"/>
  <c r="K2917" i="25"/>
  <c r="L2917" i="25"/>
  <c r="G2916" i="25"/>
  <c r="I2916" i="25"/>
  <c r="K2916" i="25"/>
  <c r="L2916" i="25"/>
  <c r="G2915" i="25"/>
  <c r="I2915" i="25"/>
  <c r="K2915" i="25"/>
  <c r="L2915" i="25"/>
  <c r="G2914" i="25"/>
  <c r="I2914" i="25"/>
  <c r="K2914" i="25"/>
  <c r="L2914" i="25"/>
  <c r="G2913" i="25"/>
  <c r="I2913" i="25"/>
  <c r="K2913" i="25"/>
  <c r="L2913" i="25"/>
  <c r="G2912" i="25"/>
  <c r="I2912" i="25"/>
  <c r="K2912" i="25"/>
  <c r="L2912" i="25"/>
  <c r="G2911" i="25"/>
  <c r="I2911" i="25"/>
  <c r="K2911" i="25"/>
  <c r="L2911" i="25"/>
  <c r="G2910" i="25"/>
  <c r="I2910" i="25"/>
  <c r="K2910" i="25"/>
  <c r="L2910" i="25"/>
  <c r="G2909" i="25"/>
  <c r="I2909" i="25"/>
  <c r="K2909" i="25"/>
  <c r="L2909" i="25"/>
  <c r="G2908" i="25"/>
  <c r="I2908" i="25"/>
  <c r="K2908" i="25"/>
  <c r="L2908" i="25"/>
  <c r="G2907" i="25"/>
  <c r="I2907" i="25"/>
  <c r="K2907" i="25"/>
  <c r="L2907" i="25"/>
  <c r="G2906" i="25"/>
  <c r="I2906" i="25"/>
  <c r="K2906" i="25"/>
  <c r="L2906" i="25"/>
  <c r="G2905" i="25"/>
  <c r="I2905" i="25"/>
  <c r="K2905" i="25"/>
  <c r="L2905" i="25"/>
  <c r="G2904" i="25"/>
  <c r="I2904" i="25"/>
  <c r="K2904" i="25"/>
  <c r="L2904" i="25"/>
  <c r="G2903" i="25"/>
  <c r="I2903" i="25"/>
  <c r="K2903" i="25"/>
  <c r="L2903" i="25"/>
  <c r="G2902" i="25"/>
  <c r="I2902" i="25"/>
  <c r="K2902" i="25"/>
  <c r="L2902" i="25"/>
  <c r="G2901" i="25"/>
  <c r="I2901" i="25"/>
  <c r="K2901" i="25"/>
  <c r="L2901" i="25"/>
  <c r="G2900" i="25"/>
  <c r="I2900" i="25"/>
  <c r="K2900" i="25"/>
  <c r="L2900" i="25"/>
  <c r="G2899" i="25"/>
  <c r="I2899" i="25"/>
  <c r="K2899" i="25"/>
  <c r="L2899" i="25"/>
  <c r="G2898" i="25"/>
  <c r="I2898" i="25"/>
  <c r="K2898" i="25"/>
  <c r="L2898" i="25"/>
  <c r="G2897" i="25"/>
  <c r="I2897" i="25"/>
  <c r="K2897" i="25"/>
  <c r="L2897" i="25"/>
  <c r="G2896" i="25"/>
  <c r="I2896" i="25"/>
  <c r="K2896" i="25"/>
  <c r="L2896" i="25"/>
  <c r="G2895" i="25"/>
  <c r="I2895" i="25"/>
  <c r="K2895" i="25"/>
  <c r="L2895" i="25"/>
  <c r="G2894" i="25"/>
  <c r="I2894" i="25"/>
  <c r="K2894" i="25"/>
  <c r="L2894" i="25"/>
  <c r="G2893" i="25"/>
  <c r="I2893" i="25"/>
  <c r="K2893" i="25"/>
  <c r="L2893" i="25"/>
  <c r="G2892" i="25"/>
  <c r="I2892" i="25"/>
  <c r="K2892" i="25"/>
  <c r="L2892" i="25"/>
  <c r="G2891" i="25"/>
  <c r="I2891" i="25"/>
  <c r="K2891" i="25"/>
  <c r="L2891" i="25"/>
  <c r="G2890" i="25"/>
  <c r="I2890" i="25"/>
  <c r="K2890" i="25"/>
  <c r="L2890" i="25"/>
  <c r="G2889" i="25"/>
  <c r="I2889" i="25"/>
  <c r="K2889" i="25"/>
  <c r="L2889" i="25"/>
  <c r="G2888" i="25"/>
  <c r="I2888" i="25"/>
  <c r="K2888" i="25"/>
  <c r="L2888" i="25"/>
  <c r="G2887" i="25"/>
  <c r="I2887" i="25"/>
  <c r="K2887" i="25"/>
  <c r="L2887" i="25"/>
  <c r="G2886" i="25"/>
  <c r="I2886" i="25"/>
  <c r="K2886" i="25"/>
  <c r="L2886" i="25"/>
  <c r="G2885" i="25"/>
  <c r="I2885" i="25"/>
  <c r="K2885" i="25"/>
  <c r="L2885" i="25"/>
  <c r="G2884" i="25"/>
  <c r="I2884" i="25"/>
  <c r="K2884" i="25"/>
  <c r="L2884" i="25"/>
  <c r="G2883" i="25"/>
  <c r="I2883" i="25"/>
  <c r="K2883" i="25"/>
  <c r="L2883" i="25"/>
  <c r="G2882" i="25"/>
  <c r="I2882" i="25"/>
  <c r="K2882" i="25"/>
  <c r="L2882" i="25"/>
  <c r="G2881" i="25"/>
  <c r="I2881" i="25"/>
  <c r="K2881" i="25"/>
  <c r="L2881" i="25"/>
  <c r="G2880" i="25"/>
  <c r="I2880" i="25"/>
  <c r="K2880" i="25"/>
  <c r="L2880" i="25"/>
  <c r="G2879" i="25"/>
  <c r="I2879" i="25"/>
  <c r="K2879" i="25"/>
  <c r="L2879" i="25"/>
  <c r="G2878" i="25"/>
  <c r="I2878" i="25"/>
  <c r="K2878" i="25"/>
  <c r="L2878" i="25"/>
  <c r="G2877" i="25"/>
  <c r="I2877" i="25"/>
  <c r="K2877" i="25"/>
  <c r="L2877" i="25"/>
  <c r="G2876" i="25"/>
  <c r="I2876" i="25"/>
  <c r="K2876" i="25"/>
  <c r="L2876" i="25"/>
  <c r="G2875" i="25"/>
  <c r="I2875" i="25"/>
  <c r="K2875" i="25"/>
  <c r="L2875" i="25"/>
  <c r="G2874" i="25"/>
  <c r="I2874" i="25"/>
  <c r="K2874" i="25"/>
  <c r="L2874" i="25"/>
  <c r="G2873" i="25"/>
  <c r="I2873" i="25"/>
  <c r="K2873" i="25"/>
  <c r="L2873" i="25"/>
  <c r="G2872" i="25"/>
  <c r="I2872" i="25"/>
  <c r="K2872" i="25"/>
  <c r="L2872" i="25"/>
  <c r="G2871" i="25"/>
  <c r="I2871" i="25"/>
  <c r="K2871" i="25"/>
  <c r="L2871" i="25"/>
  <c r="G2870" i="25"/>
  <c r="I2870" i="25"/>
  <c r="K2870" i="25"/>
  <c r="L2870" i="25"/>
  <c r="G2869" i="25"/>
  <c r="I2869" i="25"/>
  <c r="K2869" i="25"/>
  <c r="L2869" i="25"/>
  <c r="G2868" i="25"/>
  <c r="I2868" i="25"/>
  <c r="K2868" i="25"/>
  <c r="L2868" i="25"/>
  <c r="G2867" i="25"/>
  <c r="I2867" i="25"/>
  <c r="K2867" i="25"/>
  <c r="L2867" i="25"/>
  <c r="G2866" i="25"/>
  <c r="I2866" i="25"/>
  <c r="K2866" i="25"/>
  <c r="L2866" i="25"/>
  <c r="G2865" i="25"/>
  <c r="I2865" i="25"/>
  <c r="K2865" i="25"/>
  <c r="L2865" i="25"/>
  <c r="G2864" i="25"/>
  <c r="I2864" i="25"/>
  <c r="K2864" i="25"/>
  <c r="L2864" i="25"/>
  <c r="G2863" i="25"/>
  <c r="I2863" i="25"/>
  <c r="K2863" i="25"/>
  <c r="L2863" i="25"/>
  <c r="G2862" i="25"/>
  <c r="I2862" i="25"/>
  <c r="K2862" i="25"/>
  <c r="L2862" i="25"/>
  <c r="G2861" i="25"/>
  <c r="I2861" i="25"/>
  <c r="K2861" i="25"/>
  <c r="L2861" i="25"/>
  <c r="G2860" i="25"/>
  <c r="I2860" i="25"/>
  <c r="K2860" i="25"/>
  <c r="L2860" i="25"/>
  <c r="G2859" i="25"/>
  <c r="I2859" i="25"/>
  <c r="K2859" i="25"/>
  <c r="L2859" i="25"/>
  <c r="G2858" i="25"/>
  <c r="I2858" i="25"/>
  <c r="K2858" i="25"/>
  <c r="L2858" i="25"/>
  <c r="G2857" i="25"/>
  <c r="I2857" i="25"/>
  <c r="K2857" i="25"/>
  <c r="L2857" i="25"/>
  <c r="G2856" i="25"/>
  <c r="I2856" i="25"/>
  <c r="K2856" i="25"/>
  <c r="L2856" i="25"/>
  <c r="G2855" i="25"/>
  <c r="I2855" i="25"/>
  <c r="K2855" i="25"/>
  <c r="L2855" i="25"/>
  <c r="G2854" i="25"/>
  <c r="I2854" i="25"/>
  <c r="K2854" i="25"/>
  <c r="L2854" i="25"/>
  <c r="G2853" i="25"/>
  <c r="I2853" i="25"/>
  <c r="K2853" i="25"/>
  <c r="L2853" i="25"/>
  <c r="G2852" i="25"/>
  <c r="I2852" i="25"/>
  <c r="K2852" i="25"/>
  <c r="L2852" i="25"/>
  <c r="G2851" i="25"/>
  <c r="I2851" i="25"/>
  <c r="K2851" i="25"/>
  <c r="L2851" i="25"/>
  <c r="G2850" i="25"/>
  <c r="I2850" i="25"/>
  <c r="K2850" i="25"/>
  <c r="L2850" i="25"/>
  <c r="G2849" i="25"/>
  <c r="I2849" i="25"/>
  <c r="K2849" i="25"/>
  <c r="L2849" i="25"/>
  <c r="G2848" i="25"/>
  <c r="I2848" i="25"/>
  <c r="K2848" i="25"/>
  <c r="L2848" i="25"/>
  <c r="G2847" i="25"/>
  <c r="I2847" i="25"/>
  <c r="K2847" i="25"/>
  <c r="L2847" i="25"/>
  <c r="G2846" i="25"/>
  <c r="I2846" i="25"/>
  <c r="K2846" i="25"/>
  <c r="L2846" i="25"/>
  <c r="G2845" i="25"/>
  <c r="I2845" i="25"/>
  <c r="K2845" i="25"/>
  <c r="L2845" i="25"/>
  <c r="G2844" i="25"/>
  <c r="I2844" i="25"/>
  <c r="K2844" i="25"/>
  <c r="L2844" i="25"/>
  <c r="G2843" i="25"/>
  <c r="I2843" i="25"/>
  <c r="K2843" i="25"/>
  <c r="L2843" i="25"/>
  <c r="G2842" i="25"/>
  <c r="I2842" i="25"/>
  <c r="K2842" i="25"/>
  <c r="L2842" i="25"/>
  <c r="G2841" i="25"/>
  <c r="I2841" i="25"/>
  <c r="K2841" i="25"/>
  <c r="L2841" i="25"/>
  <c r="G2840" i="25"/>
  <c r="I2840" i="25"/>
  <c r="K2840" i="25"/>
  <c r="L2840" i="25"/>
  <c r="G2839" i="25"/>
  <c r="I2839" i="25"/>
  <c r="K2839" i="25"/>
  <c r="L2839" i="25"/>
  <c r="G2838" i="25"/>
  <c r="I2838" i="25"/>
  <c r="K2838" i="25"/>
  <c r="L2838" i="25"/>
  <c r="G2837" i="25"/>
  <c r="I2837" i="25"/>
  <c r="K2837" i="25"/>
  <c r="L2837" i="25"/>
  <c r="G2836" i="25"/>
  <c r="I2836" i="25"/>
  <c r="K2836" i="25"/>
  <c r="L2836" i="25"/>
  <c r="G2835" i="25"/>
  <c r="I2835" i="25"/>
  <c r="K2835" i="25"/>
  <c r="L2835" i="25"/>
  <c r="G2834" i="25"/>
  <c r="I2834" i="25"/>
  <c r="K2834" i="25"/>
  <c r="L2834" i="25"/>
  <c r="G2833" i="25"/>
  <c r="I2833" i="25"/>
  <c r="K2833" i="25"/>
  <c r="L2833" i="25"/>
  <c r="G2832" i="25"/>
  <c r="I2832" i="25"/>
  <c r="K2832" i="25"/>
  <c r="L2832" i="25"/>
  <c r="G2831" i="25"/>
  <c r="I2831" i="25"/>
  <c r="K2831" i="25"/>
  <c r="L2831" i="25"/>
  <c r="G2830" i="25"/>
  <c r="I2830" i="25"/>
  <c r="K2830" i="25"/>
  <c r="L2830" i="25"/>
  <c r="G2829" i="25"/>
  <c r="I2829" i="25"/>
  <c r="K2829" i="25"/>
  <c r="L2829" i="25"/>
  <c r="G2828" i="25"/>
  <c r="I2828" i="25"/>
  <c r="K2828" i="25"/>
  <c r="L2828" i="25"/>
  <c r="G2827" i="25"/>
  <c r="I2827" i="25"/>
  <c r="K2827" i="25"/>
  <c r="L2827" i="25"/>
  <c r="G2826" i="25"/>
  <c r="I2826" i="25"/>
  <c r="K2826" i="25"/>
  <c r="L2826" i="25"/>
  <c r="G2825" i="25"/>
  <c r="I2825" i="25"/>
  <c r="K2825" i="25"/>
  <c r="L2825" i="25"/>
  <c r="G2824" i="25"/>
  <c r="I2824" i="25"/>
  <c r="K2824" i="25"/>
  <c r="L2824" i="25"/>
  <c r="G2823" i="25"/>
  <c r="I2823" i="25"/>
  <c r="K2823" i="25"/>
  <c r="L2823" i="25"/>
  <c r="G2822" i="25"/>
  <c r="I2822" i="25"/>
  <c r="K2822" i="25"/>
  <c r="L2822" i="25"/>
  <c r="G2821" i="25"/>
  <c r="I2821" i="25"/>
  <c r="K2821" i="25"/>
  <c r="L2821" i="25"/>
  <c r="G2820" i="25"/>
  <c r="I2820" i="25"/>
  <c r="K2820" i="25"/>
  <c r="L2820" i="25"/>
  <c r="G2819" i="25"/>
  <c r="I2819" i="25"/>
  <c r="K2819" i="25"/>
  <c r="L2819" i="25"/>
  <c r="G2818" i="25"/>
  <c r="I2818" i="25"/>
  <c r="K2818" i="25"/>
  <c r="L2818" i="25"/>
  <c r="G2817" i="25"/>
  <c r="I2817" i="25"/>
  <c r="K2817" i="25"/>
  <c r="L2817" i="25"/>
  <c r="G2816" i="25"/>
  <c r="I2816" i="25"/>
  <c r="K2816" i="25"/>
  <c r="L2816" i="25"/>
  <c r="G2815" i="25"/>
  <c r="I2815" i="25"/>
  <c r="K2815" i="25"/>
  <c r="L2815" i="25"/>
  <c r="G2814" i="25"/>
  <c r="I2814" i="25"/>
  <c r="K2814" i="25"/>
  <c r="L2814" i="25"/>
  <c r="G2813" i="25"/>
  <c r="I2813" i="25"/>
  <c r="K2813" i="25"/>
  <c r="L2813" i="25"/>
  <c r="G2812" i="25"/>
  <c r="I2812" i="25"/>
  <c r="K2812" i="25"/>
  <c r="L2812" i="25"/>
  <c r="G2811" i="25"/>
  <c r="I2811" i="25"/>
  <c r="K2811" i="25"/>
  <c r="L2811" i="25"/>
  <c r="G2810" i="25"/>
  <c r="I2810" i="25"/>
  <c r="K2810" i="25"/>
  <c r="L2810" i="25"/>
  <c r="G2809" i="25"/>
  <c r="I2809" i="25"/>
  <c r="K2809" i="25"/>
  <c r="L2809" i="25"/>
  <c r="G2808" i="25"/>
  <c r="I2808" i="25"/>
  <c r="K2808" i="25"/>
  <c r="L2808" i="25"/>
  <c r="G2807" i="25"/>
  <c r="I2807" i="25"/>
  <c r="K2807" i="25"/>
  <c r="L2807" i="25"/>
  <c r="G2806" i="25"/>
  <c r="I2806" i="25"/>
  <c r="K2806" i="25"/>
  <c r="L2806" i="25"/>
  <c r="G2805" i="25"/>
  <c r="I2805" i="25"/>
  <c r="K2805" i="25"/>
  <c r="L2805" i="25"/>
  <c r="G2804" i="25"/>
  <c r="I2804" i="25"/>
  <c r="K2804" i="25"/>
  <c r="L2804" i="25"/>
  <c r="G2803" i="25"/>
  <c r="I2803" i="25"/>
  <c r="K2803" i="25"/>
  <c r="L2803" i="25"/>
  <c r="G2802" i="25"/>
  <c r="I2802" i="25"/>
  <c r="K2802" i="25"/>
  <c r="L2802" i="25"/>
  <c r="G2801" i="25"/>
  <c r="I2801" i="25"/>
  <c r="K2801" i="25"/>
  <c r="L2801" i="25"/>
  <c r="G2800" i="25"/>
  <c r="I2800" i="25"/>
  <c r="K2800" i="25"/>
  <c r="L2800" i="25"/>
  <c r="G2799" i="25"/>
  <c r="I2799" i="25"/>
  <c r="K2799" i="25"/>
  <c r="L2799" i="25"/>
  <c r="G2798" i="25"/>
  <c r="I2798" i="25"/>
  <c r="K2798" i="25"/>
  <c r="L2798" i="25"/>
  <c r="G2797" i="25"/>
  <c r="I2797" i="25"/>
  <c r="K2797" i="25"/>
  <c r="L2797" i="25"/>
  <c r="G2796" i="25"/>
  <c r="I2796" i="25"/>
  <c r="K2796" i="25"/>
  <c r="L2796" i="25"/>
  <c r="G2795" i="25"/>
  <c r="I2795" i="25"/>
  <c r="K2795" i="25"/>
  <c r="L2795" i="25"/>
  <c r="G2794" i="25"/>
  <c r="I2794" i="25"/>
  <c r="K2794" i="25"/>
  <c r="L2794" i="25"/>
  <c r="G2793" i="25"/>
  <c r="I2793" i="25"/>
  <c r="K2793" i="25"/>
  <c r="L2793" i="25"/>
  <c r="G2792" i="25"/>
  <c r="I2792" i="25"/>
  <c r="K2792" i="25"/>
  <c r="L2792" i="25"/>
  <c r="G2791" i="25"/>
  <c r="I2791" i="25"/>
  <c r="K2791" i="25"/>
  <c r="L2791" i="25"/>
  <c r="G2790" i="25"/>
  <c r="I2790" i="25"/>
  <c r="K2790" i="25"/>
  <c r="L2790" i="25"/>
  <c r="G2789" i="25"/>
  <c r="I2789" i="25"/>
  <c r="K2789" i="25"/>
  <c r="L2789" i="25"/>
  <c r="G2788" i="25"/>
  <c r="I2788" i="25"/>
  <c r="K2788" i="25"/>
  <c r="L2788" i="25"/>
  <c r="G2787" i="25"/>
  <c r="I2787" i="25"/>
  <c r="K2787" i="25"/>
  <c r="L2787" i="25"/>
  <c r="G2786" i="25"/>
  <c r="I2786" i="25"/>
  <c r="K2786" i="25"/>
  <c r="L2786" i="25"/>
  <c r="G2785" i="25"/>
  <c r="I2785" i="25"/>
  <c r="K2785" i="25"/>
  <c r="L2785" i="25"/>
  <c r="G2784" i="25"/>
  <c r="I2784" i="25"/>
  <c r="K2784" i="25"/>
  <c r="L2784" i="25"/>
  <c r="G2783" i="25"/>
  <c r="I2783" i="25"/>
  <c r="K2783" i="25"/>
  <c r="L2783" i="25"/>
  <c r="G2782" i="25"/>
  <c r="I2782" i="25"/>
  <c r="K2782" i="25"/>
  <c r="L2782" i="25"/>
  <c r="G2781" i="25"/>
  <c r="I2781" i="25"/>
  <c r="K2781" i="25"/>
  <c r="L2781" i="25"/>
  <c r="G2780" i="25"/>
  <c r="I2780" i="25"/>
  <c r="K2780" i="25"/>
  <c r="L2780" i="25"/>
  <c r="G2779" i="25"/>
  <c r="I2779" i="25"/>
  <c r="K2779" i="25"/>
  <c r="L2779" i="25"/>
  <c r="G2778" i="25"/>
  <c r="I2778" i="25"/>
  <c r="K2778" i="25"/>
  <c r="L2778" i="25"/>
  <c r="G2777" i="25"/>
  <c r="I2777" i="25"/>
  <c r="K2777" i="25"/>
  <c r="L2777" i="25"/>
  <c r="G2776" i="25"/>
  <c r="I2776" i="25"/>
  <c r="K2776" i="25"/>
  <c r="L2776" i="25"/>
  <c r="G2775" i="25"/>
  <c r="I2775" i="25"/>
  <c r="K2775" i="25"/>
  <c r="L2775" i="25"/>
  <c r="G2774" i="25"/>
  <c r="I2774" i="25"/>
  <c r="K2774" i="25"/>
  <c r="L2774" i="25"/>
  <c r="G2773" i="25"/>
  <c r="I2773" i="25"/>
  <c r="K2773" i="25"/>
  <c r="L2773" i="25"/>
  <c r="G2772" i="25"/>
  <c r="I2772" i="25"/>
  <c r="K2772" i="25"/>
  <c r="L2772" i="25"/>
  <c r="G2771" i="25"/>
  <c r="I2771" i="25"/>
  <c r="K2771" i="25"/>
  <c r="L2771" i="25"/>
  <c r="G2770" i="25"/>
  <c r="I2770" i="25"/>
  <c r="K2770" i="25"/>
  <c r="L2770" i="25"/>
  <c r="G2769" i="25"/>
  <c r="I2769" i="25"/>
  <c r="K2769" i="25"/>
  <c r="L2769" i="25"/>
  <c r="G2768" i="25"/>
  <c r="I2768" i="25"/>
  <c r="K2768" i="25"/>
  <c r="L2768" i="25"/>
  <c r="G2767" i="25"/>
  <c r="I2767" i="25"/>
  <c r="K2767" i="25"/>
  <c r="L2767" i="25"/>
  <c r="G2766" i="25"/>
  <c r="I2766" i="25"/>
  <c r="K2766" i="25"/>
  <c r="L2766" i="25"/>
  <c r="G2765" i="25"/>
  <c r="I2765" i="25"/>
  <c r="K2765" i="25"/>
  <c r="L2765" i="25"/>
  <c r="G2764" i="25"/>
  <c r="I2764" i="25"/>
  <c r="K2764" i="25"/>
  <c r="L2764" i="25"/>
  <c r="G2763" i="25"/>
  <c r="I2763" i="25"/>
  <c r="K2763" i="25"/>
  <c r="L2763" i="25"/>
  <c r="G2762" i="25"/>
  <c r="I2762" i="25"/>
  <c r="K2762" i="25"/>
  <c r="L2762" i="25"/>
  <c r="G2761" i="25"/>
  <c r="I2761" i="25"/>
  <c r="K2761" i="25"/>
  <c r="L2761" i="25"/>
  <c r="G2760" i="25"/>
  <c r="I2760" i="25"/>
  <c r="K2760" i="25"/>
  <c r="L2760" i="25"/>
  <c r="G2759" i="25"/>
  <c r="I2759" i="25"/>
  <c r="K2759" i="25"/>
  <c r="L2759" i="25"/>
  <c r="G2758" i="25"/>
  <c r="I2758" i="25"/>
  <c r="K2758" i="25"/>
  <c r="L2758" i="25"/>
  <c r="G2757" i="25"/>
  <c r="I2757" i="25"/>
  <c r="K2757" i="25"/>
  <c r="L2757" i="25"/>
  <c r="G2756" i="25"/>
  <c r="I2756" i="25"/>
  <c r="K2756" i="25"/>
  <c r="L2756" i="25"/>
  <c r="G2755" i="25"/>
  <c r="I2755" i="25"/>
  <c r="K2755" i="25"/>
  <c r="L2755" i="25"/>
  <c r="G2754" i="25"/>
  <c r="I2754" i="25"/>
  <c r="K2754" i="25"/>
  <c r="L2754" i="25"/>
  <c r="G2753" i="25"/>
  <c r="I2753" i="25"/>
  <c r="K2753" i="25"/>
  <c r="L2753" i="25"/>
  <c r="G2752" i="25"/>
  <c r="I2752" i="25"/>
  <c r="K2752" i="25"/>
  <c r="L2752" i="25"/>
  <c r="G2751" i="25"/>
  <c r="I2751" i="25"/>
  <c r="K2751" i="25"/>
  <c r="L2751" i="25"/>
  <c r="G2750" i="25"/>
  <c r="I2750" i="25"/>
  <c r="K2750" i="25"/>
  <c r="L2750" i="25"/>
  <c r="G2749" i="25"/>
  <c r="I2749" i="25"/>
  <c r="K2749" i="25"/>
  <c r="L2749" i="25"/>
  <c r="G2748" i="25"/>
  <c r="I2748" i="25"/>
  <c r="K2748" i="25"/>
  <c r="L2748" i="25"/>
  <c r="G2747" i="25"/>
  <c r="I2747" i="25"/>
  <c r="K2747" i="25"/>
  <c r="L2747" i="25"/>
  <c r="G2746" i="25"/>
  <c r="I2746" i="25"/>
  <c r="K2746" i="25"/>
  <c r="L2746" i="25"/>
  <c r="G2745" i="25"/>
  <c r="I2745" i="25"/>
  <c r="K2745" i="25"/>
  <c r="L2745" i="25"/>
  <c r="G2744" i="25"/>
  <c r="I2744" i="25"/>
  <c r="K2744" i="25"/>
  <c r="L2744" i="25"/>
  <c r="G2743" i="25"/>
  <c r="I2743" i="25"/>
  <c r="K2743" i="25"/>
  <c r="L2743" i="25"/>
  <c r="G2742" i="25"/>
  <c r="I2742" i="25"/>
  <c r="K2742" i="25"/>
  <c r="L2742" i="25"/>
  <c r="G2741" i="25"/>
  <c r="I2741" i="25"/>
  <c r="K2741" i="25"/>
  <c r="L2741" i="25"/>
  <c r="G2740" i="25"/>
  <c r="I2740" i="25"/>
  <c r="K2740" i="25"/>
  <c r="L2740" i="25"/>
  <c r="G2739" i="25"/>
  <c r="I2739" i="25"/>
  <c r="K2739" i="25"/>
  <c r="L2739" i="25"/>
  <c r="G2738" i="25"/>
  <c r="I2738" i="25"/>
  <c r="K2738" i="25"/>
  <c r="L2738" i="25"/>
  <c r="G2737" i="25"/>
  <c r="I2737" i="25"/>
  <c r="K2737" i="25"/>
  <c r="L2737" i="25"/>
  <c r="G2736" i="25"/>
  <c r="I2736" i="25"/>
  <c r="K2736" i="25"/>
  <c r="L2736" i="25"/>
  <c r="G2735" i="25"/>
  <c r="I2735" i="25"/>
  <c r="K2735" i="25"/>
  <c r="L2735" i="25"/>
  <c r="G2734" i="25"/>
  <c r="I2734" i="25"/>
  <c r="K2734" i="25"/>
  <c r="L2734" i="25"/>
  <c r="G2733" i="25"/>
  <c r="I2733" i="25"/>
  <c r="K2733" i="25"/>
  <c r="L2733" i="25"/>
  <c r="G2732" i="25"/>
  <c r="I2732" i="25"/>
  <c r="K2732" i="25"/>
  <c r="L2732" i="25"/>
  <c r="G2731" i="25"/>
  <c r="I2731" i="25"/>
  <c r="K2731" i="25"/>
  <c r="L2731" i="25"/>
  <c r="G2730" i="25"/>
  <c r="I2730" i="25"/>
  <c r="K2730" i="25"/>
  <c r="L2730" i="25"/>
  <c r="G2729" i="25"/>
  <c r="I2729" i="25"/>
  <c r="K2729" i="25"/>
  <c r="L2729" i="25"/>
  <c r="G2728" i="25"/>
  <c r="I2728" i="25"/>
  <c r="K2728" i="25"/>
  <c r="L2728" i="25"/>
  <c r="G2727" i="25"/>
  <c r="I2727" i="25"/>
  <c r="K2727" i="25"/>
  <c r="L2727" i="25"/>
  <c r="G2726" i="25"/>
  <c r="I2726" i="25"/>
  <c r="K2726" i="25"/>
  <c r="L2726" i="25"/>
  <c r="G2725" i="25"/>
  <c r="I2725" i="25"/>
  <c r="K2725" i="25"/>
  <c r="L2725" i="25"/>
  <c r="G2724" i="25"/>
  <c r="I2724" i="25"/>
  <c r="K2724" i="25"/>
  <c r="L2724" i="25"/>
  <c r="G2723" i="25"/>
  <c r="I2723" i="25"/>
  <c r="K2723" i="25"/>
  <c r="L2723" i="25"/>
  <c r="G2722" i="25"/>
  <c r="I2722" i="25"/>
  <c r="K2722" i="25"/>
  <c r="L2722" i="25"/>
  <c r="G2721" i="25"/>
  <c r="I2721" i="25"/>
  <c r="K2721" i="25"/>
  <c r="L2721" i="25"/>
  <c r="G2720" i="25"/>
  <c r="I2720" i="25"/>
  <c r="K2720" i="25"/>
  <c r="L2720" i="25"/>
  <c r="G2719" i="25"/>
  <c r="I2719" i="25"/>
  <c r="K2719" i="25"/>
  <c r="L2719" i="25"/>
  <c r="G2718" i="25"/>
  <c r="I2718" i="25"/>
  <c r="K2718" i="25"/>
  <c r="L2718" i="25"/>
  <c r="G2717" i="25"/>
  <c r="I2717" i="25"/>
  <c r="K2717" i="25"/>
  <c r="L2717" i="25"/>
  <c r="G2716" i="25"/>
  <c r="I2716" i="25"/>
  <c r="K2716" i="25"/>
  <c r="L2716" i="25"/>
  <c r="G2715" i="25"/>
  <c r="I2715" i="25"/>
  <c r="K2715" i="25"/>
  <c r="L2715" i="25"/>
  <c r="G2714" i="25"/>
  <c r="I2714" i="25"/>
  <c r="K2714" i="25"/>
  <c r="L2714" i="25"/>
  <c r="G2713" i="25"/>
  <c r="I2713" i="25"/>
  <c r="K2713" i="25"/>
  <c r="L2713" i="25"/>
  <c r="G2712" i="25"/>
  <c r="I2712" i="25"/>
  <c r="K2712" i="25"/>
  <c r="L2712" i="25"/>
  <c r="G2711" i="25"/>
  <c r="I2711" i="25"/>
  <c r="K2711" i="25"/>
  <c r="L2711" i="25"/>
  <c r="G2710" i="25"/>
  <c r="I2710" i="25"/>
  <c r="K2710" i="25"/>
  <c r="L2710" i="25"/>
  <c r="G2709" i="25"/>
  <c r="I2709" i="25"/>
  <c r="K2709" i="25"/>
  <c r="L2709" i="25"/>
  <c r="G2708" i="25"/>
  <c r="I2708" i="25"/>
  <c r="K2708" i="25"/>
  <c r="L2708" i="25"/>
  <c r="G2707" i="25"/>
  <c r="I2707" i="25"/>
  <c r="K2707" i="25"/>
  <c r="L2707" i="25"/>
  <c r="G2706" i="25"/>
  <c r="I2706" i="25"/>
  <c r="K2706" i="25"/>
  <c r="L2706" i="25"/>
  <c r="G2705" i="25"/>
  <c r="I2705" i="25"/>
  <c r="K2705" i="25"/>
  <c r="L2705" i="25"/>
  <c r="G2704" i="25"/>
  <c r="I2704" i="25"/>
  <c r="K2704" i="25"/>
  <c r="L2704" i="25"/>
  <c r="G2703" i="25"/>
  <c r="I2703" i="25"/>
  <c r="K2703" i="25"/>
  <c r="L2703" i="25"/>
  <c r="G2702" i="25"/>
  <c r="I2702" i="25"/>
  <c r="K2702" i="25"/>
  <c r="L2702" i="25"/>
  <c r="G2701" i="25"/>
  <c r="I2701" i="25"/>
  <c r="K2701" i="25"/>
  <c r="L2701" i="25"/>
  <c r="G2700" i="25"/>
  <c r="I2700" i="25"/>
  <c r="K2700" i="25"/>
  <c r="L2700" i="25"/>
  <c r="G2699" i="25"/>
  <c r="I2699" i="25"/>
  <c r="K2699" i="25"/>
  <c r="L2699" i="25"/>
  <c r="G2698" i="25"/>
  <c r="I2698" i="25"/>
  <c r="K2698" i="25"/>
  <c r="L2698" i="25"/>
  <c r="G2697" i="25"/>
  <c r="I2697" i="25"/>
  <c r="K2697" i="25"/>
  <c r="L2697" i="25"/>
  <c r="G2696" i="25"/>
  <c r="I2696" i="25"/>
  <c r="K2696" i="25"/>
  <c r="L2696" i="25"/>
  <c r="G2695" i="25"/>
  <c r="I2695" i="25"/>
  <c r="K2695" i="25"/>
  <c r="L2695" i="25"/>
  <c r="G2694" i="25"/>
  <c r="I2694" i="25"/>
  <c r="K2694" i="25"/>
  <c r="L2694" i="25"/>
  <c r="G2693" i="25"/>
  <c r="I2693" i="25"/>
  <c r="K2693" i="25"/>
  <c r="L2693" i="25"/>
  <c r="G2692" i="25"/>
  <c r="I2692" i="25"/>
  <c r="K2692" i="25"/>
  <c r="L2692" i="25"/>
  <c r="G2691" i="25"/>
  <c r="I2691" i="25"/>
  <c r="K2691" i="25"/>
  <c r="L2691" i="25"/>
  <c r="G2690" i="25"/>
  <c r="I2690" i="25"/>
  <c r="K2690" i="25"/>
  <c r="L2690" i="25"/>
  <c r="G2689" i="25"/>
  <c r="I2689" i="25"/>
  <c r="K2689" i="25"/>
  <c r="L2689" i="25"/>
  <c r="G2688" i="25"/>
  <c r="I2688" i="25"/>
  <c r="K2688" i="25"/>
  <c r="L2688" i="25"/>
  <c r="G2687" i="25"/>
  <c r="I2687" i="25"/>
  <c r="K2687" i="25"/>
  <c r="L2687" i="25"/>
  <c r="G2686" i="25"/>
  <c r="I2686" i="25"/>
  <c r="K2686" i="25"/>
  <c r="L2686" i="25"/>
  <c r="G2685" i="25"/>
  <c r="I2685" i="25"/>
  <c r="K2685" i="25"/>
  <c r="L2685" i="25"/>
  <c r="G2684" i="25"/>
  <c r="I2684" i="25"/>
  <c r="K2684" i="25"/>
  <c r="L2684" i="25"/>
  <c r="G2683" i="25"/>
  <c r="I2683" i="25"/>
  <c r="K2683" i="25"/>
  <c r="L2683" i="25"/>
  <c r="G2682" i="25"/>
  <c r="I2682" i="25"/>
  <c r="K2682" i="25"/>
  <c r="L2682" i="25"/>
  <c r="G2681" i="25"/>
  <c r="I2681" i="25"/>
  <c r="K2681" i="25"/>
  <c r="L2681" i="25"/>
  <c r="G2680" i="25"/>
  <c r="I2680" i="25"/>
  <c r="K2680" i="25"/>
  <c r="L2680" i="25"/>
  <c r="G2679" i="25"/>
  <c r="I2679" i="25"/>
  <c r="K2679" i="25"/>
  <c r="L2679" i="25"/>
  <c r="G2678" i="25"/>
  <c r="I2678" i="25"/>
  <c r="K2678" i="25"/>
  <c r="L2678" i="25"/>
  <c r="G2677" i="25"/>
  <c r="I2677" i="25"/>
  <c r="K2677" i="25"/>
  <c r="L2677" i="25"/>
  <c r="G2676" i="25"/>
  <c r="I2676" i="25"/>
  <c r="K2676" i="25"/>
  <c r="L2676" i="25"/>
  <c r="G2675" i="25"/>
  <c r="I2675" i="25"/>
  <c r="K2675" i="25"/>
  <c r="L2675" i="25"/>
  <c r="G2674" i="25"/>
  <c r="I2674" i="25"/>
  <c r="K2674" i="25"/>
  <c r="L2674" i="25"/>
  <c r="G2673" i="25"/>
  <c r="I2673" i="25"/>
  <c r="K2673" i="25"/>
  <c r="L2673" i="25"/>
  <c r="G2672" i="25"/>
  <c r="I2672" i="25"/>
  <c r="K2672" i="25"/>
  <c r="L2672" i="25"/>
  <c r="G2671" i="25"/>
  <c r="I2671" i="25"/>
  <c r="K2671" i="25"/>
  <c r="L2671" i="25"/>
  <c r="G2670" i="25"/>
  <c r="I2670" i="25"/>
  <c r="K2670" i="25"/>
  <c r="L2670" i="25"/>
  <c r="G2669" i="25"/>
  <c r="I2669" i="25"/>
  <c r="K2669" i="25"/>
  <c r="L2669" i="25"/>
  <c r="G2668" i="25"/>
  <c r="I2668" i="25"/>
  <c r="K2668" i="25"/>
  <c r="L2668" i="25"/>
  <c r="G2667" i="25"/>
  <c r="I2667" i="25"/>
  <c r="K2667" i="25"/>
  <c r="L2667" i="25"/>
  <c r="G2666" i="25"/>
  <c r="I2666" i="25"/>
  <c r="K2666" i="25"/>
  <c r="L2666" i="25"/>
  <c r="G2665" i="25"/>
  <c r="I2665" i="25"/>
  <c r="K2665" i="25"/>
  <c r="L2665" i="25"/>
  <c r="G2664" i="25"/>
  <c r="I2664" i="25"/>
  <c r="K2664" i="25"/>
  <c r="L2664" i="25"/>
  <c r="G2663" i="25"/>
  <c r="I2663" i="25"/>
  <c r="K2663" i="25"/>
  <c r="L2663" i="25"/>
  <c r="G2662" i="25"/>
  <c r="I2662" i="25"/>
  <c r="K2662" i="25"/>
  <c r="L2662" i="25"/>
  <c r="G2661" i="25"/>
  <c r="I2661" i="25"/>
  <c r="K2661" i="25"/>
  <c r="L2661" i="25"/>
  <c r="G2660" i="25"/>
  <c r="I2660" i="25"/>
  <c r="K2660" i="25"/>
  <c r="L2660" i="25"/>
  <c r="G2659" i="25"/>
  <c r="I2659" i="25"/>
  <c r="K2659" i="25"/>
  <c r="L2659" i="25"/>
  <c r="G2658" i="25"/>
  <c r="I2658" i="25"/>
  <c r="K2658" i="25"/>
  <c r="L2658" i="25"/>
  <c r="G2657" i="25"/>
  <c r="I2657" i="25"/>
  <c r="K2657" i="25"/>
  <c r="L2657" i="25"/>
  <c r="G2656" i="25"/>
  <c r="I2656" i="25"/>
  <c r="K2656" i="25"/>
  <c r="L2656" i="25"/>
  <c r="G2655" i="25"/>
  <c r="I2655" i="25"/>
  <c r="K2655" i="25"/>
  <c r="L2655" i="25"/>
  <c r="G2654" i="25"/>
  <c r="I2654" i="25"/>
  <c r="K2654" i="25"/>
  <c r="L2654" i="25"/>
  <c r="G2653" i="25"/>
  <c r="I2653" i="25"/>
  <c r="K2653" i="25"/>
  <c r="L2653" i="25"/>
  <c r="G2652" i="25"/>
  <c r="I2652" i="25"/>
  <c r="K2652" i="25"/>
  <c r="L2652" i="25"/>
  <c r="G2651" i="25"/>
  <c r="I2651" i="25"/>
  <c r="K2651" i="25"/>
  <c r="L2651" i="25"/>
  <c r="G2650" i="25"/>
  <c r="I2650" i="25"/>
  <c r="K2650" i="25"/>
  <c r="L2650" i="25"/>
  <c r="G2649" i="25"/>
  <c r="I2649" i="25"/>
  <c r="K2649" i="25"/>
  <c r="L2649" i="25"/>
  <c r="G2648" i="25"/>
  <c r="I2648" i="25"/>
  <c r="K2648" i="25"/>
  <c r="L2648" i="25"/>
  <c r="G2647" i="25"/>
  <c r="I2647" i="25"/>
  <c r="K2647" i="25"/>
  <c r="L2647" i="25"/>
  <c r="G2646" i="25"/>
  <c r="I2646" i="25"/>
  <c r="K2646" i="25"/>
  <c r="L2646" i="25"/>
  <c r="G2645" i="25"/>
  <c r="I2645" i="25"/>
  <c r="K2645" i="25"/>
  <c r="L2645" i="25"/>
  <c r="G2644" i="25"/>
  <c r="I2644" i="25"/>
  <c r="K2644" i="25"/>
  <c r="L2644" i="25"/>
  <c r="G2643" i="25"/>
  <c r="I2643" i="25"/>
  <c r="K2643" i="25"/>
  <c r="L2643" i="25"/>
  <c r="G2642" i="25"/>
  <c r="I2642" i="25"/>
  <c r="K2642" i="25"/>
  <c r="L2642" i="25"/>
  <c r="G2641" i="25"/>
  <c r="I2641" i="25"/>
  <c r="K2641" i="25"/>
  <c r="L2641" i="25"/>
  <c r="G2640" i="25"/>
  <c r="I2640" i="25"/>
  <c r="K2640" i="25"/>
  <c r="L2640" i="25"/>
  <c r="G2639" i="25"/>
  <c r="I2639" i="25"/>
  <c r="K2639" i="25"/>
  <c r="L2639" i="25"/>
  <c r="G2638" i="25"/>
  <c r="I2638" i="25"/>
  <c r="K2638" i="25"/>
  <c r="L2638" i="25"/>
  <c r="G2637" i="25"/>
  <c r="I2637" i="25"/>
  <c r="K2637" i="25"/>
  <c r="L2637" i="25"/>
  <c r="G2636" i="25"/>
  <c r="I2636" i="25"/>
  <c r="K2636" i="25"/>
  <c r="L2636" i="25"/>
  <c r="G2635" i="25"/>
  <c r="I2635" i="25"/>
  <c r="K2635" i="25"/>
  <c r="L2635" i="25"/>
  <c r="G2634" i="25"/>
  <c r="I2634" i="25"/>
  <c r="K2634" i="25"/>
  <c r="L2634" i="25"/>
  <c r="G2633" i="25"/>
  <c r="I2633" i="25"/>
  <c r="K2633" i="25"/>
  <c r="L2633" i="25"/>
  <c r="G2632" i="25"/>
  <c r="I2632" i="25"/>
  <c r="K2632" i="25"/>
  <c r="L2632" i="25"/>
  <c r="G2631" i="25"/>
  <c r="I2631" i="25"/>
  <c r="K2631" i="25"/>
  <c r="L2631" i="25"/>
  <c r="G2630" i="25"/>
  <c r="I2630" i="25"/>
  <c r="K2630" i="25"/>
  <c r="L2630" i="25"/>
  <c r="G2629" i="25"/>
  <c r="I2629" i="25"/>
  <c r="K2629" i="25"/>
  <c r="L2629" i="25"/>
  <c r="G2628" i="25"/>
  <c r="I2628" i="25"/>
  <c r="K2628" i="25"/>
  <c r="L2628" i="25"/>
  <c r="G2627" i="25"/>
  <c r="I2627" i="25"/>
  <c r="K2627" i="25"/>
  <c r="L2627" i="25"/>
  <c r="G2626" i="25"/>
  <c r="I2626" i="25"/>
  <c r="K2626" i="25"/>
  <c r="L2626" i="25"/>
  <c r="G2625" i="25"/>
  <c r="I2625" i="25"/>
  <c r="K2625" i="25"/>
  <c r="L2625" i="25"/>
  <c r="G2624" i="25"/>
  <c r="I2624" i="25"/>
  <c r="K2624" i="25"/>
  <c r="L2624" i="25"/>
  <c r="G2623" i="25"/>
  <c r="I2623" i="25"/>
  <c r="K2623" i="25"/>
  <c r="L2623" i="25"/>
  <c r="G2622" i="25"/>
  <c r="I2622" i="25"/>
  <c r="K2622" i="25"/>
  <c r="L2622" i="25"/>
  <c r="G2621" i="25"/>
  <c r="I2621" i="25"/>
  <c r="K2621" i="25"/>
  <c r="L2621" i="25"/>
  <c r="G2620" i="25"/>
  <c r="I2620" i="25"/>
  <c r="K2620" i="25"/>
  <c r="L2620" i="25"/>
  <c r="G2619" i="25"/>
  <c r="I2619" i="25"/>
  <c r="K2619" i="25"/>
  <c r="L2619" i="25"/>
  <c r="G2618" i="25"/>
  <c r="I2618" i="25"/>
  <c r="K2618" i="25"/>
  <c r="L2618" i="25"/>
  <c r="G2617" i="25"/>
  <c r="I2617" i="25"/>
  <c r="K2617" i="25"/>
  <c r="L2617" i="25"/>
  <c r="G2616" i="25"/>
  <c r="I2616" i="25"/>
  <c r="K2616" i="25"/>
  <c r="L2616" i="25"/>
  <c r="G2615" i="25"/>
  <c r="I2615" i="25"/>
  <c r="K2615" i="25"/>
  <c r="L2615" i="25"/>
  <c r="G2614" i="25"/>
  <c r="I2614" i="25"/>
  <c r="K2614" i="25"/>
  <c r="L2614" i="25"/>
  <c r="G2613" i="25"/>
  <c r="I2613" i="25"/>
  <c r="K2613" i="25"/>
  <c r="L2613" i="25"/>
  <c r="G2612" i="25"/>
  <c r="I2612" i="25"/>
  <c r="K2612" i="25"/>
  <c r="L2612" i="25"/>
  <c r="G2611" i="25"/>
  <c r="I2611" i="25"/>
  <c r="K2611" i="25"/>
  <c r="L2611" i="25"/>
  <c r="G2610" i="25"/>
  <c r="I2610" i="25"/>
  <c r="K2610" i="25"/>
  <c r="L2610" i="25"/>
  <c r="G2609" i="25"/>
  <c r="I2609" i="25"/>
  <c r="K2609" i="25"/>
  <c r="L2609" i="25"/>
  <c r="G2608" i="25"/>
  <c r="I2608" i="25"/>
  <c r="K2608" i="25"/>
  <c r="L2608" i="25"/>
  <c r="G2607" i="25"/>
  <c r="I2607" i="25"/>
  <c r="K2607" i="25"/>
  <c r="L2607" i="25"/>
  <c r="G2606" i="25"/>
  <c r="I2606" i="25"/>
  <c r="K2606" i="25"/>
  <c r="L2606" i="25"/>
  <c r="G2605" i="25"/>
  <c r="I2605" i="25"/>
  <c r="K2605" i="25"/>
  <c r="L2605" i="25"/>
  <c r="G2604" i="25"/>
  <c r="I2604" i="25"/>
  <c r="K2604" i="25"/>
  <c r="L2604" i="25"/>
  <c r="G2603" i="25"/>
  <c r="I2603" i="25"/>
  <c r="K2603" i="25"/>
  <c r="L2603" i="25"/>
  <c r="G2602" i="25"/>
  <c r="I2602" i="25"/>
  <c r="K2602" i="25"/>
  <c r="L2602" i="25"/>
  <c r="G2601" i="25"/>
  <c r="I2601" i="25"/>
  <c r="K2601" i="25"/>
  <c r="L2601" i="25"/>
  <c r="G2600" i="25"/>
  <c r="I2600" i="25"/>
  <c r="K2600" i="25"/>
  <c r="L2600" i="25"/>
  <c r="G2599" i="25"/>
  <c r="I2599" i="25"/>
  <c r="K2599" i="25"/>
  <c r="L2599" i="25"/>
  <c r="G2598" i="25"/>
  <c r="I2598" i="25"/>
  <c r="K2598" i="25"/>
  <c r="L2598" i="25"/>
  <c r="G2597" i="25"/>
  <c r="I2597" i="25"/>
  <c r="K2597" i="25"/>
  <c r="L2597" i="25"/>
  <c r="G2596" i="25"/>
  <c r="I2596" i="25"/>
  <c r="K2596" i="25"/>
  <c r="L2596" i="25"/>
  <c r="G2595" i="25"/>
  <c r="I2595" i="25"/>
  <c r="K2595" i="25"/>
  <c r="L2595" i="25"/>
  <c r="G2594" i="25"/>
  <c r="I2594" i="25"/>
  <c r="K2594" i="25"/>
  <c r="L2594" i="25"/>
  <c r="G2593" i="25"/>
  <c r="I2593" i="25"/>
  <c r="K2593" i="25"/>
  <c r="L2593" i="25"/>
  <c r="G2592" i="25"/>
  <c r="I2592" i="25"/>
  <c r="K2592" i="25"/>
  <c r="L2592" i="25"/>
  <c r="G2591" i="25"/>
  <c r="I2591" i="25"/>
  <c r="K2591" i="25"/>
  <c r="L2591" i="25"/>
  <c r="G2590" i="25"/>
  <c r="I2590" i="25"/>
  <c r="K2590" i="25"/>
  <c r="L2590" i="25"/>
  <c r="G2589" i="25"/>
  <c r="I2589" i="25"/>
  <c r="K2589" i="25"/>
  <c r="L2589" i="25"/>
  <c r="G2588" i="25"/>
  <c r="I2588" i="25"/>
  <c r="K2588" i="25"/>
  <c r="L2588" i="25"/>
  <c r="G2587" i="25"/>
  <c r="I2587" i="25"/>
  <c r="K2587" i="25"/>
  <c r="L2587" i="25"/>
  <c r="G2586" i="25"/>
  <c r="I2586" i="25"/>
  <c r="K2586" i="25"/>
  <c r="L2586" i="25"/>
  <c r="G2585" i="25"/>
  <c r="I2585" i="25"/>
  <c r="K2585" i="25"/>
  <c r="L2585" i="25"/>
  <c r="G2584" i="25"/>
  <c r="I2584" i="25"/>
  <c r="K2584" i="25"/>
  <c r="L2584" i="25"/>
  <c r="G2583" i="25"/>
  <c r="I2583" i="25"/>
  <c r="K2583" i="25"/>
  <c r="L2583" i="25"/>
  <c r="G2582" i="25"/>
  <c r="I2582" i="25"/>
  <c r="K2582" i="25"/>
  <c r="L2582" i="25"/>
  <c r="G2581" i="25"/>
  <c r="I2581" i="25"/>
  <c r="K2581" i="25"/>
  <c r="L2581" i="25"/>
  <c r="G2580" i="25"/>
  <c r="I2580" i="25"/>
  <c r="K2580" i="25"/>
  <c r="L2580" i="25"/>
  <c r="G2579" i="25"/>
  <c r="I2579" i="25"/>
  <c r="K2579" i="25"/>
  <c r="L2579" i="25"/>
  <c r="G2578" i="25"/>
  <c r="I2578" i="25"/>
  <c r="K2578" i="25"/>
  <c r="L2578" i="25"/>
  <c r="G2577" i="25"/>
  <c r="I2577" i="25"/>
  <c r="K2577" i="25"/>
  <c r="L2577" i="25"/>
  <c r="G2576" i="25"/>
  <c r="I2576" i="25"/>
  <c r="K2576" i="25"/>
  <c r="L2576" i="25"/>
  <c r="G2575" i="25"/>
  <c r="I2575" i="25"/>
  <c r="K2575" i="25"/>
  <c r="L2575" i="25"/>
  <c r="G2574" i="25"/>
  <c r="I2574" i="25"/>
  <c r="K2574" i="25"/>
  <c r="L2574" i="25"/>
  <c r="G2573" i="25"/>
  <c r="I2573" i="25"/>
  <c r="K2573" i="25"/>
  <c r="L2573" i="25"/>
  <c r="G2572" i="25"/>
  <c r="I2572" i="25"/>
  <c r="K2572" i="25"/>
  <c r="L2572" i="25"/>
  <c r="G2571" i="25"/>
  <c r="I2571" i="25"/>
  <c r="K2571" i="25"/>
  <c r="L2571" i="25"/>
  <c r="G2570" i="25"/>
  <c r="I2570" i="25"/>
  <c r="K2570" i="25"/>
  <c r="L2570" i="25"/>
  <c r="G2569" i="25"/>
  <c r="I2569" i="25"/>
  <c r="K2569" i="25"/>
  <c r="L2569" i="25"/>
  <c r="G2568" i="25"/>
  <c r="I2568" i="25"/>
  <c r="K2568" i="25"/>
  <c r="L2568" i="25"/>
  <c r="G2567" i="25"/>
  <c r="I2567" i="25"/>
  <c r="K2567" i="25"/>
  <c r="L2567" i="25"/>
  <c r="G2566" i="25"/>
  <c r="I2566" i="25"/>
  <c r="K2566" i="25"/>
  <c r="L2566" i="25"/>
  <c r="G2565" i="25"/>
  <c r="I2565" i="25"/>
  <c r="K2565" i="25"/>
  <c r="L2565" i="25"/>
  <c r="G2564" i="25"/>
  <c r="I2564" i="25"/>
  <c r="K2564" i="25"/>
  <c r="L2564" i="25"/>
  <c r="G2563" i="25"/>
  <c r="I2563" i="25"/>
  <c r="K2563" i="25"/>
  <c r="L2563" i="25"/>
  <c r="G2562" i="25"/>
  <c r="I2562" i="25"/>
  <c r="K2562" i="25"/>
  <c r="L2562" i="25"/>
  <c r="G2561" i="25"/>
  <c r="I2561" i="25"/>
  <c r="K2561" i="25"/>
  <c r="L2561" i="25"/>
  <c r="G2560" i="25"/>
  <c r="I2560" i="25"/>
  <c r="K2560" i="25"/>
  <c r="L2560" i="25"/>
  <c r="G2559" i="25"/>
  <c r="I2559" i="25"/>
  <c r="K2559" i="25"/>
  <c r="L2559" i="25"/>
  <c r="G2558" i="25"/>
  <c r="I2558" i="25"/>
  <c r="K2558" i="25"/>
  <c r="L2558" i="25"/>
  <c r="G2557" i="25"/>
  <c r="I2557" i="25"/>
  <c r="K2557" i="25"/>
  <c r="L2557" i="25"/>
  <c r="G2556" i="25"/>
  <c r="I2556" i="25"/>
  <c r="K2556" i="25"/>
  <c r="L2556" i="25"/>
  <c r="G2555" i="25"/>
  <c r="I2555" i="25"/>
  <c r="K2555" i="25"/>
  <c r="L2555" i="25"/>
  <c r="G2554" i="25"/>
  <c r="I2554" i="25"/>
  <c r="K2554" i="25"/>
  <c r="L2554" i="25"/>
  <c r="G2553" i="25"/>
  <c r="I2553" i="25"/>
  <c r="K2553" i="25"/>
  <c r="L2553" i="25"/>
  <c r="G2552" i="25"/>
  <c r="I2552" i="25"/>
  <c r="K2552" i="25"/>
  <c r="L2552" i="25"/>
  <c r="G2551" i="25"/>
  <c r="I2551" i="25"/>
  <c r="K2551" i="25"/>
  <c r="L2551" i="25"/>
  <c r="G2550" i="25"/>
  <c r="I2550" i="25"/>
  <c r="K2550" i="25"/>
  <c r="L2550" i="25"/>
  <c r="G2549" i="25"/>
  <c r="I2549" i="25"/>
  <c r="K2549" i="25"/>
  <c r="L2549" i="25"/>
  <c r="G2548" i="25"/>
  <c r="I2548" i="25"/>
  <c r="K2548" i="25"/>
  <c r="L2548" i="25"/>
  <c r="G2547" i="25"/>
  <c r="I2547" i="25"/>
  <c r="K2547" i="25"/>
  <c r="L2547" i="25"/>
  <c r="G2546" i="25"/>
  <c r="I2546" i="25"/>
  <c r="K2546" i="25"/>
  <c r="L2546" i="25"/>
  <c r="G2545" i="25"/>
  <c r="I2545" i="25"/>
  <c r="K2545" i="25"/>
  <c r="L2545" i="25"/>
  <c r="G2544" i="25"/>
  <c r="I2544" i="25"/>
  <c r="K2544" i="25"/>
  <c r="L2544" i="25"/>
  <c r="G2543" i="25"/>
  <c r="I2543" i="25"/>
  <c r="K2543" i="25"/>
  <c r="L2543" i="25"/>
  <c r="G2542" i="25"/>
  <c r="I2542" i="25"/>
  <c r="K2542" i="25"/>
  <c r="L2542" i="25"/>
  <c r="G2541" i="25"/>
  <c r="I2541" i="25"/>
  <c r="K2541" i="25"/>
  <c r="L2541" i="25"/>
  <c r="G2540" i="25"/>
  <c r="I2540" i="25"/>
  <c r="K2540" i="25"/>
  <c r="L2540" i="25"/>
  <c r="G2539" i="25"/>
  <c r="I2539" i="25"/>
  <c r="K2539" i="25"/>
  <c r="L2539" i="25"/>
  <c r="G2538" i="25"/>
  <c r="I2538" i="25"/>
  <c r="K2538" i="25"/>
  <c r="L2538" i="25"/>
  <c r="G2537" i="25"/>
  <c r="I2537" i="25"/>
  <c r="K2537" i="25"/>
  <c r="L2537" i="25"/>
  <c r="G2536" i="25"/>
  <c r="I2536" i="25"/>
  <c r="K2536" i="25"/>
  <c r="L2536" i="25"/>
  <c r="G2535" i="25"/>
  <c r="I2535" i="25"/>
  <c r="K2535" i="25"/>
  <c r="L2535" i="25"/>
  <c r="G2534" i="25"/>
  <c r="I2534" i="25"/>
  <c r="K2534" i="25"/>
  <c r="L2534" i="25"/>
  <c r="G2533" i="25"/>
  <c r="I2533" i="25"/>
  <c r="K2533" i="25"/>
  <c r="L2533" i="25"/>
  <c r="G2532" i="25"/>
  <c r="I2532" i="25"/>
  <c r="K2532" i="25"/>
  <c r="L2532" i="25"/>
  <c r="G2531" i="25"/>
  <c r="I2531" i="25"/>
  <c r="K2531" i="25"/>
  <c r="L2531" i="25"/>
  <c r="G2530" i="25"/>
  <c r="I2530" i="25"/>
  <c r="K2530" i="25"/>
  <c r="L2530" i="25"/>
  <c r="G2529" i="25"/>
  <c r="I2529" i="25"/>
  <c r="K2529" i="25"/>
  <c r="L2529" i="25"/>
  <c r="G2528" i="25"/>
  <c r="I2528" i="25"/>
  <c r="K2528" i="25"/>
  <c r="L2528" i="25"/>
  <c r="G2527" i="25"/>
  <c r="I2527" i="25"/>
  <c r="K2527" i="25"/>
  <c r="L2527" i="25"/>
  <c r="G2526" i="25"/>
  <c r="I2526" i="25"/>
  <c r="K2526" i="25"/>
  <c r="L2526" i="25"/>
  <c r="G2525" i="25"/>
  <c r="I2525" i="25"/>
  <c r="K2525" i="25"/>
  <c r="L2525" i="25"/>
  <c r="G2524" i="25"/>
  <c r="I2524" i="25"/>
  <c r="K2524" i="25"/>
  <c r="L2524" i="25"/>
  <c r="G2523" i="25"/>
  <c r="I2523" i="25"/>
  <c r="K2523" i="25"/>
  <c r="L2523" i="25"/>
  <c r="G2522" i="25"/>
  <c r="I2522" i="25"/>
  <c r="K2522" i="25"/>
  <c r="L2522" i="25"/>
  <c r="G2521" i="25"/>
  <c r="I2521" i="25"/>
  <c r="K2521" i="25"/>
  <c r="L2521" i="25"/>
  <c r="G2520" i="25"/>
  <c r="I2520" i="25"/>
  <c r="K2520" i="25"/>
  <c r="L2520" i="25"/>
  <c r="G2519" i="25"/>
  <c r="I2519" i="25"/>
  <c r="K2519" i="25"/>
  <c r="L2519" i="25"/>
  <c r="G2518" i="25"/>
  <c r="I2518" i="25"/>
  <c r="K2518" i="25"/>
  <c r="L2518" i="25"/>
  <c r="G2517" i="25"/>
  <c r="I2517" i="25"/>
  <c r="K2517" i="25"/>
  <c r="L2517" i="25"/>
  <c r="G2516" i="25"/>
  <c r="I2516" i="25"/>
  <c r="K2516" i="25"/>
  <c r="L2516" i="25"/>
  <c r="G2515" i="25"/>
  <c r="I2515" i="25"/>
  <c r="K2515" i="25"/>
  <c r="L2515" i="25"/>
  <c r="G2514" i="25"/>
  <c r="I2514" i="25"/>
  <c r="K2514" i="25"/>
  <c r="L2514" i="25"/>
  <c r="G2513" i="25"/>
  <c r="I2513" i="25"/>
  <c r="K2513" i="25"/>
  <c r="L2513" i="25"/>
  <c r="G2512" i="25"/>
  <c r="I2512" i="25"/>
  <c r="K2512" i="25"/>
  <c r="L2512" i="25"/>
  <c r="G2511" i="25"/>
  <c r="I2511" i="25"/>
  <c r="K2511" i="25"/>
  <c r="L2511" i="25"/>
  <c r="G2510" i="25"/>
  <c r="I2510" i="25"/>
  <c r="K2510" i="25"/>
  <c r="L2510" i="25"/>
  <c r="G2509" i="25"/>
  <c r="I2509" i="25"/>
  <c r="K2509" i="25"/>
  <c r="L2509" i="25"/>
  <c r="G2508" i="25"/>
  <c r="I2508" i="25"/>
  <c r="K2508" i="25"/>
  <c r="L2508" i="25"/>
  <c r="G2507" i="25"/>
  <c r="I2507" i="25"/>
  <c r="K2507" i="25"/>
  <c r="L2507" i="25"/>
  <c r="G2506" i="25"/>
  <c r="I2506" i="25"/>
  <c r="K2506" i="25"/>
  <c r="L2506" i="25"/>
  <c r="G2505" i="25"/>
  <c r="I2505" i="25"/>
  <c r="K2505" i="25"/>
  <c r="L2505" i="25"/>
  <c r="G2504" i="25"/>
  <c r="I2504" i="25"/>
  <c r="K2504" i="25"/>
  <c r="L2504" i="25"/>
  <c r="G2503" i="25"/>
  <c r="I2503" i="25"/>
  <c r="K2503" i="25"/>
  <c r="L2503" i="25"/>
  <c r="G2502" i="25"/>
  <c r="I2502" i="25"/>
  <c r="K2502" i="25"/>
  <c r="L2502" i="25"/>
  <c r="G2501" i="25"/>
  <c r="I2501" i="25"/>
  <c r="K2501" i="25"/>
  <c r="L2501" i="25"/>
  <c r="G2500" i="25"/>
  <c r="I2500" i="25"/>
  <c r="K2500" i="25"/>
  <c r="L2500" i="25"/>
  <c r="G2499" i="25"/>
  <c r="I2499" i="25"/>
  <c r="K2499" i="25"/>
  <c r="L2499" i="25"/>
  <c r="G2498" i="25"/>
  <c r="I2498" i="25"/>
  <c r="K2498" i="25"/>
  <c r="L2498" i="25"/>
  <c r="G2497" i="25"/>
  <c r="I2497" i="25"/>
  <c r="K2497" i="25"/>
  <c r="L2497" i="25"/>
  <c r="G2496" i="25"/>
  <c r="I2496" i="25"/>
  <c r="K2496" i="25"/>
  <c r="L2496" i="25"/>
  <c r="G2495" i="25"/>
  <c r="I2495" i="25"/>
  <c r="K2495" i="25"/>
  <c r="L2495" i="25"/>
  <c r="G2494" i="25"/>
  <c r="I2494" i="25"/>
  <c r="K2494" i="25"/>
  <c r="L2494" i="25"/>
  <c r="G2493" i="25"/>
  <c r="I2493" i="25"/>
  <c r="K2493" i="25"/>
  <c r="L2493" i="25"/>
  <c r="G2492" i="25"/>
  <c r="I2492" i="25"/>
  <c r="K2492" i="25"/>
  <c r="L2492" i="25"/>
  <c r="G2491" i="25"/>
  <c r="I2491" i="25"/>
  <c r="K2491" i="25"/>
  <c r="L2491" i="25"/>
  <c r="G2490" i="25"/>
  <c r="I2490" i="25"/>
  <c r="K2490" i="25"/>
  <c r="L2490" i="25"/>
  <c r="G2489" i="25"/>
  <c r="I2489" i="25"/>
  <c r="K2489" i="25"/>
  <c r="L2489" i="25"/>
  <c r="G2488" i="25"/>
  <c r="I2488" i="25"/>
  <c r="K2488" i="25"/>
  <c r="L2488" i="25"/>
  <c r="G2487" i="25"/>
  <c r="I2487" i="25"/>
  <c r="K2487" i="25"/>
  <c r="L2487" i="25"/>
  <c r="G2486" i="25"/>
  <c r="I2486" i="25"/>
  <c r="K2486" i="25"/>
  <c r="L2486" i="25"/>
  <c r="G2485" i="25"/>
  <c r="I2485" i="25"/>
  <c r="K2485" i="25"/>
  <c r="L2485" i="25"/>
  <c r="G2484" i="25"/>
  <c r="I2484" i="25"/>
  <c r="K2484" i="25"/>
  <c r="L2484" i="25"/>
  <c r="G2483" i="25"/>
  <c r="I2483" i="25"/>
  <c r="K2483" i="25"/>
  <c r="L2483" i="25"/>
  <c r="G2482" i="25"/>
  <c r="I2482" i="25"/>
  <c r="K2482" i="25"/>
  <c r="L2482" i="25"/>
  <c r="G2481" i="25"/>
  <c r="I2481" i="25"/>
  <c r="K2481" i="25"/>
  <c r="L2481" i="25"/>
  <c r="G2480" i="25"/>
  <c r="I2480" i="25"/>
  <c r="K2480" i="25"/>
  <c r="L2480" i="25"/>
  <c r="G2479" i="25"/>
  <c r="I2479" i="25"/>
  <c r="K2479" i="25"/>
  <c r="L2479" i="25"/>
  <c r="G2478" i="25"/>
  <c r="I2478" i="25"/>
  <c r="K2478" i="25"/>
  <c r="L2478" i="25"/>
  <c r="G2477" i="25"/>
  <c r="I2477" i="25"/>
  <c r="K2477" i="25"/>
  <c r="L2477" i="25"/>
  <c r="G2476" i="25"/>
  <c r="I2476" i="25"/>
  <c r="K2476" i="25"/>
  <c r="L2476" i="25"/>
  <c r="G2475" i="25"/>
  <c r="I2475" i="25"/>
  <c r="K2475" i="25"/>
  <c r="L2475" i="25"/>
  <c r="G2474" i="25"/>
  <c r="I2474" i="25"/>
  <c r="K2474" i="25"/>
  <c r="L2474" i="25"/>
  <c r="G2473" i="25"/>
  <c r="I2473" i="25"/>
  <c r="K2473" i="25"/>
  <c r="L2473" i="25"/>
  <c r="G2472" i="25"/>
  <c r="I2472" i="25"/>
  <c r="K2472" i="25"/>
  <c r="L2472" i="25"/>
  <c r="G2471" i="25"/>
  <c r="I2471" i="25"/>
  <c r="K2471" i="25"/>
  <c r="L2471" i="25"/>
  <c r="G2470" i="25"/>
  <c r="I2470" i="25"/>
  <c r="K2470" i="25"/>
  <c r="L2470" i="25"/>
  <c r="G2469" i="25"/>
  <c r="I2469" i="25"/>
  <c r="K2469" i="25"/>
  <c r="L2469" i="25"/>
  <c r="G2468" i="25"/>
  <c r="I2468" i="25"/>
  <c r="K2468" i="25"/>
  <c r="L2468" i="25"/>
  <c r="G2467" i="25"/>
  <c r="I2467" i="25"/>
  <c r="K2467" i="25"/>
  <c r="L2467" i="25"/>
  <c r="G2466" i="25"/>
  <c r="I2466" i="25"/>
  <c r="K2466" i="25"/>
  <c r="L2466" i="25"/>
  <c r="G2465" i="25"/>
  <c r="I2465" i="25"/>
  <c r="K2465" i="25"/>
  <c r="L2465" i="25"/>
  <c r="G2464" i="25"/>
  <c r="I2464" i="25"/>
  <c r="K2464" i="25"/>
  <c r="L2464" i="25"/>
  <c r="G2463" i="25"/>
  <c r="I2463" i="25"/>
  <c r="K2463" i="25"/>
  <c r="L2463" i="25"/>
  <c r="G2462" i="25"/>
  <c r="I2462" i="25"/>
  <c r="K2462" i="25"/>
  <c r="L2462" i="25"/>
  <c r="G2461" i="25"/>
  <c r="I2461" i="25"/>
  <c r="K2461" i="25"/>
  <c r="L2461" i="25"/>
  <c r="G2460" i="25"/>
  <c r="I2460" i="25"/>
  <c r="K2460" i="25"/>
  <c r="L2460" i="25"/>
  <c r="G2459" i="25"/>
  <c r="I2459" i="25"/>
  <c r="K2459" i="25"/>
  <c r="L2459" i="25"/>
  <c r="G2458" i="25"/>
  <c r="I2458" i="25"/>
  <c r="K2458" i="25"/>
  <c r="L2458" i="25"/>
  <c r="G2457" i="25"/>
  <c r="I2457" i="25"/>
  <c r="K2457" i="25"/>
  <c r="L2457" i="25"/>
  <c r="G2456" i="25"/>
  <c r="I2456" i="25"/>
  <c r="K2456" i="25"/>
  <c r="L2456" i="25"/>
  <c r="G2455" i="25"/>
  <c r="I2455" i="25"/>
  <c r="K2455" i="25"/>
  <c r="L2455" i="25"/>
  <c r="G2454" i="25"/>
  <c r="I2454" i="25"/>
  <c r="K2454" i="25"/>
  <c r="L2454" i="25"/>
  <c r="G2453" i="25"/>
  <c r="I2453" i="25"/>
  <c r="K2453" i="25"/>
  <c r="L2453" i="25"/>
  <c r="G2452" i="25"/>
  <c r="I2452" i="25"/>
  <c r="K2452" i="25"/>
  <c r="L2452" i="25"/>
  <c r="G2451" i="25"/>
  <c r="I2451" i="25"/>
  <c r="K2451" i="25"/>
  <c r="L2451" i="25"/>
  <c r="G2450" i="25"/>
  <c r="I2450" i="25"/>
  <c r="K2450" i="25"/>
  <c r="L2450" i="25"/>
  <c r="G2449" i="25"/>
  <c r="I2449" i="25"/>
  <c r="K2449" i="25"/>
  <c r="L2449" i="25"/>
  <c r="G2448" i="25"/>
  <c r="I2448" i="25"/>
  <c r="K2448" i="25"/>
  <c r="L2448" i="25"/>
  <c r="G2447" i="25"/>
  <c r="I2447" i="25"/>
  <c r="K2447" i="25"/>
  <c r="L2447" i="25"/>
  <c r="G2446" i="25"/>
  <c r="I2446" i="25"/>
  <c r="K2446" i="25"/>
  <c r="L2446" i="25"/>
  <c r="G2445" i="25"/>
  <c r="I2445" i="25"/>
  <c r="K2445" i="25"/>
  <c r="L2445" i="25"/>
  <c r="G2444" i="25"/>
  <c r="I2444" i="25"/>
  <c r="K2444" i="25"/>
  <c r="L2444" i="25"/>
  <c r="G2443" i="25"/>
  <c r="I2443" i="25"/>
  <c r="K2443" i="25"/>
  <c r="L2443" i="25"/>
  <c r="G2442" i="25"/>
  <c r="I2442" i="25"/>
  <c r="K2442" i="25"/>
  <c r="L2442" i="25"/>
  <c r="G2441" i="25"/>
  <c r="I2441" i="25"/>
  <c r="K2441" i="25"/>
  <c r="L2441" i="25"/>
  <c r="G2440" i="25"/>
  <c r="I2440" i="25"/>
  <c r="K2440" i="25"/>
  <c r="L2440" i="25"/>
  <c r="G2439" i="25"/>
  <c r="I2439" i="25"/>
  <c r="K2439" i="25"/>
  <c r="L2439" i="25"/>
  <c r="G2438" i="25"/>
  <c r="I2438" i="25"/>
  <c r="K2438" i="25"/>
  <c r="L2438" i="25"/>
  <c r="G2437" i="25"/>
  <c r="I2437" i="25"/>
  <c r="K2437" i="25"/>
  <c r="L2437" i="25"/>
  <c r="G2436" i="25"/>
  <c r="I2436" i="25"/>
  <c r="K2436" i="25"/>
  <c r="L2436" i="25"/>
  <c r="G2435" i="25"/>
  <c r="I2435" i="25"/>
  <c r="K2435" i="25"/>
  <c r="L2435" i="25"/>
  <c r="G2434" i="25"/>
  <c r="I2434" i="25"/>
  <c r="K2434" i="25"/>
  <c r="L2434" i="25"/>
  <c r="G2433" i="25"/>
  <c r="I2433" i="25"/>
  <c r="K2433" i="25"/>
  <c r="L2433" i="25"/>
  <c r="G2432" i="25"/>
  <c r="I2432" i="25"/>
  <c r="K2432" i="25"/>
  <c r="L2432" i="25"/>
  <c r="G2431" i="25"/>
  <c r="I2431" i="25"/>
  <c r="K2431" i="25"/>
  <c r="L2431" i="25"/>
  <c r="G2430" i="25"/>
  <c r="I2430" i="25"/>
  <c r="K2430" i="25"/>
  <c r="L2430" i="25"/>
  <c r="G2429" i="25"/>
  <c r="I2429" i="25"/>
  <c r="K2429" i="25"/>
  <c r="L2429" i="25"/>
  <c r="G2428" i="25"/>
  <c r="I2428" i="25"/>
  <c r="K2428" i="25"/>
  <c r="L2428" i="25"/>
  <c r="G2427" i="25"/>
  <c r="I2427" i="25"/>
  <c r="K2427" i="25"/>
  <c r="L2427" i="25"/>
  <c r="G2426" i="25"/>
  <c r="I2426" i="25"/>
  <c r="K2426" i="25"/>
  <c r="L2426" i="25"/>
  <c r="G2425" i="25"/>
  <c r="I2425" i="25"/>
  <c r="K2425" i="25"/>
  <c r="L2425" i="25"/>
  <c r="G2424" i="25"/>
  <c r="I2424" i="25"/>
  <c r="K2424" i="25"/>
  <c r="L2424" i="25"/>
  <c r="G2423" i="25"/>
  <c r="I2423" i="25"/>
  <c r="K2423" i="25"/>
  <c r="L2423" i="25"/>
  <c r="G2422" i="25"/>
  <c r="I2422" i="25"/>
  <c r="K2422" i="25"/>
  <c r="L2422" i="25"/>
  <c r="G2421" i="25"/>
  <c r="I2421" i="25"/>
  <c r="K2421" i="25"/>
  <c r="L2421" i="25"/>
  <c r="G2420" i="25"/>
  <c r="I2420" i="25"/>
  <c r="K2420" i="25"/>
  <c r="L2420" i="25"/>
  <c r="G2419" i="25"/>
  <c r="I2419" i="25"/>
  <c r="K2419" i="25"/>
  <c r="L2419" i="25"/>
  <c r="G2418" i="25"/>
  <c r="I2418" i="25"/>
  <c r="K2418" i="25"/>
  <c r="L2418" i="25"/>
  <c r="G2417" i="25"/>
  <c r="I2417" i="25"/>
  <c r="K2417" i="25"/>
  <c r="L2417" i="25"/>
  <c r="G2416" i="25"/>
  <c r="I2416" i="25"/>
  <c r="K2416" i="25"/>
  <c r="L2416" i="25"/>
  <c r="G2415" i="25"/>
  <c r="I2415" i="25"/>
  <c r="K2415" i="25"/>
  <c r="L2415" i="25"/>
  <c r="G2414" i="25"/>
  <c r="I2414" i="25"/>
  <c r="K2414" i="25"/>
  <c r="L2414" i="25"/>
  <c r="G2413" i="25"/>
  <c r="I2413" i="25"/>
  <c r="K2413" i="25"/>
  <c r="L2413" i="25"/>
  <c r="G2412" i="25"/>
  <c r="I2412" i="25"/>
  <c r="K2412" i="25"/>
  <c r="L2412" i="25"/>
  <c r="G2411" i="25"/>
  <c r="I2411" i="25"/>
  <c r="K2411" i="25"/>
  <c r="L2411" i="25"/>
  <c r="G2410" i="25"/>
  <c r="I2410" i="25"/>
  <c r="K2410" i="25"/>
  <c r="L2410" i="25"/>
  <c r="G2409" i="25"/>
  <c r="I2409" i="25"/>
  <c r="K2409" i="25"/>
  <c r="L2409" i="25"/>
  <c r="G2408" i="25"/>
  <c r="I2408" i="25"/>
  <c r="K2408" i="25"/>
  <c r="L2408" i="25"/>
  <c r="G2407" i="25"/>
  <c r="I2407" i="25"/>
  <c r="K2407" i="25"/>
  <c r="L2407" i="25"/>
  <c r="G2406" i="25"/>
  <c r="I2406" i="25"/>
  <c r="K2406" i="25"/>
  <c r="L2406" i="25"/>
  <c r="G2405" i="25"/>
  <c r="I2405" i="25"/>
  <c r="K2405" i="25"/>
  <c r="L2405" i="25"/>
  <c r="G2404" i="25"/>
  <c r="I2404" i="25"/>
  <c r="K2404" i="25"/>
  <c r="L2404" i="25"/>
  <c r="G2403" i="25"/>
  <c r="I2403" i="25"/>
  <c r="K2403" i="25"/>
  <c r="L2403" i="25"/>
  <c r="G2402" i="25"/>
  <c r="I2402" i="25"/>
  <c r="K2402" i="25"/>
  <c r="L2402" i="25"/>
  <c r="G2401" i="25"/>
  <c r="I2401" i="25"/>
  <c r="K2401" i="25"/>
  <c r="L2401" i="25"/>
  <c r="G2400" i="25"/>
  <c r="I2400" i="25"/>
  <c r="K2400" i="25"/>
  <c r="L2400" i="25"/>
  <c r="G2399" i="25"/>
  <c r="I2399" i="25"/>
  <c r="K2399" i="25"/>
  <c r="L2399" i="25"/>
  <c r="G2398" i="25"/>
  <c r="I2398" i="25"/>
  <c r="K2398" i="25"/>
  <c r="L2398" i="25"/>
  <c r="G2397" i="25"/>
  <c r="I2397" i="25"/>
  <c r="K2397" i="25"/>
  <c r="L2397" i="25"/>
  <c r="G2396" i="25"/>
  <c r="I2396" i="25"/>
  <c r="K2396" i="25"/>
  <c r="L2396" i="25"/>
  <c r="G2395" i="25"/>
  <c r="I2395" i="25"/>
  <c r="K2395" i="25"/>
  <c r="L2395" i="25"/>
  <c r="G2394" i="25"/>
  <c r="I2394" i="25"/>
  <c r="K2394" i="25"/>
  <c r="L2394" i="25"/>
  <c r="G2393" i="25"/>
  <c r="I2393" i="25"/>
  <c r="K2393" i="25"/>
  <c r="L2393" i="25"/>
  <c r="G2392" i="25"/>
  <c r="I2392" i="25"/>
  <c r="K2392" i="25"/>
  <c r="L2392" i="25"/>
  <c r="G2391" i="25"/>
  <c r="I2391" i="25"/>
  <c r="K2391" i="25"/>
  <c r="L2391" i="25"/>
  <c r="G2390" i="25"/>
  <c r="I2390" i="25"/>
  <c r="K2390" i="25"/>
  <c r="L2390" i="25"/>
  <c r="G2389" i="25"/>
  <c r="I2389" i="25"/>
  <c r="K2389" i="25"/>
  <c r="L2389" i="25"/>
  <c r="G2388" i="25"/>
  <c r="I2388" i="25"/>
  <c r="K2388" i="25"/>
  <c r="L2388" i="25"/>
  <c r="G2387" i="25"/>
  <c r="I2387" i="25"/>
  <c r="K2387" i="25"/>
  <c r="L2387" i="25"/>
  <c r="G2386" i="25"/>
  <c r="I2386" i="25"/>
  <c r="K2386" i="25"/>
  <c r="L2386" i="25"/>
  <c r="G2385" i="25"/>
  <c r="I2385" i="25"/>
  <c r="K2385" i="25"/>
  <c r="L2385" i="25"/>
  <c r="G2384" i="25"/>
  <c r="I2384" i="25"/>
  <c r="K2384" i="25"/>
  <c r="L2384" i="25"/>
  <c r="G2383" i="25"/>
  <c r="I2383" i="25"/>
  <c r="K2383" i="25"/>
  <c r="L2383" i="25"/>
  <c r="G2382" i="25"/>
  <c r="I2382" i="25"/>
  <c r="K2382" i="25"/>
  <c r="L2382" i="25"/>
  <c r="G2381" i="25"/>
  <c r="I2381" i="25"/>
  <c r="K2381" i="25"/>
  <c r="L2381" i="25"/>
  <c r="G2380" i="25"/>
  <c r="I2380" i="25"/>
  <c r="K2380" i="25"/>
  <c r="L2380" i="25"/>
  <c r="G2379" i="25"/>
  <c r="I2379" i="25"/>
  <c r="K2379" i="25"/>
  <c r="L2379" i="25"/>
  <c r="G2378" i="25"/>
  <c r="I2378" i="25"/>
  <c r="K2378" i="25"/>
  <c r="L2378" i="25"/>
  <c r="G2377" i="25"/>
  <c r="I2377" i="25"/>
  <c r="K2377" i="25"/>
  <c r="L2377" i="25"/>
  <c r="G2376" i="25"/>
  <c r="I2376" i="25"/>
  <c r="K2376" i="25"/>
  <c r="L2376" i="25"/>
  <c r="G2375" i="25"/>
  <c r="I2375" i="25"/>
  <c r="K2375" i="25"/>
  <c r="L2375" i="25"/>
  <c r="G2374" i="25"/>
  <c r="I2374" i="25"/>
  <c r="K2374" i="25"/>
  <c r="L2374" i="25"/>
  <c r="G2373" i="25"/>
  <c r="I2373" i="25"/>
  <c r="K2373" i="25"/>
  <c r="L2373" i="25"/>
  <c r="G2372" i="25"/>
  <c r="I2372" i="25"/>
  <c r="K2372" i="25"/>
  <c r="L2372" i="25"/>
  <c r="G2371" i="25"/>
  <c r="I2371" i="25"/>
  <c r="K2371" i="25"/>
  <c r="L2371" i="25"/>
  <c r="G2370" i="25"/>
  <c r="I2370" i="25"/>
  <c r="K2370" i="25"/>
  <c r="L2370" i="25"/>
  <c r="G2369" i="25"/>
  <c r="I2369" i="25"/>
  <c r="K2369" i="25"/>
  <c r="L2369" i="25"/>
  <c r="G2368" i="25"/>
  <c r="I2368" i="25"/>
  <c r="K2368" i="25"/>
  <c r="L2368" i="25"/>
  <c r="G2367" i="25"/>
  <c r="I2367" i="25"/>
  <c r="K2367" i="25"/>
  <c r="L2367" i="25"/>
  <c r="G2366" i="25"/>
  <c r="I2366" i="25"/>
  <c r="K2366" i="25"/>
  <c r="L2366" i="25"/>
  <c r="G2365" i="25"/>
  <c r="I2365" i="25"/>
  <c r="K2365" i="25"/>
  <c r="L2365" i="25"/>
  <c r="G2364" i="25"/>
  <c r="I2364" i="25"/>
  <c r="K2364" i="25"/>
  <c r="L2364" i="25"/>
  <c r="G2363" i="25"/>
  <c r="I2363" i="25"/>
  <c r="K2363" i="25"/>
  <c r="L2363" i="25"/>
  <c r="G2362" i="25"/>
  <c r="I2362" i="25"/>
  <c r="K2362" i="25"/>
  <c r="L2362" i="25"/>
  <c r="G2361" i="25"/>
  <c r="I2361" i="25"/>
  <c r="K2361" i="25"/>
  <c r="L2361" i="25"/>
  <c r="G2360" i="25"/>
  <c r="I2360" i="25"/>
  <c r="K2360" i="25"/>
  <c r="L2360" i="25"/>
  <c r="G2359" i="25"/>
  <c r="I2359" i="25"/>
  <c r="K2359" i="25"/>
  <c r="L2359" i="25"/>
  <c r="G2358" i="25"/>
  <c r="I2358" i="25"/>
  <c r="K2358" i="25"/>
  <c r="L2358" i="25"/>
  <c r="G2357" i="25"/>
  <c r="I2357" i="25"/>
  <c r="K2357" i="25"/>
  <c r="L2357" i="25"/>
  <c r="G2356" i="25"/>
  <c r="I2356" i="25"/>
  <c r="K2356" i="25"/>
  <c r="L2356" i="25"/>
  <c r="G2355" i="25"/>
  <c r="I2355" i="25"/>
  <c r="K2355" i="25"/>
  <c r="L2355" i="25"/>
  <c r="G2354" i="25"/>
  <c r="I2354" i="25"/>
  <c r="K2354" i="25"/>
  <c r="L2354" i="25"/>
  <c r="G2353" i="25"/>
  <c r="I2353" i="25"/>
  <c r="K2353" i="25"/>
  <c r="L2353" i="25"/>
  <c r="G2352" i="25"/>
  <c r="I2352" i="25"/>
  <c r="K2352" i="25"/>
  <c r="L2352" i="25"/>
  <c r="G2351" i="25"/>
  <c r="I2351" i="25"/>
  <c r="K2351" i="25"/>
  <c r="L2351" i="25"/>
  <c r="G2350" i="25"/>
  <c r="I2350" i="25"/>
  <c r="K2350" i="25"/>
  <c r="L2350" i="25"/>
  <c r="G2349" i="25"/>
  <c r="I2349" i="25"/>
  <c r="K2349" i="25"/>
  <c r="L2349" i="25"/>
  <c r="G2348" i="25"/>
  <c r="I2348" i="25"/>
  <c r="K2348" i="25"/>
  <c r="L2348" i="25"/>
  <c r="G2347" i="25"/>
  <c r="I2347" i="25"/>
  <c r="K2347" i="25"/>
  <c r="L2347" i="25"/>
  <c r="G2346" i="25"/>
  <c r="I2346" i="25"/>
  <c r="K2346" i="25"/>
  <c r="L2346" i="25"/>
  <c r="G2345" i="25"/>
  <c r="I2345" i="25"/>
  <c r="K2345" i="25"/>
  <c r="L2345" i="25"/>
  <c r="G2344" i="25"/>
  <c r="I2344" i="25"/>
  <c r="K2344" i="25"/>
  <c r="L2344" i="25"/>
  <c r="G2343" i="25"/>
  <c r="I2343" i="25"/>
  <c r="K2343" i="25"/>
  <c r="L2343" i="25"/>
  <c r="G2342" i="25"/>
  <c r="I2342" i="25"/>
  <c r="K2342" i="25"/>
  <c r="L2342" i="25"/>
  <c r="G2341" i="25"/>
  <c r="I2341" i="25"/>
  <c r="K2341" i="25"/>
  <c r="L2341" i="25"/>
  <c r="G2340" i="25"/>
  <c r="I2340" i="25"/>
  <c r="K2340" i="25"/>
  <c r="L2340" i="25"/>
  <c r="G2339" i="25"/>
  <c r="I2339" i="25"/>
  <c r="K2339" i="25"/>
  <c r="L2339" i="25"/>
  <c r="G2338" i="25"/>
  <c r="I2338" i="25"/>
  <c r="K2338" i="25"/>
  <c r="L2338" i="25"/>
  <c r="G2337" i="25"/>
  <c r="I2337" i="25"/>
  <c r="K2337" i="25"/>
  <c r="L2337" i="25"/>
  <c r="G2336" i="25"/>
  <c r="I2336" i="25"/>
  <c r="K2336" i="25"/>
  <c r="L2336" i="25"/>
  <c r="G2335" i="25"/>
  <c r="I2335" i="25"/>
  <c r="K2335" i="25"/>
  <c r="L2335" i="25"/>
  <c r="G2334" i="25"/>
  <c r="I2334" i="25"/>
  <c r="K2334" i="25"/>
  <c r="L2334" i="25"/>
  <c r="G2333" i="25"/>
  <c r="I2333" i="25"/>
  <c r="K2333" i="25"/>
  <c r="L2333" i="25"/>
  <c r="G2332" i="25"/>
  <c r="I2332" i="25"/>
  <c r="K2332" i="25"/>
  <c r="L2332" i="25"/>
  <c r="G2331" i="25"/>
  <c r="I2331" i="25"/>
  <c r="K2331" i="25"/>
  <c r="L2331" i="25"/>
  <c r="G2330" i="25"/>
  <c r="I2330" i="25"/>
  <c r="K2330" i="25"/>
  <c r="L2330" i="25"/>
  <c r="G2329" i="25"/>
  <c r="I2329" i="25"/>
  <c r="K2329" i="25"/>
  <c r="L2329" i="25"/>
  <c r="G2328" i="25"/>
  <c r="I2328" i="25"/>
  <c r="K2328" i="25"/>
  <c r="L2328" i="25"/>
  <c r="G2327" i="25"/>
  <c r="I2327" i="25"/>
  <c r="K2327" i="25"/>
  <c r="L2327" i="25"/>
  <c r="G2326" i="25"/>
  <c r="I2326" i="25"/>
  <c r="K2326" i="25"/>
  <c r="L2326" i="25"/>
  <c r="G2325" i="25"/>
  <c r="I2325" i="25"/>
  <c r="K2325" i="25"/>
  <c r="L2325" i="25"/>
  <c r="G2324" i="25"/>
  <c r="I2324" i="25"/>
  <c r="K2324" i="25"/>
  <c r="L2324" i="25"/>
  <c r="G2323" i="25"/>
  <c r="I2323" i="25"/>
  <c r="K2323" i="25"/>
  <c r="L2323" i="25"/>
  <c r="G2322" i="25"/>
  <c r="I2322" i="25"/>
  <c r="K2322" i="25"/>
  <c r="L2322" i="25"/>
  <c r="G2321" i="25"/>
  <c r="I2321" i="25"/>
  <c r="K2321" i="25"/>
  <c r="L2321" i="25"/>
  <c r="G2320" i="25"/>
  <c r="I2320" i="25"/>
  <c r="K2320" i="25"/>
  <c r="L2320" i="25"/>
  <c r="G2319" i="25"/>
  <c r="I2319" i="25"/>
  <c r="K2319" i="25"/>
  <c r="L2319" i="25"/>
  <c r="G2318" i="25"/>
  <c r="I2318" i="25"/>
  <c r="K2318" i="25"/>
  <c r="L2318" i="25"/>
  <c r="G2317" i="25"/>
  <c r="I2317" i="25"/>
  <c r="K2317" i="25"/>
  <c r="L2317" i="25"/>
  <c r="G2316" i="25"/>
  <c r="I2316" i="25"/>
  <c r="K2316" i="25"/>
  <c r="L2316" i="25"/>
  <c r="G2315" i="25"/>
  <c r="I2315" i="25"/>
  <c r="K2315" i="25"/>
  <c r="L2315" i="25"/>
  <c r="G2314" i="25"/>
  <c r="I2314" i="25"/>
  <c r="K2314" i="25"/>
  <c r="L2314" i="25"/>
  <c r="G2313" i="25"/>
  <c r="I2313" i="25"/>
  <c r="K2313" i="25"/>
  <c r="L2313" i="25"/>
  <c r="G2312" i="25"/>
  <c r="I2312" i="25"/>
  <c r="K2312" i="25"/>
  <c r="L2312" i="25"/>
  <c r="G2311" i="25"/>
  <c r="I2311" i="25"/>
  <c r="K2311" i="25"/>
  <c r="L2311" i="25"/>
  <c r="G2310" i="25"/>
  <c r="I2310" i="25"/>
  <c r="K2310" i="25"/>
  <c r="L2310" i="25"/>
  <c r="G2309" i="25"/>
  <c r="I2309" i="25"/>
  <c r="K2309" i="25"/>
  <c r="L2309" i="25"/>
  <c r="G2308" i="25"/>
  <c r="I2308" i="25"/>
  <c r="K2308" i="25"/>
  <c r="L2308" i="25"/>
  <c r="G2307" i="25"/>
  <c r="I2307" i="25"/>
  <c r="K2307" i="25"/>
  <c r="L2307" i="25"/>
  <c r="G2306" i="25"/>
  <c r="I2306" i="25"/>
  <c r="K2306" i="25"/>
  <c r="L2306" i="25"/>
  <c r="G2305" i="25"/>
  <c r="I2305" i="25"/>
  <c r="K2305" i="25"/>
  <c r="L2305" i="25"/>
  <c r="G2304" i="25"/>
  <c r="I2304" i="25"/>
  <c r="K2304" i="25"/>
  <c r="L2304" i="25"/>
  <c r="G2303" i="25"/>
  <c r="I2303" i="25"/>
  <c r="K2303" i="25"/>
  <c r="L2303" i="25"/>
  <c r="G2302" i="25"/>
  <c r="I2302" i="25"/>
  <c r="K2302" i="25"/>
  <c r="L2302" i="25"/>
  <c r="G2301" i="25"/>
  <c r="I2301" i="25"/>
  <c r="K2301" i="25"/>
  <c r="L2301" i="25"/>
  <c r="G2300" i="25"/>
  <c r="I2300" i="25"/>
  <c r="K2300" i="25"/>
  <c r="L2300" i="25"/>
  <c r="G2299" i="25"/>
  <c r="I2299" i="25"/>
  <c r="K2299" i="25"/>
  <c r="L2299" i="25"/>
  <c r="G2298" i="25"/>
  <c r="I2298" i="25"/>
  <c r="K2298" i="25"/>
  <c r="L2298" i="25"/>
  <c r="G2297" i="25"/>
  <c r="I2297" i="25"/>
  <c r="K2297" i="25"/>
  <c r="L2297" i="25"/>
  <c r="G2296" i="25"/>
  <c r="I2296" i="25"/>
  <c r="K2296" i="25"/>
  <c r="L2296" i="25"/>
  <c r="G2295" i="25"/>
  <c r="I2295" i="25"/>
  <c r="K2295" i="25"/>
  <c r="L2295" i="25"/>
  <c r="G2294" i="25"/>
  <c r="I2294" i="25"/>
  <c r="K2294" i="25"/>
  <c r="L2294" i="25"/>
  <c r="G2293" i="25"/>
  <c r="I2293" i="25"/>
  <c r="K2293" i="25"/>
  <c r="L2293" i="25"/>
  <c r="G2292" i="25"/>
  <c r="I2292" i="25"/>
  <c r="K2292" i="25"/>
  <c r="L2292" i="25"/>
  <c r="G2291" i="25"/>
  <c r="I2291" i="25"/>
  <c r="K2291" i="25"/>
  <c r="L2291" i="25"/>
  <c r="G2290" i="25"/>
  <c r="I2290" i="25"/>
  <c r="K2290" i="25"/>
  <c r="L2290" i="25"/>
  <c r="G2289" i="25"/>
  <c r="I2289" i="25"/>
  <c r="K2289" i="25"/>
  <c r="L2289" i="25"/>
  <c r="G2288" i="25"/>
  <c r="I2288" i="25"/>
  <c r="K2288" i="25"/>
  <c r="L2288" i="25"/>
  <c r="G2287" i="25"/>
  <c r="I2287" i="25"/>
  <c r="K2287" i="25"/>
  <c r="L2287" i="25"/>
  <c r="G2286" i="25"/>
  <c r="I2286" i="25"/>
  <c r="K2286" i="25"/>
  <c r="L2286" i="25"/>
  <c r="G2285" i="25"/>
  <c r="I2285" i="25"/>
  <c r="K2285" i="25"/>
  <c r="L2285" i="25"/>
  <c r="G2284" i="25"/>
  <c r="I2284" i="25"/>
  <c r="K2284" i="25"/>
  <c r="L2284" i="25"/>
  <c r="G2283" i="25"/>
  <c r="I2283" i="25"/>
  <c r="K2283" i="25"/>
  <c r="L2283" i="25"/>
  <c r="G2282" i="25"/>
  <c r="I2282" i="25"/>
  <c r="K2282" i="25"/>
  <c r="L2282" i="25"/>
  <c r="G2281" i="25"/>
  <c r="I2281" i="25"/>
  <c r="K2281" i="25"/>
  <c r="L2281" i="25"/>
  <c r="G2280" i="25"/>
  <c r="I2280" i="25"/>
  <c r="K2280" i="25"/>
  <c r="L2280" i="25"/>
  <c r="G2279" i="25"/>
  <c r="I2279" i="25"/>
  <c r="K2279" i="25"/>
  <c r="L2279" i="25"/>
  <c r="G2278" i="25"/>
  <c r="I2278" i="25"/>
  <c r="K2278" i="25"/>
  <c r="L2278" i="25"/>
  <c r="G2277" i="25"/>
  <c r="I2277" i="25"/>
  <c r="K2277" i="25"/>
  <c r="L2277" i="25"/>
  <c r="G2276" i="25"/>
  <c r="I2276" i="25"/>
  <c r="K2276" i="25"/>
  <c r="L2276" i="25"/>
  <c r="G2275" i="25"/>
  <c r="I2275" i="25"/>
  <c r="K2275" i="25"/>
  <c r="L2275" i="25"/>
  <c r="G2274" i="25"/>
  <c r="I2274" i="25"/>
  <c r="K2274" i="25"/>
  <c r="L2274" i="25"/>
  <c r="G2273" i="25"/>
  <c r="I2273" i="25"/>
  <c r="K2273" i="25"/>
  <c r="L2273" i="25"/>
  <c r="G2272" i="25"/>
  <c r="I2272" i="25"/>
  <c r="K2272" i="25"/>
  <c r="L2272" i="25"/>
  <c r="G2271" i="25"/>
  <c r="I2271" i="25"/>
  <c r="K2271" i="25"/>
  <c r="L2271" i="25"/>
  <c r="G2270" i="25"/>
  <c r="I2270" i="25"/>
  <c r="K2270" i="25"/>
  <c r="L2270" i="25"/>
  <c r="G2269" i="25"/>
  <c r="I2269" i="25"/>
  <c r="K2269" i="25"/>
  <c r="L2269" i="25"/>
  <c r="G2268" i="25"/>
  <c r="I2268" i="25"/>
  <c r="K2268" i="25"/>
  <c r="L2268" i="25"/>
  <c r="G2267" i="25"/>
  <c r="I2267" i="25"/>
  <c r="K2267" i="25"/>
  <c r="L2267" i="25"/>
  <c r="G2266" i="25"/>
  <c r="I2266" i="25"/>
  <c r="K2266" i="25"/>
  <c r="L2266" i="25"/>
  <c r="G2265" i="25"/>
  <c r="I2265" i="25"/>
  <c r="K2265" i="25"/>
  <c r="L2265" i="25"/>
  <c r="G2264" i="25"/>
  <c r="I2264" i="25"/>
  <c r="K2264" i="25"/>
  <c r="L2264" i="25"/>
  <c r="G2263" i="25"/>
  <c r="I2263" i="25"/>
  <c r="K2263" i="25"/>
  <c r="L2263" i="25"/>
  <c r="G2262" i="25"/>
  <c r="I2262" i="25"/>
  <c r="K2262" i="25"/>
  <c r="L2262" i="25"/>
  <c r="G2261" i="25"/>
  <c r="I2261" i="25"/>
  <c r="K2261" i="25"/>
  <c r="L2261" i="25"/>
  <c r="G2260" i="25"/>
  <c r="I2260" i="25"/>
  <c r="K2260" i="25"/>
  <c r="L2260" i="25"/>
  <c r="G2259" i="25"/>
  <c r="I2259" i="25"/>
  <c r="K2259" i="25"/>
  <c r="L2259" i="25"/>
  <c r="G2258" i="25"/>
  <c r="I2258" i="25"/>
  <c r="K2258" i="25"/>
  <c r="L2258" i="25"/>
  <c r="G2257" i="25"/>
  <c r="I2257" i="25"/>
  <c r="K2257" i="25"/>
  <c r="L2257" i="25"/>
  <c r="G2256" i="25"/>
  <c r="I2256" i="25"/>
  <c r="K2256" i="25"/>
  <c r="L2256" i="25"/>
  <c r="G2255" i="25"/>
  <c r="I2255" i="25"/>
  <c r="K2255" i="25"/>
  <c r="L2255" i="25"/>
  <c r="G2254" i="25"/>
  <c r="I2254" i="25"/>
  <c r="K2254" i="25"/>
  <c r="L2254" i="25"/>
  <c r="G2253" i="25"/>
  <c r="I2253" i="25"/>
  <c r="K2253" i="25"/>
  <c r="L2253" i="25"/>
  <c r="G2252" i="25"/>
  <c r="I2252" i="25"/>
  <c r="K2252" i="25"/>
  <c r="L2252" i="25"/>
  <c r="G2251" i="25"/>
  <c r="I2251" i="25"/>
  <c r="K2251" i="25"/>
  <c r="L2251" i="25"/>
  <c r="G2250" i="25"/>
  <c r="I2250" i="25"/>
  <c r="K2250" i="25"/>
  <c r="L2250" i="25"/>
  <c r="G2249" i="25"/>
  <c r="I2249" i="25"/>
  <c r="K2249" i="25"/>
  <c r="L2249" i="25"/>
  <c r="G2248" i="25"/>
  <c r="I2248" i="25"/>
  <c r="K2248" i="25"/>
  <c r="L2248" i="25"/>
  <c r="G2247" i="25"/>
  <c r="I2247" i="25"/>
  <c r="K2247" i="25"/>
  <c r="L2247" i="25"/>
  <c r="G2246" i="25"/>
  <c r="I2246" i="25"/>
  <c r="K2246" i="25"/>
  <c r="L2246" i="25"/>
  <c r="G2245" i="25"/>
  <c r="I2245" i="25"/>
  <c r="K2245" i="25"/>
  <c r="L2245" i="25"/>
  <c r="G2244" i="25"/>
  <c r="I2244" i="25"/>
  <c r="K2244" i="25"/>
  <c r="L2244" i="25"/>
  <c r="G2243" i="25"/>
  <c r="I2243" i="25"/>
  <c r="K2243" i="25"/>
  <c r="L2243" i="25"/>
  <c r="G2242" i="25"/>
  <c r="I2242" i="25"/>
  <c r="K2242" i="25"/>
  <c r="L2242" i="25"/>
  <c r="G2241" i="25"/>
  <c r="I2241" i="25"/>
  <c r="K2241" i="25"/>
  <c r="L2241" i="25"/>
  <c r="G2240" i="25"/>
  <c r="I2240" i="25"/>
  <c r="K2240" i="25"/>
  <c r="L2240" i="25"/>
  <c r="G2239" i="25"/>
  <c r="I2239" i="25"/>
  <c r="K2239" i="25"/>
  <c r="L2239" i="25"/>
  <c r="G2238" i="25"/>
  <c r="I2238" i="25"/>
  <c r="K2238" i="25"/>
  <c r="L2238" i="25"/>
  <c r="G2237" i="25"/>
  <c r="I2237" i="25"/>
  <c r="K2237" i="25"/>
  <c r="L2237" i="25"/>
  <c r="G2236" i="25"/>
  <c r="I2236" i="25"/>
  <c r="K2236" i="25"/>
  <c r="L2236" i="25"/>
  <c r="G2235" i="25"/>
  <c r="I2235" i="25"/>
  <c r="K2235" i="25"/>
  <c r="L2235" i="25"/>
  <c r="G2234" i="25"/>
  <c r="I2234" i="25"/>
  <c r="K2234" i="25"/>
  <c r="L2234" i="25"/>
  <c r="G2233" i="25"/>
  <c r="I2233" i="25"/>
  <c r="K2233" i="25"/>
  <c r="L2233" i="25"/>
  <c r="G2232" i="25"/>
  <c r="I2232" i="25"/>
  <c r="K2232" i="25"/>
  <c r="L2232" i="25"/>
  <c r="G2231" i="25"/>
  <c r="I2231" i="25"/>
  <c r="K2231" i="25"/>
  <c r="L2231" i="25"/>
  <c r="G2230" i="25"/>
  <c r="I2230" i="25"/>
  <c r="K2230" i="25"/>
  <c r="L2230" i="25"/>
  <c r="G2229" i="25"/>
  <c r="I2229" i="25"/>
  <c r="K2229" i="25"/>
  <c r="L2229" i="25"/>
  <c r="G2228" i="25"/>
  <c r="I2228" i="25"/>
  <c r="K2228" i="25"/>
  <c r="L2228" i="25"/>
  <c r="G2227" i="25"/>
  <c r="I2227" i="25"/>
  <c r="K2227" i="25"/>
  <c r="L2227" i="25"/>
  <c r="G2226" i="25"/>
  <c r="I2226" i="25"/>
  <c r="K2226" i="25"/>
  <c r="L2226" i="25"/>
  <c r="G2225" i="25"/>
  <c r="I2225" i="25"/>
  <c r="K2225" i="25"/>
  <c r="L2225" i="25"/>
  <c r="G2224" i="25"/>
  <c r="I2224" i="25"/>
  <c r="K2224" i="25"/>
  <c r="L2224" i="25"/>
  <c r="G2223" i="25"/>
  <c r="I2223" i="25"/>
  <c r="K2223" i="25"/>
  <c r="L2223" i="25"/>
  <c r="G2222" i="25"/>
  <c r="I2222" i="25"/>
  <c r="K2222" i="25"/>
  <c r="L2222" i="25"/>
  <c r="G2221" i="25"/>
  <c r="I2221" i="25"/>
  <c r="K2221" i="25"/>
  <c r="L2221" i="25"/>
  <c r="G2220" i="25"/>
  <c r="I2220" i="25"/>
  <c r="K2220" i="25"/>
  <c r="L2220" i="25"/>
  <c r="G2219" i="25"/>
  <c r="I2219" i="25"/>
  <c r="K2219" i="25"/>
  <c r="L2219" i="25"/>
  <c r="G2218" i="25"/>
  <c r="I2218" i="25"/>
  <c r="K2218" i="25"/>
  <c r="L2218" i="25"/>
  <c r="G2217" i="25"/>
  <c r="I2217" i="25"/>
  <c r="K2217" i="25"/>
  <c r="L2217" i="25"/>
  <c r="G2216" i="25"/>
  <c r="I2216" i="25"/>
  <c r="K2216" i="25"/>
  <c r="L2216" i="25"/>
  <c r="G2215" i="25"/>
  <c r="I2215" i="25"/>
  <c r="K2215" i="25"/>
  <c r="L2215" i="25"/>
  <c r="G2214" i="25"/>
  <c r="I2214" i="25"/>
  <c r="K2214" i="25"/>
  <c r="L2214" i="25"/>
  <c r="G2213" i="25"/>
  <c r="I2213" i="25"/>
  <c r="K2213" i="25"/>
  <c r="L2213" i="25"/>
  <c r="G2212" i="25"/>
  <c r="I2212" i="25"/>
  <c r="K2212" i="25"/>
  <c r="L2212" i="25"/>
  <c r="G2211" i="25"/>
  <c r="I2211" i="25"/>
  <c r="K2211" i="25"/>
  <c r="L2211" i="25"/>
  <c r="G2210" i="25"/>
  <c r="I2210" i="25"/>
  <c r="K2210" i="25"/>
  <c r="L2210" i="25"/>
  <c r="G2209" i="25"/>
  <c r="I2209" i="25"/>
  <c r="K2209" i="25"/>
  <c r="L2209" i="25"/>
  <c r="G2208" i="25"/>
  <c r="I2208" i="25"/>
  <c r="K2208" i="25"/>
  <c r="L2208" i="25"/>
  <c r="G2207" i="25"/>
  <c r="I2207" i="25"/>
  <c r="K2207" i="25"/>
  <c r="L2207" i="25"/>
  <c r="G2206" i="25"/>
  <c r="I2206" i="25"/>
  <c r="K2206" i="25"/>
  <c r="L2206" i="25"/>
  <c r="G2205" i="25"/>
  <c r="I2205" i="25"/>
  <c r="K2205" i="25"/>
  <c r="L2205" i="25"/>
  <c r="G2204" i="25"/>
  <c r="I2204" i="25"/>
  <c r="K2204" i="25"/>
  <c r="L2204" i="25"/>
  <c r="G2203" i="25"/>
  <c r="I2203" i="25"/>
  <c r="K2203" i="25"/>
  <c r="L2203" i="25"/>
  <c r="G2202" i="25"/>
  <c r="I2202" i="25"/>
  <c r="K2202" i="25"/>
  <c r="L2202" i="25"/>
  <c r="G2201" i="25"/>
  <c r="I2201" i="25"/>
  <c r="K2201" i="25"/>
  <c r="L2201" i="25"/>
  <c r="G2200" i="25"/>
  <c r="I2200" i="25"/>
  <c r="K2200" i="25"/>
  <c r="L2200" i="25"/>
  <c r="G2199" i="25"/>
  <c r="I2199" i="25"/>
  <c r="K2199" i="25"/>
  <c r="L2199" i="25"/>
  <c r="G2198" i="25"/>
  <c r="I2198" i="25"/>
  <c r="K2198" i="25"/>
  <c r="L2198" i="25"/>
  <c r="G2197" i="25"/>
  <c r="I2197" i="25"/>
  <c r="K2197" i="25"/>
  <c r="L2197" i="25"/>
  <c r="G2196" i="25"/>
  <c r="I2196" i="25"/>
  <c r="K2196" i="25"/>
  <c r="L2196" i="25"/>
  <c r="G2195" i="25"/>
  <c r="I2195" i="25"/>
  <c r="K2195" i="25"/>
  <c r="L2195" i="25"/>
  <c r="G2194" i="25"/>
  <c r="I2194" i="25"/>
  <c r="K2194" i="25"/>
  <c r="L2194" i="25"/>
  <c r="G2193" i="25"/>
  <c r="I2193" i="25"/>
  <c r="K2193" i="25"/>
  <c r="L2193" i="25"/>
  <c r="G2192" i="25"/>
  <c r="I2192" i="25"/>
  <c r="K2192" i="25"/>
  <c r="L2192" i="25"/>
  <c r="G2191" i="25"/>
  <c r="I2191" i="25"/>
  <c r="K2191" i="25"/>
  <c r="L2191" i="25"/>
  <c r="G2190" i="25"/>
  <c r="I2190" i="25"/>
  <c r="K2190" i="25"/>
  <c r="L2190" i="25"/>
  <c r="G2189" i="25"/>
  <c r="I2189" i="25"/>
  <c r="K2189" i="25"/>
  <c r="L2189" i="25"/>
  <c r="G2188" i="25"/>
  <c r="I2188" i="25"/>
  <c r="K2188" i="25"/>
  <c r="L2188" i="25"/>
  <c r="G2187" i="25"/>
  <c r="I2187" i="25"/>
  <c r="K2187" i="25"/>
  <c r="L2187" i="25"/>
  <c r="G2186" i="25"/>
  <c r="I2186" i="25"/>
  <c r="K2186" i="25"/>
  <c r="L2186" i="25"/>
  <c r="G2185" i="25"/>
  <c r="I2185" i="25"/>
  <c r="K2185" i="25"/>
  <c r="L2185" i="25"/>
  <c r="G2184" i="25"/>
  <c r="I2184" i="25"/>
  <c r="K2184" i="25"/>
  <c r="L2184" i="25"/>
  <c r="G2183" i="25"/>
  <c r="I2183" i="25"/>
  <c r="K2183" i="25"/>
  <c r="L2183" i="25"/>
  <c r="G2182" i="25"/>
  <c r="I2182" i="25"/>
  <c r="K2182" i="25"/>
  <c r="L2182" i="25"/>
  <c r="G2181" i="25"/>
  <c r="I2181" i="25"/>
  <c r="K2181" i="25"/>
  <c r="L2181" i="25"/>
  <c r="G2180" i="25"/>
  <c r="I2180" i="25"/>
  <c r="K2180" i="25"/>
  <c r="L2180" i="25"/>
  <c r="G2179" i="25"/>
  <c r="I2179" i="25"/>
  <c r="K2179" i="25"/>
  <c r="L2179" i="25"/>
  <c r="G2178" i="25"/>
  <c r="I2178" i="25"/>
  <c r="K2178" i="25"/>
  <c r="L2178" i="25"/>
  <c r="G2177" i="25"/>
  <c r="I2177" i="25"/>
  <c r="K2177" i="25"/>
  <c r="L2177" i="25"/>
  <c r="G2176" i="25"/>
  <c r="I2176" i="25"/>
  <c r="K2176" i="25"/>
  <c r="L2176" i="25"/>
  <c r="G2175" i="25"/>
  <c r="I2175" i="25"/>
  <c r="K2175" i="25"/>
  <c r="L2175" i="25"/>
  <c r="G2174" i="25"/>
  <c r="I2174" i="25"/>
  <c r="K2174" i="25"/>
  <c r="L2174" i="25"/>
  <c r="G2173" i="25"/>
  <c r="I2173" i="25"/>
  <c r="K2173" i="25"/>
  <c r="L2173" i="25"/>
  <c r="G2172" i="25"/>
  <c r="I2172" i="25"/>
  <c r="K2172" i="25"/>
  <c r="L2172" i="25"/>
  <c r="G2171" i="25"/>
  <c r="I2171" i="25"/>
  <c r="K2171" i="25"/>
  <c r="L2171" i="25"/>
  <c r="G2170" i="25"/>
  <c r="I2170" i="25"/>
  <c r="K2170" i="25"/>
  <c r="L2170" i="25"/>
  <c r="G2169" i="25"/>
  <c r="I2169" i="25"/>
  <c r="K2169" i="25"/>
  <c r="L2169" i="25"/>
  <c r="G2168" i="25"/>
  <c r="I2168" i="25"/>
  <c r="K2168" i="25"/>
  <c r="L2168" i="25"/>
  <c r="G2167" i="25"/>
  <c r="I2167" i="25"/>
  <c r="K2167" i="25"/>
  <c r="L2167" i="25"/>
  <c r="G2166" i="25"/>
  <c r="I2166" i="25"/>
  <c r="K2166" i="25"/>
  <c r="L2166" i="25"/>
  <c r="G2165" i="25"/>
  <c r="I2165" i="25"/>
  <c r="K2165" i="25"/>
  <c r="L2165" i="25"/>
  <c r="G2164" i="25"/>
  <c r="I2164" i="25"/>
  <c r="K2164" i="25"/>
  <c r="L2164" i="25"/>
  <c r="G2163" i="25"/>
  <c r="I2163" i="25"/>
  <c r="K2163" i="25"/>
  <c r="L2163" i="25"/>
  <c r="G2162" i="25"/>
  <c r="I2162" i="25"/>
  <c r="K2162" i="25"/>
  <c r="L2162" i="25"/>
  <c r="G2161" i="25"/>
  <c r="I2161" i="25"/>
  <c r="K2161" i="25"/>
  <c r="L2161" i="25"/>
  <c r="G2160" i="25"/>
  <c r="I2160" i="25"/>
  <c r="K2160" i="25"/>
  <c r="L2160" i="25"/>
  <c r="G2159" i="25"/>
  <c r="I2159" i="25"/>
  <c r="K2159" i="25"/>
  <c r="L2159" i="25"/>
  <c r="G2158" i="25"/>
  <c r="I2158" i="25"/>
  <c r="K2158" i="25"/>
  <c r="L2158" i="25"/>
  <c r="G2157" i="25"/>
  <c r="I2157" i="25"/>
  <c r="K2157" i="25"/>
  <c r="L2157" i="25"/>
  <c r="G2156" i="25"/>
  <c r="I2156" i="25"/>
  <c r="K2156" i="25"/>
  <c r="L2156" i="25"/>
  <c r="G2155" i="25"/>
  <c r="I2155" i="25"/>
  <c r="K2155" i="25"/>
  <c r="L2155" i="25"/>
  <c r="G2154" i="25"/>
  <c r="I2154" i="25"/>
  <c r="K2154" i="25"/>
  <c r="L2154" i="25"/>
  <c r="G2153" i="25"/>
  <c r="I2153" i="25"/>
  <c r="K2153" i="25"/>
  <c r="L2153" i="25"/>
  <c r="G2152" i="25"/>
  <c r="I2152" i="25"/>
  <c r="K2152" i="25"/>
  <c r="L2152" i="25"/>
  <c r="G2151" i="25"/>
  <c r="I2151" i="25"/>
  <c r="K2151" i="25"/>
  <c r="L2151" i="25"/>
  <c r="G2150" i="25"/>
  <c r="I2150" i="25"/>
  <c r="K2150" i="25"/>
  <c r="L2150" i="25"/>
  <c r="G2149" i="25"/>
  <c r="I2149" i="25"/>
  <c r="K2149" i="25"/>
  <c r="L2149" i="25"/>
  <c r="G2148" i="25"/>
  <c r="I2148" i="25"/>
  <c r="K2148" i="25"/>
  <c r="L2148" i="25"/>
  <c r="G2147" i="25"/>
  <c r="I2147" i="25"/>
  <c r="K2147" i="25"/>
  <c r="L2147" i="25"/>
  <c r="G2146" i="25"/>
  <c r="I2146" i="25"/>
  <c r="K2146" i="25"/>
  <c r="L2146" i="25"/>
  <c r="G2145" i="25"/>
  <c r="I2145" i="25"/>
  <c r="K2145" i="25"/>
  <c r="L2145" i="25"/>
  <c r="G2144" i="25"/>
  <c r="I2144" i="25"/>
  <c r="K2144" i="25"/>
  <c r="L2144" i="25"/>
  <c r="G2143" i="25"/>
  <c r="I2143" i="25"/>
  <c r="K2143" i="25"/>
  <c r="L2143" i="25"/>
  <c r="G2142" i="25"/>
  <c r="I2142" i="25"/>
  <c r="K2142" i="25"/>
  <c r="L2142" i="25"/>
  <c r="G2141" i="25"/>
  <c r="I2141" i="25"/>
  <c r="K2141" i="25"/>
  <c r="L2141" i="25"/>
  <c r="G2140" i="25"/>
  <c r="I2140" i="25"/>
  <c r="K2140" i="25"/>
  <c r="L2140" i="25"/>
  <c r="G2139" i="25"/>
  <c r="I2139" i="25"/>
  <c r="K2139" i="25"/>
  <c r="L2139" i="25"/>
  <c r="G2138" i="25"/>
  <c r="I2138" i="25"/>
  <c r="K2138" i="25"/>
  <c r="L2138" i="25"/>
  <c r="G2137" i="25"/>
  <c r="I2137" i="25"/>
  <c r="K2137" i="25"/>
  <c r="L2137" i="25"/>
  <c r="G2136" i="25"/>
  <c r="I2136" i="25"/>
  <c r="K2136" i="25"/>
  <c r="L2136" i="25"/>
  <c r="G2135" i="25"/>
  <c r="I2135" i="25"/>
  <c r="K2135" i="25"/>
  <c r="L2135" i="25"/>
  <c r="G2134" i="25"/>
  <c r="I2134" i="25"/>
  <c r="K2134" i="25"/>
  <c r="L2134" i="25"/>
  <c r="G2133" i="25"/>
  <c r="I2133" i="25"/>
  <c r="K2133" i="25"/>
  <c r="L2133" i="25"/>
  <c r="G2132" i="25"/>
  <c r="I2132" i="25"/>
  <c r="K2132" i="25"/>
  <c r="L2132" i="25"/>
  <c r="G2131" i="25"/>
  <c r="I2131" i="25"/>
  <c r="K2131" i="25"/>
  <c r="L2131" i="25"/>
  <c r="G2130" i="25"/>
  <c r="I2130" i="25"/>
  <c r="K2130" i="25"/>
  <c r="L2130" i="25"/>
  <c r="G2129" i="25"/>
  <c r="I2129" i="25"/>
  <c r="K2129" i="25"/>
  <c r="L2129" i="25"/>
  <c r="G2128" i="25"/>
  <c r="I2128" i="25"/>
  <c r="K2128" i="25"/>
  <c r="L2128" i="25"/>
  <c r="G2127" i="25"/>
  <c r="I2127" i="25"/>
  <c r="K2127" i="25"/>
  <c r="L2127" i="25"/>
  <c r="G2126" i="25"/>
  <c r="I2126" i="25"/>
  <c r="K2126" i="25"/>
  <c r="L2126" i="25"/>
  <c r="G2125" i="25"/>
  <c r="I2125" i="25"/>
  <c r="K2125" i="25"/>
  <c r="L2125" i="25"/>
  <c r="G2124" i="25"/>
  <c r="I2124" i="25"/>
  <c r="K2124" i="25"/>
  <c r="L2124" i="25"/>
  <c r="G2123" i="25"/>
  <c r="I2123" i="25"/>
  <c r="K2123" i="25"/>
  <c r="L2123" i="25"/>
  <c r="G2122" i="25"/>
  <c r="I2122" i="25"/>
  <c r="K2122" i="25"/>
  <c r="L2122" i="25"/>
  <c r="G2121" i="25"/>
  <c r="I2121" i="25"/>
  <c r="K2121" i="25"/>
  <c r="L2121" i="25"/>
  <c r="G2120" i="25"/>
  <c r="I2120" i="25"/>
  <c r="K2120" i="25"/>
  <c r="L2120" i="25"/>
  <c r="G2119" i="25"/>
  <c r="I2119" i="25"/>
  <c r="K2119" i="25"/>
  <c r="L2119" i="25"/>
  <c r="G2118" i="25"/>
  <c r="I2118" i="25"/>
  <c r="K2118" i="25"/>
  <c r="L2118" i="25"/>
  <c r="G2117" i="25"/>
  <c r="I2117" i="25"/>
  <c r="K2117" i="25"/>
  <c r="L2117" i="25"/>
  <c r="G2116" i="25"/>
  <c r="I2116" i="25"/>
  <c r="K2116" i="25"/>
  <c r="L2116" i="25"/>
  <c r="G2115" i="25"/>
  <c r="I2115" i="25"/>
  <c r="K2115" i="25"/>
  <c r="L2115" i="25"/>
  <c r="G2114" i="25"/>
  <c r="I2114" i="25"/>
  <c r="K2114" i="25"/>
  <c r="L2114" i="25"/>
  <c r="G2113" i="25"/>
  <c r="I2113" i="25"/>
  <c r="K2113" i="25"/>
  <c r="L2113" i="25"/>
  <c r="G2112" i="25"/>
  <c r="I2112" i="25"/>
  <c r="K2112" i="25"/>
  <c r="L2112" i="25"/>
  <c r="G2111" i="25"/>
  <c r="I2111" i="25"/>
  <c r="K2111" i="25"/>
  <c r="L2111" i="25"/>
  <c r="G2110" i="25"/>
  <c r="I2110" i="25"/>
  <c r="K2110" i="25"/>
  <c r="L2110" i="25"/>
  <c r="G2109" i="25"/>
  <c r="I2109" i="25"/>
  <c r="K2109" i="25"/>
  <c r="L2109" i="25"/>
  <c r="G2108" i="25"/>
  <c r="I2108" i="25"/>
  <c r="K2108" i="25"/>
  <c r="L2108" i="25"/>
  <c r="G2107" i="25"/>
  <c r="I2107" i="25"/>
  <c r="K2107" i="25"/>
  <c r="L2107" i="25"/>
  <c r="G2106" i="25"/>
  <c r="I2106" i="25"/>
  <c r="K2106" i="25"/>
  <c r="L2106" i="25"/>
  <c r="G2105" i="25"/>
  <c r="I2105" i="25"/>
  <c r="K2105" i="25"/>
  <c r="L2105" i="25"/>
  <c r="G2104" i="25"/>
  <c r="I2104" i="25"/>
  <c r="K2104" i="25"/>
  <c r="L2104" i="25"/>
  <c r="G2103" i="25"/>
  <c r="I2103" i="25"/>
  <c r="K2103" i="25"/>
  <c r="L2103" i="25"/>
  <c r="G2102" i="25"/>
  <c r="I2102" i="25"/>
  <c r="K2102" i="25"/>
  <c r="L2102" i="25"/>
  <c r="G2101" i="25"/>
  <c r="I2101" i="25"/>
  <c r="K2101" i="25"/>
  <c r="L2101" i="25"/>
  <c r="G2100" i="25"/>
  <c r="I2100" i="25"/>
  <c r="K2100" i="25"/>
  <c r="L2100" i="25"/>
  <c r="G2099" i="25"/>
  <c r="I2099" i="25"/>
  <c r="K2099" i="25"/>
  <c r="L2099" i="25"/>
  <c r="G2098" i="25"/>
  <c r="I2098" i="25"/>
  <c r="K2098" i="25"/>
  <c r="L2098" i="25"/>
  <c r="G2097" i="25"/>
  <c r="I2097" i="25"/>
  <c r="K2097" i="25"/>
  <c r="L2097" i="25"/>
  <c r="G2096" i="25"/>
  <c r="I2096" i="25"/>
  <c r="K2096" i="25"/>
  <c r="L2096" i="25"/>
  <c r="G2095" i="25"/>
  <c r="I2095" i="25"/>
  <c r="K2095" i="25"/>
  <c r="L2095" i="25"/>
  <c r="G2094" i="25"/>
  <c r="I2094" i="25"/>
  <c r="K2094" i="25"/>
  <c r="L2094" i="25"/>
  <c r="G2093" i="25"/>
  <c r="I2093" i="25"/>
  <c r="K2093" i="25"/>
  <c r="L2093" i="25"/>
  <c r="G2092" i="25"/>
  <c r="I2092" i="25"/>
  <c r="K2092" i="25"/>
  <c r="L2092" i="25"/>
  <c r="G2091" i="25"/>
  <c r="I2091" i="25"/>
  <c r="K2091" i="25"/>
  <c r="L2091" i="25"/>
  <c r="G2090" i="25"/>
  <c r="I2090" i="25"/>
  <c r="K2090" i="25"/>
  <c r="L2090" i="25"/>
  <c r="G2089" i="25"/>
  <c r="I2089" i="25"/>
  <c r="K2089" i="25"/>
  <c r="L2089" i="25"/>
  <c r="G2088" i="25"/>
  <c r="I2088" i="25"/>
  <c r="K2088" i="25"/>
  <c r="L2088" i="25"/>
  <c r="G2087" i="25"/>
  <c r="I2087" i="25"/>
  <c r="K2087" i="25"/>
  <c r="L2087" i="25"/>
  <c r="G2086" i="25"/>
  <c r="I2086" i="25"/>
  <c r="K2086" i="25"/>
  <c r="L2086" i="25"/>
  <c r="G2085" i="25"/>
  <c r="I2085" i="25"/>
  <c r="K2085" i="25"/>
  <c r="L2085" i="25"/>
  <c r="G2084" i="25"/>
  <c r="I2084" i="25"/>
  <c r="K2084" i="25"/>
  <c r="L2084" i="25"/>
  <c r="G2083" i="25"/>
  <c r="I2083" i="25"/>
  <c r="K2083" i="25"/>
  <c r="L2083" i="25"/>
  <c r="G2082" i="25"/>
  <c r="I2082" i="25"/>
  <c r="K2082" i="25"/>
  <c r="L2082" i="25"/>
  <c r="G2081" i="25"/>
  <c r="I2081" i="25"/>
  <c r="K2081" i="25"/>
  <c r="L2081" i="25"/>
  <c r="G2080" i="25"/>
  <c r="I2080" i="25"/>
  <c r="K2080" i="25"/>
  <c r="L2080" i="25"/>
  <c r="G2079" i="25"/>
  <c r="I2079" i="25"/>
  <c r="K2079" i="25"/>
  <c r="L2079" i="25"/>
  <c r="G2078" i="25"/>
  <c r="I2078" i="25"/>
  <c r="K2078" i="25"/>
  <c r="L2078" i="25"/>
  <c r="G2077" i="25"/>
  <c r="I2077" i="25"/>
  <c r="K2077" i="25"/>
  <c r="L2077" i="25"/>
  <c r="G2076" i="25"/>
  <c r="I2076" i="25"/>
  <c r="K2076" i="25"/>
  <c r="L2076" i="25"/>
  <c r="G2075" i="25"/>
  <c r="I2075" i="25"/>
  <c r="K2075" i="25"/>
  <c r="L2075" i="25"/>
  <c r="G2074" i="25"/>
  <c r="I2074" i="25"/>
  <c r="K2074" i="25"/>
  <c r="L2074" i="25"/>
  <c r="G2073" i="25"/>
  <c r="I2073" i="25"/>
  <c r="K2073" i="25"/>
  <c r="L2073" i="25"/>
  <c r="G2072" i="25"/>
  <c r="I2072" i="25"/>
  <c r="K2072" i="25"/>
  <c r="L2072" i="25"/>
  <c r="G2071" i="25"/>
  <c r="I2071" i="25"/>
  <c r="K2071" i="25"/>
  <c r="L2071" i="25"/>
  <c r="G2070" i="25"/>
  <c r="I2070" i="25"/>
  <c r="K2070" i="25"/>
  <c r="L2070" i="25"/>
  <c r="G2069" i="25"/>
  <c r="I2069" i="25"/>
  <c r="K2069" i="25"/>
  <c r="L2069" i="25"/>
  <c r="G2068" i="25"/>
  <c r="I2068" i="25"/>
  <c r="K2068" i="25"/>
  <c r="L2068" i="25"/>
  <c r="G2067" i="25"/>
  <c r="I2067" i="25"/>
  <c r="K2067" i="25"/>
  <c r="L2067" i="25"/>
  <c r="G2066" i="25"/>
  <c r="I2066" i="25"/>
  <c r="K2066" i="25"/>
  <c r="L2066" i="25"/>
  <c r="G2065" i="25"/>
  <c r="I2065" i="25"/>
  <c r="K2065" i="25"/>
  <c r="L2065" i="25"/>
  <c r="G2064" i="25"/>
  <c r="I2064" i="25"/>
  <c r="K2064" i="25"/>
  <c r="L2064" i="25"/>
  <c r="G2063" i="25"/>
  <c r="I2063" i="25"/>
  <c r="K2063" i="25"/>
  <c r="L2063" i="25"/>
  <c r="G2062" i="25"/>
  <c r="I2062" i="25"/>
  <c r="K2062" i="25"/>
  <c r="L2062" i="25"/>
  <c r="G2061" i="25"/>
  <c r="I2061" i="25"/>
  <c r="K2061" i="25"/>
  <c r="L2061" i="25"/>
  <c r="G2060" i="25"/>
  <c r="I2060" i="25"/>
  <c r="K2060" i="25"/>
  <c r="L2060" i="25"/>
  <c r="G2059" i="25"/>
  <c r="I2059" i="25"/>
  <c r="K2059" i="25"/>
  <c r="L2059" i="25"/>
  <c r="G2058" i="25"/>
  <c r="I2058" i="25"/>
  <c r="K2058" i="25"/>
  <c r="L2058" i="25"/>
  <c r="G2057" i="25"/>
  <c r="I2057" i="25"/>
  <c r="K2057" i="25"/>
  <c r="L2057" i="25"/>
  <c r="G2056" i="25"/>
  <c r="I2056" i="25"/>
  <c r="K2056" i="25"/>
  <c r="L2056" i="25"/>
  <c r="G2055" i="25"/>
  <c r="I2055" i="25"/>
  <c r="K2055" i="25"/>
  <c r="L2055" i="25"/>
  <c r="G2054" i="25"/>
  <c r="I2054" i="25"/>
  <c r="K2054" i="25"/>
  <c r="L2054" i="25"/>
  <c r="G2053" i="25"/>
  <c r="I2053" i="25"/>
  <c r="K2053" i="25"/>
  <c r="L2053" i="25"/>
  <c r="G2052" i="25"/>
  <c r="I2052" i="25"/>
  <c r="K2052" i="25"/>
  <c r="L2052" i="25"/>
  <c r="G2051" i="25"/>
  <c r="I2051" i="25"/>
  <c r="K2051" i="25"/>
  <c r="L2051" i="25"/>
  <c r="G2050" i="25"/>
  <c r="I2050" i="25"/>
  <c r="K2050" i="25"/>
  <c r="L2050" i="25"/>
  <c r="G2049" i="25"/>
  <c r="I2049" i="25"/>
  <c r="K2049" i="25"/>
  <c r="L2049" i="25"/>
  <c r="G2048" i="25"/>
  <c r="I2048" i="25"/>
  <c r="K2048" i="25"/>
  <c r="L2048" i="25"/>
  <c r="G2047" i="25"/>
  <c r="I2047" i="25"/>
  <c r="K2047" i="25"/>
  <c r="L2047" i="25"/>
  <c r="G2046" i="25"/>
  <c r="I2046" i="25"/>
  <c r="K2046" i="25"/>
  <c r="L2046" i="25"/>
  <c r="G2045" i="25"/>
  <c r="I2045" i="25"/>
  <c r="K2045" i="25"/>
  <c r="L2045" i="25"/>
  <c r="G2044" i="25"/>
  <c r="I2044" i="25"/>
  <c r="K2044" i="25"/>
  <c r="L2044" i="25"/>
  <c r="G2043" i="25"/>
  <c r="I2043" i="25"/>
  <c r="K2043" i="25"/>
  <c r="L2043" i="25"/>
  <c r="G2042" i="25"/>
  <c r="I2042" i="25"/>
  <c r="K2042" i="25"/>
  <c r="L2042" i="25"/>
  <c r="G2041" i="25"/>
  <c r="I2041" i="25"/>
  <c r="K2041" i="25"/>
  <c r="L2041" i="25"/>
  <c r="G2040" i="25"/>
  <c r="I2040" i="25"/>
  <c r="K2040" i="25"/>
  <c r="L2040" i="25"/>
  <c r="G2039" i="25"/>
  <c r="I2039" i="25"/>
  <c r="K2039" i="25"/>
  <c r="L2039" i="25"/>
  <c r="G2038" i="25"/>
  <c r="I2038" i="25"/>
  <c r="K2038" i="25"/>
  <c r="L2038" i="25"/>
  <c r="G2037" i="25"/>
  <c r="I2037" i="25"/>
  <c r="K2037" i="25"/>
  <c r="L2037" i="25"/>
  <c r="G2036" i="25"/>
  <c r="I2036" i="25"/>
  <c r="K2036" i="25"/>
  <c r="L2036" i="25"/>
  <c r="G2035" i="25"/>
  <c r="I2035" i="25"/>
  <c r="K2035" i="25"/>
  <c r="L2035" i="25"/>
  <c r="G2034" i="25"/>
  <c r="I2034" i="25"/>
  <c r="K2034" i="25"/>
  <c r="L2034" i="25"/>
  <c r="G2033" i="25"/>
  <c r="I2033" i="25"/>
  <c r="K2033" i="25"/>
  <c r="L2033" i="25"/>
  <c r="G2032" i="25"/>
  <c r="I2032" i="25"/>
  <c r="K2032" i="25"/>
  <c r="L2032" i="25"/>
  <c r="G2031" i="25"/>
  <c r="I2031" i="25"/>
  <c r="K2031" i="25"/>
  <c r="L2031" i="25"/>
  <c r="G2030" i="25"/>
  <c r="I2030" i="25"/>
  <c r="K2030" i="25"/>
  <c r="L2030" i="25"/>
  <c r="G2029" i="25"/>
  <c r="I2029" i="25"/>
  <c r="K2029" i="25"/>
  <c r="L2029" i="25"/>
  <c r="G2028" i="25"/>
  <c r="I2028" i="25"/>
  <c r="K2028" i="25"/>
  <c r="L2028" i="25"/>
  <c r="G2027" i="25"/>
  <c r="I2027" i="25"/>
  <c r="K2027" i="25"/>
  <c r="L2027" i="25"/>
  <c r="G2026" i="25"/>
  <c r="I2026" i="25"/>
  <c r="K2026" i="25"/>
  <c r="L2026" i="25"/>
  <c r="G2025" i="25"/>
  <c r="I2025" i="25"/>
  <c r="K2025" i="25"/>
  <c r="L2025" i="25"/>
  <c r="G2024" i="25"/>
  <c r="I2024" i="25"/>
  <c r="K2024" i="25"/>
  <c r="L2024" i="25"/>
  <c r="G2023" i="25"/>
  <c r="I2023" i="25"/>
  <c r="K2023" i="25"/>
  <c r="L2023" i="25"/>
  <c r="G2022" i="25"/>
  <c r="I2022" i="25"/>
  <c r="K2022" i="25"/>
  <c r="L2022" i="25"/>
  <c r="G2021" i="25"/>
  <c r="I2021" i="25"/>
  <c r="K2021" i="25"/>
  <c r="L2021" i="25"/>
  <c r="G2020" i="25"/>
  <c r="I2020" i="25"/>
  <c r="K2020" i="25"/>
  <c r="L2020" i="25"/>
  <c r="G2019" i="25"/>
  <c r="I2019" i="25"/>
  <c r="K2019" i="25"/>
  <c r="L2019" i="25"/>
  <c r="G2018" i="25"/>
  <c r="I2018" i="25"/>
  <c r="K2018" i="25"/>
  <c r="L2018" i="25"/>
  <c r="G2017" i="25"/>
  <c r="I2017" i="25"/>
  <c r="K2017" i="25"/>
  <c r="L2017" i="25"/>
  <c r="G2016" i="25"/>
  <c r="I2016" i="25"/>
  <c r="K2016" i="25"/>
  <c r="L2016" i="25"/>
  <c r="G2015" i="25"/>
  <c r="I2015" i="25"/>
  <c r="K2015" i="25"/>
  <c r="L2015" i="25"/>
  <c r="G2014" i="25"/>
  <c r="I2014" i="25"/>
  <c r="K2014" i="25"/>
  <c r="L2014" i="25"/>
  <c r="G2013" i="25"/>
  <c r="I2013" i="25"/>
  <c r="K2013" i="25"/>
  <c r="L2013" i="25"/>
  <c r="G2012" i="25"/>
  <c r="I2012" i="25"/>
  <c r="K2012" i="25"/>
  <c r="L2012" i="25"/>
  <c r="G2011" i="25"/>
  <c r="I2011" i="25"/>
  <c r="K2011" i="25"/>
  <c r="L2011" i="25"/>
  <c r="G2010" i="25"/>
  <c r="I2010" i="25"/>
  <c r="K2010" i="25"/>
  <c r="L2010" i="25"/>
  <c r="G2009" i="25"/>
  <c r="I2009" i="25"/>
  <c r="K2009" i="25"/>
  <c r="L2009" i="25"/>
  <c r="G2008" i="25"/>
  <c r="I2008" i="25"/>
  <c r="K2008" i="25"/>
  <c r="L2008" i="25"/>
  <c r="G2007" i="25"/>
  <c r="I2007" i="25"/>
  <c r="K2007" i="25"/>
  <c r="L2007" i="25"/>
  <c r="G2006" i="25"/>
  <c r="I2006" i="25"/>
  <c r="K2006" i="25"/>
  <c r="L2006" i="25"/>
  <c r="G2005" i="25"/>
  <c r="I2005" i="25"/>
  <c r="K2005" i="25"/>
  <c r="L2005" i="25"/>
  <c r="G2004" i="25"/>
  <c r="I2004" i="25"/>
  <c r="K2004" i="25"/>
  <c r="L2004" i="25"/>
  <c r="G2003" i="25"/>
  <c r="I2003" i="25"/>
  <c r="K2003" i="25"/>
  <c r="L2003" i="25"/>
  <c r="G2002" i="25"/>
  <c r="I2002" i="25"/>
  <c r="K2002" i="25"/>
  <c r="L2002" i="25"/>
  <c r="G2001" i="25"/>
  <c r="I2001" i="25"/>
  <c r="K2001" i="25"/>
  <c r="L2001" i="25"/>
  <c r="G2000" i="25"/>
  <c r="I2000" i="25"/>
  <c r="K2000" i="25"/>
  <c r="L2000" i="25"/>
  <c r="G1999" i="25"/>
  <c r="I1999" i="25"/>
  <c r="K1999" i="25"/>
  <c r="L1999" i="25"/>
  <c r="G1998" i="25"/>
  <c r="I1998" i="25"/>
  <c r="K1998" i="25"/>
  <c r="L1998" i="25"/>
  <c r="G1997" i="25"/>
  <c r="I1997" i="25"/>
  <c r="K1997" i="25"/>
  <c r="L1997" i="25"/>
  <c r="G1996" i="25"/>
  <c r="I1996" i="25"/>
  <c r="K1996" i="25"/>
  <c r="L1996" i="25"/>
  <c r="G1995" i="25"/>
  <c r="I1995" i="25"/>
  <c r="K1995" i="25"/>
  <c r="L1995" i="25"/>
  <c r="G1994" i="25"/>
  <c r="I1994" i="25"/>
  <c r="K1994" i="25"/>
  <c r="L1994" i="25"/>
  <c r="G1993" i="25"/>
  <c r="I1993" i="25"/>
  <c r="K1993" i="25"/>
  <c r="L1993" i="25"/>
  <c r="G1992" i="25"/>
  <c r="I1992" i="25"/>
  <c r="K1992" i="25"/>
  <c r="L1992" i="25"/>
  <c r="G1991" i="25"/>
  <c r="I1991" i="25"/>
  <c r="K1991" i="25"/>
  <c r="L1991" i="25"/>
  <c r="G1990" i="25"/>
  <c r="I1990" i="25"/>
  <c r="K1990" i="25"/>
  <c r="L1990" i="25"/>
  <c r="G1989" i="25"/>
  <c r="I1989" i="25"/>
  <c r="K1989" i="25"/>
  <c r="L1989" i="25"/>
  <c r="G1988" i="25"/>
  <c r="I1988" i="25"/>
  <c r="K1988" i="25"/>
  <c r="L1988" i="25"/>
  <c r="G1987" i="25"/>
  <c r="I1987" i="25"/>
  <c r="K1987" i="25"/>
  <c r="L1987" i="25"/>
  <c r="G1986" i="25"/>
  <c r="I1986" i="25"/>
  <c r="K1986" i="25"/>
  <c r="L1986" i="25"/>
  <c r="G1985" i="25"/>
  <c r="I1985" i="25"/>
  <c r="K1985" i="25"/>
  <c r="L1985" i="25"/>
  <c r="G1984" i="25"/>
  <c r="I1984" i="25"/>
  <c r="K1984" i="25"/>
  <c r="L1984" i="25"/>
  <c r="G1983" i="25"/>
  <c r="I1983" i="25"/>
  <c r="K1983" i="25"/>
  <c r="L1983" i="25"/>
  <c r="G1982" i="25"/>
  <c r="I1982" i="25"/>
  <c r="K1982" i="25"/>
  <c r="L1982" i="25"/>
  <c r="G1981" i="25"/>
  <c r="I1981" i="25"/>
  <c r="K1981" i="25"/>
  <c r="L1981" i="25"/>
  <c r="G1980" i="25"/>
  <c r="I1980" i="25"/>
  <c r="K1980" i="25"/>
  <c r="L1980" i="25"/>
  <c r="G1979" i="25"/>
  <c r="I1979" i="25"/>
  <c r="K1979" i="25"/>
  <c r="L1979" i="25"/>
  <c r="G1978" i="25"/>
  <c r="I1978" i="25"/>
  <c r="K1978" i="25"/>
  <c r="L1978" i="25"/>
  <c r="G1977" i="25"/>
  <c r="I1977" i="25"/>
  <c r="K1977" i="25"/>
  <c r="L1977" i="25"/>
  <c r="G1976" i="25"/>
  <c r="I1976" i="25"/>
  <c r="K1976" i="25"/>
  <c r="L1976" i="25"/>
  <c r="G1975" i="25"/>
  <c r="I1975" i="25"/>
  <c r="K1975" i="25"/>
  <c r="L1975" i="25"/>
  <c r="G1974" i="25"/>
  <c r="I1974" i="25"/>
  <c r="K1974" i="25"/>
  <c r="L1974" i="25"/>
  <c r="G1973" i="25"/>
  <c r="I1973" i="25"/>
  <c r="K1973" i="25"/>
  <c r="L1973" i="25"/>
  <c r="G1972" i="25"/>
  <c r="I1972" i="25"/>
  <c r="K1972" i="25"/>
  <c r="L1972" i="25"/>
  <c r="G1971" i="25"/>
  <c r="I1971" i="25"/>
  <c r="K1971" i="25"/>
  <c r="L1971" i="25"/>
  <c r="G1970" i="25"/>
  <c r="I1970" i="25"/>
  <c r="K1970" i="25"/>
  <c r="L1970" i="25"/>
  <c r="G1969" i="25"/>
  <c r="I1969" i="25"/>
  <c r="K1969" i="25"/>
  <c r="L1969" i="25"/>
  <c r="G1968" i="25"/>
  <c r="I1968" i="25"/>
  <c r="K1968" i="25"/>
  <c r="L1968" i="25"/>
  <c r="G1967" i="25"/>
  <c r="I1967" i="25"/>
  <c r="K1967" i="25"/>
  <c r="L1967" i="25"/>
  <c r="G1966" i="25"/>
  <c r="I1966" i="25"/>
  <c r="K1966" i="25"/>
  <c r="L1966" i="25"/>
  <c r="G1965" i="25"/>
  <c r="I1965" i="25"/>
  <c r="K1965" i="25"/>
  <c r="L1965" i="25"/>
  <c r="G1964" i="25"/>
  <c r="I1964" i="25"/>
  <c r="K1964" i="25"/>
  <c r="L1964" i="25"/>
  <c r="G1963" i="25"/>
  <c r="I1963" i="25"/>
  <c r="K1963" i="25"/>
  <c r="L1963" i="25"/>
  <c r="G1962" i="25"/>
  <c r="I1962" i="25"/>
  <c r="K1962" i="25"/>
  <c r="L1962" i="25"/>
  <c r="G1961" i="25"/>
  <c r="I1961" i="25"/>
  <c r="K1961" i="25"/>
  <c r="L1961" i="25"/>
  <c r="G1960" i="25"/>
  <c r="I1960" i="25"/>
  <c r="K1960" i="25"/>
  <c r="L1960" i="25"/>
  <c r="G1959" i="25"/>
  <c r="I1959" i="25"/>
  <c r="K1959" i="25"/>
  <c r="L1959" i="25"/>
  <c r="G1958" i="25"/>
  <c r="I1958" i="25"/>
  <c r="K1958" i="25"/>
  <c r="L1958" i="25"/>
  <c r="G1957" i="25"/>
  <c r="I1957" i="25"/>
  <c r="K1957" i="25"/>
  <c r="L1957" i="25"/>
  <c r="G1956" i="25"/>
  <c r="I1956" i="25"/>
  <c r="K1956" i="25"/>
  <c r="L1956" i="25"/>
  <c r="G1955" i="25"/>
  <c r="I1955" i="25"/>
  <c r="K1955" i="25"/>
  <c r="L1955" i="25"/>
  <c r="G1954" i="25"/>
  <c r="I1954" i="25"/>
  <c r="K1954" i="25"/>
  <c r="L1954" i="25"/>
  <c r="G1953" i="25"/>
  <c r="I1953" i="25"/>
  <c r="K1953" i="25"/>
  <c r="L1953" i="25"/>
  <c r="G1952" i="25"/>
  <c r="I1952" i="25"/>
  <c r="K1952" i="25"/>
  <c r="L1952" i="25"/>
  <c r="G1951" i="25"/>
  <c r="I1951" i="25"/>
  <c r="K1951" i="25"/>
  <c r="L1951" i="25"/>
  <c r="G1950" i="25"/>
  <c r="I1950" i="25"/>
  <c r="K1950" i="25"/>
  <c r="L1950" i="25"/>
  <c r="G1949" i="25"/>
  <c r="I1949" i="25"/>
  <c r="K1949" i="25"/>
  <c r="L1949" i="25"/>
  <c r="G1948" i="25"/>
  <c r="I1948" i="25"/>
  <c r="K1948" i="25"/>
  <c r="L1948" i="25"/>
  <c r="G1947" i="25"/>
  <c r="I1947" i="25"/>
  <c r="K1947" i="25"/>
  <c r="L1947" i="25"/>
  <c r="G1946" i="25"/>
  <c r="I1946" i="25"/>
  <c r="K1946" i="25"/>
  <c r="L1946" i="25"/>
  <c r="G1945" i="25"/>
  <c r="I1945" i="25"/>
  <c r="K1945" i="25"/>
  <c r="L1945" i="25"/>
  <c r="G1944" i="25"/>
  <c r="I1944" i="25"/>
  <c r="K1944" i="25"/>
  <c r="L1944" i="25"/>
  <c r="G1943" i="25"/>
  <c r="I1943" i="25"/>
  <c r="K1943" i="25"/>
  <c r="L1943" i="25"/>
  <c r="G1942" i="25"/>
  <c r="I1942" i="25"/>
  <c r="K1942" i="25"/>
  <c r="L1942" i="25"/>
  <c r="G1941" i="25"/>
  <c r="I1941" i="25"/>
  <c r="K1941" i="25"/>
  <c r="L1941" i="25"/>
  <c r="G1940" i="25"/>
  <c r="I1940" i="25"/>
  <c r="K1940" i="25"/>
  <c r="L1940" i="25"/>
  <c r="G1939" i="25"/>
  <c r="I1939" i="25"/>
  <c r="K1939" i="25"/>
  <c r="L1939" i="25"/>
  <c r="G1938" i="25"/>
  <c r="I1938" i="25"/>
  <c r="K1938" i="25"/>
  <c r="L1938" i="25"/>
  <c r="G1937" i="25"/>
  <c r="I1937" i="25"/>
  <c r="K1937" i="25"/>
  <c r="L1937" i="25"/>
  <c r="G1936" i="25"/>
  <c r="I1936" i="25"/>
  <c r="K1936" i="25"/>
  <c r="L1936" i="25"/>
  <c r="G1935" i="25"/>
  <c r="I1935" i="25"/>
  <c r="K1935" i="25"/>
  <c r="L1935" i="25"/>
  <c r="G1934" i="25"/>
  <c r="I1934" i="25"/>
  <c r="K1934" i="25"/>
  <c r="L1934" i="25"/>
  <c r="G1933" i="25"/>
  <c r="I1933" i="25"/>
  <c r="K1933" i="25"/>
  <c r="L1933" i="25"/>
  <c r="G1932" i="25"/>
  <c r="I1932" i="25"/>
  <c r="K1932" i="25"/>
  <c r="L1932" i="25"/>
  <c r="G1931" i="25"/>
  <c r="I1931" i="25"/>
  <c r="K1931" i="25"/>
  <c r="L1931" i="25"/>
  <c r="G1930" i="25"/>
  <c r="I1930" i="25"/>
  <c r="K1930" i="25"/>
  <c r="L1930" i="25"/>
  <c r="G1929" i="25"/>
  <c r="I1929" i="25"/>
  <c r="K1929" i="25"/>
  <c r="L1929" i="25"/>
  <c r="G1928" i="25"/>
  <c r="I1928" i="25"/>
  <c r="K1928" i="25"/>
  <c r="L1928" i="25"/>
  <c r="G1927" i="25"/>
  <c r="I1927" i="25"/>
  <c r="K1927" i="25"/>
  <c r="L1927" i="25"/>
  <c r="G1926" i="25"/>
  <c r="I1926" i="25"/>
  <c r="K1926" i="25"/>
  <c r="L1926" i="25"/>
  <c r="G1925" i="25"/>
  <c r="I1925" i="25"/>
  <c r="K1925" i="25"/>
  <c r="L1925" i="25"/>
  <c r="G1924" i="25"/>
  <c r="I1924" i="25"/>
  <c r="K1924" i="25"/>
  <c r="L1924" i="25"/>
  <c r="G1923" i="25"/>
  <c r="I1923" i="25"/>
  <c r="K1923" i="25"/>
  <c r="L1923" i="25"/>
  <c r="G1922" i="25"/>
  <c r="I1922" i="25"/>
  <c r="K1922" i="25"/>
  <c r="L1922" i="25"/>
  <c r="G1921" i="25"/>
  <c r="I1921" i="25"/>
  <c r="K1921" i="25"/>
  <c r="L1921" i="25"/>
  <c r="G1920" i="25"/>
  <c r="I1920" i="25"/>
  <c r="K1920" i="25"/>
  <c r="L1920" i="25"/>
  <c r="G1919" i="25"/>
  <c r="I1919" i="25"/>
  <c r="K1919" i="25"/>
  <c r="L1919" i="25"/>
  <c r="G1918" i="25"/>
  <c r="I1918" i="25"/>
  <c r="K1918" i="25"/>
  <c r="L1918" i="25"/>
  <c r="G1917" i="25"/>
  <c r="I1917" i="25"/>
  <c r="K1917" i="25"/>
  <c r="L1917" i="25"/>
  <c r="G1916" i="25"/>
  <c r="I1916" i="25"/>
  <c r="K1916" i="25"/>
  <c r="L1916" i="25"/>
  <c r="G1915" i="25"/>
  <c r="I1915" i="25"/>
  <c r="K1915" i="25"/>
  <c r="L1915" i="25"/>
  <c r="G1914" i="25"/>
  <c r="I1914" i="25"/>
  <c r="K1914" i="25"/>
  <c r="L1914" i="25"/>
  <c r="G1913" i="25"/>
  <c r="I1913" i="25"/>
  <c r="K1913" i="25"/>
  <c r="L1913" i="25"/>
  <c r="G1912" i="25"/>
  <c r="I1912" i="25"/>
  <c r="K1912" i="25"/>
  <c r="L1912" i="25"/>
  <c r="G1911" i="25"/>
  <c r="I1911" i="25"/>
  <c r="K1911" i="25"/>
  <c r="L1911" i="25"/>
  <c r="G1910" i="25"/>
  <c r="I1910" i="25"/>
  <c r="K1910" i="25"/>
  <c r="L1910" i="25"/>
  <c r="G1909" i="25"/>
  <c r="I1909" i="25"/>
  <c r="K1909" i="25"/>
  <c r="L1909" i="25"/>
  <c r="G1908" i="25"/>
  <c r="I1908" i="25"/>
  <c r="K1908" i="25"/>
  <c r="L1908" i="25"/>
  <c r="G1907" i="25"/>
  <c r="I1907" i="25"/>
  <c r="K1907" i="25"/>
  <c r="L1907" i="25"/>
  <c r="G1906" i="25"/>
  <c r="I1906" i="25"/>
  <c r="K1906" i="25"/>
  <c r="L1906" i="25"/>
  <c r="G1905" i="25"/>
  <c r="I1905" i="25"/>
  <c r="K1905" i="25"/>
  <c r="L1905" i="25"/>
  <c r="G1904" i="25"/>
  <c r="I1904" i="25"/>
  <c r="K1904" i="25"/>
  <c r="L1904" i="25"/>
  <c r="G1903" i="25"/>
  <c r="I1903" i="25"/>
  <c r="K1903" i="25"/>
  <c r="L1903" i="25"/>
  <c r="G1902" i="25"/>
  <c r="I1902" i="25"/>
  <c r="K1902" i="25"/>
  <c r="L1902" i="25"/>
  <c r="G1901" i="25"/>
  <c r="I1901" i="25"/>
  <c r="K1901" i="25"/>
  <c r="L1901" i="25"/>
  <c r="G1900" i="25"/>
  <c r="I1900" i="25"/>
  <c r="K1900" i="25"/>
  <c r="L1900" i="25"/>
  <c r="G1899" i="25"/>
  <c r="I1899" i="25"/>
  <c r="K1899" i="25"/>
  <c r="L1899" i="25"/>
  <c r="G1898" i="25"/>
  <c r="I1898" i="25"/>
  <c r="K1898" i="25"/>
  <c r="L1898" i="25"/>
  <c r="G1897" i="25"/>
  <c r="I1897" i="25"/>
  <c r="K1897" i="25"/>
  <c r="L1897" i="25"/>
  <c r="G1896" i="25"/>
  <c r="I1896" i="25"/>
  <c r="K1896" i="25"/>
  <c r="L1896" i="25"/>
  <c r="G1895" i="25"/>
  <c r="I1895" i="25"/>
  <c r="K1895" i="25"/>
  <c r="L1895" i="25"/>
  <c r="G1894" i="25"/>
  <c r="I1894" i="25"/>
  <c r="K1894" i="25"/>
  <c r="L1894" i="25"/>
  <c r="G1893" i="25"/>
  <c r="I1893" i="25"/>
  <c r="K1893" i="25"/>
  <c r="L1893" i="25"/>
  <c r="G1892" i="25"/>
  <c r="I1892" i="25"/>
  <c r="K1892" i="25"/>
  <c r="L1892" i="25"/>
  <c r="G1891" i="25"/>
  <c r="I1891" i="25"/>
  <c r="K1891" i="25"/>
  <c r="L1891" i="25"/>
  <c r="G1890" i="25"/>
  <c r="I1890" i="25"/>
  <c r="K1890" i="25"/>
  <c r="L1890" i="25"/>
  <c r="G1889" i="25"/>
  <c r="I1889" i="25"/>
  <c r="K1889" i="25"/>
  <c r="L1889" i="25"/>
  <c r="G1888" i="25"/>
  <c r="I1888" i="25"/>
  <c r="K1888" i="25"/>
  <c r="L1888" i="25"/>
  <c r="G1887" i="25"/>
  <c r="I1887" i="25"/>
  <c r="K1887" i="25"/>
  <c r="L1887" i="25"/>
  <c r="G1886" i="25"/>
  <c r="I1886" i="25"/>
  <c r="K1886" i="25"/>
  <c r="L1886" i="25"/>
  <c r="G1885" i="25"/>
  <c r="I1885" i="25"/>
  <c r="K1885" i="25"/>
  <c r="L1885" i="25"/>
  <c r="G1884" i="25"/>
  <c r="I1884" i="25"/>
  <c r="K1884" i="25"/>
  <c r="L1884" i="25"/>
  <c r="G1883" i="25"/>
  <c r="I1883" i="25"/>
  <c r="K1883" i="25"/>
  <c r="L1883" i="25"/>
  <c r="G1882" i="25"/>
  <c r="I1882" i="25"/>
  <c r="K1882" i="25"/>
  <c r="L1882" i="25"/>
  <c r="G1881" i="25"/>
  <c r="I1881" i="25"/>
  <c r="K1881" i="25"/>
  <c r="L1881" i="25"/>
  <c r="G1880" i="25"/>
  <c r="I1880" i="25"/>
  <c r="K1880" i="25"/>
  <c r="L1880" i="25"/>
  <c r="G1879" i="25"/>
  <c r="I1879" i="25"/>
  <c r="K1879" i="25"/>
  <c r="L1879" i="25"/>
  <c r="G1878" i="25"/>
  <c r="I1878" i="25"/>
  <c r="K1878" i="25"/>
  <c r="L1878" i="25"/>
  <c r="G1877" i="25"/>
  <c r="I1877" i="25"/>
  <c r="K1877" i="25"/>
  <c r="L1877" i="25"/>
  <c r="G1876" i="25"/>
  <c r="I1876" i="25"/>
  <c r="K1876" i="25"/>
  <c r="L1876" i="25"/>
  <c r="G1875" i="25"/>
  <c r="I1875" i="25"/>
  <c r="K1875" i="25"/>
  <c r="L1875" i="25"/>
  <c r="G1874" i="25"/>
  <c r="I1874" i="25"/>
  <c r="K1874" i="25"/>
  <c r="L1874" i="25"/>
  <c r="G1873" i="25"/>
  <c r="I1873" i="25"/>
  <c r="K1873" i="25"/>
  <c r="L1873" i="25"/>
  <c r="G1872" i="25"/>
  <c r="I1872" i="25"/>
  <c r="K1872" i="25"/>
  <c r="L1872" i="25"/>
  <c r="G1871" i="25"/>
  <c r="I1871" i="25"/>
  <c r="K1871" i="25"/>
  <c r="L1871" i="25"/>
  <c r="G1870" i="25"/>
  <c r="I1870" i="25"/>
  <c r="K1870" i="25"/>
  <c r="L1870" i="25"/>
  <c r="G1869" i="25"/>
  <c r="I1869" i="25"/>
  <c r="K1869" i="25"/>
  <c r="L1869" i="25"/>
  <c r="G1868" i="25"/>
  <c r="I1868" i="25"/>
  <c r="K1868" i="25"/>
  <c r="L1868" i="25"/>
  <c r="G1867" i="25"/>
  <c r="I1867" i="25"/>
  <c r="K1867" i="25"/>
  <c r="L1867" i="25"/>
  <c r="G1866" i="25"/>
  <c r="I1866" i="25"/>
  <c r="K1866" i="25"/>
  <c r="L1866" i="25"/>
  <c r="G1865" i="25"/>
  <c r="I1865" i="25"/>
  <c r="K1865" i="25"/>
  <c r="L1865" i="25"/>
  <c r="G1864" i="25"/>
  <c r="I1864" i="25"/>
  <c r="K1864" i="25"/>
  <c r="L1864" i="25"/>
  <c r="G1863" i="25"/>
  <c r="I1863" i="25"/>
  <c r="K1863" i="25"/>
  <c r="L1863" i="25"/>
  <c r="G1862" i="25"/>
  <c r="I1862" i="25"/>
  <c r="K1862" i="25"/>
  <c r="L1862" i="25"/>
  <c r="G1861" i="25"/>
  <c r="I1861" i="25"/>
  <c r="K1861" i="25"/>
  <c r="L1861" i="25"/>
  <c r="G1860" i="25"/>
  <c r="I1860" i="25"/>
  <c r="K1860" i="25"/>
  <c r="L1860" i="25"/>
  <c r="G1859" i="25"/>
  <c r="I1859" i="25"/>
  <c r="K1859" i="25"/>
  <c r="L1859" i="25"/>
  <c r="G1858" i="25"/>
  <c r="I1858" i="25"/>
  <c r="K1858" i="25"/>
  <c r="L1858" i="25"/>
  <c r="G1857" i="25"/>
  <c r="I1857" i="25"/>
  <c r="K1857" i="25"/>
  <c r="L1857" i="25"/>
  <c r="G1856" i="25"/>
  <c r="I1856" i="25"/>
  <c r="K1856" i="25"/>
  <c r="L1856" i="25"/>
  <c r="G1855" i="25"/>
  <c r="I1855" i="25"/>
  <c r="K1855" i="25"/>
  <c r="L1855" i="25"/>
  <c r="G1854" i="25"/>
  <c r="I1854" i="25"/>
  <c r="K1854" i="25"/>
  <c r="L1854" i="25"/>
  <c r="G1853" i="25"/>
  <c r="I1853" i="25"/>
  <c r="K1853" i="25"/>
  <c r="L1853" i="25"/>
  <c r="G1852" i="25"/>
  <c r="I1852" i="25"/>
  <c r="K1852" i="25"/>
  <c r="L1852" i="25"/>
  <c r="G1851" i="25"/>
  <c r="I1851" i="25"/>
  <c r="K1851" i="25"/>
  <c r="L1851" i="25"/>
  <c r="G1850" i="25"/>
  <c r="I1850" i="25"/>
  <c r="K1850" i="25"/>
  <c r="L1850" i="25"/>
  <c r="G1849" i="25"/>
  <c r="I1849" i="25"/>
  <c r="K1849" i="25"/>
  <c r="L1849" i="25"/>
  <c r="G1848" i="25"/>
  <c r="I1848" i="25"/>
  <c r="K1848" i="25"/>
  <c r="L1848" i="25"/>
  <c r="G1847" i="25"/>
  <c r="I1847" i="25"/>
  <c r="K1847" i="25"/>
  <c r="L1847" i="25"/>
  <c r="G1846" i="25"/>
  <c r="I1846" i="25"/>
  <c r="K1846" i="25"/>
  <c r="L1846" i="25"/>
  <c r="G1845" i="25"/>
  <c r="I1845" i="25"/>
  <c r="K1845" i="25"/>
  <c r="L1845" i="25"/>
  <c r="G1844" i="25"/>
  <c r="I1844" i="25"/>
  <c r="K1844" i="25"/>
  <c r="L1844" i="25"/>
  <c r="G1843" i="25"/>
  <c r="I1843" i="25"/>
  <c r="K1843" i="25"/>
  <c r="L1843" i="25"/>
  <c r="G1842" i="25"/>
  <c r="I1842" i="25"/>
  <c r="K1842" i="25"/>
  <c r="L1842" i="25"/>
  <c r="G1841" i="25"/>
  <c r="I1841" i="25"/>
  <c r="K1841" i="25"/>
  <c r="L1841" i="25"/>
  <c r="G1840" i="25"/>
  <c r="I1840" i="25"/>
  <c r="K1840" i="25"/>
  <c r="L1840" i="25"/>
  <c r="G1839" i="25"/>
  <c r="I1839" i="25"/>
  <c r="K1839" i="25"/>
  <c r="L1839" i="25"/>
  <c r="G1838" i="25"/>
  <c r="I1838" i="25"/>
  <c r="K1838" i="25"/>
  <c r="L1838" i="25"/>
  <c r="G1837" i="25"/>
  <c r="I1837" i="25"/>
  <c r="K1837" i="25"/>
  <c r="L1837" i="25"/>
  <c r="G1836" i="25"/>
  <c r="I1836" i="25"/>
  <c r="K1836" i="25"/>
  <c r="L1836" i="25"/>
  <c r="G1835" i="25"/>
  <c r="I1835" i="25"/>
  <c r="K1835" i="25"/>
  <c r="L1835" i="25"/>
  <c r="G1834" i="25"/>
  <c r="I1834" i="25"/>
  <c r="K1834" i="25"/>
  <c r="L1834" i="25"/>
  <c r="G1833" i="25"/>
  <c r="I1833" i="25"/>
  <c r="K1833" i="25"/>
  <c r="L1833" i="25"/>
  <c r="G1832" i="25"/>
  <c r="I1832" i="25"/>
  <c r="K1832" i="25"/>
  <c r="L1832" i="25"/>
  <c r="G1831" i="25"/>
  <c r="I1831" i="25"/>
  <c r="K1831" i="25"/>
  <c r="L1831" i="25"/>
  <c r="G1830" i="25"/>
  <c r="I1830" i="25"/>
  <c r="K1830" i="25"/>
  <c r="L1830" i="25"/>
  <c r="G1829" i="25"/>
  <c r="I1829" i="25"/>
  <c r="K1829" i="25"/>
  <c r="L1829" i="25"/>
  <c r="G1828" i="25"/>
  <c r="I1828" i="25"/>
  <c r="K1828" i="25"/>
  <c r="L1828" i="25"/>
  <c r="G1827" i="25"/>
  <c r="I1827" i="25"/>
  <c r="K1827" i="25"/>
  <c r="L1827" i="25"/>
  <c r="G1826" i="25"/>
  <c r="I1826" i="25"/>
  <c r="K1826" i="25"/>
  <c r="L1826" i="25"/>
  <c r="G1825" i="25"/>
  <c r="I1825" i="25"/>
  <c r="K1825" i="25"/>
  <c r="L1825" i="25"/>
  <c r="G1824" i="25"/>
  <c r="I1824" i="25"/>
  <c r="K1824" i="25"/>
  <c r="L1824" i="25"/>
  <c r="G1823" i="25"/>
  <c r="I1823" i="25"/>
  <c r="K1823" i="25"/>
  <c r="L1823" i="25"/>
  <c r="G1822" i="25"/>
  <c r="I1822" i="25"/>
  <c r="K1822" i="25"/>
  <c r="L1822" i="25"/>
  <c r="G1821" i="25"/>
  <c r="I1821" i="25"/>
  <c r="K1821" i="25"/>
  <c r="L1821" i="25"/>
  <c r="G1820" i="25"/>
  <c r="I1820" i="25"/>
  <c r="K1820" i="25"/>
  <c r="L1820" i="25"/>
  <c r="G1819" i="25"/>
  <c r="I1819" i="25"/>
  <c r="K1819" i="25"/>
  <c r="L1819" i="25"/>
  <c r="G1818" i="25"/>
  <c r="I1818" i="25"/>
  <c r="K1818" i="25"/>
  <c r="L1818" i="25"/>
  <c r="G1817" i="25"/>
  <c r="I1817" i="25"/>
  <c r="K1817" i="25"/>
  <c r="L1817" i="25"/>
  <c r="G1816" i="25"/>
  <c r="I1816" i="25"/>
  <c r="K1816" i="25"/>
  <c r="L1816" i="25"/>
  <c r="G1815" i="25"/>
  <c r="I1815" i="25"/>
  <c r="K1815" i="25"/>
  <c r="L1815" i="25"/>
  <c r="G1814" i="25"/>
  <c r="I1814" i="25"/>
  <c r="K1814" i="25"/>
  <c r="L1814" i="25"/>
  <c r="G1813" i="25"/>
  <c r="I1813" i="25"/>
  <c r="K1813" i="25"/>
  <c r="L1813" i="25"/>
  <c r="G1812" i="25"/>
  <c r="I1812" i="25"/>
  <c r="K1812" i="25"/>
  <c r="L1812" i="25"/>
  <c r="G1811" i="25"/>
  <c r="I1811" i="25"/>
  <c r="K1811" i="25"/>
  <c r="L1811" i="25"/>
  <c r="G1810" i="25"/>
  <c r="I1810" i="25"/>
  <c r="K1810" i="25"/>
  <c r="L1810" i="25"/>
  <c r="G1809" i="25"/>
  <c r="I1809" i="25"/>
  <c r="K1809" i="25"/>
  <c r="L1809" i="25"/>
  <c r="G1808" i="25"/>
  <c r="I1808" i="25"/>
  <c r="K1808" i="25"/>
  <c r="L1808" i="25"/>
  <c r="G1807" i="25"/>
  <c r="I1807" i="25"/>
  <c r="K1807" i="25"/>
  <c r="L1807" i="25"/>
  <c r="G1806" i="25"/>
  <c r="I1806" i="25"/>
  <c r="K1806" i="25"/>
  <c r="L1806" i="25"/>
  <c r="G1805" i="25"/>
  <c r="I1805" i="25"/>
  <c r="K1805" i="25"/>
  <c r="L1805" i="25"/>
  <c r="G1804" i="25"/>
  <c r="I1804" i="25"/>
  <c r="K1804" i="25"/>
  <c r="L1804" i="25"/>
  <c r="G1803" i="25"/>
  <c r="I1803" i="25"/>
  <c r="K1803" i="25"/>
  <c r="L1803" i="25"/>
  <c r="G1802" i="25"/>
  <c r="I1802" i="25"/>
  <c r="K1802" i="25"/>
  <c r="L1802" i="25"/>
  <c r="G1801" i="25"/>
  <c r="I1801" i="25"/>
  <c r="K1801" i="25"/>
  <c r="L1801" i="25"/>
  <c r="G1800" i="25"/>
  <c r="I1800" i="25"/>
  <c r="K1800" i="25"/>
  <c r="L1800" i="25"/>
  <c r="G1799" i="25"/>
  <c r="I1799" i="25"/>
  <c r="K1799" i="25"/>
  <c r="L1799" i="25"/>
  <c r="G1798" i="25"/>
  <c r="I1798" i="25"/>
  <c r="K1798" i="25"/>
  <c r="L1798" i="25"/>
  <c r="G1797" i="25"/>
  <c r="I1797" i="25"/>
  <c r="K1797" i="25"/>
  <c r="L1797" i="25"/>
  <c r="G1796" i="25"/>
  <c r="I1796" i="25"/>
  <c r="K1796" i="25"/>
  <c r="L1796" i="25"/>
  <c r="G1795" i="25"/>
  <c r="I1795" i="25"/>
  <c r="K1795" i="25"/>
  <c r="L1795" i="25"/>
  <c r="G1794" i="25"/>
  <c r="I1794" i="25"/>
  <c r="K1794" i="25"/>
  <c r="L1794" i="25"/>
  <c r="G1793" i="25"/>
  <c r="I1793" i="25"/>
  <c r="K1793" i="25"/>
  <c r="L1793" i="25"/>
  <c r="G1792" i="25"/>
  <c r="I1792" i="25"/>
  <c r="K1792" i="25"/>
  <c r="L1792" i="25"/>
  <c r="G1791" i="25"/>
  <c r="I1791" i="25"/>
  <c r="K1791" i="25"/>
  <c r="L1791" i="25"/>
  <c r="G1790" i="25"/>
  <c r="I1790" i="25"/>
  <c r="K1790" i="25"/>
  <c r="L1790" i="25"/>
  <c r="G1789" i="25"/>
  <c r="I1789" i="25"/>
  <c r="K1789" i="25"/>
  <c r="L1789" i="25"/>
  <c r="G1788" i="25"/>
  <c r="I1788" i="25"/>
  <c r="K1788" i="25"/>
  <c r="L1788" i="25"/>
  <c r="G1787" i="25"/>
  <c r="I1787" i="25"/>
  <c r="K1787" i="25"/>
  <c r="L1787" i="25"/>
  <c r="G1786" i="25"/>
  <c r="I1786" i="25"/>
  <c r="K1786" i="25"/>
  <c r="L1786" i="25"/>
  <c r="G1785" i="25"/>
  <c r="I1785" i="25"/>
  <c r="K1785" i="25"/>
  <c r="L1785" i="25"/>
  <c r="G1784" i="25"/>
  <c r="I1784" i="25"/>
  <c r="K1784" i="25"/>
  <c r="L1784" i="25"/>
  <c r="G1783" i="25"/>
  <c r="I1783" i="25"/>
  <c r="K1783" i="25"/>
  <c r="L1783" i="25"/>
  <c r="G1782" i="25"/>
  <c r="I1782" i="25"/>
  <c r="K1782" i="25"/>
  <c r="L1782" i="25"/>
  <c r="G1781" i="25"/>
  <c r="I1781" i="25"/>
  <c r="K1781" i="25"/>
  <c r="L1781" i="25"/>
  <c r="G1780" i="25"/>
  <c r="I1780" i="25"/>
  <c r="K1780" i="25"/>
  <c r="L1780" i="25"/>
  <c r="G1779" i="25"/>
  <c r="I1779" i="25"/>
  <c r="K1779" i="25"/>
  <c r="L1779" i="25"/>
  <c r="G1778" i="25"/>
  <c r="I1778" i="25"/>
  <c r="K1778" i="25"/>
  <c r="L1778" i="25"/>
  <c r="G1777" i="25"/>
  <c r="I1777" i="25"/>
  <c r="K1777" i="25"/>
  <c r="L1777" i="25"/>
  <c r="G1776" i="25"/>
  <c r="I1776" i="25"/>
  <c r="K1776" i="25"/>
  <c r="L1776" i="25"/>
  <c r="G1775" i="25"/>
  <c r="I1775" i="25"/>
  <c r="K1775" i="25"/>
  <c r="L1775" i="25"/>
  <c r="G1774" i="25"/>
  <c r="I1774" i="25"/>
  <c r="K1774" i="25"/>
  <c r="L1774" i="25"/>
  <c r="G1773" i="25"/>
  <c r="I1773" i="25"/>
  <c r="K1773" i="25"/>
  <c r="L1773" i="25"/>
  <c r="G1772" i="25"/>
  <c r="I1772" i="25"/>
  <c r="K1772" i="25"/>
  <c r="L1772" i="25"/>
  <c r="G1771" i="25"/>
  <c r="I1771" i="25"/>
  <c r="K1771" i="25"/>
  <c r="L1771" i="25"/>
  <c r="G1770" i="25"/>
  <c r="I1770" i="25"/>
  <c r="K1770" i="25"/>
  <c r="L1770" i="25"/>
  <c r="G1769" i="25"/>
  <c r="I1769" i="25"/>
  <c r="K1769" i="25"/>
  <c r="L1769" i="25"/>
  <c r="G1768" i="25"/>
  <c r="I1768" i="25"/>
  <c r="K1768" i="25"/>
  <c r="L1768" i="25"/>
  <c r="G1767" i="25"/>
  <c r="I1767" i="25"/>
  <c r="K1767" i="25"/>
  <c r="L1767" i="25"/>
  <c r="G1766" i="25"/>
  <c r="I1766" i="25"/>
  <c r="K1766" i="25"/>
  <c r="L1766" i="25"/>
  <c r="G1765" i="25"/>
  <c r="I1765" i="25"/>
  <c r="K1765" i="25"/>
  <c r="L1765" i="25"/>
  <c r="G1764" i="25"/>
  <c r="I1764" i="25"/>
  <c r="K1764" i="25"/>
  <c r="L1764" i="25"/>
  <c r="G1763" i="25"/>
  <c r="I1763" i="25"/>
  <c r="K1763" i="25"/>
  <c r="L1763" i="25"/>
  <c r="G1762" i="25"/>
  <c r="I1762" i="25"/>
  <c r="K1762" i="25"/>
  <c r="L1762" i="25"/>
  <c r="G1761" i="25"/>
  <c r="I1761" i="25"/>
  <c r="K1761" i="25"/>
  <c r="L1761" i="25"/>
  <c r="G1760" i="25"/>
  <c r="I1760" i="25"/>
  <c r="K1760" i="25"/>
  <c r="L1760" i="25"/>
  <c r="G1759" i="25"/>
  <c r="I1759" i="25"/>
  <c r="K1759" i="25"/>
  <c r="L1759" i="25"/>
  <c r="G1758" i="25"/>
  <c r="I1758" i="25"/>
  <c r="K1758" i="25"/>
  <c r="L1758" i="25"/>
  <c r="G1757" i="25"/>
  <c r="I1757" i="25"/>
  <c r="K1757" i="25"/>
  <c r="L1757" i="25"/>
  <c r="G1756" i="25"/>
  <c r="I1756" i="25"/>
  <c r="K1756" i="25"/>
  <c r="L1756" i="25"/>
  <c r="G1755" i="25"/>
  <c r="I1755" i="25"/>
  <c r="K1755" i="25"/>
  <c r="L1755" i="25"/>
  <c r="G1754" i="25"/>
  <c r="I1754" i="25"/>
  <c r="K1754" i="25"/>
  <c r="L1754" i="25"/>
  <c r="G1753" i="25"/>
  <c r="I1753" i="25"/>
  <c r="K1753" i="25"/>
  <c r="L1753" i="25"/>
  <c r="G1752" i="25"/>
  <c r="I1752" i="25"/>
  <c r="K1752" i="25"/>
  <c r="L1752" i="25"/>
  <c r="G1751" i="25"/>
  <c r="I1751" i="25"/>
  <c r="K1751" i="25"/>
  <c r="L1751" i="25"/>
  <c r="G1750" i="25"/>
  <c r="I1750" i="25"/>
  <c r="K1750" i="25"/>
  <c r="L1750" i="25"/>
  <c r="G1749" i="25"/>
  <c r="I1749" i="25"/>
  <c r="K1749" i="25"/>
  <c r="L1749" i="25"/>
  <c r="G1748" i="25"/>
  <c r="I1748" i="25"/>
  <c r="K1748" i="25"/>
  <c r="L1748" i="25"/>
  <c r="G1747" i="25"/>
  <c r="I1747" i="25"/>
  <c r="K1747" i="25"/>
  <c r="L1747" i="25"/>
  <c r="G1746" i="25"/>
  <c r="I1746" i="25"/>
  <c r="K1746" i="25"/>
  <c r="L1746" i="25"/>
  <c r="G1745" i="25"/>
  <c r="I1745" i="25"/>
  <c r="K1745" i="25"/>
  <c r="L1745" i="25"/>
  <c r="G1744" i="25"/>
  <c r="I1744" i="25"/>
  <c r="K1744" i="25"/>
  <c r="L1744" i="25"/>
  <c r="G1743" i="25"/>
  <c r="I1743" i="25"/>
  <c r="K1743" i="25"/>
  <c r="L1743" i="25"/>
  <c r="G1742" i="25"/>
  <c r="I1742" i="25"/>
  <c r="K1742" i="25"/>
  <c r="L1742" i="25"/>
  <c r="G1741" i="25"/>
  <c r="I1741" i="25"/>
  <c r="K1741" i="25"/>
  <c r="L1741" i="25"/>
  <c r="G1740" i="25"/>
  <c r="I1740" i="25"/>
  <c r="K1740" i="25"/>
  <c r="L1740" i="25"/>
  <c r="G1739" i="25"/>
  <c r="I1739" i="25"/>
  <c r="K1739" i="25"/>
  <c r="L1739" i="25"/>
  <c r="G1738" i="25"/>
  <c r="I1738" i="25"/>
  <c r="K1738" i="25"/>
  <c r="L1738" i="25"/>
  <c r="G1737" i="25"/>
  <c r="I1737" i="25"/>
  <c r="K1737" i="25"/>
  <c r="L1737" i="25"/>
  <c r="G1736" i="25"/>
  <c r="I1736" i="25"/>
  <c r="K1736" i="25"/>
  <c r="L1736" i="25"/>
  <c r="G1735" i="25"/>
  <c r="I1735" i="25"/>
  <c r="K1735" i="25"/>
  <c r="L1735" i="25"/>
  <c r="G1734" i="25"/>
  <c r="I1734" i="25"/>
  <c r="K1734" i="25"/>
  <c r="L1734" i="25"/>
  <c r="G1733" i="25"/>
  <c r="I1733" i="25"/>
  <c r="K1733" i="25"/>
  <c r="L1733" i="25"/>
  <c r="G1732" i="25"/>
  <c r="I1732" i="25"/>
  <c r="K1732" i="25"/>
  <c r="L1732" i="25"/>
  <c r="G1731" i="25"/>
  <c r="I1731" i="25"/>
  <c r="K1731" i="25"/>
  <c r="L1731" i="25"/>
  <c r="G1730" i="25"/>
  <c r="I1730" i="25"/>
  <c r="K1730" i="25"/>
  <c r="L1730" i="25"/>
  <c r="G1729" i="25"/>
  <c r="I1729" i="25"/>
  <c r="K1729" i="25"/>
  <c r="L1729" i="25"/>
  <c r="G1728" i="25"/>
  <c r="I1728" i="25"/>
  <c r="K1728" i="25"/>
  <c r="L1728" i="25"/>
  <c r="G1727" i="25"/>
  <c r="I1727" i="25"/>
  <c r="K1727" i="25"/>
  <c r="L1727" i="25"/>
  <c r="G1726" i="25"/>
  <c r="I1726" i="25"/>
  <c r="K1726" i="25"/>
  <c r="L1726" i="25"/>
  <c r="G1725" i="25"/>
  <c r="I1725" i="25"/>
  <c r="K1725" i="25"/>
  <c r="L1725" i="25"/>
  <c r="G1724" i="25"/>
  <c r="I1724" i="25"/>
  <c r="K1724" i="25"/>
  <c r="L1724" i="25"/>
  <c r="G1723" i="25"/>
  <c r="I1723" i="25"/>
  <c r="K1723" i="25"/>
  <c r="L1723" i="25"/>
  <c r="G1722" i="25"/>
  <c r="I1722" i="25"/>
  <c r="K1722" i="25"/>
  <c r="L1722" i="25"/>
  <c r="G1721" i="25"/>
  <c r="I1721" i="25"/>
  <c r="K1721" i="25"/>
  <c r="L1721" i="25"/>
  <c r="G1720" i="25"/>
  <c r="I1720" i="25"/>
  <c r="K1720" i="25"/>
  <c r="L1720" i="25"/>
  <c r="G1719" i="25"/>
  <c r="I1719" i="25"/>
  <c r="K1719" i="25"/>
  <c r="L1719" i="25"/>
  <c r="G1718" i="25"/>
  <c r="I1718" i="25"/>
  <c r="K1718" i="25"/>
  <c r="L1718" i="25"/>
  <c r="G1717" i="25"/>
  <c r="I1717" i="25"/>
  <c r="K1717" i="25"/>
  <c r="L1717" i="25"/>
  <c r="G1716" i="25"/>
  <c r="I1716" i="25"/>
  <c r="K1716" i="25"/>
  <c r="L1716" i="25"/>
  <c r="G1715" i="25"/>
  <c r="I1715" i="25"/>
  <c r="K1715" i="25"/>
  <c r="L1715" i="25"/>
  <c r="G1714" i="25"/>
  <c r="I1714" i="25"/>
  <c r="K1714" i="25"/>
  <c r="L1714" i="25"/>
  <c r="G1713" i="25"/>
  <c r="I1713" i="25"/>
  <c r="K1713" i="25"/>
  <c r="L1713" i="25"/>
  <c r="G1712" i="25"/>
  <c r="I1712" i="25"/>
  <c r="K1712" i="25"/>
  <c r="L1712" i="25"/>
  <c r="G1711" i="25"/>
  <c r="I1711" i="25"/>
  <c r="K1711" i="25"/>
  <c r="L1711" i="25"/>
  <c r="G1710" i="25"/>
  <c r="I1710" i="25"/>
  <c r="K1710" i="25"/>
  <c r="L1710" i="25"/>
  <c r="G1709" i="25"/>
  <c r="I1709" i="25"/>
  <c r="K1709" i="25"/>
  <c r="L1709" i="25"/>
  <c r="G1708" i="25"/>
  <c r="I1708" i="25"/>
  <c r="K1708" i="25"/>
  <c r="L1708" i="25"/>
  <c r="G1707" i="25"/>
  <c r="I1707" i="25"/>
  <c r="K1707" i="25"/>
  <c r="L1707" i="25"/>
  <c r="G1706" i="25"/>
  <c r="I1706" i="25"/>
  <c r="K1706" i="25"/>
  <c r="L1706" i="25"/>
  <c r="G1705" i="25"/>
  <c r="I1705" i="25"/>
  <c r="K1705" i="25"/>
  <c r="L1705" i="25"/>
  <c r="G1704" i="25"/>
  <c r="I1704" i="25"/>
  <c r="K1704" i="25"/>
  <c r="L1704" i="25"/>
  <c r="G1703" i="25"/>
  <c r="I1703" i="25"/>
  <c r="K1703" i="25"/>
  <c r="L1703" i="25"/>
  <c r="G1702" i="25"/>
  <c r="I1702" i="25"/>
  <c r="K1702" i="25"/>
  <c r="L1702" i="25"/>
  <c r="G1701" i="25"/>
  <c r="I1701" i="25"/>
  <c r="K1701" i="25"/>
  <c r="L1701" i="25"/>
  <c r="G1700" i="25"/>
  <c r="I1700" i="25"/>
  <c r="K1700" i="25"/>
  <c r="L1700" i="25"/>
  <c r="G1699" i="25"/>
  <c r="I1699" i="25"/>
  <c r="K1699" i="25"/>
  <c r="L1699" i="25"/>
  <c r="G1698" i="25"/>
  <c r="I1698" i="25"/>
  <c r="K1698" i="25"/>
  <c r="L1698" i="25"/>
  <c r="G1697" i="25"/>
  <c r="I1697" i="25"/>
  <c r="K1697" i="25"/>
  <c r="L1697" i="25"/>
  <c r="G1696" i="25"/>
  <c r="I1696" i="25"/>
  <c r="K1696" i="25"/>
  <c r="L1696" i="25"/>
  <c r="G1695" i="25"/>
  <c r="I1695" i="25"/>
  <c r="K1695" i="25"/>
  <c r="L1695" i="25"/>
  <c r="G1694" i="25"/>
  <c r="I1694" i="25"/>
  <c r="K1694" i="25"/>
  <c r="L1694" i="25"/>
  <c r="G1693" i="25"/>
  <c r="I1693" i="25"/>
  <c r="K1693" i="25"/>
  <c r="L1693" i="25"/>
  <c r="G1692" i="25"/>
  <c r="I1692" i="25"/>
  <c r="K1692" i="25"/>
  <c r="L1692" i="25"/>
  <c r="G1691" i="25"/>
  <c r="I1691" i="25"/>
  <c r="K1691" i="25"/>
  <c r="L1691" i="25"/>
  <c r="G1690" i="25"/>
  <c r="I1690" i="25"/>
  <c r="K1690" i="25"/>
  <c r="L1690" i="25"/>
  <c r="G1689" i="25"/>
  <c r="I1689" i="25"/>
  <c r="K1689" i="25"/>
  <c r="L1689" i="25"/>
  <c r="G1688" i="25"/>
  <c r="I1688" i="25"/>
  <c r="K1688" i="25"/>
  <c r="L1688" i="25"/>
  <c r="G1687" i="25"/>
  <c r="I1687" i="25"/>
  <c r="K1687" i="25"/>
  <c r="L1687" i="25"/>
  <c r="G1686" i="25"/>
  <c r="I1686" i="25"/>
  <c r="K1686" i="25"/>
  <c r="L1686" i="25"/>
  <c r="G1685" i="25"/>
  <c r="I1685" i="25"/>
  <c r="K1685" i="25"/>
  <c r="L1685" i="25"/>
  <c r="G1684" i="25"/>
  <c r="I1684" i="25"/>
  <c r="K1684" i="25"/>
  <c r="L1684" i="25"/>
  <c r="G1683" i="25"/>
  <c r="I1683" i="25"/>
  <c r="K1683" i="25"/>
  <c r="L1683" i="25"/>
  <c r="G1682" i="25"/>
  <c r="I1682" i="25"/>
  <c r="K1682" i="25"/>
  <c r="L1682" i="25"/>
  <c r="G1681" i="25"/>
  <c r="I1681" i="25"/>
  <c r="K1681" i="25"/>
  <c r="L1681" i="25"/>
  <c r="G1680" i="25"/>
  <c r="I1680" i="25"/>
  <c r="K1680" i="25"/>
  <c r="L1680" i="25"/>
  <c r="G1679" i="25"/>
  <c r="I1679" i="25"/>
  <c r="K1679" i="25"/>
  <c r="L1679" i="25"/>
  <c r="G1678" i="25"/>
  <c r="I1678" i="25"/>
  <c r="K1678" i="25"/>
  <c r="L1678" i="25"/>
  <c r="G1677" i="25"/>
  <c r="I1677" i="25"/>
  <c r="K1677" i="25"/>
  <c r="L1677" i="25"/>
  <c r="G1676" i="25"/>
  <c r="I1676" i="25"/>
  <c r="K1676" i="25"/>
  <c r="L1676" i="25"/>
  <c r="G1675" i="25"/>
  <c r="I1675" i="25"/>
  <c r="K1675" i="25"/>
  <c r="L1675" i="25"/>
  <c r="G1674" i="25"/>
  <c r="I1674" i="25"/>
  <c r="K1674" i="25"/>
  <c r="L1674" i="25"/>
  <c r="G1673" i="25"/>
  <c r="I1673" i="25"/>
  <c r="K1673" i="25"/>
  <c r="L1673" i="25"/>
  <c r="G1672" i="25"/>
  <c r="I1672" i="25"/>
  <c r="K1672" i="25"/>
  <c r="L1672" i="25"/>
  <c r="G1671" i="25"/>
  <c r="I1671" i="25"/>
  <c r="K1671" i="25"/>
  <c r="L1671" i="25"/>
  <c r="G1670" i="25"/>
  <c r="I1670" i="25"/>
  <c r="K1670" i="25"/>
  <c r="L1670" i="25"/>
  <c r="G1669" i="25"/>
  <c r="I1669" i="25"/>
  <c r="K1669" i="25"/>
  <c r="L1669" i="25"/>
  <c r="G1668" i="25"/>
  <c r="I1668" i="25"/>
  <c r="K1668" i="25"/>
  <c r="L1668" i="25"/>
  <c r="G1667" i="25"/>
  <c r="I1667" i="25"/>
  <c r="K1667" i="25"/>
  <c r="L1667" i="25"/>
  <c r="G1666" i="25"/>
  <c r="I1666" i="25"/>
  <c r="K1666" i="25"/>
  <c r="L1666" i="25"/>
  <c r="G1665" i="25"/>
  <c r="I1665" i="25"/>
  <c r="K1665" i="25"/>
  <c r="L1665" i="25"/>
  <c r="G1664" i="25"/>
  <c r="I1664" i="25"/>
  <c r="K1664" i="25"/>
  <c r="L1664" i="25"/>
  <c r="G1663" i="25"/>
  <c r="I1663" i="25"/>
  <c r="K1663" i="25"/>
  <c r="L1663" i="25"/>
  <c r="G1662" i="25"/>
  <c r="I1662" i="25"/>
  <c r="K1662" i="25"/>
  <c r="L1662" i="25"/>
  <c r="G1661" i="25"/>
  <c r="I1661" i="25"/>
  <c r="K1661" i="25"/>
  <c r="L1661" i="25"/>
  <c r="G1660" i="25"/>
  <c r="I1660" i="25"/>
  <c r="K1660" i="25"/>
  <c r="L1660" i="25"/>
  <c r="G1659" i="25"/>
  <c r="I1659" i="25"/>
  <c r="K1659" i="25"/>
  <c r="L1659" i="25"/>
  <c r="G1658" i="25"/>
  <c r="I1658" i="25"/>
  <c r="K1658" i="25"/>
  <c r="L1658" i="25"/>
  <c r="G1657" i="25"/>
  <c r="I1657" i="25"/>
  <c r="K1657" i="25"/>
  <c r="L1657" i="25"/>
  <c r="G1656" i="25"/>
  <c r="I1656" i="25"/>
  <c r="K1656" i="25"/>
  <c r="L1656" i="25"/>
  <c r="G1655" i="25"/>
  <c r="I1655" i="25"/>
  <c r="K1655" i="25"/>
  <c r="L1655" i="25"/>
  <c r="G1654" i="25"/>
  <c r="I1654" i="25"/>
  <c r="K1654" i="25"/>
  <c r="L1654" i="25"/>
  <c r="G1653" i="25"/>
  <c r="I1653" i="25"/>
  <c r="K1653" i="25"/>
  <c r="L1653" i="25"/>
  <c r="G1652" i="25"/>
  <c r="I1652" i="25"/>
  <c r="K1652" i="25"/>
  <c r="L1652" i="25"/>
  <c r="G1651" i="25"/>
  <c r="I1651" i="25"/>
  <c r="K1651" i="25"/>
  <c r="L1651" i="25"/>
  <c r="G1650" i="25"/>
  <c r="I1650" i="25"/>
  <c r="K1650" i="25"/>
  <c r="L1650" i="25"/>
  <c r="G1649" i="25"/>
  <c r="I1649" i="25"/>
  <c r="K1649" i="25"/>
  <c r="L1649" i="25"/>
  <c r="G1648" i="25"/>
  <c r="I1648" i="25"/>
  <c r="K1648" i="25"/>
  <c r="L1648" i="25"/>
  <c r="G1647" i="25"/>
  <c r="I1647" i="25"/>
  <c r="K1647" i="25"/>
  <c r="L1647" i="25"/>
  <c r="G1646" i="25"/>
  <c r="I1646" i="25"/>
  <c r="K1646" i="25"/>
  <c r="L1646" i="25"/>
  <c r="G1645" i="25"/>
  <c r="I1645" i="25"/>
  <c r="K1645" i="25"/>
  <c r="L1645" i="25"/>
  <c r="G1644" i="25"/>
  <c r="I1644" i="25"/>
  <c r="K1644" i="25"/>
  <c r="L1644" i="25"/>
  <c r="G1643" i="25"/>
  <c r="I1643" i="25"/>
  <c r="K1643" i="25"/>
  <c r="L1643" i="25"/>
  <c r="G1642" i="25"/>
  <c r="I1642" i="25"/>
  <c r="K1642" i="25"/>
  <c r="L1642" i="25"/>
  <c r="G1641" i="25"/>
  <c r="I1641" i="25"/>
  <c r="K1641" i="25"/>
  <c r="L1641" i="25"/>
  <c r="G1640" i="25"/>
  <c r="I1640" i="25"/>
  <c r="K1640" i="25"/>
  <c r="L1640" i="25"/>
  <c r="G1639" i="25"/>
  <c r="I1639" i="25"/>
  <c r="K1639" i="25"/>
  <c r="L1639" i="25"/>
  <c r="G1638" i="25"/>
  <c r="I1638" i="25"/>
  <c r="K1638" i="25"/>
  <c r="L1638" i="25"/>
  <c r="G1637" i="25"/>
  <c r="I1637" i="25"/>
  <c r="K1637" i="25"/>
  <c r="L1637" i="25"/>
  <c r="G1636" i="25"/>
  <c r="I1636" i="25"/>
  <c r="K1636" i="25"/>
  <c r="L1636" i="25"/>
  <c r="G1635" i="25"/>
  <c r="I1635" i="25"/>
  <c r="K1635" i="25"/>
  <c r="L1635" i="25"/>
  <c r="G1634" i="25"/>
  <c r="I1634" i="25"/>
  <c r="K1634" i="25"/>
  <c r="L1634" i="25"/>
  <c r="G1633" i="25"/>
  <c r="I1633" i="25"/>
  <c r="K1633" i="25"/>
  <c r="L1633" i="25"/>
  <c r="G1632" i="25"/>
  <c r="I1632" i="25"/>
  <c r="K1632" i="25"/>
  <c r="L1632" i="25"/>
  <c r="G1631" i="25"/>
  <c r="I1631" i="25"/>
  <c r="K1631" i="25"/>
  <c r="L1631" i="25"/>
  <c r="G1630" i="25"/>
  <c r="I1630" i="25"/>
  <c r="K1630" i="25"/>
  <c r="L1630" i="25"/>
  <c r="G1629" i="25"/>
  <c r="I1629" i="25"/>
  <c r="K1629" i="25"/>
  <c r="L1629" i="25"/>
  <c r="G1628" i="25"/>
  <c r="I1628" i="25"/>
  <c r="K1628" i="25"/>
  <c r="L1628" i="25"/>
  <c r="G1627" i="25"/>
  <c r="I1627" i="25"/>
  <c r="K1627" i="25"/>
  <c r="L1627" i="25"/>
  <c r="G1626" i="25"/>
  <c r="I1626" i="25"/>
  <c r="K1626" i="25"/>
  <c r="L1626" i="25"/>
  <c r="G1625" i="25"/>
  <c r="I1625" i="25"/>
  <c r="K1625" i="25"/>
  <c r="L1625" i="25"/>
  <c r="G1624" i="25"/>
  <c r="I1624" i="25"/>
  <c r="K1624" i="25"/>
  <c r="L1624" i="25"/>
  <c r="G1623" i="25"/>
  <c r="I1623" i="25"/>
  <c r="K1623" i="25"/>
  <c r="L1623" i="25"/>
  <c r="G1622" i="25"/>
  <c r="I1622" i="25"/>
  <c r="K1622" i="25"/>
  <c r="L1622" i="25"/>
  <c r="G1621" i="25"/>
  <c r="I1621" i="25"/>
  <c r="K1621" i="25"/>
  <c r="L1621" i="25"/>
  <c r="G1620" i="25"/>
  <c r="I1620" i="25"/>
  <c r="K1620" i="25"/>
  <c r="L1620" i="25"/>
  <c r="G1619" i="25"/>
  <c r="I1619" i="25"/>
  <c r="K1619" i="25"/>
  <c r="L1619" i="25"/>
  <c r="G1618" i="25"/>
  <c r="I1618" i="25"/>
  <c r="K1618" i="25"/>
  <c r="L1618" i="25"/>
  <c r="G1617" i="25"/>
  <c r="I1617" i="25"/>
  <c r="K1617" i="25"/>
  <c r="L1617" i="25"/>
  <c r="G1616" i="25"/>
  <c r="I1616" i="25"/>
  <c r="K1616" i="25"/>
  <c r="L1616" i="25"/>
  <c r="G1615" i="25"/>
  <c r="I1615" i="25"/>
  <c r="K1615" i="25"/>
  <c r="L1615" i="25"/>
  <c r="G1614" i="25"/>
  <c r="I1614" i="25"/>
  <c r="K1614" i="25"/>
  <c r="L1614" i="25"/>
  <c r="G1613" i="25"/>
  <c r="I1613" i="25"/>
  <c r="K1613" i="25"/>
  <c r="L1613" i="25"/>
  <c r="G1612" i="25"/>
  <c r="I1612" i="25"/>
  <c r="K1612" i="25"/>
  <c r="L1612" i="25"/>
  <c r="G1611" i="25"/>
  <c r="I1611" i="25"/>
  <c r="K1611" i="25"/>
  <c r="L1611" i="25"/>
  <c r="G1610" i="25"/>
  <c r="I1610" i="25"/>
  <c r="K1610" i="25"/>
  <c r="L1610" i="25"/>
  <c r="G1609" i="25"/>
  <c r="I1609" i="25"/>
  <c r="K1609" i="25"/>
  <c r="L1609" i="25"/>
  <c r="G1608" i="25"/>
  <c r="I1608" i="25"/>
  <c r="K1608" i="25"/>
  <c r="L1608" i="25"/>
  <c r="G1607" i="25"/>
  <c r="I1607" i="25"/>
  <c r="K1607" i="25"/>
  <c r="L1607" i="25"/>
  <c r="G1606" i="25"/>
  <c r="I1606" i="25"/>
  <c r="K1606" i="25"/>
  <c r="L1606" i="25"/>
  <c r="G1605" i="25"/>
  <c r="I1605" i="25"/>
  <c r="K1605" i="25"/>
  <c r="L1605" i="25"/>
  <c r="G1604" i="25"/>
  <c r="I1604" i="25"/>
  <c r="K1604" i="25"/>
  <c r="L1604" i="25"/>
  <c r="G1603" i="25"/>
  <c r="I1603" i="25"/>
  <c r="K1603" i="25"/>
  <c r="L1603" i="25"/>
  <c r="G1602" i="25"/>
  <c r="I1602" i="25"/>
  <c r="K1602" i="25"/>
  <c r="L1602" i="25"/>
  <c r="G1601" i="25"/>
  <c r="I1601" i="25"/>
  <c r="K1601" i="25"/>
  <c r="L1601" i="25"/>
  <c r="G1600" i="25"/>
  <c r="I1600" i="25"/>
  <c r="K1600" i="25"/>
  <c r="L1600" i="25"/>
  <c r="G1599" i="25"/>
  <c r="I1599" i="25"/>
  <c r="K1599" i="25"/>
  <c r="L1599" i="25"/>
  <c r="G1598" i="25"/>
  <c r="I1598" i="25"/>
  <c r="K1598" i="25"/>
  <c r="L1598" i="25"/>
  <c r="G1597" i="25"/>
  <c r="I1597" i="25"/>
  <c r="K1597" i="25"/>
  <c r="L1597" i="25"/>
  <c r="G1596" i="25"/>
  <c r="I1596" i="25"/>
  <c r="K1596" i="25"/>
  <c r="L1596" i="25"/>
  <c r="G1595" i="25"/>
  <c r="I1595" i="25"/>
  <c r="K1595" i="25"/>
  <c r="L1595" i="25"/>
  <c r="G1594" i="25"/>
  <c r="I1594" i="25"/>
  <c r="K1594" i="25"/>
  <c r="L1594" i="25"/>
  <c r="G1593" i="25"/>
  <c r="I1593" i="25"/>
  <c r="K1593" i="25"/>
  <c r="L1593" i="25"/>
  <c r="G1592" i="25"/>
  <c r="I1592" i="25"/>
  <c r="K1592" i="25"/>
  <c r="L1592" i="25"/>
  <c r="G1591" i="25"/>
  <c r="I1591" i="25"/>
  <c r="K1591" i="25"/>
  <c r="L1591" i="25"/>
  <c r="G1590" i="25"/>
  <c r="I1590" i="25"/>
  <c r="K1590" i="25"/>
  <c r="L1590" i="25"/>
  <c r="G1589" i="25"/>
  <c r="I1589" i="25"/>
  <c r="K1589" i="25"/>
  <c r="L1589" i="25"/>
  <c r="G1588" i="25"/>
  <c r="I1588" i="25"/>
  <c r="K1588" i="25"/>
  <c r="L1588" i="25"/>
  <c r="G1587" i="25"/>
  <c r="I1587" i="25"/>
  <c r="K1587" i="25"/>
  <c r="L1587" i="25"/>
  <c r="G1586" i="25"/>
  <c r="I1586" i="25"/>
  <c r="K1586" i="25"/>
  <c r="L1586" i="25"/>
  <c r="G1585" i="25"/>
  <c r="I1585" i="25"/>
  <c r="K1585" i="25"/>
  <c r="L1585" i="25"/>
  <c r="G1584" i="25"/>
  <c r="I1584" i="25"/>
  <c r="K1584" i="25"/>
  <c r="L1584" i="25"/>
  <c r="G1583" i="25"/>
  <c r="I1583" i="25"/>
  <c r="K1583" i="25"/>
  <c r="L1583" i="25"/>
  <c r="G1582" i="25"/>
  <c r="I1582" i="25"/>
  <c r="K1582" i="25"/>
  <c r="L1582" i="25"/>
  <c r="G1581" i="25"/>
  <c r="I1581" i="25"/>
  <c r="K1581" i="25"/>
  <c r="L1581" i="25"/>
  <c r="G1580" i="25"/>
  <c r="I1580" i="25"/>
  <c r="K1580" i="25"/>
  <c r="L1580" i="25"/>
  <c r="G1579" i="25"/>
  <c r="I1579" i="25"/>
  <c r="K1579" i="25"/>
  <c r="L1579" i="25"/>
  <c r="G1578" i="25"/>
  <c r="I1578" i="25"/>
  <c r="K1578" i="25"/>
  <c r="L1578" i="25"/>
  <c r="G1577" i="25"/>
  <c r="I1577" i="25"/>
  <c r="K1577" i="25"/>
  <c r="L1577" i="25"/>
  <c r="G1576" i="25"/>
  <c r="I1576" i="25"/>
  <c r="K1576" i="25"/>
  <c r="L1576" i="25"/>
  <c r="G1575" i="25"/>
  <c r="I1575" i="25"/>
  <c r="K1575" i="25"/>
  <c r="L1575" i="25"/>
  <c r="G1574" i="25"/>
  <c r="I1574" i="25"/>
  <c r="K1574" i="25"/>
  <c r="L1574" i="25"/>
  <c r="G1573" i="25"/>
  <c r="I1573" i="25"/>
  <c r="K1573" i="25"/>
  <c r="L1573" i="25"/>
  <c r="G1572" i="25"/>
  <c r="I1572" i="25"/>
  <c r="K1572" i="25"/>
  <c r="L1572" i="25"/>
  <c r="G1571" i="25"/>
  <c r="I1571" i="25"/>
  <c r="K1571" i="25"/>
  <c r="L1571" i="25"/>
  <c r="G1570" i="25"/>
  <c r="I1570" i="25"/>
  <c r="K1570" i="25"/>
  <c r="L1570" i="25"/>
  <c r="G1569" i="25"/>
  <c r="I1569" i="25"/>
  <c r="K1569" i="25"/>
  <c r="L1569" i="25"/>
  <c r="G1568" i="25"/>
  <c r="I1568" i="25"/>
  <c r="K1568" i="25"/>
  <c r="L1568" i="25"/>
  <c r="G1567" i="25"/>
  <c r="I1567" i="25"/>
  <c r="K1567" i="25"/>
  <c r="L1567" i="25"/>
  <c r="G1566" i="25"/>
  <c r="I1566" i="25"/>
  <c r="K1566" i="25"/>
  <c r="L1566" i="25"/>
  <c r="G1565" i="25"/>
  <c r="I1565" i="25"/>
  <c r="K1565" i="25"/>
  <c r="L1565" i="25"/>
  <c r="G1564" i="25"/>
  <c r="I1564" i="25"/>
  <c r="K1564" i="25"/>
  <c r="L1564" i="25"/>
  <c r="G1563" i="25"/>
  <c r="I1563" i="25"/>
  <c r="K1563" i="25"/>
  <c r="L1563" i="25"/>
  <c r="G1562" i="25"/>
  <c r="I1562" i="25"/>
  <c r="K1562" i="25"/>
  <c r="L1562" i="25"/>
  <c r="G1561" i="25"/>
  <c r="I1561" i="25"/>
  <c r="K1561" i="25"/>
  <c r="L1561" i="25"/>
  <c r="G1560" i="25"/>
  <c r="I1560" i="25"/>
  <c r="K1560" i="25"/>
  <c r="L1560" i="25"/>
  <c r="G1559" i="25"/>
  <c r="I1559" i="25"/>
  <c r="K1559" i="25"/>
  <c r="L1559" i="25"/>
  <c r="G1558" i="25"/>
  <c r="I1558" i="25"/>
  <c r="K1558" i="25"/>
  <c r="L1558" i="25"/>
  <c r="G1557" i="25"/>
  <c r="I1557" i="25"/>
  <c r="K1557" i="25"/>
  <c r="L1557" i="25"/>
  <c r="G1556" i="25"/>
  <c r="I1556" i="25"/>
  <c r="K1556" i="25"/>
  <c r="L1556" i="25"/>
  <c r="G1555" i="25"/>
  <c r="I1555" i="25"/>
  <c r="K1555" i="25"/>
  <c r="L1555" i="25"/>
  <c r="G1554" i="25"/>
  <c r="I1554" i="25"/>
  <c r="K1554" i="25"/>
  <c r="L1554" i="25"/>
  <c r="G1553" i="25"/>
  <c r="I1553" i="25"/>
  <c r="K1553" i="25"/>
  <c r="L1553" i="25"/>
  <c r="G1552" i="25"/>
  <c r="I1552" i="25"/>
  <c r="K1552" i="25"/>
  <c r="L1552" i="25"/>
  <c r="G1551" i="25"/>
  <c r="I1551" i="25"/>
  <c r="K1551" i="25"/>
  <c r="L1551" i="25"/>
  <c r="G1550" i="25"/>
  <c r="I1550" i="25"/>
  <c r="K1550" i="25"/>
  <c r="L1550" i="25"/>
  <c r="G1549" i="25"/>
  <c r="I1549" i="25"/>
  <c r="K1549" i="25"/>
  <c r="L1549" i="25"/>
  <c r="G1548" i="25"/>
  <c r="I1548" i="25"/>
  <c r="K1548" i="25"/>
  <c r="L1548" i="25"/>
  <c r="G1547" i="25"/>
  <c r="I1547" i="25"/>
  <c r="K1547" i="25"/>
  <c r="L1547" i="25"/>
  <c r="G1546" i="25"/>
  <c r="I1546" i="25"/>
  <c r="K1546" i="25"/>
  <c r="L1546" i="25"/>
  <c r="G1545" i="25"/>
  <c r="I1545" i="25"/>
  <c r="K1545" i="25"/>
  <c r="L1545" i="25"/>
  <c r="G1544" i="25"/>
  <c r="I1544" i="25"/>
  <c r="K1544" i="25"/>
  <c r="L1544" i="25"/>
  <c r="G1543" i="25"/>
  <c r="I1543" i="25"/>
  <c r="K1543" i="25"/>
  <c r="L1543" i="25"/>
  <c r="G1542" i="25"/>
  <c r="I1542" i="25"/>
  <c r="K1542" i="25"/>
  <c r="L1542" i="25"/>
  <c r="G1541" i="25"/>
  <c r="I1541" i="25"/>
  <c r="K1541" i="25"/>
  <c r="L1541" i="25"/>
  <c r="G1540" i="25"/>
  <c r="I1540" i="25"/>
  <c r="K1540" i="25"/>
  <c r="L1540" i="25"/>
  <c r="G1539" i="25"/>
  <c r="I1539" i="25"/>
  <c r="K1539" i="25"/>
  <c r="L1539" i="25"/>
  <c r="G1538" i="25"/>
  <c r="I1538" i="25"/>
  <c r="K1538" i="25"/>
  <c r="L1538" i="25"/>
  <c r="G1537" i="25"/>
  <c r="I1537" i="25"/>
  <c r="K1537" i="25"/>
  <c r="L1537" i="25"/>
  <c r="G1536" i="25"/>
  <c r="I1536" i="25"/>
  <c r="K1536" i="25"/>
  <c r="L1536" i="25"/>
  <c r="G1535" i="25"/>
  <c r="I1535" i="25"/>
  <c r="K1535" i="25"/>
  <c r="L1535" i="25"/>
  <c r="G1534" i="25"/>
  <c r="I1534" i="25"/>
  <c r="K1534" i="25"/>
  <c r="L1534" i="25"/>
  <c r="G1533" i="25"/>
  <c r="I1533" i="25"/>
  <c r="K1533" i="25"/>
  <c r="L1533" i="25"/>
  <c r="G1532" i="25"/>
  <c r="I1532" i="25"/>
  <c r="K1532" i="25"/>
  <c r="L1532" i="25"/>
  <c r="G1531" i="25"/>
  <c r="I1531" i="25"/>
  <c r="K1531" i="25"/>
  <c r="L1531" i="25"/>
  <c r="G1530" i="25"/>
  <c r="I1530" i="25"/>
  <c r="K1530" i="25"/>
  <c r="L1530" i="25"/>
  <c r="G1529" i="25"/>
  <c r="I1529" i="25"/>
  <c r="K1529" i="25"/>
  <c r="L1529" i="25"/>
  <c r="G1528" i="25"/>
  <c r="I1528" i="25"/>
  <c r="K1528" i="25"/>
  <c r="L1528" i="25"/>
  <c r="G1527" i="25"/>
  <c r="I1527" i="25"/>
  <c r="K1527" i="25"/>
  <c r="L1527" i="25"/>
  <c r="G1526" i="25"/>
  <c r="I1526" i="25"/>
  <c r="K1526" i="25"/>
  <c r="L1526" i="25"/>
  <c r="G1525" i="25"/>
  <c r="I1525" i="25"/>
  <c r="K1525" i="25"/>
  <c r="L1525" i="25"/>
  <c r="G1524" i="25"/>
  <c r="I1524" i="25"/>
  <c r="K1524" i="25"/>
  <c r="L1524" i="25"/>
  <c r="G1523" i="25"/>
  <c r="I1523" i="25"/>
  <c r="K1523" i="25"/>
  <c r="L1523" i="25"/>
  <c r="G1522" i="25"/>
  <c r="I1522" i="25"/>
  <c r="K1522" i="25"/>
  <c r="L1522" i="25"/>
  <c r="G1521" i="25"/>
  <c r="I1521" i="25"/>
  <c r="K1521" i="25"/>
  <c r="L1521" i="25"/>
  <c r="G1520" i="25"/>
  <c r="I1520" i="25"/>
  <c r="K1520" i="25"/>
  <c r="L1520" i="25"/>
  <c r="G1519" i="25"/>
  <c r="I1519" i="25"/>
  <c r="K1519" i="25"/>
  <c r="L1519" i="25"/>
  <c r="G1518" i="25"/>
  <c r="I1518" i="25"/>
  <c r="K1518" i="25"/>
  <c r="L1518" i="25"/>
  <c r="G1517" i="25"/>
  <c r="I1517" i="25"/>
  <c r="K1517" i="25"/>
  <c r="L1517" i="25"/>
  <c r="G1516" i="25"/>
  <c r="I1516" i="25"/>
  <c r="K1516" i="25"/>
  <c r="L1516" i="25"/>
  <c r="G1515" i="25"/>
  <c r="I1515" i="25"/>
  <c r="K1515" i="25"/>
  <c r="L1515" i="25"/>
  <c r="G1514" i="25"/>
  <c r="I1514" i="25"/>
  <c r="K1514" i="25"/>
  <c r="L1514" i="25"/>
  <c r="G1513" i="25"/>
  <c r="I1513" i="25"/>
  <c r="K1513" i="25"/>
  <c r="L1513" i="25"/>
  <c r="G1512" i="25"/>
  <c r="I1512" i="25"/>
  <c r="K1512" i="25"/>
  <c r="L1512" i="25"/>
  <c r="G1511" i="25"/>
  <c r="I1511" i="25"/>
  <c r="K1511" i="25"/>
  <c r="L1511" i="25"/>
  <c r="G1510" i="25"/>
  <c r="I1510" i="25"/>
  <c r="K1510" i="25"/>
  <c r="L1510" i="25"/>
  <c r="G1509" i="25"/>
  <c r="I1509" i="25"/>
  <c r="K1509" i="25"/>
  <c r="L1509" i="25"/>
  <c r="G1508" i="25"/>
  <c r="I1508" i="25"/>
  <c r="K1508" i="25"/>
  <c r="L1508" i="25"/>
  <c r="G1507" i="25"/>
  <c r="I1507" i="25"/>
  <c r="K1507" i="25"/>
  <c r="L1507" i="25"/>
  <c r="G1506" i="25"/>
  <c r="I1506" i="25"/>
  <c r="K1506" i="25"/>
  <c r="L1506" i="25"/>
  <c r="G1505" i="25"/>
  <c r="I1505" i="25"/>
  <c r="K1505" i="25"/>
  <c r="L1505" i="25"/>
  <c r="G1504" i="25"/>
  <c r="I1504" i="25"/>
  <c r="K1504" i="25"/>
  <c r="L1504" i="25"/>
  <c r="G1503" i="25"/>
  <c r="I1503" i="25"/>
  <c r="K1503" i="25"/>
  <c r="L1503" i="25"/>
  <c r="G1502" i="25"/>
  <c r="I1502" i="25"/>
  <c r="K1502" i="25"/>
  <c r="L1502" i="25"/>
  <c r="G1501" i="25"/>
  <c r="I1501" i="25"/>
  <c r="K1501" i="25"/>
  <c r="L1501" i="25"/>
  <c r="G1500" i="25"/>
  <c r="I1500" i="25"/>
  <c r="K1500" i="25"/>
  <c r="L1500" i="25"/>
  <c r="G1499" i="25"/>
  <c r="I1499" i="25"/>
  <c r="K1499" i="25"/>
  <c r="L1499" i="25"/>
  <c r="G1498" i="25"/>
  <c r="I1498" i="25"/>
  <c r="K1498" i="25"/>
  <c r="L1498" i="25"/>
  <c r="G1497" i="25"/>
  <c r="I1497" i="25"/>
  <c r="K1497" i="25"/>
  <c r="L1497" i="25"/>
  <c r="G1496" i="25"/>
  <c r="I1496" i="25"/>
  <c r="K1496" i="25"/>
  <c r="L1496" i="25"/>
  <c r="G1495" i="25"/>
  <c r="I1495" i="25"/>
  <c r="K1495" i="25"/>
  <c r="L1495" i="25"/>
  <c r="G1494" i="25"/>
  <c r="I1494" i="25"/>
  <c r="K1494" i="25"/>
  <c r="L1494" i="25"/>
  <c r="G1493" i="25"/>
  <c r="I1493" i="25"/>
  <c r="K1493" i="25"/>
  <c r="L1493" i="25"/>
  <c r="G1492" i="25"/>
  <c r="I1492" i="25"/>
  <c r="K1492" i="25"/>
  <c r="L1492" i="25"/>
  <c r="G1491" i="25"/>
  <c r="I1491" i="25"/>
  <c r="K1491" i="25"/>
  <c r="L1491" i="25"/>
  <c r="G1490" i="25"/>
  <c r="I1490" i="25"/>
  <c r="K1490" i="25"/>
  <c r="L1490" i="25"/>
  <c r="G1489" i="25"/>
  <c r="I1489" i="25"/>
  <c r="K1489" i="25"/>
  <c r="L1489" i="25"/>
  <c r="G1488" i="25"/>
  <c r="I1488" i="25"/>
  <c r="K1488" i="25"/>
  <c r="L1488" i="25"/>
  <c r="G1487" i="25"/>
  <c r="I1487" i="25"/>
  <c r="K1487" i="25"/>
  <c r="L1487" i="25"/>
  <c r="G1486" i="25"/>
  <c r="I1486" i="25"/>
  <c r="K1486" i="25"/>
  <c r="L1486" i="25"/>
  <c r="G1485" i="25"/>
  <c r="I1485" i="25"/>
  <c r="K1485" i="25"/>
  <c r="L1485" i="25"/>
  <c r="G1484" i="25"/>
  <c r="I1484" i="25"/>
  <c r="K1484" i="25"/>
  <c r="L1484" i="25"/>
  <c r="G1483" i="25"/>
  <c r="I1483" i="25"/>
  <c r="K1483" i="25"/>
  <c r="L1483" i="25"/>
  <c r="G1482" i="25"/>
  <c r="I1482" i="25"/>
  <c r="K1482" i="25"/>
  <c r="L1482" i="25"/>
  <c r="G1481" i="25"/>
  <c r="I1481" i="25"/>
  <c r="K1481" i="25"/>
  <c r="L1481" i="25"/>
  <c r="G1480" i="25"/>
  <c r="I1480" i="25"/>
  <c r="K1480" i="25"/>
  <c r="L1480" i="25"/>
  <c r="G1479" i="25"/>
  <c r="I1479" i="25"/>
  <c r="K1479" i="25"/>
  <c r="L1479" i="25"/>
  <c r="G1478" i="25"/>
  <c r="I1478" i="25"/>
  <c r="K1478" i="25"/>
  <c r="L1478" i="25"/>
  <c r="G1477" i="25"/>
  <c r="I1477" i="25"/>
  <c r="K1477" i="25"/>
  <c r="L1477" i="25"/>
  <c r="G1476" i="25"/>
  <c r="I1476" i="25"/>
  <c r="K1476" i="25"/>
  <c r="L1476" i="25"/>
  <c r="G1475" i="25"/>
  <c r="I1475" i="25"/>
  <c r="K1475" i="25"/>
  <c r="L1475" i="25"/>
  <c r="G1474" i="25"/>
  <c r="I1474" i="25"/>
  <c r="K1474" i="25"/>
  <c r="L1474" i="25"/>
  <c r="G1473" i="25"/>
  <c r="I1473" i="25"/>
  <c r="K1473" i="25"/>
  <c r="L1473" i="25"/>
  <c r="G1472" i="25"/>
  <c r="I1472" i="25"/>
  <c r="K1472" i="25"/>
  <c r="L1472" i="25"/>
  <c r="G1471" i="25"/>
  <c r="I1471" i="25"/>
  <c r="K1471" i="25"/>
  <c r="L1471" i="25"/>
  <c r="G1470" i="25"/>
  <c r="I1470" i="25"/>
  <c r="K1470" i="25"/>
  <c r="L1470" i="25"/>
  <c r="G1469" i="25"/>
  <c r="I1469" i="25"/>
  <c r="K1469" i="25"/>
  <c r="L1469" i="25"/>
  <c r="G1468" i="25"/>
  <c r="I1468" i="25"/>
  <c r="K1468" i="25"/>
  <c r="L1468" i="25"/>
  <c r="G1467" i="25"/>
  <c r="I1467" i="25"/>
  <c r="K1467" i="25"/>
  <c r="L1467" i="25"/>
  <c r="G1466" i="25"/>
  <c r="I1466" i="25"/>
  <c r="K1466" i="25"/>
  <c r="L1466" i="25"/>
  <c r="G1465" i="25"/>
  <c r="I1465" i="25"/>
  <c r="K1465" i="25"/>
  <c r="L1465" i="25"/>
  <c r="G1464" i="25"/>
  <c r="I1464" i="25"/>
  <c r="K1464" i="25"/>
  <c r="L1464" i="25"/>
  <c r="G1463" i="25"/>
  <c r="I1463" i="25"/>
  <c r="K1463" i="25"/>
  <c r="L1463" i="25"/>
  <c r="G1462" i="25"/>
  <c r="I1462" i="25"/>
  <c r="K1462" i="25"/>
  <c r="L1462" i="25"/>
  <c r="G1461" i="25"/>
  <c r="I1461" i="25"/>
  <c r="K1461" i="25"/>
  <c r="L1461" i="25"/>
  <c r="G1460" i="25"/>
  <c r="I1460" i="25"/>
  <c r="K1460" i="25"/>
  <c r="L1460" i="25"/>
  <c r="G1459" i="25"/>
  <c r="I1459" i="25"/>
  <c r="K1459" i="25"/>
  <c r="L1459" i="25"/>
  <c r="G1458" i="25"/>
  <c r="I1458" i="25"/>
  <c r="K1458" i="25"/>
  <c r="L1458" i="25"/>
  <c r="G1457" i="25"/>
  <c r="I1457" i="25"/>
  <c r="K1457" i="25"/>
  <c r="L1457" i="25"/>
  <c r="G1456" i="25"/>
  <c r="I1456" i="25"/>
  <c r="K1456" i="25"/>
  <c r="L1456" i="25"/>
  <c r="G1455" i="25"/>
  <c r="I1455" i="25"/>
  <c r="K1455" i="25"/>
  <c r="L1455" i="25"/>
  <c r="G1454" i="25"/>
  <c r="I1454" i="25"/>
  <c r="K1454" i="25"/>
  <c r="L1454" i="25"/>
  <c r="G1453" i="25"/>
  <c r="I1453" i="25"/>
  <c r="K1453" i="25"/>
  <c r="L1453" i="25"/>
  <c r="G1452" i="25"/>
  <c r="I1452" i="25"/>
  <c r="K1452" i="25"/>
  <c r="L1452" i="25"/>
  <c r="G1451" i="25"/>
  <c r="I1451" i="25"/>
  <c r="K1451" i="25"/>
  <c r="L1451" i="25"/>
  <c r="G1450" i="25"/>
  <c r="I1450" i="25"/>
  <c r="K1450" i="25"/>
  <c r="L1450" i="25"/>
  <c r="G1449" i="25"/>
  <c r="I1449" i="25"/>
  <c r="K1449" i="25"/>
  <c r="L1449" i="25"/>
  <c r="G1448" i="25"/>
  <c r="I1448" i="25"/>
  <c r="K1448" i="25"/>
  <c r="L1448" i="25"/>
  <c r="G1447" i="25"/>
  <c r="I1447" i="25"/>
  <c r="K1447" i="25"/>
  <c r="L1447" i="25"/>
  <c r="G1446" i="25"/>
  <c r="I1446" i="25"/>
  <c r="K1446" i="25"/>
  <c r="L1446" i="25"/>
  <c r="G1445" i="25"/>
  <c r="I1445" i="25"/>
  <c r="K1445" i="25"/>
  <c r="L1445" i="25"/>
  <c r="G1444" i="25"/>
  <c r="I1444" i="25"/>
  <c r="K1444" i="25"/>
  <c r="L1444" i="25"/>
  <c r="G1443" i="25"/>
  <c r="I1443" i="25"/>
  <c r="K1443" i="25"/>
  <c r="L1443" i="25"/>
  <c r="G1442" i="25"/>
  <c r="I1442" i="25"/>
  <c r="K1442" i="25"/>
  <c r="L1442" i="25"/>
  <c r="G1441" i="25"/>
  <c r="I1441" i="25"/>
  <c r="K1441" i="25"/>
  <c r="L1441" i="25"/>
  <c r="G1440" i="25"/>
  <c r="I1440" i="25"/>
  <c r="K1440" i="25"/>
  <c r="L1440" i="25"/>
  <c r="G1439" i="25"/>
  <c r="I1439" i="25"/>
  <c r="K1439" i="25"/>
  <c r="L1439" i="25"/>
  <c r="G1438" i="25"/>
  <c r="I1438" i="25"/>
  <c r="K1438" i="25"/>
  <c r="L1438" i="25"/>
  <c r="G1437" i="25"/>
  <c r="I1437" i="25"/>
  <c r="K1437" i="25"/>
  <c r="L1437" i="25"/>
  <c r="G1436" i="25"/>
  <c r="I1436" i="25"/>
  <c r="K1436" i="25"/>
  <c r="L1436" i="25"/>
  <c r="G1435" i="25"/>
  <c r="I1435" i="25"/>
  <c r="K1435" i="25"/>
  <c r="L1435" i="25"/>
  <c r="G1434" i="25"/>
  <c r="I1434" i="25"/>
  <c r="K1434" i="25"/>
  <c r="L1434" i="25"/>
  <c r="G1433" i="25"/>
  <c r="I1433" i="25"/>
  <c r="K1433" i="25"/>
  <c r="L1433" i="25"/>
  <c r="G1432" i="25"/>
  <c r="I1432" i="25"/>
  <c r="K1432" i="25"/>
  <c r="L1432" i="25"/>
  <c r="G1431" i="25"/>
  <c r="I1431" i="25"/>
  <c r="K1431" i="25"/>
  <c r="L1431" i="25"/>
  <c r="G1430" i="25"/>
  <c r="I1430" i="25"/>
  <c r="K1430" i="25"/>
  <c r="L1430" i="25"/>
  <c r="G1429" i="25"/>
  <c r="I1429" i="25"/>
  <c r="K1429" i="25"/>
  <c r="L1429" i="25"/>
  <c r="G1428" i="25"/>
  <c r="I1428" i="25"/>
  <c r="K1428" i="25"/>
  <c r="L1428" i="25"/>
  <c r="G1427" i="25"/>
  <c r="I1427" i="25"/>
  <c r="K1427" i="25"/>
  <c r="L1427" i="25"/>
  <c r="G1426" i="25"/>
  <c r="I1426" i="25"/>
  <c r="K1426" i="25"/>
  <c r="L1426" i="25"/>
  <c r="G1425" i="25"/>
  <c r="I1425" i="25"/>
  <c r="K1425" i="25"/>
  <c r="L1425" i="25"/>
  <c r="G1424" i="25"/>
  <c r="I1424" i="25"/>
  <c r="K1424" i="25"/>
  <c r="L1424" i="25"/>
  <c r="G1423" i="25"/>
  <c r="I1423" i="25"/>
  <c r="K1423" i="25"/>
  <c r="L1423" i="25"/>
  <c r="G1422" i="25"/>
  <c r="I1422" i="25"/>
  <c r="K1422" i="25"/>
  <c r="L1422" i="25"/>
  <c r="G1421" i="25"/>
  <c r="I1421" i="25"/>
  <c r="K1421" i="25"/>
  <c r="L1421" i="25"/>
  <c r="G1420" i="25"/>
  <c r="I1420" i="25"/>
  <c r="K1420" i="25"/>
  <c r="L1420" i="25"/>
  <c r="G1419" i="25"/>
  <c r="I1419" i="25"/>
  <c r="K1419" i="25"/>
  <c r="L1419" i="25"/>
  <c r="G1418" i="25"/>
  <c r="I1418" i="25"/>
  <c r="K1418" i="25"/>
  <c r="L1418" i="25"/>
  <c r="G1417" i="25"/>
  <c r="I1417" i="25"/>
  <c r="K1417" i="25"/>
  <c r="L1417" i="25"/>
  <c r="G1416" i="25"/>
  <c r="I1416" i="25"/>
  <c r="K1416" i="25"/>
  <c r="L1416" i="25"/>
  <c r="G1415" i="25"/>
  <c r="I1415" i="25"/>
  <c r="K1415" i="25"/>
  <c r="L1415" i="25"/>
  <c r="G1414" i="25"/>
  <c r="I1414" i="25"/>
  <c r="K1414" i="25"/>
  <c r="L1414" i="25"/>
  <c r="G1413" i="25"/>
  <c r="I1413" i="25"/>
  <c r="K1413" i="25"/>
  <c r="L1413" i="25"/>
  <c r="G1412" i="25"/>
  <c r="I1412" i="25"/>
  <c r="K1412" i="25"/>
  <c r="L1412" i="25"/>
  <c r="G1411" i="25"/>
  <c r="I1411" i="25"/>
  <c r="K1411" i="25"/>
  <c r="L1411" i="25"/>
  <c r="G1410" i="25"/>
  <c r="I1410" i="25"/>
  <c r="K1410" i="25"/>
  <c r="L1410" i="25"/>
  <c r="G1409" i="25"/>
  <c r="I1409" i="25"/>
  <c r="K1409" i="25"/>
  <c r="L1409" i="25"/>
  <c r="G1408" i="25"/>
  <c r="I1408" i="25"/>
  <c r="K1408" i="25"/>
  <c r="L1408" i="25"/>
  <c r="G1407" i="25"/>
  <c r="I1407" i="25"/>
  <c r="K1407" i="25"/>
  <c r="L1407" i="25"/>
  <c r="G1406" i="25"/>
  <c r="I1406" i="25"/>
  <c r="K1406" i="25"/>
  <c r="L1406" i="25"/>
  <c r="G1405" i="25"/>
  <c r="I1405" i="25"/>
  <c r="K1405" i="25"/>
  <c r="L1405" i="25"/>
  <c r="G1404" i="25"/>
  <c r="I1404" i="25"/>
  <c r="K1404" i="25"/>
  <c r="L1404" i="25"/>
  <c r="G1403" i="25"/>
  <c r="I1403" i="25"/>
  <c r="K1403" i="25"/>
  <c r="L1403" i="25"/>
  <c r="G1402" i="25"/>
  <c r="I1402" i="25"/>
  <c r="K1402" i="25"/>
  <c r="L1402" i="25"/>
  <c r="G1401" i="25"/>
  <c r="I1401" i="25"/>
  <c r="K1401" i="25"/>
  <c r="L1401" i="25"/>
  <c r="G1400" i="25"/>
  <c r="I1400" i="25"/>
  <c r="K1400" i="25"/>
  <c r="L1400" i="25"/>
  <c r="G1399" i="25"/>
  <c r="I1399" i="25"/>
  <c r="K1399" i="25"/>
  <c r="L1399" i="25"/>
  <c r="G1398" i="25"/>
  <c r="I1398" i="25"/>
  <c r="K1398" i="25"/>
  <c r="L1398" i="25"/>
  <c r="G1397" i="25"/>
  <c r="I1397" i="25"/>
  <c r="K1397" i="25"/>
  <c r="L1397" i="25"/>
  <c r="G1396" i="25"/>
  <c r="I1396" i="25"/>
  <c r="K1396" i="25"/>
  <c r="L1396" i="25"/>
  <c r="G1395" i="25"/>
  <c r="I1395" i="25"/>
  <c r="K1395" i="25"/>
  <c r="L1395" i="25"/>
  <c r="G1394" i="25"/>
  <c r="I1394" i="25"/>
  <c r="K1394" i="25"/>
  <c r="L1394" i="25"/>
  <c r="G1393" i="25"/>
  <c r="I1393" i="25"/>
  <c r="K1393" i="25"/>
  <c r="L1393" i="25"/>
  <c r="G1392" i="25"/>
  <c r="I1392" i="25"/>
  <c r="K1392" i="25"/>
  <c r="L1392" i="25"/>
  <c r="G1391" i="25"/>
  <c r="I1391" i="25"/>
  <c r="K1391" i="25"/>
  <c r="L1391" i="25"/>
  <c r="G1390" i="25"/>
  <c r="I1390" i="25"/>
  <c r="K1390" i="25"/>
  <c r="L1390" i="25"/>
  <c r="G1389" i="25"/>
  <c r="I1389" i="25"/>
  <c r="K1389" i="25"/>
  <c r="L1389" i="25"/>
  <c r="G1388" i="25"/>
  <c r="I1388" i="25"/>
  <c r="K1388" i="25"/>
  <c r="L1388" i="25"/>
  <c r="G1387" i="25"/>
  <c r="I1387" i="25"/>
  <c r="K1387" i="25"/>
  <c r="L1387" i="25"/>
  <c r="G1386" i="25"/>
  <c r="I1386" i="25"/>
  <c r="K1386" i="25"/>
  <c r="L1386" i="25"/>
  <c r="G1385" i="25"/>
  <c r="I1385" i="25"/>
  <c r="K1385" i="25"/>
  <c r="L1385" i="25"/>
  <c r="G1384" i="25"/>
  <c r="I1384" i="25"/>
  <c r="K1384" i="25"/>
  <c r="L1384" i="25"/>
  <c r="G1383" i="25"/>
  <c r="I1383" i="25"/>
  <c r="K1383" i="25"/>
  <c r="L1383" i="25"/>
  <c r="G1382" i="25"/>
  <c r="I1382" i="25"/>
  <c r="K1382" i="25"/>
  <c r="L1382" i="25"/>
  <c r="G1381" i="25"/>
  <c r="I1381" i="25"/>
  <c r="K1381" i="25"/>
  <c r="L1381" i="25"/>
  <c r="G1380" i="25"/>
  <c r="I1380" i="25"/>
  <c r="K1380" i="25"/>
  <c r="L1380" i="25"/>
  <c r="G1379" i="25"/>
  <c r="I1379" i="25"/>
  <c r="K1379" i="25"/>
  <c r="L1379" i="25"/>
  <c r="G1378" i="25"/>
  <c r="I1378" i="25"/>
  <c r="K1378" i="25"/>
  <c r="L1378" i="25"/>
  <c r="G1377" i="25"/>
  <c r="I1377" i="25"/>
  <c r="K1377" i="25"/>
  <c r="L1377" i="25"/>
  <c r="G1376" i="25"/>
  <c r="I1376" i="25"/>
  <c r="K1376" i="25"/>
  <c r="L1376" i="25"/>
  <c r="G1375" i="25"/>
  <c r="I1375" i="25"/>
  <c r="K1375" i="25"/>
  <c r="L1375" i="25"/>
  <c r="G1374" i="25"/>
  <c r="I1374" i="25"/>
  <c r="K1374" i="25"/>
  <c r="L1374" i="25"/>
  <c r="G1373" i="25"/>
  <c r="I1373" i="25"/>
  <c r="K1373" i="25"/>
  <c r="L1373" i="25"/>
  <c r="G1372" i="25"/>
  <c r="I1372" i="25"/>
  <c r="K1372" i="25"/>
  <c r="L1372" i="25"/>
  <c r="G1371" i="25"/>
  <c r="I1371" i="25"/>
  <c r="K1371" i="25"/>
  <c r="L1371" i="25"/>
  <c r="G1370" i="25"/>
  <c r="I1370" i="25"/>
  <c r="K1370" i="25"/>
  <c r="L1370" i="25"/>
  <c r="G1369" i="25"/>
  <c r="I1369" i="25"/>
  <c r="K1369" i="25"/>
  <c r="L1369" i="25"/>
  <c r="G1368" i="25"/>
  <c r="I1368" i="25"/>
  <c r="K1368" i="25"/>
  <c r="L1368" i="25"/>
  <c r="G1367" i="25"/>
  <c r="I1367" i="25"/>
  <c r="K1367" i="25"/>
  <c r="L1367" i="25"/>
  <c r="G1366" i="25"/>
  <c r="I1366" i="25"/>
  <c r="K1366" i="25"/>
  <c r="L1366" i="25"/>
  <c r="G1365" i="25"/>
  <c r="I1365" i="25"/>
  <c r="K1365" i="25"/>
  <c r="L1365" i="25"/>
  <c r="G1364" i="25"/>
  <c r="I1364" i="25"/>
  <c r="K1364" i="25"/>
  <c r="L1364" i="25"/>
  <c r="G1363" i="25"/>
  <c r="I1363" i="25"/>
  <c r="K1363" i="25"/>
  <c r="L1363" i="25"/>
  <c r="G1362" i="25"/>
  <c r="I1362" i="25"/>
  <c r="K1362" i="25"/>
  <c r="L1362" i="25"/>
  <c r="G1361" i="25"/>
  <c r="I1361" i="25"/>
  <c r="K1361" i="25"/>
  <c r="L1361" i="25"/>
  <c r="G1360" i="25"/>
  <c r="I1360" i="25"/>
  <c r="K1360" i="25"/>
  <c r="L1360" i="25"/>
  <c r="G1359" i="25"/>
  <c r="I1359" i="25"/>
  <c r="K1359" i="25"/>
  <c r="L1359" i="25"/>
  <c r="G1358" i="25"/>
  <c r="I1358" i="25"/>
  <c r="K1358" i="25"/>
  <c r="L1358" i="25"/>
  <c r="G1357" i="25"/>
  <c r="I1357" i="25"/>
  <c r="K1357" i="25"/>
  <c r="L1357" i="25"/>
  <c r="G1356" i="25"/>
  <c r="I1356" i="25"/>
  <c r="K1356" i="25"/>
  <c r="L1356" i="25"/>
  <c r="G1355" i="25"/>
  <c r="I1355" i="25"/>
  <c r="K1355" i="25"/>
  <c r="L1355" i="25"/>
  <c r="G1354" i="25"/>
  <c r="I1354" i="25"/>
  <c r="K1354" i="25"/>
  <c r="L1354" i="25"/>
  <c r="G1353" i="25"/>
  <c r="I1353" i="25"/>
  <c r="K1353" i="25"/>
  <c r="L1353" i="25"/>
  <c r="G1352" i="25"/>
  <c r="I1352" i="25"/>
  <c r="K1352" i="25"/>
  <c r="L1352" i="25"/>
  <c r="G1351" i="25"/>
  <c r="I1351" i="25"/>
  <c r="K1351" i="25"/>
  <c r="L1351" i="25"/>
  <c r="G1350" i="25"/>
  <c r="I1350" i="25"/>
  <c r="K1350" i="25"/>
  <c r="L1350" i="25"/>
  <c r="G1349" i="25"/>
  <c r="I1349" i="25"/>
  <c r="K1349" i="25"/>
  <c r="L1349" i="25"/>
  <c r="G1348" i="25"/>
  <c r="I1348" i="25"/>
  <c r="K1348" i="25"/>
  <c r="L1348" i="25"/>
  <c r="G1347" i="25"/>
  <c r="I1347" i="25"/>
  <c r="K1347" i="25"/>
  <c r="L1347" i="25"/>
  <c r="G1346" i="25"/>
  <c r="I1346" i="25"/>
  <c r="K1346" i="25"/>
  <c r="L1346" i="25"/>
  <c r="G1345" i="25"/>
  <c r="I1345" i="25"/>
  <c r="K1345" i="25"/>
  <c r="L1345" i="25"/>
  <c r="G1344" i="25"/>
  <c r="I1344" i="25"/>
  <c r="K1344" i="25"/>
  <c r="L1344" i="25"/>
  <c r="G1343" i="25"/>
  <c r="I1343" i="25"/>
  <c r="K1343" i="25"/>
  <c r="L1343" i="25"/>
  <c r="G1342" i="25"/>
  <c r="I1342" i="25"/>
  <c r="K1342" i="25"/>
  <c r="L1342" i="25"/>
  <c r="G1341" i="25"/>
  <c r="I1341" i="25"/>
  <c r="K1341" i="25"/>
  <c r="L1341" i="25"/>
  <c r="G1340" i="25"/>
  <c r="I1340" i="25"/>
  <c r="K1340" i="25"/>
  <c r="L1340" i="25"/>
  <c r="G1339" i="25"/>
  <c r="I1339" i="25"/>
  <c r="K1339" i="25"/>
  <c r="L1339" i="25"/>
  <c r="G1338" i="25"/>
  <c r="I1338" i="25"/>
  <c r="K1338" i="25"/>
  <c r="L1338" i="25"/>
  <c r="G1337" i="25"/>
  <c r="I1337" i="25"/>
  <c r="K1337" i="25"/>
  <c r="L1337" i="25"/>
  <c r="G1336" i="25"/>
  <c r="I1336" i="25"/>
  <c r="K1336" i="25"/>
  <c r="L1336" i="25"/>
  <c r="G1335" i="25"/>
  <c r="I1335" i="25"/>
  <c r="K1335" i="25"/>
  <c r="L1335" i="25"/>
  <c r="G1334" i="25"/>
  <c r="I1334" i="25"/>
  <c r="K1334" i="25"/>
  <c r="L1334" i="25"/>
  <c r="G1333" i="25"/>
  <c r="I1333" i="25"/>
  <c r="K1333" i="25"/>
  <c r="L1333" i="25"/>
  <c r="G1332" i="25"/>
  <c r="I1332" i="25"/>
  <c r="K1332" i="25"/>
  <c r="L1332" i="25"/>
  <c r="G1331" i="25"/>
  <c r="I1331" i="25"/>
  <c r="K1331" i="25"/>
  <c r="L1331" i="25"/>
  <c r="G1330" i="25"/>
  <c r="I1330" i="25"/>
  <c r="K1330" i="25"/>
  <c r="L1330" i="25"/>
  <c r="G1329" i="25"/>
  <c r="I1329" i="25"/>
  <c r="K1329" i="25"/>
  <c r="L1329" i="25"/>
  <c r="G1328" i="25"/>
  <c r="I1328" i="25"/>
  <c r="K1328" i="25"/>
  <c r="L1328" i="25"/>
  <c r="G1327" i="25"/>
  <c r="I1327" i="25"/>
  <c r="K1327" i="25"/>
  <c r="L1327" i="25"/>
  <c r="G1326" i="25"/>
  <c r="I1326" i="25"/>
  <c r="K1326" i="25"/>
  <c r="L1326" i="25"/>
  <c r="G1325" i="25"/>
  <c r="I1325" i="25"/>
  <c r="K1325" i="25"/>
  <c r="L1325" i="25"/>
  <c r="G1324" i="25"/>
  <c r="I1324" i="25"/>
  <c r="K1324" i="25"/>
  <c r="L1324" i="25"/>
  <c r="G1323" i="25"/>
  <c r="I1323" i="25"/>
  <c r="K1323" i="25"/>
  <c r="L1323" i="25"/>
  <c r="G1322" i="25"/>
  <c r="I1322" i="25"/>
  <c r="K1322" i="25"/>
  <c r="L1322" i="25"/>
  <c r="G1321" i="25"/>
  <c r="I1321" i="25"/>
  <c r="K1321" i="25"/>
  <c r="L1321" i="25"/>
  <c r="G1320" i="25"/>
  <c r="I1320" i="25"/>
  <c r="K1320" i="25"/>
  <c r="L1320" i="25"/>
  <c r="G1319" i="25"/>
  <c r="I1319" i="25"/>
  <c r="K1319" i="25"/>
  <c r="L1319" i="25"/>
  <c r="G1318" i="25"/>
  <c r="I1318" i="25"/>
  <c r="K1318" i="25"/>
  <c r="L1318" i="25"/>
  <c r="G1317" i="25"/>
  <c r="I1317" i="25"/>
  <c r="K1317" i="25"/>
  <c r="L1317" i="25"/>
  <c r="G1316" i="25"/>
  <c r="I1316" i="25"/>
  <c r="K1316" i="25"/>
  <c r="L1316" i="25"/>
  <c r="G1315" i="25"/>
  <c r="I1315" i="25"/>
  <c r="K1315" i="25"/>
  <c r="L1315" i="25"/>
  <c r="G1314" i="25"/>
  <c r="I1314" i="25"/>
  <c r="K1314" i="25"/>
  <c r="L1314" i="25"/>
  <c r="G1313" i="25"/>
  <c r="I1313" i="25"/>
  <c r="K1313" i="25"/>
  <c r="L1313" i="25"/>
  <c r="G1312" i="25"/>
  <c r="I1312" i="25"/>
  <c r="K1312" i="25"/>
  <c r="L1312" i="25"/>
  <c r="G1311" i="25"/>
  <c r="I1311" i="25"/>
  <c r="K1311" i="25"/>
  <c r="L1311" i="25"/>
  <c r="G1310" i="25"/>
  <c r="I1310" i="25"/>
  <c r="K1310" i="25"/>
  <c r="L1310" i="25"/>
  <c r="G1309" i="25"/>
  <c r="I1309" i="25"/>
  <c r="K1309" i="25"/>
  <c r="L1309" i="25"/>
  <c r="G1308" i="25"/>
  <c r="I1308" i="25"/>
  <c r="K1308" i="25"/>
  <c r="L1308" i="25"/>
  <c r="G1307" i="25"/>
  <c r="I1307" i="25"/>
  <c r="K1307" i="25"/>
  <c r="L1307" i="25"/>
  <c r="G1306" i="25"/>
  <c r="I1306" i="25"/>
  <c r="K1306" i="25"/>
  <c r="L1306" i="25"/>
  <c r="G1305" i="25"/>
  <c r="I1305" i="25"/>
  <c r="K1305" i="25"/>
  <c r="L1305" i="25"/>
  <c r="G1304" i="25"/>
  <c r="I1304" i="25"/>
  <c r="K1304" i="25"/>
  <c r="L1304" i="25"/>
  <c r="G1303" i="25"/>
  <c r="I1303" i="25"/>
  <c r="K1303" i="25"/>
  <c r="L1303" i="25"/>
  <c r="G1302" i="25"/>
  <c r="I1302" i="25"/>
  <c r="K1302" i="25"/>
  <c r="L1302" i="25"/>
  <c r="G1301" i="25"/>
  <c r="I1301" i="25"/>
  <c r="K1301" i="25"/>
  <c r="L1301" i="25"/>
  <c r="G1300" i="25"/>
  <c r="I1300" i="25"/>
  <c r="K1300" i="25"/>
  <c r="L1300" i="25"/>
  <c r="G1299" i="25"/>
  <c r="I1299" i="25"/>
  <c r="K1299" i="25"/>
  <c r="L1299" i="25"/>
  <c r="G1298" i="25"/>
  <c r="I1298" i="25"/>
  <c r="K1298" i="25"/>
  <c r="L1298" i="25"/>
  <c r="G1297" i="25"/>
  <c r="I1297" i="25"/>
  <c r="K1297" i="25"/>
  <c r="L1297" i="25"/>
  <c r="G1296" i="25"/>
  <c r="I1296" i="25"/>
  <c r="K1296" i="25"/>
  <c r="L1296" i="25"/>
  <c r="G1295" i="25"/>
  <c r="I1295" i="25"/>
  <c r="K1295" i="25"/>
  <c r="L1295" i="25"/>
  <c r="G1294" i="25"/>
  <c r="I1294" i="25"/>
  <c r="K1294" i="25"/>
  <c r="L1294" i="25"/>
  <c r="G1293" i="25"/>
  <c r="I1293" i="25"/>
  <c r="K1293" i="25"/>
  <c r="L1293" i="25"/>
  <c r="G1292" i="25"/>
  <c r="I1292" i="25"/>
  <c r="K1292" i="25"/>
  <c r="L1292" i="25"/>
  <c r="G1291" i="25"/>
  <c r="I1291" i="25"/>
  <c r="K1291" i="25"/>
  <c r="L1291" i="25"/>
  <c r="G1290" i="25"/>
  <c r="I1290" i="25"/>
  <c r="K1290" i="25"/>
  <c r="L1290" i="25"/>
  <c r="G1289" i="25"/>
  <c r="I1289" i="25"/>
  <c r="K1289" i="25"/>
  <c r="L1289" i="25"/>
  <c r="G1288" i="25"/>
  <c r="I1288" i="25"/>
  <c r="K1288" i="25"/>
  <c r="L1288" i="25"/>
  <c r="G1287" i="25"/>
  <c r="I1287" i="25"/>
  <c r="K1287" i="25"/>
  <c r="L1287" i="25"/>
  <c r="G1286" i="25"/>
  <c r="I1286" i="25"/>
  <c r="K1286" i="25"/>
  <c r="L1286" i="25"/>
  <c r="G1285" i="25"/>
  <c r="I1285" i="25"/>
  <c r="K1285" i="25"/>
  <c r="L1285" i="25"/>
  <c r="G1284" i="25"/>
  <c r="I1284" i="25"/>
  <c r="K1284" i="25"/>
  <c r="L1284" i="25"/>
  <c r="G1283" i="25"/>
  <c r="I1283" i="25"/>
  <c r="K1283" i="25"/>
  <c r="L1283" i="25"/>
  <c r="G1282" i="25"/>
  <c r="I1282" i="25"/>
  <c r="K1282" i="25"/>
  <c r="L1282" i="25"/>
  <c r="G1281" i="25"/>
  <c r="I1281" i="25"/>
  <c r="K1281" i="25"/>
  <c r="L1281" i="25"/>
  <c r="G1280" i="25"/>
  <c r="I1280" i="25"/>
  <c r="K1280" i="25"/>
  <c r="L1280" i="25"/>
  <c r="G1279" i="25"/>
  <c r="I1279" i="25"/>
  <c r="K1279" i="25"/>
  <c r="L1279" i="25"/>
  <c r="G1278" i="25"/>
  <c r="I1278" i="25"/>
  <c r="K1278" i="25"/>
  <c r="L1278" i="25"/>
  <c r="G1277" i="25"/>
  <c r="I1277" i="25"/>
  <c r="K1277" i="25"/>
  <c r="L1277" i="25"/>
  <c r="G1276" i="25"/>
  <c r="I1276" i="25"/>
  <c r="K1276" i="25"/>
  <c r="L1276" i="25"/>
  <c r="G1275" i="25"/>
  <c r="I1275" i="25"/>
  <c r="K1275" i="25"/>
  <c r="L1275" i="25"/>
  <c r="G1274" i="25"/>
  <c r="I1274" i="25"/>
  <c r="K1274" i="25"/>
  <c r="L1274" i="25"/>
  <c r="G1273" i="25"/>
  <c r="I1273" i="25"/>
  <c r="K1273" i="25"/>
  <c r="L1273" i="25"/>
  <c r="G1272" i="25"/>
  <c r="I1272" i="25"/>
  <c r="K1272" i="25"/>
  <c r="L1272" i="25"/>
  <c r="G1271" i="25"/>
  <c r="I1271" i="25"/>
  <c r="K1271" i="25"/>
  <c r="L1271" i="25"/>
  <c r="G1270" i="25"/>
  <c r="I1270" i="25"/>
  <c r="K1270" i="25"/>
  <c r="L1270" i="25"/>
  <c r="G1269" i="25"/>
  <c r="I1269" i="25"/>
  <c r="K1269" i="25"/>
  <c r="L1269" i="25"/>
  <c r="G1268" i="25"/>
  <c r="I1268" i="25"/>
  <c r="K1268" i="25"/>
  <c r="L1268" i="25"/>
  <c r="G1267" i="25"/>
  <c r="I1267" i="25"/>
  <c r="K1267" i="25"/>
  <c r="L1267" i="25"/>
  <c r="G1266" i="25"/>
  <c r="I1266" i="25"/>
  <c r="K1266" i="25"/>
  <c r="L1266" i="25"/>
  <c r="G1265" i="25"/>
  <c r="I1265" i="25"/>
  <c r="K1265" i="25"/>
  <c r="L1265" i="25"/>
  <c r="G1264" i="25"/>
  <c r="I1264" i="25"/>
  <c r="K1264" i="25"/>
  <c r="L1264" i="25"/>
  <c r="G1263" i="25"/>
  <c r="I1263" i="25"/>
  <c r="K1263" i="25"/>
  <c r="L1263" i="25"/>
  <c r="G1262" i="25"/>
  <c r="I1262" i="25"/>
  <c r="K1262" i="25"/>
  <c r="L1262" i="25"/>
  <c r="G1261" i="25"/>
  <c r="I1261" i="25"/>
  <c r="K1261" i="25"/>
  <c r="L1261" i="25"/>
  <c r="G1260" i="25"/>
  <c r="I1260" i="25"/>
  <c r="K1260" i="25"/>
  <c r="L1260" i="25"/>
  <c r="G1259" i="25"/>
  <c r="I1259" i="25"/>
  <c r="K1259" i="25"/>
  <c r="L1259" i="25"/>
  <c r="G1258" i="25"/>
  <c r="I1258" i="25"/>
  <c r="K1258" i="25"/>
  <c r="L1258" i="25"/>
  <c r="G1257" i="25"/>
  <c r="I1257" i="25"/>
  <c r="K1257" i="25"/>
  <c r="L1257" i="25"/>
  <c r="G1256" i="25"/>
  <c r="I1256" i="25"/>
  <c r="K1256" i="25"/>
  <c r="L1256" i="25"/>
  <c r="G1255" i="25"/>
  <c r="I1255" i="25"/>
  <c r="K1255" i="25"/>
  <c r="L1255" i="25"/>
  <c r="G1254" i="25"/>
  <c r="I1254" i="25"/>
  <c r="K1254" i="25"/>
  <c r="L1254" i="25"/>
  <c r="G1253" i="25"/>
  <c r="I1253" i="25"/>
  <c r="K1253" i="25"/>
  <c r="L1253" i="25"/>
  <c r="G1252" i="25"/>
  <c r="I1252" i="25"/>
  <c r="K1252" i="25"/>
  <c r="L1252" i="25"/>
  <c r="G1251" i="25"/>
  <c r="I1251" i="25"/>
  <c r="K1251" i="25"/>
  <c r="L1251" i="25"/>
  <c r="G1250" i="25"/>
  <c r="I1250" i="25"/>
  <c r="K1250" i="25"/>
  <c r="L1250" i="25"/>
  <c r="G1249" i="25"/>
  <c r="I1249" i="25"/>
  <c r="K1249" i="25"/>
  <c r="L1249" i="25"/>
  <c r="G1248" i="25"/>
  <c r="I1248" i="25"/>
  <c r="K1248" i="25"/>
  <c r="L1248" i="25"/>
  <c r="G1247" i="25"/>
  <c r="I1247" i="25"/>
  <c r="K1247" i="25"/>
  <c r="L1247" i="25"/>
  <c r="G1246" i="25"/>
  <c r="I1246" i="25"/>
  <c r="K1246" i="25"/>
  <c r="L1246" i="25"/>
  <c r="G1245" i="25"/>
  <c r="I1245" i="25"/>
  <c r="K1245" i="25"/>
  <c r="L1245" i="25"/>
  <c r="G1244" i="25"/>
  <c r="I1244" i="25"/>
  <c r="K1244" i="25"/>
  <c r="L1244" i="25"/>
  <c r="G1243" i="25"/>
  <c r="I1243" i="25"/>
  <c r="K1243" i="25"/>
  <c r="L1243" i="25"/>
  <c r="G1242" i="25"/>
  <c r="I1242" i="25"/>
  <c r="K1242" i="25"/>
  <c r="L1242" i="25"/>
  <c r="G1241" i="25"/>
  <c r="I1241" i="25"/>
  <c r="K1241" i="25"/>
  <c r="L1241" i="25"/>
  <c r="G1240" i="25"/>
  <c r="I1240" i="25"/>
  <c r="K1240" i="25"/>
  <c r="L1240" i="25"/>
  <c r="G1239" i="25"/>
  <c r="I1239" i="25"/>
  <c r="K1239" i="25"/>
  <c r="L1239" i="25"/>
  <c r="G1238" i="25"/>
  <c r="I1238" i="25"/>
  <c r="K1238" i="25"/>
  <c r="L1238" i="25"/>
  <c r="G1237" i="25"/>
  <c r="I1237" i="25"/>
  <c r="K1237" i="25"/>
  <c r="L1237" i="25"/>
  <c r="G1236" i="25"/>
  <c r="I1236" i="25"/>
  <c r="K1236" i="25"/>
  <c r="L1236" i="25"/>
  <c r="G1235" i="25"/>
  <c r="I1235" i="25"/>
  <c r="K1235" i="25"/>
  <c r="L1235" i="25"/>
  <c r="G1234" i="25"/>
  <c r="I1234" i="25"/>
  <c r="K1234" i="25"/>
  <c r="L1234" i="25"/>
  <c r="G1233" i="25"/>
  <c r="I1233" i="25"/>
  <c r="K1233" i="25"/>
  <c r="L1233" i="25"/>
  <c r="G1232" i="25"/>
  <c r="I1232" i="25"/>
  <c r="K1232" i="25"/>
  <c r="L1232" i="25"/>
  <c r="G1231" i="25"/>
  <c r="I1231" i="25"/>
  <c r="K1231" i="25"/>
  <c r="L1231" i="25"/>
  <c r="G1230" i="25"/>
  <c r="I1230" i="25"/>
  <c r="K1230" i="25"/>
  <c r="L1230" i="25"/>
  <c r="G1229" i="25"/>
  <c r="I1229" i="25"/>
  <c r="K1229" i="25"/>
  <c r="L1229" i="25"/>
  <c r="G1228" i="25"/>
  <c r="I1228" i="25"/>
  <c r="K1228" i="25"/>
  <c r="L1228" i="25"/>
  <c r="G1227" i="25"/>
  <c r="I1227" i="25"/>
  <c r="K1227" i="25"/>
  <c r="L1227" i="25"/>
  <c r="G1226" i="25"/>
  <c r="I1226" i="25"/>
  <c r="K1226" i="25"/>
  <c r="L1226" i="25"/>
  <c r="G1225" i="25"/>
  <c r="I1225" i="25"/>
  <c r="K1225" i="25"/>
  <c r="L1225" i="25"/>
  <c r="G1224" i="25"/>
  <c r="I1224" i="25"/>
  <c r="K1224" i="25"/>
  <c r="L1224" i="25"/>
  <c r="G1223" i="25"/>
  <c r="I1223" i="25"/>
  <c r="K1223" i="25"/>
  <c r="L1223" i="25"/>
  <c r="G1222" i="25"/>
  <c r="I1222" i="25"/>
  <c r="K1222" i="25"/>
  <c r="L1222" i="25"/>
  <c r="G1221" i="25"/>
  <c r="I1221" i="25"/>
  <c r="K1221" i="25"/>
  <c r="L1221" i="25"/>
  <c r="G1220" i="25"/>
  <c r="I1220" i="25"/>
  <c r="K1220" i="25"/>
  <c r="L1220" i="25"/>
  <c r="G1219" i="25"/>
  <c r="I1219" i="25"/>
  <c r="K1219" i="25"/>
  <c r="L1219" i="25"/>
  <c r="G1218" i="25"/>
  <c r="I1218" i="25"/>
  <c r="K1218" i="25"/>
  <c r="L1218" i="25"/>
  <c r="G1217" i="25"/>
  <c r="I1217" i="25"/>
  <c r="K1217" i="25"/>
  <c r="L1217" i="25"/>
  <c r="G1216" i="25"/>
  <c r="I1216" i="25"/>
  <c r="K1216" i="25"/>
  <c r="L1216" i="25"/>
  <c r="G1215" i="25"/>
  <c r="I1215" i="25"/>
  <c r="K1215" i="25"/>
  <c r="L1215" i="25"/>
  <c r="G1214" i="25"/>
  <c r="I1214" i="25"/>
  <c r="K1214" i="25"/>
  <c r="L1214" i="25"/>
  <c r="G1213" i="25"/>
  <c r="I1213" i="25"/>
  <c r="K1213" i="25"/>
  <c r="L1213" i="25"/>
  <c r="G1212" i="25"/>
  <c r="I1212" i="25"/>
  <c r="K1212" i="25"/>
  <c r="L1212" i="25"/>
  <c r="G1211" i="25"/>
  <c r="I1211" i="25"/>
  <c r="K1211" i="25"/>
  <c r="L1211" i="25"/>
  <c r="G1210" i="25"/>
  <c r="I1210" i="25"/>
  <c r="K1210" i="25"/>
  <c r="L1210" i="25"/>
  <c r="G1209" i="25"/>
  <c r="I1209" i="25"/>
  <c r="K1209" i="25"/>
  <c r="L1209" i="25"/>
  <c r="G1208" i="25"/>
  <c r="I1208" i="25"/>
  <c r="K1208" i="25"/>
  <c r="L1208" i="25"/>
  <c r="G1207" i="25"/>
  <c r="I1207" i="25"/>
  <c r="K1207" i="25"/>
  <c r="L1207" i="25"/>
  <c r="G1206" i="25"/>
  <c r="I1206" i="25"/>
  <c r="K1206" i="25"/>
  <c r="L1206" i="25"/>
  <c r="G1205" i="25"/>
  <c r="I1205" i="25"/>
  <c r="K1205" i="25"/>
  <c r="L1205" i="25"/>
  <c r="G1204" i="25"/>
  <c r="I1204" i="25"/>
  <c r="K1204" i="25"/>
  <c r="L1204" i="25"/>
  <c r="G1203" i="25"/>
  <c r="I1203" i="25"/>
  <c r="K1203" i="25"/>
  <c r="L1203" i="25"/>
  <c r="G1202" i="25"/>
  <c r="I1202" i="25"/>
  <c r="K1202" i="25"/>
  <c r="L1202" i="25"/>
  <c r="G1201" i="25"/>
  <c r="I1201" i="25"/>
  <c r="K1201" i="25"/>
  <c r="L1201" i="25"/>
  <c r="G1200" i="25"/>
  <c r="I1200" i="25"/>
  <c r="K1200" i="25"/>
  <c r="L1200" i="25"/>
  <c r="G1199" i="25"/>
  <c r="I1199" i="25"/>
  <c r="K1199" i="25"/>
  <c r="L1199" i="25"/>
  <c r="G1198" i="25"/>
  <c r="I1198" i="25"/>
  <c r="K1198" i="25"/>
  <c r="L1198" i="25"/>
  <c r="G1197" i="25"/>
  <c r="I1197" i="25"/>
  <c r="K1197" i="25"/>
  <c r="L1197" i="25"/>
  <c r="G1196" i="25"/>
  <c r="I1196" i="25"/>
  <c r="K1196" i="25"/>
  <c r="L1196" i="25"/>
  <c r="G1195" i="25"/>
  <c r="I1195" i="25"/>
  <c r="K1195" i="25"/>
  <c r="L1195" i="25"/>
  <c r="G1194" i="25"/>
  <c r="I1194" i="25"/>
  <c r="K1194" i="25"/>
  <c r="L1194" i="25"/>
  <c r="G1193" i="25"/>
  <c r="I1193" i="25"/>
  <c r="K1193" i="25"/>
  <c r="L1193" i="25"/>
  <c r="G1192" i="25"/>
  <c r="I1192" i="25"/>
  <c r="K1192" i="25"/>
  <c r="L1192" i="25"/>
  <c r="G1191" i="25"/>
  <c r="I1191" i="25"/>
  <c r="K1191" i="25"/>
  <c r="L1191" i="25"/>
  <c r="G1190" i="25"/>
  <c r="I1190" i="25"/>
  <c r="K1190" i="25"/>
  <c r="L1190" i="25"/>
  <c r="G1189" i="25"/>
  <c r="I1189" i="25"/>
  <c r="K1189" i="25"/>
  <c r="L1189" i="25"/>
  <c r="G1188" i="25"/>
  <c r="I1188" i="25"/>
  <c r="K1188" i="25"/>
  <c r="L1188" i="25"/>
  <c r="G1187" i="25"/>
  <c r="I1187" i="25"/>
  <c r="K1187" i="25"/>
  <c r="L1187" i="25"/>
  <c r="G1186" i="25"/>
  <c r="I1186" i="25"/>
  <c r="K1186" i="25"/>
  <c r="L1186" i="25"/>
  <c r="G1185" i="25"/>
  <c r="I1185" i="25"/>
  <c r="K1185" i="25"/>
  <c r="L1185" i="25"/>
  <c r="G1184" i="25"/>
  <c r="I1184" i="25"/>
  <c r="K1184" i="25"/>
  <c r="L1184" i="25"/>
  <c r="G1183" i="25"/>
  <c r="I1183" i="25"/>
  <c r="K1183" i="25"/>
  <c r="L1183" i="25"/>
  <c r="G1182" i="25"/>
  <c r="I1182" i="25"/>
  <c r="K1182" i="25"/>
  <c r="L1182" i="25"/>
  <c r="G1181" i="25"/>
  <c r="I1181" i="25"/>
  <c r="K1181" i="25"/>
  <c r="L1181" i="25"/>
  <c r="G1180" i="25"/>
  <c r="I1180" i="25"/>
  <c r="K1180" i="25"/>
  <c r="L1180" i="25"/>
  <c r="G1179" i="25"/>
  <c r="I1179" i="25"/>
  <c r="K1179" i="25"/>
  <c r="L1179" i="25"/>
  <c r="G1178" i="25"/>
  <c r="I1178" i="25"/>
  <c r="K1178" i="25"/>
  <c r="L1178" i="25"/>
  <c r="G1177" i="25"/>
  <c r="I1177" i="25"/>
  <c r="K1177" i="25"/>
  <c r="L1177" i="25"/>
  <c r="G1176" i="25"/>
  <c r="I1176" i="25"/>
  <c r="K1176" i="25"/>
  <c r="L1176" i="25"/>
  <c r="G1175" i="25"/>
  <c r="I1175" i="25"/>
  <c r="K1175" i="25"/>
  <c r="L1175" i="25"/>
  <c r="G1174" i="25"/>
  <c r="I1174" i="25"/>
  <c r="K1174" i="25"/>
  <c r="L1174" i="25"/>
  <c r="G1173" i="25"/>
  <c r="I1173" i="25"/>
  <c r="K1173" i="25"/>
  <c r="L1173" i="25"/>
  <c r="G1172" i="25"/>
  <c r="I1172" i="25"/>
  <c r="K1172" i="25"/>
  <c r="L1172" i="25"/>
  <c r="G1171" i="25"/>
  <c r="I1171" i="25"/>
  <c r="K1171" i="25"/>
  <c r="L1171" i="25"/>
  <c r="G1170" i="25"/>
  <c r="I1170" i="25"/>
  <c r="K1170" i="25"/>
  <c r="L1170" i="25"/>
  <c r="G1169" i="25"/>
  <c r="I1169" i="25"/>
  <c r="K1169" i="25"/>
  <c r="L1169" i="25"/>
  <c r="G1168" i="25"/>
  <c r="I1168" i="25"/>
  <c r="K1168" i="25"/>
  <c r="L1168" i="25"/>
  <c r="G1167" i="25"/>
  <c r="I1167" i="25"/>
  <c r="K1167" i="25"/>
  <c r="L1167" i="25"/>
  <c r="G1166" i="25"/>
  <c r="I1166" i="25"/>
  <c r="K1166" i="25"/>
  <c r="L1166" i="25"/>
  <c r="G1165" i="25"/>
  <c r="I1165" i="25"/>
  <c r="K1165" i="25"/>
  <c r="L1165" i="25"/>
  <c r="G1164" i="25"/>
  <c r="I1164" i="25"/>
  <c r="K1164" i="25"/>
  <c r="L1164" i="25"/>
  <c r="G1163" i="25"/>
  <c r="I1163" i="25"/>
  <c r="K1163" i="25"/>
  <c r="L1163" i="25"/>
  <c r="G1162" i="25"/>
  <c r="I1162" i="25"/>
  <c r="K1162" i="25"/>
  <c r="L1162" i="25"/>
  <c r="G1161" i="25"/>
  <c r="I1161" i="25"/>
  <c r="K1161" i="25"/>
  <c r="L1161" i="25"/>
  <c r="G1160" i="25"/>
  <c r="I1160" i="25"/>
  <c r="K1160" i="25"/>
  <c r="L1160" i="25"/>
  <c r="G1159" i="25"/>
  <c r="I1159" i="25"/>
  <c r="K1159" i="25"/>
  <c r="L1159" i="25"/>
  <c r="G1158" i="25"/>
  <c r="I1158" i="25"/>
  <c r="K1158" i="25"/>
  <c r="L1158" i="25"/>
  <c r="G1157" i="25"/>
  <c r="I1157" i="25"/>
  <c r="K1157" i="25"/>
  <c r="L1157" i="25"/>
  <c r="G1156" i="25"/>
  <c r="I1156" i="25"/>
  <c r="K1156" i="25"/>
  <c r="L1156" i="25"/>
  <c r="G1155" i="25"/>
  <c r="I1155" i="25"/>
  <c r="K1155" i="25"/>
  <c r="L1155" i="25"/>
  <c r="G1154" i="25"/>
  <c r="I1154" i="25"/>
  <c r="K1154" i="25"/>
  <c r="L1154" i="25"/>
  <c r="G1153" i="25"/>
  <c r="I1153" i="25"/>
  <c r="K1153" i="25"/>
  <c r="L1153" i="25"/>
  <c r="G1152" i="25"/>
  <c r="I1152" i="25"/>
  <c r="K1152" i="25"/>
  <c r="L1152" i="25"/>
  <c r="G1151" i="25"/>
  <c r="I1151" i="25"/>
  <c r="K1151" i="25"/>
  <c r="L1151" i="25"/>
  <c r="G1150" i="25"/>
  <c r="I1150" i="25"/>
  <c r="K1150" i="25"/>
  <c r="L1150" i="25"/>
  <c r="G1149" i="25"/>
  <c r="I1149" i="25"/>
  <c r="K1149" i="25"/>
  <c r="L1149" i="25"/>
  <c r="G1148" i="25"/>
  <c r="I1148" i="25"/>
  <c r="K1148" i="25"/>
  <c r="L1148" i="25"/>
  <c r="G1147" i="25"/>
  <c r="I1147" i="25"/>
  <c r="K1147" i="25"/>
  <c r="L1147" i="25"/>
  <c r="G1146" i="25"/>
  <c r="I1146" i="25"/>
  <c r="K1146" i="25"/>
  <c r="L1146" i="25"/>
  <c r="G1145" i="25"/>
  <c r="I1145" i="25"/>
  <c r="K1145" i="25"/>
  <c r="L1145" i="25"/>
  <c r="G1144" i="25"/>
  <c r="I1144" i="25"/>
  <c r="K1144" i="25"/>
  <c r="L1144" i="25"/>
  <c r="G1143" i="25"/>
  <c r="I1143" i="25"/>
  <c r="K1143" i="25"/>
  <c r="L1143" i="25"/>
  <c r="G1142" i="25"/>
  <c r="I1142" i="25"/>
  <c r="K1142" i="25"/>
  <c r="L1142" i="25"/>
  <c r="G1141" i="25"/>
  <c r="I1141" i="25"/>
  <c r="K1141" i="25"/>
  <c r="L1141" i="25"/>
  <c r="G1140" i="25"/>
  <c r="I1140" i="25"/>
  <c r="K1140" i="25"/>
  <c r="L1140" i="25"/>
  <c r="G1139" i="25"/>
  <c r="I1139" i="25"/>
  <c r="K1139" i="25"/>
  <c r="L1139" i="25"/>
  <c r="G1138" i="25"/>
  <c r="I1138" i="25"/>
  <c r="K1138" i="25"/>
  <c r="L1138" i="25"/>
  <c r="G1137" i="25"/>
  <c r="I1137" i="25"/>
  <c r="K1137" i="25"/>
  <c r="L1137" i="25"/>
  <c r="G1136" i="25"/>
  <c r="I1136" i="25"/>
  <c r="K1136" i="25"/>
  <c r="L1136" i="25"/>
  <c r="G1135" i="25"/>
  <c r="I1135" i="25"/>
  <c r="K1135" i="25"/>
  <c r="L1135" i="25"/>
  <c r="G1134" i="25"/>
  <c r="I1134" i="25"/>
  <c r="K1134" i="25"/>
  <c r="L1134" i="25"/>
  <c r="G1133" i="25"/>
  <c r="I1133" i="25"/>
  <c r="K1133" i="25"/>
  <c r="L1133" i="25"/>
  <c r="G1132" i="25"/>
  <c r="I1132" i="25"/>
  <c r="K1132" i="25"/>
  <c r="L1132" i="25"/>
  <c r="G1131" i="25"/>
  <c r="I1131" i="25"/>
  <c r="K1131" i="25"/>
  <c r="L1131" i="25"/>
  <c r="G1130" i="25"/>
  <c r="I1130" i="25"/>
  <c r="K1130" i="25"/>
  <c r="L1130" i="25"/>
  <c r="G1129" i="25"/>
  <c r="I1129" i="25"/>
  <c r="K1129" i="25"/>
  <c r="L1129" i="25"/>
  <c r="G1128" i="25"/>
  <c r="I1128" i="25"/>
  <c r="K1128" i="25"/>
  <c r="L1128" i="25"/>
  <c r="G1127" i="25"/>
  <c r="I1127" i="25"/>
  <c r="K1127" i="25"/>
  <c r="L1127" i="25"/>
  <c r="G1126" i="25"/>
  <c r="I1126" i="25"/>
  <c r="K1126" i="25"/>
  <c r="L1126" i="25"/>
  <c r="G1125" i="25"/>
  <c r="I1125" i="25"/>
  <c r="K1125" i="25"/>
  <c r="L1125" i="25"/>
  <c r="G1124" i="25"/>
  <c r="I1124" i="25"/>
  <c r="K1124" i="25"/>
  <c r="L1124" i="25"/>
  <c r="G1123" i="25"/>
  <c r="I1123" i="25"/>
  <c r="K1123" i="25"/>
  <c r="L1123" i="25"/>
  <c r="G1122" i="25"/>
  <c r="I1122" i="25"/>
  <c r="K1122" i="25"/>
  <c r="L1122" i="25"/>
  <c r="G1121" i="25"/>
  <c r="I1121" i="25"/>
  <c r="K1121" i="25"/>
  <c r="L1121" i="25"/>
  <c r="G1120" i="25"/>
  <c r="I1120" i="25"/>
  <c r="K1120" i="25"/>
  <c r="L1120" i="25"/>
  <c r="G1119" i="25"/>
  <c r="I1119" i="25"/>
  <c r="K1119" i="25"/>
  <c r="L1119" i="25"/>
  <c r="G1118" i="25"/>
  <c r="I1118" i="25"/>
  <c r="K1118" i="25"/>
  <c r="L1118" i="25"/>
  <c r="G1117" i="25"/>
  <c r="I1117" i="25"/>
  <c r="K1117" i="25"/>
  <c r="L1117" i="25"/>
  <c r="G1116" i="25"/>
  <c r="I1116" i="25"/>
  <c r="K1116" i="25"/>
  <c r="L1116" i="25"/>
  <c r="G1115" i="25"/>
  <c r="I1115" i="25"/>
  <c r="K1115" i="25"/>
  <c r="L1115" i="25"/>
  <c r="G1114" i="25"/>
  <c r="I1114" i="25"/>
  <c r="K1114" i="25"/>
  <c r="L1114" i="25"/>
  <c r="G1113" i="25"/>
  <c r="I1113" i="25"/>
  <c r="K1113" i="25"/>
  <c r="L1113" i="25"/>
  <c r="G1112" i="25"/>
  <c r="I1112" i="25"/>
  <c r="K1112" i="25"/>
  <c r="L1112" i="25"/>
  <c r="G1111" i="25"/>
  <c r="I1111" i="25"/>
  <c r="K1111" i="25"/>
  <c r="L1111" i="25"/>
  <c r="G1110" i="25"/>
  <c r="I1110" i="25"/>
  <c r="K1110" i="25"/>
  <c r="L1110" i="25"/>
  <c r="G1109" i="25"/>
  <c r="I1109" i="25"/>
  <c r="K1109" i="25"/>
  <c r="L1109" i="25"/>
  <c r="G1108" i="25"/>
  <c r="I1108" i="25"/>
  <c r="K1108" i="25"/>
  <c r="L1108" i="25"/>
  <c r="G1107" i="25"/>
  <c r="I1107" i="25"/>
  <c r="K1107" i="25"/>
  <c r="L1107" i="25"/>
  <c r="G1106" i="25"/>
  <c r="I1106" i="25"/>
  <c r="K1106" i="25"/>
  <c r="L1106" i="25"/>
  <c r="G1105" i="25"/>
  <c r="I1105" i="25"/>
  <c r="K1105" i="25"/>
  <c r="L1105" i="25"/>
  <c r="G1104" i="25"/>
  <c r="I1104" i="25"/>
  <c r="K1104" i="25"/>
  <c r="L1104" i="25"/>
  <c r="G1103" i="25"/>
  <c r="I1103" i="25"/>
  <c r="K1103" i="25"/>
  <c r="L1103" i="25"/>
  <c r="G1102" i="25"/>
  <c r="I1102" i="25"/>
  <c r="K1102" i="25"/>
  <c r="L1102" i="25"/>
  <c r="G1101" i="25"/>
  <c r="I1101" i="25"/>
  <c r="K1101" i="25"/>
  <c r="L1101" i="25"/>
  <c r="G1100" i="25"/>
  <c r="I1100" i="25"/>
  <c r="K1100" i="25"/>
  <c r="L1100" i="25"/>
  <c r="G1099" i="25"/>
  <c r="I1099" i="25"/>
  <c r="K1099" i="25"/>
  <c r="L1099" i="25"/>
  <c r="G1098" i="25"/>
  <c r="I1098" i="25"/>
  <c r="K1098" i="25"/>
  <c r="L1098" i="25"/>
  <c r="G1097" i="25"/>
  <c r="I1097" i="25"/>
  <c r="K1097" i="25"/>
  <c r="L1097" i="25"/>
  <c r="G1096" i="25"/>
  <c r="I1096" i="25"/>
  <c r="K1096" i="25"/>
  <c r="L1096" i="25"/>
  <c r="G1095" i="25"/>
  <c r="I1095" i="25"/>
  <c r="K1095" i="25"/>
  <c r="L1095" i="25"/>
  <c r="G1094" i="25"/>
  <c r="I1094" i="25"/>
  <c r="K1094" i="25"/>
  <c r="L1094" i="25"/>
  <c r="G1093" i="25"/>
  <c r="I1093" i="25"/>
  <c r="K1093" i="25"/>
  <c r="L1093" i="25"/>
  <c r="G1092" i="25"/>
  <c r="I1092" i="25"/>
  <c r="K1092" i="25"/>
  <c r="L1092" i="25"/>
  <c r="G1091" i="25"/>
  <c r="I1091" i="25"/>
  <c r="K1091" i="25"/>
  <c r="L1091" i="25"/>
  <c r="G1090" i="25"/>
  <c r="I1090" i="25"/>
  <c r="K1090" i="25"/>
  <c r="L1090" i="25"/>
  <c r="G1089" i="25"/>
  <c r="I1089" i="25"/>
  <c r="K1089" i="25"/>
  <c r="L1089" i="25"/>
  <c r="G1088" i="25"/>
  <c r="I1088" i="25"/>
  <c r="K1088" i="25"/>
  <c r="L1088" i="25"/>
  <c r="G1087" i="25"/>
  <c r="I1087" i="25"/>
  <c r="K1087" i="25"/>
  <c r="L1087" i="25"/>
  <c r="G1086" i="25"/>
  <c r="I1086" i="25"/>
  <c r="K1086" i="25"/>
  <c r="L1086" i="25"/>
  <c r="G1085" i="25"/>
  <c r="I1085" i="25"/>
  <c r="K1085" i="25"/>
  <c r="L1085" i="25"/>
  <c r="G1084" i="25"/>
  <c r="I1084" i="25"/>
  <c r="K1084" i="25"/>
  <c r="L1084" i="25"/>
  <c r="G1083" i="25"/>
  <c r="I1083" i="25"/>
  <c r="K1083" i="25"/>
  <c r="L1083" i="25"/>
  <c r="G1082" i="25"/>
  <c r="I1082" i="25"/>
  <c r="K1082" i="25"/>
  <c r="L1082" i="25"/>
  <c r="G1081" i="25"/>
  <c r="I1081" i="25"/>
  <c r="K1081" i="25"/>
  <c r="L1081" i="25"/>
  <c r="G1080" i="25"/>
  <c r="I1080" i="25"/>
  <c r="K1080" i="25"/>
  <c r="L1080" i="25"/>
  <c r="G1079" i="25"/>
  <c r="I1079" i="25"/>
  <c r="K1079" i="25"/>
  <c r="L1079" i="25"/>
  <c r="G1078" i="25"/>
  <c r="I1078" i="25"/>
  <c r="K1078" i="25"/>
  <c r="L1078" i="25"/>
  <c r="G1077" i="25"/>
  <c r="I1077" i="25"/>
  <c r="K1077" i="25"/>
  <c r="L1077" i="25"/>
  <c r="G1076" i="25"/>
  <c r="I1076" i="25"/>
  <c r="K1076" i="25"/>
  <c r="L1076" i="25"/>
  <c r="G1075" i="25"/>
  <c r="I1075" i="25"/>
  <c r="K1075" i="25"/>
  <c r="L1075" i="25"/>
  <c r="G1074" i="25"/>
  <c r="I1074" i="25"/>
  <c r="K1074" i="25"/>
  <c r="L1074" i="25"/>
  <c r="G1073" i="25"/>
  <c r="I1073" i="25"/>
  <c r="K1073" i="25"/>
  <c r="L1073" i="25"/>
  <c r="G1072" i="25"/>
  <c r="I1072" i="25"/>
  <c r="K1072" i="25"/>
  <c r="L1072" i="25"/>
  <c r="G1071" i="25"/>
  <c r="I1071" i="25"/>
  <c r="K1071" i="25"/>
  <c r="L1071" i="25"/>
  <c r="G1070" i="25"/>
  <c r="I1070" i="25"/>
  <c r="K1070" i="25"/>
  <c r="L1070" i="25"/>
  <c r="G1069" i="25"/>
  <c r="I1069" i="25"/>
  <c r="K1069" i="25"/>
  <c r="L1069" i="25"/>
  <c r="G1068" i="25"/>
  <c r="I1068" i="25"/>
  <c r="K1068" i="25"/>
  <c r="L1068" i="25"/>
  <c r="G1067" i="25"/>
  <c r="I1067" i="25"/>
  <c r="K1067" i="25"/>
  <c r="L1067" i="25"/>
  <c r="G1066" i="25"/>
  <c r="I1066" i="25"/>
  <c r="K1066" i="25"/>
  <c r="L1066" i="25"/>
  <c r="G1065" i="25"/>
  <c r="I1065" i="25"/>
  <c r="K1065" i="25"/>
  <c r="L1065" i="25"/>
  <c r="G1064" i="25"/>
  <c r="I1064" i="25"/>
  <c r="K1064" i="25"/>
  <c r="L1064" i="25"/>
  <c r="G1063" i="25"/>
  <c r="I1063" i="25"/>
  <c r="K1063" i="25"/>
  <c r="L1063" i="25"/>
  <c r="G1062" i="25"/>
  <c r="I1062" i="25"/>
  <c r="K1062" i="25"/>
  <c r="L1062" i="25"/>
  <c r="G1061" i="25"/>
  <c r="I1061" i="25"/>
  <c r="K1061" i="25"/>
  <c r="L1061" i="25"/>
  <c r="G1060" i="25"/>
  <c r="I1060" i="25"/>
  <c r="K1060" i="25"/>
  <c r="L1060" i="25"/>
  <c r="G1059" i="25"/>
  <c r="I1059" i="25"/>
  <c r="K1059" i="25"/>
  <c r="L1059" i="25"/>
  <c r="G1058" i="25"/>
  <c r="I1058" i="25"/>
  <c r="K1058" i="25"/>
  <c r="L1058" i="25"/>
  <c r="G1057" i="25"/>
  <c r="I1057" i="25"/>
  <c r="K1057" i="25"/>
  <c r="L1057" i="25"/>
  <c r="G1056" i="25"/>
  <c r="I1056" i="25"/>
  <c r="K1056" i="25"/>
  <c r="L1056" i="25"/>
  <c r="G1055" i="25"/>
  <c r="I1055" i="25"/>
  <c r="K1055" i="25"/>
  <c r="L1055" i="25"/>
  <c r="G1054" i="25"/>
  <c r="I1054" i="25"/>
  <c r="K1054" i="25"/>
  <c r="L1054" i="25"/>
  <c r="G1053" i="25"/>
  <c r="I1053" i="25"/>
  <c r="K1053" i="25"/>
  <c r="L1053" i="25"/>
  <c r="G1052" i="25"/>
  <c r="I1052" i="25"/>
  <c r="K1052" i="25"/>
  <c r="L1052" i="25"/>
  <c r="G1051" i="25"/>
  <c r="I1051" i="25"/>
  <c r="K1051" i="25"/>
  <c r="L1051" i="25"/>
  <c r="G1050" i="25"/>
  <c r="I1050" i="25"/>
  <c r="K1050" i="25"/>
  <c r="L1050" i="25"/>
  <c r="G1049" i="25"/>
  <c r="I1049" i="25"/>
  <c r="K1049" i="25"/>
  <c r="L1049" i="25"/>
  <c r="G1048" i="25"/>
  <c r="I1048" i="25"/>
  <c r="K1048" i="25"/>
  <c r="L1048" i="25"/>
  <c r="G1047" i="25"/>
  <c r="I1047" i="25"/>
  <c r="K1047" i="25"/>
  <c r="L1047" i="25"/>
  <c r="G1046" i="25"/>
  <c r="I1046" i="25"/>
  <c r="K1046" i="25"/>
  <c r="L1046" i="25"/>
  <c r="G1045" i="25"/>
  <c r="I1045" i="25"/>
  <c r="K1045" i="25"/>
  <c r="L1045" i="25"/>
  <c r="G1044" i="25"/>
  <c r="I1044" i="25"/>
  <c r="K1044" i="25"/>
  <c r="L1044" i="25"/>
  <c r="G1043" i="25"/>
  <c r="I1043" i="25"/>
  <c r="K1043" i="25"/>
  <c r="L1043" i="25"/>
  <c r="G1042" i="25"/>
  <c r="I1042" i="25"/>
  <c r="K1042" i="25"/>
  <c r="L1042" i="25"/>
  <c r="G1041" i="25"/>
  <c r="I1041" i="25"/>
  <c r="K1041" i="25"/>
  <c r="L1041" i="25"/>
  <c r="G1040" i="25"/>
  <c r="I1040" i="25"/>
  <c r="K1040" i="25"/>
  <c r="L1040" i="25"/>
  <c r="G1039" i="25"/>
  <c r="I1039" i="25"/>
  <c r="K1039" i="25"/>
  <c r="L1039" i="25"/>
  <c r="G1038" i="25"/>
  <c r="I1038" i="25"/>
  <c r="K1038" i="25"/>
  <c r="L1038" i="25"/>
  <c r="G1037" i="25"/>
  <c r="I1037" i="25"/>
  <c r="K1037" i="25"/>
  <c r="L1037" i="25"/>
  <c r="G1036" i="25"/>
  <c r="I1036" i="25"/>
  <c r="K1036" i="25"/>
  <c r="L1036" i="25"/>
  <c r="G1035" i="25"/>
  <c r="I1035" i="25"/>
  <c r="K1035" i="25"/>
  <c r="L1035" i="25"/>
  <c r="G1034" i="25"/>
  <c r="I1034" i="25"/>
  <c r="K1034" i="25"/>
  <c r="L1034" i="25"/>
  <c r="G1033" i="25"/>
  <c r="I1033" i="25"/>
  <c r="K1033" i="25"/>
  <c r="L1033" i="25"/>
  <c r="G1032" i="25"/>
  <c r="I1032" i="25"/>
  <c r="K1032" i="25"/>
  <c r="L1032" i="25"/>
  <c r="G1031" i="25"/>
  <c r="I1031" i="25"/>
  <c r="K1031" i="25"/>
  <c r="L1031" i="25"/>
  <c r="G1030" i="25"/>
  <c r="I1030" i="25"/>
  <c r="K1030" i="25"/>
  <c r="L1030" i="25"/>
  <c r="G1029" i="25"/>
  <c r="I1029" i="25"/>
  <c r="K1029" i="25"/>
  <c r="L1029" i="25"/>
  <c r="G1028" i="25"/>
  <c r="I1028" i="25"/>
  <c r="K1028" i="25"/>
  <c r="L1028" i="25"/>
  <c r="G1027" i="25"/>
  <c r="I1027" i="25"/>
  <c r="K1027" i="25"/>
  <c r="L1027" i="25"/>
  <c r="G1026" i="25"/>
  <c r="I1026" i="25"/>
  <c r="K1026" i="25"/>
  <c r="L1026" i="25"/>
  <c r="G1025" i="25"/>
  <c r="I1025" i="25"/>
  <c r="K1025" i="25"/>
  <c r="L1025" i="25"/>
  <c r="G1024" i="25"/>
  <c r="I1024" i="25"/>
  <c r="K1024" i="25"/>
  <c r="L1024" i="25"/>
  <c r="G1023" i="25"/>
  <c r="I1023" i="25"/>
  <c r="K1023" i="25"/>
  <c r="L1023" i="25"/>
  <c r="G1022" i="25"/>
  <c r="I1022" i="25"/>
  <c r="K1022" i="25"/>
  <c r="L1022" i="25"/>
  <c r="G1021" i="25"/>
  <c r="I1021" i="25"/>
  <c r="K1021" i="25"/>
  <c r="L1021" i="25"/>
  <c r="G1020" i="25"/>
  <c r="I1020" i="25"/>
  <c r="K1020" i="25"/>
  <c r="L1020" i="25"/>
  <c r="G1019" i="25"/>
  <c r="I1019" i="25"/>
  <c r="K1019" i="25"/>
  <c r="L1019" i="25"/>
  <c r="G1018" i="25"/>
  <c r="I1018" i="25"/>
  <c r="K1018" i="25"/>
  <c r="L1018" i="25"/>
  <c r="G1017" i="25"/>
  <c r="I1017" i="25"/>
  <c r="K1017" i="25"/>
  <c r="L1017" i="25"/>
  <c r="G1016" i="25"/>
  <c r="I1016" i="25"/>
  <c r="K1016" i="25"/>
  <c r="L1016" i="25"/>
  <c r="G1015" i="25"/>
  <c r="I1015" i="25"/>
  <c r="K1015" i="25"/>
  <c r="L1015" i="25"/>
  <c r="G1014" i="25"/>
  <c r="I1014" i="25"/>
  <c r="K1014" i="25"/>
  <c r="L1014" i="25"/>
  <c r="G1013" i="25"/>
  <c r="I1013" i="25"/>
  <c r="K1013" i="25"/>
  <c r="L1013" i="25"/>
  <c r="G1012" i="25"/>
  <c r="I1012" i="25"/>
  <c r="K1012" i="25"/>
  <c r="L1012" i="25"/>
  <c r="G1011" i="25"/>
  <c r="I1011" i="25"/>
  <c r="K1011" i="25"/>
  <c r="L1011" i="25"/>
  <c r="G1010" i="25"/>
  <c r="I1010" i="25"/>
  <c r="K1010" i="25"/>
  <c r="L1010" i="25"/>
  <c r="G1009" i="25"/>
  <c r="I1009" i="25"/>
  <c r="K1009" i="25"/>
  <c r="L1009" i="25"/>
  <c r="G1008" i="25"/>
  <c r="I1008" i="25"/>
  <c r="K1008" i="25"/>
  <c r="L1008" i="25"/>
  <c r="G1007" i="25"/>
  <c r="I1007" i="25"/>
  <c r="K1007" i="25"/>
  <c r="L1007" i="25"/>
  <c r="G1006" i="25"/>
  <c r="I1006" i="25"/>
  <c r="K1006" i="25"/>
  <c r="L1006" i="25"/>
  <c r="G1005" i="25"/>
  <c r="I1005" i="25"/>
  <c r="K1005" i="25"/>
  <c r="L1005" i="25"/>
  <c r="G1004" i="25"/>
  <c r="I1004" i="25"/>
  <c r="K1004" i="25"/>
  <c r="L1004" i="25"/>
  <c r="G1003" i="25"/>
  <c r="I1003" i="25"/>
  <c r="K1003" i="25"/>
  <c r="L1003" i="25"/>
  <c r="G1002" i="25"/>
  <c r="I1002" i="25"/>
  <c r="K1002" i="25"/>
  <c r="L1002" i="25"/>
  <c r="G1001" i="25"/>
  <c r="I1001" i="25"/>
  <c r="K1001" i="25"/>
  <c r="L1001" i="25"/>
  <c r="G1000" i="25"/>
  <c r="I1000" i="25"/>
  <c r="K1000" i="25"/>
  <c r="L1000" i="25"/>
  <c r="G999" i="25"/>
  <c r="I999" i="25"/>
  <c r="K999" i="25"/>
  <c r="L999" i="25"/>
  <c r="G998" i="25"/>
  <c r="I998" i="25"/>
  <c r="K998" i="25"/>
  <c r="L998" i="25"/>
  <c r="G997" i="25"/>
  <c r="I997" i="25"/>
  <c r="K997" i="25"/>
  <c r="L997" i="25"/>
  <c r="G996" i="25"/>
  <c r="I996" i="25"/>
  <c r="K996" i="25"/>
  <c r="L996" i="25"/>
  <c r="G995" i="25"/>
  <c r="I995" i="25"/>
  <c r="K995" i="25"/>
  <c r="L995" i="25"/>
  <c r="G994" i="25"/>
  <c r="I994" i="25"/>
  <c r="K994" i="25"/>
  <c r="L994" i="25"/>
  <c r="G993" i="25"/>
  <c r="I993" i="25"/>
  <c r="K993" i="25"/>
  <c r="L993" i="25"/>
  <c r="G992" i="25"/>
  <c r="I992" i="25"/>
  <c r="K992" i="25"/>
  <c r="L992" i="25"/>
  <c r="G991" i="25"/>
  <c r="I991" i="25"/>
  <c r="K991" i="25"/>
  <c r="L991" i="25"/>
  <c r="G990" i="25"/>
  <c r="I990" i="25"/>
  <c r="K990" i="25"/>
  <c r="L990" i="25"/>
  <c r="G989" i="25"/>
  <c r="I989" i="25"/>
  <c r="K989" i="25"/>
  <c r="L989" i="25"/>
  <c r="G988" i="25"/>
  <c r="I988" i="25"/>
  <c r="K988" i="25"/>
  <c r="L988" i="25"/>
  <c r="G987" i="25"/>
  <c r="I987" i="25"/>
  <c r="K987" i="25"/>
  <c r="L987" i="25"/>
  <c r="G986" i="25"/>
  <c r="I986" i="25"/>
  <c r="K986" i="25"/>
  <c r="L986" i="25"/>
  <c r="G985" i="25"/>
  <c r="I985" i="25"/>
  <c r="K985" i="25"/>
  <c r="L985" i="25"/>
  <c r="G984" i="25"/>
  <c r="I984" i="25"/>
  <c r="K984" i="25"/>
  <c r="L984" i="25"/>
  <c r="G983" i="25"/>
  <c r="I983" i="25"/>
  <c r="K983" i="25"/>
  <c r="L983" i="25"/>
  <c r="G982" i="25"/>
  <c r="I982" i="25"/>
  <c r="K982" i="25"/>
  <c r="L982" i="25"/>
  <c r="G981" i="25"/>
  <c r="I981" i="25"/>
  <c r="K981" i="25"/>
  <c r="L981" i="25"/>
  <c r="G980" i="25"/>
  <c r="I980" i="25"/>
  <c r="K980" i="25"/>
  <c r="L980" i="25"/>
  <c r="G979" i="25"/>
  <c r="I979" i="25"/>
  <c r="K979" i="25"/>
  <c r="L979" i="25"/>
  <c r="G978" i="25"/>
  <c r="I978" i="25"/>
  <c r="K978" i="25"/>
  <c r="L978" i="25"/>
  <c r="G977" i="25"/>
  <c r="I977" i="25"/>
  <c r="K977" i="25"/>
  <c r="L977" i="25"/>
  <c r="G976" i="25"/>
  <c r="I976" i="25"/>
  <c r="K976" i="25"/>
  <c r="L976" i="25"/>
  <c r="G975" i="25"/>
  <c r="I975" i="25"/>
  <c r="K975" i="25"/>
  <c r="L975" i="25"/>
  <c r="G974" i="25"/>
  <c r="I974" i="25"/>
  <c r="K974" i="25"/>
  <c r="L974" i="25"/>
  <c r="G973" i="25"/>
  <c r="I973" i="25"/>
  <c r="K973" i="25"/>
  <c r="L973" i="25"/>
  <c r="G972" i="25"/>
  <c r="I972" i="25"/>
  <c r="K972" i="25"/>
  <c r="L972" i="25"/>
  <c r="G971" i="25"/>
  <c r="I971" i="25"/>
  <c r="K971" i="25"/>
  <c r="L971" i="25"/>
  <c r="G970" i="25"/>
  <c r="I970" i="25"/>
  <c r="K970" i="25"/>
  <c r="L970" i="25"/>
  <c r="G969" i="25"/>
  <c r="I969" i="25"/>
  <c r="K969" i="25"/>
  <c r="L969" i="25"/>
  <c r="G968" i="25"/>
  <c r="I968" i="25"/>
  <c r="K968" i="25"/>
  <c r="L968" i="25"/>
  <c r="G967" i="25"/>
  <c r="I967" i="25"/>
  <c r="K967" i="25"/>
  <c r="L967" i="25"/>
  <c r="G966" i="25"/>
  <c r="I966" i="25"/>
  <c r="K966" i="25"/>
  <c r="L966" i="25"/>
  <c r="G965" i="25"/>
  <c r="I965" i="25"/>
  <c r="K965" i="25"/>
  <c r="L965" i="25"/>
  <c r="G964" i="25"/>
  <c r="I964" i="25"/>
  <c r="K964" i="25"/>
  <c r="L964" i="25"/>
  <c r="G963" i="25"/>
  <c r="I963" i="25"/>
  <c r="K963" i="25"/>
  <c r="L963" i="25"/>
  <c r="G962" i="25"/>
  <c r="I962" i="25"/>
  <c r="K962" i="25"/>
  <c r="L962" i="25"/>
  <c r="G961" i="25"/>
  <c r="I961" i="25"/>
  <c r="K961" i="25"/>
  <c r="L961" i="25"/>
  <c r="G960" i="25"/>
  <c r="I960" i="25"/>
  <c r="K960" i="25"/>
  <c r="L960" i="25"/>
  <c r="G959" i="25"/>
  <c r="I959" i="25"/>
  <c r="K959" i="25"/>
  <c r="L959" i="25"/>
  <c r="G958" i="25"/>
  <c r="I958" i="25"/>
  <c r="K958" i="25"/>
  <c r="L958" i="25"/>
  <c r="G957" i="25"/>
  <c r="I957" i="25"/>
  <c r="K957" i="25"/>
  <c r="L957" i="25"/>
  <c r="G956" i="25"/>
  <c r="I956" i="25"/>
  <c r="K956" i="25"/>
  <c r="L956" i="25"/>
  <c r="G955" i="25"/>
  <c r="I955" i="25"/>
  <c r="K955" i="25"/>
  <c r="L955" i="25"/>
  <c r="G954" i="25"/>
  <c r="I954" i="25"/>
  <c r="K954" i="25"/>
  <c r="L954" i="25"/>
  <c r="G953" i="25"/>
  <c r="I953" i="25"/>
  <c r="K953" i="25"/>
  <c r="L953" i="25"/>
  <c r="G952" i="25"/>
  <c r="I952" i="25"/>
  <c r="K952" i="25"/>
  <c r="L952" i="25"/>
  <c r="G951" i="25"/>
  <c r="I951" i="25"/>
  <c r="K951" i="25"/>
  <c r="L951" i="25"/>
  <c r="G950" i="25"/>
  <c r="I950" i="25"/>
  <c r="K950" i="25"/>
  <c r="L950" i="25"/>
  <c r="G949" i="25"/>
  <c r="I949" i="25"/>
  <c r="K949" i="25"/>
  <c r="L949" i="25"/>
  <c r="G948" i="25"/>
  <c r="I948" i="25"/>
  <c r="K948" i="25"/>
  <c r="L948" i="25"/>
  <c r="G947" i="25"/>
  <c r="I947" i="25"/>
  <c r="K947" i="25"/>
  <c r="L947" i="25"/>
  <c r="G946" i="25"/>
  <c r="I946" i="25"/>
  <c r="K946" i="25"/>
  <c r="L946" i="25"/>
  <c r="G945" i="25"/>
  <c r="I945" i="25"/>
  <c r="K945" i="25"/>
  <c r="L945" i="25"/>
  <c r="G944" i="25"/>
  <c r="I944" i="25"/>
  <c r="K944" i="25"/>
  <c r="L944" i="25"/>
  <c r="G943" i="25"/>
  <c r="I943" i="25"/>
  <c r="K943" i="25"/>
  <c r="L943" i="25"/>
  <c r="G942" i="25"/>
  <c r="I942" i="25"/>
  <c r="K942" i="25"/>
  <c r="L942" i="25"/>
  <c r="G941" i="25"/>
  <c r="I941" i="25"/>
  <c r="K941" i="25"/>
  <c r="L941" i="25"/>
  <c r="G940" i="25"/>
  <c r="I940" i="25"/>
  <c r="K940" i="25"/>
  <c r="L940" i="25"/>
  <c r="G939" i="25"/>
  <c r="I939" i="25"/>
  <c r="K939" i="25"/>
  <c r="L939" i="25"/>
  <c r="G938" i="25"/>
  <c r="I938" i="25"/>
  <c r="K938" i="25"/>
  <c r="L938" i="25"/>
  <c r="G937" i="25"/>
  <c r="I937" i="25"/>
  <c r="K937" i="25"/>
  <c r="L937" i="25"/>
  <c r="G936" i="25"/>
  <c r="I936" i="25"/>
  <c r="K936" i="25"/>
  <c r="L936" i="25"/>
  <c r="G935" i="25"/>
  <c r="I935" i="25"/>
  <c r="K935" i="25"/>
  <c r="L935" i="25"/>
  <c r="G934" i="25"/>
  <c r="I934" i="25"/>
  <c r="K934" i="25"/>
  <c r="L934" i="25"/>
  <c r="G933" i="25"/>
  <c r="I933" i="25"/>
  <c r="K933" i="25"/>
  <c r="L933" i="25"/>
  <c r="G932" i="25"/>
  <c r="I932" i="25"/>
  <c r="K932" i="25"/>
  <c r="L932" i="25"/>
  <c r="G931" i="25"/>
  <c r="I931" i="25"/>
  <c r="K931" i="25"/>
  <c r="L931" i="25"/>
  <c r="G930" i="25"/>
  <c r="I930" i="25"/>
  <c r="K930" i="25"/>
  <c r="L930" i="25"/>
  <c r="G929" i="25"/>
  <c r="I929" i="25"/>
  <c r="K929" i="25"/>
  <c r="L929" i="25"/>
  <c r="G928" i="25"/>
  <c r="I928" i="25"/>
  <c r="K928" i="25"/>
  <c r="L928" i="25"/>
  <c r="G927" i="25"/>
  <c r="I927" i="25"/>
  <c r="K927" i="25"/>
  <c r="L927" i="25"/>
  <c r="G926" i="25"/>
  <c r="I926" i="25"/>
  <c r="K926" i="25"/>
  <c r="L926" i="25"/>
  <c r="G925" i="25"/>
  <c r="I925" i="25"/>
  <c r="K925" i="25"/>
  <c r="L925" i="25"/>
  <c r="G924" i="25"/>
  <c r="I924" i="25"/>
  <c r="K924" i="25"/>
  <c r="L924" i="25"/>
  <c r="G923" i="25"/>
  <c r="I923" i="25"/>
  <c r="K923" i="25"/>
  <c r="L923" i="25"/>
  <c r="G922" i="25"/>
  <c r="I922" i="25"/>
  <c r="K922" i="25"/>
  <c r="L922" i="25"/>
  <c r="G921" i="25"/>
  <c r="I921" i="25"/>
  <c r="K921" i="25"/>
  <c r="L921" i="25"/>
  <c r="G920" i="25"/>
  <c r="I920" i="25"/>
  <c r="K920" i="25"/>
  <c r="L920" i="25"/>
  <c r="G919" i="25"/>
  <c r="I919" i="25"/>
  <c r="K919" i="25"/>
  <c r="L919" i="25"/>
  <c r="G918" i="25"/>
  <c r="I918" i="25"/>
  <c r="K918" i="25"/>
  <c r="L918" i="25"/>
  <c r="G917" i="25"/>
  <c r="I917" i="25"/>
  <c r="K917" i="25"/>
  <c r="L917" i="25"/>
  <c r="G916" i="25"/>
  <c r="I916" i="25"/>
  <c r="K916" i="25"/>
  <c r="L916" i="25"/>
  <c r="G915" i="25"/>
  <c r="I915" i="25"/>
  <c r="K915" i="25"/>
  <c r="L915" i="25"/>
  <c r="G914" i="25"/>
  <c r="I914" i="25"/>
  <c r="K914" i="25"/>
  <c r="L914" i="25"/>
  <c r="G913" i="25"/>
  <c r="I913" i="25"/>
  <c r="K913" i="25"/>
  <c r="L913" i="25"/>
  <c r="G912" i="25"/>
  <c r="I912" i="25"/>
  <c r="K912" i="25"/>
  <c r="L912" i="25"/>
  <c r="G911" i="25"/>
  <c r="I911" i="25"/>
  <c r="K911" i="25"/>
  <c r="L911" i="25"/>
  <c r="G910" i="25"/>
  <c r="I910" i="25"/>
  <c r="K910" i="25"/>
  <c r="L910" i="25"/>
  <c r="G909" i="25"/>
  <c r="I909" i="25"/>
  <c r="K909" i="25"/>
  <c r="L909" i="25"/>
  <c r="G908" i="25"/>
  <c r="I908" i="25"/>
  <c r="K908" i="25"/>
  <c r="L908" i="25"/>
  <c r="G907" i="25"/>
  <c r="I907" i="25"/>
  <c r="K907" i="25"/>
  <c r="L907" i="25"/>
  <c r="G906" i="25"/>
  <c r="I906" i="25"/>
  <c r="K906" i="25"/>
  <c r="L906" i="25"/>
  <c r="G905" i="25"/>
  <c r="I905" i="25"/>
  <c r="K905" i="25"/>
  <c r="L905" i="25"/>
  <c r="G904" i="25"/>
  <c r="I904" i="25"/>
  <c r="K904" i="25"/>
  <c r="L904" i="25"/>
  <c r="G903" i="25"/>
  <c r="I903" i="25"/>
  <c r="K903" i="25"/>
  <c r="L903" i="25"/>
  <c r="G902" i="25"/>
  <c r="I902" i="25"/>
  <c r="K902" i="25"/>
  <c r="L902" i="25"/>
  <c r="G901" i="25"/>
  <c r="I901" i="25"/>
  <c r="K901" i="25"/>
  <c r="L901" i="25"/>
  <c r="G900" i="25"/>
  <c r="I900" i="25"/>
  <c r="K900" i="25"/>
  <c r="L900" i="25"/>
  <c r="G899" i="25"/>
  <c r="I899" i="25"/>
  <c r="K899" i="25"/>
  <c r="L899" i="25"/>
  <c r="G898" i="25"/>
  <c r="I898" i="25"/>
  <c r="K898" i="25"/>
  <c r="L898" i="25"/>
  <c r="G897" i="25"/>
  <c r="I897" i="25"/>
  <c r="K897" i="25"/>
  <c r="L897" i="25"/>
  <c r="G896" i="25"/>
  <c r="I896" i="25"/>
  <c r="K896" i="25"/>
  <c r="L896" i="25"/>
  <c r="G895" i="25"/>
  <c r="I895" i="25"/>
  <c r="K895" i="25"/>
  <c r="L895" i="25"/>
  <c r="G894" i="25"/>
  <c r="I894" i="25"/>
  <c r="K894" i="25"/>
  <c r="L894" i="25"/>
  <c r="G893" i="25"/>
  <c r="I893" i="25"/>
  <c r="K893" i="25"/>
  <c r="L893" i="25"/>
  <c r="G892" i="25"/>
  <c r="I892" i="25"/>
  <c r="K892" i="25"/>
  <c r="L892" i="25"/>
  <c r="G891" i="25"/>
  <c r="I891" i="25"/>
  <c r="K891" i="25"/>
  <c r="L891" i="25"/>
  <c r="G890" i="25"/>
  <c r="I890" i="25"/>
  <c r="K890" i="25"/>
  <c r="L890" i="25"/>
  <c r="G889" i="25"/>
  <c r="I889" i="25"/>
  <c r="K889" i="25"/>
  <c r="L889" i="25"/>
  <c r="G888" i="25"/>
  <c r="I888" i="25"/>
  <c r="K888" i="25"/>
  <c r="L888" i="25"/>
  <c r="G887" i="25"/>
  <c r="I887" i="25"/>
  <c r="K887" i="25"/>
  <c r="L887" i="25"/>
  <c r="G886" i="25"/>
  <c r="I886" i="25"/>
  <c r="K886" i="25"/>
  <c r="L886" i="25"/>
  <c r="G885" i="25"/>
  <c r="I885" i="25"/>
  <c r="K885" i="25"/>
  <c r="L885" i="25"/>
  <c r="G884" i="25"/>
  <c r="I884" i="25"/>
  <c r="K884" i="25"/>
  <c r="L884" i="25"/>
  <c r="G883" i="25"/>
  <c r="I883" i="25"/>
  <c r="K883" i="25"/>
  <c r="L883" i="25"/>
  <c r="G882" i="25"/>
  <c r="I882" i="25"/>
  <c r="K882" i="25"/>
  <c r="L882" i="25"/>
  <c r="G881" i="25"/>
  <c r="I881" i="25"/>
  <c r="K881" i="25"/>
  <c r="L881" i="25"/>
  <c r="G880" i="25"/>
  <c r="I880" i="25"/>
  <c r="K880" i="25"/>
  <c r="L880" i="25"/>
  <c r="G879" i="25"/>
  <c r="I879" i="25"/>
  <c r="K879" i="25"/>
  <c r="L879" i="25"/>
  <c r="G878" i="25"/>
  <c r="I878" i="25"/>
  <c r="K878" i="25"/>
  <c r="L878" i="25"/>
  <c r="G877" i="25"/>
  <c r="I877" i="25"/>
  <c r="K877" i="25"/>
  <c r="L877" i="25"/>
  <c r="G876" i="25"/>
  <c r="I876" i="25"/>
  <c r="K876" i="25"/>
  <c r="L876" i="25"/>
  <c r="G875" i="25"/>
  <c r="I875" i="25"/>
  <c r="K875" i="25"/>
  <c r="L875" i="25"/>
  <c r="G874" i="25"/>
  <c r="I874" i="25"/>
  <c r="K874" i="25"/>
  <c r="L874" i="25"/>
  <c r="G873" i="25"/>
  <c r="I873" i="25"/>
  <c r="K873" i="25"/>
  <c r="L873" i="25"/>
  <c r="G872" i="25"/>
  <c r="I872" i="25"/>
  <c r="K872" i="25"/>
  <c r="L872" i="25"/>
  <c r="G871" i="25"/>
  <c r="I871" i="25"/>
  <c r="K871" i="25"/>
  <c r="L871" i="25"/>
  <c r="G870" i="25"/>
  <c r="I870" i="25"/>
  <c r="K870" i="25"/>
  <c r="L870" i="25"/>
  <c r="G869" i="25"/>
  <c r="I869" i="25"/>
  <c r="K869" i="25"/>
  <c r="L869" i="25"/>
  <c r="G868" i="25"/>
  <c r="I868" i="25"/>
  <c r="K868" i="25"/>
  <c r="L868" i="25"/>
  <c r="G867" i="25"/>
  <c r="I867" i="25"/>
  <c r="K867" i="25"/>
  <c r="L867" i="25"/>
  <c r="G866" i="25"/>
  <c r="I866" i="25"/>
  <c r="K866" i="25"/>
  <c r="L866" i="25"/>
  <c r="G865" i="25"/>
  <c r="I865" i="25"/>
  <c r="K865" i="25"/>
  <c r="L865" i="25"/>
  <c r="G864" i="25"/>
  <c r="I864" i="25"/>
  <c r="K864" i="25"/>
  <c r="L864" i="25"/>
  <c r="G863" i="25"/>
  <c r="I863" i="25"/>
  <c r="K863" i="25"/>
  <c r="L863" i="25"/>
  <c r="G862" i="25"/>
  <c r="I862" i="25"/>
  <c r="K862" i="25"/>
  <c r="L862" i="25"/>
  <c r="G861" i="25"/>
  <c r="I861" i="25"/>
  <c r="K861" i="25"/>
  <c r="L861" i="25"/>
  <c r="G860" i="25"/>
  <c r="I860" i="25"/>
  <c r="K860" i="25"/>
  <c r="L860" i="25"/>
  <c r="G859" i="25"/>
  <c r="I859" i="25"/>
  <c r="K859" i="25"/>
  <c r="L859" i="25"/>
  <c r="G858" i="25"/>
  <c r="I858" i="25"/>
  <c r="K858" i="25"/>
  <c r="L858" i="25"/>
  <c r="G857" i="25"/>
  <c r="I857" i="25"/>
  <c r="K857" i="25"/>
  <c r="L857" i="25"/>
  <c r="G856" i="25"/>
  <c r="I856" i="25"/>
  <c r="K856" i="25"/>
  <c r="L856" i="25"/>
  <c r="G855" i="25"/>
  <c r="I855" i="25"/>
  <c r="K855" i="25"/>
  <c r="L855" i="25"/>
  <c r="G854" i="25"/>
  <c r="I854" i="25"/>
  <c r="K854" i="25"/>
  <c r="L854" i="25"/>
  <c r="G853" i="25"/>
  <c r="I853" i="25"/>
  <c r="K853" i="25"/>
  <c r="L853" i="25"/>
  <c r="G852" i="25"/>
  <c r="I852" i="25"/>
  <c r="K852" i="25"/>
  <c r="L852" i="25"/>
  <c r="G851" i="25"/>
  <c r="I851" i="25"/>
  <c r="K851" i="25"/>
  <c r="L851" i="25"/>
  <c r="G850" i="25"/>
  <c r="I850" i="25"/>
  <c r="K850" i="25"/>
  <c r="L850" i="25"/>
  <c r="G849" i="25"/>
  <c r="I849" i="25"/>
  <c r="K849" i="25"/>
  <c r="L849" i="25"/>
  <c r="G848" i="25"/>
  <c r="I848" i="25"/>
  <c r="K848" i="25"/>
  <c r="L848" i="25"/>
  <c r="G847" i="25"/>
  <c r="I847" i="25"/>
  <c r="K847" i="25"/>
  <c r="L847" i="25"/>
  <c r="G846" i="25"/>
  <c r="I846" i="25"/>
  <c r="K846" i="25"/>
  <c r="L846" i="25"/>
  <c r="G845" i="25"/>
  <c r="I845" i="25"/>
  <c r="K845" i="25"/>
  <c r="L845" i="25"/>
  <c r="G844" i="25"/>
  <c r="I844" i="25"/>
  <c r="K844" i="25"/>
  <c r="L844" i="25"/>
  <c r="G843" i="25"/>
  <c r="I843" i="25"/>
  <c r="K843" i="25"/>
  <c r="L843" i="25"/>
  <c r="G842" i="25"/>
  <c r="I842" i="25"/>
  <c r="K842" i="25"/>
  <c r="L842" i="25"/>
  <c r="G841" i="25"/>
  <c r="I841" i="25"/>
  <c r="K841" i="25"/>
  <c r="L841" i="25"/>
  <c r="G840" i="25"/>
  <c r="I840" i="25"/>
  <c r="K840" i="25"/>
  <c r="L840" i="25"/>
  <c r="G839" i="25"/>
  <c r="I839" i="25"/>
  <c r="K839" i="25"/>
  <c r="L839" i="25"/>
  <c r="G838" i="25"/>
  <c r="I838" i="25"/>
  <c r="K838" i="25"/>
  <c r="L838" i="25"/>
  <c r="G837" i="25"/>
  <c r="I837" i="25"/>
  <c r="K837" i="25"/>
  <c r="L837" i="25"/>
  <c r="G836" i="25"/>
  <c r="I836" i="25"/>
  <c r="K836" i="25"/>
  <c r="L836" i="25"/>
  <c r="G835" i="25"/>
  <c r="I835" i="25"/>
  <c r="K835" i="25"/>
  <c r="L835" i="25"/>
  <c r="G834" i="25"/>
  <c r="I834" i="25"/>
  <c r="K834" i="25"/>
  <c r="L834" i="25"/>
  <c r="G833" i="25"/>
  <c r="I833" i="25"/>
  <c r="K833" i="25"/>
  <c r="L833" i="25"/>
  <c r="G832" i="25"/>
  <c r="I832" i="25"/>
  <c r="K832" i="25"/>
  <c r="L832" i="25"/>
  <c r="G831" i="25"/>
  <c r="I831" i="25"/>
  <c r="K831" i="25"/>
  <c r="L831" i="25"/>
  <c r="G830" i="25"/>
  <c r="I830" i="25"/>
  <c r="K830" i="25"/>
  <c r="L830" i="25"/>
  <c r="G829" i="25"/>
  <c r="I829" i="25"/>
  <c r="K829" i="25"/>
  <c r="L829" i="25"/>
  <c r="G828" i="25"/>
  <c r="I828" i="25"/>
  <c r="K828" i="25"/>
  <c r="L828" i="25"/>
  <c r="G827" i="25"/>
  <c r="I827" i="25"/>
  <c r="K827" i="25"/>
  <c r="L827" i="25"/>
  <c r="G826" i="25"/>
  <c r="I826" i="25"/>
  <c r="K826" i="25"/>
  <c r="L826" i="25"/>
  <c r="G825" i="25"/>
  <c r="I825" i="25"/>
  <c r="K825" i="25"/>
  <c r="L825" i="25"/>
  <c r="G824" i="25"/>
  <c r="I824" i="25"/>
  <c r="K824" i="25"/>
  <c r="L824" i="25"/>
  <c r="G823" i="25"/>
  <c r="I823" i="25"/>
  <c r="K823" i="25"/>
  <c r="L823" i="25"/>
  <c r="G822" i="25"/>
  <c r="I822" i="25"/>
  <c r="K822" i="25"/>
  <c r="L822" i="25"/>
  <c r="G821" i="25"/>
  <c r="I821" i="25"/>
  <c r="K821" i="25"/>
  <c r="L821" i="25"/>
  <c r="G820" i="25"/>
  <c r="I820" i="25"/>
  <c r="K820" i="25"/>
  <c r="L820" i="25"/>
  <c r="G819" i="25"/>
  <c r="I819" i="25"/>
  <c r="K819" i="25"/>
  <c r="L819" i="25"/>
  <c r="G818" i="25"/>
  <c r="I818" i="25"/>
  <c r="K818" i="25"/>
  <c r="L818" i="25"/>
  <c r="G817" i="25"/>
  <c r="I817" i="25"/>
  <c r="K817" i="25"/>
  <c r="L817" i="25"/>
  <c r="G816" i="25"/>
  <c r="I816" i="25"/>
  <c r="K816" i="25"/>
  <c r="L816" i="25"/>
  <c r="G815" i="25"/>
  <c r="I815" i="25"/>
  <c r="K815" i="25"/>
  <c r="L815" i="25"/>
  <c r="G814" i="25"/>
  <c r="I814" i="25"/>
  <c r="K814" i="25"/>
  <c r="L814" i="25"/>
  <c r="G813" i="25"/>
  <c r="I813" i="25"/>
  <c r="K813" i="25"/>
  <c r="L813" i="25"/>
  <c r="G812" i="25"/>
  <c r="I812" i="25"/>
  <c r="K812" i="25"/>
  <c r="L812" i="25"/>
  <c r="G811" i="25"/>
  <c r="I811" i="25"/>
  <c r="K811" i="25"/>
  <c r="L811" i="25"/>
  <c r="G810" i="25"/>
  <c r="I810" i="25"/>
  <c r="K810" i="25"/>
  <c r="L810" i="25"/>
  <c r="G809" i="25"/>
  <c r="I809" i="25"/>
  <c r="K809" i="25"/>
  <c r="L809" i="25"/>
  <c r="G808" i="25"/>
  <c r="I808" i="25"/>
  <c r="K808" i="25"/>
  <c r="L808" i="25"/>
  <c r="G807" i="25"/>
  <c r="I807" i="25"/>
  <c r="K807" i="25"/>
  <c r="L807" i="25"/>
  <c r="G806" i="25"/>
  <c r="I806" i="25"/>
  <c r="K806" i="25"/>
  <c r="L806" i="25"/>
  <c r="G805" i="25"/>
  <c r="I805" i="25"/>
  <c r="K805" i="25"/>
  <c r="L805" i="25"/>
  <c r="G804" i="25"/>
  <c r="I804" i="25"/>
  <c r="K804" i="25"/>
  <c r="L804" i="25"/>
  <c r="G803" i="25"/>
  <c r="I803" i="25"/>
  <c r="K803" i="25"/>
  <c r="L803" i="25"/>
  <c r="G802" i="25"/>
  <c r="I802" i="25"/>
  <c r="K802" i="25"/>
  <c r="L802" i="25"/>
  <c r="G801" i="25"/>
  <c r="I801" i="25"/>
  <c r="K801" i="25"/>
  <c r="L801" i="25"/>
  <c r="G800" i="25"/>
  <c r="I800" i="25"/>
  <c r="K800" i="25"/>
  <c r="L800" i="25"/>
  <c r="G799" i="25"/>
  <c r="I799" i="25"/>
  <c r="K799" i="25"/>
  <c r="L799" i="25"/>
  <c r="G798" i="25"/>
  <c r="I798" i="25"/>
  <c r="K798" i="25"/>
  <c r="L798" i="25"/>
  <c r="G797" i="25"/>
  <c r="I797" i="25"/>
  <c r="K797" i="25"/>
  <c r="L797" i="25"/>
  <c r="G796" i="25"/>
  <c r="I796" i="25"/>
  <c r="K796" i="25"/>
  <c r="L796" i="25"/>
  <c r="G795" i="25"/>
  <c r="I795" i="25"/>
  <c r="K795" i="25"/>
  <c r="L795" i="25"/>
  <c r="G794" i="25"/>
  <c r="I794" i="25"/>
  <c r="K794" i="25"/>
  <c r="L794" i="25"/>
  <c r="G793" i="25"/>
  <c r="I793" i="25"/>
  <c r="K793" i="25"/>
  <c r="L793" i="25"/>
  <c r="G792" i="25"/>
  <c r="I792" i="25"/>
  <c r="K792" i="25"/>
  <c r="L792" i="25"/>
  <c r="G791" i="25"/>
  <c r="I791" i="25"/>
  <c r="K791" i="25"/>
  <c r="L791" i="25"/>
  <c r="G790" i="25"/>
  <c r="I790" i="25"/>
  <c r="K790" i="25"/>
  <c r="L790" i="25"/>
  <c r="G789" i="25"/>
  <c r="I789" i="25"/>
  <c r="K789" i="25"/>
  <c r="L789" i="25"/>
  <c r="G788" i="25"/>
  <c r="I788" i="25"/>
  <c r="K788" i="25"/>
  <c r="L788" i="25"/>
  <c r="G787" i="25"/>
  <c r="I787" i="25"/>
  <c r="K787" i="25"/>
  <c r="L787" i="25"/>
  <c r="G786" i="25"/>
  <c r="I786" i="25"/>
  <c r="K786" i="25"/>
  <c r="L786" i="25"/>
  <c r="G785" i="25"/>
  <c r="I785" i="25"/>
  <c r="K785" i="25"/>
  <c r="L785" i="25"/>
  <c r="G784" i="25"/>
  <c r="I784" i="25"/>
  <c r="K784" i="25"/>
  <c r="L784" i="25"/>
  <c r="G783" i="25"/>
  <c r="I783" i="25"/>
  <c r="K783" i="25"/>
  <c r="L783" i="25"/>
  <c r="G782" i="25"/>
  <c r="I782" i="25"/>
  <c r="K782" i="25"/>
  <c r="L782" i="25"/>
  <c r="G781" i="25"/>
  <c r="I781" i="25"/>
  <c r="K781" i="25"/>
  <c r="L781" i="25"/>
  <c r="G780" i="25"/>
  <c r="I780" i="25"/>
  <c r="K780" i="25"/>
  <c r="L780" i="25"/>
  <c r="G779" i="25"/>
  <c r="I779" i="25"/>
  <c r="K779" i="25"/>
  <c r="L779" i="25"/>
  <c r="G778" i="25"/>
  <c r="I778" i="25"/>
  <c r="K778" i="25"/>
  <c r="L778" i="25"/>
  <c r="G777" i="25"/>
  <c r="I777" i="25"/>
  <c r="K777" i="25"/>
  <c r="L777" i="25"/>
  <c r="G776" i="25"/>
  <c r="I776" i="25"/>
  <c r="K776" i="25"/>
  <c r="L776" i="25"/>
  <c r="G775" i="25"/>
  <c r="I775" i="25"/>
  <c r="K775" i="25"/>
  <c r="L775" i="25"/>
  <c r="G774" i="25"/>
  <c r="I774" i="25"/>
  <c r="K774" i="25"/>
  <c r="L774" i="25"/>
  <c r="G773" i="25"/>
  <c r="I773" i="25"/>
  <c r="K773" i="25"/>
  <c r="L773" i="25"/>
  <c r="G772" i="25"/>
  <c r="I772" i="25"/>
  <c r="K772" i="25"/>
  <c r="L772" i="25"/>
  <c r="G771" i="25"/>
  <c r="I771" i="25"/>
  <c r="K771" i="25"/>
  <c r="L771" i="25"/>
  <c r="G770" i="25"/>
  <c r="I770" i="25"/>
  <c r="K770" i="25"/>
  <c r="L770" i="25"/>
  <c r="G769" i="25"/>
  <c r="I769" i="25"/>
  <c r="K769" i="25"/>
  <c r="L769" i="25"/>
  <c r="G768" i="25"/>
  <c r="I768" i="25"/>
  <c r="K768" i="25"/>
  <c r="L768" i="25"/>
  <c r="G767" i="25"/>
  <c r="I767" i="25"/>
  <c r="K767" i="25"/>
  <c r="L767" i="25"/>
  <c r="G766" i="25"/>
  <c r="I766" i="25"/>
  <c r="K766" i="25"/>
  <c r="L766" i="25"/>
  <c r="G765" i="25"/>
  <c r="I765" i="25"/>
  <c r="K765" i="25"/>
  <c r="L765" i="25"/>
  <c r="G764" i="25"/>
  <c r="I764" i="25"/>
  <c r="K764" i="25"/>
  <c r="L764" i="25"/>
  <c r="G763" i="25"/>
  <c r="I763" i="25"/>
  <c r="K763" i="25"/>
  <c r="L763" i="25"/>
  <c r="G762" i="25"/>
  <c r="I762" i="25"/>
  <c r="K762" i="25"/>
  <c r="L762" i="25"/>
  <c r="G761" i="25"/>
  <c r="I761" i="25"/>
  <c r="K761" i="25"/>
  <c r="L761" i="25"/>
  <c r="G760" i="25"/>
  <c r="I760" i="25"/>
  <c r="K760" i="25"/>
  <c r="L760" i="25"/>
  <c r="G759" i="25"/>
  <c r="I759" i="25"/>
  <c r="K759" i="25"/>
  <c r="L759" i="25"/>
  <c r="G758" i="25"/>
  <c r="I758" i="25"/>
  <c r="K758" i="25"/>
  <c r="L758" i="25"/>
  <c r="G757" i="25"/>
  <c r="I757" i="25"/>
  <c r="K757" i="25"/>
  <c r="L757" i="25"/>
  <c r="G756" i="25"/>
  <c r="I756" i="25"/>
  <c r="K756" i="25"/>
  <c r="L756" i="25"/>
  <c r="G755" i="25"/>
  <c r="I755" i="25"/>
  <c r="K755" i="25"/>
  <c r="L755" i="25"/>
  <c r="G754" i="25"/>
  <c r="I754" i="25"/>
  <c r="K754" i="25"/>
  <c r="L754" i="25"/>
  <c r="G753" i="25"/>
  <c r="I753" i="25"/>
  <c r="K753" i="25"/>
  <c r="L753" i="25"/>
  <c r="G752" i="25"/>
  <c r="I752" i="25"/>
  <c r="K752" i="25"/>
  <c r="L752" i="25"/>
  <c r="G751" i="25"/>
  <c r="I751" i="25"/>
  <c r="K751" i="25"/>
  <c r="L751" i="25"/>
  <c r="G750" i="25"/>
  <c r="I750" i="25"/>
  <c r="K750" i="25"/>
  <c r="L750" i="25"/>
  <c r="G749" i="25"/>
  <c r="I749" i="25"/>
  <c r="K749" i="25"/>
  <c r="L749" i="25"/>
  <c r="G748" i="25"/>
  <c r="I748" i="25"/>
  <c r="K748" i="25"/>
  <c r="L748" i="25"/>
  <c r="G747" i="25"/>
  <c r="I747" i="25"/>
  <c r="K747" i="25"/>
  <c r="L747" i="25"/>
  <c r="G746" i="25"/>
  <c r="I746" i="25"/>
  <c r="K746" i="25"/>
  <c r="L746" i="25"/>
  <c r="G745" i="25"/>
  <c r="I745" i="25"/>
  <c r="K745" i="25"/>
  <c r="L745" i="25"/>
  <c r="G744" i="25"/>
  <c r="I744" i="25"/>
  <c r="K744" i="25"/>
  <c r="L744" i="25"/>
  <c r="G743" i="25"/>
  <c r="I743" i="25"/>
  <c r="K743" i="25"/>
  <c r="L743" i="25"/>
  <c r="G742" i="25"/>
  <c r="I742" i="25"/>
  <c r="K742" i="25"/>
  <c r="L742" i="25"/>
  <c r="G741" i="25"/>
  <c r="I741" i="25"/>
  <c r="K741" i="25"/>
  <c r="L741" i="25"/>
  <c r="G740" i="25"/>
  <c r="I740" i="25"/>
  <c r="K740" i="25"/>
  <c r="L740" i="25"/>
  <c r="G739" i="25"/>
  <c r="I739" i="25"/>
  <c r="K739" i="25"/>
  <c r="L739" i="25"/>
  <c r="G738" i="25"/>
  <c r="I738" i="25"/>
  <c r="K738" i="25"/>
  <c r="L738" i="25"/>
  <c r="G737" i="25"/>
  <c r="I737" i="25"/>
  <c r="K737" i="25"/>
  <c r="L737" i="25"/>
  <c r="G736" i="25"/>
  <c r="I736" i="25"/>
  <c r="K736" i="25"/>
  <c r="L736" i="25"/>
  <c r="G735" i="25"/>
  <c r="I735" i="25"/>
  <c r="K735" i="25"/>
  <c r="L735" i="25"/>
  <c r="G734" i="25"/>
  <c r="I734" i="25"/>
  <c r="K734" i="25"/>
  <c r="L734" i="25"/>
  <c r="G733" i="25"/>
  <c r="I733" i="25"/>
  <c r="K733" i="25"/>
  <c r="L733" i="25"/>
  <c r="G732" i="25"/>
  <c r="I732" i="25"/>
  <c r="K732" i="25"/>
  <c r="L732" i="25"/>
  <c r="G731" i="25"/>
  <c r="I731" i="25"/>
  <c r="K731" i="25"/>
  <c r="L731" i="25"/>
  <c r="G730" i="25"/>
  <c r="I730" i="25"/>
  <c r="K730" i="25"/>
  <c r="L730" i="25"/>
  <c r="G729" i="25"/>
  <c r="I729" i="25"/>
  <c r="K729" i="25"/>
  <c r="L729" i="25"/>
  <c r="G728" i="25"/>
  <c r="I728" i="25"/>
  <c r="K728" i="25"/>
  <c r="L728" i="25"/>
  <c r="G727" i="25"/>
  <c r="I727" i="25"/>
  <c r="K727" i="25"/>
  <c r="L727" i="25"/>
  <c r="G726" i="25"/>
  <c r="I726" i="25"/>
  <c r="K726" i="25"/>
  <c r="L726" i="25"/>
  <c r="G725" i="25"/>
  <c r="I725" i="25"/>
  <c r="K725" i="25"/>
  <c r="L725" i="25"/>
  <c r="G724" i="25"/>
  <c r="I724" i="25"/>
  <c r="K724" i="25"/>
  <c r="L724" i="25"/>
  <c r="G723" i="25"/>
  <c r="I723" i="25"/>
  <c r="K723" i="25"/>
  <c r="L723" i="25"/>
  <c r="G722" i="25"/>
  <c r="I722" i="25"/>
  <c r="K722" i="25"/>
  <c r="L722" i="25"/>
  <c r="G721" i="25"/>
  <c r="I721" i="25"/>
  <c r="K721" i="25"/>
  <c r="L721" i="25"/>
  <c r="G720" i="25"/>
  <c r="I720" i="25"/>
  <c r="K720" i="25"/>
  <c r="L720" i="25"/>
  <c r="G719" i="25"/>
  <c r="I719" i="25"/>
  <c r="K719" i="25"/>
  <c r="L719" i="25"/>
  <c r="G718" i="25"/>
  <c r="I718" i="25"/>
  <c r="K718" i="25"/>
  <c r="L718" i="25"/>
  <c r="G717" i="25"/>
  <c r="I717" i="25"/>
  <c r="K717" i="25"/>
  <c r="L717" i="25"/>
  <c r="G716" i="25"/>
  <c r="I716" i="25"/>
  <c r="K716" i="25"/>
  <c r="L716" i="25"/>
  <c r="G715" i="25"/>
  <c r="I715" i="25"/>
  <c r="K715" i="25"/>
  <c r="L715" i="25"/>
  <c r="G714" i="25"/>
  <c r="I714" i="25"/>
  <c r="K714" i="25"/>
  <c r="L714" i="25"/>
  <c r="G713" i="25"/>
  <c r="I713" i="25"/>
  <c r="K713" i="25"/>
  <c r="L713" i="25"/>
  <c r="G712" i="25"/>
  <c r="I712" i="25"/>
  <c r="K712" i="25"/>
  <c r="L712" i="25"/>
  <c r="G711" i="25"/>
  <c r="I711" i="25"/>
  <c r="K711" i="25"/>
  <c r="L711" i="25"/>
  <c r="G710" i="25"/>
  <c r="I710" i="25"/>
  <c r="K710" i="25"/>
  <c r="L710" i="25"/>
  <c r="G709" i="25"/>
  <c r="I709" i="25"/>
  <c r="K709" i="25"/>
  <c r="L709" i="25"/>
  <c r="G708" i="25"/>
  <c r="I708" i="25"/>
  <c r="K708" i="25"/>
  <c r="L708" i="25"/>
  <c r="G707" i="25"/>
  <c r="I707" i="25"/>
  <c r="K707" i="25"/>
  <c r="L707" i="25"/>
  <c r="G706" i="25"/>
  <c r="I706" i="25"/>
  <c r="K706" i="25"/>
  <c r="L706" i="25"/>
  <c r="G705" i="25"/>
  <c r="I705" i="25"/>
  <c r="K705" i="25"/>
  <c r="L705" i="25"/>
  <c r="G704" i="25"/>
  <c r="I704" i="25"/>
  <c r="K704" i="25"/>
  <c r="L704" i="25"/>
  <c r="G703" i="25"/>
  <c r="I703" i="25"/>
  <c r="K703" i="25"/>
  <c r="L703" i="25"/>
  <c r="G702" i="25"/>
  <c r="I702" i="25"/>
  <c r="K702" i="25"/>
  <c r="L702" i="25"/>
  <c r="G701" i="25"/>
  <c r="I701" i="25"/>
  <c r="K701" i="25"/>
  <c r="L701" i="25"/>
  <c r="G700" i="25"/>
  <c r="I700" i="25"/>
  <c r="K700" i="25"/>
  <c r="L700" i="25"/>
  <c r="G699" i="25"/>
  <c r="I699" i="25"/>
  <c r="K699" i="25"/>
  <c r="L699" i="25"/>
  <c r="G698" i="25"/>
  <c r="I698" i="25"/>
  <c r="K698" i="25"/>
  <c r="L698" i="25"/>
  <c r="G697" i="25"/>
  <c r="I697" i="25"/>
  <c r="K697" i="25"/>
  <c r="L697" i="25"/>
  <c r="G696" i="25"/>
  <c r="I696" i="25"/>
  <c r="K696" i="25"/>
  <c r="L696" i="25"/>
  <c r="G695" i="25"/>
  <c r="I695" i="25"/>
  <c r="K695" i="25"/>
  <c r="L695" i="25"/>
  <c r="G694" i="25"/>
  <c r="I694" i="25"/>
  <c r="K694" i="25"/>
  <c r="L694" i="25"/>
  <c r="G693" i="25"/>
  <c r="I693" i="25"/>
  <c r="K693" i="25"/>
  <c r="L693" i="25"/>
  <c r="G692" i="25"/>
  <c r="I692" i="25"/>
  <c r="K692" i="25"/>
  <c r="L692" i="25"/>
  <c r="G691" i="25"/>
  <c r="I691" i="25"/>
  <c r="K691" i="25"/>
  <c r="L691" i="25"/>
  <c r="G690" i="25"/>
  <c r="I690" i="25"/>
  <c r="K690" i="25"/>
  <c r="L690" i="25"/>
  <c r="G689" i="25"/>
  <c r="I689" i="25"/>
  <c r="K689" i="25"/>
  <c r="L689" i="25"/>
  <c r="G688" i="25"/>
  <c r="I688" i="25"/>
  <c r="K688" i="25"/>
  <c r="L688" i="25"/>
  <c r="G687" i="25"/>
  <c r="I687" i="25"/>
  <c r="K687" i="25"/>
  <c r="L687" i="25"/>
  <c r="G686" i="25"/>
  <c r="I686" i="25"/>
  <c r="K686" i="25"/>
  <c r="L686" i="25"/>
  <c r="G685" i="25"/>
  <c r="I685" i="25"/>
  <c r="K685" i="25"/>
  <c r="L685" i="25"/>
  <c r="G684" i="25"/>
  <c r="I684" i="25"/>
  <c r="K684" i="25"/>
  <c r="L684" i="25"/>
  <c r="G683" i="25"/>
  <c r="I683" i="25"/>
  <c r="K683" i="25"/>
  <c r="L683" i="25"/>
  <c r="G682" i="25"/>
  <c r="I682" i="25"/>
  <c r="K682" i="25"/>
  <c r="L682" i="25"/>
  <c r="G681" i="25"/>
  <c r="I681" i="25"/>
  <c r="K681" i="25"/>
  <c r="L681" i="25"/>
  <c r="G680" i="25"/>
  <c r="I680" i="25"/>
  <c r="K680" i="25"/>
  <c r="L680" i="25"/>
  <c r="G679" i="25"/>
  <c r="I679" i="25"/>
  <c r="K679" i="25"/>
  <c r="L679" i="25"/>
  <c r="G678" i="25"/>
  <c r="I678" i="25"/>
  <c r="K678" i="25"/>
  <c r="L678" i="25"/>
  <c r="G677" i="25"/>
  <c r="I677" i="25"/>
  <c r="K677" i="25"/>
  <c r="L677" i="25"/>
  <c r="G676" i="25"/>
  <c r="I676" i="25"/>
  <c r="K676" i="25"/>
  <c r="L676" i="25"/>
  <c r="G675" i="25"/>
  <c r="I675" i="25"/>
  <c r="K675" i="25"/>
  <c r="L675" i="25"/>
  <c r="G674" i="25"/>
  <c r="I674" i="25"/>
  <c r="K674" i="25"/>
  <c r="L674" i="25"/>
  <c r="G673" i="25"/>
  <c r="I673" i="25"/>
  <c r="K673" i="25"/>
  <c r="L673" i="25"/>
  <c r="G672" i="25"/>
  <c r="I672" i="25"/>
  <c r="K672" i="25"/>
  <c r="L672" i="25"/>
  <c r="G671" i="25"/>
  <c r="I671" i="25"/>
  <c r="K671" i="25"/>
  <c r="L671" i="25"/>
  <c r="G670" i="25"/>
  <c r="I670" i="25"/>
  <c r="K670" i="25"/>
  <c r="L670" i="25"/>
  <c r="G669" i="25"/>
  <c r="I669" i="25"/>
  <c r="K669" i="25"/>
  <c r="L669" i="25"/>
  <c r="G668" i="25"/>
  <c r="I668" i="25"/>
  <c r="K668" i="25"/>
  <c r="L668" i="25"/>
  <c r="G667" i="25"/>
  <c r="I667" i="25"/>
  <c r="K667" i="25"/>
  <c r="L667" i="25"/>
  <c r="G666" i="25"/>
  <c r="I666" i="25"/>
  <c r="K666" i="25"/>
  <c r="L666" i="25"/>
  <c r="G665" i="25"/>
  <c r="I665" i="25"/>
  <c r="K665" i="25"/>
  <c r="L665" i="25"/>
  <c r="G664" i="25"/>
  <c r="I664" i="25"/>
  <c r="K664" i="25"/>
  <c r="L664" i="25"/>
  <c r="G663" i="25"/>
  <c r="I663" i="25"/>
  <c r="K663" i="25"/>
  <c r="L663" i="25"/>
  <c r="G662" i="25"/>
  <c r="I662" i="25"/>
  <c r="K662" i="25"/>
  <c r="L662" i="25"/>
  <c r="G661" i="25"/>
  <c r="I661" i="25"/>
  <c r="K661" i="25"/>
  <c r="L661" i="25"/>
  <c r="G660" i="25"/>
  <c r="I660" i="25"/>
  <c r="K660" i="25"/>
  <c r="L660" i="25"/>
  <c r="G659" i="25"/>
  <c r="I659" i="25"/>
  <c r="K659" i="25"/>
  <c r="L659" i="25"/>
  <c r="G658" i="25"/>
  <c r="I658" i="25"/>
  <c r="K658" i="25"/>
  <c r="L658" i="25"/>
  <c r="G657" i="25"/>
  <c r="I657" i="25"/>
  <c r="K657" i="25"/>
  <c r="L657" i="25"/>
  <c r="G656" i="25"/>
  <c r="I656" i="25"/>
  <c r="K656" i="25"/>
  <c r="L656" i="25"/>
  <c r="G655" i="25"/>
  <c r="I655" i="25"/>
  <c r="K655" i="25"/>
  <c r="L655" i="25"/>
  <c r="G654" i="25"/>
  <c r="I654" i="25"/>
  <c r="K654" i="25"/>
  <c r="L654" i="25"/>
  <c r="G653" i="25"/>
  <c r="I653" i="25"/>
  <c r="K653" i="25"/>
  <c r="L653" i="25"/>
  <c r="G652" i="25"/>
  <c r="I652" i="25"/>
  <c r="K652" i="25"/>
  <c r="L652" i="25"/>
  <c r="G651" i="25"/>
  <c r="I651" i="25"/>
  <c r="K651" i="25"/>
  <c r="L651" i="25"/>
  <c r="G650" i="25"/>
  <c r="I650" i="25"/>
  <c r="K650" i="25"/>
  <c r="L650" i="25"/>
  <c r="G649" i="25"/>
  <c r="I649" i="25"/>
  <c r="K649" i="25"/>
  <c r="L649" i="25"/>
  <c r="G648" i="25"/>
  <c r="I648" i="25"/>
  <c r="K648" i="25"/>
  <c r="L648" i="25"/>
  <c r="G647" i="25"/>
  <c r="I647" i="25"/>
  <c r="K647" i="25"/>
  <c r="L647" i="25"/>
  <c r="G646" i="25"/>
  <c r="I646" i="25"/>
  <c r="K646" i="25"/>
  <c r="L646" i="25"/>
  <c r="G645" i="25"/>
  <c r="I645" i="25"/>
  <c r="K645" i="25"/>
  <c r="L645" i="25"/>
  <c r="G644" i="25"/>
  <c r="I644" i="25"/>
  <c r="K644" i="25"/>
  <c r="L644" i="25"/>
  <c r="G643" i="25"/>
  <c r="I643" i="25"/>
  <c r="K643" i="25"/>
  <c r="L643" i="25"/>
  <c r="G642" i="25"/>
  <c r="I642" i="25"/>
  <c r="K642" i="25"/>
  <c r="L642" i="25"/>
  <c r="G641" i="25"/>
  <c r="I641" i="25"/>
  <c r="K641" i="25"/>
  <c r="L641" i="25"/>
  <c r="G640" i="25"/>
  <c r="I640" i="25"/>
  <c r="K640" i="25"/>
  <c r="L640" i="25"/>
  <c r="G639" i="25"/>
  <c r="I639" i="25"/>
  <c r="K639" i="25"/>
  <c r="L639" i="25"/>
  <c r="G638" i="25"/>
  <c r="I638" i="25"/>
  <c r="K638" i="25"/>
  <c r="L638" i="25"/>
  <c r="G637" i="25"/>
  <c r="I637" i="25"/>
  <c r="K637" i="25"/>
  <c r="L637" i="25"/>
  <c r="G636" i="25"/>
  <c r="I636" i="25"/>
  <c r="K636" i="25"/>
  <c r="L636" i="25"/>
  <c r="G635" i="25"/>
  <c r="I635" i="25"/>
  <c r="K635" i="25"/>
  <c r="L635" i="25"/>
  <c r="G634" i="25"/>
  <c r="I634" i="25"/>
  <c r="K634" i="25"/>
  <c r="L634" i="25"/>
  <c r="G633" i="25"/>
  <c r="I633" i="25"/>
  <c r="K633" i="25"/>
  <c r="L633" i="25"/>
  <c r="G632" i="25"/>
  <c r="I632" i="25"/>
  <c r="K632" i="25"/>
  <c r="L632" i="25"/>
  <c r="G631" i="25"/>
  <c r="I631" i="25"/>
  <c r="K631" i="25"/>
  <c r="L631" i="25"/>
  <c r="G630" i="25"/>
  <c r="I630" i="25"/>
  <c r="K630" i="25"/>
  <c r="L630" i="25"/>
  <c r="G629" i="25"/>
  <c r="I629" i="25"/>
  <c r="K629" i="25"/>
  <c r="L629" i="25"/>
  <c r="G628" i="25"/>
  <c r="I628" i="25"/>
  <c r="K628" i="25"/>
  <c r="L628" i="25"/>
  <c r="G627" i="25"/>
  <c r="I627" i="25"/>
  <c r="K627" i="25"/>
  <c r="L627" i="25"/>
  <c r="G626" i="25"/>
  <c r="I626" i="25"/>
  <c r="K626" i="25"/>
  <c r="L626" i="25"/>
  <c r="G625" i="25"/>
  <c r="I625" i="25"/>
  <c r="K625" i="25"/>
  <c r="L625" i="25"/>
  <c r="G624" i="25"/>
  <c r="I624" i="25"/>
  <c r="K624" i="25"/>
  <c r="L624" i="25"/>
  <c r="G623" i="25"/>
  <c r="I623" i="25"/>
  <c r="K623" i="25"/>
  <c r="L623" i="25"/>
  <c r="G622" i="25"/>
  <c r="I622" i="25"/>
  <c r="K622" i="25"/>
  <c r="L622" i="25"/>
  <c r="G621" i="25"/>
  <c r="I621" i="25"/>
  <c r="K621" i="25"/>
  <c r="L621" i="25"/>
  <c r="G620" i="25"/>
  <c r="I620" i="25"/>
  <c r="K620" i="25"/>
  <c r="L620" i="25"/>
  <c r="G619" i="25"/>
  <c r="I619" i="25"/>
  <c r="K619" i="25"/>
  <c r="L619" i="25"/>
  <c r="G618" i="25"/>
  <c r="I618" i="25"/>
  <c r="K618" i="25"/>
  <c r="L618" i="25"/>
  <c r="G617" i="25"/>
  <c r="I617" i="25"/>
  <c r="K617" i="25"/>
  <c r="L617" i="25"/>
  <c r="G616" i="25"/>
  <c r="I616" i="25"/>
  <c r="K616" i="25"/>
  <c r="L616" i="25"/>
  <c r="G615" i="25"/>
  <c r="I615" i="25"/>
  <c r="K615" i="25"/>
  <c r="L615" i="25"/>
  <c r="G614" i="25"/>
  <c r="I614" i="25"/>
  <c r="K614" i="25"/>
  <c r="L614" i="25"/>
  <c r="G613" i="25"/>
  <c r="I613" i="25"/>
  <c r="K613" i="25"/>
  <c r="L613" i="25"/>
  <c r="G612" i="25"/>
  <c r="I612" i="25"/>
  <c r="K612" i="25"/>
  <c r="L612" i="25"/>
  <c r="G611" i="25"/>
  <c r="I611" i="25"/>
  <c r="K611" i="25"/>
  <c r="L611" i="25"/>
  <c r="G610" i="25"/>
  <c r="I610" i="25"/>
  <c r="K610" i="25"/>
  <c r="L610" i="25"/>
  <c r="G609" i="25"/>
  <c r="I609" i="25"/>
  <c r="K609" i="25"/>
  <c r="L609" i="25"/>
  <c r="G608" i="25"/>
  <c r="I608" i="25"/>
  <c r="K608" i="25"/>
  <c r="L608" i="25"/>
  <c r="G607" i="25"/>
  <c r="I607" i="25"/>
  <c r="K607" i="25"/>
  <c r="L607" i="25"/>
  <c r="G606" i="25"/>
  <c r="I606" i="25"/>
  <c r="K606" i="25"/>
  <c r="L606" i="25"/>
  <c r="G605" i="25"/>
  <c r="I605" i="25"/>
  <c r="K605" i="25"/>
  <c r="L605" i="25"/>
  <c r="G604" i="25"/>
  <c r="I604" i="25"/>
  <c r="K604" i="25"/>
  <c r="L604" i="25"/>
  <c r="G603" i="25"/>
  <c r="I603" i="25"/>
  <c r="K603" i="25"/>
  <c r="L603" i="25"/>
  <c r="G602" i="25"/>
  <c r="I602" i="25"/>
  <c r="K602" i="25"/>
  <c r="L602" i="25"/>
  <c r="G601" i="25"/>
  <c r="I601" i="25"/>
  <c r="K601" i="25"/>
  <c r="L601" i="25"/>
  <c r="G600" i="25"/>
  <c r="I600" i="25"/>
  <c r="K600" i="25"/>
  <c r="L600" i="25"/>
  <c r="G599" i="25"/>
  <c r="I599" i="25"/>
  <c r="K599" i="25"/>
  <c r="L599" i="25"/>
  <c r="G598" i="25"/>
  <c r="I598" i="25"/>
  <c r="K598" i="25"/>
  <c r="L598" i="25"/>
  <c r="G597" i="25"/>
  <c r="I597" i="25"/>
  <c r="K597" i="25"/>
  <c r="L597" i="25"/>
  <c r="G596" i="25"/>
  <c r="I596" i="25"/>
  <c r="K596" i="25"/>
  <c r="L596" i="25"/>
  <c r="G595" i="25"/>
  <c r="I595" i="25"/>
  <c r="K595" i="25"/>
  <c r="L595" i="25"/>
  <c r="G594" i="25"/>
  <c r="I594" i="25"/>
  <c r="K594" i="25"/>
  <c r="L594" i="25"/>
  <c r="G593" i="25"/>
  <c r="I593" i="25"/>
  <c r="K593" i="25"/>
  <c r="L593" i="25"/>
  <c r="G592" i="25"/>
  <c r="I592" i="25"/>
  <c r="K592" i="25"/>
  <c r="L592" i="25"/>
  <c r="G591" i="25"/>
  <c r="I591" i="25"/>
  <c r="K591" i="25"/>
  <c r="L591" i="25"/>
  <c r="G590" i="25"/>
  <c r="I590" i="25"/>
  <c r="K590" i="25"/>
  <c r="L590" i="25"/>
  <c r="G589" i="25"/>
  <c r="I589" i="25"/>
  <c r="K589" i="25"/>
  <c r="L589" i="25"/>
  <c r="G588" i="25"/>
  <c r="I588" i="25"/>
  <c r="K588" i="25"/>
  <c r="L588" i="25"/>
  <c r="G587" i="25"/>
  <c r="I587" i="25"/>
  <c r="K587" i="25"/>
  <c r="L587" i="25"/>
  <c r="G586" i="25"/>
  <c r="I586" i="25"/>
  <c r="K586" i="25"/>
  <c r="L586" i="25"/>
  <c r="G585" i="25"/>
  <c r="I585" i="25"/>
  <c r="K585" i="25"/>
  <c r="L585" i="25"/>
  <c r="G584" i="25"/>
  <c r="I584" i="25"/>
  <c r="K584" i="25"/>
  <c r="L584" i="25"/>
  <c r="G583" i="25"/>
  <c r="I583" i="25"/>
  <c r="K583" i="25"/>
  <c r="L583" i="25"/>
  <c r="G582" i="25"/>
  <c r="I582" i="25"/>
  <c r="K582" i="25"/>
  <c r="L582" i="25"/>
  <c r="G581" i="25"/>
  <c r="I581" i="25"/>
  <c r="K581" i="25"/>
  <c r="L581" i="25"/>
  <c r="G580" i="25"/>
  <c r="I580" i="25"/>
  <c r="K580" i="25"/>
  <c r="L580" i="25"/>
  <c r="G579" i="25"/>
  <c r="I579" i="25"/>
  <c r="K579" i="25"/>
  <c r="L579" i="25"/>
  <c r="G578" i="25"/>
  <c r="I578" i="25"/>
  <c r="K578" i="25"/>
  <c r="L578" i="25"/>
  <c r="G577" i="25"/>
  <c r="I577" i="25"/>
  <c r="K577" i="25"/>
  <c r="L577" i="25"/>
  <c r="G576" i="25"/>
  <c r="I576" i="25"/>
  <c r="K576" i="25"/>
  <c r="L576" i="25"/>
  <c r="G575" i="25"/>
  <c r="I575" i="25"/>
  <c r="K575" i="25"/>
  <c r="L575" i="25"/>
  <c r="G574" i="25"/>
  <c r="I574" i="25"/>
  <c r="K574" i="25"/>
  <c r="L574" i="25"/>
  <c r="G573" i="25"/>
  <c r="I573" i="25"/>
  <c r="K573" i="25"/>
  <c r="L573" i="25"/>
  <c r="G572" i="25"/>
  <c r="I572" i="25"/>
  <c r="K572" i="25"/>
  <c r="L572" i="25"/>
  <c r="G571" i="25"/>
  <c r="I571" i="25"/>
  <c r="K571" i="25"/>
  <c r="L571" i="25"/>
  <c r="G570" i="25"/>
  <c r="I570" i="25"/>
  <c r="K570" i="25"/>
  <c r="L570" i="25"/>
  <c r="G569" i="25"/>
  <c r="I569" i="25"/>
  <c r="K569" i="25"/>
  <c r="L569" i="25"/>
  <c r="G568" i="25"/>
  <c r="I568" i="25"/>
  <c r="K568" i="25"/>
  <c r="L568" i="25"/>
  <c r="G567" i="25"/>
  <c r="I567" i="25"/>
  <c r="K567" i="25"/>
  <c r="L567" i="25"/>
  <c r="G566" i="25"/>
  <c r="I566" i="25"/>
  <c r="K566" i="25"/>
  <c r="L566" i="25"/>
  <c r="G565" i="25"/>
  <c r="I565" i="25"/>
  <c r="K565" i="25"/>
  <c r="L565" i="25"/>
  <c r="G564" i="25"/>
  <c r="I564" i="25"/>
  <c r="K564" i="25"/>
  <c r="L564" i="25"/>
  <c r="G563" i="25"/>
  <c r="I563" i="25"/>
  <c r="K563" i="25"/>
  <c r="L563" i="25"/>
  <c r="G562" i="25"/>
  <c r="I562" i="25"/>
  <c r="K562" i="25"/>
  <c r="L562" i="25"/>
  <c r="G561" i="25"/>
  <c r="I561" i="25"/>
  <c r="K561" i="25"/>
  <c r="L561" i="25"/>
  <c r="G560" i="25"/>
  <c r="I560" i="25"/>
  <c r="K560" i="25"/>
  <c r="L560" i="25"/>
  <c r="G559" i="25"/>
  <c r="I559" i="25"/>
  <c r="K559" i="25"/>
  <c r="L559" i="25"/>
  <c r="G558" i="25"/>
  <c r="I558" i="25"/>
  <c r="K558" i="25"/>
  <c r="L558" i="25"/>
  <c r="G557" i="25"/>
  <c r="I557" i="25"/>
  <c r="K557" i="25"/>
  <c r="L557" i="25"/>
  <c r="G556" i="25"/>
  <c r="I556" i="25"/>
  <c r="K556" i="25"/>
  <c r="L556" i="25"/>
  <c r="G555" i="25"/>
  <c r="I555" i="25"/>
  <c r="K555" i="25"/>
  <c r="L555" i="25"/>
  <c r="G554" i="25"/>
  <c r="I554" i="25"/>
  <c r="K554" i="25"/>
  <c r="L554" i="25"/>
  <c r="G553" i="25"/>
  <c r="I553" i="25"/>
  <c r="K553" i="25"/>
  <c r="L553" i="25"/>
  <c r="G552" i="25"/>
  <c r="I552" i="25"/>
  <c r="K552" i="25"/>
  <c r="L552" i="25"/>
  <c r="G551" i="25"/>
  <c r="I551" i="25"/>
  <c r="K551" i="25"/>
  <c r="L551" i="25"/>
  <c r="G550" i="25"/>
  <c r="I550" i="25"/>
  <c r="K550" i="25"/>
  <c r="L550" i="25"/>
  <c r="G549" i="25"/>
  <c r="I549" i="25"/>
  <c r="K549" i="25"/>
  <c r="L549" i="25"/>
  <c r="G548" i="25"/>
  <c r="I548" i="25"/>
  <c r="K548" i="25"/>
  <c r="L548" i="25"/>
  <c r="G547" i="25"/>
  <c r="I547" i="25"/>
  <c r="K547" i="25"/>
  <c r="L547" i="25"/>
  <c r="G546" i="25"/>
  <c r="I546" i="25"/>
  <c r="K546" i="25"/>
  <c r="L546" i="25"/>
  <c r="G545" i="25"/>
  <c r="I545" i="25"/>
  <c r="K545" i="25"/>
  <c r="L545" i="25"/>
  <c r="G544" i="25"/>
  <c r="I544" i="25"/>
  <c r="K544" i="25"/>
  <c r="L544" i="25"/>
  <c r="G543" i="25"/>
  <c r="I543" i="25"/>
  <c r="K543" i="25"/>
  <c r="L543" i="25"/>
  <c r="G542" i="25"/>
  <c r="I542" i="25"/>
  <c r="K542" i="25"/>
  <c r="L542" i="25"/>
  <c r="G541" i="25"/>
  <c r="I541" i="25"/>
  <c r="K541" i="25"/>
  <c r="L541" i="25"/>
  <c r="G540" i="25"/>
  <c r="I540" i="25"/>
  <c r="K540" i="25"/>
  <c r="L540" i="25"/>
  <c r="G539" i="25"/>
  <c r="I539" i="25"/>
  <c r="K539" i="25"/>
  <c r="L539" i="25"/>
  <c r="G538" i="25"/>
  <c r="I538" i="25"/>
  <c r="K538" i="25"/>
  <c r="L538" i="25"/>
  <c r="G537" i="25"/>
  <c r="I537" i="25"/>
  <c r="K537" i="25"/>
  <c r="L537" i="25"/>
  <c r="G536" i="25"/>
  <c r="I536" i="25"/>
  <c r="K536" i="25"/>
  <c r="L536" i="25"/>
  <c r="G535" i="25"/>
  <c r="I535" i="25"/>
  <c r="K535" i="25"/>
  <c r="L535" i="25"/>
  <c r="G534" i="25"/>
  <c r="I534" i="25"/>
  <c r="K534" i="25"/>
  <c r="L534" i="25"/>
  <c r="G533" i="25"/>
  <c r="I533" i="25"/>
  <c r="K533" i="25"/>
  <c r="L533" i="25"/>
  <c r="G532" i="25"/>
  <c r="I532" i="25"/>
  <c r="K532" i="25"/>
  <c r="L532" i="25"/>
  <c r="G531" i="25"/>
  <c r="I531" i="25"/>
  <c r="K531" i="25"/>
  <c r="L531" i="25"/>
  <c r="G530" i="25"/>
  <c r="I530" i="25"/>
  <c r="K530" i="25"/>
  <c r="L530" i="25"/>
  <c r="G529" i="25"/>
  <c r="I529" i="25"/>
  <c r="K529" i="25"/>
  <c r="L529" i="25"/>
  <c r="G528" i="25"/>
  <c r="I528" i="25"/>
  <c r="K528" i="25"/>
  <c r="L528" i="25"/>
  <c r="G527" i="25"/>
  <c r="I527" i="25"/>
  <c r="K527" i="25"/>
  <c r="L527" i="25"/>
  <c r="G526" i="25"/>
  <c r="I526" i="25"/>
  <c r="K526" i="25"/>
  <c r="L526" i="25"/>
  <c r="G525" i="25"/>
  <c r="I525" i="25"/>
  <c r="K525" i="25"/>
  <c r="L525" i="25"/>
  <c r="G524" i="25"/>
  <c r="I524" i="25"/>
  <c r="K524" i="25"/>
  <c r="L524" i="25"/>
  <c r="G523" i="25"/>
  <c r="I523" i="25"/>
  <c r="K523" i="25"/>
  <c r="L523" i="25"/>
  <c r="G522" i="25"/>
  <c r="I522" i="25"/>
  <c r="K522" i="25"/>
  <c r="L522" i="25"/>
  <c r="G521" i="25"/>
  <c r="I521" i="25"/>
  <c r="K521" i="25"/>
  <c r="L521" i="25"/>
  <c r="G520" i="25"/>
  <c r="I520" i="25"/>
  <c r="K520" i="25"/>
  <c r="L520" i="25"/>
  <c r="G519" i="25"/>
  <c r="I519" i="25"/>
  <c r="K519" i="25"/>
  <c r="L519" i="25"/>
  <c r="G518" i="25"/>
  <c r="I518" i="25"/>
  <c r="K518" i="25"/>
  <c r="L518" i="25"/>
  <c r="G517" i="25"/>
  <c r="I517" i="25"/>
  <c r="K517" i="25"/>
  <c r="L517" i="25"/>
  <c r="G516" i="25"/>
  <c r="I516" i="25"/>
  <c r="K516" i="25"/>
  <c r="L516" i="25"/>
  <c r="G515" i="25"/>
  <c r="I515" i="25"/>
  <c r="K515" i="25"/>
  <c r="L515" i="25"/>
  <c r="G514" i="25"/>
  <c r="I514" i="25"/>
  <c r="K514" i="25"/>
  <c r="L514" i="25"/>
  <c r="G513" i="25"/>
  <c r="I513" i="25"/>
  <c r="K513" i="25"/>
  <c r="L513" i="25"/>
  <c r="G512" i="25"/>
  <c r="I512" i="25"/>
  <c r="K512" i="25"/>
  <c r="L512" i="25"/>
  <c r="G511" i="25"/>
  <c r="I511" i="25"/>
  <c r="K511" i="25"/>
  <c r="L511" i="25"/>
  <c r="G510" i="25"/>
  <c r="I510" i="25"/>
  <c r="K510" i="25"/>
  <c r="L510" i="25"/>
  <c r="G509" i="25"/>
  <c r="I509" i="25"/>
  <c r="K509" i="25"/>
  <c r="L509" i="25"/>
  <c r="G508" i="25"/>
  <c r="I508" i="25"/>
  <c r="K508" i="25"/>
  <c r="L508" i="25"/>
  <c r="G507" i="25"/>
  <c r="I507" i="25"/>
  <c r="K507" i="25"/>
  <c r="L507" i="25"/>
  <c r="G506" i="25"/>
  <c r="I506" i="25"/>
  <c r="K506" i="25"/>
  <c r="L506" i="25"/>
  <c r="G505" i="25"/>
  <c r="I505" i="25"/>
  <c r="K505" i="25"/>
  <c r="L505" i="25"/>
  <c r="G504" i="25"/>
  <c r="I504" i="25"/>
  <c r="K504" i="25"/>
  <c r="L504" i="25"/>
  <c r="G503" i="25"/>
  <c r="I503" i="25"/>
  <c r="K503" i="25"/>
  <c r="L503" i="25"/>
  <c r="G502" i="25"/>
  <c r="I502" i="25"/>
  <c r="K502" i="25"/>
  <c r="L502" i="25"/>
  <c r="G501" i="25"/>
  <c r="I501" i="25"/>
  <c r="K501" i="25"/>
  <c r="L501" i="25"/>
  <c r="G500" i="25"/>
  <c r="I500" i="25"/>
  <c r="K500" i="25"/>
  <c r="L500" i="25"/>
  <c r="G499" i="25"/>
  <c r="I499" i="25"/>
  <c r="K499" i="25"/>
  <c r="L499" i="25"/>
  <c r="G498" i="25"/>
  <c r="I498" i="25"/>
  <c r="K498" i="25"/>
  <c r="L498" i="25"/>
  <c r="G497" i="25"/>
  <c r="I497" i="25"/>
  <c r="K497" i="25"/>
  <c r="L497" i="25"/>
  <c r="G496" i="25"/>
  <c r="I496" i="25"/>
  <c r="K496" i="25"/>
  <c r="L496" i="25"/>
  <c r="G495" i="25"/>
  <c r="I495" i="25"/>
  <c r="K495" i="25"/>
  <c r="L495" i="25"/>
  <c r="G494" i="25"/>
  <c r="I494" i="25"/>
  <c r="K494" i="25"/>
  <c r="L494" i="25"/>
  <c r="G493" i="25"/>
  <c r="I493" i="25"/>
  <c r="K493" i="25"/>
  <c r="L493" i="25"/>
  <c r="G492" i="25"/>
  <c r="I492" i="25"/>
  <c r="K492" i="25"/>
  <c r="L492" i="25"/>
  <c r="G491" i="25"/>
  <c r="I491" i="25"/>
  <c r="K491" i="25"/>
  <c r="L491" i="25"/>
  <c r="G490" i="25"/>
  <c r="I490" i="25"/>
  <c r="K490" i="25"/>
  <c r="L490" i="25"/>
  <c r="G489" i="25"/>
  <c r="I489" i="25"/>
  <c r="K489" i="25"/>
  <c r="L489" i="25"/>
  <c r="G488" i="25"/>
  <c r="I488" i="25"/>
  <c r="K488" i="25"/>
  <c r="L488" i="25"/>
  <c r="G487" i="25"/>
  <c r="I487" i="25"/>
  <c r="K487" i="25"/>
  <c r="L487" i="25"/>
  <c r="G486" i="25"/>
  <c r="I486" i="25"/>
  <c r="K486" i="25"/>
  <c r="L486" i="25"/>
  <c r="G485" i="25"/>
  <c r="I485" i="25"/>
  <c r="K485" i="25"/>
  <c r="L485" i="25"/>
  <c r="G484" i="25"/>
  <c r="I484" i="25"/>
  <c r="K484" i="25"/>
  <c r="L484" i="25"/>
  <c r="G483" i="25"/>
  <c r="I483" i="25"/>
  <c r="K483" i="25"/>
  <c r="L483" i="25"/>
  <c r="G482" i="25"/>
  <c r="I482" i="25"/>
  <c r="K482" i="25"/>
  <c r="L482" i="25"/>
  <c r="G481" i="25"/>
  <c r="I481" i="25"/>
  <c r="K481" i="25"/>
  <c r="L481" i="25"/>
  <c r="G480" i="25"/>
  <c r="I480" i="25"/>
  <c r="K480" i="25"/>
  <c r="L480" i="25"/>
  <c r="G479" i="25"/>
  <c r="I479" i="25"/>
  <c r="K479" i="25"/>
  <c r="L479" i="25"/>
  <c r="G478" i="25"/>
  <c r="I478" i="25"/>
  <c r="K478" i="25"/>
  <c r="L478" i="25"/>
  <c r="G477" i="25"/>
  <c r="I477" i="25"/>
  <c r="K477" i="25"/>
  <c r="L477" i="25"/>
  <c r="G476" i="25"/>
  <c r="I476" i="25"/>
  <c r="K476" i="25"/>
  <c r="L476" i="25"/>
  <c r="G475" i="25"/>
  <c r="I475" i="25"/>
  <c r="K475" i="25"/>
  <c r="L475" i="25"/>
  <c r="G474" i="25"/>
  <c r="I474" i="25"/>
  <c r="K474" i="25"/>
  <c r="L474" i="25"/>
  <c r="G473" i="25"/>
  <c r="I473" i="25"/>
  <c r="K473" i="25"/>
  <c r="L473" i="25"/>
  <c r="G472" i="25"/>
  <c r="I472" i="25"/>
  <c r="K472" i="25"/>
  <c r="L472" i="25"/>
  <c r="G471" i="25"/>
  <c r="I471" i="25"/>
  <c r="K471" i="25"/>
  <c r="L471" i="25"/>
  <c r="G470" i="25"/>
  <c r="I470" i="25"/>
  <c r="K470" i="25"/>
  <c r="L470" i="25"/>
  <c r="G469" i="25"/>
  <c r="I469" i="25"/>
  <c r="K469" i="25"/>
  <c r="L469" i="25"/>
  <c r="G468" i="25"/>
  <c r="I468" i="25"/>
  <c r="K468" i="25"/>
  <c r="L468" i="25"/>
  <c r="G467" i="25"/>
  <c r="I467" i="25"/>
  <c r="K467" i="25"/>
  <c r="L467" i="25"/>
  <c r="G466" i="25"/>
  <c r="I466" i="25"/>
  <c r="K466" i="25"/>
  <c r="L466" i="25"/>
  <c r="G465" i="25"/>
  <c r="I465" i="25"/>
  <c r="K465" i="25"/>
  <c r="L465" i="25"/>
  <c r="G464" i="25"/>
  <c r="I464" i="25"/>
  <c r="K464" i="25"/>
  <c r="L464" i="25"/>
  <c r="G463" i="25"/>
  <c r="I463" i="25"/>
  <c r="K463" i="25"/>
  <c r="L463" i="25"/>
  <c r="G462" i="25"/>
  <c r="I462" i="25"/>
  <c r="K462" i="25"/>
  <c r="L462" i="25"/>
  <c r="G461" i="25"/>
  <c r="I461" i="25"/>
  <c r="K461" i="25"/>
  <c r="L461" i="25"/>
  <c r="G460" i="25"/>
  <c r="I460" i="25"/>
  <c r="K460" i="25"/>
  <c r="L460" i="25"/>
  <c r="G459" i="25"/>
  <c r="I459" i="25"/>
  <c r="K459" i="25"/>
  <c r="L459" i="25"/>
  <c r="G458" i="25"/>
  <c r="I458" i="25"/>
  <c r="K458" i="25"/>
  <c r="L458" i="25"/>
  <c r="G457" i="25"/>
  <c r="I457" i="25"/>
  <c r="K457" i="25"/>
  <c r="L457" i="25"/>
  <c r="G456" i="25"/>
  <c r="I456" i="25"/>
  <c r="K456" i="25"/>
  <c r="L456" i="25"/>
  <c r="G455" i="25"/>
  <c r="I455" i="25"/>
  <c r="K455" i="25"/>
  <c r="L455" i="25"/>
  <c r="G454" i="25"/>
  <c r="I454" i="25"/>
  <c r="K454" i="25"/>
  <c r="L454" i="25"/>
  <c r="G453" i="25"/>
  <c r="I453" i="25"/>
  <c r="K453" i="25"/>
  <c r="L453" i="25"/>
  <c r="G452" i="25"/>
  <c r="I452" i="25"/>
  <c r="K452" i="25"/>
  <c r="L452" i="25"/>
  <c r="G451" i="25"/>
  <c r="I451" i="25"/>
  <c r="K451" i="25"/>
  <c r="L451" i="25"/>
  <c r="G450" i="25"/>
  <c r="I450" i="25"/>
  <c r="K450" i="25"/>
  <c r="L450" i="25"/>
  <c r="G449" i="25"/>
  <c r="I449" i="25"/>
  <c r="K449" i="25"/>
  <c r="L449" i="25"/>
  <c r="G448" i="25"/>
  <c r="I448" i="25"/>
  <c r="K448" i="25"/>
  <c r="L448" i="25"/>
  <c r="G447" i="25"/>
  <c r="I447" i="25"/>
  <c r="K447" i="25"/>
  <c r="L447" i="25"/>
  <c r="G446" i="25"/>
  <c r="I446" i="25"/>
  <c r="K446" i="25"/>
  <c r="L446" i="25"/>
  <c r="G445" i="25"/>
  <c r="I445" i="25"/>
  <c r="K445" i="25"/>
  <c r="L445" i="25"/>
  <c r="G444" i="25"/>
  <c r="I444" i="25"/>
  <c r="K444" i="25"/>
  <c r="L444" i="25"/>
  <c r="G443" i="25"/>
  <c r="I443" i="25"/>
  <c r="K443" i="25"/>
  <c r="L443" i="25"/>
  <c r="G442" i="25"/>
  <c r="I442" i="25"/>
  <c r="K442" i="25"/>
  <c r="L442" i="25"/>
  <c r="G441" i="25"/>
  <c r="I441" i="25"/>
  <c r="K441" i="25"/>
  <c r="L441" i="25"/>
  <c r="G440" i="25"/>
  <c r="I440" i="25"/>
  <c r="K440" i="25"/>
  <c r="L440" i="25"/>
  <c r="G439" i="25"/>
  <c r="I439" i="25"/>
  <c r="K439" i="25"/>
  <c r="L439" i="25"/>
  <c r="G438" i="25"/>
  <c r="I438" i="25"/>
  <c r="K438" i="25"/>
  <c r="L438" i="25"/>
  <c r="G437" i="25"/>
  <c r="I437" i="25"/>
  <c r="K437" i="25"/>
  <c r="L437" i="25"/>
  <c r="G436" i="25"/>
  <c r="I436" i="25"/>
  <c r="K436" i="25"/>
  <c r="L436" i="25"/>
  <c r="G435" i="25"/>
  <c r="I435" i="25"/>
  <c r="K435" i="25"/>
  <c r="L435" i="25"/>
  <c r="G434" i="25"/>
  <c r="I434" i="25"/>
  <c r="K434" i="25"/>
  <c r="L434" i="25"/>
  <c r="G433" i="25"/>
  <c r="I433" i="25"/>
  <c r="K433" i="25"/>
  <c r="L433" i="25"/>
  <c r="G432" i="25"/>
  <c r="I432" i="25"/>
  <c r="K432" i="25"/>
  <c r="L432" i="25"/>
  <c r="G431" i="25"/>
  <c r="I431" i="25"/>
  <c r="K431" i="25"/>
  <c r="L431" i="25"/>
  <c r="G430" i="25"/>
  <c r="I430" i="25"/>
  <c r="K430" i="25"/>
  <c r="L430" i="25"/>
  <c r="G429" i="25"/>
  <c r="I429" i="25"/>
  <c r="K429" i="25"/>
  <c r="L429" i="25"/>
  <c r="G428" i="25"/>
  <c r="I428" i="25"/>
  <c r="K428" i="25"/>
  <c r="L428" i="25"/>
  <c r="G427" i="25"/>
  <c r="I427" i="25"/>
  <c r="K427" i="25"/>
  <c r="L427" i="25"/>
  <c r="G426" i="25"/>
  <c r="I426" i="25"/>
  <c r="K426" i="25"/>
  <c r="L426" i="25"/>
  <c r="G425" i="25"/>
  <c r="I425" i="25"/>
  <c r="K425" i="25"/>
  <c r="L425" i="25"/>
  <c r="G424" i="25"/>
  <c r="I424" i="25"/>
  <c r="K424" i="25"/>
  <c r="L424" i="25"/>
  <c r="G423" i="25"/>
  <c r="I423" i="25"/>
  <c r="K423" i="25"/>
  <c r="L423" i="25"/>
  <c r="G422" i="25"/>
  <c r="I422" i="25"/>
  <c r="K422" i="25"/>
  <c r="L422" i="25"/>
  <c r="G421" i="25"/>
  <c r="I421" i="25"/>
  <c r="K421" i="25"/>
  <c r="L421" i="25"/>
  <c r="G420" i="25"/>
  <c r="I420" i="25"/>
  <c r="K420" i="25"/>
  <c r="L420" i="25"/>
  <c r="G419" i="25"/>
  <c r="I419" i="25"/>
  <c r="K419" i="25"/>
  <c r="L419" i="25"/>
  <c r="G418" i="25"/>
  <c r="I418" i="25"/>
  <c r="K418" i="25"/>
  <c r="L418" i="25"/>
  <c r="G417" i="25"/>
  <c r="I417" i="25"/>
  <c r="K417" i="25"/>
  <c r="L417" i="25"/>
  <c r="G416" i="25"/>
  <c r="I416" i="25"/>
  <c r="K416" i="25"/>
  <c r="L416" i="25"/>
  <c r="G415" i="25"/>
  <c r="I415" i="25"/>
  <c r="K415" i="25"/>
  <c r="L415" i="25"/>
  <c r="G414" i="25"/>
  <c r="I414" i="25"/>
  <c r="K414" i="25"/>
  <c r="L414" i="25"/>
  <c r="G413" i="25"/>
  <c r="I413" i="25"/>
  <c r="K413" i="25"/>
  <c r="L413" i="25"/>
  <c r="G412" i="25"/>
  <c r="I412" i="25"/>
  <c r="K412" i="25"/>
  <c r="L412" i="25"/>
  <c r="G411" i="25"/>
  <c r="I411" i="25"/>
  <c r="K411" i="25"/>
  <c r="L411" i="25"/>
  <c r="G410" i="25"/>
  <c r="I410" i="25"/>
  <c r="K410" i="25"/>
  <c r="L410" i="25"/>
  <c r="G409" i="25"/>
  <c r="I409" i="25"/>
  <c r="K409" i="25"/>
  <c r="L409" i="25"/>
  <c r="G408" i="25"/>
  <c r="I408" i="25"/>
  <c r="K408" i="25"/>
  <c r="L408" i="25"/>
  <c r="G407" i="25"/>
  <c r="I407" i="25"/>
  <c r="K407" i="25"/>
  <c r="L407" i="25"/>
  <c r="G406" i="25"/>
  <c r="I406" i="25"/>
  <c r="K406" i="25"/>
  <c r="L406" i="25"/>
  <c r="G405" i="25"/>
  <c r="I405" i="25"/>
  <c r="K405" i="25"/>
  <c r="L405" i="25"/>
  <c r="G404" i="25"/>
  <c r="I404" i="25"/>
  <c r="K404" i="25"/>
  <c r="L404" i="25"/>
  <c r="G403" i="25"/>
  <c r="I403" i="25"/>
  <c r="K403" i="25"/>
  <c r="L403" i="25"/>
  <c r="G402" i="25"/>
  <c r="I402" i="25"/>
  <c r="K402" i="25"/>
  <c r="L402" i="25"/>
  <c r="G401" i="25"/>
  <c r="I401" i="25"/>
  <c r="K401" i="25"/>
  <c r="L401" i="25"/>
  <c r="G400" i="25"/>
  <c r="I400" i="25"/>
  <c r="K400" i="25"/>
  <c r="L400" i="25"/>
  <c r="G399" i="25"/>
  <c r="I399" i="25"/>
  <c r="K399" i="25"/>
  <c r="L399" i="25"/>
  <c r="G398" i="25"/>
  <c r="I398" i="25"/>
  <c r="K398" i="25"/>
  <c r="L398" i="25"/>
  <c r="G397" i="25"/>
  <c r="I397" i="25"/>
  <c r="K397" i="25"/>
  <c r="L397" i="25"/>
  <c r="G396" i="25"/>
  <c r="I396" i="25"/>
  <c r="K396" i="25"/>
  <c r="L396" i="25"/>
  <c r="G395" i="25"/>
  <c r="I395" i="25"/>
  <c r="K395" i="25"/>
  <c r="L395" i="25"/>
  <c r="G394" i="25"/>
  <c r="I394" i="25"/>
  <c r="K394" i="25"/>
  <c r="L394" i="25"/>
  <c r="G393" i="25"/>
  <c r="I393" i="25"/>
  <c r="K393" i="25"/>
  <c r="L393" i="25"/>
  <c r="G392" i="25"/>
  <c r="I392" i="25"/>
  <c r="K392" i="25"/>
  <c r="L392" i="25"/>
  <c r="G391" i="25"/>
  <c r="I391" i="25"/>
  <c r="K391" i="25"/>
  <c r="L391" i="25"/>
  <c r="G390" i="25"/>
  <c r="I390" i="25"/>
  <c r="K390" i="25"/>
  <c r="L390" i="25"/>
  <c r="G389" i="25"/>
  <c r="I389" i="25"/>
  <c r="K389" i="25"/>
  <c r="L389" i="25"/>
  <c r="G388" i="25"/>
  <c r="I388" i="25"/>
  <c r="K388" i="25"/>
  <c r="L388" i="25"/>
  <c r="G387" i="25"/>
  <c r="I387" i="25"/>
  <c r="K387" i="25"/>
  <c r="L387" i="25"/>
  <c r="G386" i="25"/>
  <c r="I386" i="25"/>
  <c r="K386" i="25"/>
  <c r="L386" i="25"/>
  <c r="G385" i="25"/>
  <c r="I385" i="25"/>
  <c r="K385" i="25"/>
  <c r="L385" i="25"/>
  <c r="G384" i="25"/>
  <c r="I384" i="25"/>
  <c r="K384" i="25"/>
  <c r="L384" i="25"/>
  <c r="G383" i="25"/>
  <c r="I383" i="25"/>
  <c r="K383" i="25"/>
  <c r="L383" i="25"/>
  <c r="G382" i="25"/>
  <c r="I382" i="25"/>
  <c r="K382" i="25"/>
  <c r="L382" i="25"/>
  <c r="G381" i="25"/>
  <c r="I381" i="25"/>
  <c r="K381" i="25"/>
  <c r="L381" i="25"/>
  <c r="G380" i="25"/>
  <c r="I380" i="25"/>
  <c r="K380" i="25"/>
  <c r="L380" i="25"/>
  <c r="G379" i="25"/>
  <c r="I379" i="25"/>
  <c r="K379" i="25"/>
  <c r="L379" i="25"/>
  <c r="G378" i="25"/>
  <c r="I378" i="25"/>
  <c r="K378" i="25"/>
  <c r="L378" i="25"/>
  <c r="G377" i="25"/>
  <c r="I377" i="25"/>
  <c r="K377" i="25"/>
  <c r="L377" i="25"/>
  <c r="G376" i="25"/>
  <c r="I376" i="25"/>
  <c r="K376" i="25"/>
  <c r="L376" i="25"/>
  <c r="G375" i="25"/>
  <c r="I375" i="25"/>
  <c r="K375" i="25"/>
  <c r="L375" i="25"/>
  <c r="G374" i="25"/>
  <c r="I374" i="25"/>
  <c r="K374" i="25"/>
  <c r="L374" i="25"/>
  <c r="G373" i="25"/>
  <c r="I373" i="25"/>
  <c r="K373" i="25"/>
  <c r="L373" i="25"/>
  <c r="G372" i="25"/>
  <c r="I372" i="25"/>
  <c r="K372" i="25"/>
  <c r="L372" i="25"/>
  <c r="G371" i="25"/>
  <c r="I371" i="25"/>
  <c r="K371" i="25"/>
  <c r="L371" i="25"/>
  <c r="G370" i="25"/>
  <c r="I370" i="25"/>
  <c r="K370" i="25"/>
  <c r="L370" i="25"/>
  <c r="G369" i="25"/>
  <c r="I369" i="25"/>
  <c r="K369" i="25"/>
  <c r="L369" i="25"/>
  <c r="G368" i="25"/>
  <c r="I368" i="25"/>
  <c r="K368" i="25"/>
  <c r="L368" i="25"/>
  <c r="G367" i="25"/>
  <c r="I367" i="25"/>
  <c r="K367" i="25"/>
  <c r="L367" i="25"/>
  <c r="G366" i="25"/>
  <c r="I366" i="25"/>
  <c r="K366" i="25"/>
  <c r="L366" i="25"/>
  <c r="G365" i="25"/>
  <c r="I365" i="25"/>
  <c r="K365" i="25"/>
  <c r="L365" i="25"/>
  <c r="G364" i="25"/>
  <c r="I364" i="25"/>
  <c r="K364" i="25"/>
  <c r="L364" i="25"/>
  <c r="G363" i="25"/>
  <c r="I363" i="25"/>
  <c r="K363" i="25"/>
  <c r="L363" i="25"/>
  <c r="G362" i="25"/>
  <c r="I362" i="25"/>
  <c r="K362" i="25"/>
  <c r="L362" i="25"/>
  <c r="G361" i="25"/>
  <c r="I361" i="25"/>
  <c r="K361" i="25"/>
  <c r="L361" i="25"/>
  <c r="G360" i="25"/>
  <c r="I360" i="25"/>
  <c r="K360" i="25"/>
  <c r="L360" i="25"/>
  <c r="G359" i="25"/>
  <c r="I359" i="25"/>
  <c r="K359" i="25"/>
  <c r="L359" i="25"/>
  <c r="G358" i="25"/>
  <c r="I358" i="25"/>
  <c r="K358" i="25"/>
  <c r="L358" i="25"/>
  <c r="G357" i="25"/>
  <c r="I357" i="25"/>
  <c r="K357" i="25"/>
  <c r="L357" i="25"/>
  <c r="G356" i="25"/>
  <c r="I356" i="25"/>
  <c r="K356" i="25"/>
  <c r="L356" i="25"/>
  <c r="G355" i="25"/>
  <c r="I355" i="25"/>
  <c r="K355" i="25"/>
  <c r="L355" i="25"/>
  <c r="G354" i="25"/>
  <c r="I354" i="25"/>
  <c r="K354" i="25"/>
  <c r="L354" i="25"/>
  <c r="G353" i="25"/>
  <c r="I353" i="25"/>
  <c r="K353" i="25"/>
  <c r="L353" i="25"/>
  <c r="G352" i="25"/>
  <c r="I352" i="25"/>
  <c r="K352" i="25"/>
  <c r="L352" i="25"/>
  <c r="G351" i="25"/>
  <c r="I351" i="25"/>
  <c r="K351" i="25"/>
  <c r="L351" i="25"/>
  <c r="G350" i="25"/>
  <c r="I350" i="25"/>
  <c r="K350" i="25"/>
  <c r="L350" i="25"/>
  <c r="G349" i="25"/>
  <c r="I349" i="25"/>
  <c r="K349" i="25"/>
  <c r="L349" i="25"/>
  <c r="G348" i="25"/>
  <c r="I348" i="25"/>
  <c r="K348" i="25"/>
  <c r="L348" i="25"/>
  <c r="G347" i="25"/>
  <c r="I347" i="25"/>
  <c r="K347" i="25"/>
  <c r="L347" i="25"/>
  <c r="G346" i="25"/>
  <c r="I346" i="25"/>
  <c r="K346" i="25"/>
  <c r="L346" i="25"/>
  <c r="G345" i="25"/>
  <c r="I345" i="25"/>
  <c r="K345" i="25"/>
  <c r="L345" i="25"/>
  <c r="G344" i="25"/>
  <c r="I344" i="25"/>
  <c r="K344" i="25"/>
  <c r="L344" i="25"/>
  <c r="G343" i="25"/>
  <c r="I343" i="25"/>
  <c r="K343" i="25"/>
  <c r="L343" i="25"/>
  <c r="G342" i="25"/>
  <c r="I342" i="25"/>
  <c r="K342" i="25"/>
  <c r="L342" i="25"/>
  <c r="G341" i="25"/>
  <c r="I341" i="25"/>
  <c r="K341" i="25"/>
  <c r="L341" i="25"/>
  <c r="G340" i="25"/>
  <c r="I340" i="25"/>
  <c r="K340" i="25"/>
  <c r="L340" i="25"/>
  <c r="G339" i="25"/>
  <c r="I339" i="25"/>
  <c r="K339" i="25"/>
  <c r="L339" i="25"/>
  <c r="G338" i="25"/>
  <c r="I338" i="25"/>
  <c r="K338" i="25"/>
  <c r="L338" i="25"/>
  <c r="G337" i="25"/>
  <c r="I337" i="25"/>
  <c r="K337" i="25"/>
  <c r="L337" i="25"/>
  <c r="G336" i="25"/>
  <c r="I336" i="25"/>
  <c r="K336" i="25"/>
  <c r="L336" i="25"/>
  <c r="G335" i="25"/>
  <c r="I335" i="25"/>
  <c r="K335" i="25"/>
  <c r="L335" i="25"/>
  <c r="G334" i="25"/>
  <c r="I334" i="25"/>
  <c r="K334" i="25"/>
  <c r="L334" i="25"/>
  <c r="G333" i="25"/>
  <c r="I333" i="25"/>
  <c r="K333" i="25"/>
  <c r="L333" i="25"/>
  <c r="G332" i="25"/>
  <c r="I332" i="25"/>
  <c r="K332" i="25"/>
  <c r="L332" i="25"/>
  <c r="G331" i="25"/>
  <c r="I331" i="25"/>
  <c r="K331" i="25"/>
  <c r="L331" i="25"/>
  <c r="G330" i="25"/>
  <c r="I330" i="25"/>
  <c r="K330" i="25"/>
  <c r="L330" i="25"/>
  <c r="G329" i="25"/>
  <c r="I329" i="25"/>
  <c r="K329" i="25"/>
  <c r="L329" i="25"/>
  <c r="G328" i="25"/>
  <c r="I328" i="25"/>
  <c r="K328" i="25"/>
  <c r="L328" i="25"/>
  <c r="G327" i="25"/>
  <c r="I327" i="25"/>
  <c r="K327" i="25"/>
  <c r="L327" i="25"/>
  <c r="G326" i="25"/>
  <c r="I326" i="25"/>
  <c r="K326" i="25"/>
  <c r="L326" i="25"/>
  <c r="G325" i="25"/>
  <c r="I325" i="25"/>
  <c r="K325" i="25"/>
  <c r="L325" i="25"/>
  <c r="G324" i="25"/>
  <c r="I324" i="25"/>
  <c r="K324" i="25"/>
  <c r="L324" i="25"/>
  <c r="G323" i="25"/>
  <c r="I323" i="25"/>
  <c r="K323" i="25"/>
  <c r="L323" i="25"/>
  <c r="G322" i="25"/>
  <c r="I322" i="25"/>
  <c r="K322" i="25"/>
  <c r="L322" i="25"/>
  <c r="G321" i="25"/>
  <c r="I321" i="25"/>
  <c r="K321" i="25"/>
  <c r="L321" i="25"/>
  <c r="G320" i="25"/>
  <c r="I320" i="25"/>
  <c r="K320" i="25"/>
  <c r="L320" i="25"/>
  <c r="G319" i="25"/>
  <c r="I319" i="25"/>
  <c r="K319" i="25"/>
  <c r="L319" i="25"/>
  <c r="G318" i="25"/>
  <c r="I318" i="25"/>
  <c r="K318" i="25"/>
  <c r="L318" i="25"/>
  <c r="G317" i="25"/>
  <c r="I317" i="25"/>
  <c r="K317" i="25"/>
  <c r="L317" i="25"/>
  <c r="G316" i="25"/>
  <c r="I316" i="25"/>
  <c r="K316" i="25"/>
  <c r="L316" i="25"/>
  <c r="G315" i="25"/>
  <c r="I315" i="25"/>
  <c r="K315" i="25"/>
  <c r="L315" i="25"/>
  <c r="G314" i="25"/>
  <c r="I314" i="25"/>
  <c r="K314" i="25"/>
  <c r="L314" i="25"/>
  <c r="G313" i="25"/>
  <c r="I313" i="25"/>
  <c r="K313" i="25"/>
  <c r="L313" i="25"/>
  <c r="G312" i="25"/>
  <c r="I312" i="25"/>
  <c r="K312" i="25"/>
  <c r="L312" i="25"/>
  <c r="G311" i="25"/>
  <c r="I311" i="25"/>
  <c r="K311" i="25"/>
  <c r="L311" i="25"/>
  <c r="G310" i="25"/>
  <c r="I310" i="25"/>
  <c r="K310" i="25"/>
  <c r="L310" i="25"/>
  <c r="G309" i="25"/>
  <c r="I309" i="25"/>
  <c r="K309" i="25"/>
  <c r="L309" i="25"/>
  <c r="G308" i="25"/>
  <c r="I308" i="25"/>
  <c r="K308" i="25"/>
  <c r="L308" i="25"/>
  <c r="G307" i="25"/>
  <c r="I307" i="25"/>
  <c r="K307" i="25"/>
  <c r="L307" i="25"/>
  <c r="G306" i="25"/>
  <c r="I306" i="25"/>
  <c r="K306" i="25"/>
  <c r="L306" i="25"/>
  <c r="G305" i="25"/>
  <c r="I305" i="25"/>
  <c r="K305" i="25"/>
  <c r="L305" i="25"/>
  <c r="G304" i="25"/>
  <c r="I304" i="25"/>
  <c r="K304" i="25"/>
  <c r="L304" i="25"/>
  <c r="G303" i="25"/>
  <c r="I303" i="25"/>
  <c r="K303" i="25"/>
  <c r="L303" i="25"/>
  <c r="G302" i="25"/>
  <c r="I302" i="25"/>
  <c r="K302" i="25"/>
  <c r="L302" i="25"/>
  <c r="G301" i="25"/>
  <c r="I301" i="25"/>
  <c r="K301" i="25"/>
  <c r="L301" i="25"/>
  <c r="G300" i="25"/>
  <c r="I300" i="25"/>
  <c r="K300" i="25"/>
  <c r="L300" i="25"/>
  <c r="G299" i="25"/>
  <c r="I299" i="25"/>
  <c r="K299" i="25"/>
  <c r="L299" i="25"/>
  <c r="G298" i="25"/>
  <c r="I298" i="25"/>
  <c r="K298" i="25"/>
  <c r="L298" i="25"/>
  <c r="G297" i="25"/>
  <c r="I297" i="25"/>
  <c r="K297" i="25"/>
  <c r="L297" i="25"/>
  <c r="G296" i="25"/>
  <c r="I296" i="25"/>
  <c r="K296" i="25"/>
  <c r="L296" i="25"/>
  <c r="G295" i="25"/>
  <c r="I295" i="25"/>
  <c r="K295" i="25"/>
  <c r="L295" i="25"/>
  <c r="G294" i="25"/>
  <c r="I294" i="25"/>
  <c r="K294" i="25"/>
  <c r="L294" i="25"/>
  <c r="G293" i="25"/>
  <c r="I293" i="25"/>
  <c r="K293" i="25"/>
  <c r="L293" i="25"/>
  <c r="G292" i="25"/>
  <c r="I292" i="25"/>
  <c r="K292" i="25"/>
  <c r="L292" i="25"/>
  <c r="G291" i="25"/>
  <c r="I291" i="25"/>
  <c r="K291" i="25"/>
  <c r="L291" i="25"/>
  <c r="G290" i="25"/>
  <c r="I290" i="25"/>
  <c r="K290" i="25"/>
  <c r="L290" i="25"/>
  <c r="G289" i="25"/>
  <c r="I289" i="25"/>
  <c r="K289" i="25"/>
  <c r="L289" i="25"/>
  <c r="G288" i="25"/>
  <c r="I288" i="25"/>
  <c r="K288" i="25"/>
  <c r="L288" i="25"/>
  <c r="G287" i="25"/>
  <c r="I287" i="25"/>
  <c r="K287" i="25"/>
  <c r="L287" i="25"/>
  <c r="G286" i="25"/>
  <c r="I286" i="25"/>
  <c r="K286" i="25"/>
  <c r="L286" i="25"/>
  <c r="G285" i="25"/>
  <c r="I285" i="25"/>
  <c r="K285" i="25"/>
  <c r="L285" i="25"/>
  <c r="G284" i="25"/>
  <c r="I284" i="25"/>
  <c r="K284" i="25"/>
  <c r="L284" i="25"/>
  <c r="G283" i="25"/>
  <c r="I283" i="25"/>
  <c r="K283" i="25"/>
  <c r="L283" i="25"/>
  <c r="G282" i="25"/>
  <c r="I282" i="25"/>
  <c r="K282" i="25"/>
  <c r="L282" i="25"/>
  <c r="G281" i="25"/>
  <c r="I281" i="25"/>
  <c r="K281" i="25"/>
  <c r="L281" i="25"/>
  <c r="G280" i="25"/>
  <c r="I280" i="25"/>
  <c r="K280" i="25"/>
  <c r="L280" i="25"/>
  <c r="G279" i="25"/>
  <c r="I279" i="25"/>
  <c r="K279" i="25"/>
  <c r="L279" i="25"/>
  <c r="G278" i="25"/>
  <c r="I278" i="25"/>
  <c r="K278" i="25"/>
  <c r="L278" i="25"/>
  <c r="G277" i="25"/>
  <c r="I277" i="25"/>
  <c r="K277" i="25"/>
  <c r="L277" i="25"/>
  <c r="G276" i="25"/>
  <c r="I276" i="25"/>
  <c r="K276" i="25"/>
  <c r="L276" i="25"/>
  <c r="G275" i="25"/>
  <c r="I275" i="25"/>
  <c r="K275" i="25"/>
  <c r="L275" i="25"/>
  <c r="G274" i="25"/>
  <c r="I274" i="25"/>
  <c r="K274" i="25"/>
  <c r="L274" i="25"/>
  <c r="G273" i="25"/>
  <c r="I273" i="25"/>
  <c r="K273" i="25"/>
  <c r="L273" i="25"/>
  <c r="G272" i="25"/>
  <c r="I272" i="25"/>
  <c r="K272" i="25"/>
  <c r="L272" i="25"/>
  <c r="G271" i="25"/>
  <c r="I271" i="25"/>
  <c r="K271" i="25"/>
  <c r="L271" i="25"/>
  <c r="G270" i="25"/>
  <c r="I270" i="25"/>
  <c r="K270" i="25"/>
  <c r="L270" i="25"/>
  <c r="G269" i="25"/>
  <c r="I269" i="25"/>
  <c r="K269" i="25"/>
  <c r="L269" i="25"/>
  <c r="G268" i="25"/>
  <c r="I268" i="25"/>
  <c r="K268" i="25"/>
  <c r="L268" i="25"/>
  <c r="G267" i="25"/>
  <c r="I267" i="25"/>
  <c r="K267" i="25"/>
  <c r="L267" i="25"/>
  <c r="G266" i="25"/>
  <c r="I266" i="25"/>
  <c r="K266" i="25"/>
  <c r="L266" i="25"/>
  <c r="G265" i="25"/>
  <c r="I265" i="25"/>
  <c r="K265" i="25"/>
  <c r="L265" i="25"/>
  <c r="G264" i="25"/>
  <c r="I264" i="25"/>
  <c r="K264" i="25"/>
  <c r="L264" i="25"/>
  <c r="G263" i="25"/>
  <c r="I263" i="25"/>
  <c r="K263" i="25"/>
  <c r="L263" i="25"/>
  <c r="G262" i="25"/>
  <c r="I262" i="25"/>
  <c r="K262" i="25"/>
  <c r="L262" i="25"/>
  <c r="G261" i="25"/>
  <c r="I261" i="25"/>
  <c r="K261" i="25"/>
  <c r="L261" i="25"/>
  <c r="G260" i="25"/>
  <c r="I260" i="25"/>
  <c r="K260" i="25"/>
  <c r="L260" i="25"/>
  <c r="G259" i="25"/>
  <c r="I259" i="25"/>
  <c r="K259" i="25"/>
  <c r="L259" i="25"/>
  <c r="G258" i="25"/>
  <c r="I258" i="25"/>
  <c r="K258" i="25"/>
  <c r="L258" i="25"/>
  <c r="G257" i="25"/>
  <c r="I257" i="25"/>
  <c r="K257" i="25"/>
  <c r="L257" i="25"/>
  <c r="G256" i="25"/>
  <c r="I256" i="25"/>
  <c r="K256" i="25"/>
  <c r="L256" i="25"/>
  <c r="G255" i="25"/>
  <c r="I255" i="25"/>
  <c r="K255" i="25"/>
  <c r="L255" i="25"/>
  <c r="G254" i="25"/>
  <c r="I254" i="25"/>
  <c r="K254" i="25"/>
  <c r="L254" i="25"/>
  <c r="G253" i="25"/>
  <c r="I253" i="25"/>
  <c r="K253" i="25"/>
  <c r="L253" i="25"/>
  <c r="G252" i="25"/>
  <c r="I252" i="25"/>
  <c r="K252" i="25"/>
  <c r="L252" i="25"/>
  <c r="G251" i="25"/>
  <c r="I251" i="25"/>
  <c r="K251" i="25"/>
  <c r="L251" i="25"/>
  <c r="G250" i="25"/>
  <c r="I250" i="25"/>
  <c r="K250" i="25"/>
  <c r="L250" i="25"/>
  <c r="G249" i="25"/>
  <c r="I249" i="25"/>
  <c r="K249" i="25"/>
  <c r="L249" i="25"/>
  <c r="G248" i="25"/>
  <c r="I248" i="25"/>
  <c r="K248" i="25"/>
  <c r="L248" i="25"/>
  <c r="G247" i="25"/>
  <c r="I247" i="25"/>
  <c r="K247" i="25"/>
  <c r="L247" i="25"/>
  <c r="G246" i="25"/>
  <c r="I246" i="25"/>
  <c r="K246" i="25"/>
  <c r="L246" i="25"/>
  <c r="G245" i="25"/>
  <c r="I245" i="25"/>
  <c r="K245" i="25"/>
  <c r="L245" i="25"/>
  <c r="G244" i="25"/>
  <c r="I244" i="25"/>
  <c r="K244" i="25"/>
  <c r="L244" i="25"/>
  <c r="G243" i="25"/>
  <c r="I243" i="25"/>
  <c r="K243" i="25"/>
  <c r="L243" i="25"/>
  <c r="G242" i="25"/>
  <c r="I242" i="25"/>
  <c r="K242" i="25"/>
  <c r="L242" i="25"/>
  <c r="G241" i="25"/>
  <c r="I241" i="25"/>
  <c r="K241" i="25"/>
  <c r="L241" i="25"/>
  <c r="G240" i="25"/>
  <c r="I240" i="25"/>
  <c r="K240" i="25"/>
  <c r="L240" i="25"/>
  <c r="G239" i="25"/>
  <c r="I239" i="25"/>
  <c r="K239" i="25"/>
  <c r="L239" i="25"/>
  <c r="G238" i="25"/>
  <c r="I238" i="25"/>
  <c r="K238" i="25"/>
  <c r="L238" i="25"/>
  <c r="G237" i="25"/>
  <c r="I237" i="25"/>
  <c r="K237" i="25"/>
  <c r="L237" i="25"/>
  <c r="G236" i="25"/>
  <c r="I236" i="25"/>
  <c r="K236" i="25"/>
  <c r="L236" i="25"/>
  <c r="G235" i="25"/>
  <c r="I235" i="25"/>
  <c r="K235" i="25"/>
  <c r="L235" i="25"/>
  <c r="G234" i="25"/>
  <c r="I234" i="25"/>
  <c r="K234" i="25"/>
  <c r="L234" i="25"/>
  <c r="G233" i="25"/>
  <c r="I233" i="25"/>
  <c r="K233" i="25"/>
  <c r="L233" i="25"/>
  <c r="G232" i="25"/>
  <c r="I232" i="25"/>
  <c r="K232" i="25"/>
  <c r="L232" i="25"/>
  <c r="G231" i="25"/>
  <c r="I231" i="25"/>
  <c r="K231" i="25"/>
  <c r="L231" i="25"/>
  <c r="G230" i="25"/>
  <c r="I230" i="25"/>
  <c r="K230" i="25"/>
  <c r="L230" i="25"/>
  <c r="G229" i="25"/>
  <c r="I229" i="25"/>
  <c r="K229" i="25"/>
  <c r="L229" i="25"/>
  <c r="G228" i="25"/>
  <c r="I228" i="25"/>
  <c r="K228" i="25"/>
  <c r="L228" i="25"/>
  <c r="G227" i="25"/>
  <c r="I227" i="25"/>
  <c r="K227" i="25"/>
  <c r="L227" i="25"/>
  <c r="G226" i="25"/>
  <c r="I226" i="25"/>
  <c r="K226" i="25"/>
  <c r="L226" i="25"/>
  <c r="G225" i="25"/>
  <c r="I225" i="25"/>
  <c r="K225" i="25"/>
  <c r="L225" i="25"/>
  <c r="G224" i="25"/>
  <c r="I224" i="25"/>
  <c r="K224" i="25"/>
  <c r="L224" i="25"/>
  <c r="G223" i="25"/>
  <c r="I223" i="25"/>
  <c r="K223" i="25"/>
  <c r="L223" i="25"/>
  <c r="G222" i="25"/>
  <c r="I222" i="25"/>
  <c r="K222" i="25"/>
  <c r="L222" i="25"/>
  <c r="G221" i="25"/>
  <c r="I221" i="25"/>
  <c r="K221" i="25"/>
  <c r="L221" i="25"/>
  <c r="G220" i="25"/>
  <c r="I220" i="25"/>
  <c r="K220" i="25"/>
  <c r="L220" i="25"/>
  <c r="G219" i="25"/>
  <c r="I219" i="25"/>
  <c r="K219" i="25"/>
  <c r="L219" i="25"/>
  <c r="G218" i="25"/>
  <c r="I218" i="25"/>
  <c r="K218" i="25"/>
  <c r="L218" i="25"/>
  <c r="G217" i="25"/>
  <c r="I217" i="25"/>
  <c r="K217" i="25"/>
  <c r="L217" i="25"/>
  <c r="G216" i="25"/>
  <c r="I216" i="25"/>
  <c r="K216" i="25"/>
  <c r="L216" i="25"/>
  <c r="G215" i="25"/>
  <c r="I215" i="25"/>
  <c r="K215" i="25"/>
  <c r="L215" i="25"/>
  <c r="G214" i="25"/>
  <c r="I214" i="25"/>
  <c r="K214" i="25"/>
  <c r="L214" i="25"/>
  <c r="G213" i="25"/>
  <c r="I213" i="25"/>
  <c r="K213" i="25"/>
  <c r="L213" i="25"/>
  <c r="G212" i="25"/>
  <c r="I212" i="25"/>
  <c r="K212" i="25"/>
  <c r="L212" i="25"/>
  <c r="G211" i="25"/>
  <c r="I211" i="25"/>
  <c r="K211" i="25"/>
  <c r="L211" i="25"/>
  <c r="G210" i="25"/>
  <c r="I210" i="25"/>
  <c r="K210" i="25"/>
  <c r="L210" i="25"/>
  <c r="G209" i="25"/>
  <c r="I209" i="25"/>
  <c r="K209" i="25"/>
  <c r="L209" i="25"/>
  <c r="G208" i="25"/>
  <c r="I208" i="25"/>
  <c r="K208" i="25"/>
  <c r="L208" i="25"/>
  <c r="G207" i="25"/>
  <c r="I207" i="25"/>
  <c r="K207" i="25"/>
  <c r="L207" i="25"/>
  <c r="G206" i="25"/>
  <c r="I206" i="25"/>
  <c r="K206" i="25"/>
  <c r="L206" i="25"/>
  <c r="G205" i="25"/>
  <c r="I205" i="25"/>
  <c r="K205" i="25"/>
  <c r="L205" i="25"/>
  <c r="G204" i="25"/>
  <c r="I204" i="25"/>
  <c r="K204" i="25"/>
  <c r="L204" i="25"/>
  <c r="G203" i="25"/>
  <c r="I203" i="25"/>
  <c r="K203" i="25"/>
  <c r="L203" i="25"/>
  <c r="G202" i="25"/>
  <c r="I202" i="25"/>
  <c r="K202" i="25"/>
  <c r="L202" i="25"/>
  <c r="G201" i="25"/>
  <c r="I201" i="25"/>
  <c r="K201" i="25"/>
  <c r="L201" i="25"/>
  <c r="G200" i="25"/>
  <c r="I200" i="25"/>
  <c r="K200" i="25"/>
  <c r="L200" i="25"/>
  <c r="G199" i="25"/>
  <c r="I199" i="25"/>
  <c r="K199" i="25"/>
  <c r="L199" i="25"/>
  <c r="G198" i="25"/>
  <c r="I198" i="25"/>
  <c r="K198" i="25"/>
  <c r="L198" i="25"/>
  <c r="G197" i="25"/>
  <c r="I197" i="25"/>
  <c r="K197" i="25"/>
  <c r="L197" i="25"/>
  <c r="G196" i="25"/>
  <c r="I196" i="25"/>
  <c r="K196" i="25"/>
  <c r="L196" i="25"/>
  <c r="G195" i="25"/>
  <c r="I195" i="25"/>
  <c r="K195" i="25"/>
  <c r="L195" i="25"/>
  <c r="G194" i="25"/>
  <c r="I194" i="25"/>
  <c r="K194" i="25"/>
  <c r="L194" i="25"/>
  <c r="G193" i="25"/>
  <c r="I193" i="25"/>
  <c r="K193" i="25"/>
  <c r="L193" i="25"/>
  <c r="G192" i="25"/>
  <c r="I192" i="25"/>
  <c r="K192" i="25"/>
  <c r="L192" i="25"/>
  <c r="G191" i="25"/>
  <c r="I191" i="25"/>
  <c r="K191" i="25"/>
  <c r="L191" i="25"/>
  <c r="G190" i="25"/>
  <c r="I190" i="25"/>
  <c r="K190" i="25"/>
  <c r="L190" i="25"/>
  <c r="G189" i="25"/>
  <c r="I189" i="25"/>
  <c r="K189" i="25"/>
  <c r="L189" i="25"/>
  <c r="G188" i="25"/>
  <c r="I188" i="25"/>
  <c r="K188" i="25"/>
  <c r="L188" i="25"/>
  <c r="G187" i="25"/>
  <c r="I187" i="25"/>
  <c r="K187" i="25"/>
  <c r="L187" i="25"/>
  <c r="G186" i="25"/>
  <c r="I186" i="25"/>
  <c r="K186" i="25"/>
  <c r="L186" i="25"/>
  <c r="G185" i="25"/>
  <c r="I185" i="25"/>
  <c r="K185" i="25"/>
  <c r="L185" i="25"/>
  <c r="G184" i="25"/>
  <c r="I184" i="25"/>
  <c r="K184" i="25"/>
  <c r="L184" i="25"/>
  <c r="G183" i="25"/>
  <c r="I183" i="25"/>
  <c r="K183" i="25"/>
  <c r="L183" i="25"/>
  <c r="G182" i="25"/>
  <c r="I182" i="25"/>
  <c r="K182" i="25"/>
  <c r="L182" i="25"/>
  <c r="G181" i="25"/>
  <c r="I181" i="25"/>
  <c r="K181" i="25"/>
  <c r="L181" i="25"/>
  <c r="G180" i="25"/>
  <c r="I180" i="25"/>
  <c r="K180" i="25"/>
  <c r="L180" i="25"/>
  <c r="G179" i="25"/>
  <c r="I179" i="25"/>
  <c r="K179" i="25"/>
  <c r="L179" i="25"/>
  <c r="G178" i="25"/>
  <c r="I178" i="25"/>
  <c r="K178" i="25"/>
  <c r="L178" i="25"/>
  <c r="G177" i="25"/>
  <c r="I177" i="25"/>
  <c r="K177" i="25"/>
  <c r="L177" i="25"/>
  <c r="G176" i="25"/>
  <c r="I176" i="25"/>
  <c r="K176" i="25"/>
  <c r="L176" i="25"/>
  <c r="G175" i="25"/>
  <c r="I175" i="25"/>
  <c r="K175" i="25"/>
  <c r="L175" i="25"/>
  <c r="G174" i="25"/>
  <c r="I174" i="25"/>
  <c r="K174" i="25"/>
  <c r="L174" i="25"/>
  <c r="G173" i="25"/>
  <c r="I173" i="25"/>
  <c r="K173" i="25"/>
  <c r="L173" i="25"/>
  <c r="G172" i="25"/>
  <c r="I172" i="25"/>
  <c r="K172" i="25"/>
  <c r="L172" i="25"/>
  <c r="G171" i="25"/>
  <c r="I171" i="25"/>
  <c r="K171" i="25"/>
  <c r="L171" i="25"/>
  <c r="G170" i="25"/>
  <c r="I170" i="25"/>
  <c r="K170" i="25"/>
  <c r="L170" i="25"/>
  <c r="G169" i="25"/>
  <c r="I169" i="25"/>
  <c r="K169" i="25"/>
  <c r="L169" i="25"/>
  <c r="G168" i="25"/>
  <c r="I168" i="25"/>
  <c r="K168" i="25"/>
  <c r="L168" i="25"/>
  <c r="G167" i="25"/>
  <c r="I167" i="25"/>
  <c r="K167" i="25"/>
  <c r="L167" i="25"/>
  <c r="G166" i="25"/>
  <c r="I166" i="25"/>
  <c r="K166" i="25"/>
  <c r="L166" i="25"/>
  <c r="G165" i="25"/>
  <c r="I165" i="25"/>
  <c r="K165" i="25"/>
  <c r="L165" i="25"/>
  <c r="G164" i="25"/>
  <c r="I164" i="25"/>
  <c r="K164" i="25"/>
  <c r="L164" i="25"/>
  <c r="G163" i="25"/>
  <c r="I163" i="25"/>
  <c r="K163" i="25"/>
  <c r="L163" i="25"/>
  <c r="G162" i="25"/>
  <c r="I162" i="25"/>
  <c r="K162" i="25"/>
  <c r="L162" i="25"/>
  <c r="G161" i="25"/>
  <c r="I161" i="25"/>
  <c r="K161" i="25"/>
  <c r="L161" i="25"/>
  <c r="G160" i="25"/>
  <c r="I160" i="25"/>
  <c r="K160" i="25"/>
  <c r="L160" i="25"/>
  <c r="G159" i="25"/>
  <c r="I159" i="25"/>
  <c r="K159" i="25"/>
  <c r="L159" i="25"/>
  <c r="G158" i="25"/>
  <c r="I158" i="25"/>
  <c r="K158" i="25"/>
  <c r="L158" i="25"/>
  <c r="G157" i="25"/>
  <c r="I157" i="25"/>
  <c r="K157" i="25"/>
  <c r="L157" i="25"/>
  <c r="G156" i="25"/>
  <c r="I156" i="25"/>
  <c r="K156" i="25"/>
  <c r="L156" i="25"/>
  <c r="G155" i="25"/>
  <c r="I155" i="25"/>
  <c r="K155" i="25"/>
  <c r="L155" i="25"/>
  <c r="G154" i="25"/>
  <c r="I154" i="25"/>
  <c r="K154" i="25"/>
  <c r="L154" i="25"/>
  <c r="G153" i="25"/>
  <c r="I153" i="25"/>
  <c r="K153" i="25"/>
  <c r="L153" i="25"/>
  <c r="G152" i="25"/>
  <c r="I152" i="25"/>
  <c r="K152" i="25"/>
  <c r="L152" i="25"/>
  <c r="G151" i="25"/>
  <c r="I151" i="25"/>
  <c r="K151" i="25"/>
  <c r="L151" i="25"/>
  <c r="G150" i="25"/>
  <c r="I150" i="25"/>
  <c r="K150" i="25"/>
  <c r="L150" i="25"/>
  <c r="G149" i="25"/>
  <c r="I149" i="25"/>
  <c r="K149" i="25"/>
  <c r="L149" i="25"/>
  <c r="G148" i="25"/>
  <c r="I148" i="25"/>
  <c r="K148" i="25"/>
  <c r="L148" i="25"/>
  <c r="G147" i="25"/>
  <c r="I147" i="25"/>
  <c r="K147" i="25"/>
  <c r="L147" i="25"/>
  <c r="G146" i="25"/>
  <c r="I146" i="25"/>
  <c r="K146" i="25"/>
  <c r="L146" i="25"/>
  <c r="G145" i="25"/>
  <c r="I145" i="25"/>
  <c r="K145" i="25"/>
  <c r="L145" i="25"/>
  <c r="G144" i="25"/>
  <c r="I144" i="25"/>
  <c r="K144" i="25"/>
  <c r="L144" i="25"/>
  <c r="G143" i="25"/>
  <c r="I143" i="25"/>
  <c r="K143" i="25"/>
  <c r="L143" i="25"/>
  <c r="G142" i="25"/>
  <c r="I142" i="25"/>
  <c r="K142" i="25"/>
  <c r="L142" i="25"/>
  <c r="G141" i="25"/>
  <c r="I141" i="25"/>
  <c r="K141" i="25"/>
  <c r="L141" i="25"/>
  <c r="G140" i="25"/>
  <c r="I140" i="25"/>
  <c r="K140" i="25"/>
  <c r="L140" i="25"/>
  <c r="G139" i="25"/>
  <c r="I139" i="25"/>
  <c r="K139" i="25"/>
  <c r="L139" i="25"/>
  <c r="G138" i="25"/>
  <c r="I138" i="25"/>
  <c r="K138" i="25"/>
  <c r="L138" i="25"/>
  <c r="G137" i="25"/>
  <c r="I137" i="25"/>
  <c r="K137" i="25"/>
  <c r="L137" i="25"/>
  <c r="G136" i="25"/>
  <c r="I136" i="25"/>
  <c r="K136" i="25"/>
  <c r="L136" i="25"/>
  <c r="G135" i="25"/>
  <c r="I135" i="25"/>
  <c r="K135" i="25"/>
  <c r="L135" i="25"/>
  <c r="G134" i="25"/>
  <c r="I134" i="25"/>
  <c r="K134" i="25"/>
  <c r="L134" i="25"/>
  <c r="G133" i="25"/>
  <c r="I133" i="25"/>
  <c r="K133" i="25"/>
  <c r="L133" i="25"/>
  <c r="G132" i="25"/>
  <c r="I132" i="25"/>
  <c r="K132" i="25"/>
  <c r="L132" i="25"/>
  <c r="G131" i="25"/>
  <c r="I131" i="25"/>
  <c r="K131" i="25"/>
  <c r="L131" i="25"/>
  <c r="G130" i="25"/>
  <c r="I130" i="25"/>
  <c r="K130" i="25"/>
  <c r="L130" i="25"/>
  <c r="G129" i="25"/>
  <c r="I129" i="25"/>
  <c r="K129" i="25"/>
  <c r="L129" i="25"/>
  <c r="G128" i="25"/>
  <c r="I128" i="25"/>
  <c r="K128" i="25"/>
  <c r="L128" i="25"/>
  <c r="G127" i="25"/>
  <c r="I127" i="25"/>
  <c r="K127" i="25"/>
  <c r="L127" i="25"/>
  <c r="G126" i="25"/>
  <c r="I126" i="25"/>
  <c r="K126" i="25"/>
  <c r="L126" i="25"/>
  <c r="G125" i="25"/>
  <c r="I125" i="25"/>
  <c r="K125" i="25"/>
  <c r="L125" i="25"/>
  <c r="G124" i="25"/>
  <c r="I124" i="25"/>
  <c r="K124" i="25"/>
  <c r="L124" i="25"/>
  <c r="G123" i="25"/>
  <c r="I123" i="25"/>
  <c r="K123" i="25"/>
  <c r="L123" i="25"/>
  <c r="G122" i="25"/>
  <c r="I122" i="25"/>
  <c r="K122" i="25"/>
  <c r="L122" i="25"/>
  <c r="G121" i="25"/>
  <c r="I121" i="25"/>
  <c r="K121" i="25"/>
  <c r="L121" i="25"/>
  <c r="G120" i="25"/>
  <c r="I120" i="25"/>
  <c r="K120" i="25"/>
  <c r="L120" i="25"/>
  <c r="G119" i="25"/>
  <c r="I119" i="25"/>
  <c r="K119" i="25"/>
  <c r="L119" i="25"/>
  <c r="G118" i="25"/>
  <c r="I118" i="25"/>
  <c r="K118" i="25"/>
  <c r="L118" i="25"/>
  <c r="G117" i="25"/>
  <c r="I117" i="25"/>
  <c r="K117" i="25"/>
  <c r="L117" i="25"/>
  <c r="G116" i="25"/>
  <c r="I116" i="25"/>
  <c r="K116" i="25"/>
  <c r="L116" i="25"/>
  <c r="G115" i="25"/>
  <c r="I115" i="25"/>
  <c r="K115" i="25"/>
  <c r="L115" i="25"/>
  <c r="G114" i="25"/>
  <c r="I114" i="25"/>
  <c r="K114" i="25"/>
  <c r="L114" i="25"/>
  <c r="G113" i="25"/>
  <c r="I113" i="25"/>
  <c r="K113" i="25"/>
  <c r="L113" i="25"/>
  <c r="G112" i="25"/>
  <c r="I112" i="25"/>
  <c r="K112" i="25"/>
  <c r="L112" i="25"/>
  <c r="G111" i="25"/>
  <c r="I111" i="25"/>
  <c r="K111" i="25"/>
  <c r="L111" i="25"/>
  <c r="G110" i="25"/>
  <c r="I110" i="25"/>
  <c r="K110" i="25"/>
  <c r="L110" i="25"/>
  <c r="G109" i="25"/>
  <c r="I109" i="25"/>
  <c r="K109" i="25"/>
  <c r="L109" i="25"/>
  <c r="G108" i="25"/>
  <c r="I108" i="25"/>
  <c r="K108" i="25"/>
  <c r="L108" i="25"/>
  <c r="G107" i="25"/>
  <c r="I107" i="25"/>
  <c r="K107" i="25"/>
  <c r="L107" i="25"/>
  <c r="G106" i="25"/>
  <c r="I106" i="25"/>
  <c r="K106" i="25"/>
  <c r="L106" i="25"/>
  <c r="G105" i="25"/>
  <c r="I105" i="25"/>
  <c r="K105" i="25"/>
  <c r="L105" i="25"/>
  <c r="G104" i="25"/>
  <c r="I104" i="25"/>
  <c r="K104" i="25"/>
  <c r="L104" i="25"/>
  <c r="G103" i="25"/>
  <c r="I103" i="25"/>
  <c r="K103" i="25"/>
  <c r="L103" i="25"/>
  <c r="G102" i="25"/>
  <c r="I102" i="25"/>
  <c r="K102" i="25"/>
  <c r="L102" i="25"/>
  <c r="G101" i="25"/>
  <c r="I101" i="25"/>
  <c r="K101" i="25"/>
  <c r="L101" i="25"/>
  <c r="G100" i="25"/>
  <c r="I100" i="25"/>
  <c r="K100" i="25"/>
  <c r="L100" i="25"/>
  <c r="G99" i="25"/>
  <c r="I99" i="25"/>
  <c r="K99" i="25"/>
  <c r="L99" i="25"/>
  <c r="G98" i="25"/>
  <c r="I98" i="25"/>
  <c r="K98" i="25"/>
  <c r="L98" i="25"/>
  <c r="G97" i="25"/>
  <c r="I97" i="25"/>
  <c r="K97" i="25"/>
  <c r="L97" i="25"/>
  <c r="G96" i="25"/>
  <c r="I96" i="25"/>
  <c r="K96" i="25"/>
  <c r="L96" i="25"/>
  <c r="G95" i="25"/>
  <c r="I95" i="25"/>
  <c r="K95" i="25"/>
  <c r="L95" i="25"/>
  <c r="G94" i="25"/>
  <c r="I94" i="25"/>
  <c r="K94" i="25"/>
  <c r="L94" i="25"/>
  <c r="G93" i="25"/>
  <c r="I93" i="25"/>
  <c r="K93" i="25"/>
  <c r="L93" i="25"/>
  <c r="G92" i="25"/>
  <c r="I92" i="25"/>
  <c r="K92" i="25"/>
  <c r="L92" i="25"/>
  <c r="G91" i="25"/>
  <c r="I91" i="25"/>
  <c r="K91" i="25"/>
  <c r="L91" i="25"/>
  <c r="G90" i="25"/>
  <c r="I90" i="25"/>
  <c r="K90" i="25"/>
  <c r="L90" i="25"/>
  <c r="G89" i="25"/>
  <c r="I89" i="25"/>
  <c r="K89" i="25"/>
  <c r="L89" i="25"/>
  <c r="G88" i="25"/>
  <c r="I88" i="25"/>
  <c r="K88" i="25"/>
  <c r="L88" i="25"/>
  <c r="G87" i="25"/>
  <c r="I87" i="25"/>
  <c r="K87" i="25"/>
  <c r="L87" i="25"/>
  <c r="G86" i="25"/>
  <c r="I86" i="25"/>
  <c r="K86" i="25"/>
  <c r="L86" i="25"/>
  <c r="G85" i="25"/>
  <c r="I85" i="25"/>
  <c r="K85" i="25"/>
  <c r="L85" i="25"/>
  <c r="G84" i="25"/>
  <c r="I84" i="25"/>
  <c r="K84" i="25"/>
  <c r="L84" i="25"/>
  <c r="G83" i="25"/>
  <c r="I83" i="25"/>
  <c r="K83" i="25"/>
  <c r="L83" i="25"/>
  <c r="G82" i="25"/>
  <c r="I82" i="25"/>
  <c r="K82" i="25"/>
  <c r="L82" i="25"/>
  <c r="G81" i="25"/>
  <c r="I81" i="25"/>
  <c r="K81" i="25"/>
  <c r="L81" i="25"/>
  <c r="G80" i="25"/>
  <c r="I80" i="25"/>
  <c r="K80" i="25"/>
  <c r="L80" i="25"/>
  <c r="G79" i="25"/>
  <c r="I79" i="25"/>
  <c r="K79" i="25"/>
  <c r="L79" i="25"/>
  <c r="G78" i="25"/>
  <c r="I78" i="25"/>
  <c r="K78" i="25"/>
  <c r="L78" i="25"/>
  <c r="G77" i="25"/>
  <c r="I77" i="25"/>
  <c r="K77" i="25"/>
  <c r="L77" i="25"/>
  <c r="G76" i="25"/>
  <c r="I76" i="25"/>
  <c r="K76" i="25"/>
  <c r="L76" i="25"/>
  <c r="G75" i="25"/>
  <c r="I75" i="25"/>
  <c r="K75" i="25"/>
  <c r="L75" i="25"/>
  <c r="G74" i="25"/>
  <c r="I74" i="25"/>
  <c r="K74" i="25"/>
  <c r="L74" i="25"/>
  <c r="G73" i="25"/>
  <c r="I73" i="25"/>
  <c r="K73" i="25"/>
  <c r="L73" i="25"/>
  <c r="G72" i="25"/>
  <c r="I72" i="25"/>
  <c r="K72" i="25"/>
  <c r="L72" i="25"/>
  <c r="G71" i="25"/>
  <c r="I71" i="25"/>
  <c r="K71" i="25"/>
  <c r="L71" i="25"/>
  <c r="G70" i="25"/>
  <c r="I70" i="25"/>
  <c r="K70" i="25"/>
  <c r="L70" i="25"/>
  <c r="G69" i="25"/>
  <c r="I69" i="25"/>
  <c r="K69" i="25"/>
  <c r="L69" i="25"/>
  <c r="G68" i="25"/>
  <c r="I68" i="25"/>
  <c r="K68" i="25"/>
  <c r="L68" i="25"/>
  <c r="G67" i="25"/>
  <c r="I67" i="25"/>
  <c r="K67" i="25"/>
  <c r="L67" i="25"/>
  <c r="G66" i="25"/>
  <c r="I66" i="25"/>
  <c r="K66" i="25"/>
  <c r="L66" i="25"/>
  <c r="G65" i="25"/>
  <c r="I65" i="25"/>
  <c r="K65" i="25"/>
  <c r="L65" i="25"/>
  <c r="G64" i="25"/>
  <c r="I64" i="25"/>
  <c r="K64" i="25"/>
  <c r="L64" i="25"/>
  <c r="G63" i="25"/>
  <c r="I63" i="25"/>
  <c r="K63" i="25"/>
  <c r="L63" i="25"/>
  <c r="G62" i="25"/>
  <c r="I62" i="25"/>
  <c r="K62" i="25"/>
  <c r="L62" i="25"/>
  <c r="G61" i="25"/>
  <c r="I61" i="25"/>
  <c r="K61" i="25"/>
  <c r="L61" i="25"/>
  <c r="G60" i="25"/>
  <c r="I60" i="25"/>
  <c r="K60" i="25"/>
  <c r="L60" i="25"/>
  <c r="G59" i="25"/>
  <c r="I59" i="25"/>
  <c r="K59" i="25"/>
  <c r="L59" i="25"/>
  <c r="G58" i="25"/>
  <c r="I58" i="25"/>
  <c r="K58" i="25"/>
  <c r="L58" i="25"/>
  <c r="G57" i="25"/>
  <c r="I57" i="25"/>
  <c r="K57" i="25"/>
  <c r="L57" i="25"/>
  <c r="G56" i="25"/>
  <c r="I56" i="25"/>
  <c r="K56" i="25"/>
  <c r="L56" i="25"/>
  <c r="G55" i="25"/>
  <c r="I55" i="25"/>
  <c r="K55" i="25"/>
  <c r="L55" i="25"/>
  <c r="G54" i="25"/>
  <c r="I54" i="25"/>
  <c r="K54" i="25"/>
  <c r="L54" i="25"/>
  <c r="G53" i="25"/>
  <c r="I53" i="25"/>
  <c r="K53" i="25"/>
  <c r="L53" i="25"/>
  <c r="G52" i="25"/>
  <c r="I52" i="25"/>
  <c r="K52" i="25"/>
  <c r="L52" i="25"/>
  <c r="G51" i="25"/>
  <c r="I51" i="25"/>
  <c r="K51" i="25"/>
  <c r="L51" i="25"/>
  <c r="G50" i="25"/>
  <c r="I50" i="25"/>
  <c r="K50" i="25"/>
  <c r="L50" i="25"/>
  <c r="G49" i="25"/>
  <c r="I49" i="25"/>
  <c r="K49" i="25"/>
  <c r="L49" i="25"/>
  <c r="G48" i="25"/>
  <c r="I48" i="25"/>
  <c r="K48" i="25"/>
  <c r="L48" i="25"/>
  <c r="G47" i="25"/>
  <c r="I47" i="25"/>
  <c r="K47" i="25"/>
  <c r="L47" i="25"/>
  <c r="G46" i="25"/>
  <c r="I46" i="25"/>
  <c r="K46" i="25"/>
  <c r="L46" i="25"/>
  <c r="G45" i="25"/>
  <c r="I45" i="25"/>
  <c r="K45" i="25"/>
  <c r="L45" i="25"/>
  <c r="G44" i="25"/>
  <c r="I44" i="25"/>
  <c r="K44" i="25"/>
  <c r="L44" i="25"/>
  <c r="G43" i="25"/>
  <c r="I43" i="25"/>
  <c r="K43" i="25"/>
  <c r="L43" i="25"/>
  <c r="G42" i="25"/>
  <c r="I42" i="25"/>
  <c r="K42" i="25"/>
  <c r="L42" i="25"/>
  <c r="G41" i="25"/>
  <c r="I41" i="25"/>
  <c r="K41" i="25"/>
  <c r="L41" i="25"/>
  <c r="G40" i="25"/>
  <c r="I40" i="25"/>
  <c r="K40" i="25"/>
  <c r="L40" i="25"/>
  <c r="G39" i="25"/>
  <c r="I39" i="25"/>
  <c r="K39" i="25"/>
  <c r="L39" i="25"/>
  <c r="G38" i="25"/>
  <c r="I38" i="25"/>
  <c r="K38" i="25"/>
  <c r="L38" i="25"/>
  <c r="G37" i="25"/>
  <c r="I37" i="25"/>
  <c r="K37" i="25"/>
  <c r="L37" i="25"/>
  <c r="G36" i="25"/>
  <c r="I36" i="25"/>
  <c r="K36" i="25"/>
  <c r="L36" i="25"/>
  <c r="G35" i="25"/>
  <c r="I35" i="25"/>
  <c r="K35" i="25"/>
  <c r="L35" i="25"/>
  <c r="G34" i="25"/>
  <c r="I34" i="25"/>
  <c r="K34" i="25"/>
  <c r="L34" i="25"/>
  <c r="G33" i="25"/>
  <c r="I33" i="25"/>
  <c r="K33" i="25"/>
  <c r="L33" i="25"/>
  <c r="G32" i="25"/>
  <c r="I32" i="25"/>
  <c r="K32" i="25"/>
  <c r="L32" i="25"/>
  <c r="G31" i="25"/>
  <c r="I31" i="25"/>
  <c r="K31" i="25"/>
  <c r="L31" i="25"/>
  <c r="G30" i="25"/>
  <c r="I30" i="25"/>
  <c r="K30" i="25"/>
  <c r="L30" i="25"/>
  <c r="G29" i="25"/>
  <c r="I29" i="25"/>
  <c r="K29" i="25"/>
  <c r="L29" i="25"/>
  <c r="G28" i="25"/>
  <c r="I28" i="25"/>
  <c r="K28" i="25"/>
  <c r="L28" i="25"/>
  <c r="G27" i="25"/>
  <c r="I27" i="25"/>
  <c r="K27" i="25"/>
  <c r="L27" i="25"/>
  <c r="G26" i="25"/>
  <c r="I26" i="25"/>
  <c r="K26" i="25"/>
  <c r="L26" i="25"/>
  <c r="G25" i="25"/>
  <c r="I25" i="25"/>
  <c r="K25" i="25"/>
  <c r="L25" i="25"/>
  <c r="G24" i="25"/>
  <c r="I24" i="25"/>
  <c r="K24" i="25"/>
  <c r="L24" i="25"/>
  <c r="G23" i="25"/>
  <c r="I23" i="25"/>
  <c r="K23" i="25"/>
  <c r="L23" i="25"/>
  <c r="G22" i="25"/>
  <c r="I22" i="25"/>
  <c r="K22" i="25"/>
  <c r="L22" i="25"/>
  <c r="G21" i="25"/>
  <c r="I21" i="25"/>
  <c r="K21" i="25"/>
  <c r="L21" i="25"/>
  <c r="G20" i="25"/>
  <c r="I20" i="25"/>
  <c r="K20" i="25"/>
  <c r="L20" i="25"/>
  <c r="G19" i="25"/>
  <c r="I19" i="25"/>
  <c r="K19" i="25"/>
  <c r="L19" i="25"/>
  <c r="G18" i="25"/>
  <c r="I18" i="25"/>
  <c r="K18" i="25"/>
  <c r="L18" i="25"/>
  <c r="G17" i="25"/>
  <c r="I17" i="25"/>
  <c r="K17" i="25"/>
  <c r="L17" i="25"/>
  <c r="G16" i="25"/>
  <c r="I16" i="25"/>
  <c r="K16" i="25"/>
  <c r="L16" i="25"/>
  <c r="G15" i="25"/>
  <c r="I15" i="25"/>
  <c r="K15" i="25"/>
  <c r="L15" i="25"/>
  <c r="G14" i="25"/>
  <c r="I14" i="25"/>
  <c r="K14" i="25"/>
  <c r="L14" i="25"/>
  <c r="G13" i="25"/>
  <c r="I13" i="25"/>
  <c r="K13" i="25"/>
  <c r="L13" i="25"/>
  <c r="G12" i="25"/>
  <c r="I12" i="25"/>
  <c r="K12" i="25"/>
  <c r="L12" i="25"/>
  <c r="G11" i="25"/>
  <c r="I11" i="25"/>
  <c r="K11" i="25"/>
  <c r="L11" i="25"/>
  <c r="G10" i="25"/>
  <c r="I10" i="25"/>
  <c r="K10" i="25"/>
  <c r="L10" i="25"/>
  <c r="G9" i="25"/>
  <c r="I9" i="25"/>
  <c r="K9" i="25"/>
  <c r="L9" i="25"/>
  <c r="G8" i="25"/>
  <c r="I8" i="25"/>
  <c r="K8" i="25"/>
  <c r="L8" i="25"/>
  <c r="G7" i="25"/>
  <c r="I7" i="25"/>
  <c r="K7" i="25"/>
  <c r="L7" i="25"/>
  <c r="G6" i="25"/>
  <c r="I6" i="25"/>
  <c r="K6" i="25"/>
  <c r="L6" i="25"/>
  <c r="G5" i="25"/>
  <c r="I5" i="25"/>
  <c r="K5" i="25"/>
  <c r="L5" i="25"/>
  <c r="J3" i="25"/>
  <c r="C3" i="25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D43" i="26"/>
  <c r="D35" i="26"/>
  <c r="D41" i="26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D34" i="26"/>
  <c r="D36" i="26"/>
  <c r="D38" i="26"/>
  <c r="D31" i="26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G442" i="1"/>
  <c r="D32" i="26"/>
  <c r="D30" i="26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G96" i="1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G157" i="1"/>
  <c r="D20" i="29"/>
  <c r="F2" i="29"/>
  <c r="F3" i="29"/>
  <c r="F4" i="29"/>
  <c r="F5" i="29"/>
  <c r="F6" i="29"/>
  <c r="F7" i="29"/>
  <c r="F8" i="29"/>
  <c r="F9" i="29"/>
  <c r="F10" i="29"/>
  <c r="F11" i="29"/>
  <c r="F1" i="29"/>
  <c r="D16" i="29"/>
  <c r="D29" i="26"/>
  <c r="G156" i="1"/>
  <c r="G299" i="1"/>
  <c r="G362" i="1"/>
  <c r="D25" i="26"/>
  <c r="D26" i="26"/>
  <c r="G298" i="1"/>
  <c r="D39" i="26"/>
  <c r="G155" i="1"/>
  <c r="G154" i="1"/>
  <c r="D28" i="26"/>
  <c r="D27" i="26"/>
  <c r="G94" i="1"/>
  <c r="G95" i="1"/>
  <c r="G93" i="1"/>
  <c r="G153" i="1"/>
  <c r="G802" i="1"/>
  <c r="G801" i="1"/>
  <c r="G800" i="1"/>
  <c r="P28" i="27"/>
  <c r="P27" i="27"/>
  <c r="P26" i="27"/>
  <c r="O29" i="27"/>
  <c r="O28" i="27"/>
  <c r="O27" i="27"/>
  <c r="O26" i="27"/>
  <c r="G799" i="1"/>
  <c r="G798" i="1"/>
  <c r="G797" i="1"/>
  <c r="D45" i="26"/>
  <c r="D46" i="26"/>
  <c r="G796" i="1"/>
  <c r="D44" i="26"/>
  <c r="G795" i="1"/>
  <c r="G152" i="1"/>
  <c r="D48" i="26"/>
  <c r="G151" i="1"/>
  <c r="G92" i="1"/>
  <c r="D50" i="26"/>
  <c r="D49" i="26"/>
  <c r="G794" i="1"/>
  <c r="G44" i="1"/>
  <c r="G441" i="1"/>
  <c r="G43" i="1"/>
  <c r="G440" i="1"/>
  <c r="G439" i="1"/>
  <c r="G330" i="1"/>
  <c r="G329" i="1"/>
  <c r="G328" i="1"/>
  <c r="G327" i="1"/>
  <c r="G326" i="1"/>
  <c r="G325" i="1"/>
  <c r="D7" i="26"/>
  <c r="D8" i="26"/>
  <c r="D9" i="26"/>
  <c r="D10" i="26"/>
  <c r="D11" i="26"/>
  <c r="D12" i="26"/>
  <c r="D13" i="26"/>
  <c r="D14" i="26"/>
  <c r="D15" i="26"/>
  <c r="D16" i="26"/>
  <c r="D17" i="26"/>
  <c r="D18" i="26"/>
  <c r="D19" i="26"/>
  <c r="D20" i="26"/>
  <c r="D21" i="26"/>
  <c r="D22" i="26"/>
  <c r="D23" i="26"/>
  <c r="D24" i="26"/>
  <c r="G297" i="1"/>
  <c r="G91" i="1"/>
  <c r="G793" i="1"/>
  <c r="G296" i="1"/>
  <c r="G150" i="1"/>
  <c r="F16" i="29" l="1"/>
  <c r="F20" i="29" s="1"/>
  <c r="G792" i="1"/>
  <c r="E43" i="26" l="1"/>
  <c r="E44" i="26"/>
  <c r="E45" i="26"/>
  <c r="E46" i="26"/>
  <c r="E47" i="26"/>
  <c r="E54" i="26" s="1"/>
  <c r="E48" i="26"/>
  <c r="E49" i="26"/>
  <c r="E41" i="26"/>
  <c r="E42" i="26"/>
  <c r="E7" i="26"/>
  <c r="E8" i="26"/>
  <c r="E9" i="26"/>
  <c r="E10" i="26"/>
  <c r="E11" i="26"/>
  <c r="E12" i="26"/>
  <c r="E13" i="26"/>
  <c r="E14" i="26"/>
  <c r="E15" i="26"/>
  <c r="E16" i="26"/>
  <c r="E17" i="26"/>
  <c r="E18" i="26"/>
  <c r="E19" i="26"/>
  <c r="E20" i="26"/>
  <c r="E21" i="26"/>
  <c r="E22" i="26"/>
  <c r="E23" i="26"/>
  <c r="E24" i="26"/>
  <c r="E25" i="26"/>
  <c r="E26" i="26"/>
  <c r="E27" i="26"/>
  <c r="E28" i="26"/>
  <c r="E29" i="26"/>
  <c r="E30" i="26"/>
  <c r="E31" i="26"/>
  <c r="E32" i="26"/>
  <c r="E33" i="26"/>
  <c r="E34" i="26"/>
  <c r="E35" i="26"/>
  <c r="E36" i="26"/>
  <c r="E37" i="26"/>
  <c r="E38" i="26"/>
  <c r="E39" i="26"/>
  <c r="E40" i="26"/>
  <c r="G235" i="1" l="1"/>
  <c r="E6" i="26" l="1"/>
  <c r="G791" i="1" l="1"/>
  <c r="G790" i="1" l="1"/>
  <c r="G438" i="1" l="1"/>
  <c r="G90" i="1" l="1"/>
  <c r="G789" i="1" l="1"/>
  <c r="G268" i="1" l="1"/>
  <c r="G267" i="1"/>
  <c r="G266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189" i="1"/>
  <c r="G188" i="1"/>
  <c r="G187" i="1"/>
  <c r="G186" i="1"/>
  <c r="G184" i="1"/>
  <c r="G183" i="1"/>
  <c r="G182" i="1"/>
  <c r="G149" i="1"/>
  <c r="G148" i="1"/>
  <c r="G147" i="1"/>
  <c r="G146" i="1"/>
  <c r="G145" i="1"/>
  <c r="G144" i="1"/>
  <c r="G143" i="1"/>
  <c r="G141" i="1"/>
  <c r="G139" i="1"/>
  <c r="G136" i="1"/>
  <c r="G135" i="1"/>
  <c r="G130" i="1"/>
  <c r="G89" i="1"/>
  <c r="G88" i="1"/>
  <c r="G87" i="1"/>
  <c r="G86" i="1"/>
  <c r="G85" i="1"/>
  <c r="G84" i="1"/>
  <c r="G81" i="1" l="1"/>
  <c r="G80" i="1"/>
  <c r="G79" i="1"/>
  <c r="G76" i="1"/>
  <c r="G75" i="1"/>
  <c r="G42" i="1"/>
  <c r="G41" i="1"/>
  <c r="G40" i="1"/>
  <c r="G39" i="1"/>
  <c r="G38" i="1"/>
  <c r="G37" i="1"/>
  <c r="G36" i="1"/>
  <c r="G35" i="1"/>
  <c r="G34" i="1"/>
  <c r="G33" i="1"/>
  <c r="G788" i="1" l="1"/>
  <c r="G437" i="1" l="1"/>
  <c r="G436" i="1"/>
  <c r="G361" i="1"/>
  <c r="G360" i="1"/>
  <c r="G359" i="1"/>
  <c r="G358" i="1"/>
  <c r="G324" i="1"/>
  <c r="G295" i="1"/>
  <c r="G294" i="1"/>
  <c r="G787" i="1"/>
  <c r="G786" i="1"/>
  <c r="G785" i="1"/>
  <c r="G234" i="1" l="1"/>
  <c r="G142" i="1" l="1"/>
  <c r="G140" i="1"/>
  <c r="G323" i="1" l="1"/>
  <c r="G435" i="1" l="1"/>
  <c r="G322" i="1" l="1"/>
  <c r="G233" i="1" l="1"/>
  <c r="G408" i="1" l="1"/>
  <c r="G356" i="1"/>
  <c r="G357" i="1"/>
  <c r="G319" i="1"/>
  <c r="G320" i="1"/>
  <c r="G321" i="1"/>
  <c r="G290" i="1"/>
  <c r="G291" i="1"/>
  <c r="G292" i="1"/>
  <c r="G293" i="1"/>
  <c r="G433" i="1" l="1"/>
  <c r="G434" i="1"/>
  <c r="X9" i="26" l="1"/>
  <c r="G668" i="1" l="1"/>
  <c r="G669" i="1"/>
  <c r="D6" i="26" l="1"/>
  <c r="D59" i="26" s="1"/>
  <c r="G355" i="1" l="1"/>
  <c r="G354" i="1"/>
  <c r="H97" i="27"/>
  <c r="G499" i="1" l="1"/>
  <c r="G500" i="1"/>
  <c r="G529" i="1"/>
  <c r="G530" i="1"/>
  <c r="G531" i="1"/>
  <c r="G532" i="1"/>
  <c r="G533" i="1"/>
  <c r="G534" i="1"/>
  <c r="G535" i="1"/>
  <c r="G536" i="1"/>
  <c r="G537" i="1"/>
  <c r="G538" i="1"/>
  <c r="G606" i="1"/>
  <c r="G607" i="1"/>
  <c r="G608" i="1"/>
  <c r="G609" i="1"/>
  <c r="G663" i="1"/>
  <c r="G664" i="1"/>
  <c r="G665" i="1"/>
  <c r="G666" i="1"/>
  <c r="G667" i="1"/>
  <c r="G711" i="1"/>
  <c r="G713" i="1"/>
  <c r="G714" i="1"/>
  <c r="G715" i="1"/>
  <c r="G716" i="1"/>
  <c r="G717" i="1"/>
  <c r="G718" i="1"/>
  <c r="G719" i="1"/>
  <c r="G720" i="1"/>
  <c r="G721" i="1"/>
  <c r="G722" i="1"/>
  <c r="G723" i="1"/>
  <c r="G772" i="1"/>
  <c r="G773" i="1"/>
  <c r="G774" i="1"/>
  <c r="G132" i="1"/>
  <c r="G724" i="1"/>
  <c r="G77" i="1"/>
  <c r="G501" i="1"/>
  <c r="G775" i="1"/>
  <c r="G502" i="1"/>
  <c r="G610" i="1"/>
  <c r="G725" i="1"/>
  <c r="G539" i="1"/>
  <c r="G776" i="1"/>
  <c r="G503" i="1"/>
  <c r="G611" i="1"/>
  <c r="G407" i="1"/>
  <c r="G384" i="1"/>
  <c r="G540" i="1"/>
  <c r="G541" i="1"/>
  <c r="G542" i="1"/>
  <c r="G727" i="1"/>
  <c r="G726" i="1"/>
  <c r="G728" i="1"/>
  <c r="G729" i="1"/>
  <c r="G730" i="1"/>
  <c r="G731" i="1"/>
  <c r="G732" i="1"/>
  <c r="G543" i="1"/>
  <c r="G544" i="1"/>
  <c r="G545" i="1"/>
  <c r="G546" i="1"/>
  <c r="G547" i="1"/>
  <c r="G548" i="1"/>
  <c r="G549" i="1"/>
  <c r="G733" i="1"/>
  <c r="G735" i="1"/>
  <c r="G734" i="1"/>
  <c r="G612" i="1"/>
  <c r="G736" i="1"/>
  <c r="G737" i="1"/>
  <c r="G78" i="1"/>
  <c r="G134" i="1"/>
  <c r="G185" i="1"/>
  <c r="G137" i="1"/>
  <c r="G138" i="1"/>
  <c r="G318" i="1"/>
  <c r="G82" i="1"/>
  <c r="G8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L54" i="3" l="1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84" i="3"/>
  <c r="L85" i="3"/>
  <c r="L87" i="3"/>
  <c r="L88" i="3"/>
  <c r="L93" i="3"/>
  <c r="L102" i="3"/>
  <c r="L116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82" i="3"/>
  <c r="L283" i="3"/>
  <c r="L284" i="3"/>
  <c r="L285" i="3"/>
  <c r="L286" i="3"/>
  <c r="L288" i="3"/>
  <c r="L289" i="3"/>
  <c r="L290" i="3"/>
  <c r="L291" i="3"/>
  <c r="L292" i="3"/>
  <c r="L293" i="3"/>
  <c r="L294" i="3"/>
  <c r="L295" i="3"/>
  <c r="L296" i="3"/>
  <c r="L2" i="3"/>
  <c r="L3" i="3"/>
  <c r="L4" i="3"/>
  <c r="L5" i="3"/>
  <c r="L6" i="3"/>
  <c r="L10" i="3"/>
  <c r="L11" i="3"/>
  <c r="L12" i="3"/>
  <c r="L13" i="3"/>
  <c r="L14" i="3"/>
  <c r="L15" i="3"/>
  <c r="L16" i="3"/>
  <c r="L17" i="3"/>
  <c r="L18" i="3"/>
  <c r="L22" i="3"/>
  <c r="L23" i="3"/>
  <c r="L24" i="3"/>
  <c r="L25" i="3"/>
  <c r="L26" i="3"/>
  <c r="L34" i="3"/>
  <c r="L38" i="3"/>
  <c r="L39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I54" i="3"/>
  <c r="X10" i="26" l="1"/>
  <c r="X11" i="26"/>
  <c r="X12" i="26"/>
  <c r="X13" i="26"/>
  <c r="X18" i="26" l="1"/>
  <c r="G498" i="1" l="1"/>
  <c r="G712" i="1" l="1"/>
  <c r="G605" i="1" l="1"/>
  <c r="G604" i="1" l="1"/>
  <c r="G603" i="1"/>
  <c r="G602" i="1"/>
  <c r="G528" i="1" l="1"/>
  <c r="G497" i="1" l="1"/>
  <c r="G496" i="1"/>
  <c r="G495" i="1"/>
  <c r="G710" i="1" l="1"/>
  <c r="G771" i="1"/>
  <c r="G770" i="1"/>
  <c r="G709" i="1"/>
  <c r="G708" i="1"/>
  <c r="G707" i="1"/>
  <c r="G706" i="1"/>
  <c r="G662" i="1" l="1"/>
  <c r="G601" i="1" l="1"/>
  <c r="G600" i="1"/>
  <c r="G599" i="1"/>
  <c r="G598" i="1"/>
  <c r="G597" i="1"/>
  <c r="G494" i="1" l="1"/>
  <c r="G493" i="1"/>
  <c r="G596" i="1" l="1"/>
  <c r="G527" i="1" l="1"/>
  <c r="G595" i="1" l="1"/>
  <c r="G594" i="1"/>
  <c r="G705" i="1" l="1"/>
  <c r="G593" i="1" l="1"/>
  <c r="G526" i="1" l="1"/>
  <c r="G492" i="1" l="1"/>
  <c r="G661" i="1" l="1"/>
  <c r="G768" i="1" l="1"/>
  <c r="G769" i="1" l="1"/>
  <c r="G784" i="1" l="1"/>
  <c r="G592" i="1" l="1"/>
  <c r="G591" i="1"/>
  <c r="G590" i="1"/>
  <c r="G133" i="1" l="1"/>
  <c r="G525" i="1" l="1"/>
  <c r="G74" i="1"/>
  <c r="G265" i="1" l="1"/>
  <c r="G767" i="1"/>
  <c r="G406" i="1"/>
  <c r="G264" i="1" l="1"/>
  <c r="G704" i="1"/>
  <c r="G766" i="1" l="1"/>
  <c r="G660" i="1" l="1"/>
  <c r="G382" i="1"/>
  <c r="G73" i="1" l="1"/>
  <c r="G289" i="1" l="1"/>
  <c r="G32" i="1" l="1"/>
  <c r="G383" i="1" l="1"/>
  <c r="G589" i="1" l="1"/>
  <c r="G353" i="1"/>
  <c r="G352" i="1"/>
  <c r="G783" i="1" l="1"/>
  <c r="G524" i="1"/>
  <c r="G317" i="1"/>
  <c r="G765" i="1" l="1"/>
  <c r="G491" i="1"/>
  <c r="G763" i="1" l="1"/>
  <c r="G764" i="1"/>
  <c r="G432" i="1"/>
  <c r="G490" i="1" l="1"/>
  <c r="G761" i="1" l="1"/>
  <c r="G762" i="1"/>
  <c r="G588" i="1" l="1"/>
  <c r="G703" i="1" l="1"/>
  <c r="G181" i="1" l="1"/>
  <c r="G350" i="1" l="1"/>
  <c r="G523" i="1" l="1"/>
  <c r="G489" i="1" l="1"/>
  <c r="G587" i="1"/>
  <c r="G316" i="1" l="1"/>
  <c r="G488" i="1" l="1"/>
  <c r="G659" i="1" l="1"/>
  <c r="G484" i="1" l="1"/>
  <c r="G485" i="1"/>
  <c r="G486" i="1"/>
  <c r="G487" i="1"/>
  <c r="G483" i="1" l="1"/>
  <c r="G759" i="1" l="1"/>
  <c r="G758" i="1"/>
  <c r="G760" i="1"/>
  <c r="G702" i="1"/>
  <c r="G701" i="1"/>
  <c r="G699" i="1"/>
  <c r="G657" i="1" l="1"/>
  <c r="G658" i="1"/>
  <c r="G700" i="1" l="1"/>
  <c r="G756" i="1"/>
  <c r="G757" i="1"/>
  <c r="G431" i="1"/>
  <c r="G696" i="1" l="1"/>
  <c r="G697" i="1"/>
  <c r="G698" i="1"/>
  <c r="G656" i="1" l="1"/>
  <c r="G586" i="1" l="1"/>
  <c r="G521" i="1" l="1"/>
  <c r="G481" i="1"/>
  <c r="G522" i="1"/>
  <c r="G482" i="1" l="1"/>
  <c r="G695" i="1" l="1"/>
  <c r="G655" i="1" l="1"/>
  <c r="G654" i="1"/>
  <c r="G584" i="1" l="1"/>
  <c r="G585" i="1" l="1"/>
  <c r="G480" i="1" l="1"/>
  <c r="G479" i="1" l="1"/>
  <c r="G288" i="1"/>
  <c r="G755" i="1" l="1"/>
  <c r="G754" i="1"/>
  <c r="G651" i="1" l="1"/>
  <c r="G652" i="1"/>
  <c r="G653" i="1"/>
  <c r="G694" i="1" l="1"/>
  <c r="G381" i="1"/>
  <c r="G380" i="1"/>
  <c r="G583" i="1"/>
  <c r="G520" i="1" l="1"/>
  <c r="G478" i="1" l="1"/>
  <c r="G260" i="1"/>
  <c r="G582" i="1" l="1"/>
  <c r="G753" i="1" l="1"/>
  <c r="G752" i="1"/>
  <c r="G693" i="1"/>
  <c r="G430" i="1"/>
  <c r="G261" i="1"/>
  <c r="G263" i="1"/>
  <c r="G692" i="1" l="1"/>
  <c r="G405" i="1"/>
  <c r="G650" i="1" l="1"/>
  <c r="G476" i="1" l="1"/>
  <c r="G477" i="1"/>
  <c r="G287" i="1"/>
  <c r="G751" i="1" l="1"/>
  <c r="G262" i="1"/>
  <c r="G691" i="1"/>
  <c r="G581" i="1" l="1"/>
  <c r="G649" i="1"/>
  <c r="G575" i="1" l="1"/>
  <c r="G576" i="1"/>
  <c r="G577" i="1"/>
  <c r="G578" i="1"/>
  <c r="G579" i="1"/>
  <c r="G580" i="1"/>
  <c r="G351" i="1"/>
  <c r="G519" i="1" l="1"/>
  <c r="G689" i="1" l="1"/>
  <c r="G690" i="1"/>
  <c r="G750" i="1"/>
  <c r="G404" i="1"/>
  <c r="G573" i="1" l="1"/>
  <c r="G349" i="1"/>
  <c r="G518" i="1" l="1"/>
  <c r="G471" i="1" l="1"/>
  <c r="G472" i="1"/>
  <c r="G475" i="1"/>
  <c r="G474" i="1"/>
  <c r="G473" i="1"/>
  <c r="G403" i="1" l="1"/>
  <c r="G749" i="1" l="1"/>
  <c r="G748" i="1"/>
  <c r="G688" i="1" l="1"/>
  <c r="G687" i="1"/>
  <c r="G644" i="1" l="1"/>
  <c r="G645" i="1"/>
  <c r="G646" i="1"/>
  <c r="G647" i="1"/>
  <c r="G648" i="1"/>
  <c r="G561" i="1" l="1"/>
  <c r="G574" i="1" l="1"/>
  <c r="G571" i="1"/>
  <c r="G572" i="1"/>
  <c r="G315" i="1" l="1"/>
  <c r="G747" i="1" l="1"/>
  <c r="G402" i="1" l="1"/>
  <c r="G782" i="1" l="1"/>
  <c r="G686" i="1" l="1"/>
  <c r="G131" i="1"/>
  <c r="G781" i="1" l="1"/>
  <c r="G780" i="1" l="1"/>
  <c r="G779" i="1" l="1"/>
  <c r="G778" i="1"/>
  <c r="G777" i="1" l="1"/>
  <c r="G470" i="1" l="1"/>
  <c r="G641" i="1" l="1"/>
  <c r="G642" i="1"/>
  <c r="G643" i="1"/>
  <c r="G379" i="1"/>
  <c r="G378" i="1"/>
  <c r="G429" i="1" l="1"/>
  <c r="G377" i="1"/>
  <c r="G401" i="1"/>
  <c r="G314" i="1"/>
  <c r="G467" i="1" l="1"/>
  <c r="G468" i="1"/>
  <c r="G469" i="1"/>
  <c r="G31" i="1"/>
  <c r="G745" i="1" l="1"/>
  <c r="G746" i="1"/>
  <c r="G639" i="1" l="1"/>
  <c r="G638" i="1"/>
  <c r="G640" i="1"/>
  <c r="G568" i="1" l="1"/>
  <c r="G560" i="1"/>
  <c r="G569" i="1"/>
  <c r="G570" i="1"/>
  <c r="G567" i="1" l="1"/>
  <c r="G464" i="1"/>
  <c r="G465" i="1"/>
  <c r="G466" i="1"/>
  <c r="G286" i="1"/>
  <c r="G285" i="1"/>
  <c r="G744" i="1" l="1"/>
  <c r="G684" i="1"/>
  <c r="G685" i="1"/>
  <c r="G636" i="1" l="1"/>
  <c r="G637" i="1"/>
  <c r="G635" i="1"/>
  <c r="G376" i="1"/>
  <c r="G375" i="1"/>
  <c r="G463" i="1" l="1"/>
  <c r="G562" i="1"/>
  <c r="G563" i="1"/>
  <c r="G564" i="1"/>
  <c r="G565" i="1"/>
  <c r="G566" i="1"/>
  <c r="G517" i="1" l="1"/>
  <c r="G462" i="1" l="1"/>
  <c r="G461" i="1"/>
  <c r="G460" i="1"/>
  <c r="G459" i="1"/>
  <c r="G458" i="1"/>
  <c r="G428" i="1" l="1"/>
  <c r="G443" i="1" l="1"/>
  <c r="G269" i="1"/>
  <c r="G2" i="1"/>
  <c r="G743" i="1" l="1"/>
  <c r="G259" i="1"/>
  <c r="G683" i="1"/>
  <c r="G682" i="1"/>
  <c r="G634" i="1" l="1"/>
  <c r="G632" i="1"/>
  <c r="G631" i="1"/>
  <c r="G633" i="1"/>
  <c r="G348" i="1" l="1"/>
  <c r="G373" i="1"/>
  <c r="G374" i="1"/>
  <c r="G129" i="1"/>
  <c r="G803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63" i="1"/>
  <c r="G364" i="1"/>
  <c r="G365" i="1"/>
  <c r="G366" i="1"/>
  <c r="G367" i="1"/>
  <c r="G368" i="1"/>
  <c r="G369" i="1"/>
  <c r="G370" i="1"/>
  <c r="G371" i="1"/>
  <c r="G372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50" i="1"/>
  <c r="G551" i="1"/>
  <c r="G552" i="1"/>
  <c r="G553" i="1"/>
  <c r="G554" i="1"/>
  <c r="G555" i="1"/>
  <c r="G556" i="1"/>
  <c r="G557" i="1"/>
  <c r="G558" i="1"/>
  <c r="G559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738" i="1"/>
  <c r="G739" i="1"/>
  <c r="G740" i="1"/>
  <c r="G741" i="1"/>
  <c r="G742" i="1"/>
</calcChain>
</file>

<file path=xl/sharedStrings.xml><?xml version="1.0" encoding="utf-8"?>
<sst xmlns="http://schemas.openxmlformats.org/spreadsheetml/2006/main" count="6644" uniqueCount="1325">
  <si>
    <t>Kunde Nr.</t>
  </si>
  <si>
    <t>KundenName</t>
  </si>
  <si>
    <t>Ort</t>
  </si>
  <si>
    <t>Nr.Unik</t>
  </si>
  <si>
    <t>Tel.:</t>
  </si>
  <si>
    <t>FUNDAMETI</t>
  </si>
  <si>
    <t>LILI</t>
  </si>
  <si>
    <t>BEKA-1</t>
  </si>
  <si>
    <t>EUROSAN</t>
  </si>
  <si>
    <t>TE REXHA</t>
  </si>
  <si>
    <t>ELIONI-1</t>
  </si>
  <si>
    <t>ELIONI-2</t>
  </si>
  <si>
    <t>ERALP</t>
  </si>
  <si>
    <t>PALLMA</t>
  </si>
  <si>
    <t>044 194 544</t>
  </si>
  <si>
    <t>044 163 720</t>
  </si>
  <si>
    <t>044 125 833</t>
  </si>
  <si>
    <t>OLTIONI</t>
  </si>
  <si>
    <t>MAJLI-COM</t>
  </si>
  <si>
    <t>BARDHI</t>
  </si>
  <si>
    <t>FATMIRI</t>
  </si>
  <si>
    <t>REFORMA</t>
  </si>
  <si>
    <t>BASHKIMI</t>
  </si>
  <si>
    <t>BEKA-2</t>
  </si>
  <si>
    <t>HEKURANI</t>
  </si>
  <si>
    <t>VATRA-1</t>
  </si>
  <si>
    <t>VATRA-2</t>
  </si>
  <si>
    <t>DANI-COM</t>
  </si>
  <si>
    <t>VATANI</t>
  </si>
  <si>
    <t>TE XHELA</t>
  </si>
  <si>
    <t>BEKA-3</t>
  </si>
  <si>
    <t>SHKELQIMI</t>
  </si>
  <si>
    <t>VITI</t>
  </si>
  <si>
    <t>GJILAN</t>
  </si>
  <si>
    <t>PARKETI</t>
  </si>
  <si>
    <t>VINEX</t>
  </si>
  <si>
    <t>ER POWER</t>
  </si>
  <si>
    <t>KLLOKOT</t>
  </si>
  <si>
    <t>BEKA</t>
  </si>
  <si>
    <t>GOLF</t>
  </si>
  <si>
    <t>POZHARAN</t>
  </si>
  <si>
    <t>BURIMI</t>
  </si>
  <si>
    <t>DINAMO</t>
  </si>
  <si>
    <t>DARDANIA</t>
  </si>
  <si>
    <t>044 141 534</t>
  </si>
  <si>
    <t>DRENAS</t>
  </si>
  <si>
    <t>XEMI-COLOR</t>
  </si>
  <si>
    <t>TERMIKA</t>
  </si>
  <si>
    <t>TE MENTORI</t>
  </si>
  <si>
    <t>BESI</t>
  </si>
  <si>
    <t>SKENDERAJ</t>
  </si>
  <si>
    <t>A.P. HOTI</t>
  </si>
  <si>
    <t>BENI</t>
  </si>
  <si>
    <t>TE BENI</t>
  </si>
  <si>
    <t>DECOR PLUS</t>
  </si>
  <si>
    <t>SUHAREK</t>
  </si>
  <si>
    <t>LUMBARDH ASLLANAJ</t>
  </si>
  <si>
    <t>049 45 6888</t>
  </si>
  <si>
    <t>049 656 878</t>
  </si>
  <si>
    <t>MEGI</t>
  </si>
  <si>
    <t>NIVELIZIMI-D SH.P.K.</t>
  </si>
  <si>
    <t>049 229 537</t>
  </si>
  <si>
    <t>RIARD SHALA B.I.</t>
  </si>
  <si>
    <t>PRIZREN</t>
  </si>
  <si>
    <t>044 818 931</t>
  </si>
  <si>
    <t>CUNI SH.P.K.</t>
  </si>
  <si>
    <t>044 187 053</t>
  </si>
  <si>
    <t>FITIMI-F SH.P.K.</t>
  </si>
  <si>
    <t>049 662 682</t>
  </si>
  <si>
    <t>INFO</t>
  </si>
  <si>
    <t>LANDOVIC-PZ.</t>
  </si>
  <si>
    <t>PREMTONI NTP</t>
  </si>
  <si>
    <t>EGZONI-D</t>
  </si>
  <si>
    <t>RATKOC</t>
  </si>
  <si>
    <t>RATKOC-XERX</t>
  </si>
  <si>
    <t>LANI NTP</t>
  </si>
  <si>
    <t>RATKOC-RAHOVEC</t>
  </si>
  <si>
    <t>GERQINA-1</t>
  </si>
  <si>
    <t>INTERGRAFIKA NTP</t>
  </si>
  <si>
    <t>GLOSI LLC</t>
  </si>
  <si>
    <t>KundenNr.</t>
  </si>
  <si>
    <t>Wert</t>
  </si>
  <si>
    <t>Art. 1</t>
  </si>
  <si>
    <t>St. 1</t>
  </si>
  <si>
    <t>Art. 2</t>
  </si>
  <si>
    <t>St. 2</t>
  </si>
  <si>
    <t>Art. 3</t>
  </si>
  <si>
    <t>St. 3</t>
  </si>
  <si>
    <t>Art. 4</t>
  </si>
  <si>
    <t>St. 4</t>
  </si>
  <si>
    <t>Art. 5</t>
  </si>
  <si>
    <t>St. 5</t>
  </si>
  <si>
    <t>Art. 6</t>
  </si>
  <si>
    <t>St. 7</t>
  </si>
  <si>
    <t>St. 6</t>
  </si>
  <si>
    <t>Art. 7</t>
  </si>
  <si>
    <t>Art. 8</t>
  </si>
  <si>
    <t>St. 9</t>
  </si>
  <si>
    <t>St. 8</t>
  </si>
  <si>
    <t>Art. 9</t>
  </si>
  <si>
    <t>Art. 10</t>
  </si>
  <si>
    <t>St. 10</t>
  </si>
  <si>
    <t>Art. 11</t>
  </si>
  <si>
    <t>St. 11</t>
  </si>
  <si>
    <t>Art. 12</t>
  </si>
  <si>
    <t>St. 12</t>
  </si>
  <si>
    <t>Art. 13</t>
  </si>
  <si>
    <t>St. 13</t>
  </si>
  <si>
    <t>Art. 14</t>
  </si>
  <si>
    <t>St. 14</t>
  </si>
  <si>
    <t>Art. 15</t>
  </si>
  <si>
    <t>St. 15</t>
  </si>
  <si>
    <t>Art. 16</t>
  </si>
  <si>
    <t>St. 16</t>
  </si>
  <si>
    <t>Art. 17</t>
  </si>
  <si>
    <t>St. 17</t>
  </si>
  <si>
    <t>Art. 18</t>
  </si>
  <si>
    <t>St. 18</t>
  </si>
  <si>
    <t>Art. 19</t>
  </si>
  <si>
    <t>St. 19</t>
  </si>
  <si>
    <t>Art. 20</t>
  </si>
  <si>
    <t>St. 20</t>
  </si>
  <si>
    <t>Art. 21</t>
  </si>
  <si>
    <t>St. 21</t>
  </si>
  <si>
    <t>Art. 22</t>
  </si>
  <si>
    <t>St. 22</t>
  </si>
  <si>
    <t>Art. 23</t>
  </si>
  <si>
    <t>St. 23</t>
  </si>
  <si>
    <t>Art. 24</t>
  </si>
  <si>
    <t>St. 24</t>
  </si>
  <si>
    <t>Art. 25</t>
  </si>
  <si>
    <t>St. 25</t>
  </si>
  <si>
    <t>Art. 26</t>
  </si>
  <si>
    <t>St. 26</t>
  </si>
  <si>
    <t>Art. Nr.</t>
  </si>
  <si>
    <t>Emrimi</t>
  </si>
  <si>
    <t>EAN CODE</t>
  </si>
  <si>
    <t>QMIMI</t>
  </si>
  <si>
    <t>BioBlic Powertabs</t>
  </si>
  <si>
    <t>10 kg</t>
  </si>
  <si>
    <t>Bodenreiniger</t>
  </si>
  <si>
    <t>4 Ltr</t>
  </si>
  <si>
    <t>750 ml</t>
  </si>
  <si>
    <t>750  ml</t>
  </si>
  <si>
    <t>Aluminium Spray</t>
  </si>
  <si>
    <t>400 ml alu</t>
  </si>
  <si>
    <t>Chrom Spay</t>
  </si>
  <si>
    <t>400 ml crom</t>
  </si>
  <si>
    <t>4  ltr</t>
  </si>
  <si>
    <t>30 l</t>
  </si>
  <si>
    <t>BioBlic Kamin&amp;Grill</t>
  </si>
  <si>
    <t>750ml</t>
  </si>
  <si>
    <t>400 ml schwarz</t>
  </si>
  <si>
    <t>Blic Blic Sanitärreiniger</t>
  </si>
  <si>
    <t>Metalspray</t>
  </si>
  <si>
    <t>400 ml  Edelstahl</t>
  </si>
  <si>
    <t>400 ml Kupfer</t>
  </si>
  <si>
    <t>30 Ltr</t>
  </si>
  <si>
    <t>BIO BLIC Powertabs Aktion</t>
  </si>
  <si>
    <t>Bremsenreiniger</t>
  </si>
  <si>
    <t>5 Ltr</t>
  </si>
  <si>
    <t>500 ml</t>
  </si>
  <si>
    <t>Industrie Schnellreiniger</t>
  </si>
  <si>
    <t>Montagereiniger citro</t>
  </si>
  <si>
    <t>400 ml</t>
  </si>
  <si>
    <t>Citrusreiniger-spray</t>
  </si>
  <si>
    <t>Cockpitreiniger</t>
  </si>
  <si>
    <t>10 Ltr</t>
  </si>
  <si>
    <t>Cockpit silikon citro</t>
  </si>
  <si>
    <t>Cockpit silikon apfel</t>
  </si>
  <si>
    <t>Cockpit silikon minze</t>
  </si>
  <si>
    <t>Cockpit silikon kiefer/fichte</t>
  </si>
  <si>
    <t>Edelstahl reiniger</t>
  </si>
  <si>
    <t>Lack- und Dichtungsentferner</t>
  </si>
  <si>
    <t>Entfroster Spray</t>
  </si>
  <si>
    <t>Einspritzsystem Reiniger</t>
  </si>
  <si>
    <t>250 ml</t>
  </si>
  <si>
    <t>Glättmittel</t>
  </si>
  <si>
    <t>4 ltr</t>
  </si>
  <si>
    <t>Preimer</t>
  </si>
  <si>
    <t>30 mml</t>
  </si>
  <si>
    <t>310 ml weiss</t>
  </si>
  <si>
    <t>310 ml grau</t>
  </si>
  <si>
    <t>310 ml transparent</t>
  </si>
  <si>
    <t>400 ml Schwarz</t>
  </si>
  <si>
    <t>310 ml</t>
  </si>
  <si>
    <t>310 ml Schwarz</t>
  </si>
  <si>
    <t>Felgensilber</t>
  </si>
  <si>
    <t>400 ml silber</t>
  </si>
  <si>
    <t>Kühlreiniger</t>
  </si>
  <si>
    <t>Scheibenreiniger Sommer</t>
  </si>
  <si>
    <t>Kühlerdicht</t>
  </si>
  <si>
    <t>Fettspray</t>
  </si>
  <si>
    <t>400 ml hellbraun</t>
  </si>
  <si>
    <t>Sprühfett</t>
  </si>
  <si>
    <t>400 ml weiss</t>
  </si>
  <si>
    <t>Haftschmierspray</t>
  </si>
  <si>
    <t>400 ml transparen</t>
  </si>
  <si>
    <t>Power Diesel additiv</t>
  </si>
  <si>
    <t>Klimaanlagen Schaumreiniger</t>
  </si>
  <si>
    <t>Lackreiniger</t>
  </si>
  <si>
    <t>Hochglanzpolitur</t>
  </si>
  <si>
    <t>Hartglanzwachs</t>
  </si>
  <si>
    <t>Haftgrund</t>
  </si>
  <si>
    <t>400 ml grau</t>
  </si>
  <si>
    <t>Rostpreimer</t>
  </si>
  <si>
    <t>400 ml rot-braun</t>
  </si>
  <si>
    <t>Kontacktspray</t>
  </si>
  <si>
    <t>Kontacktreiniger</t>
  </si>
  <si>
    <t>WET 40</t>
  </si>
  <si>
    <t>Handwaschpaste</t>
  </si>
  <si>
    <t>Handschuhspray</t>
  </si>
  <si>
    <t>Hohlraumschutz</t>
  </si>
  <si>
    <t>1 Ltr braun</t>
  </si>
  <si>
    <t>1 ltr</t>
  </si>
  <si>
    <t>Waschhallenreiniger</t>
  </si>
  <si>
    <t>Schmieröl- Lebensmittelecht</t>
  </si>
  <si>
    <t>Universal Sprühöl</t>
  </si>
  <si>
    <t>Lecksucher</t>
  </si>
  <si>
    <t>Lecksucher WB</t>
  </si>
  <si>
    <t>Mackierungsfarbe</t>
  </si>
  <si>
    <t>500 ml weiss</t>
  </si>
  <si>
    <t>500 ml  blau</t>
  </si>
  <si>
    <t>500 ml  rot</t>
  </si>
  <si>
    <t>500 ml  gelb</t>
  </si>
  <si>
    <t>500 ml  grün</t>
  </si>
  <si>
    <t>500 ml  orange</t>
  </si>
  <si>
    <t>500 ml neon-rot</t>
  </si>
  <si>
    <t>Llack sprei RAL 7035</t>
  </si>
  <si>
    <t>400 ml lichtgrau</t>
  </si>
  <si>
    <t>Llack sprei RAL 2002</t>
  </si>
  <si>
    <t>400 ml blutorange</t>
  </si>
  <si>
    <t>Llack sprei RAL 3000</t>
  </si>
  <si>
    <t>400 ml feuerrot</t>
  </si>
  <si>
    <t>Llack sprei RAL 2011</t>
  </si>
  <si>
    <t>400 ml tieforange</t>
  </si>
  <si>
    <t>Llack sprei</t>
  </si>
  <si>
    <t>400 ml gold</t>
  </si>
  <si>
    <t>Llak sprei RAL 5015</t>
  </si>
  <si>
    <t>400 ml himmelblau</t>
  </si>
  <si>
    <t>Llak sprei RAL 8011</t>
  </si>
  <si>
    <t>400 ml nussbraun</t>
  </si>
  <si>
    <t>Laksprej RAL 1021</t>
  </si>
  <si>
    <t>400 ml gelb</t>
  </si>
  <si>
    <t>Llak sprei RAL 6018</t>
  </si>
  <si>
    <t>400 ml hellgrün</t>
  </si>
  <si>
    <t>Llak sprei RAL 5010</t>
  </si>
  <si>
    <t>400 ml dunkelblau</t>
  </si>
  <si>
    <t>Llak sprei</t>
  </si>
  <si>
    <t>400 ml kieselgrau</t>
  </si>
  <si>
    <t>Llak sprei RAL 1013</t>
  </si>
  <si>
    <t>400 ml perlweiss</t>
  </si>
  <si>
    <t>Llak sprei RAL 1015</t>
  </si>
  <si>
    <t>400 ml hell-elfenbein</t>
  </si>
  <si>
    <t>Lackspray RAL 6011</t>
  </si>
  <si>
    <t>400 ml Resedagrün</t>
  </si>
  <si>
    <t>Kunststoffhaftgrund</t>
  </si>
  <si>
    <t>400 ml  transparent</t>
  </si>
  <si>
    <t>Hochtemperaturlack</t>
  </si>
  <si>
    <t>400 ml Silber</t>
  </si>
  <si>
    <t>Motorreiniger</t>
  </si>
  <si>
    <t>KKP 1</t>
  </si>
  <si>
    <t>Bio Clean</t>
  </si>
  <si>
    <t>1 Ltr</t>
  </si>
  <si>
    <t>UBS Überlack</t>
  </si>
  <si>
    <t>500 ml grau</t>
  </si>
  <si>
    <t>Kettenspray</t>
  </si>
  <si>
    <t>Klarlack</t>
  </si>
  <si>
    <t>Motorschutzlack</t>
  </si>
  <si>
    <t>400 ml transperent</t>
  </si>
  <si>
    <t>Keramikpastenspray</t>
  </si>
  <si>
    <t>Alupaste BKM</t>
  </si>
  <si>
    <t>500 gr.</t>
  </si>
  <si>
    <t>Kupferpaste</t>
  </si>
  <si>
    <t>Grafit spray</t>
  </si>
  <si>
    <t>Keilrimenspray</t>
  </si>
  <si>
    <t>Kamin und Ofendicht</t>
  </si>
  <si>
    <t>Kleb und Dicht KD40</t>
  </si>
  <si>
    <t>290 ml grau</t>
  </si>
  <si>
    <t>290 ml transp.</t>
  </si>
  <si>
    <t>290 ml schwartz</t>
  </si>
  <si>
    <t>Silikon spray</t>
  </si>
  <si>
    <t>400 ml trasparent</t>
  </si>
  <si>
    <t>Kältespray</t>
  </si>
  <si>
    <t>Reifenschaum</t>
  </si>
  <si>
    <t>Rostschock</t>
  </si>
  <si>
    <t>Demontageöl</t>
  </si>
  <si>
    <t>Rostlöser</t>
  </si>
  <si>
    <t>Autoshampon+Wax</t>
  </si>
  <si>
    <t>30 ltr 1l gefült</t>
  </si>
  <si>
    <t>Polster und Innenraumreiniger</t>
  </si>
  <si>
    <t>Bohr- und schneidöl</t>
  </si>
  <si>
    <t>Glasglanz Schaibenreiniger</t>
  </si>
  <si>
    <t>Scheiben und polsterreiniger</t>
  </si>
  <si>
    <t>Universal -Dichtung UD40</t>
  </si>
  <si>
    <t>200 ml schwarz</t>
  </si>
  <si>
    <t>Sanitärsilikon Prämium</t>
  </si>
  <si>
    <t>280 ml Silbergrau</t>
  </si>
  <si>
    <t>280 ml Transp.</t>
  </si>
  <si>
    <t>280 ml Weiß</t>
  </si>
  <si>
    <t>280 ml Bahama.</t>
  </si>
  <si>
    <t>280 ml Braun</t>
  </si>
  <si>
    <t>280 ml Grau</t>
  </si>
  <si>
    <t>280 ml Jasmin</t>
  </si>
  <si>
    <t>280 ml Pergamon</t>
  </si>
  <si>
    <t>280 ml Manhatten</t>
  </si>
  <si>
    <t>280 ml Caramel</t>
  </si>
  <si>
    <t>280 ml Anthrazit</t>
  </si>
  <si>
    <t>280 ml Hellgrau</t>
  </si>
  <si>
    <t>280 ml Alusilber</t>
  </si>
  <si>
    <t>280 ml Eiche</t>
  </si>
  <si>
    <t>280 ml Kiefer</t>
  </si>
  <si>
    <t>280 ml Buche</t>
  </si>
  <si>
    <t>Akryl 200D</t>
  </si>
  <si>
    <t xml:space="preserve">310 ml </t>
  </si>
  <si>
    <t>Maler und Struckturacryl</t>
  </si>
  <si>
    <t>Universal Acryl</t>
  </si>
  <si>
    <t>Bau fenster silikon 300 N</t>
  </si>
  <si>
    <t>310 ml alu</t>
  </si>
  <si>
    <t>310 ml weiß</t>
  </si>
  <si>
    <t>310 ml  schwarz</t>
  </si>
  <si>
    <t>Bau und fenster silikon 300N</t>
  </si>
  <si>
    <t>310 mlbraun</t>
  </si>
  <si>
    <t>Lackspray  glänzend</t>
  </si>
  <si>
    <t>310 ml eiche</t>
  </si>
  <si>
    <t>310 ml kiefer</t>
  </si>
  <si>
    <t>310 ml buche</t>
  </si>
  <si>
    <t>Bau Sanitärsilikon 300N</t>
  </si>
  <si>
    <t>310 ml Transp.</t>
  </si>
  <si>
    <t>310 ml Grau</t>
  </si>
  <si>
    <t>Schweißschutz   CO2</t>
  </si>
  <si>
    <t>Motorstarter</t>
  </si>
  <si>
    <t>500ml schwarz</t>
  </si>
  <si>
    <t>Schraubensicherung  SSM</t>
  </si>
  <si>
    <t>Schraubensicherung  SSH</t>
  </si>
  <si>
    <t>50 ml grün</t>
  </si>
  <si>
    <t>Kim - Tec Buchsen-und Lagerkleba</t>
  </si>
  <si>
    <t>50 ml</t>
  </si>
  <si>
    <t>Flüssigmetall</t>
  </si>
  <si>
    <t>24 ml</t>
  </si>
  <si>
    <t>MK 40 Kleber</t>
  </si>
  <si>
    <t>25 ml</t>
  </si>
  <si>
    <t>Hochleistungskleber</t>
  </si>
  <si>
    <t>290 ml</t>
  </si>
  <si>
    <t>28 ml</t>
  </si>
  <si>
    <t>25ml Blister</t>
  </si>
  <si>
    <t>10 ml Blister</t>
  </si>
  <si>
    <t>Lackspray glänzent</t>
  </si>
  <si>
    <t>400 ml weis</t>
  </si>
  <si>
    <t>Lackspray matt</t>
  </si>
  <si>
    <t>Zinkspray</t>
  </si>
  <si>
    <t>Zink-alu-spray</t>
  </si>
  <si>
    <t>Zinksausbesserung</t>
  </si>
  <si>
    <t>Zweitrad Aktiv Reinigungsschaum</t>
  </si>
  <si>
    <t>1 Ltr schwarz</t>
  </si>
  <si>
    <t>UBS Wachs</t>
  </si>
  <si>
    <t>1 Ltr grau</t>
  </si>
  <si>
    <t>UBS Bitumen</t>
  </si>
  <si>
    <t>1 Ltr Schwarz</t>
  </si>
  <si>
    <t>UBS Streichbar</t>
  </si>
  <si>
    <t>2,5 kg schwarz</t>
  </si>
  <si>
    <t>Datum</t>
  </si>
  <si>
    <t>Status</t>
  </si>
  <si>
    <t>BLQ</t>
  </si>
  <si>
    <t>1-01-01</t>
  </si>
  <si>
    <t>Agjenti -DITA -NR. Klientit</t>
  </si>
  <si>
    <t>Nr.:</t>
  </si>
  <si>
    <t>KUNDE NR.</t>
  </si>
  <si>
    <t>EMRI</t>
  </si>
  <si>
    <t>NR. Unik/Fiskal</t>
  </si>
  <si>
    <t>TEL.</t>
  </si>
  <si>
    <t>VENDI</t>
  </si>
  <si>
    <t>BAU TECH</t>
  </si>
  <si>
    <t>FIDOLA</t>
  </si>
  <si>
    <t>044 117 641</t>
  </si>
  <si>
    <t>GODANC N.P.</t>
  </si>
  <si>
    <t>HAJVALI</t>
  </si>
  <si>
    <t>EUROCOLOR</t>
  </si>
  <si>
    <t>KIKI LIGHTNING</t>
  </si>
  <si>
    <t>XHIXHI</t>
  </si>
  <si>
    <t>DELTA A.P.</t>
  </si>
  <si>
    <t>TONI D.P.T.</t>
  </si>
  <si>
    <t>ALDONI</t>
  </si>
  <si>
    <t>ELEKTRONI</t>
  </si>
  <si>
    <t>BEGA</t>
  </si>
  <si>
    <t>FERIZAJ</t>
  </si>
  <si>
    <t>ADVANI</t>
  </si>
  <si>
    <t>TE XHAVITI A.P.</t>
  </si>
  <si>
    <t>BUJANI</t>
  </si>
  <si>
    <t>SHTIME</t>
  </si>
  <si>
    <t>HANA TEX</t>
  </si>
  <si>
    <t>FORTESA-F</t>
  </si>
  <si>
    <t>PEJE</t>
  </si>
  <si>
    <t>NAIMPEX</t>
  </si>
  <si>
    <t>CAMBAU QYT.</t>
  </si>
  <si>
    <t>GLOBI TERM</t>
  </si>
  <si>
    <t>ARS-A</t>
  </si>
  <si>
    <t>NELI COM</t>
  </si>
  <si>
    <t>GLOBI KOS</t>
  </si>
  <si>
    <t>KLINE</t>
  </si>
  <si>
    <t>ELEKTRO PRINCI</t>
  </si>
  <si>
    <t>INTERING CONSTRUCTION</t>
  </si>
  <si>
    <t>ISTOG</t>
  </si>
  <si>
    <t>BURIM-ISTOG</t>
  </si>
  <si>
    <t>GREMNIK-KLINE</t>
  </si>
  <si>
    <t>BABANI</t>
  </si>
  <si>
    <t>EUROTEC 1</t>
  </si>
  <si>
    <t>TINA QERAMIKA</t>
  </si>
  <si>
    <t>GENTI GROUP</t>
  </si>
  <si>
    <t>AJAX ARENA</t>
  </si>
  <si>
    <t>BAU MIX</t>
  </si>
  <si>
    <t>KASTRO SH.P.K.</t>
  </si>
  <si>
    <t>BURIMI 2</t>
  </si>
  <si>
    <t>BALLKANI</t>
  </si>
  <si>
    <t>SHPETIMI A.P.</t>
  </si>
  <si>
    <t>SMIRA</t>
  </si>
  <si>
    <t>DEQAN</t>
  </si>
  <si>
    <t>GOGAJ-AG</t>
  </si>
  <si>
    <t>AFRIMI-AG</t>
  </si>
  <si>
    <t>VALONI-CA</t>
  </si>
  <si>
    <t>GACAFERI-RG</t>
  </si>
  <si>
    <t>JUNIK</t>
  </si>
  <si>
    <t>LETAJ</t>
  </si>
  <si>
    <t>PROSAN</t>
  </si>
  <si>
    <t>INOX 1</t>
  </si>
  <si>
    <t>INOX 2</t>
  </si>
  <si>
    <t>LETAJ BAU</t>
  </si>
  <si>
    <t>EURO-DEKOR</t>
  </si>
  <si>
    <t>ELEKTROMONT</t>
  </si>
  <si>
    <t>LIPJAN</t>
  </si>
  <si>
    <t>AGROLONDI</t>
  </si>
  <si>
    <t>RAFT</t>
  </si>
  <si>
    <t>ALFA-QERAMIKA</t>
  </si>
  <si>
    <t>HIDROTERMI</t>
  </si>
  <si>
    <t>TE-SYLA</t>
  </si>
  <si>
    <t>LONI</t>
  </si>
  <si>
    <t>ALBINI</t>
  </si>
  <si>
    <t>DOGANAJ</t>
  </si>
  <si>
    <t>AGRO-XHETI</t>
  </si>
  <si>
    <t>GERLIC</t>
  </si>
  <si>
    <t>TE-LUTA</t>
  </si>
  <si>
    <t>KAQANIK</t>
  </si>
  <si>
    <t>V. GJONAJ</t>
  </si>
  <si>
    <t>X-FORTI</t>
  </si>
  <si>
    <t>EURO-THESI</t>
  </si>
  <si>
    <t>TE MUJA</t>
  </si>
  <si>
    <t>MIX-B</t>
  </si>
  <si>
    <t>AGRO-BEKA</t>
  </si>
  <si>
    <t>AB-TRADING</t>
  </si>
  <si>
    <t>AKUMULATORI A.P.</t>
  </si>
  <si>
    <t>ENSARI A.P.</t>
  </si>
  <si>
    <t>???</t>
  </si>
  <si>
    <t xml:space="preserve"> </t>
  </si>
  <si>
    <t>RACI</t>
  </si>
  <si>
    <t>HOXHA</t>
  </si>
  <si>
    <t>DRINI A.P.</t>
  </si>
  <si>
    <t>BENITA</t>
  </si>
  <si>
    <t>BUJARI</t>
  </si>
  <si>
    <t>DENISI</t>
  </si>
  <si>
    <t>TERMO-PROJEKT</t>
  </si>
  <si>
    <t>BANANA CENTER</t>
  </si>
  <si>
    <t>BERATI A.P. (1)</t>
  </si>
  <si>
    <t>FEJZA-B</t>
  </si>
  <si>
    <t>LIRIDONA-A</t>
  </si>
  <si>
    <t>GASHI-COM</t>
  </si>
  <si>
    <t>XANI</t>
  </si>
  <si>
    <t>GREME</t>
  </si>
  <si>
    <t>GADIME</t>
  </si>
  <si>
    <t>TE GZIMI</t>
  </si>
  <si>
    <t>KUQI-LKW</t>
  </si>
  <si>
    <t>OMEGA</t>
  </si>
  <si>
    <t>KTHIMI</t>
  </si>
  <si>
    <t>VEGLA</t>
  </si>
  <si>
    <t>ART QERAMIKA</t>
  </si>
  <si>
    <t>KENA COMERC</t>
  </si>
  <si>
    <t>TECOL</t>
  </si>
  <si>
    <t>TECOL 2</t>
  </si>
  <si>
    <t>SERVIS CUFA</t>
  </si>
  <si>
    <t>AR ALBI</t>
  </si>
  <si>
    <t>Summe von Wert</t>
  </si>
  <si>
    <t>FIRMA</t>
  </si>
  <si>
    <t>KENETA</t>
  </si>
  <si>
    <t>PROCOM</t>
  </si>
  <si>
    <t>REAL COLOR 1</t>
  </si>
  <si>
    <t>CARRALEVA 1</t>
  </si>
  <si>
    <t>COLOR LINA</t>
  </si>
  <si>
    <t>ARBERI</t>
  </si>
  <si>
    <t>REAL COLOR 2</t>
  </si>
  <si>
    <t>ZEMI</t>
  </si>
  <si>
    <t>MULI</t>
  </si>
  <si>
    <t>ARDI</t>
  </si>
  <si>
    <t>CARRALEVA 2</t>
  </si>
  <si>
    <t>LAMI</t>
  </si>
  <si>
    <t>TERMO ING</t>
  </si>
  <si>
    <t>PRANVERA</t>
  </si>
  <si>
    <t>SHABANI</t>
  </si>
  <si>
    <t>JEZERCI</t>
  </si>
  <si>
    <t>ERDITI</t>
  </si>
  <si>
    <t>HAMBURG</t>
  </si>
  <si>
    <t>RACA</t>
  </si>
  <si>
    <t>DAVADAKU</t>
  </si>
  <si>
    <t>LINDI-M</t>
  </si>
  <si>
    <t>NEXHI</t>
  </si>
  <si>
    <t>V. BASHKIMI</t>
  </si>
  <si>
    <t>KLECKA</t>
  </si>
  <si>
    <t>LORESA</t>
  </si>
  <si>
    <t>ALBERTI</t>
  </si>
  <si>
    <t>TE RAMIZI</t>
  </si>
  <si>
    <t>HOME KIM TEC</t>
  </si>
  <si>
    <t>TE BESNIKU</t>
  </si>
  <si>
    <t>THARAND</t>
  </si>
  <si>
    <t>METAL FATI</t>
  </si>
  <si>
    <t>EMSA</t>
  </si>
  <si>
    <t>GIMI</t>
  </si>
  <si>
    <t>SHIROK</t>
  </si>
  <si>
    <t>XHAFA</t>
  </si>
  <si>
    <t>REX AUTOMOBILE</t>
  </si>
  <si>
    <t>STANDOXS</t>
  </si>
  <si>
    <t>AUTO KLINIKA</t>
  </si>
  <si>
    <t>TERNASAN</t>
  </si>
  <si>
    <t>MONI 2</t>
  </si>
  <si>
    <t>DIZEL</t>
  </si>
  <si>
    <t>REJHAN</t>
  </si>
  <si>
    <t>DURIMI</t>
  </si>
  <si>
    <t>SILVER</t>
  </si>
  <si>
    <t>MURQI 2</t>
  </si>
  <si>
    <t>MONI 1</t>
  </si>
  <si>
    <t>FAHRIA</t>
  </si>
  <si>
    <t>TOKA 2</t>
  </si>
  <si>
    <t>COLOR CENTER</t>
  </si>
  <si>
    <t>VHETI</t>
  </si>
  <si>
    <t>AUTO BUQA</t>
  </si>
  <si>
    <t>MURIQI 1</t>
  </si>
  <si>
    <t>LKW</t>
  </si>
  <si>
    <t>NAIMI</t>
  </si>
  <si>
    <t>FLAMURI</t>
  </si>
  <si>
    <t>LG ELEKTRONIK</t>
  </si>
  <si>
    <t>AUTO KOSOVA</t>
  </si>
  <si>
    <t>DUHEL</t>
  </si>
  <si>
    <t>VUSHTRRI</t>
  </si>
  <si>
    <t>DRCOR</t>
  </si>
  <si>
    <t>SHERA</t>
  </si>
  <si>
    <t>CRISTAL COLOR</t>
  </si>
  <si>
    <t>LILI 1</t>
  </si>
  <si>
    <t>MITROVICE</t>
  </si>
  <si>
    <t>BESI LULI</t>
  </si>
  <si>
    <t>AGRONI</t>
  </si>
  <si>
    <t>BOSS</t>
  </si>
  <si>
    <t>CHAMPION</t>
  </si>
  <si>
    <t>BANJESKA</t>
  </si>
  <si>
    <t>GRANITI</t>
  </si>
  <si>
    <t>LILI 2</t>
  </si>
  <si>
    <t>VISARI HH</t>
  </si>
  <si>
    <t>UNIVERZAL</t>
  </si>
  <si>
    <t>MENTORI</t>
  </si>
  <si>
    <t>GUBETINI</t>
  </si>
  <si>
    <t>JETONI</t>
  </si>
  <si>
    <t>UNIKOS</t>
  </si>
  <si>
    <t>NDRIQIMI</t>
  </si>
  <si>
    <t>HYSI</t>
  </si>
  <si>
    <t>LINDI</t>
  </si>
  <si>
    <t>MENDUHI</t>
  </si>
  <si>
    <t>MAXHUNI</t>
  </si>
  <si>
    <t>COLOR UNIVERS</t>
  </si>
  <si>
    <t>FLORI</t>
  </si>
  <si>
    <t>BESI COM</t>
  </si>
  <si>
    <t>JETARI</t>
  </si>
  <si>
    <t>ARSIM</t>
  </si>
  <si>
    <t>COLOR</t>
  </si>
  <si>
    <t>AUTOXHAMA 2</t>
  </si>
  <si>
    <t>XHATI</t>
  </si>
  <si>
    <t>STARI</t>
  </si>
  <si>
    <t>AFRIMI</t>
  </si>
  <si>
    <t>KADIJOLLET</t>
  </si>
  <si>
    <t>SPARK</t>
  </si>
  <si>
    <t>MUQIQI</t>
  </si>
  <si>
    <t>QELA</t>
  </si>
  <si>
    <t>CITROEN</t>
  </si>
  <si>
    <t>OPEL</t>
  </si>
  <si>
    <t>BEGU</t>
  </si>
  <si>
    <t>MIX COLOR</t>
  </si>
  <si>
    <t>BARDHOSH</t>
  </si>
  <si>
    <t>BEDA</t>
  </si>
  <si>
    <t>AUTOXHAMA 1</t>
  </si>
  <si>
    <t>GERMAN COLOR</t>
  </si>
  <si>
    <t>F. KOSOVA</t>
  </si>
  <si>
    <t>HONDA</t>
  </si>
  <si>
    <t>KEMA</t>
  </si>
  <si>
    <t>BOSCH</t>
  </si>
  <si>
    <t>ARBRI</t>
  </si>
  <si>
    <t>UNIVERZAL FKS</t>
  </si>
  <si>
    <t>AUTO MIX</t>
  </si>
  <si>
    <t>PODUJEVE</t>
  </si>
  <si>
    <t>ILIRI</t>
  </si>
  <si>
    <t>EKREMI</t>
  </si>
  <si>
    <t>RUZHDA</t>
  </si>
  <si>
    <t>KUSHA</t>
  </si>
  <si>
    <t>SABITI</t>
  </si>
  <si>
    <t>GOGI</t>
  </si>
  <si>
    <t>BEDI</t>
  </si>
  <si>
    <t>SHEMI</t>
  </si>
  <si>
    <t>TE AFRIMI</t>
  </si>
  <si>
    <t>TE VLLAHIU</t>
  </si>
  <si>
    <t>TE SKENDA</t>
  </si>
  <si>
    <t>TE MERCEDSI</t>
  </si>
  <si>
    <t>TE KELA</t>
  </si>
  <si>
    <t>MERIS</t>
  </si>
  <si>
    <t>TE MANI</t>
  </si>
  <si>
    <t>TE ZENA</t>
  </si>
  <si>
    <t>TE LUTA</t>
  </si>
  <si>
    <t>TE KASTRIOTI</t>
  </si>
  <si>
    <t>BECOLOR</t>
  </si>
  <si>
    <t>BLEDIONI</t>
  </si>
  <si>
    <t>ENVERI</t>
  </si>
  <si>
    <t>HAZROLLI</t>
  </si>
  <si>
    <t>AGRO-FARM</t>
  </si>
  <si>
    <t>ABA QERAMIK</t>
  </si>
  <si>
    <t>FITIMI</t>
  </si>
  <si>
    <t>CONDOR</t>
  </si>
  <si>
    <t>AG GROUP</t>
  </si>
  <si>
    <t>V. MORINA</t>
  </si>
  <si>
    <t>H2O</t>
  </si>
  <si>
    <t>A.P. SHPENDI</t>
  </si>
  <si>
    <t>DURGUTI 3</t>
  </si>
  <si>
    <t>URA</t>
  </si>
  <si>
    <t>LULI</t>
  </si>
  <si>
    <t>SHEHU-A</t>
  </si>
  <si>
    <t>MALISHEVE</t>
  </si>
  <si>
    <t>RAHOVEC</t>
  </si>
  <si>
    <t>QELIKU QERAMIKA</t>
  </si>
  <si>
    <t>GLOBAL</t>
  </si>
  <si>
    <t>GIMI 1 SHPK</t>
  </si>
  <si>
    <t>EUROTEC 2</t>
  </si>
  <si>
    <t>ALDEX QERAMIKA</t>
  </si>
  <si>
    <t>BIMI QERAMIKA</t>
  </si>
  <si>
    <t>CAMA SHPK</t>
  </si>
  <si>
    <t>045 888 098</t>
  </si>
  <si>
    <t>EKO</t>
  </si>
  <si>
    <t>FORTUNA</t>
  </si>
  <si>
    <t>7 VLLEZRIT</t>
  </si>
  <si>
    <t>ELITA SANITARI</t>
  </si>
  <si>
    <t>AK-QENDRIMI</t>
  </si>
  <si>
    <t>GERMAN FARBE</t>
  </si>
  <si>
    <t>TANI</t>
  </si>
  <si>
    <t>A.P. LABI</t>
  </si>
  <si>
    <t>BET. ART CONSTRUKTION</t>
  </si>
  <si>
    <t>TAULANTI</t>
  </si>
  <si>
    <t>PRO QERAMIKA</t>
  </si>
  <si>
    <t>PRO QERAMIKA 2</t>
  </si>
  <si>
    <t>VIZION</t>
  </si>
  <si>
    <t>ETHAN QERAMIKA</t>
  </si>
  <si>
    <t>MALI NTP</t>
  </si>
  <si>
    <t>TE HAXHIA</t>
  </si>
  <si>
    <t>BALLKANI 2</t>
  </si>
  <si>
    <t>Axhenti</t>
  </si>
  <si>
    <t>Qerimi</t>
  </si>
  <si>
    <t>Mensuri</t>
  </si>
  <si>
    <t>Miloti</t>
  </si>
  <si>
    <t>Agent</t>
  </si>
  <si>
    <t>PRISHTINE</t>
  </si>
  <si>
    <t>GJAKOVE</t>
  </si>
  <si>
    <t>K. MADHE - PZ. GJAKOVE</t>
  </si>
  <si>
    <t>Anzahl von KundenNr.</t>
  </si>
  <si>
    <t>FUGA MONT</t>
  </si>
  <si>
    <t>EDONI COM</t>
  </si>
  <si>
    <t>REFICIA</t>
  </si>
  <si>
    <t>ARDI LIPJAN</t>
  </si>
  <si>
    <t>DARDANI KATUN</t>
  </si>
  <si>
    <t>SERVIS SEFERIMONT</t>
  </si>
  <si>
    <t>W AG A.P.</t>
  </si>
  <si>
    <t>ERENIKU</t>
  </si>
  <si>
    <t>BV</t>
  </si>
  <si>
    <t>IB PEX</t>
  </si>
  <si>
    <t>BLEDI A.S.</t>
  </si>
  <si>
    <t>LIRIDONA HOME</t>
  </si>
  <si>
    <t>BYTYQI-V</t>
  </si>
  <si>
    <t xml:space="preserve">F.V. SH.P.K. </t>
  </si>
  <si>
    <t>XERX</t>
  </si>
  <si>
    <t>BEHA SANITARI</t>
  </si>
  <si>
    <t>LABI QERAMIKA</t>
  </si>
  <si>
    <t>TERMOTEKNIKA</t>
  </si>
  <si>
    <t>FURRA KOHA</t>
  </si>
  <si>
    <t>PZ-GJAKOVE</t>
  </si>
  <si>
    <t>Vol</t>
  </si>
  <si>
    <t>qmim L</t>
  </si>
  <si>
    <t>EAN COD2</t>
  </si>
  <si>
    <t>BioBlic AutoInnenreiniger</t>
  </si>
  <si>
    <t>BioBlic Universalreiniger</t>
  </si>
  <si>
    <t>BioBlic Glasklar</t>
  </si>
  <si>
    <t>Bio Blic Antikalk</t>
  </si>
  <si>
    <t>Silikon Pistole Aktion</t>
  </si>
  <si>
    <t>Cockpit silikon vanille</t>
  </si>
  <si>
    <t>2 Ltr</t>
  </si>
  <si>
    <t>280 ml Schwarz</t>
  </si>
  <si>
    <t>Lackspray Matt</t>
  </si>
  <si>
    <t>Zink Spray Hell</t>
  </si>
  <si>
    <t>AMZA BAR</t>
  </si>
  <si>
    <t>KRONI</t>
  </si>
  <si>
    <t>TE MUSLIA</t>
  </si>
  <si>
    <t>044/808-508</t>
  </si>
  <si>
    <t>QERIMI SHPENZIME</t>
  </si>
  <si>
    <t>TEREN KIM TEC</t>
  </si>
  <si>
    <t>MENSURI SHPENZIME</t>
  </si>
  <si>
    <t>MILOTI SHPENZIME</t>
  </si>
  <si>
    <t>Aufbereitete Datenbasis</t>
  </si>
  <si>
    <t>Faktura NR.</t>
  </si>
  <si>
    <t>Kunden Nr.</t>
  </si>
  <si>
    <t>Kundenname</t>
  </si>
  <si>
    <t>Artikel</t>
  </si>
  <si>
    <t>Artikelname</t>
  </si>
  <si>
    <t>Stück</t>
  </si>
  <si>
    <t>a</t>
  </si>
  <si>
    <t>%</t>
  </si>
  <si>
    <t>Summe von Stück</t>
  </si>
  <si>
    <t>Mittelwert von %</t>
  </si>
  <si>
    <t>FATI</t>
  </si>
  <si>
    <t>PR-GJILAN</t>
  </si>
  <si>
    <t>GIZA TRADE</t>
  </si>
  <si>
    <t>FURRA EXPRESS</t>
  </si>
  <si>
    <t>RIFA</t>
  </si>
  <si>
    <t>REKOS</t>
  </si>
  <si>
    <t>JUSAJ METAL</t>
  </si>
  <si>
    <t>ORKA</t>
  </si>
  <si>
    <t>MISHTORE MENTORI</t>
  </si>
  <si>
    <t>DIELLI</t>
  </si>
  <si>
    <t>HIDRO ZAIMI</t>
  </si>
  <si>
    <t>XHEMA GMBTT</t>
  </si>
  <si>
    <t>EMI-CENTER</t>
  </si>
  <si>
    <t>JORA CENTER</t>
  </si>
  <si>
    <t>KOMORAN</t>
  </si>
  <si>
    <t>VALTIKU</t>
  </si>
  <si>
    <t>BESNIKU</t>
  </si>
  <si>
    <t>HIDROSANITARI PAJTIMI</t>
  </si>
  <si>
    <t>MEDINA COMERCE</t>
  </si>
  <si>
    <t>FURRA MONI</t>
  </si>
  <si>
    <t>RESTAURANT YLLI</t>
  </si>
  <si>
    <t>FUSHE KOSOVE</t>
  </si>
  <si>
    <t>RESTAURANT VERA</t>
  </si>
  <si>
    <t>SHPETIMI</t>
  </si>
  <si>
    <t>SERVIS BALLKANI</t>
  </si>
  <si>
    <t>ARI QERAMIKA</t>
  </si>
  <si>
    <t>ELEKTROLUX</t>
  </si>
  <si>
    <t>PRIMA</t>
  </si>
  <si>
    <t>PRODUKT QERAMIKA</t>
  </si>
  <si>
    <t>DINA QERAMIKA</t>
  </si>
  <si>
    <t>BUCA</t>
  </si>
  <si>
    <t>FURRA AROMA</t>
  </si>
  <si>
    <t>GENTEX SANITARY</t>
  </si>
  <si>
    <t>V.SHALA</t>
  </si>
  <si>
    <t>GERQINA 2</t>
  </si>
  <si>
    <t>ERINA SANITARI</t>
  </si>
  <si>
    <t>EURO COM AUTOSTOP</t>
  </si>
  <si>
    <t>AUTOFELLNE LALI</t>
  </si>
  <si>
    <t>NTP SARAJ</t>
  </si>
  <si>
    <t>ELSAN SANITAR</t>
  </si>
  <si>
    <t>CREATIVE CERAMICA</t>
  </si>
  <si>
    <t>METI-M</t>
  </si>
  <si>
    <t>GRAND DECOR</t>
  </si>
  <si>
    <t>ADESA</t>
  </si>
  <si>
    <t>MENDI</t>
  </si>
  <si>
    <t>ADI CERAMIKA</t>
  </si>
  <si>
    <t>SERVIS REKORD</t>
  </si>
  <si>
    <t>ZUKA JONI</t>
  </si>
  <si>
    <t>MARKET BASHKIMI</t>
  </si>
  <si>
    <t>KRUSHEVE E MADHE</t>
  </si>
  <si>
    <t>ISUKA</t>
  </si>
  <si>
    <t>EURO-MASA</t>
  </si>
  <si>
    <t>MEMFIS</t>
  </si>
  <si>
    <t>Spalte1</t>
  </si>
  <si>
    <t>FORD BASHKIMI</t>
  </si>
  <si>
    <t>ARBENI BIOBLIC</t>
  </si>
  <si>
    <t>MONTEN</t>
  </si>
  <si>
    <t>EUROLINDI</t>
  </si>
  <si>
    <t>EGZONI - S</t>
  </si>
  <si>
    <t>HIDRO - ELDI</t>
  </si>
  <si>
    <t>TE MRAMORT</t>
  </si>
  <si>
    <t>DRITA</t>
  </si>
  <si>
    <t>ERFRA</t>
  </si>
  <si>
    <t>SERVIS BOCH</t>
  </si>
  <si>
    <t>IDEAL KAMINA</t>
  </si>
  <si>
    <t>A.P ARLINDI-G</t>
  </si>
  <si>
    <t>A.P RRAHA</t>
  </si>
  <si>
    <t>KORREKT - 2</t>
  </si>
  <si>
    <t>RUGOVE</t>
  </si>
  <si>
    <t>AP IDEALI</t>
  </si>
  <si>
    <t>SUHAREKE</t>
  </si>
  <si>
    <t>AP BESI - GOMISKU</t>
  </si>
  <si>
    <t xml:space="preserve">SUHAREKE </t>
  </si>
  <si>
    <t>ESO QERAMIKA</t>
  </si>
  <si>
    <t>IDEAL QERAMIKA</t>
  </si>
  <si>
    <t xml:space="preserve">AP BAHOLLI </t>
  </si>
  <si>
    <t>TE KUJTA</t>
  </si>
  <si>
    <t>QEBATORE ASLLANI</t>
  </si>
  <si>
    <t>ALFA QERAMIKA</t>
  </si>
  <si>
    <t xml:space="preserve">ARBERI </t>
  </si>
  <si>
    <t>MILOTI - M</t>
  </si>
  <si>
    <t>AME SANITARY</t>
  </si>
  <si>
    <t>AP SHEMA</t>
  </si>
  <si>
    <t>AP EROLLI</t>
  </si>
  <si>
    <t>GEOMINERAL</t>
  </si>
  <si>
    <t>OSTRAZUP</t>
  </si>
  <si>
    <t>MAKSI</t>
  </si>
  <si>
    <t>TE BRAHA</t>
  </si>
  <si>
    <t>RUNIK</t>
  </si>
  <si>
    <t>TOOLSTORE</t>
  </si>
  <si>
    <t>PRISHTINE - VUSHTRI</t>
  </si>
  <si>
    <t>EL BEDI</t>
  </si>
  <si>
    <t>OBILIQ</t>
  </si>
  <si>
    <t>AP ENISI</t>
  </si>
  <si>
    <t>FORUM</t>
  </si>
  <si>
    <t>MANI</t>
  </si>
  <si>
    <t>BEGA COMPANY</t>
  </si>
  <si>
    <t>FURRA DJELLZA</t>
  </si>
  <si>
    <t>TE DRINI SANITARY</t>
  </si>
  <si>
    <t>AP LINDI</t>
  </si>
  <si>
    <t>FERIZAJ - SHTIME</t>
  </si>
  <si>
    <t>KROSA HIDROSANITAR</t>
  </si>
  <si>
    <t>AP DULLA</t>
  </si>
  <si>
    <t>ARVANDA</t>
  </si>
  <si>
    <t>BEKA HIDROSANITARI</t>
  </si>
  <si>
    <t>FURRA GENTRITI</t>
  </si>
  <si>
    <t>AP PETRITI</t>
  </si>
  <si>
    <t>AP GENI</t>
  </si>
  <si>
    <t>AP WOLF</t>
  </si>
  <si>
    <t>BEHARI QERAMIKA</t>
  </si>
  <si>
    <t>EL MAR</t>
  </si>
  <si>
    <t>RESTAURANT AURA</t>
  </si>
  <si>
    <t>BACI PETROL</t>
  </si>
  <si>
    <t>AP ZEN</t>
  </si>
  <si>
    <t>DRITONI</t>
  </si>
  <si>
    <t>ARXHENTI BI</t>
  </si>
  <si>
    <t>AP MILI</t>
  </si>
  <si>
    <t>SANKOS</t>
  </si>
  <si>
    <t>BERAT ELSAN BI</t>
  </si>
  <si>
    <t>VAL TRADE</t>
  </si>
  <si>
    <t>OMARI</t>
  </si>
  <si>
    <t>TONI</t>
  </si>
  <si>
    <t>KUJTA</t>
  </si>
  <si>
    <t>DRILONI D</t>
  </si>
  <si>
    <t>KAMENICE</t>
  </si>
  <si>
    <t>ZANA</t>
  </si>
  <si>
    <t>DRITA NTP</t>
  </si>
  <si>
    <t>BEKIMI</t>
  </si>
  <si>
    <t>SERVIS ARDI</t>
  </si>
  <si>
    <t>AS BESI</t>
  </si>
  <si>
    <t>AS PIRELLI</t>
  </si>
  <si>
    <t>AS ACR</t>
  </si>
  <si>
    <t>AS PERKOLA</t>
  </si>
  <si>
    <t>GRAND QERAMIKA</t>
  </si>
  <si>
    <t>AS FADILI</t>
  </si>
  <si>
    <t>MERGIMI</t>
  </si>
  <si>
    <t>VOTRA U</t>
  </si>
  <si>
    <t>PARAJSA KAMINA</t>
  </si>
  <si>
    <t>AS K-SPAHIJA</t>
  </si>
  <si>
    <t>beMaker Handwaschpaste</t>
  </si>
  <si>
    <t>10 Liter</t>
  </si>
  <si>
    <t>beMAKER Sanitär Silikon</t>
  </si>
  <si>
    <t>280 ml Kieselgrau</t>
  </si>
  <si>
    <t>AK PLAST N.T.P</t>
  </si>
  <si>
    <t>BAUTTAUS TE BRAHA</t>
  </si>
  <si>
    <t>CINA</t>
  </si>
  <si>
    <t>IN PROCOM</t>
  </si>
  <si>
    <t>VALA SANITARI</t>
  </si>
  <si>
    <t>B.GASHI</t>
  </si>
  <si>
    <t>BETONJERKA TONI</t>
  </si>
  <si>
    <t>AUTO SERVIS FAHRI-L</t>
  </si>
  <si>
    <t xml:space="preserve">MALESI  E MADHE </t>
  </si>
  <si>
    <t>AP EDI</t>
  </si>
  <si>
    <t>PROAGRO</t>
  </si>
  <si>
    <t>AS OPEL</t>
  </si>
  <si>
    <t>AP TONI</t>
  </si>
  <si>
    <t>ISA HOME</t>
  </si>
  <si>
    <t>MERCEDES SERVIS AAA</t>
  </si>
  <si>
    <t>SANIFLEX</t>
  </si>
  <si>
    <t>DULLA SANITARY</t>
  </si>
  <si>
    <t>AS A@D</t>
  </si>
  <si>
    <t>AS KELLA</t>
  </si>
  <si>
    <t>COLOR SHOP</t>
  </si>
  <si>
    <t>TRAND COLOR</t>
  </si>
  <si>
    <t>EURO COM</t>
  </si>
  <si>
    <t>AUTO DEKOR ERTAN</t>
  </si>
  <si>
    <t>AUTO SERVIS</t>
  </si>
  <si>
    <t>AS TE JETONI</t>
  </si>
  <si>
    <t>ALBA COMPANY</t>
  </si>
  <si>
    <t>AP CHECK</t>
  </si>
  <si>
    <t>ONIX-S</t>
  </si>
  <si>
    <t>DESAJN QERAMIKA</t>
  </si>
  <si>
    <t>JETON R. HALITI B.I</t>
  </si>
  <si>
    <t>ELIZA KERAMIKA</t>
  </si>
  <si>
    <t>ALTINI N.T.P</t>
  </si>
  <si>
    <t>NEW DESIGN</t>
  </si>
  <si>
    <t>KERATER</t>
  </si>
  <si>
    <t>DINI - B</t>
  </si>
  <si>
    <t xml:space="preserve">MALI </t>
  </si>
  <si>
    <t>VALDETI HIDROSANITARY</t>
  </si>
  <si>
    <t>NITA 3</t>
  </si>
  <si>
    <t>VALBONI</t>
  </si>
  <si>
    <t>LIRIA HIDROSANITARI</t>
  </si>
  <si>
    <t>AS NOLI</t>
  </si>
  <si>
    <t>ALFA TERM</t>
  </si>
  <si>
    <t>PUMPA SHERIF</t>
  </si>
  <si>
    <t>HEKURIA AGIMI</t>
  </si>
  <si>
    <t>VATRA - X</t>
  </si>
  <si>
    <t>ENISI - H</t>
  </si>
  <si>
    <t>GERMNIK</t>
  </si>
  <si>
    <t>AS GONI</t>
  </si>
  <si>
    <t>TERMOKOM</t>
  </si>
  <si>
    <t>HYSENAJ</t>
  </si>
  <si>
    <t>LUMA - COMERC</t>
  </si>
  <si>
    <t>AS MIDELIN</t>
  </si>
  <si>
    <t>FAT COM</t>
  </si>
  <si>
    <t>TRE</t>
  </si>
  <si>
    <t>5610017db</t>
  </si>
  <si>
    <t>4960044db</t>
  </si>
  <si>
    <t>2880002db</t>
  </si>
  <si>
    <t>5570018db</t>
  </si>
  <si>
    <t>DEN BRAVEN 6in1</t>
  </si>
  <si>
    <t>400ml</t>
  </si>
  <si>
    <t>3170022db</t>
  </si>
  <si>
    <t xml:space="preserve">DEN BRAVEN Lecksucher </t>
  </si>
  <si>
    <t>300ml</t>
  </si>
  <si>
    <t>3950005db</t>
  </si>
  <si>
    <t>DEN BRAVEN Silikonspray</t>
  </si>
  <si>
    <t xml:space="preserve">400 ml </t>
  </si>
  <si>
    <t>DEN BRAVEN Rostlöser</t>
  </si>
  <si>
    <t>5380002db</t>
  </si>
  <si>
    <t>DEN BRAVEN Schweisstrennspray</t>
  </si>
  <si>
    <t>5400012db</t>
  </si>
  <si>
    <t>DEN BRAVEN Bremsenreiniger</t>
  </si>
  <si>
    <t>500ml</t>
  </si>
  <si>
    <t>DEN BRAVEN Motorstart</t>
  </si>
  <si>
    <t>DEN BRAVEN UBS</t>
  </si>
  <si>
    <t>TIMO</t>
  </si>
  <si>
    <t>MIRATI KNAUF</t>
  </si>
  <si>
    <t>ETNIKU HEKURARI</t>
  </si>
  <si>
    <t>BINI</t>
  </si>
  <si>
    <t>DARDAN KURTAJ B.I</t>
  </si>
  <si>
    <t>AP BARDHI</t>
  </si>
  <si>
    <t>AGNESA</t>
  </si>
  <si>
    <t>JETA DUHEL</t>
  </si>
  <si>
    <t>ROALCOL</t>
  </si>
  <si>
    <t>FITORJA</t>
  </si>
  <si>
    <t>AR-DRITI</t>
  </si>
  <si>
    <t>KOSOVA-TERM</t>
  </si>
  <si>
    <t>DEN BRAVEN Klima Desinfektion</t>
  </si>
  <si>
    <t>150ml</t>
  </si>
  <si>
    <t>18300001db</t>
  </si>
  <si>
    <t>beMAKER Glättmittel</t>
  </si>
  <si>
    <t>FLUIDI SH.P.K.</t>
  </si>
  <si>
    <t>SOPAJ</t>
  </si>
  <si>
    <t>IZOVENTI</t>
  </si>
  <si>
    <t>Auspuffschutz Lack</t>
  </si>
  <si>
    <t>raft</t>
  </si>
  <si>
    <t>TE TONI HIDROSANITARI</t>
  </si>
  <si>
    <t>ARDI KERAMIKE</t>
  </si>
  <si>
    <t>MILOTI:</t>
  </si>
  <si>
    <t>QERIMI</t>
  </si>
  <si>
    <t>MENSURI</t>
  </si>
  <si>
    <t>BLE-AR QERAMIKA</t>
  </si>
  <si>
    <t>ING PROJEKT</t>
  </si>
  <si>
    <t>MULLAHYDRAULIK</t>
  </si>
  <si>
    <t>MUSLIA</t>
  </si>
  <si>
    <t>NDERTIMTARI</t>
  </si>
  <si>
    <t>TE BESIMI</t>
  </si>
  <si>
    <t>SERVIS QELIKU</t>
  </si>
  <si>
    <t>A.P. CANI</t>
  </si>
  <si>
    <t>TERMO ON</t>
  </si>
  <si>
    <t>PROMOIN</t>
  </si>
  <si>
    <t>BULONI - SH</t>
  </si>
  <si>
    <t>M&amp;S CONSTRUCTIONS</t>
  </si>
  <si>
    <t>BAKAJ - AB</t>
  </si>
  <si>
    <t>LAB QERAMIKA</t>
  </si>
  <si>
    <t>MY FITTNES</t>
  </si>
  <si>
    <t>beMAKER BAU Silicon</t>
  </si>
  <si>
    <t>AS QERAMIKA</t>
  </si>
  <si>
    <t>GASHI N.P.N</t>
  </si>
  <si>
    <t>N.P.T.SH SALI JAHA</t>
  </si>
  <si>
    <t>beMAKER Rostlöser</t>
  </si>
  <si>
    <t>beMAKER Bremsen&amp;Teile Reininger</t>
  </si>
  <si>
    <t>GIGA HIDROSANITARI</t>
  </si>
  <si>
    <t>EURO COOP</t>
  </si>
  <si>
    <t>AP AUTOPRODUKTI</t>
  </si>
  <si>
    <t>PERPARIMI</t>
  </si>
  <si>
    <t>AP BUJARI</t>
  </si>
  <si>
    <t>AS BLERI</t>
  </si>
  <si>
    <t>AGRO ULPIANA</t>
  </si>
  <si>
    <t>DONI COLOR</t>
  </si>
  <si>
    <t>RIONI HIDROSANITARI</t>
  </si>
  <si>
    <t>BEKO TRADE</t>
  </si>
  <si>
    <t>AS MISHELLINI</t>
  </si>
  <si>
    <t>DEN -B</t>
  </si>
  <si>
    <t>BESI TOOLS</t>
  </si>
  <si>
    <t>AP TE XHEVI</t>
  </si>
  <si>
    <t>AP TE NAIMI</t>
  </si>
  <si>
    <t>HEKURARIA LALI</t>
  </si>
  <si>
    <t>TREND CERAMIKA</t>
  </si>
  <si>
    <t>GIMI BAU</t>
  </si>
  <si>
    <t>GIMI AUTO PJESE</t>
  </si>
  <si>
    <t>HIDRO PLAST SH.P.K</t>
  </si>
  <si>
    <t>VRAGOLI</t>
  </si>
  <si>
    <t>AUTO PJESE CHAMPIONS</t>
  </si>
  <si>
    <t>MELODIA PROJEKT</t>
  </si>
  <si>
    <t>DONI BAU</t>
  </si>
  <si>
    <t>BETIMI NTP</t>
  </si>
  <si>
    <t>EDGO BAU</t>
  </si>
  <si>
    <t>INTERCOM NTP</t>
  </si>
  <si>
    <t>St. 27</t>
  </si>
  <si>
    <t>St. 28</t>
  </si>
  <si>
    <t>M-ONE Sanitar Silikon</t>
  </si>
  <si>
    <t>LTI</t>
  </si>
  <si>
    <t>Sani+ Dezinfektant</t>
  </si>
  <si>
    <t>M ONE MOTORSTART</t>
  </si>
  <si>
    <t>M ONE UBS</t>
  </si>
  <si>
    <t>400ML</t>
  </si>
  <si>
    <t>500ML</t>
  </si>
  <si>
    <t>SHKUMA</t>
  </si>
  <si>
    <t>750ML</t>
  </si>
  <si>
    <t>universal akryl</t>
  </si>
  <si>
    <t>struktural akryl</t>
  </si>
  <si>
    <t>FURRA DORA</t>
  </si>
  <si>
    <t>SKY ROOFTOP</t>
  </si>
  <si>
    <t>IDEAL VOKSHI</t>
  </si>
  <si>
    <t>VRELLE</t>
  </si>
  <si>
    <t>EUROPARK BAZENI</t>
  </si>
  <si>
    <t>ZLLAKUQAN</t>
  </si>
  <si>
    <t>RESTAURANT LEONA</t>
  </si>
  <si>
    <t xml:space="preserve">RESTAURANT TOSKANA </t>
  </si>
  <si>
    <t>RESTAURANT FENIKS</t>
  </si>
  <si>
    <t>FURRA TE AHMETI</t>
  </si>
  <si>
    <t>KAFE BAR KIKI</t>
  </si>
  <si>
    <t>FASTFOOD VALONI</t>
  </si>
  <si>
    <t>RESTAURANT RELAX</t>
  </si>
  <si>
    <t>GJURAKOC</t>
  </si>
  <si>
    <t>TAULANTI QERAMIKE</t>
  </si>
  <si>
    <t>CADY CLEANING</t>
  </si>
  <si>
    <t>KERAMIKA AJANI</t>
  </si>
  <si>
    <t xml:space="preserve">RESTAURANT PRIMAVERA </t>
  </si>
  <si>
    <t xml:space="preserve">EURO PARTS AP </t>
  </si>
  <si>
    <t>AB SHPK</t>
  </si>
  <si>
    <t>RENEA D POLIGON</t>
  </si>
  <si>
    <t xml:space="preserve">BILARDO BEKA </t>
  </si>
  <si>
    <t>GER COLORS</t>
  </si>
  <si>
    <t xml:space="preserve">HEKURARIA QELIKU </t>
  </si>
  <si>
    <t xml:space="preserve">BABITA </t>
  </si>
  <si>
    <t>CHAMPIONS DT</t>
  </si>
  <si>
    <t>KATEDRALJA</t>
  </si>
  <si>
    <t>FURRA DIELLZA</t>
  </si>
  <si>
    <t>FURRA KUSHTRIMI</t>
  </si>
  <si>
    <t>FURRA Aroma sh</t>
  </si>
  <si>
    <t>DOLCETE VJOSA</t>
  </si>
  <si>
    <t>FURRA METRO</t>
  </si>
  <si>
    <t>FURRA OREKS</t>
  </si>
  <si>
    <t>FURRA ELMEDINA</t>
  </si>
  <si>
    <t>FURRA TRADITA</t>
  </si>
  <si>
    <t>FURRA BERLINI BH</t>
  </si>
  <si>
    <t>MONTE RESTAURANT</t>
  </si>
  <si>
    <t>FASTFOOD BEKA</t>
  </si>
  <si>
    <t>BAU HOME</t>
  </si>
  <si>
    <t>DEA SH.P.k</t>
  </si>
  <si>
    <t>gJILAN</t>
  </si>
  <si>
    <t>Bremsenreiniger 6+</t>
  </si>
  <si>
    <t>Silikon spray 6+</t>
  </si>
  <si>
    <t>M ONE BAU</t>
  </si>
  <si>
    <t>DICHTUNG</t>
  </si>
  <si>
    <t>SCHWARZ MATT 6+</t>
  </si>
  <si>
    <t>AUSPUFLACK 6+</t>
  </si>
  <si>
    <t>FELGENSILBER 6+</t>
  </si>
  <si>
    <t>ROST STOP GRAU 6+</t>
  </si>
  <si>
    <t>MULTISPRAY 6+</t>
  </si>
  <si>
    <t>KETTENHAFT SPRAY 6+</t>
  </si>
  <si>
    <t>HAFTFETT SPRAY 6+</t>
  </si>
  <si>
    <t>CO2 6+</t>
  </si>
  <si>
    <t>KÄLTESPRAY 6+</t>
  </si>
  <si>
    <t>KONTAKTSPRAY 6+</t>
  </si>
  <si>
    <t>MOTORSTARTER 6+</t>
  </si>
  <si>
    <t>SCHNEIDSPRAY 6+</t>
  </si>
  <si>
    <t>den braven akryl</t>
  </si>
  <si>
    <t>INDUSTRIE REINGER 6+</t>
  </si>
  <si>
    <t>PISTOLENREINIGER 6+</t>
  </si>
  <si>
    <t>LACKSPRAY FARBLOS 6+</t>
  </si>
  <si>
    <t>LACKSPRAY FUERROT 6+</t>
  </si>
  <si>
    <t>LACKSPRAY RAL 7016 6+</t>
  </si>
  <si>
    <t>LACKSPRAY RAL 9006 6+</t>
  </si>
  <si>
    <t>LACKSPRAY RAL 9002 6+</t>
  </si>
  <si>
    <t>HGS</t>
  </si>
  <si>
    <t>moni shpk</t>
  </si>
  <si>
    <t>Modena SHPK</t>
  </si>
  <si>
    <t>Gjilan</t>
  </si>
  <si>
    <t xml:space="preserve">ART DEKOR </t>
  </si>
  <si>
    <t>IBAK HIDROSANITARI</t>
  </si>
  <si>
    <t>LITTA HIDROSANITARI</t>
  </si>
  <si>
    <t>SHTIME - FERIZAJ</t>
  </si>
  <si>
    <t>KÜHLERREININGER</t>
  </si>
  <si>
    <t xml:space="preserve">250 ml </t>
  </si>
  <si>
    <t>KÜHLERDICHT</t>
  </si>
  <si>
    <t>TREGUKOS SANITARI</t>
  </si>
  <si>
    <t>M ONE HAFTGRUND</t>
  </si>
  <si>
    <t>M ONE KONTAKTSPRAY</t>
  </si>
  <si>
    <t>M ONE KONTAKTREININGER</t>
  </si>
  <si>
    <t>M ONE FELGENSILBER</t>
  </si>
  <si>
    <t>M ONE KLARLACK</t>
  </si>
  <si>
    <t>M ONE SCHWARZ MATT</t>
  </si>
  <si>
    <t>M ONE SCHWARZ GLÄNZED</t>
  </si>
  <si>
    <t>M ONE WEISS GLÄNZEND</t>
  </si>
  <si>
    <t>M ONE KETTENSPRAY</t>
  </si>
  <si>
    <t>M ONE FUERROT</t>
  </si>
  <si>
    <t>M ONE ENZIANBLAU RAL 5010</t>
  </si>
  <si>
    <t>M ONE ANTHRAZIT</t>
  </si>
  <si>
    <t>400 ML</t>
  </si>
  <si>
    <t>MILLOSHEVE</t>
  </si>
  <si>
    <t>PROBAU</t>
  </si>
  <si>
    <t>PROFIMONT DEKOR</t>
  </si>
  <si>
    <t>280 ml</t>
  </si>
  <si>
    <t>SCHRAUBENSICHERUNG</t>
  </si>
  <si>
    <t>50 ML</t>
  </si>
  <si>
    <t>PASTA PER DUAR</t>
  </si>
  <si>
    <t>AV AS SHPK</t>
  </si>
  <si>
    <t>AP ALDONI</t>
  </si>
  <si>
    <t>qer</t>
  </si>
  <si>
    <t>men</t>
  </si>
  <si>
    <t>mil</t>
  </si>
  <si>
    <t>ADHURIM I</t>
  </si>
  <si>
    <t xml:space="preserve">BK SHPK </t>
  </si>
  <si>
    <t>NSM TRADE</t>
  </si>
  <si>
    <t>PROFIMONT EXTREME</t>
  </si>
  <si>
    <t>ml</t>
  </si>
  <si>
    <t>HAT LACK 800</t>
  </si>
  <si>
    <t>HOTEL KING</t>
  </si>
  <si>
    <t>HOTEL ALBI</t>
  </si>
  <si>
    <t>TERMO PROJEKT</t>
  </si>
  <si>
    <t>FURRA GRANIITI</t>
  </si>
  <si>
    <t>DYNER ORTAKU</t>
  </si>
  <si>
    <t>FURRA ANDI</t>
  </si>
  <si>
    <t>FURRA ULPIANA</t>
  </si>
  <si>
    <t>PEPPER PIZZA</t>
  </si>
  <si>
    <t>FURRA EPOKA E VJETER</t>
  </si>
  <si>
    <t xml:space="preserve">RESTAURANT KOSOVA </t>
  </si>
  <si>
    <t>FURRA GERTI</t>
  </si>
  <si>
    <t>BAJA PEJES</t>
  </si>
  <si>
    <t>FURRA QLIRIMI</t>
  </si>
  <si>
    <t>RESTAURANT DUKAGJINI</t>
  </si>
  <si>
    <t>FURRA VALONI</t>
  </si>
  <si>
    <t>RESTAURANT ORNELI</t>
  </si>
  <si>
    <t>FURRA MULLIRI</t>
  </si>
  <si>
    <t>TAVERNA TIRONA</t>
  </si>
  <si>
    <t>QEBAPTORE TINI</t>
  </si>
  <si>
    <t xml:space="preserve">MAMAS HOOD </t>
  </si>
  <si>
    <t>DEANTE JH</t>
  </si>
  <si>
    <t>done</t>
  </si>
  <si>
    <t>ELITE BURGER</t>
  </si>
  <si>
    <t xml:space="preserve">L&amp;A BAU TECH </t>
  </si>
  <si>
    <t>BAU CLEAN</t>
  </si>
  <si>
    <t>BESI QERAMIKA</t>
  </si>
  <si>
    <t>IBAK</t>
  </si>
  <si>
    <t>TINA</t>
  </si>
  <si>
    <t>GERMAN FABRE</t>
  </si>
  <si>
    <t>FITA KERAMIK</t>
  </si>
  <si>
    <t>TOTALI</t>
  </si>
  <si>
    <t>BANK</t>
  </si>
  <si>
    <t>KESH</t>
  </si>
  <si>
    <t>bau clean</t>
  </si>
  <si>
    <t>RIMLUBE</t>
  </si>
  <si>
    <t>BLERTONI</t>
  </si>
  <si>
    <t>CAMA BAU</t>
  </si>
  <si>
    <t>CENA KAMINA</t>
  </si>
  <si>
    <t>BAU HAUS</t>
  </si>
  <si>
    <t>INT GRAFIKA</t>
  </si>
  <si>
    <t>ERINA</t>
  </si>
  <si>
    <t>CIMI SARL</t>
  </si>
  <si>
    <t>BALAJ AB</t>
  </si>
  <si>
    <t>LITA</t>
  </si>
  <si>
    <t>UNIKA</t>
  </si>
  <si>
    <t>DEDA-2022</t>
  </si>
  <si>
    <t>AME</t>
  </si>
  <si>
    <t>ONIX</t>
  </si>
  <si>
    <t>ALBO</t>
  </si>
  <si>
    <t>M ONE</t>
  </si>
  <si>
    <t>YLLI CONSTRUCION</t>
  </si>
  <si>
    <t>MILOTI</t>
  </si>
  <si>
    <t>TEMAJ</t>
  </si>
  <si>
    <t>LULI-C</t>
  </si>
  <si>
    <t>AK-QENDRA</t>
  </si>
  <si>
    <t>ARTURI</t>
  </si>
  <si>
    <t>TERMOT</t>
  </si>
  <si>
    <t>GASHI</t>
  </si>
  <si>
    <t>DIVA QERAMIKA</t>
  </si>
  <si>
    <t>LUTA QERAMIKA</t>
  </si>
  <si>
    <t>APOLONIA</t>
  </si>
  <si>
    <t>HIDROELDI</t>
  </si>
  <si>
    <t>EURO COLORS</t>
  </si>
  <si>
    <t>TONI COLORS</t>
  </si>
  <si>
    <t>ELEKTRO RONI</t>
  </si>
  <si>
    <t>HOBI STORE</t>
  </si>
  <si>
    <t>SANI FLEX</t>
  </si>
  <si>
    <t>BAU CITY</t>
  </si>
  <si>
    <t>CHE BAR LOUNGE BAR</t>
  </si>
  <si>
    <t>TUNING</t>
  </si>
  <si>
    <t>PLAST</t>
  </si>
  <si>
    <t>SANA TERM</t>
  </si>
  <si>
    <t>RIONI</t>
  </si>
  <si>
    <t>BLOAR</t>
  </si>
  <si>
    <t>ARPO</t>
  </si>
  <si>
    <t>DEKOR</t>
  </si>
  <si>
    <t>BOJANA</t>
  </si>
  <si>
    <t>BEK TRADE</t>
  </si>
  <si>
    <t>ZYM</t>
  </si>
  <si>
    <t>BESI DEKOR</t>
  </si>
  <si>
    <t>DRAGASH</t>
  </si>
  <si>
    <t>BESIM</t>
  </si>
  <si>
    <t>PERLEPNIC</t>
  </si>
  <si>
    <t>ALFA</t>
  </si>
  <si>
    <t>IDEA</t>
  </si>
  <si>
    <t>DIZAJN</t>
  </si>
  <si>
    <t>ARIONI</t>
  </si>
  <si>
    <t>NUR</t>
  </si>
  <si>
    <t>SAN KOS</t>
  </si>
  <si>
    <t>LUKI</t>
  </si>
  <si>
    <t>STANOVIC</t>
  </si>
  <si>
    <t>NORI 02</t>
  </si>
  <si>
    <t>ALBI</t>
  </si>
  <si>
    <t>AGRO INVEST</t>
  </si>
  <si>
    <t>BETIMI</t>
  </si>
  <si>
    <t>FADILI</t>
  </si>
  <si>
    <t>NERONI</t>
  </si>
  <si>
    <t>ILIRI COLOR</t>
  </si>
  <si>
    <t>KROSA</t>
  </si>
  <si>
    <t>ALTINI</t>
  </si>
  <si>
    <t>TERZAJ</t>
  </si>
  <si>
    <t>SAMIA</t>
  </si>
  <si>
    <t>JANA</t>
  </si>
  <si>
    <t>ALBANI</t>
  </si>
  <si>
    <t>ARENA ENGINEERING N.T.P</t>
  </si>
  <si>
    <t>HIDRO DANI</t>
  </si>
  <si>
    <t>N.T.P. Plus Center</t>
  </si>
  <si>
    <t>GNTC GORENJA</t>
  </si>
  <si>
    <t>ZAIMI</t>
  </si>
  <si>
    <t>M ONE LACK GELB</t>
  </si>
  <si>
    <t>M ONE LACK HELLGRAU</t>
  </si>
  <si>
    <t>M ONE GOLD SPRAY</t>
  </si>
  <si>
    <t>M ONE LACK BRAUN</t>
  </si>
  <si>
    <t>M ONE LACK GRUN</t>
  </si>
  <si>
    <t>M ONE CHROM SPRAY</t>
  </si>
  <si>
    <t>M ONE SCHRAUBENSICHERUNG</t>
  </si>
  <si>
    <t>50ml</t>
  </si>
  <si>
    <t>BAU MIX FATONI</t>
  </si>
  <si>
    <t>Rruga B</t>
  </si>
  <si>
    <t>M ONE TRANSPARENT</t>
  </si>
  <si>
    <t>280ml</t>
  </si>
  <si>
    <t xml:space="preserve">M ONE WEISS </t>
  </si>
  <si>
    <t>M ONE BLACK</t>
  </si>
  <si>
    <t>M ONE GRAU</t>
  </si>
  <si>
    <t>DONATI:</t>
  </si>
  <si>
    <t>BARDHI-M</t>
  </si>
  <si>
    <t>GLOBAL NT</t>
  </si>
  <si>
    <t>FABRIKA E GURIT</t>
  </si>
  <si>
    <t>UNIKO GROUP</t>
  </si>
  <si>
    <t>KAMIN CLEANER</t>
  </si>
  <si>
    <t>GLOBAL TOOLS</t>
  </si>
  <si>
    <t>LIRIDONA KLINE</t>
  </si>
  <si>
    <t>JONI</t>
  </si>
  <si>
    <t>S TRADE</t>
  </si>
  <si>
    <t>ALMIRI QERAMIKA</t>
  </si>
  <si>
    <t>KUJTA GROUP</t>
  </si>
  <si>
    <t>BUJARI Q - BESII</t>
  </si>
  <si>
    <t>ORCA</t>
  </si>
  <si>
    <t>KRRABAJ</t>
  </si>
  <si>
    <t>Segment Kosova</t>
  </si>
  <si>
    <t>TERR HOME</t>
  </si>
  <si>
    <t>SHPENDI</t>
  </si>
  <si>
    <t>Hellgrau</t>
  </si>
  <si>
    <t>Silbergrau</t>
  </si>
  <si>
    <t>Transparent</t>
  </si>
  <si>
    <t>Weiss</t>
  </si>
  <si>
    <t>Schwatz</t>
  </si>
  <si>
    <t>Bahama</t>
  </si>
  <si>
    <t>Braun</t>
  </si>
  <si>
    <t>Grau</t>
  </si>
  <si>
    <t>Jasmin</t>
  </si>
  <si>
    <t>Manhatten</t>
  </si>
  <si>
    <t>Caramel</t>
  </si>
  <si>
    <t>Anthrazit</t>
  </si>
  <si>
    <t>BAUMALL</t>
  </si>
  <si>
    <t>MARIGONA HILL SH.P.K.</t>
  </si>
  <si>
    <t>XHAXHI</t>
  </si>
  <si>
    <t>BRICO KOSOVA</t>
  </si>
  <si>
    <t>ALFA COMPANY Baumall</t>
  </si>
  <si>
    <t>KORAL &amp; PARTNERS</t>
  </si>
  <si>
    <t>Zeilenbeschriftungen</t>
  </si>
  <si>
    <t>Gesamtergebnis</t>
  </si>
  <si>
    <t>(Alle)</t>
  </si>
  <si>
    <t>ECM ENGINEERING SH.P.K</t>
  </si>
  <si>
    <t>DIKI BAU SHPK</t>
  </si>
  <si>
    <t>BASHKIM KASTRATI B.I</t>
  </si>
  <si>
    <t>G FETAHU QERAMIK SH.P.K.</t>
  </si>
  <si>
    <t>KORAL CORPORATION</t>
  </si>
  <si>
    <t>BIO CLEAN 90PM REININGER</t>
  </si>
  <si>
    <t>KOS CERAMIK</t>
  </si>
  <si>
    <t>LATI TERM</t>
  </si>
  <si>
    <t>QEMA</t>
  </si>
  <si>
    <t>ARSIMI</t>
  </si>
  <si>
    <t>BERISHA</t>
  </si>
  <si>
    <t>BRAHA QERAMIK</t>
  </si>
  <si>
    <t>HB-DECOR</t>
  </si>
  <si>
    <t>KETI VEE SHPK</t>
  </si>
  <si>
    <t>MIRSADI</t>
  </si>
  <si>
    <t>ILIRI QERAMIKA</t>
  </si>
  <si>
    <t>LNI SHPK</t>
  </si>
  <si>
    <t>BEREQETI</t>
  </si>
  <si>
    <t>BERATI</t>
  </si>
  <si>
    <t>SOPA</t>
  </si>
  <si>
    <t>AGRO TEC</t>
  </si>
  <si>
    <t>M ONE SILIKON SPRAY</t>
  </si>
  <si>
    <t xml:space="preserve">REMITTER: ACCOUNT NUMBER, ACOUNT NAME AND COMPLETE ADDRESS, PO BOX NOT ALLOWED </t>
  </si>
  <si>
    <t>BENEFICIARIES: ACCOUNT NUMBER AND NAME PLEASE PROVIDE THE MISSING INFORMATION</t>
  </si>
  <si>
    <t xml:space="preserve">LIRA </t>
  </si>
  <si>
    <t>ENESI</t>
  </si>
  <si>
    <t>SMIRA COLOR</t>
  </si>
  <si>
    <t>Auf Rechnung und Euro1</t>
  </si>
  <si>
    <t>Differenc</t>
  </si>
  <si>
    <t>AUTO PJESE ASTRITI</t>
  </si>
  <si>
    <t>(Leer)</t>
  </si>
  <si>
    <t>BESO KERAMIK</t>
  </si>
  <si>
    <t>SALIHU CORPORATION</t>
  </si>
  <si>
    <t>blq</t>
  </si>
  <si>
    <t>Stand: 01.06.2026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</si>
</sst>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#,##0.00\ &quot;€&quot;;\-#,##0.00\ &quot;€&quot;"/>
    <numFmt numFmtId="164" formatCode="&quot;€&quot;#,##0.00_);\(&quot;€&quot;#,##0.00\)"/>
    <numFmt numFmtId="165" formatCode="_(&quot;€&quot;* #,##0.00_);_(&quot;€&quot;* \(#,##0.00\);_(&quot;€&quot;* &quot;-&quot;??_);_(@_)"/>
    <numFmt numFmtId="166" formatCode="#,##0.00\ &quot;€&quot;"/>
    <numFmt numFmtId="167" formatCode="* #,##0.00\ ;* \-#,##0.00\ ;* \-#\ ;@\ "/>
    <numFmt numFmtId="168" formatCode="#,##0\ &quot;€&quot;"/>
    <numFmt numFmtId="169" formatCode="m/d/yyyy"/>
  </numFmts>
  <fonts count="17" x14ac:knownFonts="1">
    <font>
      <sz val="11"/>
      <color theme="1"/>
      <name val="Calibri"/>
      <family val="2"/>
      <scheme val="minor"/>
    </font>
    <font>
      <sz val="12"/>
      <name val="Arial"/>
      <family val="2"/>
    </font>
    <font>
      <sz val="12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sz val="10"/>
      <name val="Arial"/>
      <family val="2"/>
    </font>
    <font>
      <b/>
      <sz val="18"/>
      <color rgb="FF333399"/>
      <name val="Cambria"/>
      <family val="2"/>
    </font>
    <font>
      <sz val="20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000000"/>
      <name val="Arial"/>
      <family val="2"/>
    </font>
    <font>
      <b/>
      <sz val="12"/>
      <name val="Arial"/>
      <family val="2"/>
    </font>
    <font>
      <sz val="7"/>
      <name val="Arial"/>
      <family val="2"/>
    </font>
    <font>
      <b/>
      <sz val="10"/>
      <name val="Arial"/>
      <family val="2"/>
    </font>
    <font>
      <b/>
      <sz val="8"/>
      <color theme="0"/>
      <name val="Arial"/>
      <family val="2"/>
    </font>
    <font>
      <b/>
      <sz val="26"/>
      <color theme="1"/>
      <name val="Calibri"/>
      <family val="2"/>
      <scheme val="minor"/>
    </font>
    <font>
      <b/>
      <sz val="20"/>
      <color rgb="FF000000"/>
      <name val="Calibri"/>
      <family val="2"/>
    </font>
    <font>
      <b/>
      <sz val="2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2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</borders>
  <cellStyleXfs count="6">
    <xf numFmtId="0" fontId="0" fillId="0" borderId="0"/>
    <xf numFmtId="0" fontId="4" fillId="0" borderId="0"/>
    <xf numFmtId="9" fontId="4" fillId="0" borderId="0" applyBorder="0" applyAlignment="0" applyProtection="0"/>
    <xf numFmtId="0" fontId="5" fillId="0" borderId="0" applyBorder="0" applyAlignment="0" applyProtection="0"/>
    <xf numFmtId="167" fontId="4" fillId="0" borderId="0" applyBorder="0" applyAlignment="0" applyProtection="0"/>
    <xf numFmtId="165" fontId="8" fillId="0" borderId="0" applyFont="0" applyFill="0" applyBorder="0" applyAlignment="0" applyProtection="0"/>
  </cellStyleXfs>
  <cellXfs count="92">
    <xf numFmtId="0" fontId="0" fillId="0" borderId="0" xfId="0"/>
    <xf numFmtId="49" fontId="0" fillId="0" borderId="0" xfId="0" applyNumberFormat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3" xfId="0" applyFont="1" applyBorder="1"/>
    <xf numFmtId="0" fontId="2" fillId="0" borderId="4" xfId="0" applyFont="1" applyBorder="1"/>
    <xf numFmtId="0" fontId="0" fillId="0" borderId="0" xfId="0" applyFont="1" applyAlignment="1">
      <alignment horizontal="right"/>
    </xf>
    <xf numFmtId="0" fontId="3" fillId="0" borderId="0" xfId="0" applyFont="1" applyBorder="1" applyAlignment="1">
      <alignment horizontal="center"/>
    </xf>
    <xf numFmtId="0" fontId="3" fillId="0" borderId="0" xfId="0" applyFont="1" applyBorder="1"/>
    <xf numFmtId="0" fontId="0" fillId="0" borderId="0" xfId="0" applyBorder="1"/>
    <xf numFmtId="0" fontId="6" fillId="0" borderId="8" xfId="0" applyFont="1" applyBorder="1" applyAlignment="1">
      <alignment horizontal="center"/>
    </xf>
    <xf numFmtId="49" fontId="6" fillId="0" borderId="9" xfId="0" applyNumberFormat="1" applyFont="1" applyBorder="1" applyAlignment="1">
      <alignment horizontal="center"/>
    </xf>
    <xf numFmtId="49" fontId="6" fillId="0" borderId="10" xfId="0" applyNumberFormat="1" applyFont="1" applyBorder="1" applyAlignment="1">
      <alignment horizontal="center"/>
    </xf>
    <xf numFmtId="0" fontId="6" fillId="0" borderId="11" xfId="0" applyFont="1" applyBorder="1"/>
    <xf numFmtId="0" fontId="6" fillId="0" borderId="12" xfId="0" applyFont="1" applyBorder="1"/>
    <xf numFmtId="0" fontId="6" fillId="0" borderId="13" xfId="0" applyFont="1" applyBorder="1" applyAlignment="1">
      <alignment horizontal="center"/>
    </xf>
    <xf numFmtId="49" fontId="6" fillId="0" borderId="14" xfId="0" applyNumberFormat="1" applyFont="1" applyBorder="1" applyAlignment="1">
      <alignment horizontal="center"/>
    </xf>
    <xf numFmtId="49" fontId="6" fillId="0" borderId="15" xfId="0" applyNumberFormat="1" applyFont="1" applyBorder="1" applyAlignment="1">
      <alignment horizontal="center"/>
    </xf>
    <xf numFmtId="0" fontId="6" fillId="0" borderId="16" xfId="0" applyFont="1" applyBorder="1"/>
    <xf numFmtId="0" fontId="6" fillId="0" borderId="17" xfId="0" applyFont="1" applyBorder="1"/>
    <xf numFmtId="0" fontId="6" fillId="0" borderId="21" xfId="0" applyFont="1" applyBorder="1" applyAlignment="1">
      <alignment horizontal="center"/>
    </xf>
    <xf numFmtId="0" fontId="6" fillId="0" borderId="22" xfId="0" applyFont="1" applyBorder="1"/>
    <xf numFmtId="0" fontId="6" fillId="0" borderId="23" xfId="0" applyFont="1" applyBorder="1"/>
    <xf numFmtId="0" fontId="6" fillId="0" borderId="24" xfId="0" applyFont="1" applyBorder="1" applyAlignment="1">
      <alignment horizontal="center"/>
    </xf>
    <xf numFmtId="0" fontId="6" fillId="0" borderId="25" xfId="0" applyFont="1" applyBorder="1"/>
    <xf numFmtId="0" fontId="6" fillId="0" borderId="26" xfId="0" applyFont="1" applyBorder="1"/>
    <xf numFmtId="0" fontId="6" fillId="0" borderId="27" xfId="0" applyFont="1" applyBorder="1" applyAlignment="1">
      <alignment horizontal="center"/>
    </xf>
    <xf numFmtId="0" fontId="6" fillId="0" borderId="28" xfId="0" applyFont="1" applyBorder="1"/>
    <xf numFmtId="0" fontId="6" fillId="0" borderId="29" xfId="0" applyFont="1" applyBorder="1"/>
    <xf numFmtId="0" fontId="6" fillId="0" borderId="30" xfId="0" applyFont="1" applyBorder="1"/>
    <xf numFmtId="0" fontId="6" fillId="0" borderId="31" xfId="0" applyFont="1" applyBorder="1" applyAlignment="1">
      <alignment horizontal="center"/>
    </xf>
    <xf numFmtId="0" fontId="6" fillId="0" borderId="32" xfId="0" applyFont="1" applyBorder="1"/>
    <xf numFmtId="0" fontId="6" fillId="0" borderId="33" xfId="0" applyFont="1" applyBorder="1"/>
    <xf numFmtId="0" fontId="7" fillId="0" borderId="18" xfId="0" applyFont="1" applyBorder="1" applyAlignment="1">
      <alignment horizontal="left"/>
    </xf>
    <xf numFmtId="0" fontId="7" fillId="0" borderId="19" xfId="0" applyFont="1" applyBorder="1"/>
    <xf numFmtId="0" fontId="7" fillId="0" borderId="20" xfId="0" applyFont="1" applyBorder="1"/>
    <xf numFmtId="0" fontId="0" fillId="0" borderId="0" xfId="0" applyAlignment="1">
      <alignment horizontal="left"/>
    </xf>
    <xf numFmtId="0" fontId="0" fillId="0" borderId="0" xfId="0" applyProtection="1">
      <protection locked="0"/>
    </xf>
    <xf numFmtId="0" fontId="0" fillId="0" borderId="0" xfId="0" applyProtection="1"/>
    <xf numFmtId="0" fontId="0" fillId="0" borderId="0" xfId="0" applyNumberFormat="1" applyProtection="1"/>
    <xf numFmtId="14" fontId="0" fillId="0" borderId="0" xfId="0" applyNumberFormat="1" applyProtection="1">
      <protection locked="0"/>
    </xf>
    <xf numFmtId="14" fontId="0" fillId="0" borderId="0" xfId="0" applyNumberFormat="1" applyAlignment="1" applyProtection="1">
      <alignment horizontal="center"/>
      <protection locked="0"/>
    </xf>
    <xf numFmtId="166" fontId="0" fillId="0" borderId="0" xfId="0" applyNumberFormat="1" applyProtection="1">
      <protection locked="0"/>
    </xf>
    <xf numFmtId="165" fontId="0" fillId="0" borderId="0" xfId="5" applyFont="1"/>
    <xf numFmtId="165" fontId="0" fillId="0" borderId="0" xfId="5" applyFont="1" applyAlignment="1">
      <alignment horizontal="left"/>
    </xf>
    <xf numFmtId="0" fontId="0" fillId="0" borderId="0" xfId="0" pivotButton="1"/>
    <xf numFmtId="0" fontId="0" fillId="0" borderId="0" xfId="0" applyNumberFormat="1"/>
    <xf numFmtId="165" fontId="0" fillId="0" borderId="0" xfId="0" applyNumberFormat="1"/>
    <xf numFmtId="0" fontId="0" fillId="0" borderId="34" xfId="0" applyNumberFormat="1" applyBorder="1" applyAlignment="1">
      <alignment horizontal="center"/>
    </xf>
    <xf numFmtId="0" fontId="1" fillId="0" borderId="35" xfId="0" applyFont="1" applyBorder="1" applyAlignment="1"/>
    <xf numFmtId="0" fontId="1" fillId="0" borderId="1" xfId="0" applyFont="1" applyBorder="1" applyAlignment="1"/>
    <xf numFmtId="0" fontId="1" fillId="0" borderId="2" xfId="0" applyFont="1" applyBorder="1" applyAlignment="1"/>
    <xf numFmtId="0" fontId="1" fillId="0" borderId="2" xfId="0" applyFont="1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1" fillId="0" borderId="4" xfId="0" applyFont="1" applyFill="1" applyBorder="1" applyAlignment="1">
      <alignment horizontal="left"/>
    </xf>
    <xf numFmtId="0" fontId="1" fillId="0" borderId="36" xfId="0" applyFont="1" applyFill="1" applyBorder="1" applyAlignment="1">
      <alignment horizontal="left"/>
    </xf>
    <xf numFmtId="0" fontId="1" fillId="0" borderId="3" xfId="0" applyFont="1" applyFill="1" applyBorder="1" applyAlignment="1">
      <alignment horizontal="left"/>
    </xf>
    <xf numFmtId="1" fontId="1" fillId="0" borderId="3" xfId="0" applyNumberFormat="1" applyFont="1" applyFill="1" applyBorder="1" applyAlignment="1">
      <alignment horizontal="left"/>
    </xf>
    <xf numFmtId="1" fontId="1" fillId="0" borderId="4" xfId="0" applyNumberFormat="1" applyFont="1" applyFill="1" applyBorder="1" applyAlignment="1">
      <alignment horizontal="left"/>
    </xf>
    <xf numFmtId="0" fontId="1" fillId="0" borderId="4" xfId="3" applyNumberFormat="1" applyFont="1" applyFill="1" applyBorder="1" applyAlignment="1">
      <alignment horizontal="left"/>
    </xf>
    <xf numFmtId="0" fontId="1" fillId="0" borderId="36" xfId="3" applyNumberFormat="1" applyFont="1" applyFill="1" applyBorder="1"/>
    <xf numFmtId="0" fontId="1" fillId="0" borderId="3" xfId="3" applyNumberFormat="1" applyFont="1" applyFill="1" applyBorder="1"/>
    <xf numFmtId="0" fontId="1" fillId="0" borderId="36" xfId="0" applyFont="1" applyFill="1" applyBorder="1" applyAlignment="1">
      <alignment horizontal="left" wrapText="1"/>
    </xf>
    <xf numFmtId="0" fontId="10" fillId="0" borderId="0" xfId="1" applyFont="1"/>
    <xf numFmtId="0" fontId="4" fillId="0" borderId="0" xfId="1"/>
    <xf numFmtId="0" fontId="11" fillId="0" borderId="0" xfId="1" applyFont="1"/>
    <xf numFmtId="168" fontId="12" fillId="0" borderId="0" xfId="1" applyNumberFormat="1" applyFont="1"/>
    <xf numFmtId="3" fontId="12" fillId="0" borderId="0" xfId="1" applyNumberFormat="1" applyFont="1"/>
    <xf numFmtId="14" fontId="4" fillId="0" borderId="0" xfId="1" applyNumberFormat="1"/>
    <xf numFmtId="164" fontId="4" fillId="0" borderId="0" xfId="1" applyNumberFormat="1"/>
    <xf numFmtId="0" fontId="13" fillId="2" borderId="37" xfId="1" applyNumberFormat="1" applyFont="1" applyFill="1" applyBorder="1" applyAlignment="1">
      <alignment horizontal="left"/>
    </xf>
    <xf numFmtId="14" fontId="13" fillId="2" borderId="37" xfId="1" applyNumberFormat="1" applyFont="1" applyFill="1" applyBorder="1" applyAlignment="1">
      <alignment horizontal="left"/>
    </xf>
    <xf numFmtId="166" fontId="13" fillId="2" borderId="37" xfId="1" applyNumberFormat="1" applyFont="1" applyFill="1" applyBorder="1" applyAlignment="1">
      <alignment horizontal="left"/>
    </xf>
    <xf numFmtId="0" fontId="13" fillId="2" borderId="38" xfId="1" applyNumberFormat="1" applyFont="1" applyFill="1" applyBorder="1" applyAlignment="1">
      <alignment horizontal="left"/>
    </xf>
    <xf numFmtId="0" fontId="4" fillId="0" borderId="0" xfId="1" applyFill="1"/>
    <xf numFmtId="0" fontId="4" fillId="0" borderId="0" xfId="1" applyNumberFormat="1" applyFill="1"/>
    <xf numFmtId="0" fontId="0" fillId="0" borderId="39" xfId="0" applyBorder="1"/>
    <xf numFmtId="0" fontId="0" fillId="0" borderId="0" xfId="0" applyAlignment="1" applyProtection="1">
      <alignment horizontal="right"/>
      <protection locked="0"/>
    </xf>
    <xf numFmtId="169" fontId="4" fillId="0" borderId="0" xfId="1" applyNumberFormat="1" applyFill="1"/>
    <xf numFmtId="169" fontId="0" fillId="0" borderId="0" xfId="0" applyNumberFormat="1" applyAlignment="1" applyProtection="1">
      <alignment horizontal="center"/>
      <protection locked="0"/>
    </xf>
    <xf numFmtId="0" fontId="1" fillId="0" borderId="3" xfId="0" applyNumberFormat="1" applyFont="1" applyFill="1" applyBorder="1" applyAlignment="1">
      <alignment horizontal="left"/>
    </xf>
    <xf numFmtId="166" fontId="0" fillId="0" borderId="0" xfId="0" applyNumberFormat="1"/>
    <xf numFmtId="166" fontId="0" fillId="0" borderId="0" xfId="0" applyNumberFormat="1" applyFont="1" applyBorder="1"/>
    <xf numFmtId="0" fontId="7" fillId="0" borderId="11" xfId="0" applyFont="1" applyBorder="1"/>
    <xf numFmtId="0" fontId="14" fillId="0" borderId="40" xfId="0" applyFont="1" applyBorder="1"/>
    <xf numFmtId="0" fontId="14" fillId="0" borderId="41" xfId="0" applyFont="1" applyBorder="1"/>
    <xf numFmtId="0" fontId="14" fillId="0" borderId="25" xfId="0" applyFont="1" applyBorder="1"/>
    <xf numFmtId="0" fontId="14" fillId="0" borderId="22" xfId="0" applyFont="1" applyBorder="1"/>
    <xf numFmtId="7" fontId="4" fillId="0" borderId="0" xfId="1" applyNumberFormat="1" applyFill="1"/>
    <xf numFmtId="2" fontId="0" fillId="0" borderId="0" xfId="0" applyNumberFormat="1"/>
    <xf numFmtId="14" fontId="0" fillId="0" borderId="0" xfId="0" applyNumberFormat="1"/>
  </cellXfs>
  <cellStyles count="6">
    <cellStyle name="Erklärender Text 2" xfId="3" xr:uid="{00000000-0005-0000-0000-00002F000000}"/>
    <cellStyle name="Komma 2" xfId="4" xr:uid="{00000000-0005-0000-0000-000002000000}"/>
    <cellStyle name="Prozent 2" xfId="2" xr:uid="{00000000-0005-0000-0000-000032000000}"/>
    <cellStyle name="Standard" xfId="0" builtinId="0"/>
    <cellStyle name="Standard 2" xfId="1" xr:uid="{00000000-0005-0000-0000-000033000000}"/>
    <cellStyle name="Währung" xfId="5" builtinId="4"/>
  </cellStyles>
  <dxfs count="8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9" formatCode="m/d/yyyy"/>
    </dxf>
    <dxf>
      <border outline="0">
        <top style="thin">
          <color theme="0" tint="-0.2499465926084170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fill>
        <patternFill patternType="none">
          <bgColor auto="1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none"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none"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none"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none"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none"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none"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none"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border outline="0">
        <left style="medium">
          <color indexed="64"/>
        </left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none">
          <bgColor auto="1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/>
    </dxf>
    <dxf>
      <alignment horizontal="center"/>
    </dxf>
    <dxf>
      <numFmt numFmtId="165" formatCode="_(&quot;€&quot;* #,##0.00_);_(&quot;€&quot;* \(#,##0.00\);_(&quot;€&quot;* &quot;-&quot;??_);_(@_)"/>
    </dxf>
    <dxf>
      <numFmt numFmtId="19" formatCode="dd/mm/yyyy"/>
    </dxf>
    <dxf>
      <numFmt numFmtId="19" formatCode="dd/mm/yyyy"/>
    </dxf>
    <dxf>
      <numFmt numFmtId="0" formatCode="General"/>
    </dxf>
    <dxf>
      <numFmt numFmtId="30" formatCode="@"/>
    </dxf>
    <dxf>
      <alignment horizontal="left" vertical="bottom" textRotation="0" wrapText="0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6" formatCode="#,##0.00\ &quot;€&quot;"/>
      <protection locked="0" hidden="0"/>
    </dxf>
    <dxf>
      <alignment horizontal="right" vertical="bottom" textRotation="0" wrapText="0" indent="0" justifyLastLine="0" shrinkToFit="0" readingOrder="0"/>
      <protection locked="0" hidden="0"/>
    </dxf>
    <dxf>
      <numFmt numFmtId="169" formatCode="m/d/yyyy"/>
      <alignment horizontal="center" vertical="bottom" textRotation="0" wrapText="0" indent="0" justifyLastLine="0" shrinkToFit="0" readingOrder="0"/>
      <protection locked="0" hidden="0"/>
    </dxf>
    <dxf>
      <numFmt numFmtId="19" formatCode="dd/mm/yyyy"/>
      <protection locked="0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1/relationships/timelineCache" Target="timelineCaches/timelineCache3.xml"/><Relationship Id="rId2" Type="http://schemas.openxmlformats.org/officeDocument/2006/relationships/worksheet" Target="worksheets/sheet2.xml"/><Relationship Id="rId16" Type="http://schemas.microsoft.com/office/2011/relationships/timelineCache" Target="timelineCaches/timelineCache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0</xdr:row>
          <xdr:rowOff>0</xdr:rowOff>
        </xdr:from>
        <xdr:to>
          <xdr:col>7</xdr:col>
          <xdr:colOff>228600</xdr:colOff>
          <xdr:row>0</xdr:row>
          <xdr:rowOff>428625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SUPER 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1085850</xdr:colOff>
          <xdr:row>0</xdr:row>
          <xdr:rowOff>9525</xdr:rowOff>
        </xdr:from>
        <xdr:to>
          <xdr:col>4</xdr:col>
          <xdr:colOff>219075</xdr:colOff>
          <xdr:row>0</xdr:row>
          <xdr:rowOff>419100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0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  <a:p>
              <a:pPr algn="ctr" rtl="0">
                <a:defRPr sz="1000"/>
              </a:pPr>
              <a:endParaRPr lang="de-DE" sz="20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56</xdr:col>
      <xdr:colOff>276224</xdr:colOff>
      <xdr:row>55</xdr:row>
      <xdr:rowOff>9525</xdr:rowOff>
    </xdr:from>
    <xdr:to>
      <xdr:col>66</xdr:col>
      <xdr:colOff>285750</xdr:colOff>
      <xdr:row>63</xdr:row>
      <xdr:rowOff>133351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Datum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005124" y="10487025"/>
              <a:ext cx="7629526" cy="16478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DE" sz="1100"/>
                <a:t>Zeitachse: Funktioniert in Excel 2013 oder höher. Nicht verschieben oder die Größe ändern.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187823</xdr:colOff>
      <xdr:row>3</xdr:row>
      <xdr:rowOff>10582</xdr:rowOff>
    </xdr:from>
    <xdr:to>
      <xdr:col>16</xdr:col>
      <xdr:colOff>616137</xdr:colOff>
      <xdr:row>10</xdr:row>
      <xdr:rowOff>32683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Datum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31990" y="582082"/>
              <a:ext cx="3317564" cy="13556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DE" sz="1100"/>
                <a:t>Zeitachse: Funktioniert in Excel 2013 oder höher. Nicht verschieben oder die Größe ändern.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85725</xdr:rowOff>
        </xdr:from>
        <xdr:to>
          <xdr:col>4</xdr:col>
          <xdr:colOff>390525</xdr:colOff>
          <xdr:row>3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2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38099</xdr:colOff>
      <xdr:row>4</xdr:row>
      <xdr:rowOff>66675</xdr:rowOff>
    </xdr:from>
    <xdr:to>
      <xdr:col>23</xdr:col>
      <xdr:colOff>190499</xdr:colOff>
      <xdr:row>11</xdr:row>
      <xdr:rowOff>104775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 4">
              <a:extLst>
                <a:ext uri="{FF2B5EF4-FFF2-40B4-BE49-F238E27FC236}">
                  <a16:creationId xmlns:a16="http://schemas.microsoft.com/office/drawing/2014/main" id="{00000000-0008-0000-08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81524" y="828675"/>
              <a:ext cx="70580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DE" sz="1100"/>
                <a:t>Zeitachse: Funktioniert in Excel 2013 oder höher. Nicht verschieben oder die Größe ändern.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0</xdr:row>
      <xdr:rowOff>285750</xdr:rowOff>
    </xdr:from>
    <xdr:to>
      <xdr:col>1</xdr:col>
      <xdr:colOff>333375</xdr:colOff>
      <xdr:row>1</xdr:row>
      <xdr:rowOff>95250</xdr:rowOff>
    </xdr:to>
    <xdr:cxnSp macro="">
      <xdr:nvCxnSpPr>
        <xdr:cNvPr id="2" name="Gerade Verbindung mit Pfeil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CxnSpPr/>
      </xdr:nvCxnSpPr>
      <xdr:spPr>
        <a:xfrm flipH="1">
          <a:off x="666750" y="285750"/>
          <a:ext cx="428625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638175</xdr:colOff>
      <xdr:row>0</xdr:row>
      <xdr:rowOff>371475</xdr:rowOff>
    </xdr:from>
    <xdr:to>
      <xdr:col>1</xdr:col>
      <xdr:colOff>647700</xdr:colOff>
      <xdr:row>1</xdr:row>
      <xdr:rowOff>152400</xdr:rowOff>
    </xdr:to>
    <xdr:cxnSp macro="">
      <xdr:nvCxnSpPr>
        <xdr:cNvPr id="3" name="Gerade Verbindung mit Pfeil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CxnSpPr/>
      </xdr:nvCxnSpPr>
      <xdr:spPr>
        <a:xfrm flipH="1">
          <a:off x="1400175" y="371475"/>
          <a:ext cx="9525" cy="1619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1009650</xdr:colOff>
      <xdr:row>0</xdr:row>
      <xdr:rowOff>352425</xdr:rowOff>
    </xdr:from>
    <xdr:to>
      <xdr:col>2</xdr:col>
      <xdr:colOff>66675</xdr:colOff>
      <xdr:row>1</xdr:row>
      <xdr:rowOff>104775</xdr:rowOff>
    </xdr:to>
    <xdr:cxnSp macro="">
      <xdr:nvCxnSpPr>
        <xdr:cNvPr id="4" name="Gerade Verbindung mit Pfeil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CxnSpPr/>
      </xdr:nvCxnSpPr>
      <xdr:spPr>
        <a:xfrm>
          <a:off x="1771650" y="352425"/>
          <a:ext cx="400050" cy="1333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1466850</xdr:colOff>
          <xdr:row>0</xdr:row>
          <xdr:rowOff>47625</xdr:rowOff>
        </xdr:from>
        <xdr:to>
          <xdr:col>10</xdr:col>
          <xdr:colOff>0</xdr:colOff>
          <xdr:row>1</xdr:row>
          <xdr:rowOff>85725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B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1" refreshedDate="46174.387203819446" createdVersion="6" refreshedVersion="7" minRefreshableVersion="3" recordCount="3997" xr:uid="{1118E1AA-47D6-4F1B-922A-1A78F5B9875B}">
  <cacheSource type="worksheet">
    <worksheetSource name="Tabelle2"/>
  </cacheSource>
  <cacheFields count="12">
    <cacheField name="Faktura NR." numFmtId="0">
      <sharedItems/>
    </cacheField>
    <cacheField name="Datum" numFmtId="0">
      <sharedItems containsSemiMixedTypes="0" containsNonDate="0" containsDate="1" containsString="0" minDate="2019-05-02T00:00:00" maxDate="2026-05-31T00:00:00" count="1912">
        <d v="2026-01-07T00:00:00"/>
        <d v="2026-01-08T00:00:00"/>
        <d v="2026-01-09T00:00:00"/>
        <d v="2026-01-10T00:00:00"/>
        <d v="2026-01-12T00:00:00"/>
        <d v="2026-01-13T00:00:00"/>
        <d v="2026-01-14T00:00:00"/>
        <d v="2026-01-15T00:00:00"/>
        <d v="2026-01-16T00:00:00"/>
        <d v="2026-01-17T00:00:00"/>
        <d v="2026-01-19T00:00:00"/>
        <d v="2026-01-20T00:00:00"/>
        <d v="2026-01-21T00:00:00"/>
        <d v="2026-01-22T00:00:00"/>
        <d v="2026-01-23T00:00:00"/>
        <d v="2026-01-24T00:00:00"/>
        <d v="2026-01-26T00:00:00"/>
        <d v="2026-01-27T00:00:00"/>
        <d v="2026-01-28T00:00:00"/>
        <d v="2026-01-29T00:00:00"/>
        <d v="2026-01-30T00:00:00"/>
        <d v="2026-01-31T00:00:00"/>
        <d v="2026-02-02T00:00:00"/>
        <d v="2026-02-03T00:00:00"/>
        <d v="2026-02-04T00:00:00"/>
        <d v="2026-02-05T00:00:00"/>
        <d v="2026-02-06T00:00:00"/>
        <d v="2026-02-07T00:00:00"/>
        <d v="2026-02-09T00:00:00"/>
        <d v="2026-02-10T00:00:00"/>
        <d v="2026-02-11T00:00:00"/>
        <d v="2026-02-12T00:00:00"/>
        <d v="2026-02-13T00:00:00"/>
        <d v="2026-02-14T00:00:00"/>
        <d v="2026-02-16T00:00:00"/>
        <d v="2026-02-18T00:00:00"/>
        <d v="2026-02-19T00:00:00"/>
        <d v="2026-02-20T00:00:00"/>
        <d v="2026-02-21T00:00:00"/>
        <d v="2026-02-23T00:00:00"/>
        <d v="2026-02-24T00:00:00"/>
        <d v="2026-02-25T00:00:00"/>
        <d v="2026-02-26T00:00:00"/>
        <d v="2026-02-27T00:00:00"/>
        <d v="2026-02-28T00:00:00"/>
        <d v="2026-03-02T00:00:00"/>
        <d v="2026-03-03T00:00:00"/>
        <d v="2026-03-04T00:00:00"/>
        <d v="2026-03-05T00:00:00"/>
        <d v="2026-03-06T00:00:00"/>
        <d v="2026-03-07T00:00:00"/>
        <d v="2026-03-09T00:00:00"/>
        <d v="2026-03-10T00:00:00"/>
        <d v="2026-03-11T00:00:00"/>
        <d v="2026-03-12T00:00:00"/>
        <d v="2026-03-13T00:00:00"/>
        <d v="2026-03-14T00:00:00"/>
        <d v="2026-03-16T00:00:00"/>
        <d v="2026-03-17T00:00:00"/>
        <d v="2026-03-18T00:00:00"/>
        <d v="2026-03-23T00:00:00"/>
        <d v="2026-03-24T00:00:00"/>
        <d v="2026-03-25T00:00:00"/>
        <d v="2026-03-26T00:00:00"/>
        <d v="2026-03-27T00:00:00"/>
        <d v="2026-03-28T00:00:00"/>
        <d v="2026-03-30T00:00:00"/>
        <d v="2026-03-31T00:00:00"/>
        <d v="2026-04-01T00:00:00"/>
        <d v="2026-04-02T00:00:00"/>
        <d v="2026-04-03T00:00:00"/>
        <d v="2026-04-04T00:00:00"/>
        <d v="2026-04-06T00:00:00"/>
        <d v="2026-04-07T00:00:00"/>
        <d v="2026-04-08T00:00:00"/>
        <d v="2026-04-09T00:00:00"/>
        <d v="2026-04-10T00:00:00"/>
        <d v="2026-04-11T00:00:00"/>
        <d v="2026-04-13T00:00:00"/>
        <d v="2026-04-14T00:00:00"/>
        <d v="2026-04-15T00:00:00"/>
        <d v="2026-04-16T00:00:00"/>
        <d v="2026-04-17T00:00:00"/>
        <d v="2026-04-18T00:00:00"/>
        <d v="2026-04-20T00:00:00"/>
        <d v="2026-04-21T00:00:00"/>
        <d v="2026-04-22T00:00:00"/>
        <d v="2026-04-23T00:00:00"/>
        <d v="2026-04-24T00:00:00"/>
        <d v="2026-04-25T00:00:00"/>
        <d v="2026-04-27T00:00:00"/>
        <d v="2026-04-28T00:00:00"/>
        <d v="2026-04-29T00:00:00"/>
        <d v="2026-04-30T00:00:00"/>
        <d v="2026-05-02T00:00:00"/>
        <d v="2026-05-04T00:00:00"/>
        <d v="2026-05-05T00:00:00"/>
        <d v="2026-05-06T00:00:00"/>
        <d v="2026-05-07T00:00:00"/>
        <d v="2026-05-08T00:00:00"/>
        <d v="2026-05-09T00:00:00"/>
        <d v="2026-05-11T00:00:00"/>
        <d v="2026-05-12T00:00:00"/>
        <d v="2026-05-13T00:00:00"/>
        <d v="2026-05-14T00:00:00"/>
        <d v="2026-05-15T00:00:00"/>
        <d v="2026-05-16T00:00:00"/>
        <d v="2026-05-18T00:00:00"/>
        <d v="2026-05-19T00:00:00"/>
        <d v="2026-05-20T00:00:00"/>
        <d v="2026-05-21T00:00:00"/>
        <d v="2026-05-22T00:00:00"/>
        <d v="2026-05-23T00:00:00"/>
        <d v="2026-05-25T00:00:00"/>
        <d v="2026-05-26T00:00:00"/>
        <d v="2026-05-29T00:00:00"/>
        <d v="2026-05-30T00:00:00"/>
        <d v="2019-09-19T00:00:00" u="1"/>
        <d v="2020-09-19T00:00:00" u="1"/>
        <d v="2023-09-19T00:00:00" u="1"/>
        <d v="2019-05-30T00:00:00" u="1"/>
        <d v="2024-09-19T00:00:00" u="1"/>
        <d v="2020-05-30T00:00:00" u="1"/>
        <d v="2025-09-19T00:00:00" u="1"/>
        <d v="2022-05-30T00:00:00" u="1"/>
        <d v="2023-05-30T00:00:00" u="1"/>
        <d v="2024-05-30T00:00:00" u="1"/>
        <d v="2025-05-30T00:00:00" u="1"/>
        <d v="2019-10-19T00:00:00" u="1"/>
        <d v="2020-10-19T00:00:00" u="1"/>
        <d v="2021-10-19T00:00:00" u="1"/>
        <d v="2023-10-19T00:00:00" u="1"/>
        <d v="2024-10-19T00:00:00" u="1"/>
        <d v="2020-06-30T00:00:00" u="1"/>
        <d v="2021-06-30T00:00:00" u="1"/>
        <d v="2022-06-30T00:00:00" u="1"/>
        <d v="2023-06-30T00:00:00" u="1"/>
        <d v="2025-06-30T00:00:00" u="1"/>
        <d v="2019-11-19T00:00:00" u="1"/>
        <d v="2020-11-19T00:00:00" u="1"/>
        <d v="2021-11-19T00:00:00" u="1"/>
        <d v="2019-07-30T00:00:00" u="1"/>
        <d v="2024-11-19T00:00:00" u="1"/>
        <d v="2025-11-19T00:00:00" u="1"/>
        <d v="2021-07-30T00:00:00" u="1"/>
        <d v="2024-07-30T00:00:00" u="1"/>
        <d v="2025-07-30T00:00:00" u="1"/>
        <d v="2019-12-19T00:00:00" u="1"/>
        <d v="2020-12-19T00:00:00" u="1"/>
        <d v="2023-12-19T00:00:00" u="1"/>
        <d v="2019-08-30T00:00:00" u="1"/>
        <d v="2024-12-19T00:00:00" u="1"/>
        <d v="2025-12-19T00:00:00" u="1"/>
        <d v="2021-08-30T00:00:00" u="1"/>
        <d v="2023-08-30T00:00:00" u="1"/>
        <d v="2024-08-30T00:00:00" u="1"/>
        <d v="2025-08-30T00:00:00" u="1"/>
        <d v="2020-01-09T00:00:00" u="1"/>
        <d v="2021-01-09T00:00:00" u="1"/>
        <d v="2023-01-09T00:00:00" u="1"/>
        <d v="2024-01-09T00:00:00" u="1"/>
        <d v="2025-01-09T00:00:00" u="1"/>
        <d v="2019-09-30T00:00:00" u="1"/>
        <d v="2020-09-30T00:00:00" u="1"/>
        <d v="2021-09-30T00:00:00" u="1"/>
        <d v="2023-09-30T00:00:00" u="1"/>
        <d v="2024-09-30T00:00:00" u="1"/>
        <d v="2025-09-30T00:00:00" u="1"/>
        <d v="2021-02-09T00:00:00" u="1"/>
        <d v="2022-02-09T00:00:00" u="1"/>
        <d v="2023-02-09T00:00:00" u="1"/>
        <d v="2024-02-09T00:00:00" u="1"/>
        <d v="2019-10-30T00:00:00" u="1"/>
        <d v="2020-10-30T00:00:00" u="1"/>
        <d v="2021-10-30T00:00:00" u="1"/>
        <d v="2023-10-30T00:00:00" u="1"/>
        <d v="2024-10-30T00:00:00" u="1"/>
        <d v="2025-10-30T00:00:00" u="1"/>
        <d v="2020-03-09T00:00:00" u="1"/>
        <d v="2021-03-09T00:00:00" u="1"/>
        <d v="2022-03-09T00:00:00" u="1"/>
        <d v="2023-03-09T00:00:00" u="1"/>
        <d v="2024-03-09T00:00:00" u="1"/>
        <d v="2019-11-30T00:00:00" u="1"/>
        <d v="2020-11-30T00:00:00" u="1"/>
        <d v="2021-11-30T00:00:00" u="1"/>
        <d v="2023-11-30T00:00:00" u="1"/>
        <d v="2024-11-30T00:00:00" u="1"/>
        <d v="2020-04-09T00:00:00" u="1"/>
        <d v="2021-04-09T00:00:00" u="1"/>
        <d v="2022-04-09T00:00:00" u="1"/>
        <d v="2025-04-09T00:00:00" u="1"/>
        <d v="2019-12-30T00:00:00" u="1"/>
        <d v="2020-12-30T00:00:00" u="1"/>
        <d v="2021-12-30T00:00:00" u="1"/>
        <d v="2024-12-30T00:00:00" u="1"/>
        <d v="2025-12-30T00:00:00" u="1"/>
        <d v="2019-05-09T00:00:00" u="1"/>
        <d v="2020-05-09T00:00:00" u="1"/>
        <d v="2022-05-09T00:00:00" u="1"/>
        <d v="2023-05-09T00:00:00" u="1"/>
        <d v="2024-05-09T00:00:00" u="1"/>
        <d v="2020-01-20T00:00:00" u="1"/>
        <d v="2025-05-09T00:00:00" u="1"/>
        <d v="2021-01-20T00:00:00" u="1"/>
        <d v="2022-01-20T00:00:00" u="1"/>
        <d v="2023-01-20T00:00:00" u="1"/>
        <d v="2024-01-20T00:00:00" u="1"/>
        <d v="2025-01-20T00:00:00" u="1"/>
        <d v="2020-06-09T00:00:00" u="1"/>
        <d v="2021-06-09T00:00:00" u="1"/>
        <d v="2022-06-09T00:00:00" u="1"/>
        <d v="2023-06-09T00:00:00" u="1"/>
        <d v="2020-02-20T00:00:00" u="1"/>
        <d v="2025-06-09T00:00:00" u="1"/>
        <d v="2021-02-20T00:00:00" u="1"/>
        <d v="2023-02-20T00:00:00" u="1"/>
        <d v="2024-02-20T00:00:00" u="1"/>
        <d v="2025-02-20T00:00:00" u="1"/>
        <d v="2019-07-09T00:00:00" u="1"/>
        <d v="2020-07-09T00:00:00" u="1"/>
        <d v="2021-07-09T00:00:00" u="1"/>
        <d v="2024-07-09T00:00:00" u="1"/>
        <d v="2020-03-20T00:00:00" u="1"/>
        <d v="2025-07-09T00:00:00" u="1"/>
        <d v="2021-03-20T00:00:00" u="1"/>
        <d v="2023-03-20T00:00:00" u="1"/>
        <d v="2024-03-20T00:00:00" u="1"/>
        <d v="2019-08-09T00:00:00" u="1"/>
        <d v="2021-08-09T00:00:00" u="1"/>
        <d v="2023-08-09T00:00:00" u="1"/>
        <d v="2025-08-09T00:00:00" u="1"/>
        <d v="2021-04-20T00:00:00" u="1"/>
        <d v="2022-04-20T00:00:00" u="1"/>
        <d v="2024-04-20T00:00:00" u="1"/>
        <d v="2019-09-09T00:00:00" u="1"/>
        <d v="2020-09-09T00:00:00" u="1"/>
        <d v="2021-09-09T00:00:00" u="1"/>
        <d v="2023-09-09T00:00:00" u="1"/>
        <d v="2019-05-20T00:00:00" u="1"/>
        <d v="2024-09-09T00:00:00" u="1"/>
        <d v="2020-05-20T00:00:00" u="1"/>
        <d v="2025-09-09T00:00:00" u="1"/>
        <d v="2021-05-20T00:00:00" u="1"/>
        <d v="2022-05-20T00:00:00" u="1"/>
        <d v="2023-05-20T00:00:00" u="1"/>
        <d v="2024-05-20T00:00:00" u="1"/>
        <d v="2020-01-31T00:00:00" u="1"/>
        <d v="2025-05-20T00:00:00" u="1"/>
        <d v="2022-01-31T00:00:00" u="1"/>
        <d v="2023-01-31T00:00:00" u="1"/>
        <d v="2024-01-31T00:00:00" u="1"/>
        <d v="2025-01-31T00:00:00" u="1"/>
        <d v="2019-10-09T00:00:00" u="1"/>
        <d v="2020-10-09T00:00:00" u="1"/>
        <d v="2021-10-09T00:00:00" u="1"/>
        <d v="2023-10-09T00:00:00" u="1"/>
        <d v="2019-06-20T00:00:00" u="1"/>
        <d v="2024-10-09T00:00:00" u="1"/>
        <d v="2020-06-20T00:00:00" u="1"/>
        <d v="2025-10-09T00:00:00" u="1"/>
        <d v="2022-06-20T00:00:00" u="1"/>
        <d v="2023-06-20T00:00:00" u="1"/>
        <d v="2024-06-20T00:00:00" u="1"/>
        <d v="2025-06-20T00:00:00" u="1"/>
        <d v="2019-11-09T00:00:00" u="1"/>
        <d v="2020-11-09T00:00:00" u="1"/>
        <d v="2021-11-09T00:00:00" u="1"/>
        <d v="2023-11-09T00:00:00" u="1"/>
        <d v="2019-07-20T00:00:00" u="1"/>
        <d v="2024-11-09T00:00:00" u="1"/>
        <d v="2020-07-20T00:00:00" u="1"/>
        <d v="2023-07-20T00:00:00" u="1"/>
        <d v="2024-07-20T00:00:00" u="1"/>
        <d v="2020-03-31T00:00:00" u="1"/>
        <d v="2021-03-31T00:00:00" u="1"/>
        <d v="2022-03-31T00:00:00" u="1"/>
        <d v="2023-03-31T00:00:00" u="1"/>
        <d v="2019-12-09T00:00:00" u="1"/>
        <d v="2020-12-09T00:00:00" u="1"/>
        <d v="2021-12-09T00:00:00" u="1"/>
        <d v="2023-12-09T00:00:00" u="1"/>
        <d v="2019-08-20T00:00:00" u="1"/>
        <d v="2024-12-09T00:00:00" u="1"/>
        <d v="2020-08-20T00:00:00" u="1"/>
        <d v="2025-12-09T00:00:00" u="1"/>
        <d v="2021-08-20T00:00:00" u="1"/>
        <d v="2024-08-20T00:00:00" u="1"/>
        <d v="2025-08-20T00:00:00" u="1"/>
        <d v="2019-09-20T00:00:00" u="1"/>
        <d v="2020-09-20T00:00:00" u="1"/>
        <d v="2021-09-20T00:00:00" u="1"/>
        <d v="2023-09-20T00:00:00" u="1"/>
        <d v="2019-05-31T00:00:00" u="1"/>
        <d v="2024-09-20T00:00:00" u="1"/>
        <d v="2025-09-20T00:00:00" u="1"/>
        <d v="2021-05-31T00:00:00" u="1"/>
        <d v="2022-05-31T00:00:00" u="1"/>
        <d v="2023-05-31T00:00:00" u="1"/>
        <d v="2024-05-31T00:00:00" u="1"/>
        <d v="2025-05-31T00:00:00" u="1"/>
        <d v="2020-10-20T00:00:00" u="1"/>
        <d v="2021-10-20T00:00:00" u="1"/>
        <d v="2023-10-20T00:00:00" u="1"/>
        <d v="2025-10-20T00:00:00" u="1"/>
        <d v="2019-11-20T00:00:00" u="1"/>
        <d v="2020-11-20T00:00:00" u="1"/>
        <d v="2021-11-20T00:00:00" u="1"/>
        <d v="2023-11-20T00:00:00" u="1"/>
        <d v="2019-07-31T00:00:00" u="1"/>
        <d v="2024-11-20T00:00:00" u="1"/>
        <d v="2025-11-20T00:00:00" u="1"/>
        <d v="2021-07-31T00:00:00" u="1"/>
        <d v="2023-07-31T00:00:00" u="1"/>
        <d v="2024-07-31T00:00:00" u="1"/>
        <d v="2025-07-31T00:00:00" u="1"/>
        <d v="2019-12-20T00:00:00" u="1"/>
        <d v="2021-12-20T00:00:00" u="1"/>
        <d v="2023-12-20T00:00:00" u="1"/>
        <d v="2019-08-31T00:00:00" u="1"/>
        <d v="2024-12-20T00:00:00" u="1"/>
        <d v="2020-08-31T00:00:00" u="1"/>
        <d v="2025-12-20T00:00:00" u="1"/>
        <d v="2021-08-31T00:00:00" u="1"/>
        <d v="2023-08-31T00:00:00" u="1"/>
        <d v="2024-08-31T00:00:00" u="1"/>
        <d v="2020-01-10T00:00:00" u="1"/>
        <d v="2022-01-10T00:00:00" u="1"/>
        <d v="2023-01-10T00:00:00" u="1"/>
        <d v="2024-01-10T00:00:00" u="1"/>
        <d v="2025-01-10T00:00:00" u="1"/>
        <d v="2020-02-10T00:00:00" u="1"/>
        <d v="2021-02-10T00:00:00" u="1"/>
        <d v="2022-02-10T00:00:00" u="1"/>
        <d v="2023-02-10T00:00:00" u="1"/>
        <d v="2024-02-10T00:00:00" u="1"/>
        <d v="2025-02-10T00:00:00" u="1"/>
        <d v="2019-10-31T00:00:00" u="1"/>
        <d v="2020-10-31T00:00:00" u="1"/>
        <d v="2023-10-31T00:00:00" u="1"/>
        <d v="2024-10-31T00:00:00" u="1"/>
        <d v="2025-10-31T00:00:00" u="1"/>
        <d v="2020-03-10T00:00:00" u="1"/>
        <d v="2021-03-10T00:00:00" u="1"/>
        <d v="2022-03-10T00:00:00" u="1"/>
        <d v="2023-03-10T00:00:00" u="1"/>
        <d v="2025-03-10T00:00:00" u="1"/>
        <d v="2020-04-10T00:00:00" u="1"/>
        <d v="2021-04-10T00:00:00" u="1"/>
        <d v="2023-04-10T00:00:00" u="1"/>
        <d v="2025-04-10T00:00:00" u="1"/>
        <d v="2019-12-31T00:00:00" u="1"/>
        <d v="2021-12-31T00:00:00" u="1"/>
        <d v="2019-05-10T00:00:00" u="1"/>
        <d v="2021-05-10T00:00:00" u="1"/>
        <d v="2022-05-10T00:00:00" u="1"/>
        <d v="2023-05-10T00:00:00" u="1"/>
        <d v="2024-05-10T00:00:00" u="1"/>
        <d v="2020-01-21T00:00:00" u="1"/>
        <d v="2025-05-10T00:00:00" u="1"/>
        <d v="2021-01-21T00:00:00" u="1"/>
        <d v="2022-01-21T00:00:00" u="1"/>
        <d v="2023-01-21T00:00:00" u="1"/>
        <d v="2025-01-21T00:00:00" u="1"/>
        <d v="2019-06-10T00:00:00" u="1"/>
        <d v="2020-06-10T00:00:00" u="1"/>
        <d v="2021-06-10T00:00:00" u="1"/>
        <d v="2022-06-10T00:00:00" u="1"/>
        <d v="2023-06-10T00:00:00" u="1"/>
        <d v="2020-02-21T00:00:00" u="1"/>
        <d v="2025-06-10T00:00:00" u="1"/>
        <d v="2022-02-21T00:00:00" u="1"/>
        <d v="2023-02-21T00:00:00" u="1"/>
        <d v="2024-02-21T00:00:00" u="1"/>
        <d v="2025-02-21T00:00:00" u="1"/>
        <d v="2019-07-10T00:00:00" u="1"/>
        <d v="2020-07-10T00:00:00" u="1"/>
        <d v="2021-07-10T00:00:00" u="1"/>
        <d v="2023-07-10T00:00:00" u="1"/>
        <d v="2024-07-10T00:00:00" u="1"/>
        <d v="2025-07-10T00:00:00" u="1"/>
        <d v="2022-03-21T00:00:00" u="1"/>
        <d v="2023-03-21T00:00:00" u="1"/>
        <d v="2025-03-21T00:00:00" u="1"/>
        <d v="2019-08-10T00:00:00" u="1"/>
        <d v="2020-08-10T00:00:00" u="1"/>
        <d v="2023-08-10T00:00:00" u="1"/>
        <d v="2020-04-21T00:00:00" u="1"/>
        <d v="2021-04-21T00:00:00" u="1"/>
        <d v="2022-04-21T00:00:00" u="1"/>
        <d v="2025-04-21T00:00:00" u="1"/>
        <d v="2019-09-10T00:00:00" u="1"/>
        <d v="2021-09-10T00:00:00" u="1"/>
        <d v="2019-05-21T00:00:00" u="1"/>
        <d v="2024-09-10T00:00:00" u="1"/>
        <d v="2020-05-21T00:00:00" u="1"/>
        <d v="2025-09-10T00:00:00" u="1"/>
        <d v="2021-05-21T00:00:00" u="1"/>
        <d v="2022-05-21T00:00:00" u="1"/>
        <d v="2024-05-21T00:00:00" u="1"/>
        <d v="2025-05-21T00:00:00" u="1"/>
        <d v="2019-10-10T00:00:00" u="1"/>
        <d v="2020-10-10T00:00:00" u="1"/>
        <d v="2023-10-10T00:00:00" u="1"/>
        <d v="2019-06-21T00:00:00" u="1"/>
        <d v="2024-10-10T00:00:00" u="1"/>
        <d v="2020-06-21T00:00:00" u="1"/>
        <d v="2025-10-10T00:00:00" u="1"/>
        <d v="2021-06-21T00:00:00" u="1"/>
        <d v="2022-06-21T00:00:00" u="1"/>
        <d v="2023-06-21T00:00:00" u="1"/>
        <d v="2024-06-21T00:00:00" u="1"/>
        <d v="2025-06-21T00:00:00" u="1"/>
        <d v="2020-11-10T00:00:00" u="1"/>
        <d v="2021-11-10T00:00:00" u="1"/>
        <d v="2023-11-10T00:00:00" u="1"/>
        <d v="2020-07-21T00:00:00" u="1"/>
        <d v="2025-11-10T00:00:00" u="1"/>
        <d v="2023-07-21T00:00:00" u="1"/>
        <d v="2025-07-21T00:00:00" u="1"/>
        <d v="2019-12-10T00:00:00" u="1"/>
        <d v="2020-12-10T00:00:00" u="1"/>
        <d v="2021-12-10T00:00:00" u="1"/>
        <d v="2019-08-21T00:00:00" u="1"/>
        <d v="2024-12-10T00:00:00" u="1"/>
        <d v="2020-08-21T00:00:00" u="1"/>
        <d v="2025-12-10T00:00:00" u="1"/>
        <d v="2021-08-21T00:00:00" u="1"/>
        <d v="2023-08-21T00:00:00" u="1"/>
        <d v="2024-08-21T00:00:00" u="1"/>
        <d v="2025-08-21T00:00:00" u="1"/>
        <d v="2019-09-21T00:00:00" u="1"/>
        <d v="2020-09-21T00:00:00" u="1"/>
        <d v="2021-09-21T00:00:00" u="1"/>
        <d v="2023-09-21T00:00:00" u="1"/>
        <d v="2024-09-21T00:00:00" u="1"/>
        <d v="2019-10-21T00:00:00" u="1"/>
        <d v="2020-10-21T00:00:00" u="1"/>
        <d v="2021-10-21T00:00:00" u="1"/>
        <d v="2023-10-21T00:00:00" u="1"/>
        <d v="2024-10-21T00:00:00" u="1"/>
        <d v="2025-10-21T00:00:00" u="1"/>
        <d v="2019-11-21T00:00:00" u="1"/>
        <d v="2023-11-21T00:00:00" u="1"/>
        <d v="2024-11-21T00:00:00" u="1"/>
        <d v="2025-11-21T00:00:00" u="1"/>
        <d v="2019-12-21T00:00:00" u="1"/>
        <d v="2020-12-21T00:00:00" u="1"/>
        <d v="2021-12-21T00:00:00" u="1"/>
        <d v="2023-12-21T00:00:00" u="1"/>
        <d v="2024-12-21T00:00:00" u="1"/>
        <d v="2020-01-11T00:00:00" u="1"/>
        <d v="2021-01-11T00:00:00" u="1"/>
        <d v="2022-01-11T00:00:00" u="1"/>
        <d v="2023-01-11T00:00:00" u="1"/>
        <d v="2024-01-11T00:00:00" u="1"/>
        <d v="2025-01-11T00:00:00" u="1"/>
        <d v="2020-02-11T00:00:00" u="1"/>
        <d v="2021-02-11T00:00:00" u="1"/>
        <d v="2022-02-11T00:00:00" u="1"/>
        <d v="2023-02-11T00:00:00" u="1"/>
        <d v="2025-02-11T00:00:00" u="1"/>
        <d v="2020-03-11T00:00:00" u="1"/>
        <d v="2021-03-11T00:00:00" u="1"/>
        <d v="2022-03-11T00:00:00" u="1"/>
        <d v="2023-03-11T00:00:00" u="1"/>
        <d v="2024-03-11T00:00:00" u="1"/>
        <d v="2025-03-11T00:00:00" u="1"/>
        <d v="2022-04-11T00:00:00" u="1"/>
        <d v="2023-04-11T00:00:00" u="1"/>
        <d v="2025-04-11T00:00:00" u="1"/>
        <d v="2019-05-11T00:00:00" u="1"/>
        <d v="2020-05-11T00:00:00" u="1"/>
        <d v="2021-05-11T00:00:00" u="1"/>
        <d v="2022-05-11T00:00:00" u="1"/>
        <d v="2023-05-11T00:00:00" u="1"/>
        <d v="2024-05-11T00:00:00" u="1"/>
        <d v="2020-01-22T00:00:00" u="1"/>
        <d v="2021-01-22T00:00:00" u="1"/>
        <d v="2022-01-22T00:00:00" u="1"/>
        <d v="2024-01-22T00:00:00" u="1"/>
        <d v="2025-01-22T00:00:00" u="1"/>
        <d v="2019-06-11T00:00:00" u="1"/>
        <d v="2020-06-11T00:00:00" u="1"/>
        <d v="2021-06-11T00:00:00" u="1"/>
        <d v="2022-06-11T00:00:00" u="1"/>
        <d v="2024-06-11T00:00:00" u="1"/>
        <d v="2020-02-22T00:00:00" u="1"/>
        <d v="2025-06-11T00:00:00" u="1"/>
        <d v="2021-02-22T00:00:00" u="1"/>
        <d v="2022-02-22T00:00:00" u="1"/>
        <d v="2023-02-22T00:00:00" u="1"/>
        <d v="2024-02-22T00:00:00" u="1"/>
        <d v="2025-02-22T00:00:00" u="1"/>
        <d v="2019-07-11T00:00:00" u="1"/>
        <d v="2020-07-11T00:00:00" u="1"/>
        <d v="2023-07-11T00:00:00" u="1"/>
        <d v="2024-07-11T00:00:00" u="1"/>
        <d v="2025-07-11T00:00:00" u="1"/>
        <d v="2021-03-22T00:00:00" u="1"/>
        <d v="2022-03-22T00:00:00" u="1"/>
        <d v="2023-03-22T00:00:00" u="1"/>
        <d v="2024-03-22T00:00:00" u="1"/>
        <d v="2025-03-22T00:00:00" u="1"/>
        <d v="2020-08-11T00:00:00" u="1"/>
        <d v="2023-08-11T00:00:00" u="1"/>
        <d v="2021-04-22T00:00:00" u="1"/>
        <d v="2022-04-22T00:00:00" u="1"/>
        <d v="2024-04-22T00:00:00" u="1"/>
        <d v="2025-04-22T00:00:00" u="1"/>
        <d v="2019-09-11T00:00:00" u="1"/>
        <d v="2020-09-11T00:00:00" u="1"/>
        <d v="2021-09-11T00:00:00" u="1"/>
        <d v="2023-09-11T00:00:00" u="1"/>
        <d v="2019-05-22T00:00:00" u="1"/>
        <d v="2024-09-11T00:00:00" u="1"/>
        <d v="2020-05-22T00:00:00" u="1"/>
        <d v="2025-09-11T00:00:00" u="1"/>
        <d v="2021-05-22T00:00:00" u="1"/>
        <d v="2023-05-22T00:00:00" u="1"/>
        <d v="2024-05-22T00:00:00" u="1"/>
        <d v="2025-05-22T00:00:00" u="1"/>
        <d v="2019-10-11T00:00:00" u="1"/>
        <d v="2021-10-11T00:00:00" u="1"/>
        <d v="2023-10-11T00:00:00" u="1"/>
        <d v="2019-06-22T00:00:00" u="1"/>
        <d v="2024-10-11T00:00:00" u="1"/>
        <d v="2020-06-22T00:00:00" u="1"/>
        <d v="2025-10-11T00:00:00" u="1"/>
        <d v="2021-06-22T00:00:00" u="1"/>
        <d v="2022-06-22T00:00:00" u="1"/>
        <d v="2023-06-22T00:00:00" u="1"/>
        <d v="2024-06-22T00:00:00" u="1"/>
        <d v="2019-11-11T00:00:00" u="1"/>
        <d v="2020-11-11T00:00:00" u="1"/>
        <d v="2021-11-11T00:00:00" u="1"/>
        <d v="2023-11-11T00:00:00" u="1"/>
        <d v="2019-07-22T00:00:00" u="1"/>
        <d v="2024-11-11T00:00:00" u="1"/>
        <d v="2020-07-22T00:00:00" u="1"/>
        <d v="2025-11-11T00:00:00" u="1"/>
        <d v="2021-07-22T00:00:00" u="1"/>
        <d v="2023-07-22T00:00:00" u="1"/>
        <d v="2024-07-22T00:00:00" u="1"/>
        <d v="2025-07-22T00:00:00" u="1"/>
        <d v="2019-12-11T00:00:00" u="1"/>
        <d v="2020-12-11T00:00:00" u="1"/>
        <d v="2021-12-11T00:00:00" u="1"/>
        <d v="2023-12-11T00:00:00" u="1"/>
        <d v="2019-08-22T00:00:00" u="1"/>
        <d v="2024-12-11T00:00:00" u="1"/>
        <d v="2020-08-22T00:00:00" u="1"/>
        <d v="2025-12-11T00:00:00" u="1"/>
        <d v="2023-08-22T00:00:00" u="1"/>
        <d v="2024-08-22T00:00:00" u="1"/>
        <d v="2025-08-22T00:00:00" u="1"/>
        <d v="2020-09-22T00:00:00" u="1"/>
        <d v="2021-09-22T00:00:00" u="1"/>
        <d v="2023-09-22T00:00:00" u="1"/>
        <d v="2025-09-22T00:00:00" u="1"/>
        <d v="2020-02-01T00:00:00" u="1"/>
        <d v="2021-02-01T00:00:00" u="1"/>
        <d v="2022-02-01T00:00:00" u="1"/>
        <d v="2023-02-01T00:00:00" u="1"/>
        <d v="2025-02-01T00:00:00" u="1"/>
        <d v="2019-10-22T00:00:00" u="1"/>
        <d v="2020-10-22T00:00:00" u="1"/>
        <d v="2021-10-22T00:00:00" u="1"/>
        <d v="2024-10-22T00:00:00" u="1"/>
        <d v="2025-10-22T00:00:00" u="1"/>
        <d v="2021-03-01T00:00:00" u="1"/>
        <d v="2022-03-01T00:00:00" u="1"/>
        <d v="2023-03-01T00:00:00" u="1"/>
        <d v="2024-03-01T00:00:00" u="1"/>
        <d v="2025-03-01T00:00:00" u="1"/>
        <d v="2019-11-22T00:00:00" u="1"/>
        <d v="2021-11-22T00:00:00" u="1"/>
        <d v="2023-11-22T00:00:00" u="1"/>
        <d v="2024-11-22T00:00:00" u="1"/>
        <d v="2025-11-22T00:00:00" u="1"/>
        <d v="2020-04-01T00:00:00" u="1"/>
        <d v="2021-04-01T00:00:00" u="1"/>
        <d v="2022-04-01T00:00:00" u="1"/>
        <d v="2023-04-01T00:00:00" u="1"/>
        <d v="2024-04-01T00:00:00" u="1"/>
        <d v="2025-04-01T00:00:00" u="1"/>
        <d v="2020-12-22T00:00:00" u="1"/>
        <d v="2021-12-22T00:00:00" u="1"/>
        <d v="2023-12-22T00:00:00" u="1"/>
        <d v="2025-12-22T00:00:00" u="1"/>
        <d v="2021-01-12T00:00:00" u="1"/>
        <d v="2022-01-12T00:00:00" u="1"/>
        <d v="2023-01-12T00:00:00" u="1"/>
        <d v="2024-01-12T00:00:00" u="1"/>
        <d v="2019-06-01T00:00:00" u="1"/>
        <d v="2020-06-01T00:00:00" u="1"/>
        <d v="2021-06-01T00:00:00" u="1"/>
        <d v="2022-06-01T00:00:00" u="1"/>
        <d v="2023-06-01T00:00:00" u="1"/>
        <d v="2024-06-01T00:00:00" u="1"/>
        <d v="2020-02-12T00:00:00" u="1"/>
        <d v="2021-02-12T00:00:00" u="1"/>
        <d v="2022-02-12T00:00:00" u="1"/>
        <d v="2024-02-12T00:00:00" u="1"/>
        <d v="2025-02-12T00:00:00" u="1"/>
        <d v="2019-07-01T00:00:00" u="1"/>
        <d v="2020-07-01T00:00:00" u="1"/>
        <d v="2021-07-01T00:00:00" u="1"/>
        <d v="2022-07-01T00:00:00" u="1"/>
        <d v="2023-07-01T00:00:00" u="1"/>
        <d v="2024-07-01T00:00:00" u="1"/>
        <d v="2020-03-12T00:00:00" u="1"/>
        <d v="2025-07-01T00:00:00" u="1"/>
        <d v="2021-03-12T00:00:00" u="1"/>
        <d v="2022-03-12T00:00:00" u="1"/>
        <d v="2024-03-12T00:00:00" u="1"/>
        <d v="2025-03-12T00:00:00" u="1"/>
        <d v="2019-08-01T00:00:00" u="1"/>
        <d v="2020-08-01T00:00:00" u="1"/>
        <d v="2023-08-01T00:00:00" u="1"/>
        <d v="2024-08-01T00:00:00" u="1"/>
        <d v="2025-08-01T00:00:00" u="1"/>
        <d v="2021-04-12T00:00:00" u="1"/>
        <d v="2022-04-12T00:00:00" u="1"/>
        <d v="2023-04-12T00:00:00" u="1"/>
        <d v="2024-04-12T00:00:00" u="1"/>
        <d v="2025-04-12T00:00:00" u="1"/>
        <d v="2021-09-01T00:00:00" u="1"/>
        <d v="2023-09-01T00:00:00" u="1"/>
        <d v="2020-05-12T00:00:00" u="1"/>
        <d v="2025-09-01T00:00:00" u="1"/>
        <d v="2021-05-12T00:00:00" u="1"/>
        <d v="2022-05-12T00:00:00" u="1"/>
        <d v="2023-05-12T00:00:00" u="1"/>
        <d v="2020-01-23T00:00:00" u="1"/>
        <d v="2025-05-12T00:00:00" u="1"/>
        <d v="2021-01-23T00:00:00" u="1"/>
        <d v="2023-01-23T00:00:00" u="1"/>
        <d v="2024-01-23T00:00:00" u="1"/>
        <d v="2025-01-23T00:00:00" u="1"/>
        <d v="2019-10-01T00:00:00" u="1"/>
        <d v="2020-10-01T00:00:00" u="1"/>
        <d v="2021-10-01T00:00:00" u="1"/>
        <d v="2019-06-12T00:00:00" u="1"/>
        <d v="2024-10-01T00:00:00" u="1"/>
        <d v="2020-06-12T00:00:00" u="1"/>
        <d v="2025-10-01T00:00:00" u="1"/>
        <d v="2021-06-12T00:00:00" u="1"/>
        <d v="2023-06-12T00:00:00" u="1"/>
        <d v="2024-06-12T00:00:00" u="1"/>
        <d v="2025-06-12T00:00:00" u="1"/>
        <d v="2021-02-23T00:00:00" u="1"/>
        <d v="2022-02-23T00:00:00" u="1"/>
        <d v="2023-02-23T00:00:00" u="1"/>
        <d v="2024-02-23T00:00:00" u="1"/>
        <d v="2019-11-01T00:00:00" u="1"/>
        <d v="2021-11-01T00:00:00" u="1"/>
        <d v="2023-11-01T00:00:00" u="1"/>
        <d v="2019-07-12T00:00:00" u="1"/>
        <d v="2024-11-01T00:00:00" u="1"/>
        <d v="2025-11-01T00:00:00" u="1"/>
        <d v="2021-07-12T00:00:00" u="1"/>
        <d v="2023-07-12T00:00:00" u="1"/>
        <d v="2024-07-12T00:00:00" u="1"/>
        <d v="2025-07-12T00:00:00" u="1"/>
        <d v="2021-03-23T00:00:00" u="1"/>
        <d v="2022-03-23T00:00:00" u="1"/>
        <d v="2024-03-23T00:00:00" u="1"/>
        <d v="2020-12-01T00:00:00" u="1"/>
        <d v="2021-12-01T00:00:00" u="1"/>
        <d v="2023-12-01T00:00:00" u="1"/>
        <d v="2020-08-12T00:00:00" u="1"/>
        <d v="2025-12-01T00:00:00" u="1"/>
        <d v="2021-08-12T00:00:00" u="1"/>
        <d v="2024-08-12T00:00:00" u="1"/>
        <d v="2021-04-23T00:00:00" u="1"/>
        <d v="2022-04-23T00:00:00" u="1"/>
        <d v="2024-04-23T00:00:00" u="1"/>
        <d v="2025-04-23T00:00:00" u="1"/>
        <d v="2019-09-12T00:00:00" u="1"/>
        <d v="2020-09-12T00:00:00" u="1"/>
        <d v="2023-09-12T00:00:00" u="1"/>
        <d v="2019-05-23T00:00:00" u="1"/>
        <d v="2024-09-12T00:00:00" u="1"/>
        <d v="2020-05-23T00:00:00" u="1"/>
        <d v="2025-09-12T00:00:00" u="1"/>
        <d v="2022-05-23T00:00:00" u="1"/>
        <d v="2023-05-23T00:00:00" u="1"/>
        <d v="2024-05-23T00:00:00" u="1"/>
        <d v="2025-05-23T00:00:00" u="1"/>
        <d v="2019-10-12T00:00:00" u="1"/>
        <d v="2020-10-12T00:00:00" u="1"/>
        <d v="2021-10-12T00:00:00" u="1"/>
        <d v="2023-10-12T00:00:00" u="1"/>
        <d v="2024-10-12T00:00:00" u="1"/>
        <d v="2020-06-23T00:00:00" u="1"/>
        <d v="2021-06-23T00:00:00" u="1"/>
        <d v="2023-06-23T00:00:00" u="1"/>
        <d v="2025-06-23T00:00:00" u="1"/>
        <d v="2019-11-12T00:00:00" u="1"/>
        <d v="2020-11-12T00:00:00" u="1"/>
        <d v="2021-11-12T00:00:00" u="1"/>
        <d v="2019-07-23T00:00:00" u="1"/>
        <d v="2024-11-12T00:00:00" u="1"/>
        <d v="2020-07-23T00:00:00" u="1"/>
        <d v="2025-11-12T00:00:00" u="1"/>
        <d v="2021-07-23T00:00:00" u="1"/>
        <d v="2024-07-23T00:00:00" u="1"/>
        <d v="2025-07-23T00:00:00" u="1"/>
        <d v="2019-12-12T00:00:00" u="1"/>
        <d v="2020-12-12T00:00:00" u="1"/>
        <d v="2023-12-12T00:00:00" u="1"/>
        <d v="2019-08-23T00:00:00" u="1"/>
        <d v="2024-12-12T00:00:00" u="1"/>
        <d v="2025-12-12T00:00:00" u="1"/>
        <d v="2021-08-23T00:00:00" u="1"/>
        <d v="2023-08-23T00:00:00" u="1"/>
        <d v="2024-08-23T00:00:00" u="1"/>
        <d v="2025-08-23T00:00:00" u="1"/>
        <d v="2019-09-23T00:00:00" u="1"/>
        <d v="2020-09-23T00:00:00" u="1"/>
        <d v="2021-09-23T00:00:00" u="1"/>
        <d v="2023-09-23T00:00:00" u="1"/>
        <d v="2024-09-23T00:00:00" u="1"/>
        <d v="2025-09-23T00:00:00" u="1"/>
        <d v="2021-02-02T00:00:00" u="1"/>
        <d v="2022-02-02T00:00:00" u="1"/>
        <d v="2024-02-02T00:00:00" u="1"/>
        <d v="2019-10-23T00:00:00" u="1"/>
        <d v="2020-10-23T00:00:00" u="1"/>
        <d v="2021-10-23T00:00:00" u="1"/>
        <d v="2023-10-23T00:00:00" u="1"/>
        <d v="2024-10-23T00:00:00" u="1"/>
        <d v="2025-10-23T00:00:00" u="1"/>
        <d v="2020-03-02T00:00:00" u="1"/>
        <d v="2021-03-02T00:00:00" u="1"/>
        <d v="2022-03-02T00:00:00" u="1"/>
        <d v="2023-03-02T00:00:00" u="1"/>
        <d v="2024-03-02T00:00:00" u="1"/>
        <d v="2019-11-23T00:00:00" u="1"/>
        <d v="2020-11-23T00:00:00" u="1"/>
        <d v="2021-11-23T00:00:00" u="1"/>
        <d v="2023-11-23T00:00:00" u="1"/>
        <d v="2024-11-23T00:00:00" u="1"/>
        <d v="2021-04-02T00:00:00" u="1"/>
        <d v="2022-04-02T00:00:00" u="1"/>
        <d v="2024-04-02T00:00:00" u="1"/>
        <d v="2025-04-02T00:00:00" u="1"/>
        <d v="2019-12-23T00:00:00" u="1"/>
        <d v="2020-12-23T00:00:00" u="1"/>
        <d v="2021-12-23T00:00:00" u="1"/>
        <d v="2023-12-23T00:00:00" u="1"/>
        <d v="2024-12-23T00:00:00" u="1"/>
        <d v="2025-12-23T00:00:00" u="1"/>
        <d v="2019-05-02T00:00:00" u="1"/>
        <d v="2020-05-02T00:00:00" u="1"/>
        <d v="2023-05-02T00:00:00" u="1"/>
        <d v="2024-05-02T00:00:00" u="1"/>
        <d v="2020-01-13T00:00:00" u="1"/>
        <d v="2025-05-02T00:00:00" u="1"/>
        <d v="2021-01-13T00:00:00" u="1"/>
        <d v="2022-01-13T00:00:00" u="1"/>
        <d v="2023-01-13T00:00:00" u="1"/>
        <d v="2024-01-13T00:00:00" u="1"/>
        <d v="2025-01-13T00:00:00" u="1"/>
        <d v="2020-06-02T00:00:00" u="1"/>
        <d v="2021-06-02T00:00:00" u="1"/>
        <d v="2022-06-02T00:00:00" u="1"/>
        <d v="2023-06-02T00:00:00" u="1"/>
        <d v="2020-02-13T00:00:00" u="1"/>
        <d v="2025-06-02T00:00:00" u="1"/>
        <d v="2021-02-13T00:00:00" u="1"/>
        <d v="2023-02-13T00:00:00" u="1"/>
        <d v="2024-02-13T00:00:00" u="1"/>
        <d v="2025-02-13T00:00:00" u="1"/>
        <d v="2019-07-02T00:00:00" u="1"/>
        <d v="2020-07-02T00:00:00" u="1"/>
        <d v="2021-07-02T00:00:00" u="1"/>
        <d v="2022-07-02T00:00:00" u="1"/>
        <d v="2024-07-02T00:00:00" u="1"/>
        <d v="2020-03-13T00:00:00" u="1"/>
        <d v="2025-07-02T00:00:00" u="1"/>
        <d v="2021-03-13T00:00:00" u="1"/>
        <d v="2023-03-13T00:00:00" u="1"/>
        <d v="2024-03-13T00:00:00" u="1"/>
        <d v="2025-03-13T00:00:00" u="1"/>
        <d v="2019-08-02T00:00:00" u="1"/>
        <d v="2021-08-02T00:00:00" u="1"/>
        <d v="2023-08-02T00:00:00" u="1"/>
        <d v="2024-08-02T00:00:00" u="1"/>
        <d v="2025-08-02T00:00:00" u="1"/>
        <d v="2021-04-13T00:00:00" u="1"/>
        <d v="2022-04-13T00:00:00" u="1"/>
        <d v="2023-04-13T00:00:00" u="1"/>
        <d v="2024-04-13T00:00:00" u="1"/>
        <d v="2019-09-02T00:00:00" u="1"/>
        <d v="2020-09-02T00:00:00" u="1"/>
        <d v="2021-09-02T00:00:00" u="1"/>
        <d v="2023-09-02T00:00:00" u="1"/>
        <d v="2019-05-13T00:00:00" u="1"/>
        <d v="2024-09-02T00:00:00" u="1"/>
        <d v="2020-05-13T00:00:00" u="1"/>
        <d v="2025-09-02T00:00:00" u="1"/>
        <d v="2022-05-13T00:00:00" u="1"/>
        <d v="2023-05-13T00:00:00" u="1"/>
        <d v="2024-05-13T00:00:00" u="1"/>
        <d v="2020-01-24T00:00:00" u="1"/>
        <d v="2025-05-13T00:00:00" u="1"/>
        <d v="2022-01-24T00:00:00" u="1"/>
        <d v="2023-01-24T00:00:00" u="1"/>
        <d v="2024-01-24T00:00:00" u="1"/>
        <d v="2025-01-24T00:00:00" u="1"/>
        <d v="2019-10-02T00:00:00" u="1"/>
        <d v="2020-10-02T00:00:00" u="1"/>
        <d v="2021-10-02T00:00:00" u="1"/>
        <d v="2023-10-02T00:00:00" u="1"/>
        <d v="2019-06-13T00:00:00" u="1"/>
        <d v="2024-10-02T00:00:00" u="1"/>
        <d v="2020-06-13T00:00:00" u="1"/>
        <d v="2025-10-02T00:00:00" u="1"/>
        <d v="2022-06-13T00:00:00" u="1"/>
        <d v="2023-06-13T00:00:00" u="1"/>
        <d v="2020-02-24T00:00:00" u="1"/>
        <d v="2025-06-13T00:00:00" u="1"/>
        <d v="2021-02-24T00:00:00" u="1"/>
        <d v="2022-02-24T00:00:00" u="1"/>
        <d v="2023-02-24T00:00:00" u="1"/>
        <d v="2024-02-24T00:00:00" u="1"/>
        <d v="2025-02-24T00:00:00" u="1"/>
        <d v="2019-11-02T00:00:00" u="1"/>
        <d v="2020-11-02T00:00:00" u="1"/>
        <d v="2021-11-02T00:00:00" u="1"/>
        <d v="2023-11-02T00:00:00" u="1"/>
        <d v="2019-07-13T00:00:00" u="1"/>
        <d v="2024-11-02T00:00:00" u="1"/>
        <d v="2020-07-13T00:00:00" u="1"/>
        <d v="2021-07-13T00:00:00" u="1"/>
        <d v="2023-07-13T00:00:00" u="1"/>
        <d v="2024-07-13T00:00:00" u="1"/>
        <d v="2021-03-24T00:00:00" u="1"/>
        <d v="2022-03-24T00:00:00" u="1"/>
        <d v="2023-03-24T00:00:00" u="1"/>
        <d v="2025-03-24T00:00:00" u="1"/>
        <d v="2019-12-02T00:00:00" u="1"/>
        <d v="2020-12-02T00:00:00" u="1"/>
        <d v="2021-12-02T00:00:00" u="1"/>
        <d v="2023-12-02T00:00:00" u="1"/>
        <d v="2019-08-13T00:00:00" u="1"/>
        <d v="2024-12-02T00:00:00" u="1"/>
        <d v="2025-12-02T00:00:00" u="1"/>
        <d v="2024-08-13T00:00:00" u="1"/>
        <d v="2021-04-24T00:00:00" u="1"/>
        <d v="2023-04-24T00:00:00" u="1"/>
        <d v="2024-04-24T00:00:00" u="1"/>
        <d v="2025-04-24T00:00:00" u="1"/>
        <d v="2019-09-13T00:00:00" u="1"/>
        <d v="2021-09-13T00:00:00" u="1"/>
        <d v="2023-09-13T00:00:00" u="1"/>
        <d v="2019-05-24T00:00:00" u="1"/>
        <d v="2024-09-13T00:00:00" u="1"/>
        <d v="2025-09-13T00:00:00" u="1"/>
        <d v="2021-05-24T00:00:00" u="1"/>
        <d v="2022-05-24T00:00:00" u="1"/>
        <d v="2023-05-24T00:00:00" u="1"/>
        <d v="2024-05-24T00:00:00" u="1"/>
        <d v="2025-05-24T00:00:00" u="1"/>
        <d v="2020-10-13T00:00:00" u="1"/>
        <d v="2021-10-13T00:00:00" u="1"/>
        <d v="2023-10-13T00:00:00" u="1"/>
        <d v="2019-06-24T00:00:00" u="1"/>
        <d v="2020-06-24T00:00:00" u="1"/>
        <d v="2025-10-13T00:00:00" u="1"/>
        <d v="2021-06-24T00:00:00" u="1"/>
        <d v="2022-06-24T00:00:00" u="1"/>
        <d v="2023-06-24T00:00:00" u="1"/>
        <d v="2024-06-24T00:00:00" u="1"/>
        <d v="2025-06-24T00:00:00" u="1"/>
        <d v="2019-11-13T00:00:00" u="1"/>
        <d v="2020-11-13T00:00:00" u="1"/>
        <d v="2021-11-13T00:00:00" u="1"/>
        <d v="2023-11-13T00:00:00" u="1"/>
        <d v="2019-07-24T00:00:00" u="1"/>
        <d v="2024-11-13T00:00:00" u="1"/>
        <d v="2020-07-24T00:00:00" u="1"/>
        <d v="2025-11-13T00:00:00" u="1"/>
        <d v="2021-07-24T00:00:00" u="1"/>
        <d v="2023-07-24T00:00:00" u="1"/>
        <d v="2024-07-24T00:00:00" u="1"/>
        <d v="2025-07-24T00:00:00" u="1"/>
        <d v="2019-12-13T00:00:00" u="1"/>
        <d v="2021-12-13T00:00:00" u="1"/>
        <d v="2023-12-13T00:00:00" u="1"/>
        <d v="2019-08-24T00:00:00" u="1"/>
        <d v="2024-12-13T00:00:00" u="1"/>
        <d v="2020-08-24T00:00:00" u="1"/>
        <d v="2025-12-13T00:00:00" u="1"/>
        <d v="2021-08-24T00:00:00" u="1"/>
        <d v="2023-08-24T00:00:00" u="1"/>
        <d v="2024-08-24T00:00:00" u="1"/>
        <d v="2020-01-03T00:00:00" u="1"/>
        <d v="2019-09-24T00:00:00" u="1"/>
        <d v="2020-09-24T00:00:00" u="1"/>
        <d v="2021-09-24T00:00:00" u="1"/>
        <d v="2024-09-24T00:00:00" u="1"/>
        <d v="2025-09-24T00:00:00" u="1"/>
        <d v="2020-02-03T00:00:00" u="1"/>
        <d v="2021-02-03T00:00:00" u="1"/>
        <d v="2022-02-03T00:00:00" u="1"/>
        <d v="2023-02-03T00:00:00" u="1"/>
        <d v="2024-02-03T00:00:00" u="1"/>
        <d v="2025-02-03T00:00:00" u="1"/>
        <d v="2019-10-24T00:00:00" u="1"/>
        <d v="2020-10-24T00:00:00" u="1"/>
        <d v="2023-10-24T00:00:00" u="1"/>
        <d v="2024-10-24T00:00:00" u="1"/>
        <d v="2025-10-24T00:00:00" u="1"/>
        <d v="2020-03-03T00:00:00" u="1"/>
        <d v="2021-03-03T00:00:00" u="1"/>
        <d v="2022-03-03T00:00:00" u="1"/>
        <d v="2023-03-03T00:00:00" u="1"/>
        <d v="2025-03-03T00:00:00" u="1"/>
        <d v="2020-11-24T00:00:00" u="1"/>
        <d v="2021-11-24T00:00:00" u="1"/>
        <d v="2023-11-24T00:00:00" u="1"/>
        <d v="2025-11-24T00:00:00" u="1"/>
        <d v="2021-04-03T00:00:00" u="1"/>
        <d v="2023-04-03T00:00:00" u="1"/>
        <d v="2024-04-03T00:00:00" u="1"/>
        <d v="2025-04-03T00:00:00" u="1"/>
        <d v="2019-12-24T00:00:00" u="1"/>
        <d v="2020-12-24T00:00:00" u="1"/>
        <d v="2021-12-24T00:00:00" u="1"/>
        <d v="2024-12-24T00:00:00" u="1"/>
        <d v="2025-12-24T00:00:00" u="1"/>
        <d v="2019-05-03T00:00:00" u="1"/>
        <d v="2021-05-03T00:00:00" u="1"/>
        <d v="2023-05-03T00:00:00" u="1"/>
        <d v="2024-05-03T00:00:00" u="1"/>
        <d v="2020-01-14T00:00:00" u="1"/>
        <d v="2025-05-03T00:00:00" u="1"/>
        <d v="2021-01-14T00:00:00" u="1"/>
        <d v="2022-01-14T00:00:00" u="1"/>
        <d v="2023-01-14T00:00:00" u="1"/>
        <d v="2025-01-14T00:00:00" u="1"/>
        <d v="2019-06-03T00:00:00" u="1"/>
        <d v="2020-06-03T00:00:00" u="1"/>
        <d v="2021-06-03T00:00:00" u="1"/>
        <d v="2022-06-03T00:00:00" u="1"/>
        <d v="2023-06-03T00:00:00" u="1"/>
        <d v="2024-06-03T00:00:00" u="1"/>
        <d v="2020-02-14T00:00:00" u="1"/>
        <d v="2025-06-03T00:00:00" u="1"/>
        <d v="2022-02-14T00:00:00" u="1"/>
        <d v="2023-02-14T00:00:00" u="1"/>
        <d v="2024-02-14T00:00:00" u="1"/>
        <d v="2025-02-14T00:00:00" u="1"/>
        <d v="2019-07-03T00:00:00" u="1"/>
        <d v="2020-07-03T00:00:00" u="1"/>
        <d v="2021-07-03T00:00:00" u="1"/>
        <d v="2023-07-03T00:00:00" u="1"/>
        <d v="2024-07-03T00:00:00" u="1"/>
        <d v="2025-07-03T00:00:00" u="1"/>
        <d v="2022-03-14T00:00:00" u="1"/>
        <d v="2023-03-14T00:00:00" u="1"/>
        <d v="2024-03-14T00:00:00" u="1"/>
        <d v="2025-03-14T00:00:00" u="1"/>
        <d v="2019-08-03T00:00:00" u="1"/>
        <d v="2020-08-03T00:00:00" u="1"/>
        <d v="2021-08-03T00:00:00" u="1"/>
        <d v="2023-08-03T00:00:00" u="1"/>
        <d v="2024-08-03T00:00:00" u="1"/>
        <d v="2021-04-14T00:00:00" u="1"/>
        <d v="2022-04-14T00:00:00" u="1"/>
        <d v="2023-04-14T00:00:00" u="1"/>
        <d v="2025-04-14T00:00:00" u="1"/>
        <d v="2019-09-03T00:00:00" u="1"/>
        <d v="2020-09-03T00:00:00" u="1"/>
        <d v="2021-09-03T00:00:00" u="1"/>
        <d v="2019-05-14T00:00:00" u="1"/>
        <d v="2024-09-03T00:00:00" u="1"/>
        <d v="2020-05-14T00:00:00" u="1"/>
        <d v="2025-09-03T00:00:00" u="1"/>
        <d v="2022-05-14T00:00:00" u="1"/>
        <d v="2024-05-14T00:00:00" u="1"/>
        <d v="2020-01-25T00:00:00" u="1"/>
        <d v="2025-05-14T00:00:00" u="1"/>
        <d v="2021-01-25T00:00:00" u="1"/>
        <d v="2022-01-25T00:00:00" u="1"/>
        <d v="2023-01-25T00:00:00" u="1"/>
        <d v="2024-01-25T00:00:00" u="1"/>
        <d v="2025-01-25T00:00:00" u="1"/>
        <d v="2019-10-03T00:00:00" u="1"/>
        <d v="2020-10-03T00:00:00" u="1"/>
        <d v="2023-10-03T00:00:00" u="1"/>
        <d v="2019-06-14T00:00:00" u="1"/>
        <d v="2024-10-03T00:00:00" u="1"/>
        <d v="2025-10-03T00:00:00" u="1"/>
        <d v="2021-06-14T00:00:00" u="1"/>
        <d v="2022-06-14T00:00:00" u="1"/>
        <d v="2023-06-14T00:00:00" u="1"/>
        <d v="2024-06-14T00:00:00" u="1"/>
        <d v="2020-02-25T00:00:00" u="1"/>
        <d v="2025-06-14T00:00:00" u="1"/>
        <d v="2021-02-25T00:00:00" u="1"/>
        <d v="2022-02-25T00:00:00" u="1"/>
        <d v="2023-02-25T00:00:00" u="1"/>
        <d v="2025-02-25T00:00:00" u="1"/>
        <d v="2020-11-03T00:00:00" u="1"/>
        <d v="2021-11-03T00:00:00" u="1"/>
        <d v="2023-11-03T00:00:00" u="1"/>
        <d v="2020-07-14T00:00:00" u="1"/>
        <d v="2025-11-03T00:00:00" u="1"/>
        <d v="2021-07-14T00:00:00" u="1"/>
        <d v="2023-07-14T00:00:00" u="1"/>
        <d v="2025-07-14T00:00:00" u="1"/>
        <d v="2021-03-25T00:00:00" u="1"/>
        <d v="2022-03-25T00:00:00" u="1"/>
        <d v="2023-03-25T00:00:00" u="1"/>
        <d v="2024-03-25T00:00:00" u="1"/>
        <d v="2025-03-25T00:00:00" u="1"/>
        <d v="2019-12-03T00:00:00" u="1"/>
        <d v="2020-12-03T00:00:00" u="1"/>
        <d v="2021-12-03T00:00:00" u="1"/>
        <d v="2019-08-14T00:00:00" u="1"/>
        <d v="2024-12-03T00:00:00" u="1"/>
        <d v="2020-08-14T00:00:00" u="1"/>
        <d v="2025-12-03T00:00:00" u="1"/>
        <d v="2024-08-14T00:00:00" u="1"/>
        <d v="2022-04-25T00:00:00" u="1"/>
        <d v="2023-04-25T00:00:00" u="1"/>
        <d v="2024-04-25T00:00:00" u="1"/>
        <d v="2025-04-25T00:00:00" u="1"/>
        <d v="2019-09-14T00:00:00" u="1"/>
        <d v="2020-09-14T00:00:00" u="1"/>
        <d v="2021-09-14T00:00:00" u="1"/>
        <d v="2023-09-14T00:00:00" u="1"/>
        <d v="2019-05-25T00:00:00" u="1"/>
        <d v="2024-09-14T00:00:00" u="1"/>
        <d v="2021-05-25T00:00:00" u="1"/>
        <d v="2022-05-25T00:00:00" u="1"/>
        <d v="2023-05-25T00:00:00" u="1"/>
        <d v="2024-05-25T00:00:00" u="1"/>
        <d v="2019-10-14T00:00:00" u="1"/>
        <d v="2020-10-14T00:00:00" u="1"/>
        <d v="2021-10-14T00:00:00" u="1"/>
        <d v="2023-10-14T00:00:00" u="1"/>
        <d v="2019-06-25T00:00:00" u="1"/>
        <d v="2024-10-14T00:00:00" u="1"/>
        <d v="2020-06-25T00:00:00" u="1"/>
        <d v="2025-10-14T00:00:00" u="1"/>
        <d v="2021-06-25T00:00:00" u="1"/>
        <d v="2022-06-25T00:00:00" u="1"/>
        <d v="2024-06-25T00:00:00" u="1"/>
        <d v="2025-06-25T00:00:00" u="1"/>
        <d v="2019-11-14T00:00:00" u="1"/>
        <d v="2020-11-14T00:00:00" u="1"/>
        <d v="2019-07-25T00:00:00" u="1"/>
        <d v="2024-11-14T00:00:00" u="1"/>
        <d v="2020-07-25T00:00:00" u="1"/>
        <d v="2025-11-14T00:00:00" u="1"/>
        <d v="2023-07-25T00:00:00" u="1"/>
        <d v="2024-07-25T00:00:00" u="1"/>
        <d v="2025-07-25T00:00:00" u="1"/>
        <d v="2019-12-14T00:00:00" u="1"/>
        <d v="2020-12-14T00:00:00" u="1"/>
        <d v="2021-12-14T00:00:00" u="1"/>
        <d v="2024-12-14T00:00:00" u="1"/>
        <d v="2020-08-25T00:00:00" u="1"/>
        <d v="2021-08-25T00:00:00" u="1"/>
        <d v="2023-08-25T00:00:00" u="1"/>
        <d v="2025-08-25T00:00:00" u="1"/>
        <d v="2021-01-04T00:00:00" u="1"/>
        <d v="2023-01-04T00:00:00" u="1"/>
        <d v="2025-01-04T00:00:00" u="1"/>
        <d v="2019-09-25T00:00:00" u="1"/>
        <d v="2020-09-25T00:00:00" u="1"/>
        <d v="2021-09-25T00:00:00" u="1"/>
        <d v="2023-09-25T00:00:00" u="1"/>
        <d v="2024-09-25T00:00:00" u="1"/>
        <d v="2025-09-25T00:00:00" u="1"/>
        <d v="2020-02-04T00:00:00" u="1"/>
        <d v="2021-02-04T00:00:00" u="1"/>
        <d v="2022-02-04T00:00:00" u="1"/>
        <d v="2023-02-04T00:00:00" u="1"/>
        <d v="2025-02-04T00:00:00" u="1"/>
        <d v="2019-10-25T00:00:00" u="1"/>
        <d v="2021-10-25T00:00:00" u="1"/>
        <d v="2023-10-25T00:00:00" u="1"/>
        <d v="2024-10-25T00:00:00" u="1"/>
        <d v="2025-10-25T00:00:00" u="1"/>
        <d v="2020-03-04T00:00:00" u="1"/>
        <d v="2021-03-04T00:00:00" u="1"/>
        <d v="2022-03-04T00:00:00" u="1"/>
        <d v="2023-03-04T00:00:00" u="1"/>
        <d v="2024-03-04T00:00:00" u="1"/>
        <d v="2025-03-04T00:00:00" u="1"/>
        <d v="2019-11-25T00:00:00" u="1"/>
        <d v="2020-11-25T00:00:00" u="1"/>
        <d v="2021-11-25T00:00:00" u="1"/>
        <d v="2023-11-25T00:00:00" u="1"/>
        <d v="2024-11-25T00:00:00" u="1"/>
        <d v="2025-11-25T00:00:00" u="1"/>
        <d v="2022-04-04T00:00:00" u="1"/>
        <d v="2023-04-04T00:00:00" u="1"/>
        <d v="2025-04-04T00:00:00" u="1"/>
        <d v="2019-12-25T00:00:00" u="1"/>
        <d v="2020-12-25T00:00:00" u="1"/>
        <d v="2021-12-25T00:00:00" u="1"/>
        <d v="2023-12-25T00:00:00" u="1"/>
        <d v="2024-12-25T00:00:00" u="1"/>
        <d v="2025-12-25T00:00:00" u="1"/>
        <d v="2019-05-04T00:00:00" u="1"/>
        <d v="2020-05-04T00:00:00" u="1"/>
        <d v="2021-05-04T00:00:00" u="1"/>
        <d v="2022-05-04T00:00:00" u="1"/>
        <d v="2024-05-04T00:00:00" u="1"/>
        <d v="2020-01-15T00:00:00" u="1"/>
        <d v="2021-01-15T00:00:00" u="1"/>
        <d v="2022-01-15T00:00:00" u="1"/>
        <d v="2024-01-15T00:00:00" u="1"/>
        <d v="2025-01-15T00:00:00" u="1"/>
        <d v="2020-06-04T00:00:00" u="1"/>
        <d v="2021-06-04T00:00:00" u="1"/>
        <d v="2022-06-04T00:00:00" u="1"/>
        <d v="2024-06-04T00:00:00" u="1"/>
        <d v="2020-02-15T00:00:00" u="1"/>
        <d v="2025-06-04T00:00:00" u="1"/>
        <d v="2021-02-15T00:00:00" u="1"/>
        <d v="2022-02-15T00:00:00" u="1"/>
        <d v="2023-02-15T00:00:00" u="1"/>
        <d v="2025-02-15T00:00:00" u="1"/>
        <d v="2019-07-04T00:00:00" u="1"/>
        <d v="2020-07-04T00:00:00" u="1"/>
        <d v="2022-07-04T00:00:00" u="1"/>
        <d v="2023-07-04T00:00:00" u="1"/>
        <d v="2024-07-04T00:00:00" u="1"/>
        <d v="2025-07-04T00:00:00" u="1"/>
        <d v="2021-03-15T00:00:00" u="1"/>
        <d v="2022-03-15T00:00:00" u="1"/>
        <d v="2023-03-15T00:00:00" u="1"/>
        <d v="2024-03-15T00:00:00" u="1"/>
        <d v="2025-03-15T00:00:00" u="1"/>
        <d v="2021-08-04T00:00:00" u="1"/>
        <d v="2023-08-04T00:00:00" u="1"/>
        <d v="2025-08-04T00:00:00" u="1"/>
        <d v="2021-04-15T00:00:00" u="1"/>
        <d v="2022-04-15T00:00:00" u="1"/>
        <d v="2023-04-15T00:00:00" u="1"/>
        <d v="2024-04-15T00:00:00" u="1"/>
        <d v="2025-04-15T00:00:00" u="1"/>
        <d v="2019-09-04T00:00:00" u="1"/>
        <d v="2020-09-04T00:00:00" u="1"/>
        <d v="2021-09-04T00:00:00" u="1"/>
        <d v="2023-09-04T00:00:00" u="1"/>
        <d v="2019-05-15T00:00:00" u="1"/>
        <d v="2024-09-04T00:00:00" u="1"/>
        <d v="2020-05-15T00:00:00" u="1"/>
        <d v="2025-09-04T00:00:00" u="1"/>
        <d v="2021-05-15T00:00:00" u="1"/>
        <d v="2023-05-15T00:00:00" u="1"/>
        <d v="2024-05-15T00:00:00" u="1"/>
        <d v="2025-05-15T00:00:00" u="1"/>
        <d v="2021-01-26T00:00:00" u="1"/>
        <d v="2022-01-26T00:00:00" u="1"/>
        <d v="2023-01-26T00:00:00" u="1"/>
        <d v="2024-01-26T00:00:00" u="1"/>
        <d v="2019-10-04T00:00:00" u="1"/>
        <d v="2021-10-04T00:00:00" u="1"/>
        <d v="2023-10-04T00:00:00" u="1"/>
        <d v="2019-06-15T00:00:00" u="1"/>
        <d v="2024-10-04T00:00:00" u="1"/>
        <d v="2020-06-15T00:00:00" u="1"/>
        <d v="2025-10-04T00:00:00" u="1"/>
        <d v="2021-06-15T00:00:00" u="1"/>
        <d v="2022-06-15T00:00:00" u="1"/>
        <d v="2023-06-15T00:00:00" u="1"/>
        <d v="2024-06-15T00:00:00" u="1"/>
        <d v="2020-02-26T00:00:00" u="1"/>
        <d v="2021-02-26T00:00:00" u="1"/>
        <d v="2022-02-26T00:00:00" u="1"/>
        <d v="2024-02-26T00:00:00" u="1"/>
        <d v="2025-02-26T00:00:00" u="1"/>
        <d v="2019-11-04T00:00:00" u="1"/>
        <d v="2020-11-04T00:00:00" u="1"/>
        <d v="2021-11-04T00:00:00" u="1"/>
        <d v="2023-11-04T00:00:00" u="1"/>
        <d v="2019-07-15T00:00:00" u="1"/>
        <d v="2024-11-04T00:00:00" u="1"/>
        <d v="2020-07-15T00:00:00" u="1"/>
        <d v="2025-11-04T00:00:00" u="1"/>
        <d v="2021-07-15T00:00:00" u="1"/>
        <d v="2023-07-15T00:00:00" u="1"/>
        <d v="2024-07-15T00:00:00" u="1"/>
        <d v="2020-03-26T00:00:00" u="1"/>
        <d v="2025-07-15T00:00:00" u="1"/>
        <d v="2021-03-26T00:00:00" u="1"/>
        <d v="2022-03-26T00:00:00" u="1"/>
        <d v="2024-03-26T00:00:00" u="1"/>
        <d v="2025-03-26T00:00:00" u="1"/>
        <d v="2019-12-04T00:00:00" u="1"/>
        <d v="2020-12-04T00:00:00" u="1"/>
        <d v="2021-12-04T00:00:00" u="1"/>
        <d v="2023-12-04T00:00:00" u="1"/>
        <d v="2019-08-15T00:00:00" u="1"/>
        <d v="2024-12-04T00:00:00" u="1"/>
        <d v="2025-12-04T00:00:00" u="1"/>
        <d v="2024-08-15T00:00:00" u="1"/>
        <d v="2021-04-26T00:00:00" u="1"/>
        <d v="2022-04-26T00:00:00" u="1"/>
        <d v="2023-04-26T00:00:00" u="1"/>
        <d v="2024-04-26T00:00:00" u="1"/>
        <d v="2025-04-26T00:00:00" u="1"/>
        <d v="2020-09-15T00:00:00" u="1"/>
        <d v="2021-09-15T00:00:00" u="1"/>
        <d v="2023-09-15T00:00:00" u="1"/>
        <d v="2020-05-26T00:00:00" u="1"/>
        <d v="2025-09-15T00:00:00" u="1"/>
        <d v="2021-05-26T00:00:00" u="1"/>
        <d v="2022-05-26T00:00:00" u="1"/>
        <d v="2023-05-26T00:00:00" u="1"/>
        <d v="2025-05-26T00:00:00" u="1"/>
        <d v="2019-10-15T00:00:00" u="1"/>
        <d v="2020-10-15T00:00:00" u="1"/>
        <d v="2021-10-15T00:00:00" u="1"/>
        <d v="2019-06-26T00:00:00" u="1"/>
        <d v="2024-10-15T00:00:00" u="1"/>
        <d v="2020-06-26T00:00:00" u="1"/>
        <d v="2025-10-15T00:00:00" u="1"/>
        <d v="2021-06-26T00:00:00" u="1"/>
        <d v="2023-06-26T00:00:00" u="1"/>
        <d v="2024-06-26T00:00:00" u="1"/>
        <d v="2025-06-26T00:00:00" u="1"/>
        <d v="2019-11-15T00:00:00" u="1"/>
        <d v="2021-11-15T00:00:00" u="1"/>
        <d v="2023-11-15T00:00:00" u="1"/>
        <d v="2019-07-26T00:00:00" u="1"/>
        <d v="2024-11-15T00:00:00" u="1"/>
        <d v="2025-11-15T00:00:00" u="1"/>
        <d v="2021-07-26T00:00:00" u="1"/>
        <d v="2023-07-26T00:00:00" u="1"/>
        <d v="2024-07-26T00:00:00" u="1"/>
        <d v="2025-07-26T00:00:00" u="1"/>
        <d v="2020-12-15T00:00:00" u="1"/>
        <d v="2021-12-15T00:00:00" u="1"/>
        <d v="2023-12-15T00:00:00" u="1"/>
        <d v="2019-08-26T00:00:00" u="1"/>
        <d v="2020-08-26T00:00:00" u="1"/>
        <d v="2025-12-15T00:00:00" u="1"/>
        <d v="2021-08-26T00:00:00" u="1"/>
        <d v="2023-08-26T00:00:00" u="1"/>
        <d v="2024-08-26T00:00:00" u="1"/>
        <d v="2025-08-26T00:00:00" u="1"/>
        <d v="2021-01-05T00:00:00" u="1"/>
        <d v="2022-01-05T00:00:00" u="1"/>
        <d v="2019-09-26T00:00:00" u="1"/>
        <d v="2020-09-26T00:00:00" u="1"/>
        <d v="2023-09-26T00:00:00" u="1"/>
        <d v="2024-09-26T00:00:00" u="1"/>
        <d v="2025-09-26T00:00:00" u="1"/>
        <d v="2020-02-05T00:00:00" u="1"/>
        <d v="2021-02-05T00:00:00" u="1"/>
        <d v="2022-02-05T00:00:00" u="1"/>
        <d v="2024-02-05T00:00:00" u="1"/>
        <d v="2025-02-05T00:00:00" u="1"/>
        <d v="2019-10-26T00:00:00" u="1"/>
        <d v="2020-10-26T00:00:00" u="1"/>
        <d v="2021-10-26T00:00:00" u="1"/>
        <d v="2023-10-26T00:00:00" u="1"/>
        <d v="2024-10-26T00:00:00" u="1"/>
        <d v="2020-03-05T00:00:00" u="1"/>
        <d v="2021-03-05T00:00:00" u="1"/>
        <d v="2022-03-05T00:00:00" u="1"/>
        <d v="2024-03-05T00:00:00" u="1"/>
        <d v="2025-03-05T00:00:00" u="1"/>
        <d v="2019-11-26T00:00:00" u="1"/>
        <d v="2020-11-26T00:00:00" u="1"/>
        <d v="2021-11-26T00:00:00" u="1"/>
        <d v="2024-11-26T00:00:00" u="1"/>
        <d v="2025-11-26T00:00:00" u="1"/>
        <d v="2021-04-05T00:00:00" u="1"/>
        <d v="2022-04-05T00:00:00" u="1"/>
        <d v="2023-04-05T00:00:00" u="1"/>
        <d v="2024-04-05T00:00:00" u="1"/>
        <d v="2025-04-05T00:00:00" u="1"/>
        <d v="2019-12-26T00:00:00" u="1"/>
        <d v="2020-12-26T00:00:00" u="1"/>
        <d v="2023-12-26T00:00:00" u="1"/>
        <d v="2024-12-26T00:00:00" u="1"/>
        <d v="2025-12-26T00:00:00" u="1"/>
        <d v="2020-05-05T00:00:00" u="1"/>
        <d v="2021-05-05T00:00:00" u="1"/>
        <d v="2022-05-05T00:00:00" u="1"/>
        <d v="2023-05-05T00:00:00" u="1"/>
        <d v="2020-01-16T00:00:00" u="1"/>
        <d v="2025-05-05T00:00:00" u="1"/>
        <d v="2021-01-16T00:00:00" u="1"/>
        <d v="2023-01-16T00:00:00" u="1"/>
        <d v="2024-01-16T00:00:00" u="1"/>
        <d v="2025-01-16T00:00:00" u="1"/>
        <d v="2020-06-05T00:00:00" u="1"/>
        <d v="2021-06-05T00:00:00" u="1"/>
        <d v="2023-06-05T00:00:00" u="1"/>
        <d v="2024-06-05T00:00:00" u="1"/>
        <d v="2025-06-05T00:00:00" u="1"/>
        <d v="2021-02-16T00:00:00" u="1"/>
        <d v="2022-02-16T00:00:00" u="1"/>
        <d v="2024-02-16T00:00:00" u="1"/>
        <d v="2019-07-05T00:00:00" u="1"/>
        <d v="2021-07-05T00:00:00" u="1"/>
        <d v="2022-07-05T00:00:00" u="1"/>
        <d v="2023-07-05T00:00:00" u="1"/>
        <d v="2024-07-05T00:00:00" u="1"/>
        <d v="2020-03-16T00:00:00" u="1"/>
        <d v="2025-07-05T00:00:00" u="1"/>
        <d v="2021-03-16T00:00:00" u="1"/>
        <d v="2022-03-16T00:00:00" u="1"/>
        <d v="2023-03-16T00:00:00" u="1"/>
        <d v="2024-03-16T00:00:00" u="1"/>
        <d v="2019-08-05T00:00:00" u="1"/>
        <d v="2020-08-05T00:00:00" u="1"/>
        <d v="2021-08-05T00:00:00" u="1"/>
        <d v="2023-08-05T00:00:00" u="1"/>
        <d v="2025-08-05T00:00:00" u="1"/>
        <d v="2021-04-16T00:00:00" u="1"/>
        <d v="2022-04-16T00:00:00" u="1"/>
        <d v="2024-04-16T00:00:00" u="1"/>
        <d v="2025-04-16T00:00:00" u="1"/>
        <d v="2019-09-05T00:00:00" u="1"/>
        <d v="2020-09-05T00:00:00" u="1"/>
        <d v="2023-09-05T00:00:00" u="1"/>
        <d v="2019-05-16T00:00:00" u="1"/>
        <d v="2024-09-05T00:00:00" u="1"/>
        <d v="2020-05-16T00:00:00" u="1"/>
        <d v="2025-09-05T00:00:00" u="1"/>
        <d v="2022-05-16T00:00:00" u="1"/>
        <d v="2023-05-16T00:00:00" u="1"/>
        <d v="2020-01-27T00:00:00" u="1"/>
        <d v="2025-05-16T00:00:00" u="1"/>
        <d v="2021-01-27T00:00:00" u="1"/>
        <d v="2022-01-27T00:00:00" u="1"/>
        <d v="2023-01-27T00:00:00" u="1"/>
        <d v="2024-01-27T00:00:00" u="1"/>
        <d v="2025-01-27T00:00:00" u="1"/>
        <d v="2019-10-05T00:00:00" u="1"/>
        <d v="2020-10-05T00:00:00" u="1"/>
        <d v="2021-10-05T00:00:00" u="1"/>
        <d v="2023-10-05T00:00:00" u="1"/>
        <d v="2024-10-05T00:00:00" u="1"/>
        <d v="2020-06-16T00:00:00" u="1"/>
        <d v="2021-06-16T00:00:00" u="1"/>
        <d v="2022-06-16T00:00:00" u="1"/>
        <d v="2023-06-16T00:00:00" u="1"/>
        <d v="2020-02-27T00:00:00" u="1"/>
        <d v="2025-06-16T00:00:00" u="1"/>
        <d v="2021-02-27T00:00:00" u="1"/>
        <d v="2023-02-27T00:00:00" u="1"/>
        <d v="2024-02-27T00:00:00" u="1"/>
        <d v="2025-02-27T00:00:00" u="1"/>
        <d v="2019-11-05T00:00:00" u="1"/>
        <d v="2020-11-05T00:00:00" u="1"/>
        <d v="2021-11-05T00:00:00" u="1"/>
        <d v="2019-07-16T00:00:00" u="1"/>
        <d v="2024-11-05T00:00:00" u="1"/>
        <d v="2020-07-16T00:00:00" u="1"/>
        <d v="2025-11-05T00:00:00" u="1"/>
        <d v="2021-07-16T00:00:00" u="1"/>
        <d v="2024-07-16T00:00:00" u="1"/>
        <d v="2025-07-16T00:00:00" u="1"/>
        <d v="2021-03-27T00:00:00" u="1"/>
        <d v="2023-03-27T00:00:00" u="1"/>
        <d v="2024-03-27T00:00:00" u="1"/>
        <d v="2025-03-27T00:00:00" u="1"/>
        <d v="2019-12-05T00:00:00" u="1"/>
        <d v="2020-12-05T00:00:00" u="1"/>
        <d v="2023-12-05T00:00:00" u="1"/>
        <d v="2019-08-16T00:00:00" u="1"/>
        <d v="2024-12-05T00:00:00" u="1"/>
        <d v="2025-12-05T00:00:00" u="1"/>
        <d v="2021-08-16T00:00:00" u="1"/>
        <d v="2024-08-16T00:00:00" u="1"/>
        <d v="2021-04-27T00:00:00" u="1"/>
        <d v="2022-04-27T00:00:00" u="1"/>
        <d v="2023-04-27T00:00:00" u="1"/>
        <d v="2024-04-27T00:00:00" u="1"/>
        <d v="2019-09-16T00:00:00" u="1"/>
        <d v="2020-09-16T00:00:00" u="1"/>
        <d v="2021-09-16T00:00:00" u="1"/>
        <d v="2023-09-16T00:00:00" u="1"/>
        <d v="2019-05-27T00:00:00" u="1"/>
        <d v="2024-09-16T00:00:00" u="1"/>
        <d v="2020-05-27T00:00:00" u="1"/>
        <d v="2025-09-16T00:00:00" u="1"/>
        <d v="2021-05-27T00:00:00" u="1"/>
        <d v="2022-05-27T00:00:00" u="1"/>
        <d v="2023-05-27T00:00:00" u="1"/>
        <d v="2024-05-27T00:00:00" u="1"/>
        <d v="2025-05-27T00:00:00" u="1"/>
        <d v="2019-10-16T00:00:00" u="1"/>
        <d v="2020-10-16T00:00:00" u="1"/>
        <d v="2021-10-16T00:00:00" u="1"/>
        <d v="2023-10-16T00:00:00" u="1"/>
        <d v="2019-06-27T00:00:00" u="1"/>
        <d v="2024-10-16T00:00:00" u="1"/>
        <d v="2020-06-27T00:00:00" u="1"/>
        <d v="2025-10-16T00:00:00" u="1"/>
        <d v="2022-06-27T00:00:00" u="1"/>
        <d v="2023-06-27T00:00:00" u="1"/>
        <d v="2024-06-27T00:00:00" u="1"/>
        <d v="2025-06-27T00:00:00" u="1"/>
        <d v="2019-11-16T00:00:00" u="1"/>
        <d v="2020-11-16T00:00:00" u="1"/>
        <d v="2021-11-16T00:00:00" u="1"/>
        <d v="2023-11-16T00:00:00" u="1"/>
        <d v="2019-07-27T00:00:00" u="1"/>
        <d v="2024-11-16T00:00:00" u="1"/>
        <d v="2020-07-27T00:00:00" u="1"/>
        <d v="2021-07-27T00:00:00" u="1"/>
        <d v="2023-07-27T00:00:00" u="1"/>
        <d v="2024-07-27T00:00:00" u="1"/>
        <d v="2019-12-16T00:00:00" u="1"/>
        <d v="2020-12-16T00:00:00" u="1"/>
        <d v="2021-12-16T00:00:00" u="1"/>
        <d v="2023-12-16T00:00:00" u="1"/>
        <d v="2019-08-27T00:00:00" u="1"/>
        <d v="2024-12-16T00:00:00" u="1"/>
        <d v="2020-08-27T00:00:00" u="1"/>
        <d v="2025-12-16T00:00:00" u="1"/>
        <d v="2021-08-27T00:00:00" u="1"/>
        <d v="2024-08-27T00:00:00" u="1"/>
        <d v="2025-08-27T00:00:00" u="1"/>
        <d v="2020-01-06T00:00:00" u="1"/>
        <d v="2021-01-06T00:00:00" u="1"/>
        <d v="2022-01-06T00:00:00" u="1"/>
        <d v="2023-01-06T00:00:00" u="1"/>
        <d v="2024-01-06T00:00:00" u="1"/>
        <d v="2025-01-06T00:00:00" u="1"/>
        <d v="2019-09-27T00:00:00" u="1"/>
        <d v="2021-09-27T00:00:00" u="1"/>
        <d v="2023-09-27T00:00:00" u="1"/>
        <d v="2024-09-27T00:00:00" u="1"/>
        <d v="2025-09-27T00:00:00" u="1"/>
        <d v="2020-02-06T00:00:00" u="1"/>
        <d v="2021-02-06T00:00:00" u="1"/>
        <d v="2023-02-06T00:00:00" u="1"/>
        <d v="2024-02-06T00:00:00" u="1"/>
        <d v="2025-02-06T00:00:00" u="1"/>
        <d v="2020-10-27T00:00:00" u="1"/>
        <d v="2021-10-27T00:00:00" u="1"/>
        <d v="2023-10-27T00:00:00" u="1"/>
        <d v="2025-10-27T00:00:00" u="1"/>
        <d v="2020-03-06T00:00:00" u="1"/>
        <d v="2021-03-06T00:00:00" u="1"/>
        <d v="2023-03-06T00:00:00" u="1"/>
        <d v="2024-03-06T00:00:00" u="1"/>
        <d v="2025-03-06T00:00:00" u="1"/>
        <d v="2019-11-27T00:00:00" u="1"/>
        <d v="2020-11-27T00:00:00" u="1"/>
        <d v="2021-11-27T00:00:00" u="1"/>
        <d v="2023-11-27T00:00:00" u="1"/>
        <d v="2024-11-27T00:00:00" u="1"/>
        <d v="2025-11-27T00:00:00" u="1"/>
        <d v="2020-04-06T00:00:00" u="1"/>
        <d v="2021-04-06T00:00:00" u="1"/>
        <d v="2022-04-06T00:00:00" u="1"/>
        <d v="2024-04-06T00:00:00" u="1"/>
        <d v="2019-12-27T00:00:00" u="1"/>
        <d v="2021-12-27T00:00:00" u="1"/>
        <d v="2023-12-27T00:00:00" u="1"/>
        <d v="2024-12-27T00:00:00" u="1"/>
        <d v="2025-12-27T00:00:00" u="1"/>
        <d v="2019-05-06T00:00:00" u="1"/>
        <d v="2020-05-06T00:00:00" u="1"/>
        <d v="2021-05-06T00:00:00" u="1"/>
        <d v="2022-05-06T00:00:00" u="1"/>
        <d v="2023-05-06T00:00:00" u="1"/>
        <d v="2024-05-06T00:00:00" u="1"/>
        <d v="2020-01-17T00:00:00" u="1"/>
        <d v="2025-05-06T00:00:00" u="1"/>
        <d v="2022-01-17T00:00:00" u="1"/>
        <d v="2023-01-17T00:00:00" u="1"/>
        <d v="2024-01-17T00:00:00" u="1"/>
        <d v="2025-01-17T00:00:00" u="1"/>
        <d v="2019-06-06T00:00:00" u="1"/>
        <d v="2020-06-06T00:00:00" u="1"/>
        <d v="2022-06-06T00:00:00" u="1"/>
        <d v="2023-06-06T00:00:00" u="1"/>
        <d v="2019-07-06T00:00:00" u="1"/>
        <d v="2020-07-06T00:00:00" u="1"/>
        <d v="2021-07-06T00:00:00" u="1"/>
        <d v="2022-07-06T00:00:00" u="1"/>
        <d v="2023-07-06T00:00:00" u="1"/>
        <d v="2024-07-06T00:00:00" u="1"/>
        <d v="2020-03-17T00:00:00" u="1"/>
        <d v="2021-03-17T00:00:00" u="1"/>
        <d v="2022-03-17T00:00:00" u="1"/>
        <d v="2023-03-17T00:00:00" u="1"/>
        <d v="2025-03-17T00:00:00" u="1"/>
        <d v="2019-08-06T00:00:00" u="1"/>
        <d v="2021-08-06T00:00:00" u="1"/>
        <d v="2024-08-06T00:00:00" u="1"/>
        <d v="2025-08-06T00:00:00" u="1"/>
        <d v="2021-04-17T00:00:00" u="1"/>
        <d v="2023-04-17T00:00:00" u="1"/>
        <d v="2024-04-17T00:00:00" u="1"/>
        <d v="2025-04-17T00:00:00" u="1"/>
        <d v="2019-09-06T00:00:00" u="1"/>
        <d v="2021-09-06T00:00:00" u="1"/>
        <d v="2023-09-06T00:00:00" u="1"/>
        <d v="2019-05-17T00:00:00" u="1"/>
        <d v="2024-09-06T00:00:00" u="1"/>
        <d v="2025-09-06T00:00:00" u="1"/>
        <d v="2021-05-17T00:00:00" u="1"/>
        <d v="2022-05-17T00:00:00" u="1"/>
        <d v="2023-05-17T00:00:00" u="1"/>
        <d v="2024-05-17T00:00:00" u="1"/>
        <d v="2020-01-28T00:00:00" u="1"/>
        <d v="2025-05-17T00:00:00" u="1"/>
        <d v="2021-01-28T00:00:00" u="1"/>
        <d v="2022-01-28T00:00:00" u="1"/>
        <d v="2023-01-28T00:00:00" u="1"/>
        <d v="2025-01-28T00:00:00" u="1"/>
        <d v="2020-10-06T00:00:00" u="1"/>
        <d v="2021-10-06T00:00:00" u="1"/>
        <d v="2023-10-06T00:00:00" u="1"/>
        <d v="2019-06-17T00:00:00" u="1"/>
        <d v="2020-06-17T00:00:00" u="1"/>
        <d v="2025-10-06T00:00:00" u="1"/>
        <d v="2021-06-17T00:00:00" u="1"/>
        <d v="2022-06-17T00:00:00" u="1"/>
        <d v="2023-06-17T00:00:00" u="1"/>
        <d v="2024-06-17T00:00:00" u="1"/>
        <d v="2020-02-28T00:00:00" u="1"/>
        <d v="2025-06-17T00:00:00" u="1"/>
        <d v="2022-02-28T00:00:00" u="1"/>
        <d v="2023-02-28T00:00:00" u="1"/>
        <d v="2024-02-28T00:00:00" u="1"/>
        <d v="2025-02-28T00:00:00" u="1"/>
        <d v="2019-11-06T00:00:00" u="1"/>
        <d v="2020-11-06T00:00:00" u="1"/>
        <d v="2021-11-06T00:00:00" u="1"/>
        <d v="2023-11-06T00:00:00" u="1"/>
        <d v="2019-07-17T00:00:00" u="1"/>
        <d v="2024-11-06T00:00:00" u="1"/>
        <d v="2020-07-17T00:00:00" u="1"/>
        <d v="2025-11-06T00:00:00" u="1"/>
        <d v="2021-07-17T00:00:00" u="1"/>
        <d v="2023-07-17T00:00:00" u="1"/>
        <d v="2024-07-17T00:00:00" u="1"/>
        <d v="2025-07-17T00:00:00" u="1"/>
        <d v="2022-03-28T00:00:00" u="1"/>
        <d v="2023-03-28T00:00:00" u="1"/>
        <d v="2024-03-28T00:00:00" u="1"/>
        <d v="2025-03-28T00:00:00" u="1"/>
        <d v="2019-12-06T00:00:00" u="1"/>
        <d v="2021-12-06T00:00:00" u="1"/>
        <d v="2023-12-06T00:00:00" u="1"/>
        <d v="2019-08-17T00:00:00" u="1"/>
        <d v="2024-12-06T00:00:00" u="1"/>
        <d v="2020-08-17T00:00:00" u="1"/>
        <d v="2025-12-06T00:00:00" u="1"/>
        <d v="2021-08-17T00:00:00" u="1"/>
        <d v="2024-08-17T00:00:00" u="1"/>
        <d v="2021-04-28T00:00:00" u="1"/>
        <d v="2023-04-28T00:00:00" u="1"/>
        <d v="2025-04-28T00:00:00" u="1"/>
        <d v="2019-09-17T00:00:00" u="1"/>
        <d v="2020-09-17T00:00:00" u="1"/>
        <d v="2021-09-17T00:00:00" u="1"/>
        <d v="2019-05-28T00:00:00" u="1"/>
        <d v="2024-09-17T00:00:00" u="1"/>
        <d v="2020-05-28T00:00:00" u="1"/>
        <d v="2025-09-17T00:00:00" u="1"/>
        <d v="2021-05-28T00:00:00" u="1"/>
        <d v="2022-05-28T00:00:00" u="1"/>
        <d v="2024-05-28T00:00:00" u="1"/>
        <d v="2025-05-28T00:00:00" u="1"/>
        <d v="2019-10-17T00:00:00" u="1"/>
        <d v="2020-10-17T00:00:00" u="1"/>
        <d v="2023-10-17T00:00:00" u="1"/>
        <d v="2019-06-28T00:00:00" u="1"/>
        <d v="2024-10-17T00:00:00" u="1"/>
        <d v="2025-10-17T00:00:00" u="1"/>
        <d v="2021-06-28T00:00:00" u="1"/>
        <d v="2022-06-28T00:00:00" u="1"/>
        <d v="2024-06-28T00:00:00" u="1"/>
        <d v="2025-06-28T00:00:00" u="1"/>
        <d v="2020-11-17T00:00:00" u="1"/>
        <d v="2021-11-17T00:00:00" u="1"/>
        <d v="2023-11-17T00:00:00" u="1"/>
        <d v="2020-07-28T00:00:00" u="1"/>
        <d v="2021-07-28T00:00:00" u="1"/>
        <d v="2023-07-28T00:00:00" u="1"/>
        <d v="2025-07-28T00:00:00" u="1"/>
        <d v="2019-12-17T00:00:00" u="1"/>
        <d v="2020-12-17T00:00:00" u="1"/>
        <d v="2021-12-17T00:00:00" u="1"/>
        <d v="2019-08-28T00:00:00" u="1"/>
        <d v="2024-12-17T00:00:00" u="1"/>
        <d v="2020-08-28T00:00:00" u="1"/>
        <d v="2025-12-17T00:00:00" u="1"/>
        <d v="2021-08-28T00:00:00" u="1"/>
        <d v="2023-08-28T00:00:00" u="1"/>
        <d v="2024-08-28T00:00:00" u="1"/>
        <d v="2025-08-28T00:00:00" u="1"/>
        <d v="2020-01-07T00:00:00" u="1"/>
        <d v="2021-01-07T00:00:00" u="1"/>
        <d v="2022-01-07T00:00:00" u="1"/>
        <d v="2023-01-07T00:00:00" u="1"/>
        <d v="2025-01-07T00:00:00" u="1"/>
        <d v="2019-09-28T00:00:00" u="1"/>
        <d v="2020-09-28T00:00:00" u="1"/>
        <d v="2021-09-28T00:00:00" u="1"/>
        <d v="2023-09-28T00:00:00" u="1"/>
        <d v="2024-09-28T00:00:00" u="1"/>
        <d v="2020-02-07T00:00:00" u="1"/>
        <d v="2022-02-07T00:00:00" u="1"/>
        <d v="2023-02-07T00:00:00" u="1"/>
        <d v="2024-02-07T00:00:00" u="1"/>
        <d v="2025-02-07T00:00:00" u="1"/>
        <d v="2019-10-28T00:00:00" u="1"/>
        <d v="2020-10-28T00:00:00" u="1"/>
        <d v="2021-10-28T00:00:00" u="1"/>
        <d v="2023-10-28T00:00:00" u="1"/>
        <d v="2024-10-28T00:00:00" u="1"/>
        <d v="2025-10-28T00:00:00" u="1"/>
        <d v="2020-03-07T00:00:00" u="1"/>
        <d v="2022-03-07T00:00:00" u="1"/>
        <d v="2023-03-07T00:00:00" u="1"/>
        <d v="2024-03-07T00:00:00" u="1"/>
        <d v="2025-03-07T00:00:00" u="1"/>
        <d v="2020-04-07T00:00:00" u="1"/>
        <d v="2021-04-07T00:00:00" u="1"/>
        <d v="2022-04-07T00:00:00" u="1"/>
        <d v="2023-04-07T00:00:00" u="1"/>
        <d v="2025-04-07T00:00:00" u="1"/>
        <d v="2019-12-28T00:00:00" u="1"/>
        <d v="2020-12-28T00:00:00" u="1"/>
        <d v="2021-12-28T00:00:00" u="1"/>
        <d v="2023-12-28T00:00:00" u="1"/>
        <d v="2024-12-28T00:00:00" u="1"/>
        <d v="2019-05-07T00:00:00" u="1"/>
        <d v="2020-05-07T00:00:00" u="1"/>
        <d v="2021-05-07T00:00:00" u="1"/>
        <d v="2022-05-07T00:00:00" u="1"/>
        <d v="2024-05-07T00:00:00" u="1"/>
        <d v="2020-01-18T00:00:00" u="1"/>
        <d v="2025-05-07T00:00:00" u="1"/>
        <d v="2021-01-18T00:00:00" u="1"/>
        <d v="2022-01-18T00:00:00" u="1"/>
        <d v="2023-01-18T00:00:00" u="1"/>
        <d v="2024-01-18T00:00:00" u="1"/>
        <d v="2025-01-18T00:00:00" u="1"/>
        <d v="2019-06-07T00:00:00" u="1"/>
        <d v="2021-06-07T00:00:00" u="1"/>
        <d v="2022-06-07T00:00:00" u="1"/>
        <d v="2023-06-07T00:00:00" u="1"/>
        <d v="2024-06-07T00:00:00" u="1"/>
        <d v="2020-02-18T00:00:00" u="1"/>
        <d v="2021-02-18T00:00:00" u="1"/>
        <d v="2022-02-18T00:00:00" u="1"/>
        <d v="2023-02-18T00:00:00" u="1"/>
        <d v="2025-02-18T00:00:00" u="1"/>
        <d v="2020-07-07T00:00:00" u="1"/>
        <d v="2021-07-07T00:00:00" u="1"/>
        <d v="2022-07-07T00:00:00" u="1"/>
        <d v="2023-07-07T00:00:00" u="1"/>
        <d v="2020-03-18T00:00:00" u="1"/>
        <d v="2025-07-07T00:00:00" u="1"/>
        <d v="2021-03-18T00:00:00" u="1"/>
        <d v="2022-03-18T00:00:00" u="1"/>
        <d v="2023-03-18T00:00:00" u="1"/>
        <d v="2024-03-18T00:00:00" u="1"/>
        <d v="2025-03-18T00:00:00" u="1"/>
        <d v="2019-08-07T00:00:00" u="1"/>
        <d v="2021-08-07T00:00:00" u="1"/>
        <d v="2023-08-07T00:00:00" u="1"/>
        <d v="2025-08-07T00:00:00" u="1"/>
        <d v="2022-04-18T00:00:00" u="1"/>
        <d v="2023-04-18T00:00:00" u="1"/>
        <d v="2024-04-18T00:00:00" u="1"/>
        <d v="2025-04-18T00:00:00" u="1"/>
        <d v="2019-09-07T00:00:00" u="1"/>
        <d v="2020-09-07T00:00:00" u="1"/>
        <d v="2021-09-07T00:00:00" u="1"/>
        <d v="2023-09-07T00:00:00" u="1"/>
        <d v="2019-05-18T00:00:00" u="1"/>
        <d v="2024-09-07T00:00:00" u="1"/>
        <d v="2020-05-18T00:00:00" u="1"/>
        <d v="2021-05-18T00:00:00" u="1"/>
        <d v="2022-05-18T00:00:00" u="1"/>
        <d v="2024-05-18T00:00:00" u="1"/>
        <d v="2020-01-29T00:00:00" u="1"/>
        <d v="2021-01-29T00:00:00" u="1"/>
        <d v="2022-01-29T00:00:00" u="1"/>
        <d v="2024-01-29T00:00:00" u="1"/>
        <d v="2025-01-29T00:00:00" u="1"/>
        <d v="2019-10-07T00:00:00" u="1"/>
        <d v="2020-10-07T00:00:00" u="1"/>
        <d v="2021-10-07T00:00:00" u="1"/>
        <d v="2023-10-07T00:00:00" u="1"/>
        <d v="2019-06-18T00:00:00" u="1"/>
        <d v="2024-10-07T00:00:00" u="1"/>
        <d v="2020-06-18T00:00:00" u="1"/>
        <d v="2025-10-07T00:00:00" u="1"/>
        <d v="2021-06-18T00:00:00" u="1"/>
        <d v="2022-06-18T00:00:00" u="1"/>
        <d v="2024-06-18T00:00:00" u="1"/>
        <d v="2020-02-29T00:00:00" u="1"/>
        <d v="2025-06-18T00:00:00" u="1"/>
        <d v="2024-02-29T00:00:00" u="1"/>
        <d v="2019-11-07T00:00:00" u="1"/>
        <d v="2023-11-07T00:00:00" u="1"/>
        <d v="2019-07-18T00:00:00" u="1"/>
        <d v="2024-11-07T00:00:00" u="1"/>
        <d v="2020-07-18T00:00:00" u="1"/>
        <d v="2025-11-07T00:00:00" u="1"/>
        <d v="2023-07-18T00:00:00" u="1"/>
        <d v="2024-07-18T00:00:00" u="1"/>
        <d v="2025-07-18T00:00:00" u="1"/>
        <d v="2021-03-29T00:00:00" u="1"/>
        <d v="2022-03-29T00:00:00" u="1"/>
        <d v="2023-03-29T00:00:00" u="1"/>
        <d v="2024-03-29T00:00:00" u="1"/>
        <d v="2025-03-29T00:00:00" u="1"/>
        <d v="2019-12-07T00:00:00" u="1"/>
        <d v="2021-12-07T00:00:00" u="1"/>
        <d v="2023-12-07T00:00:00" u="1"/>
        <d v="2024-12-07T00:00:00" u="1"/>
        <d v="2020-08-18T00:00:00" u="1"/>
        <d v="2021-08-18T00:00:00" u="1"/>
        <d v="2025-08-18T00:00:00" u="1"/>
        <d v="2021-04-29T00:00:00" u="1"/>
        <d v="2022-04-29T00:00:00" u="1"/>
        <d v="2023-04-29T00:00:00" u="1"/>
        <d v="2024-04-29T00:00:00" u="1"/>
        <d v="2025-04-29T00:00:00" u="1"/>
        <d v="2019-09-18T00:00:00" u="1"/>
        <d v="2020-09-18T00:00:00" u="1"/>
        <d v="2021-09-18T00:00:00" u="1"/>
        <d v="2023-09-18T00:00:00" u="1"/>
        <d v="2019-05-29T00:00:00" u="1"/>
        <d v="2024-09-18T00:00:00" u="1"/>
        <d v="2020-05-29T00:00:00" u="1"/>
        <d v="2025-09-18T00:00:00" u="1"/>
        <d v="2021-05-29T00:00:00" u="1"/>
        <d v="2023-05-29T00:00:00" u="1"/>
        <d v="2024-05-29T00:00:00" u="1"/>
        <d v="2025-05-29T00:00:00" u="1"/>
        <d v="2019-10-18T00:00:00" u="1"/>
        <d v="2021-10-18T00:00:00" u="1"/>
        <d v="2023-10-18T00:00:00" u="1"/>
        <d v="2019-06-29T00:00:00" u="1"/>
        <d v="2024-10-18T00:00:00" u="1"/>
        <d v="2020-06-29T00:00:00" u="1"/>
        <d v="2025-10-18T00:00:00" u="1"/>
        <d v="2021-06-29T00:00:00" u="1"/>
        <d v="2022-06-29T00:00:00" u="1"/>
        <d v="2024-06-29T00:00:00" u="1"/>
        <d v="2019-11-18T00:00:00" u="1"/>
        <d v="2020-11-18T00:00:00" u="1"/>
        <d v="2021-11-18T00:00:00" u="1"/>
        <d v="2023-11-18T00:00:00" u="1"/>
        <d v="2019-07-29T00:00:00" u="1"/>
        <d v="2024-11-18T00:00:00" u="1"/>
        <d v="2020-07-29T00:00:00" u="1"/>
        <d v="2025-11-18T00:00:00" u="1"/>
        <d v="2021-07-29T00:00:00" u="1"/>
        <d v="2023-07-29T00:00:00" u="1"/>
        <d v="2024-07-29T00:00:00" u="1"/>
        <d v="2025-07-29T00:00:00" u="1"/>
        <d v="2019-12-18T00:00:00" u="1"/>
        <d v="2020-12-18T00:00:00" u="1"/>
        <d v="2021-12-18T00:00:00" u="1"/>
        <d v="2023-12-18T00:00:00" u="1"/>
        <d v="2019-08-29T00:00:00" u="1"/>
        <d v="2024-12-18T00:00:00" u="1"/>
        <d v="2020-08-29T00:00:00" u="1"/>
        <d v="2025-12-18T00:00:00" u="1"/>
        <d v="2023-08-29T00:00:00" u="1"/>
        <d v="2024-08-29T00:00:00" u="1"/>
        <d v="2025-08-29T00:00:00" u="1"/>
        <d v="2020-01-08T00:00:00" u="1"/>
        <d v="2021-01-08T00:00:00" u="1"/>
        <d v="2022-01-08T00:00:00" u="1"/>
        <d v="2024-01-08T00:00:00" u="1"/>
        <d v="2025-01-08T00:00:00" u="1"/>
        <d v="2020-09-29T00:00:00" u="1"/>
        <d v="2021-09-29T00:00:00" u="1"/>
        <d v="2023-09-29T00:00:00" u="1"/>
        <d v="2025-09-29T00:00:00" u="1"/>
        <d v="2020-02-08T00:00:00" u="1"/>
        <d v="2021-02-08T00:00:00" u="1"/>
        <d v="2022-02-08T00:00:00" u="1"/>
        <d v="2023-02-08T00:00:00" u="1"/>
        <d v="2024-02-08T00:00:00" u="1"/>
        <d v="2025-02-08T00:00:00" u="1"/>
        <d v="2019-10-29T00:00:00" u="1"/>
        <d v="2020-10-29T00:00:00" u="1"/>
        <d v="2021-10-29T00:00:00" u="1"/>
        <d v="2024-10-29T00:00:00" u="1"/>
        <d v="2025-10-29T00:00:00" u="1"/>
        <d v="2021-03-08T00:00:00" u="1"/>
        <d v="2022-03-08T00:00:00" u="1"/>
        <d v="2023-03-08T00:00:00" u="1"/>
        <d v="2024-03-08T00:00:00" u="1"/>
        <d v="2025-03-08T00:00:00" u="1"/>
        <d v="2019-11-29T00:00:00" u="1"/>
        <d v="2021-11-29T00:00:00" u="1"/>
        <d v="2023-11-29T00:00:00" u="1"/>
        <d v="2024-11-29T00:00:00" u="1"/>
        <d v="2025-11-29T00:00:00" u="1"/>
        <d v="2021-04-08T00:00:00" u="1"/>
        <d v="2022-04-08T00:00:00" u="1"/>
        <d v="2023-04-08T00:00:00" u="1"/>
        <d v="2024-04-08T00:00:00" u="1"/>
        <d v="2025-04-08T00:00:00" u="1"/>
        <d v="2020-12-29T00:00:00" u="1"/>
        <d v="2021-12-29T00:00:00" u="1"/>
        <d v="2023-12-29T00:00:00" u="1"/>
        <d v="2025-12-29T00:00:00" u="1"/>
        <d v="2019-05-08T00:00:00" u="1"/>
        <d v="2020-05-08T00:00:00" u="1"/>
        <d v="2021-05-08T00:00:00" u="1"/>
        <d v="2023-05-08T00:00:00" u="1"/>
        <d v="2024-05-08T00:00:00" u="1"/>
        <d v="2025-05-08T00:00:00" u="1"/>
        <d v="2021-01-19T00:00:00" u="1"/>
        <d v="2022-01-19T00:00:00" u="1"/>
        <d v="2024-01-19T00:00:00" u="1"/>
        <d v="2019-06-08T00:00:00" u="1"/>
        <d v="2020-06-08T00:00:00" u="1"/>
        <d v="2021-06-08T00:00:00" u="1"/>
        <d v="2022-06-08T00:00:00" u="1"/>
        <d v="2023-06-08T00:00:00" u="1"/>
        <d v="2024-06-08T00:00:00" u="1"/>
        <d v="2020-02-19T00:00:00" u="1"/>
        <d v="2021-02-19T00:00:00" u="1"/>
        <d v="2022-02-19T00:00:00" u="1"/>
        <d v="2024-02-19T00:00:00" u="1"/>
        <d v="2025-02-19T00:00:00" u="1"/>
        <d v="2019-07-08T00:00:00" u="1"/>
        <d v="2020-07-08T00:00:00" u="1"/>
        <d v="2021-07-08T00:00:00" u="1"/>
        <d v="2022-07-08T00:00:00" u="1"/>
        <d v="2023-07-08T00:00:00" u="1"/>
        <d v="2024-07-08T00:00:00" u="1"/>
        <d v="2025-07-08T00:00:00" u="1"/>
        <d v="2021-03-19T00:00:00" u="1"/>
        <d v="2022-03-19T00:00:00" u="1"/>
        <d v="2024-03-19T00:00:00" u="1"/>
        <d v="2025-03-19T00:00:00" u="1"/>
        <d v="2019-08-08T00:00:00" u="1"/>
        <d v="2020-08-08T00:00:00" u="1"/>
        <d v="2023-08-08T00:00:00" u="1"/>
        <d v="2025-08-08T00:00:00" u="1"/>
        <d v="2021-04-19T00:00:00" u="1"/>
        <d v="2022-04-19T00:00:00" u="1"/>
        <d v="2023-04-19T00:00:00" u="1"/>
        <d v="2024-04-19T00:00:00" u="1"/>
        <d v="2025-04-19T00:00:00" u="1"/>
        <d v="2020-09-08T00:00:00" u="1"/>
        <d v="2021-09-08T00:00:00" u="1"/>
        <d v="2023-09-08T00:00:00" u="1"/>
        <d v="2020-05-19T00:00:00" u="1"/>
        <d v="2025-09-08T00:00:00" u="1"/>
        <d v="2021-05-19T00:00:00" u="1"/>
        <d v="2022-05-19T00:00:00" u="1"/>
        <d v="2023-05-19T00:00:00" u="1"/>
        <d v="2020-01-30T00:00:00" u="1"/>
        <d v="2025-05-19T00:00:00" u="1"/>
        <d v="2021-01-30T00:00:00" u="1"/>
        <d v="2023-01-30T00:00:00" u="1"/>
        <d v="2024-01-30T00:00:00" u="1"/>
        <d v="2025-01-30T00:00:00" u="1"/>
        <d v="2019-10-08T00:00:00" u="1"/>
        <d v="2020-10-08T00:00:00" u="1"/>
        <d v="2021-10-08T00:00:00" u="1"/>
        <d v="2019-06-19T00:00:00" u="1"/>
        <d v="2024-10-08T00:00:00" u="1"/>
        <d v="2020-06-19T00:00:00" u="1"/>
        <d v="2025-10-08T00:00:00" u="1"/>
        <d v="2021-06-19T00:00:00" u="1"/>
        <d v="2023-06-19T00:00:00" u="1"/>
        <d v="2024-06-19T00:00:00" u="1"/>
        <d v="2025-06-19T00:00:00" u="1"/>
        <d v="2019-11-08T00:00:00" u="1"/>
        <d v="2021-11-08T00:00:00" u="1"/>
        <d v="2023-11-08T00:00:00" u="1"/>
        <d v="2019-07-19T00:00:00" u="1"/>
        <d v="2024-11-08T00:00:00" u="1"/>
        <d v="2025-11-08T00:00:00" u="1"/>
        <d v="2021-07-19T00:00:00" u="1"/>
        <d v="2023-07-19T00:00:00" u="1"/>
        <d v="2024-07-19T00:00:00" u="1"/>
        <d v="2025-07-19T00:00:00" u="1"/>
        <d v="2021-03-30T00:00:00" u="1"/>
        <d v="2022-03-30T00:00:00" u="1"/>
        <d v="2023-03-30T00:00:00" u="1"/>
        <d v="2024-03-30T00:00:00" u="1"/>
        <d v="2021-12-08T00:00:00" u="1"/>
        <d v="2023-12-08T00:00:00" u="1"/>
        <d v="2019-08-19T00:00:00" u="1"/>
        <d v="2020-08-19T00:00:00" u="1"/>
        <d v="2025-12-08T00:00:00" u="1"/>
        <d v="2021-08-19T00:00:00" u="1"/>
        <d v="2024-08-19T00:00:00" u="1"/>
        <d v="2020-04-30T00:00:00" u="1"/>
        <d v="2025-08-19T00:00:00" u="1"/>
        <d v="2021-04-30T00:00:00" u="1"/>
        <d v="2022-04-30T00:00:00" u="1"/>
        <d v="2024-04-30T00:00:00" u="1"/>
        <d v="2025-04-30T00:00:00" u="1"/>
      </sharedItems>
    </cacheField>
    <cacheField name="Wert" numFmtId="0">
      <sharedItems containsString="0" containsBlank="1" containsNumber="1" minValue="4" maxValue="1830.6"/>
    </cacheField>
    <cacheField name="Status" numFmtId="0">
      <sharedItems containsNonDate="0" containsString="0" containsBlank="1"/>
    </cacheField>
    <cacheField name="a" numFmtId="0">
      <sharedItems containsNonDate="0" containsString="0" containsBlank="1"/>
    </cacheField>
    <cacheField name="Kunden Nr." numFmtId="0">
      <sharedItems containsMixedTypes="1" containsNumber="1" containsInteger="1" minValue="10101" maxValue="40034" count="832">
        <n v="10343"/>
        <n v="10308"/>
        <n v="10344"/>
        <n v="10340"/>
        <n v="10325"/>
        <n v="10330"/>
        <n v="10332"/>
        <n v="10301"/>
        <n v="10323"/>
        <n v="20301"/>
        <n v="20324"/>
        <n v="20307"/>
        <n v="20313"/>
        <n v="20321"/>
        <n v="20304"/>
        <n v="20303"/>
        <n v="20306"/>
        <n v="20317"/>
        <n v="10413"/>
        <n v="10430"/>
        <n v="10428"/>
        <n v="10412"/>
        <n v="10406"/>
        <n v="10508"/>
        <n v="10509"/>
        <n v="10504"/>
        <n v="10507"/>
        <n v="10529"/>
        <n v="20501"/>
        <n v="20502"/>
        <n v="20511"/>
        <n v="20513"/>
        <n v="20409"/>
        <n v="20406"/>
        <n v="10636"/>
        <n v="10605"/>
        <n v="10625"/>
        <n v="10619"/>
        <n v="10617"/>
        <n v="20602"/>
        <n v="20623"/>
        <n v="20622"/>
        <n v="20631"/>
        <n v="20627"/>
        <n v="20606"/>
        <n v="20607"/>
        <n v="20608"/>
        <n v="20624"/>
        <n v="10105"/>
        <n v="10111"/>
        <n v="10114"/>
        <n v="10103"/>
        <n v="20109"/>
        <n v="20111"/>
        <n v="20126"/>
        <n v="20121"/>
        <n v="20127"/>
        <n v="20104"/>
        <n v="40002"/>
        <n v="10258"/>
        <n v="10210"/>
        <n v="10205"/>
        <n v="10245"/>
        <n v="10241"/>
        <n v="10240"/>
        <n v="10201"/>
        <n v="20224"/>
        <n v="20209"/>
        <n v="20211"/>
        <n v="20203"/>
        <n v="20201"/>
        <n v="40003"/>
        <n v="10357"/>
        <n v="10366"/>
        <n v="10360"/>
        <n v="10352"/>
        <n v="10303"/>
        <n v="20331"/>
        <n v="20314"/>
        <n v="10418"/>
        <n v="10410"/>
        <n v="10539"/>
        <n v="10542"/>
        <n v="10635"/>
        <n v="10616"/>
        <n v="10133"/>
        <n v="10134"/>
        <n v="10104"/>
        <n v="20130"/>
        <n v="10250"/>
        <n v="10262"/>
        <n v="40019"/>
        <n v="20206"/>
        <n v="20212"/>
        <n v="20223"/>
        <n v="20228"/>
        <n v="20227"/>
        <n v="10306"/>
        <n v="10350"/>
        <n v="20311"/>
        <n v="20332"/>
        <n v="10429"/>
        <n v="10506"/>
        <n v="10503"/>
        <n v="20519"/>
        <n v="20515"/>
        <n v="20508"/>
        <n v="20407"/>
        <n v="20403"/>
        <n v="20404"/>
        <n v="40033"/>
        <n v="10637"/>
        <n v="20628"/>
        <n v="20630"/>
        <n v="20610"/>
        <n v="20604"/>
        <n v="20609"/>
        <n v="20603"/>
        <n v="20122"/>
        <n v="20101"/>
        <n v="20102"/>
        <n v="20220"/>
        <n v="20208"/>
        <n v="10304"/>
        <n v="10313"/>
        <n v="20326"/>
        <n v="20302"/>
        <n v="20312"/>
        <n v="40017"/>
        <n v="10547"/>
        <n v="10604"/>
        <n v="20611"/>
        <n v="20615"/>
        <n v="10627"/>
        <n v="10255"/>
        <n v="10251"/>
        <n v="20330"/>
        <n v="10502"/>
        <n v="20408"/>
        <n v="20632"/>
        <n v="10135"/>
        <n v="20129"/>
        <n v="20634"/>
        <n v="10320"/>
        <n v="10145"/>
        <n v="40028"/>
        <n v="10614"/>
        <n v="40032"/>
        <n v="10141"/>
        <n v="20510"/>
        <n v="20614"/>
        <n v="10613"/>
        <n v="10230"/>
        <n v="20210"/>
        <n v="10317"/>
        <n v="10365"/>
        <n v="20328"/>
        <n v="10401"/>
        <n v="10511"/>
        <n v="10622"/>
        <s v="blq"/>
        <n v="20205"/>
        <n v="10353"/>
        <n v="20322"/>
        <n v="10626"/>
        <n v="20635"/>
        <n v="20633"/>
        <n v="10126"/>
        <n v="20108"/>
        <n v="10256"/>
        <n v="20118"/>
        <n v="10364"/>
        <n v="20520"/>
        <n v="10113"/>
        <n v="20636"/>
        <n v="20629"/>
        <n v="10347"/>
        <n v="20305"/>
        <n v="10204"/>
        <n v="10202"/>
        <n v="10146"/>
        <n v="10223"/>
        <n v="20229"/>
        <n v="10147"/>
        <n v="10333"/>
        <n v="10367"/>
        <n v="10638"/>
        <n v="20329"/>
        <n v="20601"/>
        <n v="10110"/>
        <n v="10117"/>
        <n v="10257"/>
        <n v="10203"/>
        <n v="10327"/>
        <n v="10359"/>
        <n v="20803"/>
        <n v="20427"/>
        <n v="20405"/>
        <n v="40024"/>
        <n v="10261"/>
        <n v="10244"/>
        <n v="10528"/>
        <n v="10346"/>
        <n v="10541"/>
        <n v="40021"/>
        <n v="10315"/>
        <n v="20605"/>
        <n v="20222"/>
        <n v="10618"/>
        <n v="20516"/>
        <n v="20315" u="1"/>
        <n v="30337" u="1"/>
        <n v="30211" u="1"/>
        <n v="30148" u="1"/>
        <n v="10124" u="1"/>
        <n v="10518" u="1"/>
        <n v="30621" u="1"/>
        <n v="30558" u="1"/>
        <n v="10329" u="1"/>
        <n v="20410" u="1"/>
        <n v="30432" u="1"/>
        <n v="40009" u="1"/>
        <n v="20221" u="1"/>
        <n v="30306" u="1"/>
        <n v="30243" u="1"/>
        <n v="10140" u="1"/>
        <n v="30117" u="1"/>
        <n v="10534" u="1"/>
        <n v="10408" u="1"/>
        <n v="20505" u="1"/>
        <n v="10345" u="1"/>
        <n v="30527" u="1"/>
        <n v="20316" u="1"/>
        <n v="30401" u="1"/>
        <n v="30338" u="1"/>
        <n v="30212" u="1"/>
        <n v="30149" u="1"/>
        <n v="10424" u="1"/>
        <n v="30622" u="1"/>
        <n v="10361" u="1"/>
        <n v="30559" u="1"/>
        <n v="20411" u="1"/>
        <n v="30433" u="1"/>
        <n v="30307" u="1"/>
        <n v="30244" u="1"/>
        <n v="30118" u="1"/>
        <n v="10629" u="1"/>
        <n v="10109" u="1"/>
        <n v="20506" u="1"/>
        <n v="30528" u="1"/>
        <n v="10314" u="1"/>
        <n v="30402" u="1"/>
        <n v="30339" u="1"/>
        <n v="20128" u="1"/>
        <n v="30213" u="1"/>
        <n v="30150" u="1"/>
        <n v="10125" u="1"/>
        <n v="10519" u="1"/>
        <n v="30623" u="1"/>
        <n v="30560" u="1"/>
        <n v="20412" u="1"/>
        <n v="30434" u="1"/>
        <n v="30308" u="1"/>
        <n v="30245" u="1"/>
        <n v="30119" u="1"/>
        <n v="10535" u="1"/>
        <n v="10409" u="1"/>
        <n v="20507" u="1"/>
        <n v="30529" u="1"/>
        <n v="20318" u="1"/>
        <n v="30403" u="1"/>
        <n v="30340" u="1"/>
        <n v="10220" u="1"/>
        <n v="30214" u="1"/>
        <n v="30151" u="1"/>
        <n v="10425" u="1"/>
        <n v="30624" u="1"/>
        <n v="10362" u="1"/>
        <n v="30561" u="1"/>
        <n v="20413" u="1"/>
        <n v="30435" u="1"/>
        <n v="10236" u="1"/>
        <n v="30309" u="1"/>
        <n v="30246" u="1"/>
        <n v="30120" u="1"/>
        <n v="10630" u="1"/>
        <n v="30530" u="1"/>
        <n v="20319" u="1"/>
        <n v="30404" u="1"/>
        <n v="10252" u="1"/>
        <n v="30341" u="1"/>
        <n v="40016" u="1"/>
        <n v="30215" u="1"/>
        <n v="30152" u="1"/>
        <n v="10520" u="1"/>
        <n v="30625" u="1"/>
        <n v="30562" u="1"/>
        <n v="30436" u="1"/>
        <n v="20225" u="1"/>
        <n v="30310" u="1"/>
        <n v="30247" u="1"/>
        <n v="10142" u="1"/>
        <n v="30121" u="1"/>
        <n v="10536" u="1"/>
        <n v="20509" u="1"/>
        <n v="30531" u="1"/>
        <n v="20320" u="1"/>
        <n v="30405" u="1"/>
        <n v="30342" u="1"/>
        <n v="40018" u="1"/>
        <n v="10221" u="1"/>
        <n v="30216" u="1"/>
        <n v="30153" u="1"/>
        <n v="10615" u="1"/>
        <n v="10426" u="1"/>
        <n v="30626" u="1"/>
        <n v="10363" u="1"/>
        <n v="30563" u="1"/>
        <n v="20415" u="1"/>
        <n v="30437" u="1"/>
        <n v="10237" u="1"/>
        <n v="20226" u="1"/>
        <n v="30311" u="1"/>
        <n v="30248" u="1"/>
        <n v="30122" u="1"/>
        <n v="10631" u="1"/>
        <n v="10505" u="1"/>
        <n v="30532" u="1"/>
        <n v="10316" u="1"/>
        <n v="30406" u="1"/>
        <n v="10253" u="1"/>
        <n v="30343" u="1"/>
        <n v="40020" u="1"/>
        <n v="30217" u="1"/>
        <n v="30154" u="1"/>
        <n v="10127" u="1"/>
        <n v="10521" u="1"/>
        <n v="30627" u="1"/>
        <n v="30564" u="1"/>
        <n v="20416" u="1"/>
        <n v="30501" u="1"/>
        <n v="30438" u="1"/>
        <n v="30312" u="1"/>
        <n v="10206" u="1"/>
        <n v="30249" u="1"/>
        <n v="10143" u="1"/>
        <n v="30123" u="1"/>
        <n v="10537" u="1"/>
        <n v="10348" u="1"/>
        <n v="30533" u="1"/>
        <n v="30407" u="1"/>
        <n v="30344" u="1"/>
        <n v="40022" u="1"/>
        <n v="10222" u="1"/>
        <n v="30218" u="1"/>
        <n v="30155" u="1"/>
        <n v="10427" u="1"/>
        <n v="30628" u="1"/>
        <n v="30565" u="1"/>
        <n v="20417" u="1"/>
        <n v="30502" u="1"/>
        <n v="30439" u="1"/>
        <n v="40023" u="1"/>
        <n v="10238" u="1"/>
        <n v="30313" u="1"/>
        <n v="30250" u="1"/>
        <n v="30124" u="1"/>
        <n v="10632" u="1"/>
        <n v="20512" u="1"/>
        <n v="30534" u="1"/>
        <n v="20323" u="1"/>
        <n v="30408" u="1"/>
        <n v="10254" u="1"/>
        <n v="30345" u="1"/>
        <n v="30219" u="1"/>
        <n v="30156" u="1"/>
        <n v="10128" u="1"/>
        <n v="30629" u="1"/>
        <n v="30566" u="1"/>
        <n v="20418" u="1"/>
        <n v="30503" u="1"/>
        <n v="30440" u="1"/>
        <n v="40025" u="1"/>
        <n v="30314" u="1"/>
        <n v="10207" u="1"/>
        <n v="30251" u="1"/>
        <n v="20103" u="1"/>
        <n v="10144" u="1"/>
        <n v="30125" u="1"/>
        <n v="10601" u="1"/>
        <n v="35109" u="1"/>
        <n v="10349" u="1"/>
        <n v="30535" u="1"/>
        <n v="30409" u="1"/>
        <n v="30346" u="1"/>
        <n v="40026" u="1"/>
        <n v="30220" u="1"/>
        <n v="30157" u="1"/>
        <n v="35110" u="1"/>
        <n v="30630" u="1"/>
        <n v="30567" u="1"/>
        <n v="20419" u="1"/>
        <n v="30504" u="1"/>
        <n v="10302" u="1"/>
        <n v="30441" u="1"/>
        <n v="40027" u="1"/>
        <n v="10239" u="1"/>
        <n v="30315" u="1"/>
        <n v="30252" u="1"/>
        <n v="30126" u="1"/>
        <n v="10633" u="1"/>
        <n v="20514" u="1"/>
        <n v="30536" u="1"/>
        <n v="10318" u="1"/>
        <n v="20325" u="1"/>
        <n v="30410" u="1"/>
        <n v="30347" u="1"/>
        <n v="30221" u="1"/>
        <n v="30158" u="1"/>
        <n v="10129" u="1"/>
        <n v="30631" u="1"/>
        <n v="30568" u="1"/>
        <n v="10334" u="1"/>
        <n v="20420" u="1"/>
        <n v="30505" u="1"/>
        <n v="30442" u="1"/>
        <n v="40029" u="1"/>
        <n v="30316" u="1"/>
        <n v="10208" u="1"/>
        <n v="30253" u="1"/>
        <n v="20105" u="1"/>
        <n v="30127" u="1"/>
        <n v="10602" u="1"/>
        <n v="30537" u="1"/>
        <n v="30411" u="1"/>
        <n v="30348" u="1"/>
        <n v="40030" u="1"/>
        <n v="30222" u="1"/>
        <n v="30159" u="1"/>
        <n v="30632" u="1"/>
        <n v="20421" u="1"/>
        <n v="30506" u="1"/>
        <n v="30443" u="1"/>
        <n v="40031" u="1"/>
        <n v="30317" u="1"/>
        <n v="20106" u="1"/>
        <n v="30128" u="1"/>
        <n v="10634" u="1"/>
        <n v="30601" u="1"/>
        <n v="30538" u="1"/>
        <n v="10319" u="1"/>
        <n v="20327" u="1"/>
        <n v="30412" u="1"/>
        <n v="30349" u="1"/>
        <n v="30223" u="1"/>
        <n v="30160" u="1"/>
        <n v="10130" u="1"/>
        <n v="10524" u="1"/>
        <n v="30633" u="1"/>
        <n v="10335" u="1"/>
        <n v="20422" u="1"/>
        <n v="30507" u="1"/>
        <n v="30444" u="1"/>
        <n v="30318" u="1"/>
        <n v="10209" u="1"/>
        <n v="20107" u="1"/>
        <n v="30129" u="1"/>
        <n v="10603" u="1"/>
        <n v="10540" u="1"/>
        <n v="20517" u="1"/>
        <n v="30602" u="1"/>
        <n v="10351" u="1"/>
        <n v="30539" u="1"/>
        <n v="30413" u="1"/>
        <n v="30350" u="1"/>
        <n v="40034" u="1"/>
        <n v="10225" u="1"/>
        <n v="20202" u="1"/>
        <n v="30224" u="1"/>
        <n v="30161" u="1"/>
        <n v="20612" u="1"/>
        <n v="30634" u="1"/>
        <n v="20423" u="1"/>
        <n v="30508" u="1"/>
        <n v="30445" u="1"/>
        <n v="30319" u="1"/>
        <n v="30130" u="1"/>
        <n v="20518" u="1"/>
        <n v="30603" u="1"/>
        <n v="30540" u="1"/>
        <n v="30414" u="1"/>
        <n v="30351" u="1"/>
        <n v="30225" u="1"/>
        <n v="10131" u="1"/>
        <n v="10525" u="1"/>
        <n v="20613" u="1"/>
        <n v="30635" u="1"/>
        <n v="10336" u="1"/>
        <n v="20424" u="1"/>
        <n v="30509" u="1"/>
        <n v="30446" u="1"/>
        <n v="30320" u="1"/>
        <n v="30131" u="1"/>
        <n v="10415" u="1"/>
        <n v="30604" u="1"/>
        <n v="30541" u="1"/>
        <n v="30415" u="1"/>
        <n v="30352" u="1"/>
        <n v="20204" u="1"/>
        <n v="30226" u="1"/>
        <n v="10620" u="1"/>
        <n v="10431" u="1"/>
        <n v="30636" u="1"/>
        <n v="10368" u="1"/>
        <n v="20425" u="1"/>
        <n v="30510" u="1"/>
        <n v="10305" u="1"/>
        <n v="30447" u="1"/>
        <n v="10242" u="1"/>
        <n v="30321" u="1"/>
        <n v="20110" u="1"/>
        <n v="30132" u="1"/>
        <n v="10116" u="1"/>
        <n v="10510" u="1"/>
        <n v="30605" u="1"/>
        <n v="30542" u="1"/>
        <n v="10321" u="1"/>
        <n v="30416" u="1"/>
        <n v="30353" u="1"/>
        <n v="30227" u="1"/>
        <n v="10132" u="1"/>
        <n v="30101" u="1"/>
        <n v="10526" u="1"/>
        <n v="30637" u="1"/>
        <n v="10337" u="1"/>
        <n v="20426" u="1"/>
        <n v="30511" u="1"/>
        <n v="30448" u="1"/>
        <n v="30322" u="1"/>
        <n v="10211" u="1"/>
        <n v="30133" u="1"/>
        <n v="10416" u="1"/>
        <n v="20521" u="1"/>
        <n v="30606" u="1"/>
        <n v="30543" u="1"/>
        <n v="30417" u="1"/>
        <n v="30354" u="1"/>
        <n v="10227" u="1"/>
        <n v="30228" u="1"/>
        <n v="30102" u="1"/>
        <n v="10621" u="1"/>
        <n v="10101" u="1"/>
        <n v="10432" u="1"/>
        <n v="20616" u="1"/>
        <n v="30638" u="1"/>
        <n v="10369" u="1"/>
        <n v="30512" u="1"/>
        <n v="30449" u="1"/>
        <n v="10243" u="1"/>
        <n v="30323" u="1"/>
        <n v="20112" u="1"/>
        <n v="30134" u="1"/>
        <n v="20522" u="1"/>
        <n v="30607" u="1"/>
        <n v="30544" u="1"/>
        <n v="10322" u="1"/>
        <n v="30418" u="1"/>
        <n v="10259" u="1"/>
        <n v="30355" u="1"/>
        <n v="20207" u="1"/>
        <n v="30229" u="1"/>
        <n v="30103" u="1"/>
        <n v="10527" u="1"/>
        <n v="30639" u="1"/>
        <n v="10338" u="1"/>
        <n v="30513" u="1"/>
        <n v="30450" u="1"/>
        <n v="30324" u="1"/>
        <n v="20113" u="1"/>
        <n v="30135" u="1"/>
        <n v="10606" u="1"/>
        <n v="10543" u="1"/>
        <n v="10417" u="1"/>
        <n v="20523" u="1"/>
        <n v="30608" u="1"/>
        <n v="10354" u="1"/>
        <n v="30545" u="1"/>
        <n v="30419" u="1"/>
        <n v="30356" u="1"/>
        <n v="10228" u="1"/>
        <n v="30230" u="1"/>
        <n v="30104" u="1"/>
        <n v="10102" u="1"/>
        <n v="20618" u="1"/>
        <n v="30514" u="1"/>
        <n v="10307" u="1"/>
        <n v="30451" u="1"/>
        <n v="30325" u="1"/>
        <n v="20114" u="1"/>
        <n v="30136" u="1"/>
        <n v="10118" u="1"/>
        <n v="10512" u="1"/>
        <n v="30609" u="1"/>
        <n v="30546" u="1"/>
        <n v="30420" u="1"/>
        <n v="10260" u="1"/>
        <n v="30357" u="1"/>
        <n v="30231" u="1"/>
        <n v="30105" u="1"/>
        <n v="20619" u="1"/>
        <n v="10402" u="1"/>
        <n v="10339" u="1"/>
        <n v="30515" u="1"/>
        <n v="30452" u="1"/>
        <n v="30326" u="1"/>
        <n v="10213" u="1"/>
        <n v="20115" u="1"/>
        <n v="10150" u="1"/>
        <n v="30137" u="1"/>
        <n v="10607" u="1"/>
        <n v="10544" u="1"/>
        <n v="20525" u="1"/>
        <n v="30610" u="1"/>
        <n v="10355" u="1"/>
        <n v="30547" u="1"/>
        <n v="30421" u="1"/>
        <n v="30358" u="1"/>
        <n v="10229" u="1"/>
        <n v="30232" u="1"/>
        <n v="30106" u="1"/>
        <n v="10623" u="1"/>
        <n v="20620" u="1"/>
        <n v="30516" u="1"/>
        <n v="30453" u="1"/>
        <n v="30327" u="1"/>
        <n v="20116" u="1"/>
        <n v="30201" u="1"/>
        <n v="30138" u="1"/>
        <n v="10513" u="1"/>
        <n v="30611" u="1"/>
        <n v="30548" u="1"/>
        <n v="10324" u="1"/>
        <n v="30422" u="1"/>
        <n v="30359" u="1"/>
        <n v="30233" u="1"/>
        <n v="30107" u="1"/>
        <n v="20621" u="1"/>
        <n v="10403" u="1"/>
        <n v="30517" u="1"/>
        <n v="30454" u="1"/>
        <n v="30328" u="1"/>
        <n v="10214" u="1"/>
        <n v="20117" u="1"/>
        <n v="30202" u="1"/>
        <n v="30139" u="1"/>
        <n v="10608" u="1"/>
        <n v="10545" u="1"/>
        <n v="10419" u="1"/>
        <n v="30612" u="1"/>
        <n v="10356" u="1"/>
        <n v="30549" u="1"/>
        <n v="20401" u="1"/>
        <n v="30423" u="1"/>
        <n v="30360" u="1"/>
        <n v="30234" u="1"/>
        <n v="30108" u="1"/>
        <n v="10624" u="1"/>
        <n v="30518" u="1"/>
        <n v="10309" u="1"/>
        <n v="30455" u="1"/>
        <n v="10246" u="1"/>
        <n v="30329" u="1"/>
        <n v="30203" u="1"/>
        <n v="30140" u="1"/>
        <n v="10120" u="1"/>
        <n v="10514" u="1"/>
        <n v="30613" u="1"/>
        <n v="30550" u="1"/>
        <n v="10845" u="1"/>
        <n v="20402" u="1"/>
        <n v="30424" u="1"/>
        <n v="30361" u="1"/>
        <n v="20213" u="1"/>
        <n v="30235" u="1"/>
        <n v="10136" u="1"/>
        <n v="30109" u="1"/>
        <n v="10530" u="1"/>
        <n v="10404" u="1"/>
        <n v="30519" u="1"/>
        <n v="30456" u="1"/>
        <n v="20308" u="1"/>
        <n v="30330" u="1"/>
        <n v="20119" u="1"/>
        <n v="30204" u="1"/>
        <n v="30141" u="1"/>
        <n v="10609" u="1"/>
        <n v="10546" u="1"/>
        <n v="10420" u="1"/>
        <n v="30614" u="1"/>
        <n v="30551" u="1"/>
        <n v="30425" u="1"/>
        <n v="30362" u="1"/>
        <n v="10231" u="1"/>
        <n v="20214" u="1"/>
        <n v="30236" u="1"/>
        <n v="30110" u="1"/>
        <n v="30520" u="1"/>
        <n v="10310" u="1"/>
        <n v="30457" u="1"/>
        <n v="20309" u="1"/>
        <n v="10247" u="1"/>
        <n v="30331" u="1"/>
        <n v="20120" u="1"/>
        <n v="30205" u="1"/>
        <n v="30142" u="1"/>
        <n v="10121" u="1"/>
        <n v="10515" u="1"/>
        <n v="30615" u="1"/>
        <n v="30552" u="1"/>
        <n v="10326" u="1"/>
        <n v="30426" u="1"/>
        <n v="30363" u="1"/>
        <n v="20215" u="1"/>
        <n v="30237" u="1"/>
        <n v="10137" u="1"/>
        <n v="30111" u="1"/>
        <n v="10531" u="1"/>
        <n v="20625" u="1"/>
        <n v="10405" u="1"/>
        <n v="10342" u="1"/>
        <n v="30521" u="1"/>
        <n v="30458" u="1"/>
        <n v="20310" u="1"/>
        <n v="30332" u="1"/>
        <n v="10216" u="1"/>
        <n v="30206" u="1"/>
        <n v="30143" u="1"/>
        <n v="10610" u="1"/>
        <n v="20720" u="1"/>
        <n v="30616" u="1"/>
        <n v="10358" u="1"/>
        <n v="30553" u="1"/>
        <n v="30427" u="1"/>
        <n v="30364" u="1"/>
        <n v="10232" u="1"/>
        <n v="20216" u="1"/>
        <n v="30301" u="1"/>
        <n v="30238" u="1"/>
        <n v="30112" u="1"/>
        <n v="20626" u="1"/>
        <n v="30522" u="1"/>
        <n v="10311" u="1"/>
        <n v="30459" u="1"/>
        <n v="10248" u="1"/>
        <n v="30333" u="1"/>
        <n v="30207" u="1"/>
        <n v="30144" u="1"/>
        <n v="10516" u="1"/>
        <n v="30617" u="1"/>
        <n v="30554" u="1"/>
        <n v="30428" u="1"/>
        <n v="30365" u="1"/>
        <n v="40001" u="1"/>
        <n v="20217" u="1"/>
        <n v="30302" u="1"/>
        <n v="30239" u="1"/>
        <n v="30113" u="1"/>
        <n v="10532" u="1"/>
        <n v="30523" u="1"/>
        <n v="30460" u="1"/>
        <n v="30334" u="1"/>
        <n v="10217" u="1"/>
        <n v="20123" u="1"/>
        <n v="30208" u="1"/>
        <n v="30145" u="1"/>
        <n v="10611" u="1"/>
        <n v="10422" u="1"/>
        <n v="30618" u="1"/>
        <n v="30555" u="1"/>
        <n v="30429" u="1"/>
        <n v="10233" u="1"/>
        <n v="20218" u="1"/>
        <n v="30303" u="1"/>
        <n v="30240" u="1"/>
        <n v="30114" u="1"/>
        <n v="10107" u="1"/>
        <n v="10501" u="1"/>
        <n v="30524" u="1"/>
        <n v="10312" u="1"/>
        <n v="30461" u="1"/>
        <n v="10249" u="1"/>
        <n v="30335" u="1"/>
        <n v="40004" u="1"/>
        <n v="20124" u="1"/>
        <n v="30209" u="1"/>
        <n v="30146" u="1"/>
        <n v="30619" u="1"/>
        <n v="30556" u="1"/>
        <n v="10328" u="1"/>
        <n v="30430" u="1"/>
        <n v="40005" u="1"/>
        <n v="20219" u="1"/>
        <n v="30304" u="1"/>
        <n v="30241" u="1"/>
        <n v="10139" u="1"/>
        <n v="30115" u="1"/>
        <n v="10533" u="1"/>
        <n v="33009" u="1"/>
        <n v="10407" u="1"/>
        <n v="20503" u="1"/>
        <n v="30525" u="1"/>
        <n v="30462" u="1"/>
        <n v="30336" u="1"/>
        <n v="40006" u="1"/>
        <n v="10218" u="1"/>
        <n v="30210" u="1"/>
        <n v="30147" u="1"/>
        <n v="10612" u="1"/>
        <n v="10423" u="1"/>
        <n v="30620" u="1"/>
        <n v="30557" u="1"/>
        <n v="30431" u="1"/>
        <n v="40007" u="1"/>
        <n v="10234" u="1"/>
        <n v="30305" u="1"/>
        <n v="30242" u="1"/>
        <n v="30116" u="1"/>
        <n v="10628" u="1"/>
        <n v="10108" u="1"/>
        <n v="29801" u="1"/>
        <n v="20504" u="1"/>
        <n v="30526" u="1"/>
      </sharedItems>
    </cacheField>
    <cacheField name="Kundenname" numFmtId="0">
      <sharedItems/>
    </cacheField>
    <cacheField name="Artikel" numFmtId="0">
      <sharedItems containsSemiMixedTypes="0" containsString="0" containsNumber="1" minValue="1" maxValue="82157901" count="335">
        <n v="35110"/>
        <n v="35121"/>
        <n v="35125"/>
        <n v="35108"/>
        <n v="35109"/>
        <n v="35111"/>
        <n v="35119"/>
        <n v="50912"/>
        <n v="51612"/>
        <n v="35128"/>
        <n v="66701"/>
        <n v="37112"/>
        <n v="49644"/>
        <n v="55718"/>
        <n v="54412"/>
        <n v="35112"/>
        <n v="44001"/>
        <n v="56117"/>
        <n v="35113"/>
        <n v="38136"/>
        <n v="35115"/>
        <n v="31903"/>
        <n v="51611"/>
        <n v="26736"/>
        <n v="39505"/>
        <n v="35114"/>
        <n v="12000"/>
        <n v="12001"/>
        <n v="20001"/>
        <n v="30275"/>
        <n v="31818"/>
        <n v="66702"/>
        <n v="20000"/>
        <n v="29802"/>
        <n v="16936"/>
        <n v="31827"/>
        <n v="31822"/>
        <n v="30276"/>
        <n v="31815"/>
        <n v="31812"/>
        <n v="30277"/>
        <n v="11000"/>
        <n v="51936"/>
        <n v="51736"/>
        <n v="31819"/>
        <n v="69236"/>
        <n v="31880"/>
        <n v="29801"/>
        <n v="72101"/>
        <n v="51621"/>
        <n v="51617"/>
        <n v="5152861" u="1"/>
        <n v="2810001" u="1"/>
        <n v="33012" u="1"/>
        <n v="6670002" u="1"/>
        <n v="15100008" u="1"/>
        <n v="6670006" u="1"/>
        <n v="17101" u="1"/>
        <n v="37110" u="1"/>
        <n v="33013" u="1"/>
        <n v="5152812" u="1"/>
        <n v="6670062" u="1"/>
        <n v="5152820" u="1"/>
        <n v="5152828" u="1"/>
        <n v="1800001" u="1"/>
        <n v="5152860" u="1"/>
        <n v="37111" u="1"/>
        <n v="33014" u="1"/>
        <n v="177001" u="1"/>
        <n v="6670029" u="1"/>
        <n v="28101" u="1"/>
        <n v="5152811" u="1"/>
        <n v="5152815" u="1"/>
        <n v="5152819" u="1"/>
        <n v="5152831" u="1"/>
        <n v="33015" u="1"/>
        <n v="6920036" u="1"/>
        <n v="557018" u="1"/>
        <n v="1790001" u="1"/>
        <n v="6670028" u="1"/>
        <n v="6670060" u="1"/>
        <n v="26936" u="1"/>
        <n v="5170010" u="1"/>
        <n v="20003" u="1"/>
        <n v="1" u="1"/>
        <n v="37115" u="1"/>
        <n v="6670003" u="1"/>
        <n v="3000005" u="1"/>
        <n v="77777" u="1"/>
        <n v="9003012" u="1"/>
        <n v="550001" u="1"/>
        <n v="3011" u="1"/>
        <n v="4400" u="1"/>
        <n v="33019" u="1"/>
        <n v="667001" u="1"/>
        <n v="5380002" u="1"/>
        <n v="5170009" u="1"/>
        <n v="4960044" u="1"/>
        <n v="33020" u="1"/>
        <n v="10000" u="1"/>
        <n v="50921" u="1"/>
        <n v="281001" u="1"/>
        <n v="2980001" u="1"/>
        <n v="2980003" u="1"/>
        <n v="33021" u="1"/>
        <n v="31823" u="1"/>
        <n v="1770001" u="1"/>
        <n v="74001" u="1"/>
        <n v="5170012" u="1"/>
        <n v="36110" u="1"/>
        <n v="351101" u="1"/>
        <n v="5170036" u="1"/>
        <n v="3000002" u="1"/>
        <n v="3920005" u="1"/>
        <n v="1770036" u="1"/>
        <n v="36111" u="1"/>
        <n v="351110" u="1"/>
        <n v="780008" u="1"/>
        <n v="780009" u="1"/>
        <n v="31824" u="1"/>
        <n v="5090018" u="1"/>
        <n v="5170011" u="1"/>
        <n v="5170015" u="1"/>
        <n v="36112" u="1"/>
        <n v="280022" u="1"/>
        <n v="2980002" u="1"/>
        <n v="540012" u="1"/>
        <n v="5550070" u="1"/>
        <n v="33025" u="1"/>
        <n v="7220009" u="1"/>
        <n v="5162813" u="1"/>
        <n v="36115" u="1"/>
        <n v="1750001" u="1"/>
        <n v="66700" u="1"/>
        <n v="38100036" u="1"/>
        <n v="5090012" u="1"/>
        <n v="17900001" u="1"/>
        <n v="88888" u="1"/>
        <n v="3880001" u="1"/>
        <n v="1510001" u="1"/>
        <n v="1510005" u="1"/>
        <n v="1510008" u="1"/>
        <n v="1510009" u="1"/>
        <n v="33028" u="1"/>
        <n v="200001" u="1"/>
        <n v="770013" u="1"/>
        <n v="393010" u="1"/>
        <n v="33029" u="1"/>
        <n v="170001" u="1"/>
        <n v="201519" u="1"/>
        <n v="2000" u="1"/>
        <n v="3860001" u="1"/>
        <n v="5162811" u="1"/>
        <n v="20104" u="1"/>
        <n v="6930036" u="1"/>
        <n v="3170022" u="1"/>
        <n v="31828" u="1"/>
        <n v="1730001" u="1"/>
        <n v="36121" u="1"/>
        <n v="66712" u="1"/>
        <n v="821515" u="1"/>
        <n v="82218" u="1"/>
        <n v="30001" u="1"/>
        <n v="3201" u="1"/>
        <n v="2650003" u="1"/>
        <n v="38013" u="1"/>
        <n v="66715" u="1"/>
        <n v="2670036" u="1"/>
        <n v="3110001" u="1"/>
        <n v="6390036" u="1"/>
        <n v="66700028" u="1"/>
        <n v="82157901" u="1"/>
        <n v="4930001" u="1"/>
        <n v="516111" u="1"/>
        <n v="2650002" u="1"/>
        <n v="8230009" u="1"/>
        <n v="1710001" u="1"/>
        <n v="2880002" u="1"/>
        <n v="3611" u="1"/>
        <n v="9701121" u="1"/>
        <n v="3800013" u="1"/>
        <n v="30634" u="1"/>
        <n v="70001" u="1"/>
        <n v="36" u="1"/>
        <n v="70002" u="1"/>
        <n v="70003" u="1"/>
        <n v="20014" u="1"/>
        <n v="17100001" u="1"/>
        <n v="20613" u="1"/>
        <n v="7230001" u="1"/>
        <n v="70005" u="1"/>
        <n v="7230009" u="1"/>
        <n v="30" u="1"/>
        <n v="70006" u="1"/>
        <n v="46.2" u="1"/>
        <n v="380001" u="1"/>
        <n v="5462811" u="1"/>
        <n v="3530001" u="1"/>
        <n v="1701" u="1"/>
        <n v="1636" u="1"/>
        <n v="56617" u="1"/>
        <n v="1690036" u="1"/>
        <n v="3990001" u="1"/>
        <n v="381036" u="1"/>
        <n v="51528809" u="1"/>
        <n v="150" u="1"/>
        <n v="50001" u="1"/>
        <n v="20" u="1"/>
        <n v="28022" u="1"/>
        <n v="1440001" u="1"/>
        <n v="50002" u="1"/>
        <n v="31710" u="1"/>
        <n v="36010" u="1"/>
        <n v="5190038" u="1"/>
        <n v="850001" u="1"/>
        <n v="36011" u="1"/>
        <n v="2800022" u="1"/>
        <n v="31112" u="1"/>
        <n v="516211" u="1"/>
        <n v="1190001" u="1"/>
        <n v="3950005" u="1"/>
        <n v="36012" u="1"/>
        <n v="97001" u="1"/>
        <n v="8215730" u="1"/>
        <n v="8215770" u="1"/>
        <n v="97002" u="1"/>
        <n v="515211" u="1"/>
        <n v="20618" u="1"/>
        <n v="330152" u="1"/>
        <n v="430001" u="1"/>
        <n v="2015019" u="1"/>
        <n v="1420011" u="1"/>
        <n v="36014" u="1"/>
        <n v="5190036" u="1"/>
        <n v="11111" u="1"/>
        <n v="12" u="1"/>
        <n v="36015" u="1"/>
        <n v="11001" u="1"/>
        <n v="5610017" u="1"/>
        <n v="10" u="1"/>
        <n v="5570018" u="1"/>
        <n v="1170001" u="1"/>
        <n v="82515" u="1"/>
        <n v="3430001" u="1"/>
        <n v="11112" u="1"/>
        <n v="3930010" u="1"/>
        <n v="3930012" u="1"/>
        <n v="17501" u="1"/>
        <n v="3180001" u="1"/>
        <n v="3180003" u="1"/>
        <n v="3180013" u="1"/>
        <n v="3180015" u="1"/>
        <n v="3180019" u="1"/>
        <n v="3890003" u="1"/>
        <n v="3180021" u="1"/>
        <n v="3180023" u="1"/>
        <n v="3890007" u="1"/>
        <n v="3180025" u="1"/>
        <n v="3180027" u="1"/>
        <n v="66762" u="1"/>
        <n v="5070001" u="1"/>
        <n v="3180043" u="1"/>
        <n v="5570036" u="1"/>
        <n v="3180059" u="1"/>
        <n v="70041" u="1"/>
        <n v="80000" u="1"/>
        <n v="3180081" u="1"/>
        <n v="70042" u="1"/>
        <n v="515281" u="1"/>
        <n v="31905" u="1"/>
        <n v="160036" u="1"/>
        <n v="3430010" u="1"/>
        <n v="70043" u="1"/>
        <n v="515289" u="1"/>
        <n v="6" u="1"/>
        <n v="5030001" u="1"/>
        <n v="70045" u="1"/>
        <n v="70046" u="1"/>
        <n v="3180004" u="1"/>
        <n v="3180012" u="1"/>
        <n v="3180014" u="1"/>
        <n v="3180022" u="1"/>
        <n v="3180024" u="1"/>
        <n v="3180028" u="1"/>
        <n v="3180036" u="1"/>
        <n v="70048" u="1"/>
        <n v="32001" u="1"/>
        <n v="33062" u="1"/>
        <n v="3180080" u="1"/>
        <n v="27.6" u="1"/>
        <n v="82152" u="1"/>
        <n v="4950002" u="1"/>
        <n v="82155" u="1"/>
        <n v="2680036" u="1"/>
        <n v="82156" u="1"/>
        <n v="82157" u="1"/>
        <n v="298001" u="1"/>
        <n v="298002" u="1"/>
        <n v="82410" u="1"/>
        <n v="82158" u="1"/>
        <n v="55700148" u="1"/>
        <n v="3350003" u="1"/>
        <n v="5160017" u="1"/>
        <n v="3100001" u="1"/>
        <n v="1830001" u="1"/>
        <n v="810001" u="1"/>
        <n v="8210001" u="1"/>
        <n v="5152510" u="1"/>
        <n v="570001" u="1"/>
        <n v="180001" u="1"/>
        <n v="33008" u="1"/>
        <n v="5160011" u="1"/>
        <n v="151008" u="1"/>
        <n v="33009" u="1"/>
        <n v="82423" u="1"/>
        <n v="3810036" u="1"/>
        <n v="5152810" u="1"/>
        <n v="5152814" u="1"/>
        <n v="5152830" u="1"/>
        <n v="2" u="1"/>
        <n v="5160211" u="1"/>
        <n v="5152862" u="1"/>
        <n v="33010" u="1"/>
        <n v="7210001" u="1"/>
        <n v="8500001" u="1"/>
        <n v="51528211" u="1"/>
        <n v="82426" u="1"/>
        <n v="5176515" u="1"/>
        <n v="33011" u="1"/>
        <n v="82805" u="1"/>
        <n v="5152809" u="1"/>
        <n v="5152813" u="1"/>
        <n v="5152821" u="1"/>
        <n v="5152825" u="1"/>
        <n v="5152829" u="1"/>
      </sharedItems>
    </cacheField>
    <cacheField name="Artikelname" numFmtId="0">
      <sharedItems/>
    </cacheField>
    <cacheField name="Stück" numFmtId="0">
      <sharedItems containsSemiMixedTypes="0" containsString="0" containsNumber="1" containsInteger="1" minValue="1" maxValue="240"/>
    </cacheField>
    <cacheField name="Agent" numFmtId="0">
      <sharedItems containsMixedTypes="1" containsNumber="1" containsInteger="1" minValue="0" maxValue="0" count="4">
        <s v="Qerimi"/>
        <s v="Mensuri"/>
        <n v="0"/>
        <s v="KIM TEC"/>
      </sharedItems>
    </cacheField>
    <cacheField name="%" numFmtId="0">
      <sharedItems containsSemiMixedTypes="0" containsString="0" containsNumber="1" minValue="0.05" maxValue="0.5"/>
    </cacheField>
  </cacheFields>
  <extLst>
    <ext xmlns:x14="http://schemas.microsoft.com/office/spreadsheetml/2009/9/main" uri="{725AE2AE-9491-48be-B2B4-4EB974FC3084}">
      <x14:pivotCacheDefinition pivotCacheId="503178247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1" refreshedDate="46174.387204629631" createdVersion="6" refreshedVersion="7" minRefreshableVersion="3" recordCount="11832" xr:uid="{E6B19746-36C7-4C0E-ABB9-2BC8C238986B}">
  <cacheSource type="worksheet">
    <worksheetSource name="Tabelle3"/>
  </cacheSource>
  <cacheFields count="61">
    <cacheField name="Spalte1" numFmtId="0">
      <sharedItems containsBlank="1"/>
    </cacheField>
    <cacheField name="FIRMA" numFmtId="0">
      <sharedItems containsBlank="1" containsMixedTypes="1" containsNumber="1" containsInteger="1" minValue="0" maxValue="0" count="197">
        <s v="INTERCOM NTP"/>
        <s v="ERALP"/>
        <s v="TINA"/>
        <s v="IBAK"/>
        <s v="PARKETI"/>
        <s v="BURIMI"/>
        <s v="DARDANIA"/>
        <s v="FUNDAMETI"/>
        <s v="BEKA-3"/>
        <s v="HAZROLLI"/>
        <s v="BAU HOME"/>
        <s v="CONDOR"/>
        <s v="DURGUTI 3"/>
        <s v="BEREQETI"/>
        <s v="AGRO-FARM"/>
        <s v="NITA 3"/>
        <s v="FITIMI"/>
        <s v="SHEHU-A"/>
        <s v="UNIVERZAL"/>
        <s v="EURO COM"/>
        <s v="ENISI - H"/>
        <s v="VISARI HH"/>
        <s v="AGRONI"/>
        <s v="CARRALEVA 2"/>
        <s v="LONI"/>
        <s v="CARRALEVA 1"/>
        <s v="REAL COLOR 2"/>
        <s v="ARDI LIPJAN"/>
        <s v="RACI"/>
        <s v="HOXHA"/>
        <s v="LIRIDONA KLINE"/>
        <s v="BERATI A.P. (1)"/>
        <s v="BENI"/>
        <s v="MEGI"/>
        <s v="ALBANI"/>
        <s v="SABITI"/>
        <s v="KUJTA"/>
        <s v="BECOLOR"/>
        <s v="TE LUTA"/>
        <s v="AGROLONDI"/>
        <s v="LTI"/>
        <s v="ILIRI QERAMIKA"/>
        <s v="ALMIRI QERAMIKA"/>
        <s v="UNIKA"/>
        <s v="TE-SYLA"/>
        <s v="F.V. SH.P.K. "/>
        <s v="BULONI - SH"/>
        <s v="ARSIM"/>
        <s v="KADIJOLLET"/>
        <s v="QELA"/>
        <s v="BESI COM"/>
        <s v="KENA COMERC"/>
        <s v="TECOL 2"/>
        <s v="LULI-C"/>
        <s v="CAMA BAU"/>
        <s v="TERMO PROJEKT"/>
        <s v="KTHIMI"/>
        <s v="FORD BASHKIMI"/>
        <s v="ARSIMI"/>
        <s v="MONI 2"/>
        <s v="XHAFA"/>
        <s v="BEK TRADE"/>
        <s v="AB SHPK"/>
        <s v="ARPO"/>
        <s v="TE BESNIKU"/>
        <s v="TANI"/>
        <s v="LETAJ"/>
        <s v="INOX 1"/>
        <s v="AFRIMI-AG"/>
        <s v="TE BESIMI"/>
        <s v="ARBENI BIOBLIC"/>
        <s v="GLOBAL NT"/>
        <s v="MIRSADI"/>
        <s v="SMIRA"/>
        <s v="BEKA-1"/>
        <s v="BARDHI-M"/>
        <s v="URA"/>
        <s v="NDRIQIMI"/>
        <s v="GRANITI"/>
        <s v="BEKA"/>
        <s v="LITA"/>
        <s v="TE ZENA"/>
        <s v="HIDROELDI"/>
        <s v="EURO COLORS"/>
        <s v="JETARI"/>
        <s v="ENESI"/>
        <s v="TAULANTI"/>
        <s v="BESO KERAMIK"/>
        <s v="TEMAJ"/>
        <s v="ERENIKU"/>
        <s v="INOX 2"/>
        <s v="GER COLORS"/>
        <s v="HB-DECOR"/>
        <s v="DIKI BAU SHPK"/>
        <s v="ELIONI-1"/>
        <s v="BALLKANI"/>
        <s v="SOPAJ"/>
        <s v="AGRO TEC"/>
        <s v="SAN KOS"/>
        <s v="ARBERI"/>
        <s v="REAL COLOR 1"/>
        <s v="JONI"/>
        <s v="LIRIDONA-A"/>
        <s v="LIRIDONA HOME"/>
        <s v="TE BENI"/>
        <s v="TERMIKA"/>
        <s v="TE MENTORI"/>
        <s v="G FETAHU QERAMIK SH.P.K."/>
        <s v="DIVA QERAMIKA"/>
        <s v="HIDRO DANI"/>
        <s v="AGRO-XHETI"/>
        <s v="ALFA-QERAMIKA"/>
        <s v="BUJARI Q - BESII"/>
        <s v="PROMOIN"/>
        <s v="GLOBI TERM"/>
        <s v="TE GZIMI"/>
        <s v="KUQI-LKW"/>
        <s v="GERMAN FABRE"/>
        <s v="V. GJONAJ"/>
        <s v="EUROSAN"/>
        <s v="FATMIRI"/>
        <s v="BERATI"/>
        <s v="NIVELIZIMI-D SH.P.K."/>
        <s v="A.P. SHPENDI"/>
        <s v="YLLI CONSTRUCION"/>
        <s v="ZAIMI"/>
        <s v="KUSHA"/>
        <s v="TE-LUTA"/>
        <s v="MIX-B"/>
        <s v="AP PETRITI"/>
        <s v="QEMA"/>
        <s v="GASHI"/>
        <s v="PROCOM"/>
        <s v="A.P. HOTI"/>
        <s v="GLOBAL TOOLS"/>
        <s v="TONI COLORS"/>
        <s v="LNI SHPK"/>
        <s v="SALIHU CORPORATION"/>
        <s v="DANI-COM"/>
        <s v="KRRABAJ"/>
        <s v="MARIGONA HILL SH.P.K."/>
        <s v="MERIS"/>
        <s v="ECM ENGINEERING SH.P.K"/>
        <s v="CHE BAR LOUNGE BAR"/>
        <s v="BYTYQI-V"/>
        <s v="AS QERAMIKA"/>
        <s v="TE KELA"/>
        <s v="JETA DUHEL"/>
        <s v="PROSAN"/>
        <s v="BEKA-2"/>
        <s v="KETI VEE SHPK"/>
        <s v="ARTURI"/>
        <s v="DRCOR"/>
        <s v="MULI"/>
        <s v="M ONE"/>
        <s v="GACAFERI-RG"/>
        <s v="TREND CERAMIKA"/>
        <s v="HYSENAJ"/>
        <s v="DRITONI"/>
        <s v="ORCA"/>
        <s v="BOSCH"/>
        <s v="ING PROJEKT"/>
        <s v="AP WOLF"/>
        <s v="KOS CERAMIK"/>
        <s v="TE BRAHA"/>
        <s v="MUQIQI"/>
        <s v="LUTA QERAMIKA"/>
        <s v="BARDHI"/>
        <s v="ABA QERAMIK"/>
        <s v="GIMI"/>
        <s v="METAL FATI"/>
        <s v="MURIQI 1"/>
        <s v="LIRA "/>
        <s v="FUGA MONT"/>
        <s v="SMIRA COLOR"/>
        <s v="TERMOT"/>
        <s v="ELEKTROMONT"/>
        <s v="AFRIMI"/>
        <s v="BEGU"/>
        <s v="BERISHA"/>
        <s v="EMSA"/>
        <s v="ER POWER"/>
        <s v="NSM TRADE"/>
        <s v="BESI"/>
        <s v="BAU MIX FATONI"/>
        <s v="TE RAMIZI"/>
        <s v="AME"/>
        <s v="ALTINI"/>
        <s v="ARENA ENGINEERING N.T.P"/>
        <s v="BASHKIMI"/>
        <s v="HIDROTERMI"/>
        <s v="ERINA"/>
        <s v="TE KASTRIOTI"/>
        <s v="GASHI-COM"/>
        <s v=""/>
        <m/>
        <n v="0" u="1"/>
      </sharedItems>
    </cacheField>
    <cacheField name="Agent" numFmtId="0">
      <sharedItems containsNonDate="0" containsString="0" containsBlank="1" containsNumber="1" containsInteger="1" minValue="0" maxValue="0" count="2">
        <m/>
        <n v="0" u="1"/>
      </sharedItems>
    </cacheField>
    <cacheField name="Datum" numFmtId="14">
      <sharedItems containsNonDate="0" containsDate="1" containsString="0" containsBlank="1" minDate="2019-05-02T00:00:00" maxDate="2026-06-02T00:00:00" count="1934">
        <d v="2026-01-07T00:00:00"/>
        <d v="2026-01-08T00:00:00"/>
        <d v="2026-01-09T00:00:00"/>
        <d v="2026-01-10T00:00:00"/>
        <d v="2026-01-12T00:00:00"/>
        <d v="2026-01-13T00:00:00"/>
        <d v="2026-01-14T00:00:00"/>
        <d v="2026-01-15T00:00:00"/>
        <d v="2026-01-16T00:00:00"/>
        <d v="2026-01-17T00:00:00"/>
        <d v="2026-01-19T00:00:00"/>
        <d v="2026-01-20T00:00:00"/>
        <d v="2026-01-21T00:00:00"/>
        <d v="2026-01-22T00:00:00"/>
        <d v="2026-01-23T00:00:00"/>
        <d v="2026-01-24T00:00:00"/>
        <d v="2026-01-26T00:00:00"/>
        <d v="2026-01-27T00:00:00"/>
        <d v="2026-01-28T00:00:00"/>
        <d v="2026-01-29T00:00:00"/>
        <d v="2026-01-30T00:00:00"/>
        <d v="2026-01-31T00:00:00"/>
        <d v="2026-02-02T00:00:00"/>
        <d v="2026-02-03T00:00:00"/>
        <d v="2026-02-04T00:00:00"/>
        <d v="2026-02-05T00:00:00"/>
        <d v="2026-02-06T00:00:00"/>
        <d v="2026-02-07T00:00:00"/>
        <d v="2026-02-09T00:00:00"/>
        <d v="2026-02-10T00:00:00"/>
        <d v="2026-02-11T00:00:00"/>
        <d v="2026-02-12T00:00:00"/>
        <d v="2026-02-13T00:00:00"/>
        <d v="2026-02-14T00:00:00"/>
        <d v="2026-02-16T00:00:00"/>
        <d v="2026-02-18T00:00:00"/>
        <d v="2026-02-19T00:00:00"/>
        <d v="2026-02-20T00:00:00"/>
        <d v="2026-02-21T00:00:00"/>
        <d v="2026-02-23T00:00:00"/>
        <d v="2026-02-24T00:00:00"/>
        <d v="2026-02-25T00:00:00"/>
        <d v="2026-02-26T00:00:00"/>
        <d v="2026-02-27T00:00:00"/>
        <d v="2026-02-28T00:00:00"/>
        <d v="2026-03-02T00:00:00"/>
        <d v="2026-03-03T00:00:00"/>
        <d v="2026-03-04T00:00:00"/>
        <d v="2026-03-05T00:00:00"/>
        <d v="2026-03-06T00:00:00"/>
        <d v="2026-03-07T00:00:00"/>
        <d v="2026-03-09T00:00:00"/>
        <d v="2026-03-10T00:00:00"/>
        <d v="2026-03-11T00:00:00"/>
        <d v="2026-03-12T00:00:00"/>
        <d v="2026-03-13T00:00:00"/>
        <d v="2026-03-14T00:00:00"/>
        <d v="2026-03-16T00:00:00"/>
        <d v="2026-03-17T00:00:00"/>
        <d v="2026-03-18T00:00:00"/>
        <d v="2026-03-23T00:00:00"/>
        <d v="2026-03-24T00:00:00"/>
        <d v="2026-03-25T00:00:00"/>
        <d v="2026-03-26T00:00:00"/>
        <d v="2026-03-27T00:00:00"/>
        <d v="2026-03-28T00:00:00"/>
        <d v="2026-03-30T00:00:00"/>
        <d v="2026-03-31T00:00:00"/>
        <d v="2026-04-01T00:00:00"/>
        <d v="2026-04-02T00:00:00"/>
        <d v="2026-04-03T00:00:00"/>
        <d v="2026-04-04T00:00:00"/>
        <d v="2026-04-06T00:00:00"/>
        <d v="2026-04-07T00:00:00"/>
        <d v="2026-04-08T00:00:00"/>
        <d v="2026-04-09T00:00:00"/>
        <d v="2026-04-10T00:00:00"/>
        <d v="2026-04-11T00:00:00"/>
        <d v="2026-04-13T00:00:00"/>
        <d v="2026-04-14T00:00:00"/>
        <d v="2026-04-15T00:00:00"/>
        <d v="2026-04-16T00:00:00"/>
        <d v="2026-04-17T00:00:00"/>
        <d v="2026-04-18T00:00:00"/>
        <d v="2026-04-20T00:00:00"/>
        <d v="2026-04-21T00:00:00"/>
        <d v="2026-04-22T00:00:00"/>
        <d v="2026-04-23T00:00:00"/>
        <d v="2026-04-24T00:00:00"/>
        <d v="2026-04-25T00:00:00"/>
        <d v="2026-04-27T00:00:00"/>
        <d v="2026-04-28T00:00:00"/>
        <d v="2026-04-29T00:00:00"/>
        <d v="2026-04-30T00:00:00"/>
        <d v="2026-05-02T00:00:00"/>
        <d v="2026-05-04T00:00:00"/>
        <d v="2026-05-05T00:00:00"/>
        <d v="2026-05-06T00:00:00"/>
        <d v="2026-05-07T00:00:00"/>
        <d v="2026-05-08T00:00:00"/>
        <d v="2026-05-09T00:00:00"/>
        <d v="2026-05-11T00:00:00"/>
        <d v="2026-05-12T00:00:00"/>
        <d v="2026-05-13T00:00:00"/>
        <d v="2026-05-14T00:00:00"/>
        <d v="2026-05-15T00:00:00"/>
        <d v="2026-05-16T00:00:00"/>
        <d v="2026-05-18T00:00:00"/>
        <d v="2026-05-19T00:00:00"/>
        <d v="2026-05-20T00:00:00"/>
        <d v="2026-05-21T00:00:00"/>
        <d v="2026-05-22T00:00:00"/>
        <d v="2026-05-23T00:00:00"/>
        <d v="2026-05-25T00:00:00"/>
        <d v="2026-05-26T00:00:00"/>
        <d v="2026-05-29T00:00:00"/>
        <d v="2026-05-30T00:00:00"/>
        <d v="2026-06-01T00:00:00"/>
        <m/>
        <d v="2019-09-19T00:00:00" u="1"/>
        <d v="2020-09-19T00:00:00" u="1"/>
        <d v="2023-09-19T00:00:00" u="1"/>
        <d v="2019-05-30T00:00:00" u="1"/>
        <d v="2024-09-19T00:00:00" u="1"/>
        <d v="2020-05-30T00:00:00" u="1"/>
        <d v="2025-09-19T00:00:00" u="1"/>
        <d v="2021-05-30T00:00:00" u="1"/>
        <d v="2022-05-30T00:00:00" u="1"/>
        <d v="2023-05-30T00:00:00" u="1"/>
        <d v="2024-05-30T00:00:00" u="1"/>
        <d v="2025-05-30T00:00:00" u="1"/>
        <d v="2019-10-19T00:00:00" u="1"/>
        <d v="2020-10-19T00:00:00" u="1"/>
        <d v="2021-10-19T00:00:00" u="1"/>
        <d v="2023-10-19T00:00:00" u="1"/>
        <d v="2024-10-19T00:00:00" u="1"/>
        <d v="2020-06-30T00:00:00" u="1"/>
        <d v="2021-06-30T00:00:00" u="1"/>
        <d v="2022-06-30T00:00:00" u="1"/>
        <d v="2023-06-30T00:00:00" u="1"/>
        <d v="2025-06-30T00:00:00" u="1"/>
        <d v="2019-11-19T00:00:00" u="1"/>
        <d v="2020-11-19T00:00:00" u="1"/>
        <d v="2021-11-19T00:00:00" u="1"/>
        <d v="2019-07-30T00:00:00" u="1"/>
        <d v="2024-11-19T00:00:00" u="1"/>
        <d v="2020-07-30T00:00:00" u="1"/>
        <d v="2025-11-19T00:00:00" u="1"/>
        <d v="2021-07-30T00:00:00" u="1"/>
        <d v="2022-07-30T00:00:00" u="1"/>
        <d v="2024-07-30T00:00:00" u="1"/>
        <d v="2025-07-30T00:00:00" u="1"/>
        <d v="2019-12-19T00:00:00" u="1"/>
        <d v="2020-12-19T00:00:00" u="1"/>
        <d v="2023-12-19T00:00:00" u="1"/>
        <d v="2019-08-30T00:00:00" u="1"/>
        <d v="2024-12-19T00:00:00" u="1"/>
        <d v="2025-12-19T00:00:00" u="1"/>
        <d v="2021-08-30T00:00:00" u="1"/>
        <d v="2023-08-30T00:00:00" u="1"/>
        <d v="2024-08-30T00:00:00" u="1"/>
        <d v="2025-08-30T00:00:00" u="1"/>
        <d v="2020-01-09T00:00:00" u="1"/>
        <d v="2021-01-09T00:00:00" u="1"/>
        <d v="2023-01-09T00:00:00" u="1"/>
        <d v="2024-01-09T00:00:00" u="1"/>
        <d v="2025-01-09T00:00:00" u="1"/>
        <d v="2019-09-30T00:00:00" u="1"/>
        <d v="2020-09-30T00:00:00" u="1"/>
        <d v="2021-09-30T00:00:00" u="1"/>
        <d v="2023-09-30T00:00:00" u="1"/>
        <d v="2024-09-30T00:00:00" u="1"/>
        <d v="2025-09-30T00:00:00" u="1"/>
        <d v="2021-02-09T00:00:00" u="1"/>
        <d v="2022-02-09T00:00:00" u="1"/>
        <d v="2023-02-09T00:00:00" u="1"/>
        <d v="2024-02-09T00:00:00" u="1"/>
        <d v="2019-10-30T00:00:00" u="1"/>
        <d v="2020-10-30T00:00:00" u="1"/>
        <d v="2021-10-30T00:00:00" u="1"/>
        <d v="2023-10-30T00:00:00" u="1"/>
        <d v="2024-10-30T00:00:00" u="1"/>
        <d v="2025-10-30T00:00:00" u="1"/>
        <d v="2020-03-09T00:00:00" u="1"/>
        <d v="2021-03-09T00:00:00" u="1"/>
        <d v="2022-03-09T00:00:00" u="1"/>
        <d v="2023-03-09T00:00:00" u="1"/>
        <d v="2024-03-09T00:00:00" u="1"/>
        <d v="2019-11-30T00:00:00" u="1"/>
        <d v="2020-11-30T00:00:00" u="1"/>
        <d v="2021-11-30T00:00:00" u="1"/>
        <d v="2023-11-30T00:00:00" u="1"/>
        <d v="2024-11-30T00:00:00" u="1"/>
        <d v="2020-04-09T00:00:00" u="1"/>
        <d v="2021-04-09T00:00:00" u="1"/>
        <d v="2022-04-09T00:00:00" u="1"/>
        <d v="2025-04-09T00:00:00" u="1"/>
        <d v="2019-12-30T00:00:00" u="1"/>
        <d v="2020-12-30T00:00:00" u="1"/>
        <d v="2021-12-30T00:00:00" u="1"/>
        <d v="2024-12-30T00:00:00" u="1"/>
        <d v="2025-12-30T00:00:00" u="1"/>
        <d v="2019-05-09T00:00:00" u="1"/>
        <d v="2020-05-09T00:00:00" u="1"/>
        <d v="2022-05-09T00:00:00" u="1"/>
        <d v="2023-05-09T00:00:00" u="1"/>
        <d v="2024-05-09T00:00:00" u="1"/>
        <d v="2020-01-20T00:00:00" u="1"/>
        <d v="2025-05-09T00:00:00" u="1"/>
        <d v="2021-01-20T00:00:00" u="1"/>
        <d v="2022-01-20T00:00:00" u="1"/>
        <d v="2023-01-20T00:00:00" u="1"/>
        <d v="2024-01-20T00:00:00" u="1"/>
        <d v="2025-01-20T00:00:00" u="1"/>
        <d v="2020-06-09T00:00:00" u="1"/>
        <d v="2021-06-09T00:00:00" u="1"/>
        <d v="2022-06-09T00:00:00" u="1"/>
        <d v="2023-06-09T00:00:00" u="1"/>
        <d v="2020-02-20T00:00:00" u="1"/>
        <d v="2025-06-09T00:00:00" u="1"/>
        <d v="2021-02-20T00:00:00" u="1"/>
        <d v="2023-02-20T00:00:00" u="1"/>
        <d v="2024-02-20T00:00:00" u="1"/>
        <d v="2025-02-20T00:00:00" u="1"/>
        <d v="2019-07-09T00:00:00" u="1"/>
        <d v="2020-07-09T00:00:00" u="1"/>
        <d v="2021-07-09T00:00:00" u="1"/>
        <d v="2024-07-09T00:00:00" u="1"/>
        <d v="2020-03-20T00:00:00" u="1"/>
        <d v="2025-07-09T00:00:00" u="1"/>
        <d v="2021-03-20T00:00:00" u="1"/>
        <d v="2023-03-20T00:00:00" u="1"/>
        <d v="2024-03-20T00:00:00" u="1"/>
        <d v="2019-08-09T00:00:00" u="1"/>
        <d v="2021-08-09T00:00:00" u="1"/>
        <d v="2023-08-09T00:00:00" u="1"/>
        <d v="2025-08-09T00:00:00" u="1"/>
        <d v="2021-04-20T00:00:00" u="1"/>
        <d v="2022-04-20T00:00:00" u="1"/>
        <d v="2024-04-20T00:00:00" u="1"/>
        <d v="2019-09-09T00:00:00" u="1"/>
        <d v="2020-09-09T00:00:00" u="1"/>
        <d v="2021-09-09T00:00:00" u="1"/>
        <d v="2023-09-09T00:00:00" u="1"/>
        <d v="2019-05-20T00:00:00" u="1"/>
        <d v="2024-09-09T00:00:00" u="1"/>
        <d v="2020-05-20T00:00:00" u="1"/>
        <d v="2025-09-09T00:00:00" u="1"/>
        <d v="2021-05-20T00:00:00" u="1"/>
        <d v="2022-05-20T00:00:00" u="1"/>
        <d v="2023-05-20T00:00:00" u="1"/>
        <d v="2024-05-20T00:00:00" u="1"/>
        <d v="2020-01-31T00:00:00" u="1"/>
        <d v="2025-05-20T00:00:00" u="1"/>
        <d v="2022-01-31T00:00:00" u="1"/>
        <d v="2023-01-31T00:00:00" u="1"/>
        <d v="2024-01-31T00:00:00" u="1"/>
        <d v="2025-01-31T00:00:00" u="1"/>
        <d v="2019-10-09T00:00:00" u="1"/>
        <d v="2020-10-09T00:00:00" u="1"/>
        <d v="2021-10-09T00:00:00" u="1"/>
        <d v="2023-10-09T00:00:00" u="1"/>
        <d v="2019-06-20T00:00:00" u="1"/>
        <d v="2024-10-09T00:00:00" u="1"/>
        <d v="2020-06-20T00:00:00" u="1"/>
        <d v="2025-10-09T00:00:00" u="1"/>
        <d v="2022-06-20T00:00:00" u="1"/>
        <d v="2023-06-20T00:00:00" u="1"/>
        <d v="2024-06-20T00:00:00" u="1"/>
        <d v="2025-06-20T00:00:00" u="1"/>
        <d v="2019-11-09T00:00:00" u="1"/>
        <d v="2020-11-09T00:00:00" u="1"/>
        <d v="2021-11-09T00:00:00" u="1"/>
        <d v="2023-11-09T00:00:00" u="1"/>
        <d v="2019-07-20T00:00:00" u="1"/>
        <d v="2024-11-09T00:00:00" u="1"/>
        <d v="2020-07-20T00:00:00" u="1"/>
        <d v="2022-07-20T00:00:00" u="1"/>
        <d v="2023-07-20T00:00:00" u="1"/>
        <d v="2024-07-20T00:00:00" u="1"/>
        <d v="2020-03-31T00:00:00" u="1"/>
        <d v="2021-03-31T00:00:00" u="1"/>
        <d v="2022-03-31T00:00:00" u="1"/>
        <d v="2023-03-31T00:00:00" u="1"/>
        <d v="2019-12-09T00:00:00" u="1"/>
        <d v="2020-12-09T00:00:00" u="1"/>
        <d v="2021-12-09T00:00:00" u="1"/>
        <d v="2023-12-09T00:00:00" u="1"/>
        <d v="2019-08-20T00:00:00" u="1"/>
        <d v="2024-12-09T00:00:00" u="1"/>
        <d v="2020-08-20T00:00:00" u="1"/>
        <d v="2025-12-09T00:00:00" u="1"/>
        <d v="2021-08-20T00:00:00" u="1"/>
        <d v="2024-08-20T00:00:00" u="1"/>
        <d v="2025-08-20T00:00:00" u="1"/>
        <d v="2019-09-20T00:00:00" u="1"/>
        <d v="2020-09-20T00:00:00" u="1"/>
        <d v="2021-09-20T00:00:00" u="1"/>
        <d v="2023-09-20T00:00:00" u="1"/>
        <d v="2019-05-31T00:00:00" u="1"/>
        <d v="2024-09-20T00:00:00" u="1"/>
        <d v="2025-09-20T00:00:00" u="1"/>
        <d v="2021-05-31T00:00:00" u="1"/>
        <d v="2022-05-31T00:00:00" u="1"/>
        <d v="2023-05-31T00:00:00" u="1"/>
        <d v="2024-05-31T00:00:00" u="1"/>
        <d v="2025-05-31T00:00:00" u="1"/>
        <d v="2020-10-20T00:00:00" u="1"/>
        <d v="2021-10-20T00:00:00" u="1"/>
        <d v="2023-10-20T00:00:00" u="1"/>
        <d v="2025-10-20T00:00:00" u="1"/>
        <d v="2019-11-20T00:00:00" u="1"/>
        <d v="2020-11-20T00:00:00" u="1"/>
        <d v="2021-11-20T00:00:00" u="1"/>
        <d v="2023-11-20T00:00:00" u="1"/>
        <d v="2019-07-31T00:00:00" u="1"/>
        <d v="2024-11-20T00:00:00" u="1"/>
        <d v="2025-11-20T00:00:00" u="1"/>
        <d v="2021-07-31T00:00:00" u="1"/>
        <d v="2023-07-31T00:00:00" u="1"/>
        <d v="2024-07-31T00:00:00" u="1"/>
        <d v="2025-07-31T00:00:00" u="1"/>
        <d v="2019-12-20T00:00:00" u="1"/>
        <d v="2021-12-20T00:00:00" u="1"/>
        <d v="2023-12-20T00:00:00" u="1"/>
        <d v="2019-08-31T00:00:00" u="1"/>
        <d v="2024-12-20T00:00:00" u="1"/>
        <d v="2020-08-31T00:00:00" u="1"/>
        <d v="2025-12-20T00:00:00" u="1"/>
        <d v="2021-08-31T00:00:00" u="1"/>
        <d v="2023-08-31T00:00:00" u="1"/>
        <d v="2024-08-31T00:00:00" u="1"/>
        <d v="2020-01-10T00:00:00" u="1"/>
        <d v="2022-01-10T00:00:00" u="1"/>
        <d v="2023-01-10T00:00:00" u="1"/>
        <d v="2024-01-10T00:00:00" u="1"/>
        <d v="2025-01-10T00:00:00" u="1"/>
        <d v="2020-02-10T00:00:00" u="1"/>
        <d v="2021-02-10T00:00:00" u="1"/>
        <d v="2022-02-10T00:00:00" u="1"/>
        <d v="2023-02-10T00:00:00" u="1"/>
        <d v="2024-02-10T00:00:00" u="1"/>
        <d v="2025-02-10T00:00:00" u="1"/>
        <d v="2019-10-31T00:00:00" u="1"/>
        <d v="2020-10-31T00:00:00" u="1"/>
        <d v="2023-10-31T00:00:00" u="1"/>
        <d v="2024-10-31T00:00:00" u="1"/>
        <d v="2025-10-31T00:00:00" u="1"/>
        <d v="2020-03-10T00:00:00" u="1"/>
        <d v="2021-03-10T00:00:00" u="1"/>
        <d v="2022-03-10T00:00:00" u="1"/>
        <d v="2023-03-10T00:00:00" u="1"/>
        <d v="2025-03-10T00:00:00" u="1"/>
        <d v="2020-04-10T00:00:00" u="1"/>
        <d v="2021-04-10T00:00:00" u="1"/>
        <d v="2023-04-10T00:00:00" u="1"/>
        <d v="2025-04-10T00:00:00" u="1"/>
        <d v="2019-12-31T00:00:00" u="1"/>
        <d v="2021-12-31T00:00:00" u="1"/>
        <d v="2019-05-10T00:00:00" u="1"/>
        <d v="2021-05-10T00:00:00" u="1"/>
        <d v="2022-05-10T00:00:00" u="1"/>
        <d v="2023-05-10T00:00:00" u="1"/>
        <d v="2024-05-10T00:00:00" u="1"/>
        <d v="2020-01-21T00:00:00" u="1"/>
        <d v="2025-05-10T00:00:00" u="1"/>
        <d v="2021-01-21T00:00:00" u="1"/>
        <d v="2022-01-21T00:00:00" u="1"/>
        <d v="2023-01-21T00:00:00" u="1"/>
        <d v="2025-01-21T00:00:00" u="1"/>
        <d v="2019-06-10T00:00:00" u="1"/>
        <d v="2020-06-10T00:00:00" u="1"/>
        <d v="2021-06-10T00:00:00" u="1"/>
        <d v="2022-06-10T00:00:00" u="1"/>
        <d v="2023-06-10T00:00:00" u="1"/>
        <d v="2020-02-21T00:00:00" u="1"/>
        <d v="2025-06-10T00:00:00" u="1"/>
        <d v="2022-02-21T00:00:00" u="1"/>
        <d v="2023-02-21T00:00:00" u="1"/>
        <d v="2024-02-21T00:00:00" u="1"/>
        <d v="2025-02-21T00:00:00" u="1"/>
        <d v="2019-07-10T00:00:00" u="1"/>
        <d v="2020-07-10T00:00:00" u="1"/>
        <d v="2021-07-10T00:00:00" u="1"/>
        <d v="2023-07-10T00:00:00" u="1"/>
        <d v="2024-07-10T00:00:00" u="1"/>
        <d v="2025-07-10T00:00:00" u="1"/>
        <d v="2022-03-21T00:00:00" u="1"/>
        <d v="2023-03-21T00:00:00" u="1"/>
        <d v="2025-03-21T00:00:00" u="1"/>
        <d v="2019-08-10T00:00:00" u="1"/>
        <d v="2020-08-10T00:00:00" u="1"/>
        <d v="2023-08-10T00:00:00" u="1"/>
        <d v="2020-04-21T00:00:00" u="1"/>
        <d v="2021-04-21T00:00:00" u="1"/>
        <d v="2022-04-21T00:00:00" u="1"/>
        <d v="2025-04-21T00:00:00" u="1"/>
        <d v="2019-09-10T00:00:00" u="1"/>
        <d v="2021-09-10T00:00:00" u="1"/>
        <d v="2019-05-21T00:00:00" u="1"/>
        <d v="2024-09-10T00:00:00" u="1"/>
        <d v="2020-05-21T00:00:00" u="1"/>
        <d v="2025-09-10T00:00:00" u="1"/>
        <d v="2021-05-21T00:00:00" u="1"/>
        <d v="2022-05-21T00:00:00" u="1"/>
        <d v="2024-05-21T00:00:00" u="1"/>
        <d v="2025-05-21T00:00:00" u="1"/>
        <d v="2019-10-10T00:00:00" u="1"/>
        <d v="2020-10-10T00:00:00" u="1"/>
        <d v="2023-10-10T00:00:00" u="1"/>
        <d v="2019-06-21T00:00:00" u="1"/>
        <d v="2024-10-10T00:00:00" u="1"/>
        <d v="2020-06-21T00:00:00" u="1"/>
        <d v="2025-10-10T00:00:00" u="1"/>
        <d v="2021-06-21T00:00:00" u="1"/>
        <d v="2022-06-21T00:00:00" u="1"/>
        <d v="2023-06-21T00:00:00" u="1"/>
        <d v="2024-06-21T00:00:00" u="1"/>
        <d v="2025-06-21T00:00:00" u="1"/>
        <d v="2020-11-10T00:00:00" u="1"/>
        <d v="2021-11-10T00:00:00" u="1"/>
        <d v="2023-11-10T00:00:00" u="1"/>
        <d v="2020-07-21T00:00:00" u="1"/>
        <d v="2025-11-10T00:00:00" u="1"/>
        <d v="2022-07-21T00:00:00" u="1"/>
        <d v="2023-07-21T00:00:00" u="1"/>
        <d v="2025-07-21T00:00:00" u="1"/>
        <d v="2019-12-10T00:00:00" u="1"/>
        <d v="2020-12-10T00:00:00" u="1"/>
        <d v="2021-12-10T00:00:00" u="1"/>
        <d v="2019-08-21T00:00:00" u="1"/>
        <d v="2024-12-10T00:00:00" u="1"/>
        <d v="2020-08-21T00:00:00" u="1"/>
        <d v="2025-12-10T00:00:00" u="1"/>
        <d v="2021-08-21T00:00:00" u="1"/>
        <d v="2023-08-21T00:00:00" u="1"/>
        <d v="2024-08-21T00:00:00" u="1"/>
        <d v="2025-08-21T00:00:00" u="1"/>
        <d v="2019-09-21T00:00:00" u="1"/>
        <d v="2020-09-21T00:00:00" u="1"/>
        <d v="2021-09-21T00:00:00" u="1"/>
        <d v="2023-09-21T00:00:00" u="1"/>
        <d v="2024-09-21T00:00:00" u="1"/>
        <d v="2019-10-21T00:00:00" u="1"/>
        <d v="2020-10-21T00:00:00" u="1"/>
        <d v="2021-10-21T00:00:00" u="1"/>
        <d v="2023-10-21T00:00:00" u="1"/>
        <d v="2024-10-21T00:00:00" u="1"/>
        <d v="2025-10-21T00:00:00" u="1"/>
        <d v="2019-11-21T00:00:00" u="1"/>
        <d v="2023-11-21T00:00:00" u="1"/>
        <d v="2024-11-21T00:00:00" u="1"/>
        <d v="2025-11-21T00:00:00" u="1"/>
        <d v="2019-12-21T00:00:00" u="1"/>
        <d v="2020-12-21T00:00:00" u="1"/>
        <d v="2021-12-21T00:00:00" u="1"/>
        <d v="2023-12-21T00:00:00" u="1"/>
        <d v="2024-12-21T00:00:00" u="1"/>
        <d v="2020-01-11T00:00:00" u="1"/>
        <d v="2021-01-11T00:00:00" u="1"/>
        <d v="2022-01-11T00:00:00" u="1"/>
        <d v="2023-01-11T00:00:00" u="1"/>
        <d v="2024-01-11T00:00:00" u="1"/>
        <d v="2025-01-11T00:00:00" u="1"/>
        <d v="2020-02-11T00:00:00" u="1"/>
        <d v="2021-02-11T00:00:00" u="1"/>
        <d v="2022-02-11T00:00:00" u="1"/>
        <d v="2023-02-11T00:00:00" u="1"/>
        <d v="2025-02-11T00:00:00" u="1"/>
        <d v="2020-03-11T00:00:00" u="1"/>
        <d v="2021-03-11T00:00:00" u="1"/>
        <d v="2022-03-11T00:00:00" u="1"/>
        <d v="2023-03-11T00:00:00" u="1"/>
        <d v="2024-03-11T00:00:00" u="1"/>
        <d v="2025-03-11T00:00:00" u="1"/>
        <d v="2022-04-11T00:00:00" u="1"/>
        <d v="2023-04-11T00:00:00" u="1"/>
        <d v="2025-04-11T00:00:00" u="1"/>
        <d v="2019-05-11T00:00:00" u="1"/>
        <d v="2020-05-11T00:00:00" u="1"/>
        <d v="2021-05-11T00:00:00" u="1"/>
        <d v="2022-05-11T00:00:00" u="1"/>
        <d v="2023-05-11T00:00:00" u="1"/>
        <d v="2024-05-11T00:00:00" u="1"/>
        <d v="2020-01-22T00:00:00" u="1"/>
        <d v="2021-01-22T00:00:00" u="1"/>
        <d v="2022-01-22T00:00:00" u="1"/>
        <d v="2024-01-22T00:00:00" u="1"/>
        <d v="2025-01-22T00:00:00" u="1"/>
        <d v="2019-06-11T00:00:00" u="1"/>
        <d v="2020-06-11T00:00:00" u="1"/>
        <d v="2021-06-11T00:00:00" u="1"/>
        <d v="2022-06-11T00:00:00" u="1"/>
        <d v="2024-06-11T00:00:00" u="1"/>
        <d v="2020-02-22T00:00:00" u="1"/>
        <d v="2025-06-11T00:00:00" u="1"/>
        <d v="2021-02-22T00:00:00" u="1"/>
        <d v="2022-02-22T00:00:00" u="1"/>
        <d v="2023-02-22T00:00:00" u="1"/>
        <d v="2024-02-22T00:00:00" u="1"/>
        <d v="2025-02-22T00:00:00" u="1"/>
        <d v="2019-07-11T00:00:00" u="1"/>
        <d v="2020-07-11T00:00:00" u="1"/>
        <d v="2023-07-11T00:00:00" u="1"/>
        <d v="2024-07-11T00:00:00" u="1"/>
        <d v="2025-07-11T00:00:00" u="1"/>
        <d v="2021-03-22T00:00:00" u="1"/>
        <d v="2022-03-22T00:00:00" u="1"/>
        <d v="2023-03-22T00:00:00" u="1"/>
        <d v="2024-03-22T00:00:00" u="1"/>
        <d v="2025-03-22T00:00:00" u="1"/>
        <d v="2020-08-11T00:00:00" u="1"/>
        <d v="2023-08-11T00:00:00" u="1"/>
        <d v="2021-04-22T00:00:00" u="1"/>
        <d v="2022-04-22T00:00:00" u="1"/>
        <d v="2024-04-22T00:00:00" u="1"/>
        <d v="2025-04-22T00:00:00" u="1"/>
        <d v="2019-09-11T00:00:00" u="1"/>
        <d v="2020-09-11T00:00:00" u="1"/>
        <d v="2021-09-11T00:00:00" u="1"/>
        <d v="2023-09-11T00:00:00" u="1"/>
        <d v="2019-05-22T00:00:00" u="1"/>
        <d v="2024-09-11T00:00:00" u="1"/>
        <d v="2020-05-22T00:00:00" u="1"/>
        <d v="2025-09-11T00:00:00" u="1"/>
        <d v="2021-05-22T00:00:00" u="1"/>
        <d v="2023-05-22T00:00:00" u="1"/>
        <d v="2024-05-22T00:00:00" u="1"/>
        <d v="2025-05-22T00:00:00" u="1"/>
        <d v="2019-10-11T00:00:00" u="1"/>
        <d v="2021-10-11T00:00:00" u="1"/>
        <d v="2023-10-11T00:00:00" u="1"/>
        <d v="2019-06-22T00:00:00" u="1"/>
        <d v="2024-10-11T00:00:00" u="1"/>
        <d v="2020-06-22T00:00:00" u="1"/>
        <d v="2025-10-11T00:00:00" u="1"/>
        <d v="2021-06-22T00:00:00" u="1"/>
        <d v="2022-06-22T00:00:00" u="1"/>
        <d v="2023-06-22T00:00:00" u="1"/>
        <d v="2024-06-22T00:00:00" u="1"/>
        <d v="2019-11-11T00:00:00" u="1"/>
        <d v="2020-11-11T00:00:00" u="1"/>
        <d v="2021-11-11T00:00:00" u="1"/>
        <d v="2023-11-11T00:00:00" u="1"/>
        <d v="2019-07-22T00:00:00" u="1"/>
        <d v="2024-11-11T00:00:00" u="1"/>
        <d v="2020-07-22T00:00:00" u="1"/>
        <d v="2025-11-11T00:00:00" u="1"/>
        <d v="2021-07-22T00:00:00" u="1"/>
        <d v="2022-07-22T00:00:00" u="1"/>
        <d v="2023-07-22T00:00:00" u="1"/>
        <d v="2024-07-22T00:00:00" u="1"/>
        <d v="2025-07-22T00:00:00" u="1"/>
        <d v="2019-12-11T00:00:00" u="1"/>
        <d v="2020-12-11T00:00:00" u="1"/>
        <d v="2021-12-11T00:00:00" u="1"/>
        <d v="2023-12-11T00:00:00" u="1"/>
        <d v="2019-08-22T00:00:00" u="1"/>
        <d v="2024-12-11T00:00:00" u="1"/>
        <d v="2020-08-22T00:00:00" u="1"/>
        <d v="2025-12-11T00:00:00" u="1"/>
        <d v="2023-08-22T00:00:00" u="1"/>
        <d v="2024-08-22T00:00:00" u="1"/>
        <d v="2025-08-22T00:00:00" u="1"/>
        <d v="2020-09-22T00:00:00" u="1"/>
        <d v="2021-09-22T00:00:00" u="1"/>
        <d v="2023-09-22T00:00:00" u="1"/>
        <d v="2025-09-22T00:00:00" u="1"/>
        <d v="2020-02-01T00:00:00" u="1"/>
        <d v="2021-02-01T00:00:00" u="1"/>
        <d v="2022-02-01T00:00:00" u="1"/>
        <d v="2023-02-01T00:00:00" u="1"/>
        <d v="2024-02-01T00:00:00" u="1"/>
        <d v="2025-02-01T00:00:00" u="1"/>
        <d v="2019-10-22T00:00:00" u="1"/>
        <d v="2020-10-22T00:00:00" u="1"/>
        <d v="2021-10-22T00:00:00" u="1"/>
        <d v="2024-10-22T00:00:00" u="1"/>
        <d v="2025-10-22T00:00:00" u="1"/>
        <d v="2021-03-01T00:00:00" u="1"/>
        <d v="2022-03-01T00:00:00" u="1"/>
        <d v="2023-03-01T00:00:00" u="1"/>
        <d v="2024-03-01T00:00:00" u="1"/>
        <d v="2025-03-01T00:00:00" u="1"/>
        <d v="2019-11-22T00:00:00" u="1"/>
        <d v="2021-11-22T00:00:00" u="1"/>
        <d v="2023-11-22T00:00:00" u="1"/>
        <d v="2024-11-22T00:00:00" u="1"/>
        <d v="2025-11-22T00:00:00" u="1"/>
        <d v="2020-04-01T00:00:00" u="1"/>
        <d v="2021-04-01T00:00:00" u="1"/>
        <d v="2022-04-01T00:00:00" u="1"/>
        <d v="2023-04-01T00:00:00" u="1"/>
        <d v="2024-04-01T00:00:00" u="1"/>
        <d v="2025-04-01T00:00:00" u="1"/>
        <d v="2020-12-22T00:00:00" u="1"/>
        <d v="2021-12-22T00:00:00" u="1"/>
        <d v="2023-12-22T00:00:00" u="1"/>
        <d v="2025-12-22T00:00:00" u="1"/>
        <d v="2021-01-12T00:00:00" u="1"/>
        <d v="2022-01-12T00:00:00" u="1"/>
        <d v="2023-01-12T00:00:00" u="1"/>
        <d v="2024-01-12T00:00:00" u="1"/>
        <d v="2019-06-01T00:00:00" u="1"/>
        <d v="2020-06-01T00:00:00" u="1"/>
        <d v="2021-06-01T00:00:00" u="1"/>
        <d v="2022-06-01T00:00:00" u="1"/>
        <d v="2023-06-01T00:00:00" u="1"/>
        <d v="2024-06-01T00:00:00" u="1"/>
        <d v="2020-02-12T00:00:00" u="1"/>
        <d v="2021-02-12T00:00:00" u="1"/>
        <d v="2022-02-12T00:00:00" u="1"/>
        <d v="2024-02-12T00:00:00" u="1"/>
        <d v="2025-02-12T00:00:00" u="1"/>
        <d v="2019-07-01T00:00:00" u="1"/>
        <d v="2020-07-01T00:00:00" u="1"/>
        <d v="2021-07-01T00:00:00" u="1"/>
        <d v="2022-07-01T00:00:00" u="1"/>
        <d v="2023-07-01T00:00:00" u="1"/>
        <d v="2024-07-01T00:00:00" u="1"/>
        <d v="2020-03-12T00:00:00" u="1"/>
        <d v="2025-07-01T00:00:00" u="1"/>
        <d v="2021-03-12T00:00:00" u="1"/>
        <d v="2022-03-12T00:00:00" u="1"/>
        <d v="2024-03-12T00:00:00" u="1"/>
        <d v="2025-03-12T00:00:00" u="1"/>
        <d v="2019-08-01T00:00:00" u="1"/>
        <d v="2020-08-01T00:00:00" u="1"/>
        <d v="2023-08-01T00:00:00" u="1"/>
        <d v="2024-08-01T00:00:00" u="1"/>
        <d v="2025-08-01T00:00:00" u="1"/>
        <d v="2021-04-12T00:00:00" u="1"/>
        <d v="2022-04-12T00:00:00" u="1"/>
        <d v="2023-04-12T00:00:00" u="1"/>
        <d v="2024-04-12T00:00:00" u="1"/>
        <d v="2025-04-12T00:00:00" u="1"/>
        <d v="2020-09-01T00:00:00" u="1"/>
        <d v="2021-09-01T00:00:00" u="1"/>
        <d v="2023-09-01T00:00:00" u="1"/>
        <d v="2020-05-12T00:00:00" u="1"/>
        <d v="2025-09-01T00:00:00" u="1"/>
        <d v="2021-05-12T00:00:00" u="1"/>
        <d v="2022-05-12T00:00:00" u="1"/>
        <d v="2023-05-12T00:00:00" u="1"/>
        <d v="2020-01-23T00:00:00" u="1"/>
        <d v="2025-05-12T00:00:00" u="1"/>
        <d v="2021-01-23T00:00:00" u="1"/>
        <d v="2023-01-23T00:00:00" u="1"/>
        <d v="2024-01-23T00:00:00" u="1"/>
        <d v="2025-01-23T00:00:00" u="1"/>
        <d v="2019-10-01T00:00:00" u="1"/>
        <d v="2020-10-01T00:00:00" u="1"/>
        <d v="2021-10-01T00:00:00" u="1"/>
        <d v="2019-06-12T00:00:00" u="1"/>
        <d v="2024-10-01T00:00:00" u="1"/>
        <d v="2020-06-12T00:00:00" u="1"/>
        <d v="2025-10-01T00:00:00" u="1"/>
        <d v="2021-06-12T00:00:00" u="1"/>
        <d v="2023-06-12T00:00:00" u="1"/>
        <d v="2024-06-12T00:00:00" u="1"/>
        <d v="2025-06-12T00:00:00" u="1"/>
        <d v="2021-02-23T00:00:00" u="1"/>
        <d v="2022-02-23T00:00:00" u="1"/>
        <d v="2023-02-23T00:00:00" u="1"/>
        <d v="2024-02-23T00:00:00" u="1"/>
        <d v="2019-11-01T00:00:00" u="1"/>
        <d v="2021-11-01T00:00:00" u="1"/>
        <d v="2023-11-01T00:00:00" u="1"/>
        <d v="2019-07-12T00:00:00" u="1"/>
        <d v="2024-11-01T00:00:00" u="1"/>
        <d v="2025-11-01T00:00:00" u="1"/>
        <d v="2021-07-12T00:00:00" u="1"/>
        <d v="2022-07-12T00:00:00" u="1"/>
        <d v="2023-07-12T00:00:00" u="1"/>
        <d v="2024-07-12T00:00:00" u="1"/>
        <d v="2025-07-12T00:00:00" u="1"/>
        <d v="2021-03-23T00:00:00" u="1"/>
        <d v="2022-03-23T00:00:00" u="1"/>
        <d v="2024-03-23T00:00:00" u="1"/>
        <d v="2020-12-01T00:00:00" u="1"/>
        <d v="2021-12-01T00:00:00" u="1"/>
        <d v="2023-12-01T00:00:00" u="1"/>
        <d v="2020-08-12T00:00:00" u="1"/>
        <d v="2025-12-01T00:00:00" u="1"/>
        <d v="2021-08-12T00:00:00" u="1"/>
        <d v="2024-08-12T00:00:00" u="1"/>
        <d v="2021-04-23T00:00:00" u="1"/>
        <d v="2022-04-23T00:00:00" u="1"/>
        <d v="2024-04-23T00:00:00" u="1"/>
        <d v="2025-04-23T00:00:00" u="1"/>
        <d v="2019-09-12T00:00:00" u="1"/>
        <d v="2020-09-12T00:00:00" u="1"/>
        <d v="2023-09-12T00:00:00" u="1"/>
        <d v="2019-05-23T00:00:00" u="1"/>
        <d v="2024-09-12T00:00:00" u="1"/>
        <d v="2020-05-23T00:00:00" u="1"/>
        <d v="2025-09-12T00:00:00" u="1"/>
        <d v="2022-05-23T00:00:00" u="1"/>
        <d v="2023-05-23T00:00:00" u="1"/>
        <d v="2024-05-23T00:00:00" u="1"/>
        <d v="2025-05-23T00:00:00" u="1"/>
        <d v="2019-10-12T00:00:00" u="1"/>
        <d v="2020-10-12T00:00:00" u="1"/>
        <d v="2021-10-12T00:00:00" u="1"/>
        <d v="2023-10-12T00:00:00" u="1"/>
        <d v="2024-10-12T00:00:00" u="1"/>
        <d v="2020-06-23T00:00:00" u="1"/>
        <d v="2021-06-23T00:00:00" u="1"/>
        <d v="2023-06-23T00:00:00" u="1"/>
        <d v="2025-06-23T00:00:00" u="1"/>
        <d v="2019-11-12T00:00:00" u="1"/>
        <d v="2020-11-12T00:00:00" u="1"/>
        <d v="2021-11-12T00:00:00" u="1"/>
        <d v="2019-07-23T00:00:00" u="1"/>
        <d v="2024-11-12T00:00:00" u="1"/>
        <d v="2020-07-23T00:00:00" u="1"/>
        <d v="2025-11-12T00:00:00" u="1"/>
        <d v="2021-07-23T00:00:00" u="1"/>
        <d v="2022-07-23T00:00:00" u="1"/>
        <d v="2024-07-23T00:00:00" u="1"/>
        <d v="2025-07-23T00:00:00" u="1"/>
        <d v="2019-12-12T00:00:00" u="1"/>
        <d v="2020-12-12T00:00:00" u="1"/>
        <d v="2023-12-12T00:00:00" u="1"/>
        <d v="2019-08-23T00:00:00" u="1"/>
        <d v="2024-12-12T00:00:00" u="1"/>
        <d v="2025-12-12T00:00:00" u="1"/>
        <d v="2021-08-23T00:00:00" u="1"/>
        <d v="2023-08-23T00:00:00" u="1"/>
        <d v="2024-08-23T00:00:00" u="1"/>
        <d v="2025-08-23T00:00:00" u="1"/>
        <d v="2019-09-23T00:00:00" u="1"/>
        <d v="2020-09-23T00:00:00" u="1"/>
        <d v="2021-09-23T00:00:00" u="1"/>
        <d v="2023-09-23T00:00:00" u="1"/>
        <d v="2024-09-23T00:00:00" u="1"/>
        <d v="2025-09-23T00:00:00" u="1"/>
        <d v="2021-02-02T00:00:00" u="1"/>
        <d v="2022-02-02T00:00:00" u="1"/>
        <d v="2024-02-02T00:00:00" u="1"/>
        <d v="2019-10-23T00:00:00" u="1"/>
        <d v="2020-10-23T00:00:00" u="1"/>
        <d v="2021-10-23T00:00:00" u="1"/>
        <d v="2023-10-23T00:00:00" u="1"/>
        <d v="2024-10-23T00:00:00" u="1"/>
        <d v="2025-10-23T00:00:00" u="1"/>
        <d v="2020-03-02T00:00:00" u="1"/>
        <d v="2021-03-02T00:00:00" u="1"/>
        <d v="2022-03-02T00:00:00" u="1"/>
        <d v="2023-03-02T00:00:00" u="1"/>
        <d v="2024-03-02T00:00:00" u="1"/>
        <d v="2019-11-23T00:00:00" u="1"/>
        <d v="2020-11-23T00:00:00" u="1"/>
        <d v="2021-11-23T00:00:00" u="1"/>
        <d v="2023-11-23T00:00:00" u="1"/>
        <d v="2024-11-23T00:00:00" u="1"/>
        <d v="2021-04-02T00:00:00" u="1"/>
        <d v="2022-04-02T00:00:00" u="1"/>
        <d v="2024-04-02T00:00:00" u="1"/>
        <d v="2025-04-02T00:00:00" u="1"/>
        <d v="2019-12-23T00:00:00" u="1"/>
        <d v="2020-12-23T00:00:00" u="1"/>
        <d v="2021-12-23T00:00:00" u="1"/>
        <d v="2023-12-23T00:00:00" u="1"/>
        <d v="2024-12-23T00:00:00" u="1"/>
        <d v="2025-12-23T00:00:00" u="1"/>
        <d v="2019-05-02T00:00:00" u="1"/>
        <d v="2020-05-02T00:00:00" u="1"/>
        <d v="2023-05-02T00:00:00" u="1"/>
        <d v="2024-05-02T00:00:00" u="1"/>
        <d v="2020-01-13T00:00:00" u="1"/>
        <d v="2025-05-02T00:00:00" u="1"/>
        <d v="2021-01-13T00:00:00" u="1"/>
        <d v="2022-01-13T00:00:00" u="1"/>
        <d v="2023-01-13T00:00:00" u="1"/>
        <d v="2024-01-13T00:00:00" u="1"/>
        <d v="2025-01-13T00:00:00" u="1"/>
        <d v="2020-06-02T00:00:00" u="1"/>
        <d v="2021-06-02T00:00:00" u="1"/>
        <d v="2022-06-02T00:00:00" u="1"/>
        <d v="2023-06-02T00:00:00" u="1"/>
        <d v="2020-02-13T00:00:00" u="1"/>
        <d v="2025-06-02T00:00:00" u="1"/>
        <d v="2021-02-13T00:00:00" u="1"/>
        <d v="2023-02-13T00:00:00" u="1"/>
        <d v="2024-02-13T00:00:00" u="1"/>
        <d v="2025-02-13T00:00:00" u="1"/>
        <d v="2019-07-02T00:00:00" u="1"/>
        <d v="2020-07-02T00:00:00" u="1"/>
        <d v="2021-07-02T00:00:00" u="1"/>
        <d v="2022-07-02T00:00:00" u="1"/>
        <d v="2024-07-02T00:00:00" u="1"/>
        <d v="2020-03-13T00:00:00" u="1"/>
        <d v="2025-07-02T00:00:00" u="1"/>
        <d v="2021-03-13T00:00:00" u="1"/>
        <d v="2023-03-13T00:00:00" u="1"/>
        <d v="2024-03-13T00:00:00" u="1"/>
        <d v="2025-03-13T00:00:00" u="1"/>
        <d v="2019-08-02T00:00:00" u="1"/>
        <d v="2021-08-02T00:00:00" u="1"/>
        <d v="2023-08-02T00:00:00" u="1"/>
        <d v="2024-08-02T00:00:00" u="1"/>
        <d v="2025-08-02T00:00:00" u="1"/>
        <d v="2021-04-13T00:00:00" u="1"/>
        <d v="2022-04-13T00:00:00" u="1"/>
        <d v="2023-04-13T00:00:00" u="1"/>
        <d v="2024-04-13T00:00:00" u="1"/>
        <d v="2019-09-02T00:00:00" u="1"/>
        <d v="2020-09-02T00:00:00" u="1"/>
        <d v="2021-09-02T00:00:00" u="1"/>
        <d v="2023-09-02T00:00:00" u="1"/>
        <d v="2019-05-13T00:00:00" u="1"/>
        <d v="2024-09-02T00:00:00" u="1"/>
        <d v="2020-05-13T00:00:00" u="1"/>
        <d v="2025-09-02T00:00:00" u="1"/>
        <d v="2022-05-13T00:00:00" u="1"/>
        <d v="2023-05-13T00:00:00" u="1"/>
        <d v="2024-05-13T00:00:00" u="1"/>
        <d v="2020-01-24T00:00:00" u="1"/>
        <d v="2025-05-13T00:00:00" u="1"/>
        <d v="2022-01-24T00:00:00" u="1"/>
        <d v="2023-01-24T00:00:00" u="1"/>
        <d v="2024-01-24T00:00:00" u="1"/>
        <d v="2025-01-24T00:00:00" u="1"/>
        <d v="2019-10-02T00:00:00" u="1"/>
        <d v="2020-10-02T00:00:00" u="1"/>
        <d v="2021-10-02T00:00:00" u="1"/>
        <d v="2023-10-02T00:00:00" u="1"/>
        <d v="2019-06-13T00:00:00" u="1"/>
        <d v="2024-10-02T00:00:00" u="1"/>
        <d v="2020-06-13T00:00:00" u="1"/>
        <d v="2025-10-02T00:00:00" u="1"/>
        <d v="2022-06-13T00:00:00" u="1"/>
        <d v="2023-06-13T00:00:00" u="1"/>
        <d v="2020-02-24T00:00:00" u="1"/>
        <d v="2025-06-13T00:00:00" u="1"/>
        <d v="2021-02-24T00:00:00" u="1"/>
        <d v="2022-02-24T00:00:00" u="1"/>
        <d v="2023-02-24T00:00:00" u="1"/>
        <d v="2024-02-24T00:00:00" u="1"/>
        <d v="2025-02-24T00:00:00" u="1"/>
        <d v="2019-11-02T00:00:00" u="1"/>
        <d v="2020-11-02T00:00:00" u="1"/>
        <d v="2021-11-02T00:00:00" u="1"/>
        <d v="2023-11-02T00:00:00" u="1"/>
        <d v="2019-07-13T00:00:00" u="1"/>
        <d v="2024-11-02T00:00:00" u="1"/>
        <d v="2020-07-13T00:00:00" u="1"/>
        <d v="2021-07-13T00:00:00" u="1"/>
        <d v="2022-07-13T00:00:00" u="1"/>
        <d v="2023-07-13T00:00:00" u="1"/>
        <d v="2024-07-13T00:00:00" u="1"/>
        <d v="2021-03-24T00:00:00" u="1"/>
        <d v="2022-03-24T00:00:00" u="1"/>
        <d v="2023-03-24T00:00:00" u="1"/>
        <d v="2025-03-24T00:00:00" u="1"/>
        <d v="2019-12-02T00:00:00" u="1"/>
        <d v="2020-12-02T00:00:00" u="1"/>
        <d v="2021-12-02T00:00:00" u="1"/>
        <d v="2023-12-02T00:00:00" u="1"/>
        <d v="2019-08-13T00:00:00" u="1"/>
        <d v="2024-12-02T00:00:00" u="1"/>
        <d v="2025-12-02T00:00:00" u="1"/>
        <d v="2024-08-13T00:00:00" u="1"/>
        <d v="2021-04-24T00:00:00" u="1"/>
        <d v="2023-04-24T00:00:00" u="1"/>
        <d v="2024-04-24T00:00:00" u="1"/>
        <d v="2025-04-24T00:00:00" u="1"/>
        <d v="2019-09-13T00:00:00" u="1"/>
        <d v="2021-09-13T00:00:00" u="1"/>
        <d v="2023-09-13T00:00:00" u="1"/>
        <d v="2019-05-24T00:00:00" u="1"/>
        <d v="2024-09-13T00:00:00" u="1"/>
        <d v="2025-09-13T00:00:00" u="1"/>
        <d v="2021-05-24T00:00:00" u="1"/>
        <d v="2022-05-24T00:00:00" u="1"/>
        <d v="2023-05-24T00:00:00" u="1"/>
        <d v="2024-05-24T00:00:00" u="1"/>
        <d v="2025-05-24T00:00:00" u="1"/>
        <d v="2020-10-13T00:00:00" u="1"/>
        <d v="2021-10-13T00:00:00" u="1"/>
        <d v="2023-10-13T00:00:00" u="1"/>
        <d v="2019-06-24T00:00:00" u="1"/>
        <d v="2020-06-24T00:00:00" u="1"/>
        <d v="2025-10-13T00:00:00" u="1"/>
        <d v="2021-06-24T00:00:00" u="1"/>
        <d v="2022-06-24T00:00:00" u="1"/>
        <d v="2023-06-24T00:00:00" u="1"/>
        <d v="2024-06-24T00:00:00" u="1"/>
        <d v="2025-06-24T00:00:00" u="1"/>
        <d v="2019-11-13T00:00:00" u="1"/>
        <d v="2020-11-13T00:00:00" u="1"/>
        <d v="2021-11-13T00:00:00" u="1"/>
        <d v="2023-11-13T00:00:00" u="1"/>
        <d v="2019-07-24T00:00:00" u="1"/>
        <d v="2024-11-13T00:00:00" u="1"/>
        <d v="2020-07-24T00:00:00" u="1"/>
        <d v="2025-11-13T00:00:00" u="1"/>
        <d v="2021-07-24T00:00:00" u="1"/>
        <d v="2023-07-24T00:00:00" u="1"/>
        <d v="2024-07-24T00:00:00" u="1"/>
        <d v="2025-07-24T00:00:00" u="1"/>
        <d v="2019-12-13T00:00:00" u="1"/>
        <d v="2021-12-13T00:00:00" u="1"/>
        <d v="2023-12-13T00:00:00" u="1"/>
        <d v="2019-08-24T00:00:00" u="1"/>
        <d v="2024-12-13T00:00:00" u="1"/>
        <d v="2020-08-24T00:00:00" u="1"/>
        <d v="2025-12-13T00:00:00" u="1"/>
        <d v="2021-08-24T00:00:00" u="1"/>
        <d v="2023-08-24T00:00:00" u="1"/>
        <d v="2024-08-24T00:00:00" u="1"/>
        <d v="2020-01-03T00:00:00" u="1"/>
        <d v="2019-09-24T00:00:00" u="1"/>
        <d v="2020-09-24T00:00:00" u="1"/>
        <d v="2021-09-24T00:00:00" u="1"/>
        <d v="2024-09-24T00:00:00" u="1"/>
        <d v="2025-09-24T00:00:00" u="1"/>
        <d v="2020-02-03T00:00:00" u="1"/>
        <d v="2021-02-03T00:00:00" u="1"/>
        <d v="2022-02-03T00:00:00" u="1"/>
        <d v="2023-02-03T00:00:00" u="1"/>
        <d v="2024-02-03T00:00:00" u="1"/>
        <d v="2025-02-03T00:00:00" u="1"/>
        <d v="2019-10-24T00:00:00" u="1"/>
        <d v="2020-10-24T00:00:00" u="1"/>
        <d v="2023-10-24T00:00:00" u="1"/>
        <d v="2024-10-24T00:00:00" u="1"/>
        <d v="2025-10-24T00:00:00" u="1"/>
        <d v="2020-03-03T00:00:00" u="1"/>
        <d v="2021-03-03T00:00:00" u="1"/>
        <d v="2022-03-03T00:00:00" u="1"/>
        <d v="2023-03-03T00:00:00" u="1"/>
        <d v="2025-03-03T00:00:00" u="1"/>
        <d v="2020-11-24T00:00:00" u="1"/>
        <d v="2021-11-24T00:00:00" u="1"/>
        <d v="2023-11-24T00:00:00" u="1"/>
        <d v="2025-11-24T00:00:00" u="1"/>
        <d v="2021-04-03T00:00:00" u="1"/>
        <d v="2023-04-03T00:00:00" u="1"/>
        <d v="2024-04-03T00:00:00" u="1"/>
        <d v="2025-04-03T00:00:00" u="1"/>
        <d v="2019-12-24T00:00:00" u="1"/>
        <d v="2020-12-24T00:00:00" u="1"/>
        <d v="2021-12-24T00:00:00" u="1"/>
        <d v="2024-12-24T00:00:00" u="1"/>
        <d v="2025-12-24T00:00:00" u="1"/>
        <d v="2019-05-03T00:00:00" u="1"/>
        <d v="2021-05-03T00:00:00" u="1"/>
        <d v="2023-05-03T00:00:00" u="1"/>
        <d v="2024-05-03T00:00:00" u="1"/>
        <d v="2020-01-14T00:00:00" u="1"/>
        <d v="2025-05-03T00:00:00" u="1"/>
        <d v="2021-01-14T00:00:00" u="1"/>
        <d v="2022-01-14T00:00:00" u="1"/>
        <d v="2023-01-14T00:00:00" u="1"/>
        <d v="2025-01-14T00:00:00" u="1"/>
        <d v="2019-06-03T00:00:00" u="1"/>
        <d v="2020-06-03T00:00:00" u="1"/>
        <d v="2021-06-03T00:00:00" u="1"/>
        <d v="2022-06-03T00:00:00" u="1"/>
        <d v="2023-06-03T00:00:00" u="1"/>
        <d v="2024-06-03T00:00:00" u="1"/>
        <d v="2020-02-14T00:00:00" u="1"/>
        <d v="2025-06-03T00:00:00" u="1"/>
        <d v="2022-02-14T00:00:00" u="1"/>
        <d v="2023-02-14T00:00:00" u="1"/>
        <d v="2024-02-14T00:00:00" u="1"/>
        <d v="2025-02-14T00:00:00" u="1"/>
        <d v="2019-07-03T00:00:00" u="1"/>
        <d v="2020-07-03T00:00:00" u="1"/>
        <d v="2021-07-03T00:00:00" u="1"/>
        <d v="2023-07-03T00:00:00" u="1"/>
        <d v="2024-07-03T00:00:00" u="1"/>
        <d v="2025-07-03T00:00:00" u="1"/>
        <d v="2022-03-14T00:00:00" u="1"/>
        <d v="2023-03-14T00:00:00" u="1"/>
        <d v="2024-03-14T00:00:00" u="1"/>
        <d v="2025-03-14T00:00:00" u="1"/>
        <d v="2019-08-03T00:00:00" u="1"/>
        <d v="2020-08-03T00:00:00" u="1"/>
        <d v="2021-08-03T00:00:00" u="1"/>
        <d v="2023-08-03T00:00:00" u="1"/>
        <d v="2024-08-03T00:00:00" u="1"/>
        <d v="2021-04-14T00:00:00" u="1"/>
        <d v="2022-04-14T00:00:00" u="1"/>
        <d v="2023-04-14T00:00:00" u="1"/>
        <d v="2025-04-14T00:00:00" u="1"/>
        <d v="2019-09-03T00:00:00" u="1"/>
        <d v="2020-09-03T00:00:00" u="1"/>
        <d v="2021-09-03T00:00:00" u="1"/>
        <d v="2019-05-14T00:00:00" u="1"/>
        <d v="2024-09-03T00:00:00" u="1"/>
        <d v="2020-05-14T00:00:00" u="1"/>
        <d v="2025-09-03T00:00:00" u="1"/>
        <d v="2022-05-14T00:00:00" u="1"/>
        <d v="2024-05-14T00:00:00" u="1"/>
        <d v="2020-01-25T00:00:00" u="1"/>
        <d v="2025-05-14T00:00:00" u="1"/>
        <d v="2021-01-25T00:00:00" u="1"/>
        <d v="2022-01-25T00:00:00" u="1"/>
        <d v="2023-01-25T00:00:00" u="1"/>
        <d v="2024-01-25T00:00:00" u="1"/>
        <d v="2025-01-25T00:00:00" u="1"/>
        <d v="2019-10-03T00:00:00" u="1"/>
        <d v="2020-10-03T00:00:00" u="1"/>
        <d v="2023-10-03T00:00:00" u="1"/>
        <d v="2019-06-14T00:00:00" u="1"/>
        <d v="2024-10-03T00:00:00" u="1"/>
        <d v="2025-10-03T00:00:00" u="1"/>
        <d v="2021-06-14T00:00:00" u="1"/>
        <d v="2022-06-14T00:00:00" u="1"/>
        <d v="2023-06-14T00:00:00" u="1"/>
        <d v="2024-06-14T00:00:00" u="1"/>
        <d v="2020-02-25T00:00:00" u="1"/>
        <d v="2025-06-14T00:00:00" u="1"/>
        <d v="2021-02-25T00:00:00" u="1"/>
        <d v="2022-02-25T00:00:00" u="1"/>
        <d v="2023-02-25T00:00:00" u="1"/>
        <d v="2025-02-25T00:00:00" u="1"/>
        <d v="2020-11-03T00:00:00" u="1"/>
        <d v="2021-11-03T00:00:00" u="1"/>
        <d v="2023-11-03T00:00:00" u="1"/>
        <d v="2020-07-14T00:00:00" u="1"/>
        <d v="2025-11-03T00:00:00" u="1"/>
        <d v="2021-07-14T00:00:00" u="1"/>
        <d v="2023-07-14T00:00:00" u="1"/>
        <d v="2025-07-14T00:00:00" u="1"/>
        <d v="2021-03-25T00:00:00" u="1"/>
        <d v="2022-03-25T00:00:00" u="1"/>
        <d v="2023-03-25T00:00:00" u="1"/>
        <d v="2024-03-25T00:00:00" u="1"/>
        <d v="2025-03-25T00:00:00" u="1"/>
        <d v="2019-12-03T00:00:00" u="1"/>
        <d v="2020-12-03T00:00:00" u="1"/>
        <d v="2021-12-03T00:00:00" u="1"/>
        <d v="2019-08-14T00:00:00" u="1"/>
        <d v="2024-12-03T00:00:00" u="1"/>
        <d v="2020-08-14T00:00:00" u="1"/>
        <d v="2025-12-03T00:00:00" u="1"/>
        <d v="2024-08-14T00:00:00" u="1"/>
        <d v="2022-04-25T00:00:00" u="1"/>
        <d v="2023-04-25T00:00:00" u="1"/>
        <d v="2024-04-25T00:00:00" u="1"/>
        <d v="2025-04-25T00:00:00" u="1"/>
        <d v="2019-09-14T00:00:00" u="1"/>
        <d v="2020-09-14T00:00:00" u="1"/>
        <d v="2021-09-14T00:00:00" u="1"/>
        <d v="2023-09-14T00:00:00" u="1"/>
        <d v="2019-05-25T00:00:00" u="1"/>
        <d v="2024-09-14T00:00:00" u="1"/>
        <d v="2021-05-25T00:00:00" u="1"/>
        <d v="2022-05-25T00:00:00" u="1"/>
        <d v="2023-05-25T00:00:00" u="1"/>
        <d v="2024-05-25T00:00:00" u="1"/>
        <d v="2019-10-14T00:00:00" u="1"/>
        <d v="2020-10-14T00:00:00" u="1"/>
        <d v="2021-10-14T00:00:00" u="1"/>
        <d v="2023-10-14T00:00:00" u="1"/>
        <d v="2019-06-25T00:00:00" u="1"/>
        <d v="2024-10-14T00:00:00" u="1"/>
        <d v="2020-06-25T00:00:00" u="1"/>
        <d v="2025-10-14T00:00:00" u="1"/>
        <d v="2021-06-25T00:00:00" u="1"/>
        <d v="2022-06-25T00:00:00" u="1"/>
        <d v="2024-06-25T00:00:00" u="1"/>
        <d v="2025-06-25T00:00:00" u="1"/>
        <d v="2019-11-14T00:00:00" u="1"/>
        <d v="2020-11-14T00:00:00" u="1"/>
        <d v="2019-07-25T00:00:00" u="1"/>
        <d v="2024-11-14T00:00:00" u="1"/>
        <d v="2020-07-25T00:00:00" u="1"/>
        <d v="2025-11-14T00:00:00" u="1"/>
        <d v="2022-07-25T00:00:00" u="1"/>
        <d v="2023-07-25T00:00:00" u="1"/>
        <d v="2024-07-25T00:00:00" u="1"/>
        <d v="2025-07-25T00:00:00" u="1"/>
        <d v="2019-12-14T00:00:00" u="1"/>
        <d v="2020-12-14T00:00:00" u="1"/>
        <d v="2021-12-14T00:00:00" u="1"/>
        <d v="2024-12-14T00:00:00" u="1"/>
        <d v="2020-08-25T00:00:00" u="1"/>
        <d v="2021-08-25T00:00:00" u="1"/>
        <d v="2023-08-25T00:00:00" u="1"/>
        <d v="2025-08-25T00:00:00" u="1"/>
        <d v="2021-01-04T00:00:00" u="1"/>
        <d v="2023-01-04T00:00:00" u="1"/>
        <d v="2025-01-04T00:00:00" u="1"/>
        <d v="2019-09-25T00:00:00" u="1"/>
        <d v="2020-09-25T00:00:00" u="1"/>
        <d v="2021-09-25T00:00:00" u="1"/>
        <d v="2023-09-25T00:00:00" u="1"/>
        <d v="2024-09-25T00:00:00" u="1"/>
        <d v="2025-09-25T00:00:00" u="1"/>
        <d v="2020-02-04T00:00:00" u="1"/>
        <d v="2021-02-04T00:00:00" u="1"/>
        <d v="2022-02-04T00:00:00" u="1"/>
        <d v="2023-02-04T00:00:00" u="1"/>
        <d v="2025-02-04T00:00:00" u="1"/>
        <d v="2019-10-25T00:00:00" u="1"/>
        <d v="2021-10-25T00:00:00" u="1"/>
        <d v="2023-10-25T00:00:00" u="1"/>
        <d v="2024-10-25T00:00:00" u="1"/>
        <d v="2025-10-25T00:00:00" u="1"/>
        <d v="2020-03-04T00:00:00" u="1"/>
        <d v="2021-03-04T00:00:00" u="1"/>
        <d v="2022-03-04T00:00:00" u="1"/>
        <d v="2023-03-04T00:00:00" u="1"/>
        <d v="2024-03-04T00:00:00" u="1"/>
        <d v="2025-03-04T00:00:00" u="1"/>
        <d v="2019-11-25T00:00:00" u="1"/>
        <d v="2020-11-25T00:00:00" u="1"/>
        <d v="2021-11-25T00:00:00" u="1"/>
        <d v="2023-11-25T00:00:00" u="1"/>
        <d v="2024-11-25T00:00:00" u="1"/>
        <d v="2025-11-25T00:00:00" u="1"/>
        <d v="2022-04-04T00:00:00" u="1"/>
        <d v="2023-04-04T00:00:00" u="1"/>
        <d v="2025-04-04T00:00:00" u="1"/>
        <d v="2019-12-25T00:00:00" u="1"/>
        <d v="2020-12-25T00:00:00" u="1"/>
        <d v="2021-12-25T00:00:00" u="1"/>
        <d v="2023-12-25T00:00:00" u="1"/>
        <d v="2024-12-25T00:00:00" u="1"/>
        <d v="2025-12-25T00:00:00" u="1"/>
        <d v="2019-05-04T00:00:00" u="1"/>
        <d v="2020-05-04T00:00:00" u="1"/>
        <d v="2021-05-04T00:00:00" u="1"/>
        <d v="2022-05-04T00:00:00" u="1"/>
        <d v="2024-05-04T00:00:00" u="1"/>
        <d v="2020-01-15T00:00:00" u="1"/>
        <d v="2021-01-15T00:00:00" u="1"/>
        <d v="2022-01-15T00:00:00" u="1"/>
        <d v="2024-01-15T00:00:00" u="1"/>
        <d v="2025-01-15T00:00:00" u="1"/>
        <d v="2020-06-04T00:00:00" u="1"/>
        <d v="2021-06-04T00:00:00" u="1"/>
        <d v="2022-06-04T00:00:00" u="1"/>
        <d v="2024-06-04T00:00:00" u="1"/>
        <d v="2020-02-15T00:00:00" u="1"/>
        <d v="2025-06-04T00:00:00" u="1"/>
        <d v="2021-02-15T00:00:00" u="1"/>
        <d v="2022-02-15T00:00:00" u="1"/>
        <d v="2023-02-15T00:00:00" u="1"/>
        <d v="2025-02-15T00:00:00" u="1"/>
        <d v="2019-07-04T00:00:00" u="1"/>
        <d v="2020-07-04T00:00:00" u="1"/>
        <d v="2022-07-04T00:00:00" u="1"/>
        <d v="2023-07-04T00:00:00" u="1"/>
        <d v="2024-07-04T00:00:00" u="1"/>
        <d v="2025-07-04T00:00:00" u="1"/>
        <d v="2021-03-15T00:00:00" u="1"/>
        <d v="2022-03-15T00:00:00" u="1"/>
        <d v="2023-03-15T00:00:00" u="1"/>
        <d v="2024-03-15T00:00:00" u="1"/>
        <d v="2025-03-15T00:00:00" u="1"/>
        <d v="2021-08-04T00:00:00" u="1"/>
        <d v="2023-08-04T00:00:00" u="1"/>
        <d v="2025-08-04T00:00:00" u="1"/>
        <d v="2021-04-15T00:00:00" u="1"/>
        <d v="2022-04-15T00:00:00" u="1"/>
        <d v="2023-04-15T00:00:00" u="1"/>
        <d v="2024-04-15T00:00:00" u="1"/>
        <d v="2025-04-15T00:00:00" u="1"/>
        <d v="2019-09-04T00:00:00" u="1"/>
        <d v="2020-09-04T00:00:00" u="1"/>
        <d v="2021-09-04T00:00:00" u="1"/>
        <d v="2023-09-04T00:00:00" u="1"/>
        <d v="2019-05-15T00:00:00" u="1"/>
        <d v="2024-09-04T00:00:00" u="1"/>
        <d v="2020-05-15T00:00:00" u="1"/>
        <d v="2025-09-04T00:00:00" u="1"/>
        <d v="2021-05-15T00:00:00" u="1"/>
        <d v="2023-05-15T00:00:00" u="1"/>
        <d v="2024-05-15T00:00:00" u="1"/>
        <d v="2025-05-15T00:00:00" u="1"/>
        <d v="2021-01-26T00:00:00" u="1"/>
        <d v="2022-01-26T00:00:00" u="1"/>
        <d v="2023-01-26T00:00:00" u="1"/>
        <d v="2024-01-26T00:00:00" u="1"/>
        <d v="2019-10-04T00:00:00" u="1"/>
        <d v="2021-10-04T00:00:00" u="1"/>
        <d v="2023-10-04T00:00:00" u="1"/>
        <d v="2019-06-15T00:00:00" u="1"/>
        <d v="2024-10-04T00:00:00" u="1"/>
        <d v="2020-06-15T00:00:00" u="1"/>
        <d v="2025-10-04T00:00:00" u="1"/>
        <d v="2021-06-15T00:00:00" u="1"/>
        <d v="2022-06-15T00:00:00" u="1"/>
        <d v="2023-06-15T00:00:00" u="1"/>
        <d v="2024-06-15T00:00:00" u="1"/>
        <d v="2020-02-26T00:00:00" u="1"/>
        <d v="2021-02-26T00:00:00" u="1"/>
        <d v="2022-02-26T00:00:00" u="1"/>
        <d v="2024-02-26T00:00:00" u="1"/>
        <d v="2025-02-26T00:00:00" u="1"/>
        <d v="2019-11-04T00:00:00" u="1"/>
        <d v="2020-11-04T00:00:00" u="1"/>
        <d v="2021-11-04T00:00:00" u="1"/>
        <d v="2023-11-04T00:00:00" u="1"/>
        <d v="2019-07-15T00:00:00" u="1"/>
        <d v="2024-11-04T00:00:00" u="1"/>
        <d v="2020-07-15T00:00:00" u="1"/>
        <d v="2025-11-04T00:00:00" u="1"/>
        <d v="2021-07-15T00:00:00" u="1"/>
        <d v="2022-07-15T00:00:00" u="1"/>
        <d v="2023-07-15T00:00:00" u="1"/>
        <d v="2024-07-15T00:00:00" u="1"/>
        <d v="2020-03-26T00:00:00" u="1"/>
        <d v="2025-07-15T00:00:00" u="1"/>
        <d v="2021-03-26T00:00:00" u="1"/>
        <d v="2022-03-26T00:00:00" u="1"/>
        <d v="2024-03-26T00:00:00" u="1"/>
        <d v="2025-03-26T00:00:00" u="1"/>
        <d v="2019-12-04T00:00:00" u="1"/>
        <d v="2020-12-04T00:00:00" u="1"/>
        <d v="2021-12-04T00:00:00" u="1"/>
        <d v="2023-12-04T00:00:00" u="1"/>
        <d v="2019-08-15T00:00:00" u="1"/>
        <d v="2024-12-04T00:00:00" u="1"/>
        <d v="2025-12-04T00:00:00" u="1"/>
        <d v="2024-08-15T00:00:00" u="1"/>
        <d v="2021-04-26T00:00:00" u="1"/>
        <d v="2022-04-26T00:00:00" u="1"/>
        <d v="2023-04-26T00:00:00" u="1"/>
        <d v="2024-04-26T00:00:00" u="1"/>
        <d v="2025-04-26T00:00:00" u="1"/>
        <d v="2020-09-15T00:00:00" u="1"/>
        <d v="2021-09-15T00:00:00" u="1"/>
        <d v="2023-09-15T00:00:00" u="1"/>
        <d v="2020-05-26T00:00:00" u="1"/>
        <d v="2025-09-15T00:00:00" u="1"/>
        <d v="2021-05-26T00:00:00" u="1"/>
        <d v="2022-05-26T00:00:00" u="1"/>
        <d v="2023-05-26T00:00:00" u="1"/>
        <d v="2025-05-26T00:00:00" u="1"/>
        <d v="2019-10-15T00:00:00" u="1"/>
        <d v="2020-10-15T00:00:00" u="1"/>
        <d v="2021-10-15T00:00:00" u="1"/>
        <d v="2019-06-26T00:00:00" u="1"/>
        <d v="2024-10-15T00:00:00" u="1"/>
        <d v="2020-06-26T00:00:00" u="1"/>
        <d v="2025-10-15T00:00:00" u="1"/>
        <d v="2021-06-26T00:00:00" u="1"/>
        <d v="2023-06-26T00:00:00" u="1"/>
        <d v="2024-06-26T00:00:00" u="1"/>
        <d v="2025-06-26T00:00:00" u="1"/>
        <d v="2019-11-15T00:00:00" u="1"/>
        <d v="2021-11-15T00:00:00" u="1"/>
        <d v="2023-11-15T00:00:00" u="1"/>
        <d v="2019-07-26T00:00:00" u="1"/>
        <d v="2024-11-15T00:00:00" u="1"/>
        <d v="2025-11-15T00:00:00" u="1"/>
        <d v="2021-07-26T00:00:00" u="1"/>
        <d v="2022-07-26T00:00:00" u="1"/>
        <d v="2023-07-26T00:00:00" u="1"/>
        <d v="2024-07-26T00:00:00" u="1"/>
        <d v="2025-07-26T00:00:00" u="1"/>
        <d v="2020-12-15T00:00:00" u="1"/>
        <d v="2021-12-15T00:00:00" u="1"/>
        <d v="2023-12-15T00:00:00" u="1"/>
        <d v="2019-08-26T00:00:00" u="1"/>
        <d v="2020-08-26T00:00:00" u="1"/>
        <d v="2025-12-15T00:00:00" u="1"/>
        <d v="2021-08-26T00:00:00" u="1"/>
        <d v="2023-08-26T00:00:00" u="1"/>
        <d v="2024-08-26T00:00:00" u="1"/>
        <d v="2025-08-26T00:00:00" u="1"/>
        <d v="2021-01-05T00:00:00" u="1"/>
        <d v="2022-01-05T00:00:00" u="1"/>
        <d v="2019-09-26T00:00:00" u="1"/>
        <d v="2020-09-26T00:00:00" u="1"/>
        <d v="2023-09-26T00:00:00" u="1"/>
        <d v="2024-09-26T00:00:00" u="1"/>
        <d v="2025-09-26T00:00:00" u="1"/>
        <d v="2020-02-05T00:00:00" u="1"/>
        <d v="2021-02-05T00:00:00" u="1"/>
        <d v="2022-02-05T00:00:00" u="1"/>
        <d v="2024-02-05T00:00:00" u="1"/>
        <d v="2025-02-05T00:00:00" u="1"/>
        <d v="2019-10-26T00:00:00" u="1"/>
        <d v="2020-10-26T00:00:00" u="1"/>
        <d v="2021-10-26T00:00:00" u="1"/>
        <d v="2023-10-26T00:00:00" u="1"/>
        <d v="2024-10-26T00:00:00" u="1"/>
        <d v="2020-03-05T00:00:00" u="1"/>
        <d v="2021-03-05T00:00:00" u="1"/>
        <d v="2022-03-05T00:00:00" u="1"/>
        <d v="2024-03-05T00:00:00" u="1"/>
        <d v="2025-03-05T00:00:00" u="1"/>
        <d v="2019-11-26T00:00:00" u="1"/>
        <d v="2020-11-26T00:00:00" u="1"/>
        <d v="2021-11-26T00:00:00" u="1"/>
        <d v="2024-11-26T00:00:00" u="1"/>
        <d v="2025-11-26T00:00:00" u="1"/>
        <d v="2021-04-05T00:00:00" u="1"/>
        <d v="2022-04-05T00:00:00" u="1"/>
        <d v="2023-04-05T00:00:00" u="1"/>
        <d v="2024-04-05T00:00:00" u="1"/>
        <d v="2025-04-05T00:00:00" u="1"/>
        <d v="2019-12-26T00:00:00" u="1"/>
        <d v="2020-12-26T00:00:00" u="1"/>
        <d v="2023-12-26T00:00:00" u="1"/>
        <d v="2024-12-26T00:00:00" u="1"/>
        <d v="2025-12-26T00:00:00" u="1"/>
        <d v="2020-05-05T00:00:00" u="1"/>
        <d v="2021-05-05T00:00:00" u="1"/>
        <d v="2022-05-05T00:00:00" u="1"/>
        <d v="2023-05-05T00:00:00" u="1"/>
        <d v="2020-01-16T00:00:00" u="1"/>
        <d v="2025-05-05T00:00:00" u="1"/>
        <d v="2021-01-16T00:00:00" u="1"/>
        <d v="2023-01-16T00:00:00" u="1"/>
        <d v="2024-01-16T00:00:00" u="1"/>
        <d v="2025-01-16T00:00:00" u="1"/>
        <d v="2020-06-05T00:00:00" u="1"/>
        <d v="2021-06-05T00:00:00" u="1"/>
        <d v="2023-06-05T00:00:00" u="1"/>
        <d v="2024-06-05T00:00:00" u="1"/>
        <d v="2025-06-05T00:00:00" u="1"/>
        <d v="2021-02-16T00:00:00" u="1"/>
        <d v="2022-02-16T00:00:00" u="1"/>
        <d v="2024-02-16T00:00:00" u="1"/>
        <d v="2019-07-05T00:00:00" u="1"/>
        <d v="2021-07-05T00:00:00" u="1"/>
        <d v="2022-07-05T00:00:00" u="1"/>
        <d v="2023-07-05T00:00:00" u="1"/>
        <d v="2024-07-05T00:00:00" u="1"/>
        <d v="2020-03-16T00:00:00" u="1"/>
        <d v="2025-07-05T00:00:00" u="1"/>
        <d v="2021-03-16T00:00:00" u="1"/>
        <d v="2022-03-16T00:00:00" u="1"/>
        <d v="2023-03-16T00:00:00" u="1"/>
        <d v="2024-03-16T00:00:00" u="1"/>
        <d v="2019-08-05T00:00:00" u="1"/>
        <d v="2020-08-05T00:00:00" u="1"/>
        <d v="2021-08-05T00:00:00" u="1"/>
        <d v="2023-08-05T00:00:00" u="1"/>
        <d v="2025-08-05T00:00:00" u="1"/>
        <d v="2021-04-16T00:00:00" u="1"/>
        <d v="2022-04-16T00:00:00" u="1"/>
        <d v="2024-04-16T00:00:00" u="1"/>
        <d v="2025-04-16T00:00:00" u="1"/>
        <d v="2019-09-05T00:00:00" u="1"/>
        <d v="2020-09-05T00:00:00" u="1"/>
        <d v="2023-09-05T00:00:00" u="1"/>
        <d v="2019-05-16T00:00:00" u="1"/>
        <d v="2024-09-05T00:00:00" u="1"/>
        <d v="2020-05-16T00:00:00" u="1"/>
        <d v="2025-09-05T00:00:00" u="1"/>
        <d v="2022-05-16T00:00:00" u="1"/>
        <d v="2023-05-16T00:00:00" u="1"/>
        <d v="2020-01-27T00:00:00" u="1"/>
        <d v="2025-05-16T00:00:00" u="1"/>
        <d v="2021-01-27T00:00:00" u="1"/>
        <d v="2022-01-27T00:00:00" u="1"/>
        <d v="2023-01-27T00:00:00" u="1"/>
        <d v="2024-01-27T00:00:00" u="1"/>
        <d v="2025-01-27T00:00:00" u="1"/>
        <d v="2019-10-05T00:00:00" u="1"/>
        <d v="2020-10-05T00:00:00" u="1"/>
        <d v="2021-10-05T00:00:00" u="1"/>
        <d v="2023-10-05T00:00:00" u="1"/>
        <d v="2024-10-05T00:00:00" u="1"/>
        <d v="2020-06-16T00:00:00" u="1"/>
        <d v="2021-06-16T00:00:00" u="1"/>
        <d v="2022-06-16T00:00:00" u="1"/>
        <d v="2023-06-16T00:00:00" u="1"/>
        <d v="2020-02-27T00:00:00" u="1"/>
        <d v="2025-06-16T00:00:00" u="1"/>
        <d v="2021-02-27T00:00:00" u="1"/>
        <d v="2023-02-27T00:00:00" u="1"/>
        <d v="2024-02-27T00:00:00" u="1"/>
        <d v="2025-02-27T00:00:00" u="1"/>
        <d v="2019-11-05T00:00:00" u="1"/>
        <d v="2020-11-05T00:00:00" u="1"/>
        <d v="2021-11-05T00:00:00" u="1"/>
        <d v="2019-07-16T00:00:00" u="1"/>
        <d v="2024-11-05T00:00:00" u="1"/>
        <d v="2020-07-16T00:00:00" u="1"/>
        <d v="2025-11-05T00:00:00" u="1"/>
        <d v="2021-07-16T00:00:00" u="1"/>
        <d v="2022-07-16T00:00:00" u="1"/>
        <d v="2024-07-16T00:00:00" u="1"/>
        <d v="2025-07-16T00:00:00" u="1"/>
        <d v="2021-03-27T00:00:00" u="1"/>
        <d v="2023-03-27T00:00:00" u="1"/>
        <d v="2024-03-27T00:00:00" u="1"/>
        <d v="2025-03-27T00:00:00" u="1"/>
        <d v="2019-12-05T00:00:00" u="1"/>
        <d v="2020-12-05T00:00:00" u="1"/>
        <d v="2023-12-05T00:00:00" u="1"/>
        <d v="2019-08-16T00:00:00" u="1"/>
        <d v="2024-12-05T00:00:00" u="1"/>
        <d v="2025-12-05T00:00:00" u="1"/>
        <d v="2021-08-16T00:00:00" u="1"/>
        <d v="2024-08-16T00:00:00" u="1"/>
        <d v="2021-04-27T00:00:00" u="1"/>
        <d v="2022-04-27T00:00:00" u="1"/>
        <d v="2023-04-27T00:00:00" u="1"/>
        <d v="2024-04-27T00:00:00" u="1"/>
        <d v="2019-09-16T00:00:00" u="1"/>
        <d v="2020-09-16T00:00:00" u="1"/>
        <d v="2021-09-16T00:00:00" u="1"/>
        <d v="2023-09-16T00:00:00" u="1"/>
        <d v="2019-05-27T00:00:00" u="1"/>
        <d v="2024-09-16T00:00:00" u="1"/>
        <d v="2020-05-27T00:00:00" u="1"/>
        <d v="2025-09-16T00:00:00" u="1"/>
        <d v="2021-05-27T00:00:00" u="1"/>
        <d v="2022-05-27T00:00:00" u="1"/>
        <d v="2023-05-27T00:00:00" u="1"/>
        <d v="2024-05-27T00:00:00" u="1"/>
        <d v="2025-05-27T00:00:00" u="1"/>
        <d v="2019-10-16T00:00:00" u="1"/>
        <d v="2020-10-16T00:00:00" u="1"/>
        <d v="2021-10-16T00:00:00" u="1"/>
        <d v="2023-10-16T00:00:00" u="1"/>
        <d v="2019-06-27T00:00:00" u="1"/>
        <d v="2024-10-16T00:00:00" u="1"/>
        <d v="2020-06-27T00:00:00" u="1"/>
        <d v="2025-10-16T00:00:00" u="1"/>
        <d v="2022-06-27T00:00:00" u="1"/>
        <d v="2023-06-27T00:00:00" u="1"/>
        <d v="2024-06-27T00:00:00" u="1"/>
        <d v="2025-06-27T00:00:00" u="1"/>
        <d v="2019-11-16T00:00:00" u="1"/>
        <d v="2020-11-16T00:00:00" u="1"/>
        <d v="2021-11-16T00:00:00" u="1"/>
        <d v="2023-11-16T00:00:00" u="1"/>
        <d v="2019-07-27T00:00:00" u="1"/>
        <d v="2024-11-16T00:00:00" u="1"/>
        <d v="2020-07-27T00:00:00" u="1"/>
        <d v="2021-07-27T00:00:00" u="1"/>
        <d v="2022-07-27T00:00:00" u="1"/>
        <d v="2023-07-27T00:00:00" u="1"/>
        <d v="2024-07-27T00:00:00" u="1"/>
        <d v="2019-12-16T00:00:00" u="1"/>
        <d v="2020-12-16T00:00:00" u="1"/>
        <d v="2021-12-16T00:00:00" u="1"/>
        <d v="2023-12-16T00:00:00" u="1"/>
        <d v="2019-08-27T00:00:00" u="1"/>
        <d v="2024-12-16T00:00:00" u="1"/>
        <d v="2020-08-27T00:00:00" u="1"/>
        <d v="2025-12-16T00:00:00" u="1"/>
        <d v="2021-08-27T00:00:00" u="1"/>
        <d v="2024-08-27T00:00:00" u="1"/>
        <d v="2025-08-27T00:00:00" u="1"/>
        <d v="2020-01-06T00:00:00" u="1"/>
        <d v="2021-01-06T00:00:00" u="1"/>
        <d v="2022-01-06T00:00:00" u="1"/>
        <d v="2023-01-06T00:00:00" u="1"/>
        <d v="2024-01-06T00:00:00" u="1"/>
        <d v="2025-01-06T00:00:00" u="1"/>
        <d v="2019-09-27T00:00:00" u="1"/>
        <d v="2021-09-27T00:00:00" u="1"/>
        <d v="2023-09-27T00:00:00" u="1"/>
        <d v="2024-09-27T00:00:00" u="1"/>
        <d v="2025-09-27T00:00:00" u="1"/>
        <d v="2020-02-06T00:00:00" u="1"/>
        <d v="2021-02-06T00:00:00" u="1"/>
        <d v="2023-02-06T00:00:00" u="1"/>
        <d v="2024-02-06T00:00:00" u="1"/>
        <d v="2025-02-06T00:00:00" u="1"/>
        <d v="2020-10-27T00:00:00" u="1"/>
        <d v="2021-10-27T00:00:00" u="1"/>
        <d v="2023-10-27T00:00:00" u="1"/>
        <d v="2025-10-27T00:00:00" u="1"/>
        <d v="2020-03-06T00:00:00" u="1"/>
        <d v="2021-03-06T00:00:00" u="1"/>
        <d v="2023-03-06T00:00:00" u="1"/>
        <d v="2024-03-06T00:00:00" u="1"/>
        <d v="2025-03-06T00:00:00" u="1"/>
        <d v="2019-11-27T00:00:00" u="1"/>
        <d v="2020-11-27T00:00:00" u="1"/>
        <d v="2021-11-27T00:00:00" u="1"/>
        <d v="2023-11-27T00:00:00" u="1"/>
        <d v="2024-11-27T00:00:00" u="1"/>
        <d v="2025-11-27T00:00:00" u="1"/>
        <d v="2020-04-06T00:00:00" u="1"/>
        <d v="2021-04-06T00:00:00" u="1"/>
        <d v="2022-04-06T00:00:00" u="1"/>
        <d v="2023-04-06T00:00:00" u="1"/>
        <d v="2024-04-06T00:00:00" u="1"/>
        <d v="2019-12-27T00:00:00" u="1"/>
        <d v="2021-12-27T00:00:00" u="1"/>
        <d v="2023-12-27T00:00:00" u="1"/>
        <d v="2024-12-27T00:00:00" u="1"/>
        <d v="2025-12-27T00:00:00" u="1"/>
        <d v="2019-05-06T00:00:00" u="1"/>
        <d v="2020-05-06T00:00:00" u="1"/>
        <d v="2021-05-06T00:00:00" u="1"/>
        <d v="2022-05-06T00:00:00" u="1"/>
        <d v="2023-05-06T00:00:00" u="1"/>
        <d v="2024-05-06T00:00:00" u="1"/>
        <d v="2020-01-17T00:00:00" u="1"/>
        <d v="2025-05-06T00:00:00" u="1"/>
        <d v="2022-01-17T00:00:00" u="1"/>
        <d v="2023-01-17T00:00:00" u="1"/>
        <d v="2024-01-17T00:00:00" u="1"/>
        <d v="2025-01-17T00:00:00" u="1"/>
        <d v="2019-06-06T00:00:00" u="1"/>
        <d v="2020-06-06T00:00:00" u="1"/>
        <d v="2022-06-06T00:00:00" u="1"/>
        <d v="2023-06-06T00:00:00" u="1"/>
        <d v="2019-07-06T00:00:00" u="1"/>
        <d v="2020-07-06T00:00:00" u="1"/>
        <d v="2021-07-06T00:00:00" u="1"/>
        <d v="2022-07-06T00:00:00" u="1"/>
        <d v="2023-07-06T00:00:00" u="1"/>
        <d v="2024-07-06T00:00:00" u="1"/>
        <d v="2020-03-17T00:00:00" u="1"/>
        <d v="2021-03-17T00:00:00" u="1"/>
        <d v="2022-03-17T00:00:00" u="1"/>
        <d v="2023-03-17T00:00:00" u="1"/>
        <d v="2025-03-17T00:00:00" u="1"/>
        <d v="2019-08-06T00:00:00" u="1"/>
        <d v="2021-08-06T00:00:00" u="1"/>
        <d v="2024-08-06T00:00:00" u="1"/>
        <d v="2025-08-06T00:00:00" u="1"/>
        <d v="2021-04-17T00:00:00" u="1"/>
        <d v="2023-04-17T00:00:00" u="1"/>
        <d v="2024-04-17T00:00:00" u="1"/>
        <d v="2025-04-17T00:00:00" u="1"/>
        <d v="2019-09-06T00:00:00" u="1"/>
        <d v="2021-09-06T00:00:00" u="1"/>
        <d v="2023-09-06T00:00:00" u="1"/>
        <d v="2019-05-17T00:00:00" u="1"/>
        <d v="2024-09-06T00:00:00" u="1"/>
        <d v="2025-09-06T00:00:00" u="1"/>
        <d v="2021-05-17T00:00:00" u="1"/>
        <d v="2022-05-17T00:00:00" u="1"/>
        <d v="2023-05-17T00:00:00" u="1"/>
        <d v="2024-05-17T00:00:00" u="1"/>
        <d v="2020-01-28T00:00:00" u="1"/>
        <d v="2025-05-17T00:00:00" u="1"/>
        <d v="2021-01-28T00:00:00" u="1"/>
        <d v="2022-01-28T00:00:00" u="1"/>
        <d v="2023-01-28T00:00:00" u="1"/>
        <d v="2025-01-28T00:00:00" u="1"/>
        <d v="2020-10-06T00:00:00" u="1"/>
        <d v="2021-10-06T00:00:00" u="1"/>
        <d v="2023-10-06T00:00:00" u="1"/>
        <d v="2019-06-17T00:00:00" u="1"/>
        <d v="2020-06-17T00:00:00" u="1"/>
        <d v="2025-10-06T00:00:00" u="1"/>
        <d v="2021-06-17T00:00:00" u="1"/>
        <d v="2022-06-17T00:00:00" u="1"/>
        <d v="2023-06-17T00:00:00" u="1"/>
        <d v="2024-06-17T00:00:00" u="1"/>
        <d v="2020-02-28T00:00:00" u="1"/>
        <d v="2025-06-17T00:00:00" u="1"/>
        <d v="2022-02-28T00:00:00" u="1"/>
        <d v="2023-02-28T00:00:00" u="1"/>
        <d v="2024-02-28T00:00:00" u="1"/>
        <d v="2025-02-28T00:00:00" u="1"/>
        <d v="2019-11-06T00:00:00" u="1"/>
        <d v="2020-11-06T00:00:00" u="1"/>
        <d v="2021-11-06T00:00:00" u="1"/>
        <d v="2023-11-06T00:00:00" u="1"/>
        <d v="2019-07-17T00:00:00" u="1"/>
        <d v="2024-11-06T00:00:00" u="1"/>
        <d v="2020-07-17T00:00:00" u="1"/>
        <d v="2025-11-06T00:00:00" u="1"/>
        <d v="2021-07-17T00:00:00" u="1"/>
        <d v="2023-07-17T00:00:00" u="1"/>
        <d v="2024-07-17T00:00:00" u="1"/>
        <d v="2025-07-17T00:00:00" u="1"/>
        <d v="2022-03-28T00:00:00" u="1"/>
        <d v="2023-03-28T00:00:00" u="1"/>
        <d v="2024-03-28T00:00:00" u="1"/>
        <d v="2025-03-28T00:00:00" u="1"/>
        <d v="2019-12-06T00:00:00" u="1"/>
        <d v="2021-12-06T00:00:00" u="1"/>
        <d v="2023-12-06T00:00:00" u="1"/>
        <d v="2019-08-17T00:00:00" u="1"/>
        <d v="2024-12-06T00:00:00" u="1"/>
        <d v="2020-08-17T00:00:00" u="1"/>
        <d v="2025-12-06T00:00:00" u="1"/>
        <d v="2021-08-17T00:00:00" u="1"/>
        <d v="2024-08-17T00:00:00" u="1"/>
        <d v="2021-04-28T00:00:00" u="1"/>
        <d v="2023-04-28T00:00:00" u="1"/>
        <d v="2025-04-28T00:00:00" u="1"/>
        <d v="2019-09-17T00:00:00" u="1"/>
        <d v="2020-09-17T00:00:00" u="1"/>
        <d v="2021-09-17T00:00:00" u="1"/>
        <d v="2019-05-28T00:00:00" u="1"/>
        <d v="2024-09-17T00:00:00" u="1"/>
        <d v="2020-05-28T00:00:00" u="1"/>
        <d v="2025-09-17T00:00:00" u="1"/>
        <d v="2021-05-28T00:00:00" u="1"/>
        <d v="2022-05-28T00:00:00" u="1"/>
        <d v="2024-05-28T00:00:00" u="1"/>
        <d v="2025-05-28T00:00:00" u="1"/>
        <d v="2019-10-17T00:00:00" u="1"/>
        <d v="2020-10-17T00:00:00" u="1"/>
        <d v="2023-10-17T00:00:00" u="1"/>
        <d v="2019-06-28T00:00:00" u="1"/>
        <d v="2024-10-17T00:00:00" u="1"/>
        <d v="2025-10-17T00:00:00" u="1"/>
        <d v="2021-06-28T00:00:00" u="1"/>
        <d v="2022-06-28T00:00:00" u="1"/>
        <d v="2024-06-28T00:00:00" u="1"/>
        <d v="2025-06-28T00:00:00" u="1"/>
        <d v="2020-11-17T00:00:00" u="1"/>
        <d v="2021-11-17T00:00:00" u="1"/>
        <d v="2023-11-17T00:00:00" u="1"/>
        <d v="2020-07-28T00:00:00" u="1"/>
        <d v="2021-07-28T00:00:00" u="1"/>
        <d v="2023-07-28T00:00:00" u="1"/>
        <d v="2025-07-28T00:00:00" u="1"/>
        <d v="2019-12-17T00:00:00" u="1"/>
        <d v="2020-12-17T00:00:00" u="1"/>
        <d v="2021-12-17T00:00:00" u="1"/>
        <d v="2019-08-28T00:00:00" u="1"/>
        <d v="2024-12-17T00:00:00" u="1"/>
        <d v="2020-08-28T00:00:00" u="1"/>
        <d v="2025-12-17T00:00:00" u="1"/>
        <d v="2021-08-28T00:00:00" u="1"/>
        <d v="2023-08-28T00:00:00" u="1"/>
        <d v="2024-08-28T00:00:00" u="1"/>
        <d v="2025-08-28T00:00:00" u="1"/>
        <d v="2020-01-07T00:00:00" u="1"/>
        <d v="2021-01-07T00:00:00" u="1"/>
        <d v="2022-01-07T00:00:00" u="1"/>
        <d v="2023-01-07T00:00:00" u="1"/>
        <d v="2025-01-07T00:00:00" u="1"/>
        <d v="2019-09-28T00:00:00" u="1"/>
        <d v="2020-09-28T00:00:00" u="1"/>
        <d v="2021-09-28T00:00:00" u="1"/>
        <d v="2023-09-28T00:00:00" u="1"/>
        <d v="2024-09-28T00:00:00" u="1"/>
        <d v="2020-02-07T00:00:00" u="1"/>
        <d v="2022-02-07T00:00:00" u="1"/>
        <d v="2023-02-07T00:00:00" u="1"/>
        <d v="2024-02-07T00:00:00" u="1"/>
        <d v="2025-02-07T00:00:00" u="1"/>
        <d v="2019-10-28T00:00:00" u="1"/>
        <d v="2020-10-28T00:00:00" u="1"/>
        <d v="2021-10-28T00:00:00" u="1"/>
        <d v="2023-10-28T00:00:00" u="1"/>
        <d v="2024-10-28T00:00:00" u="1"/>
        <d v="2025-10-28T00:00:00" u="1"/>
        <d v="2020-03-07T00:00:00" u="1"/>
        <d v="2022-03-07T00:00:00" u="1"/>
        <d v="2023-03-07T00:00:00" u="1"/>
        <d v="2024-03-07T00:00:00" u="1"/>
        <d v="2025-03-07T00:00:00" u="1"/>
        <d v="2020-04-07T00:00:00" u="1"/>
        <d v="2021-04-07T00:00:00" u="1"/>
        <d v="2022-04-07T00:00:00" u="1"/>
        <d v="2023-04-07T00:00:00" u="1"/>
        <d v="2025-04-07T00:00:00" u="1"/>
        <d v="2019-12-28T00:00:00" u="1"/>
        <d v="2020-12-28T00:00:00" u="1"/>
        <d v="2021-12-28T00:00:00" u="1"/>
        <d v="2023-12-28T00:00:00" u="1"/>
        <d v="2024-12-28T00:00:00" u="1"/>
        <d v="2019-05-07T00:00:00" u="1"/>
        <d v="2020-05-07T00:00:00" u="1"/>
        <d v="2021-05-07T00:00:00" u="1"/>
        <d v="2022-05-07T00:00:00" u="1"/>
        <d v="2024-05-07T00:00:00" u="1"/>
        <d v="2020-01-18T00:00:00" u="1"/>
        <d v="2025-05-07T00:00:00" u="1"/>
        <d v="2021-01-18T00:00:00" u="1"/>
        <d v="2022-01-18T00:00:00" u="1"/>
        <d v="2023-01-18T00:00:00" u="1"/>
        <d v="2024-01-18T00:00:00" u="1"/>
        <d v="2025-01-18T00:00:00" u="1"/>
        <d v="2019-06-07T00:00:00" u="1"/>
        <d v="2021-06-07T00:00:00" u="1"/>
        <d v="2022-06-07T00:00:00" u="1"/>
        <d v="2023-06-07T00:00:00" u="1"/>
        <d v="2024-06-07T00:00:00" u="1"/>
        <d v="2020-02-18T00:00:00" u="1"/>
        <d v="2021-02-18T00:00:00" u="1"/>
        <d v="2022-02-18T00:00:00" u="1"/>
        <d v="2023-02-18T00:00:00" u="1"/>
        <d v="2025-02-18T00:00:00" u="1"/>
        <d v="2020-07-07T00:00:00" u="1"/>
        <d v="2021-07-07T00:00:00" u="1"/>
        <d v="2022-07-07T00:00:00" u="1"/>
        <d v="2023-07-07T00:00:00" u="1"/>
        <d v="2020-03-18T00:00:00" u="1"/>
        <d v="2025-07-07T00:00:00" u="1"/>
        <d v="2021-03-18T00:00:00" u="1"/>
        <d v="2022-03-18T00:00:00" u="1"/>
        <d v="2023-03-18T00:00:00" u="1"/>
        <d v="2024-03-18T00:00:00" u="1"/>
        <d v="2025-03-18T00:00:00" u="1"/>
        <d v="2019-08-07T00:00:00" u="1"/>
        <d v="2021-08-07T00:00:00" u="1"/>
        <d v="2023-08-07T00:00:00" u="1"/>
        <d v="2025-08-07T00:00:00" u="1"/>
        <d v="2022-04-18T00:00:00" u="1"/>
        <d v="2023-04-18T00:00:00" u="1"/>
        <d v="2024-04-18T00:00:00" u="1"/>
        <d v="2025-04-18T00:00:00" u="1"/>
        <d v="2019-09-07T00:00:00" u="1"/>
        <d v="2020-09-07T00:00:00" u="1"/>
        <d v="2021-09-07T00:00:00" u="1"/>
        <d v="2023-09-07T00:00:00" u="1"/>
        <d v="2019-05-18T00:00:00" u="1"/>
        <d v="2024-09-07T00:00:00" u="1"/>
        <d v="2020-05-18T00:00:00" u="1"/>
        <d v="2021-05-18T00:00:00" u="1"/>
        <d v="2022-05-18T00:00:00" u="1"/>
        <d v="2024-05-18T00:00:00" u="1"/>
        <d v="2020-01-29T00:00:00" u="1"/>
        <d v="2021-01-29T00:00:00" u="1"/>
        <d v="2022-01-29T00:00:00" u="1"/>
        <d v="2024-01-29T00:00:00" u="1"/>
        <d v="2025-01-29T00:00:00" u="1"/>
        <d v="2019-10-07T00:00:00" u="1"/>
        <d v="2020-10-07T00:00:00" u="1"/>
        <d v="2021-10-07T00:00:00" u="1"/>
        <d v="2023-10-07T00:00:00" u="1"/>
        <d v="2019-06-18T00:00:00" u="1"/>
        <d v="2024-10-07T00:00:00" u="1"/>
        <d v="2020-06-18T00:00:00" u="1"/>
        <d v="2025-10-07T00:00:00" u="1"/>
        <d v="2021-06-18T00:00:00" u="1"/>
        <d v="2022-06-18T00:00:00" u="1"/>
        <d v="2024-06-18T00:00:00" u="1"/>
        <d v="2020-02-29T00:00:00" u="1"/>
        <d v="2025-06-18T00:00:00" u="1"/>
        <d v="2024-02-29T00:00:00" u="1"/>
        <d v="2019-11-07T00:00:00" u="1"/>
        <d v="2023-11-07T00:00:00" u="1"/>
        <d v="2019-07-18T00:00:00" u="1"/>
        <d v="2024-11-07T00:00:00" u="1"/>
        <d v="2020-07-18T00:00:00" u="1"/>
        <d v="2025-11-07T00:00:00" u="1"/>
        <d v="2022-07-18T00:00:00" u="1"/>
        <d v="2023-07-18T00:00:00" u="1"/>
        <d v="2024-07-18T00:00:00" u="1"/>
        <d v="2025-07-18T00:00:00" u="1"/>
        <d v="2021-03-29T00:00:00" u="1"/>
        <d v="2022-03-29T00:00:00" u="1"/>
        <d v="2023-03-29T00:00:00" u="1"/>
        <d v="2024-03-29T00:00:00" u="1"/>
        <d v="2025-03-29T00:00:00" u="1"/>
        <d v="2019-12-07T00:00:00" u="1"/>
        <d v="2021-12-07T00:00:00" u="1"/>
        <d v="2023-12-07T00:00:00" u="1"/>
        <d v="2024-12-07T00:00:00" u="1"/>
        <d v="2020-08-18T00:00:00" u="1"/>
        <d v="2021-08-18T00:00:00" u="1"/>
        <d v="2025-08-18T00:00:00" u="1"/>
        <d v="2021-04-29T00:00:00" u="1"/>
        <d v="2022-04-29T00:00:00" u="1"/>
        <d v="2023-04-29T00:00:00" u="1"/>
        <d v="2024-04-29T00:00:00" u="1"/>
        <d v="2025-04-29T00:00:00" u="1"/>
        <d v="2019-09-18T00:00:00" u="1"/>
        <d v="2020-09-18T00:00:00" u="1"/>
        <d v="2021-09-18T00:00:00" u="1"/>
        <d v="2023-09-18T00:00:00" u="1"/>
        <d v="2019-05-29T00:00:00" u="1"/>
        <d v="2024-09-18T00:00:00" u="1"/>
        <d v="2020-05-29T00:00:00" u="1"/>
        <d v="2025-09-18T00:00:00" u="1"/>
        <d v="2021-05-29T00:00:00" u="1"/>
        <d v="2023-05-29T00:00:00" u="1"/>
        <d v="2024-05-29T00:00:00" u="1"/>
        <d v="2025-05-29T00:00:00" u="1"/>
        <d v="2019-10-18T00:00:00" u="1"/>
        <d v="2021-10-18T00:00:00" u="1"/>
        <d v="2023-10-18T00:00:00" u="1"/>
        <d v="2019-06-29T00:00:00" u="1"/>
        <d v="2024-10-18T00:00:00" u="1"/>
        <d v="2020-06-29T00:00:00" u="1"/>
        <d v="2025-10-18T00:00:00" u="1"/>
        <d v="2021-06-29T00:00:00" u="1"/>
        <d v="2022-06-29T00:00:00" u="1"/>
        <d v="2024-06-29T00:00:00" u="1"/>
        <d v="2019-11-18T00:00:00" u="1"/>
        <d v="2020-11-18T00:00:00" u="1"/>
        <d v="2021-11-18T00:00:00" u="1"/>
        <d v="2023-11-18T00:00:00" u="1"/>
        <d v="2019-07-29T00:00:00" u="1"/>
        <d v="2024-11-18T00:00:00" u="1"/>
        <d v="2020-07-29T00:00:00" u="1"/>
        <d v="2025-11-18T00:00:00" u="1"/>
        <d v="2021-07-29T00:00:00" u="1"/>
        <d v="2022-07-29T00:00:00" u="1"/>
        <d v="2023-07-29T00:00:00" u="1"/>
        <d v="2024-07-29T00:00:00" u="1"/>
        <d v="2025-07-29T00:00:00" u="1"/>
        <d v="2019-12-18T00:00:00" u="1"/>
        <d v="2020-12-18T00:00:00" u="1"/>
        <d v="2021-12-18T00:00:00" u="1"/>
        <d v="2023-12-18T00:00:00" u="1"/>
        <d v="2019-08-29T00:00:00" u="1"/>
        <d v="2024-12-18T00:00:00" u="1"/>
        <d v="2020-08-29T00:00:00" u="1"/>
        <d v="2025-12-18T00:00:00" u="1"/>
        <d v="2023-08-29T00:00:00" u="1"/>
        <d v="2024-08-29T00:00:00" u="1"/>
        <d v="2025-08-29T00:00:00" u="1"/>
        <d v="2020-01-08T00:00:00" u="1"/>
        <d v="2021-01-08T00:00:00" u="1"/>
        <d v="2022-01-08T00:00:00" u="1"/>
        <d v="2024-01-08T00:00:00" u="1"/>
        <d v="2025-01-08T00:00:00" u="1"/>
        <d v="2020-09-29T00:00:00" u="1"/>
        <d v="2021-09-29T00:00:00" u="1"/>
        <d v="2023-09-29T00:00:00" u="1"/>
        <d v="2025-09-29T00:00:00" u="1"/>
        <d v="2020-02-08T00:00:00" u="1"/>
        <d v="2021-02-08T00:00:00" u="1"/>
        <d v="2022-02-08T00:00:00" u="1"/>
        <d v="2023-02-08T00:00:00" u="1"/>
        <d v="2024-02-08T00:00:00" u="1"/>
        <d v="2025-02-08T00:00:00" u="1"/>
        <d v="2019-10-29T00:00:00" u="1"/>
        <d v="2020-10-29T00:00:00" u="1"/>
        <d v="2021-10-29T00:00:00" u="1"/>
        <d v="2024-10-29T00:00:00" u="1"/>
        <d v="2025-10-29T00:00:00" u="1"/>
        <d v="2021-03-08T00:00:00" u="1"/>
        <d v="2022-03-08T00:00:00" u="1"/>
        <d v="2023-03-08T00:00:00" u="1"/>
        <d v="2024-03-08T00:00:00" u="1"/>
        <d v="2025-03-08T00:00:00" u="1"/>
        <d v="2019-11-29T00:00:00" u="1"/>
        <d v="2021-11-29T00:00:00" u="1"/>
        <d v="2023-11-29T00:00:00" u="1"/>
        <d v="2024-11-29T00:00:00" u="1"/>
        <d v="2025-11-29T00:00:00" u="1"/>
        <d v="2021-04-08T00:00:00" u="1"/>
        <d v="2022-04-08T00:00:00" u="1"/>
        <d v="2023-04-08T00:00:00" u="1"/>
        <d v="2024-04-08T00:00:00" u="1"/>
        <d v="2025-04-08T00:00:00" u="1"/>
        <d v="2020-12-29T00:00:00" u="1"/>
        <d v="2021-12-29T00:00:00" u="1"/>
        <d v="2023-12-29T00:00:00" u="1"/>
        <d v="2025-12-29T00:00:00" u="1"/>
        <d v="2019-05-08T00:00:00" u="1"/>
        <d v="2020-05-08T00:00:00" u="1"/>
        <d v="2021-05-08T00:00:00" u="1"/>
        <d v="2023-05-08T00:00:00" u="1"/>
        <d v="2024-05-08T00:00:00" u="1"/>
        <d v="2025-05-08T00:00:00" u="1"/>
        <d v="2021-01-19T00:00:00" u="1"/>
        <d v="2022-01-19T00:00:00" u="1"/>
        <d v="2024-01-19T00:00:00" u="1"/>
        <d v="2019-06-08T00:00:00" u="1"/>
        <d v="2020-06-08T00:00:00" u="1"/>
        <d v="2021-06-08T00:00:00" u="1"/>
        <d v="2022-06-08T00:00:00" u="1"/>
        <d v="2023-06-08T00:00:00" u="1"/>
        <d v="2024-06-08T00:00:00" u="1"/>
        <d v="2020-02-19T00:00:00" u="1"/>
        <d v="2021-02-19T00:00:00" u="1"/>
        <d v="2022-02-19T00:00:00" u="1"/>
        <d v="2024-02-19T00:00:00" u="1"/>
        <d v="2025-02-19T00:00:00" u="1"/>
        <d v="2019-07-08T00:00:00" u="1"/>
        <d v="2020-07-08T00:00:00" u="1"/>
        <d v="2021-07-08T00:00:00" u="1"/>
        <d v="2022-07-08T00:00:00" u="1"/>
        <d v="2023-07-08T00:00:00" u="1"/>
        <d v="2024-07-08T00:00:00" u="1"/>
        <d v="2025-07-08T00:00:00" u="1"/>
        <d v="2021-03-19T00:00:00" u="1"/>
        <d v="2022-03-19T00:00:00" u="1"/>
        <d v="2024-03-19T00:00:00" u="1"/>
        <d v="2025-03-19T00:00:00" u="1"/>
        <d v="2019-08-08T00:00:00" u="1"/>
        <d v="2020-08-08T00:00:00" u="1"/>
        <d v="2023-08-08T00:00:00" u="1"/>
        <d v="2025-08-08T00:00:00" u="1"/>
        <d v="2021-04-19T00:00:00" u="1"/>
        <d v="2022-04-19T00:00:00" u="1"/>
        <d v="2023-04-19T00:00:00" u="1"/>
        <d v="2024-04-19T00:00:00" u="1"/>
        <d v="2025-04-19T00:00:00" u="1"/>
        <d v="2020-09-08T00:00:00" u="1"/>
        <d v="2021-09-08T00:00:00" u="1"/>
        <d v="2023-09-08T00:00:00" u="1"/>
        <d v="2020-05-19T00:00:00" u="1"/>
        <d v="2025-09-08T00:00:00" u="1"/>
        <d v="2021-05-19T00:00:00" u="1"/>
        <d v="2022-05-19T00:00:00" u="1"/>
        <d v="2023-05-19T00:00:00" u="1"/>
        <d v="2020-01-30T00:00:00" u="1"/>
        <d v="2025-05-19T00:00:00" u="1"/>
        <d v="2021-01-30T00:00:00" u="1"/>
        <d v="2023-01-30T00:00:00" u="1"/>
        <d v="2024-01-30T00:00:00" u="1"/>
        <d v="2025-01-30T00:00:00" u="1"/>
        <d v="2019-10-08T00:00:00" u="1"/>
        <d v="2020-10-08T00:00:00" u="1"/>
        <d v="2021-10-08T00:00:00" u="1"/>
        <d v="2019-06-19T00:00:00" u="1"/>
        <d v="2024-10-08T00:00:00" u="1"/>
        <d v="2020-06-19T00:00:00" u="1"/>
        <d v="2025-10-08T00:00:00" u="1"/>
        <d v="2021-06-19T00:00:00" u="1"/>
        <d v="2023-06-19T00:00:00" u="1"/>
        <d v="2024-06-19T00:00:00" u="1"/>
        <d v="2025-06-19T00:00:00" u="1"/>
        <d v="2019-11-08T00:00:00" u="1"/>
        <d v="2021-11-08T00:00:00" u="1"/>
        <d v="2023-11-08T00:00:00" u="1"/>
        <d v="2019-07-19T00:00:00" u="1"/>
        <d v="2024-11-08T00:00:00" u="1"/>
        <d v="2025-11-08T00:00:00" u="1"/>
        <d v="2021-07-19T00:00:00" u="1"/>
        <d v="2022-07-19T00:00:00" u="1"/>
        <d v="2023-07-19T00:00:00" u="1"/>
        <d v="2024-07-19T00:00:00" u="1"/>
        <d v="2025-07-19T00:00:00" u="1"/>
        <d v="2021-03-30T00:00:00" u="1"/>
        <d v="2022-03-30T00:00:00" u="1"/>
        <d v="2023-03-30T00:00:00" u="1"/>
        <d v="2024-03-30T00:00:00" u="1"/>
        <d v="2021-12-08T00:00:00" u="1"/>
        <d v="2023-12-08T00:00:00" u="1"/>
        <d v="2019-08-19T00:00:00" u="1"/>
        <d v="2020-08-19T00:00:00" u="1"/>
        <d v="2025-12-08T00:00:00" u="1"/>
        <d v="2021-08-19T00:00:00" u="1"/>
        <d v="2024-08-19T00:00:00" u="1"/>
        <d v="2020-04-30T00:00:00" u="1"/>
        <d v="2025-08-19T00:00:00" u="1"/>
        <d v="2021-04-30T00:00:00" u="1"/>
        <d v="2022-04-30T00:00:00" u="1"/>
        <d v="2024-04-30T00:00:00" u="1"/>
        <d v="2025-04-30T00:00:00" u="1"/>
      </sharedItems>
    </cacheField>
    <cacheField name="Status" numFmtId="0">
      <sharedItems containsNonDate="0" containsString="0" containsBlank="1"/>
    </cacheField>
    <cacheField name="KundenNr." numFmtId="0">
      <sharedItems containsBlank="1" containsMixedTypes="1" containsNumber="1" containsInteger="1" minValue="10103" maxValue="40033"/>
    </cacheField>
    <cacheField name="Wert" numFmtId="166">
      <sharedItems containsString="0" containsBlank="1" containsNumber="1" minValue="4" maxValue="1830.6"/>
    </cacheField>
    <cacheField name="Art. 1" numFmtId="0">
      <sharedItems containsString="0" containsBlank="1" containsNumber="1" containsInteger="1" minValue="12000" maxValue="72101"/>
    </cacheField>
    <cacheField name="St. 1" numFmtId="0">
      <sharedItems containsString="0" containsBlank="1" containsNumber="1" containsInteger="1" minValue="1" maxValue="240"/>
    </cacheField>
    <cacheField name="Art. 2" numFmtId="0">
      <sharedItems containsString="0" containsBlank="1" containsNumber="1" containsInteger="1" minValue="12001" maxValue="72101"/>
    </cacheField>
    <cacheField name="St. 2" numFmtId="0">
      <sharedItems containsString="0" containsBlank="1" containsNumber="1" containsInteger="1" minValue="1" maxValue="240"/>
    </cacheField>
    <cacheField name="Art. 3" numFmtId="0">
      <sharedItems containsString="0" containsBlank="1" containsNumber="1" containsInteger="1" minValue="11000" maxValue="69236"/>
    </cacheField>
    <cacheField name="St. 3" numFmtId="0">
      <sharedItems containsString="0" containsBlank="1" containsNumber="1" containsInteger="1" minValue="1" maxValue="60"/>
    </cacheField>
    <cacheField name="Art. 4" numFmtId="0">
      <sharedItems containsString="0" containsBlank="1" containsNumber="1" containsInteger="1" minValue="11000" maxValue="69236"/>
    </cacheField>
    <cacheField name="St. 4" numFmtId="0">
      <sharedItems containsString="0" containsBlank="1" containsNumber="1" containsInteger="1" minValue="1" maxValue="48"/>
    </cacheField>
    <cacheField name="Art. 5" numFmtId="0">
      <sharedItems containsString="0" containsBlank="1" containsNumber="1" containsInteger="1" minValue="16936" maxValue="69236"/>
    </cacheField>
    <cacheField name="St. 5" numFmtId="0">
      <sharedItems containsString="0" containsBlank="1" containsNumber="1" containsInteger="1" minValue="1" maxValue="48"/>
    </cacheField>
    <cacheField name="Art. 6" numFmtId="0">
      <sharedItems containsString="0" containsBlank="1" containsNumber="1" containsInteger="1" minValue="16936" maxValue="66701"/>
    </cacheField>
    <cacheField name="St. 6" numFmtId="0">
      <sharedItems containsString="0" containsBlank="1" containsNumber="1" containsInteger="1" minValue="1" maxValue="36"/>
    </cacheField>
    <cacheField name="Art. 7" numFmtId="0">
      <sharedItems containsString="0" containsBlank="1" containsNumber="1" containsInteger="1" minValue="16936" maxValue="66701"/>
    </cacheField>
    <cacheField name="St. 7" numFmtId="0">
      <sharedItems containsString="0" containsBlank="1" containsNumber="1" containsInteger="1" minValue="2" maxValue="36"/>
    </cacheField>
    <cacheField name="Art. 8" numFmtId="0">
      <sharedItems containsString="0" containsBlank="1" containsNumber="1" containsInteger="1" minValue="35111" maxValue="72101"/>
    </cacheField>
    <cacheField name="St. 8" numFmtId="0">
      <sharedItems containsString="0" containsBlank="1" containsNumber="1" containsInteger="1" minValue="4" maxValue="60"/>
    </cacheField>
    <cacheField name="Art. 9" numFmtId="0">
      <sharedItems containsString="0" containsBlank="1" containsNumber="1" containsInteger="1" minValue="35109" maxValue="56117"/>
    </cacheField>
    <cacheField name="St. 9" numFmtId="0">
      <sharedItems containsString="0" containsBlank="1" containsNumber="1" containsInteger="1" minValue="2" maxValue="36"/>
    </cacheField>
    <cacheField name="Art. 10" numFmtId="0">
      <sharedItems containsString="0" containsBlank="1" containsNumber="1" containsInteger="1" minValue="35121" maxValue="35121"/>
    </cacheField>
    <cacheField name="St. 10" numFmtId="0">
      <sharedItems containsString="0" containsBlank="1" containsNumber="1" containsInteger="1" minValue="12" maxValue="12"/>
    </cacheField>
    <cacheField name="Art. 11" numFmtId="0">
      <sharedItems containsString="0" containsBlank="1" containsNumber="1" containsInteger="1" minValue="35125" maxValue="35125"/>
    </cacheField>
    <cacheField name="St. 11" numFmtId="0">
      <sharedItems containsString="0" containsBlank="1" containsNumber="1" containsInteger="1" minValue="12" maxValue="12"/>
    </cacheField>
    <cacheField name="Art. 12" numFmtId="0">
      <sharedItems containsString="0" containsBlank="1" containsNumber="1" containsInteger="1" minValue="35128" maxValue="35128"/>
    </cacheField>
    <cacheField name="St. 12" numFmtId="0">
      <sharedItems containsString="0" containsBlank="1" containsNumber="1" containsInteger="1" minValue="12" maxValue="12"/>
    </cacheField>
    <cacheField name="Art. 13" numFmtId="0">
      <sharedItems containsString="0" containsBlank="1" containsNumber="1" containsInteger="1" minValue="66701" maxValue="66701"/>
    </cacheField>
    <cacheField name="St. 13" numFmtId="0">
      <sharedItems containsString="0" containsBlank="1" containsNumber="1" containsInteger="1" minValue="12" maxValue="12"/>
    </cacheField>
    <cacheField name="Art. 14" numFmtId="0">
      <sharedItems containsString="0" containsBlank="1" containsNumber="1" containsInteger="1" minValue="50912" maxValue="50912"/>
    </cacheField>
    <cacheField name="St. 14" numFmtId="0">
      <sharedItems containsString="0" containsBlank="1" containsNumber="1" containsInteger="1" minValue="12" maxValue="12"/>
    </cacheField>
    <cacheField name="Art. 15" numFmtId="0">
      <sharedItems containsNonDate="0" containsString="0" containsBlank="1"/>
    </cacheField>
    <cacheField name="St. 15" numFmtId="0">
      <sharedItems containsNonDate="0" containsString="0" containsBlank="1"/>
    </cacheField>
    <cacheField name="Art. 16" numFmtId="0">
      <sharedItems containsNonDate="0" containsString="0" containsBlank="1"/>
    </cacheField>
    <cacheField name="St. 16" numFmtId="0">
      <sharedItems containsNonDate="0" containsString="0" containsBlank="1"/>
    </cacheField>
    <cacheField name="Art. 17" numFmtId="0">
      <sharedItems containsNonDate="0" containsString="0" containsBlank="1"/>
    </cacheField>
    <cacheField name="St. 17" numFmtId="0">
      <sharedItems containsNonDate="0" containsString="0" containsBlank="1"/>
    </cacheField>
    <cacheField name="Art. 18" numFmtId="0">
      <sharedItems containsNonDate="0" containsString="0" containsBlank="1"/>
    </cacheField>
    <cacheField name="St. 18" numFmtId="0">
      <sharedItems containsNonDate="0" containsString="0" containsBlank="1"/>
    </cacheField>
    <cacheField name="Art. 19" numFmtId="0">
      <sharedItems containsNonDate="0" containsString="0" containsBlank="1"/>
    </cacheField>
    <cacheField name="St. 19" numFmtId="0">
      <sharedItems containsNonDate="0" containsString="0" containsBlank="1"/>
    </cacheField>
    <cacheField name="Art. 20" numFmtId="0">
      <sharedItems containsNonDate="0" containsString="0" containsBlank="1"/>
    </cacheField>
    <cacheField name="St. 20" numFmtId="0">
      <sharedItems containsNonDate="0" containsString="0" containsBlank="1"/>
    </cacheField>
    <cacheField name="Art. 21" numFmtId="0">
      <sharedItems containsNonDate="0" containsString="0" containsBlank="1"/>
    </cacheField>
    <cacheField name="St. 21" numFmtId="0">
      <sharedItems containsNonDate="0" containsString="0" containsBlank="1"/>
    </cacheField>
    <cacheField name="Art. 22" numFmtId="0">
      <sharedItems containsNonDate="0" containsString="0" containsBlank="1"/>
    </cacheField>
    <cacheField name="St. 22" numFmtId="0">
      <sharedItems containsNonDate="0" containsString="0" containsBlank="1"/>
    </cacheField>
    <cacheField name="Art. 23" numFmtId="0">
      <sharedItems containsNonDate="0" containsString="0" containsBlank="1"/>
    </cacheField>
    <cacheField name="St. 23" numFmtId="0">
      <sharedItems containsNonDate="0" containsString="0" containsBlank="1"/>
    </cacheField>
    <cacheField name="Art. 24" numFmtId="0">
      <sharedItems containsNonDate="0" containsString="0" containsBlank="1"/>
    </cacheField>
    <cacheField name="St. 24" numFmtId="0">
      <sharedItems containsNonDate="0" containsString="0" containsBlank="1"/>
    </cacheField>
    <cacheField name="Art. 25" numFmtId="0">
      <sharedItems containsNonDate="0" containsString="0" containsBlank="1"/>
    </cacheField>
    <cacheField name="St. 25" numFmtId="0">
      <sharedItems containsNonDate="0" containsString="0" containsBlank="1"/>
    </cacheField>
    <cacheField name="Art. 26" numFmtId="0">
      <sharedItems containsNonDate="0" containsString="0" containsBlank="1"/>
    </cacheField>
    <cacheField name="St. 26" numFmtId="0">
      <sharedItems containsNonDate="0" containsString="0" containsBlank="1"/>
    </cacheField>
    <cacheField name="St. 27" numFmtId="0">
      <sharedItems containsNonDate="0" containsString="0" containsBlank="1"/>
    </cacheField>
    <cacheField name="St. 28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52789436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97">
  <r>
    <s v="INTERCOM NTP"/>
    <x v="0"/>
    <n v="231"/>
    <m/>
    <m/>
    <x v="0"/>
    <s v="INTERCOM NTP"/>
    <x v="0"/>
    <s v="M-ONE Sanitar Silikon"/>
    <n v="24"/>
    <x v="0"/>
    <n v="0.17"/>
  </r>
  <r>
    <s v="INTERCOM NTP"/>
    <x v="0"/>
    <m/>
    <m/>
    <m/>
    <x v="0"/>
    <s v="INTERCOM NTP"/>
    <x v="1"/>
    <s v="M-ONE Sanitar Silikon"/>
    <n v="36"/>
    <x v="0"/>
    <n v="0.17"/>
  </r>
  <r>
    <s v="ERALP"/>
    <x v="0"/>
    <n v="92.4"/>
    <m/>
    <m/>
    <x v="1"/>
    <s v="ERALP"/>
    <x v="2"/>
    <s v="M-ONE Sanitar Silikon"/>
    <n v="24"/>
    <x v="0"/>
    <n v="0.17"/>
  </r>
  <r>
    <s v="TINA"/>
    <x v="0"/>
    <n v="46.2"/>
    <m/>
    <m/>
    <x v="2"/>
    <s v="TINA"/>
    <x v="3"/>
    <s v="M-ONE Sanitar Silikon"/>
    <n v="12"/>
    <x v="0"/>
    <n v="0.17"/>
  </r>
  <r>
    <s v="IBAK"/>
    <x v="0"/>
    <n v="92.4"/>
    <m/>
    <m/>
    <x v="3"/>
    <s v="IBAK"/>
    <x v="4"/>
    <s v="M-ONE Sanitar Silikon"/>
    <n v="24"/>
    <x v="0"/>
    <n v="0.17"/>
  </r>
  <r>
    <s v="PARKETI"/>
    <x v="0"/>
    <n v="138.6"/>
    <m/>
    <m/>
    <x v="4"/>
    <s v="PARKETI"/>
    <x v="0"/>
    <s v="M-ONE Sanitar Silikon"/>
    <n v="24"/>
    <x v="0"/>
    <n v="0.17"/>
  </r>
  <r>
    <s v="PARKETI"/>
    <x v="0"/>
    <m/>
    <m/>
    <m/>
    <x v="4"/>
    <s v="PARKETI"/>
    <x v="5"/>
    <s v="M-ONE Sanitar Silikon"/>
    <n v="12"/>
    <x v="0"/>
    <n v="0.17"/>
  </r>
  <r>
    <s v="BURIMI"/>
    <x v="0"/>
    <n v="46.2"/>
    <m/>
    <m/>
    <x v="5"/>
    <s v="BURIMI"/>
    <x v="4"/>
    <s v="M-ONE Sanitar Silikon"/>
    <n v="12"/>
    <x v="0"/>
    <n v="0.17"/>
  </r>
  <r>
    <s v="DARDANIA"/>
    <x v="0"/>
    <n v="92.4"/>
    <m/>
    <m/>
    <x v="6"/>
    <s v="DARDANIA"/>
    <x v="4"/>
    <s v="M-ONE Sanitar Silikon"/>
    <n v="12"/>
    <x v="0"/>
    <n v="0.17"/>
  </r>
  <r>
    <s v="DARDANIA"/>
    <x v="0"/>
    <m/>
    <m/>
    <m/>
    <x v="6"/>
    <s v="DARDANIA"/>
    <x v="0"/>
    <s v="M-ONE Sanitar Silikon"/>
    <n v="12"/>
    <x v="0"/>
    <n v="0.17"/>
  </r>
  <r>
    <s v="FUNDAMETI"/>
    <x v="0"/>
    <n v="92.4"/>
    <m/>
    <m/>
    <x v="7"/>
    <s v="FUNDAMETI"/>
    <x v="1"/>
    <s v="M-ONE Sanitar Silikon"/>
    <n v="12"/>
    <x v="0"/>
    <n v="0.17"/>
  </r>
  <r>
    <s v="FUNDAMETI"/>
    <x v="0"/>
    <m/>
    <m/>
    <m/>
    <x v="7"/>
    <s v="FUNDAMETI"/>
    <x v="6"/>
    <s v="M-ONE Sanitar Silikon"/>
    <n v="12"/>
    <x v="0"/>
    <n v="0.17"/>
  </r>
  <r>
    <s v="BEKA-3"/>
    <x v="0"/>
    <n v="86.4"/>
    <m/>
    <m/>
    <x v="8"/>
    <s v="BEKA-3"/>
    <x v="7"/>
    <s v="DICHTUNG"/>
    <n v="12"/>
    <x v="0"/>
    <n v="0.2"/>
  </r>
  <r>
    <s v="HAZROLLI"/>
    <x v="0"/>
    <n v="46.2"/>
    <m/>
    <m/>
    <x v="9"/>
    <s v="HAZROLLI"/>
    <x v="6"/>
    <s v="M-ONE Sanitar Silikon"/>
    <n v="12"/>
    <x v="1"/>
    <n v="0.17"/>
  </r>
  <r>
    <s v="BAU HOME"/>
    <x v="0"/>
    <n v="73.8"/>
    <m/>
    <m/>
    <x v="10"/>
    <s v="BAU HOME"/>
    <x v="1"/>
    <s v="M-ONE Sanitar Silikon"/>
    <n v="12"/>
    <x v="1"/>
    <n v="0.17"/>
  </r>
  <r>
    <s v="BAU HOME"/>
    <x v="0"/>
    <m/>
    <m/>
    <m/>
    <x v="10"/>
    <s v="BAU HOME"/>
    <x v="8"/>
    <s v="struktural akryl"/>
    <n v="12"/>
    <x v="1"/>
    <n v="0.06"/>
  </r>
  <r>
    <s v="CONDOR"/>
    <x v="0"/>
    <n v="240"/>
    <m/>
    <m/>
    <x v="11"/>
    <s v="CONDOR"/>
    <x v="3"/>
    <s v="M-ONE Sanitar Silikon"/>
    <n v="12"/>
    <x v="1"/>
    <n v="0.17"/>
  </r>
  <r>
    <s v="CONDOR"/>
    <x v="0"/>
    <m/>
    <m/>
    <m/>
    <x v="11"/>
    <s v="CONDOR"/>
    <x v="0"/>
    <s v="M-ONE Sanitar Silikon"/>
    <n v="12"/>
    <x v="1"/>
    <n v="0.17"/>
  </r>
  <r>
    <s v="CONDOR"/>
    <x v="0"/>
    <m/>
    <m/>
    <m/>
    <x v="11"/>
    <s v="CONDOR"/>
    <x v="5"/>
    <s v="M-ONE Sanitar Silikon"/>
    <n v="12"/>
    <x v="1"/>
    <n v="0.17"/>
  </r>
  <r>
    <s v="CONDOR"/>
    <x v="0"/>
    <m/>
    <m/>
    <m/>
    <x v="11"/>
    <s v="CONDOR"/>
    <x v="9"/>
    <s v="M-ONE Sanitar Silikon"/>
    <n v="12"/>
    <x v="1"/>
    <n v="0.17"/>
  </r>
  <r>
    <s v="CONDOR"/>
    <x v="0"/>
    <m/>
    <m/>
    <m/>
    <x v="11"/>
    <s v="CONDOR"/>
    <x v="8"/>
    <s v="struktural akryl"/>
    <n v="24"/>
    <x v="1"/>
    <n v="0.06"/>
  </r>
  <r>
    <s v="DURGUTI 3"/>
    <x v="0"/>
    <n v="143.4"/>
    <m/>
    <m/>
    <x v="12"/>
    <s v="DURGUTI 3"/>
    <x v="4"/>
    <s v="M-ONE Sanitar Silikon"/>
    <n v="12"/>
    <x v="1"/>
    <n v="0.17"/>
  </r>
  <r>
    <s v="DURGUTI 3"/>
    <x v="0"/>
    <m/>
    <m/>
    <m/>
    <x v="12"/>
    <s v="DURGUTI 3"/>
    <x v="10"/>
    <s v="PROFIMONT EXTREME"/>
    <n v="12"/>
    <x v="1"/>
    <n v="0.2"/>
  </r>
  <r>
    <s v="DURGUTI 3"/>
    <x v="0"/>
    <m/>
    <m/>
    <m/>
    <x v="12"/>
    <s v="DURGUTI 3"/>
    <x v="8"/>
    <s v="struktural akryl"/>
    <n v="12"/>
    <x v="1"/>
    <n v="0.06"/>
  </r>
  <r>
    <s v="BEREQETI"/>
    <x v="0"/>
    <n v="73.8"/>
    <m/>
    <m/>
    <x v="13"/>
    <s v="BEREQETI"/>
    <x v="1"/>
    <s v="M-ONE Sanitar Silikon"/>
    <n v="12"/>
    <x v="1"/>
    <n v="0.17"/>
  </r>
  <r>
    <s v="BEREQETI"/>
    <x v="0"/>
    <m/>
    <m/>
    <m/>
    <x v="13"/>
    <s v="BEREQETI"/>
    <x v="8"/>
    <s v="struktural akryl"/>
    <n v="12"/>
    <x v="1"/>
    <n v="0.06"/>
  </r>
  <r>
    <s v="AGRO-FARM"/>
    <x v="0"/>
    <n v="142.19999999999999"/>
    <m/>
    <m/>
    <x v="14"/>
    <s v="AGRO-FARM"/>
    <x v="5"/>
    <s v="M-ONE Sanitar Silikon"/>
    <n v="12"/>
    <x v="1"/>
    <n v="0.17"/>
  </r>
  <r>
    <s v="AGRO-FARM"/>
    <x v="0"/>
    <m/>
    <m/>
    <m/>
    <x v="14"/>
    <s v="AGRO-FARM"/>
    <x v="11"/>
    <s v="M ONE BLACK"/>
    <n v="240"/>
    <x v="1"/>
    <n v="0.05"/>
  </r>
  <r>
    <s v="NITA 3"/>
    <x v="0"/>
    <n v="92.4"/>
    <m/>
    <m/>
    <x v="15"/>
    <s v="NITA 3"/>
    <x v="3"/>
    <s v="M-ONE Sanitar Silikon"/>
    <n v="12"/>
    <x v="1"/>
    <n v="0.17"/>
  </r>
  <r>
    <s v="NITA 3"/>
    <x v="0"/>
    <m/>
    <m/>
    <m/>
    <x v="15"/>
    <s v="NITA 3"/>
    <x v="0"/>
    <s v="M-ONE Sanitar Silikon"/>
    <n v="12"/>
    <x v="1"/>
    <n v="0.17"/>
  </r>
  <r>
    <s v="FITIMI"/>
    <x v="0"/>
    <n v="92.4"/>
    <m/>
    <m/>
    <x v="16"/>
    <s v="FITIMI"/>
    <x v="4"/>
    <s v="M-ONE Sanitar Silikon"/>
    <n v="12"/>
    <x v="1"/>
    <n v="0.17"/>
  </r>
  <r>
    <s v="FITIMI"/>
    <x v="0"/>
    <m/>
    <m/>
    <m/>
    <x v="16"/>
    <s v="FITIMI"/>
    <x v="0"/>
    <s v="M-ONE Sanitar Silikon"/>
    <n v="12"/>
    <x v="1"/>
    <n v="0.17"/>
  </r>
  <r>
    <s v="SHEHU-A"/>
    <x v="0"/>
    <n v="69.2"/>
    <m/>
    <m/>
    <x v="17"/>
    <s v="SHEHU-A"/>
    <x v="7"/>
    <s v="DICHTUNG"/>
    <n v="6"/>
    <x v="1"/>
    <n v="0.2"/>
  </r>
  <r>
    <s v="SHEHU-A"/>
    <x v="0"/>
    <m/>
    <m/>
    <m/>
    <x v="17"/>
    <s v="SHEHU-A"/>
    <x v="12"/>
    <s v="beMAKER Rostlöser"/>
    <n v="6"/>
    <x v="1"/>
    <n v="0.2"/>
  </r>
  <r>
    <s v="SHEHU-A"/>
    <x v="0"/>
    <m/>
    <m/>
    <m/>
    <x v="17"/>
    <s v="SHEHU-A"/>
    <x v="13"/>
    <s v="M ONE MOTORSTART"/>
    <n v="4"/>
    <x v="1"/>
    <n v="0.2"/>
  </r>
  <r>
    <s v="UNIVERZAL"/>
    <x v="1"/>
    <n v="46.2"/>
    <m/>
    <m/>
    <x v="18"/>
    <s v="UNIVERZAL"/>
    <x v="4"/>
    <s v="M-ONE Sanitar Silikon"/>
    <n v="12"/>
    <x v="0"/>
    <n v="0.17"/>
  </r>
  <r>
    <s v="EURO COM"/>
    <x v="1"/>
    <n v="56.2"/>
    <m/>
    <m/>
    <x v="19"/>
    <s v="EURO COM"/>
    <x v="14"/>
    <s v="beMAKER Bremsen&amp;Teile Reininger"/>
    <n v="5"/>
    <x v="0"/>
    <n v="0.2"/>
  </r>
  <r>
    <s v="EURO COM"/>
    <x v="1"/>
    <m/>
    <m/>
    <m/>
    <x v="19"/>
    <s v="EURO COM"/>
    <x v="4"/>
    <s v="M-ONE Sanitar Silikon"/>
    <n v="12"/>
    <x v="0"/>
    <n v="0.17"/>
  </r>
  <r>
    <s v="ENISI - H"/>
    <x v="1"/>
    <n v="46.2"/>
    <m/>
    <m/>
    <x v="20"/>
    <s v="ENISI - H"/>
    <x v="2"/>
    <s v="M-ONE Sanitar Silikon"/>
    <n v="12"/>
    <x v="0"/>
    <n v="0.17"/>
  </r>
  <r>
    <s v="VISARI HH"/>
    <x v="1"/>
    <n v="92.4"/>
    <m/>
    <m/>
    <x v="21"/>
    <s v="VISARI HH"/>
    <x v="15"/>
    <s v="M-ONE Sanitar Silikon"/>
    <n v="12"/>
    <x v="0"/>
    <n v="0.17"/>
  </r>
  <r>
    <s v="VISARI HH"/>
    <x v="1"/>
    <m/>
    <m/>
    <m/>
    <x v="21"/>
    <s v="VISARI HH"/>
    <x v="5"/>
    <s v="M-ONE Sanitar Silikon"/>
    <n v="12"/>
    <x v="0"/>
    <n v="0.17"/>
  </r>
  <r>
    <s v="AGRONI"/>
    <x v="1"/>
    <n v="63.5"/>
    <m/>
    <m/>
    <x v="22"/>
    <s v="AGRONI"/>
    <x v="7"/>
    <s v="DICHTUNG"/>
    <n v="5"/>
    <x v="0"/>
    <n v="0.2"/>
  </r>
  <r>
    <s v="AGRONI"/>
    <x v="1"/>
    <m/>
    <m/>
    <m/>
    <x v="22"/>
    <s v="AGRONI"/>
    <x v="12"/>
    <s v="beMAKER Rostlöser"/>
    <n v="5"/>
    <x v="0"/>
    <n v="0.2"/>
  </r>
  <r>
    <s v="AGRONI"/>
    <x v="1"/>
    <m/>
    <m/>
    <m/>
    <x v="22"/>
    <s v="AGRONI"/>
    <x v="16"/>
    <s v="Fettspray"/>
    <n v="5"/>
    <x v="0"/>
    <n v="0.2"/>
  </r>
  <r>
    <s v="CARRALEVA 2"/>
    <x v="2"/>
    <n v="46.2"/>
    <m/>
    <m/>
    <x v="23"/>
    <s v="CARRALEVA 2"/>
    <x v="4"/>
    <s v="M-ONE Sanitar Silikon"/>
    <n v="12"/>
    <x v="0"/>
    <n v="0.17"/>
  </r>
  <r>
    <s v="LONI"/>
    <x v="2"/>
    <n v="68.5"/>
    <m/>
    <m/>
    <x v="24"/>
    <s v="LONI"/>
    <x v="7"/>
    <s v="DICHTUNG"/>
    <n v="5"/>
    <x v="0"/>
    <n v="0.2"/>
  </r>
  <r>
    <s v="LONI"/>
    <x v="2"/>
    <m/>
    <m/>
    <m/>
    <x v="24"/>
    <s v="LONI"/>
    <x v="17"/>
    <s v="M ONE UBS"/>
    <n v="3"/>
    <x v="0"/>
    <n v="0.2"/>
  </r>
  <r>
    <s v="LONI"/>
    <x v="2"/>
    <m/>
    <m/>
    <m/>
    <x v="24"/>
    <s v="LONI"/>
    <x v="12"/>
    <s v="beMAKER Rostlöser"/>
    <n v="5"/>
    <x v="0"/>
    <n v="0.2"/>
  </r>
  <r>
    <s v="LONI"/>
    <x v="2"/>
    <m/>
    <m/>
    <m/>
    <x v="24"/>
    <s v="LONI"/>
    <x v="16"/>
    <s v="Fettspray"/>
    <n v="3"/>
    <x v="0"/>
    <n v="0.2"/>
  </r>
  <r>
    <s v="CARRALEVA 1"/>
    <x v="2"/>
    <n v="120"/>
    <m/>
    <m/>
    <x v="25"/>
    <s v="CARRALEVA 1"/>
    <x v="4"/>
    <s v="M-ONE Sanitar Silikon"/>
    <n v="24"/>
    <x v="0"/>
    <n v="0.17"/>
  </r>
  <r>
    <s v="CARRALEVA 1"/>
    <x v="2"/>
    <m/>
    <m/>
    <m/>
    <x v="25"/>
    <s v="CARRALEVA 1"/>
    <x v="8"/>
    <s v="struktural akryl"/>
    <n v="12"/>
    <x v="0"/>
    <n v="0.06"/>
  </r>
  <r>
    <s v="REAL COLOR 2"/>
    <x v="2"/>
    <n v="92.4"/>
    <m/>
    <m/>
    <x v="26"/>
    <s v="REAL COLOR 2"/>
    <x v="15"/>
    <s v="M-ONE Sanitar Silikon"/>
    <n v="12"/>
    <x v="0"/>
    <n v="0.17"/>
  </r>
  <r>
    <s v="REAL COLOR 2"/>
    <x v="2"/>
    <m/>
    <m/>
    <m/>
    <x v="26"/>
    <s v="REAL COLOR 2"/>
    <x v="18"/>
    <s v="M-ONE Sanitar Silikon"/>
    <n v="12"/>
    <x v="0"/>
    <n v="0.17"/>
  </r>
  <r>
    <s v="ARDI LIPJAN"/>
    <x v="2"/>
    <n v="99.5"/>
    <m/>
    <m/>
    <x v="27"/>
    <s v="ARDI LIPJAN"/>
    <x v="7"/>
    <s v="DICHTUNG"/>
    <n v="10"/>
    <x v="0"/>
    <n v="0.2"/>
  </r>
  <r>
    <s v="ARDI LIPJAN"/>
    <x v="2"/>
    <m/>
    <m/>
    <m/>
    <x v="27"/>
    <s v="ARDI LIPJAN"/>
    <x v="12"/>
    <s v="beMAKER Rostlöser"/>
    <n v="5"/>
    <x v="0"/>
    <n v="0.2"/>
  </r>
  <r>
    <s v="ARDI LIPJAN"/>
    <x v="2"/>
    <m/>
    <m/>
    <m/>
    <x v="27"/>
    <s v="ARDI LIPJAN"/>
    <x v="13"/>
    <s v="M ONE MOTORSTART"/>
    <n v="5"/>
    <x v="0"/>
    <n v="0.2"/>
  </r>
  <r>
    <s v="RACI"/>
    <x v="2"/>
    <n v="162"/>
    <m/>
    <m/>
    <x v="28"/>
    <s v="RACI"/>
    <x v="10"/>
    <s v="PROFIMONT EXTREME"/>
    <n v="12"/>
    <x v="1"/>
    <n v="0.2"/>
  </r>
  <r>
    <s v="RACI"/>
    <x v="2"/>
    <m/>
    <m/>
    <m/>
    <x v="28"/>
    <s v="RACI"/>
    <x v="5"/>
    <s v="M-ONE Sanitar Silikon"/>
    <n v="12"/>
    <x v="1"/>
    <n v="0.17"/>
  </r>
  <r>
    <s v="RACI"/>
    <x v="2"/>
    <m/>
    <m/>
    <m/>
    <x v="28"/>
    <s v="RACI"/>
    <x v="18"/>
    <s v="M-ONE Sanitar Silikon"/>
    <n v="12"/>
    <x v="1"/>
    <n v="0.17"/>
  </r>
  <r>
    <s v="HOXHA"/>
    <x v="2"/>
    <n v="73.8"/>
    <m/>
    <m/>
    <x v="29"/>
    <s v="HOXHA"/>
    <x v="4"/>
    <s v="M-ONE Sanitar Silikon"/>
    <n v="12"/>
    <x v="1"/>
    <n v="0.17"/>
  </r>
  <r>
    <s v="HOXHA"/>
    <x v="2"/>
    <m/>
    <m/>
    <m/>
    <x v="29"/>
    <s v="HOXHA"/>
    <x v="8"/>
    <s v="struktural akryl"/>
    <n v="12"/>
    <x v="1"/>
    <n v="0.06"/>
  </r>
  <r>
    <s v="LIRIDONA KLINE"/>
    <x v="2"/>
    <n v="92.4"/>
    <m/>
    <m/>
    <x v="30"/>
    <s v="LIRIDONA KLINE"/>
    <x v="4"/>
    <s v="M-ONE Sanitar Silikon"/>
    <n v="24"/>
    <x v="1"/>
    <n v="0.17"/>
  </r>
  <r>
    <s v="BERATI A.P. (1)"/>
    <x v="2"/>
    <n v="106.4"/>
    <m/>
    <m/>
    <x v="31"/>
    <s v="BERATI A.P. (1)"/>
    <x v="7"/>
    <s v="DICHTUNG"/>
    <n v="12"/>
    <x v="1"/>
    <n v="0.2"/>
  </r>
  <r>
    <s v="BERATI A.P. (1)"/>
    <x v="2"/>
    <m/>
    <m/>
    <m/>
    <x v="31"/>
    <s v="BERATI A.P. (1)"/>
    <x v="17"/>
    <s v="M ONE UBS"/>
    <n v="5"/>
    <x v="1"/>
    <n v="0.2"/>
  </r>
  <r>
    <s v="BENI"/>
    <x v="2"/>
    <n v="58"/>
    <m/>
    <m/>
    <x v="32"/>
    <s v="BENI"/>
    <x v="13"/>
    <s v="M ONE MOTORSTART"/>
    <n v="12"/>
    <x v="1"/>
    <n v="0.2"/>
  </r>
  <r>
    <s v="BENI"/>
    <x v="2"/>
    <m/>
    <m/>
    <m/>
    <x v="32"/>
    <s v="BENI"/>
    <x v="7"/>
    <s v="DICHTUNG"/>
    <n v="2"/>
    <x v="1"/>
    <n v="0.2"/>
  </r>
  <r>
    <s v="MEGI"/>
    <x v="2"/>
    <n v="45"/>
    <m/>
    <m/>
    <x v="33"/>
    <s v="MEGI"/>
    <x v="12"/>
    <s v="beMAKER Rostlöser"/>
    <n v="12"/>
    <x v="1"/>
    <n v="0.2"/>
  </r>
  <r>
    <s v="MEGI"/>
    <x v="2"/>
    <m/>
    <m/>
    <m/>
    <x v="33"/>
    <s v="MEGI"/>
    <x v="13"/>
    <s v="M ONE MOTORSTART"/>
    <n v="6"/>
    <x v="1"/>
    <n v="0.2"/>
  </r>
  <r>
    <s v="ALBANI"/>
    <x v="3"/>
    <n v="92.4"/>
    <m/>
    <m/>
    <x v="34"/>
    <e v="#N/A"/>
    <x v="4"/>
    <s v="M-ONE Sanitar Silikon"/>
    <n v="12"/>
    <x v="0"/>
    <n v="0.17"/>
  </r>
  <r>
    <s v="ALBANI"/>
    <x v="3"/>
    <m/>
    <m/>
    <m/>
    <x v="34"/>
    <e v="#N/A"/>
    <x v="0"/>
    <s v="M-ONE Sanitar Silikon"/>
    <n v="12"/>
    <x v="0"/>
    <n v="0.17"/>
  </r>
  <r>
    <s v="SABITI"/>
    <x v="3"/>
    <n v="31"/>
    <m/>
    <m/>
    <x v="35"/>
    <s v="SABITI"/>
    <x v="14"/>
    <s v="beMAKER Bremsen&amp;Teile Reininger"/>
    <n v="5"/>
    <x v="0"/>
    <n v="0.2"/>
  </r>
  <r>
    <s v="SABITI"/>
    <x v="3"/>
    <m/>
    <m/>
    <m/>
    <x v="35"/>
    <s v="SABITI"/>
    <x v="16"/>
    <s v="Fettspray"/>
    <n v="6"/>
    <x v="0"/>
    <n v="0.2"/>
  </r>
  <r>
    <s v="KUJTA"/>
    <x v="3"/>
    <n v="138.6"/>
    <m/>
    <m/>
    <x v="36"/>
    <s v="KUJTA"/>
    <x v="18"/>
    <s v="M-ONE Sanitar Silikon"/>
    <n v="12"/>
    <x v="0"/>
    <n v="0.17"/>
  </r>
  <r>
    <s v="KUJTA"/>
    <x v="3"/>
    <m/>
    <m/>
    <m/>
    <x v="36"/>
    <s v="KUJTA"/>
    <x v="1"/>
    <s v="M-ONE Sanitar Silikon"/>
    <n v="12"/>
    <x v="0"/>
    <n v="0.17"/>
  </r>
  <r>
    <s v="KUJTA"/>
    <x v="3"/>
    <m/>
    <m/>
    <m/>
    <x v="36"/>
    <s v="KUJTA"/>
    <x v="2"/>
    <s v="M-ONE Sanitar Silikon"/>
    <n v="12"/>
    <x v="0"/>
    <n v="0.17"/>
  </r>
  <r>
    <s v="BECOLOR"/>
    <x v="3"/>
    <n v="28.5"/>
    <m/>
    <m/>
    <x v="37"/>
    <s v="BECOLOR"/>
    <x v="17"/>
    <s v="M ONE UBS"/>
    <n v="3"/>
    <x v="0"/>
    <n v="0.2"/>
  </r>
  <r>
    <s v="BECOLOR"/>
    <x v="3"/>
    <m/>
    <m/>
    <m/>
    <x v="37"/>
    <s v="BECOLOR"/>
    <x v="19"/>
    <s v="M ONE KLARLACK"/>
    <n v="3"/>
    <x v="0"/>
    <n v="0.15"/>
  </r>
  <r>
    <s v="BECOLOR"/>
    <x v="3"/>
    <m/>
    <m/>
    <m/>
    <x v="37"/>
    <s v="BECOLOR"/>
    <x v="12"/>
    <s v="beMAKER Rostlöser"/>
    <n v="6"/>
    <x v="0"/>
    <n v="0.2"/>
  </r>
  <r>
    <s v="TE LUTA"/>
    <x v="3"/>
    <n v="46.2"/>
    <m/>
    <m/>
    <x v="38"/>
    <s v="TE LUTA"/>
    <x v="20"/>
    <s v="M-ONE Sanitar Silikon"/>
    <n v="12"/>
    <x v="0"/>
    <n v="0.17"/>
  </r>
  <r>
    <s v="AGROLONDI"/>
    <x v="3"/>
    <n v="92.4"/>
    <m/>
    <m/>
    <x v="39"/>
    <s v="AGROLONDI"/>
    <x v="4"/>
    <s v="M-ONE Sanitar Silikon"/>
    <n v="12"/>
    <x v="1"/>
    <n v="0.17"/>
  </r>
  <r>
    <s v="AGROLONDI"/>
    <x v="3"/>
    <m/>
    <m/>
    <m/>
    <x v="39"/>
    <s v="AGROLONDI"/>
    <x v="5"/>
    <s v="M-ONE Sanitar Silikon"/>
    <n v="12"/>
    <x v="1"/>
    <n v="0.17"/>
  </r>
  <r>
    <s v="LTI"/>
    <x v="3"/>
    <n v="92.4"/>
    <m/>
    <m/>
    <x v="40"/>
    <s v="LTI"/>
    <x v="5"/>
    <s v="M-ONE Sanitar Silikon"/>
    <n v="12"/>
    <x v="1"/>
    <n v="0.17"/>
  </r>
  <r>
    <s v="LTI"/>
    <x v="3"/>
    <m/>
    <m/>
    <m/>
    <x v="40"/>
    <s v="LTI"/>
    <x v="1"/>
    <s v="M-ONE Sanitar Silikon"/>
    <n v="12"/>
    <x v="1"/>
    <n v="0.17"/>
  </r>
  <r>
    <s v="ILIRI QERAMIKA"/>
    <x v="3"/>
    <n v="120"/>
    <m/>
    <m/>
    <x v="41"/>
    <s v="ILIRI QERAMIKA"/>
    <x v="5"/>
    <s v="M-ONE Sanitar Silikon"/>
    <n v="12"/>
    <x v="1"/>
    <n v="0.17"/>
  </r>
  <r>
    <s v="ILIRI QERAMIKA"/>
    <x v="3"/>
    <m/>
    <m/>
    <m/>
    <x v="41"/>
    <s v="ILIRI QERAMIKA"/>
    <x v="18"/>
    <s v="M-ONE Sanitar Silikon"/>
    <n v="12"/>
    <x v="1"/>
    <n v="0.17"/>
  </r>
  <r>
    <s v="ILIRI QERAMIKA"/>
    <x v="3"/>
    <m/>
    <m/>
    <m/>
    <x v="41"/>
    <s v="ILIRI QERAMIKA"/>
    <x v="8"/>
    <s v="struktural akryl"/>
    <n v="12"/>
    <x v="1"/>
    <n v="0.06"/>
  </r>
  <r>
    <s v="ALMIRI QERAMIKA"/>
    <x v="3"/>
    <n v="92.4"/>
    <m/>
    <m/>
    <x v="42"/>
    <s v="ALMIRI QERAMIKA"/>
    <x v="4"/>
    <s v="M-ONE Sanitar Silikon"/>
    <n v="12"/>
    <x v="1"/>
    <n v="0.17"/>
  </r>
  <r>
    <s v="ALMIRI QERAMIKA"/>
    <x v="3"/>
    <m/>
    <m/>
    <m/>
    <x v="42"/>
    <s v="ALMIRI QERAMIKA"/>
    <x v="0"/>
    <s v="M-ONE Sanitar Silikon"/>
    <n v="12"/>
    <x v="1"/>
    <n v="0.17"/>
  </r>
  <r>
    <s v="UNIKA"/>
    <x v="3"/>
    <n v="138.6"/>
    <m/>
    <m/>
    <x v="43"/>
    <s v="UNIKA"/>
    <x v="15"/>
    <s v="M-ONE Sanitar Silikon"/>
    <n v="12"/>
    <x v="1"/>
    <n v="0.17"/>
  </r>
  <r>
    <s v="UNIKA"/>
    <x v="3"/>
    <m/>
    <m/>
    <m/>
    <x v="43"/>
    <s v="UNIKA"/>
    <x v="18"/>
    <s v="M-ONE Sanitar Silikon"/>
    <n v="12"/>
    <x v="1"/>
    <n v="0.17"/>
  </r>
  <r>
    <s v="UNIKA"/>
    <x v="3"/>
    <m/>
    <m/>
    <m/>
    <x v="43"/>
    <s v="UNIKA"/>
    <x v="20"/>
    <s v="M-ONE Sanitar Silikon"/>
    <n v="12"/>
    <x v="1"/>
    <n v="0.17"/>
  </r>
  <r>
    <s v="TE-SYLA"/>
    <x v="3"/>
    <n v="121.2"/>
    <m/>
    <m/>
    <x v="44"/>
    <s v="TE-SYLA"/>
    <x v="18"/>
    <s v="M-ONE Sanitar Silikon"/>
    <n v="12"/>
    <x v="1"/>
    <n v="0.17"/>
  </r>
  <r>
    <s v="TE-SYLA"/>
    <x v="3"/>
    <m/>
    <m/>
    <m/>
    <x v="44"/>
    <s v="TE-SYLA"/>
    <x v="7"/>
    <s v="DICHTUNG"/>
    <n v="6"/>
    <x v="1"/>
    <n v="0.2"/>
  </r>
  <r>
    <s v="TE-SYLA"/>
    <x v="3"/>
    <m/>
    <m/>
    <m/>
    <x v="44"/>
    <s v="TE-SYLA"/>
    <x v="13"/>
    <s v="M ONE MOTORSTART"/>
    <n v="6"/>
    <x v="1"/>
    <n v="0.2"/>
  </r>
  <r>
    <s v="TE-SYLA"/>
    <x v="3"/>
    <m/>
    <m/>
    <m/>
    <x v="44"/>
    <s v="TE-SYLA"/>
    <x v="21"/>
    <s v="M ONE CHROM SPRAY"/>
    <n v="6"/>
    <x v="1"/>
    <n v="0.15"/>
  </r>
  <r>
    <s v="F.V. SH.P.K. "/>
    <x v="3"/>
    <n v="154.6"/>
    <m/>
    <m/>
    <x v="45"/>
    <s v="F.V. SH.P.K. "/>
    <x v="18"/>
    <s v="M-ONE Sanitar Silikon"/>
    <n v="12"/>
    <x v="1"/>
    <n v="0.17"/>
  </r>
  <r>
    <s v="F.V. SH.P.K. "/>
    <x v="3"/>
    <m/>
    <m/>
    <m/>
    <x v="45"/>
    <s v="F.V. SH.P.K. "/>
    <x v="20"/>
    <s v="M-ONE Sanitar Silikon"/>
    <n v="12"/>
    <x v="1"/>
    <n v="0.17"/>
  </r>
  <r>
    <s v="F.V. SH.P.K. "/>
    <x v="3"/>
    <m/>
    <m/>
    <m/>
    <x v="45"/>
    <s v="F.V. SH.P.K. "/>
    <x v="1"/>
    <s v="M-ONE Sanitar Silikon"/>
    <n v="12"/>
    <x v="1"/>
    <n v="0.17"/>
  </r>
  <r>
    <s v="F.V. SH.P.K. "/>
    <x v="3"/>
    <m/>
    <m/>
    <m/>
    <x v="45"/>
    <s v="F.V. SH.P.K. "/>
    <x v="12"/>
    <s v="beMAKER Rostlöser"/>
    <n v="8"/>
    <x v="1"/>
    <n v="0.2"/>
  </r>
  <r>
    <s v="LONI"/>
    <x v="3"/>
    <n v="92.4"/>
    <m/>
    <m/>
    <x v="46"/>
    <s v="LONI"/>
    <x v="20"/>
    <s v="M-ONE Sanitar Silikon"/>
    <n v="12"/>
    <x v="1"/>
    <n v="0.17"/>
  </r>
  <r>
    <s v="LONI"/>
    <x v="3"/>
    <m/>
    <m/>
    <m/>
    <x v="46"/>
    <s v="LONI"/>
    <x v="1"/>
    <s v="M-ONE Sanitar Silikon"/>
    <n v="12"/>
    <x v="1"/>
    <n v="0.17"/>
  </r>
  <r>
    <s v="BULONI - SH"/>
    <x v="3"/>
    <n v="92.4"/>
    <m/>
    <m/>
    <x v="47"/>
    <s v="BULONI - SH"/>
    <x v="4"/>
    <s v="M-ONE Sanitar Silikon"/>
    <n v="12"/>
    <x v="1"/>
    <n v="0.17"/>
  </r>
  <r>
    <s v="BULONI - SH"/>
    <x v="3"/>
    <m/>
    <m/>
    <m/>
    <x v="47"/>
    <s v="BULONI - SH"/>
    <x v="2"/>
    <s v="M-ONE Sanitar Silikon"/>
    <n v="12"/>
    <x v="1"/>
    <n v="0.17"/>
  </r>
  <r>
    <s v="ARSIM"/>
    <x v="4"/>
    <n v="46.2"/>
    <m/>
    <m/>
    <x v="48"/>
    <s v="ARSIM"/>
    <x v="2"/>
    <s v="M-ONE Sanitar Silikon"/>
    <n v="12"/>
    <x v="0"/>
    <n v="0.17"/>
  </r>
  <r>
    <s v="KADIJOLLET"/>
    <x v="4"/>
    <n v="117.4"/>
    <m/>
    <m/>
    <x v="49"/>
    <s v="KADIJOLLET"/>
    <x v="0"/>
    <s v="M-ONE Sanitar Silikon"/>
    <n v="12"/>
    <x v="0"/>
    <n v="0.17"/>
  </r>
  <r>
    <s v="KADIJOLLET"/>
    <x v="4"/>
    <m/>
    <m/>
    <m/>
    <x v="49"/>
    <s v="KADIJOLLET"/>
    <x v="5"/>
    <s v="M-ONE Sanitar Silikon"/>
    <n v="12"/>
    <x v="0"/>
    <n v="0.17"/>
  </r>
  <r>
    <s v="KADIJOLLET"/>
    <x v="4"/>
    <m/>
    <m/>
    <m/>
    <x v="49"/>
    <s v="KADIJOLLET"/>
    <x v="22"/>
    <s v="universal akryl"/>
    <n v="12"/>
    <x v="0"/>
    <n v="0.06"/>
  </r>
  <r>
    <s v="KADIJOLLET"/>
    <x v="4"/>
    <m/>
    <m/>
    <m/>
    <x v="49"/>
    <s v="KADIJOLLET"/>
    <x v="23"/>
    <s v="M ONE HAFTGRUND"/>
    <n v="5"/>
    <x v="0"/>
    <n v="0.15"/>
  </r>
  <r>
    <s v="QELA"/>
    <x v="4"/>
    <n v="43.9"/>
    <m/>
    <m/>
    <x v="50"/>
    <s v="QELA"/>
    <x v="7"/>
    <s v="DICHTUNG"/>
    <n v="2"/>
    <x v="0"/>
    <n v="0.2"/>
  </r>
  <r>
    <s v="QELA"/>
    <x v="4"/>
    <m/>
    <m/>
    <m/>
    <x v="50"/>
    <s v="QELA"/>
    <x v="13"/>
    <s v="M ONE MOTORSTART"/>
    <n v="5"/>
    <x v="0"/>
    <n v="0.2"/>
  </r>
  <r>
    <s v="QELA"/>
    <x v="4"/>
    <m/>
    <m/>
    <m/>
    <x v="50"/>
    <s v="QELA"/>
    <x v="12"/>
    <s v="beMAKER Rostlöser"/>
    <n v="6"/>
    <x v="0"/>
    <n v="0.2"/>
  </r>
  <r>
    <s v="BESI COM"/>
    <x v="4"/>
    <n v="92.4"/>
    <m/>
    <m/>
    <x v="51"/>
    <s v="BESI COM"/>
    <x v="6"/>
    <s v="M-ONE Sanitar Silikon"/>
    <n v="12"/>
    <x v="0"/>
    <n v="0.17"/>
  </r>
  <r>
    <s v="BESI COM"/>
    <x v="4"/>
    <m/>
    <m/>
    <m/>
    <x v="51"/>
    <s v="BESI COM"/>
    <x v="4"/>
    <s v="M-ONE Sanitar Silikon"/>
    <n v="12"/>
    <x v="0"/>
    <n v="0.17"/>
  </r>
  <r>
    <s v="KENA COMERC"/>
    <x v="4"/>
    <n v="107.4"/>
    <m/>
    <m/>
    <x v="52"/>
    <s v="KENA COMERC"/>
    <x v="18"/>
    <s v="M-ONE Sanitar Silikon"/>
    <n v="12"/>
    <x v="1"/>
    <n v="0.17"/>
  </r>
  <r>
    <s v="KENA COMERC"/>
    <x v="4"/>
    <m/>
    <m/>
    <m/>
    <x v="52"/>
    <s v="KENA COMERC"/>
    <x v="9"/>
    <s v="M-ONE Sanitar Silikon"/>
    <n v="12"/>
    <x v="1"/>
    <n v="0.17"/>
  </r>
  <r>
    <s v="KENA COMERC"/>
    <x v="4"/>
    <m/>
    <m/>
    <m/>
    <x v="52"/>
    <s v="KENA COMERC"/>
    <x v="22"/>
    <s v="universal akryl"/>
    <n v="12"/>
    <x v="1"/>
    <n v="0.06"/>
  </r>
  <r>
    <s v="TECOL 2"/>
    <x v="4"/>
    <n v="38"/>
    <m/>
    <m/>
    <x v="53"/>
    <s v="TECOL 2"/>
    <x v="19"/>
    <s v="M ONE KLARLACK"/>
    <n v="12"/>
    <x v="1"/>
    <n v="0.15"/>
  </r>
  <r>
    <s v="TECOL 2"/>
    <x v="4"/>
    <m/>
    <m/>
    <m/>
    <x v="53"/>
    <s v="TECOL 2"/>
    <x v="14"/>
    <s v="beMAKER Bremsen&amp;Teile Reininger"/>
    <n v="7"/>
    <x v="1"/>
    <n v="0.2"/>
  </r>
  <r>
    <s v="TECOL 2"/>
    <x v="4"/>
    <m/>
    <m/>
    <m/>
    <x v="53"/>
    <s v="TECOL 2"/>
    <x v="24"/>
    <s v="M ONE SILIKON SPRAY"/>
    <n v="2"/>
    <x v="1"/>
    <n v="0.2"/>
  </r>
  <r>
    <s v="LULI-C"/>
    <x v="4"/>
    <n v="184.8"/>
    <m/>
    <m/>
    <x v="54"/>
    <s v="LULI-C"/>
    <x v="4"/>
    <s v="M-ONE Sanitar Silikon"/>
    <n v="12"/>
    <x v="1"/>
    <n v="0.17"/>
  </r>
  <r>
    <s v="LULI-C"/>
    <x v="4"/>
    <m/>
    <m/>
    <m/>
    <x v="54"/>
    <s v="LULI-C"/>
    <x v="0"/>
    <s v="M-ONE Sanitar Silikon"/>
    <n v="12"/>
    <x v="1"/>
    <n v="0.17"/>
  </r>
  <r>
    <s v="LULI-C"/>
    <x v="4"/>
    <m/>
    <m/>
    <m/>
    <x v="54"/>
    <s v="LULI-C"/>
    <x v="5"/>
    <s v="M-ONE Sanitar Silikon"/>
    <n v="12"/>
    <x v="1"/>
    <n v="0.17"/>
  </r>
  <r>
    <s v="LULI-C"/>
    <x v="4"/>
    <m/>
    <m/>
    <m/>
    <x v="54"/>
    <s v="LULI-C"/>
    <x v="2"/>
    <s v="M-ONE Sanitar Silikon"/>
    <n v="12"/>
    <x v="1"/>
    <n v="0.17"/>
  </r>
  <r>
    <s v="CAMA BAU"/>
    <x v="4"/>
    <n v="162"/>
    <m/>
    <m/>
    <x v="55"/>
    <s v="CAMA BAU"/>
    <x v="10"/>
    <s v="PROFIMONT EXTREME"/>
    <n v="12"/>
    <x v="1"/>
    <n v="0.2"/>
  </r>
  <r>
    <s v="CAMA BAU"/>
    <x v="4"/>
    <m/>
    <m/>
    <m/>
    <x v="55"/>
    <s v="CAMA BAU"/>
    <x v="3"/>
    <s v="M-ONE Sanitar Silikon"/>
    <n v="12"/>
    <x v="1"/>
    <n v="0.17"/>
  </r>
  <r>
    <s v="CAMA BAU"/>
    <x v="4"/>
    <m/>
    <m/>
    <m/>
    <x v="55"/>
    <s v="CAMA BAU"/>
    <x v="18"/>
    <s v="M-ONE Sanitar Silikon"/>
    <n v="12"/>
    <x v="1"/>
    <n v="0.17"/>
  </r>
  <r>
    <s v="TERMO PROJEKT"/>
    <x v="4"/>
    <n v="92.4"/>
    <m/>
    <m/>
    <x v="56"/>
    <s v="TERMO PROJEKT"/>
    <x v="0"/>
    <s v="M-ONE Sanitar Silikon"/>
    <n v="24"/>
    <x v="1"/>
    <n v="0.17"/>
  </r>
  <r>
    <s v="KTHIMI"/>
    <x v="4"/>
    <n v="92.4"/>
    <m/>
    <m/>
    <x v="57"/>
    <s v="KTHIMI"/>
    <x v="18"/>
    <s v="M-ONE Sanitar Silikon"/>
    <n v="24"/>
    <x v="1"/>
    <n v="0.17"/>
  </r>
  <r>
    <s v="FORD BASHKIMI"/>
    <x v="4"/>
    <n v="26.5"/>
    <m/>
    <m/>
    <x v="58"/>
    <s v="FORD BASHKIMI"/>
    <x v="14"/>
    <s v="beMAKER Bremsen&amp;Teile Reininger"/>
    <n v="12"/>
    <x v="2"/>
    <n v="0.2"/>
  </r>
  <r>
    <s v="FORD BASHKIMI"/>
    <x v="4"/>
    <m/>
    <m/>
    <m/>
    <x v="58"/>
    <s v="FORD BASHKIMI"/>
    <x v="12"/>
    <s v="beMAKER Rostlöser"/>
    <n v="1"/>
    <x v="2"/>
    <n v="0.2"/>
  </r>
  <r>
    <s v="ARSIMI"/>
    <x v="5"/>
    <n v="184.8"/>
    <m/>
    <m/>
    <x v="59"/>
    <s v="ARSIMI"/>
    <x v="4"/>
    <s v="M-ONE Sanitar Silikon"/>
    <n v="48"/>
    <x v="0"/>
    <n v="0.17"/>
  </r>
  <r>
    <s v="MONI 2"/>
    <x v="5"/>
    <n v="92.4"/>
    <m/>
    <m/>
    <x v="60"/>
    <s v="MONI 2"/>
    <x v="20"/>
    <s v="M-ONE Sanitar Silikon"/>
    <n v="12"/>
    <x v="0"/>
    <n v="0.17"/>
  </r>
  <r>
    <s v="MONI 2"/>
    <x v="5"/>
    <m/>
    <m/>
    <m/>
    <x v="60"/>
    <s v="MONI 2"/>
    <x v="1"/>
    <s v="M-ONE Sanitar Silikon"/>
    <n v="12"/>
    <x v="0"/>
    <n v="0.17"/>
  </r>
  <r>
    <s v="XHAFA"/>
    <x v="5"/>
    <n v="73.8"/>
    <m/>
    <m/>
    <x v="61"/>
    <s v="XHAFA"/>
    <x v="5"/>
    <s v="M-ONE Sanitar Silikon"/>
    <n v="12"/>
    <x v="0"/>
    <n v="0.17"/>
  </r>
  <r>
    <s v="XHAFA"/>
    <x v="5"/>
    <m/>
    <m/>
    <m/>
    <x v="61"/>
    <s v="XHAFA"/>
    <x v="8"/>
    <s v="struktural akryl"/>
    <n v="12"/>
    <x v="0"/>
    <n v="0.06"/>
  </r>
  <r>
    <s v="BEK TRADE"/>
    <x v="5"/>
    <n v="184.8"/>
    <m/>
    <m/>
    <x v="62"/>
    <s v="BEK TRADE"/>
    <x v="4"/>
    <s v="M-ONE Sanitar Silikon"/>
    <n v="24"/>
    <x v="0"/>
    <n v="0.17"/>
  </r>
  <r>
    <s v="BEK TRADE"/>
    <x v="5"/>
    <m/>
    <m/>
    <m/>
    <x v="62"/>
    <s v="BEK TRADE"/>
    <x v="20"/>
    <s v="M-ONE Sanitar Silikon"/>
    <n v="24"/>
    <x v="0"/>
    <n v="0.17"/>
  </r>
  <r>
    <s v="AB SHPK"/>
    <x v="5"/>
    <n v="27.6"/>
    <m/>
    <m/>
    <x v="63"/>
    <s v="AB SHPK"/>
    <x v="8"/>
    <s v="struktural akryl"/>
    <n v="12"/>
    <x v="0"/>
    <n v="0.06"/>
  </r>
  <r>
    <s v="ARPO"/>
    <x v="5"/>
    <n v="120"/>
    <m/>
    <m/>
    <x v="64"/>
    <s v="ARPO"/>
    <x v="0"/>
    <s v="M-ONE Sanitar Silikon"/>
    <n v="12"/>
    <x v="0"/>
    <n v="0.17"/>
  </r>
  <r>
    <s v="ARPO"/>
    <x v="5"/>
    <m/>
    <m/>
    <m/>
    <x v="64"/>
    <s v="ARPO"/>
    <x v="18"/>
    <s v="M-ONE Sanitar Silikon"/>
    <n v="12"/>
    <x v="0"/>
    <n v="0.17"/>
  </r>
  <r>
    <s v="ARPO"/>
    <x v="5"/>
    <m/>
    <m/>
    <m/>
    <x v="64"/>
    <s v="ARPO"/>
    <x v="8"/>
    <s v="struktural akryl"/>
    <n v="12"/>
    <x v="0"/>
    <n v="0.06"/>
  </r>
  <r>
    <s v="TE BESNIKU"/>
    <x v="5"/>
    <n v="46.2"/>
    <m/>
    <m/>
    <x v="65"/>
    <s v="TE BESNIKU"/>
    <x v="25"/>
    <s v="M-ONE Sanitar Silikon"/>
    <n v="12"/>
    <x v="0"/>
    <n v="0.17"/>
  </r>
  <r>
    <s v="TANI"/>
    <x v="5"/>
    <n v="92.4"/>
    <m/>
    <m/>
    <x v="66"/>
    <s v="TANI"/>
    <x v="0"/>
    <s v="M-ONE Sanitar Silikon"/>
    <n v="12"/>
    <x v="1"/>
    <n v="0.17"/>
  </r>
  <r>
    <s v="TANI"/>
    <x v="5"/>
    <m/>
    <m/>
    <m/>
    <x v="66"/>
    <s v="TANI"/>
    <x v="5"/>
    <s v="M-ONE Sanitar Silikon"/>
    <n v="12"/>
    <x v="1"/>
    <n v="0.17"/>
  </r>
  <r>
    <s v="LETAJ"/>
    <x v="5"/>
    <n v="138.6"/>
    <m/>
    <m/>
    <x v="67"/>
    <s v="LETAJ"/>
    <x v="4"/>
    <s v="M-ONE Sanitar Silikon"/>
    <n v="12"/>
    <x v="1"/>
    <n v="0.17"/>
  </r>
  <r>
    <s v="LETAJ"/>
    <x v="5"/>
    <m/>
    <m/>
    <m/>
    <x v="67"/>
    <s v="LETAJ"/>
    <x v="0"/>
    <s v="M-ONE Sanitar Silikon"/>
    <n v="12"/>
    <x v="1"/>
    <n v="0.17"/>
  </r>
  <r>
    <s v="LETAJ"/>
    <x v="5"/>
    <m/>
    <m/>
    <m/>
    <x v="67"/>
    <s v="LETAJ"/>
    <x v="15"/>
    <s v="M-ONE Sanitar Silikon"/>
    <n v="12"/>
    <x v="1"/>
    <n v="0.17"/>
  </r>
  <r>
    <s v="INOX 1"/>
    <x v="5"/>
    <n v="73.8"/>
    <m/>
    <m/>
    <x v="68"/>
    <s v="INOX 1"/>
    <x v="4"/>
    <s v="M-ONE Sanitar Silikon"/>
    <n v="12"/>
    <x v="1"/>
    <n v="0.17"/>
  </r>
  <r>
    <s v="INOX 1"/>
    <x v="5"/>
    <m/>
    <m/>
    <m/>
    <x v="68"/>
    <s v="INOX 1"/>
    <x v="8"/>
    <s v="struktural akryl"/>
    <n v="12"/>
    <x v="1"/>
    <n v="0.06"/>
  </r>
  <r>
    <s v="AFRIMI-AG"/>
    <x v="5"/>
    <n v="138.6"/>
    <m/>
    <m/>
    <x v="69"/>
    <s v="AFRIMI-AG"/>
    <x v="5"/>
    <s v="M-ONE Sanitar Silikon"/>
    <n v="12"/>
    <x v="1"/>
    <n v="0.17"/>
  </r>
  <r>
    <s v="AFRIMI-AG"/>
    <x v="5"/>
    <m/>
    <m/>
    <m/>
    <x v="69"/>
    <s v="AFRIMI-AG"/>
    <x v="18"/>
    <s v="M-ONE Sanitar Silikon"/>
    <n v="12"/>
    <x v="1"/>
    <n v="0.17"/>
  </r>
  <r>
    <s v="AFRIMI-AG"/>
    <x v="5"/>
    <m/>
    <m/>
    <m/>
    <x v="69"/>
    <s v="AFRIMI-AG"/>
    <x v="2"/>
    <s v="M-ONE Sanitar Silikon"/>
    <n v="12"/>
    <x v="1"/>
    <n v="0.17"/>
  </r>
  <r>
    <s v="TE BESIMI"/>
    <x v="5"/>
    <n v="169.6"/>
    <m/>
    <m/>
    <x v="70"/>
    <s v="TE BESIMI"/>
    <x v="4"/>
    <s v="M-ONE Sanitar Silikon"/>
    <n v="12"/>
    <x v="1"/>
    <n v="0.17"/>
  </r>
  <r>
    <s v="TE BESIMI"/>
    <x v="5"/>
    <m/>
    <m/>
    <m/>
    <x v="70"/>
    <s v="TE BESIMI"/>
    <x v="0"/>
    <s v="M-ONE Sanitar Silikon"/>
    <n v="12"/>
    <x v="1"/>
    <n v="0.17"/>
  </r>
  <r>
    <s v="TE BESIMI"/>
    <x v="5"/>
    <m/>
    <m/>
    <m/>
    <x v="70"/>
    <s v="TE BESIMI"/>
    <x v="5"/>
    <s v="M-ONE Sanitar Silikon"/>
    <n v="12"/>
    <x v="1"/>
    <n v="0.17"/>
  </r>
  <r>
    <s v="TE BESIMI"/>
    <x v="5"/>
    <m/>
    <m/>
    <m/>
    <x v="70"/>
    <s v="TE BESIMI"/>
    <x v="22"/>
    <s v="universal akryl"/>
    <n v="12"/>
    <x v="1"/>
    <n v="0.06"/>
  </r>
  <r>
    <s v="TE BESIMI"/>
    <x v="5"/>
    <m/>
    <m/>
    <m/>
    <x v="70"/>
    <s v="TE BESIMI"/>
    <x v="7"/>
    <s v="DICHTUNG"/>
    <n v="2"/>
    <x v="1"/>
    <n v="0.2"/>
  </r>
  <r>
    <s v="LULI-C"/>
    <x v="5"/>
    <n v="45"/>
    <m/>
    <m/>
    <x v="54"/>
    <s v="LULI-C"/>
    <x v="24"/>
    <s v="M ONE SILIKON SPRAY"/>
    <n v="15"/>
    <x v="1"/>
    <n v="0.2"/>
  </r>
  <r>
    <s v="CAMA BAU"/>
    <x v="5"/>
    <n v="47.5"/>
    <m/>
    <m/>
    <x v="55"/>
    <s v="CAMA BAU"/>
    <x v="26"/>
    <s v="BAU CLEAN"/>
    <n v="5"/>
    <x v="1"/>
    <n v="0.5"/>
  </r>
  <r>
    <s v="CAMA BAU"/>
    <x v="5"/>
    <m/>
    <m/>
    <m/>
    <x v="55"/>
    <s v="CAMA BAU"/>
    <x v="27"/>
    <s v="BAU CLEAN"/>
    <n v="5"/>
    <x v="1"/>
    <n v="0.3"/>
  </r>
  <r>
    <s v="ARBENI BIOBLIC"/>
    <x v="5"/>
    <n v="249"/>
    <m/>
    <m/>
    <x v="71"/>
    <s v="ARBENI BIOBLIC"/>
    <x v="28"/>
    <s v="BioBlic Universalreiniger"/>
    <n v="140"/>
    <x v="2"/>
    <n v="0.30000000000000004"/>
  </r>
  <r>
    <s v="ARBENI BIOBLIC"/>
    <x v="5"/>
    <m/>
    <m/>
    <m/>
    <x v="71"/>
    <s v="ARBENI BIOBLIC"/>
    <x v="29"/>
    <s v="Blic Blic Sanitärreiniger"/>
    <n v="60"/>
    <x v="2"/>
    <n v="0.30000000000000004"/>
  </r>
  <r>
    <s v="ERALP"/>
    <x v="6"/>
    <n v="46.2"/>
    <m/>
    <m/>
    <x v="1"/>
    <s v="ERALP"/>
    <x v="1"/>
    <s v="M-ONE Sanitar Silikon"/>
    <n v="12"/>
    <x v="0"/>
    <n v="0.17"/>
  </r>
  <r>
    <s v="BEKA-3"/>
    <x v="6"/>
    <n v="36"/>
    <m/>
    <m/>
    <x v="8"/>
    <s v="BEKA-3"/>
    <x v="7"/>
    <s v="DICHTUNG"/>
    <n v="5"/>
    <x v="0"/>
    <n v="0.2"/>
  </r>
  <r>
    <s v="GLOBAL NT"/>
    <x v="6"/>
    <n v="46.2"/>
    <m/>
    <m/>
    <x v="72"/>
    <s v="GLOBAL NT"/>
    <x v="18"/>
    <s v="M-ONE Sanitar Silikon"/>
    <n v="12"/>
    <x v="0"/>
    <n v="0.17"/>
  </r>
  <r>
    <s v="IBAK"/>
    <x v="6"/>
    <n v="46.2"/>
    <m/>
    <m/>
    <x v="3"/>
    <s v="IBAK"/>
    <x v="9"/>
    <s v="M-ONE Sanitar Silikon"/>
    <n v="12"/>
    <x v="0"/>
    <n v="0.17"/>
  </r>
  <r>
    <s v="MIRSADI"/>
    <x v="6"/>
    <n v="184.8"/>
    <m/>
    <m/>
    <x v="73"/>
    <s v="MIRSADI"/>
    <x v="4"/>
    <s v="M-ONE Sanitar Silikon"/>
    <n v="12"/>
    <x v="0"/>
    <n v="0.17"/>
  </r>
  <r>
    <s v="MIRSADI"/>
    <x v="6"/>
    <m/>
    <m/>
    <m/>
    <x v="73"/>
    <s v="MIRSADI"/>
    <x v="15"/>
    <s v="M-ONE Sanitar Silikon"/>
    <n v="12"/>
    <x v="0"/>
    <n v="0.17"/>
  </r>
  <r>
    <s v="MIRSADI"/>
    <x v="6"/>
    <m/>
    <m/>
    <m/>
    <x v="73"/>
    <s v="MIRSADI"/>
    <x v="1"/>
    <s v="M-ONE Sanitar Silikon"/>
    <n v="24"/>
    <x v="0"/>
    <n v="0.17"/>
  </r>
  <r>
    <s v="GLOBAL NT"/>
    <x v="6"/>
    <n v="135"/>
    <m/>
    <m/>
    <x v="74"/>
    <e v="#N/A"/>
    <x v="0"/>
    <s v="M-ONE Sanitar Silikon"/>
    <n v="12"/>
    <x v="0"/>
    <n v="0.17"/>
  </r>
  <r>
    <s v="GLOBAL NT"/>
    <x v="6"/>
    <m/>
    <m/>
    <m/>
    <x v="74"/>
    <e v="#N/A"/>
    <x v="2"/>
    <s v="M-ONE Sanitar Silikon"/>
    <n v="12"/>
    <x v="0"/>
    <n v="0.17"/>
  </r>
  <r>
    <s v="GLOBAL NT"/>
    <x v="6"/>
    <m/>
    <m/>
    <m/>
    <x v="74"/>
    <e v="#N/A"/>
    <x v="8"/>
    <s v="struktural akryl"/>
    <n v="12"/>
    <x v="0"/>
    <n v="0.06"/>
  </r>
  <r>
    <s v="GLOBAL NT"/>
    <x v="6"/>
    <m/>
    <m/>
    <m/>
    <x v="74"/>
    <e v="#N/A"/>
    <x v="22"/>
    <s v="universal akryl"/>
    <n v="12"/>
    <x v="0"/>
    <n v="0.06"/>
  </r>
  <r>
    <s v="SMIRA"/>
    <x v="6"/>
    <n v="46.2"/>
    <m/>
    <m/>
    <x v="75"/>
    <s v="SMIRA"/>
    <x v="4"/>
    <s v="M-ONE Sanitar Silikon"/>
    <n v="12"/>
    <x v="0"/>
    <n v="0.17"/>
  </r>
  <r>
    <s v="BEKA-1"/>
    <x v="6"/>
    <n v="16"/>
    <m/>
    <m/>
    <x v="76"/>
    <s v="BEKA-1"/>
    <x v="17"/>
    <s v="M ONE UBS"/>
    <n v="4"/>
    <x v="0"/>
    <n v="0.2"/>
  </r>
  <r>
    <s v="DARDANIA"/>
    <x v="6"/>
    <n v="46.2"/>
    <m/>
    <m/>
    <x v="6"/>
    <s v="DARDANIA"/>
    <x v="2"/>
    <s v="M-ONE Sanitar Silikon"/>
    <n v="12"/>
    <x v="0"/>
    <n v="0.17"/>
  </r>
  <r>
    <s v="BAU HOME"/>
    <x v="6"/>
    <n v="46.2"/>
    <m/>
    <m/>
    <x v="10"/>
    <s v="BAU HOME"/>
    <x v="0"/>
    <s v="M-ONE Sanitar Silikon"/>
    <n v="12"/>
    <x v="1"/>
    <n v="0.17"/>
  </r>
  <r>
    <s v="CONDOR"/>
    <x v="6"/>
    <n v="299"/>
    <m/>
    <m/>
    <x v="11"/>
    <s v="CONDOR"/>
    <x v="5"/>
    <s v="M-ONE Sanitar Silikon"/>
    <n v="24"/>
    <x v="1"/>
    <n v="0.17"/>
  </r>
  <r>
    <s v="CONDOR"/>
    <x v="6"/>
    <m/>
    <m/>
    <m/>
    <x v="11"/>
    <s v="CONDOR"/>
    <x v="15"/>
    <s v="M-ONE Sanitar Silikon"/>
    <n v="12"/>
    <x v="1"/>
    <n v="0.17"/>
  </r>
  <r>
    <s v="CONDOR"/>
    <x v="6"/>
    <m/>
    <m/>
    <m/>
    <x v="11"/>
    <s v="CONDOR"/>
    <x v="10"/>
    <s v="PROFIMONT EXTREME"/>
    <n v="12"/>
    <x v="1"/>
    <n v="0.2"/>
  </r>
  <r>
    <s v="CONDOR"/>
    <x v="6"/>
    <m/>
    <m/>
    <m/>
    <x v="11"/>
    <s v="CONDOR"/>
    <x v="8"/>
    <s v="struktural akryl"/>
    <n v="36"/>
    <x v="1"/>
    <n v="0.06"/>
  </r>
  <r>
    <s v="CONDOR"/>
    <x v="6"/>
    <m/>
    <m/>
    <m/>
    <x v="11"/>
    <s v="CONDOR"/>
    <x v="12"/>
    <s v="beMAKER Rostlöser"/>
    <n v="4"/>
    <x v="1"/>
    <n v="0.2"/>
  </r>
  <r>
    <s v="HAZROLLI"/>
    <x v="6"/>
    <n v="73.8"/>
    <m/>
    <m/>
    <x v="9"/>
    <s v="HAZROLLI"/>
    <x v="15"/>
    <s v="M-ONE Sanitar Silikon"/>
    <n v="12"/>
    <x v="1"/>
    <n v="0.17"/>
  </r>
  <r>
    <s v="HAZROLLI"/>
    <x v="6"/>
    <m/>
    <m/>
    <m/>
    <x v="9"/>
    <s v="HAZROLLI"/>
    <x v="8"/>
    <s v="struktural akryl"/>
    <n v="12"/>
    <x v="1"/>
    <n v="0.06"/>
  </r>
  <r>
    <s v="BARDHI-M"/>
    <x v="6"/>
    <n v="277.2"/>
    <m/>
    <m/>
    <x v="77"/>
    <s v="BARDHI-M"/>
    <x v="1"/>
    <s v="M-ONE Sanitar Silikon"/>
    <n v="24"/>
    <x v="1"/>
    <n v="0.17"/>
  </r>
  <r>
    <s v="BARDHI-M"/>
    <x v="6"/>
    <m/>
    <m/>
    <m/>
    <x v="77"/>
    <s v="BARDHI-M"/>
    <x v="0"/>
    <s v="M-ONE Sanitar Silikon"/>
    <n v="12"/>
    <x v="1"/>
    <n v="0.17"/>
  </r>
  <r>
    <s v="BARDHI-M"/>
    <x v="6"/>
    <m/>
    <m/>
    <m/>
    <x v="77"/>
    <s v="BARDHI-M"/>
    <x v="5"/>
    <s v="M-ONE Sanitar Silikon"/>
    <n v="12"/>
    <x v="1"/>
    <n v="0.17"/>
  </r>
  <r>
    <s v="BARDHI-M"/>
    <x v="6"/>
    <m/>
    <m/>
    <m/>
    <x v="77"/>
    <s v="BARDHI-M"/>
    <x v="18"/>
    <s v="M-ONE Sanitar Silikon"/>
    <n v="12"/>
    <x v="1"/>
    <n v="0.17"/>
  </r>
  <r>
    <s v="BARDHI-M"/>
    <x v="6"/>
    <m/>
    <m/>
    <m/>
    <x v="77"/>
    <s v="BARDHI-M"/>
    <x v="20"/>
    <s v="M-ONE Sanitar Silikon"/>
    <n v="12"/>
    <x v="1"/>
    <n v="0.17"/>
  </r>
  <r>
    <s v="BEREQETI"/>
    <x v="6"/>
    <n v="138.6"/>
    <m/>
    <m/>
    <x v="13"/>
    <s v="BEREQETI"/>
    <x v="4"/>
    <s v="M-ONE Sanitar Silikon"/>
    <n v="12"/>
    <x v="1"/>
    <n v="0.17"/>
  </r>
  <r>
    <s v="BEREQETI"/>
    <x v="6"/>
    <m/>
    <m/>
    <m/>
    <x v="13"/>
    <s v="BEREQETI"/>
    <x v="1"/>
    <s v="M-ONE Sanitar Silikon"/>
    <n v="24"/>
    <x v="1"/>
    <n v="0.17"/>
  </r>
  <r>
    <s v="AGRO-FARM"/>
    <x v="6"/>
    <n v="136"/>
    <m/>
    <m/>
    <x v="14"/>
    <s v="AGRO-FARM"/>
    <x v="11"/>
    <s v="M ONE BLACK"/>
    <n v="240"/>
    <x v="1"/>
    <n v="0.05"/>
  </r>
  <r>
    <s v="AGRO-FARM"/>
    <x v="6"/>
    <m/>
    <m/>
    <m/>
    <x v="14"/>
    <s v="AGRO-FARM"/>
    <x v="7"/>
    <s v="DICHTUNG"/>
    <n v="5"/>
    <x v="1"/>
    <n v="0.2"/>
  </r>
  <r>
    <s v="DURGUTI 3"/>
    <x v="6"/>
    <n v="42.6"/>
    <m/>
    <m/>
    <x v="12"/>
    <s v="DURGUTI 3"/>
    <x v="22"/>
    <s v="universal akryl"/>
    <n v="12"/>
    <x v="1"/>
    <n v="0.06"/>
  </r>
  <r>
    <s v="DURGUTI 3"/>
    <x v="6"/>
    <m/>
    <m/>
    <m/>
    <x v="12"/>
    <s v="DURGUTI 3"/>
    <x v="8"/>
    <s v="struktural akryl"/>
    <n v="12"/>
    <x v="1"/>
    <n v="0.06"/>
  </r>
  <r>
    <s v="SHEHU-A"/>
    <x v="6"/>
    <n v="26.5"/>
    <m/>
    <m/>
    <x v="17"/>
    <s v="SHEHU-A"/>
    <x v="24"/>
    <s v="M ONE SILIKON SPRAY"/>
    <n v="3"/>
    <x v="1"/>
    <n v="0.2"/>
  </r>
  <r>
    <s v="SHEHU-A"/>
    <x v="6"/>
    <m/>
    <m/>
    <m/>
    <x v="17"/>
    <s v="SHEHU-A"/>
    <x v="16"/>
    <s v="Fettspray"/>
    <n v="5"/>
    <x v="1"/>
    <n v="0.2"/>
  </r>
  <r>
    <s v="URA"/>
    <x v="6"/>
    <n v="107.4"/>
    <m/>
    <m/>
    <x v="78"/>
    <s v="URA"/>
    <x v="0"/>
    <s v="M-ONE Sanitar Silikon"/>
    <n v="24"/>
    <x v="1"/>
    <n v="0.17"/>
  </r>
  <r>
    <s v="URA"/>
    <x v="6"/>
    <m/>
    <m/>
    <m/>
    <x v="78"/>
    <s v="URA"/>
    <x v="22"/>
    <s v="universal akryl"/>
    <n v="12"/>
    <x v="1"/>
    <n v="0.06"/>
  </r>
  <r>
    <s v="ARBENI BIOBLIC"/>
    <x v="6"/>
    <n v="158"/>
    <m/>
    <m/>
    <x v="71"/>
    <s v="ARBENI BIOBLIC"/>
    <x v="28"/>
    <s v="BioBlic Universalreiniger"/>
    <n v="80"/>
    <x v="2"/>
    <n v="0.30000000000000004"/>
  </r>
  <r>
    <s v="ARBENI BIOBLIC"/>
    <x v="6"/>
    <m/>
    <m/>
    <m/>
    <x v="71"/>
    <s v="ARBENI BIOBLIC"/>
    <x v="29"/>
    <s v="Blic Blic Sanitärreiniger"/>
    <n v="50"/>
    <x v="2"/>
    <n v="0.30000000000000004"/>
  </r>
  <r>
    <s v="NDRIQIMI"/>
    <x v="7"/>
    <n v="231"/>
    <m/>
    <m/>
    <x v="79"/>
    <s v="NDRIQIMI"/>
    <x v="0"/>
    <s v="M-ONE Sanitar Silikon"/>
    <n v="48"/>
    <x v="0"/>
    <n v="0.17"/>
  </r>
  <r>
    <s v="NDRIQIMI"/>
    <x v="7"/>
    <m/>
    <m/>
    <m/>
    <x v="79"/>
    <s v="NDRIQIMI"/>
    <x v="5"/>
    <s v="M-ONE Sanitar Silikon"/>
    <n v="12"/>
    <x v="0"/>
    <n v="0.17"/>
  </r>
  <r>
    <s v="GRANITI"/>
    <x v="7"/>
    <n v="92.4"/>
    <m/>
    <m/>
    <x v="80"/>
    <s v="GRANITI"/>
    <x v="15"/>
    <s v="M-ONE Sanitar Silikon"/>
    <n v="12"/>
    <x v="0"/>
    <n v="0.17"/>
  </r>
  <r>
    <s v="GRANITI"/>
    <x v="7"/>
    <m/>
    <m/>
    <m/>
    <x v="80"/>
    <s v="GRANITI"/>
    <x v="18"/>
    <s v="M-ONE Sanitar Silikon"/>
    <n v="12"/>
    <x v="0"/>
    <n v="0.17"/>
  </r>
  <r>
    <s v="AGRONI"/>
    <x v="7"/>
    <n v="51.1"/>
    <m/>
    <m/>
    <x v="22"/>
    <s v="AGRONI"/>
    <x v="13"/>
    <s v="M ONE MOTORSTART"/>
    <n v="3"/>
    <x v="0"/>
    <n v="0.2"/>
  </r>
  <r>
    <s v="AGRONI"/>
    <x v="7"/>
    <m/>
    <m/>
    <m/>
    <x v="22"/>
    <s v="AGRONI"/>
    <x v="7"/>
    <s v="DICHTUNG"/>
    <n v="3"/>
    <x v="0"/>
    <n v="0.2"/>
  </r>
  <r>
    <s v="AGRONI"/>
    <x v="7"/>
    <m/>
    <m/>
    <m/>
    <x v="22"/>
    <s v="AGRONI"/>
    <x v="17"/>
    <s v="M ONE UBS"/>
    <n v="3"/>
    <x v="0"/>
    <n v="0.2"/>
  </r>
  <r>
    <s v="AGRONI"/>
    <x v="7"/>
    <m/>
    <m/>
    <m/>
    <x v="22"/>
    <s v="AGRONI"/>
    <x v="16"/>
    <s v="Fettspray"/>
    <n v="2"/>
    <x v="0"/>
    <n v="0.2"/>
  </r>
  <r>
    <s v="UNIVERZAL"/>
    <x v="7"/>
    <n v="92.4"/>
    <m/>
    <m/>
    <x v="18"/>
    <s v="UNIVERZAL"/>
    <x v="15"/>
    <s v="M-ONE Sanitar Silikon"/>
    <n v="12"/>
    <x v="0"/>
    <n v="0.17"/>
  </r>
  <r>
    <s v="UNIVERZAL"/>
    <x v="7"/>
    <m/>
    <m/>
    <m/>
    <x v="18"/>
    <s v="UNIVERZAL"/>
    <x v="1"/>
    <s v="M-ONE Sanitar Silikon"/>
    <n v="12"/>
    <x v="0"/>
    <n v="0.17"/>
  </r>
  <r>
    <s v="BEKA"/>
    <x v="8"/>
    <n v="46.2"/>
    <m/>
    <m/>
    <x v="81"/>
    <s v="BEKA"/>
    <x v="0"/>
    <s v="M-ONE Sanitar Silikon"/>
    <n v="12"/>
    <x v="0"/>
    <n v="0.17"/>
  </r>
  <r>
    <s v="CARRALEVA 1"/>
    <x v="8"/>
    <n v="92.4"/>
    <m/>
    <m/>
    <x v="25"/>
    <s v="CARRALEVA 1"/>
    <x v="15"/>
    <s v="M-ONE Sanitar Silikon"/>
    <n v="12"/>
    <x v="0"/>
    <n v="0.17"/>
  </r>
  <r>
    <s v="CARRALEVA 1"/>
    <x v="8"/>
    <m/>
    <m/>
    <m/>
    <x v="25"/>
    <s v="CARRALEVA 1"/>
    <x v="9"/>
    <s v="M-ONE Sanitar Silikon"/>
    <n v="12"/>
    <x v="0"/>
    <n v="0.17"/>
  </r>
  <r>
    <s v="LONI"/>
    <x v="8"/>
    <n v="86.4"/>
    <m/>
    <m/>
    <x v="24"/>
    <s v="LONI"/>
    <x v="7"/>
    <s v="DICHTUNG"/>
    <n v="12"/>
    <x v="0"/>
    <n v="0.2"/>
  </r>
  <r>
    <s v="LITA"/>
    <x v="8"/>
    <n v="46.2"/>
    <m/>
    <m/>
    <x v="82"/>
    <s v="LITA"/>
    <x v="5"/>
    <s v="M-ONE Sanitar Silikon"/>
    <n v="12"/>
    <x v="0"/>
    <n v="0.17"/>
  </r>
  <r>
    <s v="REAL COLOR 2"/>
    <x v="8"/>
    <n v="138.6"/>
    <m/>
    <m/>
    <x v="26"/>
    <s v="REAL COLOR 2"/>
    <x v="20"/>
    <s v="M-ONE Sanitar Silikon"/>
    <n v="12"/>
    <x v="0"/>
    <n v="0.17"/>
  </r>
  <r>
    <s v="REAL COLOR 2"/>
    <x v="8"/>
    <m/>
    <m/>
    <m/>
    <x v="26"/>
    <s v="REAL COLOR 2"/>
    <x v="3"/>
    <s v="M-ONE Sanitar Silikon"/>
    <n v="12"/>
    <x v="0"/>
    <n v="0.17"/>
  </r>
  <r>
    <s v="REAL COLOR 2"/>
    <x v="8"/>
    <m/>
    <m/>
    <m/>
    <x v="26"/>
    <s v="REAL COLOR 2"/>
    <x v="1"/>
    <s v="M-ONE Sanitar Silikon"/>
    <n v="12"/>
    <x v="0"/>
    <n v="0.17"/>
  </r>
  <r>
    <s v="CARRALEVA 2"/>
    <x v="8"/>
    <n v="92.4"/>
    <m/>
    <m/>
    <x v="23"/>
    <s v="CARRALEVA 2"/>
    <x v="0"/>
    <s v="M-ONE Sanitar Silikon"/>
    <n v="12"/>
    <x v="0"/>
    <n v="0.17"/>
  </r>
  <r>
    <s v="CARRALEVA 2"/>
    <x v="8"/>
    <m/>
    <m/>
    <m/>
    <x v="23"/>
    <s v="CARRALEVA 2"/>
    <x v="25"/>
    <s v="M-ONE Sanitar Silikon"/>
    <n v="12"/>
    <x v="0"/>
    <n v="0.17"/>
  </r>
  <r>
    <s v="ALBANI"/>
    <x v="9"/>
    <n v="46.2"/>
    <m/>
    <m/>
    <x v="83"/>
    <e v="#N/A"/>
    <x v="18"/>
    <s v="M-ONE Sanitar Silikon"/>
    <n v="12"/>
    <x v="0"/>
    <n v="0.17"/>
  </r>
  <r>
    <s v="ALBANI"/>
    <x v="9"/>
    <m/>
    <m/>
    <m/>
    <x v="34"/>
    <e v="#N/A"/>
    <x v="0"/>
    <s v="M-ONE Sanitar Silikon"/>
    <n v="12"/>
    <x v="0"/>
    <n v="0.17"/>
  </r>
  <r>
    <s v="ALBANI"/>
    <x v="9"/>
    <m/>
    <m/>
    <m/>
    <x v="34"/>
    <e v="#N/A"/>
    <x v="5"/>
    <s v="M-ONE Sanitar Silikon"/>
    <n v="12"/>
    <x v="0"/>
    <n v="0.17"/>
  </r>
  <r>
    <s v="KUJTA"/>
    <x v="9"/>
    <n v="138.6"/>
    <m/>
    <m/>
    <x v="36"/>
    <s v="KUJTA"/>
    <x v="20"/>
    <s v="M-ONE Sanitar Silikon"/>
    <n v="12"/>
    <x v="0"/>
    <n v="0.17"/>
  </r>
  <r>
    <s v="KUJTA"/>
    <x v="9"/>
    <m/>
    <m/>
    <m/>
    <x v="36"/>
    <s v="KUJTA"/>
    <x v="9"/>
    <s v="M-ONE Sanitar Silikon"/>
    <n v="12"/>
    <x v="0"/>
    <n v="0.17"/>
  </r>
  <r>
    <s v="KUJTA"/>
    <x v="9"/>
    <m/>
    <m/>
    <m/>
    <x v="36"/>
    <s v="KUJTA"/>
    <x v="25"/>
    <s v="M-ONE Sanitar Silikon"/>
    <n v="12"/>
    <x v="0"/>
    <n v="0.17"/>
  </r>
  <r>
    <s v="SABITI"/>
    <x v="9"/>
    <n v="60"/>
    <m/>
    <m/>
    <x v="35"/>
    <s v="SABITI"/>
    <x v="14"/>
    <s v="beMAKER Bremsen&amp;Teile Reininger"/>
    <n v="12"/>
    <x v="0"/>
    <n v="0.2"/>
  </r>
  <r>
    <s v="SABITI"/>
    <x v="9"/>
    <m/>
    <m/>
    <m/>
    <x v="35"/>
    <s v="SABITI"/>
    <x v="7"/>
    <s v="DICHTUNG"/>
    <n v="5"/>
    <x v="0"/>
    <n v="0.2"/>
  </r>
  <r>
    <s v="TE ZENA"/>
    <x v="9"/>
    <n v="46.2"/>
    <m/>
    <m/>
    <x v="84"/>
    <s v="TE ZENA"/>
    <x v="1"/>
    <s v="M-ONE Sanitar Silikon"/>
    <n v="12"/>
    <x v="0"/>
    <n v="0.17"/>
  </r>
  <r>
    <s v="ARBENI BIOBLIC"/>
    <x v="9"/>
    <n v="151.5"/>
    <m/>
    <m/>
    <x v="71"/>
    <s v="ARBENI BIOBLIC"/>
    <x v="28"/>
    <s v="BioBlic Universalreiniger"/>
    <n v="90"/>
    <x v="2"/>
    <n v="0.30000000000000004"/>
  </r>
  <r>
    <s v="ARBENI BIOBLIC"/>
    <x v="9"/>
    <m/>
    <m/>
    <m/>
    <x v="71"/>
    <s v="ARBENI BIOBLIC"/>
    <x v="29"/>
    <s v="Blic Blic Sanitärreiniger"/>
    <n v="40"/>
    <x v="2"/>
    <n v="0.30000000000000004"/>
  </r>
  <r>
    <s v="HIDROELDI"/>
    <x v="10"/>
    <n v="46.2"/>
    <m/>
    <m/>
    <x v="85"/>
    <s v="HIDROELDI"/>
    <x v="25"/>
    <s v="M-ONE Sanitar Silikon"/>
    <n v="12"/>
    <x v="0"/>
    <n v="0.17"/>
  </r>
  <r>
    <s v="KADIJOLLET"/>
    <x v="10"/>
    <n v="138.6"/>
    <m/>
    <m/>
    <x v="49"/>
    <s v="KADIJOLLET"/>
    <x v="3"/>
    <s v="M-ONE Sanitar Silikon"/>
    <n v="12"/>
    <x v="0"/>
    <n v="0.17"/>
  </r>
  <r>
    <s v="KADIJOLLET"/>
    <x v="10"/>
    <m/>
    <m/>
    <m/>
    <x v="49"/>
    <s v="KADIJOLLET"/>
    <x v="4"/>
    <s v="M-ONE Sanitar Silikon"/>
    <n v="12"/>
    <x v="0"/>
    <n v="0.17"/>
  </r>
  <r>
    <s v="KADIJOLLET"/>
    <x v="10"/>
    <m/>
    <m/>
    <m/>
    <x v="49"/>
    <s v="KADIJOLLET"/>
    <x v="15"/>
    <s v="M-ONE Sanitar Silikon"/>
    <n v="12"/>
    <x v="0"/>
    <n v="0.17"/>
  </r>
  <r>
    <s v="QELA"/>
    <x v="10"/>
    <n v="17.5"/>
    <m/>
    <m/>
    <x v="50"/>
    <s v="QELA"/>
    <x v="13"/>
    <s v="M ONE MOTORSTART"/>
    <n v="5"/>
    <x v="0"/>
    <n v="0.2"/>
  </r>
  <r>
    <s v="EURO COLORS"/>
    <x v="10"/>
    <n v="69.599999999999994"/>
    <m/>
    <m/>
    <x v="86"/>
    <s v="EURO COLORS"/>
    <x v="10"/>
    <s v="PROFIMONT EXTREME"/>
    <n v="12"/>
    <x v="0"/>
    <n v="0.2"/>
  </r>
  <r>
    <s v="JETARI"/>
    <x v="10"/>
    <n v="46.2"/>
    <m/>
    <m/>
    <x v="87"/>
    <s v="JETARI"/>
    <x v="9"/>
    <s v="M-ONE Sanitar Silikon"/>
    <n v="12"/>
    <x v="0"/>
    <n v="0.17"/>
  </r>
  <r>
    <s v="CAMA BAU"/>
    <x v="10"/>
    <n v="720"/>
    <m/>
    <m/>
    <x v="55"/>
    <s v="CAMA BAU"/>
    <x v="3"/>
    <s v="M-ONE Sanitar Silikon"/>
    <n v="12"/>
    <x v="1"/>
    <n v="0.17"/>
  </r>
  <r>
    <s v="CAMA BAU"/>
    <x v="10"/>
    <m/>
    <m/>
    <m/>
    <x v="55"/>
    <s v="CAMA BAU"/>
    <x v="4"/>
    <s v="M-ONE Sanitar Silikon"/>
    <n v="12"/>
    <x v="1"/>
    <n v="0.17"/>
  </r>
  <r>
    <s v="CAMA BAU"/>
    <x v="10"/>
    <m/>
    <m/>
    <m/>
    <x v="55"/>
    <s v="CAMA BAU"/>
    <x v="0"/>
    <s v="M-ONE Sanitar Silikon"/>
    <n v="12"/>
    <x v="1"/>
    <n v="0.17"/>
  </r>
  <r>
    <s v="CAMA BAU"/>
    <x v="10"/>
    <m/>
    <m/>
    <m/>
    <x v="55"/>
    <s v="CAMA BAU"/>
    <x v="5"/>
    <s v="M-ONE Sanitar Silikon"/>
    <n v="12"/>
    <x v="1"/>
    <n v="0.17"/>
  </r>
  <r>
    <s v="CAMA BAU"/>
    <x v="10"/>
    <m/>
    <m/>
    <m/>
    <x v="55"/>
    <s v="CAMA BAU"/>
    <x v="15"/>
    <s v="M-ONE Sanitar Silikon"/>
    <n v="12"/>
    <x v="1"/>
    <n v="0.17"/>
  </r>
  <r>
    <s v="CAMA BAU"/>
    <x v="10"/>
    <m/>
    <m/>
    <m/>
    <x v="55"/>
    <s v="CAMA BAU"/>
    <x v="18"/>
    <s v="M-ONE Sanitar Silikon"/>
    <n v="12"/>
    <x v="1"/>
    <n v="0.17"/>
  </r>
  <r>
    <s v="CAMA BAU"/>
    <x v="10"/>
    <m/>
    <m/>
    <m/>
    <x v="55"/>
    <s v="CAMA BAU"/>
    <x v="25"/>
    <s v="M-ONE Sanitar Silikon"/>
    <n v="12"/>
    <x v="1"/>
    <n v="0.17"/>
  </r>
  <r>
    <s v="CAMA BAU"/>
    <x v="10"/>
    <m/>
    <m/>
    <m/>
    <x v="55"/>
    <s v="CAMA BAU"/>
    <x v="20"/>
    <s v="M-ONE Sanitar Silikon"/>
    <n v="12"/>
    <x v="1"/>
    <n v="0.17"/>
  </r>
  <r>
    <s v="CAMA BAU"/>
    <x v="10"/>
    <m/>
    <m/>
    <m/>
    <x v="55"/>
    <s v="CAMA BAU"/>
    <x v="6"/>
    <s v="M-ONE Sanitar Silikon"/>
    <n v="12"/>
    <x v="1"/>
    <n v="0.17"/>
  </r>
  <r>
    <s v="CAMA BAU"/>
    <x v="10"/>
    <m/>
    <m/>
    <m/>
    <x v="55"/>
    <s v="CAMA BAU"/>
    <x v="1"/>
    <s v="M-ONE Sanitar Silikon"/>
    <n v="12"/>
    <x v="1"/>
    <n v="0.17"/>
  </r>
  <r>
    <s v="CAMA BAU"/>
    <x v="10"/>
    <m/>
    <m/>
    <m/>
    <x v="55"/>
    <s v="CAMA BAU"/>
    <x v="2"/>
    <s v="M-ONE Sanitar Silikon"/>
    <n v="12"/>
    <x v="1"/>
    <n v="0.17"/>
  </r>
  <r>
    <s v="CAMA BAU"/>
    <x v="10"/>
    <m/>
    <m/>
    <m/>
    <x v="55"/>
    <s v="CAMA BAU"/>
    <x v="9"/>
    <s v="M-ONE Sanitar Silikon"/>
    <n v="12"/>
    <x v="1"/>
    <n v="0.17"/>
  </r>
  <r>
    <s v="CAMA BAU"/>
    <x v="10"/>
    <m/>
    <m/>
    <m/>
    <x v="55"/>
    <s v="CAMA BAU"/>
    <x v="10"/>
    <s v="PROFIMONT EXTREME"/>
    <n v="12"/>
    <x v="1"/>
    <n v="0.2"/>
  </r>
  <r>
    <s v="CAMA BAU"/>
    <x v="10"/>
    <m/>
    <m/>
    <m/>
    <x v="55"/>
    <s v="CAMA BAU"/>
    <x v="7"/>
    <s v="DICHTUNG"/>
    <n v="12"/>
    <x v="1"/>
    <n v="0.2"/>
  </r>
  <r>
    <s v="KENA COMERC"/>
    <x v="10"/>
    <n v="137.4"/>
    <m/>
    <m/>
    <x v="52"/>
    <s v="KENA COMERC"/>
    <x v="0"/>
    <s v="M-ONE Sanitar Silikon"/>
    <n v="12"/>
    <x v="1"/>
    <n v="0.17"/>
  </r>
  <r>
    <s v="KENA COMERC"/>
    <x v="10"/>
    <m/>
    <m/>
    <m/>
    <x v="52"/>
    <s v="KENA COMERC"/>
    <x v="5"/>
    <s v="M-ONE Sanitar Silikon"/>
    <n v="12"/>
    <x v="1"/>
    <n v="0.17"/>
  </r>
  <r>
    <s v="KENA COMERC"/>
    <x v="10"/>
    <m/>
    <m/>
    <m/>
    <x v="52"/>
    <s v="KENA COMERC"/>
    <x v="22"/>
    <s v="universal akryl"/>
    <n v="36"/>
    <x v="1"/>
    <n v="0.06"/>
  </r>
  <r>
    <s v="TECOL 2"/>
    <x v="10"/>
    <n v="44.5"/>
    <m/>
    <m/>
    <x v="53"/>
    <s v="TECOL 2"/>
    <x v="19"/>
    <s v="M ONE KLARLACK"/>
    <n v="12"/>
    <x v="1"/>
    <n v="0.15"/>
  </r>
  <r>
    <s v="TECOL 2"/>
    <x v="10"/>
    <m/>
    <m/>
    <m/>
    <x v="53"/>
    <s v="TECOL 2"/>
    <x v="30"/>
    <s v="M ONE ANTHRAZIT"/>
    <n v="7"/>
    <x v="1"/>
    <n v="0.15"/>
  </r>
  <r>
    <s v="TECOL 2"/>
    <x v="10"/>
    <m/>
    <m/>
    <m/>
    <x v="53"/>
    <s v="TECOL 2"/>
    <x v="17"/>
    <s v="M ONE UBS"/>
    <n v="4"/>
    <x v="1"/>
    <n v="0.2"/>
  </r>
  <r>
    <s v="LULI-C"/>
    <x v="10"/>
    <n v="107.4"/>
    <m/>
    <m/>
    <x v="54"/>
    <s v="LULI-C"/>
    <x v="15"/>
    <s v="M-ONE Sanitar Silikon"/>
    <n v="12"/>
    <x v="1"/>
    <n v="0.17"/>
  </r>
  <r>
    <s v="LULI-C"/>
    <x v="10"/>
    <m/>
    <m/>
    <m/>
    <x v="54"/>
    <s v="LULI-C"/>
    <x v="9"/>
    <s v="M-ONE Sanitar Silikon"/>
    <n v="12"/>
    <x v="1"/>
    <n v="0.17"/>
  </r>
  <r>
    <s v="LULI-C"/>
    <x v="10"/>
    <m/>
    <m/>
    <m/>
    <x v="54"/>
    <s v="LULI-C"/>
    <x v="22"/>
    <s v="universal akryl"/>
    <n v="12"/>
    <x v="1"/>
    <n v="0.06"/>
  </r>
  <r>
    <s v="TERMO PROJEKT"/>
    <x v="10"/>
    <n v="102.4"/>
    <m/>
    <m/>
    <x v="56"/>
    <s v="TERMO PROJEKT"/>
    <x v="4"/>
    <s v="M-ONE Sanitar Silikon"/>
    <n v="12"/>
    <x v="1"/>
    <n v="0.17"/>
  </r>
  <r>
    <s v="TERMO PROJEKT"/>
    <x v="10"/>
    <m/>
    <m/>
    <m/>
    <x v="56"/>
    <s v="TERMO PROJEKT"/>
    <x v="5"/>
    <s v="M-ONE Sanitar Silikon"/>
    <n v="12"/>
    <x v="1"/>
    <n v="0.17"/>
  </r>
  <r>
    <s v="TERMO PROJEKT"/>
    <x v="10"/>
    <m/>
    <m/>
    <m/>
    <x v="56"/>
    <s v="TERMO PROJEKT"/>
    <x v="12"/>
    <s v="beMAKER Rostlöser"/>
    <n v="5"/>
    <x v="1"/>
    <n v="0.2"/>
  </r>
  <r>
    <s v="ENESI"/>
    <x v="10"/>
    <n v="46.2"/>
    <m/>
    <m/>
    <x v="88"/>
    <s v="ENESI"/>
    <x v="6"/>
    <s v="M-ONE Sanitar Silikon"/>
    <n v="12"/>
    <x v="1"/>
    <n v="0.17"/>
  </r>
  <r>
    <s v="FORD BASHKIMI"/>
    <x v="11"/>
    <n v="24"/>
    <m/>
    <m/>
    <x v="58"/>
    <s v="FORD BASHKIMI"/>
    <x v="14"/>
    <s v="beMAKER Bremsen&amp;Teile Reininger"/>
    <n v="12"/>
    <x v="2"/>
    <n v="0.2"/>
  </r>
  <r>
    <s v="TAULANTI"/>
    <x v="11"/>
    <n v="138.6"/>
    <m/>
    <m/>
    <x v="89"/>
    <e v="#N/A"/>
    <x v="3"/>
    <s v="M-ONE Sanitar Silikon"/>
    <n v="12"/>
    <x v="0"/>
    <n v="0.17"/>
  </r>
  <r>
    <s v="TAULANTI"/>
    <x v="11"/>
    <m/>
    <m/>
    <m/>
    <x v="89"/>
    <e v="#N/A"/>
    <x v="2"/>
    <s v="M-ONE Sanitar Silikon"/>
    <n v="24"/>
    <x v="0"/>
    <n v="0.17"/>
  </r>
  <r>
    <s v="TE BESNIKU"/>
    <x v="11"/>
    <n v="46.2"/>
    <m/>
    <m/>
    <x v="65"/>
    <s v="TE BESNIKU"/>
    <x v="3"/>
    <s v="M-ONE Sanitar Silikon"/>
    <n v="12"/>
    <x v="0"/>
    <n v="0.17"/>
  </r>
  <r>
    <s v="ARPO"/>
    <x v="11"/>
    <n v="231"/>
    <m/>
    <m/>
    <x v="64"/>
    <s v="ARPO"/>
    <x v="4"/>
    <s v="M-ONE Sanitar Silikon"/>
    <n v="24"/>
    <x v="0"/>
    <n v="0.17"/>
  </r>
  <r>
    <s v="ARPO"/>
    <x v="11"/>
    <m/>
    <m/>
    <m/>
    <x v="64"/>
    <s v="ARPO"/>
    <x v="1"/>
    <s v="M-ONE Sanitar Silikon"/>
    <n v="24"/>
    <x v="0"/>
    <n v="0.17"/>
  </r>
  <r>
    <s v="ARPO"/>
    <x v="11"/>
    <m/>
    <m/>
    <m/>
    <x v="64"/>
    <s v="ARPO"/>
    <x v="20"/>
    <s v="M-ONE Sanitar Silikon"/>
    <n v="12"/>
    <x v="0"/>
    <n v="0.17"/>
  </r>
  <r>
    <s v="BESO KERAMIK"/>
    <x v="11"/>
    <n v="138.6"/>
    <m/>
    <m/>
    <x v="90"/>
    <s v="BESO KERAMIK"/>
    <x v="20"/>
    <s v="M-ONE Sanitar Silikon"/>
    <n v="12"/>
    <x v="0"/>
    <n v="0.17"/>
  </r>
  <r>
    <s v="BESO KERAMIK"/>
    <x v="11"/>
    <m/>
    <m/>
    <m/>
    <x v="90"/>
    <s v="BESO KERAMIK"/>
    <x v="1"/>
    <s v="M-ONE Sanitar Silikon"/>
    <n v="24"/>
    <x v="0"/>
    <n v="0.17"/>
  </r>
  <r>
    <s v="AB SHPK"/>
    <x v="11"/>
    <n v="27.6"/>
    <m/>
    <m/>
    <x v="63"/>
    <s v="AB SHPK"/>
    <x v="8"/>
    <s v="struktural akryl"/>
    <n v="12"/>
    <x v="0"/>
    <n v="0.06"/>
  </r>
  <r>
    <s v="TEMAJ"/>
    <x v="11"/>
    <n v="92.4"/>
    <m/>
    <m/>
    <x v="91"/>
    <s v="TEMAJ"/>
    <x v="4"/>
    <s v="M-ONE Sanitar Silikon"/>
    <n v="24"/>
    <x v="2"/>
    <n v="0.17"/>
  </r>
  <r>
    <s v="HOXHA"/>
    <x v="11"/>
    <n v="73.8"/>
    <m/>
    <m/>
    <x v="29"/>
    <s v="HOXHA"/>
    <x v="5"/>
    <s v="M-ONE Sanitar Silikon"/>
    <n v="12"/>
    <x v="1"/>
    <n v="0.17"/>
  </r>
  <r>
    <s v="HOXHA"/>
    <x v="11"/>
    <m/>
    <m/>
    <m/>
    <x v="29"/>
    <s v="HOXHA"/>
    <x v="8"/>
    <s v="struktural akryl"/>
    <n v="12"/>
    <x v="1"/>
    <n v="0.06"/>
  </r>
  <r>
    <s v="ERENIKU"/>
    <x v="11"/>
    <n v="73.8"/>
    <m/>
    <m/>
    <x v="92"/>
    <s v="ERENIKU"/>
    <x v="5"/>
    <s v="M-ONE Sanitar Silikon"/>
    <n v="12"/>
    <x v="1"/>
    <n v="0.17"/>
  </r>
  <r>
    <s v="ERENIKU"/>
    <x v="11"/>
    <m/>
    <m/>
    <m/>
    <x v="92"/>
    <s v="ERENIKU"/>
    <x v="8"/>
    <s v="struktural akryl"/>
    <n v="12"/>
    <x v="1"/>
    <n v="0.06"/>
  </r>
  <r>
    <s v="INOX 2"/>
    <x v="11"/>
    <n v="115.8"/>
    <m/>
    <m/>
    <x v="93"/>
    <s v="INOX 2"/>
    <x v="0"/>
    <s v="M-ONE Sanitar Silikon"/>
    <n v="12"/>
    <x v="1"/>
    <n v="0.17"/>
  </r>
  <r>
    <s v="INOX 2"/>
    <x v="11"/>
    <m/>
    <m/>
    <m/>
    <x v="93"/>
    <s v="INOX 2"/>
    <x v="10"/>
    <s v="PROFIMONT EXTREME"/>
    <n v="12"/>
    <x v="1"/>
    <n v="0.2"/>
  </r>
  <r>
    <s v="GER COLORS"/>
    <x v="11"/>
    <n v="115.8"/>
    <m/>
    <m/>
    <x v="94"/>
    <s v="GER COLORS"/>
    <x v="4"/>
    <s v="M-ONE Sanitar Silikon"/>
    <n v="12"/>
    <x v="1"/>
    <n v="0.17"/>
  </r>
  <r>
    <s v="GER COLORS"/>
    <x v="11"/>
    <m/>
    <m/>
    <m/>
    <x v="94"/>
    <s v="GER COLORS"/>
    <x v="10"/>
    <s v="PROFIMONT EXTREME"/>
    <n v="12"/>
    <x v="1"/>
    <n v="0.2"/>
  </r>
  <r>
    <s v="HB-DECOR"/>
    <x v="11"/>
    <n v="139.19999999999999"/>
    <m/>
    <m/>
    <x v="95"/>
    <s v="HB-DECOR"/>
    <x v="31"/>
    <s v="M ONE SCHRAUBENSICHERUNG"/>
    <n v="24"/>
    <x v="1"/>
    <n v="0.5"/>
  </r>
  <r>
    <s v="DIKI BAU SHPK"/>
    <x v="11"/>
    <n v="92.4"/>
    <m/>
    <m/>
    <x v="96"/>
    <s v="DIKI BAU SHPK"/>
    <x v="1"/>
    <s v="M-ONE Sanitar Silikon"/>
    <n v="12"/>
    <x v="1"/>
    <n v="0.17"/>
  </r>
  <r>
    <s v="DIKI BAU SHPK"/>
    <x v="11"/>
    <m/>
    <m/>
    <m/>
    <x v="96"/>
    <s v="DIKI BAU SHPK"/>
    <x v="2"/>
    <s v="M-ONE Sanitar Silikon"/>
    <n v="12"/>
    <x v="1"/>
    <n v="0.17"/>
  </r>
  <r>
    <s v="TE BESIMI"/>
    <x v="11"/>
    <n v="61.2"/>
    <m/>
    <m/>
    <x v="70"/>
    <s v="TE BESIMI"/>
    <x v="7"/>
    <s v="DICHTUNG"/>
    <n v="6"/>
    <x v="1"/>
    <n v="0.2"/>
  </r>
  <r>
    <s v="TE BESIMI"/>
    <x v="11"/>
    <m/>
    <m/>
    <m/>
    <x v="70"/>
    <s v="TE BESIMI"/>
    <x v="23"/>
    <s v="M ONE HAFTGRUND"/>
    <n v="12"/>
    <x v="1"/>
    <n v="0.15"/>
  </r>
  <r>
    <s v="INTERCOM NTP"/>
    <x v="12"/>
    <n v="92.4"/>
    <m/>
    <m/>
    <x v="0"/>
    <s v="INTERCOM NTP"/>
    <x v="18"/>
    <s v="M-ONE Sanitar Silikon"/>
    <n v="24"/>
    <x v="0"/>
    <n v="0.17"/>
  </r>
  <r>
    <s v="IBAK"/>
    <x v="12"/>
    <n v="46.2"/>
    <m/>
    <m/>
    <x v="3"/>
    <s v="IBAK"/>
    <x v="15"/>
    <s v="M-ONE Sanitar Silikon"/>
    <n v="12"/>
    <x v="0"/>
    <n v="0.17"/>
  </r>
  <r>
    <s v="BEKA-3"/>
    <x v="12"/>
    <n v="86.4"/>
    <m/>
    <m/>
    <x v="8"/>
    <s v="BEKA-3"/>
    <x v="7"/>
    <s v="DICHTUNG"/>
    <n v="12"/>
    <x v="0"/>
    <n v="0.2"/>
  </r>
  <r>
    <s v="FUNDAMETI"/>
    <x v="12"/>
    <n v="231"/>
    <m/>
    <m/>
    <x v="7"/>
    <s v="FUNDAMETI"/>
    <x v="1"/>
    <s v="M-ONE Sanitar Silikon"/>
    <n v="24"/>
    <x v="0"/>
    <n v="0.17"/>
  </r>
  <r>
    <s v="FUNDAMETI"/>
    <x v="12"/>
    <m/>
    <m/>
    <m/>
    <x v="7"/>
    <s v="FUNDAMETI"/>
    <x v="5"/>
    <s v="M-ONE Sanitar Silikon"/>
    <n v="12"/>
    <x v="0"/>
    <n v="0.17"/>
  </r>
  <r>
    <s v="FUNDAMETI"/>
    <x v="12"/>
    <m/>
    <m/>
    <m/>
    <x v="7"/>
    <s v="FUNDAMETI"/>
    <x v="15"/>
    <s v="M-ONE Sanitar Silikon"/>
    <n v="12"/>
    <x v="0"/>
    <n v="0.17"/>
  </r>
  <r>
    <s v="FUNDAMETI"/>
    <x v="12"/>
    <m/>
    <m/>
    <m/>
    <x v="7"/>
    <s v="FUNDAMETI"/>
    <x v="6"/>
    <s v="M-ONE Sanitar Silikon"/>
    <n v="12"/>
    <x v="0"/>
    <n v="0.17"/>
  </r>
  <r>
    <s v="ELIONI-1"/>
    <x v="12"/>
    <n v="46.2"/>
    <m/>
    <m/>
    <x v="97"/>
    <s v="ELIONI-1"/>
    <x v="15"/>
    <s v="M-ONE Sanitar Silikon"/>
    <n v="12"/>
    <x v="0"/>
    <n v="0.17"/>
  </r>
  <r>
    <s v="BALLKANI"/>
    <x v="12"/>
    <n v="92.4"/>
    <m/>
    <m/>
    <x v="98"/>
    <s v="BALLKANI"/>
    <x v="18"/>
    <s v="M-ONE Sanitar Silikon"/>
    <n v="12"/>
    <x v="0"/>
    <n v="0.17"/>
  </r>
  <r>
    <s v="BALLKANI"/>
    <x v="12"/>
    <m/>
    <m/>
    <m/>
    <x v="98"/>
    <s v="BALLKANI"/>
    <x v="1"/>
    <s v="M-ONE Sanitar Silikon"/>
    <n v="12"/>
    <x v="0"/>
    <n v="0.17"/>
  </r>
  <r>
    <s v="ERALP"/>
    <x v="12"/>
    <n v="46.2"/>
    <m/>
    <m/>
    <x v="1"/>
    <s v="ERALP"/>
    <x v="15"/>
    <s v="M-ONE Sanitar Silikon"/>
    <n v="12"/>
    <x v="0"/>
    <n v="0.17"/>
  </r>
  <r>
    <s v="CONDOR"/>
    <x v="12"/>
    <n v="127.2"/>
    <m/>
    <m/>
    <x v="11"/>
    <s v="CONDOR"/>
    <x v="4"/>
    <s v="M-ONE Sanitar Silikon"/>
    <n v="12"/>
    <x v="1"/>
    <n v="0.17"/>
  </r>
  <r>
    <s v="CONDOR"/>
    <x v="12"/>
    <m/>
    <m/>
    <m/>
    <x v="11"/>
    <s v="CONDOR"/>
    <x v="22"/>
    <s v="universal akryl"/>
    <n v="36"/>
    <x v="1"/>
    <n v="0.06"/>
  </r>
  <r>
    <s v="CONDOR"/>
    <x v="12"/>
    <m/>
    <m/>
    <m/>
    <x v="11"/>
    <s v="CONDOR"/>
    <x v="7"/>
    <s v="DICHTUNG"/>
    <n v="4"/>
    <x v="1"/>
    <n v="0.2"/>
  </r>
  <r>
    <s v="CONDOR"/>
    <x v="12"/>
    <m/>
    <m/>
    <m/>
    <x v="11"/>
    <s v="CONDOR"/>
    <x v="12"/>
    <s v="beMAKER Rostlöser"/>
    <n v="2"/>
    <x v="1"/>
    <n v="0.2"/>
  </r>
  <r>
    <s v="BARDHI-M"/>
    <x v="12"/>
    <n v="92.4"/>
    <m/>
    <m/>
    <x v="77"/>
    <s v="BARDHI-M"/>
    <x v="4"/>
    <s v="M-ONE Sanitar Silikon"/>
    <n v="12"/>
    <x v="1"/>
    <n v="0.17"/>
  </r>
  <r>
    <s v="BARDHI-M"/>
    <x v="12"/>
    <m/>
    <m/>
    <m/>
    <x v="77"/>
    <s v="BARDHI-M"/>
    <x v="1"/>
    <s v="M-ONE Sanitar Silikon"/>
    <n v="12"/>
    <x v="1"/>
    <n v="0.17"/>
  </r>
  <r>
    <s v="BEREQETI"/>
    <x v="12"/>
    <n v="138.6"/>
    <m/>
    <m/>
    <x v="13"/>
    <s v="BEREQETI"/>
    <x v="4"/>
    <s v="M-ONE Sanitar Silikon"/>
    <n v="12"/>
    <x v="1"/>
    <n v="0.17"/>
  </r>
  <r>
    <s v="BEREQETI"/>
    <x v="12"/>
    <m/>
    <m/>
    <m/>
    <x v="13"/>
    <s v="BEREQETI"/>
    <x v="1"/>
    <s v="M-ONE Sanitar Silikon"/>
    <n v="24"/>
    <x v="1"/>
    <n v="0.17"/>
  </r>
  <r>
    <s v="FITIMI"/>
    <x v="12"/>
    <n v="101.4"/>
    <m/>
    <m/>
    <x v="16"/>
    <s v="FITIMI"/>
    <x v="5"/>
    <s v="M-ONE Sanitar Silikon"/>
    <n v="12"/>
    <x v="1"/>
    <n v="0.17"/>
  </r>
  <r>
    <s v="FITIMI"/>
    <x v="12"/>
    <m/>
    <m/>
    <m/>
    <x v="16"/>
    <s v="FITIMI"/>
    <x v="8"/>
    <s v="struktural akryl"/>
    <n v="24"/>
    <x v="1"/>
    <n v="0.06"/>
  </r>
  <r>
    <s v="SOPAJ"/>
    <x v="12"/>
    <n v="92.4"/>
    <m/>
    <m/>
    <x v="99"/>
    <s v="SOPAJ"/>
    <x v="0"/>
    <s v="M-ONE Sanitar Silikon"/>
    <n v="12"/>
    <x v="1"/>
    <n v="0.17"/>
  </r>
  <r>
    <s v="SOPAJ"/>
    <x v="12"/>
    <m/>
    <m/>
    <m/>
    <x v="99"/>
    <s v="SOPAJ"/>
    <x v="5"/>
    <s v="M-ONE Sanitar Silikon"/>
    <n v="12"/>
    <x v="1"/>
    <n v="0.17"/>
  </r>
  <r>
    <s v="AGRO TEC"/>
    <x v="12"/>
    <n v="131.4"/>
    <m/>
    <m/>
    <x v="100"/>
    <s v="AGRO TEC"/>
    <x v="24"/>
    <s v="M ONE SILIKON SPRAY"/>
    <n v="1"/>
    <x v="1"/>
    <n v="0.2"/>
  </r>
  <r>
    <s v="AGRO TEC"/>
    <x v="12"/>
    <m/>
    <m/>
    <m/>
    <x v="100"/>
    <s v="AGRO TEC"/>
    <x v="12"/>
    <s v="beMAKER Rostlöser"/>
    <n v="3"/>
    <x v="1"/>
    <n v="0.2"/>
  </r>
  <r>
    <s v="AGRO TEC"/>
    <x v="12"/>
    <m/>
    <m/>
    <m/>
    <x v="100"/>
    <s v="AGRO TEC"/>
    <x v="7"/>
    <s v="DICHTUNG"/>
    <n v="17"/>
    <x v="1"/>
    <n v="0.2"/>
  </r>
  <r>
    <s v="NDRIQIMI"/>
    <x v="13"/>
    <n v="92.4"/>
    <m/>
    <m/>
    <x v="79"/>
    <s v="NDRIQIMI"/>
    <x v="15"/>
    <s v="M-ONE Sanitar Silikon"/>
    <n v="24"/>
    <x v="0"/>
    <n v="0.17"/>
  </r>
  <r>
    <s v="VISARI HH"/>
    <x v="13"/>
    <n v="46.2"/>
    <m/>
    <m/>
    <x v="21"/>
    <s v="VISARI HH"/>
    <x v="1"/>
    <s v="M-ONE Sanitar Silikon"/>
    <n v="12"/>
    <x v="0"/>
    <n v="0.17"/>
  </r>
  <r>
    <s v="UNIVERZAL"/>
    <x v="13"/>
    <n v="92.4"/>
    <m/>
    <m/>
    <x v="18"/>
    <s v="UNIVERZAL"/>
    <x v="18"/>
    <s v="M-ONE Sanitar Silikon"/>
    <n v="12"/>
    <x v="0"/>
    <n v="0.17"/>
  </r>
  <r>
    <s v="UNIVERZAL"/>
    <x v="13"/>
    <m/>
    <m/>
    <m/>
    <x v="18"/>
    <s v="UNIVERZAL"/>
    <x v="1"/>
    <s v="M-ONE Sanitar Silikon"/>
    <n v="12"/>
    <x v="0"/>
    <n v="0.17"/>
  </r>
  <r>
    <s v="AGRONI"/>
    <x v="13"/>
    <n v="53.5"/>
    <m/>
    <m/>
    <x v="22"/>
    <s v="AGRONI"/>
    <x v="7"/>
    <s v="DICHTUNG"/>
    <n v="5"/>
    <x v="0"/>
    <n v="0.2"/>
  </r>
  <r>
    <s v="AGRONI"/>
    <x v="13"/>
    <m/>
    <m/>
    <m/>
    <x v="22"/>
    <s v="AGRONI"/>
    <x v="13"/>
    <s v="M ONE MOTORSTART"/>
    <n v="5"/>
    <x v="0"/>
    <n v="0.2"/>
  </r>
  <r>
    <s v="SAN KOS"/>
    <x v="13"/>
    <n v="46.2"/>
    <m/>
    <m/>
    <x v="101"/>
    <s v="SAN KOS"/>
    <x v="4"/>
    <s v="M-ONE Sanitar Silikon"/>
    <n v="12"/>
    <x v="0"/>
    <n v="0.17"/>
  </r>
  <r>
    <s v="ARBERI"/>
    <x v="14"/>
    <n v="92.4"/>
    <m/>
    <m/>
    <x v="102"/>
    <s v="ARBERI"/>
    <x v="0"/>
    <s v="M-ONE Sanitar Silikon"/>
    <n v="12"/>
    <x v="0"/>
    <n v="0.17"/>
  </r>
  <r>
    <s v="ARBERI"/>
    <x v="14"/>
    <m/>
    <m/>
    <m/>
    <x v="102"/>
    <s v="ARBERI"/>
    <x v="20"/>
    <s v="M-ONE Sanitar Silikon"/>
    <n v="12"/>
    <x v="0"/>
    <n v="0.17"/>
  </r>
  <r>
    <s v="CARRALEVA 2"/>
    <x v="14"/>
    <n v="46.2"/>
    <m/>
    <m/>
    <x v="23"/>
    <s v="CARRALEVA 2"/>
    <x v="0"/>
    <s v="M-ONE Sanitar Silikon"/>
    <n v="12"/>
    <x v="0"/>
    <n v="0.17"/>
  </r>
  <r>
    <s v="LONI"/>
    <x v="14"/>
    <n v="39.1"/>
    <m/>
    <m/>
    <x v="24"/>
    <s v="LONI"/>
    <x v="7"/>
    <s v="DICHTUNG"/>
    <n v="3"/>
    <x v="0"/>
    <n v="0.2"/>
  </r>
  <r>
    <s v="LONI"/>
    <x v="14"/>
    <m/>
    <m/>
    <m/>
    <x v="24"/>
    <s v="LONI"/>
    <x v="16"/>
    <s v="Fettspray"/>
    <n v="5"/>
    <x v="0"/>
    <n v="0.2"/>
  </r>
  <r>
    <s v="REAL COLOR 2"/>
    <x v="14"/>
    <n v="92.4"/>
    <m/>
    <m/>
    <x v="26"/>
    <s v="REAL COLOR 2"/>
    <x v="15"/>
    <s v="M-ONE Sanitar Silikon"/>
    <n v="12"/>
    <x v="0"/>
    <n v="0.17"/>
  </r>
  <r>
    <s v="REAL COLOR 2"/>
    <x v="14"/>
    <m/>
    <m/>
    <m/>
    <x v="26"/>
    <s v="REAL COLOR 2"/>
    <x v="2"/>
    <s v="M-ONE Sanitar Silikon"/>
    <n v="12"/>
    <x v="0"/>
    <n v="0.17"/>
  </r>
  <r>
    <s v="REAL COLOR 1"/>
    <x v="14"/>
    <n v="46.2"/>
    <m/>
    <m/>
    <x v="103"/>
    <s v="REAL COLOR 1"/>
    <x v="20"/>
    <s v="M-ONE Sanitar Silikon"/>
    <n v="12"/>
    <x v="0"/>
    <n v="0.17"/>
  </r>
  <r>
    <s v="CARRALEVA 1"/>
    <x v="14"/>
    <n v="138.6"/>
    <m/>
    <m/>
    <x v="25"/>
    <s v="CARRALEVA 1"/>
    <x v="4"/>
    <s v="M-ONE Sanitar Silikon"/>
    <n v="12"/>
    <x v="0"/>
    <n v="0.17"/>
  </r>
  <r>
    <s v="CARRALEVA 1"/>
    <x v="14"/>
    <m/>
    <m/>
    <m/>
    <x v="25"/>
    <s v="CARRALEVA 1"/>
    <x v="18"/>
    <s v="M-ONE Sanitar Silikon"/>
    <n v="12"/>
    <x v="0"/>
    <n v="0.17"/>
  </r>
  <r>
    <s v="CARRALEVA 1"/>
    <x v="14"/>
    <m/>
    <m/>
    <m/>
    <x v="25"/>
    <s v="CARRALEVA 1"/>
    <x v="2"/>
    <s v="M-ONE Sanitar Silikon"/>
    <n v="12"/>
    <x v="0"/>
    <n v="0.17"/>
  </r>
  <r>
    <s v="RACI"/>
    <x v="14"/>
    <n v="208.2"/>
    <m/>
    <m/>
    <x v="28"/>
    <s v="RACI"/>
    <x v="18"/>
    <s v="M-ONE Sanitar Silikon"/>
    <n v="12"/>
    <x v="1"/>
    <n v="0.17"/>
  </r>
  <r>
    <s v="RACI"/>
    <x v="14"/>
    <m/>
    <m/>
    <m/>
    <x v="28"/>
    <s v="RACI"/>
    <x v="10"/>
    <s v="PROFIMONT EXTREME"/>
    <n v="12"/>
    <x v="1"/>
    <n v="0.2"/>
  </r>
  <r>
    <s v="RACI"/>
    <x v="14"/>
    <m/>
    <m/>
    <m/>
    <x v="28"/>
    <s v="RACI"/>
    <x v="1"/>
    <s v="M-ONE Sanitar Silikon"/>
    <n v="12"/>
    <x v="1"/>
    <n v="0.17"/>
  </r>
  <r>
    <s v="RACI"/>
    <x v="14"/>
    <m/>
    <m/>
    <m/>
    <x v="28"/>
    <s v="RACI"/>
    <x v="2"/>
    <s v="M-ONE Sanitar Silikon"/>
    <n v="12"/>
    <x v="1"/>
    <n v="0.17"/>
  </r>
  <r>
    <s v="JONI"/>
    <x v="14"/>
    <n v="45"/>
    <m/>
    <m/>
    <x v="104"/>
    <s v="JONI"/>
    <x v="22"/>
    <s v="universal akryl"/>
    <n v="36"/>
    <x v="1"/>
    <n v="0.06"/>
  </r>
  <r>
    <s v="HOXHA"/>
    <x v="14"/>
    <n v="61.2"/>
    <m/>
    <m/>
    <x v="29"/>
    <s v="HOXHA"/>
    <x v="5"/>
    <s v="M-ONE Sanitar Silikon"/>
    <n v="12"/>
    <x v="1"/>
    <n v="0.17"/>
  </r>
  <r>
    <s v="HOXHA"/>
    <x v="14"/>
    <m/>
    <m/>
    <m/>
    <x v="29"/>
    <s v="HOXHA"/>
    <x v="22"/>
    <s v="universal akryl"/>
    <n v="12"/>
    <x v="1"/>
    <n v="0.06"/>
  </r>
  <r>
    <s v="BERATI A.P. (1)"/>
    <x v="14"/>
    <n v="67"/>
    <m/>
    <m/>
    <x v="31"/>
    <s v="BERATI A.P. (1)"/>
    <x v="16"/>
    <s v="Fettspray"/>
    <n v="9"/>
    <x v="1"/>
    <n v="0.2"/>
  </r>
  <r>
    <s v="BERATI A.P. (1)"/>
    <x v="14"/>
    <m/>
    <m/>
    <m/>
    <x v="31"/>
    <s v="BERATI A.P. (1)"/>
    <x v="7"/>
    <s v="DICHTUNG"/>
    <n v="3"/>
    <x v="1"/>
    <n v="0.2"/>
  </r>
  <r>
    <s v="BERATI A.P. (1)"/>
    <x v="14"/>
    <m/>
    <m/>
    <m/>
    <x v="31"/>
    <s v="BERATI A.P. (1)"/>
    <x v="17"/>
    <s v="M ONE UBS"/>
    <n v="5"/>
    <x v="1"/>
    <n v="0.2"/>
  </r>
  <r>
    <s v="LIRIDONA-A"/>
    <x v="14"/>
    <n v="92.4"/>
    <m/>
    <m/>
    <x v="105"/>
    <s v="LIRIDONA-A"/>
    <x v="0"/>
    <s v="M-ONE Sanitar Silikon"/>
    <n v="24"/>
    <x v="1"/>
    <n v="0.17"/>
  </r>
  <r>
    <s v="LIRIDONA HOME"/>
    <x v="14"/>
    <n v="92.4"/>
    <m/>
    <m/>
    <x v="106"/>
    <s v="LIRIDONA HOME"/>
    <x v="25"/>
    <s v="M-ONE Sanitar Silikon"/>
    <n v="12"/>
    <x v="1"/>
    <n v="0.17"/>
  </r>
  <r>
    <s v="LIRIDONA HOME"/>
    <x v="14"/>
    <m/>
    <m/>
    <m/>
    <x v="106"/>
    <s v="LIRIDONA HOME"/>
    <x v="6"/>
    <s v="M-ONE Sanitar Silikon"/>
    <n v="12"/>
    <x v="1"/>
    <n v="0.17"/>
  </r>
  <r>
    <s v="TE BENI"/>
    <x v="14"/>
    <n v="277"/>
    <m/>
    <m/>
    <x v="107"/>
    <s v="TE BENI"/>
    <x v="1"/>
    <s v="M-ONE Sanitar Silikon"/>
    <n v="36"/>
    <x v="1"/>
    <n v="0.17"/>
  </r>
  <r>
    <s v="TE BENI"/>
    <x v="14"/>
    <m/>
    <m/>
    <m/>
    <x v="107"/>
    <s v="TE BENI"/>
    <x v="18"/>
    <s v="M-ONE Sanitar Silikon"/>
    <n v="12"/>
    <x v="1"/>
    <n v="0.17"/>
  </r>
  <r>
    <s v="TE BENI"/>
    <x v="14"/>
    <m/>
    <m/>
    <m/>
    <x v="107"/>
    <s v="TE BENI"/>
    <x v="25"/>
    <s v="M-ONE Sanitar Silikon"/>
    <n v="12"/>
    <x v="1"/>
    <n v="0.17"/>
  </r>
  <r>
    <s v="TE BENI"/>
    <x v="14"/>
    <m/>
    <m/>
    <m/>
    <x v="107"/>
    <s v="TE BENI"/>
    <x v="5"/>
    <s v="M-ONE Sanitar Silikon"/>
    <n v="12"/>
    <x v="1"/>
    <n v="0.17"/>
  </r>
  <r>
    <s v="BENI"/>
    <x v="14"/>
    <n v="72"/>
    <m/>
    <m/>
    <x v="32"/>
    <s v="BENI"/>
    <x v="24"/>
    <s v="M ONE SILIKON SPRAY"/>
    <n v="12"/>
    <x v="1"/>
    <n v="0.2"/>
  </r>
  <r>
    <s v="BENI"/>
    <x v="14"/>
    <m/>
    <m/>
    <m/>
    <x v="32"/>
    <s v="BENI"/>
    <x v="13"/>
    <s v="M ONE MOTORSTART"/>
    <n v="4"/>
    <x v="1"/>
    <n v="0.2"/>
  </r>
  <r>
    <s v="BENI"/>
    <x v="14"/>
    <m/>
    <m/>
    <m/>
    <x v="32"/>
    <s v="BENI"/>
    <x v="12"/>
    <s v="beMAKER Rostlöser"/>
    <n v="5"/>
    <x v="1"/>
    <n v="0.2"/>
  </r>
  <r>
    <s v="BENI"/>
    <x v="14"/>
    <m/>
    <m/>
    <m/>
    <x v="32"/>
    <s v="BENI"/>
    <x v="14"/>
    <s v="beMAKER Bremsen&amp;Teile Reininger"/>
    <n v="6"/>
    <x v="1"/>
    <n v="0.2"/>
  </r>
  <r>
    <s v="TERMIKA"/>
    <x v="14"/>
    <n v="92.4"/>
    <m/>
    <m/>
    <x v="108"/>
    <s v="TERMIKA"/>
    <x v="0"/>
    <s v="M-ONE Sanitar Silikon"/>
    <n v="12"/>
    <x v="1"/>
    <n v="0.17"/>
  </r>
  <r>
    <s v="TERMIKA"/>
    <x v="14"/>
    <m/>
    <m/>
    <m/>
    <x v="108"/>
    <s v="TERMIKA"/>
    <x v="5"/>
    <s v="M-ONE Sanitar Silikon"/>
    <n v="12"/>
    <x v="1"/>
    <n v="0.17"/>
  </r>
  <r>
    <s v="TE MENTORI"/>
    <x v="14"/>
    <n v="46.2"/>
    <m/>
    <m/>
    <x v="109"/>
    <s v="TE MENTORI"/>
    <x v="18"/>
    <s v="M-ONE Sanitar Silikon"/>
    <n v="12"/>
    <x v="1"/>
    <n v="0.17"/>
  </r>
  <r>
    <s v="G FETAHU QERAMIK SH.P.K."/>
    <x v="15"/>
    <n v="28.5"/>
    <m/>
    <m/>
    <x v="110"/>
    <s v="G FETAHU QERAMIK SH.P.K."/>
    <x v="9"/>
    <s v="M-ONE Sanitar Silikon"/>
    <n v="1"/>
    <x v="2"/>
    <n v="0.17"/>
  </r>
  <r>
    <s v="G FETAHU QERAMIK SH.P.K."/>
    <x v="15"/>
    <m/>
    <m/>
    <m/>
    <x v="110"/>
    <s v="G FETAHU QERAMIK SH.P.K."/>
    <x v="18"/>
    <s v="M-ONE Sanitar Silikon"/>
    <n v="3"/>
    <x v="2"/>
    <n v="0.17"/>
  </r>
  <r>
    <s v="G FETAHU QERAMIK SH.P.K."/>
    <x v="15"/>
    <m/>
    <m/>
    <m/>
    <x v="110"/>
    <s v="G FETAHU QERAMIK SH.P.K."/>
    <x v="4"/>
    <s v="M-ONE Sanitar Silikon"/>
    <n v="2"/>
    <x v="2"/>
    <n v="0.17"/>
  </r>
  <r>
    <s v="G FETAHU QERAMIK SH.P.K."/>
    <x v="15"/>
    <m/>
    <m/>
    <m/>
    <x v="110"/>
    <s v="G FETAHU QERAMIK SH.P.K."/>
    <x v="22"/>
    <s v="universal akryl"/>
    <n v="3"/>
    <x v="2"/>
    <n v="0.06"/>
  </r>
  <r>
    <s v="ARBENI BIOBLIC"/>
    <x v="15"/>
    <n v="185"/>
    <m/>
    <m/>
    <x v="71"/>
    <s v="ARBENI BIOBLIC"/>
    <x v="28"/>
    <s v="BioBlic Universalreiniger"/>
    <n v="80"/>
    <x v="2"/>
    <n v="0.30000000000000004"/>
  </r>
  <r>
    <s v="ARBENI BIOBLIC"/>
    <x v="15"/>
    <m/>
    <m/>
    <m/>
    <x v="71"/>
    <s v="ARBENI BIOBLIC"/>
    <x v="29"/>
    <s v="Blic Blic Sanitärreiniger"/>
    <n v="50"/>
    <x v="2"/>
    <n v="0.30000000000000004"/>
  </r>
  <r>
    <s v="ARBENI BIOBLIC"/>
    <x v="15"/>
    <m/>
    <m/>
    <m/>
    <x v="71"/>
    <s v="ARBENI BIOBLIC"/>
    <x v="32"/>
    <s v="BioBlic AutoInnenreiniger"/>
    <n v="20"/>
    <x v="2"/>
    <n v="0.30000000000000004"/>
  </r>
  <r>
    <s v="TE ZENA"/>
    <x v="15"/>
    <n v="138.6"/>
    <m/>
    <m/>
    <x v="84"/>
    <s v="TE ZENA"/>
    <x v="18"/>
    <s v="M-ONE Sanitar Silikon"/>
    <n v="12"/>
    <x v="0"/>
    <n v="0.17"/>
  </r>
  <r>
    <s v="TE ZENA"/>
    <x v="15"/>
    <m/>
    <m/>
    <m/>
    <x v="84"/>
    <s v="TE ZENA"/>
    <x v="6"/>
    <s v="M-ONE Sanitar Silikon"/>
    <n v="12"/>
    <x v="0"/>
    <n v="0.17"/>
  </r>
  <r>
    <s v="TE ZENA"/>
    <x v="15"/>
    <m/>
    <m/>
    <m/>
    <x v="84"/>
    <s v="TE ZENA"/>
    <x v="1"/>
    <s v="M-ONE Sanitar Silikon"/>
    <n v="12"/>
    <x v="0"/>
    <n v="0.17"/>
  </r>
  <r>
    <s v="ALBANI"/>
    <x v="15"/>
    <n v="46.2"/>
    <m/>
    <m/>
    <x v="83"/>
    <e v="#N/A"/>
    <x v="20"/>
    <s v="M-ONE Sanitar Silikon"/>
    <n v="12"/>
    <x v="0"/>
    <n v="0.17"/>
  </r>
  <r>
    <s v="ALBANI"/>
    <x v="15"/>
    <m/>
    <m/>
    <m/>
    <x v="111"/>
    <e v="#N/A"/>
    <x v="7"/>
    <s v="DICHTUNG"/>
    <n v="5"/>
    <x v="0"/>
    <n v="0.2"/>
  </r>
  <r>
    <s v="ALBANI"/>
    <x v="15"/>
    <m/>
    <m/>
    <m/>
    <x v="111"/>
    <e v="#N/A"/>
    <x v="13"/>
    <s v="M ONE MOTORSTART"/>
    <n v="5"/>
    <x v="0"/>
    <n v="0.2"/>
  </r>
  <r>
    <s v="KUJTA"/>
    <x v="15"/>
    <n v="138.6"/>
    <m/>
    <m/>
    <x v="36"/>
    <s v="KUJTA"/>
    <x v="20"/>
    <s v="M-ONE Sanitar Silikon"/>
    <n v="12"/>
    <x v="0"/>
    <n v="0.17"/>
  </r>
  <r>
    <s v="KUJTA"/>
    <x v="15"/>
    <m/>
    <m/>
    <m/>
    <x v="36"/>
    <s v="KUJTA"/>
    <x v="25"/>
    <s v="M-ONE Sanitar Silikon"/>
    <n v="12"/>
    <x v="0"/>
    <n v="0.17"/>
  </r>
  <r>
    <s v="KUJTA"/>
    <x v="15"/>
    <m/>
    <m/>
    <m/>
    <x v="36"/>
    <s v="KUJTA"/>
    <x v="2"/>
    <s v="M-ONE Sanitar Silikon"/>
    <n v="12"/>
    <x v="0"/>
    <n v="0.17"/>
  </r>
  <r>
    <s v="AGROLONDI"/>
    <x v="15"/>
    <n v="63.2"/>
    <m/>
    <m/>
    <x v="39"/>
    <s v="AGROLONDI"/>
    <x v="0"/>
    <s v="M-ONE Sanitar Silikon"/>
    <n v="12"/>
    <x v="1"/>
    <n v="0.17"/>
  </r>
  <r>
    <s v="AGROLONDI"/>
    <x v="15"/>
    <m/>
    <m/>
    <m/>
    <x v="39"/>
    <s v="AGROLONDI"/>
    <x v="22"/>
    <s v="universal akryl"/>
    <n v="12"/>
    <x v="1"/>
    <n v="0.06"/>
  </r>
  <r>
    <s v="AGROLONDI"/>
    <x v="15"/>
    <m/>
    <m/>
    <m/>
    <x v="39"/>
    <s v="AGROLONDI"/>
    <x v="12"/>
    <s v="beMAKER Rostlöser"/>
    <n v="1"/>
    <x v="1"/>
    <n v="0.2"/>
  </r>
  <r>
    <s v="LTI"/>
    <x v="15"/>
    <n v="212.4"/>
    <m/>
    <m/>
    <x v="40"/>
    <s v="LTI"/>
    <x v="4"/>
    <s v="M-ONE Sanitar Silikon"/>
    <n v="12"/>
    <x v="1"/>
    <n v="0.17"/>
  </r>
  <r>
    <s v="LTI"/>
    <x v="15"/>
    <m/>
    <m/>
    <m/>
    <x v="40"/>
    <s v="LTI"/>
    <x v="0"/>
    <s v="M-ONE Sanitar Silikon"/>
    <n v="24"/>
    <x v="1"/>
    <n v="0.17"/>
  </r>
  <r>
    <s v="LTI"/>
    <x v="15"/>
    <m/>
    <m/>
    <m/>
    <x v="40"/>
    <s v="LTI"/>
    <x v="5"/>
    <s v="M-ONE Sanitar Silikon"/>
    <n v="12"/>
    <x v="1"/>
    <n v="0.17"/>
  </r>
  <r>
    <s v="LTI"/>
    <x v="15"/>
    <m/>
    <m/>
    <m/>
    <x v="40"/>
    <s v="LTI"/>
    <x v="15"/>
    <s v="M-ONE Sanitar Silikon"/>
    <n v="12"/>
    <x v="1"/>
    <n v="0.17"/>
  </r>
  <r>
    <s v="LTI"/>
    <x v="15"/>
    <m/>
    <m/>
    <m/>
    <x v="40"/>
    <s v="LTI"/>
    <x v="8"/>
    <s v="struktural akryl"/>
    <n v="12"/>
    <x v="1"/>
    <n v="0.06"/>
  </r>
  <r>
    <s v="DIVA QERAMIKA"/>
    <x v="15"/>
    <n v="92.4"/>
    <m/>
    <m/>
    <x v="112"/>
    <s v="DIVA QERAMIKA"/>
    <x v="4"/>
    <s v="M-ONE Sanitar Silikon"/>
    <n v="24"/>
    <x v="1"/>
    <n v="0.17"/>
  </r>
  <r>
    <s v="HIDRO DANI"/>
    <x v="15"/>
    <n v="61.2"/>
    <m/>
    <m/>
    <x v="113"/>
    <s v="HIDRO DANI"/>
    <x v="18"/>
    <s v="M-ONE Sanitar Silikon"/>
    <n v="12"/>
    <x v="1"/>
    <n v="0.17"/>
  </r>
  <r>
    <s v="HIDRO DANI"/>
    <x v="15"/>
    <m/>
    <m/>
    <m/>
    <x v="113"/>
    <s v="HIDRO DANI"/>
    <x v="22"/>
    <s v="universal akryl"/>
    <n v="12"/>
    <x v="1"/>
    <n v="0.06"/>
  </r>
  <r>
    <s v="AGRO-XHETI"/>
    <x v="15"/>
    <n v="184.8"/>
    <m/>
    <m/>
    <x v="114"/>
    <s v="AGRO-XHETI"/>
    <x v="0"/>
    <s v="M-ONE Sanitar Silikon"/>
    <n v="12"/>
    <x v="1"/>
    <n v="0.17"/>
  </r>
  <r>
    <s v="AGRO-XHETI"/>
    <x v="15"/>
    <m/>
    <m/>
    <m/>
    <x v="114"/>
    <s v="AGRO-XHETI"/>
    <x v="5"/>
    <s v="M-ONE Sanitar Silikon"/>
    <n v="12"/>
    <x v="1"/>
    <n v="0.17"/>
  </r>
  <r>
    <s v="AGRO-XHETI"/>
    <x v="15"/>
    <m/>
    <m/>
    <m/>
    <x v="114"/>
    <s v="AGRO-XHETI"/>
    <x v="15"/>
    <s v="M-ONE Sanitar Silikon"/>
    <n v="12"/>
    <x v="1"/>
    <n v="0.17"/>
  </r>
  <r>
    <s v="AGRO-XHETI"/>
    <x v="15"/>
    <m/>
    <m/>
    <m/>
    <x v="114"/>
    <s v="AGRO-XHETI"/>
    <x v="18"/>
    <s v="M-ONE Sanitar Silikon"/>
    <n v="12"/>
    <x v="1"/>
    <n v="0.17"/>
  </r>
  <r>
    <s v="UNIKA"/>
    <x v="15"/>
    <n v="166.2"/>
    <m/>
    <m/>
    <x v="43"/>
    <s v="UNIKA"/>
    <x v="4"/>
    <s v="M-ONE Sanitar Silikon"/>
    <n v="12"/>
    <x v="1"/>
    <n v="0.17"/>
  </r>
  <r>
    <s v="UNIKA"/>
    <x v="15"/>
    <m/>
    <m/>
    <m/>
    <x v="43"/>
    <s v="UNIKA"/>
    <x v="5"/>
    <s v="M-ONE Sanitar Silikon"/>
    <n v="12"/>
    <x v="1"/>
    <n v="0.17"/>
  </r>
  <r>
    <s v="UNIKA"/>
    <x v="15"/>
    <m/>
    <m/>
    <m/>
    <x v="43"/>
    <s v="UNIKA"/>
    <x v="20"/>
    <s v="M-ONE Sanitar Silikon"/>
    <n v="12"/>
    <x v="1"/>
    <n v="0.17"/>
  </r>
  <r>
    <s v="UNIKA"/>
    <x v="15"/>
    <m/>
    <m/>
    <m/>
    <x v="43"/>
    <s v="UNIKA"/>
    <x v="8"/>
    <s v="struktural akryl"/>
    <n v="12"/>
    <x v="1"/>
    <n v="0.06"/>
  </r>
  <r>
    <s v="ALFA-QERAMIKA"/>
    <x v="15"/>
    <n v="166.2"/>
    <m/>
    <m/>
    <x v="115"/>
    <s v="ALFA-QERAMIKA"/>
    <x v="0"/>
    <s v="M-ONE Sanitar Silikon"/>
    <n v="12"/>
    <x v="1"/>
    <n v="0.17"/>
  </r>
  <r>
    <s v="ALFA-QERAMIKA"/>
    <x v="15"/>
    <m/>
    <m/>
    <m/>
    <x v="115"/>
    <s v="ALFA-QERAMIKA"/>
    <x v="1"/>
    <s v="M-ONE Sanitar Silikon"/>
    <n v="12"/>
    <x v="1"/>
    <n v="0.17"/>
  </r>
  <r>
    <s v="ALFA-QERAMIKA"/>
    <x v="15"/>
    <m/>
    <m/>
    <m/>
    <x v="115"/>
    <s v="ALFA-QERAMIKA"/>
    <x v="2"/>
    <s v="M-ONE Sanitar Silikon"/>
    <n v="12"/>
    <x v="1"/>
    <n v="0.17"/>
  </r>
  <r>
    <s v="ALFA-QERAMIKA"/>
    <x v="15"/>
    <m/>
    <m/>
    <m/>
    <x v="115"/>
    <s v="ALFA-QERAMIKA"/>
    <x v="8"/>
    <s v="struktural akryl"/>
    <n v="12"/>
    <x v="1"/>
    <n v="0.06"/>
  </r>
  <r>
    <s v="TE-SYLA"/>
    <x v="15"/>
    <n v="138.6"/>
    <m/>
    <m/>
    <x v="44"/>
    <s v="TE-SYLA"/>
    <x v="4"/>
    <s v="M-ONE Sanitar Silikon"/>
    <n v="12"/>
    <x v="1"/>
    <n v="0.17"/>
  </r>
  <r>
    <s v="TE-SYLA"/>
    <x v="15"/>
    <m/>
    <m/>
    <m/>
    <x v="44"/>
    <s v="TE-SYLA"/>
    <x v="5"/>
    <s v="M-ONE Sanitar Silikon"/>
    <n v="12"/>
    <x v="1"/>
    <n v="0.17"/>
  </r>
  <r>
    <s v="TE-SYLA"/>
    <x v="15"/>
    <m/>
    <m/>
    <m/>
    <x v="44"/>
    <s v="TE-SYLA"/>
    <x v="15"/>
    <s v="M-ONE Sanitar Silikon"/>
    <n v="12"/>
    <x v="1"/>
    <n v="0.17"/>
  </r>
  <r>
    <s v="F.V. SH.P.K. "/>
    <x v="15"/>
    <n v="107.4"/>
    <m/>
    <m/>
    <x v="45"/>
    <s v="F.V. SH.P.K. "/>
    <x v="20"/>
    <s v="M-ONE Sanitar Silikon"/>
    <n v="12"/>
    <x v="1"/>
    <n v="0.17"/>
  </r>
  <r>
    <s v="F.V. SH.P.K. "/>
    <x v="15"/>
    <m/>
    <m/>
    <m/>
    <x v="45"/>
    <s v="F.V. SH.P.K. "/>
    <x v="15"/>
    <s v="M-ONE Sanitar Silikon"/>
    <n v="12"/>
    <x v="1"/>
    <n v="0.17"/>
  </r>
  <r>
    <s v="F.V. SH.P.K. "/>
    <x v="15"/>
    <m/>
    <m/>
    <m/>
    <x v="45"/>
    <s v="F.V. SH.P.K. "/>
    <x v="22"/>
    <s v="universal akryl"/>
    <n v="12"/>
    <x v="1"/>
    <n v="0.06"/>
  </r>
  <r>
    <s v="BUJARI Q - BESII"/>
    <x v="15"/>
    <n v="92.4"/>
    <m/>
    <m/>
    <x v="116"/>
    <s v="BUJARI Q - BESII"/>
    <x v="4"/>
    <s v="M-ONE Sanitar Silikon"/>
    <n v="24"/>
    <x v="1"/>
    <n v="0.17"/>
  </r>
  <r>
    <s v="AGRO-XHETI"/>
    <x v="15"/>
    <n v="199.8"/>
    <m/>
    <m/>
    <x v="114"/>
    <s v="AGRO-XHETI"/>
    <x v="2"/>
    <s v="M-ONE Sanitar Silikon"/>
    <n v="24"/>
    <x v="1"/>
    <n v="0.17"/>
  </r>
  <r>
    <s v="AGRO-XHETI"/>
    <x v="15"/>
    <m/>
    <m/>
    <m/>
    <x v="114"/>
    <s v="AGRO-XHETI"/>
    <x v="9"/>
    <s v="M-ONE Sanitar Silikon"/>
    <n v="24"/>
    <x v="1"/>
    <n v="0.17"/>
  </r>
  <r>
    <s v="AGRO-XHETI"/>
    <x v="15"/>
    <m/>
    <m/>
    <m/>
    <x v="114"/>
    <s v="AGRO-XHETI"/>
    <x v="22"/>
    <s v="universal akryl"/>
    <n v="12"/>
    <x v="1"/>
    <n v="0.06"/>
  </r>
  <r>
    <s v="PROMOIN"/>
    <x v="15"/>
    <n v="138.6"/>
    <m/>
    <m/>
    <x v="117"/>
    <s v="PROMOIN"/>
    <x v="0"/>
    <s v="M-ONE Sanitar Silikon"/>
    <n v="24"/>
    <x v="1"/>
    <n v="0.17"/>
  </r>
  <r>
    <s v="PROMOIN"/>
    <x v="15"/>
    <m/>
    <m/>
    <m/>
    <x v="117"/>
    <s v="PROMOIN"/>
    <x v="1"/>
    <s v="M-ONE Sanitar Silikon"/>
    <n v="12"/>
    <x v="1"/>
    <n v="0.17"/>
  </r>
  <r>
    <s v="JETARI"/>
    <x v="16"/>
    <n v="46.2"/>
    <m/>
    <m/>
    <x v="87"/>
    <s v="JETARI"/>
    <x v="1"/>
    <s v="M-ONE Sanitar Silikon"/>
    <n v="12"/>
    <x v="0"/>
    <n v="0.17"/>
  </r>
  <r>
    <s v="KADIJOLLET"/>
    <x v="16"/>
    <n v="167.6"/>
    <m/>
    <m/>
    <x v="49"/>
    <s v="KADIJOLLET"/>
    <x v="25"/>
    <s v="M-ONE Sanitar Silikon"/>
    <n v="12"/>
    <x v="0"/>
    <n v="0.17"/>
  </r>
  <r>
    <s v="KADIJOLLET"/>
    <x v="16"/>
    <m/>
    <m/>
    <m/>
    <x v="49"/>
    <s v="KADIJOLLET"/>
    <x v="18"/>
    <s v="M-ONE Sanitar Silikon"/>
    <n v="12"/>
    <x v="0"/>
    <n v="0.17"/>
  </r>
  <r>
    <s v="KADIJOLLET"/>
    <x v="16"/>
    <m/>
    <m/>
    <m/>
    <x v="49"/>
    <s v="KADIJOLLET"/>
    <x v="8"/>
    <s v="struktural akryl"/>
    <n v="24"/>
    <x v="0"/>
    <n v="0.06"/>
  </r>
  <r>
    <s v="KADIJOLLET"/>
    <x v="16"/>
    <m/>
    <m/>
    <m/>
    <x v="49"/>
    <s v="KADIJOLLET"/>
    <x v="12"/>
    <s v="beMAKER Rostlöser"/>
    <n v="5"/>
    <x v="0"/>
    <n v="0.2"/>
  </r>
  <r>
    <s v="KADIJOLLET"/>
    <x v="16"/>
    <m/>
    <m/>
    <m/>
    <x v="49"/>
    <s v="KADIJOLLET"/>
    <x v="14"/>
    <s v="beMAKER Bremsen&amp;Teile Reininger"/>
    <n v="5"/>
    <x v="0"/>
    <n v="0.2"/>
  </r>
  <r>
    <s v="QELA"/>
    <x v="16"/>
    <n v="50"/>
    <m/>
    <m/>
    <x v="50"/>
    <s v="QELA"/>
    <x v="7"/>
    <s v="DICHTUNG"/>
    <n v="5"/>
    <x v="0"/>
    <n v="0.2"/>
  </r>
  <r>
    <s v="QELA"/>
    <x v="16"/>
    <m/>
    <m/>
    <m/>
    <x v="50"/>
    <s v="QELA"/>
    <x v="14"/>
    <s v="beMAKER Bremsen&amp;Teile Reininger"/>
    <n v="7"/>
    <x v="0"/>
    <n v="0.2"/>
  </r>
  <r>
    <s v="BESI COM"/>
    <x v="16"/>
    <n v="120"/>
    <m/>
    <m/>
    <x v="51"/>
    <s v="BESI COM"/>
    <x v="8"/>
    <s v="struktural akryl"/>
    <n v="12"/>
    <x v="0"/>
    <n v="0.06"/>
  </r>
  <r>
    <s v="BESI COM"/>
    <x v="16"/>
    <m/>
    <m/>
    <m/>
    <x v="51"/>
    <s v="BESI COM"/>
    <x v="0"/>
    <s v="M-ONE Sanitar Silikon"/>
    <n v="12"/>
    <x v="0"/>
    <n v="0.17"/>
  </r>
  <r>
    <s v="BESI COM"/>
    <x v="16"/>
    <m/>
    <m/>
    <m/>
    <x v="51"/>
    <s v="BESI COM"/>
    <x v="5"/>
    <s v="M-ONE Sanitar Silikon"/>
    <n v="12"/>
    <x v="0"/>
    <n v="0.17"/>
  </r>
  <r>
    <s v="KENA COMERC"/>
    <x v="16"/>
    <n v="231"/>
    <m/>
    <m/>
    <x v="52"/>
    <s v="KENA COMERC"/>
    <x v="0"/>
    <s v="M-ONE Sanitar Silikon"/>
    <n v="12"/>
    <x v="1"/>
    <n v="0.17"/>
  </r>
  <r>
    <s v="KENA COMERC"/>
    <x v="16"/>
    <m/>
    <m/>
    <m/>
    <x v="52"/>
    <s v="KENA COMERC"/>
    <x v="5"/>
    <s v="M-ONE Sanitar Silikon"/>
    <n v="12"/>
    <x v="1"/>
    <n v="0.17"/>
  </r>
  <r>
    <s v="KENA COMERC"/>
    <x v="16"/>
    <m/>
    <m/>
    <m/>
    <x v="52"/>
    <s v="KENA COMERC"/>
    <x v="15"/>
    <s v="M-ONE Sanitar Silikon"/>
    <n v="24"/>
    <x v="1"/>
    <n v="0.17"/>
  </r>
  <r>
    <s v="KENA COMERC"/>
    <x v="16"/>
    <m/>
    <m/>
    <m/>
    <x v="52"/>
    <s v="KENA COMERC"/>
    <x v="2"/>
    <s v="M-ONE Sanitar Silikon"/>
    <n v="12"/>
    <x v="1"/>
    <n v="0.17"/>
  </r>
  <r>
    <s v="ENESI"/>
    <x v="16"/>
    <n v="46.2"/>
    <m/>
    <m/>
    <x v="88"/>
    <s v="ENESI"/>
    <x v="0"/>
    <s v="M-ONE Sanitar Silikon"/>
    <n v="12"/>
    <x v="1"/>
    <n v="0.17"/>
  </r>
  <r>
    <s v="GLOBI TERM"/>
    <x v="16"/>
    <n v="46.2"/>
    <m/>
    <m/>
    <x v="118"/>
    <s v="GLOBI TERM"/>
    <x v="0"/>
    <s v="M-ONE Sanitar Silikon"/>
    <n v="12"/>
    <x v="1"/>
    <n v="0.17"/>
  </r>
  <r>
    <s v="LULI-C"/>
    <x v="16"/>
    <n v="127.2"/>
    <m/>
    <m/>
    <x v="54"/>
    <s v="LULI-C"/>
    <x v="0"/>
    <s v="M-ONE Sanitar Silikon"/>
    <n v="12"/>
    <x v="1"/>
    <n v="0.17"/>
  </r>
  <r>
    <s v="LULI-C"/>
    <x v="16"/>
    <m/>
    <m/>
    <m/>
    <x v="54"/>
    <s v="LULI-C"/>
    <x v="18"/>
    <s v="M-ONE Sanitar Silikon"/>
    <n v="12"/>
    <x v="1"/>
    <n v="0.17"/>
  </r>
  <r>
    <s v="LULI-C"/>
    <x v="16"/>
    <m/>
    <m/>
    <m/>
    <x v="54"/>
    <s v="LULI-C"/>
    <x v="10"/>
    <s v="PROFIMONT EXTREME"/>
    <n v="6"/>
    <x v="1"/>
    <n v="0.2"/>
  </r>
  <r>
    <s v="TE GZIMI"/>
    <x v="16"/>
    <n v="44"/>
    <m/>
    <m/>
    <x v="119"/>
    <s v="TE GZIMI"/>
    <x v="7"/>
    <s v="DICHTUNG"/>
    <n v="4"/>
    <x v="1"/>
    <n v="0.2"/>
  </r>
  <r>
    <s v="TE GZIMI"/>
    <x v="16"/>
    <m/>
    <m/>
    <m/>
    <x v="119"/>
    <s v="TE GZIMI"/>
    <x v="12"/>
    <s v="beMAKER Rostlöser"/>
    <n v="3"/>
    <x v="1"/>
    <n v="0.2"/>
  </r>
  <r>
    <s v="TE GZIMI"/>
    <x v="16"/>
    <m/>
    <m/>
    <m/>
    <x v="119"/>
    <s v="TE GZIMI"/>
    <x v="14"/>
    <s v="beMAKER Bremsen&amp;Teile Reininger"/>
    <n v="3"/>
    <x v="1"/>
    <n v="0.2"/>
  </r>
  <r>
    <s v="KUQI-LKW"/>
    <x v="16"/>
    <n v="30"/>
    <m/>
    <m/>
    <x v="120"/>
    <s v="KUQI-LKW"/>
    <x v="12"/>
    <s v="beMAKER Rostlöser"/>
    <n v="8"/>
    <x v="1"/>
    <n v="0.2"/>
  </r>
  <r>
    <s v="KUQI-LKW"/>
    <x v="16"/>
    <m/>
    <m/>
    <m/>
    <x v="120"/>
    <s v="KUQI-LKW"/>
    <x v="13"/>
    <s v="M ONE MOTORSTART"/>
    <n v="4"/>
    <x v="1"/>
    <n v="0.2"/>
  </r>
  <r>
    <s v="KTHIMI"/>
    <x v="16"/>
    <n v="92.4"/>
    <m/>
    <m/>
    <x v="57"/>
    <s v="KTHIMI"/>
    <x v="0"/>
    <s v="M-ONE Sanitar Silikon"/>
    <n v="24"/>
    <x v="1"/>
    <n v="0.17"/>
  </r>
  <r>
    <s v="MONI 2"/>
    <x v="17"/>
    <n v="27.6"/>
    <m/>
    <m/>
    <x v="60"/>
    <s v="MONI 2"/>
    <x v="8"/>
    <s v="struktural akryl"/>
    <n v="12"/>
    <x v="0"/>
    <n v="0.06"/>
  </r>
  <r>
    <s v="MONI 2"/>
    <x v="17"/>
    <m/>
    <m/>
    <m/>
    <x v="60"/>
    <s v="MONI 2"/>
    <x v="3"/>
    <s v="M-ONE Sanitar Silikon"/>
    <n v="36"/>
    <x v="0"/>
    <n v="0.17"/>
  </r>
  <r>
    <s v="MONI 2"/>
    <x v="17"/>
    <m/>
    <m/>
    <m/>
    <x v="60"/>
    <s v="MONI 2"/>
    <x v="1"/>
    <s v="M-ONE Sanitar Silikon"/>
    <n v="36"/>
    <x v="0"/>
    <n v="0.17"/>
  </r>
  <r>
    <s v="XHAFA"/>
    <x v="17"/>
    <n v="258.60000000000002"/>
    <m/>
    <m/>
    <x v="61"/>
    <s v="XHAFA"/>
    <x v="0"/>
    <s v="M-ONE Sanitar Silikon"/>
    <n v="12"/>
    <x v="0"/>
    <n v="0.17"/>
  </r>
  <r>
    <s v="XHAFA"/>
    <x v="17"/>
    <m/>
    <m/>
    <m/>
    <x v="61"/>
    <s v="XHAFA"/>
    <x v="5"/>
    <s v="M-ONE Sanitar Silikon"/>
    <n v="12"/>
    <x v="0"/>
    <n v="0.17"/>
  </r>
  <r>
    <s v="XHAFA"/>
    <x v="17"/>
    <m/>
    <m/>
    <m/>
    <x v="61"/>
    <s v="XHAFA"/>
    <x v="18"/>
    <s v="M-ONE Sanitar Silikon"/>
    <n v="12"/>
    <x v="0"/>
    <n v="0.17"/>
  </r>
  <r>
    <s v="XHAFA"/>
    <x v="17"/>
    <m/>
    <m/>
    <m/>
    <x v="61"/>
    <s v="XHAFA"/>
    <x v="20"/>
    <s v="M-ONE Sanitar Silikon"/>
    <n v="12"/>
    <x v="0"/>
    <n v="0.17"/>
  </r>
  <r>
    <s v="XHAFA"/>
    <x v="17"/>
    <m/>
    <m/>
    <m/>
    <x v="61"/>
    <s v="XHAFA"/>
    <x v="9"/>
    <s v="M-ONE Sanitar Silikon"/>
    <n v="12"/>
    <x v="0"/>
    <n v="0.17"/>
  </r>
  <r>
    <s v="XHAFA"/>
    <x v="17"/>
    <m/>
    <m/>
    <m/>
    <x v="61"/>
    <s v="XHAFA"/>
    <x v="8"/>
    <s v="struktural akryl"/>
    <n v="12"/>
    <x v="0"/>
    <n v="0.06"/>
  </r>
  <r>
    <s v="ARPO"/>
    <x v="17"/>
    <n v="138.6"/>
    <m/>
    <m/>
    <x v="64"/>
    <s v="ARPO"/>
    <x v="1"/>
    <s v="M-ONE Sanitar Silikon"/>
    <n v="24"/>
    <x v="0"/>
    <n v="0.17"/>
  </r>
  <r>
    <s v="ARPO"/>
    <x v="17"/>
    <m/>
    <m/>
    <m/>
    <x v="64"/>
    <s v="ARPO"/>
    <x v="4"/>
    <s v="M-ONE Sanitar Silikon"/>
    <n v="12"/>
    <x v="0"/>
    <n v="0.17"/>
  </r>
  <r>
    <s v="LETAJ"/>
    <x v="17"/>
    <n v="116.4"/>
    <m/>
    <m/>
    <x v="67"/>
    <s v="LETAJ"/>
    <x v="5"/>
    <s v="M-ONE Sanitar Silikon"/>
    <n v="24"/>
    <x v="1"/>
    <n v="0.17"/>
  </r>
  <r>
    <s v="LETAJ"/>
    <x v="17"/>
    <m/>
    <m/>
    <m/>
    <x v="67"/>
    <s v="LETAJ"/>
    <x v="12"/>
    <s v="beMAKER Rostlöser"/>
    <n v="12"/>
    <x v="1"/>
    <n v="0.2"/>
  </r>
  <r>
    <s v="GERMAN FABRE"/>
    <x v="17"/>
    <n v="92.4"/>
    <m/>
    <m/>
    <x v="121"/>
    <s v="GERMAN FABRE"/>
    <x v="15"/>
    <s v="M-ONE Sanitar Silikon"/>
    <n v="12"/>
    <x v="1"/>
    <n v="0.17"/>
  </r>
  <r>
    <s v="GERMAN FABRE"/>
    <x v="17"/>
    <m/>
    <m/>
    <m/>
    <x v="121"/>
    <s v="GERMAN FABRE"/>
    <x v="1"/>
    <s v="M-ONE Sanitar Silikon"/>
    <n v="12"/>
    <x v="1"/>
    <n v="0.17"/>
  </r>
  <r>
    <s v="INOX 2"/>
    <x v="17"/>
    <n v="92.4"/>
    <m/>
    <m/>
    <x v="93"/>
    <s v="INOX 2"/>
    <x v="6"/>
    <s v="M-ONE Sanitar Silikon"/>
    <n v="24"/>
    <x v="1"/>
    <n v="0.17"/>
  </r>
  <r>
    <s v="GER COLORS"/>
    <x v="17"/>
    <n v="69.599999999999994"/>
    <m/>
    <m/>
    <x v="94"/>
    <s v="GER COLORS"/>
    <x v="10"/>
    <s v="PROFIMONT EXTREME"/>
    <n v="12"/>
    <x v="1"/>
    <n v="0.2"/>
  </r>
  <r>
    <s v="HB-DECOR"/>
    <x v="17"/>
    <n v="69.599999999999994"/>
    <m/>
    <m/>
    <x v="95"/>
    <s v="HB-DECOR"/>
    <x v="10"/>
    <s v="PROFIMONT EXTREME"/>
    <n v="12"/>
    <x v="1"/>
    <n v="0.2"/>
  </r>
  <r>
    <s v="V. GJONAJ"/>
    <x v="17"/>
    <n v="92.4"/>
    <m/>
    <m/>
    <x v="122"/>
    <s v="V. GJONAJ"/>
    <x v="25"/>
    <s v="M-ONE Sanitar Silikon"/>
    <n v="24"/>
    <x v="1"/>
    <n v="0.17"/>
  </r>
  <r>
    <s v="AFRIMI-AG"/>
    <x v="17"/>
    <n v="138.6"/>
    <m/>
    <m/>
    <x v="69"/>
    <s v="AFRIMI-AG"/>
    <x v="0"/>
    <s v="M-ONE Sanitar Silikon"/>
    <n v="12"/>
    <x v="1"/>
    <n v="0.17"/>
  </r>
  <r>
    <s v="AFRIMI-AG"/>
    <x v="17"/>
    <m/>
    <m/>
    <m/>
    <x v="69"/>
    <s v="AFRIMI-AG"/>
    <x v="5"/>
    <s v="M-ONE Sanitar Silikon"/>
    <n v="12"/>
    <x v="1"/>
    <n v="0.17"/>
  </r>
  <r>
    <s v="AFRIMI-AG"/>
    <x v="17"/>
    <m/>
    <m/>
    <m/>
    <x v="69"/>
    <s v="AFRIMI-AG"/>
    <x v="1"/>
    <s v="M-ONE Sanitar Silikon"/>
    <n v="12"/>
    <x v="1"/>
    <n v="0.17"/>
  </r>
  <r>
    <s v="TE BESIMI"/>
    <x v="17"/>
    <n v="98.4"/>
    <m/>
    <m/>
    <x v="70"/>
    <s v="TE BESIMI"/>
    <x v="0"/>
    <s v="M-ONE Sanitar Silikon"/>
    <n v="12"/>
    <x v="1"/>
    <n v="0.17"/>
  </r>
  <r>
    <s v="TE BESIMI"/>
    <x v="17"/>
    <m/>
    <m/>
    <m/>
    <x v="70"/>
    <s v="TE BESIMI"/>
    <x v="2"/>
    <s v="M-ONE Sanitar Silikon"/>
    <n v="12"/>
    <x v="1"/>
    <n v="0.17"/>
  </r>
  <r>
    <s v="TE BESIMI"/>
    <x v="17"/>
    <m/>
    <m/>
    <m/>
    <x v="70"/>
    <s v="TE BESIMI"/>
    <x v="12"/>
    <s v="beMAKER Rostlöser"/>
    <n v="3"/>
    <x v="1"/>
    <n v="0.2"/>
  </r>
  <r>
    <s v="INTERCOM NTP"/>
    <x v="18"/>
    <n v="122.4"/>
    <m/>
    <m/>
    <x v="0"/>
    <s v="INTERCOM NTP"/>
    <x v="9"/>
    <s v="M-ONE Sanitar Silikon"/>
    <n v="24"/>
    <x v="0"/>
    <n v="0.17"/>
  </r>
  <r>
    <s v="INTERCOM NTP"/>
    <x v="18"/>
    <m/>
    <m/>
    <m/>
    <x v="0"/>
    <s v="INTERCOM NTP"/>
    <x v="22"/>
    <s v="universal akryl"/>
    <n v="24"/>
    <x v="0"/>
    <n v="0.06"/>
  </r>
  <r>
    <s v="EUROSAN"/>
    <x v="18"/>
    <n v="246"/>
    <m/>
    <m/>
    <x v="123"/>
    <s v="EUROSAN"/>
    <x v="22"/>
    <s v="universal akryl"/>
    <n v="12"/>
    <x v="0"/>
    <n v="0.06"/>
  </r>
  <r>
    <s v="EUROSAN"/>
    <x v="18"/>
    <m/>
    <m/>
    <m/>
    <x v="123"/>
    <s v="EUROSAN"/>
    <x v="0"/>
    <s v="M-ONE Sanitar Silikon"/>
    <n v="12"/>
    <x v="0"/>
    <n v="0.17"/>
  </r>
  <r>
    <s v="EUROSAN"/>
    <x v="18"/>
    <m/>
    <m/>
    <m/>
    <x v="123"/>
    <s v="EUROSAN"/>
    <x v="5"/>
    <s v="M-ONE Sanitar Silikon"/>
    <n v="12"/>
    <x v="0"/>
    <n v="0.17"/>
  </r>
  <r>
    <s v="EUROSAN"/>
    <x v="18"/>
    <m/>
    <m/>
    <m/>
    <x v="123"/>
    <s v="EUROSAN"/>
    <x v="4"/>
    <s v="M-ONE Sanitar Silikon"/>
    <n v="12"/>
    <x v="0"/>
    <n v="0.17"/>
  </r>
  <r>
    <s v="EUROSAN"/>
    <x v="18"/>
    <m/>
    <m/>
    <m/>
    <x v="123"/>
    <s v="EUROSAN"/>
    <x v="18"/>
    <s v="M-ONE Sanitar Silikon"/>
    <n v="12"/>
    <x v="0"/>
    <n v="0.17"/>
  </r>
  <r>
    <s v="EUROSAN"/>
    <x v="18"/>
    <m/>
    <m/>
    <m/>
    <x v="123"/>
    <s v="EUROSAN"/>
    <x v="1"/>
    <s v="M-ONE Sanitar Silikon"/>
    <n v="12"/>
    <x v="0"/>
    <n v="0.17"/>
  </r>
  <r>
    <s v="TINA"/>
    <x v="18"/>
    <n v="92.4"/>
    <m/>
    <m/>
    <x v="2"/>
    <s v="TINA"/>
    <x v="18"/>
    <s v="M-ONE Sanitar Silikon"/>
    <n v="12"/>
    <x v="0"/>
    <n v="0.17"/>
  </r>
  <r>
    <s v="TINA"/>
    <x v="18"/>
    <m/>
    <m/>
    <m/>
    <x v="2"/>
    <s v="TINA"/>
    <x v="20"/>
    <s v="M-ONE Sanitar Silikon"/>
    <n v="12"/>
    <x v="0"/>
    <n v="0.17"/>
  </r>
  <r>
    <s v="BEKA-3"/>
    <x v="18"/>
    <n v="27.5"/>
    <m/>
    <m/>
    <x v="8"/>
    <s v="BEKA-3"/>
    <x v="12"/>
    <s v="beMAKER Rostlöser"/>
    <n v="5"/>
    <x v="0"/>
    <n v="0.2"/>
  </r>
  <r>
    <s v="BEKA-3"/>
    <x v="18"/>
    <m/>
    <m/>
    <m/>
    <x v="8"/>
    <s v="BEKA-3"/>
    <x v="13"/>
    <s v="M ONE MOTORSTART"/>
    <n v="5"/>
    <x v="0"/>
    <n v="0.2"/>
  </r>
  <r>
    <s v="BALLKANI"/>
    <x v="18"/>
    <n v="92.4"/>
    <m/>
    <m/>
    <x v="98"/>
    <s v="BALLKANI"/>
    <x v="1"/>
    <s v="M-ONE Sanitar Silikon"/>
    <n v="24"/>
    <x v="0"/>
    <n v="0.17"/>
  </r>
  <r>
    <s v="PARKETI"/>
    <x v="18"/>
    <n v="107.4"/>
    <m/>
    <m/>
    <x v="4"/>
    <s v="PARKETI"/>
    <x v="1"/>
    <s v="M-ONE Sanitar Silikon"/>
    <n v="12"/>
    <x v="0"/>
    <n v="0.17"/>
  </r>
  <r>
    <s v="PARKETI"/>
    <x v="18"/>
    <m/>
    <m/>
    <m/>
    <x v="4"/>
    <s v="PARKETI"/>
    <x v="2"/>
    <s v="M-ONE Sanitar Silikon"/>
    <n v="12"/>
    <x v="0"/>
    <n v="0.17"/>
  </r>
  <r>
    <s v="PARKETI"/>
    <x v="18"/>
    <m/>
    <m/>
    <m/>
    <x v="4"/>
    <s v="PARKETI"/>
    <x v="22"/>
    <s v="universal akryl"/>
    <n v="12"/>
    <x v="0"/>
    <n v="0.06"/>
  </r>
  <r>
    <s v="BEKA-1"/>
    <x v="18"/>
    <n v="17.5"/>
    <m/>
    <m/>
    <x v="76"/>
    <s v="BEKA-1"/>
    <x v="16"/>
    <s v="Fettspray"/>
    <n v="5"/>
    <x v="0"/>
    <n v="0.2"/>
  </r>
  <r>
    <s v="FATMIRI"/>
    <x v="18"/>
    <n v="92.4"/>
    <m/>
    <m/>
    <x v="124"/>
    <s v="FATMIRI"/>
    <x v="18"/>
    <s v="M-ONE Sanitar Silikon"/>
    <n v="12"/>
    <x v="0"/>
    <n v="0.17"/>
  </r>
  <r>
    <s v="FATMIRI"/>
    <x v="18"/>
    <m/>
    <m/>
    <m/>
    <x v="124"/>
    <s v="FATMIRI"/>
    <x v="1"/>
    <s v="M-ONE Sanitar Silikon"/>
    <n v="12"/>
    <x v="0"/>
    <n v="0.17"/>
  </r>
  <r>
    <s v="CONDOR"/>
    <x v="18"/>
    <n v="235.8"/>
    <m/>
    <m/>
    <x v="11"/>
    <s v="CONDOR"/>
    <x v="10"/>
    <s v="PROFIMONT EXTREME"/>
    <n v="12"/>
    <x v="1"/>
    <n v="0.2"/>
  </r>
  <r>
    <s v="CONDOR"/>
    <x v="18"/>
    <m/>
    <m/>
    <m/>
    <x v="11"/>
    <s v="CONDOR"/>
    <x v="4"/>
    <s v="M-ONE Sanitar Silikon"/>
    <n v="12"/>
    <x v="1"/>
    <n v="0.17"/>
  </r>
  <r>
    <s v="CONDOR"/>
    <x v="18"/>
    <m/>
    <m/>
    <m/>
    <x v="11"/>
    <s v="CONDOR"/>
    <x v="0"/>
    <s v="M-ONE Sanitar Silikon"/>
    <n v="12"/>
    <x v="1"/>
    <n v="0.17"/>
  </r>
  <r>
    <s v="CONDOR"/>
    <x v="18"/>
    <m/>
    <m/>
    <m/>
    <x v="11"/>
    <s v="CONDOR"/>
    <x v="0"/>
    <s v="M-ONE Sanitar Silikon"/>
    <n v="12"/>
    <x v="1"/>
    <n v="0.17"/>
  </r>
  <r>
    <s v="CONDOR"/>
    <x v="18"/>
    <m/>
    <m/>
    <m/>
    <x v="11"/>
    <s v="CONDOR"/>
    <x v="2"/>
    <s v="M-ONE Sanitar Silikon"/>
    <n v="12"/>
    <x v="1"/>
    <n v="0.17"/>
  </r>
  <r>
    <s v="CONDOR"/>
    <x v="18"/>
    <m/>
    <m/>
    <m/>
    <x v="11"/>
    <s v="CONDOR"/>
    <x v="8"/>
    <s v="struktural akryl"/>
    <n v="12"/>
    <x v="1"/>
    <n v="0.06"/>
  </r>
  <r>
    <s v="BERATI"/>
    <x v="18"/>
    <n v="46.2"/>
    <m/>
    <m/>
    <x v="125"/>
    <s v="BERATI"/>
    <x v="0"/>
    <s v="M-ONE Sanitar Silikon"/>
    <n v="12"/>
    <x v="1"/>
    <n v="0.17"/>
  </r>
  <r>
    <s v="BARDHI-M"/>
    <x v="18"/>
    <n v="92.4"/>
    <m/>
    <m/>
    <x v="77"/>
    <s v="BARDHI-M"/>
    <x v="5"/>
    <s v="M-ONE Sanitar Silikon"/>
    <n v="12"/>
    <x v="1"/>
    <n v="0.17"/>
  </r>
  <r>
    <s v="BARDHI-M"/>
    <x v="18"/>
    <m/>
    <m/>
    <m/>
    <x v="77"/>
    <s v="BARDHI-M"/>
    <x v="1"/>
    <s v="M-ONE Sanitar Silikon"/>
    <n v="12"/>
    <x v="1"/>
    <n v="0.17"/>
  </r>
  <r>
    <s v="NIVELIZIMI-D SH.P.K."/>
    <x v="18"/>
    <n v="120"/>
    <m/>
    <m/>
    <x v="126"/>
    <s v="NIVELIZIMI-D SH.P.K."/>
    <x v="0"/>
    <s v="M-ONE Sanitar Silikon"/>
    <n v="12"/>
    <x v="1"/>
    <n v="0.17"/>
  </r>
  <r>
    <s v="NIVELIZIMI-D SH.P.K."/>
    <x v="18"/>
    <m/>
    <m/>
    <m/>
    <x v="126"/>
    <s v="NIVELIZIMI-D SH.P.K."/>
    <x v="1"/>
    <s v="M-ONE Sanitar Silikon"/>
    <n v="12"/>
    <x v="1"/>
    <n v="0.17"/>
  </r>
  <r>
    <s v="NIVELIZIMI-D SH.P.K."/>
    <x v="18"/>
    <m/>
    <m/>
    <m/>
    <x v="126"/>
    <s v="NIVELIZIMI-D SH.P.K."/>
    <x v="8"/>
    <s v="struktural akryl"/>
    <n v="12"/>
    <x v="1"/>
    <n v="0.06"/>
  </r>
  <r>
    <s v="AGRO-FARM"/>
    <x v="18"/>
    <n v="53"/>
    <m/>
    <m/>
    <x v="14"/>
    <s v="AGRO-FARM"/>
    <x v="17"/>
    <s v="M ONE UBS"/>
    <n v="5"/>
    <x v="1"/>
    <n v="0.2"/>
  </r>
  <r>
    <s v="AGRO-FARM"/>
    <x v="18"/>
    <m/>
    <m/>
    <m/>
    <x v="14"/>
    <s v="AGRO-FARM"/>
    <x v="16"/>
    <s v="Fettspray"/>
    <n v="6"/>
    <x v="1"/>
    <n v="0.2"/>
  </r>
  <r>
    <s v="AGRO-FARM"/>
    <x v="18"/>
    <m/>
    <m/>
    <m/>
    <x v="14"/>
    <s v="AGRO-FARM"/>
    <x v="12"/>
    <s v="beMAKER Rostlöser"/>
    <n v="6"/>
    <x v="1"/>
    <n v="0.2"/>
  </r>
  <r>
    <s v="NITA 3"/>
    <x v="18"/>
    <n v="46.2"/>
    <m/>
    <m/>
    <x v="15"/>
    <s v="NITA 3"/>
    <x v="1"/>
    <s v="M-ONE Sanitar Silikon"/>
    <n v="12"/>
    <x v="1"/>
    <n v="0.17"/>
  </r>
  <r>
    <s v="SOPAJ"/>
    <x v="18"/>
    <n v="92.4"/>
    <m/>
    <m/>
    <x v="99"/>
    <s v="SOPAJ"/>
    <x v="4"/>
    <s v="M-ONE Sanitar Silikon"/>
    <n v="12"/>
    <x v="1"/>
    <n v="0.17"/>
  </r>
  <r>
    <s v="SOPAJ"/>
    <x v="18"/>
    <m/>
    <m/>
    <m/>
    <x v="99"/>
    <s v="SOPAJ"/>
    <x v="20"/>
    <s v="M-ONE Sanitar Silikon"/>
    <n v="12"/>
    <x v="1"/>
    <n v="0.17"/>
  </r>
  <r>
    <s v="A.P. SHPENDI"/>
    <x v="18"/>
    <n v="55.5"/>
    <m/>
    <m/>
    <x v="127"/>
    <s v="A.P. SHPENDI"/>
    <x v="7"/>
    <s v="DICHTUNG"/>
    <n v="3"/>
    <x v="1"/>
    <n v="0.2"/>
  </r>
  <r>
    <s v="A.P. SHPENDI"/>
    <x v="18"/>
    <m/>
    <m/>
    <m/>
    <x v="127"/>
    <s v="A.P. SHPENDI"/>
    <x v="13"/>
    <s v="M ONE MOTORSTART"/>
    <n v="4"/>
    <x v="1"/>
    <n v="0.2"/>
  </r>
  <r>
    <s v="A.P. SHPENDI"/>
    <x v="18"/>
    <m/>
    <m/>
    <m/>
    <x v="127"/>
    <s v="A.P. SHPENDI"/>
    <x v="12"/>
    <s v="beMAKER Rostlöser"/>
    <n v="6"/>
    <x v="1"/>
    <n v="0.2"/>
  </r>
  <r>
    <s v="A.P. SHPENDI"/>
    <x v="18"/>
    <m/>
    <m/>
    <m/>
    <x v="127"/>
    <s v="A.P. SHPENDI"/>
    <x v="16"/>
    <s v="Fettspray"/>
    <n v="2"/>
    <x v="1"/>
    <n v="0.2"/>
  </r>
  <r>
    <s v="ARBENI BIOBLIC"/>
    <x v="19"/>
    <n v="228"/>
    <m/>
    <m/>
    <x v="71"/>
    <s v="ARBENI BIOBLIC"/>
    <x v="28"/>
    <s v="BioBlic Universalreiniger"/>
    <n v="130"/>
    <x v="2"/>
    <n v="0.30000000000000004"/>
  </r>
  <r>
    <s v="ARBENI BIOBLIC"/>
    <x v="19"/>
    <m/>
    <m/>
    <m/>
    <x v="71"/>
    <s v="ARBENI BIOBLIC"/>
    <x v="29"/>
    <s v="Blic Blic Sanitärreiniger"/>
    <n v="40"/>
    <x v="2"/>
    <n v="0.30000000000000004"/>
  </r>
  <r>
    <s v="ARBENI BIOBLIC"/>
    <x v="19"/>
    <m/>
    <m/>
    <m/>
    <x v="71"/>
    <s v="ARBENI BIOBLIC"/>
    <x v="12"/>
    <s v="beMAKER Rostlöser"/>
    <n v="5"/>
    <x v="2"/>
    <n v="0.2"/>
  </r>
  <r>
    <s v="ARBENI BIOBLIC"/>
    <x v="19"/>
    <m/>
    <m/>
    <m/>
    <x v="71"/>
    <s v="ARBENI BIOBLIC"/>
    <x v="24"/>
    <s v="M ONE SILIKON SPRAY"/>
    <n v="1"/>
    <x v="2"/>
    <n v="0.2"/>
  </r>
  <r>
    <s v="FORD BASHKIMI"/>
    <x v="19"/>
    <n v="24"/>
    <m/>
    <m/>
    <x v="58"/>
    <s v="FORD BASHKIMI"/>
    <x v="14"/>
    <s v="beMAKER Bremsen&amp;Teile Reininger"/>
    <n v="12"/>
    <x v="2"/>
    <n v="0.2"/>
  </r>
  <r>
    <s v="NDRIQIMI"/>
    <x v="19"/>
    <n v="231"/>
    <m/>
    <m/>
    <x v="79"/>
    <s v="NDRIQIMI"/>
    <x v="0"/>
    <s v="M-ONE Sanitar Silikon"/>
    <n v="60"/>
    <x v="0"/>
    <n v="0.17"/>
  </r>
  <r>
    <s v="UNIVERZAL"/>
    <x v="19"/>
    <n v="138.6"/>
    <m/>
    <m/>
    <x v="18"/>
    <s v="UNIVERZAL"/>
    <x v="18"/>
    <s v="M-ONE Sanitar Silikon"/>
    <n v="12"/>
    <x v="0"/>
    <n v="0.17"/>
  </r>
  <r>
    <s v="UNIVERZAL"/>
    <x v="19"/>
    <m/>
    <m/>
    <m/>
    <x v="18"/>
    <s v="UNIVERZAL"/>
    <x v="1"/>
    <s v="M-ONE Sanitar Silikon"/>
    <n v="12"/>
    <x v="0"/>
    <n v="0.17"/>
  </r>
  <r>
    <s v="UNIVERZAL"/>
    <x v="19"/>
    <m/>
    <m/>
    <m/>
    <x v="18"/>
    <s v="UNIVERZAL"/>
    <x v="9"/>
    <s v="M-ONE Sanitar Silikon"/>
    <n v="12"/>
    <x v="0"/>
    <n v="0.17"/>
  </r>
  <r>
    <s v="GRANITI"/>
    <x v="19"/>
    <n v="92.4"/>
    <m/>
    <m/>
    <x v="80"/>
    <s v="GRANITI"/>
    <x v="15"/>
    <s v="M-ONE Sanitar Silikon"/>
    <n v="12"/>
    <x v="0"/>
    <n v="0.17"/>
  </r>
  <r>
    <s v="GRANITI"/>
    <x v="19"/>
    <m/>
    <m/>
    <m/>
    <x v="80"/>
    <s v="GRANITI"/>
    <x v="18"/>
    <s v="M-ONE Sanitar Silikon"/>
    <n v="12"/>
    <x v="0"/>
    <n v="0.17"/>
  </r>
  <r>
    <s v="AGRONI"/>
    <x v="19"/>
    <n v="40"/>
    <m/>
    <m/>
    <x v="22"/>
    <s v="AGRONI"/>
    <x v="12"/>
    <s v="beMAKER Rostlöser"/>
    <n v="5"/>
    <x v="0"/>
    <n v="0.2"/>
  </r>
  <r>
    <s v="AGRONI"/>
    <x v="19"/>
    <m/>
    <m/>
    <m/>
    <x v="22"/>
    <s v="AGRONI"/>
    <x v="13"/>
    <s v="M ONE MOTORSTART"/>
    <n v="2"/>
    <x v="0"/>
    <n v="0.2"/>
  </r>
  <r>
    <s v="AGRONI"/>
    <x v="19"/>
    <m/>
    <m/>
    <m/>
    <x v="22"/>
    <s v="AGRONI"/>
    <x v="16"/>
    <s v="Fettspray"/>
    <n v="2"/>
    <x v="0"/>
    <n v="0.2"/>
  </r>
  <r>
    <s v="AGRONI"/>
    <x v="19"/>
    <m/>
    <m/>
    <m/>
    <x v="22"/>
    <s v="AGRONI"/>
    <x v="24"/>
    <s v="M ONE SILIKON SPRAY"/>
    <n v="2"/>
    <x v="0"/>
    <n v="0.2"/>
  </r>
  <r>
    <s v="AGRONI"/>
    <x v="19"/>
    <m/>
    <m/>
    <m/>
    <x v="22"/>
    <s v="AGRONI"/>
    <x v="14"/>
    <s v="beMAKER Bremsen&amp;Teile Reininger"/>
    <n v="5"/>
    <x v="0"/>
    <n v="0.2"/>
  </r>
  <r>
    <s v="YLLI CONSTRUCION"/>
    <x v="19"/>
    <n v="48"/>
    <m/>
    <m/>
    <x v="128"/>
    <s v="YLLI CONSTRUCION"/>
    <x v="9"/>
    <s v="M-ONE Sanitar Silikon"/>
    <n v="3"/>
    <x v="2"/>
    <n v="0.17"/>
  </r>
  <r>
    <s v="YLLI CONSTRUCION"/>
    <x v="19"/>
    <m/>
    <m/>
    <m/>
    <x v="128"/>
    <s v="YLLI CONSTRUCION"/>
    <x v="4"/>
    <s v="M-ONE Sanitar Silikon"/>
    <n v="5"/>
    <x v="2"/>
    <n v="0.17"/>
  </r>
  <r>
    <s v="YLLI CONSTRUCION"/>
    <x v="19"/>
    <m/>
    <m/>
    <m/>
    <x v="128"/>
    <s v="YLLI CONSTRUCION"/>
    <x v="18"/>
    <s v="M-ONE Sanitar Silikon"/>
    <n v="4"/>
    <x v="2"/>
    <n v="0.17"/>
  </r>
  <r>
    <s v="ZAIMI"/>
    <x v="20"/>
    <n v="46.2"/>
    <m/>
    <m/>
    <x v="129"/>
    <e v="#N/A"/>
    <x v="2"/>
    <s v="M-ONE Sanitar Silikon"/>
    <n v="12"/>
    <x v="0"/>
    <n v="0.17"/>
  </r>
  <r>
    <s v="CARRALEVA 1"/>
    <x v="20"/>
    <n v="92.4"/>
    <m/>
    <m/>
    <x v="25"/>
    <s v="CARRALEVA 1"/>
    <x v="3"/>
    <s v="M-ONE Sanitar Silikon"/>
    <n v="12"/>
    <x v="0"/>
    <n v="0.17"/>
  </r>
  <r>
    <s v="CARRALEVA 1"/>
    <x v="20"/>
    <m/>
    <m/>
    <m/>
    <x v="25"/>
    <s v="CARRALEVA 1"/>
    <x v="0"/>
    <s v="M-ONE Sanitar Silikon"/>
    <n v="12"/>
    <x v="0"/>
    <n v="0.17"/>
  </r>
  <r>
    <s v="LONI"/>
    <x v="20"/>
    <n v="55.2"/>
    <m/>
    <m/>
    <x v="24"/>
    <s v="LONI"/>
    <x v="7"/>
    <s v="DICHTUNG"/>
    <n v="6"/>
    <x v="0"/>
    <n v="0.2"/>
  </r>
  <r>
    <s v="LONI"/>
    <x v="20"/>
    <m/>
    <m/>
    <m/>
    <x v="24"/>
    <s v="LONI"/>
    <x v="12"/>
    <s v="beMAKER Rostlöser"/>
    <n v="6"/>
    <x v="0"/>
    <n v="0.2"/>
  </r>
  <r>
    <s v="REAL COLOR 2"/>
    <x v="20"/>
    <n v="138.6"/>
    <m/>
    <m/>
    <x v="26"/>
    <s v="REAL COLOR 2"/>
    <x v="18"/>
    <s v="M-ONE Sanitar Silikon"/>
    <n v="12"/>
    <x v="0"/>
    <n v="0.17"/>
  </r>
  <r>
    <s v="REAL COLOR 2"/>
    <x v="20"/>
    <m/>
    <m/>
    <m/>
    <x v="26"/>
    <s v="REAL COLOR 2"/>
    <x v="20"/>
    <s v="M-ONE Sanitar Silikon"/>
    <n v="12"/>
    <x v="0"/>
    <n v="0.17"/>
  </r>
  <r>
    <s v="REAL COLOR 2"/>
    <x v="20"/>
    <m/>
    <m/>
    <m/>
    <x v="26"/>
    <s v="REAL COLOR 2"/>
    <x v="9"/>
    <s v="M-ONE Sanitar Silikon"/>
    <n v="12"/>
    <x v="0"/>
    <n v="0.17"/>
  </r>
  <r>
    <s v="ARBERI"/>
    <x v="20"/>
    <n v="92.4"/>
    <m/>
    <m/>
    <x v="102"/>
    <s v="ARBERI"/>
    <x v="4"/>
    <s v="M-ONE Sanitar Silikon"/>
    <n v="12"/>
    <x v="0"/>
    <n v="0.17"/>
  </r>
  <r>
    <s v="ARBERI"/>
    <x v="20"/>
    <m/>
    <m/>
    <m/>
    <x v="102"/>
    <s v="ARBERI"/>
    <x v="6"/>
    <s v="M-ONE Sanitar Silikon"/>
    <n v="12"/>
    <x v="0"/>
    <n v="0.17"/>
  </r>
  <r>
    <s v="ARDI LIPJAN"/>
    <x v="20"/>
    <n v="142.9"/>
    <m/>
    <m/>
    <x v="27"/>
    <s v="ARDI LIPJAN"/>
    <x v="7"/>
    <s v="DICHTUNG"/>
    <n v="12"/>
    <x v="0"/>
    <n v="0.2"/>
  </r>
  <r>
    <s v="ARDI LIPJAN"/>
    <x v="20"/>
    <m/>
    <m/>
    <m/>
    <x v="27"/>
    <s v="ARDI LIPJAN"/>
    <x v="13"/>
    <s v="M ONE MOTORSTART"/>
    <n v="2"/>
    <x v="0"/>
    <n v="0.2"/>
  </r>
  <r>
    <s v="ARDI LIPJAN"/>
    <x v="20"/>
    <m/>
    <m/>
    <m/>
    <x v="27"/>
    <s v="ARDI LIPJAN"/>
    <x v="19"/>
    <s v="M ONE KLARLACK"/>
    <n v="9"/>
    <x v="0"/>
    <n v="0.15"/>
  </r>
  <r>
    <s v="ARDI LIPJAN"/>
    <x v="20"/>
    <m/>
    <m/>
    <m/>
    <x v="27"/>
    <s v="ARDI LIPJAN"/>
    <x v="12"/>
    <s v="beMAKER Rostlöser"/>
    <n v="6"/>
    <x v="0"/>
    <n v="0.2"/>
  </r>
  <r>
    <s v="ARDI LIPJAN"/>
    <x v="20"/>
    <m/>
    <m/>
    <m/>
    <x v="27"/>
    <s v="ARDI LIPJAN"/>
    <x v="17"/>
    <s v="M ONE UBS"/>
    <n v="6"/>
    <x v="0"/>
    <n v="0.2"/>
  </r>
  <r>
    <s v="LIRIDONA KLINE"/>
    <x v="20"/>
    <n v="138.6"/>
    <m/>
    <m/>
    <x v="30"/>
    <s v="LIRIDONA KLINE"/>
    <x v="5"/>
    <s v="M-ONE Sanitar Silikon"/>
    <n v="12"/>
    <x v="1"/>
    <n v="0.17"/>
  </r>
  <r>
    <s v="LIRIDONA KLINE"/>
    <x v="20"/>
    <m/>
    <m/>
    <m/>
    <x v="30"/>
    <s v="LIRIDONA KLINE"/>
    <x v="18"/>
    <s v="M-ONE Sanitar Silikon"/>
    <n v="12"/>
    <x v="1"/>
    <n v="0.17"/>
  </r>
  <r>
    <s v="LIRIDONA KLINE"/>
    <x v="20"/>
    <m/>
    <m/>
    <m/>
    <x v="30"/>
    <s v="LIRIDONA KLINE"/>
    <x v="25"/>
    <s v="M-ONE Sanitar Silikon"/>
    <n v="12"/>
    <x v="1"/>
    <n v="0.17"/>
  </r>
  <r>
    <s v="LIRIDONA HOME"/>
    <x v="20"/>
    <n v="120"/>
    <m/>
    <m/>
    <x v="106"/>
    <s v="LIRIDONA HOME"/>
    <x v="4"/>
    <s v="M-ONE Sanitar Silikon"/>
    <n v="12"/>
    <x v="1"/>
    <n v="0.17"/>
  </r>
  <r>
    <s v="LIRIDONA HOME"/>
    <x v="20"/>
    <m/>
    <m/>
    <m/>
    <x v="106"/>
    <s v="LIRIDONA HOME"/>
    <x v="5"/>
    <s v="M-ONE Sanitar Silikon"/>
    <n v="12"/>
    <x v="1"/>
    <n v="0.17"/>
  </r>
  <r>
    <s v="LIRIDONA HOME"/>
    <x v="20"/>
    <m/>
    <m/>
    <m/>
    <x v="106"/>
    <s v="LIRIDONA HOME"/>
    <x v="8"/>
    <s v="struktural akryl"/>
    <n v="12"/>
    <x v="1"/>
    <n v="0.06"/>
  </r>
  <r>
    <s v="BERATI A.P. (1)"/>
    <x v="20"/>
    <n v="53"/>
    <m/>
    <m/>
    <x v="31"/>
    <s v="BERATI A.P. (1)"/>
    <x v="12"/>
    <s v="beMAKER Rostlöser"/>
    <n v="12"/>
    <x v="1"/>
    <n v="0.2"/>
  </r>
  <r>
    <s v="BERATI A.P. (1)"/>
    <x v="20"/>
    <m/>
    <m/>
    <m/>
    <x v="31"/>
    <s v="BERATI A.P. (1)"/>
    <x v="7"/>
    <s v="DICHTUNG"/>
    <n v="3"/>
    <x v="1"/>
    <n v="0.2"/>
  </r>
  <r>
    <s v="BERATI A.P. (1)"/>
    <x v="20"/>
    <m/>
    <m/>
    <m/>
    <x v="31"/>
    <s v="BERATI A.P. (1)"/>
    <x v="33"/>
    <s v="beMaker Handwaschpaste"/>
    <n v="4"/>
    <x v="1"/>
    <n v="0.1"/>
  </r>
  <r>
    <s v="LIRIDONA-A"/>
    <x v="20"/>
    <n v="84.6"/>
    <m/>
    <m/>
    <x v="105"/>
    <s v="LIRIDONA-A"/>
    <x v="22"/>
    <s v="universal akryl"/>
    <n v="12"/>
    <x v="1"/>
    <n v="0.06"/>
  </r>
  <r>
    <s v="LIRIDONA-A"/>
    <x v="20"/>
    <m/>
    <m/>
    <m/>
    <x v="105"/>
    <s v="LIRIDONA-A"/>
    <x v="10"/>
    <s v="PROFIMONT EXTREME"/>
    <n v="12"/>
    <x v="1"/>
    <n v="0.2"/>
  </r>
  <r>
    <s v="TE BENI"/>
    <x v="20"/>
    <n v="92.4"/>
    <m/>
    <m/>
    <x v="107"/>
    <s v="TE BENI"/>
    <x v="5"/>
    <s v="M-ONE Sanitar Silikon"/>
    <n v="12"/>
    <x v="1"/>
    <n v="0.17"/>
  </r>
  <r>
    <s v="TE BENI"/>
    <x v="20"/>
    <m/>
    <m/>
    <m/>
    <x v="107"/>
    <s v="TE BENI"/>
    <x v="25"/>
    <s v="M-ONE Sanitar Silikon"/>
    <n v="12"/>
    <x v="1"/>
    <n v="0.17"/>
  </r>
  <r>
    <s v="TE MENTORI"/>
    <x v="20"/>
    <n v="138.6"/>
    <m/>
    <m/>
    <x v="109"/>
    <s v="TE MENTORI"/>
    <x v="18"/>
    <s v="M-ONE Sanitar Silikon"/>
    <n v="12"/>
    <x v="1"/>
    <n v="0.17"/>
  </r>
  <r>
    <s v="TE MENTORI"/>
    <x v="20"/>
    <m/>
    <m/>
    <m/>
    <x v="109"/>
    <s v="TE MENTORI"/>
    <x v="25"/>
    <s v="M-ONE Sanitar Silikon"/>
    <n v="12"/>
    <x v="1"/>
    <n v="0.17"/>
  </r>
  <r>
    <s v="TE MENTORI"/>
    <x v="20"/>
    <m/>
    <m/>
    <m/>
    <x v="109"/>
    <s v="TE MENTORI"/>
    <x v="2"/>
    <s v="M-ONE Sanitar Silikon"/>
    <n v="12"/>
    <x v="1"/>
    <n v="0.17"/>
  </r>
  <r>
    <s v="ALBANI"/>
    <x v="21"/>
    <n v="46.2"/>
    <m/>
    <m/>
    <x v="83"/>
    <e v="#N/A"/>
    <x v="4"/>
    <s v="M-ONE Sanitar Silikon"/>
    <n v="12"/>
    <x v="0"/>
    <n v="0.17"/>
  </r>
  <r>
    <s v="BECOLOR"/>
    <x v="21"/>
    <n v="27"/>
    <m/>
    <m/>
    <x v="37"/>
    <s v="BECOLOR"/>
    <x v="30"/>
    <s v="M ONE ANTHRAZIT"/>
    <n v="6"/>
    <x v="0"/>
    <n v="0.15"/>
  </r>
  <r>
    <s v="BECOLOR"/>
    <x v="21"/>
    <m/>
    <m/>
    <m/>
    <x v="37"/>
    <s v="BECOLOR"/>
    <x v="22"/>
    <s v="universal akryl"/>
    <n v="12"/>
    <x v="0"/>
    <n v="0.06"/>
  </r>
  <r>
    <s v="ALBANI"/>
    <x v="21"/>
    <n v="117.9"/>
    <m/>
    <m/>
    <x v="111"/>
    <e v="#N/A"/>
    <x v="7"/>
    <s v="DICHTUNG"/>
    <n v="12"/>
    <x v="0"/>
    <n v="0.2"/>
  </r>
  <r>
    <s v="ALBANI"/>
    <x v="21"/>
    <m/>
    <m/>
    <m/>
    <x v="111"/>
    <e v="#N/A"/>
    <x v="16"/>
    <s v="Fettspray"/>
    <n v="4"/>
    <x v="0"/>
    <n v="0.2"/>
  </r>
  <r>
    <s v="ALBANI"/>
    <x v="21"/>
    <m/>
    <m/>
    <m/>
    <x v="111"/>
    <e v="#N/A"/>
    <x v="13"/>
    <s v="M ONE MOTORSTART"/>
    <n v="5"/>
    <x v="0"/>
    <n v="0.2"/>
  </r>
  <r>
    <s v="KUSHA"/>
    <x v="21"/>
    <n v="27.5"/>
    <m/>
    <m/>
    <x v="130"/>
    <s v="KUSHA"/>
    <x v="14"/>
    <s v="beMAKER Bremsen&amp;Teile Reininger"/>
    <n v="6"/>
    <x v="0"/>
    <n v="0.2"/>
  </r>
  <r>
    <s v="KUSHA"/>
    <x v="21"/>
    <m/>
    <m/>
    <m/>
    <x v="130"/>
    <s v="KUSHA"/>
    <x v="12"/>
    <s v="beMAKER Rostlöser"/>
    <n v="6"/>
    <x v="0"/>
    <n v="0.2"/>
  </r>
  <r>
    <s v="KUSHA"/>
    <x v="21"/>
    <m/>
    <m/>
    <m/>
    <x v="130"/>
    <s v="KUSHA"/>
    <x v="16"/>
    <s v="Fettspray"/>
    <n v="1"/>
    <x v="0"/>
    <n v="0.2"/>
  </r>
  <r>
    <s v="KUJTA"/>
    <x v="21"/>
    <n v="92.4"/>
    <m/>
    <m/>
    <x v="36"/>
    <s v="KUJTA"/>
    <x v="20"/>
    <s v="M-ONE Sanitar Silikon"/>
    <n v="12"/>
    <x v="0"/>
    <n v="0.17"/>
  </r>
  <r>
    <s v="KUJTA"/>
    <x v="21"/>
    <m/>
    <m/>
    <m/>
    <x v="36"/>
    <s v="KUJTA"/>
    <x v="1"/>
    <s v="M-ONE Sanitar Silikon"/>
    <n v="12"/>
    <x v="0"/>
    <n v="0.17"/>
  </r>
  <r>
    <s v="DIVA QERAMIKA"/>
    <x v="21"/>
    <n v="92.4"/>
    <m/>
    <m/>
    <x v="112"/>
    <s v="DIVA QERAMIKA"/>
    <x v="18"/>
    <s v="M-ONE Sanitar Silikon"/>
    <n v="12"/>
    <x v="1"/>
    <n v="0.17"/>
  </r>
  <r>
    <s v="DIVA QERAMIKA"/>
    <x v="21"/>
    <m/>
    <m/>
    <m/>
    <x v="112"/>
    <s v="DIVA QERAMIKA"/>
    <x v="2"/>
    <s v="M-ONE Sanitar Silikon"/>
    <n v="12"/>
    <x v="1"/>
    <n v="0.17"/>
  </r>
  <r>
    <s v="UNIKA"/>
    <x v="21"/>
    <n v="92.4"/>
    <m/>
    <m/>
    <x v="43"/>
    <s v="UNIKA"/>
    <x v="4"/>
    <s v="M-ONE Sanitar Silikon"/>
    <n v="12"/>
    <x v="1"/>
    <n v="0.17"/>
  </r>
  <r>
    <s v="UNIKA"/>
    <x v="21"/>
    <m/>
    <m/>
    <m/>
    <x v="43"/>
    <s v="UNIKA"/>
    <x v="18"/>
    <s v="M-ONE Sanitar Silikon"/>
    <n v="12"/>
    <x v="1"/>
    <n v="0.17"/>
  </r>
  <r>
    <s v="TE-SYLA"/>
    <x v="21"/>
    <n v="141.6"/>
    <m/>
    <m/>
    <x v="44"/>
    <s v="TE-SYLA"/>
    <x v="2"/>
    <s v="M-ONE Sanitar Silikon"/>
    <n v="12"/>
    <x v="1"/>
    <n v="0.17"/>
  </r>
  <r>
    <s v="TE-SYLA"/>
    <x v="21"/>
    <m/>
    <m/>
    <m/>
    <x v="44"/>
    <s v="TE-SYLA"/>
    <x v="7"/>
    <s v="DICHTUNG"/>
    <n v="12"/>
    <x v="1"/>
    <n v="0.2"/>
  </r>
  <r>
    <s v="TE-SYLA"/>
    <x v="21"/>
    <m/>
    <m/>
    <m/>
    <x v="44"/>
    <s v="TE-SYLA"/>
    <x v="23"/>
    <s v="M ONE HAFTGRUND"/>
    <n v="6"/>
    <x v="1"/>
    <n v="0.15"/>
  </r>
  <r>
    <s v="LONI"/>
    <x v="21"/>
    <n v="92.4"/>
    <m/>
    <m/>
    <x v="46"/>
    <s v="LONI"/>
    <x v="18"/>
    <s v="M-ONE Sanitar Silikon"/>
    <n v="12"/>
    <x v="1"/>
    <n v="0.17"/>
  </r>
  <r>
    <s v="LONI"/>
    <x v="21"/>
    <m/>
    <m/>
    <m/>
    <x v="46"/>
    <s v="LONI"/>
    <x v="1"/>
    <s v="M-ONE Sanitar Silikon"/>
    <n v="12"/>
    <x v="1"/>
    <n v="0.17"/>
  </r>
  <r>
    <s v="TE-LUTA"/>
    <x v="21"/>
    <n v="333.9"/>
    <m/>
    <m/>
    <x v="131"/>
    <s v="TE-LUTA"/>
    <x v="4"/>
    <s v="M-ONE Sanitar Silikon"/>
    <n v="24"/>
    <x v="1"/>
    <n v="0.17"/>
  </r>
  <r>
    <s v="TE-LUTA"/>
    <x v="21"/>
    <m/>
    <m/>
    <m/>
    <x v="131"/>
    <s v="TE-LUTA"/>
    <x v="9"/>
    <s v="M-ONE Sanitar Silikon"/>
    <n v="24"/>
    <x v="1"/>
    <n v="0.17"/>
  </r>
  <r>
    <s v="TE-LUTA"/>
    <x v="21"/>
    <m/>
    <m/>
    <m/>
    <x v="131"/>
    <s v="TE-LUTA"/>
    <x v="0"/>
    <s v="M-ONE Sanitar Silikon"/>
    <n v="12"/>
    <x v="1"/>
    <n v="0.17"/>
  </r>
  <r>
    <s v="TE-LUTA"/>
    <x v="21"/>
    <m/>
    <m/>
    <m/>
    <x v="131"/>
    <s v="TE-LUTA"/>
    <x v="5"/>
    <s v="M-ONE Sanitar Silikon"/>
    <n v="12"/>
    <x v="1"/>
    <n v="0.17"/>
  </r>
  <r>
    <s v="TE-LUTA"/>
    <x v="21"/>
    <m/>
    <m/>
    <m/>
    <x v="131"/>
    <s v="TE-LUTA"/>
    <x v="18"/>
    <s v="M-ONE Sanitar Silikon"/>
    <n v="12"/>
    <x v="1"/>
    <n v="0.17"/>
  </r>
  <r>
    <s v="TE-LUTA"/>
    <x v="21"/>
    <m/>
    <m/>
    <m/>
    <x v="131"/>
    <s v="TE-LUTA"/>
    <x v="13"/>
    <s v="M ONE MOTORSTART"/>
    <n v="3"/>
    <x v="1"/>
    <n v="0.2"/>
  </r>
  <r>
    <s v="MIX-B"/>
    <x v="21"/>
    <n v="103.8"/>
    <m/>
    <m/>
    <x v="132"/>
    <s v="MIX-B"/>
    <x v="1"/>
    <s v="M-ONE Sanitar Silikon"/>
    <n v="12"/>
    <x v="1"/>
    <n v="0.17"/>
  </r>
  <r>
    <s v="MIX-B"/>
    <x v="21"/>
    <m/>
    <m/>
    <m/>
    <x v="132"/>
    <s v="MIX-B"/>
    <x v="22"/>
    <s v="universal akryl"/>
    <n v="24"/>
    <x v="1"/>
    <n v="0.06"/>
  </r>
  <r>
    <s v="MIX-B"/>
    <x v="21"/>
    <m/>
    <m/>
    <m/>
    <x v="132"/>
    <s v="MIX-B"/>
    <x v="8"/>
    <s v="struktural akryl"/>
    <n v="12"/>
    <x v="1"/>
    <n v="0.06"/>
  </r>
  <r>
    <s v="HIDROELDI"/>
    <x v="22"/>
    <n v="46.2"/>
    <m/>
    <m/>
    <x v="85"/>
    <s v="HIDROELDI"/>
    <x v="18"/>
    <s v="M-ONE Sanitar Silikon"/>
    <n v="12"/>
    <x v="0"/>
    <n v="0.17"/>
  </r>
  <r>
    <s v="QELA"/>
    <x v="22"/>
    <n v="64.2"/>
    <m/>
    <m/>
    <x v="50"/>
    <s v="QELA"/>
    <x v="7"/>
    <s v="DICHTUNG"/>
    <n v="6"/>
    <x v="0"/>
    <n v="0.2"/>
  </r>
  <r>
    <s v="QELA"/>
    <x v="22"/>
    <m/>
    <m/>
    <m/>
    <x v="50"/>
    <s v="QELA"/>
    <x v="16"/>
    <s v="Fettspray"/>
    <n v="6"/>
    <x v="0"/>
    <n v="0.2"/>
  </r>
  <r>
    <s v="KADIJOLLET"/>
    <x v="22"/>
    <n v="87.7"/>
    <m/>
    <m/>
    <x v="49"/>
    <s v="KADIJOLLET"/>
    <x v="5"/>
    <s v="M-ONE Sanitar Silikon"/>
    <n v="12"/>
    <x v="0"/>
    <n v="0.17"/>
  </r>
  <r>
    <s v="KADIJOLLET"/>
    <x v="22"/>
    <m/>
    <m/>
    <m/>
    <x v="49"/>
    <s v="KADIJOLLET"/>
    <x v="7"/>
    <s v="DICHTUNG"/>
    <n v="2"/>
    <x v="0"/>
    <n v="0.2"/>
  </r>
  <r>
    <s v="KADIJOLLET"/>
    <x v="22"/>
    <m/>
    <m/>
    <m/>
    <x v="49"/>
    <s v="KADIJOLLET"/>
    <x v="14"/>
    <s v="beMAKER Bremsen&amp;Teile Reininger"/>
    <n v="5"/>
    <x v="0"/>
    <n v="0.2"/>
  </r>
  <r>
    <s v="KADIJOLLET"/>
    <x v="22"/>
    <m/>
    <m/>
    <m/>
    <x v="49"/>
    <s v="KADIJOLLET"/>
    <x v="12"/>
    <s v="beMAKER Rostlöser"/>
    <n v="5"/>
    <x v="0"/>
    <n v="0.2"/>
  </r>
  <r>
    <s v="KADIJOLLET"/>
    <x v="22"/>
    <m/>
    <m/>
    <m/>
    <x v="49"/>
    <s v="KADIJOLLET"/>
    <x v="13"/>
    <s v="M ONE MOTORSTART"/>
    <n v="2"/>
    <x v="0"/>
    <n v="0.2"/>
  </r>
  <r>
    <s v="JETARI"/>
    <x v="22"/>
    <n v="92.4"/>
    <m/>
    <m/>
    <x v="87"/>
    <s v="JETARI"/>
    <x v="18"/>
    <s v="M-ONE Sanitar Silikon"/>
    <n v="12"/>
    <x v="0"/>
    <n v="0.17"/>
  </r>
  <r>
    <s v="JETARI"/>
    <x v="22"/>
    <m/>
    <m/>
    <m/>
    <x v="87"/>
    <s v="JETARI"/>
    <x v="2"/>
    <s v="M-ONE Sanitar Silikon"/>
    <n v="12"/>
    <x v="0"/>
    <n v="0.17"/>
  </r>
  <r>
    <s v="AP PETRITI"/>
    <x v="22"/>
    <n v="10"/>
    <m/>
    <m/>
    <x v="133"/>
    <s v="AP PETRITI"/>
    <x v="14"/>
    <s v="beMAKER Bremsen&amp;Teile Reininger"/>
    <n v="5"/>
    <x v="0"/>
    <n v="0.2"/>
  </r>
  <r>
    <s v="QEMA"/>
    <x v="23"/>
    <n v="208.8"/>
    <m/>
    <m/>
    <x v="134"/>
    <s v="QEMA"/>
    <x v="10"/>
    <s v="PROFIMONT EXTREME"/>
    <n v="36"/>
    <x v="0"/>
    <n v="0.2"/>
  </r>
  <r>
    <s v="ARSIMI"/>
    <x v="23"/>
    <n v="92.4"/>
    <m/>
    <m/>
    <x v="59"/>
    <s v="ARSIMI"/>
    <x v="5"/>
    <s v="M-ONE Sanitar Silikon"/>
    <n v="24"/>
    <x v="0"/>
    <n v="0.17"/>
  </r>
  <r>
    <s v="MONI 2"/>
    <x v="23"/>
    <n v="92.4"/>
    <m/>
    <m/>
    <x v="60"/>
    <s v="MONI 2"/>
    <x v="15"/>
    <s v="M-ONE Sanitar Silikon"/>
    <n v="12"/>
    <x v="0"/>
    <n v="0.17"/>
  </r>
  <r>
    <s v="MONI 2"/>
    <x v="23"/>
    <m/>
    <m/>
    <m/>
    <x v="60"/>
    <s v="MONI 2"/>
    <x v="6"/>
    <s v="M-ONE Sanitar Silikon"/>
    <n v="12"/>
    <x v="0"/>
    <n v="0.17"/>
  </r>
  <r>
    <s v="ARPO"/>
    <x v="23"/>
    <n v="184.8"/>
    <m/>
    <m/>
    <x v="64"/>
    <s v="ARPO"/>
    <x v="3"/>
    <s v="M-ONE Sanitar Silikon"/>
    <n v="12"/>
    <x v="0"/>
    <n v="0.17"/>
  </r>
  <r>
    <s v="ARPO"/>
    <x v="23"/>
    <m/>
    <m/>
    <m/>
    <x v="64"/>
    <s v="ARPO"/>
    <x v="1"/>
    <s v="M-ONE Sanitar Silikon"/>
    <n v="12"/>
    <x v="0"/>
    <n v="0.17"/>
  </r>
  <r>
    <s v="ARPO"/>
    <x v="23"/>
    <m/>
    <m/>
    <m/>
    <x v="64"/>
    <s v="ARPO"/>
    <x v="4"/>
    <s v="M-ONE Sanitar Silikon"/>
    <n v="24"/>
    <x v="0"/>
    <n v="0.17"/>
  </r>
  <r>
    <s v="XHAFA"/>
    <x v="23"/>
    <n v="46.2"/>
    <m/>
    <m/>
    <x v="61"/>
    <s v="XHAFA"/>
    <x v="3"/>
    <s v="M-ONE Sanitar Silikon"/>
    <n v="12"/>
    <x v="0"/>
    <n v="0.17"/>
  </r>
  <r>
    <s v="TAULANTI"/>
    <x v="23"/>
    <n v="92.4"/>
    <m/>
    <m/>
    <x v="135"/>
    <e v="#N/A"/>
    <x v="4"/>
    <s v="M-ONE Sanitar Silikon"/>
    <n v="12"/>
    <x v="0"/>
    <n v="0.17"/>
  </r>
  <r>
    <s v="TAULANTI"/>
    <x v="23"/>
    <m/>
    <m/>
    <m/>
    <x v="135"/>
    <e v="#N/A"/>
    <x v="20"/>
    <s v="M-ONE Sanitar Silikon"/>
    <n v="12"/>
    <x v="0"/>
    <n v="0.17"/>
  </r>
  <r>
    <s v="TEMAJ"/>
    <x v="23"/>
    <n v="92.4"/>
    <m/>
    <m/>
    <x v="91"/>
    <s v="TEMAJ"/>
    <x v="0"/>
    <s v="M-ONE Sanitar Silikon"/>
    <n v="24"/>
    <x v="2"/>
    <n v="0.17"/>
  </r>
  <r>
    <s v="TERMO PROJEKT"/>
    <x v="23"/>
    <n v="208.8"/>
    <m/>
    <m/>
    <x v="56"/>
    <s v="TERMO PROJEKT"/>
    <x v="10"/>
    <s v="PROFIMONT EXTREME"/>
    <n v="36"/>
    <x v="1"/>
    <n v="0.2"/>
  </r>
  <r>
    <s v="V. GJONAJ"/>
    <x v="23"/>
    <n v="30"/>
    <m/>
    <m/>
    <x v="122"/>
    <s v="V. GJONAJ"/>
    <x v="22"/>
    <s v="universal akryl"/>
    <n v="24"/>
    <x v="1"/>
    <n v="0.06"/>
  </r>
  <r>
    <s v="LETAJ"/>
    <x v="23"/>
    <n v="208.2"/>
    <m/>
    <m/>
    <x v="67"/>
    <s v="LETAJ"/>
    <x v="0"/>
    <s v="M-ONE Sanitar Silikon"/>
    <n v="12"/>
    <x v="1"/>
    <n v="0.17"/>
  </r>
  <r>
    <s v="LETAJ"/>
    <x v="23"/>
    <m/>
    <m/>
    <m/>
    <x v="67"/>
    <s v="LETAJ"/>
    <x v="10"/>
    <s v="PROFIMONT EXTREME"/>
    <n v="12"/>
    <x v="1"/>
    <n v="0.2"/>
  </r>
  <r>
    <s v="LETAJ"/>
    <x v="23"/>
    <m/>
    <m/>
    <m/>
    <x v="67"/>
    <s v="LETAJ"/>
    <x v="20"/>
    <s v="M-ONE Sanitar Silikon"/>
    <n v="12"/>
    <x v="1"/>
    <n v="0.17"/>
  </r>
  <r>
    <s v="LETAJ"/>
    <x v="23"/>
    <m/>
    <m/>
    <m/>
    <x v="67"/>
    <s v="LETAJ"/>
    <x v="1"/>
    <s v="M-ONE Sanitar Silikon"/>
    <n v="12"/>
    <x v="1"/>
    <n v="0.17"/>
  </r>
  <r>
    <s v="KENA COMERC"/>
    <x v="23"/>
    <n v="76.2"/>
    <m/>
    <m/>
    <x v="52"/>
    <s v="KENA COMERC"/>
    <x v="25"/>
    <s v="M-ONE Sanitar Silikon"/>
    <n v="12"/>
    <x v="1"/>
    <n v="0.17"/>
  </r>
  <r>
    <s v="KENA COMERC"/>
    <x v="23"/>
    <m/>
    <m/>
    <m/>
    <x v="52"/>
    <s v="KENA COMERC"/>
    <x v="22"/>
    <s v="universal akryl"/>
    <n v="24"/>
    <x v="1"/>
    <n v="0.06"/>
  </r>
  <r>
    <s v="INOX 2"/>
    <x v="23"/>
    <n v="112.2"/>
    <m/>
    <m/>
    <x v="93"/>
    <s v="INOX 2"/>
    <x v="10"/>
    <s v="PROFIMONT EXTREME"/>
    <n v="12"/>
    <x v="1"/>
    <n v="0.2"/>
  </r>
  <r>
    <s v="INOX 2"/>
    <x v="23"/>
    <m/>
    <m/>
    <m/>
    <x v="93"/>
    <s v="INOX 2"/>
    <x v="22"/>
    <s v="universal akryl"/>
    <n v="12"/>
    <x v="1"/>
    <n v="0.06"/>
  </r>
  <r>
    <s v="INOX 2"/>
    <x v="23"/>
    <m/>
    <m/>
    <m/>
    <x v="93"/>
    <s v="INOX 2"/>
    <x v="8"/>
    <s v="struktural akryl"/>
    <n v="12"/>
    <x v="1"/>
    <n v="0.06"/>
  </r>
  <r>
    <s v="TE BESIMI"/>
    <x v="23"/>
    <n v="92.4"/>
    <m/>
    <m/>
    <x v="70"/>
    <s v="TE BESIMI"/>
    <x v="5"/>
    <s v="M-ONE Sanitar Silikon"/>
    <n v="12"/>
    <x v="1"/>
    <n v="0.17"/>
  </r>
  <r>
    <s v="TE BESIMI"/>
    <x v="23"/>
    <m/>
    <m/>
    <m/>
    <x v="70"/>
    <s v="TE BESIMI"/>
    <x v="2"/>
    <s v="M-ONE Sanitar Silikon"/>
    <n v="12"/>
    <x v="1"/>
    <n v="0.17"/>
  </r>
  <r>
    <s v="KUQI-LKW"/>
    <x v="23"/>
    <n v="100.4"/>
    <m/>
    <m/>
    <x v="120"/>
    <s v="KUQI-LKW"/>
    <x v="7"/>
    <s v="DICHTUNG"/>
    <n v="12"/>
    <x v="1"/>
    <n v="0.2"/>
  </r>
  <r>
    <s v="KUQI-LKW"/>
    <x v="23"/>
    <m/>
    <m/>
    <m/>
    <x v="120"/>
    <s v="KUQI-LKW"/>
    <x v="13"/>
    <s v="M ONE MOTORSTART"/>
    <n v="4"/>
    <x v="1"/>
    <n v="0.2"/>
  </r>
  <r>
    <s v="ARBENI BIOBLIC"/>
    <x v="23"/>
    <n v="228"/>
    <m/>
    <m/>
    <x v="71"/>
    <s v="ARBENI BIOBLIC"/>
    <x v="32"/>
    <s v="BioBlic AutoInnenreiniger"/>
    <n v="10"/>
    <x v="2"/>
    <n v="0.30000000000000004"/>
  </r>
  <r>
    <s v="ARBENI BIOBLIC"/>
    <x v="23"/>
    <m/>
    <m/>
    <m/>
    <x v="71"/>
    <s v="ARBENI BIOBLIC"/>
    <x v="28"/>
    <s v="BioBlic Universalreiniger"/>
    <n v="110"/>
    <x v="2"/>
    <n v="0.30000000000000004"/>
  </r>
  <r>
    <s v="ARBENI BIOBLIC"/>
    <x v="23"/>
    <m/>
    <m/>
    <m/>
    <x v="71"/>
    <s v="ARBENI BIOBLIC"/>
    <x v="29"/>
    <s v="Blic Blic Sanitärreiniger"/>
    <n v="40"/>
    <x v="2"/>
    <n v="0.30000000000000004"/>
  </r>
  <r>
    <s v="ARBENI BIOBLIC"/>
    <x v="23"/>
    <m/>
    <m/>
    <m/>
    <x v="71"/>
    <s v="ARBENI BIOBLIC"/>
    <x v="24"/>
    <s v="M ONE SILIKON SPRAY"/>
    <n v="6"/>
    <x v="2"/>
    <n v="0.2"/>
  </r>
  <r>
    <s v="ARBENI BIOBLIC"/>
    <x v="23"/>
    <m/>
    <m/>
    <m/>
    <x v="71"/>
    <s v="ARBENI BIOBLIC"/>
    <x v="7"/>
    <s v="DICHTUNG"/>
    <n v="1"/>
    <x v="2"/>
    <n v="0.2"/>
  </r>
  <r>
    <s v="FUNDAMETI"/>
    <x v="24"/>
    <n v="98.4"/>
    <m/>
    <m/>
    <x v="7"/>
    <s v="FUNDAMETI"/>
    <x v="1"/>
    <s v="M-ONE Sanitar Silikon"/>
    <n v="24"/>
    <x v="0"/>
    <n v="0.17"/>
  </r>
  <r>
    <s v="FUNDAMETI"/>
    <x v="24"/>
    <m/>
    <m/>
    <m/>
    <x v="7"/>
    <s v="FUNDAMETI"/>
    <x v="24"/>
    <s v="M ONE SILIKON SPRAY"/>
    <n v="2"/>
    <x v="0"/>
    <n v="0.2"/>
  </r>
  <r>
    <s v="BALLKANI"/>
    <x v="24"/>
    <n v="92.4"/>
    <m/>
    <m/>
    <x v="98"/>
    <s v="BALLKANI"/>
    <x v="1"/>
    <s v="M-ONE Sanitar Silikon"/>
    <n v="12"/>
    <x v="0"/>
    <n v="0.17"/>
  </r>
  <r>
    <s v="BALLKANI"/>
    <x v="24"/>
    <m/>
    <m/>
    <m/>
    <x v="98"/>
    <s v="BALLKANI"/>
    <x v="6"/>
    <s v="M-ONE Sanitar Silikon"/>
    <n v="12"/>
    <x v="0"/>
    <n v="0.17"/>
  </r>
  <r>
    <s v="SMIRA"/>
    <x v="24"/>
    <n v="138.6"/>
    <m/>
    <m/>
    <x v="75"/>
    <s v="SMIRA"/>
    <x v="4"/>
    <s v="M-ONE Sanitar Silikon"/>
    <n v="12"/>
    <x v="0"/>
    <n v="0.17"/>
  </r>
  <r>
    <s v="SMIRA"/>
    <x v="24"/>
    <m/>
    <m/>
    <m/>
    <x v="75"/>
    <s v="SMIRA"/>
    <x v="18"/>
    <s v="M-ONE Sanitar Silikon"/>
    <n v="12"/>
    <x v="0"/>
    <n v="0.17"/>
  </r>
  <r>
    <s v="SMIRA"/>
    <x v="24"/>
    <m/>
    <m/>
    <m/>
    <x v="75"/>
    <s v="SMIRA"/>
    <x v="9"/>
    <s v="M-ONE Sanitar Silikon"/>
    <n v="12"/>
    <x v="0"/>
    <n v="0.17"/>
  </r>
  <r>
    <s v="BEKA-3"/>
    <x v="24"/>
    <n v="86.4"/>
    <m/>
    <m/>
    <x v="8"/>
    <s v="BEKA-3"/>
    <x v="7"/>
    <s v="DICHTUNG"/>
    <n v="12"/>
    <x v="0"/>
    <n v="0.2"/>
  </r>
  <r>
    <s v="FUNDAMETI"/>
    <x v="24"/>
    <n v="184.8"/>
    <m/>
    <m/>
    <x v="7"/>
    <s v="FUNDAMETI"/>
    <x v="18"/>
    <s v="M-ONE Sanitar Silikon"/>
    <n v="24"/>
    <x v="0"/>
    <n v="0.17"/>
  </r>
  <r>
    <s v="FUNDAMETI"/>
    <x v="24"/>
    <m/>
    <m/>
    <m/>
    <x v="7"/>
    <s v="FUNDAMETI"/>
    <x v="1"/>
    <s v="M-ONE Sanitar Silikon"/>
    <n v="24"/>
    <x v="0"/>
    <n v="0.17"/>
  </r>
  <r>
    <s v="FATMIRI"/>
    <x v="24"/>
    <n v="138.6"/>
    <m/>
    <m/>
    <x v="124"/>
    <s v="FATMIRI"/>
    <x v="1"/>
    <s v="M-ONE Sanitar Silikon"/>
    <n v="24"/>
    <x v="0"/>
    <n v="0.17"/>
  </r>
  <r>
    <s v="FATMIRI"/>
    <x v="24"/>
    <m/>
    <m/>
    <m/>
    <x v="124"/>
    <s v="FATMIRI"/>
    <x v="4"/>
    <s v="M-ONE Sanitar Silikon"/>
    <n v="12"/>
    <x v="0"/>
    <n v="0.17"/>
  </r>
  <r>
    <s v="TEMAJ"/>
    <x v="24"/>
    <n v="92.4"/>
    <m/>
    <m/>
    <x v="91"/>
    <s v="TEMAJ"/>
    <x v="0"/>
    <s v="M-ONE Sanitar Silikon"/>
    <n v="12"/>
    <x v="2"/>
    <n v="0.17"/>
  </r>
  <r>
    <s v="TEMAJ"/>
    <x v="24"/>
    <m/>
    <m/>
    <m/>
    <x v="91"/>
    <s v="TEMAJ"/>
    <x v="5"/>
    <s v="M-ONE Sanitar Silikon"/>
    <n v="12"/>
    <x v="2"/>
    <n v="0.17"/>
  </r>
  <r>
    <s v="HAZROLLI"/>
    <x v="24"/>
    <n v="92.4"/>
    <m/>
    <m/>
    <x v="9"/>
    <s v="HAZROLLI"/>
    <x v="18"/>
    <s v="M-ONE Sanitar Silikon"/>
    <n v="24"/>
    <x v="1"/>
    <n v="0.17"/>
  </r>
  <r>
    <s v="DURGUTI 3"/>
    <x v="24"/>
    <n v="120"/>
    <m/>
    <m/>
    <x v="12"/>
    <s v="DURGUTI 3"/>
    <x v="0"/>
    <s v="M-ONE Sanitar Silikon"/>
    <n v="12"/>
    <x v="1"/>
    <n v="0.17"/>
  </r>
  <r>
    <s v="DURGUTI 3"/>
    <x v="24"/>
    <m/>
    <m/>
    <m/>
    <x v="12"/>
    <s v="DURGUTI 3"/>
    <x v="5"/>
    <s v="M-ONE Sanitar Silikon"/>
    <n v="12"/>
    <x v="1"/>
    <n v="0.17"/>
  </r>
  <r>
    <s v="DURGUTI 3"/>
    <x v="24"/>
    <m/>
    <m/>
    <m/>
    <x v="12"/>
    <s v="DURGUTI 3"/>
    <x v="8"/>
    <s v="struktural akryl"/>
    <n v="12"/>
    <x v="1"/>
    <n v="0.06"/>
  </r>
  <r>
    <s v="CONDOR"/>
    <x v="24"/>
    <n v="205.8"/>
    <m/>
    <m/>
    <x v="11"/>
    <s v="CONDOR"/>
    <x v="5"/>
    <s v="M-ONE Sanitar Silikon"/>
    <n v="12"/>
    <x v="1"/>
    <n v="0.17"/>
  </r>
  <r>
    <s v="CONDOR"/>
    <x v="24"/>
    <m/>
    <m/>
    <m/>
    <x v="11"/>
    <s v="CONDOR"/>
    <x v="20"/>
    <s v="M-ONE Sanitar Silikon"/>
    <n v="12"/>
    <x v="1"/>
    <n v="0.17"/>
  </r>
  <r>
    <s v="CONDOR"/>
    <x v="24"/>
    <m/>
    <m/>
    <m/>
    <x v="11"/>
    <s v="CONDOR"/>
    <x v="9"/>
    <s v="M-ONE Sanitar Silikon"/>
    <n v="12"/>
    <x v="1"/>
    <n v="0.17"/>
  </r>
  <r>
    <s v="CONDOR"/>
    <x v="24"/>
    <m/>
    <m/>
    <m/>
    <x v="11"/>
    <s v="CONDOR"/>
    <x v="8"/>
    <s v="struktural akryl"/>
    <n v="24"/>
    <x v="1"/>
    <n v="0.06"/>
  </r>
  <r>
    <s v="CONDOR"/>
    <x v="24"/>
    <m/>
    <m/>
    <m/>
    <x v="11"/>
    <s v="CONDOR"/>
    <x v="12"/>
    <s v="beMAKER Rostlöser"/>
    <n v="6"/>
    <x v="1"/>
    <n v="0.2"/>
  </r>
  <r>
    <s v="AGRO-FARM"/>
    <x v="24"/>
    <n v="116.4"/>
    <m/>
    <m/>
    <x v="14"/>
    <s v="AGRO-FARM"/>
    <x v="0"/>
    <s v="M-ONE Sanitar Silikon"/>
    <n v="12"/>
    <x v="1"/>
    <n v="0.17"/>
  </r>
  <r>
    <s v="AGRO-FARM"/>
    <x v="24"/>
    <m/>
    <m/>
    <m/>
    <x v="14"/>
    <s v="AGRO-FARM"/>
    <x v="5"/>
    <s v="M-ONE Sanitar Silikon"/>
    <n v="12"/>
    <x v="1"/>
    <n v="0.17"/>
  </r>
  <r>
    <s v="AGRO-FARM"/>
    <x v="24"/>
    <m/>
    <m/>
    <m/>
    <x v="14"/>
    <s v="AGRO-FARM"/>
    <x v="11"/>
    <s v="M ONE BLACK"/>
    <n v="60"/>
    <x v="1"/>
    <n v="0.05"/>
  </r>
  <r>
    <s v="SHEHU-A"/>
    <x v="24"/>
    <n v="98.4"/>
    <m/>
    <m/>
    <x v="17"/>
    <s v="SHEHU-A"/>
    <x v="7"/>
    <s v="DICHTUNG"/>
    <n v="12"/>
    <x v="1"/>
    <n v="0.2"/>
  </r>
  <r>
    <s v="SHEHU-A"/>
    <x v="24"/>
    <m/>
    <m/>
    <m/>
    <x v="17"/>
    <s v="SHEHU-A"/>
    <x v="12"/>
    <s v="beMAKER Rostlöser"/>
    <n v="6"/>
    <x v="1"/>
    <n v="0.2"/>
  </r>
  <r>
    <s v="SOPAJ"/>
    <x v="24"/>
    <n v="84.6"/>
    <m/>
    <m/>
    <x v="99"/>
    <s v="SOPAJ"/>
    <x v="10"/>
    <s v="PROFIMONT EXTREME"/>
    <n v="12"/>
    <x v="1"/>
    <n v="0.2"/>
  </r>
  <r>
    <s v="SOPAJ"/>
    <x v="24"/>
    <m/>
    <m/>
    <m/>
    <x v="99"/>
    <s v="SOPAJ"/>
    <x v="22"/>
    <s v="universal akryl"/>
    <n v="12"/>
    <x v="1"/>
    <n v="0.06"/>
  </r>
  <r>
    <s v="GASHI"/>
    <x v="24"/>
    <n v="91.2"/>
    <m/>
    <m/>
    <x v="136"/>
    <s v="GASHI"/>
    <x v="0"/>
    <s v="M-ONE Sanitar Silikon"/>
    <n v="12"/>
    <x v="1"/>
    <n v="0.17"/>
  </r>
  <r>
    <s v="GASHI"/>
    <x v="24"/>
    <m/>
    <m/>
    <m/>
    <x v="136"/>
    <s v="GASHI"/>
    <x v="22"/>
    <s v="universal akryl"/>
    <n v="36"/>
    <x v="1"/>
    <n v="0.06"/>
  </r>
  <r>
    <s v="ENISI - H"/>
    <x v="25"/>
    <n v="92.4"/>
    <m/>
    <m/>
    <x v="20"/>
    <s v="ENISI - H"/>
    <x v="5"/>
    <s v="M-ONE Sanitar Silikon"/>
    <n v="12"/>
    <x v="0"/>
    <n v="0.17"/>
  </r>
  <r>
    <s v="ENISI - H"/>
    <x v="25"/>
    <m/>
    <m/>
    <m/>
    <x v="20"/>
    <s v="ENISI - H"/>
    <x v="15"/>
    <s v="M-ONE Sanitar Silikon"/>
    <n v="12"/>
    <x v="0"/>
    <n v="0.17"/>
  </r>
  <r>
    <s v="GRANITI"/>
    <x v="25"/>
    <n v="46.2"/>
    <m/>
    <m/>
    <x v="80"/>
    <s v="GRANITI"/>
    <x v="4"/>
    <s v="M-ONE Sanitar Silikon"/>
    <n v="12"/>
    <x v="0"/>
    <n v="0.17"/>
  </r>
  <r>
    <s v="UNIVERZAL"/>
    <x v="25"/>
    <n v="102.4"/>
    <m/>
    <m/>
    <x v="18"/>
    <s v="UNIVERZAL"/>
    <x v="0"/>
    <s v="M-ONE Sanitar Silikon"/>
    <n v="12"/>
    <x v="0"/>
    <n v="0.17"/>
  </r>
  <r>
    <s v="UNIVERZAL"/>
    <x v="25"/>
    <m/>
    <m/>
    <m/>
    <x v="18"/>
    <s v="UNIVERZAL"/>
    <x v="20"/>
    <s v="M-ONE Sanitar Silikon"/>
    <n v="12"/>
    <x v="0"/>
    <n v="0.17"/>
  </r>
  <r>
    <s v="UNIVERZAL"/>
    <x v="25"/>
    <m/>
    <m/>
    <m/>
    <x v="18"/>
    <s v="UNIVERZAL"/>
    <x v="14"/>
    <s v="beMAKER Bremsen&amp;Teile Reininger"/>
    <n v="5"/>
    <x v="0"/>
    <n v="0.2"/>
  </r>
  <r>
    <s v="NDRIQIMI"/>
    <x v="25"/>
    <n v="138.6"/>
    <m/>
    <m/>
    <x v="79"/>
    <s v="NDRIQIMI"/>
    <x v="9"/>
    <s v="M-ONE Sanitar Silikon"/>
    <n v="12"/>
    <x v="0"/>
    <n v="0.17"/>
  </r>
  <r>
    <s v="NDRIQIMI"/>
    <x v="25"/>
    <m/>
    <m/>
    <m/>
    <x v="79"/>
    <s v="NDRIQIMI"/>
    <x v="18"/>
    <s v="M-ONE Sanitar Silikon"/>
    <n v="12"/>
    <x v="0"/>
    <n v="0.17"/>
  </r>
  <r>
    <s v="NDRIQIMI"/>
    <x v="25"/>
    <m/>
    <m/>
    <m/>
    <x v="79"/>
    <s v="NDRIQIMI"/>
    <x v="20"/>
    <s v="M-ONE Sanitar Silikon"/>
    <n v="12"/>
    <x v="0"/>
    <n v="0.17"/>
  </r>
  <r>
    <s v="YLLI CONSTRUCION"/>
    <x v="26"/>
    <n v="96"/>
    <m/>
    <m/>
    <x v="128"/>
    <s v="YLLI CONSTRUCION"/>
    <x v="20"/>
    <s v="M-ONE Sanitar Silikon"/>
    <n v="17"/>
    <x v="2"/>
    <n v="0.17"/>
  </r>
  <r>
    <s v="YLLI CONSTRUCION"/>
    <x v="26"/>
    <m/>
    <m/>
    <m/>
    <x v="128"/>
    <s v="YLLI CONSTRUCION"/>
    <x v="4"/>
    <s v="M-ONE Sanitar Silikon"/>
    <n v="5"/>
    <x v="2"/>
    <n v="0.17"/>
  </r>
  <r>
    <s v="YLLI CONSTRUCION"/>
    <x v="26"/>
    <m/>
    <m/>
    <m/>
    <x v="128"/>
    <s v="YLLI CONSTRUCION"/>
    <x v="18"/>
    <s v="M-ONE Sanitar Silikon"/>
    <n v="2"/>
    <x v="2"/>
    <n v="0.17"/>
  </r>
  <r>
    <s v="ARBENI BIOBLIC"/>
    <x v="26"/>
    <n v="227.5"/>
    <m/>
    <m/>
    <x v="71"/>
    <s v="ARBENI BIOBLIC"/>
    <x v="28"/>
    <s v="BioBlic Universalreiniger"/>
    <n v="130"/>
    <x v="2"/>
    <n v="0.30000000000000004"/>
  </r>
  <r>
    <s v="ARBENI BIOBLIC"/>
    <x v="26"/>
    <m/>
    <m/>
    <m/>
    <x v="71"/>
    <s v="ARBENI BIOBLIC"/>
    <x v="29"/>
    <s v="Blic Blic Sanitärreiniger"/>
    <n v="40"/>
    <x v="2"/>
    <n v="0.30000000000000004"/>
  </r>
  <r>
    <s v="ARBENI BIOBLIC"/>
    <x v="26"/>
    <m/>
    <m/>
    <m/>
    <x v="71"/>
    <s v="ARBENI BIOBLIC"/>
    <x v="24"/>
    <s v="M ONE SILIKON SPRAY"/>
    <n v="4"/>
    <x v="2"/>
    <n v="0.2"/>
  </r>
  <r>
    <s v="ARBERI"/>
    <x v="26"/>
    <n v="46.2"/>
    <m/>
    <m/>
    <x v="102"/>
    <s v="ARBERI"/>
    <x v="9"/>
    <s v="M-ONE Sanitar Silikon"/>
    <n v="12"/>
    <x v="0"/>
    <n v="0.17"/>
  </r>
  <r>
    <s v="CARRALEVA 1"/>
    <x v="26"/>
    <n v="92.4"/>
    <m/>
    <m/>
    <x v="25"/>
    <s v="CARRALEVA 1"/>
    <x v="1"/>
    <s v="M-ONE Sanitar Silikon"/>
    <n v="12"/>
    <x v="0"/>
    <n v="0.17"/>
  </r>
  <r>
    <s v="CARRALEVA 1"/>
    <x v="26"/>
    <m/>
    <m/>
    <m/>
    <x v="25"/>
    <s v="CARRALEVA 1"/>
    <x v="9"/>
    <s v="M-ONE Sanitar Silikon"/>
    <n v="12"/>
    <x v="0"/>
    <n v="0.17"/>
  </r>
  <r>
    <s v="LONI"/>
    <x v="26"/>
    <n v="53.2"/>
    <m/>
    <m/>
    <x v="24"/>
    <s v="LONI"/>
    <x v="7"/>
    <s v="DICHTUNG"/>
    <n v="6"/>
    <x v="0"/>
    <n v="0.2"/>
  </r>
  <r>
    <s v="LONI"/>
    <x v="26"/>
    <m/>
    <m/>
    <m/>
    <x v="24"/>
    <s v="LONI"/>
    <x v="12"/>
    <s v="beMAKER Rostlöser"/>
    <n v="5"/>
    <x v="0"/>
    <n v="0.2"/>
  </r>
  <r>
    <s v="REAL COLOR 2"/>
    <x v="26"/>
    <n v="231"/>
    <m/>
    <m/>
    <x v="26"/>
    <s v="REAL COLOR 2"/>
    <x v="0"/>
    <s v="M-ONE Sanitar Silikon"/>
    <n v="12"/>
    <x v="0"/>
    <n v="0.17"/>
  </r>
  <r>
    <s v="REAL COLOR 2"/>
    <x v="26"/>
    <m/>
    <m/>
    <m/>
    <x v="26"/>
    <s v="REAL COLOR 2"/>
    <x v="5"/>
    <s v="M-ONE Sanitar Silikon"/>
    <n v="12"/>
    <x v="0"/>
    <n v="0.17"/>
  </r>
  <r>
    <s v="REAL COLOR 2"/>
    <x v="26"/>
    <m/>
    <m/>
    <m/>
    <x v="26"/>
    <s v="REAL COLOR 2"/>
    <x v="18"/>
    <s v="M-ONE Sanitar Silikon"/>
    <n v="12"/>
    <x v="0"/>
    <n v="0.17"/>
  </r>
  <r>
    <s v="REAL COLOR 2"/>
    <x v="26"/>
    <m/>
    <m/>
    <m/>
    <x v="26"/>
    <s v="REAL COLOR 2"/>
    <x v="9"/>
    <s v="M-ONE Sanitar Silikon"/>
    <n v="12"/>
    <x v="0"/>
    <n v="0.17"/>
  </r>
  <r>
    <s v="REAL COLOR 2"/>
    <x v="26"/>
    <m/>
    <m/>
    <m/>
    <x v="26"/>
    <s v="REAL COLOR 2"/>
    <x v="4"/>
    <s v="M-ONE Sanitar Silikon"/>
    <n v="12"/>
    <x v="0"/>
    <n v="0.17"/>
  </r>
  <r>
    <s v="PROCOM"/>
    <x v="26"/>
    <n v="92.4"/>
    <m/>
    <m/>
    <x v="137"/>
    <s v="PROCOM"/>
    <x v="5"/>
    <s v="M-ONE Sanitar Silikon"/>
    <n v="12"/>
    <x v="0"/>
    <n v="0.17"/>
  </r>
  <r>
    <s v="PROCOM"/>
    <x v="26"/>
    <m/>
    <m/>
    <m/>
    <x v="137"/>
    <s v="PROCOM"/>
    <x v="18"/>
    <s v="M-ONE Sanitar Silikon"/>
    <n v="12"/>
    <x v="0"/>
    <n v="0.17"/>
  </r>
  <r>
    <s v="RACI"/>
    <x v="26"/>
    <n v="162"/>
    <m/>
    <m/>
    <x v="28"/>
    <s v="RACI"/>
    <x v="10"/>
    <s v="PROFIMONT EXTREME"/>
    <n v="12"/>
    <x v="1"/>
    <n v="0.2"/>
  </r>
  <r>
    <s v="RACI"/>
    <x v="26"/>
    <m/>
    <m/>
    <m/>
    <x v="28"/>
    <s v="RACI"/>
    <x v="0"/>
    <s v="M-ONE Sanitar Silikon"/>
    <n v="12"/>
    <x v="1"/>
    <n v="0.17"/>
  </r>
  <r>
    <s v="RACI"/>
    <x v="26"/>
    <m/>
    <m/>
    <m/>
    <x v="28"/>
    <s v="RACI"/>
    <x v="20"/>
    <s v="M-ONE Sanitar Silikon"/>
    <n v="12"/>
    <x v="1"/>
    <n v="0.17"/>
  </r>
  <r>
    <s v="LIRIDONA KLINE"/>
    <x v="26"/>
    <n v="122.4"/>
    <m/>
    <m/>
    <x v="30"/>
    <s v="LIRIDONA KLINE"/>
    <x v="5"/>
    <s v="M-ONE Sanitar Silikon"/>
    <n v="12"/>
    <x v="1"/>
    <n v="0.17"/>
  </r>
  <r>
    <s v="LIRIDONA KLINE"/>
    <x v="26"/>
    <m/>
    <m/>
    <m/>
    <x v="30"/>
    <s v="LIRIDONA KLINE"/>
    <x v="18"/>
    <s v="M-ONE Sanitar Silikon"/>
    <n v="12"/>
    <x v="1"/>
    <n v="0.17"/>
  </r>
  <r>
    <s v="LIRIDONA KLINE"/>
    <x v="26"/>
    <m/>
    <m/>
    <m/>
    <x v="30"/>
    <s v="LIRIDONA KLINE"/>
    <x v="22"/>
    <s v="universal akryl"/>
    <n v="24"/>
    <x v="1"/>
    <n v="0.06"/>
  </r>
  <r>
    <s v="HOXHA"/>
    <x v="26"/>
    <n v="46.2"/>
    <m/>
    <m/>
    <x v="29"/>
    <s v="HOXHA"/>
    <x v="0"/>
    <s v="M-ONE Sanitar Silikon"/>
    <n v="12"/>
    <x v="1"/>
    <n v="0.17"/>
  </r>
  <r>
    <s v="LIRIDONA-A"/>
    <x v="26"/>
    <n v="46.2"/>
    <m/>
    <m/>
    <x v="105"/>
    <s v="LIRIDONA-A"/>
    <x v="18"/>
    <s v="M-ONE Sanitar Silikon"/>
    <n v="12"/>
    <x v="1"/>
    <n v="0.17"/>
  </r>
  <r>
    <s v="A.P. HOTI"/>
    <x v="26"/>
    <n v="41"/>
    <m/>
    <m/>
    <x v="138"/>
    <s v="A.P. HOTI"/>
    <x v="17"/>
    <s v="M ONE UBS"/>
    <n v="5"/>
    <x v="1"/>
    <n v="0.2"/>
  </r>
  <r>
    <s v="A.P. HOTI"/>
    <x v="26"/>
    <m/>
    <m/>
    <m/>
    <x v="138"/>
    <s v="A.P. HOTI"/>
    <x v="16"/>
    <s v="Fettspray"/>
    <n v="4"/>
    <x v="1"/>
    <n v="0.2"/>
  </r>
  <r>
    <s v="A.P. HOTI"/>
    <x v="26"/>
    <m/>
    <m/>
    <m/>
    <x v="138"/>
    <s v="A.P. HOTI"/>
    <x v="13"/>
    <s v="M ONE MOTORSTART"/>
    <n v="2"/>
    <x v="1"/>
    <n v="0.2"/>
  </r>
  <r>
    <s v="TE BENI"/>
    <x v="26"/>
    <n v="138.6"/>
    <m/>
    <m/>
    <x v="107"/>
    <s v="TE BENI"/>
    <x v="5"/>
    <s v="M-ONE Sanitar Silikon"/>
    <n v="12"/>
    <x v="1"/>
    <n v="0.17"/>
  </r>
  <r>
    <s v="TE BENI"/>
    <x v="26"/>
    <m/>
    <m/>
    <m/>
    <x v="107"/>
    <s v="TE BENI"/>
    <x v="1"/>
    <s v="M-ONE Sanitar Silikon"/>
    <n v="24"/>
    <x v="1"/>
    <n v="0.17"/>
  </r>
  <r>
    <s v="MEGI"/>
    <x v="26"/>
    <n v="124.9"/>
    <m/>
    <m/>
    <x v="33"/>
    <s v="MEGI"/>
    <x v="7"/>
    <s v="DICHTUNG"/>
    <n v="12"/>
    <x v="1"/>
    <n v="0.2"/>
  </r>
  <r>
    <s v="MEGI"/>
    <x v="26"/>
    <m/>
    <m/>
    <m/>
    <x v="33"/>
    <s v="MEGI"/>
    <x v="13"/>
    <s v="M ONE MOTORSTART"/>
    <n v="11"/>
    <x v="1"/>
    <n v="0.2"/>
  </r>
  <r>
    <s v="TE ZENA"/>
    <x v="27"/>
    <n v="46.2"/>
    <m/>
    <m/>
    <x v="84"/>
    <s v="TE ZENA"/>
    <x v="6"/>
    <s v="M-ONE Sanitar Silikon"/>
    <n v="12"/>
    <x v="0"/>
    <n v="0.17"/>
  </r>
  <r>
    <s v="KUJTA"/>
    <x v="27"/>
    <n v="128.4"/>
    <m/>
    <m/>
    <x v="36"/>
    <s v="KUJTA"/>
    <x v="4"/>
    <s v="M-ONE Sanitar Silikon"/>
    <n v="12"/>
    <x v="0"/>
    <n v="0.17"/>
  </r>
  <r>
    <s v="KUJTA"/>
    <x v="27"/>
    <m/>
    <m/>
    <m/>
    <x v="36"/>
    <s v="KUJTA"/>
    <x v="9"/>
    <s v="M-ONE Sanitar Silikon"/>
    <n v="12"/>
    <x v="0"/>
    <n v="0.17"/>
  </r>
  <r>
    <s v="KUJTA"/>
    <x v="27"/>
    <m/>
    <m/>
    <m/>
    <x v="36"/>
    <s v="KUJTA"/>
    <x v="7"/>
    <s v="DICHTUNG"/>
    <n v="5"/>
    <x v="0"/>
    <n v="0.2"/>
  </r>
  <r>
    <s v="ALBANI"/>
    <x v="27"/>
    <n v="35"/>
    <m/>
    <m/>
    <x v="111"/>
    <e v="#N/A"/>
    <x v="13"/>
    <s v="M ONE MOTORSTART"/>
    <n v="5"/>
    <x v="0"/>
    <n v="0.2"/>
  </r>
  <r>
    <s v="ALBANI"/>
    <x v="27"/>
    <m/>
    <m/>
    <m/>
    <x v="111"/>
    <e v="#N/A"/>
    <x v="16"/>
    <s v="Fettspray"/>
    <n v="5"/>
    <x v="0"/>
    <n v="0.2"/>
  </r>
  <r>
    <s v="ALBANI"/>
    <x v="27"/>
    <m/>
    <m/>
    <m/>
    <x v="34"/>
    <e v="#N/A"/>
    <x v="2"/>
    <s v="M-ONE Sanitar Silikon"/>
    <n v="12"/>
    <x v="0"/>
    <n v="0.17"/>
  </r>
  <r>
    <s v="ALBANI"/>
    <x v="27"/>
    <m/>
    <m/>
    <m/>
    <x v="34"/>
    <e v="#N/A"/>
    <x v="1"/>
    <s v="M-ONE Sanitar Silikon"/>
    <n v="12"/>
    <x v="0"/>
    <n v="0.17"/>
  </r>
  <r>
    <s v="AGROLONDI"/>
    <x v="27"/>
    <n v="138.6"/>
    <m/>
    <m/>
    <x v="39"/>
    <s v="AGROLONDI"/>
    <x v="1"/>
    <s v="M-ONE Sanitar Silikon"/>
    <n v="24"/>
    <x v="1"/>
    <n v="0.17"/>
  </r>
  <r>
    <s v="AGROLONDI"/>
    <x v="27"/>
    <m/>
    <m/>
    <m/>
    <x v="39"/>
    <s v="AGROLONDI"/>
    <x v="0"/>
    <s v="M-ONE Sanitar Silikon"/>
    <n v="12"/>
    <x v="1"/>
    <n v="0.17"/>
  </r>
  <r>
    <s v="ILIRI QERAMIKA"/>
    <x v="27"/>
    <n v="153.6"/>
    <m/>
    <m/>
    <x v="41"/>
    <s v="ILIRI QERAMIKA"/>
    <x v="4"/>
    <s v="M-ONE Sanitar Silikon"/>
    <n v="12"/>
    <x v="1"/>
    <n v="0.17"/>
  </r>
  <r>
    <s v="ILIRI QERAMIKA"/>
    <x v="27"/>
    <m/>
    <m/>
    <m/>
    <x v="41"/>
    <s v="ILIRI QERAMIKA"/>
    <x v="0"/>
    <s v="M-ONE Sanitar Silikon"/>
    <n v="12"/>
    <x v="1"/>
    <n v="0.17"/>
  </r>
  <r>
    <s v="ILIRI QERAMIKA"/>
    <x v="27"/>
    <m/>
    <m/>
    <m/>
    <x v="41"/>
    <s v="ILIRI QERAMIKA"/>
    <x v="1"/>
    <s v="M-ONE Sanitar Silikon"/>
    <n v="12"/>
    <x v="1"/>
    <n v="0.17"/>
  </r>
  <r>
    <s v="ILIRI QERAMIKA"/>
    <x v="27"/>
    <m/>
    <m/>
    <m/>
    <x v="41"/>
    <s v="ILIRI QERAMIKA"/>
    <x v="22"/>
    <s v="universal akryl"/>
    <n v="12"/>
    <x v="1"/>
    <n v="0.06"/>
  </r>
  <r>
    <s v="UNIKA"/>
    <x v="27"/>
    <n v="100.4"/>
    <m/>
    <m/>
    <x v="43"/>
    <s v="UNIKA"/>
    <x v="18"/>
    <s v="M-ONE Sanitar Silikon"/>
    <n v="12"/>
    <x v="1"/>
    <n v="0.17"/>
  </r>
  <r>
    <s v="UNIKA"/>
    <x v="27"/>
    <m/>
    <m/>
    <m/>
    <x v="43"/>
    <s v="UNIKA"/>
    <x v="1"/>
    <s v="M-ONE Sanitar Silikon"/>
    <n v="12"/>
    <x v="1"/>
    <n v="0.17"/>
  </r>
  <r>
    <s v="UNIKA"/>
    <x v="27"/>
    <m/>
    <m/>
    <m/>
    <x v="43"/>
    <s v="UNIKA"/>
    <x v="17"/>
    <s v="M ONE UBS"/>
    <n v="2"/>
    <x v="1"/>
    <n v="0.2"/>
  </r>
  <r>
    <s v="LONI"/>
    <x v="27"/>
    <n v="153.6"/>
    <m/>
    <m/>
    <x v="46"/>
    <s v="LONI"/>
    <x v="0"/>
    <s v="M-ONE Sanitar Silikon"/>
    <n v="12"/>
    <x v="1"/>
    <n v="0.17"/>
  </r>
  <r>
    <s v="LONI"/>
    <x v="27"/>
    <m/>
    <m/>
    <m/>
    <x v="46"/>
    <s v="LONI"/>
    <x v="20"/>
    <s v="M-ONE Sanitar Silikon"/>
    <n v="12"/>
    <x v="1"/>
    <n v="0.17"/>
  </r>
  <r>
    <s v="LONI"/>
    <x v="27"/>
    <m/>
    <m/>
    <m/>
    <x v="46"/>
    <s v="LONI"/>
    <x v="1"/>
    <s v="M-ONE Sanitar Silikon"/>
    <n v="12"/>
    <x v="1"/>
    <n v="0.17"/>
  </r>
  <r>
    <s v="LONI"/>
    <x v="27"/>
    <m/>
    <m/>
    <m/>
    <x v="46"/>
    <s v="LONI"/>
    <x v="22"/>
    <s v="universal akryl"/>
    <n v="12"/>
    <x v="1"/>
    <n v="0.06"/>
  </r>
  <r>
    <s v="F.V. SH.P.K. "/>
    <x v="27"/>
    <n v="138.6"/>
    <m/>
    <m/>
    <x v="45"/>
    <s v="F.V. SH.P.K. "/>
    <x v="4"/>
    <s v="M-ONE Sanitar Silikon"/>
    <n v="12"/>
    <x v="1"/>
    <n v="0.17"/>
  </r>
  <r>
    <s v="F.V. SH.P.K. "/>
    <x v="27"/>
    <m/>
    <m/>
    <m/>
    <x v="45"/>
    <s v="F.V. SH.P.K. "/>
    <x v="6"/>
    <s v="M-ONE Sanitar Silikon"/>
    <n v="12"/>
    <x v="1"/>
    <n v="0.17"/>
  </r>
  <r>
    <s v="F.V. SH.P.K. "/>
    <x v="27"/>
    <m/>
    <m/>
    <m/>
    <x v="45"/>
    <s v="F.V. SH.P.K. "/>
    <x v="1"/>
    <s v="M-ONE Sanitar Silikon"/>
    <n v="12"/>
    <x v="1"/>
    <n v="0.17"/>
  </r>
  <r>
    <s v="AGRO-XHETI"/>
    <x v="27"/>
    <n v="462"/>
    <m/>
    <m/>
    <x v="114"/>
    <s v="AGRO-XHETI"/>
    <x v="2"/>
    <s v="M-ONE Sanitar Silikon"/>
    <n v="12"/>
    <x v="1"/>
    <n v="0.17"/>
  </r>
  <r>
    <s v="AGRO-XHETI"/>
    <x v="27"/>
    <m/>
    <m/>
    <m/>
    <x v="114"/>
    <s v="AGRO-XHETI"/>
    <x v="0"/>
    <s v="M-ONE Sanitar Silikon"/>
    <n v="24"/>
    <x v="1"/>
    <n v="0.17"/>
  </r>
  <r>
    <s v="AGRO-XHETI"/>
    <x v="27"/>
    <m/>
    <m/>
    <m/>
    <x v="114"/>
    <s v="AGRO-XHETI"/>
    <x v="5"/>
    <s v="M-ONE Sanitar Silikon"/>
    <n v="24"/>
    <x v="1"/>
    <n v="0.17"/>
  </r>
  <r>
    <s v="AGRO-XHETI"/>
    <x v="27"/>
    <m/>
    <m/>
    <m/>
    <x v="114"/>
    <s v="AGRO-XHETI"/>
    <x v="9"/>
    <s v="M-ONE Sanitar Silikon"/>
    <n v="24"/>
    <x v="1"/>
    <n v="0.17"/>
  </r>
  <r>
    <s v="AGRO-XHETI"/>
    <x v="27"/>
    <m/>
    <m/>
    <m/>
    <x v="114"/>
    <s v="AGRO-XHETI"/>
    <x v="6"/>
    <s v="M-ONE Sanitar Silikon"/>
    <n v="12"/>
    <x v="1"/>
    <n v="0.17"/>
  </r>
  <r>
    <s v="AGRO-XHETI"/>
    <x v="27"/>
    <m/>
    <m/>
    <m/>
    <x v="114"/>
    <s v="AGRO-XHETI"/>
    <x v="20"/>
    <s v="M-ONE Sanitar Silikon"/>
    <n v="12"/>
    <x v="1"/>
    <n v="0.17"/>
  </r>
  <r>
    <s v="AGRO-XHETI"/>
    <x v="27"/>
    <m/>
    <m/>
    <m/>
    <x v="114"/>
    <s v="AGRO-XHETI"/>
    <x v="25"/>
    <s v="M-ONE Sanitar Silikon"/>
    <n v="12"/>
    <x v="1"/>
    <n v="0.17"/>
  </r>
  <r>
    <s v="GLOBAL TOOLS"/>
    <x v="27"/>
    <n v="138.6"/>
    <m/>
    <m/>
    <x v="139"/>
    <s v="GLOBAL TOOLS"/>
    <x v="2"/>
    <s v="M-ONE Sanitar Silikon"/>
    <n v="24"/>
    <x v="1"/>
    <n v="0.17"/>
  </r>
  <r>
    <s v="GLOBAL TOOLS"/>
    <x v="27"/>
    <m/>
    <m/>
    <m/>
    <x v="139"/>
    <s v="GLOBAL TOOLS"/>
    <x v="20"/>
    <s v="M-ONE Sanitar Silikon"/>
    <n v="12"/>
    <x v="1"/>
    <n v="0.17"/>
  </r>
  <r>
    <s v="HIDRO DANI"/>
    <x v="27"/>
    <n v="144"/>
    <m/>
    <m/>
    <x v="113"/>
    <s v="HIDRO DANI"/>
    <x v="4"/>
    <s v="M-ONE Sanitar Silikon"/>
    <n v="12"/>
    <x v="1"/>
    <n v="0.17"/>
  </r>
  <r>
    <s v="HIDRO DANI"/>
    <x v="27"/>
    <m/>
    <m/>
    <m/>
    <x v="113"/>
    <s v="HIDRO DANI"/>
    <x v="5"/>
    <s v="M-ONE Sanitar Silikon"/>
    <n v="12"/>
    <x v="1"/>
    <n v="0.17"/>
  </r>
  <r>
    <s v="HIDRO DANI"/>
    <x v="27"/>
    <m/>
    <m/>
    <m/>
    <x v="113"/>
    <s v="HIDRO DANI"/>
    <x v="8"/>
    <s v="struktural akryl"/>
    <n v="12"/>
    <x v="1"/>
    <n v="0.06"/>
  </r>
  <r>
    <s v="HIDRO DANI"/>
    <x v="27"/>
    <m/>
    <m/>
    <m/>
    <x v="113"/>
    <s v="HIDRO DANI"/>
    <x v="12"/>
    <s v="beMAKER Rostlöser"/>
    <n v="12"/>
    <x v="1"/>
    <n v="0.2"/>
  </r>
  <r>
    <s v="PROMOIN"/>
    <x v="27"/>
    <n v="138.6"/>
    <m/>
    <m/>
    <x v="117"/>
    <s v="PROMOIN"/>
    <x v="4"/>
    <s v="M-ONE Sanitar Silikon"/>
    <n v="12"/>
    <x v="1"/>
    <n v="0.17"/>
  </r>
  <r>
    <s v="PROMOIN"/>
    <x v="27"/>
    <m/>
    <m/>
    <m/>
    <x v="117"/>
    <s v="PROMOIN"/>
    <x v="18"/>
    <s v="M-ONE Sanitar Silikon"/>
    <n v="12"/>
    <x v="1"/>
    <n v="0.17"/>
  </r>
  <r>
    <s v="PROMOIN"/>
    <x v="27"/>
    <m/>
    <m/>
    <m/>
    <x v="117"/>
    <s v="PROMOIN"/>
    <x v="9"/>
    <s v="M-ONE Sanitar Silikon"/>
    <n v="12"/>
    <x v="1"/>
    <n v="0.17"/>
  </r>
  <r>
    <s v="TONI COLORS"/>
    <x v="28"/>
    <n v="46.2"/>
    <m/>
    <m/>
    <x v="140"/>
    <s v="TONI COLORS"/>
    <x v="4"/>
    <s v="M-ONE Sanitar Silikon"/>
    <n v="12"/>
    <x v="0"/>
    <n v="0.17"/>
  </r>
  <r>
    <s v="QELA"/>
    <x v="28"/>
    <n v="48.8"/>
    <m/>
    <m/>
    <x v="50"/>
    <s v="QELA"/>
    <x v="14"/>
    <s v="beMAKER Bremsen&amp;Teile Reininger"/>
    <n v="6"/>
    <x v="0"/>
    <n v="0.2"/>
  </r>
  <r>
    <s v="QELA"/>
    <x v="28"/>
    <m/>
    <m/>
    <m/>
    <x v="50"/>
    <s v="QELA"/>
    <x v="7"/>
    <s v="DICHTUNG"/>
    <n v="4"/>
    <x v="0"/>
    <n v="0.2"/>
  </r>
  <r>
    <s v="QELA"/>
    <x v="28"/>
    <m/>
    <m/>
    <m/>
    <x v="50"/>
    <s v="QELA"/>
    <x v="12"/>
    <s v="beMAKER Rostlöser"/>
    <n v="4"/>
    <x v="0"/>
    <n v="0.2"/>
  </r>
  <r>
    <s v="KADIJOLLET"/>
    <x v="28"/>
    <n v="138.4"/>
    <m/>
    <m/>
    <x v="49"/>
    <s v="KADIJOLLET"/>
    <x v="15"/>
    <s v="M-ONE Sanitar Silikon"/>
    <n v="12"/>
    <x v="0"/>
    <n v="0.17"/>
  </r>
  <r>
    <s v="KADIJOLLET"/>
    <x v="28"/>
    <m/>
    <m/>
    <m/>
    <x v="49"/>
    <s v="KADIJOLLET"/>
    <x v="4"/>
    <s v="M-ONE Sanitar Silikon"/>
    <n v="12"/>
    <x v="0"/>
    <n v="0.17"/>
  </r>
  <r>
    <s v="KADIJOLLET"/>
    <x v="28"/>
    <m/>
    <m/>
    <m/>
    <x v="49"/>
    <s v="KADIJOLLET"/>
    <x v="7"/>
    <s v="DICHTUNG"/>
    <n v="5"/>
    <x v="0"/>
    <n v="0.2"/>
  </r>
  <r>
    <s v="KADIJOLLET"/>
    <x v="28"/>
    <m/>
    <m/>
    <m/>
    <x v="49"/>
    <s v="KADIJOLLET"/>
    <x v="23"/>
    <s v="M ONE HAFTGRUND"/>
    <n v="5"/>
    <x v="0"/>
    <n v="0.15"/>
  </r>
  <r>
    <s v="JETARI"/>
    <x v="28"/>
    <n v="92.4"/>
    <m/>
    <m/>
    <x v="87"/>
    <s v="JETARI"/>
    <x v="0"/>
    <s v="M-ONE Sanitar Silikon"/>
    <n v="12"/>
    <x v="0"/>
    <n v="0.17"/>
  </r>
  <r>
    <s v="JETARI"/>
    <x v="28"/>
    <m/>
    <m/>
    <m/>
    <x v="87"/>
    <s v="JETARI"/>
    <x v="2"/>
    <s v="M-ONE Sanitar Silikon"/>
    <n v="12"/>
    <x v="0"/>
    <n v="0.17"/>
  </r>
  <r>
    <s v="TEMAJ"/>
    <x v="28"/>
    <n v="92.4"/>
    <m/>
    <m/>
    <x v="91"/>
    <s v="TEMAJ"/>
    <x v="0"/>
    <s v="M-ONE Sanitar Silikon"/>
    <n v="12"/>
    <x v="2"/>
    <n v="0.17"/>
  </r>
  <r>
    <s v="TEMAJ"/>
    <x v="28"/>
    <m/>
    <m/>
    <m/>
    <x v="91"/>
    <s v="TEMAJ"/>
    <x v="5"/>
    <s v="M-ONE Sanitar Silikon"/>
    <n v="12"/>
    <x v="2"/>
    <n v="0.17"/>
  </r>
  <r>
    <s v="KENA COMERC"/>
    <x v="28"/>
    <n v="138.6"/>
    <m/>
    <m/>
    <x v="52"/>
    <s v="KENA COMERC"/>
    <x v="4"/>
    <s v="M-ONE Sanitar Silikon"/>
    <n v="12"/>
    <x v="1"/>
    <n v="0.17"/>
  </r>
  <r>
    <s v="KENA COMERC"/>
    <x v="28"/>
    <m/>
    <m/>
    <m/>
    <x v="52"/>
    <s v="KENA COMERC"/>
    <x v="5"/>
    <s v="M-ONE Sanitar Silikon"/>
    <n v="12"/>
    <x v="1"/>
    <n v="0.17"/>
  </r>
  <r>
    <s v="KENA COMERC"/>
    <x v="28"/>
    <m/>
    <m/>
    <m/>
    <x v="52"/>
    <s v="KENA COMERC"/>
    <x v="9"/>
    <s v="M-ONE Sanitar Silikon"/>
    <n v="12"/>
    <x v="1"/>
    <n v="0.17"/>
  </r>
  <r>
    <s v="KUQI-LKW"/>
    <x v="28"/>
    <n v="47.2"/>
    <m/>
    <m/>
    <x v="120"/>
    <s v="KUQI-LKW"/>
    <x v="7"/>
    <s v="DICHTUNG"/>
    <n v="6"/>
    <x v="1"/>
    <n v="0.2"/>
  </r>
  <r>
    <s v="KUQI-LKW"/>
    <x v="28"/>
    <m/>
    <m/>
    <m/>
    <x v="120"/>
    <s v="KUQI-LKW"/>
    <x v="12"/>
    <s v="beMAKER Rostlöser"/>
    <n v="2"/>
    <x v="1"/>
    <n v="0.2"/>
  </r>
  <r>
    <s v="TE GZIMI"/>
    <x v="28"/>
    <n v="28.5"/>
    <m/>
    <m/>
    <x v="119"/>
    <s v="TE GZIMI"/>
    <x v="12"/>
    <s v="beMAKER Rostlöser"/>
    <n v="5"/>
    <x v="1"/>
    <n v="0.2"/>
  </r>
  <r>
    <s v="TE GZIMI"/>
    <x v="28"/>
    <m/>
    <m/>
    <m/>
    <x v="119"/>
    <s v="TE GZIMI"/>
    <x v="14"/>
    <s v="beMAKER Bremsen&amp;Teile Reininger"/>
    <n v="4"/>
    <x v="1"/>
    <n v="0.2"/>
  </r>
  <r>
    <s v="TE GZIMI"/>
    <x v="28"/>
    <m/>
    <m/>
    <m/>
    <x v="119"/>
    <s v="TE GZIMI"/>
    <x v="13"/>
    <s v="M ONE MOTORSTART"/>
    <n v="3"/>
    <x v="1"/>
    <n v="0.2"/>
  </r>
  <r>
    <s v="KTHIMI"/>
    <x v="28"/>
    <n v="138.6"/>
    <m/>
    <m/>
    <x v="57"/>
    <s v="KTHIMI"/>
    <x v="3"/>
    <s v="M-ONE Sanitar Silikon"/>
    <n v="24"/>
    <x v="1"/>
    <n v="0.17"/>
  </r>
  <r>
    <s v="KTHIMI"/>
    <x v="28"/>
    <m/>
    <m/>
    <m/>
    <x v="57"/>
    <s v="KTHIMI"/>
    <x v="6"/>
    <s v="M-ONE Sanitar Silikon"/>
    <n v="12"/>
    <x v="1"/>
    <n v="0.17"/>
  </r>
  <r>
    <s v="LULI-C"/>
    <x v="28"/>
    <n v="92.4"/>
    <m/>
    <m/>
    <x v="54"/>
    <s v="LULI-C"/>
    <x v="15"/>
    <s v="M-ONE Sanitar Silikon"/>
    <n v="24"/>
    <x v="1"/>
    <n v="0.17"/>
  </r>
  <r>
    <s v="LNI SHPK"/>
    <x v="28"/>
    <n v="92.4"/>
    <m/>
    <m/>
    <x v="141"/>
    <s v="LNI SHPK"/>
    <x v="2"/>
    <s v="M-ONE Sanitar Silikon"/>
    <n v="24"/>
    <x v="1"/>
    <n v="0.17"/>
  </r>
  <r>
    <s v="SALIHU CORPORATION"/>
    <x v="29"/>
    <n v="785.4"/>
    <m/>
    <m/>
    <x v="142"/>
    <s v="SALIHU CORPORATION"/>
    <x v="4"/>
    <s v="M-ONE Sanitar Silikon"/>
    <n v="120"/>
    <x v="1"/>
    <n v="0.17"/>
  </r>
  <r>
    <s v="SALIHU CORPORATION"/>
    <x v="29"/>
    <m/>
    <m/>
    <m/>
    <x v="142"/>
    <s v="SALIHU CORPORATION"/>
    <x v="0"/>
    <s v="M-ONE Sanitar Silikon"/>
    <n v="36"/>
    <x v="1"/>
    <n v="0.17"/>
  </r>
  <r>
    <s v="SALIHU CORPORATION"/>
    <x v="29"/>
    <m/>
    <m/>
    <m/>
    <x v="142"/>
    <s v="SALIHU CORPORATION"/>
    <x v="18"/>
    <s v="M-ONE Sanitar Silikon"/>
    <n v="48"/>
    <x v="1"/>
    <n v="0.17"/>
  </r>
  <r>
    <s v="XHAFA"/>
    <x v="29"/>
    <n v="231"/>
    <m/>
    <m/>
    <x v="61"/>
    <s v="XHAFA"/>
    <x v="0"/>
    <s v="M-ONE Sanitar Silikon"/>
    <n v="12"/>
    <x v="0"/>
    <n v="0.17"/>
  </r>
  <r>
    <s v="XHAFA"/>
    <x v="29"/>
    <m/>
    <m/>
    <m/>
    <x v="61"/>
    <s v="XHAFA"/>
    <x v="20"/>
    <s v="M-ONE Sanitar Silikon"/>
    <n v="12"/>
    <x v="0"/>
    <n v="0.17"/>
  </r>
  <r>
    <s v="XHAFA"/>
    <x v="29"/>
    <m/>
    <m/>
    <m/>
    <x v="61"/>
    <s v="XHAFA"/>
    <x v="2"/>
    <s v="M-ONE Sanitar Silikon"/>
    <n v="36"/>
    <x v="0"/>
    <n v="0.17"/>
  </r>
  <r>
    <s v="MONI 2"/>
    <x v="29"/>
    <n v="92.4"/>
    <m/>
    <m/>
    <x v="60"/>
    <s v="MONI 2"/>
    <x v="20"/>
    <s v="M-ONE Sanitar Silikon"/>
    <n v="12"/>
    <x v="0"/>
    <n v="0.17"/>
  </r>
  <r>
    <s v="MONI 2"/>
    <x v="29"/>
    <m/>
    <m/>
    <m/>
    <x v="60"/>
    <s v="MONI 2"/>
    <x v="9"/>
    <s v="M-ONE Sanitar Silikon"/>
    <n v="12"/>
    <x v="0"/>
    <n v="0.17"/>
  </r>
  <r>
    <s v="ARPO"/>
    <x v="29"/>
    <n v="231"/>
    <m/>
    <m/>
    <x v="64"/>
    <s v="ARPO"/>
    <x v="0"/>
    <s v="M-ONE Sanitar Silikon"/>
    <n v="12"/>
    <x v="0"/>
    <n v="0.17"/>
  </r>
  <r>
    <s v="ARPO"/>
    <x v="29"/>
    <m/>
    <m/>
    <m/>
    <x v="64"/>
    <s v="ARPO"/>
    <x v="3"/>
    <s v="M-ONE Sanitar Silikon"/>
    <n v="24"/>
    <x v="0"/>
    <n v="0.17"/>
  </r>
  <r>
    <s v="ARPO"/>
    <x v="29"/>
    <m/>
    <m/>
    <m/>
    <x v="64"/>
    <s v="ARPO"/>
    <x v="18"/>
    <s v="M-ONE Sanitar Silikon"/>
    <n v="24"/>
    <x v="0"/>
    <n v="0.17"/>
  </r>
  <r>
    <s v="TE BESNIKU"/>
    <x v="29"/>
    <n v="80.8"/>
    <m/>
    <m/>
    <x v="65"/>
    <s v="TE BESNIKU"/>
    <x v="15"/>
    <s v="M-ONE Sanitar Silikon"/>
    <n v="9"/>
    <x v="0"/>
    <n v="0.17"/>
  </r>
  <r>
    <s v="TE BESNIKU"/>
    <x v="29"/>
    <m/>
    <m/>
    <m/>
    <x v="65"/>
    <s v="TE BESNIKU"/>
    <x v="2"/>
    <s v="M-ONE Sanitar Silikon"/>
    <n v="12"/>
    <x v="0"/>
    <n v="0.17"/>
  </r>
  <r>
    <s v="TEMAJ"/>
    <x v="29"/>
    <n v="184.8"/>
    <m/>
    <m/>
    <x v="91"/>
    <s v="TEMAJ"/>
    <x v="4"/>
    <s v="M-ONE Sanitar Silikon"/>
    <n v="36"/>
    <x v="2"/>
    <n v="0.17"/>
  </r>
  <r>
    <s v="TEMAJ"/>
    <x v="29"/>
    <m/>
    <m/>
    <m/>
    <x v="91"/>
    <s v="TEMAJ"/>
    <x v="5"/>
    <s v="M-ONE Sanitar Silikon"/>
    <n v="12"/>
    <x v="2"/>
    <n v="0.17"/>
  </r>
  <r>
    <s v="INOX 2"/>
    <x v="29"/>
    <n v="92.4"/>
    <m/>
    <m/>
    <x v="93"/>
    <s v="INOX 2"/>
    <x v="4"/>
    <s v="M-ONE Sanitar Silikon"/>
    <n v="12"/>
    <x v="1"/>
    <n v="0.17"/>
  </r>
  <r>
    <s v="INOX 2"/>
    <x v="29"/>
    <m/>
    <m/>
    <m/>
    <x v="93"/>
    <s v="INOX 2"/>
    <x v="5"/>
    <s v="M-ONE Sanitar Silikon"/>
    <n v="12"/>
    <x v="1"/>
    <n v="0.17"/>
  </r>
  <r>
    <s v="GER COLORS"/>
    <x v="29"/>
    <n v="130.80000000000001"/>
    <m/>
    <m/>
    <x v="94"/>
    <s v="GER COLORS"/>
    <x v="22"/>
    <s v="universal akryl"/>
    <n v="12"/>
    <x v="1"/>
    <n v="0.06"/>
  </r>
  <r>
    <s v="GER COLORS"/>
    <x v="29"/>
    <m/>
    <m/>
    <m/>
    <x v="94"/>
    <s v="GER COLORS"/>
    <x v="10"/>
    <s v="PROFIMONT EXTREME"/>
    <n v="12"/>
    <x v="1"/>
    <n v="0.2"/>
  </r>
  <r>
    <s v="GER COLORS"/>
    <x v="29"/>
    <m/>
    <m/>
    <m/>
    <x v="94"/>
    <s v="GER COLORS"/>
    <x v="9"/>
    <s v="M-ONE Sanitar Silikon"/>
    <n v="12"/>
    <x v="1"/>
    <n v="0.17"/>
  </r>
  <r>
    <s v="HB-DECOR"/>
    <x v="29"/>
    <n v="69.599999999999994"/>
    <m/>
    <m/>
    <x v="95"/>
    <s v="HB-DECOR"/>
    <x v="10"/>
    <s v="PROFIMONT EXTREME"/>
    <n v="12"/>
    <x v="1"/>
    <n v="0.2"/>
  </r>
  <r>
    <s v="ERENIKU"/>
    <x v="29"/>
    <n v="92.4"/>
    <m/>
    <m/>
    <x v="92"/>
    <s v="ERENIKU"/>
    <x v="0"/>
    <s v="M-ONE Sanitar Silikon"/>
    <n v="24"/>
    <x v="1"/>
    <n v="0.17"/>
  </r>
  <r>
    <s v="AFRIMI-AG"/>
    <x v="29"/>
    <n v="162"/>
    <m/>
    <m/>
    <x v="69"/>
    <s v="AFRIMI-AG"/>
    <x v="10"/>
    <s v="PROFIMONT EXTREME"/>
    <n v="12"/>
    <x v="1"/>
    <n v="0.2"/>
  </r>
  <r>
    <s v="AFRIMI-AG"/>
    <x v="29"/>
    <m/>
    <m/>
    <m/>
    <x v="69"/>
    <s v="AFRIMI-AG"/>
    <x v="3"/>
    <s v="M-ONE Sanitar Silikon"/>
    <n v="12"/>
    <x v="1"/>
    <n v="0.17"/>
  </r>
  <r>
    <s v="AFRIMI-AG"/>
    <x v="29"/>
    <m/>
    <m/>
    <m/>
    <x v="69"/>
    <s v="AFRIMI-AG"/>
    <x v="18"/>
    <s v="M-ONE Sanitar Silikon"/>
    <n v="12"/>
    <x v="1"/>
    <n v="0.17"/>
  </r>
  <r>
    <s v="TE BESIMI"/>
    <x v="29"/>
    <n v="109.2"/>
    <m/>
    <m/>
    <x v="70"/>
    <s v="TE BESIMI"/>
    <x v="22"/>
    <s v="universal akryl"/>
    <n v="24"/>
    <x v="1"/>
    <n v="0.06"/>
  </r>
  <r>
    <s v="TE BESIMI"/>
    <x v="29"/>
    <m/>
    <m/>
    <m/>
    <x v="70"/>
    <s v="TE BESIMI"/>
    <x v="8"/>
    <s v="struktural akryl"/>
    <n v="24"/>
    <x v="1"/>
    <n v="0.06"/>
  </r>
  <r>
    <s v="TE BESIMI"/>
    <x v="29"/>
    <m/>
    <m/>
    <m/>
    <x v="70"/>
    <s v="TE BESIMI"/>
    <x v="7"/>
    <s v="DICHTUNG"/>
    <n v="3"/>
    <x v="1"/>
    <n v="0.2"/>
  </r>
  <r>
    <s v="INTERCOM NTP"/>
    <x v="30"/>
    <n v="166.2"/>
    <m/>
    <m/>
    <x v="0"/>
    <s v="INTERCOM NTP"/>
    <x v="0"/>
    <s v="M-ONE Sanitar Silikon"/>
    <n v="36"/>
    <x v="0"/>
    <n v="0.17"/>
  </r>
  <r>
    <s v="INTERCOM NTP"/>
    <x v="30"/>
    <m/>
    <m/>
    <m/>
    <x v="0"/>
    <s v="INTERCOM NTP"/>
    <x v="8"/>
    <s v="struktural akryl"/>
    <n v="12"/>
    <x v="0"/>
    <n v="0.06"/>
  </r>
  <r>
    <s v="DARDANIA"/>
    <x v="30"/>
    <n v="46.2"/>
    <m/>
    <m/>
    <x v="6"/>
    <s v="DARDANIA"/>
    <x v="25"/>
    <s v="M-ONE Sanitar Silikon"/>
    <n v="12"/>
    <x v="0"/>
    <n v="0.17"/>
  </r>
  <r>
    <s v="BALLKANI"/>
    <x v="30"/>
    <n v="231"/>
    <m/>
    <m/>
    <x v="98"/>
    <s v="BALLKANI"/>
    <x v="0"/>
    <s v="M-ONE Sanitar Silikon"/>
    <n v="12"/>
    <x v="0"/>
    <n v="0.17"/>
  </r>
  <r>
    <s v="BALLKANI"/>
    <x v="30"/>
    <m/>
    <m/>
    <m/>
    <x v="98"/>
    <s v="BALLKANI"/>
    <x v="18"/>
    <s v="M-ONE Sanitar Silikon"/>
    <n v="24"/>
    <x v="0"/>
    <n v="0.17"/>
  </r>
  <r>
    <s v="BALLKANI"/>
    <x v="30"/>
    <m/>
    <m/>
    <m/>
    <x v="98"/>
    <s v="BALLKANI"/>
    <x v="1"/>
    <s v="M-ONE Sanitar Silikon"/>
    <n v="24"/>
    <x v="0"/>
    <n v="0.17"/>
  </r>
  <r>
    <s v="EUROSAN"/>
    <x v="30"/>
    <n v="61.2"/>
    <m/>
    <m/>
    <x v="123"/>
    <s v="EUROSAN"/>
    <x v="0"/>
    <s v="M-ONE Sanitar Silikon"/>
    <n v="12"/>
    <x v="0"/>
    <n v="0.17"/>
  </r>
  <r>
    <s v="EUROSAN"/>
    <x v="30"/>
    <m/>
    <m/>
    <m/>
    <x v="123"/>
    <s v="EUROSAN"/>
    <x v="22"/>
    <s v="universal akryl"/>
    <n v="12"/>
    <x v="0"/>
    <n v="0.06"/>
  </r>
  <r>
    <s v="IBAK"/>
    <x v="30"/>
    <n v="46.2"/>
    <m/>
    <m/>
    <x v="3"/>
    <s v="IBAK"/>
    <x v="4"/>
    <s v="M-ONE Sanitar Silikon"/>
    <n v="12"/>
    <x v="0"/>
    <n v="0.17"/>
  </r>
  <r>
    <s v="ELIONI-1"/>
    <x v="30"/>
    <n v="92.4"/>
    <m/>
    <m/>
    <x v="97"/>
    <s v="ELIONI-1"/>
    <x v="0"/>
    <s v="M-ONE Sanitar Silikon"/>
    <n v="12"/>
    <x v="0"/>
    <n v="0.17"/>
  </r>
  <r>
    <s v="ELIONI-1"/>
    <x v="30"/>
    <m/>
    <m/>
    <m/>
    <x v="97"/>
    <s v="ELIONI-1"/>
    <x v="9"/>
    <s v="M-ONE Sanitar Silikon"/>
    <n v="12"/>
    <x v="0"/>
    <n v="0.17"/>
  </r>
  <r>
    <s v="BEKA-3"/>
    <x v="30"/>
    <n v="86.4"/>
    <m/>
    <m/>
    <x v="8"/>
    <s v="BEKA-3"/>
    <x v="7"/>
    <s v="DICHTUNG"/>
    <n v="12"/>
    <x v="0"/>
    <n v="0.2"/>
  </r>
  <r>
    <s v="DANI-COM"/>
    <x v="30"/>
    <n v="46.2"/>
    <m/>
    <m/>
    <x v="143"/>
    <s v="DANI-COM"/>
    <x v="9"/>
    <s v="M-ONE Sanitar Silikon"/>
    <n v="12"/>
    <x v="0"/>
    <n v="0.17"/>
  </r>
  <r>
    <s v="BAU HOME"/>
    <x v="30"/>
    <n v="92.4"/>
    <m/>
    <m/>
    <x v="10"/>
    <s v="BAU HOME"/>
    <x v="0"/>
    <s v="M-ONE Sanitar Silikon"/>
    <n v="12"/>
    <x v="1"/>
    <n v="0.17"/>
  </r>
  <r>
    <s v="BAU HOME"/>
    <x v="30"/>
    <m/>
    <m/>
    <m/>
    <x v="10"/>
    <s v="BAU HOME"/>
    <x v="9"/>
    <s v="M-ONE Sanitar Silikon"/>
    <n v="12"/>
    <x v="1"/>
    <n v="0.17"/>
  </r>
  <r>
    <s v="CONDOR"/>
    <x v="30"/>
    <n v="347.4"/>
    <m/>
    <m/>
    <x v="11"/>
    <s v="CONDOR"/>
    <x v="4"/>
    <s v="M-ONE Sanitar Silikon"/>
    <n v="24"/>
    <x v="1"/>
    <n v="0.17"/>
  </r>
  <r>
    <s v="CONDOR"/>
    <x v="30"/>
    <m/>
    <m/>
    <m/>
    <x v="11"/>
    <s v="CONDOR"/>
    <x v="0"/>
    <s v="M-ONE Sanitar Silikon"/>
    <n v="24"/>
    <x v="1"/>
    <n v="0.17"/>
  </r>
  <r>
    <s v="CONDOR"/>
    <x v="30"/>
    <m/>
    <m/>
    <m/>
    <x v="11"/>
    <s v="CONDOR"/>
    <x v="1"/>
    <s v="M-ONE Sanitar Silikon"/>
    <n v="12"/>
    <x v="1"/>
    <n v="0.17"/>
  </r>
  <r>
    <s v="CONDOR"/>
    <x v="30"/>
    <m/>
    <m/>
    <m/>
    <x v="11"/>
    <s v="CONDOR"/>
    <x v="2"/>
    <s v="M-ONE Sanitar Silikon"/>
    <n v="12"/>
    <x v="1"/>
    <n v="0.17"/>
  </r>
  <r>
    <s v="CONDOR"/>
    <x v="30"/>
    <m/>
    <m/>
    <m/>
    <x v="11"/>
    <s v="CONDOR"/>
    <x v="22"/>
    <s v="universal akryl"/>
    <n v="12"/>
    <x v="1"/>
    <n v="0.06"/>
  </r>
  <r>
    <s v="CONDOR"/>
    <x v="30"/>
    <m/>
    <m/>
    <m/>
    <x v="11"/>
    <s v="CONDOR"/>
    <x v="8"/>
    <s v="struktural akryl"/>
    <n v="24"/>
    <x v="1"/>
    <n v="0.06"/>
  </r>
  <r>
    <s v="BARDHI-M"/>
    <x v="30"/>
    <n v="92.4"/>
    <m/>
    <m/>
    <x v="77"/>
    <s v="BARDHI-M"/>
    <x v="0"/>
    <s v="M-ONE Sanitar Silikon"/>
    <n v="12"/>
    <x v="1"/>
    <n v="0.17"/>
  </r>
  <r>
    <s v="BARDHI-M"/>
    <x v="30"/>
    <m/>
    <m/>
    <m/>
    <x v="77"/>
    <s v="BARDHI-M"/>
    <x v="1"/>
    <s v="M-ONE Sanitar Silikon"/>
    <n v="12"/>
    <x v="1"/>
    <n v="0.17"/>
  </r>
  <r>
    <s v="BEREQETI"/>
    <x v="30"/>
    <n v="73.8"/>
    <m/>
    <m/>
    <x v="13"/>
    <s v="BEREQETI"/>
    <x v="1"/>
    <s v="M-ONE Sanitar Silikon"/>
    <n v="12"/>
    <x v="1"/>
    <n v="0.17"/>
  </r>
  <r>
    <s v="BEREQETI"/>
    <x v="30"/>
    <m/>
    <m/>
    <m/>
    <x v="13"/>
    <s v="BEREQETI"/>
    <x v="8"/>
    <s v="struktural akryl"/>
    <n v="12"/>
    <x v="1"/>
    <n v="0.06"/>
  </r>
  <r>
    <s v="AGRO-FARM"/>
    <x v="30"/>
    <n v="61.2"/>
    <m/>
    <m/>
    <x v="14"/>
    <s v="AGRO-FARM"/>
    <x v="1"/>
    <s v="M-ONE Sanitar Silikon"/>
    <n v="12"/>
    <x v="1"/>
    <n v="0.17"/>
  </r>
  <r>
    <s v="AGRO-FARM"/>
    <x v="30"/>
    <m/>
    <m/>
    <m/>
    <x v="14"/>
    <s v="AGRO-FARM"/>
    <x v="22"/>
    <s v="universal akryl"/>
    <n v="12"/>
    <x v="1"/>
    <n v="0.06"/>
  </r>
  <r>
    <s v="DURGUTI 3"/>
    <x v="30"/>
    <n v="92.4"/>
    <m/>
    <m/>
    <x v="12"/>
    <s v="DURGUTI 3"/>
    <x v="0"/>
    <s v="M-ONE Sanitar Silikon"/>
    <n v="12"/>
    <x v="1"/>
    <n v="0.17"/>
  </r>
  <r>
    <s v="DURGUTI 3"/>
    <x v="30"/>
    <m/>
    <m/>
    <m/>
    <x v="12"/>
    <s v="DURGUTI 3"/>
    <x v="9"/>
    <s v="M-ONE Sanitar Silikon"/>
    <n v="12"/>
    <x v="1"/>
    <n v="0.17"/>
  </r>
  <r>
    <s v="SHEHU-A"/>
    <x v="30"/>
    <n v="26"/>
    <m/>
    <m/>
    <x v="17"/>
    <s v="SHEHU-A"/>
    <x v="12"/>
    <s v="beMAKER Rostlöser"/>
    <n v="6"/>
    <x v="1"/>
    <n v="0.2"/>
  </r>
  <r>
    <s v="SHEHU-A"/>
    <x v="30"/>
    <m/>
    <m/>
    <m/>
    <x v="17"/>
    <s v="SHEHU-A"/>
    <x v="16"/>
    <s v="Fettspray"/>
    <n v="4"/>
    <x v="1"/>
    <n v="0.2"/>
  </r>
  <r>
    <s v="SOPAJ"/>
    <x v="30"/>
    <n v="46.2"/>
    <m/>
    <m/>
    <x v="99"/>
    <s v="SOPAJ"/>
    <x v="4"/>
    <s v="M-ONE Sanitar Silikon"/>
    <n v="12"/>
    <x v="1"/>
    <n v="0.17"/>
  </r>
  <r>
    <s v="ARBENI BIOBLIC"/>
    <x v="31"/>
    <n v="175"/>
    <m/>
    <m/>
    <x v="71"/>
    <s v="ARBENI BIOBLIC"/>
    <x v="28"/>
    <s v="BioBlic Universalreiniger"/>
    <n v="100"/>
    <x v="2"/>
    <n v="0.30000000000000004"/>
  </r>
  <r>
    <s v="ARBENI BIOBLIC"/>
    <x v="31"/>
    <m/>
    <m/>
    <m/>
    <x v="71"/>
    <s v="ARBENI BIOBLIC"/>
    <x v="29"/>
    <s v="Blic Blic Sanitärreiniger"/>
    <n v="40"/>
    <x v="2"/>
    <n v="0.30000000000000004"/>
  </r>
  <r>
    <s v="G FETAHU QERAMIK SH.P.K."/>
    <x v="31"/>
    <n v="48"/>
    <m/>
    <m/>
    <x v="110"/>
    <s v="G FETAHU QERAMIK SH.P.K."/>
    <x v="9"/>
    <s v="M-ONE Sanitar Silikon"/>
    <n v="7"/>
    <x v="2"/>
    <n v="0.17"/>
  </r>
  <r>
    <s v="G FETAHU QERAMIK SH.P.K."/>
    <x v="31"/>
    <m/>
    <m/>
    <m/>
    <x v="110"/>
    <s v="G FETAHU QERAMIK SH.P.K."/>
    <x v="4"/>
    <s v="M-ONE Sanitar Silikon"/>
    <n v="3"/>
    <x v="2"/>
    <n v="0.17"/>
  </r>
  <r>
    <s v="G FETAHU QERAMIK SH.P.K."/>
    <x v="31"/>
    <m/>
    <m/>
    <m/>
    <x v="110"/>
    <s v="G FETAHU QERAMIK SH.P.K."/>
    <x v="18"/>
    <s v="M-ONE Sanitar Silikon"/>
    <n v="2"/>
    <x v="2"/>
    <n v="0.17"/>
  </r>
  <r>
    <s v="NDRIQIMI"/>
    <x v="31"/>
    <n v="184.8"/>
    <m/>
    <m/>
    <x v="79"/>
    <s v="NDRIQIMI"/>
    <x v="0"/>
    <s v="M-ONE Sanitar Silikon"/>
    <n v="24"/>
    <x v="0"/>
    <n v="0.17"/>
  </r>
  <r>
    <s v="NDRIQIMI"/>
    <x v="31"/>
    <m/>
    <m/>
    <m/>
    <x v="79"/>
    <s v="NDRIQIMI"/>
    <x v="5"/>
    <s v="M-ONE Sanitar Silikon"/>
    <n v="12"/>
    <x v="0"/>
    <n v="0.17"/>
  </r>
  <r>
    <s v="NDRIQIMI"/>
    <x v="31"/>
    <m/>
    <m/>
    <m/>
    <x v="79"/>
    <s v="NDRIQIMI"/>
    <x v="20"/>
    <s v="M-ONE Sanitar Silikon"/>
    <n v="12"/>
    <x v="0"/>
    <n v="0.17"/>
  </r>
  <r>
    <s v="UNIVERZAL"/>
    <x v="31"/>
    <n v="92.4"/>
    <m/>
    <m/>
    <x v="18"/>
    <s v="UNIVERZAL"/>
    <x v="4"/>
    <s v="M-ONE Sanitar Silikon"/>
    <n v="12"/>
    <x v="0"/>
    <n v="0.17"/>
  </r>
  <r>
    <s v="UNIVERZAL"/>
    <x v="31"/>
    <m/>
    <m/>
    <m/>
    <x v="18"/>
    <s v="UNIVERZAL"/>
    <x v="9"/>
    <s v="M-ONE Sanitar Silikon"/>
    <n v="12"/>
    <x v="0"/>
    <n v="0.17"/>
  </r>
  <r>
    <s v="AGRONI"/>
    <x v="31"/>
    <n v="30"/>
    <m/>
    <m/>
    <x v="22"/>
    <s v="AGRONI"/>
    <x v="17"/>
    <s v="M ONE UBS"/>
    <n v="5"/>
    <x v="0"/>
    <n v="0.2"/>
  </r>
  <r>
    <s v="AGRONI"/>
    <x v="31"/>
    <m/>
    <m/>
    <m/>
    <x v="22"/>
    <s v="AGRONI"/>
    <x v="12"/>
    <s v="beMAKER Rostlöser"/>
    <n v="5"/>
    <x v="0"/>
    <n v="0.2"/>
  </r>
  <r>
    <s v="GRANITI"/>
    <x v="31"/>
    <n v="92.4"/>
    <m/>
    <m/>
    <x v="80"/>
    <s v="GRANITI"/>
    <x v="0"/>
    <s v="M-ONE Sanitar Silikon"/>
    <n v="12"/>
    <x v="0"/>
    <n v="0.17"/>
  </r>
  <r>
    <s v="GRANITI"/>
    <x v="31"/>
    <m/>
    <m/>
    <m/>
    <x v="80"/>
    <s v="GRANITI"/>
    <x v="18"/>
    <s v="M-ONE Sanitar Silikon"/>
    <n v="12"/>
    <x v="0"/>
    <n v="0.17"/>
  </r>
  <r>
    <s v="EURO COM"/>
    <x v="31"/>
    <n v="92.4"/>
    <m/>
    <m/>
    <x v="19"/>
    <s v="EURO COM"/>
    <x v="18"/>
    <s v="M-ONE Sanitar Silikon"/>
    <n v="12"/>
    <x v="0"/>
    <n v="0.17"/>
  </r>
  <r>
    <s v="EURO COM"/>
    <x v="31"/>
    <m/>
    <m/>
    <m/>
    <x v="19"/>
    <s v="EURO COM"/>
    <x v="4"/>
    <s v="M-ONE Sanitar Silikon"/>
    <n v="12"/>
    <x v="0"/>
    <n v="0.17"/>
  </r>
  <r>
    <s v="KRRABAJ"/>
    <x v="32"/>
    <n v="323.39999999999998"/>
    <m/>
    <m/>
    <x v="144"/>
    <s v="KRRABAJ"/>
    <x v="3"/>
    <s v="M-ONE Sanitar Silikon"/>
    <n v="12"/>
    <x v="0"/>
    <n v="0.17"/>
  </r>
  <r>
    <s v="KRRABAJ"/>
    <x v="32"/>
    <m/>
    <m/>
    <m/>
    <x v="144"/>
    <s v="KRRABAJ"/>
    <x v="4"/>
    <s v="M-ONE Sanitar Silikon"/>
    <n v="12"/>
    <x v="0"/>
    <n v="0.17"/>
  </r>
  <r>
    <s v="KRRABAJ"/>
    <x v="32"/>
    <m/>
    <m/>
    <m/>
    <x v="144"/>
    <s v="KRRABAJ"/>
    <x v="18"/>
    <s v="M-ONE Sanitar Silikon"/>
    <n v="12"/>
    <x v="0"/>
    <n v="0.17"/>
  </r>
  <r>
    <s v="KRRABAJ"/>
    <x v="32"/>
    <m/>
    <m/>
    <m/>
    <x v="144"/>
    <s v="KRRABAJ"/>
    <x v="2"/>
    <s v="M-ONE Sanitar Silikon"/>
    <n v="12"/>
    <x v="0"/>
    <n v="0.17"/>
  </r>
  <r>
    <s v="KRRABAJ"/>
    <x v="32"/>
    <m/>
    <m/>
    <m/>
    <x v="144"/>
    <s v="KRRABAJ"/>
    <x v="9"/>
    <s v="M-ONE Sanitar Silikon"/>
    <n v="12"/>
    <x v="0"/>
    <n v="0.17"/>
  </r>
  <r>
    <s v="KRRABAJ"/>
    <x v="32"/>
    <m/>
    <m/>
    <m/>
    <x v="144"/>
    <s v="KRRABAJ"/>
    <x v="1"/>
    <s v="M-ONE Sanitar Silikon"/>
    <n v="12"/>
    <x v="0"/>
    <n v="0.17"/>
  </r>
  <r>
    <s v="KRRABAJ"/>
    <x v="32"/>
    <m/>
    <m/>
    <m/>
    <x v="144"/>
    <s v="KRRABAJ"/>
    <x v="20"/>
    <s v="M-ONE Sanitar Silikon"/>
    <n v="12"/>
    <x v="0"/>
    <n v="0.17"/>
  </r>
  <r>
    <s v="MARIGONA HILL SH.P.K."/>
    <x v="32"/>
    <n v="1134"/>
    <m/>
    <m/>
    <x v="145"/>
    <s v="MARIGONA HILL SH.P.K."/>
    <x v="6"/>
    <s v="M-ONE Sanitar Silikon"/>
    <n v="72"/>
    <x v="2"/>
    <n v="0.17"/>
  </r>
  <r>
    <s v="MARIGONA HILL SH.P.K."/>
    <x v="32"/>
    <m/>
    <m/>
    <m/>
    <x v="145"/>
    <s v="MARIGONA HILL SH.P.K."/>
    <x v="9"/>
    <s v="M-ONE Sanitar Silikon"/>
    <n v="36"/>
    <x v="2"/>
    <n v="0.17"/>
  </r>
  <r>
    <s v="MARIGONA HILL SH.P.K."/>
    <x v="32"/>
    <m/>
    <m/>
    <m/>
    <x v="145"/>
    <s v="MARIGONA HILL SH.P.K."/>
    <x v="20"/>
    <s v="M-ONE Sanitar Silikon"/>
    <n v="36"/>
    <x v="2"/>
    <n v="0.17"/>
  </r>
  <r>
    <s v="MARIGONA HILL SH.P.K."/>
    <x v="32"/>
    <m/>
    <m/>
    <m/>
    <x v="145"/>
    <s v="MARIGONA HILL SH.P.K."/>
    <x v="3"/>
    <s v="M-ONE Sanitar Silikon"/>
    <n v="36"/>
    <x v="2"/>
    <n v="0.17"/>
  </r>
  <r>
    <s v="MARIGONA HILL SH.P.K."/>
    <x v="32"/>
    <m/>
    <m/>
    <m/>
    <x v="145"/>
    <s v="MARIGONA HILL SH.P.K."/>
    <x v="18"/>
    <s v="M-ONE Sanitar Silikon"/>
    <n v="36"/>
    <x v="2"/>
    <n v="0.17"/>
  </r>
  <r>
    <s v="MARIGONA HILL SH.P.K."/>
    <x v="32"/>
    <m/>
    <m/>
    <m/>
    <x v="145"/>
    <s v="MARIGONA HILL SH.P.K."/>
    <x v="1"/>
    <s v="M-ONE Sanitar Silikon"/>
    <n v="36"/>
    <x v="2"/>
    <n v="0.17"/>
  </r>
  <r>
    <s v="CARRALEVA 1"/>
    <x v="32"/>
    <n v="107.4"/>
    <m/>
    <m/>
    <x v="25"/>
    <s v="CARRALEVA 1"/>
    <x v="4"/>
    <s v="M-ONE Sanitar Silikon"/>
    <n v="12"/>
    <x v="0"/>
    <n v="0.17"/>
  </r>
  <r>
    <s v="CARRALEVA 1"/>
    <x v="32"/>
    <m/>
    <m/>
    <m/>
    <x v="25"/>
    <s v="CARRALEVA 1"/>
    <x v="0"/>
    <s v="M-ONE Sanitar Silikon"/>
    <n v="12"/>
    <x v="0"/>
    <n v="0.17"/>
  </r>
  <r>
    <s v="CARRALEVA 1"/>
    <x v="32"/>
    <m/>
    <m/>
    <m/>
    <x v="25"/>
    <s v="CARRALEVA 1"/>
    <x v="22"/>
    <s v="universal akryl"/>
    <n v="12"/>
    <x v="0"/>
    <n v="0.06"/>
  </r>
  <r>
    <s v="BALLKANI"/>
    <x v="32"/>
    <n v="231"/>
    <m/>
    <m/>
    <x v="98"/>
    <s v="BALLKANI"/>
    <x v="1"/>
    <s v="M-ONE Sanitar Silikon"/>
    <n v="60"/>
    <x v="0"/>
    <n v="0.17"/>
  </r>
  <r>
    <s v="CARRALEVA 2"/>
    <x v="32"/>
    <n v="46.2"/>
    <m/>
    <m/>
    <x v="23"/>
    <s v="CARRALEVA 2"/>
    <x v="5"/>
    <s v="M-ONE Sanitar Silikon"/>
    <n v="12"/>
    <x v="0"/>
    <n v="0.17"/>
  </r>
  <r>
    <s v="ARDI LIPJAN"/>
    <x v="32"/>
    <n v="50.4"/>
    <m/>
    <m/>
    <x v="27"/>
    <s v="ARDI LIPJAN"/>
    <x v="7"/>
    <s v="DICHTUNG"/>
    <n v="7"/>
    <x v="0"/>
    <n v="0.2"/>
  </r>
  <r>
    <s v="REAL COLOR 2"/>
    <x v="32"/>
    <n v="92.4"/>
    <m/>
    <m/>
    <x v="26"/>
    <s v="REAL COLOR 2"/>
    <x v="1"/>
    <s v="M-ONE Sanitar Silikon"/>
    <n v="12"/>
    <x v="0"/>
    <n v="0.17"/>
  </r>
  <r>
    <s v="REAL COLOR 2"/>
    <x v="32"/>
    <m/>
    <m/>
    <m/>
    <x v="26"/>
    <s v="REAL COLOR 2"/>
    <x v="4"/>
    <s v="M-ONE Sanitar Silikon"/>
    <n v="12"/>
    <x v="0"/>
    <n v="0.17"/>
  </r>
  <r>
    <s v="ALBANI"/>
    <x v="33"/>
    <n v="46.2"/>
    <m/>
    <m/>
    <x v="83"/>
    <e v="#N/A"/>
    <x v="4"/>
    <s v="M-ONE Sanitar Silikon"/>
    <n v="12"/>
    <x v="0"/>
    <n v="0.17"/>
  </r>
  <r>
    <s v="KUJTA"/>
    <x v="33"/>
    <n v="92.4"/>
    <m/>
    <m/>
    <x v="36"/>
    <s v="KUJTA"/>
    <x v="1"/>
    <s v="M-ONE Sanitar Silikon"/>
    <n v="12"/>
    <x v="0"/>
    <n v="0.17"/>
  </r>
  <r>
    <s v="KUJTA"/>
    <x v="33"/>
    <m/>
    <m/>
    <m/>
    <x v="36"/>
    <s v="KUJTA"/>
    <x v="9"/>
    <s v="M-ONE Sanitar Silikon"/>
    <n v="12"/>
    <x v="0"/>
    <n v="0.17"/>
  </r>
  <r>
    <s v="BECOLOR"/>
    <x v="33"/>
    <n v="14"/>
    <m/>
    <m/>
    <x v="37"/>
    <s v="BECOLOR"/>
    <x v="34"/>
    <s v="M ONE FELGENSILBER"/>
    <n v="5"/>
    <x v="0"/>
    <n v="0.15"/>
  </r>
  <r>
    <s v="BECOLOR"/>
    <x v="33"/>
    <m/>
    <m/>
    <m/>
    <x v="37"/>
    <s v="BECOLOR"/>
    <x v="35"/>
    <s v="M ONE LACK GRUN"/>
    <n v="2"/>
    <x v="0"/>
    <n v="0.15"/>
  </r>
  <r>
    <s v="ALBANI"/>
    <x v="33"/>
    <n v="92.4"/>
    <m/>
    <m/>
    <x v="34"/>
    <e v="#N/A"/>
    <x v="4"/>
    <s v="M-ONE Sanitar Silikon"/>
    <n v="12"/>
    <x v="0"/>
    <n v="0.17"/>
  </r>
  <r>
    <s v="ALBANI"/>
    <x v="33"/>
    <m/>
    <m/>
    <m/>
    <x v="34"/>
    <e v="#N/A"/>
    <x v="5"/>
    <s v="M-ONE Sanitar Silikon"/>
    <n v="12"/>
    <x v="0"/>
    <n v="0.17"/>
  </r>
  <r>
    <s v="MERIS"/>
    <x v="33"/>
    <n v="20"/>
    <m/>
    <m/>
    <x v="146"/>
    <s v="MERIS"/>
    <x v="12"/>
    <s v="beMAKER Rostlöser"/>
    <n v="10"/>
    <x v="0"/>
    <n v="0.2"/>
  </r>
  <r>
    <s v="TE ZENA"/>
    <x v="33"/>
    <n v="46.2"/>
    <m/>
    <m/>
    <x v="84"/>
    <s v="TE ZENA"/>
    <x v="9"/>
    <s v="M-ONE Sanitar Silikon"/>
    <n v="12"/>
    <x v="0"/>
    <n v="0.17"/>
  </r>
  <r>
    <s v="YLLI CONSTRUCION"/>
    <x v="34"/>
    <n v="96"/>
    <m/>
    <m/>
    <x v="128"/>
    <s v="YLLI CONSTRUCION"/>
    <x v="4"/>
    <s v="M-ONE Sanitar Silikon"/>
    <n v="12"/>
    <x v="2"/>
    <n v="0.17"/>
  </r>
  <r>
    <s v="YLLI CONSTRUCION"/>
    <x v="34"/>
    <m/>
    <m/>
    <m/>
    <x v="128"/>
    <s v="YLLI CONSTRUCION"/>
    <x v="9"/>
    <s v="M-ONE Sanitar Silikon"/>
    <n v="3"/>
    <x v="2"/>
    <n v="0.17"/>
  </r>
  <r>
    <s v="YLLI CONSTRUCION"/>
    <x v="34"/>
    <m/>
    <m/>
    <m/>
    <x v="128"/>
    <s v="YLLI CONSTRUCION"/>
    <x v="18"/>
    <s v="M-ONE Sanitar Silikon"/>
    <n v="3"/>
    <x v="2"/>
    <n v="0.17"/>
  </r>
  <r>
    <s v="YLLI CONSTRUCION"/>
    <x v="34"/>
    <m/>
    <m/>
    <m/>
    <x v="128"/>
    <s v="YLLI CONSTRUCION"/>
    <x v="1"/>
    <s v="M-ONE Sanitar Silikon"/>
    <n v="6"/>
    <x v="2"/>
    <n v="0.17"/>
  </r>
  <r>
    <s v="ECM ENGINEERING SH.P.K"/>
    <x v="34"/>
    <n v="46"/>
    <m/>
    <m/>
    <x v="147"/>
    <s v="ECM ENGINEERING SH.P.K"/>
    <x v="1"/>
    <s v="M-ONE Sanitar Silikon"/>
    <n v="10"/>
    <x v="2"/>
    <n v="0.17"/>
  </r>
  <r>
    <s v="CHE BAR LOUNGE BAR"/>
    <x v="34"/>
    <n v="40"/>
    <m/>
    <m/>
    <x v="148"/>
    <s v="CHE BAR LOUNGE BAR"/>
    <x v="28"/>
    <s v="BioBlic Universalreiniger"/>
    <n v="20"/>
    <x v="0"/>
    <n v="0.30000000000000004"/>
  </r>
  <r>
    <s v="HIDROELDI"/>
    <x v="34"/>
    <n v="92.4"/>
    <m/>
    <m/>
    <x v="85"/>
    <s v="HIDROELDI"/>
    <x v="4"/>
    <s v="M-ONE Sanitar Silikon"/>
    <n v="12"/>
    <x v="0"/>
    <n v="0.17"/>
  </r>
  <r>
    <s v="HIDROELDI"/>
    <x v="34"/>
    <m/>
    <m/>
    <m/>
    <x v="85"/>
    <s v="HIDROELDI"/>
    <x v="2"/>
    <s v="M-ONE Sanitar Silikon"/>
    <n v="12"/>
    <x v="0"/>
    <n v="0.17"/>
  </r>
  <r>
    <s v="ARSIM"/>
    <x v="34"/>
    <n v="46.2"/>
    <m/>
    <m/>
    <x v="48"/>
    <s v="ARSIM"/>
    <x v="2"/>
    <s v="M-ONE Sanitar Silikon"/>
    <n v="12"/>
    <x v="0"/>
    <n v="0.17"/>
  </r>
  <r>
    <s v="KADIJOLLET"/>
    <x v="34"/>
    <n v="85.2"/>
    <m/>
    <m/>
    <x v="49"/>
    <s v="KADIJOLLET"/>
    <x v="0"/>
    <s v="M-ONE Sanitar Silikon"/>
    <n v="12"/>
    <x v="0"/>
    <n v="0.17"/>
  </r>
  <r>
    <s v="KADIJOLLET"/>
    <x v="34"/>
    <m/>
    <m/>
    <m/>
    <x v="49"/>
    <s v="KADIJOLLET"/>
    <x v="22"/>
    <s v="universal akryl"/>
    <n v="12"/>
    <x v="0"/>
    <n v="0.06"/>
  </r>
  <r>
    <s v="KADIJOLLET"/>
    <x v="34"/>
    <m/>
    <m/>
    <m/>
    <x v="49"/>
    <s v="KADIJOLLET"/>
    <x v="14"/>
    <s v="beMAKER Bremsen&amp;Teile Reininger"/>
    <n v="12"/>
    <x v="0"/>
    <n v="0.2"/>
  </r>
  <r>
    <s v="BESI COM"/>
    <x v="34"/>
    <n v="67.2"/>
    <m/>
    <m/>
    <x v="51"/>
    <s v="BESI COM"/>
    <x v="1"/>
    <s v="M-ONE Sanitar Silikon"/>
    <n v="12"/>
    <x v="0"/>
    <n v="0.17"/>
  </r>
  <r>
    <s v="BESI COM"/>
    <x v="34"/>
    <m/>
    <m/>
    <m/>
    <x v="51"/>
    <s v="BESI COM"/>
    <x v="16"/>
    <s v="Fettspray"/>
    <n v="6"/>
    <x v="0"/>
    <n v="0.2"/>
  </r>
  <r>
    <s v="QELA"/>
    <x v="34"/>
    <n v="92.4"/>
    <m/>
    <m/>
    <x v="50"/>
    <s v="QELA"/>
    <x v="3"/>
    <s v="M-ONE Sanitar Silikon"/>
    <n v="12"/>
    <x v="0"/>
    <n v="0.17"/>
  </r>
  <r>
    <s v="QELA"/>
    <x v="34"/>
    <m/>
    <m/>
    <m/>
    <x v="50"/>
    <s v="QELA"/>
    <x v="18"/>
    <s v="M-ONE Sanitar Silikon"/>
    <n v="12"/>
    <x v="0"/>
    <n v="0.17"/>
  </r>
  <r>
    <s v="ARBENI BIOBLIC"/>
    <x v="34"/>
    <n v="239"/>
    <m/>
    <m/>
    <x v="71"/>
    <s v="ARBENI BIOBLIC"/>
    <x v="28"/>
    <s v="BioBlic Universalreiniger"/>
    <n v="140"/>
    <x v="2"/>
    <n v="0.30000000000000004"/>
  </r>
  <r>
    <s v="ARBENI BIOBLIC"/>
    <x v="34"/>
    <m/>
    <m/>
    <m/>
    <x v="71"/>
    <s v="ARBENI BIOBLIC"/>
    <x v="29"/>
    <s v="Blic Blic Sanitärreiniger"/>
    <n v="40"/>
    <x v="2"/>
    <n v="0.30000000000000004"/>
  </r>
  <r>
    <s v="INTERCOM NTP"/>
    <x v="35"/>
    <n v="183.6"/>
    <m/>
    <m/>
    <x v="0"/>
    <s v="INTERCOM NTP"/>
    <x v="1"/>
    <s v="M-ONE Sanitar Silikon"/>
    <n v="36"/>
    <x v="0"/>
    <n v="0.17"/>
  </r>
  <r>
    <s v="INTERCOM NTP"/>
    <x v="35"/>
    <m/>
    <m/>
    <m/>
    <x v="0"/>
    <s v="INTERCOM NTP"/>
    <x v="22"/>
    <s v="universal akryl"/>
    <n v="36"/>
    <x v="0"/>
    <n v="0.06"/>
  </r>
  <r>
    <s v="GLOBAL NT"/>
    <x v="35"/>
    <n v="153.6"/>
    <m/>
    <m/>
    <x v="74"/>
    <e v="#N/A"/>
    <x v="3"/>
    <s v="M-ONE Sanitar Silikon"/>
    <n v="12"/>
    <x v="0"/>
    <n v="0.17"/>
  </r>
  <r>
    <s v="GLOBAL NT"/>
    <x v="35"/>
    <m/>
    <m/>
    <m/>
    <x v="74"/>
    <e v="#N/A"/>
    <x v="4"/>
    <s v="M-ONE Sanitar Silikon"/>
    <n v="12"/>
    <x v="0"/>
    <n v="0.17"/>
  </r>
  <r>
    <s v="GLOBAL NT"/>
    <x v="35"/>
    <m/>
    <m/>
    <m/>
    <x v="74"/>
    <e v="#N/A"/>
    <x v="5"/>
    <s v="M-ONE Sanitar Silikon"/>
    <n v="12"/>
    <x v="0"/>
    <n v="0.17"/>
  </r>
  <r>
    <s v="GLOBAL NT"/>
    <x v="35"/>
    <m/>
    <m/>
    <m/>
    <x v="74"/>
    <e v="#N/A"/>
    <x v="22"/>
    <s v="universal akryl"/>
    <n v="12"/>
    <x v="0"/>
    <n v="0.06"/>
  </r>
  <r>
    <s v="BURIMI"/>
    <x v="35"/>
    <n v="138.6"/>
    <m/>
    <m/>
    <x v="5"/>
    <s v="BURIMI"/>
    <x v="5"/>
    <s v="M-ONE Sanitar Silikon"/>
    <n v="12"/>
    <x v="0"/>
    <n v="0.17"/>
  </r>
  <r>
    <s v="BURIMI"/>
    <x v="35"/>
    <m/>
    <m/>
    <m/>
    <x v="5"/>
    <s v="BURIMI"/>
    <x v="18"/>
    <s v="M-ONE Sanitar Silikon"/>
    <n v="12"/>
    <x v="0"/>
    <n v="0.17"/>
  </r>
  <r>
    <s v="BURIMI"/>
    <x v="35"/>
    <m/>
    <m/>
    <m/>
    <x v="5"/>
    <s v="BURIMI"/>
    <x v="1"/>
    <s v="M-ONE Sanitar Silikon"/>
    <n v="12"/>
    <x v="0"/>
    <n v="0.17"/>
  </r>
  <r>
    <s v="SMIRA"/>
    <x v="35"/>
    <n v="46.2"/>
    <m/>
    <m/>
    <x v="75"/>
    <s v="SMIRA"/>
    <x v="4"/>
    <s v="M-ONE Sanitar Silikon"/>
    <n v="12"/>
    <x v="0"/>
    <n v="0.17"/>
  </r>
  <r>
    <s v="DARDANIA"/>
    <x v="35"/>
    <n v="92.4"/>
    <m/>
    <m/>
    <x v="6"/>
    <s v="DARDANIA"/>
    <x v="0"/>
    <s v="M-ONE Sanitar Silikon"/>
    <n v="12"/>
    <x v="0"/>
    <n v="0.17"/>
  </r>
  <r>
    <s v="DARDANIA"/>
    <x v="35"/>
    <m/>
    <m/>
    <m/>
    <x v="6"/>
    <s v="DARDANIA"/>
    <x v="2"/>
    <s v="M-ONE Sanitar Silikon"/>
    <n v="12"/>
    <x v="0"/>
    <n v="0.17"/>
  </r>
  <r>
    <s v="BEKA-3"/>
    <x v="35"/>
    <n v="86.4"/>
    <m/>
    <m/>
    <x v="8"/>
    <s v="BEKA-3"/>
    <x v="7"/>
    <s v="DICHTUNG"/>
    <n v="12"/>
    <x v="0"/>
    <n v="0.2"/>
  </r>
  <r>
    <s v="EUROSAN"/>
    <x v="35"/>
    <n v="15"/>
    <m/>
    <m/>
    <x v="123"/>
    <s v="EUROSAN"/>
    <x v="22"/>
    <s v="universal akryl"/>
    <n v="12"/>
    <x v="0"/>
    <n v="0.06"/>
  </r>
  <r>
    <s v="ERALP"/>
    <x v="35"/>
    <n v="46.2"/>
    <m/>
    <m/>
    <x v="1"/>
    <s v="ERALP"/>
    <x v="2"/>
    <s v="M-ONE Sanitar Silikon"/>
    <n v="12"/>
    <x v="0"/>
    <n v="0.17"/>
  </r>
  <r>
    <s v="ARSIMI"/>
    <x v="35"/>
    <n v="138.6"/>
    <m/>
    <m/>
    <x v="59"/>
    <s v="ARSIMI"/>
    <x v="9"/>
    <s v="M-ONE Sanitar Silikon"/>
    <n v="36"/>
    <x v="0"/>
    <n v="0.17"/>
  </r>
  <r>
    <s v="FORD BASHKIMI"/>
    <x v="35"/>
    <n v="24"/>
    <m/>
    <m/>
    <x v="58"/>
    <s v="FORD BASHKIMI"/>
    <x v="14"/>
    <s v="beMAKER Bremsen&amp;Teile Reininger"/>
    <n v="12"/>
    <x v="2"/>
    <n v="0.2"/>
  </r>
  <r>
    <s v="YLLI CONSTRUCION"/>
    <x v="35"/>
    <n v="32"/>
    <m/>
    <m/>
    <x v="128"/>
    <s v="YLLI CONSTRUCION"/>
    <x v="9"/>
    <s v="M-ONE Sanitar Silikon"/>
    <n v="5"/>
    <x v="2"/>
    <n v="0.17"/>
  </r>
  <r>
    <s v="YLLI CONSTRUCION"/>
    <x v="35"/>
    <m/>
    <m/>
    <m/>
    <x v="128"/>
    <s v="YLLI CONSTRUCION"/>
    <x v="20"/>
    <s v="M-ONE Sanitar Silikon"/>
    <n v="3"/>
    <x v="2"/>
    <n v="0.17"/>
  </r>
  <r>
    <s v="ARBENI BIOBLIC"/>
    <x v="35"/>
    <n v="158"/>
    <m/>
    <m/>
    <x v="71"/>
    <s v="ARBENI BIOBLIC"/>
    <x v="28"/>
    <s v="BioBlic Universalreiniger"/>
    <n v="80"/>
    <x v="2"/>
    <n v="0.30000000000000004"/>
  </r>
  <r>
    <s v="ARBENI BIOBLIC"/>
    <x v="35"/>
    <m/>
    <m/>
    <m/>
    <x v="71"/>
    <s v="ARBENI BIOBLIC"/>
    <x v="29"/>
    <s v="Blic Blic Sanitärreiniger"/>
    <n v="50"/>
    <x v="2"/>
    <n v="0.30000000000000004"/>
  </r>
  <r>
    <s v="BUJARI Q - BESII"/>
    <x v="36"/>
    <n v="92.4"/>
    <m/>
    <m/>
    <x v="116"/>
    <s v="BUJARI Q - BESII"/>
    <x v="4"/>
    <s v="M-ONE Sanitar Silikon"/>
    <n v="24"/>
    <x v="1"/>
    <n v="0.17"/>
  </r>
  <r>
    <s v="AGROLONDI"/>
    <x v="36"/>
    <n v="304.8"/>
    <m/>
    <m/>
    <x v="39"/>
    <s v="AGROLONDI"/>
    <x v="1"/>
    <s v="M-ONE Sanitar Silikon"/>
    <n v="60"/>
    <x v="1"/>
    <n v="0.17"/>
  </r>
  <r>
    <s v="AGROLONDI"/>
    <x v="36"/>
    <m/>
    <m/>
    <m/>
    <x v="39"/>
    <s v="AGROLONDI"/>
    <x v="0"/>
    <s v="M-ONE Sanitar Silikon"/>
    <n v="12"/>
    <x v="1"/>
    <n v="0.17"/>
  </r>
  <r>
    <s v="AGROLONDI"/>
    <x v="36"/>
    <m/>
    <m/>
    <m/>
    <x v="39"/>
    <s v="AGROLONDI"/>
    <x v="8"/>
    <s v="struktural akryl"/>
    <n v="12"/>
    <x v="1"/>
    <n v="0.06"/>
  </r>
  <r>
    <s v="ILIRI QERAMIKA"/>
    <x v="36"/>
    <n v="61.2"/>
    <m/>
    <m/>
    <x v="41"/>
    <s v="ILIRI QERAMIKA"/>
    <x v="4"/>
    <s v="M-ONE Sanitar Silikon"/>
    <n v="12"/>
    <x v="1"/>
    <n v="0.17"/>
  </r>
  <r>
    <s v="ILIRI QERAMIKA"/>
    <x v="36"/>
    <m/>
    <m/>
    <m/>
    <x v="41"/>
    <s v="ILIRI QERAMIKA"/>
    <x v="22"/>
    <s v="universal akryl"/>
    <n v="12"/>
    <x v="1"/>
    <n v="0.06"/>
  </r>
  <r>
    <s v="DIVA QERAMIKA"/>
    <x v="36"/>
    <n v="107.4"/>
    <m/>
    <m/>
    <x v="112"/>
    <s v="DIVA QERAMIKA"/>
    <x v="0"/>
    <s v="M-ONE Sanitar Silikon"/>
    <n v="12"/>
    <x v="1"/>
    <n v="0.17"/>
  </r>
  <r>
    <s v="DIVA QERAMIKA"/>
    <x v="36"/>
    <m/>
    <m/>
    <m/>
    <x v="112"/>
    <s v="DIVA QERAMIKA"/>
    <x v="5"/>
    <s v="M-ONE Sanitar Silikon"/>
    <n v="12"/>
    <x v="1"/>
    <n v="0.17"/>
  </r>
  <r>
    <s v="DIVA QERAMIKA"/>
    <x v="36"/>
    <m/>
    <m/>
    <m/>
    <x v="112"/>
    <s v="DIVA QERAMIKA"/>
    <x v="22"/>
    <s v="universal akryl"/>
    <n v="12"/>
    <x v="1"/>
    <n v="0.06"/>
  </r>
  <r>
    <s v="UNIKA"/>
    <x v="36"/>
    <n v="162"/>
    <m/>
    <m/>
    <x v="43"/>
    <s v="UNIKA"/>
    <x v="3"/>
    <s v="M-ONE Sanitar Silikon"/>
    <n v="12"/>
    <x v="1"/>
    <n v="0.17"/>
  </r>
  <r>
    <s v="UNIKA"/>
    <x v="36"/>
    <m/>
    <m/>
    <m/>
    <x v="43"/>
    <s v="UNIKA"/>
    <x v="20"/>
    <s v="M-ONE Sanitar Silikon"/>
    <n v="12"/>
    <x v="1"/>
    <n v="0.17"/>
  </r>
  <r>
    <s v="UNIKA"/>
    <x v="36"/>
    <m/>
    <m/>
    <m/>
    <x v="43"/>
    <s v="UNIKA"/>
    <x v="10"/>
    <s v="PROFIMONT EXTREME"/>
    <n v="12"/>
    <x v="1"/>
    <n v="0.2"/>
  </r>
  <r>
    <s v="TE-SYLA"/>
    <x v="36"/>
    <n v="16"/>
    <m/>
    <m/>
    <x v="44"/>
    <s v="TE-SYLA"/>
    <x v="7"/>
    <s v="DICHTUNG"/>
    <n v="2"/>
    <x v="1"/>
    <n v="0.2"/>
  </r>
  <r>
    <s v="SAN KOS"/>
    <x v="36"/>
    <n v="92.4"/>
    <m/>
    <m/>
    <x v="101"/>
    <s v="SAN KOS"/>
    <x v="4"/>
    <s v="M-ONE Sanitar Silikon"/>
    <n v="12"/>
    <x v="0"/>
    <n v="0.17"/>
  </r>
  <r>
    <s v="SAN KOS"/>
    <x v="36"/>
    <m/>
    <m/>
    <m/>
    <x v="101"/>
    <s v="SAN KOS"/>
    <x v="9"/>
    <s v="M-ONE Sanitar Silikon"/>
    <n v="12"/>
    <x v="0"/>
    <n v="0.17"/>
  </r>
  <r>
    <s v="GRANITI"/>
    <x v="36"/>
    <n v="184.8"/>
    <m/>
    <m/>
    <x v="80"/>
    <s v="GRANITI"/>
    <x v="4"/>
    <s v="M-ONE Sanitar Silikon"/>
    <n v="12"/>
    <x v="0"/>
    <n v="0.17"/>
  </r>
  <r>
    <s v="GRANITI"/>
    <x v="36"/>
    <m/>
    <m/>
    <m/>
    <x v="80"/>
    <s v="GRANITI"/>
    <x v="0"/>
    <s v="M-ONE Sanitar Silikon"/>
    <n v="12"/>
    <x v="0"/>
    <n v="0.17"/>
  </r>
  <r>
    <s v="GRANITI"/>
    <x v="36"/>
    <m/>
    <m/>
    <m/>
    <x v="80"/>
    <s v="GRANITI"/>
    <x v="2"/>
    <s v="M-ONE Sanitar Silikon"/>
    <n v="12"/>
    <x v="0"/>
    <n v="0.17"/>
  </r>
  <r>
    <s v="GRANITI"/>
    <x v="36"/>
    <m/>
    <m/>
    <m/>
    <x v="80"/>
    <s v="GRANITI"/>
    <x v="9"/>
    <s v="M-ONE Sanitar Silikon"/>
    <n v="12"/>
    <x v="0"/>
    <n v="0.17"/>
  </r>
  <r>
    <s v="UNIVERZAL"/>
    <x v="36"/>
    <n v="92.4"/>
    <m/>
    <m/>
    <x v="18"/>
    <s v="UNIVERZAL"/>
    <x v="0"/>
    <s v="M-ONE Sanitar Silikon"/>
    <n v="12"/>
    <x v="0"/>
    <n v="0.17"/>
  </r>
  <r>
    <s v="UNIVERZAL"/>
    <x v="36"/>
    <m/>
    <m/>
    <m/>
    <x v="18"/>
    <s v="UNIVERZAL"/>
    <x v="18"/>
    <s v="M-ONE Sanitar Silikon"/>
    <n v="12"/>
    <x v="0"/>
    <n v="0.17"/>
  </r>
  <r>
    <s v="GRANITI"/>
    <x v="36"/>
    <n v="92.4"/>
    <m/>
    <m/>
    <x v="80"/>
    <s v="GRANITI"/>
    <x v="2"/>
    <s v="M-ONE Sanitar Silikon"/>
    <n v="24"/>
    <x v="0"/>
    <n v="0.17"/>
  </r>
  <r>
    <s v="BEKA"/>
    <x v="37"/>
    <n v="46.2"/>
    <m/>
    <m/>
    <x v="81"/>
    <s v="BEKA"/>
    <x v="5"/>
    <s v="M-ONE Sanitar Silikon"/>
    <n v="12"/>
    <x v="0"/>
    <n v="0.17"/>
  </r>
  <r>
    <s v="REAL COLOR 2"/>
    <x v="37"/>
    <n v="113.4"/>
    <m/>
    <m/>
    <x v="26"/>
    <s v="REAL COLOR 2"/>
    <x v="16"/>
    <s v="Fettspray"/>
    <n v="6"/>
    <x v="0"/>
    <n v="0.2"/>
  </r>
  <r>
    <s v="REAL COLOR 2"/>
    <x v="37"/>
    <m/>
    <m/>
    <m/>
    <x v="26"/>
    <s v="REAL COLOR 2"/>
    <x v="20"/>
    <s v="M-ONE Sanitar Silikon"/>
    <n v="12"/>
    <x v="0"/>
    <n v="0.17"/>
  </r>
  <r>
    <s v="REAL COLOR 2"/>
    <x v="37"/>
    <m/>
    <m/>
    <m/>
    <x v="26"/>
    <s v="REAL COLOR 2"/>
    <x v="2"/>
    <s v="M-ONE Sanitar Silikon"/>
    <n v="12"/>
    <x v="0"/>
    <n v="0.17"/>
  </r>
  <r>
    <s v="ZAIMI"/>
    <x v="37"/>
    <n v="46.2"/>
    <m/>
    <m/>
    <x v="129"/>
    <e v="#N/A"/>
    <x v="9"/>
    <s v="M-ONE Sanitar Silikon"/>
    <n v="12"/>
    <x v="0"/>
    <n v="0.17"/>
  </r>
  <r>
    <s v="CARRALEVA 1"/>
    <x v="37"/>
    <n v="138.6"/>
    <m/>
    <m/>
    <x v="25"/>
    <s v="CARRALEVA 1"/>
    <x v="4"/>
    <s v="M-ONE Sanitar Silikon"/>
    <n v="12"/>
    <x v="0"/>
    <n v="0.17"/>
  </r>
  <r>
    <s v="CARRALEVA 1"/>
    <x v="37"/>
    <m/>
    <m/>
    <m/>
    <x v="25"/>
    <s v="CARRALEVA 1"/>
    <x v="0"/>
    <s v="M-ONE Sanitar Silikon"/>
    <n v="12"/>
    <x v="0"/>
    <n v="0.17"/>
  </r>
  <r>
    <s v="CARRALEVA 1"/>
    <x v="37"/>
    <m/>
    <m/>
    <m/>
    <x v="25"/>
    <s v="CARRALEVA 1"/>
    <x v="18"/>
    <s v="M-ONE Sanitar Silikon"/>
    <n v="12"/>
    <x v="0"/>
    <n v="0.17"/>
  </r>
  <r>
    <s v="REAL COLOR 2"/>
    <x v="37"/>
    <n v="46.2"/>
    <m/>
    <m/>
    <x v="26"/>
    <s v="REAL COLOR 2"/>
    <x v="0"/>
    <s v="M-ONE Sanitar Silikon"/>
    <n v="12"/>
    <x v="0"/>
    <n v="0.17"/>
  </r>
  <r>
    <s v="PROCOM"/>
    <x v="37"/>
    <n v="92.4"/>
    <m/>
    <m/>
    <x v="137"/>
    <s v="PROCOM"/>
    <x v="1"/>
    <s v="M-ONE Sanitar Silikon"/>
    <n v="12"/>
    <x v="0"/>
    <n v="0.17"/>
  </r>
  <r>
    <s v="PROCOM"/>
    <x v="37"/>
    <m/>
    <m/>
    <m/>
    <x v="137"/>
    <s v="PROCOM"/>
    <x v="18"/>
    <s v="M-ONE Sanitar Silikon"/>
    <n v="12"/>
    <x v="0"/>
    <n v="0.17"/>
  </r>
  <r>
    <s v="RACI"/>
    <x v="37"/>
    <n v="138.6"/>
    <m/>
    <m/>
    <x v="28"/>
    <s v="RACI"/>
    <x v="5"/>
    <s v="M-ONE Sanitar Silikon"/>
    <n v="12"/>
    <x v="1"/>
    <n v="0.17"/>
  </r>
  <r>
    <s v="RACI"/>
    <x v="37"/>
    <m/>
    <m/>
    <m/>
    <x v="28"/>
    <s v="RACI"/>
    <x v="1"/>
    <s v="M-ONE Sanitar Silikon"/>
    <n v="12"/>
    <x v="1"/>
    <n v="0.17"/>
  </r>
  <r>
    <s v="RACI"/>
    <x v="37"/>
    <m/>
    <m/>
    <m/>
    <x v="28"/>
    <s v="RACI"/>
    <x v="9"/>
    <s v="M-ONE Sanitar Silikon"/>
    <n v="12"/>
    <x v="1"/>
    <n v="0.17"/>
  </r>
  <r>
    <s v="LIRIDONA KLINE"/>
    <x v="37"/>
    <n v="184.8"/>
    <m/>
    <m/>
    <x v="30"/>
    <s v="LIRIDONA KLINE"/>
    <x v="4"/>
    <s v="M-ONE Sanitar Silikon"/>
    <n v="12"/>
    <x v="1"/>
    <n v="0.17"/>
  </r>
  <r>
    <s v="LIRIDONA KLINE"/>
    <x v="37"/>
    <m/>
    <m/>
    <m/>
    <x v="30"/>
    <s v="LIRIDONA KLINE"/>
    <x v="0"/>
    <s v="M-ONE Sanitar Silikon"/>
    <n v="24"/>
    <x v="1"/>
    <n v="0.17"/>
  </r>
  <r>
    <s v="LIRIDONA KLINE"/>
    <x v="37"/>
    <m/>
    <m/>
    <m/>
    <x v="30"/>
    <s v="LIRIDONA KLINE"/>
    <x v="9"/>
    <s v="M-ONE Sanitar Silikon"/>
    <n v="12"/>
    <x v="1"/>
    <n v="0.17"/>
  </r>
  <r>
    <s v="LIRIDONA HOME"/>
    <x v="37"/>
    <n v="92.4"/>
    <m/>
    <m/>
    <x v="106"/>
    <s v="LIRIDONA HOME"/>
    <x v="0"/>
    <s v="M-ONE Sanitar Silikon"/>
    <n v="12"/>
    <x v="1"/>
    <n v="0.17"/>
  </r>
  <r>
    <s v="LIRIDONA HOME"/>
    <x v="37"/>
    <m/>
    <m/>
    <m/>
    <x v="106"/>
    <s v="LIRIDONA HOME"/>
    <x v="18"/>
    <s v="M-ONE Sanitar Silikon"/>
    <n v="12"/>
    <x v="1"/>
    <n v="0.17"/>
  </r>
  <r>
    <s v="BERATI A.P. (1)"/>
    <x v="37"/>
    <n v="40"/>
    <m/>
    <m/>
    <x v="31"/>
    <s v="BERATI A.P. (1)"/>
    <x v="7"/>
    <s v="DICHTUNG"/>
    <n v="5"/>
    <x v="1"/>
    <n v="0.2"/>
  </r>
  <r>
    <s v="BYTYQI-V"/>
    <x v="37"/>
    <n v="129.6"/>
    <m/>
    <m/>
    <x v="149"/>
    <s v="BYTYQI-V"/>
    <x v="10"/>
    <s v="PROFIMONT EXTREME"/>
    <n v="12"/>
    <x v="1"/>
    <n v="0.2"/>
  </r>
  <r>
    <s v="BYTYQI-V"/>
    <x v="37"/>
    <m/>
    <m/>
    <m/>
    <x v="149"/>
    <s v="BYTYQI-V"/>
    <x v="22"/>
    <s v="universal akryl"/>
    <n v="48"/>
    <x v="1"/>
    <n v="0.06"/>
  </r>
  <r>
    <s v="TE BENI"/>
    <x v="37"/>
    <n v="231"/>
    <m/>
    <m/>
    <x v="107"/>
    <s v="TE BENI"/>
    <x v="0"/>
    <s v="M-ONE Sanitar Silikon"/>
    <n v="12"/>
    <x v="1"/>
    <n v="0.17"/>
  </r>
  <r>
    <s v="TE BENI"/>
    <x v="37"/>
    <m/>
    <m/>
    <m/>
    <x v="107"/>
    <s v="TE BENI"/>
    <x v="5"/>
    <s v="M-ONE Sanitar Silikon"/>
    <n v="12"/>
    <x v="1"/>
    <n v="0.17"/>
  </r>
  <r>
    <s v="TE BENI"/>
    <x v="37"/>
    <m/>
    <m/>
    <m/>
    <x v="107"/>
    <s v="TE BENI"/>
    <x v="25"/>
    <s v="M-ONE Sanitar Silikon"/>
    <n v="12"/>
    <x v="1"/>
    <n v="0.17"/>
  </r>
  <r>
    <s v="TE BENI"/>
    <x v="37"/>
    <m/>
    <m/>
    <m/>
    <x v="107"/>
    <s v="TE BENI"/>
    <x v="1"/>
    <s v="M-ONE Sanitar Silikon"/>
    <n v="12"/>
    <x v="1"/>
    <n v="0.17"/>
  </r>
  <r>
    <s v="TE BENI"/>
    <x v="37"/>
    <m/>
    <m/>
    <m/>
    <x v="107"/>
    <s v="TE BENI"/>
    <x v="2"/>
    <s v="M-ONE Sanitar Silikon"/>
    <n v="12"/>
    <x v="1"/>
    <n v="0.17"/>
  </r>
  <r>
    <s v="MEGI"/>
    <x v="37"/>
    <n v="28.8"/>
    <m/>
    <m/>
    <x v="33"/>
    <s v="MEGI"/>
    <x v="33"/>
    <s v="beMaker Handwaschpaste"/>
    <n v="4"/>
    <x v="1"/>
    <n v="0.1"/>
  </r>
  <r>
    <s v="MEGI"/>
    <x v="37"/>
    <m/>
    <m/>
    <m/>
    <x v="33"/>
    <s v="MEGI"/>
    <x v="12"/>
    <s v="beMAKER Rostlöser"/>
    <n v="11"/>
    <x v="1"/>
    <n v="0.2"/>
  </r>
  <r>
    <s v="AGROLONDI"/>
    <x v="38"/>
    <n v="92.4"/>
    <m/>
    <m/>
    <x v="39"/>
    <s v="AGROLONDI"/>
    <x v="0"/>
    <s v="M-ONE Sanitar Silikon"/>
    <n v="24"/>
    <x v="1"/>
    <n v="0.17"/>
  </r>
  <r>
    <s v="HIDRO DANI"/>
    <x v="38"/>
    <n v="115"/>
    <m/>
    <m/>
    <x v="113"/>
    <s v="HIDRO DANI"/>
    <x v="0"/>
    <s v="M-ONE Sanitar Silikon"/>
    <n v="12"/>
    <x v="1"/>
    <n v="0.17"/>
  </r>
  <r>
    <s v="HIDRO DANI"/>
    <x v="38"/>
    <m/>
    <m/>
    <m/>
    <x v="113"/>
    <s v="HIDRO DANI"/>
    <x v="10"/>
    <s v="PROFIMONT EXTREME"/>
    <n v="12"/>
    <x v="1"/>
    <n v="0.2"/>
  </r>
  <r>
    <s v="ALFA-QERAMIKA"/>
    <x v="38"/>
    <n v="92.4"/>
    <m/>
    <m/>
    <x v="115"/>
    <s v="ALFA-QERAMIKA"/>
    <x v="18"/>
    <s v="M-ONE Sanitar Silikon"/>
    <n v="12"/>
    <x v="1"/>
    <n v="0.17"/>
  </r>
  <r>
    <s v="ALFA-QERAMIKA"/>
    <x v="38"/>
    <m/>
    <m/>
    <m/>
    <x v="115"/>
    <s v="ALFA-QERAMIKA"/>
    <x v="1"/>
    <s v="M-ONE Sanitar Silikon"/>
    <n v="12"/>
    <x v="1"/>
    <n v="0.17"/>
  </r>
  <r>
    <s v="LONI"/>
    <x v="38"/>
    <n v="138.6"/>
    <m/>
    <m/>
    <x v="46"/>
    <s v="LONI"/>
    <x v="5"/>
    <s v="M-ONE Sanitar Silikon"/>
    <n v="12"/>
    <x v="1"/>
    <n v="0.17"/>
  </r>
  <r>
    <s v="LONI"/>
    <x v="38"/>
    <m/>
    <m/>
    <m/>
    <x v="46"/>
    <s v="LONI"/>
    <x v="20"/>
    <s v="M-ONE Sanitar Silikon"/>
    <n v="12"/>
    <x v="1"/>
    <n v="0.17"/>
  </r>
  <r>
    <s v="LONI"/>
    <x v="38"/>
    <m/>
    <m/>
    <m/>
    <x v="46"/>
    <s v="LONI"/>
    <x v="1"/>
    <s v="M-ONE Sanitar Silikon"/>
    <n v="12"/>
    <x v="1"/>
    <n v="0.17"/>
  </r>
  <r>
    <s v="TE-LUTA"/>
    <x v="38"/>
    <n v="92.4"/>
    <m/>
    <m/>
    <x v="131"/>
    <s v="TE-LUTA"/>
    <x v="4"/>
    <s v="M-ONE Sanitar Silikon"/>
    <n v="12"/>
    <x v="1"/>
    <n v="0.17"/>
  </r>
  <r>
    <s v="TE-LUTA"/>
    <x v="38"/>
    <m/>
    <m/>
    <m/>
    <x v="131"/>
    <s v="TE-LUTA"/>
    <x v="9"/>
    <s v="M-ONE Sanitar Silikon"/>
    <n v="12"/>
    <x v="1"/>
    <n v="0.17"/>
  </r>
  <r>
    <s v="F.V. SH.P.K. "/>
    <x v="38"/>
    <n v="162.30000000000001"/>
    <m/>
    <m/>
    <x v="45"/>
    <s v="F.V. SH.P.K. "/>
    <x v="4"/>
    <s v="M-ONE Sanitar Silikon"/>
    <n v="12"/>
    <x v="1"/>
    <n v="0.17"/>
  </r>
  <r>
    <s v="F.V. SH.P.K. "/>
    <x v="38"/>
    <m/>
    <m/>
    <m/>
    <x v="45"/>
    <s v="F.V. SH.P.K. "/>
    <x v="1"/>
    <s v="M-ONE Sanitar Silikon"/>
    <n v="12"/>
    <x v="1"/>
    <n v="0.17"/>
  </r>
  <r>
    <s v="F.V. SH.P.K. "/>
    <x v="38"/>
    <m/>
    <m/>
    <m/>
    <x v="45"/>
    <s v="F.V. SH.P.K. "/>
    <x v="23"/>
    <s v="M ONE HAFTGRUND"/>
    <n v="6"/>
    <x v="1"/>
    <n v="0.15"/>
  </r>
  <r>
    <s v="F.V. SH.P.K. "/>
    <x v="38"/>
    <m/>
    <m/>
    <m/>
    <x v="45"/>
    <s v="F.V. SH.P.K. "/>
    <x v="7"/>
    <s v="DICHTUNG"/>
    <n v="7"/>
    <x v="1"/>
    <n v="0.2"/>
  </r>
  <r>
    <s v="F.V. SH.P.K. "/>
    <x v="38"/>
    <m/>
    <m/>
    <m/>
    <x v="45"/>
    <s v="F.V. SH.P.K. "/>
    <x v="13"/>
    <s v="M ONE MOTORSTART"/>
    <n v="3"/>
    <x v="1"/>
    <n v="0.2"/>
  </r>
  <r>
    <s v="AS QERAMIKA"/>
    <x v="38"/>
    <n v="554.4"/>
    <m/>
    <m/>
    <x v="150"/>
    <s v="AS QERAMIKA"/>
    <x v="18"/>
    <s v="M-ONE Sanitar Silikon"/>
    <n v="96"/>
    <x v="1"/>
    <n v="0.17"/>
  </r>
  <r>
    <s v="AS QERAMIKA"/>
    <x v="38"/>
    <m/>
    <m/>
    <m/>
    <x v="150"/>
    <s v="AS QERAMIKA"/>
    <x v="9"/>
    <s v="M-ONE Sanitar Silikon"/>
    <n v="48"/>
    <x v="1"/>
    <n v="0.17"/>
  </r>
  <r>
    <s v="BULONI - SH"/>
    <x v="38"/>
    <n v="110.4"/>
    <m/>
    <m/>
    <x v="47"/>
    <s v="BULONI - SH"/>
    <x v="0"/>
    <s v="M-ONE Sanitar Silikon"/>
    <n v="12"/>
    <x v="1"/>
    <n v="0.17"/>
  </r>
  <r>
    <s v="BULONI - SH"/>
    <x v="38"/>
    <m/>
    <m/>
    <m/>
    <x v="47"/>
    <s v="BULONI - SH"/>
    <x v="9"/>
    <s v="M-ONE Sanitar Silikon"/>
    <n v="12"/>
    <x v="1"/>
    <n v="0.17"/>
  </r>
  <r>
    <s v="BULONI - SH"/>
    <x v="38"/>
    <m/>
    <m/>
    <m/>
    <x v="47"/>
    <s v="BULONI - SH"/>
    <x v="36"/>
    <s v="M ONE GOLD SPRAY"/>
    <n v="12"/>
    <x v="1"/>
    <n v="0.15"/>
  </r>
  <r>
    <s v="TE ZENA"/>
    <x v="38"/>
    <n v="46.2"/>
    <m/>
    <m/>
    <x v="84"/>
    <s v="TE ZENA"/>
    <x v="1"/>
    <s v="M-ONE Sanitar Silikon"/>
    <n v="12"/>
    <x v="0"/>
    <n v="0.17"/>
  </r>
  <r>
    <s v="ALBANI"/>
    <x v="38"/>
    <n v="21"/>
    <m/>
    <m/>
    <x v="111"/>
    <e v="#N/A"/>
    <x v="16"/>
    <s v="Fettspray"/>
    <n v="6"/>
    <x v="0"/>
    <n v="0.2"/>
  </r>
  <r>
    <s v="ALBANI"/>
    <x v="38"/>
    <m/>
    <m/>
    <m/>
    <x v="83"/>
    <e v="#N/A"/>
    <x v="9"/>
    <s v="M-ONE Sanitar Silikon"/>
    <n v="12"/>
    <x v="0"/>
    <n v="0.17"/>
  </r>
  <r>
    <s v="ALBANI"/>
    <x v="38"/>
    <m/>
    <m/>
    <m/>
    <x v="83"/>
    <e v="#N/A"/>
    <x v="4"/>
    <s v="M-ONE Sanitar Silikon"/>
    <n v="12"/>
    <x v="0"/>
    <n v="0.17"/>
  </r>
  <r>
    <s v="TE KELA"/>
    <x v="38"/>
    <n v="46"/>
    <m/>
    <m/>
    <x v="151"/>
    <s v="TE KELA"/>
    <x v="7"/>
    <s v="DICHTUNG"/>
    <n v="5"/>
    <x v="0"/>
    <n v="0.2"/>
  </r>
  <r>
    <s v="TE KELA"/>
    <x v="38"/>
    <m/>
    <m/>
    <m/>
    <x v="151"/>
    <s v="TE KELA"/>
    <x v="12"/>
    <s v="beMAKER Rostlöser"/>
    <n v="5"/>
    <x v="0"/>
    <n v="0.2"/>
  </r>
  <r>
    <s v="ALBANI"/>
    <x v="38"/>
    <n v="92.4"/>
    <m/>
    <m/>
    <x v="34"/>
    <e v="#N/A"/>
    <x v="0"/>
    <s v="M-ONE Sanitar Silikon"/>
    <n v="12"/>
    <x v="0"/>
    <n v="0.17"/>
  </r>
  <r>
    <s v="ALBANI"/>
    <x v="38"/>
    <m/>
    <m/>
    <m/>
    <x v="34"/>
    <e v="#N/A"/>
    <x v="2"/>
    <s v="M-ONE Sanitar Silikon"/>
    <n v="12"/>
    <x v="0"/>
    <n v="0.17"/>
  </r>
  <r>
    <s v="KUJTA"/>
    <x v="38"/>
    <n v="46.2"/>
    <m/>
    <m/>
    <x v="36"/>
    <s v="KUJTA"/>
    <x v="3"/>
    <s v="M-ONE Sanitar Silikon"/>
    <n v="12"/>
    <x v="0"/>
    <n v="0.17"/>
  </r>
  <r>
    <s v="HIDROELDI"/>
    <x v="39"/>
    <n v="92.4"/>
    <m/>
    <m/>
    <x v="85"/>
    <s v="HIDROELDI"/>
    <x v="4"/>
    <s v="M-ONE Sanitar Silikon"/>
    <n v="12"/>
    <x v="0"/>
    <n v="0.17"/>
  </r>
  <r>
    <s v="HIDROELDI"/>
    <x v="39"/>
    <m/>
    <m/>
    <m/>
    <x v="85"/>
    <s v="HIDROELDI"/>
    <x v="18"/>
    <s v="M-ONE Sanitar Silikon"/>
    <n v="12"/>
    <x v="0"/>
    <n v="0.17"/>
  </r>
  <r>
    <s v="JETARI"/>
    <x v="39"/>
    <n v="46.2"/>
    <m/>
    <m/>
    <x v="87"/>
    <s v="JETARI"/>
    <x v="0"/>
    <s v="M-ONE Sanitar Silikon"/>
    <n v="12"/>
    <x v="0"/>
    <n v="0.17"/>
  </r>
  <r>
    <s v="KADIJOLLET"/>
    <x v="39"/>
    <n v="138.6"/>
    <m/>
    <m/>
    <x v="49"/>
    <s v="KADIJOLLET"/>
    <x v="9"/>
    <s v="M-ONE Sanitar Silikon"/>
    <n v="12"/>
    <x v="0"/>
    <n v="0.17"/>
  </r>
  <r>
    <s v="KADIJOLLET"/>
    <x v="39"/>
    <m/>
    <m/>
    <m/>
    <x v="49"/>
    <s v="KADIJOLLET"/>
    <x v="1"/>
    <s v="M-ONE Sanitar Silikon"/>
    <n v="12"/>
    <x v="0"/>
    <n v="0.17"/>
  </r>
  <r>
    <s v="KADIJOLLET"/>
    <x v="39"/>
    <m/>
    <m/>
    <m/>
    <x v="49"/>
    <s v="KADIJOLLET"/>
    <x v="2"/>
    <s v="M-ONE Sanitar Silikon"/>
    <n v="12"/>
    <x v="0"/>
    <n v="0.17"/>
  </r>
  <r>
    <s v="QELA"/>
    <x v="39"/>
    <n v="39.5"/>
    <m/>
    <m/>
    <x v="50"/>
    <s v="QELA"/>
    <x v="12"/>
    <s v="beMAKER Rostlöser"/>
    <n v="4"/>
    <x v="0"/>
    <n v="0.2"/>
  </r>
  <r>
    <s v="QELA"/>
    <x v="39"/>
    <m/>
    <m/>
    <m/>
    <x v="50"/>
    <s v="QELA"/>
    <x v="16"/>
    <s v="Fettspray"/>
    <n v="2"/>
    <x v="0"/>
    <n v="0.2"/>
  </r>
  <r>
    <s v="QELA"/>
    <x v="39"/>
    <m/>
    <m/>
    <m/>
    <x v="50"/>
    <s v="QELA"/>
    <x v="13"/>
    <s v="M ONE MOTORSTART"/>
    <n v="7"/>
    <x v="0"/>
    <n v="0.2"/>
  </r>
  <r>
    <s v="BESI COM"/>
    <x v="39"/>
    <n v="46.2"/>
    <m/>
    <m/>
    <x v="51"/>
    <s v="BESI COM"/>
    <x v="6"/>
    <s v="M-ONE Sanitar Silikon"/>
    <n v="12"/>
    <x v="0"/>
    <n v="0.17"/>
  </r>
  <r>
    <s v="KENA COMERC"/>
    <x v="39"/>
    <n v="184.8"/>
    <m/>
    <m/>
    <x v="52"/>
    <s v="KENA COMERC"/>
    <x v="5"/>
    <s v="M-ONE Sanitar Silikon"/>
    <n v="24"/>
    <x v="1"/>
    <n v="0.17"/>
  </r>
  <r>
    <s v="KENA COMERC"/>
    <x v="39"/>
    <m/>
    <m/>
    <m/>
    <x v="52"/>
    <s v="KENA COMERC"/>
    <x v="20"/>
    <s v="M-ONE Sanitar Silikon"/>
    <n v="12"/>
    <x v="1"/>
    <n v="0.17"/>
  </r>
  <r>
    <s v="KENA COMERC"/>
    <x v="39"/>
    <m/>
    <m/>
    <m/>
    <x v="52"/>
    <s v="KENA COMERC"/>
    <x v="0"/>
    <s v="M-ONE Sanitar Silikon"/>
    <n v="12"/>
    <x v="1"/>
    <n v="0.17"/>
  </r>
  <r>
    <s v="KUQI-LKW"/>
    <x v="39"/>
    <n v="89.4"/>
    <m/>
    <m/>
    <x v="120"/>
    <s v="KUQI-LKW"/>
    <x v="7"/>
    <s v="DICHTUNG"/>
    <n v="7"/>
    <x v="1"/>
    <n v="0.2"/>
  </r>
  <r>
    <s v="KUQI-LKW"/>
    <x v="39"/>
    <m/>
    <m/>
    <m/>
    <x v="120"/>
    <s v="KUQI-LKW"/>
    <x v="13"/>
    <s v="M ONE MOTORSTART"/>
    <n v="6"/>
    <x v="1"/>
    <n v="0.2"/>
  </r>
  <r>
    <s v="KUQI-LKW"/>
    <x v="39"/>
    <m/>
    <m/>
    <m/>
    <x v="120"/>
    <s v="KUQI-LKW"/>
    <x v="12"/>
    <s v="beMAKER Rostlöser"/>
    <n v="9"/>
    <x v="1"/>
    <n v="0.2"/>
  </r>
  <r>
    <s v="TERMO PROJEKT"/>
    <x v="39"/>
    <n v="69.599999999999994"/>
    <m/>
    <m/>
    <x v="56"/>
    <s v="TERMO PROJEKT"/>
    <x v="10"/>
    <s v="PROFIMONT EXTREME"/>
    <n v="12"/>
    <x v="1"/>
    <n v="0.2"/>
  </r>
  <r>
    <s v="LULI-C"/>
    <x v="39"/>
    <n v="254.4"/>
    <m/>
    <m/>
    <x v="54"/>
    <s v="LULI-C"/>
    <x v="4"/>
    <s v="M-ONE Sanitar Silikon"/>
    <n v="12"/>
    <x v="1"/>
    <n v="0.17"/>
  </r>
  <r>
    <s v="LULI-C"/>
    <x v="39"/>
    <m/>
    <m/>
    <m/>
    <x v="54"/>
    <s v="LULI-C"/>
    <x v="18"/>
    <s v="M-ONE Sanitar Silikon"/>
    <n v="12"/>
    <x v="1"/>
    <n v="0.17"/>
  </r>
  <r>
    <s v="LULI-C"/>
    <x v="39"/>
    <m/>
    <m/>
    <m/>
    <x v="54"/>
    <s v="LULI-C"/>
    <x v="25"/>
    <s v="M-ONE Sanitar Silikon"/>
    <n v="12"/>
    <x v="1"/>
    <n v="0.17"/>
  </r>
  <r>
    <s v="LULI-C"/>
    <x v="39"/>
    <m/>
    <m/>
    <m/>
    <x v="54"/>
    <s v="LULI-C"/>
    <x v="1"/>
    <s v="M-ONE Sanitar Silikon"/>
    <n v="12"/>
    <x v="1"/>
    <n v="0.17"/>
  </r>
  <r>
    <s v="LULI-C"/>
    <x v="39"/>
    <m/>
    <m/>
    <m/>
    <x v="54"/>
    <s v="LULI-C"/>
    <x v="10"/>
    <s v="PROFIMONT EXTREME"/>
    <n v="12"/>
    <x v="1"/>
    <n v="0.2"/>
  </r>
  <r>
    <s v="CAMA BAU"/>
    <x v="39"/>
    <n v="138.6"/>
    <m/>
    <m/>
    <x v="55"/>
    <s v="CAMA BAU"/>
    <x v="4"/>
    <s v="M-ONE Sanitar Silikon"/>
    <n v="12"/>
    <x v="1"/>
    <n v="0.17"/>
  </r>
  <r>
    <s v="CAMA BAU"/>
    <x v="39"/>
    <m/>
    <m/>
    <m/>
    <x v="55"/>
    <s v="CAMA BAU"/>
    <x v="6"/>
    <s v="M-ONE Sanitar Silikon"/>
    <n v="12"/>
    <x v="1"/>
    <n v="0.17"/>
  </r>
  <r>
    <s v="CAMA BAU"/>
    <x v="39"/>
    <m/>
    <m/>
    <m/>
    <x v="55"/>
    <s v="CAMA BAU"/>
    <x v="1"/>
    <s v="M-ONE Sanitar Silikon"/>
    <n v="12"/>
    <x v="1"/>
    <n v="0.17"/>
  </r>
  <r>
    <s v="KTHIMI"/>
    <x v="39"/>
    <n v="138.6"/>
    <m/>
    <m/>
    <x v="57"/>
    <s v="KTHIMI"/>
    <x v="18"/>
    <s v="M-ONE Sanitar Silikon"/>
    <n v="24"/>
    <x v="1"/>
    <n v="0.17"/>
  </r>
  <r>
    <s v="KTHIMI"/>
    <x v="39"/>
    <m/>
    <m/>
    <m/>
    <x v="57"/>
    <s v="KTHIMI"/>
    <x v="3"/>
    <s v="M-ONE Sanitar Silikon"/>
    <n v="12"/>
    <x v="1"/>
    <n v="0.17"/>
  </r>
  <r>
    <s v="ENESI"/>
    <x v="39"/>
    <n v="92.4"/>
    <m/>
    <m/>
    <x v="88"/>
    <s v="ENESI"/>
    <x v="0"/>
    <s v="M-ONE Sanitar Silikon"/>
    <n v="12"/>
    <x v="1"/>
    <n v="0.17"/>
  </r>
  <r>
    <s v="ENESI"/>
    <x v="39"/>
    <m/>
    <m/>
    <m/>
    <x v="88"/>
    <s v="ENESI"/>
    <x v="9"/>
    <s v="M-ONE Sanitar Silikon"/>
    <n v="12"/>
    <x v="1"/>
    <n v="0.17"/>
  </r>
  <r>
    <s v="YLLI CONSTRUCION"/>
    <x v="39"/>
    <n v="52"/>
    <m/>
    <m/>
    <x v="128"/>
    <s v="YLLI CONSTRUCION"/>
    <x v="4"/>
    <s v="M-ONE Sanitar Silikon"/>
    <n v="12"/>
    <x v="2"/>
    <n v="0.17"/>
  </r>
  <r>
    <s v="YLLI CONSTRUCION"/>
    <x v="39"/>
    <m/>
    <m/>
    <m/>
    <x v="128"/>
    <s v="YLLI CONSTRUCION"/>
    <x v="20"/>
    <s v="M-ONE Sanitar Silikon"/>
    <n v="1"/>
    <x v="2"/>
    <n v="0.17"/>
  </r>
  <r>
    <s v="ARBENI BIOBLIC"/>
    <x v="39"/>
    <n v="252.5"/>
    <m/>
    <m/>
    <x v="71"/>
    <s v="ARBENI BIOBLIC"/>
    <x v="28"/>
    <s v="BioBlic Universalreiniger"/>
    <n v="150"/>
    <x v="2"/>
    <n v="0.30000000000000004"/>
  </r>
  <r>
    <s v="ARBENI BIOBLIC"/>
    <x v="39"/>
    <m/>
    <m/>
    <m/>
    <x v="71"/>
    <s v="ARBENI BIOBLIC"/>
    <x v="29"/>
    <s v="Blic Blic Sanitärreiniger"/>
    <n v="40"/>
    <x v="2"/>
    <n v="0.30000000000000004"/>
  </r>
  <r>
    <s v="ARBENI BIOBLIC"/>
    <x v="39"/>
    <m/>
    <m/>
    <m/>
    <x v="71"/>
    <s v="ARBENI BIOBLIC"/>
    <x v="24"/>
    <s v="M ONE SILIKON SPRAY"/>
    <n v="5"/>
    <x v="2"/>
    <n v="0.2"/>
  </r>
  <r>
    <s v="FORD BASHKIMI"/>
    <x v="39"/>
    <n v="8.5"/>
    <m/>
    <m/>
    <x v="58"/>
    <s v="FORD BASHKIMI"/>
    <x v="7"/>
    <s v="DICHTUNG"/>
    <n v="1"/>
    <x v="2"/>
    <n v="0.2"/>
  </r>
  <r>
    <s v="TAULANTI"/>
    <x v="40"/>
    <n v="92.4"/>
    <m/>
    <m/>
    <x v="89"/>
    <e v="#N/A"/>
    <x v="3"/>
    <s v="M-ONE Sanitar Silikon"/>
    <n v="24"/>
    <x v="0"/>
    <n v="0.17"/>
  </r>
  <r>
    <s v="JETA DUHEL"/>
    <x v="40"/>
    <n v="46.2"/>
    <m/>
    <m/>
    <x v="152"/>
    <s v="JETA DUHEL"/>
    <x v="1"/>
    <s v="M-ONE Sanitar Silikon"/>
    <n v="12"/>
    <x v="0"/>
    <n v="0.17"/>
  </r>
  <r>
    <s v="XHAFA"/>
    <x v="40"/>
    <n v="206.4"/>
    <m/>
    <m/>
    <x v="61"/>
    <s v="XHAFA"/>
    <x v="4"/>
    <s v="M-ONE Sanitar Silikon"/>
    <n v="12"/>
    <x v="0"/>
    <n v="0.17"/>
  </r>
  <r>
    <s v="XHAFA"/>
    <x v="40"/>
    <m/>
    <m/>
    <m/>
    <x v="61"/>
    <s v="XHAFA"/>
    <x v="1"/>
    <s v="M-ONE Sanitar Silikon"/>
    <n v="12"/>
    <x v="0"/>
    <n v="0.17"/>
  </r>
  <r>
    <s v="XHAFA"/>
    <x v="40"/>
    <m/>
    <m/>
    <m/>
    <x v="61"/>
    <s v="XHAFA"/>
    <x v="18"/>
    <s v="M-ONE Sanitar Silikon"/>
    <n v="12"/>
    <x v="0"/>
    <n v="0.17"/>
  </r>
  <r>
    <s v="XHAFA"/>
    <x v="40"/>
    <m/>
    <m/>
    <m/>
    <x v="61"/>
    <s v="XHAFA"/>
    <x v="9"/>
    <s v="M-ONE Sanitar Silikon"/>
    <n v="12"/>
    <x v="0"/>
    <n v="0.17"/>
  </r>
  <r>
    <s v="XHAFA"/>
    <x v="40"/>
    <m/>
    <m/>
    <m/>
    <x v="61"/>
    <s v="XHAFA"/>
    <x v="7"/>
    <s v="DICHTUNG"/>
    <n v="3"/>
    <x v="0"/>
    <n v="0.2"/>
  </r>
  <r>
    <s v="TE BESNIKU"/>
    <x v="40"/>
    <n v="106"/>
    <m/>
    <m/>
    <x v="65"/>
    <s v="TE BESNIKU"/>
    <x v="33"/>
    <s v="beMaker Handwaschpaste"/>
    <n v="8"/>
    <x v="0"/>
    <n v="0.1"/>
  </r>
  <r>
    <s v="TE BESNIKU"/>
    <x v="40"/>
    <m/>
    <m/>
    <m/>
    <x v="65"/>
    <s v="TE BESNIKU"/>
    <x v="1"/>
    <s v="M-ONE Sanitar Silikon"/>
    <n v="24"/>
    <x v="0"/>
    <n v="0.17"/>
  </r>
  <r>
    <s v="ARPO"/>
    <x v="40"/>
    <n v="277.2"/>
    <m/>
    <m/>
    <x v="64"/>
    <s v="ARPO"/>
    <x v="0"/>
    <s v="M-ONE Sanitar Silikon"/>
    <n v="12"/>
    <x v="0"/>
    <n v="0.17"/>
  </r>
  <r>
    <s v="ARPO"/>
    <x v="40"/>
    <m/>
    <m/>
    <m/>
    <x v="64"/>
    <s v="ARPO"/>
    <x v="5"/>
    <s v="M-ONE Sanitar Silikon"/>
    <n v="12"/>
    <x v="0"/>
    <n v="0.17"/>
  </r>
  <r>
    <s v="ARPO"/>
    <x v="40"/>
    <m/>
    <m/>
    <m/>
    <x v="64"/>
    <s v="ARPO"/>
    <x v="18"/>
    <s v="M-ONE Sanitar Silikon"/>
    <n v="12"/>
    <x v="0"/>
    <n v="0.17"/>
  </r>
  <r>
    <s v="ARPO"/>
    <x v="40"/>
    <m/>
    <m/>
    <m/>
    <x v="64"/>
    <s v="ARPO"/>
    <x v="20"/>
    <s v="M-ONE Sanitar Silikon"/>
    <n v="12"/>
    <x v="0"/>
    <n v="0.17"/>
  </r>
  <r>
    <s v="ARPO"/>
    <x v="40"/>
    <m/>
    <m/>
    <m/>
    <x v="64"/>
    <s v="ARPO"/>
    <x v="1"/>
    <s v="M-ONE Sanitar Silikon"/>
    <n v="12"/>
    <x v="0"/>
    <n v="0.17"/>
  </r>
  <r>
    <s v="ARPO"/>
    <x v="40"/>
    <m/>
    <m/>
    <m/>
    <x v="64"/>
    <s v="ARPO"/>
    <x v="2"/>
    <s v="M-ONE Sanitar Silikon"/>
    <n v="12"/>
    <x v="0"/>
    <n v="0.17"/>
  </r>
  <r>
    <s v="ARPO"/>
    <x v="40"/>
    <m/>
    <m/>
    <m/>
    <x v="64"/>
    <s v="ARPO"/>
    <x v="22"/>
    <s v="universal akryl"/>
    <n v="24"/>
    <x v="0"/>
    <n v="0.06"/>
  </r>
  <r>
    <s v="TEMAJ"/>
    <x v="40"/>
    <n v="92.4"/>
    <m/>
    <m/>
    <x v="91"/>
    <s v="TEMAJ"/>
    <x v="18"/>
    <s v="M-ONE Sanitar Silikon"/>
    <n v="24"/>
    <x v="2"/>
    <n v="0.17"/>
  </r>
  <r>
    <s v="QEMA"/>
    <x v="40"/>
    <n v="348"/>
    <m/>
    <m/>
    <x v="134"/>
    <s v="QEMA"/>
    <x v="10"/>
    <s v="PROFIMONT EXTREME"/>
    <n v="60"/>
    <x v="0"/>
    <n v="0.2"/>
  </r>
  <r>
    <s v="PROSAN"/>
    <x v="40"/>
    <n v="92.4"/>
    <m/>
    <m/>
    <x v="153"/>
    <s v="PROSAN"/>
    <x v="0"/>
    <s v="M-ONE Sanitar Silikon"/>
    <n v="24"/>
    <x v="1"/>
    <n v="0.17"/>
  </r>
  <r>
    <s v="GER COLORS"/>
    <x v="40"/>
    <n v="80"/>
    <m/>
    <m/>
    <x v="94"/>
    <s v="GER COLORS"/>
    <x v="26"/>
    <s v="BAU CLEAN"/>
    <n v="10"/>
    <x v="1"/>
    <n v="0.5"/>
  </r>
  <r>
    <s v="LETAJ"/>
    <x v="40"/>
    <n v="190.2"/>
    <m/>
    <m/>
    <x v="67"/>
    <s v="LETAJ"/>
    <x v="0"/>
    <s v="M-ONE Sanitar Silikon"/>
    <n v="12"/>
    <x v="1"/>
    <n v="0.17"/>
  </r>
  <r>
    <s v="LETAJ"/>
    <x v="40"/>
    <m/>
    <m/>
    <m/>
    <x v="67"/>
    <s v="LETAJ"/>
    <x v="5"/>
    <s v="M-ONE Sanitar Silikon"/>
    <n v="12"/>
    <x v="1"/>
    <n v="0.17"/>
  </r>
  <r>
    <s v="LETAJ"/>
    <x v="40"/>
    <m/>
    <m/>
    <m/>
    <x v="67"/>
    <s v="LETAJ"/>
    <x v="25"/>
    <s v="M-ONE Sanitar Silikon"/>
    <n v="12"/>
    <x v="1"/>
    <n v="0.17"/>
  </r>
  <r>
    <s v="LETAJ"/>
    <x v="40"/>
    <m/>
    <m/>
    <m/>
    <x v="67"/>
    <s v="LETAJ"/>
    <x v="12"/>
    <s v="beMAKER Rostlöser"/>
    <n v="12"/>
    <x v="1"/>
    <n v="0.2"/>
  </r>
  <r>
    <s v="LETAJ"/>
    <x v="40"/>
    <m/>
    <m/>
    <m/>
    <x v="67"/>
    <s v="LETAJ"/>
    <x v="8"/>
    <s v="struktural akryl"/>
    <n v="12"/>
    <x v="1"/>
    <n v="0.06"/>
  </r>
  <r>
    <s v="GER COLORS"/>
    <x v="40"/>
    <n v="208.2"/>
    <m/>
    <m/>
    <x v="94"/>
    <s v="GER COLORS"/>
    <x v="10"/>
    <s v="PROFIMONT EXTREME"/>
    <n v="12"/>
    <x v="1"/>
    <n v="0.2"/>
  </r>
  <r>
    <s v="GER COLORS"/>
    <x v="40"/>
    <m/>
    <m/>
    <m/>
    <x v="94"/>
    <s v="GER COLORS"/>
    <x v="3"/>
    <s v="M-ONE Sanitar Silikon"/>
    <n v="12"/>
    <x v="1"/>
    <n v="0.17"/>
  </r>
  <r>
    <s v="GER COLORS"/>
    <x v="40"/>
    <m/>
    <m/>
    <m/>
    <x v="94"/>
    <s v="GER COLORS"/>
    <x v="1"/>
    <s v="M-ONE Sanitar Silikon"/>
    <n v="12"/>
    <x v="1"/>
    <n v="0.17"/>
  </r>
  <r>
    <s v="GER COLORS"/>
    <x v="40"/>
    <m/>
    <m/>
    <m/>
    <x v="94"/>
    <s v="GER COLORS"/>
    <x v="2"/>
    <s v="M-ONE Sanitar Silikon"/>
    <n v="12"/>
    <x v="1"/>
    <n v="0.17"/>
  </r>
  <r>
    <s v="INOX 2"/>
    <x v="40"/>
    <n v="138.6"/>
    <m/>
    <m/>
    <x v="93"/>
    <s v="INOX 2"/>
    <x v="3"/>
    <s v="M-ONE Sanitar Silikon"/>
    <n v="12"/>
    <x v="1"/>
    <n v="0.17"/>
  </r>
  <r>
    <s v="INOX 2"/>
    <x v="40"/>
    <m/>
    <m/>
    <m/>
    <x v="93"/>
    <s v="INOX 2"/>
    <x v="4"/>
    <s v="M-ONE Sanitar Silikon"/>
    <n v="12"/>
    <x v="1"/>
    <n v="0.17"/>
  </r>
  <r>
    <s v="INOX 2"/>
    <x v="40"/>
    <m/>
    <m/>
    <m/>
    <x v="93"/>
    <s v="INOX 2"/>
    <x v="1"/>
    <s v="M-ONE Sanitar Silikon"/>
    <n v="12"/>
    <x v="1"/>
    <n v="0.17"/>
  </r>
  <r>
    <s v="V. GJONAJ"/>
    <x v="40"/>
    <n v="115.8"/>
    <m/>
    <m/>
    <x v="122"/>
    <s v="V. GJONAJ"/>
    <x v="18"/>
    <s v="M-ONE Sanitar Silikon"/>
    <n v="12"/>
    <x v="1"/>
    <n v="0.17"/>
  </r>
  <r>
    <s v="V. GJONAJ"/>
    <x v="40"/>
    <m/>
    <m/>
    <m/>
    <x v="122"/>
    <s v="V. GJONAJ"/>
    <x v="10"/>
    <s v="PROFIMONT EXTREME"/>
    <n v="12"/>
    <x v="1"/>
    <n v="0.2"/>
  </r>
  <r>
    <s v="AFRIMI-AG"/>
    <x v="40"/>
    <n v="232.8"/>
    <m/>
    <m/>
    <x v="69"/>
    <s v="AFRIMI-AG"/>
    <x v="0"/>
    <s v="M-ONE Sanitar Silikon"/>
    <n v="12"/>
    <x v="1"/>
    <n v="0.17"/>
  </r>
  <r>
    <s v="AFRIMI-AG"/>
    <x v="40"/>
    <m/>
    <m/>
    <m/>
    <x v="69"/>
    <s v="AFRIMI-AG"/>
    <x v="5"/>
    <s v="M-ONE Sanitar Silikon"/>
    <n v="12"/>
    <x v="1"/>
    <n v="0.17"/>
  </r>
  <r>
    <s v="AFRIMI-AG"/>
    <x v="40"/>
    <m/>
    <m/>
    <m/>
    <x v="69"/>
    <s v="AFRIMI-AG"/>
    <x v="18"/>
    <s v="M-ONE Sanitar Silikon"/>
    <n v="12"/>
    <x v="1"/>
    <n v="0.17"/>
  </r>
  <r>
    <s v="AFRIMI-AG"/>
    <x v="40"/>
    <m/>
    <m/>
    <m/>
    <x v="69"/>
    <s v="AFRIMI-AG"/>
    <x v="9"/>
    <s v="M-ONE Sanitar Silikon"/>
    <n v="12"/>
    <x v="1"/>
    <n v="0.17"/>
  </r>
  <r>
    <s v="AFRIMI-AG"/>
    <x v="40"/>
    <m/>
    <m/>
    <m/>
    <x v="69"/>
    <s v="AFRIMI-AG"/>
    <x v="17"/>
    <s v="M ONE UBS"/>
    <n v="12"/>
    <x v="1"/>
    <n v="0.2"/>
  </r>
  <r>
    <s v="TE BESIMI"/>
    <x v="40"/>
    <n v="154.6"/>
    <m/>
    <m/>
    <x v="70"/>
    <s v="TE BESIMI"/>
    <x v="0"/>
    <s v="M-ONE Sanitar Silikon"/>
    <n v="12"/>
    <x v="1"/>
    <n v="0.17"/>
  </r>
  <r>
    <s v="TE BESIMI"/>
    <x v="40"/>
    <m/>
    <m/>
    <m/>
    <x v="70"/>
    <s v="TE BESIMI"/>
    <x v="5"/>
    <s v="M-ONE Sanitar Silikon"/>
    <n v="12"/>
    <x v="1"/>
    <n v="0.17"/>
  </r>
  <r>
    <s v="TE BESIMI"/>
    <x v="40"/>
    <m/>
    <m/>
    <m/>
    <x v="70"/>
    <s v="TE BESIMI"/>
    <x v="20"/>
    <s v="M-ONE Sanitar Silikon"/>
    <n v="12"/>
    <x v="1"/>
    <n v="0.17"/>
  </r>
  <r>
    <s v="TE BESIMI"/>
    <x v="40"/>
    <m/>
    <m/>
    <m/>
    <x v="70"/>
    <s v="TE BESIMI"/>
    <x v="7"/>
    <s v="DICHTUNG"/>
    <n v="2"/>
    <x v="1"/>
    <n v="0.2"/>
  </r>
  <r>
    <s v="ERENIKU"/>
    <x v="40"/>
    <n v="92.4"/>
    <m/>
    <m/>
    <x v="92"/>
    <s v="ERENIKU"/>
    <x v="4"/>
    <s v="M-ONE Sanitar Silikon"/>
    <n v="12"/>
    <x v="1"/>
    <n v="0.17"/>
  </r>
  <r>
    <s v="ERENIKU"/>
    <x v="40"/>
    <m/>
    <m/>
    <m/>
    <x v="92"/>
    <s v="ERENIKU"/>
    <x v="2"/>
    <s v="M-ONE Sanitar Silikon"/>
    <n v="12"/>
    <x v="1"/>
    <n v="0.17"/>
  </r>
  <r>
    <s v="EUROSAN"/>
    <x v="41"/>
    <n v="36"/>
    <m/>
    <m/>
    <x v="123"/>
    <s v="EUROSAN"/>
    <x v="28"/>
    <s v="BioBlic Universalreiniger"/>
    <n v="10"/>
    <x v="0"/>
    <n v="0.30000000000000004"/>
  </r>
  <r>
    <s v="EUROSAN"/>
    <x v="41"/>
    <m/>
    <m/>
    <m/>
    <x v="123"/>
    <s v="EUROSAN"/>
    <x v="37"/>
    <s v="Bio Blic Antikalk"/>
    <n v="10"/>
    <x v="0"/>
    <n v="0.30000000000000004"/>
  </r>
  <r>
    <s v="BURIMI"/>
    <x v="41"/>
    <n v="46.2"/>
    <m/>
    <m/>
    <x v="5"/>
    <s v="BURIMI"/>
    <x v="0"/>
    <s v="M-ONE Sanitar Silikon"/>
    <n v="12"/>
    <x v="0"/>
    <n v="0.17"/>
  </r>
  <r>
    <s v="DARDANIA"/>
    <x v="41"/>
    <n v="92.4"/>
    <m/>
    <m/>
    <x v="6"/>
    <s v="DARDANIA"/>
    <x v="18"/>
    <s v="M-ONE Sanitar Silikon"/>
    <n v="12"/>
    <x v="0"/>
    <n v="0.17"/>
  </r>
  <r>
    <s v="DARDANIA"/>
    <x v="41"/>
    <m/>
    <m/>
    <m/>
    <x v="6"/>
    <s v="DARDANIA"/>
    <x v="1"/>
    <s v="M-ONE Sanitar Silikon"/>
    <n v="12"/>
    <x v="0"/>
    <n v="0.17"/>
  </r>
  <r>
    <s v="FUNDAMETI"/>
    <x v="41"/>
    <n v="46.2"/>
    <m/>
    <m/>
    <x v="7"/>
    <s v="FUNDAMETI"/>
    <x v="18"/>
    <s v="M-ONE Sanitar Silikon"/>
    <n v="12"/>
    <x v="0"/>
    <n v="0.17"/>
  </r>
  <r>
    <s v="BALLKANI"/>
    <x v="41"/>
    <n v="138.6"/>
    <m/>
    <m/>
    <x v="98"/>
    <s v="BALLKANI"/>
    <x v="1"/>
    <s v="M-ONE Sanitar Silikon"/>
    <n v="24"/>
    <x v="0"/>
    <n v="0.17"/>
  </r>
  <r>
    <s v="BALLKANI"/>
    <x v="41"/>
    <m/>
    <m/>
    <m/>
    <x v="98"/>
    <s v="BALLKANI"/>
    <x v="9"/>
    <s v="M-ONE Sanitar Silikon"/>
    <n v="12"/>
    <x v="0"/>
    <n v="0.17"/>
  </r>
  <r>
    <s v="SMIRA"/>
    <x v="41"/>
    <n v="92.4"/>
    <m/>
    <m/>
    <x v="75"/>
    <s v="SMIRA"/>
    <x v="4"/>
    <s v="M-ONE Sanitar Silikon"/>
    <n v="12"/>
    <x v="0"/>
    <n v="0.17"/>
  </r>
  <r>
    <s v="SMIRA"/>
    <x v="41"/>
    <m/>
    <m/>
    <m/>
    <x v="75"/>
    <s v="SMIRA"/>
    <x v="0"/>
    <s v="M-ONE Sanitar Silikon"/>
    <n v="12"/>
    <x v="0"/>
    <n v="0.17"/>
  </r>
  <r>
    <s v="BEKA-2"/>
    <x v="41"/>
    <n v="46"/>
    <m/>
    <m/>
    <x v="154"/>
    <s v="BEKA-2"/>
    <x v="7"/>
    <s v="DICHTUNG"/>
    <n v="5"/>
    <x v="0"/>
    <n v="0.2"/>
  </r>
  <r>
    <s v="BEKA-2"/>
    <x v="41"/>
    <m/>
    <m/>
    <m/>
    <x v="154"/>
    <s v="BEKA-2"/>
    <x v="12"/>
    <s v="beMAKER Rostlöser"/>
    <n v="5"/>
    <x v="0"/>
    <n v="0.2"/>
  </r>
  <r>
    <s v="TINA"/>
    <x v="41"/>
    <n v="92.4"/>
    <m/>
    <m/>
    <x v="2"/>
    <s v="TINA"/>
    <x v="3"/>
    <s v="M-ONE Sanitar Silikon"/>
    <n v="12"/>
    <x v="0"/>
    <n v="0.17"/>
  </r>
  <r>
    <s v="TINA"/>
    <x v="41"/>
    <m/>
    <m/>
    <m/>
    <x v="2"/>
    <s v="TINA"/>
    <x v="18"/>
    <s v="M-ONE Sanitar Silikon"/>
    <n v="12"/>
    <x v="0"/>
    <n v="0.17"/>
  </r>
  <r>
    <s v="ERALP"/>
    <x v="41"/>
    <n v="46.2"/>
    <m/>
    <m/>
    <x v="1"/>
    <s v="ERALP"/>
    <x v="1"/>
    <s v="M-ONE Sanitar Silikon"/>
    <n v="12"/>
    <x v="0"/>
    <n v="0.17"/>
  </r>
  <r>
    <s v="KETI VEE SHPK"/>
    <x v="41"/>
    <n v="92.4"/>
    <m/>
    <m/>
    <x v="155"/>
    <s v="KETI VEE SHPK"/>
    <x v="2"/>
    <s v="M-ONE Sanitar Silikon"/>
    <n v="24"/>
    <x v="0"/>
    <n v="0.17"/>
  </r>
  <r>
    <s v="HAZROLLI"/>
    <x v="41"/>
    <n v="162"/>
    <m/>
    <m/>
    <x v="9"/>
    <s v="HAZROLLI"/>
    <x v="0"/>
    <s v="M-ONE Sanitar Silikon"/>
    <n v="24"/>
    <x v="1"/>
    <n v="0.17"/>
  </r>
  <r>
    <s v="HAZROLLI"/>
    <x v="41"/>
    <m/>
    <m/>
    <m/>
    <x v="9"/>
    <s v="HAZROLLI"/>
    <x v="10"/>
    <s v="PROFIMONT EXTREME"/>
    <n v="12"/>
    <x v="1"/>
    <n v="0.2"/>
  </r>
  <r>
    <s v="CONDOR"/>
    <x v="41"/>
    <n v="402"/>
    <m/>
    <m/>
    <x v="11"/>
    <s v="CONDOR"/>
    <x v="4"/>
    <s v="M-ONE Sanitar Silikon"/>
    <n v="24"/>
    <x v="1"/>
    <n v="0.17"/>
  </r>
  <r>
    <s v="CONDOR"/>
    <x v="41"/>
    <m/>
    <m/>
    <m/>
    <x v="11"/>
    <s v="CONDOR"/>
    <x v="0"/>
    <s v="M-ONE Sanitar Silikon"/>
    <n v="24"/>
    <x v="1"/>
    <n v="0.17"/>
  </r>
  <r>
    <s v="CONDOR"/>
    <x v="41"/>
    <m/>
    <m/>
    <m/>
    <x v="11"/>
    <s v="CONDOR"/>
    <x v="18"/>
    <s v="M-ONE Sanitar Silikon"/>
    <n v="12"/>
    <x v="1"/>
    <n v="0.17"/>
  </r>
  <r>
    <s v="CONDOR"/>
    <x v="41"/>
    <m/>
    <m/>
    <m/>
    <x v="11"/>
    <s v="CONDOR"/>
    <x v="9"/>
    <s v="M-ONE Sanitar Silikon"/>
    <n v="12"/>
    <x v="1"/>
    <n v="0.17"/>
  </r>
  <r>
    <s v="CONDOR"/>
    <x v="41"/>
    <m/>
    <m/>
    <m/>
    <x v="11"/>
    <s v="CONDOR"/>
    <x v="8"/>
    <s v="struktural akryl"/>
    <n v="24"/>
    <x v="1"/>
    <n v="0.06"/>
  </r>
  <r>
    <s v="CONDOR"/>
    <x v="41"/>
    <m/>
    <m/>
    <m/>
    <x v="11"/>
    <s v="CONDOR"/>
    <x v="10"/>
    <s v="PROFIMONT EXTREME"/>
    <n v="12"/>
    <x v="1"/>
    <n v="0.2"/>
  </r>
  <r>
    <s v="BARDHI-M"/>
    <x v="41"/>
    <n v="92.4"/>
    <m/>
    <m/>
    <x v="77"/>
    <s v="BARDHI-M"/>
    <x v="5"/>
    <s v="M-ONE Sanitar Silikon"/>
    <n v="12"/>
    <x v="1"/>
    <n v="0.17"/>
  </r>
  <r>
    <s v="BARDHI-M"/>
    <x v="41"/>
    <m/>
    <m/>
    <m/>
    <x v="77"/>
    <s v="BARDHI-M"/>
    <x v="1"/>
    <s v="M-ONE Sanitar Silikon"/>
    <n v="12"/>
    <x v="1"/>
    <n v="0.17"/>
  </r>
  <r>
    <s v="FITIMI"/>
    <x v="41"/>
    <n v="138.6"/>
    <m/>
    <m/>
    <x v="16"/>
    <s v="FITIMI"/>
    <x v="0"/>
    <s v="M-ONE Sanitar Silikon"/>
    <n v="12"/>
    <x v="1"/>
    <n v="0.17"/>
  </r>
  <r>
    <s v="FITIMI"/>
    <x v="41"/>
    <m/>
    <m/>
    <m/>
    <x v="16"/>
    <s v="FITIMI"/>
    <x v="20"/>
    <s v="M-ONE Sanitar Silikon"/>
    <n v="12"/>
    <x v="1"/>
    <n v="0.17"/>
  </r>
  <r>
    <s v="FITIMI"/>
    <x v="41"/>
    <m/>
    <m/>
    <m/>
    <x v="16"/>
    <s v="FITIMI"/>
    <x v="1"/>
    <s v="M-ONE Sanitar Silikon"/>
    <n v="12"/>
    <x v="1"/>
    <n v="0.17"/>
  </r>
  <r>
    <s v="DURGUTI 3"/>
    <x v="41"/>
    <n v="92.4"/>
    <m/>
    <m/>
    <x v="12"/>
    <s v="DURGUTI 3"/>
    <x v="4"/>
    <s v="M-ONE Sanitar Silikon"/>
    <n v="12"/>
    <x v="1"/>
    <n v="0.17"/>
  </r>
  <r>
    <s v="DURGUTI 3"/>
    <x v="41"/>
    <m/>
    <m/>
    <m/>
    <x v="12"/>
    <s v="DURGUTI 3"/>
    <x v="1"/>
    <s v="M-ONE Sanitar Silikon"/>
    <n v="12"/>
    <x v="1"/>
    <n v="0.17"/>
  </r>
  <r>
    <s v="SHEHU-A"/>
    <x v="41"/>
    <n v="86.4"/>
    <m/>
    <m/>
    <x v="17"/>
    <s v="SHEHU-A"/>
    <x v="7"/>
    <s v="DICHTUNG"/>
    <n v="12"/>
    <x v="1"/>
    <n v="0.2"/>
  </r>
  <r>
    <s v="ARTURI"/>
    <x v="41"/>
    <n v="110.4"/>
    <m/>
    <m/>
    <x v="156"/>
    <s v="ARTURI"/>
    <x v="4"/>
    <s v="M-ONE Sanitar Silikon"/>
    <n v="12"/>
    <x v="1"/>
    <n v="0.17"/>
  </r>
  <r>
    <s v="ARTURI"/>
    <x v="41"/>
    <m/>
    <m/>
    <m/>
    <x v="156"/>
    <s v="ARTURI"/>
    <x v="0"/>
    <s v="M-ONE Sanitar Silikon"/>
    <n v="12"/>
    <x v="1"/>
    <n v="0.17"/>
  </r>
  <r>
    <s v="ARTURI"/>
    <x v="41"/>
    <m/>
    <m/>
    <m/>
    <x v="156"/>
    <s v="ARTURI"/>
    <x v="30"/>
    <s v="M ONE ANTHRAZIT"/>
    <n v="12"/>
    <x v="1"/>
    <n v="0.15"/>
  </r>
  <r>
    <s v="NDRIQIMI"/>
    <x v="42"/>
    <n v="92.4"/>
    <m/>
    <m/>
    <x v="79"/>
    <s v="NDRIQIMI"/>
    <x v="4"/>
    <s v="M-ONE Sanitar Silikon"/>
    <n v="12"/>
    <x v="0"/>
    <n v="0.17"/>
  </r>
  <r>
    <s v="NDRIQIMI"/>
    <x v="42"/>
    <m/>
    <m/>
    <m/>
    <x v="79"/>
    <s v="NDRIQIMI"/>
    <x v="18"/>
    <s v="M-ONE Sanitar Silikon"/>
    <n v="12"/>
    <x v="0"/>
    <n v="0.17"/>
  </r>
  <r>
    <s v="AGRONI"/>
    <x v="42"/>
    <n v="18"/>
    <m/>
    <m/>
    <x v="22"/>
    <s v="AGRONI"/>
    <x v="24"/>
    <s v="M ONE SILIKON SPRAY"/>
    <n v="2"/>
    <x v="0"/>
    <n v="0.2"/>
  </r>
  <r>
    <s v="AGRONI"/>
    <x v="42"/>
    <m/>
    <m/>
    <m/>
    <x v="22"/>
    <s v="AGRONI"/>
    <x v="12"/>
    <s v="beMAKER Rostlöser"/>
    <n v="6"/>
    <x v="0"/>
    <n v="0.2"/>
  </r>
  <r>
    <s v="GRANITI"/>
    <x v="42"/>
    <n v="277.2"/>
    <m/>
    <m/>
    <x v="80"/>
    <s v="GRANITI"/>
    <x v="2"/>
    <s v="M-ONE Sanitar Silikon"/>
    <n v="24"/>
    <x v="0"/>
    <n v="0.17"/>
  </r>
  <r>
    <s v="GRANITI"/>
    <x v="42"/>
    <m/>
    <m/>
    <m/>
    <x v="80"/>
    <s v="GRANITI"/>
    <x v="4"/>
    <s v="M-ONE Sanitar Silikon"/>
    <n v="12"/>
    <x v="0"/>
    <n v="0.17"/>
  </r>
  <r>
    <s v="GRANITI"/>
    <x v="42"/>
    <m/>
    <m/>
    <m/>
    <x v="80"/>
    <s v="GRANITI"/>
    <x v="5"/>
    <s v="M-ONE Sanitar Silikon"/>
    <n v="12"/>
    <x v="0"/>
    <n v="0.17"/>
  </r>
  <r>
    <s v="GRANITI"/>
    <x v="42"/>
    <m/>
    <m/>
    <m/>
    <x v="80"/>
    <s v="GRANITI"/>
    <x v="20"/>
    <s v="M-ONE Sanitar Silikon"/>
    <n v="12"/>
    <x v="0"/>
    <n v="0.17"/>
  </r>
  <r>
    <s v="GRANITI"/>
    <x v="42"/>
    <m/>
    <m/>
    <m/>
    <x v="80"/>
    <s v="GRANITI"/>
    <x v="6"/>
    <s v="M-ONE Sanitar Silikon"/>
    <n v="12"/>
    <x v="0"/>
    <n v="0.17"/>
  </r>
  <r>
    <s v="DRCOR"/>
    <x v="42"/>
    <n v="46.2"/>
    <m/>
    <m/>
    <x v="157"/>
    <s v="DRCOR"/>
    <x v="20"/>
    <s v="M-ONE Sanitar Silikon"/>
    <n v="12"/>
    <x v="0"/>
    <n v="0.17"/>
  </r>
  <r>
    <s v="YLLI CONSTRUCION"/>
    <x v="43"/>
    <n v="20"/>
    <m/>
    <m/>
    <x v="128"/>
    <s v="YLLI CONSTRUCION"/>
    <x v="1"/>
    <s v="M-ONE Sanitar Silikon"/>
    <n v="5"/>
    <x v="2"/>
    <n v="0.17"/>
  </r>
  <r>
    <s v="PROCOM"/>
    <x v="43"/>
    <n v="46.2"/>
    <m/>
    <m/>
    <x v="137"/>
    <s v="PROCOM"/>
    <x v="0"/>
    <s v="M-ONE Sanitar Silikon"/>
    <n v="12"/>
    <x v="0"/>
    <n v="0.17"/>
  </r>
  <r>
    <s v="CARRALEVA 1"/>
    <x v="43"/>
    <n v="184.8"/>
    <m/>
    <m/>
    <x v="25"/>
    <s v="CARRALEVA 1"/>
    <x v="1"/>
    <s v="M-ONE Sanitar Silikon"/>
    <n v="12"/>
    <x v="0"/>
    <n v="0.17"/>
  </r>
  <r>
    <s v="CARRALEVA 1"/>
    <x v="43"/>
    <m/>
    <m/>
    <m/>
    <x v="25"/>
    <s v="CARRALEVA 1"/>
    <x v="0"/>
    <s v="M-ONE Sanitar Silikon"/>
    <n v="12"/>
    <x v="0"/>
    <n v="0.17"/>
  </r>
  <r>
    <s v="CARRALEVA 1"/>
    <x v="43"/>
    <m/>
    <m/>
    <m/>
    <x v="25"/>
    <s v="CARRALEVA 1"/>
    <x v="20"/>
    <s v="M-ONE Sanitar Silikon"/>
    <n v="24"/>
    <x v="0"/>
    <n v="0.17"/>
  </r>
  <r>
    <s v="MULI"/>
    <x v="43"/>
    <n v="92.4"/>
    <m/>
    <m/>
    <x v="158"/>
    <s v="MULI"/>
    <x v="3"/>
    <s v="M-ONE Sanitar Silikon"/>
    <n v="12"/>
    <x v="0"/>
    <n v="0.17"/>
  </r>
  <r>
    <s v="MULI"/>
    <x v="43"/>
    <m/>
    <m/>
    <m/>
    <x v="158"/>
    <s v="MULI"/>
    <x v="1"/>
    <s v="M-ONE Sanitar Silikon"/>
    <n v="12"/>
    <x v="0"/>
    <n v="0.17"/>
  </r>
  <r>
    <s v="BALLKANI"/>
    <x v="43"/>
    <n v="46.2"/>
    <m/>
    <m/>
    <x v="98"/>
    <s v="BALLKANI"/>
    <x v="9"/>
    <s v="M-ONE Sanitar Silikon"/>
    <n v="24"/>
    <x v="0"/>
    <n v="0.17"/>
  </r>
  <r>
    <s v="ARDI LIPJAN"/>
    <x v="43"/>
    <n v="106.4"/>
    <m/>
    <m/>
    <x v="27"/>
    <s v="ARDI LIPJAN"/>
    <x v="7"/>
    <s v="DICHTUNG"/>
    <n v="12"/>
    <x v="0"/>
    <n v="0.2"/>
  </r>
  <r>
    <s v="ARDI LIPJAN"/>
    <x v="43"/>
    <m/>
    <m/>
    <m/>
    <x v="27"/>
    <s v="ARDI LIPJAN"/>
    <x v="13"/>
    <s v="M ONE MOTORSTART"/>
    <n v="4"/>
    <x v="0"/>
    <n v="0.2"/>
  </r>
  <r>
    <s v="ARDI LIPJAN"/>
    <x v="43"/>
    <m/>
    <m/>
    <m/>
    <x v="27"/>
    <s v="ARDI LIPJAN"/>
    <x v="34"/>
    <s v="M ONE FELGENSILBER"/>
    <n v="3"/>
    <x v="0"/>
    <n v="0.15"/>
  </r>
  <r>
    <s v="REAL COLOR 2"/>
    <x v="43"/>
    <n v="92.4"/>
    <m/>
    <m/>
    <x v="26"/>
    <s v="REAL COLOR 2"/>
    <x v="0"/>
    <s v="M-ONE Sanitar Silikon"/>
    <n v="12"/>
    <x v="0"/>
    <n v="0.17"/>
  </r>
  <r>
    <s v="REAL COLOR 2"/>
    <x v="43"/>
    <m/>
    <m/>
    <m/>
    <x v="26"/>
    <s v="REAL COLOR 2"/>
    <x v="9"/>
    <s v="M-ONE Sanitar Silikon"/>
    <n v="12"/>
    <x v="0"/>
    <n v="0.17"/>
  </r>
  <r>
    <s v="PROCOM"/>
    <x v="43"/>
    <n v="46.2"/>
    <m/>
    <m/>
    <x v="137"/>
    <s v="PROCOM"/>
    <x v="18"/>
    <s v="M-ONE Sanitar Silikon"/>
    <n v="12"/>
    <x v="0"/>
    <n v="0.17"/>
  </r>
  <r>
    <s v="LONI"/>
    <x v="43"/>
    <n v="36"/>
    <m/>
    <m/>
    <x v="24"/>
    <s v="LONI"/>
    <x v="7"/>
    <s v="DICHTUNG"/>
    <n v="5"/>
    <x v="0"/>
    <n v="0.2"/>
  </r>
  <r>
    <s v="RACI"/>
    <x v="43"/>
    <n v="69.599999999999994"/>
    <m/>
    <m/>
    <x v="28"/>
    <s v="RACI"/>
    <x v="10"/>
    <s v="PROFIMONT EXTREME"/>
    <n v="12"/>
    <x v="1"/>
    <n v="0.2"/>
  </r>
  <r>
    <s v="LIRIDONA KLINE"/>
    <x v="43"/>
    <n v="92.4"/>
    <m/>
    <m/>
    <x v="30"/>
    <s v="LIRIDONA KLINE"/>
    <x v="1"/>
    <s v="M-ONE Sanitar Silikon"/>
    <n v="24"/>
    <x v="1"/>
    <n v="0.17"/>
  </r>
  <r>
    <s v="LIRIDONA HOME"/>
    <x v="43"/>
    <n v="115.8"/>
    <m/>
    <m/>
    <x v="106"/>
    <s v="LIRIDONA HOME"/>
    <x v="20"/>
    <s v="M-ONE Sanitar Silikon"/>
    <n v="12"/>
    <x v="1"/>
    <n v="0.17"/>
  </r>
  <r>
    <s v="LIRIDONA HOME"/>
    <x v="43"/>
    <m/>
    <m/>
    <m/>
    <x v="106"/>
    <s v="LIRIDONA HOME"/>
    <x v="10"/>
    <s v="PROFIMONT EXTREME"/>
    <n v="12"/>
    <x v="1"/>
    <n v="0.2"/>
  </r>
  <r>
    <s v="BYTYQI-V"/>
    <x v="43"/>
    <n v="101.4"/>
    <m/>
    <m/>
    <x v="149"/>
    <s v="BYTYQI-V"/>
    <x v="9"/>
    <s v="M-ONE Sanitar Silikon"/>
    <n v="12"/>
    <x v="1"/>
    <n v="0.17"/>
  </r>
  <r>
    <s v="BYTYQI-V"/>
    <x v="43"/>
    <m/>
    <m/>
    <m/>
    <x v="149"/>
    <s v="BYTYQI-V"/>
    <x v="8"/>
    <s v="struktural akryl"/>
    <n v="24"/>
    <x v="1"/>
    <n v="0.06"/>
  </r>
  <r>
    <s v="LIRIDONA-A"/>
    <x v="43"/>
    <n v="138.6"/>
    <m/>
    <m/>
    <x v="105"/>
    <s v="LIRIDONA-A"/>
    <x v="3"/>
    <s v="M-ONE Sanitar Silikon"/>
    <n v="12"/>
    <x v="1"/>
    <n v="0.17"/>
  </r>
  <r>
    <s v="LIRIDONA-A"/>
    <x v="43"/>
    <m/>
    <m/>
    <m/>
    <x v="105"/>
    <s v="LIRIDONA-A"/>
    <x v="5"/>
    <s v="M-ONE Sanitar Silikon"/>
    <n v="12"/>
    <x v="1"/>
    <n v="0.17"/>
  </r>
  <r>
    <s v="LIRIDONA-A"/>
    <x v="43"/>
    <m/>
    <m/>
    <m/>
    <x v="105"/>
    <s v="LIRIDONA-A"/>
    <x v="2"/>
    <s v="M-ONE Sanitar Silikon"/>
    <n v="12"/>
    <x v="1"/>
    <n v="0.17"/>
  </r>
  <r>
    <s v="TE BENI"/>
    <x v="43"/>
    <n v="138.6"/>
    <m/>
    <m/>
    <x v="107"/>
    <s v="TE BENI"/>
    <x v="3"/>
    <s v="M-ONE Sanitar Silikon"/>
    <n v="12"/>
    <x v="1"/>
    <n v="0.17"/>
  </r>
  <r>
    <s v="TE BENI"/>
    <x v="43"/>
    <m/>
    <m/>
    <m/>
    <x v="107"/>
    <s v="TE BENI"/>
    <x v="1"/>
    <s v="M-ONE Sanitar Silikon"/>
    <n v="12"/>
    <x v="1"/>
    <n v="0.17"/>
  </r>
  <r>
    <s v="TE BENI"/>
    <x v="43"/>
    <m/>
    <m/>
    <m/>
    <x v="107"/>
    <s v="TE BENI"/>
    <x v="20"/>
    <s v="M-ONE Sanitar Silikon"/>
    <n v="12"/>
    <x v="1"/>
    <n v="0.17"/>
  </r>
  <r>
    <s v="MEGI"/>
    <x v="43"/>
    <n v="107.4"/>
    <m/>
    <m/>
    <x v="33"/>
    <s v="MEGI"/>
    <x v="7"/>
    <s v="DICHTUNG"/>
    <n v="12"/>
    <x v="1"/>
    <n v="0.2"/>
  </r>
  <r>
    <s v="MEGI"/>
    <x v="43"/>
    <m/>
    <m/>
    <m/>
    <x v="33"/>
    <s v="MEGI"/>
    <x v="13"/>
    <s v="M ONE MOTORSTART"/>
    <n v="6"/>
    <x v="1"/>
    <n v="0.2"/>
  </r>
  <r>
    <s v="A.P. HOTI"/>
    <x v="43"/>
    <n v="81.400000000000006"/>
    <m/>
    <m/>
    <x v="138"/>
    <s v="A.P. HOTI"/>
    <x v="7"/>
    <s v="DICHTUNG"/>
    <n v="7"/>
    <x v="1"/>
    <n v="0.2"/>
  </r>
  <r>
    <s v="A.P. HOTI"/>
    <x v="43"/>
    <m/>
    <m/>
    <m/>
    <x v="138"/>
    <s v="A.P. HOTI"/>
    <x v="16"/>
    <s v="Fettspray"/>
    <n v="6"/>
    <x v="1"/>
    <n v="0.2"/>
  </r>
  <r>
    <s v="A.P. HOTI"/>
    <x v="43"/>
    <m/>
    <m/>
    <m/>
    <x v="138"/>
    <s v="A.P. HOTI"/>
    <x v="12"/>
    <s v="beMAKER Rostlöser"/>
    <n v="5"/>
    <x v="1"/>
    <n v="0.2"/>
  </r>
  <r>
    <s v="TERMIKA"/>
    <x v="43"/>
    <n v="99.4"/>
    <m/>
    <m/>
    <x v="108"/>
    <s v="TERMIKA"/>
    <x v="4"/>
    <s v="M-ONE Sanitar Silikon"/>
    <n v="12"/>
    <x v="1"/>
    <n v="0.17"/>
  </r>
  <r>
    <s v="TERMIKA"/>
    <x v="43"/>
    <m/>
    <m/>
    <m/>
    <x v="108"/>
    <s v="TERMIKA"/>
    <x v="18"/>
    <s v="M-ONE Sanitar Silikon"/>
    <n v="12"/>
    <x v="1"/>
    <n v="0.17"/>
  </r>
  <r>
    <s v="TERMIKA"/>
    <x v="43"/>
    <m/>
    <m/>
    <m/>
    <x v="108"/>
    <s v="TERMIKA"/>
    <x v="16"/>
    <s v="Fettspray"/>
    <n v="2"/>
    <x v="1"/>
    <n v="0.2"/>
  </r>
  <r>
    <s v="ALBANI"/>
    <x v="44"/>
    <n v="46.2"/>
    <m/>
    <m/>
    <x v="34"/>
    <e v="#N/A"/>
    <x v="1"/>
    <s v="M-ONE Sanitar Silikon"/>
    <n v="12"/>
    <x v="0"/>
    <n v="0.17"/>
  </r>
  <r>
    <s v="HOXHA"/>
    <x v="44"/>
    <n v="40"/>
    <m/>
    <m/>
    <x v="159"/>
    <s v="HOXHA"/>
    <x v="14"/>
    <s v="beMAKER Bremsen&amp;Teile Reininger"/>
    <n v="16"/>
    <x v="0"/>
    <n v="0.2"/>
  </r>
  <r>
    <s v="HOXHA"/>
    <x v="44"/>
    <m/>
    <m/>
    <m/>
    <x v="159"/>
    <s v="HOXHA"/>
    <x v="12"/>
    <s v="beMAKER Rostlöser"/>
    <n v="4"/>
    <x v="0"/>
    <n v="0.2"/>
  </r>
  <r>
    <s v="ALBANI"/>
    <x v="44"/>
    <n v="46.2"/>
    <m/>
    <m/>
    <x v="83"/>
    <e v="#N/A"/>
    <x v="4"/>
    <s v="M-ONE Sanitar Silikon"/>
    <n v="12"/>
    <x v="0"/>
    <n v="0.17"/>
  </r>
  <r>
    <s v="ALBANI"/>
    <x v="44"/>
    <m/>
    <m/>
    <m/>
    <x v="111"/>
    <e v="#N/A"/>
    <x v="7"/>
    <s v="DICHTUNG"/>
    <n v="12"/>
    <x v="0"/>
    <n v="0.2"/>
  </r>
  <r>
    <s v="KUJTA"/>
    <x v="44"/>
    <n v="184.8"/>
    <m/>
    <m/>
    <x v="36"/>
    <s v="KUJTA"/>
    <x v="18"/>
    <s v="M-ONE Sanitar Silikon"/>
    <n v="12"/>
    <x v="0"/>
    <n v="0.17"/>
  </r>
  <r>
    <s v="KUJTA"/>
    <x v="44"/>
    <m/>
    <m/>
    <m/>
    <x v="36"/>
    <s v="KUJTA"/>
    <x v="25"/>
    <s v="M-ONE Sanitar Silikon"/>
    <n v="12"/>
    <x v="0"/>
    <n v="0.17"/>
  </r>
  <r>
    <s v="KUJTA"/>
    <x v="44"/>
    <m/>
    <m/>
    <m/>
    <x v="36"/>
    <s v="KUJTA"/>
    <x v="20"/>
    <s v="M-ONE Sanitar Silikon"/>
    <n v="12"/>
    <x v="0"/>
    <n v="0.17"/>
  </r>
  <r>
    <s v="KUJTA"/>
    <x v="44"/>
    <m/>
    <m/>
    <m/>
    <x v="36"/>
    <s v="KUJTA"/>
    <x v="2"/>
    <s v="M-ONE Sanitar Silikon"/>
    <n v="12"/>
    <x v="0"/>
    <n v="0.17"/>
  </r>
  <r>
    <s v="PROMOIN"/>
    <x v="44"/>
    <n v="126"/>
    <m/>
    <m/>
    <x v="117"/>
    <s v="PROMOIN"/>
    <x v="25"/>
    <s v="M-ONE Sanitar Silikon"/>
    <n v="24"/>
    <x v="1"/>
    <n v="0.17"/>
  </r>
  <r>
    <s v="PROMOIN"/>
    <x v="44"/>
    <m/>
    <m/>
    <m/>
    <x v="117"/>
    <s v="PROMOIN"/>
    <x v="8"/>
    <s v="struktural akryl"/>
    <n v="12"/>
    <x v="1"/>
    <n v="0.06"/>
  </r>
  <r>
    <s v="PROMOIN"/>
    <x v="44"/>
    <m/>
    <m/>
    <m/>
    <x v="117"/>
    <s v="PROMOIN"/>
    <x v="12"/>
    <s v="beMAKER Rostlöser"/>
    <n v="3"/>
    <x v="1"/>
    <n v="0.2"/>
  </r>
  <r>
    <s v="ILIRI QERAMIKA"/>
    <x v="44"/>
    <n v="184.8"/>
    <m/>
    <m/>
    <x v="41"/>
    <s v="ILIRI QERAMIKA"/>
    <x v="4"/>
    <s v="M-ONE Sanitar Silikon"/>
    <n v="12"/>
    <x v="1"/>
    <n v="0.17"/>
  </r>
  <r>
    <s v="ILIRI QERAMIKA"/>
    <x v="44"/>
    <m/>
    <m/>
    <m/>
    <x v="41"/>
    <s v="ILIRI QERAMIKA"/>
    <x v="18"/>
    <s v="M-ONE Sanitar Silikon"/>
    <n v="12"/>
    <x v="1"/>
    <n v="0.17"/>
  </r>
  <r>
    <s v="ILIRI QERAMIKA"/>
    <x v="44"/>
    <m/>
    <m/>
    <m/>
    <x v="41"/>
    <s v="ILIRI QERAMIKA"/>
    <x v="1"/>
    <s v="M-ONE Sanitar Silikon"/>
    <n v="24"/>
    <x v="1"/>
    <n v="0.17"/>
  </r>
  <r>
    <s v="UNIKA"/>
    <x v="44"/>
    <n v="138.6"/>
    <m/>
    <m/>
    <x v="43"/>
    <s v="UNIKA"/>
    <x v="5"/>
    <s v="M-ONE Sanitar Silikon"/>
    <n v="12"/>
    <x v="1"/>
    <n v="0.17"/>
  </r>
  <r>
    <s v="UNIKA"/>
    <x v="44"/>
    <m/>
    <m/>
    <m/>
    <x v="43"/>
    <s v="UNIKA"/>
    <x v="18"/>
    <s v="M-ONE Sanitar Silikon"/>
    <n v="12"/>
    <x v="1"/>
    <n v="0.17"/>
  </r>
  <r>
    <s v="UNIKA"/>
    <x v="44"/>
    <m/>
    <m/>
    <m/>
    <x v="43"/>
    <s v="UNIKA"/>
    <x v="1"/>
    <s v="M-ONE Sanitar Silikon"/>
    <n v="12"/>
    <x v="1"/>
    <n v="0.17"/>
  </r>
  <r>
    <s v="ALFA-QERAMIKA"/>
    <x v="44"/>
    <n v="184.8"/>
    <m/>
    <m/>
    <x v="115"/>
    <s v="ALFA-QERAMIKA"/>
    <x v="0"/>
    <s v="M-ONE Sanitar Silikon"/>
    <n v="12"/>
    <x v="1"/>
    <n v="0.17"/>
  </r>
  <r>
    <s v="ALFA-QERAMIKA"/>
    <x v="44"/>
    <m/>
    <m/>
    <m/>
    <x v="115"/>
    <s v="ALFA-QERAMIKA"/>
    <x v="5"/>
    <s v="M-ONE Sanitar Silikon"/>
    <n v="24"/>
    <x v="1"/>
    <n v="0.17"/>
  </r>
  <r>
    <s v="ALFA-QERAMIKA"/>
    <x v="44"/>
    <m/>
    <m/>
    <m/>
    <x v="115"/>
    <s v="ALFA-QERAMIKA"/>
    <x v="1"/>
    <s v="M-ONE Sanitar Silikon"/>
    <n v="12"/>
    <x v="1"/>
    <n v="0.17"/>
  </r>
  <r>
    <s v="AGRO-XHETI"/>
    <x v="44"/>
    <n v="401.6"/>
    <m/>
    <m/>
    <x v="114"/>
    <s v="AGRO-XHETI"/>
    <x v="2"/>
    <s v="M-ONE Sanitar Silikon"/>
    <n v="12"/>
    <x v="1"/>
    <n v="0.17"/>
  </r>
  <r>
    <s v="AGRO-XHETI"/>
    <x v="44"/>
    <m/>
    <m/>
    <m/>
    <x v="114"/>
    <s v="AGRO-XHETI"/>
    <x v="9"/>
    <s v="M-ONE Sanitar Silikon"/>
    <n v="12"/>
    <x v="1"/>
    <n v="0.17"/>
  </r>
  <r>
    <s v="AGRO-XHETI"/>
    <x v="44"/>
    <m/>
    <m/>
    <m/>
    <x v="114"/>
    <s v="AGRO-XHETI"/>
    <x v="6"/>
    <s v="M-ONE Sanitar Silikon"/>
    <n v="12"/>
    <x v="1"/>
    <n v="0.17"/>
  </r>
  <r>
    <s v="AGRO-XHETI"/>
    <x v="44"/>
    <m/>
    <m/>
    <m/>
    <x v="114"/>
    <s v="AGRO-XHETI"/>
    <x v="25"/>
    <s v="M-ONE Sanitar Silikon"/>
    <n v="24"/>
    <x v="1"/>
    <n v="0.17"/>
  </r>
  <r>
    <s v="AGRO-XHETI"/>
    <x v="44"/>
    <m/>
    <m/>
    <m/>
    <x v="114"/>
    <s v="AGRO-XHETI"/>
    <x v="1"/>
    <s v="M-ONE Sanitar Silikon"/>
    <n v="12"/>
    <x v="1"/>
    <n v="0.17"/>
  </r>
  <r>
    <s v="AGRO-XHETI"/>
    <x v="44"/>
    <m/>
    <m/>
    <m/>
    <x v="114"/>
    <s v="AGRO-XHETI"/>
    <x v="18"/>
    <s v="M-ONE Sanitar Silikon"/>
    <n v="12"/>
    <x v="1"/>
    <n v="0.17"/>
  </r>
  <r>
    <s v="AGRO-XHETI"/>
    <x v="44"/>
    <m/>
    <m/>
    <m/>
    <x v="114"/>
    <s v="AGRO-XHETI"/>
    <x v="4"/>
    <s v="M-ONE Sanitar Silikon"/>
    <n v="12"/>
    <x v="1"/>
    <n v="0.17"/>
  </r>
  <r>
    <s v="AGRO-XHETI"/>
    <x v="44"/>
    <m/>
    <m/>
    <m/>
    <x v="114"/>
    <s v="AGRO-XHETI"/>
    <x v="5"/>
    <s v="M-ONE Sanitar Silikon"/>
    <n v="12"/>
    <x v="1"/>
    <n v="0.17"/>
  </r>
  <r>
    <s v="AGRO-XHETI"/>
    <x v="44"/>
    <m/>
    <m/>
    <m/>
    <x v="114"/>
    <s v="AGRO-XHETI"/>
    <x v="7"/>
    <s v="DICHTUNG"/>
    <n v="4"/>
    <x v="1"/>
    <n v="0.2"/>
  </r>
  <r>
    <s v="GLOBAL TOOLS"/>
    <x v="44"/>
    <n v="600.6"/>
    <m/>
    <m/>
    <x v="139"/>
    <s v="GLOBAL TOOLS"/>
    <x v="2"/>
    <s v="M-ONE Sanitar Silikon"/>
    <n v="36"/>
    <x v="1"/>
    <n v="0.17"/>
  </r>
  <r>
    <s v="GLOBAL TOOLS"/>
    <x v="44"/>
    <m/>
    <m/>
    <m/>
    <x v="139"/>
    <s v="GLOBAL TOOLS"/>
    <x v="18"/>
    <s v="M-ONE Sanitar Silikon"/>
    <n v="24"/>
    <x v="1"/>
    <n v="0.17"/>
  </r>
  <r>
    <s v="GLOBAL TOOLS"/>
    <x v="44"/>
    <m/>
    <m/>
    <m/>
    <x v="139"/>
    <s v="GLOBAL TOOLS"/>
    <x v="4"/>
    <s v="M-ONE Sanitar Silikon"/>
    <n v="24"/>
    <x v="1"/>
    <n v="0.17"/>
  </r>
  <r>
    <s v="GLOBAL TOOLS"/>
    <x v="44"/>
    <m/>
    <m/>
    <m/>
    <x v="139"/>
    <s v="GLOBAL TOOLS"/>
    <x v="5"/>
    <s v="M-ONE Sanitar Silikon"/>
    <n v="24"/>
    <x v="1"/>
    <n v="0.17"/>
  </r>
  <r>
    <s v="GLOBAL TOOLS"/>
    <x v="44"/>
    <m/>
    <m/>
    <m/>
    <x v="139"/>
    <s v="GLOBAL TOOLS"/>
    <x v="9"/>
    <s v="M-ONE Sanitar Silikon"/>
    <n v="24"/>
    <x v="1"/>
    <n v="0.17"/>
  </r>
  <r>
    <s v="GLOBAL TOOLS"/>
    <x v="44"/>
    <m/>
    <m/>
    <m/>
    <x v="139"/>
    <s v="GLOBAL TOOLS"/>
    <x v="20"/>
    <s v="M-ONE Sanitar Silikon"/>
    <n v="12"/>
    <x v="1"/>
    <n v="0.17"/>
  </r>
  <r>
    <s v="GLOBAL TOOLS"/>
    <x v="44"/>
    <m/>
    <m/>
    <m/>
    <x v="139"/>
    <s v="GLOBAL TOOLS"/>
    <x v="1"/>
    <s v="M-ONE Sanitar Silikon"/>
    <n v="12"/>
    <x v="1"/>
    <n v="0.17"/>
  </r>
  <r>
    <s v="TE-SYLA"/>
    <x v="44"/>
    <n v="100.4"/>
    <m/>
    <m/>
    <x v="44"/>
    <s v="TE-SYLA"/>
    <x v="0"/>
    <s v="M-ONE Sanitar Silikon"/>
    <n v="12"/>
    <x v="1"/>
    <n v="0.17"/>
  </r>
  <r>
    <s v="TE-SYLA"/>
    <x v="44"/>
    <m/>
    <m/>
    <m/>
    <x v="44"/>
    <s v="TE-SYLA"/>
    <x v="5"/>
    <s v="M-ONE Sanitar Silikon"/>
    <n v="12"/>
    <x v="1"/>
    <n v="0.17"/>
  </r>
  <r>
    <s v="TE-SYLA"/>
    <x v="44"/>
    <m/>
    <m/>
    <m/>
    <x v="44"/>
    <s v="TE-SYLA"/>
    <x v="17"/>
    <s v="M ONE UBS"/>
    <n v="2"/>
    <x v="1"/>
    <n v="0.2"/>
  </r>
  <r>
    <s v="BULONI - SH"/>
    <x v="44"/>
    <n v="138.6"/>
    <m/>
    <m/>
    <x v="47"/>
    <s v="BULONI - SH"/>
    <x v="20"/>
    <s v="M-ONE Sanitar Silikon"/>
    <n v="24"/>
    <x v="1"/>
    <n v="0.17"/>
  </r>
  <r>
    <s v="BULONI - SH"/>
    <x v="44"/>
    <m/>
    <m/>
    <m/>
    <x v="47"/>
    <s v="BULONI - SH"/>
    <x v="6"/>
    <s v="M-ONE Sanitar Silikon"/>
    <n v="12"/>
    <x v="1"/>
    <n v="0.17"/>
  </r>
  <r>
    <s v="MIX-B"/>
    <x v="44"/>
    <n v="166.2"/>
    <m/>
    <m/>
    <x v="132"/>
    <s v="MIX-B"/>
    <x v="0"/>
    <s v="M-ONE Sanitar Silikon"/>
    <n v="12"/>
    <x v="1"/>
    <n v="0.17"/>
  </r>
  <r>
    <s v="MIX-B"/>
    <x v="44"/>
    <m/>
    <m/>
    <m/>
    <x v="132"/>
    <s v="MIX-B"/>
    <x v="20"/>
    <s v="M-ONE Sanitar Silikon"/>
    <n v="12"/>
    <x v="1"/>
    <n v="0.17"/>
  </r>
  <r>
    <s v="MIX-B"/>
    <x v="44"/>
    <m/>
    <m/>
    <m/>
    <x v="132"/>
    <s v="MIX-B"/>
    <x v="1"/>
    <s v="M-ONE Sanitar Silikon"/>
    <n v="12"/>
    <x v="1"/>
    <n v="0.17"/>
  </r>
  <r>
    <s v="MIX-B"/>
    <x v="44"/>
    <m/>
    <m/>
    <m/>
    <x v="132"/>
    <s v="MIX-B"/>
    <x v="8"/>
    <s v="struktural akryl"/>
    <n v="12"/>
    <x v="1"/>
    <n v="0.06"/>
  </r>
  <r>
    <s v="M ONE"/>
    <x v="45"/>
    <n v="35"/>
    <m/>
    <m/>
    <x v="160"/>
    <s v="M ONE"/>
    <x v="3"/>
    <s v="M-ONE Sanitar Silikon"/>
    <n v="7"/>
    <x v="3"/>
    <n v="0.17"/>
  </r>
  <r>
    <s v="HIDROELDI"/>
    <x v="45"/>
    <n v="46.2"/>
    <m/>
    <m/>
    <x v="85"/>
    <s v="HIDROELDI"/>
    <x v="4"/>
    <s v="M-ONE Sanitar Silikon"/>
    <n v="12"/>
    <x v="0"/>
    <n v="0.17"/>
  </r>
  <r>
    <s v="QELA"/>
    <x v="45"/>
    <n v="47.2"/>
    <m/>
    <m/>
    <x v="50"/>
    <s v="QELA"/>
    <x v="7"/>
    <s v="DICHTUNG"/>
    <n v="6"/>
    <x v="0"/>
    <n v="0.2"/>
  </r>
  <r>
    <s v="QELA"/>
    <x v="45"/>
    <m/>
    <m/>
    <m/>
    <x v="50"/>
    <s v="QELA"/>
    <x v="12"/>
    <s v="beMAKER Rostlöser"/>
    <n v="2"/>
    <x v="0"/>
    <n v="0.2"/>
  </r>
  <r>
    <s v="KADIJOLLET"/>
    <x v="45"/>
    <n v="138.6"/>
    <m/>
    <m/>
    <x v="49"/>
    <s v="KADIJOLLET"/>
    <x v="0"/>
    <s v="M-ONE Sanitar Silikon"/>
    <n v="12"/>
    <x v="0"/>
    <n v="0.17"/>
  </r>
  <r>
    <s v="KADIJOLLET"/>
    <x v="45"/>
    <m/>
    <m/>
    <m/>
    <x v="49"/>
    <s v="KADIJOLLET"/>
    <x v="5"/>
    <s v="M-ONE Sanitar Silikon"/>
    <n v="12"/>
    <x v="0"/>
    <n v="0.17"/>
  </r>
  <r>
    <s v="KADIJOLLET"/>
    <x v="45"/>
    <m/>
    <m/>
    <m/>
    <x v="49"/>
    <s v="KADIJOLLET"/>
    <x v="1"/>
    <s v="M-ONE Sanitar Silikon"/>
    <n v="12"/>
    <x v="0"/>
    <n v="0.17"/>
  </r>
  <r>
    <s v="BESI COM"/>
    <x v="45"/>
    <n v="92.4"/>
    <m/>
    <m/>
    <x v="51"/>
    <s v="BESI COM"/>
    <x v="18"/>
    <s v="M-ONE Sanitar Silikon"/>
    <n v="12"/>
    <x v="0"/>
    <n v="0.17"/>
  </r>
  <r>
    <s v="BESI COM"/>
    <x v="45"/>
    <m/>
    <m/>
    <m/>
    <x v="51"/>
    <s v="BESI COM"/>
    <x v="20"/>
    <s v="M-ONE Sanitar Silikon"/>
    <n v="12"/>
    <x v="0"/>
    <n v="0.17"/>
  </r>
  <r>
    <s v="JETARI"/>
    <x v="45"/>
    <n v="60.2"/>
    <m/>
    <m/>
    <x v="87"/>
    <s v="JETARI"/>
    <x v="4"/>
    <s v="M-ONE Sanitar Silikon"/>
    <n v="12"/>
    <x v="0"/>
    <n v="0.17"/>
  </r>
  <r>
    <s v="JETARI"/>
    <x v="45"/>
    <m/>
    <m/>
    <m/>
    <x v="87"/>
    <s v="JETARI"/>
    <x v="16"/>
    <s v="Fettspray"/>
    <n v="4"/>
    <x v="0"/>
    <n v="0.2"/>
  </r>
  <r>
    <s v="KADIJOLLET"/>
    <x v="45"/>
    <n v="21.6"/>
    <m/>
    <m/>
    <x v="49"/>
    <s v="KADIJOLLET"/>
    <x v="7"/>
    <s v="DICHTUNG"/>
    <n v="3"/>
    <x v="0"/>
    <n v="0.2"/>
  </r>
  <r>
    <s v="TAULANTI"/>
    <x v="46"/>
    <n v="277.2"/>
    <m/>
    <m/>
    <x v="89"/>
    <e v="#N/A"/>
    <x v="3"/>
    <s v="M-ONE Sanitar Silikon"/>
    <n v="72"/>
    <x v="0"/>
    <n v="0.17"/>
  </r>
  <r>
    <s v="AB SHPK"/>
    <x v="46"/>
    <n v="55.2"/>
    <m/>
    <m/>
    <x v="63"/>
    <s v="AB SHPK"/>
    <x v="8"/>
    <s v="struktural akryl"/>
    <n v="24"/>
    <x v="0"/>
    <n v="0.06"/>
  </r>
  <r>
    <s v="BEK TRADE"/>
    <x v="46"/>
    <n v="138.6"/>
    <m/>
    <m/>
    <x v="62"/>
    <s v="BEK TRADE"/>
    <x v="4"/>
    <s v="M-ONE Sanitar Silikon"/>
    <n v="24"/>
    <x v="0"/>
    <n v="0.17"/>
  </r>
  <r>
    <s v="BEK TRADE"/>
    <x v="46"/>
    <m/>
    <m/>
    <m/>
    <x v="62"/>
    <s v="BEK TRADE"/>
    <x v="1"/>
    <s v="M-ONE Sanitar Silikon"/>
    <n v="12"/>
    <x v="0"/>
    <n v="0.17"/>
  </r>
  <r>
    <s v="ARPO"/>
    <x v="46"/>
    <n v="277.2"/>
    <m/>
    <m/>
    <x v="64"/>
    <s v="ARPO"/>
    <x v="4"/>
    <s v="M-ONE Sanitar Silikon"/>
    <n v="36"/>
    <x v="0"/>
    <n v="0.17"/>
  </r>
  <r>
    <s v="ARPO"/>
    <x v="46"/>
    <m/>
    <m/>
    <m/>
    <x v="64"/>
    <s v="ARPO"/>
    <x v="0"/>
    <s v="M-ONE Sanitar Silikon"/>
    <n v="12"/>
    <x v="0"/>
    <n v="0.17"/>
  </r>
  <r>
    <s v="ARPO"/>
    <x v="46"/>
    <m/>
    <m/>
    <m/>
    <x v="64"/>
    <s v="ARPO"/>
    <x v="9"/>
    <s v="M-ONE Sanitar Silikon"/>
    <n v="12"/>
    <x v="0"/>
    <n v="0.17"/>
  </r>
  <r>
    <s v="ARPO"/>
    <x v="46"/>
    <m/>
    <m/>
    <m/>
    <x v="64"/>
    <s v="ARPO"/>
    <x v="3"/>
    <s v="M-ONE Sanitar Silikon"/>
    <n v="12"/>
    <x v="0"/>
    <n v="0.17"/>
  </r>
  <r>
    <s v="XHAFA"/>
    <x v="46"/>
    <n v="92.4"/>
    <m/>
    <m/>
    <x v="61"/>
    <s v="XHAFA"/>
    <x v="4"/>
    <s v="M-ONE Sanitar Silikon"/>
    <n v="12"/>
    <x v="0"/>
    <n v="0.17"/>
  </r>
  <r>
    <s v="XHAFA"/>
    <x v="46"/>
    <m/>
    <m/>
    <m/>
    <x v="61"/>
    <s v="XHAFA"/>
    <x v="18"/>
    <s v="M-ONE Sanitar Silikon"/>
    <n v="12"/>
    <x v="0"/>
    <n v="0.17"/>
  </r>
  <r>
    <s v="JETA DUHEL"/>
    <x v="46"/>
    <n v="92.4"/>
    <m/>
    <m/>
    <x v="152"/>
    <s v="JETA DUHEL"/>
    <x v="1"/>
    <s v="M-ONE Sanitar Silikon"/>
    <n v="12"/>
    <x v="0"/>
    <n v="0.17"/>
  </r>
  <r>
    <s v="JETA DUHEL"/>
    <x v="46"/>
    <m/>
    <m/>
    <m/>
    <x v="152"/>
    <s v="JETA DUHEL"/>
    <x v="4"/>
    <s v="M-ONE Sanitar Silikon"/>
    <n v="12"/>
    <x v="0"/>
    <n v="0.17"/>
  </r>
  <r>
    <s v="TEMAJ"/>
    <x v="46"/>
    <n v="138"/>
    <m/>
    <m/>
    <x v="91"/>
    <s v="TEMAJ"/>
    <x v="3"/>
    <s v="M-ONE Sanitar Silikon"/>
    <n v="12"/>
    <x v="2"/>
    <n v="0.17"/>
  </r>
  <r>
    <s v="TEMAJ"/>
    <x v="46"/>
    <m/>
    <m/>
    <m/>
    <x v="91"/>
    <s v="TEMAJ"/>
    <x v="4"/>
    <s v="M-ONE Sanitar Silikon"/>
    <n v="12"/>
    <x v="2"/>
    <n v="0.17"/>
  </r>
  <r>
    <s v="TEMAJ"/>
    <x v="46"/>
    <m/>
    <m/>
    <m/>
    <x v="91"/>
    <s v="TEMAJ"/>
    <x v="6"/>
    <s v="M-ONE Sanitar Silikon"/>
    <n v="12"/>
    <x v="2"/>
    <n v="0.17"/>
  </r>
  <r>
    <s v="GACAFERI-RG"/>
    <x v="46"/>
    <n v="344.8"/>
    <m/>
    <m/>
    <x v="161"/>
    <s v="GACAFERI-RG"/>
    <x v="4"/>
    <s v="M-ONE Sanitar Silikon"/>
    <n v="12"/>
    <x v="1"/>
    <n v="0.17"/>
  </r>
  <r>
    <s v="GACAFERI-RG"/>
    <x v="46"/>
    <m/>
    <m/>
    <m/>
    <x v="161"/>
    <s v="GACAFERI-RG"/>
    <x v="0"/>
    <s v="M-ONE Sanitar Silikon"/>
    <n v="12"/>
    <x v="1"/>
    <n v="0.17"/>
  </r>
  <r>
    <s v="GACAFERI-RG"/>
    <x v="46"/>
    <m/>
    <m/>
    <m/>
    <x v="161"/>
    <s v="GACAFERI-RG"/>
    <x v="5"/>
    <s v="M-ONE Sanitar Silikon"/>
    <n v="12"/>
    <x v="1"/>
    <n v="0.17"/>
  </r>
  <r>
    <s v="GACAFERI-RG"/>
    <x v="46"/>
    <m/>
    <m/>
    <m/>
    <x v="161"/>
    <s v="GACAFERI-RG"/>
    <x v="18"/>
    <s v="M-ONE Sanitar Silikon"/>
    <n v="12"/>
    <x v="1"/>
    <n v="0.17"/>
  </r>
  <r>
    <s v="GACAFERI-RG"/>
    <x v="46"/>
    <m/>
    <m/>
    <m/>
    <x v="161"/>
    <s v="GACAFERI-RG"/>
    <x v="20"/>
    <s v="M-ONE Sanitar Silikon"/>
    <n v="12"/>
    <x v="1"/>
    <n v="0.17"/>
  </r>
  <r>
    <s v="GACAFERI-RG"/>
    <x v="46"/>
    <m/>
    <m/>
    <m/>
    <x v="161"/>
    <s v="GACAFERI-RG"/>
    <x v="2"/>
    <s v="M-ONE Sanitar Silikon"/>
    <n v="12"/>
    <x v="1"/>
    <n v="0.17"/>
  </r>
  <r>
    <s v="GACAFERI-RG"/>
    <x v="46"/>
    <m/>
    <m/>
    <m/>
    <x v="161"/>
    <s v="GACAFERI-RG"/>
    <x v="8"/>
    <s v="struktural akryl"/>
    <n v="12"/>
    <x v="1"/>
    <n v="0.06"/>
  </r>
  <r>
    <s v="GACAFERI-RG"/>
    <x v="46"/>
    <m/>
    <m/>
    <m/>
    <x v="161"/>
    <s v="GACAFERI-RG"/>
    <x v="17"/>
    <s v="M ONE UBS"/>
    <n v="6"/>
    <x v="1"/>
    <n v="0.2"/>
  </r>
  <r>
    <s v="GACAFERI-RG"/>
    <x v="46"/>
    <m/>
    <m/>
    <m/>
    <x v="161"/>
    <s v="GACAFERI-RG"/>
    <x v="7"/>
    <s v="DICHTUNG"/>
    <n v="2"/>
    <x v="1"/>
    <n v="0.2"/>
  </r>
  <r>
    <s v="LETAJ"/>
    <x v="46"/>
    <n v="184.8"/>
    <m/>
    <m/>
    <x v="67"/>
    <s v="LETAJ"/>
    <x v="3"/>
    <s v="M-ONE Sanitar Silikon"/>
    <n v="24"/>
    <x v="1"/>
    <n v="0.17"/>
  </r>
  <r>
    <s v="LETAJ"/>
    <x v="46"/>
    <m/>
    <m/>
    <m/>
    <x v="67"/>
    <s v="LETAJ"/>
    <x v="4"/>
    <s v="M-ONE Sanitar Silikon"/>
    <n v="12"/>
    <x v="1"/>
    <n v="0.17"/>
  </r>
  <r>
    <s v="LETAJ"/>
    <x v="46"/>
    <m/>
    <m/>
    <m/>
    <x v="67"/>
    <s v="LETAJ"/>
    <x v="9"/>
    <s v="M-ONE Sanitar Silikon"/>
    <n v="12"/>
    <x v="1"/>
    <n v="0.17"/>
  </r>
  <r>
    <s v="INOX 2"/>
    <x v="46"/>
    <n v="139.19999999999999"/>
    <m/>
    <m/>
    <x v="93"/>
    <s v="INOX 2"/>
    <x v="10"/>
    <s v="PROFIMONT EXTREME"/>
    <n v="24"/>
    <x v="1"/>
    <n v="0.2"/>
  </r>
  <r>
    <s v="GER COLORS"/>
    <x v="46"/>
    <n v="138.6"/>
    <m/>
    <m/>
    <x v="94"/>
    <s v="GER COLORS"/>
    <x v="0"/>
    <s v="M-ONE Sanitar Silikon"/>
    <n v="12"/>
    <x v="1"/>
    <n v="0.17"/>
  </r>
  <r>
    <s v="GER COLORS"/>
    <x v="46"/>
    <m/>
    <m/>
    <m/>
    <x v="94"/>
    <s v="GER COLORS"/>
    <x v="5"/>
    <s v="M-ONE Sanitar Silikon"/>
    <n v="12"/>
    <x v="1"/>
    <n v="0.17"/>
  </r>
  <r>
    <s v="GER COLORS"/>
    <x v="46"/>
    <m/>
    <m/>
    <m/>
    <x v="94"/>
    <s v="GER COLORS"/>
    <x v="1"/>
    <s v="M-ONE Sanitar Silikon"/>
    <n v="12"/>
    <x v="1"/>
    <n v="0.17"/>
  </r>
  <r>
    <s v="HB-DECOR"/>
    <x v="46"/>
    <n v="139.19999999999999"/>
    <m/>
    <m/>
    <x v="95"/>
    <s v="HB-DECOR"/>
    <x v="10"/>
    <s v="PROFIMONT EXTREME"/>
    <n v="24"/>
    <x v="1"/>
    <n v="0.2"/>
  </r>
  <r>
    <s v="INOX 1"/>
    <x v="46"/>
    <n v="92.4"/>
    <m/>
    <m/>
    <x v="68"/>
    <s v="INOX 1"/>
    <x v="3"/>
    <s v="M-ONE Sanitar Silikon"/>
    <n v="12"/>
    <x v="1"/>
    <n v="0.17"/>
  </r>
  <r>
    <s v="INOX 1"/>
    <x v="46"/>
    <m/>
    <m/>
    <m/>
    <x v="68"/>
    <s v="INOX 1"/>
    <x v="4"/>
    <s v="M-ONE Sanitar Silikon"/>
    <n v="12"/>
    <x v="1"/>
    <n v="0.17"/>
  </r>
  <r>
    <s v="V. GJONAJ"/>
    <x v="46"/>
    <n v="92.4"/>
    <m/>
    <m/>
    <x v="122"/>
    <s v="V. GJONAJ"/>
    <x v="0"/>
    <s v="M-ONE Sanitar Silikon"/>
    <n v="12"/>
    <x v="1"/>
    <n v="0.17"/>
  </r>
  <r>
    <s v="V. GJONAJ"/>
    <x v="46"/>
    <m/>
    <m/>
    <m/>
    <x v="122"/>
    <s v="V. GJONAJ"/>
    <x v="5"/>
    <s v="M-ONE Sanitar Silikon"/>
    <n v="12"/>
    <x v="1"/>
    <n v="0.17"/>
  </r>
  <r>
    <s v="ERENIKU"/>
    <x v="46"/>
    <n v="120"/>
    <m/>
    <m/>
    <x v="92"/>
    <s v="ERENIKU"/>
    <x v="4"/>
    <s v="M-ONE Sanitar Silikon"/>
    <n v="12"/>
    <x v="1"/>
    <n v="0.17"/>
  </r>
  <r>
    <s v="ERENIKU"/>
    <x v="46"/>
    <m/>
    <m/>
    <m/>
    <x v="92"/>
    <s v="ERENIKU"/>
    <x v="18"/>
    <s v="M-ONE Sanitar Silikon"/>
    <n v="12"/>
    <x v="1"/>
    <n v="0.17"/>
  </r>
  <r>
    <s v="ERENIKU"/>
    <x v="46"/>
    <m/>
    <m/>
    <m/>
    <x v="92"/>
    <s v="ERENIKU"/>
    <x v="8"/>
    <s v="struktural akryl"/>
    <n v="12"/>
    <x v="1"/>
    <n v="0.06"/>
  </r>
  <r>
    <s v="KENA COMERC"/>
    <x v="46"/>
    <n v="139.19999999999999"/>
    <m/>
    <m/>
    <x v="52"/>
    <s v="KENA COMERC"/>
    <x v="10"/>
    <s v="PROFIMONT EXTREME"/>
    <n v="24"/>
    <x v="1"/>
    <n v="0.2"/>
  </r>
  <r>
    <s v="KENA COMERC"/>
    <x v="46"/>
    <m/>
    <m/>
    <m/>
    <x v="52"/>
    <s v="KENA COMERC"/>
    <x v="25"/>
    <s v="M-ONE Sanitar Silikon"/>
    <n v="12"/>
    <x v="1"/>
    <n v="0.17"/>
  </r>
  <r>
    <s v="KENA COMERC"/>
    <x v="46"/>
    <m/>
    <m/>
    <m/>
    <x v="52"/>
    <s v="KENA COMERC"/>
    <x v="2"/>
    <s v="M-ONE Sanitar Silikon"/>
    <n v="12"/>
    <x v="1"/>
    <n v="0.17"/>
  </r>
  <r>
    <s v="TE GZIMI"/>
    <x v="46"/>
    <n v="37"/>
    <m/>
    <m/>
    <x v="119"/>
    <s v="TE GZIMI"/>
    <x v="12"/>
    <s v="beMAKER Rostlöser"/>
    <n v="7"/>
    <x v="1"/>
    <n v="0.2"/>
  </r>
  <r>
    <s v="TE GZIMI"/>
    <x v="46"/>
    <m/>
    <m/>
    <m/>
    <x v="119"/>
    <s v="TE GZIMI"/>
    <x v="7"/>
    <s v="DICHTUNG"/>
    <n v="2"/>
    <x v="1"/>
    <n v="0.2"/>
  </r>
  <r>
    <s v="TE GZIMI"/>
    <x v="46"/>
    <m/>
    <m/>
    <m/>
    <x v="119"/>
    <s v="TE GZIMI"/>
    <x v="16"/>
    <s v="Fettspray"/>
    <n v="2"/>
    <x v="1"/>
    <n v="0.2"/>
  </r>
  <r>
    <s v="LULI-C"/>
    <x v="46"/>
    <n v="184.8"/>
    <m/>
    <m/>
    <x v="54"/>
    <s v="LULI-C"/>
    <x v="3"/>
    <s v="M-ONE Sanitar Silikon"/>
    <n v="12"/>
    <x v="1"/>
    <n v="0.17"/>
  </r>
  <r>
    <s v="LULI-C"/>
    <x v="46"/>
    <m/>
    <m/>
    <m/>
    <x v="54"/>
    <s v="LULI-C"/>
    <x v="0"/>
    <s v="M-ONE Sanitar Silikon"/>
    <n v="12"/>
    <x v="1"/>
    <n v="0.17"/>
  </r>
  <r>
    <s v="LULI-C"/>
    <x v="46"/>
    <m/>
    <m/>
    <m/>
    <x v="54"/>
    <s v="LULI-C"/>
    <x v="5"/>
    <s v="M-ONE Sanitar Silikon"/>
    <n v="12"/>
    <x v="1"/>
    <n v="0.17"/>
  </r>
  <r>
    <s v="LULI-C"/>
    <x v="46"/>
    <m/>
    <m/>
    <m/>
    <x v="54"/>
    <s v="LULI-C"/>
    <x v="2"/>
    <s v="M-ONE Sanitar Silikon"/>
    <n v="12"/>
    <x v="1"/>
    <n v="0.17"/>
  </r>
  <r>
    <s v="ARBENI BIOBLIC"/>
    <x v="46"/>
    <n v="249"/>
    <m/>
    <m/>
    <x v="71"/>
    <s v="ARBENI BIOBLIC"/>
    <x v="28"/>
    <s v="BioBlic Universalreiniger"/>
    <n v="140"/>
    <x v="2"/>
    <n v="0.30000000000000004"/>
  </r>
  <r>
    <s v="ARBENI BIOBLIC"/>
    <x v="46"/>
    <m/>
    <m/>
    <m/>
    <x v="71"/>
    <s v="ARBENI BIOBLIC"/>
    <x v="29"/>
    <s v="Blic Blic Sanitärreiniger"/>
    <n v="60"/>
    <x v="2"/>
    <n v="0.30000000000000004"/>
  </r>
  <r>
    <s v="M ONE"/>
    <x v="47"/>
    <n v="9"/>
    <m/>
    <m/>
    <x v="160"/>
    <s v="M ONE"/>
    <x v="10"/>
    <s v="PROFIMONT EXTREME"/>
    <n v="1"/>
    <x v="3"/>
    <n v="0.2"/>
  </r>
  <r>
    <s v="FORD BASHKIMI"/>
    <x v="47"/>
    <n v="24"/>
    <m/>
    <m/>
    <x v="58"/>
    <s v="FORD BASHKIMI"/>
    <x v="14"/>
    <s v="beMAKER Bremsen&amp;Teile Reininger"/>
    <n v="12"/>
    <x v="2"/>
    <n v="0.2"/>
  </r>
  <r>
    <s v="INTERCOM NTP"/>
    <x v="47"/>
    <n v="138.6"/>
    <m/>
    <m/>
    <x v="0"/>
    <s v="INTERCOM NTP"/>
    <x v="4"/>
    <s v="M-ONE Sanitar Silikon"/>
    <n v="24"/>
    <x v="0"/>
    <n v="0.17"/>
  </r>
  <r>
    <s v="INTERCOM NTP"/>
    <x v="47"/>
    <m/>
    <m/>
    <m/>
    <x v="0"/>
    <s v="INTERCOM NTP"/>
    <x v="18"/>
    <s v="M-ONE Sanitar Silikon"/>
    <n v="12"/>
    <x v="0"/>
    <n v="0.17"/>
  </r>
  <r>
    <s v="BALLKANI"/>
    <x v="47"/>
    <n v="184.8"/>
    <m/>
    <m/>
    <x v="98"/>
    <s v="BALLKANI"/>
    <x v="1"/>
    <s v="M-ONE Sanitar Silikon"/>
    <n v="24"/>
    <x v="0"/>
    <n v="0.17"/>
  </r>
  <r>
    <s v="BALLKANI"/>
    <x v="47"/>
    <m/>
    <m/>
    <m/>
    <x v="98"/>
    <s v="BALLKANI"/>
    <x v="18"/>
    <s v="M-ONE Sanitar Silikon"/>
    <n v="12"/>
    <x v="0"/>
    <n v="0.17"/>
  </r>
  <r>
    <s v="BALLKANI"/>
    <x v="47"/>
    <m/>
    <m/>
    <m/>
    <x v="98"/>
    <s v="BALLKANI"/>
    <x v="20"/>
    <s v="M-ONE Sanitar Silikon"/>
    <n v="12"/>
    <x v="0"/>
    <n v="0.17"/>
  </r>
  <r>
    <s v="TREND CERAMIKA"/>
    <x v="47"/>
    <n v="46.2"/>
    <m/>
    <m/>
    <x v="162"/>
    <s v="TREND CERAMIKA"/>
    <x v="4"/>
    <s v="M-ONE Sanitar Silikon"/>
    <n v="12"/>
    <x v="0"/>
    <n v="0.17"/>
  </r>
  <r>
    <s v="BEKA-3"/>
    <x v="47"/>
    <n v="46"/>
    <m/>
    <m/>
    <x v="8"/>
    <s v="BEKA-3"/>
    <x v="7"/>
    <s v="DICHTUNG"/>
    <n v="5"/>
    <x v="0"/>
    <n v="0.2"/>
  </r>
  <r>
    <s v="BEKA-3"/>
    <x v="47"/>
    <m/>
    <m/>
    <m/>
    <x v="8"/>
    <s v="BEKA-3"/>
    <x v="12"/>
    <s v="beMAKER Rostlöser"/>
    <n v="5"/>
    <x v="0"/>
    <n v="0.2"/>
  </r>
  <r>
    <s v="DARDANIA"/>
    <x v="47"/>
    <n v="92.4"/>
    <m/>
    <m/>
    <x v="6"/>
    <s v="DARDANIA"/>
    <x v="2"/>
    <s v="M-ONE Sanitar Silikon"/>
    <n v="12"/>
    <x v="0"/>
    <n v="0.17"/>
  </r>
  <r>
    <s v="DARDANIA"/>
    <x v="47"/>
    <m/>
    <m/>
    <m/>
    <x v="6"/>
    <s v="DARDANIA"/>
    <x v="1"/>
    <s v="M-ONE Sanitar Silikon"/>
    <n v="12"/>
    <x v="0"/>
    <n v="0.17"/>
  </r>
  <r>
    <s v="ELIONI-1"/>
    <x v="47"/>
    <n v="138.6"/>
    <m/>
    <m/>
    <x v="97"/>
    <s v="ELIONI-1"/>
    <x v="2"/>
    <s v="M-ONE Sanitar Silikon"/>
    <n v="12"/>
    <x v="0"/>
    <n v="0.17"/>
  </r>
  <r>
    <s v="ELIONI-1"/>
    <x v="47"/>
    <m/>
    <m/>
    <m/>
    <x v="97"/>
    <s v="ELIONI-1"/>
    <x v="5"/>
    <s v="M-ONE Sanitar Silikon"/>
    <n v="12"/>
    <x v="0"/>
    <n v="0.17"/>
  </r>
  <r>
    <s v="ELIONI-1"/>
    <x v="47"/>
    <m/>
    <m/>
    <m/>
    <x v="97"/>
    <s v="ELIONI-1"/>
    <x v="18"/>
    <s v="M-ONE Sanitar Silikon"/>
    <n v="12"/>
    <x v="0"/>
    <n v="0.17"/>
  </r>
  <r>
    <s v="EUROSAN"/>
    <x v="47"/>
    <n v="92.4"/>
    <m/>
    <m/>
    <x v="123"/>
    <s v="EUROSAN"/>
    <x v="4"/>
    <s v="M-ONE Sanitar Silikon"/>
    <n v="12"/>
    <x v="0"/>
    <n v="0.17"/>
  </r>
  <r>
    <s v="EUROSAN"/>
    <x v="47"/>
    <m/>
    <m/>
    <m/>
    <x v="123"/>
    <s v="EUROSAN"/>
    <x v="5"/>
    <s v="M-ONE Sanitar Silikon"/>
    <n v="12"/>
    <x v="0"/>
    <n v="0.17"/>
  </r>
  <r>
    <s v="HAZROLLI"/>
    <x v="47"/>
    <n v="56.4"/>
    <m/>
    <m/>
    <x v="9"/>
    <s v="HAZROLLI"/>
    <x v="37"/>
    <s v="Bio Blic Antikalk"/>
    <n v="20"/>
    <x v="1"/>
    <n v="0.30000000000000004"/>
  </r>
  <r>
    <s v="HAZROLLI"/>
    <x v="47"/>
    <m/>
    <m/>
    <m/>
    <x v="9"/>
    <s v="HAZROLLI"/>
    <x v="33"/>
    <s v="beMaker Handwaschpaste"/>
    <n v="12"/>
    <x v="1"/>
    <n v="0.1"/>
  </r>
  <r>
    <s v="CONDOR"/>
    <x v="47"/>
    <n v="245.6"/>
    <m/>
    <m/>
    <x v="11"/>
    <s v="CONDOR"/>
    <x v="10"/>
    <s v="PROFIMONT EXTREME"/>
    <n v="12"/>
    <x v="1"/>
    <n v="0.2"/>
  </r>
  <r>
    <s v="CONDOR"/>
    <x v="47"/>
    <m/>
    <m/>
    <m/>
    <x v="11"/>
    <s v="CONDOR"/>
    <x v="6"/>
    <s v="M-ONE Sanitar Silikon"/>
    <n v="12"/>
    <x v="1"/>
    <n v="0.17"/>
  </r>
  <r>
    <s v="CONDOR"/>
    <x v="47"/>
    <m/>
    <m/>
    <m/>
    <x v="11"/>
    <s v="CONDOR"/>
    <x v="20"/>
    <s v="M-ONE Sanitar Silikon"/>
    <n v="12"/>
    <x v="1"/>
    <n v="0.17"/>
  </r>
  <r>
    <s v="CONDOR"/>
    <x v="47"/>
    <m/>
    <m/>
    <m/>
    <x v="11"/>
    <s v="CONDOR"/>
    <x v="8"/>
    <s v="struktural akryl"/>
    <n v="12"/>
    <x v="1"/>
    <n v="0.06"/>
  </r>
  <r>
    <s v="CONDOR"/>
    <x v="47"/>
    <m/>
    <m/>
    <m/>
    <x v="11"/>
    <s v="CONDOR"/>
    <x v="14"/>
    <s v="beMAKER Bremsen&amp;Teile Reininger"/>
    <n v="12"/>
    <x v="1"/>
    <n v="0.2"/>
  </r>
  <r>
    <s v="CONDOR"/>
    <x v="47"/>
    <m/>
    <m/>
    <m/>
    <x v="11"/>
    <s v="CONDOR"/>
    <x v="7"/>
    <s v="DICHTUNG"/>
    <n v="4"/>
    <x v="1"/>
    <n v="0.2"/>
  </r>
  <r>
    <s v="BARDHI-M"/>
    <x v="47"/>
    <n v="231"/>
    <m/>
    <m/>
    <x v="77"/>
    <s v="BARDHI-M"/>
    <x v="1"/>
    <s v="M-ONE Sanitar Silikon"/>
    <n v="24"/>
    <x v="1"/>
    <n v="0.17"/>
  </r>
  <r>
    <s v="BARDHI-M"/>
    <x v="47"/>
    <m/>
    <m/>
    <m/>
    <x v="77"/>
    <s v="BARDHI-M"/>
    <x v="3"/>
    <s v="M-ONE Sanitar Silikon"/>
    <n v="12"/>
    <x v="1"/>
    <n v="0.17"/>
  </r>
  <r>
    <s v="BARDHI-M"/>
    <x v="47"/>
    <m/>
    <m/>
    <m/>
    <x v="77"/>
    <s v="BARDHI-M"/>
    <x v="4"/>
    <s v="M-ONE Sanitar Silikon"/>
    <n v="12"/>
    <x v="1"/>
    <n v="0.17"/>
  </r>
  <r>
    <s v="BARDHI-M"/>
    <x v="47"/>
    <m/>
    <m/>
    <m/>
    <x v="77"/>
    <s v="BARDHI-M"/>
    <x v="20"/>
    <s v="M-ONE Sanitar Silikon"/>
    <n v="12"/>
    <x v="1"/>
    <n v="0.17"/>
  </r>
  <r>
    <s v="BEREQETI"/>
    <x v="47"/>
    <n v="147.6"/>
    <m/>
    <m/>
    <x v="13"/>
    <s v="BEREQETI"/>
    <x v="1"/>
    <s v="M-ONE Sanitar Silikon"/>
    <n v="24"/>
    <x v="1"/>
    <n v="0.17"/>
  </r>
  <r>
    <s v="BEREQETI"/>
    <x v="47"/>
    <m/>
    <m/>
    <m/>
    <x v="13"/>
    <s v="BEREQETI"/>
    <x v="8"/>
    <s v="struktural akryl"/>
    <n v="24"/>
    <x v="1"/>
    <n v="0.06"/>
  </r>
  <r>
    <s v="HYSENAJ"/>
    <x v="47"/>
    <n v="193.8"/>
    <m/>
    <m/>
    <x v="163"/>
    <s v="HYSENAJ"/>
    <x v="4"/>
    <s v="M-ONE Sanitar Silikon"/>
    <n v="24"/>
    <x v="1"/>
    <n v="0.17"/>
  </r>
  <r>
    <s v="HYSENAJ"/>
    <x v="47"/>
    <m/>
    <m/>
    <m/>
    <x v="163"/>
    <s v="HYSENAJ"/>
    <x v="5"/>
    <s v="M-ONE Sanitar Silikon"/>
    <n v="12"/>
    <x v="1"/>
    <n v="0.17"/>
  </r>
  <r>
    <s v="HYSENAJ"/>
    <x v="47"/>
    <m/>
    <m/>
    <m/>
    <x v="163"/>
    <s v="HYSENAJ"/>
    <x v="8"/>
    <s v="struktural akryl"/>
    <n v="24"/>
    <x v="1"/>
    <n v="0.06"/>
  </r>
  <r>
    <s v="NDRIQIMI"/>
    <x v="48"/>
    <n v="184.8"/>
    <m/>
    <m/>
    <x v="79"/>
    <s v="NDRIQIMI"/>
    <x v="0"/>
    <s v="M-ONE Sanitar Silikon"/>
    <n v="24"/>
    <x v="0"/>
    <n v="0.17"/>
  </r>
  <r>
    <s v="NDRIQIMI"/>
    <x v="48"/>
    <m/>
    <m/>
    <m/>
    <x v="79"/>
    <s v="NDRIQIMI"/>
    <x v="9"/>
    <s v="M-ONE Sanitar Silikon"/>
    <n v="24"/>
    <x v="0"/>
    <n v="0.17"/>
  </r>
  <r>
    <s v="UNIVERZAL"/>
    <x v="48"/>
    <n v="67.2"/>
    <m/>
    <m/>
    <x v="18"/>
    <s v="UNIVERZAL"/>
    <x v="20"/>
    <s v="M-ONE Sanitar Silikon"/>
    <n v="12"/>
    <x v="0"/>
    <n v="0.17"/>
  </r>
  <r>
    <s v="UNIVERZAL"/>
    <x v="48"/>
    <m/>
    <m/>
    <m/>
    <x v="18"/>
    <s v="UNIVERZAL"/>
    <x v="16"/>
    <s v="Fettspray"/>
    <n v="6"/>
    <x v="0"/>
    <n v="0.2"/>
  </r>
  <r>
    <s v="GRANITI"/>
    <x v="48"/>
    <n v="184.8"/>
    <m/>
    <m/>
    <x v="80"/>
    <s v="GRANITI"/>
    <x v="25"/>
    <s v="M-ONE Sanitar Silikon"/>
    <n v="12"/>
    <x v="0"/>
    <n v="0.17"/>
  </r>
  <r>
    <s v="GRANITI"/>
    <x v="48"/>
    <m/>
    <m/>
    <m/>
    <x v="80"/>
    <s v="GRANITI"/>
    <x v="20"/>
    <s v="M-ONE Sanitar Silikon"/>
    <n v="12"/>
    <x v="0"/>
    <n v="0.17"/>
  </r>
  <r>
    <s v="GRANITI"/>
    <x v="48"/>
    <m/>
    <m/>
    <m/>
    <x v="80"/>
    <s v="GRANITI"/>
    <x v="1"/>
    <s v="M-ONE Sanitar Silikon"/>
    <n v="12"/>
    <x v="0"/>
    <n v="0.17"/>
  </r>
  <r>
    <s v="GRANITI"/>
    <x v="48"/>
    <m/>
    <m/>
    <m/>
    <x v="80"/>
    <s v="GRANITI"/>
    <x v="9"/>
    <s v="M-ONE Sanitar Silikon"/>
    <n v="12"/>
    <x v="0"/>
    <n v="0.17"/>
  </r>
  <r>
    <s v="ENISI - H"/>
    <x v="48"/>
    <n v="92.4"/>
    <m/>
    <m/>
    <x v="20"/>
    <s v="ENISI - H"/>
    <x v="5"/>
    <s v="M-ONE Sanitar Silikon"/>
    <n v="12"/>
    <x v="0"/>
    <n v="0.17"/>
  </r>
  <r>
    <s v="ENISI - H"/>
    <x v="48"/>
    <m/>
    <m/>
    <m/>
    <x v="20"/>
    <s v="ENISI - H"/>
    <x v="9"/>
    <s v="M-ONE Sanitar Silikon"/>
    <n v="12"/>
    <x v="0"/>
    <n v="0.17"/>
  </r>
  <r>
    <s v="SAN KOS"/>
    <x v="48"/>
    <n v="46.2"/>
    <m/>
    <m/>
    <x v="101"/>
    <s v="SAN KOS"/>
    <x v="4"/>
    <s v="M-ONE Sanitar Silikon"/>
    <n v="12"/>
    <x v="0"/>
    <n v="0.17"/>
  </r>
  <r>
    <s v="ARBERI"/>
    <x v="49"/>
    <n v="46.2"/>
    <m/>
    <m/>
    <x v="102"/>
    <s v="ARBERI"/>
    <x v="4"/>
    <s v="M-ONE Sanitar Silikon"/>
    <n v="12"/>
    <x v="0"/>
    <n v="0.17"/>
  </r>
  <r>
    <s v="CARRALEVA 1"/>
    <x v="49"/>
    <n v="92.4"/>
    <m/>
    <m/>
    <x v="25"/>
    <s v="CARRALEVA 1"/>
    <x v="18"/>
    <s v="M-ONE Sanitar Silikon"/>
    <n v="12"/>
    <x v="0"/>
    <n v="0.17"/>
  </r>
  <r>
    <s v="CARRALEVA 1"/>
    <x v="49"/>
    <m/>
    <m/>
    <m/>
    <x v="25"/>
    <s v="CARRALEVA 1"/>
    <x v="9"/>
    <s v="M-ONE Sanitar Silikon"/>
    <n v="12"/>
    <x v="0"/>
    <n v="0.17"/>
  </r>
  <r>
    <s v="LITA"/>
    <x v="49"/>
    <n v="46.2"/>
    <m/>
    <m/>
    <x v="82"/>
    <s v="LITA"/>
    <x v="3"/>
    <s v="M-ONE Sanitar Silikon"/>
    <n v="12"/>
    <x v="0"/>
    <n v="0.17"/>
  </r>
  <r>
    <s v="BALLKANI"/>
    <x v="49"/>
    <n v="184.8"/>
    <m/>
    <m/>
    <x v="98"/>
    <s v="BALLKANI"/>
    <x v="18"/>
    <s v="M-ONE Sanitar Silikon"/>
    <n v="24"/>
    <x v="0"/>
    <n v="0.17"/>
  </r>
  <r>
    <s v="BALLKANI"/>
    <x v="49"/>
    <m/>
    <m/>
    <m/>
    <x v="98"/>
    <s v="BALLKANI"/>
    <x v="1"/>
    <s v="M-ONE Sanitar Silikon"/>
    <n v="24"/>
    <x v="0"/>
    <n v="0.17"/>
  </r>
  <r>
    <s v="LONI"/>
    <x v="49"/>
    <n v="50"/>
    <m/>
    <m/>
    <x v="24"/>
    <s v="LONI"/>
    <x v="7"/>
    <s v="DICHTUNG"/>
    <n v="5"/>
    <x v="0"/>
    <n v="0.2"/>
  </r>
  <r>
    <s v="LONI"/>
    <x v="49"/>
    <m/>
    <m/>
    <m/>
    <x v="24"/>
    <s v="LONI"/>
    <x v="13"/>
    <s v="M ONE MOTORSTART"/>
    <n v="2"/>
    <x v="0"/>
    <n v="0.2"/>
  </r>
  <r>
    <s v="LONI"/>
    <x v="49"/>
    <m/>
    <m/>
    <m/>
    <x v="24"/>
    <s v="LONI"/>
    <x v="16"/>
    <s v="Fettspray"/>
    <n v="2"/>
    <x v="0"/>
    <n v="0.2"/>
  </r>
  <r>
    <s v="REAL COLOR 2"/>
    <x v="49"/>
    <n v="138.6"/>
    <m/>
    <m/>
    <x v="26"/>
    <s v="REAL COLOR 2"/>
    <x v="18"/>
    <s v="M-ONE Sanitar Silikon"/>
    <n v="12"/>
    <x v="0"/>
    <n v="0.17"/>
  </r>
  <r>
    <s v="REAL COLOR 2"/>
    <x v="49"/>
    <m/>
    <m/>
    <m/>
    <x v="26"/>
    <s v="REAL COLOR 2"/>
    <x v="20"/>
    <s v="M-ONE Sanitar Silikon"/>
    <n v="12"/>
    <x v="0"/>
    <n v="0.17"/>
  </r>
  <r>
    <s v="REAL COLOR 2"/>
    <x v="49"/>
    <m/>
    <m/>
    <m/>
    <x v="26"/>
    <s v="REAL COLOR 2"/>
    <x v="1"/>
    <s v="M-ONE Sanitar Silikon"/>
    <n v="12"/>
    <x v="0"/>
    <n v="0.17"/>
  </r>
  <r>
    <s v="RACI"/>
    <x v="49"/>
    <n v="92.4"/>
    <m/>
    <m/>
    <x v="28"/>
    <s v="RACI"/>
    <x v="0"/>
    <s v="M-ONE Sanitar Silikon"/>
    <n v="12"/>
    <x v="1"/>
    <n v="0.17"/>
  </r>
  <r>
    <s v="RACI"/>
    <x v="49"/>
    <m/>
    <m/>
    <m/>
    <x v="28"/>
    <s v="RACI"/>
    <x v="18"/>
    <s v="M-ONE Sanitar Silikon"/>
    <n v="12"/>
    <x v="1"/>
    <n v="0.17"/>
  </r>
  <r>
    <s v="LIRIDONA KLINE"/>
    <x v="49"/>
    <n v="120"/>
    <m/>
    <m/>
    <x v="30"/>
    <s v="LIRIDONA KLINE"/>
    <x v="5"/>
    <s v="M-ONE Sanitar Silikon"/>
    <n v="12"/>
    <x v="1"/>
    <n v="0.17"/>
  </r>
  <r>
    <s v="LIRIDONA KLINE"/>
    <x v="49"/>
    <m/>
    <m/>
    <m/>
    <x v="30"/>
    <s v="LIRIDONA KLINE"/>
    <x v="6"/>
    <s v="M-ONE Sanitar Silikon"/>
    <n v="12"/>
    <x v="1"/>
    <n v="0.17"/>
  </r>
  <r>
    <s v="LIRIDONA KLINE"/>
    <x v="49"/>
    <m/>
    <m/>
    <m/>
    <x v="30"/>
    <s v="LIRIDONA KLINE"/>
    <x v="8"/>
    <s v="struktural akryl"/>
    <n v="12"/>
    <x v="1"/>
    <n v="0.06"/>
  </r>
  <r>
    <s v="LIRIDONA HOME"/>
    <x v="49"/>
    <n v="138.6"/>
    <m/>
    <m/>
    <x v="106"/>
    <s v="LIRIDONA HOME"/>
    <x v="0"/>
    <s v="M-ONE Sanitar Silikon"/>
    <n v="12"/>
    <x v="1"/>
    <n v="0.17"/>
  </r>
  <r>
    <s v="LIRIDONA HOME"/>
    <x v="49"/>
    <m/>
    <m/>
    <m/>
    <x v="106"/>
    <s v="LIRIDONA HOME"/>
    <x v="18"/>
    <s v="M-ONE Sanitar Silikon"/>
    <n v="12"/>
    <x v="1"/>
    <n v="0.17"/>
  </r>
  <r>
    <s v="LIRIDONA HOME"/>
    <x v="49"/>
    <m/>
    <m/>
    <m/>
    <x v="106"/>
    <s v="LIRIDONA HOME"/>
    <x v="20"/>
    <s v="M-ONE Sanitar Silikon"/>
    <n v="12"/>
    <x v="1"/>
    <n v="0.17"/>
  </r>
  <r>
    <s v="BERATI A.P. (1)"/>
    <x v="49"/>
    <n v="102.5"/>
    <m/>
    <m/>
    <x v="31"/>
    <s v="BERATI A.P. (1)"/>
    <x v="16"/>
    <s v="Fettspray"/>
    <n v="8"/>
    <x v="1"/>
    <n v="0.2"/>
  </r>
  <r>
    <s v="BERATI A.P. (1)"/>
    <x v="49"/>
    <m/>
    <m/>
    <m/>
    <x v="31"/>
    <s v="BERATI A.P. (1)"/>
    <x v="7"/>
    <s v="DICHTUNG"/>
    <n v="9"/>
    <x v="1"/>
    <n v="0.2"/>
  </r>
  <r>
    <s v="BERATI A.P. (1)"/>
    <x v="49"/>
    <m/>
    <m/>
    <m/>
    <x v="31"/>
    <s v="BERATI A.P. (1)"/>
    <x v="12"/>
    <s v="beMAKER Rostlöser"/>
    <n v="5"/>
    <x v="1"/>
    <n v="0.2"/>
  </r>
  <r>
    <s v="LIRIDONA-A"/>
    <x v="49"/>
    <n v="120"/>
    <m/>
    <m/>
    <x v="105"/>
    <s v="LIRIDONA-A"/>
    <x v="5"/>
    <s v="M-ONE Sanitar Silikon"/>
    <n v="12"/>
    <x v="1"/>
    <n v="0.17"/>
  </r>
  <r>
    <s v="LIRIDONA-A"/>
    <x v="49"/>
    <m/>
    <m/>
    <m/>
    <x v="105"/>
    <s v="LIRIDONA-A"/>
    <x v="20"/>
    <s v="M-ONE Sanitar Silikon"/>
    <n v="12"/>
    <x v="1"/>
    <n v="0.17"/>
  </r>
  <r>
    <s v="LIRIDONA-A"/>
    <x v="49"/>
    <m/>
    <m/>
    <m/>
    <x v="105"/>
    <s v="LIRIDONA-A"/>
    <x v="8"/>
    <s v="struktural akryl"/>
    <n v="12"/>
    <x v="1"/>
    <n v="0.06"/>
  </r>
  <r>
    <s v="TE BENI"/>
    <x v="49"/>
    <n v="184.8"/>
    <m/>
    <m/>
    <x v="107"/>
    <s v="TE BENI"/>
    <x v="4"/>
    <s v="M-ONE Sanitar Silikon"/>
    <n v="12"/>
    <x v="1"/>
    <n v="0.17"/>
  </r>
  <r>
    <s v="TE BENI"/>
    <x v="49"/>
    <m/>
    <m/>
    <m/>
    <x v="107"/>
    <s v="TE BENI"/>
    <x v="0"/>
    <s v="M-ONE Sanitar Silikon"/>
    <n v="12"/>
    <x v="1"/>
    <n v="0.17"/>
  </r>
  <r>
    <s v="TE BENI"/>
    <x v="49"/>
    <m/>
    <m/>
    <m/>
    <x v="107"/>
    <s v="TE BENI"/>
    <x v="5"/>
    <s v="M-ONE Sanitar Silikon"/>
    <n v="12"/>
    <x v="1"/>
    <n v="0.17"/>
  </r>
  <r>
    <s v="TE BENI"/>
    <x v="49"/>
    <m/>
    <m/>
    <m/>
    <x v="107"/>
    <s v="TE BENI"/>
    <x v="20"/>
    <s v="M-ONE Sanitar Silikon"/>
    <n v="12"/>
    <x v="1"/>
    <n v="0.17"/>
  </r>
  <r>
    <s v="ARBENI BIOBLIC"/>
    <x v="49"/>
    <n v="185"/>
    <m/>
    <m/>
    <x v="71"/>
    <s v="ARBENI BIOBLIC"/>
    <x v="28"/>
    <s v="BioBlic Universalreiniger"/>
    <n v="100"/>
    <x v="2"/>
    <n v="0.30000000000000004"/>
  </r>
  <r>
    <s v="ARBENI BIOBLIC"/>
    <x v="49"/>
    <m/>
    <m/>
    <m/>
    <x v="71"/>
    <s v="ARBENI BIOBLIC"/>
    <x v="29"/>
    <s v="Blic Blic Sanitärreiniger"/>
    <n v="50"/>
    <x v="2"/>
    <n v="0.30000000000000004"/>
  </r>
  <r>
    <s v="ALBANI"/>
    <x v="50"/>
    <n v="92.4"/>
    <m/>
    <m/>
    <x v="83"/>
    <e v="#N/A"/>
    <x v="18"/>
    <s v="M-ONE Sanitar Silikon"/>
    <n v="12"/>
    <x v="0"/>
    <n v="0.17"/>
  </r>
  <r>
    <s v="ALBANI"/>
    <x v="50"/>
    <m/>
    <m/>
    <m/>
    <x v="83"/>
    <e v="#N/A"/>
    <x v="1"/>
    <s v="M-ONE Sanitar Silikon"/>
    <n v="12"/>
    <x v="0"/>
    <n v="0.17"/>
  </r>
  <r>
    <s v="TE KELA"/>
    <x v="50"/>
    <n v="54.7"/>
    <m/>
    <m/>
    <x v="151"/>
    <s v="TE KELA"/>
    <x v="7"/>
    <s v="DICHTUNG"/>
    <n v="6"/>
    <x v="0"/>
    <n v="0.2"/>
  </r>
  <r>
    <s v="TE KELA"/>
    <x v="50"/>
    <m/>
    <m/>
    <m/>
    <x v="151"/>
    <s v="TE KELA"/>
    <x v="12"/>
    <s v="beMAKER Rostlöser"/>
    <n v="4"/>
    <x v="0"/>
    <n v="0.2"/>
  </r>
  <r>
    <s v="TE KELA"/>
    <x v="50"/>
    <m/>
    <m/>
    <m/>
    <x v="151"/>
    <s v="TE KELA"/>
    <x v="16"/>
    <s v="Fettspray"/>
    <n v="1"/>
    <x v="0"/>
    <n v="0.2"/>
  </r>
  <r>
    <s v="KUJTA"/>
    <x v="50"/>
    <n v="138.6"/>
    <m/>
    <m/>
    <x v="36"/>
    <s v="KUJTA"/>
    <x v="1"/>
    <s v="M-ONE Sanitar Silikon"/>
    <n v="12"/>
    <x v="0"/>
    <n v="0.17"/>
  </r>
  <r>
    <s v="KUJTA"/>
    <x v="50"/>
    <m/>
    <m/>
    <m/>
    <x v="36"/>
    <s v="KUJTA"/>
    <x v="9"/>
    <s v="M-ONE Sanitar Silikon"/>
    <n v="12"/>
    <x v="0"/>
    <n v="0.17"/>
  </r>
  <r>
    <s v="KUJTA"/>
    <x v="50"/>
    <m/>
    <m/>
    <m/>
    <x v="36"/>
    <s v="KUJTA"/>
    <x v="18"/>
    <s v="M-ONE Sanitar Silikon"/>
    <n v="12"/>
    <x v="0"/>
    <n v="0.17"/>
  </r>
  <r>
    <s v="KUSHA"/>
    <x v="50"/>
    <n v="10"/>
    <m/>
    <m/>
    <x v="130"/>
    <s v="KUSHA"/>
    <x v="14"/>
    <s v="beMAKER Bremsen&amp;Teile Reininger"/>
    <n v="5"/>
    <x v="0"/>
    <n v="0.2"/>
  </r>
  <r>
    <s v="DRITONI"/>
    <x v="50"/>
    <n v="46"/>
    <m/>
    <m/>
    <x v="164"/>
    <s v="DRITONI"/>
    <x v="7"/>
    <s v="DICHTUNG"/>
    <n v="5"/>
    <x v="0"/>
    <n v="0.2"/>
  </r>
  <r>
    <s v="DRITONI"/>
    <x v="50"/>
    <m/>
    <m/>
    <m/>
    <x v="164"/>
    <s v="DRITONI"/>
    <x v="12"/>
    <s v="beMAKER Rostlöser"/>
    <n v="5"/>
    <x v="0"/>
    <n v="0.2"/>
  </r>
  <r>
    <s v="BUJARI Q - BESII"/>
    <x v="50"/>
    <n v="92.4"/>
    <m/>
    <m/>
    <x v="116"/>
    <s v="BUJARI Q - BESII"/>
    <x v="1"/>
    <s v="M-ONE Sanitar Silikon"/>
    <n v="24"/>
    <x v="1"/>
    <n v="0.17"/>
  </r>
  <r>
    <s v="AGROLONDI"/>
    <x v="50"/>
    <n v="138.6"/>
    <m/>
    <m/>
    <x v="39"/>
    <s v="AGROLONDI"/>
    <x v="4"/>
    <s v="M-ONE Sanitar Silikon"/>
    <n v="12"/>
    <x v="1"/>
    <n v="0.17"/>
  </r>
  <r>
    <s v="AGROLONDI"/>
    <x v="50"/>
    <m/>
    <m/>
    <m/>
    <x v="39"/>
    <s v="AGROLONDI"/>
    <x v="0"/>
    <s v="M-ONE Sanitar Silikon"/>
    <n v="12"/>
    <x v="1"/>
    <n v="0.17"/>
  </r>
  <r>
    <s v="AGROLONDI"/>
    <x v="50"/>
    <m/>
    <m/>
    <m/>
    <x v="39"/>
    <s v="AGROLONDI"/>
    <x v="20"/>
    <s v="M-ONE Sanitar Silikon"/>
    <n v="12"/>
    <x v="1"/>
    <n v="0.17"/>
  </r>
  <r>
    <s v="SALIHU CORPORATION"/>
    <x v="50"/>
    <n v="138.6"/>
    <m/>
    <m/>
    <x v="165"/>
    <e v="#N/A"/>
    <x v="4"/>
    <s v="M-ONE Sanitar Silikon"/>
    <n v="12"/>
    <x v="1"/>
    <n v="0.17"/>
  </r>
  <r>
    <s v="SALIHU CORPORATION"/>
    <x v="50"/>
    <m/>
    <m/>
    <m/>
    <x v="165"/>
    <e v="#N/A"/>
    <x v="0"/>
    <s v="M-ONE Sanitar Silikon"/>
    <n v="12"/>
    <x v="1"/>
    <n v="0.17"/>
  </r>
  <r>
    <s v="SALIHU CORPORATION"/>
    <x v="50"/>
    <m/>
    <m/>
    <m/>
    <x v="165"/>
    <e v="#N/A"/>
    <x v="5"/>
    <s v="M-ONE Sanitar Silikon"/>
    <n v="12"/>
    <x v="1"/>
    <n v="0.17"/>
  </r>
  <r>
    <s v="ILIRI QERAMIKA"/>
    <x v="50"/>
    <n v="92.4"/>
    <m/>
    <m/>
    <x v="41"/>
    <s v="ILIRI QERAMIKA"/>
    <x v="4"/>
    <s v="M-ONE Sanitar Silikon"/>
    <n v="12"/>
    <x v="1"/>
    <n v="0.17"/>
  </r>
  <r>
    <s v="ILIRI QERAMIKA"/>
    <x v="50"/>
    <m/>
    <m/>
    <m/>
    <x v="41"/>
    <s v="ILIRI QERAMIKA"/>
    <x v="0"/>
    <s v="M-ONE Sanitar Silikon"/>
    <n v="12"/>
    <x v="1"/>
    <n v="0.17"/>
  </r>
  <r>
    <s v="ALFA-QERAMIKA"/>
    <x v="50"/>
    <n v="184.8"/>
    <m/>
    <m/>
    <x v="115"/>
    <s v="ALFA-QERAMIKA"/>
    <x v="18"/>
    <s v="M-ONE Sanitar Silikon"/>
    <n v="24"/>
    <x v="1"/>
    <n v="0.17"/>
  </r>
  <r>
    <s v="ALFA-QERAMIKA"/>
    <x v="50"/>
    <m/>
    <m/>
    <m/>
    <x v="115"/>
    <s v="ALFA-QERAMIKA"/>
    <x v="6"/>
    <s v="M-ONE Sanitar Silikon"/>
    <n v="12"/>
    <x v="1"/>
    <n v="0.17"/>
  </r>
  <r>
    <s v="ALFA-QERAMIKA"/>
    <x v="50"/>
    <m/>
    <m/>
    <m/>
    <x v="115"/>
    <s v="ALFA-QERAMIKA"/>
    <x v="1"/>
    <s v="M-ONE Sanitar Silikon"/>
    <n v="12"/>
    <x v="1"/>
    <n v="0.17"/>
  </r>
  <r>
    <s v="UNIKA"/>
    <x v="50"/>
    <n v="92.4"/>
    <m/>
    <m/>
    <x v="43"/>
    <s v="UNIKA"/>
    <x v="4"/>
    <s v="M-ONE Sanitar Silikon"/>
    <n v="12"/>
    <x v="1"/>
    <n v="0.17"/>
  </r>
  <r>
    <s v="UNIKA"/>
    <x v="50"/>
    <m/>
    <m/>
    <m/>
    <x v="43"/>
    <s v="UNIKA"/>
    <x v="0"/>
    <s v="M-ONE Sanitar Silikon"/>
    <n v="12"/>
    <x v="1"/>
    <n v="0.17"/>
  </r>
  <r>
    <s v="TE-SYLA"/>
    <x v="50"/>
    <n v="92.4"/>
    <m/>
    <m/>
    <x v="44"/>
    <s v="TE-SYLA"/>
    <x v="18"/>
    <s v="M-ONE Sanitar Silikon"/>
    <n v="12"/>
    <x v="1"/>
    <n v="0.17"/>
  </r>
  <r>
    <s v="TE-SYLA"/>
    <x v="50"/>
    <m/>
    <m/>
    <m/>
    <x v="44"/>
    <s v="TE-SYLA"/>
    <x v="9"/>
    <s v="M-ONE Sanitar Silikon"/>
    <n v="12"/>
    <x v="1"/>
    <n v="0.17"/>
  </r>
  <r>
    <s v="F.V. SH.P.K. "/>
    <x v="50"/>
    <n v="173.6"/>
    <m/>
    <m/>
    <x v="45"/>
    <s v="F.V. SH.P.K. "/>
    <x v="18"/>
    <s v="M-ONE Sanitar Silikon"/>
    <n v="12"/>
    <x v="1"/>
    <n v="0.17"/>
  </r>
  <r>
    <s v="F.V. SH.P.K. "/>
    <x v="50"/>
    <m/>
    <m/>
    <m/>
    <x v="45"/>
    <s v="F.V. SH.P.K. "/>
    <x v="20"/>
    <s v="M-ONE Sanitar Silikon"/>
    <n v="12"/>
    <x v="1"/>
    <n v="0.17"/>
  </r>
  <r>
    <s v="F.V. SH.P.K. "/>
    <x v="50"/>
    <m/>
    <m/>
    <m/>
    <x v="45"/>
    <s v="F.V. SH.P.K. "/>
    <x v="9"/>
    <s v="M-ONE Sanitar Silikon"/>
    <n v="12"/>
    <x v="1"/>
    <n v="0.17"/>
  </r>
  <r>
    <s v="F.V. SH.P.K. "/>
    <x v="50"/>
    <m/>
    <m/>
    <m/>
    <x v="45"/>
    <s v="F.V. SH.P.K. "/>
    <x v="16"/>
    <s v="Fettspray"/>
    <n v="6"/>
    <x v="1"/>
    <n v="0.2"/>
  </r>
  <r>
    <s v="F.V. SH.P.K. "/>
    <x v="50"/>
    <m/>
    <m/>
    <m/>
    <x v="45"/>
    <s v="F.V. SH.P.K. "/>
    <x v="13"/>
    <s v="M ONE MOTORSTART"/>
    <n v="4"/>
    <x v="1"/>
    <n v="0.2"/>
  </r>
  <r>
    <s v="ORCA"/>
    <x v="50"/>
    <n v="184.8"/>
    <m/>
    <m/>
    <x v="166"/>
    <s v="ORCA"/>
    <x v="4"/>
    <s v="M-ONE Sanitar Silikon"/>
    <n v="12"/>
    <x v="1"/>
    <n v="0.17"/>
  </r>
  <r>
    <s v="ORCA"/>
    <x v="50"/>
    <m/>
    <m/>
    <m/>
    <x v="166"/>
    <s v="ORCA"/>
    <x v="0"/>
    <s v="M-ONE Sanitar Silikon"/>
    <n v="12"/>
    <x v="1"/>
    <n v="0.17"/>
  </r>
  <r>
    <s v="ORCA"/>
    <x v="50"/>
    <m/>
    <m/>
    <m/>
    <x v="166"/>
    <s v="ORCA"/>
    <x v="5"/>
    <s v="M-ONE Sanitar Silikon"/>
    <n v="12"/>
    <x v="1"/>
    <n v="0.17"/>
  </r>
  <r>
    <s v="ORCA"/>
    <x v="50"/>
    <m/>
    <m/>
    <m/>
    <x v="166"/>
    <s v="ORCA"/>
    <x v="18"/>
    <s v="M-ONE Sanitar Silikon"/>
    <n v="12"/>
    <x v="1"/>
    <n v="0.17"/>
  </r>
  <r>
    <s v="HIDROELDI"/>
    <x v="51"/>
    <n v="46.2"/>
    <m/>
    <m/>
    <x v="85"/>
    <s v="HIDROELDI"/>
    <x v="4"/>
    <s v="M-ONE Sanitar Silikon"/>
    <n v="12"/>
    <x v="0"/>
    <n v="0.17"/>
  </r>
  <r>
    <s v="KADIJOLLET"/>
    <x v="51"/>
    <n v="150.6"/>
    <m/>
    <m/>
    <x v="49"/>
    <s v="KADIJOLLET"/>
    <x v="20"/>
    <s v="M-ONE Sanitar Silikon"/>
    <n v="12"/>
    <x v="0"/>
    <n v="0.17"/>
  </r>
  <r>
    <s v="KADIJOLLET"/>
    <x v="51"/>
    <m/>
    <m/>
    <m/>
    <x v="49"/>
    <s v="KADIJOLLET"/>
    <x v="18"/>
    <s v="M-ONE Sanitar Silikon"/>
    <n v="12"/>
    <x v="0"/>
    <n v="0.17"/>
  </r>
  <r>
    <s v="KADIJOLLET"/>
    <x v="51"/>
    <m/>
    <m/>
    <m/>
    <x v="49"/>
    <s v="KADIJOLLET"/>
    <x v="6"/>
    <s v="M-ONE Sanitar Silikon"/>
    <n v="12"/>
    <x v="0"/>
    <n v="0.17"/>
  </r>
  <r>
    <s v="KADIJOLLET"/>
    <x v="51"/>
    <m/>
    <m/>
    <m/>
    <x v="49"/>
    <s v="KADIJOLLET"/>
    <x v="12"/>
    <s v="beMAKER Rostlöser"/>
    <n v="6"/>
    <x v="0"/>
    <n v="0.2"/>
  </r>
  <r>
    <s v="BOSCH"/>
    <x v="51"/>
    <n v="21.5"/>
    <m/>
    <m/>
    <x v="167"/>
    <s v="BOSCH"/>
    <x v="34"/>
    <s v="M ONE FELGENSILBER"/>
    <n v="2"/>
    <x v="0"/>
    <n v="0.15"/>
  </r>
  <r>
    <s v="BOSCH"/>
    <x v="51"/>
    <m/>
    <m/>
    <m/>
    <x v="167"/>
    <s v="BOSCH"/>
    <x v="13"/>
    <s v="M ONE MOTORSTART"/>
    <n v="5"/>
    <x v="0"/>
    <n v="0.2"/>
  </r>
  <r>
    <s v="QELA"/>
    <x v="51"/>
    <n v="92.4"/>
    <m/>
    <m/>
    <x v="50"/>
    <s v="QELA"/>
    <x v="5"/>
    <s v="M-ONE Sanitar Silikon"/>
    <n v="12"/>
    <x v="0"/>
    <n v="0.17"/>
  </r>
  <r>
    <s v="QELA"/>
    <x v="51"/>
    <m/>
    <m/>
    <m/>
    <x v="50"/>
    <s v="QELA"/>
    <x v="6"/>
    <s v="M-ONE Sanitar Silikon"/>
    <n v="12"/>
    <x v="0"/>
    <n v="0.17"/>
  </r>
  <r>
    <s v="JETARI"/>
    <x v="51"/>
    <n v="46.2"/>
    <m/>
    <m/>
    <x v="87"/>
    <s v="JETARI"/>
    <x v="20"/>
    <s v="M-ONE Sanitar Silikon"/>
    <n v="12"/>
    <x v="0"/>
    <n v="0.17"/>
  </r>
  <r>
    <s v="BESI COM"/>
    <x v="51"/>
    <n v="46.2"/>
    <m/>
    <m/>
    <x v="51"/>
    <s v="BESI COM"/>
    <x v="18"/>
    <s v="M-ONE Sanitar Silikon"/>
    <n v="12"/>
    <x v="0"/>
    <n v="0.17"/>
  </r>
  <r>
    <s v="KENA COMERC"/>
    <x v="51"/>
    <n v="92.4"/>
    <m/>
    <m/>
    <x v="52"/>
    <s v="KENA COMERC"/>
    <x v="18"/>
    <s v="M-ONE Sanitar Silikon"/>
    <n v="12"/>
    <x v="1"/>
    <n v="0.17"/>
  </r>
  <r>
    <s v="KENA COMERC"/>
    <x v="51"/>
    <m/>
    <m/>
    <m/>
    <x v="52"/>
    <s v="KENA COMERC"/>
    <x v="1"/>
    <s v="M-ONE Sanitar Silikon"/>
    <n v="12"/>
    <x v="1"/>
    <n v="0.17"/>
  </r>
  <r>
    <s v="ING PROJEKT"/>
    <x v="51"/>
    <n v="200.8"/>
    <m/>
    <m/>
    <x v="168"/>
    <s v="ING PROJEKT"/>
    <x v="3"/>
    <s v="M-ONE Sanitar Silikon"/>
    <n v="12"/>
    <x v="1"/>
    <n v="0.17"/>
  </r>
  <r>
    <s v="ING PROJEKT"/>
    <x v="51"/>
    <m/>
    <m/>
    <m/>
    <x v="168"/>
    <s v="ING PROJEKT"/>
    <x v="0"/>
    <s v="M-ONE Sanitar Silikon"/>
    <n v="12"/>
    <x v="1"/>
    <n v="0.17"/>
  </r>
  <r>
    <s v="ING PROJEKT"/>
    <x v="51"/>
    <m/>
    <m/>
    <m/>
    <x v="168"/>
    <s v="ING PROJEKT"/>
    <x v="18"/>
    <s v="M-ONE Sanitar Silikon"/>
    <n v="12"/>
    <x v="1"/>
    <n v="0.17"/>
  </r>
  <r>
    <s v="ING PROJEKT"/>
    <x v="51"/>
    <m/>
    <m/>
    <m/>
    <x v="168"/>
    <s v="ING PROJEKT"/>
    <x v="2"/>
    <s v="M-ONE Sanitar Silikon"/>
    <n v="12"/>
    <x v="1"/>
    <n v="0.17"/>
  </r>
  <r>
    <s v="ING PROJEKT"/>
    <x v="51"/>
    <m/>
    <m/>
    <m/>
    <x v="168"/>
    <s v="ING PROJEKT"/>
    <x v="12"/>
    <s v="beMAKER Rostlöser"/>
    <n v="8"/>
    <x v="1"/>
    <n v="0.2"/>
  </r>
  <r>
    <s v="LNI SHPK"/>
    <x v="51"/>
    <n v="138.6"/>
    <m/>
    <m/>
    <x v="141"/>
    <s v="LNI SHPK"/>
    <x v="5"/>
    <s v="M-ONE Sanitar Silikon"/>
    <n v="12"/>
    <x v="1"/>
    <n v="0.17"/>
  </r>
  <r>
    <s v="LNI SHPK"/>
    <x v="51"/>
    <m/>
    <m/>
    <m/>
    <x v="141"/>
    <s v="LNI SHPK"/>
    <x v="20"/>
    <s v="M-ONE Sanitar Silikon"/>
    <n v="12"/>
    <x v="1"/>
    <n v="0.17"/>
  </r>
  <r>
    <s v="LNI SHPK"/>
    <x v="51"/>
    <m/>
    <m/>
    <m/>
    <x v="141"/>
    <s v="LNI SHPK"/>
    <x v="18"/>
    <s v="M-ONE Sanitar Silikon"/>
    <n v="12"/>
    <x v="1"/>
    <n v="0.17"/>
  </r>
  <r>
    <s v="KUQI-LKW"/>
    <x v="51"/>
    <n v="54.5"/>
    <m/>
    <m/>
    <x v="120"/>
    <s v="KUQI-LKW"/>
    <x v="7"/>
    <s v="DICHTUNG"/>
    <n v="5"/>
    <x v="1"/>
    <n v="0.2"/>
  </r>
  <r>
    <s v="KUQI-LKW"/>
    <x v="51"/>
    <m/>
    <m/>
    <m/>
    <x v="120"/>
    <s v="KUQI-LKW"/>
    <x v="13"/>
    <s v="M ONE MOTORSTART"/>
    <n v="2"/>
    <x v="1"/>
    <n v="0.2"/>
  </r>
  <r>
    <s v="KUQI-LKW"/>
    <x v="51"/>
    <m/>
    <m/>
    <m/>
    <x v="120"/>
    <s v="KUQI-LKW"/>
    <x v="16"/>
    <s v="Fettspray"/>
    <n v="2"/>
    <x v="1"/>
    <n v="0.2"/>
  </r>
  <r>
    <s v="KUQI-LKW"/>
    <x v="51"/>
    <m/>
    <m/>
    <m/>
    <x v="120"/>
    <s v="KUQI-LKW"/>
    <x v="38"/>
    <s v="M ONE LACK HELLGRAU"/>
    <n v="1"/>
    <x v="1"/>
    <n v="0.15"/>
  </r>
  <r>
    <s v="KUQI-LKW"/>
    <x v="51"/>
    <m/>
    <m/>
    <m/>
    <x v="120"/>
    <s v="KUQI-LKW"/>
    <x v="35"/>
    <s v="M ONE LACK GRUN"/>
    <n v="1"/>
    <x v="1"/>
    <n v="0.15"/>
  </r>
  <r>
    <s v="KUQI-LKW"/>
    <x v="51"/>
    <m/>
    <m/>
    <m/>
    <x v="120"/>
    <s v="KUQI-LKW"/>
    <x v="39"/>
    <s v="M ONE LACK GELB"/>
    <n v="1"/>
    <x v="1"/>
    <n v="0.15"/>
  </r>
  <r>
    <s v="TE GZIMI"/>
    <x v="51"/>
    <n v="30"/>
    <m/>
    <m/>
    <x v="119"/>
    <s v="TE GZIMI"/>
    <x v="12"/>
    <s v="beMAKER Rostlöser"/>
    <n v="11"/>
    <x v="1"/>
    <n v="0.2"/>
  </r>
  <r>
    <s v="TE GZIMI"/>
    <x v="51"/>
    <m/>
    <m/>
    <m/>
    <x v="119"/>
    <s v="TE GZIMI"/>
    <x v="14"/>
    <s v="beMAKER Bremsen&amp;Teile Reininger"/>
    <n v="4"/>
    <x v="1"/>
    <n v="0.2"/>
  </r>
  <r>
    <s v="TERMO PROJEKT"/>
    <x v="51"/>
    <n v="138.6"/>
    <m/>
    <m/>
    <x v="56"/>
    <s v="TERMO PROJEKT"/>
    <x v="3"/>
    <s v="M-ONE Sanitar Silikon"/>
    <n v="12"/>
    <x v="1"/>
    <n v="0.17"/>
  </r>
  <r>
    <s v="TERMO PROJEKT"/>
    <x v="51"/>
    <m/>
    <m/>
    <m/>
    <x v="56"/>
    <s v="TERMO PROJEKT"/>
    <x v="0"/>
    <s v="M-ONE Sanitar Silikon"/>
    <n v="12"/>
    <x v="1"/>
    <n v="0.17"/>
  </r>
  <r>
    <s v="TERMO PROJEKT"/>
    <x v="51"/>
    <m/>
    <m/>
    <m/>
    <x v="56"/>
    <s v="TERMO PROJEKT"/>
    <x v="25"/>
    <s v="M-ONE Sanitar Silikon"/>
    <n v="12"/>
    <x v="1"/>
    <n v="0.17"/>
  </r>
  <r>
    <s v="KTHIMI"/>
    <x v="51"/>
    <n v="120"/>
    <m/>
    <m/>
    <x v="57"/>
    <s v="KTHIMI"/>
    <x v="3"/>
    <s v="M-ONE Sanitar Silikon"/>
    <n v="12"/>
    <x v="1"/>
    <n v="0.17"/>
  </r>
  <r>
    <s v="KTHIMI"/>
    <x v="51"/>
    <m/>
    <m/>
    <m/>
    <x v="57"/>
    <s v="KTHIMI"/>
    <x v="4"/>
    <s v="M-ONE Sanitar Silikon"/>
    <n v="12"/>
    <x v="1"/>
    <n v="0.17"/>
  </r>
  <r>
    <s v="KTHIMI"/>
    <x v="51"/>
    <m/>
    <m/>
    <m/>
    <x v="57"/>
    <s v="KTHIMI"/>
    <x v="8"/>
    <s v="struktural akryl"/>
    <n v="12"/>
    <x v="1"/>
    <n v="0.06"/>
  </r>
  <r>
    <s v="LULI-C"/>
    <x v="51"/>
    <n v="73.8"/>
    <m/>
    <m/>
    <x v="54"/>
    <s v="LULI-C"/>
    <x v="9"/>
    <s v="M-ONE Sanitar Silikon"/>
    <n v="12"/>
    <x v="1"/>
    <n v="0.17"/>
  </r>
  <r>
    <s v="LULI-C"/>
    <x v="51"/>
    <m/>
    <m/>
    <m/>
    <x v="54"/>
    <s v="LULI-C"/>
    <x v="8"/>
    <s v="struktural akryl"/>
    <n v="12"/>
    <x v="1"/>
    <n v="0.06"/>
  </r>
  <r>
    <s v="CAMA BAU"/>
    <x v="51"/>
    <n v="138.6"/>
    <m/>
    <m/>
    <x v="55"/>
    <s v="CAMA BAU"/>
    <x v="6"/>
    <s v="M-ONE Sanitar Silikon"/>
    <n v="12"/>
    <x v="1"/>
    <n v="0.17"/>
  </r>
  <r>
    <s v="CAMA BAU"/>
    <x v="51"/>
    <m/>
    <m/>
    <m/>
    <x v="55"/>
    <s v="CAMA BAU"/>
    <x v="2"/>
    <s v="M-ONE Sanitar Silikon"/>
    <n v="12"/>
    <x v="1"/>
    <n v="0.17"/>
  </r>
  <r>
    <s v="CAMA BAU"/>
    <x v="51"/>
    <m/>
    <m/>
    <m/>
    <x v="55"/>
    <s v="CAMA BAU"/>
    <x v="9"/>
    <s v="M-ONE Sanitar Silikon"/>
    <n v="12"/>
    <x v="1"/>
    <n v="0.17"/>
  </r>
  <r>
    <s v="YLLI CONSTRUCION"/>
    <x v="52"/>
    <n v="20"/>
    <m/>
    <m/>
    <x v="128"/>
    <s v="YLLI CONSTRUCION"/>
    <x v="18"/>
    <s v="M-ONE Sanitar Silikon"/>
    <n v="5"/>
    <x v="2"/>
    <n v="0.17"/>
  </r>
  <r>
    <s v="QEMA"/>
    <x v="52"/>
    <n v="208.8"/>
    <m/>
    <m/>
    <x v="134"/>
    <s v="QEMA"/>
    <x v="10"/>
    <s v="PROFIMONT EXTREME"/>
    <n v="36"/>
    <x v="0"/>
    <n v="0.2"/>
  </r>
  <r>
    <s v="JETA DUHEL"/>
    <x v="52"/>
    <n v="92.4"/>
    <m/>
    <m/>
    <x v="152"/>
    <s v="JETA DUHEL"/>
    <x v="1"/>
    <s v="M-ONE Sanitar Silikon"/>
    <n v="12"/>
    <x v="0"/>
    <n v="0.17"/>
  </r>
  <r>
    <s v="JETA DUHEL"/>
    <x v="52"/>
    <m/>
    <m/>
    <m/>
    <x v="152"/>
    <s v="JETA DUHEL"/>
    <x v="9"/>
    <s v="M-ONE Sanitar Silikon"/>
    <n v="12"/>
    <x v="0"/>
    <n v="0.17"/>
  </r>
  <r>
    <s v="XHAFA"/>
    <x v="52"/>
    <n v="199.2"/>
    <m/>
    <m/>
    <x v="61"/>
    <s v="XHAFA"/>
    <x v="4"/>
    <s v="M-ONE Sanitar Silikon"/>
    <n v="12"/>
    <x v="0"/>
    <n v="0.17"/>
  </r>
  <r>
    <s v="XHAFA"/>
    <x v="52"/>
    <m/>
    <m/>
    <m/>
    <x v="61"/>
    <s v="XHAFA"/>
    <x v="20"/>
    <s v="M-ONE Sanitar Silikon"/>
    <n v="12"/>
    <x v="0"/>
    <n v="0.17"/>
  </r>
  <r>
    <s v="XHAFA"/>
    <x v="52"/>
    <m/>
    <m/>
    <m/>
    <x v="61"/>
    <s v="XHAFA"/>
    <x v="1"/>
    <s v="M-ONE Sanitar Silikon"/>
    <n v="12"/>
    <x v="0"/>
    <n v="0.17"/>
  </r>
  <r>
    <s v="XHAFA"/>
    <x v="52"/>
    <m/>
    <m/>
    <m/>
    <x v="61"/>
    <s v="XHAFA"/>
    <x v="3"/>
    <s v="M-ONE Sanitar Silikon"/>
    <n v="12"/>
    <x v="0"/>
    <n v="0.17"/>
  </r>
  <r>
    <s v="XHAFA"/>
    <x v="52"/>
    <m/>
    <m/>
    <m/>
    <x v="61"/>
    <s v="XHAFA"/>
    <x v="7"/>
    <s v="DICHTUNG"/>
    <n v="2"/>
    <x v="0"/>
    <n v="0.2"/>
  </r>
  <r>
    <s v="ARPO"/>
    <x v="52"/>
    <n v="92.4"/>
    <m/>
    <m/>
    <x v="64"/>
    <s v="ARPO"/>
    <x v="4"/>
    <s v="M-ONE Sanitar Silikon"/>
    <n v="12"/>
    <x v="0"/>
    <n v="0.17"/>
  </r>
  <r>
    <s v="ARPO"/>
    <x v="52"/>
    <m/>
    <m/>
    <m/>
    <x v="64"/>
    <s v="ARPO"/>
    <x v="20"/>
    <s v="M-ONE Sanitar Silikon"/>
    <n v="12"/>
    <x v="0"/>
    <n v="0.17"/>
  </r>
  <r>
    <s v="BEK TRADE"/>
    <x v="52"/>
    <n v="138.6"/>
    <m/>
    <m/>
    <x v="62"/>
    <s v="BEK TRADE"/>
    <x v="3"/>
    <s v="M-ONE Sanitar Silikon"/>
    <n v="12"/>
    <x v="0"/>
    <n v="0.17"/>
  </r>
  <r>
    <s v="BEK TRADE"/>
    <x v="52"/>
    <m/>
    <m/>
    <m/>
    <x v="62"/>
    <s v="BEK TRADE"/>
    <x v="18"/>
    <s v="M-ONE Sanitar Silikon"/>
    <n v="12"/>
    <x v="0"/>
    <n v="0.17"/>
  </r>
  <r>
    <s v="BEK TRADE"/>
    <x v="52"/>
    <m/>
    <m/>
    <m/>
    <x v="62"/>
    <s v="BEK TRADE"/>
    <x v="9"/>
    <s v="M-ONE Sanitar Silikon"/>
    <n v="12"/>
    <x v="0"/>
    <n v="0.17"/>
  </r>
  <r>
    <s v="QEMA"/>
    <x v="52"/>
    <n v="46.2"/>
    <m/>
    <m/>
    <x v="169"/>
    <e v="#N/A"/>
    <x v="1"/>
    <s v="M-ONE Sanitar Silikon"/>
    <n v="12"/>
    <x v="0"/>
    <n v="0.17"/>
  </r>
  <r>
    <s v="TEMAJ"/>
    <x v="52"/>
    <n v="138.6"/>
    <m/>
    <m/>
    <x v="91"/>
    <s v="TEMAJ"/>
    <x v="3"/>
    <s v="M-ONE Sanitar Silikon"/>
    <n v="12"/>
    <x v="2"/>
    <n v="0.17"/>
  </r>
  <r>
    <s v="TEMAJ"/>
    <x v="52"/>
    <m/>
    <m/>
    <m/>
    <x v="91"/>
    <s v="TEMAJ"/>
    <x v="18"/>
    <s v="M-ONE Sanitar Silikon"/>
    <n v="12"/>
    <x v="2"/>
    <n v="0.17"/>
  </r>
  <r>
    <s v="TEMAJ"/>
    <x v="52"/>
    <m/>
    <m/>
    <m/>
    <x v="91"/>
    <s v="TEMAJ"/>
    <x v="0"/>
    <s v="M-ONE Sanitar Silikon"/>
    <n v="12"/>
    <x v="2"/>
    <n v="0.17"/>
  </r>
  <r>
    <s v="LETAJ"/>
    <x v="52"/>
    <n v="277.2"/>
    <m/>
    <m/>
    <x v="67"/>
    <s v="LETAJ"/>
    <x v="0"/>
    <s v="M-ONE Sanitar Silikon"/>
    <n v="24"/>
    <x v="1"/>
    <n v="0.17"/>
  </r>
  <r>
    <s v="LETAJ"/>
    <x v="52"/>
    <m/>
    <m/>
    <m/>
    <x v="67"/>
    <s v="LETAJ"/>
    <x v="25"/>
    <s v="M-ONE Sanitar Silikon"/>
    <n v="12"/>
    <x v="1"/>
    <n v="0.17"/>
  </r>
  <r>
    <s v="LETAJ"/>
    <x v="52"/>
    <m/>
    <m/>
    <m/>
    <x v="67"/>
    <s v="LETAJ"/>
    <x v="6"/>
    <s v="M-ONE Sanitar Silikon"/>
    <n v="12"/>
    <x v="1"/>
    <n v="0.17"/>
  </r>
  <r>
    <s v="LETAJ"/>
    <x v="52"/>
    <m/>
    <m/>
    <m/>
    <x v="67"/>
    <s v="LETAJ"/>
    <x v="20"/>
    <s v="M-ONE Sanitar Silikon"/>
    <n v="12"/>
    <x v="1"/>
    <n v="0.17"/>
  </r>
  <r>
    <s v="LETAJ"/>
    <x v="52"/>
    <m/>
    <m/>
    <m/>
    <x v="67"/>
    <s v="LETAJ"/>
    <x v="1"/>
    <s v="M-ONE Sanitar Silikon"/>
    <n v="12"/>
    <x v="1"/>
    <n v="0.17"/>
  </r>
  <r>
    <s v="GERMAN FABRE"/>
    <x v="52"/>
    <n v="92.4"/>
    <m/>
    <m/>
    <x v="121"/>
    <s v="GERMAN FABRE"/>
    <x v="0"/>
    <s v="M-ONE Sanitar Silikon"/>
    <n v="12"/>
    <x v="1"/>
    <n v="0.17"/>
  </r>
  <r>
    <s v="GERMAN FABRE"/>
    <x v="52"/>
    <m/>
    <m/>
    <m/>
    <x v="121"/>
    <s v="GERMAN FABRE"/>
    <x v="9"/>
    <s v="M-ONE Sanitar Silikon"/>
    <n v="12"/>
    <x v="1"/>
    <n v="0.17"/>
  </r>
  <r>
    <s v="INOX 2"/>
    <x v="52"/>
    <n v="92.4"/>
    <m/>
    <m/>
    <x v="93"/>
    <s v="INOX 2"/>
    <x v="3"/>
    <s v="M-ONE Sanitar Silikon"/>
    <n v="12"/>
    <x v="1"/>
    <n v="0.17"/>
  </r>
  <r>
    <s v="INOX 2"/>
    <x v="52"/>
    <m/>
    <m/>
    <m/>
    <x v="93"/>
    <s v="INOX 2"/>
    <x v="20"/>
    <s v="M-ONE Sanitar Silikon"/>
    <n v="12"/>
    <x v="1"/>
    <n v="0.17"/>
  </r>
  <r>
    <s v="GER COLORS"/>
    <x v="52"/>
    <n v="139.19999999999999"/>
    <m/>
    <m/>
    <x v="94"/>
    <s v="GER COLORS"/>
    <x v="10"/>
    <s v="PROFIMONT EXTREME"/>
    <n v="24"/>
    <x v="1"/>
    <n v="0.2"/>
  </r>
  <r>
    <s v="HB-DECOR"/>
    <x v="52"/>
    <n v="69.599999999999994"/>
    <m/>
    <m/>
    <x v="95"/>
    <s v="HB-DECOR"/>
    <x v="10"/>
    <s v="PROFIMONT EXTREME"/>
    <n v="12"/>
    <x v="1"/>
    <n v="0.2"/>
  </r>
  <r>
    <s v="ERENIKU"/>
    <x v="52"/>
    <n v="120"/>
    <m/>
    <m/>
    <x v="92"/>
    <s v="ERENIKU"/>
    <x v="0"/>
    <s v="M-ONE Sanitar Silikon"/>
    <n v="12"/>
    <x v="1"/>
    <n v="0.17"/>
  </r>
  <r>
    <s v="ERENIKU"/>
    <x v="52"/>
    <m/>
    <m/>
    <m/>
    <x v="92"/>
    <s v="ERENIKU"/>
    <x v="20"/>
    <s v="M-ONE Sanitar Silikon"/>
    <n v="12"/>
    <x v="1"/>
    <n v="0.17"/>
  </r>
  <r>
    <s v="ERENIKU"/>
    <x v="52"/>
    <m/>
    <m/>
    <m/>
    <x v="92"/>
    <s v="ERENIKU"/>
    <x v="8"/>
    <s v="struktural akryl"/>
    <n v="12"/>
    <x v="1"/>
    <n v="0.06"/>
  </r>
  <r>
    <s v="AFRIMI-AG"/>
    <x v="52"/>
    <n v="208.2"/>
    <m/>
    <m/>
    <x v="69"/>
    <s v="AFRIMI-AG"/>
    <x v="25"/>
    <s v="M-ONE Sanitar Silikon"/>
    <n v="12"/>
    <x v="1"/>
    <n v="0.17"/>
  </r>
  <r>
    <s v="AFRIMI-AG"/>
    <x v="52"/>
    <m/>
    <m/>
    <m/>
    <x v="69"/>
    <s v="AFRIMI-AG"/>
    <x v="10"/>
    <s v="PROFIMONT EXTREME"/>
    <n v="12"/>
    <x v="1"/>
    <n v="0.2"/>
  </r>
  <r>
    <s v="AFRIMI-AG"/>
    <x v="52"/>
    <m/>
    <m/>
    <m/>
    <x v="69"/>
    <s v="AFRIMI-AG"/>
    <x v="3"/>
    <s v="M-ONE Sanitar Silikon"/>
    <n v="12"/>
    <x v="1"/>
    <n v="0.17"/>
  </r>
  <r>
    <s v="AFRIMI-AG"/>
    <x v="52"/>
    <m/>
    <m/>
    <m/>
    <x v="69"/>
    <s v="AFRIMI-AG"/>
    <x v="5"/>
    <s v="M-ONE Sanitar Silikon"/>
    <n v="12"/>
    <x v="1"/>
    <n v="0.17"/>
  </r>
  <r>
    <s v="TE BESIMI"/>
    <x v="52"/>
    <n v="73.8"/>
    <m/>
    <m/>
    <x v="70"/>
    <s v="TE BESIMI"/>
    <x v="3"/>
    <s v="M-ONE Sanitar Silikon"/>
    <n v="12"/>
    <x v="1"/>
    <n v="0.17"/>
  </r>
  <r>
    <s v="TE BESIMI"/>
    <x v="52"/>
    <m/>
    <m/>
    <m/>
    <x v="70"/>
    <s v="TE BESIMI"/>
    <x v="8"/>
    <s v="struktural akryl"/>
    <n v="12"/>
    <x v="1"/>
    <n v="0.06"/>
  </r>
  <r>
    <s v="AP WOLF"/>
    <x v="52"/>
    <n v="125.1"/>
    <m/>
    <m/>
    <x v="170"/>
    <s v="AP WOLF"/>
    <x v="17"/>
    <s v="M ONE UBS"/>
    <n v="5"/>
    <x v="1"/>
    <n v="0.2"/>
  </r>
  <r>
    <s v="AP WOLF"/>
    <x v="52"/>
    <m/>
    <m/>
    <m/>
    <x v="170"/>
    <s v="AP WOLF"/>
    <x v="23"/>
    <s v="M ONE HAFTGRUND"/>
    <n v="5"/>
    <x v="1"/>
    <n v="0.15"/>
  </r>
  <r>
    <s v="AP WOLF"/>
    <x v="52"/>
    <m/>
    <m/>
    <m/>
    <x v="170"/>
    <s v="AP WOLF"/>
    <x v="12"/>
    <s v="beMAKER Rostlöser"/>
    <n v="5"/>
    <x v="1"/>
    <n v="0.2"/>
  </r>
  <r>
    <s v="AP WOLF"/>
    <x v="52"/>
    <m/>
    <m/>
    <m/>
    <x v="170"/>
    <s v="AP WOLF"/>
    <x v="16"/>
    <s v="Fettspray"/>
    <n v="4"/>
    <x v="1"/>
    <n v="0.2"/>
  </r>
  <r>
    <s v="AP WOLF"/>
    <x v="52"/>
    <m/>
    <m/>
    <m/>
    <x v="170"/>
    <s v="AP WOLF"/>
    <x v="24"/>
    <s v="M ONE SILIKON SPRAY"/>
    <n v="3"/>
    <x v="1"/>
    <n v="0.2"/>
  </r>
  <r>
    <s v="AP WOLF"/>
    <x v="52"/>
    <m/>
    <m/>
    <m/>
    <x v="170"/>
    <s v="AP WOLF"/>
    <x v="7"/>
    <s v="DICHTUNG"/>
    <n v="8"/>
    <x v="1"/>
    <n v="0.2"/>
  </r>
  <r>
    <s v="AP WOLF"/>
    <x v="52"/>
    <m/>
    <m/>
    <m/>
    <x v="170"/>
    <s v="AP WOLF"/>
    <x v="13"/>
    <s v="M ONE MOTORSTART"/>
    <n v="2"/>
    <x v="1"/>
    <n v="0.2"/>
  </r>
  <r>
    <s v="ARBENI BIOBLIC"/>
    <x v="53"/>
    <n v="255"/>
    <m/>
    <m/>
    <x v="71"/>
    <s v="ARBENI BIOBLIC"/>
    <x v="28"/>
    <s v="BioBlic Universalreiniger"/>
    <n v="130"/>
    <x v="2"/>
    <n v="0.30000000000000004"/>
  </r>
  <r>
    <s v="ARBENI BIOBLIC"/>
    <x v="53"/>
    <m/>
    <m/>
    <m/>
    <x v="71"/>
    <s v="ARBENI BIOBLIC"/>
    <x v="29"/>
    <s v="Blic Blic Sanitärreiniger"/>
    <n v="80"/>
    <x v="2"/>
    <n v="0.30000000000000004"/>
  </r>
  <r>
    <s v="DARDANIA"/>
    <x v="53"/>
    <n v="60.6"/>
    <m/>
    <m/>
    <x v="6"/>
    <s v="DARDANIA"/>
    <x v="0"/>
    <s v="M-ONE Sanitar Silikon"/>
    <n v="12"/>
    <x v="0"/>
    <n v="0.17"/>
  </r>
  <r>
    <s v="DARDANIA"/>
    <x v="53"/>
    <m/>
    <m/>
    <m/>
    <x v="6"/>
    <s v="DARDANIA"/>
    <x v="7"/>
    <s v="DICHTUNG"/>
    <n v="2"/>
    <x v="0"/>
    <n v="0.2"/>
  </r>
  <r>
    <s v="BALLKANI"/>
    <x v="53"/>
    <n v="231"/>
    <m/>
    <m/>
    <x v="98"/>
    <s v="BALLKANI"/>
    <x v="18"/>
    <s v="M-ONE Sanitar Silikon"/>
    <n v="24"/>
    <x v="0"/>
    <n v="0.17"/>
  </r>
  <r>
    <s v="BALLKANI"/>
    <x v="53"/>
    <m/>
    <m/>
    <m/>
    <x v="98"/>
    <s v="BALLKANI"/>
    <x v="1"/>
    <s v="M-ONE Sanitar Silikon"/>
    <n v="36"/>
    <x v="0"/>
    <n v="0.17"/>
  </r>
  <r>
    <s v="BEKA-3"/>
    <x v="53"/>
    <n v="72"/>
    <m/>
    <m/>
    <x v="8"/>
    <s v="BEKA-3"/>
    <x v="7"/>
    <s v="DICHTUNG"/>
    <n v="10"/>
    <x v="0"/>
    <n v="0.2"/>
  </r>
  <r>
    <s v="FATMIRI"/>
    <x v="53"/>
    <n v="323.39999999999998"/>
    <m/>
    <m/>
    <x v="124"/>
    <s v="FATMIRI"/>
    <x v="4"/>
    <s v="M-ONE Sanitar Silikon"/>
    <n v="12"/>
    <x v="0"/>
    <n v="0.17"/>
  </r>
  <r>
    <s v="FATMIRI"/>
    <x v="53"/>
    <m/>
    <m/>
    <m/>
    <x v="124"/>
    <s v="FATMIRI"/>
    <x v="5"/>
    <s v="M-ONE Sanitar Silikon"/>
    <n v="12"/>
    <x v="0"/>
    <n v="0.17"/>
  </r>
  <r>
    <s v="FATMIRI"/>
    <x v="53"/>
    <m/>
    <m/>
    <m/>
    <x v="124"/>
    <s v="FATMIRI"/>
    <x v="18"/>
    <s v="M-ONE Sanitar Silikon"/>
    <n v="12"/>
    <x v="0"/>
    <n v="0.17"/>
  </r>
  <r>
    <s v="FATMIRI"/>
    <x v="53"/>
    <m/>
    <m/>
    <m/>
    <x v="124"/>
    <s v="FATMIRI"/>
    <x v="25"/>
    <s v="M-ONE Sanitar Silikon"/>
    <n v="12"/>
    <x v="0"/>
    <n v="0.17"/>
  </r>
  <r>
    <s v="FATMIRI"/>
    <x v="53"/>
    <m/>
    <m/>
    <m/>
    <x v="124"/>
    <s v="FATMIRI"/>
    <x v="1"/>
    <s v="M-ONE Sanitar Silikon"/>
    <n v="12"/>
    <x v="0"/>
    <n v="0.17"/>
  </r>
  <r>
    <s v="FATMIRI"/>
    <x v="53"/>
    <m/>
    <m/>
    <m/>
    <x v="124"/>
    <s v="FATMIRI"/>
    <x v="9"/>
    <s v="M-ONE Sanitar Silikon"/>
    <n v="12"/>
    <x v="0"/>
    <n v="0.17"/>
  </r>
  <r>
    <s v="FATMIRI"/>
    <x v="53"/>
    <m/>
    <m/>
    <m/>
    <x v="124"/>
    <s v="FATMIRI"/>
    <x v="20"/>
    <s v="M-ONE Sanitar Silikon"/>
    <n v="12"/>
    <x v="0"/>
    <n v="0.17"/>
  </r>
  <r>
    <s v="KOS CERAMIK"/>
    <x v="53"/>
    <n v="184.8"/>
    <m/>
    <m/>
    <x v="171"/>
    <s v="KOS CERAMIK"/>
    <x v="4"/>
    <s v="M-ONE Sanitar Silikon"/>
    <n v="12"/>
    <x v="0"/>
    <n v="0.17"/>
  </r>
  <r>
    <s v="KOS CERAMIK"/>
    <x v="53"/>
    <m/>
    <m/>
    <m/>
    <x v="171"/>
    <s v="KOS CERAMIK"/>
    <x v="18"/>
    <s v="M-ONE Sanitar Silikon"/>
    <n v="36"/>
    <x v="0"/>
    <n v="0.17"/>
  </r>
  <r>
    <s v="TINA"/>
    <x v="53"/>
    <n v="46.2"/>
    <m/>
    <m/>
    <x v="2"/>
    <s v="TINA"/>
    <x v="1"/>
    <s v="M-ONE Sanitar Silikon"/>
    <n v="12"/>
    <x v="0"/>
    <n v="0.17"/>
  </r>
  <r>
    <s v="GLOBAL NT"/>
    <x v="53"/>
    <n v="92.4"/>
    <m/>
    <m/>
    <x v="74"/>
    <e v="#N/A"/>
    <x v="0"/>
    <s v="M-ONE Sanitar Silikon"/>
    <n v="12"/>
    <x v="0"/>
    <n v="0.17"/>
  </r>
  <r>
    <s v="GLOBAL NT"/>
    <x v="53"/>
    <m/>
    <m/>
    <m/>
    <x v="74"/>
    <e v="#N/A"/>
    <x v="3"/>
    <s v="M-ONE Sanitar Silikon"/>
    <n v="12"/>
    <x v="0"/>
    <n v="0.17"/>
  </r>
  <r>
    <s v="ELIONI-1"/>
    <x v="53"/>
    <n v="25"/>
    <m/>
    <m/>
    <x v="97"/>
    <s v="ELIONI-1"/>
    <x v="40"/>
    <s v="KAMIN CLEANER"/>
    <n v="10"/>
    <x v="0"/>
    <n v="0.5"/>
  </r>
  <r>
    <s v="ERALP"/>
    <x v="53"/>
    <n v="184.8"/>
    <m/>
    <m/>
    <x v="1"/>
    <s v="ERALP"/>
    <x v="18"/>
    <s v="M-ONE Sanitar Silikon"/>
    <n v="12"/>
    <x v="0"/>
    <n v="0.17"/>
  </r>
  <r>
    <s v="ERALP"/>
    <x v="53"/>
    <m/>
    <m/>
    <m/>
    <x v="1"/>
    <s v="ERALP"/>
    <x v="20"/>
    <s v="M-ONE Sanitar Silikon"/>
    <n v="12"/>
    <x v="0"/>
    <n v="0.17"/>
  </r>
  <r>
    <s v="ERALP"/>
    <x v="53"/>
    <m/>
    <m/>
    <m/>
    <x v="1"/>
    <s v="ERALP"/>
    <x v="2"/>
    <s v="M-ONE Sanitar Silikon"/>
    <n v="24"/>
    <x v="0"/>
    <n v="0.17"/>
  </r>
  <r>
    <s v="HAZROLLI"/>
    <x v="53"/>
    <n v="254.4"/>
    <m/>
    <m/>
    <x v="9"/>
    <s v="HAZROLLI"/>
    <x v="4"/>
    <s v="M-ONE Sanitar Silikon"/>
    <n v="24"/>
    <x v="1"/>
    <n v="0.17"/>
  </r>
  <r>
    <s v="HAZROLLI"/>
    <x v="53"/>
    <m/>
    <m/>
    <m/>
    <x v="9"/>
    <s v="HAZROLLI"/>
    <x v="20"/>
    <s v="M-ONE Sanitar Silikon"/>
    <n v="24"/>
    <x v="1"/>
    <n v="0.17"/>
  </r>
  <r>
    <s v="HAZROLLI"/>
    <x v="53"/>
    <m/>
    <m/>
    <m/>
    <x v="9"/>
    <s v="HAZROLLI"/>
    <x v="10"/>
    <s v="PROFIMONT EXTREME"/>
    <n v="12"/>
    <x v="1"/>
    <n v="0.2"/>
  </r>
  <r>
    <s v="CONDOR"/>
    <x v="53"/>
    <n v="263.39999999999998"/>
    <m/>
    <m/>
    <x v="11"/>
    <s v="CONDOR"/>
    <x v="4"/>
    <s v="M-ONE Sanitar Silikon"/>
    <n v="12"/>
    <x v="1"/>
    <n v="0.17"/>
  </r>
  <r>
    <s v="CONDOR"/>
    <x v="53"/>
    <m/>
    <m/>
    <m/>
    <x v="11"/>
    <s v="CONDOR"/>
    <x v="0"/>
    <s v="M-ONE Sanitar Silikon"/>
    <n v="12"/>
    <x v="1"/>
    <n v="0.17"/>
  </r>
  <r>
    <s v="CONDOR"/>
    <x v="53"/>
    <m/>
    <m/>
    <m/>
    <x v="11"/>
    <s v="CONDOR"/>
    <x v="5"/>
    <s v="M-ONE Sanitar Silikon"/>
    <n v="12"/>
    <x v="1"/>
    <n v="0.17"/>
  </r>
  <r>
    <s v="CONDOR"/>
    <x v="53"/>
    <m/>
    <m/>
    <m/>
    <x v="11"/>
    <s v="CONDOR"/>
    <x v="8"/>
    <s v="struktural akryl"/>
    <n v="24"/>
    <x v="1"/>
    <n v="0.06"/>
  </r>
  <r>
    <s v="CONDOR"/>
    <x v="53"/>
    <m/>
    <m/>
    <m/>
    <x v="11"/>
    <s v="CONDOR"/>
    <x v="10"/>
    <s v="PROFIMONT EXTREME"/>
    <n v="12"/>
    <x v="1"/>
    <n v="0.2"/>
  </r>
  <r>
    <s v="BARDHI-M"/>
    <x v="53"/>
    <n v="92.4"/>
    <m/>
    <m/>
    <x v="77"/>
    <s v="BARDHI-M"/>
    <x v="0"/>
    <s v="M-ONE Sanitar Silikon"/>
    <n v="12"/>
    <x v="1"/>
    <n v="0.17"/>
  </r>
  <r>
    <s v="BARDHI-M"/>
    <x v="53"/>
    <m/>
    <m/>
    <m/>
    <x v="77"/>
    <s v="BARDHI-M"/>
    <x v="20"/>
    <s v="M-ONE Sanitar Silikon"/>
    <n v="12"/>
    <x v="1"/>
    <n v="0.17"/>
  </r>
  <r>
    <s v="BEREQETI"/>
    <x v="53"/>
    <n v="138.6"/>
    <m/>
    <m/>
    <x v="13"/>
    <s v="BEREQETI"/>
    <x v="1"/>
    <s v="M-ONE Sanitar Silikon"/>
    <n v="24"/>
    <x v="1"/>
    <n v="0.17"/>
  </r>
  <r>
    <s v="BEREQETI"/>
    <x v="53"/>
    <m/>
    <m/>
    <m/>
    <x v="13"/>
    <s v="BEREQETI"/>
    <x v="18"/>
    <s v="M-ONE Sanitar Silikon"/>
    <n v="12"/>
    <x v="1"/>
    <n v="0.17"/>
  </r>
  <r>
    <s v="NITA 3"/>
    <x v="53"/>
    <n v="120"/>
    <m/>
    <m/>
    <x v="15"/>
    <s v="NITA 3"/>
    <x v="20"/>
    <s v="M-ONE Sanitar Silikon"/>
    <n v="12"/>
    <x v="1"/>
    <n v="0.17"/>
  </r>
  <r>
    <s v="NITA 3"/>
    <x v="53"/>
    <m/>
    <m/>
    <m/>
    <x v="15"/>
    <s v="NITA 3"/>
    <x v="5"/>
    <s v="M-ONE Sanitar Silikon"/>
    <n v="12"/>
    <x v="1"/>
    <n v="0.17"/>
  </r>
  <r>
    <s v="NITA 3"/>
    <x v="53"/>
    <m/>
    <m/>
    <m/>
    <x v="15"/>
    <s v="NITA 3"/>
    <x v="8"/>
    <s v="struktural akryl"/>
    <n v="12"/>
    <x v="1"/>
    <n v="0.06"/>
  </r>
  <r>
    <s v="DURGUTI 3"/>
    <x v="53"/>
    <n v="147.6"/>
    <m/>
    <m/>
    <x v="12"/>
    <s v="DURGUTI 3"/>
    <x v="0"/>
    <s v="M-ONE Sanitar Silikon"/>
    <n v="12"/>
    <x v="1"/>
    <n v="0.17"/>
  </r>
  <r>
    <s v="DURGUTI 3"/>
    <x v="53"/>
    <m/>
    <m/>
    <m/>
    <x v="12"/>
    <s v="DURGUTI 3"/>
    <x v="6"/>
    <s v="M-ONE Sanitar Silikon"/>
    <n v="12"/>
    <x v="1"/>
    <n v="0.17"/>
  </r>
  <r>
    <s v="DURGUTI 3"/>
    <x v="53"/>
    <m/>
    <m/>
    <m/>
    <x v="12"/>
    <s v="DURGUTI 3"/>
    <x v="8"/>
    <s v="struktural akryl"/>
    <n v="24"/>
    <x v="1"/>
    <n v="0.06"/>
  </r>
  <r>
    <s v="SHEHU-A"/>
    <x v="53"/>
    <n v="31.5"/>
    <m/>
    <m/>
    <x v="17"/>
    <s v="SHEHU-A"/>
    <x v="16"/>
    <s v="Fettspray"/>
    <n v="5"/>
    <x v="1"/>
    <n v="0.2"/>
  </r>
  <r>
    <s v="SHEHU-A"/>
    <x v="53"/>
    <m/>
    <m/>
    <m/>
    <x v="17"/>
    <s v="SHEHU-A"/>
    <x v="12"/>
    <s v="beMAKER Rostlöser"/>
    <n v="7"/>
    <x v="1"/>
    <n v="0.2"/>
  </r>
  <r>
    <s v="SOPAJ"/>
    <x v="53"/>
    <n v="46.2"/>
    <m/>
    <m/>
    <x v="99"/>
    <s v="SOPAJ"/>
    <x v="9"/>
    <s v="M-ONE Sanitar Silikon"/>
    <n v="12"/>
    <x v="1"/>
    <n v="0.17"/>
  </r>
  <r>
    <s v="SAN KOS"/>
    <x v="54"/>
    <n v="27.6"/>
    <m/>
    <m/>
    <x v="101"/>
    <s v="SAN KOS"/>
    <x v="8"/>
    <s v="struktural akryl"/>
    <n v="12"/>
    <x v="0"/>
    <n v="0.06"/>
  </r>
  <r>
    <s v="VISARI HH"/>
    <x v="54"/>
    <n v="46.2"/>
    <m/>
    <m/>
    <x v="21"/>
    <s v="VISARI HH"/>
    <x v="0"/>
    <s v="M-ONE Sanitar Silikon"/>
    <n v="12"/>
    <x v="0"/>
    <n v="0.17"/>
  </r>
  <r>
    <s v="GRANITI"/>
    <x v="54"/>
    <n v="138.6"/>
    <m/>
    <m/>
    <x v="80"/>
    <s v="GRANITI"/>
    <x v="20"/>
    <s v="M-ONE Sanitar Silikon"/>
    <n v="12"/>
    <x v="0"/>
    <n v="0.17"/>
  </r>
  <r>
    <s v="GRANITI"/>
    <x v="54"/>
    <m/>
    <m/>
    <m/>
    <x v="80"/>
    <s v="GRANITI"/>
    <x v="2"/>
    <s v="M-ONE Sanitar Silikon"/>
    <n v="12"/>
    <x v="0"/>
    <n v="0.17"/>
  </r>
  <r>
    <s v="GRANITI"/>
    <x v="54"/>
    <m/>
    <m/>
    <m/>
    <x v="80"/>
    <s v="GRANITI"/>
    <x v="9"/>
    <s v="M-ONE Sanitar Silikon"/>
    <n v="12"/>
    <x v="0"/>
    <n v="0.17"/>
  </r>
  <r>
    <s v="UNIVERZAL"/>
    <x v="54"/>
    <n v="46.2"/>
    <m/>
    <m/>
    <x v="18"/>
    <s v="UNIVERZAL"/>
    <x v="5"/>
    <s v="M-ONE Sanitar Silikon"/>
    <n v="12"/>
    <x v="0"/>
    <n v="0.17"/>
  </r>
  <r>
    <s v="AGRONI"/>
    <x v="54"/>
    <n v="90.4"/>
    <m/>
    <m/>
    <x v="22"/>
    <s v="AGRONI"/>
    <x v="7"/>
    <s v="DICHTUNG"/>
    <n v="12"/>
    <x v="0"/>
    <n v="0.2"/>
  </r>
  <r>
    <s v="AGRONI"/>
    <x v="54"/>
    <m/>
    <m/>
    <m/>
    <x v="22"/>
    <s v="AGRONI"/>
    <x v="12"/>
    <s v="beMAKER Rostlöser"/>
    <n v="2"/>
    <x v="0"/>
    <n v="0.2"/>
  </r>
  <r>
    <s v="NDRIQIMI"/>
    <x v="54"/>
    <n v="92.4"/>
    <m/>
    <m/>
    <x v="79"/>
    <s v="NDRIQIMI"/>
    <x v="2"/>
    <s v="M-ONE Sanitar Silikon"/>
    <n v="12"/>
    <x v="0"/>
    <n v="0.17"/>
  </r>
  <r>
    <s v="NDRIQIMI"/>
    <x v="54"/>
    <m/>
    <m/>
    <m/>
    <x v="79"/>
    <s v="NDRIQIMI"/>
    <x v="1"/>
    <s v="M-ONE Sanitar Silikon"/>
    <n v="12"/>
    <x v="0"/>
    <n v="0.17"/>
  </r>
  <r>
    <s v="ARBENI BIOBLIC"/>
    <x v="55"/>
    <n v="188.5"/>
    <m/>
    <m/>
    <x v="71"/>
    <s v="ARBENI BIOBLIC"/>
    <x v="28"/>
    <s v="BioBlic Universalreiniger"/>
    <n v="110"/>
    <x v="2"/>
    <n v="0.30000000000000004"/>
  </r>
  <r>
    <s v="ARBENI BIOBLIC"/>
    <x v="55"/>
    <m/>
    <m/>
    <m/>
    <x v="71"/>
    <s v="ARBENI BIOBLIC"/>
    <x v="29"/>
    <s v="Blic Blic Sanitärreiniger"/>
    <n v="40"/>
    <x v="2"/>
    <n v="0.30000000000000004"/>
  </r>
  <r>
    <s v="CARRALEVA 1"/>
    <x v="55"/>
    <n v="120"/>
    <m/>
    <m/>
    <x v="25"/>
    <s v="CARRALEVA 1"/>
    <x v="5"/>
    <s v="M-ONE Sanitar Silikon"/>
    <n v="12"/>
    <x v="0"/>
    <n v="0.17"/>
  </r>
  <r>
    <s v="CARRALEVA 1"/>
    <x v="55"/>
    <m/>
    <m/>
    <m/>
    <x v="25"/>
    <s v="CARRALEVA 1"/>
    <x v="3"/>
    <s v="M-ONE Sanitar Silikon"/>
    <n v="12"/>
    <x v="0"/>
    <n v="0.17"/>
  </r>
  <r>
    <s v="CARRALEVA 1"/>
    <x v="55"/>
    <m/>
    <m/>
    <m/>
    <x v="25"/>
    <s v="CARRALEVA 1"/>
    <x v="8"/>
    <s v="struktural akryl"/>
    <n v="12"/>
    <x v="0"/>
    <n v="0.06"/>
  </r>
  <r>
    <s v="REAL COLOR 2"/>
    <x v="55"/>
    <n v="138.6"/>
    <m/>
    <m/>
    <x v="26"/>
    <s v="REAL COLOR 2"/>
    <x v="4"/>
    <s v="M-ONE Sanitar Silikon"/>
    <n v="12"/>
    <x v="0"/>
    <n v="0.17"/>
  </r>
  <r>
    <s v="REAL COLOR 2"/>
    <x v="55"/>
    <m/>
    <m/>
    <m/>
    <x v="26"/>
    <s v="REAL COLOR 2"/>
    <x v="0"/>
    <s v="M-ONE Sanitar Silikon"/>
    <n v="12"/>
    <x v="0"/>
    <n v="0.17"/>
  </r>
  <r>
    <s v="REAL COLOR 2"/>
    <x v="55"/>
    <m/>
    <m/>
    <m/>
    <x v="26"/>
    <s v="REAL COLOR 2"/>
    <x v="25"/>
    <s v="M-ONE Sanitar Silikon"/>
    <n v="12"/>
    <x v="0"/>
    <n v="0.17"/>
  </r>
  <r>
    <s v="SMIRA"/>
    <x v="55"/>
    <n v="138.6"/>
    <m/>
    <m/>
    <x v="75"/>
    <s v="SMIRA"/>
    <x v="4"/>
    <s v="M-ONE Sanitar Silikon"/>
    <n v="24"/>
    <x v="0"/>
    <n v="0.17"/>
  </r>
  <r>
    <s v="SMIRA"/>
    <x v="55"/>
    <m/>
    <m/>
    <m/>
    <x v="75"/>
    <s v="SMIRA"/>
    <x v="5"/>
    <s v="M-ONE Sanitar Silikon"/>
    <n v="12"/>
    <x v="0"/>
    <n v="0.17"/>
  </r>
  <r>
    <s v="BEKA"/>
    <x v="55"/>
    <n v="92.4"/>
    <m/>
    <m/>
    <x v="81"/>
    <s v="BEKA"/>
    <x v="6"/>
    <s v="M-ONE Sanitar Silikon"/>
    <n v="12"/>
    <x v="0"/>
    <n v="0.17"/>
  </r>
  <r>
    <s v="BEKA"/>
    <x v="55"/>
    <m/>
    <m/>
    <m/>
    <x v="81"/>
    <s v="BEKA"/>
    <x v="20"/>
    <s v="M-ONE Sanitar Silikon"/>
    <n v="12"/>
    <x v="0"/>
    <n v="0.17"/>
  </r>
  <r>
    <s v="PROCOM"/>
    <x v="55"/>
    <n v="138.6"/>
    <m/>
    <m/>
    <x v="137"/>
    <s v="PROCOM"/>
    <x v="25"/>
    <s v="M-ONE Sanitar Silikon"/>
    <n v="12"/>
    <x v="0"/>
    <n v="0.17"/>
  </r>
  <r>
    <s v="PROCOM"/>
    <x v="55"/>
    <m/>
    <m/>
    <m/>
    <x v="137"/>
    <s v="PROCOM"/>
    <x v="5"/>
    <s v="M-ONE Sanitar Silikon"/>
    <n v="12"/>
    <x v="0"/>
    <n v="0.17"/>
  </r>
  <r>
    <s v="PROCOM"/>
    <x v="55"/>
    <m/>
    <m/>
    <m/>
    <x v="137"/>
    <s v="PROCOM"/>
    <x v="9"/>
    <s v="M-ONE Sanitar Silikon"/>
    <n v="12"/>
    <x v="0"/>
    <n v="0.17"/>
  </r>
  <r>
    <s v="RACI"/>
    <x v="55"/>
    <n v="115.8"/>
    <m/>
    <m/>
    <x v="28"/>
    <s v="RACI"/>
    <x v="2"/>
    <s v="M-ONE Sanitar Silikon"/>
    <n v="12"/>
    <x v="1"/>
    <n v="0.17"/>
  </r>
  <r>
    <s v="RACI"/>
    <x v="55"/>
    <m/>
    <m/>
    <m/>
    <x v="28"/>
    <s v="RACI"/>
    <x v="10"/>
    <s v="PROFIMONT EXTREME"/>
    <n v="12"/>
    <x v="1"/>
    <n v="0.2"/>
  </r>
  <r>
    <s v="LIRIDONA KLINE"/>
    <x v="55"/>
    <n v="184.8"/>
    <m/>
    <m/>
    <x v="30"/>
    <s v="LIRIDONA KLINE"/>
    <x v="0"/>
    <s v="M-ONE Sanitar Silikon"/>
    <n v="12"/>
    <x v="1"/>
    <n v="0.17"/>
  </r>
  <r>
    <s v="LIRIDONA KLINE"/>
    <x v="55"/>
    <m/>
    <m/>
    <m/>
    <x v="30"/>
    <s v="LIRIDONA KLINE"/>
    <x v="20"/>
    <s v="M-ONE Sanitar Silikon"/>
    <n v="36"/>
    <x v="1"/>
    <n v="0.17"/>
  </r>
  <r>
    <s v="LIRIDONA HOME"/>
    <x v="55"/>
    <n v="277.2"/>
    <m/>
    <m/>
    <x v="106"/>
    <s v="LIRIDONA HOME"/>
    <x v="18"/>
    <s v="M-ONE Sanitar Silikon"/>
    <n v="36"/>
    <x v="1"/>
    <n v="0.17"/>
  </r>
  <r>
    <s v="LIRIDONA HOME"/>
    <x v="55"/>
    <m/>
    <m/>
    <m/>
    <x v="106"/>
    <s v="LIRIDONA HOME"/>
    <x v="1"/>
    <s v="M-ONE Sanitar Silikon"/>
    <n v="36"/>
    <x v="1"/>
    <n v="0.17"/>
  </r>
  <r>
    <s v="LIRIDONA-A"/>
    <x v="55"/>
    <n v="346.8"/>
    <m/>
    <m/>
    <x v="105"/>
    <s v="LIRIDONA-A"/>
    <x v="0"/>
    <s v="M-ONE Sanitar Silikon"/>
    <n v="24"/>
    <x v="1"/>
    <n v="0.17"/>
  </r>
  <r>
    <s v="LIRIDONA-A"/>
    <x v="55"/>
    <m/>
    <m/>
    <m/>
    <x v="105"/>
    <s v="LIRIDONA-A"/>
    <x v="1"/>
    <s v="M-ONE Sanitar Silikon"/>
    <n v="36"/>
    <x v="1"/>
    <n v="0.17"/>
  </r>
  <r>
    <s v="LIRIDONA-A"/>
    <x v="55"/>
    <m/>
    <m/>
    <m/>
    <x v="105"/>
    <s v="LIRIDONA-A"/>
    <x v="2"/>
    <s v="M-ONE Sanitar Silikon"/>
    <n v="12"/>
    <x v="1"/>
    <n v="0.17"/>
  </r>
  <r>
    <s v="LIRIDONA-A"/>
    <x v="55"/>
    <m/>
    <m/>
    <m/>
    <x v="105"/>
    <s v="LIRIDONA-A"/>
    <x v="10"/>
    <s v="PROFIMONT EXTREME"/>
    <n v="12"/>
    <x v="1"/>
    <n v="0.2"/>
  </r>
  <r>
    <s v="TE BRAHA"/>
    <x v="55"/>
    <n v="92.4"/>
    <m/>
    <m/>
    <x v="172"/>
    <s v="TE BRAHA"/>
    <x v="18"/>
    <s v="M-ONE Sanitar Silikon"/>
    <n v="12"/>
    <x v="1"/>
    <n v="0.17"/>
  </r>
  <r>
    <s v="TE BRAHA"/>
    <x v="55"/>
    <m/>
    <m/>
    <m/>
    <x v="172"/>
    <s v="TE BRAHA"/>
    <x v="1"/>
    <s v="M-ONE Sanitar Silikon"/>
    <n v="12"/>
    <x v="1"/>
    <n v="0.17"/>
  </r>
  <r>
    <s v="MEGI"/>
    <x v="55"/>
    <n v="83.2"/>
    <m/>
    <m/>
    <x v="33"/>
    <s v="MEGI"/>
    <x v="14"/>
    <s v="beMAKER Bremsen&amp;Teile Reininger"/>
    <n v="8"/>
    <x v="1"/>
    <n v="0.2"/>
  </r>
  <r>
    <s v="MEGI"/>
    <x v="55"/>
    <m/>
    <m/>
    <m/>
    <x v="33"/>
    <s v="MEGI"/>
    <x v="12"/>
    <s v="beMAKER Rostlöser"/>
    <n v="12"/>
    <x v="1"/>
    <n v="0.2"/>
  </r>
  <r>
    <s v="MEGI"/>
    <x v="55"/>
    <m/>
    <m/>
    <m/>
    <x v="33"/>
    <s v="MEGI"/>
    <x v="7"/>
    <s v="DICHTUNG"/>
    <n v="6"/>
    <x v="1"/>
    <n v="0.2"/>
  </r>
  <r>
    <s v="TE BENI"/>
    <x v="55"/>
    <n v="138.6"/>
    <m/>
    <m/>
    <x v="107"/>
    <s v="TE BENI"/>
    <x v="0"/>
    <s v="M-ONE Sanitar Silikon"/>
    <n v="12"/>
    <x v="1"/>
    <n v="0.17"/>
  </r>
  <r>
    <s v="TE BENI"/>
    <x v="55"/>
    <m/>
    <m/>
    <m/>
    <x v="107"/>
    <s v="TE BENI"/>
    <x v="5"/>
    <s v="M-ONE Sanitar Silikon"/>
    <n v="12"/>
    <x v="1"/>
    <n v="0.17"/>
  </r>
  <r>
    <s v="TE BENI"/>
    <x v="55"/>
    <m/>
    <m/>
    <m/>
    <x v="107"/>
    <s v="TE BENI"/>
    <x v="1"/>
    <s v="M-ONE Sanitar Silikon"/>
    <n v="12"/>
    <x v="1"/>
    <n v="0.17"/>
  </r>
  <r>
    <s v="MUQIQI"/>
    <x v="56"/>
    <n v="31.6"/>
    <m/>
    <m/>
    <x v="173"/>
    <s v="MUQIQI"/>
    <x v="7"/>
    <s v="DICHTUNG"/>
    <n v="3"/>
    <x v="0"/>
    <n v="0.2"/>
  </r>
  <r>
    <s v="MUQIQI"/>
    <x v="56"/>
    <m/>
    <m/>
    <m/>
    <x v="173"/>
    <s v="MUQIQI"/>
    <x v="14"/>
    <s v="beMAKER Bremsen&amp;Teile Reininger"/>
    <n v="5"/>
    <x v="0"/>
    <n v="0.2"/>
  </r>
  <r>
    <s v="TE ZENA"/>
    <x v="56"/>
    <n v="138.6"/>
    <m/>
    <m/>
    <x v="84"/>
    <s v="TE ZENA"/>
    <x v="18"/>
    <s v="M-ONE Sanitar Silikon"/>
    <n v="12"/>
    <x v="0"/>
    <n v="0.17"/>
  </r>
  <r>
    <s v="TE ZENA"/>
    <x v="56"/>
    <m/>
    <m/>
    <m/>
    <x v="84"/>
    <s v="TE ZENA"/>
    <x v="6"/>
    <s v="M-ONE Sanitar Silikon"/>
    <n v="12"/>
    <x v="0"/>
    <n v="0.17"/>
  </r>
  <r>
    <s v="TE ZENA"/>
    <x v="56"/>
    <m/>
    <m/>
    <m/>
    <x v="84"/>
    <s v="TE ZENA"/>
    <x v="1"/>
    <s v="M-ONE Sanitar Silikon"/>
    <n v="12"/>
    <x v="0"/>
    <n v="0.17"/>
  </r>
  <r>
    <s v="KUJTA"/>
    <x v="56"/>
    <n v="121.2"/>
    <m/>
    <m/>
    <x v="36"/>
    <s v="KUJTA"/>
    <x v="20"/>
    <s v="M-ONE Sanitar Silikon"/>
    <n v="12"/>
    <x v="0"/>
    <n v="0.17"/>
  </r>
  <r>
    <s v="KUJTA"/>
    <x v="56"/>
    <m/>
    <m/>
    <m/>
    <x v="36"/>
    <s v="KUJTA"/>
    <x v="7"/>
    <s v="DICHTUNG"/>
    <n v="4"/>
    <x v="0"/>
    <n v="0.2"/>
  </r>
  <r>
    <s v="KUJTA"/>
    <x v="56"/>
    <m/>
    <m/>
    <m/>
    <x v="36"/>
    <s v="KUJTA"/>
    <x v="1"/>
    <s v="M-ONE Sanitar Silikon"/>
    <n v="12"/>
    <x v="0"/>
    <n v="0.17"/>
  </r>
  <r>
    <s v="DRITONI"/>
    <x v="56"/>
    <n v="14.4"/>
    <m/>
    <m/>
    <x v="164"/>
    <s v="DRITONI"/>
    <x v="7"/>
    <s v="DICHTUNG"/>
    <n v="2"/>
    <x v="0"/>
    <n v="0.2"/>
  </r>
  <r>
    <s v="SABITI"/>
    <x v="56"/>
    <n v="46"/>
    <m/>
    <m/>
    <x v="35"/>
    <s v="SABITI"/>
    <x v="12"/>
    <s v="beMAKER Rostlöser"/>
    <n v="5"/>
    <x v="0"/>
    <n v="0.2"/>
  </r>
  <r>
    <s v="SABITI"/>
    <x v="56"/>
    <m/>
    <m/>
    <m/>
    <x v="35"/>
    <s v="SABITI"/>
    <x v="7"/>
    <s v="DICHTUNG"/>
    <n v="5"/>
    <x v="0"/>
    <n v="0.2"/>
  </r>
  <r>
    <s v="BECOLOR"/>
    <x v="56"/>
    <n v="45.4"/>
    <m/>
    <m/>
    <x v="37"/>
    <s v="BECOLOR"/>
    <x v="17"/>
    <s v="M ONE UBS"/>
    <n v="5"/>
    <x v="0"/>
    <n v="0.2"/>
  </r>
  <r>
    <s v="BECOLOR"/>
    <x v="56"/>
    <m/>
    <m/>
    <m/>
    <x v="37"/>
    <s v="BECOLOR"/>
    <x v="23"/>
    <s v="M ONE HAFTGRUND"/>
    <n v="1"/>
    <x v="0"/>
    <n v="0.15"/>
  </r>
  <r>
    <s v="BECOLOR"/>
    <x v="56"/>
    <m/>
    <m/>
    <m/>
    <x v="37"/>
    <s v="BECOLOR"/>
    <x v="39"/>
    <s v="M ONE LACK GELB"/>
    <n v="1"/>
    <x v="0"/>
    <n v="0.15"/>
  </r>
  <r>
    <s v="BECOLOR"/>
    <x v="56"/>
    <m/>
    <m/>
    <m/>
    <x v="37"/>
    <s v="BECOLOR"/>
    <x v="30"/>
    <s v="M ONE ANTHRAZIT"/>
    <n v="1"/>
    <x v="0"/>
    <n v="0.15"/>
  </r>
  <r>
    <s v="BECOLOR"/>
    <x v="56"/>
    <m/>
    <m/>
    <m/>
    <x v="37"/>
    <s v="BECOLOR"/>
    <x v="35"/>
    <s v="M ONE LACK GRUN"/>
    <n v="1"/>
    <x v="0"/>
    <n v="0.15"/>
  </r>
  <r>
    <s v="BECOLOR"/>
    <x v="56"/>
    <m/>
    <m/>
    <m/>
    <x v="37"/>
    <s v="BECOLOR"/>
    <x v="10"/>
    <s v="PROFIMONT EXTREME"/>
    <n v="3"/>
    <x v="0"/>
    <n v="0.2"/>
  </r>
  <r>
    <s v="SALIHU CORPORATION"/>
    <x v="56"/>
    <n v="231"/>
    <m/>
    <m/>
    <x v="174"/>
    <e v="#N/A"/>
    <x v="0"/>
    <s v="M-ONE Sanitar Silikon"/>
    <n v="12"/>
    <x v="1"/>
    <n v="0.17"/>
  </r>
  <r>
    <s v="SALIHU CORPORATION"/>
    <x v="56"/>
    <m/>
    <m/>
    <m/>
    <x v="174"/>
    <e v="#N/A"/>
    <x v="5"/>
    <s v="M-ONE Sanitar Silikon"/>
    <n v="12"/>
    <x v="1"/>
    <n v="0.17"/>
  </r>
  <r>
    <s v="SALIHU CORPORATION"/>
    <x v="56"/>
    <m/>
    <m/>
    <m/>
    <x v="174"/>
    <e v="#N/A"/>
    <x v="18"/>
    <s v="M-ONE Sanitar Silikon"/>
    <n v="12"/>
    <x v="1"/>
    <n v="0.17"/>
  </r>
  <r>
    <s v="SALIHU CORPORATION"/>
    <x v="56"/>
    <m/>
    <m/>
    <m/>
    <x v="174"/>
    <e v="#N/A"/>
    <x v="20"/>
    <s v="M-ONE Sanitar Silikon"/>
    <n v="12"/>
    <x v="1"/>
    <n v="0.17"/>
  </r>
  <r>
    <s v="SALIHU CORPORATION"/>
    <x v="56"/>
    <m/>
    <m/>
    <m/>
    <x v="174"/>
    <e v="#N/A"/>
    <x v="1"/>
    <s v="M-ONE Sanitar Silikon"/>
    <n v="12"/>
    <x v="1"/>
    <n v="0.17"/>
  </r>
  <r>
    <s v="BUJARI Q - BESII"/>
    <x v="56"/>
    <n v="120"/>
    <m/>
    <m/>
    <x v="116"/>
    <s v="BUJARI Q - BESII"/>
    <x v="1"/>
    <s v="M-ONE Sanitar Silikon"/>
    <n v="24"/>
    <x v="1"/>
    <n v="0.17"/>
  </r>
  <r>
    <s v="BUJARI Q - BESII"/>
    <x v="56"/>
    <m/>
    <m/>
    <m/>
    <x v="116"/>
    <s v="BUJARI Q - BESII"/>
    <x v="8"/>
    <s v="struktural akryl"/>
    <n v="12"/>
    <x v="1"/>
    <n v="0.06"/>
  </r>
  <r>
    <s v="BULONI - SH"/>
    <x v="56"/>
    <n v="104.4"/>
    <m/>
    <m/>
    <x v="47"/>
    <s v="BULONI - SH"/>
    <x v="1"/>
    <s v="M-ONE Sanitar Silikon"/>
    <n v="12"/>
    <x v="1"/>
    <n v="0.17"/>
  </r>
  <r>
    <s v="BULONI - SH"/>
    <x v="56"/>
    <m/>
    <m/>
    <m/>
    <x v="47"/>
    <s v="BULONI - SH"/>
    <x v="0"/>
    <s v="M-ONE Sanitar Silikon"/>
    <n v="12"/>
    <x v="1"/>
    <n v="0.17"/>
  </r>
  <r>
    <s v="BULONI - SH"/>
    <x v="56"/>
    <m/>
    <m/>
    <m/>
    <x v="47"/>
    <s v="BULONI - SH"/>
    <x v="36"/>
    <s v="M ONE GOLD SPRAY"/>
    <n v="12"/>
    <x v="1"/>
    <n v="0.15"/>
  </r>
  <r>
    <s v="TE-SYLA"/>
    <x v="56"/>
    <n v="92.4"/>
    <m/>
    <m/>
    <x v="44"/>
    <s v="TE-SYLA"/>
    <x v="0"/>
    <s v="M-ONE Sanitar Silikon"/>
    <n v="12"/>
    <x v="1"/>
    <n v="0.17"/>
  </r>
  <r>
    <s v="TE-SYLA"/>
    <x v="56"/>
    <m/>
    <m/>
    <m/>
    <x v="44"/>
    <s v="TE-SYLA"/>
    <x v="2"/>
    <s v="M-ONE Sanitar Silikon"/>
    <n v="12"/>
    <x v="1"/>
    <n v="0.17"/>
  </r>
  <r>
    <s v="LUTA QERAMIKA"/>
    <x v="56"/>
    <n v="184.8"/>
    <m/>
    <m/>
    <x v="175"/>
    <s v="LUTA QERAMIKA"/>
    <x v="20"/>
    <s v="M-ONE Sanitar Silikon"/>
    <n v="24"/>
    <x v="1"/>
    <n v="0.17"/>
  </r>
  <r>
    <s v="LUTA QERAMIKA"/>
    <x v="56"/>
    <m/>
    <m/>
    <m/>
    <x v="175"/>
    <s v="LUTA QERAMIKA"/>
    <x v="1"/>
    <s v="M-ONE Sanitar Silikon"/>
    <n v="24"/>
    <x v="1"/>
    <n v="0.17"/>
  </r>
  <r>
    <s v="AGRO-XHETI"/>
    <x v="56"/>
    <n v="138.6"/>
    <m/>
    <m/>
    <x v="114"/>
    <s v="AGRO-XHETI"/>
    <x v="0"/>
    <s v="M-ONE Sanitar Silikon"/>
    <n v="12"/>
    <x v="1"/>
    <n v="0.17"/>
  </r>
  <r>
    <s v="AGRO-XHETI"/>
    <x v="56"/>
    <m/>
    <m/>
    <m/>
    <x v="114"/>
    <s v="AGRO-XHETI"/>
    <x v="5"/>
    <s v="M-ONE Sanitar Silikon"/>
    <n v="12"/>
    <x v="1"/>
    <n v="0.17"/>
  </r>
  <r>
    <s v="AGRO-XHETI"/>
    <x v="56"/>
    <m/>
    <m/>
    <m/>
    <x v="114"/>
    <s v="AGRO-XHETI"/>
    <x v="20"/>
    <s v="M-ONE Sanitar Silikon"/>
    <n v="12"/>
    <x v="1"/>
    <n v="0.17"/>
  </r>
  <r>
    <s v="F.V. SH.P.K. "/>
    <x v="56"/>
    <n v="103.8"/>
    <m/>
    <m/>
    <x v="45"/>
    <s v="F.V. SH.P.K. "/>
    <x v="20"/>
    <s v="M-ONE Sanitar Silikon"/>
    <n v="12"/>
    <x v="1"/>
    <n v="0.17"/>
  </r>
  <r>
    <s v="F.V. SH.P.K. "/>
    <x v="56"/>
    <m/>
    <m/>
    <m/>
    <x v="45"/>
    <s v="F.V. SH.P.K. "/>
    <x v="7"/>
    <s v="DICHTUNG"/>
    <n v="8"/>
    <x v="1"/>
    <n v="0.2"/>
  </r>
  <r>
    <s v="BUJARI Q - BESII"/>
    <x v="56"/>
    <n v="138.6"/>
    <m/>
    <m/>
    <x v="116"/>
    <s v="BUJARI Q - BESII"/>
    <x v="1"/>
    <s v="M-ONE Sanitar Silikon"/>
    <n v="24"/>
    <x v="1"/>
    <n v="0.17"/>
  </r>
  <r>
    <s v="BUJARI Q - BESII"/>
    <x v="56"/>
    <m/>
    <m/>
    <m/>
    <x v="116"/>
    <s v="BUJARI Q - BESII"/>
    <x v="18"/>
    <s v="M-ONE Sanitar Silikon"/>
    <n v="12"/>
    <x v="1"/>
    <n v="0.17"/>
  </r>
  <r>
    <s v="TE-LUTA"/>
    <x v="56"/>
    <n v="178.8"/>
    <m/>
    <m/>
    <x v="131"/>
    <s v="TE-LUTA"/>
    <x v="18"/>
    <s v="M-ONE Sanitar Silikon"/>
    <n v="12"/>
    <x v="1"/>
    <n v="0.17"/>
  </r>
  <r>
    <s v="TE-LUTA"/>
    <x v="56"/>
    <m/>
    <m/>
    <m/>
    <x v="131"/>
    <s v="TE-LUTA"/>
    <x v="20"/>
    <s v="M-ONE Sanitar Silikon"/>
    <n v="12"/>
    <x v="1"/>
    <n v="0.17"/>
  </r>
  <r>
    <s v="TE-LUTA"/>
    <x v="56"/>
    <m/>
    <m/>
    <m/>
    <x v="131"/>
    <s v="TE-LUTA"/>
    <x v="7"/>
    <s v="DICHTUNG"/>
    <n v="12"/>
    <x v="1"/>
    <n v="0.2"/>
  </r>
  <r>
    <s v="YLLI CONSTRUCION"/>
    <x v="57"/>
    <n v="96"/>
    <m/>
    <m/>
    <x v="128"/>
    <s v="YLLI CONSTRUCION"/>
    <x v="3"/>
    <s v="M-ONE Sanitar Silikon"/>
    <n v="22"/>
    <x v="2"/>
    <n v="0.17"/>
  </r>
  <r>
    <s v="YLLI CONSTRUCION"/>
    <x v="57"/>
    <m/>
    <m/>
    <m/>
    <x v="128"/>
    <s v="YLLI CONSTRUCION"/>
    <x v="20"/>
    <s v="M-ONE Sanitar Silikon"/>
    <n v="2"/>
    <x v="2"/>
    <n v="0.17"/>
  </r>
  <r>
    <s v="HIDROELDI"/>
    <x v="57"/>
    <n v="46.2"/>
    <m/>
    <m/>
    <x v="85"/>
    <s v="HIDROELDI"/>
    <x v="20"/>
    <s v="M-ONE Sanitar Silikon"/>
    <n v="12"/>
    <x v="0"/>
    <n v="0.17"/>
  </r>
  <r>
    <s v="KADIJOLLET"/>
    <x v="57"/>
    <n v="119.9"/>
    <m/>
    <m/>
    <x v="49"/>
    <s v="KADIJOLLET"/>
    <x v="0"/>
    <s v="M-ONE Sanitar Silikon"/>
    <n v="12"/>
    <x v="0"/>
    <n v="0.17"/>
  </r>
  <r>
    <s v="KADIJOLLET"/>
    <x v="57"/>
    <m/>
    <m/>
    <m/>
    <x v="49"/>
    <s v="KADIJOLLET"/>
    <x v="18"/>
    <s v="M-ONE Sanitar Silikon"/>
    <n v="12"/>
    <x v="0"/>
    <n v="0.17"/>
  </r>
  <r>
    <s v="KADIJOLLET"/>
    <x v="57"/>
    <m/>
    <m/>
    <m/>
    <x v="49"/>
    <s v="KADIJOLLET"/>
    <x v="23"/>
    <s v="M ONE HAFTGRUND"/>
    <n v="5"/>
    <x v="0"/>
    <n v="0.15"/>
  </r>
  <r>
    <s v="KADIJOLLET"/>
    <x v="57"/>
    <m/>
    <m/>
    <m/>
    <x v="49"/>
    <s v="KADIJOLLET"/>
    <x v="12"/>
    <s v="beMAKER Rostlöser"/>
    <n v="5"/>
    <x v="0"/>
    <n v="0.2"/>
  </r>
  <r>
    <s v="KADIJOLLET"/>
    <x v="57"/>
    <m/>
    <m/>
    <m/>
    <x v="49"/>
    <s v="KADIJOLLET"/>
    <x v="14"/>
    <s v="beMAKER Bremsen&amp;Teile Reininger"/>
    <n v="5"/>
    <x v="0"/>
    <n v="0.2"/>
  </r>
  <r>
    <s v="JETARI"/>
    <x v="57"/>
    <n v="92.4"/>
    <m/>
    <m/>
    <x v="87"/>
    <s v="JETARI"/>
    <x v="0"/>
    <s v="M-ONE Sanitar Silikon"/>
    <n v="12"/>
    <x v="0"/>
    <n v="0.17"/>
  </r>
  <r>
    <s v="JETARI"/>
    <x v="57"/>
    <m/>
    <m/>
    <m/>
    <x v="87"/>
    <s v="JETARI"/>
    <x v="3"/>
    <s v="M-ONE Sanitar Silikon"/>
    <n v="12"/>
    <x v="0"/>
    <n v="0.17"/>
  </r>
  <r>
    <s v="ARSIM"/>
    <x v="57"/>
    <n v="46.2"/>
    <m/>
    <m/>
    <x v="48"/>
    <s v="ARSIM"/>
    <x v="2"/>
    <s v="M-ONE Sanitar Silikon"/>
    <n v="12"/>
    <x v="0"/>
    <n v="0.17"/>
  </r>
  <r>
    <s v="QELA"/>
    <x v="57"/>
    <n v="92.4"/>
    <m/>
    <m/>
    <x v="50"/>
    <s v="QELA"/>
    <x v="25"/>
    <s v="M-ONE Sanitar Silikon"/>
    <n v="12"/>
    <x v="0"/>
    <n v="0.17"/>
  </r>
  <r>
    <s v="QELA"/>
    <x v="57"/>
    <m/>
    <m/>
    <m/>
    <x v="50"/>
    <s v="QELA"/>
    <x v="9"/>
    <s v="M-ONE Sanitar Silikon"/>
    <n v="12"/>
    <x v="0"/>
    <n v="0.17"/>
  </r>
  <r>
    <s v="KENA COMERC"/>
    <x v="57"/>
    <n v="92.4"/>
    <m/>
    <m/>
    <x v="52"/>
    <s v="KENA COMERC"/>
    <x v="5"/>
    <s v="M-ONE Sanitar Silikon"/>
    <n v="12"/>
    <x v="1"/>
    <n v="0.17"/>
  </r>
  <r>
    <s v="KENA COMERC"/>
    <x v="57"/>
    <m/>
    <m/>
    <m/>
    <x v="52"/>
    <s v="KENA COMERC"/>
    <x v="9"/>
    <s v="M-ONE Sanitar Silikon"/>
    <n v="12"/>
    <x v="1"/>
    <n v="0.17"/>
  </r>
  <r>
    <s v="LULI-C"/>
    <x v="57"/>
    <n v="138.6"/>
    <m/>
    <m/>
    <x v="54"/>
    <s v="LULI-C"/>
    <x v="18"/>
    <s v="M-ONE Sanitar Silikon"/>
    <n v="12"/>
    <x v="1"/>
    <n v="0.17"/>
  </r>
  <r>
    <s v="LULI-C"/>
    <x v="57"/>
    <m/>
    <m/>
    <m/>
    <x v="54"/>
    <s v="LULI-C"/>
    <x v="25"/>
    <s v="M-ONE Sanitar Silikon"/>
    <n v="12"/>
    <x v="1"/>
    <n v="0.17"/>
  </r>
  <r>
    <s v="LULI-C"/>
    <x v="57"/>
    <m/>
    <m/>
    <m/>
    <x v="54"/>
    <s v="LULI-C"/>
    <x v="2"/>
    <s v="M-ONE Sanitar Silikon"/>
    <n v="12"/>
    <x v="1"/>
    <n v="0.17"/>
  </r>
  <r>
    <s v="TE GZIMI"/>
    <x v="57"/>
    <n v="49.6"/>
    <m/>
    <m/>
    <x v="119"/>
    <s v="TE GZIMI"/>
    <x v="33"/>
    <s v="beMaker Handwaschpaste"/>
    <n v="8"/>
    <x v="1"/>
    <n v="0.1"/>
  </r>
  <r>
    <s v="TE GZIMI"/>
    <x v="57"/>
    <m/>
    <m/>
    <m/>
    <x v="119"/>
    <s v="TE GZIMI"/>
    <x v="7"/>
    <s v="DICHTUNG"/>
    <n v="3"/>
    <x v="1"/>
    <n v="0.2"/>
  </r>
  <r>
    <s v="TE GZIMI"/>
    <x v="57"/>
    <m/>
    <m/>
    <m/>
    <x v="119"/>
    <s v="TE GZIMI"/>
    <x v="34"/>
    <s v="M ONE FELGENSILBER"/>
    <n v="8"/>
    <x v="1"/>
    <n v="0.15"/>
  </r>
  <r>
    <s v="CAMA BAU"/>
    <x v="57"/>
    <n v="277.2"/>
    <m/>
    <m/>
    <x v="55"/>
    <s v="CAMA BAU"/>
    <x v="18"/>
    <s v="M-ONE Sanitar Silikon"/>
    <n v="24"/>
    <x v="1"/>
    <n v="0.17"/>
  </r>
  <r>
    <s v="CAMA BAU"/>
    <x v="57"/>
    <m/>
    <m/>
    <m/>
    <x v="55"/>
    <s v="CAMA BAU"/>
    <x v="20"/>
    <s v="M-ONE Sanitar Silikon"/>
    <n v="24"/>
    <x v="1"/>
    <n v="0.17"/>
  </r>
  <r>
    <s v="CAMA BAU"/>
    <x v="57"/>
    <m/>
    <m/>
    <m/>
    <x v="55"/>
    <s v="CAMA BAU"/>
    <x v="6"/>
    <s v="M-ONE Sanitar Silikon"/>
    <n v="12"/>
    <x v="1"/>
    <n v="0.17"/>
  </r>
  <r>
    <s v="CAMA BAU"/>
    <x v="57"/>
    <m/>
    <m/>
    <m/>
    <x v="55"/>
    <s v="CAMA BAU"/>
    <x v="2"/>
    <s v="M-ONE Sanitar Silikon"/>
    <n v="12"/>
    <x v="1"/>
    <n v="0.17"/>
  </r>
  <r>
    <s v="TERMO PROJEKT"/>
    <x v="57"/>
    <n v="138.6"/>
    <m/>
    <m/>
    <x v="56"/>
    <s v="TERMO PROJEKT"/>
    <x v="9"/>
    <s v="M-ONE Sanitar Silikon"/>
    <n v="24"/>
    <x v="1"/>
    <n v="0.17"/>
  </r>
  <r>
    <s v="TERMO PROJEKT"/>
    <x v="57"/>
    <m/>
    <m/>
    <m/>
    <x v="56"/>
    <s v="TERMO PROJEKT"/>
    <x v="25"/>
    <s v="M-ONE Sanitar Silikon"/>
    <n v="12"/>
    <x v="1"/>
    <n v="0.17"/>
  </r>
  <r>
    <s v="LNI SHPK"/>
    <x v="57"/>
    <n v="92.4"/>
    <m/>
    <m/>
    <x v="141"/>
    <s v="LNI SHPK"/>
    <x v="1"/>
    <s v="M-ONE Sanitar Silikon"/>
    <n v="24"/>
    <x v="1"/>
    <n v="0.17"/>
  </r>
  <r>
    <s v="ENESI"/>
    <x v="57"/>
    <n v="138.6"/>
    <m/>
    <m/>
    <x v="88"/>
    <s v="ENESI"/>
    <x v="18"/>
    <s v="M-ONE Sanitar Silikon"/>
    <n v="12"/>
    <x v="1"/>
    <n v="0.17"/>
  </r>
  <r>
    <s v="ENESI"/>
    <x v="57"/>
    <m/>
    <m/>
    <m/>
    <x v="88"/>
    <s v="ENESI"/>
    <x v="20"/>
    <s v="M-ONE Sanitar Silikon"/>
    <n v="12"/>
    <x v="1"/>
    <n v="0.17"/>
  </r>
  <r>
    <s v="ENESI"/>
    <x v="57"/>
    <m/>
    <m/>
    <m/>
    <x v="88"/>
    <s v="ENESI"/>
    <x v="2"/>
    <s v="M-ONE Sanitar Silikon"/>
    <n v="12"/>
    <x v="1"/>
    <n v="0.17"/>
  </r>
  <r>
    <s v="ARSIMI"/>
    <x v="58"/>
    <n v="92.4"/>
    <m/>
    <m/>
    <x v="59"/>
    <s v="ARSIMI"/>
    <x v="0"/>
    <s v="M-ONE Sanitar Silikon"/>
    <n v="12"/>
    <x v="0"/>
    <n v="0.17"/>
  </r>
  <r>
    <s v="ARSIMI"/>
    <x v="58"/>
    <m/>
    <m/>
    <m/>
    <x v="59"/>
    <s v="ARSIMI"/>
    <x v="5"/>
    <s v="M-ONE Sanitar Silikon"/>
    <n v="12"/>
    <x v="0"/>
    <n v="0.17"/>
  </r>
  <r>
    <s v="MONI 2"/>
    <x v="58"/>
    <n v="231"/>
    <m/>
    <m/>
    <x v="60"/>
    <s v="MONI 2"/>
    <x v="3"/>
    <s v="M-ONE Sanitar Silikon"/>
    <n v="12"/>
    <x v="0"/>
    <n v="0.17"/>
  </r>
  <r>
    <s v="MONI 2"/>
    <x v="58"/>
    <m/>
    <m/>
    <m/>
    <x v="60"/>
    <s v="MONI 2"/>
    <x v="0"/>
    <s v="M-ONE Sanitar Silikon"/>
    <n v="12"/>
    <x v="0"/>
    <n v="0.17"/>
  </r>
  <r>
    <s v="MONI 2"/>
    <x v="58"/>
    <m/>
    <m/>
    <m/>
    <x v="60"/>
    <s v="MONI 2"/>
    <x v="6"/>
    <s v="M-ONE Sanitar Silikon"/>
    <n v="12"/>
    <x v="0"/>
    <n v="0.17"/>
  </r>
  <r>
    <s v="MONI 2"/>
    <x v="58"/>
    <m/>
    <m/>
    <m/>
    <x v="60"/>
    <s v="MONI 2"/>
    <x v="20"/>
    <s v="M-ONE Sanitar Silikon"/>
    <n v="12"/>
    <x v="0"/>
    <n v="0.17"/>
  </r>
  <r>
    <s v="MONI 2"/>
    <x v="58"/>
    <m/>
    <m/>
    <m/>
    <x v="60"/>
    <s v="MONI 2"/>
    <x v="9"/>
    <s v="M-ONE Sanitar Silikon"/>
    <n v="12"/>
    <x v="0"/>
    <n v="0.17"/>
  </r>
  <r>
    <s v="QEMA"/>
    <x v="58"/>
    <n v="92.4"/>
    <m/>
    <m/>
    <x v="169"/>
    <e v="#N/A"/>
    <x v="1"/>
    <s v="M-ONE Sanitar Silikon"/>
    <n v="24"/>
    <x v="0"/>
    <n v="0.17"/>
  </r>
  <r>
    <s v="ARPO"/>
    <x v="58"/>
    <n v="184.8"/>
    <m/>
    <m/>
    <x v="64"/>
    <s v="ARPO"/>
    <x v="0"/>
    <s v="M-ONE Sanitar Silikon"/>
    <n v="12"/>
    <x v="0"/>
    <n v="0.17"/>
  </r>
  <r>
    <s v="ARPO"/>
    <x v="58"/>
    <m/>
    <m/>
    <m/>
    <x v="64"/>
    <s v="ARPO"/>
    <x v="3"/>
    <s v="M-ONE Sanitar Silikon"/>
    <n v="12"/>
    <x v="0"/>
    <n v="0.17"/>
  </r>
  <r>
    <s v="ARPO"/>
    <x v="58"/>
    <m/>
    <m/>
    <m/>
    <x v="64"/>
    <s v="ARPO"/>
    <x v="20"/>
    <s v="M-ONE Sanitar Silikon"/>
    <n v="12"/>
    <x v="0"/>
    <n v="0.17"/>
  </r>
  <r>
    <s v="ARPO"/>
    <x v="58"/>
    <m/>
    <m/>
    <m/>
    <x v="64"/>
    <s v="ARPO"/>
    <x v="1"/>
    <s v="M-ONE Sanitar Silikon"/>
    <n v="12"/>
    <x v="0"/>
    <n v="0.17"/>
  </r>
  <r>
    <s v="AB SHPK"/>
    <x v="58"/>
    <n v="27.6"/>
    <m/>
    <m/>
    <x v="63"/>
    <s v="AB SHPK"/>
    <x v="8"/>
    <s v="struktural akryl"/>
    <n v="12"/>
    <x v="0"/>
    <n v="0.06"/>
  </r>
  <r>
    <s v="XHAFA"/>
    <x v="58"/>
    <n v="106.8"/>
    <m/>
    <m/>
    <x v="61"/>
    <s v="XHAFA"/>
    <x v="0"/>
    <s v="M-ONE Sanitar Silikon"/>
    <n v="12"/>
    <x v="0"/>
    <n v="0.17"/>
  </r>
  <r>
    <s v="XHAFA"/>
    <x v="58"/>
    <m/>
    <m/>
    <m/>
    <x v="61"/>
    <s v="XHAFA"/>
    <x v="1"/>
    <s v="M-ONE Sanitar Silikon"/>
    <n v="12"/>
    <x v="0"/>
    <n v="0.17"/>
  </r>
  <r>
    <s v="XHAFA"/>
    <x v="58"/>
    <m/>
    <m/>
    <m/>
    <x v="61"/>
    <s v="XHAFA"/>
    <x v="7"/>
    <s v="DICHTUNG"/>
    <n v="2"/>
    <x v="0"/>
    <n v="0.2"/>
  </r>
  <r>
    <s v="TEMAJ"/>
    <x v="58"/>
    <n v="92.4"/>
    <m/>
    <m/>
    <x v="91"/>
    <s v="TEMAJ"/>
    <x v="3"/>
    <s v="M-ONE Sanitar Silikon"/>
    <n v="12"/>
    <x v="2"/>
    <n v="0.17"/>
  </r>
  <r>
    <s v="TEMAJ"/>
    <x v="58"/>
    <m/>
    <m/>
    <m/>
    <x v="91"/>
    <s v="TEMAJ"/>
    <x v="1"/>
    <s v="M-ONE Sanitar Silikon"/>
    <n v="12"/>
    <x v="2"/>
    <n v="0.17"/>
  </r>
  <r>
    <s v="LETAJ"/>
    <x v="58"/>
    <n v="138.6"/>
    <m/>
    <m/>
    <x v="67"/>
    <s v="LETAJ"/>
    <x v="0"/>
    <s v="M-ONE Sanitar Silikon"/>
    <n v="24"/>
    <x v="1"/>
    <n v="0.17"/>
  </r>
  <r>
    <s v="LETAJ"/>
    <x v="58"/>
    <m/>
    <m/>
    <m/>
    <x v="67"/>
    <s v="LETAJ"/>
    <x v="5"/>
    <s v="M-ONE Sanitar Silikon"/>
    <n v="12"/>
    <x v="1"/>
    <n v="0.17"/>
  </r>
  <r>
    <s v="GERMAN FABRE"/>
    <x v="58"/>
    <n v="36.5"/>
    <m/>
    <m/>
    <x v="121"/>
    <s v="GERMAN FABRE"/>
    <x v="26"/>
    <s v="BAU CLEAN"/>
    <n v="3"/>
    <x v="1"/>
    <n v="0.5"/>
  </r>
  <r>
    <s v="GERMAN FABRE"/>
    <x v="58"/>
    <m/>
    <m/>
    <m/>
    <x v="121"/>
    <s v="GERMAN FABRE"/>
    <x v="27"/>
    <s v="BAU CLEAN"/>
    <n v="5"/>
    <x v="1"/>
    <n v="0.3"/>
  </r>
  <r>
    <s v="INOX 2"/>
    <x v="58"/>
    <n v="184.8"/>
    <m/>
    <m/>
    <x v="93"/>
    <s v="INOX 2"/>
    <x v="5"/>
    <s v="M-ONE Sanitar Silikon"/>
    <n v="12"/>
    <x v="1"/>
    <n v="0.17"/>
  </r>
  <r>
    <s v="INOX 2"/>
    <x v="58"/>
    <m/>
    <m/>
    <m/>
    <x v="93"/>
    <s v="INOX 2"/>
    <x v="18"/>
    <s v="M-ONE Sanitar Silikon"/>
    <n v="12"/>
    <x v="1"/>
    <n v="0.17"/>
  </r>
  <r>
    <s v="INOX 2"/>
    <x v="58"/>
    <m/>
    <m/>
    <m/>
    <x v="93"/>
    <s v="INOX 2"/>
    <x v="25"/>
    <s v="M-ONE Sanitar Silikon"/>
    <n v="12"/>
    <x v="1"/>
    <n v="0.17"/>
  </r>
  <r>
    <s v="INOX 2"/>
    <x v="58"/>
    <m/>
    <m/>
    <m/>
    <x v="93"/>
    <s v="INOX 2"/>
    <x v="2"/>
    <s v="M-ONE Sanitar Silikon"/>
    <n v="12"/>
    <x v="1"/>
    <n v="0.17"/>
  </r>
  <r>
    <s v="HB-DECOR"/>
    <x v="58"/>
    <n v="69.599999999999994"/>
    <m/>
    <m/>
    <x v="95"/>
    <s v="HB-DECOR"/>
    <x v="10"/>
    <s v="PROFIMONT EXTREME"/>
    <n v="12"/>
    <x v="1"/>
    <n v="0.2"/>
  </r>
  <r>
    <s v="GER COLORS"/>
    <x v="58"/>
    <n v="92.4"/>
    <m/>
    <m/>
    <x v="94"/>
    <s v="GER COLORS"/>
    <x v="3"/>
    <s v="M-ONE Sanitar Silikon"/>
    <n v="12"/>
    <x v="1"/>
    <n v="0.17"/>
  </r>
  <r>
    <s v="GER COLORS"/>
    <x v="58"/>
    <m/>
    <m/>
    <m/>
    <x v="94"/>
    <s v="GER COLORS"/>
    <x v="5"/>
    <s v="M-ONE Sanitar Silikon"/>
    <n v="12"/>
    <x v="1"/>
    <n v="0.17"/>
  </r>
  <r>
    <s v="ERENIKU"/>
    <x v="58"/>
    <n v="120"/>
    <m/>
    <m/>
    <x v="92"/>
    <s v="ERENIKU"/>
    <x v="5"/>
    <s v="M-ONE Sanitar Silikon"/>
    <n v="12"/>
    <x v="1"/>
    <n v="0.17"/>
  </r>
  <r>
    <s v="ERENIKU"/>
    <x v="58"/>
    <m/>
    <m/>
    <m/>
    <x v="92"/>
    <s v="ERENIKU"/>
    <x v="9"/>
    <s v="M-ONE Sanitar Silikon"/>
    <n v="12"/>
    <x v="1"/>
    <n v="0.17"/>
  </r>
  <r>
    <s v="ERENIKU"/>
    <x v="58"/>
    <m/>
    <m/>
    <m/>
    <x v="92"/>
    <s v="ERENIKU"/>
    <x v="8"/>
    <s v="struktural akryl"/>
    <n v="12"/>
    <x v="1"/>
    <n v="0.06"/>
  </r>
  <r>
    <s v="AFRIMI-AG"/>
    <x v="58"/>
    <n v="92.4"/>
    <m/>
    <m/>
    <x v="69"/>
    <s v="AFRIMI-AG"/>
    <x v="0"/>
    <s v="M-ONE Sanitar Silikon"/>
    <n v="12"/>
    <x v="1"/>
    <n v="0.17"/>
  </r>
  <r>
    <s v="AFRIMI-AG"/>
    <x v="58"/>
    <m/>
    <m/>
    <m/>
    <x v="69"/>
    <s v="AFRIMI-AG"/>
    <x v="18"/>
    <s v="M-ONE Sanitar Silikon"/>
    <n v="12"/>
    <x v="1"/>
    <n v="0.17"/>
  </r>
  <r>
    <s v="TE BESIMI"/>
    <x v="58"/>
    <n v="85.2"/>
    <m/>
    <m/>
    <x v="70"/>
    <s v="TE BESIMI"/>
    <x v="9"/>
    <s v="M-ONE Sanitar Silikon"/>
    <n v="12"/>
    <x v="1"/>
    <n v="0.17"/>
  </r>
  <r>
    <s v="TE BESIMI"/>
    <x v="58"/>
    <m/>
    <m/>
    <m/>
    <x v="70"/>
    <s v="TE BESIMI"/>
    <x v="24"/>
    <s v="M ONE SILIKON SPRAY"/>
    <n v="5"/>
    <x v="1"/>
    <n v="0.2"/>
  </r>
  <r>
    <s v="TE BESIMI"/>
    <x v="58"/>
    <m/>
    <m/>
    <m/>
    <x v="70"/>
    <s v="TE BESIMI"/>
    <x v="14"/>
    <s v="beMAKER Bremsen&amp;Teile Reininger"/>
    <n v="4"/>
    <x v="1"/>
    <n v="0.2"/>
  </r>
  <r>
    <s v="TE BESIMI"/>
    <x v="58"/>
    <m/>
    <m/>
    <m/>
    <x v="70"/>
    <s v="TE BESIMI"/>
    <x v="7"/>
    <s v="DICHTUNG"/>
    <n v="2"/>
    <x v="1"/>
    <n v="0.2"/>
  </r>
  <r>
    <s v="ARBENI BIOBLIC"/>
    <x v="58"/>
    <n v="351.75"/>
    <m/>
    <m/>
    <x v="71"/>
    <s v="ARBENI BIOBLIC"/>
    <x v="28"/>
    <s v="BioBlic Universalreiniger"/>
    <n v="165"/>
    <x v="2"/>
    <n v="0.30000000000000004"/>
  </r>
  <r>
    <s v="ARBENI BIOBLIC"/>
    <x v="58"/>
    <m/>
    <m/>
    <m/>
    <x v="71"/>
    <s v="ARBENI BIOBLIC"/>
    <x v="29"/>
    <s v="Blic Blic Sanitärreiniger"/>
    <n v="105"/>
    <x v="2"/>
    <n v="0.30000000000000004"/>
  </r>
  <r>
    <s v="ARBENI BIOBLIC"/>
    <x v="58"/>
    <m/>
    <m/>
    <m/>
    <x v="71"/>
    <s v="ARBENI BIOBLIC"/>
    <x v="24"/>
    <s v="M ONE SILIKON SPRAY"/>
    <n v="8"/>
    <x v="2"/>
    <n v="0.2"/>
  </r>
  <r>
    <s v="DARDANIA"/>
    <x v="59"/>
    <n v="46.2"/>
    <m/>
    <m/>
    <x v="6"/>
    <s v="DARDANIA"/>
    <x v="9"/>
    <s v="M-ONE Sanitar Silikon"/>
    <n v="12"/>
    <x v="0"/>
    <n v="0.17"/>
  </r>
  <r>
    <s v="BURIMI"/>
    <x v="59"/>
    <n v="138.6"/>
    <m/>
    <m/>
    <x v="5"/>
    <s v="BURIMI"/>
    <x v="5"/>
    <s v="M-ONE Sanitar Silikon"/>
    <n v="12"/>
    <x v="0"/>
    <n v="0.17"/>
  </r>
  <r>
    <s v="BURIMI"/>
    <x v="59"/>
    <m/>
    <m/>
    <m/>
    <x v="5"/>
    <s v="BURIMI"/>
    <x v="4"/>
    <s v="M-ONE Sanitar Silikon"/>
    <n v="12"/>
    <x v="0"/>
    <n v="0.17"/>
  </r>
  <r>
    <s v="BURIMI"/>
    <x v="59"/>
    <m/>
    <m/>
    <m/>
    <x v="5"/>
    <s v="BURIMI"/>
    <x v="9"/>
    <s v="M-ONE Sanitar Silikon"/>
    <n v="12"/>
    <x v="0"/>
    <n v="0.17"/>
  </r>
  <r>
    <s v="BALLKANI"/>
    <x v="59"/>
    <n v="184.8"/>
    <m/>
    <m/>
    <x v="98"/>
    <s v="BALLKANI"/>
    <x v="0"/>
    <s v="M-ONE Sanitar Silikon"/>
    <n v="12"/>
    <x v="0"/>
    <n v="0.17"/>
  </r>
  <r>
    <s v="BALLKANI"/>
    <x v="59"/>
    <m/>
    <m/>
    <m/>
    <x v="98"/>
    <s v="BALLKANI"/>
    <x v="5"/>
    <s v="M-ONE Sanitar Silikon"/>
    <n v="12"/>
    <x v="0"/>
    <n v="0.17"/>
  </r>
  <r>
    <s v="BALLKANI"/>
    <x v="59"/>
    <m/>
    <m/>
    <m/>
    <x v="98"/>
    <s v="BALLKANI"/>
    <x v="1"/>
    <s v="M-ONE Sanitar Silikon"/>
    <n v="12"/>
    <x v="0"/>
    <n v="0.17"/>
  </r>
  <r>
    <s v="BALLKANI"/>
    <x v="59"/>
    <m/>
    <m/>
    <m/>
    <x v="98"/>
    <s v="BALLKANI"/>
    <x v="9"/>
    <s v="M-ONE Sanitar Silikon"/>
    <n v="12"/>
    <x v="0"/>
    <n v="0.17"/>
  </r>
  <r>
    <s v="BEKA-2"/>
    <x v="59"/>
    <n v="46"/>
    <m/>
    <m/>
    <x v="154"/>
    <s v="BEKA-2"/>
    <x v="7"/>
    <s v="DICHTUNG"/>
    <n v="5"/>
    <x v="0"/>
    <n v="0.2"/>
  </r>
  <r>
    <s v="BEKA-2"/>
    <x v="59"/>
    <m/>
    <m/>
    <m/>
    <x v="154"/>
    <s v="BEKA-2"/>
    <x v="14"/>
    <s v="beMAKER Bremsen&amp;Teile Reininger"/>
    <n v="5"/>
    <x v="0"/>
    <n v="0.2"/>
  </r>
  <r>
    <s v="TINA"/>
    <x v="59"/>
    <n v="92.4"/>
    <m/>
    <m/>
    <x v="2"/>
    <s v="TINA"/>
    <x v="3"/>
    <s v="M-ONE Sanitar Silikon"/>
    <n v="24"/>
    <x v="0"/>
    <n v="0.17"/>
  </r>
  <r>
    <s v="ELIONI-1"/>
    <x v="59"/>
    <n v="138.6"/>
    <m/>
    <m/>
    <x v="97"/>
    <s v="ELIONI-1"/>
    <x v="5"/>
    <s v="M-ONE Sanitar Silikon"/>
    <n v="12"/>
    <x v="0"/>
    <n v="0.17"/>
  </r>
  <r>
    <s v="ELIONI-1"/>
    <x v="59"/>
    <m/>
    <m/>
    <m/>
    <x v="97"/>
    <s v="ELIONI-1"/>
    <x v="20"/>
    <s v="M-ONE Sanitar Silikon"/>
    <n v="12"/>
    <x v="0"/>
    <n v="0.17"/>
  </r>
  <r>
    <s v="ELIONI-1"/>
    <x v="59"/>
    <m/>
    <m/>
    <m/>
    <x v="97"/>
    <s v="ELIONI-1"/>
    <x v="2"/>
    <s v="M-ONE Sanitar Silikon"/>
    <n v="12"/>
    <x v="0"/>
    <n v="0.17"/>
  </r>
  <r>
    <s v="BEKA-3"/>
    <x v="59"/>
    <n v="112.9"/>
    <m/>
    <m/>
    <x v="8"/>
    <s v="BEKA-3"/>
    <x v="7"/>
    <s v="DICHTUNG"/>
    <n v="12"/>
    <x v="0"/>
    <n v="0.2"/>
  </r>
  <r>
    <s v="BEKA-3"/>
    <x v="59"/>
    <m/>
    <m/>
    <m/>
    <x v="8"/>
    <s v="BEKA-3"/>
    <x v="17"/>
    <s v="M ONE UBS"/>
    <n v="3"/>
    <x v="0"/>
    <n v="0.2"/>
  </r>
  <r>
    <s v="BEKA-3"/>
    <x v="59"/>
    <m/>
    <m/>
    <m/>
    <x v="8"/>
    <s v="BEKA-3"/>
    <x v="16"/>
    <s v="Fettspray"/>
    <n v="3"/>
    <x v="0"/>
    <n v="0.2"/>
  </r>
  <r>
    <s v="BEKA-3"/>
    <x v="59"/>
    <m/>
    <m/>
    <m/>
    <x v="8"/>
    <s v="BEKA-3"/>
    <x v="12"/>
    <s v="beMAKER Rostlöser"/>
    <n v="2"/>
    <x v="0"/>
    <n v="0.2"/>
  </r>
  <r>
    <s v="BARDHI"/>
    <x v="59"/>
    <n v="21.6"/>
    <m/>
    <m/>
    <x v="176"/>
    <s v="BARDHI"/>
    <x v="7"/>
    <s v="DICHTUNG"/>
    <n v="3"/>
    <x v="0"/>
    <n v="0.2"/>
  </r>
  <r>
    <s v="FUNDAMETI"/>
    <x v="59"/>
    <n v="98.4"/>
    <m/>
    <m/>
    <x v="7"/>
    <s v="FUNDAMETI"/>
    <x v="1"/>
    <s v="M-ONE Sanitar Silikon"/>
    <n v="24"/>
    <x v="0"/>
    <n v="0.17"/>
  </r>
  <r>
    <s v="FUNDAMETI"/>
    <x v="59"/>
    <m/>
    <m/>
    <m/>
    <x v="7"/>
    <s v="FUNDAMETI"/>
    <x v="24"/>
    <s v="M ONE SILIKON SPRAY"/>
    <n v="2"/>
    <x v="0"/>
    <n v="0.2"/>
  </r>
  <r>
    <s v="EUROSAN"/>
    <x v="59"/>
    <n v="27.6"/>
    <m/>
    <m/>
    <x v="123"/>
    <s v="EUROSAN"/>
    <x v="8"/>
    <s v="struktural akryl"/>
    <n v="12"/>
    <x v="0"/>
    <n v="0.06"/>
  </r>
  <r>
    <s v="BEREQETI"/>
    <x v="59"/>
    <n v="231"/>
    <m/>
    <m/>
    <x v="13"/>
    <s v="BEREQETI"/>
    <x v="1"/>
    <s v="M-ONE Sanitar Silikon"/>
    <n v="48"/>
    <x v="1"/>
    <n v="0.17"/>
  </r>
  <r>
    <s v="BEREQETI"/>
    <x v="59"/>
    <m/>
    <m/>
    <m/>
    <x v="13"/>
    <s v="BEREQETI"/>
    <x v="9"/>
    <s v="M-ONE Sanitar Silikon"/>
    <n v="12"/>
    <x v="1"/>
    <n v="0.17"/>
  </r>
  <r>
    <s v="BARDHI-M"/>
    <x v="59"/>
    <n v="138.6"/>
    <m/>
    <m/>
    <x v="77"/>
    <s v="BARDHI-M"/>
    <x v="1"/>
    <s v="M-ONE Sanitar Silikon"/>
    <n v="24"/>
    <x v="1"/>
    <n v="0.17"/>
  </r>
  <r>
    <s v="BARDHI-M"/>
    <x v="59"/>
    <m/>
    <m/>
    <m/>
    <x v="77"/>
    <s v="BARDHI-M"/>
    <x v="5"/>
    <s v="M-ONE Sanitar Silikon"/>
    <n v="12"/>
    <x v="1"/>
    <n v="0.17"/>
  </r>
  <r>
    <s v="ABA QERAMIK"/>
    <x v="59"/>
    <n v="92.4"/>
    <m/>
    <m/>
    <x v="177"/>
    <s v="ABA QERAMIK"/>
    <x v="1"/>
    <s v="M-ONE Sanitar Silikon"/>
    <n v="24"/>
    <x v="1"/>
    <n v="0.17"/>
  </r>
  <r>
    <s v="URA"/>
    <x v="59"/>
    <n v="92.4"/>
    <m/>
    <m/>
    <x v="78"/>
    <s v="URA"/>
    <x v="0"/>
    <s v="M-ONE Sanitar Silikon"/>
    <n v="12"/>
    <x v="1"/>
    <n v="0.17"/>
  </r>
  <r>
    <s v="URA"/>
    <x v="59"/>
    <m/>
    <m/>
    <m/>
    <x v="78"/>
    <s v="URA"/>
    <x v="5"/>
    <s v="M-ONE Sanitar Silikon"/>
    <n v="12"/>
    <x v="1"/>
    <n v="0.17"/>
  </r>
  <r>
    <s v="SOPAJ"/>
    <x v="59"/>
    <n v="92.4"/>
    <m/>
    <m/>
    <x v="99"/>
    <s v="SOPAJ"/>
    <x v="18"/>
    <s v="M-ONE Sanitar Silikon"/>
    <n v="24"/>
    <x v="1"/>
    <n v="0.17"/>
  </r>
  <r>
    <s v="ARTURI"/>
    <x v="59"/>
    <n v="138.6"/>
    <m/>
    <m/>
    <x v="156"/>
    <s v="ARTURI"/>
    <x v="0"/>
    <s v="M-ONE Sanitar Silikon"/>
    <n v="12"/>
    <x v="1"/>
    <n v="0.17"/>
  </r>
  <r>
    <s v="ARTURI"/>
    <x v="59"/>
    <m/>
    <m/>
    <m/>
    <x v="156"/>
    <s v="ARTURI"/>
    <x v="5"/>
    <s v="M-ONE Sanitar Silikon"/>
    <n v="12"/>
    <x v="1"/>
    <n v="0.17"/>
  </r>
  <r>
    <s v="ARTURI"/>
    <x v="59"/>
    <m/>
    <m/>
    <m/>
    <x v="156"/>
    <s v="ARTURI"/>
    <x v="1"/>
    <s v="M-ONE Sanitar Silikon"/>
    <n v="12"/>
    <x v="1"/>
    <n v="0.17"/>
  </r>
  <r>
    <s v="ARSIMI"/>
    <x v="60"/>
    <n v="693"/>
    <m/>
    <m/>
    <x v="59"/>
    <s v="ARSIMI"/>
    <x v="1"/>
    <s v="M-ONE Sanitar Silikon"/>
    <n v="180"/>
    <x v="0"/>
    <n v="0.17"/>
  </r>
  <r>
    <s v="YLLI CONSTRUCION"/>
    <x v="60"/>
    <n v="32"/>
    <m/>
    <m/>
    <x v="128"/>
    <s v="YLLI CONSTRUCION"/>
    <x v="1"/>
    <s v="M-ONE Sanitar Silikon"/>
    <n v="8"/>
    <x v="2"/>
    <n v="0.17"/>
  </r>
  <r>
    <s v="HIDROELDI"/>
    <x v="60"/>
    <n v="184.8"/>
    <m/>
    <m/>
    <x v="85"/>
    <s v="HIDROELDI"/>
    <x v="9"/>
    <s v="M-ONE Sanitar Silikon"/>
    <n v="48"/>
    <x v="0"/>
    <n v="0.17"/>
  </r>
  <r>
    <s v="KADIJOLLET"/>
    <x v="60"/>
    <n v="92.4"/>
    <m/>
    <m/>
    <x v="49"/>
    <s v="KADIJOLLET"/>
    <x v="5"/>
    <s v="M-ONE Sanitar Silikon"/>
    <n v="12"/>
    <x v="0"/>
    <n v="0.17"/>
  </r>
  <r>
    <s v="KADIJOLLET"/>
    <x v="60"/>
    <m/>
    <m/>
    <m/>
    <x v="49"/>
    <s v="KADIJOLLET"/>
    <x v="20"/>
    <s v="M-ONE Sanitar Silikon"/>
    <n v="12"/>
    <x v="0"/>
    <n v="0.17"/>
  </r>
  <r>
    <s v="KUJTA"/>
    <x v="60"/>
    <n v="184.8"/>
    <m/>
    <m/>
    <x v="36"/>
    <s v="KUJTA"/>
    <x v="1"/>
    <s v="M-ONE Sanitar Silikon"/>
    <n v="36"/>
    <x v="0"/>
    <n v="0.17"/>
  </r>
  <r>
    <s v="KUJTA"/>
    <x v="60"/>
    <m/>
    <m/>
    <m/>
    <x v="36"/>
    <s v="KUJTA"/>
    <x v="9"/>
    <s v="M-ONE Sanitar Silikon"/>
    <n v="12"/>
    <x v="0"/>
    <n v="0.17"/>
  </r>
  <r>
    <s v="TERMO PROJEKT"/>
    <x v="60"/>
    <n v="46.2"/>
    <m/>
    <m/>
    <x v="56"/>
    <s v="TERMO PROJEKT"/>
    <x v="0"/>
    <s v="M-ONE Sanitar Silikon"/>
    <n v="12"/>
    <x v="1"/>
    <n v="0.17"/>
  </r>
  <r>
    <s v="ENESI"/>
    <x v="60"/>
    <n v="92.4"/>
    <m/>
    <m/>
    <x v="88"/>
    <s v="ENESI"/>
    <x v="3"/>
    <s v="M-ONE Sanitar Silikon"/>
    <n v="12"/>
    <x v="1"/>
    <n v="0.17"/>
  </r>
  <r>
    <s v="ENESI"/>
    <x v="60"/>
    <m/>
    <m/>
    <m/>
    <x v="88"/>
    <s v="ENESI"/>
    <x v="0"/>
    <s v="M-ONE Sanitar Silikon"/>
    <n v="12"/>
    <x v="1"/>
    <n v="0.17"/>
  </r>
  <r>
    <s v="TE GZIMI"/>
    <x v="60"/>
    <n v="36"/>
    <m/>
    <m/>
    <x v="119"/>
    <s v="TE GZIMI"/>
    <x v="12"/>
    <s v="beMAKER Rostlöser"/>
    <n v="6"/>
    <x v="1"/>
    <n v="0.2"/>
  </r>
  <r>
    <s v="TE GZIMI"/>
    <x v="60"/>
    <m/>
    <m/>
    <m/>
    <x v="119"/>
    <s v="TE GZIMI"/>
    <x v="14"/>
    <s v="beMAKER Bremsen&amp;Teile Reininger"/>
    <n v="8"/>
    <x v="1"/>
    <n v="0.2"/>
  </r>
  <r>
    <s v="TE GZIMI"/>
    <x v="60"/>
    <m/>
    <m/>
    <m/>
    <x v="119"/>
    <s v="TE GZIMI"/>
    <x v="7"/>
    <s v="DICHTUNG"/>
    <n v="1"/>
    <x v="1"/>
    <n v="0.2"/>
  </r>
  <r>
    <s v="LULI-C"/>
    <x v="60"/>
    <n v="64.8"/>
    <m/>
    <m/>
    <x v="54"/>
    <s v="LULI-C"/>
    <x v="10"/>
    <s v="PROFIMONT EXTREME"/>
    <n v="9"/>
    <x v="1"/>
    <n v="0.2"/>
  </r>
  <r>
    <s v="LULI-C"/>
    <x v="60"/>
    <m/>
    <m/>
    <m/>
    <x v="54"/>
    <s v="LULI-C"/>
    <x v="12"/>
    <s v="beMAKER Rostlöser"/>
    <n v="6"/>
    <x v="1"/>
    <n v="0.2"/>
  </r>
  <r>
    <s v="CAMA BAU"/>
    <x v="60"/>
    <n v="92.4"/>
    <m/>
    <m/>
    <x v="55"/>
    <s v="CAMA BAU"/>
    <x v="20"/>
    <s v="M-ONE Sanitar Silikon"/>
    <n v="12"/>
    <x v="1"/>
    <n v="0.17"/>
  </r>
  <r>
    <s v="CAMA BAU"/>
    <x v="60"/>
    <m/>
    <m/>
    <m/>
    <x v="55"/>
    <s v="CAMA BAU"/>
    <x v="1"/>
    <s v="M-ONE Sanitar Silikon"/>
    <n v="12"/>
    <x v="1"/>
    <n v="0.17"/>
  </r>
  <r>
    <s v="TE BESNIKU"/>
    <x v="61"/>
    <n v="92.4"/>
    <m/>
    <m/>
    <x v="65"/>
    <s v="TE BESNIKU"/>
    <x v="3"/>
    <s v="M-ONE Sanitar Silikon"/>
    <n v="24"/>
    <x v="0"/>
    <n v="0.17"/>
  </r>
  <r>
    <s v="GIMI"/>
    <x v="61"/>
    <n v="138.6"/>
    <m/>
    <m/>
    <x v="178"/>
    <s v="GIMI"/>
    <x v="1"/>
    <s v="M-ONE Sanitar Silikon"/>
    <n v="36"/>
    <x v="0"/>
    <n v="0.17"/>
  </r>
  <r>
    <s v="TE BESNIKU"/>
    <x v="61"/>
    <n v="46.2"/>
    <m/>
    <m/>
    <x v="65"/>
    <s v="TE BESNIKU"/>
    <x v="5"/>
    <s v="M-ONE Sanitar Silikon"/>
    <n v="12"/>
    <x v="0"/>
    <n v="0.17"/>
  </r>
  <r>
    <s v="XHAFA"/>
    <x v="61"/>
    <n v="92.4"/>
    <m/>
    <m/>
    <x v="61"/>
    <s v="XHAFA"/>
    <x v="1"/>
    <s v="M-ONE Sanitar Silikon"/>
    <n v="12"/>
    <x v="0"/>
    <n v="0.17"/>
  </r>
  <r>
    <s v="XHAFA"/>
    <x v="61"/>
    <m/>
    <m/>
    <m/>
    <x v="61"/>
    <s v="XHAFA"/>
    <x v="4"/>
    <s v="M-ONE Sanitar Silikon"/>
    <n v="12"/>
    <x v="0"/>
    <n v="0.17"/>
  </r>
  <r>
    <s v="METAL FATI"/>
    <x v="61"/>
    <n v="92.4"/>
    <m/>
    <m/>
    <x v="179"/>
    <s v="METAL FATI"/>
    <x v="3"/>
    <s v="M-ONE Sanitar Silikon"/>
    <n v="12"/>
    <x v="0"/>
    <n v="0.17"/>
  </r>
  <r>
    <s v="METAL FATI"/>
    <x v="61"/>
    <m/>
    <m/>
    <m/>
    <x v="179"/>
    <s v="METAL FATI"/>
    <x v="9"/>
    <s v="M-ONE Sanitar Silikon"/>
    <n v="12"/>
    <x v="0"/>
    <n v="0.17"/>
  </r>
  <r>
    <s v="ARPO"/>
    <x v="61"/>
    <n v="293.2"/>
    <m/>
    <m/>
    <x v="64"/>
    <s v="ARPO"/>
    <x v="1"/>
    <s v="M-ONE Sanitar Silikon"/>
    <n v="48"/>
    <x v="0"/>
    <n v="0.17"/>
  </r>
  <r>
    <s v="ARPO"/>
    <x v="61"/>
    <m/>
    <m/>
    <m/>
    <x v="64"/>
    <s v="ARPO"/>
    <x v="9"/>
    <s v="M-ONE Sanitar Silikon"/>
    <n v="12"/>
    <x v="0"/>
    <n v="0.17"/>
  </r>
  <r>
    <s v="ARPO"/>
    <x v="61"/>
    <m/>
    <m/>
    <m/>
    <x v="64"/>
    <s v="ARPO"/>
    <x v="18"/>
    <s v="M-ONE Sanitar Silikon"/>
    <n v="12"/>
    <x v="0"/>
    <n v="0.17"/>
  </r>
  <r>
    <s v="ARPO"/>
    <x v="61"/>
    <m/>
    <m/>
    <m/>
    <x v="64"/>
    <s v="ARPO"/>
    <x v="26"/>
    <s v="BAU CLEAN"/>
    <n v="2"/>
    <x v="0"/>
    <n v="0.5"/>
  </r>
  <r>
    <s v="TEMAJ"/>
    <x v="61"/>
    <n v="138.6"/>
    <m/>
    <m/>
    <x v="91"/>
    <s v="TEMAJ"/>
    <x v="3"/>
    <s v="M-ONE Sanitar Silikon"/>
    <n v="12"/>
    <x v="2"/>
    <n v="0.17"/>
  </r>
  <r>
    <s v="TEMAJ"/>
    <x v="61"/>
    <m/>
    <m/>
    <m/>
    <x v="91"/>
    <s v="TEMAJ"/>
    <x v="1"/>
    <s v="M-ONE Sanitar Silikon"/>
    <n v="24"/>
    <x v="2"/>
    <n v="0.17"/>
  </r>
  <r>
    <s v="INOX 2"/>
    <x v="61"/>
    <n v="92.4"/>
    <m/>
    <m/>
    <x v="93"/>
    <s v="INOX 2"/>
    <x v="3"/>
    <s v="M-ONE Sanitar Silikon"/>
    <n v="12"/>
    <x v="1"/>
    <n v="0.17"/>
  </r>
  <r>
    <s v="INOX 2"/>
    <x v="61"/>
    <m/>
    <m/>
    <m/>
    <x v="93"/>
    <s v="INOX 2"/>
    <x v="0"/>
    <s v="M-ONE Sanitar Silikon"/>
    <n v="12"/>
    <x v="1"/>
    <n v="0.17"/>
  </r>
  <r>
    <s v="GER COLORS"/>
    <x v="61"/>
    <n v="92.4"/>
    <m/>
    <m/>
    <x v="94"/>
    <s v="GER COLORS"/>
    <x v="18"/>
    <s v="M-ONE Sanitar Silikon"/>
    <n v="12"/>
    <x v="1"/>
    <n v="0.17"/>
  </r>
  <r>
    <s v="GER COLORS"/>
    <x v="61"/>
    <m/>
    <m/>
    <m/>
    <x v="94"/>
    <s v="GER COLORS"/>
    <x v="6"/>
    <s v="M-ONE Sanitar Silikon"/>
    <n v="12"/>
    <x v="1"/>
    <n v="0.17"/>
  </r>
  <r>
    <s v="V. GJONAJ"/>
    <x v="61"/>
    <n v="92.4"/>
    <m/>
    <m/>
    <x v="122"/>
    <s v="V. GJONAJ"/>
    <x v="18"/>
    <s v="M-ONE Sanitar Silikon"/>
    <n v="12"/>
    <x v="1"/>
    <n v="0.17"/>
  </r>
  <r>
    <s v="V. GJONAJ"/>
    <x v="61"/>
    <m/>
    <m/>
    <m/>
    <x v="122"/>
    <s v="V. GJONAJ"/>
    <x v="25"/>
    <s v="M-ONE Sanitar Silikon"/>
    <n v="12"/>
    <x v="1"/>
    <n v="0.17"/>
  </r>
  <r>
    <s v="AFRIMI-AG"/>
    <x v="61"/>
    <n v="92.4"/>
    <m/>
    <m/>
    <x v="69"/>
    <s v="AFRIMI-AG"/>
    <x v="5"/>
    <s v="M-ONE Sanitar Silikon"/>
    <n v="12"/>
    <x v="1"/>
    <n v="0.17"/>
  </r>
  <r>
    <s v="AFRIMI-AG"/>
    <x v="61"/>
    <m/>
    <m/>
    <m/>
    <x v="69"/>
    <s v="AFRIMI-AG"/>
    <x v="9"/>
    <s v="M-ONE Sanitar Silikon"/>
    <n v="12"/>
    <x v="1"/>
    <n v="0.17"/>
  </r>
  <r>
    <s v="TE BESIMI"/>
    <x v="61"/>
    <n v="67.599999999999994"/>
    <m/>
    <m/>
    <x v="70"/>
    <s v="TE BESIMI"/>
    <x v="8"/>
    <s v="struktural akryl"/>
    <n v="12"/>
    <x v="1"/>
    <n v="0.06"/>
  </r>
  <r>
    <s v="TE BESIMI"/>
    <x v="61"/>
    <m/>
    <m/>
    <m/>
    <x v="70"/>
    <s v="TE BESIMI"/>
    <x v="17"/>
    <s v="M ONE UBS"/>
    <n v="7"/>
    <x v="1"/>
    <n v="0.2"/>
  </r>
  <r>
    <s v="TE BESIMI"/>
    <x v="61"/>
    <m/>
    <m/>
    <m/>
    <x v="70"/>
    <s v="TE BESIMI"/>
    <x v="24"/>
    <s v="M ONE SILIKON SPRAY"/>
    <n v="4"/>
    <x v="1"/>
    <n v="0.2"/>
  </r>
  <r>
    <s v="ARBENI BIOBLIC"/>
    <x v="61"/>
    <n v="245.8"/>
    <m/>
    <m/>
    <x v="71"/>
    <s v="ARBENI BIOBLIC"/>
    <x v="28"/>
    <s v="BioBlic Universalreiniger"/>
    <n v="150"/>
    <x v="2"/>
    <n v="0.30000000000000004"/>
  </r>
  <r>
    <s v="ARBENI BIOBLIC"/>
    <x v="61"/>
    <m/>
    <m/>
    <m/>
    <x v="71"/>
    <s v="ARBENI BIOBLIC"/>
    <x v="29"/>
    <s v="Blic Blic Sanitärreiniger"/>
    <n v="20"/>
    <x v="2"/>
    <n v="0.30000000000000004"/>
  </r>
  <r>
    <s v="ARBENI BIOBLIC"/>
    <x v="61"/>
    <m/>
    <m/>
    <m/>
    <x v="71"/>
    <s v="ARBENI BIOBLIC"/>
    <x v="24"/>
    <s v="M ONE SILIKON SPRAY"/>
    <n v="5"/>
    <x v="2"/>
    <n v="0.2"/>
  </r>
  <r>
    <s v="ARBENI BIOBLIC"/>
    <x v="61"/>
    <m/>
    <m/>
    <m/>
    <x v="71"/>
    <s v="ARBENI BIOBLIC"/>
    <x v="41"/>
    <s v="Bodenreiniger"/>
    <n v="2"/>
    <x v="2"/>
    <n v="0.5"/>
  </r>
  <r>
    <s v="DARDANIA"/>
    <x v="62"/>
    <n v="46.2"/>
    <m/>
    <m/>
    <x v="6"/>
    <s v="DARDANIA"/>
    <x v="1"/>
    <s v="M-ONE Sanitar Silikon"/>
    <n v="12"/>
    <x v="0"/>
    <n v="0.17"/>
  </r>
  <r>
    <s v="BALLKANI"/>
    <x v="62"/>
    <n v="323.39999999999998"/>
    <m/>
    <m/>
    <x v="98"/>
    <s v="BALLKANI"/>
    <x v="18"/>
    <s v="M-ONE Sanitar Silikon"/>
    <n v="12"/>
    <x v="0"/>
    <n v="0.17"/>
  </r>
  <r>
    <s v="BALLKANI"/>
    <x v="62"/>
    <m/>
    <m/>
    <m/>
    <x v="98"/>
    <s v="BALLKANI"/>
    <x v="9"/>
    <s v="M-ONE Sanitar Silikon"/>
    <n v="12"/>
    <x v="0"/>
    <n v="0.17"/>
  </r>
  <r>
    <s v="BALLKANI"/>
    <x v="62"/>
    <m/>
    <m/>
    <m/>
    <x v="98"/>
    <s v="BALLKANI"/>
    <x v="20"/>
    <s v="M-ONE Sanitar Silikon"/>
    <n v="12"/>
    <x v="0"/>
    <n v="0.17"/>
  </r>
  <r>
    <s v="BALLKANI"/>
    <x v="62"/>
    <m/>
    <m/>
    <m/>
    <x v="98"/>
    <s v="BALLKANI"/>
    <x v="1"/>
    <s v="M-ONE Sanitar Silikon"/>
    <n v="48"/>
    <x v="0"/>
    <n v="0.17"/>
  </r>
  <r>
    <s v="GLOBAL NT"/>
    <x v="62"/>
    <n v="73.8"/>
    <m/>
    <m/>
    <x v="74"/>
    <e v="#N/A"/>
    <x v="5"/>
    <s v="M-ONE Sanitar Silikon"/>
    <n v="12"/>
    <x v="0"/>
    <n v="0.17"/>
  </r>
  <r>
    <s v="GLOBAL NT"/>
    <x v="62"/>
    <m/>
    <m/>
    <m/>
    <x v="74"/>
    <e v="#N/A"/>
    <x v="8"/>
    <s v="struktural akryl"/>
    <n v="12"/>
    <x v="0"/>
    <n v="0.06"/>
  </r>
  <r>
    <s v="TINA"/>
    <x v="62"/>
    <n v="92.4"/>
    <m/>
    <m/>
    <x v="2"/>
    <s v="TINA"/>
    <x v="9"/>
    <s v="M-ONE Sanitar Silikon"/>
    <n v="12"/>
    <x v="0"/>
    <n v="0.17"/>
  </r>
  <r>
    <s v="TINA"/>
    <x v="62"/>
    <m/>
    <m/>
    <m/>
    <x v="2"/>
    <s v="TINA"/>
    <x v="3"/>
    <s v="M-ONE Sanitar Silikon"/>
    <n v="12"/>
    <x v="0"/>
    <n v="0.17"/>
  </r>
  <r>
    <s v="BEKA-2"/>
    <x v="62"/>
    <n v="41.6"/>
    <m/>
    <m/>
    <x v="154"/>
    <s v="BEKA-2"/>
    <x v="14"/>
    <s v="beMAKER Bremsen&amp;Teile Reininger"/>
    <n v="10"/>
    <x v="0"/>
    <n v="0.2"/>
  </r>
  <r>
    <s v="BEKA-2"/>
    <x v="62"/>
    <m/>
    <m/>
    <m/>
    <x v="154"/>
    <s v="BEKA-2"/>
    <x v="7"/>
    <s v="DICHTUNG"/>
    <n v="3"/>
    <x v="0"/>
    <n v="0.2"/>
  </r>
  <r>
    <s v="FATMIRI"/>
    <x v="62"/>
    <n v="99.4"/>
    <m/>
    <m/>
    <x v="124"/>
    <s v="FATMIRI"/>
    <x v="1"/>
    <s v="M-ONE Sanitar Silikon"/>
    <n v="24"/>
    <x v="0"/>
    <n v="0.17"/>
  </r>
  <r>
    <s v="FATMIRI"/>
    <x v="62"/>
    <m/>
    <m/>
    <m/>
    <x v="124"/>
    <s v="FATMIRI"/>
    <x v="16"/>
    <s v="Fettspray"/>
    <n v="2"/>
    <x v="0"/>
    <n v="0.2"/>
  </r>
  <r>
    <s v="BEKA-1"/>
    <x v="62"/>
    <n v="40"/>
    <m/>
    <m/>
    <x v="76"/>
    <s v="BEKA-1"/>
    <x v="7"/>
    <s v="DICHTUNG"/>
    <n v="5"/>
    <x v="0"/>
    <n v="0.2"/>
  </r>
  <r>
    <s v="BEKA-1"/>
    <x v="62"/>
    <m/>
    <m/>
    <m/>
    <x v="76"/>
    <s v="BEKA-1"/>
    <x v="12"/>
    <s v="beMAKER Rostlöser"/>
    <n v="2"/>
    <x v="0"/>
    <n v="0.2"/>
  </r>
  <r>
    <s v="TREND CERAMIKA"/>
    <x v="62"/>
    <n v="92.4"/>
    <m/>
    <m/>
    <x v="162"/>
    <s v="TREND CERAMIKA"/>
    <x v="1"/>
    <s v="M-ONE Sanitar Silikon"/>
    <n v="24"/>
    <x v="0"/>
    <n v="0.17"/>
  </r>
  <r>
    <s v="CONDOR"/>
    <x v="62"/>
    <n v="193.8"/>
    <m/>
    <m/>
    <x v="11"/>
    <s v="CONDOR"/>
    <x v="0"/>
    <s v="M-ONE Sanitar Silikon"/>
    <n v="24"/>
    <x v="1"/>
    <n v="0.17"/>
  </r>
  <r>
    <s v="CONDOR"/>
    <x v="62"/>
    <m/>
    <m/>
    <m/>
    <x v="11"/>
    <s v="CONDOR"/>
    <x v="3"/>
    <s v="M-ONE Sanitar Silikon"/>
    <n v="12"/>
    <x v="1"/>
    <n v="0.17"/>
  </r>
  <r>
    <s v="CONDOR"/>
    <x v="62"/>
    <m/>
    <m/>
    <m/>
    <x v="11"/>
    <s v="CONDOR"/>
    <x v="8"/>
    <s v="struktural akryl"/>
    <n v="24"/>
    <x v="1"/>
    <n v="0.06"/>
  </r>
  <r>
    <s v="CONDOR"/>
    <x v="62"/>
    <m/>
    <m/>
    <m/>
    <x v="11"/>
    <s v="CONDOR"/>
    <x v="42"/>
    <s v="M ONE SCHWARZ GLÄNZED"/>
    <n v="12"/>
    <x v="1"/>
    <n v="0.15"/>
  </r>
  <r>
    <s v="CONDOR"/>
    <x v="62"/>
    <m/>
    <m/>
    <m/>
    <x v="11"/>
    <s v="CONDOR"/>
    <x v="43"/>
    <s v="M ONE SCHWARZ MATT"/>
    <n v="12"/>
    <x v="1"/>
    <n v="0.15"/>
  </r>
  <r>
    <s v="CONDOR"/>
    <x v="62"/>
    <m/>
    <m/>
    <m/>
    <x v="11"/>
    <s v="CONDOR"/>
    <x v="44"/>
    <s v="M ONE FUERROT"/>
    <n v="6"/>
    <x v="1"/>
    <n v="0.15"/>
  </r>
  <r>
    <s v="CONDOR"/>
    <x v="62"/>
    <m/>
    <m/>
    <m/>
    <x v="11"/>
    <s v="CONDOR"/>
    <x v="45"/>
    <s v="M ONE WEISS GLÄNZEND"/>
    <n v="6"/>
    <x v="1"/>
    <n v="0.15"/>
  </r>
  <r>
    <s v="CONDOR"/>
    <x v="62"/>
    <m/>
    <m/>
    <m/>
    <x v="11"/>
    <s v="CONDOR"/>
    <x v="12"/>
    <s v="beMAKER Rostlöser"/>
    <n v="12"/>
    <x v="1"/>
    <n v="0.2"/>
  </r>
  <r>
    <s v="BARDHI-M"/>
    <x v="62"/>
    <n v="92.4"/>
    <m/>
    <m/>
    <x v="77"/>
    <s v="BARDHI-M"/>
    <x v="0"/>
    <s v="M-ONE Sanitar Silikon"/>
    <n v="12"/>
    <x v="1"/>
    <n v="0.17"/>
  </r>
  <r>
    <s v="BARDHI-M"/>
    <x v="62"/>
    <m/>
    <m/>
    <m/>
    <x v="77"/>
    <s v="BARDHI-M"/>
    <x v="1"/>
    <s v="M-ONE Sanitar Silikon"/>
    <n v="12"/>
    <x v="1"/>
    <n v="0.17"/>
  </r>
  <r>
    <s v="BEREQETI"/>
    <x v="62"/>
    <n v="147.6"/>
    <m/>
    <m/>
    <x v="13"/>
    <s v="BEREQETI"/>
    <x v="1"/>
    <s v="M-ONE Sanitar Silikon"/>
    <n v="24"/>
    <x v="1"/>
    <n v="0.17"/>
  </r>
  <r>
    <s v="BEREQETI"/>
    <x v="62"/>
    <m/>
    <m/>
    <m/>
    <x v="13"/>
    <s v="BEREQETI"/>
    <x v="8"/>
    <s v="struktural akryl"/>
    <n v="24"/>
    <x v="1"/>
    <n v="0.06"/>
  </r>
  <r>
    <s v="AGRO-FARM"/>
    <x v="62"/>
    <n v="70.2"/>
    <m/>
    <m/>
    <x v="14"/>
    <s v="AGRO-FARM"/>
    <x v="5"/>
    <s v="M-ONE Sanitar Silikon"/>
    <n v="12"/>
    <x v="1"/>
    <n v="0.17"/>
  </r>
  <r>
    <s v="AGRO-FARM"/>
    <x v="62"/>
    <m/>
    <m/>
    <m/>
    <x v="14"/>
    <s v="AGRO-FARM"/>
    <x v="14"/>
    <s v="beMAKER Bremsen&amp;Teile Reininger"/>
    <n v="12"/>
    <x v="1"/>
    <n v="0.2"/>
  </r>
  <r>
    <s v="ABA QERAMIK"/>
    <x v="62"/>
    <n v="92.4"/>
    <m/>
    <m/>
    <x v="177"/>
    <s v="ABA QERAMIK"/>
    <x v="1"/>
    <s v="M-ONE Sanitar Silikon"/>
    <n v="24"/>
    <x v="1"/>
    <n v="0.17"/>
  </r>
  <r>
    <s v="DURGUTI 3"/>
    <x v="62"/>
    <n v="92.4"/>
    <m/>
    <m/>
    <x v="12"/>
    <s v="DURGUTI 3"/>
    <x v="3"/>
    <s v="M-ONE Sanitar Silikon"/>
    <n v="12"/>
    <x v="1"/>
    <n v="0.17"/>
  </r>
  <r>
    <s v="DURGUTI 3"/>
    <x v="62"/>
    <m/>
    <m/>
    <m/>
    <x v="12"/>
    <s v="DURGUTI 3"/>
    <x v="9"/>
    <s v="M-ONE Sanitar Silikon"/>
    <n v="12"/>
    <x v="1"/>
    <n v="0.17"/>
  </r>
  <r>
    <s v="SHEHU-A"/>
    <x v="62"/>
    <n v="98.4"/>
    <m/>
    <m/>
    <x v="17"/>
    <s v="SHEHU-A"/>
    <x v="7"/>
    <s v="DICHTUNG"/>
    <n v="12"/>
    <x v="1"/>
    <n v="0.2"/>
  </r>
  <r>
    <s v="SHEHU-A"/>
    <x v="62"/>
    <m/>
    <m/>
    <m/>
    <x v="17"/>
    <s v="SHEHU-A"/>
    <x v="12"/>
    <s v="beMAKER Rostlöser"/>
    <n v="6"/>
    <x v="1"/>
    <n v="0.2"/>
  </r>
  <r>
    <s v="ARBENI BIOBLIC"/>
    <x v="62"/>
    <n v="40"/>
    <m/>
    <m/>
    <x v="71"/>
    <s v="ARBENI BIOBLIC"/>
    <x v="29"/>
    <s v="Blic Blic Sanitärreiniger"/>
    <n v="40"/>
    <x v="2"/>
    <n v="0.30000000000000004"/>
  </r>
  <r>
    <s v="YLLI CONSTRUCION"/>
    <x v="63"/>
    <n v="24"/>
    <m/>
    <m/>
    <x v="128"/>
    <s v="YLLI CONSTRUCION"/>
    <x v="1"/>
    <s v="M-ONE Sanitar Silikon"/>
    <n v="3"/>
    <x v="2"/>
    <n v="0.17"/>
  </r>
  <r>
    <s v="YLLI CONSTRUCION"/>
    <x v="63"/>
    <m/>
    <m/>
    <m/>
    <x v="128"/>
    <s v="YLLI CONSTRUCION"/>
    <x v="18"/>
    <s v="M-ONE Sanitar Silikon"/>
    <n v="3"/>
    <x v="2"/>
    <n v="0.17"/>
  </r>
  <r>
    <s v="ARBENI BIOBLIC"/>
    <x v="63"/>
    <n v="204"/>
    <m/>
    <m/>
    <x v="71"/>
    <s v="ARBENI BIOBLIC"/>
    <x v="28"/>
    <s v="BioBlic Universalreiniger"/>
    <n v="100"/>
    <x v="2"/>
    <n v="0.30000000000000004"/>
  </r>
  <r>
    <s v="ARBENI BIOBLIC"/>
    <x v="63"/>
    <m/>
    <m/>
    <m/>
    <x v="71"/>
    <s v="ARBENI BIOBLIC"/>
    <x v="29"/>
    <s v="Blic Blic Sanitärreiniger"/>
    <n v="40"/>
    <x v="2"/>
    <n v="0.30000000000000004"/>
  </r>
  <r>
    <s v="ARBENI BIOBLIC"/>
    <x v="63"/>
    <m/>
    <m/>
    <m/>
    <x v="71"/>
    <s v="ARBENI BIOBLIC"/>
    <x v="24"/>
    <s v="M ONE SILIKON SPRAY"/>
    <n v="7"/>
    <x v="2"/>
    <n v="0.2"/>
  </r>
  <r>
    <s v="ARBENI BIOBLIC"/>
    <x v="63"/>
    <m/>
    <m/>
    <m/>
    <x v="71"/>
    <s v="ARBENI BIOBLIC"/>
    <x v="41"/>
    <s v="Bodenreiniger"/>
    <n v="2"/>
    <x v="2"/>
    <n v="0.5"/>
  </r>
  <r>
    <s v="ARBENI BIOBLIC"/>
    <x v="63"/>
    <m/>
    <m/>
    <m/>
    <x v="71"/>
    <s v="ARBENI BIOBLIC"/>
    <x v="46"/>
    <s v="HAT LACK 800"/>
    <n v="1"/>
    <x v="2"/>
    <n v="0.35"/>
  </r>
  <r>
    <s v="GRANITI"/>
    <x v="63"/>
    <n v="27.6"/>
    <m/>
    <m/>
    <x v="80"/>
    <s v="GRANITI"/>
    <x v="8"/>
    <s v="struktural akryl"/>
    <n v="12"/>
    <x v="0"/>
    <n v="0.06"/>
  </r>
  <r>
    <s v="DRCOR"/>
    <x v="63"/>
    <n v="92.4"/>
    <m/>
    <m/>
    <x v="157"/>
    <s v="DRCOR"/>
    <x v="1"/>
    <s v="M-ONE Sanitar Silikon"/>
    <n v="24"/>
    <x v="0"/>
    <n v="0.17"/>
  </r>
  <r>
    <s v="UNIVERZAL"/>
    <x v="63"/>
    <n v="91.3"/>
    <m/>
    <m/>
    <x v="18"/>
    <s v="UNIVERZAL"/>
    <x v="8"/>
    <s v="struktural akryl"/>
    <n v="12"/>
    <x v="0"/>
    <n v="0.06"/>
  </r>
  <r>
    <s v="UNIVERZAL"/>
    <x v="63"/>
    <m/>
    <m/>
    <m/>
    <x v="18"/>
    <s v="UNIVERZAL"/>
    <x v="1"/>
    <s v="M-ONE Sanitar Silikon"/>
    <n v="12"/>
    <x v="0"/>
    <n v="0.17"/>
  </r>
  <r>
    <s v="UNIVERZAL"/>
    <x v="63"/>
    <m/>
    <m/>
    <m/>
    <x v="18"/>
    <s v="UNIVERZAL"/>
    <x v="16"/>
    <s v="Fettspray"/>
    <n v="5"/>
    <x v="0"/>
    <n v="0.2"/>
  </r>
  <r>
    <s v="SAN KOS"/>
    <x v="63"/>
    <n v="46.2"/>
    <m/>
    <m/>
    <x v="101"/>
    <s v="SAN KOS"/>
    <x v="9"/>
    <s v="M-ONE Sanitar Silikon"/>
    <n v="12"/>
    <x v="0"/>
    <n v="0.17"/>
  </r>
  <r>
    <s v="EURO COM"/>
    <x v="63"/>
    <n v="63.7"/>
    <m/>
    <m/>
    <x v="19"/>
    <s v="EURO COM"/>
    <x v="16"/>
    <s v="Fettspray"/>
    <n v="5"/>
    <x v="0"/>
    <n v="0.2"/>
  </r>
  <r>
    <s v="EURO COM"/>
    <x v="63"/>
    <m/>
    <m/>
    <m/>
    <x v="19"/>
    <s v="EURO COM"/>
    <x v="9"/>
    <s v="M-ONE Sanitar Silikon"/>
    <n v="12"/>
    <x v="0"/>
    <n v="0.17"/>
  </r>
  <r>
    <s v="AGRONI"/>
    <x v="63"/>
    <n v="76.2"/>
    <m/>
    <m/>
    <x v="22"/>
    <s v="AGRONI"/>
    <x v="24"/>
    <s v="M ONE SILIKON SPRAY"/>
    <n v="4"/>
    <x v="0"/>
    <n v="0.2"/>
  </r>
  <r>
    <s v="AGRONI"/>
    <x v="63"/>
    <m/>
    <m/>
    <m/>
    <x v="22"/>
    <s v="AGRONI"/>
    <x v="44"/>
    <s v="M ONE FUERROT"/>
    <n v="4"/>
    <x v="0"/>
    <n v="0.15"/>
  </r>
  <r>
    <s v="AGRONI"/>
    <x v="63"/>
    <m/>
    <m/>
    <m/>
    <x v="22"/>
    <s v="AGRONI"/>
    <x v="42"/>
    <s v="M ONE SCHWARZ GLÄNZED"/>
    <n v="4"/>
    <x v="0"/>
    <n v="0.15"/>
  </r>
  <r>
    <s v="AGRONI"/>
    <x v="63"/>
    <m/>
    <m/>
    <m/>
    <x v="22"/>
    <s v="AGRONI"/>
    <x v="12"/>
    <s v="beMAKER Rostlöser"/>
    <n v="4"/>
    <x v="0"/>
    <n v="0.2"/>
  </r>
  <r>
    <s v="AGRONI"/>
    <x v="63"/>
    <m/>
    <m/>
    <m/>
    <x v="22"/>
    <s v="AGRONI"/>
    <x v="14"/>
    <s v="beMAKER Bremsen&amp;Teile Reininger"/>
    <n v="4"/>
    <x v="0"/>
    <n v="0.2"/>
  </r>
  <r>
    <s v="AGRONI"/>
    <x v="63"/>
    <m/>
    <m/>
    <m/>
    <x v="22"/>
    <s v="AGRONI"/>
    <x v="13"/>
    <s v="M ONE MOTORSTART"/>
    <n v="4"/>
    <x v="0"/>
    <n v="0.2"/>
  </r>
  <r>
    <s v="AGRONI"/>
    <x v="63"/>
    <m/>
    <m/>
    <m/>
    <x v="22"/>
    <s v="AGRONI"/>
    <x v="7"/>
    <s v="DICHTUNG"/>
    <n v="2"/>
    <x v="0"/>
    <n v="0.2"/>
  </r>
  <r>
    <s v="ENISI - H"/>
    <x v="63"/>
    <n v="46.2"/>
    <m/>
    <m/>
    <x v="20"/>
    <s v="ENISI - H"/>
    <x v="2"/>
    <s v="M-ONE Sanitar Silikon"/>
    <n v="12"/>
    <x v="0"/>
    <n v="0.17"/>
  </r>
  <r>
    <s v="M ONE"/>
    <x v="64"/>
    <n v="24"/>
    <m/>
    <m/>
    <x v="160"/>
    <s v="M ONE"/>
    <x v="6"/>
    <s v="M-ONE Sanitar Silikon"/>
    <n v="4"/>
    <x v="3"/>
    <n v="0.17"/>
  </r>
  <r>
    <s v="M ONE"/>
    <x v="64"/>
    <m/>
    <m/>
    <m/>
    <x v="160"/>
    <s v="M ONE"/>
    <x v="28"/>
    <s v="BioBlic Universalreiniger"/>
    <n v="1"/>
    <x v="3"/>
    <n v="0.30000000000000004"/>
  </r>
  <r>
    <s v="M ONE"/>
    <x v="64"/>
    <m/>
    <m/>
    <m/>
    <x v="160"/>
    <s v="M ONE"/>
    <x v="32"/>
    <s v="BioBlic AutoInnenreiniger"/>
    <n v="1"/>
    <x v="3"/>
    <n v="0.30000000000000004"/>
  </r>
  <r>
    <s v="ARBENI BIOBLIC"/>
    <x v="64"/>
    <n v="172"/>
    <m/>
    <m/>
    <x v="71"/>
    <s v="ARBENI BIOBLIC"/>
    <x v="28"/>
    <s v="BioBlic Universalreiniger"/>
    <n v="120"/>
    <x v="2"/>
    <n v="0.30000000000000004"/>
  </r>
  <r>
    <s v="ARBENI BIOBLIC"/>
    <x v="64"/>
    <m/>
    <m/>
    <m/>
    <x v="71"/>
    <s v="ARBENI BIOBLIC"/>
    <x v="29"/>
    <s v="Blic Blic Sanitärreiniger"/>
    <n v="10"/>
    <x v="2"/>
    <n v="0.30000000000000004"/>
  </r>
  <r>
    <s v="PROCOM"/>
    <x v="64"/>
    <n v="46.2"/>
    <m/>
    <m/>
    <x v="137"/>
    <s v="PROCOM"/>
    <x v="9"/>
    <s v="M-ONE Sanitar Silikon"/>
    <n v="12"/>
    <x v="0"/>
    <n v="0.17"/>
  </r>
  <r>
    <s v="REAL COLOR 2"/>
    <x v="64"/>
    <n v="184.8"/>
    <m/>
    <m/>
    <x v="26"/>
    <s v="REAL COLOR 2"/>
    <x v="5"/>
    <s v="M-ONE Sanitar Silikon"/>
    <n v="12"/>
    <x v="0"/>
    <n v="0.17"/>
  </r>
  <r>
    <s v="REAL COLOR 2"/>
    <x v="64"/>
    <m/>
    <m/>
    <m/>
    <x v="26"/>
    <s v="REAL COLOR 2"/>
    <x v="20"/>
    <s v="M-ONE Sanitar Silikon"/>
    <n v="12"/>
    <x v="0"/>
    <n v="0.17"/>
  </r>
  <r>
    <s v="REAL COLOR 2"/>
    <x v="64"/>
    <m/>
    <m/>
    <m/>
    <x v="26"/>
    <s v="REAL COLOR 2"/>
    <x v="1"/>
    <s v="M-ONE Sanitar Silikon"/>
    <n v="12"/>
    <x v="0"/>
    <n v="0.17"/>
  </r>
  <r>
    <s v="REAL COLOR 2"/>
    <x v="64"/>
    <m/>
    <m/>
    <m/>
    <x v="26"/>
    <s v="REAL COLOR 2"/>
    <x v="2"/>
    <s v="M-ONE Sanitar Silikon"/>
    <n v="12"/>
    <x v="0"/>
    <n v="0.17"/>
  </r>
  <r>
    <s v="MULI"/>
    <x v="64"/>
    <n v="62"/>
    <m/>
    <m/>
    <x v="158"/>
    <s v="MULI"/>
    <x v="34"/>
    <s v="M ONE FELGENSILBER"/>
    <n v="10"/>
    <x v="0"/>
    <n v="0.15"/>
  </r>
  <r>
    <s v="MULI"/>
    <x v="64"/>
    <m/>
    <m/>
    <m/>
    <x v="158"/>
    <s v="MULI"/>
    <x v="30"/>
    <s v="M ONE ANTHRAZIT"/>
    <n v="4"/>
    <x v="0"/>
    <n v="0.15"/>
  </r>
  <r>
    <s v="MULI"/>
    <x v="64"/>
    <m/>
    <m/>
    <m/>
    <x v="158"/>
    <s v="MULI"/>
    <x v="39"/>
    <s v="M ONE LACK GELB"/>
    <n v="10"/>
    <x v="0"/>
    <n v="0.15"/>
  </r>
  <r>
    <s v="MULI"/>
    <x v="64"/>
    <m/>
    <m/>
    <m/>
    <x v="158"/>
    <s v="MULI"/>
    <x v="35"/>
    <s v="M ONE LACK GRUN"/>
    <n v="7"/>
    <x v="0"/>
    <n v="0.15"/>
  </r>
  <r>
    <s v="ARBERI"/>
    <x v="64"/>
    <n v="46.2"/>
    <m/>
    <m/>
    <x v="102"/>
    <s v="ARBERI"/>
    <x v="2"/>
    <s v="M-ONE Sanitar Silikon"/>
    <n v="12"/>
    <x v="0"/>
    <n v="0.17"/>
  </r>
  <r>
    <s v="ARDI LIPJAN"/>
    <x v="64"/>
    <n v="37.5"/>
    <m/>
    <m/>
    <x v="27"/>
    <s v="ARDI LIPJAN"/>
    <x v="44"/>
    <s v="M ONE FUERROT"/>
    <n v="5"/>
    <x v="0"/>
    <n v="0.15"/>
  </r>
  <r>
    <s v="ARDI LIPJAN"/>
    <x v="64"/>
    <m/>
    <m/>
    <m/>
    <x v="27"/>
    <s v="ARDI LIPJAN"/>
    <x v="42"/>
    <s v="M ONE SCHWARZ GLÄNZED"/>
    <n v="5"/>
    <x v="0"/>
    <n v="0.15"/>
  </r>
  <r>
    <s v="ARDI LIPJAN"/>
    <x v="64"/>
    <m/>
    <m/>
    <m/>
    <x v="27"/>
    <s v="ARDI LIPJAN"/>
    <x v="45"/>
    <s v="M ONE WEISS GLÄNZEND"/>
    <n v="5"/>
    <x v="0"/>
    <n v="0.15"/>
  </r>
  <r>
    <s v="BEKA"/>
    <x v="64"/>
    <n v="46.2"/>
    <m/>
    <m/>
    <x v="81"/>
    <s v="BEKA"/>
    <x v="0"/>
    <s v="M-ONE Sanitar Silikon"/>
    <n v="12"/>
    <x v="0"/>
    <n v="0.17"/>
  </r>
  <r>
    <s v="PROCOM"/>
    <x v="64"/>
    <n v="92.4"/>
    <m/>
    <m/>
    <x v="137"/>
    <s v="PROCOM"/>
    <x v="5"/>
    <s v="M-ONE Sanitar Silikon"/>
    <n v="12"/>
    <x v="0"/>
    <n v="0.17"/>
  </r>
  <r>
    <s v="PROCOM"/>
    <x v="64"/>
    <m/>
    <m/>
    <m/>
    <x v="137"/>
    <s v="PROCOM"/>
    <x v="18"/>
    <s v="M-ONE Sanitar Silikon"/>
    <n v="12"/>
    <x v="0"/>
    <n v="0.17"/>
  </r>
  <r>
    <s v="LONI"/>
    <x v="64"/>
    <n v="86.4"/>
    <m/>
    <m/>
    <x v="24"/>
    <s v="LONI"/>
    <x v="7"/>
    <s v="DICHTUNG"/>
    <n v="12"/>
    <x v="0"/>
    <n v="0.2"/>
  </r>
  <r>
    <s v="RACI"/>
    <x v="64"/>
    <n v="138.6"/>
    <m/>
    <m/>
    <x v="28"/>
    <s v="RACI"/>
    <x v="3"/>
    <s v="M-ONE Sanitar Silikon"/>
    <n v="12"/>
    <x v="1"/>
    <n v="0.17"/>
  </r>
  <r>
    <s v="RACI"/>
    <x v="64"/>
    <m/>
    <m/>
    <m/>
    <x v="28"/>
    <s v="RACI"/>
    <x v="5"/>
    <s v="M-ONE Sanitar Silikon"/>
    <n v="12"/>
    <x v="1"/>
    <n v="0.17"/>
  </r>
  <r>
    <s v="RACI"/>
    <x v="64"/>
    <m/>
    <m/>
    <m/>
    <x v="28"/>
    <s v="RACI"/>
    <x v="6"/>
    <s v="M-ONE Sanitar Silikon"/>
    <n v="12"/>
    <x v="1"/>
    <n v="0.17"/>
  </r>
  <r>
    <s v="LIRIDONA KLINE"/>
    <x v="64"/>
    <n v="138.6"/>
    <m/>
    <m/>
    <x v="30"/>
    <s v="LIRIDONA KLINE"/>
    <x v="1"/>
    <s v="M-ONE Sanitar Silikon"/>
    <n v="24"/>
    <x v="1"/>
    <n v="0.17"/>
  </r>
  <r>
    <s v="LIRIDONA KLINE"/>
    <x v="64"/>
    <m/>
    <m/>
    <m/>
    <x v="30"/>
    <s v="LIRIDONA KLINE"/>
    <x v="5"/>
    <s v="M-ONE Sanitar Silikon"/>
    <n v="12"/>
    <x v="1"/>
    <n v="0.17"/>
  </r>
  <r>
    <s v="LIRIDONA HOME"/>
    <x v="64"/>
    <n v="277.2"/>
    <m/>
    <m/>
    <x v="106"/>
    <s v="LIRIDONA HOME"/>
    <x v="1"/>
    <s v="M-ONE Sanitar Silikon"/>
    <n v="60"/>
    <x v="1"/>
    <n v="0.17"/>
  </r>
  <r>
    <s v="LIRIDONA HOME"/>
    <x v="64"/>
    <m/>
    <m/>
    <m/>
    <x v="106"/>
    <s v="LIRIDONA HOME"/>
    <x v="0"/>
    <s v="M-ONE Sanitar Silikon"/>
    <n v="12"/>
    <x v="1"/>
    <n v="0.17"/>
  </r>
  <r>
    <s v="LIRIDONA-A"/>
    <x v="64"/>
    <n v="138.6"/>
    <m/>
    <m/>
    <x v="105"/>
    <s v="LIRIDONA-A"/>
    <x v="1"/>
    <s v="M-ONE Sanitar Silikon"/>
    <n v="36"/>
    <x v="1"/>
    <n v="0.17"/>
  </r>
  <r>
    <s v="BYTYQI-V"/>
    <x v="64"/>
    <n v="73.8"/>
    <m/>
    <m/>
    <x v="149"/>
    <s v="BYTYQI-V"/>
    <x v="0"/>
    <s v="M-ONE Sanitar Silikon"/>
    <n v="12"/>
    <x v="1"/>
    <n v="0.17"/>
  </r>
  <r>
    <s v="BYTYQI-V"/>
    <x v="64"/>
    <m/>
    <m/>
    <m/>
    <x v="149"/>
    <s v="BYTYQI-V"/>
    <x v="8"/>
    <s v="struktural akryl"/>
    <n v="12"/>
    <x v="1"/>
    <n v="0.06"/>
  </r>
  <r>
    <s v="TE BRAHA"/>
    <x v="64"/>
    <n v="46.2"/>
    <m/>
    <m/>
    <x v="172"/>
    <s v="TE BRAHA"/>
    <x v="1"/>
    <s v="M-ONE Sanitar Silikon"/>
    <n v="12"/>
    <x v="1"/>
    <n v="0.17"/>
  </r>
  <r>
    <s v="A.P. HOTI"/>
    <x v="64"/>
    <n v="47.5"/>
    <m/>
    <m/>
    <x v="138"/>
    <s v="A.P. HOTI"/>
    <x v="34"/>
    <s v="M ONE FELGENSILBER"/>
    <n v="5"/>
    <x v="1"/>
    <n v="0.15"/>
  </r>
  <r>
    <s v="A.P. HOTI"/>
    <x v="64"/>
    <m/>
    <m/>
    <m/>
    <x v="138"/>
    <s v="A.P. HOTI"/>
    <x v="39"/>
    <s v="M ONE LACK GELB"/>
    <n v="3"/>
    <x v="1"/>
    <n v="0.15"/>
  </r>
  <r>
    <s v="A.P. HOTI"/>
    <x v="64"/>
    <m/>
    <m/>
    <m/>
    <x v="138"/>
    <s v="A.P. HOTI"/>
    <x v="42"/>
    <s v="M ONE SCHWARZ GLÄNZED"/>
    <n v="3"/>
    <x v="1"/>
    <n v="0.15"/>
  </r>
  <r>
    <s v="A.P. HOTI"/>
    <x v="64"/>
    <m/>
    <m/>
    <m/>
    <x v="138"/>
    <s v="A.P. HOTI"/>
    <x v="44"/>
    <s v="M ONE FUERROT"/>
    <n v="2"/>
    <x v="1"/>
    <n v="0.15"/>
  </r>
  <r>
    <s v="A.P. HOTI"/>
    <x v="64"/>
    <m/>
    <m/>
    <m/>
    <x v="138"/>
    <s v="A.P. HOTI"/>
    <x v="45"/>
    <s v="M ONE WEISS GLÄNZEND"/>
    <n v="5"/>
    <x v="1"/>
    <n v="0.15"/>
  </r>
  <r>
    <s v="A.P. HOTI"/>
    <x v="64"/>
    <m/>
    <m/>
    <m/>
    <x v="138"/>
    <s v="A.P. HOTI"/>
    <x v="35"/>
    <s v="M ONE LACK GRUN"/>
    <n v="3"/>
    <x v="1"/>
    <n v="0.15"/>
  </r>
  <r>
    <s v="TE BENI"/>
    <x v="64"/>
    <n v="138.6"/>
    <m/>
    <m/>
    <x v="107"/>
    <s v="TE BENI"/>
    <x v="0"/>
    <s v="M-ONE Sanitar Silikon"/>
    <n v="12"/>
    <x v="1"/>
    <n v="0.17"/>
  </r>
  <r>
    <s v="TE BENI"/>
    <x v="64"/>
    <m/>
    <m/>
    <m/>
    <x v="107"/>
    <s v="TE BENI"/>
    <x v="20"/>
    <s v="M-ONE Sanitar Silikon"/>
    <n v="24"/>
    <x v="1"/>
    <n v="0.17"/>
  </r>
  <r>
    <s v="BENI"/>
    <x v="64"/>
    <n v="86"/>
    <m/>
    <m/>
    <x v="32"/>
    <s v="BENI"/>
    <x v="12"/>
    <s v="beMAKER Rostlöser"/>
    <n v="12"/>
    <x v="1"/>
    <n v="0.2"/>
  </r>
  <r>
    <s v="BENI"/>
    <x v="64"/>
    <m/>
    <m/>
    <m/>
    <x v="32"/>
    <s v="BENI"/>
    <x v="42"/>
    <s v="M ONE SCHWARZ GLÄNZED"/>
    <n v="5"/>
    <x v="1"/>
    <n v="0.15"/>
  </r>
  <r>
    <s v="BENI"/>
    <x v="64"/>
    <m/>
    <m/>
    <m/>
    <x v="32"/>
    <s v="BENI"/>
    <x v="45"/>
    <s v="M ONE WEISS GLÄNZEND"/>
    <n v="5"/>
    <x v="1"/>
    <n v="0.15"/>
  </r>
  <r>
    <s v="BENI"/>
    <x v="64"/>
    <m/>
    <m/>
    <m/>
    <x v="32"/>
    <s v="BENI"/>
    <x v="43"/>
    <s v="M ONE SCHWARZ MATT"/>
    <n v="5"/>
    <x v="1"/>
    <n v="0.15"/>
  </r>
  <r>
    <s v="BENI"/>
    <x v="64"/>
    <m/>
    <m/>
    <m/>
    <x v="32"/>
    <s v="BENI"/>
    <x v="44"/>
    <s v="M ONE FUERROT"/>
    <n v="5"/>
    <x v="1"/>
    <n v="0.15"/>
  </r>
  <r>
    <s v="BENI"/>
    <x v="64"/>
    <m/>
    <m/>
    <m/>
    <x v="32"/>
    <s v="BENI"/>
    <x v="17"/>
    <s v="M ONE UBS"/>
    <n v="3"/>
    <x v="1"/>
    <n v="0.2"/>
  </r>
  <r>
    <s v="MEGI"/>
    <x v="64"/>
    <n v="159.5"/>
    <m/>
    <m/>
    <x v="33"/>
    <s v="MEGI"/>
    <x v="7"/>
    <s v="DICHTUNG"/>
    <n v="20"/>
    <x v="1"/>
    <n v="0.2"/>
  </r>
  <r>
    <s v="MEGI"/>
    <x v="64"/>
    <m/>
    <m/>
    <m/>
    <x v="33"/>
    <s v="MEGI"/>
    <x v="12"/>
    <s v="beMAKER Rostlöser"/>
    <n v="6"/>
    <x v="1"/>
    <n v="0.2"/>
  </r>
  <r>
    <s v="MEGI"/>
    <x v="64"/>
    <m/>
    <m/>
    <m/>
    <x v="33"/>
    <s v="MEGI"/>
    <x v="16"/>
    <s v="Fettspray"/>
    <n v="1"/>
    <x v="1"/>
    <n v="0.2"/>
  </r>
  <r>
    <s v="TE MENTORI"/>
    <x v="64"/>
    <n v="92.4"/>
    <m/>
    <m/>
    <x v="109"/>
    <s v="TE MENTORI"/>
    <x v="2"/>
    <s v="M-ONE Sanitar Silikon"/>
    <n v="12"/>
    <x v="1"/>
    <n v="0.17"/>
  </r>
  <r>
    <s v="TE MENTORI"/>
    <x v="64"/>
    <m/>
    <m/>
    <m/>
    <x v="109"/>
    <s v="TE MENTORI"/>
    <x v="9"/>
    <s v="M-ONE Sanitar Silikon"/>
    <n v="12"/>
    <x v="1"/>
    <n v="0.17"/>
  </r>
  <r>
    <s v="TE ZENA"/>
    <x v="65"/>
    <n v="92.4"/>
    <m/>
    <m/>
    <x v="84"/>
    <s v="TE ZENA"/>
    <x v="1"/>
    <s v="M-ONE Sanitar Silikon"/>
    <n v="24"/>
    <x v="0"/>
    <n v="0.17"/>
  </r>
  <r>
    <s v="BECOLOR"/>
    <x v="65"/>
    <n v="25"/>
    <m/>
    <m/>
    <x v="37"/>
    <s v="BECOLOR"/>
    <x v="30"/>
    <s v="M ONE ANTHRAZIT"/>
    <n v="5"/>
    <x v="0"/>
    <n v="0.15"/>
  </r>
  <r>
    <s v="BECOLOR"/>
    <x v="65"/>
    <m/>
    <m/>
    <m/>
    <x v="37"/>
    <s v="BECOLOR"/>
    <x v="44"/>
    <s v="M ONE FUERROT"/>
    <n v="5"/>
    <x v="0"/>
    <n v="0.15"/>
  </r>
  <r>
    <s v="TE KELA"/>
    <x v="65"/>
    <n v="20"/>
    <m/>
    <m/>
    <x v="151"/>
    <s v="TE KELA"/>
    <x v="12"/>
    <s v="beMAKER Rostlöser"/>
    <n v="5"/>
    <x v="0"/>
    <n v="0.2"/>
  </r>
  <r>
    <s v="TE KELA"/>
    <x v="65"/>
    <m/>
    <m/>
    <m/>
    <x v="151"/>
    <s v="TE KELA"/>
    <x v="14"/>
    <s v="beMAKER Bremsen&amp;Teile Reininger"/>
    <n v="5"/>
    <x v="0"/>
    <n v="0.2"/>
  </r>
  <r>
    <s v="KUJTA"/>
    <x v="65"/>
    <n v="36"/>
    <m/>
    <m/>
    <x v="36"/>
    <s v="KUJTA"/>
    <x v="7"/>
    <s v="DICHTUNG"/>
    <n v="5"/>
    <x v="0"/>
    <n v="0.2"/>
  </r>
  <r>
    <s v="KUJTA"/>
    <x v="65"/>
    <m/>
    <m/>
    <m/>
    <x v="36"/>
    <s v="KUJTA"/>
    <x v="1"/>
    <s v="M-ONE Sanitar Silikon"/>
    <n v="60"/>
    <x v="0"/>
    <n v="0.17"/>
  </r>
  <r>
    <s v="AGROLONDI"/>
    <x v="65"/>
    <n v="231"/>
    <m/>
    <m/>
    <x v="39"/>
    <s v="AGROLONDI"/>
    <x v="2"/>
    <s v="M-ONE Sanitar Silikon"/>
    <n v="24"/>
    <x v="1"/>
    <n v="0.17"/>
  </r>
  <r>
    <s v="AGROLONDI"/>
    <x v="65"/>
    <m/>
    <m/>
    <m/>
    <x v="39"/>
    <s v="AGROLONDI"/>
    <x v="20"/>
    <s v="M-ONE Sanitar Silikon"/>
    <n v="24"/>
    <x v="1"/>
    <n v="0.17"/>
  </r>
  <r>
    <s v="AGROLONDI"/>
    <x v="65"/>
    <m/>
    <m/>
    <m/>
    <x v="39"/>
    <s v="AGROLONDI"/>
    <x v="0"/>
    <s v="M-ONE Sanitar Silikon"/>
    <n v="12"/>
    <x v="1"/>
    <n v="0.17"/>
  </r>
  <r>
    <s v="ILIRI QERAMIKA"/>
    <x v="65"/>
    <n v="92.4"/>
    <m/>
    <m/>
    <x v="41"/>
    <s v="ILIRI QERAMIKA"/>
    <x v="5"/>
    <s v="M-ONE Sanitar Silikon"/>
    <n v="12"/>
    <x v="1"/>
    <n v="0.17"/>
  </r>
  <r>
    <s v="ILIRI QERAMIKA"/>
    <x v="65"/>
    <m/>
    <m/>
    <m/>
    <x v="41"/>
    <s v="ILIRI QERAMIKA"/>
    <x v="1"/>
    <s v="M-ONE Sanitar Silikon"/>
    <n v="12"/>
    <x v="1"/>
    <n v="0.17"/>
  </r>
  <r>
    <s v="TE-SYLA"/>
    <x v="65"/>
    <n v="135.4"/>
    <m/>
    <m/>
    <x v="44"/>
    <s v="TE-SYLA"/>
    <x v="20"/>
    <s v="M-ONE Sanitar Silikon"/>
    <n v="12"/>
    <x v="1"/>
    <n v="0.17"/>
  </r>
  <r>
    <s v="TE-SYLA"/>
    <x v="65"/>
    <m/>
    <m/>
    <m/>
    <x v="44"/>
    <s v="TE-SYLA"/>
    <x v="1"/>
    <s v="M-ONE Sanitar Silikon"/>
    <n v="12"/>
    <x v="1"/>
    <n v="0.17"/>
  </r>
  <r>
    <s v="TE-SYLA"/>
    <x v="65"/>
    <m/>
    <m/>
    <m/>
    <x v="44"/>
    <s v="TE-SYLA"/>
    <x v="16"/>
    <s v="Fettspray"/>
    <n v="3"/>
    <x v="1"/>
    <n v="0.2"/>
  </r>
  <r>
    <s v="TE-SYLA"/>
    <x v="65"/>
    <m/>
    <m/>
    <m/>
    <x v="44"/>
    <s v="TE-SYLA"/>
    <x v="24"/>
    <s v="M ONE SILIKON SPRAY"/>
    <n v="3"/>
    <x v="1"/>
    <n v="0.2"/>
  </r>
  <r>
    <s v="TE-SYLA"/>
    <x v="65"/>
    <m/>
    <m/>
    <m/>
    <x v="44"/>
    <s v="TE-SYLA"/>
    <x v="13"/>
    <s v="M ONE MOTORSTART"/>
    <n v="3"/>
    <x v="1"/>
    <n v="0.2"/>
  </r>
  <r>
    <s v="TE-SYLA"/>
    <x v="65"/>
    <m/>
    <m/>
    <m/>
    <x v="44"/>
    <s v="TE-SYLA"/>
    <x v="7"/>
    <s v="DICHTUNG"/>
    <n v="2"/>
    <x v="1"/>
    <n v="0.2"/>
  </r>
  <r>
    <s v="TE-LUTA"/>
    <x v="65"/>
    <n v="323.39999999999998"/>
    <m/>
    <m/>
    <x v="131"/>
    <s v="TE-LUTA"/>
    <x v="1"/>
    <s v="M-ONE Sanitar Silikon"/>
    <n v="24"/>
    <x v="1"/>
    <n v="0.17"/>
  </r>
  <r>
    <s v="TE-LUTA"/>
    <x v="65"/>
    <m/>
    <m/>
    <m/>
    <x v="131"/>
    <s v="TE-LUTA"/>
    <x v="25"/>
    <s v="M-ONE Sanitar Silikon"/>
    <n v="12"/>
    <x v="1"/>
    <n v="0.17"/>
  </r>
  <r>
    <s v="TE-LUTA"/>
    <x v="65"/>
    <m/>
    <m/>
    <m/>
    <x v="131"/>
    <s v="TE-LUTA"/>
    <x v="18"/>
    <s v="M-ONE Sanitar Silikon"/>
    <n v="24"/>
    <x v="1"/>
    <n v="0.17"/>
  </r>
  <r>
    <s v="TE-LUTA"/>
    <x v="65"/>
    <m/>
    <m/>
    <m/>
    <x v="131"/>
    <s v="TE-LUTA"/>
    <x v="2"/>
    <s v="M-ONE Sanitar Silikon"/>
    <n v="12"/>
    <x v="1"/>
    <n v="0.17"/>
  </r>
  <r>
    <s v="TE-LUTA"/>
    <x v="65"/>
    <m/>
    <m/>
    <m/>
    <x v="131"/>
    <s v="TE-LUTA"/>
    <x v="9"/>
    <s v="M-ONE Sanitar Silikon"/>
    <n v="12"/>
    <x v="1"/>
    <n v="0.17"/>
  </r>
  <r>
    <s v="MIX-B"/>
    <x v="65"/>
    <n v="166.2"/>
    <m/>
    <m/>
    <x v="132"/>
    <s v="MIX-B"/>
    <x v="0"/>
    <s v="M-ONE Sanitar Silikon"/>
    <n v="12"/>
    <x v="1"/>
    <n v="0.17"/>
  </r>
  <r>
    <s v="MIX-B"/>
    <x v="65"/>
    <m/>
    <m/>
    <m/>
    <x v="132"/>
    <s v="MIX-B"/>
    <x v="5"/>
    <s v="M-ONE Sanitar Silikon"/>
    <n v="12"/>
    <x v="1"/>
    <n v="0.17"/>
  </r>
  <r>
    <s v="MIX-B"/>
    <x v="65"/>
    <m/>
    <m/>
    <m/>
    <x v="132"/>
    <s v="MIX-B"/>
    <x v="1"/>
    <s v="M-ONE Sanitar Silikon"/>
    <n v="12"/>
    <x v="1"/>
    <n v="0.17"/>
  </r>
  <r>
    <s v="MIX-B"/>
    <x v="65"/>
    <m/>
    <m/>
    <m/>
    <x v="132"/>
    <s v="MIX-B"/>
    <x v="8"/>
    <s v="struktural akryl"/>
    <n v="12"/>
    <x v="1"/>
    <n v="0.06"/>
  </r>
  <r>
    <s v="PROMOIN"/>
    <x v="65"/>
    <n v="92.4"/>
    <m/>
    <m/>
    <x v="117"/>
    <s v="PROMOIN"/>
    <x v="0"/>
    <s v="M-ONE Sanitar Silikon"/>
    <n v="24"/>
    <x v="1"/>
    <n v="0.17"/>
  </r>
  <r>
    <s v="BUJARI Q - BESII"/>
    <x v="65"/>
    <n v="231"/>
    <m/>
    <m/>
    <x v="116"/>
    <s v="BUJARI Q - BESII"/>
    <x v="1"/>
    <s v="M-ONE Sanitar Silikon"/>
    <n v="48"/>
    <x v="1"/>
    <n v="0.17"/>
  </r>
  <r>
    <s v="BUJARI Q - BESII"/>
    <x v="65"/>
    <m/>
    <m/>
    <m/>
    <x v="116"/>
    <s v="BUJARI Q - BESII"/>
    <x v="18"/>
    <s v="M-ONE Sanitar Silikon"/>
    <n v="12"/>
    <x v="1"/>
    <n v="0.17"/>
  </r>
  <r>
    <s v="F.V. SH.P.K. "/>
    <x v="65"/>
    <n v="66.599999999999994"/>
    <m/>
    <m/>
    <x v="45"/>
    <s v="F.V. SH.P.K. "/>
    <x v="8"/>
    <s v="struktural akryl"/>
    <n v="12"/>
    <x v="1"/>
    <n v="0.06"/>
  </r>
  <r>
    <s v="F.V. SH.P.K. "/>
    <x v="65"/>
    <m/>
    <m/>
    <m/>
    <x v="45"/>
    <s v="F.V. SH.P.K. "/>
    <x v="23"/>
    <s v="M ONE HAFTGRUND"/>
    <n v="7"/>
    <x v="1"/>
    <n v="0.15"/>
  </r>
  <r>
    <s v="F.V. SH.P.K. "/>
    <x v="65"/>
    <m/>
    <m/>
    <m/>
    <x v="45"/>
    <s v="F.V. SH.P.K. "/>
    <x v="43"/>
    <s v="M ONE SCHWARZ MATT"/>
    <n v="5"/>
    <x v="1"/>
    <n v="0.15"/>
  </r>
  <r>
    <s v="F.V. SH.P.K. "/>
    <x v="65"/>
    <m/>
    <m/>
    <m/>
    <x v="45"/>
    <s v="F.V. SH.P.K. "/>
    <x v="24"/>
    <s v="M ONE SILIKON SPRAY"/>
    <n v="3"/>
    <x v="1"/>
    <n v="0.2"/>
  </r>
  <r>
    <s v="F.V. SH.P.K. "/>
    <x v="65"/>
    <m/>
    <m/>
    <m/>
    <x v="45"/>
    <s v="F.V. SH.P.K. "/>
    <x v="34"/>
    <s v="M ONE FELGENSILBER"/>
    <n v="4"/>
    <x v="1"/>
    <n v="0.15"/>
  </r>
  <r>
    <s v="UNIKA"/>
    <x v="65"/>
    <n v="184.8"/>
    <m/>
    <m/>
    <x v="43"/>
    <s v="UNIKA"/>
    <x v="3"/>
    <s v="M-ONE Sanitar Silikon"/>
    <n v="12"/>
    <x v="1"/>
    <n v="0.17"/>
  </r>
  <r>
    <s v="UNIKA"/>
    <x v="65"/>
    <m/>
    <m/>
    <m/>
    <x v="43"/>
    <s v="UNIKA"/>
    <x v="9"/>
    <s v="M-ONE Sanitar Silikon"/>
    <n v="12"/>
    <x v="1"/>
    <n v="0.17"/>
  </r>
  <r>
    <s v="UNIKA"/>
    <x v="65"/>
    <m/>
    <m/>
    <m/>
    <x v="43"/>
    <s v="UNIKA"/>
    <x v="2"/>
    <s v="M-ONE Sanitar Silikon"/>
    <n v="12"/>
    <x v="1"/>
    <n v="0.17"/>
  </r>
  <r>
    <s v="UNIKA"/>
    <x v="65"/>
    <m/>
    <m/>
    <m/>
    <x v="43"/>
    <s v="UNIKA"/>
    <x v="0"/>
    <s v="M-ONE Sanitar Silikon"/>
    <n v="12"/>
    <x v="1"/>
    <n v="0.17"/>
  </r>
  <r>
    <s v="CHE BAR LOUNGE BAR"/>
    <x v="66"/>
    <n v="40"/>
    <m/>
    <m/>
    <x v="148"/>
    <s v="CHE BAR LOUNGE BAR"/>
    <x v="28"/>
    <s v="BioBlic Universalreiniger"/>
    <n v="20"/>
    <x v="0"/>
    <n v="0.30000000000000004"/>
  </r>
  <r>
    <s v="JETARI"/>
    <x v="66"/>
    <n v="46.2"/>
    <m/>
    <m/>
    <x v="87"/>
    <s v="JETARI"/>
    <x v="0"/>
    <s v="M-ONE Sanitar Silikon"/>
    <n v="12"/>
    <x v="0"/>
    <n v="0.17"/>
  </r>
  <r>
    <s v="KADIJOLLET"/>
    <x v="66"/>
    <n v="108.7"/>
    <m/>
    <m/>
    <x v="49"/>
    <s v="KADIJOLLET"/>
    <x v="47"/>
    <s v="beMaker Handwaschpaste"/>
    <n v="1"/>
    <x v="0"/>
    <n v="0.5"/>
  </r>
  <r>
    <s v="KADIJOLLET"/>
    <x v="66"/>
    <m/>
    <m/>
    <m/>
    <x v="49"/>
    <s v="KADIJOLLET"/>
    <x v="14"/>
    <s v="beMAKER Bremsen&amp;Teile Reininger"/>
    <n v="5"/>
    <x v="0"/>
    <n v="0.2"/>
  </r>
  <r>
    <s v="KADIJOLLET"/>
    <x v="66"/>
    <m/>
    <m/>
    <m/>
    <x v="49"/>
    <s v="KADIJOLLET"/>
    <x v="12"/>
    <s v="beMAKER Rostlöser"/>
    <n v="5"/>
    <x v="0"/>
    <n v="0.2"/>
  </r>
  <r>
    <s v="KADIJOLLET"/>
    <x v="66"/>
    <m/>
    <m/>
    <m/>
    <x v="49"/>
    <s v="KADIJOLLET"/>
    <x v="13"/>
    <s v="M ONE MOTORSTART"/>
    <n v="5"/>
    <x v="0"/>
    <n v="0.2"/>
  </r>
  <r>
    <s v="KADIJOLLET"/>
    <x v="66"/>
    <m/>
    <m/>
    <m/>
    <x v="49"/>
    <s v="KADIJOLLET"/>
    <x v="20"/>
    <s v="M-ONE Sanitar Silikon"/>
    <n v="12"/>
    <x v="0"/>
    <n v="0.17"/>
  </r>
  <r>
    <s v="BESI COM"/>
    <x v="66"/>
    <n v="46.2"/>
    <m/>
    <m/>
    <x v="51"/>
    <s v="BESI COM"/>
    <x v="1"/>
    <s v="M-ONE Sanitar Silikon"/>
    <n v="12"/>
    <x v="0"/>
    <n v="0.17"/>
  </r>
  <r>
    <s v="QELA"/>
    <x v="66"/>
    <n v="119.9"/>
    <m/>
    <m/>
    <x v="50"/>
    <s v="QELA"/>
    <x v="0"/>
    <s v="M-ONE Sanitar Silikon"/>
    <n v="12"/>
    <x v="0"/>
    <n v="0.17"/>
  </r>
  <r>
    <s v="QELA"/>
    <x v="66"/>
    <m/>
    <m/>
    <m/>
    <x v="50"/>
    <s v="QELA"/>
    <x v="5"/>
    <s v="M-ONE Sanitar Silikon"/>
    <n v="12"/>
    <x v="0"/>
    <n v="0.17"/>
  </r>
  <r>
    <s v="QELA"/>
    <x v="66"/>
    <m/>
    <m/>
    <m/>
    <x v="50"/>
    <s v="QELA"/>
    <x v="12"/>
    <s v="beMAKER Rostlöser"/>
    <n v="5"/>
    <x v="0"/>
    <n v="0.2"/>
  </r>
  <r>
    <s v="QELA"/>
    <x v="66"/>
    <m/>
    <m/>
    <m/>
    <x v="50"/>
    <s v="QELA"/>
    <x v="16"/>
    <s v="Fettspray"/>
    <n v="5"/>
    <x v="0"/>
    <n v="0.2"/>
  </r>
  <r>
    <s v="HIDROELDI"/>
    <x v="66"/>
    <n v="46.2"/>
    <m/>
    <m/>
    <x v="85"/>
    <s v="HIDROELDI"/>
    <x v="9"/>
    <s v="M-ONE Sanitar Silikon"/>
    <n v="12"/>
    <x v="0"/>
    <n v="0.17"/>
  </r>
  <r>
    <s v="ARSIM"/>
    <x v="66"/>
    <n v="46.2"/>
    <m/>
    <m/>
    <x v="48"/>
    <s v="ARSIM"/>
    <x v="20"/>
    <s v="M-ONE Sanitar Silikon"/>
    <n v="12"/>
    <x v="0"/>
    <n v="0.17"/>
  </r>
  <r>
    <s v="TECOL 2"/>
    <x v="66"/>
    <n v="70.2"/>
    <m/>
    <m/>
    <x v="53"/>
    <s v="TECOL 2"/>
    <x v="3"/>
    <s v="M-ONE Sanitar Silikon"/>
    <n v="12"/>
    <x v="1"/>
    <n v="0.17"/>
  </r>
  <r>
    <s v="TECOL 2"/>
    <x v="66"/>
    <m/>
    <m/>
    <m/>
    <x v="53"/>
    <s v="TECOL 2"/>
    <x v="46"/>
    <s v="HAT LACK 800"/>
    <n v="6"/>
    <x v="1"/>
    <n v="0.35"/>
  </r>
  <r>
    <s v="LNI SHPK"/>
    <x v="66"/>
    <n v="92.4"/>
    <m/>
    <m/>
    <x v="141"/>
    <s v="LNI SHPK"/>
    <x v="0"/>
    <s v="M-ONE Sanitar Silikon"/>
    <n v="12"/>
    <x v="1"/>
    <n v="0.17"/>
  </r>
  <r>
    <s v="LNI SHPK"/>
    <x v="66"/>
    <m/>
    <m/>
    <m/>
    <x v="141"/>
    <s v="LNI SHPK"/>
    <x v="18"/>
    <s v="M-ONE Sanitar Silikon"/>
    <n v="12"/>
    <x v="1"/>
    <n v="0.17"/>
  </r>
  <r>
    <s v="TERMO PROJEKT"/>
    <x v="66"/>
    <n v="138.6"/>
    <m/>
    <m/>
    <x v="56"/>
    <s v="TERMO PROJEKT"/>
    <x v="25"/>
    <s v="M-ONE Sanitar Silikon"/>
    <n v="12"/>
    <x v="1"/>
    <n v="0.17"/>
  </r>
  <r>
    <s v="TERMO PROJEKT"/>
    <x v="66"/>
    <m/>
    <m/>
    <m/>
    <x v="56"/>
    <s v="TERMO PROJEKT"/>
    <x v="20"/>
    <s v="M-ONE Sanitar Silikon"/>
    <n v="12"/>
    <x v="1"/>
    <n v="0.17"/>
  </r>
  <r>
    <s v="TERMO PROJEKT"/>
    <x v="66"/>
    <m/>
    <m/>
    <m/>
    <x v="56"/>
    <s v="TERMO PROJEKT"/>
    <x v="9"/>
    <s v="M-ONE Sanitar Silikon"/>
    <n v="12"/>
    <x v="1"/>
    <n v="0.17"/>
  </r>
  <r>
    <s v="ENESI"/>
    <x v="66"/>
    <n v="25"/>
    <m/>
    <m/>
    <x v="88"/>
    <s v="ENESI"/>
    <x v="42"/>
    <s v="M ONE SCHWARZ GLÄNZED"/>
    <n v="6"/>
    <x v="1"/>
    <n v="0.15"/>
  </r>
  <r>
    <s v="ENESI"/>
    <x v="66"/>
    <m/>
    <m/>
    <m/>
    <x v="88"/>
    <s v="ENESI"/>
    <x v="34"/>
    <s v="M ONE FELGENSILBER"/>
    <n v="2"/>
    <x v="1"/>
    <n v="0.15"/>
  </r>
  <r>
    <s v="ENESI"/>
    <x v="66"/>
    <m/>
    <m/>
    <m/>
    <x v="88"/>
    <s v="ENESI"/>
    <x v="45"/>
    <s v="M ONE WEISS GLÄNZEND"/>
    <n v="2"/>
    <x v="1"/>
    <n v="0.15"/>
  </r>
  <r>
    <s v="KUQI-LKW"/>
    <x v="66"/>
    <n v="101.4"/>
    <m/>
    <m/>
    <x v="120"/>
    <s v="KUQI-LKW"/>
    <x v="7"/>
    <s v="DICHTUNG"/>
    <n v="12"/>
    <x v="1"/>
    <n v="0.2"/>
  </r>
  <r>
    <s v="KUQI-LKW"/>
    <x v="66"/>
    <m/>
    <m/>
    <m/>
    <x v="120"/>
    <s v="KUQI-LKW"/>
    <x v="42"/>
    <s v="M ONE SCHWARZ GLÄNZED"/>
    <n v="2"/>
    <x v="1"/>
    <n v="0.15"/>
  </r>
  <r>
    <s v="KUQI-LKW"/>
    <x v="66"/>
    <m/>
    <m/>
    <m/>
    <x v="120"/>
    <s v="KUQI-LKW"/>
    <x v="12"/>
    <s v="beMAKER Rostlöser"/>
    <n v="5"/>
    <x v="1"/>
    <n v="0.2"/>
  </r>
  <r>
    <s v="TE GZIMI"/>
    <x v="66"/>
    <n v="37.5"/>
    <m/>
    <m/>
    <x v="119"/>
    <s v="TE GZIMI"/>
    <x v="12"/>
    <s v="beMAKER Rostlöser"/>
    <n v="6"/>
    <x v="1"/>
    <n v="0.2"/>
  </r>
  <r>
    <s v="TE GZIMI"/>
    <x v="66"/>
    <m/>
    <m/>
    <m/>
    <x v="119"/>
    <s v="TE GZIMI"/>
    <x v="13"/>
    <s v="M ONE MOTORSTART"/>
    <n v="5"/>
    <x v="1"/>
    <n v="0.2"/>
  </r>
  <r>
    <s v="TE GZIMI"/>
    <x v="66"/>
    <m/>
    <m/>
    <m/>
    <x v="119"/>
    <s v="TE GZIMI"/>
    <x v="14"/>
    <s v="beMAKER Bremsen&amp;Teile Reininger"/>
    <n v="4"/>
    <x v="1"/>
    <n v="0.2"/>
  </r>
  <r>
    <s v="CAMA BAU"/>
    <x v="66"/>
    <n v="231"/>
    <m/>
    <m/>
    <x v="55"/>
    <s v="CAMA BAU"/>
    <x v="3"/>
    <s v="M-ONE Sanitar Silikon"/>
    <n v="24"/>
    <x v="1"/>
    <n v="0.17"/>
  </r>
  <r>
    <s v="CAMA BAU"/>
    <x v="66"/>
    <m/>
    <m/>
    <m/>
    <x v="55"/>
    <s v="CAMA BAU"/>
    <x v="25"/>
    <s v="M-ONE Sanitar Silikon"/>
    <n v="12"/>
    <x v="1"/>
    <n v="0.17"/>
  </r>
  <r>
    <s v="CAMA BAU"/>
    <x v="66"/>
    <m/>
    <m/>
    <m/>
    <x v="55"/>
    <s v="CAMA BAU"/>
    <x v="18"/>
    <s v="M-ONE Sanitar Silikon"/>
    <n v="12"/>
    <x v="1"/>
    <n v="0.17"/>
  </r>
  <r>
    <s v="CAMA BAU"/>
    <x v="66"/>
    <m/>
    <m/>
    <m/>
    <x v="55"/>
    <s v="CAMA BAU"/>
    <x v="1"/>
    <s v="M-ONE Sanitar Silikon"/>
    <n v="12"/>
    <x v="1"/>
    <n v="0.17"/>
  </r>
  <r>
    <s v="YLLI CONSTRUCION"/>
    <x v="66"/>
    <n v="48"/>
    <m/>
    <m/>
    <x v="128"/>
    <s v="YLLI CONSTRUCION"/>
    <x v="9"/>
    <s v="M-ONE Sanitar Silikon"/>
    <n v="12"/>
    <x v="2"/>
    <n v="0.17"/>
  </r>
  <r>
    <s v="XHAFA"/>
    <x v="67"/>
    <n v="50.4"/>
    <m/>
    <m/>
    <x v="61"/>
    <s v="XHAFA"/>
    <x v="48"/>
    <s v="Zink Spray Hell"/>
    <n v="12"/>
    <x v="0"/>
    <n v="0.2"/>
  </r>
  <r>
    <s v="MONI 2"/>
    <x v="67"/>
    <n v="92.4"/>
    <m/>
    <m/>
    <x v="60"/>
    <s v="MONI 2"/>
    <x v="1"/>
    <s v="M-ONE Sanitar Silikon"/>
    <n v="24"/>
    <x v="0"/>
    <n v="0.17"/>
  </r>
  <r>
    <s v="XHAFA"/>
    <x v="67"/>
    <n v="67.8"/>
    <m/>
    <m/>
    <x v="61"/>
    <s v="XHAFA"/>
    <x v="7"/>
    <s v="DICHTUNG"/>
    <n v="3"/>
    <x v="0"/>
    <n v="0.2"/>
  </r>
  <r>
    <s v="XHAFA"/>
    <x v="67"/>
    <m/>
    <m/>
    <m/>
    <x v="61"/>
    <s v="XHAFA"/>
    <x v="9"/>
    <s v="M-ONE Sanitar Silikon"/>
    <n v="12"/>
    <x v="0"/>
    <n v="0.17"/>
  </r>
  <r>
    <s v="KRRABAJ"/>
    <x v="67"/>
    <n v="86.4"/>
    <m/>
    <m/>
    <x v="180"/>
    <e v="#N/A"/>
    <x v="7"/>
    <s v="DICHTUNG"/>
    <n v="12"/>
    <x v="0"/>
    <n v="0.2"/>
  </r>
  <r>
    <s v="TE BESNIKU"/>
    <x v="67"/>
    <n v="92.4"/>
    <m/>
    <m/>
    <x v="65"/>
    <s v="TE BESNIKU"/>
    <x v="3"/>
    <s v="M-ONE Sanitar Silikon"/>
    <n v="12"/>
    <x v="0"/>
    <n v="0.17"/>
  </r>
  <r>
    <s v="TE BESNIKU"/>
    <x v="67"/>
    <m/>
    <m/>
    <m/>
    <x v="65"/>
    <s v="TE BESNIKU"/>
    <x v="2"/>
    <s v="M-ONE Sanitar Silikon"/>
    <n v="12"/>
    <x v="0"/>
    <n v="0.17"/>
  </r>
  <r>
    <s v="ARPO"/>
    <x v="67"/>
    <n v="138.6"/>
    <m/>
    <m/>
    <x v="64"/>
    <s v="ARPO"/>
    <x v="5"/>
    <s v="M-ONE Sanitar Silikon"/>
    <n v="12"/>
    <x v="0"/>
    <n v="0.17"/>
  </r>
  <r>
    <s v="ARPO"/>
    <x v="67"/>
    <m/>
    <m/>
    <m/>
    <x v="64"/>
    <s v="ARPO"/>
    <x v="18"/>
    <s v="M-ONE Sanitar Silikon"/>
    <n v="12"/>
    <x v="0"/>
    <n v="0.17"/>
  </r>
  <r>
    <s v="ARPO"/>
    <x v="67"/>
    <m/>
    <m/>
    <m/>
    <x v="64"/>
    <s v="ARPO"/>
    <x v="6"/>
    <s v="M-ONE Sanitar Silikon"/>
    <n v="12"/>
    <x v="0"/>
    <n v="0.17"/>
  </r>
  <r>
    <s v="AB SHPK"/>
    <x v="67"/>
    <n v="46.2"/>
    <m/>
    <m/>
    <x v="63"/>
    <s v="AB SHPK"/>
    <x v="9"/>
    <s v="M-ONE Sanitar Silikon"/>
    <n v="12"/>
    <x v="0"/>
    <n v="0.17"/>
  </r>
  <r>
    <s v="JETA DUHEL"/>
    <x v="67"/>
    <n v="92.4"/>
    <m/>
    <m/>
    <x v="152"/>
    <s v="JETA DUHEL"/>
    <x v="0"/>
    <s v="M-ONE Sanitar Silikon"/>
    <n v="12"/>
    <x v="0"/>
    <n v="0.17"/>
  </r>
  <r>
    <s v="JETA DUHEL"/>
    <x v="67"/>
    <m/>
    <m/>
    <m/>
    <x v="152"/>
    <s v="JETA DUHEL"/>
    <x v="1"/>
    <s v="M-ONE Sanitar Silikon"/>
    <n v="12"/>
    <x v="0"/>
    <n v="0.17"/>
  </r>
  <r>
    <s v="BEK TRADE"/>
    <x v="67"/>
    <n v="46.2"/>
    <m/>
    <m/>
    <x v="62"/>
    <s v="BEK TRADE"/>
    <x v="3"/>
    <s v="M-ONE Sanitar Silikon"/>
    <n v="12"/>
    <x v="0"/>
    <n v="0.17"/>
  </r>
  <r>
    <s v="MURIQI 1"/>
    <x v="67"/>
    <n v="43.5"/>
    <m/>
    <m/>
    <x v="181"/>
    <s v="MURIQI 1"/>
    <x v="46"/>
    <s v="HAT LACK 800"/>
    <n v="6"/>
    <x v="0"/>
    <n v="0.35"/>
  </r>
  <r>
    <s v="MURIQI 1"/>
    <x v="67"/>
    <m/>
    <m/>
    <m/>
    <x v="181"/>
    <s v="MURIQI 1"/>
    <x v="24"/>
    <s v="M ONE SILIKON SPRAY"/>
    <n v="4"/>
    <x v="0"/>
    <n v="0.2"/>
  </r>
  <r>
    <s v="MURIQI 1"/>
    <x v="67"/>
    <m/>
    <m/>
    <m/>
    <x v="181"/>
    <s v="MURIQI 1"/>
    <x v="42"/>
    <s v="M ONE SCHWARZ GLÄNZED"/>
    <n v="3"/>
    <x v="0"/>
    <n v="0.15"/>
  </r>
  <r>
    <s v="TEMAJ"/>
    <x v="67"/>
    <n v="138.6"/>
    <m/>
    <m/>
    <x v="91"/>
    <s v="TEMAJ"/>
    <x v="3"/>
    <s v="M-ONE Sanitar Silikon"/>
    <n v="12"/>
    <x v="2"/>
    <n v="0.17"/>
  </r>
  <r>
    <s v="TEMAJ"/>
    <x v="67"/>
    <m/>
    <m/>
    <m/>
    <x v="91"/>
    <s v="TEMAJ"/>
    <x v="6"/>
    <s v="M-ONE Sanitar Silikon"/>
    <n v="12"/>
    <x v="2"/>
    <n v="0.17"/>
  </r>
  <r>
    <s v="TEMAJ"/>
    <x v="67"/>
    <m/>
    <m/>
    <m/>
    <x v="91"/>
    <s v="TEMAJ"/>
    <x v="9"/>
    <s v="M-ONE Sanitar Silikon"/>
    <n v="12"/>
    <x v="2"/>
    <n v="0.17"/>
  </r>
  <r>
    <s v="LIRA "/>
    <x v="67"/>
    <n v="277.2"/>
    <m/>
    <m/>
    <x v="182"/>
    <s v="LIRA "/>
    <x v="3"/>
    <s v="M-ONE Sanitar Silikon"/>
    <n v="24"/>
    <x v="1"/>
    <n v="0.17"/>
  </r>
  <r>
    <s v="LIRA "/>
    <x v="67"/>
    <m/>
    <m/>
    <m/>
    <x v="182"/>
    <s v="LIRA "/>
    <x v="20"/>
    <s v="M-ONE Sanitar Silikon"/>
    <n v="24"/>
    <x v="1"/>
    <n v="0.17"/>
  </r>
  <r>
    <s v="LIRA "/>
    <x v="67"/>
    <m/>
    <m/>
    <m/>
    <x v="182"/>
    <s v="LIRA "/>
    <x v="9"/>
    <s v="M-ONE Sanitar Silikon"/>
    <n v="24"/>
    <x v="1"/>
    <n v="0.17"/>
  </r>
  <r>
    <s v="LETAJ"/>
    <x v="67"/>
    <n v="103.2"/>
    <m/>
    <m/>
    <x v="67"/>
    <s v="LETAJ"/>
    <x v="8"/>
    <s v="struktural akryl"/>
    <n v="24"/>
    <x v="1"/>
    <n v="0.06"/>
  </r>
  <r>
    <s v="LETAJ"/>
    <x v="67"/>
    <m/>
    <m/>
    <m/>
    <x v="67"/>
    <s v="LETAJ"/>
    <x v="17"/>
    <s v="M ONE UBS"/>
    <n v="6"/>
    <x v="1"/>
    <n v="0.2"/>
  </r>
  <r>
    <s v="LETAJ"/>
    <x v="67"/>
    <m/>
    <m/>
    <m/>
    <x v="67"/>
    <s v="LETAJ"/>
    <x v="12"/>
    <s v="beMAKER Rostlöser"/>
    <n v="12"/>
    <x v="1"/>
    <n v="0.2"/>
  </r>
  <r>
    <s v="GACAFERI-RG"/>
    <x v="67"/>
    <n v="19"/>
    <m/>
    <m/>
    <x v="161"/>
    <s v="GACAFERI-RG"/>
    <x v="17"/>
    <s v="M ONE UBS"/>
    <n v="3"/>
    <x v="1"/>
    <n v="0.2"/>
  </r>
  <r>
    <s v="GACAFERI-RG"/>
    <x v="67"/>
    <m/>
    <m/>
    <m/>
    <x v="161"/>
    <s v="GACAFERI-RG"/>
    <x v="16"/>
    <s v="Fettspray"/>
    <n v="2"/>
    <x v="1"/>
    <n v="0.2"/>
  </r>
  <r>
    <s v="INOX 2"/>
    <x v="67"/>
    <n v="92.4"/>
    <m/>
    <m/>
    <x v="93"/>
    <s v="INOX 2"/>
    <x v="1"/>
    <s v="M-ONE Sanitar Silikon"/>
    <n v="12"/>
    <x v="1"/>
    <n v="0.17"/>
  </r>
  <r>
    <s v="INOX 2"/>
    <x v="67"/>
    <m/>
    <m/>
    <m/>
    <x v="93"/>
    <s v="INOX 2"/>
    <x v="9"/>
    <s v="M-ONE Sanitar Silikon"/>
    <n v="12"/>
    <x v="1"/>
    <n v="0.17"/>
  </r>
  <r>
    <s v="AFRIMI-AG"/>
    <x v="67"/>
    <n v="184.8"/>
    <m/>
    <m/>
    <x v="69"/>
    <s v="AFRIMI-AG"/>
    <x v="3"/>
    <s v="M-ONE Sanitar Silikon"/>
    <n v="12"/>
    <x v="1"/>
    <n v="0.17"/>
  </r>
  <r>
    <s v="AFRIMI-AG"/>
    <x v="67"/>
    <m/>
    <m/>
    <m/>
    <x v="69"/>
    <s v="AFRIMI-AG"/>
    <x v="18"/>
    <s v="M-ONE Sanitar Silikon"/>
    <n v="24"/>
    <x v="1"/>
    <n v="0.17"/>
  </r>
  <r>
    <s v="AFRIMI-AG"/>
    <x v="67"/>
    <m/>
    <m/>
    <m/>
    <x v="69"/>
    <s v="AFRIMI-AG"/>
    <x v="2"/>
    <s v="M-ONE Sanitar Silikon"/>
    <n v="12"/>
    <x v="1"/>
    <n v="0.17"/>
  </r>
  <r>
    <s v="TE BESIMI"/>
    <x v="67"/>
    <n v="102.4"/>
    <m/>
    <m/>
    <x v="70"/>
    <s v="TE BESIMI"/>
    <x v="0"/>
    <s v="M-ONE Sanitar Silikon"/>
    <n v="12"/>
    <x v="1"/>
    <n v="0.17"/>
  </r>
  <r>
    <s v="TE BESIMI"/>
    <x v="67"/>
    <m/>
    <m/>
    <m/>
    <x v="70"/>
    <s v="TE BESIMI"/>
    <x v="9"/>
    <s v="M-ONE Sanitar Silikon"/>
    <n v="12"/>
    <x v="1"/>
    <n v="0.17"/>
  </r>
  <r>
    <s v="TE BESIMI"/>
    <x v="67"/>
    <m/>
    <m/>
    <m/>
    <x v="70"/>
    <s v="TE BESIMI"/>
    <x v="14"/>
    <s v="beMAKER Bremsen&amp;Teile Reininger"/>
    <n v="5"/>
    <x v="1"/>
    <n v="0.2"/>
  </r>
  <r>
    <s v="ARBENI BIOBLIC"/>
    <x v="67"/>
    <n v="175"/>
    <m/>
    <m/>
    <x v="71"/>
    <s v="ARBENI BIOBLIC"/>
    <x v="28"/>
    <s v="BioBlic Universalreiniger"/>
    <n v="100"/>
    <x v="2"/>
    <n v="0.30000000000000004"/>
  </r>
  <r>
    <s v="ARBENI BIOBLIC"/>
    <x v="67"/>
    <m/>
    <m/>
    <m/>
    <x v="71"/>
    <s v="ARBENI BIOBLIC"/>
    <x v="29"/>
    <s v="Blic Blic Sanitärreiniger"/>
    <n v="40"/>
    <x v="2"/>
    <n v="0.30000000000000004"/>
  </r>
  <r>
    <s v="KRRABAJ"/>
    <x v="68"/>
    <n v="96"/>
    <m/>
    <m/>
    <x v="183"/>
    <e v="#N/A"/>
    <x v="7"/>
    <s v="DICHTUNG"/>
    <n v="12"/>
    <x v="0"/>
    <n v="0.2"/>
  </r>
  <r>
    <s v="IBAK"/>
    <x v="68"/>
    <n v="92.4"/>
    <m/>
    <m/>
    <x v="3"/>
    <s v="IBAK"/>
    <x v="4"/>
    <s v="M-ONE Sanitar Silikon"/>
    <n v="24"/>
    <x v="0"/>
    <n v="0.17"/>
  </r>
  <r>
    <s v="TINA"/>
    <x v="68"/>
    <n v="138.6"/>
    <m/>
    <m/>
    <x v="2"/>
    <s v="TINA"/>
    <x v="15"/>
    <s v="M-ONE Sanitar Silikon"/>
    <n v="12"/>
    <x v="0"/>
    <n v="0.17"/>
  </r>
  <r>
    <s v="TINA"/>
    <x v="68"/>
    <m/>
    <m/>
    <m/>
    <x v="2"/>
    <s v="TINA"/>
    <x v="18"/>
    <s v="M-ONE Sanitar Silikon"/>
    <n v="12"/>
    <x v="0"/>
    <n v="0.17"/>
  </r>
  <r>
    <s v="TINA"/>
    <x v="68"/>
    <m/>
    <m/>
    <m/>
    <x v="2"/>
    <s v="TINA"/>
    <x v="3"/>
    <s v="M-ONE Sanitar Silikon"/>
    <n v="12"/>
    <x v="0"/>
    <n v="0.17"/>
  </r>
  <r>
    <s v="FUGA MONT"/>
    <x v="68"/>
    <n v="30"/>
    <m/>
    <m/>
    <x v="184"/>
    <s v="FUGA MONT"/>
    <x v="22"/>
    <s v="universal akryl"/>
    <n v="24"/>
    <x v="0"/>
    <n v="0.06"/>
  </r>
  <r>
    <s v="SMIRA COLOR"/>
    <x v="68"/>
    <n v="92.4"/>
    <m/>
    <m/>
    <x v="185"/>
    <s v="SMIRA COLOR"/>
    <x v="18"/>
    <s v="M-ONE Sanitar Silikon"/>
    <n v="12"/>
    <x v="0"/>
    <n v="0.17"/>
  </r>
  <r>
    <s v="SMIRA COLOR"/>
    <x v="68"/>
    <m/>
    <m/>
    <m/>
    <x v="185"/>
    <s v="SMIRA COLOR"/>
    <x v="1"/>
    <s v="M-ONE Sanitar Silikon"/>
    <n v="12"/>
    <x v="0"/>
    <n v="0.17"/>
  </r>
  <r>
    <s v="BALLKANI"/>
    <x v="68"/>
    <n v="184.8"/>
    <m/>
    <m/>
    <x v="98"/>
    <s v="BALLKANI"/>
    <x v="0"/>
    <s v="M-ONE Sanitar Silikon"/>
    <n v="12"/>
    <x v="0"/>
    <n v="0.17"/>
  </r>
  <r>
    <s v="BALLKANI"/>
    <x v="68"/>
    <m/>
    <m/>
    <m/>
    <x v="98"/>
    <s v="BALLKANI"/>
    <x v="1"/>
    <s v="M-ONE Sanitar Silikon"/>
    <n v="36"/>
    <x v="0"/>
    <n v="0.17"/>
  </r>
  <r>
    <s v="DARDANIA"/>
    <x v="68"/>
    <n v="107.4"/>
    <m/>
    <m/>
    <x v="6"/>
    <s v="DARDANIA"/>
    <x v="1"/>
    <s v="M-ONE Sanitar Silikon"/>
    <n v="24"/>
    <x v="0"/>
    <n v="0.17"/>
  </r>
  <r>
    <s v="DARDANIA"/>
    <x v="68"/>
    <m/>
    <m/>
    <m/>
    <x v="6"/>
    <s v="DARDANIA"/>
    <x v="22"/>
    <s v="universal akryl"/>
    <n v="12"/>
    <x v="0"/>
    <n v="0.06"/>
  </r>
  <r>
    <s v="EUROSAN"/>
    <x v="68"/>
    <n v="15"/>
    <m/>
    <m/>
    <x v="123"/>
    <s v="EUROSAN"/>
    <x v="22"/>
    <s v="universal akryl"/>
    <n v="12"/>
    <x v="0"/>
    <n v="0.06"/>
  </r>
  <r>
    <s v="ERALP"/>
    <x v="68"/>
    <n v="277.2"/>
    <m/>
    <m/>
    <x v="1"/>
    <s v="ERALP"/>
    <x v="15"/>
    <s v="M-ONE Sanitar Silikon"/>
    <n v="24"/>
    <x v="0"/>
    <n v="0.17"/>
  </r>
  <r>
    <s v="ERALP"/>
    <x v="68"/>
    <m/>
    <m/>
    <m/>
    <x v="1"/>
    <s v="ERALP"/>
    <x v="9"/>
    <s v="M-ONE Sanitar Silikon"/>
    <n v="24"/>
    <x v="0"/>
    <n v="0.17"/>
  </r>
  <r>
    <s v="ERALP"/>
    <x v="68"/>
    <m/>
    <m/>
    <m/>
    <x v="1"/>
    <s v="ERALP"/>
    <x v="2"/>
    <s v="M-ONE Sanitar Silikon"/>
    <n v="12"/>
    <x v="0"/>
    <n v="0.17"/>
  </r>
  <r>
    <s v="ERALP"/>
    <x v="68"/>
    <m/>
    <m/>
    <m/>
    <x v="1"/>
    <s v="ERALP"/>
    <x v="1"/>
    <s v="M-ONE Sanitar Silikon"/>
    <n v="12"/>
    <x v="0"/>
    <n v="0.17"/>
  </r>
  <r>
    <s v="TREND CERAMIKA"/>
    <x v="68"/>
    <n v="61.2"/>
    <m/>
    <m/>
    <x v="162"/>
    <s v="TREND CERAMIKA"/>
    <x v="1"/>
    <s v="M-ONE Sanitar Silikon"/>
    <n v="12"/>
    <x v="0"/>
    <n v="0.17"/>
  </r>
  <r>
    <s v="TREND CERAMIKA"/>
    <x v="68"/>
    <m/>
    <m/>
    <m/>
    <x v="162"/>
    <s v="TREND CERAMIKA"/>
    <x v="22"/>
    <s v="universal akryl"/>
    <n v="12"/>
    <x v="0"/>
    <n v="0.06"/>
  </r>
  <r>
    <s v="NDRIQIMI"/>
    <x v="69"/>
    <n v="76.2"/>
    <m/>
    <m/>
    <x v="79"/>
    <s v="NDRIQIMI"/>
    <x v="20"/>
    <s v="M-ONE Sanitar Silikon"/>
    <n v="12"/>
    <x v="0"/>
    <n v="0.17"/>
  </r>
  <r>
    <s v="NDRIQIMI"/>
    <x v="69"/>
    <m/>
    <m/>
    <m/>
    <x v="79"/>
    <s v="NDRIQIMI"/>
    <x v="22"/>
    <s v="universal akryl"/>
    <n v="24"/>
    <x v="0"/>
    <n v="0.06"/>
  </r>
  <r>
    <s v="ALBANI"/>
    <x v="69"/>
    <n v="270"/>
    <m/>
    <m/>
    <x v="186"/>
    <e v="#N/A"/>
    <x v="1"/>
    <s v="M-ONE Sanitar Silikon"/>
    <n v="60"/>
    <x v="0"/>
    <n v="0.17"/>
  </r>
  <r>
    <s v="ALBANI"/>
    <x v="69"/>
    <m/>
    <m/>
    <m/>
    <x v="186"/>
    <e v="#N/A"/>
    <x v="1"/>
    <s v="M-ONE Sanitar Silikon"/>
    <n v="60"/>
    <x v="0"/>
    <n v="0.17"/>
  </r>
  <r>
    <s v="GRANITI"/>
    <x v="69"/>
    <n v="92.4"/>
    <m/>
    <m/>
    <x v="80"/>
    <s v="GRANITI"/>
    <x v="0"/>
    <s v="M-ONE Sanitar Silikon"/>
    <n v="12"/>
    <x v="0"/>
    <n v="0.17"/>
  </r>
  <r>
    <s v="GRANITI"/>
    <x v="69"/>
    <m/>
    <m/>
    <m/>
    <x v="80"/>
    <s v="GRANITI"/>
    <x v="15"/>
    <s v="M-ONE Sanitar Silikon"/>
    <n v="12"/>
    <x v="0"/>
    <n v="0.17"/>
  </r>
  <r>
    <s v="UNIVERZAL"/>
    <x v="69"/>
    <n v="61.2"/>
    <m/>
    <m/>
    <x v="18"/>
    <s v="UNIVERZAL"/>
    <x v="15"/>
    <s v="M-ONE Sanitar Silikon"/>
    <n v="12"/>
    <x v="0"/>
    <n v="0.17"/>
  </r>
  <r>
    <s v="UNIVERZAL"/>
    <x v="69"/>
    <m/>
    <m/>
    <m/>
    <x v="18"/>
    <s v="UNIVERZAL"/>
    <x v="22"/>
    <s v="universal akryl"/>
    <n v="12"/>
    <x v="0"/>
    <n v="0.06"/>
  </r>
  <r>
    <s v="AGRONI"/>
    <x v="69"/>
    <n v="86.4"/>
    <m/>
    <m/>
    <x v="22"/>
    <s v="AGRONI"/>
    <x v="7"/>
    <s v="DICHTUNG"/>
    <n v="12"/>
    <x v="0"/>
    <n v="0.2"/>
  </r>
  <r>
    <s v="ENISI - H"/>
    <x v="69"/>
    <n v="61.2"/>
    <m/>
    <m/>
    <x v="20"/>
    <s v="ENISI - H"/>
    <x v="15"/>
    <s v="M-ONE Sanitar Silikon"/>
    <n v="12"/>
    <x v="0"/>
    <n v="0.17"/>
  </r>
  <r>
    <s v="ENISI - H"/>
    <x v="69"/>
    <m/>
    <m/>
    <m/>
    <x v="20"/>
    <s v="ENISI - H"/>
    <x v="8"/>
    <s v="struktural akryl"/>
    <n v="12"/>
    <x v="0"/>
    <n v="0.06"/>
  </r>
  <r>
    <s v="DRCOR"/>
    <x v="69"/>
    <n v="92.4"/>
    <m/>
    <m/>
    <x v="157"/>
    <s v="DRCOR"/>
    <x v="3"/>
    <s v="M-ONE Sanitar Silikon"/>
    <n v="12"/>
    <x v="0"/>
    <n v="0.17"/>
  </r>
  <r>
    <s v="DRCOR"/>
    <x v="69"/>
    <m/>
    <m/>
    <m/>
    <x v="157"/>
    <s v="DRCOR"/>
    <x v="2"/>
    <s v="M-ONE Sanitar Silikon"/>
    <n v="12"/>
    <x v="0"/>
    <n v="0.17"/>
  </r>
  <r>
    <s v="BAU HOME"/>
    <x v="69"/>
    <n v="46.2"/>
    <m/>
    <m/>
    <x v="10"/>
    <s v="BAU HOME"/>
    <x v="18"/>
    <s v="M-ONE Sanitar Silikon"/>
    <n v="12"/>
    <x v="1"/>
    <n v="0.17"/>
  </r>
  <r>
    <s v="CONDOR"/>
    <x v="69"/>
    <n v="231"/>
    <m/>
    <m/>
    <x v="11"/>
    <s v="CONDOR"/>
    <x v="3"/>
    <s v="M-ONE Sanitar Silikon"/>
    <n v="12"/>
    <x v="1"/>
    <n v="0.17"/>
  </r>
  <r>
    <s v="CONDOR"/>
    <x v="69"/>
    <m/>
    <m/>
    <m/>
    <x v="11"/>
    <s v="CONDOR"/>
    <x v="15"/>
    <s v="M-ONE Sanitar Silikon"/>
    <n v="12"/>
    <x v="1"/>
    <n v="0.17"/>
  </r>
  <r>
    <s v="CONDOR"/>
    <x v="69"/>
    <m/>
    <m/>
    <m/>
    <x v="11"/>
    <s v="CONDOR"/>
    <x v="20"/>
    <s v="M-ONE Sanitar Silikon"/>
    <n v="12"/>
    <x v="1"/>
    <n v="0.17"/>
  </r>
  <r>
    <s v="CONDOR"/>
    <x v="69"/>
    <m/>
    <m/>
    <m/>
    <x v="11"/>
    <s v="CONDOR"/>
    <x v="1"/>
    <s v="M-ONE Sanitar Silikon"/>
    <n v="12"/>
    <x v="1"/>
    <n v="0.17"/>
  </r>
  <r>
    <s v="CONDOR"/>
    <x v="69"/>
    <m/>
    <m/>
    <m/>
    <x v="11"/>
    <s v="CONDOR"/>
    <x v="9"/>
    <s v="M-ONE Sanitar Silikon"/>
    <n v="12"/>
    <x v="1"/>
    <n v="0.17"/>
  </r>
  <r>
    <s v="CONDOR"/>
    <x v="69"/>
    <m/>
    <m/>
    <m/>
    <x v="11"/>
    <s v="CONDOR"/>
    <x v="10"/>
    <s v="PROFIMONT EXTREME"/>
    <n v="12"/>
    <x v="1"/>
    <n v="0.2"/>
  </r>
  <r>
    <s v="CONDOR"/>
    <x v="69"/>
    <m/>
    <m/>
    <m/>
    <x v="11"/>
    <s v="CONDOR"/>
    <x v="22"/>
    <s v="universal akryl"/>
    <n v="36"/>
    <x v="1"/>
    <n v="0.06"/>
  </r>
  <r>
    <s v="DURGUTI 3"/>
    <x v="69"/>
    <n v="162"/>
    <m/>
    <m/>
    <x v="12"/>
    <s v="DURGUTI 3"/>
    <x v="10"/>
    <s v="PROFIMONT EXTREME"/>
    <n v="12"/>
    <x v="1"/>
    <n v="0.2"/>
  </r>
  <r>
    <s v="DURGUTI 3"/>
    <x v="69"/>
    <m/>
    <m/>
    <m/>
    <x v="12"/>
    <s v="DURGUTI 3"/>
    <x v="15"/>
    <s v="M-ONE Sanitar Silikon"/>
    <n v="12"/>
    <x v="1"/>
    <n v="0.17"/>
  </r>
  <r>
    <s v="DURGUTI 3"/>
    <x v="69"/>
    <m/>
    <m/>
    <m/>
    <x v="12"/>
    <s v="DURGUTI 3"/>
    <x v="4"/>
    <s v="M-ONE Sanitar Silikon"/>
    <n v="12"/>
    <x v="1"/>
    <n v="0.17"/>
  </r>
  <r>
    <s v="BARDHI-M"/>
    <x v="69"/>
    <n v="138.6"/>
    <m/>
    <m/>
    <x v="77"/>
    <s v="BARDHI-M"/>
    <x v="15"/>
    <s v="M-ONE Sanitar Silikon"/>
    <n v="12"/>
    <x v="1"/>
    <n v="0.17"/>
  </r>
  <r>
    <s v="BARDHI-M"/>
    <x v="69"/>
    <m/>
    <m/>
    <m/>
    <x v="77"/>
    <s v="BARDHI-M"/>
    <x v="1"/>
    <s v="M-ONE Sanitar Silikon"/>
    <n v="12"/>
    <x v="1"/>
    <n v="0.17"/>
  </r>
  <r>
    <s v="BARDHI-M"/>
    <x v="69"/>
    <m/>
    <m/>
    <m/>
    <x v="77"/>
    <s v="BARDHI-M"/>
    <x v="9"/>
    <s v="M-ONE Sanitar Silikon"/>
    <n v="12"/>
    <x v="1"/>
    <n v="0.17"/>
  </r>
  <r>
    <s v="FITIMI"/>
    <x v="69"/>
    <n v="138.6"/>
    <m/>
    <m/>
    <x v="16"/>
    <s v="FITIMI"/>
    <x v="4"/>
    <s v="M-ONE Sanitar Silikon"/>
    <n v="12"/>
    <x v="1"/>
    <n v="0.17"/>
  </r>
  <r>
    <s v="FITIMI"/>
    <x v="69"/>
    <m/>
    <m/>
    <m/>
    <x v="16"/>
    <s v="FITIMI"/>
    <x v="2"/>
    <s v="M-ONE Sanitar Silikon"/>
    <n v="12"/>
    <x v="1"/>
    <n v="0.17"/>
  </r>
  <r>
    <s v="FITIMI"/>
    <x v="69"/>
    <m/>
    <m/>
    <m/>
    <x v="16"/>
    <s v="FITIMI"/>
    <x v="9"/>
    <s v="M-ONE Sanitar Silikon"/>
    <n v="12"/>
    <x v="1"/>
    <n v="0.17"/>
  </r>
  <r>
    <s v="TERMOT"/>
    <x v="69"/>
    <n v="92.4"/>
    <m/>
    <m/>
    <x v="187"/>
    <s v="TERMOT"/>
    <x v="4"/>
    <s v="M-ONE Sanitar Silikon"/>
    <n v="12"/>
    <x v="1"/>
    <n v="0.17"/>
  </r>
  <r>
    <s v="TERMOT"/>
    <x v="69"/>
    <m/>
    <m/>
    <m/>
    <x v="187"/>
    <s v="TERMOT"/>
    <x v="5"/>
    <s v="M-ONE Sanitar Silikon"/>
    <n v="12"/>
    <x v="1"/>
    <n v="0.17"/>
  </r>
  <r>
    <s v="ARTURI"/>
    <x v="69"/>
    <n v="138.6"/>
    <m/>
    <m/>
    <x v="156"/>
    <s v="ARTURI"/>
    <x v="3"/>
    <s v="M-ONE Sanitar Silikon"/>
    <n v="12"/>
    <x v="1"/>
    <n v="0.17"/>
  </r>
  <r>
    <s v="ARTURI"/>
    <x v="69"/>
    <m/>
    <m/>
    <m/>
    <x v="156"/>
    <s v="ARTURI"/>
    <x v="15"/>
    <s v="M-ONE Sanitar Silikon"/>
    <n v="12"/>
    <x v="1"/>
    <n v="0.17"/>
  </r>
  <r>
    <s v="ARTURI"/>
    <x v="69"/>
    <m/>
    <m/>
    <m/>
    <x v="156"/>
    <s v="ARTURI"/>
    <x v="20"/>
    <s v="M-ONE Sanitar Silikon"/>
    <n v="12"/>
    <x v="1"/>
    <n v="0.17"/>
  </r>
  <r>
    <s v="SOPAJ"/>
    <x v="69"/>
    <n v="92.4"/>
    <m/>
    <m/>
    <x v="99"/>
    <s v="SOPAJ"/>
    <x v="4"/>
    <s v="M-ONE Sanitar Silikon"/>
    <n v="12"/>
    <x v="1"/>
    <n v="0.17"/>
  </r>
  <r>
    <s v="SOPAJ"/>
    <x v="69"/>
    <m/>
    <m/>
    <m/>
    <x v="99"/>
    <s v="SOPAJ"/>
    <x v="0"/>
    <s v="M-ONE Sanitar Silikon"/>
    <n v="12"/>
    <x v="1"/>
    <n v="0.17"/>
  </r>
  <r>
    <s v="URA"/>
    <x v="69"/>
    <n v="92.4"/>
    <m/>
    <m/>
    <x v="78"/>
    <s v="URA"/>
    <x v="0"/>
    <s v="M-ONE Sanitar Silikon"/>
    <n v="12"/>
    <x v="1"/>
    <n v="0.17"/>
  </r>
  <r>
    <s v="URA"/>
    <x v="69"/>
    <m/>
    <m/>
    <m/>
    <x v="78"/>
    <s v="URA"/>
    <x v="18"/>
    <s v="M-ONE Sanitar Silikon"/>
    <n v="12"/>
    <x v="1"/>
    <n v="0.17"/>
  </r>
  <r>
    <s v="HB-DECOR"/>
    <x v="69"/>
    <n v="208.8"/>
    <m/>
    <m/>
    <x v="95"/>
    <s v="HB-DECOR"/>
    <x v="10"/>
    <s v="PROFIMONT EXTREME"/>
    <n v="36"/>
    <x v="1"/>
    <n v="0.2"/>
  </r>
  <r>
    <s v="PROCOM"/>
    <x v="70"/>
    <n v="34"/>
    <m/>
    <m/>
    <x v="137"/>
    <s v="PROCOM"/>
    <x v="16"/>
    <s v="Fettspray"/>
    <n v="8"/>
    <x v="0"/>
    <n v="0.2"/>
  </r>
  <r>
    <s v="PROCOM"/>
    <x v="70"/>
    <m/>
    <m/>
    <m/>
    <x v="137"/>
    <s v="PROCOM"/>
    <x v="24"/>
    <s v="M ONE SILIKON SPRAY"/>
    <n v="2"/>
    <x v="0"/>
    <n v="0.2"/>
  </r>
  <r>
    <s v="REAL COLOR 2"/>
    <x v="70"/>
    <n v="138.6"/>
    <m/>
    <m/>
    <x v="26"/>
    <s v="REAL COLOR 2"/>
    <x v="15"/>
    <s v="M-ONE Sanitar Silikon"/>
    <n v="12"/>
    <x v="0"/>
    <n v="0.17"/>
  </r>
  <r>
    <s v="REAL COLOR 2"/>
    <x v="70"/>
    <m/>
    <m/>
    <m/>
    <x v="26"/>
    <s v="REAL COLOR 2"/>
    <x v="18"/>
    <s v="M-ONE Sanitar Silikon"/>
    <n v="12"/>
    <x v="0"/>
    <n v="0.17"/>
  </r>
  <r>
    <s v="REAL COLOR 2"/>
    <x v="70"/>
    <m/>
    <m/>
    <m/>
    <x v="26"/>
    <s v="REAL COLOR 2"/>
    <x v="25"/>
    <s v="M-ONE Sanitar Silikon"/>
    <n v="12"/>
    <x v="0"/>
    <n v="0.17"/>
  </r>
  <r>
    <s v="LONI"/>
    <x v="70"/>
    <n v="106.4"/>
    <m/>
    <m/>
    <x v="24"/>
    <s v="LONI"/>
    <x v="7"/>
    <s v="DICHTUNG"/>
    <n v="12"/>
    <x v="0"/>
    <n v="0.2"/>
  </r>
  <r>
    <s v="LONI"/>
    <x v="70"/>
    <m/>
    <m/>
    <m/>
    <x v="24"/>
    <s v="LONI"/>
    <x v="17"/>
    <s v="M ONE UBS"/>
    <n v="5"/>
    <x v="0"/>
    <n v="0.2"/>
  </r>
  <r>
    <s v="BALLKANI"/>
    <x v="70"/>
    <n v="184.8"/>
    <m/>
    <m/>
    <x v="98"/>
    <s v="BALLKANI"/>
    <x v="1"/>
    <s v="M-ONE Sanitar Silikon"/>
    <n v="48"/>
    <x v="0"/>
    <n v="0.17"/>
  </r>
  <r>
    <s v="LITA"/>
    <x v="70"/>
    <n v="46.2"/>
    <m/>
    <m/>
    <x v="82"/>
    <s v="LITA"/>
    <x v="0"/>
    <s v="M-ONE Sanitar Silikon"/>
    <n v="12"/>
    <x v="0"/>
    <n v="0.17"/>
  </r>
  <r>
    <s v="ARBERI"/>
    <x v="70"/>
    <n v="56.2"/>
    <m/>
    <m/>
    <x v="102"/>
    <s v="ARBERI"/>
    <x v="12"/>
    <s v="beMAKER Rostlöser"/>
    <n v="5"/>
    <x v="0"/>
    <n v="0.2"/>
  </r>
  <r>
    <s v="ARBERI"/>
    <x v="70"/>
    <m/>
    <m/>
    <m/>
    <x v="102"/>
    <s v="ARBERI"/>
    <x v="5"/>
    <s v="M-ONE Sanitar Silikon"/>
    <n v="12"/>
    <x v="0"/>
    <n v="0.17"/>
  </r>
  <r>
    <s v="ARDI LIPJAN"/>
    <x v="70"/>
    <n v="49.2"/>
    <m/>
    <m/>
    <x v="27"/>
    <s v="ARDI LIPJAN"/>
    <x v="7"/>
    <s v="DICHTUNG"/>
    <n v="6"/>
    <x v="0"/>
    <n v="0.2"/>
  </r>
  <r>
    <s v="ARDI LIPJAN"/>
    <x v="70"/>
    <m/>
    <m/>
    <m/>
    <x v="27"/>
    <s v="ARDI LIPJAN"/>
    <x v="12"/>
    <s v="beMAKER Rostlöser"/>
    <n v="3"/>
    <x v="0"/>
    <n v="0.2"/>
  </r>
  <r>
    <s v="RACI"/>
    <x v="70"/>
    <n v="208.2"/>
    <m/>
    <m/>
    <x v="28"/>
    <s v="RACI"/>
    <x v="3"/>
    <s v="M-ONE Sanitar Silikon"/>
    <n v="12"/>
    <x v="1"/>
    <n v="0.17"/>
  </r>
  <r>
    <s v="RACI"/>
    <x v="70"/>
    <m/>
    <m/>
    <m/>
    <x v="28"/>
    <s v="RACI"/>
    <x v="4"/>
    <s v="M-ONE Sanitar Silikon"/>
    <n v="12"/>
    <x v="1"/>
    <n v="0.17"/>
  </r>
  <r>
    <s v="RACI"/>
    <x v="70"/>
    <m/>
    <m/>
    <m/>
    <x v="28"/>
    <s v="RACI"/>
    <x v="9"/>
    <s v="M-ONE Sanitar Silikon"/>
    <n v="12"/>
    <x v="1"/>
    <n v="0.17"/>
  </r>
  <r>
    <s v="RACI"/>
    <x v="70"/>
    <m/>
    <m/>
    <m/>
    <x v="28"/>
    <s v="RACI"/>
    <x v="10"/>
    <s v="PROFIMONT EXTREME"/>
    <n v="12"/>
    <x v="1"/>
    <n v="0.2"/>
  </r>
  <r>
    <s v="HOXHA"/>
    <x v="70"/>
    <n v="120"/>
    <m/>
    <m/>
    <x v="29"/>
    <s v="HOXHA"/>
    <x v="5"/>
    <s v="M-ONE Sanitar Silikon"/>
    <n v="12"/>
    <x v="1"/>
    <n v="0.17"/>
  </r>
  <r>
    <s v="HOXHA"/>
    <x v="70"/>
    <m/>
    <m/>
    <m/>
    <x v="29"/>
    <s v="HOXHA"/>
    <x v="15"/>
    <s v="M-ONE Sanitar Silikon"/>
    <n v="12"/>
    <x v="1"/>
    <n v="0.17"/>
  </r>
  <r>
    <s v="HOXHA"/>
    <x v="70"/>
    <m/>
    <m/>
    <m/>
    <x v="29"/>
    <s v="HOXHA"/>
    <x v="8"/>
    <s v="struktural akryl"/>
    <n v="12"/>
    <x v="1"/>
    <n v="0.06"/>
  </r>
  <r>
    <s v="LIRIDONA KLINE"/>
    <x v="70"/>
    <n v="122.4"/>
    <m/>
    <m/>
    <x v="30"/>
    <s v="LIRIDONA KLINE"/>
    <x v="4"/>
    <s v="M-ONE Sanitar Silikon"/>
    <n v="24"/>
    <x v="1"/>
    <n v="0.17"/>
  </r>
  <r>
    <s v="LIRIDONA KLINE"/>
    <x v="70"/>
    <m/>
    <m/>
    <m/>
    <x v="30"/>
    <s v="LIRIDONA KLINE"/>
    <x v="22"/>
    <s v="universal akryl"/>
    <n v="24"/>
    <x v="1"/>
    <n v="0.06"/>
  </r>
  <r>
    <s v="LIRIDONA HOME"/>
    <x v="70"/>
    <n v="208.2"/>
    <m/>
    <m/>
    <x v="106"/>
    <s v="LIRIDONA HOME"/>
    <x v="4"/>
    <s v="M-ONE Sanitar Silikon"/>
    <n v="36"/>
    <x v="1"/>
    <n v="0.17"/>
  </r>
  <r>
    <s v="LIRIDONA HOME"/>
    <x v="70"/>
    <m/>
    <m/>
    <m/>
    <x v="106"/>
    <s v="LIRIDONA HOME"/>
    <x v="10"/>
    <s v="PROFIMONT EXTREME"/>
    <n v="12"/>
    <x v="1"/>
    <n v="0.2"/>
  </r>
  <r>
    <s v="BERATI A.P. (1)"/>
    <x v="70"/>
    <n v="32.5"/>
    <m/>
    <m/>
    <x v="31"/>
    <s v="BERATI A.P. (1)"/>
    <x v="13"/>
    <s v="M ONE MOTORSTART"/>
    <n v="6"/>
    <x v="1"/>
    <n v="0.2"/>
  </r>
  <r>
    <s v="BERATI A.P. (1)"/>
    <x v="70"/>
    <m/>
    <m/>
    <m/>
    <x v="31"/>
    <s v="BERATI A.P. (1)"/>
    <x v="17"/>
    <s v="M ONE UBS"/>
    <n v="2"/>
    <x v="1"/>
    <n v="0.2"/>
  </r>
  <r>
    <s v="BERATI A.P. (1)"/>
    <x v="70"/>
    <m/>
    <m/>
    <m/>
    <x v="31"/>
    <s v="BERATI A.P. (1)"/>
    <x v="16"/>
    <s v="Fettspray"/>
    <n v="1"/>
    <x v="1"/>
    <n v="0.2"/>
  </r>
  <r>
    <s v="LIRIDONA-A"/>
    <x v="70"/>
    <n v="246.6"/>
    <m/>
    <m/>
    <x v="105"/>
    <s v="LIRIDONA-A"/>
    <x v="5"/>
    <s v="M-ONE Sanitar Silikon"/>
    <n v="12"/>
    <x v="1"/>
    <n v="0.17"/>
  </r>
  <r>
    <s v="LIRIDONA-A"/>
    <x v="70"/>
    <m/>
    <m/>
    <m/>
    <x v="105"/>
    <s v="LIRIDONA-A"/>
    <x v="15"/>
    <s v="M-ONE Sanitar Silikon"/>
    <n v="12"/>
    <x v="1"/>
    <n v="0.17"/>
  </r>
  <r>
    <s v="LIRIDONA-A"/>
    <x v="70"/>
    <m/>
    <m/>
    <m/>
    <x v="105"/>
    <s v="LIRIDONA-A"/>
    <x v="22"/>
    <s v="universal akryl"/>
    <n v="12"/>
    <x v="1"/>
    <n v="0.06"/>
  </r>
  <r>
    <s v="LIRIDONA-A"/>
    <x v="70"/>
    <m/>
    <m/>
    <m/>
    <x v="105"/>
    <s v="LIRIDONA-A"/>
    <x v="10"/>
    <s v="PROFIMONT EXTREME"/>
    <n v="24"/>
    <x v="1"/>
    <n v="0.2"/>
  </r>
  <r>
    <s v="A.P. HOTI"/>
    <x v="70"/>
    <n v="40.5"/>
    <m/>
    <m/>
    <x v="138"/>
    <s v="A.P. HOTI"/>
    <x v="13"/>
    <s v="M ONE MOTORSTART"/>
    <n v="2"/>
    <x v="1"/>
    <n v="0.2"/>
  </r>
  <r>
    <s v="A.P. HOTI"/>
    <x v="70"/>
    <m/>
    <m/>
    <m/>
    <x v="138"/>
    <s v="A.P. HOTI"/>
    <x v="42"/>
    <s v="M ONE SCHWARZ GLÄNZED"/>
    <n v="2"/>
    <x v="1"/>
    <n v="0.15"/>
  </r>
  <r>
    <s v="A.P. HOTI"/>
    <x v="70"/>
    <m/>
    <m/>
    <m/>
    <x v="138"/>
    <s v="A.P. HOTI"/>
    <x v="43"/>
    <s v="M ONE SCHWARZ MATT"/>
    <n v="2"/>
    <x v="1"/>
    <n v="0.15"/>
  </r>
  <r>
    <s v="A.P. HOTI"/>
    <x v="70"/>
    <m/>
    <m/>
    <m/>
    <x v="138"/>
    <s v="A.P. HOTI"/>
    <x v="45"/>
    <s v="M ONE WEISS GLÄNZEND"/>
    <n v="3"/>
    <x v="1"/>
    <n v="0.15"/>
  </r>
  <r>
    <s v="A.P. HOTI"/>
    <x v="70"/>
    <m/>
    <m/>
    <m/>
    <x v="138"/>
    <s v="A.P. HOTI"/>
    <x v="17"/>
    <s v="M ONE UBS"/>
    <n v="4"/>
    <x v="1"/>
    <n v="0.2"/>
  </r>
  <r>
    <s v="TE BENI"/>
    <x v="70"/>
    <n v="277.2"/>
    <m/>
    <m/>
    <x v="107"/>
    <s v="TE BENI"/>
    <x v="15"/>
    <s v="M-ONE Sanitar Silikon"/>
    <n v="12"/>
    <x v="1"/>
    <n v="0.17"/>
  </r>
  <r>
    <s v="TE BENI"/>
    <x v="70"/>
    <m/>
    <m/>
    <m/>
    <x v="107"/>
    <s v="TE BENI"/>
    <x v="1"/>
    <s v="M-ONE Sanitar Silikon"/>
    <n v="12"/>
    <x v="1"/>
    <n v="0.17"/>
  </r>
  <r>
    <s v="TE BENI"/>
    <x v="70"/>
    <m/>
    <m/>
    <m/>
    <x v="107"/>
    <s v="TE BENI"/>
    <x v="20"/>
    <s v="M-ONE Sanitar Silikon"/>
    <n v="12"/>
    <x v="1"/>
    <n v="0.17"/>
  </r>
  <r>
    <s v="TE BENI"/>
    <x v="70"/>
    <m/>
    <m/>
    <m/>
    <x v="107"/>
    <s v="TE BENI"/>
    <x v="5"/>
    <s v="M-ONE Sanitar Silikon"/>
    <n v="12"/>
    <x v="1"/>
    <n v="0.17"/>
  </r>
  <r>
    <s v="TE BENI"/>
    <x v="70"/>
    <m/>
    <m/>
    <m/>
    <x v="107"/>
    <s v="TE BENI"/>
    <x v="0"/>
    <s v="M-ONE Sanitar Silikon"/>
    <n v="12"/>
    <x v="1"/>
    <n v="0.17"/>
  </r>
  <r>
    <s v="TE BENI"/>
    <x v="70"/>
    <m/>
    <m/>
    <m/>
    <x v="107"/>
    <s v="TE BENI"/>
    <x v="4"/>
    <s v="M-ONE Sanitar Silikon"/>
    <n v="12"/>
    <x v="1"/>
    <n v="0.17"/>
  </r>
  <r>
    <s v="MEGI"/>
    <x v="70"/>
    <n v="40"/>
    <m/>
    <m/>
    <x v="33"/>
    <s v="MEGI"/>
    <x v="12"/>
    <s v="beMAKER Rostlöser"/>
    <n v="13"/>
    <x v="1"/>
    <n v="0.2"/>
  </r>
  <r>
    <s v="MEGI"/>
    <x v="70"/>
    <m/>
    <m/>
    <m/>
    <x v="33"/>
    <s v="MEGI"/>
    <x v="13"/>
    <s v="M ONE MOTORSTART"/>
    <n v="4"/>
    <x v="1"/>
    <n v="0.2"/>
  </r>
  <r>
    <s v="TE MENTORI"/>
    <x v="70"/>
    <n v="92.4"/>
    <m/>
    <m/>
    <x v="109"/>
    <s v="TE MENTORI"/>
    <x v="15"/>
    <s v="M-ONE Sanitar Silikon"/>
    <n v="12"/>
    <x v="1"/>
    <n v="0.17"/>
  </r>
  <r>
    <s v="TE MENTORI"/>
    <x v="70"/>
    <m/>
    <m/>
    <m/>
    <x v="109"/>
    <s v="TE MENTORI"/>
    <x v="9"/>
    <s v="M-ONE Sanitar Silikon"/>
    <n v="12"/>
    <x v="1"/>
    <n v="0.17"/>
  </r>
  <r>
    <s v="TERMIKA"/>
    <x v="70"/>
    <n v="92.4"/>
    <m/>
    <m/>
    <x v="108"/>
    <s v="TERMIKA"/>
    <x v="0"/>
    <s v="M-ONE Sanitar Silikon"/>
    <n v="12"/>
    <x v="1"/>
    <n v="0.17"/>
  </r>
  <r>
    <s v="TERMIKA"/>
    <x v="70"/>
    <m/>
    <m/>
    <m/>
    <x v="108"/>
    <s v="TERMIKA"/>
    <x v="5"/>
    <s v="M-ONE Sanitar Silikon"/>
    <n v="12"/>
    <x v="1"/>
    <n v="0.17"/>
  </r>
  <r>
    <s v="ALBANI"/>
    <x v="71"/>
    <n v="46.2"/>
    <m/>
    <m/>
    <x v="83"/>
    <e v="#N/A"/>
    <x v="25"/>
    <s v="M-ONE Sanitar Silikon"/>
    <n v="12"/>
    <x v="0"/>
    <n v="0.17"/>
  </r>
  <r>
    <s v="KUJTA"/>
    <x v="71"/>
    <n v="138.6"/>
    <m/>
    <m/>
    <x v="36"/>
    <s v="KUJTA"/>
    <x v="1"/>
    <s v="M-ONE Sanitar Silikon"/>
    <n v="12"/>
    <x v="0"/>
    <n v="0.17"/>
  </r>
  <r>
    <s v="KUJTA"/>
    <x v="71"/>
    <m/>
    <m/>
    <m/>
    <x v="36"/>
    <s v="KUJTA"/>
    <x v="20"/>
    <s v="M-ONE Sanitar Silikon"/>
    <n v="12"/>
    <x v="0"/>
    <n v="0.17"/>
  </r>
  <r>
    <s v="KUJTA"/>
    <x v="71"/>
    <m/>
    <m/>
    <m/>
    <x v="36"/>
    <s v="KUJTA"/>
    <x v="2"/>
    <s v="M-ONE Sanitar Silikon"/>
    <n v="12"/>
    <x v="0"/>
    <n v="0.17"/>
  </r>
  <r>
    <s v="KUSHA"/>
    <x v="71"/>
    <n v="20"/>
    <m/>
    <m/>
    <x v="130"/>
    <s v="KUSHA"/>
    <x v="14"/>
    <s v="beMAKER Bremsen&amp;Teile Reininger"/>
    <n v="5"/>
    <x v="0"/>
    <n v="0.2"/>
  </r>
  <r>
    <s v="KUSHA"/>
    <x v="71"/>
    <m/>
    <m/>
    <m/>
    <x v="130"/>
    <s v="KUSHA"/>
    <x v="12"/>
    <s v="beMAKER Rostlöser"/>
    <n v="5"/>
    <x v="0"/>
    <n v="0.2"/>
  </r>
  <r>
    <s v="TE KELA"/>
    <x v="71"/>
    <n v="56"/>
    <m/>
    <m/>
    <x v="151"/>
    <s v="TE KELA"/>
    <x v="12"/>
    <s v="beMAKER Rostlöser"/>
    <n v="10"/>
    <x v="0"/>
    <n v="0.2"/>
  </r>
  <r>
    <s v="TE KELA"/>
    <x v="71"/>
    <m/>
    <m/>
    <m/>
    <x v="151"/>
    <s v="TE KELA"/>
    <x v="7"/>
    <s v="DICHTUNG"/>
    <n v="5"/>
    <x v="0"/>
    <n v="0.2"/>
  </r>
  <r>
    <s v="ALBANI"/>
    <x v="71"/>
    <n v="46.2"/>
    <m/>
    <m/>
    <x v="34"/>
    <e v="#N/A"/>
    <x v="0"/>
    <s v="M-ONE Sanitar Silikon"/>
    <n v="12"/>
    <x v="0"/>
    <n v="0.17"/>
  </r>
  <r>
    <s v="TE ZENA"/>
    <x v="71"/>
    <n v="92.4"/>
    <m/>
    <m/>
    <x v="84"/>
    <s v="TE ZENA"/>
    <x v="18"/>
    <s v="M-ONE Sanitar Silikon"/>
    <n v="12"/>
    <x v="0"/>
    <n v="0.17"/>
  </r>
  <r>
    <s v="TE ZENA"/>
    <x v="71"/>
    <m/>
    <m/>
    <m/>
    <x v="84"/>
    <s v="TE ZENA"/>
    <x v="6"/>
    <s v="M-ONE Sanitar Silikon"/>
    <n v="12"/>
    <x v="0"/>
    <n v="0.17"/>
  </r>
  <r>
    <s v="AGRO-XHETI"/>
    <x v="71"/>
    <n v="508.2"/>
    <m/>
    <m/>
    <x v="114"/>
    <s v="AGRO-XHETI"/>
    <x v="2"/>
    <s v="M-ONE Sanitar Silikon"/>
    <n v="36"/>
    <x v="1"/>
    <n v="0.17"/>
  </r>
  <r>
    <s v="AGRO-XHETI"/>
    <x v="71"/>
    <m/>
    <m/>
    <m/>
    <x v="114"/>
    <s v="AGRO-XHETI"/>
    <x v="9"/>
    <s v="M-ONE Sanitar Silikon"/>
    <n v="12"/>
    <x v="1"/>
    <n v="0.17"/>
  </r>
  <r>
    <s v="AGRO-XHETI"/>
    <x v="71"/>
    <m/>
    <m/>
    <m/>
    <x v="114"/>
    <s v="AGRO-XHETI"/>
    <x v="1"/>
    <s v="M-ONE Sanitar Silikon"/>
    <n v="24"/>
    <x v="1"/>
    <n v="0.17"/>
  </r>
  <r>
    <s v="AGRO-XHETI"/>
    <x v="71"/>
    <m/>
    <m/>
    <m/>
    <x v="114"/>
    <s v="AGRO-XHETI"/>
    <x v="15"/>
    <s v="M-ONE Sanitar Silikon"/>
    <n v="24"/>
    <x v="1"/>
    <n v="0.17"/>
  </r>
  <r>
    <s v="AGRO-XHETI"/>
    <x v="71"/>
    <m/>
    <m/>
    <m/>
    <x v="114"/>
    <s v="AGRO-XHETI"/>
    <x v="4"/>
    <s v="M-ONE Sanitar Silikon"/>
    <n v="24"/>
    <x v="1"/>
    <n v="0.17"/>
  </r>
  <r>
    <s v="AGRO-XHETI"/>
    <x v="71"/>
    <m/>
    <m/>
    <m/>
    <x v="114"/>
    <s v="AGRO-XHETI"/>
    <x v="20"/>
    <s v="M-ONE Sanitar Silikon"/>
    <n v="12"/>
    <x v="1"/>
    <n v="0.17"/>
  </r>
  <r>
    <s v="SALIHU CORPORATION"/>
    <x v="71"/>
    <n v="231"/>
    <m/>
    <m/>
    <x v="165"/>
    <e v="#N/A"/>
    <x v="4"/>
    <s v="M-ONE Sanitar Silikon"/>
    <n v="36"/>
    <x v="1"/>
    <n v="0.17"/>
  </r>
  <r>
    <s v="SALIHU CORPORATION"/>
    <x v="71"/>
    <m/>
    <m/>
    <m/>
    <x v="165"/>
    <e v="#N/A"/>
    <x v="0"/>
    <s v="M-ONE Sanitar Silikon"/>
    <n v="12"/>
    <x v="1"/>
    <n v="0.17"/>
  </r>
  <r>
    <s v="SALIHU CORPORATION"/>
    <x v="71"/>
    <m/>
    <m/>
    <m/>
    <x v="165"/>
    <e v="#N/A"/>
    <x v="18"/>
    <s v="M-ONE Sanitar Silikon"/>
    <n v="12"/>
    <x v="1"/>
    <n v="0.17"/>
  </r>
  <r>
    <s v="GLOBAL TOOLS"/>
    <x v="71"/>
    <n v="353.4"/>
    <m/>
    <m/>
    <x v="139"/>
    <s v="GLOBAL TOOLS"/>
    <x v="15"/>
    <s v="M-ONE Sanitar Silikon"/>
    <n v="24"/>
    <x v="1"/>
    <n v="0.17"/>
  </r>
  <r>
    <s v="GLOBAL TOOLS"/>
    <x v="71"/>
    <m/>
    <m/>
    <m/>
    <x v="139"/>
    <s v="GLOBAL TOOLS"/>
    <x v="2"/>
    <s v="M-ONE Sanitar Silikon"/>
    <n v="24"/>
    <x v="1"/>
    <n v="0.17"/>
  </r>
  <r>
    <s v="GLOBAL TOOLS"/>
    <x v="71"/>
    <m/>
    <m/>
    <m/>
    <x v="139"/>
    <s v="GLOBAL TOOLS"/>
    <x v="18"/>
    <s v="M-ONE Sanitar Silikon"/>
    <n v="12"/>
    <x v="1"/>
    <n v="0.17"/>
  </r>
  <r>
    <s v="GLOBAL TOOLS"/>
    <x v="71"/>
    <m/>
    <m/>
    <m/>
    <x v="139"/>
    <s v="GLOBAL TOOLS"/>
    <x v="4"/>
    <s v="M-ONE Sanitar Silikon"/>
    <n v="12"/>
    <x v="1"/>
    <n v="0.17"/>
  </r>
  <r>
    <s v="GLOBAL TOOLS"/>
    <x v="71"/>
    <m/>
    <m/>
    <m/>
    <x v="139"/>
    <s v="GLOBAL TOOLS"/>
    <x v="1"/>
    <s v="M-ONE Sanitar Silikon"/>
    <n v="12"/>
    <x v="1"/>
    <n v="0.17"/>
  </r>
  <r>
    <s v="GLOBAL TOOLS"/>
    <x v="71"/>
    <m/>
    <m/>
    <m/>
    <x v="139"/>
    <s v="GLOBAL TOOLS"/>
    <x v="22"/>
    <s v="universal akryl"/>
    <n v="24"/>
    <x v="1"/>
    <n v="0.06"/>
  </r>
  <r>
    <s v="BUJARI Q - BESII"/>
    <x v="71"/>
    <n v="153.6"/>
    <m/>
    <m/>
    <x v="116"/>
    <s v="BUJARI Q - BESII"/>
    <x v="4"/>
    <s v="M-ONE Sanitar Silikon"/>
    <n v="36"/>
    <x v="1"/>
    <n v="0.17"/>
  </r>
  <r>
    <s v="BUJARI Q - BESII"/>
    <x v="71"/>
    <m/>
    <m/>
    <m/>
    <x v="116"/>
    <s v="BUJARI Q - BESII"/>
    <x v="22"/>
    <s v="universal akryl"/>
    <n v="12"/>
    <x v="1"/>
    <n v="0.06"/>
  </r>
  <r>
    <s v="AGROLONDI"/>
    <x v="71"/>
    <n v="292.2"/>
    <m/>
    <m/>
    <x v="39"/>
    <s v="AGROLONDI"/>
    <x v="4"/>
    <s v="M-ONE Sanitar Silikon"/>
    <n v="24"/>
    <x v="1"/>
    <n v="0.17"/>
  </r>
  <r>
    <s v="AGROLONDI"/>
    <x v="71"/>
    <m/>
    <m/>
    <m/>
    <x v="39"/>
    <s v="AGROLONDI"/>
    <x v="1"/>
    <s v="M-ONE Sanitar Silikon"/>
    <n v="24"/>
    <x v="1"/>
    <n v="0.17"/>
  </r>
  <r>
    <s v="AGROLONDI"/>
    <x v="71"/>
    <m/>
    <m/>
    <m/>
    <x v="39"/>
    <s v="AGROLONDI"/>
    <x v="0"/>
    <s v="M-ONE Sanitar Silikon"/>
    <n v="24"/>
    <x v="1"/>
    <n v="0.17"/>
  </r>
  <r>
    <s v="AGROLONDI"/>
    <x v="71"/>
    <m/>
    <m/>
    <m/>
    <x v="39"/>
    <s v="AGROLONDI"/>
    <x v="22"/>
    <s v="universal akryl"/>
    <n v="12"/>
    <x v="1"/>
    <n v="0.06"/>
  </r>
  <r>
    <s v="LTI"/>
    <x v="71"/>
    <n v="254.4"/>
    <m/>
    <m/>
    <x v="40"/>
    <s v="LTI"/>
    <x v="10"/>
    <s v="PROFIMONT EXTREME"/>
    <n v="12"/>
    <x v="1"/>
    <n v="0.2"/>
  </r>
  <r>
    <s v="LTI"/>
    <x v="71"/>
    <m/>
    <m/>
    <m/>
    <x v="40"/>
    <s v="LTI"/>
    <x v="4"/>
    <s v="M-ONE Sanitar Silikon"/>
    <n v="12"/>
    <x v="1"/>
    <n v="0.17"/>
  </r>
  <r>
    <s v="LTI"/>
    <x v="71"/>
    <m/>
    <m/>
    <m/>
    <x v="40"/>
    <s v="LTI"/>
    <x v="18"/>
    <s v="M-ONE Sanitar Silikon"/>
    <n v="12"/>
    <x v="1"/>
    <n v="0.17"/>
  </r>
  <r>
    <s v="LTI"/>
    <x v="71"/>
    <m/>
    <m/>
    <m/>
    <x v="40"/>
    <s v="LTI"/>
    <x v="15"/>
    <s v="M-ONE Sanitar Silikon"/>
    <n v="12"/>
    <x v="1"/>
    <n v="0.17"/>
  </r>
  <r>
    <s v="LTI"/>
    <x v="71"/>
    <m/>
    <m/>
    <m/>
    <x v="40"/>
    <s v="LTI"/>
    <x v="0"/>
    <s v="M-ONE Sanitar Silikon"/>
    <n v="12"/>
    <x v="1"/>
    <n v="0.17"/>
  </r>
  <r>
    <s v="AS QERAMIKA"/>
    <x v="71"/>
    <n v="369.6"/>
    <m/>
    <m/>
    <x v="150"/>
    <s v="AS QERAMIKA"/>
    <x v="4"/>
    <s v="M-ONE Sanitar Silikon"/>
    <n v="60"/>
    <x v="1"/>
    <n v="0.17"/>
  </r>
  <r>
    <s v="AS QERAMIKA"/>
    <x v="71"/>
    <m/>
    <m/>
    <m/>
    <x v="150"/>
    <s v="AS QERAMIKA"/>
    <x v="0"/>
    <s v="M-ONE Sanitar Silikon"/>
    <n v="36"/>
    <x v="1"/>
    <n v="0.17"/>
  </r>
  <r>
    <s v="HIDRO DANI"/>
    <x v="71"/>
    <n v="222.4"/>
    <m/>
    <m/>
    <x v="113"/>
    <s v="HIDRO DANI"/>
    <x v="0"/>
    <s v="M-ONE Sanitar Silikon"/>
    <n v="12"/>
    <x v="1"/>
    <n v="0.17"/>
  </r>
  <r>
    <s v="HIDRO DANI"/>
    <x v="71"/>
    <m/>
    <m/>
    <m/>
    <x v="113"/>
    <s v="HIDRO DANI"/>
    <x v="15"/>
    <s v="M-ONE Sanitar Silikon"/>
    <n v="12"/>
    <x v="1"/>
    <n v="0.17"/>
  </r>
  <r>
    <s v="HIDRO DANI"/>
    <x v="71"/>
    <m/>
    <m/>
    <m/>
    <x v="113"/>
    <s v="HIDRO DANI"/>
    <x v="5"/>
    <s v="M-ONE Sanitar Silikon"/>
    <n v="12"/>
    <x v="1"/>
    <n v="0.17"/>
  </r>
  <r>
    <s v="HIDRO DANI"/>
    <x v="71"/>
    <m/>
    <m/>
    <m/>
    <x v="113"/>
    <s v="HIDRO DANI"/>
    <x v="4"/>
    <s v="M-ONE Sanitar Silikon"/>
    <n v="12"/>
    <x v="1"/>
    <n v="0.17"/>
  </r>
  <r>
    <s v="HIDRO DANI"/>
    <x v="71"/>
    <m/>
    <m/>
    <m/>
    <x v="113"/>
    <s v="HIDRO DANI"/>
    <x v="8"/>
    <s v="struktural akryl"/>
    <n v="12"/>
    <x v="1"/>
    <n v="0.06"/>
  </r>
  <r>
    <s v="HIDRO DANI"/>
    <x v="71"/>
    <m/>
    <m/>
    <m/>
    <x v="113"/>
    <s v="HIDRO DANI"/>
    <x v="34"/>
    <s v="M ONE FELGENSILBER"/>
    <n v="4"/>
    <x v="1"/>
    <n v="0.15"/>
  </r>
  <r>
    <s v="UNIKA"/>
    <x v="71"/>
    <n v="162"/>
    <m/>
    <m/>
    <x v="43"/>
    <s v="UNIKA"/>
    <x v="4"/>
    <s v="M-ONE Sanitar Silikon"/>
    <n v="12"/>
    <x v="1"/>
    <n v="0.17"/>
  </r>
  <r>
    <s v="UNIKA"/>
    <x v="71"/>
    <m/>
    <m/>
    <m/>
    <x v="43"/>
    <s v="UNIKA"/>
    <x v="18"/>
    <s v="M-ONE Sanitar Silikon"/>
    <n v="12"/>
    <x v="1"/>
    <n v="0.17"/>
  </r>
  <r>
    <s v="UNIKA"/>
    <x v="71"/>
    <m/>
    <m/>
    <m/>
    <x v="43"/>
    <s v="UNIKA"/>
    <x v="10"/>
    <s v="PROFIMONT EXTREME"/>
    <n v="12"/>
    <x v="1"/>
    <n v="0.2"/>
  </r>
  <r>
    <s v="ELEKTROMONT"/>
    <x v="71"/>
    <n v="79.2"/>
    <m/>
    <m/>
    <x v="188"/>
    <s v="ELEKTROMONT"/>
    <x v="0"/>
    <s v="M-ONE Sanitar Silikon"/>
    <n v="12"/>
    <x v="1"/>
    <n v="0.17"/>
  </r>
  <r>
    <s v="ELEKTROMONT"/>
    <x v="71"/>
    <m/>
    <m/>
    <m/>
    <x v="188"/>
    <s v="ELEKTROMONT"/>
    <x v="23"/>
    <s v="M ONE HAFTGRUND"/>
    <n v="6"/>
    <x v="1"/>
    <n v="0.15"/>
  </r>
  <r>
    <s v="ELEKTROMONT"/>
    <x v="71"/>
    <m/>
    <m/>
    <m/>
    <x v="188"/>
    <s v="ELEKTROMONT"/>
    <x v="12"/>
    <s v="beMAKER Rostlöser"/>
    <n v="6"/>
    <x v="1"/>
    <n v="0.2"/>
  </r>
  <r>
    <s v="ELEKTROMONT"/>
    <x v="71"/>
    <m/>
    <m/>
    <m/>
    <x v="188"/>
    <s v="ELEKTROMONT"/>
    <x v="14"/>
    <s v="beMAKER Bremsen&amp;Teile Reininger"/>
    <n v="3"/>
    <x v="1"/>
    <n v="0.2"/>
  </r>
  <r>
    <s v="ELEKTROMONT"/>
    <x v="71"/>
    <m/>
    <m/>
    <m/>
    <x v="188"/>
    <s v="ELEKTROMONT"/>
    <x v="13"/>
    <s v="M ONE MOTORSTART"/>
    <n v="2"/>
    <x v="1"/>
    <n v="0.2"/>
  </r>
  <r>
    <s v="BULONI - SH"/>
    <x v="71"/>
    <n v="122.4"/>
    <m/>
    <m/>
    <x v="47"/>
    <s v="BULONI - SH"/>
    <x v="1"/>
    <s v="M-ONE Sanitar Silikon"/>
    <n v="12"/>
    <x v="1"/>
    <n v="0.17"/>
  </r>
  <r>
    <s v="BULONI - SH"/>
    <x v="71"/>
    <m/>
    <m/>
    <m/>
    <x v="47"/>
    <s v="BULONI - SH"/>
    <x v="4"/>
    <s v="M-ONE Sanitar Silikon"/>
    <n v="12"/>
    <x v="1"/>
    <n v="0.17"/>
  </r>
  <r>
    <s v="BULONI - SH"/>
    <x v="71"/>
    <m/>
    <m/>
    <m/>
    <x v="47"/>
    <s v="BULONI - SH"/>
    <x v="22"/>
    <s v="universal akryl"/>
    <n v="24"/>
    <x v="1"/>
    <n v="0.06"/>
  </r>
  <r>
    <s v="DIVA QERAMIKA"/>
    <x v="71"/>
    <n v="184.8"/>
    <m/>
    <m/>
    <x v="112"/>
    <s v="DIVA QERAMIKA"/>
    <x v="4"/>
    <s v="M-ONE Sanitar Silikon"/>
    <n v="12"/>
    <x v="1"/>
    <n v="0.17"/>
  </r>
  <r>
    <s v="DIVA QERAMIKA"/>
    <x v="71"/>
    <m/>
    <m/>
    <m/>
    <x v="112"/>
    <s v="DIVA QERAMIKA"/>
    <x v="5"/>
    <s v="M-ONE Sanitar Silikon"/>
    <n v="12"/>
    <x v="1"/>
    <n v="0.17"/>
  </r>
  <r>
    <s v="DIVA QERAMIKA"/>
    <x v="71"/>
    <m/>
    <m/>
    <m/>
    <x v="112"/>
    <s v="DIVA QERAMIKA"/>
    <x v="15"/>
    <s v="M-ONE Sanitar Silikon"/>
    <n v="12"/>
    <x v="1"/>
    <n v="0.17"/>
  </r>
  <r>
    <s v="DIVA QERAMIKA"/>
    <x v="71"/>
    <m/>
    <m/>
    <m/>
    <x v="112"/>
    <s v="DIVA QERAMIKA"/>
    <x v="1"/>
    <s v="M-ONE Sanitar Silikon"/>
    <n v="12"/>
    <x v="1"/>
    <n v="0.17"/>
  </r>
  <r>
    <s v="HIDROELDI"/>
    <x v="72"/>
    <n v="46.2"/>
    <m/>
    <m/>
    <x v="85"/>
    <s v="HIDROELDI"/>
    <x v="18"/>
    <s v="M-ONE Sanitar Silikon"/>
    <n v="12"/>
    <x v="0"/>
    <n v="0.17"/>
  </r>
  <r>
    <s v="AFRIMI"/>
    <x v="72"/>
    <n v="92.4"/>
    <m/>
    <m/>
    <x v="189"/>
    <s v="AFRIMI"/>
    <x v="15"/>
    <s v="M-ONE Sanitar Silikon"/>
    <n v="24"/>
    <x v="0"/>
    <n v="0.17"/>
  </r>
  <r>
    <s v="KADIJOLLET"/>
    <x v="72"/>
    <n v="103.8"/>
    <m/>
    <m/>
    <x v="49"/>
    <s v="KADIJOLLET"/>
    <x v="7"/>
    <s v="DICHTUNG"/>
    <n v="3"/>
    <x v="0"/>
    <n v="0.2"/>
  </r>
  <r>
    <s v="KADIJOLLET"/>
    <x v="72"/>
    <m/>
    <m/>
    <m/>
    <x v="49"/>
    <s v="KADIJOLLET"/>
    <x v="22"/>
    <s v="universal akryl"/>
    <n v="12"/>
    <x v="0"/>
    <n v="0.06"/>
  </r>
  <r>
    <s v="KADIJOLLET"/>
    <x v="72"/>
    <m/>
    <m/>
    <m/>
    <x v="49"/>
    <s v="KADIJOLLET"/>
    <x v="16"/>
    <s v="Fettspray"/>
    <n v="6"/>
    <x v="0"/>
    <n v="0.2"/>
  </r>
  <r>
    <s v="KADIJOLLET"/>
    <x v="72"/>
    <m/>
    <m/>
    <m/>
    <x v="49"/>
    <s v="KADIJOLLET"/>
    <x v="5"/>
    <s v="M-ONE Sanitar Silikon"/>
    <n v="12"/>
    <x v="0"/>
    <n v="0.17"/>
  </r>
  <r>
    <s v="QELA"/>
    <x v="72"/>
    <n v="92.4"/>
    <m/>
    <m/>
    <x v="50"/>
    <s v="QELA"/>
    <x v="9"/>
    <s v="M-ONE Sanitar Silikon"/>
    <n v="12"/>
    <x v="0"/>
    <n v="0.17"/>
  </r>
  <r>
    <s v="QELA"/>
    <x v="72"/>
    <m/>
    <m/>
    <m/>
    <x v="50"/>
    <s v="QELA"/>
    <x v="4"/>
    <s v="M-ONE Sanitar Silikon"/>
    <n v="12"/>
    <x v="0"/>
    <n v="0.17"/>
  </r>
  <r>
    <s v="JETARI"/>
    <x v="72"/>
    <n v="46.2"/>
    <m/>
    <m/>
    <x v="87"/>
    <s v="JETARI"/>
    <x v="25"/>
    <s v="M-ONE Sanitar Silikon"/>
    <n v="12"/>
    <x v="0"/>
    <n v="0.17"/>
  </r>
  <r>
    <s v="BEGU"/>
    <x v="72"/>
    <n v="50"/>
    <m/>
    <m/>
    <x v="190"/>
    <s v="BEGU"/>
    <x v="16"/>
    <s v="Fettspray"/>
    <n v="4"/>
    <x v="0"/>
    <n v="0.2"/>
  </r>
  <r>
    <s v="BEGU"/>
    <x v="72"/>
    <m/>
    <m/>
    <m/>
    <x v="190"/>
    <s v="BEGU"/>
    <x v="7"/>
    <s v="DICHTUNG"/>
    <n v="5"/>
    <x v="0"/>
    <n v="0.2"/>
  </r>
  <r>
    <s v="KENA COMERC"/>
    <x v="72"/>
    <n v="152.4"/>
    <m/>
    <m/>
    <x v="52"/>
    <s v="KENA COMERC"/>
    <x v="4"/>
    <s v="M-ONE Sanitar Silikon"/>
    <n v="12"/>
    <x v="1"/>
    <n v="0.17"/>
  </r>
  <r>
    <s v="KENA COMERC"/>
    <x v="72"/>
    <m/>
    <m/>
    <m/>
    <x v="52"/>
    <s v="KENA COMERC"/>
    <x v="15"/>
    <s v="M-ONE Sanitar Silikon"/>
    <n v="12"/>
    <x v="1"/>
    <n v="0.17"/>
  </r>
  <r>
    <s v="KENA COMERC"/>
    <x v="72"/>
    <m/>
    <m/>
    <m/>
    <x v="52"/>
    <s v="KENA COMERC"/>
    <x v="22"/>
    <s v="universal akryl"/>
    <n v="48"/>
    <x v="1"/>
    <n v="0.06"/>
  </r>
  <r>
    <s v="TECOL 2"/>
    <x v="72"/>
    <n v="83"/>
    <m/>
    <m/>
    <x v="53"/>
    <s v="TECOL 2"/>
    <x v="22"/>
    <s v="universal akryl"/>
    <n v="12"/>
    <x v="1"/>
    <n v="0.06"/>
  </r>
  <r>
    <s v="TECOL 2"/>
    <x v="72"/>
    <m/>
    <m/>
    <m/>
    <x v="53"/>
    <s v="TECOL 2"/>
    <x v="48"/>
    <s v="Zink Spray Hell"/>
    <n v="4"/>
    <x v="1"/>
    <n v="0.2"/>
  </r>
  <r>
    <s v="TECOL 2"/>
    <x v="72"/>
    <m/>
    <m/>
    <m/>
    <x v="53"/>
    <s v="TECOL 2"/>
    <x v="36"/>
    <s v="M ONE GOLD SPRAY"/>
    <n v="4"/>
    <x v="1"/>
    <n v="0.15"/>
  </r>
  <r>
    <s v="TECOL 2"/>
    <x v="72"/>
    <m/>
    <m/>
    <m/>
    <x v="53"/>
    <s v="TECOL 2"/>
    <x v="42"/>
    <s v="M ONE SCHWARZ GLÄNZED"/>
    <n v="4"/>
    <x v="1"/>
    <n v="0.15"/>
  </r>
  <r>
    <s v="TECOL 2"/>
    <x v="72"/>
    <m/>
    <m/>
    <m/>
    <x v="53"/>
    <s v="TECOL 2"/>
    <x v="14"/>
    <s v="beMAKER Bremsen&amp;Teile Reininger"/>
    <n v="4"/>
    <x v="1"/>
    <n v="0.2"/>
  </r>
  <r>
    <s v="TECOL 2"/>
    <x v="72"/>
    <m/>
    <m/>
    <m/>
    <x v="53"/>
    <s v="TECOL 2"/>
    <x v="24"/>
    <s v="M ONE SILIKON SPRAY"/>
    <n v="2"/>
    <x v="1"/>
    <n v="0.2"/>
  </r>
  <r>
    <s v="TECOL 2"/>
    <x v="72"/>
    <m/>
    <m/>
    <m/>
    <x v="53"/>
    <s v="TECOL 2"/>
    <x v="46"/>
    <s v="HAT LACK 800"/>
    <n v="6"/>
    <x v="1"/>
    <n v="0.35"/>
  </r>
  <r>
    <s v="KTHIMI"/>
    <x v="72"/>
    <n v="208.2"/>
    <m/>
    <m/>
    <x v="57"/>
    <s v="KTHIMI"/>
    <x v="3"/>
    <s v="M-ONE Sanitar Silikon"/>
    <n v="12"/>
    <x v="1"/>
    <n v="0.17"/>
  </r>
  <r>
    <s v="KTHIMI"/>
    <x v="72"/>
    <m/>
    <m/>
    <m/>
    <x v="57"/>
    <s v="KTHIMI"/>
    <x v="15"/>
    <s v="M-ONE Sanitar Silikon"/>
    <n v="12"/>
    <x v="1"/>
    <n v="0.17"/>
  </r>
  <r>
    <s v="KTHIMI"/>
    <x v="72"/>
    <m/>
    <m/>
    <m/>
    <x v="57"/>
    <s v="KTHIMI"/>
    <x v="1"/>
    <s v="M-ONE Sanitar Silikon"/>
    <n v="12"/>
    <x v="1"/>
    <n v="0.17"/>
  </r>
  <r>
    <s v="KTHIMI"/>
    <x v="72"/>
    <m/>
    <m/>
    <m/>
    <x v="57"/>
    <s v="KTHIMI"/>
    <x v="10"/>
    <s v="PROFIMONT EXTREME"/>
    <n v="12"/>
    <x v="1"/>
    <n v="0.2"/>
  </r>
  <r>
    <s v="GLOBI TERM"/>
    <x v="72"/>
    <n v="92.4"/>
    <m/>
    <m/>
    <x v="118"/>
    <s v="GLOBI TERM"/>
    <x v="0"/>
    <s v="M-ONE Sanitar Silikon"/>
    <n v="24"/>
    <x v="1"/>
    <n v="0.17"/>
  </r>
  <r>
    <s v="TERMO PROJEKT"/>
    <x v="72"/>
    <n v="162"/>
    <m/>
    <m/>
    <x v="56"/>
    <s v="TERMO PROJEKT"/>
    <x v="10"/>
    <s v="PROFIMONT EXTREME"/>
    <n v="12"/>
    <x v="1"/>
    <n v="0.2"/>
  </r>
  <r>
    <s v="TERMO PROJEKT"/>
    <x v="72"/>
    <m/>
    <m/>
    <m/>
    <x v="56"/>
    <s v="TERMO PROJEKT"/>
    <x v="18"/>
    <s v="M-ONE Sanitar Silikon"/>
    <n v="12"/>
    <x v="1"/>
    <n v="0.17"/>
  </r>
  <r>
    <s v="TERMO PROJEKT"/>
    <x v="72"/>
    <m/>
    <m/>
    <m/>
    <x v="56"/>
    <s v="TERMO PROJEKT"/>
    <x v="20"/>
    <s v="M-ONE Sanitar Silikon"/>
    <n v="12"/>
    <x v="1"/>
    <n v="0.17"/>
  </r>
  <r>
    <s v="ENESI"/>
    <x v="72"/>
    <n v="58.2"/>
    <m/>
    <m/>
    <x v="88"/>
    <s v="ENESI"/>
    <x v="18"/>
    <s v="M-ONE Sanitar Silikon"/>
    <n v="12"/>
    <x v="1"/>
    <n v="0.17"/>
  </r>
  <r>
    <s v="ENESI"/>
    <x v="72"/>
    <m/>
    <m/>
    <m/>
    <x v="88"/>
    <s v="ENESI"/>
    <x v="14"/>
    <s v="beMAKER Bremsen&amp;Teile Reininger"/>
    <n v="6"/>
    <x v="1"/>
    <n v="0.2"/>
  </r>
  <r>
    <s v="LNI SHPK"/>
    <x v="72"/>
    <n v="92.4"/>
    <m/>
    <m/>
    <x v="141"/>
    <s v="LNI SHPK"/>
    <x v="4"/>
    <s v="M-ONE Sanitar Silikon"/>
    <n v="24"/>
    <x v="1"/>
    <n v="0.17"/>
  </r>
  <r>
    <s v="LULI-C"/>
    <x v="72"/>
    <n v="167.6"/>
    <m/>
    <m/>
    <x v="54"/>
    <s v="LULI-C"/>
    <x v="5"/>
    <s v="M-ONE Sanitar Silikon"/>
    <n v="12"/>
    <x v="1"/>
    <n v="0.17"/>
  </r>
  <r>
    <s v="LULI-C"/>
    <x v="72"/>
    <m/>
    <m/>
    <m/>
    <x v="54"/>
    <s v="LULI-C"/>
    <x v="15"/>
    <s v="M-ONE Sanitar Silikon"/>
    <n v="12"/>
    <x v="1"/>
    <n v="0.17"/>
  </r>
  <r>
    <s v="LULI-C"/>
    <x v="72"/>
    <m/>
    <m/>
    <m/>
    <x v="54"/>
    <s v="LULI-C"/>
    <x v="18"/>
    <s v="M-ONE Sanitar Silikon"/>
    <n v="12"/>
    <x v="1"/>
    <n v="0.17"/>
  </r>
  <r>
    <s v="LULI-C"/>
    <x v="72"/>
    <m/>
    <m/>
    <m/>
    <x v="54"/>
    <s v="LULI-C"/>
    <x v="34"/>
    <s v="M ONE FELGENSILBER"/>
    <n v="6"/>
    <x v="1"/>
    <n v="0.15"/>
  </r>
  <r>
    <s v="LULI-C"/>
    <x v="72"/>
    <m/>
    <m/>
    <m/>
    <x v="54"/>
    <s v="LULI-C"/>
    <x v="16"/>
    <s v="Fettspray"/>
    <n v="2"/>
    <x v="1"/>
    <n v="0.2"/>
  </r>
  <r>
    <s v="LULI-C"/>
    <x v="72"/>
    <m/>
    <m/>
    <m/>
    <x v="54"/>
    <s v="LULI-C"/>
    <x v="13"/>
    <s v="M ONE MOTORSTART"/>
    <n v="2"/>
    <x v="1"/>
    <n v="0.2"/>
  </r>
  <r>
    <s v="CAMA BAU"/>
    <x v="72"/>
    <n v="208.2"/>
    <m/>
    <m/>
    <x v="55"/>
    <s v="CAMA BAU"/>
    <x v="4"/>
    <s v="M-ONE Sanitar Silikon"/>
    <n v="24"/>
    <x v="1"/>
    <n v="0.17"/>
  </r>
  <r>
    <s v="CAMA BAU"/>
    <x v="72"/>
    <m/>
    <m/>
    <m/>
    <x v="55"/>
    <s v="CAMA BAU"/>
    <x v="18"/>
    <s v="M-ONE Sanitar Silikon"/>
    <n v="12"/>
    <x v="1"/>
    <n v="0.17"/>
  </r>
  <r>
    <s v="CAMA BAU"/>
    <x v="72"/>
    <m/>
    <m/>
    <m/>
    <x v="55"/>
    <s v="CAMA BAU"/>
    <x v="10"/>
    <s v="PROFIMONT EXTREME"/>
    <n v="12"/>
    <x v="1"/>
    <n v="0.2"/>
  </r>
  <r>
    <s v="AP WOLF"/>
    <x v="72"/>
    <n v="44.5"/>
    <m/>
    <m/>
    <x v="170"/>
    <s v="AP WOLF"/>
    <x v="42"/>
    <s v="M ONE SCHWARZ GLÄNZED"/>
    <n v="4"/>
    <x v="1"/>
    <n v="0.15"/>
  </r>
  <r>
    <s v="AP WOLF"/>
    <x v="72"/>
    <m/>
    <m/>
    <m/>
    <x v="170"/>
    <s v="AP WOLF"/>
    <x v="43"/>
    <s v="M ONE SCHWARZ MATT"/>
    <n v="4"/>
    <x v="1"/>
    <n v="0.15"/>
  </r>
  <r>
    <s v="AP WOLF"/>
    <x v="72"/>
    <m/>
    <m/>
    <m/>
    <x v="170"/>
    <s v="AP WOLF"/>
    <x v="34"/>
    <s v="M ONE FELGENSILBER"/>
    <n v="3"/>
    <x v="1"/>
    <n v="0.15"/>
  </r>
  <r>
    <s v="AP WOLF"/>
    <x v="72"/>
    <m/>
    <m/>
    <m/>
    <x v="170"/>
    <s v="AP WOLF"/>
    <x v="44"/>
    <s v="M ONE FUERROT"/>
    <n v="4"/>
    <x v="1"/>
    <n v="0.15"/>
  </r>
  <r>
    <s v="AP WOLF"/>
    <x v="72"/>
    <m/>
    <m/>
    <m/>
    <x v="170"/>
    <s v="AP WOLF"/>
    <x v="13"/>
    <s v="M ONE MOTORSTART"/>
    <n v="2"/>
    <x v="1"/>
    <n v="0.2"/>
  </r>
  <r>
    <s v="QEMA"/>
    <x v="73"/>
    <n v="208.8"/>
    <m/>
    <m/>
    <x v="134"/>
    <s v="QEMA"/>
    <x v="10"/>
    <s v="PROFIMONT EXTREME"/>
    <n v="36"/>
    <x v="0"/>
    <n v="0.2"/>
  </r>
  <r>
    <s v="MONI 2"/>
    <x v="73"/>
    <n v="73.8"/>
    <m/>
    <m/>
    <x v="60"/>
    <s v="MONI 2"/>
    <x v="1"/>
    <s v="M-ONE Sanitar Silikon"/>
    <n v="12"/>
    <x v="0"/>
    <n v="0.17"/>
  </r>
  <r>
    <s v="MONI 2"/>
    <x v="73"/>
    <m/>
    <m/>
    <m/>
    <x v="60"/>
    <s v="MONI 2"/>
    <x v="8"/>
    <s v="struktural akryl"/>
    <n v="12"/>
    <x v="0"/>
    <n v="0.06"/>
  </r>
  <r>
    <s v="TE BESNIKU"/>
    <x v="73"/>
    <n v="184.8"/>
    <m/>
    <m/>
    <x v="65"/>
    <s v="TE BESNIKU"/>
    <x v="15"/>
    <s v="M-ONE Sanitar Silikon"/>
    <n v="12"/>
    <x v="0"/>
    <n v="0.17"/>
  </r>
  <r>
    <s v="TE BESNIKU"/>
    <x v="73"/>
    <m/>
    <m/>
    <m/>
    <x v="65"/>
    <s v="TE BESNIKU"/>
    <x v="4"/>
    <s v="M-ONE Sanitar Silikon"/>
    <n v="12"/>
    <x v="0"/>
    <n v="0.17"/>
  </r>
  <r>
    <s v="TE BESNIKU"/>
    <x v="73"/>
    <m/>
    <m/>
    <m/>
    <x v="65"/>
    <s v="TE BESNIKU"/>
    <x v="1"/>
    <s v="M-ONE Sanitar Silikon"/>
    <n v="12"/>
    <x v="0"/>
    <n v="0.17"/>
  </r>
  <r>
    <s v="TE BESNIKU"/>
    <x v="73"/>
    <m/>
    <m/>
    <m/>
    <x v="65"/>
    <s v="TE BESNIKU"/>
    <x v="20"/>
    <s v="M-ONE Sanitar Silikon"/>
    <n v="12"/>
    <x v="0"/>
    <n v="0.17"/>
  </r>
  <r>
    <s v="TAULANTI"/>
    <x v="73"/>
    <n v="46.2"/>
    <m/>
    <m/>
    <x v="135"/>
    <e v="#N/A"/>
    <x v="18"/>
    <s v="M-ONE Sanitar Silikon"/>
    <n v="12"/>
    <x v="0"/>
    <n v="0.17"/>
  </r>
  <r>
    <s v="XHAFA"/>
    <x v="73"/>
    <n v="231"/>
    <m/>
    <m/>
    <x v="61"/>
    <s v="XHAFA"/>
    <x v="3"/>
    <s v="M-ONE Sanitar Silikon"/>
    <n v="12"/>
    <x v="0"/>
    <n v="0.17"/>
  </r>
  <r>
    <s v="XHAFA"/>
    <x v="73"/>
    <m/>
    <m/>
    <m/>
    <x v="61"/>
    <s v="XHAFA"/>
    <x v="0"/>
    <s v="M-ONE Sanitar Silikon"/>
    <n v="12"/>
    <x v="0"/>
    <n v="0.17"/>
  </r>
  <r>
    <s v="XHAFA"/>
    <x v="73"/>
    <m/>
    <m/>
    <m/>
    <x v="61"/>
    <s v="XHAFA"/>
    <x v="5"/>
    <s v="M-ONE Sanitar Silikon"/>
    <n v="12"/>
    <x v="0"/>
    <n v="0.17"/>
  </r>
  <r>
    <s v="XHAFA"/>
    <x v="73"/>
    <m/>
    <m/>
    <m/>
    <x v="61"/>
    <s v="XHAFA"/>
    <x v="20"/>
    <s v="M-ONE Sanitar Silikon"/>
    <n v="12"/>
    <x v="0"/>
    <n v="0.17"/>
  </r>
  <r>
    <s v="XHAFA"/>
    <x v="73"/>
    <m/>
    <m/>
    <m/>
    <x v="61"/>
    <s v="XHAFA"/>
    <x v="1"/>
    <s v="M-ONE Sanitar Silikon"/>
    <n v="12"/>
    <x v="0"/>
    <n v="0.17"/>
  </r>
  <r>
    <s v="ARPO"/>
    <x v="73"/>
    <n v="138.6"/>
    <m/>
    <m/>
    <x v="64"/>
    <s v="ARPO"/>
    <x v="15"/>
    <s v="M-ONE Sanitar Silikon"/>
    <n v="12"/>
    <x v="0"/>
    <n v="0.17"/>
  </r>
  <r>
    <s v="ARPO"/>
    <x v="73"/>
    <m/>
    <m/>
    <m/>
    <x v="64"/>
    <s v="ARPO"/>
    <x v="20"/>
    <s v="M-ONE Sanitar Silikon"/>
    <n v="12"/>
    <x v="0"/>
    <n v="0.17"/>
  </r>
  <r>
    <s v="ARPO"/>
    <x v="73"/>
    <m/>
    <m/>
    <m/>
    <x v="64"/>
    <s v="ARPO"/>
    <x v="9"/>
    <s v="M-ONE Sanitar Silikon"/>
    <n v="12"/>
    <x v="0"/>
    <n v="0.17"/>
  </r>
  <r>
    <s v="QEMA"/>
    <x v="73"/>
    <n v="46.2"/>
    <m/>
    <m/>
    <x v="169"/>
    <e v="#N/A"/>
    <x v="0"/>
    <s v="M-ONE Sanitar Silikon"/>
    <n v="12"/>
    <x v="0"/>
    <n v="0.17"/>
  </r>
  <r>
    <s v="BERISHA"/>
    <x v="73"/>
    <n v="162"/>
    <m/>
    <m/>
    <x v="191"/>
    <s v="BERISHA"/>
    <x v="10"/>
    <s v="PROFIMONT EXTREME"/>
    <n v="12"/>
    <x v="0"/>
    <n v="0.2"/>
  </r>
  <r>
    <s v="BERISHA"/>
    <x v="73"/>
    <m/>
    <m/>
    <m/>
    <x v="191"/>
    <s v="BERISHA"/>
    <x v="4"/>
    <s v="M-ONE Sanitar Silikon"/>
    <n v="24"/>
    <x v="0"/>
    <n v="0.17"/>
  </r>
  <r>
    <s v="METAL FATI"/>
    <x v="73"/>
    <n v="46.2"/>
    <m/>
    <m/>
    <x v="179"/>
    <s v="METAL FATI"/>
    <x v="4"/>
    <s v="M-ONE Sanitar Silikon"/>
    <n v="12"/>
    <x v="0"/>
    <n v="0.17"/>
  </r>
  <r>
    <s v="EMSA"/>
    <x v="73"/>
    <n v="273.60000000000002"/>
    <m/>
    <m/>
    <x v="192"/>
    <s v="EMSA"/>
    <x v="4"/>
    <s v="M-ONE Sanitar Silikon"/>
    <n v="60"/>
    <x v="0"/>
    <n v="0.17"/>
  </r>
  <r>
    <s v="EMSA"/>
    <x v="73"/>
    <m/>
    <m/>
    <m/>
    <x v="192"/>
    <s v="EMSA"/>
    <x v="22"/>
    <s v="universal akryl"/>
    <n v="12"/>
    <x v="0"/>
    <n v="0.06"/>
  </r>
  <r>
    <s v="EMSA"/>
    <x v="73"/>
    <m/>
    <m/>
    <m/>
    <x v="192"/>
    <s v="EMSA"/>
    <x v="8"/>
    <s v="struktural akryl"/>
    <n v="12"/>
    <x v="0"/>
    <n v="0.06"/>
  </r>
  <r>
    <s v="TANI"/>
    <x v="73"/>
    <n v="138.6"/>
    <m/>
    <m/>
    <x v="66"/>
    <s v="TANI"/>
    <x v="4"/>
    <s v="M-ONE Sanitar Silikon"/>
    <n v="12"/>
    <x v="1"/>
    <n v="0.17"/>
  </r>
  <r>
    <s v="TANI"/>
    <x v="73"/>
    <m/>
    <m/>
    <m/>
    <x v="66"/>
    <s v="TANI"/>
    <x v="0"/>
    <s v="M-ONE Sanitar Silikon"/>
    <n v="12"/>
    <x v="1"/>
    <n v="0.17"/>
  </r>
  <r>
    <s v="LETAJ"/>
    <x v="73"/>
    <n v="393"/>
    <m/>
    <m/>
    <x v="67"/>
    <s v="LETAJ"/>
    <x v="4"/>
    <s v="M-ONE Sanitar Silikon"/>
    <n v="24"/>
    <x v="1"/>
    <n v="0.17"/>
  </r>
  <r>
    <s v="LETAJ"/>
    <x v="73"/>
    <m/>
    <m/>
    <m/>
    <x v="67"/>
    <s v="LETAJ"/>
    <x v="0"/>
    <s v="M-ONE Sanitar Silikon"/>
    <n v="24"/>
    <x v="1"/>
    <n v="0.17"/>
  </r>
  <r>
    <s v="LETAJ"/>
    <x v="73"/>
    <m/>
    <m/>
    <m/>
    <x v="67"/>
    <s v="LETAJ"/>
    <x v="15"/>
    <s v="M-ONE Sanitar Silikon"/>
    <n v="24"/>
    <x v="1"/>
    <n v="0.17"/>
  </r>
  <r>
    <s v="LETAJ"/>
    <x v="73"/>
    <m/>
    <m/>
    <m/>
    <x v="67"/>
    <s v="LETAJ"/>
    <x v="25"/>
    <s v="M-ONE Sanitar Silikon"/>
    <n v="12"/>
    <x v="1"/>
    <n v="0.17"/>
  </r>
  <r>
    <s v="LETAJ"/>
    <x v="73"/>
    <m/>
    <m/>
    <m/>
    <x v="67"/>
    <s v="LETAJ"/>
    <x v="10"/>
    <s v="PROFIMONT EXTREME"/>
    <n v="12"/>
    <x v="1"/>
    <n v="0.2"/>
  </r>
  <r>
    <s v="GACAFERI-RG"/>
    <x v="73"/>
    <n v="120"/>
    <m/>
    <m/>
    <x v="161"/>
    <s v="GACAFERI-RG"/>
    <x v="0"/>
    <s v="M-ONE Sanitar Silikon"/>
    <n v="12"/>
    <x v="1"/>
    <n v="0.17"/>
  </r>
  <r>
    <s v="GACAFERI-RG"/>
    <x v="73"/>
    <m/>
    <m/>
    <m/>
    <x v="161"/>
    <s v="GACAFERI-RG"/>
    <x v="15"/>
    <s v="M-ONE Sanitar Silikon"/>
    <n v="12"/>
    <x v="1"/>
    <n v="0.17"/>
  </r>
  <r>
    <s v="GACAFERI-RG"/>
    <x v="73"/>
    <m/>
    <m/>
    <m/>
    <x v="161"/>
    <s v="GACAFERI-RG"/>
    <x v="8"/>
    <s v="struktural akryl"/>
    <n v="12"/>
    <x v="1"/>
    <n v="0.06"/>
  </r>
  <r>
    <s v="ERENIKU"/>
    <x v="73"/>
    <n v="107.4"/>
    <m/>
    <m/>
    <x v="92"/>
    <s v="ERENIKU"/>
    <x v="6"/>
    <s v="M-ONE Sanitar Silikon"/>
    <n v="12"/>
    <x v="1"/>
    <n v="0.17"/>
  </r>
  <r>
    <s v="ERENIKU"/>
    <x v="73"/>
    <m/>
    <m/>
    <m/>
    <x v="92"/>
    <s v="ERENIKU"/>
    <x v="20"/>
    <s v="M-ONE Sanitar Silikon"/>
    <n v="12"/>
    <x v="1"/>
    <n v="0.17"/>
  </r>
  <r>
    <s v="ERENIKU"/>
    <x v="73"/>
    <m/>
    <m/>
    <m/>
    <x v="92"/>
    <s v="ERENIKU"/>
    <x v="22"/>
    <s v="universal akryl"/>
    <n v="12"/>
    <x v="1"/>
    <n v="0.06"/>
  </r>
  <r>
    <s v="INOX 2"/>
    <x v="73"/>
    <n v="153.6"/>
    <m/>
    <m/>
    <x v="93"/>
    <s v="INOX 2"/>
    <x v="3"/>
    <s v="M-ONE Sanitar Silikon"/>
    <n v="12"/>
    <x v="1"/>
    <n v="0.17"/>
  </r>
  <r>
    <s v="INOX 2"/>
    <x v="73"/>
    <m/>
    <m/>
    <m/>
    <x v="93"/>
    <s v="INOX 2"/>
    <x v="4"/>
    <s v="M-ONE Sanitar Silikon"/>
    <n v="12"/>
    <x v="1"/>
    <n v="0.17"/>
  </r>
  <r>
    <s v="INOX 2"/>
    <x v="73"/>
    <m/>
    <m/>
    <m/>
    <x v="93"/>
    <s v="INOX 2"/>
    <x v="18"/>
    <s v="M-ONE Sanitar Silikon"/>
    <n v="12"/>
    <x v="1"/>
    <n v="0.17"/>
  </r>
  <r>
    <s v="INOX 2"/>
    <x v="73"/>
    <m/>
    <m/>
    <m/>
    <x v="93"/>
    <s v="INOX 2"/>
    <x v="8"/>
    <s v="struktural akryl"/>
    <n v="12"/>
    <x v="1"/>
    <n v="0.06"/>
  </r>
  <r>
    <s v="INOX 1"/>
    <x v="73"/>
    <n v="92.4"/>
    <m/>
    <m/>
    <x v="68"/>
    <s v="INOX 1"/>
    <x v="4"/>
    <s v="M-ONE Sanitar Silikon"/>
    <n v="12"/>
    <x v="1"/>
    <n v="0.17"/>
  </r>
  <r>
    <s v="INOX 1"/>
    <x v="73"/>
    <m/>
    <m/>
    <m/>
    <x v="68"/>
    <s v="INOX 1"/>
    <x v="15"/>
    <s v="M-ONE Sanitar Silikon"/>
    <n v="12"/>
    <x v="1"/>
    <n v="0.17"/>
  </r>
  <r>
    <s v="GER COLORS"/>
    <x v="73"/>
    <n v="115.8"/>
    <m/>
    <m/>
    <x v="94"/>
    <s v="GER COLORS"/>
    <x v="20"/>
    <s v="M-ONE Sanitar Silikon"/>
    <n v="12"/>
    <x v="1"/>
    <n v="0.17"/>
  </r>
  <r>
    <s v="GER COLORS"/>
    <x v="73"/>
    <m/>
    <m/>
    <m/>
    <x v="94"/>
    <s v="GER COLORS"/>
    <x v="10"/>
    <s v="PROFIMONT EXTREME"/>
    <n v="12"/>
    <x v="1"/>
    <n v="0.2"/>
  </r>
  <r>
    <s v="AFRIMI-AG"/>
    <x v="73"/>
    <n v="254.4"/>
    <m/>
    <m/>
    <x v="69"/>
    <s v="AFRIMI-AG"/>
    <x v="4"/>
    <s v="M-ONE Sanitar Silikon"/>
    <n v="12"/>
    <x v="1"/>
    <n v="0.17"/>
  </r>
  <r>
    <s v="AFRIMI-AG"/>
    <x v="73"/>
    <m/>
    <m/>
    <m/>
    <x v="69"/>
    <s v="AFRIMI-AG"/>
    <x v="15"/>
    <s v="M-ONE Sanitar Silikon"/>
    <n v="12"/>
    <x v="1"/>
    <n v="0.17"/>
  </r>
  <r>
    <s v="AFRIMI-AG"/>
    <x v="73"/>
    <m/>
    <m/>
    <m/>
    <x v="69"/>
    <s v="AFRIMI-AG"/>
    <x v="18"/>
    <s v="M-ONE Sanitar Silikon"/>
    <n v="12"/>
    <x v="1"/>
    <n v="0.17"/>
  </r>
  <r>
    <s v="AFRIMI-AG"/>
    <x v="73"/>
    <m/>
    <m/>
    <m/>
    <x v="69"/>
    <s v="AFRIMI-AG"/>
    <x v="20"/>
    <s v="M-ONE Sanitar Silikon"/>
    <n v="12"/>
    <x v="1"/>
    <n v="0.17"/>
  </r>
  <r>
    <s v="AFRIMI-AG"/>
    <x v="73"/>
    <m/>
    <m/>
    <m/>
    <x v="69"/>
    <s v="AFRIMI-AG"/>
    <x v="10"/>
    <s v="PROFIMONT EXTREME"/>
    <n v="12"/>
    <x v="1"/>
    <n v="0.2"/>
  </r>
  <r>
    <s v="TE BESIMI"/>
    <x v="73"/>
    <n v="327.60000000000002"/>
    <m/>
    <m/>
    <x v="70"/>
    <s v="TE BESIMI"/>
    <x v="4"/>
    <s v="M-ONE Sanitar Silikon"/>
    <n v="48"/>
    <x v="1"/>
    <n v="0.17"/>
  </r>
  <r>
    <s v="TE BESIMI"/>
    <x v="73"/>
    <m/>
    <m/>
    <m/>
    <x v="70"/>
    <s v="TE BESIMI"/>
    <x v="15"/>
    <s v="M-ONE Sanitar Silikon"/>
    <n v="12"/>
    <x v="1"/>
    <n v="0.17"/>
  </r>
  <r>
    <s v="TE BESIMI"/>
    <x v="73"/>
    <m/>
    <m/>
    <m/>
    <x v="70"/>
    <s v="TE BESIMI"/>
    <x v="22"/>
    <s v="universal akryl"/>
    <n v="36"/>
    <x v="1"/>
    <n v="0.06"/>
  </r>
  <r>
    <s v="TE BESIMI"/>
    <x v="73"/>
    <m/>
    <m/>
    <m/>
    <x v="70"/>
    <s v="TE BESIMI"/>
    <x v="33"/>
    <s v="beMaker Handwaschpaste"/>
    <n v="8"/>
    <x v="1"/>
    <n v="0.1"/>
  </r>
  <r>
    <s v="TE BESIMI"/>
    <x v="73"/>
    <m/>
    <m/>
    <m/>
    <x v="70"/>
    <s v="TE BESIMI"/>
    <x v="17"/>
    <s v="M ONE UBS"/>
    <n v="6"/>
    <x v="1"/>
    <n v="0.2"/>
  </r>
  <r>
    <s v="TE BESIMI"/>
    <x v="73"/>
    <m/>
    <m/>
    <m/>
    <x v="70"/>
    <s v="TE BESIMI"/>
    <x v="12"/>
    <s v="beMAKER Rostlöser"/>
    <n v="6"/>
    <x v="1"/>
    <n v="0.2"/>
  </r>
  <r>
    <s v="TE BESIMI"/>
    <x v="73"/>
    <m/>
    <m/>
    <m/>
    <x v="70"/>
    <s v="TE BESIMI"/>
    <x v="23"/>
    <s v="M ONE HAFTGRUND"/>
    <n v="6"/>
    <x v="1"/>
    <n v="0.15"/>
  </r>
  <r>
    <s v="CAMA BAU"/>
    <x v="73"/>
    <n v="62"/>
    <m/>
    <m/>
    <x v="55"/>
    <s v="CAMA BAU"/>
    <x v="40"/>
    <s v="KAMIN CLEANER"/>
    <n v="10"/>
    <x v="1"/>
    <n v="0.5"/>
  </r>
  <r>
    <s v="CAMA BAU"/>
    <x v="73"/>
    <m/>
    <m/>
    <m/>
    <x v="55"/>
    <s v="CAMA BAU"/>
    <x v="46"/>
    <s v="HAT LACK 800"/>
    <n v="12"/>
    <x v="1"/>
    <n v="0.35"/>
  </r>
  <r>
    <s v="MIRSADI"/>
    <x v="74"/>
    <n v="184.8"/>
    <m/>
    <m/>
    <x v="73"/>
    <s v="MIRSADI"/>
    <x v="4"/>
    <s v="M-ONE Sanitar Silikon"/>
    <n v="12"/>
    <x v="0"/>
    <n v="0.17"/>
  </r>
  <r>
    <s v="MIRSADI"/>
    <x v="74"/>
    <m/>
    <m/>
    <m/>
    <x v="73"/>
    <s v="MIRSADI"/>
    <x v="1"/>
    <s v="M-ONE Sanitar Silikon"/>
    <n v="12"/>
    <x v="0"/>
    <n v="0.17"/>
  </r>
  <r>
    <s v="MIRSADI"/>
    <x v="74"/>
    <m/>
    <m/>
    <m/>
    <x v="73"/>
    <s v="MIRSADI"/>
    <x v="15"/>
    <s v="M-ONE Sanitar Silikon"/>
    <n v="12"/>
    <x v="0"/>
    <n v="0.17"/>
  </r>
  <r>
    <s v="MIRSADI"/>
    <x v="74"/>
    <m/>
    <m/>
    <m/>
    <x v="73"/>
    <s v="MIRSADI"/>
    <x v="0"/>
    <s v="M-ONE Sanitar Silikon"/>
    <n v="12"/>
    <x v="0"/>
    <n v="0.17"/>
  </r>
  <r>
    <s v="EUROSAN"/>
    <x v="74"/>
    <n v="273.60000000000002"/>
    <m/>
    <m/>
    <x v="123"/>
    <s v="EUROSAN"/>
    <x v="3"/>
    <s v="M-ONE Sanitar Silikon"/>
    <n v="12"/>
    <x v="0"/>
    <n v="0.17"/>
  </r>
  <r>
    <s v="EUROSAN"/>
    <x v="74"/>
    <m/>
    <m/>
    <m/>
    <x v="123"/>
    <s v="EUROSAN"/>
    <x v="0"/>
    <s v="M-ONE Sanitar Silikon"/>
    <n v="12"/>
    <x v="0"/>
    <n v="0.17"/>
  </r>
  <r>
    <s v="EUROSAN"/>
    <x v="74"/>
    <m/>
    <m/>
    <m/>
    <x v="123"/>
    <s v="EUROSAN"/>
    <x v="5"/>
    <s v="M-ONE Sanitar Silikon"/>
    <n v="12"/>
    <x v="0"/>
    <n v="0.17"/>
  </r>
  <r>
    <s v="EUROSAN"/>
    <x v="74"/>
    <m/>
    <m/>
    <m/>
    <x v="123"/>
    <s v="EUROSAN"/>
    <x v="20"/>
    <s v="M-ONE Sanitar Silikon"/>
    <n v="12"/>
    <x v="0"/>
    <n v="0.17"/>
  </r>
  <r>
    <s v="EUROSAN"/>
    <x v="74"/>
    <m/>
    <m/>
    <m/>
    <x v="123"/>
    <s v="EUROSAN"/>
    <x v="1"/>
    <s v="M-ONE Sanitar Silikon"/>
    <n v="12"/>
    <x v="0"/>
    <n v="0.17"/>
  </r>
  <r>
    <s v="EUROSAN"/>
    <x v="74"/>
    <m/>
    <m/>
    <m/>
    <x v="123"/>
    <s v="EUROSAN"/>
    <x v="22"/>
    <s v="universal akryl"/>
    <n v="12"/>
    <x v="0"/>
    <n v="0.06"/>
  </r>
  <r>
    <s v="EUROSAN"/>
    <x v="74"/>
    <m/>
    <m/>
    <m/>
    <x v="123"/>
    <s v="EUROSAN"/>
    <x v="8"/>
    <s v="struktural akryl"/>
    <n v="12"/>
    <x v="0"/>
    <n v="0.06"/>
  </r>
  <r>
    <s v="BURIMI"/>
    <x v="74"/>
    <n v="92.4"/>
    <m/>
    <m/>
    <x v="5"/>
    <s v="BURIMI"/>
    <x v="0"/>
    <s v="M-ONE Sanitar Silikon"/>
    <n v="12"/>
    <x v="0"/>
    <n v="0.17"/>
  </r>
  <r>
    <s v="BURIMI"/>
    <x v="74"/>
    <m/>
    <m/>
    <m/>
    <x v="5"/>
    <s v="BURIMI"/>
    <x v="20"/>
    <s v="M-ONE Sanitar Silikon"/>
    <n v="12"/>
    <x v="0"/>
    <n v="0.17"/>
  </r>
  <r>
    <s v="BALLKANI"/>
    <x v="74"/>
    <n v="138.6"/>
    <m/>
    <m/>
    <x v="98"/>
    <s v="BALLKANI"/>
    <x v="18"/>
    <s v="M-ONE Sanitar Silikon"/>
    <n v="12"/>
    <x v="0"/>
    <n v="0.17"/>
  </r>
  <r>
    <s v="BALLKANI"/>
    <x v="74"/>
    <m/>
    <m/>
    <m/>
    <x v="98"/>
    <s v="BALLKANI"/>
    <x v="1"/>
    <s v="M-ONE Sanitar Silikon"/>
    <n v="12"/>
    <x v="0"/>
    <n v="0.17"/>
  </r>
  <r>
    <s v="BALLKANI"/>
    <x v="74"/>
    <m/>
    <m/>
    <m/>
    <x v="98"/>
    <s v="BALLKANI"/>
    <x v="9"/>
    <s v="M-ONE Sanitar Silikon"/>
    <n v="12"/>
    <x v="0"/>
    <n v="0.17"/>
  </r>
  <r>
    <s v="SMIRA"/>
    <x v="74"/>
    <n v="231"/>
    <m/>
    <m/>
    <x v="75"/>
    <s v="SMIRA"/>
    <x v="1"/>
    <s v="M-ONE Sanitar Silikon"/>
    <n v="24"/>
    <x v="0"/>
    <n v="0.17"/>
  </r>
  <r>
    <s v="SMIRA"/>
    <x v="74"/>
    <m/>
    <m/>
    <m/>
    <x v="75"/>
    <s v="SMIRA"/>
    <x v="25"/>
    <s v="M-ONE Sanitar Silikon"/>
    <n v="12"/>
    <x v="0"/>
    <n v="0.17"/>
  </r>
  <r>
    <s v="SMIRA"/>
    <x v="74"/>
    <m/>
    <m/>
    <m/>
    <x v="75"/>
    <s v="SMIRA"/>
    <x v="20"/>
    <s v="M-ONE Sanitar Silikon"/>
    <n v="12"/>
    <x v="0"/>
    <n v="0.17"/>
  </r>
  <r>
    <s v="SMIRA"/>
    <x v="74"/>
    <m/>
    <m/>
    <m/>
    <x v="75"/>
    <s v="SMIRA"/>
    <x v="18"/>
    <s v="M-ONE Sanitar Silikon"/>
    <n v="12"/>
    <x v="0"/>
    <n v="0.17"/>
  </r>
  <r>
    <s v="ER POWER"/>
    <x v="74"/>
    <n v="86.4"/>
    <m/>
    <m/>
    <x v="193"/>
    <s v="ER POWER"/>
    <x v="7"/>
    <s v="DICHTUNG"/>
    <n v="12"/>
    <x v="0"/>
    <n v="0.2"/>
  </r>
  <r>
    <s v="FATMIRI"/>
    <x v="74"/>
    <n v="92.4"/>
    <m/>
    <m/>
    <x v="124"/>
    <s v="FATMIRI"/>
    <x v="1"/>
    <s v="M-ONE Sanitar Silikon"/>
    <n v="24"/>
    <x v="0"/>
    <n v="0.17"/>
  </r>
  <r>
    <s v="PARKETI"/>
    <x v="74"/>
    <n v="61.2"/>
    <m/>
    <m/>
    <x v="4"/>
    <s v="PARKETI"/>
    <x v="0"/>
    <s v="M-ONE Sanitar Silikon"/>
    <n v="12"/>
    <x v="0"/>
    <n v="0.17"/>
  </r>
  <r>
    <s v="PARKETI"/>
    <x v="74"/>
    <m/>
    <m/>
    <m/>
    <x v="4"/>
    <s v="PARKETI"/>
    <x v="22"/>
    <s v="universal akryl"/>
    <n v="12"/>
    <x v="0"/>
    <n v="0.06"/>
  </r>
  <r>
    <s v="ERALP"/>
    <x v="74"/>
    <n v="92.4"/>
    <m/>
    <m/>
    <x v="1"/>
    <s v="ERALP"/>
    <x v="18"/>
    <s v="M-ONE Sanitar Silikon"/>
    <n v="12"/>
    <x v="0"/>
    <n v="0.17"/>
  </r>
  <r>
    <s v="ERALP"/>
    <x v="74"/>
    <m/>
    <m/>
    <m/>
    <x v="1"/>
    <s v="ERALP"/>
    <x v="2"/>
    <s v="M-ONE Sanitar Silikon"/>
    <n v="12"/>
    <x v="0"/>
    <n v="0.17"/>
  </r>
  <r>
    <s v="BEKA-1"/>
    <x v="74"/>
    <n v="56"/>
    <m/>
    <m/>
    <x v="76"/>
    <s v="BEKA-1"/>
    <x v="7"/>
    <s v="DICHTUNG"/>
    <n v="5"/>
    <x v="0"/>
    <n v="0.2"/>
  </r>
  <r>
    <s v="BEKA-1"/>
    <x v="74"/>
    <m/>
    <m/>
    <m/>
    <x v="76"/>
    <s v="BEKA-1"/>
    <x v="17"/>
    <s v="M ONE UBS"/>
    <n v="5"/>
    <x v="0"/>
    <n v="0.2"/>
  </r>
  <r>
    <s v="GLOBAL NT"/>
    <x v="74"/>
    <n v="120"/>
    <m/>
    <m/>
    <x v="194"/>
    <e v="#N/A"/>
    <x v="9"/>
    <s v="M-ONE Sanitar Silikon"/>
    <n v="12"/>
    <x v="0"/>
    <n v="0.17"/>
  </r>
  <r>
    <s v="GLOBAL NT"/>
    <x v="74"/>
    <m/>
    <m/>
    <m/>
    <x v="194"/>
    <e v="#N/A"/>
    <x v="1"/>
    <s v="M-ONE Sanitar Silikon"/>
    <n v="12"/>
    <x v="0"/>
    <n v="0.17"/>
  </r>
  <r>
    <s v="GLOBAL NT"/>
    <x v="74"/>
    <m/>
    <m/>
    <m/>
    <x v="194"/>
    <e v="#N/A"/>
    <x v="8"/>
    <s v="struktural akryl"/>
    <n v="12"/>
    <x v="0"/>
    <n v="0.06"/>
  </r>
  <r>
    <s v="KOS CERAMIK"/>
    <x v="74"/>
    <n v="92.4"/>
    <m/>
    <m/>
    <x v="171"/>
    <s v="KOS CERAMIK"/>
    <x v="18"/>
    <s v="M-ONE Sanitar Silikon"/>
    <n v="12"/>
    <x v="0"/>
    <n v="0.17"/>
  </r>
  <r>
    <s v="KOS CERAMIK"/>
    <x v="74"/>
    <m/>
    <m/>
    <m/>
    <x v="171"/>
    <s v="KOS CERAMIK"/>
    <x v="4"/>
    <s v="M-ONE Sanitar Silikon"/>
    <n v="12"/>
    <x v="0"/>
    <n v="0.17"/>
  </r>
  <r>
    <s v="TERMOT"/>
    <x v="74"/>
    <n v="231"/>
    <m/>
    <m/>
    <x v="187"/>
    <s v="TERMOT"/>
    <x v="4"/>
    <s v="M-ONE Sanitar Silikon"/>
    <n v="36"/>
    <x v="1"/>
    <n v="0.17"/>
  </r>
  <r>
    <s v="TERMOT"/>
    <x v="74"/>
    <m/>
    <m/>
    <m/>
    <x v="187"/>
    <s v="TERMOT"/>
    <x v="18"/>
    <s v="M-ONE Sanitar Silikon"/>
    <n v="24"/>
    <x v="1"/>
    <n v="0.17"/>
  </r>
  <r>
    <s v="HAZROLLI"/>
    <x v="74"/>
    <n v="115.8"/>
    <m/>
    <m/>
    <x v="9"/>
    <s v="HAZROLLI"/>
    <x v="15"/>
    <s v="M-ONE Sanitar Silikon"/>
    <n v="12"/>
    <x v="1"/>
    <n v="0.17"/>
  </r>
  <r>
    <s v="HAZROLLI"/>
    <x v="74"/>
    <m/>
    <m/>
    <m/>
    <x v="9"/>
    <s v="HAZROLLI"/>
    <x v="10"/>
    <s v="PROFIMONT EXTREME"/>
    <n v="12"/>
    <x v="1"/>
    <n v="0.2"/>
  </r>
  <r>
    <s v="CONDOR"/>
    <x v="74"/>
    <n v="268.10000000000002"/>
    <m/>
    <m/>
    <x v="11"/>
    <s v="CONDOR"/>
    <x v="0"/>
    <s v="M-ONE Sanitar Silikon"/>
    <n v="12"/>
    <x v="1"/>
    <n v="0.17"/>
  </r>
  <r>
    <s v="CONDOR"/>
    <x v="74"/>
    <m/>
    <m/>
    <m/>
    <x v="11"/>
    <s v="CONDOR"/>
    <x v="18"/>
    <s v="M-ONE Sanitar Silikon"/>
    <n v="12"/>
    <x v="1"/>
    <n v="0.17"/>
  </r>
  <r>
    <s v="CONDOR"/>
    <x v="74"/>
    <m/>
    <m/>
    <m/>
    <x v="11"/>
    <s v="CONDOR"/>
    <x v="22"/>
    <s v="universal akryl"/>
    <n v="12"/>
    <x v="1"/>
    <n v="0.06"/>
  </r>
  <r>
    <s v="CONDOR"/>
    <x v="74"/>
    <m/>
    <m/>
    <m/>
    <x v="11"/>
    <s v="CONDOR"/>
    <x v="8"/>
    <s v="struktural akryl"/>
    <n v="12"/>
    <x v="1"/>
    <n v="0.06"/>
  </r>
  <r>
    <s v="CONDOR"/>
    <x v="74"/>
    <m/>
    <m/>
    <m/>
    <x v="11"/>
    <s v="CONDOR"/>
    <x v="10"/>
    <s v="PROFIMONT EXTREME"/>
    <n v="12"/>
    <x v="1"/>
    <n v="0.2"/>
  </r>
  <r>
    <s v="CONDOR"/>
    <x v="74"/>
    <m/>
    <m/>
    <m/>
    <x v="11"/>
    <s v="CONDOR"/>
    <x v="16"/>
    <s v="Fettspray"/>
    <n v="9"/>
    <x v="1"/>
    <n v="0.2"/>
  </r>
  <r>
    <s v="CONDOR"/>
    <x v="74"/>
    <m/>
    <m/>
    <m/>
    <x v="11"/>
    <s v="CONDOR"/>
    <x v="7"/>
    <s v="DICHTUNG"/>
    <n v="4"/>
    <x v="1"/>
    <n v="0.2"/>
  </r>
  <r>
    <s v="SALIHU CORPORATION"/>
    <x v="74"/>
    <n v="73.8"/>
    <m/>
    <m/>
    <x v="195"/>
    <e v="#N/A"/>
    <x v="9"/>
    <s v="M-ONE Sanitar Silikon"/>
    <n v="12"/>
    <x v="1"/>
    <n v="0.17"/>
  </r>
  <r>
    <s v="SALIHU CORPORATION"/>
    <x v="74"/>
    <m/>
    <m/>
    <m/>
    <x v="195"/>
    <e v="#N/A"/>
    <x v="8"/>
    <s v="struktural akryl"/>
    <n v="12"/>
    <x v="1"/>
    <n v="0.06"/>
  </r>
  <r>
    <s v="ABA QERAMIK"/>
    <x v="74"/>
    <n v="92.4"/>
    <m/>
    <m/>
    <x v="177"/>
    <s v="ABA QERAMIK"/>
    <x v="4"/>
    <s v="M-ONE Sanitar Silikon"/>
    <n v="12"/>
    <x v="1"/>
    <n v="0.17"/>
  </r>
  <r>
    <s v="ABA QERAMIK"/>
    <x v="74"/>
    <m/>
    <m/>
    <m/>
    <x v="177"/>
    <s v="ABA QERAMIK"/>
    <x v="0"/>
    <s v="M-ONE Sanitar Silikon"/>
    <n v="12"/>
    <x v="1"/>
    <n v="0.17"/>
  </r>
  <r>
    <s v="BEREQETI"/>
    <x v="74"/>
    <n v="162.6"/>
    <m/>
    <m/>
    <x v="13"/>
    <s v="BEREQETI"/>
    <x v="1"/>
    <s v="M-ONE Sanitar Silikon"/>
    <n v="24"/>
    <x v="1"/>
    <n v="0.17"/>
  </r>
  <r>
    <s v="BEREQETI"/>
    <x v="74"/>
    <m/>
    <m/>
    <m/>
    <x v="13"/>
    <s v="BEREQETI"/>
    <x v="8"/>
    <s v="struktural akryl"/>
    <n v="24"/>
    <x v="1"/>
    <n v="0.06"/>
  </r>
  <r>
    <s v="BEREQETI"/>
    <x v="74"/>
    <m/>
    <m/>
    <m/>
    <x v="13"/>
    <s v="BEREQETI"/>
    <x v="22"/>
    <s v="universal akryl"/>
    <n v="12"/>
    <x v="1"/>
    <n v="0.06"/>
  </r>
  <r>
    <s v="BARDHI-M"/>
    <x v="74"/>
    <n v="177.4"/>
    <m/>
    <m/>
    <x v="77"/>
    <s v="BARDHI-M"/>
    <x v="0"/>
    <s v="M-ONE Sanitar Silikon"/>
    <n v="12"/>
    <x v="1"/>
    <n v="0.17"/>
  </r>
  <r>
    <s v="BARDHI-M"/>
    <x v="74"/>
    <m/>
    <m/>
    <m/>
    <x v="77"/>
    <s v="BARDHI-M"/>
    <x v="5"/>
    <s v="M-ONE Sanitar Silikon"/>
    <n v="12"/>
    <x v="1"/>
    <n v="0.17"/>
  </r>
  <r>
    <s v="BARDHI-M"/>
    <x v="74"/>
    <m/>
    <m/>
    <m/>
    <x v="77"/>
    <s v="BARDHI-M"/>
    <x v="34"/>
    <s v="M ONE FELGENSILBER"/>
    <n v="12"/>
    <x v="1"/>
    <n v="0.15"/>
  </r>
  <r>
    <s v="BARDHI-M"/>
    <x v="74"/>
    <m/>
    <m/>
    <m/>
    <x v="77"/>
    <s v="BARDHI-M"/>
    <x v="23"/>
    <s v="M ONE HAFTGRUND"/>
    <n v="12"/>
    <x v="1"/>
    <n v="0.15"/>
  </r>
  <r>
    <s v="BARDHI-M"/>
    <x v="74"/>
    <m/>
    <m/>
    <m/>
    <x v="77"/>
    <s v="BARDHI-M"/>
    <x v="42"/>
    <s v="M ONE SCHWARZ GLÄNZED"/>
    <n v="10"/>
    <x v="1"/>
    <n v="0.15"/>
  </r>
  <r>
    <s v="DURGUTI 3"/>
    <x v="74"/>
    <n v="122.4"/>
    <m/>
    <m/>
    <x v="12"/>
    <s v="DURGUTI 3"/>
    <x v="15"/>
    <s v="M-ONE Sanitar Silikon"/>
    <n v="12"/>
    <x v="1"/>
    <n v="0.17"/>
  </r>
  <r>
    <s v="DURGUTI 3"/>
    <x v="74"/>
    <m/>
    <m/>
    <m/>
    <x v="12"/>
    <s v="DURGUTI 3"/>
    <x v="5"/>
    <s v="M-ONE Sanitar Silikon"/>
    <n v="12"/>
    <x v="1"/>
    <n v="0.17"/>
  </r>
  <r>
    <s v="DURGUTI 3"/>
    <x v="74"/>
    <m/>
    <m/>
    <m/>
    <x v="12"/>
    <s v="DURGUTI 3"/>
    <x v="22"/>
    <s v="universal akryl"/>
    <n v="24"/>
    <x v="1"/>
    <n v="0.06"/>
  </r>
  <r>
    <s v="SHEHU-A"/>
    <x v="74"/>
    <n v="34"/>
    <m/>
    <m/>
    <x v="17"/>
    <s v="SHEHU-A"/>
    <x v="12"/>
    <s v="beMAKER Rostlöser"/>
    <n v="12"/>
    <x v="1"/>
    <n v="0.2"/>
  </r>
  <r>
    <s v="SHEHU-A"/>
    <x v="74"/>
    <m/>
    <m/>
    <m/>
    <x v="17"/>
    <s v="SHEHU-A"/>
    <x v="21"/>
    <s v="M ONE CHROM SPRAY"/>
    <n v="4"/>
    <x v="1"/>
    <n v="0.15"/>
  </r>
  <r>
    <s v="NDRIQIMI"/>
    <x v="75"/>
    <n v="277.2"/>
    <m/>
    <m/>
    <x v="79"/>
    <s v="NDRIQIMI"/>
    <x v="0"/>
    <s v="M-ONE Sanitar Silikon"/>
    <n v="36"/>
    <x v="0"/>
    <n v="0.17"/>
  </r>
  <r>
    <s v="NDRIQIMI"/>
    <x v="75"/>
    <m/>
    <m/>
    <m/>
    <x v="79"/>
    <s v="NDRIQIMI"/>
    <x v="5"/>
    <s v="M-ONE Sanitar Silikon"/>
    <n v="24"/>
    <x v="0"/>
    <n v="0.17"/>
  </r>
  <r>
    <s v="NDRIQIMI"/>
    <x v="75"/>
    <m/>
    <m/>
    <m/>
    <x v="79"/>
    <s v="NDRIQIMI"/>
    <x v="9"/>
    <s v="M-ONE Sanitar Silikon"/>
    <n v="12"/>
    <x v="0"/>
    <n v="0.17"/>
  </r>
  <r>
    <s v="ENISI - H"/>
    <x v="75"/>
    <n v="46.2"/>
    <m/>
    <m/>
    <x v="20"/>
    <s v="ENISI - H"/>
    <x v="9"/>
    <s v="M-ONE Sanitar Silikon"/>
    <n v="12"/>
    <x v="0"/>
    <n v="0.17"/>
  </r>
  <r>
    <s v="AGRONI"/>
    <x v="75"/>
    <n v="31.9"/>
    <m/>
    <m/>
    <x v="22"/>
    <s v="AGRONI"/>
    <x v="13"/>
    <s v="M ONE MOTORSTART"/>
    <n v="5"/>
    <x v="0"/>
    <n v="0.2"/>
  </r>
  <r>
    <s v="AGRONI"/>
    <x v="75"/>
    <m/>
    <m/>
    <m/>
    <x v="22"/>
    <s v="AGRONI"/>
    <x v="7"/>
    <s v="DICHTUNG"/>
    <n v="2"/>
    <x v="0"/>
    <n v="0.2"/>
  </r>
  <r>
    <s v="GRANITI"/>
    <x v="75"/>
    <n v="92.4"/>
    <m/>
    <m/>
    <x v="80"/>
    <s v="GRANITI"/>
    <x v="4"/>
    <s v="M-ONE Sanitar Silikon"/>
    <n v="12"/>
    <x v="0"/>
    <n v="0.17"/>
  </r>
  <r>
    <s v="GRANITI"/>
    <x v="75"/>
    <m/>
    <m/>
    <m/>
    <x v="80"/>
    <s v="GRANITI"/>
    <x v="1"/>
    <s v="M-ONE Sanitar Silikon"/>
    <n v="12"/>
    <x v="0"/>
    <n v="0.17"/>
  </r>
  <r>
    <s v="UNIVERZAL"/>
    <x v="75"/>
    <n v="92.4"/>
    <m/>
    <m/>
    <x v="18"/>
    <s v="UNIVERZAL"/>
    <x v="18"/>
    <s v="M-ONE Sanitar Silikon"/>
    <n v="12"/>
    <x v="0"/>
    <n v="0.17"/>
  </r>
  <r>
    <s v="UNIVERZAL"/>
    <x v="75"/>
    <m/>
    <m/>
    <m/>
    <x v="18"/>
    <s v="UNIVERZAL"/>
    <x v="20"/>
    <s v="M-ONE Sanitar Silikon"/>
    <n v="12"/>
    <x v="0"/>
    <n v="0.17"/>
  </r>
  <r>
    <s v="VISARI HH"/>
    <x v="75"/>
    <n v="138.6"/>
    <m/>
    <m/>
    <x v="21"/>
    <s v="VISARI HH"/>
    <x v="0"/>
    <s v="M-ONE Sanitar Silikon"/>
    <n v="12"/>
    <x v="0"/>
    <n v="0.17"/>
  </r>
  <r>
    <s v="VISARI HH"/>
    <x v="75"/>
    <m/>
    <m/>
    <m/>
    <x v="21"/>
    <s v="VISARI HH"/>
    <x v="15"/>
    <s v="M-ONE Sanitar Silikon"/>
    <n v="12"/>
    <x v="0"/>
    <n v="0.17"/>
  </r>
  <r>
    <s v="VISARI HH"/>
    <x v="75"/>
    <m/>
    <m/>
    <m/>
    <x v="21"/>
    <s v="VISARI HH"/>
    <x v="20"/>
    <s v="M-ONE Sanitar Silikon"/>
    <n v="12"/>
    <x v="0"/>
    <n v="0.17"/>
  </r>
  <r>
    <s v="BEKA"/>
    <x v="76"/>
    <n v="46.2"/>
    <m/>
    <m/>
    <x v="81"/>
    <s v="BEKA"/>
    <x v="5"/>
    <s v="M-ONE Sanitar Silikon"/>
    <n v="12"/>
    <x v="0"/>
    <n v="0.17"/>
  </r>
  <r>
    <s v="LONI"/>
    <x v="76"/>
    <n v="34"/>
    <m/>
    <m/>
    <x v="24"/>
    <s v="LONI"/>
    <x v="17"/>
    <s v="M ONE UBS"/>
    <n v="6"/>
    <x v="0"/>
    <n v="0.2"/>
  </r>
  <r>
    <s v="LONI"/>
    <x v="76"/>
    <m/>
    <m/>
    <m/>
    <x v="24"/>
    <s v="LONI"/>
    <x v="12"/>
    <s v="beMAKER Rostlöser"/>
    <n v="5"/>
    <x v="0"/>
    <n v="0.2"/>
  </r>
  <r>
    <s v="CARRALEVA 2"/>
    <x v="76"/>
    <n v="107.4"/>
    <m/>
    <m/>
    <x v="23"/>
    <s v="CARRALEVA 2"/>
    <x v="22"/>
    <s v="universal akryl"/>
    <n v="12"/>
    <x v="0"/>
    <n v="0.06"/>
  </r>
  <r>
    <s v="CARRALEVA 2"/>
    <x v="76"/>
    <m/>
    <m/>
    <m/>
    <x v="23"/>
    <s v="CARRALEVA 2"/>
    <x v="4"/>
    <s v="M-ONE Sanitar Silikon"/>
    <n v="12"/>
    <x v="0"/>
    <n v="0.17"/>
  </r>
  <r>
    <s v="CARRALEVA 2"/>
    <x v="76"/>
    <m/>
    <m/>
    <m/>
    <x v="23"/>
    <s v="CARRALEVA 2"/>
    <x v="1"/>
    <s v="M-ONE Sanitar Silikon"/>
    <n v="12"/>
    <x v="0"/>
    <n v="0.17"/>
  </r>
  <r>
    <s v="ARBERI"/>
    <x v="76"/>
    <n v="46.2"/>
    <m/>
    <m/>
    <x v="102"/>
    <s v="ARBERI"/>
    <x v="15"/>
    <s v="M-ONE Sanitar Silikon"/>
    <n v="12"/>
    <x v="0"/>
    <n v="0.17"/>
  </r>
  <r>
    <s v="ZAIMI"/>
    <x v="76"/>
    <n v="92.4"/>
    <m/>
    <m/>
    <x v="129"/>
    <e v="#N/A"/>
    <x v="4"/>
    <s v="M-ONE Sanitar Silikon"/>
    <n v="12"/>
    <x v="0"/>
    <n v="0.17"/>
  </r>
  <r>
    <s v="ZAIMI"/>
    <x v="76"/>
    <m/>
    <m/>
    <m/>
    <x v="129"/>
    <e v="#N/A"/>
    <x v="9"/>
    <s v="M-ONE Sanitar Silikon"/>
    <n v="12"/>
    <x v="0"/>
    <n v="0.17"/>
  </r>
  <r>
    <s v="REAL COLOR 2"/>
    <x v="76"/>
    <n v="138.6"/>
    <m/>
    <m/>
    <x v="26"/>
    <s v="REAL COLOR 2"/>
    <x v="4"/>
    <s v="M-ONE Sanitar Silikon"/>
    <n v="12"/>
    <x v="0"/>
    <n v="0.17"/>
  </r>
  <r>
    <s v="REAL COLOR 2"/>
    <x v="76"/>
    <m/>
    <m/>
    <m/>
    <x v="26"/>
    <s v="REAL COLOR 2"/>
    <x v="18"/>
    <s v="M-ONE Sanitar Silikon"/>
    <n v="12"/>
    <x v="0"/>
    <n v="0.17"/>
  </r>
  <r>
    <s v="REAL COLOR 2"/>
    <x v="76"/>
    <m/>
    <m/>
    <m/>
    <x v="26"/>
    <s v="REAL COLOR 2"/>
    <x v="25"/>
    <s v="M-ONE Sanitar Silikon"/>
    <n v="12"/>
    <x v="0"/>
    <n v="0.17"/>
  </r>
  <r>
    <s v="ARDI LIPJAN"/>
    <x v="76"/>
    <n v="79.5"/>
    <m/>
    <m/>
    <x v="27"/>
    <s v="ARDI LIPJAN"/>
    <x v="7"/>
    <s v="DICHTUNG"/>
    <n v="5"/>
    <x v="0"/>
    <n v="0.2"/>
  </r>
  <r>
    <s v="ARDI LIPJAN"/>
    <x v="76"/>
    <m/>
    <m/>
    <m/>
    <x v="27"/>
    <s v="ARDI LIPJAN"/>
    <x v="13"/>
    <s v="M ONE MOTORSTART"/>
    <n v="6"/>
    <x v="0"/>
    <n v="0.2"/>
  </r>
  <r>
    <s v="ARDI LIPJAN"/>
    <x v="76"/>
    <m/>
    <m/>
    <m/>
    <x v="27"/>
    <s v="ARDI LIPJAN"/>
    <x v="34"/>
    <s v="M ONE FELGENSILBER"/>
    <n v="4"/>
    <x v="0"/>
    <n v="0.15"/>
  </r>
  <r>
    <s v="ARDI LIPJAN"/>
    <x v="76"/>
    <m/>
    <m/>
    <m/>
    <x v="27"/>
    <s v="ARDI LIPJAN"/>
    <x v="45"/>
    <s v="M ONE WEISS GLÄNZEND"/>
    <n v="5"/>
    <x v="0"/>
    <n v="0.15"/>
  </r>
  <r>
    <s v="CARRALEVA 1"/>
    <x v="76"/>
    <n v="46.2"/>
    <m/>
    <m/>
    <x v="25"/>
    <s v="CARRALEVA 1"/>
    <x v="4"/>
    <s v="M-ONE Sanitar Silikon"/>
    <n v="12"/>
    <x v="0"/>
    <n v="0.17"/>
  </r>
  <r>
    <s v="NSM TRADE"/>
    <x v="76"/>
    <n v="60"/>
    <m/>
    <m/>
    <x v="196"/>
    <e v="#N/A"/>
    <x v="17"/>
    <s v="M ONE UBS"/>
    <n v="4"/>
    <x v="1"/>
    <n v="0.2"/>
  </r>
  <r>
    <s v="NSM TRADE"/>
    <x v="76"/>
    <m/>
    <m/>
    <m/>
    <x v="196"/>
    <e v="#N/A"/>
    <x v="42"/>
    <s v="M ONE SCHWARZ GLÄNZED"/>
    <n v="4"/>
    <x v="1"/>
    <n v="0.15"/>
  </r>
  <r>
    <s v="NSM TRADE"/>
    <x v="76"/>
    <m/>
    <m/>
    <m/>
    <x v="196"/>
    <e v="#N/A"/>
    <x v="34"/>
    <s v="M ONE FELGENSILBER"/>
    <n v="4"/>
    <x v="1"/>
    <n v="0.15"/>
  </r>
  <r>
    <s v="NSM TRADE"/>
    <x v="76"/>
    <m/>
    <m/>
    <m/>
    <x v="196"/>
    <e v="#N/A"/>
    <x v="7"/>
    <s v="DICHTUNG"/>
    <n v="3"/>
    <x v="1"/>
    <n v="0.2"/>
  </r>
  <r>
    <s v="LIRIDONA KLINE"/>
    <x v="76"/>
    <n v="107.4"/>
    <m/>
    <m/>
    <x v="30"/>
    <s v="LIRIDONA KLINE"/>
    <x v="5"/>
    <s v="M-ONE Sanitar Silikon"/>
    <n v="12"/>
    <x v="1"/>
    <n v="0.17"/>
  </r>
  <r>
    <s v="LIRIDONA KLINE"/>
    <x v="76"/>
    <m/>
    <m/>
    <m/>
    <x v="30"/>
    <s v="LIRIDONA KLINE"/>
    <x v="1"/>
    <s v="M-ONE Sanitar Silikon"/>
    <n v="12"/>
    <x v="1"/>
    <n v="0.17"/>
  </r>
  <r>
    <s v="LIRIDONA KLINE"/>
    <x v="76"/>
    <m/>
    <m/>
    <m/>
    <x v="30"/>
    <s v="LIRIDONA KLINE"/>
    <x v="22"/>
    <s v="universal akryl"/>
    <n v="12"/>
    <x v="1"/>
    <n v="0.06"/>
  </r>
  <r>
    <s v="LIRIDONA HOME"/>
    <x v="76"/>
    <n v="277.2"/>
    <m/>
    <m/>
    <x v="106"/>
    <s v="LIRIDONA HOME"/>
    <x v="4"/>
    <s v="M-ONE Sanitar Silikon"/>
    <n v="24"/>
    <x v="1"/>
    <n v="0.17"/>
  </r>
  <r>
    <s v="LIRIDONA HOME"/>
    <x v="76"/>
    <m/>
    <m/>
    <m/>
    <x v="106"/>
    <s v="LIRIDONA HOME"/>
    <x v="1"/>
    <s v="M-ONE Sanitar Silikon"/>
    <n v="24"/>
    <x v="1"/>
    <n v="0.17"/>
  </r>
  <r>
    <s v="LIRIDONA HOME"/>
    <x v="76"/>
    <m/>
    <m/>
    <m/>
    <x v="106"/>
    <s v="LIRIDONA HOME"/>
    <x v="0"/>
    <s v="M-ONE Sanitar Silikon"/>
    <n v="12"/>
    <x v="1"/>
    <n v="0.17"/>
  </r>
  <r>
    <s v="LIRIDONA HOME"/>
    <x v="76"/>
    <m/>
    <m/>
    <m/>
    <x v="106"/>
    <s v="LIRIDONA HOME"/>
    <x v="18"/>
    <s v="M-ONE Sanitar Silikon"/>
    <n v="12"/>
    <x v="1"/>
    <n v="0.17"/>
  </r>
  <r>
    <s v="BERATI A.P. (1)"/>
    <x v="76"/>
    <n v="42.5"/>
    <m/>
    <m/>
    <x v="31"/>
    <s v="BERATI A.P. (1)"/>
    <x v="7"/>
    <s v="DICHTUNG"/>
    <n v="2"/>
    <x v="1"/>
    <n v="0.2"/>
  </r>
  <r>
    <s v="BERATI A.P. (1)"/>
    <x v="76"/>
    <m/>
    <m/>
    <m/>
    <x v="31"/>
    <s v="BERATI A.P. (1)"/>
    <x v="17"/>
    <s v="M ONE UBS"/>
    <n v="4"/>
    <x v="1"/>
    <n v="0.2"/>
  </r>
  <r>
    <s v="BERATI A.P. (1)"/>
    <x v="76"/>
    <m/>
    <m/>
    <m/>
    <x v="31"/>
    <s v="BERATI A.P. (1)"/>
    <x v="16"/>
    <s v="Fettspray"/>
    <n v="2"/>
    <x v="1"/>
    <n v="0.2"/>
  </r>
  <r>
    <s v="BERATI A.P. (1)"/>
    <x v="76"/>
    <m/>
    <m/>
    <m/>
    <x v="31"/>
    <s v="BERATI A.P. (1)"/>
    <x v="13"/>
    <s v="M ONE MOTORSTART"/>
    <n v="1"/>
    <x v="1"/>
    <n v="0.2"/>
  </r>
  <r>
    <s v="LIRIDONA-A"/>
    <x v="76"/>
    <n v="462"/>
    <m/>
    <m/>
    <x v="105"/>
    <s v="LIRIDONA-A"/>
    <x v="1"/>
    <s v="M-ONE Sanitar Silikon"/>
    <n v="60"/>
    <x v="1"/>
    <n v="0.17"/>
  </r>
  <r>
    <s v="LIRIDONA-A"/>
    <x v="76"/>
    <m/>
    <m/>
    <m/>
    <x v="105"/>
    <s v="LIRIDONA-A"/>
    <x v="18"/>
    <s v="M-ONE Sanitar Silikon"/>
    <n v="12"/>
    <x v="1"/>
    <n v="0.17"/>
  </r>
  <r>
    <s v="LIRIDONA-A"/>
    <x v="76"/>
    <m/>
    <m/>
    <m/>
    <x v="105"/>
    <s v="LIRIDONA-A"/>
    <x v="10"/>
    <s v="PROFIMONT EXTREME"/>
    <n v="12"/>
    <x v="1"/>
    <n v="0.2"/>
  </r>
  <r>
    <s v="LIRIDONA-A"/>
    <x v="76"/>
    <m/>
    <m/>
    <m/>
    <x v="105"/>
    <s v="LIRIDONA-A"/>
    <x v="22"/>
    <s v="universal akryl"/>
    <n v="48"/>
    <x v="1"/>
    <n v="0.06"/>
  </r>
  <r>
    <s v="LIRIDONA-A"/>
    <x v="76"/>
    <m/>
    <m/>
    <m/>
    <x v="105"/>
    <s v="LIRIDONA-A"/>
    <x v="49"/>
    <e v="#N/A"/>
    <n v="24"/>
    <x v="1"/>
    <n v="0.06"/>
  </r>
  <r>
    <s v="TE BENI"/>
    <x v="76"/>
    <n v="346.8"/>
    <m/>
    <m/>
    <x v="107"/>
    <s v="TE BENI"/>
    <x v="4"/>
    <s v="M-ONE Sanitar Silikon"/>
    <n v="12"/>
    <x v="1"/>
    <n v="0.17"/>
  </r>
  <r>
    <s v="TE BENI"/>
    <x v="76"/>
    <m/>
    <m/>
    <m/>
    <x v="107"/>
    <s v="TE BENI"/>
    <x v="0"/>
    <s v="M-ONE Sanitar Silikon"/>
    <n v="12"/>
    <x v="1"/>
    <n v="0.17"/>
  </r>
  <r>
    <s v="TE BENI"/>
    <x v="76"/>
    <m/>
    <m/>
    <m/>
    <x v="107"/>
    <s v="TE BENI"/>
    <x v="5"/>
    <s v="M-ONE Sanitar Silikon"/>
    <n v="12"/>
    <x v="1"/>
    <n v="0.17"/>
  </r>
  <r>
    <s v="TE BENI"/>
    <x v="76"/>
    <m/>
    <m/>
    <m/>
    <x v="107"/>
    <s v="TE BENI"/>
    <x v="15"/>
    <s v="M-ONE Sanitar Silikon"/>
    <n v="12"/>
    <x v="1"/>
    <n v="0.17"/>
  </r>
  <r>
    <s v="TE BENI"/>
    <x v="76"/>
    <m/>
    <m/>
    <m/>
    <x v="107"/>
    <s v="TE BENI"/>
    <x v="18"/>
    <s v="M-ONE Sanitar Silikon"/>
    <n v="12"/>
    <x v="1"/>
    <n v="0.17"/>
  </r>
  <r>
    <s v="TE BENI"/>
    <x v="76"/>
    <m/>
    <m/>
    <m/>
    <x v="107"/>
    <s v="TE BENI"/>
    <x v="2"/>
    <s v="M-ONE Sanitar Silikon"/>
    <n v="12"/>
    <x v="1"/>
    <n v="0.17"/>
  </r>
  <r>
    <s v="TE BENI"/>
    <x v="76"/>
    <m/>
    <m/>
    <m/>
    <x v="107"/>
    <s v="TE BENI"/>
    <x v="10"/>
    <s v="PROFIMONT EXTREME"/>
    <n v="12"/>
    <x v="1"/>
    <n v="0.2"/>
  </r>
  <r>
    <s v="A.P. HOTI"/>
    <x v="76"/>
    <n v="38"/>
    <m/>
    <m/>
    <x v="138"/>
    <s v="A.P. HOTI"/>
    <x v="17"/>
    <s v="M ONE UBS"/>
    <n v="4"/>
    <x v="1"/>
    <n v="0.2"/>
  </r>
  <r>
    <s v="A.P. HOTI"/>
    <x v="76"/>
    <m/>
    <m/>
    <m/>
    <x v="138"/>
    <s v="A.P. HOTI"/>
    <x v="16"/>
    <s v="Fettspray"/>
    <n v="4"/>
    <x v="1"/>
    <n v="0.2"/>
  </r>
  <r>
    <s v="A.P. HOTI"/>
    <x v="76"/>
    <m/>
    <m/>
    <m/>
    <x v="138"/>
    <s v="A.P. HOTI"/>
    <x v="46"/>
    <s v="HAT LACK 800"/>
    <n v="2"/>
    <x v="1"/>
    <n v="0.35"/>
  </r>
  <r>
    <s v="MEGI"/>
    <x v="76"/>
    <n v="86.4"/>
    <m/>
    <m/>
    <x v="33"/>
    <s v="MEGI"/>
    <x v="7"/>
    <s v="DICHTUNG"/>
    <n v="12"/>
    <x v="1"/>
    <n v="0.2"/>
  </r>
  <r>
    <s v="BESI"/>
    <x v="76"/>
    <n v="138.6"/>
    <m/>
    <m/>
    <x v="197"/>
    <s v="BESI"/>
    <x v="4"/>
    <s v="M-ONE Sanitar Silikon"/>
    <n v="12"/>
    <x v="1"/>
    <n v="0.17"/>
  </r>
  <r>
    <s v="BESI"/>
    <x v="76"/>
    <m/>
    <m/>
    <m/>
    <x v="197"/>
    <s v="BESI"/>
    <x v="15"/>
    <s v="M-ONE Sanitar Silikon"/>
    <n v="12"/>
    <x v="1"/>
    <n v="0.17"/>
  </r>
  <r>
    <s v="BESI"/>
    <x v="76"/>
    <m/>
    <m/>
    <m/>
    <x v="197"/>
    <s v="BESI"/>
    <x v="5"/>
    <s v="M-ONE Sanitar Silikon"/>
    <n v="12"/>
    <x v="1"/>
    <n v="0.17"/>
  </r>
  <r>
    <s v="TE ZENA"/>
    <x v="77"/>
    <n v="92.4"/>
    <m/>
    <m/>
    <x v="84"/>
    <s v="TE ZENA"/>
    <x v="9"/>
    <s v="M-ONE Sanitar Silikon"/>
    <n v="12"/>
    <x v="0"/>
    <n v="0.17"/>
  </r>
  <r>
    <s v="TE ZENA"/>
    <x v="77"/>
    <m/>
    <m/>
    <m/>
    <x v="84"/>
    <s v="TE ZENA"/>
    <x v="4"/>
    <s v="M-ONE Sanitar Silikon"/>
    <n v="12"/>
    <x v="0"/>
    <n v="0.17"/>
  </r>
  <r>
    <s v="KUJTA"/>
    <x v="77"/>
    <n v="92.4"/>
    <m/>
    <m/>
    <x v="36"/>
    <s v="KUJTA"/>
    <x v="1"/>
    <s v="M-ONE Sanitar Silikon"/>
    <n v="12"/>
    <x v="0"/>
    <n v="0.17"/>
  </r>
  <r>
    <s v="KUJTA"/>
    <x v="77"/>
    <m/>
    <m/>
    <m/>
    <x v="36"/>
    <s v="KUJTA"/>
    <x v="18"/>
    <s v="M-ONE Sanitar Silikon"/>
    <n v="12"/>
    <x v="0"/>
    <n v="0.17"/>
  </r>
  <r>
    <s v="HOXHA"/>
    <x v="77"/>
    <n v="25"/>
    <m/>
    <m/>
    <x v="159"/>
    <s v="HOXHA"/>
    <x v="14"/>
    <s v="beMAKER Bremsen&amp;Teile Reininger"/>
    <n v="6"/>
    <x v="0"/>
    <n v="0.2"/>
  </r>
  <r>
    <s v="HOXHA"/>
    <x v="77"/>
    <m/>
    <m/>
    <m/>
    <x v="159"/>
    <s v="HOXHA"/>
    <x v="23"/>
    <s v="M ONE HAFTGRUND"/>
    <n v="2"/>
    <x v="0"/>
    <n v="0.15"/>
  </r>
  <r>
    <s v="HOXHA"/>
    <x v="77"/>
    <m/>
    <m/>
    <m/>
    <x v="159"/>
    <s v="HOXHA"/>
    <x v="12"/>
    <s v="beMAKER Rostlöser"/>
    <n v="4"/>
    <x v="0"/>
    <n v="0.2"/>
  </r>
  <r>
    <s v="ALBANI"/>
    <x v="77"/>
    <n v="184.8"/>
    <m/>
    <m/>
    <x v="34"/>
    <e v="#N/A"/>
    <x v="0"/>
    <s v="M-ONE Sanitar Silikon"/>
    <n v="24"/>
    <x v="0"/>
    <n v="0.17"/>
  </r>
  <r>
    <s v="ALBANI"/>
    <x v="77"/>
    <m/>
    <m/>
    <m/>
    <x v="34"/>
    <e v="#N/A"/>
    <x v="5"/>
    <s v="M-ONE Sanitar Silikon"/>
    <n v="24"/>
    <x v="0"/>
    <n v="0.17"/>
  </r>
  <r>
    <s v="MIX-B"/>
    <x v="77"/>
    <n v="184.8"/>
    <m/>
    <m/>
    <x v="132"/>
    <s v="MIX-B"/>
    <x v="4"/>
    <s v="M-ONE Sanitar Silikon"/>
    <n v="12"/>
    <x v="1"/>
    <n v="0.17"/>
  </r>
  <r>
    <s v="MIX-B"/>
    <x v="77"/>
    <m/>
    <m/>
    <m/>
    <x v="132"/>
    <s v="MIX-B"/>
    <x v="1"/>
    <s v="M-ONE Sanitar Silikon"/>
    <n v="12"/>
    <x v="1"/>
    <n v="0.17"/>
  </r>
  <r>
    <s v="MIX-B"/>
    <x v="77"/>
    <m/>
    <m/>
    <m/>
    <x v="132"/>
    <s v="MIX-B"/>
    <x v="20"/>
    <s v="M-ONE Sanitar Silikon"/>
    <n v="12"/>
    <x v="1"/>
    <n v="0.17"/>
  </r>
  <r>
    <s v="MIX-B"/>
    <x v="77"/>
    <m/>
    <m/>
    <m/>
    <x v="132"/>
    <s v="MIX-B"/>
    <x v="5"/>
    <s v="M-ONE Sanitar Silikon"/>
    <n v="12"/>
    <x v="1"/>
    <n v="0.17"/>
  </r>
  <r>
    <s v="DIVA QERAMIKA"/>
    <x v="77"/>
    <n v="135"/>
    <m/>
    <m/>
    <x v="112"/>
    <s v="DIVA QERAMIKA"/>
    <x v="0"/>
    <s v="M-ONE Sanitar Silikon"/>
    <n v="12"/>
    <x v="1"/>
    <n v="0.17"/>
  </r>
  <r>
    <s v="DIVA QERAMIKA"/>
    <x v="77"/>
    <m/>
    <m/>
    <m/>
    <x v="112"/>
    <s v="DIVA QERAMIKA"/>
    <x v="1"/>
    <s v="M-ONE Sanitar Silikon"/>
    <n v="12"/>
    <x v="1"/>
    <n v="0.17"/>
  </r>
  <r>
    <s v="DIVA QERAMIKA"/>
    <x v="77"/>
    <m/>
    <m/>
    <m/>
    <x v="112"/>
    <s v="DIVA QERAMIKA"/>
    <x v="22"/>
    <s v="universal akryl"/>
    <n v="12"/>
    <x v="1"/>
    <n v="0.06"/>
  </r>
  <r>
    <s v="DIVA QERAMIKA"/>
    <x v="77"/>
    <m/>
    <m/>
    <m/>
    <x v="112"/>
    <s v="DIVA QERAMIKA"/>
    <x v="8"/>
    <s v="struktural akryl"/>
    <n v="12"/>
    <x v="1"/>
    <n v="0.06"/>
  </r>
  <r>
    <s v="UNIKA"/>
    <x v="77"/>
    <n v="92.4"/>
    <m/>
    <m/>
    <x v="43"/>
    <s v="UNIKA"/>
    <x v="0"/>
    <s v="M-ONE Sanitar Silikon"/>
    <n v="24"/>
    <x v="1"/>
    <n v="0.17"/>
  </r>
  <r>
    <s v="ALFA-QERAMIKA"/>
    <x v="77"/>
    <n v="138.6"/>
    <m/>
    <m/>
    <x v="115"/>
    <s v="ALFA-QERAMIKA"/>
    <x v="1"/>
    <s v="M-ONE Sanitar Silikon"/>
    <n v="24"/>
    <x v="1"/>
    <n v="0.17"/>
  </r>
  <r>
    <s v="ALFA-QERAMIKA"/>
    <x v="77"/>
    <m/>
    <m/>
    <m/>
    <x v="115"/>
    <s v="ALFA-QERAMIKA"/>
    <x v="0"/>
    <s v="M-ONE Sanitar Silikon"/>
    <n v="12"/>
    <x v="1"/>
    <n v="0.17"/>
  </r>
  <r>
    <s v="AGRO-XHETI"/>
    <x v="77"/>
    <n v="231"/>
    <m/>
    <m/>
    <x v="114"/>
    <s v="AGRO-XHETI"/>
    <x v="18"/>
    <s v="M-ONE Sanitar Silikon"/>
    <n v="24"/>
    <x v="1"/>
    <n v="0.17"/>
  </r>
  <r>
    <s v="AGRO-XHETI"/>
    <x v="77"/>
    <m/>
    <m/>
    <m/>
    <x v="114"/>
    <s v="AGRO-XHETI"/>
    <x v="9"/>
    <s v="M-ONE Sanitar Silikon"/>
    <n v="12"/>
    <x v="1"/>
    <n v="0.17"/>
  </r>
  <r>
    <s v="AGRO-XHETI"/>
    <x v="77"/>
    <m/>
    <m/>
    <m/>
    <x v="114"/>
    <s v="AGRO-XHETI"/>
    <x v="2"/>
    <s v="M-ONE Sanitar Silikon"/>
    <n v="12"/>
    <x v="1"/>
    <n v="0.17"/>
  </r>
  <r>
    <s v="AGRO-XHETI"/>
    <x v="77"/>
    <m/>
    <m/>
    <m/>
    <x v="114"/>
    <s v="AGRO-XHETI"/>
    <x v="15"/>
    <s v="M-ONE Sanitar Silikon"/>
    <n v="12"/>
    <x v="1"/>
    <n v="0.17"/>
  </r>
  <r>
    <s v="PROMOIN"/>
    <x v="77"/>
    <n v="187.1"/>
    <m/>
    <m/>
    <x v="117"/>
    <s v="PROMOIN"/>
    <x v="20"/>
    <s v="M-ONE Sanitar Silikon"/>
    <n v="12"/>
    <x v="1"/>
    <n v="0.17"/>
  </r>
  <r>
    <s v="PROMOIN"/>
    <x v="77"/>
    <m/>
    <m/>
    <m/>
    <x v="117"/>
    <s v="PROMOIN"/>
    <x v="15"/>
    <s v="M-ONE Sanitar Silikon"/>
    <n v="12"/>
    <x v="1"/>
    <n v="0.17"/>
  </r>
  <r>
    <s v="PROMOIN"/>
    <x v="77"/>
    <m/>
    <m/>
    <m/>
    <x v="117"/>
    <s v="PROMOIN"/>
    <x v="1"/>
    <s v="M-ONE Sanitar Silikon"/>
    <n v="12"/>
    <x v="1"/>
    <n v="0.17"/>
  </r>
  <r>
    <s v="PROMOIN"/>
    <x v="77"/>
    <m/>
    <m/>
    <m/>
    <x v="117"/>
    <s v="PROMOIN"/>
    <x v="34"/>
    <s v="M ONE FELGENSILBER"/>
    <n v="5"/>
    <x v="1"/>
    <n v="0.15"/>
  </r>
  <r>
    <s v="PROMOIN"/>
    <x v="77"/>
    <m/>
    <m/>
    <m/>
    <x v="117"/>
    <s v="PROMOIN"/>
    <x v="7"/>
    <s v="DICHTUNG"/>
    <n v="5"/>
    <x v="1"/>
    <n v="0.2"/>
  </r>
  <r>
    <s v="TE-LUTA"/>
    <x v="77"/>
    <n v="329.5"/>
    <m/>
    <m/>
    <x v="131"/>
    <s v="TE-LUTA"/>
    <x v="4"/>
    <s v="M-ONE Sanitar Silikon"/>
    <n v="36"/>
    <x v="1"/>
    <n v="0.17"/>
  </r>
  <r>
    <s v="TE-LUTA"/>
    <x v="77"/>
    <m/>
    <m/>
    <m/>
    <x v="131"/>
    <s v="TE-LUTA"/>
    <x v="9"/>
    <s v="M-ONE Sanitar Silikon"/>
    <n v="12"/>
    <x v="1"/>
    <n v="0.17"/>
  </r>
  <r>
    <s v="TE-LUTA"/>
    <x v="77"/>
    <m/>
    <m/>
    <m/>
    <x v="131"/>
    <s v="TE-LUTA"/>
    <x v="0"/>
    <s v="M-ONE Sanitar Silikon"/>
    <n v="12"/>
    <x v="1"/>
    <n v="0.17"/>
  </r>
  <r>
    <s v="TE-LUTA"/>
    <x v="77"/>
    <m/>
    <m/>
    <m/>
    <x v="131"/>
    <s v="TE-LUTA"/>
    <x v="5"/>
    <s v="M-ONE Sanitar Silikon"/>
    <n v="12"/>
    <x v="1"/>
    <n v="0.17"/>
  </r>
  <r>
    <s v="TE-LUTA"/>
    <x v="77"/>
    <m/>
    <m/>
    <m/>
    <x v="131"/>
    <s v="TE-LUTA"/>
    <x v="10"/>
    <s v="PROFIMONT EXTREME"/>
    <n v="6"/>
    <x v="1"/>
    <n v="0.2"/>
  </r>
  <r>
    <s v="TE-LUTA"/>
    <x v="77"/>
    <m/>
    <m/>
    <m/>
    <x v="131"/>
    <s v="TE-LUTA"/>
    <x v="16"/>
    <s v="Fettspray"/>
    <n v="5"/>
    <x v="1"/>
    <n v="0.2"/>
  </r>
  <r>
    <s v="LONI"/>
    <x v="77"/>
    <n v="92.4"/>
    <m/>
    <m/>
    <x v="46"/>
    <s v="LONI"/>
    <x v="20"/>
    <s v="M-ONE Sanitar Silikon"/>
    <n v="12"/>
    <x v="1"/>
    <n v="0.17"/>
  </r>
  <r>
    <s v="LONI"/>
    <x v="77"/>
    <m/>
    <m/>
    <m/>
    <x v="46"/>
    <s v="LONI"/>
    <x v="1"/>
    <s v="M-ONE Sanitar Silikon"/>
    <n v="12"/>
    <x v="1"/>
    <n v="0.17"/>
  </r>
  <r>
    <s v="TE-SYLA"/>
    <x v="77"/>
    <n v="127.9"/>
    <m/>
    <m/>
    <x v="44"/>
    <s v="TE-SYLA"/>
    <x v="3"/>
    <s v="M-ONE Sanitar Silikon"/>
    <n v="12"/>
    <x v="1"/>
    <n v="0.17"/>
  </r>
  <r>
    <s v="TE-SYLA"/>
    <x v="77"/>
    <m/>
    <m/>
    <m/>
    <x v="44"/>
    <s v="TE-SYLA"/>
    <x v="5"/>
    <s v="M-ONE Sanitar Silikon"/>
    <n v="12"/>
    <x v="1"/>
    <n v="0.17"/>
  </r>
  <r>
    <s v="TE-SYLA"/>
    <x v="77"/>
    <m/>
    <m/>
    <m/>
    <x v="44"/>
    <s v="TE-SYLA"/>
    <x v="12"/>
    <s v="beMAKER Rostlöser"/>
    <n v="5"/>
    <x v="1"/>
    <n v="0.2"/>
  </r>
  <r>
    <s v="TE-SYLA"/>
    <x v="77"/>
    <m/>
    <m/>
    <m/>
    <x v="44"/>
    <s v="TE-SYLA"/>
    <x v="34"/>
    <s v="M ONE FELGENSILBER"/>
    <n v="5"/>
    <x v="1"/>
    <n v="0.15"/>
  </r>
  <r>
    <s v="TE-SYLA"/>
    <x v="77"/>
    <m/>
    <m/>
    <m/>
    <x v="44"/>
    <s v="TE-SYLA"/>
    <x v="24"/>
    <s v="M ONE SILIKON SPRAY"/>
    <n v="2"/>
    <x v="1"/>
    <n v="0.2"/>
  </r>
  <r>
    <s v="TE-SYLA"/>
    <x v="77"/>
    <m/>
    <m/>
    <m/>
    <x v="44"/>
    <s v="TE-SYLA"/>
    <x v="16"/>
    <s v="Fettspray"/>
    <n v="2"/>
    <x v="1"/>
    <n v="0.2"/>
  </r>
  <r>
    <s v="BULONI - SH"/>
    <x v="77"/>
    <n v="92.4"/>
    <m/>
    <m/>
    <x v="47"/>
    <s v="BULONI - SH"/>
    <x v="5"/>
    <s v="M-ONE Sanitar Silikon"/>
    <n v="12"/>
    <x v="1"/>
    <n v="0.17"/>
  </r>
  <r>
    <s v="BULONI - SH"/>
    <x v="77"/>
    <m/>
    <m/>
    <m/>
    <x v="47"/>
    <s v="BULONI - SH"/>
    <x v="9"/>
    <s v="M-ONE Sanitar Silikon"/>
    <n v="12"/>
    <x v="1"/>
    <n v="0.17"/>
  </r>
  <r>
    <s v="ILIRI QERAMIKA"/>
    <x v="77"/>
    <n v="120"/>
    <m/>
    <m/>
    <x v="41"/>
    <s v="ILIRI QERAMIKA"/>
    <x v="15"/>
    <s v="M-ONE Sanitar Silikon"/>
    <n v="12"/>
    <x v="1"/>
    <n v="0.17"/>
  </r>
  <r>
    <s v="ILIRI QERAMIKA"/>
    <x v="77"/>
    <m/>
    <m/>
    <m/>
    <x v="41"/>
    <s v="ILIRI QERAMIKA"/>
    <x v="20"/>
    <s v="M-ONE Sanitar Silikon"/>
    <n v="12"/>
    <x v="1"/>
    <n v="0.17"/>
  </r>
  <r>
    <s v="ILIRI QERAMIKA"/>
    <x v="77"/>
    <m/>
    <m/>
    <m/>
    <x v="41"/>
    <s v="ILIRI QERAMIKA"/>
    <x v="8"/>
    <s v="struktural akryl"/>
    <n v="12"/>
    <x v="1"/>
    <n v="0.06"/>
  </r>
  <r>
    <s v="BESI COM"/>
    <x v="78"/>
    <n v="29"/>
    <m/>
    <m/>
    <x v="51"/>
    <s v="BESI COM"/>
    <x v="16"/>
    <s v="Fettspray"/>
    <n v="6"/>
    <x v="0"/>
    <n v="0.2"/>
  </r>
  <r>
    <s v="BESI COM"/>
    <x v="78"/>
    <m/>
    <m/>
    <m/>
    <x v="51"/>
    <s v="BESI COM"/>
    <x v="17"/>
    <s v="M ONE UBS"/>
    <n v="2"/>
    <x v="0"/>
    <n v="0.2"/>
  </r>
  <r>
    <s v="KADIJOLLET"/>
    <x v="78"/>
    <n v="118.4"/>
    <m/>
    <m/>
    <x v="49"/>
    <s v="KADIJOLLET"/>
    <x v="0"/>
    <s v="M-ONE Sanitar Silikon"/>
    <n v="12"/>
    <x v="0"/>
    <n v="0.17"/>
  </r>
  <r>
    <s v="KADIJOLLET"/>
    <x v="78"/>
    <m/>
    <m/>
    <m/>
    <x v="49"/>
    <s v="KADIJOLLET"/>
    <x v="2"/>
    <s v="M-ONE Sanitar Silikon"/>
    <n v="12"/>
    <x v="0"/>
    <n v="0.17"/>
  </r>
  <r>
    <s v="KADIJOLLET"/>
    <x v="78"/>
    <m/>
    <m/>
    <m/>
    <x v="49"/>
    <s v="KADIJOLLET"/>
    <x v="12"/>
    <s v="beMAKER Rostlöser"/>
    <n v="3"/>
    <x v="0"/>
    <n v="0.2"/>
  </r>
  <r>
    <s v="KADIJOLLET"/>
    <x v="78"/>
    <m/>
    <m/>
    <m/>
    <x v="49"/>
    <s v="KADIJOLLET"/>
    <x v="14"/>
    <s v="beMAKER Bremsen&amp;Teile Reininger"/>
    <n v="3"/>
    <x v="0"/>
    <n v="0.2"/>
  </r>
  <r>
    <s v="KADIJOLLET"/>
    <x v="78"/>
    <m/>
    <m/>
    <m/>
    <x v="49"/>
    <s v="KADIJOLLET"/>
    <x v="13"/>
    <s v="M ONE MOTORSTART"/>
    <n v="4"/>
    <x v="0"/>
    <n v="0.2"/>
  </r>
  <r>
    <s v="ARSIM"/>
    <x v="78"/>
    <n v="92.4"/>
    <m/>
    <m/>
    <x v="48"/>
    <s v="ARSIM"/>
    <x v="5"/>
    <s v="M-ONE Sanitar Silikon"/>
    <n v="12"/>
    <x v="0"/>
    <n v="0.17"/>
  </r>
  <r>
    <s v="ARSIM"/>
    <x v="78"/>
    <m/>
    <m/>
    <m/>
    <x v="48"/>
    <s v="ARSIM"/>
    <x v="20"/>
    <s v="M-ONE Sanitar Silikon"/>
    <n v="12"/>
    <x v="0"/>
    <n v="0.17"/>
  </r>
  <r>
    <s v="ARDI LIPJAN"/>
    <x v="78"/>
    <n v="72"/>
    <m/>
    <m/>
    <x v="27"/>
    <s v="ARDI LIPJAN"/>
    <x v="23"/>
    <s v="M ONE HAFTGRUND"/>
    <n v="12"/>
    <x v="0"/>
    <n v="0.15"/>
  </r>
  <r>
    <s v="ARDI LIPJAN"/>
    <x v="78"/>
    <m/>
    <m/>
    <m/>
    <x v="27"/>
    <s v="ARDI LIPJAN"/>
    <x v="17"/>
    <s v="M ONE UBS"/>
    <n v="12"/>
    <x v="0"/>
    <n v="0.2"/>
  </r>
  <r>
    <s v="QELA"/>
    <x v="78"/>
    <n v="92.4"/>
    <m/>
    <m/>
    <x v="50"/>
    <s v="QELA"/>
    <x v="15"/>
    <s v="M-ONE Sanitar Silikon"/>
    <n v="12"/>
    <x v="0"/>
    <n v="0.17"/>
  </r>
  <r>
    <s v="QELA"/>
    <x v="78"/>
    <m/>
    <m/>
    <m/>
    <x v="50"/>
    <s v="QELA"/>
    <x v="25"/>
    <s v="M-ONE Sanitar Silikon"/>
    <n v="12"/>
    <x v="0"/>
    <n v="0.17"/>
  </r>
  <r>
    <s v="BAU MIX FATONI"/>
    <x v="78"/>
    <n v="46.2"/>
    <m/>
    <m/>
    <x v="198"/>
    <s v="BAU MIX FATONI"/>
    <x v="9"/>
    <s v="M-ONE Sanitar Silikon"/>
    <n v="12"/>
    <x v="2"/>
    <n v="0.17"/>
  </r>
  <r>
    <s v="KENA COMERC"/>
    <x v="78"/>
    <n v="184.8"/>
    <m/>
    <m/>
    <x v="52"/>
    <s v="KENA COMERC"/>
    <x v="0"/>
    <s v="M-ONE Sanitar Silikon"/>
    <n v="12"/>
    <x v="1"/>
    <n v="0.17"/>
  </r>
  <r>
    <s v="KENA COMERC"/>
    <x v="78"/>
    <m/>
    <m/>
    <m/>
    <x v="52"/>
    <s v="KENA COMERC"/>
    <x v="5"/>
    <s v="M-ONE Sanitar Silikon"/>
    <n v="12"/>
    <x v="1"/>
    <n v="0.17"/>
  </r>
  <r>
    <s v="KENA COMERC"/>
    <x v="78"/>
    <m/>
    <m/>
    <m/>
    <x v="52"/>
    <s v="KENA COMERC"/>
    <x v="2"/>
    <s v="M-ONE Sanitar Silikon"/>
    <n v="12"/>
    <x v="1"/>
    <n v="0.17"/>
  </r>
  <r>
    <s v="KENA COMERC"/>
    <x v="78"/>
    <m/>
    <m/>
    <m/>
    <x v="52"/>
    <s v="KENA COMERC"/>
    <x v="9"/>
    <s v="M-ONE Sanitar Silikon"/>
    <n v="12"/>
    <x v="1"/>
    <n v="0.17"/>
  </r>
  <r>
    <s v="TE GZIMI"/>
    <x v="78"/>
    <n v="60.2"/>
    <m/>
    <m/>
    <x v="119"/>
    <s v="TE GZIMI"/>
    <x v="7"/>
    <s v="DICHTUNG"/>
    <n v="6"/>
    <x v="1"/>
    <n v="0.2"/>
  </r>
  <r>
    <s v="TE GZIMI"/>
    <x v="78"/>
    <m/>
    <m/>
    <m/>
    <x v="119"/>
    <s v="TE GZIMI"/>
    <x v="12"/>
    <s v="beMAKER Rostlöser"/>
    <n v="3"/>
    <x v="1"/>
    <n v="0.2"/>
  </r>
  <r>
    <s v="TE GZIMI"/>
    <x v="78"/>
    <m/>
    <m/>
    <m/>
    <x v="119"/>
    <s v="TE GZIMI"/>
    <x v="14"/>
    <s v="beMAKER Bremsen&amp;Teile Reininger"/>
    <n v="2"/>
    <x v="1"/>
    <n v="0.2"/>
  </r>
  <r>
    <s v="TE GZIMI"/>
    <x v="78"/>
    <m/>
    <m/>
    <m/>
    <x v="119"/>
    <s v="TE GZIMI"/>
    <x v="16"/>
    <s v="Fettspray"/>
    <n v="2"/>
    <x v="1"/>
    <n v="0.2"/>
  </r>
  <r>
    <s v="TERMO PROJEKT"/>
    <x v="78"/>
    <n v="92.4"/>
    <m/>
    <m/>
    <x v="56"/>
    <s v="TERMO PROJEKT"/>
    <x v="1"/>
    <s v="M-ONE Sanitar Silikon"/>
    <n v="24"/>
    <x v="1"/>
    <n v="0.17"/>
  </r>
  <r>
    <s v="LULI-C"/>
    <x v="78"/>
    <n v="107.4"/>
    <m/>
    <m/>
    <x v="54"/>
    <s v="LULI-C"/>
    <x v="3"/>
    <s v="M-ONE Sanitar Silikon"/>
    <n v="12"/>
    <x v="1"/>
    <n v="0.17"/>
  </r>
  <r>
    <s v="LULI-C"/>
    <x v="78"/>
    <m/>
    <m/>
    <m/>
    <x v="54"/>
    <s v="LULI-C"/>
    <x v="4"/>
    <s v="M-ONE Sanitar Silikon"/>
    <n v="12"/>
    <x v="1"/>
    <n v="0.17"/>
  </r>
  <r>
    <s v="LULI-C"/>
    <x v="78"/>
    <m/>
    <m/>
    <m/>
    <x v="54"/>
    <s v="LULI-C"/>
    <x v="22"/>
    <s v="universal akryl"/>
    <n v="12"/>
    <x v="1"/>
    <n v="0.06"/>
  </r>
  <r>
    <s v="CAMA BAU"/>
    <x v="78"/>
    <n v="138.6"/>
    <m/>
    <m/>
    <x v="55"/>
    <s v="CAMA BAU"/>
    <x v="0"/>
    <s v="M-ONE Sanitar Silikon"/>
    <n v="12"/>
    <x v="1"/>
    <n v="0.17"/>
  </r>
  <r>
    <s v="CAMA BAU"/>
    <x v="78"/>
    <m/>
    <m/>
    <m/>
    <x v="55"/>
    <s v="CAMA BAU"/>
    <x v="5"/>
    <s v="M-ONE Sanitar Silikon"/>
    <n v="12"/>
    <x v="1"/>
    <n v="0.17"/>
  </r>
  <r>
    <s v="CAMA BAU"/>
    <x v="78"/>
    <m/>
    <m/>
    <m/>
    <x v="55"/>
    <s v="CAMA BAU"/>
    <x v="9"/>
    <s v="M-ONE Sanitar Silikon"/>
    <n v="12"/>
    <x v="1"/>
    <n v="0.17"/>
  </r>
  <r>
    <s v="ING PROJEKT"/>
    <x v="78"/>
    <n v="92.4"/>
    <m/>
    <m/>
    <x v="168"/>
    <s v="ING PROJEKT"/>
    <x v="15"/>
    <s v="M-ONE Sanitar Silikon"/>
    <n v="24"/>
    <x v="1"/>
    <n v="0.17"/>
  </r>
  <r>
    <s v="ING PROJEKT"/>
    <x v="78"/>
    <m/>
    <m/>
    <m/>
    <x v="168"/>
    <s v="ING PROJEKT"/>
    <x v="25"/>
    <s v="M-ONE Sanitar Silikon"/>
    <n v="24"/>
    <x v="1"/>
    <n v="0.17"/>
  </r>
  <r>
    <s v="KTHIMI"/>
    <x v="78"/>
    <n v="99.4"/>
    <m/>
    <m/>
    <x v="57"/>
    <s v="KTHIMI"/>
    <x v="1"/>
    <s v="M-ONE Sanitar Silikon"/>
    <n v="12"/>
    <x v="1"/>
    <n v="0.17"/>
  </r>
  <r>
    <s v="KTHIMI"/>
    <x v="78"/>
    <m/>
    <m/>
    <m/>
    <x v="57"/>
    <s v="KTHIMI"/>
    <x v="9"/>
    <s v="M-ONE Sanitar Silikon"/>
    <n v="12"/>
    <x v="1"/>
    <n v="0.17"/>
  </r>
  <r>
    <s v="KTHIMI"/>
    <x v="78"/>
    <m/>
    <m/>
    <m/>
    <x v="57"/>
    <s v="KTHIMI"/>
    <x v="13"/>
    <s v="M ONE MOTORSTART"/>
    <n v="2"/>
    <x v="1"/>
    <n v="0.2"/>
  </r>
  <r>
    <s v="ARSIMI"/>
    <x v="79"/>
    <n v="924"/>
    <m/>
    <m/>
    <x v="199"/>
    <e v="#N/A"/>
    <x v="4"/>
    <s v="M-ONE Sanitar Silikon"/>
    <n v="240"/>
    <x v="0"/>
    <n v="0.17"/>
  </r>
  <r>
    <s v="MONI 2"/>
    <x v="79"/>
    <n v="92.4"/>
    <m/>
    <m/>
    <x v="60"/>
    <s v="MONI 2"/>
    <x v="20"/>
    <s v="M-ONE Sanitar Silikon"/>
    <n v="12"/>
    <x v="0"/>
    <n v="0.17"/>
  </r>
  <r>
    <s v="MONI 2"/>
    <x v="79"/>
    <m/>
    <m/>
    <m/>
    <x v="60"/>
    <s v="MONI 2"/>
    <x v="1"/>
    <s v="M-ONE Sanitar Silikon"/>
    <n v="12"/>
    <x v="0"/>
    <n v="0.17"/>
  </r>
  <r>
    <s v="ARPO"/>
    <x v="79"/>
    <n v="430.8"/>
    <m/>
    <m/>
    <x v="64"/>
    <s v="ARPO"/>
    <x v="3"/>
    <s v="M-ONE Sanitar Silikon"/>
    <n v="12"/>
    <x v="0"/>
    <n v="0.17"/>
  </r>
  <r>
    <s v="ARPO"/>
    <x v="79"/>
    <m/>
    <m/>
    <m/>
    <x v="64"/>
    <s v="ARPO"/>
    <x v="0"/>
    <s v="M-ONE Sanitar Silikon"/>
    <n v="12"/>
    <x v="0"/>
    <n v="0.17"/>
  </r>
  <r>
    <s v="ARPO"/>
    <x v="79"/>
    <m/>
    <m/>
    <m/>
    <x v="64"/>
    <s v="ARPO"/>
    <x v="5"/>
    <s v="M-ONE Sanitar Silikon"/>
    <n v="12"/>
    <x v="0"/>
    <n v="0.17"/>
  </r>
  <r>
    <s v="ARPO"/>
    <x v="79"/>
    <m/>
    <m/>
    <m/>
    <x v="64"/>
    <s v="ARPO"/>
    <x v="2"/>
    <s v="M-ONE Sanitar Silikon"/>
    <n v="12"/>
    <x v="0"/>
    <n v="0.17"/>
  </r>
  <r>
    <s v="ARPO"/>
    <x v="79"/>
    <m/>
    <m/>
    <m/>
    <x v="64"/>
    <s v="ARPO"/>
    <x v="1"/>
    <s v="M-ONE Sanitar Silikon"/>
    <n v="24"/>
    <x v="0"/>
    <n v="0.17"/>
  </r>
  <r>
    <s v="ARPO"/>
    <x v="79"/>
    <m/>
    <m/>
    <m/>
    <x v="64"/>
    <s v="ARPO"/>
    <x v="4"/>
    <s v="M-ONE Sanitar Silikon"/>
    <n v="36"/>
    <x v="0"/>
    <n v="0.17"/>
  </r>
  <r>
    <s v="ARPO"/>
    <x v="79"/>
    <m/>
    <m/>
    <m/>
    <x v="64"/>
    <s v="ARPO"/>
    <x v="22"/>
    <s v="universal akryl"/>
    <n v="12"/>
    <x v="0"/>
    <n v="0.06"/>
  </r>
  <r>
    <s v="TAULANTI"/>
    <x v="79"/>
    <n v="138.6"/>
    <m/>
    <m/>
    <x v="135"/>
    <e v="#N/A"/>
    <x v="4"/>
    <s v="M-ONE Sanitar Silikon"/>
    <n v="12"/>
    <x v="0"/>
    <n v="0.17"/>
  </r>
  <r>
    <s v="TAULANTI"/>
    <x v="79"/>
    <m/>
    <m/>
    <m/>
    <x v="135"/>
    <e v="#N/A"/>
    <x v="0"/>
    <s v="M-ONE Sanitar Silikon"/>
    <n v="12"/>
    <x v="0"/>
    <n v="0.17"/>
  </r>
  <r>
    <s v="TAULANTI"/>
    <x v="79"/>
    <m/>
    <m/>
    <m/>
    <x v="135"/>
    <e v="#N/A"/>
    <x v="20"/>
    <s v="M-ONE Sanitar Silikon"/>
    <n v="12"/>
    <x v="0"/>
    <n v="0.17"/>
  </r>
  <r>
    <s v="TE BESNIKU"/>
    <x v="79"/>
    <n v="46.2"/>
    <m/>
    <m/>
    <x v="65"/>
    <s v="TE BESNIKU"/>
    <x v="3"/>
    <s v="M-ONE Sanitar Silikon"/>
    <n v="12"/>
    <x v="0"/>
    <n v="0.17"/>
  </r>
  <r>
    <s v="JETA DUHEL"/>
    <x v="79"/>
    <n v="92.4"/>
    <m/>
    <m/>
    <x v="152"/>
    <s v="JETA DUHEL"/>
    <x v="5"/>
    <s v="M-ONE Sanitar Silikon"/>
    <n v="12"/>
    <x v="0"/>
    <n v="0.17"/>
  </r>
  <r>
    <s v="JETA DUHEL"/>
    <x v="79"/>
    <m/>
    <m/>
    <m/>
    <x v="152"/>
    <s v="JETA DUHEL"/>
    <x v="1"/>
    <s v="M-ONE Sanitar Silikon"/>
    <n v="12"/>
    <x v="0"/>
    <n v="0.17"/>
  </r>
  <r>
    <s v="XHAFA"/>
    <x v="79"/>
    <n v="280.2"/>
    <m/>
    <m/>
    <x v="61"/>
    <s v="XHAFA"/>
    <x v="4"/>
    <s v="M-ONE Sanitar Silikon"/>
    <n v="12"/>
    <x v="0"/>
    <n v="0.17"/>
  </r>
  <r>
    <s v="XHAFA"/>
    <x v="79"/>
    <m/>
    <m/>
    <m/>
    <x v="61"/>
    <s v="XHAFA"/>
    <x v="2"/>
    <s v="M-ONE Sanitar Silikon"/>
    <n v="12"/>
    <x v="0"/>
    <n v="0.17"/>
  </r>
  <r>
    <s v="XHAFA"/>
    <x v="79"/>
    <m/>
    <m/>
    <m/>
    <x v="61"/>
    <s v="XHAFA"/>
    <x v="1"/>
    <s v="M-ONE Sanitar Silikon"/>
    <n v="12"/>
    <x v="0"/>
    <n v="0.17"/>
  </r>
  <r>
    <s v="XHAFA"/>
    <x v="79"/>
    <m/>
    <m/>
    <m/>
    <x v="61"/>
    <s v="XHAFA"/>
    <x v="9"/>
    <s v="M-ONE Sanitar Silikon"/>
    <n v="12"/>
    <x v="0"/>
    <n v="0.17"/>
  </r>
  <r>
    <s v="XHAFA"/>
    <x v="79"/>
    <m/>
    <m/>
    <m/>
    <x v="61"/>
    <s v="XHAFA"/>
    <x v="0"/>
    <s v="M-ONE Sanitar Silikon"/>
    <n v="12"/>
    <x v="0"/>
    <n v="0.17"/>
  </r>
  <r>
    <s v="XHAFA"/>
    <x v="79"/>
    <m/>
    <m/>
    <m/>
    <x v="61"/>
    <s v="XHAFA"/>
    <x v="8"/>
    <s v="struktural akryl"/>
    <n v="12"/>
    <x v="0"/>
    <n v="0.06"/>
  </r>
  <r>
    <s v="XHAFA"/>
    <x v="79"/>
    <m/>
    <m/>
    <m/>
    <x v="61"/>
    <s v="XHAFA"/>
    <x v="7"/>
    <s v="DICHTUNG"/>
    <n v="3"/>
    <x v="0"/>
    <n v="0.2"/>
  </r>
  <r>
    <s v="LETAJ"/>
    <x v="79"/>
    <n v="277.2"/>
    <m/>
    <m/>
    <x v="67"/>
    <s v="LETAJ"/>
    <x v="0"/>
    <s v="M-ONE Sanitar Silikon"/>
    <n v="36"/>
    <x v="1"/>
    <n v="0.17"/>
  </r>
  <r>
    <s v="LETAJ"/>
    <x v="79"/>
    <m/>
    <m/>
    <m/>
    <x v="67"/>
    <s v="LETAJ"/>
    <x v="20"/>
    <s v="M-ONE Sanitar Silikon"/>
    <n v="36"/>
    <x v="1"/>
    <n v="0.17"/>
  </r>
  <r>
    <s v="INOX 2"/>
    <x v="79"/>
    <n v="92.4"/>
    <m/>
    <m/>
    <x v="93"/>
    <s v="INOX 2"/>
    <x v="0"/>
    <s v="M-ONE Sanitar Silikon"/>
    <n v="12"/>
    <x v="1"/>
    <n v="0.17"/>
  </r>
  <r>
    <s v="INOX 2"/>
    <x v="79"/>
    <m/>
    <m/>
    <m/>
    <x v="93"/>
    <s v="INOX 2"/>
    <x v="5"/>
    <s v="M-ONE Sanitar Silikon"/>
    <n v="12"/>
    <x v="1"/>
    <n v="0.17"/>
  </r>
  <r>
    <s v="GER COLORS"/>
    <x v="79"/>
    <n v="138.6"/>
    <m/>
    <m/>
    <x v="94"/>
    <s v="GER COLORS"/>
    <x v="4"/>
    <s v="M-ONE Sanitar Silikon"/>
    <n v="12"/>
    <x v="1"/>
    <n v="0.17"/>
  </r>
  <r>
    <s v="GER COLORS"/>
    <x v="79"/>
    <m/>
    <m/>
    <m/>
    <x v="94"/>
    <s v="GER COLORS"/>
    <x v="15"/>
    <s v="M-ONE Sanitar Silikon"/>
    <n v="12"/>
    <x v="1"/>
    <n v="0.17"/>
  </r>
  <r>
    <s v="GER COLORS"/>
    <x v="79"/>
    <m/>
    <m/>
    <m/>
    <x v="94"/>
    <s v="GER COLORS"/>
    <x v="9"/>
    <s v="M-ONE Sanitar Silikon"/>
    <n v="12"/>
    <x v="1"/>
    <n v="0.17"/>
  </r>
  <r>
    <s v="DIKI BAU SHPK"/>
    <x v="79"/>
    <n v="92.4"/>
    <m/>
    <m/>
    <x v="96"/>
    <s v="DIKI BAU SHPK"/>
    <x v="15"/>
    <s v="M-ONE Sanitar Silikon"/>
    <n v="12"/>
    <x v="1"/>
    <n v="0.17"/>
  </r>
  <r>
    <s v="DIKI BAU SHPK"/>
    <x v="79"/>
    <m/>
    <m/>
    <m/>
    <x v="96"/>
    <s v="DIKI BAU SHPK"/>
    <x v="6"/>
    <s v="M-ONE Sanitar Silikon"/>
    <n v="12"/>
    <x v="1"/>
    <n v="0.17"/>
  </r>
  <r>
    <s v="ERENIKU"/>
    <x v="79"/>
    <n v="116.4"/>
    <m/>
    <m/>
    <x v="92"/>
    <s v="ERENIKU"/>
    <x v="15"/>
    <s v="M-ONE Sanitar Silikon"/>
    <n v="12"/>
    <x v="1"/>
    <n v="0.17"/>
  </r>
  <r>
    <s v="ERENIKU"/>
    <x v="79"/>
    <m/>
    <m/>
    <m/>
    <x v="92"/>
    <s v="ERENIKU"/>
    <x v="22"/>
    <s v="universal akryl"/>
    <n v="12"/>
    <x v="1"/>
    <n v="0.06"/>
  </r>
  <r>
    <s v="ERENIKU"/>
    <x v="79"/>
    <m/>
    <m/>
    <m/>
    <x v="92"/>
    <s v="ERENIKU"/>
    <x v="8"/>
    <s v="struktural akryl"/>
    <n v="24"/>
    <x v="1"/>
    <n v="0.06"/>
  </r>
  <r>
    <s v="AFRIMI-AG"/>
    <x v="79"/>
    <n v="208.2"/>
    <m/>
    <m/>
    <x v="69"/>
    <s v="AFRIMI-AG"/>
    <x v="4"/>
    <s v="M-ONE Sanitar Silikon"/>
    <n v="24"/>
    <x v="1"/>
    <n v="0.17"/>
  </r>
  <r>
    <s v="AFRIMI-AG"/>
    <x v="79"/>
    <m/>
    <m/>
    <m/>
    <x v="69"/>
    <s v="AFRIMI-AG"/>
    <x v="1"/>
    <s v="M-ONE Sanitar Silikon"/>
    <n v="12"/>
    <x v="1"/>
    <n v="0.17"/>
  </r>
  <r>
    <s v="AFRIMI-AG"/>
    <x v="79"/>
    <m/>
    <m/>
    <m/>
    <x v="69"/>
    <s v="AFRIMI-AG"/>
    <x v="10"/>
    <s v="PROFIMONT EXTREME"/>
    <n v="12"/>
    <x v="1"/>
    <n v="0.2"/>
  </r>
  <r>
    <s v="TE BESIMI"/>
    <x v="79"/>
    <n v="216.3"/>
    <m/>
    <m/>
    <x v="70"/>
    <s v="TE BESIMI"/>
    <x v="18"/>
    <s v="M-ONE Sanitar Silikon"/>
    <n v="12"/>
    <x v="1"/>
    <n v="0.17"/>
  </r>
  <r>
    <s v="TE BESIMI"/>
    <x v="79"/>
    <m/>
    <m/>
    <m/>
    <x v="70"/>
    <s v="TE BESIMI"/>
    <x v="9"/>
    <s v="M-ONE Sanitar Silikon"/>
    <n v="12"/>
    <x v="1"/>
    <n v="0.17"/>
  </r>
  <r>
    <s v="TE BESIMI"/>
    <x v="79"/>
    <m/>
    <m/>
    <m/>
    <x v="70"/>
    <s v="TE BESIMI"/>
    <x v="2"/>
    <s v="M-ONE Sanitar Silikon"/>
    <n v="12"/>
    <x v="1"/>
    <n v="0.17"/>
  </r>
  <r>
    <s v="TE BESIMI"/>
    <x v="79"/>
    <m/>
    <m/>
    <m/>
    <x v="70"/>
    <s v="TE BESIMI"/>
    <x v="8"/>
    <s v="struktural akryl"/>
    <n v="24"/>
    <x v="1"/>
    <n v="0.06"/>
  </r>
  <r>
    <s v="TE BESIMI"/>
    <x v="79"/>
    <m/>
    <m/>
    <m/>
    <x v="70"/>
    <s v="TE BESIMI"/>
    <x v="22"/>
    <s v="universal akryl"/>
    <n v="12"/>
    <x v="1"/>
    <n v="0.06"/>
  </r>
  <r>
    <s v="TE BESIMI"/>
    <x v="79"/>
    <m/>
    <m/>
    <m/>
    <x v="70"/>
    <s v="TE BESIMI"/>
    <x v="23"/>
    <s v="M ONE HAFTGRUND"/>
    <n v="7"/>
    <x v="1"/>
    <n v="0.15"/>
  </r>
  <r>
    <s v="ARBENI BIOBLIC"/>
    <x v="79"/>
    <n v="249"/>
    <m/>
    <m/>
    <x v="71"/>
    <s v="ARBENI BIOBLIC"/>
    <x v="28"/>
    <s v="BioBlic Universalreiniger"/>
    <n v="140"/>
    <x v="2"/>
    <n v="0.30000000000000004"/>
  </r>
  <r>
    <s v="ARBENI BIOBLIC"/>
    <x v="79"/>
    <m/>
    <m/>
    <m/>
    <x v="71"/>
    <s v="ARBENI BIOBLIC"/>
    <x v="29"/>
    <s v="Blic Blic Sanitärreiniger"/>
    <n v="50"/>
    <x v="2"/>
    <n v="0.30000000000000004"/>
  </r>
  <r>
    <s v="DARDANIA"/>
    <x v="80"/>
    <n v="184.8"/>
    <m/>
    <m/>
    <x v="6"/>
    <s v="DARDANIA"/>
    <x v="0"/>
    <s v="M-ONE Sanitar Silikon"/>
    <n v="12"/>
    <x v="0"/>
    <n v="0.17"/>
  </r>
  <r>
    <s v="DARDANIA"/>
    <x v="80"/>
    <m/>
    <m/>
    <m/>
    <x v="6"/>
    <s v="DARDANIA"/>
    <x v="5"/>
    <s v="M-ONE Sanitar Silikon"/>
    <n v="12"/>
    <x v="0"/>
    <n v="0.17"/>
  </r>
  <r>
    <s v="DARDANIA"/>
    <x v="80"/>
    <m/>
    <m/>
    <m/>
    <x v="6"/>
    <s v="DARDANIA"/>
    <x v="4"/>
    <s v="M-ONE Sanitar Silikon"/>
    <n v="12"/>
    <x v="0"/>
    <n v="0.17"/>
  </r>
  <r>
    <s v="DARDANIA"/>
    <x v="80"/>
    <m/>
    <m/>
    <m/>
    <x v="6"/>
    <s v="DARDANIA"/>
    <x v="2"/>
    <s v="M-ONE Sanitar Silikon"/>
    <n v="12"/>
    <x v="0"/>
    <n v="0.17"/>
  </r>
  <r>
    <s v="BALLKANI"/>
    <x v="80"/>
    <n v="323.39999999999998"/>
    <m/>
    <m/>
    <x v="98"/>
    <s v="BALLKANI"/>
    <x v="1"/>
    <s v="M-ONE Sanitar Silikon"/>
    <n v="48"/>
    <x v="0"/>
    <n v="0.17"/>
  </r>
  <r>
    <s v="BALLKANI"/>
    <x v="80"/>
    <m/>
    <m/>
    <m/>
    <x v="98"/>
    <s v="BALLKANI"/>
    <x v="6"/>
    <s v="M-ONE Sanitar Silikon"/>
    <n v="12"/>
    <x v="0"/>
    <n v="0.17"/>
  </r>
  <r>
    <s v="BALLKANI"/>
    <x v="80"/>
    <m/>
    <m/>
    <m/>
    <x v="98"/>
    <s v="BALLKANI"/>
    <x v="18"/>
    <s v="M-ONE Sanitar Silikon"/>
    <n v="12"/>
    <x v="0"/>
    <n v="0.17"/>
  </r>
  <r>
    <s v="BALLKANI"/>
    <x v="80"/>
    <m/>
    <m/>
    <m/>
    <x v="98"/>
    <s v="BALLKANI"/>
    <x v="9"/>
    <s v="M-ONE Sanitar Silikon"/>
    <n v="12"/>
    <x v="0"/>
    <n v="0.17"/>
  </r>
  <r>
    <s v="SMIRA"/>
    <x v="80"/>
    <n v="277.2"/>
    <m/>
    <m/>
    <x v="75"/>
    <s v="SMIRA"/>
    <x v="0"/>
    <s v="M-ONE Sanitar Silikon"/>
    <n v="12"/>
    <x v="0"/>
    <n v="0.17"/>
  </r>
  <r>
    <s v="SMIRA"/>
    <x v="80"/>
    <m/>
    <m/>
    <m/>
    <x v="75"/>
    <s v="SMIRA"/>
    <x v="5"/>
    <s v="M-ONE Sanitar Silikon"/>
    <n v="12"/>
    <x v="0"/>
    <n v="0.17"/>
  </r>
  <r>
    <s v="SMIRA"/>
    <x v="80"/>
    <m/>
    <m/>
    <m/>
    <x v="75"/>
    <s v="SMIRA"/>
    <x v="15"/>
    <s v="M-ONE Sanitar Silikon"/>
    <n v="12"/>
    <x v="0"/>
    <n v="0.17"/>
  </r>
  <r>
    <s v="SMIRA"/>
    <x v="80"/>
    <m/>
    <m/>
    <m/>
    <x v="75"/>
    <s v="SMIRA"/>
    <x v="1"/>
    <s v="M-ONE Sanitar Silikon"/>
    <n v="12"/>
    <x v="0"/>
    <n v="0.17"/>
  </r>
  <r>
    <s v="SMIRA"/>
    <x v="80"/>
    <m/>
    <m/>
    <m/>
    <x v="75"/>
    <s v="SMIRA"/>
    <x v="4"/>
    <s v="M-ONE Sanitar Silikon"/>
    <n v="24"/>
    <x v="0"/>
    <n v="0.17"/>
  </r>
  <r>
    <s v="PARKETI"/>
    <x v="80"/>
    <n v="92.4"/>
    <m/>
    <m/>
    <x v="4"/>
    <s v="PARKETI"/>
    <x v="25"/>
    <s v="M-ONE Sanitar Silikon"/>
    <n v="12"/>
    <x v="0"/>
    <n v="0.17"/>
  </r>
  <r>
    <s v="PARKETI"/>
    <x v="80"/>
    <m/>
    <m/>
    <m/>
    <x v="4"/>
    <s v="PARKETI"/>
    <x v="1"/>
    <s v="M-ONE Sanitar Silikon"/>
    <n v="12"/>
    <x v="0"/>
    <n v="0.17"/>
  </r>
  <r>
    <s v="TINA"/>
    <x v="80"/>
    <n v="138.6"/>
    <m/>
    <m/>
    <x v="2"/>
    <s v="TINA"/>
    <x v="0"/>
    <s v="M-ONE Sanitar Silikon"/>
    <n v="12"/>
    <x v="0"/>
    <n v="0.17"/>
  </r>
  <r>
    <s v="TINA"/>
    <x v="80"/>
    <m/>
    <m/>
    <m/>
    <x v="2"/>
    <s v="TINA"/>
    <x v="5"/>
    <s v="M-ONE Sanitar Silikon"/>
    <n v="12"/>
    <x v="0"/>
    <n v="0.17"/>
  </r>
  <r>
    <s v="TINA"/>
    <x v="80"/>
    <m/>
    <m/>
    <m/>
    <x v="2"/>
    <s v="TINA"/>
    <x v="3"/>
    <s v="M-ONE Sanitar Silikon"/>
    <n v="12"/>
    <x v="0"/>
    <n v="0.17"/>
  </r>
  <r>
    <s v="ERALP"/>
    <x v="80"/>
    <n v="92.4"/>
    <m/>
    <m/>
    <x v="1"/>
    <s v="ERALP"/>
    <x v="9"/>
    <s v="M-ONE Sanitar Silikon"/>
    <n v="12"/>
    <x v="0"/>
    <n v="0.17"/>
  </r>
  <r>
    <s v="ERALP"/>
    <x v="80"/>
    <m/>
    <m/>
    <m/>
    <x v="1"/>
    <s v="ERALP"/>
    <x v="15"/>
    <s v="M-ONE Sanitar Silikon"/>
    <n v="12"/>
    <x v="0"/>
    <n v="0.17"/>
  </r>
  <r>
    <s v="DANI-COM"/>
    <x v="80"/>
    <n v="46.2"/>
    <m/>
    <m/>
    <x v="143"/>
    <s v="DANI-COM"/>
    <x v="15"/>
    <s v="M-ONE Sanitar Silikon"/>
    <n v="12"/>
    <x v="0"/>
    <n v="0.17"/>
  </r>
  <r>
    <s v="BEKA-3"/>
    <x v="80"/>
    <n v="86.4"/>
    <m/>
    <m/>
    <x v="8"/>
    <s v="BEKA-3"/>
    <x v="7"/>
    <s v="DICHTUNG"/>
    <n v="12"/>
    <x v="0"/>
    <n v="0.2"/>
  </r>
  <r>
    <s v="TREND CERAMIKA"/>
    <x v="80"/>
    <n v="61.2"/>
    <m/>
    <m/>
    <x v="162"/>
    <s v="TREND CERAMIKA"/>
    <x v="18"/>
    <s v="M-ONE Sanitar Silikon"/>
    <n v="12"/>
    <x v="0"/>
    <n v="0.17"/>
  </r>
  <r>
    <s v="TREND CERAMIKA"/>
    <x v="80"/>
    <m/>
    <m/>
    <m/>
    <x v="162"/>
    <s v="TREND CERAMIKA"/>
    <x v="22"/>
    <s v="universal akryl"/>
    <n v="12"/>
    <x v="0"/>
    <n v="0.06"/>
  </r>
  <r>
    <s v="ARBENI BIOBLIC"/>
    <x v="80"/>
    <n v="87"/>
    <m/>
    <m/>
    <x v="71"/>
    <s v="ARBENI BIOBLIC"/>
    <x v="28"/>
    <s v="BioBlic Universalreiniger"/>
    <n v="10"/>
    <x v="2"/>
    <n v="0.30000000000000004"/>
  </r>
  <r>
    <s v="ARBENI BIOBLIC"/>
    <x v="80"/>
    <m/>
    <m/>
    <m/>
    <x v="71"/>
    <s v="ARBENI BIOBLIC"/>
    <x v="40"/>
    <s v="KAMIN CLEANER"/>
    <n v="10"/>
    <x v="2"/>
    <n v="0.5"/>
  </r>
  <r>
    <s v="ARBENI BIOBLIC"/>
    <x v="80"/>
    <m/>
    <m/>
    <m/>
    <x v="71"/>
    <s v="ARBENI BIOBLIC"/>
    <x v="29"/>
    <s v="Blic Blic Sanitärreiniger"/>
    <n v="60"/>
    <x v="2"/>
    <n v="0.30000000000000004"/>
  </r>
  <r>
    <s v="HAZROLLI"/>
    <x v="80"/>
    <n v="123.6"/>
    <m/>
    <m/>
    <x v="9"/>
    <s v="HAZROLLI"/>
    <x v="10"/>
    <s v="PROFIMONT EXTREME"/>
    <n v="12"/>
    <x v="1"/>
    <n v="0.2"/>
  </r>
  <r>
    <s v="HAZROLLI"/>
    <x v="80"/>
    <m/>
    <m/>
    <m/>
    <x v="9"/>
    <s v="HAZROLLI"/>
    <x v="17"/>
    <s v="M ONE UBS"/>
    <n v="6"/>
    <x v="1"/>
    <n v="0.2"/>
  </r>
  <r>
    <s v="HAZROLLI"/>
    <x v="80"/>
    <m/>
    <m/>
    <m/>
    <x v="9"/>
    <s v="HAZROLLI"/>
    <x v="42"/>
    <s v="M ONE SCHWARZ GLÄNZED"/>
    <n v="6"/>
    <x v="1"/>
    <n v="0.15"/>
  </r>
  <r>
    <s v="HAZROLLI"/>
    <x v="80"/>
    <m/>
    <m/>
    <m/>
    <x v="9"/>
    <s v="HAZROLLI"/>
    <x v="43"/>
    <s v="M ONE SCHWARZ MATT"/>
    <n v="6"/>
    <x v="1"/>
    <n v="0.15"/>
  </r>
  <r>
    <s v="GER COLORS"/>
    <x v="80"/>
    <n v="80"/>
    <m/>
    <m/>
    <x v="94"/>
    <s v="GER COLORS"/>
    <x v="26"/>
    <s v="BAU CLEAN"/>
    <n v="10"/>
    <x v="1"/>
    <n v="0.5"/>
  </r>
  <r>
    <s v="BAU HOME"/>
    <x v="80"/>
    <n v="120"/>
    <m/>
    <m/>
    <x v="10"/>
    <s v="BAU HOME"/>
    <x v="0"/>
    <s v="M-ONE Sanitar Silikon"/>
    <n v="12"/>
    <x v="1"/>
    <n v="0.17"/>
  </r>
  <r>
    <s v="BAU HOME"/>
    <x v="80"/>
    <m/>
    <m/>
    <m/>
    <x v="10"/>
    <s v="BAU HOME"/>
    <x v="5"/>
    <s v="M-ONE Sanitar Silikon"/>
    <n v="12"/>
    <x v="1"/>
    <n v="0.17"/>
  </r>
  <r>
    <s v="BAU HOME"/>
    <x v="80"/>
    <m/>
    <m/>
    <m/>
    <x v="10"/>
    <s v="BAU HOME"/>
    <x v="8"/>
    <s v="struktural akryl"/>
    <n v="12"/>
    <x v="1"/>
    <n v="0.06"/>
  </r>
  <r>
    <s v="CONDOR"/>
    <x v="80"/>
    <n v="280.8"/>
    <m/>
    <m/>
    <x v="11"/>
    <s v="CONDOR"/>
    <x v="10"/>
    <s v="PROFIMONT EXTREME"/>
    <n v="36"/>
    <x v="1"/>
    <n v="0.2"/>
  </r>
  <r>
    <s v="CONDOR"/>
    <x v="80"/>
    <m/>
    <m/>
    <m/>
    <x v="11"/>
    <s v="CONDOR"/>
    <x v="42"/>
    <s v="M ONE SCHWARZ GLÄNZED"/>
    <n v="12"/>
    <x v="1"/>
    <n v="0.15"/>
  </r>
  <r>
    <s v="CONDOR"/>
    <x v="80"/>
    <m/>
    <m/>
    <m/>
    <x v="11"/>
    <s v="CONDOR"/>
    <x v="43"/>
    <s v="M ONE SCHWARZ MATT"/>
    <n v="12"/>
    <x v="1"/>
    <n v="0.15"/>
  </r>
  <r>
    <s v="CONDOR"/>
    <x v="80"/>
    <m/>
    <m/>
    <m/>
    <x v="11"/>
    <s v="CONDOR"/>
    <x v="14"/>
    <s v="beMAKER Bremsen&amp;Teile Reininger"/>
    <n v="6"/>
    <x v="1"/>
    <n v="0.2"/>
  </r>
  <r>
    <s v="CONDOR"/>
    <x v="80"/>
    <m/>
    <m/>
    <m/>
    <x v="11"/>
    <s v="CONDOR"/>
    <x v="0"/>
    <s v="M-ONE Sanitar Silikon"/>
    <n v="12"/>
    <x v="1"/>
    <n v="0.17"/>
  </r>
  <r>
    <s v="CONDOR"/>
    <x v="80"/>
    <m/>
    <m/>
    <m/>
    <x v="11"/>
    <s v="CONDOR"/>
    <x v="5"/>
    <s v="M-ONE Sanitar Silikon"/>
    <n v="12"/>
    <x v="1"/>
    <n v="0.17"/>
  </r>
  <r>
    <s v="CONDOR"/>
    <x v="80"/>
    <m/>
    <m/>
    <m/>
    <x v="11"/>
    <s v="CONDOR"/>
    <x v="18"/>
    <s v="M-ONE Sanitar Silikon"/>
    <n v="12"/>
    <x v="1"/>
    <n v="0.17"/>
  </r>
  <r>
    <s v="CONDOR"/>
    <x v="80"/>
    <m/>
    <m/>
    <m/>
    <x v="11"/>
    <s v="CONDOR"/>
    <x v="25"/>
    <s v="M-ONE Sanitar Silikon"/>
    <n v="12"/>
    <x v="1"/>
    <n v="0.17"/>
  </r>
  <r>
    <s v="CONDOR"/>
    <x v="80"/>
    <m/>
    <m/>
    <m/>
    <x v="11"/>
    <s v="CONDOR"/>
    <x v="9"/>
    <s v="M-ONE Sanitar Silikon"/>
    <n v="12"/>
    <x v="1"/>
    <n v="0.17"/>
  </r>
  <r>
    <s v="CONDOR"/>
    <x v="80"/>
    <m/>
    <m/>
    <m/>
    <x v="11"/>
    <s v="CONDOR"/>
    <x v="8"/>
    <s v="struktural akryl"/>
    <n v="12"/>
    <x v="1"/>
    <n v="0.06"/>
  </r>
  <r>
    <s v="BEREQETI"/>
    <x v="80"/>
    <n v="193.8"/>
    <m/>
    <m/>
    <x v="13"/>
    <s v="BEREQETI"/>
    <x v="1"/>
    <s v="M-ONE Sanitar Silikon"/>
    <n v="36"/>
    <x v="1"/>
    <n v="0.17"/>
  </r>
  <r>
    <s v="BEREQETI"/>
    <x v="80"/>
    <m/>
    <m/>
    <m/>
    <x v="13"/>
    <s v="BEREQETI"/>
    <x v="8"/>
    <s v="struktural akryl"/>
    <n v="24"/>
    <x v="1"/>
    <n v="0.06"/>
  </r>
  <r>
    <s v="FITIMI"/>
    <x v="80"/>
    <n v="92.4"/>
    <m/>
    <m/>
    <x v="16"/>
    <s v="FITIMI"/>
    <x v="0"/>
    <s v="M-ONE Sanitar Silikon"/>
    <n v="12"/>
    <x v="1"/>
    <n v="0.17"/>
  </r>
  <r>
    <s v="FITIMI"/>
    <x v="80"/>
    <m/>
    <m/>
    <m/>
    <x v="16"/>
    <s v="FITIMI"/>
    <x v="1"/>
    <s v="M-ONE Sanitar Silikon"/>
    <n v="12"/>
    <x v="1"/>
    <n v="0.17"/>
  </r>
  <r>
    <s v="HYSENAJ"/>
    <x v="80"/>
    <n v="103.9"/>
    <m/>
    <m/>
    <x v="163"/>
    <s v="HYSENAJ"/>
    <x v="7"/>
    <s v="DICHTUNG"/>
    <n v="12"/>
    <x v="1"/>
    <n v="0.2"/>
  </r>
  <r>
    <s v="HYSENAJ"/>
    <x v="80"/>
    <m/>
    <m/>
    <m/>
    <x v="163"/>
    <s v="HYSENAJ"/>
    <x v="16"/>
    <s v="Fettspray"/>
    <n v="6"/>
    <x v="1"/>
    <n v="0.2"/>
  </r>
  <r>
    <s v="URA"/>
    <x v="80"/>
    <n v="92.4"/>
    <m/>
    <m/>
    <x v="78"/>
    <s v="URA"/>
    <x v="0"/>
    <s v="M-ONE Sanitar Silikon"/>
    <n v="12"/>
    <x v="1"/>
    <n v="0.17"/>
  </r>
  <r>
    <s v="URA"/>
    <x v="80"/>
    <m/>
    <m/>
    <m/>
    <x v="78"/>
    <s v="URA"/>
    <x v="5"/>
    <s v="M-ONE Sanitar Silikon"/>
    <n v="12"/>
    <x v="1"/>
    <n v="0.17"/>
  </r>
  <r>
    <s v="DURGUTI 3"/>
    <x v="80"/>
    <n v="115.8"/>
    <m/>
    <m/>
    <x v="12"/>
    <s v="DURGUTI 3"/>
    <x v="4"/>
    <s v="M-ONE Sanitar Silikon"/>
    <n v="12"/>
    <x v="1"/>
    <n v="0.17"/>
  </r>
  <r>
    <s v="DURGUTI 3"/>
    <x v="80"/>
    <m/>
    <m/>
    <m/>
    <x v="12"/>
    <s v="DURGUTI 3"/>
    <x v="10"/>
    <s v="PROFIMONT EXTREME"/>
    <n v="12"/>
    <x v="1"/>
    <n v="0.2"/>
  </r>
  <r>
    <s v="NDRIQIMI"/>
    <x v="81"/>
    <n v="92.4"/>
    <m/>
    <m/>
    <x v="79"/>
    <s v="NDRIQIMI"/>
    <x v="5"/>
    <s v="M-ONE Sanitar Silikon"/>
    <n v="24"/>
    <x v="0"/>
    <n v="0.17"/>
  </r>
  <r>
    <s v="DRCOR"/>
    <x v="81"/>
    <n v="138.6"/>
    <m/>
    <m/>
    <x v="157"/>
    <s v="DRCOR"/>
    <x v="4"/>
    <s v="M-ONE Sanitar Silikon"/>
    <n v="36"/>
    <x v="0"/>
    <n v="0.17"/>
  </r>
  <r>
    <s v="SAN KOS"/>
    <x v="81"/>
    <n v="73.8"/>
    <m/>
    <m/>
    <x v="101"/>
    <s v="SAN KOS"/>
    <x v="4"/>
    <s v="M-ONE Sanitar Silikon"/>
    <n v="12"/>
    <x v="0"/>
    <n v="0.17"/>
  </r>
  <r>
    <s v="SAN KOS"/>
    <x v="81"/>
    <m/>
    <m/>
    <m/>
    <x v="101"/>
    <s v="SAN KOS"/>
    <x v="8"/>
    <s v="struktural akryl"/>
    <n v="12"/>
    <x v="0"/>
    <n v="0.06"/>
  </r>
  <r>
    <s v="GRANITI"/>
    <x v="81"/>
    <n v="92.4"/>
    <m/>
    <m/>
    <x v="80"/>
    <s v="GRANITI"/>
    <x v="5"/>
    <s v="M-ONE Sanitar Silikon"/>
    <n v="12"/>
    <x v="0"/>
    <n v="0.17"/>
  </r>
  <r>
    <s v="GRANITI"/>
    <x v="81"/>
    <m/>
    <m/>
    <m/>
    <x v="80"/>
    <s v="GRANITI"/>
    <x v="20"/>
    <s v="M-ONE Sanitar Silikon"/>
    <n v="12"/>
    <x v="0"/>
    <n v="0.17"/>
  </r>
  <r>
    <s v="EURO COM"/>
    <x v="81"/>
    <n v="60.2"/>
    <m/>
    <m/>
    <x v="19"/>
    <s v="EURO COM"/>
    <x v="16"/>
    <s v="Fettspray"/>
    <n v="4"/>
    <x v="0"/>
    <n v="0.2"/>
  </r>
  <r>
    <s v="EURO COM"/>
    <x v="81"/>
    <m/>
    <m/>
    <m/>
    <x v="19"/>
    <s v="EURO COM"/>
    <x v="25"/>
    <s v="M-ONE Sanitar Silikon"/>
    <n v="12"/>
    <x v="0"/>
    <n v="0.17"/>
  </r>
  <r>
    <s v="UNIVERZAL"/>
    <x v="81"/>
    <n v="46.2"/>
    <m/>
    <m/>
    <x v="18"/>
    <s v="UNIVERZAL"/>
    <x v="1"/>
    <s v="M-ONE Sanitar Silikon"/>
    <n v="12"/>
    <x v="0"/>
    <n v="0.17"/>
  </r>
  <r>
    <s v="KRRABAJ"/>
    <x v="82"/>
    <n v="120"/>
    <m/>
    <m/>
    <x v="183"/>
    <e v="#N/A"/>
    <x v="7"/>
    <s v="DICHTUNG"/>
    <n v="12"/>
    <x v="0"/>
    <n v="0.2"/>
  </r>
  <r>
    <s v="KRRABAJ"/>
    <x v="82"/>
    <m/>
    <m/>
    <m/>
    <x v="183"/>
    <e v="#N/A"/>
    <x v="12"/>
    <s v="beMAKER Rostlöser"/>
    <n v="12"/>
    <x v="0"/>
    <n v="0.2"/>
  </r>
  <r>
    <s v="ARBERI"/>
    <x v="82"/>
    <n v="46.2"/>
    <m/>
    <m/>
    <x v="102"/>
    <s v="ARBERI"/>
    <x v="4"/>
    <s v="M-ONE Sanitar Silikon"/>
    <n v="12"/>
    <x v="0"/>
    <n v="0.17"/>
  </r>
  <r>
    <s v="CARRALEVA 1"/>
    <x v="82"/>
    <n v="73.8"/>
    <m/>
    <m/>
    <x v="25"/>
    <s v="CARRALEVA 1"/>
    <x v="1"/>
    <s v="M-ONE Sanitar Silikon"/>
    <n v="12"/>
    <x v="0"/>
    <n v="0.17"/>
  </r>
  <r>
    <s v="CARRALEVA 1"/>
    <x v="82"/>
    <m/>
    <m/>
    <m/>
    <x v="25"/>
    <s v="CARRALEVA 1"/>
    <x v="8"/>
    <s v="struktural akryl"/>
    <n v="12"/>
    <x v="0"/>
    <n v="0.06"/>
  </r>
  <r>
    <s v="REAL COLOR 2"/>
    <x v="82"/>
    <n v="138.6"/>
    <m/>
    <m/>
    <x v="26"/>
    <s v="REAL COLOR 2"/>
    <x v="0"/>
    <s v="M-ONE Sanitar Silikon"/>
    <n v="12"/>
    <x v="0"/>
    <n v="0.17"/>
  </r>
  <r>
    <s v="REAL COLOR 2"/>
    <x v="82"/>
    <m/>
    <m/>
    <m/>
    <x v="26"/>
    <s v="REAL COLOR 2"/>
    <x v="5"/>
    <s v="M-ONE Sanitar Silikon"/>
    <n v="12"/>
    <x v="0"/>
    <n v="0.17"/>
  </r>
  <r>
    <s v="REAL COLOR 2"/>
    <x v="82"/>
    <m/>
    <m/>
    <m/>
    <x v="26"/>
    <s v="REAL COLOR 2"/>
    <x v="20"/>
    <s v="M-ONE Sanitar Silikon"/>
    <n v="12"/>
    <x v="0"/>
    <n v="0.17"/>
  </r>
  <r>
    <s v="LONI"/>
    <x v="82"/>
    <n v="105.4"/>
    <m/>
    <m/>
    <x v="24"/>
    <s v="LONI"/>
    <x v="7"/>
    <s v="DICHTUNG"/>
    <n v="12"/>
    <x v="0"/>
    <n v="0.2"/>
  </r>
  <r>
    <s v="LONI"/>
    <x v="82"/>
    <m/>
    <m/>
    <m/>
    <x v="24"/>
    <s v="LONI"/>
    <x v="44"/>
    <s v="M ONE FUERROT"/>
    <n v="2"/>
    <x v="0"/>
    <n v="0.15"/>
  </r>
  <r>
    <s v="LONI"/>
    <x v="82"/>
    <m/>
    <m/>
    <m/>
    <x v="24"/>
    <s v="LONI"/>
    <x v="16"/>
    <s v="Fettspray"/>
    <n v="4"/>
    <x v="0"/>
    <n v="0.2"/>
  </r>
  <r>
    <s v="CARRALEVA 2"/>
    <x v="82"/>
    <n v="92.4"/>
    <m/>
    <m/>
    <x v="23"/>
    <s v="CARRALEVA 2"/>
    <x v="4"/>
    <s v="M-ONE Sanitar Silikon"/>
    <n v="12"/>
    <x v="0"/>
    <n v="0.17"/>
  </r>
  <r>
    <s v="CARRALEVA 2"/>
    <x v="82"/>
    <m/>
    <m/>
    <m/>
    <x v="23"/>
    <s v="CARRALEVA 2"/>
    <x v="18"/>
    <s v="M-ONE Sanitar Silikon"/>
    <n v="12"/>
    <x v="0"/>
    <n v="0.17"/>
  </r>
  <r>
    <s v="MULI"/>
    <x v="82"/>
    <n v="46.2"/>
    <m/>
    <m/>
    <x v="158"/>
    <s v="MULI"/>
    <x v="9"/>
    <s v="M-ONE Sanitar Silikon"/>
    <n v="12"/>
    <x v="0"/>
    <n v="0.17"/>
  </r>
  <r>
    <s v="BEKA"/>
    <x v="82"/>
    <n v="92.4"/>
    <m/>
    <m/>
    <x v="81"/>
    <s v="BEKA"/>
    <x v="0"/>
    <s v="M-ONE Sanitar Silikon"/>
    <n v="12"/>
    <x v="0"/>
    <n v="0.17"/>
  </r>
  <r>
    <s v="BEKA"/>
    <x v="82"/>
    <m/>
    <m/>
    <m/>
    <x v="81"/>
    <s v="BEKA"/>
    <x v="2"/>
    <s v="M-ONE Sanitar Silikon"/>
    <n v="12"/>
    <x v="0"/>
    <n v="0.17"/>
  </r>
  <r>
    <s v="RACI"/>
    <x v="82"/>
    <n v="225.7"/>
    <m/>
    <m/>
    <x v="28"/>
    <s v="RACI"/>
    <x v="0"/>
    <s v="M-ONE Sanitar Silikon"/>
    <n v="12"/>
    <x v="1"/>
    <n v="0.17"/>
  </r>
  <r>
    <s v="RACI"/>
    <x v="82"/>
    <m/>
    <m/>
    <m/>
    <x v="28"/>
    <s v="RACI"/>
    <x v="10"/>
    <s v="PROFIMONT EXTREME"/>
    <n v="12"/>
    <x v="1"/>
    <n v="0.2"/>
  </r>
  <r>
    <s v="RACI"/>
    <x v="82"/>
    <m/>
    <m/>
    <m/>
    <x v="28"/>
    <s v="RACI"/>
    <x v="5"/>
    <s v="M-ONE Sanitar Silikon"/>
    <n v="12"/>
    <x v="1"/>
    <n v="0.17"/>
  </r>
  <r>
    <s v="RACI"/>
    <x v="82"/>
    <m/>
    <m/>
    <m/>
    <x v="28"/>
    <s v="RACI"/>
    <x v="20"/>
    <s v="M-ONE Sanitar Silikon"/>
    <n v="12"/>
    <x v="1"/>
    <n v="0.17"/>
  </r>
  <r>
    <s v="RACI"/>
    <x v="82"/>
    <m/>
    <m/>
    <m/>
    <x v="28"/>
    <s v="RACI"/>
    <x v="16"/>
    <s v="Fettspray"/>
    <n v="5"/>
    <x v="1"/>
    <n v="0.2"/>
  </r>
  <r>
    <s v="LIRIDONA KLINE"/>
    <x v="82"/>
    <n v="323.39999999999998"/>
    <m/>
    <m/>
    <x v="30"/>
    <s v="LIRIDONA KLINE"/>
    <x v="18"/>
    <s v="M-ONE Sanitar Silikon"/>
    <n v="36"/>
    <x v="1"/>
    <n v="0.17"/>
  </r>
  <r>
    <s v="LIRIDONA KLINE"/>
    <x v="82"/>
    <m/>
    <m/>
    <m/>
    <x v="30"/>
    <s v="LIRIDONA KLINE"/>
    <x v="3"/>
    <s v="M-ONE Sanitar Silikon"/>
    <n v="12"/>
    <x v="1"/>
    <n v="0.17"/>
  </r>
  <r>
    <s v="LIRIDONA KLINE"/>
    <x v="82"/>
    <m/>
    <m/>
    <m/>
    <x v="30"/>
    <s v="LIRIDONA KLINE"/>
    <x v="6"/>
    <s v="M-ONE Sanitar Silikon"/>
    <n v="12"/>
    <x v="1"/>
    <n v="0.17"/>
  </r>
  <r>
    <s v="LIRIDONA KLINE"/>
    <x v="82"/>
    <m/>
    <m/>
    <m/>
    <x v="30"/>
    <s v="LIRIDONA KLINE"/>
    <x v="4"/>
    <s v="M-ONE Sanitar Silikon"/>
    <n v="12"/>
    <x v="1"/>
    <n v="0.17"/>
  </r>
  <r>
    <s v="LIRIDONA KLINE"/>
    <x v="82"/>
    <m/>
    <m/>
    <m/>
    <x v="30"/>
    <s v="LIRIDONA KLINE"/>
    <x v="2"/>
    <s v="M-ONE Sanitar Silikon"/>
    <n v="12"/>
    <x v="1"/>
    <n v="0.17"/>
  </r>
  <r>
    <s v="BERATI A.P. (1)"/>
    <x v="82"/>
    <n v="30"/>
    <m/>
    <m/>
    <x v="31"/>
    <s v="BERATI A.P. (1)"/>
    <x v="42"/>
    <s v="M ONE SCHWARZ GLÄNZED"/>
    <n v="4"/>
    <x v="1"/>
    <n v="0.15"/>
  </r>
  <r>
    <s v="BERATI A.P. (1)"/>
    <x v="82"/>
    <m/>
    <m/>
    <m/>
    <x v="31"/>
    <s v="BERATI A.P. (1)"/>
    <x v="43"/>
    <s v="M ONE SCHWARZ MATT"/>
    <n v="4"/>
    <x v="1"/>
    <n v="0.15"/>
  </r>
  <r>
    <s v="BERATI A.P. (1)"/>
    <x v="82"/>
    <m/>
    <m/>
    <m/>
    <x v="31"/>
    <s v="BERATI A.P. (1)"/>
    <x v="34"/>
    <s v="M ONE FELGENSILBER"/>
    <n v="4"/>
    <x v="1"/>
    <n v="0.15"/>
  </r>
  <r>
    <s v="HOXHA"/>
    <x v="82"/>
    <n v="92.4"/>
    <m/>
    <m/>
    <x v="29"/>
    <s v="HOXHA"/>
    <x v="6"/>
    <s v="M-ONE Sanitar Silikon"/>
    <n v="12"/>
    <x v="1"/>
    <n v="0.17"/>
  </r>
  <r>
    <s v="HOXHA"/>
    <x v="82"/>
    <m/>
    <m/>
    <m/>
    <x v="29"/>
    <s v="HOXHA"/>
    <x v="2"/>
    <s v="M-ONE Sanitar Silikon"/>
    <n v="12"/>
    <x v="1"/>
    <n v="0.17"/>
  </r>
  <r>
    <s v="LIRIDONA HOME"/>
    <x v="82"/>
    <n v="153.6"/>
    <m/>
    <m/>
    <x v="106"/>
    <s v="LIRIDONA HOME"/>
    <x v="20"/>
    <s v="M-ONE Sanitar Silikon"/>
    <n v="12"/>
    <x v="1"/>
    <n v="0.17"/>
  </r>
  <r>
    <s v="LIRIDONA HOME"/>
    <x v="82"/>
    <m/>
    <m/>
    <m/>
    <x v="106"/>
    <s v="LIRIDONA HOME"/>
    <x v="15"/>
    <s v="M-ONE Sanitar Silikon"/>
    <n v="12"/>
    <x v="1"/>
    <n v="0.17"/>
  </r>
  <r>
    <s v="LIRIDONA HOME"/>
    <x v="82"/>
    <m/>
    <m/>
    <m/>
    <x v="106"/>
    <s v="LIRIDONA HOME"/>
    <x v="1"/>
    <s v="M-ONE Sanitar Silikon"/>
    <n v="12"/>
    <x v="1"/>
    <n v="0.17"/>
  </r>
  <r>
    <s v="LIRIDONA HOME"/>
    <x v="82"/>
    <m/>
    <m/>
    <m/>
    <x v="106"/>
    <s v="LIRIDONA HOME"/>
    <x v="22"/>
    <s v="universal akryl"/>
    <n v="12"/>
    <x v="1"/>
    <n v="0.06"/>
  </r>
  <r>
    <s v="LIRIDONA-A"/>
    <x v="82"/>
    <n v="138.6"/>
    <m/>
    <m/>
    <x v="105"/>
    <s v="LIRIDONA-A"/>
    <x v="4"/>
    <s v="M-ONE Sanitar Silikon"/>
    <n v="24"/>
    <x v="1"/>
    <n v="0.17"/>
  </r>
  <r>
    <s v="LIRIDONA-A"/>
    <x v="82"/>
    <m/>
    <m/>
    <m/>
    <x v="105"/>
    <s v="LIRIDONA-A"/>
    <x v="9"/>
    <s v="M-ONE Sanitar Silikon"/>
    <n v="12"/>
    <x v="1"/>
    <n v="0.17"/>
  </r>
  <r>
    <s v="A.P. HOTI"/>
    <x v="82"/>
    <n v="47.1"/>
    <m/>
    <m/>
    <x v="138"/>
    <s v="A.P. HOTI"/>
    <x v="34"/>
    <s v="M ONE FELGENSILBER"/>
    <n v="4"/>
    <x v="1"/>
    <n v="0.15"/>
  </r>
  <r>
    <s v="A.P. HOTI"/>
    <x v="82"/>
    <m/>
    <m/>
    <m/>
    <x v="138"/>
    <s v="A.P. HOTI"/>
    <x v="12"/>
    <s v="beMAKER Rostlöser"/>
    <n v="4"/>
    <x v="1"/>
    <n v="0.2"/>
  </r>
  <r>
    <s v="A.P. HOTI"/>
    <x v="82"/>
    <m/>
    <m/>
    <m/>
    <x v="138"/>
    <s v="A.P. HOTI"/>
    <x v="16"/>
    <s v="Fettspray"/>
    <n v="2"/>
    <x v="1"/>
    <n v="0.2"/>
  </r>
  <r>
    <s v="A.P. HOTI"/>
    <x v="82"/>
    <m/>
    <m/>
    <m/>
    <x v="138"/>
    <s v="A.P. HOTI"/>
    <x v="43"/>
    <s v="M ONE SCHWARZ MATT"/>
    <n v="3"/>
    <x v="1"/>
    <n v="0.15"/>
  </r>
  <r>
    <s v="A.P. HOTI"/>
    <x v="82"/>
    <m/>
    <m/>
    <m/>
    <x v="138"/>
    <s v="A.P. HOTI"/>
    <x v="35"/>
    <s v="M ONE LACK GRUN"/>
    <n v="2"/>
    <x v="1"/>
    <n v="0.15"/>
  </r>
  <r>
    <s v="A.P. HOTI"/>
    <x v="82"/>
    <m/>
    <m/>
    <m/>
    <x v="138"/>
    <s v="A.P. HOTI"/>
    <x v="7"/>
    <s v="DICHTUNG"/>
    <n v="3"/>
    <x v="1"/>
    <n v="0.2"/>
  </r>
  <r>
    <s v="BENI"/>
    <x v="82"/>
    <n v="66.5"/>
    <m/>
    <m/>
    <x v="32"/>
    <s v="BENI"/>
    <x v="12"/>
    <s v="beMAKER Rostlöser"/>
    <n v="12"/>
    <x v="1"/>
    <n v="0.2"/>
  </r>
  <r>
    <s v="BENI"/>
    <x v="82"/>
    <m/>
    <m/>
    <m/>
    <x v="32"/>
    <s v="BENI"/>
    <x v="34"/>
    <s v="M ONE FELGENSILBER"/>
    <n v="5"/>
    <x v="1"/>
    <n v="0.15"/>
  </r>
  <r>
    <s v="BENI"/>
    <x v="82"/>
    <m/>
    <m/>
    <m/>
    <x v="32"/>
    <s v="BENI"/>
    <x v="16"/>
    <s v="Fettspray"/>
    <n v="5"/>
    <x v="1"/>
    <n v="0.2"/>
  </r>
  <r>
    <s v="BENI"/>
    <x v="82"/>
    <m/>
    <m/>
    <m/>
    <x v="32"/>
    <s v="BENI"/>
    <x v="23"/>
    <s v="M ONE HAFTGRUND"/>
    <n v="5"/>
    <x v="1"/>
    <n v="0.15"/>
  </r>
  <r>
    <s v="BENI"/>
    <x v="82"/>
    <m/>
    <m/>
    <m/>
    <x v="32"/>
    <s v="BENI"/>
    <x v="14"/>
    <s v="beMAKER Bremsen&amp;Teile Reininger"/>
    <n v="4"/>
    <x v="1"/>
    <n v="0.2"/>
  </r>
  <r>
    <s v="TE BENI"/>
    <x v="82"/>
    <n v="138.6"/>
    <m/>
    <m/>
    <x v="107"/>
    <s v="TE BENI"/>
    <x v="0"/>
    <s v="M-ONE Sanitar Silikon"/>
    <n v="24"/>
    <x v="1"/>
    <n v="0.17"/>
  </r>
  <r>
    <s v="TE BENI"/>
    <x v="82"/>
    <m/>
    <m/>
    <m/>
    <x v="107"/>
    <s v="TE BENI"/>
    <x v="1"/>
    <s v="M-ONE Sanitar Silikon"/>
    <n v="12"/>
    <x v="1"/>
    <n v="0.17"/>
  </r>
  <r>
    <s v="TE ZENA"/>
    <x v="83"/>
    <n v="92.4"/>
    <m/>
    <m/>
    <x v="84"/>
    <s v="TE ZENA"/>
    <x v="18"/>
    <s v="M-ONE Sanitar Silikon"/>
    <n v="12"/>
    <x v="0"/>
    <n v="0.17"/>
  </r>
  <r>
    <s v="TE ZENA"/>
    <x v="83"/>
    <m/>
    <m/>
    <m/>
    <x v="84"/>
    <s v="TE ZENA"/>
    <x v="6"/>
    <s v="M-ONE Sanitar Silikon"/>
    <n v="12"/>
    <x v="0"/>
    <n v="0.17"/>
  </r>
  <r>
    <s v="ALBANI"/>
    <x v="83"/>
    <n v="46.2"/>
    <m/>
    <m/>
    <x v="83"/>
    <e v="#N/A"/>
    <x v="9"/>
    <s v="M-ONE Sanitar Silikon"/>
    <n v="12"/>
    <x v="0"/>
    <n v="0.17"/>
  </r>
  <r>
    <s v="KUJTA"/>
    <x v="83"/>
    <n v="166.2"/>
    <m/>
    <m/>
    <x v="36"/>
    <s v="KUJTA"/>
    <x v="4"/>
    <s v="M-ONE Sanitar Silikon"/>
    <n v="12"/>
    <x v="0"/>
    <n v="0.17"/>
  </r>
  <r>
    <s v="KUJTA"/>
    <x v="83"/>
    <m/>
    <m/>
    <m/>
    <x v="36"/>
    <s v="KUJTA"/>
    <x v="25"/>
    <s v="M-ONE Sanitar Silikon"/>
    <n v="12"/>
    <x v="0"/>
    <n v="0.17"/>
  </r>
  <r>
    <s v="KUJTA"/>
    <x v="83"/>
    <m/>
    <m/>
    <m/>
    <x v="36"/>
    <s v="KUJTA"/>
    <x v="20"/>
    <s v="M-ONE Sanitar Silikon"/>
    <n v="12"/>
    <x v="0"/>
    <n v="0.17"/>
  </r>
  <r>
    <s v="KUJTA"/>
    <x v="83"/>
    <m/>
    <m/>
    <m/>
    <x v="36"/>
    <s v="KUJTA"/>
    <x v="8"/>
    <s v="struktural akryl"/>
    <n v="12"/>
    <x v="0"/>
    <n v="0.06"/>
  </r>
  <r>
    <s v="SABITI"/>
    <x v="83"/>
    <n v="27.5"/>
    <m/>
    <m/>
    <x v="35"/>
    <s v="SABITI"/>
    <x v="14"/>
    <s v="beMAKER Bremsen&amp;Teile Reininger"/>
    <n v="5"/>
    <x v="0"/>
    <n v="0.2"/>
  </r>
  <r>
    <s v="SABITI"/>
    <x v="83"/>
    <m/>
    <m/>
    <m/>
    <x v="35"/>
    <s v="SABITI"/>
    <x v="16"/>
    <s v="Fettspray"/>
    <n v="5"/>
    <x v="0"/>
    <n v="0.2"/>
  </r>
  <r>
    <s v="ALBANI"/>
    <x v="83"/>
    <n v="92.4"/>
    <m/>
    <m/>
    <x v="34"/>
    <e v="#N/A"/>
    <x v="15"/>
    <s v="M-ONE Sanitar Silikon"/>
    <n v="12"/>
    <x v="0"/>
    <n v="0.17"/>
  </r>
  <r>
    <s v="ALBANI"/>
    <x v="83"/>
    <m/>
    <m/>
    <m/>
    <x v="34"/>
    <e v="#N/A"/>
    <x v="3"/>
    <s v="M-ONE Sanitar Silikon"/>
    <n v="12"/>
    <x v="0"/>
    <n v="0.17"/>
  </r>
  <r>
    <s v="AS QERAMIKA"/>
    <x v="83"/>
    <n v="415.8"/>
    <m/>
    <m/>
    <x v="150"/>
    <s v="AS QERAMIKA"/>
    <x v="4"/>
    <s v="M-ONE Sanitar Silikon"/>
    <n v="60"/>
    <x v="1"/>
    <n v="0.17"/>
  </r>
  <r>
    <s v="AS QERAMIKA"/>
    <x v="83"/>
    <m/>
    <m/>
    <m/>
    <x v="150"/>
    <s v="AS QERAMIKA"/>
    <x v="1"/>
    <s v="M-ONE Sanitar Silikon"/>
    <n v="36"/>
    <x v="1"/>
    <n v="0.17"/>
  </r>
  <r>
    <s v="AS QERAMIKA"/>
    <x v="83"/>
    <m/>
    <m/>
    <m/>
    <x v="150"/>
    <s v="AS QERAMIKA"/>
    <x v="2"/>
    <s v="M-ONE Sanitar Silikon"/>
    <n v="12"/>
    <x v="1"/>
    <n v="0.17"/>
  </r>
  <r>
    <s v="SALIHU CORPORATION"/>
    <x v="83"/>
    <n v="92.4"/>
    <m/>
    <m/>
    <x v="165"/>
    <e v="#N/A"/>
    <x v="4"/>
    <s v="M-ONE Sanitar Silikon"/>
    <n v="24"/>
    <x v="1"/>
    <n v="0.17"/>
  </r>
  <r>
    <s v="LTI"/>
    <x v="83"/>
    <n v="92.4"/>
    <m/>
    <m/>
    <x v="40"/>
    <s v="LTI"/>
    <x v="0"/>
    <s v="M-ONE Sanitar Silikon"/>
    <n v="12"/>
    <x v="1"/>
    <n v="0.17"/>
  </r>
  <r>
    <s v="LTI"/>
    <x v="83"/>
    <m/>
    <m/>
    <m/>
    <x v="40"/>
    <s v="LTI"/>
    <x v="1"/>
    <s v="M-ONE Sanitar Silikon"/>
    <n v="12"/>
    <x v="1"/>
    <n v="0.17"/>
  </r>
  <r>
    <s v="PROMOIN"/>
    <x v="83"/>
    <n v="92.4"/>
    <m/>
    <m/>
    <x v="117"/>
    <s v="PROMOIN"/>
    <x v="0"/>
    <s v="M-ONE Sanitar Silikon"/>
    <n v="12"/>
    <x v="1"/>
    <n v="0.17"/>
  </r>
  <r>
    <s v="PROMOIN"/>
    <x v="83"/>
    <m/>
    <m/>
    <m/>
    <x v="117"/>
    <s v="PROMOIN"/>
    <x v="18"/>
    <s v="M-ONE Sanitar Silikon"/>
    <n v="12"/>
    <x v="1"/>
    <n v="0.17"/>
  </r>
  <r>
    <s v="AGROLONDI"/>
    <x v="83"/>
    <n v="92.4"/>
    <m/>
    <m/>
    <x v="39"/>
    <s v="AGROLONDI"/>
    <x v="5"/>
    <s v="M-ONE Sanitar Silikon"/>
    <n v="12"/>
    <x v="1"/>
    <n v="0.17"/>
  </r>
  <r>
    <s v="AGROLONDI"/>
    <x v="83"/>
    <m/>
    <m/>
    <m/>
    <x v="39"/>
    <s v="AGROLONDI"/>
    <x v="18"/>
    <s v="M-ONE Sanitar Silikon"/>
    <n v="12"/>
    <x v="1"/>
    <n v="0.17"/>
  </r>
  <r>
    <s v="HIDRO DANI"/>
    <x v="83"/>
    <n v="184.8"/>
    <m/>
    <m/>
    <x v="113"/>
    <s v="HIDRO DANI"/>
    <x v="0"/>
    <s v="M-ONE Sanitar Silikon"/>
    <n v="12"/>
    <x v="1"/>
    <n v="0.17"/>
  </r>
  <r>
    <s v="HIDRO DANI"/>
    <x v="83"/>
    <m/>
    <m/>
    <m/>
    <x v="113"/>
    <s v="HIDRO DANI"/>
    <x v="5"/>
    <s v="M-ONE Sanitar Silikon"/>
    <n v="12"/>
    <x v="1"/>
    <n v="0.17"/>
  </r>
  <r>
    <s v="HIDRO DANI"/>
    <x v="83"/>
    <m/>
    <m/>
    <m/>
    <x v="113"/>
    <s v="HIDRO DANI"/>
    <x v="9"/>
    <s v="M-ONE Sanitar Silikon"/>
    <n v="12"/>
    <x v="1"/>
    <n v="0.17"/>
  </r>
  <r>
    <s v="HIDRO DANI"/>
    <x v="83"/>
    <m/>
    <m/>
    <m/>
    <x v="113"/>
    <s v="HIDRO DANI"/>
    <x v="20"/>
    <s v="M-ONE Sanitar Silikon"/>
    <n v="12"/>
    <x v="1"/>
    <n v="0.17"/>
  </r>
  <r>
    <s v="UNIKA"/>
    <x v="83"/>
    <n v="92.4"/>
    <m/>
    <m/>
    <x v="43"/>
    <s v="UNIKA"/>
    <x v="20"/>
    <s v="M-ONE Sanitar Silikon"/>
    <n v="12"/>
    <x v="1"/>
    <n v="0.17"/>
  </r>
  <r>
    <s v="UNIKA"/>
    <x v="83"/>
    <m/>
    <m/>
    <m/>
    <x v="43"/>
    <s v="UNIKA"/>
    <x v="9"/>
    <s v="M-ONE Sanitar Silikon"/>
    <n v="12"/>
    <x v="1"/>
    <n v="0.17"/>
  </r>
  <r>
    <s v="ALFA-QERAMIKA"/>
    <x v="83"/>
    <n v="323.39999999999998"/>
    <m/>
    <m/>
    <x v="115"/>
    <s v="ALFA-QERAMIKA"/>
    <x v="1"/>
    <s v="M-ONE Sanitar Silikon"/>
    <n v="60"/>
    <x v="1"/>
    <n v="0.17"/>
  </r>
  <r>
    <s v="ALFA-QERAMIKA"/>
    <x v="83"/>
    <m/>
    <m/>
    <m/>
    <x v="115"/>
    <s v="ALFA-QERAMIKA"/>
    <x v="25"/>
    <s v="M-ONE Sanitar Silikon"/>
    <n v="24"/>
    <x v="1"/>
    <n v="0.17"/>
  </r>
  <r>
    <s v="TE-SYLA"/>
    <x v="83"/>
    <n v="200.3"/>
    <m/>
    <m/>
    <x v="44"/>
    <s v="TE-SYLA"/>
    <x v="3"/>
    <s v="M-ONE Sanitar Silikon"/>
    <n v="12"/>
    <x v="1"/>
    <n v="0.17"/>
  </r>
  <r>
    <s v="TE-SYLA"/>
    <x v="83"/>
    <m/>
    <m/>
    <m/>
    <x v="44"/>
    <s v="TE-SYLA"/>
    <x v="1"/>
    <s v="M-ONE Sanitar Silikon"/>
    <n v="12"/>
    <x v="1"/>
    <n v="0.17"/>
  </r>
  <r>
    <s v="TE-SYLA"/>
    <x v="83"/>
    <m/>
    <m/>
    <m/>
    <x v="44"/>
    <s v="TE-SYLA"/>
    <x v="2"/>
    <s v="M-ONE Sanitar Silikon"/>
    <n v="12"/>
    <x v="1"/>
    <n v="0.17"/>
  </r>
  <r>
    <s v="TE-SYLA"/>
    <x v="83"/>
    <m/>
    <m/>
    <m/>
    <x v="44"/>
    <s v="TE-SYLA"/>
    <x v="7"/>
    <s v="DICHTUNG"/>
    <n v="6"/>
    <x v="1"/>
    <n v="0.2"/>
  </r>
  <r>
    <s v="TE-SYLA"/>
    <x v="83"/>
    <m/>
    <m/>
    <m/>
    <x v="44"/>
    <s v="TE-SYLA"/>
    <x v="13"/>
    <s v="M ONE MOTORSTART"/>
    <n v="3"/>
    <x v="1"/>
    <n v="0.2"/>
  </r>
  <r>
    <s v="TE-SYLA"/>
    <x v="83"/>
    <m/>
    <m/>
    <m/>
    <x v="44"/>
    <s v="TE-SYLA"/>
    <x v="12"/>
    <s v="beMAKER Rostlöser"/>
    <n v="4"/>
    <x v="1"/>
    <n v="0.2"/>
  </r>
  <r>
    <s v="LONI"/>
    <x v="83"/>
    <n v="184.8"/>
    <m/>
    <m/>
    <x v="46"/>
    <s v="LONI"/>
    <x v="0"/>
    <s v="M-ONE Sanitar Silikon"/>
    <n v="24"/>
    <x v="1"/>
    <n v="0.17"/>
  </r>
  <r>
    <s v="LONI"/>
    <x v="83"/>
    <m/>
    <m/>
    <m/>
    <x v="46"/>
    <s v="LONI"/>
    <x v="1"/>
    <s v="M-ONE Sanitar Silikon"/>
    <n v="24"/>
    <x v="1"/>
    <n v="0.17"/>
  </r>
  <r>
    <s v="MIX-B"/>
    <x v="83"/>
    <n v="138.6"/>
    <m/>
    <m/>
    <x v="132"/>
    <s v="MIX-B"/>
    <x v="18"/>
    <s v="M-ONE Sanitar Silikon"/>
    <n v="12"/>
    <x v="1"/>
    <n v="0.17"/>
  </r>
  <r>
    <s v="MIX-B"/>
    <x v="83"/>
    <m/>
    <m/>
    <m/>
    <x v="132"/>
    <s v="MIX-B"/>
    <x v="9"/>
    <s v="M-ONE Sanitar Silikon"/>
    <n v="12"/>
    <x v="1"/>
    <n v="0.17"/>
  </r>
  <r>
    <s v="MIX-B"/>
    <x v="83"/>
    <m/>
    <m/>
    <m/>
    <x v="132"/>
    <s v="MIX-B"/>
    <x v="1"/>
    <s v="M-ONE Sanitar Silikon"/>
    <n v="12"/>
    <x v="1"/>
    <n v="0.17"/>
  </r>
  <r>
    <s v="HIDROELDI"/>
    <x v="84"/>
    <n v="92.4"/>
    <m/>
    <m/>
    <x v="85"/>
    <s v="HIDROELDI"/>
    <x v="4"/>
    <s v="M-ONE Sanitar Silikon"/>
    <n v="12"/>
    <x v="0"/>
    <n v="0.17"/>
  </r>
  <r>
    <s v="HIDROELDI"/>
    <x v="84"/>
    <m/>
    <m/>
    <m/>
    <x v="85"/>
    <s v="HIDROELDI"/>
    <x v="6"/>
    <s v="M-ONE Sanitar Silikon"/>
    <n v="12"/>
    <x v="0"/>
    <n v="0.17"/>
  </r>
  <r>
    <s v="KRRABAJ"/>
    <x v="84"/>
    <n v="184.8"/>
    <m/>
    <m/>
    <x v="144"/>
    <s v="KRRABAJ"/>
    <x v="4"/>
    <s v="M-ONE Sanitar Silikon"/>
    <n v="12"/>
    <x v="0"/>
    <n v="0.17"/>
  </r>
  <r>
    <s v="KRRABAJ"/>
    <x v="84"/>
    <m/>
    <m/>
    <m/>
    <x v="144"/>
    <s v="KRRABAJ"/>
    <x v="15"/>
    <s v="M-ONE Sanitar Silikon"/>
    <n v="12"/>
    <x v="0"/>
    <n v="0.17"/>
  </r>
  <r>
    <s v="KRRABAJ"/>
    <x v="84"/>
    <m/>
    <m/>
    <m/>
    <x v="144"/>
    <s v="KRRABAJ"/>
    <x v="25"/>
    <s v="M-ONE Sanitar Silikon"/>
    <n v="12"/>
    <x v="0"/>
    <n v="0.17"/>
  </r>
  <r>
    <s v="KRRABAJ"/>
    <x v="84"/>
    <m/>
    <m/>
    <m/>
    <x v="144"/>
    <s v="KRRABAJ"/>
    <x v="20"/>
    <s v="M-ONE Sanitar Silikon"/>
    <n v="12"/>
    <x v="0"/>
    <n v="0.17"/>
  </r>
  <r>
    <s v="KADIJOLLET"/>
    <x v="84"/>
    <n v="127.9"/>
    <m/>
    <m/>
    <x v="49"/>
    <s v="KADIJOLLET"/>
    <x v="4"/>
    <s v="M-ONE Sanitar Silikon"/>
    <n v="12"/>
    <x v="0"/>
    <n v="0.17"/>
  </r>
  <r>
    <s v="KADIJOLLET"/>
    <x v="84"/>
    <m/>
    <m/>
    <m/>
    <x v="49"/>
    <s v="KADIJOLLET"/>
    <x v="9"/>
    <s v="M-ONE Sanitar Silikon"/>
    <n v="12"/>
    <x v="0"/>
    <n v="0.17"/>
  </r>
  <r>
    <s v="KADIJOLLET"/>
    <x v="84"/>
    <m/>
    <m/>
    <m/>
    <x v="49"/>
    <s v="KADIJOLLET"/>
    <x v="22"/>
    <s v="universal akryl"/>
    <n v="12"/>
    <x v="0"/>
    <n v="0.06"/>
  </r>
  <r>
    <s v="KADIJOLLET"/>
    <x v="84"/>
    <m/>
    <m/>
    <m/>
    <x v="49"/>
    <s v="KADIJOLLET"/>
    <x v="14"/>
    <s v="beMAKER Bremsen&amp;Teile Reininger"/>
    <n v="5"/>
    <x v="0"/>
    <n v="0.2"/>
  </r>
  <r>
    <s v="KADIJOLLET"/>
    <x v="84"/>
    <m/>
    <m/>
    <m/>
    <x v="49"/>
    <s v="KADIJOLLET"/>
    <x v="13"/>
    <s v="M ONE MOTORSTART"/>
    <n v="3"/>
    <x v="0"/>
    <n v="0.2"/>
  </r>
  <r>
    <s v="QELA"/>
    <x v="84"/>
    <n v="36.6"/>
    <m/>
    <m/>
    <x v="50"/>
    <s v="QELA"/>
    <x v="22"/>
    <s v="universal akryl"/>
    <n v="12"/>
    <x v="0"/>
    <n v="0.06"/>
  </r>
  <r>
    <s v="QELA"/>
    <x v="84"/>
    <m/>
    <m/>
    <m/>
    <x v="50"/>
    <s v="QELA"/>
    <x v="7"/>
    <s v="DICHTUNG"/>
    <n v="3"/>
    <x v="0"/>
    <n v="0.2"/>
  </r>
  <r>
    <s v="TEMAJ"/>
    <x v="84"/>
    <n v="107.4"/>
    <m/>
    <m/>
    <x v="91"/>
    <s v="TEMAJ"/>
    <x v="6"/>
    <s v="M-ONE Sanitar Silikon"/>
    <n v="12"/>
    <x v="2"/>
    <n v="0.17"/>
  </r>
  <r>
    <s v="TEMAJ"/>
    <x v="84"/>
    <m/>
    <m/>
    <m/>
    <x v="91"/>
    <s v="TEMAJ"/>
    <x v="9"/>
    <s v="M-ONE Sanitar Silikon"/>
    <n v="12"/>
    <x v="2"/>
    <n v="0.17"/>
  </r>
  <r>
    <s v="TEMAJ"/>
    <x v="84"/>
    <m/>
    <m/>
    <m/>
    <x v="91"/>
    <s v="TEMAJ"/>
    <x v="22"/>
    <s v="universal akryl"/>
    <n v="12"/>
    <x v="2"/>
    <n v="0.06"/>
  </r>
  <r>
    <s v="KENA COMERC"/>
    <x v="84"/>
    <n v="198.6"/>
    <m/>
    <m/>
    <x v="52"/>
    <s v="KENA COMERC"/>
    <x v="2"/>
    <s v="M-ONE Sanitar Silikon"/>
    <n v="24"/>
    <x v="1"/>
    <n v="0.17"/>
  </r>
  <r>
    <s v="KENA COMERC"/>
    <x v="84"/>
    <m/>
    <m/>
    <m/>
    <x v="52"/>
    <s v="KENA COMERC"/>
    <x v="0"/>
    <s v="M-ONE Sanitar Silikon"/>
    <n v="12"/>
    <x v="1"/>
    <n v="0.17"/>
  </r>
  <r>
    <s v="KENA COMERC"/>
    <x v="84"/>
    <m/>
    <m/>
    <m/>
    <x v="52"/>
    <s v="KENA COMERC"/>
    <x v="22"/>
    <s v="universal akryl"/>
    <n v="48"/>
    <x v="1"/>
    <n v="0.06"/>
  </r>
  <r>
    <s v="TECOL 2"/>
    <x v="84"/>
    <n v="49.5"/>
    <m/>
    <m/>
    <x v="53"/>
    <s v="TECOL 2"/>
    <x v="42"/>
    <s v="M ONE SCHWARZ GLÄNZED"/>
    <n v="6"/>
    <x v="1"/>
    <n v="0.15"/>
  </r>
  <r>
    <s v="TECOL 2"/>
    <x v="84"/>
    <m/>
    <m/>
    <m/>
    <x v="53"/>
    <s v="TECOL 2"/>
    <x v="43"/>
    <s v="M ONE SCHWARZ MATT"/>
    <n v="6"/>
    <x v="1"/>
    <n v="0.15"/>
  </r>
  <r>
    <s v="TECOL 2"/>
    <x v="84"/>
    <m/>
    <m/>
    <m/>
    <x v="53"/>
    <s v="TECOL 2"/>
    <x v="17"/>
    <s v="M ONE UBS"/>
    <n v="3"/>
    <x v="1"/>
    <n v="0.2"/>
  </r>
  <r>
    <s v="TECOL 2"/>
    <x v="84"/>
    <m/>
    <m/>
    <m/>
    <x v="53"/>
    <s v="TECOL 2"/>
    <x v="34"/>
    <s v="M ONE FELGENSILBER"/>
    <n v="3"/>
    <x v="1"/>
    <n v="0.15"/>
  </r>
  <r>
    <s v="LULI-C"/>
    <x v="84"/>
    <n v="174"/>
    <m/>
    <m/>
    <x v="54"/>
    <s v="LULI-C"/>
    <x v="10"/>
    <s v="PROFIMONT EXTREME"/>
    <n v="12"/>
    <x v="1"/>
    <n v="0.2"/>
  </r>
  <r>
    <s v="LULI-C"/>
    <x v="84"/>
    <m/>
    <m/>
    <m/>
    <x v="54"/>
    <s v="LULI-C"/>
    <x v="6"/>
    <s v="M-ONE Sanitar Silikon"/>
    <n v="12"/>
    <x v="1"/>
    <n v="0.17"/>
  </r>
  <r>
    <s v="LULI-C"/>
    <x v="84"/>
    <m/>
    <m/>
    <m/>
    <x v="54"/>
    <s v="LULI-C"/>
    <x v="9"/>
    <s v="M-ONE Sanitar Silikon"/>
    <n v="12"/>
    <x v="1"/>
    <n v="0.17"/>
  </r>
  <r>
    <s v="LULI-C"/>
    <x v="84"/>
    <m/>
    <m/>
    <m/>
    <x v="54"/>
    <s v="LULI-C"/>
    <x v="12"/>
    <s v="beMAKER Rostlöser"/>
    <n v="6"/>
    <x v="1"/>
    <n v="0.2"/>
  </r>
  <r>
    <s v="CAMA BAU"/>
    <x v="84"/>
    <n v="184.8"/>
    <m/>
    <m/>
    <x v="55"/>
    <s v="CAMA BAU"/>
    <x v="3"/>
    <s v="M-ONE Sanitar Silikon"/>
    <n v="12"/>
    <x v="1"/>
    <n v="0.17"/>
  </r>
  <r>
    <s v="CAMA BAU"/>
    <x v="84"/>
    <m/>
    <m/>
    <m/>
    <x v="55"/>
    <s v="CAMA BAU"/>
    <x v="1"/>
    <s v="M-ONE Sanitar Silikon"/>
    <n v="36"/>
    <x v="1"/>
    <n v="0.17"/>
  </r>
  <r>
    <s v="KTHIMI"/>
    <x v="84"/>
    <n v="138.6"/>
    <m/>
    <m/>
    <x v="57"/>
    <s v="KTHIMI"/>
    <x v="18"/>
    <s v="M-ONE Sanitar Silikon"/>
    <n v="24"/>
    <x v="1"/>
    <n v="0.17"/>
  </r>
  <r>
    <s v="KTHIMI"/>
    <x v="84"/>
    <m/>
    <m/>
    <m/>
    <x v="57"/>
    <s v="KTHIMI"/>
    <x v="3"/>
    <s v="M-ONE Sanitar Silikon"/>
    <n v="12"/>
    <x v="1"/>
    <n v="0.17"/>
  </r>
  <r>
    <s v="ING PROJEKT"/>
    <x v="84"/>
    <n v="101.4"/>
    <m/>
    <m/>
    <x v="168"/>
    <s v="ING PROJEKT"/>
    <x v="20"/>
    <s v="M-ONE Sanitar Silikon"/>
    <n v="12"/>
    <x v="1"/>
    <n v="0.17"/>
  </r>
  <r>
    <s v="ING PROJEKT"/>
    <x v="84"/>
    <m/>
    <m/>
    <m/>
    <x v="168"/>
    <s v="ING PROJEKT"/>
    <x v="8"/>
    <s v="struktural akryl"/>
    <n v="24"/>
    <x v="1"/>
    <n v="0.06"/>
  </r>
  <r>
    <s v="TERMO PROJEKT"/>
    <x v="84"/>
    <n v="69.599999999999994"/>
    <m/>
    <m/>
    <x v="56"/>
    <s v="TERMO PROJEKT"/>
    <x v="10"/>
    <s v="PROFIMONT EXTREME"/>
    <n v="12"/>
    <x v="1"/>
    <n v="0.2"/>
  </r>
  <r>
    <s v="KUQI-LKW"/>
    <x v="84"/>
    <n v="34"/>
    <m/>
    <m/>
    <x v="120"/>
    <s v="KUQI-LKW"/>
    <x v="12"/>
    <s v="beMAKER Rostlöser"/>
    <n v="7"/>
    <x v="1"/>
    <n v="0.2"/>
  </r>
  <r>
    <s v="KUQI-LKW"/>
    <x v="84"/>
    <m/>
    <m/>
    <m/>
    <x v="120"/>
    <s v="KUQI-LKW"/>
    <x v="13"/>
    <s v="M ONE MOTORSTART"/>
    <n v="4"/>
    <x v="1"/>
    <n v="0.2"/>
  </r>
  <r>
    <s v="KUQI-LKW"/>
    <x v="84"/>
    <m/>
    <m/>
    <m/>
    <x v="120"/>
    <s v="KUQI-LKW"/>
    <x v="14"/>
    <s v="beMAKER Bremsen&amp;Teile Reininger"/>
    <n v="3"/>
    <x v="1"/>
    <n v="0.2"/>
  </r>
  <r>
    <s v="BARDHI"/>
    <x v="85"/>
    <n v="46.2"/>
    <m/>
    <m/>
    <x v="200"/>
    <s v="BARDHI"/>
    <x v="1"/>
    <s v="M-ONE Sanitar Silikon"/>
    <n v="12"/>
    <x v="0"/>
    <n v="0.17"/>
  </r>
  <r>
    <s v="AB SHPK"/>
    <x v="85"/>
    <n v="138.6"/>
    <m/>
    <m/>
    <x v="63"/>
    <s v="AB SHPK"/>
    <x v="3"/>
    <s v="M-ONE Sanitar Silikon"/>
    <n v="12"/>
    <x v="0"/>
    <n v="0.17"/>
  </r>
  <r>
    <s v="AB SHPK"/>
    <x v="85"/>
    <m/>
    <m/>
    <m/>
    <x v="63"/>
    <s v="AB SHPK"/>
    <x v="4"/>
    <s v="M-ONE Sanitar Silikon"/>
    <n v="12"/>
    <x v="0"/>
    <n v="0.17"/>
  </r>
  <r>
    <s v="AB SHPK"/>
    <x v="85"/>
    <m/>
    <m/>
    <m/>
    <x v="63"/>
    <s v="AB SHPK"/>
    <x v="0"/>
    <s v="M-ONE Sanitar Silikon"/>
    <n v="12"/>
    <x v="0"/>
    <n v="0.17"/>
  </r>
  <r>
    <s v="BEK TRADE"/>
    <x v="85"/>
    <n v="138.6"/>
    <m/>
    <m/>
    <x v="62"/>
    <s v="BEK TRADE"/>
    <x v="4"/>
    <s v="M-ONE Sanitar Silikon"/>
    <n v="12"/>
    <x v="0"/>
    <n v="0.17"/>
  </r>
  <r>
    <s v="BEK TRADE"/>
    <x v="85"/>
    <m/>
    <m/>
    <m/>
    <x v="62"/>
    <s v="BEK TRADE"/>
    <x v="5"/>
    <s v="M-ONE Sanitar Silikon"/>
    <n v="12"/>
    <x v="0"/>
    <n v="0.17"/>
  </r>
  <r>
    <s v="BEK TRADE"/>
    <x v="85"/>
    <m/>
    <m/>
    <m/>
    <x v="62"/>
    <s v="BEK TRADE"/>
    <x v="9"/>
    <s v="M-ONE Sanitar Silikon"/>
    <n v="12"/>
    <x v="0"/>
    <n v="0.17"/>
  </r>
  <r>
    <s v="ARPO"/>
    <x v="85"/>
    <n v="184.8"/>
    <m/>
    <m/>
    <x v="64"/>
    <s v="ARPO"/>
    <x v="18"/>
    <s v="M-ONE Sanitar Silikon"/>
    <n v="12"/>
    <x v="0"/>
    <n v="0.17"/>
  </r>
  <r>
    <s v="ARPO"/>
    <x v="85"/>
    <m/>
    <m/>
    <m/>
    <x v="64"/>
    <s v="ARPO"/>
    <x v="25"/>
    <s v="M-ONE Sanitar Silikon"/>
    <n v="12"/>
    <x v="0"/>
    <n v="0.17"/>
  </r>
  <r>
    <s v="ARPO"/>
    <x v="85"/>
    <m/>
    <m/>
    <m/>
    <x v="64"/>
    <s v="ARPO"/>
    <x v="9"/>
    <s v="M-ONE Sanitar Silikon"/>
    <n v="12"/>
    <x v="0"/>
    <n v="0.17"/>
  </r>
  <r>
    <s v="ARPO"/>
    <x v="85"/>
    <m/>
    <m/>
    <m/>
    <x v="64"/>
    <s v="ARPO"/>
    <x v="4"/>
    <s v="M-ONE Sanitar Silikon"/>
    <n v="12"/>
    <x v="0"/>
    <n v="0.17"/>
  </r>
  <r>
    <s v="XHAFA"/>
    <x v="85"/>
    <n v="106.8"/>
    <m/>
    <m/>
    <x v="61"/>
    <s v="XHAFA"/>
    <x v="1"/>
    <s v="M-ONE Sanitar Silikon"/>
    <n v="12"/>
    <x v="0"/>
    <n v="0.17"/>
  </r>
  <r>
    <s v="XHAFA"/>
    <x v="85"/>
    <m/>
    <m/>
    <m/>
    <x v="61"/>
    <s v="XHAFA"/>
    <x v="9"/>
    <s v="M-ONE Sanitar Silikon"/>
    <n v="12"/>
    <x v="0"/>
    <n v="0.17"/>
  </r>
  <r>
    <s v="XHAFA"/>
    <x v="85"/>
    <m/>
    <m/>
    <m/>
    <x v="61"/>
    <s v="XHAFA"/>
    <x v="7"/>
    <s v="DICHTUNG"/>
    <n v="2"/>
    <x v="0"/>
    <n v="0.2"/>
  </r>
  <r>
    <s v="TE BESNIKU"/>
    <x v="85"/>
    <n v="46.2"/>
    <m/>
    <m/>
    <x v="65"/>
    <s v="TE BESNIKU"/>
    <x v="6"/>
    <s v="M-ONE Sanitar Silikon"/>
    <n v="12"/>
    <x v="0"/>
    <n v="0.17"/>
  </r>
  <r>
    <s v="JETA DUHEL"/>
    <x v="85"/>
    <n v="138.6"/>
    <m/>
    <m/>
    <x v="152"/>
    <s v="JETA DUHEL"/>
    <x v="4"/>
    <s v="M-ONE Sanitar Silikon"/>
    <n v="12"/>
    <x v="0"/>
    <n v="0.17"/>
  </r>
  <r>
    <s v="JETA DUHEL"/>
    <x v="85"/>
    <m/>
    <m/>
    <m/>
    <x v="152"/>
    <s v="JETA DUHEL"/>
    <x v="15"/>
    <s v="M-ONE Sanitar Silikon"/>
    <n v="12"/>
    <x v="0"/>
    <n v="0.17"/>
  </r>
  <r>
    <s v="JETA DUHEL"/>
    <x v="85"/>
    <m/>
    <m/>
    <m/>
    <x v="152"/>
    <s v="JETA DUHEL"/>
    <x v="1"/>
    <s v="M-ONE Sanitar Silikon"/>
    <n v="12"/>
    <x v="0"/>
    <n v="0.17"/>
  </r>
  <r>
    <s v="TE RAMIZI"/>
    <x v="85"/>
    <n v="46.2"/>
    <m/>
    <m/>
    <x v="201"/>
    <s v="TE RAMIZI"/>
    <x v="1"/>
    <s v="M-ONE Sanitar Silikon"/>
    <n v="12"/>
    <x v="0"/>
    <n v="0.17"/>
  </r>
  <r>
    <s v="TEMAJ"/>
    <x v="85"/>
    <n v="231"/>
    <m/>
    <m/>
    <x v="91"/>
    <s v="TEMAJ"/>
    <x v="4"/>
    <s v="M-ONE Sanitar Silikon"/>
    <n v="24"/>
    <x v="2"/>
    <n v="0.17"/>
  </r>
  <r>
    <s v="TEMAJ"/>
    <x v="85"/>
    <m/>
    <m/>
    <m/>
    <x v="91"/>
    <s v="TEMAJ"/>
    <x v="3"/>
    <s v="M-ONE Sanitar Silikon"/>
    <n v="12"/>
    <x v="2"/>
    <n v="0.17"/>
  </r>
  <r>
    <s v="TEMAJ"/>
    <x v="85"/>
    <m/>
    <m/>
    <m/>
    <x v="91"/>
    <s v="TEMAJ"/>
    <x v="1"/>
    <s v="M-ONE Sanitar Silikon"/>
    <n v="12"/>
    <x v="2"/>
    <n v="0.17"/>
  </r>
  <r>
    <s v="TEMAJ"/>
    <x v="85"/>
    <m/>
    <m/>
    <m/>
    <x v="91"/>
    <s v="TEMAJ"/>
    <x v="6"/>
    <s v="M-ONE Sanitar Silikon"/>
    <n v="12"/>
    <x v="2"/>
    <n v="0.17"/>
  </r>
  <r>
    <s v="TANI"/>
    <x v="85"/>
    <n v="138.6"/>
    <m/>
    <m/>
    <x v="66"/>
    <s v="TANI"/>
    <x v="0"/>
    <s v="M-ONE Sanitar Silikon"/>
    <n v="12"/>
    <x v="1"/>
    <n v="0.17"/>
  </r>
  <r>
    <s v="TANI"/>
    <x v="85"/>
    <m/>
    <m/>
    <m/>
    <x v="66"/>
    <s v="TANI"/>
    <x v="5"/>
    <s v="M-ONE Sanitar Silikon"/>
    <n v="12"/>
    <x v="1"/>
    <n v="0.17"/>
  </r>
  <r>
    <s v="TANI"/>
    <x v="85"/>
    <m/>
    <m/>
    <m/>
    <x v="66"/>
    <s v="TANI"/>
    <x v="15"/>
    <s v="M-ONE Sanitar Silikon"/>
    <n v="12"/>
    <x v="1"/>
    <n v="0.17"/>
  </r>
  <r>
    <s v="LETAJ"/>
    <x v="85"/>
    <n v="142.19999999999999"/>
    <m/>
    <m/>
    <x v="67"/>
    <s v="LETAJ"/>
    <x v="7"/>
    <s v="DICHTUNG"/>
    <n v="12"/>
    <x v="1"/>
    <n v="0.2"/>
  </r>
  <r>
    <s v="LETAJ"/>
    <x v="85"/>
    <m/>
    <m/>
    <m/>
    <x v="67"/>
    <s v="LETAJ"/>
    <x v="9"/>
    <s v="M-ONE Sanitar Silikon"/>
    <n v="12"/>
    <x v="1"/>
    <n v="0.17"/>
  </r>
  <r>
    <s v="GACAFERI-RG"/>
    <x v="85"/>
    <n v="51.6"/>
    <m/>
    <m/>
    <x v="161"/>
    <s v="GACAFERI-RG"/>
    <x v="17"/>
    <s v="M ONE UBS"/>
    <n v="6"/>
    <x v="1"/>
    <n v="0.2"/>
  </r>
  <r>
    <s v="GACAFERI-RG"/>
    <x v="85"/>
    <m/>
    <m/>
    <m/>
    <x v="161"/>
    <s v="GACAFERI-RG"/>
    <x v="8"/>
    <s v="struktural akryl"/>
    <n v="12"/>
    <x v="1"/>
    <n v="0.06"/>
  </r>
  <r>
    <s v="INOX 1"/>
    <x v="85"/>
    <n v="107.4"/>
    <m/>
    <m/>
    <x v="68"/>
    <s v="INOX 1"/>
    <x v="15"/>
    <s v="M-ONE Sanitar Silikon"/>
    <n v="12"/>
    <x v="1"/>
    <n v="0.17"/>
  </r>
  <r>
    <s v="INOX 1"/>
    <x v="85"/>
    <m/>
    <m/>
    <m/>
    <x v="68"/>
    <s v="INOX 1"/>
    <x v="18"/>
    <s v="M-ONE Sanitar Silikon"/>
    <n v="12"/>
    <x v="1"/>
    <n v="0.17"/>
  </r>
  <r>
    <s v="INOX 1"/>
    <x v="85"/>
    <m/>
    <m/>
    <m/>
    <x v="68"/>
    <s v="INOX 1"/>
    <x v="22"/>
    <s v="universal akryl"/>
    <n v="12"/>
    <x v="1"/>
    <n v="0.06"/>
  </r>
  <r>
    <s v="INOX 2"/>
    <x v="85"/>
    <n v="92.4"/>
    <m/>
    <m/>
    <x v="93"/>
    <s v="INOX 2"/>
    <x v="18"/>
    <s v="M-ONE Sanitar Silikon"/>
    <n v="12"/>
    <x v="1"/>
    <n v="0.17"/>
  </r>
  <r>
    <s v="INOX 2"/>
    <x v="85"/>
    <m/>
    <m/>
    <m/>
    <x v="93"/>
    <s v="INOX 2"/>
    <x v="1"/>
    <s v="M-ONE Sanitar Silikon"/>
    <n v="12"/>
    <x v="1"/>
    <n v="0.17"/>
  </r>
  <r>
    <s v="V. GJONAJ"/>
    <x v="85"/>
    <n v="147.6"/>
    <m/>
    <m/>
    <x v="122"/>
    <s v="V. GJONAJ"/>
    <x v="2"/>
    <s v="M-ONE Sanitar Silikon"/>
    <n v="24"/>
    <x v="1"/>
    <n v="0.17"/>
  </r>
  <r>
    <s v="V. GJONAJ"/>
    <x v="85"/>
    <m/>
    <m/>
    <m/>
    <x v="122"/>
    <s v="V. GJONAJ"/>
    <x v="8"/>
    <s v="struktural akryl"/>
    <n v="24"/>
    <x v="1"/>
    <n v="0.06"/>
  </r>
  <r>
    <s v="ERENIKU"/>
    <x v="85"/>
    <n v="101.4"/>
    <m/>
    <m/>
    <x v="92"/>
    <s v="ERENIKU"/>
    <x v="4"/>
    <s v="M-ONE Sanitar Silikon"/>
    <n v="12"/>
    <x v="1"/>
    <n v="0.17"/>
  </r>
  <r>
    <s v="ERENIKU"/>
    <x v="85"/>
    <m/>
    <m/>
    <m/>
    <x v="92"/>
    <s v="ERENIKU"/>
    <x v="8"/>
    <s v="struktural akryl"/>
    <n v="24"/>
    <x v="1"/>
    <n v="0.06"/>
  </r>
  <r>
    <s v="AFRIMI-AG"/>
    <x v="85"/>
    <n v="323.39999999999998"/>
    <m/>
    <m/>
    <x v="69"/>
    <s v="AFRIMI-AG"/>
    <x v="4"/>
    <s v="M-ONE Sanitar Silikon"/>
    <n v="48"/>
    <x v="1"/>
    <n v="0.17"/>
  </r>
  <r>
    <s v="AFRIMI-AG"/>
    <x v="85"/>
    <m/>
    <m/>
    <m/>
    <x v="69"/>
    <s v="AFRIMI-AG"/>
    <x v="3"/>
    <s v="M-ONE Sanitar Silikon"/>
    <n v="12"/>
    <x v="1"/>
    <n v="0.17"/>
  </r>
  <r>
    <s v="AFRIMI-AG"/>
    <x v="85"/>
    <m/>
    <m/>
    <m/>
    <x v="69"/>
    <s v="AFRIMI-AG"/>
    <x v="15"/>
    <s v="M-ONE Sanitar Silikon"/>
    <n v="12"/>
    <x v="1"/>
    <n v="0.17"/>
  </r>
  <r>
    <s v="AFRIMI-AG"/>
    <x v="85"/>
    <m/>
    <m/>
    <m/>
    <x v="69"/>
    <s v="AFRIMI-AG"/>
    <x v="9"/>
    <s v="M-ONE Sanitar Silikon"/>
    <n v="12"/>
    <x v="1"/>
    <n v="0.17"/>
  </r>
  <r>
    <s v="TE BESIMI"/>
    <x v="85"/>
    <n v="114"/>
    <m/>
    <m/>
    <x v="70"/>
    <s v="TE BESIMI"/>
    <x v="0"/>
    <s v="M-ONE Sanitar Silikon"/>
    <n v="12"/>
    <x v="1"/>
    <n v="0.17"/>
  </r>
  <r>
    <s v="TE BESIMI"/>
    <x v="85"/>
    <m/>
    <m/>
    <m/>
    <x v="70"/>
    <s v="TE BESIMI"/>
    <x v="2"/>
    <s v="M-ONE Sanitar Silikon"/>
    <n v="12"/>
    <x v="1"/>
    <n v="0.17"/>
  </r>
  <r>
    <s v="TE BESIMI"/>
    <x v="85"/>
    <m/>
    <m/>
    <m/>
    <x v="70"/>
    <s v="TE BESIMI"/>
    <x v="7"/>
    <s v="DICHTUNG"/>
    <n v="3"/>
    <x v="1"/>
    <n v="0.2"/>
  </r>
  <r>
    <s v="YLLI CONSTRUCION"/>
    <x v="85"/>
    <n v="48"/>
    <m/>
    <m/>
    <x v="128"/>
    <s v="YLLI CONSTRUCION"/>
    <x v="3"/>
    <s v="M-ONE Sanitar Silikon"/>
    <n v="4"/>
    <x v="2"/>
    <n v="0.17"/>
  </r>
  <r>
    <s v="YLLI CONSTRUCION"/>
    <x v="85"/>
    <m/>
    <m/>
    <m/>
    <x v="128"/>
    <s v="YLLI CONSTRUCION"/>
    <x v="0"/>
    <s v="M-ONE Sanitar Silikon"/>
    <n v="4"/>
    <x v="2"/>
    <n v="0.17"/>
  </r>
  <r>
    <s v="YLLI CONSTRUCION"/>
    <x v="85"/>
    <m/>
    <m/>
    <m/>
    <x v="128"/>
    <s v="YLLI CONSTRUCION"/>
    <x v="5"/>
    <s v="M-ONE Sanitar Silikon"/>
    <n v="4"/>
    <x v="2"/>
    <n v="0.17"/>
  </r>
  <r>
    <s v="ARBENI BIOBLIC"/>
    <x v="85"/>
    <n v="171.5"/>
    <m/>
    <m/>
    <x v="71"/>
    <s v="ARBENI BIOBLIC"/>
    <x v="28"/>
    <s v="BioBlic Universalreiniger"/>
    <n v="90"/>
    <x v="2"/>
    <n v="0.30000000000000004"/>
  </r>
  <r>
    <s v="ARBENI BIOBLIC"/>
    <x v="85"/>
    <m/>
    <m/>
    <m/>
    <x v="71"/>
    <s v="ARBENI BIOBLIC"/>
    <x v="29"/>
    <s v="Blic Blic Sanitärreiniger"/>
    <n v="50"/>
    <x v="2"/>
    <n v="0.30000000000000004"/>
  </r>
  <r>
    <s v="FATMIRI"/>
    <x v="86"/>
    <n v="92.4"/>
    <m/>
    <m/>
    <x v="124"/>
    <s v="FATMIRI"/>
    <x v="0"/>
    <s v="M-ONE Sanitar Silikon"/>
    <n v="12"/>
    <x v="0"/>
    <n v="0.17"/>
  </r>
  <r>
    <s v="FATMIRI"/>
    <x v="86"/>
    <m/>
    <m/>
    <m/>
    <x v="124"/>
    <s v="FATMIRI"/>
    <x v="20"/>
    <s v="M-ONE Sanitar Silikon"/>
    <n v="12"/>
    <x v="0"/>
    <n v="0.17"/>
  </r>
  <r>
    <s v="BEKA-3"/>
    <x v="86"/>
    <n v="86.4"/>
    <m/>
    <m/>
    <x v="8"/>
    <s v="BEKA-3"/>
    <x v="7"/>
    <s v="DICHTUNG"/>
    <n v="12"/>
    <x v="0"/>
    <n v="0.2"/>
  </r>
  <r>
    <s v="BALLKANI"/>
    <x v="86"/>
    <n v="369.6"/>
    <m/>
    <m/>
    <x v="98"/>
    <s v="BALLKANI"/>
    <x v="1"/>
    <s v="M-ONE Sanitar Silikon"/>
    <n v="48"/>
    <x v="0"/>
    <n v="0.17"/>
  </r>
  <r>
    <s v="BALLKANI"/>
    <x v="86"/>
    <m/>
    <m/>
    <m/>
    <x v="98"/>
    <s v="BALLKANI"/>
    <x v="25"/>
    <s v="M-ONE Sanitar Silikon"/>
    <n v="12"/>
    <x v="0"/>
    <n v="0.17"/>
  </r>
  <r>
    <s v="BALLKANI"/>
    <x v="86"/>
    <m/>
    <m/>
    <m/>
    <x v="98"/>
    <s v="BALLKANI"/>
    <x v="9"/>
    <s v="M-ONE Sanitar Silikon"/>
    <n v="12"/>
    <x v="0"/>
    <n v="0.17"/>
  </r>
  <r>
    <s v="BALLKANI"/>
    <x v="86"/>
    <m/>
    <m/>
    <m/>
    <x v="98"/>
    <s v="BALLKANI"/>
    <x v="18"/>
    <s v="M-ONE Sanitar Silikon"/>
    <n v="12"/>
    <x v="0"/>
    <n v="0.17"/>
  </r>
  <r>
    <s v="BALLKANI"/>
    <x v="86"/>
    <m/>
    <m/>
    <m/>
    <x v="98"/>
    <s v="BALLKANI"/>
    <x v="5"/>
    <s v="M-ONE Sanitar Silikon"/>
    <n v="12"/>
    <x v="0"/>
    <n v="0.17"/>
  </r>
  <r>
    <s v="AME"/>
    <x v="86"/>
    <n v="138.6"/>
    <m/>
    <m/>
    <x v="202"/>
    <s v="AME"/>
    <x v="3"/>
    <s v="M-ONE Sanitar Silikon"/>
    <n v="12"/>
    <x v="0"/>
    <n v="0.17"/>
  </r>
  <r>
    <s v="AME"/>
    <x v="86"/>
    <m/>
    <m/>
    <m/>
    <x v="202"/>
    <s v="AME"/>
    <x v="4"/>
    <s v="M-ONE Sanitar Silikon"/>
    <n v="12"/>
    <x v="0"/>
    <n v="0.17"/>
  </r>
  <r>
    <s v="AME"/>
    <x v="86"/>
    <m/>
    <m/>
    <m/>
    <x v="202"/>
    <s v="AME"/>
    <x v="1"/>
    <s v="M-ONE Sanitar Silikon"/>
    <n v="12"/>
    <x v="0"/>
    <n v="0.17"/>
  </r>
  <r>
    <s v="EUROSAN"/>
    <x v="86"/>
    <n v="61.2"/>
    <m/>
    <m/>
    <x v="123"/>
    <s v="EUROSAN"/>
    <x v="0"/>
    <s v="M-ONE Sanitar Silikon"/>
    <n v="12"/>
    <x v="0"/>
    <n v="0.17"/>
  </r>
  <r>
    <s v="EUROSAN"/>
    <x v="86"/>
    <m/>
    <m/>
    <m/>
    <x v="123"/>
    <s v="EUROSAN"/>
    <x v="22"/>
    <s v="universal akryl"/>
    <n v="12"/>
    <x v="0"/>
    <n v="0.06"/>
  </r>
  <r>
    <s v="BEKA-2"/>
    <x v="86"/>
    <n v="51.3"/>
    <m/>
    <m/>
    <x v="154"/>
    <s v="BEKA-2"/>
    <x v="7"/>
    <s v="DICHTUNG"/>
    <n v="4"/>
    <x v="0"/>
    <n v="0.2"/>
  </r>
  <r>
    <s v="BEKA-2"/>
    <x v="86"/>
    <m/>
    <m/>
    <m/>
    <x v="154"/>
    <s v="BEKA-2"/>
    <x v="17"/>
    <s v="M ONE UBS"/>
    <n v="3"/>
    <x v="0"/>
    <n v="0.2"/>
  </r>
  <r>
    <s v="BEKA-2"/>
    <x v="86"/>
    <m/>
    <m/>
    <m/>
    <x v="154"/>
    <s v="BEKA-2"/>
    <x v="13"/>
    <s v="M ONE MOTORSTART"/>
    <n v="3"/>
    <x v="0"/>
    <n v="0.2"/>
  </r>
  <r>
    <s v="TINA"/>
    <x v="86"/>
    <n v="138.6"/>
    <m/>
    <m/>
    <x v="2"/>
    <s v="TINA"/>
    <x v="3"/>
    <s v="M-ONE Sanitar Silikon"/>
    <n v="12"/>
    <x v="0"/>
    <n v="0.17"/>
  </r>
  <r>
    <s v="TINA"/>
    <x v="86"/>
    <m/>
    <m/>
    <m/>
    <x v="2"/>
    <s v="TINA"/>
    <x v="15"/>
    <s v="M-ONE Sanitar Silikon"/>
    <n v="12"/>
    <x v="0"/>
    <n v="0.17"/>
  </r>
  <r>
    <s v="TINA"/>
    <x v="86"/>
    <m/>
    <m/>
    <m/>
    <x v="2"/>
    <s v="TINA"/>
    <x v="20"/>
    <s v="M-ONE Sanitar Silikon"/>
    <n v="12"/>
    <x v="0"/>
    <n v="0.17"/>
  </r>
  <r>
    <s v="BEKA-1"/>
    <x v="86"/>
    <n v="34.9"/>
    <m/>
    <m/>
    <x v="76"/>
    <s v="BEKA-1"/>
    <x v="7"/>
    <s v="DICHTUNG"/>
    <n v="2"/>
    <x v="0"/>
    <n v="0.2"/>
  </r>
  <r>
    <s v="BEKA-1"/>
    <x v="86"/>
    <m/>
    <m/>
    <m/>
    <x v="76"/>
    <s v="BEKA-1"/>
    <x v="16"/>
    <s v="Fettspray"/>
    <n v="3"/>
    <x v="0"/>
    <n v="0.2"/>
  </r>
  <r>
    <s v="BEKA-1"/>
    <x v="86"/>
    <m/>
    <m/>
    <m/>
    <x v="76"/>
    <s v="BEKA-1"/>
    <x v="12"/>
    <s v="beMAKER Rostlöser"/>
    <n v="5"/>
    <x v="0"/>
    <n v="0.2"/>
  </r>
  <r>
    <s v="GLOBAL NT"/>
    <x v="86"/>
    <n v="107.4"/>
    <m/>
    <m/>
    <x v="74"/>
    <e v="#N/A"/>
    <x v="3"/>
    <s v="M-ONE Sanitar Silikon"/>
    <n v="12"/>
    <x v="0"/>
    <n v="0.17"/>
  </r>
  <r>
    <s v="GLOBAL NT"/>
    <x v="86"/>
    <m/>
    <m/>
    <m/>
    <x v="74"/>
    <e v="#N/A"/>
    <x v="5"/>
    <s v="M-ONE Sanitar Silikon"/>
    <n v="12"/>
    <x v="0"/>
    <n v="0.17"/>
  </r>
  <r>
    <s v="GLOBAL NT"/>
    <x v="86"/>
    <m/>
    <m/>
    <m/>
    <x v="74"/>
    <e v="#N/A"/>
    <x v="22"/>
    <s v="universal akryl"/>
    <n v="12"/>
    <x v="0"/>
    <n v="0.06"/>
  </r>
  <r>
    <s v="TREND CERAMIKA"/>
    <x v="86"/>
    <n v="46.2"/>
    <m/>
    <m/>
    <x v="162"/>
    <s v="TREND CERAMIKA"/>
    <x v="1"/>
    <s v="M-ONE Sanitar Silikon"/>
    <n v="12"/>
    <x v="0"/>
    <n v="0.17"/>
  </r>
  <r>
    <s v="GLOBAL NT"/>
    <x v="86"/>
    <n v="15"/>
    <m/>
    <m/>
    <x v="194"/>
    <e v="#N/A"/>
    <x v="22"/>
    <s v="universal akryl"/>
    <n v="12"/>
    <x v="0"/>
    <n v="0.06"/>
  </r>
  <r>
    <s v="DURGUTI 3"/>
    <x v="86"/>
    <n v="120"/>
    <m/>
    <m/>
    <x v="12"/>
    <s v="DURGUTI 3"/>
    <x v="18"/>
    <s v="M-ONE Sanitar Silikon"/>
    <n v="12"/>
    <x v="1"/>
    <n v="0.17"/>
  </r>
  <r>
    <s v="DURGUTI 3"/>
    <x v="86"/>
    <m/>
    <m/>
    <m/>
    <x v="12"/>
    <s v="DURGUTI 3"/>
    <x v="2"/>
    <s v="M-ONE Sanitar Silikon"/>
    <n v="12"/>
    <x v="1"/>
    <n v="0.17"/>
  </r>
  <r>
    <s v="DURGUTI 3"/>
    <x v="86"/>
    <m/>
    <m/>
    <m/>
    <x v="12"/>
    <s v="DURGUTI 3"/>
    <x v="8"/>
    <s v="struktural akryl"/>
    <n v="12"/>
    <x v="1"/>
    <n v="0.06"/>
  </r>
  <r>
    <s v="HAZROLLI"/>
    <x v="86"/>
    <n v="69.599999999999994"/>
    <m/>
    <m/>
    <x v="9"/>
    <s v="HAZROLLI"/>
    <x v="10"/>
    <s v="PROFIMONT EXTREME"/>
    <n v="12"/>
    <x v="1"/>
    <n v="0.2"/>
  </r>
  <r>
    <s v="BAU HOME"/>
    <x v="86"/>
    <n v="46.2"/>
    <m/>
    <m/>
    <x v="10"/>
    <s v="BAU HOME"/>
    <x v="3"/>
    <s v="M-ONE Sanitar Silikon"/>
    <n v="12"/>
    <x v="1"/>
    <n v="0.17"/>
  </r>
  <r>
    <s v="CONDOR"/>
    <x v="86"/>
    <n v="238.8"/>
    <m/>
    <m/>
    <x v="11"/>
    <s v="CONDOR"/>
    <x v="9"/>
    <s v="M-ONE Sanitar Silikon"/>
    <n v="24"/>
    <x v="1"/>
    <n v="0.17"/>
  </r>
  <r>
    <s v="CONDOR"/>
    <x v="86"/>
    <m/>
    <m/>
    <m/>
    <x v="11"/>
    <s v="CONDOR"/>
    <x v="18"/>
    <s v="M-ONE Sanitar Silikon"/>
    <n v="12"/>
    <x v="1"/>
    <n v="0.17"/>
  </r>
  <r>
    <s v="CONDOR"/>
    <x v="86"/>
    <m/>
    <m/>
    <m/>
    <x v="11"/>
    <s v="CONDOR"/>
    <x v="22"/>
    <s v="universal akryl"/>
    <n v="24"/>
    <x v="1"/>
    <n v="0.06"/>
  </r>
  <r>
    <s v="CONDOR"/>
    <x v="86"/>
    <m/>
    <m/>
    <m/>
    <x v="11"/>
    <s v="CONDOR"/>
    <x v="22"/>
    <s v="universal akryl"/>
    <n v="24"/>
    <x v="1"/>
    <n v="0.06"/>
  </r>
  <r>
    <s v="CONDOR"/>
    <x v="86"/>
    <m/>
    <m/>
    <m/>
    <x v="11"/>
    <s v="CONDOR"/>
    <x v="34"/>
    <s v="M ONE FELGENSILBER"/>
    <n v="6"/>
    <x v="1"/>
    <n v="0.15"/>
  </r>
  <r>
    <s v="AGRO-FARM"/>
    <x v="86"/>
    <n v="76.2"/>
    <m/>
    <m/>
    <x v="14"/>
    <s v="AGRO-FARM"/>
    <x v="5"/>
    <s v="M-ONE Sanitar Silikon"/>
    <n v="12"/>
    <x v="1"/>
    <n v="0.17"/>
  </r>
  <r>
    <s v="AGRO-FARM"/>
    <x v="86"/>
    <m/>
    <m/>
    <m/>
    <x v="14"/>
    <s v="AGRO-FARM"/>
    <x v="23"/>
    <s v="M ONE HAFTGRUND"/>
    <n v="12"/>
    <x v="1"/>
    <n v="0.15"/>
  </r>
  <r>
    <s v="SHEHU-A"/>
    <x v="86"/>
    <n v="70.2"/>
    <m/>
    <m/>
    <x v="17"/>
    <s v="SHEHU-A"/>
    <x v="0"/>
    <s v="M-ONE Sanitar Silikon"/>
    <n v="12"/>
    <x v="1"/>
    <n v="0.17"/>
  </r>
  <r>
    <s v="SHEHU-A"/>
    <x v="86"/>
    <m/>
    <m/>
    <m/>
    <x v="17"/>
    <s v="SHEHU-A"/>
    <x v="12"/>
    <s v="beMAKER Rostlöser"/>
    <n v="12"/>
    <x v="1"/>
    <n v="0.2"/>
  </r>
  <r>
    <s v="BARDHI-M"/>
    <x v="86"/>
    <n v="92.4"/>
    <m/>
    <m/>
    <x v="77"/>
    <s v="BARDHI-M"/>
    <x v="1"/>
    <s v="M-ONE Sanitar Silikon"/>
    <n v="24"/>
    <x v="1"/>
    <n v="0.17"/>
  </r>
  <r>
    <s v="SOPAJ"/>
    <x v="86"/>
    <n v="74"/>
    <m/>
    <m/>
    <x v="99"/>
    <s v="SOPAJ"/>
    <x v="42"/>
    <s v="M ONE SCHWARZ GLÄNZED"/>
    <n v="6"/>
    <x v="1"/>
    <n v="0.15"/>
  </r>
  <r>
    <s v="SOPAJ"/>
    <x v="86"/>
    <m/>
    <m/>
    <m/>
    <x v="99"/>
    <s v="SOPAJ"/>
    <x v="43"/>
    <s v="M ONE SCHWARZ MATT"/>
    <n v="6"/>
    <x v="1"/>
    <n v="0.15"/>
  </r>
  <r>
    <s v="SOPAJ"/>
    <x v="86"/>
    <m/>
    <m/>
    <m/>
    <x v="99"/>
    <s v="SOPAJ"/>
    <x v="45"/>
    <s v="M ONE WEISS GLÄNZEND"/>
    <n v="6"/>
    <x v="1"/>
    <n v="0.15"/>
  </r>
  <r>
    <s v="SOPAJ"/>
    <x v="86"/>
    <m/>
    <m/>
    <m/>
    <x v="99"/>
    <s v="SOPAJ"/>
    <x v="44"/>
    <s v="M ONE FUERROT"/>
    <n v="6"/>
    <x v="1"/>
    <n v="0.15"/>
  </r>
  <r>
    <s v="SOPAJ"/>
    <x v="86"/>
    <m/>
    <m/>
    <m/>
    <x v="99"/>
    <s v="SOPAJ"/>
    <x v="12"/>
    <s v="beMAKER Rostlöser"/>
    <n v="7"/>
    <x v="1"/>
    <n v="0.2"/>
  </r>
  <r>
    <s v="NDRIQIMI"/>
    <x v="87"/>
    <n v="353.4"/>
    <m/>
    <m/>
    <x v="79"/>
    <s v="NDRIQIMI"/>
    <x v="9"/>
    <s v="M-ONE Sanitar Silikon"/>
    <n v="48"/>
    <x v="0"/>
    <n v="0.17"/>
  </r>
  <r>
    <s v="NDRIQIMI"/>
    <x v="87"/>
    <m/>
    <m/>
    <m/>
    <x v="79"/>
    <s v="NDRIQIMI"/>
    <x v="5"/>
    <s v="M-ONE Sanitar Silikon"/>
    <n v="24"/>
    <x v="0"/>
    <n v="0.17"/>
  </r>
  <r>
    <s v="NDRIQIMI"/>
    <x v="87"/>
    <m/>
    <m/>
    <m/>
    <x v="79"/>
    <s v="NDRIQIMI"/>
    <x v="1"/>
    <s v="M-ONE Sanitar Silikon"/>
    <n v="12"/>
    <x v="0"/>
    <n v="0.17"/>
  </r>
  <r>
    <s v="NDRIQIMI"/>
    <x v="87"/>
    <m/>
    <m/>
    <m/>
    <x v="79"/>
    <s v="NDRIQIMI"/>
    <x v="22"/>
    <s v="universal akryl"/>
    <n v="24"/>
    <x v="0"/>
    <n v="0.06"/>
  </r>
  <r>
    <s v="EURO COM"/>
    <x v="87"/>
    <n v="46.2"/>
    <m/>
    <m/>
    <x v="19"/>
    <s v="EURO COM"/>
    <x v="9"/>
    <s v="M-ONE Sanitar Silikon"/>
    <n v="12"/>
    <x v="0"/>
    <n v="0.17"/>
  </r>
  <r>
    <s v="AGRONI"/>
    <x v="87"/>
    <n v="113.4"/>
    <m/>
    <m/>
    <x v="22"/>
    <s v="AGRONI"/>
    <x v="7"/>
    <s v="DICHTUNG"/>
    <n v="12"/>
    <x v="0"/>
    <n v="0.2"/>
  </r>
  <r>
    <s v="AGRONI"/>
    <x v="87"/>
    <m/>
    <m/>
    <m/>
    <x v="22"/>
    <s v="AGRONI"/>
    <x v="43"/>
    <s v="M ONE SCHWARZ MATT"/>
    <n v="4"/>
    <x v="0"/>
    <n v="0.15"/>
  </r>
  <r>
    <s v="AGRONI"/>
    <x v="87"/>
    <m/>
    <m/>
    <m/>
    <x v="22"/>
    <s v="AGRONI"/>
    <x v="12"/>
    <s v="beMAKER Rostlöser"/>
    <n v="2"/>
    <x v="0"/>
    <n v="0.2"/>
  </r>
  <r>
    <s v="AGRONI"/>
    <x v="87"/>
    <m/>
    <m/>
    <m/>
    <x v="22"/>
    <s v="AGRONI"/>
    <x v="44"/>
    <s v="M ONE FUERROT"/>
    <n v="2"/>
    <x v="0"/>
    <n v="0.15"/>
  </r>
  <r>
    <s v="AGRONI"/>
    <x v="87"/>
    <m/>
    <m/>
    <m/>
    <x v="22"/>
    <s v="AGRONI"/>
    <x v="17"/>
    <s v="M ONE UBS"/>
    <n v="2"/>
    <x v="0"/>
    <n v="0.2"/>
  </r>
  <r>
    <s v="GRANITI"/>
    <x v="87"/>
    <n v="46.2"/>
    <m/>
    <m/>
    <x v="80"/>
    <s v="GRANITI"/>
    <x v="15"/>
    <s v="M-ONE Sanitar Silikon"/>
    <n v="12"/>
    <x v="0"/>
    <n v="0.17"/>
  </r>
  <r>
    <s v="UNIVERZAL"/>
    <x v="87"/>
    <n v="92.4"/>
    <m/>
    <m/>
    <x v="18"/>
    <s v="UNIVERZAL"/>
    <x v="0"/>
    <s v="M-ONE Sanitar Silikon"/>
    <n v="12"/>
    <x v="0"/>
    <n v="0.17"/>
  </r>
  <r>
    <s v="UNIVERZAL"/>
    <x v="87"/>
    <m/>
    <m/>
    <m/>
    <x v="18"/>
    <s v="UNIVERZAL"/>
    <x v="18"/>
    <s v="M-ONE Sanitar Silikon"/>
    <n v="12"/>
    <x v="0"/>
    <n v="0.17"/>
  </r>
  <r>
    <s v="ENISI - H"/>
    <x v="87"/>
    <n v="138.6"/>
    <m/>
    <m/>
    <x v="20"/>
    <s v="ENISI - H"/>
    <x v="1"/>
    <s v="M-ONE Sanitar Silikon"/>
    <n v="12"/>
    <x v="0"/>
    <n v="0.17"/>
  </r>
  <r>
    <s v="ENISI - H"/>
    <x v="87"/>
    <m/>
    <m/>
    <m/>
    <x v="20"/>
    <s v="ENISI - H"/>
    <x v="4"/>
    <s v="M-ONE Sanitar Silikon"/>
    <n v="12"/>
    <x v="0"/>
    <n v="0.17"/>
  </r>
  <r>
    <s v="ENISI - H"/>
    <x v="87"/>
    <m/>
    <m/>
    <m/>
    <x v="20"/>
    <s v="ENISI - H"/>
    <x v="2"/>
    <s v="M-ONE Sanitar Silikon"/>
    <n v="12"/>
    <x v="0"/>
    <n v="0.17"/>
  </r>
  <r>
    <s v="SAN KOS"/>
    <x v="87"/>
    <n v="46.2"/>
    <m/>
    <m/>
    <x v="101"/>
    <s v="SAN KOS"/>
    <x v="18"/>
    <s v="M-ONE Sanitar Silikon"/>
    <n v="12"/>
    <x v="0"/>
    <n v="0.17"/>
  </r>
  <r>
    <s v="REAL COLOR 1"/>
    <x v="88"/>
    <n v="92.4"/>
    <m/>
    <m/>
    <x v="103"/>
    <s v="REAL COLOR 1"/>
    <x v="4"/>
    <s v="M-ONE Sanitar Silikon"/>
    <n v="12"/>
    <x v="0"/>
    <n v="0.17"/>
  </r>
  <r>
    <s v="REAL COLOR 1"/>
    <x v="88"/>
    <m/>
    <m/>
    <m/>
    <x v="103"/>
    <s v="REAL COLOR 1"/>
    <x v="18"/>
    <s v="M-ONE Sanitar Silikon"/>
    <n v="12"/>
    <x v="0"/>
    <n v="0.17"/>
  </r>
  <r>
    <s v="LITA"/>
    <x v="88"/>
    <n v="46.2"/>
    <m/>
    <m/>
    <x v="82"/>
    <s v="LITA"/>
    <x v="0"/>
    <s v="M-ONE Sanitar Silikon"/>
    <n v="12"/>
    <x v="0"/>
    <n v="0.17"/>
  </r>
  <r>
    <s v="CARRALEVA 2"/>
    <x v="88"/>
    <n v="92.4"/>
    <m/>
    <m/>
    <x v="23"/>
    <s v="CARRALEVA 2"/>
    <x v="0"/>
    <s v="M-ONE Sanitar Silikon"/>
    <n v="12"/>
    <x v="0"/>
    <n v="0.17"/>
  </r>
  <r>
    <s v="CARRALEVA 2"/>
    <x v="88"/>
    <m/>
    <m/>
    <m/>
    <x v="23"/>
    <s v="CARRALEVA 2"/>
    <x v="9"/>
    <s v="M-ONE Sanitar Silikon"/>
    <n v="12"/>
    <x v="0"/>
    <n v="0.17"/>
  </r>
  <r>
    <s v="REAL COLOR 2"/>
    <x v="88"/>
    <n v="138.6"/>
    <m/>
    <m/>
    <x v="26"/>
    <s v="REAL COLOR 2"/>
    <x v="4"/>
    <s v="M-ONE Sanitar Silikon"/>
    <n v="12"/>
    <x v="0"/>
    <n v="0.17"/>
  </r>
  <r>
    <s v="REAL COLOR 2"/>
    <x v="88"/>
    <m/>
    <m/>
    <m/>
    <x v="26"/>
    <s v="REAL COLOR 2"/>
    <x v="1"/>
    <s v="M-ONE Sanitar Silikon"/>
    <n v="12"/>
    <x v="0"/>
    <n v="0.17"/>
  </r>
  <r>
    <s v="REAL COLOR 2"/>
    <x v="88"/>
    <m/>
    <m/>
    <m/>
    <x v="26"/>
    <s v="REAL COLOR 2"/>
    <x v="9"/>
    <s v="M-ONE Sanitar Silikon"/>
    <n v="12"/>
    <x v="0"/>
    <n v="0.17"/>
  </r>
  <r>
    <s v="BALLKANI"/>
    <x v="88"/>
    <n v="231"/>
    <m/>
    <m/>
    <x v="98"/>
    <s v="BALLKANI"/>
    <x v="18"/>
    <s v="M-ONE Sanitar Silikon"/>
    <n v="12"/>
    <x v="0"/>
    <n v="0.17"/>
  </r>
  <r>
    <s v="BALLKANI"/>
    <x v="88"/>
    <m/>
    <m/>
    <m/>
    <x v="98"/>
    <s v="BALLKANI"/>
    <x v="1"/>
    <s v="M-ONE Sanitar Silikon"/>
    <n v="48"/>
    <x v="0"/>
    <n v="0.17"/>
  </r>
  <r>
    <s v="ARBERI"/>
    <x v="88"/>
    <n v="92.4"/>
    <m/>
    <m/>
    <x v="102"/>
    <s v="ARBERI"/>
    <x v="18"/>
    <s v="M-ONE Sanitar Silikon"/>
    <n v="12"/>
    <x v="0"/>
    <n v="0.17"/>
  </r>
  <r>
    <s v="ARBERI"/>
    <x v="88"/>
    <m/>
    <m/>
    <m/>
    <x v="102"/>
    <s v="ARBERI"/>
    <x v="20"/>
    <s v="M-ONE Sanitar Silikon"/>
    <n v="12"/>
    <x v="0"/>
    <n v="0.17"/>
  </r>
  <r>
    <s v="LIRIDONA KLINE"/>
    <x v="88"/>
    <n v="507"/>
    <m/>
    <m/>
    <x v="30"/>
    <s v="LIRIDONA KLINE"/>
    <x v="20"/>
    <s v="M-ONE Sanitar Silikon"/>
    <n v="48"/>
    <x v="1"/>
    <n v="0.17"/>
  </r>
  <r>
    <s v="LIRIDONA KLINE"/>
    <x v="88"/>
    <m/>
    <m/>
    <m/>
    <x v="30"/>
    <s v="LIRIDONA KLINE"/>
    <x v="4"/>
    <s v="M-ONE Sanitar Silikon"/>
    <n v="24"/>
    <x v="1"/>
    <n v="0.17"/>
  </r>
  <r>
    <s v="LIRIDONA KLINE"/>
    <x v="88"/>
    <m/>
    <m/>
    <m/>
    <x v="30"/>
    <s v="LIRIDONA KLINE"/>
    <x v="6"/>
    <s v="M-ONE Sanitar Silikon"/>
    <n v="24"/>
    <x v="1"/>
    <n v="0.17"/>
  </r>
  <r>
    <s v="LIRIDONA KLINE"/>
    <x v="88"/>
    <m/>
    <m/>
    <m/>
    <x v="30"/>
    <s v="LIRIDONA KLINE"/>
    <x v="15"/>
    <s v="M-ONE Sanitar Silikon"/>
    <n v="12"/>
    <x v="1"/>
    <n v="0.17"/>
  </r>
  <r>
    <s v="LIRIDONA KLINE"/>
    <x v="88"/>
    <m/>
    <m/>
    <m/>
    <x v="30"/>
    <s v="LIRIDONA KLINE"/>
    <x v="2"/>
    <s v="M-ONE Sanitar Silikon"/>
    <n v="12"/>
    <x v="1"/>
    <n v="0.17"/>
  </r>
  <r>
    <s v="LIRIDONA KLINE"/>
    <x v="88"/>
    <m/>
    <m/>
    <m/>
    <x v="30"/>
    <s v="LIRIDONA KLINE"/>
    <x v="22"/>
    <s v="universal akryl"/>
    <n v="36"/>
    <x v="1"/>
    <n v="0.06"/>
  </r>
  <r>
    <s v="RACI"/>
    <x v="88"/>
    <n v="138.6"/>
    <m/>
    <m/>
    <x v="28"/>
    <s v="RACI"/>
    <x v="0"/>
    <s v="M-ONE Sanitar Silikon"/>
    <n v="12"/>
    <x v="1"/>
    <n v="0.17"/>
  </r>
  <r>
    <s v="RACI"/>
    <x v="88"/>
    <m/>
    <m/>
    <m/>
    <x v="28"/>
    <s v="RACI"/>
    <x v="2"/>
    <s v="M-ONE Sanitar Silikon"/>
    <n v="12"/>
    <x v="1"/>
    <n v="0.17"/>
  </r>
  <r>
    <s v="RACI"/>
    <x v="88"/>
    <m/>
    <m/>
    <m/>
    <x v="28"/>
    <s v="RACI"/>
    <x v="9"/>
    <s v="M-ONE Sanitar Silikon"/>
    <n v="12"/>
    <x v="1"/>
    <n v="0.17"/>
  </r>
  <r>
    <s v="HOXHA"/>
    <x v="88"/>
    <n v="73.8"/>
    <m/>
    <m/>
    <x v="29"/>
    <s v="HOXHA"/>
    <x v="0"/>
    <s v="M-ONE Sanitar Silikon"/>
    <n v="12"/>
    <x v="1"/>
    <n v="0.17"/>
  </r>
  <r>
    <s v="HOXHA"/>
    <x v="88"/>
    <m/>
    <m/>
    <m/>
    <x v="29"/>
    <s v="HOXHA"/>
    <x v="8"/>
    <s v="struktural akryl"/>
    <n v="12"/>
    <x v="1"/>
    <n v="0.06"/>
  </r>
  <r>
    <s v="LIRIDONA HOME"/>
    <x v="88"/>
    <n v="166.2"/>
    <m/>
    <m/>
    <x v="106"/>
    <s v="LIRIDONA HOME"/>
    <x v="4"/>
    <s v="M-ONE Sanitar Silikon"/>
    <n v="24"/>
    <x v="1"/>
    <n v="0.17"/>
  </r>
  <r>
    <s v="LIRIDONA HOME"/>
    <x v="88"/>
    <m/>
    <m/>
    <m/>
    <x v="106"/>
    <s v="LIRIDONA HOME"/>
    <x v="20"/>
    <s v="M-ONE Sanitar Silikon"/>
    <n v="12"/>
    <x v="1"/>
    <n v="0.17"/>
  </r>
  <r>
    <s v="LIRIDONA HOME"/>
    <x v="88"/>
    <m/>
    <m/>
    <m/>
    <x v="106"/>
    <s v="LIRIDONA HOME"/>
    <x v="8"/>
    <s v="struktural akryl"/>
    <n v="12"/>
    <x v="1"/>
    <n v="0.06"/>
  </r>
  <r>
    <s v="LIRIDONA-A"/>
    <x v="88"/>
    <n v="231"/>
    <m/>
    <m/>
    <x v="105"/>
    <s v="LIRIDONA-A"/>
    <x v="0"/>
    <s v="M-ONE Sanitar Silikon"/>
    <n v="24"/>
    <x v="1"/>
    <n v="0.17"/>
  </r>
  <r>
    <s v="LIRIDONA-A"/>
    <x v="88"/>
    <m/>
    <m/>
    <m/>
    <x v="105"/>
    <s v="LIRIDONA-A"/>
    <x v="18"/>
    <s v="M-ONE Sanitar Silikon"/>
    <n v="24"/>
    <x v="1"/>
    <n v="0.17"/>
  </r>
  <r>
    <s v="LIRIDONA-A"/>
    <x v="88"/>
    <m/>
    <m/>
    <m/>
    <x v="105"/>
    <s v="LIRIDONA-A"/>
    <x v="25"/>
    <s v="M-ONE Sanitar Silikon"/>
    <n v="12"/>
    <x v="1"/>
    <n v="0.17"/>
  </r>
  <r>
    <s v="BENI"/>
    <x v="88"/>
    <n v="85.8"/>
    <m/>
    <m/>
    <x v="32"/>
    <s v="BENI"/>
    <x v="7"/>
    <s v="DICHTUNG"/>
    <n v="9"/>
    <x v="1"/>
    <n v="0.2"/>
  </r>
  <r>
    <s v="BENI"/>
    <x v="88"/>
    <m/>
    <m/>
    <m/>
    <x v="32"/>
    <s v="BENI"/>
    <x v="16"/>
    <s v="Fettspray"/>
    <n v="6"/>
    <x v="1"/>
    <n v="0.2"/>
  </r>
  <r>
    <s v="A.P. HOTI"/>
    <x v="88"/>
    <n v="34.5"/>
    <m/>
    <m/>
    <x v="138"/>
    <s v="A.P. HOTI"/>
    <x v="34"/>
    <s v="M ONE FELGENSILBER"/>
    <n v="3"/>
    <x v="1"/>
    <n v="0.15"/>
  </r>
  <r>
    <s v="A.P. HOTI"/>
    <x v="88"/>
    <m/>
    <m/>
    <m/>
    <x v="138"/>
    <s v="A.P. HOTI"/>
    <x v="42"/>
    <s v="M ONE SCHWARZ GLÄNZED"/>
    <n v="3"/>
    <x v="1"/>
    <n v="0.15"/>
  </r>
  <r>
    <s v="A.P. HOTI"/>
    <x v="88"/>
    <m/>
    <m/>
    <m/>
    <x v="138"/>
    <s v="A.P. HOTI"/>
    <x v="43"/>
    <s v="M ONE SCHWARZ MATT"/>
    <n v="3"/>
    <x v="1"/>
    <n v="0.15"/>
  </r>
  <r>
    <s v="A.P. HOTI"/>
    <x v="88"/>
    <m/>
    <m/>
    <m/>
    <x v="138"/>
    <s v="A.P. HOTI"/>
    <x v="17"/>
    <s v="M ONE UBS"/>
    <n v="3"/>
    <x v="1"/>
    <n v="0.2"/>
  </r>
  <r>
    <s v="TE BENI"/>
    <x v="88"/>
    <n v="184.8"/>
    <m/>
    <m/>
    <x v="107"/>
    <s v="TE BENI"/>
    <x v="5"/>
    <s v="M-ONE Sanitar Silikon"/>
    <n v="24"/>
    <x v="1"/>
    <n v="0.17"/>
  </r>
  <r>
    <s v="TE BENI"/>
    <x v="88"/>
    <m/>
    <m/>
    <m/>
    <x v="107"/>
    <s v="TE BENI"/>
    <x v="15"/>
    <s v="M-ONE Sanitar Silikon"/>
    <n v="12"/>
    <x v="1"/>
    <n v="0.17"/>
  </r>
  <r>
    <s v="TE BENI"/>
    <x v="88"/>
    <m/>
    <m/>
    <m/>
    <x v="107"/>
    <s v="TE BENI"/>
    <x v="18"/>
    <s v="M-ONE Sanitar Silikon"/>
    <n v="12"/>
    <x v="1"/>
    <n v="0.17"/>
  </r>
  <r>
    <s v="ARBENI BIOBLIC"/>
    <x v="88"/>
    <n v="256"/>
    <m/>
    <m/>
    <x v="71"/>
    <s v="ARBENI BIOBLIC"/>
    <x v="28"/>
    <s v="BioBlic Universalreiniger"/>
    <n v="150"/>
    <x v="2"/>
    <n v="0.30000000000000004"/>
  </r>
  <r>
    <s v="ARBENI BIOBLIC"/>
    <x v="88"/>
    <m/>
    <m/>
    <m/>
    <x v="71"/>
    <s v="ARBENI BIOBLIC"/>
    <x v="29"/>
    <s v="Blic Blic Sanitärreiniger"/>
    <n v="40"/>
    <x v="2"/>
    <n v="0.30000000000000004"/>
  </r>
  <r>
    <s v="ARBENI BIOBLIC"/>
    <x v="88"/>
    <m/>
    <m/>
    <m/>
    <x v="71"/>
    <s v="ARBENI BIOBLIC"/>
    <x v="32"/>
    <s v="BioBlic AutoInnenreiniger"/>
    <n v="10"/>
    <x v="2"/>
    <n v="0.30000000000000004"/>
  </r>
  <r>
    <s v="TE KELA"/>
    <x v="89"/>
    <n v="12"/>
    <m/>
    <m/>
    <x v="151"/>
    <s v="TE KELA"/>
    <x v="12"/>
    <s v="beMAKER Rostlöser"/>
    <n v="6"/>
    <x v="0"/>
    <n v="0.2"/>
  </r>
  <r>
    <s v="TE ZENA"/>
    <x v="89"/>
    <n v="138.6"/>
    <m/>
    <m/>
    <x v="84"/>
    <s v="TE ZENA"/>
    <x v="1"/>
    <s v="M-ONE Sanitar Silikon"/>
    <n v="12"/>
    <x v="0"/>
    <n v="0.17"/>
  </r>
  <r>
    <s v="TE ZENA"/>
    <x v="89"/>
    <m/>
    <m/>
    <m/>
    <x v="84"/>
    <s v="TE ZENA"/>
    <x v="9"/>
    <s v="M-ONE Sanitar Silikon"/>
    <n v="12"/>
    <x v="0"/>
    <n v="0.17"/>
  </r>
  <r>
    <s v="TE ZENA"/>
    <x v="89"/>
    <m/>
    <m/>
    <m/>
    <x v="84"/>
    <s v="TE ZENA"/>
    <x v="5"/>
    <s v="M-ONE Sanitar Silikon"/>
    <n v="12"/>
    <x v="0"/>
    <n v="0.17"/>
  </r>
  <r>
    <s v="ALBANI"/>
    <x v="89"/>
    <n v="92.4"/>
    <m/>
    <m/>
    <x v="83"/>
    <e v="#N/A"/>
    <x v="4"/>
    <s v="M-ONE Sanitar Silikon"/>
    <n v="12"/>
    <x v="0"/>
    <n v="0.17"/>
  </r>
  <r>
    <s v="ALBANI"/>
    <x v="89"/>
    <m/>
    <m/>
    <m/>
    <x v="83"/>
    <e v="#N/A"/>
    <x v="18"/>
    <s v="M-ONE Sanitar Silikon"/>
    <n v="12"/>
    <x v="0"/>
    <n v="0.17"/>
  </r>
  <r>
    <s v="HOXHA"/>
    <x v="89"/>
    <n v="37.5"/>
    <m/>
    <m/>
    <x v="159"/>
    <s v="HOXHA"/>
    <x v="34"/>
    <s v="M ONE FELGENSILBER"/>
    <n v="2"/>
    <x v="0"/>
    <n v="0.15"/>
  </r>
  <r>
    <s v="HOXHA"/>
    <x v="89"/>
    <m/>
    <m/>
    <m/>
    <x v="159"/>
    <s v="HOXHA"/>
    <x v="30"/>
    <s v="M ONE ANTHRAZIT"/>
    <n v="2"/>
    <x v="0"/>
    <n v="0.15"/>
  </r>
  <r>
    <s v="HOXHA"/>
    <x v="89"/>
    <m/>
    <m/>
    <m/>
    <x v="159"/>
    <s v="HOXHA"/>
    <x v="42"/>
    <s v="M ONE SCHWARZ GLÄNZED"/>
    <n v="2"/>
    <x v="0"/>
    <n v="0.15"/>
  </r>
  <r>
    <s v="HOXHA"/>
    <x v="89"/>
    <m/>
    <m/>
    <m/>
    <x v="159"/>
    <s v="HOXHA"/>
    <x v="17"/>
    <s v="M ONE UBS"/>
    <n v="3"/>
    <x v="0"/>
    <n v="0.2"/>
  </r>
  <r>
    <s v="HOXHA"/>
    <x v="89"/>
    <m/>
    <m/>
    <m/>
    <x v="159"/>
    <s v="HOXHA"/>
    <x v="13"/>
    <s v="M ONE MOTORSTART"/>
    <n v="3"/>
    <x v="0"/>
    <n v="0.2"/>
  </r>
  <r>
    <s v="KUJTA"/>
    <x v="89"/>
    <n v="120"/>
    <m/>
    <m/>
    <x v="36"/>
    <s v="KUJTA"/>
    <x v="20"/>
    <s v="M-ONE Sanitar Silikon"/>
    <n v="12"/>
    <x v="0"/>
    <n v="0.17"/>
  </r>
  <r>
    <s v="KUJTA"/>
    <x v="89"/>
    <m/>
    <m/>
    <m/>
    <x v="36"/>
    <s v="KUJTA"/>
    <x v="18"/>
    <s v="M-ONE Sanitar Silikon"/>
    <n v="12"/>
    <x v="0"/>
    <n v="0.17"/>
  </r>
  <r>
    <s v="KUJTA"/>
    <x v="89"/>
    <m/>
    <m/>
    <m/>
    <x v="36"/>
    <s v="KUJTA"/>
    <x v="8"/>
    <s v="struktural akryl"/>
    <n v="12"/>
    <x v="0"/>
    <n v="0.06"/>
  </r>
  <r>
    <s v="TE-LUTA"/>
    <x v="89"/>
    <n v="277"/>
    <m/>
    <m/>
    <x v="131"/>
    <s v="TE-LUTA"/>
    <x v="20"/>
    <s v="M-ONE Sanitar Silikon"/>
    <n v="12"/>
    <x v="1"/>
    <n v="0.17"/>
  </r>
  <r>
    <s v="TE-LUTA"/>
    <x v="89"/>
    <m/>
    <m/>
    <m/>
    <x v="131"/>
    <s v="TE-LUTA"/>
    <x v="5"/>
    <s v="M-ONE Sanitar Silikon"/>
    <n v="12"/>
    <x v="1"/>
    <n v="0.17"/>
  </r>
  <r>
    <s v="TE-LUTA"/>
    <x v="89"/>
    <m/>
    <m/>
    <m/>
    <x v="131"/>
    <s v="TE-LUTA"/>
    <x v="25"/>
    <s v="M-ONE Sanitar Silikon"/>
    <n v="12"/>
    <x v="1"/>
    <n v="0.17"/>
  </r>
  <r>
    <s v="TE-LUTA"/>
    <x v="89"/>
    <m/>
    <m/>
    <m/>
    <x v="131"/>
    <s v="TE-LUTA"/>
    <x v="0"/>
    <s v="M-ONE Sanitar Silikon"/>
    <n v="12"/>
    <x v="1"/>
    <n v="0.17"/>
  </r>
  <r>
    <s v="TE-LUTA"/>
    <x v="89"/>
    <m/>
    <m/>
    <m/>
    <x v="131"/>
    <s v="TE-LUTA"/>
    <x v="4"/>
    <s v="M-ONE Sanitar Silikon"/>
    <n v="12"/>
    <x v="1"/>
    <n v="0.17"/>
  </r>
  <r>
    <s v="TE-LUTA"/>
    <x v="89"/>
    <m/>
    <m/>
    <m/>
    <x v="131"/>
    <s v="TE-LUTA"/>
    <x v="1"/>
    <s v="M-ONE Sanitar Silikon"/>
    <n v="12"/>
    <x v="1"/>
    <n v="0.17"/>
  </r>
  <r>
    <s v="TE-LUTA"/>
    <x v="89"/>
    <m/>
    <m/>
    <m/>
    <x v="131"/>
    <s v="TE-LUTA"/>
    <x v="1"/>
    <s v="M-ONE Sanitar Silikon"/>
    <n v="24"/>
    <x v="1"/>
    <n v="0.17"/>
  </r>
  <r>
    <s v="TE-LUTA"/>
    <x v="89"/>
    <m/>
    <m/>
    <m/>
    <x v="131"/>
    <s v="TE-LUTA"/>
    <x v="10"/>
    <s v="PROFIMONT EXTREME"/>
    <n v="12"/>
    <x v="1"/>
    <n v="0.2"/>
  </r>
  <r>
    <s v="AGROLONDI"/>
    <x v="89"/>
    <n v="153.6"/>
    <m/>
    <m/>
    <x v="39"/>
    <s v="AGROLONDI"/>
    <x v="4"/>
    <s v="M-ONE Sanitar Silikon"/>
    <n v="12"/>
    <x v="1"/>
    <n v="0.17"/>
  </r>
  <r>
    <s v="AGROLONDI"/>
    <x v="89"/>
    <m/>
    <m/>
    <m/>
    <x v="39"/>
    <s v="AGROLONDI"/>
    <x v="9"/>
    <s v="M-ONE Sanitar Silikon"/>
    <n v="12"/>
    <x v="1"/>
    <n v="0.17"/>
  </r>
  <r>
    <s v="AGROLONDI"/>
    <x v="89"/>
    <m/>
    <m/>
    <m/>
    <x v="39"/>
    <s v="AGROLONDI"/>
    <x v="18"/>
    <s v="M-ONE Sanitar Silikon"/>
    <n v="12"/>
    <x v="1"/>
    <n v="0.17"/>
  </r>
  <r>
    <s v="AGROLONDI"/>
    <x v="89"/>
    <m/>
    <m/>
    <m/>
    <x v="39"/>
    <s v="AGROLONDI"/>
    <x v="22"/>
    <s v="universal akryl"/>
    <n v="12"/>
    <x v="1"/>
    <n v="0.06"/>
  </r>
  <r>
    <s v="LTI"/>
    <x v="89"/>
    <n v="162"/>
    <m/>
    <m/>
    <x v="40"/>
    <s v="LTI"/>
    <x v="5"/>
    <s v="M-ONE Sanitar Silikon"/>
    <n v="12"/>
    <x v="1"/>
    <n v="0.17"/>
  </r>
  <r>
    <s v="LTI"/>
    <x v="89"/>
    <m/>
    <m/>
    <m/>
    <x v="40"/>
    <s v="LTI"/>
    <x v="6"/>
    <s v="M-ONE Sanitar Silikon"/>
    <n v="12"/>
    <x v="1"/>
    <n v="0.17"/>
  </r>
  <r>
    <s v="LTI"/>
    <x v="89"/>
    <m/>
    <m/>
    <m/>
    <x v="40"/>
    <s v="LTI"/>
    <x v="10"/>
    <s v="PROFIMONT EXTREME"/>
    <n v="12"/>
    <x v="1"/>
    <n v="0.2"/>
  </r>
  <r>
    <s v="ILIRI QERAMIKA"/>
    <x v="89"/>
    <n v="138.6"/>
    <m/>
    <m/>
    <x v="41"/>
    <s v="ILIRI QERAMIKA"/>
    <x v="4"/>
    <s v="M-ONE Sanitar Silikon"/>
    <n v="12"/>
    <x v="1"/>
    <n v="0.17"/>
  </r>
  <r>
    <s v="ILIRI QERAMIKA"/>
    <x v="89"/>
    <m/>
    <m/>
    <m/>
    <x v="41"/>
    <s v="ILIRI QERAMIKA"/>
    <x v="18"/>
    <s v="M-ONE Sanitar Silikon"/>
    <n v="12"/>
    <x v="1"/>
    <n v="0.17"/>
  </r>
  <r>
    <s v="ILIRI QERAMIKA"/>
    <x v="89"/>
    <m/>
    <m/>
    <m/>
    <x v="41"/>
    <s v="ILIRI QERAMIKA"/>
    <x v="1"/>
    <s v="M-ONE Sanitar Silikon"/>
    <n v="12"/>
    <x v="1"/>
    <n v="0.17"/>
  </r>
  <r>
    <s v="ALMIRI QERAMIKA"/>
    <x v="89"/>
    <n v="92.4"/>
    <m/>
    <m/>
    <x v="42"/>
    <s v="ALMIRI QERAMIKA"/>
    <x v="4"/>
    <s v="M-ONE Sanitar Silikon"/>
    <n v="12"/>
    <x v="1"/>
    <n v="0.17"/>
  </r>
  <r>
    <s v="ALMIRI QERAMIKA"/>
    <x v="89"/>
    <m/>
    <m/>
    <m/>
    <x v="42"/>
    <s v="ALMIRI QERAMIKA"/>
    <x v="1"/>
    <s v="M-ONE Sanitar Silikon"/>
    <n v="12"/>
    <x v="1"/>
    <n v="0.17"/>
  </r>
  <r>
    <s v="ORCA"/>
    <x v="89"/>
    <n v="92.4"/>
    <m/>
    <m/>
    <x v="166"/>
    <s v="ORCA"/>
    <x v="4"/>
    <s v="M-ONE Sanitar Silikon"/>
    <n v="12"/>
    <x v="1"/>
    <n v="0.17"/>
  </r>
  <r>
    <s v="ORCA"/>
    <x v="89"/>
    <m/>
    <m/>
    <m/>
    <x v="166"/>
    <s v="ORCA"/>
    <x v="20"/>
    <s v="M-ONE Sanitar Silikon"/>
    <n v="12"/>
    <x v="1"/>
    <n v="0.17"/>
  </r>
  <r>
    <s v="UNIKA"/>
    <x v="89"/>
    <n v="231"/>
    <m/>
    <m/>
    <x v="43"/>
    <s v="UNIKA"/>
    <x v="3"/>
    <s v="M-ONE Sanitar Silikon"/>
    <n v="12"/>
    <x v="1"/>
    <n v="0.17"/>
  </r>
  <r>
    <s v="UNIKA"/>
    <x v="89"/>
    <m/>
    <m/>
    <m/>
    <x v="43"/>
    <s v="UNIKA"/>
    <x v="4"/>
    <s v="M-ONE Sanitar Silikon"/>
    <n v="12"/>
    <x v="1"/>
    <n v="0.17"/>
  </r>
  <r>
    <s v="UNIKA"/>
    <x v="89"/>
    <m/>
    <m/>
    <m/>
    <x v="43"/>
    <s v="UNIKA"/>
    <x v="18"/>
    <s v="M-ONE Sanitar Silikon"/>
    <n v="12"/>
    <x v="1"/>
    <n v="0.17"/>
  </r>
  <r>
    <s v="UNIKA"/>
    <x v="89"/>
    <m/>
    <m/>
    <m/>
    <x v="43"/>
    <s v="UNIKA"/>
    <x v="0"/>
    <s v="M-ONE Sanitar Silikon"/>
    <n v="24"/>
    <x v="1"/>
    <n v="0.17"/>
  </r>
  <r>
    <s v="SALIHU CORPORATION"/>
    <x v="89"/>
    <n v="231"/>
    <m/>
    <m/>
    <x v="165"/>
    <e v="#N/A"/>
    <x v="4"/>
    <s v="M-ONE Sanitar Silikon"/>
    <n v="36"/>
    <x v="1"/>
    <n v="0.17"/>
  </r>
  <r>
    <s v="SALIHU CORPORATION"/>
    <x v="89"/>
    <m/>
    <m/>
    <m/>
    <x v="165"/>
    <e v="#N/A"/>
    <x v="0"/>
    <s v="M-ONE Sanitar Silikon"/>
    <n v="24"/>
    <x v="1"/>
    <n v="0.17"/>
  </r>
  <r>
    <s v="ALFA-QERAMIKA"/>
    <x v="89"/>
    <n v="231"/>
    <m/>
    <m/>
    <x v="115"/>
    <s v="ALFA-QERAMIKA"/>
    <x v="18"/>
    <s v="M-ONE Sanitar Silikon"/>
    <n v="24"/>
    <x v="1"/>
    <n v="0.17"/>
  </r>
  <r>
    <s v="ALFA-QERAMIKA"/>
    <x v="89"/>
    <m/>
    <m/>
    <m/>
    <x v="115"/>
    <s v="ALFA-QERAMIKA"/>
    <x v="4"/>
    <s v="M-ONE Sanitar Silikon"/>
    <n v="12"/>
    <x v="1"/>
    <n v="0.17"/>
  </r>
  <r>
    <s v="ALFA-QERAMIKA"/>
    <x v="89"/>
    <m/>
    <m/>
    <m/>
    <x v="115"/>
    <s v="ALFA-QERAMIKA"/>
    <x v="15"/>
    <s v="M-ONE Sanitar Silikon"/>
    <n v="12"/>
    <x v="1"/>
    <n v="0.17"/>
  </r>
  <r>
    <s v="ALFA-QERAMIKA"/>
    <x v="89"/>
    <m/>
    <m/>
    <m/>
    <x v="115"/>
    <s v="ALFA-QERAMIKA"/>
    <x v="20"/>
    <s v="M-ONE Sanitar Silikon"/>
    <n v="12"/>
    <x v="1"/>
    <n v="0.17"/>
  </r>
  <r>
    <s v="TE-SYLA"/>
    <x v="89"/>
    <n v="125.2"/>
    <m/>
    <m/>
    <x v="44"/>
    <s v="TE-SYLA"/>
    <x v="4"/>
    <s v="M-ONE Sanitar Silikon"/>
    <n v="12"/>
    <x v="1"/>
    <n v="0.17"/>
  </r>
  <r>
    <s v="TE-SYLA"/>
    <x v="89"/>
    <m/>
    <m/>
    <m/>
    <x v="44"/>
    <s v="TE-SYLA"/>
    <x v="0"/>
    <s v="M-ONE Sanitar Silikon"/>
    <n v="12"/>
    <x v="1"/>
    <n v="0.17"/>
  </r>
  <r>
    <s v="TE-SYLA"/>
    <x v="89"/>
    <m/>
    <m/>
    <m/>
    <x v="44"/>
    <s v="TE-SYLA"/>
    <x v="46"/>
    <s v="HAT LACK 800"/>
    <n v="6"/>
    <x v="1"/>
    <n v="0.35"/>
  </r>
  <r>
    <s v="TE-SYLA"/>
    <x v="89"/>
    <m/>
    <m/>
    <m/>
    <x v="44"/>
    <s v="TE-SYLA"/>
    <x v="7"/>
    <s v="DICHTUNG"/>
    <n v="4"/>
    <x v="1"/>
    <n v="0.2"/>
  </r>
  <r>
    <s v="TE-SYLA"/>
    <x v="89"/>
    <m/>
    <m/>
    <m/>
    <x v="44"/>
    <s v="TE-SYLA"/>
    <x v="16"/>
    <s v="Fettspray"/>
    <n v="4"/>
    <x v="1"/>
    <n v="0.2"/>
  </r>
  <r>
    <s v="BULONI - SH"/>
    <x v="89"/>
    <n v="369.6"/>
    <m/>
    <m/>
    <x v="47"/>
    <s v="BULONI - SH"/>
    <x v="9"/>
    <s v="M-ONE Sanitar Silikon"/>
    <n v="24"/>
    <x v="1"/>
    <n v="0.17"/>
  </r>
  <r>
    <s v="BULONI - SH"/>
    <x v="89"/>
    <m/>
    <m/>
    <m/>
    <x v="47"/>
    <s v="BULONI - SH"/>
    <x v="3"/>
    <s v="M-ONE Sanitar Silikon"/>
    <n v="12"/>
    <x v="1"/>
    <n v="0.17"/>
  </r>
  <r>
    <s v="BULONI - SH"/>
    <x v="89"/>
    <m/>
    <m/>
    <m/>
    <x v="47"/>
    <s v="BULONI - SH"/>
    <x v="5"/>
    <s v="M-ONE Sanitar Silikon"/>
    <n v="12"/>
    <x v="1"/>
    <n v="0.17"/>
  </r>
  <r>
    <s v="BULONI - SH"/>
    <x v="89"/>
    <m/>
    <m/>
    <m/>
    <x v="47"/>
    <s v="BULONI - SH"/>
    <x v="15"/>
    <s v="M-ONE Sanitar Silikon"/>
    <n v="12"/>
    <x v="1"/>
    <n v="0.17"/>
  </r>
  <r>
    <s v="BULONI - SH"/>
    <x v="89"/>
    <m/>
    <m/>
    <m/>
    <x v="47"/>
    <s v="BULONI - SH"/>
    <x v="1"/>
    <s v="M-ONE Sanitar Silikon"/>
    <n v="12"/>
    <x v="1"/>
    <n v="0.17"/>
  </r>
  <r>
    <s v="BULONI - SH"/>
    <x v="89"/>
    <m/>
    <m/>
    <m/>
    <x v="47"/>
    <s v="BULONI - SH"/>
    <x v="2"/>
    <s v="M-ONE Sanitar Silikon"/>
    <n v="12"/>
    <x v="1"/>
    <n v="0.17"/>
  </r>
  <r>
    <s v="BULONI - SH"/>
    <x v="89"/>
    <m/>
    <m/>
    <m/>
    <x v="47"/>
    <s v="BULONI - SH"/>
    <x v="25"/>
    <s v="M-ONE Sanitar Silikon"/>
    <n v="12"/>
    <x v="1"/>
    <n v="0.17"/>
  </r>
  <r>
    <s v="PROMOIN"/>
    <x v="89"/>
    <n v="85.2"/>
    <m/>
    <m/>
    <x v="117"/>
    <s v="PROMOIN"/>
    <x v="22"/>
    <s v="universal akryl"/>
    <n v="24"/>
    <x v="1"/>
    <n v="0.06"/>
  </r>
  <r>
    <s v="PROMOIN"/>
    <x v="89"/>
    <m/>
    <m/>
    <m/>
    <x v="117"/>
    <s v="PROMOIN"/>
    <x v="8"/>
    <s v="struktural akryl"/>
    <n v="24"/>
    <x v="1"/>
    <n v="0.06"/>
  </r>
  <r>
    <s v="KRRABAJ"/>
    <x v="90"/>
    <n v="92.4"/>
    <m/>
    <m/>
    <x v="144"/>
    <s v="KRRABAJ"/>
    <x v="1"/>
    <s v="M-ONE Sanitar Silikon"/>
    <n v="12"/>
    <x v="0"/>
    <n v="0.17"/>
  </r>
  <r>
    <s v="KRRABAJ"/>
    <x v="90"/>
    <m/>
    <m/>
    <m/>
    <x v="144"/>
    <s v="KRRABAJ"/>
    <x v="9"/>
    <s v="M-ONE Sanitar Silikon"/>
    <n v="12"/>
    <x v="0"/>
    <n v="0.17"/>
  </r>
  <r>
    <s v="KADIJOLLET"/>
    <x v="90"/>
    <n v="184.8"/>
    <m/>
    <m/>
    <x v="49"/>
    <s v="KADIJOLLET"/>
    <x v="0"/>
    <s v="M-ONE Sanitar Silikon"/>
    <n v="12"/>
    <x v="0"/>
    <n v="0.17"/>
  </r>
  <r>
    <s v="KADIJOLLET"/>
    <x v="90"/>
    <m/>
    <m/>
    <m/>
    <x v="49"/>
    <s v="KADIJOLLET"/>
    <x v="5"/>
    <s v="M-ONE Sanitar Silikon"/>
    <n v="12"/>
    <x v="0"/>
    <n v="0.17"/>
  </r>
  <r>
    <s v="KADIJOLLET"/>
    <x v="90"/>
    <m/>
    <m/>
    <m/>
    <x v="49"/>
    <s v="KADIJOLLET"/>
    <x v="15"/>
    <s v="M-ONE Sanitar Silikon"/>
    <n v="12"/>
    <x v="0"/>
    <n v="0.17"/>
  </r>
  <r>
    <s v="KADIJOLLET"/>
    <x v="90"/>
    <m/>
    <m/>
    <m/>
    <x v="49"/>
    <s v="KADIJOLLET"/>
    <x v="6"/>
    <s v="M-ONE Sanitar Silikon"/>
    <n v="12"/>
    <x v="0"/>
    <n v="0.17"/>
  </r>
  <r>
    <s v="QELA"/>
    <x v="90"/>
    <n v="138.6"/>
    <m/>
    <m/>
    <x v="50"/>
    <s v="QELA"/>
    <x v="0"/>
    <s v="M-ONE Sanitar Silikon"/>
    <n v="12"/>
    <x v="0"/>
    <n v="0.17"/>
  </r>
  <r>
    <s v="QELA"/>
    <x v="90"/>
    <m/>
    <m/>
    <m/>
    <x v="50"/>
    <s v="QELA"/>
    <x v="5"/>
    <s v="M-ONE Sanitar Silikon"/>
    <n v="12"/>
    <x v="0"/>
    <n v="0.17"/>
  </r>
  <r>
    <s v="QELA"/>
    <x v="90"/>
    <m/>
    <m/>
    <m/>
    <x v="50"/>
    <s v="QELA"/>
    <x v="18"/>
    <s v="M-ONE Sanitar Silikon"/>
    <n v="12"/>
    <x v="0"/>
    <n v="0.17"/>
  </r>
  <r>
    <s v="HIDROELDI"/>
    <x v="90"/>
    <n v="92.4"/>
    <m/>
    <m/>
    <x v="85"/>
    <s v="HIDROELDI"/>
    <x v="3"/>
    <s v="M-ONE Sanitar Silikon"/>
    <n v="12"/>
    <x v="0"/>
    <n v="0.17"/>
  </r>
  <r>
    <s v="HIDROELDI"/>
    <x v="90"/>
    <m/>
    <m/>
    <m/>
    <x v="85"/>
    <s v="HIDROELDI"/>
    <x v="1"/>
    <s v="M-ONE Sanitar Silikon"/>
    <n v="12"/>
    <x v="0"/>
    <n v="0.17"/>
  </r>
  <r>
    <s v="JETARI"/>
    <x v="90"/>
    <n v="46.2"/>
    <m/>
    <m/>
    <x v="87"/>
    <s v="JETARI"/>
    <x v="5"/>
    <s v="M-ONE Sanitar Silikon"/>
    <n v="12"/>
    <x v="0"/>
    <n v="0.17"/>
  </r>
  <r>
    <s v="KENA COMERC"/>
    <x v="90"/>
    <n v="261"/>
    <m/>
    <m/>
    <x v="52"/>
    <s v="KENA COMERC"/>
    <x v="4"/>
    <s v="M-ONE Sanitar Silikon"/>
    <n v="12"/>
    <x v="1"/>
    <n v="0.17"/>
  </r>
  <r>
    <s v="KENA COMERC"/>
    <x v="90"/>
    <m/>
    <m/>
    <m/>
    <x v="52"/>
    <s v="KENA COMERC"/>
    <x v="5"/>
    <s v="M-ONE Sanitar Silikon"/>
    <n v="12"/>
    <x v="1"/>
    <n v="0.17"/>
  </r>
  <r>
    <s v="KENA COMERC"/>
    <x v="90"/>
    <m/>
    <m/>
    <m/>
    <x v="52"/>
    <s v="KENA COMERC"/>
    <x v="20"/>
    <s v="M-ONE Sanitar Silikon"/>
    <n v="12"/>
    <x v="1"/>
    <n v="0.17"/>
  </r>
  <r>
    <s v="KENA COMERC"/>
    <x v="90"/>
    <m/>
    <m/>
    <m/>
    <x v="52"/>
    <s v="KENA COMERC"/>
    <x v="18"/>
    <s v="M-ONE Sanitar Silikon"/>
    <n v="12"/>
    <x v="1"/>
    <n v="0.17"/>
  </r>
  <r>
    <s v="KENA COMERC"/>
    <x v="90"/>
    <m/>
    <m/>
    <m/>
    <x v="52"/>
    <s v="KENA COMERC"/>
    <x v="15"/>
    <s v="M-ONE Sanitar Silikon"/>
    <n v="12"/>
    <x v="1"/>
    <n v="0.17"/>
  </r>
  <r>
    <s v="KENA COMERC"/>
    <x v="90"/>
    <m/>
    <m/>
    <m/>
    <x v="52"/>
    <s v="KENA COMERC"/>
    <x v="22"/>
    <s v="universal akryl"/>
    <n v="24"/>
    <x v="1"/>
    <n v="0.06"/>
  </r>
  <r>
    <s v="CAMA BAU"/>
    <x v="90"/>
    <n v="138.6"/>
    <m/>
    <m/>
    <x v="55"/>
    <s v="CAMA BAU"/>
    <x v="4"/>
    <s v="M-ONE Sanitar Silikon"/>
    <n v="12"/>
    <x v="1"/>
    <n v="0.17"/>
  </r>
  <r>
    <s v="CAMA BAU"/>
    <x v="90"/>
    <m/>
    <m/>
    <m/>
    <x v="55"/>
    <s v="CAMA BAU"/>
    <x v="20"/>
    <s v="M-ONE Sanitar Silikon"/>
    <n v="12"/>
    <x v="1"/>
    <n v="0.17"/>
  </r>
  <r>
    <s v="CAMA BAU"/>
    <x v="90"/>
    <m/>
    <m/>
    <m/>
    <x v="55"/>
    <s v="CAMA BAU"/>
    <x v="2"/>
    <s v="M-ONE Sanitar Silikon"/>
    <n v="12"/>
    <x v="1"/>
    <n v="0.17"/>
  </r>
  <r>
    <s v="KUQI-LKW"/>
    <x v="90"/>
    <n v="65.2"/>
    <m/>
    <m/>
    <x v="120"/>
    <s v="KUQI-LKW"/>
    <x v="14"/>
    <s v="beMAKER Bremsen&amp;Teile Reininger"/>
    <n v="5"/>
    <x v="1"/>
    <n v="0.2"/>
  </r>
  <r>
    <s v="KUQI-LKW"/>
    <x v="90"/>
    <m/>
    <m/>
    <m/>
    <x v="120"/>
    <s v="KUQI-LKW"/>
    <x v="17"/>
    <s v="M ONE UBS"/>
    <n v="3"/>
    <x v="1"/>
    <n v="0.2"/>
  </r>
  <r>
    <s v="KUQI-LKW"/>
    <x v="90"/>
    <m/>
    <m/>
    <m/>
    <x v="120"/>
    <s v="KUQI-LKW"/>
    <x v="7"/>
    <s v="DICHTUNG"/>
    <n v="6"/>
    <x v="1"/>
    <n v="0.2"/>
  </r>
  <r>
    <s v="GLOBI TERM"/>
    <x v="90"/>
    <n v="32.6"/>
    <m/>
    <m/>
    <x v="118"/>
    <s v="GLOBI TERM"/>
    <x v="7"/>
    <s v="DICHTUNG"/>
    <n v="3"/>
    <x v="1"/>
    <n v="0.2"/>
  </r>
  <r>
    <s v="GLOBI TERM"/>
    <x v="90"/>
    <m/>
    <m/>
    <m/>
    <x v="118"/>
    <s v="GLOBI TERM"/>
    <x v="16"/>
    <s v="Fettspray"/>
    <n v="2"/>
    <x v="1"/>
    <n v="0.2"/>
  </r>
  <r>
    <s v="GLOBI TERM"/>
    <x v="90"/>
    <m/>
    <m/>
    <m/>
    <x v="118"/>
    <s v="GLOBI TERM"/>
    <x v="46"/>
    <s v="HAT LACK 800"/>
    <n v="1"/>
    <x v="1"/>
    <n v="0.35"/>
  </r>
  <r>
    <s v="INOX 1"/>
    <x v="90"/>
    <n v="60"/>
    <m/>
    <m/>
    <x v="68"/>
    <s v="INOX 1"/>
    <x v="34"/>
    <s v="M ONE FELGENSILBER"/>
    <n v="12"/>
    <x v="1"/>
    <n v="0.15"/>
  </r>
  <r>
    <s v="INOX 1"/>
    <x v="90"/>
    <m/>
    <m/>
    <m/>
    <x v="68"/>
    <s v="INOX 1"/>
    <x v="23"/>
    <s v="M ONE HAFTGRUND"/>
    <n v="6"/>
    <x v="1"/>
    <n v="0.15"/>
  </r>
  <r>
    <s v="INOX 1"/>
    <x v="90"/>
    <m/>
    <m/>
    <m/>
    <x v="68"/>
    <s v="INOX 1"/>
    <x v="42"/>
    <s v="M ONE SCHWARZ GLÄNZED"/>
    <n v="6"/>
    <x v="1"/>
    <n v="0.15"/>
  </r>
  <r>
    <s v="TERMO PROJEKT"/>
    <x v="90"/>
    <n v="184.8"/>
    <m/>
    <m/>
    <x v="56"/>
    <s v="TERMO PROJEKT"/>
    <x v="0"/>
    <s v="M-ONE Sanitar Silikon"/>
    <n v="24"/>
    <x v="1"/>
    <n v="0.17"/>
  </r>
  <r>
    <s v="TERMO PROJEKT"/>
    <x v="90"/>
    <m/>
    <m/>
    <m/>
    <x v="56"/>
    <s v="TERMO PROJEKT"/>
    <x v="15"/>
    <s v="M-ONE Sanitar Silikon"/>
    <n v="12"/>
    <x v="1"/>
    <n v="0.17"/>
  </r>
  <r>
    <s v="TERMO PROJEKT"/>
    <x v="90"/>
    <m/>
    <m/>
    <m/>
    <x v="56"/>
    <s v="TERMO PROJEKT"/>
    <x v="2"/>
    <s v="M-ONE Sanitar Silikon"/>
    <n v="12"/>
    <x v="1"/>
    <n v="0.17"/>
  </r>
  <r>
    <s v="KTHIMI"/>
    <x v="90"/>
    <n v="138.6"/>
    <m/>
    <m/>
    <x v="57"/>
    <s v="KTHIMI"/>
    <x v="4"/>
    <s v="M-ONE Sanitar Silikon"/>
    <n v="24"/>
    <x v="1"/>
    <n v="0.17"/>
  </r>
  <r>
    <s v="KTHIMI"/>
    <x v="90"/>
    <m/>
    <m/>
    <m/>
    <x v="57"/>
    <s v="KTHIMI"/>
    <x v="1"/>
    <s v="M-ONE Sanitar Silikon"/>
    <n v="12"/>
    <x v="1"/>
    <n v="0.17"/>
  </r>
  <r>
    <s v="LULI-C"/>
    <x v="90"/>
    <n v="138.6"/>
    <m/>
    <m/>
    <x v="54"/>
    <s v="LULI-C"/>
    <x v="18"/>
    <s v="M-ONE Sanitar Silikon"/>
    <n v="24"/>
    <x v="1"/>
    <n v="0.17"/>
  </r>
  <r>
    <s v="LULI-C"/>
    <x v="90"/>
    <m/>
    <m/>
    <m/>
    <x v="54"/>
    <s v="LULI-C"/>
    <x v="6"/>
    <s v="M-ONE Sanitar Silikon"/>
    <n v="12"/>
    <x v="1"/>
    <n v="0.17"/>
  </r>
  <r>
    <s v="ARBENI BIOBLIC"/>
    <x v="91"/>
    <n v="265"/>
    <m/>
    <m/>
    <x v="71"/>
    <s v="ARBENI BIOBLIC"/>
    <x v="28"/>
    <s v="BioBlic Universalreiniger"/>
    <n v="140"/>
    <x v="2"/>
    <n v="0.30000000000000004"/>
  </r>
  <r>
    <s v="ARBENI BIOBLIC"/>
    <x v="91"/>
    <m/>
    <m/>
    <m/>
    <x v="71"/>
    <s v="ARBENI BIOBLIC"/>
    <x v="29"/>
    <s v="Blic Blic Sanitärreiniger"/>
    <n v="60"/>
    <x v="2"/>
    <n v="0.30000000000000004"/>
  </r>
  <r>
    <s v="ARBENI BIOBLIC"/>
    <x v="91"/>
    <m/>
    <m/>
    <m/>
    <x v="71"/>
    <s v="ARBENI BIOBLIC"/>
    <x v="7"/>
    <s v="DICHTUNG"/>
    <n v="2"/>
    <x v="2"/>
    <n v="0.2"/>
  </r>
  <r>
    <s v="YLLI CONSTRUCION"/>
    <x v="91"/>
    <n v="48"/>
    <m/>
    <m/>
    <x v="128"/>
    <s v="YLLI CONSTRUCION"/>
    <x v="3"/>
    <s v="M-ONE Sanitar Silikon"/>
    <n v="8"/>
    <x v="2"/>
    <n v="0.17"/>
  </r>
  <r>
    <s v="YLLI CONSTRUCION"/>
    <x v="91"/>
    <m/>
    <m/>
    <m/>
    <x v="128"/>
    <s v="YLLI CONSTRUCION"/>
    <x v="20"/>
    <s v="M-ONE Sanitar Silikon"/>
    <n v="4"/>
    <x v="2"/>
    <n v="0.17"/>
  </r>
  <r>
    <s v="METAL FATI"/>
    <x v="91"/>
    <n v="46.2"/>
    <m/>
    <m/>
    <x v="179"/>
    <s v="METAL FATI"/>
    <x v="9"/>
    <s v="M-ONE Sanitar Silikon"/>
    <n v="12"/>
    <x v="0"/>
    <n v="0.17"/>
  </r>
  <r>
    <s v="XHAFA"/>
    <x v="91"/>
    <n v="199.2"/>
    <m/>
    <m/>
    <x v="61"/>
    <s v="XHAFA"/>
    <x v="3"/>
    <s v="M-ONE Sanitar Silikon"/>
    <n v="12"/>
    <x v="0"/>
    <n v="0.17"/>
  </r>
  <r>
    <s v="XHAFA"/>
    <x v="91"/>
    <m/>
    <m/>
    <m/>
    <x v="61"/>
    <s v="XHAFA"/>
    <x v="5"/>
    <s v="M-ONE Sanitar Silikon"/>
    <n v="12"/>
    <x v="0"/>
    <n v="0.17"/>
  </r>
  <r>
    <s v="XHAFA"/>
    <x v="91"/>
    <m/>
    <m/>
    <m/>
    <x v="61"/>
    <s v="XHAFA"/>
    <x v="20"/>
    <s v="M-ONE Sanitar Silikon"/>
    <n v="12"/>
    <x v="0"/>
    <n v="0.17"/>
  </r>
  <r>
    <s v="XHAFA"/>
    <x v="91"/>
    <m/>
    <m/>
    <m/>
    <x v="61"/>
    <s v="XHAFA"/>
    <x v="18"/>
    <s v="M-ONE Sanitar Silikon"/>
    <n v="12"/>
    <x v="0"/>
    <n v="0.17"/>
  </r>
  <r>
    <s v="XHAFA"/>
    <x v="91"/>
    <m/>
    <m/>
    <m/>
    <x v="61"/>
    <s v="XHAFA"/>
    <x v="7"/>
    <s v="DICHTUNG"/>
    <n v="2"/>
    <x v="0"/>
    <n v="0.2"/>
  </r>
  <r>
    <s v="QEMA"/>
    <x v="91"/>
    <n v="46.2"/>
    <m/>
    <m/>
    <x v="169"/>
    <e v="#N/A"/>
    <x v="1"/>
    <s v="M-ONE Sanitar Silikon"/>
    <n v="12"/>
    <x v="0"/>
    <n v="0.17"/>
  </r>
  <r>
    <s v="ARPO"/>
    <x v="91"/>
    <n v="277.2"/>
    <m/>
    <m/>
    <x v="64"/>
    <s v="ARPO"/>
    <x v="5"/>
    <s v="M-ONE Sanitar Silikon"/>
    <n v="12"/>
    <x v="0"/>
    <n v="0.17"/>
  </r>
  <r>
    <s v="ARPO"/>
    <x v="91"/>
    <m/>
    <m/>
    <m/>
    <x v="64"/>
    <s v="ARPO"/>
    <x v="9"/>
    <s v="M-ONE Sanitar Silikon"/>
    <n v="12"/>
    <x v="0"/>
    <n v="0.17"/>
  </r>
  <r>
    <s v="ARPO"/>
    <x v="91"/>
    <m/>
    <m/>
    <m/>
    <x v="64"/>
    <s v="ARPO"/>
    <x v="4"/>
    <s v="M-ONE Sanitar Silikon"/>
    <n v="24"/>
    <x v="0"/>
    <n v="0.17"/>
  </r>
  <r>
    <s v="ARPO"/>
    <x v="91"/>
    <m/>
    <m/>
    <m/>
    <x v="64"/>
    <s v="ARPO"/>
    <x v="20"/>
    <s v="M-ONE Sanitar Silikon"/>
    <n v="24"/>
    <x v="0"/>
    <n v="0.17"/>
  </r>
  <r>
    <s v="BEK TRADE"/>
    <x v="91"/>
    <n v="462"/>
    <m/>
    <m/>
    <x v="62"/>
    <s v="BEK TRADE"/>
    <x v="4"/>
    <s v="M-ONE Sanitar Silikon"/>
    <n v="36"/>
    <x v="0"/>
    <n v="0.17"/>
  </r>
  <r>
    <s v="BEK TRADE"/>
    <x v="91"/>
    <m/>
    <m/>
    <m/>
    <x v="62"/>
    <s v="BEK TRADE"/>
    <x v="20"/>
    <s v="M-ONE Sanitar Silikon"/>
    <n v="24"/>
    <x v="0"/>
    <n v="0.17"/>
  </r>
  <r>
    <s v="BEK TRADE"/>
    <x v="91"/>
    <m/>
    <m/>
    <m/>
    <x v="62"/>
    <s v="BEK TRADE"/>
    <x v="1"/>
    <s v="M-ONE Sanitar Silikon"/>
    <n v="24"/>
    <x v="0"/>
    <n v="0.17"/>
  </r>
  <r>
    <s v="BEK TRADE"/>
    <x v="91"/>
    <m/>
    <m/>
    <m/>
    <x v="62"/>
    <s v="BEK TRADE"/>
    <x v="0"/>
    <s v="M-ONE Sanitar Silikon"/>
    <n v="12"/>
    <x v="0"/>
    <n v="0.17"/>
  </r>
  <r>
    <s v="BEK TRADE"/>
    <x v="91"/>
    <m/>
    <m/>
    <m/>
    <x v="62"/>
    <s v="BEK TRADE"/>
    <x v="5"/>
    <s v="M-ONE Sanitar Silikon"/>
    <n v="12"/>
    <x v="0"/>
    <n v="0.17"/>
  </r>
  <r>
    <s v="BEK TRADE"/>
    <x v="91"/>
    <m/>
    <m/>
    <m/>
    <x v="62"/>
    <s v="BEK TRADE"/>
    <x v="18"/>
    <s v="M-ONE Sanitar Silikon"/>
    <n v="12"/>
    <x v="0"/>
    <n v="0.17"/>
  </r>
  <r>
    <s v="TE BESNIKU"/>
    <x v="91"/>
    <n v="46.2"/>
    <m/>
    <m/>
    <x v="65"/>
    <s v="TE BESNIKU"/>
    <x v="0"/>
    <s v="M-ONE Sanitar Silikon"/>
    <n v="12"/>
    <x v="0"/>
    <n v="0.17"/>
  </r>
  <r>
    <s v="ALTINI"/>
    <x v="91"/>
    <n v="92.4"/>
    <m/>
    <m/>
    <x v="203"/>
    <s v="ALTINI"/>
    <x v="3"/>
    <s v="M-ONE Sanitar Silikon"/>
    <n v="12"/>
    <x v="0"/>
    <n v="0.17"/>
  </r>
  <r>
    <s v="ALTINI"/>
    <x v="91"/>
    <m/>
    <m/>
    <m/>
    <x v="203"/>
    <s v="ALTINI"/>
    <x v="4"/>
    <s v="M-ONE Sanitar Silikon"/>
    <n v="12"/>
    <x v="0"/>
    <n v="0.17"/>
  </r>
  <r>
    <s v="JETA DUHEL"/>
    <x v="91"/>
    <n v="323.39999999999998"/>
    <m/>
    <m/>
    <x v="152"/>
    <s v="JETA DUHEL"/>
    <x v="1"/>
    <s v="M-ONE Sanitar Silikon"/>
    <n v="36"/>
    <x v="0"/>
    <n v="0.17"/>
  </r>
  <r>
    <s v="JETA DUHEL"/>
    <x v="91"/>
    <m/>
    <m/>
    <m/>
    <x v="152"/>
    <s v="JETA DUHEL"/>
    <x v="0"/>
    <s v="M-ONE Sanitar Silikon"/>
    <n v="12"/>
    <x v="0"/>
    <n v="0.17"/>
  </r>
  <r>
    <s v="JETA DUHEL"/>
    <x v="91"/>
    <m/>
    <m/>
    <m/>
    <x v="152"/>
    <s v="JETA DUHEL"/>
    <x v="5"/>
    <s v="M-ONE Sanitar Silikon"/>
    <n v="12"/>
    <x v="0"/>
    <n v="0.17"/>
  </r>
  <r>
    <s v="JETA DUHEL"/>
    <x v="91"/>
    <m/>
    <m/>
    <m/>
    <x v="152"/>
    <s v="JETA DUHEL"/>
    <x v="20"/>
    <s v="M-ONE Sanitar Silikon"/>
    <n v="12"/>
    <x v="0"/>
    <n v="0.17"/>
  </r>
  <r>
    <s v="JETA DUHEL"/>
    <x v="91"/>
    <m/>
    <m/>
    <m/>
    <x v="152"/>
    <s v="JETA DUHEL"/>
    <x v="9"/>
    <s v="M-ONE Sanitar Silikon"/>
    <n v="12"/>
    <x v="0"/>
    <n v="0.17"/>
  </r>
  <r>
    <s v="TEMAJ"/>
    <x v="91"/>
    <n v="462"/>
    <m/>
    <m/>
    <x v="91"/>
    <s v="TEMAJ"/>
    <x v="4"/>
    <s v="M-ONE Sanitar Silikon"/>
    <n v="24"/>
    <x v="2"/>
    <n v="0.17"/>
  </r>
  <r>
    <s v="TEMAJ"/>
    <x v="91"/>
    <m/>
    <m/>
    <m/>
    <x v="91"/>
    <s v="TEMAJ"/>
    <x v="18"/>
    <s v="M-ONE Sanitar Silikon"/>
    <n v="36"/>
    <x v="2"/>
    <n v="0.17"/>
  </r>
  <r>
    <s v="TEMAJ"/>
    <x v="91"/>
    <m/>
    <m/>
    <m/>
    <x v="91"/>
    <s v="TEMAJ"/>
    <x v="1"/>
    <s v="M-ONE Sanitar Silikon"/>
    <n v="24"/>
    <x v="2"/>
    <n v="0.17"/>
  </r>
  <r>
    <s v="TEMAJ"/>
    <x v="91"/>
    <m/>
    <m/>
    <m/>
    <x v="91"/>
    <s v="TEMAJ"/>
    <x v="3"/>
    <s v="M-ONE Sanitar Silikon"/>
    <n v="12"/>
    <x v="2"/>
    <n v="0.17"/>
  </r>
  <r>
    <s v="TEMAJ"/>
    <x v="91"/>
    <m/>
    <m/>
    <m/>
    <x v="91"/>
    <s v="TEMAJ"/>
    <x v="9"/>
    <s v="M-ONE Sanitar Silikon"/>
    <n v="12"/>
    <x v="2"/>
    <n v="0.17"/>
  </r>
  <r>
    <s v="TEMAJ"/>
    <x v="91"/>
    <m/>
    <m/>
    <m/>
    <x v="91"/>
    <s v="TEMAJ"/>
    <x v="6"/>
    <s v="M-ONE Sanitar Silikon"/>
    <n v="12"/>
    <x v="2"/>
    <n v="0.17"/>
  </r>
  <r>
    <s v="TANI"/>
    <x v="91"/>
    <n v="277.2"/>
    <m/>
    <m/>
    <x v="66"/>
    <s v="TANI"/>
    <x v="0"/>
    <s v="M-ONE Sanitar Silikon"/>
    <n v="36"/>
    <x v="1"/>
    <n v="0.17"/>
  </r>
  <r>
    <s v="TANI"/>
    <x v="91"/>
    <m/>
    <m/>
    <m/>
    <x v="66"/>
    <s v="TANI"/>
    <x v="5"/>
    <s v="M-ONE Sanitar Silikon"/>
    <n v="36"/>
    <x v="1"/>
    <n v="0.17"/>
  </r>
  <r>
    <s v="TANI"/>
    <x v="91"/>
    <m/>
    <m/>
    <m/>
    <x v="66"/>
    <s v="TANI"/>
    <x v="1"/>
    <s v="M-ONE Sanitar Silikon"/>
    <n v="12"/>
    <x v="1"/>
    <n v="0.17"/>
  </r>
  <r>
    <s v="TANI"/>
    <x v="91"/>
    <m/>
    <m/>
    <m/>
    <x v="66"/>
    <s v="TANI"/>
    <x v="10"/>
    <s v="PROFIMONT EXTREME"/>
    <n v="12"/>
    <x v="1"/>
    <n v="0.2"/>
  </r>
  <r>
    <s v="LETAJ"/>
    <x v="91"/>
    <n v="120"/>
    <m/>
    <m/>
    <x v="67"/>
    <s v="LETAJ"/>
    <x v="6"/>
    <s v="M-ONE Sanitar Silikon"/>
    <n v="12"/>
    <x v="1"/>
    <n v="0.17"/>
  </r>
  <r>
    <s v="LETAJ"/>
    <x v="91"/>
    <m/>
    <m/>
    <m/>
    <x v="67"/>
    <s v="LETAJ"/>
    <x v="2"/>
    <s v="M-ONE Sanitar Silikon"/>
    <n v="12"/>
    <x v="1"/>
    <n v="0.17"/>
  </r>
  <r>
    <s v="LETAJ"/>
    <x v="91"/>
    <m/>
    <m/>
    <m/>
    <x v="67"/>
    <s v="LETAJ"/>
    <x v="8"/>
    <s v="struktural akryl"/>
    <n v="12"/>
    <x v="1"/>
    <n v="0.06"/>
  </r>
  <r>
    <s v="GERMAN FABRE"/>
    <x v="91"/>
    <n v="138.6"/>
    <m/>
    <m/>
    <x v="121"/>
    <s v="GERMAN FABRE"/>
    <x v="5"/>
    <s v="M-ONE Sanitar Silikon"/>
    <n v="12"/>
    <x v="1"/>
    <n v="0.17"/>
  </r>
  <r>
    <s v="GERMAN FABRE"/>
    <x v="91"/>
    <m/>
    <m/>
    <m/>
    <x v="121"/>
    <s v="GERMAN FABRE"/>
    <x v="20"/>
    <s v="M-ONE Sanitar Silikon"/>
    <n v="12"/>
    <x v="1"/>
    <n v="0.17"/>
  </r>
  <r>
    <s v="GERMAN FABRE"/>
    <x v="91"/>
    <m/>
    <m/>
    <m/>
    <x v="121"/>
    <s v="GERMAN FABRE"/>
    <x v="2"/>
    <s v="M-ONE Sanitar Silikon"/>
    <n v="12"/>
    <x v="1"/>
    <n v="0.17"/>
  </r>
  <r>
    <s v="INOX 2"/>
    <x v="91"/>
    <n v="92.4"/>
    <m/>
    <m/>
    <x v="93"/>
    <s v="INOX 2"/>
    <x v="4"/>
    <s v="M-ONE Sanitar Silikon"/>
    <n v="24"/>
    <x v="1"/>
    <n v="0.17"/>
  </r>
  <r>
    <s v="GER COLORS"/>
    <x v="91"/>
    <n v="138.6"/>
    <m/>
    <m/>
    <x v="94"/>
    <s v="GER COLORS"/>
    <x v="5"/>
    <s v="M-ONE Sanitar Silikon"/>
    <n v="12"/>
    <x v="1"/>
    <n v="0.17"/>
  </r>
  <r>
    <s v="GER COLORS"/>
    <x v="91"/>
    <m/>
    <m/>
    <m/>
    <x v="94"/>
    <s v="GER COLORS"/>
    <x v="25"/>
    <s v="M-ONE Sanitar Silikon"/>
    <n v="12"/>
    <x v="1"/>
    <n v="0.17"/>
  </r>
  <r>
    <s v="GER COLORS"/>
    <x v="91"/>
    <m/>
    <m/>
    <m/>
    <x v="94"/>
    <s v="GER COLORS"/>
    <x v="2"/>
    <s v="M-ONE Sanitar Silikon"/>
    <n v="12"/>
    <x v="1"/>
    <n v="0.17"/>
  </r>
  <r>
    <s v="V. GJONAJ"/>
    <x v="91"/>
    <n v="138.6"/>
    <m/>
    <m/>
    <x v="122"/>
    <s v="V. GJONAJ"/>
    <x v="5"/>
    <s v="M-ONE Sanitar Silikon"/>
    <n v="12"/>
    <x v="1"/>
    <n v="0.17"/>
  </r>
  <r>
    <s v="V. GJONAJ"/>
    <x v="91"/>
    <m/>
    <m/>
    <m/>
    <x v="122"/>
    <s v="V. GJONAJ"/>
    <x v="15"/>
    <s v="M-ONE Sanitar Silikon"/>
    <n v="12"/>
    <x v="1"/>
    <n v="0.17"/>
  </r>
  <r>
    <s v="V. GJONAJ"/>
    <x v="91"/>
    <m/>
    <m/>
    <m/>
    <x v="122"/>
    <s v="V. GJONAJ"/>
    <x v="9"/>
    <s v="M-ONE Sanitar Silikon"/>
    <n v="12"/>
    <x v="1"/>
    <n v="0.17"/>
  </r>
  <r>
    <s v="ERENIKU"/>
    <x v="91"/>
    <n v="184.8"/>
    <m/>
    <m/>
    <x v="92"/>
    <s v="ERENIKU"/>
    <x v="0"/>
    <s v="M-ONE Sanitar Silikon"/>
    <n v="12"/>
    <x v="1"/>
    <n v="0.17"/>
  </r>
  <r>
    <s v="ERENIKU"/>
    <x v="91"/>
    <m/>
    <m/>
    <m/>
    <x v="92"/>
    <s v="ERENIKU"/>
    <x v="5"/>
    <s v="M-ONE Sanitar Silikon"/>
    <n v="12"/>
    <x v="1"/>
    <n v="0.17"/>
  </r>
  <r>
    <s v="ERENIKU"/>
    <x v="91"/>
    <m/>
    <m/>
    <m/>
    <x v="92"/>
    <s v="ERENIKU"/>
    <x v="18"/>
    <s v="M-ONE Sanitar Silikon"/>
    <n v="12"/>
    <x v="1"/>
    <n v="0.17"/>
  </r>
  <r>
    <s v="ERENIKU"/>
    <x v="91"/>
    <m/>
    <m/>
    <m/>
    <x v="92"/>
    <s v="ERENIKU"/>
    <x v="9"/>
    <s v="M-ONE Sanitar Silikon"/>
    <n v="12"/>
    <x v="1"/>
    <n v="0.17"/>
  </r>
  <r>
    <s v="GACAFERI-RG"/>
    <x v="91"/>
    <n v="112.8"/>
    <m/>
    <m/>
    <x v="161"/>
    <s v="GACAFERI-RG"/>
    <x v="5"/>
    <s v="M-ONE Sanitar Silikon"/>
    <n v="12"/>
    <x v="1"/>
    <n v="0.17"/>
  </r>
  <r>
    <s v="GACAFERI-RG"/>
    <x v="91"/>
    <m/>
    <m/>
    <m/>
    <x v="161"/>
    <s v="GACAFERI-RG"/>
    <x v="22"/>
    <s v="universal akryl"/>
    <n v="12"/>
    <x v="1"/>
    <n v="0.06"/>
  </r>
  <r>
    <s v="GACAFERI-RG"/>
    <x v="91"/>
    <m/>
    <m/>
    <m/>
    <x v="161"/>
    <s v="GACAFERI-RG"/>
    <x v="8"/>
    <s v="struktural akryl"/>
    <n v="12"/>
    <x v="1"/>
    <n v="0.06"/>
  </r>
  <r>
    <s v="GACAFERI-RG"/>
    <x v="91"/>
    <m/>
    <m/>
    <m/>
    <x v="161"/>
    <s v="GACAFERI-RG"/>
    <x v="17"/>
    <s v="M ONE UBS"/>
    <n v="6"/>
    <x v="1"/>
    <n v="0.2"/>
  </r>
  <r>
    <s v="AFRIMI-AG"/>
    <x v="91"/>
    <n v="92.4"/>
    <m/>
    <m/>
    <x v="69"/>
    <s v="AFRIMI-AG"/>
    <x v="0"/>
    <s v="M-ONE Sanitar Silikon"/>
    <n v="24"/>
    <x v="1"/>
    <n v="0.17"/>
  </r>
  <r>
    <s v="TE BESIMI"/>
    <x v="91"/>
    <n v="138.19999999999999"/>
    <m/>
    <m/>
    <x v="70"/>
    <s v="TE BESIMI"/>
    <x v="0"/>
    <s v="M-ONE Sanitar Silikon"/>
    <n v="12"/>
    <x v="1"/>
    <n v="0.17"/>
  </r>
  <r>
    <s v="TE BESIMI"/>
    <x v="91"/>
    <m/>
    <m/>
    <m/>
    <x v="70"/>
    <s v="TE BESIMI"/>
    <x v="15"/>
    <s v="M-ONE Sanitar Silikon"/>
    <n v="12"/>
    <x v="1"/>
    <n v="0.17"/>
  </r>
  <r>
    <s v="TE BESIMI"/>
    <x v="91"/>
    <m/>
    <m/>
    <m/>
    <x v="70"/>
    <s v="TE BESIMI"/>
    <x v="7"/>
    <s v="DICHTUNG"/>
    <n v="4"/>
    <x v="1"/>
    <n v="0.2"/>
  </r>
  <r>
    <s v="TE BESIMI"/>
    <x v="91"/>
    <m/>
    <m/>
    <m/>
    <x v="70"/>
    <s v="TE BESIMI"/>
    <x v="14"/>
    <s v="beMAKER Bremsen&amp;Teile Reininger"/>
    <n v="4"/>
    <x v="1"/>
    <n v="0.2"/>
  </r>
  <r>
    <s v="TE BESIMI"/>
    <x v="91"/>
    <m/>
    <m/>
    <m/>
    <x v="70"/>
    <s v="TE BESIMI"/>
    <x v="23"/>
    <s v="M ONE HAFTGRUND"/>
    <n v="4"/>
    <x v="1"/>
    <n v="0.15"/>
  </r>
  <r>
    <s v="TE BESIMI"/>
    <x v="91"/>
    <m/>
    <m/>
    <m/>
    <x v="70"/>
    <s v="TE BESIMI"/>
    <x v="12"/>
    <s v="beMAKER Rostlöser"/>
    <n v="2"/>
    <x v="1"/>
    <n v="0.2"/>
  </r>
  <r>
    <s v="EUROSAN"/>
    <x v="92"/>
    <n v="231"/>
    <m/>
    <m/>
    <x v="123"/>
    <s v="EUROSAN"/>
    <x v="3"/>
    <s v="M-ONE Sanitar Silikon"/>
    <n v="24"/>
    <x v="0"/>
    <n v="0.17"/>
  </r>
  <r>
    <s v="EUROSAN"/>
    <x v="92"/>
    <m/>
    <m/>
    <m/>
    <x v="123"/>
    <s v="EUROSAN"/>
    <x v="4"/>
    <s v="M-ONE Sanitar Silikon"/>
    <n v="36"/>
    <x v="0"/>
    <n v="0.17"/>
  </r>
  <r>
    <s v="EUROSAN"/>
    <x v="92"/>
    <m/>
    <m/>
    <m/>
    <x v="123"/>
    <s v="EUROSAN"/>
    <x v="0"/>
    <s v="M-ONE Sanitar Silikon"/>
    <n v="12"/>
    <x v="0"/>
    <n v="0.17"/>
  </r>
  <r>
    <s v="EUROSAN"/>
    <x v="92"/>
    <m/>
    <m/>
    <m/>
    <x v="123"/>
    <s v="EUROSAN"/>
    <x v="5"/>
    <s v="M-ONE Sanitar Silikon"/>
    <n v="12"/>
    <x v="0"/>
    <n v="0.17"/>
  </r>
  <r>
    <s v="EUROSAN"/>
    <x v="92"/>
    <m/>
    <m/>
    <m/>
    <x v="123"/>
    <s v="EUROSAN"/>
    <x v="20"/>
    <s v="M-ONE Sanitar Silikon"/>
    <n v="12"/>
    <x v="0"/>
    <n v="0.17"/>
  </r>
  <r>
    <s v="EUROSAN"/>
    <x v="92"/>
    <m/>
    <m/>
    <m/>
    <x v="123"/>
    <s v="EUROSAN"/>
    <x v="1"/>
    <s v="M-ONE Sanitar Silikon"/>
    <n v="24"/>
    <x v="0"/>
    <n v="0.17"/>
  </r>
  <r>
    <s v="TINA"/>
    <x v="92"/>
    <n v="646.79999999999995"/>
    <m/>
    <m/>
    <x v="2"/>
    <s v="TINA"/>
    <x v="3"/>
    <s v="M-ONE Sanitar Silikon"/>
    <n v="60"/>
    <x v="0"/>
    <n v="0.17"/>
  </r>
  <r>
    <s v="TINA"/>
    <x v="92"/>
    <m/>
    <m/>
    <m/>
    <x v="2"/>
    <s v="TINA"/>
    <x v="18"/>
    <s v="M-ONE Sanitar Silikon"/>
    <n v="36"/>
    <x v="0"/>
    <n v="0.17"/>
  </r>
  <r>
    <s v="TINA"/>
    <x v="92"/>
    <m/>
    <m/>
    <m/>
    <x v="2"/>
    <s v="TINA"/>
    <x v="20"/>
    <s v="M-ONE Sanitar Silikon"/>
    <n v="36"/>
    <x v="0"/>
    <n v="0.17"/>
  </r>
  <r>
    <s v="TINA"/>
    <x v="92"/>
    <m/>
    <m/>
    <m/>
    <x v="2"/>
    <s v="TINA"/>
    <x v="5"/>
    <s v="M-ONE Sanitar Silikon"/>
    <n v="24"/>
    <x v="0"/>
    <n v="0.17"/>
  </r>
  <r>
    <s v="TINA"/>
    <x v="92"/>
    <m/>
    <m/>
    <m/>
    <x v="2"/>
    <s v="TINA"/>
    <x v="0"/>
    <s v="M-ONE Sanitar Silikon"/>
    <n v="12"/>
    <x v="0"/>
    <n v="0.17"/>
  </r>
  <r>
    <s v="SMIRA"/>
    <x v="92"/>
    <n v="138.6"/>
    <m/>
    <m/>
    <x v="75"/>
    <s v="SMIRA"/>
    <x v="4"/>
    <s v="M-ONE Sanitar Silikon"/>
    <n v="12"/>
    <x v="0"/>
    <n v="0.17"/>
  </r>
  <r>
    <s v="SMIRA"/>
    <x v="92"/>
    <m/>
    <m/>
    <m/>
    <x v="75"/>
    <s v="SMIRA"/>
    <x v="5"/>
    <s v="M-ONE Sanitar Silikon"/>
    <n v="12"/>
    <x v="0"/>
    <n v="0.17"/>
  </r>
  <r>
    <s v="SMIRA"/>
    <x v="92"/>
    <m/>
    <m/>
    <m/>
    <x v="75"/>
    <s v="SMIRA"/>
    <x v="20"/>
    <s v="M-ONE Sanitar Silikon"/>
    <n v="12"/>
    <x v="0"/>
    <n v="0.17"/>
  </r>
  <r>
    <s v="BALLKANI"/>
    <x v="92"/>
    <n v="138.6"/>
    <m/>
    <m/>
    <x v="98"/>
    <s v="BALLKANI"/>
    <x v="0"/>
    <s v="M-ONE Sanitar Silikon"/>
    <n v="12"/>
    <x v="0"/>
    <n v="0.17"/>
  </r>
  <r>
    <s v="BALLKANI"/>
    <x v="92"/>
    <m/>
    <m/>
    <m/>
    <x v="98"/>
    <s v="BALLKANI"/>
    <x v="1"/>
    <s v="M-ONE Sanitar Silikon"/>
    <n v="24"/>
    <x v="0"/>
    <n v="0.17"/>
  </r>
  <r>
    <s v="BURIMI"/>
    <x v="92"/>
    <n v="92.4"/>
    <m/>
    <m/>
    <x v="5"/>
    <s v="BURIMI"/>
    <x v="4"/>
    <s v="M-ONE Sanitar Silikon"/>
    <n v="12"/>
    <x v="0"/>
    <n v="0.17"/>
  </r>
  <r>
    <s v="BURIMI"/>
    <x v="92"/>
    <m/>
    <m/>
    <m/>
    <x v="5"/>
    <s v="BURIMI"/>
    <x v="1"/>
    <s v="M-ONE Sanitar Silikon"/>
    <n v="12"/>
    <x v="0"/>
    <n v="0.17"/>
  </r>
  <r>
    <s v="DARDANIA"/>
    <x v="92"/>
    <n v="277.2"/>
    <m/>
    <m/>
    <x v="6"/>
    <s v="DARDANIA"/>
    <x v="4"/>
    <s v="M-ONE Sanitar Silikon"/>
    <n v="12"/>
    <x v="0"/>
    <n v="0.17"/>
  </r>
  <r>
    <s v="DARDANIA"/>
    <x v="92"/>
    <m/>
    <m/>
    <m/>
    <x v="6"/>
    <s v="DARDANIA"/>
    <x v="0"/>
    <s v="M-ONE Sanitar Silikon"/>
    <n v="12"/>
    <x v="0"/>
    <n v="0.17"/>
  </r>
  <r>
    <s v="DARDANIA"/>
    <x v="92"/>
    <m/>
    <m/>
    <m/>
    <x v="6"/>
    <s v="DARDANIA"/>
    <x v="5"/>
    <s v="M-ONE Sanitar Silikon"/>
    <n v="12"/>
    <x v="0"/>
    <n v="0.17"/>
  </r>
  <r>
    <s v="DARDANIA"/>
    <x v="92"/>
    <m/>
    <m/>
    <m/>
    <x v="6"/>
    <s v="DARDANIA"/>
    <x v="18"/>
    <s v="M-ONE Sanitar Silikon"/>
    <n v="12"/>
    <x v="0"/>
    <n v="0.17"/>
  </r>
  <r>
    <s v="DARDANIA"/>
    <x v="92"/>
    <m/>
    <m/>
    <m/>
    <x v="6"/>
    <s v="DARDANIA"/>
    <x v="1"/>
    <s v="M-ONE Sanitar Silikon"/>
    <n v="12"/>
    <x v="0"/>
    <n v="0.17"/>
  </r>
  <r>
    <s v="DARDANIA"/>
    <x v="92"/>
    <m/>
    <m/>
    <m/>
    <x v="6"/>
    <s v="DARDANIA"/>
    <x v="9"/>
    <s v="M-ONE Sanitar Silikon"/>
    <n v="12"/>
    <x v="0"/>
    <n v="0.17"/>
  </r>
  <r>
    <s v="FATMIRI"/>
    <x v="92"/>
    <n v="138.6"/>
    <m/>
    <m/>
    <x v="124"/>
    <s v="FATMIRI"/>
    <x v="4"/>
    <s v="M-ONE Sanitar Silikon"/>
    <n v="12"/>
    <x v="0"/>
    <n v="0.17"/>
  </r>
  <r>
    <s v="FATMIRI"/>
    <x v="92"/>
    <m/>
    <m/>
    <m/>
    <x v="124"/>
    <s v="FATMIRI"/>
    <x v="20"/>
    <s v="M-ONE Sanitar Silikon"/>
    <n v="12"/>
    <x v="0"/>
    <n v="0.17"/>
  </r>
  <r>
    <s v="FATMIRI"/>
    <x v="92"/>
    <m/>
    <m/>
    <m/>
    <x v="124"/>
    <s v="FATMIRI"/>
    <x v="1"/>
    <s v="M-ONE Sanitar Silikon"/>
    <n v="12"/>
    <x v="0"/>
    <n v="0.17"/>
  </r>
  <r>
    <s v="KOS CERAMIK"/>
    <x v="92"/>
    <n v="231"/>
    <m/>
    <m/>
    <x v="171"/>
    <s v="KOS CERAMIK"/>
    <x v="4"/>
    <s v="M-ONE Sanitar Silikon"/>
    <n v="36"/>
    <x v="0"/>
    <n v="0.17"/>
  </r>
  <r>
    <s v="KOS CERAMIK"/>
    <x v="92"/>
    <m/>
    <m/>
    <m/>
    <x v="171"/>
    <s v="KOS CERAMIK"/>
    <x v="18"/>
    <s v="M-ONE Sanitar Silikon"/>
    <n v="12"/>
    <x v="0"/>
    <n v="0.17"/>
  </r>
  <r>
    <s v="KOS CERAMIK"/>
    <x v="92"/>
    <m/>
    <m/>
    <m/>
    <x v="171"/>
    <s v="KOS CERAMIK"/>
    <x v="1"/>
    <s v="M-ONE Sanitar Silikon"/>
    <n v="12"/>
    <x v="0"/>
    <n v="0.17"/>
  </r>
  <r>
    <s v="ERALP"/>
    <x v="92"/>
    <n v="184.8"/>
    <m/>
    <m/>
    <x v="1"/>
    <s v="ERALP"/>
    <x v="15"/>
    <s v="M-ONE Sanitar Silikon"/>
    <n v="12"/>
    <x v="0"/>
    <n v="0.17"/>
  </r>
  <r>
    <s v="ERALP"/>
    <x v="92"/>
    <m/>
    <m/>
    <m/>
    <x v="1"/>
    <s v="ERALP"/>
    <x v="25"/>
    <s v="M-ONE Sanitar Silikon"/>
    <n v="12"/>
    <x v="0"/>
    <n v="0.17"/>
  </r>
  <r>
    <s v="ERALP"/>
    <x v="92"/>
    <m/>
    <m/>
    <m/>
    <x v="1"/>
    <s v="ERALP"/>
    <x v="18"/>
    <s v="M-ONE Sanitar Silikon"/>
    <n v="12"/>
    <x v="0"/>
    <n v="0.17"/>
  </r>
  <r>
    <s v="ERALP"/>
    <x v="92"/>
    <m/>
    <m/>
    <m/>
    <x v="1"/>
    <s v="ERALP"/>
    <x v="1"/>
    <s v="M-ONE Sanitar Silikon"/>
    <n v="12"/>
    <x v="0"/>
    <n v="0.17"/>
  </r>
  <r>
    <s v="ELIONI-1"/>
    <x v="92"/>
    <n v="138.6"/>
    <m/>
    <m/>
    <x v="97"/>
    <s v="ELIONI-1"/>
    <x v="18"/>
    <s v="M-ONE Sanitar Silikon"/>
    <n v="12"/>
    <x v="0"/>
    <n v="0.17"/>
  </r>
  <r>
    <s v="ELIONI-1"/>
    <x v="92"/>
    <m/>
    <m/>
    <m/>
    <x v="97"/>
    <s v="ELIONI-1"/>
    <x v="1"/>
    <s v="M-ONE Sanitar Silikon"/>
    <n v="12"/>
    <x v="0"/>
    <n v="0.17"/>
  </r>
  <r>
    <s v="ELIONI-1"/>
    <x v="92"/>
    <m/>
    <m/>
    <m/>
    <x v="97"/>
    <s v="ELIONI-1"/>
    <x v="9"/>
    <s v="M-ONE Sanitar Silikon"/>
    <n v="12"/>
    <x v="0"/>
    <n v="0.17"/>
  </r>
  <r>
    <s v="IBAK"/>
    <x v="92"/>
    <n v="92.4"/>
    <m/>
    <m/>
    <x v="3"/>
    <s v="IBAK"/>
    <x v="4"/>
    <s v="M-ONE Sanitar Silikon"/>
    <n v="24"/>
    <x v="0"/>
    <n v="0.17"/>
  </r>
  <r>
    <s v="CONDOR"/>
    <x v="92"/>
    <n v="169.4"/>
    <m/>
    <m/>
    <x v="11"/>
    <s v="CONDOR"/>
    <x v="4"/>
    <s v="M-ONE Sanitar Silikon"/>
    <n v="12"/>
    <x v="1"/>
    <n v="0.17"/>
  </r>
  <r>
    <s v="CONDOR"/>
    <x v="92"/>
    <m/>
    <m/>
    <m/>
    <x v="11"/>
    <s v="CONDOR"/>
    <x v="1"/>
    <s v="M-ONE Sanitar Silikon"/>
    <n v="12"/>
    <x v="1"/>
    <n v="0.17"/>
  </r>
  <r>
    <s v="CONDOR"/>
    <x v="92"/>
    <m/>
    <m/>
    <m/>
    <x v="11"/>
    <s v="CONDOR"/>
    <x v="22"/>
    <s v="universal akryl"/>
    <n v="24"/>
    <x v="1"/>
    <n v="0.06"/>
  </r>
  <r>
    <s v="CONDOR"/>
    <x v="92"/>
    <m/>
    <m/>
    <m/>
    <x v="11"/>
    <s v="CONDOR"/>
    <x v="23"/>
    <s v="M ONE HAFTGRUND"/>
    <n v="6"/>
    <x v="1"/>
    <n v="0.15"/>
  </r>
  <r>
    <s v="CONDOR"/>
    <x v="92"/>
    <m/>
    <m/>
    <m/>
    <x v="11"/>
    <s v="CONDOR"/>
    <x v="7"/>
    <s v="DICHTUNG"/>
    <n v="4"/>
    <x v="1"/>
    <n v="0.2"/>
  </r>
  <r>
    <s v="NITA 3"/>
    <x v="92"/>
    <n v="162"/>
    <m/>
    <m/>
    <x v="15"/>
    <s v="NITA 3"/>
    <x v="0"/>
    <s v="M-ONE Sanitar Silikon"/>
    <n v="12"/>
    <x v="1"/>
    <n v="0.17"/>
  </r>
  <r>
    <s v="NITA 3"/>
    <x v="92"/>
    <m/>
    <m/>
    <m/>
    <x v="15"/>
    <s v="NITA 3"/>
    <x v="20"/>
    <s v="M-ONE Sanitar Silikon"/>
    <n v="12"/>
    <x v="1"/>
    <n v="0.17"/>
  </r>
  <r>
    <s v="NITA 3"/>
    <x v="92"/>
    <m/>
    <m/>
    <m/>
    <x v="15"/>
    <s v="NITA 3"/>
    <x v="10"/>
    <s v="PROFIMONT EXTREME"/>
    <n v="12"/>
    <x v="1"/>
    <n v="0.2"/>
  </r>
  <r>
    <s v="DURGUTI 3"/>
    <x v="92"/>
    <n v="166.2"/>
    <m/>
    <m/>
    <x v="12"/>
    <s v="DURGUTI 3"/>
    <x v="4"/>
    <s v="M-ONE Sanitar Silikon"/>
    <n v="12"/>
    <x v="1"/>
    <n v="0.17"/>
  </r>
  <r>
    <s v="DURGUTI 3"/>
    <x v="92"/>
    <m/>
    <m/>
    <m/>
    <x v="12"/>
    <s v="DURGUTI 3"/>
    <x v="25"/>
    <s v="M-ONE Sanitar Silikon"/>
    <n v="12"/>
    <x v="1"/>
    <n v="0.17"/>
  </r>
  <r>
    <s v="DURGUTI 3"/>
    <x v="92"/>
    <m/>
    <m/>
    <m/>
    <x v="12"/>
    <s v="DURGUTI 3"/>
    <x v="1"/>
    <s v="M-ONE Sanitar Silikon"/>
    <n v="12"/>
    <x v="1"/>
    <n v="0.17"/>
  </r>
  <r>
    <s v="DURGUTI 3"/>
    <x v="92"/>
    <m/>
    <m/>
    <m/>
    <x v="12"/>
    <s v="DURGUTI 3"/>
    <x v="8"/>
    <s v="struktural akryl"/>
    <n v="12"/>
    <x v="1"/>
    <n v="0.06"/>
  </r>
  <r>
    <s v="SHEHU-A"/>
    <x v="92"/>
    <n v="90.2"/>
    <m/>
    <m/>
    <x v="17"/>
    <s v="SHEHU-A"/>
    <x v="16"/>
    <s v="Fettspray"/>
    <n v="12"/>
    <x v="1"/>
    <n v="0.2"/>
  </r>
  <r>
    <s v="SHEHU-A"/>
    <x v="92"/>
    <m/>
    <m/>
    <m/>
    <x v="17"/>
    <s v="SHEHU-A"/>
    <x v="7"/>
    <s v="DICHTUNG"/>
    <n v="6"/>
    <x v="1"/>
    <n v="0.2"/>
  </r>
  <r>
    <s v="SHEHU-A"/>
    <x v="92"/>
    <m/>
    <m/>
    <m/>
    <x v="17"/>
    <s v="SHEHU-A"/>
    <x v="21"/>
    <s v="M ONE CHROM SPRAY"/>
    <n v="2"/>
    <x v="1"/>
    <n v="0.15"/>
  </r>
  <r>
    <s v="SOPAJ"/>
    <x v="92"/>
    <n v="107.4"/>
    <m/>
    <m/>
    <x v="99"/>
    <s v="SOPAJ"/>
    <x v="0"/>
    <s v="M-ONE Sanitar Silikon"/>
    <n v="12"/>
    <x v="1"/>
    <n v="0.17"/>
  </r>
  <r>
    <s v="SOPAJ"/>
    <x v="92"/>
    <m/>
    <m/>
    <m/>
    <x v="99"/>
    <s v="SOPAJ"/>
    <x v="1"/>
    <s v="M-ONE Sanitar Silikon"/>
    <n v="12"/>
    <x v="1"/>
    <n v="0.17"/>
  </r>
  <r>
    <s v="SOPAJ"/>
    <x v="92"/>
    <m/>
    <m/>
    <m/>
    <x v="99"/>
    <s v="SOPAJ"/>
    <x v="22"/>
    <s v="universal akryl"/>
    <n v="12"/>
    <x v="1"/>
    <n v="0.06"/>
  </r>
  <r>
    <s v="BEREQETI"/>
    <x v="92"/>
    <n v="193.8"/>
    <m/>
    <m/>
    <x v="13"/>
    <s v="BEREQETI"/>
    <x v="4"/>
    <s v="M-ONE Sanitar Silikon"/>
    <n v="12"/>
    <x v="1"/>
    <n v="0.17"/>
  </r>
  <r>
    <s v="BEREQETI"/>
    <x v="92"/>
    <m/>
    <m/>
    <m/>
    <x v="13"/>
    <s v="BEREQETI"/>
    <x v="18"/>
    <s v="M-ONE Sanitar Silikon"/>
    <n v="12"/>
    <x v="1"/>
    <n v="0.17"/>
  </r>
  <r>
    <s v="BEREQETI"/>
    <x v="92"/>
    <m/>
    <m/>
    <m/>
    <x v="13"/>
    <s v="BEREQETI"/>
    <x v="2"/>
    <s v="M-ONE Sanitar Silikon"/>
    <n v="12"/>
    <x v="1"/>
    <n v="0.17"/>
  </r>
  <r>
    <s v="BEREQETI"/>
    <x v="92"/>
    <m/>
    <m/>
    <m/>
    <x v="13"/>
    <s v="BEREQETI"/>
    <x v="8"/>
    <s v="struktural akryl"/>
    <n v="24"/>
    <x v="1"/>
    <n v="0.06"/>
  </r>
  <r>
    <s v="NIVELIZIMI-D SH.P.K."/>
    <x v="92"/>
    <n v="92.4"/>
    <m/>
    <m/>
    <x v="126"/>
    <s v="NIVELIZIMI-D SH.P.K."/>
    <x v="0"/>
    <s v="M-ONE Sanitar Silikon"/>
    <n v="12"/>
    <x v="1"/>
    <n v="0.17"/>
  </r>
  <r>
    <s v="NIVELIZIMI-D SH.P.K."/>
    <x v="92"/>
    <m/>
    <m/>
    <m/>
    <x v="126"/>
    <s v="NIVELIZIMI-D SH.P.K."/>
    <x v="1"/>
    <s v="M-ONE Sanitar Silikon"/>
    <n v="12"/>
    <x v="1"/>
    <n v="0.17"/>
  </r>
  <r>
    <s v="BARDHI-M"/>
    <x v="92"/>
    <n v="231"/>
    <m/>
    <m/>
    <x v="77"/>
    <s v="BARDHI-M"/>
    <x v="3"/>
    <s v="M-ONE Sanitar Silikon"/>
    <n v="12"/>
    <x v="1"/>
    <n v="0.17"/>
  </r>
  <r>
    <s v="BARDHI-M"/>
    <x v="92"/>
    <m/>
    <m/>
    <m/>
    <x v="77"/>
    <s v="BARDHI-M"/>
    <x v="0"/>
    <s v="M-ONE Sanitar Silikon"/>
    <n v="12"/>
    <x v="1"/>
    <n v="0.17"/>
  </r>
  <r>
    <s v="BARDHI-M"/>
    <x v="92"/>
    <m/>
    <m/>
    <m/>
    <x v="77"/>
    <s v="BARDHI-M"/>
    <x v="1"/>
    <s v="M-ONE Sanitar Silikon"/>
    <n v="24"/>
    <x v="1"/>
    <n v="0.17"/>
  </r>
  <r>
    <s v="BARDHI-M"/>
    <x v="92"/>
    <m/>
    <m/>
    <m/>
    <x v="77"/>
    <s v="BARDHI-M"/>
    <x v="2"/>
    <s v="M-ONE Sanitar Silikon"/>
    <n v="12"/>
    <x v="1"/>
    <n v="0.17"/>
  </r>
  <r>
    <s v="ABA QERAMIK"/>
    <x v="92"/>
    <n v="184.8"/>
    <m/>
    <m/>
    <x v="177"/>
    <s v="ABA QERAMIK"/>
    <x v="4"/>
    <s v="M-ONE Sanitar Silikon"/>
    <n v="12"/>
    <x v="1"/>
    <n v="0.17"/>
  </r>
  <r>
    <s v="ABA QERAMIK"/>
    <x v="92"/>
    <m/>
    <m/>
    <m/>
    <x v="177"/>
    <s v="ABA QERAMIK"/>
    <x v="0"/>
    <s v="M-ONE Sanitar Silikon"/>
    <n v="12"/>
    <x v="1"/>
    <n v="0.17"/>
  </r>
  <r>
    <s v="ABA QERAMIK"/>
    <x v="92"/>
    <m/>
    <m/>
    <m/>
    <x v="177"/>
    <s v="ABA QERAMIK"/>
    <x v="5"/>
    <s v="M-ONE Sanitar Silikon"/>
    <n v="12"/>
    <x v="1"/>
    <n v="0.17"/>
  </r>
  <r>
    <s v="ABA QERAMIK"/>
    <x v="92"/>
    <m/>
    <m/>
    <m/>
    <x v="177"/>
    <s v="ABA QERAMIK"/>
    <x v="1"/>
    <s v="M-ONE Sanitar Silikon"/>
    <n v="12"/>
    <x v="1"/>
    <n v="0.17"/>
  </r>
  <r>
    <s v="ARBENI BIOBLIC"/>
    <x v="93"/>
    <n v="248"/>
    <m/>
    <m/>
    <x v="71"/>
    <s v="ARBENI BIOBLIC"/>
    <x v="28"/>
    <s v="BioBlic Universalreiniger"/>
    <n v="120"/>
    <x v="2"/>
    <n v="0.30000000000000004"/>
  </r>
  <r>
    <s v="ARBENI BIOBLIC"/>
    <x v="93"/>
    <m/>
    <m/>
    <m/>
    <x v="71"/>
    <s v="ARBENI BIOBLIC"/>
    <x v="29"/>
    <s v="Blic Blic Sanitärreiniger"/>
    <n v="40"/>
    <x v="2"/>
    <n v="0.30000000000000004"/>
  </r>
  <r>
    <s v="ARBENI BIOBLIC"/>
    <x v="93"/>
    <m/>
    <m/>
    <m/>
    <x v="71"/>
    <s v="ARBENI BIOBLIC"/>
    <x v="24"/>
    <s v="M ONE SILIKON SPRAY"/>
    <n v="12"/>
    <x v="2"/>
    <n v="0.2"/>
  </r>
  <r>
    <s v="ARBENI BIOBLIC"/>
    <x v="93"/>
    <m/>
    <m/>
    <m/>
    <x v="71"/>
    <s v="ARBENI BIOBLIC"/>
    <x v="12"/>
    <s v="beMAKER Rostlöser"/>
    <n v="5"/>
    <x v="2"/>
    <n v="0.2"/>
  </r>
  <r>
    <s v="NDRIQIMI"/>
    <x v="93"/>
    <n v="1830.6"/>
    <m/>
    <m/>
    <x v="79"/>
    <s v="NDRIQIMI"/>
    <x v="9"/>
    <s v="M-ONE Sanitar Silikon"/>
    <n v="144"/>
    <x v="0"/>
    <n v="0.17"/>
  </r>
  <r>
    <s v="NDRIQIMI"/>
    <x v="93"/>
    <m/>
    <m/>
    <m/>
    <x v="79"/>
    <s v="NDRIQIMI"/>
    <x v="0"/>
    <s v="M-ONE Sanitar Silikon"/>
    <n v="144"/>
    <x v="0"/>
    <n v="0.17"/>
  </r>
  <r>
    <s v="NDRIQIMI"/>
    <x v="93"/>
    <m/>
    <m/>
    <m/>
    <x v="79"/>
    <s v="NDRIQIMI"/>
    <x v="5"/>
    <s v="M-ONE Sanitar Silikon"/>
    <n v="60"/>
    <x v="0"/>
    <n v="0.17"/>
  </r>
  <r>
    <s v="NDRIQIMI"/>
    <x v="93"/>
    <m/>
    <m/>
    <m/>
    <x v="79"/>
    <s v="NDRIQIMI"/>
    <x v="1"/>
    <s v="M-ONE Sanitar Silikon"/>
    <n v="24"/>
    <x v="0"/>
    <n v="0.17"/>
  </r>
  <r>
    <s v="NDRIQIMI"/>
    <x v="93"/>
    <m/>
    <m/>
    <m/>
    <x v="79"/>
    <s v="NDRIQIMI"/>
    <x v="4"/>
    <s v="M-ONE Sanitar Silikon"/>
    <n v="24"/>
    <x v="0"/>
    <n v="0.17"/>
  </r>
  <r>
    <s v="NDRIQIMI"/>
    <x v="93"/>
    <m/>
    <m/>
    <m/>
    <x v="79"/>
    <s v="NDRIQIMI"/>
    <x v="20"/>
    <s v="M-ONE Sanitar Silikon"/>
    <n v="24"/>
    <x v="0"/>
    <n v="0.17"/>
  </r>
  <r>
    <s v="NDRIQIMI"/>
    <x v="93"/>
    <m/>
    <m/>
    <m/>
    <x v="79"/>
    <s v="NDRIQIMI"/>
    <x v="15"/>
    <s v="M-ONE Sanitar Silikon"/>
    <n v="36"/>
    <x v="0"/>
    <n v="0.17"/>
  </r>
  <r>
    <s v="NDRIQIMI"/>
    <x v="93"/>
    <m/>
    <m/>
    <m/>
    <x v="79"/>
    <s v="NDRIQIMI"/>
    <x v="22"/>
    <s v="universal akryl"/>
    <n v="60"/>
    <x v="0"/>
    <n v="0.06"/>
  </r>
  <r>
    <s v="SAN KOS"/>
    <x v="93"/>
    <n v="92.4"/>
    <m/>
    <m/>
    <x v="101"/>
    <s v="SAN KOS"/>
    <x v="9"/>
    <s v="M-ONE Sanitar Silikon"/>
    <n v="24"/>
    <x v="0"/>
    <n v="0.17"/>
  </r>
  <r>
    <s v="GRANITI"/>
    <x v="93"/>
    <n v="304.8"/>
    <m/>
    <m/>
    <x v="80"/>
    <s v="GRANITI"/>
    <x v="18"/>
    <s v="M-ONE Sanitar Silikon"/>
    <n v="24"/>
    <x v="0"/>
    <n v="0.17"/>
  </r>
  <r>
    <s v="GRANITI"/>
    <x v="93"/>
    <m/>
    <m/>
    <m/>
    <x v="80"/>
    <s v="GRANITI"/>
    <x v="1"/>
    <s v="M-ONE Sanitar Silikon"/>
    <n v="24"/>
    <x v="0"/>
    <n v="0.17"/>
  </r>
  <r>
    <s v="GRANITI"/>
    <x v="93"/>
    <m/>
    <m/>
    <m/>
    <x v="80"/>
    <s v="GRANITI"/>
    <x v="0"/>
    <s v="M-ONE Sanitar Silikon"/>
    <n v="12"/>
    <x v="0"/>
    <n v="0.17"/>
  </r>
  <r>
    <s v="GRANITI"/>
    <x v="93"/>
    <m/>
    <m/>
    <m/>
    <x v="80"/>
    <s v="GRANITI"/>
    <x v="2"/>
    <s v="M-ONE Sanitar Silikon"/>
    <n v="12"/>
    <x v="0"/>
    <n v="0.17"/>
  </r>
  <r>
    <s v="GRANITI"/>
    <x v="93"/>
    <m/>
    <m/>
    <m/>
    <x v="80"/>
    <s v="GRANITI"/>
    <x v="8"/>
    <s v="struktural akryl"/>
    <n v="12"/>
    <x v="0"/>
    <n v="0.06"/>
  </r>
  <r>
    <s v="ENISI - H"/>
    <x v="93"/>
    <n v="92.4"/>
    <m/>
    <m/>
    <x v="20"/>
    <s v="ENISI - H"/>
    <x v="9"/>
    <s v="M-ONE Sanitar Silikon"/>
    <n v="12"/>
    <x v="0"/>
    <n v="0.17"/>
  </r>
  <r>
    <s v="ENISI - H"/>
    <x v="93"/>
    <m/>
    <m/>
    <m/>
    <x v="20"/>
    <s v="ENISI - H"/>
    <x v="2"/>
    <s v="M-ONE Sanitar Silikon"/>
    <n v="12"/>
    <x v="0"/>
    <n v="0.17"/>
  </r>
  <r>
    <s v="UNIVERZAL"/>
    <x v="93"/>
    <n v="92.4"/>
    <m/>
    <m/>
    <x v="18"/>
    <s v="UNIVERZAL"/>
    <x v="1"/>
    <s v="M-ONE Sanitar Silikon"/>
    <n v="12"/>
    <x v="0"/>
    <n v="0.17"/>
  </r>
  <r>
    <s v="UNIVERZAL"/>
    <x v="93"/>
    <m/>
    <m/>
    <m/>
    <x v="18"/>
    <s v="UNIVERZAL"/>
    <x v="18"/>
    <s v="M-ONE Sanitar Silikon"/>
    <n v="12"/>
    <x v="0"/>
    <n v="0.17"/>
  </r>
  <r>
    <s v="TE BENI"/>
    <x v="93"/>
    <n v="646.79999999999995"/>
    <m/>
    <m/>
    <x v="107"/>
    <s v="TE BENI"/>
    <x v="0"/>
    <s v="M-ONE Sanitar Silikon"/>
    <n v="36"/>
    <x v="1"/>
    <n v="0.17"/>
  </r>
  <r>
    <s v="TE BENI"/>
    <x v="93"/>
    <m/>
    <m/>
    <m/>
    <x v="107"/>
    <s v="TE BENI"/>
    <x v="5"/>
    <s v="M-ONE Sanitar Silikon"/>
    <n v="24"/>
    <x v="1"/>
    <n v="0.17"/>
  </r>
  <r>
    <s v="TE BENI"/>
    <x v="93"/>
    <m/>
    <m/>
    <m/>
    <x v="107"/>
    <s v="TE BENI"/>
    <x v="1"/>
    <s v="M-ONE Sanitar Silikon"/>
    <n v="36"/>
    <x v="1"/>
    <n v="0.17"/>
  </r>
  <r>
    <s v="TE BENI"/>
    <x v="93"/>
    <m/>
    <m/>
    <m/>
    <x v="107"/>
    <s v="TE BENI"/>
    <x v="9"/>
    <s v="M-ONE Sanitar Silikon"/>
    <n v="24"/>
    <x v="1"/>
    <n v="0.17"/>
  </r>
  <r>
    <s v="TE BENI"/>
    <x v="93"/>
    <m/>
    <m/>
    <m/>
    <x v="107"/>
    <s v="TE BENI"/>
    <x v="20"/>
    <s v="M-ONE Sanitar Silikon"/>
    <n v="24"/>
    <x v="1"/>
    <n v="0.17"/>
  </r>
  <r>
    <s v="TE BENI"/>
    <x v="93"/>
    <m/>
    <m/>
    <m/>
    <x v="107"/>
    <s v="TE BENI"/>
    <x v="15"/>
    <s v="M-ONE Sanitar Silikon"/>
    <n v="12"/>
    <x v="1"/>
    <n v="0.17"/>
  </r>
  <r>
    <s v="TE BENI"/>
    <x v="93"/>
    <m/>
    <m/>
    <m/>
    <x v="107"/>
    <s v="TE BENI"/>
    <x v="3"/>
    <s v="M-ONE Sanitar Silikon"/>
    <n v="12"/>
    <x v="1"/>
    <n v="0.17"/>
  </r>
  <r>
    <s v="LIRIDONA-A"/>
    <x v="93"/>
    <n v="184.8"/>
    <m/>
    <m/>
    <x v="105"/>
    <s v="LIRIDONA-A"/>
    <x v="4"/>
    <s v="M-ONE Sanitar Silikon"/>
    <n v="12"/>
    <x v="1"/>
    <n v="0.17"/>
  </r>
  <r>
    <s v="LIRIDONA-A"/>
    <x v="93"/>
    <m/>
    <m/>
    <m/>
    <x v="105"/>
    <s v="LIRIDONA-A"/>
    <x v="18"/>
    <s v="M-ONE Sanitar Silikon"/>
    <n v="12"/>
    <x v="1"/>
    <n v="0.17"/>
  </r>
  <r>
    <s v="LIRIDONA-A"/>
    <x v="93"/>
    <m/>
    <m/>
    <m/>
    <x v="105"/>
    <s v="LIRIDONA-A"/>
    <x v="25"/>
    <s v="M-ONE Sanitar Silikon"/>
    <n v="12"/>
    <x v="1"/>
    <n v="0.17"/>
  </r>
  <r>
    <s v="LIRIDONA-A"/>
    <x v="93"/>
    <m/>
    <m/>
    <m/>
    <x v="105"/>
    <s v="LIRIDONA-A"/>
    <x v="2"/>
    <s v="M-ONE Sanitar Silikon"/>
    <n v="12"/>
    <x v="1"/>
    <n v="0.17"/>
  </r>
  <r>
    <s v="BYTYQI-V"/>
    <x v="93"/>
    <n v="69.599999999999994"/>
    <m/>
    <m/>
    <x v="149"/>
    <s v="BYTYQI-V"/>
    <x v="10"/>
    <s v="PROFIMONT EXTREME"/>
    <n v="12"/>
    <x v="1"/>
    <n v="0.2"/>
  </r>
  <r>
    <s v="BENI"/>
    <x v="93"/>
    <n v="70.5"/>
    <m/>
    <m/>
    <x v="32"/>
    <s v="BENI"/>
    <x v="7"/>
    <s v="DICHTUNG"/>
    <n v="5"/>
    <x v="1"/>
    <n v="0.2"/>
  </r>
  <r>
    <s v="BENI"/>
    <x v="93"/>
    <m/>
    <m/>
    <m/>
    <x v="32"/>
    <s v="BENI"/>
    <x v="44"/>
    <s v="M ONE FUERROT"/>
    <n v="4"/>
    <x v="1"/>
    <n v="0.15"/>
  </r>
  <r>
    <s v="BENI"/>
    <x v="93"/>
    <m/>
    <m/>
    <m/>
    <x v="32"/>
    <s v="BENI"/>
    <x v="43"/>
    <s v="M ONE SCHWARZ MATT"/>
    <n v="4"/>
    <x v="1"/>
    <n v="0.15"/>
  </r>
  <r>
    <s v="BENI"/>
    <x v="93"/>
    <m/>
    <m/>
    <m/>
    <x v="32"/>
    <s v="BENI"/>
    <x v="12"/>
    <s v="beMAKER Rostlöser"/>
    <n v="5"/>
    <x v="1"/>
    <n v="0.2"/>
  </r>
  <r>
    <s v="BENI"/>
    <x v="93"/>
    <m/>
    <m/>
    <m/>
    <x v="32"/>
    <s v="BENI"/>
    <x v="16"/>
    <s v="Fettspray"/>
    <n v="3"/>
    <x v="1"/>
    <n v="0.2"/>
  </r>
  <r>
    <s v="BENI"/>
    <x v="93"/>
    <m/>
    <m/>
    <m/>
    <x v="32"/>
    <s v="BENI"/>
    <x v="17"/>
    <s v="M ONE UBS"/>
    <n v="1"/>
    <x v="1"/>
    <n v="0.2"/>
  </r>
  <r>
    <s v="LIRIDONA HOME"/>
    <x v="93"/>
    <n v="184.8"/>
    <m/>
    <m/>
    <x v="106"/>
    <s v="LIRIDONA HOME"/>
    <x v="0"/>
    <s v="M-ONE Sanitar Silikon"/>
    <n v="12"/>
    <x v="1"/>
    <n v="0.17"/>
  </r>
  <r>
    <s v="LIRIDONA HOME"/>
    <x v="93"/>
    <m/>
    <m/>
    <m/>
    <x v="106"/>
    <s v="LIRIDONA HOME"/>
    <x v="15"/>
    <s v="M-ONE Sanitar Silikon"/>
    <n v="12"/>
    <x v="1"/>
    <n v="0.17"/>
  </r>
  <r>
    <s v="LIRIDONA HOME"/>
    <x v="93"/>
    <m/>
    <m/>
    <m/>
    <x v="106"/>
    <s v="LIRIDONA HOME"/>
    <x v="18"/>
    <s v="M-ONE Sanitar Silikon"/>
    <n v="12"/>
    <x v="1"/>
    <n v="0.17"/>
  </r>
  <r>
    <s v="LIRIDONA HOME"/>
    <x v="93"/>
    <m/>
    <m/>
    <m/>
    <x v="106"/>
    <s v="LIRIDONA HOME"/>
    <x v="20"/>
    <s v="M-ONE Sanitar Silikon"/>
    <n v="12"/>
    <x v="1"/>
    <n v="0.17"/>
  </r>
  <r>
    <s v="TE MENTORI"/>
    <x v="93"/>
    <n v="184.8"/>
    <m/>
    <m/>
    <x v="109"/>
    <s v="TE MENTORI"/>
    <x v="15"/>
    <s v="M-ONE Sanitar Silikon"/>
    <n v="12"/>
    <x v="1"/>
    <n v="0.17"/>
  </r>
  <r>
    <s v="TE MENTORI"/>
    <x v="93"/>
    <m/>
    <m/>
    <m/>
    <x v="109"/>
    <s v="TE MENTORI"/>
    <x v="20"/>
    <s v="M-ONE Sanitar Silikon"/>
    <n v="12"/>
    <x v="1"/>
    <n v="0.17"/>
  </r>
  <r>
    <s v="TE MENTORI"/>
    <x v="93"/>
    <m/>
    <m/>
    <m/>
    <x v="109"/>
    <s v="TE MENTORI"/>
    <x v="9"/>
    <s v="M-ONE Sanitar Silikon"/>
    <n v="12"/>
    <x v="1"/>
    <n v="0.17"/>
  </r>
  <r>
    <s v="TE MENTORI"/>
    <x v="93"/>
    <m/>
    <m/>
    <m/>
    <x v="109"/>
    <s v="TE MENTORI"/>
    <x v="1"/>
    <s v="M-ONE Sanitar Silikon"/>
    <n v="12"/>
    <x v="1"/>
    <n v="0.17"/>
  </r>
  <r>
    <s v="TE ZENA"/>
    <x v="94"/>
    <n v="96"/>
    <m/>
    <m/>
    <x v="84"/>
    <s v="TE ZENA"/>
    <x v="18"/>
    <s v="M-ONE Sanitar Silikon"/>
    <n v="12"/>
    <x v="0"/>
    <n v="0.17"/>
  </r>
  <r>
    <s v="TE ZENA"/>
    <x v="94"/>
    <m/>
    <m/>
    <m/>
    <x v="84"/>
    <s v="TE ZENA"/>
    <x v="1"/>
    <s v="M-ONE Sanitar Silikon"/>
    <n v="12"/>
    <x v="0"/>
    <n v="0.17"/>
  </r>
  <r>
    <s v="BECOLOR"/>
    <x v="94"/>
    <n v="12.5"/>
    <m/>
    <m/>
    <x v="37"/>
    <s v="BECOLOR"/>
    <x v="30"/>
    <s v="M ONE ANTHRAZIT"/>
    <n v="5"/>
    <x v="0"/>
    <n v="0.15"/>
  </r>
  <r>
    <s v="ALBANI"/>
    <x v="94"/>
    <n v="138.6"/>
    <m/>
    <m/>
    <x v="111"/>
    <e v="#N/A"/>
    <x v="4"/>
    <s v="M-ONE Sanitar Silikon"/>
    <n v="24"/>
    <x v="0"/>
    <n v="0.17"/>
  </r>
  <r>
    <s v="ALBANI"/>
    <x v="94"/>
    <m/>
    <m/>
    <m/>
    <x v="111"/>
    <e v="#N/A"/>
    <x v="0"/>
    <s v="M-ONE Sanitar Silikon"/>
    <n v="12"/>
    <x v="0"/>
    <n v="0.17"/>
  </r>
  <r>
    <s v="ALBANI"/>
    <x v="94"/>
    <m/>
    <m/>
    <m/>
    <x v="186"/>
    <e v="#N/A"/>
    <x v="1"/>
    <s v="M-ONE Sanitar Silikon"/>
    <n v="60"/>
    <x v="0"/>
    <n v="0.17"/>
  </r>
  <r>
    <s v="PROMOIN"/>
    <x v="94"/>
    <n v="96"/>
    <m/>
    <m/>
    <x v="117"/>
    <s v="PROMOIN"/>
    <x v="1"/>
    <s v="M-ONE Sanitar Silikon"/>
    <n v="24"/>
    <x v="1"/>
    <n v="0.17"/>
  </r>
  <r>
    <s v="AGROLONDI"/>
    <x v="94"/>
    <n v="144"/>
    <m/>
    <m/>
    <x v="39"/>
    <s v="AGROLONDI"/>
    <x v="4"/>
    <s v="M-ONE Sanitar Silikon"/>
    <n v="24"/>
    <x v="1"/>
    <n v="0.17"/>
  </r>
  <r>
    <s v="AGROLONDI"/>
    <x v="94"/>
    <m/>
    <m/>
    <m/>
    <x v="39"/>
    <s v="AGROLONDI"/>
    <x v="0"/>
    <s v="M-ONE Sanitar Silikon"/>
    <n v="12"/>
    <x v="1"/>
    <n v="0.17"/>
  </r>
  <r>
    <s v="SALIHU CORPORATION"/>
    <x v="94"/>
    <n v="144"/>
    <m/>
    <m/>
    <x v="165"/>
    <e v="#N/A"/>
    <x v="9"/>
    <s v="M-ONE Sanitar Silikon"/>
    <n v="12"/>
    <x v="1"/>
    <n v="0.17"/>
  </r>
  <r>
    <s v="SALIHU CORPORATION"/>
    <x v="94"/>
    <m/>
    <m/>
    <m/>
    <x v="165"/>
    <e v="#N/A"/>
    <x v="5"/>
    <s v="M-ONE Sanitar Silikon"/>
    <n v="12"/>
    <x v="1"/>
    <n v="0.17"/>
  </r>
  <r>
    <s v="SALIHU CORPORATION"/>
    <x v="94"/>
    <m/>
    <m/>
    <m/>
    <x v="165"/>
    <e v="#N/A"/>
    <x v="25"/>
    <s v="M-ONE Sanitar Silikon"/>
    <n v="12"/>
    <x v="1"/>
    <n v="0.17"/>
  </r>
  <r>
    <s v="HIDRO DANI"/>
    <x v="94"/>
    <n v="150"/>
    <m/>
    <m/>
    <x v="113"/>
    <s v="HIDRO DANI"/>
    <x v="18"/>
    <s v="M-ONE Sanitar Silikon"/>
    <n v="12"/>
    <x v="1"/>
    <n v="0.17"/>
  </r>
  <r>
    <s v="HIDRO DANI"/>
    <x v="94"/>
    <m/>
    <m/>
    <m/>
    <x v="113"/>
    <s v="HIDRO DANI"/>
    <x v="9"/>
    <s v="M-ONE Sanitar Silikon"/>
    <n v="12"/>
    <x v="1"/>
    <n v="0.17"/>
  </r>
  <r>
    <s v="HIDRO DANI"/>
    <x v="94"/>
    <m/>
    <m/>
    <m/>
    <x v="113"/>
    <s v="HIDRO DANI"/>
    <x v="1"/>
    <s v="M-ONE Sanitar Silikon"/>
    <n v="12"/>
    <x v="1"/>
    <n v="0.17"/>
  </r>
  <r>
    <s v="HIDRO DANI"/>
    <x v="94"/>
    <m/>
    <m/>
    <m/>
    <x v="113"/>
    <s v="HIDRO DANI"/>
    <x v="12"/>
    <s v="beMAKER Rostlöser"/>
    <n v="3"/>
    <x v="1"/>
    <n v="0.2"/>
  </r>
  <r>
    <s v="ILIRI QERAMIKA"/>
    <x v="94"/>
    <n v="159"/>
    <m/>
    <m/>
    <x v="41"/>
    <s v="ILIRI QERAMIKA"/>
    <x v="4"/>
    <s v="M-ONE Sanitar Silikon"/>
    <n v="12"/>
    <x v="1"/>
    <n v="0.17"/>
  </r>
  <r>
    <s v="ILIRI QERAMIKA"/>
    <x v="94"/>
    <m/>
    <m/>
    <m/>
    <x v="41"/>
    <s v="ILIRI QERAMIKA"/>
    <x v="0"/>
    <s v="M-ONE Sanitar Silikon"/>
    <n v="12"/>
    <x v="1"/>
    <n v="0.17"/>
  </r>
  <r>
    <s v="ILIRI QERAMIKA"/>
    <x v="94"/>
    <m/>
    <m/>
    <m/>
    <x v="41"/>
    <s v="ILIRI QERAMIKA"/>
    <x v="22"/>
    <s v="universal akryl"/>
    <n v="12"/>
    <x v="1"/>
    <n v="0.06"/>
  </r>
  <r>
    <s v="ILIRI QERAMIKA"/>
    <x v="94"/>
    <m/>
    <m/>
    <m/>
    <x v="41"/>
    <s v="ILIRI QERAMIKA"/>
    <x v="18"/>
    <s v="M-ONE Sanitar Silikon"/>
    <n v="12"/>
    <x v="1"/>
    <n v="0.17"/>
  </r>
  <r>
    <s v="AGRO-XHETI"/>
    <x v="94"/>
    <n v="524"/>
    <m/>
    <m/>
    <x v="114"/>
    <s v="AGRO-XHETI"/>
    <x v="6"/>
    <s v="M-ONE Sanitar Silikon"/>
    <n v="24"/>
    <x v="1"/>
    <n v="0.17"/>
  </r>
  <r>
    <s v="AGRO-XHETI"/>
    <x v="94"/>
    <m/>
    <m/>
    <m/>
    <x v="114"/>
    <s v="AGRO-XHETI"/>
    <x v="2"/>
    <s v="M-ONE Sanitar Silikon"/>
    <n v="24"/>
    <x v="1"/>
    <n v="0.17"/>
  </r>
  <r>
    <s v="AGRO-XHETI"/>
    <x v="94"/>
    <m/>
    <m/>
    <m/>
    <x v="114"/>
    <s v="AGRO-XHETI"/>
    <x v="5"/>
    <s v="M-ONE Sanitar Silikon"/>
    <n v="12"/>
    <x v="1"/>
    <n v="0.17"/>
  </r>
  <r>
    <s v="AGRO-XHETI"/>
    <x v="94"/>
    <m/>
    <m/>
    <m/>
    <x v="114"/>
    <s v="AGRO-XHETI"/>
    <x v="0"/>
    <s v="M-ONE Sanitar Silikon"/>
    <n v="12"/>
    <x v="1"/>
    <n v="0.17"/>
  </r>
  <r>
    <s v="AGRO-XHETI"/>
    <x v="94"/>
    <m/>
    <m/>
    <m/>
    <x v="114"/>
    <s v="AGRO-XHETI"/>
    <x v="3"/>
    <s v="M-ONE Sanitar Silikon"/>
    <n v="12"/>
    <x v="1"/>
    <n v="0.17"/>
  </r>
  <r>
    <s v="AGRO-XHETI"/>
    <x v="94"/>
    <m/>
    <m/>
    <m/>
    <x v="114"/>
    <s v="AGRO-XHETI"/>
    <x v="20"/>
    <s v="M-ONE Sanitar Silikon"/>
    <n v="12"/>
    <x v="1"/>
    <n v="0.17"/>
  </r>
  <r>
    <s v="AGRO-XHETI"/>
    <x v="94"/>
    <m/>
    <m/>
    <m/>
    <x v="114"/>
    <s v="AGRO-XHETI"/>
    <x v="1"/>
    <s v="M-ONE Sanitar Silikon"/>
    <n v="12"/>
    <x v="1"/>
    <n v="0.17"/>
  </r>
  <r>
    <s v="AGRO-XHETI"/>
    <x v="94"/>
    <m/>
    <m/>
    <m/>
    <x v="114"/>
    <s v="AGRO-XHETI"/>
    <x v="25"/>
    <s v="M-ONE Sanitar Silikon"/>
    <n v="12"/>
    <x v="1"/>
    <n v="0.17"/>
  </r>
  <r>
    <s v="AGRO-XHETI"/>
    <x v="94"/>
    <m/>
    <m/>
    <m/>
    <x v="114"/>
    <s v="AGRO-XHETI"/>
    <x v="17"/>
    <s v="M ONE UBS"/>
    <n v="11"/>
    <x v="1"/>
    <n v="0.2"/>
  </r>
  <r>
    <s v="LUTA QERAMIKA"/>
    <x v="94"/>
    <n v="432"/>
    <m/>
    <m/>
    <x v="175"/>
    <s v="LUTA QERAMIKA"/>
    <x v="4"/>
    <s v="M-ONE Sanitar Silikon"/>
    <n v="36"/>
    <x v="1"/>
    <n v="0.17"/>
  </r>
  <r>
    <s v="LUTA QERAMIKA"/>
    <x v="94"/>
    <m/>
    <m/>
    <m/>
    <x v="175"/>
    <s v="LUTA QERAMIKA"/>
    <x v="20"/>
    <s v="M-ONE Sanitar Silikon"/>
    <n v="36"/>
    <x v="1"/>
    <n v="0.17"/>
  </r>
  <r>
    <s v="LUTA QERAMIKA"/>
    <x v="94"/>
    <m/>
    <m/>
    <m/>
    <x v="175"/>
    <s v="LUTA QERAMIKA"/>
    <x v="1"/>
    <s v="M-ONE Sanitar Silikon"/>
    <n v="36"/>
    <x v="1"/>
    <n v="0.17"/>
  </r>
  <r>
    <s v="GLOBAL TOOLS"/>
    <x v="94"/>
    <n v="336"/>
    <m/>
    <m/>
    <x v="139"/>
    <s v="GLOBAL TOOLS"/>
    <x v="2"/>
    <s v="M-ONE Sanitar Silikon"/>
    <n v="24"/>
    <x v="1"/>
    <n v="0.17"/>
  </r>
  <r>
    <s v="GLOBAL TOOLS"/>
    <x v="94"/>
    <m/>
    <m/>
    <m/>
    <x v="139"/>
    <s v="GLOBAL TOOLS"/>
    <x v="18"/>
    <s v="M-ONE Sanitar Silikon"/>
    <n v="24"/>
    <x v="1"/>
    <n v="0.17"/>
  </r>
  <r>
    <s v="GLOBAL TOOLS"/>
    <x v="94"/>
    <m/>
    <m/>
    <m/>
    <x v="139"/>
    <s v="GLOBAL TOOLS"/>
    <x v="25"/>
    <s v="M-ONE Sanitar Silikon"/>
    <n v="12"/>
    <x v="1"/>
    <n v="0.17"/>
  </r>
  <r>
    <s v="GLOBAL TOOLS"/>
    <x v="94"/>
    <m/>
    <m/>
    <m/>
    <x v="139"/>
    <s v="GLOBAL TOOLS"/>
    <x v="6"/>
    <s v="M-ONE Sanitar Silikon"/>
    <n v="12"/>
    <x v="1"/>
    <n v="0.17"/>
  </r>
  <r>
    <s v="GLOBAL TOOLS"/>
    <x v="94"/>
    <m/>
    <m/>
    <m/>
    <x v="139"/>
    <s v="GLOBAL TOOLS"/>
    <x v="1"/>
    <s v="M-ONE Sanitar Silikon"/>
    <n v="12"/>
    <x v="1"/>
    <n v="0.17"/>
  </r>
  <r>
    <s v="AS QERAMIKA"/>
    <x v="94"/>
    <n v="336"/>
    <m/>
    <m/>
    <x v="150"/>
    <s v="AS QERAMIKA"/>
    <x v="0"/>
    <s v="M-ONE Sanitar Silikon"/>
    <n v="24"/>
    <x v="1"/>
    <n v="0.17"/>
  </r>
  <r>
    <s v="AS QERAMIKA"/>
    <x v="94"/>
    <m/>
    <m/>
    <m/>
    <x v="150"/>
    <s v="AS QERAMIKA"/>
    <x v="5"/>
    <s v="M-ONE Sanitar Silikon"/>
    <n v="24"/>
    <x v="1"/>
    <n v="0.17"/>
  </r>
  <r>
    <s v="AS QERAMIKA"/>
    <x v="94"/>
    <m/>
    <m/>
    <m/>
    <x v="150"/>
    <s v="AS QERAMIKA"/>
    <x v="9"/>
    <s v="M-ONE Sanitar Silikon"/>
    <n v="36"/>
    <x v="1"/>
    <n v="0.17"/>
  </r>
  <r>
    <s v="TE-SYLA"/>
    <x v="94"/>
    <n v="67"/>
    <m/>
    <m/>
    <x v="44"/>
    <s v="TE-SYLA"/>
    <x v="5"/>
    <s v="M-ONE Sanitar Silikon"/>
    <n v="12"/>
    <x v="1"/>
    <n v="0.17"/>
  </r>
  <r>
    <s v="TE-SYLA"/>
    <x v="94"/>
    <m/>
    <m/>
    <m/>
    <x v="44"/>
    <s v="TE-SYLA"/>
    <x v="16"/>
    <s v="Fettspray"/>
    <n v="2"/>
    <x v="1"/>
    <n v="0.2"/>
  </r>
  <r>
    <s v="TE-SYLA"/>
    <x v="94"/>
    <m/>
    <m/>
    <m/>
    <x v="44"/>
    <s v="TE-SYLA"/>
    <x v="13"/>
    <s v="M ONE MOTORSTART"/>
    <n v="2"/>
    <x v="1"/>
    <n v="0.2"/>
  </r>
  <r>
    <s v="TE-SYLA"/>
    <x v="94"/>
    <m/>
    <m/>
    <m/>
    <x v="44"/>
    <s v="TE-SYLA"/>
    <x v="34"/>
    <s v="M ONE FELGENSILBER"/>
    <n v="2"/>
    <x v="1"/>
    <n v="0.15"/>
  </r>
  <r>
    <s v="UNIKA"/>
    <x v="94"/>
    <n v="144"/>
    <m/>
    <m/>
    <x v="43"/>
    <s v="UNIKA"/>
    <x v="3"/>
    <s v="M-ONE Sanitar Silikon"/>
    <n v="24"/>
    <x v="1"/>
    <n v="0.17"/>
  </r>
  <r>
    <s v="UNIKA"/>
    <x v="94"/>
    <m/>
    <m/>
    <m/>
    <x v="43"/>
    <s v="UNIKA"/>
    <x v="20"/>
    <s v="M-ONE Sanitar Silikon"/>
    <n v="12"/>
    <x v="1"/>
    <n v="0.17"/>
  </r>
  <r>
    <s v="JETARI"/>
    <x v="95"/>
    <n v="96"/>
    <m/>
    <m/>
    <x v="87"/>
    <s v="JETARI"/>
    <x v="20"/>
    <s v="M-ONE Sanitar Silikon"/>
    <n v="12"/>
    <x v="0"/>
    <n v="0.17"/>
  </r>
  <r>
    <s v="JETARI"/>
    <x v="95"/>
    <m/>
    <m/>
    <m/>
    <x v="87"/>
    <s v="JETARI"/>
    <x v="2"/>
    <s v="M-ONE Sanitar Silikon"/>
    <n v="12"/>
    <x v="0"/>
    <n v="0.17"/>
  </r>
  <r>
    <s v="BOSCH"/>
    <x v="95"/>
    <n v="86.2"/>
    <m/>
    <m/>
    <x v="167"/>
    <s v="BOSCH"/>
    <x v="7"/>
    <s v="DICHTUNG"/>
    <n v="12"/>
    <x v="0"/>
    <n v="0.2"/>
  </r>
  <r>
    <s v="BESI COM"/>
    <x v="95"/>
    <n v="39"/>
    <m/>
    <m/>
    <x v="51"/>
    <s v="BESI COM"/>
    <x v="16"/>
    <s v="Fettspray"/>
    <n v="6"/>
    <x v="0"/>
    <n v="0.2"/>
  </r>
  <r>
    <s v="BESI COM"/>
    <x v="95"/>
    <m/>
    <m/>
    <m/>
    <x v="51"/>
    <s v="BESI COM"/>
    <x v="23"/>
    <s v="M ONE HAFTGRUND"/>
    <n v="3"/>
    <x v="0"/>
    <n v="0.15"/>
  </r>
  <r>
    <s v="BESI COM"/>
    <x v="95"/>
    <m/>
    <m/>
    <m/>
    <x v="51"/>
    <s v="BESI COM"/>
    <x v="12"/>
    <s v="beMAKER Rostlöser"/>
    <n v="6"/>
    <x v="0"/>
    <n v="0.2"/>
  </r>
  <r>
    <s v="QELA"/>
    <x v="95"/>
    <n v="96"/>
    <m/>
    <m/>
    <x v="50"/>
    <s v="QELA"/>
    <x v="0"/>
    <s v="M-ONE Sanitar Silikon"/>
    <n v="12"/>
    <x v="0"/>
    <n v="0.17"/>
  </r>
  <r>
    <s v="QELA"/>
    <x v="95"/>
    <m/>
    <m/>
    <m/>
    <x v="50"/>
    <s v="QELA"/>
    <x v="3"/>
    <s v="M-ONE Sanitar Silikon"/>
    <n v="12"/>
    <x v="0"/>
    <n v="0.17"/>
  </r>
  <r>
    <s v="KADIJOLLET"/>
    <x v="95"/>
    <n v="140.80000000000001"/>
    <m/>
    <m/>
    <x v="49"/>
    <s v="KADIJOLLET"/>
    <x v="9"/>
    <s v="M-ONE Sanitar Silikon"/>
    <n v="12"/>
    <x v="0"/>
    <n v="0.17"/>
  </r>
  <r>
    <s v="KADIJOLLET"/>
    <x v="95"/>
    <m/>
    <m/>
    <m/>
    <x v="49"/>
    <s v="KADIJOLLET"/>
    <x v="2"/>
    <s v="M-ONE Sanitar Silikon"/>
    <n v="12"/>
    <x v="0"/>
    <n v="0.17"/>
  </r>
  <r>
    <s v="KADIJOLLET"/>
    <x v="95"/>
    <m/>
    <m/>
    <m/>
    <x v="49"/>
    <s v="KADIJOLLET"/>
    <x v="7"/>
    <s v="DICHTUNG"/>
    <n v="4"/>
    <x v="0"/>
    <n v="0.2"/>
  </r>
  <r>
    <s v="KADIJOLLET"/>
    <x v="95"/>
    <m/>
    <m/>
    <m/>
    <x v="49"/>
    <s v="KADIJOLLET"/>
    <x v="17"/>
    <s v="M ONE UBS"/>
    <n v="4"/>
    <x v="0"/>
    <n v="0.2"/>
  </r>
  <r>
    <s v="ARENA ENGINEERING N.T.P"/>
    <x v="95"/>
    <n v="1008"/>
    <m/>
    <m/>
    <x v="204"/>
    <s v="ARENA ENGINEERING N.T.P"/>
    <x v="48"/>
    <s v="Zink Spray Hell"/>
    <n v="240"/>
    <x v="2"/>
    <n v="0.2"/>
  </r>
  <r>
    <s v="BAU MIX FATONI"/>
    <x v="95"/>
    <n v="48"/>
    <m/>
    <m/>
    <x v="198"/>
    <s v="BAU MIX FATONI"/>
    <x v="1"/>
    <s v="M-ONE Sanitar Silikon"/>
    <n v="12"/>
    <x v="2"/>
    <n v="0.17"/>
  </r>
  <r>
    <s v="KENA COMERC"/>
    <x v="95"/>
    <n v="96"/>
    <m/>
    <m/>
    <x v="52"/>
    <s v="KENA COMERC"/>
    <x v="25"/>
    <s v="M-ONE Sanitar Silikon"/>
    <n v="12"/>
    <x v="1"/>
    <n v="0.17"/>
  </r>
  <r>
    <s v="KENA COMERC"/>
    <x v="95"/>
    <m/>
    <m/>
    <m/>
    <x v="52"/>
    <s v="KENA COMERC"/>
    <x v="9"/>
    <s v="M-ONE Sanitar Silikon"/>
    <n v="12"/>
    <x v="1"/>
    <n v="0.17"/>
  </r>
  <r>
    <s v="TERMO PROJEKT"/>
    <x v="95"/>
    <n v="165.6"/>
    <m/>
    <m/>
    <x v="56"/>
    <s v="TERMO PROJEKT"/>
    <x v="6"/>
    <s v="M-ONE Sanitar Silikon"/>
    <n v="12"/>
    <x v="1"/>
    <n v="0.17"/>
  </r>
  <r>
    <s v="TERMO PROJEKT"/>
    <x v="95"/>
    <m/>
    <m/>
    <m/>
    <x v="56"/>
    <s v="TERMO PROJEKT"/>
    <x v="2"/>
    <s v="M-ONE Sanitar Silikon"/>
    <n v="12"/>
    <x v="1"/>
    <n v="0.17"/>
  </r>
  <r>
    <s v="TERMO PROJEKT"/>
    <x v="95"/>
    <m/>
    <m/>
    <m/>
    <x v="56"/>
    <s v="TERMO PROJEKT"/>
    <x v="10"/>
    <s v="PROFIMONT EXTREME"/>
    <n v="12"/>
    <x v="1"/>
    <n v="0.2"/>
  </r>
  <r>
    <s v="KTHIMI"/>
    <x v="95"/>
    <n v="63"/>
    <m/>
    <m/>
    <x v="57"/>
    <s v="KTHIMI"/>
    <x v="20"/>
    <s v="M-ONE Sanitar Silikon"/>
    <n v="12"/>
    <x v="1"/>
    <n v="0.17"/>
  </r>
  <r>
    <s v="KTHIMI"/>
    <x v="95"/>
    <m/>
    <m/>
    <m/>
    <x v="57"/>
    <s v="KTHIMI"/>
    <x v="22"/>
    <s v="universal akryl"/>
    <n v="12"/>
    <x v="1"/>
    <n v="0.06"/>
  </r>
  <r>
    <s v="LULI-C"/>
    <x v="95"/>
    <n v="123.6"/>
    <m/>
    <m/>
    <x v="54"/>
    <s v="LULI-C"/>
    <x v="4"/>
    <s v="M-ONE Sanitar Silikon"/>
    <n v="12"/>
    <x v="1"/>
    <n v="0.17"/>
  </r>
  <r>
    <s v="LULI-C"/>
    <x v="95"/>
    <m/>
    <m/>
    <m/>
    <x v="54"/>
    <s v="LULI-C"/>
    <x v="0"/>
    <s v="M-ONE Sanitar Silikon"/>
    <n v="12"/>
    <x v="1"/>
    <n v="0.17"/>
  </r>
  <r>
    <s v="LULI-C"/>
    <x v="95"/>
    <m/>
    <m/>
    <m/>
    <x v="54"/>
    <s v="LULI-C"/>
    <x v="8"/>
    <s v="struktural akryl"/>
    <n v="12"/>
    <x v="1"/>
    <n v="0.06"/>
  </r>
  <r>
    <s v="CAMA BAU"/>
    <x v="95"/>
    <n v="144"/>
    <m/>
    <m/>
    <x v="55"/>
    <s v="CAMA BAU"/>
    <x v="6"/>
    <s v="M-ONE Sanitar Silikon"/>
    <n v="12"/>
    <x v="1"/>
    <n v="0.17"/>
  </r>
  <r>
    <s v="CAMA BAU"/>
    <x v="95"/>
    <m/>
    <m/>
    <m/>
    <x v="55"/>
    <s v="CAMA BAU"/>
    <x v="25"/>
    <s v="M-ONE Sanitar Silikon"/>
    <n v="12"/>
    <x v="1"/>
    <n v="0.17"/>
  </r>
  <r>
    <s v="CAMA BAU"/>
    <x v="95"/>
    <m/>
    <m/>
    <m/>
    <x v="55"/>
    <s v="CAMA BAU"/>
    <x v="9"/>
    <s v="M-ONE Sanitar Silikon"/>
    <n v="12"/>
    <x v="1"/>
    <n v="0.17"/>
  </r>
  <r>
    <s v="TE BESIMI"/>
    <x v="95"/>
    <n v="106"/>
    <m/>
    <m/>
    <x v="70"/>
    <s v="TE BESIMI"/>
    <x v="5"/>
    <s v="M-ONE Sanitar Silikon"/>
    <n v="12"/>
    <x v="1"/>
    <n v="0.17"/>
  </r>
  <r>
    <s v="TE BESIMI"/>
    <x v="95"/>
    <m/>
    <m/>
    <m/>
    <x v="70"/>
    <s v="TE BESIMI"/>
    <x v="18"/>
    <s v="M-ONE Sanitar Silikon"/>
    <n v="12"/>
    <x v="1"/>
    <n v="0.17"/>
  </r>
  <r>
    <s v="TE BESIMI"/>
    <x v="95"/>
    <m/>
    <m/>
    <m/>
    <x v="70"/>
    <s v="TE BESIMI"/>
    <x v="24"/>
    <s v="M ONE SILIKON SPRAY"/>
    <n v="2"/>
    <x v="1"/>
    <n v="0.2"/>
  </r>
  <r>
    <s v="TE BESIMI"/>
    <x v="95"/>
    <m/>
    <m/>
    <m/>
    <x v="70"/>
    <s v="TE BESIMI"/>
    <x v="14"/>
    <s v="beMAKER Bremsen&amp;Teile Reininger"/>
    <n v="2"/>
    <x v="1"/>
    <n v="0.2"/>
  </r>
  <r>
    <s v="AFRIMI-AG"/>
    <x v="95"/>
    <n v="192"/>
    <m/>
    <m/>
    <x v="69"/>
    <s v="AFRIMI-AG"/>
    <x v="5"/>
    <s v="M-ONE Sanitar Silikon"/>
    <n v="24"/>
    <x v="1"/>
    <n v="0.17"/>
  </r>
  <r>
    <s v="AFRIMI-AG"/>
    <x v="95"/>
    <m/>
    <m/>
    <m/>
    <x v="69"/>
    <s v="AFRIMI-AG"/>
    <x v="9"/>
    <s v="M-ONE Sanitar Silikon"/>
    <n v="24"/>
    <x v="1"/>
    <n v="0.17"/>
  </r>
  <r>
    <s v="KUQI-LKW"/>
    <x v="95"/>
    <n v="65.400000000000006"/>
    <m/>
    <m/>
    <x v="120"/>
    <s v="KUQI-LKW"/>
    <x v="12"/>
    <s v="beMAKER Rostlöser"/>
    <n v="8"/>
    <x v="1"/>
    <n v="0.2"/>
  </r>
  <r>
    <s v="KUQI-LKW"/>
    <x v="95"/>
    <m/>
    <m/>
    <m/>
    <x v="120"/>
    <s v="KUQI-LKW"/>
    <x v="14"/>
    <s v="beMAKER Bremsen&amp;Teile Reininger"/>
    <n v="6"/>
    <x v="1"/>
    <n v="0.2"/>
  </r>
  <r>
    <s v="KUQI-LKW"/>
    <x v="95"/>
    <m/>
    <m/>
    <m/>
    <x v="120"/>
    <s v="KUQI-LKW"/>
    <x v="34"/>
    <s v="M ONE FELGENSILBER"/>
    <n v="7"/>
    <x v="1"/>
    <n v="0.15"/>
  </r>
  <r>
    <s v="KUQI-LKW"/>
    <x v="95"/>
    <m/>
    <m/>
    <m/>
    <x v="120"/>
    <s v="KUQI-LKW"/>
    <x v="16"/>
    <s v="Fettspray"/>
    <n v="3"/>
    <x v="1"/>
    <n v="0.2"/>
  </r>
  <r>
    <s v="KUQI-LKW"/>
    <x v="95"/>
    <m/>
    <m/>
    <m/>
    <x v="120"/>
    <s v="KUQI-LKW"/>
    <x v="7"/>
    <s v="DICHTUNG"/>
    <n v="2"/>
    <x v="1"/>
    <n v="0.2"/>
  </r>
  <r>
    <s v="INOX 2"/>
    <x v="95"/>
    <n v="144"/>
    <m/>
    <m/>
    <x v="93"/>
    <s v="INOX 2"/>
    <x v="15"/>
    <s v="M-ONE Sanitar Silikon"/>
    <n v="12"/>
    <x v="1"/>
    <n v="0.17"/>
  </r>
  <r>
    <s v="INOX 2"/>
    <x v="95"/>
    <m/>
    <m/>
    <m/>
    <x v="93"/>
    <s v="INOX 2"/>
    <x v="18"/>
    <s v="M-ONE Sanitar Silikon"/>
    <n v="12"/>
    <x v="1"/>
    <n v="0.17"/>
  </r>
  <r>
    <s v="INOX 2"/>
    <x v="95"/>
    <m/>
    <m/>
    <m/>
    <x v="93"/>
    <s v="INOX 2"/>
    <x v="20"/>
    <s v="M-ONE Sanitar Silikon"/>
    <n v="12"/>
    <x v="1"/>
    <n v="0.17"/>
  </r>
  <r>
    <s v="V. GJONAJ"/>
    <x v="95"/>
    <n v="180.6"/>
    <m/>
    <m/>
    <x v="122"/>
    <s v="V. GJONAJ"/>
    <x v="1"/>
    <s v="M-ONE Sanitar Silikon"/>
    <n v="12"/>
    <x v="1"/>
    <n v="0.17"/>
  </r>
  <r>
    <s v="V. GJONAJ"/>
    <x v="95"/>
    <m/>
    <m/>
    <m/>
    <x v="122"/>
    <s v="V. GJONAJ"/>
    <x v="2"/>
    <s v="M-ONE Sanitar Silikon"/>
    <n v="12"/>
    <x v="1"/>
    <n v="0.17"/>
  </r>
  <r>
    <s v="V. GJONAJ"/>
    <x v="95"/>
    <m/>
    <m/>
    <m/>
    <x v="122"/>
    <s v="V. GJONAJ"/>
    <x v="22"/>
    <s v="universal akryl"/>
    <n v="12"/>
    <x v="1"/>
    <n v="0.06"/>
  </r>
  <r>
    <s v="V. GJONAJ"/>
    <x v="95"/>
    <m/>
    <m/>
    <m/>
    <x v="122"/>
    <s v="V. GJONAJ"/>
    <x v="10"/>
    <s v="PROFIMONT EXTREME"/>
    <n v="12"/>
    <x v="1"/>
    <n v="0.2"/>
  </r>
  <r>
    <s v="XHAFA"/>
    <x v="96"/>
    <n v="240"/>
    <m/>
    <m/>
    <x v="61"/>
    <s v="XHAFA"/>
    <x v="1"/>
    <s v="M-ONE Sanitar Silikon"/>
    <n v="24"/>
    <x v="0"/>
    <n v="0.17"/>
  </r>
  <r>
    <s v="XHAFA"/>
    <x v="96"/>
    <m/>
    <m/>
    <m/>
    <x v="61"/>
    <s v="XHAFA"/>
    <x v="18"/>
    <s v="M-ONE Sanitar Silikon"/>
    <n v="12"/>
    <x v="0"/>
    <n v="0.17"/>
  </r>
  <r>
    <s v="XHAFA"/>
    <x v="96"/>
    <m/>
    <m/>
    <m/>
    <x v="61"/>
    <s v="XHAFA"/>
    <x v="20"/>
    <s v="M-ONE Sanitar Silikon"/>
    <n v="12"/>
    <x v="0"/>
    <n v="0.17"/>
  </r>
  <r>
    <s v="XHAFA"/>
    <x v="96"/>
    <m/>
    <m/>
    <m/>
    <x v="61"/>
    <s v="XHAFA"/>
    <x v="9"/>
    <s v="M-ONE Sanitar Silikon"/>
    <n v="12"/>
    <x v="0"/>
    <n v="0.17"/>
  </r>
  <r>
    <s v="MONI 2"/>
    <x v="96"/>
    <n v="258.60000000000002"/>
    <m/>
    <m/>
    <x v="60"/>
    <s v="MONI 2"/>
    <x v="3"/>
    <s v="M-ONE Sanitar Silikon"/>
    <n v="24"/>
    <x v="0"/>
    <n v="0.17"/>
  </r>
  <r>
    <s v="MONI 2"/>
    <x v="96"/>
    <m/>
    <m/>
    <m/>
    <x v="60"/>
    <s v="MONI 2"/>
    <x v="6"/>
    <s v="M-ONE Sanitar Silikon"/>
    <n v="24"/>
    <x v="0"/>
    <n v="0.17"/>
  </r>
  <r>
    <s v="MONI 2"/>
    <x v="96"/>
    <m/>
    <m/>
    <m/>
    <x v="60"/>
    <s v="MONI 2"/>
    <x v="15"/>
    <s v="M-ONE Sanitar Silikon"/>
    <n v="12"/>
    <x v="0"/>
    <n v="0.17"/>
  </r>
  <r>
    <s v="MONI 2"/>
    <x v="96"/>
    <m/>
    <m/>
    <m/>
    <x v="60"/>
    <s v="MONI 2"/>
    <x v="8"/>
    <s v="struktural akryl"/>
    <n v="12"/>
    <x v="0"/>
    <n v="0.06"/>
  </r>
  <r>
    <s v="ARPO"/>
    <x v="96"/>
    <n v="96"/>
    <m/>
    <m/>
    <x v="64"/>
    <s v="ARPO"/>
    <x v="25"/>
    <s v="M-ONE Sanitar Silikon"/>
    <n v="24"/>
    <x v="0"/>
    <n v="0.17"/>
  </r>
  <r>
    <s v="ARPO"/>
    <x v="96"/>
    <m/>
    <m/>
    <m/>
    <x v="64"/>
    <s v="ARPO"/>
    <x v="3"/>
    <s v="M-ONE Sanitar Silikon"/>
    <n v="12"/>
    <x v="0"/>
    <n v="0.17"/>
  </r>
  <r>
    <s v="ARPO"/>
    <x v="96"/>
    <m/>
    <m/>
    <m/>
    <x v="64"/>
    <s v="ARPO"/>
    <x v="0"/>
    <s v="M-ONE Sanitar Silikon"/>
    <n v="12"/>
    <x v="0"/>
    <n v="0.17"/>
  </r>
  <r>
    <s v="ARPO"/>
    <x v="96"/>
    <m/>
    <m/>
    <m/>
    <x v="64"/>
    <s v="ARPO"/>
    <x v="1"/>
    <s v="M-ONE Sanitar Silikon"/>
    <n v="24"/>
    <x v="0"/>
    <n v="0.17"/>
  </r>
  <r>
    <s v="GIMI"/>
    <x v="96"/>
    <n v="192"/>
    <m/>
    <m/>
    <x v="178"/>
    <s v="GIMI"/>
    <x v="4"/>
    <s v="M-ONE Sanitar Silikon"/>
    <n v="24"/>
    <x v="0"/>
    <n v="0.17"/>
  </r>
  <r>
    <s v="GIMI"/>
    <x v="96"/>
    <m/>
    <m/>
    <m/>
    <x v="178"/>
    <s v="GIMI"/>
    <x v="18"/>
    <s v="M-ONE Sanitar Silikon"/>
    <n v="24"/>
    <x v="0"/>
    <n v="0.17"/>
  </r>
  <r>
    <s v="BEK TRADE"/>
    <x v="96"/>
    <n v="96"/>
    <m/>
    <m/>
    <x v="62"/>
    <s v="BEK TRADE"/>
    <x v="4"/>
    <s v="M-ONE Sanitar Silikon"/>
    <n v="12"/>
    <x v="0"/>
    <n v="0.17"/>
  </r>
  <r>
    <s v="BEK TRADE"/>
    <x v="96"/>
    <m/>
    <m/>
    <m/>
    <x v="62"/>
    <s v="BEK TRADE"/>
    <x v="9"/>
    <s v="M-ONE Sanitar Silikon"/>
    <n v="12"/>
    <x v="0"/>
    <n v="0.17"/>
  </r>
  <r>
    <s v="AB SHPK"/>
    <x v="96"/>
    <n v="27.6"/>
    <m/>
    <m/>
    <x v="63"/>
    <s v="AB SHPK"/>
    <x v="8"/>
    <s v="struktural akryl"/>
    <n v="12"/>
    <x v="0"/>
    <n v="0.06"/>
  </r>
  <r>
    <s v="TEMAJ"/>
    <x v="96"/>
    <n v="96"/>
    <m/>
    <m/>
    <x v="91"/>
    <s v="TEMAJ"/>
    <x v="4"/>
    <s v="M-ONE Sanitar Silikon"/>
    <n v="12"/>
    <x v="2"/>
    <n v="0.17"/>
  </r>
  <r>
    <s v="TEMAJ"/>
    <x v="96"/>
    <m/>
    <m/>
    <m/>
    <x v="91"/>
    <s v="TEMAJ"/>
    <x v="15"/>
    <s v="M-ONE Sanitar Silikon"/>
    <n v="12"/>
    <x v="2"/>
    <n v="0.17"/>
  </r>
  <r>
    <s v="DARDANIA"/>
    <x v="97"/>
    <n v="63"/>
    <m/>
    <m/>
    <x v="6"/>
    <s v="DARDANIA"/>
    <x v="15"/>
    <s v="M-ONE Sanitar Silikon"/>
    <n v="12"/>
    <x v="0"/>
    <n v="0.17"/>
  </r>
  <r>
    <s v="DARDANIA"/>
    <x v="97"/>
    <m/>
    <m/>
    <m/>
    <x v="6"/>
    <s v="DARDANIA"/>
    <x v="22"/>
    <s v="universal akryl"/>
    <n v="12"/>
    <x v="0"/>
    <n v="0.06"/>
  </r>
  <r>
    <s v="BURIMI"/>
    <x v="97"/>
    <n v="48"/>
    <m/>
    <m/>
    <x v="5"/>
    <s v="BURIMI"/>
    <x v="0"/>
    <s v="M-ONE Sanitar Silikon"/>
    <n v="12"/>
    <x v="0"/>
    <n v="0.17"/>
  </r>
  <r>
    <s v="BALLKANI"/>
    <x v="97"/>
    <n v="192"/>
    <m/>
    <m/>
    <x v="98"/>
    <s v="BALLKANI"/>
    <x v="1"/>
    <s v="M-ONE Sanitar Silikon"/>
    <n v="48"/>
    <x v="0"/>
    <n v="0.17"/>
  </r>
  <r>
    <s v="BEKA-2"/>
    <x v="97"/>
    <n v="110.4"/>
    <m/>
    <m/>
    <x v="154"/>
    <s v="BEKA-2"/>
    <x v="14"/>
    <s v="beMAKER Bremsen&amp;Teile Reininger"/>
    <n v="12"/>
    <x v="0"/>
    <n v="0.2"/>
  </r>
  <r>
    <s v="BEKA-2"/>
    <x v="97"/>
    <m/>
    <m/>
    <m/>
    <x v="154"/>
    <s v="BEKA-2"/>
    <x v="7"/>
    <s v="DICHTUNG"/>
    <n v="12"/>
    <x v="0"/>
    <n v="0.2"/>
  </r>
  <r>
    <s v="FATMIRI"/>
    <x v="97"/>
    <n v="96"/>
    <m/>
    <m/>
    <x v="124"/>
    <s v="FATMIRI"/>
    <x v="20"/>
    <s v="M-ONE Sanitar Silikon"/>
    <n v="12"/>
    <x v="0"/>
    <n v="0.17"/>
  </r>
  <r>
    <s v="FATMIRI"/>
    <x v="97"/>
    <m/>
    <m/>
    <m/>
    <x v="124"/>
    <s v="FATMIRI"/>
    <x v="9"/>
    <s v="M-ONE Sanitar Silikon"/>
    <n v="12"/>
    <x v="0"/>
    <n v="0.17"/>
  </r>
  <r>
    <s v="ELIONI-1"/>
    <x v="97"/>
    <n v="48"/>
    <m/>
    <m/>
    <x v="97"/>
    <s v="ELIONI-1"/>
    <x v="4"/>
    <s v="M-ONE Sanitar Silikon"/>
    <n v="12"/>
    <x v="0"/>
    <n v="0.17"/>
  </r>
  <r>
    <s v="ERALP"/>
    <x v="97"/>
    <n v="96"/>
    <m/>
    <m/>
    <x v="1"/>
    <s v="ERALP"/>
    <x v="3"/>
    <s v="M-ONE Sanitar Silikon"/>
    <n v="12"/>
    <x v="0"/>
    <n v="0.17"/>
  </r>
  <r>
    <s v="ERALP"/>
    <x v="97"/>
    <m/>
    <m/>
    <m/>
    <x v="1"/>
    <s v="ERALP"/>
    <x v="1"/>
    <s v="M-ONE Sanitar Silikon"/>
    <n v="12"/>
    <x v="0"/>
    <n v="0.17"/>
  </r>
  <r>
    <s v="HAZROLLI"/>
    <x v="97"/>
    <n v="213.6"/>
    <m/>
    <m/>
    <x v="9"/>
    <s v="HAZROLLI"/>
    <x v="3"/>
    <s v="M-ONE Sanitar Silikon"/>
    <n v="12"/>
    <x v="1"/>
    <n v="0.17"/>
  </r>
  <r>
    <s v="HAZROLLI"/>
    <x v="97"/>
    <m/>
    <m/>
    <m/>
    <x v="9"/>
    <s v="HAZROLLI"/>
    <x v="20"/>
    <s v="M-ONE Sanitar Silikon"/>
    <n v="12"/>
    <x v="1"/>
    <n v="0.17"/>
  </r>
  <r>
    <s v="HAZROLLI"/>
    <x v="97"/>
    <m/>
    <m/>
    <m/>
    <x v="9"/>
    <s v="HAZROLLI"/>
    <x v="1"/>
    <s v="M-ONE Sanitar Silikon"/>
    <n v="12"/>
    <x v="1"/>
    <n v="0.17"/>
  </r>
  <r>
    <s v="HAZROLLI"/>
    <x v="97"/>
    <m/>
    <m/>
    <m/>
    <x v="9"/>
    <s v="HAZROLLI"/>
    <x v="10"/>
    <s v="PROFIMONT EXTREME"/>
    <n v="12"/>
    <x v="1"/>
    <n v="0.2"/>
  </r>
  <r>
    <s v="CONDOR"/>
    <x v="97"/>
    <n v="324.60000000000002"/>
    <m/>
    <m/>
    <x v="11"/>
    <s v="CONDOR"/>
    <x v="3"/>
    <s v="M-ONE Sanitar Silikon"/>
    <n v="12"/>
    <x v="1"/>
    <n v="0.17"/>
  </r>
  <r>
    <s v="CONDOR"/>
    <x v="97"/>
    <m/>
    <m/>
    <m/>
    <x v="11"/>
    <s v="CONDOR"/>
    <x v="4"/>
    <s v="M-ONE Sanitar Silikon"/>
    <n v="24"/>
    <x v="1"/>
    <n v="0.17"/>
  </r>
  <r>
    <s v="CONDOR"/>
    <x v="97"/>
    <m/>
    <m/>
    <m/>
    <x v="11"/>
    <s v="CONDOR"/>
    <x v="5"/>
    <s v="M-ONE Sanitar Silikon"/>
    <n v="12"/>
    <x v="1"/>
    <n v="0.17"/>
  </r>
  <r>
    <s v="CONDOR"/>
    <x v="97"/>
    <m/>
    <m/>
    <m/>
    <x v="11"/>
    <s v="CONDOR"/>
    <x v="9"/>
    <s v="M-ONE Sanitar Silikon"/>
    <n v="12"/>
    <x v="1"/>
    <n v="0.17"/>
  </r>
  <r>
    <s v="CONDOR"/>
    <x v="97"/>
    <m/>
    <m/>
    <m/>
    <x v="11"/>
    <s v="CONDOR"/>
    <x v="10"/>
    <s v="PROFIMONT EXTREME"/>
    <n v="12"/>
    <x v="1"/>
    <n v="0.2"/>
  </r>
  <r>
    <s v="CONDOR"/>
    <x v="97"/>
    <m/>
    <m/>
    <m/>
    <x v="11"/>
    <s v="CONDOR"/>
    <x v="23"/>
    <s v="M ONE HAFTGRUND"/>
    <n v="6"/>
    <x v="1"/>
    <n v="0.15"/>
  </r>
  <r>
    <s v="BARDHI-M"/>
    <x v="97"/>
    <n v="111"/>
    <m/>
    <m/>
    <x v="77"/>
    <s v="BARDHI-M"/>
    <x v="0"/>
    <s v="M-ONE Sanitar Silikon"/>
    <n v="12"/>
    <x v="1"/>
    <n v="0.17"/>
  </r>
  <r>
    <s v="BARDHI-M"/>
    <x v="97"/>
    <m/>
    <m/>
    <m/>
    <x v="77"/>
    <s v="BARDHI-M"/>
    <x v="1"/>
    <s v="M-ONE Sanitar Silikon"/>
    <n v="12"/>
    <x v="1"/>
    <n v="0.17"/>
  </r>
  <r>
    <s v="BARDHI-M"/>
    <x v="97"/>
    <m/>
    <m/>
    <m/>
    <x v="77"/>
    <s v="BARDHI-M"/>
    <x v="21"/>
    <s v="M ONE CHROM SPRAY"/>
    <n v="6"/>
    <x v="1"/>
    <n v="0.15"/>
  </r>
  <r>
    <s v="AGRO-FARM"/>
    <x v="97"/>
    <n v="123.6"/>
    <m/>
    <m/>
    <x v="14"/>
    <s v="AGRO-FARM"/>
    <x v="25"/>
    <s v="M-ONE Sanitar Silikon"/>
    <n v="12"/>
    <x v="1"/>
    <n v="0.17"/>
  </r>
  <r>
    <s v="AGRO-FARM"/>
    <x v="97"/>
    <m/>
    <m/>
    <m/>
    <x v="14"/>
    <s v="AGRO-FARM"/>
    <x v="6"/>
    <s v="M-ONE Sanitar Silikon"/>
    <n v="12"/>
    <x v="1"/>
    <n v="0.17"/>
  </r>
  <r>
    <s v="AGRO-FARM"/>
    <x v="97"/>
    <m/>
    <m/>
    <m/>
    <x v="14"/>
    <s v="AGRO-FARM"/>
    <x v="8"/>
    <s v="struktural akryl"/>
    <n v="12"/>
    <x v="1"/>
    <n v="0.06"/>
  </r>
  <r>
    <s v="FITIMI"/>
    <x v="97"/>
    <n v="96"/>
    <m/>
    <m/>
    <x v="16"/>
    <s v="FITIMI"/>
    <x v="0"/>
    <s v="M-ONE Sanitar Silikon"/>
    <n v="12"/>
    <x v="1"/>
    <n v="0.17"/>
  </r>
  <r>
    <s v="FITIMI"/>
    <x v="97"/>
    <m/>
    <m/>
    <m/>
    <x v="16"/>
    <s v="FITIMI"/>
    <x v="5"/>
    <s v="M-ONE Sanitar Silikon"/>
    <n v="12"/>
    <x v="1"/>
    <n v="0.17"/>
  </r>
  <r>
    <s v="SOPAJ"/>
    <x v="97"/>
    <n v="84.6"/>
    <m/>
    <m/>
    <x v="99"/>
    <s v="SOPAJ"/>
    <x v="10"/>
    <s v="PROFIMONT EXTREME"/>
    <n v="12"/>
    <x v="1"/>
    <n v="0.2"/>
  </r>
  <r>
    <s v="SOPAJ"/>
    <x v="97"/>
    <m/>
    <m/>
    <m/>
    <x v="99"/>
    <s v="SOPAJ"/>
    <x v="22"/>
    <s v="universal akryl"/>
    <n v="12"/>
    <x v="1"/>
    <n v="0.06"/>
  </r>
  <r>
    <s v="SHEHU-A"/>
    <x v="97"/>
    <n v="128.4"/>
    <m/>
    <m/>
    <x v="17"/>
    <s v="SHEHU-A"/>
    <x v="7"/>
    <s v="DICHTUNG"/>
    <n v="12"/>
    <x v="1"/>
    <n v="0.2"/>
  </r>
  <r>
    <s v="SHEHU-A"/>
    <x v="97"/>
    <m/>
    <m/>
    <m/>
    <x v="17"/>
    <s v="SHEHU-A"/>
    <x v="13"/>
    <s v="M ONE MOTORSTART"/>
    <n v="6"/>
    <x v="1"/>
    <n v="0.2"/>
  </r>
  <r>
    <s v="SHEHU-A"/>
    <x v="97"/>
    <m/>
    <m/>
    <m/>
    <x v="17"/>
    <s v="SHEHU-A"/>
    <x v="16"/>
    <s v="Fettspray"/>
    <n v="6"/>
    <x v="1"/>
    <n v="0.2"/>
  </r>
  <r>
    <s v="UNIVERZAL"/>
    <x v="98"/>
    <n v="48"/>
    <m/>
    <m/>
    <x v="18"/>
    <s v="UNIVERZAL"/>
    <x v="0"/>
    <s v="M-ONE Sanitar Silikon"/>
    <n v="12"/>
    <x v="0"/>
    <n v="0.17"/>
  </r>
  <r>
    <s v="EURO COM"/>
    <x v="98"/>
    <n v="96"/>
    <m/>
    <m/>
    <x v="19"/>
    <s v="EURO COM"/>
    <x v="0"/>
    <s v="M-ONE Sanitar Silikon"/>
    <n v="12"/>
    <x v="0"/>
    <n v="0.17"/>
  </r>
  <r>
    <s v="EURO COM"/>
    <x v="98"/>
    <m/>
    <m/>
    <m/>
    <x v="19"/>
    <s v="EURO COM"/>
    <x v="20"/>
    <s v="M-ONE Sanitar Silikon"/>
    <n v="12"/>
    <x v="0"/>
    <n v="0.17"/>
  </r>
  <r>
    <s v="AGRONI"/>
    <x v="98"/>
    <n v="34.799999999999997"/>
    <m/>
    <m/>
    <x v="22"/>
    <s v="AGRONI"/>
    <x v="10"/>
    <s v="PROFIMONT EXTREME"/>
    <n v="6"/>
    <x v="0"/>
    <n v="0.2"/>
  </r>
  <r>
    <s v="GRANITI"/>
    <x v="98"/>
    <n v="96"/>
    <m/>
    <m/>
    <x v="80"/>
    <s v="GRANITI"/>
    <x v="4"/>
    <s v="M-ONE Sanitar Silikon"/>
    <n v="12"/>
    <x v="0"/>
    <n v="0.17"/>
  </r>
  <r>
    <s v="GRANITI"/>
    <x v="98"/>
    <m/>
    <m/>
    <m/>
    <x v="80"/>
    <s v="GRANITI"/>
    <x v="6"/>
    <s v="M-ONE Sanitar Silikon"/>
    <n v="12"/>
    <x v="0"/>
    <n v="0.17"/>
  </r>
  <r>
    <s v="VISARI HH"/>
    <x v="98"/>
    <n v="144"/>
    <m/>
    <m/>
    <x v="21"/>
    <s v="VISARI HH"/>
    <x v="5"/>
    <s v="M-ONE Sanitar Silikon"/>
    <n v="12"/>
    <x v="0"/>
    <n v="0.17"/>
  </r>
  <r>
    <s v="VISARI HH"/>
    <x v="98"/>
    <m/>
    <m/>
    <m/>
    <x v="21"/>
    <s v="VISARI HH"/>
    <x v="25"/>
    <s v="M-ONE Sanitar Silikon"/>
    <n v="12"/>
    <x v="0"/>
    <n v="0.17"/>
  </r>
  <r>
    <s v="VISARI HH"/>
    <x v="98"/>
    <m/>
    <m/>
    <m/>
    <x v="21"/>
    <s v="VISARI HH"/>
    <x v="18"/>
    <s v="M-ONE Sanitar Silikon"/>
    <n v="12"/>
    <x v="0"/>
    <n v="0.17"/>
  </r>
  <r>
    <s v="CARRALEVA 2"/>
    <x v="99"/>
    <n v="48"/>
    <m/>
    <m/>
    <x v="23"/>
    <s v="CARRALEVA 2"/>
    <x v="6"/>
    <s v="M-ONE Sanitar Silikon"/>
    <n v="12"/>
    <x v="0"/>
    <n v="0.17"/>
  </r>
  <r>
    <s v="REAL COLOR 2"/>
    <x v="99"/>
    <n v="144"/>
    <m/>
    <m/>
    <x v="26"/>
    <s v="REAL COLOR 2"/>
    <x v="20"/>
    <s v="M-ONE Sanitar Silikon"/>
    <n v="12"/>
    <x v="0"/>
    <n v="0.17"/>
  </r>
  <r>
    <s v="REAL COLOR 2"/>
    <x v="99"/>
    <m/>
    <m/>
    <m/>
    <x v="26"/>
    <s v="REAL COLOR 2"/>
    <x v="1"/>
    <s v="M-ONE Sanitar Silikon"/>
    <n v="12"/>
    <x v="0"/>
    <n v="0.17"/>
  </r>
  <r>
    <s v="REAL COLOR 2"/>
    <x v="99"/>
    <m/>
    <m/>
    <m/>
    <x v="26"/>
    <s v="REAL COLOR 2"/>
    <x v="9"/>
    <s v="M-ONE Sanitar Silikon"/>
    <n v="12"/>
    <x v="0"/>
    <n v="0.17"/>
  </r>
  <r>
    <s v="CARRALEVA 1"/>
    <x v="99"/>
    <n v="96"/>
    <m/>
    <m/>
    <x v="25"/>
    <s v="CARRALEVA 1"/>
    <x v="15"/>
    <s v="M-ONE Sanitar Silikon"/>
    <n v="12"/>
    <x v="0"/>
    <n v="0.17"/>
  </r>
  <r>
    <s v="CARRALEVA 1"/>
    <x v="99"/>
    <m/>
    <m/>
    <m/>
    <x v="25"/>
    <s v="CARRALEVA 1"/>
    <x v="20"/>
    <s v="M-ONE Sanitar Silikon"/>
    <n v="12"/>
    <x v="0"/>
    <n v="0.17"/>
  </r>
  <r>
    <s v="ARDI LIPJAN"/>
    <x v="99"/>
    <n v="100.2"/>
    <m/>
    <m/>
    <x v="27"/>
    <s v="ARDI LIPJAN"/>
    <x v="17"/>
    <s v="M ONE UBS"/>
    <n v="6"/>
    <x v="0"/>
    <n v="0.2"/>
  </r>
  <r>
    <s v="ARDI LIPJAN"/>
    <x v="99"/>
    <m/>
    <m/>
    <m/>
    <x v="27"/>
    <s v="ARDI LIPJAN"/>
    <x v="13"/>
    <s v="M ONE MOTORSTART"/>
    <n v="6"/>
    <x v="0"/>
    <n v="0.2"/>
  </r>
  <r>
    <s v="ARDI LIPJAN"/>
    <x v="99"/>
    <m/>
    <m/>
    <m/>
    <x v="27"/>
    <s v="ARDI LIPJAN"/>
    <x v="35"/>
    <s v="M ONE LACK GRUN"/>
    <n v="6"/>
    <x v="0"/>
    <n v="0.15"/>
  </r>
  <r>
    <s v="ARDI LIPJAN"/>
    <x v="99"/>
    <m/>
    <m/>
    <m/>
    <x v="27"/>
    <s v="ARDI LIPJAN"/>
    <x v="7"/>
    <s v="DICHTUNG"/>
    <n v="6"/>
    <x v="0"/>
    <n v="0.2"/>
  </r>
  <r>
    <s v="ARBERI"/>
    <x v="99"/>
    <n v="144"/>
    <m/>
    <m/>
    <x v="102"/>
    <s v="ARBERI"/>
    <x v="3"/>
    <s v="M-ONE Sanitar Silikon"/>
    <n v="12"/>
    <x v="0"/>
    <n v="0.17"/>
  </r>
  <r>
    <s v="ARBERI"/>
    <x v="99"/>
    <m/>
    <m/>
    <m/>
    <x v="102"/>
    <s v="ARBERI"/>
    <x v="4"/>
    <s v="M-ONE Sanitar Silikon"/>
    <n v="12"/>
    <x v="0"/>
    <n v="0.17"/>
  </r>
  <r>
    <s v="ARBERI"/>
    <x v="99"/>
    <m/>
    <m/>
    <m/>
    <x v="102"/>
    <s v="ARBERI"/>
    <x v="18"/>
    <s v="M-ONE Sanitar Silikon"/>
    <n v="12"/>
    <x v="0"/>
    <n v="0.17"/>
  </r>
  <r>
    <s v="CARRALEVA 1"/>
    <x v="99"/>
    <n v="96"/>
    <m/>
    <m/>
    <x v="25"/>
    <s v="CARRALEVA 1"/>
    <x v="25"/>
    <s v="M-ONE Sanitar Silikon"/>
    <n v="12"/>
    <x v="0"/>
    <n v="0.17"/>
  </r>
  <r>
    <s v="CARRALEVA 1"/>
    <x v="99"/>
    <m/>
    <m/>
    <m/>
    <x v="25"/>
    <s v="CARRALEVA 1"/>
    <x v="2"/>
    <s v="M-ONE Sanitar Silikon"/>
    <n v="12"/>
    <x v="0"/>
    <n v="0.17"/>
  </r>
  <r>
    <s v="RACI"/>
    <x v="99"/>
    <n v="357.6"/>
    <m/>
    <m/>
    <x v="28"/>
    <s v="RACI"/>
    <x v="10"/>
    <s v="PROFIMONT EXTREME"/>
    <n v="12"/>
    <x v="1"/>
    <n v="0.2"/>
  </r>
  <r>
    <s v="RACI"/>
    <x v="99"/>
    <m/>
    <m/>
    <m/>
    <x v="28"/>
    <s v="RACI"/>
    <x v="4"/>
    <s v="M-ONE Sanitar Silikon"/>
    <n v="12"/>
    <x v="1"/>
    <n v="0.17"/>
  </r>
  <r>
    <s v="RACI"/>
    <x v="99"/>
    <m/>
    <m/>
    <m/>
    <x v="28"/>
    <s v="RACI"/>
    <x v="5"/>
    <s v="M-ONE Sanitar Silikon"/>
    <n v="12"/>
    <x v="1"/>
    <n v="0.17"/>
  </r>
  <r>
    <s v="RACI"/>
    <x v="99"/>
    <m/>
    <m/>
    <m/>
    <x v="28"/>
    <s v="RACI"/>
    <x v="15"/>
    <s v="M-ONE Sanitar Silikon"/>
    <n v="12"/>
    <x v="1"/>
    <n v="0.17"/>
  </r>
  <r>
    <s v="RACI"/>
    <x v="99"/>
    <m/>
    <m/>
    <m/>
    <x v="28"/>
    <s v="RACI"/>
    <x v="6"/>
    <s v="M-ONE Sanitar Silikon"/>
    <n v="12"/>
    <x v="1"/>
    <n v="0.17"/>
  </r>
  <r>
    <s v="RACI"/>
    <x v="99"/>
    <m/>
    <m/>
    <m/>
    <x v="28"/>
    <s v="RACI"/>
    <x v="1"/>
    <s v="M-ONE Sanitar Silikon"/>
    <n v="12"/>
    <x v="1"/>
    <n v="0.17"/>
  </r>
  <r>
    <s v="RACI"/>
    <x v="99"/>
    <m/>
    <m/>
    <m/>
    <x v="28"/>
    <s v="RACI"/>
    <x v="9"/>
    <s v="M-ONE Sanitar Silikon"/>
    <n v="12"/>
    <x v="1"/>
    <n v="0.17"/>
  </r>
  <r>
    <s v="LIRIDONA KLINE"/>
    <x v="99"/>
    <n v="240"/>
    <m/>
    <m/>
    <x v="30"/>
    <s v="LIRIDONA KLINE"/>
    <x v="4"/>
    <s v="M-ONE Sanitar Silikon"/>
    <n v="12"/>
    <x v="1"/>
    <n v="0.17"/>
  </r>
  <r>
    <s v="LIRIDONA KLINE"/>
    <x v="99"/>
    <m/>
    <m/>
    <m/>
    <x v="30"/>
    <s v="LIRIDONA KLINE"/>
    <x v="5"/>
    <s v="M-ONE Sanitar Silikon"/>
    <n v="12"/>
    <x v="1"/>
    <n v="0.17"/>
  </r>
  <r>
    <s v="LIRIDONA KLINE"/>
    <x v="99"/>
    <m/>
    <m/>
    <m/>
    <x v="30"/>
    <s v="LIRIDONA KLINE"/>
    <x v="18"/>
    <s v="M-ONE Sanitar Silikon"/>
    <n v="12"/>
    <x v="1"/>
    <n v="0.17"/>
  </r>
  <r>
    <s v="LIRIDONA KLINE"/>
    <x v="99"/>
    <m/>
    <m/>
    <m/>
    <x v="30"/>
    <s v="LIRIDONA KLINE"/>
    <x v="20"/>
    <s v="M-ONE Sanitar Silikon"/>
    <n v="12"/>
    <x v="1"/>
    <n v="0.17"/>
  </r>
  <r>
    <s v="LIRIDONA KLINE"/>
    <x v="99"/>
    <m/>
    <m/>
    <m/>
    <x v="30"/>
    <s v="LIRIDONA KLINE"/>
    <x v="9"/>
    <s v="M-ONE Sanitar Silikon"/>
    <n v="12"/>
    <x v="1"/>
    <n v="0.17"/>
  </r>
  <r>
    <s v="HOXHA"/>
    <x v="99"/>
    <n v="48"/>
    <m/>
    <m/>
    <x v="29"/>
    <s v="HOXHA"/>
    <x v="18"/>
    <s v="M-ONE Sanitar Silikon"/>
    <n v="12"/>
    <x v="1"/>
    <n v="0.17"/>
  </r>
  <r>
    <s v="LIRIDONA HOME"/>
    <x v="99"/>
    <n v="111"/>
    <m/>
    <m/>
    <x v="106"/>
    <s v="LIRIDONA HOME"/>
    <x v="4"/>
    <s v="M-ONE Sanitar Silikon"/>
    <n v="12"/>
    <x v="1"/>
    <n v="0.17"/>
  </r>
  <r>
    <s v="LIRIDONA HOME"/>
    <x v="99"/>
    <m/>
    <m/>
    <m/>
    <x v="106"/>
    <s v="LIRIDONA HOME"/>
    <x v="20"/>
    <s v="M-ONE Sanitar Silikon"/>
    <n v="12"/>
    <x v="1"/>
    <n v="0.17"/>
  </r>
  <r>
    <s v="LIRIDONA HOME"/>
    <x v="99"/>
    <m/>
    <m/>
    <m/>
    <x v="106"/>
    <s v="LIRIDONA HOME"/>
    <x v="22"/>
    <s v="universal akryl"/>
    <n v="12"/>
    <x v="1"/>
    <n v="0.06"/>
  </r>
  <r>
    <s v="LIRIDONA-A"/>
    <x v="99"/>
    <n v="96"/>
    <m/>
    <m/>
    <x v="105"/>
    <s v="LIRIDONA-A"/>
    <x v="5"/>
    <s v="M-ONE Sanitar Silikon"/>
    <n v="12"/>
    <x v="1"/>
    <n v="0.17"/>
  </r>
  <r>
    <s v="LIRIDONA-A"/>
    <x v="99"/>
    <m/>
    <m/>
    <m/>
    <x v="105"/>
    <s v="LIRIDONA-A"/>
    <x v="20"/>
    <s v="M-ONE Sanitar Silikon"/>
    <n v="12"/>
    <x v="1"/>
    <n v="0.17"/>
  </r>
  <r>
    <s v="BERATI A.P. (1)"/>
    <x v="99"/>
    <n v="96.9"/>
    <m/>
    <m/>
    <x v="31"/>
    <s v="BERATI A.P. (1)"/>
    <x v="7"/>
    <s v="DICHTUNG"/>
    <n v="12"/>
    <x v="1"/>
    <n v="0.2"/>
  </r>
  <r>
    <s v="BERATI A.P. (1)"/>
    <x v="99"/>
    <m/>
    <m/>
    <m/>
    <x v="31"/>
    <s v="BERATI A.P. (1)"/>
    <x v="16"/>
    <s v="Fettspray"/>
    <n v="3"/>
    <x v="1"/>
    <n v="0.2"/>
  </r>
  <r>
    <s v="MEGI"/>
    <x v="99"/>
    <n v="157.4"/>
    <m/>
    <m/>
    <x v="33"/>
    <s v="MEGI"/>
    <x v="12"/>
    <s v="beMAKER Rostlöser"/>
    <n v="12"/>
    <x v="1"/>
    <n v="0.2"/>
  </r>
  <r>
    <s v="MEGI"/>
    <x v="99"/>
    <m/>
    <m/>
    <m/>
    <x v="33"/>
    <s v="MEGI"/>
    <x v="7"/>
    <s v="DICHTUNG"/>
    <n v="17"/>
    <x v="1"/>
    <n v="0.2"/>
  </r>
  <r>
    <s v="MEGI"/>
    <x v="99"/>
    <m/>
    <m/>
    <m/>
    <x v="33"/>
    <s v="MEGI"/>
    <x v="17"/>
    <s v="M ONE UBS"/>
    <n v="4"/>
    <x v="1"/>
    <n v="0.2"/>
  </r>
  <r>
    <s v="MEGI"/>
    <x v="99"/>
    <m/>
    <m/>
    <m/>
    <x v="33"/>
    <s v="MEGI"/>
    <x v="44"/>
    <s v="M ONE FUERROT"/>
    <n v="2"/>
    <x v="1"/>
    <n v="0.15"/>
  </r>
  <r>
    <s v="NSM TRADE"/>
    <x v="99"/>
    <n v="50"/>
    <m/>
    <m/>
    <x v="196"/>
    <e v="#N/A"/>
    <x v="12"/>
    <s v="beMAKER Rostlöser"/>
    <n v="6"/>
    <x v="1"/>
    <n v="0.2"/>
  </r>
  <r>
    <s v="NSM TRADE"/>
    <x v="99"/>
    <m/>
    <m/>
    <m/>
    <x v="196"/>
    <e v="#N/A"/>
    <x v="13"/>
    <s v="M ONE MOTORSTART"/>
    <n v="4"/>
    <x v="1"/>
    <n v="0.2"/>
  </r>
  <r>
    <s v="NSM TRADE"/>
    <x v="99"/>
    <m/>
    <m/>
    <m/>
    <x v="196"/>
    <e v="#N/A"/>
    <x v="16"/>
    <s v="Fettspray"/>
    <n v="3"/>
    <x v="1"/>
    <n v="0.2"/>
  </r>
  <r>
    <s v="NSM TRADE"/>
    <x v="99"/>
    <m/>
    <m/>
    <m/>
    <x v="196"/>
    <e v="#N/A"/>
    <x v="24"/>
    <s v="M ONE SILIKON SPRAY"/>
    <n v="2"/>
    <x v="1"/>
    <n v="0.2"/>
  </r>
  <r>
    <s v="NSM TRADE"/>
    <x v="99"/>
    <m/>
    <m/>
    <m/>
    <x v="196"/>
    <e v="#N/A"/>
    <x v="43"/>
    <s v="M ONE SCHWARZ MATT"/>
    <n v="3"/>
    <x v="1"/>
    <n v="0.15"/>
  </r>
  <r>
    <s v="HOXHA"/>
    <x v="100"/>
    <n v="62"/>
    <m/>
    <m/>
    <x v="159"/>
    <s v="HOXHA"/>
    <x v="14"/>
    <s v="beMAKER Bremsen&amp;Teile Reininger"/>
    <n v="12"/>
    <x v="0"/>
    <n v="0.2"/>
  </r>
  <r>
    <s v="HOXHA"/>
    <x v="100"/>
    <m/>
    <m/>
    <m/>
    <x v="159"/>
    <s v="HOXHA"/>
    <x v="12"/>
    <s v="beMAKER Rostlöser"/>
    <n v="12"/>
    <x v="0"/>
    <n v="0.2"/>
  </r>
  <r>
    <s v="HOXHA"/>
    <x v="100"/>
    <m/>
    <m/>
    <m/>
    <x v="159"/>
    <s v="HOXHA"/>
    <x v="16"/>
    <s v="Fettspray"/>
    <n v="4"/>
    <x v="0"/>
    <n v="0.2"/>
  </r>
  <r>
    <s v="ALBANI"/>
    <x v="100"/>
    <n v="96"/>
    <m/>
    <m/>
    <x v="83"/>
    <e v="#N/A"/>
    <x v="15"/>
    <s v="M-ONE Sanitar Silikon"/>
    <n v="12"/>
    <x v="0"/>
    <n v="0.17"/>
  </r>
  <r>
    <s v="ALBANI"/>
    <x v="100"/>
    <m/>
    <m/>
    <m/>
    <x v="83"/>
    <e v="#N/A"/>
    <x v="9"/>
    <s v="M-ONE Sanitar Silikon"/>
    <n v="12"/>
    <x v="0"/>
    <n v="0.17"/>
  </r>
  <r>
    <s v="KUJTA"/>
    <x v="100"/>
    <n v="144"/>
    <m/>
    <m/>
    <x v="36"/>
    <s v="KUJTA"/>
    <x v="18"/>
    <s v="M-ONE Sanitar Silikon"/>
    <n v="12"/>
    <x v="0"/>
    <n v="0.17"/>
  </r>
  <r>
    <s v="KUJTA"/>
    <x v="100"/>
    <m/>
    <m/>
    <m/>
    <x v="36"/>
    <s v="KUJTA"/>
    <x v="2"/>
    <s v="M-ONE Sanitar Silikon"/>
    <n v="12"/>
    <x v="0"/>
    <n v="0.17"/>
  </r>
  <r>
    <s v="KUJTA"/>
    <x v="100"/>
    <m/>
    <m/>
    <m/>
    <x v="36"/>
    <s v="KUJTA"/>
    <x v="9"/>
    <s v="M-ONE Sanitar Silikon"/>
    <n v="12"/>
    <x v="0"/>
    <n v="0.17"/>
  </r>
  <r>
    <s v="ALBANI"/>
    <x v="100"/>
    <n v="96"/>
    <m/>
    <m/>
    <x v="34"/>
    <e v="#N/A"/>
    <x v="0"/>
    <s v="M-ONE Sanitar Silikon"/>
    <n v="12"/>
    <x v="0"/>
    <n v="0.17"/>
  </r>
  <r>
    <s v="ALBANI"/>
    <x v="100"/>
    <m/>
    <m/>
    <m/>
    <x v="34"/>
    <e v="#N/A"/>
    <x v="5"/>
    <s v="M-ONE Sanitar Silikon"/>
    <n v="12"/>
    <x v="0"/>
    <n v="0.17"/>
  </r>
  <r>
    <s v="BECOLOR"/>
    <x v="100"/>
    <n v="27.6"/>
    <m/>
    <m/>
    <x v="37"/>
    <s v="BECOLOR"/>
    <x v="8"/>
    <s v="struktural akryl"/>
    <n v="12"/>
    <x v="0"/>
    <n v="0.06"/>
  </r>
  <r>
    <s v="ERENIKU"/>
    <x v="100"/>
    <n v="123.6"/>
    <m/>
    <m/>
    <x v="92"/>
    <s v="ERENIKU"/>
    <x v="4"/>
    <s v="M-ONE Sanitar Silikon"/>
    <n v="12"/>
    <x v="1"/>
    <n v="0.17"/>
  </r>
  <r>
    <s v="ERENIKU"/>
    <x v="100"/>
    <m/>
    <m/>
    <m/>
    <x v="92"/>
    <s v="ERENIKU"/>
    <x v="1"/>
    <s v="M-ONE Sanitar Silikon"/>
    <n v="12"/>
    <x v="1"/>
    <n v="0.17"/>
  </r>
  <r>
    <s v="ERENIKU"/>
    <x v="100"/>
    <m/>
    <m/>
    <m/>
    <x v="92"/>
    <s v="ERENIKU"/>
    <x v="8"/>
    <s v="struktural akryl"/>
    <n v="12"/>
    <x v="1"/>
    <n v="0.06"/>
  </r>
  <r>
    <s v="TE-SYLA"/>
    <x v="100"/>
    <n v="108"/>
    <m/>
    <m/>
    <x v="44"/>
    <s v="TE-SYLA"/>
    <x v="1"/>
    <s v="M-ONE Sanitar Silikon"/>
    <n v="12"/>
    <x v="1"/>
    <n v="0.17"/>
  </r>
  <r>
    <s v="TE-SYLA"/>
    <x v="100"/>
    <m/>
    <m/>
    <m/>
    <x v="44"/>
    <s v="TE-SYLA"/>
    <x v="9"/>
    <s v="M-ONE Sanitar Silikon"/>
    <n v="12"/>
    <x v="1"/>
    <n v="0.17"/>
  </r>
  <r>
    <s v="TE-SYLA"/>
    <x v="100"/>
    <m/>
    <m/>
    <m/>
    <x v="44"/>
    <s v="TE-SYLA"/>
    <x v="46"/>
    <s v="HAT LACK 800"/>
    <n v="3"/>
    <x v="1"/>
    <n v="0.35"/>
  </r>
  <r>
    <s v="SALIHU CORPORATION"/>
    <x v="100"/>
    <n v="240"/>
    <m/>
    <m/>
    <x v="174"/>
    <e v="#N/A"/>
    <x v="20"/>
    <s v="M-ONE Sanitar Silikon"/>
    <n v="12"/>
    <x v="1"/>
    <n v="0.17"/>
  </r>
  <r>
    <s v="SALIHU CORPORATION"/>
    <x v="100"/>
    <m/>
    <m/>
    <m/>
    <x v="174"/>
    <e v="#N/A"/>
    <x v="5"/>
    <s v="M-ONE Sanitar Silikon"/>
    <n v="12"/>
    <x v="1"/>
    <n v="0.17"/>
  </r>
  <r>
    <s v="SALIHU CORPORATION"/>
    <x v="100"/>
    <m/>
    <m/>
    <m/>
    <x v="174"/>
    <e v="#N/A"/>
    <x v="1"/>
    <s v="M-ONE Sanitar Silikon"/>
    <n v="12"/>
    <x v="1"/>
    <n v="0.17"/>
  </r>
  <r>
    <s v="SALIHU CORPORATION"/>
    <x v="100"/>
    <m/>
    <m/>
    <m/>
    <x v="174"/>
    <e v="#N/A"/>
    <x v="9"/>
    <s v="M-ONE Sanitar Silikon"/>
    <n v="24"/>
    <x v="1"/>
    <n v="0.17"/>
  </r>
  <r>
    <s v="SALIHU CORPORATION"/>
    <x v="100"/>
    <m/>
    <m/>
    <m/>
    <x v="142"/>
    <s v="SALIHU CORPORATION"/>
    <x v="20"/>
    <s v="M-ONE Sanitar Silikon"/>
    <n v="24"/>
    <x v="1"/>
    <n v="0.17"/>
  </r>
  <r>
    <s v="SALIHU CORPORATION"/>
    <x v="100"/>
    <m/>
    <m/>
    <m/>
    <x v="142"/>
    <s v="SALIHU CORPORATION"/>
    <x v="1"/>
    <s v="M-ONE Sanitar Silikon"/>
    <n v="12"/>
    <x v="1"/>
    <n v="0.17"/>
  </r>
  <r>
    <s v="SALIHU CORPORATION"/>
    <x v="100"/>
    <m/>
    <m/>
    <m/>
    <x v="142"/>
    <s v="SALIHU CORPORATION"/>
    <x v="0"/>
    <s v="M-ONE Sanitar Silikon"/>
    <n v="12"/>
    <x v="1"/>
    <n v="0.17"/>
  </r>
  <r>
    <s v="TE-LUTA"/>
    <x v="100"/>
    <n v="187.2"/>
    <m/>
    <m/>
    <x v="131"/>
    <s v="TE-LUTA"/>
    <x v="4"/>
    <s v="M-ONE Sanitar Silikon"/>
    <n v="12"/>
    <x v="1"/>
    <n v="0.17"/>
  </r>
  <r>
    <s v="TE-LUTA"/>
    <x v="100"/>
    <m/>
    <m/>
    <m/>
    <x v="131"/>
    <s v="TE-LUTA"/>
    <x v="5"/>
    <s v="M-ONE Sanitar Silikon"/>
    <n v="12"/>
    <x v="1"/>
    <n v="0.17"/>
  </r>
  <r>
    <s v="TE-LUTA"/>
    <x v="100"/>
    <m/>
    <m/>
    <m/>
    <x v="131"/>
    <s v="TE-LUTA"/>
    <x v="6"/>
    <s v="M-ONE Sanitar Silikon"/>
    <n v="12"/>
    <x v="1"/>
    <n v="0.17"/>
  </r>
  <r>
    <s v="TE-LUTA"/>
    <x v="100"/>
    <m/>
    <m/>
    <m/>
    <x v="131"/>
    <s v="TE-LUTA"/>
    <x v="7"/>
    <s v="DICHTUNG"/>
    <n v="6"/>
    <x v="1"/>
    <n v="0.2"/>
  </r>
  <r>
    <s v="ALMIRI QERAMIKA"/>
    <x v="100"/>
    <n v="96"/>
    <m/>
    <m/>
    <x v="42"/>
    <s v="ALMIRI QERAMIKA"/>
    <x v="4"/>
    <s v="M-ONE Sanitar Silikon"/>
    <n v="12"/>
    <x v="1"/>
    <n v="0.17"/>
  </r>
  <r>
    <s v="ALMIRI QERAMIKA"/>
    <x v="100"/>
    <m/>
    <m/>
    <m/>
    <x v="42"/>
    <s v="ALMIRI QERAMIKA"/>
    <x v="1"/>
    <s v="M-ONE Sanitar Silikon"/>
    <n v="12"/>
    <x v="1"/>
    <n v="0.17"/>
  </r>
  <r>
    <s v="PROMOIN"/>
    <x v="100"/>
    <n v="159"/>
    <m/>
    <m/>
    <x v="117"/>
    <s v="PROMOIN"/>
    <x v="0"/>
    <s v="M-ONE Sanitar Silikon"/>
    <n v="12"/>
    <x v="1"/>
    <n v="0.17"/>
  </r>
  <r>
    <s v="PROMOIN"/>
    <x v="100"/>
    <m/>
    <m/>
    <m/>
    <x v="117"/>
    <s v="PROMOIN"/>
    <x v="15"/>
    <s v="M-ONE Sanitar Silikon"/>
    <n v="12"/>
    <x v="1"/>
    <n v="0.17"/>
  </r>
  <r>
    <s v="PROMOIN"/>
    <x v="100"/>
    <m/>
    <m/>
    <m/>
    <x v="117"/>
    <s v="PROMOIN"/>
    <x v="18"/>
    <s v="M-ONE Sanitar Silikon"/>
    <n v="12"/>
    <x v="1"/>
    <n v="0.17"/>
  </r>
  <r>
    <s v="PROMOIN"/>
    <x v="100"/>
    <m/>
    <m/>
    <m/>
    <x v="117"/>
    <s v="PROMOIN"/>
    <x v="22"/>
    <s v="universal akryl"/>
    <n v="12"/>
    <x v="1"/>
    <n v="0.06"/>
  </r>
  <r>
    <s v="MIX-B"/>
    <x v="100"/>
    <n v="171.6"/>
    <m/>
    <m/>
    <x v="132"/>
    <s v="MIX-B"/>
    <x v="18"/>
    <s v="M-ONE Sanitar Silikon"/>
    <n v="12"/>
    <x v="1"/>
    <n v="0.17"/>
  </r>
  <r>
    <s v="MIX-B"/>
    <x v="100"/>
    <m/>
    <m/>
    <m/>
    <x v="132"/>
    <s v="MIX-B"/>
    <x v="0"/>
    <s v="M-ONE Sanitar Silikon"/>
    <n v="12"/>
    <x v="1"/>
    <n v="0.17"/>
  </r>
  <r>
    <s v="MIX-B"/>
    <x v="100"/>
    <m/>
    <m/>
    <m/>
    <x v="132"/>
    <s v="MIX-B"/>
    <x v="5"/>
    <s v="M-ONE Sanitar Silikon"/>
    <n v="12"/>
    <x v="1"/>
    <n v="0.17"/>
  </r>
  <r>
    <s v="MIX-B"/>
    <x v="100"/>
    <m/>
    <m/>
    <m/>
    <x v="132"/>
    <s v="MIX-B"/>
    <x v="8"/>
    <s v="struktural akryl"/>
    <n v="12"/>
    <x v="1"/>
    <n v="0.06"/>
  </r>
  <r>
    <s v="LTI"/>
    <x v="100"/>
    <n v="96"/>
    <m/>
    <m/>
    <x v="40"/>
    <s v="LTI"/>
    <x v="0"/>
    <s v="M-ONE Sanitar Silikon"/>
    <n v="12"/>
    <x v="1"/>
    <n v="0.17"/>
  </r>
  <r>
    <s v="LTI"/>
    <x v="100"/>
    <m/>
    <m/>
    <m/>
    <x v="40"/>
    <s v="LTI"/>
    <x v="20"/>
    <s v="M-ONE Sanitar Silikon"/>
    <n v="12"/>
    <x v="1"/>
    <n v="0.17"/>
  </r>
  <r>
    <s v="ILIRI QERAMIKA"/>
    <x v="100"/>
    <n v="111"/>
    <m/>
    <m/>
    <x v="41"/>
    <s v="ILIRI QERAMIKA"/>
    <x v="4"/>
    <s v="M-ONE Sanitar Silikon"/>
    <n v="12"/>
    <x v="1"/>
    <n v="0.17"/>
  </r>
  <r>
    <s v="ILIRI QERAMIKA"/>
    <x v="100"/>
    <m/>
    <m/>
    <m/>
    <x v="41"/>
    <s v="ILIRI QERAMIKA"/>
    <x v="0"/>
    <s v="M-ONE Sanitar Silikon"/>
    <n v="12"/>
    <x v="1"/>
    <n v="0.17"/>
  </r>
  <r>
    <s v="ILIRI QERAMIKA"/>
    <x v="100"/>
    <m/>
    <m/>
    <m/>
    <x v="41"/>
    <s v="ILIRI QERAMIKA"/>
    <x v="22"/>
    <s v="universal akryl"/>
    <n v="12"/>
    <x v="1"/>
    <n v="0.06"/>
  </r>
  <r>
    <s v="UNIKA"/>
    <x v="100"/>
    <n v="444"/>
    <m/>
    <m/>
    <x v="43"/>
    <s v="UNIKA"/>
    <x v="10"/>
    <s v="PROFIMONT EXTREME"/>
    <n v="60"/>
    <x v="1"/>
    <n v="0.2"/>
  </r>
  <r>
    <s v="UNIKA"/>
    <x v="100"/>
    <m/>
    <m/>
    <m/>
    <x v="43"/>
    <s v="UNIKA"/>
    <x v="4"/>
    <s v="M-ONE Sanitar Silikon"/>
    <n v="12"/>
    <x v="1"/>
    <n v="0.17"/>
  </r>
  <r>
    <s v="UNIKA"/>
    <x v="100"/>
    <m/>
    <m/>
    <m/>
    <x v="43"/>
    <s v="UNIKA"/>
    <x v="18"/>
    <s v="M-ONE Sanitar Silikon"/>
    <n v="12"/>
    <x v="1"/>
    <n v="0.17"/>
  </r>
  <r>
    <s v="ALFA-QERAMIKA"/>
    <x v="100"/>
    <n v="159"/>
    <m/>
    <m/>
    <x v="115"/>
    <s v="ALFA-QERAMIKA"/>
    <x v="4"/>
    <s v="M-ONE Sanitar Silikon"/>
    <n v="12"/>
    <x v="1"/>
    <n v="0.17"/>
  </r>
  <r>
    <s v="ALFA-QERAMIKA"/>
    <x v="100"/>
    <m/>
    <m/>
    <m/>
    <x v="115"/>
    <s v="ALFA-QERAMIKA"/>
    <x v="0"/>
    <s v="M-ONE Sanitar Silikon"/>
    <n v="12"/>
    <x v="1"/>
    <n v="0.17"/>
  </r>
  <r>
    <s v="ALFA-QERAMIKA"/>
    <x v="100"/>
    <m/>
    <m/>
    <m/>
    <x v="115"/>
    <s v="ALFA-QERAMIKA"/>
    <x v="5"/>
    <s v="M-ONE Sanitar Silikon"/>
    <n v="12"/>
    <x v="1"/>
    <n v="0.17"/>
  </r>
  <r>
    <s v="ALFA-QERAMIKA"/>
    <x v="100"/>
    <m/>
    <m/>
    <m/>
    <x v="115"/>
    <s v="ALFA-QERAMIKA"/>
    <x v="22"/>
    <s v="universal akryl"/>
    <n v="12"/>
    <x v="1"/>
    <n v="0.06"/>
  </r>
  <r>
    <s v="ELEKTROMONT"/>
    <x v="100"/>
    <n v="27"/>
    <m/>
    <m/>
    <x v="188"/>
    <s v="ELEKTROMONT"/>
    <x v="12"/>
    <s v="beMAKER Rostlöser"/>
    <n v="12"/>
    <x v="1"/>
    <n v="0.2"/>
  </r>
  <r>
    <s v="ELEKTROMONT"/>
    <x v="100"/>
    <m/>
    <m/>
    <m/>
    <x v="188"/>
    <s v="ELEKTROMONT"/>
    <x v="24"/>
    <s v="M ONE SILIKON SPRAY"/>
    <n v="1"/>
    <x v="1"/>
    <n v="0.2"/>
  </r>
  <r>
    <s v="KRRABAJ"/>
    <x v="101"/>
    <n v="80"/>
    <m/>
    <m/>
    <x v="183"/>
    <e v="#N/A"/>
    <x v="7"/>
    <s v="DICHTUNG"/>
    <n v="10"/>
    <x v="0"/>
    <n v="0.2"/>
  </r>
  <r>
    <s v="KADIJOLLET"/>
    <x v="101"/>
    <n v="141"/>
    <m/>
    <m/>
    <x v="49"/>
    <s v="KADIJOLLET"/>
    <x v="14"/>
    <s v="beMAKER Bremsen&amp;Teile Reininger"/>
    <n v="12"/>
    <x v="0"/>
    <n v="0.2"/>
  </r>
  <r>
    <s v="KADIJOLLET"/>
    <x v="101"/>
    <m/>
    <m/>
    <m/>
    <x v="49"/>
    <s v="KADIJOLLET"/>
    <x v="12"/>
    <s v="beMAKER Rostlöser"/>
    <n v="3"/>
    <x v="0"/>
    <n v="0.2"/>
  </r>
  <r>
    <s v="KADIJOLLET"/>
    <x v="101"/>
    <m/>
    <m/>
    <m/>
    <x v="49"/>
    <s v="KADIJOLLET"/>
    <x v="18"/>
    <s v="M-ONE Sanitar Silikon"/>
    <n v="12"/>
    <x v="0"/>
    <n v="0.17"/>
  </r>
  <r>
    <s v="KADIJOLLET"/>
    <x v="101"/>
    <m/>
    <m/>
    <m/>
    <x v="49"/>
    <s v="KADIJOLLET"/>
    <x v="20"/>
    <s v="M-ONE Sanitar Silikon"/>
    <n v="12"/>
    <x v="0"/>
    <n v="0.17"/>
  </r>
  <r>
    <s v="KADIJOLLET"/>
    <x v="101"/>
    <m/>
    <m/>
    <m/>
    <x v="49"/>
    <s v="KADIJOLLET"/>
    <x v="22"/>
    <s v="universal akryl"/>
    <n v="12"/>
    <x v="0"/>
    <n v="0.06"/>
  </r>
  <r>
    <s v="QELA"/>
    <x v="101"/>
    <n v="96"/>
    <m/>
    <m/>
    <x v="50"/>
    <s v="QELA"/>
    <x v="1"/>
    <s v="M-ONE Sanitar Silikon"/>
    <n v="12"/>
    <x v="0"/>
    <n v="0.17"/>
  </r>
  <r>
    <s v="QELA"/>
    <x v="101"/>
    <m/>
    <m/>
    <m/>
    <x v="50"/>
    <s v="QELA"/>
    <x v="15"/>
    <s v="M-ONE Sanitar Silikon"/>
    <n v="12"/>
    <x v="0"/>
    <n v="0.17"/>
  </r>
  <r>
    <s v="EURO COLORS"/>
    <x v="101"/>
    <n v="69.599999999999994"/>
    <m/>
    <m/>
    <x v="86"/>
    <s v="EURO COLORS"/>
    <x v="10"/>
    <s v="PROFIMONT EXTREME"/>
    <n v="12"/>
    <x v="0"/>
    <n v="0.2"/>
  </r>
  <r>
    <s v="JETARI"/>
    <x v="101"/>
    <n v="48"/>
    <m/>
    <m/>
    <x v="87"/>
    <s v="JETARI"/>
    <x v="9"/>
    <s v="M-ONE Sanitar Silikon"/>
    <n v="12"/>
    <x v="0"/>
    <n v="0.17"/>
  </r>
  <r>
    <s v="BAU MIX FATONI"/>
    <x v="101"/>
    <n v="48"/>
    <m/>
    <m/>
    <x v="198"/>
    <s v="BAU MIX FATONI"/>
    <x v="0"/>
    <s v="M-ONE Sanitar Silikon"/>
    <n v="12"/>
    <x v="2"/>
    <n v="0.17"/>
  </r>
  <r>
    <s v="KENA COMERC"/>
    <x v="101"/>
    <n v="141"/>
    <m/>
    <m/>
    <x v="52"/>
    <s v="KENA COMERC"/>
    <x v="0"/>
    <s v="M-ONE Sanitar Silikon"/>
    <n v="12"/>
    <x v="1"/>
    <n v="0.17"/>
  </r>
  <r>
    <s v="KENA COMERC"/>
    <x v="101"/>
    <m/>
    <m/>
    <m/>
    <x v="52"/>
    <s v="KENA COMERC"/>
    <x v="1"/>
    <s v="M-ONE Sanitar Silikon"/>
    <n v="12"/>
    <x v="1"/>
    <n v="0.17"/>
  </r>
  <r>
    <s v="KENA COMERC"/>
    <x v="101"/>
    <m/>
    <m/>
    <m/>
    <x v="52"/>
    <s v="KENA COMERC"/>
    <x v="22"/>
    <s v="universal akryl"/>
    <n v="36"/>
    <x v="1"/>
    <n v="0.06"/>
  </r>
  <r>
    <s v="ENESI"/>
    <x v="101"/>
    <n v="96"/>
    <m/>
    <m/>
    <x v="88"/>
    <s v="ENESI"/>
    <x v="6"/>
    <s v="M-ONE Sanitar Silikon"/>
    <n v="12"/>
    <x v="1"/>
    <n v="0.17"/>
  </r>
  <r>
    <s v="ENESI"/>
    <x v="101"/>
    <m/>
    <m/>
    <m/>
    <x v="88"/>
    <s v="ENESI"/>
    <x v="1"/>
    <s v="M-ONE Sanitar Silikon"/>
    <n v="12"/>
    <x v="1"/>
    <n v="0.17"/>
  </r>
  <r>
    <s v="CAMA BAU"/>
    <x v="101"/>
    <n v="192"/>
    <m/>
    <m/>
    <x v="55"/>
    <s v="CAMA BAU"/>
    <x v="4"/>
    <s v="M-ONE Sanitar Silikon"/>
    <n v="12"/>
    <x v="1"/>
    <n v="0.17"/>
  </r>
  <r>
    <s v="CAMA BAU"/>
    <x v="101"/>
    <m/>
    <m/>
    <m/>
    <x v="55"/>
    <s v="CAMA BAU"/>
    <x v="18"/>
    <s v="M-ONE Sanitar Silikon"/>
    <n v="12"/>
    <x v="1"/>
    <n v="0.17"/>
  </r>
  <r>
    <s v="CAMA BAU"/>
    <x v="101"/>
    <m/>
    <m/>
    <m/>
    <x v="55"/>
    <s v="CAMA BAU"/>
    <x v="20"/>
    <s v="M-ONE Sanitar Silikon"/>
    <n v="12"/>
    <x v="1"/>
    <n v="0.17"/>
  </r>
  <r>
    <s v="CAMA BAU"/>
    <x v="101"/>
    <m/>
    <m/>
    <m/>
    <x v="55"/>
    <s v="CAMA BAU"/>
    <x v="2"/>
    <s v="M-ONE Sanitar Silikon"/>
    <n v="12"/>
    <x v="1"/>
    <n v="0.17"/>
  </r>
  <r>
    <s v="LULI-C"/>
    <x v="101"/>
    <n v="250"/>
    <m/>
    <m/>
    <x v="54"/>
    <s v="LULI-C"/>
    <x v="4"/>
    <s v="M-ONE Sanitar Silikon"/>
    <n v="12"/>
    <x v="1"/>
    <n v="0.17"/>
  </r>
  <r>
    <s v="LULI-C"/>
    <x v="101"/>
    <m/>
    <m/>
    <m/>
    <x v="54"/>
    <s v="LULI-C"/>
    <x v="6"/>
    <s v="M-ONE Sanitar Silikon"/>
    <n v="12"/>
    <x v="1"/>
    <n v="0.17"/>
  </r>
  <r>
    <s v="LULI-C"/>
    <x v="101"/>
    <m/>
    <m/>
    <m/>
    <x v="54"/>
    <s v="LULI-C"/>
    <x v="18"/>
    <s v="M-ONE Sanitar Silikon"/>
    <n v="12"/>
    <x v="1"/>
    <n v="0.17"/>
  </r>
  <r>
    <s v="LULI-C"/>
    <x v="101"/>
    <m/>
    <m/>
    <m/>
    <x v="54"/>
    <s v="LULI-C"/>
    <x v="20"/>
    <s v="M-ONE Sanitar Silikon"/>
    <n v="12"/>
    <x v="1"/>
    <n v="0.17"/>
  </r>
  <r>
    <s v="LULI-C"/>
    <x v="101"/>
    <m/>
    <m/>
    <m/>
    <x v="54"/>
    <s v="LULI-C"/>
    <x v="5"/>
    <s v="M-ONE Sanitar Silikon"/>
    <n v="12"/>
    <x v="1"/>
    <n v="0.17"/>
  </r>
  <r>
    <s v="LULI-C"/>
    <x v="101"/>
    <m/>
    <m/>
    <m/>
    <x v="54"/>
    <s v="LULI-C"/>
    <x v="12"/>
    <s v="beMAKER Rostlöser"/>
    <n v="5"/>
    <x v="1"/>
    <n v="0.2"/>
  </r>
  <r>
    <s v="KUQI-LKW"/>
    <x v="101"/>
    <n v="61.5"/>
    <m/>
    <m/>
    <x v="120"/>
    <s v="KUQI-LKW"/>
    <x v="13"/>
    <s v="M ONE MOTORSTART"/>
    <n v="6"/>
    <x v="1"/>
    <n v="0.2"/>
  </r>
  <r>
    <s v="KUQI-LKW"/>
    <x v="101"/>
    <m/>
    <m/>
    <m/>
    <x v="120"/>
    <s v="KUQI-LKW"/>
    <x v="12"/>
    <s v="beMAKER Rostlöser"/>
    <n v="7"/>
    <x v="1"/>
    <n v="0.2"/>
  </r>
  <r>
    <s v="KUQI-LKW"/>
    <x v="101"/>
    <m/>
    <m/>
    <m/>
    <x v="120"/>
    <s v="KUQI-LKW"/>
    <x v="14"/>
    <s v="beMAKER Bremsen&amp;Teile Reininger"/>
    <n v="9"/>
    <x v="1"/>
    <n v="0.2"/>
  </r>
  <r>
    <s v="KUQI-LKW"/>
    <x v="101"/>
    <m/>
    <m/>
    <m/>
    <x v="120"/>
    <s v="KUQI-LKW"/>
    <x v="16"/>
    <s v="Fettspray"/>
    <n v="1"/>
    <x v="1"/>
    <n v="0.2"/>
  </r>
  <r>
    <s v="KUQI-LKW"/>
    <x v="101"/>
    <m/>
    <m/>
    <m/>
    <x v="120"/>
    <s v="KUQI-LKW"/>
    <x v="7"/>
    <s v="DICHTUNG"/>
    <n v="1"/>
    <x v="1"/>
    <n v="0.2"/>
  </r>
  <r>
    <s v="GLOBI TERM"/>
    <x v="101"/>
    <n v="139.19999999999999"/>
    <m/>
    <m/>
    <x v="118"/>
    <s v="GLOBI TERM"/>
    <x v="10"/>
    <s v="PROFIMONT EXTREME"/>
    <n v="24"/>
    <x v="1"/>
    <n v="0.2"/>
  </r>
  <r>
    <s v="KTHIMI"/>
    <x v="101"/>
    <n v="192"/>
    <m/>
    <m/>
    <x v="57"/>
    <s v="KTHIMI"/>
    <x v="4"/>
    <s v="M-ONE Sanitar Silikon"/>
    <n v="36"/>
    <x v="1"/>
    <n v="0.17"/>
  </r>
  <r>
    <s v="KTHIMI"/>
    <x v="101"/>
    <m/>
    <m/>
    <m/>
    <x v="57"/>
    <s v="KTHIMI"/>
    <x v="6"/>
    <s v="M-ONE Sanitar Silikon"/>
    <n v="12"/>
    <x v="1"/>
    <n v="0.17"/>
  </r>
  <r>
    <s v="LNI SHPK"/>
    <x v="101"/>
    <n v="96"/>
    <m/>
    <m/>
    <x v="141"/>
    <s v="LNI SHPK"/>
    <x v="20"/>
    <s v="M-ONE Sanitar Silikon"/>
    <n v="12"/>
    <x v="1"/>
    <n v="0.17"/>
  </r>
  <r>
    <s v="LNI SHPK"/>
    <x v="101"/>
    <m/>
    <m/>
    <m/>
    <x v="141"/>
    <s v="LNI SHPK"/>
    <x v="1"/>
    <s v="M-ONE Sanitar Silikon"/>
    <n v="12"/>
    <x v="1"/>
    <n v="0.17"/>
  </r>
  <r>
    <s v="ARSIMI"/>
    <x v="102"/>
    <n v="480"/>
    <m/>
    <m/>
    <x v="59"/>
    <s v="ARSIMI"/>
    <x v="4"/>
    <s v="M-ONE Sanitar Silikon"/>
    <n v="120"/>
    <x v="0"/>
    <n v="0.17"/>
  </r>
  <r>
    <s v="ARPO"/>
    <x v="102"/>
    <n v="530.4"/>
    <m/>
    <m/>
    <x v="64"/>
    <s v="ARPO"/>
    <x v="18"/>
    <s v="M-ONE Sanitar Silikon"/>
    <n v="24"/>
    <x v="0"/>
    <n v="0.17"/>
  </r>
  <r>
    <s v="ARPO"/>
    <x v="102"/>
    <m/>
    <m/>
    <m/>
    <x v="64"/>
    <s v="ARPO"/>
    <x v="3"/>
    <s v="M-ONE Sanitar Silikon"/>
    <n v="24"/>
    <x v="0"/>
    <n v="0.17"/>
  </r>
  <r>
    <s v="ARPO"/>
    <x v="102"/>
    <m/>
    <m/>
    <m/>
    <x v="64"/>
    <s v="ARPO"/>
    <x v="6"/>
    <s v="M-ONE Sanitar Silikon"/>
    <n v="24"/>
    <x v="0"/>
    <n v="0.17"/>
  </r>
  <r>
    <s v="ARPO"/>
    <x v="102"/>
    <m/>
    <m/>
    <m/>
    <x v="64"/>
    <s v="ARPO"/>
    <x v="0"/>
    <s v="M-ONE Sanitar Silikon"/>
    <n v="12"/>
    <x v="0"/>
    <n v="0.17"/>
  </r>
  <r>
    <s v="ARPO"/>
    <x v="102"/>
    <m/>
    <m/>
    <m/>
    <x v="64"/>
    <s v="ARPO"/>
    <x v="4"/>
    <s v="M-ONE Sanitar Silikon"/>
    <n v="12"/>
    <x v="0"/>
    <n v="0.17"/>
  </r>
  <r>
    <s v="ARPO"/>
    <x v="102"/>
    <m/>
    <m/>
    <m/>
    <x v="64"/>
    <s v="ARPO"/>
    <x v="1"/>
    <s v="M-ONE Sanitar Silikon"/>
    <n v="12"/>
    <x v="0"/>
    <n v="0.17"/>
  </r>
  <r>
    <s v="ARPO"/>
    <x v="102"/>
    <m/>
    <m/>
    <m/>
    <x v="64"/>
    <s v="ARPO"/>
    <x v="9"/>
    <s v="M-ONE Sanitar Silikon"/>
    <n v="12"/>
    <x v="0"/>
    <n v="0.17"/>
  </r>
  <r>
    <s v="ARPO"/>
    <x v="102"/>
    <m/>
    <m/>
    <m/>
    <x v="64"/>
    <s v="ARPO"/>
    <x v="48"/>
    <s v="Zink Spray Hell"/>
    <n v="12"/>
    <x v="0"/>
    <n v="0.2"/>
  </r>
  <r>
    <s v="XHAFA"/>
    <x v="102"/>
    <n v="144"/>
    <m/>
    <m/>
    <x v="61"/>
    <s v="XHAFA"/>
    <x v="4"/>
    <s v="M-ONE Sanitar Silikon"/>
    <n v="12"/>
    <x v="0"/>
    <n v="0.17"/>
  </r>
  <r>
    <s v="XHAFA"/>
    <x v="102"/>
    <m/>
    <m/>
    <m/>
    <x v="61"/>
    <s v="XHAFA"/>
    <x v="1"/>
    <s v="M-ONE Sanitar Silikon"/>
    <n v="12"/>
    <x v="0"/>
    <n v="0.17"/>
  </r>
  <r>
    <s v="XHAFA"/>
    <x v="102"/>
    <m/>
    <m/>
    <m/>
    <x v="61"/>
    <s v="XHAFA"/>
    <x v="15"/>
    <s v="M-ONE Sanitar Silikon"/>
    <n v="12"/>
    <x v="0"/>
    <n v="0.17"/>
  </r>
  <r>
    <s v="BEK TRADE"/>
    <x v="102"/>
    <n v="192"/>
    <m/>
    <m/>
    <x v="62"/>
    <s v="BEK TRADE"/>
    <x v="4"/>
    <s v="M-ONE Sanitar Silikon"/>
    <n v="12"/>
    <x v="0"/>
    <n v="0.17"/>
  </r>
  <r>
    <s v="BEK TRADE"/>
    <x v="102"/>
    <m/>
    <m/>
    <m/>
    <x v="62"/>
    <s v="BEK TRADE"/>
    <x v="1"/>
    <s v="M-ONE Sanitar Silikon"/>
    <n v="12"/>
    <x v="0"/>
    <n v="0.17"/>
  </r>
  <r>
    <s v="BEK TRADE"/>
    <x v="102"/>
    <m/>
    <m/>
    <m/>
    <x v="62"/>
    <s v="BEK TRADE"/>
    <x v="3"/>
    <s v="M-ONE Sanitar Silikon"/>
    <n v="12"/>
    <x v="0"/>
    <n v="0.17"/>
  </r>
  <r>
    <s v="BEK TRADE"/>
    <x v="102"/>
    <m/>
    <m/>
    <m/>
    <x v="62"/>
    <s v="BEK TRADE"/>
    <x v="9"/>
    <s v="M-ONE Sanitar Silikon"/>
    <n v="12"/>
    <x v="0"/>
    <n v="0.17"/>
  </r>
  <r>
    <s v="TEMAJ"/>
    <x v="102"/>
    <n v="144"/>
    <m/>
    <m/>
    <x v="91"/>
    <s v="TEMAJ"/>
    <x v="4"/>
    <s v="M-ONE Sanitar Silikon"/>
    <n v="12"/>
    <x v="2"/>
    <n v="0.17"/>
  </r>
  <r>
    <s v="TEMAJ"/>
    <x v="102"/>
    <m/>
    <m/>
    <m/>
    <x v="91"/>
    <s v="TEMAJ"/>
    <x v="6"/>
    <s v="M-ONE Sanitar Silikon"/>
    <n v="12"/>
    <x v="2"/>
    <n v="0.17"/>
  </r>
  <r>
    <s v="TEMAJ"/>
    <x v="102"/>
    <m/>
    <m/>
    <m/>
    <x v="91"/>
    <s v="TEMAJ"/>
    <x v="5"/>
    <s v="M-ONE Sanitar Silikon"/>
    <n v="12"/>
    <x v="2"/>
    <n v="0.17"/>
  </r>
  <r>
    <s v="PROSAN"/>
    <x v="102"/>
    <n v="96"/>
    <m/>
    <m/>
    <x v="153"/>
    <s v="PROSAN"/>
    <x v="18"/>
    <s v="M-ONE Sanitar Silikon"/>
    <n v="24"/>
    <x v="1"/>
    <n v="0.17"/>
  </r>
  <r>
    <s v="LETAJ"/>
    <x v="102"/>
    <n v="40.5"/>
    <m/>
    <m/>
    <x v="67"/>
    <s v="LETAJ"/>
    <x v="24"/>
    <s v="M ONE SILIKON SPRAY"/>
    <n v="3"/>
    <x v="1"/>
    <n v="0.2"/>
  </r>
  <r>
    <s v="LETAJ"/>
    <x v="102"/>
    <m/>
    <m/>
    <m/>
    <x v="67"/>
    <s v="LETAJ"/>
    <x v="16"/>
    <s v="Fettspray"/>
    <n v="9"/>
    <x v="1"/>
    <n v="0.2"/>
  </r>
  <r>
    <s v="GACAFERI-RG"/>
    <x v="102"/>
    <n v="161.19999999999999"/>
    <m/>
    <m/>
    <x v="161"/>
    <s v="GACAFERI-RG"/>
    <x v="9"/>
    <s v="M-ONE Sanitar Silikon"/>
    <n v="12"/>
    <x v="1"/>
    <n v="0.17"/>
  </r>
  <r>
    <s v="GACAFERI-RG"/>
    <x v="102"/>
    <m/>
    <m/>
    <m/>
    <x v="161"/>
    <s v="GACAFERI-RG"/>
    <x v="10"/>
    <s v="PROFIMONT EXTREME"/>
    <n v="12"/>
    <x v="1"/>
    <n v="0.2"/>
  </r>
  <r>
    <s v="GACAFERI-RG"/>
    <x v="102"/>
    <m/>
    <m/>
    <m/>
    <x v="161"/>
    <s v="GACAFERI-RG"/>
    <x v="8"/>
    <s v="struktural akryl"/>
    <n v="12"/>
    <x v="1"/>
    <n v="0.06"/>
  </r>
  <r>
    <s v="GACAFERI-RG"/>
    <x v="102"/>
    <m/>
    <m/>
    <m/>
    <x v="161"/>
    <s v="GACAFERI-RG"/>
    <x v="7"/>
    <s v="DICHTUNG"/>
    <n v="2"/>
    <x v="1"/>
    <n v="0.2"/>
  </r>
  <r>
    <s v="INOX 2"/>
    <x v="102"/>
    <n v="96"/>
    <m/>
    <m/>
    <x v="93"/>
    <s v="INOX 2"/>
    <x v="0"/>
    <s v="M-ONE Sanitar Silikon"/>
    <n v="12"/>
    <x v="1"/>
    <n v="0.17"/>
  </r>
  <r>
    <s v="INOX 2"/>
    <x v="102"/>
    <m/>
    <m/>
    <m/>
    <x v="93"/>
    <s v="INOX 2"/>
    <x v="5"/>
    <s v="M-ONE Sanitar Silikon"/>
    <n v="12"/>
    <x v="1"/>
    <n v="0.17"/>
  </r>
  <r>
    <s v="INOX 1"/>
    <x v="102"/>
    <n v="111"/>
    <m/>
    <m/>
    <x v="68"/>
    <s v="INOX 1"/>
    <x v="5"/>
    <s v="M-ONE Sanitar Silikon"/>
    <n v="12"/>
    <x v="1"/>
    <n v="0.17"/>
  </r>
  <r>
    <s v="INOX 1"/>
    <x v="102"/>
    <m/>
    <m/>
    <m/>
    <x v="68"/>
    <s v="INOX 1"/>
    <x v="18"/>
    <s v="M-ONE Sanitar Silikon"/>
    <n v="12"/>
    <x v="1"/>
    <n v="0.17"/>
  </r>
  <r>
    <s v="INOX 1"/>
    <x v="102"/>
    <m/>
    <m/>
    <m/>
    <x v="68"/>
    <s v="INOX 1"/>
    <x v="22"/>
    <s v="universal akryl"/>
    <n v="12"/>
    <x v="1"/>
    <n v="0.06"/>
  </r>
  <r>
    <s v="PROSAN"/>
    <x v="102"/>
    <n v="174"/>
    <m/>
    <m/>
    <x v="153"/>
    <s v="PROSAN"/>
    <x v="15"/>
    <s v="M-ONE Sanitar Silikon"/>
    <n v="12"/>
    <x v="1"/>
    <n v="0.17"/>
  </r>
  <r>
    <s v="PROSAN"/>
    <x v="102"/>
    <m/>
    <m/>
    <m/>
    <x v="153"/>
    <s v="PROSAN"/>
    <x v="9"/>
    <s v="M-ONE Sanitar Silikon"/>
    <n v="12"/>
    <x v="1"/>
    <n v="0.17"/>
  </r>
  <r>
    <s v="PROSAN"/>
    <x v="102"/>
    <m/>
    <m/>
    <m/>
    <x v="153"/>
    <s v="PROSAN"/>
    <x v="2"/>
    <s v="M-ONE Sanitar Silikon"/>
    <n v="12"/>
    <x v="1"/>
    <n v="0.17"/>
  </r>
  <r>
    <s v="PROSAN"/>
    <x v="102"/>
    <m/>
    <m/>
    <m/>
    <x v="153"/>
    <s v="PROSAN"/>
    <x v="22"/>
    <s v="universal akryl"/>
    <n v="24"/>
    <x v="1"/>
    <n v="0.06"/>
  </r>
  <r>
    <s v="ERENIKU"/>
    <x v="102"/>
    <n v="111"/>
    <m/>
    <m/>
    <x v="92"/>
    <s v="ERENIKU"/>
    <x v="4"/>
    <s v="M-ONE Sanitar Silikon"/>
    <n v="12"/>
    <x v="1"/>
    <n v="0.17"/>
  </r>
  <r>
    <s v="ERENIKU"/>
    <x v="102"/>
    <m/>
    <m/>
    <m/>
    <x v="92"/>
    <s v="ERENIKU"/>
    <x v="18"/>
    <s v="M-ONE Sanitar Silikon"/>
    <n v="12"/>
    <x v="1"/>
    <n v="0.17"/>
  </r>
  <r>
    <s v="ERENIKU"/>
    <x v="102"/>
    <m/>
    <m/>
    <m/>
    <x v="92"/>
    <s v="ERENIKU"/>
    <x v="22"/>
    <s v="universal akryl"/>
    <n v="12"/>
    <x v="1"/>
    <n v="0.06"/>
  </r>
  <r>
    <s v="AFRIMI-AG"/>
    <x v="102"/>
    <n v="117.6"/>
    <m/>
    <m/>
    <x v="69"/>
    <s v="AFRIMI-AG"/>
    <x v="18"/>
    <s v="M-ONE Sanitar Silikon"/>
    <n v="12"/>
    <x v="1"/>
    <n v="0.17"/>
  </r>
  <r>
    <s v="AFRIMI-AG"/>
    <x v="102"/>
    <m/>
    <m/>
    <m/>
    <x v="69"/>
    <s v="AFRIMI-AG"/>
    <x v="10"/>
    <s v="PROFIMONT EXTREME"/>
    <n v="12"/>
    <x v="1"/>
    <n v="0.2"/>
  </r>
  <r>
    <s v="TE BESIMI"/>
    <x v="102"/>
    <n v="160.6"/>
    <m/>
    <m/>
    <x v="70"/>
    <s v="TE BESIMI"/>
    <x v="0"/>
    <s v="M-ONE Sanitar Silikon"/>
    <n v="12"/>
    <x v="1"/>
    <n v="0.17"/>
  </r>
  <r>
    <s v="TE BESIMI"/>
    <x v="102"/>
    <m/>
    <m/>
    <m/>
    <x v="70"/>
    <s v="TE BESIMI"/>
    <x v="6"/>
    <s v="M-ONE Sanitar Silikon"/>
    <n v="12"/>
    <x v="1"/>
    <n v="0.17"/>
  </r>
  <r>
    <s v="TE BESIMI"/>
    <x v="102"/>
    <m/>
    <m/>
    <m/>
    <x v="70"/>
    <s v="TE BESIMI"/>
    <x v="22"/>
    <s v="universal akryl"/>
    <n v="12"/>
    <x v="1"/>
    <n v="0.06"/>
  </r>
  <r>
    <s v="TE BESIMI"/>
    <x v="102"/>
    <m/>
    <m/>
    <m/>
    <x v="70"/>
    <s v="TE BESIMI"/>
    <x v="17"/>
    <s v="M ONE UBS"/>
    <n v="4"/>
    <x v="1"/>
    <n v="0.2"/>
  </r>
  <r>
    <s v="TE BESIMI"/>
    <x v="102"/>
    <m/>
    <m/>
    <m/>
    <x v="70"/>
    <s v="TE BESIMI"/>
    <x v="14"/>
    <s v="beMAKER Bremsen&amp;Teile Reininger"/>
    <n v="3"/>
    <x v="1"/>
    <n v="0.2"/>
  </r>
  <r>
    <s v="TE BESIMI"/>
    <x v="102"/>
    <m/>
    <m/>
    <m/>
    <x v="70"/>
    <s v="TE BESIMI"/>
    <x v="8"/>
    <s v="struktural akryl"/>
    <n v="12"/>
    <x v="1"/>
    <n v="0.06"/>
  </r>
  <r>
    <s v="DARDANIA"/>
    <x v="103"/>
    <n v="96"/>
    <m/>
    <m/>
    <x v="6"/>
    <s v="DARDANIA"/>
    <x v="25"/>
    <s v="M-ONE Sanitar Silikon"/>
    <n v="12"/>
    <x v="0"/>
    <n v="0.17"/>
  </r>
  <r>
    <s v="DARDANIA"/>
    <x v="103"/>
    <m/>
    <m/>
    <m/>
    <x v="6"/>
    <s v="DARDANIA"/>
    <x v="20"/>
    <s v="M-ONE Sanitar Silikon"/>
    <n v="12"/>
    <x v="0"/>
    <n v="0.17"/>
  </r>
  <r>
    <s v="BASHKIMI"/>
    <x v="103"/>
    <n v="86.4"/>
    <m/>
    <m/>
    <x v="205"/>
    <s v="BASHKIMI"/>
    <x v="7"/>
    <s v="DICHTUNG"/>
    <n v="12"/>
    <x v="0"/>
    <n v="0.2"/>
  </r>
  <r>
    <s v="BALLKANI"/>
    <x v="103"/>
    <n v="288"/>
    <m/>
    <m/>
    <x v="98"/>
    <s v="BALLKANI"/>
    <x v="1"/>
    <s v="M-ONE Sanitar Silikon"/>
    <n v="48"/>
    <x v="0"/>
    <n v="0.17"/>
  </r>
  <r>
    <s v="BALLKANI"/>
    <x v="103"/>
    <m/>
    <m/>
    <m/>
    <x v="98"/>
    <s v="BALLKANI"/>
    <x v="18"/>
    <s v="M-ONE Sanitar Silikon"/>
    <n v="12"/>
    <x v="0"/>
    <n v="0.17"/>
  </r>
  <r>
    <s v="BALLKANI"/>
    <x v="103"/>
    <m/>
    <m/>
    <m/>
    <x v="98"/>
    <s v="BALLKANI"/>
    <x v="6"/>
    <s v="M-ONE Sanitar Silikon"/>
    <n v="12"/>
    <x v="0"/>
    <n v="0.17"/>
  </r>
  <r>
    <s v="BURIMI"/>
    <x v="103"/>
    <n v="144"/>
    <m/>
    <m/>
    <x v="5"/>
    <s v="BURIMI"/>
    <x v="15"/>
    <s v="M-ONE Sanitar Silikon"/>
    <n v="12"/>
    <x v="0"/>
    <n v="0.17"/>
  </r>
  <r>
    <s v="BURIMI"/>
    <x v="103"/>
    <m/>
    <m/>
    <m/>
    <x v="5"/>
    <s v="BURIMI"/>
    <x v="18"/>
    <s v="M-ONE Sanitar Silikon"/>
    <n v="12"/>
    <x v="0"/>
    <n v="0.17"/>
  </r>
  <r>
    <s v="BURIMI"/>
    <x v="103"/>
    <m/>
    <m/>
    <m/>
    <x v="5"/>
    <s v="BURIMI"/>
    <x v="1"/>
    <s v="M-ONE Sanitar Silikon"/>
    <n v="12"/>
    <x v="0"/>
    <n v="0.17"/>
  </r>
  <r>
    <s v="AME"/>
    <x v="103"/>
    <n v="46.2"/>
    <m/>
    <m/>
    <x v="202"/>
    <s v="AME"/>
    <x v="4"/>
    <s v="M-ONE Sanitar Silikon"/>
    <n v="12"/>
    <x v="0"/>
    <n v="0.17"/>
  </r>
  <r>
    <s v="PARKETI"/>
    <x v="103"/>
    <n v="63"/>
    <m/>
    <m/>
    <x v="4"/>
    <s v="PARKETI"/>
    <x v="2"/>
    <s v="M-ONE Sanitar Silikon"/>
    <n v="12"/>
    <x v="0"/>
    <n v="0.17"/>
  </r>
  <r>
    <s v="PARKETI"/>
    <x v="103"/>
    <m/>
    <m/>
    <m/>
    <x v="4"/>
    <s v="PARKETI"/>
    <x v="22"/>
    <s v="universal akryl"/>
    <n v="12"/>
    <x v="0"/>
    <n v="0.06"/>
  </r>
  <r>
    <s v="GLOBAL NT"/>
    <x v="103"/>
    <n v="111"/>
    <m/>
    <m/>
    <x v="74"/>
    <e v="#N/A"/>
    <x v="20"/>
    <s v="M-ONE Sanitar Silikon"/>
    <n v="12"/>
    <x v="0"/>
    <n v="0.17"/>
  </r>
  <r>
    <s v="GLOBAL NT"/>
    <x v="103"/>
    <m/>
    <m/>
    <m/>
    <x v="74"/>
    <e v="#N/A"/>
    <x v="6"/>
    <s v="M-ONE Sanitar Silikon"/>
    <n v="12"/>
    <x v="0"/>
    <n v="0.17"/>
  </r>
  <r>
    <s v="GLOBAL NT"/>
    <x v="103"/>
    <m/>
    <m/>
    <m/>
    <x v="74"/>
    <e v="#N/A"/>
    <x v="22"/>
    <s v="universal akryl"/>
    <n v="12"/>
    <x v="0"/>
    <n v="0.06"/>
  </r>
  <r>
    <s v="SMIRA COLOR"/>
    <x v="103"/>
    <n v="48"/>
    <m/>
    <m/>
    <x v="185"/>
    <s v="SMIRA COLOR"/>
    <x v="18"/>
    <s v="M-ONE Sanitar Silikon"/>
    <n v="12"/>
    <x v="0"/>
    <n v="0.17"/>
  </r>
  <r>
    <s v="IBAK"/>
    <x v="103"/>
    <n v="144"/>
    <m/>
    <m/>
    <x v="3"/>
    <s v="IBAK"/>
    <x v="1"/>
    <s v="M-ONE Sanitar Silikon"/>
    <n v="36"/>
    <x v="0"/>
    <n v="0.17"/>
  </r>
  <r>
    <s v="BEKA-3"/>
    <x v="103"/>
    <n v="86.4"/>
    <m/>
    <m/>
    <x v="8"/>
    <s v="BEKA-3"/>
    <x v="7"/>
    <s v="DICHTUNG"/>
    <n v="12"/>
    <x v="0"/>
    <n v="0.2"/>
  </r>
  <r>
    <s v="TREND CERAMIKA"/>
    <x v="103"/>
    <n v="96"/>
    <m/>
    <m/>
    <x v="162"/>
    <s v="TREND CERAMIKA"/>
    <x v="4"/>
    <s v="M-ONE Sanitar Silikon"/>
    <n v="24"/>
    <x v="0"/>
    <n v="0.17"/>
  </r>
  <r>
    <s v="HAZROLLI"/>
    <x v="103"/>
    <n v="96"/>
    <m/>
    <m/>
    <x v="9"/>
    <s v="HAZROLLI"/>
    <x v="9"/>
    <s v="M-ONE Sanitar Silikon"/>
    <n v="24"/>
    <x v="1"/>
    <n v="0.17"/>
  </r>
  <r>
    <s v="CONDOR"/>
    <x v="103"/>
    <n v="325.8"/>
    <m/>
    <m/>
    <x v="11"/>
    <s v="CONDOR"/>
    <x v="0"/>
    <s v="M-ONE Sanitar Silikon"/>
    <n v="12"/>
    <x v="1"/>
    <n v="0.17"/>
  </r>
  <r>
    <s v="CONDOR"/>
    <x v="103"/>
    <m/>
    <m/>
    <m/>
    <x v="11"/>
    <s v="CONDOR"/>
    <x v="5"/>
    <s v="M-ONE Sanitar Silikon"/>
    <n v="12"/>
    <x v="1"/>
    <n v="0.17"/>
  </r>
  <r>
    <s v="CONDOR"/>
    <x v="103"/>
    <m/>
    <m/>
    <m/>
    <x v="11"/>
    <s v="CONDOR"/>
    <x v="20"/>
    <s v="M-ONE Sanitar Silikon"/>
    <n v="12"/>
    <x v="1"/>
    <n v="0.17"/>
  </r>
  <r>
    <s v="CONDOR"/>
    <x v="103"/>
    <m/>
    <m/>
    <m/>
    <x v="11"/>
    <s v="CONDOR"/>
    <x v="6"/>
    <s v="M-ONE Sanitar Silikon"/>
    <n v="12"/>
    <x v="1"/>
    <n v="0.17"/>
  </r>
  <r>
    <s v="CONDOR"/>
    <x v="103"/>
    <m/>
    <m/>
    <m/>
    <x v="11"/>
    <s v="CONDOR"/>
    <x v="8"/>
    <s v="struktural akryl"/>
    <n v="36"/>
    <x v="1"/>
    <n v="0.06"/>
  </r>
  <r>
    <s v="CONDOR"/>
    <x v="103"/>
    <m/>
    <m/>
    <m/>
    <x v="11"/>
    <s v="CONDOR"/>
    <x v="42"/>
    <s v="M ONE SCHWARZ GLÄNZED"/>
    <n v="6"/>
    <x v="1"/>
    <n v="0.15"/>
  </r>
  <r>
    <s v="CONDOR"/>
    <x v="103"/>
    <m/>
    <m/>
    <m/>
    <x v="11"/>
    <s v="CONDOR"/>
    <x v="30"/>
    <s v="M ONE ANTHRAZIT"/>
    <n v="6"/>
    <x v="1"/>
    <n v="0.15"/>
  </r>
  <r>
    <s v="CONDOR"/>
    <x v="103"/>
    <m/>
    <m/>
    <m/>
    <x v="11"/>
    <s v="CONDOR"/>
    <x v="16"/>
    <s v="Fettspray"/>
    <n v="6"/>
    <x v="1"/>
    <n v="0.2"/>
  </r>
  <r>
    <s v="BEREQETI"/>
    <x v="103"/>
    <n v="213.6"/>
    <m/>
    <m/>
    <x v="13"/>
    <s v="BEREQETI"/>
    <x v="8"/>
    <s v="struktural akryl"/>
    <n v="72"/>
    <x v="1"/>
    <n v="0.06"/>
  </r>
  <r>
    <s v="BEREQETI"/>
    <x v="103"/>
    <m/>
    <m/>
    <m/>
    <x v="13"/>
    <s v="BEREQETI"/>
    <x v="1"/>
    <s v="M-ONE Sanitar Silikon"/>
    <n v="12"/>
    <x v="1"/>
    <n v="0.17"/>
  </r>
  <r>
    <s v="BARDHI-M"/>
    <x v="103"/>
    <n v="96"/>
    <m/>
    <m/>
    <x v="77"/>
    <s v="BARDHI-M"/>
    <x v="5"/>
    <s v="M-ONE Sanitar Silikon"/>
    <n v="12"/>
    <x v="1"/>
    <n v="0.17"/>
  </r>
  <r>
    <s v="BARDHI-M"/>
    <x v="103"/>
    <m/>
    <m/>
    <m/>
    <x v="77"/>
    <s v="BARDHI-M"/>
    <x v="9"/>
    <s v="M-ONE Sanitar Silikon"/>
    <n v="12"/>
    <x v="1"/>
    <n v="0.17"/>
  </r>
  <r>
    <s v="NITA 3"/>
    <x v="103"/>
    <n v="111"/>
    <m/>
    <m/>
    <x v="15"/>
    <s v="NITA 3"/>
    <x v="18"/>
    <s v="M-ONE Sanitar Silikon"/>
    <n v="12"/>
    <x v="1"/>
    <n v="0.17"/>
  </r>
  <r>
    <s v="NITA 3"/>
    <x v="103"/>
    <m/>
    <m/>
    <m/>
    <x v="15"/>
    <s v="NITA 3"/>
    <x v="20"/>
    <s v="M-ONE Sanitar Silikon"/>
    <n v="12"/>
    <x v="1"/>
    <n v="0.17"/>
  </r>
  <r>
    <s v="NITA 3"/>
    <x v="103"/>
    <m/>
    <m/>
    <m/>
    <x v="15"/>
    <s v="NITA 3"/>
    <x v="22"/>
    <s v="universal akryl"/>
    <n v="12"/>
    <x v="1"/>
    <n v="0.06"/>
  </r>
  <r>
    <s v="DURGUTI 3"/>
    <x v="103"/>
    <n v="171.6"/>
    <m/>
    <m/>
    <x v="12"/>
    <s v="DURGUTI 3"/>
    <x v="0"/>
    <s v="M-ONE Sanitar Silikon"/>
    <n v="12"/>
    <x v="1"/>
    <n v="0.17"/>
  </r>
  <r>
    <s v="DURGUTI 3"/>
    <x v="103"/>
    <m/>
    <m/>
    <m/>
    <x v="12"/>
    <s v="DURGUTI 3"/>
    <x v="5"/>
    <s v="M-ONE Sanitar Silikon"/>
    <n v="12"/>
    <x v="1"/>
    <n v="0.17"/>
  </r>
  <r>
    <s v="DURGUTI 3"/>
    <x v="103"/>
    <m/>
    <m/>
    <m/>
    <x v="12"/>
    <s v="DURGUTI 3"/>
    <x v="9"/>
    <s v="M-ONE Sanitar Silikon"/>
    <n v="12"/>
    <x v="1"/>
    <n v="0.17"/>
  </r>
  <r>
    <s v="DURGUTI 3"/>
    <x v="103"/>
    <m/>
    <m/>
    <m/>
    <x v="12"/>
    <s v="DURGUTI 3"/>
    <x v="8"/>
    <s v="struktural akryl"/>
    <n v="12"/>
    <x v="1"/>
    <n v="0.06"/>
  </r>
  <r>
    <s v="ARTURI"/>
    <x v="103"/>
    <n v="192"/>
    <m/>
    <m/>
    <x v="156"/>
    <s v="ARTURI"/>
    <x v="5"/>
    <s v="M-ONE Sanitar Silikon"/>
    <n v="12"/>
    <x v="1"/>
    <n v="0.17"/>
  </r>
  <r>
    <s v="ARTURI"/>
    <x v="103"/>
    <m/>
    <m/>
    <m/>
    <x v="156"/>
    <s v="ARTURI"/>
    <x v="20"/>
    <s v="M-ONE Sanitar Silikon"/>
    <n v="12"/>
    <x v="1"/>
    <n v="0.17"/>
  </r>
  <r>
    <s v="ARTURI"/>
    <x v="103"/>
    <m/>
    <m/>
    <m/>
    <x v="156"/>
    <s v="ARTURI"/>
    <x v="2"/>
    <s v="M-ONE Sanitar Silikon"/>
    <n v="12"/>
    <x v="1"/>
    <n v="0.17"/>
  </r>
  <r>
    <s v="ARTURI"/>
    <x v="103"/>
    <m/>
    <m/>
    <m/>
    <x v="156"/>
    <s v="ARTURI"/>
    <x v="15"/>
    <s v="M-ONE Sanitar Silikon"/>
    <n v="12"/>
    <x v="1"/>
    <n v="0.17"/>
  </r>
  <r>
    <s v="SHEHU-A"/>
    <x v="103"/>
    <n v="33"/>
    <m/>
    <m/>
    <x v="17"/>
    <s v="SHEHU-A"/>
    <x v="16"/>
    <s v="Fettspray"/>
    <n v="6"/>
    <x v="1"/>
    <n v="0.2"/>
  </r>
  <r>
    <s v="SHEHU-A"/>
    <x v="103"/>
    <m/>
    <m/>
    <m/>
    <x v="17"/>
    <s v="SHEHU-A"/>
    <x v="12"/>
    <s v="beMAKER Rostlöser"/>
    <n v="6"/>
    <x v="1"/>
    <n v="0.2"/>
  </r>
  <r>
    <s v="URA"/>
    <x v="103"/>
    <n v="48"/>
    <m/>
    <m/>
    <x v="78"/>
    <s v="URA"/>
    <x v="4"/>
    <s v="M-ONE Sanitar Silikon"/>
    <n v="12"/>
    <x v="1"/>
    <n v="0.17"/>
  </r>
  <r>
    <s v="SAN KOS"/>
    <x v="104"/>
    <n v="48"/>
    <m/>
    <m/>
    <x v="101"/>
    <s v="SAN KOS"/>
    <x v="18"/>
    <s v="M-ONE Sanitar Silikon"/>
    <n v="12"/>
    <x v="0"/>
    <n v="0.17"/>
  </r>
  <r>
    <s v="GRANITI"/>
    <x v="104"/>
    <n v="27.6"/>
    <m/>
    <m/>
    <x v="80"/>
    <s v="GRANITI"/>
    <x v="8"/>
    <s v="struktural akryl"/>
    <n v="12"/>
    <x v="0"/>
    <n v="0.06"/>
  </r>
  <r>
    <s v="DRCOR"/>
    <x v="104"/>
    <n v="192"/>
    <m/>
    <m/>
    <x v="157"/>
    <s v="DRCOR"/>
    <x v="4"/>
    <s v="M-ONE Sanitar Silikon"/>
    <n v="48"/>
    <x v="0"/>
    <n v="0.17"/>
  </r>
  <r>
    <s v="UNIVERZAL"/>
    <x v="104"/>
    <n v="128.5"/>
    <m/>
    <m/>
    <x v="18"/>
    <s v="UNIVERZAL"/>
    <x v="9"/>
    <s v="M-ONE Sanitar Silikon"/>
    <n v="24"/>
    <x v="0"/>
    <n v="0.17"/>
  </r>
  <r>
    <s v="UNIVERZAL"/>
    <x v="104"/>
    <m/>
    <m/>
    <m/>
    <x v="18"/>
    <s v="UNIVERZAL"/>
    <x v="22"/>
    <s v="universal akryl"/>
    <n v="12"/>
    <x v="0"/>
    <n v="0.06"/>
  </r>
  <r>
    <s v="UNIVERZAL"/>
    <x v="104"/>
    <m/>
    <m/>
    <m/>
    <x v="18"/>
    <s v="UNIVERZAL"/>
    <x v="16"/>
    <s v="Fettspray"/>
    <n v="5"/>
    <x v="0"/>
    <n v="0.2"/>
  </r>
  <r>
    <s v="VISARI HH"/>
    <x v="104"/>
    <n v="96"/>
    <m/>
    <m/>
    <x v="21"/>
    <s v="VISARI HH"/>
    <x v="18"/>
    <s v="M-ONE Sanitar Silikon"/>
    <n v="12"/>
    <x v="0"/>
    <n v="0.17"/>
  </r>
  <r>
    <s v="VISARI HH"/>
    <x v="104"/>
    <m/>
    <m/>
    <m/>
    <x v="21"/>
    <s v="VISARI HH"/>
    <x v="1"/>
    <s v="M-ONE Sanitar Silikon"/>
    <n v="12"/>
    <x v="0"/>
    <n v="0.17"/>
  </r>
  <r>
    <s v="ARDI LIPJAN"/>
    <x v="105"/>
    <n v="24.5"/>
    <m/>
    <m/>
    <x v="27"/>
    <s v="ARDI LIPJAN"/>
    <x v="13"/>
    <s v="M ONE MOTORSTART"/>
    <n v="4"/>
    <x v="0"/>
    <n v="0.2"/>
  </r>
  <r>
    <s v="ARDI LIPJAN"/>
    <x v="105"/>
    <m/>
    <m/>
    <m/>
    <x v="27"/>
    <s v="ARDI LIPJAN"/>
    <x v="16"/>
    <s v="Fettspray"/>
    <n v="3"/>
    <x v="0"/>
    <n v="0.2"/>
  </r>
  <r>
    <s v="CARRALEVA 2"/>
    <x v="105"/>
    <n v="96"/>
    <m/>
    <m/>
    <x v="23"/>
    <s v="CARRALEVA 2"/>
    <x v="4"/>
    <s v="M-ONE Sanitar Silikon"/>
    <n v="12"/>
    <x v="0"/>
    <n v="0.17"/>
  </r>
  <r>
    <s v="CARRALEVA 2"/>
    <x v="105"/>
    <m/>
    <m/>
    <m/>
    <x v="23"/>
    <s v="CARRALEVA 2"/>
    <x v="0"/>
    <s v="M-ONE Sanitar Silikon"/>
    <n v="12"/>
    <x v="0"/>
    <n v="0.17"/>
  </r>
  <r>
    <s v="REAL COLOR 2"/>
    <x v="105"/>
    <n v="144"/>
    <m/>
    <m/>
    <x v="26"/>
    <s v="REAL COLOR 2"/>
    <x v="1"/>
    <s v="M-ONE Sanitar Silikon"/>
    <n v="12"/>
    <x v="0"/>
    <n v="0.17"/>
  </r>
  <r>
    <s v="REAL COLOR 2"/>
    <x v="105"/>
    <m/>
    <m/>
    <m/>
    <x v="26"/>
    <s v="REAL COLOR 2"/>
    <x v="2"/>
    <s v="M-ONE Sanitar Silikon"/>
    <n v="12"/>
    <x v="0"/>
    <n v="0.17"/>
  </r>
  <r>
    <s v="REAL COLOR 2"/>
    <x v="105"/>
    <m/>
    <m/>
    <m/>
    <x v="26"/>
    <s v="REAL COLOR 2"/>
    <x v="20"/>
    <s v="M-ONE Sanitar Silikon"/>
    <n v="12"/>
    <x v="0"/>
    <n v="0.17"/>
  </r>
  <r>
    <s v="LITA"/>
    <x v="105"/>
    <n v="96"/>
    <m/>
    <m/>
    <x v="82"/>
    <s v="LITA"/>
    <x v="5"/>
    <s v="M-ONE Sanitar Silikon"/>
    <n v="12"/>
    <x v="0"/>
    <n v="0.17"/>
  </r>
  <r>
    <s v="LITA"/>
    <x v="105"/>
    <m/>
    <m/>
    <m/>
    <x v="82"/>
    <s v="LITA"/>
    <x v="15"/>
    <s v="M-ONE Sanitar Silikon"/>
    <n v="12"/>
    <x v="0"/>
    <n v="0.17"/>
  </r>
  <r>
    <s v="BEKA"/>
    <x v="105"/>
    <n v="48"/>
    <m/>
    <m/>
    <x v="81"/>
    <s v="BEKA"/>
    <x v="1"/>
    <s v="M-ONE Sanitar Silikon"/>
    <n v="12"/>
    <x v="0"/>
    <n v="0.17"/>
  </r>
  <r>
    <s v="LONI"/>
    <x v="105"/>
    <n v="48"/>
    <m/>
    <m/>
    <x v="24"/>
    <s v="LONI"/>
    <x v="7"/>
    <s v="DICHTUNG"/>
    <n v="5"/>
    <x v="0"/>
    <n v="0.2"/>
  </r>
  <r>
    <s v="LONI"/>
    <x v="105"/>
    <m/>
    <m/>
    <m/>
    <x v="24"/>
    <s v="LONI"/>
    <x v="12"/>
    <s v="beMAKER Rostlöser"/>
    <n v="6"/>
    <x v="0"/>
    <n v="0.2"/>
  </r>
  <r>
    <s v="CARRALEVA 1"/>
    <x v="105"/>
    <n v="144"/>
    <m/>
    <m/>
    <x v="25"/>
    <s v="CARRALEVA 1"/>
    <x v="18"/>
    <s v="M-ONE Sanitar Silikon"/>
    <n v="12"/>
    <x v="0"/>
    <n v="0.17"/>
  </r>
  <r>
    <s v="CARRALEVA 1"/>
    <x v="105"/>
    <m/>
    <m/>
    <m/>
    <x v="25"/>
    <s v="CARRALEVA 1"/>
    <x v="1"/>
    <s v="M-ONE Sanitar Silikon"/>
    <n v="12"/>
    <x v="0"/>
    <n v="0.17"/>
  </r>
  <r>
    <s v="CARRALEVA 1"/>
    <x v="105"/>
    <m/>
    <m/>
    <m/>
    <x v="25"/>
    <s v="CARRALEVA 1"/>
    <x v="4"/>
    <s v="M-ONE Sanitar Silikon"/>
    <n v="12"/>
    <x v="0"/>
    <n v="0.17"/>
  </r>
  <r>
    <s v="ARBENI BIOBLIC"/>
    <x v="105"/>
    <n v="319.5"/>
    <m/>
    <m/>
    <x v="71"/>
    <s v="ARBENI BIOBLIC"/>
    <x v="28"/>
    <s v="BioBlic Universalreiniger"/>
    <n v="190"/>
    <x v="2"/>
    <n v="0.30000000000000004"/>
  </r>
  <r>
    <s v="ARBENI BIOBLIC"/>
    <x v="105"/>
    <m/>
    <m/>
    <m/>
    <x v="71"/>
    <s v="ARBENI BIOBLIC"/>
    <x v="29"/>
    <s v="Blic Blic Sanitärreiniger"/>
    <n v="60"/>
    <x v="2"/>
    <n v="0.30000000000000004"/>
  </r>
  <r>
    <s v="RACI"/>
    <x v="105"/>
    <n v="218"/>
    <m/>
    <m/>
    <x v="28"/>
    <s v="RACI"/>
    <x v="3"/>
    <s v="M-ONE Sanitar Silikon"/>
    <n v="12"/>
    <x v="1"/>
    <n v="0.17"/>
  </r>
  <r>
    <s v="RACI"/>
    <x v="105"/>
    <m/>
    <m/>
    <m/>
    <x v="28"/>
    <s v="RACI"/>
    <x v="0"/>
    <s v="M-ONE Sanitar Silikon"/>
    <n v="12"/>
    <x v="1"/>
    <n v="0.17"/>
  </r>
  <r>
    <s v="RACI"/>
    <x v="105"/>
    <m/>
    <m/>
    <m/>
    <x v="28"/>
    <s v="RACI"/>
    <x v="18"/>
    <s v="M-ONE Sanitar Silikon"/>
    <n v="12"/>
    <x v="1"/>
    <n v="0.17"/>
  </r>
  <r>
    <s v="RACI"/>
    <x v="105"/>
    <m/>
    <m/>
    <m/>
    <x v="28"/>
    <s v="RACI"/>
    <x v="9"/>
    <s v="M-ONE Sanitar Silikon"/>
    <n v="12"/>
    <x v="1"/>
    <n v="0.17"/>
  </r>
  <r>
    <s v="RACI"/>
    <x v="105"/>
    <m/>
    <m/>
    <m/>
    <x v="28"/>
    <s v="RACI"/>
    <x v="16"/>
    <s v="Fettspray"/>
    <n v="4"/>
    <x v="1"/>
    <n v="0.2"/>
  </r>
  <r>
    <s v="RACI"/>
    <x v="105"/>
    <m/>
    <m/>
    <m/>
    <x v="28"/>
    <s v="RACI"/>
    <x v="24"/>
    <s v="M ONE SILIKON SPRAY"/>
    <n v="4"/>
    <x v="1"/>
    <n v="0.2"/>
  </r>
  <r>
    <s v="LIRIDONA KLINE"/>
    <x v="105"/>
    <n v="384"/>
    <m/>
    <m/>
    <x v="30"/>
    <s v="LIRIDONA KLINE"/>
    <x v="4"/>
    <s v="M-ONE Sanitar Silikon"/>
    <n v="24"/>
    <x v="1"/>
    <n v="0.17"/>
  </r>
  <r>
    <s v="LIRIDONA KLINE"/>
    <x v="105"/>
    <m/>
    <m/>
    <m/>
    <x v="30"/>
    <s v="LIRIDONA KLINE"/>
    <x v="1"/>
    <s v="M-ONE Sanitar Silikon"/>
    <n v="24"/>
    <x v="1"/>
    <n v="0.17"/>
  </r>
  <r>
    <s v="LIRIDONA KLINE"/>
    <x v="105"/>
    <m/>
    <m/>
    <m/>
    <x v="30"/>
    <s v="LIRIDONA KLINE"/>
    <x v="20"/>
    <s v="M-ONE Sanitar Silikon"/>
    <n v="24"/>
    <x v="1"/>
    <n v="0.17"/>
  </r>
  <r>
    <s v="LIRIDONA KLINE"/>
    <x v="105"/>
    <m/>
    <m/>
    <m/>
    <x v="30"/>
    <s v="LIRIDONA KLINE"/>
    <x v="0"/>
    <s v="M-ONE Sanitar Silikon"/>
    <n v="12"/>
    <x v="1"/>
    <n v="0.17"/>
  </r>
  <r>
    <s v="LIRIDONA KLINE"/>
    <x v="105"/>
    <m/>
    <m/>
    <m/>
    <x v="30"/>
    <s v="LIRIDONA KLINE"/>
    <x v="9"/>
    <s v="M-ONE Sanitar Silikon"/>
    <n v="12"/>
    <x v="1"/>
    <n v="0.17"/>
  </r>
  <r>
    <s v="HOXHA"/>
    <x v="105"/>
    <n v="48"/>
    <m/>
    <m/>
    <x v="29"/>
    <s v="HOXHA"/>
    <x v="0"/>
    <s v="M-ONE Sanitar Silikon"/>
    <n v="12"/>
    <x v="1"/>
    <n v="0.17"/>
  </r>
  <r>
    <s v="LIRIDONA HOME"/>
    <x v="105"/>
    <n v="468.6"/>
    <m/>
    <m/>
    <x v="106"/>
    <s v="LIRIDONA HOME"/>
    <x v="4"/>
    <s v="M-ONE Sanitar Silikon"/>
    <n v="48"/>
    <x v="1"/>
    <n v="0.17"/>
  </r>
  <r>
    <s v="LIRIDONA HOME"/>
    <x v="105"/>
    <m/>
    <m/>
    <m/>
    <x v="106"/>
    <s v="LIRIDONA HOME"/>
    <x v="1"/>
    <s v="M-ONE Sanitar Silikon"/>
    <n v="24"/>
    <x v="1"/>
    <n v="0.17"/>
  </r>
  <r>
    <s v="LIRIDONA HOME"/>
    <x v="105"/>
    <m/>
    <m/>
    <m/>
    <x v="106"/>
    <s v="LIRIDONA HOME"/>
    <x v="0"/>
    <s v="M-ONE Sanitar Silikon"/>
    <n v="12"/>
    <x v="1"/>
    <n v="0.17"/>
  </r>
  <r>
    <s v="LIRIDONA HOME"/>
    <x v="105"/>
    <m/>
    <m/>
    <m/>
    <x v="106"/>
    <s v="LIRIDONA HOME"/>
    <x v="9"/>
    <s v="M-ONE Sanitar Silikon"/>
    <n v="12"/>
    <x v="1"/>
    <n v="0.17"/>
  </r>
  <r>
    <s v="LIRIDONA HOME"/>
    <x v="105"/>
    <m/>
    <m/>
    <m/>
    <x v="106"/>
    <s v="LIRIDONA HOME"/>
    <x v="10"/>
    <s v="PROFIMONT EXTREME"/>
    <n v="12"/>
    <x v="1"/>
    <n v="0.2"/>
  </r>
  <r>
    <s v="LIRIDONA HOME"/>
    <x v="105"/>
    <m/>
    <m/>
    <m/>
    <x v="106"/>
    <s v="LIRIDONA HOME"/>
    <x v="22"/>
    <s v="universal akryl"/>
    <n v="12"/>
    <x v="1"/>
    <n v="0.06"/>
  </r>
  <r>
    <s v="BERATI A.P. (1)"/>
    <x v="105"/>
    <n v="113.9"/>
    <m/>
    <m/>
    <x v="31"/>
    <s v="BERATI A.P. (1)"/>
    <x v="7"/>
    <s v="DICHTUNG"/>
    <n v="12"/>
    <x v="1"/>
    <n v="0.2"/>
  </r>
  <r>
    <s v="BERATI A.P. (1)"/>
    <x v="105"/>
    <m/>
    <m/>
    <m/>
    <x v="31"/>
    <s v="BERATI A.P. (1)"/>
    <x v="43"/>
    <s v="M ONE SCHWARZ MATT"/>
    <n v="10"/>
    <x v="1"/>
    <n v="0.15"/>
  </r>
  <r>
    <s v="BERATI A.P. (1)"/>
    <x v="105"/>
    <m/>
    <m/>
    <m/>
    <x v="31"/>
    <s v="BERATI A.P. (1)"/>
    <x v="42"/>
    <s v="M ONE SCHWARZ GLÄNZED"/>
    <n v="5"/>
    <x v="1"/>
    <n v="0.15"/>
  </r>
  <r>
    <s v="LIRIDONA-A"/>
    <x v="105"/>
    <n v="213.6"/>
    <m/>
    <m/>
    <x v="105"/>
    <s v="LIRIDONA-A"/>
    <x v="4"/>
    <s v="M-ONE Sanitar Silikon"/>
    <n v="12"/>
    <x v="1"/>
    <n v="0.17"/>
  </r>
  <r>
    <s v="LIRIDONA-A"/>
    <x v="105"/>
    <m/>
    <m/>
    <m/>
    <x v="105"/>
    <s v="LIRIDONA-A"/>
    <x v="0"/>
    <s v="M-ONE Sanitar Silikon"/>
    <n v="12"/>
    <x v="1"/>
    <n v="0.17"/>
  </r>
  <r>
    <s v="LIRIDONA-A"/>
    <x v="105"/>
    <m/>
    <m/>
    <m/>
    <x v="105"/>
    <s v="LIRIDONA-A"/>
    <x v="1"/>
    <s v="M-ONE Sanitar Silikon"/>
    <n v="12"/>
    <x v="1"/>
    <n v="0.17"/>
  </r>
  <r>
    <s v="LIRIDONA-A"/>
    <x v="105"/>
    <m/>
    <m/>
    <m/>
    <x v="105"/>
    <s v="LIRIDONA-A"/>
    <x v="10"/>
    <s v="PROFIMONT EXTREME"/>
    <n v="12"/>
    <x v="1"/>
    <n v="0.2"/>
  </r>
  <r>
    <s v="TE BENI"/>
    <x v="105"/>
    <n v="192"/>
    <m/>
    <m/>
    <x v="107"/>
    <s v="TE BENI"/>
    <x v="0"/>
    <s v="M-ONE Sanitar Silikon"/>
    <n v="12"/>
    <x v="1"/>
    <n v="0.17"/>
  </r>
  <r>
    <s v="TE BENI"/>
    <x v="105"/>
    <m/>
    <m/>
    <m/>
    <x v="107"/>
    <s v="TE BENI"/>
    <x v="5"/>
    <s v="M-ONE Sanitar Silikon"/>
    <n v="12"/>
    <x v="1"/>
    <n v="0.17"/>
  </r>
  <r>
    <s v="TE BENI"/>
    <x v="105"/>
    <m/>
    <m/>
    <m/>
    <x v="107"/>
    <s v="TE BENI"/>
    <x v="20"/>
    <s v="M-ONE Sanitar Silikon"/>
    <n v="24"/>
    <x v="1"/>
    <n v="0.17"/>
  </r>
  <r>
    <s v="MEGI"/>
    <x v="105"/>
    <n v="51.4"/>
    <m/>
    <m/>
    <x v="33"/>
    <s v="MEGI"/>
    <x v="14"/>
    <s v="beMAKER Bremsen&amp;Teile Reininger"/>
    <n v="6"/>
    <x v="1"/>
    <n v="0.2"/>
  </r>
  <r>
    <s v="MEGI"/>
    <x v="105"/>
    <m/>
    <m/>
    <m/>
    <x v="33"/>
    <s v="MEGI"/>
    <x v="13"/>
    <s v="M ONE MOTORSTART"/>
    <n v="4"/>
    <x v="1"/>
    <n v="0.2"/>
  </r>
  <r>
    <s v="MEGI"/>
    <x v="105"/>
    <m/>
    <m/>
    <m/>
    <x v="33"/>
    <s v="MEGI"/>
    <x v="16"/>
    <s v="Fettspray"/>
    <n v="2"/>
    <x v="1"/>
    <n v="0.2"/>
  </r>
  <r>
    <s v="MEGI"/>
    <x v="105"/>
    <m/>
    <m/>
    <m/>
    <x v="33"/>
    <s v="MEGI"/>
    <x v="7"/>
    <s v="DICHTUNG"/>
    <n v="3"/>
    <x v="1"/>
    <n v="0.2"/>
  </r>
  <r>
    <s v="BENI"/>
    <x v="105"/>
    <n v="60.1"/>
    <m/>
    <m/>
    <x v="32"/>
    <s v="BENI"/>
    <x v="35"/>
    <s v="M ONE LACK GRUN"/>
    <n v="4"/>
    <x v="1"/>
    <n v="0.15"/>
  </r>
  <r>
    <s v="BENI"/>
    <x v="105"/>
    <m/>
    <m/>
    <m/>
    <x v="32"/>
    <s v="BENI"/>
    <x v="39"/>
    <s v="M ONE LACK GELB"/>
    <n v="4"/>
    <x v="1"/>
    <n v="0.15"/>
  </r>
  <r>
    <s v="BENI"/>
    <x v="105"/>
    <m/>
    <m/>
    <m/>
    <x v="32"/>
    <s v="BENI"/>
    <x v="16"/>
    <s v="Fettspray"/>
    <n v="4"/>
    <x v="1"/>
    <n v="0.2"/>
  </r>
  <r>
    <s v="BENI"/>
    <x v="105"/>
    <m/>
    <m/>
    <m/>
    <x v="32"/>
    <s v="BENI"/>
    <x v="34"/>
    <s v="M ONE FELGENSILBER"/>
    <n v="3"/>
    <x v="1"/>
    <n v="0.15"/>
  </r>
  <r>
    <s v="BENI"/>
    <x v="105"/>
    <m/>
    <m/>
    <m/>
    <x v="32"/>
    <s v="BENI"/>
    <x v="43"/>
    <s v="M ONE SCHWARZ MATT"/>
    <n v="2"/>
    <x v="1"/>
    <n v="0.15"/>
  </r>
  <r>
    <s v="BENI"/>
    <x v="105"/>
    <m/>
    <m/>
    <m/>
    <x v="32"/>
    <s v="BENI"/>
    <x v="33"/>
    <s v="beMaker Handwaschpaste"/>
    <n v="8"/>
    <x v="1"/>
    <n v="0.1"/>
  </r>
  <r>
    <s v="TERMIKA"/>
    <x v="105"/>
    <n v="110.5"/>
    <m/>
    <m/>
    <x v="108"/>
    <s v="TERMIKA"/>
    <x v="4"/>
    <s v="M-ONE Sanitar Silikon"/>
    <n v="12"/>
    <x v="1"/>
    <n v="0.17"/>
  </r>
  <r>
    <s v="TERMIKA"/>
    <x v="105"/>
    <m/>
    <m/>
    <m/>
    <x v="108"/>
    <s v="TERMIKA"/>
    <x v="0"/>
    <s v="M-ONE Sanitar Silikon"/>
    <n v="12"/>
    <x v="1"/>
    <n v="0.17"/>
  </r>
  <r>
    <s v="TERMIKA"/>
    <x v="105"/>
    <m/>
    <m/>
    <m/>
    <x v="108"/>
    <s v="TERMIKA"/>
    <x v="12"/>
    <s v="beMAKER Rostlöser"/>
    <n v="6"/>
    <x v="1"/>
    <n v="0.2"/>
  </r>
  <r>
    <s v="TERMIKA"/>
    <x v="105"/>
    <m/>
    <m/>
    <m/>
    <x v="108"/>
    <s v="TERMIKA"/>
    <x v="42"/>
    <s v="M ONE SCHWARZ GLÄNZED"/>
    <n v="1"/>
    <x v="1"/>
    <n v="0.15"/>
  </r>
  <r>
    <s v="ALBANI"/>
    <x v="106"/>
    <n v="48"/>
    <m/>
    <m/>
    <x v="34"/>
    <e v="#N/A"/>
    <x v="1"/>
    <s v="M-ONE Sanitar Silikon"/>
    <n v="12"/>
    <x v="0"/>
    <n v="0.17"/>
  </r>
  <r>
    <s v="TE KELA"/>
    <x v="106"/>
    <n v="60"/>
    <m/>
    <m/>
    <x v="151"/>
    <s v="TE KELA"/>
    <x v="7"/>
    <s v="DICHTUNG"/>
    <n v="5"/>
    <x v="0"/>
    <n v="0.2"/>
  </r>
  <r>
    <s v="TE KELA"/>
    <x v="106"/>
    <m/>
    <m/>
    <m/>
    <x v="151"/>
    <s v="TE KELA"/>
    <x v="12"/>
    <s v="beMAKER Rostlöser"/>
    <n v="12"/>
    <x v="0"/>
    <n v="0.2"/>
  </r>
  <r>
    <s v="ALBANI"/>
    <x v="106"/>
    <n v="86.4"/>
    <m/>
    <m/>
    <x v="111"/>
    <e v="#N/A"/>
    <x v="7"/>
    <s v="DICHTUNG"/>
    <n v="12"/>
    <x v="0"/>
    <n v="0.2"/>
  </r>
  <r>
    <s v="KUJTA"/>
    <x v="106"/>
    <n v="144"/>
    <m/>
    <m/>
    <x v="36"/>
    <s v="KUJTA"/>
    <x v="9"/>
    <s v="M-ONE Sanitar Silikon"/>
    <n v="12"/>
    <x v="0"/>
    <n v="0.17"/>
  </r>
  <r>
    <s v="KUJTA"/>
    <x v="106"/>
    <m/>
    <m/>
    <m/>
    <x v="36"/>
    <s v="KUJTA"/>
    <x v="2"/>
    <s v="M-ONE Sanitar Silikon"/>
    <n v="12"/>
    <x v="0"/>
    <n v="0.17"/>
  </r>
  <r>
    <s v="KUJTA"/>
    <x v="106"/>
    <m/>
    <m/>
    <m/>
    <x v="36"/>
    <s v="KUJTA"/>
    <x v="18"/>
    <s v="M-ONE Sanitar Silikon"/>
    <n v="12"/>
    <x v="0"/>
    <n v="0.17"/>
  </r>
  <r>
    <s v="TE ZENA"/>
    <x v="106"/>
    <n v="48"/>
    <m/>
    <m/>
    <x v="84"/>
    <s v="TE ZENA"/>
    <x v="6"/>
    <s v="M-ONE Sanitar Silikon"/>
    <n v="12"/>
    <x v="0"/>
    <n v="0.17"/>
  </r>
  <r>
    <s v="ALBANI"/>
    <x v="106"/>
    <n v="96"/>
    <m/>
    <m/>
    <x v="83"/>
    <e v="#N/A"/>
    <x v="4"/>
    <s v="M-ONE Sanitar Silikon"/>
    <n v="12"/>
    <x v="0"/>
    <n v="0.17"/>
  </r>
  <r>
    <s v="ALBANI"/>
    <x v="106"/>
    <m/>
    <m/>
    <m/>
    <x v="83"/>
    <e v="#N/A"/>
    <x v="20"/>
    <s v="M-ONE Sanitar Silikon"/>
    <n v="12"/>
    <x v="0"/>
    <n v="0.17"/>
  </r>
  <r>
    <s v="BUJARI Q - BESII"/>
    <x v="106"/>
    <n v="144"/>
    <m/>
    <m/>
    <x v="116"/>
    <s v="BUJARI Q - BESII"/>
    <x v="4"/>
    <s v="M-ONE Sanitar Silikon"/>
    <n v="24"/>
    <x v="1"/>
    <n v="0.17"/>
  </r>
  <r>
    <s v="BUJARI Q - BESII"/>
    <x v="106"/>
    <m/>
    <m/>
    <m/>
    <x v="116"/>
    <s v="BUJARI Q - BESII"/>
    <x v="18"/>
    <s v="M-ONE Sanitar Silikon"/>
    <n v="12"/>
    <x v="1"/>
    <n v="0.17"/>
  </r>
  <r>
    <s v="AGROLONDI"/>
    <x v="106"/>
    <n v="147.5"/>
    <m/>
    <m/>
    <x v="39"/>
    <s v="AGROLONDI"/>
    <x v="15"/>
    <s v="M-ONE Sanitar Silikon"/>
    <n v="12"/>
    <x v="1"/>
    <n v="0.17"/>
  </r>
  <r>
    <s v="AGROLONDI"/>
    <x v="106"/>
    <m/>
    <m/>
    <m/>
    <x v="39"/>
    <s v="AGROLONDI"/>
    <x v="3"/>
    <s v="M-ONE Sanitar Silikon"/>
    <n v="12"/>
    <x v="1"/>
    <n v="0.17"/>
  </r>
  <r>
    <s v="AGROLONDI"/>
    <x v="106"/>
    <m/>
    <m/>
    <m/>
    <x v="39"/>
    <s v="AGROLONDI"/>
    <x v="4"/>
    <s v="M-ONE Sanitar Silikon"/>
    <n v="12"/>
    <x v="1"/>
    <n v="0.17"/>
  </r>
  <r>
    <s v="AGROLONDI"/>
    <x v="106"/>
    <m/>
    <m/>
    <m/>
    <x v="39"/>
    <s v="AGROLONDI"/>
    <x v="16"/>
    <s v="Fettspray"/>
    <n v="1"/>
    <x v="1"/>
    <n v="0.2"/>
  </r>
  <r>
    <s v="ALMIRI QERAMIKA"/>
    <x v="106"/>
    <n v="96"/>
    <m/>
    <m/>
    <x v="42"/>
    <s v="ALMIRI QERAMIKA"/>
    <x v="4"/>
    <s v="M-ONE Sanitar Silikon"/>
    <n v="12"/>
    <x v="1"/>
    <n v="0.17"/>
  </r>
  <r>
    <s v="ALMIRI QERAMIKA"/>
    <x v="106"/>
    <m/>
    <m/>
    <m/>
    <x v="42"/>
    <s v="ALMIRI QERAMIKA"/>
    <x v="18"/>
    <s v="M-ONE Sanitar Silikon"/>
    <n v="12"/>
    <x v="1"/>
    <n v="0.17"/>
  </r>
  <r>
    <s v="UNIKA"/>
    <x v="106"/>
    <n v="192"/>
    <m/>
    <m/>
    <x v="43"/>
    <s v="UNIKA"/>
    <x v="3"/>
    <s v="M-ONE Sanitar Silikon"/>
    <n v="12"/>
    <x v="1"/>
    <n v="0.17"/>
  </r>
  <r>
    <s v="UNIKA"/>
    <x v="106"/>
    <m/>
    <m/>
    <m/>
    <x v="43"/>
    <s v="UNIKA"/>
    <x v="4"/>
    <s v="M-ONE Sanitar Silikon"/>
    <n v="12"/>
    <x v="1"/>
    <n v="0.17"/>
  </r>
  <r>
    <s v="UNIKA"/>
    <x v="106"/>
    <m/>
    <m/>
    <m/>
    <x v="43"/>
    <s v="UNIKA"/>
    <x v="18"/>
    <s v="M-ONE Sanitar Silikon"/>
    <n v="12"/>
    <x v="1"/>
    <n v="0.17"/>
  </r>
  <r>
    <s v="UNIKA"/>
    <x v="106"/>
    <m/>
    <m/>
    <m/>
    <x v="43"/>
    <s v="UNIKA"/>
    <x v="1"/>
    <s v="M-ONE Sanitar Silikon"/>
    <n v="12"/>
    <x v="1"/>
    <n v="0.17"/>
  </r>
  <r>
    <s v="LONI"/>
    <x v="106"/>
    <n v="144"/>
    <m/>
    <m/>
    <x v="46"/>
    <s v="LONI"/>
    <x v="0"/>
    <s v="M-ONE Sanitar Silikon"/>
    <n v="12"/>
    <x v="1"/>
    <n v="0.17"/>
  </r>
  <r>
    <s v="LONI"/>
    <x v="106"/>
    <m/>
    <m/>
    <m/>
    <x v="46"/>
    <s v="LONI"/>
    <x v="20"/>
    <s v="M-ONE Sanitar Silikon"/>
    <n v="12"/>
    <x v="1"/>
    <n v="0.17"/>
  </r>
  <r>
    <s v="LONI"/>
    <x v="106"/>
    <m/>
    <m/>
    <m/>
    <x v="46"/>
    <s v="LONI"/>
    <x v="1"/>
    <s v="M-ONE Sanitar Silikon"/>
    <n v="12"/>
    <x v="1"/>
    <n v="0.17"/>
  </r>
  <r>
    <s v="LUTA QERAMIKA"/>
    <x v="106"/>
    <n v="432"/>
    <m/>
    <m/>
    <x v="175"/>
    <s v="LUTA QERAMIKA"/>
    <x v="9"/>
    <s v="M-ONE Sanitar Silikon"/>
    <n v="36"/>
    <x v="1"/>
    <n v="0.17"/>
  </r>
  <r>
    <s v="LUTA QERAMIKA"/>
    <x v="106"/>
    <m/>
    <m/>
    <m/>
    <x v="175"/>
    <s v="LUTA QERAMIKA"/>
    <x v="18"/>
    <s v="M-ONE Sanitar Silikon"/>
    <n v="36"/>
    <x v="1"/>
    <n v="0.17"/>
  </r>
  <r>
    <s v="LUTA QERAMIKA"/>
    <x v="106"/>
    <m/>
    <m/>
    <m/>
    <x v="175"/>
    <s v="LUTA QERAMIKA"/>
    <x v="1"/>
    <s v="M-ONE Sanitar Silikon"/>
    <n v="24"/>
    <x v="1"/>
    <n v="0.17"/>
  </r>
  <r>
    <s v="LUTA QERAMIKA"/>
    <x v="106"/>
    <m/>
    <m/>
    <m/>
    <x v="175"/>
    <s v="LUTA QERAMIKA"/>
    <x v="20"/>
    <s v="M-ONE Sanitar Silikon"/>
    <n v="12"/>
    <x v="1"/>
    <n v="0.17"/>
  </r>
  <r>
    <s v="GLOBAL TOOLS"/>
    <x v="106"/>
    <n v="368"/>
    <m/>
    <m/>
    <x v="139"/>
    <s v="GLOBAL TOOLS"/>
    <x v="2"/>
    <s v="M-ONE Sanitar Silikon"/>
    <n v="24"/>
    <x v="1"/>
    <n v="0.17"/>
  </r>
  <r>
    <s v="GLOBAL TOOLS"/>
    <x v="106"/>
    <m/>
    <m/>
    <m/>
    <x v="139"/>
    <s v="GLOBAL TOOLS"/>
    <x v="9"/>
    <s v="M-ONE Sanitar Silikon"/>
    <n v="24"/>
    <x v="1"/>
    <n v="0.17"/>
  </r>
  <r>
    <s v="GLOBAL TOOLS"/>
    <x v="106"/>
    <m/>
    <m/>
    <m/>
    <x v="139"/>
    <s v="GLOBAL TOOLS"/>
    <x v="15"/>
    <s v="M-ONE Sanitar Silikon"/>
    <n v="24"/>
    <x v="1"/>
    <n v="0.17"/>
  </r>
  <r>
    <s v="GLOBAL TOOLS"/>
    <x v="106"/>
    <m/>
    <m/>
    <m/>
    <x v="139"/>
    <s v="GLOBAL TOOLS"/>
    <x v="25"/>
    <s v="M-ONE Sanitar Silikon"/>
    <n v="12"/>
    <x v="1"/>
    <n v="0.17"/>
  </r>
  <r>
    <s v="GLOBAL TOOLS"/>
    <x v="106"/>
    <m/>
    <m/>
    <m/>
    <x v="139"/>
    <s v="GLOBAL TOOLS"/>
    <x v="3"/>
    <s v="M-ONE Sanitar Silikon"/>
    <n v="12"/>
    <x v="1"/>
    <n v="0.17"/>
  </r>
  <r>
    <s v="F.V. SH.P.K. "/>
    <x v="106"/>
    <n v="96"/>
    <m/>
    <m/>
    <x v="45"/>
    <s v="F.V. SH.P.K. "/>
    <x v="1"/>
    <s v="M-ONE Sanitar Silikon"/>
    <n v="12"/>
    <x v="1"/>
    <n v="0.17"/>
  </r>
  <r>
    <s v="F.V. SH.P.K. "/>
    <x v="106"/>
    <m/>
    <m/>
    <m/>
    <x v="45"/>
    <s v="F.V. SH.P.K. "/>
    <x v="9"/>
    <s v="M-ONE Sanitar Silikon"/>
    <n v="12"/>
    <x v="1"/>
    <n v="0.17"/>
  </r>
  <r>
    <s v="ILIRI QERAMIKA"/>
    <x v="106"/>
    <n v="144"/>
    <m/>
    <m/>
    <x v="41"/>
    <s v="ILIRI QERAMIKA"/>
    <x v="4"/>
    <s v="M-ONE Sanitar Silikon"/>
    <n v="12"/>
    <x v="1"/>
    <n v="0.17"/>
  </r>
  <r>
    <s v="ILIRI QERAMIKA"/>
    <x v="106"/>
    <m/>
    <m/>
    <m/>
    <x v="41"/>
    <s v="ILIRI QERAMIKA"/>
    <x v="1"/>
    <s v="M-ONE Sanitar Silikon"/>
    <n v="12"/>
    <x v="1"/>
    <n v="0.17"/>
  </r>
  <r>
    <s v="ILIRI QERAMIKA"/>
    <x v="106"/>
    <m/>
    <m/>
    <m/>
    <x v="41"/>
    <s v="ILIRI QERAMIKA"/>
    <x v="5"/>
    <s v="M-ONE Sanitar Silikon"/>
    <n v="12"/>
    <x v="1"/>
    <n v="0.17"/>
  </r>
  <r>
    <s v="HIDROTERMI"/>
    <x v="106"/>
    <n v="96"/>
    <m/>
    <m/>
    <x v="206"/>
    <s v="HIDROTERMI"/>
    <x v="4"/>
    <s v="M-ONE Sanitar Silikon"/>
    <n v="12"/>
    <x v="1"/>
    <n v="0.17"/>
  </r>
  <r>
    <s v="HIDROTERMI"/>
    <x v="106"/>
    <m/>
    <m/>
    <m/>
    <x v="206"/>
    <s v="HIDROTERMI"/>
    <x v="1"/>
    <s v="M-ONE Sanitar Silikon"/>
    <n v="12"/>
    <x v="1"/>
    <n v="0.17"/>
  </r>
  <r>
    <s v="PROMOIN"/>
    <x v="106"/>
    <n v="109.6"/>
    <m/>
    <m/>
    <x v="117"/>
    <s v="PROMOIN"/>
    <x v="5"/>
    <s v="M-ONE Sanitar Silikon"/>
    <n v="12"/>
    <x v="1"/>
    <n v="0.17"/>
  </r>
  <r>
    <s v="PROMOIN"/>
    <x v="106"/>
    <m/>
    <m/>
    <m/>
    <x v="117"/>
    <s v="PROMOIN"/>
    <x v="20"/>
    <s v="M-ONE Sanitar Silikon"/>
    <n v="12"/>
    <x v="1"/>
    <n v="0.17"/>
  </r>
  <r>
    <s v="PROMOIN"/>
    <x v="106"/>
    <m/>
    <m/>
    <m/>
    <x v="117"/>
    <s v="PROMOIN"/>
    <x v="33"/>
    <s v="beMaker Handwaschpaste"/>
    <n v="8"/>
    <x v="1"/>
    <n v="0.1"/>
  </r>
  <r>
    <s v="CHE BAR LOUNGE BAR"/>
    <x v="107"/>
    <n v="40"/>
    <m/>
    <m/>
    <x v="148"/>
    <s v="CHE BAR LOUNGE BAR"/>
    <x v="28"/>
    <s v="BioBlic Universalreiniger"/>
    <n v="20"/>
    <x v="0"/>
    <n v="0.30000000000000004"/>
  </r>
  <r>
    <s v="QELA"/>
    <x v="107"/>
    <n v="96"/>
    <m/>
    <m/>
    <x v="50"/>
    <s v="QELA"/>
    <x v="0"/>
    <s v="M-ONE Sanitar Silikon"/>
    <n v="12"/>
    <x v="0"/>
    <n v="0.17"/>
  </r>
  <r>
    <s v="QELA"/>
    <x v="107"/>
    <m/>
    <m/>
    <m/>
    <x v="50"/>
    <s v="QELA"/>
    <x v="9"/>
    <s v="M-ONE Sanitar Silikon"/>
    <n v="12"/>
    <x v="0"/>
    <n v="0.17"/>
  </r>
  <r>
    <s v="HIDROELDI"/>
    <x v="107"/>
    <n v="114"/>
    <m/>
    <m/>
    <x v="85"/>
    <s v="HIDROELDI"/>
    <x v="37"/>
    <s v="Bio Blic Antikalk"/>
    <n v="10"/>
    <x v="0"/>
    <n v="0.30000000000000004"/>
  </r>
  <r>
    <s v="HIDROELDI"/>
    <x v="107"/>
    <m/>
    <m/>
    <m/>
    <x v="85"/>
    <s v="HIDROELDI"/>
    <x v="4"/>
    <s v="M-ONE Sanitar Silikon"/>
    <n v="12"/>
    <x v="0"/>
    <n v="0.17"/>
  </r>
  <r>
    <s v="HIDROELDI"/>
    <x v="107"/>
    <m/>
    <m/>
    <m/>
    <x v="85"/>
    <s v="HIDROELDI"/>
    <x v="2"/>
    <s v="M-ONE Sanitar Silikon"/>
    <n v="12"/>
    <x v="0"/>
    <n v="0.17"/>
  </r>
  <r>
    <s v="KADIJOLLET"/>
    <x v="107"/>
    <n v="144"/>
    <m/>
    <m/>
    <x v="49"/>
    <s v="KADIJOLLET"/>
    <x v="25"/>
    <s v="M-ONE Sanitar Silikon"/>
    <n v="12"/>
    <x v="0"/>
    <n v="0.17"/>
  </r>
  <r>
    <s v="KADIJOLLET"/>
    <x v="107"/>
    <m/>
    <m/>
    <m/>
    <x v="49"/>
    <s v="KADIJOLLET"/>
    <x v="5"/>
    <s v="M-ONE Sanitar Silikon"/>
    <n v="12"/>
    <x v="0"/>
    <n v="0.17"/>
  </r>
  <r>
    <s v="KADIJOLLET"/>
    <x v="107"/>
    <m/>
    <m/>
    <m/>
    <x v="49"/>
    <s v="KADIJOLLET"/>
    <x v="20"/>
    <s v="M-ONE Sanitar Silikon"/>
    <n v="12"/>
    <x v="0"/>
    <n v="0.17"/>
  </r>
  <r>
    <s v="KRRABAJ"/>
    <x v="107"/>
    <n v="96"/>
    <m/>
    <m/>
    <x v="144"/>
    <s v="KRRABAJ"/>
    <x v="4"/>
    <s v="M-ONE Sanitar Silikon"/>
    <n v="12"/>
    <x v="0"/>
    <n v="0.17"/>
  </r>
  <r>
    <s v="KRRABAJ"/>
    <x v="107"/>
    <m/>
    <m/>
    <m/>
    <x v="144"/>
    <s v="KRRABAJ"/>
    <x v="1"/>
    <s v="M-ONE Sanitar Silikon"/>
    <n v="12"/>
    <x v="0"/>
    <n v="0.17"/>
  </r>
  <r>
    <s v="KENA COMERC"/>
    <x v="107"/>
    <n v="144"/>
    <m/>
    <m/>
    <x v="52"/>
    <s v="KENA COMERC"/>
    <x v="5"/>
    <s v="M-ONE Sanitar Silikon"/>
    <n v="24"/>
    <x v="1"/>
    <n v="0.17"/>
  </r>
  <r>
    <s v="KENA COMERC"/>
    <x v="107"/>
    <m/>
    <m/>
    <m/>
    <x v="52"/>
    <s v="KENA COMERC"/>
    <x v="2"/>
    <s v="M-ONE Sanitar Silikon"/>
    <n v="12"/>
    <x v="1"/>
    <n v="0.17"/>
  </r>
  <r>
    <s v="LULI-C"/>
    <x v="107"/>
    <n v="162"/>
    <m/>
    <m/>
    <x v="54"/>
    <s v="LULI-C"/>
    <x v="18"/>
    <s v="M-ONE Sanitar Silikon"/>
    <n v="12"/>
    <x v="1"/>
    <n v="0.17"/>
  </r>
  <r>
    <s v="LULI-C"/>
    <x v="107"/>
    <m/>
    <m/>
    <m/>
    <x v="54"/>
    <s v="LULI-C"/>
    <x v="6"/>
    <s v="M-ONE Sanitar Silikon"/>
    <n v="12"/>
    <x v="1"/>
    <n v="0.17"/>
  </r>
  <r>
    <s v="LULI-C"/>
    <x v="107"/>
    <m/>
    <m/>
    <m/>
    <x v="54"/>
    <s v="LULI-C"/>
    <x v="1"/>
    <s v="M-ONE Sanitar Silikon"/>
    <n v="12"/>
    <x v="1"/>
    <n v="0.17"/>
  </r>
  <r>
    <s v="LULI-C"/>
    <x v="107"/>
    <m/>
    <m/>
    <m/>
    <x v="54"/>
    <s v="LULI-C"/>
    <x v="12"/>
    <s v="beMAKER Rostlöser"/>
    <n v="6"/>
    <x v="1"/>
    <n v="0.2"/>
  </r>
  <r>
    <s v="LULI-C"/>
    <x v="107"/>
    <m/>
    <m/>
    <m/>
    <x v="54"/>
    <s v="LULI-C"/>
    <x v="24"/>
    <s v="M ONE SILIKON SPRAY"/>
    <n v="2"/>
    <x v="1"/>
    <n v="0.2"/>
  </r>
  <r>
    <s v="KUQI-LKW"/>
    <x v="107"/>
    <n v="72.7"/>
    <m/>
    <m/>
    <x v="120"/>
    <s v="KUQI-LKW"/>
    <x v="7"/>
    <s v="DICHTUNG"/>
    <n v="6"/>
    <x v="1"/>
    <n v="0.2"/>
  </r>
  <r>
    <s v="KUQI-LKW"/>
    <x v="107"/>
    <m/>
    <m/>
    <m/>
    <x v="120"/>
    <s v="KUQI-LKW"/>
    <x v="14"/>
    <s v="beMAKER Bremsen&amp;Teile Reininger"/>
    <n v="6"/>
    <x v="1"/>
    <n v="0.2"/>
  </r>
  <r>
    <s v="KUQI-LKW"/>
    <x v="107"/>
    <m/>
    <m/>
    <m/>
    <x v="120"/>
    <s v="KUQI-LKW"/>
    <x v="13"/>
    <s v="M ONE MOTORSTART"/>
    <n v="5"/>
    <x v="1"/>
    <n v="0.2"/>
  </r>
  <r>
    <s v="CAMA BAU"/>
    <x v="107"/>
    <n v="192"/>
    <m/>
    <m/>
    <x v="55"/>
    <s v="CAMA BAU"/>
    <x v="3"/>
    <s v="M-ONE Sanitar Silikon"/>
    <n v="12"/>
    <x v="1"/>
    <n v="0.17"/>
  </r>
  <r>
    <s v="CAMA BAU"/>
    <x v="107"/>
    <m/>
    <m/>
    <m/>
    <x v="55"/>
    <s v="CAMA BAU"/>
    <x v="18"/>
    <s v="M-ONE Sanitar Silikon"/>
    <n v="12"/>
    <x v="1"/>
    <n v="0.17"/>
  </r>
  <r>
    <s v="CAMA BAU"/>
    <x v="107"/>
    <m/>
    <m/>
    <m/>
    <x v="55"/>
    <s v="CAMA BAU"/>
    <x v="6"/>
    <s v="M-ONE Sanitar Silikon"/>
    <n v="12"/>
    <x v="1"/>
    <n v="0.17"/>
  </r>
  <r>
    <s v="CAMA BAU"/>
    <x v="107"/>
    <m/>
    <m/>
    <m/>
    <x v="55"/>
    <s v="CAMA BAU"/>
    <x v="2"/>
    <s v="M-ONE Sanitar Silikon"/>
    <n v="12"/>
    <x v="1"/>
    <n v="0.17"/>
  </r>
  <r>
    <s v="TECOL 2"/>
    <x v="107"/>
    <n v="68"/>
    <m/>
    <m/>
    <x v="53"/>
    <s v="TECOL 2"/>
    <x v="46"/>
    <s v="HAT LACK 800"/>
    <n v="6"/>
    <x v="1"/>
    <n v="0.35"/>
  </r>
  <r>
    <s v="TECOL 2"/>
    <x v="107"/>
    <m/>
    <m/>
    <m/>
    <x v="53"/>
    <s v="TECOL 2"/>
    <x v="50"/>
    <e v="#N/A"/>
    <n v="6"/>
    <x v="1"/>
    <n v="0.06"/>
  </r>
  <r>
    <s v="TECOL 2"/>
    <x v="107"/>
    <m/>
    <m/>
    <m/>
    <x v="53"/>
    <s v="TECOL 2"/>
    <x v="34"/>
    <s v="M ONE FELGENSILBER"/>
    <n v="8"/>
    <x v="1"/>
    <n v="0.15"/>
  </r>
  <r>
    <s v="TERMO PROJEKT"/>
    <x v="107"/>
    <n v="144"/>
    <m/>
    <m/>
    <x v="56"/>
    <s v="TERMO PROJEKT"/>
    <x v="3"/>
    <s v="M-ONE Sanitar Silikon"/>
    <n v="24"/>
    <x v="1"/>
    <n v="0.17"/>
  </r>
  <r>
    <s v="TERMO PROJEKT"/>
    <x v="107"/>
    <m/>
    <m/>
    <m/>
    <x v="56"/>
    <s v="TERMO PROJEKT"/>
    <x v="4"/>
    <s v="M-ONE Sanitar Silikon"/>
    <n v="12"/>
    <x v="1"/>
    <n v="0.17"/>
  </r>
  <r>
    <s v="LNI SHPK"/>
    <x v="107"/>
    <n v="144"/>
    <m/>
    <m/>
    <x v="141"/>
    <s v="LNI SHPK"/>
    <x v="18"/>
    <s v="M-ONE Sanitar Silikon"/>
    <n v="12"/>
    <x v="1"/>
    <n v="0.17"/>
  </r>
  <r>
    <s v="LNI SHPK"/>
    <x v="107"/>
    <m/>
    <m/>
    <m/>
    <x v="141"/>
    <s v="LNI SHPK"/>
    <x v="25"/>
    <s v="M-ONE Sanitar Silikon"/>
    <n v="12"/>
    <x v="1"/>
    <n v="0.17"/>
  </r>
  <r>
    <s v="LNI SHPK"/>
    <x v="107"/>
    <m/>
    <m/>
    <m/>
    <x v="141"/>
    <s v="LNI SHPK"/>
    <x v="2"/>
    <s v="M-ONE Sanitar Silikon"/>
    <n v="12"/>
    <x v="1"/>
    <n v="0.17"/>
  </r>
  <r>
    <s v="ARBENI BIOBLIC"/>
    <x v="108"/>
    <n v="191"/>
    <m/>
    <m/>
    <x v="71"/>
    <s v="ARBENI BIOBLIC"/>
    <x v="28"/>
    <s v="BioBlic Universalreiniger"/>
    <n v="100"/>
    <x v="2"/>
    <n v="0.30000000000000004"/>
  </r>
  <r>
    <s v="ARBENI BIOBLIC"/>
    <x v="108"/>
    <m/>
    <m/>
    <m/>
    <x v="71"/>
    <s v="ARBENI BIOBLIC"/>
    <x v="29"/>
    <s v="Blic Blic Sanitärreiniger"/>
    <n v="40"/>
    <x v="2"/>
    <n v="0.30000000000000004"/>
  </r>
  <r>
    <s v="ARBENI BIOBLIC"/>
    <x v="108"/>
    <m/>
    <m/>
    <m/>
    <x v="71"/>
    <s v="ARBENI BIOBLIC"/>
    <x v="41"/>
    <s v="Bodenreiniger"/>
    <n v="4"/>
    <x v="2"/>
    <n v="0.5"/>
  </r>
  <r>
    <s v="QEMA"/>
    <x v="108"/>
    <n v="348"/>
    <m/>
    <m/>
    <x v="134"/>
    <s v="QEMA"/>
    <x v="10"/>
    <s v="PROFIMONT EXTREME"/>
    <n v="60"/>
    <x v="0"/>
    <n v="0.2"/>
  </r>
  <r>
    <s v="TE BESNIKU"/>
    <x v="108"/>
    <n v="338.8"/>
    <m/>
    <m/>
    <x v="65"/>
    <s v="TE BESNIKU"/>
    <x v="3"/>
    <s v="M-ONE Sanitar Silikon"/>
    <n v="12"/>
    <x v="0"/>
    <n v="0.17"/>
  </r>
  <r>
    <s v="TE BESNIKU"/>
    <x v="108"/>
    <m/>
    <m/>
    <m/>
    <x v="65"/>
    <s v="TE BESNIKU"/>
    <x v="4"/>
    <s v="M-ONE Sanitar Silikon"/>
    <n v="12"/>
    <x v="0"/>
    <n v="0.17"/>
  </r>
  <r>
    <s v="TE BESNIKU"/>
    <x v="108"/>
    <m/>
    <m/>
    <m/>
    <x v="65"/>
    <s v="TE BESNIKU"/>
    <x v="0"/>
    <s v="M-ONE Sanitar Silikon"/>
    <n v="12"/>
    <x v="0"/>
    <n v="0.17"/>
  </r>
  <r>
    <s v="TE BESNIKU"/>
    <x v="108"/>
    <m/>
    <m/>
    <m/>
    <x v="65"/>
    <s v="TE BESNIKU"/>
    <x v="5"/>
    <s v="M-ONE Sanitar Silikon"/>
    <n v="12"/>
    <x v="0"/>
    <n v="0.17"/>
  </r>
  <r>
    <s v="TE BESNIKU"/>
    <x v="108"/>
    <m/>
    <m/>
    <m/>
    <x v="65"/>
    <s v="TE BESNIKU"/>
    <x v="18"/>
    <s v="M-ONE Sanitar Silikon"/>
    <n v="12"/>
    <x v="0"/>
    <n v="0.17"/>
  </r>
  <r>
    <s v="TE BESNIKU"/>
    <x v="108"/>
    <m/>
    <m/>
    <m/>
    <x v="65"/>
    <s v="TE BESNIKU"/>
    <x v="20"/>
    <s v="M-ONE Sanitar Silikon"/>
    <n v="12"/>
    <x v="0"/>
    <n v="0.17"/>
  </r>
  <r>
    <s v="TE BESNIKU"/>
    <x v="108"/>
    <m/>
    <m/>
    <m/>
    <x v="65"/>
    <s v="TE BESNIKU"/>
    <x v="9"/>
    <s v="M-ONE Sanitar Silikon"/>
    <n v="12"/>
    <x v="0"/>
    <n v="0.17"/>
  </r>
  <r>
    <s v="TE BESNIKU"/>
    <x v="108"/>
    <m/>
    <m/>
    <m/>
    <x v="65"/>
    <s v="TE BESNIKU"/>
    <x v="2"/>
    <s v="M-ONE Sanitar Silikon"/>
    <n v="4"/>
    <x v="0"/>
    <n v="0.17"/>
  </r>
  <r>
    <s v="TE BESNIKU"/>
    <x v="108"/>
    <m/>
    <m/>
    <m/>
    <x v="65"/>
    <s v="TE BESNIKU"/>
    <x v="0"/>
    <s v="M-ONE Sanitar Silikon"/>
    <n v="36"/>
    <x v="0"/>
    <n v="0.17"/>
  </r>
  <r>
    <s v="TE BESNIKU"/>
    <x v="108"/>
    <m/>
    <m/>
    <m/>
    <x v="65"/>
    <s v="TE BESNIKU"/>
    <x v="5"/>
    <s v="M-ONE Sanitar Silikon"/>
    <n v="36"/>
    <x v="0"/>
    <n v="0.17"/>
  </r>
  <r>
    <s v="TE BESNIKU"/>
    <x v="108"/>
    <m/>
    <m/>
    <m/>
    <x v="65"/>
    <s v="TE BESNIKU"/>
    <x v="3"/>
    <s v="M-ONE Sanitar Silikon"/>
    <n v="36"/>
    <x v="0"/>
    <n v="0.17"/>
  </r>
  <r>
    <s v="TE BESNIKU"/>
    <x v="108"/>
    <m/>
    <m/>
    <m/>
    <x v="65"/>
    <s v="TE BESNIKU"/>
    <x v="18"/>
    <s v="M-ONE Sanitar Silikon"/>
    <n v="36"/>
    <x v="0"/>
    <n v="0.17"/>
  </r>
  <r>
    <s v="TE BESNIKU"/>
    <x v="108"/>
    <m/>
    <m/>
    <m/>
    <x v="65"/>
    <s v="TE BESNIKU"/>
    <x v="9"/>
    <s v="M-ONE Sanitar Silikon"/>
    <n v="48"/>
    <x v="0"/>
    <n v="0.17"/>
  </r>
  <r>
    <s v="TE BESNIKU"/>
    <x v="108"/>
    <m/>
    <m/>
    <m/>
    <x v="65"/>
    <s v="TE BESNIKU"/>
    <x v="20"/>
    <s v="M-ONE Sanitar Silikon"/>
    <n v="12"/>
    <x v="0"/>
    <n v="0.17"/>
  </r>
  <r>
    <s v="TE BESNIKU"/>
    <x v="108"/>
    <m/>
    <m/>
    <m/>
    <x v="65"/>
    <s v="TE BESNIKU"/>
    <x v="15"/>
    <s v="M-ONE Sanitar Silikon"/>
    <n v="12"/>
    <x v="0"/>
    <n v="0.17"/>
  </r>
  <r>
    <s v="TE BESNIKU"/>
    <x v="108"/>
    <m/>
    <m/>
    <m/>
    <x v="65"/>
    <s v="TE BESNIKU"/>
    <x v="2"/>
    <s v="M-ONE Sanitar Silikon"/>
    <n v="8"/>
    <x v="0"/>
    <n v="0.17"/>
  </r>
  <r>
    <s v="TE BESNIKU"/>
    <x v="108"/>
    <m/>
    <m/>
    <m/>
    <x v="65"/>
    <s v="TE BESNIKU"/>
    <x v="4"/>
    <s v="M-ONE Sanitar Silikon"/>
    <n v="36"/>
    <x v="0"/>
    <n v="0.17"/>
  </r>
  <r>
    <s v="ARPO"/>
    <x v="108"/>
    <n v="336"/>
    <m/>
    <m/>
    <x v="64"/>
    <s v="ARPO"/>
    <x v="4"/>
    <s v="M-ONE Sanitar Silikon"/>
    <n v="12"/>
    <x v="0"/>
    <n v="0.17"/>
  </r>
  <r>
    <s v="ARPO"/>
    <x v="108"/>
    <m/>
    <m/>
    <m/>
    <x v="64"/>
    <s v="ARPO"/>
    <x v="0"/>
    <s v="M-ONE Sanitar Silikon"/>
    <n v="12"/>
    <x v="0"/>
    <n v="0.17"/>
  </r>
  <r>
    <s v="ARPO"/>
    <x v="108"/>
    <m/>
    <m/>
    <m/>
    <x v="64"/>
    <s v="ARPO"/>
    <x v="5"/>
    <s v="M-ONE Sanitar Silikon"/>
    <n v="12"/>
    <x v="0"/>
    <n v="0.17"/>
  </r>
  <r>
    <s v="ARPO"/>
    <x v="108"/>
    <m/>
    <m/>
    <m/>
    <x v="64"/>
    <s v="ARPO"/>
    <x v="1"/>
    <s v="M-ONE Sanitar Silikon"/>
    <n v="12"/>
    <x v="0"/>
    <n v="0.17"/>
  </r>
  <r>
    <s v="ARPO"/>
    <x v="108"/>
    <m/>
    <m/>
    <m/>
    <x v="64"/>
    <s v="ARPO"/>
    <x v="2"/>
    <s v="M-ONE Sanitar Silikon"/>
    <n v="12"/>
    <x v="0"/>
    <n v="0.17"/>
  </r>
  <r>
    <s v="ARPO"/>
    <x v="108"/>
    <m/>
    <m/>
    <m/>
    <x v="64"/>
    <s v="ARPO"/>
    <x v="9"/>
    <s v="M-ONE Sanitar Silikon"/>
    <n v="12"/>
    <x v="0"/>
    <n v="0.17"/>
  </r>
  <r>
    <s v="ARPO"/>
    <x v="108"/>
    <m/>
    <m/>
    <m/>
    <x v="64"/>
    <s v="ARPO"/>
    <x v="20"/>
    <s v="M-ONE Sanitar Silikon"/>
    <n v="12"/>
    <x v="0"/>
    <n v="0.17"/>
  </r>
  <r>
    <s v="QEMA"/>
    <x v="108"/>
    <n v="48"/>
    <m/>
    <m/>
    <x v="169"/>
    <e v="#N/A"/>
    <x v="1"/>
    <s v="M-ONE Sanitar Silikon"/>
    <n v="12"/>
    <x v="0"/>
    <n v="0.17"/>
  </r>
  <r>
    <s v="XHAFA"/>
    <x v="108"/>
    <n v="96"/>
    <m/>
    <m/>
    <x v="61"/>
    <s v="XHAFA"/>
    <x v="3"/>
    <s v="M-ONE Sanitar Silikon"/>
    <n v="12"/>
    <x v="0"/>
    <n v="0.17"/>
  </r>
  <r>
    <s v="XHAFA"/>
    <x v="108"/>
    <m/>
    <m/>
    <m/>
    <x v="61"/>
    <s v="XHAFA"/>
    <x v="0"/>
    <s v="M-ONE Sanitar Silikon"/>
    <n v="12"/>
    <x v="0"/>
    <n v="0.17"/>
  </r>
  <r>
    <s v="BERISHA"/>
    <x v="108"/>
    <n v="138.6"/>
    <m/>
    <m/>
    <x v="191"/>
    <s v="BERISHA"/>
    <x v="4"/>
    <s v="M-ONE Sanitar Silikon"/>
    <n v="24"/>
    <x v="0"/>
    <n v="0.17"/>
  </r>
  <r>
    <s v="BERISHA"/>
    <x v="108"/>
    <m/>
    <m/>
    <m/>
    <x v="191"/>
    <s v="BERISHA"/>
    <x v="22"/>
    <s v="universal akryl"/>
    <n v="12"/>
    <x v="0"/>
    <n v="0.06"/>
  </r>
  <r>
    <s v="BERISHA"/>
    <x v="108"/>
    <m/>
    <m/>
    <m/>
    <x v="191"/>
    <s v="BERISHA"/>
    <x v="8"/>
    <s v="struktural akryl"/>
    <n v="12"/>
    <x v="0"/>
    <n v="0.06"/>
  </r>
  <r>
    <s v="TEMAJ"/>
    <x v="108"/>
    <n v="144"/>
    <m/>
    <m/>
    <x v="91"/>
    <s v="TEMAJ"/>
    <x v="3"/>
    <s v="M-ONE Sanitar Silikon"/>
    <n v="24"/>
    <x v="2"/>
    <n v="0.17"/>
  </r>
  <r>
    <s v="TEMAJ"/>
    <x v="108"/>
    <m/>
    <m/>
    <m/>
    <x v="91"/>
    <s v="TEMAJ"/>
    <x v="1"/>
    <s v="M-ONE Sanitar Silikon"/>
    <n v="12"/>
    <x v="2"/>
    <n v="0.17"/>
  </r>
  <r>
    <s v="TERMO PROJEKT"/>
    <x v="108"/>
    <n v="66"/>
    <m/>
    <m/>
    <x v="56"/>
    <s v="TERMO PROJEKT"/>
    <x v="16"/>
    <s v="Fettspray"/>
    <n v="12"/>
    <x v="1"/>
    <n v="0.2"/>
  </r>
  <r>
    <s v="TERMO PROJEKT"/>
    <x v="108"/>
    <m/>
    <m/>
    <m/>
    <x v="56"/>
    <s v="TERMO PROJEKT"/>
    <x v="12"/>
    <s v="beMAKER Rostlöser"/>
    <n v="12"/>
    <x v="1"/>
    <n v="0.2"/>
  </r>
  <r>
    <s v="LETAJ"/>
    <x v="108"/>
    <n v="145.19999999999999"/>
    <m/>
    <m/>
    <x v="67"/>
    <s v="LETAJ"/>
    <x v="10"/>
    <s v="PROFIMONT EXTREME"/>
    <n v="12"/>
    <x v="1"/>
    <n v="0.2"/>
  </r>
  <r>
    <s v="LETAJ"/>
    <x v="108"/>
    <m/>
    <m/>
    <m/>
    <x v="67"/>
    <s v="LETAJ"/>
    <x v="2"/>
    <s v="M-ONE Sanitar Silikon"/>
    <n v="12"/>
    <x v="1"/>
    <n v="0.17"/>
  </r>
  <r>
    <s v="LETAJ"/>
    <x v="108"/>
    <m/>
    <m/>
    <m/>
    <x v="67"/>
    <s v="LETAJ"/>
    <x v="8"/>
    <s v="struktural akryl"/>
    <n v="12"/>
    <x v="1"/>
    <n v="0.06"/>
  </r>
  <r>
    <s v="GACAFERI-RG"/>
    <x v="108"/>
    <n v="120"/>
    <m/>
    <m/>
    <x v="161"/>
    <s v="GACAFERI-RG"/>
    <x v="3"/>
    <s v="M-ONE Sanitar Silikon"/>
    <n v="12"/>
    <x v="1"/>
    <n v="0.17"/>
  </r>
  <r>
    <s v="GACAFERI-RG"/>
    <x v="108"/>
    <m/>
    <m/>
    <m/>
    <x v="161"/>
    <s v="GACAFERI-RG"/>
    <x v="1"/>
    <s v="M-ONE Sanitar Silikon"/>
    <n v="12"/>
    <x v="1"/>
    <n v="0.17"/>
  </r>
  <r>
    <s v="GACAFERI-RG"/>
    <x v="108"/>
    <m/>
    <m/>
    <m/>
    <x v="161"/>
    <s v="GACAFERI-RG"/>
    <x v="17"/>
    <s v="M ONE UBS"/>
    <n v="6"/>
    <x v="1"/>
    <n v="0.2"/>
  </r>
  <r>
    <s v="ERINA"/>
    <x v="108"/>
    <n v="96"/>
    <m/>
    <m/>
    <x v="207"/>
    <s v="ERINA"/>
    <x v="25"/>
    <s v="M-ONE Sanitar Silikon"/>
    <n v="12"/>
    <x v="1"/>
    <n v="0.17"/>
  </r>
  <r>
    <s v="ERINA"/>
    <x v="108"/>
    <m/>
    <m/>
    <m/>
    <x v="207"/>
    <s v="ERINA"/>
    <x v="1"/>
    <s v="M-ONE Sanitar Silikon"/>
    <n v="12"/>
    <x v="1"/>
    <n v="0.17"/>
  </r>
  <r>
    <s v="INOX 2"/>
    <x v="108"/>
    <n v="96"/>
    <m/>
    <m/>
    <x v="93"/>
    <s v="INOX 2"/>
    <x v="18"/>
    <s v="M-ONE Sanitar Silikon"/>
    <n v="12"/>
    <x v="1"/>
    <n v="0.17"/>
  </r>
  <r>
    <s v="INOX 2"/>
    <x v="108"/>
    <m/>
    <m/>
    <m/>
    <x v="93"/>
    <s v="INOX 2"/>
    <x v="1"/>
    <s v="M-ONE Sanitar Silikon"/>
    <n v="12"/>
    <x v="1"/>
    <n v="0.17"/>
  </r>
  <r>
    <s v="ERENIKU"/>
    <x v="108"/>
    <n v="55.2"/>
    <m/>
    <m/>
    <x v="92"/>
    <s v="ERENIKU"/>
    <x v="8"/>
    <s v="struktural akryl"/>
    <n v="24"/>
    <x v="1"/>
    <n v="0.06"/>
  </r>
  <r>
    <s v="TE BESIMI"/>
    <x v="108"/>
    <n v="159"/>
    <m/>
    <m/>
    <x v="70"/>
    <s v="TE BESIMI"/>
    <x v="5"/>
    <s v="M-ONE Sanitar Silikon"/>
    <n v="24"/>
    <x v="1"/>
    <n v="0.17"/>
  </r>
  <r>
    <s v="TE BESIMI"/>
    <x v="108"/>
    <m/>
    <m/>
    <m/>
    <x v="70"/>
    <s v="TE BESIMI"/>
    <x v="25"/>
    <s v="M-ONE Sanitar Silikon"/>
    <n v="12"/>
    <x v="1"/>
    <n v="0.17"/>
  </r>
  <r>
    <s v="TE BESIMI"/>
    <x v="108"/>
    <m/>
    <m/>
    <m/>
    <x v="70"/>
    <s v="TE BESIMI"/>
    <x v="22"/>
    <s v="universal akryl"/>
    <n v="12"/>
    <x v="1"/>
    <n v="0.06"/>
  </r>
  <r>
    <s v="TERMO PROJEKT"/>
    <x v="108"/>
    <n v="100.4"/>
    <m/>
    <m/>
    <x v="56"/>
    <s v="TERMO PROJEKT"/>
    <x v="1"/>
    <s v="M-ONE Sanitar Silikon"/>
    <n v="24"/>
    <x v="1"/>
    <n v="0.17"/>
  </r>
  <r>
    <s v="TERMO PROJEKT"/>
    <x v="108"/>
    <m/>
    <m/>
    <m/>
    <x v="56"/>
    <s v="TERMO PROJEKT"/>
    <x v="7"/>
    <s v="DICHTUNG"/>
    <n v="2"/>
    <x v="1"/>
    <n v="0.2"/>
  </r>
  <r>
    <s v="AFRIMI-AG"/>
    <x v="108"/>
    <n v="193.4"/>
    <m/>
    <m/>
    <x v="69"/>
    <s v="AFRIMI-AG"/>
    <x v="10"/>
    <s v="PROFIMONT EXTREME"/>
    <n v="12"/>
    <x v="1"/>
    <n v="0.2"/>
  </r>
  <r>
    <s v="AFRIMI-AG"/>
    <x v="108"/>
    <m/>
    <m/>
    <m/>
    <x v="69"/>
    <s v="AFRIMI-AG"/>
    <x v="5"/>
    <s v="M-ONE Sanitar Silikon"/>
    <n v="12"/>
    <x v="1"/>
    <n v="0.17"/>
  </r>
  <r>
    <s v="AFRIMI-AG"/>
    <x v="108"/>
    <m/>
    <m/>
    <m/>
    <x v="69"/>
    <s v="AFRIMI-AG"/>
    <x v="20"/>
    <s v="M-ONE Sanitar Silikon"/>
    <n v="12"/>
    <x v="1"/>
    <n v="0.17"/>
  </r>
  <r>
    <s v="AFRIMI-AG"/>
    <x v="108"/>
    <m/>
    <m/>
    <m/>
    <x v="69"/>
    <s v="AFRIMI-AG"/>
    <x v="16"/>
    <s v="Fettspray"/>
    <n v="7"/>
    <x v="1"/>
    <n v="0.2"/>
  </r>
  <r>
    <s v="AFRIMI-AG"/>
    <x v="108"/>
    <m/>
    <m/>
    <m/>
    <x v="69"/>
    <s v="AFRIMI-AG"/>
    <x v="33"/>
    <s v="beMaker Handwaschpaste"/>
    <n v="4"/>
    <x v="1"/>
    <n v="0.1"/>
  </r>
  <r>
    <s v="FUNDAMETI"/>
    <x v="109"/>
    <n v="96"/>
    <m/>
    <m/>
    <x v="7"/>
    <s v="FUNDAMETI"/>
    <x v="18"/>
    <s v="M-ONE Sanitar Silikon"/>
    <n v="24"/>
    <x v="0"/>
    <n v="0.17"/>
  </r>
  <r>
    <s v="MIRSADI"/>
    <x v="109"/>
    <n v="192"/>
    <m/>
    <m/>
    <x v="73"/>
    <s v="MIRSADI"/>
    <x v="4"/>
    <s v="M-ONE Sanitar Silikon"/>
    <n v="12"/>
    <x v="0"/>
    <n v="0.17"/>
  </r>
  <r>
    <s v="MIRSADI"/>
    <x v="109"/>
    <m/>
    <m/>
    <m/>
    <x v="73"/>
    <s v="MIRSADI"/>
    <x v="0"/>
    <s v="M-ONE Sanitar Silikon"/>
    <n v="12"/>
    <x v="0"/>
    <n v="0.17"/>
  </r>
  <r>
    <s v="MIRSADI"/>
    <x v="109"/>
    <m/>
    <m/>
    <m/>
    <x v="73"/>
    <s v="MIRSADI"/>
    <x v="1"/>
    <s v="M-ONE Sanitar Silikon"/>
    <n v="12"/>
    <x v="0"/>
    <n v="0.17"/>
  </r>
  <r>
    <s v="MIRSADI"/>
    <x v="109"/>
    <m/>
    <m/>
    <m/>
    <x v="73"/>
    <s v="MIRSADI"/>
    <x v="9"/>
    <s v="M-ONE Sanitar Silikon"/>
    <n v="12"/>
    <x v="0"/>
    <n v="0.17"/>
  </r>
  <r>
    <s v="DARDANIA"/>
    <x v="109"/>
    <n v="144"/>
    <m/>
    <m/>
    <x v="6"/>
    <s v="DARDANIA"/>
    <x v="2"/>
    <s v="M-ONE Sanitar Silikon"/>
    <n v="12"/>
    <x v="0"/>
    <n v="0.17"/>
  </r>
  <r>
    <s v="DARDANIA"/>
    <x v="109"/>
    <m/>
    <m/>
    <m/>
    <x v="6"/>
    <s v="DARDANIA"/>
    <x v="9"/>
    <s v="M-ONE Sanitar Silikon"/>
    <n v="24"/>
    <x v="0"/>
    <n v="0.17"/>
  </r>
  <r>
    <s v="BURIMI"/>
    <x v="109"/>
    <n v="48"/>
    <m/>
    <m/>
    <x v="5"/>
    <s v="BURIMI"/>
    <x v="5"/>
    <s v="M-ONE Sanitar Silikon"/>
    <n v="12"/>
    <x v="0"/>
    <n v="0.17"/>
  </r>
  <r>
    <s v="SMIRA"/>
    <x v="109"/>
    <n v="96"/>
    <m/>
    <m/>
    <x v="75"/>
    <s v="SMIRA"/>
    <x v="18"/>
    <s v="M-ONE Sanitar Silikon"/>
    <n v="12"/>
    <x v="0"/>
    <n v="0.17"/>
  </r>
  <r>
    <s v="SMIRA"/>
    <x v="109"/>
    <m/>
    <m/>
    <m/>
    <x v="75"/>
    <s v="SMIRA"/>
    <x v="25"/>
    <s v="M-ONE Sanitar Silikon"/>
    <n v="12"/>
    <x v="0"/>
    <n v="0.17"/>
  </r>
  <r>
    <s v="BALLKANI"/>
    <x v="109"/>
    <n v="192"/>
    <m/>
    <m/>
    <x v="98"/>
    <s v="BALLKANI"/>
    <x v="9"/>
    <s v="M-ONE Sanitar Silikon"/>
    <n v="12"/>
    <x v="0"/>
    <n v="0.17"/>
  </r>
  <r>
    <s v="BALLKANI"/>
    <x v="109"/>
    <m/>
    <m/>
    <m/>
    <x v="98"/>
    <s v="BALLKANI"/>
    <x v="1"/>
    <s v="M-ONE Sanitar Silikon"/>
    <n v="36"/>
    <x v="0"/>
    <n v="0.17"/>
  </r>
  <r>
    <s v="BEKA-2"/>
    <x v="109"/>
    <n v="60"/>
    <m/>
    <m/>
    <x v="154"/>
    <s v="BEKA-2"/>
    <x v="7"/>
    <s v="DICHTUNG"/>
    <n v="5"/>
    <x v="0"/>
    <n v="0.2"/>
  </r>
  <r>
    <s v="BEKA-2"/>
    <x v="109"/>
    <m/>
    <m/>
    <m/>
    <x v="154"/>
    <s v="BEKA-2"/>
    <x v="14"/>
    <s v="beMAKER Bremsen&amp;Teile Reininger"/>
    <n v="12"/>
    <x v="0"/>
    <n v="0.2"/>
  </r>
  <r>
    <s v="ERALP"/>
    <x v="109"/>
    <n v="144"/>
    <m/>
    <m/>
    <x v="1"/>
    <s v="ERALP"/>
    <x v="15"/>
    <s v="M-ONE Sanitar Silikon"/>
    <n v="12"/>
    <x v="0"/>
    <n v="0.17"/>
  </r>
  <r>
    <s v="ERALP"/>
    <x v="109"/>
    <m/>
    <m/>
    <m/>
    <x v="1"/>
    <s v="ERALP"/>
    <x v="18"/>
    <s v="M-ONE Sanitar Silikon"/>
    <n v="24"/>
    <x v="0"/>
    <n v="0.17"/>
  </r>
  <r>
    <s v="FATMIRI"/>
    <x v="109"/>
    <n v="144"/>
    <m/>
    <m/>
    <x v="124"/>
    <s v="FATMIRI"/>
    <x v="15"/>
    <s v="M-ONE Sanitar Silikon"/>
    <n v="12"/>
    <x v="0"/>
    <n v="0.17"/>
  </r>
  <r>
    <s v="FATMIRI"/>
    <x v="109"/>
    <m/>
    <m/>
    <m/>
    <x v="124"/>
    <s v="FATMIRI"/>
    <x v="5"/>
    <s v="M-ONE Sanitar Silikon"/>
    <n v="12"/>
    <x v="0"/>
    <n v="0.17"/>
  </r>
  <r>
    <s v="FATMIRI"/>
    <x v="109"/>
    <m/>
    <m/>
    <m/>
    <x v="124"/>
    <s v="FATMIRI"/>
    <x v="18"/>
    <s v="M-ONE Sanitar Silikon"/>
    <n v="12"/>
    <x v="0"/>
    <n v="0.17"/>
  </r>
  <r>
    <s v="CONDOR"/>
    <x v="109"/>
    <n v="411"/>
    <m/>
    <m/>
    <x v="11"/>
    <s v="CONDOR"/>
    <x v="0"/>
    <s v="M-ONE Sanitar Silikon"/>
    <n v="12"/>
    <x v="1"/>
    <n v="0.17"/>
  </r>
  <r>
    <s v="CONDOR"/>
    <x v="109"/>
    <m/>
    <m/>
    <m/>
    <x v="11"/>
    <s v="CONDOR"/>
    <x v="18"/>
    <s v="M-ONE Sanitar Silikon"/>
    <n v="12"/>
    <x v="1"/>
    <n v="0.17"/>
  </r>
  <r>
    <s v="CONDOR"/>
    <x v="109"/>
    <m/>
    <m/>
    <m/>
    <x v="11"/>
    <s v="CONDOR"/>
    <x v="2"/>
    <s v="M-ONE Sanitar Silikon"/>
    <n v="12"/>
    <x v="1"/>
    <n v="0.17"/>
  </r>
  <r>
    <s v="CONDOR"/>
    <x v="109"/>
    <m/>
    <m/>
    <m/>
    <x v="11"/>
    <s v="CONDOR"/>
    <x v="10"/>
    <s v="PROFIMONT EXTREME"/>
    <n v="24"/>
    <x v="1"/>
    <n v="0.2"/>
  </r>
  <r>
    <s v="CONDOR"/>
    <x v="109"/>
    <m/>
    <m/>
    <m/>
    <x v="11"/>
    <s v="CONDOR"/>
    <x v="22"/>
    <s v="universal akryl"/>
    <n v="36"/>
    <x v="1"/>
    <n v="0.06"/>
  </r>
  <r>
    <s v="CONDOR"/>
    <x v="109"/>
    <m/>
    <m/>
    <m/>
    <x v="11"/>
    <s v="CONDOR"/>
    <x v="8"/>
    <s v="struktural akryl"/>
    <n v="36"/>
    <x v="1"/>
    <n v="0.06"/>
  </r>
  <r>
    <s v="HAZROLLI"/>
    <x v="109"/>
    <n v="69.599999999999994"/>
    <m/>
    <m/>
    <x v="9"/>
    <s v="HAZROLLI"/>
    <x v="10"/>
    <s v="PROFIMONT EXTREME"/>
    <n v="12"/>
    <x v="1"/>
    <n v="0.2"/>
  </r>
  <r>
    <s v="BEREQETI"/>
    <x v="109"/>
    <n v="372"/>
    <m/>
    <m/>
    <x v="13"/>
    <s v="BEREQETI"/>
    <x v="1"/>
    <s v="M-ONE Sanitar Silikon"/>
    <n v="24"/>
    <x v="1"/>
    <n v="0.17"/>
  </r>
  <r>
    <s v="BEREQETI"/>
    <x v="109"/>
    <m/>
    <m/>
    <m/>
    <x v="13"/>
    <s v="BEREQETI"/>
    <x v="8"/>
    <s v="struktural akryl"/>
    <n v="120"/>
    <x v="1"/>
    <n v="0.06"/>
  </r>
  <r>
    <s v="FITIMI"/>
    <x v="109"/>
    <n v="96"/>
    <m/>
    <m/>
    <x v="16"/>
    <s v="FITIMI"/>
    <x v="4"/>
    <s v="M-ONE Sanitar Silikon"/>
    <n v="12"/>
    <x v="1"/>
    <n v="0.17"/>
  </r>
  <r>
    <s v="FITIMI"/>
    <x v="109"/>
    <m/>
    <m/>
    <m/>
    <x v="16"/>
    <s v="FITIMI"/>
    <x v="2"/>
    <s v="M-ONE Sanitar Silikon"/>
    <n v="12"/>
    <x v="1"/>
    <n v="0.17"/>
  </r>
  <r>
    <s v="DURGUTI 3"/>
    <x v="109"/>
    <n v="75.599999999999994"/>
    <m/>
    <m/>
    <x v="12"/>
    <s v="DURGUTI 3"/>
    <x v="6"/>
    <s v="M-ONE Sanitar Silikon"/>
    <n v="12"/>
    <x v="1"/>
    <n v="0.17"/>
  </r>
  <r>
    <s v="DURGUTI 3"/>
    <x v="109"/>
    <m/>
    <m/>
    <m/>
    <x v="12"/>
    <s v="DURGUTI 3"/>
    <x v="8"/>
    <s v="struktural akryl"/>
    <n v="12"/>
    <x v="1"/>
    <n v="0.06"/>
  </r>
  <r>
    <s v="SOPAJ"/>
    <x v="109"/>
    <n v="144"/>
    <m/>
    <m/>
    <x v="99"/>
    <s v="SOPAJ"/>
    <x v="0"/>
    <s v="M-ONE Sanitar Silikon"/>
    <n v="12"/>
    <x v="1"/>
    <n v="0.17"/>
  </r>
  <r>
    <s v="SOPAJ"/>
    <x v="109"/>
    <m/>
    <m/>
    <m/>
    <x v="99"/>
    <s v="SOPAJ"/>
    <x v="18"/>
    <s v="M-ONE Sanitar Silikon"/>
    <n v="12"/>
    <x v="1"/>
    <n v="0.17"/>
  </r>
  <r>
    <s v="SOPAJ"/>
    <x v="109"/>
    <m/>
    <m/>
    <m/>
    <x v="99"/>
    <s v="SOPAJ"/>
    <x v="6"/>
    <s v="M-ONE Sanitar Silikon"/>
    <n v="12"/>
    <x v="1"/>
    <n v="0.17"/>
  </r>
  <r>
    <s v="SAN KOS"/>
    <x v="110"/>
    <n v="4"/>
    <m/>
    <m/>
    <x v="101"/>
    <s v="SAN KOS"/>
    <x v="15"/>
    <s v="M-ONE Sanitar Silikon"/>
    <n v="1"/>
    <x v="0"/>
    <n v="0.17"/>
  </r>
  <r>
    <s v="SAN KOS"/>
    <x v="110"/>
    <m/>
    <m/>
    <m/>
    <x v="101"/>
    <s v="SAN KOS"/>
    <x v="18"/>
    <s v="M-ONE Sanitar Silikon"/>
    <n v="12"/>
    <x v="0"/>
    <n v="0.17"/>
  </r>
  <r>
    <s v="UNIVERZAL"/>
    <x v="110"/>
    <n v="141.1"/>
    <m/>
    <m/>
    <x v="18"/>
    <s v="UNIVERZAL"/>
    <x v="0"/>
    <s v="M-ONE Sanitar Silikon"/>
    <n v="12"/>
    <x v="0"/>
    <n v="0.17"/>
  </r>
  <r>
    <s v="UNIVERZAL"/>
    <x v="110"/>
    <m/>
    <m/>
    <m/>
    <x v="18"/>
    <s v="UNIVERZAL"/>
    <x v="5"/>
    <s v="M-ONE Sanitar Silikon"/>
    <n v="12"/>
    <x v="0"/>
    <n v="0.17"/>
  </r>
  <r>
    <s v="UNIVERZAL"/>
    <x v="110"/>
    <m/>
    <m/>
    <m/>
    <x v="18"/>
    <s v="UNIVERZAL"/>
    <x v="13"/>
    <s v="M ONE MOTORSTART"/>
    <n v="5"/>
    <x v="0"/>
    <n v="0.2"/>
  </r>
  <r>
    <s v="UNIVERZAL"/>
    <x v="110"/>
    <m/>
    <m/>
    <m/>
    <x v="18"/>
    <s v="UNIVERZAL"/>
    <x v="8"/>
    <s v="struktural akryl"/>
    <n v="12"/>
    <x v="0"/>
    <n v="0.06"/>
  </r>
  <r>
    <s v="AGRONI"/>
    <x v="110"/>
    <n v="79.2"/>
    <m/>
    <m/>
    <x v="22"/>
    <s v="AGRONI"/>
    <x v="7"/>
    <s v="DICHTUNG"/>
    <n v="6"/>
    <x v="0"/>
    <n v="0.2"/>
  </r>
  <r>
    <s v="AGRONI"/>
    <x v="110"/>
    <m/>
    <m/>
    <m/>
    <x v="22"/>
    <s v="AGRONI"/>
    <x v="17"/>
    <s v="M ONE UBS"/>
    <n v="6"/>
    <x v="0"/>
    <n v="0.2"/>
  </r>
  <r>
    <s v="AGRONI"/>
    <x v="110"/>
    <m/>
    <m/>
    <m/>
    <x v="22"/>
    <s v="AGRONI"/>
    <x v="12"/>
    <s v="beMAKER Rostlöser"/>
    <n v="6"/>
    <x v="0"/>
    <n v="0.2"/>
  </r>
  <r>
    <s v="GRANITI"/>
    <x v="110"/>
    <n v="96"/>
    <m/>
    <m/>
    <x v="80"/>
    <s v="GRANITI"/>
    <x v="5"/>
    <s v="M-ONE Sanitar Silikon"/>
    <n v="12"/>
    <x v="0"/>
    <n v="0.17"/>
  </r>
  <r>
    <s v="GRANITI"/>
    <x v="110"/>
    <m/>
    <m/>
    <m/>
    <x v="80"/>
    <s v="GRANITI"/>
    <x v="1"/>
    <s v="M-ONE Sanitar Silikon"/>
    <n v="12"/>
    <x v="0"/>
    <n v="0.17"/>
  </r>
  <r>
    <s v="VISARI HH"/>
    <x v="110"/>
    <n v="96"/>
    <m/>
    <m/>
    <x v="21"/>
    <s v="VISARI HH"/>
    <x v="1"/>
    <s v="M-ONE Sanitar Silikon"/>
    <n v="12"/>
    <x v="0"/>
    <n v="0.17"/>
  </r>
  <r>
    <s v="VISARI HH"/>
    <x v="110"/>
    <m/>
    <m/>
    <m/>
    <x v="21"/>
    <s v="VISARI HH"/>
    <x v="0"/>
    <s v="M-ONE Sanitar Silikon"/>
    <n v="12"/>
    <x v="0"/>
    <n v="0.17"/>
  </r>
  <r>
    <s v="ENISI - H"/>
    <x v="110"/>
    <n v="48"/>
    <m/>
    <m/>
    <x v="20"/>
    <s v="ENISI - H"/>
    <x v="5"/>
    <s v="M-ONE Sanitar Silikon"/>
    <n v="12"/>
    <x v="0"/>
    <n v="0.17"/>
  </r>
  <r>
    <s v="PROCOM"/>
    <x v="111"/>
    <n v="52"/>
    <m/>
    <m/>
    <x v="137"/>
    <s v="PROCOM"/>
    <x v="7"/>
    <s v="DICHTUNG"/>
    <n v="3"/>
    <x v="0"/>
    <n v="0.2"/>
  </r>
  <r>
    <s v="PROCOM"/>
    <x v="111"/>
    <m/>
    <m/>
    <m/>
    <x v="137"/>
    <s v="PROCOM"/>
    <x v="18"/>
    <s v="M-ONE Sanitar Silikon"/>
    <n v="7"/>
    <x v="0"/>
    <n v="0.17"/>
  </r>
  <r>
    <s v="PROCOM"/>
    <x v="111"/>
    <m/>
    <m/>
    <m/>
    <x v="137"/>
    <s v="PROCOM"/>
    <x v="18"/>
    <s v="M-ONE Sanitar Silikon"/>
    <n v="5"/>
    <x v="0"/>
    <n v="0.17"/>
  </r>
  <r>
    <s v="PROCOM"/>
    <x v="111"/>
    <m/>
    <m/>
    <m/>
    <x v="137"/>
    <s v="PROCOM"/>
    <x v="1"/>
    <s v="M-ONE Sanitar Silikon"/>
    <n v="12"/>
    <x v="0"/>
    <n v="0.17"/>
  </r>
  <r>
    <s v="BEKA"/>
    <x v="111"/>
    <n v="48"/>
    <m/>
    <m/>
    <x v="81"/>
    <s v="BEKA"/>
    <x v="0"/>
    <s v="M-ONE Sanitar Silikon"/>
    <n v="12"/>
    <x v="0"/>
    <n v="0.17"/>
  </r>
  <r>
    <s v="REAL COLOR 2"/>
    <x v="111"/>
    <n v="96"/>
    <m/>
    <m/>
    <x v="26"/>
    <s v="REAL COLOR 2"/>
    <x v="4"/>
    <s v="M-ONE Sanitar Silikon"/>
    <n v="12"/>
    <x v="0"/>
    <n v="0.17"/>
  </r>
  <r>
    <s v="REAL COLOR 2"/>
    <x v="111"/>
    <m/>
    <m/>
    <m/>
    <x v="26"/>
    <s v="REAL COLOR 2"/>
    <x v="20"/>
    <s v="M-ONE Sanitar Silikon"/>
    <n v="12"/>
    <x v="0"/>
    <n v="0.17"/>
  </r>
  <r>
    <s v="CARRALEVA 2"/>
    <x v="111"/>
    <n v="48"/>
    <m/>
    <m/>
    <x v="23"/>
    <s v="CARRALEVA 2"/>
    <x v="9"/>
    <s v="M-ONE Sanitar Silikon"/>
    <n v="12"/>
    <x v="0"/>
    <n v="0.17"/>
  </r>
  <r>
    <s v="LONI"/>
    <x v="111"/>
    <n v="63.5"/>
    <m/>
    <m/>
    <x v="24"/>
    <s v="LONI"/>
    <x v="16"/>
    <s v="Fettspray"/>
    <n v="5"/>
    <x v="0"/>
    <n v="0.2"/>
  </r>
  <r>
    <s v="LONI"/>
    <x v="111"/>
    <m/>
    <m/>
    <m/>
    <x v="24"/>
    <s v="LONI"/>
    <x v="12"/>
    <s v="beMAKER Rostlöser"/>
    <n v="5"/>
    <x v="0"/>
    <n v="0.2"/>
  </r>
  <r>
    <s v="LONI"/>
    <x v="111"/>
    <m/>
    <m/>
    <m/>
    <x v="24"/>
    <s v="LONI"/>
    <x v="7"/>
    <s v="DICHTUNG"/>
    <n v="5"/>
    <x v="0"/>
    <n v="0.2"/>
  </r>
  <r>
    <s v="CARRALEVA 1"/>
    <x v="111"/>
    <n v="96"/>
    <m/>
    <m/>
    <x v="25"/>
    <s v="CARRALEVA 1"/>
    <x v="20"/>
    <s v="M-ONE Sanitar Silikon"/>
    <n v="12"/>
    <x v="0"/>
    <n v="0.17"/>
  </r>
  <r>
    <s v="CARRALEVA 1"/>
    <x v="111"/>
    <m/>
    <m/>
    <m/>
    <x v="25"/>
    <s v="CARRALEVA 1"/>
    <x v="4"/>
    <s v="M-ONE Sanitar Silikon"/>
    <n v="12"/>
    <x v="0"/>
    <n v="0.17"/>
  </r>
  <r>
    <s v="ARDI LIPJAN"/>
    <x v="111"/>
    <n v="92"/>
    <m/>
    <m/>
    <x v="27"/>
    <s v="ARDI LIPJAN"/>
    <x v="12"/>
    <s v="beMAKER Rostlöser"/>
    <n v="10"/>
    <x v="0"/>
    <n v="0.2"/>
  </r>
  <r>
    <s v="ARDI LIPJAN"/>
    <x v="111"/>
    <m/>
    <m/>
    <m/>
    <x v="27"/>
    <s v="ARDI LIPJAN"/>
    <x v="7"/>
    <s v="DICHTUNG"/>
    <n v="10"/>
    <x v="0"/>
    <n v="0.2"/>
  </r>
  <r>
    <s v="TE RAMIZI"/>
    <x v="111"/>
    <n v="53"/>
    <m/>
    <m/>
    <x v="201"/>
    <s v="TE RAMIZI"/>
    <x v="1"/>
    <s v="M-ONE Sanitar Silikon"/>
    <n v="12"/>
    <x v="0"/>
    <n v="0.17"/>
  </r>
  <r>
    <s v="TE RAMIZI"/>
    <x v="111"/>
    <m/>
    <m/>
    <m/>
    <x v="201"/>
    <s v="TE RAMIZI"/>
    <x v="44"/>
    <s v="M ONE FUERROT"/>
    <n v="2"/>
    <x v="0"/>
    <n v="0.15"/>
  </r>
  <r>
    <s v="RACI"/>
    <x v="111"/>
    <n v="165.6"/>
    <m/>
    <m/>
    <x v="28"/>
    <s v="RACI"/>
    <x v="5"/>
    <s v="M-ONE Sanitar Silikon"/>
    <n v="12"/>
    <x v="1"/>
    <n v="0.17"/>
  </r>
  <r>
    <s v="RACI"/>
    <x v="111"/>
    <m/>
    <m/>
    <m/>
    <x v="28"/>
    <s v="RACI"/>
    <x v="2"/>
    <s v="M-ONE Sanitar Silikon"/>
    <n v="12"/>
    <x v="1"/>
    <n v="0.17"/>
  </r>
  <r>
    <s v="RACI"/>
    <x v="111"/>
    <m/>
    <m/>
    <m/>
    <x v="28"/>
    <s v="RACI"/>
    <x v="10"/>
    <s v="PROFIMONT EXTREME"/>
    <n v="12"/>
    <x v="1"/>
    <n v="0.2"/>
  </r>
  <r>
    <s v="LIRIDONA KLINE"/>
    <x v="111"/>
    <n v="249.6"/>
    <m/>
    <m/>
    <x v="30"/>
    <s v="LIRIDONA KLINE"/>
    <x v="4"/>
    <s v="M-ONE Sanitar Silikon"/>
    <n v="24"/>
    <x v="1"/>
    <n v="0.17"/>
  </r>
  <r>
    <s v="LIRIDONA KLINE"/>
    <x v="111"/>
    <m/>
    <m/>
    <m/>
    <x v="30"/>
    <s v="LIRIDONA KLINE"/>
    <x v="0"/>
    <s v="M-ONE Sanitar Silikon"/>
    <n v="12"/>
    <x v="1"/>
    <n v="0.17"/>
  </r>
  <r>
    <s v="LIRIDONA KLINE"/>
    <x v="111"/>
    <m/>
    <m/>
    <m/>
    <x v="30"/>
    <s v="LIRIDONA KLINE"/>
    <x v="25"/>
    <s v="M-ONE Sanitar Silikon"/>
    <n v="12"/>
    <x v="1"/>
    <n v="0.17"/>
  </r>
  <r>
    <s v="LIRIDONA KLINE"/>
    <x v="111"/>
    <m/>
    <m/>
    <m/>
    <x v="30"/>
    <s v="LIRIDONA KLINE"/>
    <x v="22"/>
    <s v="universal akryl"/>
    <n v="12"/>
    <x v="1"/>
    <n v="0.06"/>
  </r>
  <r>
    <s v="LIRIDONA KLINE"/>
    <x v="111"/>
    <m/>
    <m/>
    <m/>
    <x v="30"/>
    <s v="LIRIDONA KLINE"/>
    <x v="8"/>
    <s v="struktural akryl"/>
    <n v="12"/>
    <x v="1"/>
    <n v="0.06"/>
  </r>
  <r>
    <s v="HOXHA"/>
    <x v="111"/>
    <n v="48"/>
    <m/>
    <m/>
    <x v="29"/>
    <s v="HOXHA"/>
    <x v="6"/>
    <s v="M-ONE Sanitar Silikon"/>
    <n v="12"/>
    <x v="1"/>
    <n v="0.17"/>
  </r>
  <r>
    <s v="LIRIDONA HOME"/>
    <x v="111"/>
    <n v="144"/>
    <m/>
    <m/>
    <x v="106"/>
    <s v="LIRIDONA HOME"/>
    <x v="4"/>
    <s v="M-ONE Sanitar Silikon"/>
    <n v="24"/>
    <x v="1"/>
    <n v="0.17"/>
  </r>
  <r>
    <s v="LIRIDONA HOME"/>
    <x v="111"/>
    <m/>
    <m/>
    <m/>
    <x v="106"/>
    <s v="LIRIDONA HOME"/>
    <x v="18"/>
    <s v="M-ONE Sanitar Silikon"/>
    <n v="12"/>
    <x v="1"/>
    <n v="0.17"/>
  </r>
  <r>
    <s v="LIRIDONA-A"/>
    <x v="111"/>
    <n v="138.6"/>
    <m/>
    <m/>
    <x v="105"/>
    <s v="LIRIDONA-A"/>
    <x v="4"/>
    <s v="M-ONE Sanitar Silikon"/>
    <n v="12"/>
    <x v="1"/>
    <n v="0.17"/>
  </r>
  <r>
    <s v="LIRIDONA-A"/>
    <x v="111"/>
    <m/>
    <m/>
    <m/>
    <x v="105"/>
    <s v="LIRIDONA-A"/>
    <x v="0"/>
    <s v="M-ONE Sanitar Silikon"/>
    <n v="12"/>
    <x v="1"/>
    <n v="0.17"/>
  </r>
  <r>
    <s v="LIRIDONA-A"/>
    <x v="111"/>
    <m/>
    <m/>
    <m/>
    <x v="105"/>
    <s v="LIRIDONA-A"/>
    <x v="22"/>
    <s v="universal akryl"/>
    <n v="12"/>
    <x v="1"/>
    <n v="0.06"/>
  </r>
  <r>
    <s v="LIRIDONA-A"/>
    <x v="111"/>
    <m/>
    <m/>
    <m/>
    <x v="105"/>
    <s v="LIRIDONA-A"/>
    <x v="8"/>
    <s v="struktural akryl"/>
    <n v="12"/>
    <x v="1"/>
    <n v="0.06"/>
  </r>
  <r>
    <s v="TE BENI"/>
    <x v="111"/>
    <n v="192"/>
    <m/>
    <m/>
    <x v="107"/>
    <s v="TE BENI"/>
    <x v="18"/>
    <s v="M-ONE Sanitar Silikon"/>
    <n v="24"/>
    <x v="1"/>
    <n v="0.17"/>
  </r>
  <r>
    <s v="TE BENI"/>
    <x v="111"/>
    <m/>
    <m/>
    <m/>
    <x v="107"/>
    <s v="TE BENI"/>
    <x v="20"/>
    <s v="M-ONE Sanitar Silikon"/>
    <n v="12"/>
    <x v="1"/>
    <n v="0.17"/>
  </r>
  <r>
    <s v="TE BENI"/>
    <x v="111"/>
    <m/>
    <m/>
    <m/>
    <x v="107"/>
    <s v="TE BENI"/>
    <x v="1"/>
    <s v="M-ONE Sanitar Silikon"/>
    <n v="12"/>
    <x v="1"/>
    <n v="0.17"/>
  </r>
  <r>
    <s v="BERATI A.P. (1)"/>
    <x v="111"/>
    <n v="123.2"/>
    <m/>
    <m/>
    <x v="31"/>
    <s v="BERATI A.P. (1)"/>
    <x v="7"/>
    <s v="DICHTUNG"/>
    <n v="12"/>
    <x v="1"/>
    <n v="0.2"/>
  </r>
  <r>
    <s v="BERATI A.P. (1)"/>
    <x v="111"/>
    <m/>
    <m/>
    <m/>
    <x v="31"/>
    <s v="BERATI A.P. (1)"/>
    <x v="13"/>
    <s v="M ONE MOTORSTART"/>
    <n v="5"/>
    <x v="1"/>
    <n v="0.2"/>
  </r>
  <r>
    <s v="BERATI A.P. (1)"/>
    <x v="111"/>
    <m/>
    <m/>
    <m/>
    <x v="31"/>
    <s v="BERATI A.P. (1)"/>
    <x v="16"/>
    <s v="Fettspray"/>
    <n v="5"/>
    <x v="1"/>
    <n v="0.2"/>
  </r>
  <r>
    <s v="BERATI A.P. (1)"/>
    <x v="111"/>
    <m/>
    <m/>
    <m/>
    <x v="31"/>
    <s v="BERATI A.P. (1)"/>
    <x v="42"/>
    <s v="M ONE SCHWARZ GLÄNZED"/>
    <n v="2"/>
    <x v="1"/>
    <n v="0.15"/>
  </r>
  <r>
    <s v="BERATI A.P. (1)"/>
    <x v="111"/>
    <m/>
    <m/>
    <m/>
    <x v="31"/>
    <s v="BERATI A.P. (1)"/>
    <x v="33"/>
    <s v="beMaker Handwaschpaste"/>
    <n v="4"/>
    <x v="1"/>
    <n v="0.1"/>
  </r>
  <r>
    <s v="MEGI"/>
    <x v="111"/>
    <n v="131.19999999999999"/>
    <m/>
    <m/>
    <x v="33"/>
    <s v="MEGI"/>
    <x v="7"/>
    <s v="DICHTUNG"/>
    <n v="12"/>
    <x v="1"/>
    <n v="0.2"/>
  </r>
  <r>
    <s v="MEGI"/>
    <x v="111"/>
    <m/>
    <m/>
    <m/>
    <x v="33"/>
    <s v="MEGI"/>
    <x v="12"/>
    <s v="beMAKER Rostlöser"/>
    <n v="12"/>
    <x v="1"/>
    <n v="0.2"/>
  </r>
  <r>
    <s v="MEGI"/>
    <x v="111"/>
    <m/>
    <m/>
    <m/>
    <x v="33"/>
    <s v="MEGI"/>
    <x v="13"/>
    <s v="M ONE MOTORSTART"/>
    <n v="4"/>
    <x v="1"/>
    <n v="0.2"/>
  </r>
  <r>
    <s v="MEGI"/>
    <x v="111"/>
    <m/>
    <m/>
    <m/>
    <x v="33"/>
    <s v="MEGI"/>
    <x v="33"/>
    <s v="beMaker Handwaschpaste"/>
    <n v="4"/>
    <x v="1"/>
    <n v="0.1"/>
  </r>
  <r>
    <s v="BESI"/>
    <x v="111"/>
    <n v="96"/>
    <m/>
    <m/>
    <x v="197"/>
    <s v="BESI"/>
    <x v="3"/>
    <s v="M-ONE Sanitar Silikon"/>
    <n v="12"/>
    <x v="1"/>
    <n v="0.17"/>
  </r>
  <r>
    <s v="BESI"/>
    <x v="111"/>
    <m/>
    <m/>
    <m/>
    <x v="197"/>
    <s v="BESI"/>
    <x v="25"/>
    <s v="M-ONE Sanitar Silikon"/>
    <n v="12"/>
    <x v="1"/>
    <n v="0.17"/>
  </r>
  <r>
    <s v="NSM TRADE"/>
    <x v="111"/>
    <n v="35.6"/>
    <m/>
    <m/>
    <x v="196"/>
    <e v="#N/A"/>
    <x v="7"/>
    <s v="DICHTUNG"/>
    <n v="4"/>
    <x v="1"/>
    <n v="0.2"/>
  </r>
  <r>
    <s v="NSM TRADE"/>
    <x v="111"/>
    <m/>
    <m/>
    <m/>
    <x v="196"/>
    <e v="#N/A"/>
    <x v="33"/>
    <s v="beMaker Handwaschpaste"/>
    <n v="4"/>
    <x v="1"/>
    <n v="0.1"/>
  </r>
  <r>
    <s v="TE ZENA"/>
    <x v="112"/>
    <n v="96"/>
    <m/>
    <m/>
    <x v="84"/>
    <s v="TE ZENA"/>
    <x v="18"/>
    <s v="M-ONE Sanitar Silikon"/>
    <n v="12"/>
    <x v="0"/>
    <n v="0.17"/>
  </r>
  <r>
    <s v="TE ZENA"/>
    <x v="112"/>
    <m/>
    <m/>
    <m/>
    <x v="84"/>
    <s v="TE ZENA"/>
    <x v="1"/>
    <s v="M-ONE Sanitar Silikon"/>
    <n v="12"/>
    <x v="0"/>
    <n v="0.17"/>
  </r>
  <r>
    <s v="ALBANI"/>
    <x v="112"/>
    <n v="96"/>
    <m/>
    <m/>
    <x v="34"/>
    <e v="#N/A"/>
    <x v="0"/>
    <s v="M-ONE Sanitar Silikon"/>
    <n v="12"/>
    <x v="0"/>
    <n v="0.17"/>
  </r>
  <r>
    <s v="ALBANI"/>
    <x v="112"/>
    <m/>
    <m/>
    <m/>
    <x v="34"/>
    <e v="#N/A"/>
    <x v="5"/>
    <s v="M-ONE Sanitar Silikon"/>
    <n v="12"/>
    <x v="0"/>
    <n v="0.17"/>
  </r>
  <r>
    <s v="KUJTA"/>
    <x v="112"/>
    <n v="96"/>
    <m/>
    <m/>
    <x v="36"/>
    <s v="KUJTA"/>
    <x v="9"/>
    <s v="M-ONE Sanitar Silikon"/>
    <n v="12"/>
    <x v="0"/>
    <n v="0.17"/>
  </r>
  <r>
    <s v="KUJTA"/>
    <x v="112"/>
    <m/>
    <m/>
    <m/>
    <x v="36"/>
    <s v="KUJTA"/>
    <x v="4"/>
    <s v="M-ONE Sanitar Silikon"/>
    <n v="12"/>
    <x v="0"/>
    <n v="0.17"/>
  </r>
  <r>
    <s v="KUJTA"/>
    <x v="112"/>
    <m/>
    <m/>
    <m/>
    <x v="36"/>
    <s v="KUJTA"/>
    <x v="25"/>
    <s v="M-ONE Sanitar Silikon"/>
    <n v="12"/>
    <x v="0"/>
    <n v="0.17"/>
  </r>
  <r>
    <s v="KUJTA"/>
    <x v="112"/>
    <m/>
    <m/>
    <m/>
    <x v="36"/>
    <s v="KUJTA"/>
    <x v="8"/>
    <s v="struktural akryl"/>
    <n v="12"/>
    <x v="0"/>
    <n v="0.06"/>
  </r>
  <r>
    <s v="TE KELA"/>
    <x v="112"/>
    <n v="39"/>
    <m/>
    <m/>
    <x v="151"/>
    <s v="TE KELA"/>
    <x v="12"/>
    <s v="beMAKER Rostlöser"/>
    <n v="12"/>
    <x v="0"/>
    <n v="0.2"/>
  </r>
  <r>
    <s v="TE KELA"/>
    <x v="112"/>
    <m/>
    <m/>
    <m/>
    <x v="151"/>
    <s v="TE KELA"/>
    <x v="16"/>
    <s v="Fettspray"/>
    <n v="2"/>
    <x v="0"/>
    <n v="0.2"/>
  </r>
  <r>
    <s v="TE KELA"/>
    <x v="112"/>
    <m/>
    <m/>
    <m/>
    <x v="151"/>
    <s v="TE KELA"/>
    <x v="14"/>
    <s v="beMAKER Bremsen&amp;Teile Reininger"/>
    <n v="4"/>
    <x v="0"/>
    <n v="0.2"/>
  </r>
  <r>
    <s v="TE KASTRIOTI"/>
    <x v="112"/>
    <n v="42.6"/>
    <m/>
    <m/>
    <x v="208"/>
    <s v="TE KASTRIOTI"/>
    <x v="22"/>
    <s v="universal akryl"/>
    <n v="12"/>
    <x v="0"/>
    <n v="0.06"/>
  </r>
  <r>
    <s v="TE KASTRIOTI"/>
    <x v="112"/>
    <m/>
    <m/>
    <m/>
    <x v="208"/>
    <s v="TE KASTRIOTI"/>
    <x v="8"/>
    <s v="struktural akryl"/>
    <n v="12"/>
    <x v="0"/>
    <n v="0.06"/>
  </r>
  <r>
    <s v="BECOLOR"/>
    <x v="112"/>
    <n v="39"/>
    <m/>
    <m/>
    <x v="37"/>
    <s v="BECOLOR"/>
    <x v="34"/>
    <s v="M ONE FELGENSILBER"/>
    <n v="4"/>
    <x v="0"/>
    <n v="0.15"/>
  </r>
  <r>
    <s v="BECOLOR"/>
    <x v="112"/>
    <m/>
    <m/>
    <m/>
    <x v="37"/>
    <s v="BECOLOR"/>
    <x v="45"/>
    <s v="M ONE WEISS GLÄNZEND"/>
    <n v="1"/>
    <x v="0"/>
    <n v="0.15"/>
  </r>
  <r>
    <s v="BECOLOR"/>
    <x v="112"/>
    <m/>
    <m/>
    <m/>
    <x v="37"/>
    <s v="BECOLOR"/>
    <x v="39"/>
    <s v="M ONE LACK GELB"/>
    <n v="1"/>
    <x v="0"/>
    <n v="0.15"/>
  </r>
  <r>
    <s v="BECOLOR"/>
    <x v="112"/>
    <m/>
    <m/>
    <m/>
    <x v="37"/>
    <s v="BECOLOR"/>
    <x v="17"/>
    <s v="M ONE UBS"/>
    <n v="6"/>
    <x v="0"/>
    <n v="0.2"/>
  </r>
  <r>
    <s v="AS QERAMIKA"/>
    <x v="112"/>
    <n v="480"/>
    <m/>
    <m/>
    <x v="150"/>
    <s v="AS QERAMIKA"/>
    <x v="4"/>
    <s v="M-ONE Sanitar Silikon"/>
    <n v="240"/>
    <x v="1"/>
    <n v="0.17"/>
  </r>
  <r>
    <s v="SALIHU CORPORATION"/>
    <x v="112"/>
    <n v="144"/>
    <m/>
    <m/>
    <x v="165"/>
    <e v="#N/A"/>
    <x v="0"/>
    <s v="M-ONE Sanitar Silikon"/>
    <n v="12"/>
    <x v="1"/>
    <n v="0.17"/>
  </r>
  <r>
    <s v="SALIHU CORPORATION"/>
    <x v="112"/>
    <m/>
    <m/>
    <m/>
    <x v="165"/>
    <e v="#N/A"/>
    <x v="5"/>
    <s v="M-ONE Sanitar Silikon"/>
    <n v="12"/>
    <x v="1"/>
    <n v="0.17"/>
  </r>
  <r>
    <s v="SALIHU CORPORATION"/>
    <x v="112"/>
    <m/>
    <m/>
    <m/>
    <x v="165"/>
    <e v="#N/A"/>
    <x v="20"/>
    <s v="M-ONE Sanitar Silikon"/>
    <n v="12"/>
    <x v="1"/>
    <n v="0.17"/>
  </r>
  <r>
    <s v="HIDRO DANI"/>
    <x v="112"/>
    <n v="251.1"/>
    <m/>
    <m/>
    <x v="113"/>
    <s v="HIDRO DANI"/>
    <x v="0"/>
    <s v="M-ONE Sanitar Silikon"/>
    <n v="12"/>
    <x v="1"/>
    <n v="0.17"/>
  </r>
  <r>
    <s v="HIDRO DANI"/>
    <x v="112"/>
    <m/>
    <m/>
    <m/>
    <x v="113"/>
    <s v="HIDRO DANI"/>
    <x v="5"/>
    <s v="M-ONE Sanitar Silikon"/>
    <n v="12"/>
    <x v="1"/>
    <n v="0.17"/>
  </r>
  <r>
    <s v="HIDRO DANI"/>
    <x v="112"/>
    <m/>
    <m/>
    <m/>
    <x v="113"/>
    <s v="HIDRO DANI"/>
    <x v="4"/>
    <s v="M-ONE Sanitar Silikon"/>
    <n v="12"/>
    <x v="1"/>
    <n v="0.17"/>
  </r>
  <r>
    <s v="HIDRO DANI"/>
    <x v="112"/>
    <m/>
    <m/>
    <m/>
    <x v="113"/>
    <s v="HIDRO DANI"/>
    <x v="10"/>
    <s v="PROFIMONT EXTREME"/>
    <n v="12"/>
    <x v="1"/>
    <n v="0.2"/>
  </r>
  <r>
    <s v="HIDRO DANI"/>
    <x v="112"/>
    <m/>
    <m/>
    <m/>
    <x v="113"/>
    <s v="HIDRO DANI"/>
    <x v="22"/>
    <s v="universal akryl"/>
    <n v="12"/>
    <x v="1"/>
    <n v="0.06"/>
  </r>
  <r>
    <s v="HIDRO DANI"/>
    <x v="112"/>
    <m/>
    <m/>
    <m/>
    <x v="113"/>
    <s v="HIDRO DANI"/>
    <x v="36"/>
    <s v="M ONE GOLD SPRAY"/>
    <n v="6"/>
    <x v="1"/>
    <n v="0.15"/>
  </r>
  <r>
    <s v="HIDRO DANI"/>
    <x v="112"/>
    <m/>
    <m/>
    <m/>
    <x v="113"/>
    <s v="HIDRO DANI"/>
    <x v="34"/>
    <s v="M ONE FELGENSILBER"/>
    <n v="3"/>
    <x v="1"/>
    <n v="0.15"/>
  </r>
  <r>
    <s v="ILIRI QERAMIKA"/>
    <x v="112"/>
    <n v="96"/>
    <m/>
    <m/>
    <x v="41"/>
    <s v="ILIRI QERAMIKA"/>
    <x v="4"/>
    <s v="M-ONE Sanitar Silikon"/>
    <n v="12"/>
    <x v="1"/>
    <n v="0.17"/>
  </r>
  <r>
    <s v="ILIRI QERAMIKA"/>
    <x v="112"/>
    <m/>
    <m/>
    <m/>
    <x v="41"/>
    <s v="ILIRI QERAMIKA"/>
    <x v="1"/>
    <s v="M-ONE Sanitar Silikon"/>
    <n v="12"/>
    <x v="1"/>
    <n v="0.17"/>
  </r>
  <r>
    <s v="UNIKA"/>
    <x v="112"/>
    <n v="186.6"/>
    <m/>
    <m/>
    <x v="43"/>
    <s v="UNIKA"/>
    <x v="0"/>
    <s v="M-ONE Sanitar Silikon"/>
    <n v="24"/>
    <x v="1"/>
    <n v="0.17"/>
  </r>
  <r>
    <s v="UNIKA"/>
    <x v="112"/>
    <m/>
    <m/>
    <m/>
    <x v="43"/>
    <s v="UNIKA"/>
    <x v="9"/>
    <s v="M-ONE Sanitar Silikon"/>
    <n v="12"/>
    <x v="1"/>
    <n v="0.17"/>
  </r>
  <r>
    <s v="UNIKA"/>
    <x v="112"/>
    <m/>
    <m/>
    <m/>
    <x v="43"/>
    <s v="UNIKA"/>
    <x v="22"/>
    <s v="universal akryl"/>
    <n v="12"/>
    <x v="1"/>
    <n v="0.06"/>
  </r>
  <r>
    <s v="UNIKA"/>
    <x v="112"/>
    <m/>
    <m/>
    <m/>
    <x v="43"/>
    <s v="UNIKA"/>
    <x v="8"/>
    <s v="struktural akryl"/>
    <n v="12"/>
    <x v="1"/>
    <n v="0.06"/>
  </r>
  <r>
    <s v="AGRO-XHETI"/>
    <x v="112"/>
    <n v="444.5"/>
    <m/>
    <m/>
    <x v="114"/>
    <s v="AGRO-XHETI"/>
    <x v="2"/>
    <s v="M-ONE Sanitar Silikon"/>
    <n v="24"/>
    <x v="1"/>
    <n v="0.17"/>
  </r>
  <r>
    <s v="AGRO-XHETI"/>
    <x v="112"/>
    <m/>
    <m/>
    <m/>
    <x v="114"/>
    <s v="AGRO-XHETI"/>
    <x v="9"/>
    <s v="M-ONE Sanitar Silikon"/>
    <n v="12"/>
    <x v="1"/>
    <n v="0.17"/>
  </r>
  <r>
    <s v="AGRO-XHETI"/>
    <x v="112"/>
    <m/>
    <m/>
    <m/>
    <x v="114"/>
    <s v="AGRO-XHETI"/>
    <x v="18"/>
    <s v="M-ONE Sanitar Silikon"/>
    <n v="24"/>
    <x v="1"/>
    <n v="0.17"/>
  </r>
  <r>
    <s v="AGRO-XHETI"/>
    <x v="112"/>
    <m/>
    <m/>
    <m/>
    <x v="114"/>
    <s v="AGRO-XHETI"/>
    <x v="5"/>
    <s v="M-ONE Sanitar Silikon"/>
    <n v="24"/>
    <x v="1"/>
    <n v="0.17"/>
  </r>
  <r>
    <s v="AGRO-XHETI"/>
    <x v="112"/>
    <m/>
    <m/>
    <m/>
    <x v="114"/>
    <s v="AGRO-XHETI"/>
    <x v="24"/>
    <s v="M ONE SILIKON SPRAY"/>
    <n v="12"/>
    <x v="1"/>
    <n v="0.2"/>
  </r>
  <r>
    <s v="AGRO-XHETI"/>
    <x v="112"/>
    <m/>
    <m/>
    <m/>
    <x v="114"/>
    <s v="AGRO-XHETI"/>
    <x v="16"/>
    <s v="Fettspray"/>
    <n v="7"/>
    <x v="1"/>
    <n v="0.2"/>
  </r>
  <r>
    <s v="AGRO-XHETI"/>
    <x v="112"/>
    <m/>
    <m/>
    <m/>
    <x v="114"/>
    <s v="AGRO-XHETI"/>
    <x v="12"/>
    <s v="beMAKER Rostlöser"/>
    <n v="6"/>
    <x v="1"/>
    <n v="0.2"/>
  </r>
  <r>
    <s v="AGRO-XHETI"/>
    <x v="112"/>
    <m/>
    <m/>
    <m/>
    <x v="114"/>
    <s v="AGRO-XHETI"/>
    <x v="7"/>
    <s v="DICHTUNG"/>
    <n v="5"/>
    <x v="1"/>
    <n v="0.2"/>
  </r>
  <r>
    <s v="F.V. SH.P.K. "/>
    <x v="112"/>
    <n v="154"/>
    <m/>
    <m/>
    <x v="45"/>
    <s v="F.V. SH.P.K. "/>
    <x v="20"/>
    <s v="M-ONE Sanitar Silikon"/>
    <n v="12"/>
    <x v="1"/>
    <n v="0.17"/>
  </r>
  <r>
    <s v="F.V. SH.P.K. "/>
    <x v="112"/>
    <m/>
    <m/>
    <m/>
    <x v="45"/>
    <s v="F.V. SH.P.K. "/>
    <x v="1"/>
    <s v="M-ONE Sanitar Silikon"/>
    <n v="12"/>
    <x v="1"/>
    <n v="0.17"/>
  </r>
  <r>
    <s v="F.V. SH.P.K. "/>
    <x v="112"/>
    <m/>
    <m/>
    <m/>
    <x v="45"/>
    <s v="F.V. SH.P.K. "/>
    <x v="4"/>
    <s v="M-ONE Sanitar Silikon"/>
    <n v="12"/>
    <x v="1"/>
    <n v="0.17"/>
  </r>
  <r>
    <s v="F.V. SH.P.K. "/>
    <x v="112"/>
    <m/>
    <m/>
    <m/>
    <x v="45"/>
    <s v="F.V. SH.P.K. "/>
    <x v="23"/>
    <s v="M ONE HAFTGRUND"/>
    <n v="2"/>
    <x v="1"/>
    <n v="0.15"/>
  </r>
  <r>
    <s v="F.V. SH.P.K. "/>
    <x v="112"/>
    <m/>
    <m/>
    <m/>
    <x v="45"/>
    <s v="F.V. SH.P.K. "/>
    <x v="34"/>
    <s v="M ONE FELGENSILBER"/>
    <n v="2"/>
    <x v="1"/>
    <n v="0.15"/>
  </r>
  <r>
    <s v="TE-LUTA"/>
    <x v="112"/>
    <n v="501.6"/>
    <m/>
    <m/>
    <x v="131"/>
    <s v="TE-LUTA"/>
    <x v="4"/>
    <s v="M-ONE Sanitar Silikon"/>
    <n v="24"/>
    <x v="1"/>
    <n v="0.17"/>
  </r>
  <r>
    <s v="TE-LUTA"/>
    <x v="112"/>
    <m/>
    <m/>
    <m/>
    <x v="131"/>
    <s v="TE-LUTA"/>
    <x v="20"/>
    <s v="M-ONE Sanitar Silikon"/>
    <n v="12"/>
    <x v="1"/>
    <n v="0.17"/>
  </r>
  <r>
    <s v="TE-LUTA"/>
    <x v="112"/>
    <m/>
    <m/>
    <m/>
    <x v="131"/>
    <s v="TE-LUTA"/>
    <x v="9"/>
    <s v="M-ONE Sanitar Silikon"/>
    <n v="12"/>
    <x v="1"/>
    <n v="0.17"/>
  </r>
  <r>
    <s v="TE-LUTA"/>
    <x v="112"/>
    <m/>
    <m/>
    <m/>
    <x v="131"/>
    <s v="TE-LUTA"/>
    <x v="18"/>
    <s v="M-ONE Sanitar Silikon"/>
    <n v="24"/>
    <x v="1"/>
    <n v="0.17"/>
  </r>
  <r>
    <s v="TE-LUTA"/>
    <x v="112"/>
    <m/>
    <m/>
    <m/>
    <x v="131"/>
    <s v="TE-LUTA"/>
    <x v="25"/>
    <s v="M-ONE Sanitar Silikon"/>
    <n v="12"/>
    <x v="1"/>
    <n v="0.17"/>
  </r>
  <r>
    <s v="TE-LUTA"/>
    <x v="112"/>
    <m/>
    <m/>
    <m/>
    <x v="131"/>
    <s v="TE-LUTA"/>
    <x v="0"/>
    <s v="M-ONE Sanitar Silikon"/>
    <n v="12"/>
    <x v="1"/>
    <n v="0.17"/>
  </r>
  <r>
    <s v="TE-LUTA"/>
    <x v="112"/>
    <m/>
    <m/>
    <m/>
    <x v="131"/>
    <s v="TE-LUTA"/>
    <x v="5"/>
    <s v="M-ONE Sanitar Silikon"/>
    <n v="12"/>
    <x v="1"/>
    <n v="0.17"/>
  </r>
  <r>
    <s v="TE-LUTA"/>
    <x v="112"/>
    <m/>
    <m/>
    <m/>
    <x v="131"/>
    <s v="TE-LUTA"/>
    <x v="10"/>
    <s v="PROFIMONT EXTREME"/>
    <n v="12"/>
    <x v="1"/>
    <n v="0.2"/>
  </r>
  <r>
    <s v="TE-SYLA"/>
    <x v="112"/>
    <n v="197"/>
    <m/>
    <m/>
    <x v="44"/>
    <s v="TE-SYLA"/>
    <x v="0"/>
    <s v="M-ONE Sanitar Silikon"/>
    <n v="12"/>
    <x v="1"/>
    <n v="0.17"/>
  </r>
  <r>
    <s v="TE-SYLA"/>
    <x v="112"/>
    <m/>
    <m/>
    <m/>
    <x v="44"/>
    <s v="TE-SYLA"/>
    <x v="18"/>
    <s v="M-ONE Sanitar Silikon"/>
    <n v="12"/>
    <x v="1"/>
    <n v="0.17"/>
  </r>
  <r>
    <s v="TE-SYLA"/>
    <x v="112"/>
    <m/>
    <m/>
    <m/>
    <x v="44"/>
    <s v="TE-SYLA"/>
    <x v="20"/>
    <s v="M-ONE Sanitar Silikon"/>
    <n v="24"/>
    <x v="1"/>
    <n v="0.17"/>
  </r>
  <r>
    <s v="TE-SYLA"/>
    <x v="112"/>
    <m/>
    <m/>
    <m/>
    <x v="44"/>
    <s v="TE-SYLA"/>
    <x v="34"/>
    <s v="M ONE FELGENSILBER"/>
    <n v="2"/>
    <x v="1"/>
    <n v="0.15"/>
  </r>
  <r>
    <s v="ELEKTROMONT"/>
    <x v="112"/>
    <n v="171.6"/>
    <m/>
    <m/>
    <x v="188"/>
    <s v="ELEKTROMONT"/>
    <x v="4"/>
    <s v="M-ONE Sanitar Silikon"/>
    <n v="36"/>
    <x v="1"/>
    <n v="0.17"/>
  </r>
  <r>
    <s v="ELEKTROMONT"/>
    <x v="112"/>
    <m/>
    <m/>
    <m/>
    <x v="188"/>
    <s v="ELEKTROMONT"/>
    <x v="1"/>
    <s v="M-ONE Sanitar Silikon"/>
    <n v="12"/>
    <x v="1"/>
    <n v="0.17"/>
  </r>
  <r>
    <s v="ELEKTROMONT"/>
    <x v="112"/>
    <m/>
    <m/>
    <m/>
    <x v="188"/>
    <s v="ELEKTROMONT"/>
    <x v="8"/>
    <s v="struktural akryl"/>
    <n v="12"/>
    <x v="1"/>
    <n v="0.06"/>
  </r>
  <r>
    <s v="YLLI CONSTRUCION"/>
    <x v="113"/>
    <n v="48"/>
    <m/>
    <m/>
    <x v="128"/>
    <s v="YLLI CONSTRUCION"/>
    <x v="3"/>
    <s v="M-ONE Sanitar Silikon"/>
    <n v="3"/>
    <x v="2"/>
    <n v="0.17"/>
  </r>
  <r>
    <s v="YLLI CONSTRUCION"/>
    <x v="113"/>
    <m/>
    <m/>
    <m/>
    <x v="128"/>
    <s v="YLLI CONSTRUCION"/>
    <x v="9"/>
    <s v="M-ONE Sanitar Silikon"/>
    <n v="5"/>
    <x v="2"/>
    <n v="0.17"/>
  </r>
  <r>
    <s v="YLLI CONSTRUCION"/>
    <x v="113"/>
    <m/>
    <m/>
    <m/>
    <x v="128"/>
    <s v="YLLI CONSTRUCION"/>
    <x v="1"/>
    <s v="M-ONE Sanitar Silikon"/>
    <n v="4"/>
    <x v="2"/>
    <n v="0.17"/>
  </r>
  <r>
    <s v="ARSIM"/>
    <x v="113"/>
    <n v="48"/>
    <m/>
    <m/>
    <x v="48"/>
    <s v="ARSIM"/>
    <x v="2"/>
    <s v="M-ONE Sanitar Silikon"/>
    <n v="12"/>
    <x v="0"/>
    <n v="0.17"/>
  </r>
  <r>
    <s v="KADIJOLLET"/>
    <x v="113"/>
    <n v="168.6"/>
    <m/>
    <m/>
    <x v="49"/>
    <s v="KADIJOLLET"/>
    <x v="5"/>
    <s v="M-ONE Sanitar Silikon"/>
    <n v="12"/>
    <x v="0"/>
    <n v="0.17"/>
  </r>
  <r>
    <s v="KADIJOLLET"/>
    <x v="113"/>
    <m/>
    <m/>
    <m/>
    <x v="49"/>
    <s v="KADIJOLLET"/>
    <x v="1"/>
    <s v="M-ONE Sanitar Silikon"/>
    <n v="12"/>
    <x v="0"/>
    <n v="0.17"/>
  </r>
  <r>
    <s v="KADIJOLLET"/>
    <x v="113"/>
    <m/>
    <m/>
    <m/>
    <x v="49"/>
    <s v="KADIJOLLET"/>
    <x v="7"/>
    <s v="DICHTUNG"/>
    <n v="8"/>
    <x v="0"/>
    <n v="0.2"/>
  </r>
  <r>
    <s v="KADIJOLLET"/>
    <x v="113"/>
    <m/>
    <m/>
    <m/>
    <x v="49"/>
    <s v="KADIJOLLET"/>
    <x v="22"/>
    <s v="universal akryl"/>
    <n v="12"/>
    <x v="0"/>
    <n v="0.06"/>
  </r>
  <r>
    <s v="QELA"/>
    <x v="113"/>
    <n v="75.5"/>
    <m/>
    <m/>
    <x v="50"/>
    <s v="QELA"/>
    <x v="12"/>
    <s v="beMAKER Rostlöser"/>
    <n v="5"/>
    <x v="0"/>
    <n v="0.2"/>
  </r>
  <r>
    <s v="QELA"/>
    <x v="113"/>
    <m/>
    <m/>
    <m/>
    <x v="50"/>
    <s v="QELA"/>
    <x v="16"/>
    <s v="Fettspray"/>
    <n v="5"/>
    <x v="0"/>
    <n v="0.2"/>
  </r>
  <r>
    <s v="QELA"/>
    <x v="113"/>
    <m/>
    <m/>
    <m/>
    <x v="50"/>
    <s v="QELA"/>
    <x v="4"/>
    <s v="M-ONE Sanitar Silikon"/>
    <n v="12"/>
    <x v="0"/>
    <n v="0.17"/>
  </r>
  <r>
    <s v="HIDROELDI"/>
    <x v="113"/>
    <n v="96"/>
    <m/>
    <m/>
    <x v="85"/>
    <s v="HIDROELDI"/>
    <x v="25"/>
    <s v="M-ONE Sanitar Silikon"/>
    <n v="12"/>
    <x v="0"/>
    <n v="0.17"/>
  </r>
  <r>
    <s v="HIDROELDI"/>
    <x v="113"/>
    <m/>
    <m/>
    <m/>
    <x v="85"/>
    <s v="HIDROELDI"/>
    <x v="9"/>
    <s v="M-ONE Sanitar Silikon"/>
    <n v="12"/>
    <x v="0"/>
    <n v="0.17"/>
  </r>
  <r>
    <s v="BESI COM"/>
    <x v="113"/>
    <n v="48"/>
    <m/>
    <m/>
    <x v="51"/>
    <s v="BESI COM"/>
    <x v="20"/>
    <s v="M-ONE Sanitar Silikon"/>
    <n v="12"/>
    <x v="0"/>
    <n v="0.17"/>
  </r>
  <r>
    <s v="ENESI"/>
    <x v="113"/>
    <n v="192"/>
    <m/>
    <m/>
    <x v="88"/>
    <s v="ENESI"/>
    <x v="4"/>
    <s v="M-ONE Sanitar Silikon"/>
    <n v="12"/>
    <x v="1"/>
    <n v="0.17"/>
  </r>
  <r>
    <s v="ENESI"/>
    <x v="113"/>
    <m/>
    <m/>
    <m/>
    <x v="88"/>
    <s v="ENESI"/>
    <x v="5"/>
    <s v="M-ONE Sanitar Silikon"/>
    <n v="12"/>
    <x v="1"/>
    <n v="0.17"/>
  </r>
  <r>
    <s v="ENESI"/>
    <x v="113"/>
    <m/>
    <m/>
    <m/>
    <x v="88"/>
    <s v="ENESI"/>
    <x v="25"/>
    <s v="M-ONE Sanitar Silikon"/>
    <n v="12"/>
    <x v="1"/>
    <n v="0.17"/>
  </r>
  <r>
    <s v="ENESI"/>
    <x v="113"/>
    <m/>
    <m/>
    <m/>
    <x v="88"/>
    <s v="ENESI"/>
    <x v="20"/>
    <s v="M-ONE Sanitar Silikon"/>
    <n v="12"/>
    <x v="1"/>
    <n v="0.17"/>
  </r>
  <r>
    <s v="TECOL 2"/>
    <x v="113"/>
    <n v="50"/>
    <m/>
    <m/>
    <x v="53"/>
    <s v="TECOL 2"/>
    <x v="43"/>
    <s v="M ONE SCHWARZ MATT"/>
    <n v="6"/>
    <x v="1"/>
    <n v="0.15"/>
  </r>
  <r>
    <s v="TECOL 2"/>
    <x v="113"/>
    <m/>
    <m/>
    <m/>
    <x v="53"/>
    <s v="TECOL 2"/>
    <x v="42"/>
    <s v="M ONE SCHWARZ GLÄNZED"/>
    <n v="6"/>
    <x v="1"/>
    <n v="0.15"/>
  </r>
  <r>
    <s v="TECOL 2"/>
    <x v="113"/>
    <m/>
    <m/>
    <m/>
    <x v="53"/>
    <s v="TECOL 2"/>
    <x v="34"/>
    <s v="M ONE FELGENSILBER"/>
    <n v="3"/>
    <x v="1"/>
    <n v="0.15"/>
  </r>
  <r>
    <s v="TECOL 2"/>
    <x v="113"/>
    <m/>
    <m/>
    <m/>
    <x v="53"/>
    <s v="TECOL 2"/>
    <x v="23"/>
    <s v="M ONE HAFTGRUND"/>
    <n v="3"/>
    <x v="1"/>
    <n v="0.15"/>
  </r>
  <r>
    <s v="TECOL 2"/>
    <x v="113"/>
    <m/>
    <m/>
    <m/>
    <x v="53"/>
    <s v="TECOL 2"/>
    <x v="44"/>
    <s v="M ONE FUERROT"/>
    <n v="2"/>
    <x v="1"/>
    <n v="0.15"/>
  </r>
  <r>
    <s v="LULI-C"/>
    <x v="113"/>
    <n v="144"/>
    <m/>
    <m/>
    <x v="54"/>
    <s v="LULI-C"/>
    <x v="4"/>
    <s v="M-ONE Sanitar Silikon"/>
    <n v="12"/>
    <x v="1"/>
    <n v="0.17"/>
  </r>
  <r>
    <s v="LULI-C"/>
    <x v="113"/>
    <m/>
    <m/>
    <m/>
    <x v="54"/>
    <s v="LULI-C"/>
    <x v="25"/>
    <s v="M-ONE Sanitar Silikon"/>
    <n v="12"/>
    <x v="1"/>
    <n v="0.17"/>
  </r>
  <r>
    <s v="LULI-C"/>
    <x v="113"/>
    <m/>
    <m/>
    <m/>
    <x v="54"/>
    <s v="LULI-C"/>
    <x v="0"/>
    <s v="M-ONE Sanitar Silikon"/>
    <n v="12"/>
    <x v="1"/>
    <n v="0.17"/>
  </r>
  <r>
    <s v="CAMA BAU"/>
    <x v="113"/>
    <n v="213.6"/>
    <m/>
    <m/>
    <x v="55"/>
    <s v="CAMA BAU"/>
    <x v="3"/>
    <s v="M-ONE Sanitar Silikon"/>
    <n v="12"/>
    <x v="1"/>
    <n v="0.17"/>
  </r>
  <r>
    <s v="CAMA BAU"/>
    <x v="113"/>
    <m/>
    <m/>
    <m/>
    <x v="55"/>
    <s v="CAMA BAU"/>
    <x v="18"/>
    <s v="M-ONE Sanitar Silikon"/>
    <n v="12"/>
    <x v="1"/>
    <n v="0.17"/>
  </r>
  <r>
    <s v="CAMA BAU"/>
    <x v="113"/>
    <m/>
    <m/>
    <m/>
    <x v="55"/>
    <s v="CAMA BAU"/>
    <x v="2"/>
    <s v="M-ONE Sanitar Silikon"/>
    <n v="12"/>
    <x v="1"/>
    <n v="0.17"/>
  </r>
  <r>
    <s v="CAMA BAU"/>
    <x v="113"/>
    <m/>
    <m/>
    <m/>
    <x v="55"/>
    <s v="CAMA BAU"/>
    <x v="10"/>
    <s v="PROFIMONT EXTREME"/>
    <n v="12"/>
    <x v="1"/>
    <n v="0.2"/>
  </r>
  <r>
    <s v="TE GZIMI"/>
    <x v="113"/>
    <n v="52.8"/>
    <m/>
    <m/>
    <x v="119"/>
    <s v="TE GZIMI"/>
    <x v="14"/>
    <s v="beMAKER Bremsen&amp;Teile Reininger"/>
    <n v="6"/>
    <x v="1"/>
    <n v="0.2"/>
  </r>
  <r>
    <s v="TE GZIMI"/>
    <x v="113"/>
    <m/>
    <m/>
    <m/>
    <x v="119"/>
    <s v="TE GZIMI"/>
    <x v="12"/>
    <s v="beMAKER Rostlöser"/>
    <n v="6"/>
    <x v="1"/>
    <n v="0.2"/>
  </r>
  <r>
    <s v="TE GZIMI"/>
    <x v="113"/>
    <m/>
    <m/>
    <m/>
    <x v="119"/>
    <s v="TE GZIMI"/>
    <x v="7"/>
    <s v="DICHTUNG"/>
    <n v="4"/>
    <x v="1"/>
    <n v="0.2"/>
  </r>
  <r>
    <s v="KTHIMI"/>
    <x v="113"/>
    <n v="96"/>
    <m/>
    <m/>
    <x v="57"/>
    <s v="KTHIMI"/>
    <x v="3"/>
    <s v="M-ONE Sanitar Silikon"/>
    <n v="12"/>
    <x v="1"/>
    <n v="0.17"/>
  </r>
  <r>
    <s v="KTHIMI"/>
    <x v="113"/>
    <m/>
    <m/>
    <m/>
    <x v="57"/>
    <s v="KTHIMI"/>
    <x v="4"/>
    <s v="M-ONE Sanitar Silikon"/>
    <n v="12"/>
    <x v="1"/>
    <n v="0.17"/>
  </r>
  <r>
    <s v="TERMO PROJEKT"/>
    <x v="113"/>
    <n v="145.19999999999999"/>
    <m/>
    <m/>
    <x v="56"/>
    <s v="TERMO PROJEKT"/>
    <x v="5"/>
    <s v="M-ONE Sanitar Silikon"/>
    <n v="12"/>
    <x v="1"/>
    <n v="0.17"/>
  </r>
  <r>
    <s v="TERMO PROJEKT"/>
    <x v="113"/>
    <m/>
    <m/>
    <m/>
    <x v="56"/>
    <s v="TERMO PROJEKT"/>
    <x v="8"/>
    <s v="struktural akryl"/>
    <n v="12"/>
    <x v="1"/>
    <n v="0.06"/>
  </r>
  <r>
    <s v="TERMO PROJEKT"/>
    <x v="113"/>
    <m/>
    <m/>
    <m/>
    <x v="56"/>
    <s v="TERMO PROJEKT"/>
    <x v="10"/>
    <s v="PROFIMONT EXTREME"/>
    <n v="12"/>
    <x v="1"/>
    <n v="0.2"/>
  </r>
  <r>
    <s v="LNI SHPK"/>
    <x v="113"/>
    <n v="144"/>
    <m/>
    <m/>
    <x v="141"/>
    <s v="LNI SHPK"/>
    <x v="0"/>
    <s v="M-ONE Sanitar Silikon"/>
    <n v="12"/>
    <x v="1"/>
    <n v="0.17"/>
  </r>
  <r>
    <s v="LNI SHPK"/>
    <x v="113"/>
    <m/>
    <m/>
    <m/>
    <x v="141"/>
    <s v="LNI SHPK"/>
    <x v="4"/>
    <s v="M-ONE Sanitar Silikon"/>
    <n v="12"/>
    <x v="1"/>
    <n v="0.17"/>
  </r>
  <r>
    <s v="LNI SHPK"/>
    <x v="113"/>
    <m/>
    <m/>
    <m/>
    <x v="141"/>
    <s v="LNI SHPK"/>
    <x v="5"/>
    <s v="M-ONE Sanitar Silikon"/>
    <n v="12"/>
    <x v="1"/>
    <n v="0.17"/>
  </r>
  <r>
    <s v="TE BESIMI"/>
    <x v="113"/>
    <n v="207"/>
    <m/>
    <m/>
    <x v="70"/>
    <s v="TE BESIMI"/>
    <x v="4"/>
    <s v="M-ONE Sanitar Silikon"/>
    <n v="12"/>
    <x v="1"/>
    <n v="0.17"/>
  </r>
  <r>
    <s v="TE BESIMI"/>
    <x v="113"/>
    <m/>
    <m/>
    <m/>
    <x v="70"/>
    <s v="TE BESIMI"/>
    <x v="1"/>
    <s v="M-ONE Sanitar Silikon"/>
    <n v="12"/>
    <x v="1"/>
    <n v="0.17"/>
  </r>
  <r>
    <s v="TE BESIMI"/>
    <x v="113"/>
    <m/>
    <m/>
    <m/>
    <x v="70"/>
    <s v="TE BESIMI"/>
    <x v="9"/>
    <s v="M-ONE Sanitar Silikon"/>
    <n v="12"/>
    <x v="1"/>
    <n v="0.17"/>
  </r>
  <r>
    <s v="TE BESIMI"/>
    <x v="113"/>
    <m/>
    <m/>
    <m/>
    <x v="70"/>
    <s v="TE BESIMI"/>
    <x v="22"/>
    <s v="universal akryl"/>
    <n v="12"/>
    <x v="1"/>
    <n v="0.06"/>
  </r>
  <r>
    <s v="TE BESIMI"/>
    <x v="113"/>
    <m/>
    <m/>
    <m/>
    <x v="70"/>
    <s v="TE BESIMI"/>
    <x v="17"/>
    <s v="M ONE UBS"/>
    <n v="12"/>
    <x v="1"/>
    <n v="0.2"/>
  </r>
  <r>
    <s v="AFRIMI-AG"/>
    <x v="113"/>
    <n v="165.6"/>
    <m/>
    <m/>
    <x v="69"/>
    <s v="AFRIMI-AG"/>
    <x v="2"/>
    <s v="M-ONE Sanitar Silikon"/>
    <n v="12"/>
    <x v="1"/>
    <n v="0.17"/>
  </r>
  <r>
    <s v="AFRIMI-AG"/>
    <x v="113"/>
    <m/>
    <m/>
    <m/>
    <x v="69"/>
    <s v="AFRIMI-AG"/>
    <x v="9"/>
    <s v="M-ONE Sanitar Silikon"/>
    <n v="12"/>
    <x v="1"/>
    <n v="0.17"/>
  </r>
  <r>
    <s v="AFRIMI-AG"/>
    <x v="113"/>
    <m/>
    <m/>
    <m/>
    <x v="69"/>
    <s v="AFRIMI-AG"/>
    <x v="10"/>
    <s v="PROFIMONT EXTREME"/>
    <n v="12"/>
    <x v="1"/>
    <n v="0.2"/>
  </r>
  <r>
    <s v="TAULANTI"/>
    <x v="114"/>
    <n v="144"/>
    <m/>
    <m/>
    <x v="89"/>
    <e v="#N/A"/>
    <x v="18"/>
    <s v="M-ONE Sanitar Silikon"/>
    <n v="12"/>
    <x v="0"/>
    <n v="0.17"/>
  </r>
  <r>
    <s v="TAULANTI"/>
    <x v="114"/>
    <m/>
    <m/>
    <m/>
    <x v="89"/>
    <e v="#N/A"/>
    <x v="6"/>
    <s v="M-ONE Sanitar Silikon"/>
    <n v="12"/>
    <x v="0"/>
    <n v="0.17"/>
  </r>
  <r>
    <s v="TAULANTI"/>
    <x v="114"/>
    <m/>
    <m/>
    <m/>
    <x v="89"/>
    <e v="#N/A"/>
    <x v="9"/>
    <s v="M-ONE Sanitar Silikon"/>
    <n v="12"/>
    <x v="0"/>
    <n v="0.17"/>
  </r>
  <r>
    <s v="AB SHPK"/>
    <x v="114"/>
    <n v="267.60000000000002"/>
    <m/>
    <m/>
    <x v="63"/>
    <s v="AB SHPK"/>
    <x v="25"/>
    <s v="M-ONE Sanitar Silikon"/>
    <n v="36"/>
    <x v="0"/>
    <n v="0.17"/>
  </r>
  <r>
    <s v="AB SHPK"/>
    <x v="114"/>
    <m/>
    <m/>
    <m/>
    <x v="63"/>
    <s v="AB SHPK"/>
    <x v="9"/>
    <s v="M-ONE Sanitar Silikon"/>
    <n v="24"/>
    <x v="0"/>
    <n v="0.17"/>
  </r>
  <r>
    <s v="AB SHPK"/>
    <x v="114"/>
    <m/>
    <m/>
    <m/>
    <x v="63"/>
    <s v="AB SHPK"/>
    <x v="8"/>
    <s v="struktural akryl"/>
    <n v="12"/>
    <x v="0"/>
    <n v="0.06"/>
  </r>
  <r>
    <s v="MONI 2"/>
    <x v="114"/>
    <n v="192"/>
    <m/>
    <m/>
    <x v="60"/>
    <s v="MONI 2"/>
    <x v="3"/>
    <s v="M-ONE Sanitar Silikon"/>
    <n v="24"/>
    <x v="0"/>
    <n v="0.17"/>
  </r>
  <r>
    <s v="MONI 2"/>
    <x v="114"/>
    <m/>
    <m/>
    <m/>
    <x v="60"/>
    <s v="MONI 2"/>
    <x v="20"/>
    <s v="M-ONE Sanitar Silikon"/>
    <n v="12"/>
    <x v="0"/>
    <n v="0.17"/>
  </r>
  <r>
    <s v="MONI 2"/>
    <x v="114"/>
    <m/>
    <m/>
    <m/>
    <x v="60"/>
    <s v="MONI 2"/>
    <x v="1"/>
    <s v="M-ONE Sanitar Silikon"/>
    <n v="12"/>
    <x v="0"/>
    <n v="0.17"/>
  </r>
  <r>
    <s v="BEK TRADE"/>
    <x v="114"/>
    <n v="48"/>
    <m/>
    <m/>
    <x v="62"/>
    <s v="BEK TRADE"/>
    <x v="18"/>
    <s v="M-ONE Sanitar Silikon"/>
    <n v="12"/>
    <x v="0"/>
    <n v="0.17"/>
  </r>
  <r>
    <s v="ARPO"/>
    <x v="114"/>
    <n v="330.6"/>
    <m/>
    <m/>
    <x v="64"/>
    <s v="ARPO"/>
    <x v="0"/>
    <s v="M-ONE Sanitar Silikon"/>
    <n v="24"/>
    <x v="0"/>
    <n v="0.17"/>
  </r>
  <r>
    <s v="ARPO"/>
    <x v="114"/>
    <m/>
    <m/>
    <m/>
    <x v="64"/>
    <s v="ARPO"/>
    <x v="4"/>
    <s v="M-ONE Sanitar Silikon"/>
    <n v="12"/>
    <x v="0"/>
    <n v="0.17"/>
  </r>
  <r>
    <s v="ARPO"/>
    <x v="114"/>
    <m/>
    <m/>
    <m/>
    <x v="64"/>
    <s v="ARPO"/>
    <x v="20"/>
    <s v="M-ONE Sanitar Silikon"/>
    <n v="12"/>
    <x v="0"/>
    <n v="0.17"/>
  </r>
  <r>
    <s v="ARPO"/>
    <x v="114"/>
    <m/>
    <m/>
    <m/>
    <x v="64"/>
    <s v="ARPO"/>
    <x v="18"/>
    <s v="M-ONE Sanitar Silikon"/>
    <n v="12"/>
    <x v="0"/>
    <n v="0.17"/>
  </r>
  <r>
    <s v="ARPO"/>
    <x v="114"/>
    <m/>
    <m/>
    <m/>
    <x v="64"/>
    <s v="ARPO"/>
    <x v="9"/>
    <s v="M-ONE Sanitar Silikon"/>
    <n v="12"/>
    <x v="0"/>
    <n v="0.17"/>
  </r>
  <r>
    <s v="ARPO"/>
    <x v="114"/>
    <m/>
    <m/>
    <m/>
    <x v="64"/>
    <s v="ARPO"/>
    <x v="22"/>
    <s v="universal akryl"/>
    <n v="12"/>
    <x v="0"/>
    <n v="0.06"/>
  </r>
  <r>
    <s v="ARPO"/>
    <x v="114"/>
    <m/>
    <m/>
    <m/>
    <x v="64"/>
    <s v="ARPO"/>
    <x v="8"/>
    <s v="struktural akryl"/>
    <n v="12"/>
    <x v="0"/>
    <n v="0.06"/>
  </r>
  <r>
    <s v="XHAFA"/>
    <x v="114"/>
    <n v="123.6"/>
    <m/>
    <m/>
    <x v="61"/>
    <s v="XHAFA"/>
    <x v="5"/>
    <s v="M-ONE Sanitar Silikon"/>
    <n v="12"/>
    <x v="0"/>
    <n v="0.17"/>
  </r>
  <r>
    <s v="XHAFA"/>
    <x v="114"/>
    <m/>
    <m/>
    <m/>
    <x v="61"/>
    <s v="XHAFA"/>
    <x v="9"/>
    <s v="M-ONE Sanitar Silikon"/>
    <n v="12"/>
    <x v="0"/>
    <n v="0.17"/>
  </r>
  <r>
    <s v="XHAFA"/>
    <x v="114"/>
    <m/>
    <m/>
    <m/>
    <x v="61"/>
    <s v="XHAFA"/>
    <x v="8"/>
    <s v="struktural akryl"/>
    <n v="12"/>
    <x v="0"/>
    <n v="0.06"/>
  </r>
  <r>
    <s v="TEMAJ"/>
    <x v="114"/>
    <n v="48"/>
    <m/>
    <m/>
    <x v="91"/>
    <s v="TEMAJ"/>
    <x v="18"/>
    <s v="M-ONE Sanitar Silikon"/>
    <n v="12"/>
    <x v="2"/>
    <n v="0.17"/>
  </r>
  <r>
    <s v="PROSAN"/>
    <x v="114"/>
    <n v="283.2"/>
    <m/>
    <m/>
    <x v="153"/>
    <s v="PROSAN"/>
    <x v="10"/>
    <s v="PROFIMONT EXTREME"/>
    <n v="24"/>
    <x v="1"/>
    <n v="0.2"/>
  </r>
  <r>
    <s v="PROSAN"/>
    <x v="114"/>
    <m/>
    <m/>
    <m/>
    <x v="153"/>
    <s v="PROSAN"/>
    <x v="18"/>
    <s v="M-ONE Sanitar Silikon"/>
    <n v="36"/>
    <x v="1"/>
    <n v="0.17"/>
  </r>
  <r>
    <s v="CONDOR"/>
    <x v="114"/>
    <n v="240"/>
    <m/>
    <m/>
    <x v="11"/>
    <s v="CONDOR"/>
    <x v="3"/>
    <s v="M-ONE Sanitar Silikon"/>
    <n v="12"/>
    <x v="1"/>
    <n v="0.17"/>
  </r>
  <r>
    <s v="CONDOR"/>
    <x v="114"/>
    <m/>
    <m/>
    <m/>
    <x v="11"/>
    <s v="CONDOR"/>
    <x v="4"/>
    <s v="M-ONE Sanitar Silikon"/>
    <n v="24"/>
    <x v="1"/>
    <n v="0.17"/>
  </r>
  <r>
    <s v="CONDOR"/>
    <x v="114"/>
    <m/>
    <m/>
    <m/>
    <x v="11"/>
    <s v="CONDOR"/>
    <x v="0"/>
    <s v="M-ONE Sanitar Silikon"/>
    <n v="12"/>
    <x v="1"/>
    <n v="0.17"/>
  </r>
  <r>
    <s v="CONDOR"/>
    <x v="114"/>
    <m/>
    <m/>
    <m/>
    <x v="11"/>
    <s v="CONDOR"/>
    <x v="5"/>
    <s v="M-ONE Sanitar Silikon"/>
    <n v="12"/>
    <x v="1"/>
    <n v="0.17"/>
  </r>
  <r>
    <s v="GER COLORS"/>
    <x v="114"/>
    <n v="149.6"/>
    <m/>
    <m/>
    <x v="94"/>
    <s v="GER COLORS"/>
    <x v="26"/>
    <s v="BAU CLEAN"/>
    <n v="10"/>
    <x v="1"/>
    <n v="0.5"/>
  </r>
  <r>
    <s v="GER COLORS"/>
    <x v="114"/>
    <m/>
    <m/>
    <m/>
    <x v="94"/>
    <s v="GER COLORS"/>
    <x v="10"/>
    <s v="PROFIMONT EXTREME"/>
    <n v="12"/>
    <x v="1"/>
    <n v="0.2"/>
  </r>
  <r>
    <s v="INOX 2"/>
    <x v="114"/>
    <n v="144"/>
    <m/>
    <m/>
    <x v="93"/>
    <s v="INOX 2"/>
    <x v="4"/>
    <s v="M-ONE Sanitar Silikon"/>
    <n v="24"/>
    <x v="1"/>
    <n v="0.17"/>
  </r>
  <r>
    <s v="INOX 2"/>
    <x v="114"/>
    <m/>
    <m/>
    <m/>
    <x v="93"/>
    <s v="INOX 2"/>
    <x v="2"/>
    <s v="M-ONE Sanitar Silikon"/>
    <n v="12"/>
    <x v="1"/>
    <n v="0.17"/>
  </r>
  <r>
    <s v="HB-DECOR"/>
    <x v="114"/>
    <n v="69.599999999999994"/>
    <m/>
    <m/>
    <x v="95"/>
    <s v="HB-DECOR"/>
    <x v="10"/>
    <s v="PROFIMONT EXTREME"/>
    <n v="12"/>
    <x v="1"/>
    <n v="0.2"/>
  </r>
  <r>
    <s v="HAZROLLI"/>
    <x v="114"/>
    <n v="144"/>
    <m/>
    <m/>
    <x v="9"/>
    <s v="HAZROLLI"/>
    <x v="5"/>
    <s v="M-ONE Sanitar Silikon"/>
    <n v="24"/>
    <x v="1"/>
    <n v="0.17"/>
  </r>
  <r>
    <s v="HAZROLLI"/>
    <x v="114"/>
    <m/>
    <m/>
    <m/>
    <x v="9"/>
    <s v="HAZROLLI"/>
    <x v="2"/>
    <s v="M-ONE Sanitar Silikon"/>
    <n v="12"/>
    <x v="1"/>
    <n v="0.17"/>
  </r>
  <r>
    <s v="DURGUTI 3"/>
    <x v="114"/>
    <n v="63"/>
    <m/>
    <m/>
    <x v="12"/>
    <s v="DURGUTI 3"/>
    <x v="3"/>
    <s v="M-ONE Sanitar Silikon"/>
    <n v="12"/>
    <x v="1"/>
    <n v="0.17"/>
  </r>
  <r>
    <s v="DURGUTI 3"/>
    <x v="114"/>
    <m/>
    <m/>
    <m/>
    <x v="12"/>
    <s v="DURGUTI 3"/>
    <x v="22"/>
    <s v="universal akryl"/>
    <n v="12"/>
    <x v="1"/>
    <n v="0.06"/>
  </r>
  <r>
    <s v="TE RAMIZI"/>
    <x v="115"/>
    <n v="48"/>
    <m/>
    <m/>
    <x v="201"/>
    <s v="TE RAMIZI"/>
    <x v="1"/>
    <s v="M-ONE Sanitar Silikon"/>
    <n v="12"/>
    <x v="0"/>
    <n v="0.17"/>
  </r>
  <r>
    <s v="CARRALEVA 1"/>
    <x v="115"/>
    <n v="96"/>
    <m/>
    <m/>
    <x v="25"/>
    <s v="CARRALEVA 1"/>
    <x v="9"/>
    <s v="M-ONE Sanitar Silikon"/>
    <n v="12"/>
    <x v="0"/>
    <n v="0.17"/>
  </r>
  <r>
    <s v="CARRALEVA 1"/>
    <x v="115"/>
    <m/>
    <m/>
    <m/>
    <x v="25"/>
    <s v="CARRALEVA 1"/>
    <x v="5"/>
    <s v="M-ONE Sanitar Silikon"/>
    <n v="12"/>
    <x v="0"/>
    <n v="0.17"/>
  </r>
  <r>
    <s v="REAL COLOR 2"/>
    <x v="115"/>
    <n v="144"/>
    <m/>
    <m/>
    <x v="26"/>
    <s v="REAL COLOR 2"/>
    <x v="4"/>
    <s v="M-ONE Sanitar Silikon"/>
    <n v="12"/>
    <x v="0"/>
    <n v="0.17"/>
  </r>
  <r>
    <s v="REAL COLOR 2"/>
    <x v="115"/>
    <m/>
    <m/>
    <m/>
    <x v="26"/>
    <s v="REAL COLOR 2"/>
    <x v="2"/>
    <s v="M-ONE Sanitar Silikon"/>
    <n v="12"/>
    <x v="0"/>
    <n v="0.17"/>
  </r>
  <r>
    <s v="REAL COLOR 2"/>
    <x v="115"/>
    <m/>
    <m/>
    <m/>
    <x v="26"/>
    <s v="REAL COLOR 2"/>
    <x v="9"/>
    <s v="M-ONE Sanitar Silikon"/>
    <n v="12"/>
    <x v="0"/>
    <n v="0.17"/>
  </r>
  <r>
    <s v="LONI"/>
    <x v="115"/>
    <n v="45"/>
    <m/>
    <m/>
    <x v="24"/>
    <s v="LONI"/>
    <x v="12"/>
    <s v="beMAKER Rostlöser"/>
    <n v="5"/>
    <x v="0"/>
    <n v="0.2"/>
  </r>
  <r>
    <s v="LONI"/>
    <x v="115"/>
    <m/>
    <m/>
    <m/>
    <x v="24"/>
    <s v="LONI"/>
    <x v="13"/>
    <s v="M ONE MOTORSTART"/>
    <n v="5"/>
    <x v="0"/>
    <n v="0.2"/>
  </r>
  <r>
    <s v="LONI"/>
    <x v="115"/>
    <m/>
    <m/>
    <m/>
    <x v="24"/>
    <s v="LONI"/>
    <x v="16"/>
    <s v="Fettspray"/>
    <n v="5"/>
    <x v="0"/>
    <n v="0.2"/>
  </r>
  <r>
    <s v="MULI"/>
    <x v="115"/>
    <n v="96"/>
    <m/>
    <m/>
    <x v="158"/>
    <s v="MULI"/>
    <x v="4"/>
    <s v="M-ONE Sanitar Silikon"/>
    <n v="12"/>
    <x v="0"/>
    <n v="0.17"/>
  </r>
  <r>
    <s v="MULI"/>
    <x v="115"/>
    <m/>
    <m/>
    <m/>
    <x v="158"/>
    <s v="MULI"/>
    <x v="9"/>
    <s v="M-ONE Sanitar Silikon"/>
    <n v="12"/>
    <x v="0"/>
    <n v="0.17"/>
  </r>
  <r>
    <s v="CARRALEVA 2"/>
    <x v="115"/>
    <n v="48"/>
    <m/>
    <m/>
    <x v="23"/>
    <s v="CARRALEVA 2"/>
    <x v="1"/>
    <s v="M-ONE Sanitar Silikon"/>
    <n v="12"/>
    <x v="0"/>
    <n v="0.17"/>
  </r>
  <r>
    <s v="PROCOM"/>
    <x v="115"/>
    <n v="128"/>
    <m/>
    <m/>
    <x v="137"/>
    <s v="PROCOM"/>
    <x v="25"/>
    <s v="M-ONE Sanitar Silikon"/>
    <n v="12"/>
    <x v="0"/>
    <n v="0.17"/>
  </r>
  <r>
    <s v="PROCOM"/>
    <x v="115"/>
    <m/>
    <m/>
    <m/>
    <x v="137"/>
    <s v="PROCOM"/>
    <x v="15"/>
    <s v="M-ONE Sanitar Silikon"/>
    <n v="8"/>
    <x v="0"/>
    <n v="0.17"/>
  </r>
  <r>
    <s v="PROCOM"/>
    <x v="115"/>
    <m/>
    <m/>
    <m/>
    <x v="137"/>
    <s v="PROCOM"/>
    <x v="1"/>
    <s v="M-ONE Sanitar Silikon"/>
    <n v="12"/>
    <x v="0"/>
    <n v="0.17"/>
  </r>
  <r>
    <s v="RACI"/>
    <x v="115"/>
    <n v="48"/>
    <m/>
    <m/>
    <x v="28"/>
    <s v="RACI"/>
    <x v="5"/>
    <s v="M-ONE Sanitar Silikon"/>
    <n v="12"/>
    <x v="1"/>
    <n v="0.17"/>
  </r>
  <r>
    <s v="HOXHA"/>
    <x v="115"/>
    <n v="96"/>
    <m/>
    <m/>
    <x v="29"/>
    <s v="HOXHA"/>
    <x v="4"/>
    <s v="M-ONE Sanitar Silikon"/>
    <n v="12"/>
    <x v="1"/>
    <n v="0.17"/>
  </r>
  <r>
    <s v="HOXHA"/>
    <x v="115"/>
    <m/>
    <m/>
    <m/>
    <x v="29"/>
    <s v="HOXHA"/>
    <x v="9"/>
    <s v="M-ONE Sanitar Silikon"/>
    <n v="12"/>
    <x v="1"/>
    <n v="0.17"/>
  </r>
  <r>
    <s v="LIRIDONA-A"/>
    <x v="115"/>
    <n v="144"/>
    <m/>
    <m/>
    <x v="105"/>
    <s v="LIRIDONA-A"/>
    <x v="1"/>
    <s v="M-ONE Sanitar Silikon"/>
    <n v="36"/>
    <x v="1"/>
    <n v="0.17"/>
  </r>
  <r>
    <s v="GASHI-COM"/>
    <x v="115"/>
    <n v="126"/>
    <m/>
    <m/>
    <x v="209"/>
    <s v="GASHI-COM"/>
    <x v="5"/>
    <s v="M-ONE Sanitar Silikon"/>
    <n v="24"/>
    <x v="1"/>
    <n v="0.17"/>
  </r>
  <r>
    <s v="GASHI-COM"/>
    <x v="115"/>
    <m/>
    <m/>
    <m/>
    <x v="209"/>
    <s v="GASHI-COM"/>
    <x v="22"/>
    <s v="universal akryl"/>
    <n v="24"/>
    <x v="1"/>
    <n v="0.06"/>
  </r>
  <r>
    <s v="TE BENI"/>
    <x v="115"/>
    <n v="144"/>
    <m/>
    <m/>
    <x v="107"/>
    <s v="TE BENI"/>
    <x v="3"/>
    <s v="M-ONE Sanitar Silikon"/>
    <n v="12"/>
    <x v="1"/>
    <n v="0.17"/>
  </r>
  <r>
    <s v="TE BENI"/>
    <x v="115"/>
    <m/>
    <m/>
    <m/>
    <x v="107"/>
    <s v="TE BENI"/>
    <x v="0"/>
    <s v="M-ONE Sanitar Silikon"/>
    <n v="12"/>
    <x v="1"/>
    <n v="0.17"/>
  </r>
  <r>
    <s v="TE BENI"/>
    <x v="115"/>
    <m/>
    <m/>
    <m/>
    <x v="107"/>
    <s v="TE BENI"/>
    <x v="2"/>
    <s v="M-ONE Sanitar Silikon"/>
    <n v="12"/>
    <x v="1"/>
    <n v="0.17"/>
  </r>
  <r>
    <s v="BENI"/>
    <x v="115"/>
    <n v="43.5"/>
    <m/>
    <m/>
    <x v="32"/>
    <s v="BENI"/>
    <x v="13"/>
    <s v="M ONE MOTORSTART"/>
    <n v="6"/>
    <x v="1"/>
    <n v="0.2"/>
  </r>
  <r>
    <s v="BENI"/>
    <x v="115"/>
    <m/>
    <m/>
    <m/>
    <x v="32"/>
    <s v="BENI"/>
    <x v="44"/>
    <s v="M ONE FUERROT"/>
    <n v="5"/>
    <x v="1"/>
    <n v="0.15"/>
  </r>
  <r>
    <s v="BENI"/>
    <x v="115"/>
    <m/>
    <m/>
    <m/>
    <x v="32"/>
    <s v="BENI"/>
    <x v="43"/>
    <s v="M ONE SCHWARZ MATT"/>
    <n v="4"/>
    <x v="1"/>
    <n v="0.15"/>
  </r>
  <r>
    <s v="TE ZENA"/>
    <x v="116"/>
    <n v="96"/>
    <m/>
    <m/>
    <x v="84"/>
    <s v="TE ZENA"/>
    <x v="25"/>
    <s v="M-ONE Sanitar Silikon"/>
    <n v="12"/>
    <x v="0"/>
    <n v="0.17"/>
  </r>
  <r>
    <s v="TE ZENA"/>
    <x v="116"/>
    <m/>
    <m/>
    <m/>
    <x v="84"/>
    <s v="TE ZENA"/>
    <x v="6"/>
    <s v="M-ONE Sanitar Silikon"/>
    <n v="12"/>
    <x v="0"/>
    <n v="0.17"/>
  </r>
  <r>
    <s v="ALBANI"/>
    <x v="116"/>
    <n v="111"/>
    <m/>
    <m/>
    <x v="34"/>
    <e v="#N/A"/>
    <x v="5"/>
    <s v="M-ONE Sanitar Silikon"/>
    <n v="12"/>
    <x v="0"/>
    <n v="0.17"/>
  </r>
  <r>
    <s v="ALBANI"/>
    <x v="116"/>
    <m/>
    <m/>
    <m/>
    <x v="34"/>
    <e v="#N/A"/>
    <x v="9"/>
    <s v="M-ONE Sanitar Silikon"/>
    <n v="12"/>
    <x v="0"/>
    <n v="0.17"/>
  </r>
  <r>
    <s v="ALBANI"/>
    <x v="116"/>
    <m/>
    <m/>
    <m/>
    <x v="34"/>
    <e v="#N/A"/>
    <x v="22"/>
    <s v="universal akryl"/>
    <n v="12"/>
    <x v="0"/>
    <n v="0.06"/>
  </r>
  <r>
    <s v="HOXHA"/>
    <x v="116"/>
    <n v="52.9"/>
    <m/>
    <m/>
    <x v="159"/>
    <s v="HOXHA"/>
    <x v="14"/>
    <s v="beMAKER Bremsen&amp;Teile Reininger"/>
    <n v="12"/>
    <x v="0"/>
    <n v="0.2"/>
  </r>
  <r>
    <s v="HOXHA"/>
    <x v="116"/>
    <m/>
    <m/>
    <m/>
    <x v="159"/>
    <s v="HOXHA"/>
    <x v="13"/>
    <s v="M ONE MOTORSTART"/>
    <n v="2"/>
    <x v="0"/>
    <n v="0.2"/>
  </r>
  <r>
    <s v="HOXHA"/>
    <x v="116"/>
    <m/>
    <m/>
    <m/>
    <x v="159"/>
    <s v="HOXHA"/>
    <x v="12"/>
    <s v="beMAKER Rostlöser"/>
    <n v="2"/>
    <x v="0"/>
    <n v="0.2"/>
  </r>
  <r>
    <s v="HOXHA"/>
    <x v="116"/>
    <m/>
    <m/>
    <m/>
    <x v="159"/>
    <s v="HOXHA"/>
    <x v="7"/>
    <s v="DICHTUNG"/>
    <n v="2"/>
    <x v="0"/>
    <n v="0.2"/>
  </r>
  <r>
    <s v="HOXHA"/>
    <x v="116"/>
    <m/>
    <m/>
    <m/>
    <x v="159"/>
    <s v="HOXHA"/>
    <x v="16"/>
    <s v="Fettspray"/>
    <n v="1"/>
    <x v="0"/>
    <n v="0.2"/>
  </r>
  <r>
    <s v="ALBANI"/>
    <x v="116"/>
    <n v="96"/>
    <m/>
    <m/>
    <x v="83"/>
    <e v="#N/A"/>
    <x v="4"/>
    <s v="M-ONE Sanitar Silikon"/>
    <n v="12"/>
    <x v="0"/>
    <n v="0.17"/>
  </r>
  <r>
    <s v="ALBANI"/>
    <x v="116"/>
    <m/>
    <m/>
    <m/>
    <x v="83"/>
    <e v="#N/A"/>
    <x v="18"/>
    <s v="M-ONE Sanitar Silikon"/>
    <n v="12"/>
    <x v="0"/>
    <n v="0.17"/>
  </r>
  <r>
    <s v="KUJTA"/>
    <x v="116"/>
    <n v="77"/>
    <m/>
    <m/>
    <x v="36"/>
    <s v="KUJTA"/>
    <x v="2"/>
    <s v="M-ONE Sanitar Silikon"/>
    <n v="12"/>
    <x v="0"/>
    <n v="0.17"/>
  </r>
  <r>
    <s v="KUJTA"/>
    <x v="116"/>
    <m/>
    <m/>
    <m/>
    <x v="36"/>
    <s v="KUJTA"/>
    <x v="14"/>
    <s v="beMAKER Bremsen&amp;Teile Reininger"/>
    <n v="5"/>
    <x v="0"/>
    <n v="0.2"/>
  </r>
  <r>
    <s v="KUJTA"/>
    <x v="116"/>
    <m/>
    <m/>
    <m/>
    <x v="36"/>
    <s v="KUJTA"/>
    <x v="7"/>
    <s v="DICHTUNG"/>
    <n v="2"/>
    <x v="0"/>
    <n v="0.2"/>
  </r>
  <r>
    <s v="KUJTA"/>
    <x v="116"/>
    <m/>
    <m/>
    <m/>
    <x v="36"/>
    <s v="KUJTA"/>
    <x v="12"/>
    <s v="beMAKER Rostlöser"/>
    <n v="2"/>
    <x v="0"/>
    <n v="0.2"/>
  </r>
  <r>
    <s v="BUJARI Q - BESII"/>
    <x v="116"/>
    <n v="240"/>
    <m/>
    <m/>
    <x v="116"/>
    <s v="BUJARI Q - BESII"/>
    <x v="4"/>
    <s v="M-ONE Sanitar Silikon"/>
    <n v="48"/>
    <x v="1"/>
    <n v="0.17"/>
  </r>
  <r>
    <s v="BUJARI Q - BESII"/>
    <x v="116"/>
    <m/>
    <m/>
    <m/>
    <x v="116"/>
    <s v="BUJARI Q - BESII"/>
    <x v="18"/>
    <s v="M-ONE Sanitar Silikon"/>
    <n v="12"/>
    <x v="1"/>
    <n v="0.17"/>
  </r>
  <r>
    <s v="AGROLONDI"/>
    <x v="116"/>
    <n v="111"/>
    <m/>
    <m/>
    <x v="39"/>
    <s v="AGROLONDI"/>
    <x v="6"/>
    <s v="M-ONE Sanitar Silikon"/>
    <n v="12"/>
    <x v="1"/>
    <n v="0.17"/>
  </r>
  <r>
    <s v="AGROLONDI"/>
    <x v="116"/>
    <m/>
    <m/>
    <m/>
    <x v="39"/>
    <s v="AGROLONDI"/>
    <x v="20"/>
    <s v="M-ONE Sanitar Silikon"/>
    <n v="12"/>
    <x v="1"/>
    <n v="0.17"/>
  </r>
  <r>
    <s v="AGROLONDI"/>
    <x v="116"/>
    <m/>
    <m/>
    <m/>
    <x v="39"/>
    <s v="AGROLONDI"/>
    <x v="22"/>
    <s v="universal akryl"/>
    <n v="12"/>
    <x v="1"/>
    <n v="0.06"/>
  </r>
  <r>
    <s v="SALIHU CORPORATION"/>
    <x v="116"/>
    <n v="144"/>
    <m/>
    <m/>
    <x v="165"/>
    <e v="#N/A"/>
    <x v="4"/>
    <s v="M-ONE Sanitar Silikon"/>
    <n v="24"/>
    <x v="1"/>
    <n v="0.17"/>
  </r>
  <r>
    <s v="SALIHU CORPORATION"/>
    <x v="116"/>
    <m/>
    <m/>
    <m/>
    <x v="165"/>
    <e v="#N/A"/>
    <x v="20"/>
    <s v="M-ONE Sanitar Silikon"/>
    <n v="12"/>
    <x v="1"/>
    <n v="0.17"/>
  </r>
  <r>
    <s v="LONI"/>
    <x v="116"/>
    <n v="192"/>
    <m/>
    <m/>
    <x v="46"/>
    <s v="LONI"/>
    <x v="18"/>
    <s v="M-ONE Sanitar Silikon"/>
    <n v="12"/>
    <x v="1"/>
    <n v="0.17"/>
  </r>
  <r>
    <s v="LONI"/>
    <x v="116"/>
    <m/>
    <m/>
    <m/>
    <x v="46"/>
    <s v="LONI"/>
    <x v="20"/>
    <s v="M-ONE Sanitar Silikon"/>
    <n v="12"/>
    <x v="1"/>
    <n v="0.17"/>
  </r>
  <r>
    <s v="LONI"/>
    <x v="116"/>
    <m/>
    <m/>
    <m/>
    <x v="46"/>
    <s v="LONI"/>
    <x v="1"/>
    <s v="M-ONE Sanitar Silikon"/>
    <n v="12"/>
    <x v="1"/>
    <n v="0.17"/>
  </r>
  <r>
    <s v="LONI"/>
    <x v="116"/>
    <m/>
    <m/>
    <m/>
    <x v="46"/>
    <s v="LONI"/>
    <x v="2"/>
    <s v="M-ONE Sanitar Silikon"/>
    <n v="12"/>
    <x v="1"/>
    <n v="0.17"/>
  </r>
  <r>
    <s v="BULONI - SH"/>
    <x v="116"/>
    <n v="192"/>
    <m/>
    <m/>
    <x v="47"/>
    <s v="BULONI - SH"/>
    <x v="18"/>
    <s v="M-ONE Sanitar Silikon"/>
    <n v="12"/>
    <x v="1"/>
    <n v="0.17"/>
  </r>
  <r>
    <s v="BULONI - SH"/>
    <x v="116"/>
    <m/>
    <m/>
    <m/>
    <x v="47"/>
    <s v="BULONI - SH"/>
    <x v="1"/>
    <s v="M-ONE Sanitar Silikon"/>
    <n v="12"/>
    <x v="1"/>
    <n v="0.17"/>
  </r>
  <r>
    <s v="BULONI - SH"/>
    <x v="116"/>
    <m/>
    <m/>
    <m/>
    <x v="47"/>
    <s v="BULONI - SH"/>
    <x v="18"/>
    <s v="M-ONE Sanitar Silikon"/>
    <n v="12"/>
    <x v="1"/>
    <n v="0.17"/>
  </r>
  <r>
    <s v="BULONI - SH"/>
    <x v="116"/>
    <m/>
    <m/>
    <m/>
    <x v="47"/>
    <s v="BULONI - SH"/>
    <x v="5"/>
    <s v="M-ONE Sanitar Silikon"/>
    <n v="12"/>
    <x v="1"/>
    <n v="0.17"/>
  </r>
  <r>
    <s v="ALFA-QERAMIKA"/>
    <x v="116"/>
    <n v="144"/>
    <m/>
    <m/>
    <x v="115"/>
    <s v="ALFA-QERAMIKA"/>
    <x v="0"/>
    <s v="M-ONE Sanitar Silikon"/>
    <n v="12"/>
    <x v="1"/>
    <n v="0.17"/>
  </r>
  <r>
    <s v="ALFA-QERAMIKA"/>
    <x v="116"/>
    <m/>
    <m/>
    <m/>
    <x v="115"/>
    <s v="ALFA-QERAMIKA"/>
    <x v="9"/>
    <s v="M-ONE Sanitar Silikon"/>
    <n v="24"/>
    <x v="1"/>
    <n v="0.17"/>
  </r>
  <r>
    <s v="TE-SYLA"/>
    <x v="116"/>
    <n v="240"/>
    <m/>
    <m/>
    <x v="44"/>
    <s v="TE-SYLA"/>
    <x v="4"/>
    <s v="M-ONE Sanitar Silikon"/>
    <n v="12"/>
    <x v="1"/>
    <n v="0.17"/>
  </r>
  <r>
    <s v="TE-SYLA"/>
    <x v="116"/>
    <m/>
    <m/>
    <m/>
    <x v="44"/>
    <s v="TE-SYLA"/>
    <x v="1"/>
    <s v="M-ONE Sanitar Silikon"/>
    <n v="12"/>
    <x v="1"/>
    <n v="0.17"/>
  </r>
  <r>
    <s v="TE-SYLA"/>
    <x v="116"/>
    <m/>
    <m/>
    <m/>
    <x v="44"/>
    <s v="TE-SYLA"/>
    <x v="2"/>
    <s v="M-ONE Sanitar Silikon"/>
    <n v="12"/>
    <x v="1"/>
    <n v="0.17"/>
  </r>
  <r>
    <s v="TE-SYLA"/>
    <x v="116"/>
    <m/>
    <m/>
    <m/>
    <x v="44"/>
    <s v="TE-SYLA"/>
    <x v="20"/>
    <s v="M-ONE Sanitar Silikon"/>
    <n v="12"/>
    <x v="1"/>
    <n v="0.17"/>
  </r>
  <r>
    <s v="TE-SYLA"/>
    <x v="116"/>
    <m/>
    <m/>
    <m/>
    <x v="44"/>
    <s v="TE-SYLA"/>
    <x v="12"/>
    <s v="beMAKER Rostlöser"/>
    <n v="12"/>
    <x v="1"/>
    <n v="0.2"/>
  </r>
  <r>
    <s v="TE-SYLA"/>
    <x v="116"/>
    <m/>
    <m/>
    <m/>
    <x v="44"/>
    <s v="TE-SYLA"/>
    <x v="36"/>
    <s v="M ONE GOLD SPRAY"/>
    <n v="12"/>
    <x v="1"/>
    <n v="0.1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832">
  <r>
    <s v="VITI"/>
    <x v="0"/>
    <x v="0"/>
    <x v="0"/>
    <m/>
    <n v="10343"/>
    <n v="231"/>
    <n v="35110"/>
    <n v="24"/>
    <n v="35121"/>
    <n v="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"/>
    <x v="0"/>
    <x v="0"/>
    <m/>
    <n v="10308"/>
    <n v="92.4"/>
    <n v="35125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2"/>
    <x v="0"/>
    <x v="0"/>
    <m/>
    <n v="10344"/>
    <n v="46.2"/>
    <n v="3510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3"/>
    <x v="0"/>
    <x v="0"/>
    <m/>
    <n v="10340"/>
    <n v="92.4"/>
    <n v="35109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4"/>
    <x v="0"/>
    <x v="0"/>
    <m/>
    <n v="10325"/>
    <n v="138.6"/>
    <n v="35110"/>
    <n v="24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ZHARAN"/>
    <x v="5"/>
    <x v="0"/>
    <x v="0"/>
    <m/>
    <n v="10330"/>
    <n v="46.2"/>
    <n v="3510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6"/>
    <x v="0"/>
    <x v="0"/>
    <m/>
    <n v="10332"/>
    <n v="92.4"/>
    <n v="35109"/>
    <n v="12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7"/>
    <x v="0"/>
    <x v="0"/>
    <m/>
    <n v="10301"/>
    <n v="92.4"/>
    <n v="35121"/>
    <n v="12"/>
    <n v="3511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8"/>
    <x v="0"/>
    <x v="0"/>
    <m/>
    <n v="10323"/>
    <n v="86.4"/>
    <n v="509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9"/>
    <x v="0"/>
    <x v="0"/>
    <m/>
    <n v="20301"/>
    <n v="46.2"/>
    <n v="3511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0"/>
    <x v="0"/>
    <x v="0"/>
    <m/>
    <n v="20324"/>
    <n v="73.8"/>
    <n v="35121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11"/>
    <x v="0"/>
    <x v="0"/>
    <m/>
    <n v="20307"/>
    <n v="240"/>
    <n v="35108"/>
    <n v="12"/>
    <n v="35110"/>
    <n v="12"/>
    <n v="35111"/>
    <n v="12"/>
    <n v="35128"/>
    <n v="12"/>
    <n v="51612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12"/>
    <x v="0"/>
    <x v="0"/>
    <m/>
    <n v="20313"/>
    <n v="143.4"/>
    <n v="35109"/>
    <n v="12"/>
    <n v="66701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3"/>
    <x v="0"/>
    <x v="0"/>
    <m/>
    <n v="20321"/>
    <n v="73.8"/>
    <n v="35121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4"/>
    <x v="0"/>
    <x v="0"/>
    <m/>
    <n v="20304"/>
    <n v="142.19999999999999"/>
    <n v="35111"/>
    <n v="12"/>
    <n v="37112"/>
    <n v="24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5"/>
    <x v="0"/>
    <x v="0"/>
    <m/>
    <n v="20303"/>
    <n v="92.4"/>
    <n v="35108"/>
    <n v="12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6"/>
    <x v="0"/>
    <x v="0"/>
    <m/>
    <n v="20306"/>
    <n v="92.4"/>
    <n v="35109"/>
    <n v="12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17"/>
    <x v="0"/>
    <x v="0"/>
    <m/>
    <n v="20317"/>
    <n v="69.2"/>
    <n v="50912"/>
    <n v="6"/>
    <n v="49644"/>
    <n v="6"/>
    <n v="55718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18"/>
    <x v="0"/>
    <x v="1"/>
    <m/>
    <n v="10413"/>
    <n v="46.2"/>
    <n v="3510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19"/>
    <x v="0"/>
    <x v="1"/>
    <m/>
    <n v="10430"/>
    <n v="56.2"/>
    <n v="54412"/>
    <n v="5"/>
    <n v="3510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USHTRRI"/>
    <x v="20"/>
    <x v="0"/>
    <x v="1"/>
    <m/>
    <n v="10428"/>
    <n v="46.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21"/>
    <x v="0"/>
    <x v="1"/>
    <m/>
    <n v="10412"/>
    <n v="92.4"/>
    <n v="35112"/>
    <n v="12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22"/>
    <x v="0"/>
    <x v="1"/>
    <m/>
    <n v="10406"/>
    <n v="63.5"/>
    <n v="50912"/>
    <n v="5"/>
    <n v="49644"/>
    <n v="5"/>
    <n v="44001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3"/>
    <x v="0"/>
    <x v="2"/>
    <m/>
    <n v="10508"/>
    <n v="46.2"/>
    <n v="3510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4"/>
    <x v="0"/>
    <x v="2"/>
    <m/>
    <n v="10509"/>
    <n v="68.5"/>
    <n v="50912"/>
    <n v="5"/>
    <n v="56117"/>
    <n v="3"/>
    <n v="49644"/>
    <n v="5"/>
    <n v="44001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5"/>
    <x v="0"/>
    <x v="2"/>
    <m/>
    <n v="10504"/>
    <n v="120"/>
    <n v="35109"/>
    <n v="24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6"/>
    <x v="0"/>
    <x v="2"/>
    <m/>
    <n v="10507"/>
    <n v="92.4"/>
    <n v="35112"/>
    <n v="1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LIPJAN"/>
    <x v="27"/>
    <x v="0"/>
    <x v="2"/>
    <m/>
    <n v="10529"/>
    <n v="99.5"/>
    <n v="50912"/>
    <n v="10"/>
    <n v="49644"/>
    <n v="5"/>
    <n v="55718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KLINE"/>
    <x v="28"/>
    <x v="0"/>
    <x v="2"/>
    <m/>
    <n v="20501"/>
    <n v="162"/>
    <n v="66701"/>
    <n v="12"/>
    <n v="35111"/>
    <n v="1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KLINE"/>
    <x v="29"/>
    <x v="0"/>
    <x v="2"/>
    <m/>
    <n v="20502"/>
    <n v="73.8"/>
    <n v="35109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30"/>
    <x v="0"/>
    <x v="2"/>
    <m/>
    <n v="20511"/>
    <n v="92.4"/>
    <n v="35109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31"/>
    <x v="0"/>
    <x v="2"/>
    <m/>
    <n v="20513"/>
    <n v="106.4"/>
    <n v="50912"/>
    <n v="12"/>
    <n v="56117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KENDERAJ"/>
    <x v="32"/>
    <x v="0"/>
    <x v="2"/>
    <m/>
    <n v="20409"/>
    <n v="58"/>
    <n v="55718"/>
    <n v="12"/>
    <n v="5091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KENDERAJ"/>
    <x v="33"/>
    <x v="0"/>
    <x v="2"/>
    <m/>
    <n v="20406"/>
    <n v="45"/>
    <n v="49644"/>
    <n v="12"/>
    <n v="55718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4"/>
    <x v="0"/>
    <x v="3"/>
    <m/>
    <n v="10636"/>
    <n v="92.4"/>
    <n v="35109"/>
    <n v="12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5"/>
    <x v="0"/>
    <x v="3"/>
    <m/>
    <n v="10605"/>
    <n v="31"/>
    <n v="54412"/>
    <n v="5"/>
    <n v="44001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6"/>
    <x v="0"/>
    <x v="3"/>
    <m/>
    <n v="10625"/>
    <n v="138.6"/>
    <n v="35113"/>
    <n v="12"/>
    <n v="35121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7"/>
    <x v="0"/>
    <x v="3"/>
    <m/>
    <n v="10619"/>
    <n v="28.5"/>
    <n v="56117"/>
    <n v="3"/>
    <n v="38136"/>
    <n v="3"/>
    <n v="49644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8"/>
    <x v="0"/>
    <x v="3"/>
    <m/>
    <n v="10617"/>
    <n v="46.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39"/>
    <x v="0"/>
    <x v="3"/>
    <m/>
    <n v="20602"/>
    <n v="92.4"/>
    <n v="35109"/>
    <n v="12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40"/>
    <x v="0"/>
    <x v="3"/>
    <m/>
    <n v="20623"/>
    <n v="92.4"/>
    <n v="35111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ADIME"/>
    <x v="41"/>
    <x v="0"/>
    <x v="3"/>
    <m/>
    <n v="20622"/>
    <n v="120"/>
    <n v="35111"/>
    <n v="12"/>
    <n v="35113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42"/>
    <x v="0"/>
    <x v="3"/>
    <m/>
    <n v="20631"/>
    <n v="92.4"/>
    <n v="35109"/>
    <n v="12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43"/>
    <x v="0"/>
    <x v="3"/>
    <m/>
    <n v="20627"/>
    <n v="138.6"/>
    <n v="35112"/>
    <n v="12"/>
    <n v="35113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ERLIC"/>
    <x v="44"/>
    <x v="0"/>
    <x v="3"/>
    <m/>
    <n v="20606"/>
    <n v="121.2"/>
    <n v="35113"/>
    <n v="12"/>
    <n v="50912"/>
    <n v="6"/>
    <n v="55718"/>
    <n v="6"/>
    <n v="31903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OGANAJ"/>
    <x v="45"/>
    <x v="0"/>
    <x v="3"/>
    <m/>
    <n v="20607"/>
    <n v="154.6"/>
    <n v="35113"/>
    <n v="12"/>
    <n v="35115"/>
    <n v="12"/>
    <n v="35121"/>
    <n v="12"/>
    <n v="49644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4"/>
    <x v="0"/>
    <x v="3"/>
    <m/>
    <n v="20608"/>
    <n v="92.4"/>
    <n v="35115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46"/>
    <x v="0"/>
    <x v="3"/>
    <m/>
    <n v="20624"/>
    <n v="92.4"/>
    <n v="35109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47"/>
    <x v="0"/>
    <x v="4"/>
    <m/>
    <n v="10105"/>
    <n v="46.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48"/>
    <x v="0"/>
    <x v="4"/>
    <m/>
    <n v="10111"/>
    <n v="117.4"/>
    <n v="35110"/>
    <n v="12"/>
    <n v="35111"/>
    <n v="12"/>
    <n v="51611"/>
    <n v="12"/>
    <n v="26736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BARDHOSH"/>
    <x v="49"/>
    <x v="0"/>
    <x v="4"/>
    <m/>
    <n v="10114"/>
    <n v="43.9"/>
    <n v="50912"/>
    <n v="2"/>
    <n v="55718"/>
    <n v="5"/>
    <n v="49644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50"/>
    <x v="0"/>
    <x v="4"/>
    <m/>
    <n v="10103"/>
    <n v="92.4"/>
    <n v="35119"/>
    <n v="12"/>
    <n v="3510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1"/>
    <x v="0"/>
    <x v="4"/>
    <m/>
    <n v="20109"/>
    <n v="107.4"/>
    <n v="35113"/>
    <n v="12"/>
    <n v="35128"/>
    <n v="12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2"/>
    <x v="0"/>
    <x v="4"/>
    <m/>
    <n v="20111"/>
    <n v="38"/>
    <n v="38136"/>
    <n v="12"/>
    <n v="54412"/>
    <n v="7"/>
    <n v="39505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3"/>
    <x v="0"/>
    <x v="4"/>
    <m/>
    <n v="20126"/>
    <n v="184.8"/>
    <n v="35109"/>
    <n v="12"/>
    <n v="35110"/>
    <n v="12"/>
    <n v="35111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4"/>
    <x v="0"/>
    <x v="4"/>
    <m/>
    <n v="20121"/>
    <n v="162"/>
    <n v="66701"/>
    <n v="12"/>
    <n v="35108"/>
    <n v="1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5"/>
    <x v="0"/>
    <x v="4"/>
    <m/>
    <n v="20127"/>
    <n v="92.4"/>
    <n v="35110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6"/>
    <x v="0"/>
    <x v="4"/>
    <m/>
    <n v="20104"/>
    <n v="92.4"/>
    <n v="35113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HOME KIM TEC"/>
    <x v="57"/>
    <x v="0"/>
    <x v="4"/>
    <m/>
    <n v="40002"/>
    <n v="26.5"/>
    <n v="54412"/>
    <n v="12"/>
    <n v="49644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58"/>
    <x v="0"/>
    <x v="5"/>
    <m/>
    <n v="10258"/>
    <n v="184.8"/>
    <n v="35109"/>
    <n v="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59"/>
    <x v="0"/>
    <x v="5"/>
    <m/>
    <n v="10210"/>
    <n v="92.4"/>
    <n v="35115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HIROK"/>
    <x v="60"/>
    <x v="0"/>
    <x v="5"/>
    <m/>
    <n v="10205"/>
    <n v="73.8"/>
    <n v="35111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ZYM"/>
    <x v="61"/>
    <x v="0"/>
    <x v="5"/>
    <m/>
    <n v="10245"/>
    <n v="184.8"/>
    <n v="35109"/>
    <n v="24"/>
    <n v="35115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62"/>
    <x v="0"/>
    <x v="5"/>
    <m/>
    <n v="10241"/>
    <n v="27.6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63"/>
    <x v="0"/>
    <x v="5"/>
    <m/>
    <n v="10240"/>
    <n v="120"/>
    <n v="35110"/>
    <n v="12"/>
    <n v="35113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THARAND"/>
    <x v="64"/>
    <x v="0"/>
    <x v="5"/>
    <m/>
    <n v="10201"/>
    <n v="46.2"/>
    <n v="35114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65"/>
    <x v="0"/>
    <x v="5"/>
    <m/>
    <n v="20224"/>
    <n v="92.4"/>
    <n v="35110"/>
    <n v="12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66"/>
    <x v="0"/>
    <x v="5"/>
    <m/>
    <n v="20209"/>
    <n v="138.6"/>
    <n v="35109"/>
    <n v="12"/>
    <n v="35110"/>
    <n v="12"/>
    <n v="351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67"/>
    <x v="0"/>
    <x v="5"/>
    <m/>
    <n v="20211"/>
    <n v="73.8"/>
    <n v="35109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EQAN"/>
    <x v="68"/>
    <x v="0"/>
    <x v="5"/>
    <m/>
    <n v="20203"/>
    <n v="138.6"/>
    <n v="35111"/>
    <n v="12"/>
    <n v="35113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EQAN"/>
    <x v="69"/>
    <x v="0"/>
    <x v="5"/>
    <m/>
    <n v="20201"/>
    <n v="169.6"/>
    <n v="35109"/>
    <n v="12"/>
    <n v="35110"/>
    <n v="12"/>
    <n v="35111"/>
    <n v="12"/>
    <n v="51611"/>
    <n v="12"/>
    <n v="5091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3"/>
    <x v="0"/>
    <x v="5"/>
    <m/>
    <n v="20126"/>
    <n v="45"/>
    <n v="39505"/>
    <n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4"/>
    <x v="0"/>
    <x v="5"/>
    <m/>
    <n v="20121"/>
    <n v="47.5"/>
    <n v="12000"/>
    <n v="5"/>
    <n v="12001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HOME KIM TEC"/>
    <x v="70"/>
    <x v="0"/>
    <x v="5"/>
    <m/>
    <n v="40003"/>
    <n v="249"/>
    <n v="20001"/>
    <n v="140"/>
    <n v="30275"/>
    <n v="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"/>
    <x v="0"/>
    <x v="6"/>
    <m/>
    <n v="10308"/>
    <n v="46.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8"/>
    <x v="0"/>
    <x v="6"/>
    <m/>
    <n v="10323"/>
    <n v="36"/>
    <n v="50912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71"/>
    <x v="0"/>
    <x v="6"/>
    <m/>
    <n v="10357"/>
    <n v="46.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3"/>
    <x v="0"/>
    <x v="6"/>
    <m/>
    <n v="10340"/>
    <n v="46.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72"/>
    <x v="0"/>
    <x v="6"/>
    <m/>
    <n v="10366"/>
    <n v="184.8"/>
    <n v="35109"/>
    <n v="12"/>
    <n v="35112"/>
    <n v="12"/>
    <n v="3512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71"/>
    <x v="0"/>
    <x v="6"/>
    <m/>
    <n v="10360"/>
    <n v="135"/>
    <n v="35110"/>
    <n v="12"/>
    <n v="35125"/>
    <n v="12"/>
    <n v="51612"/>
    <n v="12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73"/>
    <x v="0"/>
    <x v="6"/>
    <m/>
    <n v="10352"/>
    <n v="46.2"/>
    <n v="3510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74"/>
    <x v="0"/>
    <x v="6"/>
    <m/>
    <n v="10303"/>
    <n v="16"/>
    <n v="56117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6"/>
    <x v="0"/>
    <x v="6"/>
    <m/>
    <n v="10332"/>
    <n v="46.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0"/>
    <x v="0"/>
    <x v="6"/>
    <m/>
    <n v="20324"/>
    <n v="46.2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11"/>
    <x v="0"/>
    <x v="6"/>
    <m/>
    <n v="20307"/>
    <n v="299"/>
    <n v="35111"/>
    <n v="24"/>
    <n v="35112"/>
    <n v="12"/>
    <n v="66701"/>
    <n v="12"/>
    <n v="51612"/>
    <n v="36"/>
    <n v="49644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9"/>
    <x v="0"/>
    <x v="6"/>
    <m/>
    <n v="20301"/>
    <n v="73.8"/>
    <n v="35112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75"/>
    <x v="0"/>
    <x v="6"/>
    <m/>
    <n v="20331"/>
    <n v="277.2"/>
    <n v="35121"/>
    <n v="24"/>
    <n v="35110"/>
    <n v="12"/>
    <n v="35111"/>
    <n v="12"/>
    <n v="35113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3"/>
    <x v="0"/>
    <x v="6"/>
    <m/>
    <n v="20321"/>
    <n v="138.6"/>
    <n v="35109"/>
    <n v="12"/>
    <n v="3512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4"/>
    <x v="0"/>
    <x v="6"/>
    <m/>
    <n v="20304"/>
    <n v="136"/>
    <n v="37112"/>
    <n v="240"/>
    <n v="50912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12"/>
    <x v="0"/>
    <x v="6"/>
    <m/>
    <n v="20313"/>
    <n v="42.6"/>
    <n v="51611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17"/>
    <x v="0"/>
    <x v="6"/>
    <m/>
    <n v="20317"/>
    <n v="26.5"/>
    <n v="39505"/>
    <n v="3"/>
    <n v="44001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76"/>
    <x v="0"/>
    <x v="6"/>
    <m/>
    <n v="20314"/>
    <n v="107.4"/>
    <n v="35110"/>
    <n v="24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HOME KIM TEC"/>
    <x v="70"/>
    <x v="0"/>
    <x v="6"/>
    <m/>
    <n v="40003"/>
    <n v="158"/>
    <n v="20001"/>
    <n v="80"/>
    <n v="30275"/>
    <n v="5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USHTRRI"/>
    <x v="77"/>
    <x v="0"/>
    <x v="7"/>
    <m/>
    <n v="10418"/>
    <n v="231"/>
    <n v="35110"/>
    <n v="48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78"/>
    <x v="0"/>
    <x v="7"/>
    <m/>
    <n v="10410"/>
    <n v="92.4"/>
    <n v="35112"/>
    <n v="1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22"/>
    <x v="0"/>
    <x v="7"/>
    <m/>
    <n v="10406"/>
    <n v="51.1"/>
    <n v="55718"/>
    <n v="3"/>
    <n v="50912"/>
    <n v="3"/>
    <n v="56117"/>
    <n v="3"/>
    <n v="44001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18"/>
    <x v="0"/>
    <x v="7"/>
    <m/>
    <n v="10413"/>
    <n v="92.4"/>
    <n v="35112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79"/>
    <x v="0"/>
    <x v="8"/>
    <m/>
    <n v="10539"/>
    <n v="46.2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5"/>
    <x v="0"/>
    <x v="8"/>
    <m/>
    <n v="10504"/>
    <n v="92.4"/>
    <n v="35112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4"/>
    <x v="0"/>
    <x v="8"/>
    <m/>
    <n v="10509"/>
    <n v="86.4"/>
    <n v="509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80"/>
    <x v="0"/>
    <x v="8"/>
    <m/>
    <n v="10542"/>
    <n v="46.2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6"/>
    <x v="0"/>
    <x v="8"/>
    <m/>
    <n v="10507"/>
    <n v="138.6"/>
    <n v="35115"/>
    <n v="12"/>
    <n v="35108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3"/>
    <x v="0"/>
    <x v="8"/>
    <m/>
    <n v="10508"/>
    <n v="92.4"/>
    <n v="35110"/>
    <n v="12"/>
    <n v="35114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4"/>
    <x v="0"/>
    <x v="9"/>
    <m/>
    <n v="10635"/>
    <n v="46.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4"/>
    <x v="0"/>
    <x v="9"/>
    <m/>
    <n v="10636"/>
    <n v="92.4"/>
    <n v="35110"/>
    <n v="12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6"/>
    <x v="0"/>
    <x v="9"/>
    <m/>
    <n v="10625"/>
    <n v="138.6"/>
    <n v="35115"/>
    <n v="12"/>
    <n v="35128"/>
    <n v="12"/>
    <n v="35114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5"/>
    <x v="0"/>
    <x v="9"/>
    <m/>
    <n v="10605"/>
    <n v="60"/>
    <n v="54412"/>
    <n v="12"/>
    <n v="50912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81"/>
    <x v="0"/>
    <x v="9"/>
    <m/>
    <n v="10616"/>
    <n v="46.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HOME KIM TEC"/>
    <x v="70"/>
    <x v="0"/>
    <x v="9"/>
    <m/>
    <n v="40003"/>
    <n v="151.5"/>
    <n v="20001"/>
    <n v="90"/>
    <n v="30275"/>
    <n v="4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82"/>
    <x v="0"/>
    <x v="10"/>
    <m/>
    <n v="10133"/>
    <n v="46.2"/>
    <n v="35114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48"/>
    <x v="0"/>
    <x v="10"/>
    <m/>
    <n v="10111"/>
    <n v="138.6"/>
    <n v="35108"/>
    <n v="12"/>
    <n v="35109"/>
    <n v="12"/>
    <n v="351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BARDHOSH"/>
    <x v="49"/>
    <x v="0"/>
    <x v="10"/>
    <m/>
    <n v="10114"/>
    <n v="17.5"/>
    <n v="55718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83"/>
    <x v="0"/>
    <x v="10"/>
    <m/>
    <n v="10134"/>
    <n v="69.599999999999994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84"/>
    <x v="0"/>
    <x v="10"/>
    <m/>
    <n v="10104"/>
    <n v="46.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4"/>
    <x v="0"/>
    <x v="10"/>
    <m/>
    <n v="20121"/>
    <n v="720"/>
    <n v="35108"/>
    <n v="12"/>
    <n v="35109"/>
    <n v="12"/>
    <n v="35110"/>
    <n v="12"/>
    <n v="35111"/>
    <n v="12"/>
    <n v="35112"/>
    <n v="12"/>
    <n v="35113"/>
    <n v="12"/>
    <n v="35114"/>
    <n v="12"/>
    <n v="35115"/>
    <n v="12"/>
    <n v="35119"/>
    <n v="12"/>
    <n v="35121"/>
    <n v="12"/>
    <n v="35125"/>
    <n v="12"/>
    <n v="35128"/>
    <n v="12"/>
    <n v="66701"/>
    <n v="12"/>
    <n v="50912"/>
    <n v="12"/>
    <m/>
    <m/>
    <m/>
    <m/>
    <m/>
    <m/>
    <m/>
    <m/>
    <m/>
    <m/>
    <m/>
    <m/>
    <m/>
    <m/>
    <m/>
    <m/>
    <m/>
    <m/>
    <m/>
    <m/>
    <m/>
    <m/>
    <m/>
    <m/>
    <m/>
    <m/>
  </r>
  <r>
    <s v="PEJE"/>
    <x v="51"/>
    <x v="0"/>
    <x v="10"/>
    <m/>
    <n v="20109"/>
    <n v="137.4"/>
    <n v="35110"/>
    <n v="12"/>
    <n v="35111"/>
    <n v="12"/>
    <n v="51611"/>
    <n v="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2"/>
    <x v="0"/>
    <x v="10"/>
    <m/>
    <n v="20111"/>
    <n v="44.5"/>
    <n v="38136"/>
    <n v="12"/>
    <n v="31818"/>
    <n v="7"/>
    <n v="56117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3"/>
    <x v="0"/>
    <x v="10"/>
    <m/>
    <n v="20126"/>
    <n v="107.4"/>
    <n v="35112"/>
    <n v="12"/>
    <n v="35128"/>
    <n v="12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5"/>
    <x v="0"/>
    <x v="10"/>
    <m/>
    <n v="20127"/>
    <n v="102.4"/>
    <n v="35109"/>
    <n v="12"/>
    <n v="35111"/>
    <n v="12"/>
    <n v="49644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85"/>
    <x v="0"/>
    <x v="10"/>
    <m/>
    <n v="20130"/>
    <n v="46.2"/>
    <n v="3511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HOME KIM TEC"/>
    <x v="57"/>
    <x v="0"/>
    <x v="11"/>
    <m/>
    <n v="40002"/>
    <n v="24"/>
    <n v="544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HTIME"/>
    <x v="86"/>
    <x v="0"/>
    <x v="11"/>
    <m/>
    <n v="10250"/>
    <n v="138.6"/>
    <n v="35108"/>
    <n v="12"/>
    <n v="35125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THARAND"/>
    <x v="64"/>
    <x v="0"/>
    <x v="11"/>
    <m/>
    <n v="10201"/>
    <n v="46.2"/>
    <n v="3510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63"/>
    <x v="0"/>
    <x v="11"/>
    <m/>
    <n v="10240"/>
    <n v="231"/>
    <n v="35109"/>
    <n v="24"/>
    <n v="35121"/>
    <n v="24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87"/>
    <x v="0"/>
    <x v="11"/>
    <m/>
    <n v="10262"/>
    <n v="138.6"/>
    <n v="35115"/>
    <n v="12"/>
    <n v="3512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62"/>
    <x v="0"/>
    <x v="11"/>
    <m/>
    <n v="10241"/>
    <n v="27.6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88"/>
    <x v="0"/>
    <x v="11"/>
    <m/>
    <n v="40019"/>
    <n v="92.4"/>
    <n v="35109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KLINE"/>
    <x v="29"/>
    <x v="0"/>
    <x v="11"/>
    <m/>
    <n v="20502"/>
    <n v="73.8"/>
    <n v="35111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JUNIK"/>
    <x v="89"/>
    <x v="0"/>
    <x v="11"/>
    <m/>
    <n v="20206"/>
    <n v="73.8"/>
    <n v="35111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90"/>
    <x v="0"/>
    <x v="11"/>
    <m/>
    <n v="20212"/>
    <n v="115.8"/>
    <n v="35110"/>
    <n v="12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91"/>
    <x v="0"/>
    <x v="11"/>
    <m/>
    <n v="20223"/>
    <n v="115.8"/>
    <n v="35109"/>
    <n v="12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92"/>
    <x v="0"/>
    <x v="11"/>
    <m/>
    <n v="20228"/>
    <n v="139.19999999999999"/>
    <n v="66702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93"/>
    <x v="0"/>
    <x v="11"/>
    <m/>
    <n v="20227"/>
    <n v="92.4"/>
    <n v="35121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EQAN"/>
    <x v="69"/>
    <x v="0"/>
    <x v="11"/>
    <m/>
    <n v="20201"/>
    <n v="61.2"/>
    <n v="50912"/>
    <n v="6"/>
    <n v="26736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0"/>
    <x v="0"/>
    <x v="12"/>
    <m/>
    <n v="10343"/>
    <n v="92.4"/>
    <n v="35113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3"/>
    <x v="0"/>
    <x v="12"/>
    <m/>
    <n v="10340"/>
    <n v="46.2"/>
    <n v="351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8"/>
    <x v="0"/>
    <x v="12"/>
    <m/>
    <n v="10323"/>
    <n v="86.4"/>
    <n v="509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7"/>
    <x v="0"/>
    <x v="12"/>
    <m/>
    <n v="10301"/>
    <n v="231"/>
    <n v="35121"/>
    <n v="24"/>
    <n v="35111"/>
    <n v="12"/>
    <n v="35112"/>
    <n v="12"/>
    <n v="3511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94"/>
    <x v="0"/>
    <x v="12"/>
    <m/>
    <n v="10306"/>
    <n v="46.2"/>
    <n v="351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95"/>
    <x v="0"/>
    <x v="12"/>
    <m/>
    <n v="10350"/>
    <n v="92.4"/>
    <n v="35113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"/>
    <x v="0"/>
    <x v="12"/>
    <m/>
    <n v="10308"/>
    <n v="46.2"/>
    <n v="351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11"/>
    <x v="0"/>
    <x v="12"/>
    <m/>
    <n v="20307"/>
    <n v="127.2"/>
    <n v="35109"/>
    <n v="12"/>
    <n v="51611"/>
    <n v="36"/>
    <n v="50912"/>
    <n v="4"/>
    <n v="49644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75"/>
    <x v="0"/>
    <x v="12"/>
    <m/>
    <n v="20331"/>
    <n v="92.4"/>
    <n v="35109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3"/>
    <x v="0"/>
    <x v="12"/>
    <m/>
    <n v="20321"/>
    <n v="138.6"/>
    <n v="35109"/>
    <n v="12"/>
    <n v="3512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6"/>
    <x v="0"/>
    <x v="12"/>
    <m/>
    <n v="20306"/>
    <n v="101.4"/>
    <n v="35111"/>
    <n v="12"/>
    <n v="51612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96"/>
    <x v="0"/>
    <x v="12"/>
    <m/>
    <n v="20311"/>
    <n v="92.4"/>
    <n v="35110"/>
    <n v="12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97"/>
    <x v="0"/>
    <x v="12"/>
    <m/>
    <n v="20332"/>
    <n v="131.4"/>
    <n v="39505"/>
    <n v="1"/>
    <n v="49644"/>
    <n v="3"/>
    <n v="50912"/>
    <n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USHTRRI"/>
    <x v="77"/>
    <x v="0"/>
    <x v="13"/>
    <m/>
    <n v="10418"/>
    <n v="92.4"/>
    <n v="35112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21"/>
    <x v="0"/>
    <x v="13"/>
    <m/>
    <n v="10412"/>
    <n v="46.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18"/>
    <x v="0"/>
    <x v="13"/>
    <m/>
    <n v="10413"/>
    <n v="92.4"/>
    <n v="35113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22"/>
    <x v="0"/>
    <x v="13"/>
    <m/>
    <n v="10406"/>
    <n v="53.5"/>
    <n v="50912"/>
    <n v="5"/>
    <n v="55718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USHTRRI"/>
    <x v="98"/>
    <x v="0"/>
    <x v="13"/>
    <m/>
    <n v="10429"/>
    <n v="46.2"/>
    <n v="3510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99"/>
    <x v="0"/>
    <x v="14"/>
    <m/>
    <n v="10506"/>
    <n v="92.4"/>
    <n v="35110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3"/>
    <x v="0"/>
    <x v="14"/>
    <m/>
    <n v="10508"/>
    <n v="46.2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4"/>
    <x v="0"/>
    <x v="14"/>
    <m/>
    <n v="10509"/>
    <n v="39.1"/>
    <n v="50912"/>
    <n v="3"/>
    <n v="44001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6"/>
    <x v="0"/>
    <x v="14"/>
    <m/>
    <n v="10507"/>
    <n v="92.4"/>
    <n v="35112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00"/>
    <x v="0"/>
    <x v="14"/>
    <m/>
    <n v="10503"/>
    <n v="46.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5"/>
    <x v="0"/>
    <x v="14"/>
    <m/>
    <n v="10504"/>
    <n v="138.6"/>
    <n v="35109"/>
    <n v="12"/>
    <n v="35113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KLINE"/>
    <x v="28"/>
    <x v="0"/>
    <x v="14"/>
    <m/>
    <n v="20501"/>
    <n v="208.2"/>
    <n v="35113"/>
    <n v="12"/>
    <n v="66701"/>
    <n v="12"/>
    <n v="35121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KLINE"/>
    <x v="101"/>
    <x v="0"/>
    <x v="14"/>
    <m/>
    <n v="20519"/>
    <n v="45"/>
    <n v="51611"/>
    <n v="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KLINE"/>
    <x v="29"/>
    <x v="0"/>
    <x v="14"/>
    <m/>
    <n v="20502"/>
    <n v="61.2"/>
    <n v="35111"/>
    <n v="12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31"/>
    <x v="0"/>
    <x v="14"/>
    <m/>
    <n v="20513"/>
    <n v="67"/>
    <n v="44001"/>
    <n v="9"/>
    <n v="50912"/>
    <n v="3"/>
    <n v="56117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102"/>
    <x v="0"/>
    <x v="14"/>
    <m/>
    <n v="20515"/>
    <n v="92.4"/>
    <n v="35110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103"/>
    <x v="0"/>
    <x v="14"/>
    <m/>
    <n v="20508"/>
    <n v="92.4"/>
    <n v="35114"/>
    <n v="12"/>
    <n v="3511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KENDERAJ"/>
    <x v="104"/>
    <x v="0"/>
    <x v="14"/>
    <m/>
    <n v="20407"/>
    <n v="277"/>
    <n v="35121"/>
    <n v="36"/>
    <n v="35113"/>
    <n v="12"/>
    <n v="35114"/>
    <n v="12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KENDERAJ"/>
    <x v="32"/>
    <x v="0"/>
    <x v="14"/>
    <m/>
    <n v="20409"/>
    <n v="72"/>
    <n v="39505"/>
    <n v="12"/>
    <n v="55718"/>
    <n v="4"/>
    <n v="49644"/>
    <n v="5"/>
    <n v="54412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RENAS"/>
    <x v="105"/>
    <x v="0"/>
    <x v="14"/>
    <m/>
    <n v="20403"/>
    <n v="92.4"/>
    <n v="35110"/>
    <n v="12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RENAS"/>
    <x v="106"/>
    <x v="0"/>
    <x v="14"/>
    <m/>
    <n v="20404"/>
    <n v="46.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LIPJAN"/>
    <x v="107"/>
    <x v="0"/>
    <x v="15"/>
    <m/>
    <n v="40033"/>
    <n v="28.5"/>
    <n v="35128"/>
    <n v="1"/>
    <n v="35113"/>
    <n v="3"/>
    <n v="35109"/>
    <n v="2"/>
    <n v="51611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HOME KIM TEC"/>
    <x v="70"/>
    <x v="0"/>
    <x v="15"/>
    <m/>
    <n v="40003"/>
    <n v="185"/>
    <n v="20001"/>
    <n v="80"/>
    <n v="30275"/>
    <n v="50"/>
    <n v="20000"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81"/>
    <x v="0"/>
    <x v="15"/>
    <m/>
    <n v="10616"/>
    <n v="138.6"/>
    <n v="35113"/>
    <n v="12"/>
    <n v="35119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4"/>
    <x v="0"/>
    <x v="15"/>
    <m/>
    <n v="10635"/>
    <n v="46.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4"/>
    <x v="0"/>
    <x v="15"/>
    <m/>
    <n v="10637"/>
    <n v="53.5"/>
    <n v="50912"/>
    <n v="5"/>
    <n v="55718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6"/>
    <x v="0"/>
    <x v="15"/>
    <m/>
    <n v="10625"/>
    <n v="138.6"/>
    <n v="35115"/>
    <n v="12"/>
    <n v="35114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39"/>
    <x v="0"/>
    <x v="15"/>
    <m/>
    <n v="20602"/>
    <n v="63.2"/>
    <n v="35110"/>
    <n v="12"/>
    <n v="51611"/>
    <n v="12"/>
    <n v="49644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40"/>
    <x v="0"/>
    <x v="15"/>
    <m/>
    <n v="20623"/>
    <n v="212.4"/>
    <n v="35109"/>
    <n v="12"/>
    <n v="35110"/>
    <n v="24"/>
    <n v="35111"/>
    <n v="12"/>
    <n v="35112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08"/>
    <x v="0"/>
    <x v="15"/>
    <m/>
    <n v="20628"/>
    <n v="92.4"/>
    <n v="35109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09"/>
    <x v="0"/>
    <x v="15"/>
    <m/>
    <n v="20630"/>
    <n v="61.2"/>
    <n v="35113"/>
    <n v="12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REME"/>
    <x v="110"/>
    <x v="0"/>
    <x v="15"/>
    <m/>
    <n v="20610"/>
    <n v="184.8"/>
    <n v="35110"/>
    <n v="12"/>
    <n v="35111"/>
    <n v="12"/>
    <n v="35112"/>
    <n v="1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43"/>
    <x v="0"/>
    <x v="15"/>
    <m/>
    <n v="20627"/>
    <n v="166.2"/>
    <n v="35109"/>
    <n v="12"/>
    <n v="35111"/>
    <n v="12"/>
    <n v="35115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11"/>
    <x v="0"/>
    <x v="15"/>
    <m/>
    <n v="20604"/>
    <n v="166.2"/>
    <n v="35110"/>
    <n v="12"/>
    <n v="35121"/>
    <n v="12"/>
    <n v="35125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ERLIC"/>
    <x v="44"/>
    <x v="0"/>
    <x v="15"/>
    <m/>
    <n v="20606"/>
    <n v="138.6"/>
    <n v="35109"/>
    <n v="12"/>
    <n v="35111"/>
    <n v="12"/>
    <n v="351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OGANAJ"/>
    <x v="45"/>
    <x v="0"/>
    <x v="15"/>
    <m/>
    <n v="20607"/>
    <n v="107.4"/>
    <n v="35115"/>
    <n v="12"/>
    <n v="35112"/>
    <n v="12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12"/>
    <x v="0"/>
    <x v="15"/>
    <m/>
    <n v="20609"/>
    <n v="92.4"/>
    <n v="35109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REME"/>
    <x v="110"/>
    <x v="0"/>
    <x v="15"/>
    <m/>
    <n v="20610"/>
    <n v="199.8"/>
    <n v="35125"/>
    <n v="24"/>
    <n v="35128"/>
    <n v="24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13"/>
    <x v="0"/>
    <x v="15"/>
    <m/>
    <n v="20603"/>
    <n v="138.6"/>
    <n v="35110"/>
    <n v="24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84"/>
    <x v="0"/>
    <x v="16"/>
    <m/>
    <n v="10104"/>
    <n v="46.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48"/>
    <x v="0"/>
    <x v="16"/>
    <m/>
    <n v="10111"/>
    <n v="167.6"/>
    <n v="35114"/>
    <n v="12"/>
    <n v="35113"/>
    <n v="12"/>
    <n v="51612"/>
    <n v="24"/>
    <n v="49644"/>
    <n v="5"/>
    <n v="54412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BARDHOSH"/>
    <x v="49"/>
    <x v="0"/>
    <x v="16"/>
    <m/>
    <n v="10114"/>
    <n v="50"/>
    <n v="50912"/>
    <n v="5"/>
    <n v="54412"/>
    <n v="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50"/>
    <x v="0"/>
    <x v="16"/>
    <m/>
    <n v="10103"/>
    <n v="120"/>
    <n v="51612"/>
    <n v="12"/>
    <n v="35110"/>
    <n v="12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1"/>
    <x v="0"/>
    <x v="16"/>
    <m/>
    <n v="20109"/>
    <n v="231"/>
    <n v="35110"/>
    <n v="12"/>
    <n v="35111"/>
    <n v="12"/>
    <n v="35112"/>
    <n v="24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85"/>
    <x v="0"/>
    <x v="16"/>
    <m/>
    <n v="20130"/>
    <n v="46.2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114"/>
    <x v="0"/>
    <x v="16"/>
    <m/>
    <n v="20122"/>
    <n v="46.2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3"/>
    <x v="0"/>
    <x v="16"/>
    <m/>
    <n v="20126"/>
    <n v="127.2"/>
    <n v="35110"/>
    <n v="12"/>
    <n v="35113"/>
    <n v="12"/>
    <n v="66701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115"/>
    <x v="0"/>
    <x v="16"/>
    <m/>
    <n v="20101"/>
    <n v="44"/>
    <n v="50912"/>
    <n v="4"/>
    <n v="49644"/>
    <n v="3"/>
    <n v="54412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116"/>
    <x v="0"/>
    <x v="16"/>
    <m/>
    <n v="20102"/>
    <n v="30"/>
    <n v="49644"/>
    <n v="8"/>
    <n v="55718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6"/>
    <x v="0"/>
    <x v="16"/>
    <m/>
    <n v="20104"/>
    <n v="92.4"/>
    <n v="35110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59"/>
    <x v="0"/>
    <x v="17"/>
    <m/>
    <n v="10210"/>
    <n v="27.6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59"/>
    <x v="0"/>
    <x v="17"/>
    <m/>
    <n v="10210"/>
    <n v="277.2"/>
    <n v="35108"/>
    <n v="36"/>
    <n v="35121"/>
    <n v="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HIROK"/>
    <x v="60"/>
    <x v="0"/>
    <x v="17"/>
    <m/>
    <n v="10205"/>
    <n v="258.60000000000002"/>
    <n v="35110"/>
    <n v="12"/>
    <n v="35111"/>
    <n v="12"/>
    <n v="35113"/>
    <n v="12"/>
    <n v="35115"/>
    <n v="12"/>
    <n v="35128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63"/>
    <x v="0"/>
    <x v="17"/>
    <m/>
    <n v="10240"/>
    <n v="138.6"/>
    <n v="35121"/>
    <n v="24"/>
    <n v="3510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66"/>
    <x v="0"/>
    <x v="17"/>
    <m/>
    <n v="20209"/>
    <n v="116.4"/>
    <n v="35111"/>
    <n v="24"/>
    <n v="49644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117"/>
    <x v="0"/>
    <x v="17"/>
    <m/>
    <n v="20220"/>
    <n v="92.4"/>
    <n v="35112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90"/>
    <x v="0"/>
    <x v="17"/>
    <m/>
    <n v="20212"/>
    <n v="92.4"/>
    <n v="35119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91"/>
    <x v="0"/>
    <x v="17"/>
    <m/>
    <n v="20223"/>
    <n v="69.599999999999994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92"/>
    <x v="0"/>
    <x v="17"/>
    <m/>
    <n v="20228"/>
    <n v="69.599999999999994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118"/>
    <x v="0"/>
    <x v="17"/>
    <m/>
    <n v="20208"/>
    <n v="92.4"/>
    <n v="35114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EQAN"/>
    <x v="68"/>
    <x v="0"/>
    <x v="17"/>
    <m/>
    <n v="20203"/>
    <n v="138.6"/>
    <n v="35110"/>
    <n v="12"/>
    <n v="35111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EQAN"/>
    <x v="69"/>
    <x v="0"/>
    <x v="17"/>
    <m/>
    <n v="20201"/>
    <n v="98.4"/>
    <n v="35110"/>
    <n v="12"/>
    <n v="35125"/>
    <n v="12"/>
    <n v="49644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0"/>
    <x v="0"/>
    <x v="18"/>
    <m/>
    <n v="10343"/>
    <n v="122.4"/>
    <n v="35128"/>
    <n v="24"/>
    <n v="5161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19"/>
    <x v="0"/>
    <x v="18"/>
    <m/>
    <n v="10304"/>
    <n v="246"/>
    <n v="51611"/>
    <n v="12"/>
    <n v="35110"/>
    <n v="12"/>
    <n v="35111"/>
    <n v="12"/>
    <n v="35109"/>
    <n v="12"/>
    <n v="35113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2"/>
    <x v="0"/>
    <x v="18"/>
    <m/>
    <n v="10344"/>
    <n v="92.4"/>
    <n v="35113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8"/>
    <x v="0"/>
    <x v="18"/>
    <m/>
    <n v="10323"/>
    <n v="27.5"/>
    <n v="49644"/>
    <n v="5"/>
    <n v="55718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95"/>
    <x v="0"/>
    <x v="18"/>
    <m/>
    <n v="10350"/>
    <n v="92.4"/>
    <n v="3512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4"/>
    <x v="0"/>
    <x v="18"/>
    <m/>
    <n v="10325"/>
    <n v="107.4"/>
    <n v="35121"/>
    <n v="12"/>
    <n v="35125"/>
    <n v="12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74"/>
    <x v="0"/>
    <x v="18"/>
    <m/>
    <n v="10303"/>
    <n v="17.5"/>
    <n v="44001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20"/>
    <x v="0"/>
    <x v="18"/>
    <m/>
    <n v="10313"/>
    <n v="92.4"/>
    <n v="35113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11"/>
    <x v="0"/>
    <x v="18"/>
    <m/>
    <n v="20307"/>
    <n v="235.8"/>
    <n v="66701"/>
    <n v="12"/>
    <n v="35109"/>
    <n v="12"/>
    <n v="35110"/>
    <n v="12"/>
    <n v="35110"/>
    <n v="12"/>
    <n v="35125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21"/>
    <x v="0"/>
    <x v="18"/>
    <m/>
    <n v="20326"/>
    <n v="46.2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75"/>
    <x v="0"/>
    <x v="18"/>
    <m/>
    <n v="20331"/>
    <n v="92.4"/>
    <n v="35111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22"/>
    <x v="0"/>
    <x v="18"/>
    <m/>
    <n v="20302"/>
    <n v="120"/>
    <n v="35110"/>
    <n v="12"/>
    <n v="35121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4"/>
    <x v="0"/>
    <x v="18"/>
    <m/>
    <n v="20304"/>
    <n v="53"/>
    <n v="56117"/>
    <n v="5"/>
    <n v="44001"/>
    <n v="6"/>
    <n v="49644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5"/>
    <x v="0"/>
    <x v="18"/>
    <m/>
    <n v="20303"/>
    <n v="46.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96"/>
    <x v="0"/>
    <x v="18"/>
    <m/>
    <n v="20311"/>
    <n v="92.4"/>
    <n v="35109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123"/>
    <x v="0"/>
    <x v="18"/>
    <m/>
    <n v="20312"/>
    <n v="55.5"/>
    <n v="50912"/>
    <n v="3"/>
    <n v="55718"/>
    <n v="4"/>
    <n v="49644"/>
    <n v="6"/>
    <n v="44001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HOME KIM TEC"/>
    <x v="70"/>
    <x v="0"/>
    <x v="19"/>
    <m/>
    <n v="40003"/>
    <n v="228"/>
    <n v="20001"/>
    <n v="130"/>
    <n v="30275"/>
    <n v="40"/>
    <n v="49644"/>
    <n v="5"/>
    <n v="39505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HOME KIM TEC"/>
    <x v="57"/>
    <x v="0"/>
    <x v="19"/>
    <m/>
    <n v="40002"/>
    <n v="24"/>
    <n v="544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USHTRRI"/>
    <x v="77"/>
    <x v="0"/>
    <x v="19"/>
    <m/>
    <n v="10418"/>
    <n v="231"/>
    <n v="35110"/>
    <n v="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18"/>
    <x v="0"/>
    <x v="19"/>
    <m/>
    <n v="10413"/>
    <n v="138.6"/>
    <n v="35113"/>
    <n v="12"/>
    <n v="35121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78"/>
    <x v="0"/>
    <x v="19"/>
    <m/>
    <n v="10410"/>
    <n v="92.4"/>
    <n v="35112"/>
    <n v="1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22"/>
    <x v="0"/>
    <x v="19"/>
    <m/>
    <n v="10406"/>
    <n v="40"/>
    <n v="49644"/>
    <n v="5"/>
    <n v="55718"/>
    <n v="2"/>
    <n v="44001"/>
    <n v="2"/>
    <n v="39505"/>
    <n v="2"/>
    <n v="54412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124"/>
    <x v="0"/>
    <x v="19"/>
    <m/>
    <n v="40017"/>
    <n v="48"/>
    <n v="35128"/>
    <n v="3"/>
    <n v="35109"/>
    <n v="5"/>
    <n v="35113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LIPJAN"/>
    <x v="125"/>
    <x v="0"/>
    <x v="20"/>
    <m/>
    <n v="10547"/>
    <n v="46.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5"/>
    <x v="0"/>
    <x v="20"/>
    <m/>
    <n v="10504"/>
    <n v="92.4"/>
    <n v="35108"/>
    <n v="12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4"/>
    <x v="0"/>
    <x v="20"/>
    <m/>
    <n v="10509"/>
    <n v="55.2"/>
    <n v="50912"/>
    <n v="6"/>
    <n v="49644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6"/>
    <x v="0"/>
    <x v="20"/>
    <m/>
    <n v="10507"/>
    <n v="138.6"/>
    <n v="35113"/>
    <n v="12"/>
    <n v="35115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99"/>
    <x v="0"/>
    <x v="20"/>
    <m/>
    <n v="10506"/>
    <n v="92.4"/>
    <n v="35109"/>
    <n v="12"/>
    <n v="3511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LIPJAN"/>
    <x v="27"/>
    <x v="0"/>
    <x v="20"/>
    <m/>
    <n v="10529"/>
    <n v="142.9"/>
    <n v="50912"/>
    <n v="12"/>
    <n v="55718"/>
    <n v="2"/>
    <n v="38136"/>
    <n v="9"/>
    <n v="49644"/>
    <n v="6"/>
    <n v="56117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30"/>
    <x v="0"/>
    <x v="20"/>
    <m/>
    <n v="20511"/>
    <n v="138.6"/>
    <n v="35111"/>
    <n v="12"/>
    <n v="35113"/>
    <n v="12"/>
    <n v="35114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103"/>
    <x v="0"/>
    <x v="20"/>
    <m/>
    <n v="20508"/>
    <n v="120"/>
    <n v="35109"/>
    <n v="12"/>
    <n v="35111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31"/>
    <x v="0"/>
    <x v="20"/>
    <m/>
    <n v="20513"/>
    <n v="53"/>
    <n v="49644"/>
    <n v="12"/>
    <n v="50912"/>
    <n v="3"/>
    <n v="29802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102"/>
    <x v="0"/>
    <x v="20"/>
    <m/>
    <n v="20515"/>
    <n v="84.6"/>
    <n v="51611"/>
    <n v="12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KENDERAJ"/>
    <x v="104"/>
    <x v="0"/>
    <x v="20"/>
    <m/>
    <n v="20407"/>
    <n v="92.4"/>
    <n v="35111"/>
    <n v="12"/>
    <n v="35114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RENAS"/>
    <x v="106"/>
    <x v="0"/>
    <x v="20"/>
    <m/>
    <n v="20404"/>
    <n v="138.6"/>
    <n v="35113"/>
    <n v="12"/>
    <n v="35114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4"/>
    <x v="0"/>
    <x v="21"/>
    <m/>
    <n v="10635"/>
    <n v="46.2"/>
    <n v="3510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7"/>
    <x v="0"/>
    <x v="21"/>
    <m/>
    <n v="10619"/>
    <n v="27"/>
    <n v="31818"/>
    <n v="6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4"/>
    <x v="0"/>
    <x v="21"/>
    <m/>
    <n v="10637"/>
    <n v="117.9"/>
    <n v="50912"/>
    <n v="12"/>
    <n v="44001"/>
    <n v="4"/>
    <n v="55718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126"/>
    <x v="0"/>
    <x v="21"/>
    <m/>
    <n v="10604"/>
    <n v="27.5"/>
    <n v="54412"/>
    <n v="6"/>
    <n v="49644"/>
    <n v="6"/>
    <n v="44001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6"/>
    <x v="0"/>
    <x v="21"/>
    <m/>
    <n v="10625"/>
    <n v="92.4"/>
    <n v="35115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08"/>
    <x v="0"/>
    <x v="21"/>
    <m/>
    <n v="20628"/>
    <n v="92.4"/>
    <n v="35113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43"/>
    <x v="0"/>
    <x v="21"/>
    <m/>
    <n v="20627"/>
    <n v="92.4"/>
    <n v="35109"/>
    <n v="1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ERLIC"/>
    <x v="44"/>
    <x v="0"/>
    <x v="21"/>
    <m/>
    <n v="20606"/>
    <n v="141.6"/>
    <n v="35125"/>
    <n v="12"/>
    <n v="50912"/>
    <n v="12"/>
    <n v="26736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4"/>
    <x v="0"/>
    <x v="21"/>
    <m/>
    <n v="20608"/>
    <n v="92.4"/>
    <n v="35113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KAQANIK"/>
    <x v="127"/>
    <x v="0"/>
    <x v="21"/>
    <m/>
    <n v="20611"/>
    <n v="333.9"/>
    <n v="35109"/>
    <n v="24"/>
    <n v="35128"/>
    <n v="24"/>
    <n v="35110"/>
    <n v="12"/>
    <n v="35111"/>
    <n v="12"/>
    <n v="35113"/>
    <n v="12"/>
    <n v="55718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ADIME"/>
    <x v="128"/>
    <x v="0"/>
    <x v="21"/>
    <m/>
    <n v="20615"/>
    <n v="103.8"/>
    <n v="35121"/>
    <n v="12"/>
    <n v="51611"/>
    <n v="24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82"/>
    <x v="0"/>
    <x v="22"/>
    <m/>
    <n v="10133"/>
    <n v="46.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BARDHOSH"/>
    <x v="49"/>
    <x v="0"/>
    <x v="22"/>
    <m/>
    <n v="10114"/>
    <n v="64.2"/>
    <n v="50912"/>
    <n v="6"/>
    <n v="44001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48"/>
    <x v="0"/>
    <x v="22"/>
    <m/>
    <n v="10111"/>
    <n v="87.7"/>
    <n v="35111"/>
    <n v="12"/>
    <n v="50912"/>
    <n v="2"/>
    <n v="54412"/>
    <n v="5"/>
    <n v="49644"/>
    <n v="5"/>
    <n v="55718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84"/>
    <x v="0"/>
    <x v="22"/>
    <m/>
    <n v="10104"/>
    <n v="92.4"/>
    <n v="35113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129"/>
    <x v="0"/>
    <x v="22"/>
    <m/>
    <n v="10627"/>
    <n v="10"/>
    <n v="54412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130"/>
    <x v="0"/>
    <x v="23"/>
    <m/>
    <n v="10255"/>
    <n v="208.8"/>
    <n v="66701"/>
    <n v="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58"/>
    <x v="0"/>
    <x v="23"/>
    <m/>
    <n v="10258"/>
    <n v="92.4"/>
    <n v="3511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59"/>
    <x v="0"/>
    <x v="23"/>
    <m/>
    <n v="10210"/>
    <n v="92.4"/>
    <n v="35112"/>
    <n v="12"/>
    <n v="3511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63"/>
    <x v="0"/>
    <x v="23"/>
    <m/>
    <n v="10240"/>
    <n v="184.8"/>
    <n v="35108"/>
    <n v="12"/>
    <n v="35121"/>
    <n v="12"/>
    <n v="35109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HIROK"/>
    <x v="60"/>
    <x v="0"/>
    <x v="23"/>
    <m/>
    <n v="10205"/>
    <n v="46.2"/>
    <n v="3510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HTIME"/>
    <x v="86"/>
    <x v="0"/>
    <x v="23"/>
    <m/>
    <n v="10251"/>
    <n v="92.4"/>
    <n v="35109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88"/>
    <x v="0"/>
    <x v="23"/>
    <m/>
    <n v="40019"/>
    <n v="92.4"/>
    <n v="35110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5"/>
    <x v="0"/>
    <x v="23"/>
    <m/>
    <n v="20127"/>
    <n v="208.8"/>
    <n v="66701"/>
    <n v="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118"/>
    <x v="0"/>
    <x v="23"/>
    <m/>
    <n v="20208"/>
    <n v="30"/>
    <n v="5161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66"/>
    <x v="0"/>
    <x v="23"/>
    <m/>
    <n v="20209"/>
    <n v="208.2"/>
    <n v="35110"/>
    <n v="12"/>
    <n v="66701"/>
    <n v="12"/>
    <n v="35115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1"/>
    <x v="0"/>
    <x v="23"/>
    <m/>
    <n v="20109"/>
    <n v="76.2"/>
    <n v="35114"/>
    <n v="12"/>
    <n v="5161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90"/>
    <x v="0"/>
    <x v="23"/>
    <m/>
    <n v="20212"/>
    <n v="112.2"/>
    <n v="66701"/>
    <n v="12"/>
    <n v="51611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EQAN"/>
    <x v="69"/>
    <x v="0"/>
    <x v="23"/>
    <m/>
    <n v="20201"/>
    <n v="92.4"/>
    <n v="35111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116"/>
    <x v="0"/>
    <x v="23"/>
    <m/>
    <n v="20102"/>
    <n v="100.4"/>
    <n v="50912"/>
    <n v="12"/>
    <n v="55718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HOME KIM TEC"/>
    <x v="70"/>
    <x v="0"/>
    <x v="23"/>
    <m/>
    <n v="40003"/>
    <n v="228"/>
    <n v="20000"/>
    <n v="10"/>
    <n v="20001"/>
    <n v="110"/>
    <n v="30275"/>
    <n v="40"/>
    <n v="39505"/>
    <n v="6"/>
    <n v="50912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7"/>
    <x v="0"/>
    <x v="24"/>
    <m/>
    <n v="10301"/>
    <n v="98.4"/>
    <n v="35121"/>
    <n v="24"/>
    <n v="39505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95"/>
    <x v="0"/>
    <x v="24"/>
    <m/>
    <n v="10350"/>
    <n v="92.4"/>
    <n v="35121"/>
    <n v="12"/>
    <n v="3511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73"/>
    <x v="0"/>
    <x v="24"/>
    <m/>
    <n v="10352"/>
    <n v="138.6"/>
    <n v="35109"/>
    <n v="12"/>
    <n v="35113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8"/>
    <x v="0"/>
    <x v="24"/>
    <m/>
    <n v="10323"/>
    <n v="86.4"/>
    <n v="509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7"/>
    <x v="0"/>
    <x v="24"/>
    <m/>
    <n v="10301"/>
    <n v="184.8"/>
    <n v="35113"/>
    <n v="24"/>
    <n v="3512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20"/>
    <x v="0"/>
    <x v="24"/>
    <m/>
    <n v="10313"/>
    <n v="138.6"/>
    <n v="35121"/>
    <n v="24"/>
    <n v="3510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88"/>
    <x v="0"/>
    <x v="24"/>
    <m/>
    <n v="40019"/>
    <n v="92.4"/>
    <n v="35110"/>
    <n v="12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9"/>
    <x v="0"/>
    <x v="24"/>
    <m/>
    <n v="20301"/>
    <n v="92.4"/>
    <n v="35113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12"/>
    <x v="0"/>
    <x v="24"/>
    <m/>
    <n v="20313"/>
    <n v="120"/>
    <n v="35110"/>
    <n v="12"/>
    <n v="35111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11"/>
    <x v="0"/>
    <x v="24"/>
    <m/>
    <n v="20307"/>
    <n v="205.8"/>
    <n v="35111"/>
    <n v="12"/>
    <n v="35115"/>
    <n v="12"/>
    <n v="35128"/>
    <n v="12"/>
    <n v="51612"/>
    <n v="24"/>
    <n v="49644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4"/>
    <x v="0"/>
    <x v="24"/>
    <m/>
    <n v="20304"/>
    <n v="116.4"/>
    <n v="35110"/>
    <n v="12"/>
    <n v="35111"/>
    <n v="12"/>
    <n v="37112"/>
    <n v="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17"/>
    <x v="0"/>
    <x v="24"/>
    <m/>
    <n v="20317"/>
    <n v="98.4"/>
    <n v="50912"/>
    <n v="12"/>
    <n v="49644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96"/>
    <x v="0"/>
    <x v="24"/>
    <m/>
    <n v="20311"/>
    <n v="84.6"/>
    <n v="66701"/>
    <n v="12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31"/>
    <x v="0"/>
    <x v="24"/>
    <m/>
    <n v="20330"/>
    <n v="91.2"/>
    <n v="35110"/>
    <n v="12"/>
    <n v="51611"/>
    <n v="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USHTRRI"/>
    <x v="20"/>
    <x v="0"/>
    <x v="25"/>
    <m/>
    <n v="10428"/>
    <n v="92.4"/>
    <n v="35111"/>
    <n v="12"/>
    <n v="351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78"/>
    <x v="0"/>
    <x v="25"/>
    <m/>
    <n v="10410"/>
    <n v="46.2"/>
    <n v="3510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18"/>
    <x v="0"/>
    <x v="25"/>
    <m/>
    <n v="10413"/>
    <n v="102.4"/>
    <n v="35110"/>
    <n v="12"/>
    <n v="35115"/>
    <n v="12"/>
    <n v="54412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USHTRRI"/>
    <x v="77"/>
    <x v="0"/>
    <x v="25"/>
    <m/>
    <n v="10418"/>
    <n v="138.6"/>
    <n v="35128"/>
    <n v="12"/>
    <n v="35113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124"/>
    <x v="0"/>
    <x v="26"/>
    <m/>
    <n v="40017"/>
    <n v="96"/>
    <n v="35115"/>
    <n v="17"/>
    <n v="35109"/>
    <n v="5"/>
    <n v="35113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HOME KIM TEC"/>
    <x v="70"/>
    <x v="0"/>
    <x v="26"/>
    <m/>
    <n v="40003"/>
    <n v="227.5"/>
    <n v="20001"/>
    <n v="130"/>
    <n v="30275"/>
    <n v="40"/>
    <n v="39505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99"/>
    <x v="0"/>
    <x v="26"/>
    <m/>
    <n v="10506"/>
    <n v="46.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5"/>
    <x v="0"/>
    <x v="26"/>
    <m/>
    <n v="10504"/>
    <n v="92.4"/>
    <n v="35121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4"/>
    <x v="0"/>
    <x v="26"/>
    <m/>
    <n v="10509"/>
    <n v="53.2"/>
    <n v="50912"/>
    <n v="6"/>
    <n v="49644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6"/>
    <x v="0"/>
    <x v="26"/>
    <m/>
    <n v="10507"/>
    <n v="231"/>
    <n v="35110"/>
    <n v="12"/>
    <n v="35111"/>
    <n v="12"/>
    <n v="35113"/>
    <n v="12"/>
    <n v="35128"/>
    <n v="12"/>
    <n v="3510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32"/>
    <x v="0"/>
    <x v="26"/>
    <m/>
    <n v="10502"/>
    <n v="92.4"/>
    <n v="35111"/>
    <n v="1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KLINE"/>
    <x v="28"/>
    <x v="0"/>
    <x v="26"/>
    <m/>
    <n v="20501"/>
    <n v="162"/>
    <n v="66701"/>
    <n v="12"/>
    <n v="35110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30"/>
    <x v="0"/>
    <x v="26"/>
    <m/>
    <n v="20511"/>
    <n v="122.4"/>
    <n v="35111"/>
    <n v="12"/>
    <n v="35113"/>
    <n v="12"/>
    <n v="5161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KLINE"/>
    <x v="29"/>
    <x v="0"/>
    <x v="26"/>
    <m/>
    <n v="20502"/>
    <n v="46.2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102"/>
    <x v="0"/>
    <x v="26"/>
    <m/>
    <n v="20515"/>
    <n v="46.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KENDERAJ"/>
    <x v="133"/>
    <x v="0"/>
    <x v="26"/>
    <m/>
    <n v="20408"/>
    <n v="41"/>
    <n v="56117"/>
    <n v="5"/>
    <n v="44001"/>
    <n v="4"/>
    <n v="55718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KENDERAJ"/>
    <x v="104"/>
    <x v="0"/>
    <x v="26"/>
    <m/>
    <n v="20407"/>
    <n v="138.6"/>
    <n v="35111"/>
    <n v="12"/>
    <n v="3512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KENDERAJ"/>
    <x v="33"/>
    <x v="0"/>
    <x v="26"/>
    <m/>
    <n v="20406"/>
    <n v="124.9"/>
    <n v="50912"/>
    <n v="12"/>
    <n v="55718"/>
    <n v="1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81"/>
    <x v="0"/>
    <x v="27"/>
    <m/>
    <n v="10616"/>
    <n v="46.2"/>
    <n v="3511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6"/>
    <x v="0"/>
    <x v="27"/>
    <m/>
    <n v="10625"/>
    <n v="128.4"/>
    <n v="35109"/>
    <n v="12"/>
    <n v="35128"/>
    <n v="12"/>
    <n v="50912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4"/>
    <x v="0"/>
    <x v="27"/>
    <m/>
    <n v="10637"/>
    <n v="35"/>
    <n v="55718"/>
    <n v="5"/>
    <n v="44001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4"/>
    <x v="0"/>
    <x v="27"/>
    <m/>
    <n v="10636"/>
    <n v="92.4"/>
    <n v="35125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39"/>
    <x v="0"/>
    <x v="27"/>
    <m/>
    <n v="20602"/>
    <n v="138.6"/>
    <n v="35121"/>
    <n v="24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ADIME"/>
    <x v="41"/>
    <x v="0"/>
    <x v="27"/>
    <m/>
    <n v="20622"/>
    <n v="153.6"/>
    <n v="35109"/>
    <n v="12"/>
    <n v="35110"/>
    <n v="12"/>
    <n v="35121"/>
    <n v="12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43"/>
    <x v="0"/>
    <x v="27"/>
    <m/>
    <n v="20627"/>
    <n v="100.4"/>
    <n v="35113"/>
    <n v="12"/>
    <n v="35121"/>
    <n v="12"/>
    <n v="56117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4"/>
    <x v="0"/>
    <x v="27"/>
    <m/>
    <n v="20608"/>
    <n v="153.6"/>
    <n v="35110"/>
    <n v="12"/>
    <n v="35115"/>
    <n v="12"/>
    <n v="35121"/>
    <n v="12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OGANAJ"/>
    <x v="45"/>
    <x v="0"/>
    <x v="27"/>
    <m/>
    <n v="20607"/>
    <n v="138.6"/>
    <n v="35109"/>
    <n v="12"/>
    <n v="35119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REME"/>
    <x v="110"/>
    <x v="0"/>
    <x v="27"/>
    <m/>
    <n v="20610"/>
    <n v="462"/>
    <n v="35125"/>
    <n v="12"/>
    <n v="35110"/>
    <n v="24"/>
    <n v="35111"/>
    <n v="24"/>
    <n v="35128"/>
    <n v="24"/>
    <n v="35119"/>
    <n v="12"/>
    <n v="35115"/>
    <n v="12"/>
    <n v="35114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34"/>
    <x v="0"/>
    <x v="27"/>
    <m/>
    <n v="20632"/>
    <n v="138.6"/>
    <n v="35125"/>
    <n v="24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09"/>
    <x v="0"/>
    <x v="27"/>
    <m/>
    <n v="20630"/>
    <n v="144"/>
    <n v="35109"/>
    <n v="12"/>
    <n v="35111"/>
    <n v="12"/>
    <n v="51612"/>
    <n v="12"/>
    <n v="49644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13"/>
    <x v="0"/>
    <x v="27"/>
    <m/>
    <n v="20603"/>
    <n v="138.6"/>
    <n v="35109"/>
    <n v="12"/>
    <n v="35113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135"/>
    <x v="0"/>
    <x v="28"/>
    <m/>
    <n v="10135"/>
    <n v="46.2"/>
    <n v="3510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BARDHOSH"/>
    <x v="49"/>
    <x v="0"/>
    <x v="28"/>
    <m/>
    <n v="10114"/>
    <n v="48.8"/>
    <n v="54412"/>
    <n v="6"/>
    <n v="50912"/>
    <n v="4"/>
    <n v="49644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48"/>
    <x v="0"/>
    <x v="28"/>
    <m/>
    <n v="10111"/>
    <n v="138.4"/>
    <n v="35112"/>
    <n v="12"/>
    <n v="35109"/>
    <n v="12"/>
    <n v="50912"/>
    <n v="5"/>
    <n v="26736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84"/>
    <x v="0"/>
    <x v="28"/>
    <m/>
    <n v="10104"/>
    <n v="92.4"/>
    <n v="35110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88"/>
    <x v="0"/>
    <x v="28"/>
    <m/>
    <n v="40019"/>
    <n v="92.4"/>
    <n v="35110"/>
    <n v="12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1"/>
    <x v="0"/>
    <x v="28"/>
    <m/>
    <n v="20109"/>
    <n v="138.6"/>
    <n v="35109"/>
    <n v="12"/>
    <n v="35111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116"/>
    <x v="0"/>
    <x v="28"/>
    <m/>
    <n v="20102"/>
    <n v="47.2"/>
    <n v="50912"/>
    <n v="6"/>
    <n v="49644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115"/>
    <x v="0"/>
    <x v="28"/>
    <m/>
    <n v="20101"/>
    <n v="28.5"/>
    <n v="49644"/>
    <n v="5"/>
    <n v="54412"/>
    <n v="4"/>
    <n v="55718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6"/>
    <x v="0"/>
    <x v="28"/>
    <m/>
    <n v="20104"/>
    <n v="138.6"/>
    <n v="35108"/>
    <n v="24"/>
    <n v="3511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3"/>
    <x v="0"/>
    <x v="28"/>
    <m/>
    <n v="20126"/>
    <n v="92.4"/>
    <n v="35112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136"/>
    <x v="0"/>
    <x v="28"/>
    <m/>
    <n v="20129"/>
    <n v="92.4"/>
    <n v="35125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37"/>
    <x v="0"/>
    <x v="29"/>
    <m/>
    <n v="20634"/>
    <n v="785.4"/>
    <n v="35109"/>
    <n v="120"/>
    <n v="35110"/>
    <n v="36"/>
    <n v="35113"/>
    <n v="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HIROK"/>
    <x v="60"/>
    <x v="0"/>
    <x v="29"/>
    <m/>
    <n v="10205"/>
    <n v="231"/>
    <n v="35110"/>
    <n v="12"/>
    <n v="35115"/>
    <n v="12"/>
    <n v="35125"/>
    <n v="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59"/>
    <x v="0"/>
    <x v="29"/>
    <m/>
    <n v="10210"/>
    <n v="92.4"/>
    <n v="35115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63"/>
    <x v="0"/>
    <x v="29"/>
    <m/>
    <n v="10240"/>
    <n v="231"/>
    <n v="35110"/>
    <n v="12"/>
    <n v="35108"/>
    <n v="24"/>
    <n v="35113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THARAND"/>
    <x v="64"/>
    <x v="0"/>
    <x v="29"/>
    <m/>
    <n v="10201"/>
    <n v="80.8"/>
    <n v="35112"/>
    <n v="9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88"/>
    <x v="0"/>
    <x v="29"/>
    <m/>
    <n v="40019"/>
    <n v="184.8"/>
    <n v="35109"/>
    <n v="36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90"/>
    <x v="0"/>
    <x v="29"/>
    <m/>
    <n v="20212"/>
    <n v="92.4"/>
    <n v="35109"/>
    <n v="12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91"/>
    <x v="0"/>
    <x v="29"/>
    <m/>
    <n v="20223"/>
    <n v="130.80000000000001"/>
    <n v="51611"/>
    <n v="12"/>
    <n v="66701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92"/>
    <x v="0"/>
    <x v="29"/>
    <m/>
    <n v="20228"/>
    <n v="69.599999999999994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JUNIK"/>
    <x v="89"/>
    <x v="0"/>
    <x v="29"/>
    <m/>
    <n v="20206"/>
    <n v="92.4"/>
    <n v="35110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EQAN"/>
    <x v="68"/>
    <x v="0"/>
    <x v="29"/>
    <m/>
    <n v="20203"/>
    <n v="162"/>
    <n v="66701"/>
    <n v="12"/>
    <n v="35108"/>
    <n v="1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EQAN"/>
    <x v="69"/>
    <x v="0"/>
    <x v="29"/>
    <m/>
    <n v="20201"/>
    <n v="109.2"/>
    <n v="51611"/>
    <n v="24"/>
    <n v="51612"/>
    <n v="24"/>
    <n v="50912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0"/>
    <x v="0"/>
    <x v="30"/>
    <m/>
    <n v="10343"/>
    <n v="166.2"/>
    <n v="35110"/>
    <n v="36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6"/>
    <x v="0"/>
    <x v="30"/>
    <m/>
    <n v="10332"/>
    <n v="46.2"/>
    <n v="35114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95"/>
    <x v="0"/>
    <x v="30"/>
    <m/>
    <n v="10350"/>
    <n v="231"/>
    <n v="35110"/>
    <n v="12"/>
    <n v="35113"/>
    <n v="24"/>
    <n v="3512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19"/>
    <x v="0"/>
    <x v="30"/>
    <m/>
    <n v="10304"/>
    <n v="61.2"/>
    <n v="35110"/>
    <n v="12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3"/>
    <x v="0"/>
    <x v="30"/>
    <m/>
    <n v="10340"/>
    <n v="46.2"/>
    <n v="3510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94"/>
    <x v="0"/>
    <x v="30"/>
    <m/>
    <n v="10306"/>
    <n v="92.4"/>
    <n v="35110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8"/>
    <x v="0"/>
    <x v="30"/>
    <m/>
    <n v="10323"/>
    <n v="86.4"/>
    <n v="509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38"/>
    <x v="0"/>
    <x v="30"/>
    <m/>
    <n v="10320"/>
    <n v="46.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0"/>
    <x v="0"/>
    <x v="30"/>
    <m/>
    <n v="20324"/>
    <n v="92.4"/>
    <n v="35110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11"/>
    <x v="0"/>
    <x v="30"/>
    <m/>
    <n v="20307"/>
    <n v="347.4"/>
    <n v="35109"/>
    <n v="24"/>
    <n v="35110"/>
    <n v="24"/>
    <n v="35121"/>
    <n v="12"/>
    <n v="35125"/>
    <n v="12"/>
    <n v="51611"/>
    <n v="12"/>
    <n v="51612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75"/>
    <x v="0"/>
    <x v="30"/>
    <m/>
    <n v="20331"/>
    <n v="92.4"/>
    <n v="35110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3"/>
    <x v="0"/>
    <x v="30"/>
    <m/>
    <n v="20321"/>
    <n v="73.8"/>
    <n v="35121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4"/>
    <x v="0"/>
    <x v="30"/>
    <m/>
    <n v="20304"/>
    <n v="61.2"/>
    <n v="35121"/>
    <n v="12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12"/>
    <x v="0"/>
    <x v="30"/>
    <m/>
    <n v="20313"/>
    <n v="92.4"/>
    <n v="35110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17"/>
    <x v="0"/>
    <x v="30"/>
    <m/>
    <n v="20317"/>
    <n v="26"/>
    <n v="49644"/>
    <n v="6"/>
    <n v="44001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96"/>
    <x v="0"/>
    <x v="30"/>
    <m/>
    <n v="20311"/>
    <n v="46.2"/>
    <n v="3510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HOME KIM TEC"/>
    <x v="70"/>
    <x v="0"/>
    <x v="31"/>
    <m/>
    <n v="40003"/>
    <n v="175"/>
    <n v="20001"/>
    <n v="100"/>
    <n v="30275"/>
    <n v="4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LIPJAN"/>
    <x v="107"/>
    <x v="0"/>
    <x v="31"/>
    <m/>
    <n v="40033"/>
    <n v="48"/>
    <n v="35128"/>
    <n v="7"/>
    <n v="35109"/>
    <n v="3"/>
    <n v="35113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USHTRRI"/>
    <x v="77"/>
    <x v="0"/>
    <x v="31"/>
    <m/>
    <n v="10418"/>
    <n v="184.8"/>
    <n v="35110"/>
    <n v="24"/>
    <n v="35111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18"/>
    <x v="0"/>
    <x v="31"/>
    <m/>
    <n v="10413"/>
    <n v="92.4"/>
    <n v="35109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22"/>
    <x v="0"/>
    <x v="31"/>
    <m/>
    <n v="10406"/>
    <n v="30"/>
    <n v="56117"/>
    <n v="5"/>
    <n v="49644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78"/>
    <x v="0"/>
    <x v="31"/>
    <m/>
    <n v="10410"/>
    <n v="92.4"/>
    <n v="35110"/>
    <n v="1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19"/>
    <x v="0"/>
    <x v="31"/>
    <m/>
    <n v="10430"/>
    <n v="92.4"/>
    <n v="35113"/>
    <n v="12"/>
    <n v="3510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139"/>
    <x v="0"/>
    <x v="32"/>
    <m/>
    <n v="10145"/>
    <n v="323.39999999999998"/>
    <n v="35108"/>
    <n v="12"/>
    <n v="35109"/>
    <n v="12"/>
    <n v="35113"/>
    <n v="12"/>
    <n v="35125"/>
    <n v="12"/>
    <n v="35128"/>
    <n v="12"/>
    <n v="35121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140"/>
    <x v="0"/>
    <x v="32"/>
    <m/>
    <n v="40028"/>
    <n v="1134"/>
    <n v="35119"/>
    <n v="72"/>
    <n v="35128"/>
    <n v="36"/>
    <n v="35115"/>
    <n v="36"/>
    <n v="35108"/>
    <n v="36"/>
    <n v="35113"/>
    <n v="36"/>
    <n v="35121"/>
    <n v="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5"/>
    <x v="0"/>
    <x v="32"/>
    <m/>
    <n v="10504"/>
    <n v="107.4"/>
    <n v="35109"/>
    <n v="12"/>
    <n v="35110"/>
    <n v="12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95"/>
    <x v="0"/>
    <x v="32"/>
    <m/>
    <n v="10350"/>
    <n v="231"/>
    <n v="35121"/>
    <n v="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3"/>
    <x v="0"/>
    <x v="32"/>
    <m/>
    <n v="10508"/>
    <n v="46.2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LIPJAN"/>
    <x v="27"/>
    <x v="0"/>
    <x v="32"/>
    <m/>
    <n v="10529"/>
    <n v="50.4"/>
    <n v="50912"/>
    <n v="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6"/>
    <x v="0"/>
    <x v="32"/>
    <m/>
    <n v="10507"/>
    <n v="92.4"/>
    <n v="35121"/>
    <n v="12"/>
    <n v="3510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4"/>
    <x v="0"/>
    <x v="33"/>
    <m/>
    <n v="10635"/>
    <n v="46.2"/>
    <n v="3510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6"/>
    <x v="0"/>
    <x v="33"/>
    <m/>
    <n v="10625"/>
    <n v="92.4"/>
    <n v="35121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7"/>
    <x v="0"/>
    <x v="33"/>
    <m/>
    <n v="10619"/>
    <n v="14"/>
    <n v="16936"/>
    <n v="5"/>
    <n v="31827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4"/>
    <x v="0"/>
    <x v="33"/>
    <m/>
    <n v="10636"/>
    <n v="92.4"/>
    <n v="35109"/>
    <n v="12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141"/>
    <x v="0"/>
    <x v="33"/>
    <m/>
    <n v="10614"/>
    <n v="20"/>
    <n v="49644"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81"/>
    <x v="0"/>
    <x v="33"/>
    <m/>
    <n v="10616"/>
    <n v="46.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124"/>
    <x v="0"/>
    <x v="34"/>
    <m/>
    <n v="40017"/>
    <n v="96"/>
    <n v="35109"/>
    <n v="12"/>
    <n v="35128"/>
    <n v="3"/>
    <n v="35113"/>
    <n v="3"/>
    <n v="35121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142"/>
    <x v="0"/>
    <x v="34"/>
    <m/>
    <n v="40032"/>
    <n v="46"/>
    <n v="35121"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143"/>
    <x v="0"/>
    <x v="34"/>
    <m/>
    <n v="10141"/>
    <n v="40"/>
    <n v="20001"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82"/>
    <x v="0"/>
    <x v="34"/>
    <m/>
    <n v="10133"/>
    <n v="92.4"/>
    <n v="35109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47"/>
    <x v="0"/>
    <x v="34"/>
    <m/>
    <n v="10105"/>
    <n v="46.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48"/>
    <x v="0"/>
    <x v="34"/>
    <m/>
    <n v="10111"/>
    <n v="85.2"/>
    <n v="35110"/>
    <n v="12"/>
    <n v="51611"/>
    <n v="12"/>
    <n v="544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50"/>
    <x v="0"/>
    <x v="34"/>
    <m/>
    <n v="10103"/>
    <n v="67.2"/>
    <n v="35121"/>
    <n v="12"/>
    <n v="44001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BARDHOSH"/>
    <x v="49"/>
    <x v="0"/>
    <x v="34"/>
    <m/>
    <n v="10114"/>
    <n v="92.4"/>
    <n v="35108"/>
    <n v="1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HOME KIM TEC"/>
    <x v="70"/>
    <x v="0"/>
    <x v="34"/>
    <m/>
    <n v="40003"/>
    <n v="239"/>
    <n v="20001"/>
    <n v="140"/>
    <n v="30275"/>
    <n v="4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0"/>
    <x v="0"/>
    <x v="35"/>
    <m/>
    <n v="10343"/>
    <n v="183.6"/>
    <n v="35121"/>
    <n v="36"/>
    <n v="51611"/>
    <n v="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71"/>
    <x v="0"/>
    <x v="35"/>
    <m/>
    <n v="10360"/>
    <n v="153.6"/>
    <n v="35108"/>
    <n v="12"/>
    <n v="35109"/>
    <n v="12"/>
    <n v="35111"/>
    <n v="12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ZHARAN"/>
    <x v="5"/>
    <x v="0"/>
    <x v="35"/>
    <m/>
    <n v="10330"/>
    <n v="138.6"/>
    <n v="35111"/>
    <n v="12"/>
    <n v="35113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73"/>
    <x v="0"/>
    <x v="35"/>
    <m/>
    <n v="10352"/>
    <n v="46.2"/>
    <n v="3510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6"/>
    <x v="0"/>
    <x v="35"/>
    <m/>
    <n v="10332"/>
    <n v="92.4"/>
    <n v="35110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8"/>
    <x v="0"/>
    <x v="35"/>
    <m/>
    <n v="10323"/>
    <n v="86.4"/>
    <n v="509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19"/>
    <x v="0"/>
    <x v="35"/>
    <m/>
    <n v="10304"/>
    <n v="15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"/>
    <x v="0"/>
    <x v="35"/>
    <m/>
    <n v="10308"/>
    <n v="46.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58"/>
    <x v="0"/>
    <x v="35"/>
    <m/>
    <n v="10258"/>
    <n v="138.6"/>
    <n v="35128"/>
    <n v="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HOME KIM TEC"/>
    <x v="57"/>
    <x v="0"/>
    <x v="35"/>
    <m/>
    <n v="40002"/>
    <n v="24"/>
    <n v="544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124"/>
    <x v="0"/>
    <x v="35"/>
    <m/>
    <n v="40017"/>
    <n v="32"/>
    <n v="35128"/>
    <n v="5"/>
    <n v="35115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HOME KIM TEC"/>
    <x v="70"/>
    <x v="0"/>
    <x v="35"/>
    <m/>
    <n v="40003"/>
    <n v="158"/>
    <n v="20001"/>
    <n v="80"/>
    <n v="30275"/>
    <n v="5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12"/>
    <x v="0"/>
    <x v="36"/>
    <m/>
    <n v="20609"/>
    <n v="92.4"/>
    <n v="35109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39"/>
    <x v="0"/>
    <x v="36"/>
    <m/>
    <n v="20602"/>
    <n v="304.8"/>
    <n v="35121"/>
    <n v="60"/>
    <n v="35110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ADIME"/>
    <x v="41"/>
    <x v="0"/>
    <x v="36"/>
    <m/>
    <n v="20622"/>
    <n v="61.2"/>
    <n v="35109"/>
    <n v="12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08"/>
    <x v="0"/>
    <x v="36"/>
    <m/>
    <n v="20628"/>
    <n v="107.4"/>
    <n v="35110"/>
    <n v="12"/>
    <n v="35111"/>
    <n v="12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43"/>
    <x v="0"/>
    <x v="36"/>
    <m/>
    <n v="20627"/>
    <n v="162"/>
    <n v="35108"/>
    <n v="12"/>
    <n v="35115"/>
    <n v="12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ERLIC"/>
    <x v="44"/>
    <x v="0"/>
    <x v="36"/>
    <m/>
    <n v="20606"/>
    <n v="16"/>
    <n v="5091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USHTRRI"/>
    <x v="98"/>
    <x v="0"/>
    <x v="36"/>
    <m/>
    <n v="10429"/>
    <n v="92.4"/>
    <n v="35109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78"/>
    <x v="0"/>
    <x v="36"/>
    <m/>
    <n v="10410"/>
    <n v="184.8"/>
    <n v="35109"/>
    <n v="12"/>
    <n v="35110"/>
    <n v="12"/>
    <n v="35125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18"/>
    <x v="0"/>
    <x v="36"/>
    <m/>
    <n v="10413"/>
    <n v="92.4"/>
    <n v="35110"/>
    <n v="1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78"/>
    <x v="0"/>
    <x v="36"/>
    <m/>
    <n v="10410"/>
    <n v="92.4"/>
    <n v="35125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79"/>
    <x v="0"/>
    <x v="37"/>
    <m/>
    <n v="10539"/>
    <n v="46.2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6"/>
    <x v="0"/>
    <x v="37"/>
    <m/>
    <n v="10507"/>
    <n v="113.4"/>
    <n v="44001"/>
    <n v="6"/>
    <n v="35115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LIPJAN"/>
    <x v="125"/>
    <x v="0"/>
    <x v="37"/>
    <m/>
    <n v="10547"/>
    <n v="46.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5"/>
    <x v="0"/>
    <x v="37"/>
    <m/>
    <n v="10504"/>
    <n v="138.6"/>
    <n v="35109"/>
    <n v="12"/>
    <n v="35110"/>
    <n v="1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6"/>
    <x v="0"/>
    <x v="37"/>
    <m/>
    <n v="10507"/>
    <n v="46.2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32"/>
    <x v="0"/>
    <x v="37"/>
    <m/>
    <n v="10502"/>
    <n v="92.4"/>
    <n v="35121"/>
    <n v="1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KLINE"/>
    <x v="28"/>
    <x v="0"/>
    <x v="37"/>
    <m/>
    <n v="20501"/>
    <n v="138.6"/>
    <n v="35111"/>
    <n v="12"/>
    <n v="35121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30"/>
    <x v="0"/>
    <x v="37"/>
    <m/>
    <n v="20511"/>
    <n v="184.8"/>
    <n v="35109"/>
    <n v="12"/>
    <n v="35110"/>
    <n v="24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103"/>
    <x v="0"/>
    <x v="37"/>
    <m/>
    <n v="20508"/>
    <n v="92.4"/>
    <n v="35110"/>
    <n v="1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31"/>
    <x v="0"/>
    <x v="37"/>
    <m/>
    <n v="20513"/>
    <n v="40"/>
    <n v="50912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144"/>
    <x v="0"/>
    <x v="37"/>
    <m/>
    <n v="20510"/>
    <n v="129.6"/>
    <n v="66701"/>
    <n v="12"/>
    <n v="51611"/>
    <n v="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KENDERAJ"/>
    <x v="104"/>
    <x v="0"/>
    <x v="37"/>
    <m/>
    <n v="20407"/>
    <n v="231"/>
    <n v="35110"/>
    <n v="12"/>
    <n v="35111"/>
    <n v="12"/>
    <n v="35114"/>
    <n v="12"/>
    <n v="35121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KENDERAJ"/>
    <x v="33"/>
    <x v="0"/>
    <x v="37"/>
    <m/>
    <n v="20406"/>
    <n v="28.8"/>
    <n v="29802"/>
    <n v="4"/>
    <n v="49644"/>
    <n v="1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39"/>
    <x v="0"/>
    <x v="38"/>
    <m/>
    <n v="20602"/>
    <n v="92.4"/>
    <n v="35110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09"/>
    <x v="0"/>
    <x v="38"/>
    <m/>
    <n v="20630"/>
    <n v="115"/>
    <n v="35110"/>
    <n v="12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11"/>
    <x v="0"/>
    <x v="38"/>
    <m/>
    <n v="20604"/>
    <n v="92.4"/>
    <n v="35113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4"/>
    <x v="0"/>
    <x v="38"/>
    <m/>
    <n v="20608"/>
    <n v="138.6"/>
    <n v="35111"/>
    <n v="12"/>
    <n v="35115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KAQANIK"/>
    <x v="127"/>
    <x v="0"/>
    <x v="38"/>
    <m/>
    <n v="20611"/>
    <n v="92.4"/>
    <n v="35109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OGANAJ"/>
    <x v="45"/>
    <x v="0"/>
    <x v="38"/>
    <m/>
    <n v="20607"/>
    <n v="162.30000000000001"/>
    <n v="35109"/>
    <n v="12"/>
    <n v="35121"/>
    <n v="12"/>
    <n v="26736"/>
    <n v="6"/>
    <n v="50912"/>
    <n v="7"/>
    <n v="55718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45"/>
    <x v="0"/>
    <x v="38"/>
    <m/>
    <n v="20614"/>
    <n v="554.4"/>
    <n v="35113"/>
    <n v="96"/>
    <n v="35128"/>
    <n v="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46"/>
    <x v="0"/>
    <x v="38"/>
    <m/>
    <n v="20624"/>
    <n v="110.4"/>
    <n v="35110"/>
    <n v="12"/>
    <n v="35128"/>
    <n v="12"/>
    <n v="3182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81"/>
    <x v="0"/>
    <x v="38"/>
    <m/>
    <n v="10616"/>
    <n v="46.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4"/>
    <x v="0"/>
    <x v="38"/>
    <m/>
    <n v="10637"/>
    <n v="21"/>
    <n v="44001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4"/>
    <x v="0"/>
    <x v="38"/>
    <m/>
    <n v="10635"/>
    <n v="92.4"/>
    <n v="35128"/>
    <n v="12"/>
    <n v="3510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146"/>
    <x v="0"/>
    <x v="38"/>
    <m/>
    <n v="10613"/>
    <n v="46"/>
    <n v="50912"/>
    <n v="5"/>
    <n v="49644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4"/>
    <x v="0"/>
    <x v="38"/>
    <m/>
    <n v="10636"/>
    <n v="92.4"/>
    <n v="35110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6"/>
    <x v="0"/>
    <x v="38"/>
    <m/>
    <n v="10625"/>
    <n v="46.2"/>
    <n v="3510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82"/>
    <x v="0"/>
    <x v="39"/>
    <m/>
    <n v="10133"/>
    <n v="92.4"/>
    <n v="35109"/>
    <n v="1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84"/>
    <x v="0"/>
    <x v="39"/>
    <m/>
    <n v="10104"/>
    <n v="46.2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48"/>
    <x v="0"/>
    <x v="39"/>
    <m/>
    <n v="10111"/>
    <n v="138.6"/>
    <n v="35128"/>
    <n v="12"/>
    <n v="35121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BARDHOSH"/>
    <x v="49"/>
    <x v="0"/>
    <x v="39"/>
    <m/>
    <n v="10114"/>
    <n v="39.5"/>
    <n v="49644"/>
    <n v="4"/>
    <n v="44001"/>
    <n v="2"/>
    <n v="55718"/>
    <n v="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50"/>
    <x v="0"/>
    <x v="39"/>
    <m/>
    <n v="10103"/>
    <n v="46.2"/>
    <n v="3511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1"/>
    <x v="0"/>
    <x v="39"/>
    <m/>
    <n v="20109"/>
    <n v="184.8"/>
    <n v="35111"/>
    <n v="24"/>
    <n v="35115"/>
    <n v="12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116"/>
    <x v="0"/>
    <x v="39"/>
    <m/>
    <n v="20102"/>
    <n v="89.4"/>
    <n v="50912"/>
    <n v="7"/>
    <n v="55718"/>
    <n v="6"/>
    <n v="49644"/>
    <n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5"/>
    <x v="0"/>
    <x v="39"/>
    <m/>
    <n v="20127"/>
    <n v="69.599999999999994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3"/>
    <x v="0"/>
    <x v="39"/>
    <m/>
    <n v="20126"/>
    <n v="254.4"/>
    <n v="35109"/>
    <n v="12"/>
    <n v="35113"/>
    <n v="12"/>
    <n v="35114"/>
    <n v="12"/>
    <n v="35121"/>
    <n v="12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4"/>
    <x v="0"/>
    <x v="39"/>
    <m/>
    <n v="20121"/>
    <n v="138.6"/>
    <n v="35109"/>
    <n v="12"/>
    <n v="35119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6"/>
    <x v="0"/>
    <x v="39"/>
    <m/>
    <n v="20104"/>
    <n v="138.6"/>
    <n v="35113"/>
    <n v="24"/>
    <n v="3510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85"/>
    <x v="0"/>
    <x v="39"/>
    <m/>
    <n v="20130"/>
    <n v="92.4"/>
    <n v="35110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124"/>
    <x v="0"/>
    <x v="39"/>
    <m/>
    <n v="40017"/>
    <n v="52"/>
    <n v="35109"/>
    <n v="12"/>
    <n v="35115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HOME KIM TEC"/>
    <x v="70"/>
    <x v="0"/>
    <x v="39"/>
    <m/>
    <n v="40003"/>
    <n v="252.5"/>
    <n v="20001"/>
    <n v="150"/>
    <n v="30275"/>
    <n v="40"/>
    <n v="39505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HOME KIM TEC"/>
    <x v="57"/>
    <x v="0"/>
    <x v="39"/>
    <m/>
    <n v="40002"/>
    <n v="8.5"/>
    <n v="50912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HTIME"/>
    <x v="86"/>
    <x v="0"/>
    <x v="40"/>
    <m/>
    <n v="10250"/>
    <n v="92.4"/>
    <n v="35108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UHEL"/>
    <x v="147"/>
    <x v="0"/>
    <x v="40"/>
    <m/>
    <n v="10230"/>
    <n v="46.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HIROK"/>
    <x v="60"/>
    <x v="0"/>
    <x v="40"/>
    <m/>
    <n v="10205"/>
    <n v="206.4"/>
    <n v="35109"/>
    <n v="12"/>
    <n v="35121"/>
    <n v="12"/>
    <n v="35113"/>
    <n v="12"/>
    <n v="35128"/>
    <n v="12"/>
    <n v="50912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THARAND"/>
    <x v="64"/>
    <x v="0"/>
    <x v="40"/>
    <m/>
    <n v="10201"/>
    <n v="106"/>
    <n v="29802"/>
    <n v="8"/>
    <n v="3512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63"/>
    <x v="0"/>
    <x v="40"/>
    <m/>
    <n v="10240"/>
    <n v="277.2"/>
    <n v="35110"/>
    <n v="12"/>
    <n v="35111"/>
    <n v="12"/>
    <n v="35113"/>
    <n v="12"/>
    <n v="35115"/>
    <n v="12"/>
    <n v="35121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63"/>
    <x v="0"/>
    <x v="40"/>
    <m/>
    <n v="10240"/>
    <n v="30"/>
    <n v="5161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88"/>
    <x v="0"/>
    <x v="40"/>
    <m/>
    <n v="40019"/>
    <n v="92.4"/>
    <n v="35113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130"/>
    <x v="0"/>
    <x v="40"/>
    <m/>
    <n v="10255"/>
    <n v="348"/>
    <n v="66701"/>
    <n v="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148"/>
    <x v="0"/>
    <x v="40"/>
    <m/>
    <n v="20210"/>
    <n v="92.4"/>
    <n v="35110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91"/>
    <x v="0"/>
    <x v="40"/>
    <m/>
    <n v="20223"/>
    <n v="80"/>
    <n v="12000"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66"/>
    <x v="0"/>
    <x v="40"/>
    <m/>
    <n v="20209"/>
    <n v="190.2"/>
    <n v="35110"/>
    <n v="12"/>
    <n v="35111"/>
    <n v="12"/>
    <n v="35114"/>
    <n v="12"/>
    <n v="49644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91"/>
    <x v="0"/>
    <x v="40"/>
    <m/>
    <n v="20223"/>
    <n v="208.2"/>
    <n v="66701"/>
    <n v="12"/>
    <n v="35108"/>
    <n v="12"/>
    <n v="35121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90"/>
    <x v="0"/>
    <x v="40"/>
    <m/>
    <n v="20212"/>
    <n v="138.6"/>
    <n v="35108"/>
    <n v="12"/>
    <n v="35109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118"/>
    <x v="0"/>
    <x v="40"/>
    <m/>
    <n v="20208"/>
    <n v="115.8"/>
    <n v="35113"/>
    <n v="12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EQAN"/>
    <x v="68"/>
    <x v="0"/>
    <x v="40"/>
    <m/>
    <n v="20203"/>
    <n v="232.8"/>
    <n v="35110"/>
    <n v="12"/>
    <n v="35111"/>
    <n v="12"/>
    <n v="35113"/>
    <n v="12"/>
    <n v="35128"/>
    <n v="12"/>
    <n v="56117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EQAN"/>
    <x v="69"/>
    <x v="0"/>
    <x v="40"/>
    <m/>
    <n v="20201"/>
    <n v="154.6"/>
    <n v="35110"/>
    <n v="12"/>
    <n v="35111"/>
    <n v="12"/>
    <n v="35115"/>
    <n v="12"/>
    <n v="5091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JUNIK"/>
    <x v="89"/>
    <x v="0"/>
    <x v="40"/>
    <m/>
    <n v="20206"/>
    <n v="92.4"/>
    <n v="35109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19"/>
    <x v="0"/>
    <x v="41"/>
    <m/>
    <n v="10304"/>
    <n v="36"/>
    <n v="20001"/>
    <n v="10"/>
    <n v="30276"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ZHARAN"/>
    <x v="5"/>
    <x v="0"/>
    <x v="41"/>
    <m/>
    <n v="10330"/>
    <n v="46.2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6"/>
    <x v="0"/>
    <x v="41"/>
    <m/>
    <n v="10332"/>
    <n v="92.4"/>
    <n v="35113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7"/>
    <x v="0"/>
    <x v="41"/>
    <m/>
    <n v="10301"/>
    <n v="46.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95"/>
    <x v="0"/>
    <x v="41"/>
    <m/>
    <n v="10350"/>
    <n v="138.6"/>
    <n v="35121"/>
    <n v="24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73"/>
    <x v="0"/>
    <x v="41"/>
    <m/>
    <n v="10352"/>
    <n v="92.4"/>
    <n v="35109"/>
    <n v="12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49"/>
    <x v="0"/>
    <x v="41"/>
    <m/>
    <n v="10317"/>
    <n v="46"/>
    <n v="50912"/>
    <n v="5"/>
    <n v="49644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2"/>
    <x v="0"/>
    <x v="41"/>
    <m/>
    <n v="10344"/>
    <n v="92.4"/>
    <n v="35108"/>
    <n v="1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"/>
    <x v="0"/>
    <x v="41"/>
    <m/>
    <n v="10308"/>
    <n v="46.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50"/>
    <x v="0"/>
    <x v="41"/>
    <m/>
    <n v="10365"/>
    <n v="92.4"/>
    <n v="35125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9"/>
    <x v="0"/>
    <x v="41"/>
    <m/>
    <n v="20301"/>
    <n v="162"/>
    <n v="35110"/>
    <n v="24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11"/>
    <x v="0"/>
    <x v="41"/>
    <m/>
    <n v="20307"/>
    <n v="402"/>
    <n v="35109"/>
    <n v="24"/>
    <n v="35110"/>
    <n v="24"/>
    <n v="35113"/>
    <n v="12"/>
    <n v="35128"/>
    <n v="12"/>
    <n v="51612"/>
    <n v="24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75"/>
    <x v="0"/>
    <x v="41"/>
    <m/>
    <n v="20331"/>
    <n v="92.4"/>
    <n v="35111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6"/>
    <x v="0"/>
    <x v="41"/>
    <m/>
    <n v="20306"/>
    <n v="138.6"/>
    <n v="35110"/>
    <n v="12"/>
    <n v="35115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12"/>
    <x v="0"/>
    <x v="41"/>
    <m/>
    <n v="20313"/>
    <n v="92.4"/>
    <n v="35109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17"/>
    <x v="0"/>
    <x v="41"/>
    <m/>
    <n v="20317"/>
    <n v="86.4"/>
    <n v="509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51"/>
    <x v="0"/>
    <x v="41"/>
    <m/>
    <n v="20328"/>
    <n v="110.4"/>
    <n v="35109"/>
    <n v="12"/>
    <n v="35110"/>
    <n v="12"/>
    <n v="3181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USHTRRI"/>
    <x v="77"/>
    <x v="0"/>
    <x v="42"/>
    <m/>
    <n v="10418"/>
    <n v="92.4"/>
    <n v="35109"/>
    <n v="1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22"/>
    <x v="0"/>
    <x v="42"/>
    <m/>
    <n v="10406"/>
    <n v="18"/>
    <n v="39505"/>
    <n v="2"/>
    <n v="49644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78"/>
    <x v="0"/>
    <x v="42"/>
    <m/>
    <n v="10410"/>
    <n v="277.2"/>
    <n v="35125"/>
    <n v="24"/>
    <n v="35109"/>
    <n v="12"/>
    <n v="35111"/>
    <n v="12"/>
    <n v="35115"/>
    <n v="12"/>
    <n v="3511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USHTRRI"/>
    <x v="152"/>
    <x v="0"/>
    <x v="42"/>
    <m/>
    <n v="10401"/>
    <n v="46.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124"/>
    <x v="0"/>
    <x v="43"/>
    <m/>
    <n v="40017"/>
    <n v="20"/>
    <n v="35121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32"/>
    <x v="0"/>
    <x v="43"/>
    <m/>
    <n v="10502"/>
    <n v="46.2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5"/>
    <x v="0"/>
    <x v="43"/>
    <m/>
    <n v="10504"/>
    <n v="184.8"/>
    <n v="35121"/>
    <n v="12"/>
    <n v="35110"/>
    <n v="12"/>
    <n v="35115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53"/>
    <x v="0"/>
    <x v="43"/>
    <m/>
    <n v="10511"/>
    <n v="92.4"/>
    <n v="35108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95"/>
    <x v="0"/>
    <x v="43"/>
    <m/>
    <n v="10350"/>
    <n v="46.2"/>
    <n v="35128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LIPJAN"/>
    <x v="27"/>
    <x v="0"/>
    <x v="43"/>
    <m/>
    <n v="10529"/>
    <n v="106.4"/>
    <n v="50912"/>
    <n v="12"/>
    <n v="55718"/>
    <n v="4"/>
    <n v="16936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6"/>
    <x v="0"/>
    <x v="43"/>
    <m/>
    <n v="10507"/>
    <n v="92.4"/>
    <n v="35110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32"/>
    <x v="0"/>
    <x v="43"/>
    <m/>
    <n v="10502"/>
    <n v="46.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4"/>
    <x v="0"/>
    <x v="43"/>
    <m/>
    <n v="10509"/>
    <n v="36"/>
    <n v="50912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KLINE"/>
    <x v="28"/>
    <x v="0"/>
    <x v="43"/>
    <m/>
    <n v="20501"/>
    <n v="69.599999999999994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30"/>
    <x v="0"/>
    <x v="43"/>
    <m/>
    <n v="20511"/>
    <n v="92.4"/>
    <n v="3512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103"/>
    <x v="0"/>
    <x v="43"/>
    <m/>
    <n v="20508"/>
    <n v="115.8"/>
    <n v="35115"/>
    <n v="12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144"/>
    <x v="0"/>
    <x v="43"/>
    <m/>
    <n v="20510"/>
    <n v="101.4"/>
    <n v="35128"/>
    <n v="12"/>
    <n v="51612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102"/>
    <x v="0"/>
    <x v="43"/>
    <m/>
    <n v="20515"/>
    <n v="138.6"/>
    <n v="35108"/>
    <n v="12"/>
    <n v="35111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KENDERAJ"/>
    <x v="104"/>
    <x v="0"/>
    <x v="43"/>
    <m/>
    <n v="20407"/>
    <n v="138.6"/>
    <n v="35108"/>
    <n v="12"/>
    <n v="35121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KENDERAJ"/>
    <x v="33"/>
    <x v="0"/>
    <x v="43"/>
    <m/>
    <n v="20406"/>
    <n v="107.4"/>
    <n v="50912"/>
    <n v="12"/>
    <n v="55718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KENDERAJ"/>
    <x v="133"/>
    <x v="0"/>
    <x v="43"/>
    <m/>
    <n v="20408"/>
    <n v="81.400000000000006"/>
    <n v="50912"/>
    <n v="7"/>
    <n v="44001"/>
    <n v="6"/>
    <n v="49644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RENAS"/>
    <x v="105"/>
    <x v="0"/>
    <x v="43"/>
    <m/>
    <n v="20403"/>
    <n v="99.4"/>
    <n v="35109"/>
    <n v="12"/>
    <n v="35113"/>
    <n v="12"/>
    <n v="44001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4"/>
    <x v="0"/>
    <x v="44"/>
    <m/>
    <n v="10636"/>
    <n v="46.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29"/>
    <x v="0"/>
    <x v="44"/>
    <m/>
    <n v="10622"/>
    <n v="40"/>
    <n v="54412"/>
    <n v="16"/>
    <n v="49644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4"/>
    <x v="0"/>
    <x v="44"/>
    <m/>
    <n v="10635"/>
    <n v="46.2"/>
    <n v="3510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4"/>
    <x v="0"/>
    <x v="44"/>
    <m/>
    <n v="10637"/>
    <n v="86.4"/>
    <n v="509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6"/>
    <x v="0"/>
    <x v="44"/>
    <m/>
    <n v="10625"/>
    <n v="184.8"/>
    <n v="35113"/>
    <n v="12"/>
    <n v="35114"/>
    <n v="12"/>
    <n v="35115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13"/>
    <x v="0"/>
    <x v="44"/>
    <m/>
    <n v="20603"/>
    <n v="126"/>
    <n v="35114"/>
    <n v="24"/>
    <n v="51612"/>
    <n v="12"/>
    <n v="49644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ADIME"/>
    <x v="41"/>
    <x v="0"/>
    <x v="44"/>
    <m/>
    <n v="20622"/>
    <n v="184.8"/>
    <n v="35109"/>
    <n v="12"/>
    <n v="35113"/>
    <n v="12"/>
    <n v="3512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43"/>
    <x v="0"/>
    <x v="44"/>
    <m/>
    <n v="20627"/>
    <n v="138.6"/>
    <n v="35111"/>
    <n v="12"/>
    <n v="35113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11"/>
    <x v="0"/>
    <x v="44"/>
    <m/>
    <n v="20604"/>
    <n v="184.8"/>
    <n v="35110"/>
    <n v="12"/>
    <n v="35111"/>
    <n v="24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REME"/>
    <x v="110"/>
    <x v="0"/>
    <x v="44"/>
    <m/>
    <n v="20610"/>
    <n v="401.6"/>
    <n v="35125"/>
    <n v="12"/>
    <n v="35128"/>
    <n v="12"/>
    <n v="35119"/>
    <n v="12"/>
    <n v="35114"/>
    <n v="24"/>
    <n v="35121"/>
    <n v="12"/>
    <n v="35113"/>
    <n v="12"/>
    <n v="35109"/>
    <n v="12"/>
    <n v="35111"/>
    <n v="12"/>
    <n v="50912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34"/>
    <x v="0"/>
    <x v="44"/>
    <m/>
    <n v="20632"/>
    <n v="600.6"/>
    <n v="35125"/>
    <n v="36"/>
    <n v="35113"/>
    <n v="24"/>
    <n v="35109"/>
    <n v="24"/>
    <n v="35111"/>
    <n v="24"/>
    <n v="35128"/>
    <n v="24"/>
    <n v="35115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ERLIC"/>
    <x v="44"/>
    <x v="0"/>
    <x v="44"/>
    <m/>
    <n v="20606"/>
    <n v="100.4"/>
    <n v="35110"/>
    <n v="12"/>
    <n v="35111"/>
    <n v="12"/>
    <n v="56117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46"/>
    <x v="0"/>
    <x v="44"/>
    <m/>
    <n v="20624"/>
    <n v="138.6"/>
    <n v="35115"/>
    <n v="24"/>
    <n v="3511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ADIME"/>
    <x v="128"/>
    <x v="0"/>
    <x v="44"/>
    <m/>
    <n v="20615"/>
    <n v="166.2"/>
    <n v="35110"/>
    <n v="12"/>
    <n v="35115"/>
    <n v="12"/>
    <n v="35121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HOME KIM TEC"/>
    <x v="154"/>
    <x v="0"/>
    <x v="45"/>
    <m/>
    <s v="blq"/>
    <n v="35"/>
    <n v="35108"/>
    <n v="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82"/>
    <x v="0"/>
    <x v="45"/>
    <m/>
    <n v="10133"/>
    <n v="46.2"/>
    <n v="3510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BARDHOSH"/>
    <x v="49"/>
    <x v="0"/>
    <x v="45"/>
    <m/>
    <n v="10114"/>
    <n v="47.2"/>
    <n v="50912"/>
    <n v="6"/>
    <n v="49644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48"/>
    <x v="0"/>
    <x v="45"/>
    <m/>
    <n v="10111"/>
    <n v="138.6"/>
    <n v="35110"/>
    <n v="12"/>
    <n v="35111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50"/>
    <x v="0"/>
    <x v="45"/>
    <m/>
    <n v="10103"/>
    <n v="92.4"/>
    <n v="35113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84"/>
    <x v="0"/>
    <x v="45"/>
    <m/>
    <n v="10104"/>
    <n v="60.2"/>
    <n v="35109"/>
    <n v="12"/>
    <n v="44001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48"/>
    <x v="0"/>
    <x v="45"/>
    <m/>
    <n v="10111"/>
    <n v="21.6"/>
    <n v="50912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HTIME"/>
    <x v="86"/>
    <x v="0"/>
    <x v="46"/>
    <m/>
    <n v="10250"/>
    <n v="277.2"/>
    <n v="35108"/>
    <n v="7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62"/>
    <x v="0"/>
    <x v="46"/>
    <m/>
    <n v="10241"/>
    <n v="55.2"/>
    <n v="51612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ZYM"/>
    <x v="61"/>
    <x v="0"/>
    <x v="46"/>
    <m/>
    <n v="10245"/>
    <n v="138.6"/>
    <n v="35109"/>
    <n v="24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63"/>
    <x v="0"/>
    <x v="46"/>
    <m/>
    <n v="10240"/>
    <n v="277.2"/>
    <n v="35109"/>
    <n v="36"/>
    <n v="35110"/>
    <n v="12"/>
    <n v="35128"/>
    <n v="12"/>
    <n v="3510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HIROK"/>
    <x v="60"/>
    <x v="0"/>
    <x v="46"/>
    <m/>
    <n v="10205"/>
    <n v="92.4"/>
    <n v="35109"/>
    <n v="1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UHEL"/>
    <x v="147"/>
    <x v="0"/>
    <x v="46"/>
    <m/>
    <n v="10230"/>
    <n v="92.4"/>
    <n v="35121"/>
    <n v="12"/>
    <n v="3510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88"/>
    <x v="0"/>
    <x v="46"/>
    <m/>
    <n v="40019"/>
    <n v="138"/>
    <n v="35108"/>
    <n v="12"/>
    <n v="35109"/>
    <n v="12"/>
    <n v="3511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JUNIK"/>
    <x v="155"/>
    <x v="0"/>
    <x v="46"/>
    <m/>
    <n v="20205"/>
    <n v="344.8"/>
    <n v="35109"/>
    <n v="12"/>
    <n v="35110"/>
    <n v="12"/>
    <n v="35111"/>
    <n v="12"/>
    <n v="35113"/>
    <n v="12"/>
    <n v="35115"/>
    <n v="12"/>
    <n v="35125"/>
    <n v="12"/>
    <n v="51612"/>
    <n v="12"/>
    <n v="56117"/>
    <n v="6"/>
    <n v="5091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66"/>
    <x v="0"/>
    <x v="46"/>
    <m/>
    <n v="20209"/>
    <n v="184.8"/>
    <n v="35108"/>
    <n v="24"/>
    <n v="35109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90"/>
    <x v="0"/>
    <x v="46"/>
    <m/>
    <n v="20212"/>
    <n v="139.19999999999999"/>
    <n v="6670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91"/>
    <x v="0"/>
    <x v="46"/>
    <m/>
    <n v="20223"/>
    <n v="138.6"/>
    <n v="35110"/>
    <n v="12"/>
    <n v="35111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92"/>
    <x v="0"/>
    <x v="46"/>
    <m/>
    <n v="20228"/>
    <n v="139.19999999999999"/>
    <n v="6670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67"/>
    <x v="0"/>
    <x v="46"/>
    <m/>
    <n v="20211"/>
    <n v="92.4"/>
    <n v="35108"/>
    <n v="12"/>
    <n v="3510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118"/>
    <x v="0"/>
    <x v="46"/>
    <m/>
    <n v="20208"/>
    <n v="92.4"/>
    <n v="35110"/>
    <n v="12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JUNIK"/>
    <x v="89"/>
    <x v="0"/>
    <x v="46"/>
    <m/>
    <n v="20206"/>
    <n v="120"/>
    <n v="35109"/>
    <n v="12"/>
    <n v="35113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1"/>
    <x v="0"/>
    <x v="46"/>
    <m/>
    <n v="20109"/>
    <n v="139.19999999999999"/>
    <n v="6670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1"/>
    <x v="0"/>
    <x v="46"/>
    <m/>
    <n v="20109"/>
    <n v="92.4"/>
    <n v="35114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115"/>
    <x v="0"/>
    <x v="46"/>
    <m/>
    <n v="20101"/>
    <n v="37"/>
    <n v="49644"/>
    <n v="7"/>
    <n v="50912"/>
    <n v="2"/>
    <n v="44001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3"/>
    <x v="0"/>
    <x v="46"/>
    <m/>
    <n v="20126"/>
    <n v="184.8"/>
    <n v="35108"/>
    <n v="12"/>
    <n v="35110"/>
    <n v="12"/>
    <n v="35111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HOME KIM TEC"/>
    <x v="70"/>
    <x v="0"/>
    <x v="46"/>
    <m/>
    <n v="40003"/>
    <n v="249"/>
    <n v="20001"/>
    <n v="140"/>
    <n v="30275"/>
    <n v="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HOME KIM TEC"/>
    <x v="154"/>
    <x v="0"/>
    <x v="47"/>
    <m/>
    <s v="blq"/>
    <n v="9"/>
    <n v="66701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HOME KIM TEC"/>
    <x v="57"/>
    <x v="0"/>
    <x v="47"/>
    <m/>
    <n v="40002"/>
    <n v="24"/>
    <n v="544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0"/>
    <x v="0"/>
    <x v="47"/>
    <m/>
    <n v="10343"/>
    <n v="138.6"/>
    <n v="35109"/>
    <n v="24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95"/>
    <x v="0"/>
    <x v="47"/>
    <m/>
    <n v="10350"/>
    <n v="184.8"/>
    <n v="35121"/>
    <n v="24"/>
    <n v="35113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56"/>
    <x v="0"/>
    <x v="47"/>
    <m/>
    <n v="10353"/>
    <n v="46.2"/>
    <n v="3510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8"/>
    <x v="0"/>
    <x v="47"/>
    <m/>
    <n v="10323"/>
    <n v="46"/>
    <n v="50912"/>
    <n v="5"/>
    <n v="49644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6"/>
    <x v="0"/>
    <x v="47"/>
    <m/>
    <n v="10332"/>
    <n v="92.4"/>
    <n v="35125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94"/>
    <x v="0"/>
    <x v="47"/>
    <m/>
    <n v="10306"/>
    <n v="138.6"/>
    <n v="35125"/>
    <n v="12"/>
    <n v="35111"/>
    <n v="1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19"/>
    <x v="0"/>
    <x v="47"/>
    <m/>
    <n v="10304"/>
    <n v="92.4"/>
    <n v="35109"/>
    <n v="12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9"/>
    <x v="0"/>
    <x v="47"/>
    <m/>
    <n v="20301"/>
    <n v="56.4"/>
    <n v="30276"/>
    <n v="20"/>
    <n v="2980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11"/>
    <x v="0"/>
    <x v="47"/>
    <m/>
    <n v="20307"/>
    <n v="245.6"/>
    <n v="66701"/>
    <n v="12"/>
    <n v="35119"/>
    <n v="12"/>
    <n v="35115"/>
    <n v="12"/>
    <n v="51612"/>
    <n v="12"/>
    <n v="54412"/>
    <n v="12"/>
    <n v="50912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75"/>
    <x v="0"/>
    <x v="47"/>
    <m/>
    <n v="20331"/>
    <n v="231"/>
    <n v="35121"/>
    <n v="24"/>
    <n v="35108"/>
    <n v="12"/>
    <n v="35109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3"/>
    <x v="0"/>
    <x v="47"/>
    <m/>
    <n v="20321"/>
    <n v="147.6"/>
    <n v="35121"/>
    <n v="24"/>
    <n v="51612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57"/>
    <x v="0"/>
    <x v="47"/>
    <m/>
    <n v="20322"/>
    <n v="193.8"/>
    <n v="35109"/>
    <n v="24"/>
    <n v="35111"/>
    <n v="12"/>
    <n v="51612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USHTRRI"/>
    <x v="77"/>
    <x v="0"/>
    <x v="48"/>
    <m/>
    <n v="10418"/>
    <n v="184.8"/>
    <n v="35110"/>
    <n v="24"/>
    <n v="35128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18"/>
    <x v="0"/>
    <x v="48"/>
    <m/>
    <n v="10413"/>
    <n v="67.2"/>
    <n v="35115"/>
    <n v="12"/>
    <n v="44001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78"/>
    <x v="0"/>
    <x v="48"/>
    <m/>
    <n v="10410"/>
    <n v="184.8"/>
    <n v="35114"/>
    <n v="12"/>
    <n v="35115"/>
    <n v="12"/>
    <n v="35121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USHTRRI"/>
    <x v="20"/>
    <x v="0"/>
    <x v="48"/>
    <m/>
    <n v="10428"/>
    <n v="92.4"/>
    <n v="35111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USHTRRI"/>
    <x v="98"/>
    <x v="0"/>
    <x v="48"/>
    <m/>
    <n v="10429"/>
    <n v="46.2"/>
    <n v="3510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99"/>
    <x v="0"/>
    <x v="49"/>
    <m/>
    <n v="10506"/>
    <n v="46.2"/>
    <n v="3510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5"/>
    <x v="0"/>
    <x v="49"/>
    <m/>
    <n v="10504"/>
    <n v="92.4"/>
    <n v="35113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80"/>
    <x v="0"/>
    <x v="49"/>
    <m/>
    <n v="10542"/>
    <n v="46.2"/>
    <n v="3510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95"/>
    <x v="0"/>
    <x v="49"/>
    <m/>
    <n v="10350"/>
    <n v="184.8"/>
    <n v="35113"/>
    <n v="24"/>
    <n v="3512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4"/>
    <x v="0"/>
    <x v="49"/>
    <m/>
    <n v="10509"/>
    <n v="50"/>
    <n v="50912"/>
    <n v="5"/>
    <n v="55718"/>
    <n v="2"/>
    <n v="44001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6"/>
    <x v="0"/>
    <x v="49"/>
    <m/>
    <n v="10507"/>
    <n v="138.6"/>
    <n v="35113"/>
    <n v="12"/>
    <n v="35115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KLINE"/>
    <x v="28"/>
    <x v="0"/>
    <x v="49"/>
    <m/>
    <n v="20501"/>
    <n v="92.4"/>
    <n v="35110"/>
    <n v="1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30"/>
    <x v="0"/>
    <x v="49"/>
    <m/>
    <n v="20511"/>
    <n v="120"/>
    <n v="35111"/>
    <n v="12"/>
    <n v="35119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103"/>
    <x v="0"/>
    <x v="49"/>
    <m/>
    <n v="20508"/>
    <n v="138.6"/>
    <n v="35110"/>
    <n v="12"/>
    <n v="35113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31"/>
    <x v="0"/>
    <x v="49"/>
    <m/>
    <n v="20513"/>
    <n v="102.5"/>
    <n v="44001"/>
    <n v="8"/>
    <n v="50912"/>
    <n v="9"/>
    <n v="49644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102"/>
    <x v="0"/>
    <x v="49"/>
    <m/>
    <n v="20515"/>
    <n v="120"/>
    <n v="35111"/>
    <n v="12"/>
    <n v="35115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KENDERAJ"/>
    <x v="104"/>
    <x v="0"/>
    <x v="49"/>
    <m/>
    <n v="20407"/>
    <n v="184.8"/>
    <n v="35109"/>
    <n v="12"/>
    <n v="35110"/>
    <n v="12"/>
    <n v="35111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HOME KIM TEC"/>
    <x v="70"/>
    <x v="0"/>
    <x v="49"/>
    <m/>
    <n v="40003"/>
    <n v="185"/>
    <n v="20001"/>
    <n v="100"/>
    <n v="30275"/>
    <n v="5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4"/>
    <x v="0"/>
    <x v="50"/>
    <m/>
    <n v="10635"/>
    <n v="92.4"/>
    <n v="35113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146"/>
    <x v="0"/>
    <x v="50"/>
    <m/>
    <n v="10613"/>
    <n v="54.7"/>
    <n v="50912"/>
    <n v="6"/>
    <n v="49644"/>
    <n v="4"/>
    <n v="44001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6"/>
    <x v="0"/>
    <x v="50"/>
    <m/>
    <n v="10625"/>
    <n v="138.6"/>
    <n v="35121"/>
    <n v="12"/>
    <n v="35128"/>
    <n v="1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126"/>
    <x v="0"/>
    <x v="50"/>
    <m/>
    <n v="10604"/>
    <n v="10"/>
    <n v="54412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158"/>
    <x v="0"/>
    <x v="50"/>
    <m/>
    <n v="10626"/>
    <n v="46"/>
    <n v="50912"/>
    <n v="5"/>
    <n v="49644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12"/>
    <x v="0"/>
    <x v="50"/>
    <m/>
    <n v="20609"/>
    <n v="92.4"/>
    <n v="3512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39"/>
    <x v="0"/>
    <x v="50"/>
    <m/>
    <n v="20602"/>
    <n v="138.6"/>
    <n v="35109"/>
    <n v="12"/>
    <n v="35110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37"/>
    <x v="0"/>
    <x v="50"/>
    <m/>
    <n v="20635"/>
    <n v="138.6"/>
    <n v="35109"/>
    <n v="12"/>
    <n v="35110"/>
    <n v="12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ADIME"/>
    <x v="41"/>
    <x v="0"/>
    <x v="50"/>
    <m/>
    <n v="20622"/>
    <n v="92.4"/>
    <n v="35109"/>
    <n v="12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11"/>
    <x v="0"/>
    <x v="50"/>
    <m/>
    <n v="20604"/>
    <n v="184.8"/>
    <n v="35113"/>
    <n v="24"/>
    <n v="35119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43"/>
    <x v="0"/>
    <x v="50"/>
    <m/>
    <n v="20627"/>
    <n v="92.4"/>
    <n v="35109"/>
    <n v="12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ERLIC"/>
    <x v="44"/>
    <x v="0"/>
    <x v="50"/>
    <m/>
    <n v="20606"/>
    <n v="92.4"/>
    <n v="35113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OGANAJ"/>
    <x v="45"/>
    <x v="0"/>
    <x v="50"/>
    <m/>
    <n v="20607"/>
    <n v="173.6"/>
    <n v="35113"/>
    <n v="12"/>
    <n v="35115"/>
    <n v="12"/>
    <n v="35128"/>
    <n v="12"/>
    <n v="44001"/>
    <n v="6"/>
    <n v="55718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59"/>
    <x v="0"/>
    <x v="50"/>
    <m/>
    <n v="20633"/>
    <n v="184.8"/>
    <n v="35109"/>
    <n v="12"/>
    <n v="35110"/>
    <n v="12"/>
    <n v="35111"/>
    <n v="1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82"/>
    <x v="0"/>
    <x v="51"/>
    <m/>
    <n v="10133"/>
    <n v="46.2"/>
    <n v="3510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48"/>
    <x v="0"/>
    <x v="51"/>
    <m/>
    <n v="10111"/>
    <n v="150.6"/>
    <n v="35115"/>
    <n v="12"/>
    <n v="35113"/>
    <n v="12"/>
    <n v="35119"/>
    <n v="12"/>
    <n v="49644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. KOSOVA"/>
    <x v="160"/>
    <x v="0"/>
    <x v="51"/>
    <m/>
    <n v="10126"/>
    <n v="21.5"/>
    <n v="16936"/>
    <n v="2"/>
    <n v="55718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BARDHOSH"/>
    <x v="49"/>
    <x v="0"/>
    <x v="51"/>
    <m/>
    <n v="10114"/>
    <n v="92.4"/>
    <n v="35111"/>
    <n v="12"/>
    <n v="3511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84"/>
    <x v="0"/>
    <x v="51"/>
    <m/>
    <n v="10104"/>
    <n v="46.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50"/>
    <x v="0"/>
    <x v="51"/>
    <m/>
    <n v="10103"/>
    <n v="46.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1"/>
    <x v="0"/>
    <x v="51"/>
    <m/>
    <n v="20109"/>
    <n v="92.4"/>
    <n v="35113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161"/>
    <x v="0"/>
    <x v="51"/>
    <m/>
    <n v="20108"/>
    <n v="200.8"/>
    <n v="35108"/>
    <n v="12"/>
    <n v="35110"/>
    <n v="12"/>
    <n v="35113"/>
    <n v="12"/>
    <n v="35125"/>
    <n v="12"/>
    <n v="49644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136"/>
    <x v="0"/>
    <x v="51"/>
    <m/>
    <n v="20129"/>
    <n v="138.6"/>
    <n v="35111"/>
    <n v="12"/>
    <n v="35115"/>
    <n v="1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116"/>
    <x v="0"/>
    <x v="51"/>
    <m/>
    <n v="20102"/>
    <n v="54.5"/>
    <n v="50912"/>
    <n v="5"/>
    <n v="55718"/>
    <n v="2"/>
    <n v="44001"/>
    <n v="2"/>
    <n v="31815"/>
    <n v="1"/>
    <n v="31827"/>
    <n v="1"/>
    <n v="31812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115"/>
    <x v="0"/>
    <x v="51"/>
    <m/>
    <n v="20101"/>
    <n v="30"/>
    <n v="49644"/>
    <n v="11"/>
    <n v="54412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5"/>
    <x v="0"/>
    <x v="51"/>
    <m/>
    <n v="20127"/>
    <n v="138.6"/>
    <n v="35108"/>
    <n v="12"/>
    <n v="35110"/>
    <n v="12"/>
    <n v="35114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6"/>
    <x v="0"/>
    <x v="51"/>
    <m/>
    <n v="20104"/>
    <n v="120"/>
    <n v="35108"/>
    <n v="12"/>
    <n v="35109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3"/>
    <x v="0"/>
    <x v="51"/>
    <m/>
    <n v="20126"/>
    <n v="73.8"/>
    <n v="35128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4"/>
    <x v="0"/>
    <x v="51"/>
    <m/>
    <n v="20121"/>
    <n v="138.6"/>
    <n v="35119"/>
    <n v="12"/>
    <n v="35125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124"/>
    <x v="0"/>
    <x v="52"/>
    <m/>
    <n v="40017"/>
    <n v="20"/>
    <n v="35113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130"/>
    <x v="0"/>
    <x v="52"/>
    <m/>
    <n v="10255"/>
    <n v="208.8"/>
    <n v="66701"/>
    <n v="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UHEL"/>
    <x v="147"/>
    <x v="0"/>
    <x v="52"/>
    <m/>
    <n v="10230"/>
    <n v="92.4"/>
    <n v="35121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HIROK"/>
    <x v="60"/>
    <x v="0"/>
    <x v="52"/>
    <m/>
    <n v="10205"/>
    <n v="199.2"/>
    <n v="35109"/>
    <n v="12"/>
    <n v="35115"/>
    <n v="12"/>
    <n v="35121"/>
    <n v="12"/>
    <n v="35108"/>
    <n v="12"/>
    <n v="5091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63"/>
    <x v="0"/>
    <x v="52"/>
    <m/>
    <n v="10240"/>
    <n v="92.4"/>
    <n v="35109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ZYM"/>
    <x v="61"/>
    <x v="0"/>
    <x v="52"/>
    <m/>
    <n v="10245"/>
    <n v="138.6"/>
    <n v="35108"/>
    <n v="12"/>
    <n v="35113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130"/>
    <x v="0"/>
    <x v="52"/>
    <m/>
    <n v="10256"/>
    <n v="46.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88"/>
    <x v="0"/>
    <x v="52"/>
    <m/>
    <n v="40019"/>
    <n v="138.6"/>
    <n v="35108"/>
    <n v="12"/>
    <n v="35113"/>
    <n v="12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66"/>
    <x v="0"/>
    <x v="52"/>
    <m/>
    <n v="20209"/>
    <n v="277.2"/>
    <n v="35110"/>
    <n v="24"/>
    <n v="35114"/>
    <n v="12"/>
    <n v="35119"/>
    <n v="12"/>
    <n v="35115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117"/>
    <x v="0"/>
    <x v="52"/>
    <m/>
    <n v="20220"/>
    <n v="92.4"/>
    <n v="35110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90"/>
    <x v="0"/>
    <x v="52"/>
    <m/>
    <n v="20212"/>
    <n v="92.4"/>
    <n v="35108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91"/>
    <x v="0"/>
    <x v="52"/>
    <m/>
    <n v="20223"/>
    <n v="139.19999999999999"/>
    <n v="6670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92"/>
    <x v="0"/>
    <x v="52"/>
    <m/>
    <n v="20228"/>
    <n v="69.599999999999994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JUNIK"/>
    <x v="89"/>
    <x v="0"/>
    <x v="52"/>
    <m/>
    <n v="20206"/>
    <n v="120"/>
    <n v="35110"/>
    <n v="12"/>
    <n v="35115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EQAN"/>
    <x v="68"/>
    <x v="0"/>
    <x v="52"/>
    <m/>
    <n v="20203"/>
    <n v="208.2"/>
    <n v="35114"/>
    <n v="12"/>
    <n v="66701"/>
    <n v="12"/>
    <n v="35108"/>
    <n v="12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EQAN"/>
    <x v="69"/>
    <x v="0"/>
    <x v="52"/>
    <m/>
    <n v="20201"/>
    <n v="73.8"/>
    <n v="35108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KLINE"/>
    <x v="162"/>
    <x v="0"/>
    <x v="52"/>
    <m/>
    <n v="20118"/>
    <n v="125.1"/>
    <n v="56117"/>
    <n v="5"/>
    <n v="26736"/>
    <n v="5"/>
    <n v="49644"/>
    <n v="5"/>
    <n v="44001"/>
    <n v="4"/>
    <n v="39505"/>
    <n v="3"/>
    <n v="50912"/>
    <n v="8"/>
    <n v="55718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HOME KIM TEC"/>
    <x v="70"/>
    <x v="0"/>
    <x v="53"/>
    <m/>
    <n v="40003"/>
    <n v="255"/>
    <n v="20001"/>
    <n v="130"/>
    <n v="30275"/>
    <n v="8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6"/>
    <x v="0"/>
    <x v="53"/>
    <m/>
    <n v="10332"/>
    <n v="60.6"/>
    <n v="35110"/>
    <n v="12"/>
    <n v="5091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95"/>
    <x v="0"/>
    <x v="53"/>
    <m/>
    <n v="10350"/>
    <n v="231"/>
    <n v="35113"/>
    <n v="24"/>
    <n v="35121"/>
    <n v="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8"/>
    <x v="0"/>
    <x v="53"/>
    <m/>
    <n v="10323"/>
    <n v="72"/>
    <n v="50912"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20"/>
    <x v="0"/>
    <x v="53"/>
    <m/>
    <n v="10313"/>
    <n v="323.39999999999998"/>
    <n v="35109"/>
    <n v="12"/>
    <n v="35111"/>
    <n v="12"/>
    <n v="35113"/>
    <n v="12"/>
    <n v="35114"/>
    <n v="12"/>
    <n v="35121"/>
    <n v="12"/>
    <n v="35128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163"/>
    <x v="0"/>
    <x v="53"/>
    <m/>
    <n v="10364"/>
    <n v="184.8"/>
    <n v="35109"/>
    <n v="12"/>
    <n v="35113"/>
    <n v="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2"/>
    <x v="0"/>
    <x v="53"/>
    <m/>
    <n v="10344"/>
    <n v="46.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71"/>
    <x v="0"/>
    <x v="53"/>
    <m/>
    <n v="10360"/>
    <n v="92.4"/>
    <n v="35110"/>
    <n v="12"/>
    <n v="3510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94"/>
    <x v="0"/>
    <x v="53"/>
    <m/>
    <n v="10306"/>
    <n v="25"/>
    <n v="30277"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"/>
    <x v="0"/>
    <x v="53"/>
    <m/>
    <n v="10308"/>
    <n v="184.8"/>
    <n v="35113"/>
    <n v="12"/>
    <n v="35115"/>
    <n v="12"/>
    <n v="35125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9"/>
    <x v="0"/>
    <x v="53"/>
    <m/>
    <n v="20301"/>
    <n v="254.4"/>
    <n v="35109"/>
    <n v="24"/>
    <n v="35115"/>
    <n v="24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11"/>
    <x v="0"/>
    <x v="53"/>
    <m/>
    <n v="20307"/>
    <n v="263.39999999999998"/>
    <n v="35109"/>
    <n v="12"/>
    <n v="35110"/>
    <n v="12"/>
    <n v="35111"/>
    <n v="12"/>
    <n v="51612"/>
    <n v="24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75"/>
    <x v="0"/>
    <x v="53"/>
    <m/>
    <n v="20331"/>
    <n v="92.4"/>
    <n v="35110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3"/>
    <x v="0"/>
    <x v="53"/>
    <m/>
    <n v="20321"/>
    <n v="138.6"/>
    <n v="35121"/>
    <n v="24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5"/>
    <x v="0"/>
    <x v="53"/>
    <m/>
    <n v="20303"/>
    <n v="120"/>
    <n v="35115"/>
    <n v="12"/>
    <n v="35111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12"/>
    <x v="0"/>
    <x v="53"/>
    <m/>
    <n v="20313"/>
    <n v="147.6"/>
    <n v="35110"/>
    <n v="12"/>
    <n v="35119"/>
    <n v="12"/>
    <n v="51612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17"/>
    <x v="0"/>
    <x v="53"/>
    <m/>
    <n v="20317"/>
    <n v="31.5"/>
    <n v="44001"/>
    <n v="5"/>
    <n v="49644"/>
    <n v="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96"/>
    <x v="0"/>
    <x v="53"/>
    <m/>
    <n v="20311"/>
    <n v="46.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USHTRRI"/>
    <x v="98"/>
    <x v="0"/>
    <x v="54"/>
    <m/>
    <n v="10429"/>
    <n v="27.6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21"/>
    <x v="0"/>
    <x v="54"/>
    <m/>
    <n v="10412"/>
    <n v="46.2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78"/>
    <x v="0"/>
    <x v="54"/>
    <m/>
    <n v="10410"/>
    <n v="138.6"/>
    <n v="35115"/>
    <n v="12"/>
    <n v="35125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18"/>
    <x v="0"/>
    <x v="54"/>
    <m/>
    <n v="10413"/>
    <n v="46.2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22"/>
    <x v="0"/>
    <x v="54"/>
    <m/>
    <n v="10406"/>
    <n v="90.4"/>
    <n v="50912"/>
    <n v="12"/>
    <n v="49644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USHTRRI"/>
    <x v="77"/>
    <x v="0"/>
    <x v="54"/>
    <m/>
    <n v="10418"/>
    <n v="92.4"/>
    <n v="35125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HOME KIM TEC"/>
    <x v="70"/>
    <x v="0"/>
    <x v="55"/>
    <m/>
    <n v="40003"/>
    <n v="188.5"/>
    <n v="20001"/>
    <n v="110"/>
    <n v="30275"/>
    <n v="4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5"/>
    <x v="0"/>
    <x v="55"/>
    <m/>
    <n v="10504"/>
    <n v="120"/>
    <n v="35111"/>
    <n v="12"/>
    <n v="35108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6"/>
    <x v="0"/>
    <x v="55"/>
    <m/>
    <n v="10507"/>
    <n v="138.6"/>
    <n v="35109"/>
    <n v="12"/>
    <n v="35110"/>
    <n v="12"/>
    <n v="35114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73"/>
    <x v="0"/>
    <x v="55"/>
    <m/>
    <n v="10352"/>
    <n v="138.6"/>
    <n v="35109"/>
    <n v="24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79"/>
    <x v="0"/>
    <x v="55"/>
    <m/>
    <n v="10539"/>
    <n v="92.4"/>
    <n v="35119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32"/>
    <x v="0"/>
    <x v="55"/>
    <m/>
    <n v="10502"/>
    <n v="138.6"/>
    <n v="35114"/>
    <n v="12"/>
    <n v="35111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KLINE"/>
    <x v="28"/>
    <x v="0"/>
    <x v="55"/>
    <m/>
    <n v="20501"/>
    <n v="115.8"/>
    <n v="35125"/>
    <n v="12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30"/>
    <x v="0"/>
    <x v="55"/>
    <m/>
    <n v="20511"/>
    <n v="184.8"/>
    <n v="35110"/>
    <n v="12"/>
    <n v="35115"/>
    <n v="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103"/>
    <x v="0"/>
    <x v="55"/>
    <m/>
    <n v="20508"/>
    <n v="277.2"/>
    <n v="35113"/>
    <n v="36"/>
    <n v="35121"/>
    <n v="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102"/>
    <x v="0"/>
    <x v="55"/>
    <m/>
    <n v="20515"/>
    <n v="346.8"/>
    <n v="35110"/>
    <n v="24"/>
    <n v="35121"/>
    <n v="36"/>
    <n v="35125"/>
    <n v="12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UNIK"/>
    <x v="164"/>
    <x v="0"/>
    <x v="55"/>
    <m/>
    <n v="20520"/>
    <n v="92.4"/>
    <n v="35113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KENDERAJ"/>
    <x v="33"/>
    <x v="0"/>
    <x v="55"/>
    <m/>
    <n v="20406"/>
    <n v="83.2"/>
    <n v="54412"/>
    <n v="8"/>
    <n v="49644"/>
    <n v="12"/>
    <n v="50912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KENDERAJ"/>
    <x v="104"/>
    <x v="0"/>
    <x v="55"/>
    <m/>
    <n v="20407"/>
    <n v="138.6"/>
    <n v="35110"/>
    <n v="12"/>
    <n v="35111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BARDHOSH"/>
    <x v="165"/>
    <x v="0"/>
    <x v="56"/>
    <m/>
    <n v="10113"/>
    <n v="31.6"/>
    <n v="50912"/>
    <n v="3"/>
    <n v="54412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81"/>
    <x v="0"/>
    <x v="56"/>
    <m/>
    <n v="10616"/>
    <n v="138.6"/>
    <n v="35113"/>
    <n v="12"/>
    <n v="35119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6"/>
    <x v="0"/>
    <x v="56"/>
    <m/>
    <n v="10625"/>
    <n v="121.2"/>
    <n v="35115"/>
    <n v="12"/>
    <n v="50912"/>
    <n v="4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158"/>
    <x v="0"/>
    <x v="56"/>
    <m/>
    <n v="10626"/>
    <n v="14.4"/>
    <n v="5091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5"/>
    <x v="0"/>
    <x v="56"/>
    <m/>
    <n v="10605"/>
    <n v="46"/>
    <n v="49644"/>
    <n v="5"/>
    <n v="50912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7"/>
    <x v="0"/>
    <x v="56"/>
    <m/>
    <n v="10619"/>
    <n v="45.4"/>
    <n v="56117"/>
    <n v="5"/>
    <n v="26736"/>
    <n v="1"/>
    <n v="31812"/>
    <n v="1"/>
    <n v="31818"/>
    <n v="1"/>
    <n v="31827"/>
    <n v="1"/>
    <n v="66701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37"/>
    <x v="0"/>
    <x v="56"/>
    <m/>
    <n v="20636"/>
    <n v="231"/>
    <n v="35110"/>
    <n v="12"/>
    <n v="35111"/>
    <n v="12"/>
    <n v="35113"/>
    <n v="12"/>
    <n v="35115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12"/>
    <x v="0"/>
    <x v="56"/>
    <m/>
    <n v="20609"/>
    <n v="120"/>
    <n v="35121"/>
    <n v="24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46"/>
    <x v="0"/>
    <x v="56"/>
    <m/>
    <n v="20624"/>
    <n v="104.4"/>
    <n v="35121"/>
    <n v="12"/>
    <n v="35110"/>
    <n v="12"/>
    <n v="3182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ERLIC"/>
    <x v="44"/>
    <x v="0"/>
    <x v="56"/>
    <m/>
    <n v="20606"/>
    <n v="92.4"/>
    <n v="35110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66"/>
    <x v="0"/>
    <x v="56"/>
    <m/>
    <n v="20629"/>
    <n v="184.8"/>
    <n v="35115"/>
    <n v="24"/>
    <n v="3512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REME"/>
    <x v="110"/>
    <x v="0"/>
    <x v="56"/>
    <m/>
    <n v="20610"/>
    <n v="138.6"/>
    <n v="35110"/>
    <n v="12"/>
    <n v="35111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OGANAJ"/>
    <x v="45"/>
    <x v="0"/>
    <x v="56"/>
    <m/>
    <n v="20607"/>
    <n v="103.8"/>
    <n v="35115"/>
    <n v="12"/>
    <n v="50912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12"/>
    <x v="0"/>
    <x v="56"/>
    <m/>
    <n v="20609"/>
    <n v="138.6"/>
    <n v="35121"/>
    <n v="24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KAQANIK"/>
    <x v="127"/>
    <x v="0"/>
    <x v="56"/>
    <m/>
    <n v="20611"/>
    <n v="178.8"/>
    <n v="35113"/>
    <n v="12"/>
    <n v="35115"/>
    <n v="12"/>
    <n v="509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124"/>
    <x v="0"/>
    <x v="57"/>
    <m/>
    <n v="40017"/>
    <n v="96"/>
    <n v="35108"/>
    <n v="22"/>
    <n v="35115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82"/>
    <x v="0"/>
    <x v="57"/>
    <m/>
    <n v="10133"/>
    <n v="46.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48"/>
    <x v="0"/>
    <x v="57"/>
    <m/>
    <n v="10111"/>
    <n v="119.9"/>
    <n v="35110"/>
    <n v="12"/>
    <n v="35113"/>
    <n v="12"/>
    <n v="26736"/>
    <n v="5"/>
    <n v="49644"/>
    <n v="5"/>
    <n v="54412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84"/>
    <x v="0"/>
    <x v="57"/>
    <m/>
    <n v="10104"/>
    <n v="92.4"/>
    <n v="35110"/>
    <n v="12"/>
    <n v="3510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47"/>
    <x v="0"/>
    <x v="57"/>
    <m/>
    <n v="10105"/>
    <n v="46.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BARDHOSH"/>
    <x v="49"/>
    <x v="0"/>
    <x v="57"/>
    <m/>
    <n v="10114"/>
    <n v="92.4"/>
    <n v="35114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1"/>
    <x v="0"/>
    <x v="57"/>
    <m/>
    <n v="20109"/>
    <n v="92.4"/>
    <n v="35111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3"/>
    <x v="0"/>
    <x v="57"/>
    <m/>
    <n v="20126"/>
    <n v="138.6"/>
    <n v="35113"/>
    <n v="12"/>
    <n v="35114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115"/>
    <x v="0"/>
    <x v="57"/>
    <m/>
    <n v="20101"/>
    <n v="49.6"/>
    <n v="29802"/>
    <n v="8"/>
    <n v="50912"/>
    <n v="3"/>
    <n v="16936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4"/>
    <x v="0"/>
    <x v="57"/>
    <m/>
    <n v="20121"/>
    <n v="277.2"/>
    <n v="35113"/>
    <n v="24"/>
    <n v="35115"/>
    <n v="24"/>
    <n v="35119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5"/>
    <x v="0"/>
    <x v="57"/>
    <m/>
    <n v="20127"/>
    <n v="138.6"/>
    <n v="35128"/>
    <n v="24"/>
    <n v="35114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136"/>
    <x v="0"/>
    <x v="57"/>
    <m/>
    <n v="20129"/>
    <n v="92.4"/>
    <n v="3512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85"/>
    <x v="0"/>
    <x v="57"/>
    <m/>
    <n v="20130"/>
    <n v="138.6"/>
    <n v="35113"/>
    <n v="12"/>
    <n v="35115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58"/>
    <x v="0"/>
    <x v="58"/>
    <m/>
    <n v="10258"/>
    <n v="92.4"/>
    <n v="35110"/>
    <n v="12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59"/>
    <x v="0"/>
    <x v="58"/>
    <m/>
    <n v="10210"/>
    <n v="231"/>
    <n v="35108"/>
    <n v="12"/>
    <n v="35110"/>
    <n v="12"/>
    <n v="35119"/>
    <n v="12"/>
    <n v="35115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130"/>
    <x v="0"/>
    <x v="58"/>
    <m/>
    <n v="10256"/>
    <n v="92.4"/>
    <n v="3512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63"/>
    <x v="0"/>
    <x v="58"/>
    <m/>
    <n v="10240"/>
    <n v="184.8"/>
    <n v="35110"/>
    <n v="12"/>
    <n v="35108"/>
    <n v="12"/>
    <n v="35115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62"/>
    <x v="0"/>
    <x v="58"/>
    <m/>
    <n v="10241"/>
    <n v="27.6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HIROK"/>
    <x v="60"/>
    <x v="0"/>
    <x v="58"/>
    <m/>
    <n v="10205"/>
    <n v="106.8"/>
    <n v="35110"/>
    <n v="12"/>
    <n v="35121"/>
    <n v="12"/>
    <n v="5091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88"/>
    <x v="0"/>
    <x v="58"/>
    <m/>
    <n v="40019"/>
    <n v="92.4"/>
    <n v="35108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66"/>
    <x v="0"/>
    <x v="58"/>
    <m/>
    <n v="20209"/>
    <n v="138.6"/>
    <n v="35110"/>
    <n v="24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117"/>
    <x v="0"/>
    <x v="58"/>
    <m/>
    <n v="20220"/>
    <n v="36.5"/>
    <n v="12000"/>
    <n v="3"/>
    <n v="12001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90"/>
    <x v="0"/>
    <x v="58"/>
    <m/>
    <n v="20212"/>
    <n v="184.8"/>
    <n v="35111"/>
    <n v="12"/>
    <n v="35113"/>
    <n v="12"/>
    <n v="35114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92"/>
    <x v="0"/>
    <x v="58"/>
    <m/>
    <n v="20228"/>
    <n v="69.599999999999994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91"/>
    <x v="0"/>
    <x v="58"/>
    <m/>
    <n v="20223"/>
    <n v="92.4"/>
    <n v="35108"/>
    <n v="12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JUNIK"/>
    <x v="89"/>
    <x v="0"/>
    <x v="58"/>
    <m/>
    <n v="20206"/>
    <n v="120"/>
    <n v="35111"/>
    <n v="12"/>
    <n v="35128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EQAN"/>
    <x v="68"/>
    <x v="0"/>
    <x v="58"/>
    <m/>
    <n v="20203"/>
    <n v="92.4"/>
    <n v="35110"/>
    <n v="1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EQAN"/>
    <x v="69"/>
    <x v="0"/>
    <x v="58"/>
    <m/>
    <n v="20201"/>
    <n v="85.2"/>
    <n v="35128"/>
    <n v="12"/>
    <n v="39505"/>
    <n v="5"/>
    <n v="54412"/>
    <n v="4"/>
    <n v="5091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HOME KIM TEC"/>
    <x v="70"/>
    <x v="0"/>
    <x v="58"/>
    <m/>
    <n v="40003"/>
    <n v="351.75"/>
    <n v="20001"/>
    <n v="165"/>
    <n v="30275"/>
    <n v="105"/>
    <n v="39505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6"/>
    <x v="0"/>
    <x v="59"/>
    <m/>
    <n v="10332"/>
    <n v="46.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ZHARAN"/>
    <x v="5"/>
    <x v="0"/>
    <x v="59"/>
    <m/>
    <n v="10330"/>
    <n v="138.6"/>
    <n v="35111"/>
    <n v="12"/>
    <n v="35109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95"/>
    <x v="0"/>
    <x v="59"/>
    <m/>
    <n v="10350"/>
    <n v="184.8"/>
    <n v="35110"/>
    <n v="12"/>
    <n v="35111"/>
    <n v="12"/>
    <n v="35121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49"/>
    <x v="0"/>
    <x v="59"/>
    <m/>
    <n v="10317"/>
    <n v="46"/>
    <n v="50912"/>
    <n v="5"/>
    <n v="54412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2"/>
    <x v="0"/>
    <x v="59"/>
    <m/>
    <n v="10344"/>
    <n v="92.4"/>
    <n v="35108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94"/>
    <x v="0"/>
    <x v="59"/>
    <m/>
    <n v="10306"/>
    <n v="138.6"/>
    <n v="35111"/>
    <n v="12"/>
    <n v="35115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8"/>
    <x v="0"/>
    <x v="59"/>
    <m/>
    <n v="10323"/>
    <n v="112.9"/>
    <n v="50912"/>
    <n v="12"/>
    <n v="56117"/>
    <n v="3"/>
    <n v="44001"/>
    <n v="3"/>
    <n v="49644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67"/>
    <x v="0"/>
    <x v="59"/>
    <m/>
    <n v="10347"/>
    <n v="21.6"/>
    <n v="50912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7"/>
    <x v="0"/>
    <x v="59"/>
    <m/>
    <n v="10301"/>
    <n v="98.4"/>
    <n v="35121"/>
    <n v="24"/>
    <n v="39505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19"/>
    <x v="0"/>
    <x v="59"/>
    <m/>
    <n v="10304"/>
    <n v="27.6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3"/>
    <x v="0"/>
    <x v="59"/>
    <m/>
    <n v="20321"/>
    <n v="231"/>
    <n v="35121"/>
    <n v="48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75"/>
    <x v="0"/>
    <x v="59"/>
    <m/>
    <n v="20331"/>
    <n v="138.6"/>
    <n v="35121"/>
    <n v="24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68"/>
    <x v="0"/>
    <x v="59"/>
    <m/>
    <n v="20305"/>
    <n v="92.4"/>
    <n v="3512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76"/>
    <x v="0"/>
    <x v="59"/>
    <m/>
    <n v="20314"/>
    <n v="92.4"/>
    <n v="35110"/>
    <n v="12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96"/>
    <x v="0"/>
    <x v="59"/>
    <m/>
    <n v="20311"/>
    <n v="92.4"/>
    <n v="35113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51"/>
    <x v="0"/>
    <x v="59"/>
    <m/>
    <n v="20328"/>
    <n v="138.6"/>
    <n v="35110"/>
    <n v="12"/>
    <n v="35111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58"/>
    <x v="0"/>
    <x v="60"/>
    <m/>
    <n v="10258"/>
    <n v="693"/>
    <n v="35121"/>
    <n v="18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124"/>
    <x v="0"/>
    <x v="60"/>
    <m/>
    <n v="40017"/>
    <n v="32"/>
    <n v="35121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82"/>
    <x v="0"/>
    <x v="60"/>
    <m/>
    <n v="10133"/>
    <n v="184.8"/>
    <n v="35128"/>
    <n v="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48"/>
    <x v="0"/>
    <x v="60"/>
    <m/>
    <n v="10111"/>
    <n v="92.4"/>
    <n v="35111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6"/>
    <x v="0"/>
    <x v="60"/>
    <m/>
    <n v="10625"/>
    <n v="184.8"/>
    <n v="35121"/>
    <n v="36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5"/>
    <x v="0"/>
    <x v="60"/>
    <m/>
    <n v="20127"/>
    <n v="46.2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85"/>
    <x v="0"/>
    <x v="60"/>
    <m/>
    <n v="20130"/>
    <n v="92.4"/>
    <n v="35108"/>
    <n v="12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115"/>
    <x v="0"/>
    <x v="60"/>
    <m/>
    <n v="20101"/>
    <n v="36"/>
    <n v="49644"/>
    <n v="6"/>
    <n v="54412"/>
    <n v="8"/>
    <n v="50912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3"/>
    <x v="0"/>
    <x v="60"/>
    <m/>
    <n v="20126"/>
    <n v="64.8"/>
    <n v="66701"/>
    <n v="9"/>
    <n v="49644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4"/>
    <x v="0"/>
    <x v="60"/>
    <m/>
    <n v="20121"/>
    <n v="92.4"/>
    <n v="35115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THARAND"/>
    <x v="64"/>
    <x v="0"/>
    <x v="61"/>
    <m/>
    <n v="10201"/>
    <n v="92.4"/>
    <n v="35108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HIROK"/>
    <x v="169"/>
    <x v="0"/>
    <x v="61"/>
    <m/>
    <n v="10204"/>
    <n v="138.6"/>
    <n v="35121"/>
    <n v="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THARAND"/>
    <x v="64"/>
    <x v="0"/>
    <x v="61"/>
    <m/>
    <n v="10201"/>
    <n v="46.2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HIROK"/>
    <x v="60"/>
    <x v="0"/>
    <x v="61"/>
    <m/>
    <n v="10205"/>
    <n v="92.4"/>
    <n v="35121"/>
    <n v="12"/>
    <n v="3510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THARAND"/>
    <x v="170"/>
    <x v="0"/>
    <x v="61"/>
    <m/>
    <n v="10202"/>
    <n v="92.4"/>
    <n v="35108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63"/>
    <x v="0"/>
    <x v="61"/>
    <m/>
    <n v="10240"/>
    <n v="293.2"/>
    <n v="35121"/>
    <n v="48"/>
    <n v="35128"/>
    <n v="12"/>
    <n v="35113"/>
    <n v="12"/>
    <n v="1200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88"/>
    <x v="0"/>
    <x v="61"/>
    <m/>
    <n v="40019"/>
    <n v="138.6"/>
    <n v="35108"/>
    <n v="12"/>
    <n v="3512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90"/>
    <x v="0"/>
    <x v="61"/>
    <m/>
    <n v="20212"/>
    <n v="92.4"/>
    <n v="35108"/>
    <n v="12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91"/>
    <x v="0"/>
    <x v="61"/>
    <m/>
    <n v="20223"/>
    <n v="92.4"/>
    <n v="35113"/>
    <n v="12"/>
    <n v="3511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118"/>
    <x v="0"/>
    <x v="61"/>
    <m/>
    <n v="20208"/>
    <n v="92.4"/>
    <n v="35113"/>
    <n v="12"/>
    <n v="35114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EQAN"/>
    <x v="68"/>
    <x v="0"/>
    <x v="61"/>
    <m/>
    <n v="20203"/>
    <n v="92.4"/>
    <n v="35111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EQAN"/>
    <x v="69"/>
    <x v="0"/>
    <x v="61"/>
    <m/>
    <n v="20201"/>
    <n v="67.599999999999994"/>
    <n v="51612"/>
    <n v="12"/>
    <n v="56117"/>
    <n v="7"/>
    <n v="39505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HOME KIM TEC"/>
    <x v="70"/>
    <x v="0"/>
    <x v="61"/>
    <m/>
    <n v="40003"/>
    <n v="245.8"/>
    <n v="20001"/>
    <n v="150"/>
    <n v="30275"/>
    <n v="20"/>
    <n v="39505"/>
    <n v="5"/>
    <n v="1100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6"/>
    <x v="0"/>
    <x v="62"/>
    <m/>
    <n v="10332"/>
    <n v="46.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95"/>
    <x v="0"/>
    <x v="62"/>
    <m/>
    <n v="10350"/>
    <n v="323.39999999999998"/>
    <n v="35113"/>
    <n v="12"/>
    <n v="35128"/>
    <n v="12"/>
    <n v="35115"/>
    <n v="12"/>
    <n v="35121"/>
    <n v="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71"/>
    <x v="0"/>
    <x v="62"/>
    <m/>
    <n v="10360"/>
    <n v="73.8"/>
    <n v="35111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2"/>
    <x v="0"/>
    <x v="62"/>
    <m/>
    <n v="10344"/>
    <n v="92.4"/>
    <n v="35128"/>
    <n v="12"/>
    <n v="3510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49"/>
    <x v="0"/>
    <x v="62"/>
    <m/>
    <n v="10317"/>
    <n v="41.6"/>
    <n v="54412"/>
    <n v="10"/>
    <n v="50912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20"/>
    <x v="0"/>
    <x v="62"/>
    <m/>
    <n v="10313"/>
    <n v="99.4"/>
    <n v="35121"/>
    <n v="24"/>
    <n v="44001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74"/>
    <x v="0"/>
    <x v="62"/>
    <m/>
    <n v="10303"/>
    <n v="40"/>
    <n v="50912"/>
    <n v="5"/>
    <n v="49644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56"/>
    <x v="0"/>
    <x v="62"/>
    <m/>
    <n v="10353"/>
    <n v="92.4"/>
    <n v="3512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11"/>
    <x v="0"/>
    <x v="62"/>
    <m/>
    <n v="20307"/>
    <n v="193.8"/>
    <n v="35110"/>
    <n v="24"/>
    <n v="35108"/>
    <n v="12"/>
    <n v="51612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11"/>
    <x v="0"/>
    <x v="62"/>
    <m/>
    <n v="20307"/>
    <n v="114"/>
    <n v="51936"/>
    <n v="12"/>
    <n v="51736"/>
    <n v="12"/>
    <n v="31819"/>
    <n v="6"/>
    <n v="69236"/>
    <n v="6"/>
    <n v="49644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75"/>
    <x v="0"/>
    <x v="62"/>
    <m/>
    <n v="20331"/>
    <n v="92.4"/>
    <n v="35110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3"/>
    <x v="0"/>
    <x v="62"/>
    <m/>
    <n v="20321"/>
    <n v="147.6"/>
    <n v="35121"/>
    <n v="24"/>
    <n v="51612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4"/>
    <x v="0"/>
    <x v="62"/>
    <m/>
    <n v="20304"/>
    <n v="70.2"/>
    <n v="35111"/>
    <n v="12"/>
    <n v="544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68"/>
    <x v="0"/>
    <x v="62"/>
    <m/>
    <n v="20305"/>
    <n v="92.4"/>
    <n v="3512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12"/>
    <x v="0"/>
    <x v="62"/>
    <m/>
    <n v="20313"/>
    <n v="92.4"/>
    <n v="35108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17"/>
    <x v="0"/>
    <x v="62"/>
    <m/>
    <n v="20317"/>
    <n v="98.4"/>
    <n v="50912"/>
    <n v="12"/>
    <n v="49644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HOME KIM TEC"/>
    <x v="70"/>
    <x v="0"/>
    <x v="62"/>
    <m/>
    <n v="40003"/>
    <n v="40"/>
    <n v="30275"/>
    <n v="4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124"/>
    <x v="0"/>
    <x v="63"/>
    <m/>
    <n v="40017"/>
    <n v="24"/>
    <n v="35121"/>
    <n v="3"/>
    <n v="35113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HOME KIM TEC"/>
    <x v="70"/>
    <x v="0"/>
    <x v="63"/>
    <m/>
    <n v="40003"/>
    <n v="204"/>
    <n v="20001"/>
    <n v="100"/>
    <n v="30275"/>
    <n v="40"/>
    <n v="39505"/>
    <n v="7"/>
    <n v="11000"/>
    <n v="2"/>
    <n v="31880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78"/>
    <x v="0"/>
    <x v="63"/>
    <m/>
    <n v="10410"/>
    <n v="27.6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USHTRRI"/>
    <x v="152"/>
    <x v="0"/>
    <x v="63"/>
    <m/>
    <n v="10401"/>
    <n v="92.4"/>
    <n v="3512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18"/>
    <x v="0"/>
    <x v="63"/>
    <m/>
    <n v="10413"/>
    <n v="91.3"/>
    <n v="51612"/>
    <n v="12"/>
    <n v="35121"/>
    <n v="12"/>
    <n v="44001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USHTRRI"/>
    <x v="98"/>
    <x v="0"/>
    <x v="63"/>
    <m/>
    <n v="10429"/>
    <n v="46.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19"/>
    <x v="0"/>
    <x v="63"/>
    <m/>
    <n v="10430"/>
    <n v="63.7"/>
    <n v="44001"/>
    <n v="5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22"/>
    <x v="0"/>
    <x v="63"/>
    <m/>
    <n v="10406"/>
    <n v="76.2"/>
    <n v="39505"/>
    <n v="4"/>
    <n v="31819"/>
    <n v="4"/>
    <n v="51936"/>
    <n v="4"/>
    <n v="49644"/>
    <n v="4"/>
    <n v="54412"/>
    <n v="4"/>
    <n v="55718"/>
    <n v="4"/>
    <n v="5091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USHTRRI"/>
    <x v="20"/>
    <x v="0"/>
    <x v="63"/>
    <m/>
    <n v="10428"/>
    <n v="46.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HOME KIM TEC"/>
    <x v="154"/>
    <x v="0"/>
    <x v="64"/>
    <m/>
    <s v="blq"/>
    <n v="24"/>
    <n v="35119"/>
    <n v="4"/>
    <n v="20001"/>
    <n v="1"/>
    <n v="20000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HOME KIM TEC"/>
    <x v="70"/>
    <x v="0"/>
    <x v="64"/>
    <m/>
    <n v="40003"/>
    <n v="172"/>
    <n v="20001"/>
    <n v="120"/>
    <n v="30275"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32"/>
    <x v="0"/>
    <x v="64"/>
    <m/>
    <n v="10502"/>
    <n v="46.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6"/>
    <x v="0"/>
    <x v="64"/>
    <m/>
    <n v="10507"/>
    <n v="184.8"/>
    <n v="35111"/>
    <n v="12"/>
    <n v="35115"/>
    <n v="12"/>
    <n v="35121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53"/>
    <x v="0"/>
    <x v="64"/>
    <m/>
    <n v="10511"/>
    <n v="62"/>
    <n v="16936"/>
    <n v="10"/>
    <n v="31818"/>
    <n v="4"/>
    <n v="31812"/>
    <n v="10"/>
    <n v="31827"/>
    <n v="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99"/>
    <x v="0"/>
    <x v="64"/>
    <m/>
    <n v="10506"/>
    <n v="46.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LIPJAN"/>
    <x v="27"/>
    <x v="0"/>
    <x v="64"/>
    <m/>
    <n v="10529"/>
    <n v="37.5"/>
    <n v="31819"/>
    <n v="5"/>
    <n v="51936"/>
    <n v="5"/>
    <n v="69236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79"/>
    <x v="0"/>
    <x v="64"/>
    <m/>
    <n v="10539"/>
    <n v="46.2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32"/>
    <x v="0"/>
    <x v="64"/>
    <m/>
    <n v="10502"/>
    <n v="92.4"/>
    <n v="35111"/>
    <n v="1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4"/>
    <x v="0"/>
    <x v="64"/>
    <m/>
    <n v="10509"/>
    <n v="86.4"/>
    <n v="509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KLINE"/>
    <x v="28"/>
    <x v="0"/>
    <x v="64"/>
    <m/>
    <n v="20501"/>
    <n v="138.6"/>
    <n v="35108"/>
    <n v="12"/>
    <n v="35111"/>
    <n v="12"/>
    <n v="3511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30"/>
    <x v="0"/>
    <x v="64"/>
    <m/>
    <n v="20511"/>
    <n v="138.6"/>
    <n v="35121"/>
    <n v="24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103"/>
    <x v="0"/>
    <x v="64"/>
    <m/>
    <n v="20508"/>
    <n v="277.2"/>
    <n v="35121"/>
    <n v="60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102"/>
    <x v="0"/>
    <x v="64"/>
    <m/>
    <n v="20515"/>
    <n v="138.6"/>
    <n v="35121"/>
    <n v="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144"/>
    <x v="0"/>
    <x v="64"/>
    <m/>
    <n v="20510"/>
    <n v="73.8"/>
    <n v="35110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UNIK"/>
    <x v="164"/>
    <x v="0"/>
    <x v="64"/>
    <m/>
    <n v="20520"/>
    <n v="46.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KENDERAJ"/>
    <x v="133"/>
    <x v="0"/>
    <x v="64"/>
    <m/>
    <n v="20408"/>
    <n v="47.5"/>
    <n v="16936"/>
    <n v="5"/>
    <n v="31812"/>
    <n v="3"/>
    <n v="51936"/>
    <n v="3"/>
    <n v="31819"/>
    <n v="2"/>
    <n v="69236"/>
    <n v="5"/>
    <n v="31827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KENDERAJ"/>
    <x v="104"/>
    <x v="0"/>
    <x v="64"/>
    <m/>
    <n v="20407"/>
    <n v="138.6"/>
    <n v="35110"/>
    <n v="12"/>
    <n v="35115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KENDERAJ"/>
    <x v="32"/>
    <x v="0"/>
    <x v="64"/>
    <m/>
    <n v="20409"/>
    <n v="86"/>
    <n v="49644"/>
    <n v="12"/>
    <n v="51936"/>
    <n v="5"/>
    <n v="69236"/>
    <n v="5"/>
    <n v="51736"/>
    <n v="5"/>
    <n v="31819"/>
    <n v="5"/>
    <n v="56117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KENDERAJ"/>
    <x v="33"/>
    <x v="0"/>
    <x v="64"/>
    <m/>
    <n v="20406"/>
    <n v="159.5"/>
    <n v="50912"/>
    <n v="20"/>
    <n v="49644"/>
    <n v="6"/>
    <n v="44001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RENAS"/>
    <x v="106"/>
    <x v="0"/>
    <x v="64"/>
    <m/>
    <n v="20404"/>
    <n v="92.4"/>
    <n v="35125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81"/>
    <x v="0"/>
    <x v="65"/>
    <m/>
    <n v="10616"/>
    <n v="92.4"/>
    <n v="3512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7"/>
    <x v="0"/>
    <x v="65"/>
    <m/>
    <n v="10619"/>
    <n v="25"/>
    <n v="31818"/>
    <n v="5"/>
    <n v="31819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146"/>
    <x v="0"/>
    <x v="65"/>
    <m/>
    <n v="10613"/>
    <n v="20"/>
    <n v="49644"/>
    <n v="5"/>
    <n v="54412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6"/>
    <x v="0"/>
    <x v="65"/>
    <m/>
    <n v="10625"/>
    <n v="36"/>
    <n v="50912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6"/>
    <x v="0"/>
    <x v="65"/>
    <m/>
    <n v="10625"/>
    <n v="231"/>
    <n v="35121"/>
    <n v="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39"/>
    <x v="0"/>
    <x v="65"/>
    <m/>
    <n v="20602"/>
    <n v="231"/>
    <n v="35125"/>
    <n v="24"/>
    <n v="35115"/>
    <n v="24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ADIME"/>
    <x v="41"/>
    <x v="0"/>
    <x v="65"/>
    <m/>
    <n v="20622"/>
    <n v="92.4"/>
    <n v="35111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ERLIC"/>
    <x v="44"/>
    <x v="0"/>
    <x v="65"/>
    <m/>
    <n v="20606"/>
    <n v="135.4"/>
    <n v="35115"/>
    <n v="12"/>
    <n v="35121"/>
    <n v="12"/>
    <n v="44001"/>
    <n v="3"/>
    <n v="39505"/>
    <n v="3"/>
    <n v="55718"/>
    <n v="3"/>
    <n v="5091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KAQANIK"/>
    <x v="127"/>
    <x v="0"/>
    <x v="65"/>
    <m/>
    <n v="20611"/>
    <n v="323.39999999999998"/>
    <n v="35121"/>
    <n v="24"/>
    <n v="35114"/>
    <n v="12"/>
    <n v="35113"/>
    <n v="24"/>
    <n v="35125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ADIME"/>
    <x v="128"/>
    <x v="0"/>
    <x v="65"/>
    <m/>
    <n v="20615"/>
    <n v="166.2"/>
    <n v="35110"/>
    <n v="12"/>
    <n v="35111"/>
    <n v="12"/>
    <n v="35121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13"/>
    <x v="0"/>
    <x v="65"/>
    <m/>
    <n v="20603"/>
    <n v="92.4"/>
    <n v="35110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12"/>
    <x v="0"/>
    <x v="65"/>
    <m/>
    <n v="20609"/>
    <n v="231"/>
    <n v="35121"/>
    <n v="48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OGANAJ"/>
    <x v="45"/>
    <x v="0"/>
    <x v="65"/>
    <m/>
    <n v="20607"/>
    <n v="66.599999999999994"/>
    <n v="51612"/>
    <n v="12"/>
    <n v="26736"/>
    <n v="7"/>
    <n v="51736"/>
    <n v="5"/>
    <n v="39505"/>
    <n v="3"/>
    <n v="16936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43"/>
    <x v="0"/>
    <x v="65"/>
    <m/>
    <n v="20627"/>
    <n v="184.8"/>
    <n v="35108"/>
    <n v="12"/>
    <n v="35128"/>
    <n v="12"/>
    <n v="35125"/>
    <n v="12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143"/>
    <x v="0"/>
    <x v="66"/>
    <m/>
    <n v="10141"/>
    <n v="40"/>
    <n v="20001"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84"/>
    <x v="0"/>
    <x v="66"/>
    <m/>
    <n v="10104"/>
    <n v="46.2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48"/>
    <x v="0"/>
    <x v="66"/>
    <m/>
    <n v="10111"/>
    <n v="108.7"/>
    <n v="29801"/>
    <n v="1"/>
    <n v="54412"/>
    <n v="5"/>
    <n v="49644"/>
    <n v="5"/>
    <n v="55718"/>
    <n v="5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50"/>
    <x v="0"/>
    <x v="66"/>
    <m/>
    <n v="10103"/>
    <n v="46.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BARDHOSH"/>
    <x v="49"/>
    <x v="0"/>
    <x v="66"/>
    <m/>
    <n v="10114"/>
    <n v="119.9"/>
    <n v="35110"/>
    <n v="12"/>
    <n v="35111"/>
    <n v="12"/>
    <n v="49644"/>
    <n v="5"/>
    <n v="44001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82"/>
    <x v="0"/>
    <x v="66"/>
    <m/>
    <n v="10133"/>
    <n v="46.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47"/>
    <x v="0"/>
    <x v="66"/>
    <m/>
    <n v="10105"/>
    <n v="46.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2"/>
    <x v="0"/>
    <x v="66"/>
    <m/>
    <n v="20111"/>
    <n v="70.2"/>
    <n v="35108"/>
    <n v="12"/>
    <n v="31880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136"/>
    <x v="0"/>
    <x v="66"/>
    <m/>
    <n v="20129"/>
    <n v="92.4"/>
    <n v="35110"/>
    <n v="1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5"/>
    <x v="0"/>
    <x v="66"/>
    <m/>
    <n v="20127"/>
    <n v="138.6"/>
    <n v="35114"/>
    <n v="12"/>
    <n v="35115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85"/>
    <x v="0"/>
    <x v="66"/>
    <m/>
    <n v="20130"/>
    <n v="25"/>
    <n v="51936"/>
    <n v="6"/>
    <n v="16936"/>
    <n v="2"/>
    <n v="69236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116"/>
    <x v="0"/>
    <x v="66"/>
    <m/>
    <n v="20102"/>
    <n v="101.4"/>
    <n v="50912"/>
    <n v="12"/>
    <n v="51936"/>
    <n v="2"/>
    <n v="49644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115"/>
    <x v="0"/>
    <x v="66"/>
    <m/>
    <n v="20101"/>
    <n v="37.5"/>
    <n v="49644"/>
    <n v="6"/>
    <n v="55718"/>
    <n v="5"/>
    <n v="54412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4"/>
    <x v="0"/>
    <x v="66"/>
    <m/>
    <n v="20121"/>
    <n v="231"/>
    <n v="35108"/>
    <n v="24"/>
    <n v="35114"/>
    <n v="12"/>
    <n v="35113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124"/>
    <x v="0"/>
    <x v="66"/>
    <m/>
    <n v="40017"/>
    <n v="48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HIROK"/>
    <x v="60"/>
    <x v="0"/>
    <x v="67"/>
    <m/>
    <n v="10205"/>
    <n v="50.4"/>
    <n v="721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59"/>
    <x v="0"/>
    <x v="67"/>
    <m/>
    <n v="10210"/>
    <n v="92.4"/>
    <n v="3512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HIROK"/>
    <x v="60"/>
    <x v="0"/>
    <x v="67"/>
    <m/>
    <n v="10205"/>
    <n v="67.8"/>
    <n v="50912"/>
    <n v="3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139"/>
    <x v="0"/>
    <x v="67"/>
    <m/>
    <n v="10146"/>
    <n v="86.4"/>
    <n v="509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THARAND"/>
    <x v="64"/>
    <x v="0"/>
    <x v="67"/>
    <m/>
    <n v="10201"/>
    <n v="92.4"/>
    <n v="35108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63"/>
    <x v="0"/>
    <x v="67"/>
    <m/>
    <n v="10240"/>
    <n v="138.6"/>
    <n v="35111"/>
    <n v="12"/>
    <n v="35113"/>
    <n v="12"/>
    <n v="3511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62"/>
    <x v="0"/>
    <x v="67"/>
    <m/>
    <n v="10241"/>
    <n v="46.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UHEL"/>
    <x v="147"/>
    <x v="0"/>
    <x v="67"/>
    <m/>
    <n v="10230"/>
    <n v="92.4"/>
    <n v="35110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ZYM"/>
    <x v="61"/>
    <x v="0"/>
    <x v="67"/>
    <m/>
    <n v="10245"/>
    <n v="46.2"/>
    <n v="3510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171"/>
    <x v="0"/>
    <x v="67"/>
    <m/>
    <n v="10223"/>
    <n v="43.5"/>
    <n v="31880"/>
    <n v="6"/>
    <n v="39505"/>
    <n v="4"/>
    <n v="51936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88"/>
    <x v="0"/>
    <x v="67"/>
    <m/>
    <n v="40019"/>
    <n v="138.6"/>
    <n v="35108"/>
    <n v="12"/>
    <n v="35119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172"/>
    <x v="0"/>
    <x v="67"/>
    <m/>
    <n v="20229"/>
    <n v="277.2"/>
    <n v="35108"/>
    <n v="24"/>
    <n v="35115"/>
    <n v="24"/>
    <n v="35128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66"/>
    <x v="0"/>
    <x v="67"/>
    <m/>
    <n v="20209"/>
    <n v="103.2"/>
    <n v="51612"/>
    <n v="24"/>
    <n v="56117"/>
    <n v="6"/>
    <n v="49644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JUNIK"/>
    <x v="155"/>
    <x v="0"/>
    <x v="67"/>
    <m/>
    <n v="20205"/>
    <n v="19"/>
    <n v="56117"/>
    <n v="3"/>
    <n v="44001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90"/>
    <x v="0"/>
    <x v="67"/>
    <m/>
    <n v="20212"/>
    <n v="92.4"/>
    <n v="35121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EQAN"/>
    <x v="68"/>
    <x v="0"/>
    <x v="67"/>
    <m/>
    <n v="20203"/>
    <n v="184.8"/>
    <n v="35108"/>
    <n v="12"/>
    <n v="35113"/>
    <n v="24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EQAN"/>
    <x v="69"/>
    <x v="0"/>
    <x v="67"/>
    <m/>
    <n v="20201"/>
    <n v="102.4"/>
    <n v="35110"/>
    <n v="12"/>
    <n v="35128"/>
    <n v="12"/>
    <n v="54412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HOME KIM TEC"/>
    <x v="70"/>
    <x v="0"/>
    <x v="67"/>
    <m/>
    <n v="40003"/>
    <n v="175"/>
    <n v="20001"/>
    <n v="100"/>
    <n v="30275"/>
    <n v="4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139"/>
    <x v="0"/>
    <x v="68"/>
    <m/>
    <n v="10147"/>
    <n v="96"/>
    <n v="509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3"/>
    <x v="0"/>
    <x v="68"/>
    <m/>
    <n v="10340"/>
    <n v="92.4"/>
    <n v="35109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2"/>
    <x v="0"/>
    <x v="68"/>
    <m/>
    <n v="10344"/>
    <n v="138.6"/>
    <n v="35112"/>
    <n v="12"/>
    <n v="35113"/>
    <n v="12"/>
    <n v="3510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73"/>
    <x v="0"/>
    <x v="68"/>
    <m/>
    <n v="10333"/>
    <n v="30"/>
    <n v="5161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174"/>
    <x v="0"/>
    <x v="68"/>
    <m/>
    <n v="10367"/>
    <n v="92.4"/>
    <n v="35113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95"/>
    <x v="0"/>
    <x v="68"/>
    <m/>
    <n v="10350"/>
    <n v="184.8"/>
    <n v="35110"/>
    <n v="12"/>
    <n v="35121"/>
    <n v="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6"/>
    <x v="0"/>
    <x v="68"/>
    <m/>
    <n v="10332"/>
    <n v="107.4"/>
    <n v="35121"/>
    <n v="24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19"/>
    <x v="0"/>
    <x v="68"/>
    <m/>
    <n v="10304"/>
    <n v="15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"/>
    <x v="0"/>
    <x v="68"/>
    <m/>
    <n v="10308"/>
    <n v="277.2"/>
    <n v="35112"/>
    <n v="24"/>
    <n v="35128"/>
    <n v="24"/>
    <n v="35125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56"/>
    <x v="0"/>
    <x v="68"/>
    <m/>
    <n v="10353"/>
    <n v="61.2"/>
    <n v="35121"/>
    <n v="12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USHTRRI"/>
    <x v="77"/>
    <x v="0"/>
    <x v="69"/>
    <m/>
    <n v="10418"/>
    <n v="76.2"/>
    <n v="35115"/>
    <n v="12"/>
    <n v="5161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4"/>
    <x v="0"/>
    <x v="69"/>
    <m/>
    <n v="10638"/>
    <n v="270"/>
    <n v="35121"/>
    <n v="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4"/>
    <x v="0"/>
    <x v="69"/>
    <m/>
    <n v="10638"/>
    <n v="270"/>
    <n v="35121"/>
    <n v="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78"/>
    <x v="0"/>
    <x v="69"/>
    <m/>
    <n v="10410"/>
    <n v="92.4"/>
    <n v="35110"/>
    <n v="12"/>
    <n v="351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18"/>
    <x v="0"/>
    <x v="69"/>
    <m/>
    <n v="10413"/>
    <n v="61.2"/>
    <n v="35112"/>
    <n v="12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22"/>
    <x v="0"/>
    <x v="69"/>
    <m/>
    <n v="10406"/>
    <n v="86.4"/>
    <n v="509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USHTRRI"/>
    <x v="20"/>
    <x v="0"/>
    <x v="69"/>
    <m/>
    <n v="10428"/>
    <n v="61.2"/>
    <n v="35112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USHTRRI"/>
    <x v="152"/>
    <x v="0"/>
    <x v="69"/>
    <m/>
    <n v="10401"/>
    <n v="92.4"/>
    <n v="35108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0"/>
    <x v="0"/>
    <x v="69"/>
    <m/>
    <n v="20324"/>
    <n v="46.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11"/>
    <x v="0"/>
    <x v="69"/>
    <m/>
    <n v="20307"/>
    <n v="231"/>
    <n v="35108"/>
    <n v="12"/>
    <n v="35112"/>
    <n v="12"/>
    <n v="35115"/>
    <n v="12"/>
    <n v="35121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11"/>
    <x v="0"/>
    <x v="69"/>
    <m/>
    <n v="20307"/>
    <n v="114.6"/>
    <n v="66701"/>
    <n v="12"/>
    <n v="51611"/>
    <n v="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12"/>
    <x v="0"/>
    <x v="69"/>
    <m/>
    <n v="20313"/>
    <n v="162"/>
    <n v="66701"/>
    <n v="12"/>
    <n v="35112"/>
    <n v="12"/>
    <n v="3510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75"/>
    <x v="0"/>
    <x v="69"/>
    <m/>
    <n v="20331"/>
    <n v="138.6"/>
    <n v="35112"/>
    <n v="12"/>
    <n v="35121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6"/>
    <x v="0"/>
    <x v="69"/>
    <m/>
    <n v="20306"/>
    <n v="138.6"/>
    <n v="35109"/>
    <n v="12"/>
    <n v="35125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75"/>
    <x v="0"/>
    <x v="69"/>
    <m/>
    <n v="20329"/>
    <n v="92.4"/>
    <n v="35109"/>
    <n v="12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51"/>
    <x v="0"/>
    <x v="69"/>
    <m/>
    <n v="20328"/>
    <n v="138.6"/>
    <n v="35108"/>
    <n v="12"/>
    <n v="35112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96"/>
    <x v="0"/>
    <x v="69"/>
    <m/>
    <n v="20311"/>
    <n v="92.4"/>
    <n v="35109"/>
    <n v="12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76"/>
    <x v="0"/>
    <x v="69"/>
    <m/>
    <n v="20314"/>
    <n v="92.4"/>
    <n v="35110"/>
    <n v="1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92"/>
    <x v="0"/>
    <x v="69"/>
    <m/>
    <n v="20228"/>
    <n v="208.8"/>
    <n v="66701"/>
    <n v="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32"/>
    <x v="0"/>
    <x v="70"/>
    <m/>
    <n v="10502"/>
    <n v="34"/>
    <n v="44001"/>
    <n v="8"/>
    <n v="39505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6"/>
    <x v="0"/>
    <x v="70"/>
    <m/>
    <n v="10507"/>
    <n v="138.6"/>
    <n v="35112"/>
    <n v="12"/>
    <n v="35113"/>
    <n v="12"/>
    <n v="35114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4"/>
    <x v="0"/>
    <x v="70"/>
    <m/>
    <n v="10509"/>
    <n v="106.4"/>
    <n v="50912"/>
    <n v="12"/>
    <n v="56117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95"/>
    <x v="0"/>
    <x v="70"/>
    <m/>
    <n v="10350"/>
    <n v="184.8"/>
    <n v="35121"/>
    <n v="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80"/>
    <x v="0"/>
    <x v="70"/>
    <m/>
    <n v="10542"/>
    <n v="46.2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99"/>
    <x v="0"/>
    <x v="70"/>
    <m/>
    <n v="10506"/>
    <n v="56.2"/>
    <n v="49644"/>
    <n v="5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LIPJAN"/>
    <x v="27"/>
    <x v="0"/>
    <x v="70"/>
    <m/>
    <n v="10529"/>
    <n v="49.2"/>
    <n v="50912"/>
    <n v="6"/>
    <n v="49644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KLINE"/>
    <x v="28"/>
    <x v="0"/>
    <x v="70"/>
    <m/>
    <n v="20501"/>
    <n v="208.2"/>
    <n v="35108"/>
    <n v="12"/>
    <n v="35109"/>
    <n v="12"/>
    <n v="35128"/>
    <n v="12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KLINE"/>
    <x v="29"/>
    <x v="0"/>
    <x v="70"/>
    <m/>
    <n v="20502"/>
    <n v="120"/>
    <n v="35111"/>
    <n v="12"/>
    <n v="35112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30"/>
    <x v="0"/>
    <x v="70"/>
    <m/>
    <n v="20511"/>
    <n v="122.4"/>
    <n v="35109"/>
    <n v="24"/>
    <n v="5161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103"/>
    <x v="0"/>
    <x v="70"/>
    <m/>
    <n v="20508"/>
    <n v="208.2"/>
    <n v="35109"/>
    <n v="36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31"/>
    <x v="0"/>
    <x v="70"/>
    <m/>
    <n v="20513"/>
    <n v="32.5"/>
    <n v="55718"/>
    <n v="6"/>
    <n v="56117"/>
    <n v="2"/>
    <n v="44001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102"/>
    <x v="0"/>
    <x v="70"/>
    <m/>
    <n v="20515"/>
    <n v="246.6"/>
    <n v="35111"/>
    <n v="12"/>
    <n v="35112"/>
    <n v="12"/>
    <n v="51611"/>
    <n v="12"/>
    <n v="6670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KENDERAJ"/>
    <x v="133"/>
    <x v="0"/>
    <x v="70"/>
    <m/>
    <n v="20408"/>
    <n v="40.5"/>
    <n v="55718"/>
    <n v="2"/>
    <n v="51936"/>
    <n v="2"/>
    <n v="51736"/>
    <n v="2"/>
    <n v="69236"/>
    <n v="3"/>
    <n v="56117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KENDERAJ"/>
    <x v="104"/>
    <x v="0"/>
    <x v="70"/>
    <m/>
    <n v="20407"/>
    <n v="277.2"/>
    <n v="35112"/>
    <n v="12"/>
    <n v="35121"/>
    <n v="12"/>
    <n v="35115"/>
    <n v="12"/>
    <n v="35111"/>
    <n v="12"/>
    <n v="35110"/>
    <n v="12"/>
    <n v="3510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KENDERAJ"/>
    <x v="33"/>
    <x v="0"/>
    <x v="70"/>
    <m/>
    <n v="20406"/>
    <n v="40"/>
    <n v="49644"/>
    <n v="13"/>
    <n v="55718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RENAS"/>
    <x v="106"/>
    <x v="0"/>
    <x v="70"/>
    <m/>
    <n v="20404"/>
    <n v="92.4"/>
    <n v="35112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RENAS"/>
    <x v="105"/>
    <x v="0"/>
    <x v="70"/>
    <m/>
    <n v="20403"/>
    <n v="92.4"/>
    <n v="35110"/>
    <n v="12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4"/>
    <x v="0"/>
    <x v="71"/>
    <m/>
    <n v="10635"/>
    <n v="46.2"/>
    <n v="35114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6"/>
    <x v="0"/>
    <x v="71"/>
    <m/>
    <n v="10625"/>
    <n v="138.6"/>
    <n v="35121"/>
    <n v="12"/>
    <n v="35115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126"/>
    <x v="0"/>
    <x v="71"/>
    <m/>
    <n v="10604"/>
    <n v="20"/>
    <n v="54412"/>
    <n v="5"/>
    <n v="49644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146"/>
    <x v="0"/>
    <x v="71"/>
    <m/>
    <n v="10613"/>
    <n v="56"/>
    <n v="49644"/>
    <n v="10"/>
    <n v="50912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4"/>
    <x v="0"/>
    <x v="71"/>
    <m/>
    <n v="10636"/>
    <n v="46.2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81"/>
    <x v="0"/>
    <x v="71"/>
    <m/>
    <n v="10616"/>
    <n v="92.4"/>
    <n v="35113"/>
    <n v="12"/>
    <n v="3511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REME"/>
    <x v="110"/>
    <x v="0"/>
    <x v="71"/>
    <m/>
    <n v="20610"/>
    <n v="508.2"/>
    <n v="35125"/>
    <n v="36"/>
    <n v="35128"/>
    <n v="12"/>
    <n v="35121"/>
    <n v="24"/>
    <n v="35112"/>
    <n v="24"/>
    <n v="35109"/>
    <n v="24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37"/>
    <x v="0"/>
    <x v="71"/>
    <m/>
    <n v="20635"/>
    <n v="231"/>
    <n v="35109"/>
    <n v="36"/>
    <n v="35110"/>
    <n v="1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34"/>
    <x v="0"/>
    <x v="71"/>
    <m/>
    <n v="20632"/>
    <n v="353.4"/>
    <n v="35112"/>
    <n v="24"/>
    <n v="35125"/>
    <n v="24"/>
    <n v="35113"/>
    <n v="12"/>
    <n v="35109"/>
    <n v="12"/>
    <n v="35121"/>
    <n v="12"/>
    <n v="5161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12"/>
    <x v="0"/>
    <x v="71"/>
    <m/>
    <n v="20609"/>
    <n v="153.6"/>
    <n v="35109"/>
    <n v="36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39"/>
    <x v="0"/>
    <x v="71"/>
    <m/>
    <n v="20602"/>
    <n v="292.2"/>
    <n v="35109"/>
    <n v="24"/>
    <n v="35121"/>
    <n v="24"/>
    <n v="35110"/>
    <n v="24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40"/>
    <x v="0"/>
    <x v="71"/>
    <m/>
    <n v="20623"/>
    <n v="254.4"/>
    <n v="66701"/>
    <n v="12"/>
    <n v="35109"/>
    <n v="12"/>
    <n v="35113"/>
    <n v="12"/>
    <n v="35112"/>
    <n v="12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45"/>
    <x v="0"/>
    <x v="71"/>
    <m/>
    <n v="20614"/>
    <n v="369.6"/>
    <n v="35109"/>
    <n v="60"/>
    <n v="35110"/>
    <n v="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09"/>
    <x v="0"/>
    <x v="71"/>
    <m/>
    <n v="20630"/>
    <n v="222.4"/>
    <n v="35110"/>
    <n v="12"/>
    <n v="35112"/>
    <n v="12"/>
    <n v="35111"/>
    <n v="12"/>
    <n v="35109"/>
    <n v="12"/>
    <n v="51612"/>
    <n v="12"/>
    <n v="16936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43"/>
    <x v="0"/>
    <x v="71"/>
    <m/>
    <n v="20627"/>
    <n v="162"/>
    <n v="35109"/>
    <n v="12"/>
    <n v="35113"/>
    <n v="12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LIPJAN"/>
    <x v="176"/>
    <x v="0"/>
    <x v="71"/>
    <m/>
    <n v="20601"/>
    <n v="79.2"/>
    <n v="35110"/>
    <n v="12"/>
    <n v="26736"/>
    <n v="6"/>
    <n v="49644"/>
    <n v="6"/>
    <n v="54412"/>
    <n v="3"/>
    <n v="55718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46"/>
    <x v="0"/>
    <x v="71"/>
    <m/>
    <n v="20624"/>
    <n v="122.4"/>
    <n v="35121"/>
    <n v="12"/>
    <n v="35109"/>
    <n v="12"/>
    <n v="5161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08"/>
    <x v="0"/>
    <x v="71"/>
    <m/>
    <n v="20628"/>
    <n v="184.8"/>
    <n v="35109"/>
    <n v="12"/>
    <n v="35111"/>
    <n v="12"/>
    <n v="35112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82"/>
    <x v="0"/>
    <x v="72"/>
    <m/>
    <n v="10133"/>
    <n v="46.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177"/>
    <x v="0"/>
    <x v="72"/>
    <m/>
    <n v="10110"/>
    <n v="92.4"/>
    <n v="35112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48"/>
    <x v="0"/>
    <x v="72"/>
    <m/>
    <n v="10111"/>
    <n v="103.8"/>
    <n v="50912"/>
    <n v="3"/>
    <n v="51611"/>
    <n v="12"/>
    <n v="44001"/>
    <n v="6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BARDHOSH"/>
    <x v="49"/>
    <x v="0"/>
    <x v="72"/>
    <m/>
    <n v="10114"/>
    <n v="92.4"/>
    <n v="35128"/>
    <n v="12"/>
    <n v="3510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84"/>
    <x v="0"/>
    <x v="72"/>
    <m/>
    <n v="10104"/>
    <n v="46.2"/>
    <n v="35114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178"/>
    <x v="0"/>
    <x v="72"/>
    <m/>
    <n v="10117"/>
    <n v="50"/>
    <n v="44001"/>
    <n v="4"/>
    <n v="50912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1"/>
    <x v="0"/>
    <x v="72"/>
    <m/>
    <n v="20109"/>
    <n v="152.4"/>
    <n v="35109"/>
    <n v="12"/>
    <n v="35112"/>
    <n v="12"/>
    <n v="51611"/>
    <n v="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2"/>
    <x v="0"/>
    <x v="72"/>
    <m/>
    <n v="20111"/>
    <n v="83"/>
    <n v="51611"/>
    <n v="12"/>
    <n v="72101"/>
    <n v="4"/>
    <n v="31822"/>
    <n v="4"/>
    <n v="51936"/>
    <n v="4"/>
    <n v="54412"/>
    <n v="4"/>
    <n v="39505"/>
    <n v="2"/>
    <n v="31880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6"/>
    <x v="0"/>
    <x v="72"/>
    <m/>
    <n v="20104"/>
    <n v="208.2"/>
    <n v="35108"/>
    <n v="12"/>
    <n v="35112"/>
    <n v="12"/>
    <n v="35121"/>
    <n v="12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114"/>
    <x v="0"/>
    <x v="72"/>
    <m/>
    <n v="20122"/>
    <n v="92.4"/>
    <n v="35110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5"/>
    <x v="0"/>
    <x v="72"/>
    <m/>
    <n v="20127"/>
    <n v="162"/>
    <n v="66701"/>
    <n v="12"/>
    <n v="35113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85"/>
    <x v="0"/>
    <x v="72"/>
    <m/>
    <n v="20130"/>
    <n v="58.2"/>
    <n v="35113"/>
    <n v="12"/>
    <n v="54412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136"/>
    <x v="0"/>
    <x v="72"/>
    <m/>
    <n v="20129"/>
    <n v="92.4"/>
    <n v="35109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3"/>
    <x v="0"/>
    <x v="72"/>
    <m/>
    <n v="20126"/>
    <n v="167.6"/>
    <n v="35111"/>
    <n v="12"/>
    <n v="35112"/>
    <n v="12"/>
    <n v="35113"/>
    <n v="12"/>
    <n v="16936"/>
    <n v="6"/>
    <n v="44001"/>
    <n v="2"/>
    <n v="55718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4"/>
    <x v="0"/>
    <x v="72"/>
    <m/>
    <n v="20121"/>
    <n v="208.2"/>
    <n v="35109"/>
    <n v="24"/>
    <n v="35113"/>
    <n v="12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KLINE"/>
    <x v="162"/>
    <x v="0"/>
    <x v="72"/>
    <m/>
    <n v="20118"/>
    <n v="44.5"/>
    <n v="51936"/>
    <n v="4"/>
    <n v="51736"/>
    <n v="4"/>
    <n v="16936"/>
    <n v="3"/>
    <n v="31819"/>
    <n v="4"/>
    <n v="55718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130"/>
    <x v="0"/>
    <x v="73"/>
    <m/>
    <n v="10255"/>
    <n v="208.8"/>
    <n v="66701"/>
    <n v="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59"/>
    <x v="0"/>
    <x v="73"/>
    <m/>
    <n v="10210"/>
    <n v="73.8"/>
    <n v="35121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THARAND"/>
    <x v="64"/>
    <x v="0"/>
    <x v="73"/>
    <m/>
    <n v="10201"/>
    <n v="184.8"/>
    <n v="35112"/>
    <n v="12"/>
    <n v="35109"/>
    <n v="12"/>
    <n v="35121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HTIME"/>
    <x v="86"/>
    <x v="0"/>
    <x v="73"/>
    <m/>
    <n v="10251"/>
    <n v="46.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HIROK"/>
    <x v="60"/>
    <x v="0"/>
    <x v="73"/>
    <m/>
    <n v="10205"/>
    <n v="231"/>
    <n v="35108"/>
    <n v="12"/>
    <n v="35110"/>
    <n v="12"/>
    <n v="35111"/>
    <n v="12"/>
    <n v="35115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63"/>
    <x v="0"/>
    <x v="73"/>
    <m/>
    <n v="10240"/>
    <n v="138.6"/>
    <n v="35112"/>
    <n v="12"/>
    <n v="35115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130"/>
    <x v="0"/>
    <x v="73"/>
    <m/>
    <n v="10256"/>
    <n v="46.2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179"/>
    <x v="0"/>
    <x v="73"/>
    <m/>
    <n v="10257"/>
    <n v="162"/>
    <n v="66701"/>
    <n v="12"/>
    <n v="35109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THARAND"/>
    <x v="170"/>
    <x v="0"/>
    <x v="73"/>
    <m/>
    <n v="10202"/>
    <n v="46.2"/>
    <n v="3510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THARAND"/>
    <x v="180"/>
    <x v="0"/>
    <x v="73"/>
    <m/>
    <n v="10203"/>
    <n v="273.60000000000002"/>
    <n v="35109"/>
    <n v="60"/>
    <n v="51611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65"/>
    <x v="0"/>
    <x v="73"/>
    <m/>
    <n v="20224"/>
    <n v="138.6"/>
    <n v="35109"/>
    <n v="12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66"/>
    <x v="0"/>
    <x v="73"/>
    <m/>
    <n v="20209"/>
    <n v="393"/>
    <n v="35109"/>
    <n v="24"/>
    <n v="35110"/>
    <n v="24"/>
    <n v="35112"/>
    <n v="24"/>
    <n v="35114"/>
    <n v="12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JUNIK"/>
    <x v="155"/>
    <x v="0"/>
    <x v="73"/>
    <m/>
    <n v="20205"/>
    <n v="120"/>
    <n v="35110"/>
    <n v="12"/>
    <n v="35112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JUNIK"/>
    <x v="89"/>
    <x v="0"/>
    <x v="73"/>
    <m/>
    <n v="20206"/>
    <n v="107.4"/>
    <n v="35119"/>
    <n v="12"/>
    <n v="35115"/>
    <n v="12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90"/>
    <x v="0"/>
    <x v="73"/>
    <m/>
    <n v="20212"/>
    <n v="153.6"/>
    <n v="35108"/>
    <n v="12"/>
    <n v="35109"/>
    <n v="12"/>
    <n v="35113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67"/>
    <x v="0"/>
    <x v="73"/>
    <m/>
    <n v="20211"/>
    <n v="92.4"/>
    <n v="35109"/>
    <n v="12"/>
    <n v="351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91"/>
    <x v="0"/>
    <x v="73"/>
    <m/>
    <n v="20223"/>
    <n v="115.8"/>
    <n v="35115"/>
    <n v="12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EQAN"/>
    <x v="68"/>
    <x v="0"/>
    <x v="73"/>
    <m/>
    <n v="20203"/>
    <n v="254.4"/>
    <n v="35109"/>
    <n v="12"/>
    <n v="35112"/>
    <n v="12"/>
    <n v="35113"/>
    <n v="12"/>
    <n v="35115"/>
    <n v="12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EQAN"/>
    <x v="69"/>
    <x v="0"/>
    <x v="73"/>
    <m/>
    <n v="20201"/>
    <n v="327.60000000000002"/>
    <n v="35109"/>
    <n v="48"/>
    <n v="35112"/>
    <n v="12"/>
    <n v="51611"/>
    <n v="36"/>
    <n v="29802"/>
    <n v="8"/>
    <n v="56117"/>
    <n v="6"/>
    <n v="49644"/>
    <n v="6"/>
    <n v="26736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4"/>
    <x v="0"/>
    <x v="73"/>
    <m/>
    <n v="20121"/>
    <n v="62"/>
    <n v="30277"/>
    <n v="10"/>
    <n v="3188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72"/>
    <x v="0"/>
    <x v="74"/>
    <m/>
    <n v="10366"/>
    <n v="184.8"/>
    <n v="35109"/>
    <n v="12"/>
    <n v="35121"/>
    <n v="12"/>
    <n v="35112"/>
    <n v="12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19"/>
    <x v="0"/>
    <x v="74"/>
    <m/>
    <n v="10304"/>
    <n v="273.60000000000002"/>
    <n v="35108"/>
    <n v="12"/>
    <n v="35110"/>
    <n v="12"/>
    <n v="35111"/>
    <n v="12"/>
    <n v="35115"/>
    <n v="12"/>
    <n v="35121"/>
    <n v="12"/>
    <n v="51611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ZHARAN"/>
    <x v="5"/>
    <x v="0"/>
    <x v="74"/>
    <m/>
    <n v="10330"/>
    <n v="92.4"/>
    <n v="35110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95"/>
    <x v="0"/>
    <x v="74"/>
    <m/>
    <n v="10350"/>
    <n v="138.6"/>
    <n v="35113"/>
    <n v="12"/>
    <n v="35121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73"/>
    <x v="0"/>
    <x v="74"/>
    <m/>
    <n v="10352"/>
    <n v="231"/>
    <n v="35121"/>
    <n v="24"/>
    <n v="35114"/>
    <n v="12"/>
    <n v="35115"/>
    <n v="1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181"/>
    <x v="0"/>
    <x v="74"/>
    <m/>
    <n v="10327"/>
    <n v="86.4"/>
    <n v="509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20"/>
    <x v="0"/>
    <x v="74"/>
    <m/>
    <n v="10313"/>
    <n v="92.4"/>
    <n v="3512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4"/>
    <x v="0"/>
    <x v="74"/>
    <m/>
    <n v="10325"/>
    <n v="61.2"/>
    <n v="35110"/>
    <n v="12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"/>
    <x v="0"/>
    <x v="74"/>
    <m/>
    <n v="10308"/>
    <n v="92.4"/>
    <n v="35113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74"/>
    <x v="0"/>
    <x v="74"/>
    <m/>
    <n v="10303"/>
    <n v="56"/>
    <n v="50912"/>
    <n v="5"/>
    <n v="56117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71"/>
    <x v="0"/>
    <x v="74"/>
    <m/>
    <n v="10359"/>
    <n v="120"/>
    <n v="35128"/>
    <n v="12"/>
    <n v="35121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163"/>
    <x v="0"/>
    <x v="74"/>
    <m/>
    <n v="10364"/>
    <n v="92.4"/>
    <n v="35113"/>
    <n v="12"/>
    <n v="3510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75"/>
    <x v="0"/>
    <x v="74"/>
    <m/>
    <n v="20329"/>
    <n v="231"/>
    <n v="35109"/>
    <n v="36"/>
    <n v="35113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9"/>
    <x v="0"/>
    <x v="74"/>
    <m/>
    <n v="20301"/>
    <n v="115.8"/>
    <n v="35112"/>
    <n v="12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11"/>
    <x v="0"/>
    <x v="74"/>
    <m/>
    <n v="20307"/>
    <n v="268.10000000000002"/>
    <n v="35110"/>
    <n v="12"/>
    <n v="35113"/>
    <n v="12"/>
    <n v="51611"/>
    <n v="12"/>
    <n v="51612"/>
    <n v="12"/>
    <n v="66701"/>
    <n v="12"/>
    <n v="44001"/>
    <n v="9"/>
    <n v="50912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37"/>
    <x v="0"/>
    <x v="74"/>
    <m/>
    <n v="20803"/>
    <n v="73.8"/>
    <n v="35128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68"/>
    <x v="0"/>
    <x v="74"/>
    <m/>
    <n v="20305"/>
    <n v="92.4"/>
    <n v="35109"/>
    <n v="12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3"/>
    <x v="0"/>
    <x v="74"/>
    <m/>
    <n v="20321"/>
    <n v="162.6"/>
    <n v="35121"/>
    <n v="24"/>
    <n v="51612"/>
    <n v="24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75"/>
    <x v="0"/>
    <x v="74"/>
    <m/>
    <n v="20331"/>
    <n v="177.4"/>
    <n v="35110"/>
    <n v="12"/>
    <n v="35111"/>
    <n v="12"/>
    <n v="16936"/>
    <n v="12"/>
    <n v="26736"/>
    <n v="12"/>
    <n v="51936"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12"/>
    <x v="0"/>
    <x v="74"/>
    <m/>
    <n v="20313"/>
    <n v="122.4"/>
    <n v="35112"/>
    <n v="12"/>
    <n v="35111"/>
    <n v="12"/>
    <n v="5161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17"/>
    <x v="0"/>
    <x v="74"/>
    <m/>
    <n v="20317"/>
    <n v="34"/>
    <n v="49644"/>
    <n v="12"/>
    <n v="31903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USHTRRI"/>
    <x v="77"/>
    <x v="0"/>
    <x v="75"/>
    <m/>
    <n v="10418"/>
    <n v="277.2"/>
    <n v="35110"/>
    <n v="36"/>
    <n v="35111"/>
    <n v="24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USHTRRI"/>
    <x v="20"/>
    <x v="0"/>
    <x v="75"/>
    <m/>
    <n v="10428"/>
    <n v="46.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22"/>
    <x v="0"/>
    <x v="75"/>
    <m/>
    <n v="10406"/>
    <n v="31.9"/>
    <n v="55718"/>
    <n v="5"/>
    <n v="5091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78"/>
    <x v="0"/>
    <x v="75"/>
    <m/>
    <n v="10410"/>
    <n v="92.4"/>
    <n v="35109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18"/>
    <x v="0"/>
    <x v="75"/>
    <m/>
    <n v="10413"/>
    <n v="92.4"/>
    <n v="35113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21"/>
    <x v="0"/>
    <x v="75"/>
    <m/>
    <n v="10412"/>
    <n v="138.6"/>
    <n v="35110"/>
    <n v="12"/>
    <n v="35112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79"/>
    <x v="0"/>
    <x v="76"/>
    <m/>
    <n v="10539"/>
    <n v="46.2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4"/>
    <x v="0"/>
    <x v="76"/>
    <m/>
    <n v="10509"/>
    <n v="34"/>
    <n v="56117"/>
    <n v="6"/>
    <n v="49644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3"/>
    <x v="0"/>
    <x v="76"/>
    <m/>
    <n v="10508"/>
    <n v="107.4"/>
    <n v="51611"/>
    <n v="12"/>
    <n v="35109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99"/>
    <x v="0"/>
    <x v="76"/>
    <m/>
    <n v="10506"/>
    <n v="46.2"/>
    <n v="351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LIPJAN"/>
    <x v="125"/>
    <x v="0"/>
    <x v="76"/>
    <m/>
    <n v="10547"/>
    <n v="92.4"/>
    <n v="35109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6"/>
    <x v="0"/>
    <x v="76"/>
    <m/>
    <n v="10507"/>
    <n v="138.6"/>
    <n v="35109"/>
    <n v="12"/>
    <n v="35113"/>
    <n v="12"/>
    <n v="35114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LIPJAN"/>
    <x v="27"/>
    <x v="0"/>
    <x v="76"/>
    <m/>
    <n v="10529"/>
    <n v="79.5"/>
    <n v="50912"/>
    <n v="5"/>
    <n v="55718"/>
    <n v="6"/>
    <n v="16936"/>
    <n v="4"/>
    <n v="69236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5"/>
    <x v="0"/>
    <x v="76"/>
    <m/>
    <n v="10504"/>
    <n v="46.2"/>
    <n v="3510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RENAS"/>
    <x v="182"/>
    <x v="0"/>
    <x v="76"/>
    <m/>
    <n v="20427"/>
    <n v="60"/>
    <n v="56117"/>
    <n v="4"/>
    <n v="51936"/>
    <n v="4"/>
    <n v="16936"/>
    <n v="4"/>
    <n v="50912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30"/>
    <x v="0"/>
    <x v="76"/>
    <m/>
    <n v="20511"/>
    <n v="107.4"/>
    <n v="35111"/>
    <n v="12"/>
    <n v="35121"/>
    <n v="12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103"/>
    <x v="0"/>
    <x v="76"/>
    <m/>
    <n v="20508"/>
    <n v="277.2"/>
    <n v="35109"/>
    <n v="24"/>
    <n v="35121"/>
    <n v="24"/>
    <n v="35110"/>
    <n v="1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31"/>
    <x v="0"/>
    <x v="76"/>
    <m/>
    <n v="20513"/>
    <n v="42.5"/>
    <n v="50912"/>
    <n v="2"/>
    <n v="56117"/>
    <n v="4"/>
    <n v="44001"/>
    <n v="2"/>
    <n v="55718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102"/>
    <x v="0"/>
    <x v="76"/>
    <m/>
    <n v="20515"/>
    <n v="462"/>
    <n v="35121"/>
    <n v="60"/>
    <n v="35113"/>
    <n v="12"/>
    <n v="66701"/>
    <n v="12"/>
    <n v="51611"/>
    <n v="48"/>
    <n v="5162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KENDERAJ"/>
    <x v="104"/>
    <x v="0"/>
    <x v="76"/>
    <m/>
    <n v="20407"/>
    <n v="346.8"/>
    <n v="35109"/>
    <n v="12"/>
    <n v="35110"/>
    <n v="12"/>
    <n v="35111"/>
    <n v="12"/>
    <n v="35112"/>
    <n v="12"/>
    <n v="35113"/>
    <n v="12"/>
    <n v="35125"/>
    <n v="12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KENDERAJ"/>
    <x v="133"/>
    <x v="0"/>
    <x v="76"/>
    <m/>
    <n v="20408"/>
    <n v="38"/>
    <n v="56117"/>
    <n v="4"/>
    <n v="44001"/>
    <n v="4"/>
    <n v="3188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KENDERAJ"/>
    <x v="33"/>
    <x v="0"/>
    <x v="76"/>
    <m/>
    <n v="20406"/>
    <n v="86.4"/>
    <n v="509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RENAS"/>
    <x v="183"/>
    <x v="0"/>
    <x v="76"/>
    <m/>
    <n v="20405"/>
    <n v="138.6"/>
    <n v="35109"/>
    <n v="12"/>
    <n v="35112"/>
    <n v="12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81"/>
    <x v="0"/>
    <x v="77"/>
    <m/>
    <n v="10616"/>
    <n v="92.4"/>
    <n v="35128"/>
    <n v="12"/>
    <n v="3510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6"/>
    <x v="0"/>
    <x v="77"/>
    <m/>
    <n v="10625"/>
    <n v="92.4"/>
    <n v="35121"/>
    <n v="1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29"/>
    <x v="0"/>
    <x v="77"/>
    <m/>
    <n v="10622"/>
    <n v="25"/>
    <n v="54412"/>
    <n v="6"/>
    <n v="26736"/>
    <n v="2"/>
    <n v="49644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4"/>
    <x v="0"/>
    <x v="77"/>
    <m/>
    <n v="10636"/>
    <n v="184.8"/>
    <n v="35110"/>
    <n v="24"/>
    <n v="3511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ADIME"/>
    <x v="128"/>
    <x v="0"/>
    <x v="77"/>
    <m/>
    <n v="20615"/>
    <n v="184.8"/>
    <n v="35109"/>
    <n v="12"/>
    <n v="35121"/>
    <n v="12"/>
    <n v="35115"/>
    <n v="12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08"/>
    <x v="0"/>
    <x v="77"/>
    <m/>
    <n v="20628"/>
    <n v="135"/>
    <n v="35110"/>
    <n v="12"/>
    <n v="35121"/>
    <n v="12"/>
    <n v="51611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43"/>
    <x v="0"/>
    <x v="77"/>
    <m/>
    <n v="20627"/>
    <n v="92.4"/>
    <n v="35110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11"/>
    <x v="0"/>
    <x v="77"/>
    <m/>
    <n v="20604"/>
    <n v="138.6"/>
    <n v="35121"/>
    <n v="24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REME"/>
    <x v="110"/>
    <x v="0"/>
    <x v="77"/>
    <m/>
    <n v="20610"/>
    <n v="231"/>
    <n v="35113"/>
    <n v="24"/>
    <n v="35128"/>
    <n v="12"/>
    <n v="35125"/>
    <n v="12"/>
    <n v="351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13"/>
    <x v="0"/>
    <x v="77"/>
    <m/>
    <n v="20603"/>
    <n v="187.1"/>
    <n v="35115"/>
    <n v="12"/>
    <n v="35112"/>
    <n v="12"/>
    <n v="35121"/>
    <n v="12"/>
    <n v="16936"/>
    <n v="5"/>
    <n v="50912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KAQANIK"/>
    <x v="127"/>
    <x v="0"/>
    <x v="77"/>
    <m/>
    <n v="20611"/>
    <n v="329.5"/>
    <n v="35109"/>
    <n v="36"/>
    <n v="35128"/>
    <n v="12"/>
    <n v="35110"/>
    <n v="12"/>
    <n v="35111"/>
    <n v="12"/>
    <n v="66701"/>
    <n v="6"/>
    <n v="44001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4"/>
    <x v="0"/>
    <x v="77"/>
    <m/>
    <n v="20608"/>
    <n v="92.4"/>
    <n v="35115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ERLIC"/>
    <x v="44"/>
    <x v="0"/>
    <x v="77"/>
    <m/>
    <n v="20606"/>
    <n v="127.9"/>
    <n v="35108"/>
    <n v="12"/>
    <n v="35111"/>
    <n v="12"/>
    <n v="49644"/>
    <n v="5"/>
    <n v="16936"/>
    <n v="5"/>
    <n v="39505"/>
    <n v="2"/>
    <n v="44001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46"/>
    <x v="0"/>
    <x v="77"/>
    <m/>
    <n v="20624"/>
    <n v="92.4"/>
    <n v="35111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ADIME"/>
    <x v="41"/>
    <x v="0"/>
    <x v="77"/>
    <m/>
    <n v="20622"/>
    <n v="120"/>
    <n v="35112"/>
    <n v="12"/>
    <n v="35115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50"/>
    <x v="0"/>
    <x v="78"/>
    <m/>
    <n v="10103"/>
    <n v="29"/>
    <n v="44001"/>
    <n v="6"/>
    <n v="56117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48"/>
    <x v="0"/>
    <x v="78"/>
    <m/>
    <n v="10111"/>
    <n v="118.4"/>
    <n v="35110"/>
    <n v="12"/>
    <n v="35125"/>
    <n v="12"/>
    <n v="49644"/>
    <n v="3"/>
    <n v="54412"/>
    <n v="3"/>
    <n v="55718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47"/>
    <x v="0"/>
    <x v="78"/>
    <m/>
    <n v="10105"/>
    <n v="92.4"/>
    <n v="35111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LIPJAN"/>
    <x v="27"/>
    <x v="0"/>
    <x v="78"/>
    <m/>
    <n v="10529"/>
    <n v="72"/>
    <n v="26736"/>
    <n v="12"/>
    <n v="56117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BARDHOSH"/>
    <x v="49"/>
    <x v="0"/>
    <x v="78"/>
    <m/>
    <n v="10114"/>
    <n v="92.4"/>
    <n v="35112"/>
    <n v="12"/>
    <n v="35114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ruga B"/>
    <x v="184"/>
    <x v="0"/>
    <x v="78"/>
    <m/>
    <n v="40024"/>
    <n v="46.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1"/>
    <x v="0"/>
    <x v="78"/>
    <m/>
    <n v="20109"/>
    <n v="184.8"/>
    <n v="35110"/>
    <n v="12"/>
    <n v="35111"/>
    <n v="12"/>
    <n v="35125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115"/>
    <x v="0"/>
    <x v="78"/>
    <m/>
    <n v="20101"/>
    <n v="60.2"/>
    <n v="50912"/>
    <n v="6"/>
    <n v="49644"/>
    <n v="3"/>
    <n v="54412"/>
    <n v="2"/>
    <n v="44001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5"/>
    <x v="0"/>
    <x v="78"/>
    <m/>
    <n v="20127"/>
    <n v="92.4"/>
    <n v="3512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3"/>
    <x v="0"/>
    <x v="78"/>
    <m/>
    <n v="20126"/>
    <n v="107.4"/>
    <n v="35108"/>
    <n v="12"/>
    <n v="35109"/>
    <n v="12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4"/>
    <x v="0"/>
    <x v="78"/>
    <m/>
    <n v="20121"/>
    <n v="138.6"/>
    <n v="35110"/>
    <n v="12"/>
    <n v="35111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161"/>
    <x v="0"/>
    <x v="78"/>
    <m/>
    <n v="20108"/>
    <n v="92.4"/>
    <n v="35112"/>
    <n v="24"/>
    <n v="35114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6"/>
    <x v="0"/>
    <x v="78"/>
    <m/>
    <n v="20104"/>
    <n v="99.4"/>
    <n v="35121"/>
    <n v="12"/>
    <n v="35128"/>
    <n v="12"/>
    <n v="55718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58"/>
    <x v="0"/>
    <x v="79"/>
    <m/>
    <n v="10261"/>
    <n v="924"/>
    <n v="35109"/>
    <n v="24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59"/>
    <x v="0"/>
    <x v="79"/>
    <m/>
    <n v="10210"/>
    <n v="92.4"/>
    <n v="35115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63"/>
    <x v="0"/>
    <x v="79"/>
    <m/>
    <n v="10240"/>
    <n v="430.8"/>
    <n v="35108"/>
    <n v="12"/>
    <n v="35110"/>
    <n v="12"/>
    <n v="35111"/>
    <n v="12"/>
    <n v="35125"/>
    <n v="12"/>
    <n v="35121"/>
    <n v="24"/>
    <n v="35109"/>
    <n v="36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HTIME"/>
    <x v="86"/>
    <x v="0"/>
    <x v="79"/>
    <m/>
    <n v="10251"/>
    <n v="138.6"/>
    <n v="35109"/>
    <n v="12"/>
    <n v="35110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THARAND"/>
    <x v="64"/>
    <x v="0"/>
    <x v="79"/>
    <m/>
    <n v="10201"/>
    <n v="46.2"/>
    <n v="3510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UHEL"/>
    <x v="147"/>
    <x v="0"/>
    <x v="79"/>
    <m/>
    <n v="10230"/>
    <n v="92.4"/>
    <n v="35111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HIROK"/>
    <x v="60"/>
    <x v="0"/>
    <x v="79"/>
    <m/>
    <n v="10205"/>
    <n v="280.2"/>
    <n v="35109"/>
    <n v="12"/>
    <n v="35125"/>
    <n v="12"/>
    <n v="35121"/>
    <n v="12"/>
    <n v="35128"/>
    <n v="12"/>
    <n v="35110"/>
    <n v="12"/>
    <n v="51612"/>
    <n v="12"/>
    <n v="50912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66"/>
    <x v="0"/>
    <x v="79"/>
    <m/>
    <n v="20209"/>
    <n v="277.2"/>
    <n v="35110"/>
    <n v="36"/>
    <n v="35115"/>
    <n v="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90"/>
    <x v="0"/>
    <x v="79"/>
    <m/>
    <n v="20212"/>
    <n v="92.4"/>
    <n v="35110"/>
    <n v="12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91"/>
    <x v="0"/>
    <x v="79"/>
    <m/>
    <n v="20223"/>
    <n v="138.6"/>
    <n v="35109"/>
    <n v="12"/>
    <n v="35112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93"/>
    <x v="0"/>
    <x v="79"/>
    <m/>
    <n v="20227"/>
    <n v="92.4"/>
    <n v="35112"/>
    <n v="12"/>
    <n v="3511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JUNIK"/>
    <x v="89"/>
    <x v="0"/>
    <x v="79"/>
    <m/>
    <n v="20206"/>
    <n v="116.4"/>
    <n v="35112"/>
    <n v="12"/>
    <n v="51611"/>
    <n v="12"/>
    <n v="51612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EQAN"/>
    <x v="68"/>
    <x v="0"/>
    <x v="79"/>
    <m/>
    <n v="20203"/>
    <n v="208.2"/>
    <n v="35109"/>
    <n v="24"/>
    <n v="35121"/>
    <n v="12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EQAN"/>
    <x v="69"/>
    <x v="0"/>
    <x v="79"/>
    <m/>
    <n v="20201"/>
    <n v="216.3"/>
    <n v="35113"/>
    <n v="12"/>
    <n v="35128"/>
    <n v="12"/>
    <n v="35125"/>
    <n v="12"/>
    <n v="51612"/>
    <n v="24"/>
    <n v="51611"/>
    <n v="12"/>
    <n v="26736"/>
    <n v="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HOME KIM TEC"/>
    <x v="70"/>
    <x v="0"/>
    <x v="79"/>
    <m/>
    <n v="40003"/>
    <n v="249"/>
    <n v="20001"/>
    <n v="140"/>
    <n v="30275"/>
    <n v="5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6"/>
    <x v="0"/>
    <x v="80"/>
    <m/>
    <n v="10332"/>
    <n v="184.8"/>
    <n v="35110"/>
    <n v="12"/>
    <n v="35111"/>
    <n v="12"/>
    <n v="35109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95"/>
    <x v="0"/>
    <x v="80"/>
    <m/>
    <n v="10350"/>
    <n v="323.39999999999998"/>
    <n v="35121"/>
    <n v="48"/>
    <n v="35119"/>
    <n v="12"/>
    <n v="35113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73"/>
    <x v="0"/>
    <x v="80"/>
    <m/>
    <n v="10352"/>
    <n v="277.2"/>
    <n v="35110"/>
    <n v="12"/>
    <n v="35111"/>
    <n v="12"/>
    <n v="35112"/>
    <n v="12"/>
    <n v="35121"/>
    <n v="12"/>
    <n v="35109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4"/>
    <x v="0"/>
    <x v="80"/>
    <m/>
    <n v="10325"/>
    <n v="92.4"/>
    <n v="35114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2"/>
    <x v="0"/>
    <x v="80"/>
    <m/>
    <n v="10344"/>
    <n v="138.6"/>
    <n v="35110"/>
    <n v="12"/>
    <n v="35111"/>
    <n v="12"/>
    <n v="3510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"/>
    <x v="0"/>
    <x v="80"/>
    <m/>
    <n v="10308"/>
    <n v="92.4"/>
    <n v="35128"/>
    <n v="12"/>
    <n v="351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38"/>
    <x v="0"/>
    <x v="80"/>
    <m/>
    <n v="10320"/>
    <n v="46.2"/>
    <n v="351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8"/>
    <x v="0"/>
    <x v="80"/>
    <m/>
    <n v="10323"/>
    <n v="86.4"/>
    <n v="509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56"/>
    <x v="0"/>
    <x v="80"/>
    <m/>
    <n v="10353"/>
    <n v="61.2"/>
    <n v="35113"/>
    <n v="12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HOME KIM TEC"/>
    <x v="70"/>
    <x v="0"/>
    <x v="80"/>
    <m/>
    <n v="40003"/>
    <n v="87"/>
    <n v="20001"/>
    <n v="10"/>
    <n v="30277"/>
    <n v="10"/>
    <n v="30275"/>
    <n v="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9"/>
    <x v="0"/>
    <x v="80"/>
    <m/>
    <n v="20301"/>
    <n v="123.6"/>
    <n v="66701"/>
    <n v="12"/>
    <n v="56117"/>
    <n v="6"/>
    <n v="51936"/>
    <n v="6"/>
    <n v="51736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91"/>
    <x v="0"/>
    <x v="80"/>
    <m/>
    <n v="20223"/>
    <n v="80"/>
    <n v="12000"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0"/>
    <x v="0"/>
    <x v="80"/>
    <m/>
    <n v="20324"/>
    <n v="120"/>
    <n v="35110"/>
    <n v="12"/>
    <n v="35111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11"/>
    <x v="0"/>
    <x v="80"/>
    <m/>
    <n v="20307"/>
    <n v="280.8"/>
    <n v="66701"/>
    <n v="36"/>
    <n v="51936"/>
    <n v="12"/>
    <n v="51736"/>
    <n v="12"/>
    <n v="54412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11"/>
    <x v="0"/>
    <x v="80"/>
    <m/>
    <n v="20307"/>
    <n v="258.60000000000002"/>
    <n v="35110"/>
    <n v="12"/>
    <n v="35111"/>
    <n v="12"/>
    <n v="35113"/>
    <n v="12"/>
    <n v="35114"/>
    <n v="12"/>
    <n v="35128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3"/>
    <x v="0"/>
    <x v="80"/>
    <m/>
    <n v="20321"/>
    <n v="193.8"/>
    <n v="35121"/>
    <n v="36"/>
    <n v="51612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6"/>
    <x v="0"/>
    <x v="80"/>
    <m/>
    <n v="20306"/>
    <n v="92.4"/>
    <n v="35110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57"/>
    <x v="0"/>
    <x v="80"/>
    <m/>
    <n v="20322"/>
    <n v="103.9"/>
    <n v="50912"/>
    <n v="12"/>
    <n v="44001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76"/>
    <x v="0"/>
    <x v="80"/>
    <m/>
    <n v="20314"/>
    <n v="92.4"/>
    <n v="35110"/>
    <n v="12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12"/>
    <x v="0"/>
    <x v="80"/>
    <m/>
    <n v="20313"/>
    <n v="115.8"/>
    <n v="35109"/>
    <n v="12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USHTRRI"/>
    <x v="77"/>
    <x v="0"/>
    <x v="81"/>
    <m/>
    <n v="10418"/>
    <n v="92.4"/>
    <n v="3511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USHTRRI"/>
    <x v="152"/>
    <x v="0"/>
    <x v="81"/>
    <m/>
    <n v="10401"/>
    <n v="138.6"/>
    <n v="35109"/>
    <n v="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USHTRRI"/>
    <x v="98"/>
    <x v="0"/>
    <x v="81"/>
    <m/>
    <n v="10429"/>
    <n v="73.8"/>
    <n v="35109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78"/>
    <x v="0"/>
    <x v="81"/>
    <m/>
    <n v="10410"/>
    <n v="92.4"/>
    <n v="35111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19"/>
    <x v="0"/>
    <x v="81"/>
    <m/>
    <n v="10430"/>
    <n v="60.2"/>
    <n v="44001"/>
    <n v="4"/>
    <n v="35114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18"/>
    <x v="0"/>
    <x v="81"/>
    <m/>
    <n v="10413"/>
    <n v="46.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139"/>
    <x v="0"/>
    <x v="82"/>
    <m/>
    <n v="10147"/>
    <n v="120"/>
    <n v="50912"/>
    <n v="12"/>
    <n v="49644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99"/>
    <x v="0"/>
    <x v="82"/>
    <m/>
    <n v="10506"/>
    <n v="46.2"/>
    <n v="3510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5"/>
    <x v="0"/>
    <x v="82"/>
    <m/>
    <n v="10504"/>
    <n v="73.8"/>
    <n v="35121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6"/>
    <x v="0"/>
    <x v="82"/>
    <m/>
    <n v="10507"/>
    <n v="138.6"/>
    <n v="35110"/>
    <n v="12"/>
    <n v="35111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4"/>
    <x v="0"/>
    <x v="82"/>
    <m/>
    <n v="10509"/>
    <n v="105.4"/>
    <n v="50912"/>
    <n v="12"/>
    <n v="31819"/>
    <n v="2"/>
    <n v="44001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3"/>
    <x v="0"/>
    <x v="82"/>
    <m/>
    <n v="10508"/>
    <n v="92.4"/>
    <n v="35109"/>
    <n v="1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53"/>
    <x v="0"/>
    <x v="82"/>
    <m/>
    <n v="10511"/>
    <n v="46.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79"/>
    <x v="0"/>
    <x v="82"/>
    <m/>
    <n v="10539"/>
    <n v="92.4"/>
    <n v="35110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KLINE"/>
    <x v="28"/>
    <x v="0"/>
    <x v="82"/>
    <m/>
    <n v="20501"/>
    <n v="225.7"/>
    <n v="35110"/>
    <n v="12"/>
    <n v="66701"/>
    <n v="12"/>
    <n v="35111"/>
    <n v="12"/>
    <n v="35115"/>
    <n v="12"/>
    <n v="44001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30"/>
    <x v="0"/>
    <x v="82"/>
    <m/>
    <n v="20511"/>
    <n v="323.39999999999998"/>
    <n v="35113"/>
    <n v="36"/>
    <n v="35108"/>
    <n v="12"/>
    <n v="35119"/>
    <n v="12"/>
    <n v="35109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31"/>
    <x v="0"/>
    <x v="82"/>
    <m/>
    <n v="20513"/>
    <n v="30"/>
    <n v="51936"/>
    <n v="4"/>
    <n v="51736"/>
    <n v="4"/>
    <n v="16936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KLINE"/>
    <x v="29"/>
    <x v="0"/>
    <x v="82"/>
    <m/>
    <n v="20502"/>
    <n v="92.4"/>
    <n v="35119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103"/>
    <x v="0"/>
    <x v="82"/>
    <m/>
    <n v="20508"/>
    <n v="153.6"/>
    <n v="35115"/>
    <n v="12"/>
    <n v="35112"/>
    <n v="12"/>
    <n v="35121"/>
    <n v="12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102"/>
    <x v="0"/>
    <x v="82"/>
    <m/>
    <n v="20515"/>
    <n v="138.6"/>
    <n v="35109"/>
    <n v="24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KENDERAJ"/>
    <x v="133"/>
    <x v="0"/>
    <x v="82"/>
    <m/>
    <n v="20408"/>
    <n v="47.1"/>
    <n v="16936"/>
    <n v="4"/>
    <n v="49644"/>
    <n v="4"/>
    <n v="44001"/>
    <n v="2"/>
    <n v="51736"/>
    <n v="3"/>
    <n v="31827"/>
    <n v="2"/>
    <n v="50912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KENDERAJ"/>
    <x v="32"/>
    <x v="0"/>
    <x v="82"/>
    <m/>
    <n v="20409"/>
    <n v="66.5"/>
    <n v="49644"/>
    <n v="12"/>
    <n v="16936"/>
    <n v="5"/>
    <n v="44001"/>
    <n v="5"/>
    <n v="26736"/>
    <n v="5"/>
    <n v="54412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KENDERAJ"/>
    <x v="104"/>
    <x v="0"/>
    <x v="82"/>
    <m/>
    <n v="20407"/>
    <n v="138.6"/>
    <n v="35110"/>
    <n v="24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81"/>
    <x v="0"/>
    <x v="83"/>
    <m/>
    <n v="10616"/>
    <n v="92.4"/>
    <n v="35113"/>
    <n v="12"/>
    <n v="3511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4"/>
    <x v="0"/>
    <x v="83"/>
    <m/>
    <n v="10635"/>
    <n v="46.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6"/>
    <x v="0"/>
    <x v="83"/>
    <m/>
    <n v="10625"/>
    <n v="166.2"/>
    <n v="35109"/>
    <n v="12"/>
    <n v="35114"/>
    <n v="12"/>
    <n v="35115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5"/>
    <x v="0"/>
    <x v="83"/>
    <m/>
    <n v="10605"/>
    <n v="27.5"/>
    <n v="54412"/>
    <n v="5"/>
    <n v="44001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4"/>
    <x v="0"/>
    <x v="83"/>
    <m/>
    <n v="10636"/>
    <n v="92.4"/>
    <n v="35112"/>
    <n v="12"/>
    <n v="3510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45"/>
    <x v="0"/>
    <x v="83"/>
    <m/>
    <n v="20614"/>
    <n v="415.8"/>
    <n v="35109"/>
    <n v="60"/>
    <n v="35121"/>
    <n v="36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37"/>
    <x v="0"/>
    <x v="83"/>
    <m/>
    <n v="20635"/>
    <n v="92.4"/>
    <n v="35109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40"/>
    <x v="0"/>
    <x v="83"/>
    <m/>
    <n v="20623"/>
    <n v="92.4"/>
    <n v="35110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13"/>
    <x v="0"/>
    <x v="83"/>
    <m/>
    <n v="20603"/>
    <n v="92.4"/>
    <n v="35110"/>
    <n v="1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39"/>
    <x v="0"/>
    <x v="83"/>
    <m/>
    <n v="20602"/>
    <n v="92.4"/>
    <n v="35111"/>
    <n v="1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09"/>
    <x v="0"/>
    <x v="83"/>
    <m/>
    <n v="20630"/>
    <n v="184.8"/>
    <n v="35110"/>
    <n v="12"/>
    <n v="35111"/>
    <n v="12"/>
    <n v="35128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43"/>
    <x v="0"/>
    <x v="83"/>
    <m/>
    <n v="20627"/>
    <n v="92.4"/>
    <n v="35115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11"/>
    <x v="0"/>
    <x v="83"/>
    <m/>
    <n v="20604"/>
    <n v="323.39999999999998"/>
    <n v="35121"/>
    <n v="60"/>
    <n v="35114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ERLIC"/>
    <x v="44"/>
    <x v="0"/>
    <x v="83"/>
    <m/>
    <n v="20606"/>
    <n v="200.3"/>
    <n v="35108"/>
    <n v="12"/>
    <n v="35121"/>
    <n v="12"/>
    <n v="35125"/>
    <n v="12"/>
    <n v="50912"/>
    <n v="6"/>
    <n v="55718"/>
    <n v="3"/>
    <n v="49644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4"/>
    <x v="0"/>
    <x v="83"/>
    <m/>
    <n v="20608"/>
    <n v="184.8"/>
    <n v="35110"/>
    <n v="24"/>
    <n v="3512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ADIME"/>
    <x v="128"/>
    <x v="0"/>
    <x v="83"/>
    <m/>
    <n v="20615"/>
    <n v="138.6"/>
    <n v="35113"/>
    <n v="12"/>
    <n v="35128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82"/>
    <x v="0"/>
    <x v="84"/>
    <m/>
    <n v="10133"/>
    <n v="92.4"/>
    <n v="35109"/>
    <n v="12"/>
    <n v="3511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139"/>
    <x v="0"/>
    <x v="84"/>
    <m/>
    <n v="10145"/>
    <n v="184.8"/>
    <n v="35109"/>
    <n v="12"/>
    <n v="35112"/>
    <n v="12"/>
    <n v="35114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48"/>
    <x v="0"/>
    <x v="84"/>
    <m/>
    <n v="10111"/>
    <n v="127.9"/>
    <n v="35109"/>
    <n v="12"/>
    <n v="35128"/>
    <n v="12"/>
    <n v="51611"/>
    <n v="12"/>
    <n v="54412"/>
    <n v="5"/>
    <n v="55718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BARDHOSH"/>
    <x v="49"/>
    <x v="0"/>
    <x v="84"/>
    <m/>
    <n v="10114"/>
    <n v="36.6"/>
    <n v="51611"/>
    <n v="12"/>
    <n v="50912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88"/>
    <x v="0"/>
    <x v="84"/>
    <m/>
    <n v="40019"/>
    <n v="107.4"/>
    <n v="35119"/>
    <n v="12"/>
    <n v="35128"/>
    <n v="12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1"/>
    <x v="0"/>
    <x v="84"/>
    <m/>
    <n v="20109"/>
    <n v="198.6"/>
    <n v="35125"/>
    <n v="24"/>
    <n v="35110"/>
    <n v="12"/>
    <n v="51611"/>
    <n v="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2"/>
    <x v="0"/>
    <x v="84"/>
    <m/>
    <n v="20111"/>
    <n v="49.5"/>
    <n v="51936"/>
    <n v="6"/>
    <n v="51736"/>
    <n v="6"/>
    <n v="56117"/>
    <n v="3"/>
    <n v="16936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3"/>
    <x v="0"/>
    <x v="84"/>
    <m/>
    <n v="20126"/>
    <n v="174"/>
    <n v="66701"/>
    <n v="12"/>
    <n v="35119"/>
    <n v="12"/>
    <n v="35128"/>
    <n v="12"/>
    <n v="49644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4"/>
    <x v="0"/>
    <x v="84"/>
    <m/>
    <n v="20121"/>
    <n v="184.8"/>
    <n v="35108"/>
    <n v="12"/>
    <n v="35121"/>
    <n v="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6"/>
    <x v="0"/>
    <x v="84"/>
    <m/>
    <n v="20104"/>
    <n v="138.6"/>
    <n v="35113"/>
    <n v="24"/>
    <n v="3510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161"/>
    <x v="0"/>
    <x v="84"/>
    <m/>
    <n v="20108"/>
    <n v="101.4"/>
    <n v="35115"/>
    <n v="12"/>
    <n v="51612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5"/>
    <x v="0"/>
    <x v="84"/>
    <m/>
    <n v="20127"/>
    <n v="69.599999999999994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116"/>
    <x v="0"/>
    <x v="84"/>
    <m/>
    <n v="20102"/>
    <n v="34"/>
    <n v="49644"/>
    <n v="7"/>
    <n v="55718"/>
    <n v="4"/>
    <n v="54412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HIROK"/>
    <x v="167"/>
    <x v="0"/>
    <x v="85"/>
    <m/>
    <n v="10244"/>
    <n v="46.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62"/>
    <x v="0"/>
    <x v="85"/>
    <m/>
    <n v="10241"/>
    <n v="138.6"/>
    <n v="35108"/>
    <n v="12"/>
    <n v="35109"/>
    <n v="12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ZYM"/>
    <x v="61"/>
    <x v="0"/>
    <x v="85"/>
    <m/>
    <n v="10245"/>
    <n v="138.6"/>
    <n v="35109"/>
    <n v="12"/>
    <n v="35111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63"/>
    <x v="0"/>
    <x v="85"/>
    <m/>
    <n v="10240"/>
    <n v="184.8"/>
    <n v="35113"/>
    <n v="12"/>
    <n v="35114"/>
    <n v="12"/>
    <n v="35128"/>
    <n v="12"/>
    <n v="3510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HIROK"/>
    <x v="60"/>
    <x v="0"/>
    <x v="85"/>
    <m/>
    <n v="10205"/>
    <n v="106.8"/>
    <n v="35121"/>
    <n v="12"/>
    <n v="35128"/>
    <n v="12"/>
    <n v="5091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THARAND"/>
    <x v="64"/>
    <x v="0"/>
    <x v="85"/>
    <m/>
    <n v="10201"/>
    <n v="46.2"/>
    <n v="3511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UHEL"/>
    <x v="147"/>
    <x v="0"/>
    <x v="85"/>
    <m/>
    <n v="10230"/>
    <n v="138.6"/>
    <n v="35109"/>
    <n v="12"/>
    <n v="35112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LIPJAN"/>
    <x v="185"/>
    <x v="0"/>
    <x v="85"/>
    <m/>
    <n v="10528"/>
    <n v="46.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88"/>
    <x v="0"/>
    <x v="85"/>
    <m/>
    <n v="40019"/>
    <n v="231"/>
    <n v="35109"/>
    <n v="24"/>
    <n v="35108"/>
    <n v="12"/>
    <n v="35121"/>
    <n v="12"/>
    <n v="3511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65"/>
    <x v="0"/>
    <x v="85"/>
    <m/>
    <n v="20224"/>
    <n v="138.6"/>
    <n v="35110"/>
    <n v="12"/>
    <n v="35111"/>
    <n v="12"/>
    <n v="351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66"/>
    <x v="0"/>
    <x v="85"/>
    <m/>
    <n v="20209"/>
    <n v="142.19999999999999"/>
    <n v="50912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JUNIK"/>
    <x v="155"/>
    <x v="0"/>
    <x v="85"/>
    <m/>
    <n v="20205"/>
    <n v="51.6"/>
    <n v="56117"/>
    <n v="6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67"/>
    <x v="0"/>
    <x v="85"/>
    <m/>
    <n v="20211"/>
    <n v="107.4"/>
    <n v="35112"/>
    <n v="12"/>
    <n v="35113"/>
    <n v="12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90"/>
    <x v="0"/>
    <x v="85"/>
    <m/>
    <n v="20212"/>
    <n v="92.4"/>
    <n v="35113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118"/>
    <x v="0"/>
    <x v="85"/>
    <m/>
    <n v="20208"/>
    <n v="147.6"/>
    <n v="35125"/>
    <n v="24"/>
    <n v="51612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JUNIK"/>
    <x v="89"/>
    <x v="0"/>
    <x v="85"/>
    <m/>
    <n v="20206"/>
    <n v="101.4"/>
    <n v="35109"/>
    <n v="12"/>
    <n v="51612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EQAN"/>
    <x v="68"/>
    <x v="0"/>
    <x v="85"/>
    <m/>
    <n v="20203"/>
    <n v="323.39999999999998"/>
    <n v="35109"/>
    <n v="48"/>
    <n v="35108"/>
    <n v="12"/>
    <n v="35112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EQAN"/>
    <x v="69"/>
    <x v="0"/>
    <x v="85"/>
    <m/>
    <n v="20201"/>
    <n v="114"/>
    <n v="35110"/>
    <n v="12"/>
    <n v="35125"/>
    <n v="12"/>
    <n v="50912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124"/>
    <x v="0"/>
    <x v="85"/>
    <m/>
    <n v="40017"/>
    <n v="48"/>
    <n v="35108"/>
    <n v="4"/>
    <n v="35110"/>
    <n v="4"/>
    <n v="35111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HOME KIM TEC"/>
    <x v="70"/>
    <x v="0"/>
    <x v="85"/>
    <m/>
    <n v="40003"/>
    <n v="171.5"/>
    <n v="20001"/>
    <n v="90"/>
    <n v="30275"/>
    <n v="5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20"/>
    <x v="0"/>
    <x v="86"/>
    <m/>
    <n v="10313"/>
    <n v="92.4"/>
    <n v="35110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8"/>
    <x v="0"/>
    <x v="86"/>
    <m/>
    <n v="10323"/>
    <n v="86.4"/>
    <n v="509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95"/>
    <x v="0"/>
    <x v="86"/>
    <m/>
    <n v="10350"/>
    <n v="369.6"/>
    <n v="35121"/>
    <n v="48"/>
    <n v="35114"/>
    <n v="12"/>
    <n v="35128"/>
    <n v="12"/>
    <n v="35113"/>
    <n v="12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86"/>
    <x v="0"/>
    <x v="86"/>
    <m/>
    <n v="10346"/>
    <n v="138.6"/>
    <n v="35108"/>
    <n v="12"/>
    <n v="35109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19"/>
    <x v="0"/>
    <x v="86"/>
    <m/>
    <n v="10304"/>
    <n v="61.2"/>
    <n v="35110"/>
    <n v="12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49"/>
    <x v="0"/>
    <x v="86"/>
    <m/>
    <n v="10317"/>
    <n v="51.3"/>
    <n v="50912"/>
    <n v="4"/>
    <n v="56117"/>
    <n v="3"/>
    <n v="55718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2"/>
    <x v="0"/>
    <x v="86"/>
    <m/>
    <n v="10344"/>
    <n v="138.6"/>
    <n v="35108"/>
    <n v="12"/>
    <n v="35112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74"/>
    <x v="0"/>
    <x v="86"/>
    <m/>
    <n v="10303"/>
    <n v="34.9"/>
    <n v="50912"/>
    <n v="2"/>
    <n v="44001"/>
    <n v="3"/>
    <n v="49644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71"/>
    <x v="0"/>
    <x v="86"/>
    <m/>
    <n v="10360"/>
    <n v="107.4"/>
    <n v="35108"/>
    <n v="12"/>
    <n v="35111"/>
    <n v="12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56"/>
    <x v="0"/>
    <x v="86"/>
    <m/>
    <n v="10353"/>
    <n v="46.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71"/>
    <x v="0"/>
    <x v="86"/>
    <m/>
    <n v="10359"/>
    <n v="15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12"/>
    <x v="0"/>
    <x v="86"/>
    <m/>
    <n v="20313"/>
    <n v="120"/>
    <n v="35113"/>
    <n v="12"/>
    <n v="35125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9"/>
    <x v="0"/>
    <x v="86"/>
    <m/>
    <n v="20301"/>
    <n v="69.599999999999994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0"/>
    <x v="0"/>
    <x v="86"/>
    <m/>
    <n v="20324"/>
    <n v="46.2"/>
    <n v="3510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11"/>
    <x v="0"/>
    <x v="86"/>
    <m/>
    <n v="20307"/>
    <n v="238.8"/>
    <n v="35128"/>
    <n v="24"/>
    <n v="35113"/>
    <n v="12"/>
    <n v="51611"/>
    <n v="24"/>
    <n v="51611"/>
    <n v="24"/>
    <n v="16936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4"/>
    <x v="0"/>
    <x v="86"/>
    <m/>
    <n v="20304"/>
    <n v="76.2"/>
    <n v="35111"/>
    <n v="12"/>
    <n v="26736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17"/>
    <x v="0"/>
    <x v="86"/>
    <m/>
    <n v="20317"/>
    <n v="70.2"/>
    <n v="35110"/>
    <n v="12"/>
    <n v="49644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75"/>
    <x v="0"/>
    <x v="86"/>
    <m/>
    <n v="20331"/>
    <n v="92.4"/>
    <n v="3512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96"/>
    <x v="0"/>
    <x v="86"/>
    <m/>
    <n v="20311"/>
    <n v="74"/>
    <n v="51936"/>
    <n v="6"/>
    <n v="51736"/>
    <n v="6"/>
    <n v="69236"/>
    <n v="6"/>
    <n v="31819"/>
    <n v="6"/>
    <n v="49644"/>
    <n v="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USHTRRI"/>
    <x v="77"/>
    <x v="0"/>
    <x v="87"/>
    <m/>
    <n v="10418"/>
    <n v="353.4"/>
    <n v="35128"/>
    <n v="48"/>
    <n v="35111"/>
    <n v="24"/>
    <n v="35121"/>
    <n v="12"/>
    <n v="5161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19"/>
    <x v="0"/>
    <x v="87"/>
    <m/>
    <n v="10430"/>
    <n v="46.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22"/>
    <x v="0"/>
    <x v="87"/>
    <m/>
    <n v="10406"/>
    <n v="113.4"/>
    <n v="50912"/>
    <n v="12"/>
    <n v="51736"/>
    <n v="4"/>
    <n v="49644"/>
    <n v="2"/>
    <n v="31819"/>
    <n v="2"/>
    <n v="56117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78"/>
    <x v="0"/>
    <x v="87"/>
    <m/>
    <n v="10410"/>
    <n v="46.2"/>
    <n v="351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18"/>
    <x v="0"/>
    <x v="87"/>
    <m/>
    <n v="10413"/>
    <n v="92.4"/>
    <n v="35110"/>
    <n v="1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USHTRRI"/>
    <x v="20"/>
    <x v="0"/>
    <x v="87"/>
    <m/>
    <n v="10428"/>
    <n v="138.6"/>
    <n v="35121"/>
    <n v="12"/>
    <n v="35109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USHTRRI"/>
    <x v="98"/>
    <x v="0"/>
    <x v="87"/>
    <m/>
    <n v="10429"/>
    <n v="46.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00"/>
    <x v="0"/>
    <x v="88"/>
    <m/>
    <n v="10503"/>
    <n v="92.4"/>
    <n v="35109"/>
    <n v="1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80"/>
    <x v="0"/>
    <x v="88"/>
    <m/>
    <n v="10542"/>
    <n v="46.2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3"/>
    <x v="0"/>
    <x v="88"/>
    <m/>
    <n v="10508"/>
    <n v="92.4"/>
    <n v="35110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6"/>
    <x v="0"/>
    <x v="88"/>
    <m/>
    <n v="10507"/>
    <n v="138.6"/>
    <n v="35109"/>
    <n v="12"/>
    <n v="35121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95"/>
    <x v="0"/>
    <x v="88"/>
    <m/>
    <n v="10350"/>
    <n v="231"/>
    <n v="35113"/>
    <n v="12"/>
    <n v="35121"/>
    <n v="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99"/>
    <x v="0"/>
    <x v="88"/>
    <m/>
    <n v="10506"/>
    <n v="92.4"/>
    <n v="35113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30"/>
    <x v="0"/>
    <x v="88"/>
    <m/>
    <n v="20511"/>
    <n v="507"/>
    <n v="35115"/>
    <n v="48"/>
    <n v="35109"/>
    <n v="24"/>
    <n v="35119"/>
    <n v="24"/>
    <n v="35112"/>
    <n v="12"/>
    <n v="35125"/>
    <n v="12"/>
    <n v="51611"/>
    <n v="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KLINE"/>
    <x v="28"/>
    <x v="0"/>
    <x v="88"/>
    <m/>
    <n v="20501"/>
    <n v="138.6"/>
    <n v="35110"/>
    <n v="12"/>
    <n v="35125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KLINE"/>
    <x v="29"/>
    <x v="0"/>
    <x v="88"/>
    <m/>
    <n v="20502"/>
    <n v="73.8"/>
    <n v="35110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103"/>
    <x v="0"/>
    <x v="88"/>
    <m/>
    <n v="20508"/>
    <n v="166.2"/>
    <n v="35109"/>
    <n v="24"/>
    <n v="35115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102"/>
    <x v="0"/>
    <x v="88"/>
    <m/>
    <n v="20515"/>
    <n v="231"/>
    <n v="35110"/>
    <n v="24"/>
    <n v="35113"/>
    <n v="24"/>
    <n v="35114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KENDERAJ"/>
    <x v="32"/>
    <x v="0"/>
    <x v="88"/>
    <m/>
    <n v="20409"/>
    <n v="85.8"/>
    <n v="50912"/>
    <n v="9"/>
    <n v="44001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KENDERAJ"/>
    <x v="133"/>
    <x v="0"/>
    <x v="88"/>
    <m/>
    <n v="20408"/>
    <n v="34.5"/>
    <n v="16936"/>
    <n v="3"/>
    <n v="51936"/>
    <n v="3"/>
    <n v="51736"/>
    <n v="3"/>
    <n v="56117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KENDERAJ"/>
    <x v="104"/>
    <x v="0"/>
    <x v="88"/>
    <m/>
    <n v="20407"/>
    <n v="184.8"/>
    <n v="35111"/>
    <n v="24"/>
    <n v="35112"/>
    <n v="1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HOME KIM TEC"/>
    <x v="70"/>
    <x v="0"/>
    <x v="88"/>
    <m/>
    <n v="40003"/>
    <n v="256"/>
    <n v="20001"/>
    <n v="150"/>
    <n v="30275"/>
    <n v="40"/>
    <n v="20000"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146"/>
    <x v="0"/>
    <x v="89"/>
    <m/>
    <n v="10613"/>
    <n v="12"/>
    <n v="49644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81"/>
    <x v="0"/>
    <x v="89"/>
    <m/>
    <n v="10616"/>
    <n v="138.6"/>
    <n v="35121"/>
    <n v="12"/>
    <n v="35128"/>
    <n v="12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4"/>
    <x v="0"/>
    <x v="89"/>
    <m/>
    <n v="10635"/>
    <n v="92.4"/>
    <n v="35109"/>
    <n v="1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29"/>
    <x v="0"/>
    <x v="89"/>
    <m/>
    <n v="10622"/>
    <n v="37.5"/>
    <n v="16936"/>
    <n v="2"/>
    <n v="31818"/>
    <n v="2"/>
    <n v="51936"/>
    <n v="2"/>
    <n v="56117"/>
    <n v="3"/>
    <n v="55718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6"/>
    <x v="0"/>
    <x v="89"/>
    <m/>
    <n v="10625"/>
    <n v="120"/>
    <n v="35115"/>
    <n v="12"/>
    <n v="35113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KAQANIK"/>
    <x v="127"/>
    <x v="0"/>
    <x v="89"/>
    <m/>
    <n v="20611"/>
    <n v="277"/>
    <n v="35115"/>
    <n v="12"/>
    <n v="35111"/>
    <n v="12"/>
    <n v="35114"/>
    <n v="12"/>
    <n v="35110"/>
    <n v="12"/>
    <n v="35109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KAQANIK"/>
    <x v="127"/>
    <x v="0"/>
    <x v="89"/>
    <m/>
    <n v="20611"/>
    <n v="162"/>
    <n v="35121"/>
    <n v="24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39"/>
    <x v="0"/>
    <x v="89"/>
    <m/>
    <n v="20602"/>
    <n v="153.6"/>
    <n v="35109"/>
    <n v="12"/>
    <n v="35128"/>
    <n v="12"/>
    <n v="35113"/>
    <n v="12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40"/>
    <x v="0"/>
    <x v="89"/>
    <m/>
    <n v="20623"/>
    <n v="162"/>
    <n v="35111"/>
    <n v="12"/>
    <n v="35119"/>
    <n v="12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ADIME"/>
    <x v="41"/>
    <x v="0"/>
    <x v="89"/>
    <m/>
    <n v="20622"/>
    <n v="138.6"/>
    <n v="35109"/>
    <n v="12"/>
    <n v="35113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42"/>
    <x v="0"/>
    <x v="89"/>
    <m/>
    <n v="20631"/>
    <n v="92.4"/>
    <n v="35109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59"/>
    <x v="0"/>
    <x v="89"/>
    <m/>
    <n v="20633"/>
    <n v="92.4"/>
    <n v="35109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43"/>
    <x v="0"/>
    <x v="89"/>
    <m/>
    <n v="20627"/>
    <n v="231"/>
    <n v="35108"/>
    <n v="12"/>
    <n v="35109"/>
    <n v="12"/>
    <n v="35113"/>
    <n v="12"/>
    <n v="35110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37"/>
    <x v="0"/>
    <x v="89"/>
    <m/>
    <n v="20635"/>
    <n v="231"/>
    <n v="35109"/>
    <n v="36"/>
    <n v="35110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11"/>
    <x v="0"/>
    <x v="89"/>
    <m/>
    <n v="20604"/>
    <n v="231"/>
    <n v="35113"/>
    <n v="24"/>
    <n v="35109"/>
    <n v="12"/>
    <n v="35112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ERLIC"/>
    <x v="44"/>
    <x v="0"/>
    <x v="89"/>
    <m/>
    <n v="20606"/>
    <n v="125.2"/>
    <n v="35109"/>
    <n v="12"/>
    <n v="35110"/>
    <n v="12"/>
    <n v="31880"/>
    <n v="6"/>
    <n v="50912"/>
    <n v="4"/>
    <n v="44001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46"/>
    <x v="0"/>
    <x v="89"/>
    <m/>
    <n v="20624"/>
    <n v="369.6"/>
    <n v="35128"/>
    <n v="24"/>
    <n v="35108"/>
    <n v="12"/>
    <n v="35111"/>
    <n v="12"/>
    <n v="35112"/>
    <n v="12"/>
    <n v="35121"/>
    <n v="12"/>
    <n v="35125"/>
    <n v="12"/>
    <n v="35114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13"/>
    <x v="0"/>
    <x v="89"/>
    <m/>
    <n v="20603"/>
    <n v="85.2"/>
    <n v="51611"/>
    <n v="24"/>
    <n v="51612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139"/>
    <x v="0"/>
    <x v="90"/>
    <m/>
    <n v="10145"/>
    <n v="92.4"/>
    <n v="35121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48"/>
    <x v="0"/>
    <x v="90"/>
    <m/>
    <n v="10111"/>
    <n v="184.8"/>
    <n v="35110"/>
    <n v="12"/>
    <n v="35111"/>
    <n v="12"/>
    <n v="35112"/>
    <n v="12"/>
    <n v="3511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BARDHOSH"/>
    <x v="49"/>
    <x v="0"/>
    <x v="90"/>
    <m/>
    <n v="10114"/>
    <n v="138.6"/>
    <n v="35110"/>
    <n v="12"/>
    <n v="35111"/>
    <n v="1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82"/>
    <x v="0"/>
    <x v="90"/>
    <m/>
    <n v="10133"/>
    <n v="92.4"/>
    <n v="35108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84"/>
    <x v="0"/>
    <x v="90"/>
    <m/>
    <n v="10104"/>
    <n v="46.2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1"/>
    <x v="0"/>
    <x v="90"/>
    <m/>
    <n v="20109"/>
    <n v="261"/>
    <n v="35109"/>
    <n v="12"/>
    <n v="35111"/>
    <n v="12"/>
    <n v="35115"/>
    <n v="12"/>
    <n v="35113"/>
    <n v="12"/>
    <n v="35112"/>
    <n v="12"/>
    <n v="5161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4"/>
    <x v="0"/>
    <x v="90"/>
    <m/>
    <n v="20121"/>
    <n v="138.6"/>
    <n v="35109"/>
    <n v="12"/>
    <n v="35115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116"/>
    <x v="0"/>
    <x v="90"/>
    <m/>
    <n v="20102"/>
    <n v="65.2"/>
    <n v="54412"/>
    <n v="5"/>
    <n v="56117"/>
    <n v="3"/>
    <n v="50912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114"/>
    <x v="0"/>
    <x v="90"/>
    <m/>
    <n v="20122"/>
    <n v="32.6"/>
    <n v="50912"/>
    <n v="3"/>
    <n v="44001"/>
    <n v="2"/>
    <n v="31880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67"/>
    <x v="0"/>
    <x v="90"/>
    <m/>
    <n v="20211"/>
    <n v="60"/>
    <n v="16936"/>
    <n v="12"/>
    <n v="26736"/>
    <n v="6"/>
    <n v="51936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5"/>
    <x v="0"/>
    <x v="90"/>
    <m/>
    <n v="20127"/>
    <n v="184.8"/>
    <n v="35110"/>
    <n v="24"/>
    <n v="35112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6"/>
    <x v="0"/>
    <x v="90"/>
    <m/>
    <n v="20104"/>
    <n v="138.6"/>
    <n v="35109"/>
    <n v="24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3"/>
    <x v="0"/>
    <x v="90"/>
    <m/>
    <n v="20126"/>
    <n v="138.6"/>
    <n v="35113"/>
    <n v="24"/>
    <n v="3511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HOME KIM TEC"/>
    <x v="70"/>
    <x v="0"/>
    <x v="91"/>
    <m/>
    <n v="40003"/>
    <n v="265"/>
    <n v="20001"/>
    <n v="140"/>
    <n v="30275"/>
    <n v="60"/>
    <n v="5091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124"/>
    <x v="0"/>
    <x v="91"/>
    <m/>
    <n v="40017"/>
    <n v="48"/>
    <n v="35108"/>
    <n v="8"/>
    <n v="35115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THARAND"/>
    <x v="170"/>
    <x v="0"/>
    <x v="91"/>
    <m/>
    <n v="10202"/>
    <n v="46.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HIROK"/>
    <x v="60"/>
    <x v="0"/>
    <x v="91"/>
    <m/>
    <n v="10205"/>
    <n v="199.2"/>
    <n v="35108"/>
    <n v="12"/>
    <n v="35111"/>
    <n v="12"/>
    <n v="35115"/>
    <n v="12"/>
    <n v="35113"/>
    <n v="12"/>
    <n v="5091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130"/>
    <x v="0"/>
    <x v="91"/>
    <m/>
    <n v="10256"/>
    <n v="46.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63"/>
    <x v="0"/>
    <x v="91"/>
    <m/>
    <n v="10240"/>
    <n v="277.2"/>
    <n v="35111"/>
    <n v="12"/>
    <n v="35128"/>
    <n v="12"/>
    <n v="35109"/>
    <n v="24"/>
    <n v="35115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ZYM"/>
    <x v="61"/>
    <x v="0"/>
    <x v="91"/>
    <m/>
    <n v="10245"/>
    <n v="462"/>
    <n v="35109"/>
    <n v="36"/>
    <n v="35115"/>
    <n v="24"/>
    <n v="35121"/>
    <n v="24"/>
    <n v="35110"/>
    <n v="12"/>
    <n v="35111"/>
    <n v="1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THARAND"/>
    <x v="64"/>
    <x v="0"/>
    <x v="91"/>
    <m/>
    <n v="10201"/>
    <n v="46.2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87"/>
    <x v="0"/>
    <x v="91"/>
    <m/>
    <n v="10541"/>
    <n v="92.4"/>
    <n v="35108"/>
    <n v="12"/>
    <n v="3510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UHEL"/>
    <x v="147"/>
    <x v="0"/>
    <x v="91"/>
    <m/>
    <n v="10230"/>
    <n v="323.39999999999998"/>
    <n v="35121"/>
    <n v="36"/>
    <n v="35110"/>
    <n v="12"/>
    <n v="35111"/>
    <n v="12"/>
    <n v="35115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88"/>
    <x v="0"/>
    <x v="91"/>
    <m/>
    <n v="40019"/>
    <n v="462"/>
    <n v="35109"/>
    <n v="24"/>
    <n v="35113"/>
    <n v="36"/>
    <n v="35121"/>
    <n v="24"/>
    <n v="35108"/>
    <n v="12"/>
    <n v="35128"/>
    <n v="12"/>
    <n v="3511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65"/>
    <x v="0"/>
    <x v="91"/>
    <m/>
    <n v="20224"/>
    <n v="277.2"/>
    <n v="35110"/>
    <n v="36"/>
    <n v="35111"/>
    <n v="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65"/>
    <x v="0"/>
    <x v="91"/>
    <m/>
    <n v="20224"/>
    <n v="115.8"/>
    <n v="35121"/>
    <n v="12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66"/>
    <x v="0"/>
    <x v="91"/>
    <m/>
    <n v="20209"/>
    <n v="120"/>
    <n v="35119"/>
    <n v="12"/>
    <n v="35125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117"/>
    <x v="0"/>
    <x v="91"/>
    <m/>
    <n v="20220"/>
    <n v="138.6"/>
    <n v="35111"/>
    <n v="12"/>
    <n v="35115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90"/>
    <x v="0"/>
    <x v="91"/>
    <m/>
    <n v="20212"/>
    <n v="92.4"/>
    <n v="35109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91"/>
    <x v="0"/>
    <x v="91"/>
    <m/>
    <n v="20223"/>
    <n v="138.6"/>
    <n v="35111"/>
    <n v="12"/>
    <n v="35114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118"/>
    <x v="0"/>
    <x v="91"/>
    <m/>
    <n v="20208"/>
    <n v="138.6"/>
    <n v="35111"/>
    <n v="12"/>
    <n v="35112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JUNIK"/>
    <x v="89"/>
    <x v="0"/>
    <x v="91"/>
    <m/>
    <n v="20206"/>
    <n v="184.8"/>
    <n v="35110"/>
    <n v="12"/>
    <n v="35111"/>
    <n v="12"/>
    <n v="35113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JUNIK"/>
    <x v="155"/>
    <x v="0"/>
    <x v="91"/>
    <m/>
    <n v="20205"/>
    <n v="112.8"/>
    <n v="35111"/>
    <n v="12"/>
    <n v="51611"/>
    <n v="12"/>
    <n v="51612"/>
    <n v="12"/>
    <n v="56117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EQAN"/>
    <x v="68"/>
    <x v="0"/>
    <x v="91"/>
    <m/>
    <n v="20203"/>
    <n v="92.4"/>
    <n v="35110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EQAN"/>
    <x v="69"/>
    <x v="0"/>
    <x v="91"/>
    <m/>
    <n v="20201"/>
    <n v="138.19999999999999"/>
    <n v="35110"/>
    <n v="12"/>
    <n v="35112"/>
    <n v="12"/>
    <n v="50912"/>
    <n v="4"/>
    <n v="54412"/>
    <n v="4"/>
    <n v="26736"/>
    <n v="4"/>
    <n v="49644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19"/>
    <x v="0"/>
    <x v="92"/>
    <m/>
    <n v="10304"/>
    <n v="231"/>
    <n v="35108"/>
    <n v="24"/>
    <n v="35109"/>
    <n v="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19"/>
    <x v="0"/>
    <x v="92"/>
    <m/>
    <n v="10304"/>
    <n v="231"/>
    <n v="35110"/>
    <n v="12"/>
    <n v="35111"/>
    <n v="12"/>
    <n v="35115"/>
    <n v="12"/>
    <n v="3512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2"/>
    <x v="0"/>
    <x v="92"/>
    <m/>
    <n v="10344"/>
    <n v="646.79999999999995"/>
    <n v="35108"/>
    <n v="60"/>
    <n v="35113"/>
    <n v="36"/>
    <n v="35115"/>
    <n v="36"/>
    <n v="35111"/>
    <n v="24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73"/>
    <x v="0"/>
    <x v="92"/>
    <m/>
    <n v="10352"/>
    <n v="138.6"/>
    <n v="35109"/>
    <n v="12"/>
    <n v="35111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95"/>
    <x v="0"/>
    <x v="92"/>
    <m/>
    <n v="10350"/>
    <n v="138.6"/>
    <n v="35110"/>
    <n v="12"/>
    <n v="3512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ZHARAN"/>
    <x v="5"/>
    <x v="0"/>
    <x v="92"/>
    <m/>
    <n v="10330"/>
    <n v="92.4"/>
    <n v="35109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6"/>
    <x v="0"/>
    <x v="92"/>
    <m/>
    <n v="10332"/>
    <n v="277.2"/>
    <n v="35109"/>
    <n v="12"/>
    <n v="35110"/>
    <n v="12"/>
    <n v="35111"/>
    <n v="12"/>
    <n v="35113"/>
    <n v="12"/>
    <n v="35121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20"/>
    <x v="0"/>
    <x v="92"/>
    <m/>
    <n v="10313"/>
    <n v="138.6"/>
    <n v="35109"/>
    <n v="12"/>
    <n v="35115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163"/>
    <x v="0"/>
    <x v="92"/>
    <m/>
    <n v="10364"/>
    <n v="231"/>
    <n v="35109"/>
    <n v="36"/>
    <n v="35113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"/>
    <x v="0"/>
    <x v="92"/>
    <m/>
    <n v="10308"/>
    <n v="184.8"/>
    <n v="35112"/>
    <n v="12"/>
    <n v="35114"/>
    <n v="12"/>
    <n v="35113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94"/>
    <x v="0"/>
    <x v="92"/>
    <m/>
    <n v="10306"/>
    <n v="138.6"/>
    <n v="35113"/>
    <n v="12"/>
    <n v="35121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3"/>
    <x v="0"/>
    <x v="92"/>
    <m/>
    <n v="10340"/>
    <n v="92.4"/>
    <n v="35109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11"/>
    <x v="0"/>
    <x v="92"/>
    <m/>
    <n v="20307"/>
    <n v="169.4"/>
    <n v="35109"/>
    <n v="12"/>
    <n v="35121"/>
    <n v="12"/>
    <n v="51611"/>
    <n v="24"/>
    <n v="26736"/>
    <n v="6"/>
    <n v="50912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5"/>
    <x v="0"/>
    <x v="92"/>
    <m/>
    <n v="20303"/>
    <n v="162"/>
    <n v="35110"/>
    <n v="12"/>
    <n v="35115"/>
    <n v="12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12"/>
    <x v="0"/>
    <x v="92"/>
    <m/>
    <n v="20313"/>
    <n v="166.2"/>
    <n v="35109"/>
    <n v="12"/>
    <n v="35114"/>
    <n v="12"/>
    <n v="35121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17"/>
    <x v="0"/>
    <x v="92"/>
    <m/>
    <n v="20317"/>
    <n v="90.2"/>
    <n v="44001"/>
    <n v="12"/>
    <n v="50912"/>
    <n v="6"/>
    <n v="31903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96"/>
    <x v="0"/>
    <x v="92"/>
    <m/>
    <n v="20311"/>
    <n v="107.4"/>
    <n v="35110"/>
    <n v="12"/>
    <n v="35121"/>
    <n v="12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3"/>
    <x v="0"/>
    <x v="92"/>
    <m/>
    <n v="20321"/>
    <n v="193.8"/>
    <n v="35109"/>
    <n v="12"/>
    <n v="35113"/>
    <n v="12"/>
    <n v="35125"/>
    <n v="12"/>
    <n v="51612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22"/>
    <x v="0"/>
    <x v="92"/>
    <m/>
    <n v="20302"/>
    <n v="92.4"/>
    <n v="35110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75"/>
    <x v="0"/>
    <x v="92"/>
    <m/>
    <n v="20331"/>
    <n v="231"/>
    <n v="35108"/>
    <n v="12"/>
    <n v="35110"/>
    <n v="12"/>
    <n v="35121"/>
    <n v="24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68"/>
    <x v="0"/>
    <x v="92"/>
    <m/>
    <n v="20305"/>
    <n v="184.8"/>
    <n v="35109"/>
    <n v="12"/>
    <n v="35110"/>
    <n v="12"/>
    <n v="35111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HOME KIM TEC"/>
    <x v="70"/>
    <x v="0"/>
    <x v="93"/>
    <m/>
    <n v="40003"/>
    <n v="248"/>
    <n v="20001"/>
    <n v="120"/>
    <n v="30275"/>
    <n v="40"/>
    <n v="39505"/>
    <n v="12"/>
    <n v="49644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USHTRRI"/>
    <x v="77"/>
    <x v="0"/>
    <x v="93"/>
    <m/>
    <n v="10418"/>
    <n v="1830.6"/>
    <n v="35128"/>
    <n v="144"/>
    <n v="35110"/>
    <n v="144"/>
    <n v="35111"/>
    <n v="60"/>
    <n v="35121"/>
    <n v="24"/>
    <n v="35109"/>
    <n v="24"/>
    <n v="35115"/>
    <n v="24"/>
    <n v="35112"/>
    <n v="36"/>
    <n v="51611"/>
    <n v="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USHTRRI"/>
    <x v="98"/>
    <x v="0"/>
    <x v="93"/>
    <m/>
    <n v="10429"/>
    <n v="92.4"/>
    <n v="35128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78"/>
    <x v="0"/>
    <x v="93"/>
    <m/>
    <n v="10410"/>
    <n v="304.8"/>
    <n v="35113"/>
    <n v="24"/>
    <n v="35121"/>
    <n v="24"/>
    <n v="35110"/>
    <n v="12"/>
    <n v="35125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USHTRRI"/>
    <x v="20"/>
    <x v="0"/>
    <x v="93"/>
    <m/>
    <n v="10428"/>
    <n v="92.4"/>
    <n v="35128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18"/>
    <x v="0"/>
    <x v="93"/>
    <m/>
    <n v="10413"/>
    <n v="92.4"/>
    <n v="35121"/>
    <n v="1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KENDERAJ"/>
    <x v="104"/>
    <x v="0"/>
    <x v="93"/>
    <m/>
    <n v="20407"/>
    <n v="646.79999999999995"/>
    <n v="35110"/>
    <n v="36"/>
    <n v="35111"/>
    <n v="24"/>
    <n v="35121"/>
    <n v="36"/>
    <n v="35128"/>
    <n v="24"/>
    <n v="35115"/>
    <n v="24"/>
    <n v="35112"/>
    <n v="12"/>
    <n v="3510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102"/>
    <x v="0"/>
    <x v="93"/>
    <m/>
    <n v="20515"/>
    <n v="184.8"/>
    <n v="35109"/>
    <n v="12"/>
    <n v="35113"/>
    <n v="12"/>
    <n v="35114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144"/>
    <x v="0"/>
    <x v="93"/>
    <m/>
    <n v="20510"/>
    <n v="69.599999999999994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KENDERAJ"/>
    <x v="32"/>
    <x v="0"/>
    <x v="93"/>
    <m/>
    <n v="20409"/>
    <n v="70.5"/>
    <n v="50912"/>
    <n v="5"/>
    <n v="31819"/>
    <n v="4"/>
    <n v="51736"/>
    <n v="4"/>
    <n v="49644"/>
    <n v="5"/>
    <n v="44001"/>
    <n v="3"/>
    <n v="56117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103"/>
    <x v="0"/>
    <x v="93"/>
    <m/>
    <n v="20508"/>
    <n v="184.8"/>
    <n v="35110"/>
    <n v="12"/>
    <n v="35112"/>
    <n v="12"/>
    <n v="35113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RENAS"/>
    <x v="106"/>
    <x v="0"/>
    <x v="93"/>
    <m/>
    <n v="20404"/>
    <n v="184.8"/>
    <n v="35112"/>
    <n v="12"/>
    <n v="35115"/>
    <n v="12"/>
    <n v="35128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81"/>
    <x v="0"/>
    <x v="94"/>
    <m/>
    <n v="10616"/>
    <n v="96"/>
    <n v="35113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7"/>
    <x v="0"/>
    <x v="94"/>
    <m/>
    <n v="10619"/>
    <n v="12.5"/>
    <n v="31818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4"/>
    <x v="0"/>
    <x v="94"/>
    <m/>
    <n v="10637"/>
    <n v="138.6"/>
    <n v="35109"/>
    <n v="24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4"/>
    <x v="0"/>
    <x v="94"/>
    <m/>
    <n v="10638"/>
    <n v="270"/>
    <n v="35121"/>
    <n v="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13"/>
    <x v="0"/>
    <x v="94"/>
    <m/>
    <n v="20603"/>
    <n v="96"/>
    <n v="3512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39"/>
    <x v="0"/>
    <x v="94"/>
    <m/>
    <n v="20602"/>
    <n v="144"/>
    <n v="35109"/>
    <n v="24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37"/>
    <x v="0"/>
    <x v="94"/>
    <m/>
    <n v="20635"/>
    <n v="144"/>
    <n v="35128"/>
    <n v="12"/>
    <n v="35111"/>
    <n v="12"/>
    <n v="35114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09"/>
    <x v="0"/>
    <x v="94"/>
    <m/>
    <n v="20630"/>
    <n v="150"/>
    <n v="35113"/>
    <n v="12"/>
    <n v="35128"/>
    <n v="12"/>
    <n v="35121"/>
    <n v="12"/>
    <n v="49644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ADIME"/>
    <x v="41"/>
    <x v="0"/>
    <x v="94"/>
    <m/>
    <n v="20622"/>
    <n v="159"/>
    <n v="35109"/>
    <n v="12"/>
    <n v="35110"/>
    <n v="12"/>
    <n v="51611"/>
    <n v="1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REME"/>
    <x v="110"/>
    <x v="0"/>
    <x v="94"/>
    <m/>
    <n v="20610"/>
    <n v="524"/>
    <n v="35119"/>
    <n v="24"/>
    <n v="35125"/>
    <n v="24"/>
    <n v="35111"/>
    <n v="12"/>
    <n v="35110"/>
    <n v="12"/>
    <n v="35108"/>
    <n v="12"/>
    <n v="35115"/>
    <n v="12"/>
    <n v="35121"/>
    <n v="12"/>
    <n v="35114"/>
    <n v="12"/>
    <n v="56117"/>
    <n v="1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66"/>
    <x v="0"/>
    <x v="94"/>
    <m/>
    <n v="20629"/>
    <n v="432"/>
    <n v="35109"/>
    <n v="36"/>
    <n v="35115"/>
    <n v="36"/>
    <n v="35121"/>
    <n v="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34"/>
    <x v="0"/>
    <x v="94"/>
    <m/>
    <n v="20632"/>
    <n v="336"/>
    <n v="35125"/>
    <n v="24"/>
    <n v="35113"/>
    <n v="24"/>
    <n v="35114"/>
    <n v="12"/>
    <n v="35119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45"/>
    <x v="0"/>
    <x v="94"/>
    <m/>
    <n v="20614"/>
    <n v="336"/>
    <n v="35110"/>
    <n v="24"/>
    <n v="35111"/>
    <n v="24"/>
    <n v="35128"/>
    <n v="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ERLIC"/>
    <x v="44"/>
    <x v="0"/>
    <x v="94"/>
    <m/>
    <n v="20606"/>
    <n v="67"/>
    <n v="35111"/>
    <n v="12"/>
    <n v="44001"/>
    <n v="2"/>
    <n v="55718"/>
    <n v="2"/>
    <n v="16936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43"/>
    <x v="0"/>
    <x v="94"/>
    <m/>
    <n v="20627"/>
    <n v="144"/>
    <n v="35108"/>
    <n v="24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84"/>
    <x v="0"/>
    <x v="95"/>
    <m/>
    <n v="10104"/>
    <n v="96"/>
    <n v="35115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. KOSOVA"/>
    <x v="160"/>
    <x v="0"/>
    <x v="95"/>
    <m/>
    <n v="10126"/>
    <n v="86.2"/>
    <n v="509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50"/>
    <x v="0"/>
    <x v="95"/>
    <m/>
    <n v="10103"/>
    <n v="39"/>
    <n v="44001"/>
    <n v="6"/>
    <n v="26736"/>
    <n v="3"/>
    <n v="49644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BARDHOSH"/>
    <x v="49"/>
    <x v="0"/>
    <x v="95"/>
    <m/>
    <n v="10114"/>
    <n v="96"/>
    <n v="35110"/>
    <n v="12"/>
    <n v="3510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48"/>
    <x v="0"/>
    <x v="95"/>
    <m/>
    <n v="10111"/>
    <n v="140.80000000000001"/>
    <n v="35128"/>
    <n v="12"/>
    <n v="35125"/>
    <n v="12"/>
    <n v="50912"/>
    <n v="4"/>
    <n v="56117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188"/>
    <x v="0"/>
    <x v="95"/>
    <m/>
    <n v="40021"/>
    <n v="1008"/>
    <n v="72101"/>
    <n v="24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ruga B"/>
    <x v="184"/>
    <x v="0"/>
    <x v="95"/>
    <m/>
    <n v="40024"/>
    <n v="48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1"/>
    <x v="0"/>
    <x v="95"/>
    <m/>
    <n v="20109"/>
    <n v="96"/>
    <n v="35114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5"/>
    <x v="0"/>
    <x v="95"/>
    <m/>
    <n v="20127"/>
    <n v="165.6"/>
    <n v="35119"/>
    <n v="12"/>
    <n v="35125"/>
    <n v="12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6"/>
    <x v="0"/>
    <x v="95"/>
    <m/>
    <n v="20104"/>
    <n v="63"/>
    <n v="35115"/>
    <n v="12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3"/>
    <x v="0"/>
    <x v="95"/>
    <m/>
    <n v="20126"/>
    <n v="123.6"/>
    <n v="35109"/>
    <n v="12"/>
    <n v="35110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4"/>
    <x v="0"/>
    <x v="95"/>
    <m/>
    <n v="20121"/>
    <n v="144"/>
    <n v="35119"/>
    <n v="12"/>
    <n v="35114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EQAN"/>
    <x v="69"/>
    <x v="0"/>
    <x v="95"/>
    <m/>
    <n v="20201"/>
    <n v="106"/>
    <n v="35111"/>
    <n v="12"/>
    <n v="35113"/>
    <n v="12"/>
    <n v="39505"/>
    <n v="2"/>
    <n v="5441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EQAN"/>
    <x v="68"/>
    <x v="0"/>
    <x v="95"/>
    <m/>
    <n v="20203"/>
    <n v="192"/>
    <n v="35111"/>
    <n v="24"/>
    <n v="35128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116"/>
    <x v="0"/>
    <x v="95"/>
    <m/>
    <n v="20102"/>
    <n v="65.400000000000006"/>
    <n v="49644"/>
    <n v="8"/>
    <n v="54412"/>
    <n v="6"/>
    <n v="16936"/>
    <n v="7"/>
    <n v="44001"/>
    <n v="3"/>
    <n v="5091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90"/>
    <x v="0"/>
    <x v="95"/>
    <m/>
    <n v="20212"/>
    <n v="144"/>
    <n v="35112"/>
    <n v="12"/>
    <n v="35113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118"/>
    <x v="0"/>
    <x v="95"/>
    <m/>
    <n v="20208"/>
    <n v="180.6"/>
    <n v="35121"/>
    <n v="12"/>
    <n v="35125"/>
    <n v="12"/>
    <n v="51611"/>
    <n v="12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HIROK"/>
    <x v="60"/>
    <x v="0"/>
    <x v="96"/>
    <m/>
    <n v="10205"/>
    <n v="240"/>
    <n v="35121"/>
    <n v="24"/>
    <n v="35113"/>
    <n v="12"/>
    <n v="35115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59"/>
    <x v="0"/>
    <x v="96"/>
    <m/>
    <n v="10210"/>
    <n v="258.60000000000002"/>
    <n v="35108"/>
    <n v="24"/>
    <n v="35119"/>
    <n v="24"/>
    <n v="35112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63"/>
    <x v="0"/>
    <x v="96"/>
    <m/>
    <n v="10240"/>
    <n v="96"/>
    <n v="35114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63"/>
    <x v="0"/>
    <x v="96"/>
    <m/>
    <n v="10240"/>
    <n v="192"/>
    <n v="35108"/>
    <n v="12"/>
    <n v="35110"/>
    <n v="12"/>
    <n v="3512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HIROK"/>
    <x v="169"/>
    <x v="0"/>
    <x v="96"/>
    <m/>
    <n v="10204"/>
    <n v="192"/>
    <n v="35109"/>
    <n v="24"/>
    <n v="35113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ZYM"/>
    <x v="61"/>
    <x v="0"/>
    <x v="96"/>
    <m/>
    <n v="10245"/>
    <n v="96"/>
    <n v="35109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62"/>
    <x v="0"/>
    <x v="96"/>
    <m/>
    <n v="10241"/>
    <n v="27.6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88"/>
    <x v="0"/>
    <x v="96"/>
    <m/>
    <n v="40019"/>
    <n v="96"/>
    <n v="35109"/>
    <n v="12"/>
    <n v="351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6"/>
    <x v="0"/>
    <x v="97"/>
    <m/>
    <n v="10332"/>
    <n v="63"/>
    <n v="35112"/>
    <n v="12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ZHARAN"/>
    <x v="5"/>
    <x v="0"/>
    <x v="97"/>
    <m/>
    <n v="10330"/>
    <n v="48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95"/>
    <x v="0"/>
    <x v="97"/>
    <m/>
    <n v="10350"/>
    <n v="192"/>
    <n v="35121"/>
    <n v="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49"/>
    <x v="0"/>
    <x v="97"/>
    <m/>
    <n v="10317"/>
    <n v="110.4"/>
    <n v="54412"/>
    <n v="12"/>
    <n v="509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20"/>
    <x v="0"/>
    <x v="97"/>
    <m/>
    <n v="10313"/>
    <n v="96"/>
    <n v="35115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94"/>
    <x v="0"/>
    <x v="97"/>
    <m/>
    <n v="10306"/>
    <n v="48"/>
    <n v="3510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"/>
    <x v="0"/>
    <x v="97"/>
    <m/>
    <n v="10308"/>
    <n v="96"/>
    <n v="35108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9"/>
    <x v="0"/>
    <x v="97"/>
    <m/>
    <n v="20301"/>
    <n v="213.6"/>
    <n v="35108"/>
    <n v="12"/>
    <n v="35115"/>
    <n v="12"/>
    <n v="35121"/>
    <n v="12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11"/>
    <x v="0"/>
    <x v="97"/>
    <m/>
    <n v="20307"/>
    <n v="324.60000000000002"/>
    <n v="35108"/>
    <n v="12"/>
    <n v="35109"/>
    <n v="24"/>
    <n v="35111"/>
    <n v="12"/>
    <n v="35128"/>
    <n v="12"/>
    <n v="66701"/>
    <n v="12"/>
    <n v="26736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75"/>
    <x v="0"/>
    <x v="97"/>
    <m/>
    <n v="20331"/>
    <n v="111"/>
    <n v="35110"/>
    <n v="12"/>
    <n v="35121"/>
    <n v="12"/>
    <n v="31903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4"/>
    <x v="0"/>
    <x v="97"/>
    <m/>
    <n v="20304"/>
    <n v="123.6"/>
    <n v="35114"/>
    <n v="12"/>
    <n v="35119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6"/>
    <x v="0"/>
    <x v="97"/>
    <m/>
    <n v="20306"/>
    <n v="96"/>
    <n v="35110"/>
    <n v="12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96"/>
    <x v="0"/>
    <x v="97"/>
    <m/>
    <n v="20311"/>
    <n v="84.6"/>
    <n v="66701"/>
    <n v="12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17"/>
    <x v="0"/>
    <x v="97"/>
    <m/>
    <n v="20317"/>
    <n v="128.4"/>
    <n v="50912"/>
    <n v="12"/>
    <n v="55718"/>
    <n v="6"/>
    <n v="44001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18"/>
    <x v="0"/>
    <x v="98"/>
    <m/>
    <n v="10413"/>
    <n v="48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19"/>
    <x v="0"/>
    <x v="98"/>
    <m/>
    <n v="10430"/>
    <n v="96"/>
    <n v="35110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22"/>
    <x v="0"/>
    <x v="98"/>
    <m/>
    <n v="10406"/>
    <n v="34.799999999999997"/>
    <n v="66701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78"/>
    <x v="0"/>
    <x v="98"/>
    <m/>
    <n v="10410"/>
    <n v="96"/>
    <n v="35109"/>
    <n v="12"/>
    <n v="3511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21"/>
    <x v="0"/>
    <x v="98"/>
    <m/>
    <n v="10412"/>
    <n v="144"/>
    <n v="35111"/>
    <n v="12"/>
    <n v="35114"/>
    <n v="1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3"/>
    <x v="0"/>
    <x v="99"/>
    <m/>
    <n v="10508"/>
    <n v="48"/>
    <n v="3511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6"/>
    <x v="0"/>
    <x v="99"/>
    <m/>
    <n v="10507"/>
    <n v="144"/>
    <n v="35115"/>
    <n v="12"/>
    <n v="35121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5"/>
    <x v="0"/>
    <x v="99"/>
    <m/>
    <n v="10504"/>
    <n v="96"/>
    <n v="35112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LIPJAN"/>
    <x v="27"/>
    <x v="0"/>
    <x v="99"/>
    <m/>
    <n v="10529"/>
    <n v="100.2"/>
    <n v="56117"/>
    <n v="6"/>
    <n v="55718"/>
    <n v="6"/>
    <n v="31827"/>
    <n v="6"/>
    <n v="50912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99"/>
    <x v="0"/>
    <x v="99"/>
    <m/>
    <n v="10506"/>
    <n v="144"/>
    <n v="35108"/>
    <n v="12"/>
    <n v="35109"/>
    <n v="1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5"/>
    <x v="0"/>
    <x v="99"/>
    <m/>
    <n v="10504"/>
    <n v="96"/>
    <n v="35114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KLINE"/>
    <x v="28"/>
    <x v="0"/>
    <x v="99"/>
    <m/>
    <n v="20501"/>
    <n v="357.6"/>
    <n v="66701"/>
    <n v="12"/>
    <n v="35109"/>
    <n v="12"/>
    <n v="35111"/>
    <n v="12"/>
    <n v="35112"/>
    <n v="12"/>
    <n v="35119"/>
    <n v="12"/>
    <n v="35121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30"/>
    <x v="0"/>
    <x v="99"/>
    <m/>
    <n v="20511"/>
    <n v="240"/>
    <n v="35109"/>
    <n v="12"/>
    <n v="35111"/>
    <n v="12"/>
    <n v="35113"/>
    <n v="12"/>
    <n v="35115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KLINE"/>
    <x v="29"/>
    <x v="0"/>
    <x v="99"/>
    <m/>
    <n v="20502"/>
    <n v="48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103"/>
    <x v="0"/>
    <x v="99"/>
    <m/>
    <n v="20508"/>
    <n v="111"/>
    <n v="35109"/>
    <n v="12"/>
    <n v="35115"/>
    <n v="12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102"/>
    <x v="0"/>
    <x v="99"/>
    <m/>
    <n v="20515"/>
    <n v="96"/>
    <n v="35111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31"/>
    <x v="0"/>
    <x v="99"/>
    <m/>
    <n v="20513"/>
    <n v="96.9"/>
    <n v="50912"/>
    <n v="12"/>
    <n v="44001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KENDERAJ"/>
    <x v="33"/>
    <x v="0"/>
    <x v="99"/>
    <m/>
    <n v="20406"/>
    <n v="157.4"/>
    <n v="49644"/>
    <n v="12"/>
    <n v="50912"/>
    <n v="17"/>
    <n v="56117"/>
    <n v="4"/>
    <n v="31819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RENAS"/>
    <x v="182"/>
    <x v="0"/>
    <x v="99"/>
    <m/>
    <n v="20427"/>
    <n v="50"/>
    <n v="49644"/>
    <n v="6"/>
    <n v="55718"/>
    <n v="4"/>
    <n v="44001"/>
    <n v="3"/>
    <n v="39505"/>
    <n v="2"/>
    <n v="51736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29"/>
    <x v="0"/>
    <x v="100"/>
    <m/>
    <n v="10622"/>
    <n v="62"/>
    <n v="54412"/>
    <n v="12"/>
    <n v="49644"/>
    <n v="12"/>
    <n v="44001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4"/>
    <x v="0"/>
    <x v="100"/>
    <m/>
    <n v="10635"/>
    <n v="96"/>
    <n v="35112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6"/>
    <x v="0"/>
    <x v="100"/>
    <m/>
    <n v="10625"/>
    <n v="144"/>
    <n v="35113"/>
    <n v="12"/>
    <n v="35125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4"/>
    <x v="0"/>
    <x v="100"/>
    <m/>
    <n v="10636"/>
    <n v="96"/>
    <n v="35110"/>
    <n v="12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7"/>
    <x v="0"/>
    <x v="100"/>
    <m/>
    <n v="10619"/>
    <n v="27.6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JUNIK"/>
    <x v="89"/>
    <x v="0"/>
    <x v="100"/>
    <m/>
    <n v="20206"/>
    <n v="123.6"/>
    <n v="35109"/>
    <n v="12"/>
    <n v="35121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ERLIC"/>
    <x v="44"/>
    <x v="0"/>
    <x v="100"/>
    <m/>
    <n v="20606"/>
    <n v="108"/>
    <n v="35121"/>
    <n v="12"/>
    <n v="35128"/>
    <n v="12"/>
    <n v="31880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37"/>
    <x v="0"/>
    <x v="100"/>
    <m/>
    <n v="20636"/>
    <n v="240"/>
    <n v="35115"/>
    <n v="12"/>
    <n v="35111"/>
    <n v="12"/>
    <n v="35121"/>
    <n v="12"/>
    <n v="35128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37"/>
    <x v="0"/>
    <x v="100"/>
    <m/>
    <n v="20634"/>
    <n v="192"/>
    <n v="35115"/>
    <n v="24"/>
    <n v="35121"/>
    <n v="12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KAQANIK"/>
    <x v="127"/>
    <x v="0"/>
    <x v="100"/>
    <m/>
    <n v="20611"/>
    <n v="187.2"/>
    <n v="35109"/>
    <n v="12"/>
    <n v="35111"/>
    <n v="12"/>
    <n v="35119"/>
    <n v="12"/>
    <n v="50912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42"/>
    <x v="0"/>
    <x v="100"/>
    <m/>
    <n v="20631"/>
    <n v="96"/>
    <n v="35109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13"/>
    <x v="0"/>
    <x v="100"/>
    <m/>
    <n v="20603"/>
    <n v="159"/>
    <n v="35110"/>
    <n v="12"/>
    <n v="35112"/>
    <n v="12"/>
    <n v="35113"/>
    <n v="12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ADIME"/>
    <x v="128"/>
    <x v="0"/>
    <x v="100"/>
    <m/>
    <n v="20615"/>
    <n v="171.6"/>
    <n v="35113"/>
    <n v="12"/>
    <n v="35110"/>
    <n v="12"/>
    <n v="35111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40"/>
    <x v="0"/>
    <x v="100"/>
    <m/>
    <n v="20623"/>
    <n v="96"/>
    <n v="35110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ADIME"/>
    <x v="41"/>
    <x v="0"/>
    <x v="100"/>
    <m/>
    <n v="20622"/>
    <n v="111"/>
    <n v="35109"/>
    <n v="12"/>
    <n v="35110"/>
    <n v="12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43"/>
    <x v="0"/>
    <x v="100"/>
    <m/>
    <n v="20627"/>
    <n v="444"/>
    <n v="66701"/>
    <n v="60"/>
    <n v="35109"/>
    <n v="1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11"/>
    <x v="0"/>
    <x v="100"/>
    <m/>
    <n v="20604"/>
    <n v="159"/>
    <n v="35109"/>
    <n v="12"/>
    <n v="35110"/>
    <n v="12"/>
    <n v="35111"/>
    <n v="12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LIPJAN"/>
    <x v="176"/>
    <x v="0"/>
    <x v="100"/>
    <m/>
    <n v="20601"/>
    <n v="27"/>
    <n v="49644"/>
    <n v="12"/>
    <n v="39505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139"/>
    <x v="0"/>
    <x v="101"/>
    <m/>
    <n v="10147"/>
    <n v="80"/>
    <n v="50912"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48"/>
    <x v="0"/>
    <x v="101"/>
    <m/>
    <n v="10111"/>
    <n v="141"/>
    <n v="54412"/>
    <n v="12"/>
    <n v="49644"/>
    <n v="3"/>
    <n v="35113"/>
    <n v="12"/>
    <n v="35115"/>
    <n v="12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BARDHOSH"/>
    <x v="49"/>
    <x v="0"/>
    <x v="101"/>
    <m/>
    <n v="10114"/>
    <n v="96"/>
    <n v="35121"/>
    <n v="12"/>
    <n v="351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83"/>
    <x v="0"/>
    <x v="101"/>
    <m/>
    <n v="10134"/>
    <n v="69.599999999999994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84"/>
    <x v="0"/>
    <x v="101"/>
    <m/>
    <n v="10104"/>
    <n v="48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ruga B"/>
    <x v="184"/>
    <x v="0"/>
    <x v="101"/>
    <m/>
    <n v="40024"/>
    <n v="48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1"/>
    <x v="0"/>
    <x v="101"/>
    <m/>
    <n v="20109"/>
    <n v="141"/>
    <n v="35110"/>
    <n v="12"/>
    <n v="35121"/>
    <n v="12"/>
    <n v="51611"/>
    <n v="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85"/>
    <x v="0"/>
    <x v="101"/>
    <m/>
    <n v="20130"/>
    <n v="96"/>
    <n v="35119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4"/>
    <x v="0"/>
    <x v="101"/>
    <m/>
    <n v="20121"/>
    <n v="192"/>
    <n v="35109"/>
    <n v="12"/>
    <n v="35113"/>
    <n v="12"/>
    <n v="35115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3"/>
    <x v="0"/>
    <x v="101"/>
    <m/>
    <n v="20126"/>
    <n v="250"/>
    <n v="35109"/>
    <n v="12"/>
    <n v="35119"/>
    <n v="12"/>
    <n v="35113"/>
    <n v="12"/>
    <n v="35115"/>
    <n v="12"/>
    <n v="35111"/>
    <n v="12"/>
    <n v="49644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116"/>
    <x v="0"/>
    <x v="101"/>
    <m/>
    <n v="20102"/>
    <n v="61.5"/>
    <n v="55718"/>
    <n v="6"/>
    <n v="49644"/>
    <n v="7"/>
    <n v="54412"/>
    <n v="9"/>
    <n v="44001"/>
    <n v="1"/>
    <n v="50912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114"/>
    <x v="0"/>
    <x v="101"/>
    <m/>
    <n v="20122"/>
    <n v="139.19999999999999"/>
    <n v="6670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6"/>
    <x v="0"/>
    <x v="101"/>
    <m/>
    <n v="20104"/>
    <n v="192"/>
    <n v="35109"/>
    <n v="36"/>
    <n v="3511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136"/>
    <x v="0"/>
    <x v="101"/>
    <m/>
    <n v="20129"/>
    <n v="96"/>
    <n v="35115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58"/>
    <x v="0"/>
    <x v="102"/>
    <m/>
    <n v="10258"/>
    <n v="480"/>
    <n v="35109"/>
    <n v="1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63"/>
    <x v="0"/>
    <x v="102"/>
    <m/>
    <n v="10240"/>
    <n v="530.4"/>
    <n v="35113"/>
    <n v="24"/>
    <n v="35108"/>
    <n v="24"/>
    <n v="35119"/>
    <n v="24"/>
    <n v="35110"/>
    <n v="12"/>
    <n v="35109"/>
    <n v="12"/>
    <n v="35121"/>
    <n v="12"/>
    <n v="35128"/>
    <n v="12"/>
    <n v="721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HIROK"/>
    <x v="60"/>
    <x v="0"/>
    <x v="102"/>
    <m/>
    <n v="10205"/>
    <n v="144"/>
    <n v="35109"/>
    <n v="12"/>
    <n v="35121"/>
    <n v="12"/>
    <n v="351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ZYM"/>
    <x v="61"/>
    <x v="0"/>
    <x v="102"/>
    <m/>
    <n v="10245"/>
    <n v="192"/>
    <n v="35109"/>
    <n v="12"/>
    <n v="35121"/>
    <n v="12"/>
    <n v="35108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88"/>
    <x v="0"/>
    <x v="102"/>
    <m/>
    <n v="40019"/>
    <n v="144"/>
    <n v="35109"/>
    <n v="12"/>
    <n v="35119"/>
    <n v="12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148"/>
    <x v="0"/>
    <x v="102"/>
    <m/>
    <n v="20210"/>
    <n v="96"/>
    <n v="35113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66"/>
    <x v="0"/>
    <x v="102"/>
    <m/>
    <n v="20209"/>
    <n v="40.5"/>
    <n v="39505"/>
    <n v="3"/>
    <n v="44001"/>
    <n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JUNIK"/>
    <x v="155"/>
    <x v="0"/>
    <x v="102"/>
    <m/>
    <n v="20205"/>
    <n v="161.19999999999999"/>
    <n v="35128"/>
    <n v="12"/>
    <n v="66701"/>
    <n v="12"/>
    <n v="51612"/>
    <n v="12"/>
    <n v="5091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90"/>
    <x v="0"/>
    <x v="102"/>
    <m/>
    <n v="20212"/>
    <n v="96"/>
    <n v="35110"/>
    <n v="12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67"/>
    <x v="0"/>
    <x v="102"/>
    <m/>
    <n v="20211"/>
    <n v="111"/>
    <n v="35111"/>
    <n v="12"/>
    <n v="35113"/>
    <n v="12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148"/>
    <x v="0"/>
    <x v="102"/>
    <m/>
    <n v="20210"/>
    <n v="174"/>
    <n v="35112"/>
    <n v="12"/>
    <n v="35128"/>
    <n v="12"/>
    <n v="35125"/>
    <n v="12"/>
    <n v="5161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JUNIK"/>
    <x v="89"/>
    <x v="0"/>
    <x v="102"/>
    <m/>
    <n v="20206"/>
    <n v="111"/>
    <n v="35109"/>
    <n v="12"/>
    <n v="35113"/>
    <n v="12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EQAN"/>
    <x v="68"/>
    <x v="0"/>
    <x v="102"/>
    <m/>
    <n v="20203"/>
    <n v="117.6"/>
    <n v="35113"/>
    <n v="12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EQAN"/>
    <x v="69"/>
    <x v="0"/>
    <x v="102"/>
    <m/>
    <n v="20201"/>
    <n v="160.6"/>
    <n v="35110"/>
    <n v="12"/>
    <n v="35119"/>
    <n v="12"/>
    <n v="51611"/>
    <n v="12"/>
    <n v="56117"/>
    <n v="4"/>
    <n v="54412"/>
    <n v="3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6"/>
    <x v="0"/>
    <x v="103"/>
    <m/>
    <n v="10332"/>
    <n v="96"/>
    <n v="35114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89"/>
    <x v="0"/>
    <x v="103"/>
    <m/>
    <n v="10315"/>
    <n v="86.4"/>
    <n v="509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95"/>
    <x v="0"/>
    <x v="103"/>
    <m/>
    <n v="10350"/>
    <n v="288"/>
    <n v="35121"/>
    <n v="48"/>
    <n v="35113"/>
    <n v="12"/>
    <n v="3511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ZHARAN"/>
    <x v="5"/>
    <x v="0"/>
    <x v="103"/>
    <m/>
    <n v="10330"/>
    <n v="144"/>
    <n v="35112"/>
    <n v="12"/>
    <n v="35113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86"/>
    <x v="0"/>
    <x v="103"/>
    <m/>
    <n v="10346"/>
    <n v="46.2"/>
    <n v="3510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4"/>
    <x v="0"/>
    <x v="103"/>
    <m/>
    <n v="10325"/>
    <n v="63"/>
    <n v="35125"/>
    <n v="12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71"/>
    <x v="0"/>
    <x v="103"/>
    <m/>
    <n v="10360"/>
    <n v="111"/>
    <n v="35115"/>
    <n v="12"/>
    <n v="35119"/>
    <n v="12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174"/>
    <x v="0"/>
    <x v="103"/>
    <m/>
    <n v="10367"/>
    <n v="48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3"/>
    <x v="0"/>
    <x v="103"/>
    <m/>
    <n v="10340"/>
    <n v="144"/>
    <n v="35121"/>
    <n v="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8"/>
    <x v="0"/>
    <x v="103"/>
    <m/>
    <n v="10323"/>
    <n v="86.4"/>
    <n v="509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56"/>
    <x v="0"/>
    <x v="103"/>
    <m/>
    <n v="10353"/>
    <n v="96"/>
    <n v="35109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9"/>
    <x v="0"/>
    <x v="103"/>
    <m/>
    <n v="20301"/>
    <n v="96"/>
    <n v="35128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11"/>
    <x v="0"/>
    <x v="103"/>
    <m/>
    <n v="20307"/>
    <n v="325.8"/>
    <n v="35110"/>
    <n v="12"/>
    <n v="35111"/>
    <n v="12"/>
    <n v="35115"/>
    <n v="12"/>
    <n v="35119"/>
    <n v="12"/>
    <n v="51612"/>
    <n v="36"/>
    <n v="51936"/>
    <n v="6"/>
    <n v="31818"/>
    <n v="6"/>
    <n v="44001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3"/>
    <x v="0"/>
    <x v="103"/>
    <m/>
    <n v="20321"/>
    <n v="213.6"/>
    <n v="51612"/>
    <n v="7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75"/>
    <x v="0"/>
    <x v="103"/>
    <m/>
    <n v="20331"/>
    <n v="96"/>
    <n v="35111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5"/>
    <x v="0"/>
    <x v="103"/>
    <m/>
    <n v="20303"/>
    <n v="111"/>
    <n v="35113"/>
    <n v="12"/>
    <n v="35115"/>
    <n v="12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12"/>
    <x v="0"/>
    <x v="103"/>
    <m/>
    <n v="20313"/>
    <n v="171.6"/>
    <n v="35110"/>
    <n v="12"/>
    <n v="35111"/>
    <n v="12"/>
    <n v="35128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51"/>
    <x v="0"/>
    <x v="103"/>
    <m/>
    <n v="20328"/>
    <n v="192"/>
    <n v="35111"/>
    <n v="12"/>
    <n v="35115"/>
    <n v="12"/>
    <n v="35125"/>
    <n v="12"/>
    <n v="351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17"/>
    <x v="0"/>
    <x v="103"/>
    <m/>
    <n v="20317"/>
    <n v="33"/>
    <n v="44001"/>
    <n v="6"/>
    <n v="49644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76"/>
    <x v="0"/>
    <x v="103"/>
    <m/>
    <n v="20314"/>
    <n v="48"/>
    <n v="3510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USHTRRI"/>
    <x v="98"/>
    <x v="0"/>
    <x v="104"/>
    <m/>
    <n v="10429"/>
    <n v="48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78"/>
    <x v="0"/>
    <x v="104"/>
    <m/>
    <n v="10410"/>
    <n v="27.6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USHTRRI"/>
    <x v="152"/>
    <x v="0"/>
    <x v="104"/>
    <m/>
    <n v="10401"/>
    <n v="192"/>
    <n v="35109"/>
    <n v="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18"/>
    <x v="0"/>
    <x v="104"/>
    <m/>
    <n v="10413"/>
    <n v="128.5"/>
    <n v="35128"/>
    <n v="24"/>
    <n v="51611"/>
    <n v="12"/>
    <n v="44001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21"/>
    <x v="0"/>
    <x v="104"/>
    <m/>
    <n v="10412"/>
    <n v="96"/>
    <n v="35113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LIPJAN"/>
    <x v="27"/>
    <x v="0"/>
    <x v="105"/>
    <m/>
    <n v="10529"/>
    <n v="24.5"/>
    <n v="55718"/>
    <n v="4"/>
    <n v="44001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3"/>
    <x v="0"/>
    <x v="105"/>
    <m/>
    <n v="10508"/>
    <n v="96"/>
    <n v="35109"/>
    <n v="12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6"/>
    <x v="0"/>
    <x v="105"/>
    <m/>
    <n v="10507"/>
    <n v="144"/>
    <n v="35121"/>
    <n v="12"/>
    <n v="35125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80"/>
    <x v="0"/>
    <x v="105"/>
    <m/>
    <n v="10542"/>
    <n v="96"/>
    <n v="35111"/>
    <n v="12"/>
    <n v="351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79"/>
    <x v="0"/>
    <x v="105"/>
    <m/>
    <n v="10539"/>
    <n v="48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4"/>
    <x v="0"/>
    <x v="105"/>
    <m/>
    <n v="10509"/>
    <n v="48"/>
    <n v="50912"/>
    <n v="5"/>
    <n v="49644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5"/>
    <x v="0"/>
    <x v="105"/>
    <m/>
    <n v="10504"/>
    <n v="144"/>
    <n v="35113"/>
    <n v="12"/>
    <n v="35121"/>
    <n v="12"/>
    <n v="3510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HOME KIM TEC"/>
    <x v="70"/>
    <x v="0"/>
    <x v="105"/>
    <m/>
    <n v="40003"/>
    <n v="319.5"/>
    <n v="20001"/>
    <n v="190"/>
    <n v="30275"/>
    <n v="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KLINE"/>
    <x v="28"/>
    <x v="0"/>
    <x v="105"/>
    <m/>
    <n v="20501"/>
    <n v="218"/>
    <n v="35108"/>
    <n v="12"/>
    <n v="35110"/>
    <n v="12"/>
    <n v="35113"/>
    <n v="12"/>
    <n v="35128"/>
    <n v="12"/>
    <n v="44001"/>
    <n v="4"/>
    <n v="39505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30"/>
    <x v="0"/>
    <x v="105"/>
    <m/>
    <n v="20511"/>
    <n v="384"/>
    <n v="35109"/>
    <n v="24"/>
    <n v="35121"/>
    <n v="24"/>
    <n v="35115"/>
    <n v="24"/>
    <n v="35110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KLINE"/>
    <x v="29"/>
    <x v="0"/>
    <x v="105"/>
    <m/>
    <n v="20502"/>
    <n v="48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103"/>
    <x v="0"/>
    <x v="105"/>
    <m/>
    <n v="20508"/>
    <n v="468.6"/>
    <n v="35109"/>
    <n v="48"/>
    <n v="35121"/>
    <n v="24"/>
    <n v="35110"/>
    <n v="12"/>
    <n v="35128"/>
    <n v="12"/>
    <n v="66701"/>
    <n v="12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31"/>
    <x v="0"/>
    <x v="105"/>
    <m/>
    <n v="20513"/>
    <n v="113.9"/>
    <n v="50912"/>
    <n v="12"/>
    <n v="51736"/>
    <n v="10"/>
    <n v="51936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102"/>
    <x v="0"/>
    <x v="105"/>
    <m/>
    <n v="20515"/>
    <n v="213.6"/>
    <n v="35109"/>
    <n v="12"/>
    <n v="35110"/>
    <n v="12"/>
    <n v="35121"/>
    <n v="12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KENDERAJ"/>
    <x v="104"/>
    <x v="0"/>
    <x v="105"/>
    <m/>
    <n v="20407"/>
    <n v="192"/>
    <n v="35110"/>
    <n v="12"/>
    <n v="35111"/>
    <n v="12"/>
    <n v="35115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KENDERAJ"/>
    <x v="33"/>
    <x v="0"/>
    <x v="105"/>
    <m/>
    <n v="20406"/>
    <n v="51.4"/>
    <n v="54412"/>
    <n v="6"/>
    <n v="55718"/>
    <n v="4"/>
    <n v="44001"/>
    <n v="2"/>
    <n v="50912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KENDERAJ"/>
    <x v="32"/>
    <x v="0"/>
    <x v="105"/>
    <m/>
    <n v="20409"/>
    <n v="60.1"/>
    <n v="31827"/>
    <n v="4"/>
    <n v="31812"/>
    <n v="4"/>
    <n v="44001"/>
    <n v="4"/>
    <n v="16936"/>
    <n v="3"/>
    <n v="51736"/>
    <n v="2"/>
    <n v="29802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RENAS"/>
    <x v="105"/>
    <x v="0"/>
    <x v="105"/>
    <m/>
    <n v="20403"/>
    <n v="110.5"/>
    <n v="35109"/>
    <n v="12"/>
    <n v="35110"/>
    <n v="12"/>
    <n v="49644"/>
    <n v="6"/>
    <n v="51936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4"/>
    <x v="0"/>
    <x v="106"/>
    <m/>
    <n v="10636"/>
    <n v="48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146"/>
    <x v="0"/>
    <x v="106"/>
    <m/>
    <n v="10613"/>
    <n v="60"/>
    <n v="50912"/>
    <n v="5"/>
    <n v="49644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4"/>
    <x v="0"/>
    <x v="106"/>
    <m/>
    <n v="10637"/>
    <n v="86.4"/>
    <n v="509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6"/>
    <x v="0"/>
    <x v="106"/>
    <m/>
    <n v="10625"/>
    <n v="144"/>
    <n v="35128"/>
    <n v="12"/>
    <n v="35125"/>
    <n v="1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81"/>
    <x v="0"/>
    <x v="106"/>
    <m/>
    <n v="10616"/>
    <n v="48"/>
    <n v="3511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4"/>
    <x v="0"/>
    <x v="106"/>
    <m/>
    <n v="10635"/>
    <n v="96"/>
    <n v="35109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12"/>
    <x v="0"/>
    <x v="106"/>
    <m/>
    <n v="20609"/>
    <n v="144"/>
    <n v="35109"/>
    <n v="24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39"/>
    <x v="0"/>
    <x v="106"/>
    <m/>
    <n v="20602"/>
    <n v="147.5"/>
    <n v="35112"/>
    <n v="12"/>
    <n v="35108"/>
    <n v="12"/>
    <n v="35109"/>
    <n v="12"/>
    <n v="44001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42"/>
    <x v="0"/>
    <x v="106"/>
    <m/>
    <n v="20631"/>
    <n v="96"/>
    <n v="35109"/>
    <n v="1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43"/>
    <x v="0"/>
    <x v="106"/>
    <m/>
    <n v="20627"/>
    <n v="192"/>
    <n v="35108"/>
    <n v="12"/>
    <n v="35109"/>
    <n v="12"/>
    <n v="35113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4"/>
    <x v="0"/>
    <x v="106"/>
    <m/>
    <n v="20608"/>
    <n v="144"/>
    <n v="35110"/>
    <n v="12"/>
    <n v="35115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66"/>
    <x v="0"/>
    <x v="106"/>
    <m/>
    <n v="20629"/>
    <n v="432"/>
    <n v="35128"/>
    <n v="36"/>
    <n v="35113"/>
    <n v="36"/>
    <n v="35121"/>
    <n v="24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34"/>
    <x v="0"/>
    <x v="106"/>
    <m/>
    <n v="20632"/>
    <n v="368"/>
    <n v="35125"/>
    <n v="24"/>
    <n v="35128"/>
    <n v="24"/>
    <n v="35112"/>
    <n v="24"/>
    <n v="35114"/>
    <n v="12"/>
    <n v="3510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OGANAJ"/>
    <x v="45"/>
    <x v="0"/>
    <x v="106"/>
    <m/>
    <n v="20607"/>
    <n v="96"/>
    <n v="35121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ADIME"/>
    <x v="41"/>
    <x v="0"/>
    <x v="106"/>
    <m/>
    <n v="20622"/>
    <n v="144"/>
    <n v="35109"/>
    <n v="12"/>
    <n v="35121"/>
    <n v="12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90"/>
    <x v="0"/>
    <x v="106"/>
    <m/>
    <n v="20605"/>
    <n v="96"/>
    <n v="35109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13"/>
    <x v="0"/>
    <x v="106"/>
    <m/>
    <n v="20603"/>
    <n v="109.6"/>
    <n v="35111"/>
    <n v="12"/>
    <n v="35115"/>
    <n v="12"/>
    <n v="29802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143"/>
    <x v="0"/>
    <x v="107"/>
    <m/>
    <n v="10141"/>
    <n v="40"/>
    <n v="20001"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BARDHOSH"/>
    <x v="49"/>
    <x v="0"/>
    <x v="107"/>
    <m/>
    <n v="10114"/>
    <n v="96"/>
    <n v="35110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82"/>
    <x v="0"/>
    <x v="107"/>
    <m/>
    <n v="10133"/>
    <n v="114"/>
    <n v="30276"/>
    <n v="10"/>
    <n v="35109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48"/>
    <x v="0"/>
    <x v="107"/>
    <m/>
    <n v="10111"/>
    <n v="144"/>
    <n v="35114"/>
    <n v="12"/>
    <n v="35111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139"/>
    <x v="0"/>
    <x v="107"/>
    <m/>
    <n v="10145"/>
    <n v="96"/>
    <n v="35109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1"/>
    <x v="0"/>
    <x v="107"/>
    <m/>
    <n v="20109"/>
    <n v="144"/>
    <n v="35111"/>
    <n v="24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3"/>
    <x v="0"/>
    <x v="107"/>
    <m/>
    <n v="20126"/>
    <n v="162"/>
    <n v="35113"/>
    <n v="12"/>
    <n v="35119"/>
    <n v="12"/>
    <n v="35121"/>
    <n v="12"/>
    <n v="49644"/>
    <n v="6"/>
    <n v="39505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116"/>
    <x v="0"/>
    <x v="107"/>
    <m/>
    <n v="20102"/>
    <n v="72.7"/>
    <n v="50912"/>
    <n v="6"/>
    <n v="54412"/>
    <n v="6"/>
    <n v="55718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4"/>
    <x v="0"/>
    <x v="107"/>
    <m/>
    <n v="20121"/>
    <n v="192"/>
    <n v="35108"/>
    <n v="12"/>
    <n v="35113"/>
    <n v="12"/>
    <n v="35119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2"/>
    <x v="0"/>
    <x v="107"/>
    <m/>
    <n v="20111"/>
    <n v="68"/>
    <n v="31880"/>
    <n v="6"/>
    <n v="51617"/>
    <n v="6"/>
    <n v="16936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5"/>
    <x v="0"/>
    <x v="107"/>
    <m/>
    <n v="20127"/>
    <n v="144"/>
    <n v="35108"/>
    <n v="24"/>
    <n v="3510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136"/>
    <x v="0"/>
    <x v="107"/>
    <m/>
    <n v="20129"/>
    <n v="144"/>
    <n v="35113"/>
    <n v="12"/>
    <n v="35114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HOME KIM TEC"/>
    <x v="70"/>
    <x v="0"/>
    <x v="108"/>
    <m/>
    <n v="40003"/>
    <n v="191"/>
    <n v="20001"/>
    <n v="100"/>
    <n v="30275"/>
    <n v="40"/>
    <n v="1100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130"/>
    <x v="0"/>
    <x v="108"/>
    <m/>
    <n v="10255"/>
    <n v="348"/>
    <n v="66701"/>
    <n v="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THARAND"/>
    <x v="64"/>
    <x v="0"/>
    <x v="108"/>
    <m/>
    <n v="10201"/>
    <n v="338.8"/>
    <n v="35108"/>
    <n v="12"/>
    <n v="35109"/>
    <n v="12"/>
    <n v="35110"/>
    <n v="12"/>
    <n v="35111"/>
    <n v="12"/>
    <n v="35113"/>
    <n v="12"/>
    <n v="35115"/>
    <n v="12"/>
    <n v="35128"/>
    <n v="12"/>
    <n v="35125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THARAND"/>
    <x v="64"/>
    <x v="0"/>
    <x v="108"/>
    <m/>
    <n v="10201"/>
    <n v="1001"/>
    <n v="35110"/>
    <n v="36"/>
    <n v="35111"/>
    <n v="36"/>
    <n v="35108"/>
    <n v="36"/>
    <n v="35113"/>
    <n v="36"/>
    <n v="35128"/>
    <n v="48"/>
    <n v="35115"/>
    <n v="12"/>
    <n v="35112"/>
    <n v="12"/>
    <n v="35125"/>
    <n v="8"/>
    <n v="35109"/>
    <n v="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63"/>
    <x v="0"/>
    <x v="108"/>
    <m/>
    <n v="10240"/>
    <n v="336"/>
    <n v="35109"/>
    <n v="12"/>
    <n v="35110"/>
    <n v="12"/>
    <n v="35111"/>
    <n v="12"/>
    <n v="35121"/>
    <n v="12"/>
    <n v="35125"/>
    <n v="12"/>
    <n v="35128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130"/>
    <x v="0"/>
    <x v="108"/>
    <m/>
    <n v="10256"/>
    <n v="48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HIROK"/>
    <x v="60"/>
    <x v="0"/>
    <x v="108"/>
    <m/>
    <n v="10205"/>
    <n v="96"/>
    <n v="35108"/>
    <n v="12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179"/>
    <x v="0"/>
    <x v="108"/>
    <m/>
    <n v="10257"/>
    <n v="138.6"/>
    <n v="35109"/>
    <n v="24"/>
    <n v="51611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88"/>
    <x v="0"/>
    <x v="108"/>
    <m/>
    <n v="40019"/>
    <n v="144"/>
    <n v="35108"/>
    <n v="24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5"/>
    <x v="0"/>
    <x v="108"/>
    <m/>
    <n v="20127"/>
    <n v="66"/>
    <n v="44001"/>
    <n v="12"/>
    <n v="49644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66"/>
    <x v="0"/>
    <x v="108"/>
    <m/>
    <n v="20209"/>
    <n v="145.19999999999999"/>
    <n v="66701"/>
    <n v="12"/>
    <n v="35125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JUNIK"/>
    <x v="155"/>
    <x v="0"/>
    <x v="108"/>
    <m/>
    <n v="20205"/>
    <n v="120"/>
    <n v="35108"/>
    <n v="12"/>
    <n v="35121"/>
    <n v="12"/>
    <n v="56117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191"/>
    <x v="0"/>
    <x v="108"/>
    <m/>
    <n v="20222"/>
    <n v="96"/>
    <n v="35114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90"/>
    <x v="0"/>
    <x v="108"/>
    <m/>
    <n v="20212"/>
    <n v="96"/>
    <n v="35113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JUNIK"/>
    <x v="89"/>
    <x v="0"/>
    <x v="108"/>
    <m/>
    <n v="20206"/>
    <n v="55.2"/>
    <n v="51612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EQAN"/>
    <x v="69"/>
    <x v="0"/>
    <x v="108"/>
    <m/>
    <n v="20201"/>
    <n v="159"/>
    <n v="35111"/>
    <n v="24"/>
    <n v="35114"/>
    <n v="12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5"/>
    <x v="0"/>
    <x v="108"/>
    <m/>
    <n v="20127"/>
    <n v="100.4"/>
    <n v="35121"/>
    <n v="24"/>
    <n v="5091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EQAN"/>
    <x v="68"/>
    <x v="0"/>
    <x v="108"/>
    <m/>
    <n v="20203"/>
    <n v="193.4"/>
    <n v="66701"/>
    <n v="12"/>
    <n v="35111"/>
    <n v="12"/>
    <n v="35115"/>
    <n v="12"/>
    <n v="44001"/>
    <n v="7"/>
    <n v="29802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7"/>
    <x v="0"/>
    <x v="109"/>
    <m/>
    <n v="10301"/>
    <n v="96"/>
    <n v="35113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72"/>
    <x v="0"/>
    <x v="109"/>
    <m/>
    <n v="10366"/>
    <n v="192"/>
    <n v="35109"/>
    <n v="12"/>
    <n v="35110"/>
    <n v="12"/>
    <n v="35121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6"/>
    <x v="0"/>
    <x v="109"/>
    <m/>
    <n v="10332"/>
    <n v="144"/>
    <n v="35125"/>
    <n v="12"/>
    <n v="35128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ZHARAN"/>
    <x v="5"/>
    <x v="0"/>
    <x v="109"/>
    <m/>
    <n v="10330"/>
    <n v="48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73"/>
    <x v="0"/>
    <x v="109"/>
    <m/>
    <n v="10352"/>
    <n v="96"/>
    <n v="35113"/>
    <n v="12"/>
    <n v="35114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ITI"/>
    <x v="95"/>
    <x v="0"/>
    <x v="109"/>
    <m/>
    <n v="10350"/>
    <n v="192"/>
    <n v="35128"/>
    <n v="12"/>
    <n v="35121"/>
    <n v="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49"/>
    <x v="0"/>
    <x v="109"/>
    <m/>
    <n v="10317"/>
    <n v="60"/>
    <n v="50912"/>
    <n v="5"/>
    <n v="544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"/>
    <x v="0"/>
    <x v="109"/>
    <m/>
    <n v="10308"/>
    <n v="144"/>
    <n v="35112"/>
    <n v="12"/>
    <n v="35113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ILAN"/>
    <x v="120"/>
    <x v="0"/>
    <x v="109"/>
    <m/>
    <n v="10313"/>
    <n v="144"/>
    <n v="35112"/>
    <n v="12"/>
    <n v="35111"/>
    <n v="1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11"/>
    <x v="0"/>
    <x v="109"/>
    <m/>
    <n v="20307"/>
    <n v="411"/>
    <n v="35110"/>
    <n v="12"/>
    <n v="35113"/>
    <n v="12"/>
    <n v="35125"/>
    <n v="12"/>
    <n v="66701"/>
    <n v="24"/>
    <n v="51611"/>
    <n v="36"/>
    <n v="51612"/>
    <n v="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9"/>
    <x v="0"/>
    <x v="109"/>
    <m/>
    <n v="20301"/>
    <n v="69.599999999999994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3"/>
    <x v="0"/>
    <x v="109"/>
    <m/>
    <n v="20321"/>
    <n v="372"/>
    <n v="35121"/>
    <n v="24"/>
    <n v="51612"/>
    <n v="1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16"/>
    <x v="0"/>
    <x v="109"/>
    <m/>
    <n v="20306"/>
    <n v="96"/>
    <n v="35109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12"/>
    <x v="0"/>
    <x v="109"/>
    <m/>
    <n v="20313"/>
    <n v="75.599999999999994"/>
    <n v="35119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96"/>
    <x v="0"/>
    <x v="109"/>
    <m/>
    <n v="20311"/>
    <n v="144"/>
    <n v="35110"/>
    <n v="12"/>
    <n v="35113"/>
    <n v="12"/>
    <n v="3511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USHTRRI"/>
    <x v="98"/>
    <x v="0"/>
    <x v="110"/>
    <m/>
    <n v="10429"/>
    <n v="4"/>
    <n v="35112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USHTRRI"/>
    <x v="98"/>
    <x v="0"/>
    <x v="110"/>
    <m/>
    <n v="10429"/>
    <n v="48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18"/>
    <x v="0"/>
    <x v="110"/>
    <m/>
    <n v="10413"/>
    <n v="141.1"/>
    <n v="35110"/>
    <n v="12"/>
    <n v="35111"/>
    <n v="12"/>
    <n v="55718"/>
    <n v="5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22"/>
    <x v="0"/>
    <x v="110"/>
    <m/>
    <n v="10406"/>
    <n v="79.2"/>
    <n v="50912"/>
    <n v="6"/>
    <n v="56117"/>
    <n v="6"/>
    <n v="49644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78"/>
    <x v="0"/>
    <x v="110"/>
    <m/>
    <n v="10410"/>
    <n v="96"/>
    <n v="35111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ITROVICE"/>
    <x v="21"/>
    <x v="0"/>
    <x v="110"/>
    <m/>
    <n v="10412"/>
    <n v="96"/>
    <n v="35121"/>
    <n v="12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VUSHTRRI"/>
    <x v="20"/>
    <x v="0"/>
    <x v="110"/>
    <m/>
    <n v="10428"/>
    <n v="48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32"/>
    <x v="0"/>
    <x v="111"/>
    <m/>
    <n v="10502"/>
    <n v="52"/>
    <n v="50912"/>
    <n v="3"/>
    <n v="35113"/>
    <n v="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32"/>
    <x v="0"/>
    <x v="111"/>
    <m/>
    <n v="10502"/>
    <n v="68"/>
    <n v="35113"/>
    <n v="5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79"/>
    <x v="0"/>
    <x v="111"/>
    <m/>
    <n v="10539"/>
    <n v="48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6"/>
    <x v="0"/>
    <x v="111"/>
    <m/>
    <n v="10507"/>
    <n v="96"/>
    <n v="35109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3"/>
    <x v="0"/>
    <x v="111"/>
    <m/>
    <n v="10508"/>
    <n v="48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4"/>
    <x v="0"/>
    <x v="111"/>
    <m/>
    <n v="10509"/>
    <n v="63.5"/>
    <n v="44001"/>
    <n v="5"/>
    <n v="49644"/>
    <n v="5"/>
    <n v="50912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5"/>
    <x v="0"/>
    <x v="111"/>
    <m/>
    <n v="10504"/>
    <n v="96"/>
    <n v="35115"/>
    <n v="12"/>
    <n v="3510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LIPJAN"/>
    <x v="27"/>
    <x v="0"/>
    <x v="111"/>
    <m/>
    <n v="10529"/>
    <n v="92"/>
    <n v="49644"/>
    <n v="10"/>
    <n v="50912"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LIPJAN"/>
    <x v="185"/>
    <x v="0"/>
    <x v="111"/>
    <m/>
    <n v="10528"/>
    <n v="53"/>
    <n v="35121"/>
    <n v="12"/>
    <n v="31819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KLINE"/>
    <x v="28"/>
    <x v="0"/>
    <x v="111"/>
    <m/>
    <n v="20501"/>
    <n v="165.6"/>
    <n v="35111"/>
    <n v="12"/>
    <n v="35125"/>
    <n v="12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30"/>
    <x v="0"/>
    <x v="111"/>
    <m/>
    <n v="20511"/>
    <n v="249.6"/>
    <n v="35109"/>
    <n v="24"/>
    <n v="35110"/>
    <n v="12"/>
    <n v="35114"/>
    <n v="12"/>
    <n v="51611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KLINE"/>
    <x v="29"/>
    <x v="0"/>
    <x v="111"/>
    <m/>
    <n v="20502"/>
    <n v="48"/>
    <n v="3511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103"/>
    <x v="0"/>
    <x v="111"/>
    <m/>
    <n v="20508"/>
    <n v="144"/>
    <n v="35109"/>
    <n v="24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102"/>
    <x v="0"/>
    <x v="111"/>
    <m/>
    <n v="20515"/>
    <n v="138.6"/>
    <n v="35109"/>
    <n v="12"/>
    <n v="35110"/>
    <n v="12"/>
    <n v="51611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KENDERAJ"/>
    <x v="104"/>
    <x v="0"/>
    <x v="111"/>
    <m/>
    <n v="20407"/>
    <n v="192"/>
    <n v="35113"/>
    <n v="24"/>
    <n v="35115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31"/>
    <x v="0"/>
    <x v="111"/>
    <m/>
    <n v="20513"/>
    <n v="123.2"/>
    <n v="50912"/>
    <n v="12"/>
    <n v="55718"/>
    <n v="5"/>
    <n v="44001"/>
    <n v="5"/>
    <n v="51936"/>
    <n v="2"/>
    <n v="29802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KENDERAJ"/>
    <x v="33"/>
    <x v="0"/>
    <x v="111"/>
    <m/>
    <n v="20406"/>
    <n v="131.19999999999999"/>
    <n v="50912"/>
    <n v="12"/>
    <n v="49644"/>
    <n v="12"/>
    <n v="55718"/>
    <n v="4"/>
    <n v="29802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RENAS"/>
    <x v="183"/>
    <x v="0"/>
    <x v="111"/>
    <m/>
    <n v="20405"/>
    <n v="96"/>
    <n v="35108"/>
    <n v="12"/>
    <n v="35114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RENAS"/>
    <x v="182"/>
    <x v="0"/>
    <x v="111"/>
    <m/>
    <n v="20427"/>
    <n v="35.6"/>
    <n v="50912"/>
    <n v="4"/>
    <n v="29802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81"/>
    <x v="0"/>
    <x v="112"/>
    <m/>
    <n v="10616"/>
    <n v="96"/>
    <n v="35113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4"/>
    <x v="0"/>
    <x v="112"/>
    <m/>
    <n v="10636"/>
    <n v="96"/>
    <n v="35110"/>
    <n v="12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6"/>
    <x v="0"/>
    <x v="112"/>
    <m/>
    <n v="10625"/>
    <n v="96"/>
    <n v="35128"/>
    <n v="12"/>
    <n v="3510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6"/>
    <x v="0"/>
    <x v="112"/>
    <m/>
    <n v="10625"/>
    <n v="75.599999999999994"/>
    <n v="35114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146"/>
    <x v="0"/>
    <x v="112"/>
    <m/>
    <n v="10613"/>
    <n v="39"/>
    <n v="49644"/>
    <n v="12"/>
    <n v="44001"/>
    <n v="2"/>
    <n v="54412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192"/>
    <x v="0"/>
    <x v="112"/>
    <m/>
    <n v="10618"/>
    <n v="42.6"/>
    <n v="51611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7"/>
    <x v="0"/>
    <x v="112"/>
    <m/>
    <n v="10619"/>
    <n v="39"/>
    <n v="16936"/>
    <n v="4"/>
    <n v="69236"/>
    <n v="1"/>
    <n v="31812"/>
    <n v="1"/>
    <n v="56117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45"/>
    <x v="0"/>
    <x v="112"/>
    <m/>
    <n v="20614"/>
    <n v="480"/>
    <n v="35109"/>
    <n v="24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37"/>
    <x v="0"/>
    <x v="112"/>
    <m/>
    <n v="20635"/>
    <n v="144"/>
    <n v="35110"/>
    <n v="12"/>
    <n v="35111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09"/>
    <x v="0"/>
    <x v="112"/>
    <m/>
    <n v="20630"/>
    <n v="251.1"/>
    <n v="35110"/>
    <n v="12"/>
    <n v="35111"/>
    <n v="12"/>
    <n v="35109"/>
    <n v="12"/>
    <n v="66701"/>
    <n v="12"/>
    <n v="51611"/>
    <n v="12"/>
    <n v="31822"/>
    <n v="6"/>
    <n v="16936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ADIME"/>
    <x v="41"/>
    <x v="0"/>
    <x v="112"/>
    <m/>
    <n v="20622"/>
    <n v="96"/>
    <n v="35109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43"/>
    <x v="0"/>
    <x v="112"/>
    <m/>
    <n v="20627"/>
    <n v="186.6"/>
    <n v="35110"/>
    <n v="24"/>
    <n v="35128"/>
    <n v="12"/>
    <n v="51611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REME"/>
    <x v="110"/>
    <x v="0"/>
    <x v="112"/>
    <m/>
    <n v="20610"/>
    <n v="444.5"/>
    <n v="35125"/>
    <n v="24"/>
    <n v="35128"/>
    <n v="12"/>
    <n v="35113"/>
    <n v="24"/>
    <n v="35111"/>
    <n v="24"/>
    <n v="39505"/>
    <n v="12"/>
    <n v="44001"/>
    <n v="7"/>
    <n v="49644"/>
    <n v="6"/>
    <n v="50912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OGANAJ"/>
    <x v="45"/>
    <x v="0"/>
    <x v="112"/>
    <m/>
    <n v="20607"/>
    <n v="154"/>
    <n v="35115"/>
    <n v="12"/>
    <n v="35121"/>
    <n v="12"/>
    <n v="35109"/>
    <n v="12"/>
    <n v="26736"/>
    <n v="2"/>
    <n v="16936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KAQANIK"/>
    <x v="127"/>
    <x v="0"/>
    <x v="112"/>
    <m/>
    <n v="20611"/>
    <n v="501.6"/>
    <n v="35109"/>
    <n v="24"/>
    <n v="35115"/>
    <n v="12"/>
    <n v="35128"/>
    <n v="12"/>
    <n v="35113"/>
    <n v="24"/>
    <n v="35114"/>
    <n v="12"/>
    <n v="35110"/>
    <n v="12"/>
    <n v="35111"/>
    <n v="12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ERLIC"/>
    <x v="44"/>
    <x v="0"/>
    <x v="112"/>
    <m/>
    <n v="20606"/>
    <n v="197"/>
    <n v="35110"/>
    <n v="12"/>
    <n v="35113"/>
    <n v="12"/>
    <n v="35115"/>
    <n v="24"/>
    <n v="16936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LIPJAN"/>
    <x v="176"/>
    <x v="0"/>
    <x v="112"/>
    <m/>
    <n v="20601"/>
    <n v="171.6"/>
    <n v="35109"/>
    <n v="36"/>
    <n v="35121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124"/>
    <x v="0"/>
    <x v="113"/>
    <m/>
    <n v="40017"/>
    <n v="48"/>
    <n v="35108"/>
    <n v="3"/>
    <n v="35128"/>
    <n v="5"/>
    <n v="35121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47"/>
    <x v="0"/>
    <x v="113"/>
    <m/>
    <n v="10105"/>
    <n v="48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48"/>
    <x v="0"/>
    <x v="113"/>
    <m/>
    <n v="10111"/>
    <n v="168.6"/>
    <n v="35111"/>
    <n v="12"/>
    <n v="35121"/>
    <n v="12"/>
    <n v="50912"/>
    <n v="8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BARDHOSH"/>
    <x v="49"/>
    <x v="0"/>
    <x v="113"/>
    <m/>
    <n v="10114"/>
    <n v="75.5"/>
    <n v="49644"/>
    <n v="5"/>
    <n v="44001"/>
    <n v="5"/>
    <n v="3510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82"/>
    <x v="0"/>
    <x v="113"/>
    <m/>
    <n v="10133"/>
    <n v="96"/>
    <n v="35114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SHTINE"/>
    <x v="50"/>
    <x v="0"/>
    <x v="113"/>
    <m/>
    <n v="10103"/>
    <n v="48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85"/>
    <x v="0"/>
    <x v="113"/>
    <m/>
    <n v="20130"/>
    <n v="192"/>
    <n v="35109"/>
    <n v="12"/>
    <n v="35111"/>
    <n v="12"/>
    <n v="35114"/>
    <n v="12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2"/>
    <x v="0"/>
    <x v="113"/>
    <m/>
    <n v="20111"/>
    <n v="50"/>
    <n v="51736"/>
    <n v="6"/>
    <n v="51936"/>
    <n v="6"/>
    <n v="16936"/>
    <n v="3"/>
    <n v="26736"/>
    <n v="3"/>
    <n v="31819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3"/>
    <x v="0"/>
    <x v="113"/>
    <m/>
    <n v="20126"/>
    <n v="144"/>
    <n v="35109"/>
    <n v="12"/>
    <n v="35114"/>
    <n v="12"/>
    <n v="35110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4"/>
    <x v="0"/>
    <x v="113"/>
    <m/>
    <n v="20121"/>
    <n v="213.6"/>
    <n v="35108"/>
    <n v="12"/>
    <n v="35113"/>
    <n v="12"/>
    <n v="35125"/>
    <n v="12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115"/>
    <x v="0"/>
    <x v="113"/>
    <m/>
    <n v="20101"/>
    <n v="52.8"/>
    <n v="54412"/>
    <n v="6"/>
    <n v="49644"/>
    <n v="6"/>
    <n v="50912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6"/>
    <x v="0"/>
    <x v="113"/>
    <m/>
    <n v="20104"/>
    <n v="96"/>
    <n v="35108"/>
    <n v="12"/>
    <n v="3510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55"/>
    <x v="0"/>
    <x v="113"/>
    <m/>
    <n v="20127"/>
    <n v="145.19999999999999"/>
    <n v="35111"/>
    <n v="12"/>
    <n v="51612"/>
    <n v="12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EJE"/>
    <x v="136"/>
    <x v="0"/>
    <x v="113"/>
    <m/>
    <n v="20129"/>
    <n v="144"/>
    <n v="35110"/>
    <n v="12"/>
    <n v="35109"/>
    <n v="12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EQAN"/>
    <x v="69"/>
    <x v="0"/>
    <x v="113"/>
    <m/>
    <n v="20201"/>
    <n v="207"/>
    <n v="35109"/>
    <n v="12"/>
    <n v="35121"/>
    <n v="12"/>
    <n v="35128"/>
    <n v="12"/>
    <n v="51611"/>
    <n v="12"/>
    <n v="56117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EQAN"/>
    <x v="68"/>
    <x v="0"/>
    <x v="113"/>
    <m/>
    <n v="20203"/>
    <n v="165.6"/>
    <n v="35125"/>
    <n v="12"/>
    <n v="35128"/>
    <n v="12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HTIME"/>
    <x v="86"/>
    <x v="0"/>
    <x v="114"/>
    <m/>
    <n v="10250"/>
    <n v="144"/>
    <n v="35113"/>
    <n v="12"/>
    <n v="35119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62"/>
    <x v="0"/>
    <x v="114"/>
    <m/>
    <n v="10241"/>
    <n v="267.60000000000002"/>
    <n v="35114"/>
    <n v="36"/>
    <n v="35128"/>
    <n v="24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59"/>
    <x v="0"/>
    <x v="114"/>
    <m/>
    <n v="10210"/>
    <n v="192"/>
    <n v="35108"/>
    <n v="24"/>
    <n v="35115"/>
    <n v="12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ZYM"/>
    <x v="61"/>
    <x v="0"/>
    <x v="114"/>
    <m/>
    <n v="10245"/>
    <n v="48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63"/>
    <x v="0"/>
    <x v="114"/>
    <m/>
    <n v="10240"/>
    <n v="330.6"/>
    <n v="35110"/>
    <n v="24"/>
    <n v="35109"/>
    <n v="12"/>
    <n v="35115"/>
    <n v="12"/>
    <n v="35113"/>
    <n v="12"/>
    <n v="35128"/>
    <n v="12"/>
    <n v="51611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HIROK"/>
    <x v="60"/>
    <x v="0"/>
    <x v="114"/>
    <m/>
    <n v="10205"/>
    <n v="123.6"/>
    <n v="35111"/>
    <n v="12"/>
    <n v="35128"/>
    <n v="12"/>
    <n v="5161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ZREN"/>
    <x v="88"/>
    <x v="0"/>
    <x v="114"/>
    <m/>
    <n v="40019"/>
    <n v="48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148"/>
    <x v="0"/>
    <x v="114"/>
    <m/>
    <n v="20210"/>
    <n v="283.2"/>
    <n v="66701"/>
    <n v="24"/>
    <n v="35113"/>
    <n v="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11"/>
    <x v="0"/>
    <x v="114"/>
    <m/>
    <n v="20307"/>
    <n v="240"/>
    <n v="35108"/>
    <n v="12"/>
    <n v="35109"/>
    <n v="24"/>
    <n v="35110"/>
    <n v="12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91"/>
    <x v="0"/>
    <x v="114"/>
    <m/>
    <n v="20223"/>
    <n v="149.6"/>
    <n v="12000"/>
    <n v="10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90"/>
    <x v="0"/>
    <x v="114"/>
    <m/>
    <n v="20212"/>
    <n v="144"/>
    <n v="35109"/>
    <n v="24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JAKOVE"/>
    <x v="92"/>
    <x v="0"/>
    <x v="114"/>
    <m/>
    <n v="20228"/>
    <n v="69.599999999999994"/>
    <n v="6670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MALISHEVE"/>
    <x v="9"/>
    <x v="0"/>
    <x v="114"/>
    <m/>
    <n v="20301"/>
    <n v="144"/>
    <n v="35111"/>
    <n v="24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HOVEC"/>
    <x v="12"/>
    <x v="0"/>
    <x v="114"/>
    <m/>
    <n v="20313"/>
    <n v="63"/>
    <n v="35108"/>
    <n v="12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LIPJAN"/>
    <x v="185"/>
    <x v="0"/>
    <x v="115"/>
    <m/>
    <n v="10528"/>
    <n v="48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5"/>
    <x v="0"/>
    <x v="115"/>
    <m/>
    <n v="10504"/>
    <n v="96"/>
    <n v="35128"/>
    <n v="12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6"/>
    <x v="0"/>
    <x v="115"/>
    <m/>
    <n v="10507"/>
    <n v="144"/>
    <n v="35109"/>
    <n v="12"/>
    <n v="35125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4"/>
    <x v="0"/>
    <x v="115"/>
    <m/>
    <n v="10509"/>
    <n v="45"/>
    <n v="49644"/>
    <n v="5"/>
    <n v="55718"/>
    <n v="5"/>
    <n v="44001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53"/>
    <x v="0"/>
    <x v="115"/>
    <m/>
    <n v="10511"/>
    <n v="96"/>
    <n v="35109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3"/>
    <x v="0"/>
    <x v="115"/>
    <m/>
    <n v="10508"/>
    <n v="48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32"/>
    <x v="0"/>
    <x v="115"/>
    <m/>
    <n v="10502"/>
    <n v="128"/>
    <n v="35114"/>
    <n v="12"/>
    <n v="35112"/>
    <n v="8"/>
    <n v="3512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KLINE"/>
    <x v="28"/>
    <x v="0"/>
    <x v="115"/>
    <m/>
    <n v="20501"/>
    <n v="48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KLINE"/>
    <x v="29"/>
    <x v="0"/>
    <x v="115"/>
    <m/>
    <n v="20502"/>
    <n v="96"/>
    <n v="35109"/>
    <n v="12"/>
    <n v="35128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102"/>
    <x v="0"/>
    <x v="115"/>
    <m/>
    <n v="20515"/>
    <n v="144"/>
    <n v="35121"/>
    <n v="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ISTOG"/>
    <x v="193"/>
    <x v="0"/>
    <x v="115"/>
    <m/>
    <n v="20516"/>
    <n v="126"/>
    <n v="35111"/>
    <n v="24"/>
    <n v="51611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KENDERAJ"/>
    <x v="104"/>
    <x v="0"/>
    <x v="115"/>
    <m/>
    <n v="20407"/>
    <n v="144"/>
    <n v="35108"/>
    <n v="12"/>
    <n v="35110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KENDERAJ"/>
    <x v="32"/>
    <x v="0"/>
    <x v="115"/>
    <m/>
    <n v="20409"/>
    <n v="43.5"/>
    <n v="55718"/>
    <n v="6"/>
    <n v="31819"/>
    <n v="5"/>
    <n v="51736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81"/>
    <x v="0"/>
    <x v="116"/>
    <m/>
    <n v="10616"/>
    <n v="96"/>
    <n v="35114"/>
    <n v="12"/>
    <n v="35119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4"/>
    <x v="0"/>
    <x v="116"/>
    <m/>
    <n v="10636"/>
    <n v="111"/>
    <n v="35111"/>
    <n v="12"/>
    <n v="35128"/>
    <n v="12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29"/>
    <x v="0"/>
    <x v="116"/>
    <m/>
    <n v="10622"/>
    <n v="52.9"/>
    <n v="54412"/>
    <n v="12"/>
    <n v="55718"/>
    <n v="2"/>
    <n v="49644"/>
    <n v="2"/>
    <n v="50912"/>
    <n v="2"/>
    <n v="44001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4"/>
    <x v="0"/>
    <x v="116"/>
    <m/>
    <n v="10635"/>
    <n v="96"/>
    <n v="35109"/>
    <n v="12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ODUJEVE"/>
    <x v="36"/>
    <x v="0"/>
    <x v="116"/>
    <m/>
    <n v="10625"/>
    <n v="77"/>
    <n v="35125"/>
    <n v="12"/>
    <n v="54412"/>
    <n v="5"/>
    <n v="50912"/>
    <n v="2"/>
    <n v="49644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12"/>
    <x v="0"/>
    <x v="116"/>
    <m/>
    <n v="20609"/>
    <n v="240"/>
    <n v="35109"/>
    <n v="48"/>
    <n v="3511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39"/>
    <x v="0"/>
    <x v="116"/>
    <m/>
    <n v="20602"/>
    <n v="111"/>
    <n v="35119"/>
    <n v="12"/>
    <n v="35115"/>
    <n v="12"/>
    <n v="516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37"/>
    <x v="0"/>
    <x v="116"/>
    <m/>
    <n v="20635"/>
    <n v="144"/>
    <n v="35109"/>
    <n v="24"/>
    <n v="3511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24"/>
    <x v="0"/>
    <x v="116"/>
    <m/>
    <n v="20608"/>
    <n v="192"/>
    <n v="35113"/>
    <n v="12"/>
    <n v="35115"/>
    <n v="12"/>
    <n v="35121"/>
    <n v="12"/>
    <n v="35125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46"/>
    <x v="0"/>
    <x v="116"/>
    <m/>
    <n v="20624"/>
    <n v="192"/>
    <n v="35113"/>
    <n v="12"/>
    <n v="35121"/>
    <n v="12"/>
    <n v="35113"/>
    <n v="12"/>
    <n v="35111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ERIZAJ"/>
    <x v="111"/>
    <x v="0"/>
    <x v="116"/>
    <m/>
    <n v="20604"/>
    <n v="144"/>
    <n v="35110"/>
    <n v="12"/>
    <n v="35128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ERLIC"/>
    <x v="44"/>
    <x v="0"/>
    <x v="116"/>
    <m/>
    <n v="20606"/>
    <n v="240"/>
    <n v="35109"/>
    <n v="12"/>
    <n v="35121"/>
    <n v="12"/>
    <n v="35125"/>
    <n v="12"/>
    <n v="35115"/>
    <n v="12"/>
    <n v="49644"/>
    <n v="12"/>
    <n v="3182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"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5"/>
    <x v="0"/>
    <x v="1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F90F8A-0E69-44A8-B79D-D69DB3DB574F}" name="PivotTable1" cacheId="3" applyNumberFormats="0" applyBorderFormats="0" applyFontFormats="0" applyPatternFormats="0" applyAlignmentFormats="0" applyWidthHeightFormats="1" dataCaption="Werte" updatedVersion="7" minRefreshableVersion="5" useAutoFormatting="1" itemPrintTitles="1" createdVersion="6" indent="0" outline="1" outlineData="1" multipleFieldFilters="0">
  <location ref="A4:B5" firstHeaderRow="1" firstDataRow="1" firstDataCol="1" rowPageCount="1" colPageCount="1"/>
  <pivotFields count="61">
    <pivotField showAll="0"/>
    <pivotField axis="axisRow" showAll="0" sortType="descending">
      <items count="198">
        <item m="1" x="196"/>
        <item x="8"/>
        <item x="4"/>
        <item x="5"/>
        <item x="9"/>
        <item x="11"/>
        <item x="12"/>
        <item x="14"/>
        <item x="22"/>
        <item x="21"/>
        <item x="33"/>
        <item x="32"/>
        <item x="25"/>
        <item x="28"/>
        <item x="31"/>
        <item x="27"/>
        <item x="1"/>
        <item x="6"/>
        <item x="10"/>
        <item x="24"/>
        <item x="29"/>
        <item x="0"/>
        <item x="17"/>
        <item x="18"/>
        <item x="23"/>
        <item x="20"/>
        <item x="15"/>
        <item x="3"/>
        <item x="2"/>
        <item x="19"/>
        <item x="7"/>
        <item x="26"/>
        <item x="30"/>
        <item x="16"/>
        <item x="13"/>
        <item x="194"/>
        <item x="195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Page" multipleItemSelectionAllowed="1" showAll="0">
      <items count="1935">
        <item m="1" x="766"/>
        <item m="1" x="947"/>
        <item m="1" x="1125"/>
        <item m="1" x="1489"/>
        <item m="1" x="1659"/>
        <item m="1" x="1841"/>
        <item m="1" x="202"/>
        <item m="1" x="359"/>
        <item m="1" x="478"/>
        <item m="1" x="811"/>
        <item m="1" x="991"/>
        <item m="1" x="1168"/>
        <item m="1" x="1346"/>
        <item m="1" x="1527"/>
        <item m="1" x="1704"/>
        <item m="1" x="244"/>
        <item m="1" x="399"/>
        <item m="1" x="521"/>
        <item m="1" x="693"/>
        <item m="1" x="871"/>
        <item m="1" x="1049"/>
        <item m="1" x="1405"/>
        <item m="1" x="1587"/>
        <item m="1" x="1760"/>
        <item m="1" x="122"/>
        <item m="1" x="299"/>
        <item m="1" x="603"/>
        <item m="1" x="957"/>
        <item m="1" x="1501"/>
        <item m="1" x="1671"/>
        <item m="1" x="1850"/>
        <item m="1" x="370"/>
        <item m="1" x="489"/>
        <item m="1" x="653"/>
        <item m="1" x="828"/>
        <item m="1" x="1007"/>
        <item m="1" x="1183"/>
        <item m="1" x="1543"/>
        <item m="1" x="1719"/>
        <item m="1" x="1898"/>
        <item m="1" x="262"/>
        <item m="1" x="410"/>
        <item m="1" x="532"/>
        <item m="1" x="882"/>
        <item m="1" x="1059"/>
        <item m="1" x="1239"/>
        <item m="1" x="1418"/>
        <item m="1" x="1598"/>
        <item m="1" x="1771"/>
        <item m="1" x="614"/>
        <item m="1" x="787"/>
        <item m="1" x="969"/>
        <item m="1" x="1145"/>
        <item m="1" x="1323"/>
        <item m="1" x="1505"/>
        <item m="1" x="1861"/>
        <item m="1" x="224"/>
        <item m="1" x="381"/>
        <item m="1" x="501"/>
        <item m="1" x="668"/>
        <item m="1" x="845"/>
        <item m="1" x="1200"/>
        <item m="1" x="1377"/>
        <item m="1" x="1560"/>
        <item m="1" x="1731"/>
        <item m="1" x="1909"/>
        <item m="1" x="274"/>
        <item m="1" x="544"/>
        <item m="1" x="713"/>
        <item m="1" x="894"/>
        <item m="1" x="1069"/>
        <item m="1" x="1250"/>
        <item m="1" x="1430"/>
        <item m="1" x="1782"/>
        <item m="1" x="144"/>
        <item m="1" x="315"/>
        <item m="1" x="626"/>
        <item m="1" x="798"/>
        <item m="1" x="979"/>
        <item m="1" x="1334"/>
        <item m="1" x="1516"/>
        <item m="1" x="1692"/>
        <item m="1" x="1872"/>
        <item m="1" x="233"/>
        <item m="1" x="390"/>
        <item m="1" x="860"/>
        <item m="1" x="1036"/>
        <item m="1" x="1218"/>
        <item m="1" x="1392"/>
        <item m="1" x="1575"/>
        <item m="1" x="1923"/>
        <item m="1" x="288"/>
        <item m="1" x="430"/>
        <item m="1" x="557"/>
        <item m="1" x="724"/>
        <item m="1" x="905"/>
        <item m="1" x="1261"/>
        <item m="1" x="1441"/>
        <item m="1" x="1615"/>
        <item m="1" x="1795"/>
        <item m="1" x="155"/>
        <item m="1" x="325"/>
        <item m="1" x="807"/>
        <item m="1" x="988"/>
        <item m="1" x="1164"/>
        <item m="1" x="1343"/>
        <item m="1" x="1524"/>
        <item m="1" x="1700"/>
        <item m="1" x="240"/>
        <item m="1" x="397"/>
        <item m="1" x="517"/>
        <item m="1" x="690"/>
        <item m="1" x="868"/>
        <item m="1" x="1045"/>
        <item m="1" x="1401"/>
        <item m="1" x="1584"/>
        <item m="1" x="1756"/>
        <item m="1" x="119"/>
        <item m="1" x="295"/>
        <item m="1" x="438"/>
        <item m="1" x="731"/>
        <item m="1" x="913"/>
        <item m="1" x="1088"/>
        <item m="1" x="1270"/>
        <item m="1" x="1454"/>
        <item m="1" x="1628"/>
        <item m="1" x="167"/>
        <item m="1" x="650"/>
        <item m="1" x="824"/>
        <item m="1" x="1004"/>
        <item m="1" x="1180"/>
        <item m="1" x="1359"/>
        <item m="1" x="1715"/>
        <item m="1" x="1895"/>
        <item m="1" x="258"/>
        <item m="1" x="407"/>
        <item m="1" x="529"/>
        <item m="1" x="701"/>
        <item m="1" x="1055"/>
        <item m="1" x="1236"/>
        <item m="1" x="1414"/>
        <item m="1" x="1595"/>
        <item m="1" x="1768"/>
        <item m="1" x="131"/>
        <item m="1" x="443"/>
        <item m="1" x="574"/>
        <item m="1" x="740"/>
        <item m="1" x="924"/>
        <item m="1" x="1099"/>
        <item m="1" x="1280"/>
        <item m="1" x="1638"/>
        <item m="1" x="1817"/>
        <item m="1" x="177"/>
        <item m="1" x="343"/>
        <item m="1" x="665"/>
        <item m="1" x="841"/>
        <item m="1" x="1196"/>
        <item m="1" x="1374"/>
        <item m="1" x="1556"/>
        <item m="1" x="1729"/>
        <item m="1" x="1906"/>
        <item m="1" x="270"/>
        <item m="1" x="540"/>
        <item m="1" x="710"/>
        <item m="1" x="890"/>
        <item m="1" x="1067"/>
        <item m="1" x="1247"/>
        <item m="1" x="1426"/>
        <item m="1" x="1778"/>
        <item m="1" x="141"/>
        <item m="1" x="311"/>
        <item m="1" x="449"/>
        <item m="1" x="584"/>
        <item m="1" x="751"/>
        <item m="1" x="1110"/>
        <item m="1" x="1290"/>
        <item m="1" x="1473"/>
        <item m="1" x="1827"/>
        <item m="1" x="188"/>
        <item m="1" x="856"/>
        <item m="1" x="1033"/>
        <item m="1" x="1214"/>
        <item m="1" x="1389"/>
        <item m="1" x="1572"/>
        <item m="1" x="1744"/>
        <item m="1" x="284"/>
        <item m="1" x="427"/>
        <item m="1" x="553"/>
        <item m="1" x="721"/>
        <item m="1" x="902"/>
        <item m="1" x="1077"/>
        <item m="1" x="1437"/>
        <item m="1" x="1612"/>
        <item m="1" x="1791"/>
        <item m="1" x="152"/>
        <item m="1" x="322"/>
        <item m="1" x="453"/>
        <item m="1" x="760"/>
        <item m="1" x="942"/>
        <item m="1" x="1119"/>
        <item m="1" x="1300"/>
        <item m="1" x="1484"/>
        <item m="1" x="1654"/>
        <item m="1" x="197"/>
        <item m="1" x="357"/>
        <item m="1" x="912"/>
        <item m="1" x="1448"/>
        <item m="1" x="1623"/>
        <item m="1" x="1802"/>
        <item m="1" x="162"/>
        <item m="1" x="332"/>
        <item m="1" x="458"/>
        <item m="1" x="770"/>
        <item m="1" x="951"/>
        <item m="1" x="1130"/>
        <item m="1" x="1309"/>
        <item m="1" x="1495"/>
        <item m="1" x="1664"/>
        <item m="1" x="207"/>
        <item m="1" x="364"/>
        <item m="1" x="484"/>
        <item m="1" x="644"/>
        <item m="1" x="818"/>
        <item m="1" x="997"/>
        <item m="1" x="1352"/>
        <item m="1" x="1534"/>
        <item m="1" x="1710"/>
        <item m="1" x="1889"/>
        <item m="1" x="252"/>
        <item m="1" x="568"/>
        <item m="1" x="918"/>
        <item m="1" x="1094"/>
        <item m="1" x="1275"/>
        <item m="1" x="1459"/>
        <item m="1" x="1633"/>
        <item m="1" x="1811"/>
        <item m="1" x="337"/>
        <item m="1" x="464"/>
        <item m="1" x="609"/>
        <item m="1" x="781"/>
        <item m="1" x="963"/>
        <item m="1" x="1139"/>
        <item m="1" x="1676"/>
        <item m="1" x="1856"/>
        <item m="1" x="218"/>
        <item m="1" x="375"/>
        <item m="1" x="494"/>
        <item m="1" x="834"/>
        <item m="1" x="1014"/>
        <item m="1" x="1191"/>
        <item m="1" x="1368"/>
        <item m="1" x="1550"/>
        <item m="1" x="1726"/>
        <item m="1" x="746"/>
        <item m="1" x="929"/>
        <item m="1" x="1104"/>
        <item m="1" x="1285"/>
        <item m="1" x="1468"/>
        <item m="1" x="1644"/>
        <item m="1" x="183"/>
        <item m="1" x="348"/>
        <item m="1" x="469"/>
        <item m="1" x="620"/>
        <item m="1" x="792"/>
        <item m="1" x="1328"/>
        <item m="1" x="1511"/>
        <item m="1" x="1685"/>
        <item m="1" x="228"/>
        <item m="1" x="1208"/>
        <item m="1" x="280"/>
        <item m="1" x="589"/>
        <item m="1" x="1479"/>
        <item m="1" x="1649"/>
        <item m="1" x="193"/>
        <item m="1" x="353"/>
        <item m="1" x="393"/>
        <item m="1" x="1928"/>
        <item m="1" x="767"/>
        <item m="1" x="1126"/>
        <item m="1" x="1305"/>
        <item m="1" x="1490"/>
        <item m="1" x="1660"/>
        <item m="1" x="1842"/>
        <item m="1" x="203"/>
        <item m="1" x="479"/>
        <item m="1" x="639"/>
        <item m="1" x="813"/>
        <item m="1" x="993"/>
        <item m="1" x="1170"/>
        <item m="1" x="1348"/>
        <item m="1" x="1706"/>
        <item m="1" x="1884"/>
        <item m="1" x="246"/>
        <item m="1" x="401"/>
        <item m="1" x="523"/>
        <item m="1" x="695"/>
        <item m="1" x="1230"/>
        <item m="1" x="1407"/>
        <item m="1" x="1589"/>
        <item m="1" x="1762"/>
        <item m="1" x="124"/>
        <item m="1" x="604"/>
        <item m="1" x="777"/>
        <item m="1" x="958"/>
        <item m="1" x="1135"/>
        <item m="1" x="1315"/>
        <item m="1" x="1502"/>
        <item m="1" x="1851"/>
        <item m="1" x="214"/>
        <item m="1" x="371"/>
        <item m="1" x="490"/>
        <item m="1" x="655"/>
        <item m="1" x="830"/>
        <item m="1" x="1185"/>
        <item m="1" x="1364"/>
        <item m="1" x="1544"/>
        <item m="1" x="1721"/>
        <item m="1" x="1900"/>
        <item m="1" x="264"/>
        <item m="1" x="412"/>
        <item m="1" x="534"/>
        <item m="1" x="706"/>
        <item m="1" x="883"/>
        <item m="1" x="1061"/>
        <item m="1" x="1241"/>
        <item m="1" x="1420"/>
        <item m="1" x="1773"/>
        <item m="1" x="136"/>
        <item m="1" x="615"/>
        <item m="1" x="788"/>
        <item m="1" x="970"/>
        <item m="1" x="1146"/>
        <item m="1" x="1506"/>
        <item m="1" x="1681"/>
        <item m="1" x="1862"/>
        <item m="1" x="225"/>
        <item m="1" x="382"/>
        <item m="1" x="502"/>
        <item m="1" x="847"/>
        <item m="1" x="1023"/>
        <item m="1" x="1202"/>
        <item m="1" x="1379"/>
        <item m="1" x="1562"/>
        <item m="1" x="1733"/>
        <item m="1" x="276"/>
        <item m="1" x="422"/>
        <item m="1" x="546"/>
        <item m="1" x="715"/>
        <item m="1" x="896"/>
        <item m="1" x="1071"/>
        <item m="1" x="1432"/>
        <item m="1" x="1608"/>
        <item m="1" x="1784"/>
        <item m="1" x="146"/>
        <item m="1" x="627"/>
        <item m="1" x="980"/>
        <item m="1" x="1335"/>
        <item m="1" x="1873"/>
        <item m="1" x="391"/>
        <item m="1" x="1038"/>
        <item m="1" x="682"/>
        <item m="1" x="1577"/>
        <item m="1" x="511"/>
        <item m="1" x="1748"/>
        <item m="1" x="1924"/>
        <item m="1" x="290"/>
        <item m="1" x="432"/>
        <item m="1" x="559"/>
        <item m="1" x="907"/>
        <item m="1" x="1081"/>
        <item m="1" x="1262"/>
        <item m="1" x="1443"/>
        <item m="1" x="1617"/>
        <item m="1" x="1797"/>
        <item m="1" x="327"/>
        <item m="1" x="636"/>
        <item m="1" x="808"/>
        <item m="1" x="989"/>
        <item m="1" x="1165"/>
        <item m="1" x="1344"/>
        <item m="1" x="1701"/>
        <item m="1" x="1881"/>
        <item m="1" x="241"/>
        <item m="1" x="296"/>
        <item m="1" x="518"/>
        <item m="1" x="691"/>
        <item m="1" x="1046"/>
        <item m="1" x="1227"/>
        <item m="1" x="1402"/>
        <item m="1" x="1585"/>
        <item m="1" x="1757"/>
        <item m="1" x="120"/>
        <item m="1" x="439"/>
        <item m="1" x="564"/>
        <item m="1" x="732"/>
        <item m="1" x="914"/>
        <item m="1" x="1089"/>
        <item m="1" x="1271"/>
        <item m="1" x="1629"/>
        <item m="1" x="1807"/>
        <item m="1" x="168"/>
        <item m="1" x="651"/>
        <item m="1" x="825"/>
        <item m="1" x="1005"/>
        <item m="1" x="1360"/>
        <item m="1" x="1540"/>
        <item m="1" x="1716"/>
        <item m="1" x="1896"/>
        <item m="1" x="259"/>
        <item m="1" x="408"/>
        <item m="1" x="702"/>
        <item m="1" x="879"/>
        <item m="1" x="1056"/>
        <item m="1" x="1237"/>
        <item m="1" x="1415"/>
        <item m="1" x="1596"/>
        <item m="1" x="132"/>
        <item m="1" x="307"/>
        <item m="1" x="444"/>
        <item m="1" x="575"/>
        <item m="1" x="741"/>
        <item m="1" x="925"/>
        <item m="1" x="1281"/>
        <item m="1" x="1464"/>
        <item m="1" x="1639"/>
        <item m="1" x="1818"/>
        <item m="1" x="178"/>
        <item m="1" x="344"/>
        <item m="1" x="842"/>
        <item m="1" x="1020"/>
        <item m="1" x="1197"/>
        <item m="1" x="1375"/>
        <item m="1" x="1557"/>
        <item m="1" x="271"/>
        <item m="1" x="419"/>
        <item m="1" x="541"/>
        <item m="1" x="711"/>
        <item m="1" x="891"/>
        <item m="1" x="1068"/>
        <item m="1" x="1427"/>
        <item m="1" x="1605"/>
        <item m="1" x="1779"/>
        <item m="1" x="142"/>
        <item m="1" x="312"/>
        <item m="1" x="752"/>
        <item m="1" x="934"/>
        <item m="1" x="1111"/>
        <item m="1" x="1291"/>
        <item m="1" x="1474"/>
        <item m="1" x="189"/>
        <item m="1" x="679"/>
        <item m="1" x="857"/>
        <item m="1" x="1034"/>
        <item m="1" x="1215"/>
        <item m="1" x="285"/>
        <item m="1" x="428"/>
        <item m="1" x="554"/>
        <item m="1" x="722"/>
        <item m="1" x="1078"/>
        <item m="1" x="1258"/>
        <item m="1" x="1438"/>
        <item m="1" x="1613"/>
        <item m="1" x="1792"/>
        <item m="1" x="153"/>
        <item m="1" x="454"/>
        <item m="1" x="595"/>
        <item m="1" x="761"/>
        <item m="1" x="943"/>
        <item m="1" x="1120"/>
        <item m="1" x="1301"/>
        <item m="1" x="1655"/>
        <item m="1" x="1837"/>
        <item m="1" x="198"/>
        <item m="1" x="1390"/>
        <item m="1" x="1085"/>
        <item m="1" x="1268"/>
        <item m="1" x="1449"/>
        <item m="1" x="1624"/>
        <item m="1" x="1803"/>
        <item m="1" x="163"/>
        <item m="1" x="459"/>
        <item m="1" x="599"/>
        <item m="1" x="772"/>
        <item m="1" x="953"/>
        <item m="1" x="1131"/>
        <item m="1" x="1311"/>
        <item m="1" x="1666"/>
        <item m="1" x="1847"/>
        <item m="1" x="209"/>
        <item m="1" x="366"/>
        <item m="1" x="485"/>
        <item m="1" x="646"/>
        <item m="1" x="999"/>
        <item m="1" x="1176"/>
        <item m="1" x="1354"/>
        <item m="1" x="1536"/>
        <item m="1" x="1711"/>
        <item m="1" x="1891"/>
        <item m="1" x="569"/>
        <item m="1" x="737"/>
        <item m="1" x="919"/>
        <item m="1" x="1095"/>
        <item m="1" x="1276"/>
        <item m="1" x="1460"/>
        <item m="1" x="1812"/>
        <item m="1" x="173"/>
        <item m="1" x="338"/>
        <item m="1" x="465"/>
        <item m="1" x="610"/>
        <item m="1" x="783"/>
        <item m="1" x="1141"/>
        <item m="1" x="1320"/>
        <item m="1" x="1677"/>
        <item m="1" x="1857"/>
        <item m="1" x="220"/>
        <item m="1" x="496"/>
        <item m="1" x="661"/>
        <item m="1" x="836"/>
        <item m="1" x="1016"/>
        <item m="1" x="1192"/>
        <item m="1" x="1370"/>
        <item m="1" x="579"/>
        <item m="1" x="747"/>
        <item m="1" x="930"/>
        <item m="1" x="1105"/>
        <item m="1" x="1286"/>
        <item m="1" x="1469"/>
        <item m="1" x="1822"/>
        <item m="1" x="184"/>
        <item m="1" x="349"/>
        <item m="1" x="470"/>
        <item m="1" x="622"/>
        <item m="1" x="794"/>
        <item m="1" x="1151"/>
        <item m="1" x="1330"/>
        <item m="1" x="1512"/>
        <item m="1" x="1687"/>
        <item m="1" x="1868"/>
        <item m="1" x="230"/>
        <item m="1" x="506"/>
        <item m="1" x="676"/>
        <item m="1" x="852"/>
        <item m="1" x="1028"/>
        <item m="1" x="1210"/>
        <item m="1" x="1385"/>
        <item m="1" x="1739"/>
        <item m="1" x="1917"/>
        <item m="1" x="281"/>
        <item m="1" x="590"/>
        <item m="1" x="756"/>
        <item m="1" x="938"/>
        <item m="1" x="1295"/>
        <item m="1" x="1480"/>
        <item m="1" x="1650"/>
        <item m="1" x="1832"/>
        <item m="1" x="194"/>
        <item m="1" x="354"/>
        <item m="1" x="631"/>
        <item m="1" x="803"/>
        <item m="1" x="984"/>
        <item m="1" x="1159"/>
        <item m="1" x="1339"/>
        <item m="1" x="1520"/>
        <item m="1" x="1876"/>
        <item m="1" x="237"/>
        <item m="1" x="394"/>
        <item m="1" x="513"/>
        <item m="1" x="686"/>
        <item m="1" x="864"/>
        <item m="1" x="1222"/>
        <item m="1" x="1397"/>
        <item m="1" x="1581"/>
        <item m="1" x="1751"/>
        <item m="1" x="1930"/>
        <item m="1" x="948"/>
        <item m="1" x="1127"/>
        <item m="1" x="1306"/>
        <item m="1" x="1491"/>
        <item m="1" x="1661"/>
        <item m="1" x="1843"/>
        <item m="1" x="360"/>
        <item m="1" x="480"/>
        <item m="1" x="641"/>
        <item m="1" x="1172"/>
        <item m="1" x="1530"/>
        <item m="1" x="1707"/>
        <item m="1" x="1886"/>
        <item m="1" x="248"/>
        <item m="1" x="403"/>
        <item m="1" x="525"/>
        <item m="1" x="874"/>
        <item m="1" x="1051"/>
        <item m="1" x="1232"/>
        <item m="1" x="1409"/>
        <item m="1" x="1591"/>
        <item m="1" x="1764"/>
        <item m="1" x="126"/>
        <item m="1" x="302"/>
        <item m="1" x="605"/>
        <item m="1" x="778"/>
        <item m="1" x="959"/>
        <item m="1" x="1136"/>
        <item m="1" x="1316"/>
        <item m="1" x="1672"/>
        <item m="1" x="1852"/>
        <item m="1" x="215"/>
        <item m="1" x="372"/>
        <item m="1" x="491"/>
        <item m="1" x="657"/>
        <item m="1" x="1010"/>
        <item m="1" x="1187"/>
        <item m="1" x="1365"/>
        <item m="1" x="1546"/>
        <item m="1" x="1723"/>
        <item m="1" x="1902"/>
        <item m="1" x="414"/>
        <item m="1" x="536"/>
        <item m="1" x="707"/>
        <item m="1" x="885"/>
        <item m="1" x="1063"/>
        <item m="1" x="1243"/>
        <item m="1" x="1601"/>
        <item m="1" x="1775"/>
        <item m="1" x="137"/>
        <item m="1" x="616"/>
        <item m="1" x="789"/>
        <item m="1" x="971"/>
        <item m="1" x="1324"/>
        <item m="1" x="1507"/>
        <item m="1" x="1682"/>
        <item m="1" x="1863"/>
        <item m="1" x="226"/>
        <item m="1" x="383"/>
        <item m="1" x="671"/>
        <item m="1" x="848"/>
        <item m="1" x="1025"/>
        <item m="1" x="1204"/>
        <item m="1" x="1381"/>
        <item m="1" x="1564"/>
        <item m="1" x="1912"/>
        <item m="1" x="548"/>
        <item m="1" x="717"/>
        <item m="1" x="898"/>
        <item m="1" x="1253"/>
        <item m="1" x="1433"/>
        <item m="1" x="1609"/>
        <item m="1" x="1786"/>
        <item m="1" x="148"/>
        <item m="1" x="318"/>
        <item m="1" x="799"/>
        <item m="1" x="981"/>
        <item m="1" x="1156"/>
        <item m="1" x="1336"/>
        <item m="1" x="1517"/>
        <item m="1" x="1693"/>
        <item m="1" x="234"/>
        <item m="1" x="684"/>
        <item m="1" x="1395"/>
        <item m="1" x="1579"/>
        <item m="1" x="1749"/>
        <item m="1" x="1926"/>
        <item m="1" x="292"/>
        <item m="1" x="434"/>
        <item m="1" x="727"/>
        <item m="1" x="909"/>
        <item m="1" x="1082"/>
        <item m="1" x="1264"/>
        <item m="1" x="1445"/>
        <item m="1" x="1619"/>
        <item m="1" x="158"/>
        <item m="1" x="329"/>
        <item m="1" x="637"/>
        <item m="1" x="809"/>
        <item m="1" x="990"/>
        <item m="1" x="1166"/>
        <item m="1" x="1525"/>
        <item m="1" x="1702"/>
        <item m="1" x="1882"/>
        <item m="1" x="242"/>
        <item m="1" x="398"/>
        <item m="1" x="519"/>
        <item m="1" x="869"/>
        <item m="1" x="1047"/>
        <item m="1" x="1228"/>
        <item m="1" x="1403"/>
        <item m="1" x="1586"/>
        <item m="1" x="1758"/>
        <item m="1" x="297"/>
        <item m="1" x="440"/>
        <item m="1" x="565"/>
        <item m="1" x="733"/>
        <item m="1" x="915"/>
        <item m="1" x="1090"/>
        <item m="1" x="1455"/>
        <item m="1" x="1630"/>
        <item m="1" x="1808"/>
        <item m="1" x="169"/>
        <item m="1" x="652"/>
        <item m="1" x="826"/>
        <item m="1" x="1181"/>
        <item m="1" x="1361"/>
        <item m="1" x="1541"/>
        <item m="1" x="1717"/>
        <item m="1" x="1897"/>
        <item m="1" x="260"/>
        <item m="1" x="530"/>
        <item m="1" x="703"/>
        <item m="1" x="880"/>
        <item m="1" x="1057"/>
        <item m="1" x="1238"/>
        <item m="1" x="1416"/>
        <item m="1" x="1769"/>
        <item m="1" x="133"/>
        <item m="1" x="308"/>
        <item m="1" x="445"/>
        <item m="1" x="576"/>
        <item m="1" x="742"/>
        <item m="1" x="1100"/>
        <item m="1" x="1282"/>
        <item m="1" x="1465"/>
        <item m="1" x="1640"/>
        <item m="1" x="1819"/>
        <item m="1" x="179"/>
        <item m="1" x="666"/>
        <item m="1" x="843"/>
        <item m="1" x="1021"/>
        <item m="1" x="1198"/>
        <item m="1" x="1376"/>
        <item m="1" x="1558"/>
        <item m="1" x="1907"/>
        <item m="1" x="272"/>
        <item m="1" x="420"/>
        <item m="1" x="542"/>
        <item m="1" x="712"/>
        <item m="1" x="892"/>
        <item m="1" x="1248"/>
        <item m="1" x="1428"/>
        <item m="1" x="1606"/>
        <item m="1" x="1780"/>
        <item m="1" x="143"/>
        <item m="1" x="313"/>
        <item m="1" x="585"/>
        <item m="1" x="753"/>
        <item m="1" x="935"/>
        <item m="1" x="1112"/>
        <item m="1" x="1292"/>
        <item m="1" x="1475"/>
        <item m="1" x="1828"/>
        <item m="1" x="190"/>
        <item m="1" x="680"/>
        <item m="1" x="858"/>
        <item m="1" x="1035"/>
        <item m="1" x="1216"/>
        <item m="1" x="1573"/>
        <item m="1" x="1745"/>
        <item m="1" x="1921"/>
        <item m="1" x="286"/>
        <item m="1" x="429"/>
        <item m="1" x="555"/>
        <item m="1" x="903"/>
        <item m="1" x="1079"/>
        <item m="1" x="1259"/>
        <item m="1" x="1439"/>
        <item m="1" x="1614"/>
        <item m="1" x="1793"/>
        <item m="1" x="323"/>
        <item m="1" x="455"/>
        <item m="1" x="596"/>
        <item m="1" x="762"/>
        <item m="1" x="944"/>
        <item m="1" x="1121"/>
        <item m="1" x="1485"/>
        <item m="1" x="1656"/>
        <item m="1" x="1838"/>
        <item m="1" x="199"/>
        <item m="1" x="358"/>
        <item m="1" x="1269"/>
        <item m="1" x="1450"/>
        <item m="1" x="1625"/>
        <item m="1" x="1804"/>
        <item m="1" x="333"/>
        <item m="1" x="460"/>
        <item m="1" x="600"/>
        <item m="1" x="773"/>
        <item m="1" x="954"/>
        <item m="1" x="1132"/>
        <item m="1" x="1497"/>
        <item m="1" x="1667"/>
        <item m="1" x="1848"/>
        <item m="1" x="210"/>
        <item m="1" x="367"/>
        <item m="1" x="486"/>
        <item m="1" x="820"/>
        <item m="1" x="1000"/>
        <item m="1" x="1177"/>
        <item m="1" x="1355"/>
        <item m="1" x="1537"/>
        <item m="1" x="1712"/>
        <item m="1" x="254"/>
        <item m="1" x="570"/>
        <item m="1" x="738"/>
        <item m="1" x="920"/>
        <item m="1" x="1096"/>
        <item m="1" x="1277"/>
        <item m="1" x="1634"/>
        <item m="1" x="1813"/>
        <item m="1" x="174"/>
        <item m="1" x="339"/>
        <item m="1" x="466"/>
        <item m="1" x="611"/>
        <item m="1" x="965"/>
        <item m="1" x="1142"/>
        <item m="1" x="1321"/>
        <item m="1" x="1678"/>
        <item m="1" x="1858"/>
        <item m="1" x="377"/>
        <item m="1" x="497"/>
        <item m="1" x="662"/>
        <item m="1" x="837"/>
        <item m="1" x="1017"/>
        <item m="1" x="1193"/>
        <item m="1" x="1552"/>
        <item m="1" x="580"/>
        <item m="1" x="748"/>
        <item m="1" x="931"/>
        <item m="1" x="1106"/>
        <item m="1" x="1287"/>
        <item m="1" x="1645"/>
        <item m="1" x="1823"/>
        <item m="1" x="185"/>
        <item m="1" x="350"/>
        <item m="1" x="471"/>
        <item m="1" x="623"/>
        <item m="1" x="975"/>
        <item m="1" x="1152"/>
        <item m="1" x="1331"/>
        <item m="1" x="1513"/>
        <item m="1" x="1688"/>
        <item m="1" x="1869"/>
        <item m="1" x="387"/>
        <item m="1" x="507"/>
        <item m="1" x="677"/>
        <item m="1" x="853"/>
        <item m="1" x="1029"/>
        <item m="1" x="1211"/>
        <item m="1" x="1568"/>
        <item m="1" x="1740"/>
        <item m="1" x="1918"/>
        <item m="1" x="282"/>
        <item m="1" x="591"/>
        <item m="1" x="757"/>
        <item m="1" x="1116"/>
        <item m="1" x="1296"/>
        <item m="1" x="1481"/>
        <item m="1" x="1651"/>
        <item m="1" x="1833"/>
        <item m="1" x="195"/>
        <item m="1" x="475"/>
        <item m="1" x="632"/>
        <item m="1" x="804"/>
        <item m="1" x="985"/>
        <item m="1" x="1160"/>
        <item m="1" x="1340"/>
        <item m="1" x="1696"/>
        <item m="1" x="1877"/>
        <item m="1" x="238"/>
        <item m="1" x="395"/>
        <item m="1" x="514"/>
        <item m="1" x="687"/>
        <item m="1" x="1041"/>
        <item m="1" x="1223"/>
        <item m="1" x="1398"/>
        <item m="1" x="1752"/>
        <item m="1" x="1931"/>
        <item m="1" x="1128"/>
        <item m="1" x="1307"/>
        <item m="1" x="1492"/>
        <item m="1" x="1662"/>
        <item m="1" x="204"/>
        <item m="1" x="361"/>
        <item m="1" x="481"/>
        <item m="1" x="642"/>
        <item m="1" x="815"/>
        <item m="1" x="995"/>
        <item m="1" x="1350"/>
        <item m="1" x="1531"/>
        <item m="1" x="1708"/>
        <item m="1" x="1887"/>
        <item m="1" x="249"/>
        <item m="1" x="404"/>
        <item m="1" x="697"/>
        <item m="1" x="875"/>
        <item m="1" x="1052"/>
        <item m="1" x="1233"/>
        <item m="1" x="1410"/>
        <item m="1" x="1592"/>
        <item m="1" x="127"/>
        <item m="1" x="303"/>
        <item m="1" x="606"/>
        <item m="1" x="779"/>
        <item m="1" x="960"/>
        <item m="1" x="1137"/>
        <item m="1" x="1503"/>
        <item m="1" x="1673"/>
        <item m="1" x="1853"/>
        <item m="1" x="216"/>
        <item m="1" x="373"/>
        <item m="1" x="492"/>
        <item m="1" x="832"/>
        <item m="1" x="1011"/>
        <item m="1" x="1188"/>
        <item m="1" x="1366"/>
        <item m="1" x="1547"/>
        <item m="1" x="1724"/>
        <item m="1" x="266"/>
        <item m="1" x="415"/>
        <item m="1" x="537"/>
        <item m="1" x="886"/>
        <item m="1" x="1064"/>
        <item m="1" x="1422"/>
        <item m="1" x="1602"/>
        <item m="1" x="1776"/>
        <item m="1" x="138"/>
        <item m="1" x="617"/>
        <item m="1" x="790"/>
        <item m="1" x="1147"/>
        <item m="1" x="1325"/>
        <item m="1" x="1508"/>
        <item m="1" x="1683"/>
        <item m="1" x="1864"/>
        <item m="1" x="672"/>
        <item m="1" x="849"/>
        <item m="1" x="1205"/>
        <item m="1" x="1382"/>
        <item m="1" x="1735"/>
        <item m="1" x="1913"/>
        <item m="1" x="277"/>
        <item m="1" x="424"/>
        <item m="1" x="549"/>
        <item m="1" x="718"/>
        <item m="1" x="1073"/>
        <item m="1" x="1254"/>
        <item m="1" x="1434"/>
        <item m="1" x="1787"/>
        <item m="1" x="149"/>
        <item m="1" x="1086"/>
        <item m="1" x="1451"/>
        <item m="1" x="1626"/>
        <item m="1" x="164"/>
        <item m="1" x="334"/>
        <item m="1" x="461"/>
        <item m="1" x="601"/>
        <item m="1" x="774"/>
        <item m="1" x="955"/>
        <item m="1" x="1312"/>
        <item m="1" x="1498"/>
        <item m="1" x="1668"/>
        <item m="1" x="211"/>
        <item m="1" x="368"/>
        <item m="1" x="647"/>
        <item m="1" x="821"/>
        <item m="1" x="1001"/>
        <item m="1" x="1178"/>
        <item m="1" x="1356"/>
        <item m="1" x="1538"/>
        <item m="1" x="1892"/>
        <item m="1" x="255"/>
        <item m="1" x="571"/>
        <item m="1" x="921"/>
        <item m="1" x="1097"/>
        <item m="1" x="1461"/>
        <item m="1" x="1635"/>
        <item m="1" x="1814"/>
        <item m="1" x="175"/>
        <item m="1" x="340"/>
        <item m="1" x="467"/>
        <item m="1" x="784"/>
        <item m="1" x="966"/>
        <item m="1" x="1143"/>
        <item m="1" x="1679"/>
        <item m="1" x="221"/>
        <item m="1" x="378"/>
        <item m="1" x="498"/>
        <item m="1" x="663"/>
        <item m="1" x="838"/>
        <item m="1" x="1018"/>
        <item m="1" x="1371"/>
        <item m="1" x="1553"/>
        <item m="1" x="581"/>
        <item m="1" x="749"/>
        <item m="1" x="932"/>
        <item m="1" x="1107"/>
        <item m="1" x="1470"/>
        <item m="1" x="1646"/>
        <item m="1" x="1824"/>
        <item m="1" x="186"/>
        <item m="1" x="351"/>
        <item m="1" x="472"/>
        <item m="1" x="795"/>
        <item m="1" x="976"/>
        <item m="1" x="1153"/>
        <item m="1" x="1332"/>
        <item m="1" x="1514"/>
        <item m="1" x="1689"/>
        <item m="1" x="231"/>
        <item m="1" x="388"/>
        <item m="1" x="508"/>
        <item m="1" x="854"/>
        <item m="1" x="1030"/>
        <item m="1" x="1386"/>
        <item m="1" x="1569"/>
        <item m="1" x="1741"/>
        <item m="1" x="1919"/>
        <item m="1" x="283"/>
        <item m="1" x="592"/>
        <item m="1" x="939"/>
        <item m="1" x="1117"/>
        <item m="1" x="1297"/>
        <item m="1" x="1482"/>
        <item m="1" x="1652"/>
        <item m="1" x="1834"/>
        <item m="1" x="355"/>
        <item m="1" x="476"/>
        <item m="1" x="633"/>
        <item m="1" x="805"/>
        <item m="1" x="986"/>
        <item m="1" x="1161"/>
        <item m="1" x="1521"/>
        <item m="1" x="1697"/>
        <item m="1" x="1878"/>
        <item m="1" x="865"/>
        <item m="1" x="1042"/>
        <item m="1" x="1224"/>
        <item m="1" x="1399"/>
        <item m="1" x="1582"/>
        <item m="1" x="1753"/>
        <item m="1" x="768"/>
        <item m="1" x="949"/>
        <item m="1" x="1308"/>
        <item m="1" x="1493"/>
        <item m="1" x="1844"/>
        <item m="1" x="205"/>
        <item m="1" x="362"/>
        <item m="1" x="482"/>
        <item m="1" x="643"/>
        <item m="1" x="816"/>
        <item m="1" x="1173"/>
        <item m="1" x="1351"/>
        <item m="1" x="1532"/>
        <item m="1" x="1888"/>
        <item m="1" x="250"/>
        <item m="1" x="526"/>
        <item m="1" x="698"/>
        <item m="1" x="876"/>
        <item m="1" x="1053"/>
        <item m="1" x="1234"/>
        <item m="1" x="1411"/>
        <item m="1" x="1765"/>
        <item m="1" x="128"/>
        <item m="1" x="304"/>
        <item m="1" x="607"/>
        <item m="1" x="780"/>
        <item m="1" x="961"/>
        <item m="1" x="1317"/>
        <item m="1" x="1504"/>
        <item m="1" x="1674"/>
        <item m="1" x="1854"/>
        <item m="1" x="217"/>
        <item m="1" x="374"/>
        <item m="1" x="658"/>
        <item m="1" x="833"/>
        <item m="1" x="1012"/>
        <item m="1" x="1189"/>
        <item m="1" x="1367"/>
        <item m="1" x="1548"/>
        <item m="1" x="1903"/>
        <item m="1" x="267"/>
        <item m="1" x="416"/>
        <item m="1" x="538"/>
        <item m="1" x="708"/>
        <item m="1" x="887"/>
        <item m="1" x="1244"/>
        <item m="1" x="1423"/>
        <item m="1" x="139"/>
        <item m="1" x="618"/>
        <item m="1" x="972"/>
        <item m="1" x="1148"/>
        <item m="1" x="1326"/>
        <item m="1" x="1509"/>
        <item m="1" x="1684"/>
        <item m="1" x="1865"/>
        <item m="1" x="384"/>
        <item m="1" x="503"/>
        <item m="1" x="673"/>
        <item m="1" x="850"/>
        <item m="1" x="1026"/>
        <item m="1" x="1206"/>
        <item m="1" x="1565"/>
        <item m="1" x="1736"/>
        <item m="1" x="1914"/>
        <item m="1" x="278"/>
        <item m="1" x="425"/>
        <item m="1" x="550"/>
        <item m="1" x="899"/>
        <item m="1" x="1074"/>
        <item m="1" x="1255"/>
        <item m="1" x="1435"/>
        <item m="1" x="1610"/>
        <item m="1" x="1788"/>
        <item m="1" x="319"/>
        <item m="1" x="628"/>
        <item m="1" x="800"/>
        <item m="1" x="982"/>
        <item m="1" x="1157"/>
        <item m="1" x="1337"/>
        <item m="1" x="1694"/>
        <item m="1" x="1874"/>
        <item m="1" x="235"/>
        <item m="1" x="392"/>
        <item m="1" x="512"/>
        <item m="1" x="435"/>
        <item m="1" x="561"/>
        <item m="1" x="728"/>
        <item m="1" x="910"/>
        <item m="1" x="1083"/>
        <item m="1" x="1265"/>
        <item m="1" x="1620"/>
        <item m="1" x="1799"/>
        <item m="1" x="159"/>
        <item m="1" x="330"/>
        <item m="1" x="638"/>
        <item m="1" x="810"/>
        <item m="1" x="1167"/>
        <item m="1" x="1345"/>
        <item m="1" x="1526"/>
        <item m="1" x="1703"/>
        <item m="1" x="1883"/>
        <item m="1" x="243"/>
        <item m="1" x="520"/>
        <item m="1" x="692"/>
        <item m="1" x="870"/>
        <item m="1" x="1048"/>
        <item m="1" x="1229"/>
        <item m="1" x="1404"/>
        <item m="1" x="1759"/>
        <item m="1" x="121"/>
        <item m="1" x="298"/>
        <item m="1" x="441"/>
        <item m="1" x="566"/>
        <item m="1" x="734"/>
        <item m="1" x="1091"/>
        <item m="1" x="1272"/>
        <item m="1" x="1456"/>
        <item m="1" x="1631"/>
        <item m="1" x="1809"/>
        <item m="1" x="170"/>
        <item m="1" x="827"/>
        <item m="1" x="1006"/>
        <item m="1" x="1182"/>
        <item m="1" x="1362"/>
        <item m="1" x="1542"/>
        <item m="1" x="1718"/>
        <item m="1" x="261"/>
        <item m="1" x="409"/>
        <item m="1" x="531"/>
        <item m="1" x="704"/>
        <item m="1" x="881"/>
        <item m="1" x="1058"/>
        <item m="1" x="1417"/>
        <item m="1" x="1597"/>
        <item m="1" x="1770"/>
        <item m="1" x="134"/>
        <item m="1" x="309"/>
        <item m="1" x="446"/>
        <item m="1" x="743"/>
        <item m="1" x="926"/>
        <item m="1" x="1101"/>
        <item m="1" x="1283"/>
        <item m="1" x="1466"/>
        <item m="1" x="1641"/>
        <item m="1" x="180"/>
        <item m="1" x="345"/>
        <item m="1" x="667"/>
        <item m="1" x="844"/>
        <item m="1" x="1022"/>
        <item m="1" x="1199"/>
        <item m="1" x="1559"/>
        <item m="1" x="1730"/>
        <item m="1" x="1908"/>
        <item m="1" x="273"/>
        <item m="1" x="421"/>
        <item m="1" x="543"/>
        <item m="1" x="893"/>
        <item m="1" x="1249"/>
        <item m="1" x="1429"/>
        <item m="1" x="1607"/>
        <item m="1" x="1781"/>
        <item m="1" x="314"/>
        <item m="1" x="450"/>
        <item m="1" x="586"/>
        <item m="1" x="754"/>
        <item m="1" x="936"/>
        <item m="1" x="1113"/>
        <item m="1" x="1476"/>
        <item m="1" x="1829"/>
        <item m="1" x="191"/>
        <item m="1" x="681"/>
        <item m="1" x="859"/>
        <item m="1" x="1217"/>
        <item m="1" x="1391"/>
        <item m="1" x="1574"/>
        <item m="1" x="1746"/>
        <item m="1" x="1922"/>
        <item m="1" x="287"/>
        <item m="1" x="556"/>
        <item m="1" x="723"/>
        <item m="1" x="904"/>
        <item m="1" x="1260"/>
        <item m="1" x="1440"/>
        <item m="1" x="1794"/>
        <item m="1" x="154"/>
        <item m="1" x="324"/>
        <item m="1" x="456"/>
        <item m="1" x="597"/>
        <item m="1" x="763"/>
        <item m="1" x="1122"/>
        <item m="1" x="1302"/>
        <item m="1" x="1486"/>
        <item m="1" x="1657"/>
        <item m="1" x="1839"/>
        <item m="1" x="1452"/>
        <item m="1" x="1805"/>
        <item m="1" x="165"/>
        <item m="1" x="335"/>
        <item m="1" x="462"/>
        <item m="1" x="602"/>
        <item m="1" x="775"/>
        <item m="1" x="1133"/>
        <item m="1" x="1313"/>
        <item m="1" x="1499"/>
        <item m="1" x="1669"/>
        <item m="1" x="1849"/>
        <item m="1" x="212"/>
        <item m="1" x="487"/>
        <item m="1" x="648"/>
        <item m="1" x="822"/>
        <item m="1" x="1002"/>
        <item m="1" x="1179"/>
        <item m="1" x="1357"/>
        <item m="1" x="1713"/>
        <item m="1" x="1893"/>
        <item m="1" x="256"/>
        <item m="1" x="572"/>
        <item m="1" x="739"/>
        <item m="1" x="922"/>
        <item m="1" x="1278"/>
        <item m="1" x="1462"/>
        <item m="1" x="1636"/>
        <item m="1" x="1815"/>
        <item m="1" x="176"/>
        <item m="1" x="341"/>
        <item m="1" x="612"/>
        <item m="1" x="785"/>
        <item m="1" x="967"/>
        <item m="1" x="1322"/>
        <item m="1" x="1859"/>
        <item m="1" x="222"/>
        <item m="1" x="379"/>
        <item m="1" x="499"/>
        <item m="1" x="664"/>
        <item m="1" x="839"/>
        <item m="1" x="1194"/>
        <item m="1" x="1372"/>
        <item m="1" x="1554"/>
        <item m="1" x="1728"/>
        <item m="1" x="582"/>
        <item m="1" x="750"/>
        <item m="1" x="1108"/>
        <item m="1" x="1288"/>
        <item m="1" x="1471"/>
        <item m="1" x="1647"/>
        <item m="1" x="1825"/>
        <item m="1" x="187"/>
        <item m="1" x="473"/>
        <item m="1" x="624"/>
        <item m="1" x="796"/>
        <item m="1" x="977"/>
        <item m="1" x="1154"/>
        <item m="1" x="1333"/>
        <item m="1" x="1690"/>
        <item m="1" x="1870"/>
        <item m="1" x="232"/>
        <item m="1" x="509"/>
        <item m="1" x="678"/>
        <item m="1" x="1031"/>
        <item m="1" x="1212"/>
        <item m="1" x="1387"/>
        <item m="1" x="1570"/>
        <item m="1" x="1742"/>
        <item m="1" x="1920"/>
        <item m="1" x="593"/>
        <item m="1" x="758"/>
        <item m="1" x="940"/>
        <item m="1" x="1298"/>
        <item m="1" x="1483"/>
        <item m="1" x="1835"/>
        <item m="1" x="634"/>
        <item m="1" x="806"/>
        <item m="1" x="1162"/>
        <item m="1" x="1341"/>
        <item m="1" x="1522"/>
        <item m="1" x="1698"/>
        <item m="1" x="1879"/>
        <item m="1" x="239"/>
        <item m="1" x="515"/>
        <item m="1" x="688"/>
        <item m="1" x="866"/>
        <item m="1" x="1043"/>
        <item m="1" x="1225"/>
        <item m="1" x="1400"/>
        <item m="1" x="1754"/>
        <item m="1" x="1932"/>
        <item m="1" x="769"/>
        <item m="1" x="950"/>
        <item m="1" x="1129"/>
        <item m="1" x="1494"/>
        <item m="1" x="1663"/>
        <item m="1" x="1845"/>
        <item m="1" x="206"/>
        <item m="1" x="363"/>
        <item m="1" x="483"/>
        <item m="1" x="817"/>
        <item m="1" x="996"/>
        <item m="1" x="1174"/>
        <item m="1" x="1533"/>
        <item m="1" x="1709"/>
        <item m="1" x="251"/>
        <item m="1" x="405"/>
        <item m="1" x="527"/>
        <item m="1" x="699"/>
        <item m="1" x="877"/>
        <item m="1" x="1054"/>
        <item m="1" x="1412"/>
        <item m="1" x="1593"/>
        <item m="1" x="1766"/>
        <item m="1" x="129"/>
        <item m="1" x="305"/>
        <item m="1" x="608"/>
        <item m="1" x="962"/>
        <item m="1" x="1138"/>
        <item m="1" x="1318"/>
        <item m="1" x="1675"/>
        <item m="1" x="1855"/>
        <item m="1" x="493"/>
        <item m="1" x="659"/>
        <item m="1" x="1013"/>
        <item m="1" x="1190"/>
        <item m="1" x="1549"/>
        <item m="1" x="1725"/>
        <item m="1" x="1904"/>
        <item m="1" x="268"/>
        <item m="1" x="417"/>
        <item m="1" x="539"/>
        <item m="1" x="888"/>
        <item m="1" x="1065"/>
        <item m="1" x="1245"/>
        <item m="1" x="1424"/>
        <item m="1" x="1603"/>
        <item m="1" x="1777"/>
        <item m="1" x="619"/>
        <item m="1" x="791"/>
        <item m="1" x="973"/>
        <item m="1" x="1149"/>
        <item m="1" x="1327"/>
        <item m="1" x="1510"/>
        <item m="1" x="1866"/>
        <item m="1" x="227"/>
        <item m="1" x="385"/>
        <item m="1" x="504"/>
        <item m="1" x="674"/>
        <item m="1" x="851"/>
        <item m="1" x="1207"/>
        <item m="1" x="1383"/>
        <item m="1" x="1566"/>
        <item m="1" x="1737"/>
        <item m="1" x="1915"/>
        <item m="1" x="279"/>
        <item m="1" x="551"/>
        <item m="1" x="719"/>
        <item m="1" x="900"/>
        <item m="1" x="1075"/>
        <item m="1" x="1256"/>
        <item m="1" x="1436"/>
        <item m="1" x="1789"/>
        <item m="1" x="150"/>
        <item m="1" x="320"/>
        <item m="1" x="629"/>
        <item m="1" x="801"/>
        <item m="1" x="983"/>
        <item m="1" x="1518"/>
        <item m="1" x="685"/>
        <item m="1" x="863"/>
        <item m="1" x="1040"/>
        <item m="1" x="1221"/>
        <item m="1" x="1396"/>
        <item m="1" x="1580"/>
        <item m="1" x="1927"/>
        <item m="1" x="293"/>
        <item m="1" x="436"/>
        <item m="1" x="562"/>
        <item m="1" x="729"/>
        <item m="1" x="911"/>
        <item m="1" x="1266"/>
        <item m="1" x="1446"/>
        <item m="1" x="1621"/>
        <item m="1" x="1800"/>
        <item m="1" x="160"/>
        <item m="1" x="331"/>
        <item m="1" x="812"/>
        <item m="1" x="992"/>
        <item m="1" x="1169"/>
        <item m="1" x="1347"/>
        <item m="1" x="1528"/>
        <item m="1" x="1705"/>
        <item m="1" x="245"/>
        <item m="1" x="400"/>
        <item m="1" x="522"/>
        <item m="1" x="694"/>
        <item m="1" x="872"/>
        <item m="1" x="1050"/>
        <item m="1" x="1406"/>
        <item m="1" x="1588"/>
        <item m="1" x="1761"/>
        <item m="1" x="123"/>
        <item m="1" x="300"/>
        <item m="1" x="442"/>
        <item m="1" x="735"/>
        <item m="1" x="916"/>
        <item m="1" x="1092"/>
        <item m="1" x="1273"/>
        <item m="1" x="1457"/>
        <item m="1" x="1632"/>
        <item m="1" x="171"/>
        <item m="1" x="654"/>
        <item m="1" x="829"/>
        <item m="1" x="1008"/>
        <item m="1" x="1184"/>
        <item m="1" x="1363"/>
        <item m="1" x="1720"/>
        <item m="1" x="1899"/>
        <item m="1" x="263"/>
        <item m="1" x="411"/>
        <item m="1" x="533"/>
        <item m="1" x="705"/>
        <item m="1" x="1060"/>
        <item m="1" x="1240"/>
        <item m="1" x="1419"/>
        <item m="1" x="1599"/>
        <item m="1" x="1772"/>
        <item m="1" x="135"/>
        <item m="1" x="447"/>
        <item m="1" x="577"/>
        <item m="1" x="744"/>
        <item m="1" x="927"/>
        <item m="1" x="1102"/>
        <item m="1" x="1284"/>
        <item m="1" x="1642"/>
        <item m="1" x="1820"/>
        <item m="1" x="181"/>
        <item m="1" x="346"/>
        <item m="1" x="669"/>
        <item m="1" x="846"/>
        <item m="1" x="1201"/>
        <item m="1" x="1378"/>
        <item m="1" x="1561"/>
        <item m="1" x="1732"/>
        <item m="1" x="1910"/>
        <item m="1" x="275"/>
        <item m="1" x="545"/>
        <item m="1" x="714"/>
        <item m="1" x="895"/>
        <item m="1" x="1070"/>
        <item m="1" x="1251"/>
        <item m="1" x="1431"/>
        <item m="1" x="1783"/>
        <item m="1" x="145"/>
        <item m="1" x="316"/>
        <item m="1" x="451"/>
        <item m="1" x="587"/>
        <item m="1" x="755"/>
        <item m="1" x="1114"/>
        <item m="1" x="1293"/>
        <item m="1" x="1477"/>
        <item m="1" x="1830"/>
        <item m="1" x="192"/>
        <item m="1" x="861"/>
        <item m="1" x="1037"/>
        <item m="1" x="1219"/>
        <item m="1" x="1393"/>
        <item m="1" x="1576"/>
        <item m="1" x="1747"/>
        <item m="1" x="289"/>
        <item m="1" x="431"/>
        <item m="1" x="558"/>
        <item m="1" x="725"/>
        <item m="1" x="906"/>
        <item m="1" x="1080"/>
        <item m="1" x="1442"/>
        <item m="1" x="1616"/>
        <item m="1" x="1796"/>
        <item m="1" x="156"/>
        <item m="1" x="326"/>
        <item m="1" x="457"/>
        <item m="1" x="764"/>
        <item m="1" x="945"/>
        <item m="1" x="1123"/>
        <item m="1" x="1303"/>
        <item m="1" x="1487"/>
        <item m="1" x="1658"/>
        <item m="1" x="200"/>
        <item m="1" x="1087"/>
        <item m="1" x="1453"/>
        <item m="1" x="1627"/>
        <item m="1" x="1806"/>
        <item m="1" x="166"/>
        <item m="1" x="336"/>
        <item m="1" x="463"/>
        <item m="1" x="776"/>
        <item m="1" x="956"/>
        <item m="1" x="1134"/>
        <item m="1" x="1314"/>
        <item m="1" x="1500"/>
        <item m="1" x="1670"/>
        <item m="1" x="213"/>
        <item m="1" x="369"/>
        <item m="1" x="488"/>
        <item m="1" x="649"/>
        <item m="1" x="823"/>
        <item m="1" x="1003"/>
        <item m="1" x="1358"/>
        <item m="1" x="1539"/>
        <item m="1" x="1714"/>
        <item m="1" x="1894"/>
        <item m="1" x="257"/>
        <item m="1" x="573"/>
        <item m="1" x="923"/>
        <item m="1" x="1098"/>
        <item m="1" x="1279"/>
        <item m="1" x="1463"/>
        <item m="1" x="1637"/>
        <item m="1" x="1816"/>
        <item m="1" x="342"/>
        <item m="1" x="468"/>
        <item m="1" x="613"/>
        <item m="1" x="786"/>
        <item m="1" x="968"/>
        <item m="1" x="1144"/>
        <item m="1" x="1680"/>
        <item m="1" x="1860"/>
        <item m="1" x="223"/>
        <item m="1" x="380"/>
        <item m="1" x="500"/>
        <item m="1" x="840"/>
        <item m="1" x="1019"/>
        <item m="1" x="1195"/>
        <item m="1" x="1373"/>
        <item m="1" x="1555"/>
        <item m="1" x="583"/>
        <item m="1" x="933"/>
        <item m="1" x="1109"/>
        <item m="1" x="1289"/>
        <item m="1" x="1472"/>
        <item m="1" x="1648"/>
        <item m="1" x="1826"/>
        <item m="1" x="352"/>
        <item m="1" x="474"/>
        <item m="1" x="625"/>
        <item m="1" x="797"/>
        <item m="1" x="978"/>
        <item m="1" x="1155"/>
        <item m="1" x="1515"/>
        <item m="1" x="1691"/>
        <item m="1" x="1871"/>
        <item m="1" x="389"/>
        <item m="1" x="510"/>
        <item m="1" x="855"/>
        <item m="1" x="1032"/>
        <item m="1" x="1213"/>
        <item m="1" x="1388"/>
        <item m="1" x="1571"/>
        <item m="1" x="1743"/>
        <item m="1" x="594"/>
        <item m="1" x="759"/>
        <item m="1" x="941"/>
        <item m="1" x="1118"/>
        <item m="1" x="1299"/>
        <item m="1" x="1653"/>
        <item m="1" x="1836"/>
        <item m="1" x="196"/>
        <item m="1" x="356"/>
        <item m="1" x="477"/>
        <item m="1" x="635"/>
        <item m="1" x="987"/>
        <item m="1" x="1163"/>
        <item m="1" x="1342"/>
        <item m="1" x="1523"/>
        <item m="1" x="1699"/>
        <item m="1" x="1880"/>
        <item m="1" x="396"/>
        <item m="1" x="516"/>
        <item m="1" x="689"/>
        <item m="1" x="867"/>
        <item m="1" x="1044"/>
        <item m="1" x="1226"/>
        <item m="1" x="1583"/>
        <item m="1" x="1755"/>
        <item m="1" x="1933"/>
        <item m="1" x="771"/>
        <item m="1" x="952"/>
        <item m="1" x="1310"/>
        <item m="1" x="1496"/>
        <item m="1" x="1665"/>
        <item m="1" x="1846"/>
        <item m="1" x="208"/>
        <item m="1" x="365"/>
        <item m="1" x="645"/>
        <item m="1" x="819"/>
        <item m="1" x="998"/>
        <item m="1" x="1175"/>
        <item m="1" x="1353"/>
        <item m="1" x="1535"/>
        <item m="1" x="1890"/>
        <item m="1" x="253"/>
        <item m="1" x="406"/>
        <item m="1" x="528"/>
        <item m="1" x="700"/>
        <item m="1" x="878"/>
        <item m="1" x="1235"/>
        <item m="1" x="1413"/>
        <item m="1" x="1594"/>
        <item m="1" x="1767"/>
        <item m="1" x="130"/>
        <item m="1" x="306"/>
        <item m="1" x="782"/>
        <item m="1" x="964"/>
        <item m="1" x="1140"/>
        <item m="1" x="1319"/>
        <item m="1" x="219"/>
        <item m="1" x="376"/>
        <item m="1" x="495"/>
        <item m="1" x="660"/>
        <item m="1" x="835"/>
        <item m="1" x="1015"/>
        <item m="1" x="1369"/>
        <item m="1" x="1551"/>
        <item m="1" x="1727"/>
        <item m="1" x="1905"/>
        <item m="1" x="269"/>
        <item m="1" x="418"/>
        <item m="1" x="709"/>
        <item m="1" x="889"/>
        <item m="1" x="1066"/>
        <item m="1" x="1246"/>
        <item m="1" x="1425"/>
        <item m="1" x="1604"/>
        <item m="1" x="140"/>
        <item m="1" x="621"/>
        <item m="1" x="793"/>
        <item m="1" x="974"/>
        <item m="1" x="1150"/>
        <item m="1" x="1329"/>
        <item m="1" x="1686"/>
        <item m="1" x="1867"/>
        <item m="1" x="229"/>
        <item m="1" x="386"/>
        <item m="1" x="505"/>
        <item m="1" x="675"/>
        <item m="1" x="1027"/>
        <item m="1" x="1209"/>
        <item m="1" x="1384"/>
        <item m="1" x="1567"/>
        <item m="1" x="1738"/>
        <item m="1" x="1916"/>
        <item m="1" x="426"/>
        <item m="1" x="552"/>
        <item m="1" x="720"/>
        <item m="1" x="901"/>
        <item m="1" x="1076"/>
        <item m="1" x="1257"/>
        <item m="1" x="1611"/>
        <item m="1" x="1790"/>
        <item m="1" x="151"/>
        <item m="1" x="321"/>
        <item m="1" x="630"/>
        <item m="1" x="802"/>
        <item m="1" x="1158"/>
        <item m="1" x="1338"/>
        <item m="1" x="1519"/>
        <item m="1" x="1695"/>
        <item m="1" x="1875"/>
        <item m="1" x="236"/>
        <item m="1" x="1750"/>
        <item m="1" x="1929"/>
        <item m="1" x="294"/>
        <item m="1" x="437"/>
        <item m="1" x="563"/>
        <item m="1" x="730"/>
        <item m="1" x="1084"/>
        <item m="1" x="1267"/>
        <item m="1" x="1447"/>
        <item m="1" x="1622"/>
        <item m="1" x="1801"/>
        <item m="1" x="161"/>
        <item m="1" x="640"/>
        <item m="1" x="814"/>
        <item m="1" x="994"/>
        <item m="1" x="1171"/>
        <item m="1" x="1349"/>
        <item m="1" x="1529"/>
        <item m="1" x="1885"/>
        <item m="1" x="247"/>
        <item m="1" x="402"/>
        <item m="1" x="524"/>
        <item m="1" x="696"/>
        <item m="1" x="873"/>
        <item m="1" x="1231"/>
        <item m="1" x="1408"/>
        <item m="1" x="1590"/>
        <item m="1" x="1763"/>
        <item m="1" x="125"/>
        <item m="1" x="301"/>
        <item m="1" x="567"/>
        <item m="1" x="736"/>
        <item m="1" x="917"/>
        <item m="1" x="1093"/>
        <item m="1" x="1274"/>
        <item m="1" x="1458"/>
        <item m="1" x="1810"/>
        <item m="1" x="172"/>
        <item m="1" x="656"/>
        <item m="1" x="831"/>
        <item m="1" x="1009"/>
        <item m="1" x="1186"/>
        <item m="1" x="1545"/>
        <item m="1" x="1722"/>
        <item m="1" x="1901"/>
        <item m="1" x="265"/>
        <item m="1" x="413"/>
        <item m="1" x="535"/>
        <item m="1" x="884"/>
        <item m="1" x="1062"/>
        <item m="1" x="1242"/>
        <item m="1" x="1421"/>
        <item m="1" x="1600"/>
        <item m="1" x="1774"/>
        <item m="1" x="310"/>
        <item m="1" x="448"/>
        <item m="1" x="578"/>
        <item m="1" x="745"/>
        <item m="1" x="928"/>
        <item m="1" x="1103"/>
        <item m="1" x="1467"/>
        <item m="1" x="1643"/>
        <item m="1" x="1821"/>
        <item m="1" x="182"/>
        <item m="1" x="347"/>
        <item m="1" x="670"/>
        <item m="1" x="1024"/>
        <item m="1" x="1203"/>
        <item m="1" x="1380"/>
        <item m="1" x="1563"/>
        <item m="1" x="1734"/>
        <item m="1" x="1911"/>
        <item m="1" x="423"/>
        <item m="1" x="547"/>
        <item m="1" x="716"/>
        <item m="1" x="897"/>
        <item m="1" x="1072"/>
        <item m="1" x="1252"/>
        <item m="1" x="1785"/>
        <item m="1" x="147"/>
        <item m="1" x="317"/>
        <item m="1" x="452"/>
        <item m="1" x="588"/>
        <item m="1" x="937"/>
        <item m="1" x="1115"/>
        <item m="1" x="1294"/>
        <item m="1" x="1478"/>
        <item m="1" x="1831"/>
        <item m="1" x="683"/>
        <item m="1" x="862"/>
        <item m="1" x="1039"/>
        <item m="1" x="1220"/>
        <item m="1" x="1394"/>
        <item m="1" x="1578"/>
        <item m="1" x="1925"/>
        <item m="1" x="291"/>
        <item m="1" x="433"/>
        <item m="1" x="560"/>
        <item m="1" x="726"/>
        <item m="1" x="908"/>
        <item m="1" x="1263"/>
        <item m="1" x="1444"/>
        <item m="1" x="1618"/>
        <item m="1" x="1798"/>
        <item m="1" x="157"/>
        <item m="1" x="328"/>
        <item m="1" x="598"/>
        <item m="1" x="765"/>
        <item m="1" x="946"/>
        <item m="1" x="1124"/>
        <item m="1" x="1304"/>
        <item m="1" x="1488"/>
        <item m="1" x="1840"/>
        <item m="1" x="201"/>
        <item x="11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 t="grand">
      <x/>
    </i>
  </rowItems>
  <colItems count="1">
    <i/>
  </colItems>
  <pageFields count="1">
    <pageField fld="3" hier="-1"/>
  </pageFields>
  <dataFields count="1">
    <dataField name="Summe von Wert" fld="6" baseField="0" baseItem="0"/>
  </dataFields>
  <pivotTableStyleInfo name="PivotStyleLight16" showRowHeaders="1" showColHeaders="1" showRowStripes="0" showColStripes="0" showLastColumn="1"/>
  <filters count="1">
    <filter fld="3" type="dateBetween" evalOrder="-1" id="161" name="Datum">
      <autoFilter ref="A1">
        <filterColumn colId="0">
          <customFilters and="1">
            <customFilter operator="greaterThanOrEqual" val="44927"/>
            <customFilter operator="lessThanOrEqual" val="4529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BDC2DA-35F3-4B22-BF1B-0EB887733207}" name="PivotTable4" cacheId="2" applyNumberFormats="0" applyBorderFormats="0" applyFontFormats="0" applyPatternFormats="0" applyAlignmentFormats="0" applyWidthHeightFormats="1" dataCaption="Werte" updatedVersion="7" minRefreshableVersion="5" useAutoFormatting="1" itemPrintTitles="1" createdVersion="6" indent="0" outline="1" outlineData="1" multipleFieldFilters="0">
  <location ref="A5:C37" firstHeaderRow="0" firstDataRow="1" firstDataCol="1" rowPageCount="2" colPageCount="1"/>
  <pivotFields count="12">
    <pivotField showAll="0"/>
    <pivotField axis="axisPage" numFmtId="14" showAll="0">
      <items count="1913">
        <item m="1" x="754"/>
        <item m="1" x="934"/>
        <item m="1" x="1111"/>
        <item m="1" x="1470"/>
        <item m="1" x="1640"/>
        <item m="1" x="1820"/>
        <item m="1" x="197"/>
        <item m="1" x="353"/>
        <item m="1" x="471"/>
        <item m="1" x="799"/>
        <item m="1" x="978"/>
        <item m="1" x="1154"/>
        <item m="1" x="1330"/>
        <item m="1" x="1508"/>
        <item m="1" x="1685"/>
        <item m="1" x="239"/>
        <item m="1" x="393"/>
        <item m="1" x="514"/>
        <item m="1" x="682"/>
        <item m="1" x="858"/>
        <item m="1" x="1036"/>
        <item m="1" x="1388"/>
        <item m="1" x="1568"/>
        <item m="1" x="1740"/>
        <item m="1" x="120"/>
        <item m="1" x="293"/>
        <item m="1" x="594"/>
        <item m="1" x="944"/>
        <item m="1" x="1482"/>
        <item m="1" x="1652"/>
        <item m="1" x="1829"/>
        <item m="1" x="364"/>
        <item m="1" x="482"/>
        <item m="1" x="643"/>
        <item m="1" x="816"/>
        <item m="1" x="994"/>
        <item m="1" x="1169"/>
        <item m="1" x="1524"/>
        <item m="1" x="1700"/>
        <item m="1" x="1877"/>
        <item m="1" x="257"/>
        <item m="1" x="404"/>
        <item m="1" x="525"/>
        <item m="1" x="869"/>
        <item m="1" x="1046"/>
        <item m="1" x="1224"/>
        <item m="1" x="1401"/>
        <item m="1" x="1579"/>
        <item m="1" x="1751"/>
        <item m="1" x="605"/>
        <item m="1" x="775"/>
        <item m="1" x="956"/>
        <item m="1" x="1131"/>
        <item m="1" x="1307"/>
        <item m="1" x="1486"/>
        <item m="1" x="1840"/>
        <item m="1" x="219"/>
        <item m="1" x="375"/>
        <item m="1" x="494"/>
        <item m="1" x="658"/>
        <item m="1" x="833"/>
        <item m="1" x="1186"/>
        <item m="1" x="1361"/>
        <item m="1" x="1541"/>
        <item m="1" x="1712"/>
        <item m="1" x="1888"/>
        <item m="1" x="269"/>
        <item m="1" x="537"/>
        <item m="1" x="702"/>
        <item m="1" x="881"/>
        <item m="1" x="1056"/>
        <item m="1" x="1235"/>
        <item m="1" x="1413"/>
        <item m="1" x="1762"/>
        <item m="1" x="141"/>
        <item m="1" x="309"/>
        <item m="1" x="617"/>
        <item m="1" x="786"/>
        <item m="1" x="966"/>
        <item m="1" x="1318"/>
        <item m="1" x="1497"/>
        <item m="1" x="1673"/>
        <item m="1" x="1851"/>
        <item m="1" x="228"/>
        <item m="1" x="384"/>
        <item m="1" x="847"/>
        <item m="1" x="1023"/>
        <item m="1" x="1203"/>
        <item m="1" x="1375"/>
        <item m="1" x="1556"/>
        <item m="1" x="1901"/>
        <item m="1" x="282"/>
        <item m="1" x="423"/>
        <item m="1" x="549"/>
        <item m="1" x="712"/>
        <item m="1" x="892"/>
        <item m="1" x="1245"/>
        <item m="1" x="1423"/>
        <item m="1" x="1596"/>
        <item m="1" x="1774"/>
        <item m="1" x="150"/>
        <item m="1" x="319"/>
        <item m="1" x="795"/>
        <item m="1" x="975"/>
        <item m="1" x="1150"/>
        <item m="1" x="1327"/>
        <item m="1" x="1505"/>
        <item m="1" x="1681"/>
        <item m="1" x="235"/>
        <item m="1" x="391"/>
        <item m="1" x="510"/>
        <item m="1" x="679"/>
        <item m="1" x="855"/>
        <item m="1" x="1032"/>
        <item m="1" x="1384"/>
        <item m="1" x="1565"/>
        <item m="1" x="1736"/>
        <item m="1" x="117"/>
        <item m="1" x="289"/>
        <item m="1" x="431"/>
        <item m="1" x="719"/>
        <item m="1" x="900"/>
        <item m="1" x="1074"/>
        <item m="1" x="1254"/>
        <item m="1" x="1436"/>
        <item m="1" x="1609"/>
        <item m="1" x="162"/>
        <item m="1" x="640"/>
        <item m="1" x="812"/>
        <item m="1" x="991"/>
        <item m="1" x="1166"/>
        <item m="1" x="1343"/>
        <item m="1" x="1696"/>
        <item m="1" x="1874"/>
        <item m="1" x="253"/>
        <item m="1" x="401"/>
        <item m="1" x="522"/>
        <item m="1" x="690"/>
        <item m="1" x="1042"/>
        <item m="1" x="1221"/>
        <item m="1" x="1397"/>
        <item m="1" x="1576"/>
        <item m="1" x="1748"/>
        <item m="1" x="128"/>
        <item m="1" x="436"/>
        <item m="1" x="565"/>
        <item m="1" x="728"/>
        <item m="1" x="911"/>
        <item m="1" x="1085"/>
        <item m="1" x="1264"/>
        <item m="1" x="1619"/>
        <item m="1" x="1796"/>
        <item m="1" x="172"/>
        <item m="1" x="337"/>
        <item m="1" x="655"/>
        <item m="1" x="829"/>
        <item m="1" x="1182"/>
        <item m="1" x="1358"/>
        <item m="1" x="1537"/>
        <item m="1" x="1710"/>
        <item m="1" x="1885"/>
        <item m="1" x="265"/>
        <item m="1" x="533"/>
        <item m="1" x="699"/>
        <item m="1" x="877"/>
        <item m="1" x="1054"/>
        <item m="1" x="1232"/>
        <item m="1" x="1409"/>
        <item m="1" x="1758"/>
        <item m="1" x="138"/>
        <item m="1" x="305"/>
        <item m="1" x="442"/>
        <item m="1" x="575"/>
        <item m="1" x="739"/>
        <item m="1" x="1096"/>
        <item m="1" x="1274"/>
        <item m="1" x="1455"/>
        <item m="1" x="1806"/>
        <item m="1" x="183"/>
        <item m="1" x="843"/>
        <item m="1" x="1020"/>
        <item m="1" x="1199"/>
        <item m="1" x="1372"/>
        <item m="1" x="1553"/>
        <item m="1" x="1724"/>
        <item m="1" x="278"/>
        <item m="1" x="420"/>
        <item m="1" x="545"/>
        <item m="1" x="709"/>
        <item m="1" x="889"/>
        <item m="1" x="1063"/>
        <item m="1" x="1419"/>
        <item m="1" x="1593"/>
        <item m="1" x="1770"/>
        <item m="1" x="147"/>
        <item m="1" x="316"/>
        <item m="1" x="446"/>
        <item m="1" x="748"/>
        <item m="1" x="929"/>
        <item m="1" x="1105"/>
        <item m="1" x="1284"/>
        <item m="1" x="1465"/>
        <item m="1" x="1635"/>
        <item m="1" x="192"/>
        <item m="1" x="351"/>
        <item m="1" x="899"/>
        <item m="1" x="1430"/>
        <item m="1" x="1604"/>
        <item m="1" x="1781"/>
        <item m="1" x="157"/>
        <item m="1" x="326"/>
        <item m="1" x="451"/>
        <item m="1" x="758"/>
        <item m="1" x="938"/>
        <item m="1" x="1116"/>
        <item m="1" x="1293"/>
        <item m="1" x="1476"/>
        <item m="1" x="1645"/>
        <item m="1" x="202"/>
        <item m="1" x="358"/>
        <item m="1" x="477"/>
        <item m="1" x="634"/>
        <item m="1" x="806"/>
        <item m="1" x="984"/>
        <item m="1" x="1336"/>
        <item m="1" x="1515"/>
        <item m="1" x="1691"/>
        <item m="1" x="1868"/>
        <item m="1" x="247"/>
        <item m="1" x="560"/>
        <item m="1" x="905"/>
        <item m="1" x="1080"/>
        <item m="1" x="1259"/>
        <item m="1" x="1441"/>
        <item m="1" x="1614"/>
        <item m="1" x="1790"/>
        <item m="1" x="331"/>
        <item m="1" x="457"/>
        <item m="1" x="600"/>
        <item m="1" x="769"/>
        <item m="1" x="950"/>
        <item m="1" x="1125"/>
        <item m="1" x="1657"/>
        <item m="1" x="1835"/>
        <item m="1" x="213"/>
        <item m="1" x="369"/>
        <item m="1" x="487"/>
        <item m="1" x="822"/>
        <item m="1" x="1001"/>
        <item m="1" x="1177"/>
        <item m="1" x="1352"/>
        <item m="1" x="1531"/>
        <item m="1" x="1707"/>
        <item m="1" x="734"/>
        <item m="1" x="916"/>
        <item m="1" x="1090"/>
        <item m="1" x="1269"/>
        <item m="1" x="1450"/>
        <item m="1" x="1625"/>
        <item m="1" x="178"/>
        <item m="1" x="342"/>
        <item m="1" x="462"/>
        <item m="1" x="611"/>
        <item m="1" x="780"/>
        <item m="1" x="1312"/>
        <item m="1" x="1492"/>
        <item m="1" x="1666"/>
        <item m="1" x="223"/>
        <item m="1" x="1193"/>
        <item m="1" x="274"/>
        <item m="1" x="580"/>
        <item m="1" x="1461"/>
        <item m="1" x="1630"/>
        <item m="1" x="188"/>
        <item m="1" x="347"/>
        <item m="1" x="387"/>
        <item m="1" x="1906"/>
        <item m="1" x="755"/>
        <item m="1" x="1112"/>
        <item m="1" x="1289"/>
        <item m="1" x="1471"/>
        <item m="1" x="1641"/>
        <item m="1" x="1821"/>
        <item m="1" x="198"/>
        <item m="1" x="472"/>
        <item m="1" x="629"/>
        <item m="1" x="801"/>
        <item m="1" x="980"/>
        <item m="1" x="1156"/>
        <item m="1" x="1332"/>
        <item m="1" x="1687"/>
        <item m="1" x="1863"/>
        <item m="1" x="241"/>
        <item m="1" x="395"/>
        <item m="1" x="516"/>
        <item m="1" x="684"/>
        <item m="1" x="1215"/>
        <item m="1" x="1390"/>
        <item m="1" x="1570"/>
        <item m="1" x="1742"/>
        <item m="1" x="122"/>
        <item m="1" x="595"/>
        <item m="1" x="765"/>
        <item m="1" x="945"/>
        <item m="1" x="1121"/>
        <item m="1" x="1299"/>
        <item m="1" x="1483"/>
        <item m="1" x="1830"/>
        <item m="1" x="209"/>
        <item m="1" x="365"/>
        <item m="1" x="483"/>
        <item m="1" x="645"/>
        <item m="1" x="818"/>
        <item m="1" x="1171"/>
        <item m="1" x="1348"/>
        <item m="1" x="1525"/>
        <item m="1" x="1702"/>
        <item m="1" x="1879"/>
        <item m="1" x="259"/>
        <item m="1" x="406"/>
        <item m="1" x="527"/>
        <item m="1" x="695"/>
        <item m="1" x="870"/>
        <item m="1" x="1048"/>
        <item m="1" x="1226"/>
        <item m="1" x="1403"/>
        <item m="1" x="1753"/>
        <item m="1" x="133"/>
        <item m="1" x="606"/>
        <item m="1" x="776"/>
        <item m="1" x="957"/>
        <item m="1" x="1132"/>
        <item m="1" x="1487"/>
        <item m="1" x="1662"/>
        <item m="1" x="1841"/>
        <item m="1" x="220"/>
        <item m="1" x="376"/>
        <item m="1" x="495"/>
        <item m="1" x="835"/>
        <item m="1" x="1010"/>
        <item m="1" x="1188"/>
        <item m="1" x="1363"/>
        <item m="1" x="1543"/>
        <item m="1" x="1714"/>
        <item m="1" x="271"/>
        <item m="1" x="416"/>
        <item m="1" x="539"/>
        <item m="1" x="704"/>
        <item m="1" x="883"/>
        <item m="1" x="1058"/>
        <item m="1" x="1415"/>
        <item m="1" x="1589"/>
        <item m="1" x="1764"/>
        <item m="1" x="618"/>
        <item m="1" x="967"/>
        <item m="1" x="1319"/>
        <item m="1" x="1852"/>
        <item m="1" x="385"/>
        <item m="1" x="1025"/>
        <item m="1" x="671"/>
        <item m="1" x="1558"/>
        <item m="1" x="504"/>
        <item m="1" x="1728"/>
        <item m="1" x="1902"/>
        <item m="1" x="284"/>
        <item m="1" x="425"/>
        <item m="1" x="551"/>
        <item m="1" x="894"/>
        <item m="1" x="1067"/>
        <item m="1" x="1246"/>
        <item m="1" x="1425"/>
        <item m="1" x="1598"/>
        <item m="1" x="1776"/>
        <item m="1" x="321"/>
        <item m="1" x="796"/>
        <item m="1" x="976"/>
        <item m="1" x="1151"/>
        <item m="1" x="1328"/>
        <item m="1" x="1682"/>
        <item m="1" x="1860"/>
        <item m="1" x="236"/>
        <item m="1" x="290"/>
        <item m="1" x="511"/>
        <item m="1" x="680"/>
        <item m="1" x="1033"/>
        <item m="1" x="1212"/>
        <item m="1" x="1385"/>
        <item m="1" x="1566"/>
        <item m="1" x="1737"/>
        <item m="1" x="118"/>
        <item m="1" x="432"/>
        <item m="1" x="556"/>
        <item m="1" x="720"/>
        <item m="1" x="901"/>
        <item m="1" x="1075"/>
        <item m="1" x="1255"/>
        <item m="1" x="1610"/>
        <item m="1" x="1786"/>
        <item m="1" x="163"/>
        <item m="1" x="641"/>
        <item m="1" x="813"/>
        <item m="1" x="992"/>
        <item m="1" x="1344"/>
        <item m="1" x="1521"/>
        <item m="1" x="1697"/>
        <item m="1" x="1875"/>
        <item m="1" x="254"/>
        <item m="1" x="402"/>
        <item m="1" x="691"/>
        <item m="1" x="866"/>
        <item m="1" x="1043"/>
        <item m="1" x="1222"/>
        <item m="1" x="1398"/>
        <item m="1" x="1577"/>
        <item m="1" x="129"/>
        <item m="1" x="301"/>
        <item m="1" x="437"/>
        <item m="1" x="566"/>
        <item m="1" x="729"/>
        <item m="1" x="912"/>
        <item m="1" x="1265"/>
        <item m="1" x="1446"/>
        <item m="1" x="1620"/>
        <item m="1" x="1797"/>
        <item m="1" x="173"/>
        <item m="1" x="338"/>
        <item m="1" x="830"/>
        <item m="1" x="1007"/>
        <item m="1" x="1183"/>
        <item m="1" x="1359"/>
        <item m="1" x="1538"/>
        <item m="1" x="266"/>
        <item m="1" x="413"/>
        <item m="1" x="534"/>
        <item m="1" x="700"/>
        <item m="1" x="878"/>
        <item m="1" x="1055"/>
        <item m="1" x="1410"/>
        <item m="1" x="1586"/>
        <item m="1" x="1759"/>
        <item m="1" x="139"/>
        <item m="1" x="306"/>
        <item m="1" x="740"/>
        <item m="1" x="921"/>
        <item m="1" x="1097"/>
        <item m="1" x="1275"/>
        <item m="1" x="1456"/>
        <item m="1" x="184"/>
        <item m="1" x="668"/>
        <item m="1" x="844"/>
        <item m="1" x="1021"/>
        <item m="1" x="1200"/>
        <item m="1" x="279"/>
        <item m="1" x="421"/>
        <item m="1" x="546"/>
        <item m="1" x="710"/>
        <item m="1" x="1064"/>
        <item m="1" x="1242"/>
        <item m="1" x="1420"/>
        <item m="1" x="1594"/>
        <item m="1" x="1771"/>
        <item m="1" x="148"/>
        <item m="1" x="447"/>
        <item m="1" x="586"/>
        <item m="1" x="749"/>
        <item m="1" x="930"/>
        <item m="1" x="1106"/>
        <item m="1" x="1285"/>
        <item m="1" x="1636"/>
        <item m="1" x="1816"/>
        <item m="1" x="193"/>
        <item m="1" x="1373"/>
        <item m="1" x="1071"/>
        <item m="1" x="1252"/>
        <item m="1" x="1431"/>
        <item m="1" x="1605"/>
        <item m="1" x="1782"/>
        <item m="1" x="158"/>
        <item m="1" x="452"/>
        <item m="1" x="590"/>
        <item m="1" x="760"/>
        <item m="1" x="940"/>
        <item m="1" x="1117"/>
        <item m="1" x="1295"/>
        <item m="1" x="1647"/>
        <item m="1" x="1826"/>
        <item m="1" x="204"/>
        <item m="1" x="360"/>
        <item m="1" x="478"/>
        <item m="1" x="636"/>
        <item m="1" x="986"/>
        <item m="1" x="1162"/>
        <item m="1" x="1338"/>
        <item m="1" x="1517"/>
        <item m="1" x="1692"/>
        <item m="1" x="1870"/>
        <item m="1" x="561"/>
        <item m="1" x="725"/>
        <item m="1" x="906"/>
        <item m="1" x="1081"/>
        <item m="1" x="1260"/>
        <item m="1" x="1442"/>
        <item m="1" x="1791"/>
        <item m="1" x="168"/>
        <item m="1" x="332"/>
        <item m="1" x="458"/>
        <item m="1" x="601"/>
        <item m="1" x="771"/>
        <item m="1" x="1127"/>
        <item m="1" x="1304"/>
        <item m="1" x="1658"/>
        <item m="1" x="1836"/>
        <item m="1" x="215"/>
        <item m="1" x="489"/>
        <item m="1" x="651"/>
        <item m="1" x="824"/>
        <item m="1" x="1003"/>
        <item m="1" x="1178"/>
        <item m="1" x="1354"/>
        <item m="1" x="570"/>
        <item m="1" x="735"/>
        <item m="1" x="917"/>
        <item m="1" x="1091"/>
        <item m="1" x="1270"/>
        <item m="1" x="1451"/>
        <item m="1" x="1801"/>
        <item m="1" x="179"/>
        <item m="1" x="343"/>
        <item m="1" x="463"/>
        <item m="1" x="613"/>
        <item m="1" x="782"/>
        <item m="1" x="1137"/>
        <item m="1" x="1314"/>
        <item m="1" x="1493"/>
        <item m="1" x="1668"/>
        <item m="1" x="1847"/>
        <item m="1" x="225"/>
        <item m="1" x="499"/>
        <item m="1" x="665"/>
        <item m="1" x="839"/>
        <item m="1" x="1015"/>
        <item m="1" x="1195"/>
        <item m="1" x="1368"/>
        <item m="1" x="1719"/>
        <item m="1" x="1895"/>
        <item m="1" x="275"/>
        <item m="1" x="581"/>
        <item m="1" x="744"/>
        <item m="1" x="925"/>
        <item m="1" x="1279"/>
        <item m="1" x="1462"/>
        <item m="1" x="1631"/>
        <item m="1" x="1811"/>
        <item m="1" x="189"/>
        <item m="1" x="348"/>
        <item m="1" x="622"/>
        <item m="1" x="791"/>
        <item m="1" x="971"/>
        <item m="1" x="1145"/>
        <item m="1" x="1323"/>
        <item m="1" x="1501"/>
        <item m="1" x="1855"/>
        <item m="1" x="232"/>
        <item m="1" x="388"/>
        <item m="1" x="506"/>
        <item m="1" x="675"/>
        <item m="1" x="851"/>
        <item m="1" x="1207"/>
        <item m="1" x="1380"/>
        <item m="1" x="1562"/>
        <item m="1" x="1731"/>
        <item m="1" x="1908"/>
        <item m="1" x="935"/>
        <item m="1" x="1113"/>
        <item m="1" x="1290"/>
        <item m="1" x="1472"/>
        <item m="1" x="1642"/>
        <item m="1" x="1822"/>
        <item m="1" x="354"/>
        <item m="1" x="473"/>
        <item m="1" x="631"/>
        <item m="1" x="1158"/>
        <item m="1" x="1511"/>
        <item m="1" x="1688"/>
        <item m="1" x="1865"/>
        <item m="1" x="243"/>
        <item m="1" x="397"/>
        <item m="1" x="518"/>
        <item m="1" x="861"/>
        <item m="1" x="1038"/>
        <item m="1" x="1217"/>
        <item m="1" x="1392"/>
        <item m="1" x="1572"/>
        <item m="1" x="1744"/>
        <item m="1" x="296"/>
        <item m="1" x="596"/>
        <item m="1" x="766"/>
        <item m="1" x="946"/>
        <item m="1" x="1122"/>
        <item m="1" x="1300"/>
        <item m="1" x="1653"/>
        <item m="1" x="1831"/>
        <item m="1" x="210"/>
        <item m="1" x="366"/>
        <item m="1" x="484"/>
        <item m="1" x="647"/>
        <item m="1" x="997"/>
        <item m="1" x="1173"/>
        <item m="1" x="1349"/>
        <item m="1" x="1527"/>
        <item m="1" x="1704"/>
        <item m="1" x="1881"/>
        <item m="1" x="408"/>
        <item m="1" x="529"/>
        <item m="1" x="696"/>
        <item m="1" x="872"/>
        <item m="1" x="1050"/>
        <item m="1" x="1228"/>
        <item m="1" x="1582"/>
        <item m="1" x="1755"/>
        <item m="1" x="134"/>
        <item m="1" x="607"/>
        <item m="1" x="777"/>
        <item m="1" x="958"/>
        <item m="1" x="1308"/>
        <item m="1" x="1488"/>
        <item m="1" x="1663"/>
        <item m="1" x="1842"/>
        <item m="1" x="221"/>
        <item m="1" x="377"/>
        <item m="1" x="661"/>
        <item m="1" x="836"/>
        <item m="1" x="1012"/>
        <item m="1" x="1190"/>
        <item m="1" x="1365"/>
        <item m="1" x="1545"/>
        <item m="1" x="1891"/>
        <item m="1" x="541"/>
        <item m="1" x="706"/>
        <item m="1" x="885"/>
        <item m="1" x="1238"/>
        <item m="1" x="1416"/>
        <item m="1" x="1590"/>
        <item m="1" x="1766"/>
        <item m="1" x="144"/>
        <item m="1" x="312"/>
        <item m="1" x="787"/>
        <item m="1" x="968"/>
        <item m="1" x="1142"/>
        <item m="1" x="1320"/>
        <item m="1" x="1498"/>
        <item m="1" x="1674"/>
        <item m="1" x="229"/>
        <item m="1" x="673"/>
        <item m="1" x="1378"/>
        <item m="1" x="1560"/>
        <item m="1" x="1729"/>
        <item m="1" x="1904"/>
        <item m="1" x="286"/>
        <item m="1" x="427"/>
        <item m="1" x="715"/>
        <item m="1" x="896"/>
        <item m="1" x="1068"/>
        <item m="1" x="1248"/>
        <item m="1" x="1427"/>
        <item m="1" x="1600"/>
        <item m="1" x="153"/>
        <item m="1" x="323"/>
        <item m="1" x="627"/>
        <item m="1" x="797"/>
        <item m="1" x="977"/>
        <item m="1" x="1152"/>
        <item m="1" x="1506"/>
        <item m="1" x="1683"/>
        <item m="1" x="1861"/>
        <item m="1" x="237"/>
        <item m="1" x="392"/>
        <item m="1" x="512"/>
        <item m="1" x="856"/>
        <item m="1" x="1034"/>
        <item m="1" x="1213"/>
        <item m="1" x="1386"/>
        <item m="1" x="1567"/>
        <item m="1" x="1738"/>
        <item m="1" x="291"/>
        <item m="1" x="433"/>
        <item m="1" x="557"/>
        <item m="1" x="721"/>
        <item m="1" x="902"/>
        <item m="1" x="1076"/>
        <item m="1" x="1437"/>
        <item m="1" x="1611"/>
        <item m="1" x="1787"/>
        <item m="1" x="164"/>
        <item m="1" x="642"/>
        <item m="1" x="814"/>
        <item m="1" x="1167"/>
        <item m="1" x="1345"/>
        <item m="1" x="1522"/>
        <item m="1" x="1698"/>
        <item m="1" x="1876"/>
        <item m="1" x="255"/>
        <item m="1" x="523"/>
        <item m="1" x="692"/>
        <item m="1" x="867"/>
        <item m="1" x="1044"/>
        <item m="1" x="1223"/>
        <item m="1" x="1399"/>
        <item m="1" x="1749"/>
        <item m="1" x="130"/>
        <item m="1" x="302"/>
        <item m="1" x="438"/>
        <item m="1" x="567"/>
        <item m="1" x="730"/>
        <item m="1" x="1086"/>
        <item m="1" x="1266"/>
        <item m="1" x="1447"/>
        <item m="1" x="1621"/>
        <item m="1" x="1798"/>
        <item m="1" x="174"/>
        <item m="1" x="656"/>
        <item m="1" x="831"/>
        <item m="1" x="1008"/>
        <item m="1" x="1184"/>
        <item m="1" x="1360"/>
        <item m="1" x="1539"/>
        <item m="1" x="1886"/>
        <item m="1" x="267"/>
        <item m="1" x="414"/>
        <item m="1" x="535"/>
        <item m="1" x="701"/>
        <item m="1" x="879"/>
        <item m="1" x="1233"/>
        <item m="1" x="1411"/>
        <item m="1" x="1587"/>
        <item m="1" x="1760"/>
        <item m="1" x="140"/>
        <item m="1" x="307"/>
        <item m="1" x="576"/>
        <item m="1" x="741"/>
        <item m="1" x="922"/>
        <item m="1" x="1098"/>
        <item m="1" x="1276"/>
        <item m="1" x="1457"/>
        <item m="1" x="1807"/>
        <item m="1" x="185"/>
        <item m="1" x="669"/>
        <item m="1" x="845"/>
        <item m="1" x="1022"/>
        <item m="1" x="1201"/>
        <item m="1" x="1554"/>
        <item m="1" x="1725"/>
        <item m="1" x="1899"/>
        <item m="1" x="280"/>
        <item m="1" x="422"/>
        <item m="1" x="547"/>
        <item m="1" x="890"/>
        <item m="1" x="1065"/>
        <item m="1" x="1243"/>
        <item m="1" x="1421"/>
        <item m="1" x="1595"/>
        <item m="1" x="1772"/>
        <item m="1" x="317"/>
        <item m="1" x="448"/>
        <item m="1" x="587"/>
        <item m="1" x="750"/>
        <item m="1" x="931"/>
        <item m="1" x="1107"/>
        <item m="1" x="1466"/>
        <item m="1" x="1637"/>
        <item m="1" x="1817"/>
        <item m="1" x="194"/>
        <item m="1" x="352"/>
        <item m="1" x="1253"/>
        <item m="1" x="1432"/>
        <item m="1" x="1606"/>
        <item m="1" x="1783"/>
        <item m="1" x="327"/>
        <item m="1" x="453"/>
        <item m="1" x="591"/>
        <item m="1" x="761"/>
        <item m="1" x="941"/>
        <item m="1" x="1118"/>
        <item m="1" x="1478"/>
        <item m="1" x="1648"/>
        <item m="1" x="1827"/>
        <item m="1" x="205"/>
        <item m="1" x="361"/>
        <item m="1" x="479"/>
        <item m="1" x="808"/>
        <item m="1" x="987"/>
        <item m="1" x="1163"/>
        <item m="1" x="1339"/>
        <item m="1" x="1518"/>
        <item m="1" x="1693"/>
        <item m="1" x="249"/>
        <item m="1" x="562"/>
        <item m="1" x="726"/>
        <item m="1" x="907"/>
        <item m="1" x="1082"/>
        <item m="1" x="1261"/>
        <item m="1" x="1615"/>
        <item m="1" x="1792"/>
        <item m="1" x="169"/>
        <item m="1" x="333"/>
        <item m="1" x="459"/>
        <item m="1" x="602"/>
        <item m="1" x="952"/>
        <item m="1" x="1128"/>
        <item m="1" x="1305"/>
        <item m="1" x="1659"/>
        <item m="1" x="1837"/>
        <item m="1" x="371"/>
        <item m="1" x="490"/>
        <item m="1" x="652"/>
        <item m="1" x="825"/>
        <item m="1" x="1004"/>
        <item m="1" x="1179"/>
        <item m="1" x="1533"/>
        <item m="1" x="571"/>
        <item m="1" x="736"/>
        <item m="1" x="918"/>
        <item m="1" x="1092"/>
        <item m="1" x="1271"/>
        <item m="1" x="1626"/>
        <item m="1" x="1802"/>
        <item m="1" x="180"/>
        <item m="1" x="344"/>
        <item m="1" x="464"/>
        <item m="1" x="614"/>
        <item m="1" x="962"/>
        <item m="1" x="1138"/>
        <item m="1" x="1315"/>
        <item m="1" x="1494"/>
        <item m="1" x="1669"/>
        <item m="1" x="1848"/>
        <item m="1" x="381"/>
        <item m="1" x="500"/>
        <item m="1" x="666"/>
        <item m="1" x="840"/>
        <item m="1" x="1016"/>
        <item m="1" x="1196"/>
        <item m="1" x="1549"/>
        <item m="1" x="1720"/>
        <item m="1" x="1896"/>
        <item m="1" x="276"/>
        <item m="1" x="582"/>
        <item m="1" x="745"/>
        <item m="1" x="1102"/>
        <item m="1" x="1280"/>
        <item m="1" x="1463"/>
        <item m="1" x="1632"/>
        <item m="1" x="1812"/>
        <item m="1" x="190"/>
        <item m="1" x="468"/>
        <item m="1" x="623"/>
        <item m="1" x="792"/>
        <item m="1" x="972"/>
        <item m="1" x="1146"/>
        <item m="1" x="1324"/>
        <item m="1" x="1677"/>
        <item m="1" x="1856"/>
        <item m="1" x="233"/>
        <item m="1" x="389"/>
        <item m="1" x="507"/>
        <item m="1" x="676"/>
        <item m="1" x="1028"/>
        <item m="1" x="1208"/>
        <item m="1" x="1381"/>
        <item m="1" x="1732"/>
        <item m="1" x="1909"/>
        <item m="1" x="1114"/>
        <item m="1" x="1291"/>
        <item m="1" x="1473"/>
        <item m="1" x="1643"/>
        <item m="1" x="199"/>
        <item m="1" x="355"/>
        <item m="1" x="474"/>
        <item m="1" x="632"/>
        <item m="1" x="803"/>
        <item m="1" x="982"/>
        <item m="1" x="1334"/>
        <item m="1" x="1512"/>
        <item m="1" x="1689"/>
        <item m="1" x="1866"/>
        <item m="1" x="244"/>
        <item m="1" x="398"/>
        <item m="1" x="686"/>
        <item m="1" x="862"/>
        <item m="1" x="1039"/>
        <item m="1" x="1218"/>
        <item m="1" x="1393"/>
        <item m="1" x="1573"/>
        <item m="1" x="124"/>
        <item m="1" x="297"/>
        <item m="1" x="597"/>
        <item m="1" x="767"/>
        <item m="1" x="947"/>
        <item m="1" x="1123"/>
        <item m="1" x="1484"/>
        <item m="1" x="1654"/>
        <item m="1" x="1832"/>
        <item m="1" x="211"/>
        <item m="1" x="367"/>
        <item m="1" x="485"/>
        <item m="1" x="820"/>
        <item m="1" x="998"/>
        <item m="1" x="1174"/>
        <item m="1" x="1350"/>
        <item m="1" x="1528"/>
        <item m="1" x="1705"/>
        <item m="1" x="261"/>
        <item m="1" x="409"/>
        <item m="1" x="530"/>
        <item m="1" x="873"/>
        <item m="1" x="1051"/>
        <item m="1" x="1405"/>
        <item m="1" x="1583"/>
        <item m="1" x="1756"/>
        <item m="1" x="135"/>
        <item m="1" x="608"/>
        <item m="1" x="778"/>
        <item m="1" x="1133"/>
        <item m="1" x="1309"/>
        <item m="1" x="1489"/>
        <item m="1" x="1664"/>
        <item m="1" x="1843"/>
        <item m="1" x="1072"/>
        <item m="1" x="1433"/>
        <item m="1" x="1607"/>
        <item m="1" x="159"/>
        <item m="1" x="328"/>
        <item m="1" x="454"/>
        <item m="1" x="592"/>
        <item m="1" x="762"/>
        <item m="1" x="942"/>
        <item m="1" x="1296"/>
        <item m="1" x="1479"/>
        <item m="1" x="1649"/>
        <item m="1" x="206"/>
        <item m="1" x="362"/>
        <item m="1" x="637"/>
        <item m="1" x="809"/>
        <item m="1" x="988"/>
        <item m="1" x="1164"/>
        <item m="1" x="1340"/>
        <item m="1" x="1519"/>
        <item m="1" x="1871"/>
        <item m="1" x="250"/>
        <item m="1" x="563"/>
        <item m="1" x="908"/>
        <item m="1" x="1083"/>
        <item m="1" x="1443"/>
        <item m="1" x="1616"/>
        <item m="1" x="1793"/>
        <item m="1" x="170"/>
        <item m="1" x="334"/>
        <item m="1" x="460"/>
        <item m="1" x="772"/>
        <item m="1" x="953"/>
        <item m="1" x="1129"/>
        <item m="1" x="1660"/>
        <item m="1" x="216"/>
        <item m="1" x="372"/>
        <item m="1" x="491"/>
        <item m="1" x="653"/>
        <item m="1" x="826"/>
        <item m="1" x="1005"/>
        <item m="1" x="1355"/>
        <item m="1" x="1534"/>
        <item m="1" x="572"/>
        <item m="1" x="737"/>
        <item m="1" x="919"/>
        <item m="1" x="1093"/>
        <item m="1" x="1452"/>
        <item m="1" x="1627"/>
        <item m="1" x="1803"/>
        <item m="1" x="181"/>
        <item m="1" x="345"/>
        <item m="1" x="465"/>
        <item m="1" x="783"/>
        <item m="1" x="963"/>
        <item m="1" x="1139"/>
        <item m="1" x="1316"/>
        <item m="1" x="1495"/>
        <item m="1" x="1670"/>
        <item m="1" x="226"/>
        <item m="1" x="382"/>
        <item m="1" x="501"/>
        <item m="1" x="841"/>
        <item m="1" x="1017"/>
        <item m="1" x="1369"/>
        <item m="1" x="1550"/>
        <item m="1" x="1721"/>
        <item m="1" x="1897"/>
        <item m="1" x="277"/>
        <item m="1" x="583"/>
        <item m="1" x="926"/>
        <item m="1" x="1103"/>
        <item m="1" x="1281"/>
        <item m="1" x="1633"/>
        <item m="1" x="1813"/>
        <item m="1" x="349"/>
        <item m="1" x="469"/>
        <item m="1" x="624"/>
        <item m="1" x="793"/>
        <item m="1" x="973"/>
        <item m="1" x="1147"/>
        <item m="1" x="1502"/>
        <item m="1" x="1678"/>
        <item m="1" x="1857"/>
        <item m="1" x="852"/>
        <item m="1" x="1029"/>
        <item m="1" x="1209"/>
        <item m="1" x="1382"/>
        <item m="1" x="1563"/>
        <item m="1" x="1733"/>
        <item m="1" x="756"/>
        <item m="1" x="936"/>
        <item m="1" x="1292"/>
        <item m="1" x="1474"/>
        <item m="1" x="1823"/>
        <item m="1" x="200"/>
        <item m="1" x="356"/>
        <item m="1" x="475"/>
        <item m="1" x="633"/>
        <item m="1" x="804"/>
        <item m="1" x="1159"/>
        <item m="1" x="1335"/>
        <item m="1" x="1513"/>
        <item m="1" x="1867"/>
        <item m="1" x="245"/>
        <item m="1" x="519"/>
        <item m="1" x="687"/>
        <item m="1" x="863"/>
        <item m="1" x="1040"/>
        <item m="1" x="1219"/>
        <item m="1" x="1394"/>
        <item m="1" x="1745"/>
        <item m="1" x="125"/>
        <item m="1" x="298"/>
        <item m="1" x="598"/>
        <item m="1" x="768"/>
        <item m="1" x="948"/>
        <item m="1" x="1301"/>
        <item m="1" x="1485"/>
        <item m="1" x="1655"/>
        <item m="1" x="1833"/>
        <item m="1" x="212"/>
        <item m="1" x="368"/>
        <item m="1" x="648"/>
        <item m="1" x="821"/>
        <item m="1" x="999"/>
        <item m="1" x="1175"/>
        <item m="1" x="1351"/>
        <item m="1" x="1529"/>
        <item m="1" x="1882"/>
        <item m="1" x="262"/>
        <item m="1" x="410"/>
        <item m="1" x="531"/>
        <item m="1" x="697"/>
        <item m="1" x="874"/>
        <item m="1" x="1229"/>
        <item m="1" x="1406"/>
        <item m="1" x="136"/>
        <item m="1" x="609"/>
        <item m="1" x="959"/>
        <item m="1" x="1134"/>
        <item m="1" x="1310"/>
        <item m="1" x="1490"/>
        <item m="1" x="1665"/>
        <item m="1" x="1844"/>
        <item m="1" x="378"/>
        <item m="1" x="496"/>
        <item m="1" x="662"/>
        <item m="1" x="837"/>
        <item m="1" x="1013"/>
        <item m="1" x="1191"/>
        <item m="1" x="1546"/>
        <item m="1" x="1716"/>
        <item m="1" x="1892"/>
        <item m="1" x="272"/>
        <item m="1" x="418"/>
        <item m="1" x="542"/>
        <item m="1" x="886"/>
        <item m="1" x="1060"/>
        <item m="1" x="1239"/>
        <item m="1" x="1417"/>
        <item m="1" x="1591"/>
        <item m="1" x="1767"/>
        <item m="1" x="313"/>
        <item m="1" x="619"/>
        <item m="1" x="788"/>
        <item m="1" x="969"/>
        <item m="1" x="1143"/>
        <item m="1" x="1321"/>
        <item m="1" x="1675"/>
        <item m="1" x="1853"/>
        <item m="1" x="230"/>
        <item m="1" x="386"/>
        <item m="1" x="505"/>
        <item m="1" x="428"/>
        <item m="1" x="553"/>
        <item m="1" x="716"/>
        <item m="1" x="897"/>
        <item m="1" x="1069"/>
        <item m="1" x="1249"/>
        <item m="1" x="1601"/>
        <item m="1" x="1778"/>
        <item m="1" x="154"/>
        <item m="1" x="324"/>
        <item m="1" x="628"/>
        <item m="1" x="798"/>
        <item m="1" x="1153"/>
        <item m="1" x="1329"/>
        <item m="1" x="1507"/>
        <item m="1" x="1684"/>
        <item m="1" x="1862"/>
        <item m="1" x="238"/>
        <item m="1" x="513"/>
        <item m="1" x="681"/>
        <item m="1" x="857"/>
        <item m="1" x="1035"/>
        <item m="1" x="1214"/>
        <item m="1" x="1387"/>
        <item m="1" x="1739"/>
        <item m="1" x="119"/>
        <item m="1" x="292"/>
        <item m="1" x="434"/>
        <item m="1" x="558"/>
        <item m="1" x="722"/>
        <item m="1" x="1077"/>
        <item m="1" x="1256"/>
        <item m="1" x="1438"/>
        <item m="1" x="1612"/>
        <item m="1" x="1788"/>
        <item m="1" x="165"/>
        <item m="1" x="815"/>
        <item m="1" x="993"/>
        <item m="1" x="1168"/>
        <item m="1" x="1346"/>
        <item m="1" x="1523"/>
        <item m="1" x="1699"/>
        <item m="1" x="256"/>
        <item m="1" x="403"/>
        <item m="1" x="524"/>
        <item m="1" x="693"/>
        <item m="1" x="868"/>
        <item m="1" x="1045"/>
        <item m="1" x="1400"/>
        <item m="1" x="1578"/>
        <item m="1" x="1750"/>
        <item m="1" x="131"/>
        <item m="1" x="303"/>
        <item m="1" x="439"/>
        <item m="1" x="731"/>
        <item m="1" x="913"/>
        <item m="1" x="1087"/>
        <item m="1" x="1267"/>
        <item m="1" x="1448"/>
        <item m="1" x="1622"/>
        <item m="1" x="175"/>
        <item m="1" x="339"/>
        <item m="1" x="657"/>
        <item m="1" x="832"/>
        <item m="1" x="1009"/>
        <item m="1" x="1185"/>
        <item m="1" x="1540"/>
        <item m="1" x="1711"/>
        <item m="1" x="1887"/>
        <item m="1" x="268"/>
        <item m="1" x="415"/>
        <item m="1" x="536"/>
        <item m="1" x="880"/>
        <item m="1" x="1234"/>
        <item m="1" x="1412"/>
        <item m="1" x="1588"/>
        <item m="1" x="1761"/>
        <item m="1" x="308"/>
        <item m="1" x="443"/>
        <item m="1" x="577"/>
        <item m="1" x="742"/>
        <item m="1" x="923"/>
        <item m="1" x="1099"/>
        <item m="1" x="1458"/>
        <item m="1" x="1808"/>
        <item m="1" x="186"/>
        <item m="1" x="670"/>
        <item m="1" x="846"/>
        <item m="1" x="1202"/>
        <item m="1" x="1374"/>
        <item m="1" x="1555"/>
        <item m="1" x="1726"/>
        <item m="1" x="1900"/>
        <item m="1" x="281"/>
        <item m="1" x="548"/>
        <item m="1" x="711"/>
        <item m="1" x="891"/>
        <item m="1" x="1244"/>
        <item m="1" x="1422"/>
        <item m="1" x="1773"/>
        <item m="1" x="149"/>
        <item m="1" x="318"/>
        <item m="1" x="449"/>
        <item m="1" x="588"/>
        <item m="1" x="751"/>
        <item m="1" x="1108"/>
        <item m="1" x="1286"/>
        <item m="1" x="1467"/>
        <item m="1" x="1638"/>
        <item m="1" x="1818"/>
        <item m="1" x="1434"/>
        <item m="1" x="1784"/>
        <item m="1" x="160"/>
        <item m="1" x="329"/>
        <item m="1" x="455"/>
        <item m="1" x="593"/>
        <item m="1" x="763"/>
        <item m="1" x="1119"/>
        <item m="1" x="1297"/>
        <item m="1" x="1480"/>
        <item m="1" x="1650"/>
        <item m="1" x="1828"/>
        <item m="1" x="207"/>
        <item m="1" x="480"/>
        <item m="1" x="638"/>
        <item m="1" x="810"/>
        <item m="1" x="989"/>
        <item m="1" x="1165"/>
        <item m="1" x="1341"/>
        <item m="1" x="1694"/>
        <item m="1" x="1872"/>
        <item m="1" x="251"/>
        <item m="1" x="727"/>
        <item m="1" x="909"/>
        <item m="1" x="1262"/>
        <item m="1" x="1444"/>
        <item m="1" x="1617"/>
        <item m="1" x="1794"/>
        <item m="1" x="171"/>
        <item m="1" x="335"/>
        <item m="1" x="603"/>
        <item m="1" x="773"/>
        <item m="1" x="954"/>
        <item m="1" x="1306"/>
        <item m="1" x="1838"/>
        <item m="1" x="217"/>
        <item m="1" x="373"/>
        <item m="1" x="492"/>
        <item m="1" x="654"/>
        <item m="1" x="827"/>
        <item m="1" x="1180"/>
        <item m="1" x="1356"/>
        <item m="1" x="1535"/>
        <item m="1" x="1709"/>
        <item m="1" x="573"/>
        <item m="1" x="738"/>
        <item m="1" x="1094"/>
        <item m="1" x="1272"/>
        <item m="1" x="1453"/>
        <item m="1" x="1628"/>
        <item m="1" x="1804"/>
        <item m="1" x="182"/>
        <item m="1" x="466"/>
        <item m="1" x="615"/>
        <item m="1" x="784"/>
        <item m="1" x="964"/>
        <item m="1" x="1140"/>
        <item m="1" x="1317"/>
        <item m="1" x="1671"/>
        <item m="1" x="1849"/>
        <item m="1" x="227"/>
        <item m="1" x="502"/>
        <item m="1" x="667"/>
        <item m="1" x="1018"/>
        <item m="1" x="1197"/>
        <item m="1" x="1370"/>
        <item m="1" x="1551"/>
        <item m="1" x="1722"/>
        <item m="1" x="1898"/>
        <item m="1" x="584"/>
        <item m="1" x="746"/>
        <item m="1" x="927"/>
        <item m="1" x="1282"/>
        <item m="1" x="1464"/>
        <item m="1" x="1814"/>
        <item m="1" x="625"/>
        <item m="1" x="794"/>
        <item m="1" x="1148"/>
        <item m="1" x="1325"/>
        <item m="1" x="1503"/>
        <item m="1" x="1679"/>
        <item m="1" x="1858"/>
        <item m="1" x="234"/>
        <item m="1" x="508"/>
        <item m="1" x="677"/>
        <item m="1" x="853"/>
        <item m="1" x="1030"/>
        <item m="1" x="1210"/>
        <item m="1" x="1383"/>
        <item m="1" x="1734"/>
        <item m="1" x="1910"/>
        <item m="1" x="757"/>
        <item m="1" x="937"/>
        <item m="1" x="1115"/>
        <item m="1" x="1475"/>
        <item m="1" x="1644"/>
        <item m="1" x="1824"/>
        <item m="1" x="201"/>
        <item m="1" x="357"/>
        <item m="1" x="476"/>
        <item m="1" x="805"/>
        <item m="1" x="983"/>
        <item m="1" x="1160"/>
        <item m="1" x="1514"/>
        <item m="1" x="1690"/>
        <item m="1" x="246"/>
        <item m="1" x="399"/>
        <item m="1" x="520"/>
        <item m="1" x="688"/>
        <item m="1" x="864"/>
        <item m="1" x="1041"/>
        <item m="1" x="1395"/>
        <item m="1" x="1574"/>
        <item m="1" x="1746"/>
        <item m="1" x="126"/>
        <item m="1" x="299"/>
        <item m="1" x="599"/>
        <item m="1" x="949"/>
        <item m="1" x="1124"/>
        <item m="1" x="1302"/>
        <item m="1" x="1656"/>
        <item m="1" x="1834"/>
        <item m="1" x="486"/>
        <item m="1" x="649"/>
        <item m="1" x="1000"/>
        <item m="1" x="1176"/>
        <item m="1" x="1530"/>
        <item m="1" x="1706"/>
        <item m="1" x="1883"/>
        <item m="1" x="263"/>
        <item m="1" x="411"/>
        <item m="1" x="532"/>
        <item m="1" x="875"/>
        <item m="1" x="1052"/>
        <item m="1" x="1230"/>
        <item m="1" x="1407"/>
        <item m="1" x="1584"/>
        <item m="1" x="1757"/>
        <item m="1" x="610"/>
        <item m="1" x="779"/>
        <item m="1" x="960"/>
        <item m="1" x="1135"/>
        <item m="1" x="1311"/>
        <item m="1" x="1491"/>
        <item m="1" x="1845"/>
        <item m="1" x="222"/>
        <item m="1" x="379"/>
        <item m="1" x="497"/>
        <item m="1" x="663"/>
        <item m="1" x="838"/>
        <item m="1" x="1192"/>
        <item m="1" x="1366"/>
        <item m="1" x="1547"/>
        <item m="1" x="1717"/>
        <item m="1" x="1893"/>
        <item m="1" x="273"/>
        <item m="1" x="543"/>
        <item m="1" x="707"/>
        <item m="1" x="887"/>
        <item m="1" x="1061"/>
        <item m="1" x="1240"/>
        <item m="1" x="1418"/>
        <item m="1" x="1768"/>
        <item m="1" x="145"/>
        <item m="1" x="314"/>
        <item m="1" x="620"/>
        <item m="1" x="789"/>
        <item m="1" x="970"/>
        <item m="1" x="1499"/>
        <item m="1" x="674"/>
        <item m="1" x="850"/>
        <item m="1" x="1027"/>
        <item m="1" x="1206"/>
        <item m="1" x="1379"/>
        <item m="1" x="1561"/>
        <item m="1" x="1905"/>
        <item m="1" x="287"/>
        <item m="1" x="429"/>
        <item m="1" x="554"/>
        <item m="1" x="717"/>
        <item m="1" x="898"/>
        <item m="1" x="1250"/>
        <item m="1" x="1428"/>
        <item m="1" x="1602"/>
        <item m="1" x="1779"/>
        <item m="1" x="155"/>
        <item m="1" x="325"/>
        <item m="1" x="800"/>
        <item m="1" x="979"/>
        <item m="1" x="1155"/>
        <item m="1" x="1331"/>
        <item m="1" x="1509"/>
        <item m="1" x="1686"/>
        <item m="1" x="240"/>
        <item m="1" x="394"/>
        <item m="1" x="515"/>
        <item m="1" x="683"/>
        <item m="1" x="859"/>
        <item m="1" x="1037"/>
        <item m="1" x="1389"/>
        <item m="1" x="1569"/>
        <item m="1" x="1741"/>
        <item m="1" x="121"/>
        <item m="1" x="294"/>
        <item m="1" x="435"/>
        <item m="1" x="723"/>
        <item m="1" x="903"/>
        <item m="1" x="1078"/>
        <item m="1" x="1257"/>
        <item m="1" x="1439"/>
        <item m="1" x="1613"/>
        <item m="1" x="166"/>
        <item m="1" x="644"/>
        <item m="1" x="817"/>
        <item m="1" x="995"/>
        <item m="1" x="1170"/>
        <item m="1" x="1347"/>
        <item m="1" x="1701"/>
        <item m="1" x="1878"/>
        <item m="1" x="258"/>
        <item m="1" x="405"/>
        <item m="1" x="526"/>
        <item m="1" x="694"/>
        <item m="1" x="1047"/>
        <item m="1" x="1225"/>
        <item m="1" x="1402"/>
        <item m="1" x="1580"/>
        <item m="1" x="1752"/>
        <item m="1" x="132"/>
        <item m="1" x="440"/>
        <item m="1" x="568"/>
        <item m="1" x="732"/>
        <item m="1" x="914"/>
        <item m="1" x="1088"/>
        <item m="1" x="1268"/>
        <item m="1" x="1623"/>
        <item m="1" x="1799"/>
        <item m="1" x="176"/>
        <item m="1" x="340"/>
        <item m="1" x="659"/>
        <item m="1" x="834"/>
        <item m="1" x="1187"/>
        <item m="1" x="1362"/>
        <item m="1" x="1542"/>
        <item m="1" x="1713"/>
        <item m="1" x="1889"/>
        <item m="1" x="270"/>
        <item m="1" x="538"/>
        <item m="1" x="703"/>
        <item m="1" x="882"/>
        <item m="1" x="1057"/>
        <item m="1" x="1236"/>
        <item m="1" x="1414"/>
        <item m="1" x="1763"/>
        <item m="1" x="142"/>
        <item m="1" x="310"/>
        <item m="1" x="444"/>
        <item m="1" x="578"/>
        <item m="1" x="743"/>
        <item m="1" x="1100"/>
        <item m="1" x="1277"/>
        <item m="1" x="1459"/>
        <item m="1" x="1809"/>
        <item m="1" x="187"/>
        <item m="1" x="848"/>
        <item m="1" x="1024"/>
        <item m="1" x="1204"/>
        <item m="1" x="1376"/>
        <item m="1" x="1557"/>
        <item m="1" x="1727"/>
        <item m="1" x="283"/>
        <item m="1" x="424"/>
        <item m="1" x="550"/>
        <item m="1" x="713"/>
        <item m="1" x="893"/>
        <item m="1" x="1066"/>
        <item m="1" x="1424"/>
        <item m="1" x="1597"/>
        <item m="1" x="1775"/>
        <item m="1" x="151"/>
        <item m="1" x="320"/>
        <item m="1" x="450"/>
        <item m="1" x="752"/>
        <item m="1" x="932"/>
        <item m="1" x="1109"/>
        <item m="1" x="1287"/>
        <item m="1" x="1468"/>
        <item m="1" x="1639"/>
        <item m="1" x="195"/>
        <item m="1" x="1073"/>
        <item m="1" x="1435"/>
        <item m="1" x="1608"/>
        <item m="1" x="1785"/>
        <item m="1" x="161"/>
        <item m="1" x="330"/>
        <item m="1" x="456"/>
        <item m="1" x="764"/>
        <item m="1" x="943"/>
        <item m="1" x="1120"/>
        <item m="1" x="1298"/>
        <item m="1" x="1481"/>
        <item m="1" x="1651"/>
        <item m="1" x="208"/>
        <item m="1" x="363"/>
        <item m="1" x="481"/>
        <item m="1" x="639"/>
        <item m="1" x="811"/>
        <item m="1" x="990"/>
        <item m="1" x="1342"/>
        <item m="1" x="1520"/>
        <item m="1" x="1695"/>
        <item m="1" x="1873"/>
        <item m="1" x="252"/>
        <item m="1" x="564"/>
        <item m="1" x="910"/>
        <item m="1" x="1084"/>
        <item m="1" x="1263"/>
        <item m="1" x="1445"/>
        <item m="1" x="1618"/>
        <item m="1" x="1795"/>
        <item m="1" x="336"/>
        <item m="1" x="461"/>
        <item m="1" x="604"/>
        <item m="1" x="774"/>
        <item m="1" x="955"/>
        <item m="1" x="1130"/>
        <item m="1" x="1661"/>
        <item m="1" x="1839"/>
        <item m="1" x="218"/>
        <item m="1" x="374"/>
        <item m="1" x="493"/>
        <item m="1" x="828"/>
        <item m="1" x="1006"/>
        <item m="1" x="1181"/>
        <item m="1" x="1357"/>
        <item m="1" x="1536"/>
        <item m="1" x="574"/>
        <item m="1" x="920"/>
        <item m="1" x="1095"/>
        <item m="1" x="1273"/>
        <item m="1" x="1454"/>
        <item m="1" x="1629"/>
        <item m="1" x="1805"/>
        <item m="1" x="346"/>
        <item m="1" x="467"/>
        <item m="1" x="616"/>
        <item m="1" x="785"/>
        <item m="1" x="965"/>
        <item m="1" x="1141"/>
        <item m="1" x="1496"/>
        <item m="1" x="1672"/>
        <item m="1" x="1850"/>
        <item m="1" x="383"/>
        <item m="1" x="503"/>
        <item m="1" x="842"/>
        <item m="1" x="1019"/>
        <item m="1" x="1198"/>
        <item m="1" x="1371"/>
        <item m="1" x="1552"/>
        <item m="1" x="1723"/>
        <item m="1" x="585"/>
        <item m="1" x="747"/>
        <item m="1" x="928"/>
        <item m="1" x="1104"/>
        <item m="1" x="1283"/>
        <item m="1" x="1634"/>
        <item m="1" x="1815"/>
        <item m="1" x="191"/>
        <item m="1" x="350"/>
        <item m="1" x="470"/>
        <item m="1" x="626"/>
        <item m="1" x="974"/>
        <item m="1" x="1149"/>
        <item m="1" x="1326"/>
        <item m="1" x="1504"/>
        <item m="1" x="1680"/>
        <item m="1" x="1859"/>
        <item m="1" x="390"/>
        <item m="1" x="509"/>
        <item m="1" x="678"/>
        <item m="1" x="854"/>
        <item m="1" x="1031"/>
        <item m="1" x="1211"/>
        <item m="1" x="1564"/>
        <item m="1" x="1735"/>
        <item m="1" x="1911"/>
        <item m="1" x="759"/>
        <item m="1" x="939"/>
        <item m="1" x="1294"/>
        <item m="1" x="1477"/>
        <item m="1" x="1646"/>
        <item m="1" x="1825"/>
        <item m="1" x="203"/>
        <item m="1" x="359"/>
        <item m="1" x="635"/>
        <item m="1" x="807"/>
        <item m="1" x="985"/>
        <item m="1" x="1161"/>
        <item m="1" x="1337"/>
        <item m="1" x="1516"/>
        <item m="1" x="1869"/>
        <item m="1" x="248"/>
        <item m="1" x="400"/>
        <item m="1" x="521"/>
        <item m="1" x="689"/>
        <item m="1" x="865"/>
        <item m="1" x="1220"/>
        <item m="1" x="1396"/>
        <item m="1" x="1575"/>
        <item m="1" x="1747"/>
        <item m="1" x="127"/>
        <item m="1" x="300"/>
        <item m="1" x="770"/>
        <item m="1" x="951"/>
        <item m="1" x="1126"/>
        <item m="1" x="1303"/>
        <item m="1" x="214"/>
        <item m="1" x="370"/>
        <item m="1" x="488"/>
        <item m="1" x="650"/>
        <item m="1" x="823"/>
        <item m="1" x="1002"/>
        <item m="1" x="1353"/>
        <item m="1" x="1532"/>
        <item m="1" x="1708"/>
        <item m="1" x="1884"/>
        <item m="1" x="264"/>
        <item m="1" x="412"/>
        <item m="1" x="698"/>
        <item m="1" x="876"/>
        <item m="1" x="1053"/>
        <item m="1" x="1231"/>
        <item m="1" x="1408"/>
        <item m="1" x="1585"/>
        <item m="1" x="137"/>
        <item m="1" x="612"/>
        <item m="1" x="781"/>
        <item m="1" x="961"/>
        <item m="1" x="1136"/>
        <item m="1" x="1313"/>
        <item m="1" x="1667"/>
        <item m="1" x="1846"/>
        <item m="1" x="224"/>
        <item m="1" x="380"/>
        <item m="1" x="498"/>
        <item m="1" x="664"/>
        <item m="1" x="1014"/>
        <item m="1" x="1194"/>
        <item m="1" x="1367"/>
        <item m="1" x="1548"/>
        <item m="1" x="1718"/>
        <item m="1" x="1894"/>
        <item m="1" x="419"/>
        <item m="1" x="544"/>
        <item m="1" x="708"/>
        <item m="1" x="888"/>
        <item m="1" x="1062"/>
        <item m="1" x="1241"/>
        <item m="1" x="1592"/>
        <item m="1" x="1769"/>
        <item m="1" x="146"/>
        <item m="1" x="315"/>
        <item m="1" x="621"/>
        <item m="1" x="790"/>
        <item m="1" x="1144"/>
        <item m="1" x="1322"/>
        <item m="1" x="1500"/>
        <item m="1" x="1676"/>
        <item m="1" x="1854"/>
        <item m="1" x="231"/>
        <item m="1" x="1730"/>
        <item m="1" x="1907"/>
        <item m="1" x="288"/>
        <item m="1" x="430"/>
        <item m="1" x="555"/>
        <item m="1" x="718"/>
        <item m="1" x="1070"/>
        <item m="1" x="1251"/>
        <item m="1" x="1429"/>
        <item m="1" x="1603"/>
        <item m="1" x="1780"/>
        <item m="1" x="156"/>
        <item m="1" x="630"/>
        <item m="1" x="802"/>
        <item m="1" x="981"/>
        <item m="1" x="1157"/>
        <item m="1" x="1333"/>
        <item m="1" x="1510"/>
        <item m="1" x="1864"/>
        <item m="1" x="242"/>
        <item m="1" x="396"/>
        <item m="1" x="517"/>
        <item m="1" x="685"/>
        <item m="1" x="860"/>
        <item m="1" x="1216"/>
        <item m="1" x="1391"/>
        <item m="1" x="1571"/>
        <item m="1" x="1743"/>
        <item m="1" x="123"/>
        <item m="1" x="295"/>
        <item m="1" x="559"/>
        <item m="1" x="724"/>
        <item m="1" x="904"/>
        <item m="1" x="1079"/>
        <item m="1" x="1258"/>
        <item m="1" x="1440"/>
        <item m="1" x="1789"/>
        <item m="1" x="167"/>
        <item m="1" x="646"/>
        <item m="1" x="819"/>
        <item m="1" x="996"/>
        <item m="1" x="1172"/>
        <item m="1" x="1526"/>
        <item m="1" x="1703"/>
        <item m="1" x="1880"/>
        <item m="1" x="260"/>
        <item m="1" x="407"/>
        <item m="1" x="528"/>
        <item m="1" x="871"/>
        <item m="1" x="1049"/>
        <item m="1" x="1227"/>
        <item m="1" x="1404"/>
        <item m="1" x="1581"/>
        <item m="1" x="1754"/>
        <item m="1" x="304"/>
        <item m="1" x="441"/>
        <item m="1" x="569"/>
        <item m="1" x="733"/>
        <item m="1" x="915"/>
        <item m="1" x="1089"/>
        <item m="1" x="1449"/>
        <item m="1" x="1624"/>
        <item m="1" x="1800"/>
        <item m="1" x="177"/>
        <item m="1" x="341"/>
        <item m="1" x="660"/>
        <item m="1" x="1011"/>
        <item m="1" x="1189"/>
        <item m="1" x="1364"/>
        <item m="1" x="1544"/>
        <item m="1" x="1715"/>
        <item m="1" x="1890"/>
        <item m="1" x="417"/>
        <item m="1" x="540"/>
        <item m="1" x="705"/>
        <item m="1" x="884"/>
        <item m="1" x="1059"/>
        <item m="1" x="1237"/>
        <item m="1" x="1765"/>
        <item m="1" x="143"/>
        <item m="1" x="311"/>
        <item m="1" x="445"/>
        <item m="1" x="579"/>
        <item m="1" x="924"/>
        <item m="1" x="1101"/>
        <item m="1" x="1278"/>
        <item m="1" x="1460"/>
        <item m="1" x="1810"/>
        <item m="1" x="672"/>
        <item m="1" x="849"/>
        <item m="1" x="1026"/>
        <item m="1" x="1205"/>
        <item m="1" x="1377"/>
        <item m="1" x="1559"/>
        <item m="1" x="1903"/>
        <item m="1" x="285"/>
        <item m="1" x="426"/>
        <item m="1" x="552"/>
        <item m="1" x="714"/>
        <item m="1" x="895"/>
        <item m="1" x="1247"/>
        <item m="1" x="1426"/>
        <item m="1" x="1599"/>
        <item m="1" x="1777"/>
        <item m="1" x="152"/>
        <item m="1" x="322"/>
        <item m="1" x="589"/>
        <item m="1" x="753"/>
        <item m="1" x="933"/>
        <item m="1" x="1110"/>
        <item m="1" x="1288"/>
        <item m="1" x="1469"/>
        <item m="1" x="1819"/>
        <item m="1" x="19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t="default"/>
      </items>
    </pivotField>
    <pivotField showAll="0"/>
    <pivotField showAll="0"/>
    <pivotField showAll="0"/>
    <pivotField showAll="0"/>
    <pivotField showAll="0"/>
    <pivotField axis="axisRow" showAll="0" sortType="ascending">
      <items count="336">
        <item m="1" x="84"/>
        <item m="1" x="319"/>
        <item m="1" x="274"/>
        <item m="1" x="239"/>
        <item m="1" x="235"/>
        <item m="1" x="207"/>
        <item m="1" x="289"/>
        <item m="1" x="192"/>
        <item m="1" x="183"/>
        <item m="1" x="194"/>
        <item m="1" x="205"/>
        <item m="1" x="199"/>
        <item m="1" x="198"/>
        <item m="1" x="150"/>
        <item m="1" x="91"/>
        <item m="1" x="163"/>
        <item m="1" x="178"/>
        <item m="1" x="92"/>
        <item m="1" x="99"/>
        <item x="41"/>
        <item m="1" x="237"/>
        <item m="1" x="234"/>
        <item m="1" x="244"/>
        <item x="26"/>
        <item x="27"/>
        <item x="34"/>
        <item m="1" x="57"/>
        <item m="1" x="247"/>
        <item x="32"/>
        <item x="28"/>
        <item m="1" x="83"/>
        <item m="1" x="186"/>
        <item m="1" x="153"/>
        <item m="1" x="188"/>
        <item m="1" x="227"/>
        <item x="23"/>
        <item m="1" x="81"/>
        <item m="1" x="208"/>
        <item m="1" x="70"/>
        <item x="47"/>
        <item x="33"/>
        <item m="1" x="162"/>
        <item x="29"/>
        <item x="37"/>
        <item x="40"/>
        <item m="1" x="181"/>
        <item m="1" x="217"/>
        <item m="1" x="211"/>
        <item x="39"/>
        <item x="38"/>
        <item x="30"/>
        <item x="44"/>
        <item x="36"/>
        <item m="1" x="105"/>
        <item m="1" x="119"/>
        <item x="35"/>
        <item m="1" x="156"/>
        <item x="46"/>
        <item x="21"/>
        <item m="1" x="269"/>
        <item m="1" x="286"/>
        <item m="1" x="310"/>
        <item m="1" x="313"/>
        <item m="1" x="322"/>
        <item m="1" x="328"/>
        <item m="1" x="53"/>
        <item m="1" x="59"/>
        <item m="1" x="67"/>
        <item m="1" x="75"/>
        <item m="1" x="93"/>
        <item m="1" x="98"/>
        <item m="1" x="104"/>
        <item m="1" x="128"/>
        <item m="1" x="143"/>
        <item m="1" x="147"/>
        <item m="1" x="287"/>
        <item x="3"/>
        <item x="4"/>
        <item x="0"/>
        <item x="5"/>
        <item x="15"/>
        <item x="18"/>
        <item x="25"/>
        <item x="20"/>
        <item x="6"/>
        <item x="1"/>
        <item x="2"/>
        <item x="9"/>
        <item m="1" x="212"/>
        <item m="1" x="215"/>
        <item m="1" x="221"/>
        <item m="1" x="232"/>
        <item m="1" x="236"/>
        <item m="1" x="109"/>
        <item m="1" x="115"/>
        <item m="1" x="123"/>
        <item m="1" x="131"/>
        <item m="1" x="158"/>
        <item m="1" x="58"/>
        <item m="1" x="66"/>
        <item x="11"/>
        <item m="1" x="85"/>
        <item m="1" x="165"/>
        <item x="19"/>
        <item x="24"/>
        <item x="16"/>
        <item x="12"/>
        <item m="1" x="206"/>
        <item m="1" x="210"/>
        <item x="7"/>
        <item m="1" x="100"/>
        <item x="22"/>
        <item x="8"/>
        <item x="50"/>
        <item x="49"/>
        <item x="43"/>
        <item x="42"/>
        <item x="14"/>
        <item x="13"/>
        <item x="17"/>
        <item m="1" x="200"/>
        <item m="1" x="133"/>
        <item x="10"/>
        <item x="31"/>
        <item m="1" x="159"/>
        <item m="1" x="166"/>
        <item m="1" x="259"/>
        <item x="45"/>
        <item m="1" x="182"/>
        <item m="1" x="184"/>
        <item m="1" x="185"/>
        <item m="1" x="190"/>
        <item m="1" x="193"/>
        <item m="1" x="264"/>
        <item m="1" x="267"/>
        <item m="1" x="272"/>
        <item m="1" x="276"/>
        <item m="1" x="277"/>
        <item m="1" x="285"/>
        <item x="48"/>
        <item m="1" x="107"/>
        <item m="1" x="88"/>
        <item m="1" x="265"/>
        <item m="1" x="290"/>
        <item m="1" x="292"/>
        <item m="1" x="294"/>
        <item m="1" x="295"/>
        <item m="1" x="299"/>
        <item m="1" x="161"/>
        <item m="1" x="298"/>
        <item m="1" x="314"/>
        <item m="1" x="326"/>
        <item m="1" x="242"/>
        <item m="1" x="329"/>
        <item m="1" x="137"/>
        <item m="1" x="222"/>
        <item m="1" x="225"/>
        <item m="1" x="312"/>
        <item m="1" x="270"/>
        <item m="1" x="148"/>
        <item m="1" x="68"/>
        <item m="1" x="309"/>
        <item m="1" x="144"/>
        <item m="1" x="149"/>
        <item m="1" x="124"/>
        <item m="1" x="101"/>
        <item m="1" x="296"/>
        <item m="1" x="297"/>
        <item m="1" x="228"/>
        <item m="1" x="110"/>
        <item m="1" x="116"/>
        <item m="1" x="195"/>
        <item m="1" x="203"/>
        <item m="1" x="146"/>
        <item m="1" x="229"/>
        <item m="1" x="226"/>
        <item m="1" x="268"/>
        <item m="1" x="273"/>
        <item m="1" x="173"/>
        <item m="1" x="218"/>
        <item m="1" x="126"/>
        <item m="1" x="90"/>
        <item m="1" x="77"/>
        <item m="1" x="308"/>
        <item m="1" x="94"/>
        <item m="1" x="145"/>
        <item m="1" x="117"/>
        <item m="1" x="118"/>
        <item m="1" x="305"/>
        <item m="1" x="160"/>
        <item m="1" x="214"/>
        <item m="1" x="241"/>
        <item m="1" x="219"/>
        <item m="1" x="231"/>
        <item m="1" x="209"/>
        <item m="1" x="139"/>
        <item m="1" x="140"/>
        <item m="1" x="141"/>
        <item m="1" x="142"/>
        <item m="1" x="201"/>
        <item m="1" x="176"/>
        <item m="1" x="157"/>
        <item m="1" x="132"/>
        <item m="1" x="106"/>
        <item m="1" x="114"/>
        <item m="1" x="78"/>
        <item m="1" x="64"/>
        <item m="1" x="304"/>
        <item m="1" x="230"/>
        <item m="1" x="174"/>
        <item m="1" x="164"/>
        <item m="1" x="167"/>
        <item m="1" x="293"/>
        <item m="1" x="216"/>
        <item m="1" x="52"/>
        <item m="1" x="177"/>
        <item m="1" x="102"/>
        <item m="1" x="125"/>
        <item m="1" x="103"/>
        <item m="1" x="112"/>
        <item m="1" x="87"/>
        <item m="1" x="303"/>
        <item m="1" x="168"/>
        <item m="1" x="155"/>
        <item m="1" x="248"/>
        <item m="1" x="249"/>
        <item m="1" x="278"/>
        <item m="1" x="279"/>
        <item m="1" x="250"/>
        <item m="1" x="280"/>
        <item m="1" x="251"/>
        <item m="1" x="252"/>
        <item m="1" x="254"/>
        <item m="1" x="281"/>
        <item m="1" x="255"/>
        <item m="1" x="282"/>
        <item m="1" x="257"/>
        <item m="1" x="258"/>
        <item m="1" x="283"/>
        <item m="1" x="284"/>
        <item m="1" x="261"/>
        <item m="1" x="263"/>
        <item m="1" x="288"/>
        <item m="1" x="266"/>
        <item m="1" x="301"/>
        <item m="1" x="243"/>
        <item m="1" x="271"/>
        <item m="1" x="197"/>
        <item m="1" x="180"/>
        <item m="1" x="315"/>
        <item m="1" x="151"/>
        <item m="1" x="138"/>
        <item m="1" x="253"/>
        <item m="1" x="256"/>
        <item m="1" x="113"/>
        <item m="1" x="245"/>
        <item m="1" x="246"/>
        <item m="1" x="220"/>
        <item m="1" x="202"/>
        <item m="1" x="172"/>
        <item m="1" x="291"/>
        <item m="1" x="97"/>
        <item m="1" x="275"/>
        <item m="1" x="260"/>
        <item m="1" x="135"/>
        <item m="1" x="120"/>
        <item m="1" x="307"/>
        <item m="1" x="330"/>
        <item m="1" x="316"/>
        <item m="1" x="71"/>
        <item m="1" x="60"/>
        <item m="1" x="331"/>
        <item m="1" x="317"/>
        <item m="1" x="72"/>
        <item m="1" x="73"/>
        <item m="1" x="62"/>
        <item m="1" x="332"/>
        <item m="1" x="333"/>
        <item m="1" x="63"/>
        <item m="1" x="334"/>
        <item m="1" x="318"/>
        <item m="1" x="74"/>
        <item m="1" x="65"/>
        <item m="1" x="51"/>
        <item m="1" x="321"/>
        <item m="1" x="311"/>
        <item m="1" x="302"/>
        <item m="1" x="320"/>
        <item m="1" x="152"/>
        <item m="1" x="130"/>
        <item m="1" x="96"/>
        <item m="1" x="82"/>
        <item m="1" x="121"/>
        <item m="1" x="108"/>
        <item m="1" x="122"/>
        <item m="1" x="111"/>
        <item m="1" x="327"/>
        <item m="1" x="233"/>
        <item m="1" x="213"/>
        <item m="1" x="95"/>
        <item m="1" x="196"/>
        <item m="1" x="127"/>
        <item m="1" x="240"/>
        <item m="1" x="262"/>
        <item m="1" x="238"/>
        <item m="1" x="169"/>
        <item m="1" x="54"/>
        <item m="1" x="86"/>
        <item m="1" x="56"/>
        <item m="1" x="79"/>
        <item m="1" x="69"/>
        <item m="1" x="80"/>
        <item m="1" x="61"/>
        <item m="1" x="76"/>
        <item m="1" x="154"/>
        <item m="1" x="323"/>
        <item m="1" x="129"/>
        <item m="1" x="189"/>
        <item m="1" x="191"/>
        <item m="1" x="306"/>
        <item m="1" x="223"/>
        <item m="1" x="224"/>
        <item m="1" x="175"/>
        <item m="1" x="324"/>
        <item m="1" x="89"/>
        <item m="1" x="179"/>
        <item m="1" x="55"/>
        <item m="1" x="187"/>
        <item m="1" x="136"/>
        <item m="1" x="134"/>
        <item m="1" x="325"/>
        <item m="1" x="204"/>
        <item m="1" x="300"/>
        <item m="1" x="170"/>
        <item m="1" x="171"/>
        <item t="default"/>
      </items>
    </pivotField>
    <pivotField showAll="0"/>
    <pivotField dataField="1" showAll="0"/>
    <pivotField axis="axisPage" showAll="0">
      <items count="5">
        <item x="2"/>
        <item x="0"/>
        <item x="1"/>
        <item x="3"/>
        <item t="default"/>
      </items>
    </pivotField>
    <pivotField dataField="1" showAll="0"/>
  </pivotFields>
  <rowFields count="1">
    <field x="7"/>
  </rowFields>
  <rowItems count="32">
    <i>
      <x v="25"/>
    </i>
    <i>
      <x v="29"/>
    </i>
    <i>
      <x v="35"/>
    </i>
    <i>
      <x v="43"/>
    </i>
    <i>
      <x v="48"/>
    </i>
    <i>
      <x v="50"/>
    </i>
    <i>
      <x v="51"/>
    </i>
    <i>
      <x v="5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105"/>
    </i>
    <i>
      <x v="106"/>
    </i>
    <i>
      <x v="109"/>
    </i>
    <i>
      <x v="111"/>
    </i>
    <i>
      <x v="112"/>
    </i>
    <i>
      <x v="117"/>
    </i>
    <i>
      <x v="118"/>
    </i>
    <i>
      <x v="119"/>
    </i>
    <i>
      <x v="122"/>
    </i>
    <i>
      <x v="127"/>
    </i>
    <i>
      <x v="139"/>
    </i>
    <i t="grand">
      <x/>
    </i>
  </rowItems>
  <colFields count="1">
    <field x="-2"/>
  </colFields>
  <colItems count="2">
    <i>
      <x/>
    </i>
    <i i="1">
      <x v="1"/>
    </i>
  </colItems>
  <pageFields count="2">
    <pageField fld="1" hier="-1"/>
    <pageField fld="10" item="1" hier="-1"/>
  </pageFields>
  <dataFields count="2">
    <dataField name="Summe von Stück" fld="9" baseField="0" baseItem="0"/>
    <dataField name="Mittelwert von %" fld="11" subtotal="average" baseField="7" baseItem="1"/>
  </dataFields>
  <pivotTableStyleInfo name="PivotStyleLight16" showRowHeaders="1" showColHeaders="1" showRowStripes="0" showColStripes="0" showLastColumn="1"/>
  <filters count="1">
    <filter fld="1" type="dateBetween" evalOrder="-1" id="1634" name="Datum">
      <autoFilter ref="A1">
        <filterColumn colId="0">
          <customFilters and="1">
            <customFilter operator="greaterThanOrEqual" val="46143"/>
            <customFilter operator="lessThanOrEqual" val="4617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236D18-9891-4FFA-8A21-BB7BCD72DB90}" name="PivotTable1" cacheId="3" applyNumberFormats="0" applyBorderFormats="0" applyFontFormats="0" applyPatternFormats="0" applyAlignmentFormats="0" applyWidthHeightFormats="1" dataCaption="Werte" updatedVersion="7" minRefreshableVersion="3" useAutoFormatting="1" itemPrintTitles="1" createdVersion="6" indent="0" outline="1" outlineData="1" multipleFieldFilters="0" chartFormat="63">
  <location ref="A18:C215" firstHeaderRow="0" firstDataRow="1" firstDataCol="1" rowPageCount="1" colPageCount="1"/>
  <pivotFields count="61">
    <pivotField showAll="0"/>
    <pivotField axis="axisRow" showAll="0" sortType="descending">
      <items count="198">
        <item m="1" x="196"/>
        <item x="8"/>
        <item x="4"/>
        <item x="5"/>
        <item x="9"/>
        <item x="11"/>
        <item x="12"/>
        <item x="14"/>
        <item x="22"/>
        <item x="21"/>
        <item x="33"/>
        <item x="32"/>
        <item x="25"/>
        <item x="28"/>
        <item x="31"/>
        <item x="27"/>
        <item x="1"/>
        <item x="6"/>
        <item x="10"/>
        <item x="24"/>
        <item x="29"/>
        <item x="0"/>
        <item x="17"/>
        <item x="18"/>
        <item x="23"/>
        <item x="20"/>
        <item x="15"/>
        <item x="3"/>
        <item x="2"/>
        <item x="19"/>
        <item x="7"/>
        <item x="26"/>
        <item x="30"/>
        <item x="16"/>
        <item x="13"/>
        <item x="194"/>
        <item x="195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showAll="0" sortType="ascending">
      <items count="3">
        <item m="1" x="1"/>
        <item x="0"/>
        <item t="default"/>
      </items>
    </pivotField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97">
    <i>
      <x v="73"/>
    </i>
    <i>
      <x v="5"/>
    </i>
    <i>
      <x v="66"/>
    </i>
    <i>
      <x v="98"/>
    </i>
    <i>
      <x v="80"/>
    </i>
    <i>
      <x v="107"/>
    </i>
    <i>
      <x v="37"/>
    </i>
    <i>
      <x v="57"/>
    </i>
    <i>
      <x v="113"/>
    </i>
    <i>
      <x v="32"/>
    </i>
    <i>
      <x v="63"/>
    </i>
    <i>
      <x v="106"/>
    </i>
    <i>
      <x v="105"/>
    </i>
    <i>
      <x v="71"/>
    </i>
    <i>
      <x v="39"/>
    </i>
    <i>
      <x v="140"/>
    </i>
    <i>
      <x v="51"/>
    </i>
    <i>
      <x v="46"/>
    </i>
    <i>
      <x v="61"/>
    </i>
    <i>
      <x v="31"/>
    </i>
    <i>
      <x v="56"/>
    </i>
    <i>
      <x v="91"/>
    </i>
    <i>
      <x v="69"/>
    </i>
    <i>
      <x v="54"/>
    </i>
    <i>
      <x v="13"/>
    </i>
    <i>
      <x v="72"/>
    </i>
    <i>
      <x v="130"/>
    </i>
    <i>
      <x v="34"/>
    </i>
    <i>
      <x v="67"/>
    </i>
    <i>
      <x v="148"/>
    </i>
    <i>
      <x v="81"/>
    </i>
    <i>
      <x v="58"/>
    </i>
    <i>
      <x v="93"/>
    </i>
    <i>
      <x v="78"/>
    </i>
    <i>
      <x v="42"/>
    </i>
    <i>
      <x v="19"/>
    </i>
    <i>
      <x v="47"/>
    </i>
    <i>
      <x v="12"/>
    </i>
    <i>
      <x v="137"/>
    </i>
    <i>
      <x v="6"/>
    </i>
    <i>
      <x v="94"/>
    </i>
    <i>
      <x v="114"/>
    </i>
    <i>
      <x v="133"/>
    </i>
    <i>
      <x v="23"/>
    </i>
    <i>
      <x v="28"/>
    </i>
    <i>
      <x v="62"/>
    </i>
    <i>
      <x v="59"/>
    </i>
    <i>
      <x v="4"/>
    </i>
    <i>
      <x v="17"/>
    </i>
    <i>
      <x v="44"/>
    </i>
    <i>
      <x v="64"/>
    </i>
    <i>
      <x v="52"/>
    </i>
    <i>
      <x v="92"/>
    </i>
    <i>
      <x v="16"/>
    </i>
    <i>
      <x v="84"/>
    </i>
    <i>
      <x v="115"/>
    </i>
    <i>
      <x v="122"/>
    </i>
    <i>
      <x v="116"/>
    </i>
    <i>
      <x v="49"/>
    </i>
    <i>
      <x v="123"/>
    </i>
    <i>
      <x v="76"/>
    </i>
    <i>
      <x v="48"/>
    </i>
    <i>
      <x v="143"/>
    </i>
    <i>
      <x v="112"/>
    </i>
    <i>
      <x v="85"/>
    </i>
    <i>
      <x v="142"/>
    </i>
    <i>
      <x v="169"/>
    </i>
    <i>
      <x v="10"/>
    </i>
    <i>
      <x v="191"/>
    </i>
    <i>
      <x v="20"/>
    </i>
    <i>
      <x v="1"/>
    </i>
    <i>
      <x v="99"/>
    </i>
    <i>
      <x v="21"/>
    </i>
    <i>
      <x v="131"/>
    </i>
    <i>
      <x v="89"/>
    </i>
    <i>
      <x v="158"/>
    </i>
    <i>
      <x v="43"/>
    </i>
    <i>
      <x v="139"/>
    </i>
    <i>
      <x v="121"/>
    </i>
    <i>
      <x v="150"/>
    </i>
    <i>
      <x v="74"/>
    </i>
    <i>
      <x v="15"/>
    </i>
    <i>
      <x v="30"/>
    </i>
    <i>
      <x v="135"/>
    </i>
    <i>
      <x v="95"/>
    </i>
    <i>
      <x v="14"/>
    </i>
    <i>
      <x v="87"/>
    </i>
    <i>
      <x v="3"/>
    </i>
    <i>
      <x v="22"/>
    </i>
    <i>
      <x v="88"/>
    </i>
    <i>
      <x v="7"/>
    </i>
    <i>
      <x v="8"/>
    </i>
    <i>
      <x v="24"/>
    </i>
    <i>
      <x v="68"/>
    </i>
    <i>
      <x v="33"/>
    </i>
    <i>
      <x v="119"/>
    </i>
    <i>
      <x v="102"/>
    </i>
    <i>
      <x v="127"/>
    </i>
    <i>
      <x v="25"/>
    </i>
    <i>
      <x v="9"/>
    </i>
    <i>
      <x v="151"/>
    </i>
    <i>
      <x v="97"/>
    </i>
    <i>
      <x v="53"/>
    </i>
    <i>
      <x v="65"/>
    </i>
    <i>
      <x v="111"/>
    </i>
    <i>
      <x v="154"/>
    </i>
    <i>
      <x v="101"/>
    </i>
    <i>
      <x v="75"/>
    </i>
    <i>
      <x v="155"/>
    </i>
    <i>
      <x v="27"/>
    </i>
    <i>
      <x v="109"/>
    </i>
    <i>
      <x v="11"/>
    </i>
    <i>
      <x v="70"/>
    </i>
    <i>
      <x v="26"/>
    </i>
    <i>
      <x v="166"/>
    </i>
    <i>
      <x v="82"/>
    </i>
    <i>
      <x v="2"/>
    </i>
    <i>
      <x v="171"/>
    </i>
    <i>
      <x v="79"/>
    </i>
    <i>
      <x v="18"/>
    </i>
    <i>
      <x v="29"/>
    </i>
    <i>
      <x v="159"/>
    </i>
    <i>
      <x v="55"/>
    </i>
    <i>
      <x v="108"/>
    </i>
    <i>
      <x v="164"/>
    </i>
    <i>
      <x v="45"/>
    </i>
    <i>
      <x v="118"/>
    </i>
    <i>
      <x v="147"/>
    </i>
    <i>
      <x v="120"/>
    </i>
    <i>
      <x v="152"/>
    </i>
    <i>
      <x v="172"/>
    </i>
    <i>
      <x v="136"/>
    </i>
    <i>
      <x v="50"/>
    </i>
    <i>
      <x v="178"/>
    </i>
    <i>
      <x v="117"/>
    </i>
    <i>
      <x v="182"/>
    </i>
    <i>
      <x v="160"/>
    </i>
    <i>
      <x v="156"/>
    </i>
    <i>
      <x v="149"/>
    </i>
    <i>
      <x v="83"/>
    </i>
    <i>
      <x v="179"/>
    </i>
    <i>
      <x v="162"/>
    </i>
    <i>
      <x v="175"/>
    </i>
    <i>
      <x v="183"/>
    </i>
    <i>
      <x v="186"/>
    </i>
    <i>
      <x v="40"/>
    </i>
    <i>
      <x v="125"/>
    </i>
    <i>
      <x v="189"/>
    </i>
    <i>
      <x v="128"/>
    </i>
    <i>
      <x v="96"/>
    </i>
    <i>
      <x v="173"/>
    </i>
    <i>
      <x v="165"/>
    </i>
    <i>
      <x v="38"/>
    </i>
    <i>
      <x v="77"/>
    </i>
    <i>
      <x v="188"/>
    </i>
    <i>
      <x v="185"/>
    </i>
    <i>
      <x v="187"/>
    </i>
    <i>
      <x v="177"/>
    </i>
    <i>
      <x v="86"/>
    </i>
    <i>
      <x v="103"/>
    </i>
    <i>
      <x v="167"/>
    </i>
    <i>
      <x v="90"/>
    </i>
    <i>
      <x v="100"/>
    </i>
    <i>
      <x v="60"/>
    </i>
    <i>
      <x v="196"/>
    </i>
    <i>
      <x v="146"/>
    </i>
    <i>
      <x v="163"/>
    </i>
    <i>
      <x v="193"/>
    </i>
    <i>
      <x v="194"/>
    </i>
    <i>
      <x v="190"/>
    </i>
    <i>
      <x v="153"/>
    </i>
    <i>
      <x v="141"/>
    </i>
    <i>
      <x v="180"/>
    </i>
    <i>
      <x v="134"/>
    </i>
    <i>
      <x v="184"/>
    </i>
    <i>
      <x v="192"/>
    </i>
    <i>
      <x v="110"/>
    </i>
    <i>
      <x v="157"/>
    </i>
    <i>
      <x v="170"/>
    </i>
    <i>
      <x v="161"/>
    </i>
    <i>
      <x v="129"/>
    </i>
    <i>
      <x v="126"/>
    </i>
    <i>
      <x v="181"/>
    </i>
    <i>
      <x v="124"/>
    </i>
    <i>
      <x v="138"/>
    </i>
    <i>
      <x v="41"/>
    </i>
    <i>
      <x v="145"/>
    </i>
    <i>
      <x v="104"/>
    </i>
    <i>
      <x v="174"/>
    </i>
    <i>
      <x v="195"/>
    </i>
    <i>
      <x v="168"/>
    </i>
    <i>
      <x v="176"/>
    </i>
    <i>
      <x v="144"/>
    </i>
    <i>
      <x v="132"/>
    </i>
    <i>
      <x v="36"/>
    </i>
    <i>
      <x v="35"/>
    </i>
    <i t="grand">
      <x/>
    </i>
  </rowItems>
  <colFields count="1">
    <field x="-2"/>
  </colFields>
  <colItems count="2">
    <i>
      <x/>
    </i>
    <i i="1">
      <x v="1"/>
    </i>
  </colItems>
  <pageFields count="1">
    <pageField fld="2" hier="-1"/>
  </pageFields>
  <dataFields count="2">
    <dataField name="Summe von Wert" fld="6" baseField="0" baseItem="0"/>
    <dataField name="Anzahl von KundenNr." fld="5" subtotal="count" baseField="0" baseItem="0"/>
  </dataFields>
  <formats count="3">
    <format dxfId="20">
      <pivotArea outline="0" collapsedLevelsAreSubtotals="1" fieldPosition="0"/>
    </format>
    <format dxfId="19">
      <pivotArea dataOnly="0" labelOnly="1" grandCol="1" outline="0" fieldPosition="0"/>
    </format>
    <format dxfId="1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DBF266-1061-4F7D-8458-6A6265C18A34}" name="PivotTable3" cacheId="3" applyNumberFormats="0" applyBorderFormats="0" applyFontFormats="0" applyPatternFormats="0" applyAlignmentFormats="0" applyWidthHeightFormats="1" dataCaption="Werte" updatedVersion="7" minRefreshableVersion="3" useAutoFormatting="1" itemPrintTitles="1" createdVersion="6" indent="0" outline="1" outlineData="1" multipleFieldFilters="0" chartFormat="34">
  <location ref="A6:A7" firstHeaderRow="1" firstDataRow="1" firstDataCol="0" rowPageCount="2" colPageCount="1"/>
  <pivotFields count="61">
    <pivotField showAll="0"/>
    <pivotField showAll="0" sortType="ascending"/>
    <pivotField axis="axisPage" showAll="0">
      <items count="3">
        <item m="1" x="1"/>
        <item x="0"/>
        <item t="default"/>
      </items>
    </pivotField>
    <pivotField axis="axisPage" multipleItemSelectionAllowed="1" showAll="0">
      <items count="1935">
        <item m="1" x="766"/>
        <item m="1" x="947"/>
        <item m="1" x="1125"/>
        <item m="1" x="1489"/>
        <item m="1" x="1659"/>
        <item m="1" x="1841"/>
        <item m="1" x="202"/>
        <item m="1" x="359"/>
        <item m="1" x="478"/>
        <item m="1" x="811"/>
        <item m="1" x="991"/>
        <item m="1" x="1168"/>
        <item m="1" x="1346"/>
        <item m="1" x="1527"/>
        <item m="1" x="1704"/>
        <item m="1" x="244"/>
        <item m="1" x="399"/>
        <item m="1" x="521"/>
        <item m="1" x="693"/>
        <item m="1" x="871"/>
        <item m="1" x="1049"/>
        <item m="1" x="1405"/>
        <item m="1" x="1587"/>
        <item m="1" x="1760"/>
        <item m="1" x="122"/>
        <item m="1" x="299"/>
        <item m="1" x="603"/>
        <item m="1" x="957"/>
        <item m="1" x="1501"/>
        <item m="1" x="1671"/>
        <item m="1" x="1850"/>
        <item m="1" x="370"/>
        <item m="1" x="489"/>
        <item m="1" x="653"/>
        <item m="1" x="828"/>
        <item m="1" x="1007"/>
        <item m="1" x="1183"/>
        <item m="1" x="1543"/>
        <item m="1" x="1719"/>
        <item m="1" x="1898"/>
        <item m="1" x="262"/>
        <item m="1" x="410"/>
        <item m="1" x="532"/>
        <item m="1" x="882"/>
        <item m="1" x="1059"/>
        <item m="1" x="1239"/>
        <item m="1" x="1418"/>
        <item m="1" x="1598"/>
        <item m="1" x="1771"/>
        <item m="1" x="614"/>
        <item m="1" x="787"/>
        <item m="1" x="969"/>
        <item m="1" x="1145"/>
        <item m="1" x="1323"/>
        <item m="1" x="1505"/>
        <item m="1" x="1861"/>
        <item m="1" x="224"/>
        <item m="1" x="381"/>
        <item m="1" x="501"/>
        <item m="1" x="668"/>
        <item m="1" x="845"/>
        <item m="1" x="1200"/>
        <item m="1" x="1377"/>
        <item m="1" x="1560"/>
        <item m="1" x="1731"/>
        <item m="1" x="1909"/>
        <item m="1" x="274"/>
        <item m="1" x="544"/>
        <item m="1" x="713"/>
        <item m="1" x="894"/>
        <item m="1" x="1069"/>
        <item m="1" x="1250"/>
        <item m="1" x="1430"/>
        <item m="1" x="1782"/>
        <item m="1" x="144"/>
        <item m="1" x="315"/>
        <item m="1" x="626"/>
        <item m="1" x="798"/>
        <item m="1" x="979"/>
        <item m="1" x="1334"/>
        <item m="1" x="1516"/>
        <item m="1" x="1692"/>
        <item m="1" x="1872"/>
        <item m="1" x="233"/>
        <item m="1" x="390"/>
        <item m="1" x="860"/>
        <item m="1" x="1036"/>
        <item m="1" x="1218"/>
        <item m="1" x="1392"/>
        <item m="1" x="1575"/>
        <item m="1" x="1923"/>
        <item m="1" x="288"/>
        <item m="1" x="430"/>
        <item m="1" x="557"/>
        <item m="1" x="724"/>
        <item m="1" x="905"/>
        <item m="1" x="1261"/>
        <item m="1" x="1441"/>
        <item m="1" x="1615"/>
        <item m="1" x="1795"/>
        <item m="1" x="155"/>
        <item m="1" x="325"/>
        <item m="1" x="807"/>
        <item m="1" x="988"/>
        <item m="1" x="1164"/>
        <item m="1" x="1343"/>
        <item m="1" x="1524"/>
        <item m="1" x="1700"/>
        <item m="1" x="240"/>
        <item m="1" x="397"/>
        <item m="1" x="517"/>
        <item m="1" x="690"/>
        <item m="1" x="868"/>
        <item m="1" x="1045"/>
        <item m="1" x="1401"/>
        <item m="1" x="1584"/>
        <item m="1" x="1756"/>
        <item m="1" x="119"/>
        <item m="1" x="295"/>
        <item m="1" x="438"/>
        <item m="1" x="731"/>
        <item m="1" x="913"/>
        <item m="1" x="1088"/>
        <item m="1" x="1270"/>
        <item m="1" x="1454"/>
        <item m="1" x="1628"/>
        <item m="1" x="167"/>
        <item m="1" x="650"/>
        <item m="1" x="824"/>
        <item m="1" x="1004"/>
        <item m="1" x="1180"/>
        <item m="1" x="1359"/>
        <item m="1" x="1715"/>
        <item m="1" x="1895"/>
        <item m="1" x="258"/>
        <item m="1" x="407"/>
        <item m="1" x="529"/>
        <item m="1" x="701"/>
        <item m="1" x="1055"/>
        <item m="1" x="1236"/>
        <item m="1" x="1414"/>
        <item m="1" x="1595"/>
        <item m="1" x="1768"/>
        <item m="1" x="131"/>
        <item m="1" x="443"/>
        <item m="1" x="574"/>
        <item m="1" x="740"/>
        <item m="1" x="924"/>
        <item m="1" x="1099"/>
        <item m="1" x="1280"/>
        <item m="1" x="1638"/>
        <item m="1" x="1817"/>
        <item m="1" x="177"/>
        <item m="1" x="343"/>
        <item m="1" x="665"/>
        <item m="1" x="841"/>
        <item m="1" x="1196"/>
        <item m="1" x="1374"/>
        <item m="1" x="1556"/>
        <item m="1" x="1729"/>
        <item m="1" x="1906"/>
        <item m="1" x="270"/>
        <item m="1" x="540"/>
        <item m="1" x="710"/>
        <item m="1" x="890"/>
        <item m="1" x="1067"/>
        <item m="1" x="1247"/>
        <item m="1" x="1426"/>
        <item m="1" x="1778"/>
        <item m="1" x="141"/>
        <item m="1" x="311"/>
        <item m="1" x="449"/>
        <item m="1" x="584"/>
        <item m="1" x="751"/>
        <item m="1" x="1110"/>
        <item m="1" x="1290"/>
        <item m="1" x="1473"/>
        <item m="1" x="1827"/>
        <item m="1" x="188"/>
        <item m="1" x="856"/>
        <item m="1" x="1033"/>
        <item m="1" x="1214"/>
        <item m="1" x="1389"/>
        <item m="1" x="1572"/>
        <item m="1" x="1744"/>
        <item m="1" x="284"/>
        <item m="1" x="427"/>
        <item m="1" x="553"/>
        <item m="1" x="721"/>
        <item m="1" x="902"/>
        <item m="1" x="1077"/>
        <item m="1" x="1437"/>
        <item m="1" x="1612"/>
        <item m="1" x="1791"/>
        <item m="1" x="152"/>
        <item m="1" x="322"/>
        <item m="1" x="453"/>
        <item m="1" x="760"/>
        <item m="1" x="942"/>
        <item m="1" x="1119"/>
        <item m="1" x="1300"/>
        <item m="1" x="1484"/>
        <item m="1" x="1654"/>
        <item m="1" x="197"/>
        <item m="1" x="357"/>
        <item m="1" x="912"/>
        <item m="1" x="1448"/>
        <item m="1" x="1623"/>
        <item m="1" x="1802"/>
        <item m="1" x="162"/>
        <item m="1" x="332"/>
        <item m="1" x="458"/>
        <item m="1" x="770"/>
        <item m="1" x="951"/>
        <item m="1" x="1130"/>
        <item m="1" x="1309"/>
        <item m="1" x="1495"/>
        <item m="1" x="1664"/>
        <item m="1" x="207"/>
        <item m="1" x="364"/>
        <item m="1" x="484"/>
        <item m="1" x="644"/>
        <item m="1" x="818"/>
        <item m="1" x="997"/>
        <item m="1" x="1352"/>
        <item m="1" x="1534"/>
        <item m="1" x="1710"/>
        <item m="1" x="1889"/>
        <item m="1" x="252"/>
        <item m="1" x="568"/>
        <item m="1" x="918"/>
        <item m="1" x="1094"/>
        <item m="1" x="1275"/>
        <item m="1" x="1459"/>
        <item m="1" x="1633"/>
        <item m="1" x="1811"/>
        <item m="1" x="337"/>
        <item m="1" x="464"/>
        <item m="1" x="609"/>
        <item m="1" x="781"/>
        <item m="1" x="963"/>
        <item m="1" x="1139"/>
        <item m="1" x="1676"/>
        <item m="1" x="1856"/>
        <item m="1" x="218"/>
        <item m="1" x="375"/>
        <item m="1" x="494"/>
        <item m="1" x="834"/>
        <item m="1" x="1014"/>
        <item m="1" x="1191"/>
        <item m="1" x="1368"/>
        <item m="1" x="1550"/>
        <item m="1" x="1726"/>
        <item m="1" x="746"/>
        <item m="1" x="929"/>
        <item m="1" x="1104"/>
        <item m="1" x="1285"/>
        <item m="1" x="1468"/>
        <item m="1" x="1644"/>
        <item m="1" x="183"/>
        <item m="1" x="348"/>
        <item m="1" x="469"/>
        <item m="1" x="620"/>
        <item m="1" x="792"/>
        <item m="1" x="1328"/>
        <item m="1" x="1511"/>
        <item m="1" x="1685"/>
        <item m="1" x="228"/>
        <item m="1" x="1208"/>
        <item m="1" x="280"/>
        <item m="1" x="589"/>
        <item m="1" x="1479"/>
        <item m="1" x="1649"/>
        <item m="1" x="193"/>
        <item m="1" x="353"/>
        <item m="1" x="393"/>
        <item m="1" x="1928"/>
        <item m="1" x="767"/>
        <item m="1" x="1126"/>
        <item m="1" x="1305"/>
        <item m="1" x="1490"/>
        <item m="1" x="1660"/>
        <item m="1" x="1842"/>
        <item m="1" x="203"/>
        <item m="1" x="479"/>
        <item m="1" x="639"/>
        <item m="1" x="813"/>
        <item m="1" x="993"/>
        <item m="1" x="1170"/>
        <item m="1" x="1348"/>
        <item m="1" x="1706"/>
        <item m="1" x="1884"/>
        <item m="1" x="246"/>
        <item m="1" x="401"/>
        <item m="1" x="523"/>
        <item m="1" x="695"/>
        <item m="1" x="1230"/>
        <item m="1" x="1407"/>
        <item m="1" x="1589"/>
        <item m="1" x="1762"/>
        <item m="1" x="124"/>
        <item m="1" x="604"/>
        <item m="1" x="777"/>
        <item m="1" x="958"/>
        <item m="1" x="1135"/>
        <item m="1" x="1315"/>
        <item m="1" x="1502"/>
        <item m="1" x="1851"/>
        <item m="1" x="214"/>
        <item m="1" x="371"/>
        <item m="1" x="490"/>
        <item m="1" x="655"/>
        <item m="1" x="830"/>
        <item m="1" x="1185"/>
        <item m="1" x="1364"/>
        <item m="1" x="1544"/>
        <item m="1" x="1721"/>
        <item m="1" x="1900"/>
        <item m="1" x="264"/>
        <item m="1" x="412"/>
        <item m="1" x="534"/>
        <item m="1" x="706"/>
        <item m="1" x="883"/>
        <item m="1" x="1061"/>
        <item m="1" x="1241"/>
        <item m="1" x="1420"/>
        <item m="1" x="1773"/>
        <item m="1" x="136"/>
        <item m="1" x="615"/>
        <item m="1" x="788"/>
        <item m="1" x="970"/>
        <item m="1" x="1146"/>
        <item m="1" x="1506"/>
        <item m="1" x="1681"/>
        <item m="1" x="1862"/>
        <item m="1" x="225"/>
        <item m="1" x="382"/>
        <item m="1" x="502"/>
        <item m="1" x="847"/>
        <item m="1" x="1023"/>
        <item m="1" x="1202"/>
        <item m="1" x="1379"/>
        <item m="1" x="1562"/>
        <item m="1" x="1733"/>
        <item m="1" x="276"/>
        <item m="1" x="422"/>
        <item m="1" x="546"/>
        <item m="1" x="715"/>
        <item m="1" x="896"/>
        <item m="1" x="1071"/>
        <item m="1" x="1432"/>
        <item m="1" x="1608"/>
        <item m="1" x="1784"/>
        <item m="1" x="146"/>
        <item m="1" x="627"/>
        <item m="1" x="980"/>
        <item m="1" x="1335"/>
        <item m="1" x="1873"/>
        <item m="1" x="391"/>
        <item m="1" x="1038"/>
        <item m="1" x="682"/>
        <item m="1" x="1577"/>
        <item m="1" x="511"/>
        <item m="1" x="1748"/>
        <item m="1" x="1924"/>
        <item m="1" x="290"/>
        <item m="1" x="432"/>
        <item m="1" x="559"/>
        <item m="1" x="907"/>
        <item m="1" x="1081"/>
        <item m="1" x="1262"/>
        <item m="1" x="1443"/>
        <item m="1" x="1617"/>
        <item m="1" x="1797"/>
        <item m="1" x="327"/>
        <item m="1" x="636"/>
        <item m="1" x="808"/>
        <item m="1" x="989"/>
        <item m="1" x="1165"/>
        <item m="1" x="1344"/>
        <item m="1" x="1701"/>
        <item m="1" x="1881"/>
        <item m="1" x="241"/>
        <item m="1" x="296"/>
        <item m="1" x="518"/>
        <item m="1" x="691"/>
        <item m="1" x="1046"/>
        <item m="1" x="1227"/>
        <item m="1" x="1402"/>
        <item m="1" x="1585"/>
        <item m="1" x="1757"/>
        <item m="1" x="120"/>
        <item m="1" x="439"/>
        <item m="1" x="564"/>
        <item m="1" x="732"/>
        <item m="1" x="914"/>
        <item m="1" x="1089"/>
        <item m="1" x="1271"/>
        <item m="1" x="1629"/>
        <item m="1" x="1807"/>
        <item m="1" x="168"/>
        <item m="1" x="651"/>
        <item m="1" x="825"/>
        <item m="1" x="1005"/>
        <item m="1" x="1360"/>
        <item m="1" x="1540"/>
        <item m="1" x="1716"/>
        <item m="1" x="1896"/>
        <item m="1" x="259"/>
        <item m="1" x="408"/>
        <item m="1" x="702"/>
        <item m="1" x="879"/>
        <item m="1" x="1056"/>
        <item m="1" x="1237"/>
        <item m="1" x="1415"/>
        <item m="1" x="1596"/>
        <item m="1" x="132"/>
        <item m="1" x="307"/>
        <item m="1" x="444"/>
        <item m="1" x="575"/>
        <item m="1" x="741"/>
        <item m="1" x="925"/>
        <item m="1" x="1281"/>
        <item m="1" x="1464"/>
        <item m="1" x="1639"/>
        <item m="1" x="1818"/>
        <item m="1" x="178"/>
        <item m="1" x="344"/>
        <item m="1" x="842"/>
        <item m="1" x="1020"/>
        <item m="1" x="1197"/>
        <item m="1" x="1375"/>
        <item m="1" x="1557"/>
        <item m="1" x="271"/>
        <item m="1" x="419"/>
        <item m="1" x="541"/>
        <item m="1" x="711"/>
        <item m="1" x="891"/>
        <item m="1" x="1068"/>
        <item m="1" x="1427"/>
        <item m="1" x="1605"/>
        <item m="1" x="1779"/>
        <item m="1" x="142"/>
        <item m="1" x="312"/>
        <item m="1" x="752"/>
        <item m="1" x="934"/>
        <item m="1" x="1111"/>
        <item m="1" x="1291"/>
        <item m="1" x="1474"/>
        <item m="1" x="189"/>
        <item m="1" x="679"/>
        <item m="1" x="857"/>
        <item m="1" x="1034"/>
        <item m="1" x="1215"/>
        <item m="1" x="285"/>
        <item m="1" x="428"/>
        <item m="1" x="554"/>
        <item m="1" x="722"/>
        <item m="1" x="1078"/>
        <item m="1" x="1258"/>
        <item m="1" x="1438"/>
        <item m="1" x="1613"/>
        <item m="1" x="1792"/>
        <item m="1" x="153"/>
        <item m="1" x="454"/>
        <item m="1" x="595"/>
        <item m="1" x="761"/>
        <item m="1" x="943"/>
        <item m="1" x="1120"/>
        <item m="1" x="1301"/>
        <item m="1" x="1655"/>
        <item m="1" x="1837"/>
        <item m="1" x="198"/>
        <item m="1" x="1390"/>
        <item m="1" x="1085"/>
        <item m="1" x="1268"/>
        <item m="1" x="1449"/>
        <item m="1" x="1624"/>
        <item m="1" x="1803"/>
        <item m="1" x="163"/>
        <item m="1" x="459"/>
        <item m="1" x="599"/>
        <item m="1" x="772"/>
        <item m="1" x="953"/>
        <item m="1" x="1131"/>
        <item m="1" x="1311"/>
        <item m="1" x="1666"/>
        <item m="1" x="1847"/>
        <item m="1" x="209"/>
        <item m="1" x="366"/>
        <item m="1" x="485"/>
        <item m="1" x="646"/>
        <item m="1" x="999"/>
        <item m="1" x="1176"/>
        <item m="1" x="1354"/>
        <item m="1" x="1536"/>
        <item m="1" x="1711"/>
        <item m="1" x="1891"/>
        <item m="1" x="569"/>
        <item m="1" x="737"/>
        <item m="1" x="919"/>
        <item m="1" x="1095"/>
        <item m="1" x="1276"/>
        <item m="1" x="1460"/>
        <item m="1" x="1812"/>
        <item m="1" x="173"/>
        <item m="1" x="338"/>
        <item m="1" x="465"/>
        <item m="1" x="610"/>
        <item m="1" x="783"/>
        <item m="1" x="1141"/>
        <item m="1" x="1320"/>
        <item m="1" x="1677"/>
        <item m="1" x="1857"/>
        <item m="1" x="220"/>
        <item m="1" x="496"/>
        <item m="1" x="661"/>
        <item m="1" x="836"/>
        <item m="1" x="1016"/>
        <item m="1" x="1192"/>
        <item m="1" x="1370"/>
        <item m="1" x="579"/>
        <item m="1" x="747"/>
        <item m="1" x="930"/>
        <item m="1" x="1105"/>
        <item m="1" x="1286"/>
        <item m="1" x="1469"/>
        <item m="1" x="1822"/>
        <item m="1" x="184"/>
        <item m="1" x="349"/>
        <item m="1" x="470"/>
        <item m="1" x="622"/>
        <item m="1" x="794"/>
        <item m="1" x="1151"/>
        <item m="1" x="1330"/>
        <item m="1" x="1512"/>
        <item m="1" x="1687"/>
        <item m="1" x="1868"/>
        <item m="1" x="230"/>
        <item m="1" x="506"/>
        <item m="1" x="676"/>
        <item m="1" x="852"/>
        <item m="1" x="1028"/>
        <item m="1" x="1210"/>
        <item m="1" x="1385"/>
        <item m="1" x="1739"/>
        <item m="1" x="1917"/>
        <item m="1" x="281"/>
        <item m="1" x="590"/>
        <item m="1" x="756"/>
        <item m="1" x="938"/>
        <item m="1" x="1295"/>
        <item m="1" x="1480"/>
        <item m="1" x="1650"/>
        <item m="1" x="1832"/>
        <item m="1" x="194"/>
        <item m="1" x="354"/>
        <item m="1" x="631"/>
        <item m="1" x="803"/>
        <item m="1" x="984"/>
        <item m="1" x="1159"/>
        <item m="1" x="1339"/>
        <item m="1" x="1520"/>
        <item m="1" x="1876"/>
        <item m="1" x="237"/>
        <item m="1" x="394"/>
        <item m="1" x="513"/>
        <item m="1" x="686"/>
        <item m="1" x="864"/>
        <item m="1" x="1222"/>
        <item m="1" x="1397"/>
        <item m="1" x="1581"/>
        <item m="1" x="1751"/>
        <item m="1" x="1930"/>
        <item m="1" x="948"/>
        <item m="1" x="1127"/>
        <item m="1" x="1306"/>
        <item m="1" x="1491"/>
        <item m="1" x="1661"/>
        <item m="1" x="1843"/>
        <item m="1" x="360"/>
        <item m="1" x="480"/>
        <item m="1" x="641"/>
        <item m="1" x="1172"/>
        <item m="1" x="1530"/>
        <item m="1" x="1707"/>
        <item m="1" x="1886"/>
        <item m="1" x="248"/>
        <item m="1" x="403"/>
        <item m="1" x="525"/>
        <item m="1" x="874"/>
        <item m="1" x="1051"/>
        <item m="1" x="1232"/>
        <item m="1" x="1409"/>
        <item m="1" x="1591"/>
        <item m="1" x="1764"/>
        <item m="1" x="126"/>
        <item m="1" x="302"/>
        <item m="1" x="605"/>
        <item m="1" x="778"/>
        <item m="1" x="959"/>
        <item m="1" x="1136"/>
        <item m="1" x="1316"/>
        <item m="1" x="1672"/>
        <item m="1" x="1852"/>
        <item m="1" x="215"/>
        <item m="1" x="372"/>
        <item m="1" x="491"/>
        <item m="1" x="657"/>
        <item m="1" x="1010"/>
        <item m="1" x="1187"/>
        <item m="1" x="1365"/>
        <item m="1" x="1546"/>
        <item m="1" x="1723"/>
        <item m="1" x="1902"/>
        <item m="1" x="414"/>
        <item m="1" x="536"/>
        <item m="1" x="707"/>
        <item m="1" x="885"/>
        <item m="1" x="1063"/>
        <item m="1" x="1243"/>
        <item m="1" x="1601"/>
        <item m="1" x="1775"/>
        <item m="1" x="137"/>
        <item m="1" x="616"/>
        <item m="1" x="789"/>
        <item m="1" x="971"/>
        <item m="1" x="1324"/>
        <item m="1" x="1507"/>
        <item m="1" x="1682"/>
        <item m="1" x="1863"/>
        <item m="1" x="226"/>
        <item m="1" x="383"/>
        <item m="1" x="671"/>
        <item m="1" x="848"/>
        <item m="1" x="1025"/>
        <item m="1" x="1204"/>
        <item m="1" x="1381"/>
        <item m="1" x="1564"/>
        <item m="1" x="1912"/>
        <item m="1" x="548"/>
        <item m="1" x="717"/>
        <item m="1" x="898"/>
        <item m="1" x="1253"/>
        <item m="1" x="1433"/>
        <item m="1" x="1609"/>
        <item m="1" x="1786"/>
        <item m="1" x="148"/>
        <item m="1" x="318"/>
        <item m="1" x="799"/>
        <item m="1" x="981"/>
        <item m="1" x="1156"/>
        <item m="1" x="1336"/>
        <item m="1" x="1517"/>
        <item m="1" x="1693"/>
        <item m="1" x="234"/>
        <item m="1" x="684"/>
        <item m="1" x="1395"/>
        <item m="1" x="1579"/>
        <item m="1" x="1749"/>
        <item m="1" x="1926"/>
        <item m="1" x="292"/>
        <item m="1" x="434"/>
        <item m="1" x="727"/>
        <item m="1" x="909"/>
        <item m="1" x="1082"/>
        <item m="1" x="1264"/>
        <item m="1" x="1445"/>
        <item m="1" x="1619"/>
        <item m="1" x="158"/>
        <item m="1" x="329"/>
        <item m="1" x="637"/>
        <item m="1" x="809"/>
        <item m="1" x="990"/>
        <item m="1" x="1166"/>
        <item m="1" x="1525"/>
        <item m="1" x="1702"/>
        <item m="1" x="1882"/>
        <item m="1" x="242"/>
        <item m="1" x="398"/>
        <item m="1" x="519"/>
        <item m="1" x="869"/>
        <item m="1" x="1047"/>
        <item m="1" x="1228"/>
        <item m="1" x="1403"/>
        <item m="1" x="1586"/>
        <item m="1" x="1758"/>
        <item m="1" x="297"/>
        <item m="1" x="440"/>
        <item m="1" x="565"/>
        <item m="1" x="733"/>
        <item m="1" x="915"/>
        <item m="1" x="1090"/>
        <item m="1" x="1455"/>
        <item m="1" x="1630"/>
        <item m="1" x="1808"/>
        <item m="1" x="169"/>
        <item m="1" x="652"/>
        <item m="1" x="826"/>
        <item m="1" x="1181"/>
        <item m="1" x="1361"/>
        <item m="1" x="1541"/>
        <item m="1" x="1717"/>
        <item m="1" x="1897"/>
        <item m="1" x="260"/>
        <item m="1" x="530"/>
        <item m="1" x="703"/>
        <item m="1" x="880"/>
        <item m="1" x="1057"/>
        <item m="1" x="1238"/>
        <item m="1" x="1416"/>
        <item m="1" x="1769"/>
        <item m="1" x="133"/>
        <item m="1" x="308"/>
        <item m="1" x="445"/>
        <item m="1" x="576"/>
        <item m="1" x="742"/>
        <item m="1" x="1100"/>
        <item m="1" x="1282"/>
        <item m="1" x="1465"/>
        <item m="1" x="1640"/>
        <item m="1" x="1819"/>
        <item m="1" x="179"/>
        <item m="1" x="666"/>
        <item m="1" x="843"/>
        <item m="1" x="1021"/>
        <item m="1" x="1198"/>
        <item m="1" x="1376"/>
        <item m="1" x="1558"/>
        <item m="1" x="1907"/>
        <item m="1" x="272"/>
        <item m="1" x="420"/>
        <item m="1" x="542"/>
        <item m="1" x="712"/>
        <item m="1" x="892"/>
        <item m="1" x="1248"/>
        <item m="1" x="1428"/>
        <item m="1" x="1606"/>
        <item m="1" x="1780"/>
        <item m="1" x="143"/>
        <item m="1" x="313"/>
        <item m="1" x="585"/>
        <item m="1" x="753"/>
        <item m="1" x="935"/>
        <item m="1" x="1112"/>
        <item m="1" x="1292"/>
        <item m="1" x="1475"/>
        <item m="1" x="1828"/>
        <item m="1" x="190"/>
        <item m="1" x="680"/>
        <item m="1" x="858"/>
        <item m="1" x="1035"/>
        <item m="1" x="1216"/>
        <item m="1" x="1573"/>
        <item m="1" x="1745"/>
        <item m="1" x="1921"/>
        <item m="1" x="286"/>
        <item m="1" x="429"/>
        <item m="1" x="555"/>
        <item m="1" x="903"/>
        <item m="1" x="1079"/>
        <item m="1" x="1259"/>
        <item m="1" x="1439"/>
        <item m="1" x="1614"/>
        <item m="1" x="1793"/>
        <item m="1" x="323"/>
        <item m="1" x="455"/>
        <item m="1" x="596"/>
        <item m="1" x="762"/>
        <item m="1" x="944"/>
        <item m="1" x="1121"/>
        <item m="1" x="1485"/>
        <item m="1" x="1656"/>
        <item m="1" x="1838"/>
        <item m="1" x="199"/>
        <item m="1" x="358"/>
        <item m="1" x="1269"/>
        <item m="1" x="1450"/>
        <item m="1" x="1625"/>
        <item m="1" x="1804"/>
        <item m="1" x="333"/>
        <item m="1" x="460"/>
        <item m="1" x="600"/>
        <item m="1" x="773"/>
        <item m="1" x="954"/>
        <item m="1" x="1132"/>
        <item m="1" x="1497"/>
        <item m="1" x="1667"/>
        <item m="1" x="1848"/>
        <item m="1" x="210"/>
        <item m="1" x="367"/>
        <item m="1" x="486"/>
        <item m="1" x="820"/>
        <item m="1" x="1000"/>
        <item m="1" x="1177"/>
        <item m="1" x="1355"/>
        <item m="1" x="1537"/>
        <item m="1" x="1712"/>
        <item m="1" x="254"/>
        <item m="1" x="570"/>
        <item m="1" x="738"/>
        <item m="1" x="920"/>
        <item m="1" x="1096"/>
        <item m="1" x="1277"/>
        <item m="1" x="1634"/>
        <item m="1" x="1813"/>
        <item m="1" x="174"/>
        <item m="1" x="339"/>
        <item m="1" x="466"/>
        <item m="1" x="611"/>
        <item m="1" x="965"/>
        <item m="1" x="1142"/>
        <item m="1" x="1321"/>
        <item m="1" x="1678"/>
        <item m="1" x="1858"/>
        <item m="1" x="377"/>
        <item m="1" x="497"/>
        <item m="1" x="662"/>
        <item m="1" x="837"/>
        <item m="1" x="1017"/>
        <item m="1" x="1193"/>
        <item m="1" x="1552"/>
        <item m="1" x="580"/>
        <item m="1" x="748"/>
        <item m="1" x="931"/>
        <item m="1" x="1106"/>
        <item m="1" x="1287"/>
        <item m="1" x="1645"/>
        <item m="1" x="1823"/>
        <item m="1" x="185"/>
        <item m="1" x="350"/>
        <item m="1" x="471"/>
        <item m="1" x="623"/>
        <item m="1" x="975"/>
        <item m="1" x="1152"/>
        <item m="1" x="1331"/>
        <item m="1" x="1513"/>
        <item m="1" x="1688"/>
        <item m="1" x="1869"/>
        <item m="1" x="387"/>
        <item m="1" x="507"/>
        <item m="1" x="677"/>
        <item m="1" x="853"/>
        <item m="1" x="1029"/>
        <item m="1" x="1211"/>
        <item m="1" x="1568"/>
        <item m="1" x="1740"/>
        <item m="1" x="1918"/>
        <item m="1" x="282"/>
        <item m="1" x="591"/>
        <item m="1" x="757"/>
        <item m="1" x="1116"/>
        <item m="1" x="1296"/>
        <item m="1" x="1481"/>
        <item m="1" x="1651"/>
        <item m="1" x="1833"/>
        <item m="1" x="195"/>
        <item m="1" x="475"/>
        <item m="1" x="632"/>
        <item m="1" x="804"/>
        <item m="1" x="985"/>
        <item m="1" x="1160"/>
        <item m="1" x="1340"/>
        <item m="1" x="1696"/>
        <item m="1" x="1877"/>
        <item m="1" x="238"/>
        <item m="1" x="395"/>
        <item m="1" x="514"/>
        <item m="1" x="687"/>
        <item m="1" x="1041"/>
        <item m="1" x="1223"/>
        <item m="1" x="1398"/>
        <item m="1" x="1752"/>
        <item m="1" x="1931"/>
        <item m="1" x="1128"/>
        <item m="1" x="1307"/>
        <item m="1" x="1492"/>
        <item m="1" x="1662"/>
        <item m="1" x="204"/>
        <item m="1" x="361"/>
        <item m="1" x="481"/>
        <item m="1" x="642"/>
        <item m="1" x="815"/>
        <item m="1" x="995"/>
        <item m="1" x="1350"/>
        <item m="1" x="1531"/>
        <item m="1" x="1708"/>
        <item m="1" x="1887"/>
        <item m="1" x="249"/>
        <item m="1" x="404"/>
        <item m="1" x="697"/>
        <item m="1" x="875"/>
        <item m="1" x="1052"/>
        <item m="1" x="1233"/>
        <item m="1" x="1410"/>
        <item m="1" x="1592"/>
        <item m="1" x="127"/>
        <item m="1" x="303"/>
        <item m="1" x="606"/>
        <item m="1" x="779"/>
        <item m="1" x="960"/>
        <item m="1" x="1137"/>
        <item m="1" x="1503"/>
        <item m="1" x="1673"/>
        <item m="1" x="1853"/>
        <item m="1" x="216"/>
        <item m="1" x="373"/>
        <item m="1" x="492"/>
        <item m="1" x="832"/>
        <item m="1" x="1011"/>
        <item m="1" x="1188"/>
        <item m="1" x="1366"/>
        <item m="1" x="1547"/>
        <item m="1" x="1724"/>
        <item m="1" x="266"/>
        <item m="1" x="415"/>
        <item m="1" x="537"/>
        <item m="1" x="886"/>
        <item m="1" x="1064"/>
        <item m="1" x="1422"/>
        <item m="1" x="1602"/>
        <item m="1" x="1776"/>
        <item m="1" x="138"/>
        <item m="1" x="617"/>
        <item m="1" x="790"/>
        <item m="1" x="1147"/>
        <item m="1" x="1325"/>
        <item m="1" x="1508"/>
        <item m="1" x="1683"/>
        <item m="1" x="1864"/>
        <item m="1" x="672"/>
        <item m="1" x="849"/>
        <item m="1" x="1205"/>
        <item m="1" x="1382"/>
        <item m="1" x="1735"/>
        <item m="1" x="1913"/>
        <item m="1" x="277"/>
        <item m="1" x="424"/>
        <item m="1" x="549"/>
        <item m="1" x="718"/>
        <item m="1" x="1073"/>
        <item m="1" x="1254"/>
        <item m="1" x="1434"/>
        <item m="1" x="1787"/>
        <item m="1" x="149"/>
        <item m="1" x="1086"/>
        <item m="1" x="1451"/>
        <item m="1" x="1626"/>
        <item m="1" x="164"/>
        <item m="1" x="334"/>
        <item m="1" x="461"/>
        <item m="1" x="601"/>
        <item m="1" x="774"/>
        <item m="1" x="955"/>
        <item m="1" x="1312"/>
        <item m="1" x="1498"/>
        <item m="1" x="1668"/>
        <item m="1" x="211"/>
        <item m="1" x="368"/>
        <item m="1" x="647"/>
        <item m="1" x="821"/>
        <item m="1" x="1001"/>
        <item m="1" x="1178"/>
        <item m="1" x="1356"/>
        <item m="1" x="1538"/>
        <item m="1" x="1892"/>
        <item m="1" x="255"/>
        <item m="1" x="571"/>
        <item m="1" x="921"/>
        <item m="1" x="1097"/>
        <item m="1" x="1461"/>
        <item m="1" x="1635"/>
        <item m="1" x="1814"/>
        <item m="1" x="175"/>
        <item m="1" x="340"/>
        <item m="1" x="467"/>
        <item m="1" x="784"/>
        <item m="1" x="966"/>
        <item m="1" x="1143"/>
        <item m="1" x="1679"/>
        <item m="1" x="221"/>
        <item m="1" x="378"/>
        <item m="1" x="498"/>
        <item m="1" x="663"/>
        <item m="1" x="838"/>
        <item m="1" x="1018"/>
        <item m="1" x="1371"/>
        <item m="1" x="1553"/>
        <item m="1" x="581"/>
        <item m="1" x="749"/>
        <item m="1" x="932"/>
        <item m="1" x="1107"/>
        <item m="1" x="1470"/>
        <item m="1" x="1646"/>
        <item m="1" x="1824"/>
        <item m="1" x="186"/>
        <item m="1" x="351"/>
        <item m="1" x="472"/>
        <item m="1" x="795"/>
        <item m="1" x="976"/>
        <item m="1" x="1153"/>
        <item m="1" x="1332"/>
        <item m="1" x="1514"/>
        <item m="1" x="1689"/>
        <item m="1" x="231"/>
        <item m="1" x="388"/>
        <item m="1" x="508"/>
        <item m="1" x="854"/>
        <item m="1" x="1030"/>
        <item m="1" x="1386"/>
        <item m="1" x="1569"/>
        <item m="1" x="1741"/>
        <item m="1" x="1919"/>
        <item m="1" x="283"/>
        <item m="1" x="592"/>
        <item m="1" x="939"/>
        <item m="1" x="1117"/>
        <item m="1" x="1297"/>
        <item m="1" x="1482"/>
        <item m="1" x="1652"/>
        <item m="1" x="1834"/>
        <item m="1" x="355"/>
        <item m="1" x="476"/>
        <item m="1" x="633"/>
        <item m="1" x="805"/>
        <item m="1" x="986"/>
        <item m="1" x="1161"/>
        <item m="1" x="1521"/>
        <item m="1" x="1697"/>
        <item m="1" x="1878"/>
        <item m="1" x="865"/>
        <item m="1" x="1042"/>
        <item m="1" x="1224"/>
        <item m="1" x="1399"/>
        <item m="1" x="1582"/>
        <item m="1" x="1753"/>
        <item m="1" x="768"/>
        <item m="1" x="949"/>
        <item m="1" x="1308"/>
        <item m="1" x="1493"/>
        <item m="1" x="1844"/>
        <item m="1" x="205"/>
        <item m="1" x="362"/>
        <item m="1" x="482"/>
        <item m="1" x="643"/>
        <item m="1" x="816"/>
        <item m="1" x="1173"/>
        <item m="1" x="1351"/>
        <item m="1" x="1532"/>
        <item m="1" x="1888"/>
        <item m="1" x="250"/>
        <item m="1" x="526"/>
        <item m="1" x="698"/>
        <item m="1" x="876"/>
        <item m="1" x="1053"/>
        <item m="1" x="1234"/>
        <item m="1" x="1411"/>
        <item m="1" x="1765"/>
        <item m="1" x="128"/>
        <item m="1" x="304"/>
        <item m="1" x="607"/>
        <item m="1" x="780"/>
        <item m="1" x="961"/>
        <item m="1" x="1317"/>
        <item m="1" x="1504"/>
        <item m="1" x="1674"/>
        <item m="1" x="1854"/>
        <item m="1" x="217"/>
        <item m="1" x="374"/>
        <item m="1" x="658"/>
        <item m="1" x="833"/>
        <item m="1" x="1012"/>
        <item m="1" x="1189"/>
        <item m="1" x="1367"/>
        <item m="1" x="1548"/>
        <item m="1" x="1903"/>
        <item m="1" x="267"/>
        <item m="1" x="416"/>
        <item m="1" x="538"/>
        <item m="1" x="708"/>
        <item m="1" x="887"/>
        <item m="1" x="1244"/>
        <item m="1" x="1423"/>
        <item m="1" x="139"/>
        <item m="1" x="618"/>
        <item m="1" x="972"/>
        <item m="1" x="1148"/>
        <item m="1" x="1326"/>
        <item m="1" x="1509"/>
        <item m="1" x="1684"/>
        <item m="1" x="1865"/>
        <item m="1" x="384"/>
        <item m="1" x="503"/>
        <item m="1" x="673"/>
        <item m="1" x="850"/>
        <item m="1" x="1026"/>
        <item m="1" x="1206"/>
        <item m="1" x="1565"/>
        <item m="1" x="1736"/>
        <item m="1" x="1914"/>
        <item m="1" x="278"/>
        <item m="1" x="425"/>
        <item m="1" x="550"/>
        <item m="1" x="899"/>
        <item m="1" x="1074"/>
        <item m="1" x="1255"/>
        <item m="1" x="1435"/>
        <item m="1" x="1610"/>
        <item m="1" x="1788"/>
        <item m="1" x="319"/>
        <item m="1" x="628"/>
        <item m="1" x="800"/>
        <item m="1" x="982"/>
        <item m="1" x="1157"/>
        <item m="1" x="1337"/>
        <item m="1" x="1694"/>
        <item m="1" x="1874"/>
        <item m="1" x="235"/>
        <item m="1" x="392"/>
        <item m="1" x="512"/>
        <item m="1" x="435"/>
        <item m="1" x="561"/>
        <item m="1" x="728"/>
        <item m="1" x="910"/>
        <item m="1" x="1083"/>
        <item m="1" x="1265"/>
        <item m="1" x="1620"/>
        <item m="1" x="1799"/>
        <item m="1" x="159"/>
        <item m="1" x="330"/>
        <item m="1" x="638"/>
        <item m="1" x="810"/>
        <item m="1" x="1167"/>
        <item m="1" x="1345"/>
        <item m="1" x="1526"/>
        <item m="1" x="1703"/>
        <item m="1" x="1883"/>
        <item m="1" x="243"/>
        <item m="1" x="520"/>
        <item m="1" x="692"/>
        <item m="1" x="870"/>
        <item m="1" x="1048"/>
        <item m="1" x="1229"/>
        <item m="1" x="1404"/>
        <item m="1" x="1759"/>
        <item m="1" x="121"/>
        <item m="1" x="298"/>
        <item m="1" x="441"/>
        <item m="1" x="566"/>
        <item m="1" x="734"/>
        <item m="1" x="1091"/>
        <item m="1" x="1272"/>
        <item m="1" x="1456"/>
        <item m="1" x="1631"/>
        <item m="1" x="1809"/>
        <item m="1" x="170"/>
        <item m="1" x="827"/>
        <item m="1" x="1006"/>
        <item m="1" x="1182"/>
        <item m="1" x="1362"/>
        <item m="1" x="1542"/>
        <item m="1" x="1718"/>
        <item m="1" x="261"/>
        <item m="1" x="409"/>
        <item m="1" x="531"/>
        <item m="1" x="704"/>
        <item m="1" x="881"/>
        <item m="1" x="1058"/>
        <item m="1" x="1417"/>
        <item m="1" x="1597"/>
        <item m="1" x="1770"/>
        <item m="1" x="134"/>
        <item m="1" x="309"/>
        <item m="1" x="446"/>
        <item m="1" x="743"/>
        <item m="1" x="926"/>
        <item m="1" x="1101"/>
        <item m="1" x="1283"/>
        <item m="1" x="1466"/>
        <item m="1" x="1641"/>
        <item m="1" x="180"/>
        <item m="1" x="345"/>
        <item m="1" x="667"/>
        <item m="1" x="844"/>
        <item m="1" x="1022"/>
        <item m="1" x="1199"/>
        <item m="1" x="1559"/>
        <item m="1" x="1730"/>
        <item m="1" x="1908"/>
        <item m="1" x="273"/>
        <item m="1" x="421"/>
        <item m="1" x="543"/>
        <item m="1" x="893"/>
        <item m="1" x="1249"/>
        <item m="1" x="1429"/>
        <item m="1" x="1607"/>
        <item m="1" x="1781"/>
        <item m="1" x="314"/>
        <item m="1" x="450"/>
        <item m="1" x="586"/>
        <item m="1" x="754"/>
        <item m="1" x="936"/>
        <item m="1" x="1113"/>
        <item m="1" x="1476"/>
        <item m="1" x="1829"/>
        <item m="1" x="191"/>
        <item m="1" x="681"/>
        <item m="1" x="859"/>
        <item m="1" x="1217"/>
        <item m="1" x="1391"/>
        <item m="1" x="1574"/>
        <item m="1" x="1746"/>
        <item m="1" x="1922"/>
        <item m="1" x="287"/>
        <item m="1" x="556"/>
        <item m="1" x="723"/>
        <item m="1" x="904"/>
        <item m="1" x="1260"/>
        <item m="1" x="1440"/>
        <item m="1" x="1794"/>
        <item m="1" x="154"/>
        <item m="1" x="324"/>
        <item m="1" x="456"/>
        <item m="1" x="597"/>
        <item m="1" x="763"/>
        <item m="1" x="1122"/>
        <item m="1" x="1302"/>
        <item m="1" x="1486"/>
        <item m="1" x="1657"/>
        <item m="1" x="1839"/>
        <item m="1" x="1452"/>
        <item m="1" x="1805"/>
        <item m="1" x="165"/>
        <item m="1" x="335"/>
        <item m="1" x="462"/>
        <item m="1" x="602"/>
        <item m="1" x="775"/>
        <item m="1" x="1133"/>
        <item m="1" x="1313"/>
        <item m="1" x="1499"/>
        <item m="1" x="1669"/>
        <item m="1" x="1849"/>
        <item m="1" x="212"/>
        <item m="1" x="487"/>
        <item m="1" x="648"/>
        <item m="1" x="822"/>
        <item m="1" x="1002"/>
        <item m="1" x="1179"/>
        <item m="1" x="1357"/>
        <item m="1" x="1713"/>
        <item m="1" x="1893"/>
        <item m="1" x="256"/>
        <item m="1" x="572"/>
        <item m="1" x="739"/>
        <item m="1" x="922"/>
        <item m="1" x="1278"/>
        <item m="1" x="1462"/>
        <item m="1" x="1636"/>
        <item m="1" x="1815"/>
        <item m="1" x="176"/>
        <item m="1" x="341"/>
        <item m="1" x="612"/>
        <item m="1" x="785"/>
        <item m="1" x="967"/>
        <item m="1" x="1322"/>
        <item m="1" x="1859"/>
        <item m="1" x="222"/>
        <item m="1" x="379"/>
        <item m="1" x="499"/>
        <item m="1" x="664"/>
        <item m="1" x="839"/>
        <item m="1" x="1194"/>
        <item m="1" x="1372"/>
        <item m="1" x="1554"/>
        <item m="1" x="1728"/>
        <item m="1" x="582"/>
        <item m="1" x="750"/>
        <item m="1" x="1108"/>
        <item m="1" x="1288"/>
        <item m="1" x="1471"/>
        <item m="1" x="1647"/>
        <item m="1" x="1825"/>
        <item m="1" x="187"/>
        <item m="1" x="473"/>
        <item m="1" x="624"/>
        <item m="1" x="796"/>
        <item m="1" x="977"/>
        <item m="1" x="1154"/>
        <item m="1" x="1333"/>
        <item m="1" x="1690"/>
        <item m="1" x="1870"/>
        <item m="1" x="232"/>
        <item m="1" x="509"/>
        <item m="1" x="678"/>
        <item m="1" x="1031"/>
        <item m="1" x="1212"/>
        <item m="1" x="1387"/>
        <item m="1" x="1570"/>
        <item m="1" x="1742"/>
        <item m="1" x="1920"/>
        <item m="1" x="593"/>
        <item m="1" x="758"/>
        <item m="1" x="940"/>
        <item m="1" x="1298"/>
        <item m="1" x="1483"/>
        <item m="1" x="1835"/>
        <item m="1" x="634"/>
        <item m="1" x="806"/>
        <item m="1" x="1162"/>
        <item m="1" x="1341"/>
        <item m="1" x="1522"/>
        <item m="1" x="1698"/>
        <item m="1" x="1879"/>
        <item m="1" x="239"/>
        <item m="1" x="515"/>
        <item m="1" x="688"/>
        <item m="1" x="866"/>
        <item m="1" x="1043"/>
        <item m="1" x="1225"/>
        <item m="1" x="1400"/>
        <item m="1" x="1754"/>
        <item m="1" x="1932"/>
        <item m="1" x="769"/>
        <item m="1" x="950"/>
        <item m="1" x="1129"/>
        <item m="1" x="1494"/>
        <item m="1" x="1663"/>
        <item m="1" x="1845"/>
        <item m="1" x="206"/>
        <item m="1" x="363"/>
        <item m="1" x="483"/>
        <item m="1" x="817"/>
        <item m="1" x="996"/>
        <item m="1" x="1174"/>
        <item m="1" x="1533"/>
        <item m="1" x="1709"/>
        <item m="1" x="251"/>
        <item m="1" x="405"/>
        <item m="1" x="527"/>
        <item m="1" x="699"/>
        <item m="1" x="877"/>
        <item m="1" x="1054"/>
        <item m="1" x="1412"/>
        <item m="1" x="1593"/>
        <item m="1" x="1766"/>
        <item m="1" x="129"/>
        <item m="1" x="305"/>
        <item m="1" x="608"/>
        <item m="1" x="962"/>
        <item m="1" x="1138"/>
        <item m="1" x="1318"/>
        <item m="1" x="1675"/>
        <item m="1" x="1855"/>
        <item m="1" x="493"/>
        <item m="1" x="659"/>
        <item m="1" x="1013"/>
        <item m="1" x="1190"/>
        <item m="1" x="1549"/>
        <item m="1" x="1725"/>
        <item m="1" x="1904"/>
        <item m="1" x="268"/>
        <item m="1" x="417"/>
        <item m="1" x="539"/>
        <item m="1" x="888"/>
        <item m="1" x="1065"/>
        <item m="1" x="1245"/>
        <item m="1" x="1424"/>
        <item m="1" x="1603"/>
        <item m="1" x="1777"/>
        <item m="1" x="619"/>
        <item m="1" x="791"/>
        <item m="1" x="973"/>
        <item m="1" x="1149"/>
        <item m="1" x="1327"/>
        <item m="1" x="1510"/>
        <item m="1" x="1866"/>
        <item m="1" x="227"/>
        <item m="1" x="385"/>
        <item m="1" x="504"/>
        <item m="1" x="674"/>
        <item m="1" x="851"/>
        <item m="1" x="1207"/>
        <item m="1" x="1383"/>
        <item m="1" x="1566"/>
        <item m="1" x="1737"/>
        <item m="1" x="1915"/>
        <item m="1" x="279"/>
        <item m="1" x="551"/>
        <item m="1" x="719"/>
        <item m="1" x="900"/>
        <item m="1" x="1075"/>
        <item m="1" x="1256"/>
        <item m="1" x="1436"/>
        <item m="1" x="1789"/>
        <item m="1" x="150"/>
        <item m="1" x="320"/>
        <item m="1" x="629"/>
        <item m="1" x="801"/>
        <item m="1" x="983"/>
        <item m="1" x="1518"/>
        <item m="1" x="685"/>
        <item m="1" x="863"/>
        <item m="1" x="1040"/>
        <item m="1" x="1221"/>
        <item m="1" x="1396"/>
        <item m="1" x="1580"/>
        <item m="1" x="1927"/>
        <item m="1" x="293"/>
        <item m="1" x="436"/>
        <item m="1" x="562"/>
        <item m="1" x="729"/>
        <item m="1" x="911"/>
        <item m="1" x="1266"/>
        <item m="1" x="1446"/>
        <item m="1" x="1621"/>
        <item m="1" x="1800"/>
        <item m="1" x="160"/>
        <item m="1" x="331"/>
        <item m="1" x="812"/>
        <item m="1" x="992"/>
        <item m="1" x="1169"/>
        <item m="1" x="1347"/>
        <item m="1" x="1528"/>
        <item m="1" x="1705"/>
        <item m="1" x="245"/>
        <item m="1" x="400"/>
        <item m="1" x="522"/>
        <item m="1" x="694"/>
        <item m="1" x="872"/>
        <item m="1" x="1050"/>
        <item m="1" x="1406"/>
        <item m="1" x="1588"/>
        <item m="1" x="1761"/>
        <item m="1" x="123"/>
        <item m="1" x="300"/>
        <item m="1" x="442"/>
        <item m="1" x="735"/>
        <item m="1" x="916"/>
        <item m="1" x="1092"/>
        <item m="1" x="1273"/>
        <item m="1" x="1457"/>
        <item m="1" x="1632"/>
        <item m="1" x="171"/>
        <item m="1" x="654"/>
        <item m="1" x="829"/>
        <item m="1" x="1008"/>
        <item m="1" x="1184"/>
        <item m="1" x="1363"/>
        <item m="1" x="1720"/>
        <item m="1" x="1899"/>
        <item m="1" x="263"/>
        <item m="1" x="411"/>
        <item m="1" x="533"/>
        <item m="1" x="705"/>
        <item m="1" x="1060"/>
        <item m="1" x="1240"/>
        <item m="1" x="1419"/>
        <item m="1" x="1599"/>
        <item m="1" x="1772"/>
        <item m="1" x="135"/>
        <item m="1" x="447"/>
        <item m="1" x="577"/>
        <item m="1" x="744"/>
        <item m="1" x="927"/>
        <item m="1" x="1102"/>
        <item m="1" x="1284"/>
        <item m="1" x="1642"/>
        <item m="1" x="1820"/>
        <item m="1" x="181"/>
        <item m="1" x="346"/>
        <item m="1" x="669"/>
        <item m="1" x="846"/>
        <item m="1" x="1201"/>
        <item m="1" x="1378"/>
        <item m="1" x="1561"/>
        <item m="1" x="1732"/>
        <item m="1" x="1910"/>
        <item m="1" x="275"/>
        <item m="1" x="545"/>
        <item m="1" x="714"/>
        <item m="1" x="895"/>
        <item m="1" x="1070"/>
        <item m="1" x="1251"/>
        <item m="1" x="1431"/>
        <item m="1" x="1783"/>
        <item m="1" x="145"/>
        <item m="1" x="316"/>
        <item m="1" x="451"/>
        <item m="1" x="587"/>
        <item m="1" x="755"/>
        <item m="1" x="1114"/>
        <item m="1" x="1293"/>
        <item m="1" x="1477"/>
        <item m="1" x="1830"/>
        <item m="1" x="192"/>
        <item m="1" x="861"/>
        <item m="1" x="1037"/>
        <item m="1" x="1219"/>
        <item m="1" x="1393"/>
        <item m="1" x="1576"/>
        <item m="1" x="1747"/>
        <item m="1" x="289"/>
        <item m="1" x="431"/>
        <item m="1" x="558"/>
        <item m="1" x="725"/>
        <item m="1" x="906"/>
        <item m="1" x="1080"/>
        <item m="1" x="1442"/>
        <item m="1" x="1616"/>
        <item m="1" x="1796"/>
        <item m="1" x="156"/>
        <item m="1" x="326"/>
        <item m="1" x="457"/>
        <item m="1" x="764"/>
        <item m="1" x="945"/>
        <item m="1" x="1123"/>
        <item m="1" x="1303"/>
        <item m="1" x="1487"/>
        <item m="1" x="1658"/>
        <item m="1" x="200"/>
        <item m="1" x="1087"/>
        <item m="1" x="1453"/>
        <item m="1" x="1627"/>
        <item m="1" x="1806"/>
        <item m="1" x="166"/>
        <item m="1" x="336"/>
        <item m="1" x="463"/>
        <item m="1" x="776"/>
        <item m="1" x="956"/>
        <item m="1" x="1134"/>
        <item m="1" x="1314"/>
        <item m="1" x="1500"/>
        <item m="1" x="1670"/>
        <item m="1" x="213"/>
        <item m="1" x="369"/>
        <item m="1" x="488"/>
        <item m="1" x="649"/>
        <item m="1" x="823"/>
        <item m="1" x="1003"/>
        <item m="1" x="1358"/>
        <item m="1" x="1539"/>
        <item m="1" x="1714"/>
        <item m="1" x="1894"/>
        <item m="1" x="257"/>
        <item m="1" x="573"/>
        <item m="1" x="923"/>
        <item m="1" x="1098"/>
        <item m="1" x="1279"/>
        <item m="1" x="1463"/>
        <item m="1" x="1637"/>
        <item m="1" x="1816"/>
        <item m="1" x="342"/>
        <item m="1" x="468"/>
        <item m="1" x="613"/>
        <item m="1" x="786"/>
        <item m="1" x="968"/>
        <item m="1" x="1144"/>
        <item m="1" x="1680"/>
        <item m="1" x="1860"/>
        <item m="1" x="223"/>
        <item m="1" x="380"/>
        <item m="1" x="500"/>
        <item m="1" x="840"/>
        <item m="1" x="1019"/>
        <item m="1" x="1195"/>
        <item m="1" x="1373"/>
        <item m="1" x="1555"/>
        <item m="1" x="583"/>
        <item m="1" x="933"/>
        <item m="1" x="1109"/>
        <item m="1" x="1289"/>
        <item m="1" x="1472"/>
        <item m="1" x="1648"/>
        <item m="1" x="1826"/>
        <item m="1" x="352"/>
        <item m="1" x="474"/>
        <item m="1" x="625"/>
        <item m="1" x="797"/>
        <item m="1" x="978"/>
        <item m="1" x="1155"/>
        <item m="1" x="1515"/>
        <item m="1" x="1691"/>
        <item m="1" x="1871"/>
        <item m="1" x="389"/>
        <item m="1" x="510"/>
        <item m="1" x="855"/>
        <item m="1" x="1032"/>
        <item m="1" x="1213"/>
        <item m="1" x="1388"/>
        <item m="1" x="1571"/>
        <item m="1" x="1743"/>
        <item m="1" x="594"/>
        <item m="1" x="759"/>
        <item m="1" x="941"/>
        <item m="1" x="1118"/>
        <item m="1" x="1299"/>
        <item m="1" x="1653"/>
        <item m="1" x="1836"/>
        <item m="1" x="196"/>
        <item m="1" x="356"/>
        <item m="1" x="477"/>
        <item m="1" x="635"/>
        <item m="1" x="987"/>
        <item m="1" x="1163"/>
        <item m="1" x="1342"/>
        <item m="1" x="1523"/>
        <item m="1" x="1699"/>
        <item m="1" x="1880"/>
        <item m="1" x="396"/>
        <item m="1" x="516"/>
        <item m="1" x="689"/>
        <item m="1" x="867"/>
        <item m="1" x="1044"/>
        <item m="1" x="1226"/>
        <item m="1" x="1583"/>
        <item m="1" x="1755"/>
        <item m="1" x="1933"/>
        <item m="1" x="771"/>
        <item m="1" x="952"/>
        <item m="1" x="1310"/>
        <item m="1" x="1496"/>
        <item m="1" x="1665"/>
        <item m="1" x="1846"/>
        <item m="1" x="208"/>
        <item m="1" x="365"/>
        <item m="1" x="645"/>
        <item m="1" x="819"/>
        <item m="1" x="998"/>
        <item m="1" x="1175"/>
        <item m="1" x="1353"/>
        <item m="1" x="1535"/>
        <item m="1" x="1890"/>
        <item m="1" x="253"/>
        <item m="1" x="406"/>
        <item m="1" x="528"/>
        <item m="1" x="700"/>
        <item m="1" x="878"/>
        <item m="1" x="1235"/>
        <item m="1" x="1413"/>
        <item m="1" x="1594"/>
        <item m="1" x="1767"/>
        <item m="1" x="130"/>
        <item m="1" x="306"/>
        <item m="1" x="782"/>
        <item m="1" x="964"/>
        <item m="1" x="1140"/>
        <item m="1" x="1319"/>
        <item m="1" x="219"/>
        <item m="1" x="376"/>
        <item m="1" x="495"/>
        <item m="1" x="660"/>
        <item m="1" x="835"/>
        <item m="1" x="1015"/>
        <item m="1" x="1369"/>
        <item m="1" x="1551"/>
        <item m="1" x="1727"/>
        <item m="1" x="1905"/>
        <item m="1" x="269"/>
        <item m="1" x="418"/>
        <item m="1" x="709"/>
        <item m="1" x="889"/>
        <item m="1" x="1066"/>
        <item m="1" x="1246"/>
        <item m="1" x="1425"/>
        <item m="1" x="1604"/>
        <item m="1" x="140"/>
        <item m="1" x="621"/>
        <item m="1" x="793"/>
        <item m="1" x="974"/>
        <item m="1" x="1150"/>
        <item m="1" x="1329"/>
        <item m="1" x="1686"/>
        <item m="1" x="1867"/>
        <item m="1" x="229"/>
        <item m="1" x="386"/>
        <item m="1" x="505"/>
        <item m="1" x="675"/>
        <item m="1" x="1027"/>
        <item m="1" x="1209"/>
        <item m="1" x="1384"/>
        <item m="1" x="1567"/>
        <item m="1" x="1738"/>
        <item m="1" x="1916"/>
        <item m="1" x="426"/>
        <item m="1" x="552"/>
        <item m="1" x="720"/>
        <item m="1" x="901"/>
        <item m="1" x="1076"/>
        <item m="1" x="1257"/>
        <item m="1" x="1611"/>
        <item m="1" x="1790"/>
        <item m="1" x="151"/>
        <item m="1" x="321"/>
        <item m="1" x="630"/>
        <item m="1" x="802"/>
        <item m="1" x="1158"/>
        <item m="1" x="1338"/>
        <item m="1" x="1519"/>
        <item m="1" x="1695"/>
        <item m="1" x="1875"/>
        <item m="1" x="236"/>
        <item m="1" x="1750"/>
        <item m="1" x="1929"/>
        <item m="1" x="294"/>
        <item m="1" x="437"/>
        <item m="1" x="563"/>
        <item m="1" x="730"/>
        <item m="1" x="1084"/>
        <item m="1" x="1267"/>
        <item m="1" x="1447"/>
        <item m="1" x="1622"/>
        <item m="1" x="1801"/>
        <item m="1" x="161"/>
        <item m="1" x="640"/>
        <item m="1" x="814"/>
        <item m="1" x="994"/>
        <item m="1" x="1171"/>
        <item m="1" x="1349"/>
        <item m="1" x="1529"/>
        <item m="1" x="1885"/>
        <item m="1" x="247"/>
        <item m="1" x="402"/>
        <item m="1" x="524"/>
        <item m="1" x="696"/>
        <item m="1" x="873"/>
        <item m="1" x="1231"/>
        <item m="1" x="1408"/>
        <item m="1" x="1590"/>
        <item m="1" x="1763"/>
        <item m="1" x="125"/>
        <item m="1" x="301"/>
        <item m="1" x="567"/>
        <item m="1" x="736"/>
        <item m="1" x="917"/>
        <item m="1" x="1093"/>
        <item m="1" x="1274"/>
        <item m="1" x="1458"/>
        <item m="1" x="1810"/>
        <item m="1" x="172"/>
        <item m="1" x="656"/>
        <item m="1" x="831"/>
        <item m="1" x="1009"/>
        <item m="1" x="1186"/>
        <item m="1" x="1545"/>
        <item m="1" x="1722"/>
        <item m="1" x="1901"/>
        <item m="1" x="265"/>
        <item m="1" x="413"/>
        <item m="1" x="535"/>
        <item m="1" x="884"/>
        <item m="1" x="1062"/>
        <item m="1" x="1242"/>
        <item m="1" x="1421"/>
        <item m="1" x="1600"/>
        <item m="1" x="1774"/>
        <item m="1" x="310"/>
        <item m="1" x="448"/>
        <item m="1" x="578"/>
        <item m="1" x="745"/>
        <item m="1" x="928"/>
        <item m="1" x="1103"/>
        <item m="1" x="1467"/>
        <item m="1" x="1643"/>
        <item m="1" x="1821"/>
        <item m="1" x="182"/>
        <item m="1" x="347"/>
        <item m="1" x="670"/>
        <item m="1" x="1024"/>
        <item m="1" x="1203"/>
        <item m="1" x="1380"/>
        <item m="1" x="1563"/>
        <item m="1" x="1734"/>
        <item m="1" x="1911"/>
        <item m="1" x="423"/>
        <item m="1" x="547"/>
        <item m="1" x="716"/>
        <item m="1" x="897"/>
        <item m="1" x="1072"/>
        <item m="1" x="1252"/>
        <item m="1" x="1785"/>
        <item m="1" x="147"/>
        <item m="1" x="317"/>
        <item m="1" x="452"/>
        <item m="1" x="588"/>
        <item m="1" x="937"/>
        <item m="1" x="1115"/>
        <item m="1" x="1294"/>
        <item m="1" x="1478"/>
        <item m="1" x="1831"/>
        <item m="1" x="683"/>
        <item m="1" x="862"/>
        <item m="1" x="1039"/>
        <item m="1" x="1220"/>
        <item m="1" x="1394"/>
        <item m="1" x="1578"/>
        <item m="1" x="1925"/>
        <item m="1" x="291"/>
        <item m="1" x="433"/>
        <item m="1" x="560"/>
        <item m="1" x="726"/>
        <item m="1" x="908"/>
        <item m="1" x="1263"/>
        <item m="1" x="1444"/>
        <item m="1" x="1618"/>
        <item m="1" x="1798"/>
        <item m="1" x="157"/>
        <item m="1" x="328"/>
        <item m="1" x="598"/>
        <item m="1" x="765"/>
        <item m="1" x="946"/>
        <item m="1" x="1124"/>
        <item m="1" x="1304"/>
        <item m="1" x="1488"/>
        <item m="1" x="1840"/>
        <item m="1" x="201"/>
        <item x="11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pageFields count="2">
    <pageField fld="2" hier="-1"/>
    <pageField fld="3" hier="-1"/>
  </pageFields>
  <dataFields count="1">
    <dataField name="Summe von Wert" fld="6" baseField="0" baseItem="0"/>
  </dataFields>
  <formats count="1">
    <format dxfId="21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6BC077-DD39-4E17-98C1-ED38FC352F4C}" name="PivotTable1" cacheId="2" applyNumberFormats="0" applyBorderFormats="0" applyFontFormats="0" applyPatternFormats="0" applyAlignmentFormats="0" applyWidthHeightFormats="1" dataCaption="Werte" updatedVersion="7" minRefreshableVersion="5" useAutoFormatting="1" itemPrintTitles="1" createdVersion="6" indent="0" outline="1" outlineData="1" multipleFieldFilters="0">
  <location ref="A5:B47" firstHeaderRow="1" firstDataRow="1" firstDataCol="1" rowPageCount="2" colPageCount="1"/>
  <pivotFields count="12">
    <pivotField showAll="0"/>
    <pivotField axis="axisPage" multipleItemSelectionAllowed="1" showAll="0">
      <items count="1913">
        <item m="1" x="754"/>
        <item m="1" x="934"/>
        <item m="1" x="1111"/>
        <item m="1" x="1470"/>
        <item m="1" x="1640"/>
        <item m="1" x="1820"/>
        <item m="1" x="197"/>
        <item m="1" x="353"/>
        <item m="1" x="471"/>
        <item m="1" x="799"/>
        <item m="1" x="978"/>
        <item m="1" x="1154"/>
        <item m="1" x="1330"/>
        <item m="1" x="1508"/>
        <item m="1" x="1685"/>
        <item m="1" x="239"/>
        <item m="1" x="393"/>
        <item m="1" x="514"/>
        <item m="1" x="682"/>
        <item m="1" x="858"/>
        <item m="1" x="1036"/>
        <item m="1" x="1388"/>
        <item m="1" x="1568"/>
        <item m="1" x="1740"/>
        <item m="1" x="120"/>
        <item m="1" x="293"/>
        <item m="1" x="594"/>
        <item m="1" x="944"/>
        <item m="1" x="1482"/>
        <item m="1" x="1652"/>
        <item m="1" x="1829"/>
        <item m="1" x="364"/>
        <item m="1" x="482"/>
        <item m="1" x="643"/>
        <item m="1" x="816"/>
        <item m="1" x="994"/>
        <item m="1" x="1169"/>
        <item m="1" x="1524"/>
        <item m="1" x="1700"/>
        <item m="1" x="1877"/>
        <item m="1" x="257"/>
        <item m="1" x="404"/>
        <item m="1" x="525"/>
        <item m="1" x="869"/>
        <item m="1" x="1046"/>
        <item m="1" x="1224"/>
        <item m="1" x="1401"/>
        <item m="1" x="1579"/>
        <item m="1" x="1751"/>
        <item m="1" x="605"/>
        <item m="1" x="775"/>
        <item m="1" x="956"/>
        <item m="1" x="1131"/>
        <item m="1" x="1307"/>
        <item m="1" x="1486"/>
        <item m="1" x="1840"/>
        <item m="1" x="219"/>
        <item m="1" x="375"/>
        <item m="1" x="494"/>
        <item m="1" x="658"/>
        <item m="1" x="833"/>
        <item m="1" x="1186"/>
        <item m="1" x="1361"/>
        <item m="1" x="1541"/>
        <item m="1" x="1712"/>
        <item m="1" x="1888"/>
        <item m="1" x="269"/>
        <item m="1" x="537"/>
        <item m="1" x="702"/>
        <item m="1" x="881"/>
        <item m="1" x="1056"/>
        <item m="1" x="1235"/>
        <item m="1" x="1413"/>
        <item m="1" x="1762"/>
        <item m="1" x="141"/>
        <item m="1" x="309"/>
        <item m="1" x="617"/>
        <item m="1" x="786"/>
        <item m="1" x="966"/>
        <item m="1" x="1318"/>
        <item m="1" x="1497"/>
        <item m="1" x="1673"/>
        <item m="1" x="1851"/>
        <item m="1" x="228"/>
        <item m="1" x="384"/>
        <item m="1" x="847"/>
        <item m="1" x="1023"/>
        <item m="1" x="1203"/>
        <item m="1" x="1375"/>
        <item m="1" x="1556"/>
        <item m="1" x="1901"/>
        <item m="1" x="282"/>
        <item m="1" x="423"/>
        <item m="1" x="549"/>
        <item m="1" x="712"/>
        <item m="1" x="892"/>
        <item m="1" x="1245"/>
        <item m="1" x="1423"/>
        <item m="1" x="1596"/>
        <item m="1" x="1774"/>
        <item m="1" x="150"/>
        <item m="1" x="319"/>
        <item m="1" x="795"/>
        <item m="1" x="975"/>
        <item m="1" x="1150"/>
        <item m="1" x="1327"/>
        <item m="1" x="1505"/>
        <item m="1" x="1681"/>
        <item m="1" x="235"/>
        <item m="1" x="391"/>
        <item m="1" x="510"/>
        <item m="1" x="679"/>
        <item m="1" x="855"/>
        <item m="1" x="1032"/>
        <item m="1" x="1384"/>
        <item m="1" x="1565"/>
        <item m="1" x="1736"/>
        <item m="1" x="117"/>
        <item m="1" x="289"/>
        <item m="1" x="431"/>
        <item m="1" x="719"/>
        <item m="1" x="900"/>
        <item m="1" x="1074"/>
        <item m="1" x="1254"/>
        <item m="1" x="1436"/>
        <item m="1" x="1609"/>
        <item m="1" x="162"/>
        <item m="1" x="640"/>
        <item m="1" x="812"/>
        <item m="1" x="991"/>
        <item m="1" x="1166"/>
        <item m="1" x="1343"/>
        <item m="1" x="1696"/>
        <item m="1" x="1874"/>
        <item m="1" x="253"/>
        <item m="1" x="401"/>
        <item m="1" x="522"/>
        <item m="1" x="690"/>
        <item m="1" x="1042"/>
        <item m="1" x="1221"/>
        <item m="1" x="1397"/>
        <item m="1" x="1576"/>
        <item m="1" x="1748"/>
        <item m="1" x="128"/>
        <item m="1" x="436"/>
        <item m="1" x="565"/>
        <item m="1" x="728"/>
        <item m="1" x="911"/>
        <item m="1" x="1085"/>
        <item m="1" x="1264"/>
        <item m="1" x="1619"/>
        <item m="1" x="1796"/>
        <item m="1" x="172"/>
        <item m="1" x="337"/>
        <item m="1" x="655"/>
        <item m="1" x="829"/>
        <item m="1" x="1182"/>
        <item m="1" x="1358"/>
        <item m="1" x="1537"/>
        <item m="1" x="1710"/>
        <item m="1" x="1885"/>
        <item m="1" x="265"/>
        <item m="1" x="533"/>
        <item m="1" x="699"/>
        <item m="1" x="877"/>
        <item m="1" x="1054"/>
        <item m="1" x="1232"/>
        <item m="1" x="1409"/>
        <item m="1" x="1758"/>
        <item m="1" x="138"/>
        <item m="1" x="305"/>
        <item m="1" x="442"/>
        <item m="1" x="575"/>
        <item m="1" x="739"/>
        <item m="1" x="1096"/>
        <item m="1" x="1274"/>
        <item m="1" x="1455"/>
        <item m="1" x="1806"/>
        <item m="1" x="183"/>
        <item m="1" x="843"/>
        <item m="1" x="1020"/>
        <item m="1" x="1199"/>
        <item m="1" x="1372"/>
        <item m="1" x="1553"/>
        <item m="1" x="1724"/>
        <item m="1" x="278"/>
        <item m="1" x="420"/>
        <item m="1" x="545"/>
        <item m="1" x="709"/>
        <item m="1" x="889"/>
        <item m="1" x="1063"/>
        <item m="1" x="1419"/>
        <item m="1" x="1593"/>
        <item m="1" x="1770"/>
        <item m="1" x="147"/>
        <item m="1" x="316"/>
        <item m="1" x="446"/>
        <item m="1" x="748"/>
        <item m="1" x="929"/>
        <item m="1" x="1105"/>
        <item m="1" x="1284"/>
        <item m="1" x="1465"/>
        <item m="1" x="1635"/>
        <item m="1" x="192"/>
        <item m="1" x="351"/>
        <item m="1" x="899"/>
        <item m="1" x="1430"/>
        <item m="1" x="1604"/>
        <item m="1" x="1781"/>
        <item m="1" x="157"/>
        <item m="1" x="326"/>
        <item m="1" x="451"/>
        <item m="1" x="758"/>
        <item m="1" x="938"/>
        <item m="1" x="1116"/>
        <item m="1" x="1293"/>
        <item m="1" x="1476"/>
        <item m="1" x="1645"/>
        <item m="1" x="202"/>
        <item m="1" x="358"/>
        <item m="1" x="477"/>
        <item m="1" x="634"/>
        <item m="1" x="806"/>
        <item m="1" x="984"/>
        <item m="1" x="1336"/>
        <item m="1" x="1515"/>
        <item m="1" x="1691"/>
        <item m="1" x="1868"/>
        <item m="1" x="247"/>
        <item m="1" x="560"/>
        <item m="1" x="905"/>
        <item m="1" x="1080"/>
        <item m="1" x="1259"/>
        <item m="1" x="1441"/>
        <item m="1" x="1614"/>
        <item m="1" x="1790"/>
        <item m="1" x="331"/>
        <item m="1" x="457"/>
        <item m="1" x="600"/>
        <item m="1" x="769"/>
        <item m="1" x="950"/>
        <item m="1" x="1125"/>
        <item m="1" x="1657"/>
        <item m="1" x="1835"/>
        <item m="1" x="213"/>
        <item m="1" x="369"/>
        <item m="1" x="487"/>
        <item m="1" x="822"/>
        <item m="1" x="1001"/>
        <item m="1" x="1177"/>
        <item m="1" x="1352"/>
        <item m="1" x="1531"/>
        <item m="1" x="1707"/>
        <item m="1" x="734"/>
        <item m="1" x="916"/>
        <item m="1" x="1090"/>
        <item m="1" x="1269"/>
        <item m="1" x="1450"/>
        <item m="1" x="1625"/>
        <item m="1" x="178"/>
        <item m="1" x="342"/>
        <item m="1" x="462"/>
        <item m="1" x="611"/>
        <item m="1" x="780"/>
        <item m="1" x="1312"/>
        <item m="1" x="1492"/>
        <item m="1" x="1666"/>
        <item m="1" x="223"/>
        <item m="1" x="1193"/>
        <item m="1" x="274"/>
        <item m="1" x="580"/>
        <item m="1" x="1461"/>
        <item m="1" x="1630"/>
        <item m="1" x="188"/>
        <item m="1" x="347"/>
        <item m="1" x="387"/>
        <item m="1" x="1906"/>
        <item m="1" x="755"/>
        <item m="1" x="1112"/>
        <item m="1" x="1289"/>
        <item m="1" x="1471"/>
        <item m="1" x="1641"/>
        <item m="1" x="1821"/>
        <item m="1" x="198"/>
        <item m="1" x="472"/>
        <item m="1" x="629"/>
        <item m="1" x="801"/>
        <item m="1" x="980"/>
        <item m="1" x="1156"/>
        <item m="1" x="1332"/>
        <item m="1" x="1687"/>
        <item m="1" x="1863"/>
        <item m="1" x="241"/>
        <item m="1" x="395"/>
        <item m="1" x="516"/>
        <item m="1" x="684"/>
        <item m="1" x="1215"/>
        <item m="1" x="1390"/>
        <item m="1" x="1570"/>
        <item m="1" x="1742"/>
        <item m="1" x="122"/>
        <item m="1" x="595"/>
        <item m="1" x="765"/>
        <item m="1" x="945"/>
        <item m="1" x="1121"/>
        <item m="1" x="1299"/>
        <item m="1" x="1483"/>
        <item m="1" x="1830"/>
        <item m="1" x="209"/>
        <item m="1" x="365"/>
        <item m="1" x="483"/>
        <item m="1" x="645"/>
        <item m="1" x="818"/>
        <item m="1" x="1171"/>
        <item m="1" x="1348"/>
        <item m="1" x="1525"/>
        <item m="1" x="1702"/>
        <item m="1" x="1879"/>
        <item m="1" x="259"/>
        <item m="1" x="406"/>
        <item m="1" x="527"/>
        <item m="1" x="695"/>
        <item m="1" x="870"/>
        <item m="1" x="1048"/>
        <item m="1" x="1226"/>
        <item m="1" x="1403"/>
        <item m="1" x="1753"/>
        <item m="1" x="133"/>
        <item m="1" x="606"/>
        <item m="1" x="776"/>
        <item m="1" x="957"/>
        <item m="1" x="1132"/>
        <item m="1" x="1487"/>
        <item m="1" x="1662"/>
        <item m="1" x="1841"/>
        <item m="1" x="220"/>
        <item m="1" x="376"/>
        <item m="1" x="495"/>
        <item m="1" x="835"/>
        <item m="1" x="1010"/>
        <item m="1" x="1188"/>
        <item m="1" x="1363"/>
        <item m="1" x="1543"/>
        <item m="1" x="1714"/>
        <item m="1" x="271"/>
        <item m="1" x="416"/>
        <item m="1" x="539"/>
        <item m="1" x="704"/>
        <item m="1" x="883"/>
        <item m="1" x="1058"/>
        <item m="1" x="1415"/>
        <item m="1" x="1589"/>
        <item m="1" x="1764"/>
        <item m="1" x="618"/>
        <item m="1" x="967"/>
        <item m="1" x="1319"/>
        <item m="1" x="1852"/>
        <item m="1" x="385"/>
        <item m="1" x="1025"/>
        <item m="1" x="671"/>
        <item m="1" x="1558"/>
        <item m="1" x="504"/>
        <item m="1" x="1728"/>
        <item m="1" x="1902"/>
        <item m="1" x="284"/>
        <item m="1" x="425"/>
        <item m="1" x="551"/>
        <item m="1" x="894"/>
        <item m="1" x="1067"/>
        <item m="1" x="1246"/>
        <item m="1" x="1425"/>
        <item m="1" x="1598"/>
        <item m="1" x="1776"/>
        <item m="1" x="321"/>
        <item m="1" x="796"/>
        <item m="1" x="976"/>
        <item m="1" x="1151"/>
        <item m="1" x="1328"/>
        <item m="1" x="1682"/>
        <item m="1" x="1860"/>
        <item m="1" x="236"/>
        <item m="1" x="290"/>
        <item m="1" x="511"/>
        <item m="1" x="680"/>
        <item m="1" x="1033"/>
        <item m="1" x="1212"/>
        <item m="1" x="1385"/>
        <item m="1" x="1566"/>
        <item m="1" x="1737"/>
        <item m="1" x="118"/>
        <item m="1" x="432"/>
        <item m="1" x="556"/>
        <item m="1" x="720"/>
        <item m="1" x="901"/>
        <item m="1" x="1075"/>
        <item m="1" x="1255"/>
        <item m="1" x="1610"/>
        <item m="1" x="1786"/>
        <item m="1" x="163"/>
        <item m="1" x="641"/>
        <item m="1" x="813"/>
        <item m="1" x="992"/>
        <item m="1" x="1344"/>
        <item m="1" x="1521"/>
        <item m="1" x="1697"/>
        <item m="1" x="1875"/>
        <item m="1" x="254"/>
        <item m="1" x="402"/>
        <item m="1" x="691"/>
        <item m="1" x="866"/>
        <item m="1" x="1043"/>
        <item m="1" x="1222"/>
        <item m="1" x="1398"/>
        <item m="1" x="1577"/>
        <item m="1" x="129"/>
        <item m="1" x="301"/>
        <item m="1" x="437"/>
        <item m="1" x="566"/>
        <item m="1" x="729"/>
        <item m="1" x="912"/>
        <item m="1" x="1265"/>
        <item m="1" x="1446"/>
        <item m="1" x="1620"/>
        <item m="1" x="1797"/>
        <item m="1" x="173"/>
        <item m="1" x="338"/>
        <item m="1" x="830"/>
        <item m="1" x="1007"/>
        <item m="1" x="1183"/>
        <item m="1" x="1359"/>
        <item m="1" x="1538"/>
        <item m="1" x="266"/>
        <item m="1" x="413"/>
        <item m="1" x="534"/>
        <item m="1" x="700"/>
        <item m="1" x="878"/>
        <item m="1" x="1055"/>
        <item m="1" x="1410"/>
        <item m="1" x="1586"/>
        <item m="1" x="1759"/>
        <item m="1" x="139"/>
        <item m="1" x="306"/>
        <item m="1" x="740"/>
        <item m="1" x="921"/>
        <item m="1" x="1097"/>
        <item m="1" x="1275"/>
        <item m="1" x="1456"/>
        <item m="1" x="184"/>
        <item m="1" x="668"/>
        <item m="1" x="844"/>
        <item m="1" x="1021"/>
        <item m="1" x="1200"/>
        <item m="1" x="279"/>
        <item m="1" x="421"/>
        <item m="1" x="546"/>
        <item m="1" x="710"/>
        <item m="1" x="1064"/>
        <item m="1" x="1242"/>
        <item m="1" x="1420"/>
        <item m="1" x="1594"/>
        <item m="1" x="1771"/>
        <item m="1" x="148"/>
        <item m="1" x="447"/>
        <item m="1" x="586"/>
        <item m="1" x="749"/>
        <item m="1" x="930"/>
        <item m="1" x="1106"/>
        <item m="1" x="1285"/>
        <item m="1" x="1636"/>
        <item m="1" x="1816"/>
        <item m="1" x="193"/>
        <item m="1" x="1373"/>
        <item m="1" x="1071"/>
        <item m="1" x="1252"/>
        <item m="1" x="1431"/>
        <item m="1" x="1605"/>
        <item m="1" x="1782"/>
        <item m="1" x="158"/>
        <item m="1" x="452"/>
        <item m="1" x="590"/>
        <item m="1" x="760"/>
        <item m="1" x="940"/>
        <item m="1" x="1117"/>
        <item m="1" x="1295"/>
        <item m="1" x="1647"/>
        <item m="1" x="1826"/>
        <item m="1" x="204"/>
        <item m="1" x="360"/>
        <item m="1" x="478"/>
        <item m="1" x="636"/>
        <item m="1" x="986"/>
        <item m="1" x="1162"/>
        <item m="1" x="1338"/>
        <item m="1" x="1517"/>
        <item m="1" x="1692"/>
        <item m="1" x="1870"/>
        <item m="1" x="561"/>
        <item m="1" x="725"/>
        <item m="1" x="906"/>
        <item m="1" x="1081"/>
        <item m="1" x="1260"/>
        <item m="1" x="1442"/>
        <item m="1" x="1791"/>
        <item m="1" x="168"/>
        <item m="1" x="332"/>
        <item m="1" x="458"/>
        <item m="1" x="601"/>
        <item m="1" x="771"/>
        <item m="1" x="1127"/>
        <item m="1" x="1304"/>
        <item m="1" x="1658"/>
        <item m="1" x="1836"/>
        <item m="1" x="215"/>
        <item m="1" x="489"/>
        <item m="1" x="651"/>
        <item m="1" x="824"/>
        <item m="1" x="1003"/>
        <item m="1" x="1178"/>
        <item m="1" x="1354"/>
        <item m="1" x="570"/>
        <item m="1" x="735"/>
        <item m="1" x="917"/>
        <item m="1" x="1091"/>
        <item m="1" x="1270"/>
        <item m="1" x="1451"/>
        <item m="1" x="1801"/>
        <item m="1" x="179"/>
        <item m="1" x="343"/>
        <item m="1" x="463"/>
        <item m="1" x="613"/>
        <item m="1" x="782"/>
        <item m="1" x="1137"/>
        <item m="1" x="1314"/>
        <item m="1" x="1493"/>
        <item m="1" x="1668"/>
        <item m="1" x="1847"/>
        <item m="1" x="225"/>
        <item m="1" x="499"/>
        <item m="1" x="665"/>
        <item m="1" x="839"/>
        <item m="1" x="1015"/>
        <item m="1" x="1195"/>
        <item m="1" x="1368"/>
        <item m="1" x="1719"/>
        <item m="1" x="1895"/>
        <item m="1" x="275"/>
        <item m="1" x="581"/>
        <item m="1" x="744"/>
        <item m="1" x="925"/>
        <item m="1" x="1279"/>
        <item m="1" x="1462"/>
        <item m="1" x="1631"/>
        <item m="1" x="1811"/>
        <item m="1" x="189"/>
        <item m="1" x="348"/>
        <item m="1" x="622"/>
        <item m="1" x="791"/>
        <item m="1" x="971"/>
        <item m="1" x="1145"/>
        <item m="1" x="1323"/>
        <item m="1" x="1501"/>
        <item m="1" x="1855"/>
        <item m="1" x="232"/>
        <item m="1" x="388"/>
        <item m="1" x="506"/>
        <item m="1" x="675"/>
        <item m="1" x="851"/>
        <item m="1" x="1207"/>
        <item m="1" x="1380"/>
        <item m="1" x="1562"/>
        <item m="1" x="1731"/>
        <item m="1" x="1908"/>
        <item m="1" x="935"/>
        <item m="1" x="1113"/>
        <item m="1" x="1290"/>
        <item m="1" x="1472"/>
        <item m="1" x="1642"/>
        <item m="1" x="1822"/>
        <item m="1" x="354"/>
        <item m="1" x="473"/>
        <item m="1" x="631"/>
        <item m="1" x="1158"/>
        <item m="1" x="1511"/>
        <item m="1" x="1688"/>
        <item m="1" x="1865"/>
        <item m="1" x="243"/>
        <item m="1" x="397"/>
        <item m="1" x="518"/>
        <item m="1" x="861"/>
        <item m="1" x="1038"/>
        <item m="1" x="1217"/>
        <item m="1" x="1392"/>
        <item m="1" x="1572"/>
        <item m="1" x="1744"/>
        <item m="1" x="296"/>
        <item m="1" x="596"/>
        <item m="1" x="766"/>
        <item m="1" x="946"/>
        <item m="1" x="1122"/>
        <item m="1" x="1300"/>
        <item m="1" x="1653"/>
        <item m="1" x="1831"/>
        <item m="1" x="210"/>
        <item m="1" x="366"/>
        <item m="1" x="484"/>
        <item m="1" x="647"/>
        <item m="1" x="997"/>
        <item m="1" x="1173"/>
        <item m="1" x="1349"/>
        <item m="1" x="1527"/>
        <item m="1" x="1704"/>
        <item m="1" x="1881"/>
        <item m="1" x="408"/>
        <item m="1" x="529"/>
        <item m="1" x="696"/>
        <item m="1" x="872"/>
        <item m="1" x="1050"/>
        <item m="1" x="1228"/>
        <item m="1" x="1582"/>
        <item m="1" x="1755"/>
        <item m="1" x="134"/>
        <item m="1" x="607"/>
        <item m="1" x="777"/>
        <item m="1" x="958"/>
        <item m="1" x="1308"/>
        <item m="1" x="1488"/>
        <item m="1" x="1663"/>
        <item m="1" x="1842"/>
        <item m="1" x="221"/>
        <item m="1" x="377"/>
        <item m="1" x="661"/>
        <item m="1" x="836"/>
        <item m="1" x="1012"/>
        <item m="1" x="1190"/>
        <item m="1" x="1365"/>
        <item m="1" x="1545"/>
        <item m="1" x="1891"/>
        <item m="1" x="541"/>
        <item m="1" x="706"/>
        <item m="1" x="885"/>
        <item m="1" x="1238"/>
        <item m="1" x="1416"/>
        <item m="1" x="1590"/>
        <item m="1" x="1766"/>
        <item m="1" x="144"/>
        <item m="1" x="312"/>
        <item m="1" x="787"/>
        <item m="1" x="968"/>
        <item m="1" x="1142"/>
        <item m="1" x="1320"/>
        <item m="1" x="1498"/>
        <item m="1" x="1674"/>
        <item m="1" x="229"/>
        <item m="1" x="673"/>
        <item m="1" x="1378"/>
        <item m="1" x="1560"/>
        <item m="1" x="1729"/>
        <item m="1" x="1904"/>
        <item m="1" x="286"/>
        <item m="1" x="427"/>
        <item m="1" x="715"/>
        <item m="1" x="896"/>
        <item m="1" x="1068"/>
        <item m="1" x="1248"/>
        <item m="1" x="1427"/>
        <item m="1" x="1600"/>
        <item m="1" x="153"/>
        <item m="1" x="323"/>
        <item m="1" x="627"/>
        <item m="1" x="797"/>
        <item m="1" x="977"/>
        <item m="1" x="1152"/>
        <item m="1" x="1506"/>
        <item m="1" x="1683"/>
        <item m="1" x="1861"/>
        <item m="1" x="237"/>
        <item m="1" x="392"/>
        <item m="1" x="512"/>
        <item m="1" x="856"/>
        <item m="1" x="1034"/>
        <item m="1" x="1213"/>
        <item m="1" x="1386"/>
        <item m="1" x="1567"/>
        <item m="1" x="1738"/>
        <item m="1" x="291"/>
        <item m="1" x="433"/>
        <item m="1" x="557"/>
        <item m="1" x="721"/>
        <item m="1" x="902"/>
        <item m="1" x="1076"/>
        <item m="1" x="1437"/>
        <item m="1" x="1611"/>
        <item m="1" x="1787"/>
        <item m="1" x="164"/>
        <item m="1" x="642"/>
        <item m="1" x="814"/>
        <item m="1" x="1167"/>
        <item m="1" x="1345"/>
        <item m="1" x="1522"/>
        <item m="1" x="1698"/>
        <item m="1" x="1876"/>
        <item m="1" x="255"/>
        <item m="1" x="523"/>
        <item m="1" x="692"/>
        <item m="1" x="867"/>
        <item m="1" x="1044"/>
        <item m="1" x="1223"/>
        <item m="1" x="1399"/>
        <item m="1" x="1749"/>
        <item m="1" x="130"/>
        <item m="1" x="302"/>
        <item m="1" x="438"/>
        <item m="1" x="567"/>
        <item m="1" x="730"/>
        <item m="1" x="1086"/>
        <item m="1" x="1266"/>
        <item m="1" x="1447"/>
        <item m="1" x="1621"/>
        <item m="1" x="1798"/>
        <item m="1" x="174"/>
        <item m="1" x="656"/>
        <item m="1" x="831"/>
        <item m="1" x="1008"/>
        <item m="1" x="1184"/>
        <item m="1" x="1360"/>
        <item m="1" x="1539"/>
        <item m="1" x="1886"/>
        <item m="1" x="267"/>
        <item m="1" x="414"/>
        <item m="1" x="535"/>
        <item m="1" x="701"/>
        <item m="1" x="879"/>
        <item m="1" x="1233"/>
        <item m="1" x="1411"/>
        <item m="1" x="1587"/>
        <item m="1" x="1760"/>
        <item m="1" x="140"/>
        <item m="1" x="307"/>
        <item m="1" x="576"/>
        <item m="1" x="741"/>
        <item m="1" x="922"/>
        <item m="1" x="1098"/>
        <item m="1" x="1276"/>
        <item m="1" x="1457"/>
        <item m="1" x="1807"/>
        <item m="1" x="185"/>
        <item m="1" x="669"/>
        <item m="1" x="845"/>
        <item m="1" x="1022"/>
        <item m="1" x="1201"/>
        <item m="1" x="1554"/>
        <item m="1" x="1725"/>
        <item m="1" x="1899"/>
        <item m="1" x="280"/>
        <item m="1" x="422"/>
        <item m="1" x="547"/>
        <item m="1" x="890"/>
        <item m="1" x="1065"/>
        <item m="1" x="1243"/>
        <item m="1" x="1421"/>
        <item m="1" x="1595"/>
        <item m="1" x="1772"/>
        <item m="1" x="317"/>
        <item m="1" x="448"/>
        <item m="1" x="587"/>
        <item m="1" x="750"/>
        <item m="1" x="931"/>
        <item m="1" x="1107"/>
        <item m="1" x="1466"/>
        <item m="1" x="1637"/>
        <item m="1" x="1817"/>
        <item m="1" x="194"/>
        <item m="1" x="352"/>
        <item m="1" x="1253"/>
        <item m="1" x="1432"/>
        <item m="1" x="1606"/>
        <item m="1" x="1783"/>
        <item m="1" x="327"/>
        <item m="1" x="453"/>
        <item m="1" x="591"/>
        <item m="1" x="761"/>
        <item m="1" x="941"/>
        <item m="1" x="1118"/>
        <item m="1" x="1478"/>
        <item m="1" x="1648"/>
        <item m="1" x="1827"/>
        <item m="1" x="205"/>
        <item m="1" x="361"/>
        <item m="1" x="479"/>
        <item m="1" x="808"/>
        <item m="1" x="987"/>
        <item m="1" x="1163"/>
        <item m="1" x="1339"/>
        <item m="1" x="1518"/>
        <item m="1" x="1693"/>
        <item m="1" x="249"/>
        <item m="1" x="562"/>
        <item m="1" x="726"/>
        <item m="1" x="907"/>
        <item m="1" x="1082"/>
        <item m="1" x="1261"/>
        <item m="1" x="1615"/>
        <item m="1" x="1792"/>
        <item m="1" x="169"/>
        <item m="1" x="333"/>
        <item m="1" x="459"/>
        <item m="1" x="602"/>
        <item m="1" x="952"/>
        <item m="1" x="1128"/>
        <item m="1" x="1305"/>
        <item m="1" x="1659"/>
        <item m="1" x="1837"/>
        <item m="1" x="371"/>
        <item m="1" x="490"/>
        <item m="1" x="652"/>
        <item m="1" x="825"/>
        <item m="1" x="1004"/>
        <item m="1" x="1179"/>
        <item m="1" x="1533"/>
        <item m="1" x="571"/>
        <item m="1" x="736"/>
        <item m="1" x="918"/>
        <item m="1" x="1092"/>
        <item m="1" x="1271"/>
        <item m="1" x="1626"/>
        <item m="1" x="1802"/>
        <item m="1" x="180"/>
        <item m="1" x="344"/>
        <item m="1" x="464"/>
        <item m="1" x="614"/>
        <item m="1" x="962"/>
        <item m="1" x="1138"/>
        <item m="1" x="1315"/>
        <item m="1" x="1494"/>
        <item m="1" x="1669"/>
        <item m="1" x="1848"/>
        <item m="1" x="381"/>
        <item m="1" x="500"/>
        <item m="1" x="666"/>
        <item m="1" x="840"/>
        <item m="1" x="1016"/>
        <item m="1" x="1196"/>
        <item m="1" x="1549"/>
        <item m="1" x="1720"/>
        <item m="1" x="1896"/>
        <item m="1" x="276"/>
        <item m="1" x="582"/>
        <item m="1" x="745"/>
        <item m="1" x="1102"/>
        <item m="1" x="1280"/>
        <item m="1" x="1463"/>
        <item m="1" x="1632"/>
        <item m="1" x="1812"/>
        <item m="1" x="190"/>
        <item m="1" x="468"/>
        <item m="1" x="623"/>
        <item m="1" x="792"/>
        <item m="1" x="972"/>
        <item m="1" x="1146"/>
        <item m="1" x="1324"/>
        <item m="1" x="1677"/>
        <item m="1" x="1856"/>
        <item m="1" x="233"/>
        <item m="1" x="389"/>
        <item m="1" x="507"/>
        <item m="1" x="676"/>
        <item m="1" x="1028"/>
        <item m="1" x="1208"/>
        <item m="1" x="1381"/>
        <item m="1" x="1732"/>
        <item m="1" x="1909"/>
        <item m="1" x="1114"/>
        <item m="1" x="1291"/>
        <item m="1" x="1473"/>
        <item m="1" x="1643"/>
        <item m="1" x="199"/>
        <item m="1" x="355"/>
        <item m="1" x="474"/>
        <item m="1" x="632"/>
        <item m="1" x="803"/>
        <item m="1" x="982"/>
        <item m="1" x="1334"/>
        <item m="1" x="1512"/>
        <item m="1" x="1689"/>
        <item m="1" x="1866"/>
        <item m="1" x="244"/>
        <item m="1" x="398"/>
        <item m="1" x="686"/>
        <item m="1" x="862"/>
        <item m="1" x="1039"/>
        <item m="1" x="1218"/>
        <item m="1" x="1393"/>
        <item m="1" x="1573"/>
        <item m="1" x="124"/>
        <item m="1" x="297"/>
        <item m="1" x="597"/>
        <item m="1" x="767"/>
        <item m="1" x="947"/>
        <item m="1" x="1123"/>
        <item m="1" x="1484"/>
        <item m="1" x="1654"/>
        <item m="1" x="1832"/>
        <item m="1" x="211"/>
        <item m="1" x="367"/>
        <item m="1" x="485"/>
        <item m="1" x="820"/>
        <item m="1" x="998"/>
        <item m="1" x="1174"/>
        <item m="1" x="1350"/>
        <item m="1" x="1528"/>
        <item m="1" x="1705"/>
        <item m="1" x="261"/>
        <item m="1" x="409"/>
        <item m="1" x="530"/>
        <item m="1" x="873"/>
        <item m="1" x="1051"/>
        <item m="1" x="1405"/>
        <item m="1" x="1583"/>
        <item m="1" x="1756"/>
        <item m="1" x="135"/>
        <item m="1" x="608"/>
        <item m="1" x="778"/>
        <item m="1" x="1133"/>
        <item m="1" x="1309"/>
        <item m="1" x="1489"/>
        <item m="1" x="1664"/>
        <item m="1" x="1843"/>
        <item m="1" x="1072"/>
        <item m="1" x="1433"/>
        <item m="1" x="1607"/>
        <item m="1" x="159"/>
        <item m="1" x="328"/>
        <item m="1" x="454"/>
        <item m="1" x="592"/>
        <item m="1" x="762"/>
        <item m="1" x="942"/>
        <item m="1" x="1296"/>
        <item m="1" x="1479"/>
        <item m="1" x="1649"/>
        <item m="1" x="206"/>
        <item m="1" x="362"/>
        <item m="1" x="637"/>
        <item m="1" x="809"/>
        <item m="1" x="988"/>
        <item m="1" x="1164"/>
        <item m="1" x="1340"/>
        <item m="1" x="1519"/>
        <item m="1" x="1871"/>
        <item m="1" x="250"/>
        <item m="1" x="563"/>
        <item m="1" x="908"/>
        <item m="1" x="1083"/>
        <item m="1" x="1443"/>
        <item m="1" x="1616"/>
        <item m="1" x="1793"/>
        <item m="1" x="170"/>
        <item m="1" x="334"/>
        <item m="1" x="460"/>
        <item m="1" x="772"/>
        <item m="1" x="953"/>
        <item m="1" x="1129"/>
        <item m="1" x="1660"/>
        <item m="1" x="216"/>
        <item m="1" x="372"/>
        <item m="1" x="491"/>
        <item m="1" x="653"/>
        <item m="1" x="826"/>
        <item m="1" x="1005"/>
        <item m="1" x="1355"/>
        <item m="1" x="1534"/>
        <item m="1" x="572"/>
        <item m="1" x="737"/>
        <item m="1" x="919"/>
        <item m="1" x="1093"/>
        <item m="1" x="1452"/>
        <item m="1" x="1627"/>
        <item m="1" x="1803"/>
        <item m="1" x="181"/>
        <item m="1" x="345"/>
        <item m="1" x="465"/>
        <item m="1" x="783"/>
        <item m="1" x="963"/>
        <item m="1" x="1139"/>
        <item m="1" x="1316"/>
        <item m="1" x="1495"/>
        <item m="1" x="1670"/>
        <item m="1" x="226"/>
        <item m="1" x="382"/>
        <item m="1" x="501"/>
        <item m="1" x="841"/>
        <item m="1" x="1017"/>
        <item m="1" x="1369"/>
        <item m="1" x="1550"/>
        <item m="1" x="1721"/>
        <item m="1" x="1897"/>
        <item m="1" x="277"/>
        <item m="1" x="583"/>
        <item m="1" x="926"/>
        <item m="1" x="1103"/>
        <item m="1" x="1281"/>
        <item m="1" x="1633"/>
        <item m="1" x="1813"/>
        <item m="1" x="349"/>
        <item m="1" x="469"/>
        <item m="1" x="624"/>
        <item m="1" x="793"/>
        <item m="1" x="973"/>
        <item m="1" x="1147"/>
        <item m="1" x="1502"/>
        <item m="1" x="1678"/>
        <item m="1" x="1857"/>
        <item m="1" x="852"/>
        <item m="1" x="1029"/>
        <item m="1" x="1209"/>
        <item m="1" x="1382"/>
        <item m="1" x="1563"/>
        <item m="1" x="1733"/>
        <item m="1" x="756"/>
        <item m="1" x="936"/>
        <item m="1" x="1292"/>
        <item m="1" x="1474"/>
        <item m="1" x="1823"/>
        <item m="1" x="200"/>
        <item m="1" x="356"/>
        <item m="1" x="475"/>
        <item m="1" x="633"/>
        <item m="1" x="804"/>
        <item m="1" x="1159"/>
        <item m="1" x="1335"/>
        <item m="1" x="1513"/>
        <item m="1" x="1867"/>
        <item m="1" x="245"/>
        <item m="1" x="519"/>
        <item m="1" x="687"/>
        <item m="1" x="863"/>
        <item m="1" x="1040"/>
        <item m="1" x="1219"/>
        <item m="1" x="1394"/>
        <item m="1" x="1745"/>
        <item m="1" x="125"/>
        <item m="1" x="298"/>
        <item m="1" x="598"/>
        <item m="1" x="768"/>
        <item m="1" x="948"/>
        <item m="1" x="1301"/>
        <item m="1" x="1485"/>
        <item m="1" x="1655"/>
        <item m="1" x="1833"/>
        <item m="1" x="212"/>
        <item m="1" x="368"/>
        <item m="1" x="648"/>
        <item m="1" x="821"/>
        <item m="1" x="999"/>
        <item m="1" x="1175"/>
        <item m="1" x="1351"/>
        <item m="1" x="1529"/>
        <item m="1" x="1882"/>
        <item m="1" x="262"/>
        <item m="1" x="410"/>
        <item m="1" x="531"/>
        <item m="1" x="697"/>
        <item m="1" x="874"/>
        <item m="1" x="1229"/>
        <item m="1" x="1406"/>
        <item m="1" x="136"/>
        <item m="1" x="609"/>
        <item m="1" x="959"/>
        <item m="1" x="1134"/>
        <item m="1" x="1310"/>
        <item m="1" x="1490"/>
        <item m="1" x="1665"/>
        <item m="1" x="1844"/>
        <item m="1" x="378"/>
        <item m="1" x="496"/>
        <item m="1" x="662"/>
        <item m="1" x="837"/>
        <item m="1" x="1013"/>
        <item m="1" x="1191"/>
        <item m="1" x="1546"/>
        <item m="1" x="1716"/>
        <item m="1" x="1892"/>
        <item m="1" x="272"/>
        <item m="1" x="418"/>
        <item m="1" x="542"/>
        <item m="1" x="886"/>
        <item m="1" x="1060"/>
        <item m="1" x="1239"/>
        <item m="1" x="1417"/>
        <item m="1" x="1591"/>
        <item m="1" x="1767"/>
        <item m="1" x="313"/>
        <item m="1" x="619"/>
        <item m="1" x="788"/>
        <item m="1" x="969"/>
        <item m="1" x="1143"/>
        <item m="1" x="1321"/>
        <item m="1" x="1675"/>
        <item m="1" x="1853"/>
        <item m="1" x="230"/>
        <item m="1" x="386"/>
        <item m="1" x="505"/>
        <item m="1" x="428"/>
        <item m="1" x="553"/>
        <item m="1" x="716"/>
        <item m="1" x="897"/>
        <item m="1" x="1069"/>
        <item m="1" x="1249"/>
        <item m="1" x="1601"/>
        <item m="1" x="1778"/>
        <item m="1" x="154"/>
        <item m="1" x="324"/>
        <item m="1" x="628"/>
        <item m="1" x="798"/>
        <item m="1" x="1153"/>
        <item m="1" x="1329"/>
        <item m="1" x="1507"/>
        <item m="1" x="1684"/>
        <item m="1" x="1862"/>
        <item m="1" x="238"/>
        <item m="1" x="513"/>
        <item m="1" x="681"/>
        <item m="1" x="857"/>
        <item m="1" x="1035"/>
        <item m="1" x="1214"/>
        <item m="1" x="1387"/>
        <item m="1" x="1739"/>
        <item m="1" x="119"/>
        <item m="1" x="292"/>
        <item m="1" x="434"/>
        <item m="1" x="558"/>
        <item m="1" x="722"/>
        <item m="1" x="1077"/>
        <item m="1" x="1256"/>
        <item m="1" x="1438"/>
        <item m="1" x="1612"/>
        <item m="1" x="1788"/>
        <item m="1" x="165"/>
        <item m="1" x="815"/>
        <item m="1" x="993"/>
        <item m="1" x="1168"/>
        <item m="1" x="1346"/>
        <item m="1" x="1523"/>
        <item m="1" x="1699"/>
        <item m="1" x="256"/>
        <item m="1" x="403"/>
        <item m="1" x="524"/>
        <item m="1" x="693"/>
        <item m="1" x="868"/>
        <item m="1" x="1045"/>
        <item m="1" x="1400"/>
        <item m="1" x="1578"/>
        <item m="1" x="1750"/>
        <item m="1" x="131"/>
        <item m="1" x="303"/>
        <item m="1" x="439"/>
        <item m="1" x="731"/>
        <item m="1" x="913"/>
        <item m="1" x="1087"/>
        <item m="1" x="1267"/>
        <item m="1" x="1448"/>
        <item m="1" x="1622"/>
        <item m="1" x="175"/>
        <item m="1" x="339"/>
        <item m="1" x="657"/>
        <item m="1" x="832"/>
        <item m="1" x="1009"/>
        <item m="1" x="1185"/>
        <item m="1" x="1540"/>
        <item m="1" x="1711"/>
        <item m="1" x="1887"/>
        <item m="1" x="268"/>
        <item m="1" x="415"/>
        <item m="1" x="536"/>
        <item m="1" x="880"/>
        <item m="1" x="1234"/>
        <item m="1" x="1412"/>
        <item m="1" x="1588"/>
        <item m="1" x="1761"/>
        <item m="1" x="308"/>
        <item m="1" x="443"/>
        <item m="1" x="577"/>
        <item m="1" x="742"/>
        <item m="1" x="923"/>
        <item m="1" x="1099"/>
        <item m="1" x="1458"/>
        <item m="1" x="1808"/>
        <item m="1" x="186"/>
        <item m="1" x="670"/>
        <item m="1" x="846"/>
        <item m="1" x="1202"/>
        <item m="1" x="1374"/>
        <item m="1" x="1555"/>
        <item m="1" x="1726"/>
        <item m="1" x="1900"/>
        <item m="1" x="281"/>
        <item m="1" x="548"/>
        <item m="1" x="711"/>
        <item m="1" x="891"/>
        <item m="1" x="1244"/>
        <item m="1" x="1422"/>
        <item m="1" x="1773"/>
        <item m="1" x="149"/>
        <item m="1" x="318"/>
        <item m="1" x="449"/>
        <item m="1" x="588"/>
        <item m="1" x="751"/>
        <item m="1" x="1108"/>
        <item m="1" x="1286"/>
        <item m="1" x="1467"/>
        <item m="1" x="1638"/>
        <item m="1" x="1818"/>
        <item m="1" x="1434"/>
        <item m="1" x="1784"/>
        <item m="1" x="160"/>
        <item m="1" x="329"/>
        <item m="1" x="455"/>
        <item m="1" x="593"/>
        <item m="1" x="763"/>
        <item m="1" x="1119"/>
        <item m="1" x="1297"/>
        <item m="1" x="1480"/>
        <item m="1" x="1650"/>
        <item m="1" x="1828"/>
        <item m="1" x="207"/>
        <item m="1" x="480"/>
        <item m="1" x="638"/>
        <item m="1" x="810"/>
        <item m="1" x="989"/>
        <item m="1" x="1165"/>
        <item m="1" x="1341"/>
        <item m="1" x="1694"/>
        <item m="1" x="1872"/>
        <item m="1" x="251"/>
        <item m="1" x="727"/>
        <item m="1" x="909"/>
        <item m="1" x="1262"/>
        <item m="1" x="1444"/>
        <item m="1" x="1617"/>
        <item m="1" x="1794"/>
        <item m="1" x="171"/>
        <item m="1" x="335"/>
        <item m="1" x="603"/>
        <item m="1" x="773"/>
        <item m="1" x="954"/>
        <item m="1" x="1306"/>
        <item m="1" x="1838"/>
        <item m="1" x="217"/>
        <item m="1" x="373"/>
        <item m="1" x="492"/>
        <item m="1" x="654"/>
        <item m="1" x="827"/>
        <item m="1" x="1180"/>
        <item m="1" x="1356"/>
        <item m="1" x="1535"/>
        <item m="1" x="1709"/>
        <item m="1" x="573"/>
        <item m="1" x="738"/>
        <item m="1" x="1094"/>
        <item m="1" x="1272"/>
        <item m="1" x="1453"/>
        <item m="1" x="1628"/>
        <item m="1" x="1804"/>
        <item m="1" x="182"/>
        <item m="1" x="466"/>
        <item m="1" x="615"/>
        <item m="1" x="784"/>
        <item m="1" x="964"/>
        <item m="1" x="1140"/>
        <item m="1" x="1317"/>
        <item m="1" x="1671"/>
        <item m="1" x="1849"/>
        <item m="1" x="227"/>
        <item m="1" x="502"/>
        <item m="1" x="667"/>
        <item m="1" x="1018"/>
        <item m="1" x="1197"/>
        <item m="1" x="1370"/>
        <item m="1" x="1551"/>
        <item m="1" x="1722"/>
        <item m="1" x="1898"/>
        <item m="1" x="584"/>
        <item m="1" x="746"/>
        <item m="1" x="927"/>
        <item m="1" x="1282"/>
        <item m="1" x="1464"/>
        <item m="1" x="1814"/>
        <item m="1" x="625"/>
        <item m="1" x="794"/>
        <item m="1" x="1148"/>
        <item m="1" x="1325"/>
        <item m="1" x="1503"/>
        <item m="1" x="1679"/>
        <item m="1" x="1858"/>
        <item m="1" x="234"/>
        <item m="1" x="508"/>
        <item m="1" x="677"/>
        <item m="1" x="853"/>
        <item m="1" x="1030"/>
        <item m="1" x="1210"/>
        <item m="1" x="1383"/>
        <item m="1" x="1734"/>
        <item m="1" x="1910"/>
        <item m="1" x="757"/>
        <item m="1" x="937"/>
        <item m="1" x="1115"/>
        <item m="1" x="1475"/>
        <item m="1" x="1644"/>
        <item m="1" x="1824"/>
        <item m="1" x="201"/>
        <item m="1" x="357"/>
        <item m="1" x="476"/>
        <item m="1" x="805"/>
        <item m="1" x="983"/>
        <item m="1" x="1160"/>
        <item m="1" x="1514"/>
        <item m="1" x="1690"/>
        <item m="1" x="246"/>
        <item m="1" x="399"/>
        <item m="1" x="520"/>
        <item m="1" x="688"/>
        <item m="1" x="864"/>
        <item m="1" x="1041"/>
        <item m="1" x="1395"/>
        <item m="1" x="1574"/>
        <item m="1" x="1746"/>
        <item m="1" x="126"/>
        <item m="1" x="299"/>
        <item m="1" x="599"/>
        <item m="1" x="949"/>
        <item m="1" x="1124"/>
        <item m="1" x="1302"/>
        <item m="1" x="1656"/>
        <item m="1" x="1834"/>
        <item m="1" x="486"/>
        <item m="1" x="649"/>
        <item m="1" x="1000"/>
        <item m="1" x="1176"/>
        <item m="1" x="1530"/>
        <item m="1" x="1706"/>
        <item m="1" x="1883"/>
        <item m="1" x="263"/>
        <item m="1" x="411"/>
        <item m="1" x="532"/>
        <item m="1" x="875"/>
        <item m="1" x="1052"/>
        <item m="1" x="1230"/>
        <item m="1" x="1407"/>
        <item m="1" x="1584"/>
        <item m="1" x="1757"/>
        <item m="1" x="610"/>
        <item m="1" x="779"/>
        <item m="1" x="960"/>
        <item m="1" x="1135"/>
        <item m="1" x="1311"/>
        <item m="1" x="1491"/>
        <item m="1" x="1845"/>
        <item m="1" x="222"/>
        <item m="1" x="379"/>
        <item m="1" x="497"/>
        <item m="1" x="663"/>
        <item m="1" x="838"/>
        <item m="1" x="1192"/>
        <item m="1" x="1366"/>
        <item m="1" x="1547"/>
        <item m="1" x="1717"/>
        <item m="1" x="1893"/>
        <item m="1" x="273"/>
        <item m="1" x="543"/>
        <item m="1" x="707"/>
        <item m="1" x="887"/>
        <item m="1" x="1061"/>
        <item m="1" x="1240"/>
        <item m="1" x="1418"/>
        <item m="1" x="1768"/>
        <item m="1" x="145"/>
        <item m="1" x="314"/>
        <item m="1" x="620"/>
        <item m="1" x="789"/>
        <item m="1" x="970"/>
        <item m="1" x="1499"/>
        <item m="1" x="674"/>
        <item m="1" x="850"/>
        <item m="1" x="1027"/>
        <item m="1" x="1206"/>
        <item m="1" x="1379"/>
        <item m="1" x="1561"/>
        <item m="1" x="1905"/>
        <item m="1" x="287"/>
        <item m="1" x="429"/>
        <item m="1" x="554"/>
        <item m="1" x="717"/>
        <item m="1" x="898"/>
        <item m="1" x="1250"/>
        <item m="1" x="1428"/>
        <item m="1" x="1602"/>
        <item m="1" x="1779"/>
        <item m="1" x="155"/>
        <item m="1" x="325"/>
        <item m="1" x="800"/>
        <item m="1" x="979"/>
        <item m="1" x="1155"/>
        <item m="1" x="1331"/>
        <item m="1" x="1509"/>
        <item m="1" x="1686"/>
        <item m="1" x="240"/>
        <item m="1" x="394"/>
        <item m="1" x="515"/>
        <item m="1" x="683"/>
        <item m="1" x="859"/>
        <item m="1" x="1037"/>
        <item m="1" x="1389"/>
        <item m="1" x="1569"/>
        <item m="1" x="1741"/>
        <item m="1" x="121"/>
        <item m="1" x="294"/>
        <item m="1" x="435"/>
        <item m="1" x="723"/>
        <item m="1" x="903"/>
        <item m="1" x="1078"/>
        <item m="1" x="1257"/>
        <item m="1" x="1439"/>
        <item m="1" x="1613"/>
        <item m="1" x="166"/>
        <item m="1" x="644"/>
        <item m="1" x="817"/>
        <item m="1" x="995"/>
        <item m="1" x="1170"/>
        <item m="1" x="1347"/>
        <item m="1" x="1701"/>
        <item m="1" x="1878"/>
        <item m="1" x="258"/>
        <item m="1" x="405"/>
        <item m="1" x="526"/>
        <item m="1" x="694"/>
        <item m="1" x="1047"/>
        <item m="1" x="1225"/>
        <item m="1" x="1402"/>
        <item m="1" x="1580"/>
        <item m="1" x="1752"/>
        <item m="1" x="132"/>
        <item m="1" x="440"/>
        <item m="1" x="568"/>
        <item m="1" x="732"/>
        <item m="1" x="914"/>
        <item m="1" x="1088"/>
        <item m="1" x="1268"/>
        <item m="1" x="1623"/>
        <item m="1" x="1799"/>
        <item m="1" x="176"/>
        <item m="1" x="340"/>
        <item m="1" x="659"/>
        <item m="1" x="834"/>
        <item m="1" x="1187"/>
        <item m="1" x="1362"/>
        <item m="1" x="1542"/>
        <item m="1" x="1713"/>
        <item m="1" x="1889"/>
        <item m="1" x="270"/>
        <item m="1" x="538"/>
        <item m="1" x="703"/>
        <item m="1" x="882"/>
        <item m="1" x="1057"/>
        <item m="1" x="1236"/>
        <item m="1" x="1414"/>
        <item m="1" x="1763"/>
        <item m="1" x="142"/>
        <item m="1" x="310"/>
        <item m="1" x="444"/>
        <item m="1" x="578"/>
        <item m="1" x="743"/>
        <item m="1" x="1100"/>
        <item m="1" x="1277"/>
        <item m="1" x="1459"/>
        <item m="1" x="1809"/>
        <item m="1" x="187"/>
        <item m="1" x="848"/>
        <item m="1" x="1024"/>
        <item m="1" x="1204"/>
        <item m="1" x="1376"/>
        <item m="1" x="1557"/>
        <item m="1" x="1727"/>
        <item m="1" x="283"/>
        <item m="1" x="424"/>
        <item m="1" x="550"/>
        <item m="1" x="713"/>
        <item m="1" x="893"/>
        <item m="1" x="1066"/>
        <item m="1" x="1424"/>
        <item m="1" x="1597"/>
        <item m="1" x="1775"/>
        <item m="1" x="151"/>
        <item m="1" x="320"/>
        <item m="1" x="450"/>
        <item m="1" x="752"/>
        <item m="1" x="932"/>
        <item m="1" x="1109"/>
        <item m="1" x="1287"/>
        <item m="1" x="1468"/>
        <item m="1" x="1639"/>
        <item m="1" x="195"/>
        <item m="1" x="1073"/>
        <item m="1" x="1435"/>
        <item m="1" x="1608"/>
        <item m="1" x="1785"/>
        <item m="1" x="161"/>
        <item m="1" x="330"/>
        <item m="1" x="456"/>
        <item m="1" x="764"/>
        <item m="1" x="943"/>
        <item m="1" x="1120"/>
        <item m="1" x="1298"/>
        <item m="1" x="1481"/>
        <item m="1" x="1651"/>
        <item m="1" x="208"/>
        <item m="1" x="363"/>
        <item m="1" x="481"/>
        <item m="1" x="639"/>
        <item m="1" x="811"/>
        <item m="1" x="990"/>
        <item m="1" x="1342"/>
        <item m="1" x="1520"/>
        <item m="1" x="1695"/>
        <item m="1" x="1873"/>
        <item m="1" x="252"/>
        <item m="1" x="564"/>
        <item m="1" x="910"/>
        <item m="1" x="1084"/>
        <item m="1" x="1263"/>
        <item m="1" x="1445"/>
        <item m="1" x="1618"/>
        <item m="1" x="1795"/>
        <item m="1" x="336"/>
        <item m="1" x="461"/>
        <item m="1" x="604"/>
        <item m="1" x="774"/>
        <item m="1" x="955"/>
        <item m="1" x="1130"/>
        <item m="1" x="1661"/>
        <item m="1" x="1839"/>
        <item m="1" x="218"/>
        <item m="1" x="374"/>
        <item m="1" x="493"/>
        <item m="1" x="828"/>
        <item m="1" x="1006"/>
        <item m="1" x="1181"/>
        <item m="1" x="1357"/>
        <item m="1" x="1536"/>
        <item m="1" x="574"/>
        <item m="1" x="920"/>
        <item m="1" x="1095"/>
        <item m="1" x="1273"/>
        <item m="1" x="1454"/>
        <item m="1" x="1629"/>
        <item m="1" x="1805"/>
        <item m="1" x="346"/>
        <item m="1" x="467"/>
        <item m="1" x="616"/>
        <item m="1" x="785"/>
        <item m="1" x="965"/>
        <item m="1" x="1141"/>
        <item m="1" x="1496"/>
        <item m="1" x="1672"/>
        <item m="1" x="1850"/>
        <item m="1" x="383"/>
        <item m="1" x="503"/>
        <item m="1" x="842"/>
        <item m="1" x="1019"/>
        <item m="1" x="1198"/>
        <item m="1" x="1371"/>
        <item m="1" x="1552"/>
        <item m="1" x="1723"/>
        <item m="1" x="585"/>
        <item m="1" x="747"/>
        <item m="1" x="928"/>
        <item m="1" x="1104"/>
        <item m="1" x="1283"/>
        <item m="1" x="1634"/>
        <item m="1" x="1815"/>
        <item m="1" x="191"/>
        <item m="1" x="350"/>
        <item m="1" x="470"/>
        <item m="1" x="626"/>
        <item m="1" x="974"/>
        <item m="1" x="1149"/>
        <item m="1" x="1326"/>
        <item m="1" x="1504"/>
        <item m="1" x="1680"/>
        <item m="1" x="1859"/>
        <item m="1" x="390"/>
        <item m="1" x="509"/>
        <item m="1" x="678"/>
        <item m="1" x="854"/>
        <item m="1" x="1031"/>
        <item m="1" x="1211"/>
        <item m="1" x="1564"/>
        <item m="1" x="1735"/>
        <item m="1" x="1911"/>
        <item m="1" x="759"/>
        <item m="1" x="939"/>
        <item m="1" x="1294"/>
        <item m="1" x="1477"/>
        <item m="1" x="1646"/>
        <item m="1" x="1825"/>
        <item m="1" x="203"/>
        <item m="1" x="359"/>
        <item m="1" x="635"/>
        <item m="1" x="807"/>
        <item m="1" x="985"/>
        <item m="1" x="1161"/>
        <item m="1" x="1337"/>
        <item m="1" x="1516"/>
        <item m="1" x="1869"/>
        <item m="1" x="248"/>
        <item m="1" x="400"/>
        <item m="1" x="521"/>
        <item m="1" x="689"/>
        <item m="1" x="865"/>
        <item m="1" x="1220"/>
        <item m="1" x="1396"/>
        <item m="1" x="1575"/>
        <item m="1" x="1747"/>
        <item m="1" x="127"/>
        <item m="1" x="300"/>
        <item m="1" x="770"/>
        <item m="1" x="951"/>
        <item m="1" x="1126"/>
        <item m="1" x="1303"/>
        <item m="1" x="214"/>
        <item m="1" x="370"/>
        <item m="1" x="488"/>
        <item m="1" x="650"/>
        <item m="1" x="823"/>
        <item m="1" x="1002"/>
        <item m="1" x="1353"/>
        <item m="1" x="1532"/>
        <item m="1" x="1708"/>
        <item m="1" x="1884"/>
        <item m="1" x="264"/>
        <item m="1" x="412"/>
        <item m="1" x="698"/>
        <item m="1" x="876"/>
        <item m="1" x="1053"/>
        <item m="1" x="1231"/>
        <item m="1" x="1408"/>
        <item m="1" x="1585"/>
        <item m="1" x="137"/>
        <item m="1" x="612"/>
        <item m="1" x="781"/>
        <item m="1" x="961"/>
        <item m="1" x="1136"/>
        <item m="1" x="1313"/>
        <item m="1" x="1667"/>
        <item m="1" x="1846"/>
        <item m="1" x="224"/>
        <item m="1" x="380"/>
        <item m="1" x="498"/>
        <item m="1" x="664"/>
        <item m="1" x="1014"/>
        <item m="1" x="1194"/>
        <item m="1" x="1367"/>
        <item m="1" x="1548"/>
        <item m="1" x="1718"/>
        <item m="1" x="1894"/>
        <item m="1" x="419"/>
        <item m="1" x="544"/>
        <item m="1" x="708"/>
        <item m="1" x="888"/>
        <item m="1" x="1062"/>
        <item m="1" x="1241"/>
        <item m="1" x="1592"/>
        <item m="1" x="1769"/>
        <item m="1" x="146"/>
        <item m="1" x="315"/>
        <item m="1" x="621"/>
        <item m="1" x="790"/>
        <item m="1" x="1144"/>
        <item m="1" x="1322"/>
        <item m="1" x="1500"/>
        <item m="1" x="1676"/>
        <item m="1" x="1854"/>
        <item m="1" x="231"/>
        <item m="1" x="1730"/>
        <item m="1" x="1907"/>
        <item m="1" x="288"/>
        <item m="1" x="430"/>
        <item m="1" x="555"/>
        <item m="1" x="718"/>
        <item m="1" x="1070"/>
        <item m="1" x="1251"/>
        <item m="1" x="1429"/>
        <item m="1" x="1603"/>
        <item m="1" x="1780"/>
        <item m="1" x="156"/>
        <item m="1" x="630"/>
        <item m="1" x="802"/>
        <item m="1" x="981"/>
        <item m="1" x="1157"/>
        <item m="1" x="1333"/>
        <item m="1" x="1510"/>
        <item m="1" x="1864"/>
        <item m="1" x="242"/>
        <item m="1" x="396"/>
        <item m="1" x="517"/>
        <item m="1" x="685"/>
        <item m="1" x="860"/>
        <item m="1" x="1216"/>
        <item m="1" x="1391"/>
        <item m="1" x="1571"/>
        <item m="1" x="1743"/>
        <item m="1" x="123"/>
        <item m="1" x="295"/>
        <item m="1" x="559"/>
        <item m="1" x="724"/>
        <item m="1" x="904"/>
        <item m="1" x="1079"/>
        <item m="1" x="1258"/>
        <item m="1" x="1440"/>
        <item m="1" x="1789"/>
        <item m="1" x="167"/>
        <item m="1" x="646"/>
        <item m="1" x="819"/>
        <item m="1" x="996"/>
        <item m="1" x="1172"/>
        <item m="1" x="1526"/>
        <item m="1" x="1703"/>
        <item m="1" x="1880"/>
        <item m="1" x="260"/>
        <item m="1" x="407"/>
        <item m="1" x="528"/>
        <item m="1" x="871"/>
        <item m="1" x="1049"/>
        <item m="1" x="1227"/>
        <item m="1" x="1404"/>
        <item m="1" x="1581"/>
        <item m="1" x="1754"/>
        <item m="1" x="304"/>
        <item m="1" x="441"/>
        <item m="1" x="569"/>
        <item m="1" x="733"/>
        <item m="1" x="915"/>
        <item m="1" x="1089"/>
        <item m="1" x="1449"/>
        <item m="1" x="1624"/>
        <item m="1" x="1800"/>
        <item m="1" x="177"/>
        <item m="1" x="341"/>
        <item m="1" x="660"/>
        <item m="1" x="1011"/>
        <item m="1" x="1189"/>
        <item m="1" x="1364"/>
        <item m="1" x="1544"/>
        <item m="1" x="1715"/>
        <item m="1" x="1890"/>
        <item m="1" x="417"/>
        <item m="1" x="540"/>
        <item m="1" x="705"/>
        <item m="1" x="884"/>
        <item m="1" x="1059"/>
        <item m="1" x="1237"/>
        <item m="1" x="1765"/>
        <item m="1" x="143"/>
        <item m="1" x="311"/>
        <item m="1" x="445"/>
        <item m="1" x="579"/>
        <item m="1" x="924"/>
        <item m="1" x="1101"/>
        <item m="1" x="1278"/>
        <item m="1" x="1460"/>
        <item m="1" x="1810"/>
        <item m="1" x="672"/>
        <item m="1" x="849"/>
        <item m="1" x="1026"/>
        <item m="1" x="1205"/>
        <item m="1" x="1377"/>
        <item m="1" x="1559"/>
        <item m="1" x="1903"/>
        <item m="1" x="285"/>
        <item m="1" x="426"/>
        <item m="1" x="552"/>
        <item m="1" x="714"/>
        <item m="1" x="895"/>
        <item m="1" x="1247"/>
        <item m="1" x="1426"/>
        <item m="1" x="1599"/>
        <item m="1" x="1777"/>
        <item m="1" x="152"/>
        <item m="1" x="322"/>
        <item m="1" x="589"/>
        <item m="1" x="753"/>
        <item m="1" x="933"/>
        <item m="1" x="1110"/>
        <item m="1" x="1288"/>
        <item m="1" x="1469"/>
        <item m="1" x="1819"/>
        <item m="1" x="19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t="default"/>
      </items>
    </pivotField>
    <pivotField showAll="0"/>
    <pivotField showAll="0"/>
    <pivotField showAll="0"/>
    <pivotField axis="axisPage" showAll="0">
      <items count="833">
        <item m="1" x="551"/>
        <item m="1" x="592"/>
        <item x="51"/>
        <item x="87"/>
        <item x="48"/>
        <item m="1" x="785"/>
        <item m="1" x="828"/>
        <item m="1" x="247"/>
        <item x="189"/>
        <item x="49"/>
        <item x="173"/>
        <item x="50"/>
        <item m="1" x="522"/>
        <item x="190"/>
        <item m="1" x="600"/>
        <item m="1" x="674"/>
        <item m="1" x="715"/>
        <item m="1" x="214"/>
        <item m="1" x="256"/>
        <item x="167"/>
        <item m="1" x="335"/>
        <item m="1" x="419"/>
        <item m="1" x="456"/>
        <item m="1" x="493"/>
        <item m="1" x="530"/>
        <item x="65"/>
        <item x="179"/>
        <item x="178"/>
        <item x="61"/>
        <item m="1" x="343"/>
        <item m="1" x="384"/>
        <item m="1" x="428"/>
        <item m="1" x="464"/>
        <item x="60"/>
        <item m="1" x="539"/>
        <item m="1" x="615"/>
        <item m="1" x="651"/>
        <item m="1" x="734"/>
        <item m="1" x="771"/>
        <item m="1" x="814"/>
        <item m="1" x="272"/>
        <item m="1" x="310"/>
        <item m="1" x="353"/>
        <item x="181"/>
        <item m="1" x="476"/>
        <item m="1" x="547"/>
        <item m="1" x="589"/>
        <item m="1" x="627"/>
        <item x="152"/>
        <item m="1" x="702"/>
        <item m="1" x="744"/>
        <item x="7"/>
        <item m="1" x="403"/>
        <item x="76"/>
        <item x="123"/>
        <item m="1" x="516"/>
        <item x="97"/>
        <item m="1" x="595"/>
        <item x="1"/>
        <item m="1" x="668"/>
        <item m="1" x="707"/>
        <item m="1" x="751"/>
        <item m="1" x="788"/>
        <item x="124"/>
        <item m="1" x="250"/>
        <item x="205"/>
        <item m="1" x="328"/>
        <item x="154"/>
        <item m="1" x="413"/>
        <item m="1" x="450"/>
        <item x="143"/>
        <item m="1" x="526"/>
        <item m="1" x="565"/>
        <item x="8"/>
        <item x="4"/>
        <item m="1" x="719"/>
        <item x="193"/>
        <item m="1" x="798"/>
        <item m="1" x="218"/>
        <item x="5"/>
        <item x="6"/>
        <item x="184"/>
        <item m="1" x="422"/>
        <item m="1" x="459"/>
        <item m="1" x="497"/>
        <item m="1" x="534"/>
        <item m="1" x="574"/>
        <item m="1" x="611"/>
        <item x="157"/>
        <item m="1" x="610"/>
        <item m="1" x="647"/>
        <item m="1" x="687"/>
        <item m="1" x="728"/>
        <item x="22"/>
        <item m="1" x="808"/>
        <item m="1" x="228"/>
        <item m="1" x="266"/>
        <item x="80"/>
        <item x="21"/>
        <item x="18"/>
        <item m="1" x="503"/>
        <item m="1" x="541"/>
        <item m="1" x="582"/>
        <item x="79"/>
        <item m="1" x="657"/>
        <item m="1" x="697"/>
        <item m="1" x="776"/>
        <item m="1" x="818"/>
        <item m="1" x="237"/>
        <item m="1" x="275"/>
        <item m="1" x="314"/>
        <item m="1" x="786"/>
        <item x="137"/>
        <item x="103"/>
        <item x="25"/>
        <item m="1" x="326"/>
        <item x="102"/>
        <item x="26"/>
        <item x="23"/>
        <item x="24"/>
        <item m="1" x="523"/>
        <item x="158"/>
        <item m="1" x="601"/>
        <item m="1" x="638"/>
        <item m="1" x="675"/>
        <item m="1" x="716"/>
        <item m="1" x="757"/>
        <item m="1" x="215"/>
        <item m="1" x="257"/>
        <item m="1" x="294"/>
        <item m="1" x="336"/>
        <item m="1" x="457"/>
        <item m="1" x="494"/>
        <item m="1" x="532"/>
        <item m="1" x="572"/>
        <item x="201"/>
        <item x="27"/>
        <item m="1" x="686"/>
        <item m="1" x="726"/>
        <item m="1" x="767"/>
        <item m="1" x="806"/>
        <item m="1" x="389"/>
        <item m="1" x="432"/>
        <item m="1" x="467"/>
        <item x="130"/>
        <item x="35"/>
        <item m="1" x="580"/>
        <item m="1" x="619"/>
        <item m="1" x="655"/>
        <item m="1" x="695"/>
        <item m="1" x="737"/>
        <item m="1" x="775"/>
        <item m="1" x="817"/>
        <item x="151"/>
        <item x="146"/>
        <item m="1" x="313"/>
        <item x="84"/>
        <item x="38"/>
        <item x="208"/>
        <item x="37"/>
        <item m="1" x="510"/>
        <item m="1" x="550"/>
        <item x="159"/>
        <item m="1" x="666"/>
        <item x="36"/>
        <item x="164"/>
        <item x="133"/>
        <item m="1" x="827"/>
        <item m="1" x="246"/>
        <item m="1" x="285"/>
        <item m="1" x="325"/>
        <item m="1" x="367"/>
        <item x="119"/>
        <item x="120"/>
        <item m="1" x="386"/>
        <item x="57"/>
        <item m="1" x="430"/>
        <item m="1" x="445"/>
        <item m="1" x="465"/>
        <item x="168"/>
        <item x="52"/>
        <item m="1" x="520"/>
        <item x="53"/>
        <item m="1" x="560"/>
        <item m="1" x="578"/>
        <item m="1" x="598"/>
        <item m="1" x="616"/>
        <item m="1" x="635"/>
        <item m="1" x="652"/>
        <item x="170"/>
        <item m="1" x="692"/>
        <item m="1" x="712"/>
        <item x="55"/>
        <item x="70"/>
        <item m="1" x="477"/>
        <item x="69"/>
        <item m="1" x="508"/>
        <item x="161"/>
        <item x="92"/>
        <item m="1" x="569"/>
        <item x="122"/>
        <item x="67"/>
        <item x="153"/>
        <item x="68"/>
        <item x="93"/>
        <item m="1" x="682"/>
        <item m="1" x="703"/>
        <item m="1" x="722"/>
        <item m="1" x="745"/>
        <item m="1" x="763"/>
        <item m="1" x="781"/>
        <item m="1" x="801"/>
        <item x="9"/>
        <item x="126"/>
        <item x="15"/>
        <item x="14"/>
        <item x="177"/>
        <item x="16"/>
        <item x="11"/>
        <item m="1" x="690"/>
        <item m="1" x="709"/>
        <item m="1" x="732"/>
        <item x="99"/>
        <item x="127"/>
        <item x="12"/>
        <item x="78"/>
        <item m="1" x="210"/>
        <item m="1" x="232"/>
        <item x="17"/>
        <item m="1" x="269"/>
        <item m="1" x="287"/>
        <item m="1" x="306"/>
        <item x="13"/>
        <item x="163"/>
        <item m="1" x="370"/>
        <item x="10"/>
        <item m="1" x="414"/>
        <item x="125"/>
        <item m="1" x="661"/>
        <item m="1" x="679"/>
        <item x="108"/>
        <item x="109"/>
        <item x="197"/>
        <item x="33"/>
        <item x="107"/>
        <item x="138"/>
        <item x="32"/>
        <item m="1" x="219"/>
        <item m="1" x="241"/>
        <item m="1" x="260"/>
        <item m="1" x="279"/>
        <item m="1" x="318"/>
        <item m="1" x="339"/>
        <item m="1" x="359"/>
        <item m="1" x="379"/>
        <item m="1" x="401"/>
        <item m="1" x="423"/>
        <item m="1" x="440"/>
        <item m="1" x="460"/>
        <item m="1" x="482"/>
        <item m="1" x="498"/>
        <item m="1" x="514"/>
        <item x="28"/>
        <item x="29"/>
        <item m="1" x="809"/>
        <item m="1" x="830"/>
        <item m="1" x="229"/>
        <item m="1" x="267"/>
        <item x="106"/>
        <item m="1" x="304"/>
        <item x="149"/>
        <item x="30"/>
        <item m="1" x="368"/>
        <item x="31"/>
        <item m="1" x="411"/>
        <item x="105"/>
        <item x="209"/>
        <item m="1" x="469"/>
        <item m="1" x="487"/>
        <item x="104"/>
        <item x="172"/>
        <item m="1" x="542"/>
        <item m="1" x="562"/>
        <item m="1" x="583"/>
        <item x="188"/>
        <item x="39"/>
        <item x="117"/>
        <item x="115"/>
        <item x="206"/>
        <item x="44"/>
        <item x="45"/>
        <item x="46"/>
        <item x="116"/>
        <item x="114"/>
        <item x="131"/>
        <item m="1" x="480"/>
        <item m="1" x="495"/>
        <item x="150"/>
        <item x="132"/>
        <item m="1" x="593"/>
        <item m="1" x="609"/>
        <item m="1" x="631"/>
        <item m="1" x="646"/>
        <item x="41"/>
        <item x="40"/>
        <item x="47"/>
        <item m="1" x="727"/>
        <item m="1" x="749"/>
        <item m="1" x="738"/>
        <item m="1" x="829"/>
        <item m="1" x="531"/>
        <item m="1" x="549"/>
        <item m="1" x="571"/>
        <item m="1" x="591"/>
        <item m="1" x="608"/>
        <item m="1" x="629"/>
        <item m="1" x="645"/>
        <item m="1" x="665"/>
        <item m="1" x="685"/>
        <item m="1" x="705"/>
        <item m="1" x="725"/>
        <item m="1" x="748"/>
        <item m="1" x="766"/>
        <item m="1" x="784"/>
        <item m="1" x="805"/>
        <item m="1" x="826"/>
        <item m="1" x="226"/>
        <item m="1" x="245"/>
        <item m="1" x="264"/>
        <item m="1" x="284"/>
        <item m="1" x="302"/>
        <item m="1" x="324"/>
        <item m="1" x="346"/>
        <item m="1" x="366"/>
        <item m="1" x="388"/>
        <item m="1" x="409"/>
        <item m="1" x="431"/>
        <item m="1" x="446"/>
        <item m="1" x="466"/>
        <item m="1" x="486"/>
        <item m="1" x="502"/>
        <item m="1" x="521"/>
        <item m="1" x="540"/>
        <item m="1" x="561"/>
        <item m="1" x="579"/>
        <item m="1" x="599"/>
        <item m="1" x="618"/>
        <item m="1" x="637"/>
        <item m="1" x="654"/>
        <item m="1" x="673"/>
        <item m="1" x="694"/>
        <item m="1" x="714"/>
        <item m="1" x="736"/>
        <item m="1" x="756"/>
        <item m="1" x="774"/>
        <item m="1" x="795"/>
        <item m="1" x="816"/>
        <item m="1" x="213"/>
        <item m="1" x="236"/>
        <item m="1" x="255"/>
        <item m="1" x="274"/>
        <item m="1" x="293"/>
        <item m="1" x="312"/>
        <item m="1" x="334"/>
        <item m="1" x="355"/>
        <item m="1" x="375"/>
        <item m="1" x="397"/>
        <item m="1" x="636"/>
        <item m="1" x="653"/>
        <item m="1" x="672"/>
        <item m="1" x="693"/>
        <item m="1" x="713"/>
        <item m="1" x="735"/>
        <item m="1" x="755"/>
        <item m="1" x="773"/>
        <item m="1" x="794"/>
        <item m="1" x="815"/>
        <item m="1" x="212"/>
        <item m="1" x="235"/>
        <item m="1" x="254"/>
        <item m="1" x="273"/>
        <item m="1" x="292"/>
        <item m="1" x="311"/>
        <item m="1" x="333"/>
        <item m="1" x="354"/>
        <item m="1" x="374"/>
        <item m="1" x="396"/>
        <item m="1" x="417"/>
        <item m="1" x="437"/>
        <item m="1" x="454"/>
        <item m="1" x="478"/>
        <item m="1" x="492"/>
        <item m="1" x="509"/>
        <item m="1" x="529"/>
        <item m="1" x="548"/>
        <item m="1" x="570"/>
        <item m="1" x="590"/>
        <item m="1" x="607"/>
        <item m="1" x="628"/>
        <item m="1" x="644"/>
        <item m="1" x="664"/>
        <item m="1" x="683"/>
        <item m="1" x="704"/>
        <item m="1" x="723"/>
        <item m="1" x="747"/>
        <item m="1" x="765"/>
        <item m="1" x="783"/>
        <item m="1" x="746"/>
        <item m="1" x="764"/>
        <item m="1" x="782"/>
        <item m="1" x="802"/>
        <item m="1" x="824"/>
        <item m="1" x="223"/>
        <item m="1" x="243"/>
        <item m="1" x="262"/>
        <item m="1" x="282"/>
        <item m="1" x="299"/>
        <item m="1" x="322"/>
        <item m="1" x="342"/>
        <item m="1" x="364"/>
        <item m="1" x="383"/>
        <item m="1" x="407"/>
        <item m="1" x="427"/>
        <item m="1" x="444"/>
        <item m="1" x="463"/>
        <item m="1" x="485"/>
        <item m="1" x="501"/>
        <item m="1" x="519"/>
        <item m="1" x="538"/>
        <item m="1" x="559"/>
        <item m="1" x="577"/>
        <item m="1" x="597"/>
        <item m="1" x="614"/>
        <item m="1" x="634"/>
        <item m="1" x="650"/>
        <item m="1" x="671"/>
        <item m="1" x="691"/>
        <item m="1" x="711"/>
        <item m="1" x="733"/>
        <item m="1" x="754"/>
        <item m="1" x="770"/>
        <item m="1" x="791"/>
        <item m="1" x="812"/>
        <item m="1" x="211"/>
        <item m="1" x="234"/>
        <item m="1" x="252"/>
        <item m="1" x="271"/>
        <item m="1" x="290"/>
        <item m="1" x="308"/>
        <item m="1" x="331"/>
        <item m="1" x="351"/>
        <item m="1" x="373"/>
        <item m="1" x="394"/>
        <item m="1" x="416"/>
        <item m="1" x="435"/>
        <item m="1" x="453"/>
        <item m="1" x="474"/>
        <item m="1" x="491"/>
        <item m="1" x="507"/>
        <item m="1" x="528"/>
        <item m="1" x="546"/>
        <item m="1" x="568"/>
        <item m="1" x="588"/>
        <item m="1" x="606"/>
        <item m="1" x="626"/>
        <item m="1" x="643"/>
        <item m="1" x="663"/>
        <item m="1" x="233"/>
        <item m="1" x="251"/>
        <item m="1" x="270"/>
        <item m="1" x="288"/>
        <item m="1" x="307"/>
        <item m="1" x="329"/>
        <item m="1" x="350"/>
        <item m="1" x="371"/>
        <item m="1" x="393"/>
        <item m="1" x="415"/>
        <item m="1" x="434"/>
        <item m="1" x="452"/>
        <item m="1" x="473"/>
        <item m="1" x="490"/>
        <item m="1" x="506"/>
        <item m="1" x="527"/>
        <item m="1" x="545"/>
        <item m="1" x="566"/>
        <item m="1" x="587"/>
        <item m="1" x="604"/>
        <item m="1" x="625"/>
        <item m="1" x="642"/>
        <item m="1" x="662"/>
        <item m="1" x="680"/>
        <item m="1" x="700"/>
        <item m="1" x="720"/>
        <item m="1" x="742"/>
        <item m="1" x="760"/>
        <item m="1" x="779"/>
        <item m="1" x="799"/>
        <item m="1" x="821"/>
        <item m="1" x="220"/>
        <item m="1" x="242"/>
        <item m="1" x="261"/>
        <item m="1" x="280"/>
        <item m="1" x="297"/>
        <item m="1" x="319"/>
        <item m="1" x="341"/>
        <item m="1" x="361"/>
        <item m="1" x="381"/>
        <item m="1" x="404"/>
        <item m="1" x="425"/>
        <item m="1" x="442"/>
        <item m="1" x="462"/>
        <item m="1" x="484"/>
        <item m="1" x="500"/>
        <item m="1" x="517"/>
        <item m="1" x="537"/>
        <item m="1" x="557"/>
        <item m="1" x="576"/>
        <item m="1" x="596"/>
        <item m="1" x="613"/>
        <item m="1" x="633"/>
        <item m="1" x="649"/>
        <item m="1" x="669"/>
        <item m="1" x="689"/>
        <item m="1" x="708"/>
        <item m="1" x="731"/>
        <item m="1" x="752"/>
        <item m="1" x="340"/>
        <item m="1" x="360"/>
        <item m="1" x="380"/>
        <item m="1" x="402"/>
        <item m="1" x="424"/>
        <item m="1" x="441"/>
        <item m="1" x="461"/>
        <item m="1" x="483"/>
        <item m="1" x="499"/>
        <item m="1" x="515"/>
        <item m="1" x="536"/>
        <item m="1" x="556"/>
        <item m="1" x="575"/>
        <item m="1" x="594"/>
        <item m="1" x="612"/>
        <item m="1" x="632"/>
        <item m="1" x="648"/>
        <item m="1" x="667"/>
        <item m="1" x="688"/>
        <item m="1" x="706"/>
        <item m="1" x="730"/>
        <item m="1" x="750"/>
        <item m="1" x="768"/>
        <item m="1" x="787"/>
        <item m="1" x="810"/>
        <item m="1" x="831"/>
        <item m="1" x="231"/>
        <item m="1" x="249"/>
        <item m="1" x="268"/>
        <item m="1" x="286"/>
        <item m="1" x="305"/>
        <item m="1" x="327"/>
        <item m="1" x="349"/>
        <item m="1" x="369"/>
        <item m="1" x="392"/>
        <item m="1" x="412"/>
        <item m="1" x="433"/>
        <item m="1" x="449"/>
        <item m="1" x="472"/>
        <item m="1" x="489"/>
        <item m="1" x="505"/>
        <item m="1" x="525"/>
        <item m="1" x="544"/>
        <item m="1" x="564"/>
        <item m="1" x="586"/>
        <item m="1" x="603"/>
        <item m="1" x="624"/>
        <item m="1" x="640"/>
        <item m="1" x="660"/>
        <item m="1" x="677"/>
        <item m="1" x="699"/>
        <item m="1" x="718"/>
        <item m="1" x="741"/>
        <item m="1" x="759"/>
        <item m="1" x="448"/>
        <item m="1" x="470"/>
        <item m="1" x="488"/>
        <item m="1" x="504"/>
        <item m="1" x="524"/>
        <item m="1" x="543"/>
        <item m="1" x="563"/>
        <item m="1" x="584"/>
        <item m="1" x="602"/>
        <item m="1" x="622"/>
        <item m="1" x="639"/>
        <item m="1" x="658"/>
        <item m="1" x="676"/>
        <item m="1" x="698"/>
        <item m="1" x="717"/>
        <item m="1" x="739"/>
        <item m="1" x="758"/>
        <item m="1" x="777"/>
        <item m="1" x="796"/>
        <item m="1" x="819"/>
        <item m="1" x="216"/>
        <item m="1" x="238"/>
        <item m="1" x="258"/>
        <item m="1" x="276"/>
        <item m="1" x="295"/>
        <item m="1" x="315"/>
        <item m="1" x="337"/>
        <item m="1" x="357"/>
        <item m="1" x="377"/>
        <item m="1" x="399"/>
        <item m="1" x="420"/>
        <item m="1" x="439"/>
        <item m="1" x="458"/>
        <item m="1" x="481"/>
        <item m="1" x="496"/>
        <item m="1" x="512"/>
        <item m="1" x="533"/>
        <item m="1" x="807"/>
        <item m="1" x="762"/>
        <item x="71"/>
        <item m="1" x="792"/>
        <item m="1" x="800"/>
        <item m="1" x="813"/>
        <item m="1" x="822"/>
        <item m="1" x="221"/>
        <item m="1" x="291"/>
        <item m="1" x="780"/>
        <item x="118"/>
        <item m="1" x="418"/>
        <item m="1" x="554"/>
        <item m="1" x="438"/>
        <item m="1" x="681"/>
        <item m="1" x="376"/>
        <item m="1" x="772"/>
        <item m="1" x="778"/>
        <item m="1" x="803"/>
        <item m="1" x="227"/>
        <item m="1" x="573"/>
        <item m="1" x="455"/>
        <item m="1" x="553"/>
        <item m="1" x="410"/>
        <item m="1" x="356"/>
        <item m="1" x="701"/>
        <item m="1" x="769"/>
        <item m="1" x="451"/>
        <item m="1" x="535"/>
        <item m="1" x="398"/>
        <item m="1" x="789"/>
        <item x="34"/>
        <item m="1" x="825"/>
        <item m="1" x="797"/>
        <item m="1" x="224"/>
        <item m="1" x="244"/>
        <item m="1" x="263"/>
        <item m="1" x="721"/>
        <item m="1" x="743"/>
        <item m="1" x="283"/>
        <item m="1" x="217"/>
        <item m="1" x="820"/>
        <item m="1" x="823"/>
        <item m="1" x="300"/>
        <item m="1" x="323"/>
        <item m="1" x="811"/>
        <item m="1" x="240"/>
        <item m="1" x="259"/>
        <item m="1" x="278"/>
        <item m="1" x="296"/>
        <item m="1" x="317"/>
        <item m="1" x="338"/>
        <item m="1" x="479"/>
        <item m="1" x="344"/>
        <item m="1" x="365"/>
        <item m="1" x="385"/>
        <item m="1" x="408"/>
        <item m="1" x="378"/>
        <item m="1" x="358"/>
        <item m="1" x="793"/>
        <item m="1" x="761"/>
        <item m="1" x="630"/>
        <item m="1" x="400"/>
        <item m="1" x="429"/>
        <item m="1" x="421"/>
        <item x="85"/>
        <item x="121"/>
        <item m="1" x="390"/>
        <item x="3"/>
        <item x="156"/>
        <item x="20"/>
        <item m="1" x="281"/>
        <item x="0"/>
        <item x="2"/>
        <item m="1" x="265"/>
        <item m="1" x="320"/>
        <item m="1" x="303"/>
        <item x="19"/>
        <item m="1" x="363"/>
        <item m="1" x="222"/>
        <item m="1" x="729"/>
        <item m="1" x="230"/>
        <item x="202"/>
        <item m="1" x="468"/>
        <item m="1" x="406"/>
        <item x="64"/>
        <item x="176"/>
        <item x="196"/>
        <item x="63"/>
        <item m="1" x="348"/>
        <item m="1" x="511"/>
        <item m="1" x="724"/>
        <item m="1" x="391"/>
        <item x="203"/>
        <item m="1" x="347"/>
        <item x="207"/>
        <item x="94"/>
        <item x="82"/>
        <item x="98"/>
        <item x="75"/>
        <item x="43"/>
        <item x="112"/>
        <item x="86"/>
        <item x="200"/>
        <item x="162"/>
        <item m="1" x="471"/>
        <item x="187"/>
        <item m="1" x="581"/>
        <item x="62"/>
        <item x="54"/>
        <item m="1" x="623"/>
        <item m="1" x="804"/>
        <item x="148"/>
        <item m="1" x="670"/>
        <item m="1" x="248"/>
        <item x="175"/>
        <item m="1" x="518"/>
        <item x="66"/>
        <item m="1" x="684"/>
        <item m="1" x="558"/>
        <item x="136"/>
        <item m="1" x="552"/>
        <item x="81"/>
        <item m="1" x="710"/>
        <item x="77"/>
        <item m="1" x="332"/>
        <item x="58"/>
        <item x="128"/>
        <item x="204"/>
        <item x="91"/>
        <item m="1" x="309"/>
        <item m="1" x="585"/>
        <item x="113"/>
        <item m="1" x="321"/>
        <item m="1" x="352"/>
        <item x="96"/>
        <item m="1" x="362"/>
        <item m="1" x="620"/>
        <item m="1" x="621"/>
        <item m="1" x="753"/>
        <item x="101"/>
        <item x="42"/>
        <item x="198"/>
        <item m="1" x="659"/>
        <item m="1" x="298"/>
        <item x="139"/>
        <item m="1" x="301"/>
        <item m="1" x="447"/>
        <item x="72"/>
        <item m="1" x="656"/>
        <item m="1" x="696"/>
        <item m="1" x="740"/>
        <item m="1" x="345"/>
        <item m="1" x="790"/>
        <item x="56"/>
        <item m="1" x="382"/>
        <item m="1" x="395"/>
        <item m="1" x="253"/>
        <item x="166"/>
        <item x="129"/>
        <item x="194"/>
        <item x="74"/>
        <item m="1" x="387"/>
        <item x="144"/>
        <item x="89"/>
        <item x="83"/>
        <item m="1" x="225"/>
        <item x="145"/>
        <item x="135"/>
        <item m="1" x="289"/>
        <item m="1" x="239"/>
        <item m="1" x="330"/>
        <item m="1" x="277"/>
        <item m="1" x="405"/>
        <item m="1" x="641"/>
        <item m="1" x="426"/>
        <item m="1" x="436"/>
        <item m="1" x="443"/>
        <item x="147"/>
        <item m="1" x="372"/>
        <item x="110"/>
        <item m="1" x="475"/>
        <item m="1" x="316"/>
        <item x="171"/>
        <item x="141"/>
        <item x="134"/>
        <item x="169"/>
        <item x="59"/>
        <item x="191"/>
        <item x="95"/>
        <item x="140"/>
        <item m="1" x="567"/>
        <item x="155"/>
        <item x="73"/>
        <item m="1" x="605"/>
        <item x="100"/>
        <item x="142"/>
        <item m="1" x="678"/>
        <item m="1" x="617"/>
        <item x="165"/>
        <item x="182"/>
        <item x="88"/>
        <item x="185"/>
        <item x="199"/>
        <item m="1" x="513"/>
        <item m="1" x="555"/>
        <item x="111"/>
        <item x="90"/>
        <item x="160"/>
        <item x="174"/>
        <item x="180"/>
        <item x="183"/>
        <item x="186"/>
        <item x="192"/>
        <item x="195"/>
        <item t="default"/>
      </items>
    </pivotField>
    <pivotField showAll="0"/>
    <pivotField axis="axisRow" multipleItemSelectionAllowed="1" showAll="0" sortType="ascending">
      <items count="336">
        <item m="1" x="84"/>
        <item m="1" x="319"/>
        <item m="1" x="274"/>
        <item m="1" x="239"/>
        <item m="1" x="235"/>
        <item m="1" x="207"/>
        <item m="1" x="289"/>
        <item m="1" x="192"/>
        <item m="1" x="183"/>
        <item m="1" x="194"/>
        <item m="1" x="205"/>
        <item m="1" x="199"/>
        <item m="1" x="198"/>
        <item m="1" x="150"/>
        <item m="1" x="91"/>
        <item m="1" x="163"/>
        <item m="1" x="178"/>
        <item m="1" x="92"/>
        <item m="1" x="99"/>
        <item x="41"/>
        <item m="1" x="237"/>
        <item m="1" x="234"/>
        <item m="1" x="244"/>
        <item x="26"/>
        <item x="27"/>
        <item x="34"/>
        <item m="1" x="57"/>
        <item m="1" x="247"/>
        <item x="32"/>
        <item x="28"/>
        <item m="1" x="83"/>
        <item m="1" x="186"/>
        <item m="1" x="153"/>
        <item m="1" x="188"/>
        <item m="1" x="227"/>
        <item x="23"/>
        <item m="1" x="81"/>
        <item m="1" x="208"/>
        <item m="1" x="70"/>
        <item x="47"/>
        <item x="33"/>
        <item m="1" x="162"/>
        <item x="29"/>
        <item x="37"/>
        <item x="40"/>
        <item m="1" x="181"/>
        <item m="1" x="217"/>
        <item m="1" x="211"/>
        <item x="39"/>
        <item x="38"/>
        <item x="30"/>
        <item x="44"/>
        <item x="36"/>
        <item m="1" x="105"/>
        <item m="1" x="119"/>
        <item x="35"/>
        <item m="1" x="156"/>
        <item x="46"/>
        <item x="21"/>
        <item m="1" x="269"/>
        <item m="1" x="286"/>
        <item m="1" x="310"/>
        <item m="1" x="313"/>
        <item m="1" x="322"/>
        <item m="1" x="328"/>
        <item m="1" x="53"/>
        <item m="1" x="59"/>
        <item m="1" x="67"/>
        <item m="1" x="75"/>
        <item m="1" x="93"/>
        <item m="1" x="98"/>
        <item m="1" x="104"/>
        <item m="1" x="128"/>
        <item m="1" x="143"/>
        <item m="1" x="147"/>
        <item m="1" x="287"/>
        <item x="3"/>
        <item x="4"/>
        <item x="0"/>
        <item x="5"/>
        <item x="15"/>
        <item x="18"/>
        <item x="25"/>
        <item x="20"/>
        <item x="6"/>
        <item x="1"/>
        <item x="2"/>
        <item x="9"/>
        <item m="1" x="212"/>
        <item m="1" x="215"/>
        <item m="1" x="221"/>
        <item m="1" x="232"/>
        <item m="1" x="236"/>
        <item m="1" x="109"/>
        <item m="1" x="115"/>
        <item m="1" x="123"/>
        <item m="1" x="131"/>
        <item m="1" x="158"/>
        <item m="1" x="58"/>
        <item m="1" x="66"/>
        <item x="11"/>
        <item m="1" x="85"/>
        <item m="1" x="165"/>
        <item x="19"/>
        <item x="24"/>
        <item x="16"/>
        <item x="12"/>
        <item m="1" x="206"/>
        <item m="1" x="210"/>
        <item x="7"/>
        <item m="1" x="100"/>
        <item x="22"/>
        <item x="8"/>
        <item x="50"/>
        <item x="49"/>
        <item x="43"/>
        <item x="42"/>
        <item x="14"/>
        <item x="13"/>
        <item x="17"/>
        <item m="1" x="200"/>
        <item m="1" x="133"/>
        <item x="10"/>
        <item x="31"/>
        <item m="1" x="159"/>
        <item m="1" x="166"/>
        <item m="1" x="259"/>
        <item x="45"/>
        <item m="1" x="182"/>
        <item m="1" x="184"/>
        <item m="1" x="185"/>
        <item m="1" x="190"/>
        <item m="1" x="193"/>
        <item m="1" x="264"/>
        <item m="1" x="267"/>
        <item m="1" x="272"/>
        <item m="1" x="276"/>
        <item m="1" x="277"/>
        <item m="1" x="285"/>
        <item x="48"/>
        <item m="1" x="107"/>
        <item m="1" x="88"/>
        <item m="1" x="265"/>
        <item m="1" x="290"/>
        <item m="1" x="292"/>
        <item m="1" x="294"/>
        <item m="1" x="295"/>
        <item m="1" x="299"/>
        <item m="1" x="161"/>
        <item m="1" x="298"/>
        <item m="1" x="314"/>
        <item m="1" x="326"/>
        <item m="1" x="242"/>
        <item m="1" x="329"/>
        <item m="1" x="137"/>
        <item m="1" x="222"/>
        <item m="1" x="225"/>
        <item m="1" x="312"/>
        <item m="1" x="270"/>
        <item m="1" x="148"/>
        <item m="1" x="68"/>
        <item m="1" x="309"/>
        <item m="1" x="144"/>
        <item m="1" x="149"/>
        <item m="1" x="124"/>
        <item m="1" x="101"/>
        <item m="1" x="296"/>
        <item m="1" x="297"/>
        <item m="1" x="228"/>
        <item m="1" x="110"/>
        <item m="1" x="116"/>
        <item m="1" x="195"/>
        <item m="1" x="203"/>
        <item m="1" x="146"/>
        <item m="1" x="229"/>
        <item m="1" x="226"/>
        <item m="1" x="268"/>
        <item m="1" x="273"/>
        <item m="1" x="173"/>
        <item m="1" x="218"/>
        <item m="1" x="126"/>
        <item m="1" x="90"/>
        <item m="1" x="77"/>
        <item m="1" x="308"/>
        <item m="1" x="94"/>
        <item m="1" x="145"/>
        <item m="1" x="117"/>
        <item m="1" x="118"/>
        <item m="1" x="305"/>
        <item m="1" x="160"/>
        <item m="1" x="214"/>
        <item m="1" x="241"/>
        <item m="1" x="219"/>
        <item m="1" x="231"/>
        <item m="1" x="209"/>
        <item m="1" x="139"/>
        <item m="1" x="140"/>
        <item m="1" x="141"/>
        <item m="1" x="142"/>
        <item m="1" x="201"/>
        <item m="1" x="176"/>
        <item m="1" x="157"/>
        <item m="1" x="132"/>
        <item m="1" x="106"/>
        <item m="1" x="114"/>
        <item m="1" x="78"/>
        <item m="1" x="64"/>
        <item m="1" x="304"/>
        <item m="1" x="230"/>
        <item m="1" x="174"/>
        <item m="1" x="164"/>
        <item m="1" x="167"/>
        <item m="1" x="293"/>
        <item m="1" x="216"/>
        <item m="1" x="52"/>
        <item m="1" x="177"/>
        <item m="1" x="102"/>
        <item m="1" x="125"/>
        <item m="1" x="103"/>
        <item m="1" x="112"/>
        <item m="1" x="87"/>
        <item m="1" x="303"/>
        <item m="1" x="168"/>
        <item m="1" x="155"/>
        <item m="1" x="248"/>
        <item m="1" x="249"/>
        <item m="1" x="278"/>
        <item m="1" x="279"/>
        <item m="1" x="250"/>
        <item m="1" x="280"/>
        <item m="1" x="251"/>
        <item m="1" x="252"/>
        <item m="1" x="254"/>
        <item m="1" x="281"/>
        <item m="1" x="255"/>
        <item m="1" x="282"/>
        <item m="1" x="257"/>
        <item m="1" x="258"/>
        <item m="1" x="283"/>
        <item m="1" x="284"/>
        <item m="1" x="261"/>
        <item m="1" x="263"/>
        <item m="1" x="288"/>
        <item m="1" x="266"/>
        <item m="1" x="301"/>
        <item m="1" x="243"/>
        <item m="1" x="271"/>
        <item m="1" x="197"/>
        <item m="1" x="180"/>
        <item m="1" x="315"/>
        <item m="1" x="151"/>
        <item m="1" x="138"/>
        <item m="1" x="253"/>
        <item m="1" x="256"/>
        <item m="1" x="113"/>
        <item m="1" x="245"/>
        <item m="1" x="246"/>
        <item m="1" x="220"/>
        <item m="1" x="202"/>
        <item m="1" x="172"/>
        <item m="1" x="291"/>
        <item m="1" x="97"/>
        <item m="1" x="275"/>
        <item m="1" x="260"/>
        <item m="1" x="135"/>
        <item m="1" x="120"/>
        <item m="1" x="307"/>
        <item m="1" x="330"/>
        <item m="1" x="316"/>
        <item m="1" x="71"/>
        <item m="1" x="60"/>
        <item m="1" x="331"/>
        <item m="1" x="317"/>
        <item m="1" x="72"/>
        <item m="1" x="73"/>
        <item m="1" x="62"/>
        <item m="1" x="332"/>
        <item m="1" x="333"/>
        <item m="1" x="63"/>
        <item m="1" x="334"/>
        <item m="1" x="318"/>
        <item m="1" x="74"/>
        <item m="1" x="65"/>
        <item m="1" x="51"/>
        <item m="1" x="321"/>
        <item m="1" x="311"/>
        <item m="1" x="302"/>
        <item m="1" x="320"/>
        <item m="1" x="152"/>
        <item m="1" x="130"/>
        <item m="1" x="96"/>
        <item m="1" x="82"/>
        <item m="1" x="121"/>
        <item m="1" x="108"/>
        <item m="1" x="122"/>
        <item m="1" x="111"/>
        <item m="1" x="327"/>
        <item m="1" x="233"/>
        <item m="1" x="213"/>
        <item m="1" x="95"/>
        <item m="1" x="196"/>
        <item m="1" x="127"/>
        <item m="1" x="240"/>
        <item m="1" x="262"/>
        <item m="1" x="238"/>
        <item m="1" x="169"/>
        <item m="1" x="54"/>
        <item m="1" x="86"/>
        <item m="1" x="56"/>
        <item m="1" x="79"/>
        <item m="1" x="69"/>
        <item m="1" x="80"/>
        <item m="1" x="61"/>
        <item m="1" x="76"/>
        <item m="1" x="154"/>
        <item m="1" x="323"/>
        <item m="1" x="129"/>
        <item m="1" x="189"/>
        <item m="1" x="191"/>
        <item m="1" x="306"/>
        <item m="1" x="223"/>
        <item m="1" x="224"/>
        <item m="1" x="175"/>
        <item m="1" x="324"/>
        <item m="1" x="89"/>
        <item m="1" x="179"/>
        <item m="1" x="55"/>
        <item m="1" x="187"/>
        <item m="1" x="136"/>
        <item m="1" x="134"/>
        <item m="1" x="325"/>
        <item m="1" x="204"/>
        <item m="1" x="300"/>
        <item m="1" x="170"/>
        <item m="1" x="171"/>
        <item t="default"/>
      </items>
    </pivotField>
    <pivotField showAll="0"/>
    <pivotField dataField="1" showAll="0"/>
    <pivotField showAll="0"/>
    <pivotField showAll="0"/>
  </pivotFields>
  <rowFields count="1">
    <field x="7"/>
  </rowFields>
  <rowItems count="42">
    <i>
      <x v="23"/>
    </i>
    <i>
      <x v="25"/>
    </i>
    <i>
      <x v="28"/>
    </i>
    <i>
      <x v="29"/>
    </i>
    <i>
      <x v="35"/>
    </i>
    <i>
      <x v="40"/>
    </i>
    <i>
      <x v="42"/>
    </i>
    <i>
      <x v="44"/>
    </i>
    <i>
      <x v="50"/>
    </i>
    <i>
      <x v="51"/>
    </i>
    <i>
      <x v="52"/>
    </i>
    <i>
      <x v="55"/>
    </i>
    <i>
      <x v="57"/>
    </i>
    <i>
      <x v="58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104"/>
    </i>
    <i>
      <x v="105"/>
    </i>
    <i>
      <x v="106"/>
    </i>
    <i>
      <x v="109"/>
    </i>
    <i>
      <x v="111"/>
    </i>
    <i>
      <x v="112"/>
    </i>
    <i>
      <x v="114"/>
    </i>
    <i>
      <x v="115"/>
    </i>
    <i>
      <x v="116"/>
    </i>
    <i>
      <x v="117"/>
    </i>
    <i>
      <x v="118"/>
    </i>
    <i>
      <x v="119"/>
    </i>
    <i>
      <x v="122"/>
    </i>
    <i>
      <x v="127"/>
    </i>
    <i>
      <x v="139"/>
    </i>
    <i t="grand">
      <x/>
    </i>
  </rowItems>
  <colItems count="1">
    <i/>
  </colItems>
  <pageFields count="2">
    <pageField fld="5" hier="-1"/>
    <pageField fld="1" hier="-1"/>
  </pageFields>
  <dataFields count="1">
    <dataField name="Summe von Stück" fld="9" baseField="0" baseItem="0"/>
  </dataFields>
  <pivotTableStyleInfo name="PivotStyleLight16" showRowHeaders="1" showColHeaders="1" showRowStripes="0" showColStripes="0" showLastColumn="1"/>
  <filters count="1">
    <filter fld="1" type="dateBetween" evalOrder="-1" id="1119" name="Datum">
      <autoFilter ref="A1">
        <filterColumn colId="0">
          <customFilters and="1">
            <customFilter operator="greaterThanOrEqual" val="46113"/>
            <customFilter operator="lessThanOrEqual" val="4614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48AE178-A820-4BFF-92B6-195D5D6EF23A}" name="Tabelle3" displayName="Tabelle3" ref="A1:BI11833" totalsRowShown="0">
  <autoFilter ref="A1:BI11833" xr:uid="{83EF5FD2-1137-43E5-9193-ED386DA90EB0}"/>
  <tableColumns count="61">
    <tableColumn id="1" xr3:uid="{9AC57515-2CA4-492F-8E43-95781A4649E9}" name="Spalte1" dataDxfId="87">
      <calculatedColumnFormula>IF(F2="","",VLOOKUP(F2,Tabelle1[],3))</calculatedColumnFormula>
    </tableColumn>
    <tableColumn id="58" xr3:uid="{72694502-E790-4E04-97A6-DC871EE2DB0A}" name="FIRMA" dataDxfId="86">
      <calculatedColumnFormula>IF(F2="","",VLOOKUP(F2,Tabelle1[],2))</calculatedColumnFormula>
    </tableColumn>
    <tableColumn id="59" xr3:uid="{ECE4E342-E140-4006-8B16-D92BA7243038}" name="Agent" dataDxfId="85"/>
    <tableColumn id="2" xr3:uid="{1D763D2F-9710-4EBD-8563-8AF642885047}" name="Datum" dataDxfId="84"/>
    <tableColumn id="3" xr3:uid="{402C1EE0-AB31-4385-9B43-DDDA08DDC414}" name="Status" dataDxfId="83"/>
    <tableColumn id="4" xr3:uid="{5F3F69A3-D6BA-479B-96F7-AAD8D94AB0AC}" name="KundenNr." dataDxfId="82"/>
    <tableColumn id="5" xr3:uid="{2C0818D5-594E-40A4-9403-D19BADE4E365}" name="Wert" dataDxfId="81"/>
    <tableColumn id="6" xr3:uid="{4B2C97FB-C632-4578-8C14-7E5FEA0E5FCD}" name="Art. 1" dataDxfId="80"/>
    <tableColumn id="7" xr3:uid="{1A9CDE5F-1CAE-4416-AD63-CD36FD5833F2}" name="St. 1" dataDxfId="79"/>
    <tableColumn id="8" xr3:uid="{3B5B3F52-246F-4EF7-99F5-1A37E4AA16C4}" name="Art. 2" dataDxfId="78"/>
    <tableColumn id="9" xr3:uid="{AC47EF27-DE5C-44A7-BABF-4A39A89C8A3C}" name="St. 2" dataDxfId="77"/>
    <tableColumn id="10" xr3:uid="{7AA3A3AD-AD02-4A0C-BDF2-02B221E3710A}" name="Art. 3" dataDxfId="76"/>
    <tableColumn id="11" xr3:uid="{3BD28129-1ECE-4D9A-BE27-943A145753EA}" name="St. 3" dataDxfId="75"/>
    <tableColumn id="12" xr3:uid="{DE98010F-6C84-4146-B607-5BCE8FBDA743}" name="Art. 4" dataDxfId="74"/>
    <tableColumn id="13" xr3:uid="{45E1B68E-6359-4DF8-BC4E-20DE04C1A08D}" name="St. 4" dataDxfId="73"/>
    <tableColumn id="14" xr3:uid="{4E45D097-F1F2-45DA-80C9-8BE7FA698469}" name="Art. 5" dataDxfId="72"/>
    <tableColumn id="15" xr3:uid="{8887A1E4-78F3-4515-8A86-406EE555DF27}" name="St. 5" dataDxfId="71"/>
    <tableColumn id="16" xr3:uid="{8D9D90F8-08F9-4C77-855D-1D7BDFD1CB0C}" name="Art. 6" dataDxfId="70"/>
    <tableColumn id="17" xr3:uid="{7AFFCDAF-8DB8-4EB8-AA29-1D77474AF4D3}" name="St. 6" dataDxfId="69"/>
    <tableColumn id="18" xr3:uid="{5E369BA7-02B0-451E-839B-7CA4AEA97772}" name="Art. 7" dataDxfId="68"/>
    <tableColumn id="19" xr3:uid="{2CC32D9C-4D65-44C2-9237-C8F150748652}" name="St. 7" dataDxfId="67"/>
    <tableColumn id="20" xr3:uid="{C2C68FFB-67B0-457A-8D90-EB2007D7D009}" name="Art. 8" dataDxfId="66"/>
    <tableColumn id="21" xr3:uid="{9C831057-F87C-4E59-971C-C96CA9A14D22}" name="St. 8" dataDxfId="65"/>
    <tableColumn id="22" xr3:uid="{420F41EB-0DCF-470B-BDEB-11BF0954EC07}" name="Art. 9" dataDxfId="64"/>
    <tableColumn id="23" xr3:uid="{46980ECE-E551-42DC-848A-B457CB43EAAE}" name="St. 9" dataDxfId="63"/>
    <tableColumn id="24" xr3:uid="{0989D0A1-5AAC-4B62-A5D5-0A0E09BEF9B3}" name="Art. 10" dataDxfId="62"/>
    <tableColumn id="25" xr3:uid="{001B3D60-D766-4F37-8D74-1F55353D2767}" name="St. 10" dataDxfId="61"/>
    <tableColumn id="26" xr3:uid="{F2BE2E1D-09E6-42DE-B167-5944225EFC0B}" name="Art. 11" dataDxfId="60"/>
    <tableColumn id="27" xr3:uid="{B036F44E-2773-45FB-8535-2FF3C693E92D}" name="St. 11" dataDxfId="59"/>
    <tableColumn id="28" xr3:uid="{B0D68BFB-F97A-4692-8760-9BAD94D831DF}" name="Art. 12" dataDxfId="58"/>
    <tableColumn id="29" xr3:uid="{51674062-F746-4374-8238-C8E51CD4288D}" name="St. 12" dataDxfId="57"/>
    <tableColumn id="30" xr3:uid="{14B2F377-0991-4E47-A150-6A8665196421}" name="Art. 13" dataDxfId="56"/>
    <tableColumn id="31" xr3:uid="{EFDD5543-23D2-438F-9AEC-FA0AC86E70BF}" name="St. 13" dataDxfId="55"/>
    <tableColumn id="32" xr3:uid="{A9BA32F0-0BF3-47F8-8FD3-40EE02EAEFBF}" name="Art. 14" dataDxfId="54"/>
    <tableColumn id="33" xr3:uid="{5D9A6BE1-923C-4481-995B-F17651D87E96}" name="St. 14" dataDxfId="53"/>
    <tableColumn id="34" xr3:uid="{8F770E36-FF4A-4B73-95F5-F0CA7E9D3CE7}" name="Art. 15" dataDxfId="52"/>
    <tableColumn id="35" xr3:uid="{DE27DABB-D2E8-4A9D-8512-98E707A94766}" name="St. 15" dataDxfId="51"/>
    <tableColumn id="36" xr3:uid="{7FF63C49-C738-49E3-A295-724CD53552E7}" name="Art. 16" dataDxfId="50"/>
    <tableColumn id="37" xr3:uid="{D890F6C7-65D8-45B9-99CD-90607CAB82BF}" name="St. 16" dataDxfId="49"/>
    <tableColumn id="38" xr3:uid="{DA72CFDB-9368-41F2-AF9D-DE77E5C9DA8C}" name="Art. 17" dataDxfId="48"/>
    <tableColumn id="39" xr3:uid="{2E67542B-F7F7-411B-87A6-4CCD3EBBE520}" name="St. 17" dataDxfId="47"/>
    <tableColumn id="40" xr3:uid="{64AA2D48-A02B-45A8-A5E6-CEA800C8B55E}" name="Art. 18" dataDxfId="46"/>
    <tableColumn id="41" xr3:uid="{0D762BFA-EF72-46E7-894B-70C2E2D1C186}" name="St. 18" dataDxfId="45"/>
    <tableColumn id="42" xr3:uid="{CCE5C8E6-01F4-484D-8E72-8E3DC7AB106B}" name="Art. 19" dataDxfId="44"/>
    <tableColumn id="43" xr3:uid="{4C916DCE-3B80-4035-A373-32CBFEB53011}" name="St. 19" dataDxfId="43"/>
    <tableColumn id="44" xr3:uid="{3C7EEA83-FDB3-4888-9742-695EC3E821F2}" name="Art. 20" dataDxfId="42"/>
    <tableColumn id="45" xr3:uid="{FEFAA097-8045-4C8E-9F68-9521C197BB12}" name="St. 20" dataDxfId="41"/>
    <tableColumn id="46" xr3:uid="{88B9463A-BB06-4F77-84FF-0D44690D3CAB}" name="Art. 21" dataDxfId="40"/>
    <tableColumn id="47" xr3:uid="{D9BD0E42-7EFD-4446-B814-2FDB2FE4CD5E}" name="St. 21" dataDxfId="39"/>
    <tableColumn id="48" xr3:uid="{41EA43E9-2628-4CF2-9BE5-BE3D21820141}" name="Art. 22" dataDxfId="38"/>
    <tableColumn id="49" xr3:uid="{DDF56828-677E-4E07-A759-7C5D412E1954}" name="St. 22" dataDxfId="37"/>
    <tableColumn id="50" xr3:uid="{42353A77-BAC2-4FFE-B98F-85603D223D8C}" name="Art. 23" dataDxfId="36"/>
    <tableColumn id="51" xr3:uid="{009A5DDD-D8A5-4B04-A48F-F220CB3359AB}" name="St. 23" dataDxfId="35"/>
    <tableColumn id="52" xr3:uid="{7278BE60-165D-48E6-B1F6-70E549ADD58B}" name="Art. 24" dataDxfId="34"/>
    <tableColumn id="53" xr3:uid="{70AA2288-3522-406F-8E0C-61E7DABA6EA6}" name="St. 24" dataDxfId="33"/>
    <tableColumn id="54" xr3:uid="{22003E33-56E4-4C43-9005-03CEA2202582}" name="Art. 25" dataDxfId="32"/>
    <tableColumn id="55" xr3:uid="{6D1D4A58-68D8-4FF7-8361-62CE3EF2BC8D}" name="St. 25" dataDxfId="31"/>
    <tableColumn id="56" xr3:uid="{65C2A531-FCDC-4FBF-9C68-D8A98BB8B73B}" name="Art. 26" dataDxfId="30"/>
    <tableColumn id="57" xr3:uid="{C031D537-1AC2-43E8-A403-F1E275615CFB}" name="St. 26" dataDxfId="29"/>
    <tableColumn id="60" xr3:uid="{0828BFF2-8B6A-47CF-A5A8-5607A71D2074}" name="St. 27" dataDxfId="28"/>
    <tableColumn id="61" xr3:uid="{45BD44F5-C6FF-4E92-BBB6-820212EFA2EC}" name="St. 28" dataDxfId="27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1489B65-9A08-442A-85AC-49A5AA77F8D3}" name="Tabelle1" displayName="Tabelle1" ref="A1:H930" totalsRowShown="0">
  <autoFilter ref="A1:H930" xr:uid="{17B94FE0-7DC7-4742-BC6E-322492DCEB28}"/>
  <sortState xmlns:xlrd2="http://schemas.microsoft.com/office/spreadsheetml/2017/richdata2" ref="A2:H930">
    <sortCondition ref="A1:A930"/>
  </sortState>
  <tableColumns count="8">
    <tableColumn id="1" xr3:uid="{799F961B-FDF2-4D46-AA30-F89CD40C535B}" name="Kunde Nr."/>
    <tableColumn id="2" xr3:uid="{291E28C0-6DC4-4C60-B0E1-8E763D53BB44}" name="KundenName"/>
    <tableColumn id="3" xr3:uid="{6C75BBFF-97EE-485F-BCEF-32290AFDFEF2}" name="Ort"/>
    <tableColumn id="4" xr3:uid="{27BAAFF2-89BE-4B3D-85E1-76B6D0791B4B}" name="Nr.Unik" dataDxfId="26"/>
    <tableColumn id="5" xr3:uid="{914B49BA-3688-4106-9755-F99141329CD3}" name="Tel.:" dataDxfId="25"/>
    <tableColumn id="6" xr3:uid="{F3E6D27D-1BDB-4173-8083-F1CB3742031C}" name="INFO"/>
    <tableColumn id="7" xr3:uid="{FDDFE23C-522A-49DB-944E-1BA229D6B761}" name="Axhenti" dataDxfId="24">
      <calculatedColumnFormula>IF(Tabelle1[[#This Row],[Kunde Nr.]]&lt;$I$2,$J$2,IF(Tabelle1[[#This Row],[Kunde Nr.]]&lt;$I$3,$J$3,IF(Tabelle1[[#This Row],[Kunde Nr.]]&lt;$I$4,$J$4,0)))</calculatedColumnFormula>
    </tableColumn>
    <tableColumn id="12" xr3:uid="{74295810-499C-4DBF-8986-39E7FC4457B0}" name="Spalte1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1096DF3-B8A2-453C-AE4D-2C52C34DD1FA}" name="Tabelle5" displayName="Tabelle5" ref="A1:L2" totalsRowShown="0">
  <autoFilter ref="A1:L2" xr:uid="{C1096DF3-B8A2-453C-AE4D-2C52C34DD1FA}"/>
  <tableColumns count="12">
    <tableColumn id="1" xr3:uid="{7DC35E21-647F-4EFA-89BC-DCAD0E9EE49B}" name="Faktura NR."/>
    <tableColumn id="2" xr3:uid="{7ECF658C-4F34-464D-9EF4-229DB5D8449E}" name="Datum" dataDxfId="23"/>
    <tableColumn id="3" xr3:uid="{0D2202C2-6338-411F-BFB4-CF5286352B84}" name="Wert"/>
    <tableColumn id="4" xr3:uid="{4FAA7B9A-3026-4F91-871B-D97BE5C206F4}" name="Status"/>
    <tableColumn id="5" xr3:uid="{1C796B14-693F-452E-8530-1D60B7266EDE}" name="a"/>
    <tableColumn id="6" xr3:uid="{A5FCCAA5-5D9C-4EF9-8289-551F9BBBBEF5}" name="Kunden Nr."/>
    <tableColumn id="7" xr3:uid="{C2EF2283-B1E3-4EFA-B226-799A89775D1A}" name="Kundenname"/>
    <tableColumn id="8" xr3:uid="{5BF0A1E6-EFEA-48ED-8019-4B11341826A4}" name="Artikel"/>
    <tableColumn id="9" xr3:uid="{A57FDCA2-CE7A-4A59-B0D4-3D0B606AFE42}" name="Artikelname"/>
    <tableColumn id="10" xr3:uid="{F65832DE-3DFD-4A0F-814D-EE636477B367}" name="Stück"/>
    <tableColumn id="11" xr3:uid="{274310FF-B94E-408C-A13F-1AFE4B509E64}" name="Agent"/>
    <tableColumn id="12" xr3:uid="{5AD6AF2C-A3AE-4DC5-B7D4-EF468DE12735}" name="%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66A5E1F-AE22-48D5-BF89-802737F78668}" name="Tabelle6" displayName="Tabelle6" ref="A1:L2" totalsRowShown="0">
  <autoFilter ref="A1:L2" xr:uid="{C66A5E1F-AE22-48D5-BF89-802737F78668}"/>
  <tableColumns count="12">
    <tableColumn id="1" xr3:uid="{EA8F4B57-3BD6-4305-AE4E-209F4D18DE74}" name="Faktura NR."/>
    <tableColumn id="2" xr3:uid="{3CEDCE58-D547-427D-90F8-240A4D6F0BEB}" name="Datum" dataDxfId="22"/>
    <tableColumn id="3" xr3:uid="{347B0A90-8D52-4B44-84BC-511EEA5756B0}" name="Wert"/>
    <tableColumn id="4" xr3:uid="{B7A4F18F-51F9-4597-B707-77CDCABA0B5E}" name="Status"/>
    <tableColumn id="5" xr3:uid="{9E722390-DAF5-4B1A-8950-08177ECD5E5D}" name="a"/>
    <tableColumn id="6" xr3:uid="{1F38E901-FF65-44DF-BF28-379C4D9C8BC2}" name="Kunden Nr."/>
    <tableColumn id="7" xr3:uid="{8E254094-B6D4-4887-8CF5-8FC2C8ACDD5D}" name="Kundenname"/>
    <tableColumn id="8" xr3:uid="{10D1E9EB-1BCA-487B-8789-E6FAD4E96404}" name="Artikel"/>
    <tableColumn id="9" xr3:uid="{6C373137-011D-4F9D-8A10-9D57D2F98A86}" name="Artikelname"/>
    <tableColumn id="10" xr3:uid="{98CF69E0-56C5-47E7-82E1-63DA731F3C59}" name="Stück"/>
    <tableColumn id="11" xr3:uid="{5945D169-C0BD-482C-8E74-FC3FD80B2443}" name="Agent"/>
    <tableColumn id="12" xr3:uid="{13F38A0C-0C6C-4922-A9B3-31A1A241538B}" name="%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024FBC6-4815-4CE9-94AC-4C5226585DE4}" name="Tabelle4" displayName="Tabelle4" ref="A1:H301" totalsRowShown="0" dataDxfId="16" headerRowBorderDxfId="17" tableBorderDxfId="15">
  <autoFilter ref="A1:H301" xr:uid="{C304C763-4009-45BF-BB55-D303C90E2554}"/>
  <sortState xmlns:xlrd2="http://schemas.microsoft.com/office/spreadsheetml/2017/richdata2" ref="A2:H300">
    <sortCondition ref="A1:A300"/>
  </sortState>
  <tableColumns count="8">
    <tableColumn id="1" xr3:uid="{FE0BA9CE-667E-45B5-ADBA-EC71FBDBEA28}" name="Art. Nr." dataDxfId="14"/>
    <tableColumn id="2" xr3:uid="{5477D7D5-3BD0-42A5-91D4-C303AD4DCFF3}" name="Emrimi" dataDxfId="13"/>
    <tableColumn id="3" xr3:uid="{90E02EC0-418B-46F9-A242-556BB49F1D63}" name="Vol" dataDxfId="12"/>
    <tableColumn id="4" xr3:uid="{AC0DEBEC-6148-43FF-8041-335842C045D1}" name="qmim L" dataDxfId="11"/>
    <tableColumn id="5" xr3:uid="{73B92854-04B8-486C-B936-071B9CD43CC1}" name="EAN CODE" dataDxfId="10"/>
    <tableColumn id="6" xr3:uid="{A8FBC434-2EBB-4EF1-B347-7748843B5548}" name="EAN COD2" dataDxfId="9"/>
    <tableColumn id="7" xr3:uid="{1B3E4DF8-1023-479B-B51E-A69659396106}" name="QMIMI" dataDxfId="8"/>
    <tableColumn id="8" xr3:uid="{C9E13B22-8B13-41AC-B20A-F2AAB61AF3FD}" name="%" dataDxfId="7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E53C47-7A73-4E14-B082-3D80A22BB06F}" name="Tabelle2" displayName="Tabelle2" ref="A4:L4001" totalsRowShown="0" headerRowDxfId="6" tableBorderDxfId="5" headerRowCellStyle="Standard 2" dataCellStyle="Standard 2">
  <autoFilter ref="A4:L4001" xr:uid="{76772460-B1C0-4E94-BB0C-7F3692F8C2D8}"/>
  <tableColumns count="12">
    <tableColumn id="1" xr3:uid="{6B4DB9C1-69A4-4326-A9DD-CAD2F3D80E1D}" name="Faktura NR." dataCellStyle="Standard 2"/>
    <tableColumn id="2" xr3:uid="{DB5EFA79-D1DF-4267-9B14-06DC30EAAB5B}" name="Datum" dataDxfId="4" dataCellStyle="Standard 2"/>
    <tableColumn id="3" xr3:uid="{A8DCDB36-CB48-4107-893E-D1F9356C718B}" name="Wert" dataCellStyle="Standard 2"/>
    <tableColumn id="4" xr3:uid="{BBD9770A-9926-45E8-911D-18CE0B288CCF}" name="Status" dataCellStyle="Standard 2"/>
    <tableColumn id="5" xr3:uid="{5E89A6C7-1783-4AD7-B8A2-802C5608E32B}" name="a" dataCellStyle="Standard 2"/>
    <tableColumn id="6" xr3:uid="{BA7C56B7-4392-41CF-BE79-29C54BC86B9C}" name="Kunden Nr." dataCellStyle="Standard 2"/>
    <tableColumn id="7" xr3:uid="{AB3032F6-20F3-479B-801C-B6FCB378D376}" name="Kundenname" dataDxfId="3" dataCellStyle="Standard 2">
      <calculatedColumnFormula>VLOOKUP(Tabelle2[[#This Row],[Kunden Nr.]],KUNDEN!A:B,2,0)</calculatedColumnFormula>
    </tableColumn>
    <tableColumn id="8" xr3:uid="{843328CD-1A1D-4100-86CB-FE081B3B1DBC}" name="Artikel" dataCellStyle="Standard 2"/>
    <tableColumn id="9" xr3:uid="{14BAAB49-3A8F-464D-A334-82A8A61B6660}" name="Artikelname" dataDxfId="2" dataCellStyle="Standard 2">
      <calculatedColumnFormula>VLOOKUP(Tabelle2[[#This Row],[Artikel]],Produkte!A:B,2,0)</calculatedColumnFormula>
    </tableColumn>
    <tableColumn id="10" xr3:uid="{8E26A413-3BB0-4E29-8DFA-A89243DFCCC1}" name="Stück" dataCellStyle="Standard 2"/>
    <tableColumn id="11" xr3:uid="{C1EE3F10-7591-4ACE-9F41-B792864CEC18}" name="Agent" dataDxfId="1" dataCellStyle="Standard 2">
      <calculatedColumnFormula>VLOOKUP(Tabelle2[[#This Row],[Kunden Nr.]],KUNDEN!A:G,7)</calculatedColumnFormula>
    </tableColumn>
    <tableColumn id="12" xr3:uid="{B7E61474-8A42-4177-A2FB-2FDEE85814C8}" name="%" dataDxfId="0" dataCellStyle="Standard 2">
      <calculatedColumnFormula>VLOOKUP(Tabelle2[[#This Row],[Artikel]],Produkte!A:H,8)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Zeitachse_Datum1" xr10:uid="{B650A8F0-9CF9-45DB-8396-4634E477D932}" sourceName="Datum">
  <pivotTables>
    <pivotTable tabId="26" name="PivotTable4"/>
  </pivotTables>
  <state minimalRefreshVersion="6" lastRefreshVersion="6" pivotCacheId="503178247" filterType="dateBetween">
    <selection startDate="2026-05-01T00:00:00" endDate="2026-05-31T00:00:00"/>
    <bounds startDate="2019-01-01T00:00:00" endDate="2027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Zeitachse_Datum3" xr10:uid="{533E1EF9-DFD2-4F9C-ABD0-2413F32DD1DF}" sourceName="Datum">
  <pivotTables>
    <pivotTable tabId="27" name="PivotTable1"/>
  </pivotTables>
  <state minimalRefreshVersion="6" lastRefreshVersion="6" pivotCacheId="503178247" filterType="dateBetween">
    <selection startDate="2026-04-01T00:00:00" endDate="2026-04-30T00:00:00"/>
    <bounds startDate="2019-01-01T00:00:00" endDate="2027-01-01T00:00:00"/>
  </state>
</timelineCacheDefinition>
</file>

<file path=xl/timelineCaches/timelineCache3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Zeitachse_Datum" xr10:uid="{F3EE85AF-3F06-47F1-826B-348CAECBFA97}" sourceName="Datum">
  <pivotTables>
    <pivotTable tabId="28" name="PivotTable1"/>
  </pivotTables>
  <state minimalRefreshVersion="6" lastRefreshVersion="6" pivotCacheId="1527894364" filterType="dateBetween">
    <selection startDate="2023-01-01T00:00:00" endDate="2023-12-31T00:00:00"/>
    <bounds startDate="2019-01-01T00:00:00" endDate="2027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C728E6F8-2F3C-4441-A285-072FF6E33809}" cache="NativeZeitachse_Datum" caption="Datum" level="2" selectionLevel="0" scrollPosition="2022-07-15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9E69C217-96A4-4408-9B7C-D0D90B7B302A}" cache="NativeZeitachse_Datum1" caption="Datum" level="2" selectionLevel="2" scrollPosition="2026-01-01T00:00:00"/>
</timelines>
</file>

<file path=xl/timelines/timeline3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4" xr10:uid="{7D0D6EB1-FE56-4356-9AB5-9E594FC556A6}" cache="NativeZeitachse_Datum3" caption="Datum" level="2" selectionLevel="2" scrollPosition="2025-08-25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Relationship Id="rId4" Type="http://schemas.microsoft.com/office/2011/relationships/timeline" Target="../timelines/timeline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ctrlProp" Target="../ctrlProps/ctrlProp3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11/relationships/timeline" Target="../timelines/timeline3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96F73-37A3-41CA-9D36-2AA0741C9D92}">
  <sheetPr codeName="Tabelle1"/>
  <dimension ref="A1:BI11833"/>
  <sheetViews>
    <sheetView tabSelected="1" zoomScale="110" zoomScaleNormal="110" workbookViewId="0">
      <pane ySplit="1" topLeftCell="A1599" activePane="bottomLeft" state="frozen"/>
      <selection pane="bottomLeft" activeCell="F1627" sqref="F1627"/>
    </sheetView>
  </sheetViews>
  <sheetFormatPr baseColWidth="10" defaultColWidth="11.42578125" defaultRowHeight="15" x14ac:dyDescent="0.25"/>
  <cols>
    <col min="1" max="1" width="13.85546875" style="39" bestFit="1" customWidth="1"/>
    <col min="2" max="2" width="24.140625" style="39" customWidth="1"/>
    <col min="3" max="3" width="8.5703125" style="39" hidden="1" customWidth="1"/>
    <col min="4" max="4" width="10.140625" style="41" bestFit="1" customWidth="1"/>
    <col min="5" max="5" width="11" style="42" customWidth="1"/>
    <col min="6" max="6" width="12.85546875" style="78" bestFit="1" customWidth="1"/>
    <col min="7" max="7" width="15.140625" style="43" bestFit="1" customWidth="1"/>
    <col min="8" max="8" width="9" style="38" customWidth="1"/>
    <col min="9" max="9" width="7.5703125" style="38" customWidth="1"/>
    <col min="10" max="10" width="10.28515625" style="38" customWidth="1"/>
    <col min="11" max="11" width="12" style="38" bestFit="1" customWidth="1"/>
    <col min="12" max="12" width="10" style="38" bestFit="1" customWidth="1"/>
    <col min="13" max="13" width="8" style="38" bestFit="1" customWidth="1"/>
    <col min="14" max="14" width="10" style="38" bestFit="1" customWidth="1"/>
    <col min="15" max="18" width="8" style="38" bestFit="1" customWidth="1"/>
    <col min="19" max="19" width="7" style="38" bestFit="1" customWidth="1"/>
    <col min="20" max="20" width="9" style="38" bestFit="1" customWidth="1"/>
    <col min="21" max="21" width="7" style="38" bestFit="1" customWidth="1"/>
    <col min="22" max="24" width="8" style="38" bestFit="1" customWidth="1"/>
    <col min="25" max="25" width="7" style="38" bestFit="1" customWidth="1"/>
    <col min="26" max="26" width="9" style="38" bestFit="1" customWidth="1"/>
    <col min="27" max="27" width="8" style="38" bestFit="1" customWidth="1"/>
    <col min="28" max="28" width="10" style="38" bestFit="1" customWidth="1"/>
    <col min="29" max="29" width="8" style="38" bestFit="1" customWidth="1"/>
    <col min="30" max="30" width="9" style="38" bestFit="1" customWidth="1"/>
    <col min="31" max="31" width="8" style="38" bestFit="1" customWidth="1"/>
    <col min="32" max="32" width="9" style="38" bestFit="1" customWidth="1"/>
    <col min="33" max="33" width="8" style="38" bestFit="1" customWidth="1"/>
    <col min="34" max="34" width="9" style="38" bestFit="1" customWidth="1"/>
    <col min="35" max="35" width="8" style="38" bestFit="1" customWidth="1"/>
    <col min="36" max="36" width="9" style="38" bestFit="1" customWidth="1"/>
    <col min="37" max="37" width="8" style="38" bestFit="1" customWidth="1"/>
    <col min="38" max="38" width="9" style="38" bestFit="1" customWidth="1"/>
    <col min="39" max="39" width="8" style="38" bestFit="1" customWidth="1"/>
    <col min="40" max="40" width="9" style="38" bestFit="1" customWidth="1"/>
    <col min="41" max="41" width="8" style="38" bestFit="1" customWidth="1"/>
    <col min="42" max="42" width="9" style="38" bestFit="1" customWidth="1"/>
    <col min="43" max="43" width="8" style="38" bestFit="1" customWidth="1"/>
    <col min="44" max="44" width="9" style="38" bestFit="1" customWidth="1"/>
    <col min="45" max="45" width="8" style="38" bestFit="1" customWidth="1"/>
    <col min="46" max="46" width="9" style="38" bestFit="1" customWidth="1"/>
    <col min="47" max="47" width="8" style="38" bestFit="1" customWidth="1"/>
    <col min="48" max="48" width="9" style="38" bestFit="1" customWidth="1"/>
    <col min="49" max="49" width="8" style="38" bestFit="1" customWidth="1"/>
    <col min="50" max="50" width="9" style="38" bestFit="1" customWidth="1"/>
    <col min="51" max="51" width="8" style="38" bestFit="1" customWidth="1"/>
    <col min="52" max="52" width="9" style="38" bestFit="1" customWidth="1"/>
    <col min="53" max="53" width="8" style="38" bestFit="1" customWidth="1"/>
    <col min="54" max="54" width="9" style="38" bestFit="1" customWidth="1"/>
    <col min="55" max="55" width="8" style="38" bestFit="1" customWidth="1"/>
    <col min="56" max="56" width="9" style="38" bestFit="1" customWidth="1"/>
    <col min="57" max="57" width="8" style="38" bestFit="1" customWidth="1"/>
    <col min="58" max="58" width="9" style="38" bestFit="1" customWidth="1"/>
    <col min="59" max="59" width="8" style="38" bestFit="1" customWidth="1"/>
    <col min="60" max="16384" width="11.42578125" style="38"/>
  </cols>
  <sheetData>
    <row r="1" spans="1:61" ht="54" customHeight="1" x14ac:dyDescent="0.25">
      <c r="A1" s="39" t="s">
        <v>768</v>
      </c>
      <c r="B1" s="39" t="s">
        <v>480</v>
      </c>
      <c r="C1" s="39" t="s">
        <v>658</v>
      </c>
      <c r="D1" s="41" t="s">
        <v>361</v>
      </c>
      <c r="E1" s="42" t="s">
        <v>362</v>
      </c>
      <c r="F1" s="78" t="s">
        <v>80</v>
      </c>
      <c r="G1" s="43" t="s">
        <v>81</v>
      </c>
      <c r="H1" s="38" t="s">
        <v>82</v>
      </c>
      <c r="I1" s="38" t="s">
        <v>83</v>
      </c>
      <c r="J1" s="38" t="s">
        <v>84</v>
      </c>
      <c r="K1" s="38" t="s">
        <v>85</v>
      </c>
      <c r="L1" s="38" t="s">
        <v>86</v>
      </c>
      <c r="M1" s="38" t="s">
        <v>87</v>
      </c>
      <c r="N1" s="38" t="s">
        <v>88</v>
      </c>
      <c r="O1" s="38" t="s">
        <v>89</v>
      </c>
      <c r="P1" s="38" t="s">
        <v>90</v>
      </c>
      <c r="Q1" s="38" t="s">
        <v>91</v>
      </c>
      <c r="R1" s="38" t="s">
        <v>92</v>
      </c>
      <c r="S1" s="38" t="s">
        <v>94</v>
      </c>
      <c r="T1" s="38" t="s">
        <v>95</v>
      </c>
      <c r="U1" s="38" t="s">
        <v>93</v>
      </c>
      <c r="V1" s="38" t="s">
        <v>96</v>
      </c>
      <c r="W1" s="38" t="s">
        <v>98</v>
      </c>
      <c r="X1" s="38" t="s">
        <v>99</v>
      </c>
      <c r="Y1" s="38" t="s">
        <v>97</v>
      </c>
      <c r="Z1" s="38" t="s">
        <v>100</v>
      </c>
      <c r="AA1" s="38" t="s">
        <v>101</v>
      </c>
      <c r="AB1" s="38" t="s">
        <v>102</v>
      </c>
      <c r="AC1" s="38" t="s">
        <v>103</v>
      </c>
      <c r="AD1" s="38" t="s">
        <v>104</v>
      </c>
      <c r="AE1" s="38" t="s">
        <v>105</v>
      </c>
      <c r="AF1" s="38" t="s">
        <v>106</v>
      </c>
      <c r="AG1" s="38" t="s">
        <v>107</v>
      </c>
      <c r="AH1" s="38" t="s">
        <v>108</v>
      </c>
      <c r="AI1" s="38" t="s">
        <v>109</v>
      </c>
      <c r="AJ1" s="38" t="s">
        <v>110</v>
      </c>
      <c r="AK1" s="38" t="s">
        <v>111</v>
      </c>
      <c r="AL1" s="38" t="s">
        <v>112</v>
      </c>
      <c r="AM1" s="38" t="s">
        <v>113</v>
      </c>
      <c r="AN1" s="38" t="s">
        <v>114</v>
      </c>
      <c r="AO1" s="38" t="s">
        <v>115</v>
      </c>
      <c r="AP1" s="38" t="s">
        <v>116</v>
      </c>
      <c r="AQ1" s="38" t="s">
        <v>117</v>
      </c>
      <c r="AR1" s="38" t="s">
        <v>118</v>
      </c>
      <c r="AS1" s="38" t="s">
        <v>119</v>
      </c>
      <c r="AT1" s="38" t="s">
        <v>120</v>
      </c>
      <c r="AU1" s="38" t="s">
        <v>121</v>
      </c>
      <c r="AV1" s="38" t="s">
        <v>122</v>
      </c>
      <c r="AW1" s="38" t="s">
        <v>123</v>
      </c>
      <c r="AX1" s="38" t="s">
        <v>124</v>
      </c>
      <c r="AY1" s="38" t="s">
        <v>125</v>
      </c>
      <c r="AZ1" s="38" t="s">
        <v>126</v>
      </c>
      <c r="BA1" s="38" t="s">
        <v>127</v>
      </c>
      <c r="BB1" s="38" t="s">
        <v>128</v>
      </c>
      <c r="BC1" s="38" t="s">
        <v>129</v>
      </c>
      <c r="BD1" s="38" t="s">
        <v>130</v>
      </c>
      <c r="BE1" s="38" t="s">
        <v>131</v>
      </c>
      <c r="BF1" s="38" t="s">
        <v>132</v>
      </c>
      <c r="BG1" s="38" t="s">
        <v>133</v>
      </c>
      <c r="BH1" s="38" t="s">
        <v>1006</v>
      </c>
      <c r="BI1" s="38" t="s">
        <v>1007</v>
      </c>
    </row>
    <row r="2" spans="1:61" x14ac:dyDescent="0.25">
      <c r="A2" s="39" t="str">
        <f>IF(F2="","",VLOOKUP(F2,Tabelle1[],3))</f>
        <v>VITI</v>
      </c>
      <c r="B2" s="40" t="str">
        <f>IF(F2="","",VLOOKUP(F2,Tabelle1[],2))</f>
        <v>INTERCOM NTP</v>
      </c>
      <c r="C2" s="40"/>
      <c r="D2" s="41">
        <v>46029</v>
      </c>
      <c r="E2" s="80"/>
      <c r="F2" s="78">
        <v>10343</v>
      </c>
      <c r="G2" s="43">
        <v>231</v>
      </c>
      <c r="H2" s="38">
        <v>35110</v>
      </c>
      <c r="I2" s="38">
        <v>24</v>
      </c>
      <c r="J2" s="38">
        <v>35121</v>
      </c>
      <c r="K2" s="38">
        <v>36</v>
      </c>
    </row>
    <row r="3" spans="1:61" x14ac:dyDescent="0.25">
      <c r="A3" s="39" t="str">
        <f>IF(F3="","",VLOOKUP(F3,Tabelle1[],3))</f>
        <v>GJILAN</v>
      </c>
      <c r="B3" s="40" t="str">
        <f>IF(F3="","",VLOOKUP(F3,Tabelle1[],2))</f>
        <v>ERALP</v>
      </c>
      <c r="C3" s="40"/>
      <c r="D3" s="41">
        <v>46029</v>
      </c>
      <c r="E3" s="80"/>
      <c r="F3" s="78">
        <v>10308</v>
      </c>
      <c r="G3" s="43">
        <v>92.4</v>
      </c>
      <c r="H3" s="38">
        <v>35125</v>
      </c>
      <c r="I3" s="38">
        <v>24</v>
      </c>
    </row>
    <row r="4" spans="1:61" x14ac:dyDescent="0.25">
      <c r="A4" s="39" t="str">
        <f>IF(F4="","",VLOOKUP(F4,Tabelle1[],3))</f>
        <v>GJILAN</v>
      </c>
      <c r="B4" s="40" t="str">
        <f>IF(F4="","",VLOOKUP(F4,Tabelle1[],2))</f>
        <v>TINA</v>
      </c>
      <c r="C4" s="40"/>
      <c r="D4" s="41">
        <v>46029</v>
      </c>
      <c r="E4" s="80"/>
      <c r="F4" s="78">
        <v>10344</v>
      </c>
      <c r="G4" s="43">
        <v>46.2</v>
      </c>
      <c r="H4" s="38">
        <v>35108</v>
      </c>
      <c r="I4" s="38">
        <v>12</v>
      </c>
    </row>
    <row r="5" spans="1:61" x14ac:dyDescent="0.25">
      <c r="A5" s="39" t="str">
        <f>IF(F5="","",VLOOKUP(F5,Tabelle1[],3))</f>
        <v>GJILAN</v>
      </c>
      <c r="B5" s="40" t="str">
        <f>IF(F5="","",VLOOKUP(F5,Tabelle1[],2))</f>
        <v>IBAK</v>
      </c>
      <c r="C5" s="40"/>
      <c r="D5" s="41">
        <v>46029</v>
      </c>
      <c r="E5" s="80"/>
      <c r="F5" s="78">
        <v>10340</v>
      </c>
      <c r="G5" s="43">
        <v>92.4</v>
      </c>
      <c r="H5" s="38">
        <v>35109</v>
      </c>
      <c r="I5" s="38">
        <v>24</v>
      </c>
    </row>
    <row r="6" spans="1:61" x14ac:dyDescent="0.25">
      <c r="A6" s="39" t="str">
        <f>IF(F6="","",VLOOKUP(F6,Tabelle1[],3))</f>
        <v>VITI</v>
      </c>
      <c r="B6" s="40" t="str">
        <f>IF(F6="","",VLOOKUP(F6,Tabelle1[],2))</f>
        <v>PARKETI</v>
      </c>
      <c r="C6" s="40"/>
      <c r="D6" s="41">
        <v>46029</v>
      </c>
      <c r="E6" s="80"/>
      <c r="F6" s="78">
        <v>10325</v>
      </c>
      <c r="G6" s="43">
        <v>138.6</v>
      </c>
      <c r="H6" s="38">
        <v>35110</v>
      </c>
      <c r="I6" s="38">
        <v>24</v>
      </c>
      <c r="J6" s="38">
        <v>35111</v>
      </c>
      <c r="K6" s="38">
        <v>12</v>
      </c>
    </row>
    <row r="7" spans="1:61" x14ac:dyDescent="0.25">
      <c r="A7" s="39" t="str">
        <f>IF(F7="","",VLOOKUP(F7,Tabelle1[],3))</f>
        <v>POZHARAN</v>
      </c>
      <c r="B7" s="40" t="str">
        <f>IF(F7="","",VLOOKUP(F7,Tabelle1[],2))</f>
        <v>BURIMI</v>
      </c>
      <c r="C7" s="40"/>
      <c r="D7" s="41">
        <v>46029</v>
      </c>
      <c r="E7" s="80"/>
      <c r="F7" s="78">
        <v>10330</v>
      </c>
      <c r="G7" s="43">
        <v>46.2</v>
      </c>
      <c r="H7" s="38">
        <v>35109</v>
      </c>
      <c r="I7" s="38">
        <v>12</v>
      </c>
    </row>
    <row r="8" spans="1:61" x14ac:dyDescent="0.25">
      <c r="A8" s="39" t="str">
        <f>IF(F8="","",VLOOKUP(F8,Tabelle1[],3))</f>
        <v>VITI</v>
      </c>
      <c r="B8" s="40" t="str">
        <f>IF(F8="","",VLOOKUP(F8,Tabelle1[],2))</f>
        <v>DARDANIA</v>
      </c>
      <c r="C8" s="40"/>
      <c r="D8" s="41">
        <v>46029</v>
      </c>
      <c r="E8" s="80"/>
      <c r="F8" s="78">
        <v>10332</v>
      </c>
      <c r="G8" s="43">
        <v>92.4</v>
      </c>
      <c r="H8" s="38">
        <v>35109</v>
      </c>
      <c r="I8" s="38">
        <v>12</v>
      </c>
      <c r="J8" s="38">
        <v>35110</v>
      </c>
      <c r="K8" s="38">
        <v>12</v>
      </c>
    </row>
    <row r="9" spans="1:61" x14ac:dyDescent="0.25">
      <c r="A9" s="39" t="str">
        <f>IF(F9="","",VLOOKUP(F9,Tabelle1[],3))</f>
        <v>GJILAN</v>
      </c>
      <c r="B9" s="40" t="str">
        <f>IF(F9="","",VLOOKUP(F9,Tabelle1[],2))</f>
        <v>FUNDAMETI</v>
      </c>
      <c r="C9" s="40"/>
      <c r="D9" s="41">
        <v>46029</v>
      </c>
      <c r="E9" s="80"/>
      <c r="F9" s="78">
        <v>10301</v>
      </c>
      <c r="G9" s="43">
        <v>92.4</v>
      </c>
      <c r="H9" s="38">
        <v>35121</v>
      </c>
      <c r="I9" s="38">
        <v>12</v>
      </c>
      <c r="J9" s="38">
        <v>35119</v>
      </c>
      <c r="K9" s="38">
        <v>12</v>
      </c>
    </row>
    <row r="10" spans="1:61" x14ac:dyDescent="0.25">
      <c r="A10" s="39" t="str">
        <f>IF(F10="","",VLOOKUP(F10,Tabelle1[],3))</f>
        <v>GJILAN</v>
      </c>
      <c r="B10" s="40" t="str">
        <f>IF(F10="","",VLOOKUP(F10,Tabelle1[],2))</f>
        <v>BEKA-3</v>
      </c>
      <c r="C10" s="40"/>
      <c r="D10" s="41">
        <v>46029</v>
      </c>
      <c r="E10" s="80"/>
      <c r="F10" s="78">
        <v>10323</v>
      </c>
      <c r="G10" s="43">
        <v>86.4</v>
      </c>
      <c r="H10" s="38">
        <v>50912</v>
      </c>
      <c r="I10" s="38">
        <v>12</v>
      </c>
    </row>
    <row r="11" spans="1:61" x14ac:dyDescent="0.25">
      <c r="A11" s="39" t="str">
        <f>IF(F11="","",VLOOKUP(F11,Tabelle1[],3))</f>
        <v>MALISHEVE</v>
      </c>
      <c r="B11" s="40" t="str">
        <f>IF(F11="","",VLOOKUP(F11,Tabelle1[],2))</f>
        <v>HAZROLLI</v>
      </c>
      <c r="C11" s="40"/>
      <c r="D11" s="41">
        <v>46029</v>
      </c>
      <c r="E11" s="80"/>
      <c r="F11" s="78">
        <v>20301</v>
      </c>
      <c r="G11" s="43">
        <v>46.2</v>
      </c>
      <c r="H11" s="38">
        <v>35119</v>
      </c>
      <c r="I11" s="38">
        <v>12</v>
      </c>
    </row>
    <row r="12" spans="1:61" x14ac:dyDescent="0.25">
      <c r="A12" s="39" t="str">
        <f>IF(F12="","",VLOOKUP(F12,Tabelle1[],3))</f>
        <v>MALISHEVE</v>
      </c>
      <c r="B12" s="40" t="str">
        <f>IF(F12="","",VLOOKUP(F12,Tabelle1[],2))</f>
        <v>BAU HOME</v>
      </c>
      <c r="C12" s="40"/>
      <c r="D12" s="41">
        <v>46029</v>
      </c>
      <c r="E12" s="80"/>
      <c r="F12" s="78">
        <v>20324</v>
      </c>
      <c r="G12" s="43">
        <v>73.8</v>
      </c>
      <c r="H12" s="38">
        <v>35121</v>
      </c>
      <c r="I12" s="38">
        <v>12</v>
      </c>
      <c r="J12" s="38">
        <v>51612</v>
      </c>
      <c r="K12" s="38">
        <v>12</v>
      </c>
    </row>
    <row r="13" spans="1:61" x14ac:dyDescent="0.25">
      <c r="A13" s="39" t="str">
        <f>IF(F13="","",VLOOKUP(F13,Tabelle1[],3))</f>
        <v>RAHOVEC</v>
      </c>
      <c r="B13" s="40" t="str">
        <f>IF(F13="","",VLOOKUP(F13,Tabelle1[],2))</f>
        <v>CONDOR</v>
      </c>
      <c r="C13" s="40"/>
      <c r="D13" s="41">
        <v>46029</v>
      </c>
      <c r="E13" s="80"/>
      <c r="F13" s="78">
        <v>20307</v>
      </c>
      <c r="G13" s="43">
        <v>240</v>
      </c>
      <c r="H13" s="38">
        <v>35108</v>
      </c>
      <c r="I13" s="38">
        <v>12</v>
      </c>
      <c r="J13" s="38">
        <v>35110</v>
      </c>
      <c r="K13" s="38">
        <v>12</v>
      </c>
      <c r="L13" s="38">
        <v>35111</v>
      </c>
      <c r="M13" s="38">
        <v>12</v>
      </c>
      <c r="N13" s="38">
        <v>35128</v>
      </c>
      <c r="O13" s="38">
        <v>12</v>
      </c>
      <c r="P13" s="38">
        <v>51612</v>
      </c>
      <c r="Q13" s="38">
        <v>24</v>
      </c>
    </row>
    <row r="14" spans="1:61" x14ac:dyDescent="0.25">
      <c r="A14" s="39" t="str">
        <f>IF(F14="","",VLOOKUP(F14,Tabelle1[],3))</f>
        <v>RAHOVEC</v>
      </c>
      <c r="B14" s="40" t="str">
        <f>IF(F14="","",VLOOKUP(F14,Tabelle1[],2))</f>
        <v>DURGUTI 3</v>
      </c>
      <c r="C14" s="40"/>
      <c r="D14" s="41">
        <v>46029</v>
      </c>
      <c r="E14" s="80"/>
      <c r="F14" s="78">
        <v>20313</v>
      </c>
      <c r="G14" s="43">
        <v>143.4</v>
      </c>
      <c r="H14" s="38">
        <v>35109</v>
      </c>
      <c r="I14" s="38">
        <v>12</v>
      </c>
      <c r="J14" s="38">
        <v>66701</v>
      </c>
      <c r="K14" s="38">
        <v>12</v>
      </c>
      <c r="L14" s="38">
        <v>51612</v>
      </c>
      <c r="M14" s="38">
        <v>12</v>
      </c>
    </row>
    <row r="15" spans="1:61" x14ac:dyDescent="0.25">
      <c r="A15" s="39" t="str">
        <f>IF(F15="","",VLOOKUP(F15,Tabelle1[],3))</f>
        <v>MALISHEVE</v>
      </c>
      <c r="B15" s="40" t="str">
        <f>IF(F15="","",VLOOKUP(F15,Tabelle1[],2))</f>
        <v>BEREQETI</v>
      </c>
      <c r="C15" s="40"/>
      <c r="D15" s="41">
        <v>46029</v>
      </c>
      <c r="E15" s="80"/>
      <c r="F15" s="78">
        <v>20321</v>
      </c>
      <c r="G15" s="43">
        <v>73.8</v>
      </c>
      <c r="H15" s="38">
        <v>35121</v>
      </c>
      <c r="I15" s="38">
        <v>12</v>
      </c>
      <c r="J15" s="38">
        <v>51612</v>
      </c>
      <c r="K15" s="38">
        <v>12</v>
      </c>
    </row>
    <row r="16" spans="1:61" x14ac:dyDescent="0.25">
      <c r="A16" s="39" t="str">
        <f>IF(F16="","",VLOOKUP(F16,Tabelle1[],3))</f>
        <v>MALISHEVE</v>
      </c>
      <c r="B16" s="40" t="str">
        <f>IF(F16="","",VLOOKUP(F16,Tabelle1[],2))</f>
        <v>AGRO-FARM</v>
      </c>
      <c r="C16" s="40"/>
      <c r="D16" s="41">
        <v>46029</v>
      </c>
      <c r="E16" s="80"/>
      <c r="F16" s="78">
        <v>20304</v>
      </c>
      <c r="G16" s="43">
        <v>142.19999999999999</v>
      </c>
      <c r="H16" s="38">
        <v>35111</v>
      </c>
      <c r="I16" s="38">
        <v>12</v>
      </c>
      <c r="J16" s="38">
        <v>37112</v>
      </c>
      <c r="K16" s="38">
        <v>240</v>
      </c>
    </row>
    <row r="17" spans="1:15" x14ac:dyDescent="0.25">
      <c r="A17" s="39" t="str">
        <f>IF(F17="","",VLOOKUP(F17,Tabelle1[],3))</f>
        <v>MALISHEVE</v>
      </c>
      <c r="B17" s="40" t="str">
        <f>IF(F17="","",VLOOKUP(F17,Tabelle1[],2))</f>
        <v>NITA 3</v>
      </c>
      <c r="C17" s="40"/>
      <c r="D17" s="41">
        <v>46029</v>
      </c>
      <c r="E17" s="80"/>
      <c r="F17" s="78">
        <v>20303</v>
      </c>
      <c r="G17" s="43">
        <v>92.4</v>
      </c>
      <c r="H17" s="38">
        <v>35108</v>
      </c>
      <c r="I17" s="38">
        <v>12</v>
      </c>
      <c r="J17" s="38">
        <v>35110</v>
      </c>
      <c r="K17" s="38">
        <v>12</v>
      </c>
    </row>
    <row r="18" spans="1:15" x14ac:dyDescent="0.25">
      <c r="A18" s="39" t="str">
        <f>IF(F18="","",VLOOKUP(F18,Tabelle1[],3))</f>
        <v>MALISHEVE</v>
      </c>
      <c r="B18" s="40" t="str">
        <f>IF(F18="","",VLOOKUP(F18,Tabelle1[],2))</f>
        <v>FITIMI</v>
      </c>
      <c r="C18" s="40"/>
      <c r="D18" s="41">
        <v>46029</v>
      </c>
      <c r="E18" s="80"/>
      <c r="F18" s="78">
        <v>20306</v>
      </c>
      <c r="G18" s="43">
        <v>92.4</v>
      </c>
      <c r="H18" s="38">
        <v>35109</v>
      </c>
      <c r="I18" s="38">
        <v>12</v>
      </c>
      <c r="J18" s="38">
        <v>35110</v>
      </c>
      <c r="K18" s="38">
        <v>12</v>
      </c>
    </row>
    <row r="19" spans="1:15" x14ac:dyDescent="0.25">
      <c r="A19" s="39" t="str">
        <f>IF(F19="","",VLOOKUP(F19,Tabelle1[],3))</f>
        <v>RAHOVEC</v>
      </c>
      <c r="B19" s="40" t="str">
        <f>IF(F19="","",VLOOKUP(F19,Tabelle1[],2))</f>
        <v>SHEHU-A</v>
      </c>
      <c r="C19" s="40"/>
      <c r="D19" s="41">
        <v>46029</v>
      </c>
      <c r="E19" s="80"/>
      <c r="F19" s="78">
        <v>20317</v>
      </c>
      <c r="G19" s="43">
        <v>69.2</v>
      </c>
      <c r="H19" s="38">
        <v>50912</v>
      </c>
      <c r="I19" s="38">
        <v>6</v>
      </c>
      <c r="J19" s="38">
        <v>49644</v>
      </c>
      <c r="K19" s="38">
        <v>6</v>
      </c>
      <c r="L19" s="38">
        <v>55718</v>
      </c>
      <c r="M19" s="38">
        <v>4</v>
      </c>
    </row>
    <row r="20" spans="1:15" x14ac:dyDescent="0.25">
      <c r="A20" s="39" t="str">
        <f>IF(F20="","",VLOOKUP(F20,Tabelle1[],3))</f>
        <v>MITROVICE</v>
      </c>
      <c r="B20" s="40" t="str">
        <f>IF(F20="","",VLOOKUP(F20,Tabelle1[],2))</f>
        <v>UNIVERZAL</v>
      </c>
      <c r="C20" s="40"/>
      <c r="D20" s="41">
        <v>46030</v>
      </c>
      <c r="E20" s="80"/>
      <c r="F20" s="78">
        <v>10413</v>
      </c>
      <c r="G20" s="43">
        <v>46.2</v>
      </c>
      <c r="H20" s="38">
        <v>35109</v>
      </c>
      <c r="I20" s="38">
        <v>12</v>
      </c>
    </row>
    <row r="21" spans="1:15" x14ac:dyDescent="0.25">
      <c r="A21" s="39" t="str">
        <f>IF(F21="","",VLOOKUP(F21,Tabelle1[],3))</f>
        <v>MITROVICE</v>
      </c>
      <c r="B21" s="40" t="str">
        <f>IF(F21="","",VLOOKUP(F21,Tabelle1[],2))</f>
        <v>EURO COM</v>
      </c>
      <c r="C21" s="40"/>
      <c r="D21" s="41">
        <v>46030</v>
      </c>
      <c r="E21" s="80"/>
      <c r="F21" s="78">
        <v>10430</v>
      </c>
      <c r="G21" s="43">
        <v>56.2</v>
      </c>
      <c r="H21" s="38">
        <v>54412</v>
      </c>
      <c r="I21" s="38">
        <v>5</v>
      </c>
      <c r="J21" s="38">
        <v>35109</v>
      </c>
      <c r="K21" s="38">
        <v>12</v>
      </c>
    </row>
    <row r="22" spans="1:15" x14ac:dyDescent="0.25">
      <c r="A22" s="39" t="str">
        <f>IF(F22="","",VLOOKUP(F22,Tabelle1[],3))</f>
        <v>VUSHTRRI</v>
      </c>
      <c r="B22" s="40" t="str">
        <f>IF(F22="","",VLOOKUP(F22,Tabelle1[],2))</f>
        <v>ENISI - H</v>
      </c>
      <c r="C22" s="40"/>
      <c r="D22" s="41">
        <v>46030</v>
      </c>
      <c r="E22" s="80"/>
      <c r="F22" s="78">
        <v>10428</v>
      </c>
      <c r="G22" s="43">
        <v>46.2</v>
      </c>
      <c r="H22" s="38">
        <v>35125</v>
      </c>
      <c r="I22" s="38">
        <v>12</v>
      </c>
    </row>
    <row r="23" spans="1:15" x14ac:dyDescent="0.25">
      <c r="A23" s="39" t="str">
        <f>IF(F23="","",VLOOKUP(F23,Tabelle1[],3))</f>
        <v>MITROVICE</v>
      </c>
      <c r="B23" s="40" t="str">
        <f>IF(F23="","",VLOOKUP(F23,Tabelle1[],2))</f>
        <v>VISARI HH</v>
      </c>
      <c r="C23" s="40"/>
      <c r="D23" s="41">
        <v>46030</v>
      </c>
      <c r="E23" s="80"/>
      <c r="F23" s="78">
        <v>10412</v>
      </c>
      <c r="G23" s="43">
        <v>92.4</v>
      </c>
      <c r="H23" s="38">
        <v>35112</v>
      </c>
      <c r="I23" s="38">
        <v>12</v>
      </c>
      <c r="J23" s="38">
        <v>35111</v>
      </c>
      <c r="K23" s="38">
        <v>12</v>
      </c>
    </row>
    <row r="24" spans="1:15" x14ac:dyDescent="0.25">
      <c r="A24" s="39" t="str">
        <f>IF(F24="","",VLOOKUP(F24,Tabelle1[],3))</f>
        <v>MITROVICE</v>
      </c>
      <c r="B24" s="40" t="str">
        <f>IF(F24="","",VLOOKUP(F24,Tabelle1[],2))</f>
        <v>AGRONI</v>
      </c>
      <c r="C24" s="40"/>
      <c r="D24" s="41">
        <v>46030</v>
      </c>
      <c r="E24" s="80"/>
      <c r="F24" s="78">
        <v>10406</v>
      </c>
      <c r="G24" s="43">
        <v>63.5</v>
      </c>
      <c r="H24" s="38">
        <v>50912</v>
      </c>
      <c r="I24" s="38">
        <v>5</v>
      </c>
      <c r="J24" s="38">
        <v>49644</v>
      </c>
      <c r="K24" s="38">
        <v>5</v>
      </c>
      <c r="L24" s="38">
        <v>44001</v>
      </c>
      <c r="M24" s="38">
        <v>5</v>
      </c>
    </row>
    <row r="25" spans="1:15" x14ac:dyDescent="0.25">
      <c r="A25" s="39" t="str">
        <f>IF(F25="","",VLOOKUP(F25,Tabelle1[],3))</f>
        <v>FERIZAJ</v>
      </c>
      <c r="B25" s="40" t="str">
        <f>IF(F25="","",VLOOKUP(F25,Tabelle1[],2))</f>
        <v>CARRALEVA 2</v>
      </c>
      <c r="C25" s="40"/>
      <c r="D25" s="41">
        <v>46031</v>
      </c>
      <c r="E25" s="80"/>
      <c r="F25" s="78">
        <v>10508</v>
      </c>
      <c r="G25" s="43">
        <v>46.2</v>
      </c>
      <c r="H25" s="38">
        <v>35109</v>
      </c>
      <c r="I25" s="38">
        <v>12</v>
      </c>
    </row>
    <row r="26" spans="1:15" x14ac:dyDescent="0.25">
      <c r="A26" s="39" t="str">
        <f>IF(F26="","",VLOOKUP(F26,Tabelle1[],3))</f>
        <v>FERIZAJ</v>
      </c>
      <c r="B26" s="40" t="str">
        <f>IF(F26="","",VLOOKUP(F26,Tabelle1[],2))</f>
        <v>LONI</v>
      </c>
      <c r="C26" s="40"/>
      <c r="D26" s="41">
        <v>46031</v>
      </c>
      <c r="E26" s="80"/>
      <c r="F26" s="78">
        <v>10509</v>
      </c>
      <c r="G26" s="43">
        <v>68.5</v>
      </c>
      <c r="H26" s="38">
        <v>50912</v>
      </c>
      <c r="I26" s="38">
        <v>5</v>
      </c>
      <c r="J26" s="38">
        <v>56117</v>
      </c>
      <c r="K26" s="38">
        <v>3</v>
      </c>
      <c r="L26" s="38">
        <v>49644</v>
      </c>
      <c r="M26" s="38">
        <v>5</v>
      </c>
      <c r="N26" s="38">
        <v>44001</v>
      </c>
      <c r="O26" s="38">
        <v>3</v>
      </c>
    </row>
    <row r="27" spans="1:15" x14ac:dyDescent="0.25">
      <c r="A27" s="39" t="str">
        <f>IF(F27="","",VLOOKUP(F27,Tabelle1[],3))</f>
        <v>FERIZAJ</v>
      </c>
      <c r="B27" s="40" t="str">
        <f>IF(F27="","",VLOOKUP(F27,Tabelle1[],2))</f>
        <v>CARRALEVA 1</v>
      </c>
      <c r="C27" s="40"/>
      <c r="D27" s="41">
        <v>46031</v>
      </c>
      <c r="E27" s="80"/>
      <c r="F27" s="78">
        <v>10504</v>
      </c>
      <c r="G27" s="43">
        <v>120</v>
      </c>
      <c r="H27" s="38">
        <v>35109</v>
      </c>
      <c r="I27" s="38">
        <v>24</v>
      </c>
      <c r="J27" s="38">
        <v>51612</v>
      </c>
      <c r="K27" s="38">
        <v>12</v>
      </c>
    </row>
    <row r="28" spans="1:15" x14ac:dyDescent="0.25">
      <c r="A28" s="39" t="str">
        <f>IF(F28="","",VLOOKUP(F28,Tabelle1[],3))</f>
        <v>FERIZAJ</v>
      </c>
      <c r="B28" s="40" t="str">
        <f>IF(F28="","",VLOOKUP(F28,Tabelle1[],2))</f>
        <v>REAL COLOR 2</v>
      </c>
      <c r="C28" s="40"/>
      <c r="D28" s="41">
        <v>46031</v>
      </c>
      <c r="E28" s="80"/>
      <c r="F28" s="78">
        <v>10507</v>
      </c>
      <c r="G28" s="43">
        <v>92.4</v>
      </c>
      <c r="H28" s="38">
        <v>35112</v>
      </c>
      <c r="I28" s="38">
        <v>12</v>
      </c>
      <c r="J28" s="38">
        <v>35113</v>
      </c>
      <c r="K28" s="38">
        <v>12</v>
      </c>
    </row>
    <row r="29" spans="1:15" x14ac:dyDescent="0.25">
      <c r="A29" s="39" t="str">
        <f>IF(F29="","",VLOOKUP(F29,Tabelle1[],3))</f>
        <v>LIPJAN</v>
      </c>
      <c r="B29" s="40" t="str">
        <f>IF(F29="","",VLOOKUP(F29,Tabelle1[],2))</f>
        <v>ARDI LIPJAN</v>
      </c>
      <c r="C29" s="40"/>
      <c r="D29" s="41">
        <v>46031</v>
      </c>
      <c r="E29" s="80"/>
      <c r="F29" s="78">
        <v>10529</v>
      </c>
      <c r="G29" s="43">
        <v>99.5</v>
      </c>
      <c r="H29" s="38">
        <v>50912</v>
      </c>
      <c r="I29" s="38">
        <v>10</v>
      </c>
      <c r="J29" s="38">
        <v>49644</v>
      </c>
      <c r="K29" s="38">
        <v>5</v>
      </c>
      <c r="L29" s="38">
        <v>55718</v>
      </c>
      <c r="M29" s="38">
        <v>5</v>
      </c>
    </row>
    <row r="30" spans="1:15" x14ac:dyDescent="0.25">
      <c r="A30" s="39" t="str">
        <f>IF(F30="","",VLOOKUP(F30,Tabelle1[],3))</f>
        <v>KLINE</v>
      </c>
      <c r="B30" s="40" t="str">
        <f>IF(F30="","",VLOOKUP(F30,Tabelle1[],2))</f>
        <v>RACI</v>
      </c>
      <c r="C30" s="40"/>
      <c r="D30" s="41">
        <v>46031</v>
      </c>
      <c r="E30" s="80"/>
      <c r="F30" s="78">
        <v>20501</v>
      </c>
      <c r="G30" s="43">
        <v>162</v>
      </c>
      <c r="H30" s="38">
        <v>66701</v>
      </c>
      <c r="I30" s="38">
        <v>12</v>
      </c>
      <c r="J30" s="38">
        <v>35111</v>
      </c>
      <c r="K30" s="38">
        <v>12</v>
      </c>
      <c r="L30" s="38">
        <v>35113</v>
      </c>
      <c r="M30" s="38">
        <v>12</v>
      </c>
    </row>
    <row r="31" spans="1:15" x14ac:dyDescent="0.25">
      <c r="A31" s="39" t="str">
        <f>IF(F31="","",VLOOKUP(F31,Tabelle1[],3))</f>
        <v>KLINE</v>
      </c>
      <c r="B31" s="40" t="str">
        <f>IF(F31="","",VLOOKUP(F31,Tabelle1[],2))</f>
        <v>HOXHA</v>
      </c>
      <c r="C31" s="40"/>
      <c r="D31" s="41">
        <v>46031</v>
      </c>
      <c r="E31" s="80"/>
      <c r="F31" s="78">
        <v>20502</v>
      </c>
      <c r="G31" s="43">
        <v>73.8</v>
      </c>
      <c r="H31" s="38">
        <v>35109</v>
      </c>
      <c r="I31" s="38">
        <v>12</v>
      </c>
      <c r="J31" s="38">
        <v>51612</v>
      </c>
      <c r="K31" s="38">
        <v>12</v>
      </c>
    </row>
    <row r="32" spans="1:15" x14ac:dyDescent="0.25">
      <c r="A32" s="39" t="str">
        <f>IF(F32="","",VLOOKUP(F32,Tabelle1[],3))</f>
        <v>ISTOG</v>
      </c>
      <c r="B32" s="40" t="str">
        <f>IF(F32="","",VLOOKUP(F32,Tabelle1[],2))</f>
        <v>LIRIDONA KLINE</v>
      </c>
      <c r="C32" s="40"/>
      <c r="D32" s="41">
        <v>46031</v>
      </c>
      <c r="E32" s="80"/>
      <c r="F32" s="78">
        <v>20511</v>
      </c>
      <c r="G32" s="43">
        <v>92.4</v>
      </c>
      <c r="H32" s="38">
        <v>35109</v>
      </c>
      <c r="I32" s="38">
        <v>24</v>
      </c>
    </row>
    <row r="33" spans="1:15" x14ac:dyDescent="0.25">
      <c r="A33" s="39" t="str">
        <f>IF(F33="","",VLOOKUP(F33,Tabelle1[],3))</f>
        <v>ISTOG</v>
      </c>
      <c r="B33" s="40" t="str">
        <f>IF(F33="","",VLOOKUP(F33,Tabelle1[],2))</f>
        <v>BERATI A.P. (1)</v>
      </c>
      <c r="C33" s="40"/>
      <c r="D33" s="41">
        <v>46031</v>
      </c>
      <c r="E33" s="80"/>
      <c r="F33" s="78">
        <v>20513</v>
      </c>
      <c r="G33" s="43">
        <v>106.4</v>
      </c>
      <c r="H33" s="38">
        <v>50912</v>
      </c>
      <c r="I33" s="38">
        <v>12</v>
      </c>
      <c r="J33" s="38">
        <v>56117</v>
      </c>
      <c r="K33" s="38">
        <v>5</v>
      </c>
    </row>
    <row r="34" spans="1:15" x14ac:dyDescent="0.25">
      <c r="A34" s="39" t="str">
        <f>IF(F34="","",VLOOKUP(F34,Tabelle1[],3))</f>
        <v>SKENDERAJ</v>
      </c>
      <c r="B34" s="40" t="str">
        <f>IF(F34="","",VLOOKUP(F34,Tabelle1[],2))</f>
        <v>BENI</v>
      </c>
      <c r="C34" s="40"/>
      <c r="D34" s="41">
        <v>46031</v>
      </c>
      <c r="E34" s="80"/>
      <c r="F34" s="78">
        <v>20409</v>
      </c>
      <c r="G34" s="43">
        <v>58</v>
      </c>
      <c r="H34" s="38">
        <v>55718</v>
      </c>
      <c r="I34" s="38">
        <v>12</v>
      </c>
      <c r="J34" s="38">
        <v>50912</v>
      </c>
      <c r="K34" s="38">
        <v>2</v>
      </c>
    </row>
    <row r="35" spans="1:15" x14ac:dyDescent="0.25">
      <c r="A35" s="39" t="str">
        <f>IF(F35="","",VLOOKUP(F35,Tabelle1[],3))</f>
        <v>SKENDERAJ</v>
      </c>
      <c r="B35" s="40" t="str">
        <f>IF(F35="","",VLOOKUP(F35,Tabelle1[],2))</f>
        <v>MEGI</v>
      </c>
      <c r="C35" s="40"/>
      <c r="D35" s="41">
        <v>46031</v>
      </c>
      <c r="E35" s="80"/>
      <c r="F35" s="78">
        <v>20406</v>
      </c>
      <c r="G35" s="43">
        <v>45</v>
      </c>
      <c r="H35" s="38">
        <v>49644</v>
      </c>
      <c r="I35" s="38">
        <v>12</v>
      </c>
      <c r="J35" s="38">
        <v>55718</v>
      </c>
      <c r="K35" s="38">
        <v>6</v>
      </c>
    </row>
    <row r="36" spans="1:15" x14ac:dyDescent="0.25">
      <c r="A36" s="39" t="str">
        <f>IF(F36="","",VLOOKUP(F36,Tabelle1[],3))</f>
        <v>PODUJEVE</v>
      </c>
      <c r="B36" s="40" t="str">
        <f>IF(F36="","",VLOOKUP(F36,Tabelle1[],2))</f>
        <v>ALBANI</v>
      </c>
      <c r="C36" s="40"/>
      <c r="D36" s="41">
        <v>46032</v>
      </c>
      <c r="E36" s="80"/>
      <c r="F36" s="78">
        <v>10636</v>
      </c>
      <c r="G36" s="43">
        <v>92.4</v>
      </c>
      <c r="H36" s="38">
        <v>35109</v>
      </c>
      <c r="I36" s="38">
        <v>12</v>
      </c>
      <c r="J36" s="38">
        <v>35110</v>
      </c>
      <c r="K36" s="38">
        <v>12</v>
      </c>
    </row>
    <row r="37" spans="1:15" x14ac:dyDescent="0.25">
      <c r="A37" s="39" t="str">
        <f>IF(F37="","",VLOOKUP(F37,Tabelle1[],3))</f>
        <v>PODUJEVE</v>
      </c>
      <c r="B37" s="40" t="str">
        <f>IF(F37="","",VLOOKUP(F37,Tabelle1[],2))</f>
        <v>SABITI</v>
      </c>
      <c r="C37" s="40"/>
      <c r="D37" s="41">
        <v>46032</v>
      </c>
      <c r="E37" s="80"/>
      <c r="F37" s="78">
        <v>10605</v>
      </c>
      <c r="G37" s="43">
        <v>31</v>
      </c>
      <c r="H37" s="38">
        <v>54412</v>
      </c>
      <c r="I37" s="38">
        <v>5</v>
      </c>
      <c r="J37" s="38">
        <v>44001</v>
      </c>
      <c r="K37" s="38">
        <v>6</v>
      </c>
    </row>
    <row r="38" spans="1:15" x14ac:dyDescent="0.25">
      <c r="A38" s="39" t="str">
        <f>IF(F38="","",VLOOKUP(F38,Tabelle1[],3))</f>
        <v>PODUJEVE</v>
      </c>
      <c r="B38" s="40" t="str">
        <f>IF(F38="","",VLOOKUP(F38,Tabelle1[],2))</f>
        <v>KUJTA</v>
      </c>
      <c r="C38" s="40"/>
      <c r="D38" s="41">
        <v>46032</v>
      </c>
      <c r="E38" s="80"/>
      <c r="F38" s="78">
        <v>10625</v>
      </c>
      <c r="G38" s="43">
        <v>138.6</v>
      </c>
      <c r="H38" s="38">
        <v>35113</v>
      </c>
      <c r="I38" s="38">
        <v>12</v>
      </c>
      <c r="J38" s="38">
        <v>35121</v>
      </c>
      <c r="K38" s="38">
        <v>12</v>
      </c>
      <c r="L38" s="38">
        <v>35125</v>
      </c>
      <c r="M38" s="38">
        <v>12</v>
      </c>
    </row>
    <row r="39" spans="1:15" x14ac:dyDescent="0.25">
      <c r="A39" s="39" t="str">
        <f>IF(F39="","",VLOOKUP(F39,Tabelle1[],3))</f>
        <v>PODUJEVE</v>
      </c>
      <c r="B39" s="40" t="str">
        <f>IF(F39="","",VLOOKUP(F39,Tabelle1[],2))</f>
        <v>BECOLOR</v>
      </c>
      <c r="C39" s="40"/>
      <c r="D39" s="41">
        <v>46032</v>
      </c>
      <c r="E39" s="80"/>
      <c r="F39" s="78">
        <v>10619</v>
      </c>
      <c r="G39" s="43">
        <v>28.5</v>
      </c>
      <c r="H39" s="38">
        <v>56117</v>
      </c>
      <c r="I39" s="38">
        <v>3</v>
      </c>
      <c r="J39" s="38">
        <v>38136</v>
      </c>
      <c r="K39" s="38">
        <v>3</v>
      </c>
      <c r="L39" s="38">
        <v>49644</v>
      </c>
      <c r="M39" s="38">
        <v>6</v>
      </c>
    </row>
    <row r="40" spans="1:15" x14ac:dyDescent="0.25">
      <c r="A40" s="39" t="str">
        <f>IF(F40="","",VLOOKUP(F40,Tabelle1[],3))</f>
        <v>PODUJEVE</v>
      </c>
      <c r="B40" s="40" t="str">
        <f>IF(F40="","",VLOOKUP(F40,Tabelle1[],2))</f>
        <v>TE LUTA</v>
      </c>
      <c r="C40" s="40"/>
      <c r="D40" s="41">
        <v>46032</v>
      </c>
      <c r="E40" s="80"/>
      <c r="F40" s="78">
        <v>10617</v>
      </c>
      <c r="G40" s="43">
        <v>46.2</v>
      </c>
      <c r="H40" s="38">
        <v>35115</v>
      </c>
      <c r="I40" s="38">
        <v>12</v>
      </c>
    </row>
    <row r="41" spans="1:15" x14ac:dyDescent="0.25">
      <c r="A41" s="39" t="str">
        <f>IF(F41="","",VLOOKUP(F41,Tabelle1[],3))</f>
        <v>FERIZAJ</v>
      </c>
      <c r="B41" s="40" t="str">
        <f>IF(F41="","",VLOOKUP(F41,Tabelle1[],2))</f>
        <v>AGROLONDI</v>
      </c>
      <c r="C41" s="40"/>
      <c r="D41" s="41">
        <v>46032</v>
      </c>
      <c r="E41" s="80"/>
      <c r="F41" s="78">
        <v>20602</v>
      </c>
      <c r="G41" s="43">
        <v>92.4</v>
      </c>
      <c r="H41" s="38">
        <v>35109</v>
      </c>
      <c r="I41" s="38">
        <v>12</v>
      </c>
      <c r="J41" s="38">
        <v>35111</v>
      </c>
      <c r="K41" s="38">
        <v>12</v>
      </c>
    </row>
    <row r="42" spans="1:15" x14ac:dyDescent="0.25">
      <c r="A42" s="39" t="str">
        <f>IF(F42="","",VLOOKUP(F42,Tabelle1[],3))</f>
        <v>FERIZAJ</v>
      </c>
      <c r="B42" s="40" t="str">
        <f>IF(F42="","",VLOOKUP(F42,Tabelle1[],2))</f>
        <v>LTI</v>
      </c>
      <c r="C42" s="40"/>
      <c r="D42" s="41">
        <v>46032</v>
      </c>
      <c r="E42" s="80"/>
      <c r="F42" s="78">
        <v>20623</v>
      </c>
      <c r="G42" s="43">
        <v>92.4</v>
      </c>
      <c r="H42" s="38">
        <v>35111</v>
      </c>
      <c r="I42" s="38">
        <v>12</v>
      </c>
      <c r="J42" s="38">
        <v>35121</v>
      </c>
      <c r="K42" s="38">
        <v>12</v>
      </c>
    </row>
    <row r="43" spans="1:15" x14ac:dyDescent="0.25">
      <c r="A43" s="39" t="str">
        <f>IF(F43="","",VLOOKUP(F43,Tabelle1[],3))</f>
        <v>GADIME</v>
      </c>
      <c r="B43" s="40" t="str">
        <f>IF(F43="","",VLOOKUP(F43,Tabelle1[],2))</f>
        <v>ILIRI QERAMIKA</v>
      </c>
      <c r="C43" s="40"/>
      <c r="D43" s="41">
        <v>46032</v>
      </c>
      <c r="E43" s="80"/>
      <c r="F43" s="78">
        <v>20622</v>
      </c>
      <c r="G43" s="43">
        <v>120</v>
      </c>
      <c r="H43" s="38">
        <v>35111</v>
      </c>
      <c r="I43" s="38">
        <v>12</v>
      </c>
      <c r="J43" s="38">
        <v>35113</v>
      </c>
      <c r="K43" s="38">
        <v>12</v>
      </c>
      <c r="L43" s="38">
        <v>51612</v>
      </c>
      <c r="M43" s="38">
        <v>12</v>
      </c>
    </row>
    <row r="44" spans="1:15" x14ac:dyDescent="0.25">
      <c r="A44" s="39" t="str">
        <f>IF(F44="","",VLOOKUP(F44,Tabelle1[],3))</f>
        <v>FERIZAJ</v>
      </c>
      <c r="B44" s="40" t="str">
        <f>IF(F44="","",VLOOKUP(F44,Tabelle1[],2))</f>
        <v>ALMIRI QERAMIKA</v>
      </c>
      <c r="C44" s="40"/>
      <c r="D44" s="41">
        <v>46032</v>
      </c>
      <c r="E44" s="80"/>
      <c r="F44" s="78">
        <v>20631</v>
      </c>
      <c r="G44" s="43">
        <v>92.4</v>
      </c>
      <c r="H44" s="38">
        <v>35109</v>
      </c>
      <c r="I44" s="38">
        <v>12</v>
      </c>
      <c r="J44" s="38">
        <v>35110</v>
      </c>
      <c r="K44" s="38">
        <v>12</v>
      </c>
    </row>
    <row r="45" spans="1:15" x14ac:dyDescent="0.25">
      <c r="A45" s="39" t="str">
        <f>IF(F45="","",VLOOKUP(F45,Tabelle1[],3))</f>
        <v>FERIZAJ</v>
      </c>
      <c r="B45" s="40" t="str">
        <f>IF(F45="","",VLOOKUP(F45,Tabelle1[],2))</f>
        <v>UNIKA</v>
      </c>
      <c r="C45" s="40"/>
      <c r="D45" s="41">
        <v>46032</v>
      </c>
      <c r="E45" s="80"/>
      <c r="F45" s="78">
        <v>20627</v>
      </c>
      <c r="G45" s="43">
        <v>138.6</v>
      </c>
      <c r="H45" s="38">
        <v>35112</v>
      </c>
      <c r="I45" s="38">
        <v>12</v>
      </c>
      <c r="J45" s="38">
        <v>35113</v>
      </c>
      <c r="K45" s="38">
        <v>12</v>
      </c>
      <c r="L45" s="38">
        <v>35115</v>
      </c>
      <c r="M45" s="38">
        <v>12</v>
      </c>
    </row>
    <row r="46" spans="1:15" x14ac:dyDescent="0.25">
      <c r="A46" s="39" t="str">
        <f>IF(F46="","",VLOOKUP(F46,Tabelle1[],3))</f>
        <v>GERLIC</v>
      </c>
      <c r="B46" s="40" t="str">
        <f>IF(F46="","",VLOOKUP(F46,Tabelle1[],2))</f>
        <v>TE-SYLA</v>
      </c>
      <c r="C46" s="40"/>
      <c r="D46" s="41">
        <v>46032</v>
      </c>
      <c r="E46" s="80"/>
      <c r="F46" s="78">
        <v>20606</v>
      </c>
      <c r="G46" s="43">
        <v>121.2</v>
      </c>
      <c r="H46" s="38">
        <v>35113</v>
      </c>
      <c r="I46" s="38">
        <v>12</v>
      </c>
      <c r="J46" s="38">
        <v>50912</v>
      </c>
      <c r="K46" s="38">
        <v>6</v>
      </c>
      <c r="L46" s="38">
        <v>55718</v>
      </c>
      <c r="M46" s="38">
        <v>6</v>
      </c>
      <c r="N46" s="38">
        <v>31903</v>
      </c>
      <c r="O46" s="38">
        <v>6</v>
      </c>
    </row>
    <row r="47" spans="1:15" x14ac:dyDescent="0.25">
      <c r="A47" s="39" t="str">
        <f>IF(F47="","",VLOOKUP(F47,Tabelle1[],3))</f>
        <v>DOGANAJ</v>
      </c>
      <c r="B47" s="40" t="str">
        <f>IF(F47="","",VLOOKUP(F47,Tabelle1[],2))</f>
        <v xml:space="preserve">F.V. SH.P.K. </v>
      </c>
      <c r="C47" s="40"/>
      <c r="D47" s="41">
        <v>46032</v>
      </c>
      <c r="E47" s="80"/>
      <c r="F47" s="78">
        <v>20607</v>
      </c>
      <c r="G47" s="43">
        <v>154.6</v>
      </c>
      <c r="H47" s="38">
        <v>35113</v>
      </c>
      <c r="I47" s="38">
        <v>12</v>
      </c>
      <c r="J47" s="38">
        <v>35115</v>
      </c>
      <c r="K47" s="38">
        <v>12</v>
      </c>
      <c r="L47" s="38">
        <v>35121</v>
      </c>
      <c r="M47" s="38">
        <v>12</v>
      </c>
      <c r="N47" s="38">
        <v>49644</v>
      </c>
      <c r="O47" s="38">
        <v>8</v>
      </c>
    </row>
    <row r="48" spans="1:15" x14ac:dyDescent="0.25">
      <c r="A48" s="39" t="str">
        <f>IF(F48="","",VLOOKUP(F48,Tabelle1[],3))</f>
        <v>FERIZAJ</v>
      </c>
      <c r="B48" s="40" t="str">
        <f>IF(F48="","",VLOOKUP(F48,Tabelle1[],2))</f>
        <v>LONI</v>
      </c>
      <c r="C48" s="40"/>
      <c r="D48" s="41">
        <v>46032</v>
      </c>
      <c r="E48" s="80"/>
      <c r="F48" s="78">
        <v>20608</v>
      </c>
      <c r="G48" s="43">
        <v>92.4</v>
      </c>
      <c r="H48" s="38">
        <v>35115</v>
      </c>
      <c r="I48" s="38">
        <v>12</v>
      </c>
      <c r="J48" s="38">
        <v>35121</v>
      </c>
      <c r="K48" s="38">
        <v>12</v>
      </c>
    </row>
    <row r="49" spans="1:15" x14ac:dyDescent="0.25">
      <c r="A49" s="39" t="str">
        <f>IF(F49="","",VLOOKUP(F49,Tabelle1[],3))</f>
        <v>FERIZAJ</v>
      </c>
      <c r="B49" s="40" t="str">
        <f>IF(F49="","",VLOOKUP(F49,Tabelle1[],2))</f>
        <v>BULONI - SH</v>
      </c>
      <c r="C49" s="40"/>
      <c r="D49" s="41">
        <v>46032</v>
      </c>
      <c r="E49" s="80"/>
      <c r="F49" s="78">
        <v>20624</v>
      </c>
      <c r="G49" s="43">
        <v>92.4</v>
      </c>
      <c r="H49" s="38">
        <v>35109</v>
      </c>
      <c r="I49" s="38">
        <v>12</v>
      </c>
      <c r="J49" s="38">
        <v>35125</v>
      </c>
      <c r="K49" s="38">
        <v>12</v>
      </c>
    </row>
    <row r="50" spans="1:15" x14ac:dyDescent="0.25">
      <c r="A50" s="39" t="str">
        <f>IF(F50="","",VLOOKUP(F50,Tabelle1[],3))</f>
        <v>PRISHTINE</v>
      </c>
      <c r="B50" s="40" t="str">
        <f>IF(F50="","",VLOOKUP(F50,Tabelle1[],2))</f>
        <v>ARSIM</v>
      </c>
      <c r="C50" s="40"/>
      <c r="D50" s="41">
        <v>46034</v>
      </c>
      <c r="E50" s="80"/>
      <c r="F50" s="78">
        <v>10105</v>
      </c>
      <c r="G50" s="43">
        <v>46.2</v>
      </c>
      <c r="H50" s="38">
        <v>35125</v>
      </c>
      <c r="I50" s="38">
        <v>12</v>
      </c>
    </row>
    <row r="51" spans="1:15" x14ac:dyDescent="0.25">
      <c r="A51" s="39" t="str">
        <f>IF(F51="","",VLOOKUP(F51,Tabelle1[],3))</f>
        <v>PRISHTINE</v>
      </c>
      <c r="B51" s="40" t="str">
        <f>IF(F51="","",VLOOKUP(F51,Tabelle1[],2))</f>
        <v>KADIJOLLET</v>
      </c>
      <c r="C51" s="40"/>
      <c r="D51" s="41">
        <v>46034</v>
      </c>
      <c r="E51" s="80"/>
      <c r="F51" s="78">
        <v>10111</v>
      </c>
      <c r="G51" s="43">
        <v>117.4</v>
      </c>
      <c r="H51" s="38">
        <v>35110</v>
      </c>
      <c r="I51" s="38">
        <v>12</v>
      </c>
      <c r="J51" s="38">
        <v>35111</v>
      </c>
      <c r="K51" s="38">
        <v>12</v>
      </c>
      <c r="L51" s="38">
        <v>51611</v>
      </c>
      <c r="M51" s="38">
        <v>12</v>
      </c>
      <c r="N51" s="38">
        <v>26736</v>
      </c>
      <c r="O51" s="38">
        <v>5</v>
      </c>
    </row>
    <row r="52" spans="1:15" x14ac:dyDescent="0.25">
      <c r="A52" s="39" t="str">
        <f>IF(F52="","",VLOOKUP(F52,Tabelle1[],3))</f>
        <v>BARDHOSH</v>
      </c>
      <c r="B52" s="40" t="str">
        <f>IF(F52="","",VLOOKUP(F52,Tabelle1[],2))</f>
        <v>QELA</v>
      </c>
      <c r="C52" s="40"/>
      <c r="D52" s="41">
        <v>46034</v>
      </c>
      <c r="E52" s="80"/>
      <c r="F52" s="78">
        <v>10114</v>
      </c>
      <c r="G52" s="43">
        <v>43.9</v>
      </c>
      <c r="H52" s="38">
        <v>50912</v>
      </c>
      <c r="I52" s="38">
        <v>2</v>
      </c>
      <c r="J52" s="38">
        <v>55718</v>
      </c>
      <c r="K52" s="38">
        <v>5</v>
      </c>
      <c r="L52" s="38">
        <v>49644</v>
      </c>
      <c r="M52" s="38">
        <v>6</v>
      </c>
    </row>
    <row r="53" spans="1:15" x14ac:dyDescent="0.25">
      <c r="A53" s="39" t="str">
        <f>IF(F53="","",VLOOKUP(F53,Tabelle1[],3))</f>
        <v>PRISHTINE</v>
      </c>
      <c r="B53" s="40" t="str">
        <f>IF(F53="","",VLOOKUP(F53,Tabelle1[],2))</f>
        <v>BESI COM</v>
      </c>
      <c r="C53" s="40"/>
      <c r="D53" s="41">
        <v>46034</v>
      </c>
      <c r="E53" s="80"/>
      <c r="F53" s="78">
        <v>10103</v>
      </c>
      <c r="G53" s="43">
        <v>92.4</v>
      </c>
      <c r="H53" s="38">
        <v>35119</v>
      </c>
      <c r="I53" s="38">
        <v>12</v>
      </c>
      <c r="J53" s="38">
        <v>35109</v>
      </c>
      <c r="K53" s="38">
        <v>12</v>
      </c>
    </row>
    <row r="54" spans="1:15" x14ac:dyDescent="0.25">
      <c r="A54" s="39" t="str">
        <f>IF(F54="","",VLOOKUP(F54,Tabelle1[],3))</f>
        <v>PEJE</v>
      </c>
      <c r="B54" s="40" t="str">
        <f>IF(F54="","",VLOOKUP(F54,Tabelle1[],2))</f>
        <v>KENA COMERC</v>
      </c>
      <c r="C54" s="40"/>
      <c r="D54" s="41">
        <v>46034</v>
      </c>
      <c r="E54" s="80"/>
      <c r="F54" s="78">
        <v>20109</v>
      </c>
      <c r="G54" s="43">
        <v>107.4</v>
      </c>
      <c r="H54" s="38">
        <v>35113</v>
      </c>
      <c r="I54" s="38">
        <v>12</v>
      </c>
      <c r="J54" s="38">
        <v>35128</v>
      </c>
      <c r="K54" s="38">
        <v>12</v>
      </c>
      <c r="L54" s="38">
        <v>51611</v>
      </c>
      <c r="M54" s="38">
        <v>12</v>
      </c>
    </row>
    <row r="55" spans="1:15" x14ac:dyDescent="0.25">
      <c r="A55" s="39" t="str">
        <f>IF(F55="","",VLOOKUP(F55,Tabelle1[],3))</f>
        <v>PEJE</v>
      </c>
      <c r="B55" s="40" t="str">
        <f>IF(F55="","",VLOOKUP(F55,Tabelle1[],2))</f>
        <v>TECOL 2</v>
      </c>
      <c r="C55" s="40"/>
      <c r="D55" s="41">
        <v>46034</v>
      </c>
      <c r="E55" s="80"/>
      <c r="F55" s="78">
        <v>20111</v>
      </c>
      <c r="G55" s="43">
        <v>38</v>
      </c>
      <c r="H55" s="38">
        <v>38136</v>
      </c>
      <c r="I55" s="38">
        <v>12</v>
      </c>
      <c r="J55" s="38">
        <v>54412</v>
      </c>
      <c r="K55" s="38">
        <v>7</v>
      </c>
      <c r="L55" s="38">
        <v>39505</v>
      </c>
      <c r="M55" s="38">
        <v>2</v>
      </c>
    </row>
    <row r="56" spans="1:15" x14ac:dyDescent="0.25">
      <c r="A56" s="39" t="str">
        <f>IF(F56="","",VLOOKUP(F56,Tabelle1[],3))</f>
        <v>PEJE</v>
      </c>
      <c r="B56" s="40" t="str">
        <f>IF(F56="","",VLOOKUP(F56,Tabelle1[],2))</f>
        <v>LULI-C</v>
      </c>
      <c r="C56" s="40"/>
      <c r="D56" s="41">
        <v>46034</v>
      </c>
      <c r="E56" s="80"/>
      <c r="F56" s="78">
        <v>20126</v>
      </c>
      <c r="G56" s="43">
        <v>184.8</v>
      </c>
      <c r="H56" s="38">
        <v>35109</v>
      </c>
      <c r="I56" s="38">
        <v>12</v>
      </c>
      <c r="J56" s="38">
        <v>35110</v>
      </c>
      <c r="K56" s="38">
        <v>12</v>
      </c>
      <c r="L56" s="38">
        <v>35111</v>
      </c>
      <c r="M56" s="38">
        <v>12</v>
      </c>
      <c r="N56" s="38">
        <v>35125</v>
      </c>
      <c r="O56" s="38">
        <v>12</v>
      </c>
    </row>
    <row r="57" spans="1:15" x14ac:dyDescent="0.25">
      <c r="A57" s="39" t="str">
        <f>IF(F57="","",VLOOKUP(F57,Tabelle1[],3))</f>
        <v>PEJE</v>
      </c>
      <c r="B57" s="40" t="str">
        <f>IF(F57="","",VLOOKUP(F57,Tabelle1[],2))</f>
        <v>CAMA BAU</v>
      </c>
      <c r="C57" s="40"/>
      <c r="D57" s="41">
        <v>46034</v>
      </c>
      <c r="E57" s="80"/>
      <c r="F57" s="78">
        <v>20121</v>
      </c>
      <c r="G57" s="43">
        <v>162</v>
      </c>
      <c r="H57" s="38">
        <v>66701</v>
      </c>
      <c r="I57" s="38">
        <v>12</v>
      </c>
      <c r="J57" s="38">
        <v>35108</v>
      </c>
      <c r="K57" s="38">
        <v>12</v>
      </c>
      <c r="L57" s="38">
        <v>35113</v>
      </c>
      <c r="M57" s="38">
        <v>12</v>
      </c>
    </row>
    <row r="58" spans="1:15" x14ac:dyDescent="0.25">
      <c r="A58" s="39" t="str">
        <f>IF(F58="","",VLOOKUP(F58,Tabelle1[],3))</f>
        <v>PEJE</v>
      </c>
      <c r="B58" s="40" t="str">
        <f>IF(F58="","",VLOOKUP(F58,Tabelle1[],2))</f>
        <v>TERMO PROJEKT</v>
      </c>
      <c r="C58" s="40"/>
      <c r="D58" s="41">
        <v>46034</v>
      </c>
      <c r="E58" s="80"/>
      <c r="F58" s="78">
        <v>20127</v>
      </c>
      <c r="G58" s="43">
        <v>92.4</v>
      </c>
      <c r="H58" s="38">
        <v>35110</v>
      </c>
      <c r="I58" s="38">
        <v>24</v>
      </c>
    </row>
    <row r="59" spans="1:15" x14ac:dyDescent="0.25">
      <c r="A59" s="39" t="str">
        <f>IF(F59="","",VLOOKUP(F59,Tabelle1[],3))</f>
        <v>PEJE</v>
      </c>
      <c r="B59" s="40" t="str">
        <f>IF(F59="","",VLOOKUP(F59,Tabelle1[],2))</f>
        <v>KTHIMI</v>
      </c>
      <c r="C59" s="40"/>
      <c r="D59" s="41">
        <v>46034</v>
      </c>
      <c r="E59" s="80"/>
      <c r="F59" s="78">
        <v>20104</v>
      </c>
      <c r="G59" s="43">
        <v>92.4</v>
      </c>
      <c r="H59" s="38">
        <v>35113</v>
      </c>
      <c r="I59" s="38">
        <v>24</v>
      </c>
    </row>
    <row r="60" spans="1:15" x14ac:dyDescent="0.25">
      <c r="A60" s="39" t="str">
        <f>IF(F60="","",VLOOKUP(F60,Tabelle1[],3))</f>
        <v>HOME KIM TEC</v>
      </c>
      <c r="B60" s="40" t="str">
        <f>IF(F60="","",VLOOKUP(F60,Tabelle1[],2))</f>
        <v>FORD BASHKIMI</v>
      </c>
      <c r="C60" s="40"/>
      <c r="D60" s="41">
        <v>46034</v>
      </c>
      <c r="E60" s="80"/>
      <c r="F60" s="78">
        <v>40002</v>
      </c>
      <c r="G60" s="43">
        <v>26.5</v>
      </c>
      <c r="H60" s="38">
        <v>54412</v>
      </c>
      <c r="I60" s="38">
        <v>12</v>
      </c>
      <c r="J60" s="38">
        <v>49644</v>
      </c>
      <c r="K60" s="38">
        <v>1</v>
      </c>
    </row>
    <row r="61" spans="1:15" x14ac:dyDescent="0.25">
      <c r="A61" s="39" t="str">
        <f>IF(F61="","",VLOOKUP(F61,Tabelle1[],3))</f>
        <v>PRIZREN</v>
      </c>
      <c r="B61" s="40" t="str">
        <f>IF(F61="","",VLOOKUP(F61,Tabelle1[],2))</f>
        <v>ARSIMI</v>
      </c>
      <c r="C61" s="40"/>
      <c r="D61" s="41">
        <v>46035</v>
      </c>
      <c r="E61" s="80"/>
      <c r="F61" s="78">
        <v>10258</v>
      </c>
      <c r="G61" s="43">
        <v>184.8</v>
      </c>
      <c r="H61" s="38">
        <v>35109</v>
      </c>
      <c r="I61" s="38">
        <v>48</v>
      </c>
    </row>
    <row r="62" spans="1:15" x14ac:dyDescent="0.25">
      <c r="A62" s="39" t="str">
        <f>IF(F62="","",VLOOKUP(F62,Tabelle1[],3))</f>
        <v>PRIZREN</v>
      </c>
      <c r="B62" s="40" t="str">
        <f>IF(F62="","",VLOOKUP(F62,Tabelle1[],2))</f>
        <v>MONI 2</v>
      </c>
      <c r="C62" s="40"/>
      <c r="D62" s="41">
        <v>46035</v>
      </c>
      <c r="E62" s="80"/>
      <c r="F62" s="78">
        <v>10210</v>
      </c>
      <c r="G62" s="43">
        <v>92.4</v>
      </c>
      <c r="H62" s="38">
        <v>35115</v>
      </c>
      <c r="I62" s="38">
        <v>12</v>
      </c>
      <c r="J62" s="38">
        <v>35121</v>
      </c>
      <c r="K62" s="38">
        <v>12</v>
      </c>
    </row>
    <row r="63" spans="1:15" x14ac:dyDescent="0.25">
      <c r="A63" s="39" t="str">
        <f>IF(F63="","",VLOOKUP(F63,Tabelle1[],3))</f>
        <v>SHIROK</v>
      </c>
      <c r="B63" s="40" t="str">
        <f>IF(F63="","",VLOOKUP(F63,Tabelle1[],2))</f>
        <v>XHAFA</v>
      </c>
      <c r="C63" s="40"/>
      <c r="D63" s="41">
        <v>46035</v>
      </c>
      <c r="E63" s="80"/>
      <c r="F63" s="78">
        <v>10205</v>
      </c>
      <c r="G63" s="43">
        <v>73.8</v>
      </c>
      <c r="H63" s="38">
        <v>35111</v>
      </c>
      <c r="I63" s="38">
        <v>12</v>
      </c>
      <c r="J63" s="38">
        <v>51612</v>
      </c>
      <c r="K63" s="38">
        <v>12</v>
      </c>
    </row>
    <row r="64" spans="1:15" x14ac:dyDescent="0.25">
      <c r="A64" s="39" t="str">
        <f>IF(F64="","",VLOOKUP(F64,Tabelle1[],3))</f>
        <v>ZYM</v>
      </c>
      <c r="B64" s="40" t="str">
        <f>IF(F64="","",VLOOKUP(F64,Tabelle1[],2))</f>
        <v>BEK TRADE</v>
      </c>
      <c r="C64" s="40"/>
      <c r="D64" s="41">
        <v>46035</v>
      </c>
      <c r="E64" s="80"/>
      <c r="F64" s="78">
        <v>10245</v>
      </c>
      <c r="G64" s="43">
        <v>184.8</v>
      </c>
      <c r="H64" s="38">
        <v>35109</v>
      </c>
      <c r="I64" s="38">
        <v>24</v>
      </c>
      <c r="J64" s="38">
        <v>35115</v>
      </c>
      <c r="K64" s="38">
        <v>24</v>
      </c>
    </row>
    <row r="65" spans="1:17" x14ac:dyDescent="0.25">
      <c r="A65" s="39" t="str">
        <f>IF(F65="","",VLOOKUP(F65,Tabelle1[],3))</f>
        <v>PRIZREN</v>
      </c>
      <c r="B65" s="40" t="str">
        <f>IF(F65="","",VLOOKUP(F65,Tabelle1[],2))</f>
        <v>AB SHPK</v>
      </c>
      <c r="C65" s="40"/>
      <c r="D65" s="41">
        <v>46035</v>
      </c>
      <c r="E65" s="80"/>
      <c r="F65" s="78">
        <v>10241</v>
      </c>
      <c r="G65" s="43">
        <v>27.6</v>
      </c>
      <c r="H65" s="38">
        <v>51612</v>
      </c>
      <c r="I65" s="38">
        <v>12</v>
      </c>
    </row>
    <row r="66" spans="1:17" x14ac:dyDescent="0.25">
      <c r="A66" s="39" t="str">
        <f>IF(F66="","",VLOOKUP(F66,Tabelle1[],3))</f>
        <v>PRIZREN</v>
      </c>
      <c r="B66" s="40" t="str">
        <f>IF(F66="","",VLOOKUP(F66,Tabelle1[],2))</f>
        <v>ARPO</v>
      </c>
      <c r="C66" s="40"/>
      <c r="D66" s="41">
        <v>46035</v>
      </c>
      <c r="E66" s="80"/>
      <c r="F66" s="78">
        <v>10240</v>
      </c>
      <c r="G66" s="43">
        <v>120</v>
      </c>
      <c r="H66" s="38">
        <v>35110</v>
      </c>
      <c r="I66" s="38">
        <v>12</v>
      </c>
      <c r="J66" s="38">
        <v>35113</v>
      </c>
      <c r="K66" s="38">
        <v>12</v>
      </c>
      <c r="L66" s="38">
        <v>51612</v>
      </c>
      <c r="M66" s="38">
        <v>12</v>
      </c>
    </row>
    <row r="67" spans="1:17" x14ac:dyDescent="0.25">
      <c r="A67" s="39" t="str">
        <f>IF(F67="","",VLOOKUP(F67,Tabelle1[],3))</f>
        <v>THARAND</v>
      </c>
      <c r="B67" s="40" t="str">
        <f>IF(F67="","",VLOOKUP(F67,Tabelle1[],2))</f>
        <v>TE BESNIKU</v>
      </c>
      <c r="C67" s="40"/>
      <c r="D67" s="41">
        <v>46035</v>
      </c>
      <c r="E67" s="80"/>
      <c r="F67" s="78">
        <v>10201</v>
      </c>
      <c r="G67" s="43">
        <v>46.2</v>
      </c>
      <c r="H67" s="38">
        <v>35114</v>
      </c>
      <c r="I67" s="38">
        <v>12</v>
      </c>
    </row>
    <row r="68" spans="1:17" x14ac:dyDescent="0.25">
      <c r="A68" s="39" t="str">
        <f>IF(F68="","",VLOOKUP(F68,Tabelle1[],3))</f>
        <v>GJAKOVE</v>
      </c>
      <c r="B68" s="40" t="str">
        <f>IF(F68="","",VLOOKUP(F68,Tabelle1[],2))</f>
        <v>TANI</v>
      </c>
      <c r="C68" s="40"/>
      <c r="D68" s="41">
        <v>46035</v>
      </c>
      <c r="E68" s="80"/>
      <c r="F68" s="78">
        <v>20224</v>
      </c>
      <c r="G68" s="43">
        <v>92.4</v>
      </c>
      <c r="H68" s="38">
        <v>35110</v>
      </c>
      <c r="I68" s="38">
        <v>12</v>
      </c>
      <c r="J68" s="38">
        <v>35111</v>
      </c>
      <c r="K68" s="38">
        <v>12</v>
      </c>
    </row>
    <row r="69" spans="1:17" x14ac:dyDescent="0.25">
      <c r="A69" s="39" t="str">
        <f>IF(F69="","",VLOOKUP(F69,Tabelle1[],3))</f>
        <v>GJAKOVE</v>
      </c>
      <c r="B69" s="40" t="str">
        <f>IF(F69="","",VLOOKUP(F69,Tabelle1[],2))</f>
        <v>LETAJ</v>
      </c>
      <c r="C69" s="40"/>
      <c r="D69" s="41">
        <v>46035</v>
      </c>
      <c r="E69" s="80"/>
      <c r="F69" s="78">
        <v>20209</v>
      </c>
      <c r="G69" s="43">
        <v>138.6</v>
      </c>
      <c r="H69" s="38">
        <v>35109</v>
      </c>
      <c r="I69" s="38">
        <v>12</v>
      </c>
      <c r="J69" s="38">
        <v>35110</v>
      </c>
      <c r="K69" s="38">
        <v>12</v>
      </c>
      <c r="L69" s="38">
        <v>35112</v>
      </c>
      <c r="M69" s="38">
        <v>12</v>
      </c>
    </row>
    <row r="70" spans="1:17" x14ac:dyDescent="0.25">
      <c r="A70" s="39" t="str">
        <f>IF(F70="","",VLOOKUP(F70,Tabelle1[],3))</f>
        <v>GJAKOVE</v>
      </c>
      <c r="B70" s="40" t="str">
        <f>IF(F70="","",VLOOKUP(F70,Tabelle1[],2))</f>
        <v>INOX 1</v>
      </c>
      <c r="C70" s="40"/>
      <c r="D70" s="41">
        <v>46035</v>
      </c>
      <c r="E70" s="80"/>
      <c r="F70" s="78">
        <v>20211</v>
      </c>
      <c r="G70" s="43">
        <v>73.8</v>
      </c>
      <c r="H70" s="38">
        <v>35109</v>
      </c>
      <c r="I70" s="38">
        <v>12</v>
      </c>
      <c r="J70" s="38">
        <v>51612</v>
      </c>
      <c r="K70" s="38">
        <v>12</v>
      </c>
    </row>
    <row r="71" spans="1:17" x14ac:dyDescent="0.25">
      <c r="A71" s="39" t="str">
        <f>IF(F71="","",VLOOKUP(F71,Tabelle1[],3))</f>
        <v>DEQAN</v>
      </c>
      <c r="B71" s="40" t="str">
        <f>IF(F71="","",VLOOKUP(F71,Tabelle1[],2))</f>
        <v>AFRIMI-AG</v>
      </c>
      <c r="C71" s="40"/>
      <c r="D71" s="41">
        <v>46035</v>
      </c>
      <c r="E71" s="80"/>
      <c r="F71" s="78">
        <v>20203</v>
      </c>
      <c r="G71" s="43">
        <v>138.6</v>
      </c>
      <c r="H71" s="38">
        <v>35111</v>
      </c>
      <c r="I71" s="38">
        <v>12</v>
      </c>
      <c r="J71" s="38">
        <v>35113</v>
      </c>
      <c r="K71" s="38">
        <v>12</v>
      </c>
      <c r="L71" s="38">
        <v>35125</v>
      </c>
      <c r="M71" s="38">
        <v>12</v>
      </c>
    </row>
    <row r="72" spans="1:17" x14ac:dyDescent="0.25">
      <c r="A72" s="39" t="str">
        <f>IF(F72="","",VLOOKUP(F72,Tabelle1[],3))</f>
        <v>DEQAN</v>
      </c>
      <c r="B72" s="40" t="str">
        <f>IF(F72="","",VLOOKUP(F72,Tabelle1[],2))</f>
        <v>TE BESIMI</v>
      </c>
      <c r="C72" s="40"/>
      <c r="D72" s="41">
        <v>46035</v>
      </c>
      <c r="E72" s="80"/>
      <c r="F72" s="78">
        <v>20201</v>
      </c>
      <c r="G72" s="43">
        <v>169.6</v>
      </c>
      <c r="H72" s="38">
        <v>35109</v>
      </c>
      <c r="I72" s="38">
        <v>12</v>
      </c>
      <c r="J72" s="38">
        <v>35110</v>
      </c>
      <c r="K72" s="38">
        <v>12</v>
      </c>
      <c r="L72" s="38">
        <v>35111</v>
      </c>
      <c r="M72" s="38">
        <v>12</v>
      </c>
      <c r="N72" s="38">
        <v>51611</v>
      </c>
      <c r="O72" s="38">
        <v>12</v>
      </c>
      <c r="P72" s="38">
        <v>50912</v>
      </c>
      <c r="Q72" s="38">
        <v>2</v>
      </c>
    </row>
    <row r="73" spans="1:17" x14ac:dyDescent="0.25">
      <c r="A73" s="39" t="str">
        <f>IF(F73="","",VLOOKUP(F73,Tabelle1[],3))</f>
        <v>PEJE</v>
      </c>
      <c r="B73" s="40" t="str">
        <f>IF(F73="","",VLOOKUP(F73,Tabelle1[],2))</f>
        <v>LULI-C</v>
      </c>
      <c r="C73" s="40"/>
      <c r="D73" s="41">
        <v>46035</v>
      </c>
      <c r="E73" s="80"/>
      <c r="F73" s="78">
        <v>20126</v>
      </c>
      <c r="G73" s="43">
        <v>45</v>
      </c>
      <c r="H73" s="38">
        <v>39505</v>
      </c>
      <c r="I73" s="38">
        <v>15</v>
      </c>
    </row>
    <row r="74" spans="1:17" x14ac:dyDescent="0.25">
      <c r="A74" s="39" t="str">
        <f>IF(F74="","",VLOOKUP(F74,Tabelle1[],3))</f>
        <v>PEJE</v>
      </c>
      <c r="B74" s="40" t="str">
        <f>IF(F74="","",VLOOKUP(F74,Tabelle1[],2))</f>
        <v>CAMA BAU</v>
      </c>
      <c r="C74" s="40"/>
      <c r="D74" s="41">
        <v>46035</v>
      </c>
      <c r="E74" s="80"/>
      <c r="F74" s="78">
        <v>20121</v>
      </c>
      <c r="G74" s="43">
        <v>47.5</v>
      </c>
      <c r="H74" s="38">
        <v>12000</v>
      </c>
      <c r="I74" s="38">
        <v>5</v>
      </c>
      <c r="J74" s="38">
        <v>12001</v>
      </c>
      <c r="K74" s="38">
        <v>5</v>
      </c>
    </row>
    <row r="75" spans="1:17" x14ac:dyDescent="0.25">
      <c r="A75" s="39" t="str">
        <f>IF(F75="","",VLOOKUP(F75,Tabelle1[],3))</f>
        <v>HOME KIM TEC</v>
      </c>
      <c r="B75" s="40" t="str">
        <f>IF(F75="","",VLOOKUP(F75,Tabelle1[],2))</f>
        <v>ARBENI BIOBLIC</v>
      </c>
      <c r="C75" s="40"/>
      <c r="D75" s="41">
        <v>46035</v>
      </c>
      <c r="E75" s="80"/>
      <c r="F75" s="78">
        <v>40003</v>
      </c>
      <c r="G75" s="43">
        <v>249</v>
      </c>
      <c r="H75" s="38">
        <v>20001</v>
      </c>
      <c r="I75" s="38">
        <v>140</v>
      </c>
      <c r="J75" s="38">
        <v>30275</v>
      </c>
      <c r="K75" s="38">
        <v>60</v>
      </c>
    </row>
    <row r="76" spans="1:17" x14ac:dyDescent="0.25">
      <c r="A76" s="39" t="str">
        <f>IF(F76="","",VLOOKUP(F76,Tabelle1[],3))</f>
        <v>GJILAN</v>
      </c>
      <c r="B76" s="40" t="str">
        <f>IF(F76="","",VLOOKUP(F76,Tabelle1[],2))</f>
        <v>ERALP</v>
      </c>
      <c r="C76" s="40"/>
      <c r="D76" s="41">
        <v>46036</v>
      </c>
      <c r="E76" s="80"/>
      <c r="F76" s="78">
        <v>10308</v>
      </c>
      <c r="G76" s="43">
        <v>46.2</v>
      </c>
      <c r="H76" s="38">
        <v>35121</v>
      </c>
      <c r="I76" s="38">
        <v>12</v>
      </c>
    </row>
    <row r="77" spans="1:17" x14ac:dyDescent="0.25">
      <c r="A77" s="39" t="str">
        <f>IF(F77="","",VLOOKUP(F77,Tabelle1[],3))</f>
        <v>GJILAN</v>
      </c>
      <c r="B77" s="40" t="str">
        <f>IF(F77="","",VLOOKUP(F77,Tabelle1[],2))</f>
        <v>BEKA-3</v>
      </c>
      <c r="C77" s="40"/>
      <c r="D77" s="41">
        <v>46036</v>
      </c>
      <c r="E77" s="80"/>
      <c r="F77" s="78">
        <v>10323</v>
      </c>
      <c r="G77" s="43">
        <v>36</v>
      </c>
      <c r="H77" s="38">
        <v>50912</v>
      </c>
      <c r="I77" s="38">
        <v>5</v>
      </c>
    </row>
    <row r="78" spans="1:17" x14ac:dyDescent="0.25">
      <c r="A78" s="39" t="str">
        <f>IF(F78="","",VLOOKUP(F78,Tabelle1[],3))</f>
        <v>GJILAN</v>
      </c>
      <c r="B78" s="40" t="str">
        <f>IF(F78="","",VLOOKUP(F78,Tabelle1[],2))</f>
        <v>GLOBAL NT</v>
      </c>
      <c r="C78" s="40"/>
      <c r="D78" s="41">
        <v>46036</v>
      </c>
      <c r="E78" s="80"/>
      <c r="F78" s="78">
        <v>10357</v>
      </c>
      <c r="G78" s="43">
        <v>46.2</v>
      </c>
      <c r="H78" s="38">
        <v>35113</v>
      </c>
      <c r="I78" s="38">
        <v>12</v>
      </c>
    </row>
    <row r="79" spans="1:17" x14ac:dyDescent="0.25">
      <c r="A79" s="39" t="str">
        <f>IF(F79="","",VLOOKUP(F79,Tabelle1[],3))</f>
        <v>GJILAN</v>
      </c>
      <c r="B79" s="40" t="str">
        <f>IF(F79="","",VLOOKUP(F79,Tabelle1[],2))</f>
        <v>IBAK</v>
      </c>
      <c r="C79" s="40"/>
      <c r="D79" s="41">
        <v>46036</v>
      </c>
      <c r="E79" s="80"/>
      <c r="F79" s="78">
        <v>10340</v>
      </c>
      <c r="G79" s="43">
        <v>46.2</v>
      </c>
      <c r="H79" s="38">
        <v>35128</v>
      </c>
      <c r="I79" s="38">
        <v>12</v>
      </c>
    </row>
    <row r="80" spans="1:17" x14ac:dyDescent="0.25">
      <c r="A80" s="39" t="str">
        <f>IF(F80="","",VLOOKUP(F80,Tabelle1[],3))</f>
        <v>GJILAN</v>
      </c>
      <c r="B80" s="40" t="str">
        <f>IF(F80="","",VLOOKUP(F80,Tabelle1[],2))</f>
        <v>MIRSADI</v>
      </c>
      <c r="C80" s="40"/>
      <c r="D80" s="41">
        <v>46036</v>
      </c>
      <c r="E80" s="80"/>
      <c r="F80" s="78">
        <v>10366</v>
      </c>
      <c r="G80" s="43">
        <v>184.8</v>
      </c>
      <c r="H80" s="38">
        <v>35109</v>
      </c>
      <c r="I80" s="38">
        <v>12</v>
      </c>
      <c r="J80" s="38">
        <v>35112</v>
      </c>
      <c r="K80" s="38">
        <v>12</v>
      </c>
      <c r="L80" s="38">
        <v>35121</v>
      </c>
      <c r="M80" s="38">
        <v>24</v>
      </c>
    </row>
    <row r="81" spans="1:17" x14ac:dyDescent="0.25">
      <c r="A81" s="39" t="str">
        <f>IF(F81="","",VLOOKUP(F81,Tabelle1[],3))</f>
        <v>GJILAN</v>
      </c>
      <c r="B81" s="40" t="str">
        <f>IF(F81="","",VLOOKUP(F81,Tabelle1[],2))</f>
        <v>GLOBAL NT</v>
      </c>
      <c r="C81" s="40"/>
      <c r="D81" s="41">
        <v>46036</v>
      </c>
      <c r="E81" s="80"/>
      <c r="F81" s="78">
        <v>10360</v>
      </c>
      <c r="G81" s="43">
        <v>135</v>
      </c>
      <c r="H81" s="38">
        <v>35110</v>
      </c>
      <c r="I81" s="38">
        <v>12</v>
      </c>
      <c r="J81" s="38">
        <v>35125</v>
      </c>
      <c r="K81" s="38">
        <v>12</v>
      </c>
      <c r="L81" s="38">
        <v>51612</v>
      </c>
      <c r="M81" s="38">
        <v>12</v>
      </c>
      <c r="N81" s="38">
        <v>51611</v>
      </c>
      <c r="O81" s="38">
        <v>12</v>
      </c>
    </row>
    <row r="82" spans="1:17" x14ac:dyDescent="0.25">
      <c r="A82" s="39" t="str">
        <f>IF(F82="","",VLOOKUP(F82,Tabelle1[],3))</f>
        <v>VITI</v>
      </c>
      <c r="B82" s="40" t="str">
        <f>IF(F82="","",VLOOKUP(F82,Tabelle1[],2))</f>
        <v>SMIRA</v>
      </c>
      <c r="C82" s="40"/>
      <c r="D82" s="41">
        <v>46036</v>
      </c>
      <c r="E82" s="80"/>
      <c r="F82" s="78">
        <v>10352</v>
      </c>
      <c r="G82" s="43">
        <v>46.2</v>
      </c>
      <c r="H82" s="38">
        <v>35109</v>
      </c>
      <c r="I82" s="38">
        <v>12</v>
      </c>
    </row>
    <row r="83" spans="1:17" x14ac:dyDescent="0.25">
      <c r="A83" s="39" t="str">
        <f>IF(F83="","",VLOOKUP(F83,Tabelle1[],3))</f>
        <v>GJILAN</v>
      </c>
      <c r="B83" s="40" t="str">
        <f>IF(F83="","",VLOOKUP(F83,Tabelle1[],2))</f>
        <v>BEKA-1</v>
      </c>
      <c r="C83" s="40"/>
      <c r="D83" s="41">
        <v>46036</v>
      </c>
      <c r="E83" s="80"/>
      <c r="F83" s="78">
        <v>10303</v>
      </c>
      <c r="G83" s="43">
        <v>16</v>
      </c>
      <c r="H83" s="38">
        <v>56117</v>
      </c>
      <c r="I83" s="38">
        <v>4</v>
      </c>
    </row>
    <row r="84" spans="1:17" x14ac:dyDescent="0.25">
      <c r="A84" s="39" t="str">
        <f>IF(F84="","",VLOOKUP(F84,Tabelle1[],3))</f>
        <v>VITI</v>
      </c>
      <c r="B84" s="40" t="str">
        <f>IF(F84="","",VLOOKUP(F84,Tabelle1[],2))</f>
        <v>DARDANIA</v>
      </c>
      <c r="C84" s="40"/>
      <c r="D84" s="41">
        <v>46036</v>
      </c>
      <c r="E84" s="80"/>
      <c r="F84" s="78">
        <v>10332</v>
      </c>
      <c r="G84" s="43">
        <v>46.2</v>
      </c>
      <c r="H84" s="38">
        <v>35125</v>
      </c>
      <c r="I84" s="38">
        <v>12</v>
      </c>
    </row>
    <row r="85" spans="1:17" x14ac:dyDescent="0.25">
      <c r="A85" s="39" t="str">
        <f>IF(F85="","",VLOOKUP(F85,Tabelle1[],3))</f>
        <v>MALISHEVE</v>
      </c>
      <c r="B85" s="40" t="str">
        <f>IF(F85="","",VLOOKUP(F85,Tabelle1[],2))</f>
        <v>BAU HOME</v>
      </c>
      <c r="C85" s="40"/>
      <c r="D85" s="41">
        <v>46036</v>
      </c>
      <c r="E85" s="80"/>
      <c r="F85" s="78">
        <v>20324</v>
      </c>
      <c r="G85" s="43">
        <v>46.2</v>
      </c>
      <c r="H85" s="38">
        <v>35110</v>
      </c>
      <c r="I85" s="38">
        <v>12</v>
      </c>
    </row>
    <row r="86" spans="1:17" x14ac:dyDescent="0.25">
      <c r="A86" s="39" t="str">
        <f>IF(F86="","",VLOOKUP(F86,Tabelle1[],3))</f>
        <v>RAHOVEC</v>
      </c>
      <c r="B86" s="40" t="str">
        <f>IF(F86="","",VLOOKUP(F86,Tabelle1[],2))</f>
        <v>CONDOR</v>
      </c>
      <c r="C86" s="40"/>
      <c r="D86" s="41">
        <v>46036</v>
      </c>
      <c r="E86" s="80"/>
      <c r="F86" s="78">
        <v>20307</v>
      </c>
      <c r="G86" s="43">
        <v>299</v>
      </c>
      <c r="H86" s="38">
        <v>35111</v>
      </c>
      <c r="I86" s="38">
        <v>24</v>
      </c>
      <c r="J86" s="38">
        <v>35112</v>
      </c>
      <c r="K86" s="38">
        <v>12</v>
      </c>
      <c r="L86" s="38">
        <v>66701</v>
      </c>
      <c r="M86" s="38">
        <v>12</v>
      </c>
      <c r="N86" s="38">
        <v>51612</v>
      </c>
      <c r="O86" s="38">
        <v>36</v>
      </c>
      <c r="P86" s="38">
        <v>49644</v>
      </c>
      <c r="Q86" s="38">
        <v>4</v>
      </c>
    </row>
    <row r="87" spans="1:17" x14ac:dyDescent="0.25">
      <c r="A87" s="39" t="str">
        <f>IF(F87="","",VLOOKUP(F87,Tabelle1[],3))</f>
        <v>MALISHEVE</v>
      </c>
      <c r="B87" s="40" t="str">
        <f>IF(F87="","",VLOOKUP(F87,Tabelle1[],2))</f>
        <v>HAZROLLI</v>
      </c>
      <c r="C87" s="40"/>
      <c r="D87" s="41">
        <v>46036</v>
      </c>
      <c r="E87" s="80"/>
      <c r="F87" s="78">
        <v>20301</v>
      </c>
      <c r="G87" s="43">
        <v>73.8</v>
      </c>
      <c r="H87" s="38">
        <v>35112</v>
      </c>
      <c r="I87" s="38">
        <v>12</v>
      </c>
      <c r="J87" s="38">
        <v>51612</v>
      </c>
      <c r="K87" s="38">
        <v>12</v>
      </c>
    </row>
    <row r="88" spans="1:17" x14ac:dyDescent="0.25">
      <c r="A88" s="39" t="str">
        <f>IF(F88="","",VLOOKUP(F88,Tabelle1[],3))</f>
        <v>MALISHEVE</v>
      </c>
      <c r="B88" s="40" t="str">
        <f>IF(F88="","",VLOOKUP(F88,Tabelle1[],2))</f>
        <v>BARDHI-M</v>
      </c>
      <c r="C88" s="40"/>
      <c r="D88" s="41">
        <v>46036</v>
      </c>
      <c r="E88" s="80"/>
      <c r="F88" s="78">
        <v>20331</v>
      </c>
      <c r="G88" s="43">
        <v>277.2</v>
      </c>
      <c r="H88" s="38">
        <v>35121</v>
      </c>
      <c r="I88" s="38">
        <v>24</v>
      </c>
      <c r="J88" s="38">
        <v>35110</v>
      </c>
      <c r="K88" s="38">
        <v>12</v>
      </c>
      <c r="L88" s="38">
        <v>35111</v>
      </c>
      <c r="M88" s="38">
        <v>12</v>
      </c>
      <c r="N88" s="38">
        <v>35113</v>
      </c>
      <c r="O88" s="38">
        <v>12</v>
      </c>
      <c r="P88" s="38">
        <v>35115</v>
      </c>
      <c r="Q88" s="38">
        <v>12</v>
      </c>
    </row>
    <row r="89" spans="1:17" x14ac:dyDescent="0.25">
      <c r="A89" s="39" t="str">
        <f>IF(F89="","",VLOOKUP(F89,Tabelle1[],3))</f>
        <v>MALISHEVE</v>
      </c>
      <c r="B89" s="40" t="str">
        <f>IF(F89="","",VLOOKUP(F89,Tabelle1[],2))</f>
        <v>BEREQETI</v>
      </c>
      <c r="C89" s="40"/>
      <c r="D89" s="41">
        <v>46036</v>
      </c>
      <c r="E89" s="80"/>
      <c r="F89" s="78">
        <v>20321</v>
      </c>
      <c r="G89" s="43">
        <v>138.6</v>
      </c>
      <c r="H89" s="38">
        <v>35109</v>
      </c>
      <c r="I89" s="38">
        <v>12</v>
      </c>
      <c r="J89" s="38">
        <v>35121</v>
      </c>
      <c r="K89" s="38">
        <v>24</v>
      </c>
    </row>
    <row r="90" spans="1:17" x14ac:dyDescent="0.25">
      <c r="A90" s="39" t="str">
        <f>IF(F90="","",VLOOKUP(F90,Tabelle1[],3))</f>
        <v>MALISHEVE</v>
      </c>
      <c r="B90" s="40" t="str">
        <f>IF(F90="","",VLOOKUP(F90,Tabelle1[],2))</f>
        <v>AGRO-FARM</v>
      </c>
      <c r="C90" s="40"/>
      <c r="D90" s="41">
        <v>46036</v>
      </c>
      <c r="E90" s="80"/>
      <c r="F90" s="78">
        <v>20304</v>
      </c>
      <c r="G90" s="43">
        <v>136</v>
      </c>
      <c r="H90" s="38">
        <v>37112</v>
      </c>
      <c r="I90" s="38">
        <v>240</v>
      </c>
      <c r="J90" s="38">
        <v>50912</v>
      </c>
      <c r="K90" s="38">
        <v>5</v>
      </c>
    </row>
    <row r="91" spans="1:17" x14ac:dyDescent="0.25">
      <c r="A91" s="39" t="str">
        <f>IF(F91="","",VLOOKUP(F91,Tabelle1[],3))</f>
        <v>RAHOVEC</v>
      </c>
      <c r="B91" s="40" t="str">
        <f>IF(F91="","",VLOOKUP(F91,Tabelle1[],2))</f>
        <v>DURGUTI 3</v>
      </c>
      <c r="C91" s="40"/>
      <c r="D91" s="41">
        <v>46036</v>
      </c>
      <c r="E91" s="80"/>
      <c r="F91" s="78">
        <v>20313</v>
      </c>
      <c r="G91" s="43">
        <v>42.6</v>
      </c>
      <c r="H91" s="38">
        <v>51611</v>
      </c>
      <c r="I91" s="38">
        <v>12</v>
      </c>
      <c r="J91" s="38">
        <v>51612</v>
      </c>
      <c r="K91" s="38">
        <v>12</v>
      </c>
    </row>
    <row r="92" spans="1:17" x14ac:dyDescent="0.25">
      <c r="A92" s="39" t="str">
        <f>IF(F92="","",VLOOKUP(F92,Tabelle1[],3))</f>
        <v>RAHOVEC</v>
      </c>
      <c r="B92" s="40" t="str">
        <f>IF(F92="","",VLOOKUP(F92,Tabelle1[],2))</f>
        <v>SHEHU-A</v>
      </c>
      <c r="C92" s="40"/>
      <c r="D92" s="41">
        <v>46036</v>
      </c>
      <c r="E92" s="80"/>
      <c r="F92" s="78">
        <v>20317</v>
      </c>
      <c r="G92" s="43">
        <v>26.5</v>
      </c>
      <c r="H92" s="38">
        <v>39505</v>
      </c>
      <c r="I92" s="38">
        <v>3</v>
      </c>
      <c r="J92" s="38">
        <v>44001</v>
      </c>
      <c r="K92" s="38">
        <v>5</v>
      </c>
    </row>
    <row r="93" spans="1:17" x14ac:dyDescent="0.25">
      <c r="A93" s="39" t="str">
        <f>IF(F93="","",VLOOKUP(F93,Tabelle1[],3))</f>
        <v>RAHOVEC</v>
      </c>
      <c r="B93" s="40" t="str">
        <f>IF(F93="","",VLOOKUP(F93,Tabelle1[],2))</f>
        <v>URA</v>
      </c>
      <c r="C93" s="40"/>
      <c r="D93" s="41">
        <v>46036</v>
      </c>
      <c r="E93" s="80"/>
      <c r="F93" s="78">
        <v>20314</v>
      </c>
      <c r="G93" s="43">
        <v>107.4</v>
      </c>
      <c r="H93" s="38">
        <v>35110</v>
      </c>
      <c r="I93" s="38">
        <v>24</v>
      </c>
      <c r="J93" s="38">
        <v>51611</v>
      </c>
      <c r="K93" s="38">
        <v>12</v>
      </c>
    </row>
    <row r="94" spans="1:17" x14ac:dyDescent="0.25">
      <c r="A94" s="39" t="str">
        <f>IF(F94="","",VLOOKUP(F94,Tabelle1[],3))</f>
        <v>HOME KIM TEC</v>
      </c>
      <c r="B94" s="40" t="str">
        <f>IF(F94="","",VLOOKUP(F94,Tabelle1[],2))</f>
        <v>ARBENI BIOBLIC</v>
      </c>
      <c r="C94" s="40"/>
      <c r="D94" s="41">
        <v>46036</v>
      </c>
      <c r="E94" s="80"/>
      <c r="F94" s="78">
        <v>40003</v>
      </c>
      <c r="G94" s="43">
        <v>158</v>
      </c>
      <c r="H94" s="38">
        <v>20001</v>
      </c>
      <c r="I94" s="38">
        <v>80</v>
      </c>
      <c r="J94" s="38">
        <v>30275</v>
      </c>
      <c r="K94" s="38">
        <v>50</v>
      </c>
    </row>
    <row r="95" spans="1:17" x14ac:dyDescent="0.25">
      <c r="A95" s="39" t="str">
        <f>IF(F95="","",VLOOKUP(F95,Tabelle1[],3))</f>
        <v>VUSHTRRI</v>
      </c>
      <c r="B95" s="40" t="str">
        <f>IF(F95="","",VLOOKUP(F95,Tabelle1[],2))</f>
        <v>NDRIQIMI</v>
      </c>
      <c r="C95" s="40"/>
      <c r="D95" s="41">
        <v>46037</v>
      </c>
      <c r="E95" s="80"/>
      <c r="F95" s="78">
        <v>10418</v>
      </c>
      <c r="G95" s="43">
        <v>231</v>
      </c>
      <c r="H95" s="38">
        <v>35110</v>
      </c>
      <c r="I95" s="38">
        <v>48</v>
      </c>
      <c r="J95" s="38">
        <v>35111</v>
      </c>
      <c r="K95" s="38">
        <v>12</v>
      </c>
    </row>
    <row r="96" spans="1:17" x14ac:dyDescent="0.25">
      <c r="A96" s="39" t="str">
        <f>IF(F96="","",VLOOKUP(F96,Tabelle1[],3))</f>
        <v>MITROVICE</v>
      </c>
      <c r="B96" s="40" t="str">
        <f>IF(F96="","",VLOOKUP(F96,Tabelle1[],2))</f>
        <v>GRANITI</v>
      </c>
      <c r="C96" s="40"/>
      <c r="D96" s="41">
        <v>46037</v>
      </c>
      <c r="E96" s="80"/>
      <c r="F96" s="78">
        <v>10410</v>
      </c>
      <c r="G96" s="43">
        <v>92.4</v>
      </c>
      <c r="H96" s="38">
        <v>35112</v>
      </c>
      <c r="I96" s="38">
        <v>12</v>
      </c>
      <c r="J96" s="38">
        <v>35113</v>
      </c>
      <c r="K96" s="38">
        <v>12</v>
      </c>
    </row>
    <row r="97" spans="1:15" x14ac:dyDescent="0.25">
      <c r="A97" s="39" t="str">
        <f>IF(F97="","",VLOOKUP(F97,Tabelle1[],3))</f>
        <v>MITROVICE</v>
      </c>
      <c r="B97" s="40" t="str">
        <f>IF(F97="","",VLOOKUP(F97,Tabelle1[],2))</f>
        <v>AGRONI</v>
      </c>
      <c r="C97" s="40"/>
      <c r="D97" s="41">
        <v>46037</v>
      </c>
      <c r="E97" s="80"/>
      <c r="F97" s="78">
        <v>10406</v>
      </c>
      <c r="G97" s="43">
        <v>51.1</v>
      </c>
      <c r="H97" s="38">
        <v>55718</v>
      </c>
      <c r="I97" s="38">
        <v>3</v>
      </c>
      <c r="J97" s="38">
        <v>50912</v>
      </c>
      <c r="K97" s="38">
        <v>3</v>
      </c>
      <c r="L97" s="38">
        <v>56117</v>
      </c>
      <c r="M97" s="38">
        <v>3</v>
      </c>
      <c r="N97" s="38">
        <v>44001</v>
      </c>
      <c r="O97" s="38">
        <v>2</v>
      </c>
    </row>
    <row r="98" spans="1:15" x14ac:dyDescent="0.25">
      <c r="A98" s="39" t="str">
        <f>IF(F98="","",VLOOKUP(F98,Tabelle1[],3))</f>
        <v>MITROVICE</v>
      </c>
      <c r="B98" s="40" t="str">
        <f>IF(F98="","",VLOOKUP(F98,Tabelle1[],2))</f>
        <v>UNIVERZAL</v>
      </c>
      <c r="C98" s="40"/>
      <c r="D98" s="41">
        <v>46037</v>
      </c>
      <c r="E98" s="80"/>
      <c r="F98" s="78">
        <v>10413</v>
      </c>
      <c r="G98" s="43">
        <v>92.4</v>
      </c>
      <c r="H98" s="38">
        <v>35112</v>
      </c>
      <c r="I98" s="38">
        <v>12</v>
      </c>
      <c r="J98" s="38">
        <v>35121</v>
      </c>
      <c r="K98" s="38">
        <v>12</v>
      </c>
    </row>
    <row r="99" spans="1:15" x14ac:dyDescent="0.25">
      <c r="A99" s="39" t="str">
        <f>IF(F99="","",VLOOKUP(F99,Tabelle1[],3))</f>
        <v>FERIZAJ</v>
      </c>
      <c r="B99" s="40" t="str">
        <f>IF(F99="","",VLOOKUP(F99,Tabelle1[],2))</f>
        <v>BEKA</v>
      </c>
      <c r="C99" s="40"/>
      <c r="D99" s="41">
        <v>46038</v>
      </c>
      <c r="E99" s="80"/>
      <c r="F99" s="78">
        <v>10539</v>
      </c>
      <c r="G99" s="43">
        <v>46.2</v>
      </c>
      <c r="H99" s="38">
        <v>35110</v>
      </c>
      <c r="I99" s="38">
        <v>12</v>
      </c>
    </row>
    <row r="100" spans="1:15" x14ac:dyDescent="0.25">
      <c r="A100" s="39" t="str">
        <f>IF(F100="","",VLOOKUP(F100,Tabelle1[],3))</f>
        <v>FERIZAJ</v>
      </c>
      <c r="B100" s="40" t="str">
        <f>IF(F100="","",VLOOKUP(F100,Tabelle1[],2))</f>
        <v>CARRALEVA 1</v>
      </c>
      <c r="C100" s="40"/>
      <c r="D100" s="41">
        <v>46038</v>
      </c>
      <c r="E100" s="80"/>
      <c r="F100" s="78">
        <v>10504</v>
      </c>
      <c r="G100" s="43">
        <v>92.4</v>
      </c>
      <c r="H100" s="38">
        <v>35112</v>
      </c>
      <c r="I100" s="38">
        <v>12</v>
      </c>
      <c r="J100" s="38">
        <v>35128</v>
      </c>
      <c r="K100" s="38">
        <v>12</v>
      </c>
    </row>
    <row r="101" spans="1:15" x14ac:dyDescent="0.25">
      <c r="A101" s="39" t="str">
        <f>IF(F101="","",VLOOKUP(F101,Tabelle1[],3))</f>
        <v>FERIZAJ</v>
      </c>
      <c r="B101" s="40" t="str">
        <f>IF(F101="","",VLOOKUP(F101,Tabelle1[],2))</f>
        <v>LONI</v>
      </c>
      <c r="C101" s="40"/>
      <c r="D101" s="41">
        <v>46038</v>
      </c>
      <c r="E101" s="80"/>
      <c r="F101" s="78">
        <v>10509</v>
      </c>
      <c r="G101" s="43">
        <v>86.4</v>
      </c>
      <c r="H101" s="38">
        <v>50912</v>
      </c>
      <c r="I101" s="38">
        <v>12</v>
      </c>
    </row>
    <row r="102" spans="1:15" x14ac:dyDescent="0.25">
      <c r="A102" s="39" t="str">
        <f>IF(F102="","",VLOOKUP(F102,Tabelle1[],3))</f>
        <v>FERIZAJ</v>
      </c>
      <c r="B102" s="40" t="str">
        <f>IF(F102="","",VLOOKUP(F102,Tabelle1[],2))</f>
        <v>LITA</v>
      </c>
      <c r="C102" s="40"/>
      <c r="D102" s="41">
        <v>46038</v>
      </c>
      <c r="E102" s="80"/>
      <c r="F102" s="78">
        <v>10542</v>
      </c>
      <c r="G102" s="43">
        <v>46.2</v>
      </c>
      <c r="H102" s="38">
        <v>35111</v>
      </c>
      <c r="I102" s="38">
        <v>12</v>
      </c>
    </row>
    <row r="103" spans="1:15" x14ac:dyDescent="0.25">
      <c r="A103" s="39" t="str">
        <f>IF(F103="","",VLOOKUP(F103,Tabelle1[],3))</f>
        <v>FERIZAJ</v>
      </c>
      <c r="B103" s="40" t="str">
        <f>IF(F103="","",VLOOKUP(F103,Tabelle1[],2))</f>
        <v>REAL COLOR 2</v>
      </c>
      <c r="C103" s="40"/>
      <c r="D103" s="41">
        <v>46038</v>
      </c>
      <c r="E103" s="80"/>
      <c r="F103" s="78">
        <v>10507</v>
      </c>
      <c r="G103" s="43">
        <v>138.6</v>
      </c>
      <c r="H103" s="38">
        <v>35115</v>
      </c>
      <c r="I103" s="38">
        <v>12</v>
      </c>
      <c r="J103" s="38">
        <v>35108</v>
      </c>
      <c r="K103" s="38">
        <v>12</v>
      </c>
      <c r="L103" s="38">
        <v>35121</v>
      </c>
      <c r="M103" s="38">
        <v>12</v>
      </c>
    </row>
    <row r="104" spans="1:15" x14ac:dyDescent="0.25">
      <c r="A104" s="39" t="str">
        <f>IF(F104="","",VLOOKUP(F104,Tabelle1[],3))</f>
        <v>FERIZAJ</v>
      </c>
      <c r="B104" s="40" t="str">
        <f>IF(F104="","",VLOOKUP(F104,Tabelle1[],2))</f>
        <v>CARRALEVA 2</v>
      </c>
      <c r="C104" s="40"/>
      <c r="D104" s="41">
        <v>46038</v>
      </c>
      <c r="E104" s="80"/>
      <c r="F104" s="78">
        <v>10508</v>
      </c>
      <c r="G104" s="43">
        <v>92.4</v>
      </c>
      <c r="H104" s="38">
        <v>35110</v>
      </c>
      <c r="I104" s="38">
        <v>12</v>
      </c>
      <c r="J104" s="38">
        <v>35114</v>
      </c>
      <c r="K104" s="38">
        <v>12</v>
      </c>
    </row>
    <row r="105" spans="1:15" x14ac:dyDescent="0.25">
      <c r="A105" s="39" t="str">
        <f>IF(F105="","",VLOOKUP(F105,Tabelle1[],3))</f>
        <v>PODUJEVE</v>
      </c>
      <c r="B105" s="40" t="str">
        <f>IF(F105="","",VLOOKUP(F105,Tabelle1[],2))</f>
        <v>ALBANI</v>
      </c>
      <c r="C105" s="40"/>
      <c r="D105" s="41">
        <v>46039</v>
      </c>
      <c r="E105" s="80"/>
      <c r="F105" s="78">
        <v>10635</v>
      </c>
      <c r="G105" s="43">
        <v>46.2</v>
      </c>
      <c r="H105" s="38">
        <v>35113</v>
      </c>
      <c r="I105" s="38">
        <v>12</v>
      </c>
    </row>
    <row r="106" spans="1:15" x14ac:dyDescent="0.25">
      <c r="A106" s="39" t="str">
        <f>IF(F106="","",VLOOKUP(F106,Tabelle1[],3))</f>
        <v>PODUJEVE</v>
      </c>
      <c r="B106" s="40" t="str">
        <f>IF(F106="","",VLOOKUP(F106,Tabelle1[],2))</f>
        <v>ALBANI</v>
      </c>
      <c r="C106" s="40"/>
      <c r="D106" s="41">
        <v>46039</v>
      </c>
      <c r="E106" s="80"/>
      <c r="F106" s="78">
        <v>10636</v>
      </c>
      <c r="G106" s="43">
        <v>92.4</v>
      </c>
      <c r="H106" s="38">
        <v>35110</v>
      </c>
      <c r="I106" s="38">
        <v>12</v>
      </c>
      <c r="J106" s="38">
        <v>35111</v>
      </c>
      <c r="K106" s="38">
        <v>12</v>
      </c>
    </row>
    <row r="107" spans="1:15" x14ac:dyDescent="0.25">
      <c r="A107" s="39" t="str">
        <f>IF(F107="","",VLOOKUP(F107,Tabelle1[],3))</f>
        <v>PODUJEVE</v>
      </c>
      <c r="B107" s="40" t="str">
        <f>IF(F107="","",VLOOKUP(F107,Tabelle1[],2))</f>
        <v>KUJTA</v>
      </c>
      <c r="C107" s="40"/>
      <c r="D107" s="41">
        <v>46039</v>
      </c>
      <c r="E107" s="80"/>
      <c r="F107" s="78">
        <v>10625</v>
      </c>
      <c r="G107" s="43">
        <v>138.6</v>
      </c>
      <c r="H107" s="38">
        <v>35115</v>
      </c>
      <c r="I107" s="38">
        <v>12</v>
      </c>
      <c r="J107" s="38">
        <v>35128</v>
      </c>
      <c r="K107" s="38">
        <v>12</v>
      </c>
      <c r="L107" s="38">
        <v>35114</v>
      </c>
      <c r="M107" s="38">
        <v>12</v>
      </c>
    </row>
    <row r="108" spans="1:15" x14ac:dyDescent="0.25">
      <c r="A108" s="39" t="str">
        <f>IF(F108="","",VLOOKUP(F108,Tabelle1[],3))</f>
        <v>PODUJEVE</v>
      </c>
      <c r="B108" s="40" t="str">
        <f>IF(F108="","",VLOOKUP(F108,Tabelle1[],2))</f>
        <v>SABITI</v>
      </c>
      <c r="C108" s="40"/>
      <c r="D108" s="41">
        <v>46039</v>
      </c>
      <c r="E108" s="80"/>
      <c r="F108" s="78">
        <v>10605</v>
      </c>
      <c r="G108" s="43">
        <v>60</v>
      </c>
      <c r="H108" s="38">
        <v>54412</v>
      </c>
      <c r="I108" s="38">
        <v>12</v>
      </c>
      <c r="J108" s="38">
        <v>50912</v>
      </c>
      <c r="K108" s="38">
        <v>5</v>
      </c>
    </row>
    <row r="109" spans="1:15" x14ac:dyDescent="0.25">
      <c r="A109" s="39" t="str">
        <f>IF(F109="","",VLOOKUP(F109,Tabelle1[],3))</f>
        <v>PODUJEVE</v>
      </c>
      <c r="B109" s="40" t="str">
        <f>IF(F109="","",VLOOKUP(F109,Tabelle1[],2))</f>
        <v>TE ZENA</v>
      </c>
      <c r="C109" s="40"/>
      <c r="D109" s="41">
        <v>46039</v>
      </c>
      <c r="E109" s="80"/>
      <c r="F109" s="78">
        <v>10616</v>
      </c>
      <c r="G109" s="43">
        <v>46.2</v>
      </c>
      <c r="H109" s="38">
        <v>35121</v>
      </c>
      <c r="I109" s="38">
        <v>12</v>
      </c>
    </row>
    <row r="110" spans="1:15" x14ac:dyDescent="0.25">
      <c r="A110" s="39" t="str">
        <f>IF(F110="","",VLOOKUP(F110,Tabelle1[],3))</f>
        <v>HOME KIM TEC</v>
      </c>
      <c r="B110" s="40" t="str">
        <f>IF(F110="","",VLOOKUP(F110,Tabelle1[],2))</f>
        <v>ARBENI BIOBLIC</v>
      </c>
      <c r="C110" s="40"/>
      <c r="D110" s="41">
        <v>46039</v>
      </c>
      <c r="E110" s="80"/>
      <c r="F110" s="78">
        <v>40003</v>
      </c>
      <c r="G110" s="43">
        <v>151.5</v>
      </c>
      <c r="H110" s="38">
        <v>20001</v>
      </c>
      <c r="I110" s="38">
        <v>90</v>
      </c>
      <c r="J110" s="38">
        <v>30275</v>
      </c>
      <c r="K110" s="38">
        <v>40</v>
      </c>
    </row>
    <row r="111" spans="1:15" x14ac:dyDescent="0.25">
      <c r="A111" s="39" t="str">
        <f>IF(F111="","",VLOOKUP(F111,Tabelle1[],3))</f>
        <v>PRISHTINE</v>
      </c>
      <c r="B111" s="40" t="str">
        <f>IF(F111="","",VLOOKUP(F111,Tabelle1[],2))</f>
        <v>HIDROELDI</v>
      </c>
      <c r="C111" s="40"/>
      <c r="D111" s="41">
        <v>46041</v>
      </c>
      <c r="E111" s="80"/>
      <c r="F111" s="78">
        <v>10133</v>
      </c>
      <c r="G111" s="43">
        <v>46.2</v>
      </c>
      <c r="H111" s="38">
        <v>35114</v>
      </c>
      <c r="I111" s="38">
        <v>12</v>
      </c>
    </row>
    <row r="112" spans="1:15" x14ac:dyDescent="0.25">
      <c r="A112" s="39" t="str">
        <f>IF(F112="","",VLOOKUP(F112,Tabelle1[],3))</f>
        <v>PRISHTINE</v>
      </c>
      <c r="B112" s="40" t="str">
        <f>IF(F112="","",VLOOKUP(F112,Tabelle1[],2))</f>
        <v>KADIJOLLET</v>
      </c>
      <c r="C112" s="40"/>
      <c r="D112" s="41">
        <v>46041</v>
      </c>
      <c r="E112" s="80"/>
      <c r="F112" s="78">
        <v>10111</v>
      </c>
      <c r="G112" s="43">
        <v>138.6</v>
      </c>
      <c r="H112" s="38">
        <v>35108</v>
      </c>
      <c r="I112" s="38">
        <v>12</v>
      </c>
      <c r="J112" s="38">
        <v>35109</v>
      </c>
      <c r="K112" s="38">
        <v>12</v>
      </c>
      <c r="L112" s="38">
        <v>35112</v>
      </c>
      <c r="M112" s="38">
        <v>12</v>
      </c>
    </row>
    <row r="113" spans="1:35" x14ac:dyDescent="0.25">
      <c r="A113" s="39" t="str">
        <f>IF(F113="","",VLOOKUP(F113,Tabelle1[],3))</f>
        <v>BARDHOSH</v>
      </c>
      <c r="B113" s="40" t="str">
        <f>IF(F113="","",VLOOKUP(F113,Tabelle1[],2))</f>
        <v>QELA</v>
      </c>
      <c r="C113" s="40"/>
      <c r="D113" s="41">
        <v>46041</v>
      </c>
      <c r="E113" s="80"/>
      <c r="F113" s="78">
        <v>10114</v>
      </c>
      <c r="G113" s="43">
        <v>17.5</v>
      </c>
      <c r="H113" s="38">
        <v>55718</v>
      </c>
      <c r="I113" s="38">
        <v>5</v>
      </c>
    </row>
    <row r="114" spans="1:35" x14ac:dyDescent="0.25">
      <c r="A114" s="39" t="str">
        <f>IF(F114="","",VLOOKUP(F114,Tabelle1[],3))</f>
        <v>PRISHTINE</v>
      </c>
      <c r="B114" s="40" t="str">
        <f>IF(F114="","",VLOOKUP(F114,Tabelle1[],2))</f>
        <v>EURO COLORS</v>
      </c>
      <c r="C114" s="40"/>
      <c r="D114" s="41">
        <v>46041</v>
      </c>
      <c r="E114" s="80"/>
      <c r="F114" s="78">
        <v>10134</v>
      </c>
      <c r="G114" s="43">
        <v>69.599999999999994</v>
      </c>
      <c r="H114" s="38">
        <v>66701</v>
      </c>
      <c r="I114" s="38">
        <v>12</v>
      </c>
    </row>
    <row r="115" spans="1:35" x14ac:dyDescent="0.25">
      <c r="A115" s="39" t="str">
        <f>IF(F115="","",VLOOKUP(F115,Tabelle1[],3))</f>
        <v>PRISHTINE</v>
      </c>
      <c r="B115" s="40" t="str">
        <f>IF(F115="","",VLOOKUP(F115,Tabelle1[],2))</f>
        <v>JETARI</v>
      </c>
      <c r="C115" s="40"/>
      <c r="D115" s="41">
        <v>46041</v>
      </c>
      <c r="E115" s="80"/>
      <c r="F115" s="78">
        <v>10104</v>
      </c>
      <c r="G115" s="43">
        <v>46.2</v>
      </c>
      <c r="H115" s="38">
        <v>35128</v>
      </c>
      <c r="I115" s="38">
        <v>12</v>
      </c>
    </row>
    <row r="116" spans="1:35" x14ac:dyDescent="0.25">
      <c r="A116" s="39" t="str">
        <f>IF(F116="","",VLOOKUP(F116,Tabelle1[],3))</f>
        <v>PEJE</v>
      </c>
      <c r="B116" s="40" t="str">
        <f>IF(F116="","",VLOOKUP(F116,Tabelle1[],2))</f>
        <v>CAMA BAU</v>
      </c>
      <c r="C116" s="40"/>
      <c r="D116" s="41">
        <v>46041</v>
      </c>
      <c r="E116" s="80"/>
      <c r="F116" s="78">
        <v>20121</v>
      </c>
      <c r="G116" s="43">
        <v>720</v>
      </c>
      <c r="H116" s="38">
        <v>35108</v>
      </c>
      <c r="I116" s="38">
        <v>12</v>
      </c>
      <c r="J116" s="38">
        <v>35109</v>
      </c>
      <c r="K116" s="38">
        <v>12</v>
      </c>
      <c r="L116" s="38">
        <v>35110</v>
      </c>
      <c r="M116" s="38">
        <v>12</v>
      </c>
      <c r="N116" s="38">
        <v>35111</v>
      </c>
      <c r="O116" s="38">
        <v>12</v>
      </c>
      <c r="P116" s="38">
        <v>35112</v>
      </c>
      <c r="Q116" s="38">
        <v>12</v>
      </c>
      <c r="R116" s="38">
        <v>35113</v>
      </c>
      <c r="S116" s="38">
        <v>12</v>
      </c>
      <c r="T116" s="38">
        <v>35114</v>
      </c>
      <c r="U116" s="38">
        <v>12</v>
      </c>
      <c r="V116" s="38">
        <v>35115</v>
      </c>
      <c r="W116" s="38">
        <v>12</v>
      </c>
      <c r="X116" s="38">
        <v>35119</v>
      </c>
      <c r="Y116" s="38">
        <v>12</v>
      </c>
      <c r="Z116" s="38">
        <v>35121</v>
      </c>
      <c r="AA116" s="38">
        <v>12</v>
      </c>
      <c r="AB116" s="38">
        <v>35125</v>
      </c>
      <c r="AC116" s="38">
        <v>12</v>
      </c>
      <c r="AD116" s="38">
        <v>35128</v>
      </c>
      <c r="AE116" s="38">
        <v>12</v>
      </c>
      <c r="AF116" s="38">
        <v>66701</v>
      </c>
      <c r="AG116" s="38">
        <v>12</v>
      </c>
      <c r="AH116" s="38">
        <v>50912</v>
      </c>
      <c r="AI116" s="38">
        <v>12</v>
      </c>
    </row>
    <row r="117" spans="1:35" x14ac:dyDescent="0.25">
      <c r="A117" s="39" t="str">
        <f>IF(F117="","",VLOOKUP(F117,Tabelle1[],3))</f>
        <v>PEJE</v>
      </c>
      <c r="B117" s="40" t="str">
        <f>IF(F117="","",VLOOKUP(F117,Tabelle1[],2))</f>
        <v>KENA COMERC</v>
      </c>
      <c r="C117" s="40"/>
      <c r="D117" s="41">
        <v>46041</v>
      </c>
      <c r="E117" s="80"/>
      <c r="F117" s="78">
        <v>20109</v>
      </c>
      <c r="G117" s="43">
        <v>137.4</v>
      </c>
      <c r="H117" s="38">
        <v>35110</v>
      </c>
      <c r="I117" s="38">
        <v>12</v>
      </c>
      <c r="J117" s="38">
        <v>35111</v>
      </c>
      <c r="K117" s="38">
        <v>12</v>
      </c>
      <c r="L117" s="38">
        <v>51611</v>
      </c>
      <c r="M117" s="38">
        <v>36</v>
      </c>
    </row>
    <row r="118" spans="1:35" x14ac:dyDescent="0.25">
      <c r="A118" s="39" t="str">
        <f>IF(F118="","",VLOOKUP(F118,Tabelle1[],3))</f>
        <v>PEJE</v>
      </c>
      <c r="B118" s="40" t="str">
        <f>IF(F118="","",VLOOKUP(F118,Tabelle1[],2))</f>
        <v>TECOL 2</v>
      </c>
      <c r="C118" s="40"/>
      <c r="D118" s="41">
        <v>46041</v>
      </c>
      <c r="E118" s="80"/>
      <c r="F118" s="78">
        <v>20111</v>
      </c>
      <c r="G118" s="43">
        <v>44.5</v>
      </c>
      <c r="H118" s="38">
        <v>38136</v>
      </c>
      <c r="I118" s="38">
        <v>12</v>
      </c>
      <c r="J118" s="38">
        <v>31818</v>
      </c>
      <c r="K118" s="38">
        <v>7</v>
      </c>
      <c r="L118" s="38">
        <v>56117</v>
      </c>
      <c r="M118" s="38">
        <v>4</v>
      </c>
    </row>
    <row r="119" spans="1:35" x14ac:dyDescent="0.25">
      <c r="A119" s="39" t="str">
        <f>IF(F119="","",VLOOKUP(F119,Tabelle1[],3))</f>
        <v>PEJE</v>
      </c>
      <c r="B119" s="40" t="str">
        <f>IF(F119="","",VLOOKUP(F119,Tabelle1[],2))</f>
        <v>LULI-C</v>
      </c>
      <c r="C119" s="40"/>
      <c r="D119" s="41">
        <v>46041</v>
      </c>
      <c r="E119" s="80"/>
      <c r="F119" s="78">
        <v>20126</v>
      </c>
      <c r="G119" s="43">
        <v>107.4</v>
      </c>
      <c r="H119" s="38">
        <v>35112</v>
      </c>
      <c r="I119" s="38">
        <v>12</v>
      </c>
      <c r="J119" s="38">
        <v>35128</v>
      </c>
      <c r="K119" s="38">
        <v>12</v>
      </c>
      <c r="L119" s="38">
        <v>51611</v>
      </c>
      <c r="M119" s="38">
        <v>12</v>
      </c>
    </row>
    <row r="120" spans="1:35" x14ac:dyDescent="0.25">
      <c r="A120" s="39" t="str">
        <f>IF(F120="","",VLOOKUP(F120,Tabelle1[],3))</f>
        <v>PEJE</v>
      </c>
      <c r="B120" s="40" t="str">
        <f>IF(F120="","",VLOOKUP(F120,Tabelle1[],2))</f>
        <v>TERMO PROJEKT</v>
      </c>
      <c r="C120" s="40"/>
      <c r="D120" s="41">
        <v>46041</v>
      </c>
      <c r="E120" s="80"/>
      <c r="F120" s="78">
        <v>20127</v>
      </c>
      <c r="G120" s="43">
        <v>102.4</v>
      </c>
      <c r="H120" s="38">
        <v>35109</v>
      </c>
      <c r="I120" s="38">
        <v>12</v>
      </c>
      <c r="J120" s="38">
        <v>35111</v>
      </c>
      <c r="K120" s="38">
        <v>12</v>
      </c>
      <c r="L120" s="38">
        <v>49644</v>
      </c>
      <c r="M120" s="38">
        <v>5</v>
      </c>
    </row>
    <row r="121" spans="1:35" x14ac:dyDescent="0.25">
      <c r="A121" s="39" t="str">
        <f>IF(F121="","",VLOOKUP(F121,Tabelle1[],3))</f>
        <v>PEJE</v>
      </c>
      <c r="B121" s="40" t="str">
        <f>IF(F121="","",VLOOKUP(F121,Tabelle1[],2))</f>
        <v>ENESI</v>
      </c>
      <c r="C121" s="40"/>
      <c r="D121" s="41">
        <v>46041</v>
      </c>
      <c r="E121" s="80"/>
      <c r="F121" s="78">
        <v>20130</v>
      </c>
      <c r="G121" s="43">
        <v>46.2</v>
      </c>
      <c r="H121" s="38">
        <v>35119</v>
      </c>
      <c r="I121" s="38">
        <v>12</v>
      </c>
    </row>
    <row r="122" spans="1:35" x14ac:dyDescent="0.25">
      <c r="A122" s="39" t="str">
        <f>IF(F122="","",VLOOKUP(F122,Tabelle1[],3))</f>
        <v>HOME KIM TEC</v>
      </c>
      <c r="B122" s="40" t="str">
        <f>IF(F122="","",VLOOKUP(F122,Tabelle1[],2))</f>
        <v>FORD BASHKIMI</v>
      </c>
      <c r="C122" s="40"/>
      <c r="D122" s="41">
        <v>46042</v>
      </c>
      <c r="E122" s="80"/>
      <c r="F122" s="78">
        <v>40002</v>
      </c>
      <c r="G122" s="43">
        <v>24</v>
      </c>
      <c r="H122" s="38">
        <v>54412</v>
      </c>
      <c r="I122" s="38">
        <v>12</v>
      </c>
    </row>
    <row r="123" spans="1:35" x14ac:dyDescent="0.25">
      <c r="A123" s="39" t="str">
        <f>IF(F123="","",VLOOKUP(F123,Tabelle1[],3))</f>
        <v>SHTIME</v>
      </c>
      <c r="B123" s="40" t="str">
        <f>IF(F123="","",VLOOKUP(F123,Tabelle1[],2))</f>
        <v>TAULANTI</v>
      </c>
      <c r="C123" s="40"/>
      <c r="D123" s="41">
        <v>46042</v>
      </c>
      <c r="E123" s="80"/>
      <c r="F123" s="78">
        <v>10250</v>
      </c>
      <c r="G123" s="43">
        <v>138.6</v>
      </c>
      <c r="H123" s="38">
        <v>35108</v>
      </c>
      <c r="I123" s="38">
        <v>12</v>
      </c>
      <c r="J123" s="38">
        <v>35125</v>
      </c>
      <c r="K123" s="38">
        <v>24</v>
      </c>
    </row>
    <row r="124" spans="1:35" x14ac:dyDescent="0.25">
      <c r="A124" s="39" t="str">
        <f>IF(F124="","",VLOOKUP(F124,Tabelle1[],3))</f>
        <v>THARAND</v>
      </c>
      <c r="B124" s="40" t="str">
        <f>IF(F124="","",VLOOKUP(F124,Tabelle1[],2))</f>
        <v>TE BESNIKU</v>
      </c>
      <c r="C124" s="40"/>
      <c r="D124" s="41">
        <v>46042</v>
      </c>
      <c r="E124" s="80"/>
      <c r="F124" s="78">
        <v>10201</v>
      </c>
      <c r="G124" s="43">
        <v>46.2</v>
      </c>
      <c r="H124" s="38">
        <v>35108</v>
      </c>
      <c r="I124" s="38">
        <v>12</v>
      </c>
    </row>
    <row r="125" spans="1:35" x14ac:dyDescent="0.25">
      <c r="A125" s="39" t="str">
        <f>IF(F125="","",VLOOKUP(F125,Tabelle1[],3))</f>
        <v>PRIZREN</v>
      </c>
      <c r="B125" s="40" t="str">
        <f>IF(F125="","",VLOOKUP(F125,Tabelle1[],2))</f>
        <v>ARPO</v>
      </c>
      <c r="C125" s="40"/>
      <c r="D125" s="41">
        <v>46042</v>
      </c>
      <c r="E125" s="80"/>
      <c r="F125" s="78">
        <v>10240</v>
      </c>
      <c r="G125" s="43">
        <v>231</v>
      </c>
      <c r="H125" s="38">
        <v>35109</v>
      </c>
      <c r="I125" s="38">
        <v>24</v>
      </c>
      <c r="J125" s="38">
        <v>35121</v>
      </c>
      <c r="K125" s="38">
        <v>24</v>
      </c>
      <c r="L125" s="38">
        <v>35115</v>
      </c>
      <c r="M125" s="38">
        <v>12</v>
      </c>
    </row>
    <row r="126" spans="1:35" x14ac:dyDescent="0.25">
      <c r="A126" s="39" t="str">
        <f>IF(F126="","",VLOOKUP(F126,Tabelle1[],3))</f>
        <v>PRIZREN</v>
      </c>
      <c r="B126" s="40" t="str">
        <f>IF(F126="","",VLOOKUP(F126,Tabelle1[],2))</f>
        <v>BESO KERAMIK</v>
      </c>
      <c r="C126" s="40"/>
      <c r="D126" s="41">
        <v>46042</v>
      </c>
      <c r="E126" s="80"/>
      <c r="F126" s="78">
        <v>10262</v>
      </c>
      <c r="G126" s="43">
        <v>138.6</v>
      </c>
      <c r="H126" s="38">
        <v>35115</v>
      </c>
      <c r="I126" s="38">
        <v>12</v>
      </c>
      <c r="J126" s="38">
        <v>35121</v>
      </c>
      <c r="K126" s="38">
        <v>24</v>
      </c>
    </row>
    <row r="127" spans="1:35" x14ac:dyDescent="0.25">
      <c r="A127" s="39" t="str">
        <f>IF(F127="","",VLOOKUP(F127,Tabelle1[],3))</f>
        <v>PRIZREN</v>
      </c>
      <c r="B127" s="40" t="str">
        <f>IF(F127="","",VLOOKUP(F127,Tabelle1[],2))</f>
        <v>AB SHPK</v>
      </c>
      <c r="C127" s="40"/>
      <c r="D127" s="41">
        <v>46042</v>
      </c>
      <c r="E127" s="80"/>
      <c r="F127" s="78">
        <v>10241</v>
      </c>
      <c r="G127" s="43">
        <v>27.6</v>
      </c>
      <c r="H127" s="38">
        <v>51612</v>
      </c>
      <c r="I127" s="38">
        <v>12</v>
      </c>
    </row>
    <row r="128" spans="1:35" x14ac:dyDescent="0.25">
      <c r="A128" s="39" t="str">
        <f>IF(F128="","",VLOOKUP(F128,Tabelle1[],3))</f>
        <v>PRIZREN</v>
      </c>
      <c r="B128" s="40" t="str">
        <f>IF(F128="","",VLOOKUP(F128,Tabelle1[],2))</f>
        <v>TEMAJ</v>
      </c>
      <c r="C128" s="40"/>
      <c r="D128" s="41">
        <v>46042</v>
      </c>
      <c r="E128" s="80"/>
      <c r="F128" s="78">
        <v>40019</v>
      </c>
      <c r="G128" s="43">
        <v>92.4</v>
      </c>
      <c r="H128" s="38">
        <v>35109</v>
      </c>
      <c r="I128" s="38">
        <v>24</v>
      </c>
    </row>
    <row r="129" spans="1:15" x14ac:dyDescent="0.25">
      <c r="A129" s="39" t="str">
        <f>IF(F129="","",VLOOKUP(F129,Tabelle1[],3))</f>
        <v>KLINE</v>
      </c>
      <c r="B129" s="40" t="str">
        <f>IF(F129="","",VLOOKUP(F129,Tabelle1[],2))</f>
        <v>HOXHA</v>
      </c>
      <c r="C129" s="40"/>
      <c r="D129" s="41">
        <v>46042</v>
      </c>
      <c r="E129" s="80"/>
      <c r="F129" s="78">
        <v>20502</v>
      </c>
      <c r="G129" s="43">
        <v>73.8</v>
      </c>
      <c r="H129" s="38">
        <v>35111</v>
      </c>
      <c r="I129" s="38">
        <v>12</v>
      </c>
      <c r="J129" s="38">
        <v>51612</v>
      </c>
      <c r="K129" s="38">
        <v>12</v>
      </c>
    </row>
    <row r="130" spans="1:15" x14ac:dyDescent="0.25">
      <c r="A130" s="39" t="str">
        <f>IF(F130="","",VLOOKUP(F130,Tabelle1[],3))</f>
        <v>JUNIK</v>
      </c>
      <c r="B130" s="40" t="str">
        <f>IF(F130="","",VLOOKUP(F130,Tabelle1[],2))</f>
        <v>ERENIKU</v>
      </c>
      <c r="C130" s="40"/>
      <c r="D130" s="41">
        <v>46042</v>
      </c>
      <c r="E130" s="80"/>
      <c r="F130" s="78">
        <v>20206</v>
      </c>
      <c r="G130" s="43">
        <v>73.8</v>
      </c>
      <c r="H130" s="38">
        <v>35111</v>
      </c>
      <c r="I130" s="38">
        <v>12</v>
      </c>
      <c r="J130" s="38">
        <v>51612</v>
      </c>
      <c r="K130" s="38">
        <v>12</v>
      </c>
    </row>
    <row r="131" spans="1:15" x14ac:dyDescent="0.25">
      <c r="A131" s="39" t="str">
        <f>IF(F131="","",VLOOKUP(F131,Tabelle1[],3))</f>
        <v>GJAKOVE</v>
      </c>
      <c r="B131" s="40" t="str">
        <f>IF(F131="","",VLOOKUP(F131,Tabelle1[],2))</f>
        <v>INOX 2</v>
      </c>
      <c r="C131" s="40"/>
      <c r="D131" s="41">
        <v>46042</v>
      </c>
      <c r="E131" s="80"/>
      <c r="F131" s="78">
        <v>20212</v>
      </c>
      <c r="G131" s="43">
        <v>115.8</v>
      </c>
      <c r="H131" s="38">
        <v>35110</v>
      </c>
      <c r="I131" s="38">
        <v>12</v>
      </c>
      <c r="J131" s="38">
        <v>66701</v>
      </c>
      <c r="K131" s="38">
        <v>12</v>
      </c>
    </row>
    <row r="132" spans="1:15" x14ac:dyDescent="0.25">
      <c r="A132" s="39" t="str">
        <f>IF(F132="","",VLOOKUP(F132,Tabelle1[],3))</f>
        <v>GJAKOVE</v>
      </c>
      <c r="B132" s="40" t="str">
        <f>IF(F132="","",VLOOKUP(F132,Tabelle1[],2))</f>
        <v>GER COLORS</v>
      </c>
      <c r="C132" s="40"/>
      <c r="D132" s="41">
        <v>46042</v>
      </c>
      <c r="E132" s="80"/>
      <c r="F132" s="78">
        <v>20223</v>
      </c>
      <c r="G132" s="43">
        <v>115.8</v>
      </c>
      <c r="H132" s="38">
        <v>35109</v>
      </c>
      <c r="I132" s="38">
        <v>12</v>
      </c>
      <c r="J132" s="38">
        <v>66701</v>
      </c>
      <c r="K132" s="38">
        <v>12</v>
      </c>
    </row>
    <row r="133" spans="1:15" x14ac:dyDescent="0.25">
      <c r="A133" s="39" t="str">
        <f>IF(F133="","",VLOOKUP(F133,Tabelle1[],3))</f>
        <v>GJAKOVE</v>
      </c>
      <c r="B133" s="40" t="str">
        <f>IF(F133="","",VLOOKUP(F133,Tabelle1[],2))</f>
        <v>HB-DECOR</v>
      </c>
      <c r="C133" s="40"/>
      <c r="D133" s="41">
        <v>46042</v>
      </c>
      <c r="E133" s="80"/>
      <c r="F133" s="78">
        <v>20228</v>
      </c>
      <c r="G133" s="43">
        <v>139.19999999999999</v>
      </c>
      <c r="H133" s="38">
        <v>66702</v>
      </c>
      <c r="I133" s="38">
        <v>24</v>
      </c>
    </row>
    <row r="134" spans="1:15" x14ac:dyDescent="0.25">
      <c r="A134" s="39" t="str">
        <f>IF(F134="","",VLOOKUP(F134,Tabelle1[],3))</f>
        <v>GJAKOVE</v>
      </c>
      <c r="B134" s="40" t="str">
        <f>IF(F134="","",VLOOKUP(F134,Tabelle1[],2))</f>
        <v>DIKI BAU SHPK</v>
      </c>
      <c r="C134" s="40"/>
      <c r="D134" s="41">
        <v>46042</v>
      </c>
      <c r="E134" s="80"/>
      <c r="F134" s="78">
        <v>20227</v>
      </c>
      <c r="G134" s="43">
        <v>92.4</v>
      </c>
      <c r="H134" s="38">
        <v>35121</v>
      </c>
      <c r="I134" s="38">
        <v>12</v>
      </c>
      <c r="J134" s="38">
        <v>35125</v>
      </c>
      <c r="K134" s="38">
        <v>12</v>
      </c>
    </row>
    <row r="135" spans="1:15" x14ac:dyDescent="0.25">
      <c r="A135" s="39" t="str">
        <f>IF(F135="","",VLOOKUP(F135,Tabelle1[],3))</f>
        <v>DEQAN</v>
      </c>
      <c r="B135" s="40" t="str">
        <f>IF(F135="","",VLOOKUP(F135,Tabelle1[],2))</f>
        <v>TE BESIMI</v>
      </c>
      <c r="C135" s="40"/>
      <c r="D135" s="41">
        <v>46042</v>
      </c>
      <c r="E135" s="80"/>
      <c r="F135" s="78">
        <v>20201</v>
      </c>
      <c r="G135" s="43">
        <v>61.2</v>
      </c>
      <c r="H135" s="38">
        <v>50912</v>
      </c>
      <c r="I135" s="38">
        <v>6</v>
      </c>
      <c r="J135" s="38">
        <v>26736</v>
      </c>
      <c r="K135" s="38">
        <v>12</v>
      </c>
    </row>
    <row r="136" spans="1:15" x14ac:dyDescent="0.25">
      <c r="A136" s="39" t="str">
        <f>IF(F136="","",VLOOKUP(F136,Tabelle1[],3))</f>
        <v>VITI</v>
      </c>
      <c r="B136" s="40" t="str">
        <f>IF(F136="","",VLOOKUP(F136,Tabelle1[],2))</f>
        <v>INTERCOM NTP</v>
      </c>
      <c r="C136" s="40"/>
      <c r="D136" s="41">
        <v>46043</v>
      </c>
      <c r="E136" s="80"/>
      <c r="F136" s="78">
        <v>10343</v>
      </c>
      <c r="G136" s="43">
        <v>92.4</v>
      </c>
      <c r="H136" s="38">
        <v>35113</v>
      </c>
      <c r="I136" s="38">
        <v>24</v>
      </c>
    </row>
    <row r="137" spans="1:15" x14ac:dyDescent="0.25">
      <c r="A137" s="39" t="str">
        <f>IF(F137="","",VLOOKUP(F137,Tabelle1[],3))</f>
        <v>GJILAN</v>
      </c>
      <c r="B137" s="40" t="str">
        <f>IF(F137="","",VLOOKUP(F137,Tabelle1[],2))</f>
        <v>IBAK</v>
      </c>
      <c r="C137" s="40"/>
      <c r="D137" s="41">
        <v>46043</v>
      </c>
      <c r="E137" s="80"/>
      <c r="F137" s="78">
        <v>10340</v>
      </c>
      <c r="G137" s="43">
        <v>46.2</v>
      </c>
      <c r="H137" s="38">
        <v>35112</v>
      </c>
      <c r="I137" s="38">
        <v>12</v>
      </c>
    </row>
    <row r="138" spans="1:15" x14ac:dyDescent="0.25">
      <c r="A138" s="39" t="str">
        <f>IF(F138="","",VLOOKUP(F138,Tabelle1[],3))</f>
        <v>GJILAN</v>
      </c>
      <c r="B138" s="40" t="str">
        <f>IF(F138="","",VLOOKUP(F138,Tabelle1[],2))</f>
        <v>BEKA-3</v>
      </c>
      <c r="C138" s="40"/>
      <c r="D138" s="41">
        <v>46043</v>
      </c>
      <c r="E138" s="80"/>
      <c r="F138" s="78">
        <v>10323</v>
      </c>
      <c r="G138" s="43">
        <v>86.4</v>
      </c>
      <c r="H138" s="38">
        <v>50912</v>
      </c>
      <c r="I138" s="38">
        <v>12</v>
      </c>
    </row>
    <row r="139" spans="1:15" x14ac:dyDescent="0.25">
      <c r="A139" s="39" t="str">
        <f>IF(F139="","",VLOOKUP(F139,Tabelle1[],3))</f>
        <v>GJILAN</v>
      </c>
      <c r="B139" s="40" t="str">
        <f>IF(F139="","",VLOOKUP(F139,Tabelle1[],2))</f>
        <v>FUNDAMETI</v>
      </c>
      <c r="C139" s="40"/>
      <c r="D139" s="41">
        <v>46043</v>
      </c>
      <c r="E139" s="80"/>
      <c r="F139" s="78">
        <v>10301</v>
      </c>
      <c r="G139" s="43">
        <v>231</v>
      </c>
      <c r="H139" s="38">
        <v>35121</v>
      </c>
      <c r="I139" s="38">
        <v>24</v>
      </c>
      <c r="J139" s="38">
        <v>35111</v>
      </c>
      <c r="K139" s="38">
        <v>12</v>
      </c>
      <c r="L139" s="38">
        <v>35112</v>
      </c>
      <c r="M139" s="38">
        <v>12</v>
      </c>
      <c r="N139" s="38">
        <v>35119</v>
      </c>
      <c r="O139" s="38">
        <v>12</v>
      </c>
    </row>
    <row r="140" spans="1:15" x14ac:dyDescent="0.25">
      <c r="A140" s="39" t="str">
        <f>IF(F140="","",VLOOKUP(F140,Tabelle1[],3))</f>
        <v>GJILAN</v>
      </c>
      <c r="B140" s="40" t="str">
        <f>IF(F140="","",VLOOKUP(F140,Tabelle1[],2))</f>
        <v>ELIONI-1</v>
      </c>
      <c r="C140" s="40"/>
      <c r="D140" s="41">
        <v>46043</v>
      </c>
      <c r="E140" s="80"/>
      <c r="F140" s="78">
        <v>10306</v>
      </c>
      <c r="G140" s="43">
        <v>46.2</v>
      </c>
      <c r="H140" s="38">
        <v>35112</v>
      </c>
      <c r="I140" s="38">
        <v>12</v>
      </c>
    </row>
    <row r="141" spans="1:15" x14ac:dyDescent="0.25">
      <c r="A141" s="39" t="str">
        <f>IF(F141="","",VLOOKUP(F141,Tabelle1[],3))</f>
        <v>VITI</v>
      </c>
      <c r="B141" s="40" t="str">
        <f>IF(F141="","",VLOOKUP(F141,Tabelle1[],2))</f>
        <v>BALLKANI</v>
      </c>
      <c r="C141" s="40"/>
      <c r="D141" s="41">
        <v>46043</v>
      </c>
      <c r="E141" s="80"/>
      <c r="F141" s="78">
        <v>10350</v>
      </c>
      <c r="G141" s="43">
        <v>92.4</v>
      </c>
      <c r="H141" s="38">
        <v>35113</v>
      </c>
      <c r="I141" s="38">
        <v>12</v>
      </c>
      <c r="J141" s="38">
        <v>35121</v>
      </c>
      <c r="K141" s="38">
        <v>12</v>
      </c>
    </row>
    <row r="142" spans="1:15" x14ac:dyDescent="0.25">
      <c r="A142" s="39" t="str">
        <f>IF(F142="","",VLOOKUP(F142,Tabelle1[],3))</f>
        <v>GJILAN</v>
      </c>
      <c r="B142" s="40" t="str">
        <f>IF(F142="","",VLOOKUP(F142,Tabelle1[],2))</f>
        <v>ERALP</v>
      </c>
      <c r="C142" s="40"/>
      <c r="D142" s="41">
        <v>46043</v>
      </c>
      <c r="E142" s="80"/>
      <c r="F142" s="78">
        <v>10308</v>
      </c>
      <c r="G142" s="43">
        <v>46.2</v>
      </c>
      <c r="H142" s="38">
        <v>35112</v>
      </c>
      <c r="I142" s="38">
        <v>12</v>
      </c>
    </row>
    <row r="143" spans="1:15" x14ac:dyDescent="0.25">
      <c r="A143" s="39" t="str">
        <f>IF(F143="","",VLOOKUP(F143,Tabelle1[],3))</f>
        <v>RAHOVEC</v>
      </c>
      <c r="B143" s="40" t="str">
        <f>IF(F143="","",VLOOKUP(F143,Tabelle1[],2))</f>
        <v>CONDOR</v>
      </c>
      <c r="C143" s="40"/>
      <c r="D143" s="41">
        <v>46043</v>
      </c>
      <c r="E143" s="80"/>
      <c r="F143" s="78">
        <v>20307</v>
      </c>
      <c r="G143" s="43">
        <v>127.2</v>
      </c>
      <c r="H143" s="38">
        <v>35109</v>
      </c>
      <c r="I143" s="38">
        <v>12</v>
      </c>
      <c r="J143" s="38">
        <v>51611</v>
      </c>
      <c r="K143" s="38">
        <v>36</v>
      </c>
      <c r="L143" s="38">
        <v>50912</v>
      </c>
      <c r="M143" s="38">
        <v>4</v>
      </c>
      <c r="N143" s="38">
        <v>49644</v>
      </c>
      <c r="O143" s="38">
        <v>2</v>
      </c>
    </row>
    <row r="144" spans="1:15" x14ac:dyDescent="0.25">
      <c r="A144" s="39" t="str">
        <f>IF(F144="","",VLOOKUP(F144,Tabelle1[],3))</f>
        <v>MALISHEVE</v>
      </c>
      <c r="B144" s="40" t="str">
        <f>IF(F144="","",VLOOKUP(F144,Tabelle1[],2))</f>
        <v>BARDHI-M</v>
      </c>
      <c r="C144" s="40"/>
      <c r="D144" s="41">
        <v>46043</v>
      </c>
      <c r="E144" s="80"/>
      <c r="F144" s="78">
        <v>20331</v>
      </c>
      <c r="G144" s="43">
        <v>92.4</v>
      </c>
      <c r="H144" s="38">
        <v>35109</v>
      </c>
      <c r="I144" s="38">
        <v>12</v>
      </c>
      <c r="J144" s="38">
        <v>35121</v>
      </c>
      <c r="K144" s="38">
        <v>12</v>
      </c>
    </row>
    <row r="145" spans="1:15" x14ac:dyDescent="0.25">
      <c r="A145" s="39" t="str">
        <f>IF(F145="","",VLOOKUP(F145,Tabelle1[],3))</f>
        <v>MALISHEVE</v>
      </c>
      <c r="B145" s="40" t="str">
        <f>IF(F145="","",VLOOKUP(F145,Tabelle1[],2))</f>
        <v>BEREQETI</v>
      </c>
      <c r="C145" s="40"/>
      <c r="D145" s="41">
        <v>46043</v>
      </c>
      <c r="E145" s="80"/>
      <c r="F145" s="78">
        <v>20321</v>
      </c>
      <c r="G145" s="43">
        <v>138.6</v>
      </c>
      <c r="H145" s="38">
        <v>35109</v>
      </c>
      <c r="I145" s="38">
        <v>12</v>
      </c>
      <c r="J145" s="38">
        <v>35121</v>
      </c>
      <c r="K145" s="38">
        <v>24</v>
      </c>
    </row>
    <row r="146" spans="1:15" x14ac:dyDescent="0.25">
      <c r="A146" s="39" t="str">
        <f>IF(F146="","",VLOOKUP(F146,Tabelle1[],3))</f>
        <v>MALISHEVE</v>
      </c>
      <c r="B146" s="40" t="str">
        <f>IF(F146="","",VLOOKUP(F146,Tabelle1[],2))</f>
        <v>FITIMI</v>
      </c>
      <c r="C146" s="40"/>
      <c r="D146" s="41">
        <v>46043</v>
      </c>
      <c r="E146" s="80"/>
      <c r="F146" s="78">
        <v>20306</v>
      </c>
      <c r="G146" s="43">
        <v>101.4</v>
      </c>
      <c r="H146" s="38">
        <v>35111</v>
      </c>
      <c r="I146" s="38">
        <v>12</v>
      </c>
      <c r="J146" s="38">
        <v>51612</v>
      </c>
      <c r="K146" s="38">
        <v>24</v>
      </c>
    </row>
    <row r="147" spans="1:15" x14ac:dyDescent="0.25">
      <c r="A147" s="39" t="str">
        <f>IF(F147="","",VLOOKUP(F147,Tabelle1[],3))</f>
        <v>RAHOVEC</v>
      </c>
      <c r="B147" s="40" t="str">
        <f>IF(F147="","",VLOOKUP(F147,Tabelle1[],2))</f>
        <v>SOPAJ</v>
      </c>
      <c r="C147" s="40"/>
      <c r="D147" s="41">
        <v>46043</v>
      </c>
      <c r="E147" s="80"/>
      <c r="F147" s="78">
        <v>20311</v>
      </c>
      <c r="G147" s="43">
        <v>92.4</v>
      </c>
      <c r="H147" s="38">
        <v>35110</v>
      </c>
      <c r="I147" s="38">
        <v>12</v>
      </c>
      <c r="J147" s="38">
        <v>35111</v>
      </c>
      <c r="K147" s="38">
        <v>12</v>
      </c>
    </row>
    <row r="148" spans="1:15" x14ac:dyDescent="0.25">
      <c r="A148" s="39" t="str">
        <f>IF(F148="","",VLOOKUP(F148,Tabelle1[],3))</f>
        <v>MALISHEVE</v>
      </c>
      <c r="B148" s="40" t="str">
        <f>IF(F148="","",VLOOKUP(F148,Tabelle1[],2))</f>
        <v>AGRO TEC</v>
      </c>
      <c r="C148" s="40"/>
      <c r="D148" s="41">
        <v>46043</v>
      </c>
      <c r="E148" s="80"/>
      <c r="F148" s="78">
        <v>20332</v>
      </c>
      <c r="G148" s="43">
        <v>131.4</v>
      </c>
      <c r="H148" s="38">
        <v>39505</v>
      </c>
      <c r="I148" s="38">
        <v>1</v>
      </c>
      <c r="J148" s="38">
        <v>49644</v>
      </c>
      <c r="K148" s="38">
        <v>3</v>
      </c>
      <c r="L148" s="38">
        <v>50912</v>
      </c>
      <c r="M148" s="38">
        <v>17</v>
      </c>
    </row>
    <row r="149" spans="1:15" x14ac:dyDescent="0.25">
      <c r="A149" s="39" t="str">
        <f>IF(F149="","",VLOOKUP(F149,Tabelle1[],3))</f>
        <v>VUSHTRRI</v>
      </c>
      <c r="B149" s="40" t="str">
        <f>IF(F149="","",VLOOKUP(F149,Tabelle1[],2))</f>
        <v>NDRIQIMI</v>
      </c>
      <c r="C149" s="40"/>
      <c r="D149" s="41">
        <v>46044</v>
      </c>
      <c r="E149" s="80"/>
      <c r="F149" s="78">
        <v>10418</v>
      </c>
      <c r="G149" s="43">
        <v>92.4</v>
      </c>
      <c r="H149" s="38">
        <v>35112</v>
      </c>
      <c r="I149" s="38">
        <v>24</v>
      </c>
    </row>
    <row r="150" spans="1:15" x14ac:dyDescent="0.25">
      <c r="A150" s="39" t="str">
        <f>IF(F150="","",VLOOKUP(F150,Tabelle1[],3))</f>
        <v>MITROVICE</v>
      </c>
      <c r="B150" s="40" t="str">
        <f>IF(F150="","",VLOOKUP(F150,Tabelle1[],2))</f>
        <v>VISARI HH</v>
      </c>
      <c r="C150" s="40"/>
      <c r="D150" s="41">
        <v>46044</v>
      </c>
      <c r="E150" s="80"/>
      <c r="F150" s="78">
        <v>10412</v>
      </c>
      <c r="G150" s="43">
        <v>46.2</v>
      </c>
      <c r="H150" s="38">
        <v>35121</v>
      </c>
      <c r="I150" s="38">
        <v>12</v>
      </c>
    </row>
    <row r="151" spans="1:15" x14ac:dyDescent="0.25">
      <c r="A151" s="39" t="str">
        <f>IF(F151="","",VLOOKUP(F151,Tabelle1[],3))</f>
        <v>MITROVICE</v>
      </c>
      <c r="B151" s="40" t="str">
        <f>IF(F151="","",VLOOKUP(F151,Tabelle1[],2))</f>
        <v>UNIVERZAL</v>
      </c>
      <c r="C151" s="40"/>
      <c r="D151" s="41">
        <v>46044</v>
      </c>
      <c r="E151" s="80"/>
      <c r="F151" s="78">
        <v>10413</v>
      </c>
      <c r="G151" s="43">
        <v>92.4</v>
      </c>
      <c r="H151" s="38">
        <v>35113</v>
      </c>
      <c r="I151" s="38">
        <v>12</v>
      </c>
      <c r="J151" s="38">
        <v>35121</v>
      </c>
      <c r="K151" s="38">
        <v>12</v>
      </c>
    </row>
    <row r="152" spans="1:15" x14ac:dyDescent="0.25">
      <c r="A152" s="39" t="str">
        <f>IF(F152="","",VLOOKUP(F152,Tabelle1[],3))</f>
        <v>MITROVICE</v>
      </c>
      <c r="B152" s="40" t="str">
        <f>IF(F152="","",VLOOKUP(F152,Tabelle1[],2))</f>
        <v>AGRONI</v>
      </c>
      <c r="C152" s="40"/>
      <c r="D152" s="41">
        <v>46044</v>
      </c>
      <c r="E152" s="80"/>
      <c r="F152" s="78">
        <v>10406</v>
      </c>
      <c r="G152" s="43">
        <v>53.5</v>
      </c>
      <c r="H152" s="38">
        <v>50912</v>
      </c>
      <c r="I152" s="38">
        <v>5</v>
      </c>
      <c r="J152" s="38">
        <v>55718</v>
      </c>
      <c r="K152" s="38">
        <v>5</v>
      </c>
    </row>
    <row r="153" spans="1:15" x14ac:dyDescent="0.25">
      <c r="A153" s="39" t="str">
        <f>IF(F153="","",VLOOKUP(F153,Tabelle1[],3))</f>
        <v>VUSHTRRI</v>
      </c>
      <c r="B153" s="40" t="str">
        <f>IF(F153="","",VLOOKUP(F153,Tabelle1[],2))</f>
        <v>SAN KOS</v>
      </c>
      <c r="C153" s="40"/>
      <c r="D153" s="41">
        <v>46044</v>
      </c>
      <c r="E153" s="80"/>
      <c r="F153" s="78">
        <v>10429</v>
      </c>
      <c r="G153" s="43">
        <v>46.2</v>
      </c>
      <c r="H153" s="38">
        <v>35109</v>
      </c>
      <c r="I153" s="38">
        <v>12</v>
      </c>
    </row>
    <row r="154" spans="1:15" x14ac:dyDescent="0.25">
      <c r="A154" s="39" t="str">
        <f>IF(F154="","",VLOOKUP(F154,Tabelle1[],3))</f>
        <v>FERIZAJ</v>
      </c>
      <c r="B154" s="40" t="str">
        <f>IF(F154="","",VLOOKUP(F154,Tabelle1[],2))</f>
        <v>ARBERI</v>
      </c>
      <c r="C154" s="40"/>
      <c r="D154" s="41">
        <v>46045</v>
      </c>
      <c r="E154" s="80"/>
      <c r="F154" s="78">
        <v>10506</v>
      </c>
      <c r="G154" s="43">
        <v>92.4</v>
      </c>
      <c r="H154" s="38">
        <v>35110</v>
      </c>
      <c r="I154" s="38">
        <v>12</v>
      </c>
      <c r="J154" s="38">
        <v>35115</v>
      </c>
      <c r="K154" s="38">
        <v>12</v>
      </c>
    </row>
    <row r="155" spans="1:15" x14ac:dyDescent="0.25">
      <c r="A155" s="39" t="str">
        <f>IF(F155="","",VLOOKUP(F155,Tabelle1[],3))</f>
        <v>FERIZAJ</v>
      </c>
      <c r="B155" s="40" t="str">
        <f>IF(F155="","",VLOOKUP(F155,Tabelle1[],2))</f>
        <v>CARRALEVA 2</v>
      </c>
      <c r="C155" s="40"/>
      <c r="D155" s="41">
        <v>46045</v>
      </c>
      <c r="E155" s="80"/>
      <c r="F155" s="78">
        <v>10508</v>
      </c>
      <c r="G155" s="43">
        <v>46.2</v>
      </c>
      <c r="H155" s="38">
        <v>35110</v>
      </c>
      <c r="I155" s="38">
        <v>12</v>
      </c>
    </row>
    <row r="156" spans="1:15" x14ac:dyDescent="0.25">
      <c r="A156" s="39" t="str">
        <f>IF(F156="","",VLOOKUP(F156,Tabelle1[],3))</f>
        <v>FERIZAJ</v>
      </c>
      <c r="B156" s="40" t="str">
        <f>IF(F156="","",VLOOKUP(F156,Tabelle1[],2))</f>
        <v>LONI</v>
      </c>
      <c r="C156" s="40"/>
      <c r="D156" s="41">
        <v>46045</v>
      </c>
      <c r="E156" s="80"/>
      <c r="F156" s="78">
        <v>10509</v>
      </c>
      <c r="G156" s="43">
        <v>39.1</v>
      </c>
      <c r="H156" s="38">
        <v>50912</v>
      </c>
      <c r="I156" s="38">
        <v>3</v>
      </c>
      <c r="J156" s="38">
        <v>44001</v>
      </c>
      <c r="K156" s="38">
        <v>5</v>
      </c>
    </row>
    <row r="157" spans="1:15" x14ac:dyDescent="0.25">
      <c r="A157" s="39" t="str">
        <f>IF(F157="","",VLOOKUP(F157,Tabelle1[],3))</f>
        <v>FERIZAJ</v>
      </c>
      <c r="B157" s="40" t="str">
        <f>IF(F157="","",VLOOKUP(F157,Tabelle1[],2))</f>
        <v>REAL COLOR 2</v>
      </c>
      <c r="C157" s="40"/>
      <c r="D157" s="41">
        <v>46045</v>
      </c>
      <c r="E157" s="80"/>
      <c r="F157" s="78">
        <v>10507</v>
      </c>
      <c r="G157" s="43">
        <v>92.4</v>
      </c>
      <c r="H157" s="38">
        <v>35112</v>
      </c>
      <c r="I157" s="38">
        <v>12</v>
      </c>
      <c r="J157" s="38">
        <v>35125</v>
      </c>
      <c r="K157" s="38">
        <v>12</v>
      </c>
    </row>
    <row r="158" spans="1:15" x14ac:dyDescent="0.25">
      <c r="A158" s="39" t="str">
        <f>IF(F158="","",VLOOKUP(F158,Tabelle1[],3))</f>
        <v>FERIZAJ</v>
      </c>
      <c r="B158" s="40" t="str">
        <f>IF(F158="","",VLOOKUP(F158,Tabelle1[],2))</f>
        <v>REAL COLOR 1</v>
      </c>
      <c r="C158" s="40"/>
      <c r="D158" s="41">
        <v>46045</v>
      </c>
      <c r="E158" s="80"/>
      <c r="F158" s="78">
        <v>10503</v>
      </c>
      <c r="G158" s="43">
        <v>46.2</v>
      </c>
      <c r="H158" s="38">
        <v>35115</v>
      </c>
      <c r="I158" s="38">
        <v>12</v>
      </c>
    </row>
    <row r="159" spans="1:15" x14ac:dyDescent="0.25">
      <c r="A159" s="39" t="str">
        <f>IF(F159="","",VLOOKUP(F159,Tabelle1[],3))</f>
        <v>FERIZAJ</v>
      </c>
      <c r="B159" s="40" t="str">
        <f>IF(F159="","",VLOOKUP(F159,Tabelle1[],2))</f>
        <v>CARRALEVA 1</v>
      </c>
      <c r="C159" s="40"/>
      <c r="D159" s="41">
        <v>46045</v>
      </c>
      <c r="E159" s="80"/>
      <c r="F159" s="78">
        <v>10504</v>
      </c>
      <c r="G159" s="43">
        <v>138.6</v>
      </c>
      <c r="H159" s="38">
        <v>35109</v>
      </c>
      <c r="I159" s="38">
        <v>12</v>
      </c>
      <c r="J159" s="38">
        <v>35113</v>
      </c>
      <c r="K159" s="38">
        <v>12</v>
      </c>
      <c r="L159" s="38">
        <v>35125</v>
      </c>
      <c r="M159" s="38">
        <v>12</v>
      </c>
    </row>
    <row r="160" spans="1:15" x14ac:dyDescent="0.25">
      <c r="A160" s="39" t="str">
        <f>IF(F160="","",VLOOKUP(F160,Tabelle1[],3))</f>
        <v>KLINE</v>
      </c>
      <c r="B160" s="40" t="str">
        <f>IF(F160="","",VLOOKUP(F160,Tabelle1[],2))</f>
        <v>RACI</v>
      </c>
      <c r="C160" s="40"/>
      <c r="D160" s="41">
        <v>46045</v>
      </c>
      <c r="E160" s="80"/>
      <c r="F160" s="78">
        <v>20501</v>
      </c>
      <c r="G160" s="43">
        <v>208.2</v>
      </c>
      <c r="H160" s="38">
        <v>35113</v>
      </c>
      <c r="I160" s="38">
        <v>12</v>
      </c>
      <c r="J160" s="38">
        <v>66701</v>
      </c>
      <c r="K160" s="38">
        <v>12</v>
      </c>
      <c r="L160" s="38">
        <v>35121</v>
      </c>
      <c r="M160" s="38">
        <v>12</v>
      </c>
      <c r="N160" s="38">
        <v>35125</v>
      </c>
      <c r="O160" s="38">
        <v>12</v>
      </c>
    </row>
    <row r="161" spans="1:15" x14ac:dyDescent="0.25">
      <c r="A161" s="39" t="str">
        <f>IF(F161="","",VLOOKUP(F161,Tabelle1[],3))</f>
        <v>KLINE</v>
      </c>
      <c r="B161" s="40" t="str">
        <f>IF(F161="","",VLOOKUP(F161,Tabelle1[],2))</f>
        <v>JONI</v>
      </c>
      <c r="C161" s="40"/>
      <c r="D161" s="41">
        <v>46045</v>
      </c>
      <c r="E161" s="80"/>
      <c r="F161" s="78">
        <v>20519</v>
      </c>
      <c r="G161" s="43">
        <v>45</v>
      </c>
      <c r="H161" s="38">
        <v>51611</v>
      </c>
      <c r="I161" s="38">
        <v>36</v>
      </c>
    </row>
    <row r="162" spans="1:15" x14ac:dyDescent="0.25">
      <c r="A162" s="39" t="str">
        <f>IF(F162="","",VLOOKUP(F162,Tabelle1[],3))</f>
        <v>KLINE</v>
      </c>
      <c r="B162" s="40" t="str">
        <f>IF(F162="","",VLOOKUP(F162,Tabelle1[],2))</f>
        <v>HOXHA</v>
      </c>
      <c r="C162" s="40"/>
      <c r="D162" s="41">
        <v>46045</v>
      </c>
      <c r="E162" s="80"/>
      <c r="F162" s="78">
        <v>20502</v>
      </c>
      <c r="G162" s="43">
        <v>61.2</v>
      </c>
      <c r="H162" s="38">
        <v>35111</v>
      </c>
      <c r="I162" s="38">
        <v>12</v>
      </c>
      <c r="J162" s="38">
        <v>51611</v>
      </c>
      <c r="K162" s="38">
        <v>12</v>
      </c>
    </row>
    <row r="163" spans="1:15" x14ac:dyDescent="0.25">
      <c r="A163" s="39" t="str">
        <f>IF(F163="","",VLOOKUP(F163,Tabelle1[],3))</f>
        <v>ISTOG</v>
      </c>
      <c r="B163" s="40" t="str">
        <f>IF(F163="","",VLOOKUP(F163,Tabelle1[],2))</f>
        <v>BERATI A.P. (1)</v>
      </c>
      <c r="C163" s="40"/>
      <c r="D163" s="41">
        <v>46045</v>
      </c>
      <c r="E163" s="80"/>
      <c r="F163" s="78">
        <v>20513</v>
      </c>
      <c r="G163" s="43">
        <v>67</v>
      </c>
      <c r="H163" s="38">
        <v>44001</v>
      </c>
      <c r="I163" s="38">
        <v>9</v>
      </c>
      <c r="J163" s="38">
        <v>50912</v>
      </c>
      <c r="K163" s="38">
        <v>3</v>
      </c>
      <c r="L163" s="38">
        <v>56117</v>
      </c>
      <c r="M163" s="38">
        <v>5</v>
      </c>
    </row>
    <row r="164" spans="1:15" x14ac:dyDescent="0.25">
      <c r="A164" s="39" t="str">
        <f>IF(F164="","",VLOOKUP(F164,Tabelle1[],3))</f>
        <v>ISTOG</v>
      </c>
      <c r="B164" s="40" t="str">
        <f>IF(F164="","",VLOOKUP(F164,Tabelle1[],2))</f>
        <v>LIRIDONA-A</v>
      </c>
      <c r="C164" s="40"/>
      <c r="D164" s="41">
        <v>46045</v>
      </c>
      <c r="E164" s="80"/>
      <c r="F164" s="78">
        <v>20515</v>
      </c>
      <c r="G164" s="43">
        <v>92.4</v>
      </c>
      <c r="H164" s="38">
        <v>35110</v>
      </c>
      <c r="I164" s="38">
        <v>24</v>
      </c>
    </row>
    <row r="165" spans="1:15" x14ac:dyDescent="0.25">
      <c r="A165" s="39" t="str">
        <f>IF(F165="","",VLOOKUP(F165,Tabelle1[],3))</f>
        <v>ISTOG</v>
      </c>
      <c r="B165" s="40" t="str">
        <f>IF(F165="","",VLOOKUP(F165,Tabelle1[],2))</f>
        <v>LIRIDONA HOME</v>
      </c>
      <c r="C165" s="40"/>
      <c r="D165" s="41">
        <v>46045</v>
      </c>
      <c r="E165" s="80"/>
      <c r="F165" s="78">
        <v>20508</v>
      </c>
      <c r="G165" s="43">
        <v>92.4</v>
      </c>
      <c r="H165" s="38">
        <v>35114</v>
      </c>
      <c r="I165" s="38">
        <v>12</v>
      </c>
      <c r="J165" s="38">
        <v>35119</v>
      </c>
      <c r="K165" s="38">
        <v>12</v>
      </c>
    </row>
    <row r="166" spans="1:15" x14ac:dyDescent="0.25">
      <c r="A166" s="39" t="str">
        <f>IF(F166="","",VLOOKUP(F166,Tabelle1[],3))</f>
        <v>SKENDERAJ</v>
      </c>
      <c r="B166" s="40" t="str">
        <f>IF(F166="","",VLOOKUP(F166,Tabelle1[],2))</f>
        <v>TE BENI</v>
      </c>
      <c r="C166" s="40"/>
      <c r="D166" s="41">
        <v>46045</v>
      </c>
      <c r="E166" s="80"/>
      <c r="F166" s="78">
        <v>20407</v>
      </c>
      <c r="G166" s="43">
        <v>277</v>
      </c>
      <c r="H166" s="38">
        <v>35121</v>
      </c>
      <c r="I166" s="38">
        <v>36</v>
      </c>
      <c r="J166" s="38">
        <v>35113</v>
      </c>
      <c r="K166" s="38">
        <v>12</v>
      </c>
      <c r="L166" s="38">
        <v>35114</v>
      </c>
      <c r="M166" s="38">
        <v>12</v>
      </c>
      <c r="N166" s="38">
        <v>35111</v>
      </c>
      <c r="O166" s="38">
        <v>12</v>
      </c>
    </row>
    <row r="167" spans="1:15" x14ac:dyDescent="0.25">
      <c r="A167" s="39" t="str">
        <f>IF(F167="","",VLOOKUP(F167,Tabelle1[],3))</f>
        <v>SKENDERAJ</v>
      </c>
      <c r="B167" s="40" t="str">
        <f>IF(F167="","",VLOOKUP(F167,Tabelle1[],2))</f>
        <v>BENI</v>
      </c>
      <c r="C167" s="40"/>
      <c r="D167" s="41">
        <v>46045</v>
      </c>
      <c r="E167" s="80"/>
      <c r="F167" s="78">
        <v>20409</v>
      </c>
      <c r="G167" s="43">
        <v>72</v>
      </c>
      <c r="H167" s="38">
        <v>39505</v>
      </c>
      <c r="I167" s="38">
        <v>12</v>
      </c>
      <c r="J167" s="38">
        <v>55718</v>
      </c>
      <c r="K167" s="38">
        <v>4</v>
      </c>
      <c r="L167" s="38">
        <v>49644</v>
      </c>
      <c r="M167" s="38">
        <v>5</v>
      </c>
      <c r="N167" s="38">
        <v>54412</v>
      </c>
      <c r="O167" s="38">
        <v>6</v>
      </c>
    </row>
    <row r="168" spans="1:15" x14ac:dyDescent="0.25">
      <c r="A168" s="39" t="str">
        <f>IF(F168="","",VLOOKUP(F168,Tabelle1[],3))</f>
        <v>DRENAS</v>
      </c>
      <c r="B168" s="40" t="str">
        <f>IF(F168="","",VLOOKUP(F168,Tabelle1[],2))</f>
        <v>TERMIKA</v>
      </c>
      <c r="C168" s="40"/>
      <c r="D168" s="41">
        <v>46045</v>
      </c>
      <c r="E168" s="80"/>
      <c r="F168" s="78">
        <v>20403</v>
      </c>
      <c r="G168" s="43">
        <v>92.4</v>
      </c>
      <c r="H168" s="38">
        <v>35110</v>
      </c>
      <c r="I168" s="38">
        <v>12</v>
      </c>
      <c r="J168" s="38">
        <v>35111</v>
      </c>
      <c r="K168" s="38">
        <v>12</v>
      </c>
    </row>
    <row r="169" spans="1:15" x14ac:dyDescent="0.25">
      <c r="A169" s="39" t="str">
        <f>IF(F169="","",VLOOKUP(F169,Tabelle1[],3))</f>
        <v>DRENAS</v>
      </c>
      <c r="B169" s="40" t="str">
        <f>IF(F169="","",VLOOKUP(F169,Tabelle1[],2))</f>
        <v>TE MENTORI</v>
      </c>
      <c r="C169" s="40"/>
      <c r="D169" s="41">
        <v>46045</v>
      </c>
      <c r="E169" s="80"/>
      <c r="F169" s="78">
        <v>20404</v>
      </c>
      <c r="G169" s="43">
        <v>46.2</v>
      </c>
      <c r="H169" s="38">
        <v>35113</v>
      </c>
      <c r="I169" s="38">
        <v>12</v>
      </c>
    </row>
    <row r="170" spans="1:15" x14ac:dyDescent="0.25">
      <c r="A170" s="39" t="str">
        <f>IF(F170="","",VLOOKUP(F170,Tabelle1[],3))</f>
        <v>LIPJAN</v>
      </c>
      <c r="B170" s="40" t="str">
        <f>IF(F170="","",VLOOKUP(F170,Tabelle1[],2))</f>
        <v>G FETAHU QERAMIK SH.P.K.</v>
      </c>
      <c r="C170" s="40"/>
      <c r="D170" s="41">
        <v>46046</v>
      </c>
      <c r="E170" s="80"/>
      <c r="F170" s="78">
        <v>40033</v>
      </c>
      <c r="G170" s="43">
        <v>28.5</v>
      </c>
      <c r="H170" s="38">
        <v>35128</v>
      </c>
      <c r="I170" s="38">
        <v>1</v>
      </c>
      <c r="J170" s="38">
        <v>35113</v>
      </c>
      <c r="K170" s="38">
        <v>3</v>
      </c>
      <c r="L170" s="38">
        <v>35109</v>
      </c>
      <c r="M170" s="38">
        <v>2</v>
      </c>
      <c r="N170" s="38">
        <v>51611</v>
      </c>
      <c r="O170" s="38">
        <v>3</v>
      </c>
    </row>
    <row r="171" spans="1:15" x14ac:dyDescent="0.25">
      <c r="A171" s="39" t="str">
        <f>IF(F171="","",VLOOKUP(F171,Tabelle1[],3))</f>
        <v>HOME KIM TEC</v>
      </c>
      <c r="B171" s="40" t="str">
        <f>IF(F171="","",VLOOKUP(F171,Tabelle1[],2))</f>
        <v>ARBENI BIOBLIC</v>
      </c>
      <c r="C171" s="40"/>
      <c r="D171" s="41">
        <v>46046</v>
      </c>
      <c r="E171" s="80"/>
      <c r="F171" s="78">
        <v>40003</v>
      </c>
      <c r="G171" s="43">
        <v>185</v>
      </c>
      <c r="H171" s="38">
        <v>20001</v>
      </c>
      <c r="I171" s="38">
        <v>80</v>
      </c>
      <c r="J171" s="38">
        <v>30275</v>
      </c>
      <c r="K171" s="38">
        <v>50</v>
      </c>
      <c r="L171" s="38">
        <v>20000</v>
      </c>
      <c r="M171" s="38">
        <v>20</v>
      </c>
    </row>
    <row r="172" spans="1:15" x14ac:dyDescent="0.25">
      <c r="A172" s="39" t="str">
        <f>IF(F172="","",VLOOKUP(F172,Tabelle1[],3))</f>
        <v>PODUJEVE</v>
      </c>
      <c r="B172" s="40" t="str">
        <f>IF(F172="","",VLOOKUP(F172,Tabelle1[],2))</f>
        <v>TE ZENA</v>
      </c>
      <c r="C172" s="40"/>
      <c r="D172" s="41">
        <v>46046</v>
      </c>
      <c r="E172" s="80"/>
      <c r="F172" s="78">
        <v>10616</v>
      </c>
      <c r="G172" s="43">
        <v>138.6</v>
      </c>
      <c r="H172" s="38">
        <v>35113</v>
      </c>
      <c r="I172" s="38">
        <v>12</v>
      </c>
      <c r="J172" s="38">
        <v>35119</v>
      </c>
      <c r="K172" s="38">
        <v>12</v>
      </c>
      <c r="L172" s="38">
        <v>35121</v>
      </c>
      <c r="M172" s="38">
        <v>12</v>
      </c>
    </row>
    <row r="173" spans="1:15" x14ac:dyDescent="0.25">
      <c r="A173" s="39" t="str">
        <f>IF(F173="","",VLOOKUP(F173,Tabelle1[],3))</f>
        <v>PODUJEVE</v>
      </c>
      <c r="B173" s="40" t="str">
        <f>IF(F173="","",VLOOKUP(F173,Tabelle1[],2))</f>
        <v>ALBANI</v>
      </c>
      <c r="C173" s="40"/>
      <c r="D173" s="41">
        <v>46046</v>
      </c>
      <c r="E173" s="80"/>
      <c r="F173" s="78">
        <v>10635</v>
      </c>
      <c r="G173" s="43">
        <v>46.2</v>
      </c>
      <c r="H173" s="38">
        <v>35115</v>
      </c>
      <c r="I173" s="38">
        <v>12</v>
      </c>
    </row>
    <row r="174" spans="1:15" x14ac:dyDescent="0.25">
      <c r="A174" s="39" t="str">
        <f>IF(F174="","",VLOOKUP(F174,Tabelle1[],3))</f>
        <v>PODUJEVE</v>
      </c>
      <c r="B174" s="40" t="str">
        <f>IF(F174="","",VLOOKUP(F174,Tabelle1[],2))</f>
        <v>ALBANI</v>
      </c>
      <c r="C174" s="40"/>
      <c r="D174" s="41">
        <v>46046</v>
      </c>
      <c r="E174" s="80"/>
      <c r="F174" s="78">
        <v>10637</v>
      </c>
      <c r="G174" s="43">
        <v>53.5</v>
      </c>
      <c r="H174" s="38">
        <v>50912</v>
      </c>
      <c r="I174" s="38">
        <v>5</v>
      </c>
      <c r="J174" s="38">
        <v>55718</v>
      </c>
      <c r="K174" s="38">
        <v>5</v>
      </c>
    </row>
    <row r="175" spans="1:15" x14ac:dyDescent="0.25">
      <c r="A175" s="39" t="str">
        <f>IF(F175="","",VLOOKUP(F175,Tabelle1[],3))</f>
        <v>PODUJEVE</v>
      </c>
      <c r="B175" s="40" t="str">
        <f>IF(F175="","",VLOOKUP(F175,Tabelle1[],2))</f>
        <v>KUJTA</v>
      </c>
      <c r="C175" s="40"/>
      <c r="D175" s="41">
        <v>46046</v>
      </c>
      <c r="E175" s="80"/>
      <c r="F175" s="78">
        <v>10625</v>
      </c>
      <c r="G175" s="43">
        <v>138.6</v>
      </c>
      <c r="H175" s="38">
        <v>35115</v>
      </c>
      <c r="I175" s="38">
        <v>12</v>
      </c>
      <c r="J175" s="38">
        <v>35114</v>
      </c>
      <c r="K175" s="38">
        <v>12</v>
      </c>
      <c r="L175" s="38">
        <v>35125</v>
      </c>
      <c r="M175" s="38">
        <v>12</v>
      </c>
    </row>
    <row r="176" spans="1:15" x14ac:dyDescent="0.25">
      <c r="A176" s="39" t="str">
        <f>IF(F176="","",VLOOKUP(F176,Tabelle1[],3))</f>
        <v>FERIZAJ</v>
      </c>
      <c r="B176" s="40" t="str">
        <f>IF(F176="","",VLOOKUP(F176,Tabelle1[],2))</f>
        <v>AGROLONDI</v>
      </c>
      <c r="C176" s="40"/>
      <c r="D176" s="41">
        <v>46046</v>
      </c>
      <c r="E176" s="80"/>
      <c r="F176" s="78">
        <v>20602</v>
      </c>
      <c r="G176" s="43">
        <v>63.2</v>
      </c>
      <c r="H176" s="38">
        <v>35110</v>
      </c>
      <c r="I176" s="38">
        <v>12</v>
      </c>
      <c r="J176" s="38">
        <v>51611</v>
      </c>
      <c r="K176" s="38">
        <v>12</v>
      </c>
      <c r="L176" s="38">
        <v>49644</v>
      </c>
      <c r="M176" s="38">
        <v>1</v>
      </c>
    </row>
    <row r="177" spans="1:17" x14ac:dyDescent="0.25">
      <c r="A177" s="39" t="str">
        <f>IF(F177="","",VLOOKUP(F177,Tabelle1[],3))</f>
        <v>FERIZAJ</v>
      </c>
      <c r="B177" s="40" t="str">
        <f>IF(F177="","",VLOOKUP(F177,Tabelle1[],2))</f>
        <v>LTI</v>
      </c>
      <c r="C177" s="40"/>
      <c r="D177" s="41">
        <v>46046</v>
      </c>
      <c r="E177" s="80"/>
      <c r="F177" s="78">
        <v>20623</v>
      </c>
      <c r="G177" s="43">
        <v>212.4</v>
      </c>
      <c r="H177" s="38">
        <v>35109</v>
      </c>
      <c r="I177" s="38">
        <v>12</v>
      </c>
      <c r="J177" s="38">
        <v>35110</v>
      </c>
      <c r="K177" s="38">
        <v>24</v>
      </c>
      <c r="L177" s="38">
        <v>35111</v>
      </c>
      <c r="M177" s="38">
        <v>12</v>
      </c>
      <c r="N177" s="38">
        <v>35112</v>
      </c>
      <c r="O177" s="38">
        <v>12</v>
      </c>
      <c r="P177" s="38">
        <v>51612</v>
      </c>
      <c r="Q177" s="38">
        <v>12</v>
      </c>
    </row>
    <row r="178" spans="1:17" x14ac:dyDescent="0.25">
      <c r="A178" s="39" t="str">
        <f>IF(F178="","",VLOOKUP(F178,Tabelle1[],3))</f>
        <v>FERIZAJ</v>
      </c>
      <c r="B178" s="40" t="str">
        <f>IF(F178="","",VLOOKUP(F178,Tabelle1[],2))</f>
        <v>DIVA QERAMIKA</v>
      </c>
      <c r="C178" s="40"/>
      <c r="D178" s="41">
        <v>46046</v>
      </c>
      <c r="E178" s="80"/>
      <c r="F178" s="78">
        <v>20628</v>
      </c>
      <c r="G178" s="43">
        <v>92.4</v>
      </c>
      <c r="H178" s="38">
        <v>35109</v>
      </c>
      <c r="I178" s="38">
        <v>24</v>
      </c>
    </row>
    <row r="179" spans="1:17" x14ac:dyDescent="0.25">
      <c r="A179" s="39" t="str">
        <f>IF(F179="","",VLOOKUP(F179,Tabelle1[],3))</f>
        <v>FERIZAJ</v>
      </c>
      <c r="B179" s="40" t="str">
        <f>IF(F179="","",VLOOKUP(F179,Tabelle1[],2))</f>
        <v>HIDRO DANI</v>
      </c>
      <c r="C179" s="40"/>
      <c r="D179" s="41">
        <v>46046</v>
      </c>
      <c r="E179" s="80"/>
      <c r="F179" s="78">
        <v>20630</v>
      </c>
      <c r="G179" s="43">
        <v>61.2</v>
      </c>
      <c r="H179" s="38">
        <v>35113</v>
      </c>
      <c r="I179" s="38">
        <v>12</v>
      </c>
      <c r="J179" s="38">
        <v>51611</v>
      </c>
      <c r="K179" s="38">
        <v>12</v>
      </c>
    </row>
    <row r="180" spans="1:17" x14ac:dyDescent="0.25">
      <c r="A180" s="39" t="str">
        <f>IF(F180="","",VLOOKUP(F180,Tabelle1[],3))</f>
        <v>GREME</v>
      </c>
      <c r="B180" s="40" t="str">
        <f>IF(F180="","",VLOOKUP(F180,Tabelle1[],2))</f>
        <v>AGRO-XHETI</v>
      </c>
      <c r="C180" s="40"/>
      <c r="D180" s="41">
        <v>46046</v>
      </c>
      <c r="E180" s="80"/>
      <c r="F180" s="78">
        <v>20610</v>
      </c>
      <c r="G180" s="43">
        <v>184.8</v>
      </c>
      <c r="H180" s="38">
        <v>35110</v>
      </c>
      <c r="I180" s="38">
        <v>12</v>
      </c>
      <c r="J180" s="38">
        <v>35111</v>
      </c>
      <c r="K180" s="38">
        <v>12</v>
      </c>
      <c r="L180" s="38">
        <v>35112</v>
      </c>
      <c r="M180" s="38">
        <v>12</v>
      </c>
      <c r="N180" s="38">
        <v>35113</v>
      </c>
      <c r="O180" s="38">
        <v>12</v>
      </c>
    </row>
    <row r="181" spans="1:17" x14ac:dyDescent="0.25">
      <c r="A181" s="39" t="str">
        <f>IF(F181="","",VLOOKUP(F181,Tabelle1[],3))</f>
        <v>FERIZAJ</v>
      </c>
      <c r="B181" s="40" t="str">
        <f>IF(F181="","",VLOOKUP(F181,Tabelle1[],2))</f>
        <v>UNIKA</v>
      </c>
      <c r="C181" s="40"/>
      <c r="D181" s="41">
        <v>46046</v>
      </c>
      <c r="E181" s="80"/>
      <c r="F181" s="78">
        <v>20627</v>
      </c>
      <c r="G181" s="43">
        <v>166.2</v>
      </c>
      <c r="H181" s="38">
        <v>35109</v>
      </c>
      <c r="I181" s="38">
        <v>12</v>
      </c>
      <c r="J181" s="38">
        <v>35111</v>
      </c>
      <c r="K181" s="38">
        <v>12</v>
      </c>
      <c r="L181" s="38">
        <v>35115</v>
      </c>
      <c r="M181" s="38">
        <v>12</v>
      </c>
      <c r="N181" s="38">
        <v>51612</v>
      </c>
      <c r="O181" s="38">
        <v>12</v>
      </c>
    </row>
    <row r="182" spans="1:17" x14ac:dyDescent="0.25">
      <c r="A182" s="39" t="str">
        <f>IF(F182="","",VLOOKUP(F182,Tabelle1[],3))</f>
        <v>FERIZAJ</v>
      </c>
      <c r="B182" s="40" t="str">
        <f>IF(F182="","",VLOOKUP(F182,Tabelle1[],2))</f>
        <v>ALFA-QERAMIKA</v>
      </c>
      <c r="C182" s="40"/>
      <c r="D182" s="41">
        <v>46046</v>
      </c>
      <c r="E182" s="80"/>
      <c r="F182" s="78">
        <v>20604</v>
      </c>
      <c r="G182" s="43">
        <v>166.2</v>
      </c>
      <c r="H182" s="38">
        <v>35110</v>
      </c>
      <c r="I182" s="38">
        <v>12</v>
      </c>
      <c r="J182" s="38">
        <v>35121</v>
      </c>
      <c r="K182" s="38">
        <v>12</v>
      </c>
      <c r="L182" s="38">
        <v>35125</v>
      </c>
      <c r="M182" s="38">
        <v>12</v>
      </c>
      <c r="N182" s="38">
        <v>51612</v>
      </c>
      <c r="O182" s="38">
        <v>12</v>
      </c>
    </row>
    <row r="183" spans="1:17" x14ac:dyDescent="0.25">
      <c r="A183" s="39" t="str">
        <f>IF(F183="","",VLOOKUP(F183,Tabelle1[],3))</f>
        <v>GERLIC</v>
      </c>
      <c r="B183" s="40" t="str">
        <f>IF(F183="","",VLOOKUP(F183,Tabelle1[],2))</f>
        <v>TE-SYLA</v>
      </c>
      <c r="C183" s="40"/>
      <c r="D183" s="41">
        <v>46046</v>
      </c>
      <c r="E183" s="80"/>
      <c r="F183" s="78">
        <v>20606</v>
      </c>
      <c r="G183" s="43">
        <v>138.6</v>
      </c>
      <c r="H183" s="38">
        <v>35109</v>
      </c>
      <c r="I183" s="38">
        <v>12</v>
      </c>
      <c r="J183" s="38">
        <v>35111</v>
      </c>
      <c r="K183" s="38">
        <v>12</v>
      </c>
      <c r="L183" s="38">
        <v>35112</v>
      </c>
      <c r="M183" s="38">
        <v>12</v>
      </c>
    </row>
    <row r="184" spans="1:17" x14ac:dyDescent="0.25">
      <c r="A184" s="39" t="str">
        <f>IF(F184="","",VLOOKUP(F184,Tabelle1[],3))</f>
        <v>DOGANAJ</v>
      </c>
      <c r="B184" s="40" t="str">
        <f>IF(F184="","",VLOOKUP(F184,Tabelle1[],2))</f>
        <v xml:space="preserve">F.V. SH.P.K. </v>
      </c>
      <c r="C184" s="40"/>
      <c r="D184" s="41">
        <v>46046</v>
      </c>
      <c r="E184" s="80"/>
      <c r="F184" s="78">
        <v>20607</v>
      </c>
      <c r="G184" s="43">
        <v>107.4</v>
      </c>
      <c r="H184" s="38">
        <v>35115</v>
      </c>
      <c r="I184" s="38">
        <v>12</v>
      </c>
      <c r="J184" s="38">
        <v>35112</v>
      </c>
      <c r="K184" s="38">
        <v>12</v>
      </c>
      <c r="L184" s="38">
        <v>51611</v>
      </c>
      <c r="M184" s="38">
        <v>12</v>
      </c>
    </row>
    <row r="185" spans="1:17" x14ac:dyDescent="0.25">
      <c r="A185" s="39" t="str">
        <f>IF(F185="","",VLOOKUP(F185,Tabelle1[],3))</f>
        <v>FERIZAJ</v>
      </c>
      <c r="B185" s="40" t="str">
        <f>IF(F185="","",VLOOKUP(F185,Tabelle1[],2))</f>
        <v>BUJARI Q - BESII</v>
      </c>
      <c r="C185" s="40"/>
      <c r="D185" s="41">
        <v>46046</v>
      </c>
      <c r="E185" s="80"/>
      <c r="F185" s="78">
        <v>20609</v>
      </c>
      <c r="G185" s="43">
        <v>92.4</v>
      </c>
      <c r="H185" s="38">
        <v>35109</v>
      </c>
      <c r="I185" s="38">
        <v>24</v>
      </c>
    </row>
    <row r="186" spans="1:17" x14ac:dyDescent="0.25">
      <c r="A186" s="39" t="str">
        <f>IF(F186="","",VLOOKUP(F186,Tabelle1[],3))</f>
        <v>GREME</v>
      </c>
      <c r="B186" s="40" t="str">
        <f>IF(F186="","",VLOOKUP(F186,Tabelle1[],2))</f>
        <v>AGRO-XHETI</v>
      </c>
      <c r="C186" s="40"/>
      <c r="D186" s="41">
        <v>46046</v>
      </c>
      <c r="E186" s="80"/>
      <c r="F186" s="78">
        <v>20610</v>
      </c>
      <c r="G186" s="43">
        <v>199.8</v>
      </c>
      <c r="H186" s="38">
        <v>35125</v>
      </c>
      <c r="I186" s="38">
        <v>24</v>
      </c>
      <c r="J186" s="38">
        <v>35128</v>
      </c>
      <c r="K186" s="38">
        <v>24</v>
      </c>
      <c r="L186" s="38">
        <v>51611</v>
      </c>
      <c r="M186" s="38">
        <v>12</v>
      </c>
    </row>
    <row r="187" spans="1:17" x14ac:dyDescent="0.25">
      <c r="A187" s="39" t="str">
        <f>IF(F187="","",VLOOKUP(F187,Tabelle1[],3))</f>
        <v>FERIZAJ</v>
      </c>
      <c r="B187" s="40" t="str">
        <f>IF(F187="","",VLOOKUP(F187,Tabelle1[],2))</f>
        <v>PROMOIN</v>
      </c>
      <c r="C187" s="40"/>
      <c r="D187" s="41">
        <v>46046</v>
      </c>
      <c r="E187" s="80"/>
      <c r="F187" s="78">
        <v>20603</v>
      </c>
      <c r="G187" s="43">
        <v>138.6</v>
      </c>
      <c r="H187" s="38">
        <v>35110</v>
      </c>
      <c r="I187" s="38">
        <v>24</v>
      </c>
      <c r="J187" s="38">
        <v>35121</v>
      </c>
      <c r="K187" s="38">
        <v>12</v>
      </c>
    </row>
    <row r="188" spans="1:17" x14ac:dyDescent="0.25">
      <c r="A188" s="39" t="str">
        <f>IF(F188="","",VLOOKUP(F188,Tabelle1[],3))</f>
        <v>PRISHTINE</v>
      </c>
      <c r="B188" s="40" t="str">
        <f>IF(F188="","",VLOOKUP(F188,Tabelle1[],2))</f>
        <v>JETARI</v>
      </c>
      <c r="C188" s="40"/>
      <c r="D188" s="41">
        <v>46048</v>
      </c>
      <c r="E188" s="80"/>
      <c r="F188" s="78">
        <v>10104</v>
      </c>
      <c r="G188" s="43">
        <v>46.2</v>
      </c>
      <c r="H188" s="38">
        <v>35121</v>
      </c>
      <c r="I188" s="38">
        <v>12</v>
      </c>
    </row>
    <row r="189" spans="1:17" x14ac:dyDescent="0.25">
      <c r="A189" s="39" t="str">
        <f>IF(F189="","",VLOOKUP(F189,Tabelle1[],3))</f>
        <v>PRISHTINE</v>
      </c>
      <c r="B189" s="40" t="str">
        <f>IF(F189="","",VLOOKUP(F189,Tabelle1[],2))</f>
        <v>KADIJOLLET</v>
      </c>
      <c r="C189" s="40"/>
      <c r="D189" s="41">
        <v>46048</v>
      </c>
      <c r="E189" s="80"/>
      <c r="F189" s="78">
        <v>10111</v>
      </c>
      <c r="G189" s="43">
        <v>167.6</v>
      </c>
      <c r="H189" s="38">
        <v>35114</v>
      </c>
      <c r="I189" s="38">
        <v>12</v>
      </c>
      <c r="J189" s="38">
        <v>35113</v>
      </c>
      <c r="K189" s="38">
        <v>12</v>
      </c>
      <c r="L189" s="38">
        <v>51612</v>
      </c>
      <c r="M189" s="38">
        <v>24</v>
      </c>
      <c r="N189" s="38">
        <v>49644</v>
      </c>
      <c r="O189" s="38">
        <v>5</v>
      </c>
      <c r="P189" s="38">
        <v>54412</v>
      </c>
      <c r="Q189" s="38">
        <v>5</v>
      </c>
    </row>
    <row r="190" spans="1:17" x14ac:dyDescent="0.25">
      <c r="A190" s="39" t="str">
        <f>IF(F190="","",VLOOKUP(F190,Tabelle1[],3))</f>
        <v>BARDHOSH</v>
      </c>
      <c r="B190" s="40" t="str">
        <f>IF(F190="","",VLOOKUP(F190,Tabelle1[],2))</f>
        <v>QELA</v>
      </c>
      <c r="C190" s="40"/>
      <c r="D190" s="41">
        <v>46048</v>
      </c>
      <c r="E190" s="80"/>
      <c r="F190" s="78">
        <v>10114</v>
      </c>
      <c r="G190" s="43">
        <v>50</v>
      </c>
      <c r="H190" s="38">
        <v>50912</v>
      </c>
      <c r="I190" s="38">
        <v>5</v>
      </c>
      <c r="J190" s="38">
        <v>54412</v>
      </c>
      <c r="K190" s="38">
        <v>7</v>
      </c>
    </row>
    <row r="191" spans="1:17" x14ac:dyDescent="0.25">
      <c r="A191" s="39" t="str">
        <f>IF(F191="","",VLOOKUP(F191,Tabelle1[],3))</f>
        <v>PRISHTINE</v>
      </c>
      <c r="B191" s="40" t="str">
        <f>IF(F191="","",VLOOKUP(F191,Tabelle1[],2))</f>
        <v>BESI COM</v>
      </c>
      <c r="C191" s="40"/>
      <c r="D191" s="41">
        <v>46048</v>
      </c>
      <c r="E191" s="80"/>
      <c r="F191" s="78">
        <v>10103</v>
      </c>
      <c r="G191" s="43">
        <v>120</v>
      </c>
      <c r="H191" s="38">
        <v>51612</v>
      </c>
      <c r="I191" s="38">
        <v>12</v>
      </c>
      <c r="J191" s="38">
        <v>35110</v>
      </c>
      <c r="K191" s="38">
        <v>12</v>
      </c>
      <c r="L191" s="38">
        <v>35111</v>
      </c>
      <c r="M191" s="38">
        <v>12</v>
      </c>
    </row>
    <row r="192" spans="1:17" x14ac:dyDescent="0.25">
      <c r="A192" s="39" t="str">
        <f>IF(F192="","",VLOOKUP(F192,Tabelle1[],3))</f>
        <v>PEJE</v>
      </c>
      <c r="B192" s="40" t="str">
        <f>IF(F192="","",VLOOKUP(F192,Tabelle1[],2))</f>
        <v>KENA COMERC</v>
      </c>
      <c r="C192" s="40"/>
      <c r="D192" s="41">
        <v>46048</v>
      </c>
      <c r="E192" s="80"/>
      <c r="F192" s="78">
        <v>20109</v>
      </c>
      <c r="G192" s="43">
        <v>231</v>
      </c>
      <c r="H192" s="38">
        <v>35110</v>
      </c>
      <c r="I192" s="38">
        <v>12</v>
      </c>
      <c r="J192" s="38">
        <v>35111</v>
      </c>
      <c r="K192" s="38">
        <v>12</v>
      </c>
      <c r="L192" s="38">
        <v>35112</v>
      </c>
      <c r="M192" s="38">
        <v>24</v>
      </c>
      <c r="N192" s="38">
        <v>35125</v>
      </c>
      <c r="O192" s="38">
        <v>12</v>
      </c>
    </row>
    <row r="193" spans="1:19" x14ac:dyDescent="0.25">
      <c r="A193" s="39" t="str">
        <f>IF(F193="","",VLOOKUP(F193,Tabelle1[],3))</f>
        <v>PEJE</v>
      </c>
      <c r="B193" s="40" t="str">
        <f>IF(F193="","",VLOOKUP(F193,Tabelle1[],2))</f>
        <v>ENESI</v>
      </c>
      <c r="C193" s="40"/>
      <c r="D193" s="41">
        <v>46048</v>
      </c>
      <c r="E193" s="80"/>
      <c r="F193" s="78">
        <v>20130</v>
      </c>
      <c r="G193" s="43">
        <v>46.2</v>
      </c>
      <c r="H193" s="38">
        <v>35110</v>
      </c>
      <c r="I193" s="38">
        <v>12</v>
      </c>
    </row>
    <row r="194" spans="1:19" x14ac:dyDescent="0.25">
      <c r="A194" s="39" t="str">
        <f>IF(F194="","",VLOOKUP(F194,Tabelle1[],3))</f>
        <v>PEJE</v>
      </c>
      <c r="B194" s="40" t="str">
        <f>IF(F194="","",VLOOKUP(F194,Tabelle1[],2))</f>
        <v>GLOBI TERM</v>
      </c>
      <c r="C194" s="40"/>
      <c r="D194" s="41">
        <v>46048</v>
      </c>
      <c r="E194" s="80"/>
      <c r="F194" s="78">
        <v>20122</v>
      </c>
      <c r="G194" s="43">
        <v>46.2</v>
      </c>
      <c r="H194" s="38">
        <v>35110</v>
      </c>
      <c r="I194" s="38">
        <v>12</v>
      </c>
    </row>
    <row r="195" spans="1:19" x14ac:dyDescent="0.25">
      <c r="A195" s="39" t="str">
        <f>IF(F195="","",VLOOKUP(F195,Tabelle1[],3))</f>
        <v>PEJE</v>
      </c>
      <c r="B195" s="40" t="str">
        <f>IF(F195="","",VLOOKUP(F195,Tabelle1[],2))</f>
        <v>LULI-C</v>
      </c>
      <c r="C195" s="40"/>
      <c r="D195" s="41">
        <v>46048</v>
      </c>
      <c r="E195" s="80"/>
      <c r="F195" s="78">
        <v>20126</v>
      </c>
      <c r="G195" s="43">
        <v>127.2</v>
      </c>
      <c r="H195" s="38">
        <v>35110</v>
      </c>
      <c r="I195" s="38">
        <v>12</v>
      </c>
      <c r="J195" s="38">
        <v>35113</v>
      </c>
      <c r="K195" s="38">
        <v>12</v>
      </c>
      <c r="L195" s="38">
        <v>66701</v>
      </c>
      <c r="M195" s="38">
        <v>6</v>
      </c>
    </row>
    <row r="196" spans="1:19" x14ac:dyDescent="0.25">
      <c r="A196" s="39" t="str">
        <f>IF(F196="","",VLOOKUP(F196,Tabelle1[],3))</f>
        <v>PEJE</v>
      </c>
      <c r="B196" s="40" t="str">
        <f>IF(F196="","",VLOOKUP(F196,Tabelle1[],2))</f>
        <v>TE GZIMI</v>
      </c>
      <c r="C196" s="40"/>
      <c r="D196" s="41">
        <v>46048</v>
      </c>
      <c r="E196" s="80"/>
      <c r="F196" s="78">
        <v>20101</v>
      </c>
      <c r="G196" s="43">
        <v>44</v>
      </c>
      <c r="H196" s="38">
        <v>50912</v>
      </c>
      <c r="I196" s="38">
        <v>4</v>
      </c>
      <c r="J196" s="38">
        <v>49644</v>
      </c>
      <c r="K196" s="38">
        <v>3</v>
      </c>
      <c r="L196" s="38">
        <v>54412</v>
      </c>
      <c r="M196" s="38">
        <v>3</v>
      </c>
    </row>
    <row r="197" spans="1:19" x14ac:dyDescent="0.25">
      <c r="A197" s="39" t="str">
        <f>IF(F197="","",VLOOKUP(F197,Tabelle1[],3))</f>
        <v>PEJE</v>
      </c>
      <c r="B197" s="40" t="str">
        <f>IF(F197="","",VLOOKUP(F197,Tabelle1[],2))</f>
        <v>KUQI-LKW</v>
      </c>
      <c r="C197" s="40"/>
      <c r="D197" s="41">
        <v>46048</v>
      </c>
      <c r="E197" s="80"/>
      <c r="F197" s="78">
        <v>20102</v>
      </c>
      <c r="G197" s="43">
        <v>30</v>
      </c>
      <c r="H197" s="38">
        <v>49644</v>
      </c>
      <c r="I197" s="38">
        <v>8</v>
      </c>
      <c r="J197" s="38">
        <v>55718</v>
      </c>
      <c r="K197" s="38">
        <v>4</v>
      </c>
    </row>
    <row r="198" spans="1:19" x14ac:dyDescent="0.25">
      <c r="A198" s="39" t="str">
        <f>IF(F198="","",VLOOKUP(F198,Tabelle1[],3))</f>
        <v>PEJE</v>
      </c>
      <c r="B198" s="40" t="str">
        <f>IF(F198="","",VLOOKUP(F198,Tabelle1[],2))</f>
        <v>KTHIMI</v>
      </c>
      <c r="C198" s="40"/>
      <c r="D198" s="41">
        <v>46048</v>
      </c>
      <c r="E198" s="80"/>
      <c r="F198" s="78">
        <v>20104</v>
      </c>
      <c r="G198" s="43">
        <v>92.4</v>
      </c>
      <c r="H198" s="38">
        <v>35110</v>
      </c>
      <c r="I198" s="38">
        <v>24</v>
      </c>
    </row>
    <row r="199" spans="1:19" x14ac:dyDescent="0.25">
      <c r="A199" s="39" t="str">
        <f>IF(F199="","",VLOOKUP(F199,Tabelle1[],3))</f>
        <v>PRIZREN</v>
      </c>
      <c r="B199" s="40" t="str">
        <f>IF(F199="","",VLOOKUP(F199,Tabelle1[],2))</f>
        <v>MONI 2</v>
      </c>
      <c r="C199" s="40"/>
      <c r="D199" s="41">
        <v>46049</v>
      </c>
      <c r="E199" s="80"/>
      <c r="F199" s="78">
        <v>10210</v>
      </c>
      <c r="G199" s="43">
        <v>27.6</v>
      </c>
      <c r="H199" s="38">
        <v>51612</v>
      </c>
      <c r="I199" s="38">
        <v>12</v>
      </c>
    </row>
    <row r="200" spans="1:19" x14ac:dyDescent="0.25">
      <c r="A200" s="39" t="str">
        <f>IF(F200="","",VLOOKUP(F200,Tabelle1[],3))</f>
        <v>PRIZREN</v>
      </c>
      <c r="B200" s="40" t="str">
        <f>IF(F200="","",VLOOKUP(F200,Tabelle1[],2))</f>
        <v>MONI 2</v>
      </c>
      <c r="C200" s="40"/>
      <c r="D200" s="41">
        <v>46049</v>
      </c>
      <c r="E200" s="80"/>
      <c r="F200" s="78">
        <v>10210</v>
      </c>
      <c r="G200" s="43">
        <v>277.2</v>
      </c>
      <c r="H200" s="38">
        <v>35108</v>
      </c>
      <c r="I200" s="38">
        <v>36</v>
      </c>
      <c r="J200" s="38">
        <v>35121</v>
      </c>
      <c r="K200" s="38">
        <v>36</v>
      </c>
    </row>
    <row r="201" spans="1:19" x14ac:dyDescent="0.25">
      <c r="A201" s="39" t="str">
        <f>IF(F201="","",VLOOKUP(F201,Tabelle1[],3))</f>
        <v>SHIROK</v>
      </c>
      <c r="B201" s="40" t="str">
        <f>IF(F201="","",VLOOKUP(F201,Tabelle1[],2))</f>
        <v>XHAFA</v>
      </c>
      <c r="C201" s="40"/>
      <c r="D201" s="41">
        <v>46049</v>
      </c>
      <c r="E201" s="80"/>
      <c r="F201" s="78">
        <v>10205</v>
      </c>
      <c r="G201" s="43">
        <v>258.60000000000002</v>
      </c>
      <c r="H201" s="38">
        <v>35110</v>
      </c>
      <c r="I201" s="38">
        <v>12</v>
      </c>
      <c r="J201" s="38">
        <v>35111</v>
      </c>
      <c r="K201" s="38">
        <v>12</v>
      </c>
      <c r="L201" s="38">
        <v>35113</v>
      </c>
      <c r="M201" s="38">
        <v>12</v>
      </c>
      <c r="N201" s="38">
        <v>35115</v>
      </c>
      <c r="O201" s="38">
        <v>12</v>
      </c>
      <c r="P201" s="38">
        <v>35128</v>
      </c>
      <c r="Q201" s="38">
        <v>12</v>
      </c>
      <c r="R201" s="38">
        <v>51612</v>
      </c>
      <c r="S201" s="38">
        <v>12</v>
      </c>
    </row>
    <row r="202" spans="1:19" x14ac:dyDescent="0.25">
      <c r="A202" s="39" t="str">
        <f>IF(F202="","",VLOOKUP(F202,Tabelle1[],3))</f>
        <v>PRIZREN</v>
      </c>
      <c r="B202" s="40" t="str">
        <f>IF(F202="","",VLOOKUP(F202,Tabelle1[],2))</f>
        <v>ARPO</v>
      </c>
      <c r="C202" s="40"/>
      <c r="D202" s="41">
        <v>46049</v>
      </c>
      <c r="E202" s="80"/>
      <c r="F202" s="78">
        <v>10240</v>
      </c>
      <c r="G202" s="43">
        <v>138.6</v>
      </c>
      <c r="H202" s="38">
        <v>35121</v>
      </c>
      <c r="I202" s="38">
        <v>24</v>
      </c>
      <c r="J202" s="38">
        <v>35109</v>
      </c>
      <c r="K202" s="38">
        <v>12</v>
      </c>
    </row>
    <row r="203" spans="1:19" x14ac:dyDescent="0.25">
      <c r="A203" s="39" t="str">
        <f>IF(F203="","",VLOOKUP(F203,Tabelle1[],3))</f>
        <v>GJAKOVE</v>
      </c>
      <c r="B203" s="40" t="str">
        <f>IF(F203="","",VLOOKUP(F203,Tabelle1[],2))</f>
        <v>LETAJ</v>
      </c>
      <c r="C203" s="40"/>
      <c r="D203" s="41">
        <v>46049</v>
      </c>
      <c r="E203" s="80"/>
      <c r="F203" s="78">
        <v>20209</v>
      </c>
      <c r="G203" s="43">
        <v>116.4</v>
      </c>
      <c r="H203" s="38">
        <v>35111</v>
      </c>
      <c r="I203" s="38">
        <v>24</v>
      </c>
      <c r="J203" s="38">
        <v>49644</v>
      </c>
      <c r="K203" s="38">
        <v>12</v>
      </c>
    </row>
    <row r="204" spans="1:19" x14ac:dyDescent="0.25">
      <c r="A204" s="39" t="str">
        <f>IF(F204="","",VLOOKUP(F204,Tabelle1[],3))</f>
        <v>GJAKOVE</v>
      </c>
      <c r="B204" s="40" t="str">
        <f>IF(F204="","",VLOOKUP(F204,Tabelle1[],2))</f>
        <v>GERMAN FABRE</v>
      </c>
      <c r="C204" s="40"/>
      <c r="D204" s="41">
        <v>46049</v>
      </c>
      <c r="E204" s="80"/>
      <c r="F204" s="78">
        <v>20220</v>
      </c>
      <c r="G204" s="43">
        <v>92.4</v>
      </c>
      <c r="H204" s="38">
        <v>35112</v>
      </c>
      <c r="I204" s="38">
        <v>12</v>
      </c>
      <c r="J204" s="38">
        <v>35121</v>
      </c>
      <c r="K204" s="38">
        <v>12</v>
      </c>
    </row>
    <row r="205" spans="1:19" x14ac:dyDescent="0.25">
      <c r="A205" s="39" t="str">
        <f>IF(F205="","",VLOOKUP(F205,Tabelle1[],3))</f>
        <v>GJAKOVE</v>
      </c>
      <c r="B205" s="40" t="str">
        <f>IF(F205="","",VLOOKUP(F205,Tabelle1[],2))</f>
        <v>INOX 2</v>
      </c>
      <c r="C205" s="40"/>
      <c r="D205" s="41">
        <v>46049</v>
      </c>
      <c r="E205" s="80"/>
      <c r="F205" s="78">
        <v>20212</v>
      </c>
      <c r="G205" s="43">
        <v>92.4</v>
      </c>
      <c r="H205" s="38">
        <v>35119</v>
      </c>
      <c r="I205" s="38">
        <v>24</v>
      </c>
    </row>
    <row r="206" spans="1:19" x14ac:dyDescent="0.25">
      <c r="A206" s="39" t="str">
        <f>IF(F206="","",VLOOKUP(F206,Tabelle1[],3))</f>
        <v>GJAKOVE</v>
      </c>
      <c r="B206" s="40" t="str">
        <f>IF(F206="","",VLOOKUP(F206,Tabelle1[],2))</f>
        <v>GER COLORS</v>
      </c>
      <c r="C206" s="40"/>
      <c r="D206" s="41">
        <v>46049</v>
      </c>
      <c r="E206" s="80"/>
      <c r="F206" s="78">
        <v>20223</v>
      </c>
      <c r="G206" s="43">
        <v>69.599999999999994</v>
      </c>
      <c r="H206" s="38">
        <v>66701</v>
      </c>
      <c r="I206" s="38">
        <v>12</v>
      </c>
    </row>
    <row r="207" spans="1:19" x14ac:dyDescent="0.25">
      <c r="A207" s="39" t="str">
        <f>IF(F207="","",VLOOKUP(F207,Tabelle1[],3))</f>
        <v>GJAKOVE</v>
      </c>
      <c r="B207" s="40" t="str">
        <f>IF(F207="","",VLOOKUP(F207,Tabelle1[],2))</f>
        <v>HB-DECOR</v>
      </c>
      <c r="C207" s="40"/>
      <c r="D207" s="41">
        <v>46049</v>
      </c>
      <c r="E207" s="80"/>
      <c r="F207" s="78">
        <v>20228</v>
      </c>
      <c r="G207" s="43">
        <v>69.599999999999994</v>
      </c>
      <c r="H207" s="38">
        <v>66701</v>
      </c>
      <c r="I207" s="38">
        <v>12</v>
      </c>
    </row>
    <row r="208" spans="1:19" x14ac:dyDescent="0.25">
      <c r="A208" s="39" t="str">
        <f>IF(F208="","",VLOOKUP(F208,Tabelle1[],3))</f>
        <v>GJAKOVE</v>
      </c>
      <c r="B208" s="40" t="str">
        <f>IF(F208="","",VLOOKUP(F208,Tabelle1[],2))</f>
        <v>V. GJONAJ</v>
      </c>
      <c r="C208" s="40"/>
      <c r="D208" s="41">
        <v>46049</v>
      </c>
      <c r="E208" s="80"/>
      <c r="F208" s="78">
        <v>20208</v>
      </c>
      <c r="G208" s="43">
        <v>92.4</v>
      </c>
      <c r="H208" s="38">
        <v>35114</v>
      </c>
      <c r="I208" s="38">
        <v>24</v>
      </c>
    </row>
    <row r="209" spans="1:19" x14ac:dyDescent="0.25">
      <c r="A209" s="39" t="str">
        <f>IF(F209="","",VLOOKUP(F209,Tabelle1[],3))</f>
        <v>DEQAN</v>
      </c>
      <c r="B209" s="40" t="str">
        <f>IF(F209="","",VLOOKUP(F209,Tabelle1[],2))</f>
        <v>AFRIMI-AG</v>
      </c>
      <c r="C209" s="40"/>
      <c r="D209" s="41">
        <v>46049</v>
      </c>
      <c r="E209" s="80"/>
      <c r="F209" s="78">
        <v>20203</v>
      </c>
      <c r="G209" s="43">
        <v>138.6</v>
      </c>
      <c r="H209" s="38">
        <v>35110</v>
      </c>
      <c r="I209" s="38">
        <v>12</v>
      </c>
      <c r="J209" s="38">
        <v>35111</v>
      </c>
      <c r="K209" s="38">
        <v>12</v>
      </c>
      <c r="L209" s="38">
        <v>35121</v>
      </c>
      <c r="M209" s="38">
        <v>12</v>
      </c>
    </row>
    <row r="210" spans="1:19" x14ac:dyDescent="0.25">
      <c r="A210" s="39" t="str">
        <f>IF(F210="","",VLOOKUP(F210,Tabelle1[],3))</f>
        <v>DEQAN</v>
      </c>
      <c r="B210" s="40" t="str">
        <f>IF(F210="","",VLOOKUP(F210,Tabelle1[],2))</f>
        <v>TE BESIMI</v>
      </c>
      <c r="C210" s="40"/>
      <c r="D210" s="41">
        <v>46049</v>
      </c>
      <c r="E210" s="80"/>
      <c r="F210" s="78">
        <v>20201</v>
      </c>
      <c r="G210" s="43">
        <v>98.4</v>
      </c>
      <c r="H210" s="38">
        <v>35110</v>
      </c>
      <c r="I210" s="38">
        <v>12</v>
      </c>
      <c r="J210" s="38">
        <v>35125</v>
      </c>
      <c r="K210" s="38">
        <v>12</v>
      </c>
      <c r="L210" s="38">
        <v>49644</v>
      </c>
      <c r="M210" s="38">
        <v>3</v>
      </c>
    </row>
    <row r="211" spans="1:19" x14ac:dyDescent="0.25">
      <c r="A211" s="39" t="str">
        <f>IF(F211="","",VLOOKUP(F211,Tabelle1[],3))</f>
        <v>VITI</v>
      </c>
      <c r="B211" s="40" t="str">
        <f>IF(F211="","",VLOOKUP(F211,Tabelle1[],2))</f>
        <v>INTERCOM NTP</v>
      </c>
      <c r="C211" s="40"/>
      <c r="D211" s="41">
        <v>46050</v>
      </c>
      <c r="E211" s="80"/>
      <c r="F211" s="78">
        <v>10343</v>
      </c>
      <c r="G211" s="43">
        <v>122.4</v>
      </c>
      <c r="H211" s="38">
        <v>35128</v>
      </c>
      <c r="I211" s="38">
        <v>24</v>
      </c>
      <c r="J211" s="38">
        <v>51611</v>
      </c>
      <c r="K211" s="38">
        <v>24</v>
      </c>
    </row>
    <row r="212" spans="1:19" x14ac:dyDescent="0.25">
      <c r="A212" s="39" t="str">
        <f>IF(F212="","",VLOOKUP(F212,Tabelle1[],3))</f>
        <v>GJILAN</v>
      </c>
      <c r="B212" s="40" t="str">
        <f>IF(F212="","",VLOOKUP(F212,Tabelle1[],2))</f>
        <v>EUROSAN</v>
      </c>
      <c r="C212" s="40"/>
      <c r="D212" s="41">
        <v>46050</v>
      </c>
      <c r="E212" s="80"/>
      <c r="F212" s="78">
        <v>10304</v>
      </c>
      <c r="G212" s="43">
        <v>246</v>
      </c>
      <c r="H212" s="38">
        <v>51611</v>
      </c>
      <c r="I212" s="38">
        <v>12</v>
      </c>
      <c r="J212" s="38">
        <v>35110</v>
      </c>
      <c r="K212" s="38">
        <v>12</v>
      </c>
      <c r="L212" s="38">
        <v>35111</v>
      </c>
      <c r="M212" s="38">
        <v>12</v>
      </c>
      <c r="N212" s="38">
        <v>35109</v>
      </c>
      <c r="O212" s="38">
        <v>12</v>
      </c>
      <c r="P212" s="38">
        <v>35113</v>
      </c>
      <c r="Q212" s="38">
        <v>12</v>
      </c>
      <c r="R212" s="38">
        <v>35121</v>
      </c>
      <c r="S212" s="38">
        <v>12</v>
      </c>
    </row>
    <row r="213" spans="1:19" x14ac:dyDescent="0.25">
      <c r="A213" s="39" t="str">
        <f>IF(F213="","",VLOOKUP(F213,Tabelle1[],3))</f>
        <v>GJILAN</v>
      </c>
      <c r="B213" s="40" t="str">
        <f>IF(F213="","",VLOOKUP(F213,Tabelle1[],2))</f>
        <v>TINA</v>
      </c>
      <c r="C213" s="40"/>
      <c r="D213" s="41">
        <v>46050</v>
      </c>
      <c r="E213" s="80"/>
      <c r="F213" s="78">
        <v>10344</v>
      </c>
      <c r="G213" s="43">
        <v>92.4</v>
      </c>
      <c r="H213" s="38">
        <v>35113</v>
      </c>
      <c r="I213" s="38">
        <v>12</v>
      </c>
      <c r="J213" s="38">
        <v>35115</v>
      </c>
      <c r="K213" s="38">
        <v>12</v>
      </c>
    </row>
    <row r="214" spans="1:19" x14ac:dyDescent="0.25">
      <c r="A214" s="39" t="str">
        <f>IF(F214="","",VLOOKUP(F214,Tabelle1[],3))</f>
        <v>GJILAN</v>
      </c>
      <c r="B214" s="40" t="str">
        <f>IF(F214="","",VLOOKUP(F214,Tabelle1[],2))</f>
        <v>BEKA-3</v>
      </c>
      <c r="C214" s="40"/>
      <c r="D214" s="41">
        <v>46050</v>
      </c>
      <c r="E214" s="80"/>
      <c r="F214" s="78">
        <v>10323</v>
      </c>
      <c r="G214" s="43">
        <v>27.5</v>
      </c>
      <c r="H214" s="38">
        <v>49644</v>
      </c>
      <c r="I214" s="38">
        <v>5</v>
      </c>
      <c r="J214" s="38">
        <v>55718</v>
      </c>
      <c r="K214" s="38">
        <v>5</v>
      </c>
    </row>
    <row r="215" spans="1:19" x14ac:dyDescent="0.25">
      <c r="A215" s="39" t="str">
        <f>IF(F215="","",VLOOKUP(F215,Tabelle1[],3))</f>
        <v>VITI</v>
      </c>
      <c r="B215" s="40" t="str">
        <f>IF(F215="","",VLOOKUP(F215,Tabelle1[],2))</f>
        <v>BALLKANI</v>
      </c>
      <c r="C215" s="40"/>
      <c r="D215" s="41">
        <v>46050</v>
      </c>
      <c r="E215" s="80"/>
      <c r="F215" s="78">
        <v>10350</v>
      </c>
      <c r="G215" s="43">
        <v>92.4</v>
      </c>
      <c r="H215" s="38">
        <v>35121</v>
      </c>
      <c r="I215" s="38">
        <v>24</v>
      </c>
    </row>
    <row r="216" spans="1:19" x14ac:dyDescent="0.25">
      <c r="A216" s="39" t="str">
        <f>IF(F216="","",VLOOKUP(F216,Tabelle1[],3))</f>
        <v>VITI</v>
      </c>
      <c r="B216" s="40" t="str">
        <f>IF(F216="","",VLOOKUP(F216,Tabelle1[],2))</f>
        <v>PARKETI</v>
      </c>
      <c r="C216" s="40"/>
      <c r="D216" s="41">
        <v>46050</v>
      </c>
      <c r="E216" s="80"/>
      <c r="F216" s="78">
        <v>10325</v>
      </c>
      <c r="G216" s="43">
        <v>107.4</v>
      </c>
      <c r="H216" s="38">
        <v>35121</v>
      </c>
      <c r="I216" s="38">
        <v>12</v>
      </c>
      <c r="J216" s="38">
        <v>35125</v>
      </c>
      <c r="K216" s="38">
        <v>12</v>
      </c>
      <c r="L216" s="38">
        <v>51611</v>
      </c>
      <c r="M216" s="38">
        <v>12</v>
      </c>
    </row>
    <row r="217" spans="1:19" x14ac:dyDescent="0.25">
      <c r="A217" s="39" t="str">
        <f>IF(F217="","",VLOOKUP(F217,Tabelle1[],3))</f>
        <v>GJILAN</v>
      </c>
      <c r="B217" s="40" t="str">
        <f>IF(F217="","",VLOOKUP(F217,Tabelle1[],2))</f>
        <v>BEKA-1</v>
      </c>
      <c r="C217" s="40"/>
      <c r="D217" s="41">
        <v>46050</v>
      </c>
      <c r="E217" s="80"/>
      <c r="F217" s="78">
        <v>10303</v>
      </c>
      <c r="G217" s="43">
        <v>17.5</v>
      </c>
      <c r="H217" s="38">
        <v>44001</v>
      </c>
      <c r="I217" s="38">
        <v>5</v>
      </c>
    </row>
    <row r="218" spans="1:19" x14ac:dyDescent="0.25">
      <c r="A218" s="39" t="str">
        <f>IF(F218="","",VLOOKUP(F218,Tabelle1[],3))</f>
        <v>GJILAN</v>
      </c>
      <c r="B218" s="40" t="str">
        <f>IF(F218="","",VLOOKUP(F218,Tabelle1[],2))</f>
        <v>FATMIRI</v>
      </c>
      <c r="C218" s="40"/>
      <c r="D218" s="41">
        <v>46050</v>
      </c>
      <c r="E218" s="80"/>
      <c r="F218" s="78">
        <v>10313</v>
      </c>
      <c r="G218" s="43">
        <v>92.4</v>
      </c>
      <c r="H218" s="38">
        <v>35113</v>
      </c>
      <c r="I218" s="38">
        <v>12</v>
      </c>
      <c r="J218" s="38">
        <v>35121</v>
      </c>
      <c r="K218" s="38">
        <v>12</v>
      </c>
    </row>
    <row r="219" spans="1:19" x14ac:dyDescent="0.25">
      <c r="A219" s="39" t="str">
        <f>IF(F219="","",VLOOKUP(F219,Tabelle1[],3))</f>
        <v>RAHOVEC</v>
      </c>
      <c r="B219" s="40" t="str">
        <f>IF(F219="","",VLOOKUP(F219,Tabelle1[],2))</f>
        <v>CONDOR</v>
      </c>
      <c r="C219" s="40"/>
      <c r="D219" s="41">
        <v>46050</v>
      </c>
      <c r="E219" s="80"/>
      <c r="F219" s="78">
        <v>20307</v>
      </c>
      <c r="G219" s="43">
        <v>235.8</v>
      </c>
      <c r="H219" s="38">
        <v>66701</v>
      </c>
      <c r="I219" s="38">
        <v>12</v>
      </c>
      <c r="J219" s="38">
        <v>35109</v>
      </c>
      <c r="K219" s="38">
        <v>12</v>
      </c>
      <c r="L219" s="38">
        <v>35110</v>
      </c>
      <c r="M219" s="38">
        <v>12</v>
      </c>
      <c r="N219" s="38">
        <v>35110</v>
      </c>
      <c r="O219" s="38">
        <v>12</v>
      </c>
      <c r="P219" s="38">
        <v>35125</v>
      </c>
      <c r="Q219" s="38">
        <v>12</v>
      </c>
      <c r="R219" s="38">
        <v>51612</v>
      </c>
      <c r="S219" s="38">
        <v>12</v>
      </c>
    </row>
    <row r="220" spans="1:19" x14ac:dyDescent="0.25">
      <c r="A220" s="39" t="str">
        <f>IF(F220="","",VLOOKUP(F220,Tabelle1[],3))</f>
        <v>MALISHEVE</v>
      </c>
      <c r="B220" s="40" t="str">
        <f>IF(F220="","",VLOOKUP(F220,Tabelle1[],2))</f>
        <v>BERATI</v>
      </c>
      <c r="C220" s="40"/>
      <c r="D220" s="41">
        <v>46050</v>
      </c>
      <c r="E220" s="80"/>
      <c r="F220" s="78">
        <v>20326</v>
      </c>
      <c r="G220" s="43">
        <v>46.2</v>
      </c>
      <c r="H220" s="38">
        <v>35110</v>
      </c>
      <c r="I220" s="38">
        <v>12</v>
      </c>
    </row>
    <row r="221" spans="1:19" x14ac:dyDescent="0.25">
      <c r="A221" s="39" t="str">
        <f>IF(F221="","",VLOOKUP(F221,Tabelle1[],3))</f>
        <v>MALISHEVE</v>
      </c>
      <c r="B221" s="40" t="str">
        <f>IF(F221="","",VLOOKUP(F221,Tabelle1[],2))</f>
        <v>BARDHI-M</v>
      </c>
      <c r="C221" s="40"/>
      <c r="D221" s="41">
        <v>46050</v>
      </c>
      <c r="E221" s="80"/>
      <c r="F221" s="78">
        <v>20331</v>
      </c>
      <c r="G221" s="43">
        <v>92.4</v>
      </c>
      <c r="H221" s="38">
        <v>35111</v>
      </c>
      <c r="I221" s="38">
        <v>12</v>
      </c>
      <c r="J221" s="38">
        <v>35121</v>
      </c>
      <c r="K221" s="38">
        <v>12</v>
      </c>
    </row>
    <row r="222" spans="1:19" x14ac:dyDescent="0.25">
      <c r="A222" s="39" t="str">
        <f>IF(F222="","",VLOOKUP(F222,Tabelle1[],3))</f>
        <v>MALISHEVE</v>
      </c>
      <c r="B222" s="40" t="str">
        <f>IF(F222="","",VLOOKUP(F222,Tabelle1[],2))</f>
        <v>NIVELIZIMI-D SH.P.K.</v>
      </c>
      <c r="C222" s="40"/>
      <c r="D222" s="41">
        <v>46050</v>
      </c>
      <c r="E222" s="80"/>
      <c r="F222" s="78">
        <v>20302</v>
      </c>
      <c r="G222" s="43">
        <v>120</v>
      </c>
      <c r="H222" s="38">
        <v>35110</v>
      </c>
      <c r="I222" s="38">
        <v>12</v>
      </c>
      <c r="J222" s="38">
        <v>35121</v>
      </c>
      <c r="K222" s="38">
        <v>12</v>
      </c>
      <c r="L222" s="38">
        <v>51612</v>
      </c>
      <c r="M222" s="38">
        <v>12</v>
      </c>
    </row>
    <row r="223" spans="1:19" x14ac:dyDescent="0.25">
      <c r="A223" s="39" t="str">
        <f>IF(F223="","",VLOOKUP(F223,Tabelle1[],3))</f>
        <v>MALISHEVE</v>
      </c>
      <c r="B223" s="40" t="str">
        <f>IF(F223="","",VLOOKUP(F223,Tabelle1[],2))</f>
        <v>AGRO-FARM</v>
      </c>
      <c r="C223" s="40"/>
      <c r="D223" s="41">
        <v>46050</v>
      </c>
      <c r="E223" s="80"/>
      <c r="F223" s="78">
        <v>20304</v>
      </c>
      <c r="G223" s="43">
        <v>53</v>
      </c>
      <c r="H223" s="38">
        <v>56117</v>
      </c>
      <c r="I223" s="38">
        <v>5</v>
      </c>
      <c r="J223" s="38">
        <v>44001</v>
      </c>
      <c r="K223" s="38">
        <v>6</v>
      </c>
      <c r="L223" s="38">
        <v>49644</v>
      </c>
      <c r="M223" s="38">
        <v>6</v>
      </c>
    </row>
    <row r="224" spans="1:19" x14ac:dyDescent="0.25">
      <c r="A224" s="39" t="str">
        <f>IF(F224="","",VLOOKUP(F224,Tabelle1[],3))</f>
        <v>MALISHEVE</v>
      </c>
      <c r="B224" s="40" t="str">
        <f>IF(F224="","",VLOOKUP(F224,Tabelle1[],2))</f>
        <v>NITA 3</v>
      </c>
      <c r="C224" s="40"/>
      <c r="D224" s="41">
        <v>46050</v>
      </c>
      <c r="E224" s="80"/>
      <c r="F224" s="78">
        <v>20303</v>
      </c>
      <c r="G224" s="43">
        <v>46.2</v>
      </c>
      <c r="H224" s="38">
        <v>35121</v>
      </c>
      <c r="I224" s="38">
        <v>12</v>
      </c>
    </row>
    <row r="225" spans="1:17" x14ac:dyDescent="0.25">
      <c r="A225" s="39" t="str">
        <f>IF(F225="","",VLOOKUP(F225,Tabelle1[],3))</f>
        <v>RAHOVEC</v>
      </c>
      <c r="B225" s="40" t="str">
        <f>IF(F225="","",VLOOKUP(F225,Tabelle1[],2))</f>
        <v>SOPAJ</v>
      </c>
      <c r="C225" s="40"/>
      <c r="D225" s="41">
        <v>46050</v>
      </c>
      <c r="E225" s="80"/>
      <c r="F225" s="78">
        <v>20311</v>
      </c>
      <c r="G225" s="43">
        <v>92.4</v>
      </c>
      <c r="H225" s="38">
        <v>35109</v>
      </c>
      <c r="I225" s="38">
        <v>12</v>
      </c>
      <c r="J225" s="38">
        <v>35115</v>
      </c>
      <c r="K225" s="38">
        <v>12</v>
      </c>
    </row>
    <row r="226" spans="1:17" x14ac:dyDescent="0.25">
      <c r="A226" s="39" t="str">
        <f>IF(F226="","",VLOOKUP(F226,Tabelle1[],3))</f>
        <v>RAHOVEC</v>
      </c>
      <c r="B226" s="40" t="str">
        <f>IF(F226="","",VLOOKUP(F226,Tabelle1[],2))</f>
        <v>A.P. SHPENDI</v>
      </c>
      <c r="C226" s="40"/>
      <c r="D226" s="41">
        <v>46050</v>
      </c>
      <c r="E226" s="80"/>
      <c r="F226" s="78">
        <v>20312</v>
      </c>
      <c r="G226" s="43">
        <v>55.5</v>
      </c>
      <c r="H226" s="38">
        <v>50912</v>
      </c>
      <c r="I226" s="38">
        <v>3</v>
      </c>
      <c r="J226" s="38">
        <v>55718</v>
      </c>
      <c r="K226" s="38">
        <v>4</v>
      </c>
      <c r="L226" s="38">
        <v>49644</v>
      </c>
      <c r="M226" s="38">
        <v>6</v>
      </c>
      <c r="N226" s="38">
        <v>44001</v>
      </c>
      <c r="O226" s="38">
        <v>2</v>
      </c>
    </row>
    <row r="227" spans="1:17" x14ac:dyDescent="0.25">
      <c r="A227" s="39" t="str">
        <f>IF(F227="","",VLOOKUP(F227,Tabelle1[],3))</f>
        <v>HOME KIM TEC</v>
      </c>
      <c r="B227" s="40" t="str">
        <f>IF(F227="","",VLOOKUP(F227,Tabelle1[],2))</f>
        <v>ARBENI BIOBLIC</v>
      </c>
      <c r="C227" s="40"/>
      <c r="D227" s="41">
        <v>46051</v>
      </c>
      <c r="E227" s="80"/>
      <c r="F227" s="78">
        <v>40003</v>
      </c>
      <c r="G227" s="43">
        <v>228</v>
      </c>
      <c r="H227" s="38">
        <v>20001</v>
      </c>
      <c r="I227" s="38">
        <v>130</v>
      </c>
      <c r="J227" s="38">
        <v>30275</v>
      </c>
      <c r="K227" s="38">
        <v>40</v>
      </c>
      <c r="L227" s="38">
        <v>49644</v>
      </c>
      <c r="M227" s="38">
        <v>5</v>
      </c>
      <c r="N227" s="38">
        <v>39505</v>
      </c>
      <c r="O227" s="38">
        <v>1</v>
      </c>
    </row>
    <row r="228" spans="1:17" x14ac:dyDescent="0.25">
      <c r="A228" s="39" t="str">
        <f>IF(F228="","",VLOOKUP(F228,Tabelle1[],3))</f>
        <v>HOME KIM TEC</v>
      </c>
      <c r="B228" s="40" t="str">
        <f>IF(F228="","",VLOOKUP(F228,Tabelle1[],2))</f>
        <v>FORD BASHKIMI</v>
      </c>
      <c r="C228" s="40"/>
      <c r="D228" s="41">
        <v>46051</v>
      </c>
      <c r="E228" s="80"/>
      <c r="F228" s="78">
        <v>40002</v>
      </c>
      <c r="G228" s="43">
        <v>24</v>
      </c>
      <c r="H228" s="38">
        <v>54412</v>
      </c>
      <c r="I228" s="38">
        <v>12</v>
      </c>
    </row>
    <row r="229" spans="1:17" x14ac:dyDescent="0.25">
      <c r="A229" s="39" t="str">
        <f>IF(F229="","",VLOOKUP(F229,Tabelle1[],3))</f>
        <v>VUSHTRRI</v>
      </c>
      <c r="B229" s="40" t="str">
        <f>IF(F229="","",VLOOKUP(F229,Tabelle1[],2))</f>
        <v>NDRIQIMI</v>
      </c>
      <c r="C229" s="40"/>
      <c r="D229" s="41">
        <v>46051</v>
      </c>
      <c r="E229" s="80"/>
      <c r="F229" s="78">
        <v>10418</v>
      </c>
      <c r="G229" s="43">
        <v>231</v>
      </c>
      <c r="H229" s="38">
        <v>35110</v>
      </c>
      <c r="I229" s="38">
        <v>60</v>
      </c>
    </row>
    <row r="230" spans="1:17" x14ac:dyDescent="0.25">
      <c r="A230" s="39" t="str">
        <f>IF(F230="","",VLOOKUP(F230,Tabelle1[],3))</f>
        <v>MITROVICE</v>
      </c>
      <c r="B230" s="40" t="str">
        <f>IF(F230="","",VLOOKUP(F230,Tabelle1[],2))</f>
        <v>UNIVERZAL</v>
      </c>
      <c r="C230" s="40"/>
      <c r="D230" s="41">
        <v>46051</v>
      </c>
      <c r="E230" s="80"/>
      <c r="F230" s="78">
        <v>10413</v>
      </c>
      <c r="G230" s="43">
        <v>138.6</v>
      </c>
      <c r="H230" s="38">
        <v>35113</v>
      </c>
      <c r="I230" s="38">
        <v>12</v>
      </c>
      <c r="J230" s="38">
        <v>35121</v>
      </c>
      <c r="K230" s="38">
        <v>12</v>
      </c>
      <c r="L230" s="38">
        <v>35128</v>
      </c>
      <c r="M230" s="38">
        <v>12</v>
      </c>
    </row>
    <row r="231" spans="1:17" x14ac:dyDescent="0.25">
      <c r="A231" s="39" t="str">
        <f>IF(F231="","",VLOOKUP(F231,Tabelle1[],3))</f>
        <v>MITROVICE</v>
      </c>
      <c r="B231" s="40" t="str">
        <f>IF(F231="","",VLOOKUP(F231,Tabelle1[],2))</f>
        <v>GRANITI</v>
      </c>
      <c r="C231" s="40"/>
      <c r="D231" s="41">
        <v>46051</v>
      </c>
      <c r="E231" s="80"/>
      <c r="F231" s="78">
        <v>10410</v>
      </c>
      <c r="G231" s="43">
        <v>92.4</v>
      </c>
      <c r="H231" s="38">
        <v>35112</v>
      </c>
      <c r="I231" s="38">
        <v>12</v>
      </c>
      <c r="J231" s="38">
        <v>35113</v>
      </c>
      <c r="K231" s="38">
        <v>12</v>
      </c>
    </row>
    <row r="232" spans="1:17" x14ac:dyDescent="0.25">
      <c r="A232" s="39" t="str">
        <f>IF(F232="","",VLOOKUP(F232,Tabelle1[],3))</f>
        <v>MITROVICE</v>
      </c>
      <c r="B232" s="40" t="str">
        <f>IF(F232="","",VLOOKUP(F232,Tabelle1[],2))</f>
        <v>AGRONI</v>
      </c>
      <c r="C232" s="40"/>
      <c r="D232" s="41">
        <v>46051</v>
      </c>
      <c r="E232" s="80"/>
      <c r="F232" s="78">
        <v>10406</v>
      </c>
      <c r="G232" s="43">
        <v>40</v>
      </c>
      <c r="H232" s="38">
        <v>49644</v>
      </c>
      <c r="I232" s="38">
        <v>5</v>
      </c>
      <c r="J232" s="38">
        <v>55718</v>
      </c>
      <c r="K232" s="38">
        <v>2</v>
      </c>
      <c r="L232" s="38">
        <v>44001</v>
      </c>
      <c r="M232" s="38">
        <v>2</v>
      </c>
      <c r="N232" s="38">
        <v>39505</v>
      </c>
      <c r="O232" s="38">
        <v>2</v>
      </c>
      <c r="P232" s="38">
        <v>54412</v>
      </c>
      <c r="Q232" s="38">
        <v>5</v>
      </c>
    </row>
    <row r="233" spans="1:17" x14ac:dyDescent="0.25">
      <c r="A233" s="39" t="str">
        <f>IF(F233="","",VLOOKUP(F233,Tabelle1[],3))</f>
        <v>PRISHTINE</v>
      </c>
      <c r="B233" s="40" t="str">
        <f>IF(F233="","",VLOOKUP(F233,Tabelle1[],2))</f>
        <v>YLLI CONSTRUCION</v>
      </c>
      <c r="C233" s="40"/>
      <c r="D233" s="41">
        <v>46051</v>
      </c>
      <c r="E233" s="80"/>
      <c r="F233" s="78">
        <v>40017</v>
      </c>
      <c r="G233" s="43">
        <v>48</v>
      </c>
      <c r="H233" s="38">
        <v>35128</v>
      </c>
      <c r="I233" s="38">
        <v>3</v>
      </c>
      <c r="J233" s="38">
        <v>35109</v>
      </c>
      <c r="K233" s="38">
        <v>5</v>
      </c>
      <c r="L233" s="38">
        <v>35113</v>
      </c>
      <c r="M233" s="38">
        <v>4</v>
      </c>
    </row>
    <row r="234" spans="1:17" x14ac:dyDescent="0.25">
      <c r="A234" s="39" t="str">
        <f>IF(F234="","",VLOOKUP(F234,Tabelle1[],3))</f>
        <v>LIPJAN</v>
      </c>
      <c r="B234" s="40" t="str">
        <f>IF(F234="","",VLOOKUP(F234,Tabelle1[],2))</f>
        <v>ZAIMI</v>
      </c>
      <c r="C234" s="40"/>
      <c r="D234" s="41">
        <v>46052</v>
      </c>
      <c r="E234" s="80"/>
      <c r="F234" s="78">
        <v>10547</v>
      </c>
      <c r="G234" s="43">
        <v>46.2</v>
      </c>
      <c r="H234" s="38">
        <v>35125</v>
      </c>
      <c r="I234" s="38">
        <v>12</v>
      </c>
    </row>
    <row r="235" spans="1:17" x14ac:dyDescent="0.25">
      <c r="A235" s="39" t="str">
        <f>IF(F235="","",VLOOKUP(F235,Tabelle1[],3))</f>
        <v>FERIZAJ</v>
      </c>
      <c r="B235" s="40" t="str">
        <f>IF(F235="","",VLOOKUP(F235,Tabelle1[],2))</f>
        <v>CARRALEVA 1</v>
      </c>
      <c r="C235" s="40"/>
      <c r="D235" s="41">
        <v>46052</v>
      </c>
      <c r="E235" s="80"/>
      <c r="F235" s="78">
        <v>10504</v>
      </c>
      <c r="G235" s="43">
        <v>92.4</v>
      </c>
      <c r="H235" s="38">
        <v>35108</v>
      </c>
      <c r="I235" s="38">
        <v>12</v>
      </c>
      <c r="J235" s="38">
        <v>35110</v>
      </c>
      <c r="K235" s="38">
        <v>12</v>
      </c>
    </row>
    <row r="236" spans="1:17" x14ac:dyDescent="0.25">
      <c r="A236" s="39" t="str">
        <f>IF(F236="","",VLOOKUP(F236,Tabelle1[],3))</f>
        <v>FERIZAJ</v>
      </c>
      <c r="B236" s="40" t="str">
        <f>IF(F236="","",VLOOKUP(F236,Tabelle1[],2))</f>
        <v>LONI</v>
      </c>
      <c r="C236" s="40"/>
      <c r="D236" s="41">
        <v>46052</v>
      </c>
      <c r="E236" s="80"/>
      <c r="F236" s="78">
        <v>10509</v>
      </c>
      <c r="G236" s="43">
        <v>55.2</v>
      </c>
      <c r="H236" s="38">
        <v>50912</v>
      </c>
      <c r="I236" s="38">
        <v>6</v>
      </c>
      <c r="J236" s="38">
        <v>49644</v>
      </c>
      <c r="K236" s="38">
        <v>6</v>
      </c>
    </row>
    <row r="237" spans="1:17" x14ac:dyDescent="0.25">
      <c r="A237" s="39" t="str">
        <f>IF(F237="","",VLOOKUP(F237,Tabelle1[],3))</f>
        <v>FERIZAJ</v>
      </c>
      <c r="B237" s="40" t="str">
        <f>IF(F237="","",VLOOKUP(F237,Tabelle1[],2))</f>
        <v>REAL COLOR 2</v>
      </c>
      <c r="C237" s="40"/>
      <c r="D237" s="41">
        <v>46052</v>
      </c>
      <c r="E237" s="80"/>
      <c r="F237" s="78">
        <v>10507</v>
      </c>
      <c r="G237" s="43">
        <v>138.6</v>
      </c>
      <c r="H237" s="38">
        <v>35113</v>
      </c>
      <c r="I237" s="38">
        <v>12</v>
      </c>
      <c r="J237" s="38">
        <v>35115</v>
      </c>
      <c r="K237" s="38">
        <v>12</v>
      </c>
      <c r="L237" s="38">
        <v>35128</v>
      </c>
      <c r="M237" s="38">
        <v>12</v>
      </c>
    </row>
    <row r="238" spans="1:17" x14ac:dyDescent="0.25">
      <c r="A238" s="39" t="str">
        <f>IF(F238="","",VLOOKUP(F238,Tabelle1[],3))</f>
        <v>FERIZAJ</v>
      </c>
      <c r="B238" s="40" t="str">
        <f>IF(F238="","",VLOOKUP(F238,Tabelle1[],2))</f>
        <v>ARBERI</v>
      </c>
      <c r="C238" s="40"/>
      <c r="D238" s="41">
        <v>46052</v>
      </c>
      <c r="E238" s="80"/>
      <c r="F238" s="78">
        <v>10506</v>
      </c>
      <c r="G238" s="43">
        <v>92.4</v>
      </c>
      <c r="H238" s="38">
        <v>35109</v>
      </c>
      <c r="I238" s="38">
        <v>12</v>
      </c>
      <c r="J238" s="38">
        <v>35119</v>
      </c>
      <c r="K238" s="38">
        <v>12</v>
      </c>
    </row>
    <row r="239" spans="1:17" x14ac:dyDescent="0.25">
      <c r="A239" s="39" t="str">
        <f>IF(F239="","",VLOOKUP(F239,Tabelle1[],3))</f>
        <v>LIPJAN</v>
      </c>
      <c r="B239" s="40" t="str">
        <f>IF(F239="","",VLOOKUP(F239,Tabelle1[],2))</f>
        <v>ARDI LIPJAN</v>
      </c>
      <c r="C239" s="40"/>
      <c r="D239" s="41">
        <v>46052</v>
      </c>
      <c r="E239" s="80"/>
      <c r="F239" s="78">
        <v>10529</v>
      </c>
      <c r="G239" s="43">
        <v>142.9</v>
      </c>
      <c r="H239" s="38">
        <v>50912</v>
      </c>
      <c r="I239" s="38">
        <v>12</v>
      </c>
      <c r="J239" s="38">
        <v>55718</v>
      </c>
      <c r="K239" s="38">
        <v>2</v>
      </c>
      <c r="L239" s="38">
        <v>38136</v>
      </c>
      <c r="M239" s="38">
        <v>9</v>
      </c>
      <c r="N239" s="38">
        <v>49644</v>
      </c>
      <c r="O239" s="38">
        <v>6</v>
      </c>
      <c r="P239" s="38">
        <v>56117</v>
      </c>
      <c r="Q239" s="38">
        <v>6</v>
      </c>
    </row>
    <row r="240" spans="1:17" x14ac:dyDescent="0.25">
      <c r="A240" s="39" t="str">
        <f>IF(F240="","",VLOOKUP(F240,Tabelle1[],3))</f>
        <v>ISTOG</v>
      </c>
      <c r="B240" s="40" t="str">
        <f>IF(F240="","",VLOOKUP(F240,Tabelle1[],2))</f>
        <v>LIRIDONA KLINE</v>
      </c>
      <c r="C240" s="40"/>
      <c r="D240" s="41">
        <v>46052</v>
      </c>
      <c r="E240" s="80"/>
      <c r="F240" s="78">
        <v>20511</v>
      </c>
      <c r="G240" s="43">
        <v>138.6</v>
      </c>
      <c r="H240" s="38">
        <v>35111</v>
      </c>
      <c r="I240" s="38">
        <v>12</v>
      </c>
      <c r="J240" s="38">
        <v>35113</v>
      </c>
      <c r="K240" s="38">
        <v>12</v>
      </c>
      <c r="L240" s="38">
        <v>35114</v>
      </c>
      <c r="M240" s="38">
        <v>12</v>
      </c>
    </row>
    <row r="241" spans="1:19" x14ac:dyDescent="0.25">
      <c r="A241" s="39" t="str">
        <f>IF(F241="","",VLOOKUP(F241,Tabelle1[],3))</f>
        <v>ISTOG</v>
      </c>
      <c r="B241" s="40" t="str">
        <f>IF(F241="","",VLOOKUP(F241,Tabelle1[],2))</f>
        <v>LIRIDONA HOME</v>
      </c>
      <c r="C241" s="40"/>
      <c r="D241" s="41">
        <v>46052</v>
      </c>
      <c r="E241" s="80"/>
      <c r="F241" s="78">
        <v>20508</v>
      </c>
      <c r="G241" s="43">
        <v>120</v>
      </c>
      <c r="H241" s="38">
        <v>35109</v>
      </c>
      <c r="I241" s="38">
        <v>12</v>
      </c>
      <c r="J241" s="38">
        <v>35111</v>
      </c>
      <c r="K241" s="38">
        <v>12</v>
      </c>
      <c r="L241" s="38">
        <v>51612</v>
      </c>
      <c r="M241" s="38">
        <v>12</v>
      </c>
    </row>
    <row r="242" spans="1:19" x14ac:dyDescent="0.25">
      <c r="A242" s="39" t="str">
        <f>IF(F242="","",VLOOKUP(F242,Tabelle1[],3))</f>
        <v>ISTOG</v>
      </c>
      <c r="B242" s="40" t="str">
        <f>IF(F242="","",VLOOKUP(F242,Tabelle1[],2))</f>
        <v>BERATI A.P. (1)</v>
      </c>
      <c r="C242" s="40"/>
      <c r="D242" s="41">
        <v>46052</v>
      </c>
      <c r="E242" s="80"/>
      <c r="F242" s="78">
        <v>20513</v>
      </c>
      <c r="G242" s="43">
        <v>53</v>
      </c>
      <c r="H242" s="38">
        <v>49644</v>
      </c>
      <c r="I242" s="38">
        <v>12</v>
      </c>
      <c r="J242" s="38">
        <v>50912</v>
      </c>
      <c r="K242" s="38">
        <v>3</v>
      </c>
      <c r="L242" s="38">
        <v>29802</v>
      </c>
      <c r="M242" s="38">
        <v>4</v>
      </c>
    </row>
    <row r="243" spans="1:19" x14ac:dyDescent="0.25">
      <c r="A243" s="39" t="str">
        <f>IF(F243="","",VLOOKUP(F243,Tabelle1[],3))</f>
        <v>ISTOG</v>
      </c>
      <c r="B243" s="40" t="str">
        <f>IF(F243="","",VLOOKUP(F243,Tabelle1[],2))</f>
        <v>LIRIDONA-A</v>
      </c>
      <c r="C243" s="40"/>
      <c r="D243" s="41">
        <v>46052</v>
      </c>
      <c r="E243" s="80"/>
      <c r="F243" s="78">
        <v>20515</v>
      </c>
      <c r="G243" s="43">
        <v>84.6</v>
      </c>
      <c r="H243" s="38">
        <v>51611</v>
      </c>
      <c r="I243" s="38">
        <v>12</v>
      </c>
      <c r="J243" s="38">
        <v>66701</v>
      </c>
      <c r="K243" s="38">
        <v>12</v>
      </c>
    </row>
    <row r="244" spans="1:19" x14ac:dyDescent="0.25">
      <c r="A244" s="39" t="str">
        <f>IF(F244="","",VLOOKUP(F244,Tabelle1[],3))</f>
        <v>SKENDERAJ</v>
      </c>
      <c r="B244" s="40" t="str">
        <f>IF(F244="","",VLOOKUP(F244,Tabelle1[],2))</f>
        <v>TE BENI</v>
      </c>
      <c r="C244" s="40"/>
      <c r="D244" s="41">
        <v>46052</v>
      </c>
      <c r="E244" s="80"/>
      <c r="F244" s="78">
        <v>20407</v>
      </c>
      <c r="G244" s="43">
        <v>92.4</v>
      </c>
      <c r="H244" s="38">
        <v>35111</v>
      </c>
      <c r="I244" s="38">
        <v>12</v>
      </c>
      <c r="J244" s="38">
        <v>35114</v>
      </c>
      <c r="K244" s="38">
        <v>12</v>
      </c>
    </row>
    <row r="245" spans="1:19" x14ac:dyDescent="0.25">
      <c r="A245" s="39" t="str">
        <f>IF(F245="","",VLOOKUP(F245,Tabelle1[],3))</f>
        <v>DRENAS</v>
      </c>
      <c r="B245" s="40" t="str">
        <f>IF(F245="","",VLOOKUP(F245,Tabelle1[],2))</f>
        <v>TE MENTORI</v>
      </c>
      <c r="C245" s="40"/>
      <c r="D245" s="41">
        <v>46052</v>
      </c>
      <c r="E245" s="80"/>
      <c r="F245" s="78">
        <v>20404</v>
      </c>
      <c r="G245" s="43">
        <v>138.6</v>
      </c>
      <c r="H245" s="38">
        <v>35113</v>
      </c>
      <c r="I245" s="38">
        <v>12</v>
      </c>
      <c r="J245" s="38">
        <v>35114</v>
      </c>
      <c r="K245" s="38">
        <v>12</v>
      </c>
      <c r="L245" s="38">
        <v>35125</v>
      </c>
      <c r="M245" s="38">
        <v>12</v>
      </c>
    </row>
    <row r="246" spans="1:19" x14ac:dyDescent="0.25">
      <c r="A246" s="39" t="str">
        <f>IF(F246="","",VLOOKUP(F246,Tabelle1[],3))</f>
        <v>PODUJEVE</v>
      </c>
      <c r="B246" s="40" t="str">
        <f>IF(F246="","",VLOOKUP(F246,Tabelle1[],2))</f>
        <v>ALBANI</v>
      </c>
      <c r="C246" s="40"/>
      <c r="D246" s="41">
        <v>46053</v>
      </c>
      <c r="E246" s="80"/>
      <c r="F246" s="78">
        <v>10635</v>
      </c>
      <c r="G246" s="43">
        <v>46.2</v>
      </c>
      <c r="H246" s="38">
        <v>35109</v>
      </c>
      <c r="I246" s="38">
        <v>12</v>
      </c>
    </row>
    <row r="247" spans="1:19" x14ac:dyDescent="0.25">
      <c r="A247" s="39" t="str">
        <f>IF(F247="","",VLOOKUP(F247,Tabelle1[],3))</f>
        <v>PODUJEVE</v>
      </c>
      <c r="B247" s="40" t="str">
        <f>IF(F247="","",VLOOKUP(F247,Tabelle1[],2))</f>
        <v>BECOLOR</v>
      </c>
      <c r="C247" s="40"/>
      <c r="D247" s="41">
        <v>46053</v>
      </c>
      <c r="E247" s="80"/>
      <c r="F247" s="78">
        <v>10619</v>
      </c>
      <c r="G247" s="43">
        <v>27</v>
      </c>
      <c r="H247" s="38">
        <v>31818</v>
      </c>
      <c r="I247" s="38">
        <v>6</v>
      </c>
      <c r="J247" s="38">
        <v>51611</v>
      </c>
      <c r="K247" s="38">
        <v>12</v>
      </c>
    </row>
    <row r="248" spans="1:19" x14ac:dyDescent="0.25">
      <c r="A248" s="39" t="str">
        <f>IF(F248="","",VLOOKUP(F248,Tabelle1[],3))</f>
        <v>PODUJEVE</v>
      </c>
      <c r="B248" s="40" t="str">
        <f>IF(F248="","",VLOOKUP(F248,Tabelle1[],2))</f>
        <v>ALBANI</v>
      </c>
      <c r="C248" s="40"/>
      <c r="D248" s="41">
        <v>46053</v>
      </c>
      <c r="E248" s="80"/>
      <c r="F248" s="78">
        <v>10637</v>
      </c>
      <c r="G248" s="43">
        <v>117.9</v>
      </c>
      <c r="H248" s="38">
        <v>50912</v>
      </c>
      <c r="I248" s="38">
        <v>12</v>
      </c>
      <c r="J248" s="38">
        <v>44001</v>
      </c>
      <c r="K248" s="38">
        <v>4</v>
      </c>
      <c r="L248" s="38">
        <v>55718</v>
      </c>
      <c r="M248" s="38">
        <v>5</v>
      </c>
    </row>
    <row r="249" spans="1:19" x14ac:dyDescent="0.25">
      <c r="A249" s="39" t="str">
        <f>IF(F249="","",VLOOKUP(F249,Tabelle1[],3))</f>
        <v>PODUJEVE</v>
      </c>
      <c r="B249" s="40" t="str">
        <f>IF(F249="","",VLOOKUP(F249,Tabelle1[],2))</f>
        <v>KUSHA</v>
      </c>
      <c r="C249" s="40"/>
      <c r="D249" s="41">
        <v>46053</v>
      </c>
      <c r="E249" s="80"/>
      <c r="F249" s="78">
        <v>10604</v>
      </c>
      <c r="G249" s="43">
        <v>27.5</v>
      </c>
      <c r="H249" s="38">
        <v>54412</v>
      </c>
      <c r="I249" s="38">
        <v>6</v>
      </c>
      <c r="J249" s="38">
        <v>49644</v>
      </c>
      <c r="K249" s="38">
        <v>6</v>
      </c>
      <c r="L249" s="38">
        <v>44001</v>
      </c>
      <c r="M249" s="38">
        <v>1</v>
      </c>
    </row>
    <row r="250" spans="1:19" x14ac:dyDescent="0.25">
      <c r="A250" s="39" t="str">
        <f>IF(F250="","",VLOOKUP(F250,Tabelle1[],3))</f>
        <v>PODUJEVE</v>
      </c>
      <c r="B250" s="40" t="str">
        <f>IF(F250="","",VLOOKUP(F250,Tabelle1[],2))</f>
        <v>KUJTA</v>
      </c>
      <c r="C250" s="40"/>
      <c r="D250" s="41">
        <v>46053</v>
      </c>
      <c r="E250" s="80"/>
      <c r="F250" s="78">
        <v>10625</v>
      </c>
      <c r="G250" s="43">
        <v>92.4</v>
      </c>
      <c r="H250" s="38">
        <v>35115</v>
      </c>
      <c r="I250" s="38">
        <v>12</v>
      </c>
      <c r="J250" s="38">
        <v>35121</v>
      </c>
      <c r="K250" s="38">
        <v>12</v>
      </c>
    </row>
    <row r="251" spans="1:19" x14ac:dyDescent="0.25">
      <c r="A251" s="39" t="str">
        <f>IF(F251="","",VLOOKUP(F251,Tabelle1[],3))</f>
        <v>FERIZAJ</v>
      </c>
      <c r="B251" s="40" t="str">
        <f>IF(F251="","",VLOOKUP(F251,Tabelle1[],2))</f>
        <v>DIVA QERAMIKA</v>
      </c>
      <c r="C251" s="40"/>
      <c r="D251" s="41">
        <v>46053</v>
      </c>
      <c r="E251" s="80"/>
      <c r="F251" s="78">
        <v>20628</v>
      </c>
      <c r="G251" s="43">
        <v>92.4</v>
      </c>
      <c r="H251" s="38">
        <v>35113</v>
      </c>
      <c r="I251" s="38">
        <v>12</v>
      </c>
      <c r="J251" s="38">
        <v>35125</v>
      </c>
      <c r="K251" s="38">
        <v>12</v>
      </c>
    </row>
    <row r="252" spans="1:19" x14ac:dyDescent="0.25">
      <c r="A252" s="39" t="str">
        <f>IF(F252="","",VLOOKUP(F252,Tabelle1[],3))</f>
        <v>FERIZAJ</v>
      </c>
      <c r="B252" s="40" t="str">
        <f>IF(F252="","",VLOOKUP(F252,Tabelle1[],2))</f>
        <v>UNIKA</v>
      </c>
      <c r="C252" s="40"/>
      <c r="D252" s="41">
        <v>46053</v>
      </c>
      <c r="E252" s="80"/>
      <c r="F252" s="78">
        <v>20627</v>
      </c>
      <c r="G252" s="43">
        <v>92.4</v>
      </c>
      <c r="H252" s="38">
        <v>35109</v>
      </c>
      <c r="I252" s="38">
        <v>12</v>
      </c>
      <c r="J252" s="38">
        <v>35113</v>
      </c>
      <c r="K252" s="38">
        <v>12</v>
      </c>
    </row>
    <row r="253" spans="1:19" x14ac:dyDescent="0.25">
      <c r="A253" s="39" t="str">
        <f>IF(F253="","",VLOOKUP(F253,Tabelle1[],3))</f>
        <v>GERLIC</v>
      </c>
      <c r="B253" s="40" t="str">
        <f>IF(F253="","",VLOOKUP(F253,Tabelle1[],2))</f>
        <v>TE-SYLA</v>
      </c>
      <c r="C253" s="40"/>
      <c r="D253" s="41">
        <v>46053</v>
      </c>
      <c r="E253" s="80"/>
      <c r="F253" s="78">
        <v>20606</v>
      </c>
      <c r="G253" s="43">
        <v>141.6</v>
      </c>
      <c r="H253" s="38">
        <v>35125</v>
      </c>
      <c r="I253" s="38">
        <v>12</v>
      </c>
      <c r="J253" s="38">
        <v>50912</v>
      </c>
      <c r="K253" s="38">
        <v>12</v>
      </c>
      <c r="L253" s="38">
        <v>26736</v>
      </c>
      <c r="M253" s="38">
        <v>6</v>
      </c>
    </row>
    <row r="254" spans="1:19" x14ac:dyDescent="0.25">
      <c r="A254" s="39" t="str">
        <f>IF(F254="","",VLOOKUP(F254,Tabelle1[],3))</f>
        <v>FERIZAJ</v>
      </c>
      <c r="B254" s="40" t="str">
        <f>IF(F254="","",VLOOKUP(F254,Tabelle1[],2))</f>
        <v>LONI</v>
      </c>
      <c r="C254" s="40"/>
      <c r="D254" s="41">
        <v>46053</v>
      </c>
      <c r="E254" s="80"/>
      <c r="F254" s="78">
        <v>20608</v>
      </c>
      <c r="G254" s="43">
        <v>92.4</v>
      </c>
      <c r="H254" s="38">
        <v>35113</v>
      </c>
      <c r="I254" s="38">
        <v>12</v>
      </c>
      <c r="J254" s="38">
        <v>35121</v>
      </c>
      <c r="K254" s="38">
        <v>12</v>
      </c>
    </row>
    <row r="255" spans="1:19" x14ac:dyDescent="0.25">
      <c r="A255" s="39" t="str">
        <f>IF(F255="","",VLOOKUP(F255,Tabelle1[],3))</f>
        <v>KAQANIK</v>
      </c>
      <c r="B255" s="40" t="str">
        <f>IF(F255="","",VLOOKUP(F255,Tabelle1[],2))</f>
        <v>TE-LUTA</v>
      </c>
      <c r="C255" s="40"/>
      <c r="D255" s="41">
        <v>46053</v>
      </c>
      <c r="E255" s="80"/>
      <c r="F255" s="78">
        <v>20611</v>
      </c>
      <c r="G255" s="43">
        <v>333.9</v>
      </c>
      <c r="H255" s="38">
        <v>35109</v>
      </c>
      <c r="I255" s="38">
        <v>24</v>
      </c>
      <c r="J255" s="38">
        <v>35128</v>
      </c>
      <c r="K255" s="38">
        <v>24</v>
      </c>
      <c r="L255" s="38">
        <v>35110</v>
      </c>
      <c r="M255" s="38">
        <v>12</v>
      </c>
      <c r="N255" s="38">
        <v>35111</v>
      </c>
      <c r="O255" s="38">
        <v>12</v>
      </c>
      <c r="P255" s="38">
        <v>35113</v>
      </c>
      <c r="Q255" s="38">
        <v>12</v>
      </c>
      <c r="R255" s="38">
        <v>55718</v>
      </c>
      <c r="S255" s="38">
        <v>3</v>
      </c>
    </row>
    <row r="256" spans="1:19" x14ac:dyDescent="0.25">
      <c r="A256" s="39" t="str">
        <f>IF(F256="","",VLOOKUP(F256,Tabelle1[],3))</f>
        <v>GADIME</v>
      </c>
      <c r="B256" s="40" t="str">
        <f>IF(F256="","",VLOOKUP(F256,Tabelle1[],2))</f>
        <v>MIX-B</v>
      </c>
      <c r="C256" s="40"/>
      <c r="D256" s="41">
        <v>46053</v>
      </c>
      <c r="E256" s="80"/>
      <c r="F256" s="78">
        <v>20615</v>
      </c>
      <c r="G256" s="43">
        <v>103.8</v>
      </c>
      <c r="H256" s="38">
        <v>35121</v>
      </c>
      <c r="I256" s="38">
        <v>12</v>
      </c>
      <c r="J256" s="38">
        <v>51611</v>
      </c>
      <c r="K256" s="38">
        <v>24</v>
      </c>
      <c r="L256" s="38">
        <v>51612</v>
      </c>
      <c r="M256" s="38">
        <v>12</v>
      </c>
    </row>
    <row r="257" spans="1:17" x14ac:dyDescent="0.25">
      <c r="A257" s="39" t="str">
        <f>IF(F257="","",VLOOKUP(F257,Tabelle1[],3))</f>
        <v>PRISHTINE</v>
      </c>
      <c r="B257" s="40" t="str">
        <f>IF(F257="","",VLOOKUP(F257,Tabelle1[],2))</f>
        <v>HIDROELDI</v>
      </c>
      <c r="C257" s="40"/>
      <c r="D257" s="41">
        <v>46055</v>
      </c>
      <c r="E257" s="80"/>
      <c r="F257" s="78">
        <v>10133</v>
      </c>
      <c r="G257" s="43">
        <v>46.2</v>
      </c>
      <c r="H257" s="38">
        <v>35113</v>
      </c>
      <c r="I257" s="38">
        <v>12</v>
      </c>
    </row>
    <row r="258" spans="1:17" x14ac:dyDescent="0.25">
      <c r="A258" s="39" t="str">
        <f>IF(F258="","",VLOOKUP(F258,Tabelle1[],3))</f>
        <v>BARDHOSH</v>
      </c>
      <c r="B258" s="40" t="str">
        <f>IF(F258="","",VLOOKUP(F258,Tabelle1[],2))</f>
        <v>QELA</v>
      </c>
      <c r="C258" s="40"/>
      <c r="D258" s="41">
        <v>46055</v>
      </c>
      <c r="E258" s="80"/>
      <c r="F258" s="78">
        <v>10114</v>
      </c>
      <c r="G258" s="43">
        <v>64.2</v>
      </c>
      <c r="H258" s="38">
        <v>50912</v>
      </c>
      <c r="I258" s="38">
        <v>6</v>
      </c>
      <c r="J258" s="38">
        <v>44001</v>
      </c>
      <c r="K258" s="38">
        <v>6</v>
      </c>
    </row>
    <row r="259" spans="1:17" x14ac:dyDescent="0.25">
      <c r="A259" s="39" t="str">
        <f>IF(F259="","",VLOOKUP(F259,Tabelle1[],3))</f>
        <v>PRISHTINE</v>
      </c>
      <c r="B259" s="40" t="str">
        <f>IF(F259="","",VLOOKUP(F259,Tabelle1[],2))</f>
        <v>KADIJOLLET</v>
      </c>
      <c r="C259" s="40"/>
      <c r="D259" s="41">
        <v>46055</v>
      </c>
      <c r="E259" s="80"/>
      <c r="F259" s="78">
        <v>10111</v>
      </c>
      <c r="G259" s="43">
        <v>87.7</v>
      </c>
      <c r="H259" s="38">
        <v>35111</v>
      </c>
      <c r="I259" s="38">
        <v>12</v>
      </c>
      <c r="J259" s="38">
        <v>50912</v>
      </c>
      <c r="K259" s="38">
        <v>2</v>
      </c>
      <c r="L259" s="38">
        <v>54412</v>
      </c>
      <c r="M259" s="38">
        <v>5</v>
      </c>
      <c r="N259" s="38">
        <v>49644</v>
      </c>
      <c r="O259" s="38">
        <v>5</v>
      </c>
      <c r="P259" s="38">
        <v>55718</v>
      </c>
      <c r="Q259" s="38">
        <v>2</v>
      </c>
    </row>
    <row r="260" spans="1:17" x14ac:dyDescent="0.25">
      <c r="A260" s="39" t="str">
        <f>IF(F260="","",VLOOKUP(F260,Tabelle1[],3))</f>
        <v>PRISHTINE</v>
      </c>
      <c r="B260" s="40" t="str">
        <f>IF(F260="","",VLOOKUP(F260,Tabelle1[],2))</f>
        <v>JETARI</v>
      </c>
      <c r="C260" s="40"/>
      <c r="D260" s="41">
        <v>46055</v>
      </c>
      <c r="E260" s="80"/>
      <c r="F260" s="78">
        <v>10104</v>
      </c>
      <c r="G260" s="43">
        <v>92.4</v>
      </c>
      <c r="H260" s="38">
        <v>35113</v>
      </c>
      <c r="I260" s="38">
        <v>12</v>
      </c>
      <c r="J260" s="38">
        <v>35125</v>
      </c>
      <c r="K260" s="38">
        <v>12</v>
      </c>
    </row>
    <row r="261" spans="1:17" x14ac:dyDescent="0.25">
      <c r="A261" s="39" t="str">
        <f>IF(F261="","",VLOOKUP(F261,Tabelle1[],3))</f>
        <v>PODUJEVE</v>
      </c>
      <c r="B261" s="40" t="str">
        <f>IF(F261="","",VLOOKUP(F261,Tabelle1[],2))</f>
        <v>AP PETRITI</v>
      </c>
      <c r="C261" s="40"/>
      <c r="D261" s="41">
        <v>46055</v>
      </c>
      <c r="E261" s="80"/>
      <c r="F261" s="78">
        <v>10627</v>
      </c>
      <c r="G261" s="43">
        <v>10</v>
      </c>
      <c r="H261" s="38">
        <v>54412</v>
      </c>
      <c r="I261" s="38">
        <v>5</v>
      </c>
    </row>
    <row r="262" spans="1:17" x14ac:dyDescent="0.25">
      <c r="A262" s="39" t="str">
        <f>IF(F262="","",VLOOKUP(F262,Tabelle1[],3))</f>
        <v>PRIZREN</v>
      </c>
      <c r="B262" s="40" t="str">
        <f>IF(F262="","",VLOOKUP(F262,Tabelle1[],2))</f>
        <v>QEMA</v>
      </c>
      <c r="C262" s="40"/>
      <c r="D262" s="41">
        <v>46056</v>
      </c>
      <c r="E262" s="80"/>
      <c r="F262" s="78">
        <v>10255</v>
      </c>
      <c r="G262" s="43">
        <v>208.8</v>
      </c>
      <c r="H262" s="38">
        <v>66701</v>
      </c>
      <c r="I262" s="38">
        <v>36</v>
      </c>
    </row>
    <row r="263" spans="1:17" x14ac:dyDescent="0.25">
      <c r="A263" s="39" t="str">
        <f>IF(F263="","",VLOOKUP(F263,Tabelle1[],3))</f>
        <v>PRIZREN</v>
      </c>
      <c r="B263" s="40" t="str">
        <f>IF(F263="","",VLOOKUP(F263,Tabelle1[],2))</f>
        <v>ARSIMI</v>
      </c>
      <c r="C263" s="40"/>
      <c r="D263" s="41">
        <v>46056</v>
      </c>
      <c r="E263" s="80"/>
      <c r="F263" s="78">
        <v>10258</v>
      </c>
      <c r="G263" s="43">
        <v>92.4</v>
      </c>
      <c r="H263" s="38">
        <v>35111</v>
      </c>
      <c r="I263" s="38">
        <v>24</v>
      </c>
    </row>
    <row r="264" spans="1:17" x14ac:dyDescent="0.25">
      <c r="A264" s="39" t="str">
        <f>IF(F264="","",VLOOKUP(F264,Tabelle1[],3))</f>
        <v>PRIZREN</v>
      </c>
      <c r="B264" s="40" t="str">
        <f>IF(F264="","",VLOOKUP(F264,Tabelle1[],2))</f>
        <v>MONI 2</v>
      </c>
      <c r="C264" s="40"/>
      <c r="D264" s="41">
        <v>46056</v>
      </c>
      <c r="E264" s="80"/>
      <c r="F264" s="78">
        <v>10210</v>
      </c>
      <c r="G264" s="43">
        <v>92.4</v>
      </c>
      <c r="H264" s="38">
        <v>35112</v>
      </c>
      <c r="I264" s="38">
        <v>12</v>
      </c>
      <c r="J264" s="38">
        <v>35119</v>
      </c>
      <c r="K264" s="38">
        <v>12</v>
      </c>
    </row>
    <row r="265" spans="1:17" x14ac:dyDescent="0.25">
      <c r="A265" s="39" t="str">
        <f>IF(F265="","",VLOOKUP(F265,Tabelle1[],3))</f>
        <v>PRIZREN</v>
      </c>
      <c r="B265" s="40" t="str">
        <f>IF(F265="","",VLOOKUP(F265,Tabelle1[],2))</f>
        <v>ARPO</v>
      </c>
      <c r="C265" s="40"/>
      <c r="D265" s="41">
        <v>46056</v>
      </c>
      <c r="E265" s="80"/>
      <c r="F265" s="78">
        <v>10240</v>
      </c>
      <c r="G265" s="43">
        <v>184.8</v>
      </c>
      <c r="H265" s="38">
        <v>35108</v>
      </c>
      <c r="I265" s="38">
        <v>12</v>
      </c>
      <c r="J265" s="38">
        <v>35121</v>
      </c>
      <c r="K265" s="38">
        <v>12</v>
      </c>
      <c r="L265" s="38">
        <v>35109</v>
      </c>
      <c r="M265" s="38">
        <v>24</v>
      </c>
    </row>
    <row r="266" spans="1:17" x14ac:dyDescent="0.25">
      <c r="A266" s="39" t="str">
        <f>IF(F266="","",VLOOKUP(F266,Tabelle1[],3))</f>
        <v>SHIROK</v>
      </c>
      <c r="B266" s="40" t="str">
        <f>IF(F266="","",VLOOKUP(F266,Tabelle1[],2))</f>
        <v>XHAFA</v>
      </c>
      <c r="C266" s="40"/>
      <c r="D266" s="41">
        <v>46056</v>
      </c>
      <c r="E266" s="80"/>
      <c r="F266" s="78">
        <v>10205</v>
      </c>
      <c r="G266" s="43">
        <v>46.2</v>
      </c>
      <c r="H266" s="38">
        <v>35108</v>
      </c>
      <c r="I266" s="38">
        <v>12</v>
      </c>
    </row>
    <row r="267" spans="1:17" x14ac:dyDescent="0.25">
      <c r="A267" s="39" t="str">
        <f>IF(F267="","",VLOOKUP(F267,Tabelle1[],3))</f>
        <v>SHTIME</v>
      </c>
      <c r="B267" s="40" t="str">
        <f>IF(F267="","",VLOOKUP(F267,Tabelle1[],2))</f>
        <v>TAULANTI</v>
      </c>
      <c r="C267" s="40"/>
      <c r="D267" s="41">
        <v>46056</v>
      </c>
      <c r="E267" s="80"/>
      <c r="F267" s="78">
        <v>10251</v>
      </c>
      <c r="G267" s="43">
        <v>92.4</v>
      </c>
      <c r="H267" s="38">
        <v>35109</v>
      </c>
      <c r="I267" s="38">
        <v>12</v>
      </c>
      <c r="J267" s="38">
        <v>35115</v>
      </c>
      <c r="K267" s="38">
        <v>12</v>
      </c>
    </row>
    <row r="268" spans="1:17" x14ac:dyDescent="0.25">
      <c r="A268" s="39" t="str">
        <f>IF(F268="","",VLOOKUP(F268,Tabelle1[],3))</f>
        <v>PRIZREN</v>
      </c>
      <c r="B268" s="40" t="str">
        <f>IF(F268="","",VLOOKUP(F268,Tabelle1[],2))</f>
        <v>TEMAJ</v>
      </c>
      <c r="C268" s="40"/>
      <c r="D268" s="41">
        <v>46056</v>
      </c>
      <c r="E268" s="80"/>
      <c r="F268" s="78">
        <v>40019</v>
      </c>
      <c r="G268" s="43">
        <v>92.4</v>
      </c>
      <c r="H268" s="38">
        <v>35110</v>
      </c>
      <c r="I268" s="38">
        <v>24</v>
      </c>
    </row>
    <row r="269" spans="1:17" x14ac:dyDescent="0.25">
      <c r="A269" s="39" t="str">
        <f>IF(F269="","",VLOOKUP(F269,Tabelle1[],3))</f>
        <v>PEJE</v>
      </c>
      <c r="B269" s="40" t="str">
        <f>IF(F269="","",VLOOKUP(F269,Tabelle1[],2))</f>
        <v>TERMO PROJEKT</v>
      </c>
      <c r="C269" s="40"/>
      <c r="D269" s="41">
        <v>46056</v>
      </c>
      <c r="E269" s="80"/>
      <c r="F269" s="78">
        <v>20127</v>
      </c>
      <c r="G269" s="43">
        <v>208.8</v>
      </c>
      <c r="H269" s="38">
        <v>66701</v>
      </c>
      <c r="I269" s="38">
        <v>36</v>
      </c>
    </row>
    <row r="270" spans="1:17" x14ac:dyDescent="0.25">
      <c r="A270" s="39" t="str">
        <f>IF(F270="","",VLOOKUP(F270,Tabelle1[],3))</f>
        <v>GJAKOVE</v>
      </c>
      <c r="B270" s="40" t="str">
        <f>IF(F270="","",VLOOKUP(F270,Tabelle1[],2))</f>
        <v>V. GJONAJ</v>
      </c>
      <c r="C270" s="40"/>
      <c r="D270" s="41">
        <v>46056</v>
      </c>
      <c r="E270" s="80"/>
      <c r="F270" s="78">
        <v>20208</v>
      </c>
      <c r="G270" s="43">
        <v>30</v>
      </c>
      <c r="H270" s="38">
        <v>51611</v>
      </c>
      <c r="I270" s="38">
        <v>24</v>
      </c>
    </row>
    <row r="271" spans="1:17" x14ac:dyDescent="0.25">
      <c r="A271" s="39" t="str">
        <f>IF(F271="","",VLOOKUP(F271,Tabelle1[],3))</f>
        <v>GJAKOVE</v>
      </c>
      <c r="B271" s="40" t="str">
        <f>IF(F271="","",VLOOKUP(F271,Tabelle1[],2))</f>
        <v>LETAJ</v>
      </c>
      <c r="C271" s="40"/>
      <c r="D271" s="41">
        <v>46056</v>
      </c>
      <c r="E271" s="80"/>
      <c r="F271" s="78">
        <v>20209</v>
      </c>
      <c r="G271" s="43">
        <v>208.2</v>
      </c>
      <c r="H271" s="38">
        <v>35110</v>
      </c>
      <c r="I271" s="38">
        <v>12</v>
      </c>
      <c r="J271" s="38">
        <v>66701</v>
      </c>
      <c r="K271" s="38">
        <v>12</v>
      </c>
      <c r="L271" s="38">
        <v>35115</v>
      </c>
      <c r="M271" s="38">
        <v>12</v>
      </c>
      <c r="N271" s="38">
        <v>35121</v>
      </c>
      <c r="O271" s="38">
        <v>12</v>
      </c>
    </row>
    <row r="272" spans="1:17" x14ac:dyDescent="0.25">
      <c r="A272" s="39" t="str">
        <f>IF(F272="","",VLOOKUP(F272,Tabelle1[],3))</f>
        <v>PEJE</v>
      </c>
      <c r="B272" s="40" t="str">
        <f>IF(F272="","",VLOOKUP(F272,Tabelle1[],2))</f>
        <v>KENA COMERC</v>
      </c>
      <c r="C272" s="40"/>
      <c r="D272" s="41">
        <v>46056</v>
      </c>
      <c r="E272" s="80"/>
      <c r="F272" s="78">
        <v>20109</v>
      </c>
      <c r="G272" s="43">
        <v>76.2</v>
      </c>
      <c r="H272" s="38">
        <v>35114</v>
      </c>
      <c r="I272" s="38">
        <v>12</v>
      </c>
      <c r="J272" s="38">
        <v>51611</v>
      </c>
      <c r="K272" s="38">
        <v>24</v>
      </c>
    </row>
    <row r="273" spans="1:17" x14ac:dyDescent="0.25">
      <c r="A273" s="39" t="str">
        <f>IF(F273="","",VLOOKUP(F273,Tabelle1[],3))</f>
        <v>GJAKOVE</v>
      </c>
      <c r="B273" s="40" t="str">
        <f>IF(F273="","",VLOOKUP(F273,Tabelle1[],2))</f>
        <v>INOX 2</v>
      </c>
      <c r="C273" s="40"/>
      <c r="D273" s="41">
        <v>46056</v>
      </c>
      <c r="E273" s="80"/>
      <c r="F273" s="78">
        <v>20212</v>
      </c>
      <c r="G273" s="43">
        <v>112.2</v>
      </c>
      <c r="H273" s="38">
        <v>66701</v>
      </c>
      <c r="I273" s="38">
        <v>12</v>
      </c>
      <c r="J273" s="38">
        <v>51611</v>
      </c>
      <c r="K273" s="38">
        <v>12</v>
      </c>
      <c r="L273" s="38">
        <v>51612</v>
      </c>
      <c r="M273" s="38">
        <v>12</v>
      </c>
    </row>
    <row r="274" spans="1:17" x14ac:dyDescent="0.25">
      <c r="A274" s="39" t="str">
        <f>IF(F274="","",VLOOKUP(F274,Tabelle1[],3))</f>
        <v>DEQAN</v>
      </c>
      <c r="B274" s="40" t="str">
        <f>IF(F274="","",VLOOKUP(F274,Tabelle1[],2))</f>
        <v>TE BESIMI</v>
      </c>
      <c r="C274" s="40"/>
      <c r="D274" s="41">
        <v>46056</v>
      </c>
      <c r="E274" s="80"/>
      <c r="F274" s="78">
        <v>20201</v>
      </c>
      <c r="G274" s="43">
        <v>92.4</v>
      </c>
      <c r="H274" s="38">
        <v>35111</v>
      </c>
      <c r="I274" s="38">
        <v>12</v>
      </c>
      <c r="J274" s="38">
        <v>35125</v>
      </c>
      <c r="K274" s="38">
        <v>12</v>
      </c>
    </row>
    <row r="275" spans="1:17" x14ac:dyDescent="0.25">
      <c r="A275" s="39" t="str">
        <f>IF(F275="","",VLOOKUP(F275,Tabelle1[],3))</f>
        <v>PEJE</v>
      </c>
      <c r="B275" s="40" t="str">
        <f>IF(F275="","",VLOOKUP(F275,Tabelle1[],2))</f>
        <v>KUQI-LKW</v>
      </c>
      <c r="C275" s="40"/>
      <c r="D275" s="41">
        <v>46056</v>
      </c>
      <c r="E275" s="80"/>
      <c r="F275" s="78">
        <v>20102</v>
      </c>
      <c r="G275" s="43">
        <v>100.4</v>
      </c>
      <c r="H275" s="38">
        <v>50912</v>
      </c>
      <c r="I275" s="38">
        <v>12</v>
      </c>
      <c r="J275" s="38">
        <v>55718</v>
      </c>
      <c r="K275" s="38">
        <v>4</v>
      </c>
    </row>
    <row r="276" spans="1:17" x14ac:dyDescent="0.25">
      <c r="A276" s="39" t="str">
        <f>IF(F276="","",VLOOKUP(F276,Tabelle1[],3))</f>
        <v>HOME KIM TEC</v>
      </c>
      <c r="B276" s="40" t="str">
        <f>IF(F276="","",VLOOKUP(F276,Tabelle1[],2))</f>
        <v>ARBENI BIOBLIC</v>
      </c>
      <c r="C276" s="40"/>
      <c r="D276" s="41">
        <v>46056</v>
      </c>
      <c r="E276" s="80"/>
      <c r="F276" s="78">
        <v>40003</v>
      </c>
      <c r="G276" s="43">
        <v>228</v>
      </c>
      <c r="H276" s="38">
        <v>20000</v>
      </c>
      <c r="I276" s="38">
        <v>10</v>
      </c>
      <c r="J276" s="38">
        <v>20001</v>
      </c>
      <c r="K276" s="38">
        <v>110</v>
      </c>
      <c r="L276" s="38">
        <v>30275</v>
      </c>
      <c r="M276" s="38">
        <v>40</v>
      </c>
      <c r="N276" s="38">
        <v>39505</v>
      </c>
      <c r="O276" s="38">
        <v>6</v>
      </c>
      <c r="P276" s="38">
        <v>50912</v>
      </c>
      <c r="Q276" s="38">
        <v>1</v>
      </c>
    </row>
    <row r="277" spans="1:17" x14ac:dyDescent="0.25">
      <c r="A277" s="39" t="str">
        <f>IF(F277="","",VLOOKUP(F277,Tabelle1[],3))</f>
        <v>GJILAN</v>
      </c>
      <c r="B277" s="40" t="str">
        <f>IF(F277="","",VLOOKUP(F277,Tabelle1[],2))</f>
        <v>FUNDAMETI</v>
      </c>
      <c r="C277" s="40"/>
      <c r="D277" s="41">
        <v>46057</v>
      </c>
      <c r="E277" s="80"/>
      <c r="F277" s="78">
        <v>10301</v>
      </c>
      <c r="G277" s="43">
        <v>98.4</v>
      </c>
      <c r="H277" s="38">
        <v>35121</v>
      </c>
      <c r="I277" s="38">
        <v>24</v>
      </c>
      <c r="J277" s="38">
        <v>39505</v>
      </c>
      <c r="K277" s="38">
        <v>2</v>
      </c>
    </row>
    <row r="278" spans="1:17" x14ac:dyDescent="0.25">
      <c r="A278" s="39" t="str">
        <f>IF(F278="","",VLOOKUP(F278,Tabelle1[],3))</f>
        <v>VITI</v>
      </c>
      <c r="B278" s="40" t="str">
        <f>IF(F278="","",VLOOKUP(F278,Tabelle1[],2))</f>
        <v>BALLKANI</v>
      </c>
      <c r="C278" s="40"/>
      <c r="D278" s="41">
        <v>46057</v>
      </c>
      <c r="E278" s="80"/>
      <c r="F278" s="78">
        <v>10350</v>
      </c>
      <c r="G278" s="43">
        <v>92.4</v>
      </c>
      <c r="H278" s="38">
        <v>35121</v>
      </c>
      <c r="I278" s="38">
        <v>12</v>
      </c>
      <c r="J278" s="38">
        <v>35119</v>
      </c>
      <c r="K278" s="38">
        <v>12</v>
      </c>
    </row>
    <row r="279" spans="1:17" x14ac:dyDescent="0.25">
      <c r="A279" s="39" t="str">
        <f>IF(F279="","",VLOOKUP(F279,Tabelle1[],3))</f>
        <v>VITI</v>
      </c>
      <c r="B279" s="40" t="str">
        <f>IF(F279="","",VLOOKUP(F279,Tabelle1[],2))</f>
        <v>SMIRA</v>
      </c>
      <c r="C279" s="40"/>
      <c r="D279" s="41">
        <v>46057</v>
      </c>
      <c r="E279" s="80"/>
      <c r="F279" s="78">
        <v>10352</v>
      </c>
      <c r="G279" s="43">
        <v>138.6</v>
      </c>
      <c r="H279" s="38">
        <v>35109</v>
      </c>
      <c r="I279" s="38">
        <v>12</v>
      </c>
      <c r="J279" s="38">
        <v>35113</v>
      </c>
      <c r="K279" s="38">
        <v>12</v>
      </c>
      <c r="L279" s="38">
        <v>35128</v>
      </c>
      <c r="M279" s="38">
        <v>12</v>
      </c>
    </row>
    <row r="280" spans="1:17" x14ac:dyDescent="0.25">
      <c r="A280" s="39" t="str">
        <f>IF(F280="","",VLOOKUP(F280,Tabelle1[],3))</f>
        <v>GJILAN</v>
      </c>
      <c r="B280" s="40" t="str">
        <f>IF(F280="","",VLOOKUP(F280,Tabelle1[],2))</f>
        <v>BEKA-3</v>
      </c>
      <c r="C280" s="40"/>
      <c r="D280" s="41">
        <v>46057</v>
      </c>
      <c r="E280" s="80"/>
      <c r="F280" s="78">
        <v>10323</v>
      </c>
      <c r="G280" s="43">
        <v>86.4</v>
      </c>
      <c r="H280" s="38">
        <v>50912</v>
      </c>
      <c r="I280" s="38">
        <v>12</v>
      </c>
    </row>
    <row r="281" spans="1:17" x14ac:dyDescent="0.25">
      <c r="A281" s="39" t="str">
        <f>IF(F281="","",VLOOKUP(F281,Tabelle1[],3))</f>
        <v>GJILAN</v>
      </c>
      <c r="B281" s="40" t="str">
        <f>IF(F281="","",VLOOKUP(F281,Tabelle1[],2))</f>
        <v>FUNDAMETI</v>
      </c>
      <c r="C281" s="40"/>
      <c r="D281" s="41">
        <v>46057</v>
      </c>
      <c r="E281" s="80"/>
      <c r="F281" s="78">
        <v>10301</v>
      </c>
      <c r="G281" s="43">
        <v>184.8</v>
      </c>
      <c r="H281" s="38">
        <v>35113</v>
      </c>
      <c r="I281" s="38">
        <v>24</v>
      </c>
      <c r="J281" s="38">
        <v>35121</v>
      </c>
      <c r="K281" s="38">
        <v>24</v>
      </c>
    </row>
    <row r="282" spans="1:17" x14ac:dyDescent="0.25">
      <c r="A282" s="39" t="str">
        <f>IF(F282="","",VLOOKUP(F282,Tabelle1[],3))</f>
        <v>GJILAN</v>
      </c>
      <c r="B282" s="40" t="str">
        <f>IF(F282="","",VLOOKUP(F282,Tabelle1[],2))</f>
        <v>FATMIRI</v>
      </c>
      <c r="C282" s="40"/>
      <c r="D282" s="41">
        <v>46057</v>
      </c>
      <c r="E282" s="80"/>
      <c r="F282" s="78">
        <v>10313</v>
      </c>
      <c r="G282" s="43">
        <v>138.6</v>
      </c>
      <c r="H282" s="38">
        <v>35121</v>
      </c>
      <c r="I282" s="38">
        <v>24</v>
      </c>
      <c r="J282" s="38">
        <v>35109</v>
      </c>
      <c r="K282" s="38">
        <v>12</v>
      </c>
    </row>
    <row r="283" spans="1:17" x14ac:dyDescent="0.25">
      <c r="A283" s="39" t="str">
        <f>IF(F283="","",VLOOKUP(F283,Tabelle1[],3))</f>
        <v>PRIZREN</v>
      </c>
      <c r="B283" s="40" t="str">
        <f>IF(F283="","",VLOOKUP(F283,Tabelle1[],2))</f>
        <v>TEMAJ</v>
      </c>
      <c r="C283" s="40"/>
      <c r="D283" s="41">
        <v>46057</v>
      </c>
      <c r="E283" s="80"/>
      <c r="F283" s="78">
        <v>40019</v>
      </c>
      <c r="G283" s="43">
        <v>92.4</v>
      </c>
      <c r="H283" s="38">
        <v>35110</v>
      </c>
      <c r="I283" s="38">
        <v>12</v>
      </c>
      <c r="J283" s="38">
        <v>35111</v>
      </c>
      <c r="K283" s="38">
        <v>12</v>
      </c>
    </row>
    <row r="284" spans="1:17" x14ac:dyDescent="0.25">
      <c r="A284" s="39" t="str">
        <f>IF(F284="","",VLOOKUP(F284,Tabelle1[],3))</f>
        <v>MALISHEVE</v>
      </c>
      <c r="B284" s="40" t="str">
        <f>IF(F284="","",VLOOKUP(F284,Tabelle1[],2))</f>
        <v>HAZROLLI</v>
      </c>
      <c r="C284" s="40"/>
      <c r="D284" s="41">
        <v>46057</v>
      </c>
      <c r="E284" s="80"/>
      <c r="F284" s="78">
        <v>20301</v>
      </c>
      <c r="G284" s="43">
        <v>92.4</v>
      </c>
      <c r="H284" s="38">
        <v>35113</v>
      </c>
      <c r="I284" s="38">
        <v>24</v>
      </c>
    </row>
    <row r="285" spans="1:17" x14ac:dyDescent="0.25">
      <c r="A285" s="39" t="str">
        <f>IF(F285="","",VLOOKUP(F285,Tabelle1[],3))</f>
        <v>RAHOVEC</v>
      </c>
      <c r="B285" s="40" t="str">
        <f>IF(F285="","",VLOOKUP(F285,Tabelle1[],2))</f>
        <v>DURGUTI 3</v>
      </c>
      <c r="C285" s="40"/>
      <c r="D285" s="41">
        <v>46057</v>
      </c>
      <c r="E285" s="80"/>
      <c r="F285" s="78">
        <v>20313</v>
      </c>
      <c r="G285" s="43">
        <v>120</v>
      </c>
      <c r="H285" s="38">
        <v>35110</v>
      </c>
      <c r="I285" s="38">
        <v>12</v>
      </c>
      <c r="J285" s="38">
        <v>35111</v>
      </c>
      <c r="K285" s="38">
        <v>12</v>
      </c>
      <c r="L285" s="38">
        <v>51612</v>
      </c>
      <c r="M285" s="38">
        <v>12</v>
      </c>
    </row>
    <row r="286" spans="1:17" x14ac:dyDescent="0.25">
      <c r="A286" s="39" t="str">
        <f>IF(F286="","",VLOOKUP(F286,Tabelle1[],3))</f>
        <v>RAHOVEC</v>
      </c>
      <c r="B286" s="40" t="str">
        <f>IF(F286="","",VLOOKUP(F286,Tabelle1[],2))</f>
        <v>CONDOR</v>
      </c>
      <c r="C286" s="40"/>
      <c r="D286" s="41">
        <v>46057</v>
      </c>
      <c r="E286" s="80"/>
      <c r="F286" s="78">
        <v>20307</v>
      </c>
      <c r="G286" s="43">
        <v>205.8</v>
      </c>
      <c r="H286" s="38">
        <v>35111</v>
      </c>
      <c r="I286" s="38">
        <v>12</v>
      </c>
      <c r="J286" s="38">
        <v>35115</v>
      </c>
      <c r="K286" s="38">
        <v>12</v>
      </c>
      <c r="L286" s="38">
        <v>35128</v>
      </c>
      <c r="M286" s="38">
        <v>12</v>
      </c>
      <c r="N286" s="38">
        <v>51612</v>
      </c>
      <c r="O286" s="38">
        <v>24</v>
      </c>
      <c r="P286" s="38">
        <v>49644</v>
      </c>
      <c r="Q286" s="38">
        <v>6</v>
      </c>
    </row>
    <row r="287" spans="1:17" x14ac:dyDescent="0.25">
      <c r="A287" s="39" t="str">
        <f>IF(F287="","",VLOOKUP(F287,Tabelle1[],3))</f>
        <v>MALISHEVE</v>
      </c>
      <c r="B287" s="40" t="str">
        <f>IF(F287="","",VLOOKUP(F287,Tabelle1[],2))</f>
        <v>AGRO-FARM</v>
      </c>
      <c r="C287" s="40"/>
      <c r="D287" s="41">
        <v>46057</v>
      </c>
      <c r="E287" s="80"/>
      <c r="F287" s="78">
        <v>20304</v>
      </c>
      <c r="G287" s="43">
        <v>116.4</v>
      </c>
      <c r="H287" s="38">
        <v>35110</v>
      </c>
      <c r="I287" s="38">
        <v>12</v>
      </c>
      <c r="J287" s="38">
        <v>35111</v>
      </c>
      <c r="K287" s="38">
        <v>12</v>
      </c>
      <c r="L287" s="38">
        <v>37112</v>
      </c>
      <c r="M287" s="38">
        <v>60</v>
      </c>
    </row>
    <row r="288" spans="1:17" x14ac:dyDescent="0.25">
      <c r="A288" s="39" t="str">
        <f>IF(F288="","",VLOOKUP(F288,Tabelle1[],3))</f>
        <v>RAHOVEC</v>
      </c>
      <c r="B288" s="40" t="str">
        <f>IF(F288="","",VLOOKUP(F288,Tabelle1[],2))</f>
        <v>SHEHU-A</v>
      </c>
      <c r="C288" s="40"/>
      <c r="D288" s="41">
        <v>46057</v>
      </c>
      <c r="E288" s="80"/>
      <c r="F288" s="78">
        <v>20317</v>
      </c>
      <c r="G288" s="43">
        <v>98.4</v>
      </c>
      <c r="H288" s="38">
        <v>50912</v>
      </c>
      <c r="I288" s="38">
        <v>12</v>
      </c>
      <c r="J288" s="38">
        <v>49644</v>
      </c>
      <c r="K288" s="38">
        <v>6</v>
      </c>
    </row>
    <row r="289" spans="1:17" x14ac:dyDescent="0.25">
      <c r="A289" s="39" t="str">
        <f>IF(F289="","",VLOOKUP(F289,Tabelle1[],3))</f>
        <v>RAHOVEC</v>
      </c>
      <c r="B289" s="40" t="str">
        <f>IF(F289="","",VLOOKUP(F289,Tabelle1[],2))</f>
        <v>SOPAJ</v>
      </c>
      <c r="C289" s="40"/>
      <c r="D289" s="41">
        <v>46057</v>
      </c>
      <c r="E289" s="80"/>
      <c r="F289" s="78">
        <v>20311</v>
      </c>
      <c r="G289" s="43">
        <v>84.6</v>
      </c>
      <c r="H289" s="38">
        <v>66701</v>
      </c>
      <c r="I289" s="38">
        <v>12</v>
      </c>
      <c r="J289" s="38">
        <v>51611</v>
      </c>
      <c r="K289" s="38">
        <v>12</v>
      </c>
    </row>
    <row r="290" spans="1:17" x14ac:dyDescent="0.25">
      <c r="A290" s="39" t="str">
        <f>IF(F290="","",VLOOKUP(F290,Tabelle1[],3))</f>
        <v>MALISHEVE</v>
      </c>
      <c r="B290" s="40" t="str">
        <f>IF(F290="","",VLOOKUP(F290,Tabelle1[],2))</f>
        <v>GASHI</v>
      </c>
      <c r="C290" s="40"/>
      <c r="D290" s="41">
        <v>46057</v>
      </c>
      <c r="E290" s="80"/>
      <c r="F290" s="78">
        <v>20330</v>
      </c>
      <c r="G290" s="43">
        <v>91.2</v>
      </c>
      <c r="H290" s="38">
        <v>35110</v>
      </c>
      <c r="I290" s="38">
        <v>12</v>
      </c>
      <c r="J290" s="38">
        <v>51611</v>
      </c>
      <c r="K290" s="38">
        <v>36</v>
      </c>
    </row>
    <row r="291" spans="1:17" x14ac:dyDescent="0.25">
      <c r="A291" s="39" t="str">
        <f>IF(F291="","",VLOOKUP(F291,Tabelle1[],3))</f>
        <v>VUSHTRRI</v>
      </c>
      <c r="B291" s="40" t="str">
        <f>IF(F291="","",VLOOKUP(F291,Tabelle1[],2))</f>
        <v>ENISI - H</v>
      </c>
      <c r="C291" s="40"/>
      <c r="D291" s="41">
        <v>46058</v>
      </c>
      <c r="E291" s="80"/>
      <c r="F291" s="78">
        <v>10428</v>
      </c>
      <c r="G291" s="43">
        <v>92.4</v>
      </c>
      <c r="H291" s="38">
        <v>35111</v>
      </c>
      <c r="I291" s="38">
        <v>12</v>
      </c>
      <c r="J291" s="38">
        <v>35112</v>
      </c>
      <c r="K291" s="38">
        <v>12</v>
      </c>
    </row>
    <row r="292" spans="1:17" x14ac:dyDescent="0.25">
      <c r="A292" s="39" t="str">
        <f>IF(F292="","",VLOOKUP(F292,Tabelle1[],3))</f>
        <v>MITROVICE</v>
      </c>
      <c r="B292" s="40" t="str">
        <f>IF(F292="","",VLOOKUP(F292,Tabelle1[],2))</f>
        <v>GRANITI</v>
      </c>
      <c r="C292" s="40"/>
      <c r="D292" s="41">
        <v>46058</v>
      </c>
      <c r="E292" s="80"/>
      <c r="F292" s="78">
        <v>10410</v>
      </c>
      <c r="G292" s="43">
        <v>46.2</v>
      </c>
      <c r="H292" s="38">
        <v>35109</v>
      </c>
      <c r="I292" s="38">
        <v>12</v>
      </c>
    </row>
    <row r="293" spans="1:17" x14ac:dyDescent="0.25">
      <c r="A293" s="39" t="str">
        <f>IF(F293="","",VLOOKUP(F293,Tabelle1[],3))</f>
        <v>MITROVICE</v>
      </c>
      <c r="B293" s="40" t="str">
        <f>IF(F293="","",VLOOKUP(F293,Tabelle1[],2))</f>
        <v>UNIVERZAL</v>
      </c>
      <c r="C293" s="40"/>
      <c r="D293" s="41">
        <v>46058</v>
      </c>
      <c r="E293" s="80"/>
      <c r="F293" s="78">
        <v>10413</v>
      </c>
      <c r="G293" s="43">
        <v>102.4</v>
      </c>
      <c r="H293" s="38">
        <v>35110</v>
      </c>
      <c r="I293" s="38">
        <v>12</v>
      </c>
      <c r="J293" s="38">
        <v>35115</v>
      </c>
      <c r="K293" s="38">
        <v>12</v>
      </c>
      <c r="L293" s="38">
        <v>54412</v>
      </c>
      <c r="M293" s="38">
        <v>5</v>
      </c>
    </row>
    <row r="294" spans="1:17" x14ac:dyDescent="0.25">
      <c r="A294" s="39" t="str">
        <f>IF(F294="","",VLOOKUP(F294,Tabelle1[],3))</f>
        <v>VUSHTRRI</v>
      </c>
      <c r="B294" s="40" t="str">
        <f>IF(F294="","",VLOOKUP(F294,Tabelle1[],2))</f>
        <v>NDRIQIMI</v>
      </c>
      <c r="C294" s="40"/>
      <c r="D294" s="41">
        <v>46058</v>
      </c>
      <c r="E294" s="80"/>
      <c r="F294" s="78">
        <v>10418</v>
      </c>
      <c r="G294" s="43">
        <v>138.6</v>
      </c>
      <c r="H294" s="38">
        <v>35128</v>
      </c>
      <c r="I294" s="38">
        <v>12</v>
      </c>
      <c r="J294" s="38">
        <v>35113</v>
      </c>
      <c r="K294" s="38">
        <v>12</v>
      </c>
      <c r="L294" s="38">
        <v>35115</v>
      </c>
      <c r="M294" s="38">
        <v>12</v>
      </c>
    </row>
    <row r="295" spans="1:17" x14ac:dyDescent="0.25">
      <c r="A295" s="39" t="str">
        <f>IF(F295="","",VLOOKUP(F295,Tabelle1[],3))</f>
        <v>PRISHTINE</v>
      </c>
      <c r="B295" s="40" t="str">
        <f>IF(F295="","",VLOOKUP(F295,Tabelle1[],2))</f>
        <v>YLLI CONSTRUCION</v>
      </c>
      <c r="C295" s="40"/>
      <c r="D295" s="41">
        <v>46059</v>
      </c>
      <c r="E295" s="80"/>
      <c r="F295" s="78">
        <v>40017</v>
      </c>
      <c r="G295" s="43">
        <v>96</v>
      </c>
      <c r="H295" s="38">
        <v>35115</v>
      </c>
      <c r="I295" s="38">
        <v>17</v>
      </c>
      <c r="J295" s="38">
        <v>35109</v>
      </c>
      <c r="K295" s="38">
        <v>5</v>
      </c>
      <c r="L295" s="38">
        <v>35113</v>
      </c>
      <c r="M295" s="38">
        <v>2</v>
      </c>
    </row>
    <row r="296" spans="1:17" x14ac:dyDescent="0.25">
      <c r="A296" s="39" t="str">
        <f>IF(F296="","",VLOOKUP(F296,Tabelle1[],3))</f>
        <v>HOME KIM TEC</v>
      </c>
      <c r="B296" s="40" t="str">
        <f>IF(F296="","",VLOOKUP(F296,Tabelle1[],2))</f>
        <v>ARBENI BIOBLIC</v>
      </c>
      <c r="C296" s="40"/>
      <c r="D296" s="41">
        <v>46059</v>
      </c>
      <c r="E296" s="80"/>
      <c r="F296" s="78">
        <v>40003</v>
      </c>
      <c r="G296" s="43">
        <v>227.5</v>
      </c>
      <c r="H296" s="38">
        <v>20001</v>
      </c>
      <c r="I296" s="38">
        <v>130</v>
      </c>
      <c r="J296" s="38">
        <v>30275</v>
      </c>
      <c r="K296" s="38">
        <v>40</v>
      </c>
      <c r="L296" s="38">
        <v>39505</v>
      </c>
      <c r="M296" s="38">
        <v>4</v>
      </c>
    </row>
    <row r="297" spans="1:17" x14ac:dyDescent="0.25">
      <c r="A297" s="39" t="str">
        <f>IF(F297="","",VLOOKUP(F297,Tabelle1[],3))</f>
        <v>FERIZAJ</v>
      </c>
      <c r="B297" s="40" t="str">
        <f>IF(F297="","",VLOOKUP(F297,Tabelle1[],2))</f>
        <v>ARBERI</v>
      </c>
      <c r="C297" s="40"/>
      <c r="D297" s="41">
        <v>46059</v>
      </c>
      <c r="E297" s="80"/>
      <c r="F297" s="78">
        <v>10506</v>
      </c>
      <c r="G297" s="43">
        <v>46.2</v>
      </c>
      <c r="H297" s="38">
        <v>35128</v>
      </c>
      <c r="I297" s="38">
        <v>12</v>
      </c>
    </row>
    <row r="298" spans="1:17" x14ac:dyDescent="0.25">
      <c r="A298" s="39" t="str">
        <f>IF(F298="","",VLOOKUP(F298,Tabelle1[],3))</f>
        <v>FERIZAJ</v>
      </c>
      <c r="B298" s="40" t="str">
        <f>IF(F298="","",VLOOKUP(F298,Tabelle1[],2))</f>
        <v>CARRALEVA 1</v>
      </c>
      <c r="C298" s="40"/>
      <c r="D298" s="41">
        <v>46059</v>
      </c>
      <c r="E298" s="80"/>
      <c r="F298" s="78">
        <v>10504</v>
      </c>
      <c r="G298" s="43">
        <v>92.4</v>
      </c>
      <c r="H298" s="38">
        <v>35121</v>
      </c>
      <c r="I298" s="38">
        <v>12</v>
      </c>
      <c r="J298" s="38">
        <v>35128</v>
      </c>
      <c r="K298" s="38">
        <v>12</v>
      </c>
    </row>
    <row r="299" spans="1:17" x14ac:dyDescent="0.25">
      <c r="A299" s="39" t="str">
        <f>IF(F299="","",VLOOKUP(F299,Tabelle1[],3))</f>
        <v>FERIZAJ</v>
      </c>
      <c r="B299" s="40" t="str">
        <f>IF(F299="","",VLOOKUP(F299,Tabelle1[],2))</f>
        <v>LONI</v>
      </c>
      <c r="C299" s="40"/>
      <c r="D299" s="41">
        <v>46059</v>
      </c>
      <c r="E299" s="80"/>
      <c r="F299" s="78">
        <v>10509</v>
      </c>
      <c r="G299" s="43">
        <v>53.2</v>
      </c>
      <c r="H299" s="38">
        <v>50912</v>
      </c>
      <c r="I299" s="38">
        <v>6</v>
      </c>
      <c r="J299" s="38">
        <v>49644</v>
      </c>
      <c r="K299" s="38">
        <v>5</v>
      </c>
    </row>
    <row r="300" spans="1:17" x14ac:dyDescent="0.25">
      <c r="A300" s="39" t="str">
        <f>IF(F300="","",VLOOKUP(F300,Tabelle1[],3))</f>
        <v>FERIZAJ</v>
      </c>
      <c r="B300" s="40" t="str">
        <f>IF(F300="","",VLOOKUP(F300,Tabelle1[],2))</f>
        <v>REAL COLOR 2</v>
      </c>
      <c r="C300" s="40"/>
      <c r="D300" s="41">
        <v>46059</v>
      </c>
      <c r="E300" s="80"/>
      <c r="F300" s="78">
        <v>10507</v>
      </c>
      <c r="G300" s="43">
        <v>231</v>
      </c>
      <c r="H300" s="38">
        <v>35110</v>
      </c>
      <c r="I300" s="38">
        <v>12</v>
      </c>
      <c r="J300" s="38">
        <v>35111</v>
      </c>
      <c r="K300" s="38">
        <v>12</v>
      </c>
      <c r="L300" s="38">
        <v>35113</v>
      </c>
      <c r="M300" s="38">
        <v>12</v>
      </c>
      <c r="N300" s="38">
        <v>35128</v>
      </c>
      <c r="O300" s="38">
        <v>12</v>
      </c>
      <c r="P300" s="38">
        <v>35109</v>
      </c>
      <c r="Q300" s="38">
        <v>12</v>
      </c>
    </row>
    <row r="301" spans="1:17" x14ac:dyDescent="0.25">
      <c r="A301" s="39" t="str">
        <f>IF(F301="","",VLOOKUP(F301,Tabelle1[],3))</f>
        <v>FERIZAJ</v>
      </c>
      <c r="B301" s="40" t="str">
        <f>IF(F301="","",VLOOKUP(F301,Tabelle1[],2))</f>
        <v>PROCOM</v>
      </c>
      <c r="C301" s="40"/>
      <c r="D301" s="41">
        <v>46059</v>
      </c>
      <c r="E301" s="80"/>
      <c r="F301" s="78">
        <v>10502</v>
      </c>
      <c r="G301" s="43">
        <v>92.4</v>
      </c>
      <c r="H301" s="38">
        <v>35111</v>
      </c>
      <c r="I301" s="38">
        <v>12</v>
      </c>
      <c r="J301" s="38">
        <v>35113</v>
      </c>
      <c r="K301" s="38">
        <v>12</v>
      </c>
    </row>
    <row r="302" spans="1:17" x14ac:dyDescent="0.25">
      <c r="A302" s="39" t="str">
        <f>IF(F302="","",VLOOKUP(F302,Tabelle1[],3))</f>
        <v>KLINE</v>
      </c>
      <c r="B302" s="40" t="str">
        <f>IF(F302="","",VLOOKUP(F302,Tabelle1[],2))</f>
        <v>RACI</v>
      </c>
      <c r="C302" s="40"/>
      <c r="D302" s="41">
        <v>46059</v>
      </c>
      <c r="E302" s="80"/>
      <c r="F302" s="78">
        <v>20501</v>
      </c>
      <c r="G302" s="43">
        <v>162</v>
      </c>
      <c r="H302" s="38">
        <v>66701</v>
      </c>
      <c r="I302" s="38">
        <v>12</v>
      </c>
      <c r="J302" s="38">
        <v>35110</v>
      </c>
      <c r="K302" s="38">
        <v>12</v>
      </c>
      <c r="L302" s="38">
        <v>35115</v>
      </c>
      <c r="M302" s="38">
        <v>12</v>
      </c>
    </row>
    <row r="303" spans="1:17" x14ac:dyDescent="0.25">
      <c r="A303" s="39" t="str">
        <f>IF(F303="","",VLOOKUP(F303,Tabelle1[],3))</f>
        <v>ISTOG</v>
      </c>
      <c r="B303" s="40" t="str">
        <f>IF(F303="","",VLOOKUP(F303,Tabelle1[],2))</f>
        <v>LIRIDONA KLINE</v>
      </c>
      <c r="C303" s="40"/>
      <c r="D303" s="41">
        <v>46059</v>
      </c>
      <c r="E303" s="80"/>
      <c r="F303" s="78">
        <v>20511</v>
      </c>
      <c r="G303" s="43">
        <v>122.4</v>
      </c>
      <c r="H303" s="38">
        <v>35111</v>
      </c>
      <c r="I303" s="38">
        <v>12</v>
      </c>
      <c r="J303" s="38">
        <v>35113</v>
      </c>
      <c r="K303" s="38">
        <v>12</v>
      </c>
      <c r="L303" s="38">
        <v>51611</v>
      </c>
      <c r="M303" s="38">
        <v>24</v>
      </c>
    </row>
    <row r="304" spans="1:17" x14ac:dyDescent="0.25">
      <c r="A304" s="39" t="str">
        <f>IF(F304="","",VLOOKUP(F304,Tabelle1[],3))</f>
        <v>KLINE</v>
      </c>
      <c r="B304" s="40" t="str">
        <f>IF(F304="","",VLOOKUP(F304,Tabelle1[],2))</f>
        <v>HOXHA</v>
      </c>
      <c r="C304" s="40"/>
      <c r="D304" s="41">
        <v>46059</v>
      </c>
      <c r="E304" s="80"/>
      <c r="F304" s="78">
        <v>20502</v>
      </c>
      <c r="G304" s="43">
        <v>46.2</v>
      </c>
      <c r="H304" s="38">
        <v>35110</v>
      </c>
      <c r="I304" s="38">
        <v>12</v>
      </c>
    </row>
    <row r="305" spans="1:21" x14ac:dyDescent="0.25">
      <c r="A305" s="39" t="str">
        <f>IF(F305="","",VLOOKUP(F305,Tabelle1[],3))</f>
        <v>ISTOG</v>
      </c>
      <c r="B305" s="40" t="str">
        <f>IF(F305="","",VLOOKUP(F305,Tabelle1[],2))</f>
        <v>LIRIDONA-A</v>
      </c>
      <c r="C305" s="40"/>
      <c r="D305" s="41">
        <v>46059</v>
      </c>
      <c r="E305" s="80"/>
      <c r="F305" s="78">
        <v>20515</v>
      </c>
      <c r="G305" s="43">
        <v>46.2</v>
      </c>
      <c r="H305" s="38">
        <v>35113</v>
      </c>
      <c r="I305" s="38">
        <v>12</v>
      </c>
    </row>
    <row r="306" spans="1:21" x14ac:dyDescent="0.25">
      <c r="A306" s="39" t="str">
        <f>IF(F306="","",VLOOKUP(F306,Tabelle1[],3))</f>
        <v>SKENDERAJ</v>
      </c>
      <c r="B306" s="40" t="str">
        <f>IF(F306="","",VLOOKUP(F306,Tabelle1[],2))</f>
        <v>A.P. HOTI</v>
      </c>
      <c r="C306" s="40"/>
      <c r="D306" s="41">
        <v>46059</v>
      </c>
      <c r="E306" s="80"/>
      <c r="F306" s="78">
        <v>20408</v>
      </c>
      <c r="G306" s="43">
        <v>41</v>
      </c>
      <c r="H306" s="38">
        <v>56117</v>
      </c>
      <c r="I306" s="38">
        <v>5</v>
      </c>
      <c r="J306" s="38">
        <v>44001</v>
      </c>
      <c r="K306" s="38">
        <v>4</v>
      </c>
      <c r="L306" s="38">
        <v>55718</v>
      </c>
      <c r="M306" s="38">
        <v>2</v>
      </c>
    </row>
    <row r="307" spans="1:21" x14ac:dyDescent="0.25">
      <c r="A307" s="39" t="str">
        <f>IF(F307="","",VLOOKUP(F307,Tabelle1[],3))</f>
        <v>SKENDERAJ</v>
      </c>
      <c r="B307" s="40" t="str">
        <f>IF(F307="","",VLOOKUP(F307,Tabelle1[],2))</f>
        <v>TE BENI</v>
      </c>
      <c r="C307" s="40"/>
      <c r="D307" s="41">
        <v>46059</v>
      </c>
      <c r="E307" s="80"/>
      <c r="F307" s="78">
        <v>20407</v>
      </c>
      <c r="G307" s="43">
        <v>138.6</v>
      </c>
      <c r="H307" s="38">
        <v>35111</v>
      </c>
      <c r="I307" s="38">
        <v>12</v>
      </c>
      <c r="J307" s="38">
        <v>35121</v>
      </c>
      <c r="K307" s="38">
        <v>24</v>
      </c>
    </row>
    <row r="308" spans="1:21" x14ac:dyDescent="0.25">
      <c r="A308" s="39" t="str">
        <f>IF(F308="","",VLOOKUP(F308,Tabelle1[],3))</f>
        <v>SKENDERAJ</v>
      </c>
      <c r="B308" s="40" t="str">
        <f>IF(F308="","",VLOOKUP(F308,Tabelle1[],2))</f>
        <v>MEGI</v>
      </c>
      <c r="C308" s="40"/>
      <c r="D308" s="41">
        <v>46059</v>
      </c>
      <c r="E308" s="80"/>
      <c r="F308" s="78">
        <v>20406</v>
      </c>
      <c r="G308" s="43">
        <v>124.9</v>
      </c>
      <c r="H308" s="38">
        <v>50912</v>
      </c>
      <c r="I308" s="38">
        <v>12</v>
      </c>
      <c r="J308" s="38">
        <v>55718</v>
      </c>
      <c r="K308" s="38">
        <v>11</v>
      </c>
    </row>
    <row r="309" spans="1:21" x14ac:dyDescent="0.25">
      <c r="A309" s="39" t="str">
        <f>IF(F309="","",VLOOKUP(F309,Tabelle1[],3))</f>
        <v>PODUJEVE</v>
      </c>
      <c r="B309" s="40" t="str">
        <f>IF(F309="","",VLOOKUP(F309,Tabelle1[],2))</f>
        <v>TE ZENA</v>
      </c>
      <c r="C309" s="40"/>
      <c r="D309" s="41">
        <v>46060</v>
      </c>
      <c r="E309" s="80"/>
      <c r="F309" s="78">
        <v>10616</v>
      </c>
      <c r="G309" s="43">
        <v>46.2</v>
      </c>
      <c r="H309" s="38">
        <v>35119</v>
      </c>
      <c r="I309" s="38">
        <v>12</v>
      </c>
    </row>
    <row r="310" spans="1:21" x14ac:dyDescent="0.25">
      <c r="A310" s="39" t="str">
        <f>IF(F310="","",VLOOKUP(F310,Tabelle1[],3))</f>
        <v>PODUJEVE</v>
      </c>
      <c r="B310" s="40" t="str">
        <f>IF(F310="","",VLOOKUP(F310,Tabelle1[],2))</f>
        <v>KUJTA</v>
      </c>
      <c r="C310" s="40"/>
      <c r="D310" s="41">
        <v>46060</v>
      </c>
      <c r="E310" s="80"/>
      <c r="F310" s="78">
        <v>10625</v>
      </c>
      <c r="G310" s="43">
        <v>128.4</v>
      </c>
      <c r="H310" s="38">
        <v>35109</v>
      </c>
      <c r="I310" s="38">
        <v>12</v>
      </c>
      <c r="J310" s="38">
        <v>35128</v>
      </c>
      <c r="K310" s="38">
        <v>12</v>
      </c>
      <c r="L310" s="38">
        <v>50912</v>
      </c>
      <c r="M310" s="38">
        <v>5</v>
      </c>
    </row>
    <row r="311" spans="1:21" x14ac:dyDescent="0.25">
      <c r="A311" s="39" t="str">
        <f>IF(F311="","",VLOOKUP(F311,Tabelle1[],3))</f>
        <v>PODUJEVE</v>
      </c>
      <c r="B311" s="40" t="str">
        <f>IF(F311="","",VLOOKUP(F311,Tabelle1[],2))</f>
        <v>ALBANI</v>
      </c>
      <c r="C311" s="40"/>
      <c r="D311" s="41">
        <v>46060</v>
      </c>
      <c r="E311" s="80"/>
      <c r="F311" s="78">
        <v>10637</v>
      </c>
      <c r="G311" s="43">
        <v>35</v>
      </c>
      <c r="H311" s="38">
        <v>55718</v>
      </c>
      <c r="I311" s="38">
        <v>5</v>
      </c>
      <c r="J311" s="38">
        <v>44001</v>
      </c>
      <c r="K311" s="38">
        <v>5</v>
      </c>
    </row>
    <row r="312" spans="1:21" x14ac:dyDescent="0.25">
      <c r="A312" s="39" t="str">
        <f>IF(F312="","",VLOOKUP(F312,Tabelle1[],3))</f>
        <v>PODUJEVE</v>
      </c>
      <c r="B312" s="40" t="str">
        <f>IF(F312="","",VLOOKUP(F312,Tabelle1[],2))</f>
        <v>ALBANI</v>
      </c>
      <c r="C312" s="40"/>
      <c r="D312" s="41">
        <v>46060</v>
      </c>
      <c r="E312" s="80"/>
      <c r="F312" s="78">
        <v>10636</v>
      </c>
      <c r="G312" s="43">
        <v>92.4</v>
      </c>
      <c r="H312" s="38">
        <v>35125</v>
      </c>
      <c r="I312" s="38">
        <v>12</v>
      </c>
      <c r="J312" s="38">
        <v>35121</v>
      </c>
      <c r="K312" s="38">
        <v>12</v>
      </c>
    </row>
    <row r="313" spans="1:21" x14ac:dyDescent="0.25">
      <c r="A313" s="39" t="str">
        <f>IF(F313="","",VLOOKUP(F313,Tabelle1[],3))</f>
        <v>FERIZAJ</v>
      </c>
      <c r="B313" s="40" t="str">
        <f>IF(F313="","",VLOOKUP(F313,Tabelle1[],2))</f>
        <v>AGROLONDI</v>
      </c>
      <c r="C313" s="40"/>
      <c r="D313" s="41">
        <v>46060</v>
      </c>
      <c r="E313" s="80"/>
      <c r="F313" s="78">
        <v>20602</v>
      </c>
      <c r="G313" s="43">
        <v>138.6</v>
      </c>
      <c r="H313" s="38">
        <v>35121</v>
      </c>
      <c r="I313" s="38">
        <v>24</v>
      </c>
      <c r="J313" s="38">
        <v>35110</v>
      </c>
      <c r="K313" s="38">
        <v>12</v>
      </c>
    </row>
    <row r="314" spans="1:21" x14ac:dyDescent="0.25">
      <c r="A314" s="39" t="str">
        <f>IF(F314="","",VLOOKUP(F314,Tabelle1[],3))</f>
        <v>GADIME</v>
      </c>
      <c r="B314" s="40" t="str">
        <f>IF(F314="","",VLOOKUP(F314,Tabelle1[],2))</f>
        <v>ILIRI QERAMIKA</v>
      </c>
      <c r="C314" s="40"/>
      <c r="D314" s="41">
        <v>46060</v>
      </c>
      <c r="E314" s="80"/>
      <c r="F314" s="78">
        <v>20622</v>
      </c>
      <c r="G314" s="43">
        <v>153.6</v>
      </c>
      <c r="H314" s="38">
        <v>35109</v>
      </c>
      <c r="I314" s="38">
        <v>12</v>
      </c>
      <c r="J314" s="38">
        <v>35110</v>
      </c>
      <c r="K314" s="38">
        <v>12</v>
      </c>
      <c r="L314" s="38">
        <v>35121</v>
      </c>
      <c r="M314" s="38">
        <v>12</v>
      </c>
      <c r="N314" s="38">
        <v>51611</v>
      </c>
      <c r="O314" s="38">
        <v>12</v>
      </c>
    </row>
    <row r="315" spans="1:21" x14ac:dyDescent="0.25">
      <c r="A315" s="39" t="str">
        <f>IF(F315="","",VLOOKUP(F315,Tabelle1[],3))</f>
        <v>FERIZAJ</v>
      </c>
      <c r="B315" s="40" t="str">
        <f>IF(F315="","",VLOOKUP(F315,Tabelle1[],2))</f>
        <v>UNIKA</v>
      </c>
      <c r="C315" s="40"/>
      <c r="D315" s="41">
        <v>46060</v>
      </c>
      <c r="E315" s="80"/>
      <c r="F315" s="78">
        <v>20627</v>
      </c>
      <c r="G315" s="43">
        <v>100.4</v>
      </c>
      <c r="H315" s="38">
        <v>35113</v>
      </c>
      <c r="I315" s="38">
        <v>12</v>
      </c>
      <c r="J315" s="38">
        <v>35121</v>
      </c>
      <c r="K315" s="38">
        <v>12</v>
      </c>
      <c r="L315" s="38">
        <v>56117</v>
      </c>
      <c r="M315" s="38">
        <v>2</v>
      </c>
    </row>
    <row r="316" spans="1:21" x14ac:dyDescent="0.25">
      <c r="A316" s="39" t="str">
        <f>IF(F316="","",VLOOKUP(F316,Tabelle1[],3))</f>
        <v>FERIZAJ</v>
      </c>
      <c r="B316" s="40" t="str">
        <f>IF(F316="","",VLOOKUP(F316,Tabelle1[],2))</f>
        <v>LONI</v>
      </c>
      <c r="C316" s="40"/>
      <c r="D316" s="41">
        <v>46060</v>
      </c>
      <c r="E316" s="80"/>
      <c r="F316" s="78">
        <v>20608</v>
      </c>
      <c r="G316" s="43">
        <v>153.6</v>
      </c>
      <c r="H316" s="38">
        <v>35110</v>
      </c>
      <c r="I316" s="38">
        <v>12</v>
      </c>
      <c r="J316" s="38">
        <v>35115</v>
      </c>
      <c r="K316" s="38">
        <v>12</v>
      </c>
      <c r="L316" s="38">
        <v>35121</v>
      </c>
      <c r="M316" s="38">
        <v>12</v>
      </c>
      <c r="N316" s="38">
        <v>51611</v>
      </c>
      <c r="O316" s="38">
        <v>12</v>
      </c>
    </row>
    <row r="317" spans="1:21" x14ac:dyDescent="0.25">
      <c r="A317" s="39" t="str">
        <f>IF(F317="","",VLOOKUP(F317,Tabelle1[],3))</f>
        <v>DOGANAJ</v>
      </c>
      <c r="B317" s="40" t="str">
        <f>IF(F317="","",VLOOKUP(F317,Tabelle1[],2))</f>
        <v xml:space="preserve">F.V. SH.P.K. </v>
      </c>
      <c r="C317" s="40"/>
      <c r="D317" s="41">
        <v>46060</v>
      </c>
      <c r="E317" s="80"/>
      <c r="F317" s="78">
        <v>20607</v>
      </c>
      <c r="G317" s="43">
        <v>138.6</v>
      </c>
      <c r="H317" s="38">
        <v>35109</v>
      </c>
      <c r="I317" s="38">
        <v>12</v>
      </c>
      <c r="J317" s="38">
        <v>35119</v>
      </c>
      <c r="K317" s="38">
        <v>12</v>
      </c>
      <c r="L317" s="38">
        <v>35121</v>
      </c>
      <c r="M317" s="38">
        <v>12</v>
      </c>
    </row>
    <row r="318" spans="1:21" x14ac:dyDescent="0.25">
      <c r="A318" s="39" t="str">
        <f>IF(F318="","",VLOOKUP(F318,Tabelle1[],3))</f>
        <v>GREME</v>
      </c>
      <c r="B318" s="40" t="str">
        <f>IF(F318="","",VLOOKUP(F318,Tabelle1[],2))</f>
        <v>AGRO-XHETI</v>
      </c>
      <c r="C318" s="40"/>
      <c r="D318" s="41">
        <v>46060</v>
      </c>
      <c r="E318" s="80"/>
      <c r="F318" s="78">
        <v>20610</v>
      </c>
      <c r="G318" s="43">
        <v>462</v>
      </c>
      <c r="H318" s="38">
        <v>35125</v>
      </c>
      <c r="I318" s="38">
        <v>12</v>
      </c>
      <c r="J318" s="38">
        <v>35110</v>
      </c>
      <c r="K318" s="38">
        <v>24</v>
      </c>
      <c r="L318" s="38">
        <v>35111</v>
      </c>
      <c r="M318" s="38">
        <v>24</v>
      </c>
      <c r="N318" s="38">
        <v>35128</v>
      </c>
      <c r="O318" s="38">
        <v>24</v>
      </c>
      <c r="P318" s="38">
        <v>35119</v>
      </c>
      <c r="Q318" s="38">
        <v>12</v>
      </c>
      <c r="R318" s="38">
        <v>35115</v>
      </c>
      <c r="S318" s="38">
        <v>12</v>
      </c>
      <c r="T318" s="38">
        <v>35114</v>
      </c>
      <c r="U318" s="38">
        <v>12</v>
      </c>
    </row>
    <row r="319" spans="1:21" x14ac:dyDescent="0.25">
      <c r="A319" s="39" t="str">
        <f>IF(F319="","",VLOOKUP(F319,Tabelle1[],3))</f>
        <v>FERIZAJ</v>
      </c>
      <c r="B319" s="40" t="str">
        <f>IF(F319="","",VLOOKUP(F319,Tabelle1[],2))</f>
        <v>GLOBAL TOOLS</v>
      </c>
      <c r="C319" s="40"/>
      <c r="D319" s="41">
        <v>46060</v>
      </c>
      <c r="E319" s="80"/>
      <c r="F319" s="78">
        <v>20632</v>
      </c>
      <c r="G319" s="43">
        <v>138.6</v>
      </c>
      <c r="H319" s="38">
        <v>35125</v>
      </c>
      <c r="I319" s="38">
        <v>24</v>
      </c>
      <c r="J319" s="38">
        <v>35115</v>
      </c>
      <c r="K319" s="38">
        <v>12</v>
      </c>
    </row>
    <row r="320" spans="1:21" x14ac:dyDescent="0.25">
      <c r="A320" s="39" t="str">
        <f>IF(F320="","",VLOOKUP(F320,Tabelle1[],3))</f>
        <v>FERIZAJ</v>
      </c>
      <c r="B320" s="40" t="str">
        <f>IF(F320="","",VLOOKUP(F320,Tabelle1[],2))</f>
        <v>HIDRO DANI</v>
      </c>
      <c r="C320" s="40"/>
      <c r="D320" s="41">
        <v>46060</v>
      </c>
      <c r="E320" s="80"/>
      <c r="F320" s="78">
        <v>20630</v>
      </c>
      <c r="G320" s="43">
        <v>144</v>
      </c>
      <c r="H320" s="38">
        <v>35109</v>
      </c>
      <c r="I320" s="38">
        <v>12</v>
      </c>
      <c r="J320" s="38">
        <v>35111</v>
      </c>
      <c r="K320" s="38">
        <v>12</v>
      </c>
      <c r="L320" s="38">
        <v>51612</v>
      </c>
      <c r="M320" s="38">
        <v>12</v>
      </c>
      <c r="N320" s="38">
        <v>49644</v>
      </c>
      <c r="O320" s="38">
        <v>12</v>
      </c>
    </row>
    <row r="321" spans="1:15" x14ac:dyDescent="0.25">
      <c r="A321" s="39" t="str">
        <f>IF(F321="","",VLOOKUP(F321,Tabelle1[],3))</f>
        <v>FERIZAJ</v>
      </c>
      <c r="B321" s="40" t="str">
        <f>IF(F321="","",VLOOKUP(F321,Tabelle1[],2))</f>
        <v>PROMOIN</v>
      </c>
      <c r="C321" s="40"/>
      <c r="D321" s="41">
        <v>46060</v>
      </c>
      <c r="E321" s="80"/>
      <c r="F321" s="78">
        <v>20603</v>
      </c>
      <c r="G321" s="43">
        <v>138.6</v>
      </c>
      <c r="H321" s="38">
        <v>35109</v>
      </c>
      <c r="I321" s="38">
        <v>12</v>
      </c>
      <c r="J321" s="38">
        <v>35113</v>
      </c>
      <c r="K321" s="38">
        <v>12</v>
      </c>
      <c r="L321" s="38">
        <v>35128</v>
      </c>
      <c r="M321" s="38">
        <v>12</v>
      </c>
    </row>
    <row r="322" spans="1:15" x14ac:dyDescent="0.25">
      <c r="A322" s="39" t="str">
        <f>IF(F322="","",VLOOKUP(F322,Tabelle1[],3))</f>
        <v>PRISHTINE</v>
      </c>
      <c r="B322" s="40" t="str">
        <f>IF(F322="","",VLOOKUP(F322,Tabelle1[],2))</f>
        <v>TONI COLORS</v>
      </c>
      <c r="C322" s="40"/>
      <c r="D322" s="41">
        <v>46062</v>
      </c>
      <c r="E322" s="80"/>
      <c r="F322" s="78">
        <v>10135</v>
      </c>
      <c r="G322" s="43">
        <v>46.2</v>
      </c>
      <c r="H322" s="38">
        <v>35109</v>
      </c>
      <c r="I322" s="38">
        <v>12</v>
      </c>
    </row>
    <row r="323" spans="1:15" x14ac:dyDescent="0.25">
      <c r="A323" s="39" t="str">
        <f>IF(F323="","",VLOOKUP(F323,Tabelle1[],3))</f>
        <v>BARDHOSH</v>
      </c>
      <c r="B323" s="40" t="str">
        <f>IF(F323="","",VLOOKUP(F323,Tabelle1[],2))</f>
        <v>QELA</v>
      </c>
      <c r="C323" s="40"/>
      <c r="D323" s="41">
        <v>46062</v>
      </c>
      <c r="E323" s="80"/>
      <c r="F323" s="78">
        <v>10114</v>
      </c>
      <c r="G323" s="43">
        <v>48.8</v>
      </c>
      <c r="H323" s="38">
        <v>54412</v>
      </c>
      <c r="I323" s="38">
        <v>6</v>
      </c>
      <c r="J323" s="38">
        <v>50912</v>
      </c>
      <c r="K323" s="38">
        <v>4</v>
      </c>
      <c r="L323" s="38">
        <v>49644</v>
      </c>
      <c r="M323" s="38">
        <v>4</v>
      </c>
    </row>
    <row r="324" spans="1:15" x14ac:dyDescent="0.25">
      <c r="A324" s="39" t="str">
        <f>IF(F324="","",VLOOKUP(F324,Tabelle1[],3))</f>
        <v>PRISHTINE</v>
      </c>
      <c r="B324" s="40" t="str">
        <f>IF(F324="","",VLOOKUP(F324,Tabelle1[],2))</f>
        <v>KADIJOLLET</v>
      </c>
      <c r="C324" s="40"/>
      <c r="D324" s="41">
        <v>46062</v>
      </c>
      <c r="E324" s="80"/>
      <c r="F324" s="78">
        <v>10111</v>
      </c>
      <c r="G324" s="43">
        <v>138.4</v>
      </c>
      <c r="H324" s="38">
        <v>35112</v>
      </c>
      <c r="I324" s="38">
        <v>12</v>
      </c>
      <c r="J324" s="38">
        <v>35109</v>
      </c>
      <c r="K324" s="38">
        <v>12</v>
      </c>
      <c r="L324" s="38">
        <v>50912</v>
      </c>
      <c r="M324" s="38">
        <v>5</v>
      </c>
      <c r="N324" s="38">
        <v>26736</v>
      </c>
      <c r="O324" s="38">
        <v>5</v>
      </c>
    </row>
    <row r="325" spans="1:15" x14ac:dyDescent="0.25">
      <c r="A325" s="39" t="str">
        <f>IF(F325="","",VLOOKUP(F325,Tabelle1[],3))</f>
        <v>PRISHTINE</v>
      </c>
      <c r="B325" s="40" t="str">
        <f>IF(F325="","",VLOOKUP(F325,Tabelle1[],2))</f>
        <v>JETARI</v>
      </c>
      <c r="C325" s="40"/>
      <c r="D325" s="41">
        <v>46062</v>
      </c>
      <c r="E325" s="80"/>
      <c r="F325" s="78">
        <v>10104</v>
      </c>
      <c r="G325" s="43">
        <v>92.4</v>
      </c>
      <c r="H325" s="38">
        <v>35110</v>
      </c>
      <c r="I325" s="38">
        <v>12</v>
      </c>
      <c r="J325" s="38">
        <v>35125</v>
      </c>
      <c r="K325" s="38">
        <v>12</v>
      </c>
    </row>
    <row r="326" spans="1:15" x14ac:dyDescent="0.25">
      <c r="A326" s="39" t="str">
        <f>IF(F326="","",VLOOKUP(F326,Tabelle1[],3))</f>
        <v>PRIZREN</v>
      </c>
      <c r="B326" s="40" t="str">
        <f>IF(F326="","",VLOOKUP(F326,Tabelle1[],2))</f>
        <v>TEMAJ</v>
      </c>
      <c r="C326" s="40"/>
      <c r="D326" s="41">
        <v>46062</v>
      </c>
      <c r="E326" s="80"/>
      <c r="F326" s="78">
        <v>40019</v>
      </c>
      <c r="G326" s="43">
        <v>92.4</v>
      </c>
      <c r="H326" s="38">
        <v>35110</v>
      </c>
      <c r="I326" s="38">
        <v>12</v>
      </c>
      <c r="J326" s="38">
        <v>35111</v>
      </c>
      <c r="K326" s="38">
        <v>12</v>
      </c>
    </row>
    <row r="327" spans="1:15" x14ac:dyDescent="0.25">
      <c r="A327" s="39" t="str">
        <f>IF(F327="","",VLOOKUP(F327,Tabelle1[],3))</f>
        <v>PEJE</v>
      </c>
      <c r="B327" s="40" t="str">
        <f>IF(F327="","",VLOOKUP(F327,Tabelle1[],2))</f>
        <v>KENA COMERC</v>
      </c>
      <c r="C327" s="40"/>
      <c r="D327" s="41">
        <v>46062</v>
      </c>
      <c r="E327" s="80"/>
      <c r="F327" s="78">
        <v>20109</v>
      </c>
      <c r="G327" s="43">
        <v>138.6</v>
      </c>
      <c r="H327" s="38">
        <v>35109</v>
      </c>
      <c r="I327" s="38">
        <v>12</v>
      </c>
      <c r="J327" s="38">
        <v>35111</v>
      </c>
      <c r="K327" s="38">
        <v>12</v>
      </c>
      <c r="L327" s="38">
        <v>35128</v>
      </c>
      <c r="M327" s="38">
        <v>12</v>
      </c>
    </row>
    <row r="328" spans="1:15" x14ac:dyDescent="0.25">
      <c r="A328" s="39" t="str">
        <f>IF(F328="","",VLOOKUP(F328,Tabelle1[],3))</f>
        <v>PEJE</v>
      </c>
      <c r="B328" s="40" t="str">
        <f>IF(F328="","",VLOOKUP(F328,Tabelle1[],2))</f>
        <v>KUQI-LKW</v>
      </c>
      <c r="C328" s="40"/>
      <c r="D328" s="41">
        <v>46062</v>
      </c>
      <c r="E328" s="80"/>
      <c r="F328" s="78">
        <v>20102</v>
      </c>
      <c r="G328" s="43">
        <v>47.2</v>
      </c>
      <c r="H328" s="38">
        <v>50912</v>
      </c>
      <c r="I328" s="38">
        <v>6</v>
      </c>
      <c r="J328" s="38">
        <v>49644</v>
      </c>
      <c r="K328" s="38">
        <v>2</v>
      </c>
    </row>
    <row r="329" spans="1:15" x14ac:dyDescent="0.25">
      <c r="A329" s="39" t="str">
        <f>IF(F329="","",VLOOKUP(F329,Tabelle1[],3))</f>
        <v>PEJE</v>
      </c>
      <c r="B329" s="40" t="str">
        <f>IF(F329="","",VLOOKUP(F329,Tabelle1[],2))</f>
        <v>TE GZIMI</v>
      </c>
      <c r="C329" s="40"/>
      <c r="D329" s="41">
        <v>46062</v>
      </c>
      <c r="E329" s="80"/>
      <c r="F329" s="78">
        <v>20101</v>
      </c>
      <c r="G329" s="43">
        <v>28.5</v>
      </c>
      <c r="H329" s="38">
        <v>49644</v>
      </c>
      <c r="I329" s="38">
        <v>5</v>
      </c>
      <c r="J329" s="38">
        <v>54412</v>
      </c>
      <c r="K329" s="38">
        <v>4</v>
      </c>
      <c r="L329" s="38">
        <v>55718</v>
      </c>
      <c r="M329" s="38">
        <v>3</v>
      </c>
    </row>
    <row r="330" spans="1:15" x14ac:dyDescent="0.25">
      <c r="A330" s="39" t="str">
        <f>IF(F330="","",VLOOKUP(F330,Tabelle1[],3))</f>
        <v>PEJE</v>
      </c>
      <c r="B330" s="40" t="str">
        <f>IF(F330="","",VLOOKUP(F330,Tabelle1[],2))</f>
        <v>KTHIMI</v>
      </c>
      <c r="C330" s="40"/>
      <c r="D330" s="41">
        <v>46062</v>
      </c>
      <c r="E330" s="80"/>
      <c r="F330" s="78">
        <v>20104</v>
      </c>
      <c r="G330" s="43">
        <v>138.6</v>
      </c>
      <c r="H330" s="38">
        <v>35108</v>
      </c>
      <c r="I330" s="38">
        <v>24</v>
      </c>
      <c r="J330" s="38">
        <v>35119</v>
      </c>
      <c r="K330" s="38">
        <v>12</v>
      </c>
    </row>
    <row r="331" spans="1:15" x14ac:dyDescent="0.25">
      <c r="A331" s="39" t="str">
        <f>IF(F331="","",VLOOKUP(F331,Tabelle1[],3))</f>
        <v>PEJE</v>
      </c>
      <c r="B331" s="40" t="str">
        <f>IF(F331="","",VLOOKUP(F331,Tabelle1[],2))</f>
        <v>LULI-C</v>
      </c>
      <c r="C331" s="40"/>
      <c r="D331" s="41">
        <v>46062</v>
      </c>
      <c r="E331" s="80"/>
      <c r="F331" s="78">
        <v>20126</v>
      </c>
      <c r="G331" s="43">
        <v>92.4</v>
      </c>
      <c r="H331" s="38">
        <v>35112</v>
      </c>
      <c r="I331" s="38">
        <v>24</v>
      </c>
    </row>
    <row r="332" spans="1:15" x14ac:dyDescent="0.25">
      <c r="A332" s="39" t="str">
        <f>IF(F332="","",VLOOKUP(F332,Tabelle1[],3))</f>
        <v>PEJE</v>
      </c>
      <c r="B332" s="40" t="str">
        <f>IF(F332="","",VLOOKUP(F332,Tabelle1[],2))</f>
        <v>LNI SHPK</v>
      </c>
      <c r="C332" s="40"/>
      <c r="D332" s="41">
        <v>46062</v>
      </c>
      <c r="E332" s="80"/>
      <c r="F332" s="78">
        <v>20129</v>
      </c>
      <c r="G332" s="43">
        <v>92.4</v>
      </c>
      <c r="H332" s="38">
        <v>35125</v>
      </c>
      <c r="I332" s="38">
        <v>24</v>
      </c>
    </row>
    <row r="333" spans="1:15" x14ac:dyDescent="0.25">
      <c r="A333" s="39" t="str">
        <f>IF(F333="","",VLOOKUP(F333,Tabelle1[],3))</f>
        <v>FERIZAJ</v>
      </c>
      <c r="B333" s="40" t="str">
        <f>IF(F333="","",VLOOKUP(F333,Tabelle1[],2))</f>
        <v>SALIHU CORPORATION</v>
      </c>
      <c r="C333" s="40"/>
      <c r="D333" s="41">
        <v>46063</v>
      </c>
      <c r="E333" s="80"/>
      <c r="F333" s="78">
        <v>20634</v>
      </c>
      <c r="G333" s="43">
        <v>785.4</v>
      </c>
      <c r="H333" s="38">
        <v>35109</v>
      </c>
      <c r="I333" s="38">
        <v>120</v>
      </c>
      <c r="J333" s="38">
        <v>35110</v>
      </c>
      <c r="K333" s="38">
        <v>36</v>
      </c>
      <c r="L333" s="38">
        <v>35113</v>
      </c>
      <c r="M333" s="38">
        <v>48</v>
      </c>
    </row>
    <row r="334" spans="1:15" x14ac:dyDescent="0.25">
      <c r="A334" s="39" t="str">
        <f>IF(F334="","",VLOOKUP(F334,Tabelle1[],3))</f>
        <v>SHIROK</v>
      </c>
      <c r="B334" s="40" t="str">
        <f>IF(F334="","",VLOOKUP(F334,Tabelle1[],2))</f>
        <v>XHAFA</v>
      </c>
      <c r="C334" s="40"/>
      <c r="D334" s="41">
        <v>46063</v>
      </c>
      <c r="E334" s="80"/>
      <c r="F334" s="78">
        <v>10205</v>
      </c>
      <c r="G334" s="43">
        <v>231</v>
      </c>
      <c r="H334" s="38">
        <v>35110</v>
      </c>
      <c r="I334" s="38">
        <v>12</v>
      </c>
      <c r="J334" s="38">
        <v>35115</v>
      </c>
      <c r="K334" s="38">
        <v>12</v>
      </c>
      <c r="L334" s="38">
        <v>35125</v>
      </c>
      <c r="M334" s="38">
        <v>36</v>
      </c>
    </row>
    <row r="335" spans="1:15" x14ac:dyDescent="0.25">
      <c r="A335" s="39" t="str">
        <f>IF(F335="","",VLOOKUP(F335,Tabelle1[],3))</f>
        <v>PRIZREN</v>
      </c>
      <c r="B335" s="40" t="str">
        <f>IF(F335="","",VLOOKUP(F335,Tabelle1[],2))</f>
        <v>MONI 2</v>
      </c>
      <c r="C335" s="40"/>
      <c r="D335" s="41">
        <v>46063</v>
      </c>
      <c r="E335" s="80"/>
      <c r="F335" s="78">
        <v>10210</v>
      </c>
      <c r="G335" s="43">
        <v>92.4</v>
      </c>
      <c r="H335" s="38">
        <v>35115</v>
      </c>
      <c r="I335" s="38">
        <v>12</v>
      </c>
      <c r="J335" s="38">
        <v>35128</v>
      </c>
      <c r="K335" s="38">
        <v>12</v>
      </c>
    </row>
    <row r="336" spans="1:15" x14ac:dyDescent="0.25">
      <c r="A336" s="39" t="str">
        <f>IF(F336="","",VLOOKUP(F336,Tabelle1[],3))</f>
        <v>PRIZREN</v>
      </c>
      <c r="B336" s="40" t="str">
        <f>IF(F336="","",VLOOKUP(F336,Tabelle1[],2))</f>
        <v>ARPO</v>
      </c>
      <c r="C336" s="40"/>
      <c r="D336" s="41">
        <v>46063</v>
      </c>
      <c r="E336" s="80"/>
      <c r="F336" s="78">
        <v>10240</v>
      </c>
      <c r="G336" s="43">
        <v>231</v>
      </c>
      <c r="H336" s="38">
        <v>35110</v>
      </c>
      <c r="I336" s="38">
        <v>12</v>
      </c>
      <c r="J336" s="38">
        <v>35108</v>
      </c>
      <c r="K336" s="38">
        <v>24</v>
      </c>
      <c r="L336" s="38">
        <v>35113</v>
      </c>
      <c r="M336" s="38">
        <v>24</v>
      </c>
    </row>
    <row r="337" spans="1:13" x14ac:dyDescent="0.25">
      <c r="A337" s="39" t="str">
        <f>IF(F337="","",VLOOKUP(F337,Tabelle1[],3))</f>
        <v>THARAND</v>
      </c>
      <c r="B337" s="40" t="str">
        <f>IF(F337="","",VLOOKUP(F337,Tabelle1[],2))</f>
        <v>TE BESNIKU</v>
      </c>
      <c r="C337" s="40"/>
      <c r="D337" s="41">
        <v>46063</v>
      </c>
      <c r="E337" s="80"/>
      <c r="F337" s="78">
        <v>10201</v>
      </c>
      <c r="G337" s="43">
        <v>80.8</v>
      </c>
      <c r="H337" s="38">
        <v>35112</v>
      </c>
      <c r="I337" s="38">
        <v>9</v>
      </c>
      <c r="J337" s="38">
        <v>35125</v>
      </c>
      <c r="K337" s="38">
        <v>12</v>
      </c>
    </row>
    <row r="338" spans="1:13" x14ac:dyDescent="0.25">
      <c r="A338" s="39" t="str">
        <f>IF(F338="","",VLOOKUP(F338,Tabelle1[],3))</f>
        <v>PRIZREN</v>
      </c>
      <c r="B338" s="40" t="str">
        <f>IF(F338="","",VLOOKUP(F338,Tabelle1[],2))</f>
        <v>TEMAJ</v>
      </c>
      <c r="C338" s="40"/>
      <c r="D338" s="41">
        <v>46063</v>
      </c>
      <c r="E338" s="80"/>
      <c r="F338" s="78">
        <v>40019</v>
      </c>
      <c r="G338" s="43">
        <v>184.8</v>
      </c>
      <c r="H338" s="38">
        <v>35109</v>
      </c>
      <c r="I338" s="38">
        <v>36</v>
      </c>
      <c r="J338" s="38">
        <v>35111</v>
      </c>
      <c r="K338" s="38">
        <v>12</v>
      </c>
    </row>
    <row r="339" spans="1:13" x14ac:dyDescent="0.25">
      <c r="A339" s="39" t="str">
        <f>IF(F339="","",VLOOKUP(F339,Tabelle1[],3))</f>
        <v>GJAKOVE</v>
      </c>
      <c r="B339" s="40" t="str">
        <f>IF(F339="","",VLOOKUP(F339,Tabelle1[],2))</f>
        <v>INOX 2</v>
      </c>
      <c r="C339" s="40"/>
      <c r="D339" s="41">
        <v>46063</v>
      </c>
      <c r="E339" s="80"/>
      <c r="F339" s="78">
        <v>20212</v>
      </c>
      <c r="G339" s="43">
        <v>92.4</v>
      </c>
      <c r="H339" s="38">
        <v>35109</v>
      </c>
      <c r="I339" s="38">
        <v>12</v>
      </c>
      <c r="J339" s="38">
        <v>35111</v>
      </c>
      <c r="K339" s="38">
        <v>12</v>
      </c>
    </row>
    <row r="340" spans="1:13" x14ac:dyDescent="0.25">
      <c r="A340" s="39" t="str">
        <f>IF(F340="","",VLOOKUP(F340,Tabelle1[],3))</f>
        <v>GJAKOVE</v>
      </c>
      <c r="B340" s="40" t="str">
        <f>IF(F340="","",VLOOKUP(F340,Tabelle1[],2))</f>
        <v>GER COLORS</v>
      </c>
      <c r="C340" s="40"/>
      <c r="D340" s="41">
        <v>46063</v>
      </c>
      <c r="E340" s="80"/>
      <c r="F340" s="78">
        <v>20223</v>
      </c>
      <c r="G340" s="43">
        <v>130.80000000000001</v>
      </c>
      <c r="H340" s="38">
        <v>51611</v>
      </c>
      <c r="I340" s="38">
        <v>12</v>
      </c>
      <c r="J340" s="38">
        <v>66701</v>
      </c>
      <c r="K340" s="38">
        <v>12</v>
      </c>
      <c r="L340" s="38">
        <v>35128</v>
      </c>
      <c r="M340" s="38">
        <v>12</v>
      </c>
    </row>
    <row r="341" spans="1:13" x14ac:dyDescent="0.25">
      <c r="A341" s="39" t="str">
        <f>IF(F341="","",VLOOKUP(F341,Tabelle1[],3))</f>
        <v>GJAKOVE</v>
      </c>
      <c r="B341" s="40" t="str">
        <f>IF(F341="","",VLOOKUP(F341,Tabelle1[],2))</f>
        <v>HB-DECOR</v>
      </c>
      <c r="C341" s="40"/>
      <c r="D341" s="41">
        <v>46063</v>
      </c>
      <c r="E341" s="80"/>
      <c r="F341" s="78">
        <v>20228</v>
      </c>
      <c r="G341" s="43">
        <v>69.599999999999994</v>
      </c>
      <c r="H341" s="38">
        <v>66701</v>
      </c>
      <c r="I341" s="38">
        <v>12</v>
      </c>
    </row>
    <row r="342" spans="1:13" x14ac:dyDescent="0.25">
      <c r="A342" s="39" t="str">
        <f>IF(F342="","",VLOOKUP(F342,Tabelle1[],3))</f>
        <v>JUNIK</v>
      </c>
      <c r="B342" s="40" t="str">
        <f>IF(F342="","",VLOOKUP(F342,Tabelle1[],2))</f>
        <v>ERENIKU</v>
      </c>
      <c r="C342" s="40"/>
      <c r="D342" s="41">
        <v>46063</v>
      </c>
      <c r="E342" s="80"/>
      <c r="F342" s="78">
        <v>20206</v>
      </c>
      <c r="G342" s="43">
        <v>92.4</v>
      </c>
      <c r="H342" s="38">
        <v>35110</v>
      </c>
      <c r="I342" s="38">
        <v>24</v>
      </c>
    </row>
    <row r="343" spans="1:13" x14ac:dyDescent="0.25">
      <c r="A343" s="39" t="str">
        <f>IF(F343="","",VLOOKUP(F343,Tabelle1[],3))</f>
        <v>DEQAN</v>
      </c>
      <c r="B343" s="40" t="str">
        <f>IF(F343="","",VLOOKUP(F343,Tabelle1[],2))</f>
        <v>AFRIMI-AG</v>
      </c>
      <c r="C343" s="40"/>
      <c r="D343" s="41">
        <v>46063</v>
      </c>
      <c r="E343" s="80"/>
      <c r="F343" s="78">
        <v>20203</v>
      </c>
      <c r="G343" s="43">
        <v>162</v>
      </c>
      <c r="H343" s="38">
        <v>66701</v>
      </c>
      <c r="I343" s="38">
        <v>12</v>
      </c>
      <c r="J343" s="38">
        <v>35108</v>
      </c>
      <c r="K343" s="38">
        <v>12</v>
      </c>
      <c r="L343" s="38">
        <v>35113</v>
      </c>
      <c r="M343" s="38">
        <v>12</v>
      </c>
    </row>
    <row r="344" spans="1:13" x14ac:dyDescent="0.25">
      <c r="A344" s="39" t="str">
        <f>IF(F344="","",VLOOKUP(F344,Tabelle1[],3))</f>
        <v>DEQAN</v>
      </c>
      <c r="B344" s="40" t="str">
        <f>IF(F344="","",VLOOKUP(F344,Tabelle1[],2))</f>
        <v>TE BESIMI</v>
      </c>
      <c r="C344" s="40"/>
      <c r="D344" s="41">
        <v>46063</v>
      </c>
      <c r="E344" s="80"/>
      <c r="F344" s="78">
        <v>20201</v>
      </c>
      <c r="G344" s="43">
        <v>109.2</v>
      </c>
      <c r="H344" s="38">
        <v>51611</v>
      </c>
      <c r="I344" s="38">
        <v>24</v>
      </c>
      <c r="J344" s="38">
        <v>51612</v>
      </c>
      <c r="K344" s="38">
        <v>24</v>
      </c>
      <c r="L344" s="38">
        <v>50912</v>
      </c>
      <c r="M344" s="38">
        <v>3</v>
      </c>
    </row>
    <row r="345" spans="1:13" x14ac:dyDescent="0.25">
      <c r="A345" s="39" t="str">
        <f>IF(F345="","",VLOOKUP(F345,Tabelle1[],3))</f>
        <v>VITI</v>
      </c>
      <c r="B345" s="40" t="str">
        <f>IF(F345="","",VLOOKUP(F345,Tabelle1[],2))</f>
        <v>INTERCOM NTP</v>
      </c>
      <c r="C345" s="40"/>
      <c r="D345" s="41">
        <v>46064</v>
      </c>
      <c r="E345" s="80"/>
      <c r="F345" s="78">
        <v>10343</v>
      </c>
      <c r="G345" s="43">
        <v>166.2</v>
      </c>
      <c r="H345" s="38">
        <v>35110</v>
      </c>
      <c r="I345" s="38">
        <v>36</v>
      </c>
      <c r="J345" s="38">
        <v>51612</v>
      </c>
      <c r="K345" s="38">
        <v>12</v>
      </c>
    </row>
    <row r="346" spans="1:13" x14ac:dyDescent="0.25">
      <c r="A346" s="39" t="str">
        <f>IF(F346="","",VLOOKUP(F346,Tabelle1[],3))</f>
        <v>VITI</v>
      </c>
      <c r="B346" s="40" t="str">
        <f>IF(F346="","",VLOOKUP(F346,Tabelle1[],2))</f>
        <v>DARDANIA</v>
      </c>
      <c r="C346" s="40"/>
      <c r="D346" s="41">
        <v>46064</v>
      </c>
      <c r="E346" s="80"/>
      <c r="F346" s="78">
        <v>10332</v>
      </c>
      <c r="G346" s="43">
        <v>46.2</v>
      </c>
      <c r="H346" s="38">
        <v>35114</v>
      </c>
      <c r="I346" s="38">
        <v>12</v>
      </c>
    </row>
    <row r="347" spans="1:13" x14ac:dyDescent="0.25">
      <c r="A347" s="39" t="str">
        <f>IF(F347="","",VLOOKUP(F347,Tabelle1[],3))</f>
        <v>VITI</v>
      </c>
      <c r="B347" s="40" t="str">
        <f>IF(F347="","",VLOOKUP(F347,Tabelle1[],2))</f>
        <v>BALLKANI</v>
      </c>
      <c r="C347" s="40"/>
      <c r="D347" s="41">
        <v>46064</v>
      </c>
      <c r="E347" s="80"/>
      <c r="F347" s="78">
        <v>10350</v>
      </c>
      <c r="G347" s="43">
        <v>231</v>
      </c>
      <c r="H347" s="38">
        <v>35110</v>
      </c>
      <c r="I347" s="38">
        <v>12</v>
      </c>
      <c r="J347" s="38">
        <v>35113</v>
      </c>
      <c r="K347" s="38">
        <v>24</v>
      </c>
      <c r="L347" s="38">
        <v>35121</v>
      </c>
      <c r="M347" s="38">
        <v>24</v>
      </c>
    </row>
    <row r="348" spans="1:13" x14ac:dyDescent="0.25">
      <c r="A348" s="39" t="str">
        <f>IF(F348="","",VLOOKUP(F348,Tabelle1[],3))</f>
        <v>GJILAN</v>
      </c>
      <c r="B348" s="40" t="str">
        <f>IF(F348="","",VLOOKUP(F348,Tabelle1[],2))</f>
        <v>EUROSAN</v>
      </c>
      <c r="C348" s="40"/>
      <c r="D348" s="41">
        <v>46064</v>
      </c>
      <c r="E348" s="80"/>
      <c r="F348" s="78">
        <v>10304</v>
      </c>
      <c r="G348" s="43">
        <v>61.2</v>
      </c>
      <c r="H348" s="38">
        <v>35110</v>
      </c>
      <c r="I348" s="38">
        <v>12</v>
      </c>
      <c r="J348" s="38">
        <v>51611</v>
      </c>
      <c r="K348" s="38">
        <v>12</v>
      </c>
    </row>
    <row r="349" spans="1:13" x14ac:dyDescent="0.25">
      <c r="A349" s="39" t="str">
        <f>IF(F349="","",VLOOKUP(F349,Tabelle1[],3))</f>
        <v>GJILAN</v>
      </c>
      <c r="B349" s="40" t="str">
        <f>IF(F349="","",VLOOKUP(F349,Tabelle1[],2))</f>
        <v>IBAK</v>
      </c>
      <c r="C349" s="40"/>
      <c r="D349" s="41">
        <v>46064</v>
      </c>
      <c r="E349" s="80"/>
      <c r="F349" s="78">
        <v>10340</v>
      </c>
      <c r="G349" s="43">
        <v>46.2</v>
      </c>
      <c r="H349" s="38">
        <v>35109</v>
      </c>
      <c r="I349" s="38">
        <v>12</v>
      </c>
    </row>
    <row r="350" spans="1:13" x14ac:dyDescent="0.25">
      <c r="A350" s="39" t="str">
        <f>IF(F350="","",VLOOKUP(F350,Tabelle1[],3))</f>
        <v>GJILAN</v>
      </c>
      <c r="B350" s="40" t="str">
        <f>IF(F350="","",VLOOKUP(F350,Tabelle1[],2))</f>
        <v>ELIONI-1</v>
      </c>
      <c r="C350" s="40"/>
      <c r="D350" s="41">
        <v>46064</v>
      </c>
      <c r="E350" s="80"/>
      <c r="F350" s="78">
        <v>10306</v>
      </c>
      <c r="G350" s="43">
        <v>92.4</v>
      </c>
      <c r="H350" s="38">
        <v>35110</v>
      </c>
      <c r="I350" s="38">
        <v>12</v>
      </c>
      <c r="J350" s="38">
        <v>35128</v>
      </c>
      <c r="K350" s="38">
        <v>12</v>
      </c>
    </row>
    <row r="351" spans="1:13" x14ac:dyDescent="0.25">
      <c r="A351" s="39" t="str">
        <f>IF(F351="","",VLOOKUP(F351,Tabelle1[],3))</f>
        <v>GJILAN</v>
      </c>
      <c r="B351" s="40" t="str">
        <f>IF(F351="","",VLOOKUP(F351,Tabelle1[],2))</f>
        <v>BEKA-3</v>
      </c>
      <c r="C351" s="40"/>
      <c r="D351" s="41">
        <v>46064</v>
      </c>
      <c r="E351" s="80"/>
      <c r="F351" s="78">
        <v>10323</v>
      </c>
      <c r="G351" s="43">
        <v>86.4</v>
      </c>
      <c r="H351" s="38">
        <v>50912</v>
      </c>
      <c r="I351" s="38">
        <v>12</v>
      </c>
    </row>
    <row r="352" spans="1:13" x14ac:dyDescent="0.25">
      <c r="A352" s="39" t="str">
        <f>IF(F352="","",VLOOKUP(F352,Tabelle1[],3))</f>
        <v>GJILAN</v>
      </c>
      <c r="B352" s="40" t="str">
        <f>IF(F352="","",VLOOKUP(F352,Tabelle1[],2))</f>
        <v>DANI-COM</v>
      </c>
      <c r="C352" s="40"/>
      <c r="D352" s="41">
        <v>46064</v>
      </c>
      <c r="E352" s="80"/>
      <c r="F352" s="78">
        <v>10320</v>
      </c>
      <c r="G352" s="43">
        <v>46.2</v>
      </c>
      <c r="H352" s="38">
        <v>35128</v>
      </c>
      <c r="I352" s="38">
        <v>12</v>
      </c>
    </row>
    <row r="353" spans="1:21" x14ac:dyDescent="0.25">
      <c r="A353" s="39" t="str">
        <f>IF(F353="","",VLOOKUP(F353,Tabelle1[],3))</f>
        <v>MALISHEVE</v>
      </c>
      <c r="B353" s="40" t="str">
        <f>IF(F353="","",VLOOKUP(F353,Tabelle1[],2))</f>
        <v>BAU HOME</v>
      </c>
      <c r="C353" s="40"/>
      <c r="D353" s="41">
        <v>46064</v>
      </c>
      <c r="E353" s="80"/>
      <c r="F353" s="78">
        <v>20324</v>
      </c>
      <c r="G353" s="43">
        <v>92.4</v>
      </c>
      <c r="H353" s="38">
        <v>35110</v>
      </c>
      <c r="I353" s="38">
        <v>12</v>
      </c>
      <c r="J353" s="38">
        <v>35128</v>
      </c>
      <c r="K353" s="38">
        <v>12</v>
      </c>
    </row>
    <row r="354" spans="1:21" x14ac:dyDescent="0.25">
      <c r="A354" s="39" t="str">
        <f>IF(F354="","",VLOOKUP(F354,Tabelle1[],3))</f>
        <v>RAHOVEC</v>
      </c>
      <c r="B354" s="40" t="str">
        <f>IF(F354="","",VLOOKUP(F354,Tabelle1[],2))</f>
        <v>CONDOR</v>
      </c>
      <c r="C354" s="40"/>
      <c r="D354" s="41">
        <v>46064</v>
      </c>
      <c r="E354" s="80"/>
      <c r="F354" s="78">
        <v>20307</v>
      </c>
      <c r="G354" s="43">
        <v>347.4</v>
      </c>
      <c r="H354" s="38">
        <v>35109</v>
      </c>
      <c r="I354" s="38">
        <v>24</v>
      </c>
      <c r="J354" s="38">
        <v>35110</v>
      </c>
      <c r="K354" s="38">
        <v>24</v>
      </c>
      <c r="L354" s="38">
        <v>35121</v>
      </c>
      <c r="M354" s="38">
        <v>12</v>
      </c>
      <c r="N354" s="38">
        <v>35125</v>
      </c>
      <c r="O354" s="38">
        <v>12</v>
      </c>
      <c r="P354" s="38">
        <v>51611</v>
      </c>
      <c r="Q354" s="38">
        <v>12</v>
      </c>
      <c r="R354" s="38">
        <v>51612</v>
      </c>
      <c r="S354" s="38">
        <v>24</v>
      </c>
    </row>
    <row r="355" spans="1:21" x14ac:dyDescent="0.25">
      <c r="A355" s="39" t="str">
        <f>IF(F355="","",VLOOKUP(F355,Tabelle1[],3))</f>
        <v>MALISHEVE</v>
      </c>
      <c r="B355" s="40" t="str">
        <f>IF(F355="","",VLOOKUP(F355,Tabelle1[],2))</f>
        <v>BARDHI-M</v>
      </c>
      <c r="C355" s="40"/>
      <c r="D355" s="41">
        <v>46064</v>
      </c>
      <c r="E355" s="80"/>
      <c r="F355" s="78">
        <v>20331</v>
      </c>
      <c r="G355" s="43">
        <v>92.4</v>
      </c>
      <c r="H355" s="38">
        <v>35110</v>
      </c>
      <c r="I355" s="38">
        <v>12</v>
      </c>
      <c r="J355" s="38">
        <v>35121</v>
      </c>
      <c r="K355" s="38">
        <v>12</v>
      </c>
    </row>
    <row r="356" spans="1:21" x14ac:dyDescent="0.25">
      <c r="A356" s="39" t="str">
        <f>IF(F356="","",VLOOKUP(F356,Tabelle1[],3))</f>
        <v>MALISHEVE</v>
      </c>
      <c r="B356" s="40" t="str">
        <f>IF(F356="","",VLOOKUP(F356,Tabelle1[],2))</f>
        <v>BEREQETI</v>
      </c>
      <c r="C356" s="40"/>
      <c r="D356" s="41">
        <v>46064</v>
      </c>
      <c r="E356" s="80"/>
      <c r="F356" s="78">
        <v>20321</v>
      </c>
      <c r="G356" s="43">
        <v>73.8</v>
      </c>
      <c r="H356" s="38">
        <v>35121</v>
      </c>
      <c r="I356" s="38">
        <v>12</v>
      </c>
      <c r="J356" s="38">
        <v>51612</v>
      </c>
      <c r="K356" s="38">
        <v>12</v>
      </c>
    </row>
    <row r="357" spans="1:21" x14ac:dyDescent="0.25">
      <c r="A357" s="39" t="str">
        <f>IF(F357="","",VLOOKUP(F357,Tabelle1[],3))</f>
        <v>MALISHEVE</v>
      </c>
      <c r="B357" s="40" t="str">
        <f>IF(F357="","",VLOOKUP(F357,Tabelle1[],2))</f>
        <v>AGRO-FARM</v>
      </c>
      <c r="C357" s="40"/>
      <c r="D357" s="41">
        <v>46064</v>
      </c>
      <c r="E357" s="80"/>
      <c r="F357" s="78">
        <v>20304</v>
      </c>
      <c r="G357" s="43">
        <v>61.2</v>
      </c>
      <c r="H357" s="38">
        <v>35121</v>
      </c>
      <c r="I357" s="38">
        <v>12</v>
      </c>
      <c r="J357" s="38">
        <v>51611</v>
      </c>
      <c r="K357" s="38">
        <v>12</v>
      </c>
    </row>
    <row r="358" spans="1:21" x14ac:dyDescent="0.25">
      <c r="A358" s="39" t="str">
        <f>IF(F358="","",VLOOKUP(F358,Tabelle1[],3))</f>
        <v>RAHOVEC</v>
      </c>
      <c r="B358" s="40" t="str">
        <f>IF(F358="","",VLOOKUP(F358,Tabelle1[],2))</f>
        <v>DURGUTI 3</v>
      </c>
      <c r="C358" s="40"/>
      <c r="D358" s="41">
        <v>46064</v>
      </c>
      <c r="E358" s="80"/>
      <c r="F358" s="78">
        <v>20313</v>
      </c>
      <c r="G358" s="43">
        <v>92.4</v>
      </c>
      <c r="H358" s="38">
        <v>35110</v>
      </c>
      <c r="I358" s="38">
        <v>12</v>
      </c>
      <c r="J358" s="38">
        <v>35128</v>
      </c>
      <c r="K358" s="38">
        <v>12</v>
      </c>
    </row>
    <row r="359" spans="1:21" x14ac:dyDescent="0.25">
      <c r="A359" s="39" t="str">
        <f>IF(F359="","",VLOOKUP(F359,Tabelle1[],3))</f>
        <v>RAHOVEC</v>
      </c>
      <c r="B359" s="40" t="str">
        <f>IF(F359="","",VLOOKUP(F359,Tabelle1[],2))</f>
        <v>SHEHU-A</v>
      </c>
      <c r="C359" s="40"/>
      <c r="D359" s="41">
        <v>46064</v>
      </c>
      <c r="E359" s="80"/>
      <c r="F359" s="78">
        <v>20317</v>
      </c>
      <c r="G359" s="43">
        <v>26</v>
      </c>
      <c r="H359" s="38">
        <v>49644</v>
      </c>
      <c r="I359" s="38">
        <v>6</v>
      </c>
      <c r="J359" s="38">
        <v>44001</v>
      </c>
      <c r="K359" s="38">
        <v>4</v>
      </c>
    </row>
    <row r="360" spans="1:21" x14ac:dyDescent="0.25">
      <c r="A360" s="39" t="str">
        <f>IF(F360="","",VLOOKUP(F360,Tabelle1[],3))</f>
        <v>RAHOVEC</v>
      </c>
      <c r="B360" s="40" t="str">
        <f>IF(F360="","",VLOOKUP(F360,Tabelle1[],2))</f>
        <v>SOPAJ</v>
      </c>
      <c r="C360" s="40"/>
      <c r="D360" s="41">
        <v>46064</v>
      </c>
      <c r="E360" s="80"/>
      <c r="F360" s="78">
        <v>20311</v>
      </c>
      <c r="G360" s="43">
        <v>46.2</v>
      </c>
      <c r="H360" s="38">
        <v>35109</v>
      </c>
      <c r="I360" s="38">
        <v>12</v>
      </c>
    </row>
    <row r="361" spans="1:21" x14ac:dyDescent="0.25">
      <c r="A361" s="39" t="str">
        <f>IF(F361="","",VLOOKUP(F361,Tabelle1[],3))</f>
        <v>HOME KIM TEC</v>
      </c>
      <c r="B361" s="40" t="str">
        <f>IF(F361="","",VLOOKUP(F361,Tabelle1[],2))</f>
        <v>ARBENI BIOBLIC</v>
      </c>
      <c r="C361" s="40"/>
      <c r="D361" s="41">
        <v>46065</v>
      </c>
      <c r="E361" s="80"/>
      <c r="F361" s="78">
        <v>40003</v>
      </c>
      <c r="G361" s="43">
        <v>175</v>
      </c>
      <c r="H361" s="38">
        <v>20001</v>
      </c>
      <c r="I361" s="38">
        <v>100</v>
      </c>
      <c r="J361" s="38">
        <v>30275</v>
      </c>
      <c r="K361" s="38">
        <v>40</v>
      </c>
    </row>
    <row r="362" spans="1:21" x14ac:dyDescent="0.25">
      <c r="A362" s="39" t="str">
        <f>IF(F362="","",VLOOKUP(F362,Tabelle1[],3))</f>
        <v>LIPJAN</v>
      </c>
      <c r="B362" s="40" t="str">
        <f>IF(F362="","",VLOOKUP(F362,Tabelle1[],2))</f>
        <v>G FETAHU QERAMIK SH.P.K.</v>
      </c>
      <c r="C362" s="40"/>
      <c r="D362" s="41">
        <v>46065</v>
      </c>
      <c r="E362" s="80"/>
      <c r="F362" s="78">
        <v>40033</v>
      </c>
      <c r="G362" s="43">
        <v>48</v>
      </c>
      <c r="H362" s="38">
        <v>35128</v>
      </c>
      <c r="I362" s="38">
        <v>7</v>
      </c>
      <c r="J362" s="38">
        <v>35109</v>
      </c>
      <c r="K362" s="38">
        <v>3</v>
      </c>
      <c r="L362" s="38">
        <v>35113</v>
      </c>
      <c r="M362" s="38">
        <v>2</v>
      </c>
    </row>
    <row r="363" spans="1:21" x14ac:dyDescent="0.25">
      <c r="A363" s="39" t="str">
        <f>IF(F363="","",VLOOKUP(F363,Tabelle1[],3))</f>
        <v>VUSHTRRI</v>
      </c>
      <c r="B363" s="40" t="str">
        <f>IF(F363="","",VLOOKUP(F363,Tabelle1[],2))</f>
        <v>NDRIQIMI</v>
      </c>
      <c r="C363" s="40"/>
      <c r="D363" s="41">
        <v>46065</v>
      </c>
      <c r="E363" s="80"/>
      <c r="F363" s="78">
        <v>10418</v>
      </c>
      <c r="G363" s="43">
        <v>184.8</v>
      </c>
      <c r="H363" s="38">
        <v>35110</v>
      </c>
      <c r="I363" s="38">
        <v>24</v>
      </c>
      <c r="J363" s="38">
        <v>35111</v>
      </c>
      <c r="K363" s="38">
        <v>12</v>
      </c>
      <c r="L363" s="38">
        <v>35115</v>
      </c>
      <c r="M363" s="38">
        <v>12</v>
      </c>
    </row>
    <row r="364" spans="1:21" x14ac:dyDescent="0.25">
      <c r="A364" s="39" t="str">
        <f>IF(F364="","",VLOOKUP(F364,Tabelle1[],3))</f>
        <v>MITROVICE</v>
      </c>
      <c r="B364" s="40" t="str">
        <f>IF(F364="","",VLOOKUP(F364,Tabelle1[],2))</f>
        <v>UNIVERZAL</v>
      </c>
      <c r="C364" s="40"/>
      <c r="D364" s="41">
        <v>46065</v>
      </c>
      <c r="E364" s="80"/>
      <c r="F364" s="78">
        <v>10413</v>
      </c>
      <c r="G364" s="43">
        <v>92.4</v>
      </c>
      <c r="H364" s="38">
        <v>35109</v>
      </c>
      <c r="I364" s="38">
        <v>12</v>
      </c>
      <c r="J364" s="38">
        <v>35128</v>
      </c>
      <c r="K364" s="38">
        <v>12</v>
      </c>
    </row>
    <row r="365" spans="1:21" x14ac:dyDescent="0.25">
      <c r="A365" s="39" t="str">
        <f>IF(F365="","",VLOOKUP(F365,Tabelle1[],3))</f>
        <v>MITROVICE</v>
      </c>
      <c r="B365" s="40" t="str">
        <f>IF(F365="","",VLOOKUP(F365,Tabelle1[],2))</f>
        <v>AGRONI</v>
      </c>
      <c r="C365" s="40"/>
      <c r="D365" s="41">
        <v>46065</v>
      </c>
      <c r="E365" s="80"/>
      <c r="F365" s="78">
        <v>10406</v>
      </c>
      <c r="G365" s="43">
        <v>30</v>
      </c>
      <c r="H365" s="38">
        <v>56117</v>
      </c>
      <c r="I365" s="38">
        <v>5</v>
      </c>
      <c r="J365" s="38">
        <v>49644</v>
      </c>
      <c r="K365" s="38">
        <v>5</v>
      </c>
    </row>
    <row r="366" spans="1:21" x14ac:dyDescent="0.25">
      <c r="A366" s="39" t="str">
        <f>IF(F366="","",VLOOKUP(F366,Tabelle1[],3))</f>
        <v>MITROVICE</v>
      </c>
      <c r="B366" s="40" t="str">
        <f>IF(F366="","",VLOOKUP(F366,Tabelle1[],2))</f>
        <v>GRANITI</v>
      </c>
      <c r="C366" s="40"/>
      <c r="D366" s="41">
        <v>46065</v>
      </c>
      <c r="E366" s="80"/>
      <c r="F366" s="78">
        <v>10410</v>
      </c>
      <c r="G366" s="43">
        <v>92.4</v>
      </c>
      <c r="H366" s="38">
        <v>35110</v>
      </c>
      <c r="I366" s="38">
        <v>12</v>
      </c>
      <c r="J366" s="38">
        <v>35113</v>
      </c>
      <c r="K366" s="38">
        <v>12</v>
      </c>
    </row>
    <row r="367" spans="1:21" x14ac:dyDescent="0.25">
      <c r="A367" s="39" t="str">
        <f>IF(F367="","",VLOOKUP(F367,Tabelle1[],3))</f>
        <v>MITROVICE</v>
      </c>
      <c r="B367" s="40" t="str">
        <f>IF(F367="","",VLOOKUP(F367,Tabelle1[],2))</f>
        <v>EURO COM</v>
      </c>
      <c r="C367" s="40"/>
      <c r="D367" s="41">
        <v>46065</v>
      </c>
      <c r="E367" s="80"/>
      <c r="F367" s="78">
        <v>10430</v>
      </c>
      <c r="G367" s="43">
        <v>92.4</v>
      </c>
      <c r="H367" s="38">
        <v>35113</v>
      </c>
      <c r="I367" s="38">
        <v>12</v>
      </c>
      <c r="J367" s="38">
        <v>35109</v>
      </c>
      <c r="K367" s="38">
        <v>12</v>
      </c>
    </row>
    <row r="368" spans="1:21" x14ac:dyDescent="0.25">
      <c r="A368" s="39" t="str">
        <f>IF(F368="","",VLOOKUP(F368,Tabelle1[],3))</f>
        <v>PRISHTINE</v>
      </c>
      <c r="B368" s="40" t="str">
        <f>IF(F368="","",VLOOKUP(F368,Tabelle1[],2))</f>
        <v>KRRABAJ</v>
      </c>
      <c r="C368" s="40"/>
      <c r="D368" s="41">
        <v>46066</v>
      </c>
      <c r="E368" s="80"/>
      <c r="F368" s="78">
        <v>10145</v>
      </c>
      <c r="G368" s="43">
        <v>323.39999999999998</v>
      </c>
      <c r="H368" s="38">
        <v>35108</v>
      </c>
      <c r="I368" s="38">
        <v>12</v>
      </c>
      <c r="J368" s="38">
        <v>35109</v>
      </c>
      <c r="K368" s="38">
        <v>12</v>
      </c>
      <c r="L368" s="38">
        <v>35113</v>
      </c>
      <c r="M368" s="38">
        <v>12</v>
      </c>
      <c r="N368" s="38">
        <v>35125</v>
      </c>
      <c r="O368" s="38">
        <v>12</v>
      </c>
      <c r="P368" s="38">
        <v>35128</v>
      </c>
      <c r="Q368" s="38">
        <v>12</v>
      </c>
      <c r="R368" s="38">
        <v>35121</v>
      </c>
      <c r="S368" s="38">
        <v>12</v>
      </c>
      <c r="T368" s="38">
        <v>35115</v>
      </c>
      <c r="U368" s="38">
        <v>12</v>
      </c>
    </row>
    <row r="369" spans="1:19" x14ac:dyDescent="0.25">
      <c r="A369" s="39" t="str">
        <f>IF(F369="","",VLOOKUP(F369,Tabelle1[],3))</f>
        <v>PRISHTINE</v>
      </c>
      <c r="B369" s="40" t="str">
        <f>IF(F369="","",VLOOKUP(F369,Tabelle1[],2))</f>
        <v>MARIGONA HILL SH.P.K.</v>
      </c>
      <c r="C369" s="40"/>
      <c r="D369" s="41">
        <v>46066</v>
      </c>
      <c r="E369" s="80"/>
      <c r="F369" s="78">
        <v>40028</v>
      </c>
      <c r="G369" s="43">
        <v>1134</v>
      </c>
      <c r="H369" s="38">
        <v>35119</v>
      </c>
      <c r="I369" s="38">
        <v>72</v>
      </c>
      <c r="J369" s="38">
        <v>35128</v>
      </c>
      <c r="K369" s="38">
        <v>36</v>
      </c>
      <c r="L369" s="38">
        <v>35115</v>
      </c>
      <c r="M369" s="38">
        <v>36</v>
      </c>
      <c r="N369" s="38">
        <v>35108</v>
      </c>
      <c r="O369" s="38">
        <v>36</v>
      </c>
      <c r="P369" s="38">
        <v>35113</v>
      </c>
      <c r="Q369" s="38">
        <v>36</v>
      </c>
      <c r="R369" s="38">
        <v>35121</v>
      </c>
      <c r="S369" s="38">
        <v>36</v>
      </c>
    </row>
    <row r="370" spans="1:19" x14ac:dyDescent="0.25">
      <c r="A370" s="39" t="str">
        <f>IF(F370="","",VLOOKUP(F370,Tabelle1[],3))</f>
        <v>FERIZAJ</v>
      </c>
      <c r="B370" s="40" t="str">
        <f>IF(F370="","",VLOOKUP(F370,Tabelle1[],2))</f>
        <v>CARRALEVA 1</v>
      </c>
      <c r="C370" s="40"/>
      <c r="D370" s="41">
        <v>46066</v>
      </c>
      <c r="E370" s="80"/>
      <c r="F370" s="78">
        <v>10504</v>
      </c>
      <c r="G370" s="43">
        <v>107.4</v>
      </c>
      <c r="H370" s="38">
        <v>35109</v>
      </c>
      <c r="I370" s="38">
        <v>12</v>
      </c>
      <c r="J370" s="38">
        <v>35110</v>
      </c>
      <c r="K370" s="38">
        <v>12</v>
      </c>
      <c r="L370" s="38">
        <v>51611</v>
      </c>
      <c r="M370" s="38">
        <v>12</v>
      </c>
    </row>
    <row r="371" spans="1:19" x14ac:dyDescent="0.25">
      <c r="A371" s="39" t="str">
        <f>IF(F371="","",VLOOKUP(F371,Tabelle1[],3))</f>
        <v>VITI</v>
      </c>
      <c r="B371" s="40" t="str">
        <f>IF(F371="","",VLOOKUP(F371,Tabelle1[],2))</f>
        <v>BALLKANI</v>
      </c>
      <c r="C371" s="40"/>
      <c r="D371" s="41">
        <v>46066</v>
      </c>
      <c r="E371" s="80"/>
      <c r="F371" s="78">
        <v>10350</v>
      </c>
      <c r="G371" s="43">
        <v>231</v>
      </c>
      <c r="H371" s="38">
        <v>35121</v>
      </c>
      <c r="I371" s="38">
        <v>60</v>
      </c>
    </row>
    <row r="372" spans="1:19" x14ac:dyDescent="0.25">
      <c r="A372" s="39" t="str">
        <f>IF(F372="","",VLOOKUP(F372,Tabelle1[],3))</f>
        <v>FERIZAJ</v>
      </c>
      <c r="B372" s="40" t="str">
        <f>IF(F372="","",VLOOKUP(F372,Tabelle1[],2))</f>
        <v>CARRALEVA 2</v>
      </c>
      <c r="C372" s="40"/>
      <c r="D372" s="41">
        <v>46066</v>
      </c>
      <c r="E372" s="80"/>
      <c r="F372" s="78">
        <v>10508</v>
      </c>
      <c r="G372" s="43">
        <v>46.2</v>
      </c>
      <c r="H372" s="38">
        <v>35111</v>
      </c>
      <c r="I372" s="38">
        <v>12</v>
      </c>
    </row>
    <row r="373" spans="1:19" x14ac:dyDescent="0.25">
      <c r="A373" s="39" t="str">
        <f>IF(F373="","",VLOOKUP(F373,Tabelle1[],3))</f>
        <v>LIPJAN</v>
      </c>
      <c r="B373" s="40" t="str">
        <f>IF(F373="","",VLOOKUP(F373,Tabelle1[],2))</f>
        <v>ARDI LIPJAN</v>
      </c>
      <c r="C373" s="40"/>
      <c r="D373" s="41">
        <v>46066</v>
      </c>
      <c r="E373" s="80"/>
      <c r="F373" s="78">
        <v>10529</v>
      </c>
      <c r="G373" s="43">
        <v>50.4</v>
      </c>
      <c r="H373" s="38">
        <v>50912</v>
      </c>
      <c r="I373" s="38">
        <v>7</v>
      </c>
    </row>
    <row r="374" spans="1:19" x14ac:dyDescent="0.25">
      <c r="A374" s="39" t="str">
        <f>IF(F374="","",VLOOKUP(F374,Tabelle1[],3))</f>
        <v>FERIZAJ</v>
      </c>
      <c r="B374" s="40" t="str">
        <f>IF(F374="","",VLOOKUP(F374,Tabelle1[],2))</f>
        <v>REAL COLOR 2</v>
      </c>
      <c r="C374" s="40"/>
      <c r="D374" s="41">
        <v>46066</v>
      </c>
      <c r="E374" s="80"/>
      <c r="F374" s="78">
        <v>10507</v>
      </c>
      <c r="G374" s="43">
        <v>92.4</v>
      </c>
      <c r="H374" s="38">
        <v>35121</v>
      </c>
      <c r="I374" s="38">
        <v>12</v>
      </c>
      <c r="J374" s="38">
        <v>35109</v>
      </c>
      <c r="K374" s="38">
        <v>12</v>
      </c>
    </row>
    <row r="375" spans="1:19" x14ac:dyDescent="0.25">
      <c r="A375" s="39" t="str">
        <f>IF(F375="","",VLOOKUP(F375,Tabelle1[],3))</f>
        <v>PODUJEVE</v>
      </c>
      <c r="B375" s="40" t="str">
        <f>IF(F375="","",VLOOKUP(F375,Tabelle1[],2))</f>
        <v>ALBANI</v>
      </c>
      <c r="C375" s="40"/>
      <c r="D375" s="41">
        <v>46067</v>
      </c>
      <c r="E375" s="80"/>
      <c r="F375" s="78">
        <v>10635</v>
      </c>
      <c r="G375" s="43">
        <v>46.2</v>
      </c>
      <c r="H375" s="38">
        <v>35109</v>
      </c>
      <c r="I375" s="38">
        <v>12</v>
      </c>
    </row>
    <row r="376" spans="1:19" x14ac:dyDescent="0.25">
      <c r="A376" s="39" t="str">
        <f>IF(F376="","",VLOOKUP(F376,Tabelle1[],3))</f>
        <v>PODUJEVE</v>
      </c>
      <c r="B376" s="40" t="str">
        <f>IF(F376="","",VLOOKUP(F376,Tabelle1[],2))</f>
        <v>KUJTA</v>
      </c>
      <c r="C376" s="40"/>
      <c r="D376" s="41">
        <v>46067</v>
      </c>
      <c r="E376" s="80"/>
      <c r="F376" s="78">
        <v>10625</v>
      </c>
      <c r="G376" s="43">
        <v>92.4</v>
      </c>
      <c r="H376" s="38">
        <v>35121</v>
      </c>
      <c r="I376" s="38">
        <v>12</v>
      </c>
      <c r="J376" s="38">
        <v>35128</v>
      </c>
      <c r="K376" s="38">
        <v>12</v>
      </c>
    </row>
    <row r="377" spans="1:19" x14ac:dyDescent="0.25">
      <c r="A377" s="39" t="str">
        <f>IF(F377="","",VLOOKUP(F377,Tabelle1[],3))</f>
        <v>PODUJEVE</v>
      </c>
      <c r="B377" s="40" t="str">
        <f>IF(F377="","",VLOOKUP(F377,Tabelle1[],2))</f>
        <v>BECOLOR</v>
      </c>
      <c r="C377" s="40"/>
      <c r="D377" s="41">
        <v>46067</v>
      </c>
      <c r="E377" s="80"/>
      <c r="F377" s="78">
        <v>10619</v>
      </c>
      <c r="G377" s="43">
        <v>14</v>
      </c>
      <c r="H377" s="38">
        <v>16936</v>
      </c>
      <c r="I377" s="38">
        <v>5</v>
      </c>
      <c r="J377" s="38">
        <v>31827</v>
      </c>
      <c r="K377" s="38">
        <v>2</v>
      </c>
    </row>
    <row r="378" spans="1:19" x14ac:dyDescent="0.25">
      <c r="A378" s="39" t="str">
        <f>IF(F378="","",VLOOKUP(F378,Tabelle1[],3))</f>
        <v>PODUJEVE</v>
      </c>
      <c r="B378" s="40" t="str">
        <f>IF(F378="","",VLOOKUP(F378,Tabelle1[],2))</f>
        <v>ALBANI</v>
      </c>
      <c r="C378" s="40"/>
      <c r="D378" s="41">
        <v>46067</v>
      </c>
      <c r="E378" s="80"/>
      <c r="F378" s="78">
        <v>10636</v>
      </c>
      <c r="G378" s="43">
        <v>92.4</v>
      </c>
      <c r="H378" s="38">
        <v>35109</v>
      </c>
      <c r="I378" s="38">
        <v>12</v>
      </c>
      <c r="J378" s="38">
        <v>35111</v>
      </c>
      <c r="K378" s="38">
        <v>12</v>
      </c>
    </row>
    <row r="379" spans="1:19" x14ac:dyDescent="0.25">
      <c r="A379" s="39" t="str">
        <f>IF(F379="","",VLOOKUP(F379,Tabelle1[],3))</f>
        <v>PODUJEVE</v>
      </c>
      <c r="B379" s="40" t="str">
        <f>IF(F379="","",VLOOKUP(F379,Tabelle1[],2))</f>
        <v>MERIS</v>
      </c>
      <c r="C379" s="40"/>
      <c r="D379" s="41">
        <v>46067</v>
      </c>
      <c r="E379" s="80"/>
      <c r="F379" s="78">
        <v>10614</v>
      </c>
      <c r="G379" s="43">
        <v>20</v>
      </c>
      <c r="H379" s="38">
        <v>49644</v>
      </c>
      <c r="I379" s="38">
        <v>10</v>
      </c>
    </row>
    <row r="380" spans="1:19" x14ac:dyDescent="0.25">
      <c r="A380" s="39" t="str">
        <f>IF(F380="","",VLOOKUP(F380,Tabelle1[],3))</f>
        <v>PODUJEVE</v>
      </c>
      <c r="B380" s="40" t="str">
        <f>IF(F380="","",VLOOKUP(F380,Tabelle1[],2))</f>
        <v>TE ZENA</v>
      </c>
      <c r="C380" s="40"/>
      <c r="D380" s="41">
        <v>46067</v>
      </c>
      <c r="E380" s="80"/>
      <c r="F380" s="78">
        <v>10616</v>
      </c>
      <c r="G380" s="43">
        <v>46.2</v>
      </c>
      <c r="H380" s="38">
        <v>35128</v>
      </c>
      <c r="I380" s="38">
        <v>12</v>
      </c>
    </row>
    <row r="381" spans="1:19" x14ac:dyDescent="0.25">
      <c r="A381" s="39" t="str">
        <f>IF(F381="","",VLOOKUP(F381,Tabelle1[],3))</f>
        <v>PRISHTINE</v>
      </c>
      <c r="B381" s="40" t="str">
        <f>IF(F381="","",VLOOKUP(F381,Tabelle1[],2))</f>
        <v>YLLI CONSTRUCION</v>
      </c>
      <c r="C381" s="40"/>
      <c r="D381" s="41">
        <v>46069</v>
      </c>
      <c r="E381" s="80"/>
      <c r="F381" s="78">
        <v>40017</v>
      </c>
      <c r="G381" s="43">
        <v>96</v>
      </c>
      <c r="H381" s="38">
        <v>35109</v>
      </c>
      <c r="I381" s="38">
        <v>12</v>
      </c>
      <c r="J381" s="38">
        <v>35128</v>
      </c>
      <c r="K381" s="38">
        <v>3</v>
      </c>
      <c r="L381" s="38">
        <v>35113</v>
      </c>
      <c r="M381" s="38">
        <v>3</v>
      </c>
      <c r="N381" s="38">
        <v>35121</v>
      </c>
      <c r="O381" s="38">
        <v>6</v>
      </c>
    </row>
    <row r="382" spans="1:19" x14ac:dyDescent="0.25">
      <c r="A382" s="39" t="str">
        <f>IF(F382="","",VLOOKUP(F382,Tabelle1[],3))</f>
        <v>PRISHTINE</v>
      </c>
      <c r="B382" s="40" t="str">
        <f>IF(F382="","",VLOOKUP(F382,Tabelle1[],2))</f>
        <v>ECM ENGINEERING SH.P.K</v>
      </c>
      <c r="C382" s="40"/>
      <c r="D382" s="41">
        <v>46069</v>
      </c>
      <c r="E382" s="80"/>
      <c r="F382" s="78">
        <v>40032</v>
      </c>
      <c r="G382" s="43">
        <v>46</v>
      </c>
      <c r="H382" s="38">
        <v>35121</v>
      </c>
      <c r="I382" s="38">
        <v>10</v>
      </c>
    </row>
    <row r="383" spans="1:19" x14ac:dyDescent="0.25">
      <c r="A383" s="39" t="str">
        <f>IF(F383="","",VLOOKUP(F383,Tabelle1[],3))</f>
        <v>PRISHTINE</v>
      </c>
      <c r="B383" s="40" t="str">
        <f>IF(F383="","",VLOOKUP(F383,Tabelle1[],2))</f>
        <v>CHE BAR LOUNGE BAR</v>
      </c>
      <c r="C383" s="40"/>
      <c r="D383" s="41">
        <v>46069</v>
      </c>
      <c r="E383" s="80"/>
      <c r="F383" s="78">
        <v>10141</v>
      </c>
      <c r="G383" s="43">
        <v>40</v>
      </c>
      <c r="H383" s="38">
        <v>20001</v>
      </c>
      <c r="I383" s="38">
        <v>20</v>
      </c>
    </row>
    <row r="384" spans="1:19" x14ac:dyDescent="0.25">
      <c r="A384" s="39" t="str">
        <f>IF(F384="","",VLOOKUP(F384,Tabelle1[],3))</f>
        <v>PRISHTINE</v>
      </c>
      <c r="B384" s="40" t="str">
        <f>IF(F384="","",VLOOKUP(F384,Tabelle1[],2))</f>
        <v>HIDROELDI</v>
      </c>
      <c r="C384" s="40"/>
      <c r="D384" s="41">
        <v>46069</v>
      </c>
      <c r="E384" s="80"/>
      <c r="F384" s="78">
        <v>10133</v>
      </c>
      <c r="G384" s="43">
        <v>92.4</v>
      </c>
      <c r="H384" s="38">
        <v>35109</v>
      </c>
      <c r="I384" s="38">
        <v>12</v>
      </c>
      <c r="J384" s="38">
        <v>35125</v>
      </c>
      <c r="K384" s="38">
        <v>12</v>
      </c>
    </row>
    <row r="385" spans="1:15" x14ac:dyDescent="0.25">
      <c r="A385" s="39" t="str">
        <f>IF(F385="","",VLOOKUP(F385,Tabelle1[],3))</f>
        <v>PRISHTINE</v>
      </c>
      <c r="B385" s="40" t="str">
        <f>IF(F385="","",VLOOKUP(F385,Tabelle1[],2))</f>
        <v>ARSIM</v>
      </c>
      <c r="C385" s="40"/>
      <c r="D385" s="41">
        <v>46069</v>
      </c>
      <c r="E385" s="80"/>
      <c r="F385" s="78">
        <v>10105</v>
      </c>
      <c r="G385" s="43">
        <v>46.2</v>
      </c>
      <c r="H385" s="38">
        <v>35125</v>
      </c>
      <c r="I385" s="38">
        <v>12</v>
      </c>
    </row>
    <row r="386" spans="1:15" x14ac:dyDescent="0.25">
      <c r="A386" s="39" t="str">
        <f>IF(F386="","",VLOOKUP(F386,Tabelle1[],3))</f>
        <v>PRISHTINE</v>
      </c>
      <c r="B386" s="40" t="str">
        <f>IF(F386="","",VLOOKUP(F386,Tabelle1[],2))</f>
        <v>KADIJOLLET</v>
      </c>
      <c r="C386" s="40"/>
      <c r="D386" s="41">
        <v>46069</v>
      </c>
      <c r="E386" s="80"/>
      <c r="F386" s="78">
        <v>10111</v>
      </c>
      <c r="G386" s="43">
        <v>85.2</v>
      </c>
      <c r="H386" s="38">
        <v>35110</v>
      </c>
      <c r="I386" s="38">
        <v>12</v>
      </c>
      <c r="J386" s="38">
        <v>51611</v>
      </c>
      <c r="K386" s="38">
        <v>12</v>
      </c>
      <c r="L386" s="38">
        <v>54412</v>
      </c>
      <c r="M386" s="38">
        <v>12</v>
      </c>
    </row>
    <row r="387" spans="1:15" x14ac:dyDescent="0.25">
      <c r="A387" s="39" t="str">
        <f>IF(F387="","",VLOOKUP(F387,Tabelle1[],3))</f>
        <v>PRISHTINE</v>
      </c>
      <c r="B387" s="40" t="str">
        <f>IF(F387="","",VLOOKUP(F387,Tabelle1[],2))</f>
        <v>BESI COM</v>
      </c>
      <c r="C387" s="40"/>
      <c r="D387" s="41">
        <v>46069</v>
      </c>
      <c r="E387" s="80"/>
      <c r="F387" s="78">
        <v>10103</v>
      </c>
      <c r="G387" s="43">
        <v>67.2</v>
      </c>
      <c r="H387" s="38">
        <v>35121</v>
      </c>
      <c r="I387" s="38">
        <v>12</v>
      </c>
      <c r="J387" s="38">
        <v>44001</v>
      </c>
      <c r="K387" s="38">
        <v>6</v>
      </c>
    </row>
    <row r="388" spans="1:15" x14ac:dyDescent="0.25">
      <c r="A388" s="39" t="str">
        <f>IF(F388="","",VLOOKUP(F388,Tabelle1[],3))</f>
        <v>BARDHOSH</v>
      </c>
      <c r="B388" s="40" t="str">
        <f>IF(F388="","",VLOOKUP(F388,Tabelle1[],2))</f>
        <v>QELA</v>
      </c>
      <c r="C388" s="40"/>
      <c r="D388" s="41">
        <v>46069</v>
      </c>
      <c r="E388" s="80"/>
      <c r="F388" s="78">
        <v>10114</v>
      </c>
      <c r="G388" s="43">
        <v>92.4</v>
      </c>
      <c r="H388" s="38">
        <v>35108</v>
      </c>
      <c r="I388" s="38">
        <v>12</v>
      </c>
      <c r="J388" s="38">
        <v>35113</v>
      </c>
      <c r="K388" s="38">
        <v>12</v>
      </c>
    </row>
    <row r="389" spans="1:15" x14ac:dyDescent="0.25">
      <c r="A389" s="39" t="str">
        <f>IF(F389="","",VLOOKUP(F389,Tabelle1[],3))</f>
        <v>HOME KIM TEC</v>
      </c>
      <c r="B389" s="40" t="str">
        <f>IF(F389="","",VLOOKUP(F389,Tabelle1[],2))</f>
        <v>ARBENI BIOBLIC</v>
      </c>
      <c r="C389" s="40"/>
      <c r="D389" s="41">
        <v>46069</v>
      </c>
      <c r="E389" s="80"/>
      <c r="F389" s="78">
        <v>40003</v>
      </c>
      <c r="G389" s="43">
        <v>239</v>
      </c>
      <c r="H389" s="38">
        <v>20001</v>
      </c>
      <c r="I389" s="38">
        <v>140</v>
      </c>
      <c r="J389" s="38">
        <v>30275</v>
      </c>
      <c r="K389" s="38">
        <v>40</v>
      </c>
    </row>
    <row r="390" spans="1:15" x14ac:dyDescent="0.25">
      <c r="A390" s="39" t="str">
        <f>IF(F390="","",VLOOKUP(F390,Tabelle1[],3))</f>
        <v>VITI</v>
      </c>
      <c r="B390" s="40" t="str">
        <f>IF(F390="","",VLOOKUP(F390,Tabelle1[],2))</f>
        <v>INTERCOM NTP</v>
      </c>
      <c r="C390" s="40"/>
      <c r="D390" s="41">
        <v>46071</v>
      </c>
      <c r="E390" s="80"/>
      <c r="F390" s="78">
        <v>10343</v>
      </c>
      <c r="G390" s="43">
        <v>183.6</v>
      </c>
      <c r="H390" s="38">
        <v>35121</v>
      </c>
      <c r="I390" s="38">
        <v>36</v>
      </c>
      <c r="J390" s="38">
        <v>51611</v>
      </c>
      <c r="K390" s="38">
        <v>36</v>
      </c>
    </row>
    <row r="391" spans="1:15" x14ac:dyDescent="0.25">
      <c r="A391" s="39" t="str">
        <f>IF(F391="","",VLOOKUP(F391,Tabelle1[],3))</f>
        <v>GJILAN</v>
      </c>
      <c r="B391" s="40" t="str">
        <f>IF(F391="","",VLOOKUP(F391,Tabelle1[],2))</f>
        <v>GLOBAL NT</v>
      </c>
      <c r="C391" s="40"/>
      <c r="D391" s="41">
        <v>46071</v>
      </c>
      <c r="E391" s="80"/>
      <c r="F391" s="78">
        <v>10360</v>
      </c>
      <c r="G391" s="43">
        <v>153.6</v>
      </c>
      <c r="H391" s="38">
        <v>35108</v>
      </c>
      <c r="I391" s="38">
        <v>12</v>
      </c>
      <c r="J391" s="38">
        <v>35109</v>
      </c>
      <c r="K391" s="38">
        <v>12</v>
      </c>
      <c r="L391" s="38">
        <v>35111</v>
      </c>
      <c r="M391" s="38">
        <v>12</v>
      </c>
      <c r="N391" s="38">
        <v>51611</v>
      </c>
      <c r="O391" s="38">
        <v>12</v>
      </c>
    </row>
    <row r="392" spans="1:15" x14ac:dyDescent="0.25">
      <c r="A392" s="39" t="str">
        <f>IF(F392="","",VLOOKUP(F392,Tabelle1[],3))</f>
        <v>POZHARAN</v>
      </c>
      <c r="B392" s="40" t="str">
        <f>IF(F392="","",VLOOKUP(F392,Tabelle1[],2))</f>
        <v>BURIMI</v>
      </c>
      <c r="C392" s="40"/>
      <c r="D392" s="41">
        <v>46071</v>
      </c>
      <c r="E392" s="80"/>
      <c r="F392" s="78">
        <v>10330</v>
      </c>
      <c r="G392" s="43">
        <v>138.6</v>
      </c>
      <c r="H392" s="38">
        <v>35111</v>
      </c>
      <c r="I392" s="38">
        <v>12</v>
      </c>
      <c r="J392" s="38">
        <v>35113</v>
      </c>
      <c r="K392" s="38">
        <v>12</v>
      </c>
      <c r="L392" s="38">
        <v>35121</v>
      </c>
      <c r="M392" s="38">
        <v>12</v>
      </c>
    </row>
    <row r="393" spans="1:15" x14ac:dyDescent="0.25">
      <c r="A393" s="39" t="str">
        <f>IF(F393="","",VLOOKUP(F393,Tabelle1[],3))</f>
        <v>VITI</v>
      </c>
      <c r="B393" s="40" t="str">
        <f>IF(F393="","",VLOOKUP(F393,Tabelle1[],2))</f>
        <v>SMIRA</v>
      </c>
      <c r="C393" s="40"/>
      <c r="D393" s="41">
        <v>46071</v>
      </c>
      <c r="E393" s="80"/>
      <c r="F393" s="78">
        <v>10352</v>
      </c>
      <c r="G393" s="43">
        <v>46.2</v>
      </c>
      <c r="H393" s="38">
        <v>35109</v>
      </c>
      <c r="I393" s="38">
        <v>12</v>
      </c>
    </row>
    <row r="394" spans="1:15" x14ac:dyDescent="0.25">
      <c r="A394" s="39" t="str">
        <f>IF(F394="","",VLOOKUP(F394,Tabelle1[],3))</f>
        <v>VITI</v>
      </c>
      <c r="B394" s="40" t="str">
        <f>IF(F394="","",VLOOKUP(F394,Tabelle1[],2))</f>
        <v>DARDANIA</v>
      </c>
      <c r="C394" s="40"/>
      <c r="D394" s="41">
        <v>46071</v>
      </c>
      <c r="E394" s="80"/>
      <c r="F394" s="78">
        <v>10332</v>
      </c>
      <c r="G394" s="43">
        <v>92.4</v>
      </c>
      <c r="H394" s="38">
        <v>35110</v>
      </c>
      <c r="I394" s="38">
        <v>12</v>
      </c>
      <c r="J394" s="38">
        <v>35125</v>
      </c>
      <c r="K394" s="38">
        <v>12</v>
      </c>
    </row>
    <row r="395" spans="1:15" x14ac:dyDescent="0.25">
      <c r="A395" s="39" t="str">
        <f>IF(F395="","",VLOOKUP(F395,Tabelle1[],3))</f>
        <v>GJILAN</v>
      </c>
      <c r="B395" s="40" t="str">
        <f>IF(F395="","",VLOOKUP(F395,Tabelle1[],2))</f>
        <v>BEKA-3</v>
      </c>
      <c r="C395" s="40"/>
      <c r="D395" s="41">
        <v>46071</v>
      </c>
      <c r="E395" s="80"/>
      <c r="F395" s="78">
        <v>10323</v>
      </c>
      <c r="G395" s="43">
        <v>86.4</v>
      </c>
      <c r="H395" s="38">
        <v>50912</v>
      </c>
      <c r="I395" s="38">
        <v>12</v>
      </c>
    </row>
    <row r="396" spans="1:15" x14ac:dyDescent="0.25">
      <c r="A396" s="39" t="str">
        <f>IF(F396="","",VLOOKUP(F396,Tabelle1[],3))</f>
        <v>GJILAN</v>
      </c>
      <c r="B396" s="40" t="str">
        <f>IF(F396="","",VLOOKUP(F396,Tabelle1[],2))</f>
        <v>EUROSAN</v>
      </c>
      <c r="C396" s="40"/>
      <c r="D396" s="41">
        <v>46071</v>
      </c>
      <c r="E396" s="80"/>
      <c r="F396" s="78">
        <v>10304</v>
      </c>
      <c r="G396" s="43">
        <v>15</v>
      </c>
      <c r="H396" s="38">
        <v>51611</v>
      </c>
      <c r="I396" s="38">
        <v>12</v>
      </c>
    </row>
    <row r="397" spans="1:15" x14ac:dyDescent="0.25">
      <c r="A397" s="39" t="str">
        <f>IF(F397="","",VLOOKUP(F397,Tabelle1[],3))</f>
        <v>GJILAN</v>
      </c>
      <c r="B397" s="40" t="str">
        <f>IF(F397="","",VLOOKUP(F397,Tabelle1[],2))</f>
        <v>ERALP</v>
      </c>
      <c r="C397" s="40"/>
      <c r="D397" s="41">
        <v>46071</v>
      </c>
      <c r="E397" s="80"/>
      <c r="F397" s="78">
        <v>10308</v>
      </c>
      <c r="G397" s="43">
        <v>46.2</v>
      </c>
      <c r="H397" s="38">
        <v>35125</v>
      </c>
      <c r="I397" s="38">
        <v>12</v>
      </c>
    </row>
    <row r="398" spans="1:15" x14ac:dyDescent="0.25">
      <c r="A398" s="39" t="str">
        <f>IF(F398="","",VLOOKUP(F398,Tabelle1[],3))</f>
        <v>PRIZREN</v>
      </c>
      <c r="B398" s="40" t="str">
        <f>IF(F398="","",VLOOKUP(F398,Tabelle1[],2))</f>
        <v>ARSIMI</v>
      </c>
      <c r="C398" s="40"/>
      <c r="D398" s="41">
        <v>46071</v>
      </c>
      <c r="E398" s="80"/>
      <c r="F398" s="78">
        <v>10258</v>
      </c>
      <c r="G398" s="43">
        <v>138.6</v>
      </c>
      <c r="H398" s="38">
        <v>35128</v>
      </c>
      <c r="I398" s="38">
        <v>36</v>
      </c>
    </row>
    <row r="399" spans="1:15" x14ac:dyDescent="0.25">
      <c r="A399" s="39" t="str">
        <f>IF(F399="","",VLOOKUP(F399,Tabelle1[],3))</f>
        <v>HOME KIM TEC</v>
      </c>
      <c r="B399" s="40" t="str">
        <f>IF(F399="","",VLOOKUP(F399,Tabelle1[],2))</f>
        <v>FORD BASHKIMI</v>
      </c>
      <c r="C399" s="40"/>
      <c r="D399" s="41">
        <v>46071</v>
      </c>
      <c r="E399" s="80"/>
      <c r="F399" s="78">
        <v>40002</v>
      </c>
      <c r="G399" s="43">
        <v>24</v>
      </c>
      <c r="H399" s="38">
        <v>54412</v>
      </c>
      <c r="I399" s="38">
        <v>12</v>
      </c>
    </row>
    <row r="400" spans="1:15" x14ac:dyDescent="0.25">
      <c r="A400" s="39" t="str">
        <f>IF(F400="","",VLOOKUP(F400,Tabelle1[],3))</f>
        <v>PRISHTINE</v>
      </c>
      <c r="B400" s="40" t="str">
        <f>IF(F400="","",VLOOKUP(F400,Tabelle1[],2))</f>
        <v>YLLI CONSTRUCION</v>
      </c>
      <c r="C400" s="40"/>
      <c r="D400" s="41">
        <v>46071</v>
      </c>
      <c r="E400" s="80"/>
      <c r="F400" s="78">
        <v>40017</v>
      </c>
      <c r="G400" s="43">
        <v>32</v>
      </c>
      <c r="H400" s="38">
        <v>35128</v>
      </c>
      <c r="I400" s="38">
        <v>5</v>
      </c>
      <c r="J400" s="38">
        <v>35115</v>
      </c>
      <c r="K400" s="38">
        <v>3</v>
      </c>
    </row>
    <row r="401" spans="1:15" x14ac:dyDescent="0.25">
      <c r="A401" s="39" t="str">
        <f>IF(F401="","",VLOOKUP(F401,Tabelle1[],3))</f>
        <v>HOME KIM TEC</v>
      </c>
      <c r="B401" s="40" t="str">
        <f>IF(F401="","",VLOOKUP(F401,Tabelle1[],2))</f>
        <v>ARBENI BIOBLIC</v>
      </c>
      <c r="C401" s="40"/>
      <c r="D401" s="41">
        <v>46071</v>
      </c>
      <c r="E401" s="80"/>
      <c r="F401" s="78">
        <v>40003</v>
      </c>
      <c r="G401" s="43">
        <v>158</v>
      </c>
      <c r="H401" s="38">
        <v>20001</v>
      </c>
      <c r="I401" s="38">
        <v>80</v>
      </c>
      <c r="J401" s="38">
        <v>30275</v>
      </c>
      <c r="K401" s="38">
        <v>50</v>
      </c>
    </row>
    <row r="402" spans="1:15" x14ac:dyDescent="0.25">
      <c r="A402" s="39" t="str">
        <f>IF(F402="","",VLOOKUP(F402,Tabelle1[],3))</f>
        <v>FERIZAJ</v>
      </c>
      <c r="B402" s="40" t="str">
        <f>IF(F402="","",VLOOKUP(F402,Tabelle1[],2))</f>
        <v>BUJARI Q - BESII</v>
      </c>
      <c r="C402" s="40"/>
      <c r="D402" s="41">
        <v>46072</v>
      </c>
      <c r="E402" s="80"/>
      <c r="F402" s="78">
        <v>20609</v>
      </c>
      <c r="G402" s="43">
        <v>92.4</v>
      </c>
      <c r="H402" s="38">
        <v>35109</v>
      </c>
      <c r="I402" s="38">
        <v>24</v>
      </c>
    </row>
    <row r="403" spans="1:15" x14ac:dyDescent="0.25">
      <c r="A403" s="39" t="str">
        <f>IF(F403="","",VLOOKUP(F403,Tabelle1[],3))</f>
        <v>FERIZAJ</v>
      </c>
      <c r="B403" s="40" t="str">
        <f>IF(F403="","",VLOOKUP(F403,Tabelle1[],2))</f>
        <v>AGROLONDI</v>
      </c>
      <c r="C403" s="40"/>
      <c r="D403" s="41">
        <v>46072</v>
      </c>
      <c r="E403" s="80"/>
      <c r="F403" s="78">
        <v>20602</v>
      </c>
      <c r="G403" s="43">
        <v>304.8</v>
      </c>
      <c r="H403" s="38">
        <v>35121</v>
      </c>
      <c r="I403" s="38">
        <v>60</v>
      </c>
      <c r="J403" s="38">
        <v>35110</v>
      </c>
      <c r="K403" s="38">
        <v>12</v>
      </c>
      <c r="L403" s="38">
        <v>51612</v>
      </c>
      <c r="M403" s="38">
        <v>12</v>
      </c>
    </row>
    <row r="404" spans="1:15" x14ac:dyDescent="0.25">
      <c r="A404" s="39" t="str">
        <f>IF(F404="","",VLOOKUP(F404,Tabelle1[],3))</f>
        <v>GADIME</v>
      </c>
      <c r="B404" s="40" t="str">
        <f>IF(F404="","",VLOOKUP(F404,Tabelle1[],2))</f>
        <v>ILIRI QERAMIKA</v>
      </c>
      <c r="C404" s="40"/>
      <c r="D404" s="41">
        <v>46072</v>
      </c>
      <c r="E404" s="80"/>
      <c r="F404" s="78">
        <v>20622</v>
      </c>
      <c r="G404" s="43">
        <v>61.2</v>
      </c>
      <c r="H404" s="38">
        <v>35109</v>
      </c>
      <c r="I404" s="38">
        <v>12</v>
      </c>
      <c r="J404" s="38">
        <v>51611</v>
      </c>
      <c r="K404" s="38">
        <v>12</v>
      </c>
    </row>
    <row r="405" spans="1:15" x14ac:dyDescent="0.25">
      <c r="A405" s="39" t="str">
        <f>IF(F405="","",VLOOKUP(F405,Tabelle1[],3))</f>
        <v>FERIZAJ</v>
      </c>
      <c r="B405" s="40" t="str">
        <f>IF(F405="","",VLOOKUP(F405,Tabelle1[],2))</f>
        <v>DIVA QERAMIKA</v>
      </c>
      <c r="C405" s="40"/>
      <c r="D405" s="41">
        <v>46072</v>
      </c>
      <c r="E405" s="80"/>
      <c r="F405" s="78">
        <v>20628</v>
      </c>
      <c r="G405" s="43">
        <v>107.4</v>
      </c>
      <c r="H405" s="38">
        <v>35110</v>
      </c>
      <c r="I405" s="38">
        <v>12</v>
      </c>
      <c r="J405" s="38">
        <v>35111</v>
      </c>
      <c r="K405" s="38">
        <v>12</v>
      </c>
      <c r="L405" s="38">
        <v>51611</v>
      </c>
      <c r="M405" s="38">
        <v>12</v>
      </c>
    </row>
    <row r="406" spans="1:15" x14ac:dyDescent="0.25">
      <c r="A406" s="39" t="str">
        <f>IF(F406="","",VLOOKUP(F406,Tabelle1[],3))</f>
        <v>FERIZAJ</v>
      </c>
      <c r="B406" s="40" t="str">
        <f>IF(F406="","",VLOOKUP(F406,Tabelle1[],2))</f>
        <v>UNIKA</v>
      </c>
      <c r="C406" s="40"/>
      <c r="D406" s="41">
        <v>46072</v>
      </c>
      <c r="E406" s="80"/>
      <c r="F406" s="78">
        <v>20627</v>
      </c>
      <c r="G406" s="43">
        <v>162</v>
      </c>
      <c r="H406" s="38">
        <v>35108</v>
      </c>
      <c r="I406" s="38">
        <v>12</v>
      </c>
      <c r="J406" s="38">
        <v>35115</v>
      </c>
      <c r="K406" s="38">
        <v>12</v>
      </c>
      <c r="L406" s="38">
        <v>66701</v>
      </c>
      <c r="M406" s="38">
        <v>12</v>
      </c>
    </row>
    <row r="407" spans="1:15" x14ac:dyDescent="0.25">
      <c r="A407" s="39" t="str">
        <f>IF(F407="","",VLOOKUP(F407,Tabelle1[],3))</f>
        <v>GERLIC</v>
      </c>
      <c r="B407" s="40" t="str">
        <f>IF(F407="","",VLOOKUP(F407,Tabelle1[],2))</f>
        <v>TE-SYLA</v>
      </c>
      <c r="C407" s="40"/>
      <c r="D407" s="41">
        <v>46072</v>
      </c>
      <c r="E407" s="80"/>
      <c r="F407" s="78">
        <v>20606</v>
      </c>
      <c r="G407" s="43">
        <v>16</v>
      </c>
      <c r="H407" s="38">
        <v>50912</v>
      </c>
      <c r="I407" s="38">
        <v>2</v>
      </c>
    </row>
    <row r="408" spans="1:15" x14ac:dyDescent="0.25">
      <c r="A408" s="39" t="str">
        <f>IF(F408="","",VLOOKUP(F408,Tabelle1[],3))</f>
        <v>VUSHTRRI</v>
      </c>
      <c r="B408" s="40" t="str">
        <f>IF(F408="","",VLOOKUP(F408,Tabelle1[],2))</f>
        <v>SAN KOS</v>
      </c>
      <c r="C408" s="40"/>
      <c r="D408" s="41">
        <v>46072</v>
      </c>
      <c r="E408" s="80"/>
      <c r="F408" s="78">
        <v>10429</v>
      </c>
      <c r="G408" s="43">
        <v>92.4</v>
      </c>
      <c r="H408" s="38">
        <v>35109</v>
      </c>
      <c r="I408" s="38">
        <v>12</v>
      </c>
      <c r="J408" s="38">
        <v>35128</v>
      </c>
      <c r="K408" s="38">
        <v>12</v>
      </c>
    </row>
    <row r="409" spans="1:15" x14ac:dyDescent="0.25">
      <c r="A409" s="39" t="str">
        <f>IF(F409="","",VLOOKUP(F409,Tabelle1[],3))</f>
        <v>MITROVICE</v>
      </c>
      <c r="B409" s="40" t="str">
        <f>IF(F409="","",VLOOKUP(F409,Tabelle1[],2))</f>
        <v>GRANITI</v>
      </c>
      <c r="C409" s="40"/>
      <c r="D409" s="41">
        <v>46072</v>
      </c>
      <c r="E409" s="80"/>
      <c r="F409" s="78">
        <v>10410</v>
      </c>
      <c r="G409" s="43">
        <v>184.8</v>
      </c>
      <c r="H409" s="38">
        <v>35109</v>
      </c>
      <c r="I409" s="38">
        <v>12</v>
      </c>
      <c r="J409" s="38">
        <v>35110</v>
      </c>
      <c r="K409" s="38">
        <v>12</v>
      </c>
      <c r="L409" s="38">
        <v>35125</v>
      </c>
      <c r="M409" s="38">
        <v>12</v>
      </c>
      <c r="N409" s="38">
        <v>35128</v>
      </c>
      <c r="O409" s="38">
        <v>12</v>
      </c>
    </row>
    <row r="410" spans="1:15" x14ac:dyDescent="0.25">
      <c r="A410" s="39" t="str">
        <f>IF(F410="","",VLOOKUP(F410,Tabelle1[],3))</f>
        <v>MITROVICE</v>
      </c>
      <c r="B410" s="40" t="str">
        <f>IF(F410="","",VLOOKUP(F410,Tabelle1[],2))</f>
        <v>UNIVERZAL</v>
      </c>
      <c r="C410" s="40"/>
      <c r="D410" s="41">
        <v>46072</v>
      </c>
      <c r="E410" s="80"/>
      <c r="F410" s="78">
        <v>10413</v>
      </c>
      <c r="G410" s="43">
        <v>92.4</v>
      </c>
      <c r="H410" s="38">
        <v>35110</v>
      </c>
      <c r="I410" s="38">
        <v>12</v>
      </c>
      <c r="J410" s="38">
        <v>35113</v>
      </c>
      <c r="K410" s="38">
        <v>12</v>
      </c>
    </row>
    <row r="411" spans="1:15" x14ac:dyDescent="0.25">
      <c r="A411" s="39" t="str">
        <f>IF(F411="","",VLOOKUP(F411,Tabelle1[],3))</f>
        <v>MITROVICE</v>
      </c>
      <c r="B411" s="40" t="str">
        <f>IF(F411="","",VLOOKUP(F411,Tabelle1[],2))</f>
        <v>GRANITI</v>
      </c>
      <c r="C411" s="40"/>
      <c r="D411" s="41">
        <v>46072</v>
      </c>
      <c r="E411" s="80"/>
      <c r="F411" s="78">
        <v>10410</v>
      </c>
      <c r="G411" s="43">
        <v>92.4</v>
      </c>
      <c r="H411" s="38">
        <v>35125</v>
      </c>
      <c r="I411" s="38">
        <v>24</v>
      </c>
    </row>
    <row r="412" spans="1:15" x14ac:dyDescent="0.25">
      <c r="A412" s="39" t="str">
        <f>IF(F412="","",VLOOKUP(F412,Tabelle1[],3))</f>
        <v>FERIZAJ</v>
      </c>
      <c r="B412" s="40" t="str">
        <f>IF(F412="","",VLOOKUP(F412,Tabelle1[],2))</f>
        <v>BEKA</v>
      </c>
      <c r="C412" s="40"/>
      <c r="D412" s="41">
        <v>46073</v>
      </c>
      <c r="E412" s="80"/>
      <c r="F412" s="78">
        <v>10539</v>
      </c>
      <c r="G412" s="43">
        <v>46.2</v>
      </c>
      <c r="H412" s="38">
        <v>35111</v>
      </c>
      <c r="I412" s="38">
        <v>12</v>
      </c>
    </row>
    <row r="413" spans="1:15" x14ac:dyDescent="0.25">
      <c r="A413" s="39" t="str">
        <f>IF(F413="","",VLOOKUP(F413,Tabelle1[],3))</f>
        <v>FERIZAJ</v>
      </c>
      <c r="B413" s="40" t="str">
        <f>IF(F413="","",VLOOKUP(F413,Tabelle1[],2))</f>
        <v>REAL COLOR 2</v>
      </c>
      <c r="C413" s="40"/>
      <c r="D413" s="41">
        <v>46073</v>
      </c>
      <c r="E413" s="80"/>
      <c r="F413" s="78">
        <v>10507</v>
      </c>
      <c r="G413" s="43">
        <v>113.4</v>
      </c>
      <c r="H413" s="38">
        <v>44001</v>
      </c>
      <c r="I413" s="38">
        <v>6</v>
      </c>
      <c r="J413" s="38">
        <v>35115</v>
      </c>
      <c r="K413" s="38">
        <v>12</v>
      </c>
      <c r="L413" s="38">
        <v>35125</v>
      </c>
      <c r="M413" s="38">
        <v>12</v>
      </c>
    </row>
    <row r="414" spans="1:15" x14ac:dyDescent="0.25">
      <c r="A414" s="39" t="str">
        <f>IF(F414="","",VLOOKUP(F414,Tabelle1[],3))</f>
        <v>LIPJAN</v>
      </c>
      <c r="B414" s="40" t="str">
        <f>IF(F414="","",VLOOKUP(F414,Tabelle1[],2))</f>
        <v>ZAIMI</v>
      </c>
      <c r="C414" s="40"/>
      <c r="D414" s="41">
        <v>46073</v>
      </c>
      <c r="E414" s="80"/>
      <c r="F414" s="78">
        <v>10547</v>
      </c>
      <c r="G414" s="43">
        <v>46.2</v>
      </c>
      <c r="H414" s="38">
        <v>35128</v>
      </c>
      <c r="I414" s="38">
        <v>12</v>
      </c>
    </row>
    <row r="415" spans="1:15" x14ac:dyDescent="0.25">
      <c r="A415" s="39" t="str">
        <f>IF(F415="","",VLOOKUP(F415,Tabelle1[],3))</f>
        <v>FERIZAJ</v>
      </c>
      <c r="B415" s="40" t="str">
        <f>IF(F415="","",VLOOKUP(F415,Tabelle1[],2))</f>
        <v>CARRALEVA 1</v>
      </c>
      <c r="C415" s="40"/>
      <c r="D415" s="41">
        <v>46073</v>
      </c>
      <c r="E415" s="80"/>
      <c r="F415" s="78">
        <v>10504</v>
      </c>
      <c r="G415" s="43">
        <v>138.6</v>
      </c>
      <c r="H415" s="38">
        <v>35109</v>
      </c>
      <c r="I415" s="38">
        <v>12</v>
      </c>
      <c r="J415" s="38">
        <v>35110</v>
      </c>
      <c r="K415" s="38">
        <v>12</v>
      </c>
      <c r="L415" s="38">
        <v>35113</v>
      </c>
      <c r="M415" s="38">
        <v>12</v>
      </c>
    </row>
    <row r="416" spans="1:15" x14ac:dyDescent="0.25">
      <c r="A416" s="39" t="str">
        <f>IF(F416="","",VLOOKUP(F416,Tabelle1[],3))</f>
        <v>FERIZAJ</v>
      </c>
      <c r="B416" s="40" t="str">
        <f>IF(F416="","",VLOOKUP(F416,Tabelle1[],2))</f>
        <v>REAL COLOR 2</v>
      </c>
      <c r="C416" s="40"/>
      <c r="D416" s="41">
        <v>46073</v>
      </c>
      <c r="E416" s="80"/>
      <c r="F416" s="78">
        <v>10507</v>
      </c>
      <c r="G416" s="43">
        <v>46.2</v>
      </c>
      <c r="H416" s="38">
        <v>35110</v>
      </c>
      <c r="I416" s="38">
        <v>12</v>
      </c>
    </row>
    <row r="417" spans="1:17" x14ac:dyDescent="0.25">
      <c r="A417" s="39" t="str">
        <f>IF(F417="","",VLOOKUP(F417,Tabelle1[],3))</f>
        <v>FERIZAJ</v>
      </c>
      <c r="B417" s="40" t="str">
        <f>IF(F417="","",VLOOKUP(F417,Tabelle1[],2))</f>
        <v>PROCOM</v>
      </c>
      <c r="C417" s="40"/>
      <c r="D417" s="41">
        <v>46073</v>
      </c>
      <c r="E417" s="80"/>
      <c r="F417" s="78">
        <v>10502</v>
      </c>
      <c r="G417" s="43">
        <v>92.4</v>
      </c>
      <c r="H417" s="38">
        <v>35121</v>
      </c>
      <c r="I417" s="38">
        <v>12</v>
      </c>
      <c r="J417" s="38">
        <v>35113</v>
      </c>
      <c r="K417" s="38">
        <v>12</v>
      </c>
    </row>
    <row r="418" spans="1:17" x14ac:dyDescent="0.25">
      <c r="A418" s="39" t="str">
        <f>IF(F418="","",VLOOKUP(F418,Tabelle1[],3))</f>
        <v>KLINE</v>
      </c>
      <c r="B418" s="40" t="str">
        <f>IF(F418="","",VLOOKUP(F418,Tabelle1[],2))</f>
        <v>RACI</v>
      </c>
      <c r="C418" s="40"/>
      <c r="D418" s="41">
        <v>46073</v>
      </c>
      <c r="E418" s="80"/>
      <c r="F418" s="78">
        <v>20501</v>
      </c>
      <c r="G418" s="43">
        <v>138.6</v>
      </c>
      <c r="H418" s="38">
        <v>35111</v>
      </c>
      <c r="I418" s="38">
        <v>12</v>
      </c>
      <c r="J418" s="38">
        <v>35121</v>
      </c>
      <c r="K418" s="38">
        <v>12</v>
      </c>
      <c r="L418" s="38">
        <v>35128</v>
      </c>
      <c r="M418" s="38">
        <v>12</v>
      </c>
    </row>
    <row r="419" spans="1:17" x14ac:dyDescent="0.25">
      <c r="A419" s="39" t="str">
        <f>IF(F419="","",VLOOKUP(F419,Tabelle1[],3))</f>
        <v>ISTOG</v>
      </c>
      <c r="B419" s="40" t="str">
        <f>IF(F419="","",VLOOKUP(F419,Tabelle1[],2))</f>
        <v>LIRIDONA KLINE</v>
      </c>
      <c r="C419" s="40"/>
      <c r="D419" s="41">
        <v>46073</v>
      </c>
      <c r="E419" s="80"/>
      <c r="F419" s="78">
        <v>20511</v>
      </c>
      <c r="G419" s="43">
        <v>184.8</v>
      </c>
      <c r="H419" s="38">
        <v>35109</v>
      </c>
      <c r="I419" s="38">
        <v>12</v>
      </c>
      <c r="J419" s="38">
        <v>35110</v>
      </c>
      <c r="K419" s="38">
        <v>24</v>
      </c>
      <c r="L419" s="38">
        <v>35128</v>
      </c>
      <c r="M419" s="38">
        <v>12</v>
      </c>
    </row>
    <row r="420" spans="1:17" x14ac:dyDescent="0.25">
      <c r="A420" s="39" t="str">
        <f>IF(F420="","",VLOOKUP(F420,Tabelle1[],3))</f>
        <v>ISTOG</v>
      </c>
      <c r="B420" s="40" t="str">
        <f>IF(F420="","",VLOOKUP(F420,Tabelle1[],2))</f>
        <v>LIRIDONA HOME</v>
      </c>
      <c r="C420" s="40"/>
      <c r="D420" s="41">
        <v>46073</v>
      </c>
      <c r="E420" s="80"/>
      <c r="F420" s="78">
        <v>20508</v>
      </c>
      <c r="G420" s="43">
        <v>92.4</v>
      </c>
      <c r="H420" s="38">
        <v>35110</v>
      </c>
      <c r="I420" s="38">
        <v>12</v>
      </c>
      <c r="J420" s="38">
        <v>35113</v>
      </c>
      <c r="K420" s="38">
        <v>12</v>
      </c>
    </row>
    <row r="421" spans="1:17" x14ac:dyDescent="0.25">
      <c r="A421" s="39" t="str">
        <f>IF(F421="","",VLOOKUP(F421,Tabelle1[],3))</f>
        <v>ISTOG</v>
      </c>
      <c r="B421" s="40" t="str">
        <f>IF(F421="","",VLOOKUP(F421,Tabelle1[],2))</f>
        <v>BERATI A.P. (1)</v>
      </c>
      <c r="C421" s="40"/>
      <c r="D421" s="41">
        <v>46073</v>
      </c>
      <c r="E421" s="80"/>
      <c r="F421" s="78">
        <v>20513</v>
      </c>
      <c r="G421" s="43">
        <v>40</v>
      </c>
      <c r="H421" s="38">
        <v>50912</v>
      </c>
      <c r="I421" s="38">
        <v>5</v>
      </c>
    </row>
    <row r="422" spans="1:17" x14ac:dyDescent="0.25">
      <c r="A422" s="39" t="str">
        <f>IF(F422="","",VLOOKUP(F422,Tabelle1[],3))</f>
        <v>ISTOG</v>
      </c>
      <c r="B422" s="40" t="str">
        <f>IF(F422="","",VLOOKUP(F422,Tabelle1[],2))</f>
        <v>BYTYQI-V</v>
      </c>
      <c r="C422" s="40"/>
      <c r="D422" s="41">
        <v>46073</v>
      </c>
      <c r="E422" s="80"/>
      <c r="F422" s="78">
        <v>20510</v>
      </c>
      <c r="G422" s="43">
        <v>129.6</v>
      </c>
      <c r="H422" s="38">
        <v>66701</v>
      </c>
      <c r="I422" s="38">
        <v>12</v>
      </c>
      <c r="J422" s="38">
        <v>51611</v>
      </c>
      <c r="K422" s="38">
        <v>48</v>
      </c>
    </row>
    <row r="423" spans="1:17" x14ac:dyDescent="0.25">
      <c r="A423" s="39" t="str">
        <f>IF(F423="","",VLOOKUP(F423,Tabelle1[],3))</f>
        <v>SKENDERAJ</v>
      </c>
      <c r="B423" s="40" t="str">
        <f>IF(F423="","",VLOOKUP(F423,Tabelle1[],2))</f>
        <v>TE BENI</v>
      </c>
      <c r="C423" s="40"/>
      <c r="D423" s="41">
        <v>46073</v>
      </c>
      <c r="E423" s="80"/>
      <c r="F423" s="78">
        <v>20407</v>
      </c>
      <c r="G423" s="43">
        <v>231</v>
      </c>
      <c r="H423" s="38">
        <v>35110</v>
      </c>
      <c r="I423" s="38">
        <v>12</v>
      </c>
      <c r="J423" s="38">
        <v>35111</v>
      </c>
      <c r="K423" s="38">
        <v>12</v>
      </c>
      <c r="L423" s="38">
        <v>35114</v>
      </c>
      <c r="M423" s="38">
        <v>12</v>
      </c>
      <c r="N423" s="38">
        <v>35121</v>
      </c>
      <c r="O423" s="38">
        <v>12</v>
      </c>
      <c r="P423" s="38">
        <v>35125</v>
      </c>
      <c r="Q423" s="38">
        <v>12</v>
      </c>
    </row>
    <row r="424" spans="1:17" x14ac:dyDescent="0.25">
      <c r="A424" s="39" t="str">
        <f>IF(F424="","",VLOOKUP(F424,Tabelle1[],3))</f>
        <v>SKENDERAJ</v>
      </c>
      <c r="B424" s="40" t="str">
        <f>IF(F424="","",VLOOKUP(F424,Tabelle1[],2))</f>
        <v>MEGI</v>
      </c>
      <c r="C424" s="40"/>
      <c r="D424" s="41">
        <v>46073</v>
      </c>
      <c r="E424" s="80"/>
      <c r="F424" s="78">
        <v>20406</v>
      </c>
      <c r="G424" s="43">
        <v>28.8</v>
      </c>
      <c r="H424" s="38">
        <v>29802</v>
      </c>
      <c r="I424" s="38">
        <v>4</v>
      </c>
      <c r="J424" s="38">
        <v>49644</v>
      </c>
      <c r="K424" s="38">
        <v>11</v>
      </c>
    </row>
    <row r="425" spans="1:17" x14ac:dyDescent="0.25">
      <c r="A425" s="39" t="str">
        <f>IF(F425="","",VLOOKUP(F425,Tabelle1[],3))</f>
        <v>FERIZAJ</v>
      </c>
      <c r="B425" s="40" t="str">
        <f>IF(F425="","",VLOOKUP(F425,Tabelle1[],2))</f>
        <v>AGROLONDI</v>
      </c>
      <c r="C425" s="40"/>
      <c r="D425" s="41">
        <v>46074</v>
      </c>
      <c r="E425" s="80"/>
      <c r="F425" s="78">
        <v>20602</v>
      </c>
      <c r="G425" s="43">
        <v>92.4</v>
      </c>
      <c r="H425" s="38">
        <v>35110</v>
      </c>
      <c r="I425" s="38">
        <v>24</v>
      </c>
    </row>
    <row r="426" spans="1:17" x14ac:dyDescent="0.25">
      <c r="A426" s="39" t="str">
        <f>IF(F426="","",VLOOKUP(F426,Tabelle1[],3))</f>
        <v>FERIZAJ</v>
      </c>
      <c r="B426" s="40" t="str">
        <f>IF(F426="","",VLOOKUP(F426,Tabelle1[],2))</f>
        <v>HIDRO DANI</v>
      </c>
      <c r="C426" s="40"/>
      <c r="D426" s="41">
        <v>46074</v>
      </c>
      <c r="E426" s="80"/>
      <c r="F426" s="78">
        <v>20630</v>
      </c>
      <c r="G426" s="43">
        <v>115</v>
      </c>
      <c r="H426" s="38">
        <v>35110</v>
      </c>
      <c r="I426" s="38">
        <v>12</v>
      </c>
      <c r="J426" s="38">
        <v>66701</v>
      </c>
      <c r="K426" s="38">
        <v>12</v>
      </c>
    </row>
    <row r="427" spans="1:17" x14ac:dyDescent="0.25">
      <c r="A427" s="39" t="str">
        <f>IF(F427="","",VLOOKUP(F427,Tabelle1[],3))</f>
        <v>FERIZAJ</v>
      </c>
      <c r="B427" s="40" t="str">
        <f>IF(F427="","",VLOOKUP(F427,Tabelle1[],2))</f>
        <v>ALFA-QERAMIKA</v>
      </c>
      <c r="C427" s="40"/>
      <c r="D427" s="41">
        <v>46074</v>
      </c>
      <c r="E427" s="80"/>
      <c r="F427" s="78">
        <v>20604</v>
      </c>
      <c r="G427" s="43">
        <v>92.4</v>
      </c>
      <c r="H427" s="38">
        <v>35113</v>
      </c>
      <c r="I427" s="38">
        <v>12</v>
      </c>
      <c r="J427" s="38">
        <v>35121</v>
      </c>
      <c r="K427" s="38">
        <v>12</v>
      </c>
    </row>
    <row r="428" spans="1:17" x14ac:dyDescent="0.25">
      <c r="A428" s="39" t="str">
        <f>IF(F428="","",VLOOKUP(F428,Tabelle1[],3))</f>
        <v>FERIZAJ</v>
      </c>
      <c r="B428" s="40" t="str">
        <f>IF(F428="","",VLOOKUP(F428,Tabelle1[],2))</f>
        <v>LONI</v>
      </c>
      <c r="C428" s="40"/>
      <c r="D428" s="41">
        <v>46074</v>
      </c>
      <c r="E428" s="80"/>
      <c r="F428" s="78">
        <v>20608</v>
      </c>
      <c r="G428" s="43">
        <v>138.6</v>
      </c>
      <c r="H428" s="38">
        <v>35111</v>
      </c>
      <c r="I428" s="38">
        <v>12</v>
      </c>
      <c r="J428" s="38">
        <v>35115</v>
      </c>
      <c r="K428" s="38">
        <v>12</v>
      </c>
      <c r="L428" s="38">
        <v>35121</v>
      </c>
      <c r="M428" s="38">
        <v>12</v>
      </c>
    </row>
    <row r="429" spans="1:17" x14ac:dyDescent="0.25">
      <c r="A429" s="39" t="str">
        <f>IF(F429="","",VLOOKUP(F429,Tabelle1[],3))</f>
        <v>KAQANIK</v>
      </c>
      <c r="B429" s="40" t="str">
        <f>IF(F429="","",VLOOKUP(F429,Tabelle1[],2))</f>
        <v>TE-LUTA</v>
      </c>
      <c r="C429" s="40"/>
      <c r="D429" s="41">
        <v>46074</v>
      </c>
      <c r="E429" s="80"/>
      <c r="F429" s="78">
        <v>20611</v>
      </c>
      <c r="G429" s="43">
        <v>92.4</v>
      </c>
      <c r="H429" s="38">
        <v>35109</v>
      </c>
      <c r="I429" s="38">
        <v>12</v>
      </c>
      <c r="J429" s="38">
        <v>35128</v>
      </c>
      <c r="K429" s="38">
        <v>12</v>
      </c>
    </row>
    <row r="430" spans="1:17" x14ac:dyDescent="0.25">
      <c r="A430" s="39" t="str">
        <f>IF(F430="","",VLOOKUP(F430,Tabelle1[],3))</f>
        <v>DOGANAJ</v>
      </c>
      <c r="B430" s="40" t="str">
        <f>IF(F430="","",VLOOKUP(F430,Tabelle1[],2))</f>
        <v xml:space="preserve">F.V. SH.P.K. </v>
      </c>
      <c r="C430" s="40"/>
      <c r="D430" s="41">
        <v>46074</v>
      </c>
      <c r="E430" s="80"/>
      <c r="F430" s="78">
        <v>20607</v>
      </c>
      <c r="G430" s="43">
        <v>162.30000000000001</v>
      </c>
      <c r="H430" s="38">
        <v>35109</v>
      </c>
      <c r="I430" s="38">
        <v>12</v>
      </c>
      <c r="J430" s="38">
        <v>35121</v>
      </c>
      <c r="K430" s="38">
        <v>12</v>
      </c>
      <c r="L430" s="38">
        <v>26736</v>
      </c>
      <c r="M430" s="38">
        <v>6</v>
      </c>
      <c r="N430" s="38">
        <v>50912</v>
      </c>
      <c r="O430" s="38">
        <v>7</v>
      </c>
      <c r="P430" s="38">
        <v>55718</v>
      </c>
      <c r="Q430" s="38">
        <v>3</v>
      </c>
    </row>
    <row r="431" spans="1:17" x14ac:dyDescent="0.25">
      <c r="A431" s="39" t="str">
        <f>IF(F431="","",VLOOKUP(F431,Tabelle1[],3))</f>
        <v>FERIZAJ</v>
      </c>
      <c r="B431" s="40" t="str">
        <f>IF(F431="","",VLOOKUP(F431,Tabelle1[],2))</f>
        <v>AS QERAMIKA</v>
      </c>
      <c r="C431" s="40"/>
      <c r="D431" s="41">
        <v>46074</v>
      </c>
      <c r="E431" s="80"/>
      <c r="F431" s="78">
        <v>20614</v>
      </c>
      <c r="G431" s="43">
        <v>554.4</v>
      </c>
      <c r="H431" s="38">
        <v>35113</v>
      </c>
      <c r="I431" s="38">
        <v>96</v>
      </c>
      <c r="J431" s="38">
        <v>35128</v>
      </c>
      <c r="K431" s="38">
        <v>48</v>
      </c>
    </row>
    <row r="432" spans="1:17" x14ac:dyDescent="0.25">
      <c r="A432" s="39" t="str">
        <f>IF(F432="","",VLOOKUP(F432,Tabelle1[],3))</f>
        <v>FERIZAJ</v>
      </c>
      <c r="B432" s="40" t="str">
        <f>IF(F432="","",VLOOKUP(F432,Tabelle1[],2))</f>
        <v>BULONI - SH</v>
      </c>
      <c r="C432" s="40"/>
      <c r="D432" s="41">
        <v>46074</v>
      </c>
      <c r="E432" s="80"/>
      <c r="F432" s="78">
        <v>20624</v>
      </c>
      <c r="G432" s="43">
        <v>110.4</v>
      </c>
      <c r="H432" s="38">
        <v>35110</v>
      </c>
      <c r="I432" s="38">
        <v>12</v>
      </c>
      <c r="J432" s="38">
        <v>35128</v>
      </c>
      <c r="K432" s="38">
        <v>12</v>
      </c>
      <c r="L432" s="38">
        <v>31822</v>
      </c>
      <c r="M432" s="38">
        <v>12</v>
      </c>
    </row>
    <row r="433" spans="1:17" x14ac:dyDescent="0.25">
      <c r="A433" s="39" t="str">
        <f>IF(F433="","",VLOOKUP(F433,Tabelle1[],3))</f>
        <v>PODUJEVE</v>
      </c>
      <c r="B433" s="40" t="str">
        <f>IF(F433="","",VLOOKUP(F433,Tabelle1[],2))</f>
        <v>TE ZENA</v>
      </c>
      <c r="C433" s="40"/>
      <c r="D433" s="41">
        <v>46074</v>
      </c>
      <c r="E433" s="80"/>
      <c r="F433" s="78">
        <v>10616</v>
      </c>
      <c r="G433" s="43">
        <v>46.2</v>
      </c>
      <c r="H433" s="38">
        <v>35121</v>
      </c>
      <c r="I433" s="38">
        <v>12</v>
      </c>
    </row>
    <row r="434" spans="1:17" x14ac:dyDescent="0.25">
      <c r="A434" s="39" t="str">
        <f>IF(F434="","",VLOOKUP(F434,Tabelle1[],3))</f>
        <v>PODUJEVE</v>
      </c>
      <c r="B434" s="40" t="str">
        <f>IF(F434="","",VLOOKUP(F434,Tabelle1[],2))</f>
        <v>ALBANI</v>
      </c>
      <c r="C434" s="40"/>
      <c r="D434" s="41">
        <v>46074</v>
      </c>
      <c r="E434" s="80"/>
      <c r="F434" s="78">
        <v>10637</v>
      </c>
      <c r="G434" s="43">
        <v>21</v>
      </c>
      <c r="H434" s="38">
        <v>44001</v>
      </c>
      <c r="I434" s="38">
        <v>6</v>
      </c>
    </row>
    <row r="435" spans="1:17" x14ac:dyDescent="0.25">
      <c r="A435" s="39" t="str">
        <f>IF(F435="","",VLOOKUP(F435,Tabelle1[],3))</f>
        <v>PODUJEVE</v>
      </c>
      <c r="B435" s="40" t="str">
        <f>IF(F435="","",VLOOKUP(F435,Tabelle1[],2))</f>
        <v>ALBANI</v>
      </c>
      <c r="C435" s="40"/>
      <c r="D435" s="41">
        <v>46074</v>
      </c>
      <c r="E435" s="80"/>
      <c r="F435" s="78">
        <v>10635</v>
      </c>
      <c r="G435" s="43">
        <v>92.4</v>
      </c>
      <c r="H435" s="38">
        <v>35128</v>
      </c>
      <c r="I435" s="38">
        <v>12</v>
      </c>
      <c r="J435" s="38">
        <v>35109</v>
      </c>
      <c r="K435" s="38">
        <v>12</v>
      </c>
    </row>
    <row r="436" spans="1:17" x14ac:dyDescent="0.25">
      <c r="A436" s="39" t="str">
        <f>IF(F436="","",VLOOKUP(F436,Tabelle1[],3))</f>
        <v>PODUJEVE</v>
      </c>
      <c r="B436" s="40" t="str">
        <f>IF(F436="","",VLOOKUP(F436,Tabelle1[],2))</f>
        <v>TE KELA</v>
      </c>
      <c r="C436" s="40"/>
      <c r="D436" s="41">
        <v>46074</v>
      </c>
      <c r="E436" s="80"/>
      <c r="F436" s="78">
        <v>10613</v>
      </c>
      <c r="G436" s="43">
        <v>46</v>
      </c>
      <c r="H436" s="38">
        <v>50912</v>
      </c>
      <c r="I436" s="38">
        <v>5</v>
      </c>
      <c r="J436" s="38">
        <v>49644</v>
      </c>
      <c r="K436" s="38">
        <v>5</v>
      </c>
    </row>
    <row r="437" spans="1:17" x14ac:dyDescent="0.25">
      <c r="A437" s="39" t="str">
        <f>IF(F437="","",VLOOKUP(F437,Tabelle1[],3))</f>
        <v>PODUJEVE</v>
      </c>
      <c r="B437" s="40" t="str">
        <f>IF(F437="","",VLOOKUP(F437,Tabelle1[],2))</f>
        <v>ALBANI</v>
      </c>
      <c r="C437" s="40"/>
      <c r="D437" s="41">
        <v>46074</v>
      </c>
      <c r="E437" s="80"/>
      <c r="F437" s="78">
        <v>10636</v>
      </c>
      <c r="G437" s="43">
        <v>92.4</v>
      </c>
      <c r="H437" s="38">
        <v>35110</v>
      </c>
      <c r="I437" s="38">
        <v>12</v>
      </c>
      <c r="J437" s="38">
        <v>35125</v>
      </c>
      <c r="K437" s="38">
        <v>12</v>
      </c>
    </row>
    <row r="438" spans="1:17" x14ac:dyDescent="0.25">
      <c r="A438" s="39" t="str">
        <f>IF(F438="","",VLOOKUP(F438,Tabelle1[],3))</f>
        <v>PODUJEVE</v>
      </c>
      <c r="B438" s="40" t="str">
        <f>IF(F438="","",VLOOKUP(F438,Tabelle1[],2))</f>
        <v>KUJTA</v>
      </c>
      <c r="C438" s="40"/>
      <c r="D438" s="41">
        <v>46074</v>
      </c>
      <c r="E438" s="80"/>
      <c r="F438" s="78">
        <v>10625</v>
      </c>
      <c r="G438" s="43">
        <v>46.2</v>
      </c>
      <c r="H438" s="38">
        <v>35108</v>
      </c>
      <c r="I438" s="38">
        <v>12</v>
      </c>
    </row>
    <row r="439" spans="1:17" x14ac:dyDescent="0.25">
      <c r="A439" s="39" t="str">
        <f>IF(F439="","",VLOOKUP(F439,Tabelle1[],3))</f>
        <v>PRISHTINE</v>
      </c>
      <c r="B439" s="40" t="str">
        <f>IF(F439="","",VLOOKUP(F439,Tabelle1[],2))</f>
        <v>HIDROELDI</v>
      </c>
      <c r="C439" s="40"/>
      <c r="D439" s="41">
        <v>46076</v>
      </c>
      <c r="E439" s="80"/>
      <c r="F439" s="78">
        <v>10133</v>
      </c>
      <c r="G439" s="43">
        <v>92.4</v>
      </c>
      <c r="H439" s="38">
        <v>35109</v>
      </c>
      <c r="I439" s="38">
        <v>12</v>
      </c>
      <c r="J439" s="38">
        <v>35113</v>
      </c>
      <c r="K439" s="38">
        <v>12</v>
      </c>
    </row>
    <row r="440" spans="1:17" x14ac:dyDescent="0.25">
      <c r="A440" s="39" t="str">
        <f>IF(F440="","",VLOOKUP(F440,Tabelle1[],3))</f>
        <v>PRISHTINE</v>
      </c>
      <c r="B440" s="40" t="str">
        <f>IF(F440="","",VLOOKUP(F440,Tabelle1[],2))</f>
        <v>JETARI</v>
      </c>
      <c r="C440" s="40"/>
      <c r="D440" s="41">
        <v>46076</v>
      </c>
      <c r="E440" s="80"/>
      <c r="F440" s="78">
        <v>10104</v>
      </c>
      <c r="G440" s="43">
        <v>46.2</v>
      </c>
      <c r="H440" s="38">
        <v>35110</v>
      </c>
      <c r="I440" s="38">
        <v>12</v>
      </c>
    </row>
    <row r="441" spans="1:17" x14ac:dyDescent="0.25">
      <c r="A441" s="39" t="str">
        <f>IF(F441="","",VLOOKUP(F441,Tabelle1[],3))</f>
        <v>PRISHTINE</v>
      </c>
      <c r="B441" s="40" t="str">
        <f>IF(F441="","",VLOOKUP(F441,Tabelle1[],2))</f>
        <v>KADIJOLLET</v>
      </c>
      <c r="C441" s="40"/>
      <c r="D441" s="41">
        <v>46076</v>
      </c>
      <c r="E441" s="80"/>
      <c r="F441" s="78">
        <v>10111</v>
      </c>
      <c r="G441" s="43">
        <v>138.6</v>
      </c>
      <c r="H441" s="38">
        <v>35128</v>
      </c>
      <c r="I441" s="38">
        <v>12</v>
      </c>
      <c r="J441" s="38">
        <v>35121</v>
      </c>
      <c r="K441" s="38">
        <v>12</v>
      </c>
      <c r="L441" s="38">
        <v>35125</v>
      </c>
      <c r="M441" s="38">
        <v>12</v>
      </c>
    </row>
    <row r="442" spans="1:17" x14ac:dyDescent="0.25">
      <c r="A442" s="39" t="str">
        <f>IF(F442="","",VLOOKUP(F442,Tabelle1[],3))</f>
        <v>BARDHOSH</v>
      </c>
      <c r="B442" s="40" t="str">
        <f>IF(F442="","",VLOOKUP(F442,Tabelle1[],2))</f>
        <v>QELA</v>
      </c>
      <c r="C442" s="40"/>
      <c r="D442" s="41">
        <v>46076</v>
      </c>
      <c r="E442" s="80"/>
      <c r="F442" s="78">
        <v>10114</v>
      </c>
      <c r="G442" s="43">
        <v>39.5</v>
      </c>
      <c r="H442" s="38">
        <v>49644</v>
      </c>
      <c r="I442" s="38">
        <v>4</v>
      </c>
      <c r="J442" s="38">
        <v>44001</v>
      </c>
      <c r="K442" s="38">
        <v>2</v>
      </c>
      <c r="L442" s="38">
        <v>55718</v>
      </c>
      <c r="M442" s="38">
        <v>7</v>
      </c>
    </row>
    <row r="443" spans="1:17" x14ac:dyDescent="0.25">
      <c r="A443" s="39" t="str">
        <f>IF(F443="","",VLOOKUP(F443,Tabelle1[],3))</f>
        <v>PRISHTINE</v>
      </c>
      <c r="B443" s="40" t="str">
        <f>IF(F443="","",VLOOKUP(F443,Tabelle1[],2))</f>
        <v>BESI COM</v>
      </c>
      <c r="C443" s="40"/>
      <c r="D443" s="41">
        <v>46076</v>
      </c>
      <c r="E443" s="80"/>
      <c r="F443" s="78">
        <v>10103</v>
      </c>
      <c r="G443" s="43">
        <v>46.2</v>
      </c>
      <c r="H443" s="38">
        <v>35119</v>
      </c>
      <c r="I443" s="38">
        <v>12</v>
      </c>
    </row>
    <row r="444" spans="1:17" x14ac:dyDescent="0.25">
      <c r="A444" s="39" t="str">
        <f>IF(F444="","",VLOOKUP(F444,Tabelle1[],3))</f>
        <v>PEJE</v>
      </c>
      <c r="B444" s="40" t="str">
        <f>IF(F444="","",VLOOKUP(F444,Tabelle1[],2))</f>
        <v>KENA COMERC</v>
      </c>
      <c r="C444" s="40"/>
      <c r="D444" s="41">
        <v>46076</v>
      </c>
      <c r="E444" s="80"/>
      <c r="F444" s="78">
        <v>20109</v>
      </c>
      <c r="G444" s="43">
        <v>184.8</v>
      </c>
      <c r="H444" s="38">
        <v>35111</v>
      </c>
      <c r="I444" s="38">
        <v>24</v>
      </c>
      <c r="J444" s="38">
        <v>35115</v>
      </c>
      <c r="K444" s="38">
        <v>12</v>
      </c>
      <c r="L444" s="38">
        <v>35110</v>
      </c>
      <c r="M444" s="38">
        <v>12</v>
      </c>
    </row>
    <row r="445" spans="1:17" x14ac:dyDescent="0.25">
      <c r="A445" s="39" t="str">
        <f>IF(F445="","",VLOOKUP(F445,Tabelle1[],3))</f>
        <v>PEJE</v>
      </c>
      <c r="B445" s="40" t="str">
        <f>IF(F445="","",VLOOKUP(F445,Tabelle1[],2))</f>
        <v>KUQI-LKW</v>
      </c>
      <c r="C445" s="40"/>
      <c r="D445" s="41">
        <v>46076</v>
      </c>
      <c r="E445" s="80"/>
      <c r="F445" s="78">
        <v>20102</v>
      </c>
      <c r="G445" s="43">
        <v>89.4</v>
      </c>
      <c r="H445" s="38">
        <v>50912</v>
      </c>
      <c r="I445" s="38">
        <v>7</v>
      </c>
      <c r="J445" s="38">
        <v>55718</v>
      </c>
      <c r="K445" s="38">
        <v>6</v>
      </c>
      <c r="L445" s="38">
        <v>49644</v>
      </c>
      <c r="M445" s="38">
        <v>9</v>
      </c>
    </row>
    <row r="446" spans="1:17" x14ac:dyDescent="0.25">
      <c r="A446" s="39" t="str">
        <f>IF(F446="","",VLOOKUP(F446,Tabelle1[],3))</f>
        <v>PEJE</v>
      </c>
      <c r="B446" s="40" t="str">
        <f>IF(F446="","",VLOOKUP(F446,Tabelle1[],2))</f>
        <v>TERMO PROJEKT</v>
      </c>
      <c r="C446" s="40"/>
      <c r="D446" s="41">
        <v>46076</v>
      </c>
      <c r="E446" s="80"/>
      <c r="F446" s="78">
        <v>20127</v>
      </c>
      <c r="G446" s="43">
        <v>69.599999999999994</v>
      </c>
      <c r="H446" s="38">
        <v>66701</v>
      </c>
      <c r="I446" s="38">
        <v>12</v>
      </c>
    </row>
    <row r="447" spans="1:17" x14ac:dyDescent="0.25">
      <c r="A447" s="39" t="str">
        <f>IF(F447="","",VLOOKUP(F447,Tabelle1[],3))</f>
        <v>PEJE</v>
      </c>
      <c r="B447" s="40" t="str">
        <f>IF(F447="","",VLOOKUP(F447,Tabelle1[],2))</f>
        <v>LULI-C</v>
      </c>
      <c r="C447" s="40"/>
      <c r="D447" s="41">
        <v>46076</v>
      </c>
      <c r="E447" s="80"/>
      <c r="F447" s="78">
        <v>20126</v>
      </c>
      <c r="G447" s="43">
        <v>254.4</v>
      </c>
      <c r="H447" s="38">
        <v>35109</v>
      </c>
      <c r="I447" s="38">
        <v>12</v>
      </c>
      <c r="J447" s="38">
        <v>35113</v>
      </c>
      <c r="K447" s="38">
        <v>12</v>
      </c>
      <c r="L447" s="38">
        <v>35114</v>
      </c>
      <c r="M447" s="38">
        <v>12</v>
      </c>
      <c r="N447" s="38">
        <v>35121</v>
      </c>
      <c r="O447" s="38">
        <v>12</v>
      </c>
      <c r="P447" s="38">
        <v>66701</v>
      </c>
      <c r="Q447" s="38">
        <v>12</v>
      </c>
    </row>
    <row r="448" spans="1:17" x14ac:dyDescent="0.25">
      <c r="A448" s="39" t="str">
        <f>IF(F448="","",VLOOKUP(F448,Tabelle1[],3))</f>
        <v>PEJE</v>
      </c>
      <c r="B448" s="40" t="str">
        <f>IF(F448="","",VLOOKUP(F448,Tabelle1[],2))</f>
        <v>CAMA BAU</v>
      </c>
      <c r="C448" s="40"/>
      <c r="D448" s="41">
        <v>46076</v>
      </c>
      <c r="E448" s="80"/>
      <c r="F448" s="78">
        <v>20121</v>
      </c>
      <c r="G448" s="43">
        <v>138.6</v>
      </c>
      <c r="H448" s="38">
        <v>35109</v>
      </c>
      <c r="I448" s="38">
        <v>12</v>
      </c>
      <c r="J448" s="38">
        <v>35119</v>
      </c>
      <c r="K448" s="38">
        <v>12</v>
      </c>
      <c r="L448" s="38">
        <v>35121</v>
      </c>
      <c r="M448" s="38">
        <v>12</v>
      </c>
    </row>
    <row r="449" spans="1:19" x14ac:dyDescent="0.25">
      <c r="A449" s="39" t="str">
        <f>IF(F449="","",VLOOKUP(F449,Tabelle1[],3))</f>
        <v>PEJE</v>
      </c>
      <c r="B449" s="40" t="str">
        <f>IF(F449="","",VLOOKUP(F449,Tabelle1[],2))</f>
        <v>KTHIMI</v>
      </c>
      <c r="C449" s="40"/>
      <c r="D449" s="41">
        <v>46076</v>
      </c>
      <c r="E449" s="80"/>
      <c r="F449" s="78">
        <v>20104</v>
      </c>
      <c r="G449" s="43">
        <v>138.6</v>
      </c>
      <c r="H449" s="38">
        <v>35113</v>
      </c>
      <c r="I449" s="38">
        <v>24</v>
      </c>
      <c r="J449" s="38">
        <v>35108</v>
      </c>
      <c r="K449" s="38">
        <v>12</v>
      </c>
    </row>
    <row r="450" spans="1:19" x14ac:dyDescent="0.25">
      <c r="A450" s="39" t="str">
        <f>IF(F450="","",VLOOKUP(F450,Tabelle1[],3))</f>
        <v>PEJE</v>
      </c>
      <c r="B450" s="40" t="str">
        <f>IF(F450="","",VLOOKUP(F450,Tabelle1[],2))</f>
        <v>ENESI</v>
      </c>
      <c r="C450" s="40"/>
      <c r="D450" s="41">
        <v>46076</v>
      </c>
      <c r="E450" s="80"/>
      <c r="F450" s="78">
        <v>20130</v>
      </c>
      <c r="G450" s="43">
        <v>92.4</v>
      </c>
      <c r="H450" s="38">
        <v>35110</v>
      </c>
      <c r="I450" s="38">
        <v>12</v>
      </c>
      <c r="J450" s="38">
        <v>35128</v>
      </c>
      <c r="K450" s="38">
        <v>12</v>
      </c>
    </row>
    <row r="451" spans="1:19" x14ac:dyDescent="0.25">
      <c r="A451" s="39" t="str">
        <f>IF(F451="","",VLOOKUP(F451,Tabelle1[],3))</f>
        <v>PRISHTINE</v>
      </c>
      <c r="B451" s="40" t="str">
        <f>IF(F451="","",VLOOKUP(F451,Tabelle1[],2))</f>
        <v>YLLI CONSTRUCION</v>
      </c>
      <c r="C451" s="40"/>
      <c r="D451" s="41">
        <v>46076</v>
      </c>
      <c r="E451" s="80"/>
      <c r="F451" s="78">
        <v>40017</v>
      </c>
      <c r="G451" s="43">
        <v>52</v>
      </c>
      <c r="H451" s="38">
        <v>35109</v>
      </c>
      <c r="I451" s="38">
        <v>12</v>
      </c>
      <c r="J451" s="38">
        <v>35115</v>
      </c>
      <c r="K451" s="38">
        <v>1</v>
      </c>
    </row>
    <row r="452" spans="1:19" x14ac:dyDescent="0.25">
      <c r="A452" s="39" t="str">
        <f>IF(F452="","",VLOOKUP(F452,Tabelle1[],3))</f>
        <v>HOME KIM TEC</v>
      </c>
      <c r="B452" s="40" t="str">
        <f>IF(F452="","",VLOOKUP(F452,Tabelle1[],2))</f>
        <v>ARBENI BIOBLIC</v>
      </c>
      <c r="C452" s="40"/>
      <c r="D452" s="41">
        <v>46076</v>
      </c>
      <c r="E452" s="80"/>
      <c r="F452" s="78">
        <v>40003</v>
      </c>
      <c r="G452" s="43">
        <v>252.5</v>
      </c>
      <c r="H452" s="38">
        <v>20001</v>
      </c>
      <c r="I452" s="38">
        <v>150</v>
      </c>
      <c r="J452" s="38">
        <v>30275</v>
      </c>
      <c r="K452" s="38">
        <v>40</v>
      </c>
      <c r="L452" s="38">
        <v>39505</v>
      </c>
      <c r="M452" s="38">
        <v>5</v>
      </c>
    </row>
    <row r="453" spans="1:19" x14ac:dyDescent="0.25">
      <c r="A453" s="39" t="str">
        <f>IF(F453="","",VLOOKUP(F453,Tabelle1[],3))</f>
        <v>HOME KIM TEC</v>
      </c>
      <c r="B453" s="40" t="str">
        <f>IF(F453="","",VLOOKUP(F453,Tabelle1[],2))</f>
        <v>FORD BASHKIMI</v>
      </c>
      <c r="C453" s="40"/>
      <c r="D453" s="41">
        <v>46076</v>
      </c>
      <c r="E453" s="80"/>
      <c r="F453" s="78">
        <v>40002</v>
      </c>
      <c r="G453" s="43">
        <v>8.5</v>
      </c>
      <c r="H453" s="38">
        <v>50912</v>
      </c>
      <c r="I453" s="38">
        <v>1</v>
      </c>
    </row>
    <row r="454" spans="1:19" x14ac:dyDescent="0.25">
      <c r="A454" s="39" t="str">
        <f>IF(F454="","",VLOOKUP(F454,Tabelle1[],3))</f>
        <v>SHTIME</v>
      </c>
      <c r="B454" s="40" t="str">
        <f>IF(F454="","",VLOOKUP(F454,Tabelle1[],2))</f>
        <v>TAULANTI</v>
      </c>
      <c r="C454" s="40"/>
      <c r="D454" s="41">
        <v>46077</v>
      </c>
      <c r="E454" s="80"/>
      <c r="F454" s="78">
        <v>10250</v>
      </c>
      <c r="G454" s="43">
        <v>92.4</v>
      </c>
      <c r="H454" s="38">
        <v>35108</v>
      </c>
      <c r="I454" s="38">
        <v>24</v>
      </c>
    </row>
    <row r="455" spans="1:19" x14ac:dyDescent="0.25">
      <c r="A455" s="39" t="str">
        <f>IF(F455="","",VLOOKUP(F455,Tabelle1[],3))</f>
        <v>DUHEL</v>
      </c>
      <c r="B455" s="40" t="str">
        <f>IF(F455="","",VLOOKUP(F455,Tabelle1[],2))</f>
        <v>JETA DUHEL</v>
      </c>
      <c r="C455" s="40"/>
      <c r="D455" s="41">
        <v>46077</v>
      </c>
      <c r="E455" s="80"/>
      <c r="F455" s="78">
        <v>10230</v>
      </c>
      <c r="G455" s="43">
        <v>46.2</v>
      </c>
      <c r="H455" s="38">
        <v>35121</v>
      </c>
      <c r="I455" s="38">
        <v>12</v>
      </c>
    </row>
    <row r="456" spans="1:19" x14ac:dyDescent="0.25">
      <c r="A456" s="39" t="str">
        <f>IF(F456="","",VLOOKUP(F456,Tabelle1[],3))</f>
        <v>SHIROK</v>
      </c>
      <c r="B456" s="40" t="str">
        <f>IF(F456="","",VLOOKUP(F456,Tabelle1[],2))</f>
        <v>XHAFA</v>
      </c>
      <c r="C456" s="40"/>
      <c r="D456" s="41">
        <v>46077</v>
      </c>
      <c r="E456" s="80"/>
      <c r="F456" s="78">
        <v>10205</v>
      </c>
      <c r="G456" s="43">
        <v>206.4</v>
      </c>
      <c r="H456" s="38">
        <v>35109</v>
      </c>
      <c r="I456" s="38">
        <v>12</v>
      </c>
      <c r="J456" s="38">
        <v>35121</v>
      </c>
      <c r="K456" s="38">
        <v>12</v>
      </c>
      <c r="L456" s="38">
        <v>35113</v>
      </c>
      <c r="M456" s="38">
        <v>12</v>
      </c>
      <c r="N456" s="38">
        <v>35128</v>
      </c>
      <c r="O456" s="38">
        <v>12</v>
      </c>
      <c r="P456" s="38">
        <v>50912</v>
      </c>
      <c r="Q456" s="38">
        <v>3</v>
      </c>
    </row>
    <row r="457" spans="1:19" x14ac:dyDescent="0.25">
      <c r="A457" s="39" t="str">
        <f>IF(F457="","",VLOOKUP(F457,Tabelle1[],3))</f>
        <v>THARAND</v>
      </c>
      <c r="B457" s="40" t="str">
        <f>IF(F457="","",VLOOKUP(F457,Tabelle1[],2))</f>
        <v>TE BESNIKU</v>
      </c>
      <c r="C457" s="40"/>
      <c r="D457" s="41">
        <v>46077</v>
      </c>
      <c r="E457" s="80"/>
      <c r="F457" s="78">
        <v>10201</v>
      </c>
      <c r="G457" s="43">
        <v>106</v>
      </c>
      <c r="H457" s="38">
        <v>29802</v>
      </c>
      <c r="I457" s="38">
        <v>8</v>
      </c>
      <c r="J457" s="38">
        <v>35121</v>
      </c>
      <c r="K457" s="38">
        <v>24</v>
      </c>
    </row>
    <row r="458" spans="1:19" x14ac:dyDescent="0.25">
      <c r="A458" s="39" t="str">
        <f>IF(F458="","",VLOOKUP(F458,Tabelle1[],3))</f>
        <v>PRIZREN</v>
      </c>
      <c r="B458" s="40" t="str">
        <f>IF(F458="","",VLOOKUP(F458,Tabelle1[],2))</f>
        <v>ARPO</v>
      </c>
      <c r="C458" s="40"/>
      <c r="D458" s="41">
        <v>46077</v>
      </c>
      <c r="E458" s="80"/>
      <c r="F458" s="78">
        <v>10240</v>
      </c>
      <c r="G458" s="43">
        <v>277.2</v>
      </c>
      <c r="H458" s="38">
        <v>35110</v>
      </c>
      <c r="I458" s="38">
        <v>12</v>
      </c>
      <c r="J458" s="38">
        <v>35111</v>
      </c>
      <c r="K458" s="38">
        <v>12</v>
      </c>
      <c r="L458" s="38">
        <v>35113</v>
      </c>
      <c r="M458" s="38">
        <v>12</v>
      </c>
      <c r="N458" s="38">
        <v>35115</v>
      </c>
      <c r="O458" s="38">
        <v>12</v>
      </c>
      <c r="P458" s="38">
        <v>35121</v>
      </c>
      <c r="Q458" s="38">
        <v>12</v>
      </c>
      <c r="R458" s="38">
        <v>35125</v>
      </c>
      <c r="S458" s="38">
        <v>12</v>
      </c>
    </row>
    <row r="459" spans="1:19" x14ac:dyDescent="0.25">
      <c r="A459" s="39" t="str">
        <f>IF(F459="","",VLOOKUP(F459,Tabelle1[],3))</f>
        <v>PRIZREN</v>
      </c>
      <c r="B459" s="40" t="str">
        <f>IF(F459="","",VLOOKUP(F459,Tabelle1[],2))</f>
        <v>ARPO</v>
      </c>
      <c r="C459" s="40"/>
      <c r="D459" s="41">
        <v>46077</v>
      </c>
      <c r="E459" s="80"/>
      <c r="F459" s="78">
        <v>10240</v>
      </c>
      <c r="G459" s="43">
        <v>30</v>
      </c>
      <c r="H459" s="38">
        <v>51611</v>
      </c>
      <c r="I459" s="38">
        <v>24</v>
      </c>
    </row>
    <row r="460" spans="1:19" x14ac:dyDescent="0.25">
      <c r="A460" s="39" t="str">
        <f>IF(F460="","",VLOOKUP(F460,Tabelle1[],3))</f>
        <v>PRIZREN</v>
      </c>
      <c r="B460" s="40" t="str">
        <f>IF(F460="","",VLOOKUP(F460,Tabelle1[],2))</f>
        <v>TEMAJ</v>
      </c>
      <c r="C460" s="40"/>
      <c r="D460" s="41">
        <v>46077</v>
      </c>
      <c r="E460" s="80"/>
      <c r="F460" s="78">
        <v>40019</v>
      </c>
      <c r="G460" s="43">
        <v>92.4</v>
      </c>
      <c r="H460" s="38">
        <v>35113</v>
      </c>
      <c r="I460" s="38">
        <v>24</v>
      </c>
    </row>
    <row r="461" spans="1:19" x14ac:dyDescent="0.25">
      <c r="A461" s="39" t="str">
        <f>IF(F461="","",VLOOKUP(F461,Tabelle1[],3))</f>
        <v>PRIZREN</v>
      </c>
      <c r="B461" s="40" t="str">
        <f>IF(F461="","",VLOOKUP(F461,Tabelle1[],2))</f>
        <v>QEMA</v>
      </c>
      <c r="C461" s="40"/>
      <c r="D461" s="41">
        <v>46077</v>
      </c>
      <c r="E461" s="80"/>
      <c r="F461" s="78">
        <v>10255</v>
      </c>
      <c r="G461" s="43">
        <v>348</v>
      </c>
      <c r="H461" s="38">
        <v>66701</v>
      </c>
      <c r="I461" s="38">
        <v>60</v>
      </c>
    </row>
    <row r="462" spans="1:19" x14ac:dyDescent="0.25">
      <c r="A462" s="39" t="str">
        <f>IF(F462="","",VLOOKUP(F462,Tabelle1[],3))</f>
        <v>GJAKOVE</v>
      </c>
      <c r="B462" s="40" t="str">
        <f>IF(F462="","",VLOOKUP(F462,Tabelle1[],2))</f>
        <v>PROSAN</v>
      </c>
      <c r="C462" s="40"/>
      <c r="D462" s="41">
        <v>46077</v>
      </c>
      <c r="E462" s="80"/>
      <c r="F462" s="78">
        <v>20210</v>
      </c>
      <c r="G462" s="43">
        <v>92.4</v>
      </c>
      <c r="H462" s="38">
        <v>35110</v>
      </c>
      <c r="I462" s="38">
        <v>24</v>
      </c>
    </row>
    <row r="463" spans="1:19" x14ac:dyDescent="0.25">
      <c r="A463" s="39" t="str">
        <f>IF(F463="","",VLOOKUP(F463,Tabelle1[],3))</f>
        <v>GJAKOVE</v>
      </c>
      <c r="B463" s="40" t="str">
        <f>IF(F463="","",VLOOKUP(F463,Tabelle1[],2))</f>
        <v>GER COLORS</v>
      </c>
      <c r="C463" s="40"/>
      <c r="D463" s="41">
        <v>46077</v>
      </c>
      <c r="E463" s="80"/>
      <c r="F463" s="78">
        <v>20223</v>
      </c>
      <c r="G463" s="43">
        <v>80</v>
      </c>
      <c r="H463" s="38">
        <v>12000</v>
      </c>
      <c r="I463" s="38">
        <v>10</v>
      </c>
    </row>
    <row r="464" spans="1:19" x14ac:dyDescent="0.25">
      <c r="A464" s="39" t="str">
        <f>IF(F464="","",VLOOKUP(F464,Tabelle1[],3))</f>
        <v>GJAKOVE</v>
      </c>
      <c r="B464" s="40" t="str">
        <f>IF(F464="","",VLOOKUP(F464,Tabelle1[],2))</f>
        <v>LETAJ</v>
      </c>
      <c r="C464" s="40"/>
      <c r="D464" s="41">
        <v>46077</v>
      </c>
      <c r="E464" s="80"/>
      <c r="F464" s="78">
        <v>20209</v>
      </c>
      <c r="G464" s="43">
        <v>190.2</v>
      </c>
      <c r="H464" s="38">
        <v>35110</v>
      </c>
      <c r="I464" s="38">
        <v>12</v>
      </c>
      <c r="J464" s="38">
        <v>35111</v>
      </c>
      <c r="K464" s="38">
        <v>12</v>
      </c>
      <c r="L464" s="38">
        <v>35114</v>
      </c>
      <c r="M464" s="38">
        <v>12</v>
      </c>
      <c r="N464" s="38">
        <v>49644</v>
      </c>
      <c r="O464" s="38">
        <v>12</v>
      </c>
      <c r="P464" s="38">
        <v>51612</v>
      </c>
      <c r="Q464" s="38">
        <v>12</v>
      </c>
    </row>
    <row r="465" spans="1:17" x14ac:dyDescent="0.25">
      <c r="A465" s="39" t="str">
        <f>IF(F465="","",VLOOKUP(F465,Tabelle1[],3))</f>
        <v>GJAKOVE</v>
      </c>
      <c r="B465" s="40" t="str">
        <f>IF(F465="","",VLOOKUP(F465,Tabelle1[],2))</f>
        <v>GER COLORS</v>
      </c>
      <c r="C465" s="40"/>
      <c r="D465" s="41">
        <v>46077</v>
      </c>
      <c r="E465" s="80"/>
      <c r="F465" s="78">
        <v>20223</v>
      </c>
      <c r="G465" s="43">
        <v>208.2</v>
      </c>
      <c r="H465" s="38">
        <v>66701</v>
      </c>
      <c r="I465" s="38">
        <v>12</v>
      </c>
      <c r="J465" s="38">
        <v>35108</v>
      </c>
      <c r="K465" s="38">
        <v>12</v>
      </c>
      <c r="L465" s="38">
        <v>35121</v>
      </c>
      <c r="M465" s="38">
        <v>12</v>
      </c>
      <c r="N465" s="38">
        <v>35125</v>
      </c>
      <c r="O465" s="38">
        <v>12</v>
      </c>
    </row>
    <row r="466" spans="1:17" x14ac:dyDescent="0.25">
      <c r="A466" s="39" t="str">
        <f>IF(F466="","",VLOOKUP(F466,Tabelle1[],3))</f>
        <v>GJAKOVE</v>
      </c>
      <c r="B466" s="40" t="str">
        <f>IF(F466="","",VLOOKUP(F466,Tabelle1[],2))</f>
        <v>INOX 2</v>
      </c>
      <c r="C466" s="40"/>
      <c r="D466" s="41">
        <v>46077</v>
      </c>
      <c r="E466" s="80"/>
      <c r="F466" s="78">
        <v>20212</v>
      </c>
      <c r="G466" s="43">
        <v>138.6</v>
      </c>
      <c r="H466" s="38">
        <v>35108</v>
      </c>
      <c r="I466" s="38">
        <v>12</v>
      </c>
      <c r="J466" s="38">
        <v>35109</v>
      </c>
      <c r="K466" s="38">
        <v>12</v>
      </c>
      <c r="L466" s="38">
        <v>35121</v>
      </c>
      <c r="M466" s="38">
        <v>12</v>
      </c>
    </row>
    <row r="467" spans="1:17" x14ac:dyDescent="0.25">
      <c r="A467" s="39" t="str">
        <f>IF(F467="","",VLOOKUP(F467,Tabelle1[],3))</f>
        <v>GJAKOVE</v>
      </c>
      <c r="B467" s="40" t="str">
        <f>IF(F467="","",VLOOKUP(F467,Tabelle1[],2))</f>
        <v>V. GJONAJ</v>
      </c>
      <c r="C467" s="40"/>
      <c r="D467" s="41">
        <v>46077</v>
      </c>
      <c r="E467" s="80"/>
      <c r="F467" s="78">
        <v>20208</v>
      </c>
      <c r="G467" s="43">
        <v>115.8</v>
      </c>
      <c r="H467" s="38">
        <v>35113</v>
      </c>
      <c r="I467" s="38">
        <v>12</v>
      </c>
      <c r="J467" s="38">
        <v>66701</v>
      </c>
      <c r="K467" s="38">
        <v>12</v>
      </c>
    </row>
    <row r="468" spans="1:17" x14ac:dyDescent="0.25">
      <c r="A468" s="39" t="str">
        <f>IF(F468="","",VLOOKUP(F468,Tabelle1[],3))</f>
        <v>DEQAN</v>
      </c>
      <c r="B468" s="40" t="str">
        <f>IF(F468="","",VLOOKUP(F468,Tabelle1[],2))</f>
        <v>AFRIMI-AG</v>
      </c>
      <c r="C468" s="40"/>
      <c r="D468" s="41">
        <v>46077</v>
      </c>
      <c r="E468" s="80"/>
      <c r="F468" s="78">
        <v>20203</v>
      </c>
      <c r="G468" s="43">
        <v>232.8</v>
      </c>
      <c r="H468" s="38">
        <v>35110</v>
      </c>
      <c r="I468" s="38">
        <v>12</v>
      </c>
      <c r="J468" s="38">
        <v>35111</v>
      </c>
      <c r="K468" s="38">
        <v>12</v>
      </c>
      <c r="L468" s="38">
        <v>35113</v>
      </c>
      <c r="M468" s="38">
        <v>12</v>
      </c>
      <c r="N468" s="38">
        <v>35128</v>
      </c>
      <c r="O468" s="38">
        <v>12</v>
      </c>
      <c r="P468" s="38">
        <v>56117</v>
      </c>
      <c r="Q468" s="38">
        <v>12</v>
      </c>
    </row>
    <row r="469" spans="1:17" x14ac:dyDescent="0.25">
      <c r="A469" s="39" t="str">
        <f>IF(F469="","",VLOOKUP(F469,Tabelle1[],3))</f>
        <v>DEQAN</v>
      </c>
      <c r="B469" s="40" t="str">
        <f>IF(F469="","",VLOOKUP(F469,Tabelle1[],2))</f>
        <v>TE BESIMI</v>
      </c>
      <c r="C469" s="40"/>
      <c r="D469" s="41">
        <v>46077</v>
      </c>
      <c r="E469" s="80"/>
      <c r="F469" s="78">
        <v>20201</v>
      </c>
      <c r="G469" s="43">
        <v>154.6</v>
      </c>
      <c r="H469" s="38">
        <v>35110</v>
      </c>
      <c r="I469" s="38">
        <v>12</v>
      </c>
      <c r="J469" s="38">
        <v>35111</v>
      </c>
      <c r="K469" s="38">
        <v>12</v>
      </c>
      <c r="L469" s="38">
        <v>35115</v>
      </c>
      <c r="M469" s="38">
        <v>12</v>
      </c>
      <c r="N469" s="38">
        <v>50912</v>
      </c>
      <c r="O469" s="38">
        <v>2</v>
      </c>
    </row>
    <row r="470" spans="1:17" x14ac:dyDescent="0.25">
      <c r="A470" s="39" t="str">
        <f>IF(F470="","",VLOOKUP(F470,Tabelle1[],3))</f>
        <v>JUNIK</v>
      </c>
      <c r="B470" s="40" t="str">
        <f>IF(F470="","",VLOOKUP(F470,Tabelle1[],2))</f>
        <v>ERENIKU</v>
      </c>
      <c r="C470" s="40"/>
      <c r="D470" s="41">
        <v>46077</v>
      </c>
      <c r="E470" s="80"/>
      <c r="F470" s="78">
        <v>20206</v>
      </c>
      <c r="G470" s="43">
        <v>92.4</v>
      </c>
      <c r="H470" s="38">
        <v>35109</v>
      </c>
      <c r="I470" s="38">
        <v>12</v>
      </c>
      <c r="J470" s="38">
        <v>35125</v>
      </c>
      <c r="K470" s="38">
        <v>12</v>
      </c>
    </row>
    <row r="471" spans="1:17" x14ac:dyDescent="0.25">
      <c r="A471" s="39" t="str">
        <f>IF(F471="","",VLOOKUP(F471,Tabelle1[],3))</f>
        <v>GJILAN</v>
      </c>
      <c r="B471" s="40" t="str">
        <f>IF(F471="","",VLOOKUP(F471,Tabelle1[],2))</f>
        <v>EUROSAN</v>
      </c>
      <c r="C471" s="40"/>
      <c r="D471" s="41">
        <v>46078</v>
      </c>
      <c r="E471" s="80"/>
      <c r="F471" s="78">
        <v>10304</v>
      </c>
      <c r="G471" s="43">
        <v>36</v>
      </c>
      <c r="H471" s="38">
        <v>20001</v>
      </c>
      <c r="I471" s="38">
        <v>10</v>
      </c>
      <c r="J471" s="38">
        <v>30276</v>
      </c>
      <c r="K471" s="38">
        <v>10</v>
      </c>
    </row>
    <row r="472" spans="1:17" x14ac:dyDescent="0.25">
      <c r="A472" s="39" t="str">
        <f>IF(F472="","",VLOOKUP(F472,Tabelle1[],3))</f>
        <v>POZHARAN</v>
      </c>
      <c r="B472" s="40" t="str">
        <f>IF(F472="","",VLOOKUP(F472,Tabelle1[],2))</f>
        <v>BURIMI</v>
      </c>
      <c r="C472" s="40"/>
      <c r="D472" s="41">
        <v>46078</v>
      </c>
      <c r="E472" s="80"/>
      <c r="F472" s="78">
        <v>10330</v>
      </c>
      <c r="G472" s="43">
        <v>46.2</v>
      </c>
      <c r="H472" s="38">
        <v>35110</v>
      </c>
      <c r="I472" s="38">
        <v>12</v>
      </c>
    </row>
    <row r="473" spans="1:17" x14ac:dyDescent="0.25">
      <c r="A473" s="39" t="str">
        <f>IF(F473="","",VLOOKUP(F473,Tabelle1[],3))</f>
        <v>VITI</v>
      </c>
      <c r="B473" s="40" t="str">
        <f>IF(F473="","",VLOOKUP(F473,Tabelle1[],2))</f>
        <v>DARDANIA</v>
      </c>
      <c r="C473" s="40"/>
      <c r="D473" s="41">
        <v>46078</v>
      </c>
      <c r="E473" s="80"/>
      <c r="F473" s="78">
        <v>10332</v>
      </c>
      <c r="G473" s="43">
        <v>92.4</v>
      </c>
      <c r="H473" s="38">
        <v>35113</v>
      </c>
      <c r="I473" s="38">
        <v>12</v>
      </c>
      <c r="J473" s="38">
        <v>35121</v>
      </c>
      <c r="K473" s="38">
        <v>12</v>
      </c>
    </row>
    <row r="474" spans="1:17" x14ac:dyDescent="0.25">
      <c r="A474" s="39" t="str">
        <f>IF(F474="","",VLOOKUP(F474,Tabelle1[],3))</f>
        <v>GJILAN</v>
      </c>
      <c r="B474" s="40" t="str">
        <f>IF(F474="","",VLOOKUP(F474,Tabelle1[],2))</f>
        <v>FUNDAMETI</v>
      </c>
      <c r="C474" s="40"/>
      <c r="D474" s="41">
        <v>46078</v>
      </c>
      <c r="E474" s="80"/>
      <c r="F474" s="78">
        <v>10301</v>
      </c>
      <c r="G474" s="43">
        <v>46.2</v>
      </c>
      <c r="H474" s="38">
        <v>35113</v>
      </c>
      <c r="I474" s="38">
        <v>12</v>
      </c>
    </row>
    <row r="475" spans="1:17" x14ac:dyDescent="0.25">
      <c r="A475" s="39" t="str">
        <f>IF(F475="","",VLOOKUP(F475,Tabelle1[],3))</f>
        <v>VITI</v>
      </c>
      <c r="B475" s="40" t="str">
        <f>IF(F475="","",VLOOKUP(F475,Tabelle1[],2))</f>
        <v>BALLKANI</v>
      </c>
      <c r="C475" s="40"/>
      <c r="D475" s="41">
        <v>46078</v>
      </c>
      <c r="E475" s="80"/>
      <c r="F475" s="78">
        <v>10350</v>
      </c>
      <c r="G475" s="43">
        <v>138.6</v>
      </c>
      <c r="H475" s="38">
        <v>35121</v>
      </c>
      <c r="I475" s="38">
        <v>24</v>
      </c>
      <c r="J475" s="38">
        <v>35128</v>
      </c>
      <c r="K475" s="38">
        <v>12</v>
      </c>
    </row>
    <row r="476" spans="1:17" x14ac:dyDescent="0.25">
      <c r="A476" s="39" t="str">
        <f>IF(F476="","",VLOOKUP(F476,Tabelle1[],3))</f>
        <v>VITI</v>
      </c>
      <c r="B476" s="40" t="str">
        <f>IF(F476="","",VLOOKUP(F476,Tabelle1[],2))</f>
        <v>SMIRA</v>
      </c>
      <c r="C476" s="40"/>
      <c r="D476" s="41">
        <v>46078</v>
      </c>
      <c r="E476" s="80"/>
      <c r="F476" s="78">
        <v>10352</v>
      </c>
      <c r="G476" s="43">
        <v>92.4</v>
      </c>
      <c r="H476" s="38">
        <v>35109</v>
      </c>
      <c r="I476" s="38">
        <v>12</v>
      </c>
      <c r="J476" s="38">
        <v>35110</v>
      </c>
      <c r="K476" s="38">
        <v>12</v>
      </c>
    </row>
    <row r="477" spans="1:17" x14ac:dyDescent="0.25">
      <c r="A477" s="39" t="str">
        <f>IF(F477="","",VLOOKUP(F477,Tabelle1[],3))</f>
        <v>GJILAN</v>
      </c>
      <c r="B477" s="40" t="str">
        <f>IF(F477="","",VLOOKUP(F477,Tabelle1[],2))</f>
        <v>BEKA-2</v>
      </c>
      <c r="C477" s="40"/>
      <c r="D477" s="41">
        <v>46078</v>
      </c>
      <c r="E477" s="80"/>
      <c r="F477" s="78">
        <v>10317</v>
      </c>
      <c r="G477" s="43">
        <v>46</v>
      </c>
      <c r="H477" s="38">
        <v>50912</v>
      </c>
      <c r="I477" s="38">
        <v>5</v>
      </c>
      <c r="J477" s="38">
        <v>49644</v>
      </c>
      <c r="K477" s="38">
        <v>5</v>
      </c>
    </row>
    <row r="478" spans="1:17" x14ac:dyDescent="0.25">
      <c r="A478" s="39" t="str">
        <f>IF(F478="","",VLOOKUP(F478,Tabelle1[],3))</f>
        <v>GJILAN</v>
      </c>
      <c r="B478" s="40" t="str">
        <f>IF(F478="","",VLOOKUP(F478,Tabelle1[],2))</f>
        <v>TINA</v>
      </c>
      <c r="C478" s="40"/>
      <c r="D478" s="41">
        <v>46078</v>
      </c>
      <c r="E478" s="80"/>
      <c r="F478" s="78">
        <v>10344</v>
      </c>
      <c r="G478" s="43">
        <v>92.4</v>
      </c>
      <c r="H478" s="38">
        <v>35108</v>
      </c>
      <c r="I478" s="38">
        <v>12</v>
      </c>
      <c r="J478" s="38">
        <v>35113</v>
      </c>
      <c r="K478" s="38">
        <v>12</v>
      </c>
    </row>
    <row r="479" spans="1:17" x14ac:dyDescent="0.25">
      <c r="A479" s="39" t="str">
        <f>IF(F479="","",VLOOKUP(F479,Tabelle1[],3))</f>
        <v>GJILAN</v>
      </c>
      <c r="B479" s="40" t="str">
        <f>IF(F479="","",VLOOKUP(F479,Tabelle1[],2))</f>
        <v>ERALP</v>
      </c>
      <c r="C479" s="40"/>
      <c r="D479" s="41">
        <v>46078</v>
      </c>
      <c r="E479" s="80"/>
      <c r="F479" s="78">
        <v>10308</v>
      </c>
      <c r="G479" s="43">
        <v>46.2</v>
      </c>
      <c r="H479" s="38">
        <v>35121</v>
      </c>
      <c r="I479" s="38">
        <v>12</v>
      </c>
    </row>
    <row r="480" spans="1:17" x14ac:dyDescent="0.25">
      <c r="A480" s="39" t="str">
        <f>IF(F480="","",VLOOKUP(F480,Tabelle1[],3))</f>
        <v>GJILAN</v>
      </c>
      <c r="B480" s="40" t="str">
        <f>IF(F480="","",VLOOKUP(F480,Tabelle1[],2))</f>
        <v>KETI VEE SHPK</v>
      </c>
      <c r="C480" s="40"/>
      <c r="D480" s="41">
        <v>46078</v>
      </c>
      <c r="E480" s="80"/>
      <c r="F480" s="78">
        <v>10365</v>
      </c>
      <c r="G480" s="43">
        <v>92.4</v>
      </c>
      <c r="H480" s="38">
        <v>35125</v>
      </c>
      <c r="I480" s="38">
        <v>24</v>
      </c>
    </row>
    <row r="481" spans="1:19" x14ac:dyDescent="0.25">
      <c r="A481" s="39" t="str">
        <f>IF(F481="","",VLOOKUP(F481,Tabelle1[],3))</f>
        <v>MALISHEVE</v>
      </c>
      <c r="B481" s="40" t="str">
        <f>IF(F481="","",VLOOKUP(F481,Tabelle1[],2))</f>
        <v>HAZROLLI</v>
      </c>
      <c r="C481" s="40"/>
      <c r="D481" s="41">
        <v>46078</v>
      </c>
      <c r="E481" s="80"/>
      <c r="F481" s="78">
        <v>20301</v>
      </c>
      <c r="G481" s="43">
        <v>162</v>
      </c>
      <c r="H481" s="38">
        <v>35110</v>
      </c>
      <c r="I481" s="38">
        <v>24</v>
      </c>
      <c r="J481" s="38">
        <v>66701</v>
      </c>
      <c r="K481" s="38">
        <v>12</v>
      </c>
    </row>
    <row r="482" spans="1:19" x14ac:dyDescent="0.25">
      <c r="A482" s="39" t="str">
        <f>IF(F482="","",VLOOKUP(F482,Tabelle1[],3))</f>
        <v>RAHOVEC</v>
      </c>
      <c r="B482" s="40" t="str">
        <f>IF(F482="","",VLOOKUP(F482,Tabelle1[],2))</f>
        <v>CONDOR</v>
      </c>
      <c r="C482" s="40"/>
      <c r="D482" s="41">
        <v>46078</v>
      </c>
      <c r="E482" s="80"/>
      <c r="F482" s="78">
        <v>20307</v>
      </c>
      <c r="G482" s="43">
        <v>402</v>
      </c>
      <c r="H482" s="38">
        <v>35109</v>
      </c>
      <c r="I482" s="38">
        <v>24</v>
      </c>
      <c r="J482" s="38">
        <v>35110</v>
      </c>
      <c r="K482" s="38">
        <v>24</v>
      </c>
      <c r="L482" s="38">
        <v>35113</v>
      </c>
      <c r="M482" s="38">
        <v>12</v>
      </c>
      <c r="N482" s="38">
        <v>35128</v>
      </c>
      <c r="O482" s="38">
        <v>12</v>
      </c>
      <c r="P482" s="38">
        <v>51612</v>
      </c>
      <c r="Q482" s="38">
        <v>24</v>
      </c>
      <c r="R482" s="38">
        <v>66701</v>
      </c>
      <c r="S482" s="38">
        <v>12</v>
      </c>
    </row>
    <row r="483" spans="1:19" x14ac:dyDescent="0.25">
      <c r="A483" s="39" t="str">
        <f>IF(F483="","",VLOOKUP(F483,Tabelle1[],3))</f>
        <v>MALISHEVE</v>
      </c>
      <c r="B483" s="40" t="str">
        <f>IF(F483="","",VLOOKUP(F483,Tabelle1[],2))</f>
        <v>BARDHI-M</v>
      </c>
      <c r="C483" s="40"/>
      <c r="D483" s="41">
        <v>46078</v>
      </c>
      <c r="E483" s="80"/>
      <c r="F483" s="78">
        <v>20331</v>
      </c>
      <c r="G483" s="43">
        <v>92.4</v>
      </c>
      <c r="H483" s="38">
        <v>35111</v>
      </c>
      <c r="I483" s="38">
        <v>12</v>
      </c>
      <c r="J483" s="38">
        <v>35121</v>
      </c>
      <c r="K483" s="38">
        <v>12</v>
      </c>
    </row>
    <row r="484" spans="1:19" x14ac:dyDescent="0.25">
      <c r="A484" s="39" t="str">
        <f>IF(F484="","",VLOOKUP(F484,Tabelle1[],3))</f>
        <v>MALISHEVE</v>
      </c>
      <c r="B484" s="40" t="str">
        <f>IF(F484="","",VLOOKUP(F484,Tabelle1[],2))</f>
        <v>FITIMI</v>
      </c>
      <c r="C484" s="40"/>
      <c r="D484" s="41">
        <v>46078</v>
      </c>
      <c r="E484" s="80"/>
      <c r="F484" s="78">
        <v>20306</v>
      </c>
      <c r="G484" s="43">
        <v>138.6</v>
      </c>
      <c r="H484" s="38">
        <v>35110</v>
      </c>
      <c r="I484" s="38">
        <v>12</v>
      </c>
      <c r="J484" s="38">
        <v>35115</v>
      </c>
      <c r="K484" s="38">
        <v>12</v>
      </c>
      <c r="L484" s="38">
        <v>35121</v>
      </c>
      <c r="M484" s="38">
        <v>12</v>
      </c>
    </row>
    <row r="485" spans="1:19" x14ac:dyDescent="0.25">
      <c r="A485" s="39" t="str">
        <f>IF(F485="","",VLOOKUP(F485,Tabelle1[],3))</f>
        <v>RAHOVEC</v>
      </c>
      <c r="B485" s="40" t="str">
        <f>IF(F485="","",VLOOKUP(F485,Tabelle1[],2))</f>
        <v>DURGUTI 3</v>
      </c>
      <c r="C485" s="40"/>
      <c r="D485" s="41">
        <v>46078</v>
      </c>
      <c r="E485" s="80"/>
      <c r="F485" s="78">
        <v>20313</v>
      </c>
      <c r="G485" s="43">
        <v>92.4</v>
      </c>
      <c r="H485" s="38">
        <v>35109</v>
      </c>
      <c r="I485" s="38">
        <v>12</v>
      </c>
      <c r="J485" s="38">
        <v>35121</v>
      </c>
      <c r="K485" s="38">
        <v>12</v>
      </c>
    </row>
    <row r="486" spans="1:19" x14ac:dyDescent="0.25">
      <c r="A486" s="39" t="str">
        <f>IF(F486="","",VLOOKUP(F486,Tabelle1[],3))</f>
        <v>RAHOVEC</v>
      </c>
      <c r="B486" s="40" t="str">
        <f>IF(F486="","",VLOOKUP(F486,Tabelle1[],2))</f>
        <v>SHEHU-A</v>
      </c>
      <c r="C486" s="40"/>
      <c r="D486" s="41">
        <v>46078</v>
      </c>
      <c r="E486" s="80"/>
      <c r="F486" s="78">
        <v>20317</v>
      </c>
      <c r="G486" s="43">
        <v>86.4</v>
      </c>
      <c r="H486" s="38">
        <v>50912</v>
      </c>
      <c r="I486" s="38">
        <v>12</v>
      </c>
    </row>
    <row r="487" spans="1:19" x14ac:dyDescent="0.25">
      <c r="A487" s="39" t="str">
        <f>IF(F487="","",VLOOKUP(F487,Tabelle1[],3))</f>
        <v>MALISHEVE</v>
      </c>
      <c r="B487" s="40" t="str">
        <f>IF(F487="","",VLOOKUP(F487,Tabelle1[],2))</f>
        <v>ARTURI</v>
      </c>
      <c r="C487" s="40"/>
      <c r="D487" s="41">
        <v>46078</v>
      </c>
      <c r="E487" s="80"/>
      <c r="F487" s="78">
        <v>20328</v>
      </c>
      <c r="G487" s="43">
        <v>110.4</v>
      </c>
      <c r="H487" s="38">
        <v>35109</v>
      </c>
      <c r="I487" s="38">
        <v>12</v>
      </c>
      <c r="J487" s="38">
        <v>35110</v>
      </c>
      <c r="K487" s="38">
        <v>12</v>
      </c>
      <c r="L487" s="38">
        <v>31818</v>
      </c>
      <c r="M487" s="38">
        <v>12</v>
      </c>
    </row>
    <row r="488" spans="1:19" x14ac:dyDescent="0.25">
      <c r="A488" s="39" t="str">
        <f>IF(F488="","",VLOOKUP(F488,Tabelle1[],3))</f>
        <v>VUSHTRRI</v>
      </c>
      <c r="B488" s="40" t="str">
        <f>IF(F488="","",VLOOKUP(F488,Tabelle1[],2))</f>
        <v>NDRIQIMI</v>
      </c>
      <c r="C488" s="40"/>
      <c r="D488" s="41">
        <v>46079</v>
      </c>
      <c r="E488" s="80"/>
      <c r="F488" s="78">
        <v>10418</v>
      </c>
      <c r="G488" s="43">
        <v>92.4</v>
      </c>
      <c r="H488" s="38">
        <v>35109</v>
      </c>
      <c r="I488" s="38">
        <v>12</v>
      </c>
      <c r="J488" s="38">
        <v>35113</v>
      </c>
      <c r="K488" s="38">
        <v>12</v>
      </c>
    </row>
    <row r="489" spans="1:19" x14ac:dyDescent="0.25">
      <c r="A489" s="39" t="str">
        <f>IF(F489="","",VLOOKUP(F489,Tabelle1[],3))</f>
        <v>MITROVICE</v>
      </c>
      <c r="B489" s="40" t="str">
        <f>IF(F489="","",VLOOKUP(F489,Tabelle1[],2))</f>
        <v>AGRONI</v>
      </c>
      <c r="C489" s="40"/>
      <c r="D489" s="41">
        <v>46079</v>
      </c>
      <c r="E489" s="80"/>
      <c r="F489" s="78">
        <v>10406</v>
      </c>
      <c r="G489" s="43">
        <v>18</v>
      </c>
      <c r="H489" s="38">
        <v>39505</v>
      </c>
      <c r="I489" s="38">
        <v>2</v>
      </c>
      <c r="J489" s="38">
        <v>49644</v>
      </c>
      <c r="K489" s="38">
        <v>6</v>
      </c>
    </row>
    <row r="490" spans="1:19" x14ac:dyDescent="0.25">
      <c r="A490" s="39" t="str">
        <f>IF(F490="","",VLOOKUP(F490,Tabelle1[],3))</f>
        <v>MITROVICE</v>
      </c>
      <c r="B490" s="40" t="str">
        <f>IF(F490="","",VLOOKUP(F490,Tabelle1[],2))</f>
        <v>GRANITI</v>
      </c>
      <c r="C490" s="40"/>
      <c r="D490" s="41">
        <v>46079</v>
      </c>
      <c r="E490" s="80"/>
      <c r="F490" s="78">
        <v>10410</v>
      </c>
      <c r="G490" s="43">
        <v>277.2</v>
      </c>
      <c r="H490" s="38">
        <v>35125</v>
      </c>
      <c r="I490" s="38">
        <v>24</v>
      </c>
      <c r="J490" s="38">
        <v>35109</v>
      </c>
      <c r="K490" s="38">
        <v>12</v>
      </c>
      <c r="L490" s="38">
        <v>35111</v>
      </c>
      <c r="M490" s="38">
        <v>12</v>
      </c>
      <c r="N490" s="38">
        <v>35115</v>
      </c>
      <c r="O490" s="38">
        <v>12</v>
      </c>
      <c r="P490" s="38">
        <v>35119</v>
      </c>
      <c r="Q490" s="38">
        <v>12</v>
      </c>
    </row>
    <row r="491" spans="1:19" x14ac:dyDescent="0.25">
      <c r="A491" s="39" t="str">
        <f>IF(F491="","",VLOOKUP(F491,Tabelle1[],3))</f>
        <v>VUSHTRRI</v>
      </c>
      <c r="B491" s="40" t="str">
        <f>IF(F491="","",VLOOKUP(F491,Tabelle1[],2))</f>
        <v>DRCOR</v>
      </c>
      <c r="C491" s="40"/>
      <c r="D491" s="41">
        <v>46079</v>
      </c>
      <c r="E491" s="80"/>
      <c r="F491" s="78">
        <v>10401</v>
      </c>
      <c r="G491" s="43">
        <v>46.2</v>
      </c>
      <c r="H491" s="38">
        <v>35115</v>
      </c>
      <c r="I491" s="38">
        <v>12</v>
      </c>
    </row>
    <row r="492" spans="1:19" x14ac:dyDescent="0.25">
      <c r="A492" s="39" t="str">
        <f>IF(F492="","",VLOOKUP(F492,Tabelle1[],3))</f>
        <v>PRISHTINE</v>
      </c>
      <c r="B492" s="40" t="str">
        <f>IF(F492="","",VLOOKUP(F492,Tabelle1[],2))</f>
        <v>YLLI CONSTRUCION</v>
      </c>
      <c r="C492" s="40"/>
      <c r="D492" s="41">
        <v>46080</v>
      </c>
      <c r="E492" s="80"/>
      <c r="F492" s="78">
        <v>40017</v>
      </c>
      <c r="G492" s="43">
        <v>20</v>
      </c>
      <c r="H492" s="38">
        <v>35121</v>
      </c>
      <c r="I492" s="38">
        <v>5</v>
      </c>
    </row>
    <row r="493" spans="1:19" x14ac:dyDescent="0.25">
      <c r="A493" s="39" t="str">
        <f>IF(F493="","",VLOOKUP(F493,Tabelle1[],3))</f>
        <v>FERIZAJ</v>
      </c>
      <c r="B493" s="40" t="str">
        <f>IF(F493="","",VLOOKUP(F493,Tabelle1[],2))</f>
        <v>PROCOM</v>
      </c>
      <c r="C493" s="40"/>
      <c r="D493" s="41">
        <v>46080</v>
      </c>
      <c r="E493" s="80"/>
      <c r="F493" s="78">
        <v>10502</v>
      </c>
      <c r="G493" s="43">
        <v>46.2</v>
      </c>
      <c r="H493" s="38">
        <v>35110</v>
      </c>
      <c r="I493" s="38">
        <v>12</v>
      </c>
    </row>
    <row r="494" spans="1:19" x14ac:dyDescent="0.25">
      <c r="A494" s="39" t="str">
        <f>IF(F494="","",VLOOKUP(F494,Tabelle1[],3))</f>
        <v>FERIZAJ</v>
      </c>
      <c r="B494" s="40" t="str">
        <f>IF(F494="","",VLOOKUP(F494,Tabelle1[],2))</f>
        <v>CARRALEVA 1</v>
      </c>
      <c r="C494" s="40"/>
      <c r="D494" s="41">
        <v>46080</v>
      </c>
      <c r="E494" s="80"/>
      <c r="F494" s="78">
        <v>10504</v>
      </c>
      <c r="G494" s="43">
        <v>184.8</v>
      </c>
      <c r="H494" s="38">
        <v>35121</v>
      </c>
      <c r="I494" s="38">
        <v>12</v>
      </c>
      <c r="J494" s="38">
        <v>35110</v>
      </c>
      <c r="K494" s="38">
        <v>12</v>
      </c>
      <c r="L494" s="38">
        <v>35115</v>
      </c>
      <c r="M494" s="38">
        <v>24</v>
      </c>
    </row>
    <row r="495" spans="1:19" x14ac:dyDescent="0.25">
      <c r="A495" s="39" t="str">
        <f>IF(F495="","",VLOOKUP(F495,Tabelle1[],3))</f>
        <v>FERIZAJ</v>
      </c>
      <c r="B495" s="40" t="str">
        <f>IF(F495="","",VLOOKUP(F495,Tabelle1[],2))</f>
        <v>MULI</v>
      </c>
      <c r="C495" s="40"/>
      <c r="D495" s="41">
        <v>46080</v>
      </c>
      <c r="E495" s="80"/>
      <c r="F495" s="78">
        <v>10511</v>
      </c>
      <c r="G495" s="43">
        <v>92.4</v>
      </c>
      <c r="H495" s="38">
        <v>35108</v>
      </c>
      <c r="I495" s="38">
        <v>12</v>
      </c>
      <c r="J495" s="38">
        <v>35121</v>
      </c>
      <c r="K495" s="38">
        <v>12</v>
      </c>
    </row>
    <row r="496" spans="1:19" x14ac:dyDescent="0.25">
      <c r="A496" s="39" t="str">
        <f>IF(F496="","",VLOOKUP(F496,Tabelle1[],3))</f>
        <v>VITI</v>
      </c>
      <c r="B496" s="40" t="str">
        <f>IF(F496="","",VLOOKUP(F496,Tabelle1[],2))</f>
        <v>BALLKANI</v>
      </c>
      <c r="C496" s="40"/>
      <c r="D496" s="41">
        <v>46080</v>
      </c>
      <c r="E496" s="80"/>
      <c r="F496" s="78">
        <v>10350</v>
      </c>
      <c r="G496" s="43">
        <v>46.2</v>
      </c>
      <c r="H496" s="38">
        <v>35128</v>
      </c>
      <c r="I496" s="38">
        <v>24</v>
      </c>
    </row>
    <row r="497" spans="1:13" x14ac:dyDescent="0.25">
      <c r="A497" s="39" t="str">
        <f>IF(F497="","",VLOOKUP(F497,Tabelle1[],3))</f>
        <v>LIPJAN</v>
      </c>
      <c r="B497" s="40" t="str">
        <f>IF(F497="","",VLOOKUP(F497,Tabelle1[],2))</f>
        <v>ARDI LIPJAN</v>
      </c>
      <c r="C497" s="40"/>
      <c r="D497" s="41">
        <v>46080</v>
      </c>
      <c r="E497" s="80"/>
      <c r="F497" s="78">
        <v>10529</v>
      </c>
      <c r="G497" s="43">
        <v>106.4</v>
      </c>
      <c r="H497" s="38">
        <v>50912</v>
      </c>
      <c r="I497" s="38">
        <v>12</v>
      </c>
      <c r="J497" s="38">
        <v>55718</v>
      </c>
      <c r="K497" s="38">
        <v>4</v>
      </c>
      <c r="L497" s="38">
        <v>16936</v>
      </c>
      <c r="M497" s="38">
        <v>3</v>
      </c>
    </row>
    <row r="498" spans="1:13" x14ac:dyDescent="0.25">
      <c r="A498" s="39" t="str">
        <f>IF(F498="","",VLOOKUP(F498,Tabelle1[],3))</f>
        <v>FERIZAJ</v>
      </c>
      <c r="B498" s="40" t="str">
        <f>IF(F498="","",VLOOKUP(F498,Tabelle1[],2))</f>
        <v>REAL COLOR 2</v>
      </c>
      <c r="C498" s="40"/>
      <c r="D498" s="41">
        <v>46080</v>
      </c>
      <c r="E498" s="80"/>
      <c r="F498" s="78">
        <v>10507</v>
      </c>
      <c r="G498" s="43">
        <v>92.4</v>
      </c>
      <c r="H498" s="38">
        <v>35110</v>
      </c>
      <c r="I498" s="38">
        <v>12</v>
      </c>
      <c r="J498" s="38">
        <v>35128</v>
      </c>
      <c r="K498" s="38">
        <v>12</v>
      </c>
    </row>
    <row r="499" spans="1:13" x14ac:dyDescent="0.25">
      <c r="A499" s="39" t="str">
        <f>IF(F499="","",VLOOKUP(F499,Tabelle1[],3))</f>
        <v>FERIZAJ</v>
      </c>
      <c r="B499" s="40" t="str">
        <f>IF(F499="","",VLOOKUP(F499,Tabelle1[],2))</f>
        <v>PROCOM</v>
      </c>
      <c r="C499" s="40"/>
      <c r="D499" s="41">
        <v>46080</v>
      </c>
      <c r="E499" s="80"/>
      <c r="F499" s="78">
        <v>10502</v>
      </c>
      <c r="G499" s="43">
        <v>46.2</v>
      </c>
      <c r="H499" s="38">
        <v>35113</v>
      </c>
      <c r="I499" s="38">
        <v>12</v>
      </c>
    </row>
    <row r="500" spans="1:13" x14ac:dyDescent="0.25">
      <c r="A500" s="39" t="str">
        <f>IF(F500="","",VLOOKUP(F500,Tabelle1[],3))</f>
        <v>FERIZAJ</v>
      </c>
      <c r="B500" s="40" t="str">
        <f>IF(F500="","",VLOOKUP(F500,Tabelle1[],2))</f>
        <v>LONI</v>
      </c>
      <c r="C500" s="40"/>
      <c r="D500" s="41">
        <v>46080</v>
      </c>
      <c r="E500" s="80"/>
      <c r="F500" s="78">
        <v>10509</v>
      </c>
      <c r="G500" s="43">
        <v>36</v>
      </c>
      <c r="H500" s="38">
        <v>50912</v>
      </c>
      <c r="I500" s="38">
        <v>5</v>
      </c>
    </row>
    <row r="501" spans="1:13" x14ac:dyDescent="0.25">
      <c r="A501" s="39" t="str">
        <f>IF(F501="","",VLOOKUP(F501,Tabelle1[],3))</f>
        <v>KLINE</v>
      </c>
      <c r="B501" s="40" t="str">
        <f>IF(F501="","",VLOOKUP(F501,Tabelle1[],2))</f>
        <v>RACI</v>
      </c>
      <c r="C501" s="40"/>
      <c r="D501" s="41">
        <v>46080</v>
      </c>
      <c r="E501" s="80"/>
      <c r="F501" s="78">
        <v>20501</v>
      </c>
      <c r="G501" s="43">
        <v>69.599999999999994</v>
      </c>
      <c r="H501" s="38">
        <v>66701</v>
      </c>
      <c r="I501" s="38">
        <v>12</v>
      </c>
    </row>
    <row r="502" spans="1:13" x14ac:dyDescent="0.25">
      <c r="A502" s="39" t="str">
        <f>IF(F502="","",VLOOKUP(F502,Tabelle1[],3))</f>
        <v>ISTOG</v>
      </c>
      <c r="B502" s="40" t="str">
        <f>IF(F502="","",VLOOKUP(F502,Tabelle1[],2))</f>
        <v>LIRIDONA KLINE</v>
      </c>
      <c r="C502" s="40"/>
      <c r="D502" s="41">
        <v>46080</v>
      </c>
      <c r="E502" s="80"/>
      <c r="F502" s="78">
        <v>20511</v>
      </c>
      <c r="G502" s="43">
        <v>92.4</v>
      </c>
      <c r="H502" s="38">
        <v>35121</v>
      </c>
      <c r="I502" s="38">
        <v>24</v>
      </c>
    </row>
    <row r="503" spans="1:13" x14ac:dyDescent="0.25">
      <c r="A503" s="39" t="str">
        <f>IF(F503="","",VLOOKUP(F503,Tabelle1[],3))</f>
        <v>ISTOG</v>
      </c>
      <c r="B503" s="40" t="str">
        <f>IF(F503="","",VLOOKUP(F503,Tabelle1[],2))</f>
        <v>LIRIDONA HOME</v>
      </c>
      <c r="C503" s="40"/>
      <c r="D503" s="41">
        <v>46080</v>
      </c>
      <c r="E503" s="80"/>
      <c r="F503" s="78">
        <v>20508</v>
      </c>
      <c r="G503" s="43">
        <v>115.8</v>
      </c>
      <c r="H503" s="38">
        <v>35115</v>
      </c>
      <c r="I503" s="38">
        <v>12</v>
      </c>
      <c r="J503" s="38">
        <v>66701</v>
      </c>
      <c r="K503" s="38">
        <v>12</v>
      </c>
    </row>
    <row r="504" spans="1:13" x14ac:dyDescent="0.25">
      <c r="A504" s="39" t="str">
        <f>IF(F504="","",VLOOKUP(F504,Tabelle1[],3))</f>
        <v>ISTOG</v>
      </c>
      <c r="B504" s="40" t="str">
        <f>IF(F504="","",VLOOKUP(F504,Tabelle1[],2))</f>
        <v>BYTYQI-V</v>
      </c>
      <c r="C504" s="40"/>
      <c r="D504" s="41">
        <v>46080</v>
      </c>
      <c r="E504" s="80"/>
      <c r="F504" s="78">
        <v>20510</v>
      </c>
      <c r="G504" s="43">
        <v>101.4</v>
      </c>
      <c r="H504" s="38">
        <v>35128</v>
      </c>
      <c r="I504" s="38">
        <v>12</v>
      </c>
      <c r="J504" s="38">
        <v>51612</v>
      </c>
      <c r="K504" s="38">
        <v>24</v>
      </c>
    </row>
    <row r="505" spans="1:13" x14ac:dyDescent="0.25">
      <c r="A505" s="39" t="str">
        <f>IF(F505="","",VLOOKUP(F505,Tabelle1[],3))</f>
        <v>ISTOG</v>
      </c>
      <c r="B505" s="40" t="str">
        <f>IF(F505="","",VLOOKUP(F505,Tabelle1[],2))</f>
        <v>LIRIDONA-A</v>
      </c>
      <c r="C505" s="40"/>
      <c r="D505" s="41">
        <v>46080</v>
      </c>
      <c r="E505" s="80"/>
      <c r="F505" s="78">
        <v>20515</v>
      </c>
      <c r="G505" s="43">
        <v>138.6</v>
      </c>
      <c r="H505" s="38">
        <v>35108</v>
      </c>
      <c r="I505" s="38">
        <v>12</v>
      </c>
      <c r="J505" s="38">
        <v>35111</v>
      </c>
      <c r="K505" s="38">
        <v>12</v>
      </c>
      <c r="L505" s="38">
        <v>35125</v>
      </c>
      <c r="M505" s="38">
        <v>12</v>
      </c>
    </row>
    <row r="506" spans="1:13" x14ac:dyDescent="0.25">
      <c r="A506" s="39" t="str">
        <f>IF(F506="","",VLOOKUP(F506,Tabelle1[],3))</f>
        <v>SKENDERAJ</v>
      </c>
      <c r="B506" s="40" t="str">
        <f>IF(F506="","",VLOOKUP(F506,Tabelle1[],2))</f>
        <v>TE BENI</v>
      </c>
      <c r="C506" s="40"/>
      <c r="D506" s="41">
        <v>46080</v>
      </c>
      <c r="E506" s="80"/>
      <c r="F506" s="78">
        <v>20407</v>
      </c>
      <c r="G506" s="43">
        <v>138.6</v>
      </c>
      <c r="H506" s="38">
        <v>35108</v>
      </c>
      <c r="I506" s="38">
        <v>12</v>
      </c>
      <c r="J506" s="38">
        <v>35121</v>
      </c>
      <c r="K506" s="38">
        <v>12</v>
      </c>
      <c r="L506" s="38">
        <v>35115</v>
      </c>
      <c r="M506" s="38">
        <v>12</v>
      </c>
    </row>
    <row r="507" spans="1:13" x14ac:dyDescent="0.25">
      <c r="A507" s="39" t="str">
        <f>IF(F507="","",VLOOKUP(F507,Tabelle1[],3))</f>
        <v>SKENDERAJ</v>
      </c>
      <c r="B507" s="40" t="str">
        <f>IF(F507="","",VLOOKUP(F507,Tabelle1[],2))</f>
        <v>MEGI</v>
      </c>
      <c r="C507" s="40"/>
      <c r="D507" s="41">
        <v>46080</v>
      </c>
      <c r="E507" s="80"/>
      <c r="F507" s="78">
        <v>20406</v>
      </c>
      <c r="G507" s="43">
        <v>107.4</v>
      </c>
      <c r="H507" s="38">
        <v>50912</v>
      </c>
      <c r="I507" s="38">
        <v>12</v>
      </c>
      <c r="J507" s="38">
        <v>55718</v>
      </c>
      <c r="K507" s="38">
        <v>6</v>
      </c>
    </row>
    <row r="508" spans="1:13" x14ac:dyDescent="0.25">
      <c r="A508" s="39" t="str">
        <f>IF(F508="","",VLOOKUP(F508,Tabelle1[],3))</f>
        <v>SKENDERAJ</v>
      </c>
      <c r="B508" s="40" t="str">
        <f>IF(F508="","",VLOOKUP(F508,Tabelle1[],2))</f>
        <v>A.P. HOTI</v>
      </c>
      <c r="C508" s="40"/>
      <c r="D508" s="41">
        <v>46080</v>
      </c>
      <c r="E508" s="80"/>
      <c r="F508" s="78">
        <v>20408</v>
      </c>
      <c r="G508" s="43">
        <v>81.400000000000006</v>
      </c>
      <c r="H508" s="38">
        <v>50912</v>
      </c>
      <c r="I508" s="38">
        <v>7</v>
      </c>
      <c r="J508" s="38">
        <v>44001</v>
      </c>
      <c r="K508" s="38">
        <v>6</v>
      </c>
      <c r="L508" s="38">
        <v>49644</v>
      </c>
      <c r="M508" s="38">
        <v>5</v>
      </c>
    </row>
    <row r="509" spans="1:13" x14ac:dyDescent="0.25">
      <c r="A509" s="39" t="str">
        <f>IF(F509="","",VLOOKUP(F509,Tabelle1[],3))</f>
        <v>DRENAS</v>
      </c>
      <c r="B509" s="40" t="str">
        <f>IF(F509="","",VLOOKUP(F509,Tabelle1[],2))</f>
        <v>TERMIKA</v>
      </c>
      <c r="C509" s="40"/>
      <c r="D509" s="41">
        <v>46080</v>
      </c>
      <c r="E509" s="80"/>
      <c r="F509" s="78">
        <v>20403</v>
      </c>
      <c r="G509" s="43">
        <v>99.4</v>
      </c>
      <c r="H509" s="38">
        <v>35109</v>
      </c>
      <c r="I509" s="38">
        <v>12</v>
      </c>
      <c r="J509" s="38">
        <v>35113</v>
      </c>
      <c r="K509" s="38">
        <v>12</v>
      </c>
      <c r="L509" s="38">
        <v>44001</v>
      </c>
      <c r="M509" s="38">
        <v>2</v>
      </c>
    </row>
    <row r="510" spans="1:13" x14ac:dyDescent="0.25">
      <c r="A510" s="39" t="str">
        <f>IF(F510="","",VLOOKUP(F510,Tabelle1[],3))</f>
        <v>PODUJEVE</v>
      </c>
      <c r="B510" s="40" t="str">
        <f>IF(F510="","",VLOOKUP(F510,Tabelle1[],2))</f>
        <v>ALBANI</v>
      </c>
      <c r="C510" s="40"/>
      <c r="D510" s="41">
        <v>46081</v>
      </c>
      <c r="E510" s="80"/>
      <c r="F510" s="78">
        <v>10636</v>
      </c>
      <c r="G510" s="43">
        <v>46.2</v>
      </c>
      <c r="H510" s="38">
        <v>35121</v>
      </c>
      <c r="I510" s="38">
        <v>12</v>
      </c>
    </row>
    <row r="511" spans="1:13" x14ac:dyDescent="0.25">
      <c r="A511" s="39" t="str">
        <f>IF(F511="","",VLOOKUP(F511,Tabelle1[],3))</f>
        <v>PODUJEVE</v>
      </c>
      <c r="B511" s="40" t="str">
        <f>IF(F511="","",VLOOKUP(F511,Tabelle1[],2))</f>
        <v>HOXHA</v>
      </c>
      <c r="C511" s="40"/>
      <c r="D511" s="41">
        <v>46081</v>
      </c>
      <c r="E511" s="80"/>
      <c r="F511" s="78">
        <v>10622</v>
      </c>
      <c r="G511" s="43">
        <v>40</v>
      </c>
      <c r="H511" s="38">
        <v>54412</v>
      </c>
      <c r="I511" s="38">
        <v>16</v>
      </c>
      <c r="J511" s="38">
        <v>49644</v>
      </c>
      <c r="K511" s="38">
        <v>4</v>
      </c>
    </row>
    <row r="512" spans="1:13" x14ac:dyDescent="0.25">
      <c r="A512" s="39" t="str">
        <f>IF(F512="","",VLOOKUP(F512,Tabelle1[],3))</f>
        <v>PODUJEVE</v>
      </c>
      <c r="B512" s="40" t="str">
        <f>IF(F512="","",VLOOKUP(F512,Tabelle1[],2))</f>
        <v>ALBANI</v>
      </c>
      <c r="C512" s="40"/>
      <c r="D512" s="41">
        <v>46081</v>
      </c>
      <c r="E512" s="80"/>
      <c r="F512" s="78">
        <v>10635</v>
      </c>
      <c r="G512" s="43">
        <v>46.2</v>
      </c>
      <c r="H512" s="38">
        <v>35109</v>
      </c>
      <c r="I512" s="38">
        <v>12</v>
      </c>
    </row>
    <row r="513" spans="1:25" x14ac:dyDescent="0.25">
      <c r="A513" s="39" t="str">
        <f>IF(F513="","",VLOOKUP(F513,Tabelle1[],3))</f>
        <v>PODUJEVE</v>
      </c>
      <c r="B513" s="40" t="str">
        <f>IF(F513="","",VLOOKUP(F513,Tabelle1[],2))</f>
        <v>ALBANI</v>
      </c>
      <c r="C513" s="40"/>
      <c r="D513" s="41">
        <v>46081</v>
      </c>
      <c r="E513" s="80"/>
      <c r="F513" s="78">
        <v>10637</v>
      </c>
      <c r="G513" s="43">
        <v>86.4</v>
      </c>
      <c r="H513" s="38">
        <v>50912</v>
      </c>
      <c r="I513" s="38">
        <v>12</v>
      </c>
    </row>
    <row r="514" spans="1:25" x14ac:dyDescent="0.25">
      <c r="A514" s="39" t="str">
        <f>IF(F514="","",VLOOKUP(F514,Tabelle1[],3))</f>
        <v>PODUJEVE</v>
      </c>
      <c r="B514" s="40" t="str">
        <f>IF(F514="","",VLOOKUP(F514,Tabelle1[],2))</f>
        <v>KUJTA</v>
      </c>
      <c r="C514" s="40"/>
      <c r="D514" s="41">
        <v>46081</v>
      </c>
      <c r="E514" s="80"/>
      <c r="F514" s="78">
        <v>10625</v>
      </c>
      <c r="G514" s="43">
        <v>184.8</v>
      </c>
      <c r="H514" s="38">
        <v>35113</v>
      </c>
      <c r="I514" s="38">
        <v>12</v>
      </c>
      <c r="J514" s="38">
        <v>35114</v>
      </c>
      <c r="K514" s="38">
        <v>12</v>
      </c>
      <c r="L514" s="38">
        <v>35115</v>
      </c>
      <c r="M514" s="38">
        <v>12</v>
      </c>
      <c r="N514" s="38">
        <v>35125</v>
      </c>
      <c r="O514" s="38">
        <v>12</v>
      </c>
    </row>
    <row r="515" spans="1:25" x14ac:dyDescent="0.25">
      <c r="A515" s="39" t="str">
        <f>IF(F515="","",VLOOKUP(F515,Tabelle1[],3))</f>
        <v>FERIZAJ</v>
      </c>
      <c r="B515" s="40" t="str">
        <f>IF(F515="","",VLOOKUP(F515,Tabelle1[],2))</f>
        <v>PROMOIN</v>
      </c>
      <c r="C515" s="40"/>
      <c r="D515" s="41">
        <v>46081</v>
      </c>
      <c r="E515" s="80"/>
      <c r="F515" s="78">
        <v>20603</v>
      </c>
      <c r="G515" s="43">
        <v>126</v>
      </c>
      <c r="H515" s="38">
        <v>35114</v>
      </c>
      <c r="I515" s="38">
        <v>24</v>
      </c>
      <c r="J515" s="38">
        <v>51612</v>
      </c>
      <c r="K515" s="38">
        <v>12</v>
      </c>
      <c r="L515" s="38">
        <v>49644</v>
      </c>
      <c r="M515" s="38">
        <v>3</v>
      </c>
    </row>
    <row r="516" spans="1:25" x14ac:dyDescent="0.25">
      <c r="A516" s="39" t="str">
        <f>IF(F516="","",VLOOKUP(F516,Tabelle1[],3))</f>
        <v>GADIME</v>
      </c>
      <c r="B516" s="40" t="str">
        <f>IF(F516="","",VLOOKUP(F516,Tabelle1[],2))</f>
        <v>ILIRI QERAMIKA</v>
      </c>
      <c r="C516" s="40"/>
      <c r="D516" s="41">
        <v>46081</v>
      </c>
      <c r="E516" s="80"/>
      <c r="F516" s="78">
        <v>20622</v>
      </c>
      <c r="G516" s="43">
        <v>184.8</v>
      </c>
      <c r="H516" s="38">
        <v>35109</v>
      </c>
      <c r="I516" s="38">
        <v>12</v>
      </c>
      <c r="J516" s="38">
        <v>35113</v>
      </c>
      <c r="K516" s="38">
        <v>12</v>
      </c>
      <c r="L516" s="38">
        <v>35121</v>
      </c>
      <c r="M516" s="38">
        <v>24</v>
      </c>
    </row>
    <row r="517" spans="1:25" x14ac:dyDescent="0.25">
      <c r="A517" s="39" t="str">
        <f>IF(F517="","",VLOOKUP(F517,Tabelle1[],3))</f>
        <v>FERIZAJ</v>
      </c>
      <c r="B517" s="40" t="str">
        <f>IF(F517="","",VLOOKUP(F517,Tabelle1[],2))</f>
        <v>UNIKA</v>
      </c>
      <c r="C517" s="40"/>
      <c r="D517" s="41">
        <v>46081</v>
      </c>
      <c r="E517" s="80"/>
      <c r="F517" s="78">
        <v>20627</v>
      </c>
      <c r="G517" s="43">
        <v>138.6</v>
      </c>
      <c r="H517" s="38">
        <v>35111</v>
      </c>
      <c r="I517" s="38">
        <v>12</v>
      </c>
      <c r="J517" s="38">
        <v>35113</v>
      </c>
      <c r="K517" s="38">
        <v>12</v>
      </c>
      <c r="L517" s="38">
        <v>35121</v>
      </c>
      <c r="M517" s="38">
        <v>12</v>
      </c>
    </row>
    <row r="518" spans="1:25" x14ac:dyDescent="0.25">
      <c r="A518" s="39" t="str">
        <f>IF(F518="","",VLOOKUP(F518,Tabelle1[],3))</f>
        <v>FERIZAJ</v>
      </c>
      <c r="B518" s="40" t="str">
        <f>IF(F518="","",VLOOKUP(F518,Tabelle1[],2))</f>
        <v>ALFA-QERAMIKA</v>
      </c>
      <c r="C518" s="40"/>
      <c r="D518" s="41">
        <v>46081</v>
      </c>
      <c r="E518" s="80"/>
      <c r="F518" s="78">
        <v>20604</v>
      </c>
      <c r="G518" s="43">
        <v>184.8</v>
      </c>
      <c r="H518" s="38">
        <v>35110</v>
      </c>
      <c r="I518" s="38">
        <v>12</v>
      </c>
      <c r="J518" s="38">
        <v>35111</v>
      </c>
      <c r="K518" s="38">
        <v>24</v>
      </c>
      <c r="L518" s="38">
        <v>35121</v>
      </c>
      <c r="M518" s="38">
        <v>12</v>
      </c>
    </row>
    <row r="519" spans="1:25" x14ac:dyDescent="0.25">
      <c r="A519" s="39" t="str">
        <f>IF(F519="","",VLOOKUP(F519,Tabelle1[],3))</f>
        <v>GREME</v>
      </c>
      <c r="B519" s="40" t="str">
        <f>IF(F519="","",VLOOKUP(F519,Tabelle1[],2))</f>
        <v>AGRO-XHETI</v>
      </c>
      <c r="C519" s="40"/>
      <c r="D519" s="41">
        <v>46081</v>
      </c>
      <c r="E519" s="80"/>
      <c r="F519" s="78">
        <v>20610</v>
      </c>
      <c r="G519" s="43">
        <v>401.6</v>
      </c>
      <c r="H519" s="38">
        <v>35125</v>
      </c>
      <c r="I519" s="38">
        <v>12</v>
      </c>
      <c r="J519" s="38">
        <v>35128</v>
      </c>
      <c r="K519" s="38">
        <v>12</v>
      </c>
      <c r="L519" s="38">
        <v>35119</v>
      </c>
      <c r="M519" s="38">
        <v>12</v>
      </c>
      <c r="N519" s="38">
        <v>35114</v>
      </c>
      <c r="O519" s="38">
        <v>24</v>
      </c>
      <c r="P519" s="38">
        <v>35121</v>
      </c>
      <c r="Q519" s="38">
        <v>12</v>
      </c>
      <c r="R519" s="38">
        <v>35113</v>
      </c>
      <c r="S519" s="38">
        <v>12</v>
      </c>
      <c r="T519" s="38">
        <v>35109</v>
      </c>
      <c r="U519" s="38">
        <v>12</v>
      </c>
      <c r="V519" s="38">
        <v>35111</v>
      </c>
      <c r="W519" s="38">
        <v>12</v>
      </c>
      <c r="X519" s="38">
        <v>50912</v>
      </c>
      <c r="Y519" s="38">
        <v>4</v>
      </c>
    </row>
    <row r="520" spans="1:25" x14ac:dyDescent="0.25">
      <c r="A520" s="39" t="str">
        <f>IF(F520="","",VLOOKUP(F520,Tabelle1[],3))</f>
        <v>FERIZAJ</v>
      </c>
      <c r="B520" s="40" t="str">
        <f>IF(F520="","",VLOOKUP(F520,Tabelle1[],2))</f>
        <v>GLOBAL TOOLS</v>
      </c>
      <c r="C520" s="40"/>
      <c r="D520" s="41">
        <v>46081</v>
      </c>
      <c r="E520" s="80"/>
      <c r="F520" s="78">
        <v>20632</v>
      </c>
      <c r="G520" s="43">
        <v>600.6</v>
      </c>
      <c r="H520" s="38">
        <v>35125</v>
      </c>
      <c r="I520" s="38">
        <v>36</v>
      </c>
      <c r="J520" s="38">
        <v>35113</v>
      </c>
      <c r="K520" s="38">
        <v>24</v>
      </c>
      <c r="L520" s="38">
        <v>35109</v>
      </c>
      <c r="M520" s="38">
        <v>24</v>
      </c>
      <c r="N520" s="38">
        <v>35111</v>
      </c>
      <c r="O520" s="38">
        <v>24</v>
      </c>
      <c r="P520" s="38">
        <v>35128</v>
      </c>
      <c r="Q520" s="38">
        <v>24</v>
      </c>
      <c r="R520" s="38">
        <v>35115</v>
      </c>
      <c r="S520" s="38">
        <v>12</v>
      </c>
      <c r="T520" s="38">
        <v>35121</v>
      </c>
      <c r="U520" s="38">
        <v>12</v>
      </c>
    </row>
    <row r="521" spans="1:25" x14ac:dyDescent="0.25">
      <c r="A521" s="39" t="str">
        <f>IF(F521="","",VLOOKUP(F521,Tabelle1[],3))</f>
        <v>GERLIC</v>
      </c>
      <c r="B521" s="40" t="str">
        <f>IF(F521="","",VLOOKUP(F521,Tabelle1[],2))</f>
        <v>TE-SYLA</v>
      </c>
      <c r="C521" s="40"/>
      <c r="D521" s="41">
        <v>46081</v>
      </c>
      <c r="E521" s="80"/>
      <c r="F521" s="78">
        <v>20606</v>
      </c>
      <c r="G521" s="43">
        <v>100.4</v>
      </c>
      <c r="H521" s="38">
        <v>35110</v>
      </c>
      <c r="I521" s="38">
        <v>12</v>
      </c>
      <c r="J521" s="38">
        <v>35111</v>
      </c>
      <c r="K521" s="38">
        <v>12</v>
      </c>
      <c r="L521" s="38">
        <v>56117</v>
      </c>
      <c r="M521" s="38">
        <v>2</v>
      </c>
    </row>
    <row r="522" spans="1:25" x14ac:dyDescent="0.25">
      <c r="A522" s="39" t="str">
        <f>IF(F522="","",VLOOKUP(F522,Tabelle1[],3))</f>
        <v>FERIZAJ</v>
      </c>
      <c r="B522" s="40" t="str">
        <f>IF(F522="","",VLOOKUP(F522,Tabelle1[],2))</f>
        <v>BULONI - SH</v>
      </c>
      <c r="C522" s="40"/>
      <c r="D522" s="41">
        <v>46081</v>
      </c>
      <c r="E522" s="80"/>
      <c r="F522" s="78">
        <v>20624</v>
      </c>
      <c r="G522" s="43">
        <v>138.6</v>
      </c>
      <c r="H522" s="38">
        <v>35115</v>
      </c>
      <c r="I522" s="38">
        <v>24</v>
      </c>
      <c r="J522" s="38">
        <v>35119</v>
      </c>
      <c r="K522" s="38">
        <v>12</v>
      </c>
    </row>
    <row r="523" spans="1:25" x14ac:dyDescent="0.25">
      <c r="A523" s="39" t="str">
        <f>IF(F523="","",VLOOKUP(F523,Tabelle1[],3))</f>
        <v>GADIME</v>
      </c>
      <c r="B523" s="40" t="str">
        <f>IF(F523="","",VLOOKUP(F523,Tabelle1[],2))</f>
        <v>MIX-B</v>
      </c>
      <c r="C523" s="40"/>
      <c r="D523" s="41">
        <v>46081</v>
      </c>
      <c r="E523" s="80"/>
      <c r="F523" s="78">
        <v>20615</v>
      </c>
      <c r="G523" s="43">
        <v>166.2</v>
      </c>
      <c r="H523" s="38">
        <v>35110</v>
      </c>
      <c r="I523" s="38">
        <v>12</v>
      </c>
      <c r="J523" s="38">
        <v>35115</v>
      </c>
      <c r="K523" s="38">
        <v>12</v>
      </c>
      <c r="L523" s="38">
        <v>35121</v>
      </c>
      <c r="M523" s="38">
        <v>12</v>
      </c>
      <c r="N523" s="38">
        <v>51612</v>
      </c>
      <c r="O523" s="38">
        <v>12</v>
      </c>
    </row>
    <row r="524" spans="1:25" x14ac:dyDescent="0.25">
      <c r="A524" s="39" t="str">
        <f>IF(F524="","",VLOOKUP(F524,Tabelle1[],3))</f>
        <v>HOME KIM TEC</v>
      </c>
      <c r="B524" s="40" t="str">
        <f>IF(F524="","",VLOOKUP(F524,Tabelle1[],2))</f>
        <v>M ONE</v>
      </c>
      <c r="C524" s="40"/>
      <c r="D524" s="41">
        <v>46083</v>
      </c>
      <c r="E524" s="80"/>
      <c r="F524" s="78" t="s">
        <v>1323</v>
      </c>
      <c r="G524" s="43">
        <v>35</v>
      </c>
      <c r="H524" s="38">
        <v>35108</v>
      </c>
      <c r="I524" s="38">
        <v>7</v>
      </c>
    </row>
    <row r="525" spans="1:25" x14ac:dyDescent="0.25">
      <c r="A525" s="39" t="str">
        <f>IF(F525="","",VLOOKUP(F525,Tabelle1[],3))</f>
        <v>PRISHTINE</v>
      </c>
      <c r="B525" s="40" t="str">
        <f>IF(F525="","",VLOOKUP(F525,Tabelle1[],2))</f>
        <v>HIDROELDI</v>
      </c>
      <c r="C525" s="40"/>
      <c r="D525" s="41">
        <v>46083</v>
      </c>
      <c r="E525" s="80"/>
      <c r="F525" s="78">
        <v>10133</v>
      </c>
      <c r="G525" s="43">
        <v>46.2</v>
      </c>
      <c r="H525" s="38">
        <v>35109</v>
      </c>
      <c r="I525" s="38">
        <v>12</v>
      </c>
    </row>
    <row r="526" spans="1:25" x14ac:dyDescent="0.25">
      <c r="A526" s="39" t="str">
        <f>IF(F526="","",VLOOKUP(F526,Tabelle1[],3))</f>
        <v>BARDHOSH</v>
      </c>
      <c r="B526" s="40" t="str">
        <f>IF(F526="","",VLOOKUP(F526,Tabelle1[],2))</f>
        <v>QELA</v>
      </c>
      <c r="C526" s="40"/>
      <c r="D526" s="41">
        <v>46083</v>
      </c>
      <c r="E526" s="80"/>
      <c r="F526" s="78">
        <v>10114</v>
      </c>
      <c r="G526" s="43">
        <v>47.2</v>
      </c>
      <c r="H526" s="38">
        <v>50912</v>
      </c>
      <c r="I526" s="38">
        <v>6</v>
      </c>
      <c r="J526" s="38">
        <v>49644</v>
      </c>
      <c r="K526" s="38">
        <v>2</v>
      </c>
    </row>
    <row r="527" spans="1:25" x14ac:dyDescent="0.25">
      <c r="A527" s="39" t="str">
        <f>IF(F527="","",VLOOKUP(F527,Tabelle1[],3))</f>
        <v>PRISHTINE</v>
      </c>
      <c r="B527" s="40" t="str">
        <f>IF(F527="","",VLOOKUP(F527,Tabelle1[],2))</f>
        <v>KADIJOLLET</v>
      </c>
      <c r="C527" s="40"/>
      <c r="D527" s="41">
        <v>46083</v>
      </c>
      <c r="E527" s="80"/>
      <c r="F527" s="78">
        <v>10111</v>
      </c>
      <c r="G527" s="43">
        <v>138.6</v>
      </c>
      <c r="H527" s="38">
        <v>35110</v>
      </c>
      <c r="I527" s="38">
        <v>12</v>
      </c>
      <c r="J527" s="38">
        <v>35111</v>
      </c>
      <c r="K527" s="38">
        <v>12</v>
      </c>
      <c r="L527" s="38">
        <v>35121</v>
      </c>
      <c r="M527" s="38">
        <v>12</v>
      </c>
    </row>
    <row r="528" spans="1:25" x14ac:dyDescent="0.25">
      <c r="A528" s="39" t="str">
        <f>IF(F528="","",VLOOKUP(F528,Tabelle1[],3))</f>
        <v>PRISHTINE</v>
      </c>
      <c r="B528" s="40" t="str">
        <f>IF(F528="","",VLOOKUP(F528,Tabelle1[],2))</f>
        <v>BESI COM</v>
      </c>
      <c r="C528" s="40"/>
      <c r="D528" s="41">
        <v>46083</v>
      </c>
      <c r="E528" s="80"/>
      <c r="F528" s="78">
        <v>10103</v>
      </c>
      <c r="G528" s="43">
        <v>92.4</v>
      </c>
      <c r="H528" s="38">
        <v>35113</v>
      </c>
      <c r="I528" s="38">
        <v>12</v>
      </c>
      <c r="J528" s="38">
        <v>35115</v>
      </c>
      <c r="K528" s="38">
        <v>12</v>
      </c>
    </row>
    <row r="529" spans="1:25" x14ac:dyDescent="0.25">
      <c r="A529" s="39" t="str">
        <f>IF(F529="","",VLOOKUP(F529,Tabelle1[],3))</f>
        <v>PRISHTINE</v>
      </c>
      <c r="B529" s="40" t="str">
        <f>IF(F529="","",VLOOKUP(F529,Tabelle1[],2))</f>
        <v>JETARI</v>
      </c>
      <c r="C529" s="40"/>
      <c r="D529" s="41">
        <v>46083</v>
      </c>
      <c r="E529" s="80"/>
      <c r="F529" s="78">
        <v>10104</v>
      </c>
      <c r="G529" s="43">
        <v>60.2</v>
      </c>
      <c r="H529" s="38">
        <v>35109</v>
      </c>
      <c r="I529" s="38">
        <v>12</v>
      </c>
      <c r="J529" s="38">
        <v>44001</v>
      </c>
      <c r="K529" s="38">
        <v>4</v>
      </c>
    </row>
    <row r="530" spans="1:25" x14ac:dyDescent="0.25">
      <c r="A530" s="39" t="str">
        <f>IF(F530="","",VLOOKUP(F530,Tabelle1[],3))</f>
        <v>PRISHTINE</v>
      </c>
      <c r="B530" s="40" t="str">
        <f>IF(F530="","",VLOOKUP(F530,Tabelle1[],2))</f>
        <v>KADIJOLLET</v>
      </c>
      <c r="C530" s="40"/>
      <c r="D530" s="41">
        <v>46083</v>
      </c>
      <c r="E530" s="80"/>
      <c r="F530" s="78">
        <v>10111</v>
      </c>
      <c r="G530" s="43">
        <v>21.6</v>
      </c>
      <c r="H530" s="38">
        <v>50912</v>
      </c>
      <c r="I530" s="38">
        <v>3</v>
      </c>
    </row>
    <row r="531" spans="1:25" x14ac:dyDescent="0.25">
      <c r="A531" s="39" t="str">
        <f>IF(F531="","",VLOOKUP(F531,Tabelle1[],3))</f>
        <v>SHTIME</v>
      </c>
      <c r="B531" s="40" t="str">
        <f>IF(F531="","",VLOOKUP(F531,Tabelle1[],2))</f>
        <v>TAULANTI</v>
      </c>
      <c r="C531" s="40"/>
      <c r="D531" s="41">
        <v>46084</v>
      </c>
      <c r="E531" s="80"/>
      <c r="F531" s="78">
        <v>10250</v>
      </c>
      <c r="G531" s="43">
        <v>277.2</v>
      </c>
      <c r="H531" s="38">
        <v>35108</v>
      </c>
      <c r="I531" s="38">
        <v>72</v>
      </c>
    </row>
    <row r="532" spans="1:25" x14ac:dyDescent="0.25">
      <c r="A532" s="39" t="str">
        <f>IF(F532="","",VLOOKUP(F532,Tabelle1[],3))</f>
        <v>PRIZREN</v>
      </c>
      <c r="B532" s="40" t="str">
        <f>IF(F532="","",VLOOKUP(F532,Tabelle1[],2))</f>
        <v>AB SHPK</v>
      </c>
      <c r="C532" s="40"/>
      <c r="D532" s="41">
        <v>46084</v>
      </c>
      <c r="E532" s="80"/>
      <c r="F532" s="78">
        <v>10241</v>
      </c>
      <c r="G532" s="43">
        <v>55.2</v>
      </c>
      <c r="H532" s="38">
        <v>51612</v>
      </c>
      <c r="I532" s="38">
        <v>24</v>
      </c>
    </row>
    <row r="533" spans="1:25" x14ac:dyDescent="0.25">
      <c r="A533" s="39" t="str">
        <f>IF(F533="","",VLOOKUP(F533,Tabelle1[],3))</f>
        <v>ZYM</v>
      </c>
      <c r="B533" s="40" t="str">
        <f>IF(F533="","",VLOOKUP(F533,Tabelle1[],2))</f>
        <v>BEK TRADE</v>
      </c>
      <c r="C533" s="40"/>
      <c r="D533" s="41">
        <v>46084</v>
      </c>
      <c r="E533" s="80"/>
      <c r="F533" s="78">
        <v>10245</v>
      </c>
      <c r="G533" s="43">
        <v>138.6</v>
      </c>
      <c r="H533" s="38">
        <v>35109</v>
      </c>
      <c r="I533" s="38">
        <v>24</v>
      </c>
      <c r="J533" s="38">
        <v>35121</v>
      </c>
      <c r="K533" s="38">
        <v>12</v>
      </c>
    </row>
    <row r="534" spans="1:25" x14ac:dyDescent="0.25">
      <c r="A534" s="39" t="str">
        <f>IF(F534="","",VLOOKUP(F534,Tabelle1[],3))</f>
        <v>PRIZREN</v>
      </c>
      <c r="B534" s="40" t="str">
        <f>IF(F534="","",VLOOKUP(F534,Tabelle1[],2))</f>
        <v>ARPO</v>
      </c>
      <c r="C534" s="40"/>
      <c r="D534" s="41">
        <v>46084</v>
      </c>
      <c r="E534" s="80"/>
      <c r="F534" s="78">
        <v>10240</v>
      </c>
      <c r="G534" s="43">
        <v>277.2</v>
      </c>
      <c r="H534" s="38">
        <v>35109</v>
      </c>
      <c r="I534" s="38">
        <v>36</v>
      </c>
      <c r="J534" s="38">
        <v>35110</v>
      </c>
      <c r="K534" s="38">
        <v>12</v>
      </c>
      <c r="L534" s="38">
        <v>35128</v>
      </c>
      <c r="M534" s="38">
        <v>12</v>
      </c>
      <c r="N534" s="38">
        <v>35108</v>
      </c>
      <c r="O534" s="38">
        <v>12</v>
      </c>
    </row>
    <row r="535" spans="1:25" x14ac:dyDescent="0.25">
      <c r="A535" s="39" t="str">
        <f>IF(F535="","",VLOOKUP(F535,Tabelle1[],3))</f>
        <v>SHIROK</v>
      </c>
      <c r="B535" s="40" t="str">
        <f>IF(F535="","",VLOOKUP(F535,Tabelle1[],2))</f>
        <v>XHAFA</v>
      </c>
      <c r="C535" s="40"/>
      <c r="D535" s="41">
        <v>46084</v>
      </c>
      <c r="E535" s="80"/>
      <c r="F535" s="78">
        <v>10205</v>
      </c>
      <c r="G535" s="43">
        <v>92.4</v>
      </c>
      <c r="H535" s="38">
        <v>35109</v>
      </c>
      <c r="I535" s="38">
        <v>12</v>
      </c>
      <c r="J535" s="38">
        <v>35113</v>
      </c>
      <c r="K535" s="38">
        <v>12</v>
      </c>
    </row>
    <row r="536" spans="1:25" x14ac:dyDescent="0.25">
      <c r="A536" s="39" t="str">
        <f>IF(F536="","",VLOOKUP(F536,Tabelle1[],3))</f>
        <v>DUHEL</v>
      </c>
      <c r="B536" s="40" t="str">
        <f>IF(F536="","",VLOOKUP(F536,Tabelle1[],2))</f>
        <v>JETA DUHEL</v>
      </c>
      <c r="C536" s="40"/>
      <c r="D536" s="41">
        <v>46084</v>
      </c>
      <c r="E536" s="80"/>
      <c r="F536" s="78">
        <v>10230</v>
      </c>
      <c r="G536" s="43">
        <v>92.4</v>
      </c>
      <c r="H536" s="38">
        <v>35121</v>
      </c>
      <c r="I536" s="38">
        <v>12</v>
      </c>
      <c r="J536" s="38">
        <v>35109</v>
      </c>
      <c r="K536" s="38">
        <v>12</v>
      </c>
    </row>
    <row r="537" spans="1:25" x14ac:dyDescent="0.25">
      <c r="A537" s="39" t="str">
        <f>IF(F537="","",VLOOKUP(F537,Tabelle1[],3))</f>
        <v>PRIZREN</v>
      </c>
      <c r="B537" s="40" t="str">
        <f>IF(F537="","",VLOOKUP(F537,Tabelle1[],2))</f>
        <v>TEMAJ</v>
      </c>
      <c r="C537" s="40"/>
      <c r="D537" s="41">
        <v>46084</v>
      </c>
      <c r="E537" s="80"/>
      <c r="F537" s="78">
        <v>40019</v>
      </c>
      <c r="G537" s="43">
        <v>138</v>
      </c>
      <c r="H537" s="38">
        <v>35108</v>
      </c>
      <c r="I537" s="38">
        <v>12</v>
      </c>
      <c r="J537" s="38">
        <v>35109</v>
      </c>
      <c r="K537" s="38">
        <v>12</v>
      </c>
      <c r="L537" s="38">
        <v>35119</v>
      </c>
      <c r="M537" s="38">
        <v>12</v>
      </c>
    </row>
    <row r="538" spans="1:25" x14ac:dyDescent="0.25">
      <c r="A538" s="39" t="str">
        <f>IF(F538="","",VLOOKUP(F538,Tabelle1[],3))</f>
        <v>JUNIK</v>
      </c>
      <c r="B538" s="40" t="str">
        <f>IF(F538="","",VLOOKUP(F538,Tabelle1[],2))</f>
        <v>GACAFERI-RG</v>
      </c>
      <c r="C538" s="40"/>
      <c r="D538" s="41">
        <v>46084</v>
      </c>
      <c r="E538" s="80"/>
      <c r="F538" s="78">
        <v>20205</v>
      </c>
      <c r="G538" s="43">
        <v>344.8</v>
      </c>
      <c r="H538" s="38">
        <v>35109</v>
      </c>
      <c r="I538" s="38">
        <v>12</v>
      </c>
      <c r="J538" s="38">
        <v>35110</v>
      </c>
      <c r="K538" s="38">
        <v>12</v>
      </c>
      <c r="L538" s="38">
        <v>35111</v>
      </c>
      <c r="M538" s="38">
        <v>12</v>
      </c>
      <c r="N538" s="38">
        <v>35113</v>
      </c>
      <c r="O538" s="38">
        <v>12</v>
      </c>
      <c r="P538" s="38">
        <v>35115</v>
      </c>
      <c r="Q538" s="38">
        <v>12</v>
      </c>
      <c r="R538" s="38">
        <v>35125</v>
      </c>
      <c r="S538" s="38">
        <v>12</v>
      </c>
      <c r="T538" s="38">
        <v>51612</v>
      </c>
      <c r="U538" s="38">
        <v>12</v>
      </c>
      <c r="V538" s="38">
        <v>56117</v>
      </c>
      <c r="W538" s="38">
        <v>6</v>
      </c>
      <c r="X538" s="38">
        <v>50912</v>
      </c>
      <c r="Y538" s="38">
        <v>2</v>
      </c>
    </row>
    <row r="539" spans="1:25" x14ac:dyDescent="0.25">
      <c r="A539" s="39" t="str">
        <f>IF(F539="","",VLOOKUP(F539,Tabelle1[],3))</f>
        <v>GJAKOVE</v>
      </c>
      <c r="B539" s="40" t="str">
        <f>IF(F539="","",VLOOKUP(F539,Tabelle1[],2))</f>
        <v>LETAJ</v>
      </c>
      <c r="C539" s="40"/>
      <c r="D539" s="41">
        <v>46084</v>
      </c>
      <c r="E539" s="80"/>
      <c r="F539" s="78">
        <v>20209</v>
      </c>
      <c r="G539" s="43">
        <v>184.8</v>
      </c>
      <c r="H539" s="38">
        <v>35108</v>
      </c>
      <c r="I539" s="38">
        <v>24</v>
      </c>
      <c r="J539" s="38">
        <v>35109</v>
      </c>
      <c r="K539" s="38">
        <v>12</v>
      </c>
      <c r="L539" s="38">
        <v>35128</v>
      </c>
      <c r="M539" s="38">
        <v>12</v>
      </c>
    </row>
    <row r="540" spans="1:25" x14ac:dyDescent="0.25">
      <c r="A540" s="39" t="str">
        <f>IF(F540="","",VLOOKUP(F540,Tabelle1[],3))</f>
        <v>GJAKOVE</v>
      </c>
      <c r="B540" s="40" t="str">
        <f>IF(F540="","",VLOOKUP(F540,Tabelle1[],2))</f>
        <v>INOX 2</v>
      </c>
      <c r="C540" s="40"/>
      <c r="D540" s="41">
        <v>46084</v>
      </c>
      <c r="E540" s="80"/>
      <c r="F540" s="78">
        <v>20212</v>
      </c>
      <c r="G540" s="43">
        <v>139.19999999999999</v>
      </c>
      <c r="H540" s="38">
        <v>66701</v>
      </c>
      <c r="I540" s="38">
        <v>24</v>
      </c>
    </row>
    <row r="541" spans="1:25" x14ac:dyDescent="0.25">
      <c r="A541" s="39" t="str">
        <f>IF(F541="","",VLOOKUP(F541,Tabelle1[],3))</f>
        <v>GJAKOVE</v>
      </c>
      <c r="B541" s="40" t="str">
        <f>IF(F541="","",VLOOKUP(F541,Tabelle1[],2))</f>
        <v>GER COLORS</v>
      </c>
      <c r="C541" s="40"/>
      <c r="D541" s="41">
        <v>46084</v>
      </c>
      <c r="E541" s="80"/>
      <c r="F541" s="78">
        <v>20223</v>
      </c>
      <c r="G541" s="43">
        <v>138.6</v>
      </c>
      <c r="H541" s="38">
        <v>35110</v>
      </c>
      <c r="I541" s="38">
        <v>12</v>
      </c>
      <c r="J541" s="38">
        <v>35111</v>
      </c>
      <c r="K541" s="38">
        <v>12</v>
      </c>
      <c r="L541" s="38">
        <v>35121</v>
      </c>
      <c r="M541" s="38">
        <v>12</v>
      </c>
    </row>
    <row r="542" spans="1:25" x14ac:dyDescent="0.25">
      <c r="A542" s="39" t="str">
        <f>IF(F542="","",VLOOKUP(F542,Tabelle1[],3))</f>
        <v>GJAKOVE</v>
      </c>
      <c r="B542" s="40" t="str">
        <f>IF(F542="","",VLOOKUP(F542,Tabelle1[],2))</f>
        <v>HB-DECOR</v>
      </c>
      <c r="C542" s="40"/>
      <c r="D542" s="41">
        <v>46084</v>
      </c>
      <c r="E542" s="80"/>
      <c r="F542" s="78">
        <v>20228</v>
      </c>
      <c r="G542" s="43">
        <v>139.19999999999999</v>
      </c>
      <c r="H542" s="38">
        <v>66701</v>
      </c>
      <c r="I542" s="38">
        <v>24</v>
      </c>
    </row>
    <row r="543" spans="1:25" x14ac:dyDescent="0.25">
      <c r="A543" s="39" t="str">
        <f>IF(F543="","",VLOOKUP(F543,Tabelle1[],3))</f>
        <v>GJAKOVE</v>
      </c>
      <c r="B543" s="40" t="str">
        <f>IF(F543="","",VLOOKUP(F543,Tabelle1[],2))</f>
        <v>INOX 1</v>
      </c>
      <c r="C543" s="40"/>
      <c r="D543" s="41">
        <v>46084</v>
      </c>
      <c r="E543" s="80"/>
      <c r="F543" s="78">
        <v>20211</v>
      </c>
      <c r="G543" s="43">
        <v>92.4</v>
      </c>
      <c r="H543" s="38">
        <v>35108</v>
      </c>
      <c r="I543" s="38">
        <v>12</v>
      </c>
      <c r="J543" s="38">
        <v>35109</v>
      </c>
      <c r="K543" s="38">
        <v>12</v>
      </c>
    </row>
    <row r="544" spans="1:25" x14ac:dyDescent="0.25">
      <c r="A544" s="39" t="str">
        <f>IF(F544="","",VLOOKUP(F544,Tabelle1[],3))</f>
        <v>GJAKOVE</v>
      </c>
      <c r="B544" s="40" t="str">
        <f>IF(F544="","",VLOOKUP(F544,Tabelle1[],2))</f>
        <v>V. GJONAJ</v>
      </c>
      <c r="C544" s="40"/>
      <c r="D544" s="41">
        <v>46084</v>
      </c>
      <c r="E544" s="80"/>
      <c r="F544" s="78">
        <v>20208</v>
      </c>
      <c r="G544" s="43">
        <v>92.4</v>
      </c>
      <c r="H544" s="38">
        <v>35110</v>
      </c>
      <c r="I544" s="38">
        <v>12</v>
      </c>
      <c r="J544" s="38">
        <v>35111</v>
      </c>
      <c r="K544" s="38">
        <v>12</v>
      </c>
    </row>
    <row r="545" spans="1:15" x14ac:dyDescent="0.25">
      <c r="A545" s="39" t="str">
        <f>IF(F545="","",VLOOKUP(F545,Tabelle1[],3))</f>
        <v>JUNIK</v>
      </c>
      <c r="B545" s="40" t="str">
        <f>IF(F545="","",VLOOKUP(F545,Tabelle1[],2))</f>
        <v>ERENIKU</v>
      </c>
      <c r="C545" s="40"/>
      <c r="D545" s="41">
        <v>46084</v>
      </c>
      <c r="E545" s="80"/>
      <c r="F545" s="78">
        <v>20206</v>
      </c>
      <c r="G545" s="43">
        <v>120</v>
      </c>
      <c r="H545" s="38">
        <v>35109</v>
      </c>
      <c r="I545" s="38">
        <v>12</v>
      </c>
      <c r="J545" s="38">
        <v>35113</v>
      </c>
      <c r="K545" s="38">
        <v>12</v>
      </c>
      <c r="L545" s="38">
        <v>51612</v>
      </c>
      <c r="M545" s="38">
        <v>12</v>
      </c>
    </row>
    <row r="546" spans="1:15" x14ac:dyDescent="0.25">
      <c r="A546" s="39" t="str">
        <f>IF(F546="","",VLOOKUP(F546,Tabelle1[],3))</f>
        <v>PEJE</v>
      </c>
      <c r="B546" s="40" t="str">
        <f>IF(F546="","",VLOOKUP(F546,Tabelle1[],2))</f>
        <v>KENA COMERC</v>
      </c>
      <c r="C546" s="40"/>
      <c r="D546" s="41">
        <v>46084</v>
      </c>
      <c r="E546" s="80"/>
      <c r="F546" s="78">
        <v>20109</v>
      </c>
      <c r="G546" s="43">
        <v>139.19999999999999</v>
      </c>
      <c r="H546" s="38">
        <v>66701</v>
      </c>
      <c r="I546" s="38">
        <v>24</v>
      </c>
    </row>
    <row r="547" spans="1:15" x14ac:dyDescent="0.25">
      <c r="A547" s="39" t="str">
        <f>IF(F547="","",VLOOKUP(F547,Tabelle1[],3))</f>
        <v>PEJE</v>
      </c>
      <c r="B547" s="40" t="str">
        <f>IF(F547="","",VLOOKUP(F547,Tabelle1[],2))</f>
        <v>KENA COMERC</v>
      </c>
      <c r="C547" s="40"/>
      <c r="D547" s="41">
        <v>46084</v>
      </c>
      <c r="E547" s="80"/>
      <c r="F547" s="78">
        <v>20109</v>
      </c>
      <c r="G547" s="43">
        <v>92.4</v>
      </c>
      <c r="H547" s="38">
        <v>35114</v>
      </c>
      <c r="I547" s="38">
        <v>12</v>
      </c>
      <c r="J547" s="38">
        <v>35125</v>
      </c>
      <c r="K547" s="38">
        <v>12</v>
      </c>
    </row>
    <row r="548" spans="1:15" x14ac:dyDescent="0.25">
      <c r="A548" s="39" t="str">
        <f>IF(F548="","",VLOOKUP(F548,Tabelle1[],3))</f>
        <v>PEJE</v>
      </c>
      <c r="B548" s="40" t="str">
        <f>IF(F548="","",VLOOKUP(F548,Tabelle1[],2))</f>
        <v>TE GZIMI</v>
      </c>
      <c r="C548" s="40"/>
      <c r="D548" s="41">
        <v>46084</v>
      </c>
      <c r="E548" s="80"/>
      <c r="F548" s="78">
        <v>20101</v>
      </c>
      <c r="G548" s="43">
        <v>37</v>
      </c>
      <c r="H548" s="38">
        <v>49644</v>
      </c>
      <c r="I548" s="38">
        <v>7</v>
      </c>
      <c r="J548" s="38">
        <v>50912</v>
      </c>
      <c r="K548" s="38">
        <v>2</v>
      </c>
      <c r="L548" s="38">
        <v>44001</v>
      </c>
      <c r="M548" s="38">
        <v>2</v>
      </c>
    </row>
    <row r="549" spans="1:15" x14ac:dyDescent="0.25">
      <c r="A549" s="39" t="str">
        <f>IF(F549="","",VLOOKUP(F549,Tabelle1[],3))</f>
        <v>PEJE</v>
      </c>
      <c r="B549" s="40" t="str">
        <f>IF(F549="","",VLOOKUP(F549,Tabelle1[],2))</f>
        <v>LULI-C</v>
      </c>
      <c r="C549" s="40"/>
      <c r="D549" s="41">
        <v>46084</v>
      </c>
      <c r="E549" s="80"/>
      <c r="F549" s="78">
        <v>20126</v>
      </c>
      <c r="G549" s="43">
        <v>184.8</v>
      </c>
      <c r="H549" s="38">
        <v>35108</v>
      </c>
      <c r="I549" s="38">
        <v>12</v>
      </c>
      <c r="J549" s="38">
        <v>35110</v>
      </c>
      <c r="K549" s="38">
        <v>12</v>
      </c>
      <c r="L549" s="38">
        <v>35111</v>
      </c>
      <c r="M549" s="38">
        <v>12</v>
      </c>
      <c r="N549" s="38">
        <v>35125</v>
      </c>
      <c r="O549" s="38">
        <v>12</v>
      </c>
    </row>
    <row r="550" spans="1:15" x14ac:dyDescent="0.25">
      <c r="A550" s="39" t="str">
        <f>IF(F550="","",VLOOKUP(F550,Tabelle1[],3))</f>
        <v>HOME KIM TEC</v>
      </c>
      <c r="B550" s="40" t="str">
        <f>IF(F550="","",VLOOKUP(F550,Tabelle1[],2))</f>
        <v>ARBENI BIOBLIC</v>
      </c>
      <c r="C550" s="40"/>
      <c r="D550" s="41">
        <v>46084</v>
      </c>
      <c r="E550" s="80"/>
      <c r="F550" s="78">
        <v>40003</v>
      </c>
      <c r="G550" s="43">
        <v>249</v>
      </c>
      <c r="H550" s="38">
        <v>20001</v>
      </c>
      <c r="I550" s="38">
        <v>140</v>
      </c>
      <c r="J550" s="38">
        <v>30275</v>
      </c>
      <c r="K550" s="38">
        <v>60</v>
      </c>
    </row>
    <row r="551" spans="1:15" x14ac:dyDescent="0.25">
      <c r="A551" s="39" t="str">
        <f>IF(F551="","",VLOOKUP(F551,Tabelle1[],3))</f>
        <v>HOME KIM TEC</v>
      </c>
      <c r="B551" s="40" t="str">
        <f>IF(F551="","",VLOOKUP(F551,Tabelle1[],2))</f>
        <v>M ONE</v>
      </c>
      <c r="C551" s="40"/>
      <c r="D551" s="41">
        <v>46085</v>
      </c>
      <c r="E551" s="80"/>
      <c r="F551" s="78" t="s">
        <v>1323</v>
      </c>
      <c r="G551" s="43">
        <v>9</v>
      </c>
      <c r="H551" s="38">
        <v>66701</v>
      </c>
      <c r="I551" s="38">
        <v>1</v>
      </c>
    </row>
    <row r="552" spans="1:15" x14ac:dyDescent="0.25">
      <c r="A552" s="39" t="str">
        <f>IF(F552="","",VLOOKUP(F552,Tabelle1[],3))</f>
        <v>HOME KIM TEC</v>
      </c>
      <c r="B552" s="40" t="str">
        <f>IF(F552="","",VLOOKUP(F552,Tabelle1[],2))</f>
        <v>FORD BASHKIMI</v>
      </c>
      <c r="C552" s="40"/>
      <c r="D552" s="41">
        <v>46085</v>
      </c>
      <c r="E552" s="80"/>
      <c r="F552" s="78">
        <v>40002</v>
      </c>
      <c r="G552" s="43">
        <v>24</v>
      </c>
      <c r="H552" s="38">
        <v>54412</v>
      </c>
      <c r="I552" s="38">
        <v>12</v>
      </c>
    </row>
    <row r="553" spans="1:15" x14ac:dyDescent="0.25">
      <c r="A553" s="39" t="str">
        <f>IF(F553="","",VLOOKUP(F553,Tabelle1[],3))</f>
        <v>VITI</v>
      </c>
      <c r="B553" s="40" t="str">
        <f>IF(F553="","",VLOOKUP(F553,Tabelle1[],2))</f>
        <v>INTERCOM NTP</v>
      </c>
      <c r="C553" s="40"/>
      <c r="D553" s="41">
        <v>46085</v>
      </c>
      <c r="E553" s="80"/>
      <c r="F553" s="78">
        <v>10343</v>
      </c>
      <c r="G553" s="43">
        <v>138.6</v>
      </c>
      <c r="H553" s="38">
        <v>35109</v>
      </c>
      <c r="I553" s="38">
        <v>24</v>
      </c>
      <c r="J553" s="38">
        <v>35113</v>
      </c>
      <c r="K553" s="38">
        <v>12</v>
      </c>
    </row>
    <row r="554" spans="1:15" x14ac:dyDescent="0.25">
      <c r="A554" s="39" t="str">
        <f>IF(F554="","",VLOOKUP(F554,Tabelle1[],3))</f>
        <v>VITI</v>
      </c>
      <c r="B554" s="40" t="str">
        <f>IF(F554="","",VLOOKUP(F554,Tabelle1[],2))</f>
        <v>BALLKANI</v>
      </c>
      <c r="C554" s="40"/>
      <c r="D554" s="41">
        <v>46085</v>
      </c>
      <c r="E554" s="80"/>
      <c r="F554" s="78">
        <v>10350</v>
      </c>
      <c r="G554" s="43">
        <v>184.8</v>
      </c>
      <c r="H554" s="38">
        <v>35121</v>
      </c>
      <c r="I554" s="38">
        <v>24</v>
      </c>
      <c r="J554" s="38">
        <v>35113</v>
      </c>
      <c r="K554" s="38">
        <v>12</v>
      </c>
      <c r="L554" s="38">
        <v>35115</v>
      </c>
      <c r="M554" s="38">
        <v>12</v>
      </c>
    </row>
    <row r="555" spans="1:15" x14ac:dyDescent="0.25">
      <c r="A555" s="39" t="str">
        <f>IF(F555="","",VLOOKUP(F555,Tabelle1[],3))</f>
        <v>GJILAN</v>
      </c>
      <c r="B555" s="40" t="str">
        <f>IF(F555="","",VLOOKUP(F555,Tabelle1[],2))</f>
        <v>TREND CERAMIKA</v>
      </c>
      <c r="C555" s="40"/>
      <c r="D555" s="41">
        <v>46085</v>
      </c>
      <c r="E555" s="80"/>
      <c r="F555" s="78">
        <v>10353</v>
      </c>
      <c r="G555" s="43">
        <v>46.2</v>
      </c>
      <c r="H555" s="38">
        <v>35109</v>
      </c>
      <c r="I555" s="38">
        <v>12</v>
      </c>
    </row>
    <row r="556" spans="1:15" x14ac:dyDescent="0.25">
      <c r="A556" s="39" t="str">
        <f>IF(F556="","",VLOOKUP(F556,Tabelle1[],3))</f>
        <v>GJILAN</v>
      </c>
      <c r="B556" s="40" t="str">
        <f>IF(F556="","",VLOOKUP(F556,Tabelle1[],2))</f>
        <v>BEKA-3</v>
      </c>
      <c r="C556" s="40"/>
      <c r="D556" s="41">
        <v>46085</v>
      </c>
      <c r="E556" s="80"/>
      <c r="F556" s="78">
        <v>10323</v>
      </c>
      <c r="G556" s="43">
        <v>46</v>
      </c>
      <c r="H556" s="38">
        <v>50912</v>
      </c>
      <c r="I556" s="38">
        <v>5</v>
      </c>
      <c r="J556" s="38">
        <v>49644</v>
      </c>
      <c r="K556" s="38">
        <v>5</v>
      </c>
    </row>
    <row r="557" spans="1:15" x14ac:dyDescent="0.25">
      <c r="A557" s="39" t="str">
        <f>IF(F557="","",VLOOKUP(F557,Tabelle1[],3))</f>
        <v>VITI</v>
      </c>
      <c r="B557" s="40" t="str">
        <f>IF(F557="","",VLOOKUP(F557,Tabelle1[],2))</f>
        <v>DARDANIA</v>
      </c>
      <c r="C557" s="40"/>
      <c r="D557" s="41">
        <v>46085</v>
      </c>
      <c r="E557" s="80"/>
      <c r="F557" s="78">
        <v>10332</v>
      </c>
      <c r="G557" s="43">
        <v>92.4</v>
      </c>
      <c r="H557" s="38">
        <v>35125</v>
      </c>
      <c r="I557" s="38">
        <v>12</v>
      </c>
      <c r="J557" s="38">
        <v>35121</v>
      </c>
      <c r="K557" s="38">
        <v>12</v>
      </c>
    </row>
    <row r="558" spans="1:15" x14ac:dyDescent="0.25">
      <c r="A558" s="39" t="str">
        <f>IF(F558="","",VLOOKUP(F558,Tabelle1[],3))</f>
        <v>GJILAN</v>
      </c>
      <c r="B558" s="40" t="str">
        <f>IF(F558="","",VLOOKUP(F558,Tabelle1[],2))</f>
        <v>ELIONI-1</v>
      </c>
      <c r="C558" s="40"/>
      <c r="D558" s="41">
        <v>46085</v>
      </c>
      <c r="E558" s="80"/>
      <c r="F558" s="78">
        <v>10306</v>
      </c>
      <c r="G558" s="43">
        <v>138.6</v>
      </c>
      <c r="H558" s="38">
        <v>35125</v>
      </c>
      <c r="I558" s="38">
        <v>12</v>
      </c>
      <c r="J558" s="38">
        <v>35111</v>
      </c>
      <c r="K558" s="38">
        <v>12</v>
      </c>
      <c r="L558" s="38">
        <v>35113</v>
      </c>
      <c r="M558" s="38">
        <v>12</v>
      </c>
    </row>
    <row r="559" spans="1:15" x14ac:dyDescent="0.25">
      <c r="A559" s="39" t="str">
        <f>IF(F559="","",VLOOKUP(F559,Tabelle1[],3))</f>
        <v>GJILAN</v>
      </c>
      <c r="B559" s="40" t="str">
        <f>IF(F559="","",VLOOKUP(F559,Tabelle1[],2))</f>
        <v>EUROSAN</v>
      </c>
      <c r="C559" s="40"/>
      <c r="D559" s="41">
        <v>46085</v>
      </c>
      <c r="E559" s="80"/>
      <c r="F559" s="78">
        <v>10304</v>
      </c>
      <c r="G559" s="43">
        <v>92.4</v>
      </c>
      <c r="H559" s="38">
        <v>35109</v>
      </c>
      <c r="I559" s="38">
        <v>12</v>
      </c>
      <c r="J559" s="38">
        <v>35111</v>
      </c>
      <c r="K559" s="38">
        <v>12</v>
      </c>
    </row>
    <row r="560" spans="1:15" x14ac:dyDescent="0.25">
      <c r="A560" s="39" t="str">
        <f>IF(F560="","",VLOOKUP(F560,Tabelle1[],3))</f>
        <v>MALISHEVE</v>
      </c>
      <c r="B560" s="40" t="str">
        <f>IF(F560="","",VLOOKUP(F560,Tabelle1[],2))</f>
        <v>HAZROLLI</v>
      </c>
      <c r="C560" s="40"/>
      <c r="D560" s="41">
        <v>46085</v>
      </c>
      <c r="E560" s="80"/>
      <c r="F560" s="78">
        <v>20301</v>
      </c>
      <c r="G560" s="43">
        <v>56.4</v>
      </c>
      <c r="H560" s="38">
        <v>30276</v>
      </c>
      <c r="I560" s="38">
        <v>20</v>
      </c>
      <c r="J560" s="38">
        <v>29802</v>
      </c>
      <c r="K560" s="38">
        <v>12</v>
      </c>
    </row>
    <row r="561" spans="1:19" x14ac:dyDescent="0.25">
      <c r="A561" s="39" t="str">
        <f>IF(F561="","",VLOOKUP(F561,Tabelle1[],3))</f>
        <v>RAHOVEC</v>
      </c>
      <c r="B561" s="40" t="str">
        <f>IF(F561="","",VLOOKUP(F561,Tabelle1[],2))</f>
        <v>CONDOR</v>
      </c>
      <c r="C561" s="40"/>
      <c r="D561" s="41">
        <v>46085</v>
      </c>
      <c r="E561" s="80"/>
      <c r="F561" s="78">
        <v>20307</v>
      </c>
      <c r="G561" s="43">
        <v>245.6</v>
      </c>
      <c r="H561" s="38">
        <v>66701</v>
      </c>
      <c r="I561" s="38">
        <v>12</v>
      </c>
      <c r="J561" s="38">
        <v>35119</v>
      </c>
      <c r="K561" s="38">
        <v>12</v>
      </c>
      <c r="L561" s="38">
        <v>35115</v>
      </c>
      <c r="M561" s="38">
        <v>12</v>
      </c>
      <c r="N561" s="38">
        <v>51612</v>
      </c>
      <c r="O561" s="38">
        <v>12</v>
      </c>
      <c r="P561" s="38">
        <v>54412</v>
      </c>
      <c r="Q561" s="38">
        <v>12</v>
      </c>
      <c r="R561" s="38">
        <v>50912</v>
      </c>
      <c r="S561" s="38">
        <v>4</v>
      </c>
    </row>
    <row r="562" spans="1:19" x14ac:dyDescent="0.25">
      <c r="A562" s="39" t="str">
        <f>IF(F562="","",VLOOKUP(F562,Tabelle1[],3))</f>
        <v>MALISHEVE</v>
      </c>
      <c r="B562" s="40" t="str">
        <f>IF(F562="","",VLOOKUP(F562,Tabelle1[],2))</f>
        <v>BARDHI-M</v>
      </c>
      <c r="C562" s="40"/>
      <c r="D562" s="41">
        <v>46085</v>
      </c>
      <c r="E562" s="80"/>
      <c r="F562" s="78">
        <v>20331</v>
      </c>
      <c r="G562" s="43">
        <v>231</v>
      </c>
      <c r="H562" s="38">
        <v>35121</v>
      </c>
      <c r="I562" s="38">
        <v>24</v>
      </c>
      <c r="J562" s="38">
        <v>35108</v>
      </c>
      <c r="K562" s="38">
        <v>12</v>
      </c>
      <c r="L562" s="38">
        <v>35109</v>
      </c>
      <c r="M562" s="38">
        <v>12</v>
      </c>
      <c r="N562" s="38">
        <v>35115</v>
      </c>
      <c r="O562" s="38">
        <v>12</v>
      </c>
    </row>
    <row r="563" spans="1:19" x14ac:dyDescent="0.25">
      <c r="A563" s="39" t="str">
        <f>IF(F563="","",VLOOKUP(F563,Tabelle1[],3))</f>
        <v>MALISHEVE</v>
      </c>
      <c r="B563" s="40" t="str">
        <f>IF(F563="","",VLOOKUP(F563,Tabelle1[],2))</f>
        <v>BEREQETI</v>
      </c>
      <c r="C563" s="40"/>
      <c r="D563" s="41">
        <v>46085</v>
      </c>
      <c r="E563" s="80"/>
      <c r="F563" s="78">
        <v>20321</v>
      </c>
      <c r="G563" s="43">
        <v>147.6</v>
      </c>
      <c r="H563" s="38">
        <v>35121</v>
      </c>
      <c r="I563" s="38">
        <v>24</v>
      </c>
      <c r="J563" s="38">
        <v>51612</v>
      </c>
      <c r="K563" s="38">
        <v>24</v>
      </c>
    </row>
    <row r="564" spans="1:19" x14ac:dyDescent="0.25">
      <c r="A564" s="39" t="str">
        <f>IF(F564="","",VLOOKUP(F564,Tabelle1[],3))</f>
        <v>MALISHEVE</v>
      </c>
      <c r="B564" s="40" t="str">
        <f>IF(F564="","",VLOOKUP(F564,Tabelle1[],2))</f>
        <v>HYSENAJ</v>
      </c>
      <c r="C564" s="40"/>
      <c r="D564" s="41">
        <v>46085</v>
      </c>
      <c r="E564" s="80"/>
      <c r="F564" s="78">
        <v>20322</v>
      </c>
      <c r="G564" s="43">
        <v>193.8</v>
      </c>
      <c r="H564" s="38">
        <v>35109</v>
      </c>
      <c r="I564" s="38">
        <v>24</v>
      </c>
      <c r="J564" s="38">
        <v>35111</v>
      </c>
      <c r="K564" s="38">
        <v>12</v>
      </c>
      <c r="L564" s="38">
        <v>51612</v>
      </c>
      <c r="M564" s="38">
        <v>24</v>
      </c>
    </row>
    <row r="565" spans="1:19" x14ac:dyDescent="0.25">
      <c r="A565" s="39" t="str">
        <f>IF(F565="","",VLOOKUP(F565,Tabelle1[],3))</f>
        <v>VUSHTRRI</v>
      </c>
      <c r="B565" s="40" t="str">
        <f>IF(F565="","",VLOOKUP(F565,Tabelle1[],2))</f>
        <v>NDRIQIMI</v>
      </c>
      <c r="C565" s="40"/>
      <c r="D565" s="41">
        <v>46086</v>
      </c>
      <c r="E565" s="80"/>
      <c r="F565" s="78">
        <v>10418</v>
      </c>
      <c r="G565" s="43">
        <v>184.8</v>
      </c>
      <c r="H565" s="38">
        <v>35110</v>
      </c>
      <c r="I565" s="38">
        <v>24</v>
      </c>
      <c r="J565" s="38">
        <v>35128</v>
      </c>
      <c r="K565" s="38">
        <v>24</v>
      </c>
    </row>
    <row r="566" spans="1:19" x14ac:dyDescent="0.25">
      <c r="A566" s="39" t="str">
        <f>IF(F566="","",VLOOKUP(F566,Tabelle1[],3))</f>
        <v>MITROVICE</v>
      </c>
      <c r="B566" s="40" t="str">
        <f>IF(F566="","",VLOOKUP(F566,Tabelle1[],2))</f>
        <v>UNIVERZAL</v>
      </c>
      <c r="C566" s="40"/>
      <c r="D566" s="41">
        <v>46086</v>
      </c>
      <c r="E566" s="80"/>
      <c r="F566" s="78">
        <v>10413</v>
      </c>
      <c r="G566" s="43">
        <v>67.2</v>
      </c>
      <c r="H566" s="38">
        <v>35115</v>
      </c>
      <c r="I566" s="38">
        <v>12</v>
      </c>
      <c r="J566" s="38">
        <v>44001</v>
      </c>
      <c r="K566" s="38">
        <v>6</v>
      </c>
    </row>
    <row r="567" spans="1:19" x14ac:dyDescent="0.25">
      <c r="A567" s="39" t="str">
        <f>IF(F567="","",VLOOKUP(F567,Tabelle1[],3))</f>
        <v>MITROVICE</v>
      </c>
      <c r="B567" s="40" t="str">
        <f>IF(F567="","",VLOOKUP(F567,Tabelle1[],2))</f>
        <v>GRANITI</v>
      </c>
      <c r="C567" s="40"/>
      <c r="D567" s="41">
        <v>46086</v>
      </c>
      <c r="E567" s="80"/>
      <c r="F567" s="78">
        <v>10410</v>
      </c>
      <c r="G567" s="43">
        <v>184.8</v>
      </c>
      <c r="H567" s="38">
        <v>35114</v>
      </c>
      <c r="I567" s="38">
        <v>12</v>
      </c>
      <c r="J567" s="38">
        <v>35115</v>
      </c>
      <c r="K567" s="38">
        <v>12</v>
      </c>
      <c r="L567" s="38">
        <v>35121</v>
      </c>
      <c r="M567" s="38">
        <v>12</v>
      </c>
      <c r="N567" s="38">
        <v>35128</v>
      </c>
      <c r="O567" s="38">
        <v>12</v>
      </c>
    </row>
    <row r="568" spans="1:19" x14ac:dyDescent="0.25">
      <c r="A568" s="39" t="str">
        <f>IF(F568="","",VLOOKUP(F568,Tabelle1[],3))</f>
        <v>VUSHTRRI</v>
      </c>
      <c r="B568" s="40" t="str">
        <f>IF(F568="","",VLOOKUP(F568,Tabelle1[],2))</f>
        <v>ENISI - H</v>
      </c>
      <c r="C568" s="40"/>
      <c r="D568" s="41">
        <v>46086</v>
      </c>
      <c r="E568" s="80"/>
      <c r="F568" s="78">
        <v>10428</v>
      </c>
      <c r="G568" s="43">
        <v>92.4</v>
      </c>
      <c r="H568" s="38">
        <v>35111</v>
      </c>
      <c r="I568" s="38">
        <v>12</v>
      </c>
      <c r="J568" s="38">
        <v>35128</v>
      </c>
      <c r="K568" s="38">
        <v>12</v>
      </c>
    </row>
    <row r="569" spans="1:19" x14ac:dyDescent="0.25">
      <c r="A569" s="39" t="str">
        <f>IF(F569="","",VLOOKUP(F569,Tabelle1[],3))</f>
        <v>VUSHTRRI</v>
      </c>
      <c r="B569" s="40" t="str">
        <f>IF(F569="","",VLOOKUP(F569,Tabelle1[],2))</f>
        <v>SAN KOS</v>
      </c>
      <c r="C569" s="40"/>
      <c r="D569" s="41">
        <v>46086</v>
      </c>
      <c r="E569" s="80"/>
      <c r="F569" s="78">
        <v>10429</v>
      </c>
      <c r="G569" s="43">
        <v>46.2</v>
      </c>
      <c r="H569" s="38">
        <v>35109</v>
      </c>
      <c r="I569" s="38">
        <v>12</v>
      </c>
    </row>
    <row r="570" spans="1:19" x14ac:dyDescent="0.25">
      <c r="A570" s="39" t="str">
        <f>IF(F570="","",VLOOKUP(F570,Tabelle1[],3))</f>
        <v>FERIZAJ</v>
      </c>
      <c r="B570" s="40" t="str">
        <f>IF(F570="","",VLOOKUP(F570,Tabelle1[],2))</f>
        <v>ARBERI</v>
      </c>
      <c r="C570" s="40"/>
      <c r="D570" s="41">
        <v>46087</v>
      </c>
      <c r="E570" s="80"/>
      <c r="F570" s="78">
        <v>10506</v>
      </c>
      <c r="G570" s="43">
        <v>46.2</v>
      </c>
      <c r="H570" s="38">
        <v>35109</v>
      </c>
      <c r="I570" s="38">
        <v>12</v>
      </c>
    </row>
    <row r="571" spans="1:19" x14ac:dyDescent="0.25">
      <c r="A571" s="39" t="str">
        <f>IF(F571="","",VLOOKUP(F571,Tabelle1[],3))</f>
        <v>FERIZAJ</v>
      </c>
      <c r="B571" s="40" t="str">
        <f>IF(F571="","",VLOOKUP(F571,Tabelle1[],2))</f>
        <v>CARRALEVA 1</v>
      </c>
      <c r="C571" s="40"/>
      <c r="D571" s="41">
        <v>46087</v>
      </c>
      <c r="E571" s="80"/>
      <c r="F571" s="78">
        <v>10504</v>
      </c>
      <c r="G571" s="43">
        <v>92.4</v>
      </c>
      <c r="H571" s="38">
        <v>35113</v>
      </c>
      <c r="I571" s="38">
        <v>12</v>
      </c>
      <c r="J571" s="38">
        <v>35128</v>
      </c>
      <c r="K571" s="38">
        <v>12</v>
      </c>
    </row>
    <row r="572" spans="1:19" x14ac:dyDescent="0.25">
      <c r="A572" s="39" t="str">
        <f>IF(F572="","",VLOOKUP(F572,Tabelle1[],3))</f>
        <v>FERIZAJ</v>
      </c>
      <c r="B572" s="40" t="str">
        <f>IF(F572="","",VLOOKUP(F572,Tabelle1[],2))</f>
        <v>LITA</v>
      </c>
      <c r="C572" s="40"/>
      <c r="D572" s="41">
        <v>46087</v>
      </c>
      <c r="E572" s="80"/>
      <c r="F572" s="78">
        <v>10542</v>
      </c>
      <c r="G572" s="43">
        <v>46.2</v>
      </c>
      <c r="H572" s="38">
        <v>35108</v>
      </c>
      <c r="I572" s="38">
        <v>12</v>
      </c>
    </row>
    <row r="573" spans="1:19" x14ac:dyDescent="0.25">
      <c r="A573" s="39" t="str">
        <f>IF(F573="","",VLOOKUP(F573,Tabelle1[],3))</f>
        <v>VITI</v>
      </c>
      <c r="B573" s="40" t="str">
        <f>IF(F573="","",VLOOKUP(F573,Tabelle1[],2))</f>
        <v>BALLKANI</v>
      </c>
      <c r="C573" s="40"/>
      <c r="D573" s="41">
        <v>46087</v>
      </c>
      <c r="E573" s="80"/>
      <c r="F573" s="78">
        <v>10350</v>
      </c>
      <c r="G573" s="43">
        <v>184.8</v>
      </c>
      <c r="H573" s="38">
        <v>35113</v>
      </c>
      <c r="I573" s="38">
        <v>24</v>
      </c>
      <c r="J573" s="38">
        <v>35121</v>
      </c>
      <c r="K573" s="38">
        <v>24</v>
      </c>
    </row>
    <row r="574" spans="1:19" x14ac:dyDescent="0.25">
      <c r="A574" s="39" t="str">
        <f>IF(F574="","",VLOOKUP(F574,Tabelle1[],3))</f>
        <v>FERIZAJ</v>
      </c>
      <c r="B574" s="40" t="str">
        <f>IF(F574="","",VLOOKUP(F574,Tabelle1[],2))</f>
        <v>LONI</v>
      </c>
      <c r="C574" s="40"/>
      <c r="D574" s="41">
        <v>46087</v>
      </c>
      <c r="E574" s="80"/>
      <c r="F574" s="78">
        <v>10509</v>
      </c>
      <c r="G574" s="43">
        <v>50</v>
      </c>
      <c r="H574" s="38">
        <v>50912</v>
      </c>
      <c r="I574" s="38">
        <v>5</v>
      </c>
      <c r="J574" s="38">
        <v>55718</v>
      </c>
      <c r="K574" s="38">
        <v>2</v>
      </c>
      <c r="L574" s="38">
        <v>44001</v>
      </c>
      <c r="M574" s="38">
        <v>2</v>
      </c>
    </row>
    <row r="575" spans="1:19" x14ac:dyDescent="0.25">
      <c r="A575" s="39" t="str">
        <f>IF(F575="","",VLOOKUP(F575,Tabelle1[],3))</f>
        <v>FERIZAJ</v>
      </c>
      <c r="B575" s="40" t="str">
        <f>IF(F575="","",VLOOKUP(F575,Tabelle1[],2))</f>
        <v>REAL COLOR 2</v>
      </c>
      <c r="C575" s="40"/>
      <c r="D575" s="41">
        <v>46087</v>
      </c>
      <c r="E575" s="80"/>
      <c r="F575" s="78">
        <v>10507</v>
      </c>
      <c r="G575" s="43">
        <v>138.6</v>
      </c>
      <c r="H575" s="38">
        <v>35113</v>
      </c>
      <c r="I575" s="38">
        <v>12</v>
      </c>
      <c r="J575" s="38">
        <v>35115</v>
      </c>
      <c r="K575" s="38">
        <v>12</v>
      </c>
      <c r="L575" s="38">
        <v>35121</v>
      </c>
      <c r="M575" s="38">
        <v>12</v>
      </c>
    </row>
    <row r="576" spans="1:19" x14ac:dyDescent="0.25">
      <c r="A576" s="39" t="str">
        <f>IF(F576="","",VLOOKUP(F576,Tabelle1[],3))</f>
        <v>KLINE</v>
      </c>
      <c r="B576" s="40" t="str">
        <f>IF(F576="","",VLOOKUP(F576,Tabelle1[],2))</f>
        <v>RACI</v>
      </c>
      <c r="C576" s="40"/>
      <c r="D576" s="41">
        <v>46087</v>
      </c>
      <c r="E576" s="80"/>
      <c r="F576" s="78">
        <v>20501</v>
      </c>
      <c r="G576" s="43">
        <v>92.4</v>
      </c>
      <c r="H576" s="38">
        <v>35110</v>
      </c>
      <c r="I576" s="38">
        <v>12</v>
      </c>
      <c r="J576" s="38">
        <v>35113</v>
      </c>
      <c r="K576" s="38">
        <v>12</v>
      </c>
    </row>
    <row r="577" spans="1:15" x14ac:dyDescent="0.25">
      <c r="A577" s="39" t="str">
        <f>IF(F577="","",VLOOKUP(F577,Tabelle1[],3))</f>
        <v>ISTOG</v>
      </c>
      <c r="B577" s="40" t="str">
        <f>IF(F577="","",VLOOKUP(F577,Tabelle1[],2))</f>
        <v>LIRIDONA KLINE</v>
      </c>
      <c r="C577" s="40"/>
      <c r="D577" s="41">
        <v>46087</v>
      </c>
      <c r="E577" s="80"/>
      <c r="F577" s="78">
        <v>20511</v>
      </c>
      <c r="G577" s="43">
        <v>120</v>
      </c>
      <c r="H577" s="38">
        <v>35111</v>
      </c>
      <c r="I577" s="38">
        <v>12</v>
      </c>
      <c r="J577" s="38">
        <v>35119</v>
      </c>
      <c r="K577" s="38">
        <v>12</v>
      </c>
      <c r="L577" s="38">
        <v>51612</v>
      </c>
      <c r="M577" s="38">
        <v>12</v>
      </c>
    </row>
    <row r="578" spans="1:15" x14ac:dyDescent="0.25">
      <c r="A578" s="39" t="str">
        <f>IF(F578="","",VLOOKUP(F578,Tabelle1[],3))</f>
        <v>ISTOG</v>
      </c>
      <c r="B578" s="40" t="str">
        <f>IF(F578="","",VLOOKUP(F578,Tabelle1[],2))</f>
        <v>LIRIDONA HOME</v>
      </c>
      <c r="C578" s="40"/>
      <c r="D578" s="41">
        <v>46087</v>
      </c>
      <c r="E578" s="80"/>
      <c r="F578" s="78">
        <v>20508</v>
      </c>
      <c r="G578" s="43">
        <v>138.6</v>
      </c>
      <c r="H578" s="38">
        <v>35110</v>
      </c>
      <c r="I578" s="38">
        <v>12</v>
      </c>
      <c r="J578" s="38">
        <v>35113</v>
      </c>
      <c r="K578" s="38">
        <v>12</v>
      </c>
      <c r="L578" s="38">
        <v>35115</v>
      </c>
      <c r="M578" s="38">
        <v>12</v>
      </c>
    </row>
    <row r="579" spans="1:15" x14ac:dyDescent="0.25">
      <c r="A579" s="39" t="str">
        <f>IF(F579="","",VLOOKUP(F579,Tabelle1[],3))</f>
        <v>ISTOG</v>
      </c>
      <c r="B579" s="40" t="str">
        <f>IF(F579="","",VLOOKUP(F579,Tabelle1[],2))</f>
        <v>BERATI A.P. (1)</v>
      </c>
      <c r="C579" s="40"/>
      <c r="D579" s="41">
        <v>46087</v>
      </c>
      <c r="E579" s="80"/>
      <c r="F579" s="78">
        <v>20513</v>
      </c>
      <c r="G579" s="43">
        <v>102.5</v>
      </c>
      <c r="H579" s="38">
        <v>44001</v>
      </c>
      <c r="I579" s="38">
        <v>8</v>
      </c>
      <c r="J579" s="38">
        <v>50912</v>
      </c>
      <c r="K579" s="38">
        <v>9</v>
      </c>
      <c r="L579" s="38">
        <v>49644</v>
      </c>
      <c r="M579" s="38">
        <v>5</v>
      </c>
    </row>
    <row r="580" spans="1:15" x14ac:dyDescent="0.25">
      <c r="A580" s="39" t="str">
        <f>IF(F580="","",VLOOKUP(F580,Tabelle1[],3))</f>
        <v>ISTOG</v>
      </c>
      <c r="B580" s="40" t="str">
        <f>IF(F580="","",VLOOKUP(F580,Tabelle1[],2))</f>
        <v>LIRIDONA-A</v>
      </c>
      <c r="C580" s="40"/>
      <c r="D580" s="41">
        <v>46087</v>
      </c>
      <c r="E580" s="80"/>
      <c r="F580" s="78">
        <v>20515</v>
      </c>
      <c r="G580" s="43">
        <v>120</v>
      </c>
      <c r="H580" s="38">
        <v>35111</v>
      </c>
      <c r="I580" s="38">
        <v>12</v>
      </c>
      <c r="J580" s="38">
        <v>35115</v>
      </c>
      <c r="K580" s="38">
        <v>12</v>
      </c>
      <c r="L580" s="38">
        <v>51612</v>
      </c>
      <c r="M580" s="38">
        <v>12</v>
      </c>
    </row>
    <row r="581" spans="1:15" x14ac:dyDescent="0.25">
      <c r="A581" s="39" t="str">
        <f>IF(F581="","",VLOOKUP(F581,Tabelle1[],3))</f>
        <v>SKENDERAJ</v>
      </c>
      <c r="B581" s="40" t="str">
        <f>IF(F581="","",VLOOKUP(F581,Tabelle1[],2))</f>
        <v>TE BENI</v>
      </c>
      <c r="C581" s="40"/>
      <c r="D581" s="41">
        <v>46087</v>
      </c>
      <c r="E581" s="80"/>
      <c r="F581" s="78">
        <v>20407</v>
      </c>
      <c r="G581" s="43">
        <v>184.8</v>
      </c>
      <c r="H581" s="38">
        <v>35109</v>
      </c>
      <c r="I581" s="38">
        <v>12</v>
      </c>
      <c r="J581" s="38">
        <v>35110</v>
      </c>
      <c r="K581" s="38">
        <v>12</v>
      </c>
      <c r="L581" s="38">
        <v>35111</v>
      </c>
      <c r="M581" s="38">
        <v>12</v>
      </c>
      <c r="N581" s="38">
        <v>35115</v>
      </c>
      <c r="O581" s="38">
        <v>12</v>
      </c>
    </row>
    <row r="582" spans="1:15" x14ac:dyDescent="0.25">
      <c r="A582" s="39" t="str">
        <f>IF(F582="","",VLOOKUP(F582,Tabelle1[],3))</f>
        <v>HOME KIM TEC</v>
      </c>
      <c r="B582" s="40" t="str">
        <f>IF(F582="","",VLOOKUP(F582,Tabelle1[],2))</f>
        <v>ARBENI BIOBLIC</v>
      </c>
      <c r="C582" s="40"/>
      <c r="D582" s="41">
        <v>46087</v>
      </c>
      <c r="E582" s="80"/>
      <c r="F582" s="78">
        <v>40003</v>
      </c>
      <c r="G582" s="43">
        <v>185</v>
      </c>
      <c r="H582" s="38">
        <v>20001</v>
      </c>
      <c r="I582" s="38">
        <v>100</v>
      </c>
      <c r="J582" s="38">
        <v>30275</v>
      </c>
      <c r="K582" s="38">
        <v>50</v>
      </c>
    </row>
    <row r="583" spans="1:15" x14ac:dyDescent="0.25">
      <c r="A583" s="39" t="str">
        <f>IF(F583="","",VLOOKUP(F583,Tabelle1[],3))</f>
        <v>PODUJEVE</v>
      </c>
      <c r="B583" s="40" t="str">
        <f>IF(F583="","",VLOOKUP(F583,Tabelle1[],2))</f>
        <v>ALBANI</v>
      </c>
      <c r="C583" s="40"/>
      <c r="D583" s="41">
        <v>46088</v>
      </c>
      <c r="E583" s="80"/>
      <c r="F583" s="78">
        <v>10635</v>
      </c>
      <c r="G583" s="43">
        <v>92.4</v>
      </c>
      <c r="H583" s="38">
        <v>35113</v>
      </c>
      <c r="I583" s="38">
        <v>12</v>
      </c>
      <c r="J583" s="38">
        <v>35121</v>
      </c>
      <c r="K583" s="38">
        <v>12</v>
      </c>
    </row>
    <row r="584" spans="1:15" x14ac:dyDescent="0.25">
      <c r="A584" s="39" t="str">
        <f>IF(F584="","",VLOOKUP(F584,Tabelle1[],3))</f>
        <v>PODUJEVE</v>
      </c>
      <c r="B584" s="40" t="str">
        <f>IF(F584="","",VLOOKUP(F584,Tabelle1[],2))</f>
        <v>TE KELA</v>
      </c>
      <c r="C584" s="40"/>
      <c r="D584" s="41">
        <v>46088</v>
      </c>
      <c r="E584" s="80"/>
      <c r="F584" s="78">
        <v>10613</v>
      </c>
      <c r="G584" s="43">
        <v>54.7</v>
      </c>
      <c r="H584" s="38">
        <v>50912</v>
      </c>
      <c r="I584" s="38">
        <v>6</v>
      </c>
      <c r="J584" s="38">
        <v>49644</v>
      </c>
      <c r="K584" s="38">
        <v>4</v>
      </c>
      <c r="L584" s="38">
        <v>44001</v>
      </c>
      <c r="M584" s="38">
        <v>1</v>
      </c>
    </row>
    <row r="585" spans="1:15" x14ac:dyDescent="0.25">
      <c r="A585" s="39" t="str">
        <f>IF(F585="","",VLOOKUP(F585,Tabelle1[],3))</f>
        <v>PODUJEVE</v>
      </c>
      <c r="B585" s="40" t="str">
        <f>IF(F585="","",VLOOKUP(F585,Tabelle1[],2))</f>
        <v>KUJTA</v>
      </c>
      <c r="C585" s="40"/>
      <c r="D585" s="41">
        <v>46088</v>
      </c>
      <c r="E585" s="80"/>
      <c r="F585" s="78">
        <v>10625</v>
      </c>
      <c r="G585" s="43">
        <v>138.6</v>
      </c>
      <c r="H585" s="38">
        <v>35121</v>
      </c>
      <c r="I585" s="38">
        <v>12</v>
      </c>
      <c r="J585" s="38">
        <v>35128</v>
      </c>
      <c r="K585" s="38">
        <v>12</v>
      </c>
      <c r="L585" s="38">
        <v>35113</v>
      </c>
      <c r="M585" s="38">
        <v>12</v>
      </c>
    </row>
    <row r="586" spans="1:15" x14ac:dyDescent="0.25">
      <c r="A586" s="39" t="str">
        <f>IF(F586="","",VLOOKUP(F586,Tabelle1[],3))</f>
        <v>PODUJEVE</v>
      </c>
      <c r="B586" s="40" t="str">
        <f>IF(F586="","",VLOOKUP(F586,Tabelle1[],2))</f>
        <v>KUSHA</v>
      </c>
      <c r="C586" s="40"/>
      <c r="D586" s="41">
        <v>46088</v>
      </c>
      <c r="E586" s="80"/>
      <c r="F586" s="78">
        <v>10604</v>
      </c>
      <c r="G586" s="43">
        <v>10</v>
      </c>
      <c r="H586" s="38">
        <v>54412</v>
      </c>
      <c r="I586" s="38">
        <v>5</v>
      </c>
    </row>
    <row r="587" spans="1:15" x14ac:dyDescent="0.25">
      <c r="A587" s="39" t="str">
        <f>IF(F587="","",VLOOKUP(F587,Tabelle1[],3))</f>
        <v>PODUJEVE</v>
      </c>
      <c r="B587" s="40" t="str">
        <f>IF(F587="","",VLOOKUP(F587,Tabelle1[],2))</f>
        <v>DRITONI</v>
      </c>
      <c r="C587" s="40"/>
      <c r="D587" s="41">
        <v>46088</v>
      </c>
      <c r="E587" s="80"/>
      <c r="F587" s="78">
        <v>10626</v>
      </c>
      <c r="G587" s="43">
        <v>46</v>
      </c>
      <c r="H587" s="38">
        <v>50912</v>
      </c>
      <c r="I587" s="38">
        <v>5</v>
      </c>
      <c r="J587" s="38">
        <v>49644</v>
      </c>
      <c r="K587" s="38">
        <v>5</v>
      </c>
    </row>
    <row r="588" spans="1:15" x14ac:dyDescent="0.25">
      <c r="A588" s="39" t="str">
        <f>IF(F588="","",VLOOKUP(F588,Tabelle1[],3))</f>
        <v>FERIZAJ</v>
      </c>
      <c r="B588" s="40" t="str">
        <f>IF(F588="","",VLOOKUP(F588,Tabelle1[],2))</f>
        <v>BUJARI Q - BESII</v>
      </c>
      <c r="C588" s="40"/>
      <c r="D588" s="41">
        <v>46088</v>
      </c>
      <c r="E588" s="80"/>
      <c r="F588" s="78">
        <v>20609</v>
      </c>
      <c r="G588" s="43">
        <v>92.4</v>
      </c>
      <c r="H588" s="38">
        <v>35121</v>
      </c>
      <c r="I588" s="38">
        <v>24</v>
      </c>
    </row>
    <row r="589" spans="1:15" x14ac:dyDescent="0.25">
      <c r="A589" s="39" t="str">
        <f>IF(F589="","",VLOOKUP(F589,Tabelle1[],3))</f>
        <v>FERIZAJ</v>
      </c>
      <c r="B589" s="40" t="str">
        <f>IF(F589="","",VLOOKUP(F589,Tabelle1[],2))</f>
        <v>AGROLONDI</v>
      </c>
      <c r="C589" s="40"/>
      <c r="D589" s="41">
        <v>46088</v>
      </c>
      <c r="E589" s="80"/>
      <c r="F589" s="78">
        <v>20602</v>
      </c>
      <c r="G589" s="43">
        <v>138.6</v>
      </c>
      <c r="H589" s="38">
        <v>35109</v>
      </c>
      <c r="I589" s="38">
        <v>12</v>
      </c>
      <c r="J589" s="38">
        <v>35110</v>
      </c>
      <c r="K589" s="38">
        <v>12</v>
      </c>
      <c r="L589" s="38">
        <v>35115</v>
      </c>
      <c r="M589" s="38">
        <v>12</v>
      </c>
    </row>
    <row r="590" spans="1:15" x14ac:dyDescent="0.25">
      <c r="A590" s="39" t="str">
        <f>IF(F590="","",VLOOKUP(F590,Tabelle1[],3))</f>
        <v>FERIZAJ</v>
      </c>
      <c r="B590" s="40" t="str">
        <f>IF(F590="","",VLOOKUP(F590,Tabelle1[],2))</f>
        <v>SALIHU CORPORATION</v>
      </c>
      <c r="C590" s="40"/>
      <c r="D590" s="41">
        <v>46088</v>
      </c>
      <c r="E590" s="80"/>
      <c r="F590" s="78">
        <v>20635</v>
      </c>
      <c r="G590" s="43">
        <v>138.6</v>
      </c>
      <c r="H590" s="38">
        <v>35109</v>
      </c>
      <c r="I590" s="38">
        <v>12</v>
      </c>
      <c r="J590" s="38">
        <v>35110</v>
      </c>
      <c r="K590" s="38">
        <v>12</v>
      </c>
      <c r="L590" s="38">
        <v>35111</v>
      </c>
      <c r="M590" s="38">
        <v>12</v>
      </c>
    </row>
    <row r="591" spans="1:15" x14ac:dyDescent="0.25">
      <c r="A591" s="39" t="str">
        <f>IF(F591="","",VLOOKUP(F591,Tabelle1[],3))</f>
        <v>GADIME</v>
      </c>
      <c r="B591" s="40" t="str">
        <f>IF(F591="","",VLOOKUP(F591,Tabelle1[],2))</f>
        <v>ILIRI QERAMIKA</v>
      </c>
      <c r="C591" s="40"/>
      <c r="D591" s="41">
        <v>46088</v>
      </c>
      <c r="E591" s="80"/>
      <c r="F591" s="78">
        <v>20622</v>
      </c>
      <c r="G591" s="43">
        <v>92.4</v>
      </c>
      <c r="H591" s="38">
        <v>35109</v>
      </c>
      <c r="I591" s="38">
        <v>12</v>
      </c>
      <c r="J591" s="38">
        <v>35110</v>
      </c>
      <c r="K591" s="38">
        <v>12</v>
      </c>
    </row>
    <row r="592" spans="1:15" x14ac:dyDescent="0.25">
      <c r="A592" s="39" t="str">
        <f>IF(F592="","",VLOOKUP(F592,Tabelle1[],3))</f>
        <v>FERIZAJ</v>
      </c>
      <c r="B592" s="40" t="str">
        <f>IF(F592="","",VLOOKUP(F592,Tabelle1[],2))</f>
        <v>ALFA-QERAMIKA</v>
      </c>
      <c r="C592" s="40"/>
      <c r="D592" s="41">
        <v>46088</v>
      </c>
      <c r="E592" s="80"/>
      <c r="F592" s="78">
        <v>20604</v>
      </c>
      <c r="G592" s="43">
        <v>184.8</v>
      </c>
      <c r="H592" s="38">
        <v>35113</v>
      </c>
      <c r="I592" s="38">
        <v>24</v>
      </c>
      <c r="J592" s="38">
        <v>35119</v>
      </c>
      <c r="K592" s="38">
        <v>12</v>
      </c>
      <c r="L592" s="38">
        <v>35121</v>
      </c>
      <c r="M592" s="38">
        <v>12</v>
      </c>
    </row>
    <row r="593" spans="1:19" x14ac:dyDescent="0.25">
      <c r="A593" s="39" t="str">
        <f>IF(F593="","",VLOOKUP(F593,Tabelle1[],3))</f>
        <v>FERIZAJ</v>
      </c>
      <c r="B593" s="40" t="str">
        <f>IF(F593="","",VLOOKUP(F593,Tabelle1[],2))</f>
        <v>UNIKA</v>
      </c>
      <c r="C593" s="40"/>
      <c r="D593" s="41">
        <v>46088</v>
      </c>
      <c r="E593" s="80"/>
      <c r="F593" s="78">
        <v>20627</v>
      </c>
      <c r="G593" s="43">
        <v>92.4</v>
      </c>
      <c r="H593" s="38">
        <v>35109</v>
      </c>
      <c r="I593" s="38">
        <v>12</v>
      </c>
      <c r="J593" s="38">
        <v>35110</v>
      </c>
      <c r="K593" s="38">
        <v>12</v>
      </c>
    </row>
    <row r="594" spans="1:19" x14ac:dyDescent="0.25">
      <c r="A594" s="39" t="str">
        <f>IF(F594="","",VLOOKUP(F594,Tabelle1[],3))</f>
        <v>GERLIC</v>
      </c>
      <c r="B594" s="40" t="str">
        <f>IF(F594="","",VLOOKUP(F594,Tabelle1[],2))</f>
        <v>TE-SYLA</v>
      </c>
      <c r="C594" s="40"/>
      <c r="D594" s="41">
        <v>46088</v>
      </c>
      <c r="E594" s="80"/>
      <c r="F594" s="78">
        <v>20606</v>
      </c>
      <c r="G594" s="43">
        <v>92.4</v>
      </c>
      <c r="H594" s="38">
        <v>35113</v>
      </c>
      <c r="I594" s="38">
        <v>12</v>
      </c>
      <c r="J594" s="38">
        <v>35128</v>
      </c>
      <c r="K594" s="38">
        <v>12</v>
      </c>
    </row>
    <row r="595" spans="1:19" x14ac:dyDescent="0.25">
      <c r="A595" s="39" t="str">
        <f>IF(F595="","",VLOOKUP(F595,Tabelle1[],3))</f>
        <v>DOGANAJ</v>
      </c>
      <c r="B595" s="40" t="str">
        <f>IF(F595="","",VLOOKUP(F595,Tabelle1[],2))</f>
        <v xml:space="preserve">F.V. SH.P.K. </v>
      </c>
      <c r="C595" s="40"/>
      <c r="D595" s="41">
        <v>46088</v>
      </c>
      <c r="E595" s="80"/>
      <c r="F595" s="78">
        <v>20607</v>
      </c>
      <c r="G595" s="43">
        <v>173.6</v>
      </c>
      <c r="H595" s="38">
        <v>35113</v>
      </c>
      <c r="I595" s="38">
        <v>12</v>
      </c>
      <c r="J595" s="38">
        <v>35115</v>
      </c>
      <c r="K595" s="38">
        <v>12</v>
      </c>
      <c r="L595" s="38">
        <v>35128</v>
      </c>
      <c r="M595" s="38">
        <v>12</v>
      </c>
      <c r="N595" s="38">
        <v>44001</v>
      </c>
      <c r="O595" s="38">
        <v>6</v>
      </c>
      <c r="P595" s="38">
        <v>55718</v>
      </c>
      <c r="Q595" s="38">
        <v>4</v>
      </c>
    </row>
    <row r="596" spans="1:19" x14ac:dyDescent="0.25">
      <c r="A596" s="39" t="str">
        <f>IF(F596="","",VLOOKUP(F596,Tabelle1[],3))</f>
        <v>FERIZAJ</v>
      </c>
      <c r="B596" s="40" t="str">
        <f>IF(F596="","",VLOOKUP(F596,Tabelle1[],2))</f>
        <v>ORCA</v>
      </c>
      <c r="C596" s="40"/>
      <c r="D596" s="41">
        <v>46088</v>
      </c>
      <c r="E596" s="80"/>
      <c r="F596" s="78">
        <v>20633</v>
      </c>
      <c r="G596" s="43">
        <v>184.8</v>
      </c>
      <c r="H596" s="38">
        <v>35109</v>
      </c>
      <c r="I596" s="38">
        <v>12</v>
      </c>
      <c r="J596" s="38">
        <v>35110</v>
      </c>
      <c r="K596" s="38">
        <v>12</v>
      </c>
      <c r="L596" s="38">
        <v>35111</v>
      </c>
      <c r="M596" s="38">
        <v>12</v>
      </c>
      <c r="N596" s="38">
        <v>35113</v>
      </c>
      <c r="O596" s="38">
        <v>12</v>
      </c>
    </row>
    <row r="597" spans="1:19" x14ac:dyDescent="0.25">
      <c r="A597" s="39" t="str">
        <f>IF(F597="","",VLOOKUP(F597,Tabelle1[],3))</f>
        <v>PRISHTINE</v>
      </c>
      <c r="B597" s="40" t="str">
        <f>IF(F597="","",VLOOKUP(F597,Tabelle1[],2))</f>
        <v>HIDROELDI</v>
      </c>
      <c r="C597" s="40"/>
      <c r="D597" s="41">
        <v>46090</v>
      </c>
      <c r="E597" s="80"/>
      <c r="F597" s="78">
        <v>10133</v>
      </c>
      <c r="G597" s="43">
        <v>46.2</v>
      </c>
      <c r="H597" s="38">
        <v>35109</v>
      </c>
      <c r="I597" s="38">
        <v>12</v>
      </c>
    </row>
    <row r="598" spans="1:19" x14ac:dyDescent="0.25">
      <c r="A598" s="39" t="str">
        <f>IF(F598="","",VLOOKUP(F598,Tabelle1[],3))</f>
        <v>PRISHTINE</v>
      </c>
      <c r="B598" s="40" t="str">
        <f>IF(F598="","",VLOOKUP(F598,Tabelle1[],2))</f>
        <v>KADIJOLLET</v>
      </c>
      <c r="C598" s="40"/>
      <c r="D598" s="41">
        <v>46090</v>
      </c>
      <c r="E598" s="80"/>
      <c r="F598" s="78">
        <v>10111</v>
      </c>
      <c r="G598" s="43">
        <v>150.6</v>
      </c>
      <c r="H598" s="38">
        <v>35115</v>
      </c>
      <c r="I598" s="38">
        <v>12</v>
      </c>
      <c r="J598" s="38">
        <v>35113</v>
      </c>
      <c r="K598" s="38">
        <v>12</v>
      </c>
      <c r="L598" s="38">
        <v>35119</v>
      </c>
      <c r="M598" s="38">
        <v>12</v>
      </c>
      <c r="N598" s="38">
        <v>49644</v>
      </c>
      <c r="O598" s="38">
        <v>6</v>
      </c>
    </row>
    <row r="599" spans="1:19" x14ac:dyDescent="0.25">
      <c r="A599" s="39" t="str">
        <f>IF(F599="","",VLOOKUP(F599,Tabelle1[],3))</f>
        <v>F. KOSOVA</v>
      </c>
      <c r="B599" s="40" t="str">
        <f>IF(F599="","",VLOOKUP(F599,Tabelle1[],2))</f>
        <v>BOSCH</v>
      </c>
      <c r="C599" s="40"/>
      <c r="D599" s="41">
        <v>46090</v>
      </c>
      <c r="E599" s="80"/>
      <c r="F599" s="78">
        <v>10126</v>
      </c>
      <c r="G599" s="43">
        <v>21.5</v>
      </c>
      <c r="H599" s="38">
        <v>16936</v>
      </c>
      <c r="I599" s="38">
        <v>2</v>
      </c>
      <c r="J599" s="38">
        <v>55718</v>
      </c>
      <c r="K599" s="38">
        <v>5</v>
      </c>
    </row>
    <row r="600" spans="1:19" x14ac:dyDescent="0.25">
      <c r="A600" s="39" t="str">
        <f>IF(F600="","",VLOOKUP(F600,Tabelle1[],3))</f>
        <v>BARDHOSH</v>
      </c>
      <c r="B600" s="40" t="str">
        <f>IF(F600="","",VLOOKUP(F600,Tabelle1[],2))</f>
        <v>QELA</v>
      </c>
      <c r="C600" s="40"/>
      <c r="D600" s="41">
        <v>46090</v>
      </c>
      <c r="E600" s="80"/>
      <c r="F600" s="78">
        <v>10114</v>
      </c>
      <c r="G600" s="43">
        <v>92.4</v>
      </c>
      <c r="H600" s="38">
        <v>35111</v>
      </c>
      <c r="I600" s="38">
        <v>12</v>
      </c>
      <c r="J600" s="38">
        <v>35119</v>
      </c>
      <c r="K600" s="38">
        <v>12</v>
      </c>
    </row>
    <row r="601" spans="1:19" x14ac:dyDescent="0.25">
      <c r="A601" s="39" t="str">
        <f>IF(F601="","",VLOOKUP(F601,Tabelle1[],3))</f>
        <v>PRISHTINE</v>
      </c>
      <c r="B601" s="40" t="str">
        <f>IF(F601="","",VLOOKUP(F601,Tabelle1[],2))</f>
        <v>JETARI</v>
      </c>
      <c r="C601" s="40"/>
      <c r="D601" s="41">
        <v>46090</v>
      </c>
      <c r="E601" s="80"/>
      <c r="F601" s="78">
        <v>10104</v>
      </c>
      <c r="G601" s="43">
        <v>46.2</v>
      </c>
      <c r="H601" s="38">
        <v>35115</v>
      </c>
      <c r="I601" s="38">
        <v>12</v>
      </c>
    </row>
    <row r="602" spans="1:19" x14ac:dyDescent="0.25">
      <c r="A602" s="39" t="str">
        <f>IF(F602="","",VLOOKUP(F602,Tabelle1[],3))</f>
        <v>PRISHTINE</v>
      </c>
      <c r="B602" s="40" t="str">
        <f>IF(F602="","",VLOOKUP(F602,Tabelle1[],2))</f>
        <v>BESI COM</v>
      </c>
      <c r="C602" s="40"/>
      <c r="D602" s="41">
        <v>46090</v>
      </c>
      <c r="E602" s="80"/>
      <c r="F602" s="78">
        <v>10103</v>
      </c>
      <c r="G602" s="43">
        <v>46.2</v>
      </c>
      <c r="H602" s="38">
        <v>35113</v>
      </c>
      <c r="I602" s="38">
        <v>12</v>
      </c>
    </row>
    <row r="603" spans="1:19" x14ac:dyDescent="0.25">
      <c r="A603" s="39" t="str">
        <f>IF(F603="","",VLOOKUP(F603,Tabelle1[],3))</f>
        <v>PEJE</v>
      </c>
      <c r="B603" s="40" t="str">
        <f>IF(F603="","",VLOOKUP(F603,Tabelle1[],2))</f>
        <v>KENA COMERC</v>
      </c>
      <c r="C603" s="40"/>
      <c r="D603" s="41">
        <v>46090</v>
      </c>
      <c r="E603" s="80"/>
      <c r="F603" s="78">
        <v>20109</v>
      </c>
      <c r="G603" s="43">
        <v>92.4</v>
      </c>
      <c r="H603" s="38">
        <v>35113</v>
      </c>
      <c r="I603" s="38">
        <v>12</v>
      </c>
      <c r="J603" s="38">
        <v>35121</v>
      </c>
      <c r="K603" s="38">
        <v>12</v>
      </c>
    </row>
    <row r="604" spans="1:19" x14ac:dyDescent="0.25">
      <c r="A604" s="39" t="str">
        <f>IF(F604="","",VLOOKUP(F604,Tabelle1[],3))</f>
        <v>PEJE</v>
      </c>
      <c r="B604" s="40" t="str">
        <f>IF(F604="","",VLOOKUP(F604,Tabelle1[],2))</f>
        <v>ING PROJEKT</v>
      </c>
      <c r="C604" s="40"/>
      <c r="D604" s="41">
        <v>46090</v>
      </c>
      <c r="E604" s="80"/>
      <c r="F604" s="78">
        <v>20108</v>
      </c>
      <c r="G604" s="43">
        <v>200.8</v>
      </c>
      <c r="H604" s="38">
        <v>35108</v>
      </c>
      <c r="I604" s="38">
        <v>12</v>
      </c>
      <c r="J604" s="38">
        <v>35110</v>
      </c>
      <c r="K604" s="38">
        <v>12</v>
      </c>
      <c r="L604" s="38">
        <v>35113</v>
      </c>
      <c r="M604" s="38">
        <v>12</v>
      </c>
      <c r="N604" s="38">
        <v>35125</v>
      </c>
      <c r="O604" s="38">
        <v>12</v>
      </c>
      <c r="P604" s="38">
        <v>49644</v>
      </c>
      <c r="Q604" s="38">
        <v>8</v>
      </c>
    </row>
    <row r="605" spans="1:19" x14ac:dyDescent="0.25">
      <c r="A605" s="39" t="str">
        <f>IF(F605="","",VLOOKUP(F605,Tabelle1[],3))</f>
        <v>PEJE</v>
      </c>
      <c r="B605" s="40" t="str">
        <f>IF(F605="","",VLOOKUP(F605,Tabelle1[],2))</f>
        <v>LNI SHPK</v>
      </c>
      <c r="C605" s="40"/>
      <c r="D605" s="41">
        <v>46090</v>
      </c>
      <c r="E605" s="80"/>
      <c r="F605" s="78">
        <v>20129</v>
      </c>
      <c r="G605" s="43">
        <v>138.6</v>
      </c>
      <c r="H605" s="38">
        <v>35111</v>
      </c>
      <c r="I605" s="38">
        <v>12</v>
      </c>
      <c r="J605" s="38">
        <v>35115</v>
      </c>
      <c r="K605" s="38">
        <v>12</v>
      </c>
      <c r="L605" s="38">
        <v>35113</v>
      </c>
      <c r="M605" s="38">
        <v>12</v>
      </c>
    </row>
    <row r="606" spans="1:19" x14ac:dyDescent="0.25">
      <c r="A606" s="39" t="str">
        <f>IF(F606="","",VLOOKUP(F606,Tabelle1[],3))</f>
        <v>PEJE</v>
      </c>
      <c r="B606" s="40" t="str">
        <f>IF(F606="","",VLOOKUP(F606,Tabelle1[],2))</f>
        <v>KUQI-LKW</v>
      </c>
      <c r="C606" s="40"/>
      <c r="D606" s="41">
        <v>46090</v>
      </c>
      <c r="E606" s="80"/>
      <c r="F606" s="78">
        <v>20102</v>
      </c>
      <c r="G606" s="43">
        <v>54.5</v>
      </c>
      <c r="H606" s="38">
        <v>50912</v>
      </c>
      <c r="I606" s="38">
        <v>5</v>
      </c>
      <c r="J606" s="38">
        <v>55718</v>
      </c>
      <c r="K606" s="38">
        <v>2</v>
      </c>
      <c r="L606" s="38">
        <v>44001</v>
      </c>
      <c r="M606" s="38">
        <v>2</v>
      </c>
      <c r="N606" s="38">
        <v>31815</v>
      </c>
      <c r="O606" s="38">
        <v>1</v>
      </c>
      <c r="P606" s="38">
        <v>31827</v>
      </c>
      <c r="Q606" s="38">
        <v>1</v>
      </c>
      <c r="R606" s="38">
        <v>31812</v>
      </c>
      <c r="S606" s="38">
        <v>1</v>
      </c>
    </row>
    <row r="607" spans="1:19" x14ac:dyDescent="0.25">
      <c r="A607" s="39" t="str">
        <f>IF(F607="","",VLOOKUP(F607,Tabelle1[],3))</f>
        <v>PEJE</v>
      </c>
      <c r="B607" s="40" t="str">
        <f>IF(F607="","",VLOOKUP(F607,Tabelle1[],2))</f>
        <v>TE GZIMI</v>
      </c>
      <c r="C607" s="40"/>
      <c r="D607" s="41">
        <v>46090</v>
      </c>
      <c r="E607" s="80"/>
      <c r="F607" s="78">
        <v>20101</v>
      </c>
      <c r="G607" s="43">
        <v>30</v>
      </c>
      <c r="H607" s="38">
        <v>49644</v>
      </c>
      <c r="I607" s="38">
        <v>11</v>
      </c>
      <c r="J607" s="38">
        <v>54412</v>
      </c>
      <c r="K607" s="38">
        <v>4</v>
      </c>
    </row>
    <row r="608" spans="1:19" x14ac:dyDescent="0.25">
      <c r="A608" s="39" t="str">
        <f>IF(F608="","",VLOOKUP(F608,Tabelle1[],3))</f>
        <v>PEJE</v>
      </c>
      <c r="B608" s="40" t="str">
        <f>IF(F608="","",VLOOKUP(F608,Tabelle1[],2))</f>
        <v>TERMO PROJEKT</v>
      </c>
      <c r="C608" s="40"/>
      <c r="D608" s="41">
        <v>46090</v>
      </c>
      <c r="E608" s="80"/>
      <c r="F608" s="78">
        <v>20127</v>
      </c>
      <c r="G608" s="43">
        <v>138.6</v>
      </c>
      <c r="H608" s="38">
        <v>35108</v>
      </c>
      <c r="I608" s="38">
        <v>12</v>
      </c>
      <c r="J608" s="38">
        <v>35110</v>
      </c>
      <c r="K608" s="38">
        <v>12</v>
      </c>
      <c r="L608" s="38">
        <v>35114</v>
      </c>
      <c r="M608" s="38">
        <v>12</v>
      </c>
    </row>
    <row r="609" spans="1:17" x14ac:dyDescent="0.25">
      <c r="A609" s="39" t="str">
        <f>IF(F609="","",VLOOKUP(F609,Tabelle1[],3))</f>
        <v>PEJE</v>
      </c>
      <c r="B609" s="40" t="str">
        <f>IF(F609="","",VLOOKUP(F609,Tabelle1[],2))</f>
        <v>KTHIMI</v>
      </c>
      <c r="C609" s="40"/>
      <c r="D609" s="41">
        <v>46090</v>
      </c>
      <c r="E609" s="80"/>
      <c r="F609" s="78">
        <v>20104</v>
      </c>
      <c r="G609" s="43">
        <v>120</v>
      </c>
      <c r="H609" s="38">
        <v>35108</v>
      </c>
      <c r="I609" s="38">
        <v>12</v>
      </c>
      <c r="J609" s="38">
        <v>35109</v>
      </c>
      <c r="K609" s="38">
        <v>12</v>
      </c>
      <c r="L609" s="38">
        <v>51612</v>
      </c>
      <c r="M609" s="38">
        <v>12</v>
      </c>
    </row>
    <row r="610" spans="1:17" x14ac:dyDescent="0.25">
      <c r="A610" s="39" t="str">
        <f>IF(F610="","",VLOOKUP(F610,Tabelle1[],3))</f>
        <v>PEJE</v>
      </c>
      <c r="B610" s="40" t="str">
        <f>IF(F610="","",VLOOKUP(F610,Tabelle1[],2))</f>
        <v>LULI-C</v>
      </c>
      <c r="C610" s="40"/>
      <c r="D610" s="41">
        <v>46090</v>
      </c>
      <c r="E610" s="80"/>
      <c r="F610" s="78">
        <v>20126</v>
      </c>
      <c r="G610" s="43">
        <v>73.8</v>
      </c>
      <c r="H610" s="38">
        <v>35128</v>
      </c>
      <c r="I610" s="38">
        <v>12</v>
      </c>
      <c r="J610" s="38">
        <v>51612</v>
      </c>
      <c r="K610" s="38">
        <v>12</v>
      </c>
    </row>
    <row r="611" spans="1:17" x14ac:dyDescent="0.25">
      <c r="A611" s="39" t="str">
        <f>IF(F611="","",VLOOKUP(F611,Tabelle1[],3))</f>
        <v>PEJE</v>
      </c>
      <c r="B611" s="40" t="str">
        <f>IF(F611="","",VLOOKUP(F611,Tabelle1[],2))</f>
        <v>CAMA BAU</v>
      </c>
      <c r="C611" s="40"/>
      <c r="D611" s="41">
        <v>46090</v>
      </c>
      <c r="E611" s="80"/>
      <c r="F611" s="78">
        <v>20121</v>
      </c>
      <c r="G611" s="43">
        <v>138.6</v>
      </c>
      <c r="H611" s="38">
        <v>35119</v>
      </c>
      <c r="I611" s="38">
        <v>12</v>
      </c>
      <c r="J611" s="38">
        <v>35125</v>
      </c>
      <c r="K611" s="38">
        <v>12</v>
      </c>
      <c r="L611" s="38">
        <v>35128</v>
      </c>
      <c r="M611" s="38">
        <v>12</v>
      </c>
    </row>
    <row r="612" spans="1:17" x14ac:dyDescent="0.25">
      <c r="A612" s="39" t="str">
        <f>IF(F612="","",VLOOKUP(F612,Tabelle1[],3))</f>
        <v>PRISHTINE</v>
      </c>
      <c r="B612" s="40" t="str">
        <f>IF(F612="","",VLOOKUP(F612,Tabelle1[],2))</f>
        <v>YLLI CONSTRUCION</v>
      </c>
      <c r="C612" s="40"/>
      <c r="D612" s="41">
        <v>46091</v>
      </c>
      <c r="E612" s="80"/>
      <c r="F612" s="78">
        <v>40017</v>
      </c>
      <c r="G612" s="43">
        <v>20</v>
      </c>
      <c r="H612" s="38">
        <v>35113</v>
      </c>
      <c r="I612" s="38">
        <v>5</v>
      </c>
    </row>
    <row r="613" spans="1:17" x14ac:dyDescent="0.25">
      <c r="A613" s="39" t="str">
        <f>IF(F613="","",VLOOKUP(F613,Tabelle1[],3))</f>
        <v>PRIZREN</v>
      </c>
      <c r="B613" s="40" t="str">
        <f>IF(F613="","",VLOOKUP(F613,Tabelle1[],2))</f>
        <v>QEMA</v>
      </c>
      <c r="C613" s="40"/>
      <c r="D613" s="41">
        <v>46091</v>
      </c>
      <c r="E613" s="80"/>
      <c r="F613" s="78">
        <v>10255</v>
      </c>
      <c r="G613" s="43">
        <v>208.8</v>
      </c>
      <c r="H613" s="38">
        <v>66701</v>
      </c>
      <c r="I613" s="38">
        <v>36</v>
      </c>
    </row>
    <row r="614" spans="1:17" x14ac:dyDescent="0.25">
      <c r="A614" s="39" t="str">
        <f>IF(F614="","",VLOOKUP(F614,Tabelle1[],3))</f>
        <v>DUHEL</v>
      </c>
      <c r="B614" s="40" t="str">
        <f>IF(F614="","",VLOOKUP(F614,Tabelle1[],2))</f>
        <v>JETA DUHEL</v>
      </c>
      <c r="C614" s="40"/>
      <c r="D614" s="41">
        <v>46091</v>
      </c>
      <c r="E614" s="80"/>
      <c r="F614" s="78">
        <v>10230</v>
      </c>
      <c r="G614" s="43">
        <v>92.4</v>
      </c>
      <c r="H614" s="38">
        <v>35121</v>
      </c>
      <c r="I614" s="38">
        <v>12</v>
      </c>
      <c r="J614" s="38">
        <v>35128</v>
      </c>
      <c r="K614" s="38">
        <v>12</v>
      </c>
    </row>
    <row r="615" spans="1:17" x14ac:dyDescent="0.25">
      <c r="A615" s="39" t="str">
        <f>IF(F615="","",VLOOKUP(F615,Tabelle1[],3))</f>
        <v>SHIROK</v>
      </c>
      <c r="B615" s="40" t="str">
        <f>IF(F615="","",VLOOKUP(F615,Tabelle1[],2))</f>
        <v>XHAFA</v>
      </c>
      <c r="C615" s="40"/>
      <c r="D615" s="41">
        <v>46091</v>
      </c>
      <c r="E615" s="80"/>
      <c r="F615" s="78">
        <v>10205</v>
      </c>
      <c r="G615" s="43">
        <v>199.2</v>
      </c>
      <c r="H615" s="38">
        <v>35109</v>
      </c>
      <c r="I615" s="38">
        <v>12</v>
      </c>
      <c r="J615" s="38">
        <v>35115</v>
      </c>
      <c r="K615" s="38">
        <v>12</v>
      </c>
      <c r="L615" s="38">
        <v>35121</v>
      </c>
      <c r="M615" s="38">
        <v>12</v>
      </c>
      <c r="N615" s="38">
        <v>35108</v>
      </c>
      <c r="O615" s="38">
        <v>12</v>
      </c>
      <c r="P615" s="38">
        <v>50912</v>
      </c>
      <c r="Q615" s="38">
        <v>2</v>
      </c>
    </row>
    <row r="616" spans="1:17" x14ac:dyDescent="0.25">
      <c r="A616" s="39" t="str">
        <f>IF(F616="","",VLOOKUP(F616,Tabelle1[],3))</f>
        <v>PRIZREN</v>
      </c>
      <c r="B616" s="40" t="str">
        <f>IF(F616="","",VLOOKUP(F616,Tabelle1[],2))</f>
        <v>ARPO</v>
      </c>
      <c r="C616" s="40"/>
      <c r="D616" s="41">
        <v>46091</v>
      </c>
      <c r="E616" s="80"/>
      <c r="F616" s="78">
        <v>10240</v>
      </c>
      <c r="G616" s="43">
        <v>92.4</v>
      </c>
      <c r="H616" s="38">
        <v>35109</v>
      </c>
      <c r="I616" s="38">
        <v>12</v>
      </c>
      <c r="J616" s="38">
        <v>35115</v>
      </c>
      <c r="K616" s="38">
        <v>12</v>
      </c>
    </row>
    <row r="617" spans="1:17" x14ac:dyDescent="0.25">
      <c r="A617" s="39" t="str">
        <f>IF(F617="","",VLOOKUP(F617,Tabelle1[],3))</f>
        <v>ZYM</v>
      </c>
      <c r="B617" s="40" t="str">
        <f>IF(F617="","",VLOOKUP(F617,Tabelle1[],2))</f>
        <v>BEK TRADE</v>
      </c>
      <c r="C617" s="40"/>
      <c r="D617" s="41">
        <v>46091</v>
      </c>
      <c r="E617" s="80"/>
      <c r="F617" s="78">
        <v>10245</v>
      </c>
      <c r="G617" s="43">
        <v>138.6</v>
      </c>
      <c r="H617" s="38">
        <v>35108</v>
      </c>
      <c r="I617" s="38">
        <v>12</v>
      </c>
      <c r="J617" s="38">
        <v>35113</v>
      </c>
      <c r="K617" s="38">
        <v>12</v>
      </c>
      <c r="L617" s="38">
        <v>35128</v>
      </c>
      <c r="M617" s="38">
        <v>12</v>
      </c>
    </row>
    <row r="618" spans="1:17" x14ac:dyDescent="0.25">
      <c r="A618" s="39" t="str">
        <f>IF(F618="","",VLOOKUP(F618,Tabelle1[],3))</f>
        <v>PRIZREN</v>
      </c>
      <c r="B618" s="40" t="str">
        <f>IF(F618="","",VLOOKUP(F618,Tabelle1[],2))</f>
        <v>QEMA</v>
      </c>
      <c r="C618" s="40"/>
      <c r="D618" s="41">
        <v>46091</v>
      </c>
      <c r="E618" s="80"/>
      <c r="F618" s="78">
        <v>10256</v>
      </c>
      <c r="G618" s="43">
        <v>46.2</v>
      </c>
      <c r="H618" s="38">
        <v>35121</v>
      </c>
      <c r="I618" s="38">
        <v>12</v>
      </c>
    </row>
    <row r="619" spans="1:17" x14ac:dyDescent="0.25">
      <c r="A619" s="39" t="str">
        <f>IF(F619="","",VLOOKUP(F619,Tabelle1[],3))</f>
        <v>PRIZREN</v>
      </c>
      <c r="B619" s="40" t="str">
        <f>IF(F619="","",VLOOKUP(F619,Tabelle1[],2))</f>
        <v>TEMAJ</v>
      </c>
      <c r="C619" s="40"/>
      <c r="D619" s="41">
        <v>46091</v>
      </c>
      <c r="E619" s="80"/>
      <c r="F619" s="78">
        <v>40019</v>
      </c>
      <c r="G619" s="43">
        <v>138.6</v>
      </c>
      <c r="H619" s="38">
        <v>35108</v>
      </c>
      <c r="I619" s="38">
        <v>12</v>
      </c>
      <c r="J619" s="38">
        <v>35113</v>
      </c>
      <c r="K619" s="38">
        <v>12</v>
      </c>
      <c r="L619" s="38">
        <v>35110</v>
      </c>
      <c r="M619" s="38">
        <v>12</v>
      </c>
    </row>
    <row r="620" spans="1:17" x14ac:dyDescent="0.25">
      <c r="A620" s="39" t="str">
        <f>IF(F620="","",VLOOKUP(F620,Tabelle1[],3))</f>
        <v>GJAKOVE</v>
      </c>
      <c r="B620" s="40" t="str">
        <f>IF(F620="","",VLOOKUP(F620,Tabelle1[],2))</f>
        <v>LETAJ</v>
      </c>
      <c r="C620" s="40"/>
      <c r="D620" s="41">
        <v>46091</v>
      </c>
      <c r="E620" s="80"/>
      <c r="F620" s="78">
        <v>20209</v>
      </c>
      <c r="G620" s="43">
        <v>277.2</v>
      </c>
      <c r="H620" s="38">
        <v>35110</v>
      </c>
      <c r="I620" s="38">
        <v>24</v>
      </c>
      <c r="J620" s="38">
        <v>35114</v>
      </c>
      <c r="K620" s="38">
        <v>12</v>
      </c>
      <c r="L620" s="38">
        <v>35119</v>
      </c>
      <c r="M620" s="38">
        <v>12</v>
      </c>
      <c r="N620" s="38">
        <v>35115</v>
      </c>
      <c r="O620" s="38">
        <v>12</v>
      </c>
      <c r="P620" s="38">
        <v>35121</v>
      </c>
      <c r="Q620" s="38">
        <v>12</v>
      </c>
    </row>
    <row r="621" spans="1:17" x14ac:dyDescent="0.25">
      <c r="A621" s="39" t="str">
        <f>IF(F621="","",VLOOKUP(F621,Tabelle1[],3))</f>
        <v>GJAKOVE</v>
      </c>
      <c r="B621" s="40" t="str">
        <f>IF(F621="","",VLOOKUP(F621,Tabelle1[],2))</f>
        <v>GERMAN FABRE</v>
      </c>
      <c r="C621" s="40"/>
      <c r="D621" s="41">
        <v>46091</v>
      </c>
      <c r="E621" s="80"/>
      <c r="F621" s="78">
        <v>20220</v>
      </c>
      <c r="G621" s="43">
        <v>92.4</v>
      </c>
      <c r="H621" s="38">
        <v>35110</v>
      </c>
      <c r="I621" s="38">
        <v>12</v>
      </c>
      <c r="J621" s="38">
        <v>35128</v>
      </c>
      <c r="K621" s="38">
        <v>12</v>
      </c>
    </row>
    <row r="622" spans="1:17" x14ac:dyDescent="0.25">
      <c r="A622" s="39" t="str">
        <f>IF(F622="","",VLOOKUP(F622,Tabelle1[],3))</f>
        <v>GJAKOVE</v>
      </c>
      <c r="B622" s="40" t="str">
        <f>IF(F622="","",VLOOKUP(F622,Tabelle1[],2))</f>
        <v>INOX 2</v>
      </c>
      <c r="C622" s="40"/>
      <c r="D622" s="41">
        <v>46091</v>
      </c>
      <c r="E622" s="80"/>
      <c r="F622" s="78">
        <v>20212</v>
      </c>
      <c r="G622" s="43">
        <v>92.4</v>
      </c>
      <c r="H622" s="38">
        <v>35108</v>
      </c>
      <c r="I622" s="38">
        <v>12</v>
      </c>
      <c r="J622" s="38">
        <v>35115</v>
      </c>
      <c r="K622" s="38">
        <v>12</v>
      </c>
    </row>
    <row r="623" spans="1:17" x14ac:dyDescent="0.25">
      <c r="A623" s="39" t="str">
        <f>IF(F623="","",VLOOKUP(F623,Tabelle1[],3))</f>
        <v>GJAKOVE</v>
      </c>
      <c r="B623" s="40" t="str">
        <f>IF(F623="","",VLOOKUP(F623,Tabelle1[],2))</f>
        <v>GER COLORS</v>
      </c>
      <c r="C623" s="40"/>
      <c r="D623" s="41">
        <v>46091</v>
      </c>
      <c r="E623" s="80"/>
      <c r="F623" s="78">
        <v>20223</v>
      </c>
      <c r="G623" s="43">
        <v>139.19999999999999</v>
      </c>
      <c r="H623" s="38">
        <v>66701</v>
      </c>
      <c r="I623" s="38">
        <v>24</v>
      </c>
    </row>
    <row r="624" spans="1:17" x14ac:dyDescent="0.25">
      <c r="A624" s="39" t="str">
        <f>IF(F624="","",VLOOKUP(F624,Tabelle1[],3))</f>
        <v>GJAKOVE</v>
      </c>
      <c r="B624" s="40" t="str">
        <f>IF(F624="","",VLOOKUP(F624,Tabelle1[],2))</f>
        <v>HB-DECOR</v>
      </c>
      <c r="C624" s="40"/>
      <c r="D624" s="41">
        <v>46091</v>
      </c>
      <c r="E624" s="80"/>
      <c r="F624" s="78">
        <v>20228</v>
      </c>
      <c r="G624" s="43">
        <v>69.599999999999994</v>
      </c>
      <c r="H624" s="38">
        <v>66701</v>
      </c>
      <c r="I624" s="38">
        <v>12</v>
      </c>
    </row>
    <row r="625" spans="1:21" x14ac:dyDescent="0.25">
      <c r="A625" s="39" t="str">
        <f>IF(F625="","",VLOOKUP(F625,Tabelle1[],3))</f>
        <v>JUNIK</v>
      </c>
      <c r="B625" s="40" t="str">
        <f>IF(F625="","",VLOOKUP(F625,Tabelle1[],2))</f>
        <v>ERENIKU</v>
      </c>
      <c r="C625" s="40"/>
      <c r="D625" s="41">
        <v>46091</v>
      </c>
      <c r="E625" s="80"/>
      <c r="F625" s="78">
        <v>20206</v>
      </c>
      <c r="G625" s="43">
        <v>120</v>
      </c>
      <c r="H625" s="38">
        <v>35110</v>
      </c>
      <c r="I625" s="38">
        <v>12</v>
      </c>
      <c r="J625" s="38">
        <v>35115</v>
      </c>
      <c r="K625" s="38">
        <v>12</v>
      </c>
      <c r="L625" s="38">
        <v>51612</v>
      </c>
      <c r="M625" s="38">
        <v>12</v>
      </c>
    </row>
    <row r="626" spans="1:21" x14ac:dyDescent="0.25">
      <c r="A626" s="39" t="str">
        <f>IF(F626="","",VLOOKUP(F626,Tabelle1[],3))</f>
        <v>DEQAN</v>
      </c>
      <c r="B626" s="40" t="str">
        <f>IF(F626="","",VLOOKUP(F626,Tabelle1[],2))</f>
        <v>AFRIMI-AG</v>
      </c>
      <c r="C626" s="40"/>
      <c r="D626" s="41">
        <v>46091</v>
      </c>
      <c r="E626" s="80"/>
      <c r="F626" s="78">
        <v>20203</v>
      </c>
      <c r="G626" s="43">
        <v>208.2</v>
      </c>
      <c r="H626" s="38">
        <v>35114</v>
      </c>
      <c r="I626" s="38">
        <v>12</v>
      </c>
      <c r="J626" s="38">
        <v>66701</v>
      </c>
      <c r="K626" s="38">
        <v>12</v>
      </c>
      <c r="L626" s="38">
        <v>35108</v>
      </c>
      <c r="M626" s="38">
        <v>12</v>
      </c>
      <c r="N626" s="38">
        <v>35111</v>
      </c>
      <c r="O626" s="38">
        <v>12</v>
      </c>
    </row>
    <row r="627" spans="1:21" x14ac:dyDescent="0.25">
      <c r="A627" s="39" t="str">
        <f>IF(F627="","",VLOOKUP(F627,Tabelle1[],3))</f>
        <v>DEQAN</v>
      </c>
      <c r="B627" s="40" t="str">
        <f>IF(F627="","",VLOOKUP(F627,Tabelle1[],2))</f>
        <v>TE BESIMI</v>
      </c>
      <c r="C627" s="40"/>
      <c r="D627" s="41">
        <v>46091</v>
      </c>
      <c r="E627" s="80"/>
      <c r="F627" s="78">
        <v>20201</v>
      </c>
      <c r="G627" s="43">
        <v>73.8</v>
      </c>
      <c r="H627" s="38">
        <v>35108</v>
      </c>
      <c r="I627" s="38">
        <v>12</v>
      </c>
      <c r="J627" s="38">
        <v>51612</v>
      </c>
      <c r="K627" s="38">
        <v>12</v>
      </c>
    </row>
    <row r="628" spans="1:21" x14ac:dyDescent="0.25">
      <c r="A628" s="39" t="str">
        <f>IF(F628="","",VLOOKUP(F628,Tabelle1[],3))</f>
        <v>KLINE</v>
      </c>
      <c r="B628" s="40" t="str">
        <f>IF(F628="","",VLOOKUP(F628,Tabelle1[],2))</f>
        <v>AP WOLF</v>
      </c>
      <c r="C628" s="40"/>
      <c r="D628" s="41">
        <v>46091</v>
      </c>
      <c r="E628" s="80"/>
      <c r="F628" s="78">
        <v>20118</v>
      </c>
      <c r="G628" s="43">
        <v>125.1</v>
      </c>
      <c r="H628" s="38">
        <v>56117</v>
      </c>
      <c r="I628" s="38">
        <v>5</v>
      </c>
      <c r="J628" s="38">
        <v>26736</v>
      </c>
      <c r="K628" s="38">
        <v>5</v>
      </c>
      <c r="L628" s="38">
        <v>49644</v>
      </c>
      <c r="M628" s="38">
        <v>5</v>
      </c>
      <c r="N628" s="38">
        <v>44001</v>
      </c>
      <c r="O628" s="38">
        <v>4</v>
      </c>
      <c r="P628" s="38">
        <v>39505</v>
      </c>
      <c r="Q628" s="38">
        <v>3</v>
      </c>
      <c r="R628" s="38">
        <v>50912</v>
      </c>
      <c r="S628" s="38">
        <v>8</v>
      </c>
      <c r="T628" s="38">
        <v>55718</v>
      </c>
      <c r="U628" s="38">
        <v>2</v>
      </c>
    </row>
    <row r="629" spans="1:21" x14ac:dyDescent="0.25">
      <c r="A629" s="39" t="str">
        <f>IF(F629="","",VLOOKUP(F629,Tabelle1[],3))</f>
        <v>HOME KIM TEC</v>
      </c>
      <c r="B629" s="40" t="str">
        <f>IF(F629="","",VLOOKUP(F629,Tabelle1[],2))</f>
        <v>ARBENI BIOBLIC</v>
      </c>
      <c r="C629" s="40"/>
      <c r="D629" s="41">
        <v>46092</v>
      </c>
      <c r="E629" s="80"/>
      <c r="F629" s="78">
        <v>40003</v>
      </c>
      <c r="G629" s="43">
        <v>255</v>
      </c>
      <c r="H629" s="38">
        <v>20001</v>
      </c>
      <c r="I629" s="38">
        <v>130</v>
      </c>
      <c r="J629" s="38">
        <v>30275</v>
      </c>
      <c r="K629" s="38">
        <v>80</v>
      </c>
    </row>
    <row r="630" spans="1:21" x14ac:dyDescent="0.25">
      <c r="A630" s="39" t="str">
        <f>IF(F630="","",VLOOKUP(F630,Tabelle1[],3))</f>
        <v>VITI</v>
      </c>
      <c r="B630" s="40" t="str">
        <f>IF(F630="","",VLOOKUP(F630,Tabelle1[],2))</f>
        <v>DARDANIA</v>
      </c>
      <c r="C630" s="40"/>
      <c r="D630" s="41">
        <v>46092</v>
      </c>
      <c r="E630" s="80"/>
      <c r="F630" s="78">
        <v>10332</v>
      </c>
      <c r="G630" s="43">
        <v>60.6</v>
      </c>
      <c r="H630" s="38">
        <v>35110</v>
      </c>
      <c r="I630" s="38">
        <v>12</v>
      </c>
      <c r="J630" s="38">
        <v>50912</v>
      </c>
      <c r="K630" s="38">
        <v>2</v>
      </c>
    </row>
    <row r="631" spans="1:21" x14ac:dyDescent="0.25">
      <c r="A631" s="39" t="str">
        <f>IF(F631="","",VLOOKUP(F631,Tabelle1[],3))</f>
        <v>VITI</v>
      </c>
      <c r="B631" s="40" t="str">
        <f>IF(F631="","",VLOOKUP(F631,Tabelle1[],2))</f>
        <v>BALLKANI</v>
      </c>
      <c r="C631" s="40"/>
      <c r="D631" s="41">
        <v>46092</v>
      </c>
      <c r="E631" s="80"/>
      <c r="F631" s="78">
        <v>10350</v>
      </c>
      <c r="G631" s="43">
        <v>231</v>
      </c>
      <c r="H631" s="38">
        <v>35113</v>
      </c>
      <c r="I631" s="38">
        <v>24</v>
      </c>
      <c r="J631" s="38">
        <v>35121</v>
      </c>
      <c r="K631" s="38">
        <v>36</v>
      </c>
    </row>
    <row r="632" spans="1:21" x14ac:dyDescent="0.25">
      <c r="A632" s="39" t="str">
        <f>IF(F632="","",VLOOKUP(F632,Tabelle1[],3))</f>
        <v>GJILAN</v>
      </c>
      <c r="B632" s="40" t="str">
        <f>IF(F632="","",VLOOKUP(F632,Tabelle1[],2))</f>
        <v>BEKA-3</v>
      </c>
      <c r="C632" s="40"/>
      <c r="D632" s="41">
        <v>46092</v>
      </c>
      <c r="E632" s="80"/>
      <c r="F632" s="78">
        <v>10323</v>
      </c>
      <c r="G632" s="43">
        <v>72</v>
      </c>
      <c r="H632" s="38">
        <v>50912</v>
      </c>
      <c r="I632" s="38">
        <v>10</v>
      </c>
    </row>
    <row r="633" spans="1:21" x14ac:dyDescent="0.25">
      <c r="A633" s="39" t="str">
        <f>IF(F633="","",VLOOKUP(F633,Tabelle1[],3))</f>
        <v>GJILAN</v>
      </c>
      <c r="B633" s="40" t="str">
        <f>IF(F633="","",VLOOKUP(F633,Tabelle1[],2))</f>
        <v>FATMIRI</v>
      </c>
      <c r="C633" s="40"/>
      <c r="D633" s="41">
        <v>46092</v>
      </c>
      <c r="E633" s="80"/>
      <c r="F633" s="78">
        <v>10313</v>
      </c>
      <c r="G633" s="43">
        <v>323.39999999999998</v>
      </c>
      <c r="H633" s="38">
        <v>35109</v>
      </c>
      <c r="I633" s="38">
        <v>12</v>
      </c>
      <c r="J633" s="38">
        <v>35111</v>
      </c>
      <c r="K633" s="38">
        <v>12</v>
      </c>
      <c r="L633" s="38">
        <v>35113</v>
      </c>
      <c r="M633" s="38">
        <v>12</v>
      </c>
      <c r="N633" s="38">
        <v>35114</v>
      </c>
      <c r="O633" s="38">
        <v>12</v>
      </c>
      <c r="P633" s="38">
        <v>35121</v>
      </c>
      <c r="Q633" s="38">
        <v>12</v>
      </c>
      <c r="R633" s="38">
        <v>35128</v>
      </c>
      <c r="S633" s="38">
        <v>12</v>
      </c>
      <c r="T633" s="38">
        <v>35115</v>
      </c>
      <c r="U633" s="38">
        <v>12</v>
      </c>
    </row>
    <row r="634" spans="1:21" x14ac:dyDescent="0.25">
      <c r="A634" s="39" t="str">
        <f>IF(F634="","",VLOOKUP(F634,Tabelle1[],3))</f>
        <v>VITI</v>
      </c>
      <c r="B634" s="40" t="str">
        <f>IF(F634="","",VLOOKUP(F634,Tabelle1[],2))</f>
        <v>KOS CERAMIK</v>
      </c>
      <c r="C634" s="40"/>
      <c r="D634" s="41">
        <v>46092</v>
      </c>
      <c r="E634" s="80"/>
      <c r="F634" s="78">
        <v>10364</v>
      </c>
      <c r="G634" s="43">
        <v>184.8</v>
      </c>
      <c r="H634" s="38">
        <v>35109</v>
      </c>
      <c r="I634" s="38">
        <v>12</v>
      </c>
      <c r="J634" s="38">
        <v>35113</v>
      </c>
      <c r="K634" s="38">
        <v>36</v>
      </c>
    </row>
    <row r="635" spans="1:21" x14ac:dyDescent="0.25">
      <c r="A635" s="39" t="str">
        <f>IF(F635="","",VLOOKUP(F635,Tabelle1[],3))</f>
        <v>GJILAN</v>
      </c>
      <c r="B635" s="40" t="str">
        <f>IF(F635="","",VLOOKUP(F635,Tabelle1[],2))</f>
        <v>TINA</v>
      </c>
      <c r="C635" s="40"/>
      <c r="D635" s="41">
        <v>46092</v>
      </c>
      <c r="E635" s="80"/>
      <c r="F635" s="78">
        <v>10344</v>
      </c>
      <c r="G635" s="43">
        <v>46.2</v>
      </c>
      <c r="H635" s="38">
        <v>35121</v>
      </c>
      <c r="I635" s="38">
        <v>12</v>
      </c>
    </row>
    <row r="636" spans="1:21" x14ac:dyDescent="0.25">
      <c r="A636" s="39" t="str">
        <f>IF(F636="","",VLOOKUP(F636,Tabelle1[],3))</f>
        <v>GJILAN</v>
      </c>
      <c r="B636" s="40" t="str">
        <f>IF(F636="","",VLOOKUP(F636,Tabelle1[],2))</f>
        <v>GLOBAL NT</v>
      </c>
      <c r="C636" s="40"/>
      <c r="D636" s="41">
        <v>46092</v>
      </c>
      <c r="E636" s="80"/>
      <c r="F636" s="78">
        <v>10360</v>
      </c>
      <c r="G636" s="43">
        <v>92.4</v>
      </c>
      <c r="H636" s="38">
        <v>35110</v>
      </c>
      <c r="I636" s="38">
        <v>12</v>
      </c>
      <c r="J636" s="38">
        <v>35108</v>
      </c>
      <c r="K636" s="38">
        <v>12</v>
      </c>
    </row>
    <row r="637" spans="1:21" x14ac:dyDescent="0.25">
      <c r="A637" s="39" t="str">
        <f>IF(F637="","",VLOOKUP(F637,Tabelle1[],3))</f>
        <v>GJILAN</v>
      </c>
      <c r="B637" s="40" t="str">
        <f>IF(F637="","",VLOOKUP(F637,Tabelle1[],2))</f>
        <v>ELIONI-1</v>
      </c>
      <c r="C637" s="40"/>
      <c r="D637" s="41">
        <v>46092</v>
      </c>
      <c r="E637" s="80"/>
      <c r="F637" s="78">
        <v>10306</v>
      </c>
      <c r="G637" s="43">
        <v>25</v>
      </c>
      <c r="H637" s="38">
        <v>30277</v>
      </c>
      <c r="I637" s="38">
        <v>10</v>
      </c>
    </row>
    <row r="638" spans="1:21" x14ac:dyDescent="0.25">
      <c r="A638" s="39" t="str">
        <f>IF(F638="","",VLOOKUP(F638,Tabelle1[],3))</f>
        <v>GJILAN</v>
      </c>
      <c r="B638" s="40" t="str">
        <f>IF(F638="","",VLOOKUP(F638,Tabelle1[],2))</f>
        <v>ERALP</v>
      </c>
      <c r="C638" s="40"/>
      <c r="D638" s="41">
        <v>46092</v>
      </c>
      <c r="E638" s="80"/>
      <c r="F638" s="78">
        <v>10308</v>
      </c>
      <c r="G638" s="43">
        <v>184.8</v>
      </c>
      <c r="H638" s="38">
        <v>35113</v>
      </c>
      <c r="I638" s="38">
        <v>12</v>
      </c>
      <c r="J638" s="38">
        <v>35115</v>
      </c>
      <c r="K638" s="38">
        <v>12</v>
      </c>
      <c r="L638" s="38">
        <v>35125</v>
      </c>
      <c r="M638" s="38">
        <v>24</v>
      </c>
    </row>
    <row r="639" spans="1:21" x14ac:dyDescent="0.25">
      <c r="A639" s="39" t="str">
        <f>IF(F639="","",VLOOKUP(F639,Tabelle1[],3))</f>
        <v>MALISHEVE</v>
      </c>
      <c r="B639" s="40" t="str">
        <f>IF(F639="","",VLOOKUP(F639,Tabelle1[],2))</f>
        <v>HAZROLLI</v>
      </c>
      <c r="C639" s="40"/>
      <c r="D639" s="41">
        <v>46092</v>
      </c>
      <c r="E639" s="80"/>
      <c r="F639" s="78">
        <v>20301</v>
      </c>
      <c r="G639" s="43">
        <v>254.4</v>
      </c>
      <c r="H639" s="38">
        <v>35109</v>
      </c>
      <c r="I639" s="38">
        <v>24</v>
      </c>
      <c r="J639" s="38">
        <v>35115</v>
      </c>
      <c r="K639" s="38">
        <v>24</v>
      </c>
      <c r="L639" s="38">
        <v>66701</v>
      </c>
      <c r="M639" s="38">
        <v>12</v>
      </c>
    </row>
    <row r="640" spans="1:21" x14ac:dyDescent="0.25">
      <c r="A640" s="39" t="str">
        <f>IF(F640="","",VLOOKUP(F640,Tabelle1[],3))</f>
        <v>RAHOVEC</v>
      </c>
      <c r="B640" s="40" t="str">
        <f>IF(F640="","",VLOOKUP(F640,Tabelle1[],2))</f>
        <v>CONDOR</v>
      </c>
      <c r="C640" s="40"/>
      <c r="D640" s="41">
        <v>46092</v>
      </c>
      <c r="E640" s="80"/>
      <c r="F640" s="78">
        <v>20307</v>
      </c>
      <c r="G640" s="43">
        <v>263.39999999999998</v>
      </c>
      <c r="H640" s="38">
        <v>35109</v>
      </c>
      <c r="I640" s="38">
        <v>12</v>
      </c>
      <c r="J640" s="38">
        <v>35110</v>
      </c>
      <c r="K640" s="38">
        <v>12</v>
      </c>
      <c r="L640" s="38">
        <v>35111</v>
      </c>
      <c r="M640" s="38">
        <v>12</v>
      </c>
      <c r="N640" s="38">
        <v>51612</v>
      </c>
      <c r="O640" s="38">
        <v>24</v>
      </c>
      <c r="P640" s="38">
        <v>66701</v>
      </c>
      <c r="Q640" s="38">
        <v>12</v>
      </c>
    </row>
    <row r="641" spans="1:13" x14ac:dyDescent="0.25">
      <c r="A641" s="39" t="str">
        <f>IF(F641="","",VLOOKUP(F641,Tabelle1[],3))</f>
        <v>MALISHEVE</v>
      </c>
      <c r="B641" s="40" t="str">
        <f>IF(F641="","",VLOOKUP(F641,Tabelle1[],2))</f>
        <v>BARDHI-M</v>
      </c>
      <c r="C641" s="40"/>
      <c r="D641" s="41">
        <v>46092</v>
      </c>
      <c r="E641" s="80"/>
      <c r="F641" s="78">
        <v>20331</v>
      </c>
      <c r="G641" s="43">
        <v>92.4</v>
      </c>
      <c r="H641" s="38">
        <v>35110</v>
      </c>
      <c r="I641" s="38">
        <v>12</v>
      </c>
      <c r="J641" s="38">
        <v>35115</v>
      </c>
      <c r="K641" s="38">
        <v>12</v>
      </c>
    </row>
    <row r="642" spans="1:13" x14ac:dyDescent="0.25">
      <c r="A642" s="39" t="str">
        <f>IF(F642="","",VLOOKUP(F642,Tabelle1[],3))</f>
        <v>MALISHEVE</v>
      </c>
      <c r="B642" s="40" t="str">
        <f>IF(F642="","",VLOOKUP(F642,Tabelle1[],2))</f>
        <v>BEREQETI</v>
      </c>
      <c r="C642" s="40"/>
      <c r="D642" s="41">
        <v>46092</v>
      </c>
      <c r="E642" s="80"/>
      <c r="F642" s="78">
        <v>20321</v>
      </c>
      <c r="G642" s="43">
        <v>138.6</v>
      </c>
      <c r="H642" s="38">
        <v>35121</v>
      </c>
      <c r="I642" s="38">
        <v>24</v>
      </c>
      <c r="J642" s="38">
        <v>35113</v>
      </c>
      <c r="K642" s="38">
        <v>12</v>
      </c>
    </row>
    <row r="643" spans="1:13" x14ac:dyDescent="0.25">
      <c r="A643" s="39" t="str">
        <f>IF(F643="","",VLOOKUP(F643,Tabelle1[],3))</f>
        <v>MALISHEVE</v>
      </c>
      <c r="B643" s="40" t="str">
        <f>IF(F643="","",VLOOKUP(F643,Tabelle1[],2))</f>
        <v>NITA 3</v>
      </c>
      <c r="C643" s="40"/>
      <c r="D643" s="41">
        <v>46092</v>
      </c>
      <c r="E643" s="80"/>
      <c r="F643" s="78">
        <v>20303</v>
      </c>
      <c r="G643" s="43">
        <v>120</v>
      </c>
      <c r="H643" s="38">
        <v>35115</v>
      </c>
      <c r="I643" s="38">
        <v>12</v>
      </c>
      <c r="J643" s="38">
        <v>35111</v>
      </c>
      <c r="K643" s="38">
        <v>12</v>
      </c>
      <c r="L643" s="38">
        <v>51612</v>
      </c>
      <c r="M643" s="38">
        <v>12</v>
      </c>
    </row>
    <row r="644" spans="1:13" x14ac:dyDescent="0.25">
      <c r="A644" s="39" t="str">
        <f>IF(F644="","",VLOOKUP(F644,Tabelle1[],3))</f>
        <v>RAHOVEC</v>
      </c>
      <c r="B644" s="40" t="str">
        <f>IF(F644="","",VLOOKUP(F644,Tabelle1[],2))</f>
        <v>DURGUTI 3</v>
      </c>
      <c r="C644" s="40"/>
      <c r="D644" s="41">
        <v>46092</v>
      </c>
      <c r="E644" s="80"/>
      <c r="F644" s="78">
        <v>20313</v>
      </c>
      <c r="G644" s="43">
        <v>147.6</v>
      </c>
      <c r="H644" s="38">
        <v>35110</v>
      </c>
      <c r="I644" s="38">
        <v>12</v>
      </c>
      <c r="J644" s="38">
        <v>35119</v>
      </c>
      <c r="K644" s="38">
        <v>12</v>
      </c>
      <c r="L644" s="38">
        <v>51612</v>
      </c>
      <c r="M644" s="38">
        <v>24</v>
      </c>
    </row>
    <row r="645" spans="1:13" x14ac:dyDescent="0.25">
      <c r="A645" s="39" t="str">
        <f>IF(F645="","",VLOOKUP(F645,Tabelle1[],3))</f>
        <v>RAHOVEC</v>
      </c>
      <c r="B645" s="40" t="str">
        <f>IF(F645="","",VLOOKUP(F645,Tabelle1[],2))</f>
        <v>SHEHU-A</v>
      </c>
      <c r="C645" s="40"/>
      <c r="D645" s="41">
        <v>46092</v>
      </c>
      <c r="E645" s="80"/>
      <c r="F645" s="78">
        <v>20317</v>
      </c>
      <c r="G645" s="43">
        <v>31.5</v>
      </c>
      <c r="H645" s="38">
        <v>44001</v>
      </c>
      <c r="I645" s="38">
        <v>5</v>
      </c>
      <c r="J645" s="38">
        <v>49644</v>
      </c>
      <c r="K645" s="38">
        <v>7</v>
      </c>
    </row>
    <row r="646" spans="1:13" x14ac:dyDescent="0.25">
      <c r="A646" s="39" t="str">
        <f>IF(F646="","",VLOOKUP(F646,Tabelle1[],3))</f>
        <v>RAHOVEC</v>
      </c>
      <c r="B646" s="40" t="str">
        <f>IF(F646="","",VLOOKUP(F646,Tabelle1[],2))</f>
        <v>SOPAJ</v>
      </c>
      <c r="C646" s="40"/>
      <c r="D646" s="41">
        <v>46092</v>
      </c>
      <c r="E646" s="80"/>
      <c r="F646" s="78">
        <v>20311</v>
      </c>
      <c r="G646" s="43">
        <v>46.2</v>
      </c>
      <c r="H646" s="38">
        <v>35128</v>
      </c>
      <c r="I646" s="38">
        <v>12</v>
      </c>
    </row>
    <row r="647" spans="1:13" x14ac:dyDescent="0.25">
      <c r="A647" s="39" t="str">
        <f>IF(F647="","",VLOOKUP(F647,Tabelle1[],3))</f>
        <v>VUSHTRRI</v>
      </c>
      <c r="B647" s="40" t="str">
        <f>IF(F647="","",VLOOKUP(F647,Tabelle1[],2))</f>
        <v>SAN KOS</v>
      </c>
      <c r="C647" s="40"/>
      <c r="D647" s="41">
        <v>46093</v>
      </c>
      <c r="E647" s="80"/>
      <c r="F647" s="78">
        <v>10429</v>
      </c>
      <c r="G647" s="43">
        <v>27.6</v>
      </c>
      <c r="H647" s="38">
        <v>51612</v>
      </c>
      <c r="I647" s="38">
        <v>12</v>
      </c>
    </row>
    <row r="648" spans="1:13" x14ac:dyDescent="0.25">
      <c r="A648" s="39" t="str">
        <f>IF(F648="","",VLOOKUP(F648,Tabelle1[],3))</f>
        <v>MITROVICE</v>
      </c>
      <c r="B648" s="40" t="str">
        <f>IF(F648="","",VLOOKUP(F648,Tabelle1[],2))</f>
        <v>VISARI HH</v>
      </c>
      <c r="C648" s="40"/>
      <c r="D648" s="41">
        <v>46093</v>
      </c>
      <c r="E648" s="80"/>
      <c r="F648" s="78">
        <v>10412</v>
      </c>
      <c r="G648" s="43">
        <v>46.2</v>
      </c>
      <c r="H648" s="38">
        <v>35110</v>
      </c>
      <c r="I648" s="38">
        <v>12</v>
      </c>
    </row>
    <row r="649" spans="1:13" x14ac:dyDescent="0.25">
      <c r="A649" s="39" t="str">
        <f>IF(F649="","",VLOOKUP(F649,Tabelle1[],3))</f>
        <v>MITROVICE</v>
      </c>
      <c r="B649" s="40" t="str">
        <f>IF(F649="","",VLOOKUP(F649,Tabelle1[],2))</f>
        <v>GRANITI</v>
      </c>
      <c r="C649" s="40"/>
      <c r="D649" s="41">
        <v>46093</v>
      </c>
      <c r="E649" s="80"/>
      <c r="F649" s="78">
        <v>10410</v>
      </c>
      <c r="G649" s="43">
        <v>138.6</v>
      </c>
      <c r="H649" s="38">
        <v>35115</v>
      </c>
      <c r="I649" s="38">
        <v>12</v>
      </c>
      <c r="J649" s="38">
        <v>35125</v>
      </c>
      <c r="K649" s="38">
        <v>12</v>
      </c>
      <c r="L649" s="38">
        <v>35128</v>
      </c>
      <c r="M649" s="38">
        <v>12</v>
      </c>
    </row>
    <row r="650" spans="1:13" x14ac:dyDescent="0.25">
      <c r="A650" s="39" t="str">
        <f>IF(F650="","",VLOOKUP(F650,Tabelle1[],3))</f>
        <v>MITROVICE</v>
      </c>
      <c r="B650" s="40" t="str">
        <f>IF(F650="","",VLOOKUP(F650,Tabelle1[],2))</f>
        <v>UNIVERZAL</v>
      </c>
      <c r="C650" s="40"/>
      <c r="D650" s="41">
        <v>46093</v>
      </c>
      <c r="E650" s="80"/>
      <c r="F650" s="78">
        <v>10413</v>
      </c>
      <c r="G650" s="43">
        <v>46.2</v>
      </c>
      <c r="H650" s="38">
        <v>35111</v>
      </c>
      <c r="I650" s="38">
        <v>12</v>
      </c>
    </row>
    <row r="651" spans="1:13" x14ac:dyDescent="0.25">
      <c r="A651" s="39" t="str">
        <f>IF(F651="","",VLOOKUP(F651,Tabelle1[],3))</f>
        <v>MITROVICE</v>
      </c>
      <c r="B651" s="40" t="str">
        <f>IF(F651="","",VLOOKUP(F651,Tabelle1[],2))</f>
        <v>AGRONI</v>
      </c>
      <c r="C651" s="40"/>
      <c r="D651" s="41">
        <v>46093</v>
      </c>
      <c r="E651" s="80"/>
      <c r="F651" s="78">
        <v>10406</v>
      </c>
      <c r="G651" s="43">
        <v>90.4</v>
      </c>
      <c r="H651" s="38">
        <v>50912</v>
      </c>
      <c r="I651" s="38">
        <v>12</v>
      </c>
      <c r="J651" s="38">
        <v>49644</v>
      </c>
      <c r="K651" s="38">
        <v>2</v>
      </c>
    </row>
    <row r="652" spans="1:13" x14ac:dyDescent="0.25">
      <c r="A652" s="39" t="str">
        <f>IF(F652="","",VLOOKUP(F652,Tabelle1[],3))</f>
        <v>VUSHTRRI</v>
      </c>
      <c r="B652" s="40" t="str">
        <f>IF(F652="","",VLOOKUP(F652,Tabelle1[],2))</f>
        <v>NDRIQIMI</v>
      </c>
      <c r="C652" s="40"/>
      <c r="D652" s="41">
        <v>46093</v>
      </c>
      <c r="E652" s="80"/>
      <c r="F652" s="78">
        <v>10418</v>
      </c>
      <c r="G652" s="43">
        <v>92.4</v>
      </c>
      <c r="H652" s="38">
        <v>35125</v>
      </c>
      <c r="I652" s="38">
        <v>12</v>
      </c>
      <c r="J652" s="38">
        <v>35121</v>
      </c>
      <c r="K652" s="38">
        <v>12</v>
      </c>
    </row>
    <row r="653" spans="1:13" x14ac:dyDescent="0.25">
      <c r="A653" s="39" t="str">
        <f>IF(F653="","",VLOOKUP(F653,Tabelle1[],3))</f>
        <v>HOME KIM TEC</v>
      </c>
      <c r="B653" s="40" t="str">
        <f>IF(F653="","",VLOOKUP(F653,Tabelle1[],2))</f>
        <v>ARBENI BIOBLIC</v>
      </c>
      <c r="C653" s="40"/>
      <c r="D653" s="41">
        <v>46094</v>
      </c>
      <c r="E653" s="80"/>
      <c r="F653" s="78">
        <v>40003</v>
      </c>
      <c r="G653" s="43">
        <v>188.5</v>
      </c>
      <c r="H653" s="38">
        <v>20001</v>
      </c>
      <c r="I653" s="38">
        <v>110</v>
      </c>
      <c r="J653" s="38">
        <v>30275</v>
      </c>
      <c r="K653" s="38">
        <v>40</v>
      </c>
    </row>
    <row r="654" spans="1:13" x14ac:dyDescent="0.25">
      <c r="A654" s="39" t="str">
        <f>IF(F654="","",VLOOKUP(F654,Tabelle1[],3))</f>
        <v>FERIZAJ</v>
      </c>
      <c r="B654" s="40" t="str">
        <f>IF(F654="","",VLOOKUP(F654,Tabelle1[],2))</f>
        <v>CARRALEVA 1</v>
      </c>
      <c r="C654" s="40"/>
      <c r="D654" s="41">
        <v>46094</v>
      </c>
      <c r="E654" s="80"/>
      <c r="F654" s="78">
        <v>10504</v>
      </c>
      <c r="G654" s="43">
        <v>120</v>
      </c>
      <c r="H654" s="38">
        <v>35111</v>
      </c>
      <c r="I654" s="38">
        <v>12</v>
      </c>
      <c r="J654" s="38">
        <v>35108</v>
      </c>
      <c r="K654" s="38">
        <v>12</v>
      </c>
      <c r="L654" s="38">
        <v>51612</v>
      </c>
      <c r="M654" s="38">
        <v>12</v>
      </c>
    </row>
    <row r="655" spans="1:13" x14ac:dyDescent="0.25">
      <c r="A655" s="39" t="str">
        <f>IF(F655="","",VLOOKUP(F655,Tabelle1[],3))</f>
        <v>FERIZAJ</v>
      </c>
      <c r="B655" s="40" t="str">
        <f>IF(F655="","",VLOOKUP(F655,Tabelle1[],2))</f>
        <v>REAL COLOR 2</v>
      </c>
      <c r="C655" s="40"/>
      <c r="D655" s="41">
        <v>46094</v>
      </c>
      <c r="E655" s="80"/>
      <c r="F655" s="78">
        <v>10507</v>
      </c>
      <c r="G655" s="43">
        <v>138.6</v>
      </c>
      <c r="H655" s="38">
        <v>35109</v>
      </c>
      <c r="I655" s="38">
        <v>12</v>
      </c>
      <c r="J655" s="38">
        <v>35110</v>
      </c>
      <c r="K655" s="38">
        <v>12</v>
      </c>
      <c r="L655" s="38">
        <v>35114</v>
      </c>
      <c r="M655" s="38">
        <v>12</v>
      </c>
    </row>
    <row r="656" spans="1:13" x14ac:dyDescent="0.25">
      <c r="A656" s="39" t="str">
        <f>IF(F656="","",VLOOKUP(F656,Tabelle1[],3))</f>
        <v>VITI</v>
      </c>
      <c r="B656" s="40" t="str">
        <f>IF(F656="","",VLOOKUP(F656,Tabelle1[],2))</f>
        <v>SMIRA</v>
      </c>
      <c r="C656" s="40"/>
      <c r="D656" s="41">
        <v>46094</v>
      </c>
      <c r="E656" s="80"/>
      <c r="F656" s="78">
        <v>10352</v>
      </c>
      <c r="G656" s="43">
        <v>138.6</v>
      </c>
      <c r="H656" s="38">
        <v>35109</v>
      </c>
      <c r="I656" s="38">
        <v>24</v>
      </c>
      <c r="J656" s="38">
        <v>35111</v>
      </c>
      <c r="K656" s="38">
        <v>12</v>
      </c>
    </row>
    <row r="657" spans="1:19" x14ac:dyDescent="0.25">
      <c r="A657" s="39" t="str">
        <f>IF(F657="","",VLOOKUP(F657,Tabelle1[],3))</f>
        <v>FERIZAJ</v>
      </c>
      <c r="B657" s="40" t="str">
        <f>IF(F657="","",VLOOKUP(F657,Tabelle1[],2))</f>
        <v>BEKA</v>
      </c>
      <c r="C657" s="40"/>
      <c r="D657" s="41">
        <v>46094</v>
      </c>
      <c r="E657" s="80"/>
      <c r="F657" s="78">
        <v>10539</v>
      </c>
      <c r="G657" s="43">
        <v>92.4</v>
      </c>
      <c r="H657" s="38">
        <v>35119</v>
      </c>
      <c r="I657" s="38">
        <v>12</v>
      </c>
      <c r="J657" s="38">
        <v>35115</v>
      </c>
      <c r="K657" s="38">
        <v>12</v>
      </c>
    </row>
    <row r="658" spans="1:19" x14ac:dyDescent="0.25">
      <c r="A658" s="39" t="str">
        <f>IF(F658="","",VLOOKUP(F658,Tabelle1[],3))</f>
        <v>FERIZAJ</v>
      </c>
      <c r="B658" s="40" t="str">
        <f>IF(F658="","",VLOOKUP(F658,Tabelle1[],2))</f>
        <v>PROCOM</v>
      </c>
      <c r="C658" s="40"/>
      <c r="D658" s="41">
        <v>46094</v>
      </c>
      <c r="E658" s="80"/>
      <c r="F658" s="78">
        <v>10502</v>
      </c>
      <c r="G658" s="43">
        <v>138.6</v>
      </c>
      <c r="H658" s="38">
        <v>35114</v>
      </c>
      <c r="I658" s="38">
        <v>12</v>
      </c>
      <c r="J658" s="38">
        <v>35111</v>
      </c>
      <c r="K658" s="38">
        <v>12</v>
      </c>
      <c r="L658" s="38">
        <v>35128</v>
      </c>
      <c r="M658" s="38">
        <v>12</v>
      </c>
    </row>
    <row r="659" spans="1:19" x14ac:dyDescent="0.25">
      <c r="A659" s="39" t="str">
        <f>IF(F659="","",VLOOKUP(F659,Tabelle1[],3))</f>
        <v>KLINE</v>
      </c>
      <c r="B659" s="40" t="str">
        <f>IF(F659="","",VLOOKUP(F659,Tabelle1[],2))</f>
        <v>RACI</v>
      </c>
      <c r="C659" s="40"/>
      <c r="D659" s="41">
        <v>46094</v>
      </c>
      <c r="E659" s="80"/>
      <c r="F659" s="78">
        <v>20501</v>
      </c>
      <c r="G659" s="43">
        <v>115.8</v>
      </c>
      <c r="H659" s="38">
        <v>35125</v>
      </c>
      <c r="I659" s="38">
        <v>12</v>
      </c>
      <c r="J659" s="38">
        <v>66701</v>
      </c>
      <c r="K659" s="38">
        <v>12</v>
      </c>
    </row>
    <row r="660" spans="1:19" x14ac:dyDescent="0.25">
      <c r="A660" s="39" t="str">
        <f>IF(F660="","",VLOOKUP(F660,Tabelle1[],3))</f>
        <v>ISTOG</v>
      </c>
      <c r="B660" s="40" t="str">
        <f>IF(F660="","",VLOOKUP(F660,Tabelle1[],2))</f>
        <v>LIRIDONA KLINE</v>
      </c>
      <c r="C660" s="40"/>
      <c r="D660" s="41">
        <v>46094</v>
      </c>
      <c r="E660" s="80"/>
      <c r="F660" s="78">
        <v>20511</v>
      </c>
      <c r="G660" s="43">
        <v>184.8</v>
      </c>
      <c r="H660" s="38">
        <v>35110</v>
      </c>
      <c r="I660" s="38">
        <v>12</v>
      </c>
      <c r="J660" s="38">
        <v>35115</v>
      </c>
      <c r="K660" s="38">
        <v>36</v>
      </c>
    </row>
    <row r="661" spans="1:19" x14ac:dyDescent="0.25">
      <c r="A661" s="39" t="str">
        <f>IF(F661="","",VLOOKUP(F661,Tabelle1[],3))</f>
        <v>ISTOG</v>
      </c>
      <c r="B661" s="40" t="str">
        <f>IF(F661="","",VLOOKUP(F661,Tabelle1[],2))</f>
        <v>LIRIDONA HOME</v>
      </c>
      <c r="C661" s="40"/>
      <c r="D661" s="41">
        <v>46094</v>
      </c>
      <c r="E661" s="80"/>
      <c r="F661" s="78">
        <v>20508</v>
      </c>
      <c r="G661" s="43">
        <v>277.2</v>
      </c>
      <c r="H661" s="38">
        <v>35113</v>
      </c>
      <c r="I661" s="38">
        <v>36</v>
      </c>
      <c r="J661" s="38">
        <v>35121</v>
      </c>
      <c r="K661" s="38">
        <v>36</v>
      </c>
    </row>
    <row r="662" spans="1:19" x14ac:dyDescent="0.25">
      <c r="A662" s="39" t="str">
        <f>IF(F662="","",VLOOKUP(F662,Tabelle1[],3))</f>
        <v>ISTOG</v>
      </c>
      <c r="B662" s="40" t="str">
        <f>IF(F662="","",VLOOKUP(F662,Tabelle1[],2))</f>
        <v>LIRIDONA-A</v>
      </c>
      <c r="C662" s="40"/>
      <c r="D662" s="41">
        <v>46094</v>
      </c>
      <c r="E662" s="80"/>
      <c r="F662" s="78">
        <v>20515</v>
      </c>
      <c r="G662" s="43">
        <v>346.8</v>
      </c>
      <c r="H662" s="38">
        <v>35110</v>
      </c>
      <c r="I662" s="38">
        <v>24</v>
      </c>
      <c r="J662" s="38">
        <v>35121</v>
      </c>
      <c r="K662" s="38">
        <v>36</v>
      </c>
      <c r="L662" s="38">
        <v>35125</v>
      </c>
      <c r="M662" s="38">
        <v>12</v>
      </c>
      <c r="N662" s="38">
        <v>66701</v>
      </c>
      <c r="O662" s="38">
        <v>12</v>
      </c>
    </row>
    <row r="663" spans="1:19" x14ac:dyDescent="0.25">
      <c r="A663" s="39" t="str">
        <f>IF(F663="","",VLOOKUP(F663,Tabelle1[],3))</f>
        <v>RUNIK</v>
      </c>
      <c r="B663" s="40" t="str">
        <f>IF(F663="","",VLOOKUP(F663,Tabelle1[],2))</f>
        <v>TE BRAHA</v>
      </c>
      <c r="C663" s="40"/>
      <c r="D663" s="41">
        <v>46094</v>
      </c>
      <c r="E663" s="80"/>
      <c r="F663" s="78">
        <v>20520</v>
      </c>
      <c r="G663" s="43">
        <v>92.4</v>
      </c>
      <c r="H663" s="38">
        <v>35113</v>
      </c>
      <c r="I663" s="38">
        <v>12</v>
      </c>
      <c r="J663" s="38">
        <v>35121</v>
      </c>
      <c r="K663" s="38">
        <v>12</v>
      </c>
    </row>
    <row r="664" spans="1:19" x14ac:dyDescent="0.25">
      <c r="A664" s="39" t="str">
        <f>IF(F664="","",VLOOKUP(F664,Tabelle1[],3))</f>
        <v>SKENDERAJ</v>
      </c>
      <c r="B664" s="40" t="str">
        <f>IF(F664="","",VLOOKUP(F664,Tabelle1[],2))</f>
        <v>MEGI</v>
      </c>
      <c r="C664" s="40"/>
      <c r="D664" s="41">
        <v>46094</v>
      </c>
      <c r="E664" s="80"/>
      <c r="F664" s="78">
        <v>20406</v>
      </c>
      <c r="G664" s="43">
        <v>83.2</v>
      </c>
      <c r="H664" s="38">
        <v>54412</v>
      </c>
      <c r="I664" s="38">
        <v>8</v>
      </c>
      <c r="J664" s="38">
        <v>49644</v>
      </c>
      <c r="K664" s="38">
        <v>12</v>
      </c>
      <c r="L664" s="38">
        <v>50912</v>
      </c>
      <c r="M664" s="38">
        <v>6</v>
      </c>
    </row>
    <row r="665" spans="1:19" x14ac:dyDescent="0.25">
      <c r="A665" s="39" t="str">
        <f>IF(F665="","",VLOOKUP(F665,Tabelle1[],3))</f>
        <v>SKENDERAJ</v>
      </c>
      <c r="B665" s="40" t="str">
        <f>IF(F665="","",VLOOKUP(F665,Tabelle1[],2))</f>
        <v>TE BENI</v>
      </c>
      <c r="C665" s="40"/>
      <c r="D665" s="41">
        <v>46094</v>
      </c>
      <c r="E665" s="80"/>
      <c r="F665" s="78">
        <v>20407</v>
      </c>
      <c r="G665" s="43">
        <v>138.6</v>
      </c>
      <c r="H665" s="38">
        <v>35110</v>
      </c>
      <c r="I665" s="38">
        <v>12</v>
      </c>
      <c r="J665" s="38">
        <v>35111</v>
      </c>
      <c r="K665" s="38">
        <v>12</v>
      </c>
      <c r="L665" s="38">
        <v>35121</v>
      </c>
      <c r="M665" s="38">
        <v>12</v>
      </c>
    </row>
    <row r="666" spans="1:19" x14ac:dyDescent="0.25">
      <c r="A666" s="39" t="str">
        <f>IF(F666="","",VLOOKUP(F666,Tabelle1[],3))</f>
        <v>BARDHOSH</v>
      </c>
      <c r="B666" s="40" t="str">
        <f>IF(F666="","",VLOOKUP(F666,Tabelle1[],2))</f>
        <v>MUQIQI</v>
      </c>
      <c r="C666" s="40"/>
      <c r="D666" s="41">
        <v>46095</v>
      </c>
      <c r="E666" s="80"/>
      <c r="F666" s="78">
        <v>10113</v>
      </c>
      <c r="G666" s="43">
        <v>31.6</v>
      </c>
      <c r="H666" s="38">
        <v>50912</v>
      </c>
      <c r="I666" s="38">
        <v>3</v>
      </c>
      <c r="J666" s="38">
        <v>54412</v>
      </c>
      <c r="K666" s="38">
        <v>5</v>
      </c>
    </row>
    <row r="667" spans="1:19" x14ac:dyDescent="0.25">
      <c r="A667" s="39" t="str">
        <f>IF(F667="","",VLOOKUP(F667,Tabelle1[],3))</f>
        <v>PODUJEVE</v>
      </c>
      <c r="B667" s="40" t="str">
        <f>IF(F667="","",VLOOKUP(F667,Tabelle1[],2))</f>
        <v>TE ZENA</v>
      </c>
      <c r="C667" s="40"/>
      <c r="D667" s="41">
        <v>46095</v>
      </c>
      <c r="E667" s="80"/>
      <c r="F667" s="78">
        <v>10616</v>
      </c>
      <c r="G667" s="43">
        <v>138.6</v>
      </c>
      <c r="H667" s="38">
        <v>35113</v>
      </c>
      <c r="I667" s="38">
        <v>12</v>
      </c>
      <c r="J667" s="38">
        <v>35119</v>
      </c>
      <c r="K667" s="38">
        <v>12</v>
      </c>
      <c r="L667" s="38">
        <v>35121</v>
      </c>
      <c r="M667" s="38">
        <v>12</v>
      </c>
    </row>
    <row r="668" spans="1:19" x14ac:dyDescent="0.25">
      <c r="A668" s="39" t="str">
        <f>IF(F668="","",VLOOKUP(F668,Tabelle1[],3))</f>
        <v>PODUJEVE</v>
      </c>
      <c r="B668" s="40" t="str">
        <f>IF(F668="","",VLOOKUP(F668,Tabelle1[],2))</f>
        <v>KUJTA</v>
      </c>
      <c r="C668" s="40"/>
      <c r="D668" s="41">
        <v>46095</v>
      </c>
      <c r="E668" s="80"/>
      <c r="F668" s="78">
        <v>10625</v>
      </c>
      <c r="G668" s="43">
        <v>121.2</v>
      </c>
      <c r="H668" s="38">
        <v>35115</v>
      </c>
      <c r="I668" s="38">
        <v>12</v>
      </c>
      <c r="J668" s="38">
        <v>50912</v>
      </c>
      <c r="K668" s="38">
        <v>4</v>
      </c>
      <c r="L668" s="38">
        <v>35121</v>
      </c>
      <c r="M668" s="38">
        <v>12</v>
      </c>
    </row>
    <row r="669" spans="1:19" x14ac:dyDescent="0.25">
      <c r="A669" s="39" t="str">
        <f>IF(F669="","",VLOOKUP(F669,Tabelle1[],3))</f>
        <v>PODUJEVE</v>
      </c>
      <c r="B669" s="40" t="str">
        <f>IF(F669="","",VLOOKUP(F669,Tabelle1[],2))</f>
        <v>DRITONI</v>
      </c>
      <c r="C669" s="40"/>
      <c r="D669" s="41">
        <v>46095</v>
      </c>
      <c r="E669" s="80"/>
      <c r="F669" s="78">
        <v>10626</v>
      </c>
      <c r="G669" s="43">
        <v>14.4</v>
      </c>
      <c r="H669" s="38">
        <v>50912</v>
      </c>
      <c r="I669" s="38">
        <v>2</v>
      </c>
    </row>
    <row r="670" spans="1:19" x14ac:dyDescent="0.25">
      <c r="A670" s="39" t="str">
        <f>IF(F670="","",VLOOKUP(F670,Tabelle1[],3))</f>
        <v>PODUJEVE</v>
      </c>
      <c r="B670" s="40" t="str">
        <f>IF(F670="","",VLOOKUP(F670,Tabelle1[],2))</f>
        <v>SABITI</v>
      </c>
      <c r="C670" s="40"/>
      <c r="D670" s="41">
        <v>46095</v>
      </c>
      <c r="E670" s="80"/>
      <c r="F670" s="78">
        <v>10605</v>
      </c>
      <c r="G670" s="43">
        <v>46</v>
      </c>
      <c r="H670" s="38">
        <v>49644</v>
      </c>
      <c r="I670" s="38">
        <v>5</v>
      </c>
      <c r="J670" s="38">
        <v>50912</v>
      </c>
      <c r="K670" s="38">
        <v>5</v>
      </c>
    </row>
    <row r="671" spans="1:19" x14ac:dyDescent="0.25">
      <c r="A671" s="39" t="str">
        <f>IF(F671="","",VLOOKUP(F671,Tabelle1[],3))</f>
        <v>PODUJEVE</v>
      </c>
      <c r="B671" s="40" t="str">
        <f>IF(F671="","",VLOOKUP(F671,Tabelle1[],2))</f>
        <v>BECOLOR</v>
      </c>
      <c r="C671" s="40"/>
      <c r="D671" s="41">
        <v>46095</v>
      </c>
      <c r="E671" s="80"/>
      <c r="F671" s="78">
        <v>10619</v>
      </c>
      <c r="G671" s="43">
        <v>45.4</v>
      </c>
      <c r="H671" s="38">
        <v>56117</v>
      </c>
      <c r="I671" s="38">
        <v>5</v>
      </c>
      <c r="J671" s="38">
        <v>26736</v>
      </c>
      <c r="K671" s="38">
        <v>1</v>
      </c>
      <c r="L671" s="38">
        <v>31812</v>
      </c>
      <c r="M671" s="38">
        <v>1</v>
      </c>
      <c r="N671" s="38">
        <v>31818</v>
      </c>
      <c r="O671" s="38">
        <v>1</v>
      </c>
      <c r="P671" s="38">
        <v>31827</v>
      </c>
      <c r="Q671" s="38">
        <v>1</v>
      </c>
      <c r="R671" s="38">
        <v>66701</v>
      </c>
      <c r="S671" s="38">
        <v>3</v>
      </c>
    </row>
    <row r="672" spans="1:19" x14ac:dyDescent="0.25">
      <c r="A672" s="39" t="str">
        <f>IF(F672="","",VLOOKUP(F672,Tabelle1[],3))</f>
        <v>FERIZAJ</v>
      </c>
      <c r="B672" s="40" t="str">
        <f>IF(F672="","",VLOOKUP(F672,Tabelle1[],2))</f>
        <v>SALIHU CORPORATION</v>
      </c>
      <c r="C672" s="40"/>
      <c r="D672" s="41">
        <v>46095</v>
      </c>
      <c r="E672" s="80"/>
      <c r="F672" s="78">
        <v>20636</v>
      </c>
      <c r="G672" s="43">
        <v>231</v>
      </c>
      <c r="H672" s="38">
        <v>35110</v>
      </c>
      <c r="I672" s="38">
        <v>12</v>
      </c>
      <c r="J672" s="38">
        <v>35111</v>
      </c>
      <c r="K672" s="38">
        <v>12</v>
      </c>
      <c r="L672" s="38">
        <v>35113</v>
      </c>
      <c r="M672" s="38">
        <v>12</v>
      </c>
      <c r="N672" s="38">
        <v>35115</v>
      </c>
      <c r="O672" s="38">
        <v>12</v>
      </c>
      <c r="P672" s="38">
        <v>35121</v>
      </c>
      <c r="Q672" s="38">
        <v>12</v>
      </c>
    </row>
    <row r="673" spans="1:17" x14ac:dyDescent="0.25">
      <c r="A673" s="39" t="str">
        <f>IF(F673="","",VLOOKUP(F673,Tabelle1[],3))</f>
        <v>FERIZAJ</v>
      </c>
      <c r="B673" s="40" t="str">
        <f>IF(F673="","",VLOOKUP(F673,Tabelle1[],2))</f>
        <v>BUJARI Q - BESII</v>
      </c>
      <c r="C673" s="40"/>
      <c r="D673" s="41">
        <v>46095</v>
      </c>
      <c r="E673" s="80"/>
      <c r="F673" s="78">
        <v>20609</v>
      </c>
      <c r="G673" s="43">
        <v>120</v>
      </c>
      <c r="H673" s="38">
        <v>35121</v>
      </c>
      <c r="I673" s="38">
        <v>24</v>
      </c>
      <c r="J673" s="38">
        <v>51612</v>
      </c>
      <c r="K673" s="38">
        <v>12</v>
      </c>
    </row>
    <row r="674" spans="1:17" x14ac:dyDescent="0.25">
      <c r="A674" s="39" t="str">
        <f>IF(F674="","",VLOOKUP(F674,Tabelle1[],3))</f>
        <v>FERIZAJ</v>
      </c>
      <c r="B674" s="40" t="str">
        <f>IF(F674="","",VLOOKUP(F674,Tabelle1[],2))</f>
        <v>BULONI - SH</v>
      </c>
      <c r="C674" s="40"/>
      <c r="D674" s="41">
        <v>46095</v>
      </c>
      <c r="E674" s="80"/>
      <c r="F674" s="78">
        <v>20624</v>
      </c>
      <c r="G674" s="43">
        <v>104.4</v>
      </c>
      <c r="H674" s="38">
        <v>35121</v>
      </c>
      <c r="I674" s="38">
        <v>12</v>
      </c>
      <c r="J674" s="38">
        <v>35110</v>
      </c>
      <c r="K674" s="38">
        <v>12</v>
      </c>
      <c r="L674" s="38">
        <v>31822</v>
      </c>
      <c r="M674" s="38">
        <v>12</v>
      </c>
    </row>
    <row r="675" spans="1:17" x14ac:dyDescent="0.25">
      <c r="A675" s="39" t="str">
        <f>IF(F675="","",VLOOKUP(F675,Tabelle1[],3))</f>
        <v>GERLIC</v>
      </c>
      <c r="B675" s="40" t="str">
        <f>IF(F675="","",VLOOKUP(F675,Tabelle1[],2))</f>
        <v>TE-SYLA</v>
      </c>
      <c r="C675" s="40"/>
      <c r="D675" s="41">
        <v>46095</v>
      </c>
      <c r="E675" s="80"/>
      <c r="F675" s="78">
        <v>20606</v>
      </c>
      <c r="G675" s="43">
        <v>92.4</v>
      </c>
      <c r="H675" s="38">
        <v>35110</v>
      </c>
      <c r="I675" s="38">
        <v>12</v>
      </c>
      <c r="J675" s="38">
        <v>35125</v>
      </c>
      <c r="K675" s="38">
        <v>12</v>
      </c>
    </row>
    <row r="676" spans="1:17" x14ac:dyDescent="0.25">
      <c r="A676" s="39" t="str">
        <f>IF(F676="","",VLOOKUP(F676,Tabelle1[],3))</f>
        <v>FERIZAJ</v>
      </c>
      <c r="B676" s="40" t="str">
        <f>IF(F676="","",VLOOKUP(F676,Tabelle1[],2))</f>
        <v>LUTA QERAMIKA</v>
      </c>
      <c r="C676" s="40"/>
      <c r="D676" s="41">
        <v>46095</v>
      </c>
      <c r="E676" s="80"/>
      <c r="F676" s="78">
        <v>20629</v>
      </c>
      <c r="G676" s="43">
        <v>184.8</v>
      </c>
      <c r="H676" s="38">
        <v>35115</v>
      </c>
      <c r="I676" s="38">
        <v>24</v>
      </c>
      <c r="J676" s="38">
        <v>35121</v>
      </c>
      <c r="K676" s="38">
        <v>24</v>
      </c>
    </row>
    <row r="677" spans="1:17" x14ac:dyDescent="0.25">
      <c r="A677" s="39" t="str">
        <f>IF(F677="","",VLOOKUP(F677,Tabelle1[],3))</f>
        <v>GREME</v>
      </c>
      <c r="B677" s="40" t="str">
        <f>IF(F677="","",VLOOKUP(F677,Tabelle1[],2))</f>
        <v>AGRO-XHETI</v>
      </c>
      <c r="C677" s="40"/>
      <c r="D677" s="41">
        <v>46095</v>
      </c>
      <c r="E677" s="80"/>
      <c r="F677" s="78">
        <v>20610</v>
      </c>
      <c r="G677" s="43">
        <v>138.6</v>
      </c>
      <c r="H677" s="38">
        <v>35110</v>
      </c>
      <c r="I677" s="38">
        <v>12</v>
      </c>
      <c r="J677" s="38">
        <v>35111</v>
      </c>
      <c r="K677" s="38">
        <v>12</v>
      </c>
      <c r="L677" s="38">
        <v>35115</v>
      </c>
      <c r="M677" s="38">
        <v>12</v>
      </c>
    </row>
    <row r="678" spans="1:17" x14ac:dyDescent="0.25">
      <c r="A678" s="39" t="str">
        <f>IF(F678="","",VLOOKUP(F678,Tabelle1[],3))</f>
        <v>DOGANAJ</v>
      </c>
      <c r="B678" s="40" t="str">
        <f>IF(F678="","",VLOOKUP(F678,Tabelle1[],2))</f>
        <v xml:space="preserve">F.V. SH.P.K. </v>
      </c>
      <c r="C678" s="40"/>
      <c r="D678" s="41">
        <v>46095</v>
      </c>
      <c r="E678" s="80"/>
      <c r="F678" s="78">
        <v>20607</v>
      </c>
      <c r="G678" s="43">
        <v>103.8</v>
      </c>
      <c r="H678" s="38">
        <v>35115</v>
      </c>
      <c r="I678" s="38">
        <v>12</v>
      </c>
      <c r="J678" s="38">
        <v>50912</v>
      </c>
      <c r="K678" s="38">
        <v>8</v>
      </c>
    </row>
    <row r="679" spans="1:17" x14ac:dyDescent="0.25">
      <c r="A679" s="39" t="str">
        <f>IF(F679="","",VLOOKUP(F679,Tabelle1[],3))</f>
        <v>FERIZAJ</v>
      </c>
      <c r="B679" s="40" t="str">
        <f>IF(F679="","",VLOOKUP(F679,Tabelle1[],2))</f>
        <v>BUJARI Q - BESII</v>
      </c>
      <c r="C679" s="40"/>
      <c r="D679" s="41">
        <v>46095</v>
      </c>
      <c r="E679" s="80"/>
      <c r="F679" s="78">
        <v>20609</v>
      </c>
      <c r="G679" s="43">
        <v>138.6</v>
      </c>
      <c r="H679" s="38">
        <v>35121</v>
      </c>
      <c r="I679" s="38">
        <v>24</v>
      </c>
      <c r="J679" s="38">
        <v>35113</v>
      </c>
      <c r="K679" s="38">
        <v>12</v>
      </c>
    </row>
    <row r="680" spans="1:17" x14ac:dyDescent="0.25">
      <c r="A680" s="39" t="str">
        <f>IF(F680="","",VLOOKUP(F680,Tabelle1[],3))</f>
        <v>KAQANIK</v>
      </c>
      <c r="B680" s="40" t="str">
        <f>IF(F680="","",VLOOKUP(F680,Tabelle1[],2))</f>
        <v>TE-LUTA</v>
      </c>
      <c r="C680" s="40"/>
      <c r="D680" s="41">
        <v>46095</v>
      </c>
      <c r="E680" s="80"/>
      <c r="F680" s="78">
        <v>20611</v>
      </c>
      <c r="G680" s="43">
        <v>178.8</v>
      </c>
      <c r="H680" s="38">
        <v>35113</v>
      </c>
      <c r="I680" s="38">
        <v>12</v>
      </c>
      <c r="J680" s="38">
        <v>35115</v>
      </c>
      <c r="K680" s="38">
        <v>12</v>
      </c>
      <c r="L680" s="38">
        <v>50912</v>
      </c>
      <c r="M680" s="38">
        <v>12</v>
      </c>
    </row>
    <row r="681" spans="1:17" x14ac:dyDescent="0.25">
      <c r="A681" s="39" t="str">
        <f>IF(F681="","",VLOOKUP(F681,Tabelle1[],3))</f>
        <v>PRISHTINE</v>
      </c>
      <c r="B681" s="40" t="str">
        <f>IF(F681="","",VLOOKUP(F681,Tabelle1[],2))</f>
        <v>YLLI CONSTRUCION</v>
      </c>
      <c r="C681" s="40"/>
      <c r="D681" s="41">
        <v>46097</v>
      </c>
      <c r="E681" s="80"/>
      <c r="F681" s="78">
        <v>40017</v>
      </c>
      <c r="G681" s="43">
        <v>96</v>
      </c>
      <c r="H681" s="38">
        <v>35108</v>
      </c>
      <c r="I681" s="38">
        <v>22</v>
      </c>
      <c r="J681" s="38">
        <v>35115</v>
      </c>
      <c r="K681" s="38">
        <v>2</v>
      </c>
    </row>
    <row r="682" spans="1:17" x14ac:dyDescent="0.25">
      <c r="A682" s="39" t="str">
        <f>IF(F682="","",VLOOKUP(F682,Tabelle1[],3))</f>
        <v>PRISHTINE</v>
      </c>
      <c r="B682" s="40" t="str">
        <f>IF(F682="","",VLOOKUP(F682,Tabelle1[],2))</f>
        <v>HIDROELDI</v>
      </c>
      <c r="C682" s="40"/>
      <c r="D682" s="41">
        <v>46097</v>
      </c>
      <c r="E682" s="80"/>
      <c r="F682" s="78">
        <v>10133</v>
      </c>
      <c r="G682" s="43">
        <v>46.2</v>
      </c>
      <c r="H682" s="38">
        <v>35115</v>
      </c>
      <c r="I682" s="38">
        <v>12</v>
      </c>
    </row>
    <row r="683" spans="1:17" x14ac:dyDescent="0.25">
      <c r="A683" s="39" t="str">
        <f>IF(F683="","",VLOOKUP(F683,Tabelle1[],3))</f>
        <v>PRISHTINE</v>
      </c>
      <c r="B683" s="40" t="str">
        <f>IF(F683="","",VLOOKUP(F683,Tabelle1[],2))</f>
        <v>KADIJOLLET</v>
      </c>
      <c r="C683" s="40"/>
      <c r="D683" s="41">
        <v>46097</v>
      </c>
      <c r="E683" s="80"/>
      <c r="F683" s="78">
        <v>10111</v>
      </c>
      <c r="G683" s="43">
        <v>119.9</v>
      </c>
      <c r="H683" s="38">
        <v>35110</v>
      </c>
      <c r="I683" s="38">
        <v>12</v>
      </c>
      <c r="J683" s="38">
        <v>35113</v>
      </c>
      <c r="K683" s="38">
        <v>12</v>
      </c>
      <c r="L683" s="38">
        <v>26736</v>
      </c>
      <c r="M683" s="38">
        <v>5</v>
      </c>
      <c r="N683" s="38">
        <v>49644</v>
      </c>
      <c r="O683" s="38">
        <v>5</v>
      </c>
      <c r="P683" s="38">
        <v>54412</v>
      </c>
      <c r="Q683" s="38">
        <v>5</v>
      </c>
    </row>
    <row r="684" spans="1:17" x14ac:dyDescent="0.25">
      <c r="A684" s="39" t="str">
        <f>IF(F684="","",VLOOKUP(F684,Tabelle1[],3))</f>
        <v>PRISHTINE</v>
      </c>
      <c r="B684" s="40" t="str">
        <f>IF(F684="","",VLOOKUP(F684,Tabelle1[],2))</f>
        <v>JETARI</v>
      </c>
      <c r="C684" s="40"/>
      <c r="D684" s="41">
        <v>46097</v>
      </c>
      <c r="E684" s="80"/>
      <c r="F684" s="78">
        <v>10104</v>
      </c>
      <c r="G684" s="43">
        <v>92.4</v>
      </c>
      <c r="H684" s="38">
        <v>35110</v>
      </c>
      <c r="I684" s="38">
        <v>12</v>
      </c>
      <c r="J684" s="38">
        <v>35108</v>
      </c>
      <c r="K684" s="38">
        <v>12</v>
      </c>
    </row>
    <row r="685" spans="1:17" x14ac:dyDescent="0.25">
      <c r="A685" s="39" t="str">
        <f>IF(F685="","",VLOOKUP(F685,Tabelle1[],3))</f>
        <v>PRISHTINE</v>
      </c>
      <c r="B685" s="40" t="str">
        <f>IF(F685="","",VLOOKUP(F685,Tabelle1[],2))</f>
        <v>ARSIM</v>
      </c>
      <c r="C685" s="40"/>
      <c r="D685" s="41">
        <v>46097</v>
      </c>
      <c r="E685" s="80"/>
      <c r="F685" s="78">
        <v>10105</v>
      </c>
      <c r="G685" s="43">
        <v>46.2</v>
      </c>
      <c r="H685" s="38">
        <v>35125</v>
      </c>
      <c r="I685" s="38">
        <v>12</v>
      </c>
    </row>
    <row r="686" spans="1:17" x14ac:dyDescent="0.25">
      <c r="A686" s="39" t="str">
        <f>IF(F686="","",VLOOKUP(F686,Tabelle1[],3))</f>
        <v>BARDHOSH</v>
      </c>
      <c r="B686" s="40" t="str">
        <f>IF(F686="","",VLOOKUP(F686,Tabelle1[],2))</f>
        <v>QELA</v>
      </c>
      <c r="C686" s="40"/>
      <c r="D686" s="41">
        <v>46097</v>
      </c>
      <c r="E686" s="80"/>
      <c r="F686" s="78">
        <v>10114</v>
      </c>
      <c r="G686" s="43">
        <v>92.4</v>
      </c>
      <c r="H686" s="38">
        <v>35114</v>
      </c>
      <c r="I686" s="38">
        <v>12</v>
      </c>
      <c r="J686" s="38">
        <v>35128</v>
      </c>
      <c r="K686" s="38">
        <v>12</v>
      </c>
    </row>
    <row r="687" spans="1:17" x14ac:dyDescent="0.25">
      <c r="A687" s="39" t="str">
        <f>IF(F687="","",VLOOKUP(F687,Tabelle1[],3))</f>
        <v>PEJE</v>
      </c>
      <c r="B687" s="40" t="str">
        <f>IF(F687="","",VLOOKUP(F687,Tabelle1[],2))</f>
        <v>KENA COMERC</v>
      </c>
      <c r="C687" s="40"/>
      <c r="D687" s="41">
        <v>46097</v>
      </c>
      <c r="E687" s="80"/>
      <c r="F687" s="78">
        <v>20109</v>
      </c>
      <c r="G687" s="43">
        <v>92.4</v>
      </c>
      <c r="H687" s="38">
        <v>35111</v>
      </c>
      <c r="I687" s="38">
        <v>12</v>
      </c>
      <c r="J687" s="38">
        <v>35128</v>
      </c>
      <c r="K687" s="38">
        <v>12</v>
      </c>
    </row>
    <row r="688" spans="1:17" x14ac:dyDescent="0.25">
      <c r="A688" s="39" t="str">
        <f>IF(F688="","",VLOOKUP(F688,Tabelle1[],3))</f>
        <v>PEJE</v>
      </c>
      <c r="B688" s="40" t="str">
        <f>IF(F688="","",VLOOKUP(F688,Tabelle1[],2))</f>
        <v>LULI-C</v>
      </c>
      <c r="C688" s="40"/>
      <c r="D688" s="41">
        <v>46097</v>
      </c>
      <c r="E688" s="80"/>
      <c r="F688" s="78">
        <v>20126</v>
      </c>
      <c r="G688" s="43">
        <v>138.6</v>
      </c>
      <c r="H688" s="38">
        <v>35113</v>
      </c>
      <c r="I688" s="38">
        <v>12</v>
      </c>
      <c r="J688" s="38">
        <v>35114</v>
      </c>
      <c r="K688" s="38">
        <v>12</v>
      </c>
      <c r="L688" s="38">
        <v>35125</v>
      </c>
      <c r="M688" s="38">
        <v>12</v>
      </c>
    </row>
    <row r="689" spans="1:17" x14ac:dyDescent="0.25">
      <c r="A689" s="39" t="str">
        <f>IF(F689="","",VLOOKUP(F689,Tabelle1[],3))</f>
        <v>PEJE</v>
      </c>
      <c r="B689" s="40" t="str">
        <f>IF(F689="","",VLOOKUP(F689,Tabelle1[],2))</f>
        <v>TE GZIMI</v>
      </c>
      <c r="C689" s="40"/>
      <c r="D689" s="41">
        <v>46097</v>
      </c>
      <c r="E689" s="80"/>
      <c r="F689" s="78">
        <v>20101</v>
      </c>
      <c r="G689" s="43">
        <v>49.6</v>
      </c>
      <c r="H689" s="38">
        <v>29802</v>
      </c>
      <c r="I689" s="38">
        <v>8</v>
      </c>
      <c r="J689" s="38">
        <v>50912</v>
      </c>
      <c r="K689" s="38">
        <v>3</v>
      </c>
      <c r="L689" s="38">
        <v>16936</v>
      </c>
      <c r="M689" s="38">
        <v>8</v>
      </c>
    </row>
    <row r="690" spans="1:17" x14ac:dyDescent="0.25">
      <c r="A690" s="39" t="str">
        <f>IF(F690="","",VLOOKUP(F690,Tabelle1[],3))</f>
        <v>PEJE</v>
      </c>
      <c r="B690" s="40" t="str">
        <f>IF(F690="","",VLOOKUP(F690,Tabelle1[],2))</f>
        <v>CAMA BAU</v>
      </c>
      <c r="C690" s="40"/>
      <c r="D690" s="41">
        <v>46097</v>
      </c>
      <c r="E690" s="80"/>
      <c r="F690" s="78">
        <v>20121</v>
      </c>
      <c r="G690" s="43">
        <v>277.2</v>
      </c>
      <c r="H690" s="38">
        <v>35113</v>
      </c>
      <c r="I690" s="38">
        <v>24</v>
      </c>
      <c r="J690" s="38">
        <v>35115</v>
      </c>
      <c r="K690" s="38">
        <v>24</v>
      </c>
      <c r="L690" s="38">
        <v>35119</v>
      </c>
      <c r="M690" s="38">
        <v>12</v>
      </c>
      <c r="N690" s="38">
        <v>35125</v>
      </c>
      <c r="O690" s="38">
        <v>12</v>
      </c>
    </row>
    <row r="691" spans="1:17" x14ac:dyDescent="0.25">
      <c r="A691" s="39" t="str">
        <f>IF(F691="","",VLOOKUP(F691,Tabelle1[],3))</f>
        <v>PEJE</v>
      </c>
      <c r="B691" s="40" t="str">
        <f>IF(F691="","",VLOOKUP(F691,Tabelle1[],2))</f>
        <v>TERMO PROJEKT</v>
      </c>
      <c r="C691" s="40"/>
      <c r="D691" s="41">
        <v>46097</v>
      </c>
      <c r="E691" s="80"/>
      <c r="F691" s="78">
        <v>20127</v>
      </c>
      <c r="G691" s="43">
        <v>138.6</v>
      </c>
      <c r="H691" s="38">
        <v>35128</v>
      </c>
      <c r="I691" s="38">
        <v>24</v>
      </c>
      <c r="J691" s="38">
        <v>35114</v>
      </c>
      <c r="K691" s="38">
        <v>12</v>
      </c>
    </row>
    <row r="692" spans="1:17" x14ac:dyDescent="0.25">
      <c r="A692" s="39" t="str">
        <f>IF(F692="","",VLOOKUP(F692,Tabelle1[],3))</f>
        <v>PEJE</v>
      </c>
      <c r="B692" s="40" t="str">
        <f>IF(F692="","",VLOOKUP(F692,Tabelle1[],2))</f>
        <v>LNI SHPK</v>
      </c>
      <c r="C692" s="40"/>
      <c r="D692" s="41">
        <v>46097</v>
      </c>
      <c r="E692" s="80"/>
      <c r="F692" s="78">
        <v>20129</v>
      </c>
      <c r="G692" s="43">
        <v>92.4</v>
      </c>
      <c r="H692" s="38">
        <v>35121</v>
      </c>
      <c r="I692" s="38">
        <v>24</v>
      </c>
    </row>
    <row r="693" spans="1:17" x14ac:dyDescent="0.25">
      <c r="A693" s="39" t="str">
        <f>IF(F693="","",VLOOKUP(F693,Tabelle1[],3))</f>
        <v>PEJE</v>
      </c>
      <c r="B693" s="40" t="str">
        <f>IF(F693="","",VLOOKUP(F693,Tabelle1[],2))</f>
        <v>ENESI</v>
      </c>
      <c r="C693" s="40"/>
      <c r="D693" s="41">
        <v>46097</v>
      </c>
      <c r="E693" s="80"/>
      <c r="F693" s="78">
        <v>20130</v>
      </c>
      <c r="G693" s="43">
        <v>138.6</v>
      </c>
      <c r="H693" s="38">
        <v>35113</v>
      </c>
      <c r="I693" s="38">
        <v>12</v>
      </c>
      <c r="J693" s="38">
        <v>35115</v>
      </c>
      <c r="K693" s="38">
        <v>12</v>
      </c>
      <c r="L693" s="38">
        <v>35125</v>
      </c>
      <c r="M693" s="38">
        <v>12</v>
      </c>
    </row>
    <row r="694" spans="1:17" x14ac:dyDescent="0.25">
      <c r="A694" s="39" t="str">
        <f>IF(F694="","",VLOOKUP(F694,Tabelle1[],3))</f>
        <v>PRIZREN</v>
      </c>
      <c r="B694" s="40" t="str">
        <f>IF(F694="","",VLOOKUP(F694,Tabelle1[],2))</f>
        <v>ARSIMI</v>
      </c>
      <c r="C694" s="40"/>
      <c r="D694" s="41">
        <v>46098</v>
      </c>
      <c r="E694" s="80"/>
      <c r="F694" s="78">
        <v>10258</v>
      </c>
      <c r="G694" s="43">
        <v>92.4</v>
      </c>
      <c r="H694" s="38">
        <v>35110</v>
      </c>
      <c r="I694" s="38">
        <v>12</v>
      </c>
      <c r="J694" s="38">
        <v>35111</v>
      </c>
      <c r="K694" s="38">
        <v>12</v>
      </c>
    </row>
    <row r="695" spans="1:17" x14ac:dyDescent="0.25">
      <c r="A695" s="39" t="str">
        <f>IF(F695="","",VLOOKUP(F695,Tabelle1[],3))</f>
        <v>PRIZREN</v>
      </c>
      <c r="B695" s="40" t="str">
        <f>IF(F695="","",VLOOKUP(F695,Tabelle1[],2))</f>
        <v>MONI 2</v>
      </c>
      <c r="C695" s="40"/>
      <c r="D695" s="41">
        <v>46098</v>
      </c>
      <c r="E695" s="80"/>
      <c r="F695" s="78">
        <v>10210</v>
      </c>
      <c r="G695" s="43">
        <v>231</v>
      </c>
      <c r="H695" s="38">
        <v>35108</v>
      </c>
      <c r="I695" s="38">
        <v>12</v>
      </c>
      <c r="J695" s="38">
        <v>35110</v>
      </c>
      <c r="K695" s="38">
        <v>12</v>
      </c>
      <c r="L695" s="38">
        <v>35119</v>
      </c>
      <c r="M695" s="38">
        <v>12</v>
      </c>
      <c r="N695" s="38">
        <v>35115</v>
      </c>
      <c r="O695" s="38">
        <v>12</v>
      </c>
      <c r="P695" s="38">
        <v>35128</v>
      </c>
      <c r="Q695" s="38">
        <v>12</v>
      </c>
    </row>
    <row r="696" spans="1:17" x14ac:dyDescent="0.25">
      <c r="A696" s="39" t="str">
        <f>IF(F696="","",VLOOKUP(F696,Tabelle1[],3))</f>
        <v>PRIZREN</v>
      </c>
      <c r="B696" s="40" t="str">
        <f>IF(F696="","",VLOOKUP(F696,Tabelle1[],2))</f>
        <v>QEMA</v>
      </c>
      <c r="C696" s="40"/>
      <c r="D696" s="41">
        <v>46098</v>
      </c>
      <c r="E696" s="80"/>
      <c r="F696" s="78">
        <v>10256</v>
      </c>
      <c r="G696" s="43">
        <v>92.4</v>
      </c>
      <c r="H696" s="38">
        <v>35121</v>
      </c>
      <c r="I696" s="38">
        <v>24</v>
      </c>
    </row>
    <row r="697" spans="1:17" x14ac:dyDescent="0.25">
      <c r="A697" s="39" t="str">
        <f>IF(F697="","",VLOOKUP(F697,Tabelle1[],3))</f>
        <v>PRIZREN</v>
      </c>
      <c r="B697" s="40" t="str">
        <f>IF(F697="","",VLOOKUP(F697,Tabelle1[],2))</f>
        <v>ARPO</v>
      </c>
      <c r="C697" s="40"/>
      <c r="D697" s="41">
        <v>46098</v>
      </c>
      <c r="E697" s="80"/>
      <c r="F697" s="78">
        <v>10240</v>
      </c>
      <c r="G697" s="43">
        <v>184.8</v>
      </c>
      <c r="H697" s="38">
        <v>35110</v>
      </c>
      <c r="I697" s="38">
        <v>12</v>
      </c>
      <c r="J697" s="38">
        <v>35108</v>
      </c>
      <c r="K697" s="38">
        <v>12</v>
      </c>
      <c r="L697" s="38">
        <v>35115</v>
      </c>
      <c r="M697" s="38">
        <v>12</v>
      </c>
      <c r="N697" s="38">
        <v>35121</v>
      </c>
      <c r="O697" s="38">
        <v>12</v>
      </c>
    </row>
    <row r="698" spans="1:17" x14ac:dyDescent="0.25">
      <c r="A698" s="39" t="str">
        <f>IF(F698="","",VLOOKUP(F698,Tabelle1[],3))</f>
        <v>PRIZREN</v>
      </c>
      <c r="B698" s="40" t="str">
        <f>IF(F698="","",VLOOKUP(F698,Tabelle1[],2))</f>
        <v>AB SHPK</v>
      </c>
      <c r="C698" s="40"/>
      <c r="D698" s="41">
        <v>46098</v>
      </c>
      <c r="E698" s="80"/>
      <c r="F698" s="78">
        <v>10241</v>
      </c>
      <c r="G698" s="43">
        <v>27.6</v>
      </c>
      <c r="H698" s="38">
        <v>51612</v>
      </c>
      <c r="I698" s="38">
        <v>12</v>
      </c>
    </row>
    <row r="699" spans="1:17" x14ac:dyDescent="0.25">
      <c r="A699" s="39" t="str">
        <f>IF(F699="","",VLOOKUP(F699,Tabelle1[],3))</f>
        <v>SHIROK</v>
      </c>
      <c r="B699" s="40" t="str">
        <f>IF(F699="","",VLOOKUP(F699,Tabelle1[],2))</f>
        <v>XHAFA</v>
      </c>
      <c r="C699" s="40"/>
      <c r="D699" s="41">
        <v>46098</v>
      </c>
      <c r="E699" s="80"/>
      <c r="F699" s="78">
        <v>10205</v>
      </c>
      <c r="G699" s="43">
        <v>106.8</v>
      </c>
      <c r="H699" s="38">
        <v>35110</v>
      </c>
      <c r="I699" s="38">
        <v>12</v>
      </c>
      <c r="J699" s="38">
        <v>35121</v>
      </c>
      <c r="K699" s="38">
        <v>12</v>
      </c>
      <c r="L699" s="38">
        <v>50912</v>
      </c>
      <c r="M699" s="38">
        <v>2</v>
      </c>
    </row>
    <row r="700" spans="1:17" x14ac:dyDescent="0.25">
      <c r="A700" s="39" t="str">
        <f>IF(F700="","",VLOOKUP(F700,Tabelle1[],3))</f>
        <v>PRIZREN</v>
      </c>
      <c r="B700" s="40" t="str">
        <f>IF(F700="","",VLOOKUP(F700,Tabelle1[],2))</f>
        <v>TEMAJ</v>
      </c>
      <c r="C700" s="40"/>
      <c r="D700" s="41">
        <v>46098</v>
      </c>
      <c r="E700" s="80"/>
      <c r="F700" s="78">
        <v>40019</v>
      </c>
      <c r="G700" s="43">
        <v>92.4</v>
      </c>
      <c r="H700" s="38">
        <v>35108</v>
      </c>
      <c r="I700" s="38">
        <v>12</v>
      </c>
      <c r="J700" s="38">
        <v>35121</v>
      </c>
      <c r="K700" s="38">
        <v>12</v>
      </c>
    </row>
    <row r="701" spans="1:17" x14ac:dyDescent="0.25">
      <c r="A701" s="39" t="str">
        <f>IF(F701="","",VLOOKUP(F701,Tabelle1[],3))</f>
        <v>GJAKOVE</v>
      </c>
      <c r="B701" s="40" t="str">
        <f>IF(F701="","",VLOOKUP(F701,Tabelle1[],2))</f>
        <v>LETAJ</v>
      </c>
      <c r="C701" s="40"/>
      <c r="D701" s="41">
        <v>46098</v>
      </c>
      <c r="E701" s="80"/>
      <c r="F701" s="78">
        <v>20209</v>
      </c>
      <c r="G701" s="43">
        <v>138.6</v>
      </c>
      <c r="H701" s="38">
        <v>35110</v>
      </c>
      <c r="I701" s="38">
        <v>24</v>
      </c>
      <c r="J701" s="38">
        <v>35111</v>
      </c>
      <c r="K701" s="38">
        <v>12</v>
      </c>
    </row>
    <row r="702" spans="1:17" x14ac:dyDescent="0.25">
      <c r="A702" s="39" t="str">
        <f>IF(F702="","",VLOOKUP(F702,Tabelle1[],3))</f>
        <v>GJAKOVE</v>
      </c>
      <c r="B702" s="40" t="str">
        <f>IF(F702="","",VLOOKUP(F702,Tabelle1[],2))</f>
        <v>GERMAN FABRE</v>
      </c>
      <c r="C702" s="40"/>
      <c r="D702" s="41">
        <v>46098</v>
      </c>
      <c r="E702" s="80"/>
      <c r="F702" s="78">
        <v>20220</v>
      </c>
      <c r="G702" s="43">
        <v>36.5</v>
      </c>
      <c r="H702" s="38">
        <v>12000</v>
      </c>
      <c r="I702" s="38">
        <v>3</v>
      </c>
      <c r="J702" s="38">
        <v>12001</v>
      </c>
      <c r="K702" s="38">
        <v>5</v>
      </c>
    </row>
    <row r="703" spans="1:17" x14ac:dyDescent="0.25">
      <c r="A703" s="39" t="str">
        <f>IF(F703="","",VLOOKUP(F703,Tabelle1[],3))</f>
        <v>GJAKOVE</v>
      </c>
      <c r="B703" s="40" t="str">
        <f>IF(F703="","",VLOOKUP(F703,Tabelle1[],2))</f>
        <v>INOX 2</v>
      </c>
      <c r="C703" s="40"/>
      <c r="D703" s="41">
        <v>46098</v>
      </c>
      <c r="E703" s="80"/>
      <c r="F703" s="78">
        <v>20212</v>
      </c>
      <c r="G703" s="43">
        <v>184.8</v>
      </c>
      <c r="H703" s="38">
        <v>35111</v>
      </c>
      <c r="I703" s="38">
        <v>12</v>
      </c>
      <c r="J703" s="38">
        <v>35113</v>
      </c>
      <c r="K703" s="38">
        <v>12</v>
      </c>
      <c r="L703" s="38">
        <v>35114</v>
      </c>
      <c r="M703" s="38">
        <v>12</v>
      </c>
      <c r="N703" s="38">
        <v>35125</v>
      </c>
      <c r="O703" s="38">
        <v>12</v>
      </c>
    </row>
    <row r="704" spans="1:17" x14ac:dyDescent="0.25">
      <c r="A704" s="39" t="str">
        <f>IF(F704="","",VLOOKUP(F704,Tabelle1[],3))</f>
        <v>GJAKOVE</v>
      </c>
      <c r="B704" s="40" t="str">
        <f>IF(F704="","",VLOOKUP(F704,Tabelle1[],2))</f>
        <v>HB-DECOR</v>
      </c>
      <c r="C704" s="40"/>
      <c r="D704" s="41">
        <v>46098</v>
      </c>
      <c r="E704" s="80"/>
      <c r="F704" s="78">
        <v>20228</v>
      </c>
      <c r="G704" s="43">
        <v>69.599999999999994</v>
      </c>
      <c r="H704" s="38">
        <v>66701</v>
      </c>
      <c r="I704" s="38">
        <v>12</v>
      </c>
    </row>
    <row r="705" spans="1:15" x14ac:dyDescent="0.25">
      <c r="A705" s="39" t="str">
        <f>IF(F705="","",VLOOKUP(F705,Tabelle1[],3))</f>
        <v>GJAKOVE</v>
      </c>
      <c r="B705" s="40" t="str">
        <f>IF(F705="","",VLOOKUP(F705,Tabelle1[],2))</f>
        <v>GER COLORS</v>
      </c>
      <c r="C705" s="40"/>
      <c r="D705" s="41">
        <v>46098</v>
      </c>
      <c r="E705" s="80"/>
      <c r="F705" s="78">
        <v>20223</v>
      </c>
      <c r="G705" s="43">
        <v>92.4</v>
      </c>
      <c r="H705" s="38">
        <v>35108</v>
      </c>
      <c r="I705" s="38">
        <v>12</v>
      </c>
      <c r="J705" s="38">
        <v>35111</v>
      </c>
      <c r="K705" s="38">
        <v>12</v>
      </c>
    </row>
    <row r="706" spans="1:15" x14ac:dyDescent="0.25">
      <c r="A706" s="39" t="str">
        <f>IF(F706="","",VLOOKUP(F706,Tabelle1[],3))</f>
        <v>JUNIK</v>
      </c>
      <c r="B706" s="40" t="str">
        <f>IF(F706="","",VLOOKUP(F706,Tabelle1[],2))</f>
        <v>ERENIKU</v>
      </c>
      <c r="C706" s="40"/>
      <c r="D706" s="41">
        <v>46098</v>
      </c>
      <c r="E706" s="80"/>
      <c r="F706" s="78">
        <v>20206</v>
      </c>
      <c r="G706" s="43">
        <v>120</v>
      </c>
      <c r="H706" s="38">
        <v>35111</v>
      </c>
      <c r="I706" s="38">
        <v>12</v>
      </c>
      <c r="J706" s="38">
        <v>35128</v>
      </c>
      <c r="K706" s="38">
        <v>12</v>
      </c>
      <c r="L706" s="38">
        <v>51612</v>
      </c>
      <c r="M706" s="38">
        <v>12</v>
      </c>
    </row>
    <row r="707" spans="1:15" x14ac:dyDescent="0.25">
      <c r="A707" s="39" t="str">
        <f>IF(F707="","",VLOOKUP(F707,Tabelle1[],3))</f>
        <v>DEQAN</v>
      </c>
      <c r="B707" s="40" t="str">
        <f>IF(F707="","",VLOOKUP(F707,Tabelle1[],2))</f>
        <v>AFRIMI-AG</v>
      </c>
      <c r="C707" s="40"/>
      <c r="D707" s="41">
        <v>46098</v>
      </c>
      <c r="E707" s="80"/>
      <c r="F707" s="78">
        <v>20203</v>
      </c>
      <c r="G707" s="43">
        <v>92.4</v>
      </c>
      <c r="H707" s="38">
        <v>35110</v>
      </c>
      <c r="I707" s="38">
        <v>12</v>
      </c>
      <c r="J707" s="38">
        <v>35113</v>
      </c>
      <c r="K707" s="38">
        <v>12</v>
      </c>
    </row>
    <row r="708" spans="1:15" x14ac:dyDescent="0.25">
      <c r="A708" s="39" t="str">
        <f>IF(F708="","",VLOOKUP(F708,Tabelle1[],3))</f>
        <v>DEQAN</v>
      </c>
      <c r="B708" s="40" t="str">
        <f>IF(F708="","",VLOOKUP(F708,Tabelle1[],2))</f>
        <v>TE BESIMI</v>
      </c>
      <c r="C708" s="40"/>
      <c r="D708" s="41">
        <v>46098</v>
      </c>
      <c r="E708" s="80"/>
      <c r="F708" s="78">
        <v>20201</v>
      </c>
      <c r="G708" s="43">
        <v>85.2</v>
      </c>
      <c r="H708" s="38">
        <v>35128</v>
      </c>
      <c r="I708" s="38">
        <v>12</v>
      </c>
      <c r="J708" s="38">
        <v>39505</v>
      </c>
      <c r="K708" s="38">
        <v>5</v>
      </c>
      <c r="L708" s="38">
        <v>54412</v>
      </c>
      <c r="M708" s="38">
        <v>4</v>
      </c>
      <c r="N708" s="38">
        <v>50912</v>
      </c>
      <c r="O708" s="38">
        <v>2</v>
      </c>
    </row>
    <row r="709" spans="1:15" x14ac:dyDescent="0.25">
      <c r="A709" s="39" t="str">
        <f>IF(F709="","",VLOOKUP(F709,Tabelle1[],3))</f>
        <v>HOME KIM TEC</v>
      </c>
      <c r="B709" s="40" t="str">
        <f>IF(F709="","",VLOOKUP(F709,Tabelle1[],2))</f>
        <v>ARBENI BIOBLIC</v>
      </c>
      <c r="C709" s="40"/>
      <c r="D709" s="41">
        <v>46098</v>
      </c>
      <c r="E709" s="80"/>
      <c r="F709" s="78">
        <v>40003</v>
      </c>
      <c r="G709" s="43">
        <v>351.75</v>
      </c>
      <c r="H709" s="38">
        <v>20001</v>
      </c>
      <c r="I709" s="38">
        <v>165</v>
      </c>
      <c r="J709" s="38">
        <v>30275</v>
      </c>
      <c r="K709" s="38">
        <v>105</v>
      </c>
      <c r="L709" s="38">
        <v>39505</v>
      </c>
      <c r="M709" s="38">
        <v>8</v>
      </c>
    </row>
    <row r="710" spans="1:15" x14ac:dyDescent="0.25">
      <c r="A710" s="39" t="str">
        <f>IF(F710="","",VLOOKUP(F710,Tabelle1[],3))</f>
        <v>VITI</v>
      </c>
      <c r="B710" s="40" t="str">
        <f>IF(F710="","",VLOOKUP(F710,Tabelle1[],2))</f>
        <v>DARDANIA</v>
      </c>
      <c r="C710" s="40"/>
      <c r="D710" s="41">
        <v>46099</v>
      </c>
      <c r="E710" s="80"/>
      <c r="F710" s="78">
        <v>10332</v>
      </c>
      <c r="G710" s="43">
        <v>46.2</v>
      </c>
      <c r="H710" s="38">
        <v>35128</v>
      </c>
      <c r="I710" s="38">
        <v>12</v>
      </c>
    </row>
    <row r="711" spans="1:15" x14ac:dyDescent="0.25">
      <c r="A711" s="39" t="str">
        <f>IF(F711="","",VLOOKUP(F711,Tabelle1[],3))</f>
        <v>POZHARAN</v>
      </c>
      <c r="B711" s="40" t="str">
        <f>IF(F711="","",VLOOKUP(F711,Tabelle1[],2))</f>
        <v>BURIMI</v>
      </c>
      <c r="C711" s="40"/>
      <c r="D711" s="41">
        <v>46099</v>
      </c>
      <c r="E711" s="80"/>
      <c r="F711" s="78">
        <v>10330</v>
      </c>
      <c r="G711" s="43">
        <v>138.6</v>
      </c>
      <c r="H711" s="38">
        <v>35111</v>
      </c>
      <c r="I711" s="38">
        <v>12</v>
      </c>
      <c r="J711" s="38">
        <v>35109</v>
      </c>
      <c r="K711" s="38">
        <v>12</v>
      </c>
      <c r="L711" s="38">
        <v>35128</v>
      </c>
      <c r="M711" s="38">
        <v>12</v>
      </c>
    </row>
    <row r="712" spans="1:15" x14ac:dyDescent="0.25">
      <c r="A712" s="39" t="str">
        <f>IF(F712="","",VLOOKUP(F712,Tabelle1[],3))</f>
        <v>VITI</v>
      </c>
      <c r="B712" s="40" t="str">
        <f>IF(F712="","",VLOOKUP(F712,Tabelle1[],2))</f>
        <v>BALLKANI</v>
      </c>
      <c r="C712" s="40"/>
      <c r="D712" s="41">
        <v>46099</v>
      </c>
      <c r="E712" s="80"/>
      <c r="F712" s="78">
        <v>10350</v>
      </c>
      <c r="G712" s="43">
        <v>184.8</v>
      </c>
      <c r="H712" s="38">
        <v>35110</v>
      </c>
      <c r="I712" s="38">
        <v>12</v>
      </c>
      <c r="J712" s="38">
        <v>35111</v>
      </c>
      <c r="K712" s="38">
        <v>12</v>
      </c>
      <c r="L712" s="38">
        <v>35121</v>
      </c>
      <c r="M712" s="38">
        <v>12</v>
      </c>
      <c r="N712" s="38">
        <v>35128</v>
      </c>
      <c r="O712" s="38">
        <v>12</v>
      </c>
    </row>
    <row r="713" spans="1:15" x14ac:dyDescent="0.25">
      <c r="A713" s="39" t="str">
        <f>IF(F713="","",VLOOKUP(F713,Tabelle1[],3))</f>
        <v>GJILAN</v>
      </c>
      <c r="B713" s="40" t="str">
        <f>IF(F713="","",VLOOKUP(F713,Tabelle1[],2))</f>
        <v>BEKA-2</v>
      </c>
      <c r="C713" s="40"/>
      <c r="D713" s="41">
        <v>46099</v>
      </c>
      <c r="E713" s="80"/>
      <c r="F713" s="78">
        <v>10317</v>
      </c>
      <c r="G713" s="43">
        <v>46</v>
      </c>
      <c r="H713" s="38">
        <v>50912</v>
      </c>
      <c r="I713" s="38">
        <v>5</v>
      </c>
      <c r="J713" s="38">
        <v>54412</v>
      </c>
      <c r="K713" s="38">
        <v>5</v>
      </c>
    </row>
    <row r="714" spans="1:15" x14ac:dyDescent="0.25">
      <c r="A714" s="39" t="str">
        <f>IF(F714="","",VLOOKUP(F714,Tabelle1[],3))</f>
        <v>GJILAN</v>
      </c>
      <c r="B714" s="40" t="str">
        <f>IF(F714="","",VLOOKUP(F714,Tabelle1[],2))</f>
        <v>TINA</v>
      </c>
      <c r="C714" s="40"/>
      <c r="D714" s="41">
        <v>46099</v>
      </c>
      <c r="E714" s="80"/>
      <c r="F714" s="78">
        <v>10344</v>
      </c>
      <c r="G714" s="43">
        <v>92.4</v>
      </c>
      <c r="H714" s="38">
        <v>35108</v>
      </c>
      <c r="I714" s="38">
        <v>24</v>
      </c>
    </row>
    <row r="715" spans="1:15" x14ac:dyDescent="0.25">
      <c r="A715" s="39" t="str">
        <f>IF(F715="","",VLOOKUP(F715,Tabelle1[],3))</f>
        <v>GJILAN</v>
      </c>
      <c r="B715" s="40" t="str">
        <f>IF(F715="","",VLOOKUP(F715,Tabelle1[],2))</f>
        <v>ELIONI-1</v>
      </c>
      <c r="C715" s="40"/>
      <c r="D715" s="41">
        <v>46099</v>
      </c>
      <c r="E715" s="80"/>
      <c r="F715" s="78">
        <v>10306</v>
      </c>
      <c r="G715" s="43">
        <v>138.6</v>
      </c>
      <c r="H715" s="38">
        <v>35111</v>
      </c>
      <c r="I715" s="38">
        <v>12</v>
      </c>
      <c r="J715" s="38">
        <v>35115</v>
      </c>
      <c r="K715" s="38">
        <v>12</v>
      </c>
      <c r="L715" s="38">
        <v>35125</v>
      </c>
      <c r="M715" s="38">
        <v>12</v>
      </c>
    </row>
    <row r="716" spans="1:15" x14ac:dyDescent="0.25">
      <c r="A716" s="39" t="str">
        <f>IF(F716="","",VLOOKUP(F716,Tabelle1[],3))</f>
        <v>GJILAN</v>
      </c>
      <c r="B716" s="40" t="str">
        <f>IF(F716="","",VLOOKUP(F716,Tabelle1[],2))</f>
        <v>BEKA-3</v>
      </c>
      <c r="C716" s="40"/>
      <c r="D716" s="41">
        <v>46099</v>
      </c>
      <c r="E716" s="80"/>
      <c r="F716" s="78">
        <v>10323</v>
      </c>
      <c r="G716" s="43">
        <v>112.9</v>
      </c>
      <c r="H716" s="38">
        <v>50912</v>
      </c>
      <c r="I716" s="38">
        <v>12</v>
      </c>
      <c r="J716" s="38">
        <v>56117</v>
      </c>
      <c r="K716" s="38">
        <v>3</v>
      </c>
      <c r="L716" s="38">
        <v>44001</v>
      </c>
      <c r="M716" s="38">
        <v>3</v>
      </c>
      <c r="N716" s="38">
        <v>49644</v>
      </c>
      <c r="O716" s="38">
        <v>2</v>
      </c>
    </row>
    <row r="717" spans="1:15" x14ac:dyDescent="0.25">
      <c r="A717" s="39" t="str">
        <f>IF(F717="","",VLOOKUP(F717,Tabelle1[],3))</f>
        <v>GJILAN</v>
      </c>
      <c r="B717" s="40" t="str">
        <f>IF(F717="","",VLOOKUP(F717,Tabelle1[],2))</f>
        <v>BARDHI</v>
      </c>
      <c r="C717" s="40"/>
      <c r="D717" s="41">
        <v>46099</v>
      </c>
      <c r="E717" s="80"/>
      <c r="F717" s="78">
        <v>10347</v>
      </c>
      <c r="G717" s="43">
        <v>21.6</v>
      </c>
      <c r="H717" s="38">
        <v>50912</v>
      </c>
      <c r="I717" s="38">
        <v>3</v>
      </c>
    </row>
    <row r="718" spans="1:15" x14ac:dyDescent="0.25">
      <c r="A718" s="39" t="str">
        <f>IF(F718="","",VLOOKUP(F718,Tabelle1[],3))</f>
        <v>GJILAN</v>
      </c>
      <c r="B718" s="40" t="str">
        <f>IF(F718="","",VLOOKUP(F718,Tabelle1[],2))</f>
        <v>FUNDAMETI</v>
      </c>
      <c r="C718" s="40"/>
      <c r="D718" s="41">
        <v>46099</v>
      </c>
      <c r="E718" s="80"/>
      <c r="F718" s="78">
        <v>10301</v>
      </c>
      <c r="G718" s="43">
        <v>98.4</v>
      </c>
      <c r="H718" s="38">
        <v>35121</v>
      </c>
      <c r="I718" s="38">
        <v>24</v>
      </c>
      <c r="J718" s="38">
        <v>39505</v>
      </c>
      <c r="K718" s="38">
        <v>2</v>
      </c>
    </row>
    <row r="719" spans="1:15" x14ac:dyDescent="0.25">
      <c r="A719" s="39" t="str">
        <f>IF(F719="","",VLOOKUP(F719,Tabelle1[],3))</f>
        <v>GJILAN</v>
      </c>
      <c r="B719" s="40" t="str">
        <f>IF(F719="","",VLOOKUP(F719,Tabelle1[],2))</f>
        <v>EUROSAN</v>
      </c>
      <c r="C719" s="40"/>
      <c r="D719" s="41">
        <v>46099</v>
      </c>
      <c r="E719" s="80"/>
      <c r="F719" s="78">
        <v>10304</v>
      </c>
      <c r="G719" s="43">
        <v>27.6</v>
      </c>
      <c r="H719" s="38">
        <v>51612</v>
      </c>
      <c r="I719" s="38">
        <v>12</v>
      </c>
    </row>
    <row r="720" spans="1:15" x14ac:dyDescent="0.25">
      <c r="A720" s="39" t="str">
        <f>IF(F720="","",VLOOKUP(F720,Tabelle1[],3))</f>
        <v>MALISHEVE</v>
      </c>
      <c r="B720" s="40" t="str">
        <f>IF(F720="","",VLOOKUP(F720,Tabelle1[],2))</f>
        <v>BEREQETI</v>
      </c>
      <c r="C720" s="40"/>
      <c r="D720" s="41">
        <v>46099</v>
      </c>
      <c r="E720" s="80"/>
      <c r="F720" s="78">
        <v>20321</v>
      </c>
      <c r="G720" s="43">
        <v>231</v>
      </c>
      <c r="H720" s="38">
        <v>35121</v>
      </c>
      <c r="I720" s="38">
        <v>48</v>
      </c>
      <c r="J720" s="38">
        <v>35128</v>
      </c>
      <c r="K720" s="38">
        <v>12</v>
      </c>
    </row>
    <row r="721" spans="1:13" x14ac:dyDescent="0.25">
      <c r="A721" s="39" t="str">
        <f>IF(F721="","",VLOOKUP(F721,Tabelle1[],3))</f>
        <v>MALISHEVE</v>
      </c>
      <c r="B721" s="40" t="str">
        <f>IF(F721="","",VLOOKUP(F721,Tabelle1[],2))</f>
        <v>BARDHI-M</v>
      </c>
      <c r="C721" s="40"/>
      <c r="D721" s="41">
        <v>46099</v>
      </c>
      <c r="E721" s="80"/>
      <c r="F721" s="78">
        <v>20331</v>
      </c>
      <c r="G721" s="43">
        <v>138.6</v>
      </c>
      <c r="H721" s="38">
        <v>35121</v>
      </c>
      <c r="I721" s="38">
        <v>24</v>
      </c>
      <c r="J721" s="38">
        <v>35111</v>
      </c>
      <c r="K721" s="38">
        <v>12</v>
      </c>
    </row>
    <row r="722" spans="1:13" x14ac:dyDescent="0.25">
      <c r="A722" s="39" t="str">
        <f>IF(F722="","",VLOOKUP(F722,Tabelle1[],3))</f>
        <v>MALISHEVE</v>
      </c>
      <c r="B722" s="40" t="str">
        <f>IF(F722="","",VLOOKUP(F722,Tabelle1[],2))</f>
        <v>ABA QERAMIK</v>
      </c>
      <c r="C722" s="40"/>
      <c r="D722" s="41">
        <v>46099</v>
      </c>
      <c r="E722" s="80"/>
      <c r="F722" s="78">
        <v>20305</v>
      </c>
      <c r="G722" s="43">
        <v>92.4</v>
      </c>
      <c r="H722" s="38">
        <v>35121</v>
      </c>
      <c r="I722" s="38">
        <v>24</v>
      </c>
    </row>
    <row r="723" spans="1:13" x14ac:dyDescent="0.25">
      <c r="A723" s="39" t="str">
        <f>IF(F723="","",VLOOKUP(F723,Tabelle1[],3))</f>
        <v>RAHOVEC</v>
      </c>
      <c r="B723" s="40" t="str">
        <f>IF(F723="","",VLOOKUP(F723,Tabelle1[],2))</f>
        <v>URA</v>
      </c>
      <c r="C723" s="40"/>
      <c r="D723" s="41">
        <v>46099</v>
      </c>
      <c r="E723" s="80"/>
      <c r="F723" s="78">
        <v>20314</v>
      </c>
      <c r="G723" s="43">
        <v>92.4</v>
      </c>
      <c r="H723" s="38">
        <v>35110</v>
      </c>
      <c r="I723" s="38">
        <v>12</v>
      </c>
      <c r="J723" s="38">
        <v>35111</v>
      </c>
      <c r="K723" s="38">
        <v>12</v>
      </c>
    </row>
    <row r="724" spans="1:13" x14ac:dyDescent="0.25">
      <c r="A724" s="39" t="str">
        <f>IF(F724="","",VLOOKUP(F724,Tabelle1[],3))</f>
        <v>RAHOVEC</v>
      </c>
      <c r="B724" s="40" t="str">
        <f>IF(F724="","",VLOOKUP(F724,Tabelle1[],2))</f>
        <v>SOPAJ</v>
      </c>
      <c r="C724" s="40"/>
      <c r="D724" s="41">
        <v>46099</v>
      </c>
      <c r="E724" s="80"/>
      <c r="F724" s="78">
        <v>20311</v>
      </c>
      <c r="G724" s="43">
        <v>92.4</v>
      </c>
      <c r="H724" s="38">
        <v>35113</v>
      </c>
      <c r="I724" s="38">
        <v>24</v>
      </c>
    </row>
    <row r="725" spans="1:13" x14ac:dyDescent="0.25">
      <c r="A725" s="39" t="str">
        <f>IF(F725="","",VLOOKUP(F725,Tabelle1[],3))</f>
        <v>MALISHEVE</v>
      </c>
      <c r="B725" s="40" t="str">
        <f>IF(F725="","",VLOOKUP(F725,Tabelle1[],2))</f>
        <v>ARTURI</v>
      </c>
      <c r="C725" s="40"/>
      <c r="D725" s="41">
        <v>46099</v>
      </c>
      <c r="E725" s="80"/>
      <c r="F725" s="78">
        <v>20328</v>
      </c>
      <c r="G725" s="43">
        <v>138.6</v>
      </c>
      <c r="H725" s="38">
        <v>35110</v>
      </c>
      <c r="I725" s="38">
        <v>12</v>
      </c>
      <c r="J725" s="38">
        <v>35111</v>
      </c>
      <c r="K725" s="38">
        <v>12</v>
      </c>
      <c r="L725" s="38">
        <v>35121</v>
      </c>
      <c r="M725" s="38">
        <v>12</v>
      </c>
    </row>
    <row r="726" spans="1:13" x14ac:dyDescent="0.25">
      <c r="A726" s="39" t="str">
        <f>IF(F726="","",VLOOKUP(F726,Tabelle1[],3))</f>
        <v>PRIZREN</v>
      </c>
      <c r="B726" s="40" t="str">
        <f>IF(F726="","",VLOOKUP(F726,Tabelle1[],2))</f>
        <v>ARSIMI</v>
      </c>
      <c r="C726" s="40"/>
      <c r="D726" s="41">
        <v>46104</v>
      </c>
      <c r="E726" s="80"/>
      <c r="F726" s="78">
        <v>10258</v>
      </c>
      <c r="G726" s="43">
        <v>693</v>
      </c>
      <c r="H726" s="38">
        <v>35121</v>
      </c>
      <c r="I726" s="38">
        <v>180</v>
      </c>
    </row>
    <row r="727" spans="1:13" x14ac:dyDescent="0.25">
      <c r="A727" s="39" t="str">
        <f>IF(F727="","",VLOOKUP(F727,Tabelle1[],3))</f>
        <v>PRISHTINE</v>
      </c>
      <c r="B727" s="40" t="str">
        <f>IF(F727="","",VLOOKUP(F727,Tabelle1[],2))</f>
        <v>YLLI CONSTRUCION</v>
      </c>
      <c r="C727" s="40"/>
      <c r="D727" s="41">
        <v>46104</v>
      </c>
      <c r="E727" s="80"/>
      <c r="F727" s="78">
        <v>40017</v>
      </c>
      <c r="G727" s="43">
        <v>32</v>
      </c>
      <c r="H727" s="38">
        <v>35121</v>
      </c>
      <c r="I727" s="38">
        <v>8</v>
      </c>
    </row>
    <row r="728" spans="1:13" x14ac:dyDescent="0.25">
      <c r="A728" s="39" t="str">
        <f>IF(F728="","",VLOOKUP(F728,Tabelle1[],3))</f>
        <v>PRISHTINE</v>
      </c>
      <c r="B728" s="40" t="str">
        <f>IF(F728="","",VLOOKUP(F728,Tabelle1[],2))</f>
        <v>HIDROELDI</v>
      </c>
      <c r="C728" s="40"/>
      <c r="D728" s="41">
        <v>46104</v>
      </c>
      <c r="E728" s="80"/>
      <c r="F728" s="78">
        <v>10133</v>
      </c>
      <c r="G728" s="43">
        <v>184.8</v>
      </c>
      <c r="H728" s="38">
        <v>35128</v>
      </c>
      <c r="I728" s="38">
        <v>48</v>
      </c>
    </row>
    <row r="729" spans="1:13" x14ac:dyDescent="0.25">
      <c r="A729" s="39" t="str">
        <f>IF(F729="","",VLOOKUP(F729,Tabelle1[],3))</f>
        <v>PRISHTINE</v>
      </c>
      <c r="B729" s="40" t="str">
        <f>IF(F729="","",VLOOKUP(F729,Tabelle1[],2))</f>
        <v>KADIJOLLET</v>
      </c>
      <c r="C729" s="40"/>
      <c r="D729" s="41">
        <v>46104</v>
      </c>
      <c r="E729" s="80"/>
      <c r="F729" s="78">
        <v>10111</v>
      </c>
      <c r="G729" s="43">
        <v>92.4</v>
      </c>
      <c r="H729" s="38">
        <v>35111</v>
      </c>
      <c r="I729" s="38">
        <v>12</v>
      </c>
      <c r="J729" s="38">
        <v>35115</v>
      </c>
      <c r="K729" s="38">
        <v>12</v>
      </c>
    </row>
    <row r="730" spans="1:13" x14ac:dyDescent="0.25">
      <c r="A730" s="39" t="str">
        <f>IF(F730="","",VLOOKUP(F730,Tabelle1[],3))</f>
        <v>PODUJEVE</v>
      </c>
      <c r="B730" s="40" t="str">
        <f>IF(F730="","",VLOOKUP(F730,Tabelle1[],2))</f>
        <v>KUJTA</v>
      </c>
      <c r="C730" s="40"/>
      <c r="D730" s="41">
        <v>46104</v>
      </c>
      <c r="E730" s="80"/>
      <c r="F730" s="78">
        <v>10625</v>
      </c>
      <c r="G730" s="43">
        <v>184.8</v>
      </c>
      <c r="H730" s="38">
        <v>35121</v>
      </c>
      <c r="I730" s="38">
        <v>36</v>
      </c>
      <c r="J730" s="38">
        <v>35128</v>
      </c>
      <c r="K730" s="38">
        <v>12</v>
      </c>
    </row>
    <row r="731" spans="1:13" x14ac:dyDescent="0.25">
      <c r="A731" s="39" t="str">
        <f>IF(F731="","",VLOOKUP(F731,Tabelle1[],3))</f>
        <v>PEJE</v>
      </c>
      <c r="B731" s="40" t="str">
        <f>IF(F731="","",VLOOKUP(F731,Tabelle1[],2))</f>
        <v>TERMO PROJEKT</v>
      </c>
      <c r="C731" s="40"/>
      <c r="D731" s="41">
        <v>46104</v>
      </c>
      <c r="E731" s="80"/>
      <c r="F731" s="78">
        <v>20127</v>
      </c>
      <c r="G731" s="43">
        <v>46.2</v>
      </c>
      <c r="H731" s="38">
        <v>35110</v>
      </c>
      <c r="I731" s="38">
        <v>12</v>
      </c>
    </row>
    <row r="732" spans="1:13" x14ac:dyDescent="0.25">
      <c r="A732" s="39" t="str">
        <f>IF(F732="","",VLOOKUP(F732,Tabelle1[],3))</f>
        <v>PEJE</v>
      </c>
      <c r="B732" s="40" t="str">
        <f>IF(F732="","",VLOOKUP(F732,Tabelle1[],2))</f>
        <v>ENESI</v>
      </c>
      <c r="C732" s="40"/>
      <c r="D732" s="41">
        <v>46104</v>
      </c>
      <c r="E732" s="80"/>
      <c r="F732" s="78">
        <v>20130</v>
      </c>
      <c r="G732" s="43">
        <v>92.4</v>
      </c>
      <c r="H732" s="38">
        <v>35108</v>
      </c>
      <c r="I732" s="38">
        <v>12</v>
      </c>
      <c r="J732" s="38">
        <v>35110</v>
      </c>
      <c r="K732" s="38">
        <v>12</v>
      </c>
    </row>
    <row r="733" spans="1:13" x14ac:dyDescent="0.25">
      <c r="A733" s="39" t="str">
        <f>IF(F733="","",VLOOKUP(F733,Tabelle1[],3))</f>
        <v>PEJE</v>
      </c>
      <c r="B733" s="40" t="str">
        <f>IF(F733="","",VLOOKUP(F733,Tabelle1[],2))</f>
        <v>TE GZIMI</v>
      </c>
      <c r="C733" s="40"/>
      <c r="D733" s="41">
        <v>46104</v>
      </c>
      <c r="E733" s="80"/>
      <c r="F733" s="78">
        <v>20101</v>
      </c>
      <c r="G733" s="43">
        <v>36</v>
      </c>
      <c r="H733" s="38">
        <v>49644</v>
      </c>
      <c r="I733" s="38">
        <v>6</v>
      </c>
      <c r="J733" s="38">
        <v>54412</v>
      </c>
      <c r="K733" s="38">
        <v>8</v>
      </c>
      <c r="L733" s="38">
        <v>50912</v>
      </c>
      <c r="M733" s="38">
        <v>1</v>
      </c>
    </row>
    <row r="734" spans="1:13" x14ac:dyDescent="0.25">
      <c r="A734" s="39" t="str">
        <f>IF(F734="","",VLOOKUP(F734,Tabelle1[],3))</f>
        <v>PEJE</v>
      </c>
      <c r="B734" s="40" t="str">
        <f>IF(F734="","",VLOOKUP(F734,Tabelle1[],2))</f>
        <v>LULI-C</v>
      </c>
      <c r="C734" s="40"/>
      <c r="D734" s="41">
        <v>46104</v>
      </c>
      <c r="E734" s="80"/>
      <c r="F734" s="78">
        <v>20126</v>
      </c>
      <c r="G734" s="43">
        <v>64.8</v>
      </c>
      <c r="H734" s="38">
        <v>66701</v>
      </c>
      <c r="I734" s="38">
        <v>9</v>
      </c>
      <c r="J734" s="38">
        <v>49644</v>
      </c>
      <c r="K734" s="38">
        <v>6</v>
      </c>
    </row>
    <row r="735" spans="1:13" x14ac:dyDescent="0.25">
      <c r="A735" s="39" t="str">
        <f>IF(F735="","",VLOOKUP(F735,Tabelle1[],3))</f>
        <v>PEJE</v>
      </c>
      <c r="B735" s="40" t="str">
        <f>IF(F735="","",VLOOKUP(F735,Tabelle1[],2))</f>
        <v>CAMA BAU</v>
      </c>
      <c r="C735" s="40"/>
      <c r="D735" s="41">
        <v>46104</v>
      </c>
      <c r="E735" s="80"/>
      <c r="F735" s="78">
        <v>20121</v>
      </c>
      <c r="G735" s="43">
        <v>92.4</v>
      </c>
      <c r="H735" s="38">
        <v>35115</v>
      </c>
      <c r="I735" s="38">
        <v>12</v>
      </c>
      <c r="J735" s="38">
        <v>35121</v>
      </c>
      <c r="K735" s="38">
        <v>12</v>
      </c>
    </row>
    <row r="736" spans="1:13" x14ac:dyDescent="0.25">
      <c r="A736" s="39" t="str">
        <f>IF(F736="","",VLOOKUP(F736,Tabelle1[],3))</f>
        <v>THARAND</v>
      </c>
      <c r="B736" s="40" t="str">
        <f>IF(F736="","",VLOOKUP(F736,Tabelle1[],2))</f>
        <v>TE BESNIKU</v>
      </c>
      <c r="C736" s="40"/>
      <c r="D736" s="41">
        <v>46105</v>
      </c>
      <c r="E736" s="80"/>
      <c r="F736" s="78">
        <v>10201</v>
      </c>
      <c r="G736" s="43">
        <v>92.4</v>
      </c>
      <c r="H736" s="38">
        <v>35108</v>
      </c>
      <c r="I736" s="38">
        <v>24</v>
      </c>
    </row>
    <row r="737" spans="1:15" x14ac:dyDescent="0.25">
      <c r="A737" s="39" t="str">
        <f>IF(F737="","",VLOOKUP(F737,Tabelle1[],3))</f>
        <v>SHIROK</v>
      </c>
      <c r="B737" s="40" t="str">
        <f>IF(F737="","",VLOOKUP(F737,Tabelle1[],2))</f>
        <v>GIMI</v>
      </c>
      <c r="C737" s="40"/>
      <c r="D737" s="41">
        <v>46105</v>
      </c>
      <c r="E737" s="80"/>
      <c r="F737" s="78">
        <v>10204</v>
      </c>
      <c r="G737" s="43">
        <v>138.6</v>
      </c>
      <c r="H737" s="38">
        <v>35121</v>
      </c>
      <c r="I737" s="38">
        <v>36</v>
      </c>
    </row>
    <row r="738" spans="1:15" x14ac:dyDescent="0.25">
      <c r="A738" s="39" t="str">
        <f>IF(F738="","",VLOOKUP(F738,Tabelle1[],3))</f>
        <v>THARAND</v>
      </c>
      <c r="B738" s="40" t="str">
        <f>IF(F738="","",VLOOKUP(F738,Tabelle1[],2))</f>
        <v>TE BESNIKU</v>
      </c>
      <c r="C738" s="40"/>
      <c r="D738" s="41">
        <v>46105</v>
      </c>
      <c r="E738" s="80"/>
      <c r="F738" s="78">
        <v>10201</v>
      </c>
      <c r="G738" s="43">
        <v>46.2</v>
      </c>
      <c r="H738" s="38">
        <v>35111</v>
      </c>
      <c r="I738" s="38">
        <v>12</v>
      </c>
    </row>
    <row r="739" spans="1:15" x14ac:dyDescent="0.25">
      <c r="A739" s="39" t="str">
        <f>IF(F739="","",VLOOKUP(F739,Tabelle1[],3))</f>
        <v>SHIROK</v>
      </c>
      <c r="B739" s="40" t="str">
        <f>IF(F739="","",VLOOKUP(F739,Tabelle1[],2))</f>
        <v>XHAFA</v>
      </c>
      <c r="C739" s="40"/>
      <c r="D739" s="41">
        <v>46105</v>
      </c>
      <c r="E739" s="80"/>
      <c r="F739" s="78">
        <v>10205</v>
      </c>
      <c r="G739" s="43">
        <v>92.4</v>
      </c>
      <c r="H739" s="38">
        <v>35121</v>
      </c>
      <c r="I739" s="38">
        <v>12</v>
      </c>
      <c r="J739" s="38">
        <v>35109</v>
      </c>
      <c r="K739" s="38">
        <v>12</v>
      </c>
    </row>
    <row r="740" spans="1:15" x14ac:dyDescent="0.25">
      <c r="A740" s="39" t="str">
        <f>IF(F740="","",VLOOKUP(F740,Tabelle1[],3))</f>
        <v>THARAND</v>
      </c>
      <c r="B740" s="40" t="str">
        <f>IF(F740="","",VLOOKUP(F740,Tabelle1[],2))</f>
        <v>METAL FATI</v>
      </c>
      <c r="C740" s="40"/>
      <c r="D740" s="41">
        <v>46105</v>
      </c>
      <c r="E740" s="80"/>
      <c r="F740" s="78">
        <v>10202</v>
      </c>
      <c r="G740" s="43">
        <v>92.4</v>
      </c>
      <c r="H740" s="38">
        <v>35108</v>
      </c>
      <c r="I740" s="38">
        <v>12</v>
      </c>
      <c r="J740" s="38">
        <v>35128</v>
      </c>
      <c r="K740" s="38">
        <v>12</v>
      </c>
    </row>
    <row r="741" spans="1:15" x14ac:dyDescent="0.25">
      <c r="A741" s="39" t="str">
        <f>IF(F741="","",VLOOKUP(F741,Tabelle1[],3))</f>
        <v>PRIZREN</v>
      </c>
      <c r="B741" s="40" t="str">
        <f>IF(F741="","",VLOOKUP(F741,Tabelle1[],2))</f>
        <v>ARPO</v>
      </c>
      <c r="C741" s="40"/>
      <c r="D741" s="41">
        <v>46105</v>
      </c>
      <c r="E741" s="80"/>
      <c r="F741" s="78">
        <v>10240</v>
      </c>
      <c r="G741" s="43">
        <v>293.2</v>
      </c>
      <c r="H741" s="38">
        <v>35121</v>
      </c>
      <c r="I741" s="38">
        <v>48</v>
      </c>
      <c r="J741" s="38">
        <v>35128</v>
      </c>
      <c r="K741" s="38">
        <v>12</v>
      </c>
      <c r="L741" s="38">
        <v>35113</v>
      </c>
      <c r="M741" s="38">
        <v>12</v>
      </c>
      <c r="N741" s="38">
        <v>12000</v>
      </c>
      <c r="O741" s="38">
        <v>2</v>
      </c>
    </row>
    <row r="742" spans="1:15" x14ac:dyDescent="0.25">
      <c r="A742" s="39" t="str">
        <f>IF(F742="","",VLOOKUP(F742,Tabelle1[],3))</f>
        <v>PRIZREN</v>
      </c>
      <c r="B742" s="40" t="str">
        <f>IF(F742="","",VLOOKUP(F742,Tabelle1[],2))</f>
        <v>TEMAJ</v>
      </c>
      <c r="C742" s="40"/>
      <c r="D742" s="41">
        <v>46105</v>
      </c>
      <c r="E742" s="80"/>
      <c r="F742" s="78">
        <v>40019</v>
      </c>
      <c r="G742" s="43">
        <v>138.6</v>
      </c>
      <c r="H742" s="38">
        <v>35108</v>
      </c>
      <c r="I742" s="38">
        <v>12</v>
      </c>
      <c r="J742" s="38">
        <v>35121</v>
      </c>
      <c r="K742" s="38">
        <v>24</v>
      </c>
    </row>
    <row r="743" spans="1:15" x14ac:dyDescent="0.25">
      <c r="A743" s="39" t="str">
        <f>IF(F743="","",VLOOKUP(F743,Tabelle1[],3))</f>
        <v>GJAKOVE</v>
      </c>
      <c r="B743" s="40" t="str">
        <f>IF(F743="","",VLOOKUP(F743,Tabelle1[],2))</f>
        <v>INOX 2</v>
      </c>
      <c r="C743" s="40"/>
      <c r="D743" s="41">
        <v>46105</v>
      </c>
      <c r="E743" s="80"/>
      <c r="F743" s="78">
        <v>20212</v>
      </c>
      <c r="G743" s="43">
        <v>92.4</v>
      </c>
      <c r="H743" s="38">
        <v>35108</v>
      </c>
      <c r="I743" s="38">
        <v>12</v>
      </c>
      <c r="J743" s="38">
        <v>35110</v>
      </c>
      <c r="K743" s="38">
        <v>12</v>
      </c>
    </row>
    <row r="744" spans="1:15" x14ac:dyDescent="0.25">
      <c r="A744" s="39" t="str">
        <f>IF(F744="","",VLOOKUP(F744,Tabelle1[],3))</f>
        <v>GJAKOVE</v>
      </c>
      <c r="B744" s="40" t="str">
        <f>IF(F744="","",VLOOKUP(F744,Tabelle1[],2))</f>
        <v>GER COLORS</v>
      </c>
      <c r="C744" s="40"/>
      <c r="D744" s="41">
        <v>46105</v>
      </c>
      <c r="E744" s="80"/>
      <c r="F744" s="78">
        <v>20223</v>
      </c>
      <c r="G744" s="43">
        <v>92.4</v>
      </c>
      <c r="H744" s="38">
        <v>35113</v>
      </c>
      <c r="I744" s="38">
        <v>12</v>
      </c>
      <c r="J744" s="38">
        <v>35119</v>
      </c>
      <c r="K744" s="38">
        <v>12</v>
      </c>
    </row>
    <row r="745" spans="1:15" x14ac:dyDescent="0.25">
      <c r="A745" s="39" t="str">
        <f>IF(F745="","",VLOOKUP(F745,Tabelle1[],3))</f>
        <v>GJAKOVE</v>
      </c>
      <c r="B745" s="40" t="str">
        <f>IF(F745="","",VLOOKUP(F745,Tabelle1[],2))</f>
        <v>V. GJONAJ</v>
      </c>
      <c r="C745" s="40"/>
      <c r="D745" s="41">
        <v>46105</v>
      </c>
      <c r="E745" s="80"/>
      <c r="F745" s="78">
        <v>20208</v>
      </c>
      <c r="G745" s="43">
        <v>92.4</v>
      </c>
      <c r="H745" s="38">
        <v>35113</v>
      </c>
      <c r="I745" s="38">
        <v>12</v>
      </c>
      <c r="J745" s="38">
        <v>35114</v>
      </c>
      <c r="K745" s="38">
        <v>12</v>
      </c>
    </row>
    <row r="746" spans="1:15" x14ac:dyDescent="0.25">
      <c r="A746" s="39" t="str">
        <f>IF(F746="","",VLOOKUP(F746,Tabelle1[],3))</f>
        <v>DEQAN</v>
      </c>
      <c r="B746" s="40" t="str">
        <f>IF(F746="","",VLOOKUP(F746,Tabelle1[],2))</f>
        <v>AFRIMI-AG</v>
      </c>
      <c r="C746" s="40"/>
      <c r="D746" s="41">
        <v>46105</v>
      </c>
      <c r="E746" s="80"/>
      <c r="F746" s="78">
        <v>20203</v>
      </c>
      <c r="G746" s="43">
        <v>92.4</v>
      </c>
      <c r="H746" s="38">
        <v>35111</v>
      </c>
      <c r="I746" s="38">
        <v>12</v>
      </c>
      <c r="J746" s="38">
        <v>35128</v>
      </c>
      <c r="K746" s="38">
        <v>12</v>
      </c>
    </row>
    <row r="747" spans="1:15" x14ac:dyDescent="0.25">
      <c r="A747" s="39" t="str">
        <f>IF(F747="","",VLOOKUP(F747,Tabelle1[],3))</f>
        <v>DEQAN</v>
      </c>
      <c r="B747" s="40" t="str">
        <f>IF(F747="","",VLOOKUP(F747,Tabelle1[],2))</f>
        <v>TE BESIMI</v>
      </c>
      <c r="C747" s="40"/>
      <c r="D747" s="41">
        <v>46105</v>
      </c>
      <c r="E747" s="80"/>
      <c r="F747" s="78">
        <v>20201</v>
      </c>
      <c r="G747" s="43">
        <v>67.599999999999994</v>
      </c>
      <c r="H747" s="38">
        <v>51612</v>
      </c>
      <c r="I747" s="38">
        <v>12</v>
      </c>
      <c r="J747" s="38">
        <v>56117</v>
      </c>
      <c r="K747" s="38">
        <v>7</v>
      </c>
      <c r="L747" s="38">
        <v>39505</v>
      </c>
      <c r="M747" s="38">
        <v>4</v>
      </c>
    </row>
    <row r="748" spans="1:15" x14ac:dyDescent="0.25">
      <c r="A748" s="39" t="str">
        <f>IF(F748="","",VLOOKUP(F748,Tabelle1[],3))</f>
        <v>HOME KIM TEC</v>
      </c>
      <c r="B748" s="40" t="str">
        <f>IF(F748="","",VLOOKUP(F748,Tabelle1[],2))</f>
        <v>ARBENI BIOBLIC</v>
      </c>
      <c r="C748" s="40"/>
      <c r="D748" s="41">
        <v>46105</v>
      </c>
      <c r="E748" s="80"/>
      <c r="F748" s="78">
        <v>40003</v>
      </c>
      <c r="G748" s="43">
        <v>245.8</v>
      </c>
      <c r="H748" s="38">
        <v>20001</v>
      </c>
      <c r="I748" s="38">
        <v>150</v>
      </c>
      <c r="J748" s="38">
        <v>30275</v>
      </c>
      <c r="K748" s="38">
        <v>20</v>
      </c>
      <c r="L748" s="38">
        <v>39505</v>
      </c>
      <c r="M748" s="38">
        <v>5</v>
      </c>
      <c r="N748" s="38">
        <v>11000</v>
      </c>
      <c r="O748" s="38">
        <v>2</v>
      </c>
    </row>
    <row r="749" spans="1:15" x14ac:dyDescent="0.25">
      <c r="A749" s="39" t="str">
        <f>IF(F749="","",VLOOKUP(F749,Tabelle1[],3))</f>
        <v>VITI</v>
      </c>
      <c r="B749" s="40" t="str">
        <f>IF(F749="","",VLOOKUP(F749,Tabelle1[],2))</f>
        <v>DARDANIA</v>
      </c>
      <c r="C749" s="40"/>
      <c r="D749" s="41">
        <v>46106</v>
      </c>
      <c r="E749" s="80"/>
      <c r="F749" s="78">
        <v>10332</v>
      </c>
      <c r="G749" s="43">
        <v>46.2</v>
      </c>
      <c r="H749" s="38">
        <v>35121</v>
      </c>
      <c r="I749" s="38">
        <v>12</v>
      </c>
    </row>
    <row r="750" spans="1:15" x14ac:dyDescent="0.25">
      <c r="A750" s="39" t="str">
        <f>IF(F750="","",VLOOKUP(F750,Tabelle1[],3))</f>
        <v>VITI</v>
      </c>
      <c r="B750" s="40" t="str">
        <f>IF(F750="","",VLOOKUP(F750,Tabelle1[],2))</f>
        <v>BALLKANI</v>
      </c>
      <c r="C750" s="40"/>
      <c r="D750" s="41">
        <v>46106</v>
      </c>
      <c r="E750" s="80"/>
      <c r="F750" s="78">
        <v>10350</v>
      </c>
      <c r="G750" s="43">
        <v>323.39999999999998</v>
      </c>
      <c r="H750" s="38">
        <v>35113</v>
      </c>
      <c r="I750" s="38">
        <v>12</v>
      </c>
      <c r="J750" s="38">
        <v>35128</v>
      </c>
      <c r="K750" s="38">
        <v>12</v>
      </c>
      <c r="L750" s="38">
        <v>35115</v>
      </c>
      <c r="M750" s="38">
        <v>12</v>
      </c>
      <c r="N750" s="38">
        <v>35121</v>
      </c>
      <c r="O750" s="38">
        <v>48</v>
      </c>
    </row>
    <row r="751" spans="1:15" x14ac:dyDescent="0.25">
      <c r="A751" s="39" t="str">
        <f>IF(F751="","",VLOOKUP(F751,Tabelle1[],3))</f>
        <v>GJILAN</v>
      </c>
      <c r="B751" s="40" t="str">
        <f>IF(F751="","",VLOOKUP(F751,Tabelle1[],2))</f>
        <v>GLOBAL NT</v>
      </c>
      <c r="C751" s="40"/>
      <c r="D751" s="41">
        <v>46106</v>
      </c>
      <c r="E751" s="80"/>
      <c r="F751" s="78">
        <v>10360</v>
      </c>
      <c r="G751" s="43">
        <v>73.8</v>
      </c>
      <c r="H751" s="38">
        <v>35111</v>
      </c>
      <c r="I751" s="38">
        <v>12</v>
      </c>
      <c r="J751" s="38">
        <v>51612</v>
      </c>
      <c r="K751" s="38">
        <v>12</v>
      </c>
    </row>
    <row r="752" spans="1:15" x14ac:dyDescent="0.25">
      <c r="A752" s="39" t="str">
        <f>IF(F752="","",VLOOKUP(F752,Tabelle1[],3))</f>
        <v>GJILAN</v>
      </c>
      <c r="B752" s="40" t="str">
        <f>IF(F752="","",VLOOKUP(F752,Tabelle1[],2))</f>
        <v>TINA</v>
      </c>
      <c r="C752" s="40"/>
      <c r="D752" s="41">
        <v>46106</v>
      </c>
      <c r="E752" s="80"/>
      <c r="F752" s="78">
        <v>10344</v>
      </c>
      <c r="G752" s="43">
        <v>92.4</v>
      </c>
      <c r="H752" s="38">
        <v>35128</v>
      </c>
      <c r="I752" s="38">
        <v>12</v>
      </c>
      <c r="J752" s="38">
        <v>35108</v>
      </c>
      <c r="K752" s="38">
        <v>12</v>
      </c>
    </row>
    <row r="753" spans="1:17" x14ac:dyDescent="0.25">
      <c r="A753" s="39" t="str">
        <f>IF(F753="","",VLOOKUP(F753,Tabelle1[],3))</f>
        <v>GJILAN</v>
      </c>
      <c r="B753" s="40" t="str">
        <f>IF(F753="","",VLOOKUP(F753,Tabelle1[],2))</f>
        <v>BEKA-2</v>
      </c>
      <c r="C753" s="40"/>
      <c r="D753" s="41">
        <v>46106</v>
      </c>
      <c r="E753" s="80"/>
      <c r="F753" s="78">
        <v>10317</v>
      </c>
      <c r="G753" s="43">
        <v>41.6</v>
      </c>
      <c r="H753" s="38">
        <v>54412</v>
      </c>
      <c r="I753" s="38">
        <v>10</v>
      </c>
      <c r="J753" s="38">
        <v>50912</v>
      </c>
      <c r="K753" s="38">
        <v>3</v>
      </c>
    </row>
    <row r="754" spans="1:17" x14ac:dyDescent="0.25">
      <c r="A754" s="39" t="str">
        <f>IF(F754="","",VLOOKUP(F754,Tabelle1[],3))</f>
        <v>GJILAN</v>
      </c>
      <c r="B754" s="40" t="str">
        <f>IF(F754="","",VLOOKUP(F754,Tabelle1[],2))</f>
        <v>FATMIRI</v>
      </c>
      <c r="C754" s="40"/>
      <c r="D754" s="41">
        <v>46106</v>
      </c>
      <c r="E754" s="80"/>
      <c r="F754" s="78">
        <v>10313</v>
      </c>
      <c r="G754" s="43">
        <v>99.4</v>
      </c>
      <c r="H754" s="38">
        <v>35121</v>
      </c>
      <c r="I754" s="38">
        <v>24</v>
      </c>
      <c r="J754" s="38">
        <v>44001</v>
      </c>
      <c r="K754" s="38">
        <v>2</v>
      </c>
    </row>
    <row r="755" spans="1:17" x14ac:dyDescent="0.25">
      <c r="A755" s="39" t="str">
        <f>IF(F755="","",VLOOKUP(F755,Tabelle1[],3))</f>
        <v>GJILAN</v>
      </c>
      <c r="B755" s="40" t="str">
        <f>IF(F755="","",VLOOKUP(F755,Tabelle1[],2))</f>
        <v>BEKA-1</v>
      </c>
      <c r="C755" s="40"/>
      <c r="D755" s="41">
        <v>46106</v>
      </c>
      <c r="E755" s="80"/>
      <c r="F755" s="78">
        <v>10303</v>
      </c>
      <c r="G755" s="43">
        <v>40</v>
      </c>
      <c r="H755" s="38">
        <v>50912</v>
      </c>
      <c r="I755" s="38">
        <v>5</v>
      </c>
      <c r="J755" s="38">
        <v>49644</v>
      </c>
      <c r="K755" s="38">
        <v>2</v>
      </c>
    </row>
    <row r="756" spans="1:17" x14ac:dyDescent="0.25">
      <c r="A756" s="39" t="str">
        <f>IF(F756="","",VLOOKUP(F756,Tabelle1[],3))</f>
        <v>GJILAN</v>
      </c>
      <c r="B756" s="40" t="str">
        <f>IF(F756="","",VLOOKUP(F756,Tabelle1[],2))</f>
        <v>TREND CERAMIKA</v>
      </c>
      <c r="C756" s="40"/>
      <c r="D756" s="41">
        <v>46106</v>
      </c>
      <c r="E756" s="80"/>
      <c r="F756" s="78">
        <v>10353</v>
      </c>
      <c r="G756" s="43">
        <v>92.4</v>
      </c>
      <c r="H756" s="38">
        <v>35121</v>
      </c>
      <c r="I756" s="38">
        <v>24</v>
      </c>
    </row>
    <row r="757" spans="1:17" x14ac:dyDescent="0.25">
      <c r="A757" s="39" t="str">
        <f>IF(F757="","",VLOOKUP(F757,Tabelle1[],3))</f>
        <v>RAHOVEC</v>
      </c>
      <c r="B757" s="40" t="str">
        <f>IF(F757="","",VLOOKUP(F757,Tabelle1[],2))</f>
        <v>CONDOR</v>
      </c>
      <c r="C757" s="40"/>
      <c r="D757" s="41">
        <v>46106</v>
      </c>
      <c r="E757" s="80"/>
      <c r="F757" s="78">
        <v>20307</v>
      </c>
      <c r="G757" s="43">
        <v>193.8</v>
      </c>
      <c r="H757" s="38">
        <v>35110</v>
      </c>
      <c r="I757" s="38">
        <v>24</v>
      </c>
      <c r="J757" s="38">
        <v>35108</v>
      </c>
      <c r="K757" s="38">
        <v>12</v>
      </c>
      <c r="L757" s="38">
        <v>51612</v>
      </c>
      <c r="M757" s="38">
        <v>24</v>
      </c>
    </row>
    <row r="758" spans="1:17" x14ac:dyDescent="0.25">
      <c r="A758" s="39" t="str">
        <f>IF(F758="","",VLOOKUP(F758,Tabelle1[],3))</f>
        <v>RAHOVEC</v>
      </c>
      <c r="B758" s="40" t="str">
        <f>IF(F758="","",VLOOKUP(F758,Tabelle1[],2))</f>
        <v>CONDOR</v>
      </c>
      <c r="C758" s="40"/>
      <c r="D758" s="41">
        <v>46106</v>
      </c>
      <c r="E758" s="80"/>
      <c r="F758" s="78">
        <v>20307</v>
      </c>
      <c r="G758" s="43">
        <v>114</v>
      </c>
      <c r="H758" s="38">
        <v>51936</v>
      </c>
      <c r="I758" s="38">
        <v>12</v>
      </c>
      <c r="J758" s="38">
        <v>51736</v>
      </c>
      <c r="K758" s="38">
        <v>12</v>
      </c>
      <c r="L758" s="38">
        <v>31819</v>
      </c>
      <c r="M758" s="38">
        <v>6</v>
      </c>
      <c r="N758" s="38">
        <v>69236</v>
      </c>
      <c r="O758" s="38">
        <v>6</v>
      </c>
      <c r="P758" s="38">
        <v>49644</v>
      </c>
      <c r="Q758" s="38">
        <v>12</v>
      </c>
    </row>
    <row r="759" spans="1:17" x14ac:dyDescent="0.25">
      <c r="A759" s="39" t="str">
        <f>IF(F759="","",VLOOKUP(F759,Tabelle1[],3))</f>
        <v>MALISHEVE</v>
      </c>
      <c r="B759" s="40" t="str">
        <f>IF(F759="","",VLOOKUP(F759,Tabelle1[],2))</f>
        <v>BARDHI-M</v>
      </c>
      <c r="C759" s="40"/>
      <c r="D759" s="41">
        <v>46106</v>
      </c>
      <c r="E759" s="80"/>
      <c r="F759" s="78">
        <v>20331</v>
      </c>
      <c r="G759" s="43">
        <v>92.4</v>
      </c>
      <c r="H759" s="38">
        <v>35110</v>
      </c>
      <c r="I759" s="38">
        <v>12</v>
      </c>
      <c r="J759" s="38">
        <v>35121</v>
      </c>
      <c r="K759" s="38">
        <v>12</v>
      </c>
    </row>
    <row r="760" spans="1:17" x14ac:dyDescent="0.25">
      <c r="A760" s="39" t="str">
        <f>IF(F760="","",VLOOKUP(F760,Tabelle1[],3))</f>
        <v>MALISHEVE</v>
      </c>
      <c r="B760" s="40" t="str">
        <f>IF(F760="","",VLOOKUP(F760,Tabelle1[],2))</f>
        <v>BEREQETI</v>
      </c>
      <c r="C760" s="40"/>
      <c r="D760" s="41">
        <v>46106</v>
      </c>
      <c r="E760" s="80"/>
      <c r="F760" s="78">
        <v>20321</v>
      </c>
      <c r="G760" s="43">
        <v>147.6</v>
      </c>
      <c r="H760" s="38">
        <v>35121</v>
      </c>
      <c r="I760" s="38">
        <v>24</v>
      </c>
      <c r="J760" s="38">
        <v>51612</v>
      </c>
      <c r="K760" s="38">
        <v>24</v>
      </c>
    </row>
    <row r="761" spans="1:17" x14ac:dyDescent="0.25">
      <c r="A761" s="39" t="str">
        <f>IF(F761="","",VLOOKUP(F761,Tabelle1[],3))</f>
        <v>MALISHEVE</v>
      </c>
      <c r="B761" s="40" t="str">
        <f>IF(F761="","",VLOOKUP(F761,Tabelle1[],2))</f>
        <v>AGRO-FARM</v>
      </c>
      <c r="C761" s="40"/>
      <c r="D761" s="41">
        <v>46106</v>
      </c>
      <c r="E761" s="80"/>
      <c r="F761" s="78">
        <v>20304</v>
      </c>
      <c r="G761" s="43">
        <v>70.2</v>
      </c>
      <c r="H761" s="38">
        <v>35111</v>
      </c>
      <c r="I761" s="38">
        <v>12</v>
      </c>
      <c r="J761" s="38">
        <v>54412</v>
      </c>
      <c r="K761" s="38">
        <v>12</v>
      </c>
    </row>
    <row r="762" spans="1:17" x14ac:dyDescent="0.25">
      <c r="A762" s="39" t="str">
        <f>IF(F762="","",VLOOKUP(F762,Tabelle1[],3))</f>
        <v>MALISHEVE</v>
      </c>
      <c r="B762" s="40" t="str">
        <f>IF(F762="","",VLOOKUP(F762,Tabelle1[],2))</f>
        <v>ABA QERAMIK</v>
      </c>
      <c r="C762" s="40"/>
      <c r="D762" s="41">
        <v>46106</v>
      </c>
      <c r="E762" s="80"/>
      <c r="F762" s="78">
        <v>20305</v>
      </c>
      <c r="G762" s="43">
        <v>92.4</v>
      </c>
      <c r="H762" s="38">
        <v>35121</v>
      </c>
      <c r="I762" s="38">
        <v>24</v>
      </c>
    </row>
    <row r="763" spans="1:17" x14ac:dyDescent="0.25">
      <c r="A763" s="39" t="str">
        <f>IF(F763="","",VLOOKUP(F763,Tabelle1[],3))</f>
        <v>RAHOVEC</v>
      </c>
      <c r="B763" s="40" t="str">
        <f>IF(F763="","",VLOOKUP(F763,Tabelle1[],2))</f>
        <v>DURGUTI 3</v>
      </c>
      <c r="C763" s="40"/>
      <c r="D763" s="41">
        <v>46106</v>
      </c>
      <c r="E763" s="80"/>
      <c r="F763" s="78">
        <v>20313</v>
      </c>
      <c r="G763" s="43">
        <v>92.4</v>
      </c>
      <c r="H763" s="38">
        <v>35108</v>
      </c>
      <c r="I763" s="38">
        <v>12</v>
      </c>
      <c r="J763" s="38">
        <v>35128</v>
      </c>
      <c r="K763" s="38">
        <v>12</v>
      </c>
    </row>
    <row r="764" spans="1:17" x14ac:dyDescent="0.25">
      <c r="A764" s="39" t="str">
        <f>IF(F764="","",VLOOKUP(F764,Tabelle1[],3))</f>
        <v>RAHOVEC</v>
      </c>
      <c r="B764" s="40" t="str">
        <f>IF(F764="","",VLOOKUP(F764,Tabelle1[],2))</f>
        <v>SHEHU-A</v>
      </c>
      <c r="C764" s="40"/>
      <c r="D764" s="41">
        <v>46106</v>
      </c>
      <c r="E764" s="80"/>
      <c r="F764" s="78">
        <v>20317</v>
      </c>
      <c r="G764" s="43">
        <v>98.4</v>
      </c>
      <c r="H764" s="38">
        <v>50912</v>
      </c>
      <c r="I764" s="38">
        <v>12</v>
      </c>
      <c r="J764" s="38">
        <v>49644</v>
      </c>
      <c r="K764" s="38">
        <v>6</v>
      </c>
    </row>
    <row r="765" spans="1:17" x14ac:dyDescent="0.25">
      <c r="A765" s="39" t="str">
        <f>IF(F765="","",VLOOKUP(F765,Tabelle1[],3))</f>
        <v>HOME KIM TEC</v>
      </c>
      <c r="B765" s="40" t="str">
        <f>IF(F765="","",VLOOKUP(F765,Tabelle1[],2))</f>
        <v>ARBENI BIOBLIC</v>
      </c>
      <c r="C765" s="40"/>
      <c r="D765" s="41">
        <v>46106</v>
      </c>
      <c r="E765" s="80"/>
      <c r="F765" s="78">
        <v>40003</v>
      </c>
      <c r="G765" s="43">
        <v>40</v>
      </c>
      <c r="H765" s="38">
        <v>30275</v>
      </c>
      <c r="I765" s="38">
        <v>40</v>
      </c>
    </row>
    <row r="766" spans="1:17" x14ac:dyDescent="0.25">
      <c r="A766" s="39" t="str">
        <f>IF(F766="","",VLOOKUP(F766,Tabelle1[],3))</f>
        <v>PRISHTINE</v>
      </c>
      <c r="B766" s="40" t="str">
        <f>IF(F766="","",VLOOKUP(F766,Tabelle1[],2))</f>
        <v>YLLI CONSTRUCION</v>
      </c>
      <c r="C766" s="40"/>
      <c r="D766" s="41">
        <v>46107</v>
      </c>
      <c r="E766" s="80"/>
      <c r="F766" s="78">
        <v>40017</v>
      </c>
      <c r="G766" s="43">
        <v>24</v>
      </c>
      <c r="H766" s="38">
        <v>35121</v>
      </c>
      <c r="I766" s="38">
        <v>3</v>
      </c>
      <c r="J766" s="38">
        <v>35113</v>
      </c>
      <c r="K766" s="38">
        <v>3</v>
      </c>
    </row>
    <row r="767" spans="1:17" x14ac:dyDescent="0.25">
      <c r="A767" s="39" t="str">
        <f>IF(F767="","",VLOOKUP(F767,Tabelle1[],3))</f>
        <v>HOME KIM TEC</v>
      </c>
      <c r="B767" s="40" t="str">
        <f>IF(F767="","",VLOOKUP(F767,Tabelle1[],2))</f>
        <v>ARBENI BIOBLIC</v>
      </c>
      <c r="C767" s="40"/>
      <c r="D767" s="41">
        <v>46107</v>
      </c>
      <c r="E767" s="80"/>
      <c r="F767" s="78">
        <v>40003</v>
      </c>
      <c r="G767" s="43">
        <v>204</v>
      </c>
      <c r="H767" s="38">
        <v>20001</v>
      </c>
      <c r="I767" s="38">
        <v>100</v>
      </c>
      <c r="J767" s="38">
        <v>30275</v>
      </c>
      <c r="K767" s="38">
        <v>40</v>
      </c>
      <c r="L767" s="38">
        <v>39505</v>
      </c>
      <c r="M767" s="38">
        <v>7</v>
      </c>
      <c r="N767" s="38">
        <v>11000</v>
      </c>
      <c r="O767" s="38">
        <v>2</v>
      </c>
      <c r="P767" s="38">
        <v>31880</v>
      </c>
      <c r="Q767" s="38">
        <v>1</v>
      </c>
    </row>
    <row r="768" spans="1:17" x14ac:dyDescent="0.25">
      <c r="A768" s="39" t="str">
        <f>IF(F768="","",VLOOKUP(F768,Tabelle1[],3))</f>
        <v>MITROVICE</v>
      </c>
      <c r="B768" s="40" t="str">
        <f>IF(F768="","",VLOOKUP(F768,Tabelle1[],2))</f>
        <v>GRANITI</v>
      </c>
      <c r="C768" s="40"/>
      <c r="D768" s="41">
        <v>46107</v>
      </c>
      <c r="E768" s="80"/>
      <c r="F768" s="78">
        <v>10410</v>
      </c>
      <c r="G768" s="43">
        <v>27.6</v>
      </c>
      <c r="H768" s="38">
        <v>51612</v>
      </c>
      <c r="I768" s="38">
        <v>12</v>
      </c>
    </row>
    <row r="769" spans="1:21" x14ac:dyDescent="0.25">
      <c r="A769" s="39" t="str">
        <f>IF(F769="","",VLOOKUP(F769,Tabelle1[],3))</f>
        <v>VUSHTRRI</v>
      </c>
      <c r="B769" s="40" t="str">
        <f>IF(F769="","",VLOOKUP(F769,Tabelle1[],2))</f>
        <v>DRCOR</v>
      </c>
      <c r="C769" s="40"/>
      <c r="D769" s="41">
        <v>46107</v>
      </c>
      <c r="E769" s="80"/>
      <c r="F769" s="78">
        <v>10401</v>
      </c>
      <c r="G769" s="43">
        <v>92.4</v>
      </c>
      <c r="H769" s="38">
        <v>35121</v>
      </c>
      <c r="I769" s="38">
        <v>24</v>
      </c>
    </row>
    <row r="770" spans="1:21" x14ac:dyDescent="0.25">
      <c r="A770" s="39" t="str">
        <f>IF(F770="","",VLOOKUP(F770,Tabelle1[],3))</f>
        <v>MITROVICE</v>
      </c>
      <c r="B770" s="40" t="str">
        <f>IF(F770="","",VLOOKUP(F770,Tabelle1[],2))</f>
        <v>UNIVERZAL</v>
      </c>
      <c r="C770" s="40"/>
      <c r="D770" s="41">
        <v>46107</v>
      </c>
      <c r="E770" s="80"/>
      <c r="F770" s="78">
        <v>10413</v>
      </c>
      <c r="G770" s="43">
        <v>91.3</v>
      </c>
      <c r="H770" s="38">
        <v>51612</v>
      </c>
      <c r="I770" s="38">
        <v>12</v>
      </c>
      <c r="J770" s="38">
        <v>35121</v>
      </c>
      <c r="K770" s="38">
        <v>12</v>
      </c>
      <c r="L770" s="38">
        <v>44001</v>
      </c>
      <c r="M770" s="38">
        <v>5</v>
      </c>
    </row>
    <row r="771" spans="1:21" x14ac:dyDescent="0.25">
      <c r="A771" s="39" t="str">
        <f>IF(F771="","",VLOOKUP(F771,Tabelle1[],3))</f>
        <v>VUSHTRRI</v>
      </c>
      <c r="B771" s="40" t="str">
        <f>IF(F771="","",VLOOKUP(F771,Tabelle1[],2))</f>
        <v>SAN KOS</v>
      </c>
      <c r="C771" s="40"/>
      <c r="D771" s="41">
        <v>46107</v>
      </c>
      <c r="E771" s="80"/>
      <c r="F771" s="78">
        <v>10429</v>
      </c>
      <c r="G771" s="43">
        <v>46.2</v>
      </c>
      <c r="H771" s="38">
        <v>35128</v>
      </c>
      <c r="I771" s="38">
        <v>12</v>
      </c>
    </row>
    <row r="772" spans="1:21" x14ac:dyDescent="0.25">
      <c r="A772" s="39" t="str">
        <f>IF(F772="","",VLOOKUP(F772,Tabelle1[],3))</f>
        <v>MITROVICE</v>
      </c>
      <c r="B772" s="40" t="str">
        <f>IF(F772="","",VLOOKUP(F772,Tabelle1[],2))</f>
        <v>EURO COM</v>
      </c>
      <c r="C772" s="40"/>
      <c r="D772" s="41">
        <v>46107</v>
      </c>
      <c r="E772" s="80"/>
      <c r="F772" s="78">
        <v>10430</v>
      </c>
      <c r="G772" s="43">
        <v>63.7</v>
      </c>
      <c r="H772" s="38">
        <v>44001</v>
      </c>
      <c r="I772" s="38">
        <v>5</v>
      </c>
      <c r="J772" s="38">
        <v>35128</v>
      </c>
      <c r="K772" s="38">
        <v>12</v>
      </c>
    </row>
    <row r="773" spans="1:21" x14ac:dyDescent="0.25">
      <c r="A773" s="39" t="str">
        <f>IF(F773="","",VLOOKUP(F773,Tabelle1[],3))</f>
        <v>MITROVICE</v>
      </c>
      <c r="B773" s="40" t="str">
        <f>IF(F773="","",VLOOKUP(F773,Tabelle1[],2))</f>
        <v>AGRONI</v>
      </c>
      <c r="C773" s="40"/>
      <c r="D773" s="41">
        <v>46107</v>
      </c>
      <c r="E773" s="80"/>
      <c r="F773" s="78">
        <v>10406</v>
      </c>
      <c r="G773" s="43">
        <v>76.2</v>
      </c>
      <c r="H773" s="38">
        <v>39505</v>
      </c>
      <c r="I773" s="38">
        <v>4</v>
      </c>
      <c r="J773" s="38">
        <v>31819</v>
      </c>
      <c r="K773" s="38">
        <v>4</v>
      </c>
      <c r="L773" s="38">
        <v>51936</v>
      </c>
      <c r="M773" s="38">
        <v>4</v>
      </c>
      <c r="N773" s="38">
        <v>49644</v>
      </c>
      <c r="O773" s="38">
        <v>4</v>
      </c>
      <c r="P773" s="38">
        <v>54412</v>
      </c>
      <c r="Q773" s="38">
        <v>4</v>
      </c>
      <c r="R773" s="38">
        <v>55718</v>
      </c>
      <c r="S773" s="38">
        <v>4</v>
      </c>
      <c r="T773" s="38">
        <v>50912</v>
      </c>
      <c r="U773" s="38">
        <v>2</v>
      </c>
    </row>
    <row r="774" spans="1:21" x14ac:dyDescent="0.25">
      <c r="A774" s="39" t="str">
        <f>IF(F774="","",VLOOKUP(F774,Tabelle1[],3))</f>
        <v>VUSHTRRI</v>
      </c>
      <c r="B774" s="40" t="str">
        <f>IF(F774="","",VLOOKUP(F774,Tabelle1[],2))</f>
        <v>ENISI - H</v>
      </c>
      <c r="C774" s="40"/>
      <c r="D774" s="41">
        <v>46107</v>
      </c>
      <c r="E774" s="80"/>
      <c r="F774" s="78">
        <v>10428</v>
      </c>
      <c r="G774" s="43">
        <v>46.2</v>
      </c>
      <c r="H774" s="38">
        <v>35125</v>
      </c>
      <c r="I774" s="38">
        <v>12</v>
      </c>
    </row>
    <row r="775" spans="1:21" x14ac:dyDescent="0.25">
      <c r="A775" s="39" t="str">
        <f>IF(F775="","",VLOOKUP(F775,Tabelle1[],3))</f>
        <v>HOME KIM TEC</v>
      </c>
      <c r="B775" s="40" t="str">
        <f>IF(F775="","",VLOOKUP(F775,Tabelle1[],2))</f>
        <v>M ONE</v>
      </c>
      <c r="C775" s="40"/>
      <c r="D775" s="41">
        <v>46108</v>
      </c>
      <c r="E775" s="80"/>
      <c r="F775" s="78" t="s">
        <v>1323</v>
      </c>
      <c r="G775" s="43">
        <v>24</v>
      </c>
      <c r="H775" s="38">
        <v>35119</v>
      </c>
      <c r="I775" s="38">
        <v>4</v>
      </c>
      <c r="J775" s="38">
        <v>20001</v>
      </c>
      <c r="K775" s="38">
        <v>1</v>
      </c>
      <c r="L775" s="38">
        <v>20000</v>
      </c>
      <c r="M775" s="38">
        <v>1</v>
      </c>
    </row>
    <row r="776" spans="1:21" x14ac:dyDescent="0.25">
      <c r="A776" s="39" t="str">
        <f>IF(F776="","",VLOOKUP(F776,Tabelle1[],3))</f>
        <v>HOME KIM TEC</v>
      </c>
      <c r="B776" s="40" t="str">
        <f>IF(F776="","",VLOOKUP(F776,Tabelle1[],2))</f>
        <v>ARBENI BIOBLIC</v>
      </c>
      <c r="C776" s="40"/>
      <c r="D776" s="41">
        <v>46108</v>
      </c>
      <c r="E776" s="80"/>
      <c r="F776" s="78">
        <v>40003</v>
      </c>
      <c r="G776" s="43">
        <v>172</v>
      </c>
      <c r="H776" s="38">
        <v>20001</v>
      </c>
      <c r="I776" s="38">
        <v>120</v>
      </c>
      <c r="J776" s="38">
        <v>30275</v>
      </c>
      <c r="K776" s="38">
        <v>10</v>
      </c>
    </row>
    <row r="777" spans="1:21" x14ac:dyDescent="0.25">
      <c r="A777" s="39" t="str">
        <f>IF(F777="","",VLOOKUP(F777,Tabelle1[],3))</f>
        <v>FERIZAJ</v>
      </c>
      <c r="B777" s="40" t="str">
        <f>IF(F777="","",VLOOKUP(F777,Tabelle1[],2))</f>
        <v>PROCOM</v>
      </c>
      <c r="C777" s="40"/>
      <c r="D777" s="41">
        <v>46108</v>
      </c>
      <c r="E777" s="80"/>
      <c r="F777" s="78">
        <v>10502</v>
      </c>
      <c r="G777" s="43">
        <v>46.2</v>
      </c>
      <c r="H777" s="38">
        <v>35128</v>
      </c>
      <c r="I777" s="38">
        <v>12</v>
      </c>
    </row>
    <row r="778" spans="1:21" x14ac:dyDescent="0.25">
      <c r="A778" s="39" t="str">
        <f>IF(F778="","",VLOOKUP(F778,Tabelle1[],3))</f>
        <v>FERIZAJ</v>
      </c>
      <c r="B778" s="40" t="str">
        <f>IF(F778="","",VLOOKUP(F778,Tabelle1[],2))</f>
        <v>REAL COLOR 2</v>
      </c>
      <c r="C778" s="40"/>
      <c r="D778" s="41">
        <v>46108</v>
      </c>
      <c r="E778" s="80"/>
      <c r="F778" s="78">
        <v>10507</v>
      </c>
      <c r="G778" s="43">
        <v>184.8</v>
      </c>
      <c r="H778" s="38">
        <v>35111</v>
      </c>
      <c r="I778" s="38">
        <v>12</v>
      </c>
      <c r="J778" s="38">
        <v>35115</v>
      </c>
      <c r="K778" s="38">
        <v>12</v>
      </c>
      <c r="L778" s="38">
        <v>35121</v>
      </c>
      <c r="M778" s="38">
        <v>12</v>
      </c>
      <c r="N778" s="38">
        <v>35125</v>
      </c>
      <c r="O778" s="38">
        <v>12</v>
      </c>
    </row>
    <row r="779" spans="1:21" x14ac:dyDescent="0.25">
      <c r="A779" s="39" t="str">
        <f>IF(F779="","",VLOOKUP(F779,Tabelle1[],3))</f>
        <v>FERIZAJ</v>
      </c>
      <c r="B779" s="40" t="str">
        <f>IF(F779="","",VLOOKUP(F779,Tabelle1[],2))</f>
        <v>MULI</v>
      </c>
      <c r="C779" s="40"/>
      <c r="D779" s="41">
        <v>46108</v>
      </c>
      <c r="E779" s="80"/>
      <c r="F779" s="78">
        <v>10511</v>
      </c>
      <c r="G779" s="43">
        <v>62</v>
      </c>
      <c r="H779" s="38">
        <v>16936</v>
      </c>
      <c r="I779" s="38">
        <v>10</v>
      </c>
      <c r="J779" s="38">
        <v>31818</v>
      </c>
      <c r="K779" s="38">
        <v>4</v>
      </c>
      <c r="L779" s="38">
        <v>31812</v>
      </c>
      <c r="M779" s="38">
        <v>10</v>
      </c>
      <c r="N779" s="38">
        <v>31827</v>
      </c>
      <c r="O779" s="38">
        <v>7</v>
      </c>
    </row>
    <row r="780" spans="1:21" x14ac:dyDescent="0.25">
      <c r="A780" s="39" t="str">
        <f>IF(F780="","",VLOOKUP(F780,Tabelle1[],3))</f>
        <v>FERIZAJ</v>
      </c>
      <c r="B780" s="40" t="str">
        <f>IF(F780="","",VLOOKUP(F780,Tabelle1[],2))</f>
        <v>ARBERI</v>
      </c>
      <c r="C780" s="40"/>
      <c r="D780" s="41">
        <v>46108</v>
      </c>
      <c r="E780" s="80"/>
      <c r="F780" s="78">
        <v>10506</v>
      </c>
      <c r="G780" s="43">
        <v>46.2</v>
      </c>
      <c r="H780" s="38">
        <v>35125</v>
      </c>
      <c r="I780" s="38">
        <v>12</v>
      </c>
    </row>
    <row r="781" spans="1:21" x14ac:dyDescent="0.25">
      <c r="A781" s="39" t="str">
        <f>IF(F781="","",VLOOKUP(F781,Tabelle1[],3))</f>
        <v>LIPJAN</v>
      </c>
      <c r="B781" s="40" t="str">
        <f>IF(F781="","",VLOOKUP(F781,Tabelle1[],2))</f>
        <v>ARDI LIPJAN</v>
      </c>
      <c r="C781" s="40"/>
      <c r="D781" s="41">
        <v>46108</v>
      </c>
      <c r="E781" s="80"/>
      <c r="F781" s="78">
        <v>10529</v>
      </c>
      <c r="G781" s="43">
        <v>37.5</v>
      </c>
      <c r="H781" s="38">
        <v>31819</v>
      </c>
      <c r="I781" s="38">
        <v>5</v>
      </c>
      <c r="J781" s="38">
        <v>51936</v>
      </c>
      <c r="K781" s="38">
        <v>5</v>
      </c>
      <c r="L781" s="38">
        <v>69236</v>
      </c>
      <c r="M781" s="38">
        <v>5</v>
      </c>
    </row>
    <row r="782" spans="1:21" x14ac:dyDescent="0.25">
      <c r="A782" s="39" t="str">
        <f>IF(F782="","",VLOOKUP(F782,Tabelle1[],3))</f>
        <v>FERIZAJ</v>
      </c>
      <c r="B782" s="40" t="str">
        <f>IF(F782="","",VLOOKUP(F782,Tabelle1[],2))</f>
        <v>BEKA</v>
      </c>
      <c r="C782" s="40"/>
      <c r="D782" s="41">
        <v>46108</v>
      </c>
      <c r="E782" s="80"/>
      <c r="F782" s="78">
        <v>10539</v>
      </c>
      <c r="G782" s="43">
        <v>46.2</v>
      </c>
      <c r="H782" s="38">
        <v>35110</v>
      </c>
      <c r="I782" s="38">
        <v>12</v>
      </c>
    </row>
    <row r="783" spans="1:21" x14ac:dyDescent="0.25">
      <c r="A783" s="39" t="str">
        <f>IF(F783="","",VLOOKUP(F783,Tabelle1[],3))</f>
        <v>FERIZAJ</v>
      </c>
      <c r="B783" s="40" t="str">
        <f>IF(F783="","",VLOOKUP(F783,Tabelle1[],2))</f>
        <v>PROCOM</v>
      </c>
      <c r="C783" s="40"/>
      <c r="D783" s="41">
        <v>46108</v>
      </c>
      <c r="E783" s="80"/>
      <c r="F783" s="78">
        <v>10502</v>
      </c>
      <c r="G783" s="43">
        <v>92.4</v>
      </c>
      <c r="H783" s="38">
        <v>35111</v>
      </c>
      <c r="I783" s="38">
        <v>12</v>
      </c>
      <c r="J783" s="38">
        <v>35113</v>
      </c>
      <c r="K783" s="38">
        <v>12</v>
      </c>
    </row>
    <row r="784" spans="1:21" x14ac:dyDescent="0.25">
      <c r="A784" s="39" t="str">
        <f>IF(F784="","",VLOOKUP(F784,Tabelle1[],3))</f>
        <v>FERIZAJ</v>
      </c>
      <c r="B784" s="40" t="str">
        <f>IF(F784="","",VLOOKUP(F784,Tabelle1[],2))</f>
        <v>LONI</v>
      </c>
      <c r="C784" s="40"/>
      <c r="D784" s="41">
        <v>46108</v>
      </c>
      <c r="E784" s="80"/>
      <c r="F784" s="78">
        <v>10509</v>
      </c>
      <c r="G784" s="43">
        <v>86.4</v>
      </c>
      <c r="H784" s="38">
        <v>50912</v>
      </c>
      <c r="I784" s="38">
        <v>12</v>
      </c>
    </row>
    <row r="785" spans="1:19" x14ac:dyDescent="0.25">
      <c r="A785" s="39" t="str">
        <f>IF(F785="","",VLOOKUP(F785,Tabelle1[],3))</f>
        <v>KLINE</v>
      </c>
      <c r="B785" s="40" t="str">
        <f>IF(F785="","",VLOOKUP(F785,Tabelle1[],2))</f>
        <v>RACI</v>
      </c>
      <c r="C785" s="40"/>
      <c r="D785" s="41">
        <v>46108</v>
      </c>
      <c r="E785" s="80"/>
      <c r="F785" s="78">
        <v>20501</v>
      </c>
      <c r="G785" s="43">
        <v>138.6</v>
      </c>
      <c r="H785" s="38">
        <v>35108</v>
      </c>
      <c r="I785" s="38">
        <v>12</v>
      </c>
      <c r="J785" s="38">
        <v>35111</v>
      </c>
      <c r="K785" s="38">
        <v>12</v>
      </c>
      <c r="L785" s="38">
        <v>35119</v>
      </c>
      <c r="M785" s="38">
        <v>12</v>
      </c>
    </row>
    <row r="786" spans="1:19" x14ac:dyDescent="0.25">
      <c r="A786" s="39" t="str">
        <f>IF(F786="","",VLOOKUP(F786,Tabelle1[],3))</f>
        <v>ISTOG</v>
      </c>
      <c r="B786" s="40" t="str">
        <f>IF(F786="","",VLOOKUP(F786,Tabelle1[],2))</f>
        <v>LIRIDONA KLINE</v>
      </c>
      <c r="C786" s="40"/>
      <c r="D786" s="41">
        <v>46108</v>
      </c>
      <c r="E786" s="80"/>
      <c r="F786" s="78">
        <v>20511</v>
      </c>
      <c r="G786" s="43">
        <v>138.6</v>
      </c>
      <c r="H786" s="38">
        <v>35121</v>
      </c>
      <c r="I786" s="38">
        <v>24</v>
      </c>
      <c r="J786" s="38">
        <v>35111</v>
      </c>
      <c r="K786" s="38">
        <v>12</v>
      </c>
    </row>
    <row r="787" spans="1:19" x14ac:dyDescent="0.25">
      <c r="A787" s="39" t="str">
        <f>IF(F787="","",VLOOKUP(F787,Tabelle1[],3))</f>
        <v>ISTOG</v>
      </c>
      <c r="B787" s="40" t="str">
        <f>IF(F787="","",VLOOKUP(F787,Tabelle1[],2))</f>
        <v>LIRIDONA HOME</v>
      </c>
      <c r="C787" s="40"/>
      <c r="D787" s="41">
        <v>46108</v>
      </c>
      <c r="E787" s="80"/>
      <c r="F787" s="78">
        <v>20508</v>
      </c>
      <c r="G787" s="43">
        <v>277.2</v>
      </c>
      <c r="H787" s="38">
        <v>35121</v>
      </c>
      <c r="I787" s="38">
        <v>60</v>
      </c>
      <c r="J787" s="38">
        <v>35110</v>
      </c>
      <c r="K787" s="38">
        <v>12</v>
      </c>
    </row>
    <row r="788" spans="1:19" x14ac:dyDescent="0.25">
      <c r="A788" s="39" t="str">
        <f>IF(F788="","",VLOOKUP(F788,Tabelle1[],3))</f>
        <v>ISTOG</v>
      </c>
      <c r="B788" s="40" t="str">
        <f>IF(F788="","",VLOOKUP(F788,Tabelle1[],2))</f>
        <v>LIRIDONA-A</v>
      </c>
      <c r="C788" s="40"/>
      <c r="D788" s="41">
        <v>46108</v>
      </c>
      <c r="E788" s="80"/>
      <c r="F788" s="78">
        <v>20515</v>
      </c>
      <c r="G788" s="43">
        <v>138.6</v>
      </c>
      <c r="H788" s="38">
        <v>35121</v>
      </c>
      <c r="I788" s="38">
        <v>36</v>
      </c>
    </row>
    <row r="789" spans="1:19" x14ac:dyDescent="0.25">
      <c r="A789" s="39" t="str">
        <f>IF(F789="","",VLOOKUP(F789,Tabelle1[],3))</f>
        <v>ISTOG</v>
      </c>
      <c r="B789" s="40" t="str">
        <f>IF(F789="","",VLOOKUP(F789,Tabelle1[],2))</f>
        <v>BYTYQI-V</v>
      </c>
      <c r="C789" s="40"/>
      <c r="D789" s="41">
        <v>46108</v>
      </c>
      <c r="E789" s="80"/>
      <c r="F789" s="78">
        <v>20510</v>
      </c>
      <c r="G789" s="43">
        <v>73.8</v>
      </c>
      <c r="H789" s="38">
        <v>35110</v>
      </c>
      <c r="I789" s="38">
        <v>12</v>
      </c>
      <c r="J789" s="38">
        <v>51612</v>
      </c>
      <c r="K789" s="38">
        <v>12</v>
      </c>
    </row>
    <row r="790" spans="1:19" x14ac:dyDescent="0.25">
      <c r="A790" s="39" t="str">
        <f>IF(F790="","",VLOOKUP(F790,Tabelle1[],3))</f>
        <v>RUNIK</v>
      </c>
      <c r="B790" s="40" t="str">
        <f>IF(F790="","",VLOOKUP(F790,Tabelle1[],2))</f>
        <v>TE BRAHA</v>
      </c>
      <c r="C790" s="40"/>
      <c r="D790" s="41">
        <v>46108</v>
      </c>
      <c r="E790" s="80"/>
      <c r="F790" s="78">
        <v>20520</v>
      </c>
      <c r="G790" s="43">
        <v>46.2</v>
      </c>
      <c r="H790" s="38">
        <v>35121</v>
      </c>
      <c r="I790" s="38">
        <v>12</v>
      </c>
    </row>
    <row r="791" spans="1:19" x14ac:dyDescent="0.25">
      <c r="A791" s="39" t="str">
        <f>IF(F791="","",VLOOKUP(F791,Tabelle1[],3))</f>
        <v>SKENDERAJ</v>
      </c>
      <c r="B791" s="40" t="str">
        <f>IF(F791="","",VLOOKUP(F791,Tabelle1[],2))</f>
        <v>A.P. HOTI</v>
      </c>
      <c r="C791" s="40"/>
      <c r="D791" s="41">
        <v>46108</v>
      </c>
      <c r="E791" s="80"/>
      <c r="F791" s="78">
        <v>20408</v>
      </c>
      <c r="G791" s="43">
        <v>47.5</v>
      </c>
      <c r="H791" s="38">
        <v>16936</v>
      </c>
      <c r="I791" s="38">
        <v>5</v>
      </c>
      <c r="J791" s="38">
        <v>31812</v>
      </c>
      <c r="K791" s="38">
        <v>3</v>
      </c>
      <c r="L791" s="38">
        <v>51936</v>
      </c>
      <c r="M791" s="38">
        <v>3</v>
      </c>
      <c r="N791" s="38">
        <v>31819</v>
      </c>
      <c r="O791" s="38">
        <v>2</v>
      </c>
      <c r="P791" s="38">
        <v>69236</v>
      </c>
      <c r="Q791" s="38">
        <v>5</v>
      </c>
      <c r="R791" s="38">
        <v>31827</v>
      </c>
      <c r="S791" s="38">
        <v>3</v>
      </c>
    </row>
    <row r="792" spans="1:19" x14ac:dyDescent="0.25">
      <c r="A792" s="39" t="str">
        <f>IF(F792="","",VLOOKUP(F792,Tabelle1[],3))</f>
        <v>SKENDERAJ</v>
      </c>
      <c r="B792" s="40" t="str">
        <f>IF(F792="","",VLOOKUP(F792,Tabelle1[],2))</f>
        <v>TE BENI</v>
      </c>
      <c r="C792" s="40"/>
      <c r="D792" s="41">
        <v>46108</v>
      </c>
      <c r="E792" s="80"/>
      <c r="F792" s="78">
        <v>20407</v>
      </c>
      <c r="G792" s="43">
        <v>138.6</v>
      </c>
      <c r="H792" s="38">
        <v>35110</v>
      </c>
      <c r="I792" s="38">
        <v>12</v>
      </c>
      <c r="J792" s="38">
        <v>35115</v>
      </c>
      <c r="K792" s="38">
        <v>24</v>
      </c>
    </row>
    <row r="793" spans="1:19" x14ac:dyDescent="0.25">
      <c r="A793" s="39" t="str">
        <f>IF(F793="","",VLOOKUP(F793,Tabelle1[],3))</f>
        <v>SKENDERAJ</v>
      </c>
      <c r="B793" s="40" t="str">
        <f>IF(F793="","",VLOOKUP(F793,Tabelle1[],2))</f>
        <v>BENI</v>
      </c>
      <c r="C793" s="40"/>
      <c r="D793" s="41">
        <v>46108</v>
      </c>
      <c r="E793" s="80"/>
      <c r="F793" s="78">
        <v>20409</v>
      </c>
      <c r="G793" s="43">
        <v>86</v>
      </c>
      <c r="H793" s="38">
        <v>49644</v>
      </c>
      <c r="I793" s="38">
        <v>12</v>
      </c>
      <c r="J793" s="38">
        <v>51936</v>
      </c>
      <c r="K793" s="38">
        <v>5</v>
      </c>
      <c r="L793" s="38">
        <v>69236</v>
      </c>
      <c r="M793" s="38">
        <v>5</v>
      </c>
      <c r="N793" s="38">
        <v>51736</v>
      </c>
      <c r="O793" s="38">
        <v>5</v>
      </c>
      <c r="P793" s="38">
        <v>31819</v>
      </c>
      <c r="Q793" s="38">
        <v>5</v>
      </c>
      <c r="R793" s="38">
        <v>56117</v>
      </c>
      <c r="S793" s="38">
        <v>3</v>
      </c>
    </row>
    <row r="794" spans="1:19" x14ac:dyDescent="0.25">
      <c r="A794" s="39" t="str">
        <f>IF(F794="","",VLOOKUP(F794,Tabelle1[],3))</f>
        <v>SKENDERAJ</v>
      </c>
      <c r="B794" s="40" t="str">
        <f>IF(F794="","",VLOOKUP(F794,Tabelle1[],2))</f>
        <v>MEGI</v>
      </c>
      <c r="C794" s="40"/>
      <c r="D794" s="41">
        <v>46108</v>
      </c>
      <c r="E794" s="80"/>
      <c r="F794" s="78">
        <v>20406</v>
      </c>
      <c r="G794" s="43">
        <v>159.5</v>
      </c>
      <c r="H794" s="38">
        <v>50912</v>
      </c>
      <c r="I794" s="38">
        <v>20</v>
      </c>
      <c r="J794" s="38">
        <v>49644</v>
      </c>
      <c r="K794" s="38">
        <v>6</v>
      </c>
      <c r="L794" s="38">
        <v>44001</v>
      </c>
      <c r="M794" s="38">
        <v>1</v>
      </c>
    </row>
    <row r="795" spans="1:19" x14ac:dyDescent="0.25">
      <c r="A795" s="39" t="str">
        <f>IF(F795="","",VLOOKUP(F795,Tabelle1[],3))</f>
        <v>DRENAS</v>
      </c>
      <c r="B795" s="40" t="str">
        <f>IF(F795="","",VLOOKUP(F795,Tabelle1[],2))</f>
        <v>TE MENTORI</v>
      </c>
      <c r="C795" s="40"/>
      <c r="D795" s="41">
        <v>46108</v>
      </c>
      <c r="E795" s="80"/>
      <c r="F795" s="78">
        <v>20404</v>
      </c>
      <c r="G795" s="43">
        <v>92.4</v>
      </c>
      <c r="H795" s="38">
        <v>35125</v>
      </c>
      <c r="I795" s="38">
        <v>12</v>
      </c>
      <c r="J795" s="38">
        <v>35128</v>
      </c>
      <c r="K795" s="38">
        <v>12</v>
      </c>
    </row>
    <row r="796" spans="1:19" x14ac:dyDescent="0.25">
      <c r="A796" s="39" t="str">
        <f>IF(F796="","",VLOOKUP(F796,Tabelle1[],3))</f>
        <v>PODUJEVE</v>
      </c>
      <c r="B796" s="40" t="str">
        <f>IF(F796="","",VLOOKUP(F796,Tabelle1[],2))</f>
        <v>TE ZENA</v>
      </c>
      <c r="C796" s="40"/>
      <c r="D796" s="41">
        <v>46109</v>
      </c>
      <c r="E796" s="80"/>
      <c r="F796" s="78">
        <v>10616</v>
      </c>
      <c r="G796" s="43">
        <v>92.4</v>
      </c>
      <c r="H796" s="38">
        <v>35121</v>
      </c>
      <c r="I796" s="38">
        <v>24</v>
      </c>
    </row>
    <row r="797" spans="1:19" x14ac:dyDescent="0.25">
      <c r="A797" s="39" t="str">
        <f>IF(F797="","",VLOOKUP(F797,Tabelle1[],3))</f>
        <v>PODUJEVE</v>
      </c>
      <c r="B797" s="40" t="str">
        <f>IF(F797="","",VLOOKUP(F797,Tabelle1[],2))</f>
        <v>BECOLOR</v>
      </c>
      <c r="C797" s="40"/>
      <c r="D797" s="41">
        <v>46109</v>
      </c>
      <c r="E797" s="80"/>
      <c r="F797" s="78">
        <v>10619</v>
      </c>
      <c r="G797" s="43">
        <v>25</v>
      </c>
      <c r="H797" s="38">
        <v>31818</v>
      </c>
      <c r="I797" s="38">
        <v>5</v>
      </c>
      <c r="J797" s="38">
        <v>31819</v>
      </c>
      <c r="K797" s="38">
        <v>5</v>
      </c>
    </row>
    <row r="798" spans="1:19" x14ac:dyDescent="0.25">
      <c r="A798" s="39" t="str">
        <f>IF(F798="","",VLOOKUP(F798,Tabelle1[],3))</f>
        <v>PODUJEVE</v>
      </c>
      <c r="B798" s="40" t="str">
        <f>IF(F798="","",VLOOKUP(F798,Tabelle1[],2))</f>
        <v>TE KELA</v>
      </c>
      <c r="C798" s="40"/>
      <c r="D798" s="41">
        <v>46109</v>
      </c>
      <c r="E798" s="80"/>
      <c r="F798" s="78">
        <v>10613</v>
      </c>
      <c r="G798" s="43">
        <v>20</v>
      </c>
      <c r="H798" s="38">
        <v>49644</v>
      </c>
      <c r="I798" s="38">
        <v>5</v>
      </c>
      <c r="J798" s="38">
        <v>54412</v>
      </c>
      <c r="K798" s="38">
        <v>5</v>
      </c>
    </row>
    <row r="799" spans="1:19" x14ac:dyDescent="0.25">
      <c r="A799" s="39" t="str">
        <f>IF(F799="","",VLOOKUP(F799,Tabelle1[],3))</f>
        <v>PODUJEVE</v>
      </c>
      <c r="B799" s="40" t="str">
        <f>IF(F799="","",VLOOKUP(F799,Tabelle1[],2))</f>
        <v>KUJTA</v>
      </c>
      <c r="C799" s="40"/>
      <c r="D799" s="41">
        <v>46109</v>
      </c>
      <c r="E799" s="80"/>
      <c r="F799" s="78">
        <v>10625</v>
      </c>
      <c r="G799" s="43">
        <v>36</v>
      </c>
      <c r="H799" s="38">
        <v>50912</v>
      </c>
      <c r="I799" s="38">
        <v>5</v>
      </c>
    </row>
    <row r="800" spans="1:19" x14ac:dyDescent="0.25">
      <c r="A800" s="39" t="str">
        <f>IF(F800="","",VLOOKUP(F800,Tabelle1[],3))</f>
        <v>PODUJEVE</v>
      </c>
      <c r="B800" s="40" t="str">
        <f>IF(F800="","",VLOOKUP(F800,Tabelle1[],2))</f>
        <v>KUJTA</v>
      </c>
      <c r="C800" s="40"/>
      <c r="D800" s="41">
        <v>46109</v>
      </c>
      <c r="E800" s="80"/>
      <c r="F800" s="78">
        <v>10625</v>
      </c>
      <c r="G800" s="43">
        <v>231</v>
      </c>
      <c r="H800" s="38">
        <v>35121</v>
      </c>
      <c r="I800" s="38">
        <v>60</v>
      </c>
    </row>
    <row r="801" spans="1:19" x14ac:dyDescent="0.25">
      <c r="A801" s="39" t="str">
        <f>IF(F801="","",VLOOKUP(F801,Tabelle1[],3))</f>
        <v>FERIZAJ</v>
      </c>
      <c r="B801" s="40" t="str">
        <f>IF(F801="","",VLOOKUP(F801,Tabelle1[],2))</f>
        <v>AGROLONDI</v>
      </c>
      <c r="C801" s="40"/>
      <c r="D801" s="41">
        <v>46109</v>
      </c>
      <c r="E801" s="80"/>
      <c r="F801" s="78">
        <v>20602</v>
      </c>
      <c r="G801" s="43">
        <v>231</v>
      </c>
      <c r="H801" s="38">
        <v>35125</v>
      </c>
      <c r="I801" s="38">
        <v>24</v>
      </c>
      <c r="J801" s="38">
        <v>35115</v>
      </c>
      <c r="K801" s="38">
        <v>24</v>
      </c>
      <c r="L801" s="38">
        <v>35110</v>
      </c>
      <c r="M801" s="38">
        <v>12</v>
      </c>
    </row>
    <row r="802" spans="1:19" x14ac:dyDescent="0.25">
      <c r="A802" s="39" t="str">
        <f>IF(F802="","",VLOOKUP(F802,Tabelle1[],3))</f>
        <v>GADIME</v>
      </c>
      <c r="B802" s="40" t="str">
        <f>IF(F802="","",VLOOKUP(F802,Tabelle1[],2))</f>
        <v>ILIRI QERAMIKA</v>
      </c>
      <c r="C802" s="40"/>
      <c r="D802" s="41">
        <v>46109</v>
      </c>
      <c r="E802" s="80"/>
      <c r="F802" s="78">
        <v>20622</v>
      </c>
      <c r="G802" s="43">
        <v>92.4</v>
      </c>
      <c r="H802" s="38">
        <v>35111</v>
      </c>
      <c r="I802" s="38">
        <v>12</v>
      </c>
      <c r="J802" s="38">
        <v>35121</v>
      </c>
      <c r="K802" s="38">
        <v>12</v>
      </c>
    </row>
    <row r="803" spans="1:19" x14ac:dyDescent="0.25">
      <c r="A803" s="39" t="str">
        <f>IF(F803="","",VLOOKUP(F803,Tabelle1[],3))</f>
        <v>GERLIC</v>
      </c>
      <c r="B803" s="40" t="str">
        <f>IF(F803="","",VLOOKUP(F803,Tabelle1[],2))</f>
        <v>TE-SYLA</v>
      </c>
      <c r="C803" s="40"/>
      <c r="D803" s="41">
        <v>46109</v>
      </c>
      <c r="E803" s="80"/>
      <c r="F803" s="78">
        <v>20606</v>
      </c>
      <c r="G803" s="43">
        <v>135.4</v>
      </c>
      <c r="H803" s="38">
        <v>35115</v>
      </c>
      <c r="I803" s="38">
        <v>12</v>
      </c>
      <c r="J803" s="38">
        <v>35121</v>
      </c>
      <c r="K803" s="38">
        <v>12</v>
      </c>
      <c r="L803" s="38">
        <v>44001</v>
      </c>
      <c r="M803" s="38">
        <v>3</v>
      </c>
      <c r="N803" s="38">
        <v>39505</v>
      </c>
      <c r="O803" s="38">
        <v>3</v>
      </c>
      <c r="P803" s="38">
        <v>55718</v>
      </c>
      <c r="Q803" s="38">
        <v>3</v>
      </c>
      <c r="R803" s="38">
        <v>50912</v>
      </c>
      <c r="S803" s="38">
        <v>2</v>
      </c>
    </row>
    <row r="804" spans="1:19" x14ac:dyDescent="0.25">
      <c r="A804" s="39" t="str">
        <f>IF(F804="","",VLOOKUP(F804,Tabelle1[],3))</f>
        <v>KAQANIK</v>
      </c>
      <c r="B804" s="40" t="str">
        <f>IF(F804="","",VLOOKUP(F804,Tabelle1[],2))</f>
        <v>TE-LUTA</v>
      </c>
      <c r="C804" s="40"/>
      <c r="D804" s="41">
        <v>46109</v>
      </c>
      <c r="E804" s="80"/>
      <c r="F804" s="78">
        <v>20611</v>
      </c>
      <c r="G804" s="43">
        <v>323.39999999999998</v>
      </c>
      <c r="H804" s="38">
        <v>35121</v>
      </c>
      <c r="I804" s="38">
        <v>24</v>
      </c>
      <c r="J804" s="38">
        <v>35114</v>
      </c>
      <c r="K804" s="38">
        <v>12</v>
      </c>
      <c r="L804" s="38">
        <v>35113</v>
      </c>
      <c r="M804" s="38">
        <v>24</v>
      </c>
      <c r="N804" s="38">
        <v>35125</v>
      </c>
      <c r="O804" s="38">
        <v>12</v>
      </c>
      <c r="P804" s="38">
        <v>35128</v>
      </c>
      <c r="Q804" s="38">
        <v>12</v>
      </c>
    </row>
    <row r="805" spans="1:19" x14ac:dyDescent="0.25">
      <c r="A805" s="39" t="str">
        <f>IF(F805="","",VLOOKUP(F805,Tabelle1[],3))</f>
        <v>GADIME</v>
      </c>
      <c r="B805" s="40" t="str">
        <f>IF(F805="","",VLOOKUP(F805,Tabelle1[],2))</f>
        <v>MIX-B</v>
      </c>
      <c r="C805" s="40"/>
      <c r="D805" s="41">
        <v>46109</v>
      </c>
      <c r="E805" s="80"/>
      <c r="F805" s="78">
        <v>20615</v>
      </c>
      <c r="G805" s="43">
        <v>166.2</v>
      </c>
      <c r="H805" s="38">
        <v>35110</v>
      </c>
      <c r="I805" s="38">
        <v>12</v>
      </c>
      <c r="J805" s="38">
        <v>35111</v>
      </c>
      <c r="K805" s="38">
        <v>12</v>
      </c>
      <c r="L805" s="38">
        <v>35121</v>
      </c>
      <c r="M805" s="38">
        <v>12</v>
      </c>
      <c r="N805" s="38">
        <v>51612</v>
      </c>
      <c r="O805" s="38">
        <v>12</v>
      </c>
    </row>
    <row r="806" spans="1:19" x14ac:dyDescent="0.25">
      <c r="A806" s="39" t="str">
        <f>IF(F806="","",VLOOKUP(F806,Tabelle1[],3))</f>
        <v>FERIZAJ</v>
      </c>
      <c r="B806" s="40" t="str">
        <f>IF(F806="","",VLOOKUP(F806,Tabelle1[],2))</f>
        <v>PROMOIN</v>
      </c>
      <c r="C806" s="40"/>
      <c r="D806" s="41">
        <v>46109</v>
      </c>
      <c r="E806" s="80"/>
      <c r="F806" s="78">
        <v>20603</v>
      </c>
      <c r="G806" s="43">
        <v>92.4</v>
      </c>
      <c r="H806" s="38">
        <v>35110</v>
      </c>
      <c r="I806" s="38">
        <v>24</v>
      </c>
    </row>
    <row r="807" spans="1:19" x14ac:dyDescent="0.25">
      <c r="A807" s="39" t="str">
        <f>IF(F807="","",VLOOKUP(F807,Tabelle1[],3))</f>
        <v>FERIZAJ</v>
      </c>
      <c r="B807" s="40" t="str">
        <f>IF(F807="","",VLOOKUP(F807,Tabelle1[],2))</f>
        <v>BUJARI Q - BESII</v>
      </c>
      <c r="C807" s="40"/>
      <c r="D807" s="41">
        <v>46109</v>
      </c>
      <c r="E807" s="80"/>
      <c r="F807" s="78">
        <v>20609</v>
      </c>
      <c r="G807" s="43">
        <v>231</v>
      </c>
      <c r="H807" s="38">
        <v>35121</v>
      </c>
      <c r="I807" s="38">
        <v>48</v>
      </c>
      <c r="J807" s="38">
        <v>35113</v>
      </c>
      <c r="K807" s="38">
        <v>12</v>
      </c>
    </row>
    <row r="808" spans="1:19" x14ac:dyDescent="0.25">
      <c r="A808" s="39" t="str">
        <f>IF(F808="","",VLOOKUP(F808,Tabelle1[],3))</f>
        <v>DOGANAJ</v>
      </c>
      <c r="B808" s="40" t="str">
        <f>IF(F808="","",VLOOKUP(F808,Tabelle1[],2))</f>
        <v xml:space="preserve">F.V. SH.P.K. </v>
      </c>
      <c r="C808" s="40"/>
      <c r="D808" s="41">
        <v>46109</v>
      </c>
      <c r="E808" s="80"/>
      <c r="F808" s="78">
        <v>20607</v>
      </c>
      <c r="G808" s="43">
        <v>66.599999999999994</v>
      </c>
      <c r="H808" s="38">
        <v>51612</v>
      </c>
      <c r="I808" s="38">
        <v>12</v>
      </c>
      <c r="J808" s="38">
        <v>26736</v>
      </c>
      <c r="K808" s="38">
        <v>7</v>
      </c>
      <c r="L808" s="38">
        <v>51736</v>
      </c>
      <c r="M808" s="38">
        <v>5</v>
      </c>
      <c r="N808" s="38">
        <v>39505</v>
      </c>
      <c r="O808" s="38">
        <v>3</v>
      </c>
      <c r="P808" s="38">
        <v>16936</v>
      </c>
      <c r="Q808" s="38">
        <v>4</v>
      </c>
    </row>
    <row r="809" spans="1:19" x14ac:dyDescent="0.25">
      <c r="A809" s="39" t="str">
        <f>IF(F809="","",VLOOKUP(F809,Tabelle1[],3))</f>
        <v>FERIZAJ</v>
      </c>
      <c r="B809" s="40" t="str">
        <f>IF(F809="","",VLOOKUP(F809,Tabelle1[],2))</f>
        <v>UNIKA</v>
      </c>
      <c r="C809" s="40"/>
      <c r="D809" s="41">
        <v>46109</v>
      </c>
      <c r="E809" s="80"/>
      <c r="F809" s="78">
        <v>20627</v>
      </c>
      <c r="G809" s="43">
        <v>184.8</v>
      </c>
      <c r="H809" s="38">
        <v>35108</v>
      </c>
      <c r="I809" s="38">
        <v>12</v>
      </c>
      <c r="J809" s="38">
        <v>35128</v>
      </c>
      <c r="K809" s="38">
        <v>12</v>
      </c>
      <c r="L809" s="38">
        <v>35125</v>
      </c>
      <c r="M809" s="38">
        <v>12</v>
      </c>
      <c r="N809" s="38">
        <v>35110</v>
      </c>
      <c r="O809" s="38">
        <v>12</v>
      </c>
    </row>
    <row r="810" spans="1:19" x14ac:dyDescent="0.25">
      <c r="A810" s="39" t="str">
        <f>IF(F810="","",VLOOKUP(F810,Tabelle1[],3))</f>
        <v>PRISHTINE</v>
      </c>
      <c r="B810" s="40" t="str">
        <f>IF(F810="","",VLOOKUP(F810,Tabelle1[],2))</f>
        <v>CHE BAR LOUNGE BAR</v>
      </c>
      <c r="C810" s="40"/>
      <c r="D810" s="41">
        <v>46111</v>
      </c>
      <c r="E810" s="80"/>
      <c r="F810" s="78">
        <v>10141</v>
      </c>
      <c r="G810" s="43">
        <v>40</v>
      </c>
      <c r="H810" s="38">
        <v>20001</v>
      </c>
      <c r="I810" s="38">
        <v>20</v>
      </c>
    </row>
    <row r="811" spans="1:19" x14ac:dyDescent="0.25">
      <c r="A811" s="39" t="str">
        <f>IF(F811="","",VLOOKUP(F811,Tabelle1[],3))</f>
        <v>PRISHTINE</v>
      </c>
      <c r="B811" s="40" t="str">
        <f>IF(F811="","",VLOOKUP(F811,Tabelle1[],2))</f>
        <v>JETARI</v>
      </c>
      <c r="C811" s="40"/>
      <c r="D811" s="41">
        <v>46111</v>
      </c>
      <c r="E811" s="80"/>
      <c r="F811" s="78">
        <v>10104</v>
      </c>
      <c r="G811" s="43">
        <v>46.2</v>
      </c>
      <c r="H811" s="38">
        <v>35110</v>
      </c>
      <c r="I811" s="38">
        <v>12</v>
      </c>
    </row>
    <row r="812" spans="1:19" x14ac:dyDescent="0.25">
      <c r="A812" s="39" t="str">
        <f>IF(F812="","",VLOOKUP(F812,Tabelle1[],3))</f>
        <v>PRISHTINE</v>
      </c>
      <c r="B812" s="40" t="str">
        <f>IF(F812="","",VLOOKUP(F812,Tabelle1[],2))</f>
        <v>KADIJOLLET</v>
      </c>
      <c r="C812" s="40"/>
      <c r="D812" s="41">
        <v>46111</v>
      </c>
      <c r="E812" s="80"/>
      <c r="F812" s="78">
        <v>10111</v>
      </c>
      <c r="G812" s="43">
        <v>108.7</v>
      </c>
      <c r="H812" s="38">
        <v>29801</v>
      </c>
      <c r="I812" s="38">
        <v>1</v>
      </c>
      <c r="J812" s="38">
        <v>54412</v>
      </c>
      <c r="K812" s="38">
        <v>5</v>
      </c>
      <c r="L812" s="38">
        <v>49644</v>
      </c>
      <c r="M812" s="38">
        <v>5</v>
      </c>
      <c r="N812" s="38">
        <v>55718</v>
      </c>
      <c r="O812" s="38">
        <v>5</v>
      </c>
      <c r="P812" s="38">
        <v>35115</v>
      </c>
      <c r="Q812" s="38">
        <v>12</v>
      </c>
    </row>
    <row r="813" spans="1:19" x14ac:dyDescent="0.25">
      <c r="A813" s="39" t="str">
        <f>IF(F813="","",VLOOKUP(F813,Tabelle1[],3))</f>
        <v>PRISHTINE</v>
      </c>
      <c r="B813" s="40" t="str">
        <f>IF(F813="","",VLOOKUP(F813,Tabelle1[],2))</f>
        <v>BESI COM</v>
      </c>
      <c r="C813" s="40"/>
      <c r="D813" s="41">
        <v>46111</v>
      </c>
      <c r="E813" s="80"/>
      <c r="F813" s="78">
        <v>10103</v>
      </c>
      <c r="G813" s="43">
        <v>46.2</v>
      </c>
      <c r="H813" s="38">
        <v>35121</v>
      </c>
      <c r="I813" s="38">
        <v>12</v>
      </c>
    </row>
    <row r="814" spans="1:19" x14ac:dyDescent="0.25">
      <c r="A814" s="39" t="str">
        <f>IF(F814="","",VLOOKUP(F814,Tabelle1[],3))</f>
        <v>BARDHOSH</v>
      </c>
      <c r="B814" s="40" t="str">
        <f>IF(F814="","",VLOOKUP(F814,Tabelle1[],2))</f>
        <v>QELA</v>
      </c>
      <c r="C814" s="40"/>
      <c r="D814" s="41">
        <v>46111</v>
      </c>
      <c r="E814" s="80"/>
      <c r="F814" s="78">
        <v>10114</v>
      </c>
      <c r="G814" s="43">
        <v>119.9</v>
      </c>
      <c r="H814" s="38">
        <v>35110</v>
      </c>
      <c r="I814" s="38">
        <v>12</v>
      </c>
      <c r="J814" s="38">
        <v>35111</v>
      </c>
      <c r="K814" s="38">
        <v>12</v>
      </c>
      <c r="L814" s="38">
        <v>49644</v>
      </c>
      <c r="M814" s="38">
        <v>5</v>
      </c>
      <c r="N814" s="38">
        <v>44001</v>
      </c>
      <c r="O814" s="38">
        <v>5</v>
      </c>
    </row>
    <row r="815" spans="1:19" x14ac:dyDescent="0.25">
      <c r="A815" s="39" t="str">
        <f>IF(F815="","",VLOOKUP(F815,Tabelle1[],3))</f>
        <v>PRISHTINE</v>
      </c>
      <c r="B815" s="40" t="str">
        <f>IF(F815="","",VLOOKUP(F815,Tabelle1[],2))</f>
        <v>HIDROELDI</v>
      </c>
      <c r="C815" s="40"/>
      <c r="D815" s="41">
        <v>46111</v>
      </c>
      <c r="E815" s="80"/>
      <c r="F815" s="78">
        <v>10133</v>
      </c>
      <c r="G815" s="43">
        <v>46.2</v>
      </c>
      <c r="H815" s="38">
        <v>35128</v>
      </c>
      <c r="I815" s="38">
        <v>12</v>
      </c>
    </row>
    <row r="816" spans="1:19" x14ac:dyDescent="0.25">
      <c r="A816" s="39" t="str">
        <f>IF(F816="","",VLOOKUP(F816,Tabelle1[],3))</f>
        <v>PRISHTINE</v>
      </c>
      <c r="B816" s="40" t="str">
        <f>IF(F816="","",VLOOKUP(F816,Tabelle1[],2))</f>
        <v>ARSIM</v>
      </c>
      <c r="C816" s="40"/>
      <c r="D816" s="41">
        <v>46111</v>
      </c>
      <c r="E816" s="80"/>
      <c r="F816" s="78">
        <v>10105</v>
      </c>
      <c r="G816" s="43">
        <v>46.2</v>
      </c>
      <c r="H816" s="38">
        <v>35115</v>
      </c>
      <c r="I816" s="38">
        <v>12</v>
      </c>
    </row>
    <row r="817" spans="1:15" x14ac:dyDescent="0.25">
      <c r="A817" s="39" t="str">
        <f>IF(F817="","",VLOOKUP(F817,Tabelle1[],3))</f>
        <v>PEJE</v>
      </c>
      <c r="B817" s="40" t="str">
        <f>IF(F817="","",VLOOKUP(F817,Tabelle1[],2))</f>
        <v>TECOL 2</v>
      </c>
      <c r="C817" s="40"/>
      <c r="D817" s="41">
        <v>46111</v>
      </c>
      <c r="E817" s="80"/>
      <c r="F817" s="78">
        <v>20111</v>
      </c>
      <c r="G817" s="43">
        <v>70.2</v>
      </c>
      <c r="H817" s="38">
        <v>35108</v>
      </c>
      <c r="I817" s="38">
        <v>12</v>
      </c>
      <c r="J817" s="38">
        <v>31880</v>
      </c>
      <c r="K817" s="38">
        <v>6</v>
      </c>
    </row>
    <row r="818" spans="1:15" x14ac:dyDescent="0.25">
      <c r="A818" s="39" t="str">
        <f>IF(F818="","",VLOOKUP(F818,Tabelle1[],3))</f>
        <v>PEJE</v>
      </c>
      <c r="B818" s="40" t="str">
        <f>IF(F818="","",VLOOKUP(F818,Tabelle1[],2))</f>
        <v>LNI SHPK</v>
      </c>
      <c r="C818" s="40"/>
      <c r="D818" s="41">
        <v>46111</v>
      </c>
      <c r="E818" s="80"/>
      <c r="F818" s="78">
        <v>20129</v>
      </c>
      <c r="G818" s="43">
        <v>92.4</v>
      </c>
      <c r="H818" s="38">
        <v>35110</v>
      </c>
      <c r="I818" s="38">
        <v>12</v>
      </c>
      <c r="J818" s="38">
        <v>35113</v>
      </c>
      <c r="K818" s="38">
        <v>12</v>
      </c>
    </row>
    <row r="819" spans="1:15" x14ac:dyDescent="0.25">
      <c r="A819" s="39" t="str">
        <f>IF(F819="","",VLOOKUP(F819,Tabelle1[],3))</f>
        <v>PEJE</v>
      </c>
      <c r="B819" s="40" t="str">
        <f>IF(F819="","",VLOOKUP(F819,Tabelle1[],2))</f>
        <v>TERMO PROJEKT</v>
      </c>
      <c r="C819" s="40"/>
      <c r="D819" s="41">
        <v>46111</v>
      </c>
      <c r="E819" s="80"/>
      <c r="F819" s="78">
        <v>20127</v>
      </c>
      <c r="G819" s="43">
        <v>138.6</v>
      </c>
      <c r="H819" s="38">
        <v>35114</v>
      </c>
      <c r="I819" s="38">
        <v>12</v>
      </c>
      <c r="J819" s="38">
        <v>35115</v>
      </c>
      <c r="K819" s="38">
        <v>12</v>
      </c>
      <c r="L819" s="38">
        <v>35128</v>
      </c>
      <c r="M819" s="38">
        <v>12</v>
      </c>
    </row>
    <row r="820" spans="1:15" x14ac:dyDescent="0.25">
      <c r="A820" s="39" t="str">
        <f>IF(F820="","",VLOOKUP(F820,Tabelle1[],3))</f>
        <v>PEJE</v>
      </c>
      <c r="B820" s="40" t="str">
        <f>IF(F820="","",VLOOKUP(F820,Tabelle1[],2))</f>
        <v>ENESI</v>
      </c>
      <c r="C820" s="40"/>
      <c r="D820" s="41">
        <v>46111</v>
      </c>
      <c r="E820" s="80"/>
      <c r="F820" s="78">
        <v>20130</v>
      </c>
      <c r="G820" s="43">
        <v>25</v>
      </c>
      <c r="H820" s="38">
        <v>51936</v>
      </c>
      <c r="I820" s="38">
        <v>6</v>
      </c>
      <c r="J820" s="38">
        <v>16936</v>
      </c>
      <c r="K820" s="38">
        <v>2</v>
      </c>
      <c r="L820" s="38">
        <v>69236</v>
      </c>
      <c r="M820" s="38">
        <v>2</v>
      </c>
    </row>
    <row r="821" spans="1:15" x14ac:dyDescent="0.25">
      <c r="A821" s="39" t="str">
        <f>IF(F821="","",VLOOKUP(F821,Tabelle1[],3))</f>
        <v>PEJE</v>
      </c>
      <c r="B821" s="40" t="str">
        <f>IF(F821="","",VLOOKUP(F821,Tabelle1[],2))</f>
        <v>KUQI-LKW</v>
      </c>
      <c r="C821" s="40"/>
      <c r="D821" s="41">
        <v>46111</v>
      </c>
      <c r="E821" s="80"/>
      <c r="F821" s="78">
        <v>20102</v>
      </c>
      <c r="G821" s="43">
        <v>101.4</v>
      </c>
      <c r="H821" s="38">
        <v>50912</v>
      </c>
      <c r="I821" s="38">
        <v>12</v>
      </c>
      <c r="J821" s="38">
        <v>51936</v>
      </c>
      <c r="K821" s="38">
        <v>2</v>
      </c>
      <c r="L821" s="38">
        <v>49644</v>
      </c>
      <c r="M821" s="38">
        <v>5</v>
      </c>
    </row>
    <row r="822" spans="1:15" x14ac:dyDescent="0.25">
      <c r="A822" s="39" t="str">
        <f>IF(F822="","",VLOOKUP(F822,Tabelle1[],3))</f>
        <v>PEJE</v>
      </c>
      <c r="B822" s="40" t="str">
        <f>IF(F822="","",VLOOKUP(F822,Tabelle1[],2))</f>
        <v>TE GZIMI</v>
      </c>
      <c r="C822" s="40"/>
      <c r="D822" s="41">
        <v>46111</v>
      </c>
      <c r="E822" s="80"/>
      <c r="F822" s="78">
        <v>20101</v>
      </c>
      <c r="G822" s="43">
        <v>37.5</v>
      </c>
      <c r="H822" s="38">
        <v>49644</v>
      </c>
      <c r="I822" s="38">
        <v>6</v>
      </c>
      <c r="J822" s="38">
        <v>55718</v>
      </c>
      <c r="K822" s="38">
        <v>5</v>
      </c>
      <c r="L822" s="38">
        <v>54412</v>
      </c>
      <c r="M822" s="38">
        <v>4</v>
      </c>
    </row>
    <row r="823" spans="1:15" x14ac:dyDescent="0.25">
      <c r="A823" s="39" t="str">
        <f>IF(F823="","",VLOOKUP(F823,Tabelle1[],3))</f>
        <v>PEJE</v>
      </c>
      <c r="B823" s="40" t="str">
        <f>IF(F823="","",VLOOKUP(F823,Tabelle1[],2))</f>
        <v>CAMA BAU</v>
      </c>
      <c r="C823" s="40"/>
      <c r="D823" s="41">
        <v>46111</v>
      </c>
      <c r="E823" s="80"/>
      <c r="F823" s="78">
        <v>20121</v>
      </c>
      <c r="G823" s="43">
        <v>231</v>
      </c>
      <c r="H823" s="38">
        <v>35108</v>
      </c>
      <c r="I823" s="38">
        <v>24</v>
      </c>
      <c r="J823" s="38">
        <v>35114</v>
      </c>
      <c r="K823" s="38">
        <v>12</v>
      </c>
      <c r="L823" s="38">
        <v>35113</v>
      </c>
      <c r="M823" s="38">
        <v>12</v>
      </c>
      <c r="N823" s="38">
        <v>35121</v>
      </c>
      <c r="O823" s="38">
        <v>12</v>
      </c>
    </row>
    <row r="824" spans="1:15" x14ac:dyDescent="0.25">
      <c r="A824" s="39" t="str">
        <f>IF(F824="","",VLOOKUP(F824,Tabelle1[],3))</f>
        <v>PRISHTINE</v>
      </c>
      <c r="B824" s="40" t="str">
        <f>IF(F824="","",VLOOKUP(F824,Tabelle1[],2))</f>
        <v>YLLI CONSTRUCION</v>
      </c>
      <c r="C824" s="40"/>
      <c r="D824" s="41">
        <v>46111</v>
      </c>
      <c r="E824" s="80"/>
      <c r="F824" s="78">
        <v>40017</v>
      </c>
      <c r="G824" s="43">
        <v>48</v>
      </c>
      <c r="H824" s="38">
        <v>35128</v>
      </c>
      <c r="I824" s="38">
        <v>12</v>
      </c>
    </row>
    <row r="825" spans="1:15" x14ac:dyDescent="0.25">
      <c r="A825" s="39" t="str">
        <f>IF(F825="","",VLOOKUP(F825,Tabelle1[],3))</f>
        <v>SHIROK</v>
      </c>
      <c r="B825" s="40" t="str">
        <f>IF(F825="","",VLOOKUP(F825,Tabelle1[],2))</f>
        <v>XHAFA</v>
      </c>
      <c r="C825" s="40"/>
      <c r="D825" s="41">
        <v>46112</v>
      </c>
      <c r="E825" s="80"/>
      <c r="F825" s="78">
        <v>10205</v>
      </c>
      <c r="G825" s="43">
        <v>50.4</v>
      </c>
      <c r="H825" s="38">
        <v>72101</v>
      </c>
      <c r="I825" s="38">
        <v>12</v>
      </c>
    </row>
    <row r="826" spans="1:15" x14ac:dyDescent="0.25">
      <c r="A826" s="39" t="str">
        <f>IF(F826="","",VLOOKUP(F826,Tabelle1[],3))</f>
        <v>PRIZREN</v>
      </c>
      <c r="B826" s="40" t="str">
        <f>IF(F826="","",VLOOKUP(F826,Tabelle1[],2))</f>
        <v>MONI 2</v>
      </c>
      <c r="C826" s="40"/>
      <c r="D826" s="41">
        <v>46112</v>
      </c>
      <c r="E826" s="80"/>
      <c r="F826" s="78">
        <v>10210</v>
      </c>
      <c r="G826" s="43">
        <v>92.4</v>
      </c>
      <c r="H826" s="38">
        <v>35121</v>
      </c>
      <c r="I826" s="38">
        <v>24</v>
      </c>
    </row>
    <row r="827" spans="1:15" x14ac:dyDescent="0.25">
      <c r="A827" s="39" t="str">
        <f>IF(F827="","",VLOOKUP(F827,Tabelle1[],3))</f>
        <v>SHIROK</v>
      </c>
      <c r="B827" s="40" t="str">
        <f>IF(F827="","",VLOOKUP(F827,Tabelle1[],2))</f>
        <v>XHAFA</v>
      </c>
      <c r="C827" s="40"/>
      <c r="D827" s="41">
        <v>46112</v>
      </c>
      <c r="E827" s="80"/>
      <c r="F827" s="78">
        <v>10205</v>
      </c>
      <c r="G827" s="43">
        <v>67.8</v>
      </c>
      <c r="H827" s="38">
        <v>50912</v>
      </c>
      <c r="I827" s="38">
        <v>3</v>
      </c>
      <c r="J827" s="38">
        <v>35128</v>
      </c>
      <c r="K827" s="38">
        <v>12</v>
      </c>
    </row>
    <row r="828" spans="1:15" x14ac:dyDescent="0.25">
      <c r="A828" s="39" t="str">
        <f>IF(F828="","",VLOOKUP(F828,Tabelle1[],3))</f>
        <v>PRISHTINE</v>
      </c>
      <c r="B828" s="40" t="str">
        <f>IF(F828="","",VLOOKUP(F828,Tabelle1[],2))</f>
        <v>KRRABAJ</v>
      </c>
      <c r="C828" s="40"/>
      <c r="D828" s="41">
        <v>46112</v>
      </c>
      <c r="E828" s="80"/>
      <c r="F828" s="78">
        <v>10146</v>
      </c>
      <c r="G828" s="43">
        <v>86.4</v>
      </c>
      <c r="H828" s="38">
        <v>50912</v>
      </c>
      <c r="I828" s="38">
        <v>12</v>
      </c>
    </row>
    <row r="829" spans="1:15" x14ac:dyDescent="0.25">
      <c r="A829" s="39" t="str">
        <f>IF(F829="","",VLOOKUP(F829,Tabelle1[],3))</f>
        <v>THARAND</v>
      </c>
      <c r="B829" s="40" t="str">
        <f>IF(F829="","",VLOOKUP(F829,Tabelle1[],2))</f>
        <v>TE BESNIKU</v>
      </c>
      <c r="C829" s="40"/>
      <c r="D829" s="41">
        <v>46112</v>
      </c>
      <c r="E829" s="80"/>
      <c r="F829" s="78">
        <v>10201</v>
      </c>
      <c r="G829" s="43">
        <v>92.4</v>
      </c>
      <c r="H829" s="38">
        <v>35108</v>
      </c>
      <c r="I829" s="38">
        <v>12</v>
      </c>
      <c r="J829" s="38">
        <v>35125</v>
      </c>
      <c r="K829" s="38">
        <v>12</v>
      </c>
    </row>
    <row r="830" spans="1:15" x14ac:dyDescent="0.25">
      <c r="A830" s="39" t="str">
        <f>IF(F830="","",VLOOKUP(F830,Tabelle1[],3))</f>
        <v>PRIZREN</v>
      </c>
      <c r="B830" s="40" t="str">
        <f>IF(F830="","",VLOOKUP(F830,Tabelle1[],2))</f>
        <v>ARPO</v>
      </c>
      <c r="C830" s="40"/>
      <c r="D830" s="41">
        <v>46112</v>
      </c>
      <c r="E830" s="80"/>
      <c r="F830" s="78">
        <v>10240</v>
      </c>
      <c r="G830" s="43">
        <v>138.6</v>
      </c>
      <c r="H830" s="38">
        <v>35111</v>
      </c>
      <c r="I830" s="38">
        <v>12</v>
      </c>
      <c r="J830" s="38">
        <v>35113</v>
      </c>
      <c r="K830" s="38">
        <v>12</v>
      </c>
      <c r="L830" s="38">
        <v>35119</v>
      </c>
      <c r="M830" s="38">
        <v>12</v>
      </c>
    </row>
    <row r="831" spans="1:15" x14ac:dyDescent="0.25">
      <c r="A831" s="39" t="str">
        <f>IF(F831="","",VLOOKUP(F831,Tabelle1[],3))</f>
        <v>PRIZREN</v>
      </c>
      <c r="B831" s="40" t="str">
        <f>IF(F831="","",VLOOKUP(F831,Tabelle1[],2))</f>
        <v>AB SHPK</v>
      </c>
      <c r="C831" s="40"/>
      <c r="D831" s="41">
        <v>46112</v>
      </c>
      <c r="E831" s="80"/>
      <c r="F831" s="78">
        <v>10241</v>
      </c>
      <c r="G831" s="43">
        <v>46.2</v>
      </c>
      <c r="H831" s="38">
        <v>35128</v>
      </c>
      <c r="I831" s="38">
        <v>12</v>
      </c>
    </row>
    <row r="832" spans="1:15" x14ac:dyDescent="0.25">
      <c r="A832" s="39" t="str">
        <f>IF(F832="","",VLOOKUP(F832,Tabelle1[],3))</f>
        <v>DUHEL</v>
      </c>
      <c r="B832" s="40" t="str">
        <f>IF(F832="","",VLOOKUP(F832,Tabelle1[],2))</f>
        <v>JETA DUHEL</v>
      </c>
      <c r="C832" s="40"/>
      <c r="D832" s="41">
        <v>46112</v>
      </c>
      <c r="E832" s="80"/>
      <c r="F832" s="78">
        <v>10230</v>
      </c>
      <c r="G832" s="43">
        <v>92.4</v>
      </c>
      <c r="H832" s="38">
        <v>35110</v>
      </c>
      <c r="I832" s="38">
        <v>12</v>
      </c>
      <c r="J832" s="38">
        <v>35121</v>
      </c>
      <c r="K832" s="38">
        <v>12</v>
      </c>
    </row>
    <row r="833" spans="1:13" x14ac:dyDescent="0.25">
      <c r="A833" s="39" t="str">
        <f>IF(F833="","",VLOOKUP(F833,Tabelle1[],3))</f>
        <v>ZYM</v>
      </c>
      <c r="B833" s="40" t="str">
        <f>IF(F833="","",VLOOKUP(F833,Tabelle1[],2))</f>
        <v>BEK TRADE</v>
      </c>
      <c r="C833" s="40"/>
      <c r="D833" s="41">
        <v>46112</v>
      </c>
      <c r="E833" s="80"/>
      <c r="F833" s="78">
        <v>10245</v>
      </c>
      <c r="G833" s="43">
        <v>46.2</v>
      </c>
      <c r="H833" s="38">
        <v>35108</v>
      </c>
      <c r="I833" s="38">
        <v>12</v>
      </c>
    </row>
    <row r="834" spans="1:13" x14ac:dyDescent="0.25">
      <c r="A834" s="39" t="str">
        <f>IF(F834="","",VLOOKUP(F834,Tabelle1[],3))</f>
        <v>PRIZREN</v>
      </c>
      <c r="B834" s="40" t="str">
        <f>IF(F834="","",VLOOKUP(F834,Tabelle1[],2))</f>
        <v>MURIQI 1</v>
      </c>
      <c r="C834" s="40"/>
      <c r="D834" s="41">
        <v>46112</v>
      </c>
      <c r="E834" s="80"/>
      <c r="F834" s="78">
        <v>10223</v>
      </c>
      <c r="G834" s="43">
        <v>43.5</v>
      </c>
      <c r="H834" s="38">
        <v>31880</v>
      </c>
      <c r="I834" s="38">
        <v>6</v>
      </c>
      <c r="J834" s="38">
        <v>39505</v>
      </c>
      <c r="K834" s="38">
        <v>4</v>
      </c>
      <c r="L834" s="38">
        <v>51936</v>
      </c>
      <c r="M834" s="38">
        <v>3</v>
      </c>
    </row>
    <row r="835" spans="1:13" x14ac:dyDescent="0.25">
      <c r="A835" s="39" t="str">
        <f>IF(F835="","",VLOOKUP(F835,Tabelle1[],3))</f>
        <v>PRIZREN</v>
      </c>
      <c r="B835" s="40" t="str">
        <f>IF(F835="","",VLOOKUP(F835,Tabelle1[],2))</f>
        <v>TEMAJ</v>
      </c>
      <c r="C835" s="40"/>
      <c r="D835" s="41">
        <v>46112</v>
      </c>
      <c r="E835" s="80"/>
      <c r="F835" s="78">
        <v>40019</v>
      </c>
      <c r="G835" s="43">
        <v>138.6</v>
      </c>
      <c r="H835" s="38">
        <v>35108</v>
      </c>
      <c r="I835" s="38">
        <v>12</v>
      </c>
      <c r="J835" s="38">
        <v>35119</v>
      </c>
      <c r="K835" s="38">
        <v>12</v>
      </c>
      <c r="L835" s="38">
        <v>35128</v>
      </c>
      <c r="M835" s="38">
        <v>12</v>
      </c>
    </row>
    <row r="836" spans="1:13" x14ac:dyDescent="0.25">
      <c r="A836" s="39" t="str">
        <f>IF(F836="","",VLOOKUP(F836,Tabelle1[],3))</f>
        <v>GJAKOVE</v>
      </c>
      <c r="B836" s="40" t="str">
        <f>IF(F836="","",VLOOKUP(F836,Tabelle1[],2))</f>
        <v xml:space="preserve">LIRA </v>
      </c>
      <c r="C836" s="40"/>
      <c r="D836" s="41">
        <v>46112</v>
      </c>
      <c r="E836" s="80"/>
      <c r="F836" s="78">
        <v>20229</v>
      </c>
      <c r="G836" s="43">
        <v>277.2</v>
      </c>
      <c r="H836" s="38">
        <v>35108</v>
      </c>
      <c r="I836" s="38">
        <v>24</v>
      </c>
      <c r="J836" s="38">
        <v>35115</v>
      </c>
      <c r="K836" s="38">
        <v>24</v>
      </c>
      <c r="L836" s="38">
        <v>35128</v>
      </c>
      <c r="M836" s="38">
        <v>24</v>
      </c>
    </row>
    <row r="837" spans="1:13" x14ac:dyDescent="0.25">
      <c r="A837" s="39" t="str">
        <f>IF(F837="","",VLOOKUP(F837,Tabelle1[],3))</f>
        <v>GJAKOVE</v>
      </c>
      <c r="B837" s="40" t="str">
        <f>IF(F837="","",VLOOKUP(F837,Tabelle1[],2))</f>
        <v>LETAJ</v>
      </c>
      <c r="C837" s="40"/>
      <c r="D837" s="41">
        <v>46112</v>
      </c>
      <c r="E837" s="80"/>
      <c r="F837" s="78">
        <v>20209</v>
      </c>
      <c r="G837" s="43">
        <v>103.2</v>
      </c>
      <c r="H837" s="38">
        <v>51612</v>
      </c>
      <c r="I837" s="38">
        <v>24</v>
      </c>
      <c r="J837" s="38">
        <v>56117</v>
      </c>
      <c r="K837" s="38">
        <v>6</v>
      </c>
      <c r="L837" s="38">
        <v>49644</v>
      </c>
      <c r="M837" s="38">
        <v>12</v>
      </c>
    </row>
    <row r="838" spans="1:13" x14ac:dyDescent="0.25">
      <c r="A838" s="39" t="str">
        <f>IF(F838="","",VLOOKUP(F838,Tabelle1[],3))</f>
        <v>JUNIK</v>
      </c>
      <c r="B838" s="40" t="str">
        <f>IF(F838="","",VLOOKUP(F838,Tabelle1[],2))</f>
        <v>GACAFERI-RG</v>
      </c>
      <c r="C838" s="40"/>
      <c r="D838" s="41">
        <v>46112</v>
      </c>
      <c r="E838" s="80"/>
      <c r="F838" s="78">
        <v>20205</v>
      </c>
      <c r="G838" s="43">
        <v>19</v>
      </c>
      <c r="H838" s="38">
        <v>56117</v>
      </c>
      <c r="I838" s="38">
        <v>3</v>
      </c>
      <c r="J838" s="38">
        <v>44001</v>
      </c>
      <c r="K838" s="38">
        <v>2</v>
      </c>
    </row>
    <row r="839" spans="1:13" x14ac:dyDescent="0.25">
      <c r="A839" s="39" t="str">
        <f>IF(F839="","",VLOOKUP(F839,Tabelle1[],3))</f>
        <v>GJAKOVE</v>
      </c>
      <c r="B839" s="40" t="str">
        <f>IF(F839="","",VLOOKUP(F839,Tabelle1[],2))</f>
        <v>INOX 2</v>
      </c>
      <c r="C839" s="40"/>
      <c r="D839" s="41">
        <v>46112</v>
      </c>
      <c r="E839" s="80"/>
      <c r="F839" s="78">
        <v>20212</v>
      </c>
      <c r="G839" s="43">
        <v>92.4</v>
      </c>
      <c r="H839" s="38">
        <v>35121</v>
      </c>
      <c r="I839" s="38">
        <v>12</v>
      </c>
      <c r="J839" s="38">
        <v>35128</v>
      </c>
      <c r="K839" s="38">
        <v>12</v>
      </c>
    </row>
    <row r="840" spans="1:13" x14ac:dyDescent="0.25">
      <c r="A840" s="39" t="str">
        <f>IF(F840="","",VLOOKUP(F840,Tabelle1[],3))</f>
        <v>DEQAN</v>
      </c>
      <c r="B840" s="40" t="str">
        <f>IF(F840="","",VLOOKUP(F840,Tabelle1[],2))</f>
        <v>AFRIMI-AG</v>
      </c>
      <c r="C840" s="40"/>
      <c r="D840" s="41">
        <v>46112</v>
      </c>
      <c r="E840" s="80"/>
      <c r="F840" s="78">
        <v>20203</v>
      </c>
      <c r="G840" s="43">
        <v>184.8</v>
      </c>
      <c r="H840" s="38">
        <v>35108</v>
      </c>
      <c r="I840" s="38">
        <v>12</v>
      </c>
      <c r="J840" s="38">
        <v>35113</v>
      </c>
      <c r="K840" s="38">
        <v>24</v>
      </c>
      <c r="L840" s="38">
        <v>35125</v>
      </c>
      <c r="M840" s="38">
        <v>12</v>
      </c>
    </row>
    <row r="841" spans="1:13" x14ac:dyDescent="0.25">
      <c r="A841" s="39" t="str">
        <f>IF(F841="","",VLOOKUP(F841,Tabelle1[],3))</f>
        <v>DEQAN</v>
      </c>
      <c r="B841" s="40" t="str">
        <f>IF(F841="","",VLOOKUP(F841,Tabelle1[],2))</f>
        <v>TE BESIMI</v>
      </c>
      <c r="C841" s="40"/>
      <c r="D841" s="41">
        <v>46112</v>
      </c>
      <c r="E841" s="80"/>
      <c r="F841" s="78">
        <v>20201</v>
      </c>
      <c r="G841" s="43">
        <v>102.4</v>
      </c>
      <c r="H841" s="38">
        <v>35110</v>
      </c>
      <c r="I841" s="38">
        <v>12</v>
      </c>
      <c r="J841" s="38">
        <v>35128</v>
      </c>
      <c r="K841" s="38">
        <v>12</v>
      </c>
      <c r="L841" s="38">
        <v>54412</v>
      </c>
      <c r="M841" s="38">
        <v>5</v>
      </c>
    </row>
    <row r="842" spans="1:13" x14ac:dyDescent="0.25">
      <c r="A842" s="39" t="str">
        <f>IF(F842="","",VLOOKUP(F842,Tabelle1[],3))</f>
        <v>HOME KIM TEC</v>
      </c>
      <c r="B842" s="40" t="str">
        <f>IF(F842="","",VLOOKUP(F842,Tabelle1[],2))</f>
        <v>ARBENI BIOBLIC</v>
      </c>
      <c r="C842" s="40"/>
      <c r="D842" s="41">
        <v>46112</v>
      </c>
      <c r="E842" s="80"/>
      <c r="F842" s="78">
        <v>40003</v>
      </c>
      <c r="G842" s="43">
        <v>175</v>
      </c>
      <c r="H842" s="38">
        <v>20001</v>
      </c>
      <c r="I842" s="38">
        <v>100</v>
      </c>
      <c r="J842" s="38">
        <v>30275</v>
      </c>
      <c r="K842" s="38">
        <v>40</v>
      </c>
    </row>
    <row r="843" spans="1:13" x14ac:dyDescent="0.25">
      <c r="A843" s="39" t="str">
        <f>IF(F843="","",VLOOKUP(F843,Tabelle1[],3))</f>
        <v>PRISHTINE</v>
      </c>
      <c r="B843" s="40" t="str">
        <f>IF(F843="","",VLOOKUP(F843,Tabelle1[],2))</f>
        <v>KRRABAJ</v>
      </c>
      <c r="C843" s="40"/>
      <c r="D843" s="41">
        <v>46113</v>
      </c>
      <c r="E843" s="80"/>
      <c r="F843" s="78">
        <v>10147</v>
      </c>
      <c r="G843" s="43">
        <v>96</v>
      </c>
      <c r="H843" s="38">
        <v>50912</v>
      </c>
      <c r="I843" s="38">
        <v>12</v>
      </c>
    </row>
    <row r="844" spans="1:13" x14ac:dyDescent="0.25">
      <c r="A844" s="39" t="str">
        <f>IF(F844="","",VLOOKUP(F844,Tabelle1[],3))</f>
        <v>GJILAN</v>
      </c>
      <c r="B844" s="40" t="str">
        <f>IF(F844="","",VLOOKUP(F844,Tabelle1[],2))</f>
        <v>IBAK</v>
      </c>
      <c r="C844" s="40"/>
      <c r="D844" s="41">
        <v>46113</v>
      </c>
      <c r="E844" s="80"/>
      <c r="F844" s="78">
        <v>10340</v>
      </c>
      <c r="G844" s="43">
        <v>92.4</v>
      </c>
      <c r="H844" s="38">
        <v>35109</v>
      </c>
      <c r="I844" s="38">
        <v>24</v>
      </c>
    </row>
    <row r="845" spans="1:13" x14ac:dyDescent="0.25">
      <c r="A845" s="39" t="str">
        <f>IF(F845="","",VLOOKUP(F845,Tabelle1[],3))</f>
        <v>GJILAN</v>
      </c>
      <c r="B845" s="40" t="str">
        <f>IF(F845="","",VLOOKUP(F845,Tabelle1[],2))</f>
        <v>TINA</v>
      </c>
      <c r="C845" s="40"/>
      <c r="D845" s="41">
        <v>46113</v>
      </c>
      <c r="E845" s="80"/>
      <c r="F845" s="78">
        <v>10344</v>
      </c>
      <c r="G845" s="43">
        <v>138.6</v>
      </c>
      <c r="H845" s="38">
        <v>35112</v>
      </c>
      <c r="I845" s="38">
        <v>12</v>
      </c>
      <c r="J845" s="38">
        <v>35113</v>
      </c>
      <c r="K845" s="38">
        <v>12</v>
      </c>
      <c r="L845" s="38">
        <v>35108</v>
      </c>
      <c r="M845" s="38">
        <v>12</v>
      </c>
    </row>
    <row r="846" spans="1:13" x14ac:dyDescent="0.25">
      <c r="A846" s="39" t="str">
        <f>IF(F846="","",VLOOKUP(F846,Tabelle1[],3))</f>
        <v>GJILAN</v>
      </c>
      <c r="B846" s="40" t="str">
        <f>IF(F846="","",VLOOKUP(F846,Tabelle1[],2))</f>
        <v>FUGA MONT</v>
      </c>
      <c r="C846" s="40"/>
      <c r="D846" s="41">
        <v>46113</v>
      </c>
      <c r="E846" s="80"/>
      <c r="F846" s="78">
        <v>10333</v>
      </c>
      <c r="G846" s="43">
        <v>30</v>
      </c>
      <c r="H846" s="38">
        <v>51611</v>
      </c>
      <c r="I846" s="38">
        <v>24</v>
      </c>
    </row>
    <row r="847" spans="1:13" x14ac:dyDescent="0.25">
      <c r="A847" s="39" t="str">
        <f>IF(F847="","",VLOOKUP(F847,Tabelle1[],3))</f>
        <v>VITI</v>
      </c>
      <c r="B847" s="40" t="str">
        <f>IF(F847="","",VLOOKUP(F847,Tabelle1[],2))</f>
        <v>SMIRA COLOR</v>
      </c>
      <c r="C847" s="40"/>
      <c r="D847" s="41">
        <v>46113</v>
      </c>
      <c r="E847" s="80"/>
      <c r="F847" s="78">
        <v>10367</v>
      </c>
      <c r="G847" s="43">
        <v>92.4</v>
      </c>
      <c r="H847" s="38">
        <v>35113</v>
      </c>
      <c r="I847" s="38">
        <v>12</v>
      </c>
      <c r="J847" s="38">
        <v>35121</v>
      </c>
      <c r="K847" s="38">
        <v>12</v>
      </c>
    </row>
    <row r="848" spans="1:13" x14ac:dyDescent="0.25">
      <c r="A848" s="39" t="str">
        <f>IF(F848="","",VLOOKUP(F848,Tabelle1[],3))</f>
        <v>VITI</v>
      </c>
      <c r="B848" s="40" t="str">
        <f>IF(F848="","",VLOOKUP(F848,Tabelle1[],2))</f>
        <v>BALLKANI</v>
      </c>
      <c r="C848" s="40"/>
      <c r="D848" s="41">
        <v>46113</v>
      </c>
      <c r="E848" s="80"/>
      <c r="F848" s="78">
        <v>10350</v>
      </c>
      <c r="G848" s="43">
        <v>184.8</v>
      </c>
      <c r="H848" s="38">
        <v>35110</v>
      </c>
      <c r="I848" s="38">
        <v>12</v>
      </c>
      <c r="J848" s="38">
        <v>35121</v>
      </c>
      <c r="K848" s="38">
        <v>36</v>
      </c>
    </row>
    <row r="849" spans="1:17" x14ac:dyDescent="0.25">
      <c r="A849" s="39" t="str">
        <f>IF(F849="","",VLOOKUP(F849,Tabelle1[],3))</f>
        <v>VITI</v>
      </c>
      <c r="B849" s="40" t="str">
        <f>IF(F849="","",VLOOKUP(F849,Tabelle1[],2))</f>
        <v>DARDANIA</v>
      </c>
      <c r="C849" s="40"/>
      <c r="D849" s="41">
        <v>46113</v>
      </c>
      <c r="E849" s="80"/>
      <c r="F849" s="78">
        <v>10332</v>
      </c>
      <c r="G849" s="43">
        <v>107.4</v>
      </c>
      <c r="H849" s="38">
        <v>35121</v>
      </c>
      <c r="I849" s="38">
        <v>24</v>
      </c>
      <c r="J849" s="38">
        <v>51611</v>
      </c>
      <c r="K849" s="38">
        <v>12</v>
      </c>
    </row>
    <row r="850" spans="1:17" x14ac:dyDescent="0.25">
      <c r="A850" s="39" t="str">
        <f>IF(F850="","",VLOOKUP(F850,Tabelle1[],3))</f>
        <v>GJILAN</v>
      </c>
      <c r="B850" s="40" t="str">
        <f>IF(F850="","",VLOOKUP(F850,Tabelle1[],2))</f>
        <v>EUROSAN</v>
      </c>
      <c r="C850" s="40"/>
      <c r="D850" s="41">
        <v>46113</v>
      </c>
      <c r="E850" s="80"/>
      <c r="F850" s="78">
        <v>10304</v>
      </c>
      <c r="G850" s="43">
        <v>15</v>
      </c>
      <c r="H850" s="38">
        <v>51611</v>
      </c>
      <c r="I850" s="38">
        <v>12</v>
      </c>
    </row>
    <row r="851" spans="1:17" x14ac:dyDescent="0.25">
      <c r="A851" s="39" t="str">
        <f>IF(F851="","",VLOOKUP(F851,Tabelle1[],3))</f>
        <v>GJILAN</v>
      </c>
      <c r="B851" s="40" t="str">
        <f>IF(F851="","",VLOOKUP(F851,Tabelle1[],2))</f>
        <v>ERALP</v>
      </c>
      <c r="C851" s="40"/>
      <c r="D851" s="41">
        <v>46113</v>
      </c>
      <c r="E851" s="80"/>
      <c r="F851" s="78">
        <v>10308</v>
      </c>
      <c r="G851" s="43">
        <v>277.2</v>
      </c>
      <c r="H851" s="38">
        <v>35112</v>
      </c>
      <c r="I851" s="38">
        <v>24</v>
      </c>
      <c r="J851" s="38">
        <v>35128</v>
      </c>
      <c r="K851" s="38">
        <v>24</v>
      </c>
      <c r="L851" s="38">
        <v>35125</v>
      </c>
      <c r="M851" s="38">
        <v>12</v>
      </c>
      <c r="N851" s="38">
        <v>35121</v>
      </c>
      <c r="O851" s="38">
        <v>12</v>
      </c>
    </row>
    <row r="852" spans="1:17" x14ac:dyDescent="0.25">
      <c r="A852" s="39" t="str">
        <f>IF(F852="","",VLOOKUP(F852,Tabelle1[],3))</f>
        <v>GJILAN</v>
      </c>
      <c r="B852" s="40" t="str">
        <f>IF(F852="","",VLOOKUP(F852,Tabelle1[],2))</f>
        <v>TREND CERAMIKA</v>
      </c>
      <c r="C852" s="40"/>
      <c r="D852" s="41">
        <v>46113</v>
      </c>
      <c r="E852" s="80"/>
      <c r="F852" s="78">
        <v>10353</v>
      </c>
      <c r="G852" s="43">
        <v>61.2</v>
      </c>
      <c r="H852" s="38">
        <v>35121</v>
      </c>
      <c r="I852" s="38">
        <v>12</v>
      </c>
      <c r="J852" s="38">
        <v>51611</v>
      </c>
      <c r="K852" s="38">
        <v>12</v>
      </c>
    </row>
    <row r="853" spans="1:17" x14ac:dyDescent="0.25">
      <c r="A853" s="39" t="str">
        <f>IF(F853="","",VLOOKUP(F853,Tabelle1[],3))</f>
        <v>VUSHTRRI</v>
      </c>
      <c r="B853" s="40" t="str">
        <f>IF(F853="","",VLOOKUP(F853,Tabelle1[],2))</f>
        <v>NDRIQIMI</v>
      </c>
      <c r="C853" s="40"/>
      <c r="D853" s="41">
        <v>46114</v>
      </c>
      <c r="E853" s="80"/>
      <c r="F853" s="78">
        <v>10418</v>
      </c>
      <c r="G853" s="43">
        <v>76.2</v>
      </c>
      <c r="H853" s="38">
        <v>35115</v>
      </c>
      <c r="I853" s="38">
        <v>12</v>
      </c>
      <c r="J853" s="38">
        <v>51611</v>
      </c>
      <c r="K853" s="38">
        <v>24</v>
      </c>
    </row>
    <row r="854" spans="1:17" x14ac:dyDescent="0.25">
      <c r="A854" s="39" t="str">
        <f>IF(F854="","",VLOOKUP(F854,Tabelle1[],3))</f>
        <v>PODUJEVE</v>
      </c>
      <c r="B854" s="40" t="str">
        <f>IF(F854="","",VLOOKUP(F854,Tabelle1[],2))</f>
        <v>ALBANI</v>
      </c>
      <c r="C854" s="40"/>
      <c r="D854" s="41">
        <v>46114</v>
      </c>
      <c r="E854" s="80"/>
      <c r="F854" s="78">
        <v>10638</v>
      </c>
      <c r="G854" s="43">
        <v>270</v>
      </c>
      <c r="H854" s="38">
        <v>35121</v>
      </c>
      <c r="I854" s="38">
        <v>60</v>
      </c>
    </row>
    <row r="855" spans="1:17" x14ac:dyDescent="0.25">
      <c r="A855" s="39" t="str">
        <f>IF(F855="","",VLOOKUP(F855,Tabelle1[],3))</f>
        <v>PODUJEVE</v>
      </c>
      <c r="B855" s="40" t="str">
        <f>IF(F855="","",VLOOKUP(F855,Tabelle1[],2))</f>
        <v>ALBANI</v>
      </c>
      <c r="C855" s="40"/>
      <c r="D855" s="41">
        <v>46114</v>
      </c>
      <c r="E855" s="80"/>
      <c r="F855" s="78">
        <v>10638</v>
      </c>
      <c r="G855" s="43">
        <v>270</v>
      </c>
      <c r="H855" s="38">
        <v>35121</v>
      </c>
      <c r="I855" s="38">
        <v>60</v>
      </c>
    </row>
    <row r="856" spans="1:17" x14ac:dyDescent="0.25">
      <c r="A856" s="39" t="str">
        <f>IF(F856="","",VLOOKUP(F856,Tabelle1[],3))</f>
        <v>MITROVICE</v>
      </c>
      <c r="B856" s="40" t="str">
        <f>IF(F856="","",VLOOKUP(F856,Tabelle1[],2))</f>
        <v>GRANITI</v>
      </c>
      <c r="C856" s="40"/>
      <c r="D856" s="41">
        <v>46114</v>
      </c>
      <c r="E856" s="80"/>
      <c r="F856" s="78">
        <v>10410</v>
      </c>
      <c r="G856" s="43">
        <v>92.4</v>
      </c>
      <c r="H856" s="38">
        <v>35110</v>
      </c>
      <c r="I856" s="38">
        <v>12</v>
      </c>
      <c r="J856" s="38">
        <v>35112</v>
      </c>
      <c r="K856" s="38">
        <v>12</v>
      </c>
    </row>
    <row r="857" spans="1:17" x14ac:dyDescent="0.25">
      <c r="A857" s="39" t="str">
        <f>IF(F857="","",VLOOKUP(F857,Tabelle1[],3))</f>
        <v>MITROVICE</v>
      </c>
      <c r="B857" s="40" t="str">
        <f>IF(F857="","",VLOOKUP(F857,Tabelle1[],2))</f>
        <v>UNIVERZAL</v>
      </c>
      <c r="C857" s="40"/>
      <c r="D857" s="41">
        <v>46114</v>
      </c>
      <c r="E857" s="80"/>
      <c r="F857" s="78">
        <v>10413</v>
      </c>
      <c r="G857" s="43">
        <v>61.2</v>
      </c>
      <c r="H857" s="38">
        <v>35112</v>
      </c>
      <c r="I857" s="38">
        <v>12</v>
      </c>
      <c r="J857" s="38">
        <v>51611</v>
      </c>
      <c r="K857" s="38">
        <v>12</v>
      </c>
    </row>
    <row r="858" spans="1:17" x14ac:dyDescent="0.25">
      <c r="A858" s="39" t="str">
        <f>IF(F858="","",VLOOKUP(F858,Tabelle1[],3))</f>
        <v>MITROVICE</v>
      </c>
      <c r="B858" s="40" t="str">
        <f>IF(F858="","",VLOOKUP(F858,Tabelle1[],2))</f>
        <v>AGRONI</v>
      </c>
      <c r="C858" s="40"/>
      <c r="D858" s="41">
        <v>46114</v>
      </c>
      <c r="E858" s="80"/>
      <c r="F858" s="78">
        <v>10406</v>
      </c>
      <c r="G858" s="43">
        <v>86.4</v>
      </c>
      <c r="H858" s="38">
        <v>50912</v>
      </c>
      <c r="I858" s="38">
        <v>12</v>
      </c>
    </row>
    <row r="859" spans="1:17" x14ac:dyDescent="0.25">
      <c r="A859" s="39" t="str">
        <f>IF(F859="","",VLOOKUP(F859,Tabelle1[],3))</f>
        <v>VUSHTRRI</v>
      </c>
      <c r="B859" s="40" t="str">
        <f>IF(F859="","",VLOOKUP(F859,Tabelle1[],2))</f>
        <v>ENISI - H</v>
      </c>
      <c r="C859" s="40"/>
      <c r="D859" s="41">
        <v>46114</v>
      </c>
      <c r="E859" s="80"/>
      <c r="F859" s="78">
        <v>10428</v>
      </c>
      <c r="G859" s="43">
        <v>61.2</v>
      </c>
      <c r="H859" s="38">
        <v>35112</v>
      </c>
      <c r="I859" s="38">
        <v>12</v>
      </c>
      <c r="J859" s="38">
        <v>51612</v>
      </c>
      <c r="K859" s="38">
        <v>12</v>
      </c>
    </row>
    <row r="860" spans="1:17" x14ac:dyDescent="0.25">
      <c r="A860" s="39" t="str">
        <f>IF(F860="","",VLOOKUP(F860,Tabelle1[],3))</f>
        <v>VUSHTRRI</v>
      </c>
      <c r="B860" s="40" t="str">
        <f>IF(F860="","",VLOOKUP(F860,Tabelle1[],2))</f>
        <v>DRCOR</v>
      </c>
      <c r="C860" s="40"/>
      <c r="D860" s="41">
        <v>46114</v>
      </c>
      <c r="E860" s="80"/>
      <c r="F860" s="78">
        <v>10401</v>
      </c>
      <c r="G860" s="43">
        <v>92.4</v>
      </c>
      <c r="H860" s="38">
        <v>35108</v>
      </c>
      <c r="I860" s="38">
        <v>12</v>
      </c>
      <c r="J860" s="38">
        <v>35125</v>
      </c>
      <c r="K860" s="38">
        <v>12</v>
      </c>
    </row>
    <row r="861" spans="1:17" x14ac:dyDescent="0.25">
      <c r="A861" s="39" t="str">
        <f>IF(F861="","",VLOOKUP(F861,Tabelle1[],3))</f>
        <v>MALISHEVE</v>
      </c>
      <c r="B861" s="40" t="str">
        <f>IF(F861="","",VLOOKUP(F861,Tabelle1[],2))</f>
        <v>BAU HOME</v>
      </c>
      <c r="C861" s="40"/>
      <c r="D861" s="41">
        <v>46114</v>
      </c>
      <c r="E861" s="80"/>
      <c r="F861" s="78">
        <v>20324</v>
      </c>
      <c r="G861" s="43">
        <v>46.2</v>
      </c>
      <c r="H861" s="38">
        <v>35113</v>
      </c>
      <c r="I861" s="38">
        <v>12</v>
      </c>
    </row>
    <row r="862" spans="1:17" x14ac:dyDescent="0.25">
      <c r="A862" s="39" t="str">
        <f>IF(F862="","",VLOOKUP(F862,Tabelle1[],3))</f>
        <v>RAHOVEC</v>
      </c>
      <c r="B862" s="40" t="str">
        <f>IF(F862="","",VLOOKUP(F862,Tabelle1[],2))</f>
        <v>CONDOR</v>
      </c>
      <c r="C862" s="40"/>
      <c r="D862" s="41">
        <v>46114</v>
      </c>
      <c r="E862" s="80"/>
      <c r="F862" s="78">
        <v>20307</v>
      </c>
      <c r="G862" s="43">
        <v>231</v>
      </c>
      <c r="H862" s="38">
        <v>35108</v>
      </c>
      <c r="I862" s="38">
        <v>12</v>
      </c>
      <c r="J862" s="38">
        <v>35112</v>
      </c>
      <c r="K862" s="38">
        <v>12</v>
      </c>
      <c r="L862" s="38">
        <v>35115</v>
      </c>
      <c r="M862" s="38">
        <v>12</v>
      </c>
      <c r="N862" s="38">
        <v>35121</v>
      </c>
      <c r="O862" s="38">
        <v>12</v>
      </c>
      <c r="P862" s="38">
        <v>35128</v>
      </c>
      <c r="Q862" s="38">
        <v>12</v>
      </c>
    </row>
    <row r="863" spans="1:17" x14ac:dyDescent="0.25">
      <c r="A863" s="39" t="str">
        <f>IF(F863="","",VLOOKUP(F863,Tabelle1[],3))</f>
        <v>RAHOVEC</v>
      </c>
      <c r="B863" s="40" t="str">
        <f>IF(F863="","",VLOOKUP(F863,Tabelle1[],2))</f>
        <v>CONDOR</v>
      </c>
      <c r="C863" s="40"/>
      <c r="D863" s="41">
        <v>46114</v>
      </c>
      <c r="E863" s="80"/>
      <c r="F863" s="78">
        <v>20307</v>
      </c>
      <c r="G863" s="43">
        <v>114.6</v>
      </c>
      <c r="H863" s="38">
        <v>66701</v>
      </c>
      <c r="I863" s="38">
        <v>12</v>
      </c>
      <c r="J863" s="38">
        <v>51611</v>
      </c>
      <c r="K863" s="38">
        <v>36</v>
      </c>
    </row>
    <row r="864" spans="1:17" x14ac:dyDescent="0.25">
      <c r="A864" s="39" t="str">
        <f>IF(F864="","",VLOOKUP(F864,Tabelle1[],3))</f>
        <v>RAHOVEC</v>
      </c>
      <c r="B864" s="40" t="str">
        <f>IF(F864="","",VLOOKUP(F864,Tabelle1[],2))</f>
        <v>DURGUTI 3</v>
      </c>
      <c r="C864" s="40"/>
      <c r="D864" s="41">
        <v>46114</v>
      </c>
      <c r="E864" s="80"/>
      <c r="F864" s="78">
        <v>20313</v>
      </c>
      <c r="G864" s="43">
        <v>162</v>
      </c>
      <c r="H864" s="38">
        <v>66701</v>
      </c>
      <c r="I864" s="38">
        <v>12</v>
      </c>
      <c r="J864" s="38">
        <v>35112</v>
      </c>
      <c r="K864" s="38">
        <v>12</v>
      </c>
      <c r="L864" s="38">
        <v>35109</v>
      </c>
      <c r="M864" s="38">
        <v>12</v>
      </c>
    </row>
    <row r="865" spans="1:15" x14ac:dyDescent="0.25">
      <c r="A865" s="39" t="str">
        <f>IF(F865="","",VLOOKUP(F865,Tabelle1[],3))</f>
        <v>MALISHEVE</v>
      </c>
      <c r="B865" s="40" t="str">
        <f>IF(F865="","",VLOOKUP(F865,Tabelle1[],2))</f>
        <v>BARDHI-M</v>
      </c>
      <c r="C865" s="40"/>
      <c r="D865" s="41">
        <v>46114</v>
      </c>
      <c r="E865" s="80"/>
      <c r="F865" s="78">
        <v>20331</v>
      </c>
      <c r="G865" s="43">
        <v>138.6</v>
      </c>
      <c r="H865" s="38">
        <v>35112</v>
      </c>
      <c r="I865" s="38">
        <v>12</v>
      </c>
      <c r="J865" s="38">
        <v>35121</v>
      </c>
      <c r="K865" s="38">
        <v>12</v>
      </c>
      <c r="L865" s="38">
        <v>35128</v>
      </c>
      <c r="M865" s="38">
        <v>12</v>
      </c>
    </row>
    <row r="866" spans="1:15" x14ac:dyDescent="0.25">
      <c r="A866" s="39" t="str">
        <f>IF(F866="","",VLOOKUP(F866,Tabelle1[],3))</f>
        <v>MALISHEVE</v>
      </c>
      <c r="B866" s="40" t="str">
        <f>IF(F866="","",VLOOKUP(F866,Tabelle1[],2))</f>
        <v>FITIMI</v>
      </c>
      <c r="C866" s="40"/>
      <c r="D866" s="41">
        <v>46114</v>
      </c>
      <c r="E866" s="80"/>
      <c r="F866" s="78">
        <v>20306</v>
      </c>
      <c r="G866" s="43">
        <v>138.6</v>
      </c>
      <c r="H866" s="38">
        <v>35109</v>
      </c>
      <c r="I866" s="38">
        <v>12</v>
      </c>
      <c r="J866" s="38">
        <v>35125</v>
      </c>
      <c r="K866" s="38">
        <v>12</v>
      </c>
      <c r="L866" s="38">
        <v>35128</v>
      </c>
      <c r="M866" s="38">
        <v>12</v>
      </c>
    </row>
    <row r="867" spans="1:15" x14ac:dyDescent="0.25">
      <c r="A867" s="39" t="str">
        <f>IF(F867="","",VLOOKUP(F867,Tabelle1[],3))</f>
        <v>MALISHEVE</v>
      </c>
      <c r="B867" s="40" t="str">
        <f>IF(F867="","",VLOOKUP(F867,Tabelle1[],2))</f>
        <v>TERMOT</v>
      </c>
      <c r="C867" s="40"/>
      <c r="D867" s="41">
        <v>46114</v>
      </c>
      <c r="E867" s="80"/>
      <c r="F867" s="78">
        <v>20329</v>
      </c>
      <c r="G867" s="43">
        <v>92.4</v>
      </c>
      <c r="H867" s="38">
        <v>35109</v>
      </c>
      <c r="I867" s="38">
        <v>12</v>
      </c>
      <c r="J867" s="38">
        <v>35111</v>
      </c>
      <c r="K867" s="38">
        <v>12</v>
      </c>
    </row>
    <row r="868" spans="1:15" x14ac:dyDescent="0.25">
      <c r="A868" s="39" t="str">
        <f>IF(F868="","",VLOOKUP(F868,Tabelle1[],3))</f>
        <v>MALISHEVE</v>
      </c>
      <c r="B868" s="40" t="str">
        <f>IF(F868="","",VLOOKUP(F868,Tabelle1[],2))</f>
        <v>ARTURI</v>
      </c>
      <c r="C868" s="40"/>
      <c r="D868" s="41">
        <v>46114</v>
      </c>
      <c r="E868" s="80"/>
      <c r="F868" s="78">
        <v>20328</v>
      </c>
      <c r="G868" s="43">
        <v>138.6</v>
      </c>
      <c r="H868" s="38">
        <v>35108</v>
      </c>
      <c r="I868" s="38">
        <v>12</v>
      </c>
      <c r="J868" s="38">
        <v>35112</v>
      </c>
      <c r="K868" s="38">
        <v>12</v>
      </c>
      <c r="L868" s="38">
        <v>35115</v>
      </c>
      <c r="M868" s="38">
        <v>12</v>
      </c>
    </row>
    <row r="869" spans="1:15" x14ac:dyDescent="0.25">
      <c r="A869" s="39" t="str">
        <f>IF(F869="","",VLOOKUP(F869,Tabelle1[],3))</f>
        <v>RAHOVEC</v>
      </c>
      <c r="B869" s="40" t="str">
        <f>IF(F869="","",VLOOKUP(F869,Tabelle1[],2))</f>
        <v>SOPAJ</v>
      </c>
      <c r="C869" s="40"/>
      <c r="D869" s="41">
        <v>46114</v>
      </c>
      <c r="E869" s="80"/>
      <c r="F869" s="78">
        <v>20311</v>
      </c>
      <c r="G869" s="43">
        <v>92.4</v>
      </c>
      <c r="H869" s="38">
        <v>35109</v>
      </c>
      <c r="I869" s="38">
        <v>12</v>
      </c>
      <c r="J869" s="38">
        <v>35110</v>
      </c>
      <c r="K869" s="38">
        <v>12</v>
      </c>
    </row>
    <row r="870" spans="1:15" x14ac:dyDescent="0.25">
      <c r="A870" s="39" t="str">
        <f>IF(F870="","",VLOOKUP(F870,Tabelle1[],3))</f>
        <v>RAHOVEC</v>
      </c>
      <c r="B870" s="40" t="str">
        <f>IF(F870="","",VLOOKUP(F870,Tabelle1[],2))</f>
        <v>URA</v>
      </c>
      <c r="C870" s="40"/>
      <c r="D870" s="41">
        <v>46114</v>
      </c>
      <c r="E870" s="80"/>
      <c r="F870" s="78">
        <v>20314</v>
      </c>
      <c r="G870" s="43">
        <v>92.4</v>
      </c>
      <c r="H870" s="38">
        <v>35110</v>
      </c>
      <c r="I870" s="38">
        <v>12</v>
      </c>
      <c r="J870" s="38">
        <v>35113</v>
      </c>
      <c r="K870" s="38">
        <v>12</v>
      </c>
    </row>
    <row r="871" spans="1:15" x14ac:dyDescent="0.25">
      <c r="A871" s="39" t="str">
        <f>IF(F871="","",VLOOKUP(F871,Tabelle1[],3))</f>
        <v>GJAKOVE</v>
      </c>
      <c r="B871" s="40" t="str">
        <f>IF(F871="","",VLOOKUP(F871,Tabelle1[],2))</f>
        <v>HB-DECOR</v>
      </c>
      <c r="C871" s="40"/>
      <c r="D871" s="41">
        <v>46114</v>
      </c>
      <c r="E871" s="80"/>
      <c r="F871" s="78">
        <v>20228</v>
      </c>
      <c r="G871" s="43">
        <v>208.8</v>
      </c>
      <c r="H871" s="38">
        <v>66701</v>
      </c>
      <c r="I871" s="38">
        <v>36</v>
      </c>
    </row>
    <row r="872" spans="1:15" x14ac:dyDescent="0.25">
      <c r="A872" s="39" t="str">
        <f>IF(F872="","",VLOOKUP(F872,Tabelle1[],3))</f>
        <v>FERIZAJ</v>
      </c>
      <c r="B872" s="40" t="str">
        <f>IF(F872="","",VLOOKUP(F872,Tabelle1[],2))</f>
        <v>PROCOM</v>
      </c>
      <c r="C872" s="40"/>
      <c r="D872" s="41">
        <v>46115</v>
      </c>
      <c r="E872" s="80"/>
      <c r="F872" s="78">
        <v>10502</v>
      </c>
      <c r="G872" s="43">
        <v>34</v>
      </c>
      <c r="H872" s="38">
        <v>44001</v>
      </c>
      <c r="I872" s="38">
        <v>8</v>
      </c>
      <c r="J872" s="38">
        <v>39505</v>
      </c>
      <c r="K872" s="38">
        <v>2</v>
      </c>
    </row>
    <row r="873" spans="1:15" x14ac:dyDescent="0.25">
      <c r="A873" s="39" t="str">
        <f>IF(F873="","",VLOOKUP(F873,Tabelle1[],3))</f>
        <v>FERIZAJ</v>
      </c>
      <c r="B873" s="40" t="str">
        <f>IF(F873="","",VLOOKUP(F873,Tabelle1[],2))</f>
        <v>REAL COLOR 2</v>
      </c>
      <c r="C873" s="40"/>
      <c r="D873" s="41">
        <v>46115</v>
      </c>
      <c r="E873" s="80"/>
      <c r="F873" s="78">
        <v>10507</v>
      </c>
      <c r="G873" s="43">
        <v>138.6</v>
      </c>
      <c r="H873" s="38">
        <v>35112</v>
      </c>
      <c r="I873" s="38">
        <v>12</v>
      </c>
      <c r="J873" s="38">
        <v>35113</v>
      </c>
      <c r="K873" s="38">
        <v>12</v>
      </c>
      <c r="L873" s="38">
        <v>35114</v>
      </c>
      <c r="M873" s="38">
        <v>12</v>
      </c>
    </row>
    <row r="874" spans="1:15" x14ac:dyDescent="0.25">
      <c r="A874" s="39" t="str">
        <f>IF(F874="","",VLOOKUP(F874,Tabelle1[],3))</f>
        <v>FERIZAJ</v>
      </c>
      <c r="B874" s="40" t="str">
        <f>IF(F874="","",VLOOKUP(F874,Tabelle1[],2))</f>
        <v>LONI</v>
      </c>
      <c r="C874" s="40"/>
      <c r="D874" s="41">
        <v>46115</v>
      </c>
      <c r="E874" s="80"/>
      <c r="F874" s="78">
        <v>10509</v>
      </c>
      <c r="G874" s="43">
        <v>106.4</v>
      </c>
      <c r="H874" s="38">
        <v>50912</v>
      </c>
      <c r="I874" s="38">
        <v>12</v>
      </c>
      <c r="J874" s="38">
        <v>56117</v>
      </c>
      <c r="K874" s="38">
        <v>5</v>
      </c>
    </row>
    <row r="875" spans="1:15" x14ac:dyDescent="0.25">
      <c r="A875" s="39" t="str">
        <f>IF(F875="","",VLOOKUP(F875,Tabelle1[],3))</f>
        <v>VITI</v>
      </c>
      <c r="B875" s="40" t="str">
        <f>IF(F875="","",VLOOKUP(F875,Tabelle1[],2))</f>
        <v>BALLKANI</v>
      </c>
      <c r="C875" s="40"/>
      <c r="D875" s="41">
        <v>46115</v>
      </c>
      <c r="E875" s="80"/>
      <c r="F875" s="78">
        <v>10350</v>
      </c>
      <c r="G875" s="43">
        <v>184.8</v>
      </c>
      <c r="H875" s="38">
        <v>35121</v>
      </c>
      <c r="I875" s="38">
        <v>48</v>
      </c>
    </row>
    <row r="876" spans="1:15" x14ac:dyDescent="0.25">
      <c r="A876" s="39" t="str">
        <f>IF(F876="","",VLOOKUP(F876,Tabelle1[],3))</f>
        <v>FERIZAJ</v>
      </c>
      <c r="B876" s="40" t="str">
        <f>IF(F876="","",VLOOKUP(F876,Tabelle1[],2))</f>
        <v>LITA</v>
      </c>
      <c r="C876" s="40"/>
      <c r="D876" s="41">
        <v>46115</v>
      </c>
      <c r="E876" s="80"/>
      <c r="F876" s="78">
        <v>10542</v>
      </c>
      <c r="G876" s="43">
        <v>46.2</v>
      </c>
      <c r="H876" s="38">
        <v>35110</v>
      </c>
      <c r="I876" s="38">
        <v>12</v>
      </c>
    </row>
    <row r="877" spans="1:15" x14ac:dyDescent="0.25">
      <c r="A877" s="39" t="str">
        <f>IF(F877="","",VLOOKUP(F877,Tabelle1[],3))</f>
        <v>FERIZAJ</v>
      </c>
      <c r="B877" s="40" t="str">
        <f>IF(F877="","",VLOOKUP(F877,Tabelle1[],2))</f>
        <v>ARBERI</v>
      </c>
      <c r="C877" s="40"/>
      <c r="D877" s="41">
        <v>46115</v>
      </c>
      <c r="E877" s="80"/>
      <c r="F877" s="78">
        <v>10506</v>
      </c>
      <c r="G877" s="43">
        <v>56.2</v>
      </c>
      <c r="H877" s="38">
        <v>49644</v>
      </c>
      <c r="I877" s="38">
        <v>5</v>
      </c>
      <c r="J877" s="38">
        <v>35111</v>
      </c>
      <c r="K877" s="38">
        <v>12</v>
      </c>
    </row>
    <row r="878" spans="1:15" x14ac:dyDescent="0.25">
      <c r="A878" s="39" t="str">
        <f>IF(F878="","",VLOOKUP(F878,Tabelle1[],3))</f>
        <v>LIPJAN</v>
      </c>
      <c r="B878" s="40" t="str">
        <f>IF(F878="","",VLOOKUP(F878,Tabelle1[],2))</f>
        <v>ARDI LIPJAN</v>
      </c>
      <c r="C878" s="40"/>
      <c r="D878" s="41">
        <v>46115</v>
      </c>
      <c r="E878" s="80"/>
      <c r="F878" s="78">
        <v>10529</v>
      </c>
      <c r="G878" s="43">
        <v>49.2</v>
      </c>
      <c r="H878" s="38">
        <v>50912</v>
      </c>
      <c r="I878" s="38">
        <v>6</v>
      </c>
      <c r="J878" s="38">
        <v>49644</v>
      </c>
      <c r="K878" s="38">
        <v>3</v>
      </c>
    </row>
    <row r="879" spans="1:15" x14ac:dyDescent="0.25">
      <c r="A879" s="39" t="str">
        <f>IF(F879="","",VLOOKUP(F879,Tabelle1[],3))</f>
        <v>KLINE</v>
      </c>
      <c r="B879" s="40" t="str">
        <f>IF(F879="","",VLOOKUP(F879,Tabelle1[],2))</f>
        <v>RACI</v>
      </c>
      <c r="C879" s="40"/>
      <c r="D879" s="41">
        <v>46115</v>
      </c>
      <c r="E879" s="80"/>
      <c r="F879" s="78">
        <v>20501</v>
      </c>
      <c r="G879" s="43">
        <v>208.2</v>
      </c>
      <c r="H879" s="38">
        <v>35108</v>
      </c>
      <c r="I879" s="38">
        <v>12</v>
      </c>
      <c r="J879" s="38">
        <v>35109</v>
      </c>
      <c r="K879" s="38">
        <v>12</v>
      </c>
      <c r="L879" s="38">
        <v>35128</v>
      </c>
      <c r="M879" s="38">
        <v>12</v>
      </c>
      <c r="N879" s="38">
        <v>66701</v>
      </c>
      <c r="O879" s="38">
        <v>12</v>
      </c>
    </row>
    <row r="880" spans="1:15" x14ac:dyDescent="0.25">
      <c r="A880" s="39" t="str">
        <f>IF(F880="","",VLOOKUP(F880,Tabelle1[],3))</f>
        <v>KLINE</v>
      </c>
      <c r="B880" s="40" t="str">
        <f>IF(F880="","",VLOOKUP(F880,Tabelle1[],2))</f>
        <v>HOXHA</v>
      </c>
      <c r="C880" s="40"/>
      <c r="D880" s="41">
        <v>46115</v>
      </c>
      <c r="E880" s="80"/>
      <c r="F880" s="78">
        <v>20502</v>
      </c>
      <c r="G880" s="43">
        <v>120</v>
      </c>
      <c r="H880" s="38">
        <v>35111</v>
      </c>
      <c r="I880" s="38">
        <v>12</v>
      </c>
      <c r="J880" s="38">
        <v>35112</v>
      </c>
      <c r="K880" s="38">
        <v>12</v>
      </c>
      <c r="L880" s="38">
        <v>51612</v>
      </c>
      <c r="M880" s="38">
        <v>12</v>
      </c>
    </row>
    <row r="881" spans="1:19" x14ac:dyDescent="0.25">
      <c r="A881" s="39" t="str">
        <f>IF(F881="","",VLOOKUP(F881,Tabelle1[],3))</f>
        <v>ISTOG</v>
      </c>
      <c r="B881" s="40" t="str">
        <f>IF(F881="","",VLOOKUP(F881,Tabelle1[],2))</f>
        <v>LIRIDONA KLINE</v>
      </c>
      <c r="C881" s="40"/>
      <c r="D881" s="41">
        <v>46115</v>
      </c>
      <c r="E881" s="80"/>
      <c r="F881" s="78">
        <v>20511</v>
      </c>
      <c r="G881" s="43">
        <v>122.4</v>
      </c>
      <c r="H881" s="38">
        <v>35109</v>
      </c>
      <c r="I881" s="38">
        <v>24</v>
      </c>
      <c r="J881" s="38">
        <v>51611</v>
      </c>
      <c r="K881" s="38">
        <v>24</v>
      </c>
    </row>
    <row r="882" spans="1:19" x14ac:dyDescent="0.25">
      <c r="A882" s="39" t="str">
        <f>IF(F882="","",VLOOKUP(F882,Tabelle1[],3))</f>
        <v>ISTOG</v>
      </c>
      <c r="B882" s="40" t="str">
        <f>IF(F882="","",VLOOKUP(F882,Tabelle1[],2))</f>
        <v>LIRIDONA HOME</v>
      </c>
      <c r="C882" s="40"/>
      <c r="D882" s="41">
        <v>46115</v>
      </c>
      <c r="E882" s="80"/>
      <c r="F882" s="78">
        <v>20508</v>
      </c>
      <c r="G882" s="43">
        <v>208.2</v>
      </c>
      <c r="H882" s="38">
        <v>35109</v>
      </c>
      <c r="I882" s="38">
        <v>36</v>
      </c>
      <c r="J882" s="38">
        <v>66701</v>
      </c>
      <c r="K882" s="38">
        <v>12</v>
      </c>
    </row>
    <row r="883" spans="1:19" x14ac:dyDescent="0.25">
      <c r="A883" s="39" t="str">
        <f>IF(F883="","",VLOOKUP(F883,Tabelle1[],3))</f>
        <v>ISTOG</v>
      </c>
      <c r="B883" s="40" t="str">
        <f>IF(F883="","",VLOOKUP(F883,Tabelle1[],2))</f>
        <v>BERATI A.P. (1)</v>
      </c>
      <c r="C883" s="40"/>
      <c r="D883" s="41">
        <v>46115</v>
      </c>
      <c r="E883" s="80"/>
      <c r="F883" s="78">
        <v>20513</v>
      </c>
      <c r="G883" s="43">
        <v>32.5</v>
      </c>
      <c r="H883" s="38">
        <v>55718</v>
      </c>
      <c r="I883" s="38">
        <v>6</v>
      </c>
      <c r="J883" s="38">
        <v>56117</v>
      </c>
      <c r="K883" s="38">
        <v>2</v>
      </c>
      <c r="L883" s="38">
        <v>44001</v>
      </c>
      <c r="M883" s="38">
        <v>1</v>
      </c>
    </row>
    <row r="884" spans="1:19" x14ac:dyDescent="0.25">
      <c r="A884" s="39" t="str">
        <f>IF(F884="","",VLOOKUP(F884,Tabelle1[],3))</f>
        <v>ISTOG</v>
      </c>
      <c r="B884" s="40" t="str">
        <f>IF(F884="","",VLOOKUP(F884,Tabelle1[],2))</f>
        <v>LIRIDONA-A</v>
      </c>
      <c r="C884" s="40"/>
      <c r="D884" s="41">
        <v>46115</v>
      </c>
      <c r="E884" s="80"/>
      <c r="F884" s="78">
        <v>20515</v>
      </c>
      <c r="G884" s="43">
        <v>246.6</v>
      </c>
      <c r="H884" s="38">
        <v>35111</v>
      </c>
      <c r="I884" s="38">
        <v>12</v>
      </c>
      <c r="J884" s="38">
        <v>35112</v>
      </c>
      <c r="K884" s="38">
        <v>12</v>
      </c>
      <c r="L884" s="38">
        <v>51611</v>
      </c>
      <c r="M884" s="38">
        <v>12</v>
      </c>
      <c r="N884" s="38">
        <v>66701</v>
      </c>
      <c r="O884" s="38">
        <v>24</v>
      </c>
    </row>
    <row r="885" spans="1:19" x14ac:dyDescent="0.25">
      <c r="A885" s="39" t="str">
        <f>IF(F885="","",VLOOKUP(F885,Tabelle1[],3))</f>
        <v>SKENDERAJ</v>
      </c>
      <c r="B885" s="40" t="str">
        <f>IF(F885="","",VLOOKUP(F885,Tabelle1[],2))</f>
        <v>A.P. HOTI</v>
      </c>
      <c r="C885" s="40"/>
      <c r="D885" s="41">
        <v>46115</v>
      </c>
      <c r="E885" s="80"/>
      <c r="F885" s="78">
        <v>20408</v>
      </c>
      <c r="G885" s="43">
        <v>40.5</v>
      </c>
      <c r="H885" s="38">
        <v>55718</v>
      </c>
      <c r="I885" s="38">
        <v>2</v>
      </c>
      <c r="J885" s="38">
        <v>51936</v>
      </c>
      <c r="K885" s="38">
        <v>2</v>
      </c>
      <c r="L885" s="38">
        <v>51736</v>
      </c>
      <c r="M885" s="38">
        <v>2</v>
      </c>
      <c r="N885" s="38">
        <v>69236</v>
      </c>
      <c r="O885" s="38">
        <v>3</v>
      </c>
      <c r="P885" s="38">
        <v>56117</v>
      </c>
      <c r="Q885" s="38">
        <v>4</v>
      </c>
    </row>
    <row r="886" spans="1:19" x14ac:dyDescent="0.25">
      <c r="A886" s="39" t="str">
        <f>IF(F886="","",VLOOKUP(F886,Tabelle1[],3))</f>
        <v>SKENDERAJ</v>
      </c>
      <c r="B886" s="40" t="str">
        <f>IF(F886="","",VLOOKUP(F886,Tabelle1[],2))</f>
        <v>TE BENI</v>
      </c>
      <c r="C886" s="40"/>
      <c r="D886" s="41">
        <v>46115</v>
      </c>
      <c r="E886" s="80"/>
      <c r="F886" s="78">
        <v>20407</v>
      </c>
      <c r="G886" s="43">
        <v>277.2</v>
      </c>
      <c r="H886" s="38">
        <v>35112</v>
      </c>
      <c r="I886" s="38">
        <v>12</v>
      </c>
      <c r="J886" s="38">
        <v>35121</v>
      </c>
      <c r="K886" s="38">
        <v>12</v>
      </c>
      <c r="L886" s="38">
        <v>35115</v>
      </c>
      <c r="M886" s="38">
        <v>12</v>
      </c>
      <c r="N886" s="38">
        <v>35111</v>
      </c>
      <c r="O886" s="38">
        <v>12</v>
      </c>
      <c r="P886" s="38">
        <v>35110</v>
      </c>
      <c r="Q886" s="38">
        <v>12</v>
      </c>
      <c r="R886" s="38">
        <v>35109</v>
      </c>
      <c r="S886" s="38">
        <v>12</v>
      </c>
    </row>
    <row r="887" spans="1:19" x14ac:dyDescent="0.25">
      <c r="A887" s="39" t="str">
        <f>IF(F887="","",VLOOKUP(F887,Tabelle1[],3))</f>
        <v>SKENDERAJ</v>
      </c>
      <c r="B887" s="40" t="str">
        <f>IF(F887="","",VLOOKUP(F887,Tabelle1[],2))</f>
        <v>MEGI</v>
      </c>
      <c r="C887" s="40"/>
      <c r="D887" s="41">
        <v>46115</v>
      </c>
      <c r="E887" s="80"/>
      <c r="F887" s="78">
        <v>20406</v>
      </c>
      <c r="G887" s="43">
        <v>40</v>
      </c>
      <c r="H887" s="38">
        <v>49644</v>
      </c>
      <c r="I887" s="38">
        <v>13</v>
      </c>
      <c r="J887" s="38">
        <v>55718</v>
      </c>
      <c r="K887" s="38">
        <v>4</v>
      </c>
    </row>
    <row r="888" spans="1:19" x14ac:dyDescent="0.25">
      <c r="A888" s="39" t="str">
        <f>IF(F888="","",VLOOKUP(F888,Tabelle1[],3))</f>
        <v>DRENAS</v>
      </c>
      <c r="B888" s="40" t="str">
        <f>IF(F888="","",VLOOKUP(F888,Tabelle1[],2))</f>
        <v>TE MENTORI</v>
      </c>
      <c r="C888" s="40"/>
      <c r="D888" s="41">
        <v>46115</v>
      </c>
      <c r="E888" s="80"/>
      <c r="F888" s="78">
        <v>20404</v>
      </c>
      <c r="G888" s="43">
        <v>92.4</v>
      </c>
      <c r="H888" s="38">
        <v>35112</v>
      </c>
      <c r="I888" s="38">
        <v>12</v>
      </c>
      <c r="J888" s="38">
        <v>35128</v>
      </c>
      <c r="K888" s="38">
        <v>12</v>
      </c>
    </row>
    <row r="889" spans="1:19" x14ac:dyDescent="0.25">
      <c r="A889" s="39" t="str">
        <f>IF(F889="","",VLOOKUP(F889,Tabelle1[],3))</f>
        <v>DRENAS</v>
      </c>
      <c r="B889" s="40" t="str">
        <f>IF(F889="","",VLOOKUP(F889,Tabelle1[],2))</f>
        <v>TERMIKA</v>
      </c>
      <c r="C889" s="40"/>
      <c r="D889" s="41">
        <v>46115</v>
      </c>
      <c r="E889" s="80"/>
      <c r="F889" s="78">
        <v>20403</v>
      </c>
      <c r="G889" s="43">
        <v>92.4</v>
      </c>
      <c r="H889" s="38">
        <v>35110</v>
      </c>
      <c r="I889" s="38">
        <v>12</v>
      </c>
      <c r="J889" s="38">
        <v>35111</v>
      </c>
      <c r="K889" s="38">
        <v>12</v>
      </c>
    </row>
    <row r="890" spans="1:19" x14ac:dyDescent="0.25">
      <c r="A890" s="39" t="str">
        <f>IF(F890="","",VLOOKUP(F890,Tabelle1[],3))</f>
        <v>PODUJEVE</v>
      </c>
      <c r="B890" s="40" t="str">
        <f>IF(F890="","",VLOOKUP(F890,Tabelle1[],2))</f>
        <v>ALBANI</v>
      </c>
      <c r="C890" s="40"/>
      <c r="D890" s="41">
        <v>46116</v>
      </c>
      <c r="E890" s="80"/>
      <c r="F890" s="78">
        <v>10635</v>
      </c>
      <c r="G890" s="43">
        <v>46.2</v>
      </c>
      <c r="H890" s="38">
        <v>35114</v>
      </c>
      <c r="I890" s="38">
        <v>12</v>
      </c>
    </row>
    <row r="891" spans="1:19" x14ac:dyDescent="0.25">
      <c r="A891" s="39" t="str">
        <f>IF(F891="","",VLOOKUP(F891,Tabelle1[],3))</f>
        <v>PODUJEVE</v>
      </c>
      <c r="B891" s="40" t="str">
        <f>IF(F891="","",VLOOKUP(F891,Tabelle1[],2))</f>
        <v>KUJTA</v>
      </c>
      <c r="C891" s="40"/>
      <c r="D891" s="41">
        <v>46116</v>
      </c>
      <c r="E891" s="80"/>
      <c r="F891" s="78">
        <v>10625</v>
      </c>
      <c r="G891" s="43">
        <v>138.6</v>
      </c>
      <c r="H891" s="38">
        <v>35121</v>
      </c>
      <c r="I891" s="38">
        <v>12</v>
      </c>
      <c r="J891" s="38">
        <v>35115</v>
      </c>
      <c r="K891" s="38">
        <v>12</v>
      </c>
      <c r="L891" s="38">
        <v>35125</v>
      </c>
      <c r="M891" s="38">
        <v>12</v>
      </c>
    </row>
    <row r="892" spans="1:19" x14ac:dyDescent="0.25">
      <c r="A892" s="39" t="str">
        <f>IF(F892="","",VLOOKUP(F892,Tabelle1[],3))</f>
        <v>PODUJEVE</v>
      </c>
      <c r="B892" s="40" t="str">
        <f>IF(F892="","",VLOOKUP(F892,Tabelle1[],2))</f>
        <v>KUSHA</v>
      </c>
      <c r="C892" s="40"/>
      <c r="D892" s="41">
        <v>46116</v>
      </c>
      <c r="E892" s="80"/>
      <c r="F892" s="78">
        <v>10604</v>
      </c>
      <c r="G892" s="43">
        <v>20</v>
      </c>
      <c r="H892" s="38">
        <v>54412</v>
      </c>
      <c r="I892" s="38">
        <v>5</v>
      </c>
      <c r="J892" s="38">
        <v>49644</v>
      </c>
      <c r="K892" s="38">
        <v>5</v>
      </c>
    </row>
    <row r="893" spans="1:19" x14ac:dyDescent="0.25">
      <c r="A893" s="39" t="str">
        <f>IF(F893="","",VLOOKUP(F893,Tabelle1[],3))</f>
        <v>PODUJEVE</v>
      </c>
      <c r="B893" s="40" t="str">
        <f>IF(F893="","",VLOOKUP(F893,Tabelle1[],2))</f>
        <v>TE KELA</v>
      </c>
      <c r="C893" s="40"/>
      <c r="D893" s="41">
        <v>46116</v>
      </c>
      <c r="E893" s="80"/>
      <c r="F893" s="78">
        <v>10613</v>
      </c>
      <c r="G893" s="43">
        <v>56</v>
      </c>
      <c r="H893" s="38">
        <v>49644</v>
      </c>
      <c r="I893" s="38">
        <v>10</v>
      </c>
      <c r="J893" s="38">
        <v>50912</v>
      </c>
      <c r="K893" s="38">
        <v>5</v>
      </c>
    </row>
    <row r="894" spans="1:19" x14ac:dyDescent="0.25">
      <c r="A894" s="39" t="str">
        <f>IF(F894="","",VLOOKUP(F894,Tabelle1[],3))</f>
        <v>PODUJEVE</v>
      </c>
      <c r="B894" s="40" t="str">
        <f>IF(F894="","",VLOOKUP(F894,Tabelle1[],2))</f>
        <v>ALBANI</v>
      </c>
      <c r="C894" s="40"/>
      <c r="D894" s="41">
        <v>46116</v>
      </c>
      <c r="E894" s="80"/>
      <c r="F894" s="78">
        <v>10636</v>
      </c>
      <c r="G894" s="43">
        <v>46.2</v>
      </c>
      <c r="H894" s="38">
        <v>35110</v>
      </c>
      <c r="I894" s="38">
        <v>12</v>
      </c>
    </row>
    <row r="895" spans="1:19" x14ac:dyDescent="0.25">
      <c r="A895" s="39" t="str">
        <f>IF(F895="","",VLOOKUP(F895,Tabelle1[],3))</f>
        <v>PODUJEVE</v>
      </c>
      <c r="B895" s="40" t="str">
        <f>IF(F895="","",VLOOKUP(F895,Tabelle1[],2))</f>
        <v>TE ZENA</v>
      </c>
      <c r="C895" s="40"/>
      <c r="D895" s="41">
        <v>46116</v>
      </c>
      <c r="E895" s="80"/>
      <c r="F895" s="78">
        <v>10616</v>
      </c>
      <c r="G895" s="43">
        <v>92.4</v>
      </c>
      <c r="H895" s="38">
        <v>35113</v>
      </c>
      <c r="I895" s="38">
        <v>12</v>
      </c>
      <c r="J895" s="38">
        <v>35119</v>
      </c>
      <c r="K895" s="38">
        <v>12</v>
      </c>
    </row>
    <row r="896" spans="1:19" x14ac:dyDescent="0.25">
      <c r="A896" s="39" t="str">
        <f>IF(F896="","",VLOOKUP(F896,Tabelle1[],3))</f>
        <v>GREME</v>
      </c>
      <c r="B896" s="40" t="str">
        <f>IF(F896="","",VLOOKUP(F896,Tabelle1[],2))</f>
        <v>AGRO-XHETI</v>
      </c>
      <c r="C896" s="40"/>
      <c r="D896" s="41">
        <v>46116</v>
      </c>
      <c r="E896" s="80"/>
      <c r="F896" s="78">
        <v>20610</v>
      </c>
      <c r="G896" s="43">
        <v>508.2</v>
      </c>
      <c r="H896" s="38">
        <v>35125</v>
      </c>
      <c r="I896" s="38">
        <v>36</v>
      </c>
      <c r="J896" s="38">
        <v>35128</v>
      </c>
      <c r="K896" s="38">
        <v>12</v>
      </c>
      <c r="L896" s="38">
        <v>35121</v>
      </c>
      <c r="M896" s="38">
        <v>24</v>
      </c>
      <c r="N896" s="38">
        <v>35112</v>
      </c>
      <c r="O896" s="38">
        <v>24</v>
      </c>
      <c r="P896" s="38">
        <v>35109</v>
      </c>
      <c r="Q896" s="38">
        <v>24</v>
      </c>
      <c r="R896" s="38">
        <v>35115</v>
      </c>
      <c r="S896" s="38">
        <v>12</v>
      </c>
    </row>
    <row r="897" spans="1:19" x14ac:dyDescent="0.25">
      <c r="A897" s="39" t="str">
        <f>IF(F897="","",VLOOKUP(F897,Tabelle1[],3))</f>
        <v>FERIZAJ</v>
      </c>
      <c r="B897" s="40" t="str">
        <f>IF(F897="","",VLOOKUP(F897,Tabelle1[],2))</f>
        <v>SALIHU CORPORATION</v>
      </c>
      <c r="C897" s="40"/>
      <c r="D897" s="41">
        <v>46116</v>
      </c>
      <c r="E897" s="80"/>
      <c r="F897" s="78">
        <v>20635</v>
      </c>
      <c r="G897" s="43">
        <v>231</v>
      </c>
      <c r="H897" s="38">
        <v>35109</v>
      </c>
      <c r="I897" s="38">
        <v>36</v>
      </c>
      <c r="J897" s="38">
        <v>35110</v>
      </c>
      <c r="K897" s="38">
        <v>12</v>
      </c>
      <c r="L897" s="38">
        <v>35113</v>
      </c>
      <c r="M897" s="38">
        <v>12</v>
      </c>
    </row>
    <row r="898" spans="1:19" x14ac:dyDescent="0.25">
      <c r="A898" s="39" t="str">
        <f>IF(F898="","",VLOOKUP(F898,Tabelle1[],3))</f>
        <v>FERIZAJ</v>
      </c>
      <c r="B898" s="40" t="str">
        <f>IF(F898="","",VLOOKUP(F898,Tabelle1[],2))</f>
        <v>GLOBAL TOOLS</v>
      </c>
      <c r="C898" s="40"/>
      <c r="D898" s="41">
        <v>46116</v>
      </c>
      <c r="E898" s="80"/>
      <c r="F898" s="78">
        <v>20632</v>
      </c>
      <c r="G898" s="43">
        <v>353.4</v>
      </c>
      <c r="H898" s="38">
        <v>35112</v>
      </c>
      <c r="I898" s="38">
        <v>24</v>
      </c>
      <c r="J898" s="38">
        <v>35125</v>
      </c>
      <c r="K898" s="38">
        <v>24</v>
      </c>
      <c r="L898" s="38">
        <v>35113</v>
      </c>
      <c r="M898" s="38">
        <v>12</v>
      </c>
      <c r="N898" s="38">
        <v>35109</v>
      </c>
      <c r="O898" s="38">
        <v>12</v>
      </c>
      <c r="P898" s="38">
        <v>35121</v>
      </c>
      <c r="Q898" s="38">
        <v>12</v>
      </c>
      <c r="R898" s="38">
        <v>51611</v>
      </c>
      <c r="S898" s="38">
        <v>24</v>
      </c>
    </row>
    <row r="899" spans="1:19" x14ac:dyDescent="0.25">
      <c r="A899" s="39" t="str">
        <f>IF(F899="","",VLOOKUP(F899,Tabelle1[],3))</f>
        <v>FERIZAJ</v>
      </c>
      <c r="B899" s="40" t="str">
        <f>IF(F899="","",VLOOKUP(F899,Tabelle1[],2))</f>
        <v>BUJARI Q - BESII</v>
      </c>
      <c r="C899" s="40"/>
      <c r="D899" s="41">
        <v>46116</v>
      </c>
      <c r="E899" s="80"/>
      <c r="F899" s="78">
        <v>20609</v>
      </c>
      <c r="G899" s="43">
        <v>153.6</v>
      </c>
      <c r="H899" s="38">
        <v>35109</v>
      </c>
      <c r="I899" s="38">
        <v>36</v>
      </c>
      <c r="J899" s="38">
        <v>51611</v>
      </c>
      <c r="K899" s="38">
        <v>12</v>
      </c>
    </row>
    <row r="900" spans="1:19" x14ac:dyDescent="0.25">
      <c r="A900" s="39" t="str">
        <f>IF(F900="","",VLOOKUP(F900,Tabelle1[],3))</f>
        <v>FERIZAJ</v>
      </c>
      <c r="B900" s="40" t="str">
        <f>IF(F900="","",VLOOKUP(F900,Tabelle1[],2))</f>
        <v>AGROLONDI</v>
      </c>
      <c r="C900" s="40"/>
      <c r="D900" s="41">
        <v>46116</v>
      </c>
      <c r="E900" s="80"/>
      <c r="F900" s="78">
        <v>20602</v>
      </c>
      <c r="G900" s="43">
        <v>292.2</v>
      </c>
      <c r="H900" s="38">
        <v>35109</v>
      </c>
      <c r="I900" s="38">
        <v>24</v>
      </c>
      <c r="J900" s="38">
        <v>35121</v>
      </c>
      <c r="K900" s="38">
        <v>24</v>
      </c>
      <c r="L900" s="38">
        <v>35110</v>
      </c>
      <c r="M900" s="38">
        <v>24</v>
      </c>
      <c r="N900" s="38">
        <v>51611</v>
      </c>
      <c r="O900" s="38">
        <v>12</v>
      </c>
    </row>
    <row r="901" spans="1:19" x14ac:dyDescent="0.25">
      <c r="A901" s="39" t="str">
        <f>IF(F901="","",VLOOKUP(F901,Tabelle1[],3))</f>
        <v>FERIZAJ</v>
      </c>
      <c r="B901" s="40" t="str">
        <f>IF(F901="","",VLOOKUP(F901,Tabelle1[],2))</f>
        <v>LTI</v>
      </c>
      <c r="C901" s="40"/>
      <c r="D901" s="41">
        <v>46116</v>
      </c>
      <c r="E901" s="80"/>
      <c r="F901" s="78">
        <v>20623</v>
      </c>
      <c r="G901" s="43">
        <v>254.4</v>
      </c>
      <c r="H901" s="38">
        <v>66701</v>
      </c>
      <c r="I901" s="38">
        <v>12</v>
      </c>
      <c r="J901" s="38">
        <v>35109</v>
      </c>
      <c r="K901" s="38">
        <v>12</v>
      </c>
      <c r="L901" s="38">
        <v>35113</v>
      </c>
      <c r="M901" s="38">
        <v>12</v>
      </c>
      <c r="N901" s="38">
        <v>35112</v>
      </c>
      <c r="O901" s="38">
        <v>12</v>
      </c>
      <c r="P901" s="38">
        <v>35110</v>
      </c>
      <c r="Q901" s="38">
        <v>12</v>
      </c>
    </row>
    <row r="902" spans="1:19" x14ac:dyDescent="0.25">
      <c r="A902" s="39" t="str">
        <f>IF(F902="","",VLOOKUP(F902,Tabelle1[],3))</f>
        <v>FERIZAJ</v>
      </c>
      <c r="B902" s="40" t="str">
        <f>IF(F902="","",VLOOKUP(F902,Tabelle1[],2))</f>
        <v>AS QERAMIKA</v>
      </c>
      <c r="C902" s="40"/>
      <c r="D902" s="41">
        <v>46116</v>
      </c>
      <c r="E902" s="80"/>
      <c r="F902" s="78">
        <v>20614</v>
      </c>
      <c r="G902" s="43">
        <v>369.6</v>
      </c>
      <c r="H902" s="38">
        <v>35109</v>
      </c>
      <c r="I902" s="38">
        <v>60</v>
      </c>
      <c r="J902" s="38">
        <v>35110</v>
      </c>
      <c r="K902" s="38">
        <v>36</v>
      </c>
    </row>
    <row r="903" spans="1:19" x14ac:dyDescent="0.25">
      <c r="A903" s="39" t="str">
        <f>IF(F903="","",VLOOKUP(F903,Tabelle1[],3))</f>
        <v>FERIZAJ</v>
      </c>
      <c r="B903" s="40" t="str">
        <f>IF(F903="","",VLOOKUP(F903,Tabelle1[],2))</f>
        <v>HIDRO DANI</v>
      </c>
      <c r="C903" s="40"/>
      <c r="D903" s="41">
        <v>46116</v>
      </c>
      <c r="E903" s="80"/>
      <c r="F903" s="78">
        <v>20630</v>
      </c>
      <c r="G903" s="43">
        <v>222.4</v>
      </c>
      <c r="H903" s="38">
        <v>35110</v>
      </c>
      <c r="I903" s="38">
        <v>12</v>
      </c>
      <c r="J903" s="38">
        <v>35112</v>
      </c>
      <c r="K903" s="38">
        <v>12</v>
      </c>
      <c r="L903" s="38">
        <v>35111</v>
      </c>
      <c r="M903" s="38">
        <v>12</v>
      </c>
      <c r="N903" s="38">
        <v>35109</v>
      </c>
      <c r="O903" s="38">
        <v>12</v>
      </c>
      <c r="P903" s="38">
        <v>51612</v>
      </c>
      <c r="Q903" s="38">
        <v>12</v>
      </c>
      <c r="R903" s="38">
        <v>16936</v>
      </c>
      <c r="S903" s="38">
        <v>4</v>
      </c>
    </row>
    <row r="904" spans="1:19" x14ac:dyDescent="0.25">
      <c r="A904" s="39" t="str">
        <f>IF(F904="","",VLOOKUP(F904,Tabelle1[],3))</f>
        <v>FERIZAJ</v>
      </c>
      <c r="B904" s="40" t="str">
        <f>IF(F904="","",VLOOKUP(F904,Tabelle1[],2))</f>
        <v>UNIKA</v>
      </c>
      <c r="C904" s="40"/>
      <c r="D904" s="41">
        <v>46116</v>
      </c>
      <c r="E904" s="80"/>
      <c r="F904" s="78">
        <v>20627</v>
      </c>
      <c r="G904" s="43">
        <v>162</v>
      </c>
      <c r="H904" s="38">
        <v>35109</v>
      </c>
      <c r="I904" s="38">
        <v>12</v>
      </c>
      <c r="J904" s="38">
        <v>35113</v>
      </c>
      <c r="K904" s="38">
        <v>12</v>
      </c>
      <c r="L904" s="38">
        <v>66701</v>
      </c>
      <c r="M904" s="38">
        <v>12</v>
      </c>
    </row>
    <row r="905" spans="1:19" x14ac:dyDescent="0.25">
      <c r="A905" s="39" t="str">
        <f>IF(F905="","",VLOOKUP(F905,Tabelle1[],3))</f>
        <v>LIPJAN</v>
      </c>
      <c r="B905" s="40" t="str">
        <f>IF(F905="","",VLOOKUP(F905,Tabelle1[],2))</f>
        <v>ELEKTROMONT</v>
      </c>
      <c r="C905" s="40"/>
      <c r="D905" s="41">
        <v>46116</v>
      </c>
      <c r="E905" s="80"/>
      <c r="F905" s="78">
        <v>20601</v>
      </c>
      <c r="G905" s="43">
        <v>79.2</v>
      </c>
      <c r="H905" s="38">
        <v>35110</v>
      </c>
      <c r="I905" s="38">
        <v>12</v>
      </c>
      <c r="J905" s="38">
        <v>26736</v>
      </c>
      <c r="K905" s="38">
        <v>6</v>
      </c>
      <c r="L905" s="38">
        <v>49644</v>
      </c>
      <c r="M905" s="38">
        <v>6</v>
      </c>
      <c r="N905" s="38">
        <v>54412</v>
      </c>
      <c r="O905" s="38">
        <v>3</v>
      </c>
      <c r="P905" s="38">
        <v>55718</v>
      </c>
      <c r="Q905" s="38">
        <v>2</v>
      </c>
    </row>
    <row r="906" spans="1:19" x14ac:dyDescent="0.25">
      <c r="A906" s="39" t="str">
        <f>IF(F906="","",VLOOKUP(F906,Tabelle1[],3))</f>
        <v>FERIZAJ</v>
      </c>
      <c r="B906" s="40" t="str">
        <f>IF(F906="","",VLOOKUP(F906,Tabelle1[],2))</f>
        <v>BULONI - SH</v>
      </c>
      <c r="C906" s="40"/>
      <c r="D906" s="41">
        <v>46116</v>
      </c>
      <c r="E906" s="80"/>
      <c r="F906" s="78">
        <v>20624</v>
      </c>
      <c r="G906" s="43">
        <v>122.4</v>
      </c>
      <c r="H906" s="38">
        <v>35121</v>
      </c>
      <c r="I906" s="38">
        <v>12</v>
      </c>
      <c r="J906" s="38">
        <v>35109</v>
      </c>
      <c r="K906" s="38">
        <v>12</v>
      </c>
      <c r="L906" s="38">
        <v>51611</v>
      </c>
      <c r="M906" s="38">
        <v>24</v>
      </c>
    </row>
    <row r="907" spans="1:19" x14ac:dyDescent="0.25">
      <c r="A907" s="39" t="str">
        <f>IF(F907="","",VLOOKUP(F907,Tabelle1[],3))</f>
        <v>FERIZAJ</v>
      </c>
      <c r="B907" s="40" t="str">
        <f>IF(F907="","",VLOOKUP(F907,Tabelle1[],2))</f>
        <v>DIVA QERAMIKA</v>
      </c>
      <c r="C907" s="40"/>
      <c r="D907" s="41">
        <v>46116</v>
      </c>
      <c r="E907" s="80"/>
      <c r="F907" s="78">
        <v>20628</v>
      </c>
      <c r="G907" s="43">
        <v>184.8</v>
      </c>
      <c r="H907" s="38">
        <v>35109</v>
      </c>
      <c r="I907" s="38">
        <v>12</v>
      </c>
      <c r="J907" s="38">
        <v>35111</v>
      </c>
      <c r="K907" s="38">
        <v>12</v>
      </c>
      <c r="L907" s="38">
        <v>35112</v>
      </c>
      <c r="M907" s="38">
        <v>12</v>
      </c>
      <c r="N907" s="38">
        <v>35121</v>
      </c>
      <c r="O907" s="38">
        <v>12</v>
      </c>
    </row>
    <row r="908" spans="1:19" x14ac:dyDescent="0.25">
      <c r="A908" s="39" t="str">
        <f>IF(F908="","",VLOOKUP(F908,Tabelle1[],3))</f>
        <v>PRISHTINE</v>
      </c>
      <c r="B908" s="40" t="str">
        <f>IF(F908="","",VLOOKUP(F908,Tabelle1[],2))</f>
        <v>HIDROELDI</v>
      </c>
      <c r="C908" s="40"/>
      <c r="D908" s="41">
        <v>46118</v>
      </c>
      <c r="E908" s="80"/>
      <c r="F908" s="78">
        <v>10133</v>
      </c>
      <c r="G908" s="43">
        <v>46.2</v>
      </c>
      <c r="H908" s="38">
        <v>35113</v>
      </c>
      <c r="I908" s="38">
        <v>12</v>
      </c>
    </row>
    <row r="909" spans="1:19" x14ac:dyDescent="0.25">
      <c r="A909" s="39" t="str">
        <f>IF(F909="","",VLOOKUP(F909,Tabelle1[],3))</f>
        <v>PRISHTINE</v>
      </c>
      <c r="B909" s="40" t="str">
        <f>IF(F909="","",VLOOKUP(F909,Tabelle1[],2))</f>
        <v>AFRIMI</v>
      </c>
      <c r="C909" s="40"/>
      <c r="D909" s="41">
        <v>46118</v>
      </c>
      <c r="E909" s="80"/>
      <c r="F909" s="78">
        <v>10110</v>
      </c>
      <c r="G909" s="43">
        <v>92.4</v>
      </c>
      <c r="H909" s="38">
        <v>35112</v>
      </c>
      <c r="I909" s="38">
        <v>24</v>
      </c>
    </row>
    <row r="910" spans="1:19" x14ac:dyDescent="0.25">
      <c r="A910" s="39" t="str">
        <f>IF(F910="","",VLOOKUP(F910,Tabelle1[],3))</f>
        <v>PRISHTINE</v>
      </c>
      <c r="B910" s="40" t="str">
        <f>IF(F910="","",VLOOKUP(F910,Tabelle1[],2))</f>
        <v>KADIJOLLET</v>
      </c>
      <c r="C910" s="40"/>
      <c r="D910" s="41">
        <v>46118</v>
      </c>
      <c r="E910" s="80"/>
      <c r="F910" s="78">
        <v>10111</v>
      </c>
      <c r="G910" s="43">
        <v>103.8</v>
      </c>
      <c r="H910" s="38">
        <v>50912</v>
      </c>
      <c r="I910" s="38">
        <v>3</v>
      </c>
      <c r="J910" s="38">
        <v>51611</v>
      </c>
      <c r="K910" s="38">
        <v>12</v>
      </c>
      <c r="L910" s="38">
        <v>44001</v>
      </c>
      <c r="M910" s="38">
        <v>6</v>
      </c>
      <c r="N910" s="38">
        <v>35111</v>
      </c>
      <c r="O910" s="38">
        <v>12</v>
      </c>
    </row>
    <row r="911" spans="1:19" x14ac:dyDescent="0.25">
      <c r="A911" s="39" t="str">
        <f>IF(F911="","",VLOOKUP(F911,Tabelle1[],3))</f>
        <v>BARDHOSH</v>
      </c>
      <c r="B911" s="40" t="str">
        <f>IF(F911="","",VLOOKUP(F911,Tabelle1[],2))</f>
        <v>QELA</v>
      </c>
      <c r="C911" s="40"/>
      <c r="D911" s="41">
        <v>46118</v>
      </c>
      <c r="E911" s="80"/>
      <c r="F911" s="78">
        <v>10114</v>
      </c>
      <c r="G911" s="43">
        <v>92.4</v>
      </c>
      <c r="H911" s="38">
        <v>35128</v>
      </c>
      <c r="I911" s="38">
        <v>12</v>
      </c>
      <c r="J911" s="38">
        <v>35109</v>
      </c>
      <c r="K911" s="38">
        <v>12</v>
      </c>
    </row>
    <row r="912" spans="1:19" x14ac:dyDescent="0.25">
      <c r="A912" s="39" t="str">
        <f>IF(F912="","",VLOOKUP(F912,Tabelle1[],3))</f>
        <v>PRISHTINE</v>
      </c>
      <c r="B912" s="40" t="str">
        <f>IF(F912="","",VLOOKUP(F912,Tabelle1[],2))</f>
        <v>JETARI</v>
      </c>
      <c r="C912" s="40"/>
      <c r="D912" s="41">
        <v>46118</v>
      </c>
      <c r="E912" s="80"/>
      <c r="F912" s="78">
        <v>10104</v>
      </c>
      <c r="G912" s="43">
        <v>46.2</v>
      </c>
      <c r="H912" s="38">
        <v>35114</v>
      </c>
      <c r="I912" s="38">
        <v>12</v>
      </c>
    </row>
    <row r="913" spans="1:21" x14ac:dyDescent="0.25">
      <c r="A913" s="39" t="str">
        <f>IF(F913="","",VLOOKUP(F913,Tabelle1[],3))</f>
        <v>PRISHTINE</v>
      </c>
      <c r="B913" s="40" t="str">
        <f>IF(F913="","",VLOOKUP(F913,Tabelle1[],2))</f>
        <v>BEGU</v>
      </c>
      <c r="C913" s="40"/>
      <c r="D913" s="41">
        <v>46118</v>
      </c>
      <c r="E913" s="80"/>
      <c r="F913" s="78">
        <v>10117</v>
      </c>
      <c r="G913" s="43">
        <v>50</v>
      </c>
      <c r="H913" s="38">
        <v>44001</v>
      </c>
      <c r="I913" s="38">
        <v>4</v>
      </c>
      <c r="J913" s="38">
        <v>50912</v>
      </c>
      <c r="K913" s="38">
        <v>5</v>
      </c>
    </row>
    <row r="914" spans="1:21" x14ac:dyDescent="0.25">
      <c r="A914" s="39" t="str">
        <f>IF(F914="","",VLOOKUP(F914,Tabelle1[],3))</f>
        <v>PEJE</v>
      </c>
      <c r="B914" s="40" t="str">
        <f>IF(F914="","",VLOOKUP(F914,Tabelle1[],2))</f>
        <v>KENA COMERC</v>
      </c>
      <c r="C914" s="40"/>
      <c r="D914" s="41">
        <v>46118</v>
      </c>
      <c r="E914" s="80"/>
      <c r="F914" s="78">
        <v>20109</v>
      </c>
      <c r="G914" s="43">
        <v>152.4</v>
      </c>
      <c r="H914" s="38">
        <v>35109</v>
      </c>
      <c r="I914" s="38">
        <v>12</v>
      </c>
      <c r="J914" s="38">
        <v>35112</v>
      </c>
      <c r="K914" s="38">
        <v>12</v>
      </c>
      <c r="L914" s="38">
        <v>51611</v>
      </c>
      <c r="M914" s="38">
        <v>48</v>
      </c>
    </row>
    <row r="915" spans="1:21" x14ac:dyDescent="0.25">
      <c r="A915" s="39" t="str">
        <f>IF(F915="","",VLOOKUP(F915,Tabelle1[],3))</f>
        <v>PEJE</v>
      </c>
      <c r="B915" s="40" t="str">
        <f>IF(F915="","",VLOOKUP(F915,Tabelle1[],2))</f>
        <v>TECOL 2</v>
      </c>
      <c r="C915" s="40"/>
      <c r="D915" s="41">
        <v>46118</v>
      </c>
      <c r="E915" s="80"/>
      <c r="F915" s="78">
        <v>20111</v>
      </c>
      <c r="G915" s="43">
        <v>83</v>
      </c>
      <c r="H915" s="38">
        <v>51611</v>
      </c>
      <c r="I915" s="38">
        <v>12</v>
      </c>
      <c r="J915" s="38">
        <v>72101</v>
      </c>
      <c r="K915" s="38">
        <v>4</v>
      </c>
      <c r="L915" s="38">
        <v>31822</v>
      </c>
      <c r="M915" s="38">
        <v>4</v>
      </c>
      <c r="N915" s="38">
        <v>51936</v>
      </c>
      <c r="O915" s="38">
        <v>4</v>
      </c>
      <c r="P915" s="38">
        <v>54412</v>
      </c>
      <c r="Q915" s="38">
        <v>4</v>
      </c>
      <c r="R915" s="38">
        <v>39505</v>
      </c>
      <c r="S915" s="38">
        <v>2</v>
      </c>
      <c r="T915" s="38">
        <v>31880</v>
      </c>
      <c r="U915" s="38">
        <v>6</v>
      </c>
    </row>
    <row r="916" spans="1:21" x14ac:dyDescent="0.25">
      <c r="A916" s="39" t="str">
        <f>IF(F916="","",VLOOKUP(F916,Tabelle1[],3))</f>
        <v>PEJE</v>
      </c>
      <c r="B916" s="40" t="str">
        <f>IF(F916="","",VLOOKUP(F916,Tabelle1[],2))</f>
        <v>KTHIMI</v>
      </c>
      <c r="C916" s="40"/>
      <c r="D916" s="41">
        <v>46118</v>
      </c>
      <c r="E916" s="80"/>
      <c r="F916" s="78">
        <v>20104</v>
      </c>
      <c r="G916" s="43">
        <v>208.2</v>
      </c>
      <c r="H916" s="38">
        <v>35108</v>
      </c>
      <c r="I916" s="38">
        <v>12</v>
      </c>
      <c r="J916" s="38">
        <v>35112</v>
      </c>
      <c r="K916" s="38">
        <v>12</v>
      </c>
      <c r="L916" s="38">
        <v>35121</v>
      </c>
      <c r="M916" s="38">
        <v>12</v>
      </c>
      <c r="N916" s="38">
        <v>66701</v>
      </c>
      <c r="O916" s="38">
        <v>12</v>
      </c>
    </row>
    <row r="917" spans="1:21" x14ac:dyDescent="0.25">
      <c r="A917" s="39" t="str">
        <f>IF(F917="","",VLOOKUP(F917,Tabelle1[],3))</f>
        <v>PEJE</v>
      </c>
      <c r="B917" s="40" t="str">
        <f>IF(F917="","",VLOOKUP(F917,Tabelle1[],2))</f>
        <v>GLOBI TERM</v>
      </c>
      <c r="C917" s="40"/>
      <c r="D917" s="41">
        <v>46118</v>
      </c>
      <c r="E917" s="80"/>
      <c r="F917" s="78">
        <v>20122</v>
      </c>
      <c r="G917" s="43">
        <v>92.4</v>
      </c>
      <c r="H917" s="38">
        <v>35110</v>
      </c>
      <c r="I917" s="38">
        <v>24</v>
      </c>
    </row>
    <row r="918" spans="1:21" x14ac:dyDescent="0.25">
      <c r="A918" s="39" t="str">
        <f>IF(F918="","",VLOOKUP(F918,Tabelle1[],3))</f>
        <v>PEJE</v>
      </c>
      <c r="B918" s="40" t="str">
        <f>IF(F918="","",VLOOKUP(F918,Tabelle1[],2))</f>
        <v>TERMO PROJEKT</v>
      </c>
      <c r="C918" s="40"/>
      <c r="D918" s="41">
        <v>46118</v>
      </c>
      <c r="E918" s="80"/>
      <c r="F918" s="78">
        <v>20127</v>
      </c>
      <c r="G918" s="43">
        <v>162</v>
      </c>
      <c r="H918" s="38">
        <v>66701</v>
      </c>
      <c r="I918" s="38">
        <v>12</v>
      </c>
      <c r="J918" s="38">
        <v>35113</v>
      </c>
      <c r="K918" s="38">
        <v>12</v>
      </c>
      <c r="L918" s="38">
        <v>35115</v>
      </c>
      <c r="M918" s="38">
        <v>12</v>
      </c>
    </row>
    <row r="919" spans="1:21" x14ac:dyDescent="0.25">
      <c r="A919" s="39" t="str">
        <f>IF(F919="","",VLOOKUP(F919,Tabelle1[],3))</f>
        <v>PEJE</v>
      </c>
      <c r="B919" s="40" t="str">
        <f>IF(F919="","",VLOOKUP(F919,Tabelle1[],2))</f>
        <v>ENESI</v>
      </c>
      <c r="C919" s="40"/>
      <c r="D919" s="41">
        <v>46118</v>
      </c>
      <c r="E919" s="80"/>
      <c r="F919" s="78">
        <v>20130</v>
      </c>
      <c r="G919" s="43">
        <v>58.2</v>
      </c>
      <c r="H919" s="38">
        <v>35113</v>
      </c>
      <c r="I919" s="38">
        <v>12</v>
      </c>
      <c r="J919" s="38">
        <v>54412</v>
      </c>
      <c r="K919" s="38">
        <v>6</v>
      </c>
    </row>
    <row r="920" spans="1:21" x14ac:dyDescent="0.25">
      <c r="A920" s="39" t="str">
        <f>IF(F920="","",VLOOKUP(F920,Tabelle1[],3))</f>
        <v>PEJE</v>
      </c>
      <c r="B920" s="40" t="str">
        <f>IF(F920="","",VLOOKUP(F920,Tabelle1[],2))</f>
        <v>LNI SHPK</v>
      </c>
      <c r="C920" s="40"/>
      <c r="D920" s="41">
        <v>46118</v>
      </c>
      <c r="E920" s="80"/>
      <c r="F920" s="78">
        <v>20129</v>
      </c>
      <c r="G920" s="43">
        <v>92.4</v>
      </c>
      <c r="H920" s="38">
        <v>35109</v>
      </c>
      <c r="I920" s="38">
        <v>24</v>
      </c>
    </row>
    <row r="921" spans="1:21" x14ac:dyDescent="0.25">
      <c r="A921" s="39" t="str">
        <f>IF(F921="","",VLOOKUP(F921,Tabelle1[],3))</f>
        <v>PEJE</v>
      </c>
      <c r="B921" s="40" t="str">
        <f>IF(F921="","",VLOOKUP(F921,Tabelle1[],2))</f>
        <v>LULI-C</v>
      </c>
      <c r="C921" s="40"/>
      <c r="D921" s="41">
        <v>46118</v>
      </c>
      <c r="E921" s="80"/>
      <c r="F921" s="78">
        <v>20126</v>
      </c>
      <c r="G921" s="43">
        <v>167.6</v>
      </c>
      <c r="H921" s="38">
        <v>35111</v>
      </c>
      <c r="I921" s="38">
        <v>12</v>
      </c>
      <c r="J921" s="38">
        <v>35112</v>
      </c>
      <c r="K921" s="38">
        <v>12</v>
      </c>
      <c r="L921" s="38">
        <v>35113</v>
      </c>
      <c r="M921" s="38">
        <v>12</v>
      </c>
      <c r="N921" s="38">
        <v>16936</v>
      </c>
      <c r="O921" s="38">
        <v>6</v>
      </c>
      <c r="P921" s="38">
        <v>44001</v>
      </c>
      <c r="Q921" s="38">
        <v>2</v>
      </c>
      <c r="R921" s="38">
        <v>55718</v>
      </c>
      <c r="S921" s="38">
        <v>2</v>
      </c>
    </row>
    <row r="922" spans="1:21" x14ac:dyDescent="0.25">
      <c r="A922" s="39" t="str">
        <f>IF(F922="","",VLOOKUP(F922,Tabelle1[],3))</f>
        <v>PEJE</v>
      </c>
      <c r="B922" s="40" t="str">
        <f>IF(F922="","",VLOOKUP(F922,Tabelle1[],2))</f>
        <v>CAMA BAU</v>
      </c>
      <c r="C922" s="40"/>
      <c r="D922" s="41">
        <v>46118</v>
      </c>
      <c r="E922" s="80"/>
      <c r="F922" s="78">
        <v>20121</v>
      </c>
      <c r="G922" s="43">
        <v>208.2</v>
      </c>
      <c r="H922" s="38">
        <v>35109</v>
      </c>
      <c r="I922" s="38">
        <v>24</v>
      </c>
      <c r="J922" s="38">
        <v>35113</v>
      </c>
      <c r="K922" s="38">
        <v>12</v>
      </c>
      <c r="L922" s="38">
        <v>66701</v>
      </c>
      <c r="M922" s="38">
        <v>12</v>
      </c>
    </row>
    <row r="923" spans="1:21" x14ac:dyDescent="0.25">
      <c r="A923" s="39" t="str">
        <f>IF(F923="","",VLOOKUP(F923,Tabelle1[],3))</f>
        <v>KLINE</v>
      </c>
      <c r="B923" s="40" t="str">
        <f>IF(F923="","",VLOOKUP(F923,Tabelle1[],2))</f>
        <v>AP WOLF</v>
      </c>
      <c r="C923" s="40"/>
      <c r="D923" s="41">
        <v>46118</v>
      </c>
      <c r="E923" s="80"/>
      <c r="F923" s="78">
        <v>20118</v>
      </c>
      <c r="G923" s="43">
        <v>44.5</v>
      </c>
      <c r="H923" s="38">
        <v>51936</v>
      </c>
      <c r="I923" s="38">
        <v>4</v>
      </c>
      <c r="J923" s="38">
        <v>51736</v>
      </c>
      <c r="K923" s="38">
        <v>4</v>
      </c>
      <c r="L923" s="38">
        <v>16936</v>
      </c>
      <c r="M923" s="38">
        <v>3</v>
      </c>
      <c r="N923" s="38">
        <v>31819</v>
      </c>
      <c r="O923" s="38">
        <v>4</v>
      </c>
      <c r="P923" s="38">
        <v>55718</v>
      </c>
      <c r="Q923" s="38">
        <v>2</v>
      </c>
    </row>
    <row r="924" spans="1:21" x14ac:dyDescent="0.25">
      <c r="A924" s="39" t="str">
        <f>IF(F924="","",VLOOKUP(F924,Tabelle1[],3))</f>
        <v>PRIZREN</v>
      </c>
      <c r="B924" s="40" t="str">
        <f>IF(F924="","",VLOOKUP(F924,Tabelle1[],2))</f>
        <v>QEMA</v>
      </c>
      <c r="C924" s="40"/>
      <c r="D924" s="41">
        <v>46119</v>
      </c>
      <c r="E924" s="80"/>
      <c r="F924" s="78">
        <v>10255</v>
      </c>
      <c r="G924" s="43">
        <v>208.8</v>
      </c>
      <c r="H924" s="38">
        <v>66701</v>
      </c>
      <c r="I924" s="38">
        <v>36</v>
      </c>
    </row>
    <row r="925" spans="1:21" x14ac:dyDescent="0.25">
      <c r="A925" s="39" t="str">
        <f>IF(F925="","",VLOOKUP(F925,Tabelle1[],3))</f>
        <v>PRIZREN</v>
      </c>
      <c r="B925" s="40" t="str">
        <f>IF(F925="","",VLOOKUP(F925,Tabelle1[],2))</f>
        <v>MONI 2</v>
      </c>
      <c r="C925" s="40"/>
      <c r="D925" s="41">
        <v>46119</v>
      </c>
      <c r="E925" s="80"/>
      <c r="F925" s="78">
        <v>10210</v>
      </c>
      <c r="G925" s="43">
        <v>73.8</v>
      </c>
      <c r="H925" s="38">
        <v>35121</v>
      </c>
      <c r="I925" s="38">
        <v>12</v>
      </c>
      <c r="J925" s="38">
        <v>51612</v>
      </c>
      <c r="K925" s="38">
        <v>12</v>
      </c>
    </row>
    <row r="926" spans="1:21" x14ac:dyDescent="0.25">
      <c r="A926" s="39" t="str">
        <f>IF(F926="","",VLOOKUP(F926,Tabelle1[],3))</f>
        <v>THARAND</v>
      </c>
      <c r="B926" s="40" t="str">
        <f>IF(F926="","",VLOOKUP(F926,Tabelle1[],2))</f>
        <v>TE BESNIKU</v>
      </c>
      <c r="C926" s="40"/>
      <c r="D926" s="41">
        <v>46119</v>
      </c>
      <c r="E926" s="80"/>
      <c r="F926" s="78">
        <v>10201</v>
      </c>
      <c r="G926" s="43">
        <v>184.8</v>
      </c>
      <c r="H926" s="38">
        <v>35112</v>
      </c>
      <c r="I926" s="38">
        <v>12</v>
      </c>
      <c r="J926" s="38">
        <v>35109</v>
      </c>
      <c r="K926" s="38">
        <v>12</v>
      </c>
      <c r="L926" s="38">
        <v>35121</v>
      </c>
      <c r="M926" s="38">
        <v>12</v>
      </c>
      <c r="N926" s="38">
        <v>35115</v>
      </c>
      <c r="O926" s="38">
        <v>12</v>
      </c>
    </row>
    <row r="927" spans="1:21" x14ac:dyDescent="0.25">
      <c r="A927" s="39" t="str">
        <f>IF(F927="","",VLOOKUP(F927,Tabelle1[],3))</f>
        <v>SHTIME</v>
      </c>
      <c r="B927" s="40" t="str">
        <f>IF(F927="","",VLOOKUP(F927,Tabelle1[],2))</f>
        <v>TAULANTI</v>
      </c>
      <c r="C927" s="40"/>
      <c r="D927" s="41">
        <v>46119</v>
      </c>
      <c r="E927" s="80"/>
      <c r="F927" s="78">
        <v>10251</v>
      </c>
      <c r="G927" s="43">
        <v>46.2</v>
      </c>
      <c r="H927" s="38">
        <v>35113</v>
      </c>
      <c r="I927" s="38">
        <v>12</v>
      </c>
    </row>
    <row r="928" spans="1:21" x14ac:dyDescent="0.25">
      <c r="A928" s="39" t="str">
        <f>IF(F928="","",VLOOKUP(F928,Tabelle1[],3))</f>
        <v>SHIROK</v>
      </c>
      <c r="B928" s="40" t="str">
        <f>IF(F928="","",VLOOKUP(F928,Tabelle1[],2))</f>
        <v>XHAFA</v>
      </c>
      <c r="C928" s="40"/>
      <c r="D928" s="41">
        <v>46119</v>
      </c>
      <c r="E928" s="80"/>
      <c r="F928" s="78">
        <v>10205</v>
      </c>
      <c r="G928" s="43">
        <v>231</v>
      </c>
      <c r="H928" s="38">
        <v>35108</v>
      </c>
      <c r="I928" s="38">
        <v>12</v>
      </c>
      <c r="J928" s="38">
        <v>35110</v>
      </c>
      <c r="K928" s="38">
        <v>12</v>
      </c>
      <c r="L928" s="38">
        <v>35111</v>
      </c>
      <c r="M928" s="38">
        <v>12</v>
      </c>
      <c r="N928" s="38">
        <v>35115</v>
      </c>
      <c r="O928" s="38">
        <v>12</v>
      </c>
      <c r="P928" s="38">
        <v>35121</v>
      </c>
      <c r="Q928" s="38">
        <v>12</v>
      </c>
    </row>
    <row r="929" spans="1:21" x14ac:dyDescent="0.25">
      <c r="A929" s="39" t="str">
        <f>IF(F929="","",VLOOKUP(F929,Tabelle1[],3))</f>
        <v>PRIZREN</v>
      </c>
      <c r="B929" s="40" t="str">
        <f>IF(F929="","",VLOOKUP(F929,Tabelle1[],2))</f>
        <v>ARPO</v>
      </c>
      <c r="C929" s="40"/>
      <c r="D929" s="41">
        <v>46119</v>
      </c>
      <c r="E929" s="80"/>
      <c r="F929" s="78">
        <v>10240</v>
      </c>
      <c r="G929" s="43">
        <v>138.6</v>
      </c>
      <c r="H929" s="38">
        <v>35112</v>
      </c>
      <c r="I929" s="38">
        <v>12</v>
      </c>
      <c r="J929" s="38">
        <v>35115</v>
      </c>
      <c r="K929" s="38">
        <v>12</v>
      </c>
      <c r="L929" s="38">
        <v>35128</v>
      </c>
      <c r="M929" s="38">
        <v>12</v>
      </c>
    </row>
    <row r="930" spans="1:21" x14ac:dyDescent="0.25">
      <c r="A930" s="39" t="str">
        <f>IF(F930="","",VLOOKUP(F930,Tabelle1[],3))</f>
        <v>PRIZREN</v>
      </c>
      <c r="B930" s="40" t="str">
        <f>IF(F930="","",VLOOKUP(F930,Tabelle1[],2))</f>
        <v>QEMA</v>
      </c>
      <c r="C930" s="40"/>
      <c r="D930" s="41">
        <v>46119</v>
      </c>
      <c r="E930" s="80"/>
      <c r="F930" s="78">
        <v>10256</v>
      </c>
      <c r="G930" s="43">
        <v>46.2</v>
      </c>
      <c r="H930" s="38">
        <v>35110</v>
      </c>
      <c r="I930" s="38">
        <v>12</v>
      </c>
    </row>
    <row r="931" spans="1:21" x14ac:dyDescent="0.25">
      <c r="A931" s="39" t="str">
        <f>IF(F931="","",VLOOKUP(F931,Tabelle1[],3))</f>
        <v>PRIZREN</v>
      </c>
      <c r="B931" s="40" t="str">
        <f>IF(F931="","",VLOOKUP(F931,Tabelle1[],2))</f>
        <v>BERISHA</v>
      </c>
      <c r="C931" s="40"/>
      <c r="D931" s="41">
        <v>46119</v>
      </c>
      <c r="E931" s="80"/>
      <c r="F931" s="78">
        <v>10257</v>
      </c>
      <c r="G931" s="43">
        <v>162</v>
      </c>
      <c r="H931" s="38">
        <v>66701</v>
      </c>
      <c r="I931" s="38">
        <v>12</v>
      </c>
      <c r="J931" s="38">
        <v>35109</v>
      </c>
      <c r="K931" s="38">
        <v>24</v>
      </c>
    </row>
    <row r="932" spans="1:21" x14ac:dyDescent="0.25">
      <c r="A932" s="39" t="str">
        <f>IF(F932="","",VLOOKUP(F932,Tabelle1[],3))</f>
        <v>THARAND</v>
      </c>
      <c r="B932" s="40" t="str">
        <f>IF(F932="","",VLOOKUP(F932,Tabelle1[],2))</f>
        <v>METAL FATI</v>
      </c>
      <c r="C932" s="40"/>
      <c r="D932" s="41">
        <v>46119</v>
      </c>
      <c r="E932" s="80"/>
      <c r="F932" s="78">
        <v>10202</v>
      </c>
      <c r="G932" s="43">
        <v>46.2</v>
      </c>
      <c r="H932" s="38">
        <v>35109</v>
      </c>
      <c r="I932" s="38">
        <v>12</v>
      </c>
    </row>
    <row r="933" spans="1:21" x14ac:dyDescent="0.25">
      <c r="A933" s="39" t="str">
        <f>IF(F933="","",VLOOKUP(F933,Tabelle1[],3))</f>
        <v>THARAND</v>
      </c>
      <c r="B933" s="40" t="str">
        <f>IF(F933="","",VLOOKUP(F933,Tabelle1[],2))</f>
        <v>EMSA</v>
      </c>
      <c r="C933" s="40"/>
      <c r="D933" s="41">
        <v>46119</v>
      </c>
      <c r="E933" s="80"/>
      <c r="F933" s="78">
        <v>10203</v>
      </c>
      <c r="G933" s="43">
        <v>273.60000000000002</v>
      </c>
      <c r="H933" s="38">
        <v>35109</v>
      </c>
      <c r="I933" s="38">
        <v>60</v>
      </c>
      <c r="J933" s="38">
        <v>51611</v>
      </c>
      <c r="K933" s="38">
        <v>12</v>
      </c>
      <c r="L933" s="38">
        <v>51612</v>
      </c>
      <c r="M933" s="38">
        <v>12</v>
      </c>
    </row>
    <row r="934" spans="1:21" x14ac:dyDescent="0.25">
      <c r="A934" s="39" t="str">
        <f>IF(F934="","",VLOOKUP(F934,Tabelle1[],3))</f>
        <v>GJAKOVE</v>
      </c>
      <c r="B934" s="40" t="str">
        <f>IF(F934="","",VLOOKUP(F934,Tabelle1[],2))</f>
        <v>TANI</v>
      </c>
      <c r="C934" s="40"/>
      <c r="D934" s="41">
        <v>46119</v>
      </c>
      <c r="E934" s="80"/>
      <c r="F934" s="78">
        <v>20224</v>
      </c>
      <c r="G934" s="43">
        <v>138.6</v>
      </c>
      <c r="H934" s="38">
        <v>35109</v>
      </c>
      <c r="I934" s="38">
        <v>12</v>
      </c>
      <c r="J934" s="38">
        <v>35110</v>
      </c>
      <c r="K934" s="38">
        <v>12</v>
      </c>
    </row>
    <row r="935" spans="1:21" x14ac:dyDescent="0.25">
      <c r="A935" s="39" t="str">
        <f>IF(F935="","",VLOOKUP(F935,Tabelle1[],3))</f>
        <v>GJAKOVE</v>
      </c>
      <c r="B935" s="40" t="str">
        <f>IF(F935="","",VLOOKUP(F935,Tabelle1[],2))</f>
        <v>LETAJ</v>
      </c>
      <c r="C935" s="40"/>
      <c r="D935" s="41">
        <v>46119</v>
      </c>
      <c r="E935" s="80"/>
      <c r="F935" s="78">
        <v>20209</v>
      </c>
      <c r="G935" s="43">
        <v>393</v>
      </c>
      <c r="H935" s="38">
        <v>35109</v>
      </c>
      <c r="I935" s="38">
        <v>24</v>
      </c>
      <c r="J935" s="38">
        <v>35110</v>
      </c>
      <c r="K935" s="38">
        <v>24</v>
      </c>
      <c r="L935" s="38">
        <v>35112</v>
      </c>
      <c r="M935" s="38">
        <v>24</v>
      </c>
      <c r="N935" s="38">
        <v>35114</v>
      </c>
      <c r="O935" s="38">
        <v>12</v>
      </c>
      <c r="P935" s="38">
        <v>66701</v>
      </c>
      <c r="Q935" s="38">
        <v>12</v>
      </c>
    </row>
    <row r="936" spans="1:21" x14ac:dyDescent="0.25">
      <c r="A936" s="39" t="str">
        <f>IF(F936="","",VLOOKUP(F936,Tabelle1[],3))</f>
        <v>JUNIK</v>
      </c>
      <c r="B936" s="40" t="str">
        <f>IF(F936="","",VLOOKUP(F936,Tabelle1[],2))</f>
        <v>GACAFERI-RG</v>
      </c>
      <c r="C936" s="40"/>
      <c r="D936" s="41">
        <v>46119</v>
      </c>
      <c r="E936" s="80"/>
      <c r="F936" s="78">
        <v>20205</v>
      </c>
      <c r="G936" s="43">
        <v>120</v>
      </c>
      <c r="H936" s="38">
        <v>35110</v>
      </c>
      <c r="I936" s="38">
        <v>12</v>
      </c>
      <c r="J936" s="38">
        <v>35112</v>
      </c>
      <c r="K936" s="38">
        <v>12</v>
      </c>
      <c r="L936" s="38">
        <v>51612</v>
      </c>
      <c r="M936" s="38">
        <v>12</v>
      </c>
    </row>
    <row r="937" spans="1:21" x14ac:dyDescent="0.25">
      <c r="A937" s="39" t="str">
        <f>IF(F937="","",VLOOKUP(F937,Tabelle1[],3))</f>
        <v>JUNIK</v>
      </c>
      <c r="B937" s="40" t="str">
        <f>IF(F937="","",VLOOKUP(F937,Tabelle1[],2))</f>
        <v>ERENIKU</v>
      </c>
      <c r="C937" s="40"/>
      <c r="D937" s="41">
        <v>46119</v>
      </c>
      <c r="E937" s="80"/>
      <c r="F937" s="78">
        <v>20206</v>
      </c>
      <c r="G937" s="43">
        <v>107.4</v>
      </c>
      <c r="H937" s="38">
        <v>35119</v>
      </c>
      <c r="I937" s="38">
        <v>12</v>
      </c>
      <c r="J937" s="38">
        <v>35115</v>
      </c>
      <c r="K937" s="38">
        <v>12</v>
      </c>
      <c r="L937" s="38">
        <v>51611</v>
      </c>
      <c r="M937" s="38">
        <v>12</v>
      </c>
    </row>
    <row r="938" spans="1:21" x14ac:dyDescent="0.25">
      <c r="A938" s="39" t="str">
        <f>IF(F938="","",VLOOKUP(F938,Tabelle1[],3))</f>
        <v>GJAKOVE</v>
      </c>
      <c r="B938" s="40" t="str">
        <f>IF(F938="","",VLOOKUP(F938,Tabelle1[],2))</f>
        <v>INOX 2</v>
      </c>
      <c r="C938" s="40"/>
      <c r="D938" s="41">
        <v>46119</v>
      </c>
      <c r="E938" s="80"/>
      <c r="F938" s="78">
        <v>20212</v>
      </c>
      <c r="G938" s="43">
        <v>153.6</v>
      </c>
      <c r="H938" s="38">
        <v>35108</v>
      </c>
      <c r="I938" s="38">
        <v>12</v>
      </c>
      <c r="J938" s="38">
        <v>35109</v>
      </c>
      <c r="K938" s="38">
        <v>12</v>
      </c>
      <c r="L938" s="38">
        <v>35113</v>
      </c>
      <c r="M938" s="38">
        <v>12</v>
      </c>
      <c r="N938" s="38">
        <v>51612</v>
      </c>
      <c r="O938" s="38">
        <v>12</v>
      </c>
    </row>
    <row r="939" spans="1:21" x14ac:dyDescent="0.25">
      <c r="A939" s="39" t="str">
        <f>IF(F939="","",VLOOKUP(F939,Tabelle1[],3))</f>
        <v>GJAKOVE</v>
      </c>
      <c r="B939" s="40" t="str">
        <f>IF(F939="","",VLOOKUP(F939,Tabelle1[],2))</f>
        <v>INOX 1</v>
      </c>
      <c r="C939" s="40"/>
      <c r="D939" s="41">
        <v>46119</v>
      </c>
      <c r="E939" s="80"/>
      <c r="F939" s="78">
        <v>20211</v>
      </c>
      <c r="G939" s="43">
        <v>92.4</v>
      </c>
      <c r="H939" s="38">
        <v>35109</v>
      </c>
      <c r="I939" s="38">
        <v>12</v>
      </c>
      <c r="J939" s="38">
        <v>35112</v>
      </c>
      <c r="K939" s="38">
        <v>12</v>
      </c>
    </row>
    <row r="940" spans="1:21" x14ac:dyDescent="0.25">
      <c r="A940" s="39" t="str">
        <f>IF(F940="","",VLOOKUP(F940,Tabelle1[],3))</f>
        <v>GJAKOVE</v>
      </c>
      <c r="B940" s="40" t="str">
        <f>IF(F940="","",VLOOKUP(F940,Tabelle1[],2))</f>
        <v>GER COLORS</v>
      </c>
      <c r="C940" s="40"/>
      <c r="D940" s="41">
        <v>46119</v>
      </c>
      <c r="E940" s="80"/>
      <c r="F940" s="78">
        <v>20223</v>
      </c>
      <c r="G940" s="43">
        <v>115.8</v>
      </c>
      <c r="H940" s="38">
        <v>35115</v>
      </c>
      <c r="I940" s="38">
        <v>12</v>
      </c>
      <c r="J940" s="38">
        <v>66701</v>
      </c>
      <c r="K940" s="38">
        <v>12</v>
      </c>
    </row>
    <row r="941" spans="1:21" x14ac:dyDescent="0.25">
      <c r="A941" s="39" t="str">
        <f>IF(F941="","",VLOOKUP(F941,Tabelle1[],3))</f>
        <v>DEQAN</v>
      </c>
      <c r="B941" s="40" t="str">
        <f>IF(F941="","",VLOOKUP(F941,Tabelle1[],2))</f>
        <v>AFRIMI-AG</v>
      </c>
      <c r="C941" s="40"/>
      <c r="D941" s="41">
        <v>46119</v>
      </c>
      <c r="E941" s="80"/>
      <c r="F941" s="78">
        <v>20203</v>
      </c>
      <c r="G941" s="43">
        <v>254.4</v>
      </c>
      <c r="H941" s="38">
        <v>35109</v>
      </c>
      <c r="I941" s="38">
        <v>12</v>
      </c>
      <c r="J941" s="38">
        <v>35112</v>
      </c>
      <c r="K941" s="38">
        <v>12</v>
      </c>
      <c r="L941" s="38">
        <v>35113</v>
      </c>
      <c r="M941" s="38">
        <v>12</v>
      </c>
      <c r="N941" s="38">
        <v>35115</v>
      </c>
      <c r="O941" s="38">
        <v>12</v>
      </c>
      <c r="P941" s="38">
        <v>66701</v>
      </c>
      <c r="Q941" s="38">
        <v>12</v>
      </c>
    </row>
    <row r="942" spans="1:21" x14ac:dyDescent="0.25">
      <c r="A942" s="39" t="str">
        <f>IF(F942="","",VLOOKUP(F942,Tabelle1[],3))</f>
        <v>DEQAN</v>
      </c>
      <c r="B942" s="40" t="str">
        <f>IF(F942="","",VLOOKUP(F942,Tabelle1[],2))</f>
        <v>TE BESIMI</v>
      </c>
      <c r="C942" s="40"/>
      <c r="D942" s="41">
        <v>46119</v>
      </c>
      <c r="E942" s="80"/>
      <c r="F942" s="78">
        <v>20201</v>
      </c>
      <c r="G942" s="43">
        <v>327.60000000000002</v>
      </c>
      <c r="H942" s="38">
        <v>35109</v>
      </c>
      <c r="I942" s="38">
        <v>48</v>
      </c>
      <c r="J942" s="38">
        <v>35112</v>
      </c>
      <c r="K942" s="38">
        <v>12</v>
      </c>
      <c r="L942" s="38">
        <v>51611</v>
      </c>
      <c r="M942" s="38">
        <v>36</v>
      </c>
      <c r="N942" s="38">
        <v>29802</v>
      </c>
      <c r="O942" s="38">
        <v>8</v>
      </c>
      <c r="P942" s="38">
        <v>56117</v>
      </c>
      <c r="Q942" s="38">
        <v>6</v>
      </c>
      <c r="R942" s="38">
        <v>49644</v>
      </c>
      <c r="S942" s="38">
        <v>6</v>
      </c>
      <c r="T942" s="38">
        <v>26736</v>
      </c>
      <c r="U942" s="38">
        <v>6</v>
      </c>
    </row>
    <row r="943" spans="1:21" x14ac:dyDescent="0.25">
      <c r="A943" s="39" t="str">
        <f>IF(F943="","",VLOOKUP(F943,Tabelle1[],3))</f>
        <v>PEJE</v>
      </c>
      <c r="B943" s="40" t="str">
        <f>IF(F943="","",VLOOKUP(F943,Tabelle1[],2))</f>
        <v>CAMA BAU</v>
      </c>
      <c r="C943" s="40"/>
      <c r="D943" s="41">
        <v>46119</v>
      </c>
      <c r="E943" s="80"/>
      <c r="F943" s="78">
        <v>20121</v>
      </c>
      <c r="G943" s="43">
        <v>62</v>
      </c>
      <c r="H943" s="38">
        <v>30277</v>
      </c>
      <c r="I943" s="38">
        <v>10</v>
      </c>
      <c r="J943" s="38">
        <v>31880</v>
      </c>
      <c r="K943" s="38">
        <v>12</v>
      </c>
    </row>
    <row r="944" spans="1:21" x14ac:dyDescent="0.25">
      <c r="A944" s="39" t="str">
        <f>IF(F944="","",VLOOKUP(F944,Tabelle1[],3))</f>
        <v>GJILAN</v>
      </c>
      <c r="B944" s="40" t="str">
        <f>IF(F944="","",VLOOKUP(F944,Tabelle1[],2))</f>
        <v>MIRSADI</v>
      </c>
      <c r="C944" s="40"/>
      <c r="D944" s="41">
        <v>46120</v>
      </c>
      <c r="E944" s="80"/>
      <c r="F944" s="78">
        <v>10366</v>
      </c>
      <c r="G944" s="43">
        <v>184.8</v>
      </c>
      <c r="H944" s="38">
        <v>35109</v>
      </c>
      <c r="I944" s="38">
        <v>12</v>
      </c>
      <c r="J944" s="38">
        <v>35121</v>
      </c>
      <c r="K944" s="38">
        <v>12</v>
      </c>
      <c r="L944" s="38">
        <v>35112</v>
      </c>
      <c r="M944" s="38">
        <v>12</v>
      </c>
      <c r="N944" s="38">
        <v>35110</v>
      </c>
      <c r="O944" s="38">
        <v>12</v>
      </c>
    </row>
    <row r="945" spans="1:21" x14ac:dyDescent="0.25">
      <c r="A945" s="39" t="str">
        <f>IF(F945="","",VLOOKUP(F945,Tabelle1[],3))</f>
        <v>GJILAN</v>
      </c>
      <c r="B945" s="40" t="str">
        <f>IF(F945="","",VLOOKUP(F945,Tabelle1[],2))</f>
        <v>EUROSAN</v>
      </c>
      <c r="C945" s="40"/>
      <c r="D945" s="41">
        <v>46120</v>
      </c>
      <c r="E945" s="80"/>
      <c r="F945" s="78">
        <v>10304</v>
      </c>
      <c r="G945" s="43">
        <v>273.60000000000002</v>
      </c>
      <c r="H945" s="38">
        <v>35108</v>
      </c>
      <c r="I945" s="38">
        <v>12</v>
      </c>
      <c r="J945" s="38">
        <v>35110</v>
      </c>
      <c r="K945" s="38">
        <v>12</v>
      </c>
      <c r="L945" s="38">
        <v>35111</v>
      </c>
      <c r="M945" s="38">
        <v>12</v>
      </c>
      <c r="N945" s="38">
        <v>35115</v>
      </c>
      <c r="O945" s="38">
        <v>12</v>
      </c>
      <c r="P945" s="38">
        <v>35121</v>
      </c>
      <c r="Q945" s="38">
        <v>12</v>
      </c>
      <c r="R945" s="38">
        <v>51611</v>
      </c>
      <c r="S945" s="38">
        <v>12</v>
      </c>
      <c r="T945" s="38">
        <v>51612</v>
      </c>
      <c r="U945" s="38">
        <v>12</v>
      </c>
    </row>
    <row r="946" spans="1:21" x14ac:dyDescent="0.25">
      <c r="A946" s="39" t="str">
        <f>IF(F946="","",VLOOKUP(F946,Tabelle1[],3))</f>
        <v>POZHARAN</v>
      </c>
      <c r="B946" s="40" t="str">
        <f>IF(F946="","",VLOOKUP(F946,Tabelle1[],2))</f>
        <v>BURIMI</v>
      </c>
      <c r="C946" s="40"/>
      <c r="D946" s="41">
        <v>46120</v>
      </c>
      <c r="E946" s="80"/>
      <c r="F946" s="78">
        <v>10330</v>
      </c>
      <c r="G946" s="43">
        <v>92.4</v>
      </c>
      <c r="H946" s="38">
        <v>35110</v>
      </c>
      <c r="I946" s="38">
        <v>12</v>
      </c>
      <c r="J946" s="38">
        <v>35115</v>
      </c>
      <c r="K946" s="38">
        <v>12</v>
      </c>
    </row>
    <row r="947" spans="1:21" x14ac:dyDescent="0.25">
      <c r="A947" s="39" t="str">
        <f>IF(F947="","",VLOOKUP(F947,Tabelle1[],3))</f>
        <v>VITI</v>
      </c>
      <c r="B947" s="40" t="str">
        <f>IF(F947="","",VLOOKUP(F947,Tabelle1[],2))</f>
        <v>BALLKANI</v>
      </c>
      <c r="C947" s="40"/>
      <c r="D947" s="41">
        <v>46120</v>
      </c>
      <c r="E947" s="80"/>
      <c r="F947" s="78">
        <v>10350</v>
      </c>
      <c r="G947" s="43">
        <v>138.6</v>
      </c>
      <c r="H947" s="38">
        <v>35113</v>
      </c>
      <c r="I947" s="38">
        <v>12</v>
      </c>
      <c r="J947" s="38">
        <v>35121</v>
      </c>
      <c r="K947" s="38">
        <v>12</v>
      </c>
      <c r="L947" s="38">
        <v>35128</v>
      </c>
      <c r="M947" s="38">
        <v>12</v>
      </c>
    </row>
    <row r="948" spans="1:21" x14ac:dyDescent="0.25">
      <c r="A948" s="39" t="str">
        <f>IF(F948="","",VLOOKUP(F948,Tabelle1[],3))</f>
        <v>VITI</v>
      </c>
      <c r="B948" s="40" t="str">
        <f>IF(F948="","",VLOOKUP(F948,Tabelle1[],2))</f>
        <v>SMIRA</v>
      </c>
      <c r="C948" s="40"/>
      <c r="D948" s="41">
        <v>46120</v>
      </c>
      <c r="E948" s="80"/>
      <c r="F948" s="78">
        <v>10352</v>
      </c>
      <c r="G948" s="43">
        <v>231</v>
      </c>
      <c r="H948" s="38">
        <v>35121</v>
      </c>
      <c r="I948" s="38">
        <v>24</v>
      </c>
      <c r="J948" s="38">
        <v>35114</v>
      </c>
      <c r="K948" s="38">
        <v>12</v>
      </c>
      <c r="L948" s="38">
        <v>35115</v>
      </c>
      <c r="M948" s="38">
        <v>12</v>
      </c>
      <c r="N948" s="38">
        <v>35113</v>
      </c>
      <c r="O948" s="38">
        <v>12</v>
      </c>
    </row>
    <row r="949" spans="1:21" x14ac:dyDescent="0.25">
      <c r="A949" s="39" t="str">
        <f>IF(F949="","",VLOOKUP(F949,Tabelle1[],3))</f>
        <v>VITI</v>
      </c>
      <c r="B949" s="40" t="str">
        <f>IF(F949="","",VLOOKUP(F949,Tabelle1[],2))</f>
        <v>ER POWER</v>
      </c>
      <c r="C949" s="40"/>
      <c r="D949" s="41">
        <v>46120</v>
      </c>
      <c r="E949" s="80"/>
      <c r="F949" s="78">
        <v>10327</v>
      </c>
      <c r="G949" s="43">
        <v>86.4</v>
      </c>
      <c r="H949" s="38">
        <v>50912</v>
      </c>
      <c r="I949" s="38">
        <v>12</v>
      </c>
    </row>
    <row r="950" spans="1:21" x14ac:dyDescent="0.25">
      <c r="A950" s="39" t="str">
        <f>IF(F950="","",VLOOKUP(F950,Tabelle1[],3))</f>
        <v>GJILAN</v>
      </c>
      <c r="B950" s="40" t="str">
        <f>IF(F950="","",VLOOKUP(F950,Tabelle1[],2))</f>
        <v>FATMIRI</v>
      </c>
      <c r="C950" s="40"/>
      <c r="D950" s="41">
        <v>46120</v>
      </c>
      <c r="E950" s="80"/>
      <c r="F950" s="78">
        <v>10313</v>
      </c>
      <c r="G950" s="43">
        <v>92.4</v>
      </c>
      <c r="H950" s="38">
        <v>35121</v>
      </c>
      <c r="I950" s="38">
        <v>24</v>
      </c>
    </row>
    <row r="951" spans="1:21" x14ac:dyDescent="0.25">
      <c r="A951" s="39" t="str">
        <f>IF(F951="","",VLOOKUP(F951,Tabelle1[],3))</f>
        <v>VITI</v>
      </c>
      <c r="B951" s="40" t="str">
        <f>IF(F951="","",VLOOKUP(F951,Tabelle1[],2))</f>
        <v>PARKETI</v>
      </c>
      <c r="C951" s="40"/>
      <c r="D951" s="41">
        <v>46120</v>
      </c>
      <c r="E951" s="80"/>
      <c r="F951" s="78">
        <v>10325</v>
      </c>
      <c r="G951" s="43">
        <v>61.2</v>
      </c>
      <c r="H951" s="38">
        <v>35110</v>
      </c>
      <c r="I951" s="38">
        <v>12</v>
      </c>
      <c r="J951" s="38">
        <v>51611</v>
      </c>
      <c r="K951" s="38">
        <v>12</v>
      </c>
    </row>
    <row r="952" spans="1:21" x14ac:dyDescent="0.25">
      <c r="A952" s="39" t="str">
        <f>IF(F952="","",VLOOKUP(F952,Tabelle1[],3))</f>
        <v>GJILAN</v>
      </c>
      <c r="B952" s="40" t="str">
        <f>IF(F952="","",VLOOKUP(F952,Tabelle1[],2))</f>
        <v>ERALP</v>
      </c>
      <c r="C952" s="40"/>
      <c r="D952" s="41">
        <v>46120</v>
      </c>
      <c r="E952" s="80"/>
      <c r="F952" s="78">
        <v>10308</v>
      </c>
      <c r="G952" s="43">
        <v>92.4</v>
      </c>
      <c r="H952" s="38">
        <v>35113</v>
      </c>
      <c r="I952" s="38">
        <v>12</v>
      </c>
      <c r="J952" s="38">
        <v>35125</v>
      </c>
      <c r="K952" s="38">
        <v>12</v>
      </c>
    </row>
    <row r="953" spans="1:21" x14ac:dyDescent="0.25">
      <c r="A953" s="39" t="str">
        <f>IF(F953="","",VLOOKUP(F953,Tabelle1[],3))</f>
        <v>GJILAN</v>
      </c>
      <c r="B953" s="40" t="str">
        <f>IF(F953="","",VLOOKUP(F953,Tabelle1[],2))</f>
        <v>BEKA-1</v>
      </c>
      <c r="C953" s="40"/>
      <c r="D953" s="41">
        <v>46120</v>
      </c>
      <c r="E953" s="80"/>
      <c r="F953" s="78">
        <v>10303</v>
      </c>
      <c r="G953" s="43">
        <v>56</v>
      </c>
      <c r="H953" s="38">
        <v>50912</v>
      </c>
      <c r="I953" s="38">
        <v>5</v>
      </c>
      <c r="J953" s="38">
        <v>56117</v>
      </c>
      <c r="K953" s="38">
        <v>5</v>
      </c>
    </row>
    <row r="954" spans="1:21" x14ac:dyDescent="0.25">
      <c r="A954" s="39" t="str">
        <f>IF(F954="","",VLOOKUP(F954,Tabelle1[],3))</f>
        <v>GJILAN</v>
      </c>
      <c r="B954" s="40" t="str">
        <f>IF(F954="","",VLOOKUP(F954,Tabelle1[],2))</f>
        <v>GLOBAL NT</v>
      </c>
      <c r="C954" s="40"/>
      <c r="D954" s="41">
        <v>46120</v>
      </c>
      <c r="E954" s="80"/>
      <c r="F954" s="78">
        <v>10359</v>
      </c>
      <c r="G954" s="43">
        <v>120</v>
      </c>
      <c r="H954" s="38">
        <v>35128</v>
      </c>
      <c r="I954" s="38">
        <v>12</v>
      </c>
      <c r="J954" s="38">
        <v>35121</v>
      </c>
      <c r="K954" s="38">
        <v>12</v>
      </c>
      <c r="L954" s="38">
        <v>51612</v>
      </c>
      <c r="M954" s="38">
        <v>12</v>
      </c>
    </row>
    <row r="955" spans="1:21" x14ac:dyDescent="0.25">
      <c r="A955" s="39" t="str">
        <f>IF(F955="","",VLOOKUP(F955,Tabelle1[],3))</f>
        <v>VITI</v>
      </c>
      <c r="B955" s="40" t="str">
        <f>IF(F955="","",VLOOKUP(F955,Tabelle1[],2))</f>
        <v>KOS CERAMIK</v>
      </c>
      <c r="C955" s="40"/>
      <c r="D955" s="41">
        <v>46120</v>
      </c>
      <c r="E955" s="80"/>
      <c r="F955" s="78">
        <v>10364</v>
      </c>
      <c r="G955" s="43">
        <v>92.4</v>
      </c>
      <c r="H955" s="38">
        <v>35113</v>
      </c>
      <c r="I955" s="38">
        <v>12</v>
      </c>
      <c r="J955" s="38">
        <v>35109</v>
      </c>
      <c r="K955" s="38">
        <v>12</v>
      </c>
    </row>
    <row r="956" spans="1:21" x14ac:dyDescent="0.25">
      <c r="A956" s="39" t="str">
        <f>IF(F956="","",VLOOKUP(F956,Tabelle1[],3))</f>
        <v>MALISHEVE</v>
      </c>
      <c r="B956" s="40" t="str">
        <f>IF(F956="","",VLOOKUP(F956,Tabelle1[],2))</f>
        <v>TERMOT</v>
      </c>
      <c r="C956" s="40"/>
      <c r="D956" s="41">
        <v>46120</v>
      </c>
      <c r="E956" s="80"/>
      <c r="F956" s="78">
        <v>20329</v>
      </c>
      <c r="G956" s="43">
        <v>231</v>
      </c>
      <c r="H956" s="38">
        <v>35109</v>
      </c>
      <c r="I956" s="38">
        <v>36</v>
      </c>
      <c r="J956" s="38">
        <v>35113</v>
      </c>
      <c r="K956" s="38">
        <v>24</v>
      </c>
    </row>
    <row r="957" spans="1:21" x14ac:dyDescent="0.25">
      <c r="A957" s="39" t="str">
        <f>IF(F957="","",VLOOKUP(F957,Tabelle1[],3))</f>
        <v>MALISHEVE</v>
      </c>
      <c r="B957" s="40" t="str">
        <f>IF(F957="","",VLOOKUP(F957,Tabelle1[],2))</f>
        <v>HAZROLLI</v>
      </c>
      <c r="C957" s="40"/>
      <c r="D957" s="41">
        <v>46120</v>
      </c>
      <c r="E957" s="80"/>
      <c r="F957" s="78">
        <v>20301</v>
      </c>
      <c r="G957" s="43">
        <v>115.8</v>
      </c>
      <c r="H957" s="38">
        <v>35112</v>
      </c>
      <c r="I957" s="38">
        <v>12</v>
      </c>
      <c r="J957" s="38">
        <v>66701</v>
      </c>
      <c r="K957" s="38">
        <v>12</v>
      </c>
    </row>
    <row r="958" spans="1:21" x14ac:dyDescent="0.25">
      <c r="A958" s="39" t="str">
        <f>IF(F958="","",VLOOKUP(F958,Tabelle1[],3))</f>
        <v>RAHOVEC</v>
      </c>
      <c r="B958" s="40" t="str">
        <f>IF(F958="","",VLOOKUP(F958,Tabelle1[],2))</f>
        <v>CONDOR</v>
      </c>
      <c r="C958" s="40"/>
      <c r="D958" s="41">
        <v>46120</v>
      </c>
      <c r="E958" s="80"/>
      <c r="F958" s="78">
        <v>20307</v>
      </c>
      <c r="G958" s="43">
        <v>268.10000000000002</v>
      </c>
      <c r="H958" s="38">
        <v>35110</v>
      </c>
      <c r="I958" s="38">
        <v>12</v>
      </c>
      <c r="J958" s="38">
        <v>35113</v>
      </c>
      <c r="K958" s="38">
        <v>12</v>
      </c>
      <c r="L958" s="38">
        <v>51611</v>
      </c>
      <c r="M958" s="38">
        <v>12</v>
      </c>
      <c r="N958" s="38">
        <v>51612</v>
      </c>
      <c r="O958" s="38">
        <v>12</v>
      </c>
      <c r="P958" s="38">
        <v>66701</v>
      </c>
      <c r="Q958" s="38">
        <v>12</v>
      </c>
      <c r="R958" s="38">
        <v>44001</v>
      </c>
      <c r="S958" s="38">
        <v>9</v>
      </c>
      <c r="T958" s="38">
        <v>50912</v>
      </c>
      <c r="U958" s="38">
        <v>4</v>
      </c>
    </row>
    <row r="959" spans="1:21" x14ac:dyDescent="0.25">
      <c r="A959" s="39" t="str">
        <f>IF(F959="","",VLOOKUP(F959,Tabelle1[],3))</f>
        <v>FERIZAJ</v>
      </c>
      <c r="B959" s="40" t="str">
        <f>IF(F959="","",VLOOKUP(F959,Tabelle1[],2))</f>
        <v>SALIHU CORPORATION</v>
      </c>
      <c r="C959" s="40"/>
      <c r="D959" s="41">
        <v>46120</v>
      </c>
      <c r="E959" s="80"/>
      <c r="F959" s="78">
        <v>20803</v>
      </c>
      <c r="G959" s="43">
        <v>73.8</v>
      </c>
      <c r="H959" s="38">
        <v>35128</v>
      </c>
      <c r="I959" s="38">
        <v>12</v>
      </c>
      <c r="J959" s="38">
        <v>51612</v>
      </c>
      <c r="K959" s="38">
        <v>12</v>
      </c>
    </row>
    <row r="960" spans="1:21" x14ac:dyDescent="0.25">
      <c r="A960" s="39" t="str">
        <f>IF(F960="","",VLOOKUP(F960,Tabelle1[],3))</f>
        <v>MALISHEVE</v>
      </c>
      <c r="B960" s="40" t="str">
        <f>IF(F960="","",VLOOKUP(F960,Tabelle1[],2))</f>
        <v>ABA QERAMIK</v>
      </c>
      <c r="C960" s="40"/>
      <c r="D960" s="41">
        <v>46120</v>
      </c>
      <c r="E960" s="80"/>
      <c r="F960" s="78">
        <v>20305</v>
      </c>
      <c r="G960" s="43">
        <v>92.4</v>
      </c>
      <c r="H960" s="38">
        <v>35109</v>
      </c>
      <c r="I960" s="38">
        <v>12</v>
      </c>
      <c r="J960" s="38">
        <v>35110</v>
      </c>
      <c r="K960" s="38">
        <v>12</v>
      </c>
    </row>
    <row r="961" spans="1:17" x14ac:dyDescent="0.25">
      <c r="A961" s="39" t="str">
        <f>IF(F961="","",VLOOKUP(F961,Tabelle1[],3))</f>
        <v>MALISHEVE</v>
      </c>
      <c r="B961" s="40" t="str">
        <f>IF(F961="","",VLOOKUP(F961,Tabelle1[],2))</f>
        <v>BEREQETI</v>
      </c>
      <c r="C961" s="40"/>
      <c r="D961" s="41">
        <v>46120</v>
      </c>
      <c r="E961" s="80"/>
      <c r="F961" s="78">
        <v>20321</v>
      </c>
      <c r="G961" s="43">
        <v>162.6</v>
      </c>
      <c r="H961" s="38">
        <v>35121</v>
      </c>
      <c r="I961" s="38">
        <v>24</v>
      </c>
      <c r="J961" s="38">
        <v>51612</v>
      </c>
      <c r="K961" s="38">
        <v>24</v>
      </c>
      <c r="L961" s="38">
        <v>51611</v>
      </c>
      <c r="M961" s="38">
        <v>12</v>
      </c>
    </row>
    <row r="962" spans="1:17" x14ac:dyDescent="0.25">
      <c r="A962" s="39" t="str">
        <f>IF(F962="","",VLOOKUP(F962,Tabelle1[],3))</f>
        <v>MALISHEVE</v>
      </c>
      <c r="B962" s="40" t="str">
        <f>IF(F962="","",VLOOKUP(F962,Tabelle1[],2))</f>
        <v>BARDHI-M</v>
      </c>
      <c r="C962" s="40"/>
      <c r="D962" s="41">
        <v>46120</v>
      </c>
      <c r="E962" s="80"/>
      <c r="F962" s="78">
        <v>20331</v>
      </c>
      <c r="G962" s="43">
        <v>177.4</v>
      </c>
      <c r="H962" s="38">
        <v>35110</v>
      </c>
      <c r="I962" s="38">
        <v>12</v>
      </c>
      <c r="J962" s="38">
        <v>35111</v>
      </c>
      <c r="K962" s="38">
        <v>12</v>
      </c>
      <c r="L962" s="38">
        <v>16936</v>
      </c>
      <c r="M962" s="38">
        <v>12</v>
      </c>
      <c r="N962" s="38">
        <v>26736</v>
      </c>
      <c r="O962" s="38">
        <v>12</v>
      </c>
      <c r="P962" s="38">
        <v>51936</v>
      </c>
      <c r="Q962" s="38">
        <v>10</v>
      </c>
    </row>
    <row r="963" spans="1:17" x14ac:dyDescent="0.25">
      <c r="A963" s="39" t="str">
        <f>IF(F963="","",VLOOKUP(F963,Tabelle1[],3))</f>
        <v>RAHOVEC</v>
      </c>
      <c r="B963" s="40" t="str">
        <f>IF(F963="","",VLOOKUP(F963,Tabelle1[],2))</f>
        <v>DURGUTI 3</v>
      </c>
      <c r="C963" s="40"/>
      <c r="D963" s="41">
        <v>46120</v>
      </c>
      <c r="E963" s="80"/>
      <c r="F963" s="78">
        <v>20313</v>
      </c>
      <c r="G963" s="43">
        <v>122.4</v>
      </c>
      <c r="H963" s="38">
        <v>35112</v>
      </c>
      <c r="I963" s="38">
        <v>12</v>
      </c>
      <c r="J963" s="38">
        <v>35111</v>
      </c>
      <c r="K963" s="38">
        <v>12</v>
      </c>
      <c r="L963" s="38">
        <v>51611</v>
      </c>
      <c r="M963" s="38">
        <v>24</v>
      </c>
    </row>
    <row r="964" spans="1:17" x14ac:dyDescent="0.25">
      <c r="A964" s="39" t="str">
        <f>IF(F964="","",VLOOKUP(F964,Tabelle1[],3))</f>
        <v>RAHOVEC</v>
      </c>
      <c r="B964" s="40" t="str">
        <f>IF(F964="","",VLOOKUP(F964,Tabelle1[],2))</f>
        <v>SHEHU-A</v>
      </c>
      <c r="C964" s="40"/>
      <c r="D964" s="41">
        <v>46120</v>
      </c>
      <c r="E964" s="80"/>
      <c r="F964" s="78">
        <v>20317</v>
      </c>
      <c r="G964" s="43">
        <v>34</v>
      </c>
      <c r="H964" s="38">
        <v>49644</v>
      </c>
      <c r="I964" s="38">
        <v>12</v>
      </c>
      <c r="J964" s="38">
        <v>31903</v>
      </c>
      <c r="K964" s="38">
        <v>4</v>
      </c>
    </row>
    <row r="965" spans="1:17" x14ac:dyDescent="0.25">
      <c r="A965" s="39" t="str">
        <f>IF(F965="","",VLOOKUP(F965,Tabelle1[],3))</f>
        <v>VUSHTRRI</v>
      </c>
      <c r="B965" s="40" t="str">
        <f>IF(F965="","",VLOOKUP(F965,Tabelle1[],2))</f>
        <v>NDRIQIMI</v>
      </c>
      <c r="C965" s="40"/>
      <c r="D965" s="41">
        <v>46121</v>
      </c>
      <c r="E965" s="80"/>
      <c r="F965" s="78">
        <v>10418</v>
      </c>
      <c r="G965" s="43">
        <v>277.2</v>
      </c>
      <c r="H965" s="38">
        <v>35110</v>
      </c>
      <c r="I965" s="38">
        <v>36</v>
      </c>
      <c r="J965" s="38">
        <v>35111</v>
      </c>
      <c r="K965" s="38">
        <v>24</v>
      </c>
      <c r="L965" s="38">
        <v>35128</v>
      </c>
      <c r="M965" s="38">
        <v>12</v>
      </c>
    </row>
    <row r="966" spans="1:17" x14ac:dyDescent="0.25">
      <c r="A966" s="39" t="str">
        <f>IF(F966="","",VLOOKUP(F966,Tabelle1[],3))</f>
        <v>VUSHTRRI</v>
      </c>
      <c r="B966" s="40" t="str">
        <f>IF(F966="","",VLOOKUP(F966,Tabelle1[],2))</f>
        <v>ENISI - H</v>
      </c>
      <c r="C966" s="40"/>
      <c r="D966" s="41">
        <v>46121</v>
      </c>
      <c r="E966" s="80"/>
      <c r="F966" s="78">
        <v>10428</v>
      </c>
      <c r="G966" s="43">
        <v>46.2</v>
      </c>
      <c r="H966" s="38">
        <v>35128</v>
      </c>
      <c r="I966" s="38">
        <v>12</v>
      </c>
    </row>
    <row r="967" spans="1:17" x14ac:dyDescent="0.25">
      <c r="A967" s="39" t="str">
        <f>IF(F967="","",VLOOKUP(F967,Tabelle1[],3))</f>
        <v>MITROVICE</v>
      </c>
      <c r="B967" s="40" t="str">
        <f>IF(F967="","",VLOOKUP(F967,Tabelle1[],2))</f>
        <v>AGRONI</v>
      </c>
      <c r="C967" s="40"/>
      <c r="D967" s="41">
        <v>46121</v>
      </c>
      <c r="E967" s="80"/>
      <c r="F967" s="78">
        <v>10406</v>
      </c>
      <c r="G967" s="43">
        <v>31.9</v>
      </c>
      <c r="H967" s="38">
        <v>55718</v>
      </c>
      <c r="I967" s="38">
        <v>5</v>
      </c>
      <c r="J967" s="38">
        <v>50912</v>
      </c>
      <c r="K967" s="38">
        <v>2</v>
      </c>
    </row>
    <row r="968" spans="1:17" x14ac:dyDescent="0.25">
      <c r="A968" s="39" t="str">
        <f>IF(F968="","",VLOOKUP(F968,Tabelle1[],3))</f>
        <v>MITROVICE</v>
      </c>
      <c r="B968" s="40" t="str">
        <f>IF(F968="","",VLOOKUP(F968,Tabelle1[],2))</f>
        <v>GRANITI</v>
      </c>
      <c r="C968" s="40"/>
      <c r="D968" s="41">
        <v>46121</v>
      </c>
      <c r="E968" s="80"/>
      <c r="F968" s="78">
        <v>10410</v>
      </c>
      <c r="G968" s="43">
        <v>92.4</v>
      </c>
      <c r="H968" s="38">
        <v>35109</v>
      </c>
      <c r="I968" s="38">
        <v>12</v>
      </c>
      <c r="J968" s="38">
        <v>35121</v>
      </c>
      <c r="K968" s="38">
        <v>12</v>
      </c>
    </row>
    <row r="969" spans="1:17" x14ac:dyDescent="0.25">
      <c r="A969" s="39" t="str">
        <f>IF(F969="","",VLOOKUP(F969,Tabelle1[],3))</f>
        <v>MITROVICE</v>
      </c>
      <c r="B969" s="40" t="str">
        <f>IF(F969="","",VLOOKUP(F969,Tabelle1[],2))</f>
        <v>UNIVERZAL</v>
      </c>
      <c r="C969" s="40"/>
      <c r="D969" s="41">
        <v>46121</v>
      </c>
      <c r="E969" s="80"/>
      <c r="F969" s="78">
        <v>10413</v>
      </c>
      <c r="G969" s="43">
        <v>92.4</v>
      </c>
      <c r="H969" s="38">
        <v>35113</v>
      </c>
      <c r="I969" s="38">
        <v>12</v>
      </c>
      <c r="J969" s="38">
        <v>35115</v>
      </c>
      <c r="K969" s="38">
        <v>12</v>
      </c>
    </row>
    <row r="970" spans="1:17" x14ac:dyDescent="0.25">
      <c r="A970" s="39" t="str">
        <f>IF(F970="","",VLOOKUP(F970,Tabelle1[],3))</f>
        <v>MITROVICE</v>
      </c>
      <c r="B970" s="40" t="str">
        <f>IF(F970="","",VLOOKUP(F970,Tabelle1[],2))</f>
        <v>VISARI HH</v>
      </c>
      <c r="C970" s="40"/>
      <c r="D970" s="41">
        <v>46121</v>
      </c>
      <c r="E970" s="80"/>
      <c r="F970" s="78">
        <v>10412</v>
      </c>
      <c r="G970" s="43">
        <v>138.6</v>
      </c>
      <c r="H970" s="38">
        <v>35110</v>
      </c>
      <c r="I970" s="38">
        <v>12</v>
      </c>
      <c r="J970" s="38">
        <v>35112</v>
      </c>
      <c r="K970" s="38">
        <v>12</v>
      </c>
      <c r="L970" s="38">
        <v>35115</v>
      </c>
      <c r="M970" s="38">
        <v>12</v>
      </c>
    </row>
    <row r="971" spans="1:17" x14ac:dyDescent="0.25">
      <c r="A971" s="39" t="str">
        <f>IF(F971="","",VLOOKUP(F971,Tabelle1[],3))</f>
        <v>FERIZAJ</v>
      </c>
      <c r="B971" s="40" t="str">
        <f>IF(F971="","",VLOOKUP(F971,Tabelle1[],2))</f>
        <v>BEKA</v>
      </c>
      <c r="C971" s="40"/>
      <c r="D971" s="41">
        <v>46122</v>
      </c>
      <c r="E971" s="80"/>
      <c r="F971" s="78">
        <v>10539</v>
      </c>
      <c r="G971" s="43">
        <v>46.2</v>
      </c>
      <c r="H971" s="38">
        <v>35111</v>
      </c>
      <c r="I971" s="38">
        <v>12</v>
      </c>
    </row>
    <row r="972" spans="1:17" x14ac:dyDescent="0.25">
      <c r="A972" s="39" t="str">
        <f>IF(F972="","",VLOOKUP(F972,Tabelle1[],3))</f>
        <v>FERIZAJ</v>
      </c>
      <c r="B972" s="40" t="str">
        <f>IF(F972="","",VLOOKUP(F972,Tabelle1[],2))</f>
        <v>LONI</v>
      </c>
      <c r="C972" s="40"/>
      <c r="D972" s="41">
        <v>46122</v>
      </c>
      <c r="E972" s="80"/>
      <c r="F972" s="78">
        <v>10509</v>
      </c>
      <c r="G972" s="43">
        <v>34</v>
      </c>
      <c r="H972" s="38">
        <v>56117</v>
      </c>
      <c r="I972" s="38">
        <v>6</v>
      </c>
      <c r="J972" s="38">
        <v>49644</v>
      </c>
      <c r="K972" s="38">
        <v>5</v>
      </c>
    </row>
    <row r="973" spans="1:17" x14ac:dyDescent="0.25">
      <c r="A973" s="39" t="str">
        <f>IF(F973="","",VLOOKUP(F973,Tabelle1[],3))</f>
        <v>FERIZAJ</v>
      </c>
      <c r="B973" s="40" t="str">
        <f>IF(F973="","",VLOOKUP(F973,Tabelle1[],2))</f>
        <v>CARRALEVA 2</v>
      </c>
      <c r="C973" s="40"/>
      <c r="D973" s="41">
        <v>46122</v>
      </c>
      <c r="E973" s="80"/>
      <c r="F973" s="78">
        <v>10508</v>
      </c>
      <c r="G973" s="43">
        <v>107.4</v>
      </c>
      <c r="H973" s="38">
        <v>51611</v>
      </c>
      <c r="I973" s="38">
        <v>12</v>
      </c>
      <c r="J973" s="38">
        <v>35109</v>
      </c>
      <c r="K973" s="38">
        <v>12</v>
      </c>
      <c r="L973" s="38">
        <v>35121</v>
      </c>
      <c r="M973" s="38">
        <v>12</v>
      </c>
    </row>
    <row r="974" spans="1:17" x14ac:dyDescent="0.25">
      <c r="A974" s="39" t="str">
        <f>IF(F974="","",VLOOKUP(F974,Tabelle1[],3))</f>
        <v>FERIZAJ</v>
      </c>
      <c r="B974" s="40" t="str">
        <f>IF(F974="","",VLOOKUP(F974,Tabelle1[],2))</f>
        <v>ARBERI</v>
      </c>
      <c r="C974" s="40"/>
      <c r="D974" s="41">
        <v>46122</v>
      </c>
      <c r="E974" s="80"/>
      <c r="F974" s="78">
        <v>10506</v>
      </c>
      <c r="G974" s="43">
        <v>46.2</v>
      </c>
      <c r="H974" s="38">
        <v>35112</v>
      </c>
      <c r="I974" s="38">
        <v>12</v>
      </c>
    </row>
    <row r="975" spans="1:17" x14ac:dyDescent="0.25">
      <c r="A975" s="39" t="str">
        <f>IF(F975="","",VLOOKUP(F975,Tabelle1[],3))</f>
        <v>LIPJAN</v>
      </c>
      <c r="B975" s="40" t="str">
        <f>IF(F975="","",VLOOKUP(F975,Tabelle1[],2))</f>
        <v>ZAIMI</v>
      </c>
      <c r="C975" s="40"/>
      <c r="D975" s="41">
        <v>46122</v>
      </c>
      <c r="E975" s="80"/>
      <c r="F975" s="78">
        <v>10547</v>
      </c>
      <c r="G975" s="43">
        <v>92.4</v>
      </c>
      <c r="H975" s="38">
        <v>35109</v>
      </c>
      <c r="I975" s="38">
        <v>12</v>
      </c>
      <c r="J975" s="38">
        <v>35128</v>
      </c>
      <c r="K975" s="38">
        <v>12</v>
      </c>
    </row>
    <row r="976" spans="1:17" x14ac:dyDescent="0.25">
      <c r="A976" s="39" t="str">
        <f>IF(F976="","",VLOOKUP(F976,Tabelle1[],3))</f>
        <v>FERIZAJ</v>
      </c>
      <c r="B976" s="40" t="str">
        <f>IF(F976="","",VLOOKUP(F976,Tabelle1[],2))</f>
        <v>REAL COLOR 2</v>
      </c>
      <c r="C976" s="40"/>
      <c r="D976" s="41">
        <v>46122</v>
      </c>
      <c r="E976" s="80"/>
      <c r="F976" s="78">
        <v>10507</v>
      </c>
      <c r="G976" s="43">
        <v>138.6</v>
      </c>
      <c r="H976" s="38">
        <v>35109</v>
      </c>
      <c r="I976" s="38">
        <v>12</v>
      </c>
      <c r="J976" s="38">
        <v>35113</v>
      </c>
      <c r="K976" s="38">
        <v>12</v>
      </c>
      <c r="L976" s="38">
        <v>35114</v>
      </c>
      <c r="M976" s="38">
        <v>12</v>
      </c>
    </row>
    <row r="977" spans="1:21" x14ac:dyDescent="0.25">
      <c r="A977" s="39" t="str">
        <f>IF(F977="","",VLOOKUP(F977,Tabelle1[],3))</f>
        <v>LIPJAN</v>
      </c>
      <c r="B977" s="40" t="str">
        <f>IF(F977="","",VLOOKUP(F977,Tabelle1[],2))</f>
        <v>ARDI LIPJAN</v>
      </c>
      <c r="C977" s="40"/>
      <c r="D977" s="41">
        <v>46122</v>
      </c>
      <c r="E977" s="80"/>
      <c r="F977" s="78">
        <v>10529</v>
      </c>
      <c r="G977" s="43">
        <v>79.5</v>
      </c>
      <c r="H977" s="38">
        <v>50912</v>
      </c>
      <c r="I977" s="38">
        <v>5</v>
      </c>
      <c r="J977" s="38">
        <v>55718</v>
      </c>
      <c r="K977" s="38">
        <v>6</v>
      </c>
      <c r="L977" s="38">
        <v>16936</v>
      </c>
      <c r="M977" s="38">
        <v>4</v>
      </c>
      <c r="N977" s="38">
        <v>69236</v>
      </c>
      <c r="O977" s="38">
        <v>5</v>
      </c>
    </row>
    <row r="978" spans="1:21" x14ac:dyDescent="0.25">
      <c r="A978" s="39" t="str">
        <f>IF(F978="","",VLOOKUP(F978,Tabelle1[],3))</f>
        <v>FERIZAJ</v>
      </c>
      <c r="B978" s="40" t="str">
        <f>IF(F978="","",VLOOKUP(F978,Tabelle1[],2))</f>
        <v>CARRALEVA 1</v>
      </c>
      <c r="C978" s="40"/>
      <c r="D978" s="41">
        <v>46122</v>
      </c>
      <c r="E978" s="80"/>
      <c r="F978" s="78">
        <v>10504</v>
      </c>
      <c r="G978" s="43">
        <v>46.2</v>
      </c>
      <c r="H978" s="38">
        <v>35109</v>
      </c>
      <c r="I978" s="38">
        <v>12</v>
      </c>
    </row>
    <row r="979" spans="1:21" x14ac:dyDescent="0.25">
      <c r="A979" s="39" t="str">
        <f>IF(F979="","",VLOOKUP(F979,Tabelle1[],3))</f>
        <v>DRENAS</v>
      </c>
      <c r="B979" s="40" t="str">
        <f>IF(F979="","",VLOOKUP(F979,Tabelle1[],2))</f>
        <v>NSM TRADE</v>
      </c>
      <c r="C979" s="40"/>
      <c r="D979" s="41">
        <v>46122</v>
      </c>
      <c r="E979" s="80"/>
      <c r="F979" s="78">
        <v>20427</v>
      </c>
      <c r="G979" s="43">
        <v>60</v>
      </c>
      <c r="H979" s="38">
        <v>56117</v>
      </c>
      <c r="I979" s="38">
        <v>4</v>
      </c>
      <c r="J979" s="38">
        <v>51936</v>
      </c>
      <c r="K979" s="38">
        <v>4</v>
      </c>
      <c r="L979" s="38">
        <v>16936</v>
      </c>
      <c r="M979" s="38">
        <v>4</v>
      </c>
      <c r="N979" s="38">
        <v>50912</v>
      </c>
      <c r="O979" s="38">
        <v>3</v>
      </c>
    </row>
    <row r="980" spans="1:21" x14ac:dyDescent="0.25">
      <c r="A980" s="39" t="str">
        <f>IF(F980="","",VLOOKUP(F980,Tabelle1[],3))</f>
        <v>ISTOG</v>
      </c>
      <c r="B980" s="40" t="str">
        <f>IF(F980="","",VLOOKUP(F980,Tabelle1[],2))</f>
        <v>LIRIDONA KLINE</v>
      </c>
      <c r="C980" s="40"/>
      <c r="D980" s="41">
        <v>46122</v>
      </c>
      <c r="E980" s="80"/>
      <c r="F980" s="78">
        <v>20511</v>
      </c>
      <c r="G980" s="43">
        <v>107.4</v>
      </c>
      <c r="H980" s="38">
        <v>35111</v>
      </c>
      <c r="I980" s="38">
        <v>12</v>
      </c>
      <c r="J980" s="38">
        <v>35121</v>
      </c>
      <c r="K980" s="38">
        <v>12</v>
      </c>
      <c r="L980" s="38">
        <v>51611</v>
      </c>
      <c r="M980" s="38">
        <v>12</v>
      </c>
    </row>
    <row r="981" spans="1:21" x14ac:dyDescent="0.25">
      <c r="A981" s="39" t="str">
        <f>IF(F981="","",VLOOKUP(F981,Tabelle1[],3))</f>
        <v>ISTOG</v>
      </c>
      <c r="B981" s="40" t="str">
        <f>IF(F981="","",VLOOKUP(F981,Tabelle1[],2))</f>
        <v>LIRIDONA HOME</v>
      </c>
      <c r="C981" s="40"/>
      <c r="D981" s="41">
        <v>46122</v>
      </c>
      <c r="E981" s="80"/>
      <c r="F981" s="78">
        <v>20508</v>
      </c>
      <c r="G981" s="43">
        <v>277.2</v>
      </c>
      <c r="H981" s="38">
        <v>35109</v>
      </c>
      <c r="I981" s="38">
        <v>24</v>
      </c>
      <c r="J981" s="38">
        <v>35121</v>
      </c>
      <c r="K981" s="38">
        <v>24</v>
      </c>
      <c r="L981" s="38">
        <v>35110</v>
      </c>
      <c r="M981" s="38">
        <v>12</v>
      </c>
      <c r="N981" s="38">
        <v>35113</v>
      </c>
      <c r="O981" s="38">
        <v>12</v>
      </c>
    </row>
    <row r="982" spans="1:21" x14ac:dyDescent="0.25">
      <c r="A982" s="39" t="str">
        <f>IF(F982="","",VLOOKUP(F982,Tabelle1[],3))</f>
        <v>ISTOG</v>
      </c>
      <c r="B982" s="40" t="str">
        <f>IF(F982="","",VLOOKUP(F982,Tabelle1[],2))</f>
        <v>BERATI A.P. (1)</v>
      </c>
      <c r="C982" s="40"/>
      <c r="D982" s="41">
        <v>46122</v>
      </c>
      <c r="E982" s="80"/>
      <c r="F982" s="78">
        <v>20513</v>
      </c>
      <c r="G982" s="43">
        <v>42.5</v>
      </c>
      <c r="H982" s="38">
        <v>50912</v>
      </c>
      <c r="I982" s="38">
        <v>2</v>
      </c>
      <c r="J982" s="38">
        <v>56117</v>
      </c>
      <c r="K982" s="38">
        <v>4</v>
      </c>
      <c r="L982" s="38">
        <v>44001</v>
      </c>
      <c r="M982" s="38">
        <v>2</v>
      </c>
      <c r="N982" s="38">
        <v>55718</v>
      </c>
      <c r="O982" s="38">
        <v>1</v>
      </c>
    </row>
    <row r="983" spans="1:21" x14ac:dyDescent="0.25">
      <c r="A983" s="39" t="str">
        <f>IF(F983="","",VLOOKUP(F983,Tabelle1[],3))</f>
        <v>ISTOG</v>
      </c>
      <c r="B983" s="40" t="str">
        <f>IF(F983="","",VLOOKUP(F983,Tabelle1[],2))</f>
        <v>LIRIDONA-A</v>
      </c>
      <c r="C983" s="40"/>
      <c r="D983" s="41">
        <v>46122</v>
      </c>
      <c r="E983" s="80"/>
      <c r="F983" s="78">
        <v>20515</v>
      </c>
      <c r="G983" s="43">
        <v>462</v>
      </c>
      <c r="H983" s="38">
        <v>35121</v>
      </c>
      <c r="I983" s="38">
        <v>60</v>
      </c>
      <c r="J983" s="38">
        <v>35113</v>
      </c>
      <c r="K983" s="38">
        <v>12</v>
      </c>
      <c r="L983" s="38">
        <v>66701</v>
      </c>
      <c r="M983" s="38">
        <v>12</v>
      </c>
      <c r="N983" s="38">
        <v>51611</v>
      </c>
      <c r="O983" s="38">
        <v>48</v>
      </c>
      <c r="P983" s="38">
        <v>51621</v>
      </c>
      <c r="Q983" s="38">
        <v>24</v>
      </c>
    </row>
    <row r="984" spans="1:21" x14ac:dyDescent="0.25">
      <c r="A984" s="39" t="str">
        <f>IF(F984="","",VLOOKUP(F984,Tabelle1[],3))</f>
        <v>SKENDERAJ</v>
      </c>
      <c r="B984" s="40" t="str">
        <f>IF(F984="","",VLOOKUP(F984,Tabelle1[],2))</f>
        <v>TE BENI</v>
      </c>
      <c r="C984" s="40"/>
      <c r="D984" s="41">
        <v>46122</v>
      </c>
      <c r="E984" s="80"/>
      <c r="F984" s="78">
        <v>20407</v>
      </c>
      <c r="G984" s="43">
        <v>346.8</v>
      </c>
      <c r="H984" s="38">
        <v>35109</v>
      </c>
      <c r="I984" s="38">
        <v>12</v>
      </c>
      <c r="J984" s="38">
        <v>35110</v>
      </c>
      <c r="K984" s="38">
        <v>12</v>
      </c>
      <c r="L984" s="38">
        <v>35111</v>
      </c>
      <c r="M984" s="38">
        <v>12</v>
      </c>
      <c r="N984" s="38">
        <v>35112</v>
      </c>
      <c r="O984" s="38">
        <v>12</v>
      </c>
      <c r="P984" s="38">
        <v>35113</v>
      </c>
      <c r="Q984" s="38">
        <v>12</v>
      </c>
      <c r="R984" s="38">
        <v>35125</v>
      </c>
      <c r="S984" s="38">
        <v>12</v>
      </c>
      <c r="T984" s="38">
        <v>66701</v>
      </c>
      <c r="U984" s="38">
        <v>12</v>
      </c>
    </row>
    <row r="985" spans="1:21" x14ac:dyDescent="0.25">
      <c r="A985" s="39" t="str">
        <f>IF(F985="","",VLOOKUP(F985,Tabelle1[],3))</f>
        <v>SKENDERAJ</v>
      </c>
      <c r="B985" s="40" t="str">
        <f>IF(F985="","",VLOOKUP(F985,Tabelle1[],2))</f>
        <v>A.P. HOTI</v>
      </c>
      <c r="C985" s="40"/>
      <c r="D985" s="41">
        <v>46122</v>
      </c>
      <c r="E985" s="80"/>
      <c r="F985" s="78">
        <v>20408</v>
      </c>
      <c r="G985" s="43">
        <v>38</v>
      </c>
      <c r="H985" s="38">
        <v>56117</v>
      </c>
      <c r="I985" s="38">
        <v>4</v>
      </c>
      <c r="J985" s="38">
        <v>44001</v>
      </c>
      <c r="K985" s="38">
        <v>4</v>
      </c>
      <c r="L985" s="38">
        <v>31880</v>
      </c>
      <c r="M985" s="38">
        <v>2</v>
      </c>
    </row>
    <row r="986" spans="1:21" x14ac:dyDescent="0.25">
      <c r="A986" s="39" t="str">
        <f>IF(F986="","",VLOOKUP(F986,Tabelle1[],3))</f>
        <v>SKENDERAJ</v>
      </c>
      <c r="B986" s="40" t="str">
        <f>IF(F986="","",VLOOKUP(F986,Tabelle1[],2))</f>
        <v>MEGI</v>
      </c>
      <c r="C986" s="40"/>
      <c r="D986" s="41">
        <v>46122</v>
      </c>
      <c r="E986" s="80"/>
      <c r="F986" s="78">
        <v>20406</v>
      </c>
      <c r="G986" s="43">
        <v>86.4</v>
      </c>
      <c r="H986" s="38">
        <v>50912</v>
      </c>
      <c r="I986" s="38">
        <v>12</v>
      </c>
    </row>
    <row r="987" spans="1:21" x14ac:dyDescent="0.25">
      <c r="A987" s="39" t="str">
        <f>IF(F987="","",VLOOKUP(F987,Tabelle1[],3))</f>
        <v>DRENAS</v>
      </c>
      <c r="B987" s="40" t="str">
        <f>IF(F987="","",VLOOKUP(F987,Tabelle1[],2))</f>
        <v>BESI</v>
      </c>
      <c r="C987" s="40"/>
      <c r="D987" s="41">
        <v>46122</v>
      </c>
      <c r="E987" s="80"/>
      <c r="F987" s="78">
        <v>20405</v>
      </c>
      <c r="G987" s="43">
        <v>138.6</v>
      </c>
      <c r="H987" s="38">
        <v>35109</v>
      </c>
      <c r="I987" s="38">
        <v>12</v>
      </c>
      <c r="J987" s="38">
        <v>35112</v>
      </c>
      <c r="K987" s="38">
        <v>12</v>
      </c>
      <c r="L987" s="38">
        <v>35111</v>
      </c>
      <c r="M987" s="38">
        <v>12</v>
      </c>
    </row>
    <row r="988" spans="1:21" x14ac:dyDescent="0.25">
      <c r="A988" s="39" t="str">
        <f>IF(F988="","",VLOOKUP(F988,Tabelle1[],3))</f>
        <v>PODUJEVE</v>
      </c>
      <c r="B988" s="40" t="str">
        <f>IF(F988="","",VLOOKUP(F988,Tabelle1[],2))</f>
        <v>TE ZENA</v>
      </c>
      <c r="C988" s="40"/>
      <c r="D988" s="41">
        <v>46123</v>
      </c>
      <c r="E988" s="80"/>
      <c r="F988" s="78">
        <v>10616</v>
      </c>
      <c r="G988" s="43">
        <v>92.4</v>
      </c>
      <c r="H988" s="38">
        <v>35128</v>
      </c>
      <c r="I988" s="38">
        <v>12</v>
      </c>
      <c r="J988" s="38">
        <v>35109</v>
      </c>
      <c r="K988" s="38">
        <v>12</v>
      </c>
    </row>
    <row r="989" spans="1:21" x14ac:dyDescent="0.25">
      <c r="A989" s="39" t="str">
        <f>IF(F989="","",VLOOKUP(F989,Tabelle1[],3))</f>
        <v>PODUJEVE</v>
      </c>
      <c r="B989" s="40" t="str">
        <f>IF(F989="","",VLOOKUP(F989,Tabelle1[],2))</f>
        <v>KUJTA</v>
      </c>
      <c r="C989" s="40"/>
      <c r="D989" s="41">
        <v>46123</v>
      </c>
      <c r="E989" s="80"/>
      <c r="F989" s="78">
        <v>10625</v>
      </c>
      <c r="G989" s="43">
        <v>92.4</v>
      </c>
      <c r="H989" s="38">
        <v>35121</v>
      </c>
      <c r="I989" s="38">
        <v>12</v>
      </c>
      <c r="J989" s="38">
        <v>35113</v>
      </c>
      <c r="K989" s="38">
        <v>12</v>
      </c>
    </row>
    <row r="990" spans="1:21" x14ac:dyDescent="0.25">
      <c r="A990" s="39" t="str">
        <f>IF(F990="","",VLOOKUP(F990,Tabelle1[],3))</f>
        <v>PODUJEVE</v>
      </c>
      <c r="B990" s="40" t="str">
        <f>IF(F990="","",VLOOKUP(F990,Tabelle1[],2))</f>
        <v>HOXHA</v>
      </c>
      <c r="C990" s="40"/>
      <c r="D990" s="41">
        <v>46123</v>
      </c>
      <c r="E990" s="80"/>
      <c r="F990" s="78">
        <v>10622</v>
      </c>
      <c r="G990" s="43">
        <v>25</v>
      </c>
      <c r="H990" s="38">
        <v>54412</v>
      </c>
      <c r="I990" s="38">
        <v>6</v>
      </c>
      <c r="J990" s="38">
        <v>26736</v>
      </c>
      <c r="K990" s="38">
        <v>2</v>
      </c>
      <c r="L990" s="38">
        <v>49644</v>
      </c>
      <c r="M990" s="38">
        <v>4</v>
      </c>
    </row>
    <row r="991" spans="1:21" x14ac:dyDescent="0.25">
      <c r="A991" s="39" t="str">
        <f>IF(F991="","",VLOOKUP(F991,Tabelle1[],3))</f>
        <v>PODUJEVE</v>
      </c>
      <c r="B991" s="40" t="str">
        <f>IF(F991="","",VLOOKUP(F991,Tabelle1[],2))</f>
        <v>ALBANI</v>
      </c>
      <c r="C991" s="40"/>
      <c r="D991" s="41">
        <v>46123</v>
      </c>
      <c r="E991" s="80"/>
      <c r="F991" s="78">
        <v>10636</v>
      </c>
      <c r="G991" s="43">
        <v>184.8</v>
      </c>
      <c r="H991" s="38">
        <v>35110</v>
      </c>
      <c r="I991" s="38">
        <v>24</v>
      </c>
      <c r="J991" s="38">
        <v>35111</v>
      </c>
      <c r="K991" s="38">
        <v>24</v>
      </c>
    </row>
    <row r="992" spans="1:21" x14ac:dyDescent="0.25">
      <c r="A992" s="39" t="str">
        <f>IF(F992="","",VLOOKUP(F992,Tabelle1[],3))</f>
        <v>GADIME</v>
      </c>
      <c r="B992" s="40" t="str">
        <f>IF(F992="","",VLOOKUP(F992,Tabelle1[],2))</f>
        <v>MIX-B</v>
      </c>
      <c r="C992" s="40"/>
      <c r="D992" s="41">
        <v>46123</v>
      </c>
      <c r="E992" s="80"/>
      <c r="F992" s="78">
        <v>20615</v>
      </c>
      <c r="G992" s="43">
        <v>184.8</v>
      </c>
      <c r="H992" s="38">
        <v>35109</v>
      </c>
      <c r="I992" s="38">
        <v>12</v>
      </c>
      <c r="J992" s="38">
        <v>35121</v>
      </c>
      <c r="K992" s="38">
        <v>12</v>
      </c>
      <c r="L992" s="38">
        <v>35115</v>
      </c>
      <c r="M992" s="38">
        <v>12</v>
      </c>
      <c r="N992" s="38">
        <v>35111</v>
      </c>
      <c r="O992" s="38">
        <v>12</v>
      </c>
    </row>
    <row r="993" spans="1:19" x14ac:dyDescent="0.25">
      <c r="A993" s="39" t="str">
        <f>IF(F993="","",VLOOKUP(F993,Tabelle1[],3))</f>
        <v>FERIZAJ</v>
      </c>
      <c r="B993" s="40" t="str">
        <f>IF(F993="","",VLOOKUP(F993,Tabelle1[],2))</f>
        <v>DIVA QERAMIKA</v>
      </c>
      <c r="C993" s="40"/>
      <c r="D993" s="41">
        <v>46123</v>
      </c>
      <c r="E993" s="80"/>
      <c r="F993" s="78">
        <v>20628</v>
      </c>
      <c r="G993" s="43">
        <v>135</v>
      </c>
      <c r="H993" s="38">
        <v>35110</v>
      </c>
      <c r="I993" s="38">
        <v>12</v>
      </c>
      <c r="J993" s="38">
        <v>35121</v>
      </c>
      <c r="K993" s="38">
        <v>12</v>
      </c>
      <c r="L993" s="38">
        <v>51611</v>
      </c>
      <c r="M993" s="38">
        <v>12</v>
      </c>
      <c r="N993" s="38">
        <v>51612</v>
      </c>
      <c r="O993" s="38">
        <v>12</v>
      </c>
    </row>
    <row r="994" spans="1:19" x14ac:dyDescent="0.25">
      <c r="A994" s="39" t="str">
        <f>IF(F994="","",VLOOKUP(F994,Tabelle1[],3))</f>
        <v>FERIZAJ</v>
      </c>
      <c r="B994" s="40" t="str">
        <f>IF(F994="","",VLOOKUP(F994,Tabelle1[],2))</f>
        <v>UNIKA</v>
      </c>
      <c r="C994" s="40"/>
      <c r="D994" s="41">
        <v>46123</v>
      </c>
      <c r="E994" s="80"/>
      <c r="F994" s="78">
        <v>20627</v>
      </c>
      <c r="G994" s="43">
        <v>92.4</v>
      </c>
      <c r="H994" s="38">
        <v>35110</v>
      </c>
      <c r="I994" s="38">
        <v>24</v>
      </c>
    </row>
    <row r="995" spans="1:19" x14ac:dyDescent="0.25">
      <c r="A995" s="39" t="str">
        <f>IF(F995="","",VLOOKUP(F995,Tabelle1[],3))</f>
        <v>FERIZAJ</v>
      </c>
      <c r="B995" s="40" t="str">
        <f>IF(F995="","",VLOOKUP(F995,Tabelle1[],2))</f>
        <v>ALFA-QERAMIKA</v>
      </c>
      <c r="C995" s="40"/>
      <c r="D995" s="41">
        <v>46123</v>
      </c>
      <c r="E995" s="80"/>
      <c r="F995" s="78">
        <v>20604</v>
      </c>
      <c r="G995" s="43">
        <v>138.6</v>
      </c>
      <c r="H995" s="38">
        <v>35121</v>
      </c>
      <c r="I995" s="38">
        <v>24</v>
      </c>
      <c r="J995" s="38">
        <v>35110</v>
      </c>
      <c r="K995" s="38">
        <v>12</v>
      </c>
    </row>
    <row r="996" spans="1:19" x14ac:dyDescent="0.25">
      <c r="A996" s="39" t="str">
        <f>IF(F996="","",VLOOKUP(F996,Tabelle1[],3))</f>
        <v>GREME</v>
      </c>
      <c r="B996" s="40" t="str">
        <f>IF(F996="","",VLOOKUP(F996,Tabelle1[],2))</f>
        <v>AGRO-XHETI</v>
      </c>
      <c r="C996" s="40"/>
      <c r="D996" s="41">
        <v>46123</v>
      </c>
      <c r="E996" s="80"/>
      <c r="F996" s="78">
        <v>20610</v>
      </c>
      <c r="G996" s="43">
        <v>231</v>
      </c>
      <c r="H996" s="38">
        <v>35113</v>
      </c>
      <c r="I996" s="38">
        <v>24</v>
      </c>
      <c r="J996" s="38">
        <v>35128</v>
      </c>
      <c r="K996" s="38">
        <v>12</v>
      </c>
      <c r="L996" s="38">
        <v>35125</v>
      </c>
      <c r="M996" s="38">
        <v>12</v>
      </c>
      <c r="N996" s="38">
        <v>35112</v>
      </c>
      <c r="O996" s="38">
        <v>12</v>
      </c>
    </row>
    <row r="997" spans="1:19" x14ac:dyDescent="0.25">
      <c r="A997" s="39" t="str">
        <f>IF(F997="","",VLOOKUP(F997,Tabelle1[],3))</f>
        <v>FERIZAJ</v>
      </c>
      <c r="B997" s="40" t="str">
        <f>IF(F997="","",VLOOKUP(F997,Tabelle1[],2))</f>
        <v>PROMOIN</v>
      </c>
      <c r="C997" s="40"/>
      <c r="D997" s="41">
        <v>46123</v>
      </c>
      <c r="E997" s="80"/>
      <c r="F997" s="78">
        <v>20603</v>
      </c>
      <c r="G997" s="43">
        <v>187.1</v>
      </c>
      <c r="H997" s="38">
        <v>35115</v>
      </c>
      <c r="I997" s="38">
        <v>12</v>
      </c>
      <c r="J997" s="38">
        <v>35112</v>
      </c>
      <c r="K997" s="38">
        <v>12</v>
      </c>
      <c r="L997" s="38">
        <v>35121</v>
      </c>
      <c r="M997" s="38">
        <v>12</v>
      </c>
      <c r="N997" s="38">
        <v>16936</v>
      </c>
      <c r="O997" s="38">
        <v>5</v>
      </c>
      <c r="P997" s="38">
        <v>50912</v>
      </c>
      <c r="Q997" s="38">
        <v>5</v>
      </c>
    </row>
    <row r="998" spans="1:19" x14ac:dyDescent="0.25">
      <c r="A998" s="39" t="str">
        <f>IF(F998="","",VLOOKUP(F998,Tabelle1[],3))</f>
        <v>KAQANIK</v>
      </c>
      <c r="B998" s="40" t="str">
        <f>IF(F998="","",VLOOKUP(F998,Tabelle1[],2))</f>
        <v>TE-LUTA</v>
      </c>
      <c r="C998" s="40"/>
      <c r="D998" s="41">
        <v>46123</v>
      </c>
      <c r="E998" s="80"/>
      <c r="F998" s="78">
        <v>20611</v>
      </c>
      <c r="G998" s="43">
        <v>329.5</v>
      </c>
      <c r="H998" s="38">
        <v>35109</v>
      </c>
      <c r="I998" s="38">
        <v>36</v>
      </c>
      <c r="J998" s="38">
        <v>35128</v>
      </c>
      <c r="K998" s="38">
        <v>12</v>
      </c>
      <c r="L998" s="38">
        <v>35110</v>
      </c>
      <c r="M998" s="38">
        <v>12</v>
      </c>
      <c r="N998" s="38">
        <v>35111</v>
      </c>
      <c r="O998" s="38">
        <v>12</v>
      </c>
      <c r="P998" s="38">
        <v>66701</v>
      </c>
      <c r="Q998" s="38">
        <v>6</v>
      </c>
      <c r="R998" s="38">
        <v>44001</v>
      </c>
      <c r="S998" s="38">
        <v>5</v>
      </c>
    </row>
    <row r="999" spans="1:19" x14ac:dyDescent="0.25">
      <c r="A999" s="39" t="str">
        <f>IF(F999="","",VLOOKUP(F999,Tabelle1[],3))</f>
        <v>FERIZAJ</v>
      </c>
      <c r="B999" s="40" t="str">
        <f>IF(F999="","",VLOOKUP(F999,Tabelle1[],2))</f>
        <v>LONI</v>
      </c>
      <c r="C999" s="40"/>
      <c r="D999" s="41">
        <v>46123</v>
      </c>
      <c r="E999" s="80"/>
      <c r="F999" s="78">
        <v>20608</v>
      </c>
      <c r="G999" s="43">
        <v>92.4</v>
      </c>
      <c r="H999" s="38">
        <v>35115</v>
      </c>
      <c r="I999" s="38">
        <v>12</v>
      </c>
      <c r="J999" s="38">
        <v>35121</v>
      </c>
      <c r="K999" s="38">
        <v>12</v>
      </c>
    </row>
    <row r="1000" spans="1:19" x14ac:dyDescent="0.25">
      <c r="A1000" s="39" t="str">
        <f>IF(F1000="","",VLOOKUP(F1000,Tabelle1[],3))</f>
        <v>GERLIC</v>
      </c>
      <c r="B1000" s="40" t="str">
        <f>IF(F1000="","",VLOOKUP(F1000,Tabelle1[],2))</f>
        <v>TE-SYLA</v>
      </c>
      <c r="C1000" s="40"/>
      <c r="D1000" s="41">
        <v>46123</v>
      </c>
      <c r="E1000" s="80"/>
      <c r="F1000" s="78">
        <v>20606</v>
      </c>
      <c r="G1000" s="43">
        <v>127.9</v>
      </c>
      <c r="H1000" s="38">
        <v>35108</v>
      </c>
      <c r="I1000" s="38">
        <v>12</v>
      </c>
      <c r="J1000" s="38">
        <v>35111</v>
      </c>
      <c r="K1000" s="38">
        <v>12</v>
      </c>
      <c r="L1000" s="38">
        <v>49644</v>
      </c>
      <c r="M1000" s="38">
        <v>5</v>
      </c>
      <c r="N1000" s="38">
        <v>16936</v>
      </c>
      <c r="O1000" s="38">
        <v>5</v>
      </c>
      <c r="P1000" s="38">
        <v>39505</v>
      </c>
      <c r="Q1000" s="38">
        <v>2</v>
      </c>
      <c r="R1000" s="38">
        <v>44001</v>
      </c>
      <c r="S1000" s="38">
        <v>2</v>
      </c>
    </row>
    <row r="1001" spans="1:19" x14ac:dyDescent="0.25">
      <c r="A1001" s="39" t="str">
        <f>IF(F1001="","",VLOOKUP(F1001,Tabelle1[],3))</f>
        <v>FERIZAJ</v>
      </c>
      <c r="B1001" s="40" t="str">
        <f>IF(F1001="","",VLOOKUP(F1001,Tabelle1[],2))</f>
        <v>BULONI - SH</v>
      </c>
      <c r="C1001" s="40"/>
      <c r="D1001" s="41">
        <v>46123</v>
      </c>
      <c r="E1001" s="80"/>
      <c r="F1001" s="78">
        <v>20624</v>
      </c>
      <c r="G1001" s="43">
        <v>92.4</v>
      </c>
      <c r="H1001" s="38">
        <v>35111</v>
      </c>
      <c r="I1001" s="38">
        <v>12</v>
      </c>
      <c r="J1001" s="38">
        <v>35128</v>
      </c>
      <c r="K1001" s="38">
        <v>12</v>
      </c>
    </row>
    <row r="1002" spans="1:19" x14ac:dyDescent="0.25">
      <c r="A1002" s="39" t="str">
        <f>IF(F1002="","",VLOOKUP(F1002,Tabelle1[],3))</f>
        <v>GADIME</v>
      </c>
      <c r="B1002" s="40" t="str">
        <f>IF(F1002="","",VLOOKUP(F1002,Tabelle1[],2))</f>
        <v>ILIRI QERAMIKA</v>
      </c>
      <c r="C1002" s="40"/>
      <c r="D1002" s="41">
        <v>46123</v>
      </c>
      <c r="E1002" s="80"/>
      <c r="F1002" s="78">
        <v>20622</v>
      </c>
      <c r="G1002" s="43">
        <v>120</v>
      </c>
      <c r="H1002" s="38">
        <v>35112</v>
      </c>
      <c r="I1002" s="38">
        <v>12</v>
      </c>
      <c r="J1002" s="38">
        <v>35115</v>
      </c>
      <c r="K1002" s="38">
        <v>12</v>
      </c>
      <c r="L1002" s="38">
        <v>51612</v>
      </c>
      <c r="M1002" s="38">
        <v>12</v>
      </c>
    </row>
    <row r="1003" spans="1:19" x14ac:dyDescent="0.25">
      <c r="A1003" s="39" t="str">
        <f>IF(F1003="","",VLOOKUP(F1003,Tabelle1[],3))</f>
        <v>PRISHTINE</v>
      </c>
      <c r="B1003" s="40" t="str">
        <f>IF(F1003="","",VLOOKUP(F1003,Tabelle1[],2))</f>
        <v>BESI COM</v>
      </c>
      <c r="C1003" s="40"/>
      <c r="D1003" s="41">
        <v>46125</v>
      </c>
      <c r="E1003" s="80"/>
      <c r="F1003" s="78">
        <v>10103</v>
      </c>
      <c r="G1003" s="43">
        <v>29</v>
      </c>
      <c r="H1003" s="38">
        <v>44001</v>
      </c>
      <c r="I1003" s="38">
        <v>6</v>
      </c>
      <c r="J1003" s="38">
        <v>56117</v>
      </c>
      <c r="K1003" s="38">
        <v>2</v>
      </c>
    </row>
    <row r="1004" spans="1:19" x14ac:dyDescent="0.25">
      <c r="A1004" s="39" t="str">
        <f>IF(F1004="","",VLOOKUP(F1004,Tabelle1[],3))</f>
        <v>PRISHTINE</v>
      </c>
      <c r="B1004" s="40" t="str">
        <f>IF(F1004="","",VLOOKUP(F1004,Tabelle1[],2))</f>
        <v>KADIJOLLET</v>
      </c>
      <c r="C1004" s="40"/>
      <c r="D1004" s="41">
        <v>46125</v>
      </c>
      <c r="E1004" s="80"/>
      <c r="F1004" s="78">
        <v>10111</v>
      </c>
      <c r="G1004" s="43">
        <v>118.4</v>
      </c>
      <c r="H1004" s="38">
        <v>35110</v>
      </c>
      <c r="I1004" s="38">
        <v>12</v>
      </c>
      <c r="J1004" s="38">
        <v>35125</v>
      </c>
      <c r="K1004" s="38">
        <v>12</v>
      </c>
      <c r="L1004" s="38">
        <v>49644</v>
      </c>
      <c r="M1004" s="38">
        <v>3</v>
      </c>
      <c r="N1004" s="38">
        <v>54412</v>
      </c>
      <c r="O1004" s="38">
        <v>3</v>
      </c>
      <c r="P1004" s="38">
        <v>55718</v>
      </c>
      <c r="Q1004" s="38">
        <v>4</v>
      </c>
    </row>
    <row r="1005" spans="1:19" x14ac:dyDescent="0.25">
      <c r="A1005" s="39" t="str">
        <f>IF(F1005="","",VLOOKUP(F1005,Tabelle1[],3))</f>
        <v>PRISHTINE</v>
      </c>
      <c r="B1005" s="40" t="str">
        <f>IF(F1005="","",VLOOKUP(F1005,Tabelle1[],2))</f>
        <v>ARSIM</v>
      </c>
      <c r="C1005" s="40"/>
      <c r="D1005" s="41">
        <v>46125</v>
      </c>
      <c r="E1005" s="80"/>
      <c r="F1005" s="78">
        <v>10105</v>
      </c>
      <c r="G1005" s="43">
        <v>92.4</v>
      </c>
      <c r="H1005" s="38">
        <v>35111</v>
      </c>
      <c r="I1005" s="38">
        <v>12</v>
      </c>
      <c r="J1005" s="38">
        <v>35115</v>
      </c>
      <c r="K1005" s="38">
        <v>12</v>
      </c>
    </row>
    <row r="1006" spans="1:19" x14ac:dyDescent="0.25">
      <c r="A1006" s="39" t="str">
        <f>IF(F1006="","",VLOOKUP(F1006,Tabelle1[],3))</f>
        <v>LIPJAN</v>
      </c>
      <c r="B1006" s="40" t="str">
        <f>IF(F1006="","",VLOOKUP(F1006,Tabelle1[],2))</f>
        <v>ARDI LIPJAN</v>
      </c>
      <c r="C1006" s="40"/>
      <c r="D1006" s="41">
        <v>46125</v>
      </c>
      <c r="E1006" s="80"/>
      <c r="F1006" s="78">
        <v>10529</v>
      </c>
      <c r="G1006" s="43">
        <v>72</v>
      </c>
      <c r="H1006" s="38">
        <v>26736</v>
      </c>
      <c r="I1006" s="38">
        <v>12</v>
      </c>
      <c r="J1006" s="38">
        <v>56117</v>
      </c>
      <c r="K1006" s="38">
        <v>12</v>
      </c>
    </row>
    <row r="1007" spans="1:19" x14ac:dyDescent="0.25">
      <c r="A1007" s="39" t="str">
        <f>IF(F1007="","",VLOOKUP(F1007,Tabelle1[],3))</f>
        <v>BARDHOSH</v>
      </c>
      <c r="B1007" s="40" t="str">
        <f>IF(F1007="","",VLOOKUP(F1007,Tabelle1[],2))</f>
        <v>QELA</v>
      </c>
      <c r="C1007" s="40"/>
      <c r="D1007" s="41">
        <v>46125</v>
      </c>
      <c r="E1007" s="80"/>
      <c r="F1007" s="78">
        <v>10114</v>
      </c>
      <c r="G1007" s="43">
        <v>92.4</v>
      </c>
      <c r="H1007" s="38">
        <v>35112</v>
      </c>
      <c r="I1007" s="38">
        <v>12</v>
      </c>
      <c r="J1007" s="38">
        <v>35114</v>
      </c>
      <c r="K1007" s="38">
        <v>12</v>
      </c>
    </row>
    <row r="1008" spans="1:19" x14ac:dyDescent="0.25">
      <c r="A1008" s="39" t="str">
        <f>IF(F1008="","",VLOOKUP(F1008,Tabelle1[],3))</f>
        <v>Rruga B</v>
      </c>
      <c r="B1008" s="40" t="str">
        <f>IF(F1008="","",VLOOKUP(F1008,Tabelle1[],2))</f>
        <v>BAU MIX FATONI</v>
      </c>
      <c r="C1008" s="40"/>
      <c r="D1008" s="41">
        <v>46125</v>
      </c>
      <c r="E1008" s="80"/>
      <c r="F1008" s="78">
        <v>40024</v>
      </c>
      <c r="G1008" s="43">
        <v>46.2</v>
      </c>
      <c r="H1008" s="38">
        <v>35128</v>
      </c>
      <c r="I1008" s="38">
        <v>12</v>
      </c>
    </row>
    <row r="1009" spans="1:21" x14ac:dyDescent="0.25">
      <c r="A1009" s="39" t="str">
        <f>IF(F1009="","",VLOOKUP(F1009,Tabelle1[],3))</f>
        <v>PEJE</v>
      </c>
      <c r="B1009" s="40" t="str">
        <f>IF(F1009="","",VLOOKUP(F1009,Tabelle1[],2))</f>
        <v>KENA COMERC</v>
      </c>
      <c r="C1009" s="40"/>
      <c r="D1009" s="41">
        <v>46125</v>
      </c>
      <c r="E1009" s="80"/>
      <c r="F1009" s="78">
        <v>20109</v>
      </c>
      <c r="G1009" s="43">
        <v>184.8</v>
      </c>
      <c r="H1009" s="38">
        <v>35110</v>
      </c>
      <c r="I1009" s="38">
        <v>12</v>
      </c>
      <c r="J1009" s="38">
        <v>35111</v>
      </c>
      <c r="K1009" s="38">
        <v>12</v>
      </c>
      <c r="L1009" s="38">
        <v>35125</v>
      </c>
      <c r="M1009" s="38">
        <v>12</v>
      </c>
      <c r="N1009" s="38">
        <v>35128</v>
      </c>
      <c r="O1009" s="38">
        <v>12</v>
      </c>
    </row>
    <row r="1010" spans="1:21" x14ac:dyDescent="0.25">
      <c r="A1010" s="39" t="str">
        <f>IF(F1010="","",VLOOKUP(F1010,Tabelle1[],3))</f>
        <v>PEJE</v>
      </c>
      <c r="B1010" s="40" t="str">
        <f>IF(F1010="","",VLOOKUP(F1010,Tabelle1[],2))</f>
        <v>TE GZIMI</v>
      </c>
      <c r="C1010" s="40"/>
      <c r="D1010" s="41">
        <v>46125</v>
      </c>
      <c r="E1010" s="80"/>
      <c r="F1010" s="78">
        <v>20101</v>
      </c>
      <c r="G1010" s="43">
        <v>60.2</v>
      </c>
      <c r="H1010" s="38">
        <v>50912</v>
      </c>
      <c r="I1010" s="38">
        <v>6</v>
      </c>
      <c r="J1010" s="38">
        <v>49644</v>
      </c>
      <c r="K1010" s="38">
        <v>3</v>
      </c>
      <c r="L1010" s="38">
        <v>54412</v>
      </c>
      <c r="M1010" s="38">
        <v>2</v>
      </c>
      <c r="N1010" s="38">
        <v>44001</v>
      </c>
      <c r="O1010" s="38">
        <v>2</v>
      </c>
    </row>
    <row r="1011" spans="1:21" x14ac:dyDescent="0.25">
      <c r="A1011" s="39" t="str">
        <f>IF(F1011="","",VLOOKUP(F1011,Tabelle1[],3))</f>
        <v>PEJE</v>
      </c>
      <c r="B1011" s="40" t="str">
        <f>IF(F1011="","",VLOOKUP(F1011,Tabelle1[],2))</f>
        <v>TERMO PROJEKT</v>
      </c>
      <c r="C1011" s="40"/>
      <c r="D1011" s="41">
        <v>46125</v>
      </c>
      <c r="E1011" s="80"/>
      <c r="F1011" s="78">
        <v>20127</v>
      </c>
      <c r="G1011" s="43">
        <v>92.4</v>
      </c>
      <c r="H1011" s="38">
        <v>35121</v>
      </c>
      <c r="I1011" s="38">
        <v>24</v>
      </c>
    </row>
    <row r="1012" spans="1:21" x14ac:dyDescent="0.25">
      <c r="A1012" s="39" t="str">
        <f>IF(F1012="","",VLOOKUP(F1012,Tabelle1[],3))</f>
        <v>PEJE</v>
      </c>
      <c r="B1012" s="40" t="str">
        <f>IF(F1012="","",VLOOKUP(F1012,Tabelle1[],2))</f>
        <v>LULI-C</v>
      </c>
      <c r="C1012" s="40"/>
      <c r="D1012" s="41">
        <v>46125</v>
      </c>
      <c r="E1012" s="80"/>
      <c r="F1012" s="78">
        <v>20126</v>
      </c>
      <c r="G1012" s="43">
        <v>107.4</v>
      </c>
      <c r="H1012" s="38">
        <v>35108</v>
      </c>
      <c r="I1012" s="38">
        <v>12</v>
      </c>
      <c r="J1012" s="38">
        <v>35109</v>
      </c>
      <c r="K1012" s="38">
        <v>12</v>
      </c>
      <c r="L1012" s="38">
        <v>51611</v>
      </c>
      <c r="M1012" s="38">
        <v>12</v>
      </c>
    </row>
    <row r="1013" spans="1:21" x14ac:dyDescent="0.25">
      <c r="A1013" s="39" t="str">
        <f>IF(F1013="","",VLOOKUP(F1013,Tabelle1[],3))</f>
        <v>PEJE</v>
      </c>
      <c r="B1013" s="40" t="str">
        <f>IF(F1013="","",VLOOKUP(F1013,Tabelle1[],2))</f>
        <v>CAMA BAU</v>
      </c>
      <c r="C1013" s="40"/>
      <c r="D1013" s="41">
        <v>46125</v>
      </c>
      <c r="E1013" s="80"/>
      <c r="F1013" s="78">
        <v>20121</v>
      </c>
      <c r="G1013" s="43">
        <v>138.6</v>
      </c>
      <c r="H1013" s="38">
        <v>35110</v>
      </c>
      <c r="I1013" s="38">
        <v>12</v>
      </c>
      <c r="J1013" s="38">
        <v>35111</v>
      </c>
      <c r="K1013" s="38">
        <v>12</v>
      </c>
      <c r="L1013" s="38">
        <v>35128</v>
      </c>
      <c r="M1013" s="38">
        <v>12</v>
      </c>
    </row>
    <row r="1014" spans="1:21" x14ac:dyDescent="0.25">
      <c r="A1014" s="39" t="str">
        <f>IF(F1014="","",VLOOKUP(F1014,Tabelle1[],3))</f>
        <v>PEJE</v>
      </c>
      <c r="B1014" s="40" t="str">
        <f>IF(F1014="","",VLOOKUP(F1014,Tabelle1[],2))</f>
        <v>ING PROJEKT</v>
      </c>
      <c r="C1014" s="40"/>
      <c r="D1014" s="41">
        <v>46125</v>
      </c>
      <c r="E1014" s="80"/>
      <c r="F1014" s="78">
        <v>20108</v>
      </c>
      <c r="G1014" s="43">
        <v>92.4</v>
      </c>
      <c r="H1014" s="38">
        <v>35112</v>
      </c>
      <c r="I1014" s="38">
        <v>24</v>
      </c>
      <c r="J1014" s="38">
        <v>35114</v>
      </c>
      <c r="K1014" s="38">
        <v>24</v>
      </c>
    </row>
    <row r="1015" spans="1:21" x14ac:dyDescent="0.25">
      <c r="A1015" s="39" t="str">
        <f>IF(F1015="","",VLOOKUP(F1015,Tabelle1[],3))</f>
        <v>PEJE</v>
      </c>
      <c r="B1015" s="40" t="str">
        <f>IF(F1015="","",VLOOKUP(F1015,Tabelle1[],2))</f>
        <v>KTHIMI</v>
      </c>
      <c r="C1015" s="40"/>
      <c r="D1015" s="41">
        <v>46125</v>
      </c>
      <c r="E1015" s="80"/>
      <c r="F1015" s="78">
        <v>20104</v>
      </c>
      <c r="G1015" s="43">
        <v>99.4</v>
      </c>
      <c r="H1015" s="38">
        <v>35121</v>
      </c>
      <c r="I1015" s="38">
        <v>12</v>
      </c>
      <c r="J1015" s="38">
        <v>35128</v>
      </c>
      <c r="K1015" s="38">
        <v>12</v>
      </c>
      <c r="L1015" s="38">
        <v>55718</v>
      </c>
      <c r="M1015" s="38">
        <v>2</v>
      </c>
    </row>
    <row r="1016" spans="1:21" x14ac:dyDescent="0.25">
      <c r="A1016" s="39" t="str">
        <f>IF(F1016="","",VLOOKUP(F1016,Tabelle1[],3))</f>
        <v>PRIZREN</v>
      </c>
      <c r="B1016" s="40" t="str">
        <f>IF(F1016="","",VLOOKUP(F1016,Tabelle1[],2))</f>
        <v>ARSIMI</v>
      </c>
      <c r="C1016" s="40"/>
      <c r="D1016" s="41">
        <v>46126</v>
      </c>
      <c r="E1016" s="80"/>
      <c r="F1016" s="78">
        <v>10261</v>
      </c>
      <c r="G1016" s="43">
        <v>924</v>
      </c>
      <c r="H1016" s="38">
        <v>35109</v>
      </c>
      <c r="I1016" s="38">
        <v>240</v>
      </c>
    </row>
    <row r="1017" spans="1:21" x14ac:dyDescent="0.25">
      <c r="A1017" s="39" t="str">
        <f>IF(F1017="","",VLOOKUP(F1017,Tabelle1[],3))</f>
        <v>PRIZREN</v>
      </c>
      <c r="B1017" s="40" t="str">
        <f>IF(F1017="","",VLOOKUP(F1017,Tabelle1[],2))</f>
        <v>MONI 2</v>
      </c>
      <c r="C1017" s="40"/>
      <c r="D1017" s="41">
        <v>46126</v>
      </c>
      <c r="E1017" s="80"/>
      <c r="F1017" s="78">
        <v>10210</v>
      </c>
      <c r="G1017" s="43">
        <v>92.4</v>
      </c>
      <c r="H1017" s="38">
        <v>35115</v>
      </c>
      <c r="I1017" s="38">
        <v>12</v>
      </c>
      <c r="J1017" s="38">
        <v>35121</v>
      </c>
      <c r="K1017" s="38">
        <v>12</v>
      </c>
    </row>
    <row r="1018" spans="1:21" x14ac:dyDescent="0.25">
      <c r="A1018" s="39" t="str">
        <f>IF(F1018="","",VLOOKUP(F1018,Tabelle1[],3))</f>
        <v>PRIZREN</v>
      </c>
      <c r="B1018" s="40" t="str">
        <f>IF(F1018="","",VLOOKUP(F1018,Tabelle1[],2))</f>
        <v>ARPO</v>
      </c>
      <c r="C1018" s="40"/>
      <c r="D1018" s="41">
        <v>46126</v>
      </c>
      <c r="E1018" s="80"/>
      <c r="F1018" s="78">
        <v>10240</v>
      </c>
      <c r="G1018" s="43">
        <v>430.8</v>
      </c>
      <c r="H1018" s="38">
        <v>35108</v>
      </c>
      <c r="I1018" s="38">
        <v>12</v>
      </c>
      <c r="J1018" s="38">
        <v>35110</v>
      </c>
      <c r="K1018" s="38">
        <v>12</v>
      </c>
      <c r="L1018" s="38">
        <v>35111</v>
      </c>
      <c r="M1018" s="38">
        <v>12</v>
      </c>
      <c r="N1018" s="38">
        <v>35125</v>
      </c>
      <c r="O1018" s="38">
        <v>12</v>
      </c>
      <c r="P1018" s="38">
        <v>35121</v>
      </c>
      <c r="Q1018" s="38">
        <v>24</v>
      </c>
      <c r="R1018" s="38">
        <v>35109</v>
      </c>
      <c r="S1018" s="38">
        <v>36</v>
      </c>
      <c r="T1018" s="38">
        <v>51611</v>
      </c>
      <c r="U1018" s="38">
        <v>12</v>
      </c>
    </row>
    <row r="1019" spans="1:21" x14ac:dyDescent="0.25">
      <c r="A1019" s="39" t="str">
        <f>IF(F1019="","",VLOOKUP(F1019,Tabelle1[],3))</f>
        <v>SHTIME</v>
      </c>
      <c r="B1019" s="40" t="str">
        <f>IF(F1019="","",VLOOKUP(F1019,Tabelle1[],2))</f>
        <v>TAULANTI</v>
      </c>
      <c r="C1019" s="40"/>
      <c r="D1019" s="41">
        <v>46126</v>
      </c>
      <c r="E1019" s="80"/>
      <c r="F1019" s="78">
        <v>10251</v>
      </c>
      <c r="G1019" s="43">
        <v>138.6</v>
      </c>
      <c r="H1019" s="38">
        <v>35109</v>
      </c>
      <c r="I1019" s="38">
        <v>12</v>
      </c>
      <c r="J1019" s="38">
        <v>35110</v>
      </c>
      <c r="K1019" s="38">
        <v>12</v>
      </c>
      <c r="L1019" s="38">
        <v>35115</v>
      </c>
      <c r="M1019" s="38">
        <v>12</v>
      </c>
    </row>
    <row r="1020" spans="1:21" x14ac:dyDescent="0.25">
      <c r="A1020" s="39" t="str">
        <f>IF(F1020="","",VLOOKUP(F1020,Tabelle1[],3))</f>
        <v>THARAND</v>
      </c>
      <c r="B1020" s="40" t="str">
        <f>IF(F1020="","",VLOOKUP(F1020,Tabelle1[],2))</f>
        <v>TE BESNIKU</v>
      </c>
      <c r="C1020" s="40"/>
      <c r="D1020" s="41">
        <v>46126</v>
      </c>
      <c r="E1020" s="80"/>
      <c r="F1020" s="78">
        <v>10201</v>
      </c>
      <c r="G1020" s="43">
        <v>46.2</v>
      </c>
      <c r="H1020" s="38">
        <v>35108</v>
      </c>
      <c r="I1020" s="38">
        <v>12</v>
      </c>
    </row>
    <row r="1021" spans="1:21" x14ac:dyDescent="0.25">
      <c r="A1021" s="39" t="str">
        <f>IF(F1021="","",VLOOKUP(F1021,Tabelle1[],3))</f>
        <v>DUHEL</v>
      </c>
      <c r="B1021" s="40" t="str">
        <f>IF(F1021="","",VLOOKUP(F1021,Tabelle1[],2))</f>
        <v>JETA DUHEL</v>
      </c>
      <c r="C1021" s="40"/>
      <c r="D1021" s="41">
        <v>46126</v>
      </c>
      <c r="E1021" s="80"/>
      <c r="F1021" s="78">
        <v>10230</v>
      </c>
      <c r="G1021" s="43">
        <v>92.4</v>
      </c>
      <c r="H1021" s="38">
        <v>35111</v>
      </c>
      <c r="I1021" s="38">
        <v>12</v>
      </c>
      <c r="J1021" s="38">
        <v>35121</v>
      </c>
      <c r="K1021" s="38">
        <v>12</v>
      </c>
    </row>
    <row r="1022" spans="1:21" x14ac:dyDescent="0.25">
      <c r="A1022" s="39" t="str">
        <f>IF(F1022="","",VLOOKUP(F1022,Tabelle1[],3))</f>
        <v>SHIROK</v>
      </c>
      <c r="B1022" s="40" t="str">
        <f>IF(F1022="","",VLOOKUP(F1022,Tabelle1[],2))</f>
        <v>XHAFA</v>
      </c>
      <c r="C1022" s="40"/>
      <c r="D1022" s="41">
        <v>46126</v>
      </c>
      <c r="E1022" s="80"/>
      <c r="F1022" s="78">
        <v>10205</v>
      </c>
      <c r="G1022" s="43">
        <v>280.2</v>
      </c>
      <c r="H1022" s="38">
        <v>35109</v>
      </c>
      <c r="I1022" s="38">
        <v>12</v>
      </c>
      <c r="J1022" s="38">
        <v>35125</v>
      </c>
      <c r="K1022" s="38">
        <v>12</v>
      </c>
      <c r="L1022" s="38">
        <v>35121</v>
      </c>
      <c r="M1022" s="38">
        <v>12</v>
      </c>
      <c r="N1022" s="38">
        <v>35128</v>
      </c>
      <c r="O1022" s="38">
        <v>12</v>
      </c>
      <c r="P1022" s="38">
        <v>35110</v>
      </c>
      <c r="Q1022" s="38">
        <v>12</v>
      </c>
      <c r="R1022" s="38">
        <v>51612</v>
      </c>
      <c r="S1022" s="38">
        <v>12</v>
      </c>
      <c r="T1022" s="38">
        <v>50912</v>
      </c>
      <c r="U1022" s="38">
        <v>3</v>
      </c>
    </row>
    <row r="1023" spans="1:21" x14ac:dyDescent="0.25">
      <c r="A1023" s="39" t="str">
        <f>IF(F1023="","",VLOOKUP(F1023,Tabelle1[],3))</f>
        <v>GJAKOVE</v>
      </c>
      <c r="B1023" s="40" t="str">
        <f>IF(F1023="","",VLOOKUP(F1023,Tabelle1[],2))</f>
        <v>LETAJ</v>
      </c>
      <c r="C1023" s="40"/>
      <c r="D1023" s="41">
        <v>46126</v>
      </c>
      <c r="E1023" s="80"/>
      <c r="F1023" s="78">
        <v>20209</v>
      </c>
      <c r="G1023" s="43">
        <v>277.2</v>
      </c>
      <c r="H1023" s="38">
        <v>35110</v>
      </c>
      <c r="I1023" s="38">
        <v>36</v>
      </c>
      <c r="J1023" s="38">
        <v>35115</v>
      </c>
      <c r="K1023" s="38">
        <v>36</v>
      </c>
    </row>
    <row r="1024" spans="1:21" x14ac:dyDescent="0.25">
      <c r="A1024" s="39" t="str">
        <f>IF(F1024="","",VLOOKUP(F1024,Tabelle1[],3))</f>
        <v>GJAKOVE</v>
      </c>
      <c r="B1024" s="40" t="str">
        <f>IF(F1024="","",VLOOKUP(F1024,Tabelle1[],2))</f>
        <v>INOX 2</v>
      </c>
      <c r="C1024" s="40"/>
      <c r="D1024" s="41">
        <v>46126</v>
      </c>
      <c r="E1024" s="80"/>
      <c r="F1024" s="78">
        <v>20212</v>
      </c>
      <c r="G1024" s="43">
        <v>92.4</v>
      </c>
      <c r="H1024" s="38">
        <v>35110</v>
      </c>
      <c r="I1024" s="38">
        <v>12</v>
      </c>
      <c r="J1024" s="38">
        <v>35111</v>
      </c>
      <c r="K1024" s="38">
        <v>12</v>
      </c>
    </row>
    <row r="1025" spans="1:19" x14ac:dyDescent="0.25">
      <c r="A1025" s="39" t="str">
        <f>IF(F1025="","",VLOOKUP(F1025,Tabelle1[],3))</f>
        <v>GJAKOVE</v>
      </c>
      <c r="B1025" s="40" t="str">
        <f>IF(F1025="","",VLOOKUP(F1025,Tabelle1[],2))</f>
        <v>GER COLORS</v>
      </c>
      <c r="C1025" s="40"/>
      <c r="D1025" s="41">
        <v>46126</v>
      </c>
      <c r="E1025" s="80"/>
      <c r="F1025" s="78">
        <v>20223</v>
      </c>
      <c r="G1025" s="43">
        <v>138.6</v>
      </c>
      <c r="H1025" s="38">
        <v>35109</v>
      </c>
      <c r="I1025" s="38">
        <v>12</v>
      </c>
      <c r="J1025" s="38">
        <v>35112</v>
      </c>
      <c r="K1025" s="38">
        <v>12</v>
      </c>
      <c r="L1025" s="38">
        <v>35128</v>
      </c>
      <c r="M1025" s="38">
        <v>12</v>
      </c>
    </row>
    <row r="1026" spans="1:19" x14ac:dyDescent="0.25">
      <c r="A1026" s="39" t="str">
        <f>IF(F1026="","",VLOOKUP(F1026,Tabelle1[],3))</f>
        <v>GJAKOVE</v>
      </c>
      <c r="B1026" s="40" t="str">
        <f>IF(F1026="","",VLOOKUP(F1026,Tabelle1[],2))</f>
        <v>DIKI BAU SHPK</v>
      </c>
      <c r="C1026" s="40"/>
      <c r="D1026" s="41">
        <v>46126</v>
      </c>
      <c r="E1026" s="80"/>
      <c r="F1026" s="78">
        <v>20227</v>
      </c>
      <c r="G1026" s="43">
        <v>92.4</v>
      </c>
      <c r="H1026" s="38">
        <v>35112</v>
      </c>
      <c r="I1026" s="38">
        <v>12</v>
      </c>
      <c r="J1026" s="38">
        <v>35119</v>
      </c>
      <c r="K1026" s="38">
        <v>12</v>
      </c>
    </row>
    <row r="1027" spans="1:19" x14ac:dyDescent="0.25">
      <c r="A1027" s="39" t="str">
        <f>IF(F1027="","",VLOOKUP(F1027,Tabelle1[],3))</f>
        <v>JUNIK</v>
      </c>
      <c r="B1027" s="40" t="str">
        <f>IF(F1027="","",VLOOKUP(F1027,Tabelle1[],2))</f>
        <v>ERENIKU</v>
      </c>
      <c r="C1027" s="40"/>
      <c r="D1027" s="41">
        <v>46126</v>
      </c>
      <c r="E1027" s="80"/>
      <c r="F1027" s="78">
        <v>20206</v>
      </c>
      <c r="G1027" s="43">
        <v>116.4</v>
      </c>
      <c r="H1027" s="38">
        <v>35112</v>
      </c>
      <c r="I1027" s="38">
        <v>12</v>
      </c>
      <c r="J1027" s="38">
        <v>51611</v>
      </c>
      <c r="K1027" s="38">
        <v>12</v>
      </c>
      <c r="L1027" s="38">
        <v>51612</v>
      </c>
      <c r="M1027" s="38">
        <v>24</v>
      </c>
    </row>
    <row r="1028" spans="1:19" x14ac:dyDescent="0.25">
      <c r="A1028" s="39" t="str">
        <f>IF(F1028="","",VLOOKUP(F1028,Tabelle1[],3))</f>
        <v>DEQAN</v>
      </c>
      <c r="B1028" s="40" t="str">
        <f>IF(F1028="","",VLOOKUP(F1028,Tabelle1[],2))</f>
        <v>AFRIMI-AG</v>
      </c>
      <c r="C1028" s="40"/>
      <c r="D1028" s="41">
        <v>46126</v>
      </c>
      <c r="E1028" s="80"/>
      <c r="F1028" s="78">
        <v>20203</v>
      </c>
      <c r="G1028" s="43">
        <v>208.2</v>
      </c>
      <c r="H1028" s="38">
        <v>35109</v>
      </c>
      <c r="I1028" s="38">
        <v>24</v>
      </c>
      <c r="J1028" s="38">
        <v>35121</v>
      </c>
      <c r="K1028" s="38">
        <v>12</v>
      </c>
      <c r="L1028" s="38">
        <v>66701</v>
      </c>
      <c r="M1028" s="38">
        <v>12</v>
      </c>
    </row>
    <row r="1029" spans="1:19" x14ac:dyDescent="0.25">
      <c r="A1029" s="39" t="str">
        <f>IF(F1029="","",VLOOKUP(F1029,Tabelle1[],3))</f>
        <v>DEQAN</v>
      </c>
      <c r="B1029" s="40" t="str">
        <f>IF(F1029="","",VLOOKUP(F1029,Tabelle1[],2))</f>
        <v>TE BESIMI</v>
      </c>
      <c r="C1029" s="40"/>
      <c r="D1029" s="41">
        <v>46126</v>
      </c>
      <c r="E1029" s="80"/>
      <c r="F1029" s="78">
        <v>20201</v>
      </c>
      <c r="G1029" s="43">
        <v>216.3</v>
      </c>
      <c r="H1029" s="38">
        <v>35113</v>
      </c>
      <c r="I1029" s="38">
        <v>12</v>
      </c>
      <c r="J1029" s="38">
        <v>35128</v>
      </c>
      <c r="K1029" s="38">
        <v>12</v>
      </c>
      <c r="L1029" s="38">
        <v>35125</v>
      </c>
      <c r="M1029" s="38">
        <v>12</v>
      </c>
      <c r="N1029" s="38">
        <v>51612</v>
      </c>
      <c r="O1029" s="38">
        <v>24</v>
      </c>
      <c r="P1029" s="38">
        <v>51611</v>
      </c>
      <c r="Q1029" s="38">
        <v>12</v>
      </c>
      <c r="R1029" s="38">
        <v>26736</v>
      </c>
      <c r="S1029" s="38">
        <v>7</v>
      </c>
    </row>
    <row r="1030" spans="1:19" x14ac:dyDescent="0.25">
      <c r="A1030" s="39" t="str">
        <f>IF(F1030="","",VLOOKUP(F1030,Tabelle1[],3))</f>
        <v>HOME KIM TEC</v>
      </c>
      <c r="B1030" s="40" t="str">
        <f>IF(F1030="","",VLOOKUP(F1030,Tabelle1[],2))</f>
        <v>ARBENI BIOBLIC</v>
      </c>
      <c r="C1030" s="40"/>
      <c r="D1030" s="41">
        <v>46126</v>
      </c>
      <c r="E1030" s="80"/>
      <c r="F1030" s="78">
        <v>40003</v>
      </c>
      <c r="G1030" s="43">
        <v>249</v>
      </c>
      <c r="H1030" s="38">
        <v>20001</v>
      </c>
      <c r="I1030" s="38">
        <v>140</v>
      </c>
      <c r="J1030" s="38">
        <v>30275</v>
      </c>
      <c r="K1030" s="38">
        <v>50</v>
      </c>
    </row>
    <row r="1031" spans="1:19" x14ac:dyDescent="0.25">
      <c r="A1031" s="39" t="str">
        <f>IF(F1031="","",VLOOKUP(F1031,Tabelle1[],3))</f>
        <v>VITI</v>
      </c>
      <c r="B1031" s="40" t="str">
        <f>IF(F1031="","",VLOOKUP(F1031,Tabelle1[],2))</f>
        <v>DARDANIA</v>
      </c>
      <c r="C1031" s="40"/>
      <c r="D1031" s="41">
        <v>46127</v>
      </c>
      <c r="E1031" s="80"/>
      <c r="F1031" s="78">
        <v>10332</v>
      </c>
      <c r="G1031" s="43">
        <v>184.8</v>
      </c>
      <c r="H1031" s="38">
        <v>35110</v>
      </c>
      <c r="I1031" s="38">
        <v>12</v>
      </c>
      <c r="J1031" s="38">
        <v>35111</v>
      </c>
      <c r="K1031" s="38">
        <v>12</v>
      </c>
      <c r="L1031" s="38">
        <v>35109</v>
      </c>
      <c r="M1031" s="38">
        <v>12</v>
      </c>
      <c r="N1031" s="38">
        <v>35125</v>
      </c>
      <c r="O1031" s="38">
        <v>12</v>
      </c>
    </row>
    <row r="1032" spans="1:19" x14ac:dyDescent="0.25">
      <c r="A1032" s="39" t="str">
        <f>IF(F1032="","",VLOOKUP(F1032,Tabelle1[],3))</f>
        <v>VITI</v>
      </c>
      <c r="B1032" s="40" t="str">
        <f>IF(F1032="","",VLOOKUP(F1032,Tabelle1[],2))</f>
        <v>BALLKANI</v>
      </c>
      <c r="C1032" s="40"/>
      <c r="D1032" s="41">
        <v>46127</v>
      </c>
      <c r="E1032" s="80"/>
      <c r="F1032" s="78">
        <v>10350</v>
      </c>
      <c r="G1032" s="43">
        <v>323.39999999999998</v>
      </c>
      <c r="H1032" s="38">
        <v>35121</v>
      </c>
      <c r="I1032" s="38">
        <v>48</v>
      </c>
      <c r="J1032" s="38">
        <v>35119</v>
      </c>
      <c r="K1032" s="38">
        <v>12</v>
      </c>
      <c r="L1032" s="38">
        <v>35113</v>
      </c>
      <c r="M1032" s="38">
        <v>12</v>
      </c>
      <c r="N1032" s="38">
        <v>35128</v>
      </c>
      <c r="O1032" s="38">
        <v>12</v>
      </c>
    </row>
    <row r="1033" spans="1:19" x14ac:dyDescent="0.25">
      <c r="A1033" s="39" t="str">
        <f>IF(F1033="","",VLOOKUP(F1033,Tabelle1[],3))</f>
        <v>VITI</v>
      </c>
      <c r="B1033" s="40" t="str">
        <f>IF(F1033="","",VLOOKUP(F1033,Tabelle1[],2))</f>
        <v>SMIRA</v>
      </c>
      <c r="C1033" s="40"/>
      <c r="D1033" s="41">
        <v>46127</v>
      </c>
      <c r="E1033" s="80"/>
      <c r="F1033" s="78">
        <v>10352</v>
      </c>
      <c r="G1033" s="43">
        <v>277.2</v>
      </c>
      <c r="H1033" s="38">
        <v>35110</v>
      </c>
      <c r="I1033" s="38">
        <v>12</v>
      </c>
      <c r="J1033" s="38">
        <v>35111</v>
      </c>
      <c r="K1033" s="38">
        <v>12</v>
      </c>
      <c r="L1033" s="38">
        <v>35112</v>
      </c>
      <c r="M1033" s="38">
        <v>12</v>
      </c>
      <c r="N1033" s="38">
        <v>35121</v>
      </c>
      <c r="O1033" s="38">
        <v>12</v>
      </c>
      <c r="P1033" s="38">
        <v>35109</v>
      </c>
      <c r="Q1033" s="38">
        <v>24</v>
      </c>
    </row>
    <row r="1034" spans="1:19" x14ac:dyDescent="0.25">
      <c r="A1034" s="39" t="str">
        <f>IF(F1034="","",VLOOKUP(F1034,Tabelle1[],3))</f>
        <v>VITI</v>
      </c>
      <c r="B1034" s="40" t="str">
        <f>IF(F1034="","",VLOOKUP(F1034,Tabelle1[],2))</f>
        <v>PARKETI</v>
      </c>
      <c r="C1034" s="40"/>
      <c r="D1034" s="41">
        <v>46127</v>
      </c>
      <c r="E1034" s="80"/>
      <c r="F1034" s="78">
        <v>10325</v>
      </c>
      <c r="G1034" s="43">
        <v>92.4</v>
      </c>
      <c r="H1034" s="38">
        <v>35114</v>
      </c>
      <c r="I1034" s="38">
        <v>12</v>
      </c>
      <c r="J1034" s="38">
        <v>35121</v>
      </c>
      <c r="K1034" s="38">
        <v>12</v>
      </c>
    </row>
    <row r="1035" spans="1:19" x14ac:dyDescent="0.25">
      <c r="A1035" s="39" t="str">
        <f>IF(F1035="","",VLOOKUP(F1035,Tabelle1[],3))</f>
        <v>GJILAN</v>
      </c>
      <c r="B1035" s="40" t="str">
        <f>IF(F1035="","",VLOOKUP(F1035,Tabelle1[],2))</f>
        <v>TINA</v>
      </c>
      <c r="C1035" s="40"/>
      <c r="D1035" s="41">
        <v>46127</v>
      </c>
      <c r="E1035" s="80"/>
      <c r="F1035" s="78">
        <v>10344</v>
      </c>
      <c r="G1035" s="43">
        <v>138.6</v>
      </c>
      <c r="H1035" s="38">
        <v>35110</v>
      </c>
      <c r="I1035" s="38">
        <v>12</v>
      </c>
      <c r="J1035" s="38">
        <v>35111</v>
      </c>
      <c r="K1035" s="38">
        <v>12</v>
      </c>
      <c r="L1035" s="38">
        <v>35108</v>
      </c>
      <c r="M1035" s="38">
        <v>12</v>
      </c>
    </row>
    <row r="1036" spans="1:19" x14ac:dyDescent="0.25">
      <c r="A1036" s="39" t="str">
        <f>IF(F1036="","",VLOOKUP(F1036,Tabelle1[],3))</f>
        <v>GJILAN</v>
      </c>
      <c r="B1036" s="40" t="str">
        <f>IF(F1036="","",VLOOKUP(F1036,Tabelle1[],2))</f>
        <v>ERALP</v>
      </c>
      <c r="C1036" s="40"/>
      <c r="D1036" s="41">
        <v>46127</v>
      </c>
      <c r="E1036" s="80"/>
      <c r="F1036" s="78">
        <v>10308</v>
      </c>
      <c r="G1036" s="43">
        <v>92.4</v>
      </c>
      <c r="H1036" s="38">
        <v>35128</v>
      </c>
      <c r="I1036" s="38">
        <v>12</v>
      </c>
      <c r="J1036" s="38">
        <v>35112</v>
      </c>
      <c r="K1036" s="38">
        <v>12</v>
      </c>
    </row>
    <row r="1037" spans="1:19" x14ac:dyDescent="0.25">
      <c r="A1037" s="39" t="str">
        <f>IF(F1037="","",VLOOKUP(F1037,Tabelle1[],3))</f>
        <v>GJILAN</v>
      </c>
      <c r="B1037" s="40" t="str">
        <f>IF(F1037="","",VLOOKUP(F1037,Tabelle1[],2))</f>
        <v>DANI-COM</v>
      </c>
      <c r="C1037" s="40"/>
      <c r="D1037" s="41">
        <v>46127</v>
      </c>
      <c r="E1037" s="80"/>
      <c r="F1037" s="78">
        <v>10320</v>
      </c>
      <c r="G1037" s="43">
        <v>46.2</v>
      </c>
      <c r="H1037" s="38">
        <v>35112</v>
      </c>
      <c r="I1037" s="38">
        <v>12</v>
      </c>
    </row>
    <row r="1038" spans="1:19" x14ac:dyDescent="0.25">
      <c r="A1038" s="39" t="str">
        <f>IF(F1038="","",VLOOKUP(F1038,Tabelle1[],3))</f>
        <v>GJILAN</v>
      </c>
      <c r="B1038" s="40" t="str">
        <f>IF(F1038="","",VLOOKUP(F1038,Tabelle1[],2))</f>
        <v>BEKA-3</v>
      </c>
      <c r="C1038" s="40"/>
      <c r="D1038" s="41">
        <v>46127</v>
      </c>
      <c r="E1038" s="80"/>
      <c r="F1038" s="78">
        <v>10323</v>
      </c>
      <c r="G1038" s="43">
        <v>86.4</v>
      </c>
      <c r="H1038" s="38">
        <v>50912</v>
      </c>
      <c r="I1038" s="38">
        <v>12</v>
      </c>
    </row>
    <row r="1039" spans="1:19" x14ac:dyDescent="0.25">
      <c r="A1039" s="39" t="str">
        <f>IF(F1039="","",VLOOKUP(F1039,Tabelle1[],3))</f>
        <v>GJILAN</v>
      </c>
      <c r="B1039" s="40" t="str">
        <f>IF(F1039="","",VLOOKUP(F1039,Tabelle1[],2))</f>
        <v>TREND CERAMIKA</v>
      </c>
      <c r="C1039" s="40"/>
      <c r="D1039" s="41">
        <v>46127</v>
      </c>
      <c r="E1039" s="80"/>
      <c r="F1039" s="78">
        <v>10353</v>
      </c>
      <c r="G1039" s="43">
        <v>61.2</v>
      </c>
      <c r="H1039" s="38">
        <v>35113</v>
      </c>
      <c r="I1039" s="38">
        <v>12</v>
      </c>
      <c r="J1039" s="38">
        <v>51611</v>
      </c>
      <c r="K1039" s="38">
        <v>12</v>
      </c>
    </row>
    <row r="1040" spans="1:19" x14ac:dyDescent="0.25">
      <c r="A1040" s="39" t="str">
        <f>IF(F1040="","",VLOOKUP(F1040,Tabelle1[],3))</f>
        <v>HOME KIM TEC</v>
      </c>
      <c r="B1040" s="40" t="str">
        <f>IF(F1040="","",VLOOKUP(F1040,Tabelle1[],2))</f>
        <v>ARBENI BIOBLIC</v>
      </c>
      <c r="C1040" s="40"/>
      <c r="D1040" s="41">
        <v>46127</v>
      </c>
      <c r="E1040" s="80"/>
      <c r="F1040" s="78">
        <v>40003</v>
      </c>
      <c r="G1040" s="43">
        <v>87</v>
      </c>
      <c r="H1040" s="38">
        <v>20001</v>
      </c>
      <c r="I1040" s="38">
        <v>10</v>
      </c>
      <c r="J1040" s="38">
        <v>30277</v>
      </c>
      <c r="K1040" s="38">
        <v>10</v>
      </c>
      <c r="L1040" s="38">
        <v>30275</v>
      </c>
      <c r="M1040" s="38">
        <v>60</v>
      </c>
    </row>
    <row r="1041" spans="1:19" x14ac:dyDescent="0.25">
      <c r="A1041" s="39" t="str">
        <f>IF(F1041="","",VLOOKUP(F1041,Tabelle1[],3))</f>
        <v>MALISHEVE</v>
      </c>
      <c r="B1041" s="40" t="str">
        <f>IF(F1041="","",VLOOKUP(F1041,Tabelle1[],2))</f>
        <v>HAZROLLI</v>
      </c>
      <c r="C1041" s="40"/>
      <c r="D1041" s="41">
        <v>46127</v>
      </c>
      <c r="E1041" s="80"/>
      <c r="F1041" s="78">
        <v>20301</v>
      </c>
      <c r="G1041" s="43">
        <v>123.6</v>
      </c>
      <c r="H1041" s="38">
        <v>66701</v>
      </c>
      <c r="I1041" s="38">
        <v>12</v>
      </c>
      <c r="J1041" s="38">
        <v>56117</v>
      </c>
      <c r="K1041" s="38">
        <v>6</v>
      </c>
      <c r="L1041" s="38">
        <v>51936</v>
      </c>
      <c r="M1041" s="38">
        <v>6</v>
      </c>
      <c r="N1041" s="38">
        <v>51736</v>
      </c>
      <c r="O1041" s="38">
        <v>6</v>
      </c>
    </row>
    <row r="1042" spans="1:19" x14ac:dyDescent="0.25">
      <c r="A1042" s="39" t="str">
        <f>IF(F1042="","",VLOOKUP(F1042,Tabelle1[],3))</f>
        <v>GJAKOVE</v>
      </c>
      <c r="B1042" s="40" t="str">
        <f>IF(F1042="","",VLOOKUP(F1042,Tabelle1[],2))</f>
        <v>GER COLORS</v>
      </c>
      <c r="C1042" s="40"/>
      <c r="D1042" s="41">
        <v>46127</v>
      </c>
      <c r="E1042" s="80"/>
      <c r="F1042" s="78">
        <v>20223</v>
      </c>
      <c r="G1042" s="43">
        <v>80</v>
      </c>
      <c r="H1042" s="38">
        <v>12000</v>
      </c>
      <c r="I1042" s="38">
        <v>10</v>
      </c>
    </row>
    <row r="1043" spans="1:19" x14ac:dyDescent="0.25">
      <c r="A1043" s="39" t="str">
        <f>IF(F1043="","",VLOOKUP(F1043,Tabelle1[],3))</f>
        <v>MALISHEVE</v>
      </c>
      <c r="B1043" s="40" t="str">
        <f>IF(F1043="","",VLOOKUP(F1043,Tabelle1[],2))</f>
        <v>BAU HOME</v>
      </c>
      <c r="C1043" s="40"/>
      <c r="D1043" s="41">
        <v>46127</v>
      </c>
      <c r="E1043" s="80"/>
      <c r="F1043" s="78">
        <v>20324</v>
      </c>
      <c r="G1043" s="43">
        <v>120</v>
      </c>
      <c r="H1043" s="38">
        <v>35110</v>
      </c>
      <c r="I1043" s="38">
        <v>12</v>
      </c>
      <c r="J1043" s="38">
        <v>35111</v>
      </c>
      <c r="K1043" s="38">
        <v>12</v>
      </c>
      <c r="L1043" s="38">
        <v>51612</v>
      </c>
      <c r="M1043" s="38">
        <v>12</v>
      </c>
    </row>
    <row r="1044" spans="1:19" x14ac:dyDescent="0.25">
      <c r="A1044" s="39" t="str">
        <f>IF(F1044="","",VLOOKUP(F1044,Tabelle1[],3))</f>
        <v>RAHOVEC</v>
      </c>
      <c r="B1044" s="40" t="str">
        <f>IF(F1044="","",VLOOKUP(F1044,Tabelle1[],2))</f>
        <v>CONDOR</v>
      </c>
      <c r="C1044" s="40"/>
      <c r="D1044" s="41">
        <v>46127</v>
      </c>
      <c r="E1044" s="80"/>
      <c r="F1044" s="78">
        <v>20307</v>
      </c>
      <c r="G1044" s="43">
        <v>280.8</v>
      </c>
      <c r="H1044" s="38">
        <v>66701</v>
      </c>
      <c r="I1044" s="38">
        <v>36</v>
      </c>
      <c r="J1044" s="38">
        <v>51936</v>
      </c>
      <c r="K1044" s="38">
        <v>12</v>
      </c>
      <c r="L1044" s="38">
        <v>51736</v>
      </c>
      <c r="M1044" s="38">
        <v>12</v>
      </c>
      <c r="N1044" s="38">
        <v>54412</v>
      </c>
      <c r="O1044" s="38">
        <v>6</v>
      </c>
    </row>
    <row r="1045" spans="1:19" x14ac:dyDescent="0.25">
      <c r="A1045" s="39" t="str">
        <f>IF(F1045="","",VLOOKUP(F1045,Tabelle1[],3))</f>
        <v>RAHOVEC</v>
      </c>
      <c r="B1045" s="40" t="str">
        <f>IF(F1045="","",VLOOKUP(F1045,Tabelle1[],2))</f>
        <v>CONDOR</v>
      </c>
      <c r="C1045" s="40"/>
      <c r="D1045" s="41">
        <v>46127</v>
      </c>
      <c r="E1045" s="80"/>
      <c r="F1045" s="78">
        <v>20307</v>
      </c>
      <c r="G1045" s="43">
        <v>258.60000000000002</v>
      </c>
      <c r="H1045" s="38">
        <v>35110</v>
      </c>
      <c r="I1045" s="38">
        <v>12</v>
      </c>
      <c r="J1045" s="38">
        <v>35111</v>
      </c>
      <c r="K1045" s="38">
        <v>12</v>
      </c>
      <c r="L1045" s="38">
        <v>35113</v>
      </c>
      <c r="M1045" s="38">
        <v>12</v>
      </c>
      <c r="N1045" s="38">
        <v>35114</v>
      </c>
      <c r="O1045" s="38">
        <v>12</v>
      </c>
      <c r="P1045" s="38">
        <v>35128</v>
      </c>
      <c r="Q1045" s="38">
        <v>12</v>
      </c>
      <c r="R1045" s="38">
        <v>51612</v>
      </c>
      <c r="S1045" s="38">
        <v>12</v>
      </c>
    </row>
    <row r="1046" spans="1:19" x14ac:dyDescent="0.25">
      <c r="A1046" s="39" t="str">
        <f>IF(F1046="","",VLOOKUP(F1046,Tabelle1[],3))</f>
        <v>MALISHEVE</v>
      </c>
      <c r="B1046" s="40" t="str">
        <f>IF(F1046="","",VLOOKUP(F1046,Tabelle1[],2))</f>
        <v>BEREQETI</v>
      </c>
      <c r="C1046" s="40"/>
      <c r="D1046" s="41">
        <v>46127</v>
      </c>
      <c r="E1046" s="80"/>
      <c r="F1046" s="78">
        <v>20321</v>
      </c>
      <c r="G1046" s="43">
        <v>193.8</v>
      </c>
      <c r="H1046" s="38">
        <v>35121</v>
      </c>
      <c r="I1046" s="38">
        <v>36</v>
      </c>
      <c r="J1046" s="38">
        <v>51612</v>
      </c>
      <c r="K1046" s="38">
        <v>24</v>
      </c>
    </row>
    <row r="1047" spans="1:19" x14ac:dyDescent="0.25">
      <c r="A1047" s="39" t="str">
        <f>IF(F1047="","",VLOOKUP(F1047,Tabelle1[],3))</f>
        <v>MALISHEVE</v>
      </c>
      <c r="B1047" s="40" t="str">
        <f>IF(F1047="","",VLOOKUP(F1047,Tabelle1[],2))</f>
        <v>FITIMI</v>
      </c>
      <c r="C1047" s="40"/>
      <c r="D1047" s="41">
        <v>46127</v>
      </c>
      <c r="E1047" s="80"/>
      <c r="F1047" s="78">
        <v>20306</v>
      </c>
      <c r="G1047" s="43">
        <v>92.4</v>
      </c>
      <c r="H1047" s="38">
        <v>35110</v>
      </c>
      <c r="I1047" s="38">
        <v>12</v>
      </c>
      <c r="J1047" s="38">
        <v>35121</v>
      </c>
      <c r="K1047" s="38">
        <v>12</v>
      </c>
    </row>
    <row r="1048" spans="1:19" x14ac:dyDescent="0.25">
      <c r="A1048" s="39" t="str">
        <f>IF(F1048="","",VLOOKUP(F1048,Tabelle1[],3))</f>
        <v>MALISHEVE</v>
      </c>
      <c r="B1048" s="40" t="str">
        <f>IF(F1048="","",VLOOKUP(F1048,Tabelle1[],2))</f>
        <v>HYSENAJ</v>
      </c>
      <c r="C1048" s="40"/>
      <c r="D1048" s="41">
        <v>46127</v>
      </c>
      <c r="E1048" s="80"/>
      <c r="F1048" s="78">
        <v>20322</v>
      </c>
      <c r="G1048" s="43">
        <v>103.9</v>
      </c>
      <c r="H1048" s="38">
        <v>50912</v>
      </c>
      <c r="I1048" s="38">
        <v>12</v>
      </c>
      <c r="J1048" s="38">
        <v>44001</v>
      </c>
      <c r="K1048" s="38">
        <v>6</v>
      </c>
    </row>
    <row r="1049" spans="1:19" x14ac:dyDescent="0.25">
      <c r="A1049" s="39" t="str">
        <f>IF(F1049="","",VLOOKUP(F1049,Tabelle1[],3))</f>
        <v>RAHOVEC</v>
      </c>
      <c r="B1049" s="40" t="str">
        <f>IF(F1049="","",VLOOKUP(F1049,Tabelle1[],2))</f>
        <v>URA</v>
      </c>
      <c r="C1049" s="40"/>
      <c r="D1049" s="41">
        <v>46127</v>
      </c>
      <c r="E1049" s="80"/>
      <c r="F1049" s="78">
        <v>20314</v>
      </c>
      <c r="G1049" s="43">
        <v>92.4</v>
      </c>
      <c r="H1049" s="38">
        <v>35110</v>
      </c>
      <c r="I1049" s="38">
        <v>12</v>
      </c>
      <c r="J1049" s="38">
        <v>35111</v>
      </c>
      <c r="K1049" s="38">
        <v>12</v>
      </c>
    </row>
    <row r="1050" spans="1:19" x14ac:dyDescent="0.25">
      <c r="A1050" s="39" t="str">
        <f>IF(F1050="","",VLOOKUP(F1050,Tabelle1[],3))</f>
        <v>RAHOVEC</v>
      </c>
      <c r="B1050" s="40" t="str">
        <f>IF(F1050="","",VLOOKUP(F1050,Tabelle1[],2))</f>
        <v>DURGUTI 3</v>
      </c>
      <c r="C1050" s="40"/>
      <c r="D1050" s="41">
        <v>46127</v>
      </c>
      <c r="E1050" s="80"/>
      <c r="F1050" s="78">
        <v>20313</v>
      </c>
      <c r="G1050" s="43">
        <v>115.8</v>
      </c>
      <c r="H1050" s="38">
        <v>35109</v>
      </c>
      <c r="I1050" s="38">
        <v>12</v>
      </c>
      <c r="J1050" s="38">
        <v>66701</v>
      </c>
      <c r="K1050" s="38">
        <v>12</v>
      </c>
    </row>
    <row r="1051" spans="1:19" x14ac:dyDescent="0.25">
      <c r="A1051" s="39" t="str">
        <f>IF(F1051="","",VLOOKUP(F1051,Tabelle1[],3))</f>
        <v>VUSHTRRI</v>
      </c>
      <c r="B1051" s="40" t="str">
        <f>IF(F1051="","",VLOOKUP(F1051,Tabelle1[],2))</f>
        <v>NDRIQIMI</v>
      </c>
      <c r="C1051" s="40"/>
      <c r="D1051" s="41">
        <v>46128</v>
      </c>
      <c r="E1051" s="80"/>
      <c r="F1051" s="78">
        <v>10418</v>
      </c>
      <c r="G1051" s="43">
        <v>92.4</v>
      </c>
      <c r="H1051" s="38">
        <v>35111</v>
      </c>
      <c r="I1051" s="38">
        <v>24</v>
      </c>
    </row>
    <row r="1052" spans="1:19" x14ac:dyDescent="0.25">
      <c r="A1052" s="39" t="str">
        <f>IF(F1052="","",VLOOKUP(F1052,Tabelle1[],3))</f>
        <v>VUSHTRRI</v>
      </c>
      <c r="B1052" s="40" t="str">
        <f>IF(F1052="","",VLOOKUP(F1052,Tabelle1[],2))</f>
        <v>DRCOR</v>
      </c>
      <c r="C1052" s="40"/>
      <c r="D1052" s="41">
        <v>46128</v>
      </c>
      <c r="E1052" s="80"/>
      <c r="F1052" s="78">
        <v>10401</v>
      </c>
      <c r="G1052" s="43">
        <v>138.6</v>
      </c>
      <c r="H1052" s="38">
        <v>35109</v>
      </c>
      <c r="I1052" s="38">
        <v>36</v>
      </c>
    </row>
    <row r="1053" spans="1:19" x14ac:dyDescent="0.25">
      <c r="A1053" s="39" t="str">
        <f>IF(F1053="","",VLOOKUP(F1053,Tabelle1[],3))</f>
        <v>VUSHTRRI</v>
      </c>
      <c r="B1053" s="40" t="str">
        <f>IF(F1053="","",VLOOKUP(F1053,Tabelle1[],2))</f>
        <v>SAN KOS</v>
      </c>
      <c r="C1053" s="40"/>
      <c r="D1053" s="41">
        <v>46128</v>
      </c>
      <c r="E1053" s="80"/>
      <c r="F1053" s="78">
        <v>10429</v>
      </c>
      <c r="G1053" s="43">
        <v>73.8</v>
      </c>
      <c r="H1053" s="38">
        <v>35109</v>
      </c>
      <c r="I1053" s="38">
        <v>12</v>
      </c>
      <c r="J1053" s="38">
        <v>51612</v>
      </c>
      <c r="K1053" s="38">
        <v>12</v>
      </c>
    </row>
    <row r="1054" spans="1:19" x14ac:dyDescent="0.25">
      <c r="A1054" s="39" t="str">
        <f>IF(F1054="","",VLOOKUP(F1054,Tabelle1[],3))</f>
        <v>MITROVICE</v>
      </c>
      <c r="B1054" s="40" t="str">
        <f>IF(F1054="","",VLOOKUP(F1054,Tabelle1[],2))</f>
        <v>GRANITI</v>
      </c>
      <c r="C1054" s="40"/>
      <c r="D1054" s="41">
        <v>46128</v>
      </c>
      <c r="E1054" s="80"/>
      <c r="F1054" s="78">
        <v>10410</v>
      </c>
      <c r="G1054" s="43">
        <v>92.4</v>
      </c>
      <c r="H1054" s="38">
        <v>35111</v>
      </c>
      <c r="I1054" s="38">
        <v>12</v>
      </c>
      <c r="J1054" s="38">
        <v>35115</v>
      </c>
      <c r="K1054" s="38">
        <v>12</v>
      </c>
    </row>
    <row r="1055" spans="1:19" x14ac:dyDescent="0.25">
      <c r="A1055" s="39" t="str">
        <f>IF(F1055="","",VLOOKUP(F1055,Tabelle1[],3))</f>
        <v>MITROVICE</v>
      </c>
      <c r="B1055" s="40" t="str">
        <f>IF(F1055="","",VLOOKUP(F1055,Tabelle1[],2))</f>
        <v>EURO COM</v>
      </c>
      <c r="C1055" s="40"/>
      <c r="D1055" s="41">
        <v>46128</v>
      </c>
      <c r="E1055" s="80"/>
      <c r="F1055" s="78">
        <v>10430</v>
      </c>
      <c r="G1055" s="43">
        <v>60.2</v>
      </c>
      <c r="H1055" s="38">
        <v>44001</v>
      </c>
      <c r="I1055" s="38">
        <v>4</v>
      </c>
      <c r="J1055" s="38">
        <v>35114</v>
      </c>
      <c r="K1055" s="38">
        <v>12</v>
      </c>
    </row>
    <row r="1056" spans="1:19" x14ac:dyDescent="0.25">
      <c r="A1056" s="39" t="str">
        <f>IF(F1056="","",VLOOKUP(F1056,Tabelle1[],3))</f>
        <v>MITROVICE</v>
      </c>
      <c r="B1056" s="40" t="str">
        <f>IF(F1056="","",VLOOKUP(F1056,Tabelle1[],2))</f>
        <v>UNIVERZAL</v>
      </c>
      <c r="C1056" s="40"/>
      <c r="D1056" s="41">
        <v>46128</v>
      </c>
      <c r="E1056" s="80"/>
      <c r="F1056" s="78">
        <v>10413</v>
      </c>
      <c r="G1056" s="43">
        <v>46.2</v>
      </c>
      <c r="H1056" s="38">
        <v>35121</v>
      </c>
      <c r="I1056" s="38">
        <v>12</v>
      </c>
    </row>
    <row r="1057" spans="1:19" x14ac:dyDescent="0.25">
      <c r="A1057" s="39" t="str">
        <f>IF(F1057="","",VLOOKUP(F1057,Tabelle1[],3))</f>
        <v>PRISHTINE</v>
      </c>
      <c r="B1057" s="40" t="str">
        <f>IF(F1057="","",VLOOKUP(F1057,Tabelle1[],2))</f>
        <v>KRRABAJ</v>
      </c>
      <c r="C1057" s="40"/>
      <c r="D1057" s="41">
        <v>46129</v>
      </c>
      <c r="E1057" s="80"/>
      <c r="F1057" s="78">
        <v>10147</v>
      </c>
      <c r="G1057" s="43">
        <v>120</v>
      </c>
      <c r="H1057" s="38">
        <v>50912</v>
      </c>
      <c r="I1057" s="38">
        <v>12</v>
      </c>
      <c r="J1057" s="38">
        <v>49644</v>
      </c>
      <c r="K1057" s="38">
        <v>12</v>
      </c>
    </row>
    <row r="1058" spans="1:19" x14ac:dyDescent="0.25">
      <c r="A1058" s="39" t="str">
        <f>IF(F1058="","",VLOOKUP(F1058,Tabelle1[],3))</f>
        <v>FERIZAJ</v>
      </c>
      <c r="B1058" s="40" t="str">
        <f>IF(F1058="","",VLOOKUP(F1058,Tabelle1[],2))</f>
        <v>ARBERI</v>
      </c>
      <c r="C1058" s="40"/>
      <c r="D1058" s="41">
        <v>46129</v>
      </c>
      <c r="E1058" s="80"/>
      <c r="F1058" s="78">
        <v>10506</v>
      </c>
      <c r="G1058" s="43">
        <v>46.2</v>
      </c>
      <c r="H1058" s="38">
        <v>35109</v>
      </c>
      <c r="I1058" s="38">
        <v>12</v>
      </c>
    </row>
    <row r="1059" spans="1:19" x14ac:dyDescent="0.25">
      <c r="A1059" s="39" t="str">
        <f>IF(F1059="","",VLOOKUP(F1059,Tabelle1[],3))</f>
        <v>FERIZAJ</v>
      </c>
      <c r="B1059" s="40" t="str">
        <f>IF(F1059="","",VLOOKUP(F1059,Tabelle1[],2))</f>
        <v>CARRALEVA 1</v>
      </c>
      <c r="C1059" s="40"/>
      <c r="D1059" s="41">
        <v>46129</v>
      </c>
      <c r="E1059" s="80"/>
      <c r="F1059" s="78">
        <v>10504</v>
      </c>
      <c r="G1059" s="43">
        <v>73.8</v>
      </c>
      <c r="H1059" s="38">
        <v>35121</v>
      </c>
      <c r="I1059" s="38">
        <v>12</v>
      </c>
      <c r="J1059" s="38">
        <v>51612</v>
      </c>
      <c r="K1059" s="38">
        <v>12</v>
      </c>
    </row>
    <row r="1060" spans="1:19" x14ac:dyDescent="0.25">
      <c r="A1060" s="39" t="str">
        <f>IF(F1060="","",VLOOKUP(F1060,Tabelle1[],3))</f>
        <v>FERIZAJ</v>
      </c>
      <c r="B1060" s="40" t="str">
        <f>IF(F1060="","",VLOOKUP(F1060,Tabelle1[],2))</f>
        <v>REAL COLOR 2</v>
      </c>
      <c r="C1060" s="40"/>
      <c r="D1060" s="41">
        <v>46129</v>
      </c>
      <c r="E1060" s="80"/>
      <c r="F1060" s="78">
        <v>10507</v>
      </c>
      <c r="G1060" s="43">
        <v>138.6</v>
      </c>
      <c r="H1060" s="38">
        <v>35110</v>
      </c>
      <c r="I1060" s="38">
        <v>12</v>
      </c>
      <c r="J1060" s="38">
        <v>35111</v>
      </c>
      <c r="K1060" s="38">
        <v>12</v>
      </c>
      <c r="L1060" s="38">
        <v>35115</v>
      </c>
      <c r="M1060" s="38">
        <v>12</v>
      </c>
    </row>
    <row r="1061" spans="1:19" x14ac:dyDescent="0.25">
      <c r="A1061" s="39" t="str">
        <f>IF(F1061="","",VLOOKUP(F1061,Tabelle1[],3))</f>
        <v>FERIZAJ</v>
      </c>
      <c r="B1061" s="40" t="str">
        <f>IF(F1061="","",VLOOKUP(F1061,Tabelle1[],2))</f>
        <v>LONI</v>
      </c>
      <c r="C1061" s="40"/>
      <c r="D1061" s="41">
        <v>46129</v>
      </c>
      <c r="E1061" s="80"/>
      <c r="F1061" s="78">
        <v>10509</v>
      </c>
      <c r="G1061" s="43">
        <v>105.4</v>
      </c>
      <c r="H1061" s="38">
        <v>50912</v>
      </c>
      <c r="I1061" s="38">
        <v>12</v>
      </c>
      <c r="J1061" s="38">
        <v>31819</v>
      </c>
      <c r="K1061" s="38">
        <v>2</v>
      </c>
      <c r="L1061" s="38">
        <v>44001</v>
      </c>
      <c r="M1061" s="38">
        <v>4</v>
      </c>
    </row>
    <row r="1062" spans="1:19" x14ac:dyDescent="0.25">
      <c r="A1062" s="39" t="str">
        <f>IF(F1062="","",VLOOKUP(F1062,Tabelle1[],3))</f>
        <v>FERIZAJ</v>
      </c>
      <c r="B1062" s="40" t="str">
        <f>IF(F1062="","",VLOOKUP(F1062,Tabelle1[],2))</f>
        <v>CARRALEVA 2</v>
      </c>
      <c r="C1062" s="40"/>
      <c r="D1062" s="41">
        <v>46129</v>
      </c>
      <c r="E1062" s="80"/>
      <c r="F1062" s="78">
        <v>10508</v>
      </c>
      <c r="G1062" s="43">
        <v>92.4</v>
      </c>
      <c r="H1062" s="38">
        <v>35109</v>
      </c>
      <c r="I1062" s="38">
        <v>12</v>
      </c>
      <c r="J1062" s="38">
        <v>35113</v>
      </c>
      <c r="K1062" s="38">
        <v>12</v>
      </c>
    </row>
    <row r="1063" spans="1:19" x14ac:dyDescent="0.25">
      <c r="A1063" s="39" t="str">
        <f>IF(F1063="","",VLOOKUP(F1063,Tabelle1[],3))</f>
        <v>FERIZAJ</v>
      </c>
      <c r="B1063" s="40" t="str">
        <f>IF(F1063="","",VLOOKUP(F1063,Tabelle1[],2))</f>
        <v>MULI</v>
      </c>
      <c r="C1063" s="40"/>
      <c r="D1063" s="41">
        <v>46129</v>
      </c>
      <c r="E1063" s="80"/>
      <c r="F1063" s="78">
        <v>10511</v>
      </c>
      <c r="G1063" s="43">
        <v>46.2</v>
      </c>
      <c r="H1063" s="38">
        <v>35128</v>
      </c>
      <c r="I1063" s="38">
        <v>12</v>
      </c>
    </row>
    <row r="1064" spans="1:19" x14ac:dyDescent="0.25">
      <c r="A1064" s="39" t="str">
        <f>IF(F1064="","",VLOOKUP(F1064,Tabelle1[],3))</f>
        <v>FERIZAJ</v>
      </c>
      <c r="B1064" s="40" t="str">
        <f>IF(F1064="","",VLOOKUP(F1064,Tabelle1[],2))</f>
        <v>BEKA</v>
      </c>
      <c r="C1064" s="40"/>
      <c r="D1064" s="41">
        <v>46129</v>
      </c>
      <c r="E1064" s="80"/>
      <c r="F1064" s="78">
        <v>10539</v>
      </c>
      <c r="G1064" s="43">
        <v>92.4</v>
      </c>
      <c r="H1064" s="38">
        <v>35110</v>
      </c>
      <c r="I1064" s="38">
        <v>12</v>
      </c>
      <c r="J1064" s="38">
        <v>35125</v>
      </c>
      <c r="K1064" s="38">
        <v>12</v>
      </c>
    </row>
    <row r="1065" spans="1:19" x14ac:dyDescent="0.25">
      <c r="A1065" s="39" t="str">
        <f>IF(F1065="","",VLOOKUP(F1065,Tabelle1[],3))</f>
        <v>KLINE</v>
      </c>
      <c r="B1065" s="40" t="str">
        <f>IF(F1065="","",VLOOKUP(F1065,Tabelle1[],2))</f>
        <v>RACI</v>
      </c>
      <c r="C1065" s="40"/>
      <c r="D1065" s="41">
        <v>46129</v>
      </c>
      <c r="E1065" s="80"/>
      <c r="F1065" s="78">
        <v>20501</v>
      </c>
      <c r="G1065" s="43">
        <v>225.7</v>
      </c>
      <c r="H1065" s="38">
        <v>35110</v>
      </c>
      <c r="I1065" s="38">
        <v>12</v>
      </c>
      <c r="J1065" s="38">
        <v>66701</v>
      </c>
      <c r="K1065" s="38">
        <v>12</v>
      </c>
      <c r="L1065" s="38">
        <v>35111</v>
      </c>
      <c r="M1065" s="38">
        <v>12</v>
      </c>
      <c r="N1065" s="38">
        <v>35115</v>
      </c>
      <c r="O1065" s="38">
        <v>12</v>
      </c>
      <c r="P1065" s="38">
        <v>44001</v>
      </c>
      <c r="Q1065" s="38">
        <v>5</v>
      </c>
    </row>
    <row r="1066" spans="1:19" x14ac:dyDescent="0.25">
      <c r="A1066" s="39" t="str">
        <f>IF(F1066="","",VLOOKUP(F1066,Tabelle1[],3))</f>
        <v>ISTOG</v>
      </c>
      <c r="B1066" s="40" t="str">
        <f>IF(F1066="","",VLOOKUP(F1066,Tabelle1[],2))</f>
        <v>LIRIDONA KLINE</v>
      </c>
      <c r="C1066" s="40"/>
      <c r="D1066" s="41">
        <v>46129</v>
      </c>
      <c r="E1066" s="80"/>
      <c r="F1066" s="78">
        <v>20511</v>
      </c>
      <c r="G1066" s="43">
        <v>323.39999999999998</v>
      </c>
      <c r="H1066" s="38">
        <v>35113</v>
      </c>
      <c r="I1066" s="38">
        <v>36</v>
      </c>
      <c r="J1066" s="38">
        <v>35108</v>
      </c>
      <c r="K1066" s="38">
        <v>12</v>
      </c>
      <c r="L1066" s="38">
        <v>35119</v>
      </c>
      <c r="M1066" s="38">
        <v>12</v>
      </c>
      <c r="N1066" s="38">
        <v>35109</v>
      </c>
      <c r="O1066" s="38">
        <v>12</v>
      </c>
      <c r="P1066" s="38">
        <v>35125</v>
      </c>
      <c r="Q1066" s="38">
        <v>12</v>
      </c>
    </row>
    <row r="1067" spans="1:19" x14ac:dyDescent="0.25">
      <c r="A1067" s="39" t="str">
        <f>IF(F1067="","",VLOOKUP(F1067,Tabelle1[],3))</f>
        <v>ISTOG</v>
      </c>
      <c r="B1067" s="40" t="str">
        <f>IF(F1067="","",VLOOKUP(F1067,Tabelle1[],2))</f>
        <v>BERATI A.P. (1)</v>
      </c>
      <c r="C1067" s="40"/>
      <c r="D1067" s="41">
        <v>46129</v>
      </c>
      <c r="E1067" s="80"/>
      <c r="F1067" s="78">
        <v>20513</v>
      </c>
      <c r="G1067" s="43">
        <v>30</v>
      </c>
      <c r="H1067" s="38">
        <v>51936</v>
      </c>
      <c r="I1067" s="38">
        <v>4</v>
      </c>
      <c r="J1067" s="38">
        <v>51736</v>
      </c>
      <c r="K1067" s="38">
        <v>4</v>
      </c>
      <c r="L1067" s="38">
        <v>16936</v>
      </c>
      <c r="M1067" s="38">
        <v>4</v>
      </c>
    </row>
    <row r="1068" spans="1:19" x14ac:dyDescent="0.25">
      <c r="A1068" s="39" t="str">
        <f>IF(F1068="","",VLOOKUP(F1068,Tabelle1[],3))</f>
        <v>KLINE</v>
      </c>
      <c r="B1068" s="40" t="str">
        <f>IF(F1068="","",VLOOKUP(F1068,Tabelle1[],2))</f>
        <v>HOXHA</v>
      </c>
      <c r="C1068" s="40"/>
      <c r="D1068" s="41">
        <v>46129</v>
      </c>
      <c r="E1068" s="80"/>
      <c r="F1068" s="78">
        <v>20502</v>
      </c>
      <c r="G1068" s="43">
        <v>92.4</v>
      </c>
      <c r="H1068" s="38">
        <v>35119</v>
      </c>
      <c r="I1068" s="38">
        <v>12</v>
      </c>
      <c r="J1068" s="38">
        <v>35125</v>
      </c>
      <c r="K1068" s="38">
        <v>12</v>
      </c>
    </row>
    <row r="1069" spans="1:19" x14ac:dyDescent="0.25">
      <c r="A1069" s="39" t="str">
        <f>IF(F1069="","",VLOOKUP(F1069,Tabelle1[],3))</f>
        <v>ISTOG</v>
      </c>
      <c r="B1069" s="40" t="str">
        <f>IF(F1069="","",VLOOKUP(F1069,Tabelle1[],2))</f>
        <v>LIRIDONA HOME</v>
      </c>
      <c r="C1069" s="40"/>
      <c r="D1069" s="41">
        <v>46129</v>
      </c>
      <c r="E1069" s="80"/>
      <c r="F1069" s="78">
        <v>20508</v>
      </c>
      <c r="G1069" s="43">
        <v>153.6</v>
      </c>
      <c r="H1069" s="38">
        <v>35115</v>
      </c>
      <c r="I1069" s="38">
        <v>12</v>
      </c>
      <c r="J1069" s="38">
        <v>35112</v>
      </c>
      <c r="K1069" s="38">
        <v>12</v>
      </c>
      <c r="L1069" s="38">
        <v>35121</v>
      </c>
      <c r="M1069" s="38">
        <v>12</v>
      </c>
      <c r="N1069" s="38">
        <v>51611</v>
      </c>
      <c r="O1069" s="38">
        <v>12</v>
      </c>
    </row>
    <row r="1070" spans="1:19" x14ac:dyDescent="0.25">
      <c r="A1070" s="39" t="str">
        <f>IF(F1070="","",VLOOKUP(F1070,Tabelle1[],3))</f>
        <v>ISTOG</v>
      </c>
      <c r="B1070" s="40" t="str">
        <f>IF(F1070="","",VLOOKUP(F1070,Tabelle1[],2))</f>
        <v>LIRIDONA-A</v>
      </c>
      <c r="C1070" s="40"/>
      <c r="D1070" s="41">
        <v>46129</v>
      </c>
      <c r="E1070" s="80"/>
      <c r="F1070" s="78">
        <v>20515</v>
      </c>
      <c r="G1070" s="43">
        <v>138.6</v>
      </c>
      <c r="H1070" s="38">
        <v>35109</v>
      </c>
      <c r="I1070" s="38">
        <v>24</v>
      </c>
      <c r="J1070" s="38">
        <v>35128</v>
      </c>
      <c r="K1070" s="38">
        <v>12</v>
      </c>
    </row>
    <row r="1071" spans="1:19" x14ac:dyDescent="0.25">
      <c r="A1071" s="39" t="str">
        <f>IF(F1071="","",VLOOKUP(F1071,Tabelle1[],3))</f>
        <v>SKENDERAJ</v>
      </c>
      <c r="B1071" s="40" t="str">
        <f>IF(F1071="","",VLOOKUP(F1071,Tabelle1[],2))</f>
        <v>A.P. HOTI</v>
      </c>
      <c r="C1071" s="40"/>
      <c r="D1071" s="41">
        <v>46129</v>
      </c>
      <c r="E1071" s="80"/>
      <c r="F1071" s="78">
        <v>20408</v>
      </c>
      <c r="G1071" s="43">
        <v>47.1</v>
      </c>
      <c r="H1071" s="38">
        <v>16936</v>
      </c>
      <c r="I1071" s="38">
        <v>4</v>
      </c>
      <c r="J1071" s="38">
        <v>49644</v>
      </c>
      <c r="K1071" s="38">
        <v>4</v>
      </c>
      <c r="L1071" s="38">
        <v>44001</v>
      </c>
      <c r="M1071" s="38">
        <v>2</v>
      </c>
      <c r="N1071" s="38">
        <v>51736</v>
      </c>
      <c r="O1071" s="38">
        <v>3</v>
      </c>
      <c r="P1071" s="38">
        <v>31827</v>
      </c>
      <c r="Q1071" s="38">
        <v>2</v>
      </c>
      <c r="R1071" s="38">
        <v>50912</v>
      </c>
      <c r="S1071" s="38">
        <v>3</v>
      </c>
    </row>
    <row r="1072" spans="1:19" x14ac:dyDescent="0.25">
      <c r="A1072" s="39" t="str">
        <f>IF(F1072="","",VLOOKUP(F1072,Tabelle1[],3))</f>
        <v>SKENDERAJ</v>
      </c>
      <c r="B1072" s="40" t="str">
        <f>IF(F1072="","",VLOOKUP(F1072,Tabelle1[],2))</f>
        <v>BENI</v>
      </c>
      <c r="C1072" s="40"/>
      <c r="D1072" s="41">
        <v>46129</v>
      </c>
      <c r="E1072" s="80"/>
      <c r="F1072" s="78">
        <v>20409</v>
      </c>
      <c r="G1072" s="43">
        <v>66.5</v>
      </c>
      <c r="H1072" s="38">
        <v>49644</v>
      </c>
      <c r="I1072" s="38">
        <v>12</v>
      </c>
      <c r="J1072" s="38">
        <v>16936</v>
      </c>
      <c r="K1072" s="38">
        <v>5</v>
      </c>
      <c r="L1072" s="38">
        <v>44001</v>
      </c>
      <c r="M1072" s="38">
        <v>5</v>
      </c>
      <c r="N1072" s="38">
        <v>26736</v>
      </c>
      <c r="O1072" s="38">
        <v>5</v>
      </c>
      <c r="P1072" s="38">
        <v>54412</v>
      </c>
      <c r="Q1072" s="38">
        <v>4</v>
      </c>
    </row>
    <row r="1073" spans="1:19" x14ac:dyDescent="0.25">
      <c r="A1073" s="39" t="str">
        <f>IF(F1073="","",VLOOKUP(F1073,Tabelle1[],3))</f>
        <v>SKENDERAJ</v>
      </c>
      <c r="B1073" s="40" t="str">
        <f>IF(F1073="","",VLOOKUP(F1073,Tabelle1[],2))</f>
        <v>TE BENI</v>
      </c>
      <c r="C1073" s="40"/>
      <c r="D1073" s="41">
        <v>46129</v>
      </c>
      <c r="E1073" s="80"/>
      <c r="F1073" s="78">
        <v>20407</v>
      </c>
      <c r="G1073" s="43">
        <v>138.6</v>
      </c>
      <c r="H1073" s="38">
        <v>35110</v>
      </c>
      <c r="I1073" s="38">
        <v>24</v>
      </c>
      <c r="J1073" s="38">
        <v>35121</v>
      </c>
      <c r="K1073" s="38">
        <v>12</v>
      </c>
    </row>
    <row r="1074" spans="1:19" x14ac:dyDescent="0.25">
      <c r="A1074" s="39" t="str">
        <f>IF(F1074="","",VLOOKUP(F1074,Tabelle1[],3))</f>
        <v>PODUJEVE</v>
      </c>
      <c r="B1074" s="40" t="str">
        <f>IF(F1074="","",VLOOKUP(F1074,Tabelle1[],2))</f>
        <v>TE ZENA</v>
      </c>
      <c r="C1074" s="40"/>
      <c r="D1074" s="41">
        <v>46130</v>
      </c>
      <c r="E1074" s="80"/>
      <c r="F1074" s="78">
        <v>10616</v>
      </c>
      <c r="G1074" s="43">
        <v>92.4</v>
      </c>
      <c r="H1074" s="38">
        <v>35113</v>
      </c>
      <c r="I1074" s="38">
        <v>12</v>
      </c>
      <c r="J1074" s="38">
        <v>35119</v>
      </c>
      <c r="K1074" s="38">
        <v>12</v>
      </c>
    </row>
    <row r="1075" spans="1:19" x14ac:dyDescent="0.25">
      <c r="A1075" s="39" t="str">
        <f>IF(F1075="","",VLOOKUP(F1075,Tabelle1[],3))</f>
        <v>PODUJEVE</v>
      </c>
      <c r="B1075" s="40" t="str">
        <f>IF(F1075="","",VLOOKUP(F1075,Tabelle1[],2))</f>
        <v>ALBANI</v>
      </c>
      <c r="C1075" s="40"/>
      <c r="D1075" s="41">
        <v>46130</v>
      </c>
      <c r="E1075" s="80"/>
      <c r="F1075" s="78">
        <v>10635</v>
      </c>
      <c r="G1075" s="43">
        <v>46.2</v>
      </c>
      <c r="H1075" s="38">
        <v>35128</v>
      </c>
      <c r="I1075" s="38">
        <v>12</v>
      </c>
    </row>
    <row r="1076" spans="1:19" x14ac:dyDescent="0.25">
      <c r="A1076" s="39" t="str">
        <f>IF(F1076="","",VLOOKUP(F1076,Tabelle1[],3))</f>
        <v>PODUJEVE</v>
      </c>
      <c r="B1076" s="40" t="str">
        <f>IF(F1076="","",VLOOKUP(F1076,Tabelle1[],2))</f>
        <v>KUJTA</v>
      </c>
      <c r="C1076" s="40"/>
      <c r="D1076" s="41">
        <v>46130</v>
      </c>
      <c r="E1076" s="80"/>
      <c r="F1076" s="78">
        <v>10625</v>
      </c>
      <c r="G1076" s="43">
        <v>166.2</v>
      </c>
      <c r="H1076" s="38">
        <v>35109</v>
      </c>
      <c r="I1076" s="38">
        <v>12</v>
      </c>
      <c r="J1076" s="38">
        <v>35114</v>
      </c>
      <c r="K1076" s="38">
        <v>12</v>
      </c>
      <c r="L1076" s="38">
        <v>35115</v>
      </c>
      <c r="M1076" s="38">
        <v>12</v>
      </c>
      <c r="N1076" s="38">
        <v>51612</v>
      </c>
      <c r="O1076" s="38">
        <v>12</v>
      </c>
    </row>
    <row r="1077" spans="1:19" x14ac:dyDescent="0.25">
      <c r="A1077" s="39" t="str">
        <f>IF(F1077="","",VLOOKUP(F1077,Tabelle1[],3))</f>
        <v>PODUJEVE</v>
      </c>
      <c r="B1077" s="40" t="str">
        <f>IF(F1077="","",VLOOKUP(F1077,Tabelle1[],2))</f>
        <v>SABITI</v>
      </c>
      <c r="C1077" s="40"/>
      <c r="D1077" s="41">
        <v>46130</v>
      </c>
      <c r="E1077" s="80"/>
      <c r="F1077" s="78">
        <v>10605</v>
      </c>
      <c r="G1077" s="43">
        <v>27.5</v>
      </c>
      <c r="H1077" s="38">
        <v>54412</v>
      </c>
      <c r="I1077" s="38">
        <v>5</v>
      </c>
      <c r="J1077" s="38">
        <v>44001</v>
      </c>
      <c r="K1077" s="38">
        <v>5</v>
      </c>
    </row>
    <row r="1078" spans="1:19" x14ac:dyDescent="0.25">
      <c r="A1078" s="39" t="str">
        <f>IF(F1078="","",VLOOKUP(F1078,Tabelle1[],3))</f>
        <v>PODUJEVE</v>
      </c>
      <c r="B1078" s="40" t="str">
        <f>IF(F1078="","",VLOOKUP(F1078,Tabelle1[],2))</f>
        <v>ALBANI</v>
      </c>
      <c r="C1078" s="40"/>
      <c r="D1078" s="41">
        <v>46130</v>
      </c>
      <c r="E1078" s="80"/>
      <c r="F1078" s="78">
        <v>10636</v>
      </c>
      <c r="G1078" s="43">
        <v>92.4</v>
      </c>
      <c r="H1078" s="38">
        <v>35112</v>
      </c>
      <c r="I1078" s="38">
        <v>12</v>
      </c>
      <c r="J1078" s="38">
        <v>35108</v>
      </c>
      <c r="K1078" s="38">
        <v>12</v>
      </c>
    </row>
    <row r="1079" spans="1:19" x14ac:dyDescent="0.25">
      <c r="A1079" s="39" t="str">
        <f>IF(F1079="","",VLOOKUP(F1079,Tabelle1[],3))</f>
        <v>FERIZAJ</v>
      </c>
      <c r="B1079" s="40" t="str">
        <f>IF(F1079="","",VLOOKUP(F1079,Tabelle1[],2))</f>
        <v>AS QERAMIKA</v>
      </c>
      <c r="C1079" s="40"/>
      <c r="D1079" s="41">
        <v>46130</v>
      </c>
      <c r="E1079" s="80"/>
      <c r="F1079" s="78">
        <v>20614</v>
      </c>
      <c r="G1079" s="43">
        <v>415.8</v>
      </c>
      <c r="H1079" s="38">
        <v>35109</v>
      </c>
      <c r="I1079" s="38">
        <v>60</v>
      </c>
      <c r="J1079" s="38">
        <v>35121</v>
      </c>
      <c r="K1079" s="38">
        <v>36</v>
      </c>
      <c r="L1079" s="38">
        <v>35125</v>
      </c>
      <c r="M1079" s="38">
        <v>12</v>
      </c>
    </row>
    <row r="1080" spans="1:19" x14ac:dyDescent="0.25">
      <c r="A1080" s="39" t="str">
        <f>IF(F1080="","",VLOOKUP(F1080,Tabelle1[],3))</f>
        <v>FERIZAJ</v>
      </c>
      <c r="B1080" s="40" t="str">
        <f>IF(F1080="","",VLOOKUP(F1080,Tabelle1[],2))</f>
        <v>SALIHU CORPORATION</v>
      </c>
      <c r="C1080" s="40"/>
      <c r="D1080" s="41">
        <v>46130</v>
      </c>
      <c r="E1080" s="80"/>
      <c r="F1080" s="78">
        <v>20635</v>
      </c>
      <c r="G1080" s="43">
        <v>92.4</v>
      </c>
      <c r="H1080" s="38">
        <v>35109</v>
      </c>
      <c r="I1080" s="38">
        <v>24</v>
      </c>
    </row>
    <row r="1081" spans="1:19" x14ac:dyDescent="0.25">
      <c r="A1081" s="39" t="str">
        <f>IF(F1081="","",VLOOKUP(F1081,Tabelle1[],3))</f>
        <v>FERIZAJ</v>
      </c>
      <c r="B1081" s="40" t="str">
        <f>IF(F1081="","",VLOOKUP(F1081,Tabelle1[],2))</f>
        <v>LTI</v>
      </c>
      <c r="C1081" s="40"/>
      <c r="D1081" s="41">
        <v>46130</v>
      </c>
      <c r="E1081" s="80"/>
      <c r="F1081" s="78">
        <v>20623</v>
      </c>
      <c r="G1081" s="43">
        <v>92.4</v>
      </c>
      <c r="H1081" s="38">
        <v>35110</v>
      </c>
      <c r="I1081" s="38">
        <v>12</v>
      </c>
      <c r="J1081" s="38">
        <v>35121</v>
      </c>
      <c r="K1081" s="38">
        <v>12</v>
      </c>
    </row>
    <row r="1082" spans="1:19" x14ac:dyDescent="0.25">
      <c r="A1082" s="39" t="str">
        <f>IF(F1082="","",VLOOKUP(F1082,Tabelle1[],3))</f>
        <v>FERIZAJ</v>
      </c>
      <c r="B1082" s="40" t="str">
        <f>IF(F1082="","",VLOOKUP(F1082,Tabelle1[],2))</f>
        <v>PROMOIN</v>
      </c>
      <c r="C1082" s="40"/>
      <c r="D1082" s="41">
        <v>46130</v>
      </c>
      <c r="E1082" s="80"/>
      <c r="F1082" s="78">
        <v>20603</v>
      </c>
      <c r="G1082" s="43">
        <v>92.4</v>
      </c>
      <c r="H1082" s="38">
        <v>35110</v>
      </c>
      <c r="I1082" s="38">
        <v>12</v>
      </c>
      <c r="J1082" s="38">
        <v>35113</v>
      </c>
      <c r="K1082" s="38">
        <v>12</v>
      </c>
    </row>
    <row r="1083" spans="1:19" x14ac:dyDescent="0.25">
      <c r="A1083" s="39" t="str">
        <f>IF(F1083="","",VLOOKUP(F1083,Tabelle1[],3))</f>
        <v>FERIZAJ</v>
      </c>
      <c r="B1083" s="40" t="str">
        <f>IF(F1083="","",VLOOKUP(F1083,Tabelle1[],2))</f>
        <v>AGROLONDI</v>
      </c>
      <c r="C1083" s="40"/>
      <c r="D1083" s="41">
        <v>46130</v>
      </c>
      <c r="E1083" s="80"/>
      <c r="F1083" s="78">
        <v>20602</v>
      </c>
      <c r="G1083" s="43">
        <v>92.4</v>
      </c>
      <c r="H1083" s="38">
        <v>35111</v>
      </c>
      <c r="I1083" s="38">
        <v>12</v>
      </c>
      <c r="J1083" s="38">
        <v>35113</v>
      </c>
      <c r="K1083" s="38">
        <v>12</v>
      </c>
    </row>
    <row r="1084" spans="1:19" x14ac:dyDescent="0.25">
      <c r="A1084" s="39" t="str">
        <f>IF(F1084="","",VLOOKUP(F1084,Tabelle1[],3))</f>
        <v>FERIZAJ</v>
      </c>
      <c r="B1084" s="40" t="str">
        <f>IF(F1084="","",VLOOKUP(F1084,Tabelle1[],2))</f>
        <v>HIDRO DANI</v>
      </c>
      <c r="C1084" s="40"/>
      <c r="D1084" s="41">
        <v>46130</v>
      </c>
      <c r="E1084" s="80"/>
      <c r="F1084" s="78">
        <v>20630</v>
      </c>
      <c r="G1084" s="43">
        <v>184.8</v>
      </c>
      <c r="H1084" s="38">
        <v>35110</v>
      </c>
      <c r="I1084" s="38">
        <v>12</v>
      </c>
      <c r="J1084" s="38">
        <v>35111</v>
      </c>
      <c r="K1084" s="38">
        <v>12</v>
      </c>
      <c r="L1084" s="38">
        <v>35128</v>
      </c>
      <c r="M1084" s="38">
        <v>12</v>
      </c>
      <c r="N1084" s="38">
        <v>35115</v>
      </c>
      <c r="O1084" s="38">
        <v>12</v>
      </c>
    </row>
    <row r="1085" spans="1:19" x14ac:dyDescent="0.25">
      <c r="A1085" s="39" t="str">
        <f>IF(F1085="","",VLOOKUP(F1085,Tabelle1[],3))</f>
        <v>FERIZAJ</v>
      </c>
      <c r="B1085" s="40" t="str">
        <f>IF(F1085="","",VLOOKUP(F1085,Tabelle1[],2))</f>
        <v>UNIKA</v>
      </c>
      <c r="C1085" s="40"/>
      <c r="D1085" s="41">
        <v>46130</v>
      </c>
      <c r="E1085" s="80"/>
      <c r="F1085" s="78">
        <v>20627</v>
      </c>
      <c r="G1085" s="43">
        <v>92.4</v>
      </c>
      <c r="H1085" s="38">
        <v>35115</v>
      </c>
      <c r="I1085" s="38">
        <v>12</v>
      </c>
      <c r="J1085" s="38">
        <v>35128</v>
      </c>
      <c r="K1085" s="38">
        <v>12</v>
      </c>
    </row>
    <row r="1086" spans="1:19" x14ac:dyDescent="0.25">
      <c r="A1086" s="39" t="str">
        <f>IF(F1086="","",VLOOKUP(F1086,Tabelle1[],3))</f>
        <v>FERIZAJ</v>
      </c>
      <c r="B1086" s="40" t="str">
        <f>IF(F1086="","",VLOOKUP(F1086,Tabelle1[],2))</f>
        <v>ALFA-QERAMIKA</v>
      </c>
      <c r="C1086" s="40"/>
      <c r="D1086" s="41">
        <v>46130</v>
      </c>
      <c r="E1086" s="80"/>
      <c r="F1086" s="78">
        <v>20604</v>
      </c>
      <c r="G1086" s="43">
        <v>323.39999999999998</v>
      </c>
      <c r="H1086" s="38">
        <v>35121</v>
      </c>
      <c r="I1086" s="38">
        <v>60</v>
      </c>
      <c r="J1086" s="38">
        <v>35114</v>
      </c>
      <c r="K1086" s="38">
        <v>24</v>
      </c>
    </row>
    <row r="1087" spans="1:19" x14ac:dyDescent="0.25">
      <c r="A1087" s="39" t="str">
        <f>IF(F1087="","",VLOOKUP(F1087,Tabelle1[],3))</f>
        <v>GERLIC</v>
      </c>
      <c r="B1087" s="40" t="str">
        <f>IF(F1087="","",VLOOKUP(F1087,Tabelle1[],2))</f>
        <v>TE-SYLA</v>
      </c>
      <c r="C1087" s="40"/>
      <c r="D1087" s="41">
        <v>46130</v>
      </c>
      <c r="E1087" s="80"/>
      <c r="F1087" s="78">
        <v>20606</v>
      </c>
      <c r="G1087" s="43">
        <v>200.3</v>
      </c>
      <c r="H1087" s="38">
        <v>35108</v>
      </c>
      <c r="I1087" s="38">
        <v>12</v>
      </c>
      <c r="J1087" s="38">
        <v>35121</v>
      </c>
      <c r="K1087" s="38">
        <v>12</v>
      </c>
      <c r="L1087" s="38">
        <v>35125</v>
      </c>
      <c r="M1087" s="38">
        <v>12</v>
      </c>
      <c r="N1087" s="38">
        <v>50912</v>
      </c>
      <c r="O1087" s="38">
        <v>6</v>
      </c>
      <c r="P1087" s="38">
        <v>55718</v>
      </c>
      <c r="Q1087" s="38">
        <v>3</v>
      </c>
      <c r="R1087" s="38">
        <v>49644</v>
      </c>
      <c r="S1087" s="38">
        <v>4</v>
      </c>
    </row>
    <row r="1088" spans="1:19" x14ac:dyDescent="0.25">
      <c r="A1088" s="39" t="str">
        <f>IF(F1088="","",VLOOKUP(F1088,Tabelle1[],3))</f>
        <v>FERIZAJ</v>
      </c>
      <c r="B1088" s="40" t="str">
        <f>IF(F1088="","",VLOOKUP(F1088,Tabelle1[],2))</f>
        <v>LONI</v>
      </c>
      <c r="C1088" s="40"/>
      <c r="D1088" s="41">
        <v>46130</v>
      </c>
      <c r="E1088" s="80"/>
      <c r="F1088" s="78">
        <v>20608</v>
      </c>
      <c r="G1088" s="43">
        <v>184.8</v>
      </c>
      <c r="H1088" s="38">
        <v>35110</v>
      </c>
      <c r="I1088" s="38">
        <v>24</v>
      </c>
      <c r="J1088" s="38">
        <v>35121</v>
      </c>
      <c r="K1088" s="38">
        <v>24</v>
      </c>
    </row>
    <row r="1089" spans="1:17" x14ac:dyDescent="0.25">
      <c r="A1089" s="39" t="str">
        <f>IF(F1089="","",VLOOKUP(F1089,Tabelle1[],3))</f>
        <v>GADIME</v>
      </c>
      <c r="B1089" s="40" t="str">
        <f>IF(F1089="","",VLOOKUP(F1089,Tabelle1[],2))</f>
        <v>MIX-B</v>
      </c>
      <c r="C1089" s="40"/>
      <c r="D1089" s="41">
        <v>46130</v>
      </c>
      <c r="E1089" s="80"/>
      <c r="F1089" s="78">
        <v>20615</v>
      </c>
      <c r="G1089" s="43">
        <v>138.6</v>
      </c>
      <c r="H1089" s="38">
        <v>35113</v>
      </c>
      <c r="I1089" s="38">
        <v>12</v>
      </c>
      <c r="J1089" s="38">
        <v>35128</v>
      </c>
      <c r="K1089" s="38">
        <v>12</v>
      </c>
      <c r="L1089" s="38">
        <v>35121</v>
      </c>
      <c r="M1089" s="38">
        <v>12</v>
      </c>
    </row>
    <row r="1090" spans="1:17" x14ac:dyDescent="0.25">
      <c r="A1090" s="39" t="str">
        <f>IF(F1090="","",VLOOKUP(F1090,Tabelle1[],3))</f>
        <v>PRISHTINE</v>
      </c>
      <c r="B1090" s="40" t="str">
        <f>IF(F1090="","",VLOOKUP(F1090,Tabelle1[],2))</f>
        <v>HIDROELDI</v>
      </c>
      <c r="C1090" s="40"/>
      <c r="D1090" s="41">
        <v>46132</v>
      </c>
      <c r="E1090" s="80"/>
      <c r="F1090" s="78">
        <v>10133</v>
      </c>
      <c r="G1090" s="43">
        <v>92.4</v>
      </c>
      <c r="H1090" s="38">
        <v>35109</v>
      </c>
      <c r="I1090" s="38">
        <v>12</v>
      </c>
      <c r="J1090" s="38">
        <v>35119</v>
      </c>
      <c r="K1090" s="38">
        <v>12</v>
      </c>
    </row>
    <row r="1091" spans="1:17" x14ac:dyDescent="0.25">
      <c r="A1091" s="39" t="str">
        <f>IF(F1091="","",VLOOKUP(F1091,Tabelle1[],3))</f>
        <v>PRISHTINE</v>
      </c>
      <c r="B1091" s="40" t="str">
        <f>IF(F1091="","",VLOOKUP(F1091,Tabelle1[],2))</f>
        <v>KRRABAJ</v>
      </c>
      <c r="C1091" s="40"/>
      <c r="D1091" s="41">
        <v>46132</v>
      </c>
      <c r="E1091" s="80"/>
      <c r="F1091" s="78">
        <v>10145</v>
      </c>
      <c r="G1091" s="43">
        <v>184.8</v>
      </c>
      <c r="H1091" s="38">
        <v>35109</v>
      </c>
      <c r="I1091" s="38">
        <v>12</v>
      </c>
      <c r="J1091" s="38">
        <v>35112</v>
      </c>
      <c r="K1091" s="38">
        <v>12</v>
      </c>
      <c r="L1091" s="38">
        <v>35114</v>
      </c>
      <c r="M1091" s="38">
        <v>12</v>
      </c>
      <c r="N1091" s="38">
        <v>35115</v>
      </c>
      <c r="O1091" s="38">
        <v>12</v>
      </c>
    </row>
    <row r="1092" spans="1:17" x14ac:dyDescent="0.25">
      <c r="A1092" s="39" t="str">
        <f>IF(F1092="","",VLOOKUP(F1092,Tabelle1[],3))</f>
        <v>PRISHTINE</v>
      </c>
      <c r="B1092" s="40" t="str">
        <f>IF(F1092="","",VLOOKUP(F1092,Tabelle1[],2))</f>
        <v>KADIJOLLET</v>
      </c>
      <c r="C1092" s="40"/>
      <c r="D1092" s="41">
        <v>46132</v>
      </c>
      <c r="E1092" s="80"/>
      <c r="F1092" s="78">
        <v>10111</v>
      </c>
      <c r="G1092" s="43">
        <v>127.9</v>
      </c>
      <c r="H1092" s="38">
        <v>35109</v>
      </c>
      <c r="I1092" s="38">
        <v>12</v>
      </c>
      <c r="J1092" s="38">
        <v>35128</v>
      </c>
      <c r="K1092" s="38">
        <v>12</v>
      </c>
      <c r="L1092" s="38">
        <v>51611</v>
      </c>
      <c r="M1092" s="38">
        <v>12</v>
      </c>
      <c r="N1092" s="38">
        <v>54412</v>
      </c>
      <c r="O1092" s="38">
        <v>5</v>
      </c>
      <c r="P1092" s="38">
        <v>55718</v>
      </c>
      <c r="Q1092" s="38">
        <v>3</v>
      </c>
    </row>
    <row r="1093" spans="1:17" x14ac:dyDescent="0.25">
      <c r="A1093" s="39" t="str">
        <f>IF(F1093="","",VLOOKUP(F1093,Tabelle1[],3))</f>
        <v>BARDHOSH</v>
      </c>
      <c r="B1093" s="40" t="str">
        <f>IF(F1093="","",VLOOKUP(F1093,Tabelle1[],2))</f>
        <v>QELA</v>
      </c>
      <c r="C1093" s="40"/>
      <c r="D1093" s="41">
        <v>46132</v>
      </c>
      <c r="E1093" s="80"/>
      <c r="F1093" s="78">
        <v>10114</v>
      </c>
      <c r="G1093" s="43">
        <v>36.6</v>
      </c>
      <c r="H1093" s="38">
        <v>51611</v>
      </c>
      <c r="I1093" s="38">
        <v>12</v>
      </c>
      <c r="J1093" s="38">
        <v>50912</v>
      </c>
      <c r="K1093" s="38">
        <v>3</v>
      </c>
    </row>
    <row r="1094" spans="1:17" x14ac:dyDescent="0.25">
      <c r="A1094" s="39" t="str">
        <f>IF(F1094="","",VLOOKUP(F1094,Tabelle1[],3))</f>
        <v>PRIZREN</v>
      </c>
      <c r="B1094" s="40" t="str">
        <f>IF(F1094="","",VLOOKUP(F1094,Tabelle1[],2))</f>
        <v>TEMAJ</v>
      </c>
      <c r="C1094" s="40"/>
      <c r="D1094" s="41">
        <v>46132</v>
      </c>
      <c r="E1094" s="80"/>
      <c r="F1094" s="78">
        <v>40019</v>
      </c>
      <c r="G1094" s="43">
        <v>107.4</v>
      </c>
      <c r="H1094" s="38">
        <v>35119</v>
      </c>
      <c r="I1094" s="38">
        <v>12</v>
      </c>
      <c r="J1094" s="38">
        <v>35128</v>
      </c>
      <c r="K1094" s="38">
        <v>12</v>
      </c>
      <c r="L1094" s="38">
        <v>51611</v>
      </c>
      <c r="M1094" s="38">
        <v>12</v>
      </c>
    </row>
    <row r="1095" spans="1:17" x14ac:dyDescent="0.25">
      <c r="A1095" s="39" t="str">
        <f>IF(F1095="","",VLOOKUP(F1095,Tabelle1[],3))</f>
        <v>PEJE</v>
      </c>
      <c r="B1095" s="40" t="str">
        <f>IF(F1095="","",VLOOKUP(F1095,Tabelle1[],2))</f>
        <v>KENA COMERC</v>
      </c>
      <c r="C1095" s="40"/>
      <c r="D1095" s="41">
        <v>46132</v>
      </c>
      <c r="E1095" s="80"/>
      <c r="F1095" s="78">
        <v>20109</v>
      </c>
      <c r="G1095" s="43">
        <v>198.6</v>
      </c>
      <c r="H1095" s="38">
        <v>35125</v>
      </c>
      <c r="I1095" s="38">
        <v>24</v>
      </c>
      <c r="J1095" s="38">
        <v>35110</v>
      </c>
      <c r="K1095" s="38">
        <v>12</v>
      </c>
      <c r="L1095" s="38">
        <v>51611</v>
      </c>
      <c r="M1095" s="38">
        <v>48</v>
      </c>
    </row>
    <row r="1096" spans="1:17" x14ac:dyDescent="0.25">
      <c r="A1096" s="39" t="str">
        <f>IF(F1096="","",VLOOKUP(F1096,Tabelle1[],3))</f>
        <v>PEJE</v>
      </c>
      <c r="B1096" s="40" t="str">
        <f>IF(F1096="","",VLOOKUP(F1096,Tabelle1[],2))</f>
        <v>TECOL 2</v>
      </c>
      <c r="C1096" s="40"/>
      <c r="D1096" s="41">
        <v>46132</v>
      </c>
      <c r="E1096" s="80"/>
      <c r="F1096" s="78">
        <v>20111</v>
      </c>
      <c r="G1096" s="43">
        <v>49.5</v>
      </c>
      <c r="H1096" s="38">
        <v>51936</v>
      </c>
      <c r="I1096" s="38">
        <v>6</v>
      </c>
      <c r="J1096" s="38">
        <v>51736</v>
      </c>
      <c r="K1096" s="38">
        <v>6</v>
      </c>
      <c r="L1096" s="38">
        <v>56117</v>
      </c>
      <c r="M1096" s="38">
        <v>3</v>
      </c>
      <c r="N1096" s="38">
        <v>16936</v>
      </c>
      <c r="O1096" s="38">
        <v>3</v>
      </c>
    </row>
    <row r="1097" spans="1:17" x14ac:dyDescent="0.25">
      <c r="A1097" s="39" t="str">
        <f>IF(F1097="","",VLOOKUP(F1097,Tabelle1[],3))</f>
        <v>PEJE</v>
      </c>
      <c r="B1097" s="40" t="str">
        <f>IF(F1097="","",VLOOKUP(F1097,Tabelle1[],2))</f>
        <v>LULI-C</v>
      </c>
      <c r="C1097" s="40"/>
      <c r="D1097" s="41">
        <v>46132</v>
      </c>
      <c r="E1097" s="80"/>
      <c r="F1097" s="78">
        <v>20126</v>
      </c>
      <c r="G1097" s="43">
        <v>174</v>
      </c>
      <c r="H1097" s="38">
        <v>66701</v>
      </c>
      <c r="I1097" s="38">
        <v>12</v>
      </c>
      <c r="J1097" s="38">
        <v>35119</v>
      </c>
      <c r="K1097" s="38">
        <v>12</v>
      </c>
      <c r="L1097" s="38">
        <v>35128</v>
      </c>
      <c r="M1097" s="38">
        <v>12</v>
      </c>
      <c r="N1097" s="38">
        <v>49644</v>
      </c>
      <c r="O1097" s="38">
        <v>6</v>
      </c>
    </row>
    <row r="1098" spans="1:17" x14ac:dyDescent="0.25">
      <c r="A1098" s="39" t="str">
        <f>IF(F1098="","",VLOOKUP(F1098,Tabelle1[],3))</f>
        <v>PEJE</v>
      </c>
      <c r="B1098" s="40" t="str">
        <f>IF(F1098="","",VLOOKUP(F1098,Tabelle1[],2))</f>
        <v>CAMA BAU</v>
      </c>
      <c r="C1098" s="40"/>
      <c r="D1098" s="41">
        <v>46132</v>
      </c>
      <c r="E1098" s="80"/>
      <c r="F1098" s="78">
        <v>20121</v>
      </c>
      <c r="G1098" s="43">
        <v>184.8</v>
      </c>
      <c r="H1098" s="38">
        <v>35108</v>
      </c>
      <c r="I1098" s="38">
        <v>12</v>
      </c>
      <c r="J1098" s="38">
        <v>35121</v>
      </c>
      <c r="K1098" s="38">
        <v>36</v>
      </c>
    </row>
    <row r="1099" spans="1:17" x14ac:dyDescent="0.25">
      <c r="A1099" s="39" t="str">
        <f>IF(F1099="","",VLOOKUP(F1099,Tabelle1[],3))</f>
        <v>PEJE</v>
      </c>
      <c r="B1099" s="40" t="str">
        <f>IF(F1099="","",VLOOKUP(F1099,Tabelle1[],2))</f>
        <v>KTHIMI</v>
      </c>
      <c r="C1099" s="40"/>
      <c r="D1099" s="41">
        <v>46132</v>
      </c>
      <c r="E1099" s="80"/>
      <c r="F1099" s="78">
        <v>20104</v>
      </c>
      <c r="G1099" s="43">
        <v>138.6</v>
      </c>
      <c r="H1099" s="38">
        <v>35113</v>
      </c>
      <c r="I1099" s="38">
        <v>24</v>
      </c>
      <c r="J1099" s="38">
        <v>35108</v>
      </c>
      <c r="K1099" s="38">
        <v>12</v>
      </c>
    </row>
    <row r="1100" spans="1:17" x14ac:dyDescent="0.25">
      <c r="A1100" s="39" t="str">
        <f>IF(F1100="","",VLOOKUP(F1100,Tabelle1[],3))</f>
        <v>PEJE</v>
      </c>
      <c r="B1100" s="40" t="str">
        <f>IF(F1100="","",VLOOKUP(F1100,Tabelle1[],2))</f>
        <v>ING PROJEKT</v>
      </c>
      <c r="C1100" s="40"/>
      <c r="D1100" s="41">
        <v>46132</v>
      </c>
      <c r="E1100" s="80"/>
      <c r="F1100" s="78">
        <v>20108</v>
      </c>
      <c r="G1100" s="43">
        <v>101.4</v>
      </c>
      <c r="H1100" s="38">
        <v>35115</v>
      </c>
      <c r="I1100" s="38">
        <v>12</v>
      </c>
      <c r="J1100" s="38">
        <v>51612</v>
      </c>
      <c r="K1100" s="38">
        <v>24</v>
      </c>
    </row>
    <row r="1101" spans="1:17" x14ac:dyDescent="0.25">
      <c r="A1101" s="39" t="str">
        <f>IF(F1101="","",VLOOKUP(F1101,Tabelle1[],3))</f>
        <v>PEJE</v>
      </c>
      <c r="B1101" s="40" t="str">
        <f>IF(F1101="","",VLOOKUP(F1101,Tabelle1[],2))</f>
        <v>TERMO PROJEKT</v>
      </c>
      <c r="C1101" s="40"/>
      <c r="D1101" s="41">
        <v>46132</v>
      </c>
      <c r="E1101" s="80"/>
      <c r="F1101" s="78">
        <v>20127</v>
      </c>
      <c r="G1101" s="43">
        <v>69.599999999999994</v>
      </c>
      <c r="H1101" s="38">
        <v>66701</v>
      </c>
      <c r="I1101" s="38">
        <v>12</v>
      </c>
    </row>
    <row r="1102" spans="1:17" x14ac:dyDescent="0.25">
      <c r="A1102" s="39" t="str">
        <f>IF(F1102="","",VLOOKUP(F1102,Tabelle1[],3))</f>
        <v>PEJE</v>
      </c>
      <c r="B1102" s="40" t="str">
        <f>IF(F1102="","",VLOOKUP(F1102,Tabelle1[],2))</f>
        <v>KUQI-LKW</v>
      </c>
      <c r="C1102" s="40"/>
      <c r="D1102" s="41">
        <v>46132</v>
      </c>
      <c r="E1102" s="80"/>
      <c r="F1102" s="78">
        <v>20102</v>
      </c>
      <c r="G1102" s="43">
        <v>34</v>
      </c>
      <c r="H1102" s="38">
        <v>49644</v>
      </c>
      <c r="I1102" s="38">
        <v>7</v>
      </c>
      <c r="J1102" s="38">
        <v>55718</v>
      </c>
      <c r="K1102" s="38">
        <v>4</v>
      </c>
      <c r="L1102" s="38">
        <v>54412</v>
      </c>
      <c r="M1102" s="38">
        <v>3</v>
      </c>
    </row>
    <row r="1103" spans="1:17" x14ac:dyDescent="0.25">
      <c r="A1103" s="39" t="str">
        <f>IF(F1103="","",VLOOKUP(F1103,Tabelle1[],3))</f>
        <v>SHIROK</v>
      </c>
      <c r="B1103" s="40" t="str">
        <f>IF(F1103="","",VLOOKUP(F1103,Tabelle1[],2))</f>
        <v>BARDHI</v>
      </c>
      <c r="C1103" s="40"/>
      <c r="D1103" s="41">
        <v>46133</v>
      </c>
      <c r="E1103" s="80"/>
      <c r="F1103" s="78">
        <v>10244</v>
      </c>
      <c r="G1103" s="43">
        <v>46.2</v>
      </c>
      <c r="H1103" s="38">
        <v>35121</v>
      </c>
      <c r="I1103" s="38">
        <v>12</v>
      </c>
    </row>
    <row r="1104" spans="1:17" x14ac:dyDescent="0.25">
      <c r="A1104" s="39" t="str">
        <f>IF(F1104="","",VLOOKUP(F1104,Tabelle1[],3))</f>
        <v>PRIZREN</v>
      </c>
      <c r="B1104" s="40" t="str">
        <f>IF(F1104="","",VLOOKUP(F1104,Tabelle1[],2))</f>
        <v>AB SHPK</v>
      </c>
      <c r="C1104" s="40"/>
      <c r="D1104" s="41">
        <v>46133</v>
      </c>
      <c r="E1104" s="80"/>
      <c r="F1104" s="78">
        <v>10241</v>
      </c>
      <c r="G1104" s="43">
        <v>138.6</v>
      </c>
      <c r="H1104" s="38">
        <v>35108</v>
      </c>
      <c r="I1104" s="38">
        <v>12</v>
      </c>
      <c r="J1104" s="38">
        <v>35109</v>
      </c>
      <c r="K1104" s="38">
        <v>12</v>
      </c>
      <c r="L1104" s="38">
        <v>35110</v>
      </c>
      <c r="M1104" s="38">
        <v>12</v>
      </c>
    </row>
    <row r="1105" spans="1:15" x14ac:dyDescent="0.25">
      <c r="A1105" s="39" t="str">
        <f>IF(F1105="","",VLOOKUP(F1105,Tabelle1[],3))</f>
        <v>ZYM</v>
      </c>
      <c r="B1105" s="40" t="str">
        <f>IF(F1105="","",VLOOKUP(F1105,Tabelle1[],2))</f>
        <v>BEK TRADE</v>
      </c>
      <c r="C1105" s="40"/>
      <c r="D1105" s="41">
        <v>46133</v>
      </c>
      <c r="E1105" s="80"/>
      <c r="F1105" s="78">
        <v>10245</v>
      </c>
      <c r="G1105" s="43">
        <v>138.6</v>
      </c>
      <c r="H1105" s="38">
        <v>35109</v>
      </c>
      <c r="I1105" s="38">
        <v>12</v>
      </c>
      <c r="J1105" s="38">
        <v>35111</v>
      </c>
      <c r="K1105" s="38">
        <v>12</v>
      </c>
      <c r="L1105" s="38">
        <v>35128</v>
      </c>
      <c r="M1105" s="38">
        <v>12</v>
      </c>
    </row>
    <row r="1106" spans="1:15" x14ac:dyDescent="0.25">
      <c r="A1106" s="39" t="str">
        <f>IF(F1106="","",VLOOKUP(F1106,Tabelle1[],3))</f>
        <v>PRIZREN</v>
      </c>
      <c r="B1106" s="40" t="str">
        <f>IF(F1106="","",VLOOKUP(F1106,Tabelle1[],2))</f>
        <v>ARPO</v>
      </c>
      <c r="C1106" s="40"/>
      <c r="D1106" s="41">
        <v>46133</v>
      </c>
      <c r="E1106" s="80"/>
      <c r="F1106" s="78">
        <v>10240</v>
      </c>
      <c r="G1106" s="43">
        <v>184.8</v>
      </c>
      <c r="H1106" s="38">
        <v>35113</v>
      </c>
      <c r="I1106" s="38">
        <v>12</v>
      </c>
      <c r="J1106" s="38">
        <v>35114</v>
      </c>
      <c r="K1106" s="38">
        <v>12</v>
      </c>
      <c r="L1106" s="38">
        <v>35128</v>
      </c>
      <c r="M1106" s="38">
        <v>12</v>
      </c>
      <c r="N1106" s="38">
        <v>35109</v>
      </c>
      <c r="O1106" s="38">
        <v>12</v>
      </c>
    </row>
    <row r="1107" spans="1:15" x14ac:dyDescent="0.25">
      <c r="A1107" s="39" t="str">
        <f>IF(F1107="","",VLOOKUP(F1107,Tabelle1[],3))</f>
        <v>SHIROK</v>
      </c>
      <c r="B1107" s="40" t="str">
        <f>IF(F1107="","",VLOOKUP(F1107,Tabelle1[],2))</f>
        <v>XHAFA</v>
      </c>
      <c r="C1107" s="40"/>
      <c r="D1107" s="41">
        <v>46133</v>
      </c>
      <c r="E1107" s="80"/>
      <c r="F1107" s="78">
        <v>10205</v>
      </c>
      <c r="G1107" s="43">
        <v>106.8</v>
      </c>
      <c r="H1107" s="38">
        <v>35121</v>
      </c>
      <c r="I1107" s="38">
        <v>12</v>
      </c>
      <c r="J1107" s="38">
        <v>35128</v>
      </c>
      <c r="K1107" s="38">
        <v>12</v>
      </c>
      <c r="L1107" s="38">
        <v>50912</v>
      </c>
      <c r="M1107" s="38">
        <v>2</v>
      </c>
    </row>
    <row r="1108" spans="1:15" x14ac:dyDescent="0.25">
      <c r="A1108" s="39" t="str">
        <f>IF(F1108="","",VLOOKUP(F1108,Tabelle1[],3))</f>
        <v>THARAND</v>
      </c>
      <c r="B1108" s="40" t="str">
        <f>IF(F1108="","",VLOOKUP(F1108,Tabelle1[],2))</f>
        <v>TE BESNIKU</v>
      </c>
      <c r="C1108" s="40"/>
      <c r="D1108" s="41">
        <v>46133</v>
      </c>
      <c r="E1108" s="80"/>
      <c r="F1108" s="78">
        <v>10201</v>
      </c>
      <c r="G1108" s="43">
        <v>46.2</v>
      </c>
      <c r="H1108" s="38">
        <v>35119</v>
      </c>
      <c r="I1108" s="38">
        <v>12</v>
      </c>
    </row>
    <row r="1109" spans="1:15" x14ac:dyDescent="0.25">
      <c r="A1109" s="39" t="str">
        <f>IF(F1109="","",VLOOKUP(F1109,Tabelle1[],3))</f>
        <v>DUHEL</v>
      </c>
      <c r="B1109" s="40" t="str">
        <f>IF(F1109="","",VLOOKUP(F1109,Tabelle1[],2))</f>
        <v>JETA DUHEL</v>
      </c>
      <c r="C1109" s="40"/>
      <c r="D1109" s="41">
        <v>46133</v>
      </c>
      <c r="E1109" s="80"/>
      <c r="F1109" s="78">
        <v>10230</v>
      </c>
      <c r="G1109" s="43">
        <v>138.6</v>
      </c>
      <c r="H1109" s="38">
        <v>35109</v>
      </c>
      <c r="I1109" s="38">
        <v>12</v>
      </c>
      <c r="J1109" s="38">
        <v>35112</v>
      </c>
      <c r="K1109" s="38">
        <v>12</v>
      </c>
      <c r="L1109" s="38">
        <v>35121</v>
      </c>
      <c r="M1109" s="38">
        <v>12</v>
      </c>
    </row>
    <row r="1110" spans="1:15" x14ac:dyDescent="0.25">
      <c r="A1110" s="39" t="str">
        <f>IF(F1110="","",VLOOKUP(F1110,Tabelle1[],3))</f>
        <v>LIPJAN</v>
      </c>
      <c r="B1110" s="40" t="str">
        <f>IF(F1110="","",VLOOKUP(F1110,Tabelle1[],2))</f>
        <v>TE RAMIZI</v>
      </c>
      <c r="C1110" s="40"/>
      <c r="D1110" s="41">
        <v>46133</v>
      </c>
      <c r="E1110" s="80"/>
      <c r="F1110" s="78">
        <v>10528</v>
      </c>
      <c r="G1110" s="43">
        <v>46.2</v>
      </c>
      <c r="H1110" s="38">
        <v>35121</v>
      </c>
      <c r="I1110" s="38">
        <v>12</v>
      </c>
    </row>
    <row r="1111" spans="1:15" x14ac:dyDescent="0.25">
      <c r="A1111" s="39" t="str">
        <f>IF(F1111="","",VLOOKUP(F1111,Tabelle1[],3))</f>
        <v>PRIZREN</v>
      </c>
      <c r="B1111" s="40" t="str">
        <f>IF(F1111="","",VLOOKUP(F1111,Tabelle1[],2))</f>
        <v>TEMAJ</v>
      </c>
      <c r="C1111" s="40"/>
      <c r="D1111" s="41">
        <v>46133</v>
      </c>
      <c r="E1111" s="80"/>
      <c r="F1111" s="78">
        <v>40019</v>
      </c>
      <c r="G1111" s="43">
        <v>231</v>
      </c>
      <c r="H1111" s="38">
        <v>35109</v>
      </c>
      <c r="I1111" s="38">
        <v>24</v>
      </c>
      <c r="J1111" s="38">
        <v>35108</v>
      </c>
      <c r="K1111" s="38">
        <v>12</v>
      </c>
      <c r="L1111" s="38">
        <v>35121</v>
      </c>
      <c r="M1111" s="38">
        <v>12</v>
      </c>
      <c r="N1111" s="38">
        <v>35119</v>
      </c>
      <c r="O1111" s="38">
        <v>12</v>
      </c>
    </row>
    <row r="1112" spans="1:15" x14ac:dyDescent="0.25">
      <c r="A1112" s="39" t="str">
        <f>IF(F1112="","",VLOOKUP(F1112,Tabelle1[],3))</f>
        <v>GJAKOVE</v>
      </c>
      <c r="B1112" s="40" t="str">
        <f>IF(F1112="","",VLOOKUP(F1112,Tabelle1[],2))</f>
        <v>TANI</v>
      </c>
      <c r="C1112" s="40"/>
      <c r="D1112" s="41">
        <v>46133</v>
      </c>
      <c r="E1112" s="80"/>
      <c r="F1112" s="78">
        <v>20224</v>
      </c>
      <c r="G1112" s="43">
        <v>138.6</v>
      </c>
      <c r="H1112" s="38">
        <v>35110</v>
      </c>
      <c r="I1112" s="38">
        <v>12</v>
      </c>
      <c r="J1112" s="38">
        <v>35111</v>
      </c>
      <c r="K1112" s="38">
        <v>12</v>
      </c>
      <c r="L1112" s="38">
        <v>35112</v>
      </c>
      <c r="M1112" s="38">
        <v>12</v>
      </c>
    </row>
    <row r="1113" spans="1:15" x14ac:dyDescent="0.25">
      <c r="A1113" s="39" t="str">
        <f>IF(F1113="","",VLOOKUP(F1113,Tabelle1[],3))</f>
        <v>GJAKOVE</v>
      </c>
      <c r="B1113" s="40" t="str">
        <f>IF(F1113="","",VLOOKUP(F1113,Tabelle1[],2))</f>
        <v>LETAJ</v>
      </c>
      <c r="C1113" s="40"/>
      <c r="D1113" s="41">
        <v>46133</v>
      </c>
      <c r="E1113" s="80"/>
      <c r="F1113" s="78">
        <v>20209</v>
      </c>
      <c r="G1113" s="43">
        <v>142.19999999999999</v>
      </c>
      <c r="H1113" s="38">
        <v>50912</v>
      </c>
      <c r="I1113" s="38">
        <v>12</v>
      </c>
      <c r="J1113" s="38">
        <v>35128</v>
      </c>
      <c r="K1113" s="38">
        <v>12</v>
      </c>
    </row>
    <row r="1114" spans="1:15" x14ac:dyDescent="0.25">
      <c r="A1114" s="39" t="str">
        <f>IF(F1114="","",VLOOKUP(F1114,Tabelle1[],3))</f>
        <v>JUNIK</v>
      </c>
      <c r="B1114" s="40" t="str">
        <f>IF(F1114="","",VLOOKUP(F1114,Tabelle1[],2))</f>
        <v>GACAFERI-RG</v>
      </c>
      <c r="C1114" s="40"/>
      <c r="D1114" s="41">
        <v>46133</v>
      </c>
      <c r="E1114" s="80"/>
      <c r="F1114" s="78">
        <v>20205</v>
      </c>
      <c r="G1114" s="43">
        <v>51.6</v>
      </c>
      <c r="H1114" s="38">
        <v>56117</v>
      </c>
      <c r="I1114" s="38">
        <v>6</v>
      </c>
      <c r="J1114" s="38">
        <v>51612</v>
      </c>
      <c r="K1114" s="38">
        <v>12</v>
      </c>
    </row>
    <row r="1115" spans="1:15" x14ac:dyDescent="0.25">
      <c r="A1115" s="39" t="str">
        <f>IF(F1115="","",VLOOKUP(F1115,Tabelle1[],3))</f>
        <v>GJAKOVE</v>
      </c>
      <c r="B1115" s="40" t="str">
        <f>IF(F1115="","",VLOOKUP(F1115,Tabelle1[],2))</f>
        <v>INOX 1</v>
      </c>
      <c r="C1115" s="40"/>
      <c r="D1115" s="41">
        <v>46133</v>
      </c>
      <c r="E1115" s="80"/>
      <c r="F1115" s="78">
        <v>20211</v>
      </c>
      <c r="G1115" s="43">
        <v>107.4</v>
      </c>
      <c r="H1115" s="38">
        <v>35112</v>
      </c>
      <c r="I1115" s="38">
        <v>12</v>
      </c>
      <c r="J1115" s="38">
        <v>35113</v>
      </c>
      <c r="K1115" s="38">
        <v>12</v>
      </c>
      <c r="L1115" s="38">
        <v>51611</v>
      </c>
      <c r="M1115" s="38">
        <v>12</v>
      </c>
    </row>
    <row r="1116" spans="1:15" x14ac:dyDescent="0.25">
      <c r="A1116" s="39" t="str">
        <f>IF(F1116="","",VLOOKUP(F1116,Tabelle1[],3))</f>
        <v>GJAKOVE</v>
      </c>
      <c r="B1116" s="40" t="str">
        <f>IF(F1116="","",VLOOKUP(F1116,Tabelle1[],2))</f>
        <v>INOX 2</v>
      </c>
      <c r="C1116" s="40"/>
      <c r="D1116" s="41">
        <v>46133</v>
      </c>
      <c r="E1116" s="80"/>
      <c r="F1116" s="78">
        <v>20212</v>
      </c>
      <c r="G1116" s="43">
        <v>92.4</v>
      </c>
      <c r="H1116" s="38">
        <v>35113</v>
      </c>
      <c r="I1116" s="38">
        <v>12</v>
      </c>
      <c r="J1116" s="38">
        <v>35121</v>
      </c>
      <c r="K1116" s="38">
        <v>12</v>
      </c>
    </row>
    <row r="1117" spans="1:15" x14ac:dyDescent="0.25">
      <c r="A1117" s="39" t="str">
        <f>IF(F1117="","",VLOOKUP(F1117,Tabelle1[],3))</f>
        <v>GJAKOVE</v>
      </c>
      <c r="B1117" s="40" t="str">
        <f>IF(F1117="","",VLOOKUP(F1117,Tabelle1[],2))</f>
        <v>V. GJONAJ</v>
      </c>
      <c r="C1117" s="40"/>
      <c r="D1117" s="41">
        <v>46133</v>
      </c>
      <c r="E1117" s="80"/>
      <c r="F1117" s="78">
        <v>20208</v>
      </c>
      <c r="G1117" s="43">
        <v>147.6</v>
      </c>
      <c r="H1117" s="38">
        <v>35125</v>
      </c>
      <c r="I1117" s="38">
        <v>24</v>
      </c>
      <c r="J1117" s="38">
        <v>51612</v>
      </c>
      <c r="K1117" s="38">
        <v>24</v>
      </c>
    </row>
    <row r="1118" spans="1:15" x14ac:dyDescent="0.25">
      <c r="A1118" s="39" t="str">
        <f>IF(F1118="","",VLOOKUP(F1118,Tabelle1[],3))</f>
        <v>JUNIK</v>
      </c>
      <c r="B1118" s="40" t="str">
        <f>IF(F1118="","",VLOOKUP(F1118,Tabelle1[],2))</f>
        <v>ERENIKU</v>
      </c>
      <c r="C1118" s="40"/>
      <c r="D1118" s="41">
        <v>46133</v>
      </c>
      <c r="E1118" s="80"/>
      <c r="F1118" s="78">
        <v>20206</v>
      </c>
      <c r="G1118" s="43">
        <v>101.4</v>
      </c>
      <c r="H1118" s="38">
        <v>35109</v>
      </c>
      <c r="I1118" s="38">
        <v>12</v>
      </c>
      <c r="J1118" s="38">
        <v>51612</v>
      </c>
      <c r="K1118" s="38">
        <v>24</v>
      </c>
    </row>
    <row r="1119" spans="1:15" x14ac:dyDescent="0.25">
      <c r="A1119" s="39" t="str">
        <f>IF(F1119="","",VLOOKUP(F1119,Tabelle1[],3))</f>
        <v>DEQAN</v>
      </c>
      <c r="B1119" s="40" t="str">
        <f>IF(F1119="","",VLOOKUP(F1119,Tabelle1[],2))</f>
        <v>AFRIMI-AG</v>
      </c>
      <c r="C1119" s="40"/>
      <c r="D1119" s="41">
        <v>46133</v>
      </c>
      <c r="E1119" s="80"/>
      <c r="F1119" s="78">
        <v>20203</v>
      </c>
      <c r="G1119" s="43">
        <v>323.39999999999998</v>
      </c>
      <c r="H1119" s="38">
        <v>35109</v>
      </c>
      <c r="I1119" s="38">
        <v>48</v>
      </c>
      <c r="J1119" s="38">
        <v>35108</v>
      </c>
      <c r="K1119" s="38">
        <v>12</v>
      </c>
      <c r="L1119" s="38">
        <v>35112</v>
      </c>
      <c r="M1119" s="38">
        <v>12</v>
      </c>
      <c r="N1119" s="38">
        <v>35128</v>
      </c>
      <c r="O1119" s="38">
        <v>12</v>
      </c>
    </row>
    <row r="1120" spans="1:15" x14ac:dyDescent="0.25">
      <c r="A1120" s="39" t="str">
        <f>IF(F1120="","",VLOOKUP(F1120,Tabelle1[],3))</f>
        <v>DEQAN</v>
      </c>
      <c r="B1120" s="40" t="str">
        <f>IF(F1120="","",VLOOKUP(F1120,Tabelle1[],2))</f>
        <v>TE BESIMI</v>
      </c>
      <c r="C1120" s="40"/>
      <c r="D1120" s="41">
        <v>46133</v>
      </c>
      <c r="E1120" s="80"/>
      <c r="F1120" s="78">
        <v>20201</v>
      </c>
      <c r="G1120" s="43">
        <v>114</v>
      </c>
      <c r="H1120" s="38">
        <v>35110</v>
      </c>
      <c r="I1120" s="38">
        <v>12</v>
      </c>
      <c r="J1120" s="38">
        <v>35125</v>
      </c>
      <c r="K1120" s="38">
        <v>12</v>
      </c>
      <c r="L1120" s="38">
        <v>50912</v>
      </c>
      <c r="M1120" s="38">
        <v>3</v>
      </c>
    </row>
    <row r="1121" spans="1:17" x14ac:dyDescent="0.25">
      <c r="A1121" s="39" t="str">
        <f>IF(F1121="","",VLOOKUP(F1121,Tabelle1[],3))</f>
        <v>PRISHTINE</v>
      </c>
      <c r="B1121" s="40" t="str">
        <f>IF(F1121="","",VLOOKUP(F1121,Tabelle1[],2))</f>
        <v>YLLI CONSTRUCION</v>
      </c>
      <c r="C1121" s="40"/>
      <c r="D1121" s="41">
        <v>46133</v>
      </c>
      <c r="E1121" s="80"/>
      <c r="F1121" s="78">
        <v>40017</v>
      </c>
      <c r="G1121" s="43">
        <v>48</v>
      </c>
      <c r="H1121" s="38">
        <v>35108</v>
      </c>
      <c r="I1121" s="38">
        <v>4</v>
      </c>
      <c r="J1121" s="38">
        <v>35110</v>
      </c>
      <c r="K1121" s="38">
        <v>4</v>
      </c>
      <c r="L1121" s="38">
        <v>35111</v>
      </c>
      <c r="M1121" s="38">
        <v>4</v>
      </c>
    </row>
    <row r="1122" spans="1:17" x14ac:dyDescent="0.25">
      <c r="A1122" s="39" t="str">
        <f>IF(F1122="","",VLOOKUP(F1122,Tabelle1[],3))</f>
        <v>HOME KIM TEC</v>
      </c>
      <c r="B1122" s="40" t="str">
        <f>IF(F1122="","",VLOOKUP(F1122,Tabelle1[],2))</f>
        <v>ARBENI BIOBLIC</v>
      </c>
      <c r="C1122" s="40"/>
      <c r="D1122" s="41">
        <v>46133</v>
      </c>
      <c r="E1122" s="80"/>
      <c r="F1122" s="78">
        <v>40003</v>
      </c>
      <c r="G1122" s="43">
        <v>171.5</v>
      </c>
      <c r="H1122" s="38">
        <v>20001</v>
      </c>
      <c r="I1122" s="38">
        <v>90</v>
      </c>
      <c r="J1122" s="38">
        <v>30275</v>
      </c>
      <c r="K1122" s="38">
        <v>50</v>
      </c>
    </row>
    <row r="1123" spans="1:17" x14ac:dyDescent="0.25">
      <c r="A1123" s="39" t="str">
        <f>IF(F1123="","",VLOOKUP(F1123,Tabelle1[],3))</f>
        <v>GJILAN</v>
      </c>
      <c r="B1123" s="40" t="str">
        <f>IF(F1123="","",VLOOKUP(F1123,Tabelle1[],2))</f>
        <v>FATMIRI</v>
      </c>
      <c r="C1123" s="40"/>
      <c r="D1123" s="41">
        <v>46134</v>
      </c>
      <c r="E1123" s="80"/>
      <c r="F1123" s="78">
        <v>10313</v>
      </c>
      <c r="G1123" s="43">
        <v>92.4</v>
      </c>
      <c r="H1123" s="38">
        <v>35110</v>
      </c>
      <c r="I1123" s="38">
        <v>12</v>
      </c>
      <c r="J1123" s="38">
        <v>35115</v>
      </c>
      <c r="K1123" s="38">
        <v>12</v>
      </c>
    </row>
    <row r="1124" spans="1:17" x14ac:dyDescent="0.25">
      <c r="A1124" s="39" t="str">
        <f>IF(F1124="","",VLOOKUP(F1124,Tabelle1[],3))</f>
        <v>GJILAN</v>
      </c>
      <c r="B1124" s="40" t="str">
        <f>IF(F1124="","",VLOOKUP(F1124,Tabelle1[],2))</f>
        <v>BEKA-3</v>
      </c>
      <c r="C1124" s="40"/>
      <c r="D1124" s="41">
        <v>46134</v>
      </c>
      <c r="E1124" s="80"/>
      <c r="F1124" s="78">
        <v>10323</v>
      </c>
      <c r="G1124" s="43">
        <v>86.4</v>
      </c>
      <c r="H1124" s="38">
        <v>50912</v>
      </c>
      <c r="I1124" s="38">
        <v>12</v>
      </c>
    </row>
    <row r="1125" spans="1:17" x14ac:dyDescent="0.25">
      <c r="A1125" s="39" t="str">
        <f>IF(F1125="","",VLOOKUP(F1125,Tabelle1[],3))</f>
        <v>VITI</v>
      </c>
      <c r="B1125" s="40" t="str">
        <f>IF(F1125="","",VLOOKUP(F1125,Tabelle1[],2))</f>
        <v>BALLKANI</v>
      </c>
      <c r="C1125" s="40"/>
      <c r="D1125" s="41">
        <v>46134</v>
      </c>
      <c r="E1125" s="80"/>
      <c r="F1125" s="78">
        <v>10350</v>
      </c>
      <c r="G1125" s="43">
        <v>369.6</v>
      </c>
      <c r="H1125" s="38">
        <v>35121</v>
      </c>
      <c r="I1125" s="38">
        <v>48</v>
      </c>
      <c r="J1125" s="38">
        <v>35114</v>
      </c>
      <c r="K1125" s="38">
        <v>12</v>
      </c>
      <c r="L1125" s="38">
        <v>35128</v>
      </c>
      <c r="M1125" s="38">
        <v>12</v>
      </c>
      <c r="N1125" s="38">
        <v>35113</v>
      </c>
      <c r="O1125" s="38">
        <v>12</v>
      </c>
      <c r="P1125" s="38">
        <v>35111</v>
      </c>
      <c r="Q1125" s="38">
        <v>12</v>
      </c>
    </row>
    <row r="1126" spans="1:17" x14ac:dyDescent="0.25">
      <c r="A1126" s="39" t="str">
        <f>IF(F1126="","",VLOOKUP(F1126,Tabelle1[],3))</f>
        <v>GJILAN</v>
      </c>
      <c r="B1126" s="40" t="str">
        <f>IF(F1126="","",VLOOKUP(F1126,Tabelle1[],2))</f>
        <v>AME</v>
      </c>
      <c r="C1126" s="40"/>
      <c r="D1126" s="41">
        <v>46134</v>
      </c>
      <c r="E1126" s="80"/>
      <c r="F1126" s="78">
        <v>10346</v>
      </c>
      <c r="G1126" s="43">
        <v>138.6</v>
      </c>
      <c r="H1126" s="38">
        <v>35108</v>
      </c>
      <c r="I1126" s="38">
        <v>12</v>
      </c>
      <c r="J1126" s="38">
        <v>35109</v>
      </c>
      <c r="K1126" s="38">
        <v>12</v>
      </c>
      <c r="L1126" s="38">
        <v>35121</v>
      </c>
      <c r="M1126" s="38">
        <v>12</v>
      </c>
    </row>
    <row r="1127" spans="1:17" x14ac:dyDescent="0.25">
      <c r="A1127" s="39" t="str">
        <f>IF(F1127="","",VLOOKUP(F1127,Tabelle1[],3))</f>
        <v>GJILAN</v>
      </c>
      <c r="B1127" s="40" t="str">
        <f>IF(F1127="","",VLOOKUP(F1127,Tabelle1[],2))</f>
        <v>EUROSAN</v>
      </c>
      <c r="C1127" s="40"/>
      <c r="D1127" s="41">
        <v>46134</v>
      </c>
      <c r="E1127" s="80"/>
      <c r="F1127" s="78">
        <v>10304</v>
      </c>
      <c r="G1127" s="43">
        <v>61.2</v>
      </c>
      <c r="H1127" s="38">
        <v>35110</v>
      </c>
      <c r="I1127" s="38">
        <v>12</v>
      </c>
      <c r="J1127" s="38">
        <v>51611</v>
      </c>
      <c r="K1127" s="38">
        <v>12</v>
      </c>
    </row>
    <row r="1128" spans="1:17" x14ac:dyDescent="0.25">
      <c r="A1128" s="39" t="str">
        <f>IF(F1128="","",VLOOKUP(F1128,Tabelle1[],3))</f>
        <v>GJILAN</v>
      </c>
      <c r="B1128" s="40" t="str">
        <f>IF(F1128="","",VLOOKUP(F1128,Tabelle1[],2))</f>
        <v>BEKA-2</v>
      </c>
      <c r="C1128" s="40"/>
      <c r="D1128" s="41">
        <v>46134</v>
      </c>
      <c r="E1128" s="80"/>
      <c r="F1128" s="78">
        <v>10317</v>
      </c>
      <c r="G1128" s="43">
        <v>51.3</v>
      </c>
      <c r="H1128" s="38">
        <v>50912</v>
      </c>
      <c r="I1128" s="38">
        <v>4</v>
      </c>
      <c r="J1128" s="38">
        <v>56117</v>
      </c>
      <c r="K1128" s="38">
        <v>3</v>
      </c>
      <c r="L1128" s="38">
        <v>55718</v>
      </c>
      <c r="M1128" s="38">
        <v>3</v>
      </c>
    </row>
    <row r="1129" spans="1:17" x14ac:dyDescent="0.25">
      <c r="A1129" s="39" t="str">
        <f>IF(F1129="","",VLOOKUP(F1129,Tabelle1[],3))</f>
        <v>GJILAN</v>
      </c>
      <c r="B1129" s="40" t="str">
        <f>IF(F1129="","",VLOOKUP(F1129,Tabelle1[],2))</f>
        <v>TINA</v>
      </c>
      <c r="C1129" s="40"/>
      <c r="D1129" s="41">
        <v>46134</v>
      </c>
      <c r="E1129" s="80"/>
      <c r="F1129" s="78">
        <v>10344</v>
      </c>
      <c r="G1129" s="43">
        <v>138.6</v>
      </c>
      <c r="H1129" s="38">
        <v>35108</v>
      </c>
      <c r="I1129" s="38">
        <v>12</v>
      </c>
      <c r="J1129" s="38">
        <v>35112</v>
      </c>
      <c r="K1129" s="38">
        <v>12</v>
      </c>
      <c r="L1129" s="38">
        <v>35115</v>
      </c>
      <c r="M1129" s="38">
        <v>12</v>
      </c>
    </row>
    <row r="1130" spans="1:17" x14ac:dyDescent="0.25">
      <c r="A1130" s="39" t="str">
        <f>IF(F1130="","",VLOOKUP(F1130,Tabelle1[],3))</f>
        <v>GJILAN</v>
      </c>
      <c r="B1130" s="40" t="str">
        <f>IF(F1130="","",VLOOKUP(F1130,Tabelle1[],2))</f>
        <v>BEKA-1</v>
      </c>
      <c r="C1130" s="40"/>
      <c r="D1130" s="41">
        <v>46134</v>
      </c>
      <c r="E1130" s="80"/>
      <c r="F1130" s="78">
        <v>10303</v>
      </c>
      <c r="G1130" s="43">
        <v>34.9</v>
      </c>
      <c r="H1130" s="38">
        <v>50912</v>
      </c>
      <c r="I1130" s="38">
        <v>2</v>
      </c>
      <c r="J1130" s="38">
        <v>44001</v>
      </c>
      <c r="K1130" s="38">
        <v>3</v>
      </c>
      <c r="L1130" s="38">
        <v>49644</v>
      </c>
      <c r="M1130" s="38">
        <v>5</v>
      </c>
    </row>
    <row r="1131" spans="1:17" x14ac:dyDescent="0.25">
      <c r="A1131" s="39" t="str">
        <f>IF(F1131="","",VLOOKUP(F1131,Tabelle1[],3))</f>
        <v>GJILAN</v>
      </c>
      <c r="B1131" s="40" t="str">
        <f>IF(F1131="","",VLOOKUP(F1131,Tabelle1[],2))</f>
        <v>GLOBAL NT</v>
      </c>
      <c r="C1131" s="40"/>
      <c r="D1131" s="41">
        <v>46134</v>
      </c>
      <c r="E1131" s="80"/>
      <c r="F1131" s="78">
        <v>10360</v>
      </c>
      <c r="G1131" s="43">
        <v>107.4</v>
      </c>
      <c r="H1131" s="38">
        <v>35108</v>
      </c>
      <c r="I1131" s="38">
        <v>12</v>
      </c>
      <c r="J1131" s="38">
        <v>35111</v>
      </c>
      <c r="K1131" s="38">
        <v>12</v>
      </c>
      <c r="L1131" s="38">
        <v>51611</v>
      </c>
      <c r="M1131" s="38">
        <v>12</v>
      </c>
    </row>
    <row r="1132" spans="1:17" x14ac:dyDescent="0.25">
      <c r="A1132" s="39" t="str">
        <f>IF(F1132="","",VLOOKUP(F1132,Tabelle1[],3))</f>
        <v>GJILAN</v>
      </c>
      <c r="B1132" s="40" t="str">
        <f>IF(F1132="","",VLOOKUP(F1132,Tabelle1[],2))</f>
        <v>TREND CERAMIKA</v>
      </c>
      <c r="C1132" s="40"/>
      <c r="D1132" s="41">
        <v>46134</v>
      </c>
      <c r="E1132" s="80"/>
      <c r="F1132" s="78">
        <v>10353</v>
      </c>
      <c r="G1132" s="43">
        <v>46.2</v>
      </c>
      <c r="H1132" s="38">
        <v>35121</v>
      </c>
      <c r="I1132" s="38">
        <v>12</v>
      </c>
    </row>
    <row r="1133" spans="1:17" x14ac:dyDescent="0.25">
      <c r="A1133" s="39" t="str">
        <f>IF(F1133="","",VLOOKUP(F1133,Tabelle1[],3))</f>
        <v>GJILAN</v>
      </c>
      <c r="B1133" s="40" t="str">
        <f>IF(F1133="","",VLOOKUP(F1133,Tabelle1[],2))</f>
        <v>GLOBAL NT</v>
      </c>
      <c r="C1133" s="40"/>
      <c r="D1133" s="41">
        <v>46134</v>
      </c>
      <c r="E1133" s="80"/>
      <c r="F1133" s="78">
        <v>10359</v>
      </c>
      <c r="G1133" s="43">
        <v>15</v>
      </c>
      <c r="H1133" s="38">
        <v>51611</v>
      </c>
      <c r="I1133" s="38">
        <v>12</v>
      </c>
    </row>
    <row r="1134" spans="1:17" x14ac:dyDescent="0.25">
      <c r="A1134" s="39" t="str">
        <f>IF(F1134="","",VLOOKUP(F1134,Tabelle1[],3))</f>
        <v>RAHOVEC</v>
      </c>
      <c r="B1134" s="40" t="str">
        <f>IF(F1134="","",VLOOKUP(F1134,Tabelle1[],2))</f>
        <v>DURGUTI 3</v>
      </c>
      <c r="C1134" s="40"/>
      <c r="D1134" s="41">
        <v>46134</v>
      </c>
      <c r="E1134" s="80"/>
      <c r="F1134" s="78">
        <v>20313</v>
      </c>
      <c r="G1134" s="43">
        <v>120</v>
      </c>
      <c r="H1134" s="38">
        <v>35113</v>
      </c>
      <c r="I1134" s="38">
        <v>12</v>
      </c>
      <c r="J1134" s="38">
        <v>35125</v>
      </c>
      <c r="K1134" s="38">
        <v>12</v>
      </c>
      <c r="L1134" s="38">
        <v>51612</v>
      </c>
      <c r="M1134" s="38">
        <v>12</v>
      </c>
    </row>
    <row r="1135" spans="1:17" x14ac:dyDescent="0.25">
      <c r="A1135" s="39" t="str">
        <f>IF(F1135="","",VLOOKUP(F1135,Tabelle1[],3))</f>
        <v>MALISHEVE</v>
      </c>
      <c r="B1135" s="40" t="str">
        <f>IF(F1135="","",VLOOKUP(F1135,Tabelle1[],2))</f>
        <v>HAZROLLI</v>
      </c>
      <c r="C1135" s="40"/>
      <c r="D1135" s="41">
        <v>46134</v>
      </c>
      <c r="E1135" s="80"/>
      <c r="F1135" s="78">
        <v>20301</v>
      </c>
      <c r="G1135" s="43">
        <v>69.599999999999994</v>
      </c>
      <c r="H1135" s="38">
        <v>66701</v>
      </c>
      <c r="I1135" s="38">
        <v>12</v>
      </c>
    </row>
    <row r="1136" spans="1:17" x14ac:dyDescent="0.25">
      <c r="A1136" s="39" t="str">
        <f>IF(F1136="","",VLOOKUP(F1136,Tabelle1[],3))</f>
        <v>MALISHEVE</v>
      </c>
      <c r="B1136" s="40" t="str">
        <f>IF(F1136="","",VLOOKUP(F1136,Tabelle1[],2))</f>
        <v>BAU HOME</v>
      </c>
      <c r="C1136" s="40"/>
      <c r="D1136" s="41">
        <v>46134</v>
      </c>
      <c r="E1136" s="80"/>
      <c r="F1136" s="78">
        <v>20324</v>
      </c>
      <c r="G1136" s="43">
        <v>46.2</v>
      </c>
      <c r="H1136" s="38">
        <v>35108</v>
      </c>
      <c r="I1136" s="38">
        <v>12</v>
      </c>
    </row>
    <row r="1137" spans="1:17" x14ac:dyDescent="0.25">
      <c r="A1137" s="39" t="str">
        <f>IF(F1137="","",VLOOKUP(F1137,Tabelle1[],3))</f>
        <v>RAHOVEC</v>
      </c>
      <c r="B1137" s="40" t="str">
        <f>IF(F1137="","",VLOOKUP(F1137,Tabelle1[],2))</f>
        <v>CONDOR</v>
      </c>
      <c r="C1137" s="40"/>
      <c r="D1137" s="41">
        <v>46134</v>
      </c>
      <c r="E1137" s="80"/>
      <c r="F1137" s="78">
        <v>20307</v>
      </c>
      <c r="G1137" s="43">
        <v>238.8</v>
      </c>
      <c r="H1137" s="38">
        <v>35128</v>
      </c>
      <c r="I1137" s="38">
        <v>24</v>
      </c>
      <c r="J1137" s="38">
        <v>35113</v>
      </c>
      <c r="K1137" s="38">
        <v>12</v>
      </c>
      <c r="L1137" s="38">
        <v>51611</v>
      </c>
      <c r="M1137" s="38">
        <v>24</v>
      </c>
      <c r="N1137" s="38">
        <v>51611</v>
      </c>
      <c r="O1137" s="38">
        <v>24</v>
      </c>
      <c r="P1137" s="38">
        <v>16936</v>
      </c>
      <c r="Q1137" s="38">
        <v>6</v>
      </c>
    </row>
    <row r="1138" spans="1:17" x14ac:dyDescent="0.25">
      <c r="A1138" s="39" t="str">
        <f>IF(F1138="","",VLOOKUP(F1138,Tabelle1[],3))</f>
        <v>MALISHEVE</v>
      </c>
      <c r="B1138" s="40" t="str">
        <f>IF(F1138="","",VLOOKUP(F1138,Tabelle1[],2))</f>
        <v>AGRO-FARM</v>
      </c>
      <c r="C1138" s="40"/>
      <c r="D1138" s="41">
        <v>46134</v>
      </c>
      <c r="E1138" s="80"/>
      <c r="F1138" s="78">
        <v>20304</v>
      </c>
      <c r="G1138" s="43">
        <v>76.2</v>
      </c>
      <c r="H1138" s="38">
        <v>35111</v>
      </c>
      <c r="I1138" s="38">
        <v>12</v>
      </c>
      <c r="J1138" s="38">
        <v>26736</v>
      </c>
      <c r="K1138" s="38">
        <v>12</v>
      </c>
    </row>
    <row r="1139" spans="1:17" x14ac:dyDescent="0.25">
      <c r="A1139" s="39" t="str">
        <f>IF(F1139="","",VLOOKUP(F1139,Tabelle1[],3))</f>
        <v>RAHOVEC</v>
      </c>
      <c r="B1139" s="40" t="str">
        <f>IF(F1139="","",VLOOKUP(F1139,Tabelle1[],2))</f>
        <v>SHEHU-A</v>
      </c>
      <c r="C1139" s="40"/>
      <c r="D1139" s="41">
        <v>46134</v>
      </c>
      <c r="E1139" s="80"/>
      <c r="F1139" s="78">
        <v>20317</v>
      </c>
      <c r="G1139" s="43">
        <v>70.2</v>
      </c>
      <c r="H1139" s="38">
        <v>35110</v>
      </c>
      <c r="I1139" s="38">
        <v>12</v>
      </c>
      <c r="J1139" s="38">
        <v>49644</v>
      </c>
      <c r="K1139" s="38">
        <v>12</v>
      </c>
    </row>
    <row r="1140" spans="1:17" x14ac:dyDescent="0.25">
      <c r="A1140" s="39" t="str">
        <f>IF(F1140="","",VLOOKUP(F1140,Tabelle1[],3))</f>
        <v>MALISHEVE</v>
      </c>
      <c r="B1140" s="40" t="str">
        <f>IF(F1140="","",VLOOKUP(F1140,Tabelle1[],2))</f>
        <v>BARDHI-M</v>
      </c>
      <c r="C1140" s="40"/>
      <c r="D1140" s="41">
        <v>46134</v>
      </c>
      <c r="E1140" s="80"/>
      <c r="F1140" s="78">
        <v>20331</v>
      </c>
      <c r="G1140" s="43">
        <v>92.4</v>
      </c>
      <c r="H1140" s="38">
        <v>35121</v>
      </c>
      <c r="I1140" s="38">
        <v>24</v>
      </c>
    </row>
    <row r="1141" spans="1:17" x14ac:dyDescent="0.25">
      <c r="A1141" s="39" t="str">
        <f>IF(F1141="","",VLOOKUP(F1141,Tabelle1[],3))</f>
        <v>RAHOVEC</v>
      </c>
      <c r="B1141" s="40" t="str">
        <f>IF(F1141="","",VLOOKUP(F1141,Tabelle1[],2))</f>
        <v>SOPAJ</v>
      </c>
      <c r="C1141" s="40"/>
      <c r="D1141" s="41">
        <v>46134</v>
      </c>
      <c r="E1141" s="80"/>
      <c r="F1141" s="78">
        <v>20311</v>
      </c>
      <c r="G1141" s="43">
        <v>74</v>
      </c>
      <c r="H1141" s="38">
        <v>51936</v>
      </c>
      <c r="I1141" s="38">
        <v>6</v>
      </c>
      <c r="J1141" s="38">
        <v>51736</v>
      </c>
      <c r="K1141" s="38">
        <v>6</v>
      </c>
      <c r="L1141" s="38">
        <v>69236</v>
      </c>
      <c r="M1141" s="38">
        <v>6</v>
      </c>
      <c r="N1141" s="38">
        <v>31819</v>
      </c>
      <c r="O1141" s="38">
        <v>6</v>
      </c>
      <c r="P1141" s="38">
        <v>49644</v>
      </c>
      <c r="Q1141" s="38">
        <v>7</v>
      </c>
    </row>
    <row r="1142" spans="1:17" x14ac:dyDescent="0.25">
      <c r="A1142" s="39" t="str">
        <f>IF(F1142="","",VLOOKUP(F1142,Tabelle1[],3))</f>
        <v>VUSHTRRI</v>
      </c>
      <c r="B1142" s="40" t="str">
        <f>IF(F1142="","",VLOOKUP(F1142,Tabelle1[],2))</f>
        <v>NDRIQIMI</v>
      </c>
      <c r="C1142" s="40"/>
      <c r="D1142" s="41">
        <v>46135</v>
      </c>
      <c r="E1142" s="80"/>
      <c r="F1142" s="78">
        <v>10418</v>
      </c>
      <c r="G1142" s="43">
        <v>353.4</v>
      </c>
      <c r="H1142" s="38">
        <v>35128</v>
      </c>
      <c r="I1142" s="38">
        <v>48</v>
      </c>
      <c r="J1142" s="38">
        <v>35111</v>
      </c>
      <c r="K1142" s="38">
        <v>24</v>
      </c>
      <c r="L1142" s="38">
        <v>35121</v>
      </c>
      <c r="M1142" s="38">
        <v>12</v>
      </c>
      <c r="N1142" s="38">
        <v>51611</v>
      </c>
      <c r="O1142" s="38">
        <v>24</v>
      </c>
    </row>
    <row r="1143" spans="1:17" x14ac:dyDescent="0.25">
      <c r="A1143" s="39" t="str">
        <f>IF(F1143="","",VLOOKUP(F1143,Tabelle1[],3))</f>
        <v>MITROVICE</v>
      </c>
      <c r="B1143" s="40" t="str">
        <f>IF(F1143="","",VLOOKUP(F1143,Tabelle1[],2))</f>
        <v>EURO COM</v>
      </c>
      <c r="C1143" s="40"/>
      <c r="D1143" s="41">
        <v>46135</v>
      </c>
      <c r="E1143" s="80"/>
      <c r="F1143" s="78">
        <v>10430</v>
      </c>
      <c r="G1143" s="43">
        <v>46.2</v>
      </c>
      <c r="H1143" s="38">
        <v>35128</v>
      </c>
      <c r="I1143" s="38">
        <v>12</v>
      </c>
    </row>
    <row r="1144" spans="1:17" x14ac:dyDescent="0.25">
      <c r="A1144" s="39" t="str">
        <f>IF(F1144="","",VLOOKUP(F1144,Tabelle1[],3))</f>
        <v>MITROVICE</v>
      </c>
      <c r="B1144" s="40" t="str">
        <f>IF(F1144="","",VLOOKUP(F1144,Tabelle1[],2))</f>
        <v>AGRONI</v>
      </c>
      <c r="C1144" s="40"/>
      <c r="D1144" s="41">
        <v>46135</v>
      </c>
      <c r="E1144" s="80"/>
      <c r="F1144" s="78">
        <v>10406</v>
      </c>
      <c r="G1144" s="43">
        <v>113.4</v>
      </c>
      <c r="H1144" s="38">
        <v>50912</v>
      </c>
      <c r="I1144" s="38">
        <v>12</v>
      </c>
      <c r="J1144" s="38">
        <v>51736</v>
      </c>
      <c r="K1144" s="38">
        <v>4</v>
      </c>
      <c r="L1144" s="38">
        <v>49644</v>
      </c>
      <c r="M1144" s="38">
        <v>2</v>
      </c>
      <c r="N1144" s="38">
        <v>31819</v>
      </c>
      <c r="O1144" s="38">
        <v>2</v>
      </c>
      <c r="P1144" s="38">
        <v>56117</v>
      </c>
      <c r="Q1144" s="38">
        <v>2</v>
      </c>
    </row>
    <row r="1145" spans="1:17" x14ac:dyDescent="0.25">
      <c r="A1145" s="39" t="str">
        <f>IF(F1145="","",VLOOKUP(F1145,Tabelle1[],3))</f>
        <v>MITROVICE</v>
      </c>
      <c r="B1145" s="40" t="str">
        <f>IF(F1145="","",VLOOKUP(F1145,Tabelle1[],2))</f>
        <v>GRANITI</v>
      </c>
      <c r="C1145" s="40"/>
      <c r="D1145" s="41">
        <v>46135</v>
      </c>
      <c r="E1145" s="80"/>
      <c r="F1145" s="78">
        <v>10410</v>
      </c>
      <c r="G1145" s="43">
        <v>46.2</v>
      </c>
      <c r="H1145" s="38">
        <v>35112</v>
      </c>
      <c r="I1145" s="38">
        <v>12</v>
      </c>
    </row>
    <row r="1146" spans="1:17" x14ac:dyDescent="0.25">
      <c r="A1146" s="39" t="str">
        <f>IF(F1146="","",VLOOKUP(F1146,Tabelle1[],3))</f>
        <v>MITROVICE</v>
      </c>
      <c r="B1146" s="40" t="str">
        <f>IF(F1146="","",VLOOKUP(F1146,Tabelle1[],2))</f>
        <v>UNIVERZAL</v>
      </c>
      <c r="C1146" s="40"/>
      <c r="D1146" s="41">
        <v>46135</v>
      </c>
      <c r="E1146" s="80"/>
      <c r="F1146" s="78">
        <v>10413</v>
      </c>
      <c r="G1146" s="43">
        <v>92.4</v>
      </c>
      <c r="H1146" s="38">
        <v>35110</v>
      </c>
      <c r="I1146" s="38">
        <v>12</v>
      </c>
      <c r="J1146" s="38">
        <v>35113</v>
      </c>
      <c r="K1146" s="38">
        <v>12</v>
      </c>
    </row>
    <row r="1147" spans="1:17" x14ac:dyDescent="0.25">
      <c r="A1147" s="39" t="str">
        <f>IF(F1147="","",VLOOKUP(F1147,Tabelle1[],3))</f>
        <v>VUSHTRRI</v>
      </c>
      <c r="B1147" s="40" t="str">
        <f>IF(F1147="","",VLOOKUP(F1147,Tabelle1[],2))</f>
        <v>ENISI - H</v>
      </c>
      <c r="C1147" s="40"/>
      <c r="D1147" s="41">
        <v>46135</v>
      </c>
      <c r="E1147" s="80"/>
      <c r="F1147" s="78">
        <v>10428</v>
      </c>
      <c r="G1147" s="43">
        <v>138.6</v>
      </c>
      <c r="H1147" s="38">
        <v>35121</v>
      </c>
      <c r="I1147" s="38">
        <v>12</v>
      </c>
      <c r="J1147" s="38">
        <v>35109</v>
      </c>
      <c r="K1147" s="38">
        <v>12</v>
      </c>
      <c r="L1147" s="38">
        <v>35125</v>
      </c>
      <c r="M1147" s="38">
        <v>12</v>
      </c>
    </row>
    <row r="1148" spans="1:17" x14ac:dyDescent="0.25">
      <c r="A1148" s="39" t="str">
        <f>IF(F1148="","",VLOOKUP(F1148,Tabelle1[],3))</f>
        <v>VUSHTRRI</v>
      </c>
      <c r="B1148" s="40" t="str">
        <f>IF(F1148="","",VLOOKUP(F1148,Tabelle1[],2))</f>
        <v>SAN KOS</v>
      </c>
      <c r="C1148" s="40"/>
      <c r="D1148" s="41">
        <v>46135</v>
      </c>
      <c r="E1148" s="80"/>
      <c r="F1148" s="78">
        <v>10429</v>
      </c>
      <c r="G1148" s="43">
        <v>46.2</v>
      </c>
      <c r="H1148" s="38">
        <v>35113</v>
      </c>
      <c r="I1148" s="38">
        <v>12</v>
      </c>
    </row>
    <row r="1149" spans="1:17" x14ac:dyDescent="0.25">
      <c r="A1149" s="39" t="str">
        <f>IF(F1149="","",VLOOKUP(F1149,Tabelle1[],3))</f>
        <v>FERIZAJ</v>
      </c>
      <c r="B1149" s="40" t="str">
        <f>IF(F1149="","",VLOOKUP(F1149,Tabelle1[],2))</f>
        <v>REAL COLOR 1</v>
      </c>
      <c r="C1149" s="40"/>
      <c r="D1149" s="41">
        <v>46136</v>
      </c>
      <c r="E1149" s="80"/>
      <c r="F1149" s="78">
        <v>10503</v>
      </c>
      <c r="G1149" s="43">
        <v>92.4</v>
      </c>
      <c r="H1149" s="38">
        <v>35109</v>
      </c>
      <c r="I1149" s="38">
        <v>12</v>
      </c>
      <c r="J1149" s="38">
        <v>35113</v>
      </c>
      <c r="K1149" s="38">
        <v>12</v>
      </c>
    </row>
    <row r="1150" spans="1:17" x14ac:dyDescent="0.25">
      <c r="A1150" s="39" t="str">
        <f>IF(F1150="","",VLOOKUP(F1150,Tabelle1[],3))</f>
        <v>FERIZAJ</v>
      </c>
      <c r="B1150" s="40" t="str">
        <f>IF(F1150="","",VLOOKUP(F1150,Tabelle1[],2))</f>
        <v>LITA</v>
      </c>
      <c r="C1150" s="40"/>
      <c r="D1150" s="41">
        <v>46136</v>
      </c>
      <c r="E1150" s="80"/>
      <c r="F1150" s="78">
        <v>10542</v>
      </c>
      <c r="G1150" s="43">
        <v>46.2</v>
      </c>
      <c r="H1150" s="38">
        <v>35110</v>
      </c>
      <c r="I1150" s="38">
        <v>12</v>
      </c>
    </row>
    <row r="1151" spans="1:17" x14ac:dyDescent="0.25">
      <c r="A1151" s="39" t="str">
        <f>IF(F1151="","",VLOOKUP(F1151,Tabelle1[],3))</f>
        <v>FERIZAJ</v>
      </c>
      <c r="B1151" s="40" t="str">
        <f>IF(F1151="","",VLOOKUP(F1151,Tabelle1[],2))</f>
        <v>CARRALEVA 2</v>
      </c>
      <c r="C1151" s="40"/>
      <c r="D1151" s="41">
        <v>46136</v>
      </c>
      <c r="E1151" s="80"/>
      <c r="F1151" s="78">
        <v>10508</v>
      </c>
      <c r="G1151" s="43">
        <v>92.4</v>
      </c>
      <c r="H1151" s="38">
        <v>35110</v>
      </c>
      <c r="I1151" s="38">
        <v>12</v>
      </c>
      <c r="J1151" s="38">
        <v>35128</v>
      </c>
      <c r="K1151" s="38">
        <v>12</v>
      </c>
    </row>
    <row r="1152" spans="1:17" x14ac:dyDescent="0.25">
      <c r="A1152" s="39" t="str">
        <f>IF(F1152="","",VLOOKUP(F1152,Tabelle1[],3))</f>
        <v>FERIZAJ</v>
      </c>
      <c r="B1152" s="40" t="str">
        <f>IF(F1152="","",VLOOKUP(F1152,Tabelle1[],2))</f>
        <v>REAL COLOR 2</v>
      </c>
      <c r="C1152" s="40"/>
      <c r="D1152" s="41">
        <v>46136</v>
      </c>
      <c r="E1152" s="80"/>
      <c r="F1152" s="78">
        <v>10507</v>
      </c>
      <c r="G1152" s="43">
        <v>138.6</v>
      </c>
      <c r="H1152" s="38">
        <v>35109</v>
      </c>
      <c r="I1152" s="38">
        <v>12</v>
      </c>
      <c r="J1152" s="38">
        <v>35121</v>
      </c>
      <c r="K1152" s="38">
        <v>12</v>
      </c>
      <c r="L1152" s="38">
        <v>35128</v>
      </c>
      <c r="M1152" s="38">
        <v>12</v>
      </c>
    </row>
    <row r="1153" spans="1:19" x14ac:dyDescent="0.25">
      <c r="A1153" s="39" t="str">
        <f>IF(F1153="","",VLOOKUP(F1153,Tabelle1[],3))</f>
        <v>VITI</v>
      </c>
      <c r="B1153" s="40" t="str">
        <f>IF(F1153="","",VLOOKUP(F1153,Tabelle1[],2))</f>
        <v>BALLKANI</v>
      </c>
      <c r="C1153" s="40"/>
      <c r="D1153" s="41">
        <v>46136</v>
      </c>
      <c r="E1153" s="80"/>
      <c r="F1153" s="78">
        <v>10350</v>
      </c>
      <c r="G1153" s="43">
        <v>231</v>
      </c>
      <c r="H1153" s="38">
        <v>35113</v>
      </c>
      <c r="I1153" s="38">
        <v>12</v>
      </c>
      <c r="J1153" s="38">
        <v>35121</v>
      </c>
      <c r="K1153" s="38">
        <v>48</v>
      </c>
    </row>
    <row r="1154" spans="1:19" x14ac:dyDescent="0.25">
      <c r="A1154" s="39" t="str">
        <f>IF(F1154="","",VLOOKUP(F1154,Tabelle1[],3))</f>
        <v>FERIZAJ</v>
      </c>
      <c r="B1154" s="40" t="str">
        <f>IF(F1154="","",VLOOKUP(F1154,Tabelle1[],2))</f>
        <v>ARBERI</v>
      </c>
      <c r="C1154" s="40"/>
      <c r="D1154" s="41">
        <v>46136</v>
      </c>
      <c r="E1154" s="80"/>
      <c r="F1154" s="78">
        <v>10506</v>
      </c>
      <c r="G1154" s="43">
        <v>92.4</v>
      </c>
      <c r="H1154" s="38">
        <v>35113</v>
      </c>
      <c r="I1154" s="38">
        <v>12</v>
      </c>
      <c r="J1154" s="38">
        <v>35115</v>
      </c>
      <c r="K1154" s="38">
        <v>12</v>
      </c>
    </row>
    <row r="1155" spans="1:19" x14ac:dyDescent="0.25">
      <c r="A1155" s="39" t="str">
        <f>IF(F1155="","",VLOOKUP(F1155,Tabelle1[],3))</f>
        <v>ISTOG</v>
      </c>
      <c r="B1155" s="40" t="str">
        <f>IF(F1155="","",VLOOKUP(F1155,Tabelle1[],2))</f>
        <v>LIRIDONA KLINE</v>
      </c>
      <c r="C1155" s="40"/>
      <c r="D1155" s="41">
        <v>46136</v>
      </c>
      <c r="E1155" s="80"/>
      <c r="F1155" s="78">
        <v>20511</v>
      </c>
      <c r="G1155" s="43">
        <v>507</v>
      </c>
      <c r="H1155" s="38">
        <v>35115</v>
      </c>
      <c r="I1155" s="38">
        <v>48</v>
      </c>
      <c r="J1155" s="38">
        <v>35109</v>
      </c>
      <c r="K1155" s="38">
        <v>24</v>
      </c>
      <c r="L1155" s="38">
        <v>35119</v>
      </c>
      <c r="M1155" s="38">
        <v>24</v>
      </c>
      <c r="N1155" s="38">
        <v>35112</v>
      </c>
      <c r="O1155" s="38">
        <v>12</v>
      </c>
      <c r="P1155" s="38">
        <v>35125</v>
      </c>
      <c r="Q1155" s="38">
        <v>12</v>
      </c>
      <c r="R1155" s="38">
        <v>51611</v>
      </c>
      <c r="S1155" s="38">
        <v>36</v>
      </c>
    </row>
    <row r="1156" spans="1:19" x14ac:dyDescent="0.25">
      <c r="A1156" s="39" t="str">
        <f>IF(F1156="","",VLOOKUP(F1156,Tabelle1[],3))</f>
        <v>KLINE</v>
      </c>
      <c r="B1156" s="40" t="str">
        <f>IF(F1156="","",VLOOKUP(F1156,Tabelle1[],2))</f>
        <v>RACI</v>
      </c>
      <c r="C1156" s="40"/>
      <c r="D1156" s="41">
        <v>46136</v>
      </c>
      <c r="E1156" s="80"/>
      <c r="F1156" s="78">
        <v>20501</v>
      </c>
      <c r="G1156" s="43">
        <v>138.6</v>
      </c>
      <c r="H1156" s="38">
        <v>35110</v>
      </c>
      <c r="I1156" s="38">
        <v>12</v>
      </c>
      <c r="J1156" s="38">
        <v>35125</v>
      </c>
      <c r="K1156" s="38">
        <v>12</v>
      </c>
      <c r="L1156" s="38">
        <v>35128</v>
      </c>
      <c r="M1156" s="38">
        <v>12</v>
      </c>
    </row>
    <row r="1157" spans="1:19" x14ac:dyDescent="0.25">
      <c r="A1157" s="39" t="str">
        <f>IF(F1157="","",VLOOKUP(F1157,Tabelle1[],3))</f>
        <v>KLINE</v>
      </c>
      <c r="B1157" s="40" t="str">
        <f>IF(F1157="","",VLOOKUP(F1157,Tabelle1[],2))</f>
        <v>HOXHA</v>
      </c>
      <c r="C1157" s="40"/>
      <c r="D1157" s="41">
        <v>46136</v>
      </c>
      <c r="E1157" s="80"/>
      <c r="F1157" s="78">
        <v>20502</v>
      </c>
      <c r="G1157" s="43">
        <v>73.8</v>
      </c>
      <c r="H1157" s="38">
        <v>35110</v>
      </c>
      <c r="I1157" s="38">
        <v>12</v>
      </c>
      <c r="J1157" s="38">
        <v>51612</v>
      </c>
      <c r="K1157" s="38">
        <v>12</v>
      </c>
    </row>
    <row r="1158" spans="1:19" x14ac:dyDescent="0.25">
      <c r="A1158" s="39" t="str">
        <f>IF(F1158="","",VLOOKUP(F1158,Tabelle1[],3))</f>
        <v>ISTOG</v>
      </c>
      <c r="B1158" s="40" t="str">
        <f>IF(F1158="","",VLOOKUP(F1158,Tabelle1[],2))</f>
        <v>LIRIDONA HOME</v>
      </c>
      <c r="C1158" s="40"/>
      <c r="D1158" s="41">
        <v>46136</v>
      </c>
      <c r="E1158" s="80"/>
      <c r="F1158" s="78">
        <v>20508</v>
      </c>
      <c r="G1158" s="43">
        <v>166.2</v>
      </c>
      <c r="H1158" s="38">
        <v>35109</v>
      </c>
      <c r="I1158" s="38">
        <v>24</v>
      </c>
      <c r="J1158" s="38">
        <v>35115</v>
      </c>
      <c r="K1158" s="38">
        <v>12</v>
      </c>
      <c r="L1158" s="38">
        <v>51612</v>
      </c>
      <c r="M1158" s="38">
        <v>12</v>
      </c>
    </row>
    <row r="1159" spans="1:19" x14ac:dyDescent="0.25">
      <c r="A1159" s="39" t="str">
        <f>IF(F1159="","",VLOOKUP(F1159,Tabelle1[],3))</f>
        <v>ISTOG</v>
      </c>
      <c r="B1159" s="40" t="str">
        <f>IF(F1159="","",VLOOKUP(F1159,Tabelle1[],2))</f>
        <v>LIRIDONA-A</v>
      </c>
      <c r="C1159" s="40"/>
      <c r="D1159" s="41">
        <v>46136</v>
      </c>
      <c r="E1159" s="80"/>
      <c r="F1159" s="78">
        <v>20515</v>
      </c>
      <c r="G1159" s="43">
        <v>231</v>
      </c>
      <c r="H1159" s="38">
        <v>35110</v>
      </c>
      <c r="I1159" s="38">
        <v>24</v>
      </c>
      <c r="J1159" s="38">
        <v>35113</v>
      </c>
      <c r="K1159" s="38">
        <v>24</v>
      </c>
      <c r="L1159" s="38">
        <v>35114</v>
      </c>
      <c r="M1159" s="38">
        <v>12</v>
      </c>
    </row>
    <row r="1160" spans="1:19" x14ac:dyDescent="0.25">
      <c r="A1160" s="39" t="str">
        <f>IF(F1160="","",VLOOKUP(F1160,Tabelle1[],3))</f>
        <v>SKENDERAJ</v>
      </c>
      <c r="B1160" s="40" t="str">
        <f>IF(F1160="","",VLOOKUP(F1160,Tabelle1[],2))</f>
        <v>BENI</v>
      </c>
      <c r="C1160" s="40"/>
      <c r="D1160" s="41">
        <v>46136</v>
      </c>
      <c r="E1160" s="80"/>
      <c r="F1160" s="78">
        <v>20409</v>
      </c>
      <c r="G1160" s="43">
        <v>85.8</v>
      </c>
      <c r="H1160" s="38">
        <v>50912</v>
      </c>
      <c r="I1160" s="38">
        <v>9</v>
      </c>
      <c r="J1160" s="38">
        <v>44001</v>
      </c>
      <c r="K1160" s="38">
        <v>6</v>
      </c>
    </row>
    <row r="1161" spans="1:19" x14ac:dyDescent="0.25">
      <c r="A1161" s="39" t="str">
        <f>IF(F1161="","",VLOOKUP(F1161,Tabelle1[],3))</f>
        <v>SKENDERAJ</v>
      </c>
      <c r="B1161" s="40" t="str">
        <f>IF(F1161="","",VLOOKUP(F1161,Tabelle1[],2))</f>
        <v>A.P. HOTI</v>
      </c>
      <c r="C1161" s="40"/>
      <c r="D1161" s="41">
        <v>46136</v>
      </c>
      <c r="E1161" s="80"/>
      <c r="F1161" s="78">
        <v>20408</v>
      </c>
      <c r="G1161" s="43">
        <v>34.5</v>
      </c>
      <c r="H1161" s="38">
        <v>16936</v>
      </c>
      <c r="I1161" s="38">
        <v>3</v>
      </c>
      <c r="J1161" s="38">
        <v>51936</v>
      </c>
      <c r="K1161" s="38">
        <v>3</v>
      </c>
      <c r="L1161" s="38">
        <v>51736</v>
      </c>
      <c r="M1161" s="38">
        <v>3</v>
      </c>
      <c r="N1161" s="38">
        <v>56117</v>
      </c>
      <c r="O1161" s="38">
        <v>3</v>
      </c>
    </row>
    <row r="1162" spans="1:19" x14ac:dyDescent="0.25">
      <c r="A1162" s="39" t="str">
        <f>IF(F1162="","",VLOOKUP(F1162,Tabelle1[],3))</f>
        <v>SKENDERAJ</v>
      </c>
      <c r="B1162" s="40" t="str">
        <f>IF(F1162="","",VLOOKUP(F1162,Tabelle1[],2))</f>
        <v>TE BENI</v>
      </c>
      <c r="C1162" s="40"/>
      <c r="D1162" s="41">
        <v>46136</v>
      </c>
      <c r="E1162" s="80"/>
      <c r="F1162" s="78">
        <v>20407</v>
      </c>
      <c r="G1162" s="43">
        <v>184.8</v>
      </c>
      <c r="H1162" s="38">
        <v>35111</v>
      </c>
      <c r="I1162" s="38">
        <v>24</v>
      </c>
      <c r="J1162" s="38">
        <v>35112</v>
      </c>
      <c r="K1162" s="38">
        <v>12</v>
      </c>
      <c r="L1162" s="38">
        <v>35113</v>
      </c>
      <c r="M1162" s="38">
        <v>12</v>
      </c>
    </row>
    <row r="1163" spans="1:19" x14ac:dyDescent="0.25">
      <c r="A1163" s="39" t="str">
        <f>IF(F1163="","",VLOOKUP(F1163,Tabelle1[],3))</f>
        <v>HOME KIM TEC</v>
      </c>
      <c r="B1163" s="40" t="str">
        <f>IF(F1163="","",VLOOKUP(F1163,Tabelle1[],2))</f>
        <v>ARBENI BIOBLIC</v>
      </c>
      <c r="C1163" s="40"/>
      <c r="D1163" s="41">
        <v>46136</v>
      </c>
      <c r="E1163" s="80"/>
      <c r="F1163" s="78">
        <v>40003</v>
      </c>
      <c r="G1163" s="43">
        <v>256</v>
      </c>
      <c r="H1163" s="38">
        <v>20001</v>
      </c>
      <c r="I1163" s="38">
        <v>150</v>
      </c>
      <c r="J1163" s="38">
        <v>30275</v>
      </c>
      <c r="K1163" s="38">
        <v>40</v>
      </c>
      <c r="L1163" s="38">
        <v>20000</v>
      </c>
      <c r="M1163" s="38">
        <v>10</v>
      </c>
    </row>
    <row r="1164" spans="1:19" x14ac:dyDescent="0.25">
      <c r="A1164" s="39" t="str">
        <f>IF(F1164="","",VLOOKUP(F1164,Tabelle1[],3))</f>
        <v>PODUJEVE</v>
      </c>
      <c r="B1164" s="40" t="str">
        <f>IF(F1164="","",VLOOKUP(F1164,Tabelle1[],2))</f>
        <v>TE KELA</v>
      </c>
      <c r="C1164" s="40"/>
      <c r="D1164" s="41">
        <v>46137</v>
      </c>
      <c r="E1164" s="80"/>
      <c r="F1164" s="78">
        <v>10613</v>
      </c>
      <c r="G1164" s="43">
        <v>12</v>
      </c>
      <c r="H1164" s="38">
        <v>49644</v>
      </c>
      <c r="I1164" s="38">
        <v>6</v>
      </c>
    </row>
    <row r="1165" spans="1:19" x14ac:dyDescent="0.25">
      <c r="A1165" s="39" t="str">
        <f>IF(F1165="","",VLOOKUP(F1165,Tabelle1[],3))</f>
        <v>PODUJEVE</v>
      </c>
      <c r="B1165" s="40" t="str">
        <f>IF(F1165="","",VLOOKUP(F1165,Tabelle1[],2))</f>
        <v>TE ZENA</v>
      </c>
      <c r="C1165" s="40"/>
      <c r="D1165" s="41">
        <v>46137</v>
      </c>
      <c r="E1165" s="80"/>
      <c r="F1165" s="78">
        <v>10616</v>
      </c>
      <c r="G1165" s="43">
        <v>138.6</v>
      </c>
      <c r="H1165" s="38">
        <v>35121</v>
      </c>
      <c r="I1165" s="38">
        <v>12</v>
      </c>
      <c r="J1165" s="38">
        <v>35128</v>
      </c>
      <c r="K1165" s="38">
        <v>12</v>
      </c>
      <c r="L1165" s="38">
        <v>35111</v>
      </c>
      <c r="M1165" s="38">
        <v>12</v>
      </c>
    </row>
    <row r="1166" spans="1:19" x14ac:dyDescent="0.25">
      <c r="A1166" s="39" t="str">
        <f>IF(F1166="","",VLOOKUP(F1166,Tabelle1[],3))</f>
        <v>PODUJEVE</v>
      </c>
      <c r="B1166" s="40" t="str">
        <f>IF(F1166="","",VLOOKUP(F1166,Tabelle1[],2))</f>
        <v>ALBANI</v>
      </c>
      <c r="C1166" s="40"/>
      <c r="D1166" s="41">
        <v>46137</v>
      </c>
      <c r="E1166" s="80"/>
      <c r="F1166" s="78">
        <v>10635</v>
      </c>
      <c r="G1166" s="43">
        <v>92.4</v>
      </c>
      <c r="H1166" s="38">
        <v>35109</v>
      </c>
      <c r="I1166" s="38">
        <v>12</v>
      </c>
      <c r="J1166" s="38">
        <v>35113</v>
      </c>
      <c r="K1166" s="38">
        <v>12</v>
      </c>
    </row>
    <row r="1167" spans="1:19" x14ac:dyDescent="0.25">
      <c r="A1167" s="39" t="str">
        <f>IF(F1167="","",VLOOKUP(F1167,Tabelle1[],3))</f>
        <v>PODUJEVE</v>
      </c>
      <c r="B1167" s="40" t="str">
        <f>IF(F1167="","",VLOOKUP(F1167,Tabelle1[],2))</f>
        <v>HOXHA</v>
      </c>
      <c r="C1167" s="40"/>
      <c r="D1167" s="41">
        <v>46137</v>
      </c>
      <c r="E1167" s="80"/>
      <c r="F1167" s="78">
        <v>10622</v>
      </c>
      <c r="G1167" s="43">
        <v>37.5</v>
      </c>
      <c r="H1167" s="38">
        <v>16936</v>
      </c>
      <c r="I1167" s="38">
        <v>2</v>
      </c>
      <c r="J1167" s="38">
        <v>31818</v>
      </c>
      <c r="K1167" s="38">
        <v>2</v>
      </c>
      <c r="L1167" s="38">
        <v>51936</v>
      </c>
      <c r="M1167" s="38">
        <v>2</v>
      </c>
      <c r="N1167" s="38">
        <v>56117</v>
      </c>
      <c r="O1167" s="38">
        <v>3</v>
      </c>
      <c r="P1167" s="38">
        <v>55718</v>
      </c>
      <c r="Q1167" s="38">
        <v>3</v>
      </c>
    </row>
    <row r="1168" spans="1:19" x14ac:dyDescent="0.25">
      <c r="A1168" s="39" t="str">
        <f>IF(F1168="","",VLOOKUP(F1168,Tabelle1[],3))</f>
        <v>PODUJEVE</v>
      </c>
      <c r="B1168" s="40" t="str">
        <f>IF(F1168="","",VLOOKUP(F1168,Tabelle1[],2))</f>
        <v>KUJTA</v>
      </c>
      <c r="C1168" s="40"/>
      <c r="D1168" s="41">
        <v>46137</v>
      </c>
      <c r="E1168" s="80"/>
      <c r="F1168" s="78">
        <v>10625</v>
      </c>
      <c r="G1168" s="43">
        <v>120</v>
      </c>
      <c r="H1168" s="38">
        <v>35115</v>
      </c>
      <c r="I1168" s="38">
        <v>12</v>
      </c>
      <c r="J1168" s="38">
        <v>35113</v>
      </c>
      <c r="K1168" s="38">
        <v>12</v>
      </c>
      <c r="L1168" s="38">
        <v>51612</v>
      </c>
      <c r="M1168" s="38">
        <v>12</v>
      </c>
    </row>
    <row r="1169" spans="1:21" x14ac:dyDescent="0.25">
      <c r="A1169" s="39" t="str">
        <f>IF(F1169="","",VLOOKUP(F1169,Tabelle1[],3))</f>
        <v>KAQANIK</v>
      </c>
      <c r="B1169" s="40" t="str">
        <f>IF(F1169="","",VLOOKUP(F1169,Tabelle1[],2))</f>
        <v>TE-LUTA</v>
      </c>
      <c r="C1169" s="40"/>
      <c r="D1169" s="41">
        <v>46137</v>
      </c>
      <c r="E1169" s="80"/>
      <c r="F1169" s="78">
        <v>20611</v>
      </c>
      <c r="G1169" s="43">
        <v>277</v>
      </c>
      <c r="H1169" s="38">
        <v>35115</v>
      </c>
      <c r="I1169" s="38">
        <v>12</v>
      </c>
      <c r="J1169" s="38">
        <v>35111</v>
      </c>
      <c r="K1169" s="38">
        <v>12</v>
      </c>
      <c r="L1169" s="38">
        <v>35114</v>
      </c>
      <c r="M1169" s="38">
        <v>12</v>
      </c>
      <c r="N1169" s="38">
        <v>35110</v>
      </c>
      <c r="O1169" s="38">
        <v>12</v>
      </c>
      <c r="P1169" s="38">
        <v>35109</v>
      </c>
      <c r="Q1169" s="38">
        <v>12</v>
      </c>
      <c r="R1169" s="38">
        <v>35121</v>
      </c>
      <c r="S1169" s="38">
        <v>12</v>
      </c>
    </row>
    <row r="1170" spans="1:21" x14ac:dyDescent="0.25">
      <c r="A1170" s="39" t="str">
        <f>IF(F1170="","",VLOOKUP(F1170,Tabelle1[],3))</f>
        <v>KAQANIK</v>
      </c>
      <c r="B1170" s="40" t="str">
        <f>IF(F1170="","",VLOOKUP(F1170,Tabelle1[],2))</f>
        <v>TE-LUTA</v>
      </c>
      <c r="C1170" s="40"/>
      <c r="D1170" s="41">
        <v>46137</v>
      </c>
      <c r="E1170" s="80"/>
      <c r="F1170" s="78">
        <v>20611</v>
      </c>
      <c r="G1170" s="43">
        <v>162</v>
      </c>
      <c r="H1170" s="38">
        <v>35121</v>
      </c>
      <c r="I1170" s="38">
        <v>24</v>
      </c>
      <c r="J1170" s="38">
        <v>66701</v>
      </c>
      <c r="K1170" s="38">
        <v>12</v>
      </c>
    </row>
    <row r="1171" spans="1:21" x14ac:dyDescent="0.25">
      <c r="A1171" s="39" t="str">
        <f>IF(F1171="","",VLOOKUP(F1171,Tabelle1[],3))</f>
        <v>FERIZAJ</v>
      </c>
      <c r="B1171" s="40" t="str">
        <f>IF(F1171="","",VLOOKUP(F1171,Tabelle1[],2))</f>
        <v>AGROLONDI</v>
      </c>
      <c r="C1171" s="40"/>
      <c r="D1171" s="41">
        <v>46137</v>
      </c>
      <c r="E1171" s="80"/>
      <c r="F1171" s="78">
        <v>20602</v>
      </c>
      <c r="G1171" s="43">
        <v>153.6</v>
      </c>
      <c r="H1171" s="38">
        <v>35109</v>
      </c>
      <c r="I1171" s="38">
        <v>12</v>
      </c>
      <c r="J1171" s="38">
        <v>35128</v>
      </c>
      <c r="K1171" s="38">
        <v>12</v>
      </c>
      <c r="L1171" s="38">
        <v>35113</v>
      </c>
      <c r="M1171" s="38">
        <v>12</v>
      </c>
      <c r="N1171" s="38">
        <v>51611</v>
      </c>
      <c r="O1171" s="38">
        <v>12</v>
      </c>
    </row>
    <row r="1172" spans="1:21" x14ac:dyDescent="0.25">
      <c r="A1172" s="39" t="str">
        <f>IF(F1172="","",VLOOKUP(F1172,Tabelle1[],3))</f>
        <v>FERIZAJ</v>
      </c>
      <c r="B1172" s="40" t="str">
        <f>IF(F1172="","",VLOOKUP(F1172,Tabelle1[],2))</f>
        <v>LTI</v>
      </c>
      <c r="C1172" s="40"/>
      <c r="D1172" s="41">
        <v>46137</v>
      </c>
      <c r="E1172" s="80"/>
      <c r="F1172" s="78">
        <v>20623</v>
      </c>
      <c r="G1172" s="43">
        <v>162</v>
      </c>
      <c r="H1172" s="38">
        <v>35111</v>
      </c>
      <c r="I1172" s="38">
        <v>12</v>
      </c>
      <c r="J1172" s="38">
        <v>35119</v>
      </c>
      <c r="K1172" s="38">
        <v>12</v>
      </c>
      <c r="L1172" s="38">
        <v>66701</v>
      </c>
      <c r="M1172" s="38">
        <v>12</v>
      </c>
    </row>
    <row r="1173" spans="1:21" x14ac:dyDescent="0.25">
      <c r="A1173" s="39" t="str">
        <f>IF(F1173="","",VLOOKUP(F1173,Tabelle1[],3))</f>
        <v>GADIME</v>
      </c>
      <c r="B1173" s="40" t="str">
        <f>IF(F1173="","",VLOOKUP(F1173,Tabelle1[],2))</f>
        <v>ILIRI QERAMIKA</v>
      </c>
      <c r="C1173" s="40"/>
      <c r="D1173" s="41">
        <v>46137</v>
      </c>
      <c r="E1173" s="80"/>
      <c r="F1173" s="78">
        <v>20622</v>
      </c>
      <c r="G1173" s="43">
        <v>138.6</v>
      </c>
      <c r="H1173" s="38">
        <v>35109</v>
      </c>
      <c r="I1173" s="38">
        <v>12</v>
      </c>
      <c r="J1173" s="38">
        <v>35113</v>
      </c>
      <c r="K1173" s="38">
        <v>12</v>
      </c>
      <c r="L1173" s="38">
        <v>35121</v>
      </c>
      <c r="M1173" s="38">
        <v>12</v>
      </c>
    </row>
    <row r="1174" spans="1:21" x14ac:dyDescent="0.25">
      <c r="A1174" s="39" t="str">
        <f>IF(F1174="","",VLOOKUP(F1174,Tabelle1[],3))</f>
        <v>FERIZAJ</v>
      </c>
      <c r="B1174" s="40" t="str">
        <f>IF(F1174="","",VLOOKUP(F1174,Tabelle1[],2))</f>
        <v>ALMIRI QERAMIKA</v>
      </c>
      <c r="C1174" s="40"/>
      <c r="D1174" s="41">
        <v>46137</v>
      </c>
      <c r="E1174" s="80"/>
      <c r="F1174" s="78">
        <v>20631</v>
      </c>
      <c r="G1174" s="43">
        <v>92.4</v>
      </c>
      <c r="H1174" s="38">
        <v>35109</v>
      </c>
      <c r="I1174" s="38">
        <v>12</v>
      </c>
      <c r="J1174" s="38">
        <v>35121</v>
      </c>
      <c r="K1174" s="38">
        <v>12</v>
      </c>
    </row>
    <row r="1175" spans="1:21" x14ac:dyDescent="0.25">
      <c r="A1175" s="39" t="str">
        <f>IF(F1175="","",VLOOKUP(F1175,Tabelle1[],3))</f>
        <v>FERIZAJ</v>
      </c>
      <c r="B1175" s="40" t="str">
        <f>IF(F1175="","",VLOOKUP(F1175,Tabelle1[],2))</f>
        <v>ORCA</v>
      </c>
      <c r="C1175" s="40"/>
      <c r="D1175" s="41">
        <v>46137</v>
      </c>
      <c r="E1175" s="80"/>
      <c r="F1175" s="78">
        <v>20633</v>
      </c>
      <c r="G1175" s="43">
        <v>92.4</v>
      </c>
      <c r="H1175" s="38">
        <v>35109</v>
      </c>
      <c r="I1175" s="38">
        <v>12</v>
      </c>
      <c r="J1175" s="38">
        <v>35115</v>
      </c>
      <c r="K1175" s="38">
        <v>12</v>
      </c>
    </row>
    <row r="1176" spans="1:21" x14ac:dyDescent="0.25">
      <c r="A1176" s="39" t="str">
        <f>IF(F1176="","",VLOOKUP(F1176,Tabelle1[],3))</f>
        <v>FERIZAJ</v>
      </c>
      <c r="B1176" s="40" t="str">
        <f>IF(F1176="","",VLOOKUP(F1176,Tabelle1[],2))</f>
        <v>UNIKA</v>
      </c>
      <c r="C1176" s="40"/>
      <c r="D1176" s="41">
        <v>46137</v>
      </c>
      <c r="E1176" s="80"/>
      <c r="F1176" s="78">
        <v>20627</v>
      </c>
      <c r="G1176" s="43">
        <v>231</v>
      </c>
      <c r="H1176" s="38">
        <v>35108</v>
      </c>
      <c r="I1176" s="38">
        <v>12</v>
      </c>
      <c r="J1176" s="38">
        <v>35109</v>
      </c>
      <c r="K1176" s="38">
        <v>12</v>
      </c>
      <c r="L1176" s="38">
        <v>35113</v>
      </c>
      <c r="M1176" s="38">
        <v>12</v>
      </c>
      <c r="N1176" s="38">
        <v>35110</v>
      </c>
      <c r="O1176" s="38">
        <v>24</v>
      </c>
    </row>
    <row r="1177" spans="1:21" x14ac:dyDescent="0.25">
      <c r="A1177" s="39" t="str">
        <f>IF(F1177="","",VLOOKUP(F1177,Tabelle1[],3))</f>
        <v>FERIZAJ</v>
      </c>
      <c r="B1177" s="40" t="str">
        <f>IF(F1177="","",VLOOKUP(F1177,Tabelle1[],2))</f>
        <v>SALIHU CORPORATION</v>
      </c>
      <c r="C1177" s="40"/>
      <c r="D1177" s="41">
        <v>46137</v>
      </c>
      <c r="E1177" s="80"/>
      <c r="F1177" s="78">
        <v>20635</v>
      </c>
      <c r="G1177" s="43">
        <v>231</v>
      </c>
      <c r="H1177" s="38">
        <v>35109</v>
      </c>
      <c r="I1177" s="38">
        <v>36</v>
      </c>
      <c r="J1177" s="38">
        <v>35110</v>
      </c>
      <c r="K1177" s="38">
        <v>24</v>
      </c>
    </row>
    <row r="1178" spans="1:21" x14ac:dyDescent="0.25">
      <c r="A1178" s="39" t="str">
        <f>IF(F1178="","",VLOOKUP(F1178,Tabelle1[],3))</f>
        <v>FERIZAJ</v>
      </c>
      <c r="B1178" s="40" t="str">
        <f>IF(F1178="","",VLOOKUP(F1178,Tabelle1[],2))</f>
        <v>ALFA-QERAMIKA</v>
      </c>
      <c r="C1178" s="40"/>
      <c r="D1178" s="41">
        <v>46137</v>
      </c>
      <c r="E1178" s="80"/>
      <c r="F1178" s="78">
        <v>20604</v>
      </c>
      <c r="G1178" s="43">
        <v>231</v>
      </c>
      <c r="H1178" s="38">
        <v>35113</v>
      </c>
      <c r="I1178" s="38">
        <v>24</v>
      </c>
      <c r="J1178" s="38">
        <v>35109</v>
      </c>
      <c r="K1178" s="38">
        <v>12</v>
      </c>
      <c r="L1178" s="38">
        <v>35112</v>
      </c>
      <c r="M1178" s="38">
        <v>12</v>
      </c>
      <c r="N1178" s="38">
        <v>35115</v>
      </c>
      <c r="O1178" s="38">
        <v>12</v>
      </c>
    </row>
    <row r="1179" spans="1:21" x14ac:dyDescent="0.25">
      <c r="A1179" s="39" t="str">
        <f>IF(F1179="","",VLOOKUP(F1179,Tabelle1[],3))</f>
        <v>GERLIC</v>
      </c>
      <c r="B1179" s="40" t="str">
        <f>IF(F1179="","",VLOOKUP(F1179,Tabelle1[],2))</f>
        <v>TE-SYLA</v>
      </c>
      <c r="C1179" s="40"/>
      <c r="D1179" s="41">
        <v>46137</v>
      </c>
      <c r="E1179" s="80"/>
      <c r="F1179" s="78">
        <v>20606</v>
      </c>
      <c r="G1179" s="43">
        <v>125.2</v>
      </c>
      <c r="H1179" s="38">
        <v>35109</v>
      </c>
      <c r="I1179" s="38">
        <v>12</v>
      </c>
      <c r="J1179" s="38">
        <v>35110</v>
      </c>
      <c r="K1179" s="38">
        <v>12</v>
      </c>
      <c r="L1179" s="38">
        <v>31880</v>
      </c>
      <c r="M1179" s="38">
        <v>6</v>
      </c>
      <c r="N1179" s="38">
        <v>50912</v>
      </c>
      <c r="O1179" s="38">
        <v>4</v>
      </c>
      <c r="P1179" s="38">
        <v>44001</v>
      </c>
      <c r="Q1179" s="38">
        <v>4</v>
      </c>
    </row>
    <row r="1180" spans="1:21" x14ac:dyDescent="0.25">
      <c r="A1180" s="39" t="str">
        <f>IF(F1180="","",VLOOKUP(F1180,Tabelle1[],3))</f>
        <v>FERIZAJ</v>
      </c>
      <c r="B1180" s="40" t="str">
        <f>IF(F1180="","",VLOOKUP(F1180,Tabelle1[],2))</f>
        <v>BULONI - SH</v>
      </c>
      <c r="C1180" s="40"/>
      <c r="D1180" s="41">
        <v>46137</v>
      </c>
      <c r="E1180" s="80"/>
      <c r="F1180" s="78">
        <v>20624</v>
      </c>
      <c r="G1180" s="43">
        <v>369.6</v>
      </c>
      <c r="H1180" s="38">
        <v>35128</v>
      </c>
      <c r="I1180" s="38">
        <v>24</v>
      </c>
      <c r="J1180" s="38">
        <v>35108</v>
      </c>
      <c r="K1180" s="38">
        <v>12</v>
      </c>
      <c r="L1180" s="38">
        <v>35111</v>
      </c>
      <c r="M1180" s="38">
        <v>12</v>
      </c>
      <c r="N1180" s="38">
        <v>35112</v>
      </c>
      <c r="O1180" s="38">
        <v>12</v>
      </c>
      <c r="P1180" s="38">
        <v>35121</v>
      </c>
      <c r="Q1180" s="38">
        <v>12</v>
      </c>
      <c r="R1180" s="38">
        <v>35125</v>
      </c>
      <c r="S1180" s="38">
        <v>12</v>
      </c>
      <c r="T1180" s="38">
        <v>35114</v>
      </c>
      <c r="U1180" s="38">
        <v>12</v>
      </c>
    </row>
    <row r="1181" spans="1:21" x14ac:dyDescent="0.25">
      <c r="A1181" s="39" t="str">
        <f>IF(F1181="","",VLOOKUP(F1181,Tabelle1[],3))</f>
        <v>FERIZAJ</v>
      </c>
      <c r="B1181" s="40" t="str">
        <f>IF(F1181="","",VLOOKUP(F1181,Tabelle1[],2))</f>
        <v>PROMOIN</v>
      </c>
      <c r="C1181" s="40"/>
      <c r="D1181" s="41">
        <v>46137</v>
      </c>
      <c r="E1181" s="80"/>
      <c r="F1181" s="78">
        <v>20603</v>
      </c>
      <c r="G1181" s="43">
        <v>85.2</v>
      </c>
      <c r="H1181" s="38">
        <v>51611</v>
      </c>
      <c r="I1181" s="38">
        <v>24</v>
      </c>
      <c r="J1181" s="38">
        <v>51612</v>
      </c>
      <c r="K1181" s="38">
        <v>24</v>
      </c>
    </row>
    <row r="1182" spans="1:21" x14ac:dyDescent="0.25">
      <c r="A1182" s="39" t="str">
        <f>IF(F1182="","",VLOOKUP(F1182,Tabelle1[],3))</f>
        <v>PRISHTINE</v>
      </c>
      <c r="B1182" s="40" t="str">
        <f>IF(F1182="","",VLOOKUP(F1182,Tabelle1[],2))</f>
        <v>KRRABAJ</v>
      </c>
      <c r="C1182" s="40"/>
      <c r="D1182" s="41">
        <v>46139</v>
      </c>
      <c r="E1182" s="80"/>
      <c r="F1182" s="78">
        <v>10145</v>
      </c>
      <c r="G1182" s="43">
        <v>92.4</v>
      </c>
      <c r="H1182" s="38">
        <v>35121</v>
      </c>
      <c r="I1182" s="38">
        <v>12</v>
      </c>
      <c r="J1182" s="38">
        <v>35128</v>
      </c>
      <c r="K1182" s="38">
        <v>12</v>
      </c>
    </row>
    <row r="1183" spans="1:21" x14ac:dyDescent="0.25">
      <c r="A1183" s="39" t="str">
        <f>IF(F1183="","",VLOOKUP(F1183,Tabelle1[],3))</f>
        <v>PRISHTINE</v>
      </c>
      <c r="B1183" s="40" t="str">
        <f>IF(F1183="","",VLOOKUP(F1183,Tabelle1[],2))</f>
        <v>KADIJOLLET</v>
      </c>
      <c r="C1183" s="40"/>
      <c r="D1183" s="41">
        <v>46139</v>
      </c>
      <c r="E1183" s="80"/>
      <c r="F1183" s="78">
        <v>10111</v>
      </c>
      <c r="G1183" s="43">
        <v>184.8</v>
      </c>
      <c r="H1183" s="38">
        <v>35110</v>
      </c>
      <c r="I1183" s="38">
        <v>12</v>
      </c>
      <c r="J1183" s="38">
        <v>35111</v>
      </c>
      <c r="K1183" s="38">
        <v>12</v>
      </c>
      <c r="L1183" s="38">
        <v>35112</v>
      </c>
      <c r="M1183" s="38">
        <v>12</v>
      </c>
      <c r="N1183" s="38">
        <v>35119</v>
      </c>
      <c r="O1183" s="38">
        <v>12</v>
      </c>
    </row>
    <row r="1184" spans="1:21" x14ac:dyDescent="0.25">
      <c r="A1184" s="39" t="str">
        <f>IF(F1184="","",VLOOKUP(F1184,Tabelle1[],3))</f>
        <v>BARDHOSH</v>
      </c>
      <c r="B1184" s="40" t="str">
        <f>IF(F1184="","",VLOOKUP(F1184,Tabelle1[],2))</f>
        <v>QELA</v>
      </c>
      <c r="C1184" s="40"/>
      <c r="D1184" s="41">
        <v>46139</v>
      </c>
      <c r="E1184" s="80"/>
      <c r="F1184" s="78">
        <v>10114</v>
      </c>
      <c r="G1184" s="43">
        <v>138.6</v>
      </c>
      <c r="H1184" s="38">
        <v>35110</v>
      </c>
      <c r="I1184" s="38">
        <v>12</v>
      </c>
      <c r="J1184" s="38">
        <v>35111</v>
      </c>
      <c r="K1184" s="38">
        <v>12</v>
      </c>
      <c r="L1184" s="38">
        <v>35113</v>
      </c>
      <c r="M1184" s="38">
        <v>12</v>
      </c>
    </row>
    <row r="1185" spans="1:19" x14ac:dyDescent="0.25">
      <c r="A1185" s="39" t="str">
        <f>IF(F1185="","",VLOOKUP(F1185,Tabelle1[],3))</f>
        <v>PRISHTINE</v>
      </c>
      <c r="B1185" s="40" t="str">
        <f>IF(F1185="","",VLOOKUP(F1185,Tabelle1[],2))</f>
        <v>HIDROELDI</v>
      </c>
      <c r="C1185" s="40"/>
      <c r="D1185" s="41">
        <v>46139</v>
      </c>
      <c r="E1185" s="80"/>
      <c r="F1185" s="78">
        <v>10133</v>
      </c>
      <c r="G1185" s="43">
        <v>92.4</v>
      </c>
      <c r="H1185" s="38">
        <v>35108</v>
      </c>
      <c r="I1185" s="38">
        <v>12</v>
      </c>
      <c r="J1185" s="38">
        <v>35121</v>
      </c>
      <c r="K1185" s="38">
        <v>12</v>
      </c>
    </row>
    <row r="1186" spans="1:19" x14ac:dyDescent="0.25">
      <c r="A1186" s="39" t="str">
        <f>IF(F1186="","",VLOOKUP(F1186,Tabelle1[],3))</f>
        <v>PRISHTINE</v>
      </c>
      <c r="B1186" s="40" t="str">
        <f>IF(F1186="","",VLOOKUP(F1186,Tabelle1[],2))</f>
        <v>JETARI</v>
      </c>
      <c r="C1186" s="40"/>
      <c r="D1186" s="41">
        <v>46139</v>
      </c>
      <c r="E1186" s="80"/>
      <c r="F1186" s="78">
        <v>10104</v>
      </c>
      <c r="G1186" s="43">
        <v>46.2</v>
      </c>
      <c r="H1186" s="38">
        <v>35111</v>
      </c>
      <c r="I1186" s="38">
        <v>12</v>
      </c>
    </row>
    <row r="1187" spans="1:19" x14ac:dyDescent="0.25">
      <c r="A1187" s="39" t="str">
        <f>IF(F1187="","",VLOOKUP(F1187,Tabelle1[],3))</f>
        <v>PEJE</v>
      </c>
      <c r="B1187" s="40" t="str">
        <f>IF(F1187="","",VLOOKUP(F1187,Tabelle1[],2))</f>
        <v>KENA COMERC</v>
      </c>
      <c r="C1187" s="40"/>
      <c r="D1187" s="41">
        <v>46139</v>
      </c>
      <c r="E1187" s="80"/>
      <c r="F1187" s="78">
        <v>20109</v>
      </c>
      <c r="G1187" s="43">
        <v>261</v>
      </c>
      <c r="H1187" s="38">
        <v>35109</v>
      </c>
      <c r="I1187" s="38">
        <v>12</v>
      </c>
      <c r="J1187" s="38">
        <v>35111</v>
      </c>
      <c r="K1187" s="38">
        <v>12</v>
      </c>
      <c r="L1187" s="38">
        <v>35115</v>
      </c>
      <c r="M1187" s="38">
        <v>12</v>
      </c>
      <c r="N1187" s="38">
        <v>35113</v>
      </c>
      <c r="O1187" s="38">
        <v>12</v>
      </c>
      <c r="P1187" s="38">
        <v>35112</v>
      </c>
      <c r="Q1187" s="38">
        <v>12</v>
      </c>
      <c r="R1187" s="38">
        <v>51611</v>
      </c>
      <c r="S1187" s="38">
        <v>24</v>
      </c>
    </row>
    <row r="1188" spans="1:19" x14ac:dyDescent="0.25">
      <c r="A1188" s="39" t="str">
        <f>IF(F1188="","",VLOOKUP(F1188,Tabelle1[],3))</f>
        <v>PEJE</v>
      </c>
      <c r="B1188" s="40" t="str">
        <f>IF(F1188="","",VLOOKUP(F1188,Tabelle1[],2))</f>
        <v>CAMA BAU</v>
      </c>
      <c r="C1188" s="40"/>
      <c r="D1188" s="41">
        <v>46139</v>
      </c>
      <c r="E1188" s="80"/>
      <c r="F1188" s="78">
        <v>20121</v>
      </c>
      <c r="G1188" s="43">
        <v>138.6</v>
      </c>
      <c r="H1188" s="38">
        <v>35109</v>
      </c>
      <c r="I1188" s="38">
        <v>12</v>
      </c>
      <c r="J1188" s="38">
        <v>35115</v>
      </c>
      <c r="K1188" s="38">
        <v>12</v>
      </c>
      <c r="L1188" s="38">
        <v>35125</v>
      </c>
      <c r="M1188" s="38">
        <v>12</v>
      </c>
    </row>
    <row r="1189" spans="1:19" x14ac:dyDescent="0.25">
      <c r="A1189" s="39" t="str">
        <f>IF(F1189="","",VLOOKUP(F1189,Tabelle1[],3))</f>
        <v>PEJE</v>
      </c>
      <c r="B1189" s="40" t="str">
        <f>IF(F1189="","",VLOOKUP(F1189,Tabelle1[],2))</f>
        <v>KUQI-LKW</v>
      </c>
      <c r="C1189" s="40"/>
      <c r="D1189" s="41">
        <v>46139</v>
      </c>
      <c r="E1189" s="80"/>
      <c r="F1189" s="78">
        <v>20102</v>
      </c>
      <c r="G1189" s="43">
        <v>65.2</v>
      </c>
      <c r="H1189" s="38">
        <v>54412</v>
      </c>
      <c r="I1189" s="38">
        <v>5</v>
      </c>
      <c r="J1189" s="38">
        <v>56117</v>
      </c>
      <c r="K1189" s="38">
        <v>3</v>
      </c>
      <c r="L1189" s="38">
        <v>50912</v>
      </c>
      <c r="M1189" s="38">
        <v>6</v>
      </c>
    </row>
    <row r="1190" spans="1:19" x14ac:dyDescent="0.25">
      <c r="A1190" s="39" t="str">
        <f>IF(F1190="","",VLOOKUP(F1190,Tabelle1[],3))</f>
        <v>PEJE</v>
      </c>
      <c r="B1190" s="40" t="str">
        <f>IF(F1190="","",VLOOKUP(F1190,Tabelle1[],2))</f>
        <v>GLOBI TERM</v>
      </c>
      <c r="C1190" s="40"/>
      <c r="D1190" s="41">
        <v>46139</v>
      </c>
      <c r="E1190" s="80"/>
      <c r="F1190" s="78">
        <v>20122</v>
      </c>
      <c r="G1190" s="43">
        <v>32.6</v>
      </c>
      <c r="H1190" s="38">
        <v>50912</v>
      </c>
      <c r="I1190" s="38">
        <v>3</v>
      </c>
      <c r="J1190" s="38">
        <v>44001</v>
      </c>
      <c r="K1190" s="38">
        <v>2</v>
      </c>
      <c r="L1190" s="38">
        <v>31880</v>
      </c>
      <c r="M1190" s="38">
        <v>1</v>
      </c>
    </row>
    <row r="1191" spans="1:19" x14ac:dyDescent="0.25">
      <c r="A1191" s="39" t="str">
        <f>IF(F1191="","",VLOOKUP(F1191,Tabelle1[],3))</f>
        <v>GJAKOVE</v>
      </c>
      <c r="B1191" s="40" t="str">
        <f>IF(F1191="","",VLOOKUP(F1191,Tabelle1[],2))</f>
        <v>INOX 1</v>
      </c>
      <c r="C1191" s="40"/>
      <c r="D1191" s="41">
        <v>46139</v>
      </c>
      <c r="E1191" s="80"/>
      <c r="F1191" s="78">
        <v>20211</v>
      </c>
      <c r="G1191" s="43">
        <v>60</v>
      </c>
      <c r="H1191" s="38">
        <v>16936</v>
      </c>
      <c r="I1191" s="38">
        <v>12</v>
      </c>
      <c r="J1191" s="38">
        <v>26736</v>
      </c>
      <c r="K1191" s="38">
        <v>6</v>
      </c>
      <c r="L1191" s="38">
        <v>51936</v>
      </c>
      <c r="M1191" s="38">
        <v>6</v>
      </c>
    </row>
    <row r="1192" spans="1:19" x14ac:dyDescent="0.25">
      <c r="A1192" s="39" t="str">
        <f>IF(F1192="","",VLOOKUP(F1192,Tabelle1[],3))</f>
        <v>PEJE</v>
      </c>
      <c r="B1192" s="40" t="str">
        <f>IF(F1192="","",VLOOKUP(F1192,Tabelle1[],2))</f>
        <v>TERMO PROJEKT</v>
      </c>
      <c r="C1192" s="40"/>
      <c r="D1192" s="41">
        <v>46139</v>
      </c>
      <c r="E1192" s="80"/>
      <c r="F1192" s="78">
        <v>20127</v>
      </c>
      <c r="G1192" s="43">
        <v>184.8</v>
      </c>
      <c r="H1192" s="38">
        <v>35110</v>
      </c>
      <c r="I1192" s="38">
        <v>24</v>
      </c>
      <c r="J1192" s="38">
        <v>35112</v>
      </c>
      <c r="K1192" s="38">
        <v>12</v>
      </c>
      <c r="L1192" s="38">
        <v>35125</v>
      </c>
      <c r="M1192" s="38">
        <v>12</v>
      </c>
    </row>
    <row r="1193" spans="1:19" x14ac:dyDescent="0.25">
      <c r="A1193" s="39" t="str">
        <f>IF(F1193="","",VLOOKUP(F1193,Tabelle1[],3))</f>
        <v>PEJE</v>
      </c>
      <c r="B1193" s="40" t="str">
        <f>IF(F1193="","",VLOOKUP(F1193,Tabelle1[],2))</f>
        <v>KTHIMI</v>
      </c>
      <c r="C1193" s="40"/>
      <c r="D1193" s="41">
        <v>46139</v>
      </c>
      <c r="E1193" s="80"/>
      <c r="F1193" s="78">
        <v>20104</v>
      </c>
      <c r="G1193" s="43">
        <v>138.6</v>
      </c>
      <c r="H1193" s="38">
        <v>35109</v>
      </c>
      <c r="I1193" s="38">
        <v>24</v>
      </c>
      <c r="J1193" s="38">
        <v>35121</v>
      </c>
      <c r="K1193" s="38">
        <v>12</v>
      </c>
    </row>
    <row r="1194" spans="1:19" x14ac:dyDescent="0.25">
      <c r="A1194" s="39" t="str">
        <f>IF(F1194="","",VLOOKUP(F1194,Tabelle1[],3))</f>
        <v>PEJE</v>
      </c>
      <c r="B1194" s="40" t="str">
        <f>IF(F1194="","",VLOOKUP(F1194,Tabelle1[],2))</f>
        <v>LULI-C</v>
      </c>
      <c r="C1194" s="40"/>
      <c r="D1194" s="41">
        <v>46139</v>
      </c>
      <c r="E1194" s="80"/>
      <c r="F1194" s="78">
        <v>20126</v>
      </c>
      <c r="G1194" s="43">
        <v>138.6</v>
      </c>
      <c r="H1194" s="38">
        <v>35113</v>
      </c>
      <c r="I1194" s="38">
        <v>24</v>
      </c>
      <c r="J1194" s="38">
        <v>35119</v>
      </c>
      <c r="K1194" s="38">
        <v>12</v>
      </c>
    </row>
    <row r="1195" spans="1:19" x14ac:dyDescent="0.25">
      <c r="A1195" s="39" t="str">
        <f>IF(F1195="","",VLOOKUP(F1195,Tabelle1[],3))</f>
        <v>HOME KIM TEC</v>
      </c>
      <c r="B1195" s="40" t="str">
        <f>IF(F1195="","",VLOOKUP(F1195,Tabelle1[],2))</f>
        <v>ARBENI BIOBLIC</v>
      </c>
      <c r="C1195" s="40"/>
      <c r="D1195" s="41">
        <v>46140</v>
      </c>
      <c r="E1195" s="80"/>
      <c r="F1195" s="78">
        <v>40003</v>
      </c>
      <c r="G1195" s="43">
        <v>265</v>
      </c>
      <c r="H1195" s="38">
        <v>20001</v>
      </c>
      <c r="I1195" s="38">
        <v>140</v>
      </c>
      <c r="J1195" s="38">
        <v>30275</v>
      </c>
      <c r="K1195" s="38">
        <v>60</v>
      </c>
      <c r="L1195" s="38">
        <v>50912</v>
      </c>
      <c r="M1195" s="38">
        <v>2</v>
      </c>
    </row>
    <row r="1196" spans="1:19" x14ac:dyDescent="0.25">
      <c r="A1196" s="39" t="str">
        <f>IF(F1196="","",VLOOKUP(F1196,Tabelle1[],3))</f>
        <v>PRISHTINE</v>
      </c>
      <c r="B1196" s="40" t="str">
        <f>IF(F1196="","",VLOOKUP(F1196,Tabelle1[],2))</f>
        <v>YLLI CONSTRUCION</v>
      </c>
      <c r="C1196" s="40"/>
      <c r="D1196" s="41">
        <v>46140</v>
      </c>
      <c r="E1196" s="80"/>
      <c r="F1196" s="78">
        <v>40017</v>
      </c>
      <c r="G1196" s="43">
        <v>48</v>
      </c>
      <c r="H1196" s="38">
        <v>35108</v>
      </c>
      <c r="I1196" s="38">
        <v>8</v>
      </c>
      <c r="J1196" s="38">
        <v>35115</v>
      </c>
      <c r="K1196" s="38">
        <v>4</v>
      </c>
    </row>
    <row r="1197" spans="1:19" x14ac:dyDescent="0.25">
      <c r="A1197" s="39" t="str">
        <f>IF(F1197="","",VLOOKUP(F1197,Tabelle1[],3))</f>
        <v>THARAND</v>
      </c>
      <c r="B1197" s="40" t="str">
        <f>IF(F1197="","",VLOOKUP(F1197,Tabelle1[],2))</f>
        <v>METAL FATI</v>
      </c>
      <c r="C1197" s="40"/>
      <c r="D1197" s="41">
        <v>46140</v>
      </c>
      <c r="E1197" s="80"/>
      <c r="F1197" s="78">
        <v>10202</v>
      </c>
      <c r="G1197" s="43">
        <v>46.2</v>
      </c>
      <c r="H1197" s="38">
        <v>35128</v>
      </c>
      <c r="I1197" s="38">
        <v>12</v>
      </c>
    </row>
    <row r="1198" spans="1:19" x14ac:dyDescent="0.25">
      <c r="A1198" s="39" t="str">
        <f>IF(F1198="","",VLOOKUP(F1198,Tabelle1[],3))</f>
        <v>SHIROK</v>
      </c>
      <c r="B1198" s="40" t="str">
        <f>IF(F1198="","",VLOOKUP(F1198,Tabelle1[],2))</f>
        <v>XHAFA</v>
      </c>
      <c r="C1198" s="40"/>
      <c r="D1198" s="41">
        <v>46140</v>
      </c>
      <c r="E1198" s="80"/>
      <c r="F1198" s="78">
        <v>10205</v>
      </c>
      <c r="G1198" s="43">
        <v>199.2</v>
      </c>
      <c r="H1198" s="38">
        <v>35108</v>
      </c>
      <c r="I1198" s="38">
        <v>12</v>
      </c>
      <c r="J1198" s="38">
        <v>35111</v>
      </c>
      <c r="K1198" s="38">
        <v>12</v>
      </c>
      <c r="L1198" s="38">
        <v>35115</v>
      </c>
      <c r="M1198" s="38">
        <v>12</v>
      </c>
      <c r="N1198" s="38">
        <v>35113</v>
      </c>
      <c r="O1198" s="38">
        <v>12</v>
      </c>
      <c r="P1198" s="38">
        <v>50912</v>
      </c>
      <c r="Q1198" s="38">
        <v>2</v>
      </c>
    </row>
    <row r="1199" spans="1:19" x14ac:dyDescent="0.25">
      <c r="A1199" s="39" t="str">
        <f>IF(F1199="","",VLOOKUP(F1199,Tabelle1[],3))</f>
        <v>PRIZREN</v>
      </c>
      <c r="B1199" s="40" t="str">
        <f>IF(F1199="","",VLOOKUP(F1199,Tabelle1[],2))</f>
        <v>QEMA</v>
      </c>
      <c r="C1199" s="40"/>
      <c r="D1199" s="41">
        <v>46140</v>
      </c>
      <c r="E1199" s="80"/>
      <c r="F1199" s="78">
        <v>10256</v>
      </c>
      <c r="G1199" s="43">
        <v>46.2</v>
      </c>
      <c r="H1199" s="38">
        <v>35121</v>
      </c>
      <c r="I1199" s="38">
        <v>12</v>
      </c>
    </row>
    <row r="1200" spans="1:19" x14ac:dyDescent="0.25">
      <c r="A1200" s="39" t="str">
        <f>IF(F1200="","",VLOOKUP(F1200,Tabelle1[],3))</f>
        <v>PRIZREN</v>
      </c>
      <c r="B1200" s="40" t="str">
        <f>IF(F1200="","",VLOOKUP(F1200,Tabelle1[],2))</f>
        <v>ARPO</v>
      </c>
      <c r="C1200" s="40"/>
      <c r="D1200" s="41">
        <v>46140</v>
      </c>
      <c r="E1200" s="80"/>
      <c r="F1200" s="78">
        <v>10240</v>
      </c>
      <c r="G1200" s="43">
        <v>277.2</v>
      </c>
      <c r="H1200" s="38">
        <v>35111</v>
      </c>
      <c r="I1200" s="38">
        <v>12</v>
      </c>
      <c r="J1200" s="38">
        <v>35128</v>
      </c>
      <c r="K1200" s="38">
        <v>12</v>
      </c>
      <c r="L1200" s="38">
        <v>35109</v>
      </c>
      <c r="M1200" s="38">
        <v>24</v>
      </c>
      <c r="N1200" s="38">
        <v>35115</v>
      </c>
      <c r="O1200" s="38">
        <v>24</v>
      </c>
    </row>
    <row r="1201" spans="1:19" x14ac:dyDescent="0.25">
      <c r="A1201" s="39" t="str">
        <f>IF(F1201="","",VLOOKUP(F1201,Tabelle1[],3))</f>
        <v>ZYM</v>
      </c>
      <c r="B1201" s="40" t="str">
        <f>IF(F1201="","",VLOOKUP(F1201,Tabelle1[],2))</f>
        <v>BEK TRADE</v>
      </c>
      <c r="C1201" s="40"/>
      <c r="D1201" s="41">
        <v>46140</v>
      </c>
      <c r="E1201" s="80"/>
      <c r="F1201" s="78">
        <v>10245</v>
      </c>
      <c r="G1201" s="43">
        <v>462</v>
      </c>
      <c r="H1201" s="38">
        <v>35109</v>
      </c>
      <c r="I1201" s="38">
        <v>36</v>
      </c>
      <c r="J1201" s="38">
        <v>35115</v>
      </c>
      <c r="K1201" s="38">
        <v>24</v>
      </c>
      <c r="L1201" s="38">
        <v>35121</v>
      </c>
      <c r="M1201" s="38">
        <v>24</v>
      </c>
      <c r="N1201" s="38">
        <v>35110</v>
      </c>
      <c r="O1201" s="38">
        <v>12</v>
      </c>
      <c r="P1201" s="38">
        <v>35111</v>
      </c>
      <c r="Q1201" s="38">
        <v>12</v>
      </c>
      <c r="R1201" s="38">
        <v>35113</v>
      </c>
      <c r="S1201" s="38">
        <v>12</v>
      </c>
    </row>
    <row r="1202" spans="1:19" x14ac:dyDescent="0.25">
      <c r="A1202" s="39" t="str">
        <f>IF(F1202="","",VLOOKUP(F1202,Tabelle1[],3))</f>
        <v>THARAND</v>
      </c>
      <c r="B1202" s="40" t="str">
        <f>IF(F1202="","",VLOOKUP(F1202,Tabelle1[],2))</f>
        <v>TE BESNIKU</v>
      </c>
      <c r="C1202" s="40"/>
      <c r="D1202" s="41">
        <v>46140</v>
      </c>
      <c r="E1202" s="80"/>
      <c r="F1202" s="78">
        <v>10201</v>
      </c>
      <c r="G1202" s="43">
        <v>46.2</v>
      </c>
      <c r="H1202" s="38">
        <v>35110</v>
      </c>
      <c r="I1202" s="38">
        <v>12</v>
      </c>
    </row>
    <row r="1203" spans="1:19" x14ac:dyDescent="0.25">
      <c r="A1203" s="39" t="str">
        <f>IF(F1203="","",VLOOKUP(F1203,Tabelle1[],3))</f>
        <v>FERIZAJ</v>
      </c>
      <c r="B1203" s="40" t="str">
        <f>IF(F1203="","",VLOOKUP(F1203,Tabelle1[],2))</f>
        <v>ALTINI</v>
      </c>
      <c r="C1203" s="40"/>
      <c r="D1203" s="41">
        <v>46140</v>
      </c>
      <c r="E1203" s="80"/>
      <c r="F1203" s="78">
        <v>10541</v>
      </c>
      <c r="G1203" s="43">
        <v>92.4</v>
      </c>
      <c r="H1203" s="38">
        <v>35108</v>
      </c>
      <c r="I1203" s="38">
        <v>12</v>
      </c>
      <c r="J1203" s="38">
        <v>35109</v>
      </c>
      <c r="K1203" s="38">
        <v>12</v>
      </c>
    </row>
    <row r="1204" spans="1:19" x14ac:dyDescent="0.25">
      <c r="A1204" s="39" t="str">
        <f>IF(F1204="","",VLOOKUP(F1204,Tabelle1[],3))</f>
        <v>DUHEL</v>
      </c>
      <c r="B1204" s="40" t="str">
        <f>IF(F1204="","",VLOOKUP(F1204,Tabelle1[],2))</f>
        <v>JETA DUHEL</v>
      </c>
      <c r="C1204" s="40"/>
      <c r="D1204" s="41">
        <v>46140</v>
      </c>
      <c r="E1204" s="80"/>
      <c r="F1204" s="78">
        <v>10230</v>
      </c>
      <c r="G1204" s="43">
        <v>323.39999999999998</v>
      </c>
      <c r="H1204" s="38">
        <v>35121</v>
      </c>
      <c r="I1204" s="38">
        <v>36</v>
      </c>
      <c r="J1204" s="38">
        <v>35110</v>
      </c>
      <c r="K1204" s="38">
        <v>12</v>
      </c>
      <c r="L1204" s="38">
        <v>35111</v>
      </c>
      <c r="M1204" s="38">
        <v>12</v>
      </c>
      <c r="N1204" s="38">
        <v>35115</v>
      </c>
      <c r="O1204" s="38">
        <v>12</v>
      </c>
      <c r="P1204" s="38">
        <v>35128</v>
      </c>
      <c r="Q1204" s="38">
        <v>12</v>
      </c>
    </row>
    <row r="1205" spans="1:19" x14ac:dyDescent="0.25">
      <c r="A1205" s="39" t="str">
        <f>IF(F1205="","",VLOOKUP(F1205,Tabelle1[],3))</f>
        <v>PRIZREN</v>
      </c>
      <c r="B1205" s="40" t="str">
        <f>IF(F1205="","",VLOOKUP(F1205,Tabelle1[],2))</f>
        <v>TEMAJ</v>
      </c>
      <c r="C1205" s="40"/>
      <c r="D1205" s="41">
        <v>46140</v>
      </c>
      <c r="E1205" s="80"/>
      <c r="F1205" s="78">
        <v>40019</v>
      </c>
      <c r="G1205" s="43">
        <v>462</v>
      </c>
      <c r="H1205" s="38">
        <v>35109</v>
      </c>
      <c r="I1205" s="38">
        <v>24</v>
      </c>
      <c r="J1205" s="38">
        <v>35113</v>
      </c>
      <c r="K1205" s="38">
        <v>36</v>
      </c>
      <c r="L1205" s="38">
        <v>35121</v>
      </c>
      <c r="M1205" s="38">
        <v>24</v>
      </c>
      <c r="N1205" s="38">
        <v>35108</v>
      </c>
      <c r="O1205" s="38">
        <v>12</v>
      </c>
      <c r="P1205" s="38">
        <v>35128</v>
      </c>
      <c r="Q1205" s="38">
        <v>12</v>
      </c>
      <c r="R1205" s="38">
        <v>35119</v>
      </c>
      <c r="S1205" s="38">
        <v>12</v>
      </c>
    </row>
    <row r="1206" spans="1:19" x14ac:dyDescent="0.25">
      <c r="A1206" s="39" t="str">
        <f>IF(F1206="","",VLOOKUP(F1206,Tabelle1[],3))</f>
        <v>GJAKOVE</v>
      </c>
      <c r="B1206" s="40" t="str">
        <f>IF(F1206="","",VLOOKUP(F1206,Tabelle1[],2))</f>
        <v>TANI</v>
      </c>
      <c r="C1206" s="40"/>
      <c r="D1206" s="41">
        <v>46140</v>
      </c>
      <c r="E1206" s="80"/>
      <c r="F1206" s="78">
        <v>20224</v>
      </c>
      <c r="G1206" s="43">
        <v>277.2</v>
      </c>
      <c r="H1206" s="38">
        <v>35110</v>
      </c>
      <c r="I1206" s="38">
        <v>36</v>
      </c>
      <c r="J1206" s="38">
        <v>35111</v>
      </c>
      <c r="K1206" s="38">
        <v>36</v>
      </c>
    </row>
    <row r="1207" spans="1:19" x14ac:dyDescent="0.25">
      <c r="A1207" s="39" t="str">
        <f>IF(F1207="","",VLOOKUP(F1207,Tabelle1[],3))</f>
        <v>GJAKOVE</v>
      </c>
      <c r="B1207" s="40" t="str">
        <f>IF(F1207="","",VLOOKUP(F1207,Tabelle1[],2))</f>
        <v>TANI</v>
      </c>
      <c r="C1207" s="40"/>
      <c r="D1207" s="41">
        <v>46140</v>
      </c>
      <c r="E1207" s="80"/>
      <c r="F1207" s="78">
        <v>20224</v>
      </c>
      <c r="G1207" s="43">
        <v>115.8</v>
      </c>
      <c r="H1207" s="38">
        <v>35121</v>
      </c>
      <c r="I1207" s="38">
        <v>12</v>
      </c>
      <c r="J1207" s="38">
        <v>66701</v>
      </c>
      <c r="K1207" s="38">
        <v>12</v>
      </c>
    </row>
    <row r="1208" spans="1:19" x14ac:dyDescent="0.25">
      <c r="A1208" s="39" t="str">
        <f>IF(F1208="","",VLOOKUP(F1208,Tabelle1[],3))</f>
        <v>GJAKOVE</v>
      </c>
      <c r="B1208" s="40" t="str">
        <f>IF(F1208="","",VLOOKUP(F1208,Tabelle1[],2))</f>
        <v>LETAJ</v>
      </c>
      <c r="C1208" s="40"/>
      <c r="D1208" s="41">
        <v>46140</v>
      </c>
      <c r="E1208" s="80"/>
      <c r="F1208" s="78">
        <v>20209</v>
      </c>
      <c r="G1208" s="43">
        <v>120</v>
      </c>
      <c r="H1208" s="38">
        <v>35119</v>
      </c>
      <c r="I1208" s="38">
        <v>12</v>
      </c>
      <c r="J1208" s="38">
        <v>35125</v>
      </c>
      <c r="K1208" s="38">
        <v>12</v>
      </c>
      <c r="L1208" s="38">
        <v>51612</v>
      </c>
      <c r="M1208" s="38">
        <v>12</v>
      </c>
    </row>
    <row r="1209" spans="1:19" x14ac:dyDescent="0.25">
      <c r="A1209" s="39" t="str">
        <f>IF(F1209="","",VLOOKUP(F1209,Tabelle1[],3))</f>
        <v>GJAKOVE</v>
      </c>
      <c r="B1209" s="40" t="str">
        <f>IF(F1209="","",VLOOKUP(F1209,Tabelle1[],2))</f>
        <v>GERMAN FABRE</v>
      </c>
      <c r="C1209" s="40"/>
      <c r="D1209" s="41">
        <v>46140</v>
      </c>
      <c r="E1209" s="80"/>
      <c r="F1209" s="78">
        <v>20220</v>
      </c>
      <c r="G1209" s="43">
        <v>138.6</v>
      </c>
      <c r="H1209" s="38">
        <v>35111</v>
      </c>
      <c r="I1209" s="38">
        <v>12</v>
      </c>
      <c r="J1209" s="38">
        <v>35115</v>
      </c>
      <c r="K1209" s="38">
        <v>12</v>
      </c>
      <c r="L1209" s="38">
        <v>35125</v>
      </c>
      <c r="M1209" s="38">
        <v>12</v>
      </c>
    </row>
    <row r="1210" spans="1:19" x14ac:dyDescent="0.25">
      <c r="A1210" s="39" t="str">
        <f>IF(F1210="","",VLOOKUP(F1210,Tabelle1[],3))</f>
        <v>GJAKOVE</v>
      </c>
      <c r="B1210" s="40" t="str">
        <f>IF(F1210="","",VLOOKUP(F1210,Tabelle1[],2))</f>
        <v>INOX 2</v>
      </c>
      <c r="C1210" s="40"/>
      <c r="D1210" s="41">
        <v>46140</v>
      </c>
      <c r="E1210" s="80"/>
      <c r="F1210" s="78">
        <v>20212</v>
      </c>
      <c r="G1210" s="43">
        <v>92.4</v>
      </c>
      <c r="H1210" s="38">
        <v>35109</v>
      </c>
      <c r="I1210" s="38">
        <v>24</v>
      </c>
    </row>
    <row r="1211" spans="1:19" x14ac:dyDescent="0.25">
      <c r="A1211" s="39" t="str">
        <f>IF(F1211="","",VLOOKUP(F1211,Tabelle1[],3))</f>
        <v>GJAKOVE</v>
      </c>
      <c r="B1211" s="40" t="str">
        <f>IF(F1211="","",VLOOKUP(F1211,Tabelle1[],2))</f>
        <v>GER COLORS</v>
      </c>
      <c r="C1211" s="40"/>
      <c r="D1211" s="41">
        <v>46140</v>
      </c>
      <c r="E1211" s="80"/>
      <c r="F1211" s="78">
        <v>20223</v>
      </c>
      <c r="G1211" s="43">
        <v>138.6</v>
      </c>
      <c r="H1211" s="38">
        <v>35111</v>
      </c>
      <c r="I1211" s="38">
        <v>12</v>
      </c>
      <c r="J1211" s="38">
        <v>35114</v>
      </c>
      <c r="K1211" s="38">
        <v>12</v>
      </c>
      <c r="L1211" s="38">
        <v>35125</v>
      </c>
      <c r="M1211" s="38">
        <v>12</v>
      </c>
    </row>
    <row r="1212" spans="1:19" x14ac:dyDescent="0.25">
      <c r="A1212" s="39" t="str">
        <f>IF(F1212="","",VLOOKUP(F1212,Tabelle1[],3))</f>
        <v>GJAKOVE</v>
      </c>
      <c r="B1212" s="40" t="str">
        <f>IF(F1212="","",VLOOKUP(F1212,Tabelle1[],2))</f>
        <v>V. GJONAJ</v>
      </c>
      <c r="C1212" s="40"/>
      <c r="D1212" s="41">
        <v>46140</v>
      </c>
      <c r="E1212" s="80"/>
      <c r="F1212" s="78">
        <v>20208</v>
      </c>
      <c r="G1212" s="43">
        <v>138.6</v>
      </c>
      <c r="H1212" s="38">
        <v>35111</v>
      </c>
      <c r="I1212" s="38">
        <v>12</v>
      </c>
      <c r="J1212" s="38">
        <v>35112</v>
      </c>
      <c r="K1212" s="38">
        <v>12</v>
      </c>
      <c r="L1212" s="38">
        <v>35128</v>
      </c>
      <c r="M1212" s="38">
        <v>12</v>
      </c>
    </row>
    <row r="1213" spans="1:19" x14ac:dyDescent="0.25">
      <c r="A1213" s="39" t="str">
        <f>IF(F1213="","",VLOOKUP(F1213,Tabelle1[],3))</f>
        <v>JUNIK</v>
      </c>
      <c r="B1213" s="40" t="str">
        <f>IF(F1213="","",VLOOKUP(F1213,Tabelle1[],2))</f>
        <v>ERENIKU</v>
      </c>
      <c r="C1213" s="40"/>
      <c r="D1213" s="41">
        <v>46140</v>
      </c>
      <c r="E1213" s="80"/>
      <c r="F1213" s="78">
        <v>20206</v>
      </c>
      <c r="G1213" s="43">
        <v>184.8</v>
      </c>
      <c r="H1213" s="38">
        <v>35110</v>
      </c>
      <c r="I1213" s="38">
        <v>12</v>
      </c>
      <c r="J1213" s="38">
        <v>35111</v>
      </c>
      <c r="K1213" s="38">
        <v>12</v>
      </c>
      <c r="L1213" s="38">
        <v>35113</v>
      </c>
      <c r="M1213" s="38">
        <v>12</v>
      </c>
      <c r="N1213" s="38">
        <v>35128</v>
      </c>
      <c r="O1213" s="38">
        <v>12</v>
      </c>
    </row>
    <row r="1214" spans="1:19" x14ac:dyDescent="0.25">
      <c r="A1214" s="39" t="str">
        <f>IF(F1214="","",VLOOKUP(F1214,Tabelle1[],3))</f>
        <v>JUNIK</v>
      </c>
      <c r="B1214" s="40" t="str">
        <f>IF(F1214="","",VLOOKUP(F1214,Tabelle1[],2))</f>
        <v>GACAFERI-RG</v>
      </c>
      <c r="C1214" s="40"/>
      <c r="D1214" s="41">
        <v>46140</v>
      </c>
      <c r="E1214" s="80"/>
      <c r="F1214" s="78">
        <v>20205</v>
      </c>
      <c r="G1214" s="43">
        <v>112.8</v>
      </c>
      <c r="H1214" s="38">
        <v>35111</v>
      </c>
      <c r="I1214" s="38">
        <v>12</v>
      </c>
      <c r="J1214" s="38">
        <v>51611</v>
      </c>
      <c r="K1214" s="38">
        <v>12</v>
      </c>
      <c r="L1214" s="38">
        <v>51612</v>
      </c>
      <c r="M1214" s="38">
        <v>12</v>
      </c>
      <c r="N1214" s="38">
        <v>56117</v>
      </c>
      <c r="O1214" s="38">
        <v>6</v>
      </c>
    </row>
    <row r="1215" spans="1:19" x14ac:dyDescent="0.25">
      <c r="A1215" s="39" t="str">
        <f>IF(F1215="","",VLOOKUP(F1215,Tabelle1[],3))</f>
        <v>DEQAN</v>
      </c>
      <c r="B1215" s="40" t="str">
        <f>IF(F1215="","",VLOOKUP(F1215,Tabelle1[],2))</f>
        <v>AFRIMI-AG</v>
      </c>
      <c r="C1215" s="40"/>
      <c r="D1215" s="41">
        <v>46140</v>
      </c>
      <c r="E1215" s="80"/>
      <c r="F1215" s="78">
        <v>20203</v>
      </c>
      <c r="G1215" s="43">
        <v>92.4</v>
      </c>
      <c r="H1215" s="38">
        <v>35110</v>
      </c>
      <c r="I1215" s="38">
        <v>24</v>
      </c>
    </row>
    <row r="1216" spans="1:19" x14ac:dyDescent="0.25">
      <c r="A1216" s="39" t="str">
        <f>IF(F1216="","",VLOOKUP(F1216,Tabelle1[],3))</f>
        <v>DEQAN</v>
      </c>
      <c r="B1216" s="40" t="str">
        <f>IF(F1216="","",VLOOKUP(F1216,Tabelle1[],2))</f>
        <v>TE BESIMI</v>
      </c>
      <c r="C1216" s="40"/>
      <c r="D1216" s="41">
        <v>46140</v>
      </c>
      <c r="E1216" s="80"/>
      <c r="F1216" s="78">
        <v>20201</v>
      </c>
      <c r="G1216" s="43">
        <v>138.19999999999999</v>
      </c>
      <c r="H1216" s="38">
        <v>35110</v>
      </c>
      <c r="I1216" s="38">
        <v>12</v>
      </c>
      <c r="J1216" s="38">
        <v>35112</v>
      </c>
      <c r="K1216" s="38">
        <v>12</v>
      </c>
      <c r="L1216" s="38">
        <v>50912</v>
      </c>
      <c r="M1216" s="38">
        <v>4</v>
      </c>
      <c r="N1216" s="38">
        <v>54412</v>
      </c>
      <c r="O1216" s="38">
        <v>4</v>
      </c>
      <c r="P1216" s="38">
        <v>26736</v>
      </c>
      <c r="Q1216" s="38">
        <v>4</v>
      </c>
      <c r="R1216" s="38">
        <v>49644</v>
      </c>
      <c r="S1216" s="38">
        <v>2</v>
      </c>
    </row>
    <row r="1217" spans="1:19" x14ac:dyDescent="0.25">
      <c r="A1217" s="39" t="str">
        <f>IF(F1217="","",VLOOKUP(F1217,Tabelle1[],3))</f>
        <v>GJILAN</v>
      </c>
      <c r="B1217" s="40" t="str">
        <f>IF(F1217="","",VLOOKUP(F1217,Tabelle1[],2))</f>
        <v>EUROSAN</v>
      </c>
      <c r="C1217" s="40"/>
      <c r="D1217" s="41">
        <v>46141</v>
      </c>
      <c r="E1217" s="80"/>
      <c r="F1217" s="78">
        <v>10304</v>
      </c>
      <c r="G1217" s="43">
        <v>231</v>
      </c>
      <c r="H1217" s="38">
        <v>35108</v>
      </c>
      <c r="I1217" s="38">
        <v>24</v>
      </c>
      <c r="J1217" s="38">
        <v>35109</v>
      </c>
      <c r="K1217" s="38">
        <v>36</v>
      </c>
    </row>
    <row r="1218" spans="1:19" x14ac:dyDescent="0.25">
      <c r="A1218" s="39" t="str">
        <f>IF(F1218="","",VLOOKUP(F1218,Tabelle1[],3))</f>
        <v>GJILAN</v>
      </c>
      <c r="B1218" s="40" t="str">
        <f>IF(F1218="","",VLOOKUP(F1218,Tabelle1[],2))</f>
        <v>EUROSAN</v>
      </c>
      <c r="C1218" s="40"/>
      <c r="D1218" s="41">
        <v>46141</v>
      </c>
      <c r="E1218" s="80"/>
      <c r="F1218" s="78">
        <v>10304</v>
      </c>
      <c r="G1218" s="43">
        <v>231</v>
      </c>
      <c r="H1218" s="38">
        <v>35110</v>
      </c>
      <c r="I1218" s="38">
        <v>12</v>
      </c>
      <c r="J1218" s="38">
        <v>35111</v>
      </c>
      <c r="K1218" s="38">
        <v>12</v>
      </c>
      <c r="L1218" s="38">
        <v>35115</v>
      </c>
      <c r="M1218" s="38">
        <v>12</v>
      </c>
      <c r="N1218" s="38">
        <v>35121</v>
      </c>
      <c r="O1218" s="38">
        <v>24</v>
      </c>
    </row>
    <row r="1219" spans="1:19" x14ac:dyDescent="0.25">
      <c r="A1219" s="39" t="str">
        <f>IF(F1219="","",VLOOKUP(F1219,Tabelle1[],3))</f>
        <v>GJILAN</v>
      </c>
      <c r="B1219" s="40" t="str">
        <f>IF(F1219="","",VLOOKUP(F1219,Tabelle1[],2))</f>
        <v>TINA</v>
      </c>
      <c r="C1219" s="40"/>
      <c r="D1219" s="41">
        <v>46141</v>
      </c>
      <c r="E1219" s="80"/>
      <c r="F1219" s="78">
        <v>10344</v>
      </c>
      <c r="G1219" s="43">
        <v>646.79999999999995</v>
      </c>
      <c r="H1219" s="38">
        <v>35108</v>
      </c>
      <c r="I1219" s="38">
        <v>60</v>
      </c>
      <c r="J1219" s="38">
        <v>35113</v>
      </c>
      <c r="K1219" s="38">
        <v>36</v>
      </c>
      <c r="L1219" s="38">
        <v>35115</v>
      </c>
      <c r="M1219" s="38">
        <v>36</v>
      </c>
      <c r="N1219" s="38">
        <v>35111</v>
      </c>
      <c r="O1219" s="38">
        <v>24</v>
      </c>
      <c r="P1219" s="38">
        <v>35110</v>
      </c>
      <c r="Q1219" s="38">
        <v>12</v>
      </c>
    </row>
    <row r="1220" spans="1:19" x14ac:dyDescent="0.25">
      <c r="A1220" s="39" t="str">
        <f>IF(F1220="","",VLOOKUP(F1220,Tabelle1[],3))</f>
        <v>VITI</v>
      </c>
      <c r="B1220" s="40" t="str">
        <f>IF(F1220="","",VLOOKUP(F1220,Tabelle1[],2))</f>
        <v>SMIRA</v>
      </c>
      <c r="C1220" s="40"/>
      <c r="D1220" s="41">
        <v>46141</v>
      </c>
      <c r="E1220" s="80"/>
      <c r="F1220" s="78">
        <v>10352</v>
      </c>
      <c r="G1220" s="43">
        <v>138.6</v>
      </c>
      <c r="H1220" s="38">
        <v>35109</v>
      </c>
      <c r="I1220" s="38">
        <v>12</v>
      </c>
      <c r="J1220" s="38">
        <v>35111</v>
      </c>
      <c r="K1220" s="38">
        <v>12</v>
      </c>
      <c r="L1220" s="38">
        <v>35115</v>
      </c>
      <c r="M1220" s="38">
        <v>12</v>
      </c>
    </row>
    <row r="1221" spans="1:19" x14ac:dyDescent="0.25">
      <c r="A1221" s="39" t="str">
        <f>IF(F1221="","",VLOOKUP(F1221,Tabelle1[],3))</f>
        <v>VITI</v>
      </c>
      <c r="B1221" s="40" t="str">
        <f>IF(F1221="","",VLOOKUP(F1221,Tabelle1[],2))</f>
        <v>BALLKANI</v>
      </c>
      <c r="C1221" s="40"/>
      <c r="D1221" s="41">
        <v>46141</v>
      </c>
      <c r="E1221" s="80"/>
      <c r="F1221" s="78">
        <v>10350</v>
      </c>
      <c r="G1221" s="43">
        <v>138.6</v>
      </c>
      <c r="H1221" s="38">
        <v>35110</v>
      </c>
      <c r="I1221" s="38">
        <v>12</v>
      </c>
      <c r="J1221" s="38">
        <v>35121</v>
      </c>
      <c r="K1221" s="38">
        <v>24</v>
      </c>
    </row>
    <row r="1222" spans="1:19" x14ac:dyDescent="0.25">
      <c r="A1222" s="39" t="str">
        <f>IF(F1222="","",VLOOKUP(F1222,Tabelle1[],3))</f>
        <v>POZHARAN</v>
      </c>
      <c r="B1222" s="40" t="str">
        <f>IF(F1222="","",VLOOKUP(F1222,Tabelle1[],2))</f>
        <v>BURIMI</v>
      </c>
      <c r="C1222" s="40"/>
      <c r="D1222" s="41">
        <v>46141</v>
      </c>
      <c r="E1222" s="80"/>
      <c r="F1222" s="78">
        <v>10330</v>
      </c>
      <c r="G1222" s="43">
        <v>92.4</v>
      </c>
      <c r="H1222" s="38">
        <v>35109</v>
      </c>
      <c r="I1222" s="38">
        <v>12</v>
      </c>
      <c r="J1222" s="38">
        <v>35121</v>
      </c>
      <c r="K1222" s="38">
        <v>12</v>
      </c>
    </row>
    <row r="1223" spans="1:19" x14ac:dyDescent="0.25">
      <c r="A1223" s="39" t="str">
        <f>IF(F1223="","",VLOOKUP(F1223,Tabelle1[],3))</f>
        <v>VITI</v>
      </c>
      <c r="B1223" s="40" t="str">
        <f>IF(F1223="","",VLOOKUP(F1223,Tabelle1[],2))</f>
        <v>DARDANIA</v>
      </c>
      <c r="C1223" s="40"/>
      <c r="D1223" s="41">
        <v>46141</v>
      </c>
      <c r="E1223" s="80"/>
      <c r="F1223" s="78">
        <v>10332</v>
      </c>
      <c r="G1223" s="43">
        <v>277.2</v>
      </c>
      <c r="H1223" s="38">
        <v>35109</v>
      </c>
      <c r="I1223" s="38">
        <v>12</v>
      </c>
      <c r="J1223" s="38">
        <v>35110</v>
      </c>
      <c r="K1223" s="38">
        <v>12</v>
      </c>
      <c r="L1223" s="38">
        <v>35111</v>
      </c>
      <c r="M1223" s="38">
        <v>12</v>
      </c>
      <c r="N1223" s="38">
        <v>35113</v>
      </c>
      <c r="O1223" s="38">
        <v>12</v>
      </c>
      <c r="P1223" s="38">
        <v>35121</v>
      </c>
      <c r="Q1223" s="38">
        <v>12</v>
      </c>
      <c r="R1223" s="38">
        <v>35128</v>
      </c>
      <c r="S1223" s="38">
        <v>12</v>
      </c>
    </row>
    <row r="1224" spans="1:19" x14ac:dyDescent="0.25">
      <c r="A1224" s="39" t="str">
        <f>IF(F1224="","",VLOOKUP(F1224,Tabelle1[],3))</f>
        <v>GJILAN</v>
      </c>
      <c r="B1224" s="40" t="str">
        <f>IF(F1224="","",VLOOKUP(F1224,Tabelle1[],2))</f>
        <v>FATMIRI</v>
      </c>
      <c r="C1224" s="40"/>
      <c r="D1224" s="41">
        <v>46141</v>
      </c>
      <c r="E1224" s="80"/>
      <c r="F1224" s="78">
        <v>10313</v>
      </c>
      <c r="G1224" s="43">
        <v>138.6</v>
      </c>
      <c r="H1224" s="38">
        <v>35109</v>
      </c>
      <c r="I1224" s="38">
        <v>12</v>
      </c>
      <c r="J1224" s="38">
        <v>35115</v>
      </c>
      <c r="K1224" s="38">
        <v>12</v>
      </c>
      <c r="L1224" s="38">
        <v>35121</v>
      </c>
      <c r="M1224" s="38">
        <v>12</v>
      </c>
    </row>
    <row r="1225" spans="1:19" x14ac:dyDescent="0.25">
      <c r="A1225" s="39" t="str">
        <f>IF(F1225="","",VLOOKUP(F1225,Tabelle1[],3))</f>
        <v>VITI</v>
      </c>
      <c r="B1225" s="40" t="str">
        <f>IF(F1225="","",VLOOKUP(F1225,Tabelle1[],2))</f>
        <v>KOS CERAMIK</v>
      </c>
      <c r="C1225" s="40"/>
      <c r="D1225" s="41">
        <v>46141</v>
      </c>
      <c r="E1225" s="80"/>
      <c r="F1225" s="78">
        <v>10364</v>
      </c>
      <c r="G1225" s="43">
        <v>231</v>
      </c>
      <c r="H1225" s="38">
        <v>35109</v>
      </c>
      <c r="I1225" s="38">
        <v>36</v>
      </c>
      <c r="J1225" s="38">
        <v>35113</v>
      </c>
      <c r="K1225" s="38">
        <v>12</v>
      </c>
      <c r="L1225" s="38">
        <v>35121</v>
      </c>
      <c r="M1225" s="38">
        <v>12</v>
      </c>
    </row>
    <row r="1226" spans="1:19" x14ac:dyDescent="0.25">
      <c r="A1226" s="39" t="str">
        <f>IF(F1226="","",VLOOKUP(F1226,Tabelle1[],3))</f>
        <v>GJILAN</v>
      </c>
      <c r="B1226" s="40" t="str">
        <f>IF(F1226="","",VLOOKUP(F1226,Tabelle1[],2))</f>
        <v>ERALP</v>
      </c>
      <c r="C1226" s="40"/>
      <c r="D1226" s="41">
        <v>46141</v>
      </c>
      <c r="E1226" s="80"/>
      <c r="F1226" s="78">
        <v>10308</v>
      </c>
      <c r="G1226" s="43">
        <v>184.8</v>
      </c>
      <c r="H1226" s="38">
        <v>35112</v>
      </c>
      <c r="I1226" s="38">
        <v>12</v>
      </c>
      <c r="J1226" s="38">
        <v>35114</v>
      </c>
      <c r="K1226" s="38">
        <v>12</v>
      </c>
      <c r="L1226" s="38">
        <v>35113</v>
      </c>
      <c r="M1226" s="38">
        <v>12</v>
      </c>
      <c r="N1226" s="38">
        <v>35121</v>
      </c>
      <c r="O1226" s="38">
        <v>12</v>
      </c>
    </row>
    <row r="1227" spans="1:19" x14ac:dyDescent="0.25">
      <c r="A1227" s="39" t="str">
        <f>IF(F1227="","",VLOOKUP(F1227,Tabelle1[],3))</f>
        <v>GJILAN</v>
      </c>
      <c r="B1227" s="40" t="str">
        <f>IF(F1227="","",VLOOKUP(F1227,Tabelle1[],2))</f>
        <v>ELIONI-1</v>
      </c>
      <c r="C1227" s="40"/>
      <c r="D1227" s="41">
        <v>46141</v>
      </c>
      <c r="E1227" s="80"/>
      <c r="F1227" s="78">
        <v>10306</v>
      </c>
      <c r="G1227" s="43">
        <v>138.6</v>
      </c>
      <c r="H1227" s="38">
        <v>35113</v>
      </c>
      <c r="I1227" s="38">
        <v>12</v>
      </c>
      <c r="J1227" s="38">
        <v>35121</v>
      </c>
      <c r="K1227" s="38">
        <v>12</v>
      </c>
      <c r="L1227" s="38">
        <v>35128</v>
      </c>
      <c r="M1227" s="38">
        <v>12</v>
      </c>
    </row>
    <row r="1228" spans="1:19" x14ac:dyDescent="0.25">
      <c r="A1228" s="39" t="str">
        <f>IF(F1228="","",VLOOKUP(F1228,Tabelle1[],3))</f>
        <v>GJILAN</v>
      </c>
      <c r="B1228" s="40" t="str">
        <f>IF(F1228="","",VLOOKUP(F1228,Tabelle1[],2))</f>
        <v>IBAK</v>
      </c>
      <c r="C1228" s="40"/>
      <c r="D1228" s="41">
        <v>46141</v>
      </c>
      <c r="E1228" s="80"/>
      <c r="F1228" s="78">
        <v>10340</v>
      </c>
      <c r="G1228" s="43">
        <v>92.4</v>
      </c>
      <c r="H1228" s="38">
        <v>35109</v>
      </c>
      <c r="I1228" s="38">
        <v>24</v>
      </c>
    </row>
    <row r="1229" spans="1:19" x14ac:dyDescent="0.25">
      <c r="A1229" s="39" t="str">
        <f>IF(F1229="","",VLOOKUP(F1229,Tabelle1[],3))</f>
        <v>RAHOVEC</v>
      </c>
      <c r="B1229" s="40" t="str">
        <f>IF(F1229="","",VLOOKUP(F1229,Tabelle1[],2))</f>
        <v>CONDOR</v>
      </c>
      <c r="C1229" s="40"/>
      <c r="D1229" s="41">
        <v>46141</v>
      </c>
      <c r="E1229" s="80"/>
      <c r="F1229" s="78">
        <v>20307</v>
      </c>
      <c r="G1229" s="43">
        <v>169.4</v>
      </c>
      <c r="H1229" s="38">
        <v>35109</v>
      </c>
      <c r="I1229" s="38">
        <v>12</v>
      </c>
      <c r="J1229" s="38">
        <v>35121</v>
      </c>
      <c r="K1229" s="38">
        <v>12</v>
      </c>
      <c r="L1229" s="38">
        <v>51611</v>
      </c>
      <c r="M1229" s="38">
        <v>24</v>
      </c>
      <c r="N1229" s="38">
        <v>26736</v>
      </c>
      <c r="O1229" s="38">
        <v>6</v>
      </c>
      <c r="P1229" s="38">
        <v>50912</v>
      </c>
      <c r="Q1229" s="38">
        <v>4</v>
      </c>
    </row>
    <row r="1230" spans="1:19" x14ac:dyDescent="0.25">
      <c r="A1230" s="39" t="str">
        <f>IF(F1230="","",VLOOKUP(F1230,Tabelle1[],3))</f>
        <v>MALISHEVE</v>
      </c>
      <c r="B1230" s="40" t="str">
        <f>IF(F1230="","",VLOOKUP(F1230,Tabelle1[],2))</f>
        <v>NITA 3</v>
      </c>
      <c r="C1230" s="40"/>
      <c r="D1230" s="41">
        <v>46141</v>
      </c>
      <c r="E1230" s="80"/>
      <c r="F1230" s="78">
        <v>20303</v>
      </c>
      <c r="G1230" s="43">
        <v>162</v>
      </c>
      <c r="H1230" s="38">
        <v>35110</v>
      </c>
      <c r="I1230" s="38">
        <v>12</v>
      </c>
      <c r="J1230" s="38">
        <v>35115</v>
      </c>
      <c r="K1230" s="38">
        <v>12</v>
      </c>
      <c r="L1230" s="38">
        <v>66701</v>
      </c>
      <c r="M1230" s="38">
        <v>12</v>
      </c>
    </row>
    <row r="1231" spans="1:19" x14ac:dyDescent="0.25">
      <c r="A1231" s="39" t="str">
        <f>IF(F1231="","",VLOOKUP(F1231,Tabelle1[],3))</f>
        <v>RAHOVEC</v>
      </c>
      <c r="B1231" s="40" t="str">
        <f>IF(F1231="","",VLOOKUP(F1231,Tabelle1[],2))</f>
        <v>DURGUTI 3</v>
      </c>
      <c r="C1231" s="40"/>
      <c r="D1231" s="41">
        <v>46141</v>
      </c>
      <c r="E1231" s="80"/>
      <c r="F1231" s="78">
        <v>20313</v>
      </c>
      <c r="G1231" s="43">
        <v>166.2</v>
      </c>
      <c r="H1231" s="38">
        <v>35109</v>
      </c>
      <c r="I1231" s="38">
        <v>12</v>
      </c>
      <c r="J1231" s="38">
        <v>35114</v>
      </c>
      <c r="K1231" s="38">
        <v>12</v>
      </c>
      <c r="L1231" s="38">
        <v>35121</v>
      </c>
      <c r="M1231" s="38">
        <v>12</v>
      </c>
      <c r="N1231" s="38">
        <v>51612</v>
      </c>
      <c r="O1231" s="38">
        <v>12</v>
      </c>
    </row>
    <row r="1232" spans="1:19" x14ac:dyDescent="0.25">
      <c r="A1232" s="39" t="str">
        <f>IF(F1232="","",VLOOKUP(F1232,Tabelle1[],3))</f>
        <v>RAHOVEC</v>
      </c>
      <c r="B1232" s="40" t="str">
        <f>IF(F1232="","",VLOOKUP(F1232,Tabelle1[],2))</f>
        <v>SHEHU-A</v>
      </c>
      <c r="C1232" s="40"/>
      <c r="D1232" s="41">
        <v>46141</v>
      </c>
      <c r="E1232" s="80"/>
      <c r="F1232" s="78">
        <v>20317</v>
      </c>
      <c r="G1232" s="43">
        <v>90.2</v>
      </c>
      <c r="H1232" s="38">
        <v>44001</v>
      </c>
      <c r="I1232" s="38">
        <v>12</v>
      </c>
      <c r="J1232" s="38">
        <v>50912</v>
      </c>
      <c r="K1232" s="38">
        <v>6</v>
      </c>
      <c r="L1232" s="38">
        <v>31903</v>
      </c>
      <c r="M1232" s="38">
        <v>2</v>
      </c>
    </row>
    <row r="1233" spans="1:23" x14ac:dyDescent="0.25">
      <c r="A1233" s="39" t="str">
        <f>IF(F1233="","",VLOOKUP(F1233,Tabelle1[],3))</f>
        <v>RAHOVEC</v>
      </c>
      <c r="B1233" s="40" t="str">
        <f>IF(F1233="","",VLOOKUP(F1233,Tabelle1[],2))</f>
        <v>SOPAJ</v>
      </c>
      <c r="C1233" s="40"/>
      <c r="D1233" s="41">
        <v>46141</v>
      </c>
      <c r="E1233" s="80"/>
      <c r="F1233" s="78">
        <v>20311</v>
      </c>
      <c r="G1233" s="43">
        <v>107.4</v>
      </c>
      <c r="H1233" s="38">
        <v>35110</v>
      </c>
      <c r="I1233" s="38">
        <v>12</v>
      </c>
      <c r="J1233" s="38">
        <v>35121</v>
      </c>
      <c r="K1233" s="38">
        <v>12</v>
      </c>
      <c r="L1233" s="38">
        <v>51611</v>
      </c>
      <c r="M1233" s="38">
        <v>12</v>
      </c>
    </row>
    <row r="1234" spans="1:23" x14ac:dyDescent="0.25">
      <c r="A1234" s="39" t="str">
        <f>IF(F1234="","",VLOOKUP(F1234,Tabelle1[],3))</f>
        <v>MALISHEVE</v>
      </c>
      <c r="B1234" s="40" t="str">
        <f>IF(F1234="","",VLOOKUP(F1234,Tabelle1[],2))</f>
        <v>BEREQETI</v>
      </c>
      <c r="C1234" s="40"/>
      <c r="D1234" s="41">
        <v>46141</v>
      </c>
      <c r="E1234" s="80"/>
      <c r="F1234" s="78">
        <v>20321</v>
      </c>
      <c r="G1234" s="43">
        <v>193.8</v>
      </c>
      <c r="H1234" s="38">
        <v>35109</v>
      </c>
      <c r="I1234" s="38">
        <v>12</v>
      </c>
      <c r="J1234" s="38">
        <v>35113</v>
      </c>
      <c r="K1234" s="38">
        <v>12</v>
      </c>
      <c r="L1234" s="38">
        <v>35125</v>
      </c>
      <c r="M1234" s="38">
        <v>12</v>
      </c>
      <c r="N1234" s="38">
        <v>51612</v>
      </c>
      <c r="O1234" s="38">
        <v>24</v>
      </c>
    </row>
    <row r="1235" spans="1:23" x14ac:dyDescent="0.25">
      <c r="A1235" s="39" t="str">
        <f>IF(F1235="","",VLOOKUP(F1235,Tabelle1[],3))</f>
        <v>MALISHEVE</v>
      </c>
      <c r="B1235" s="40" t="str">
        <f>IF(F1235="","",VLOOKUP(F1235,Tabelle1[],2))</f>
        <v>NIVELIZIMI-D SH.P.K.</v>
      </c>
      <c r="C1235" s="40"/>
      <c r="D1235" s="41">
        <v>46141</v>
      </c>
      <c r="E1235" s="80"/>
      <c r="F1235" s="78">
        <v>20302</v>
      </c>
      <c r="G1235" s="43">
        <v>92.4</v>
      </c>
      <c r="H1235" s="38">
        <v>35110</v>
      </c>
      <c r="I1235" s="38">
        <v>12</v>
      </c>
      <c r="J1235" s="38">
        <v>35121</v>
      </c>
      <c r="K1235" s="38">
        <v>12</v>
      </c>
    </row>
    <row r="1236" spans="1:23" x14ac:dyDescent="0.25">
      <c r="A1236" s="39" t="str">
        <f>IF(F1236="","",VLOOKUP(F1236,Tabelle1[],3))</f>
        <v>MALISHEVE</v>
      </c>
      <c r="B1236" s="40" t="str">
        <f>IF(F1236="","",VLOOKUP(F1236,Tabelle1[],2))</f>
        <v>BARDHI-M</v>
      </c>
      <c r="C1236" s="40"/>
      <c r="D1236" s="41">
        <v>46141</v>
      </c>
      <c r="E1236" s="80"/>
      <c r="F1236" s="78">
        <v>20331</v>
      </c>
      <c r="G1236" s="43">
        <v>231</v>
      </c>
      <c r="H1236" s="38">
        <v>35108</v>
      </c>
      <c r="I1236" s="38">
        <v>12</v>
      </c>
      <c r="J1236" s="38">
        <v>35110</v>
      </c>
      <c r="K1236" s="38">
        <v>12</v>
      </c>
      <c r="L1236" s="38">
        <v>35121</v>
      </c>
      <c r="M1236" s="38">
        <v>24</v>
      </c>
      <c r="N1236" s="38">
        <v>35125</v>
      </c>
      <c r="O1236" s="38">
        <v>12</v>
      </c>
    </row>
    <row r="1237" spans="1:23" x14ac:dyDescent="0.25">
      <c r="A1237" s="39" t="str">
        <f>IF(F1237="","",VLOOKUP(F1237,Tabelle1[],3))</f>
        <v>MALISHEVE</v>
      </c>
      <c r="B1237" s="40" t="str">
        <f>IF(F1237="","",VLOOKUP(F1237,Tabelle1[],2))</f>
        <v>ABA QERAMIK</v>
      </c>
      <c r="C1237" s="40"/>
      <c r="D1237" s="41">
        <v>46141</v>
      </c>
      <c r="E1237" s="80"/>
      <c r="F1237" s="78">
        <v>20305</v>
      </c>
      <c r="G1237" s="43">
        <v>184.8</v>
      </c>
      <c r="H1237" s="38">
        <v>35109</v>
      </c>
      <c r="I1237" s="38">
        <v>12</v>
      </c>
      <c r="J1237" s="38">
        <v>35110</v>
      </c>
      <c r="K1237" s="38">
        <v>12</v>
      </c>
      <c r="L1237" s="38">
        <v>35111</v>
      </c>
      <c r="M1237" s="38">
        <v>12</v>
      </c>
      <c r="N1237" s="38">
        <v>35121</v>
      </c>
      <c r="O1237" s="38">
        <v>12</v>
      </c>
    </row>
    <row r="1238" spans="1:23" x14ac:dyDescent="0.25">
      <c r="A1238" s="39" t="str">
        <f>IF(F1238="","",VLOOKUP(F1238,Tabelle1[],3))</f>
        <v>HOME KIM TEC</v>
      </c>
      <c r="B1238" s="40" t="str">
        <f>IF(F1238="","",VLOOKUP(F1238,Tabelle1[],2))</f>
        <v>ARBENI BIOBLIC</v>
      </c>
      <c r="C1238" s="40"/>
      <c r="D1238" s="41">
        <v>46142</v>
      </c>
      <c r="E1238" s="80"/>
      <c r="F1238" s="78">
        <v>40003</v>
      </c>
      <c r="G1238" s="43">
        <v>248</v>
      </c>
      <c r="H1238" s="38">
        <v>20001</v>
      </c>
      <c r="I1238" s="38">
        <v>120</v>
      </c>
      <c r="J1238" s="38">
        <v>30275</v>
      </c>
      <c r="K1238" s="38">
        <v>40</v>
      </c>
      <c r="L1238" s="38">
        <v>39505</v>
      </c>
      <c r="M1238" s="38">
        <v>12</v>
      </c>
      <c r="N1238" s="38">
        <v>49644</v>
      </c>
      <c r="O1238" s="38">
        <v>5</v>
      </c>
    </row>
    <row r="1239" spans="1:23" x14ac:dyDescent="0.25">
      <c r="A1239" s="39" t="str">
        <f>IF(F1239="","",VLOOKUP(F1239,Tabelle1[],3))</f>
        <v>VUSHTRRI</v>
      </c>
      <c r="B1239" s="40" t="str">
        <f>IF(F1239="","",VLOOKUP(F1239,Tabelle1[],2))</f>
        <v>NDRIQIMI</v>
      </c>
      <c r="C1239" s="40"/>
      <c r="D1239" s="41">
        <v>46142</v>
      </c>
      <c r="E1239" s="80"/>
      <c r="F1239" s="78">
        <v>10418</v>
      </c>
      <c r="G1239" s="43">
        <v>1830.6</v>
      </c>
      <c r="H1239" s="38">
        <v>35128</v>
      </c>
      <c r="I1239" s="38">
        <v>144</v>
      </c>
      <c r="J1239" s="38">
        <v>35110</v>
      </c>
      <c r="K1239" s="38">
        <v>144</v>
      </c>
      <c r="L1239" s="38">
        <v>35111</v>
      </c>
      <c r="M1239" s="38">
        <v>60</v>
      </c>
      <c r="N1239" s="38">
        <v>35121</v>
      </c>
      <c r="O1239" s="38">
        <v>24</v>
      </c>
      <c r="P1239" s="38">
        <v>35109</v>
      </c>
      <c r="Q1239" s="38">
        <v>24</v>
      </c>
      <c r="R1239" s="38">
        <v>35115</v>
      </c>
      <c r="S1239" s="38">
        <v>24</v>
      </c>
      <c r="T1239" s="38">
        <v>35112</v>
      </c>
      <c r="U1239" s="38">
        <v>36</v>
      </c>
      <c r="V1239" s="38">
        <v>51611</v>
      </c>
      <c r="W1239" s="38">
        <v>60</v>
      </c>
    </row>
    <row r="1240" spans="1:23" x14ac:dyDescent="0.25">
      <c r="A1240" s="39" t="str">
        <f>IF(F1240="","",VLOOKUP(F1240,Tabelle1[],3))</f>
        <v>VUSHTRRI</v>
      </c>
      <c r="B1240" s="40" t="str">
        <f>IF(F1240="","",VLOOKUP(F1240,Tabelle1[],2))</f>
        <v>SAN KOS</v>
      </c>
      <c r="C1240" s="40"/>
      <c r="D1240" s="41">
        <v>46142</v>
      </c>
      <c r="E1240" s="80"/>
      <c r="F1240" s="78">
        <v>10429</v>
      </c>
      <c r="G1240" s="43">
        <v>92.4</v>
      </c>
      <c r="H1240" s="38">
        <v>35128</v>
      </c>
      <c r="I1240" s="38">
        <v>24</v>
      </c>
    </row>
    <row r="1241" spans="1:23" x14ac:dyDescent="0.25">
      <c r="A1241" s="39" t="str">
        <f>IF(F1241="","",VLOOKUP(F1241,Tabelle1[],3))</f>
        <v>MITROVICE</v>
      </c>
      <c r="B1241" s="40" t="str">
        <f>IF(F1241="","",VLOOKUP(F1241,Tabelle1[],2))</f>
        <v>GRANITI</v>
      </c>
      <c r="C1241" s="40"/>
      <c r="D1241" s="41">
        <v>46142</v>
      </c>
      <c r="E1241" s="80"/>
      <c r="F1241" s="78">
        <v>10410</v>
      </c>
      <c r="G1241" s="43">
        <v>304.8</v>
      </c>
      <c r="H1241" s="38">
        <v>35113</v>
      </c>
      <c r="I1241" s="38">
        <v>24</v>
      </c>
      <c r="J1241" s="38">
        <v>35121</v>
      </c>
      <c r="K1241" s="38">
        <v>24</v>
      </c>
      <c r="L1241" s="38">
        <v>35110</v>
      </c>
      <c r="M1241" s="38">
        <v>12</v>
      </c>
      <c r="N1241" s="38">
        <v>35125</v>
      </c>
      <c r="O1241" s="38">
        <v>12</v>
      </c>
      <c r="P1241" s="38">
        <v>51612</v>
      </c>
      <c r="Q1241" s="38">
        <v>12</v>
      </c>
    </row>
    <row r="1242" spans="1:23" x14ac:dyDescent="0.25">
      <c r="A1242" s="39" t="str">
        <f>IF(F1242="","",VLOOKUP(F1242,Tabelle1[],3))</f>
        <v>VUSHTRRI</v>
      </c>
      <c r="B1242" s="40" t="str">
        <f>IF(F1242="","",VLOOKUP(F1242,Tabelle1[],2))</f>
        <v>ENISI - H</v>
      </c>
      <c r="C1242" s="40"/>
      <c r="D1242" s="41">
        <v>46142</v>
      </c>
      <c r="E1242" s="80"/>
      <c r="F1242" s="78">
        <v>10428</v>
      </c>
      <c r="G1242" s="43">
        <v>92.4</v>
      </c>
      <c r="H1242" s="38">
        <v>35128</v>
      </c>
      <c r="I1242" s="38">
        <v>12</v>
      </c>
      <c r="J1242" s="38">
        <v>35125</v>
      </c>
      <c r="K1242" s="38">
        <v>12</v>
      </c>
    </row>
    <row r="1243" spans="1:23" x14ac:dyDescent="0.25">
      <c r="A1243" s="39" t="str">
        <f>IF(F1243="","",VLOOKUP(F1243,Tabelle1[],3))</f>
        <v>MITROVICE</v>
      </c>
      <c r="B1243" s="40" t="str">
        <f>IF(F1243="","",VLOOKUP(F1243,Tabelle1[],2))</f>
        <v>UNIVERZAL</v>
      </c>
      <c r="C1243" s="40"/>
      <c r="D1243" s="41">
        <v>46142</v>
      </c>
      <c r="E1243" s="80"/>
      <c r="F1243" s="78">
        <v>10413</v>
      </c>
      <c r="G1243" s="43">
        <v>92.4</v>
      </c>
      <c r="H1243" s="38">
        <v>35121</v>
      </c>
      <c r="I1243" s="38">
        <v>12</v>
      </c>
      <c r="J1243" s="38">
        <v>35113</v>
      </c>
      <c r="K1243" s="38">
        <v>12</v>
      </c>
    </row>
    <row r="1244" spans="1:23" x14ac:dyDescent="0.25">
      <c r="A1244" s="39" t="str">
        <f>IF(F1244="","",VLOOKUP(F1244,Tabelle1[],3))</f>
        <v>SKENDERAJ</v>
      </c>
      <c r="B1244" s="40" t="str">
        <f>IF(F1244="","",VLOOKUP(F1244,Tabelle1[],2))</f>
        <v>TE BENI</v>
      </c>
      <c r="C1244" s="40"/>
      <c r="D1244" s="41">
        <v>46142</v>
      </c>
      <c r="E1244" s="80"/>
      <c r="F1244" s="78">
        <v>20407</v>
      </c>
      <c r="G1244" s="43">
        <v>646.79999999999995</v>
      </c>
      <c r="H1244" s="38">
        <v>35110</v>
      </c>
      <c r="I1244" s="38">
        <v>36</v>
      </c>
      <c r="J1244" s="38">
        <v>35111</v>
      </c>
      <c r="K1244" s="38">
        <v>24</v>
      </c>
      <c r="L1244" s="38">
        <v>35121</v>
      </c>
      <c r="M1244" s="38">
        <v>36</v>
      </c>
      <c r="N1244" s="38">
        <v>35128</v>
      </c>
      <c r="O1244" s="38">
        <v>24</v>
      </c>
      <c r="P1244" s="38">
        <v>35115</v>
      </c>
      <c r="Q1244" s="38">
        <v>24</v>
      </c>
      <c r="R1244" s="38">
        <v>35112</v>
      </c>
      <c r="S1244" s="38">
        <v>12</v>
      </c>
      <c r="T1244" s="38">
        <v>35108</v>
      </c>
      <c r="U1244" s="38">
        <v>12</v>
      </c>
    </row>
    <row r="1245" spans="1:23" x14ac:dyDescent="0.25">
      <c r="A1245" s="39" t="str">
        <f>IF(F1245="","",VLOOKUP(F1245,Tabelle1[],3))</f>
        <v>ISTOG</v>
      </c>
      <c r="B1245" s="40" t="str">
        <f>IF(F1245="","",VLOOKUP(F1245,Tabelle1[],2))</f>
        <v>LIRIDONA-A</v>
      </c>
      <c r="C1245" s="40"/>
      <c r="D1245" s="41">
        <v>46142</v>
      </c>
      <c r="E1245" s="80"/>
      <c r="F1245" s="78">
        <v>20515</v>
      </c>
      <c r="G1245" s="43">
        <v>184.8</v>
      </c>
      <c r="H1245" s="38">
        <v>35109</v>
      </c>
      <c r="I1245" s="38">
        <v>12</v>
      </c>
      <c r="J1245" s="38">
        <v>35113</v>
      </c>
      <c r="K1245" s="38">
        <v>12</v>
      </c>
      <c r="L1245" s="38">
        <v>35114</v>
      </c>
      <c r="M1245" s="38">
        <v>12</v>
      </c>
      <c r="N1245" s="38">
        <v>35125</v>
      </c>
      <c r="O1245" s="38">
        <v>12</v>
      </c>
    </row>
    <row r="1246" spans="1:23" x14ac:dyDescent="0.25">
      <c r="A1246" s="39" t="str">
        <f>IF(F1246="","",VLOOKUP(F1246,Tabelle1[],3))</f>
        <v>ISTOG</v>
      </c>
      <c r="B1246" s="40" t="str">
        <f>IF(F1246="","",VLOOKUP(F1246,Tabelle1[],2))</f>
        <v>BYTYQI-V</v>
      </c>
      <c r="C1246" s="40"/>
      <c r="D1246" s="41">
        <v>46142</v>
      </c>
      <c r="E1246" s="80"/>
      <c r="F1246" s="78">
        <v>20510</v>
      </c>
      <c r="G1246" s="43">
        <v>69.599999999999994</v>
      </c>
      <c r="H1246" s="38">
        <v>66701</v>
      </c>
      <c r="I1246" s="38">
        <v>12</v>
      </c>
    </row>
    <row r="1247" spans="1:23" x14ac:dyDescent="0.25">
      <c r="A1247" s="39" t="str">
        <f>IF(F1247="","",VLOOKUP(F1247,Tabelle1[],3))</f>
        <v>SKENDERAJ</v>
      </c>
      <c r="B1247" s="40" t="str">
        <f>IF(F1247="","",VLOOKUP(F1247,Tabelle1[],2))</f>
        <v>BENI</v>
      </c>
      <c r="C1247" s="40"/>
      <c r="D1247" s="41">
        <v>46142</v>
      </c>
      <c r="E1247" s="80"/>
      <c r="F1247" s="78">
        <v>20409</v>
      </c>
      <c r="G1247" s="43">
        <v>70.5</v>
      </c>
      <c r="H1247" s="38">
        <v>50912</v>
      </c>
      <c r="I1247" s="38">
        <v>5</v>
      </c>
      <c r="J1247" s="38">
        <v>31819</v>
      </c>
      <c r="K1247" s="38">
        <v>4</v>
      </c>
      <c r="L1247" s="38">
        <v>51736</v>
      </c>
      <c r="M1247" s="38">
        <v>4</v>
      </c>
      <c r="N1247" s="38">
        <v>49644</v>
      </c>
      <c r="O1247" s="38">
        <v>5</v>
      </c>
      <c r="P1247" s="38">
        <v>44001</v>
      </c>
      <c r="Q1247" s="38">
        <v>3</v>
      </c>
      <c r="R1247" s="38">
        <v>56117</v>
      </c>
      <c r="S1247" s="38">
        <v>1</v>
      </c>
    </row>
    <row r="1248" spans="1:23" x14ac:dyDescent="0.25">
      <c r="A1248" s="39" t="str">
        <f>IF(F1248="","",VLOOKUP(F1248,Tabelle1[],3))</f>
        <v>ISTOG</v>
      </c>
      <c r="B1248" s="40" t="str">
        <f>IF(F1248="","",VLOOKUP(F1248,Tabelle1[],2))</f>
        <v>LIRIDONA HOME</v>
      </c>
      <c r="C1248" s="40"/>
      <c r="D1248" s="41">
        <v>46142</v>
      </c>
      <c r="E1248" s="80"/>
      <c r="F1248" s="78">
        <v>20508</v>
      </c>
      <c r="G1248" s="43">
        <v>184.8</v>
      </c>
      <c r="H1248" s="38">
        <v>35110</v>
      </c>
      <c r="I1248" s="38">
        <v>12</v>
      </c>
      <c r="J1248" s="38">
        <v>35112</v>
      </c>
      <c r="K1248" s="38">
        <v>12</v>
      </c>
      <c r="L1248" s="38">
        <v>35113</v>
      </c>
      <c r="M1248" s="38">
        <v>12</v>
      </c>
      <c r="N1248" s="38">
        <v>35115</v>
      </c>
      <c r="O1248" s="38">
        <v>12</v>
      </c>
    </row>
    <row r="1249" spans="1:25" x14ac:dyDescent="0.25">
      <c r="A1249" s="39" t="str">
        <f>IF(F1249="","",VLOOKUP(F1249,Tabelle1[],3))</f>
        <v>DRENAS</v>
      </c>
      <c r="B1249" s="40" t="str">
        <f>IF(F1249="","",VLOOKUP(F1249,Tabelle1[],2))</f>
        <v>TE MENTORI</v>
      </c>
      <c r="C1249" s="40"/>
      <c r="D1249" s="41">
        <v>46142</v>
      </c>
      <c r="E1249" s="80"/>
      <c r="F1249" s="78">
        <v>20404</v>
      </c>
      <c r="G1249" s="43">
        <v>184.8</v>
      </c>
      <c r="H1249" s="38">
        <v>35112</v>
      </c>
      <c r="I1249" s="38">
        <v>12</v>
      </c>
      <c r="J1249" s="38">
        <v>35115</v>
      </c>
      <c r="K1249" s="38">
        <v>12</v>
      </c>
      <c r="L1249" s="38">
        <v>35128</v>
      </c>
      <c r="M1249" s="38">
        <v>12</v>
      </c>
      <c r="N1249" s="38">
        <v>35121</v>
      </c>
      <c r="O1249" s="38">
        <v>12</v>
      </c>
    </row>
    <row r="1250" spans="1:25" x14ac:dyDescent="0.25">
      <c r="A1250" s="39" t="str">
        <f>IF(F1250="","",VLOOKUP(F1250,Tabelle1[],3))</f>
        <v>PODUJEVE</v>
      </c>
      <c r="B1250" s="40" t="str">
        <f>IF(F1250="","",VLOOKUP(F1250,Tabelle1[],2))</f>
        <v>TE ZENA</v>
      </c>
      <c r="C1250" s="40"/>
      <c r="D1250" s="41">
        <v>46144</v>
      </c>
      <c r="E1250" s="80"/>
      <c r="F1250" s="78">
        <v>10616</v>
      </c>
      <c r="G1250" s="43">
        <v>96</v>
      </c>
      <c r="H1250" s="38">
        <v>35113</v>
      </c>
      <c r="I1250" s="38">
        <v>12</v>
      </c>
      <c r="J1250" s="38">
        <v>35121</v>
      </c>
      <c r="K1250" s="38">
        <v>12</v>
      </c>
    </row>
    <row r="1251" spans="1:25" x14ac:dyDescent="0.25">
      <c r="A1251" s="39" t="str">
        <f>IF(F1251="","",VLOOKUP(F1251,Tabelle1[],3))</f>
        <v>PODUJEVE</v>
      </c>
      <c r="B1251" s="40" t="str">
        <f>IF(F1251="","",VLOOKUP(F1251,Tabelle1[],2))</f>
        <v>BECOLOR</v>
      </c>
      <c r="C1251" s="40"/>
      <c r="D1251" s="41">
        <v>46144</v>
      </c>
      <c r="E1251" s="80"/>
      <c r="F1251" s="78">
        <v>10619</v>
      </c>
      <c r="G1251" s="43">
        <v>12.5</v>
      </c>
      <c r="H1251" s="38">
        <v>31818</v>
      </c>
      <c r="I1251" s="38">
        <v>5</v>
      </c>
    </row>
    <row r="1252" spans="1:25" x14ac:dyDescent="0.25">
      <c r="A1252" s="39" t="str">
        <f>IF(F1252="","",VLOOKUP(F1252,Tabelle1[],3))</f>
        <v>PODUJEVE</v>
      </c>
      <c r="B1252" s="40" t="str">
        <f>IF(F1252="","",VLOOKUP(F1252,Tabelle1[],2))</f>
        <v>ALBANI</v>
      </c>
      <c r="C1252" s="40"/>
      <c r="D1252" s="41">
        <v>46144</v>
      </c>
      <c r="E1252" s="80"/>
      <c r="F1252" s="78">
        <v>10637</v>
      </c>
      <c r="G1252" s="43">
        <v>138.6</v>
      </c>
      <c r="H1252" s="38">
        <v>35109</v>
      </c>
      <c r="I1252" s="38">
        <v>24</v>
      </c>
      <c r="J1252" s="38">
        <v>35110</v>
      </c>
      <c r="K1252" s="38">
        <v>12</v>
      </c>
    </row>
    <row r="1253" spans="1:25" x14ac:dyDescent="0.25">
      <c r="A1253" s="39" t="str">
        <f>IF(F1253="","",VLOOKUP(F1253,Tabelle1[],3))</f>
        <v>PODUJEVE</v>
      </c>
      <c r="B1253" s="40" t="str">
        <f>IF(F1253="","",VLOOKUP(F1253,Tabelle1[],2))</f>
        <v>ALBANI</v>
      </c>
      <c r="C1253" s="40"/>
      <c r="D1253" s="41">
        <v>46144</v>
      </c>
      <c r="E1253" s="80"/>
      <c r="F1253" s="78">
        <v>10638</v>
      </c>
      <c r="G1253" s="43">
        <v>270</v>
      </c>
      <c r="H1253" s="38">
        <v>35121</v>
      </c>
      <c r="I1253" s="38">
        <v>60</v>
      </c>
    </row>
    <row r="1254" spans="1:25" x14ac:dyDescent="0.25">
      <c r="A1254" s="39" t="str">
        <f>IF(F1254="","",VLOOKUP(F1254,Tabelle1[],3))</f>
        <v>FERIZAJ</v>
      </c>
      <c r="B1254" s="40" t="str">
        <f>IF(F1254="","",VLOOKUP(F1254,Tabelle1[],2))</f>
        <v>PROMOIN</v>
      </c>
      <c r="C1254" s="40"/>
      <c r="D1254" s="41">
        <v>46144</v>
      </c>
      <c r="E1254" s="80"/>
      <c r="F1254" s="78">
        <v>20603</v>
      </c>
      <c r="G1254" s="43">
        <v>96</v>
      </c>
      <c r="H1254" s="38">
        <v>35121</v>
      </c>
      <c r="I1254" s="38">
        <v>24</v>
      </c>
    </row>
    <row r="1255" spans="1:25" x14ac:dyDescent="0.25">
      <c r="A1255" s="39" t="str">
        <f>IF(F1255="","",VLOOKUP(F1255,Tabelle1[],3))</f>
        <v>FERIZAJ</v>
      </c>
      <c r="B1255" s="40" t="str">
        <f>IF(F1255="","",VLOOKUP(F1255,Tabelle1[],2))</f>
        <v>AGROLONDI</v>
      </c>
      <c r="C1255" s="40"/>
      <c r="D1255" s="41">
        <v>46144</v>
      </c>
      <c r="E1255" s="80"/>
      <c r="F1255" s="78">
        <v>20602</v>
      </c>
      <c r="G1255" s="43">
        <v>144</v>
      </c>
      <c r="H1255" s="38">
        <v>35109</v>
      </c>
      <c r="I1255" s="38">
        <v>24</v>
      </c>
      <c r="J1255" s="38">
        <v>35110</v>
      </c>
      <c r="K1255" s="38">
        <v>12</v>
      </c>
    </row>
    <row r="1256" spans="1:25" x14ac:dyDescent="0.25">
      <c r="A1256" s="39" t="str">
        <f>IF(F1256="","",VLOOKUP(F1256,Tabelle1[],3))</f>
        <v>FERIZAJ</v>
      </c>
      <c r="B1256" s="40" t="str">
        <f>IF(F1256="","",VLOOKUP(F1256,Tabelle1[],2))</f>
        <v>SALIHU CORPORATION</v>
      </c>
      <c r="C1256" s="40"/>
      <c r="D1256" s="41">
        <v>46144</v>
      </c>
      <c r="E1256" s="80"/>
      <c r="F1256" s="78">
        <v>20635</v>
      </c>
      <c r="G1256" s="43">
        <v>144</v>
      </c>
      <c r="H1256" s="38">
        <v>35128</v>
      </c>
      <c r="I1256" s="38">
        <v>12</v>
      </c>
      <c r="J1256" s="38">
        <v>35111</v>
      </c>
      <c r="K1256" s="38">
        <v>12</v>
      </c>
      <c r="L1256" s="38">
        <v>35114</v>
      </c>
      <c r="M1256" s="38">
        <v>12</v>
      </c>
    </row>
    <row r="1257" spans="1:25" x14ac:dyDescent="0.25">
      <c r="A1257" s="39" t="str">
        <f>IF(F1257="","",VLOOKUP(F1257,Tabelle1[],3))</f>
        <v>FERIZAJ</v>
      </c>
      <c r="B1257" s="40" t="str">
        <f>IF(F1257="","",VLOOKUP(F1257,Tabelle1[],2))</f>
        <v>HIDRO DANI</v>
      </c>
      <c r="C1257" s="40"/>
      <c r="D1257" s="41">
        <v>46144</v>
      </c>
      <c r="E1257" s="80"/>
      <c r="F1257" s="78">
        <v>20630</v>
      </c>
      <c r="G1257" s="43">
        <v>150</v>
      </c>
      <c r="H1257" s="38">
        <v>35113</v>
      </c>
      <c r="I1257" s="38">
        <v>12</v>
      </c>
      <c r="J1257" s="38">
        <v>35128</v>
      </c>
      <c r="K1257" s="38">
        <v>12</v>
      </c>
      <c r="L1257" s="38">
        <v>35121</v>
      </c>
      <c r="M1257" s="38">
        <v>12</v>
      </c>
      <c r="N1257" s="38">
        <v>49644</v>
      </c>
      <c r="O1257" s="38">
        <v>3</v>
      </c>
    </row>
    <row r="1258" spans="1:25" x14ac:dyDescent="0.25">
      <c r="A1258" s="39" t="str">
        <f>IF(F1258="","",VLOOKUP(F1258,Tabelle1[],3))</f>
        <v>GADIME</v>
      </c>
      <c r="B1258" s="40" t="str">
        <f>IF(F1258="","",VLOOKUP(F1258,Tabelle1[],2))</f>
        <v>ILIRI QERAMIKA</v>
      </c>
      <c r="C1258" s="40"/>
      <c r="D1258" s="41">
        <v>46144</v>
      </c>
      <c r="E1258" s="80"/>
      <c r="F1258" s="78">
        <v>20622</v>
      </c>
      <c r="G1258" s="43">
        <v>159</v>
      </c>
      <c r="H1258" s="38">
        <v>35109</v>
      </c>
      <c r="I1258" s="38">
        <v>12</v>
      </c>
      <c r="J1258" s="38">
        <v>35110</v>
      </c>
      <c r="K1258" s="38">
        <v>12</v>
      </c>
      <c r="L1258" s="38">
        <v>51611</v>
      </c>
      <c r="M1258" s="38">
        <v>12</v>
      </c>
      <c r="N1258" s="38">
        <v>35113</v>
      </c>
      <c r="O1258" s="38">
        <v>12</v>
      </c>
    </row>
    <row r="1259" spans="1:25" x14ac:dyDescent="0.25">
      <c r="A1259" s="39" t="str">
        <f>IF(F1259="","",VLOOKUP(F1259,Tabelle1[],3))</f>
        <v>GREME</v>
      </c>
      <c r="B1259" s="40" t="str">
        <f>IF(F1259="","",VLOOKUP(F1259,Tabelle1[],2))</f>
        <v>AGRO-XHETI</v>
      </c>
      <c r="C1259" s="40"/>
      <c r="D1259" s="41">
        <v>46144</v>
      </c>
      <c r="E1259" s="80"/>
      <c r="F1259" s="78">
        <v>20610</v>
      </c>
      <c r="G1259" s="43">
        <v>524</v>
      </c>
      <c r="H1259" s="38">
        <v>35119</v>
      </c>
      <c r="I1259" s="38">
        <v>24</v>
      </c>
      <c r="J1259" s="38">
        <v>35125</v>
      </c>
      <c r="K1259" s="38">
        <v>24</v>
      </c>
      <c r="L1259" s="38">
        <v>35111</v>
      </c>
      <c r="M1259" s="38">
        <v>12</v>
      </c>
      <c r="N1259" s="38">
        <v>35110</v>
      </c>
      <c r="O1259" s="38">
        <v>12</v>
      </c>
      <c r="P1259" s="38">
        <v>35108</v>
      </c>
      <c r="Q1259" s="38">
        <v>12</v>
      </c>
      <c r="R1259" s="38">
        <v>35115</v>
      </c>
      <c r="S1259" s="38">
        <v>12</v>
      </c>
      <c r="T1259" s="38">
        <v>35121</v>
      </c>
      <c r="U1259" s="38">
        <v>12</v>
      </c>
      <c r="V1259" s="38">
        <v>35114</v>
      </c>
      <c r="W1259" s="38">
        <v>12</v>
      </c>
      <c r="X1259" s="38">
        <v>56117</v>
      </c>
      <c r="Y1259" s="38">
        <v>11</v>
      </c>
    </row>
    <row r="1260" spans="1:25" x14ac:dyDescent="0.25">
      <c r="A1260" s="39" t="str">
        <f>IF(F1260="","",VLOOKUP(F1260,Tabelle1[],3))</f>
        <v>FERIZAJ</v>
      </c>
      <c r="B1260" s="40" t="str">
        <f>IF(F1260="","",VLOOKUP(F1260,Tabelle1[],2))</f>
        <v>LUTA QERAMIKA</v>
      </c>
      <c r="C1260" s="40"/>
      <c r="D1260" s="41">
        <v>46144</v>
      </c>
      <c r="E1260" s="80"/>
      <c r="F1260" s="78">
        <v>20629</v>
      </c>
      <c r="G1260" s="43">
        <v>432</v>
      </c>
      <c r="H1260" s="38">
        <v>35109</v>
      </c>
      <c r="I1260" s="38">
        <v>36</v>
      </c>
      <c r="J1260" s="38">
        <v>35115</v>
      </c>
      <c r="K1260" s="38">
        <v>36</v>
      </c>
      <c r="L1260" s="38">
        <v>35121</v>
      </c>
      <c r="M1260" s="38">
        <v>36</v>
      </c>
    </row>
    <row r="1261" spans="1:25" x14ac:dyDescent="0.25">
      <c r="A1261" s="39" t="str">
        <f>IF(F1261="","",VLOOKUP(F1261,Tabelle1[],3))</f>
        <v>FERIZAJ</v>
      </c>
      <c r="B1261" s="40" t="str">
        <f>IF(F1261="","",VLOOKUP(F1261,Tabelle1[],2))</f>
        <v>GLOBAL TOOLS</v>
      </c>
      <c r="C1261" s="40"/>
      <c r="D1261" s="41">
        <v>46144</v>
      </c>
      <c r="E1261" s="80"/>
      <c r="F1261" s="78">
        <v>20632</v>
      </c>
      <c r="G1261" s="43">
        <v>336</v>
      </c>
      <c r="H1261" s="38">
        <v>35125</v>
      </c>
      <c r="I1261" s="38">
        <v>24</v>
      </c>
      <c r="J1261" s="38">
        <v>35113</v>
      </c>
      <c r="K1261" s="38">
        <v>24</v>
      </c>
      <c r="L1261" s="38">
        <v>35114</v>
      </c>
      <c r="M1261" s="38">
        <v>12</v>
      </c>
      <c r="N1261" s="38">
        <v>35119</v>
      </c>
      <c r="O1261" s="38">
        <v>12</v>
      </c>
      <c r="P1261" s="38">
        <v>35121</v>
      </c>
      <c r="Q1261" s="38">
        <v>12</v>
      </c>
    </row>
    <row r="1262" spans="1:25" x14ac:dyDescent="0.25">
      <c r="A1262" s="39" t="str">
        <f>IF(F1262="","",VLOOKUP(F1262,Tabelle1[],3))</f>
        <v>FERIZAJ</v>
      </c>
      <c r="B1262" s="40" t="str">
        <f>IF(F1262="","",VLOOKUP(F1262,Tabelle1[],2))</f>
        <v>AS QERAMIKA</v>
      </c>
      <c r="C1262" s="40"/>
      <c r="D1262" s="41">
        <v>46144</v>
      </c>
      <c r="E1262" s="80"/>
      <c r="F1262" s="78">
        <v>20614</v>
      </c>
      <c r="G1262" s="43">
        <v>336</v>
      </c>
      <c r="H1262" s="38">
        <v>35110</v>
      </c>
      <c r="I1262" s="38">
        <v>24</v>
      </c>
      <c r="J1262" s="38">
        <v>35111</v>
      </c>
      <c r="K1262" s="38">
        <v>24</v>
      </c>
      <c r="L1262" s="38">
        <v>35128</v>
      </c>
      <c r="M1262" s="38">
        <v>36</v>
      </c>
    </row>
    <row r="1263" spans="1:25" x14ac:dyDescent="0.25">
      <c r="A1263" s="39" t="str">
        <f>IF(F1263="","",VLOOKUP(F1263,Tabelle1[],3))</f>
        <v>GERLIC</v>
      </c>
      <c r="B1263" s="40" t="str">
        <f>IF(F1263="","",VLOOKUP(F1263,Tabelle1[],2))</f>
        <v>TE-SYLA</v>
      </c>
      <c r="C1263" s="40"/>
      <c r="D1263" s="41">
        <v>46144</v>
      </c>
      <c r="E1263" s="80"/>
      <c r="F1263" s="78">
        <v>20606</v>
      </c>
      <c r="G1263" s="43">
        <v>67</v>
      </c>
      <c r="H1263" s="38">
        <v>35111</v>
      </c>
      <c r="I1263" s="38">
        <v>12</v>
      </c>
      <c r="J1263" s="38">
        <v>44001</v>
      </c>
      <c r="K1263" s="38">
        <v>2</v>
      </c>
      <c r="L1263" s="38">
        <v>55718</v>
      </c>
      <c r="M1263" s="38">
        <v>2</v>
      </c>
      <c r="N1263" s="38">
        <v>16936</v>
      </c>
      <c r="O1263" s="38">
        <v>2</v>
      </c>
    </row>
    <row r="1264" spans="1:25" x14ac:dyDescent="0.25">
      <c r="A1264" s="39" t="str">
        <f>IF(F1264="","",VLOOKUP(F1264,Tabelle1[],3))</f>
        <v>FERIZAJ</v>
      </c>
      <c r="B1264" s="40" t="str">
        <f>IF(F1264="","",VLOOKUP(F1264,Tabelle1[],2))</f>
        <v>UNIKA</v>
      </c>
      <c r="C1264" s="40"/>
      <c r="D1264" s="41">
        <v>46144</v>
      </c>
      <c r="E1264" s="80"/>
      <c r="F1264" s="78">
        <v>20627</v>
      </c>
      <c r="G1264" s="43">
        <v>144</v>
      </c>
      <c r="H1264" s="38">
        <v>35108</v>
      </c>
      <c r="I1264" s="38">
        <v>24</v>
      </c>
      <c r="J1264" s="38">
        <v>35115</v>
      </c>
      <c r="K1264" s="38">
        <v>12</v>
      </c>
    </row>
    <row r="1265" spans="1:17" x14ac:dyDescent="0.25">
      <c r="A1265" s="39" t="str">
        <f>IF(F1265="","",VLOOKUP(F1265,Tabelle1[],3))</f>
        <v>PRISHTINE</v>
      </c>
      <c r="B1265" s="40" t="str">
        <f>IF(F1265="","",VLOOKUP(F1265,Tabelle1[],2))</f>
        <v>JETARI</v>
      </c>
      <c r="C1265" s="40"/>
      <c r="D1265" s="41">
        <v>46146</v>
      </c>
      <c r="E1265" s="80"/>
      <c r="F1265" s="78">
        <v>10104</v>
      </c>
      <c r="G1265" s="43">
        <v>96</v>
      </c>
      <c r="H1265" s="38">
        <v>35115</v>
      </c>
      <c r="I1265" s="38">
        <v>12</v>
      </c>
      <c r="J1265" s="38">
        <v>35125</v>
      </c>
      <c r="K1265" s="38">
        <v>12</v>
      </c>
    </row>
    <row r="1266" spans="1:17" x14ac:dyDescent="0.25">
      <c r="A1266" s="39" t="str">
        <f>IF(F1266="","",VLOOKUP(F1266,Tabelle1[],3))</f>
        <v>F. KOSOVA</v>
      </c>
      <c r="B1266" s="40" t="str">
        <f>IF(F1266="","",VLOOKUP(F1266,Tabelle1[],2))</f>
        <v>BOSCH</v>
      </c>
      <c r="C1266" s="40"/>
      <c r="D1266" s="41">
        <v>46146</v>
      </c>
      <c r="E1266" s="80"/>
      <c r="F1266" s="78">
        <v>10126</v>
      </c>
      <c r="G1266" s="43">
        <v>86.2</v>
      </c>
      <c r="H1266" s="38">
        <v>50912</v>
      </c>
      <c r="I1266" s="38">
        <v>12</v>
      </c>
    </row>
    <row r="1267" spans="1:17" x14ac:dyDescent="0.25">
      <c r="A1267" s="39" t="str">
        <f>IF(F1267="","",VLOOKUP(F1267,Tabelle1[],3))</f>
        <v>PRISHTINE</v>
      </c>
      <c r="B1267" s="40" t="str">
        <f>IF(F1267="","",VLOOKUP(F1267,Tabelle1[],2))</f>
        <v>BESI COM</v>
      </c>
      <c r="C1267" s="40"/>
      <c r="D1267" s="41">
        <v>46146</v>
      </c>
      <c r="E1267" s="80"/>
      <c r="F1267" s="78">
        <v>10103</v>
      </c>
      <c r="G1267" s="43">
        <v>39</v>
      </c>
      <c r="H1267" s="38">
        <v>44001</v>
      </c>
      <c r="I1267" s="38">
        <v>6</v>
      </c>
      <c r="J1267" s="38">
        <v>26736</v>
      </c>
      <c r="K1267" s="38">
        <v>3</v>
      </c>
      <c r="L1267" s="38">
        <v>49644</v>
      </c>
      <c r="M1267" s="38">
        <v>6</v>
      </c>
    </row>
    <row r="1268" spans="1:17" x14ac:dyDescent="0.25">
      <c r="A1268" s="39" t="str">
        <f>IF(F1268="","",VLOOKUP(F1268,Tabelle1[],3))</f>
        <v>BARDHOSH</v>
      </c>
      <c r="B1268" s="40" t="str">
        <f>IF(F1268="","",VLOOKUP(F1268,Tabelle1[],2))</f>
        <v>QELA</v>
      </c>
      <c r="C1268" s="40"/>
      <c r="D1268" s="41">
        <v>46146</v>
      </c>
      <c r="E1268" s="80"/>
      <c r="F1268" s="78">
        <v>10114</v>
      </c>
      <c r="G1268" s="43">
        <v>96</v>
      </c>
      <c r="H1268" s="38">
        <v>35110</v>
      </c>
      <c r="I1268" s="38">
        <v>12</v>
      </c>
      <c r="J1268" s="38">
        <v>35108</v>
      </c>
      <c r="K1268" s="38">
        <v>12</v>
      </c>
    </row>
    <row r="1269" spans="1:17" x14ac:dyDescent="0.25">
      <c r="A1269" s="39" t="str">
        <f>IF(F1269="","",VLOOKUP(F1269,Tabelle1[],3))</f>
        <v>PRISHTINE</v>
      </c>
      <c r="B1269" s="40" t="str">
        <f>IF(F1269="","",VLOOKUP(F1269,Tabelle1[],2))</f>
        <v>KADIJOLLET</v>
      </c>
      <c r="C1269" s="40"/>
      <c r="D1269" s="41">
        <v>46146</v>
      </c>
      <c r="E1269" s="80"/>
      <c r="F1269" s="78">
        <v>10111</v>
      </c>
      <c r="G1269" s="43">
        <v>140.80000000000001</v>
      </c>
      <c r="H1269" s="38">
        <v>35128</v>
      </c>
      <c r="I1269" s="38">
        <v>12</v>
      </c>
      <c r="J1269" s="38">
        <v>35125</v>
      </c>
      <c r="K1269" s="38">
        <v>12</v>
      </c>
      <c r="L1269" s="38">
        <v>50912</v>
      </c>
      <c r="M1269" s="38">
        <v>4</v>
      </c>
      <c r="N1269" s="38">
        <v>56117</v>
      </c>
      <c r="O1269" s="38">
        <v>4</v>
      </c>
    </row>
    <row r="1270" spans="1:17" x14ac:dyDescent="0.25">
      <c r="A1270" s="39" t="str">
        <f>IF(F1270="","",VLOOKUP(F1270,Tabelle1[],3))</f>
        <v>PRISHTINE</v>
      </c>
      <c r="B1270" s="40" t="str">
        <f>IF(F1270="","",VLOOKUP(F1270,Tabelle1[],2))</f>
        <v>ARENA ENGINEERING N.T.P</v>
      </c>
      <c r="C1270" s="40"/>
      <c r="D1270" s="41">
        <v>46146</v>
      </c>
      <c r="E1270" s="80"/>
      <c r="F1270" s="78">
        <v>40021</v>
      </c>
      <c r="G1270" s="43">
        <v>1008</v>
      </c>
      <c r="H1270" s="38">
        <v>72101</v>
      </c>
      <c r="I1270" s="38">
        <v>240</v>
      </c>
    </row>
    <row r="1271" spans="1:17" x14ac:dyDescent="0.25">
      <c r="A1271" s="39" t="str">
        <f>IF(F1271="","",VLOOKUP(F1271,Tabelle1[],3))</f>
        <v>Rruga B</v>
      </c>
      <c r="B1271" s="40" t="str">
        <f>IF(F1271="","",VLOOKUP(F1271,Tabelle1[],2))</f>
        <v>BAU MIX FATONI</v>
      </c>
      <c r="C1271" s="40"/>
      <c r="D1271" s="41">
        <v>46146</v>
      </c>
      <c r="E1271" s="80"/>
      <c r="F1271" s="78">
        <v>40024</v>
      </c>
      <c r="G1271" s="43">
        <v>48</v>
      </c>
      <c r="H1271" s="38">
        <v>35121</v>
      </c>
      <c r="I1271" s="38">
        <v>12</v>
      </c>
    </row>
    <row r="1272" spans="1:17" x14ac:dyDescent="0.25">
      <c r="A1272" s="39" t="str">
        <f>IF(F1272="","",VLOOKUP(F1272,Tabelle1[],3))</f>
        <v>PEJE</v>
      </c>
      <c r="B1272" s="40" t="str">
        <f>IF(F1272="","",VLOOKUP(F1272,Tabelle1[],2))</f>
        <v>KENA COMERC</v>
      </c>
      <c r="C1272" s="40"/>
      <c r="D1272" s="41">
        <v>46146</v>
      </c>
      <c r="E1272" s="80"/>
      <c r="F1272" s="78">
        <v>20109</v>
      </c>
      <c r="G1272" s="43">
        <v>96</v>
      </c>
      <c r="H1272" s="38">
        <v>35114</v>
      </c>
      <c r="I1272" s="38">
        <v>12</v>
      </c>
      <c r="J1272" s="38">
        <v>35128</v>
      </c>
      <c r="K1272" s="38">
        <v>12</v>
      </c>
    </row>
    <row r="1273" spans="1:17" x14ac:dyDescent="0.25">
      <c r="A1273" s="39" t="str">
        <f>IF(F1273="","",VLOOKUP(F1273,Tabelle1[],3))</f>
        <v>PEJE</v>
      </c>
      <c r="B1273" s="40" t="str">
        <f>IF(F1273="","",VLOOKUP(F1273,Tabelle1[],2))</f>
        <v>TERMO PROJEKT</v>
      </c>
      <c r="C1273" s="40"/>
      <c r="D1273" s="41">
        <v>46146</v>
      </c>
      <c r="E1273" s="80"/>
      <c r="F1273" s="78">
        <v>20127</v>
      </c>
      <c r="G1273" s="43">
        <v>165.6</v>
      </c>
      <c r="H1273" s="38">
        <v>35119</v>
      </c>
      <c r="I1273" s="38">
        <v>12</v>
      </c>
      <c r="J1273" s="38">
        <v>35125</v>
      </c>
      <c r="K1273" s="38">
        <v>12</v>
      </c>
      <c r="L1273" s="38">
        <v>66701</v>
      </c>
      <c r="M1273" s="38">
        <v>12</v>
      </c>
    </row>
    <row r="1274" spans="1:17" x14ac:dyDescent="0.25">
      <c r="A1274" s="39" t="str">
        <f>IF(F1274="","",VLOOKUP(F1274,Tabelle1[],3))</f>
        <v>PEJE</v>
      </c>
      <c r="B1274" s="40" t="str">
        <f>IF(F1274="","",VLOOKUP(F1274,Tabelle1[],2))</f>
        <v>KTHIMI</v>
      </c>
      <c r="C1274" s="40"/>
      <c r="D1274" s="41">
        <v>46146</v>
      </c>
      <c r="E1274" s="80"/>
      <c r="F1274" s="78">
        <v>20104</v>
      </c>
      <c r="G1274" s="43">
        <v>63</v>
      </c>
      <c r="H1274" s="38">
        <v>35115</v>
      </c>
      <c r="I1274" s="38">
        <v>12</v>
      </c>
      <c r="J1274" s="38">
        <v>51611</v>
      </c>
      <c r="K1274" s="38">
        <v>12</v>
      </c>
    </row>
    <row r="1275" spans="1:17" x14ac:dyDescent="0.25">
      <c r="A1275" s="39" t="str">
        <f>IF(F1275="","",VLOOKUP(F1275,Tabelle1[],3))</f>
        <v>PEJE</v>
      </c>
      <c r="B1275" s="40" t="str">
        <f>IF(F1275="","",VLOOKUP(F1275,Tabelle1[],2))</f>
        <v>LULI-C</v>
      </c>
      <c r="C1275" s="40"/>
      <c r="D1275" s="41">
        <v>46146</v>
      </c>
      <c r="E1275" s="80"/>
      <c r="F1275" s="78">
        <v>20126</v>
      </c>
      <c r="G1275" s="43">
        <v>123.6</v>
      </c>
      <c r="H1275" s="38">
        <v>35109</v>
      </c>
      <c r="I1275" s="38">
        <v>12</v>
      </c>
      <c r="J1275" s="38">
        <v>35110</v>
      </c>
      <c r="K1275" s="38">
        <v>12</v>
      </c>
      <c r="L1275" s="38">
        <v>51612</v>
      </c>
      <c r="M1275" s="38">
        <v>12</v>
      </c>
    </row>
    <row r="1276" spans="1:17" x14ac:dyDescent="0.25">
      <c r="A1276" s="39" t="str">
        <f>IF(F1276="","",VLOOKUP(F1276,Tabelle1[],3))</f>
        <v>PEJE</v>
      </c>
      <c r="B1276" s="40" t="str">
        <f>IF(F1276="","",VLOOKUP(F1276,Tabelle1[],2))</f>
        <v>CAMA BAU</v>
      </c>
      <c r="C1276" s="40"/>
      <c r="D1276" s="41">
        <v>46146</v>
      </c>
      <c r="E1276" s="80"/>
      <c r="F1276" s="78">
        <v>20121</v>
      </c>
      <c r="G1276" s="43">
        <v>144</v>
      </c>
      <c r="H1276" s="38">
        <v>35119</v>
      </c>
      <c r="I1276" s="38">
        <v>12</v>
      </c>
      <c r="J1276" s="38">
        <v>35114</v>
      </c>
      <c r="K1276" s="38">
        <v>12</v>
      </c>
      <c r="L1276" s="38">
        <v>35128</v>
      </c>
      <c r="M1276" s="38">
        <v>12</v>
      </c>
    </row>
    <row r="1277" spans="1:17" x14ac:dyDescent="0.25">
      <c r="A1277" s="39" t="str">
        <f>IF(F1277="","",VLOOKUP(F1277,Tabelle1[],3))</f>
        <v>DEQAN</v>
      </c>
      <c r="B1277" s="40" t="str">
        <f>IF(F1277="","",VLOOKUP(F1277,Tabelle1[],2))</f>
        <v>TE BESIMI</v>
      </c>
      <c r="C1277" s="40"/>
      <c r="D1277" s="41">
        <v>46146</v>
      </c>
      <c r="E1277" s="80"/>
      <c r="F1277" s="78">
        <v>20201</v>
      </c>
      <c r="G1277" s="43">
        <v>106</v>
      </c>
      <c r="H1277" s="38">
        <v>35111</v>
      </c>
      <c r="I1277" s="38">
        <v>12</v>
      </c>
      <c r="J1277" s="38">
        <v>35113</v>
      </c>
      <c r="K1277" s="38">
        <v>12</v>
      </c>
      <c r="L1277" s="38">
        <v>39505</v>
      </c>
      <c r="M1277" s="38">
        <v>2</v>
      </c>
      <c r="N1277" s="38">
        <v>54412</v>
      </c>
      <c r="O1277" s="38">
        <v>2</v>
      </c>
    </row>
    <row r="1278" spans="1:17" x14ac:dyDescent="0.25">
      <c r="A1278" s="39" t="str">
        <f>IF(F1278="","",VLOOKUP(F1278,Tabelle1[],3))</f>
        <v>DEQAN</v>
      </c>
      <c r="B1278" s="40" t="str">
        <f>IF(F1278="","",VLOOKUP(F1278,Tabelle1[],2))</f>
        <v>AFRIMI-AG</v>
      </c>
      <c r="C1278" s="40"/>
      <c r="D1278" s="41">
        <v>46146</v>
      </c>
      <c r="E1278" s="80"/>
      <c r="F1278" s="78">
        <v>20203</v>
      </c>
      <c r="G1278" s="43">
        <v>192</v>
      </c>
      <c r="H1278" s="38">
        <v>35111</v>
      </c>
      <c r="I1278" s="38">
        <v>24</v>
      </c>
      <c r="J1278" s="38">
        <v>35128</v>
      </c>
      <c r="K1278" s="38">
        <v>24</v>
      </c>
    </row>
    <row r="1279" spans="1:17" x14ac:dyDescent="0.25">
      <c r="A1279" s="39" t="str">
        <f>IF(F1279="","",VLOOKUP(F1279,Tabelle1[],3))</f>
        <v>PEJE</v>
      </c>
      <c r="B1279" s="40" t="str">
        <f>IF(F1279="","",VLOOKUP(F1279,Tabelle1[],2))</f>
        <v>KUQI-LKW</v>
      </c>
      <c r="C1279" s="40"/>
      <c r="D1279" s="41">
        <v>46146</v>
      </c>
      <c r="E1279" s="80"/>
      <c r="F1279" s="78">
        <v>20102</v>
      </c>
      <c r="G1279" s="43">
        <v>65.400000000000006</v>
      </c>
      <c r="H1279" s="38">
        <v>49644</v>
      </c>
      <c r="I1279" s="38">
        <v>8</v>
      </c>
      <c r="J1279" s="38">
        <v>54412</v>
      </c>
      <c r="K1279" s="38">
        <v>6</v>
      </c>
      <c r="L1279" s="38">
        <v>16936</v>
      </c>
      <c r="M1279" s="38">
        <v>7</v>
      </c>
      <c r="N1279" s="38">
        <v>44001</v>
      </c>
      <c r="O1279" s="38">
        <v>3</v>
      </c>
      <c r="P1279" s="38">
        <v>50912</v>
      </c>
      <c r="Q1279" s="38">
        <v>2</v>
      </c>
    </row>
    <row r="1280" spans="1:17" x14ac:dyDescent="0.25">
      <c r="A1280" s="39" t="str">
        <f>IF(F1280="","",VLOOKUP(F1280,Tabelle1[],3))</f>
        <v>GJAKOVE</v>
      </c>
      <c r="B1280" s="40" t="str">
        <f>IF(F1280="","",VLOOKUP(F1280,Tabelle1[],2))</f>
        <v>INOX 2</v>
      </c>
      <c r="C1280" s="40"/>
      <c r="D1280" s="41">
        <v>46146</v>
      </c>
      <c r="E1280" s="80"/>
      <c r="F1280" s="78">
        <v>20212</v>
      </c>
      <c r="G1280" s="43">
        <v>144</v>
      </c>
      <c r="H1280" s="38">
        <v>35112</v>
      </c>
      <c r="I1280" s="38">
        <v>12</v>
      </c>
      <c r="J1280" s="38">
        <v>35113</v>
      </c>
      <c r="K1280" s="38">
        <v>12</v>
      </c>
      <c r="L1280" s="38">
        <v>35115</v>
      </c>
      <c r="M1280" s="38">
        <v>12</v>
      </c>
    </row>
    <row r="1281" spans="1:15" x14ac:dyDescent="0.25">
      <c r="A1281" s="39" t="str">
        <f>IF(F1281="","",VLOOKUP(F1281,Tabelle1[],3))</f>
        <v>GJAKOVE</v>
      </c>
      <c r="B1281" s="40" t="str">
        <f>IF(F1281="","",VLOOKUP(F1281,Tabelle1[],2))</f>
        <v>V. GJONAJ</v>
      </c>
      <c r="C1281" s="40"/>
      <c r="D1281" s="41">
        <v>46146</v>
      </c>
      <c r="E1281" s="80"/>
      <c r="F1281" s="78">
        <v>20208</v>
      </c>
      <c r="G1281" s="43">
        <v>180.6</v>
      </c>
      <c r="H1281" s="38">
        <v>35121</v>
      </c>
      <c r="I1281" s="38">
        <v>12</v>
      </c>
      <c r="J1281" s="38">
        <v>35125</v>
      </c>
      <c r="K1281" s="38">
        <v>12</v>
      </c>
      <c r="L1281" s="38">
        <v>51611</v>
      </c>
      <c r="M1281" s="38">
        <v>12</v>
      </c>
      <c r="N1281" s="38">
        <v>66701</v>
      </c>
      <c r="O1281" s="38">
        <v>12</v>
      </c>
    </row>
    <row r="1282" spans="1:15" x14ac:dyDescent="0.25">
      <c r="A1282" s="39" t="str">
        <f>IF(F1282="","",VLOOKUP(F1282,Tabelle1[],3))</f>
        <v>SHIROK</v>
      </c>
      <c r="B1282" s="40" t="str">
        <f>IF(F1282="","",VLOOKUP(F1282,Tabelle1[],2))</f>
        <v>XHAFA</v>
      </c>
      <c r="C1282" s="40"/>
      <c r="D1282" s="41">
        <v>46147</v>
      </c>
      <c r="E1282" s="80"/>
      <c r="F1282" s="78">
        <v>10205</v>
      </c>
      <c r="G1282" s="43">
        <v>240</v>
      </c>
      <c r="H1282" s="38">
        <v>35121</v>
      </c>
      <c r="I1282" s="38">
        <v>24</v>
      </c>
      <c r="J1282" s="38">
        <v>35113</v>
      </c>
      <c r="K1282" s="38">
        <v>12</v>
      </c>
      <c r="L1282" s="38">
        <v>35115</v>
      </c>
      <c r="M1282" s="38">
        <v>12</v>
      </c>
      <c r="N1282" s="38">
        <v>35128</v>
      </c>
      <c r="O1282" s="38">
        <v>12</v>
      </c>
    </row>
    <row r="1283" spans="1:15" x14ac:dyDescent="0.25">
      <c r="A1283" s="39" t="str">
        <f>IF(F1283="","",VLOOKUP(F1283,Tabelle1[],3))</f>
        <v>PRIZREN</v>
      </c>
      <c r="B1283" s="40" t="str">
        <f>IF(F1283="","",VLOOKUP(F1283,Tabelle1[],2))</f>
        <v>MONI 2</v>
      </c>
      <c r="C1283" s="40"/>
      <c r="D1283" s="41">
        <v>46147</v>
      </c>
      <c r="E1283" s="80"/>
      <c r="F1283" s="78">
        <v>10210</v>
      </c>
      <c r="G1283" s="43">
        <v>258.60000000000002</v>
      </c>
      <c r="H1283" s="38">
        <v>35108</v>
      </c>
      <c r="I1283" s="38">
        <v>24</v>
      </c>
      <c r="J1283" s="38">
        <v>35119</v>
      </c>
      <c r="K1283" s="38">
        <v>24</v>
      </c>
      <c r="L1283" s="38">
        <v>35112</v>
      </c>
      <c r="M1283" s="38">
        <v>12</v>
      </c>
      <c r="N1283" s="38">
        <v>51612</v>
      </c>
      <c r="O1283" s="38">
        <v>12</v>
      </c>
    </row>
    <row r="1284" spans="1:15" x14ac:dyDescent="0.25">
      <c r="A1284" s="39" t="str">
        <f>IF(F1284="","",VLOOKUP(F1284,Tabelle1[],3))</f>
        <v>PRIZREN</v>
      </c>
      <c r="B1284" s="40" t="str">
        <f>IF(F1284="","",VLOOKUP(F1284,Tabelle1[],2))</f>
        <v>ARPO</v>
      </c>
      <c r="C1284" s="40"/>
      <c r="D1284" s="41">
        <v>46147</v>
      </c>
      <c r="E1284" s="80"/>
      <c r="F1284" s="78">
        <v>10240</v>
      </c>
      <c r="G1284" s="43">
        <v>96</v>
      </c>
      <c r="H1284" s="38">
        <v>35114</v>
      </c>
      <c r="I1284" s="38">
        <v>24</v>
      </c>
    </row>
    <row r="1285" spans="1:15" x14ac:dyDescent="0.25">
      <c r="A1285" s="39" t="str">
        <f>IF(F1285="","",VLOOKUP(F1285,Tabelle1[],3))</f>
        <v>PRIZREN</v>
      </c>
      <c r="B1285" s="40" t="str">
        <f>IF(F1285="","",VLOOKUP(F1285,Tabelle1[],2))</f>
        <v>ARPO</v>
      </c>
      <c r="C1285" s="40"/>
      <c r="D1285" s="41">
        <v>46147</v>
      </c>
      <c r="E1285" s="80"/>
      <c r="F1285" s="78">
        <v>10240</v>
      </c>
      <c r="G1285" s="43">
        <v>192</v>
      </c>
      <c r="H1285" s="38">
        <v>35108</v>
      </c>
      <c r="I1285" s="38">
        <v>12</v>
      </c>
      <c r="J1285" s="38">
        <v>35110</v>
      </c>
      <c r="K1285" s="38">
        <v>12</v>
      </c>
      <c r="L1285" s="38">
        <v>35121</v>
      </c>
      <c r="M1285" s="38">
        <v>24</v>
      </c>
    </row>
    <row r="1286" spans="1:15" x14ac:dyDescent="0.25">
      <c r="A1286" s="39" t="str">
        <f>IF(F1286="","",VLOOKUP(F1286,Tabelle1[],3))</f>
        <v>SHIROK</v>
      </c>
      <c r="B1286" s="40" t="str">
        <f>IF(F1286="","",VLOOKUP(F1286,Tabelle1[],2))</f>
        <v>GIMI</v>
      </c>
      <c r="C1286" s="40"/>
      <c r="D1286" s="41">
        <v>46147</v>
      </c>
      <c r="E1286" s="80"/>
      <c r="F1286" s="78">
        <v>10204</v>
      </c>
      <c r="G1286" s="43">
        <v>192</v>
      </c>
      <c r="H1286" s="38">
        <v>35109</v>
      </c>
      <c r="I1286" s="38">
        <v>24</v>
      </c>
      <c r="J1286" s="38">
        <v>35113</v>
      </c>
      <c r="K1286" s="38">
        <v>24</v>
      </c>
    </row>
    <row r="1287" spans="1:15" x14ac:dyDescent="0.25">
      <c r="A1287" s="39" t="str">
        <f>IF(F1287="","",VLOOKUP(F1287,Tabelle1[],3))</f>
        <v>ZYM</v>
      </c>
      <c r="B1287" s="40" t="str">
        <f>IF(F1287="","",VLOOKUP(F1287,Tabelle1[],2))</f>
        <v>BEK TRADE</v>
      </c>
      <c r="C1287" s="40"/>
      <c r="D1287" s="41">
        <v>46147</v>
      </c>
      <c r="E1287" s="80"/>
      <c r="F1287" s="78">
        <v>10245</v>
      </c>
      <c r="G1287" s="43">
        <v>96</v>
      </c>
      <c r="H1287" s="38">
        <v>35109</v>
      </c>
      <c r="I1287" s="38">
        <v>12</v>
      </c>
      <c r="J1287" s="38">
        <v>35128</v>
      </c>
      <c r="K1287" s="38">
        <v>12</v>
      </c>
    </row>
    <row r="1288" spans="1:15" x14ac:dyDescent="0.25">
      <c r="A1288" s="39" t="str">
        <f>IF(F1288="","",VLOOKUP(F1288,Tabelle1[],3))</f>
        <v>PRIZREN</v>
      </c>
      <c r="B1288" s="40" t="str">
        <f>IF(F1288="","",VLOOKUP(F1288,Tabelle1[],2))</f>
        <v>AB SHPK</v>
      </c>
      <c r="C1288" s="40"/>
      <c r="D1288" s="41">
        <v>46147</v>
      </c>
      <c r="E1288" s="80"/>
      <c r="F1288" s="78">
        <v>10241</v>
      </c>
      <c r="G1288" s="43">
        <v>27.6</v>
      </c>
      <c r="H1288" s="38">
        <v>51612</v>
      </c>
      <c r="I1288" s="38">
        <v>12</v>
      </c>
    </row>
    <row r="1289" spans="1:15" x14ac:dyDescent="0.25">
      <c r="A1289" s="39" t="str">
        <f>IF(F1289="","",VLOOKUP(F1289,Tabelle1[],3))</f>
        <v>PRIZREN</v>
      </c>
      <c r="B1289" s="40" t="str">
        <f>IF(F1289="","",VLOOKUP(F1289,Tabelle1[],2))</f>
        <v>TEMAJ</v>
      </c>
      <c r="C1289" s="40"/>
      <c r="D1289" s="41">
        <v>46147</v>
      </c>
      <c r="E1289" s="80"/>
      <c r="F1289" s="78">
        <v>40019</v>
      </c>
      <c r="G1289" s="43">
        <v>96</v>
      </c>
      <c r="H1289" s="38">
        <v>35109</v>
      </c>
      <c r="I1289" s="38">
        <v>12</v>
      </c>
      <c r="J1289" s="38">
        <v>35112</v>
      </c>
      <c r="K1289" s="38">
        <v>12</v>
      </c>
    </row>
    <row r="1290" spans="1:15" x14ac:dyDescent="0.25">
      <c r="A1290" s="39" t="str">
        <f>IF(F1290="","",VLOOKUP(F1290,Tabelle1[],3))</f>
        <v>VITI</v>
      </c>
      <c r="B1290" s="40" t="str">
        <f>IF(F1290="","",VLOOKUP(F1290,Tabelle1[],2))</f>
        <v>DARDANIA</v>
      </c>
      <c r="C1290" s="40"/>
      <c r="D1290" s="41">
        <v>46148</v>
      </c>
      <c r="E1290" s="80"/>
      <c r="F1290" s="78">
        <v>10332</v>
      </c>
      <c r="G1290" s="43">
        <v>63</v>
      </c>
      <c r="H1290" s="38">
        <v>35112</v>
      </c>
      <c r="I1290" s="38">
        <v>12</v>
      </c>
      <c r="J1290" s="38">
        <v>51611</v>
      </c>
      <c r="K1290" s="38">
        <v>12</v>
      </c>
    </row>
    <row r="1291" spans="1:15" x14ac:dyDescent="0.25">
      <c r="A1291" s="39" t="str">
        <f>IF(F1291="","",VLOOKUP(F1291,Tabelle1[],3))</f>
        <v>POZHARAN</v>
      </c>
      <c r="B1291" s="40" t="str">
        <f>IF(F1291="","",VLOOKUP(F1291,Tabelle1[],2))</f>
        <v>BURIMI</v>
      </c>
      <c r="C1291" s="40"/>
      <c r="D1291" s="41">
        <v>46148</v>
      </c>
      <c r="E1291" s="80"/>
      <c r="F1291" s="78">
        <v>10330</v>
      </c>
      <c r="G1291" s="43">
        <v>48</v>
      </c>
      <c r="H1291" s="38">
        <v>35110</v>
      </c>
      <c r="I1291" s="38">
        <v>12</v>
      </c>
    </row>
    <row r="1292" spans="1:15" x14ac:dyDescent="0.25">
      <c r="A1292" s="39" t="str">
        <f>IF(F1292="","",VLOOKUP(F1292,Tabelle1[],3))</f>
        <v>VITI</v>
      </c>
      <c r="B1292" s="40" t="str">
        <f>IF(F1292="","",VLOOKUP(F1292,Tabelle1[],2))</f>
        <v>BALLKANI</v>
      </c>
      <c r="C1292" s="40"/>
      <c r="D1292" s="41">
        <v>46148</v>
      </c>
      <c r="E1292" s="80"/>
      <c r="F1292" s="78">
        <v>10350</v>
      </c>
      <c r="G1292" s="43">
        <v>192</v>
      </c>
      <c r="H1292" s="38">
        <v>35121</v>
      </c>
      <c r="I1292" s="38">
        <v>48</v>
      </c>
    </row>
    <row r="1293" spans="1:15" x14ac:dyDescent="0.25">
      <c r="A1293" s="39" t="str">
        <f>IF(F1293="","",VLOOKUP(F1293,Tabelle1[],3))</f>
        <v>GJILAN</v>
      </c>
      <c r="B1293" s="40" t="str">
        <f>IF(F1293="","",VLOOKUP(F1293,Tabelle1[],2))</f>
        <v>BEKA-2</v>
      </c>
      <c r="C1293" s="40"/>
      <c r="D1293" s="41">
        <v>46148</v>
      </c>
      <c r="E1293" s="80"/>
      <c r="F1293" s="78">
        <v>10317</v>
      </c>
      <c r="G1293" s="43">
        <v>110.4</v>
      </c>
      <c r="H1293" s="38">
        <v>54412</v>
      </c>
      <c r="I1293" s="38">
        <v>12</v>
      </c>
      <c r="J1293" s="38">
        <v>50912</v>
      </c>
      <c r="K1293" s="38">
        <v>12</v>
      </c>
    </row>
    <row r="1294" spans="1:15" x14ac:dyDescent="0.25">
      <c r="A1294" s="39" t="str">
        <f>IF(F1294="","",VLOOKUP(F1294,Tabelle1[],3))</f>
        <v>GJILAN</v>
      </c>
      <c r="B1294" s="40" t="str">
        <f>IF(F1294="","",VLOOKUP(F1294,Tabelle1[],2))</f>
        <v>FATMIRI</v>
      </c>
      <c r="C1294" s="40"/>
      <c r="D1294" s="41">
        <v>46148</v>
      </c>
      <c r="E1294" s="80"/>
      <c r="F1294" s="78">
        <v>10313</v>
      </c>
      <c r="G1294" s="43">
        <v>96</v>
      </c>
      <c r="H1294" s="38">
        <v>35115</v>
      </c>
      <c r="I1294" s="38">
        <v>12</v>
      </c>
      <c r="J1294" s="38">
        <v>35128</v>
      </c>
      <c r="K1294" s="38">
        <v>12</v>
      </c>
    </row>
    <row r="1295" spans="1:15" x14ac:dyDescent="0.25">
      <c r="A1295" s="39" t="str">
        <f>IF(F1295="","",VLOOKUP(F1295,Tabelle1[],3))</f>
        <v>GJILAN</v>
      </c>
      <c r="B1295" s="40" t="str">
        <f>IF(F1295="","",VLOOKUP(F1295,Tabelle1[],2))</f>
        <v>ELIONI-1</v>
      </c>
      <c r="C1295" s="40"/>
      <c r="D1295" s="41">
        <v>46148</v>
      </c>
      <c r="E1295" s="80"/>
      <c r="F1295" s="78">
        <v>10306</v>
      </c>
      <c r="G1295" s="43">
        <v>48</v>
      </c>
      <c r="H1295" s="38">
        <v>35109</v>
      </c>
      <c r="I1295" s="38">
        <v>12</v>
      </c>
    </row>
    <row r="1296" spans="1:15" x14ac:dyDescent="0.25">
      <c r="A1296" s="39" t="str">
        <f>IF(F1296="","",VLOOKUP(F1296,Tabelle1[],3))</f>
        <v>GJILAN</v>
      </c>
      <c r="B1296" s="40" t="str">
        <f>IF(F1296="","",VLOOKUP(F1296,Tabelle1[],2))</f>
        <v>ERALP</v>
      </c>
      <c r="C1296" s="40"/>
      <c r="D1296" s="41">
        <v>46148</v>
      </c>
      <c r="E1296" s="80"/>
      <c r="F1296" s="78">
        <v>10308</v>
      </c>
      <c r="G1296" s="43">
        <v>96</v>
      </c>
      <c r="H1296" s="38">
        <v>35108</v>
      </c>
      <c r="I1296" s="38">
        <v>12</v>
      </c>
      <c r="J1296" s="38">
        <v>35121</v>
      </c>
      <c r="K1296" s="38">
        <v>12</v>
      </c>
    </row>
    <row r="1297" spans="1:19" x14ac:dyDescent="0.25">
      <c r="A1297" s="39" t="str">
        <f>IF(F1297="","",VLOOKUP(F1297,Tabelle1[],3))</f>
        <v>MALISHEVE</v>
      </c>
      <c r="B1297" s="40" t="str">
        <f>IF(F1297="","",VLOOKUP(F1297,Tabelle1[],2))</f>
        <v>HAZROLLI</v>
      </c>
      <c r="C1297" s="40"/>
      <c r="D1297" s="41">
        <v>46148</v>
      </c>
      <c r="E1297" s="80"/>
      <c r="F1297" s="78">
        <v>20301</v>
      </c>
      <c r="G1297" s="43">
        <v>213.6</v>
      </c>
      <c r="H1297" s="38">
        <v>35108</v>
      </c>
      <c r="I1297" s="38">
        <v>12</v>
      </c>
      <c r="J1297" s="38">
        <v>35115</v>
      </c>
      <c r="K1297" s="38">
        <v>12</v>
      </c>
      <c r="L1297" s="38">
        <v>35121</v>
      </c>
      <c r="M1297" s="38">
        <v>12</v>
      </c>
      <c r="N1297" s="38">
        <v>66701</v>
      </c>
      <c r="O1297" s="38">
        <v>12</v>
      </c>
    </row>
    <row r="1298" spans="1:19" x14ac:dyDescent="0.25">
      <c r="A1298" s="39" t="str">
        <f>IF(F1298="","",VLOOKUP(F1298,Tabelle1[],3))</f>
        <v>RAHOVEC</v>
      </c>
      <c r="B1298" s="40" t="str">
        <f>IF(F1298="","",VLOOKUP(F1298,Tabelle1[],2))</f>
        <v>CONDOR</v>
      </c>
      <c r="C1298" s="40"/>
      <c r="D1298" s="41">
        <v>46148</v>
      </c>
      <c r="E1298" s="80"/>
      <c r="F1298" s="78">
        <v>20307</v>
      </c>
      <c r="G1298" s="43">
        <v>324.60000000000002</v>
      </c>
      <c r="H1298" s="38">
        <v>35108</v>
      </c>
      <c r="I1298" s="38">
        <v>12</v>
      </c>
      <c r="J1298" s="38">
        <v>35109</v>
      </c>
      <c r="K1298" s="38">
        <v>24</v>
      </c>
      <c r="L1298" s="38">
        <v>35111</v>
      </c>
      <c r="M1298" s="38">
        <v>12</v>
      </c>
      <c r="N1298" s="38">
        <v>35128</v>
      </c>
      <c r="O1298" s="38">
        <v>12</v>
      </c>
      <c r="P1298" s="38">
        <v>66701</v>
      </c>
      <c r="Q1298" s="38">
        <v>12</v>
      </c>
      <c r="R1298" s="38">
        <v>26736</v>
      </c>
      <c r="S1298" s="38">
        <v>6</v>
      </c>
    </row>
    <row r="1299" spans="1:19" x14ac:dyDescent="0.25">
      <c r="A1299" s="39" t="str">
        <f>IF(F1299="","",VLOOKUP(F1299,Tabelle1[],3))</f>
        <v>MALISHEVE</v>
      </c>
      <c r="B1299" s="40" t="str">
        <f>IF(F1299="","",VLOOKUP(F1299,Tabelle1[],2))</f>
        <v>BARDHI-M</v>
      </c>
      <c r="C1299" s="40"/>
      <c r="D1299" s="41">
        <v>46148</v>
      </c>
      <c r="E1299" s="80"/>
      <c r="F1299" s="78">
        <v>20331</v>
      </c>
      <c r="G1299" s="43">
        <v>111</v>
      </c>
      <c r="H1299" s="38">
        <v>35110</v>
      </c>
      <c r="I1299" s="38">
        <v>12</v>
      </c>
      <c r="J1299" s="38">
        <v>35121</v>
      </c>
      <c r="K1299" s="38">
        <v>12</v>
      </c>
      <c r="L1299" s="38">
        <v>31903</v>
      </c>
      <c r="M1299" s="38">
        <v>6</v>
      </c>
    </row>
    <row r="1300" spans="1:19" x14ac:dyDescent="0.25">
      <c r="A1300" s="39" t="str">
        <f>IF(F1300="","",VLOOKUP(F1300,Tabelle1[],3))</f>
        <v>MALISHEVE</v>
      </c>
      <c r="B1300" s="40" t="str">
        <f>IF(F1300="","",VLOOKUP(F1300,Tabelle1[],2))</f>
        <v>AGRO-FARM</v>
      </c>
      <c r="C1300" s="40"/>
      <c r="D1300" s="41">
        <v>46148</v>
      </c>
      <c r="E1300" s="80"/>
      <c r="F1300" s="78">
        <v>20304</v>
      </c>
      <c r="G1300" s="43">
        <v>123.6</v>
      </c>
      <c r="H1300" s="38">
        <v>35114</v>
      </c>
      <c r="I1300" s="38">
        <v>12</v>
      </c>
      <c r="J1300" s="38">
        <v>35119</v>
      </c>
      <c r="K1300" s="38">
        <v>12</v>
      </c>
      <c r="L1300" s="38">
        <v>51612</v>
      </c>
      <c r="M1300" s="38">
        <v>12</v>
      </c>
    </row>
    <row r="1301" spans="1:19" x14ac:dyDescent="0.25">
      <c r="A1301" s="39" t="str">
        <f>IF(F1301="","",VLOOKUP(F1301,Tabelle1[],3))</f>
        <v>MALISHEVE</v>
      </c>
      <c r="B1301" s="40" t="str">
        <f>IF(F1301="","",VLOOKUP(F1301,Tabelle1[],2))</f>
        <v>FITIMI</v>
      </c>
      <c r="C1301" s="40"/>
      <c r="D1301" s="41">
        <v>46148</v>
      </c>
      <c r="E1301" s="80"/>
      <c r="F1301" s="78">
        <v>20306</v>
      </c>
      <c r="G1301" s="43">
        <v>96</v>
      </c>
      <c r="H1301" s="38">
        <v>35110</v>
      </c>
      <c r="I1301" s="38">
        <v>12</v>
      </c>
      <c r="J1301" s="38">
        <v>35111</v>
      </c>
      <c r="K1301" s="38">
        <v>12</v>
      </c>
    </row>
    <row r="1302" spans="1:19" x14ac:dyDescent="0.25">
      <c r="A1302" s="39" t="str">
        <f>IF(F1302="","",VLOOKUP(F1302,Tabelle1[],3))</f>
        <v>RAHOVEC</v>
      </c>
      <c r="B1302" s="40" t="str">
        <f>IF(F1302="","",VLOOKUP(F1302,Tabelle1[],2))</f>
        <v>SOPAJ</v>
      </c>
      <c r="C1302" s="40"/>
      <c r="D1302" s="41">
        <v>46148</v>
      </c>
      <c r="E1302" s="80"/>
      <c r="F1302" s="78">
        <v>20311</v>
      </c>
      <c r="G1302" s="43">
        <v>84.6</v>
      </c>
      <c r="H1302" s="38">
        <v>66701</v>
      </c>
      <c r="I1302" s="38">
        <v>12</v>
      </c>
      <c r="J1302" s="38">
        <v>51611</v>
      </c>
      <c r="K1302" s="38">
        <v>12</v>
      </c>
    </row>
    <row r="1303" spans="1:19" x14ac:dyDescent="0.25">
      <c r="A1303" s="39" t="str">
        <f>IF(F1303="","",VLOOKUP(F1303,Tabelle1[],3))</f>
        <v>RAHOVEC</v>
      </c>
      <c r="B1303" s="40" t="str">
        <f>IF(F1303="","",VLOOKUP(F1303,Tabelle1[],2))</f>
        <v>SHEHU-A</v>
      </c>
      <c r="C1303" s="40"/>
      <c r="D1303" s="41">
        <v>46148</v>
      </c>
      <c r="E1303" s="80"/>
      <c r="F1303" s="78">
        <v>20317</v>
      </c>
      <c r="G1303" s="43">
        <v>128.4</v>
      </c>
      <c r="H1303" s="38">
        <v>50912</v>
      </c>
      <c r="I1303" s="38">
        <v>12</v>
      </c>
      <c r="J1303" s="38">
        <v>55718</v>
      </c>
      <c r="K1303" s="38">
        <v>6</v>
      </c>
      <c r="L1303" s="38">
        <v>44001</v>
      </c>
      <c r="M1303" s="38">
        <v>6</v>
      </c>
    </row>
    <row r="1304" spans="1:19" x14ac:dyDescent="0.25">
      <c r="A1304" s="39" t="str">
        <f>IF(F1304="","",VLOOKUP(F1304,Tabelle1[],3))</f>
        <v>MITROVICE</v>
      </c>
      <c r="B1304" s="40" t="str">
        <f>IF(F1304="","",VLOOKUP(F1304,Tabelle1[],2))</f>
        <v>UNIVERZAL</v>
      </c>
      <c r="C1304" s="40"/>
      <c r="D1304" s="41">
        <v>46149</v>
      </c>
      <c r="E1304" s="80"/>
      <c r="F1304" s="78">
        <v>10413</v>
      </c>
      <c r="G1304" s="43">
        <v>48</v>
      </c>
      <c r="H1304" s="38">
        <v>35110</v>
      </c>
      <c r="I1304" s="38">
        <v>12</v>
      </c>
    </row>
    <row r="1305" spans="1:19" x14ac:dyDescent="0.25">
      <c r="A1305" s="39" t="str">
        <f>IF(F1305="","",VLOOKUP(F1305,Tabelle1[],3))</f>
        <v>MITROVICE</v>
      </c>
      <c r="B1305" s="40" t="str">
        <f>IF(F1305="","",VLOOKUP(F1305,Tabelle1[],2))</f>
        <v>EURO COM</v>
      </c>
      <c r="C1305" s="40"/>
      <c r="D1305" s="41">
        <v>46149</v>
      </c>
      <c r="E1305" s="80"/>
      <c r="F1305" s="78">
        <v>10430</v>
      </c>
      <c r="G1305" s="43">
        <v>96</v>
      </c>
      <c r="H1305" s="38">
        <v>35110</v>
      </c>
      <c r="I1305" s="38">
        <v>12</v>
      </c>
      <c r="J1305" s="38">
        <v>35115</v>
      </c>
      <c r="K1305" s="38">
        <v>12</v>
      </c>
    </row>
    <row r="1306" spans="1:19" x14ac:dyDescent="0.25">
      <c r="A1306" s="39" t="str">
        <f>IF(F1306="","",VLOOKUP(F1306,Tabelle1[],3))</f>
        <v>MITROVICE</v>
      </c>
      <c r="B1306" s="40" t="str">
        <f>IF(F1306="","",VLOOKUP(F1306,Tabelle1[],2))</f>
        <v>AGRONI</v>
      </c>
      <c r="C1306" s="40"/>
      <c r="D1306" s="41">
        <v>46149</v>
      </c>
      <c r="E1306" s="80"/>
      <c r="F1306" s="78">
        <v>10406</v>
      </c>
      <c r="G1306" s="43">
        <v>34.799999999999997</v>
      </c>
      <c r="H1306" s="38">
        <v>66701</v>
      </c>
      <c r="I1306" s="38">
        <v>6</v>
      </c>
    </row>
    <row r="1307" spans="1:19" x14ac:dyDescent="0.25">
      <c r="A1307" s="39" t="str">
        <f>IF(F1307="","",VLOOKUP(F1307,Tabelle1[],3))</f>
        <v>MITROVICE</v>
      </c>
      <c r="B1307" s="40" t="str">
        <f>IF(F1307="","",VLOOKUP(F1307,Tabelle1[],2))</f>
        <v>GRANITI</v>
      </c>
      <c r="C1307" s="40"/>
      <c r="D1307" s="41">
        <v>46149</v>
      </c>
      <c r="E1307" s="80"/>
      <c r="F1307" s="78">
        <v>10410</v>
      </c>
      <c r="G1307" s="43">
        <v>96</v>
      </c>
      <c r="H1307" s="38">
        <v>35109</v>
      </c>
      <c r="I1307" s="38">
        <v>12</v>
      </c>
      <c r="J1307" s="38">
        <v>35119</v>
      </c>
      <c r="K1307" s="38">
        <v>12</v>
      </c>
    </row>
    <row r="1308" spans="1:19" x14ac:dyDescent="0.25">
      <c r="A1308" s="39" t="str">
        <f>IF(F1308="","",VLOOKUP(F1308,Tabelle1[],3))</f>
        <v>MITROVICE</v>
      </c>
      <c r="B1308" s="40" t="str">
        <f>IF(F1308="","",VLOOKUP(F1308,Tabelle1[],2))</f>
        <v>VISARI HH</v>
      </c>
      <c r="C1308" s="40"/>
      <c r="D1308" s="41">
        <v>46149</v>
      </c>
      <c r="E1308" s="80"/>
      <c r="F1308" s="78">
        <v>10412</v>
      </c>
      <c r="G1308" s="43">
        <v>144</v>
      </c>
      <c r="H1308" s="38">
        <v>35111</v>
      </c>
      <c r="I1308" s="38">
        <v>12</v>
      </c>
      <c r="J1308" s="38">
        <v>35114</v>
      </c>
      <c r="K1308" s="38">
        <v>12</v>
      </c>
      <c r="L1308" s="38">
        <v>35113</v>
      </c>
      <c r="M1308" s="38">
        <v>12</v>
      </c>
    </row>
    <row r="1309" spans="1:19" x14ac:dyDescent="0.25">
      <c r="A1309" s="39" t="str">
        <f>IF(F1309="","",VLOOKUP(F1309,Tabelle1[],3))</f>
        <v>FERIZAJ</v>
      </c>
      <c r="B1309" s="40" t="str">
        <f>IF(F1309="","",VLOOKUP(F1309,Tabelle1[],2))</f>
        <v>CARRALEVA 2</v>
      </c>
      <c r="C1309" s="40"/>
      <c r="D1309" s="41">
        <v>46150</v>
      </c>
      <c r="E1309" s="80"/>
      <c r="F1309" s="78">
        <v>10508</v>
      </c>
      <c r="G1309" s="43">
        <v>48</v>
      </c>
      <c r="H1309" s="38">
        <v>35119</v>
      </c>
      <c r="I1309" s="38">
        <v>12</v>
      </c>
    </row>
    <row r="1310" spans="1:19" x14ac:dyDescent="0.25">
      <c r="A1310" s="39" t="str">
        <f>IF(F1310="","",VLOOKUP(F1310,Tabelle1[],3))</f>
        <v>FERIZAJ</v>
      </c>
      <c r="B1310" s="40" t="str">
        <f>IF(F1310="","",VLOOKUP(F1310,Tabelle1[],2))</f>
        <v>REAL COLOR 2</v>
      </c>
      <c r="C1310" s="40"/>
      <c r="D1310" s="41">
        <v>46150</v>
      </c>
      <c r="E1310" s="80"/>
      <c r="F1310" s="78">
        <v>10507</v>
      </c>
      <c r="G1310" s="43">
        <v>144</v>
      </c>
      <c r="H1310" s="38">
        <v>35115</v>
      </c>
      <c r="I1310" s="38">
        <v>12</v>
      </c>
      <c r="J1310" s="38">
        <v>35121</v>
      </c>
      <c r="K1310" s="38">
        <v>12</v>
      </c>
      <c r="L1310" s="38">
        <v>35128</v>
      </c>
      <c r="M1310" s="38">
        <v>12</v>
      </c>
    </row>
    <row r="1311" spans="1:19" x14ac:dyDescent="0.25">
      <c r="A1311" s="39" t="str">
        <f>IF(F1311="","",VLOOKUP(F1311,Tabelle1[],3))</f>
        <v>FERIZAJ</v>
      </c>
      <c r="B1311" s="40" t="str">
        <f>IF(F1311="","",VLOOKUP(F1311,Tabelle1[],2))</f>
        <v>CARRALEVA 1</v>
      </c>
      <c r="C1311" s="40"/>
      <c r="D1311" s="41">
        <v>46150</v>
      </c>
      <c r="E1311" s="80"/>
      <c r="F1311" s="78">
        <v>10504</v>
      </c>
      <c r="G1311" s="43">
        <v>96</v>
      </c>
      <c r="H1311" s="38">
        <v>35112</v>
      </c>
      <c r="I1311" s="38">
        <v>12</v>
      </c>
      <c r="J1311" s="38">
        <v>35115</v>
      </c>
      <c r="K1311" s="38">
        <v>12</v>
      </c>
    </row>
    <row r="1312" spans="1:19" x14ac:dyDescent="0.25">
      <c r="A1312" s="39" t="str">
        <f>IF(F1312="","",VLOOKUP(F1312,Tabelle1[],3))</f>
        <v>LIPJAN</v>
      </c>
      <c r="B1312" s="40" t="str">
        <f>IF(F1312="","",VLOOKUP(F1312,Tabelle1[],2))</f>
        <v>ARDI LIPJAN</v>
      </c>
      <c r="C1312" s="40"/>
      <c r="D1312" s="41">
        <v>46150</v>
      </c>
      <c r="E1312" s="80"/>
      <c r="F1312" s="78">
        <v>10529</v>
      </c>
      <c r="G1312" s="43">
        <v>100.2</v>
      </c>
      <c r="H1312" s="38">
        <v>56117</v>
      </c>
      <c r="I1312" s="38">
        <v>6</v>
      </c>
      <c r="J1312" s="38">
        <v>55718</v>
      </c>
      <c r="K1312" s="38">
        <v>6</v>
      </c>
      <c r="L1312" s="38">
        <v>31827</v>
      </c>
      <c r="M1312" s="38">
        <v>6</v>
      </c>
      <c r="N1312" s="38">
        <v>50912</v>
      </c>
      <c r="O1312" s="38">
        <v>6</v>
      </c>
    </row>
    <row r="1313" spans="1:21" x14ac:dyDescent="0.25">
      <c r="A1313" s="39" t="str">
        <f>IF(F1313="","",VLOOKUP(F1313,Tabelle1[],3))</f>
        <v>FERIZAJ</v>
      </c>
      <c r="B1313" s="40" t="str">
        <f>IF(F1313="","",VLOOKUP(F1313,Tabelle1[],2))</f>
        <v>ARBERI</v>
      </c>
      <c r="C1313" s="40"/>
      <c r="D1313" s="41">
        <v>46150</v>
      </c>
      <c r="E1313" s="80"/>
      <c r="F1313" s="78">
        <v>10506</v>
      </c>
      <c r="G1313" s="43">
        <v>144</v>
      </c>
      <c r="H1313" s="38">
        <v>35108</v>
      </c>
      <c r="I1313" s="38">
        <v>12</v>
      </c>
      <c r="J1313" s="38">
        <v>35109</v>
      </c>
      <c r="K1313" s="38">
        <v>12</v>
      </c>
      <c r="L1313" s="38">
        <v>35113</v>
      </c>
      <c r="M1313" s="38">
        <v>12</v>
      </c>
    </row>
    <row r="1314" spans="1:21" x14ac:dyDescent="0.25">
      <c r="A1314" s="39" t="str">
        <f>IF(F1314="","",VLOOKUP(F1314,Tabelle1[],3))</f>
        <v>FERIZAJ</v>
      </c>
      <c r="B1314" s="40" t="str">
        <f>IF(F1314="","",VLOOKUP(F1314,Tabelle1[],2))</f>
        <v>CARRALEVA 1</v>
      </c>
      <c r="C1314" s="40"/>
      <c r="D1314" s="41">
        <v>46150</v>
      </c>
      <c r="E1314" s="80"/>
      <c r="F1314" s="78">
        <v>10504</v>
      </c>
      <c r="G1314" s="43">
        <v>96</v>
      </c>
      <c r="H1314" s="38">
        <v>35114</v>
      </c>
      <c r="I1314" s="38">
        <v>12</v>
      </c>
      <c r="J1314" s="38">
        <v>35125</v>
      </c>
      <c r="K1314" s="38">
        <v>12</v>
      </c>
    </row>
    <row r="1315" spans="1:21" x14ac:dyDescent="0.25">
      <c r="A1315" s="39" t="str">
        <f>IF(F1315="","",VLOOKUP(F1315,Tabelle1[],3))</f>
        <v>KLINE</v>
      </c>
      <c r="B1315" s="40" t="str">
        <f>IF(F1315="","",VLOOKUP(F1315,Tabelle1[],2))</f>
        <v>RACI</v>
      </c>
      <c r="C1315" s="40"/>
      <c r="D1315" s="41">
        <v>46150</v>
      </c>
      <c r="E1315" s="80"/>
      <c r="F1315" s="78">
        <v>20501</v>
      </c>
      <c r="G1315" s="43">
        <v>357.6</v>
      </c>
      <c r="H1315" s="38">
        <v>66701</v>
      </c>
      <c r="I1315" s="38">
        <v>12</v>
      </c>
      <c r="J1315" s="38">
        <v>35109</v>
      </c>
      <c r="K1315" s="38">
        <v>12</v>
      </c>
      <c r="L1315" s="38">
        <v>35111</v>
      </c>
      <c r="M1315" s="38">
        <v>12</v>
      </c>
      <c r="N1315" s="38">
        <v>35112</v>
      </c>
      <c r="O1315" s="38">
        <v>12</v>
      </c>
      <c r="P1315" s="38">
        <v>35119</v>
      </c>
      <c r="Q1315" s="38">
        <v>12</v>
      </c>
      <c r="R1315" s="38">
        <v>35121</v>
      </c>
      <c r="S1315" s="38">
        <v>12</v>
      </c>
      <c r="T1315" s="38">
        <v>35128</v>
      </c>
      <c r="U1315" s="38">
        <v>12</v>
      </c>
    </row>
    <row r="1316" spans="1:21" x14ac:dyDescent="0.25">
      <c r="A1316" s="39" t="str">
        <f>IF(F1316="","",VLOOKUP(F1316,Tabelle1[],3))</f>
        <v>ISTOG</v>
      </c>
      <c r="B1316" s="40" t="str">
        <f>IF(F1316="","",VLOOKUP(F1316,Tabelle1[],2))</f>
        <v>LIRIDONA KLINE</v>
      </c>
      <c r="C1316" s="40"/>
      <c r="D1316" s="41">
        <v>46150</v>
      </c>
      <c r="E1316" s="80"/>
      <c r="F1316" s="78">
        <v>20511</v>
      </c>
      <c r="G1316" s="43">
        <v>240</v>
      </c>
      <c r="H1316" s="38">
        <v>35109</v>
      </c>
      <c r="I1316" s="38">
        <v>12</v>
      </c>
      <c r="J1316" s="38">
        <v>35111</v>
      </c>
      <c r="K1316" s="38">
        <v>12</v>
      </c>
      <c r="L1316" s="38">
        <v>35113</v>
      </c>
      <c r="M1316" s="38">
        <v>12</v>
      </c>
      <c r="N1316" s="38">
        <v>35115</v>
      </c>
      <c r="O1316" s="38">
        <v>12</v>
      </c>
      <c r="P1316" s="38">
        <v>35128</v>
      </c>
      <c r="Q1316" s="38">
        <v>12</v>
      </c>
    </row>
    <row r="1317" spans="1:21" x14ac:dyDescent="0.25">
      <c r="A1317" s="39" t="str">
        <f>IF(F1317="","",VLOOKUP(F1317,Tabelle1[],3))</f>
        <v>KLINE</v>
      </c>
      <c r="B1317" s="40" t="str">
        <f>IF(F1317="","",VLOOKUP(F1317,Tabelle1[],2))</f>
        <v>HOXHA</v>
      </c>
      <c r="C1317" s="40"/>
      <c r="D1317" s="41">
        <v>46150</v>
      </c>
      <c r="E1317" s="80"/>
      <c r="F1317" s="78">
        <v>20502</v>
      </c>
      <c r="G1317" s="43">
        <v>48</v>
      </c>
      <c r="H1317" s="38">
        <v>35113</v>
      </c>
      <c r="I1317" s="38">
        <v>12</v>
      </c>
    </row>
    <row r="1318" spans="1:21" x14ac:dyDescent="0.25">
      <c r="A1318" s="39" t="str">
        <f>IF(F1318="","",VLOOKUP(F1318,Tabelle1[],3))</f>
        <v>ISTOG</v>
      </c>
      <c r="B1318" s="40" t="str">
        <f>IF(F1318="","",VLOOKUP(F1318,Tabelle1[],2))</f>
        <v>LIRIDONA HOME</v>
      </c>
      <c r="C1318" s="40"/>
      <c r="D1318" s="41">
        <v>46150</v>
      </c>
      <c r="E1318" s="80"/>
      <c r="F1318" s="78">
        <v>20508</v>
      </c>
      <c r="G1318" s="43">
        <v>111</v>
      </c>
      <c r="H1318" s="38">
        <v>35109</v>
      </c>
      <c r="I1318" s="38">
        <v>12</v>
      </c>
      <c r="J1318" s="38">
        <v>35115</v>
      </c>
      <c r="K1318" s="38">
        <v>12</v>
      </c>
      <c r="L1318" s="38">
        <v>51611</v>
      </c>
      <c r="M1318" s="38">
        <v>12</v>
      </c>
    </row>
    <row r="1319" spans="1:21" x14ac:dyDescent="0.25">
      <c r="A1319" s="39" t="str">
        <f>IF(F1319="","",VLOOKUP(F1319,Tabelle1[],3))</f>
        <v>ISTOG</v>
      </c>
      <c r="B1319" s="40" t="str">
        <f>IF(F1319="","",VLOOKUP(F1319,Tabelle1[],2))</f>
        <v>LIRIDONA-A</v>
      </c>
      <c r="C1319" s="40"/>
      <c r="D1319" s="41">
        <v>46150</v>
      </c>
      <c r="E1319" s="80"/>
      <c r="F1319" s="78">
        <v>20515</v>
      </c>
      <c r="G1319" s="43">
        <v>96</v>
      </c>
      <c r="H1319" s="38">
        <v>35111</v>
      </c>
      <c r="I1319" s="38">
        <v>12</v>
      </c>
      <c r="J1319" s="38">
        <v>35115</v>
      </c>
      <c r="K1319" s="38">
        <v>12</v>
      </c>
    </row>
    <row r="1320" spans="1:21" x14ac:dyDescent="0.25">
      <c r="A1320" s="39" t="str">
        <f>IF(F1320="","",VLOOKUP(F1320,Tabelle1[],3))</f>
        <v>ISTOG</v>
      </c>
      <c r="B1320" s="40" t="str">
        <f>IF(F1320="","",VLOOKUP(F1320,Tabelle1[],2))</f>
        <v>BERATI A.P. (1)</v>
      </c>
      <c r="C1320" s="40"/>
      <c r="D1320" s="41">
        <v>46150</v>
      </c>
      <c r="E1320" s="80"/>
      <c r="F1320" s="78">
        <v>20513</v>
      </c>
      <c r="G1320" s="43">
        <v>96.9</v>
      </c>
      <c r="H1320" s="38">
        <v>50912</v>
      </c>
      <c r="I1320" s="38">
        <v>12</v>
      </c>
      <c r="J1320" s="38">
        <v>44001</v>
      </c>
      <c r="K1320" s="38">
        <v>3</v>
      </c>
    </row>
    <row r="1321" spans="1:21" x14ac:dyDescent="0.25">
      <c r="A1321" s="39" t="str">
        <f>IF(F1321="","",VLOOKUP(F1321,Tabelle1[],3))</f>
        <v>SKENDERAJ</v>
      </c>
      <c r="B1321" s="40" t="str">
        <f>IF(F1321="","",VLOOKUP(F1321,Tabelle1[],2))</f>
        <v>MEGI</v>
      </c>
      <c r="C1321" s="40"/>
      <c r="D1321" s="41">
        <v>46150</v>
      </c>
      <c r="E1321" s="80"/>
      <c r="F1321" s="78">
        <v>20406</v>
      </c>
      <c r="G1321" s="43">
        <v>157.4</v>
      </c>
      <c r="H1321" s="38">
        <v>49644</v>
      </c>
      <c r="I1321" s="38">
        <v>12</v>
      </c>
      <c r="J1321" s="38">
        <v>50912</v>
      </c>
      <c r="K1321" s="38">
        <v>17</v>
      </c>
      <c r="L1321" s="38">
        <v>56117</v>
      </c>
      <c r="M1321" s="38">
        <v>4</v>
      </c>
      <c r="N1321" s="38">
        <v>31819</v>
      </c>
      <c r="O1321" s="38">
        <v>2</v>
      </c>
    </row>
    <row r="1322" spans="1:21" x14ac:dyDescent="0.25">
      <c r="A1322" s="39" t="str">
        <f>IF(F1322="","",VLOOKUP(F1322,Tabelle1[],3))</f>
        <v>DRENAS</v>
      </c>
      <c r="B1322" s="40" t="str">
        <f>IF(F1322="","",VLOOKUP(F1322,Tabelle1[],2))</f>
        <v>NSM TRADE</v>
      </c>
      <c r="C1322" s="40"/>
      <c r="D1322" s="41">
        <v>46150</v>
      </c>
      <c r="E1322" s="80"/>
      <c r="F1322" s="78">
        <v>20427</v>
      </c>
      <c r="G1322" s="43">
        <v>50</v>
      </c>
      <c r="H1322" s="38">
        <v>49644</v>
      </c>
      <c r="I1322" s="38">
        <v>6</v>
      </c>
      <c r="J1322" s="38">
        <v>55718</v>
      </c>
      <c r="K1322" s="38">
        <v>4</v>
      </c>
      <c r="L1322" s="38">
        <v>44001</v>
      </c>
      <c r="M1322" s="38">
        <v>3</v>
      </c>
      <c r="N1322" s="38">
        <v>39505</v>
      </c>
      <c r="O1322" s="38">
        <v>2</v>
      </c>
      <c r="P1322" s="38">
        <v>51736</v>
      </c>
      <c r="Q1322" s="38">
        <v>3</v>
      </c>
    </row>
    <row r="1323" spans="1:21" x14ac:dyDescent="0.25">
      <c r="A1323" s="39" t="str">
        <f>IF(F1323="","",VLOOKUP(F1323,Tabelle1[],3))</f>
        <v>PODUJEVE</v>
      </c>
      <c r="B1323" s="40" t="str">
        <f>IF(F1323="","",VLOOKUP(F1323,Tabelle1[],2))</f>
        <v>HOXHA</v>
      </c>
      <c r="C1323" s="40"/>
      <c r="D1323" s="41">
        <v>46151</v>
      </c>
      <c r="E1323" s="80"/>
      <c r="F1323" s="78">
        <v>10622</v>
      </c>
      <c r="G1323" s="43">
        <v>62</v>
      </c>
      <c r="H1323" s="38">
        <v>54412</v>
      </c>
      <c r="I1323" s="38">
        <v>12</v>
      </c>
      <c r="J1323" s="38">
        <v>49644</v>
      </c>
      <c r="K1323" s="38">
        <v>12</v>
      </c>
      <c r="L1323" s="38">
        <v>44001</v>
      </c>
      <c r="M1323" s="38">
        <v>4</v>
      </c>
    </row>
    <row r="1324" spans="1:21" x14ac:dyDescent="0.25">
      <c r="A1324" s="39" t="str">
        <f>IF(F1324="","",VLOOKUP(F1324,Tabelle1[],3))</f>
        <v>PODUJEVE</v>
      </c>
      <c r="B1324" s="40" t="str">
        <f>IF(F1324="","",VLOOKUP(F1324,Tabelle1[],2))</f>
        <v>ALBANI</v>
      </c>
      <c r="C1324" s="40"/>
      <c r="D1324" s="41">
        <v>46151</v>
      </c>
      <c r="E1324" s="80"/>
      <c r="F1324" s="78">
        <v>10635</v>
      </c>
      <c r="G1324" s="43">
        <v>96</v>
      </c>
      <c r="H1324" s="38">
        <v>35112</v>
      </c>
      <c r="I1324" s="38">
        <v>12</v>
      </c>
      <c r="J1324" s="38">
        <v>35128</v>
      </c>
      <c r="K1324" s="38">
        <v>12</v>
      </c>
    </row>
    <row r="1325" spans="1:21" x14ac:dyDescent="0.25">
      <c r="A1325" s="39" t="str">
        <f>IF(F1325="","",VLOOKUP(F1325,Tabelle1[],3))</f>
        <v>PODUJEVE</v>
      </c>
      <c r="B1325" s="40" t="str">
        <f>IF(F1325="","",VLOOKUP(F1325,Tabelle1[],2))</f>
        <v>KUJTA</v>
      </c>
      <c r="C1325" s="40"/>
      <c r="D1325" s="41">
        <v>46151</v>
      </c>
      <c r="E1325" s="80"/>
      <c r="F1325" s="78">
        <v>10625</v>
      </c>
      <c r="G1325" s="43">
        <v>144</v>
      </c>
      <c r="H1325" s="38">
        <v>35113</v>
      </c>
      <c r="I1325" s="38">
        <v>12</v>
      </c>
      <c r="J1325" s="38">
        <v>35125</v>
      </c>
      <c r="K1325" s="38">
        <v>12</v>
      </c>
      <c r="L1325" s="38">
        <v>35128</v>
      </c>
      <c r="M1325" s="38">
        <v>12</v>
      </c>
    </row>
    <row r="1326" spans="1:21" x14ac:dyDescent="0.25">
      <c r="A1326" s="39" t="str">
        <f>IF(F1326="","",VLOOKUP(F1326,Tabelle1[],3))</f>
        <v>PODUJEVE</v>
      </c>
      <c r="B1326" s="40" t="str">
        <f>IF(F1326="","",VLOOKUP(F1326,Tabelle1[],2))</f>
        <v>ALBANI</v>
      </c>
      <c r="C1326" s="40"/>
      <c r="D1326" s="41">
        <v>46151</v>
      </c>
      <c r="E1326" s="80"/>
      <c r="F1326" s="78">
        <v>10636</v>
      </c>
      <c r="G1326" s="43">
        <v>96</v>
      </c>
      <c r="H1326" s="38">
        <v>35110</v>
      </c>
      <c r="I1326" s="38">
        <v>12</v>
      </c>
      <c r="J1326" s="38">
        <v>35111</v>
      </c>
      <c r="K1326" s="38">
        <v>12</v>
      </c>
    </row>
    <row r="1327" spans="1:21" x14ac:dyDescent="0.25">
      <c r="A1327" s="39" t="str">
        <f>IF(F1327="","",VLOOKUP(F1327,Tabelle1[],3))</f>
        <v>PODUJEVE</v>
      </c>
      <c r="B1327" s="40" t="str">
        <f>IF(F1327="","",VLOOKUP(F1327,Tabelle1[],2))</f>
        <v>BECOLOR</v>
      </c>
      <c r="C1327" s="40"/>
      <c r="D1327" s="41">
        <v>46151</v>
      </c>
      <c r="E1327" s="80"/>
      <c r="F1327" s="78">
        <v>10619</v>
      </c>
      <c r="G1327" s="43">
        <v>27.6</v>
      </c>
      <c r="H1327" s="38">
        <v>51612</v>
      </c>
      <c r="I1327" s="38">
        <v>12</v>
      </c>
    </row>
    <row r="1328" spans="1:21" x14ac:dyDescent="0.25">
      <c r="A1328" s="39" t="str">
        <f>IF(F1328="","",VLOOKUP(F1328,Tabelle1[],3))</f>
        <v>JUNIK</v>
      </c>
      <c r="B1328" s="40" t="str">
        <f>IF(F1328="","",VLOOKUP(F1328,Tabelle1[],2))</f>
        <v>ERENIKU</v>
      </c>
      <c r="C1328" s="40"/>
      <c r="D1328" s="41">
        <v>46151</v>
      </c>
      <c r="E1328" s="80"/>
      <c r="F1328" s="78">
        <v>20206</v>
      </c>
      <c r="G1328" s="43">
        <v>123.6</v>
      </c>
      <c r="H1328" s="38">
        <v>35109</v>
      </c>
      <c r="I1328" s="38">
        <v>12</v>
      </c>
      <c r="J1328" s="38">
        <v>35121</v>
      </c>
      <c r="K1328" s="38">
        <v>12</v>
      </c>
      <c r="L1328" s="38">
        <v>51612</v>
      </c>
      <c r="M1328" s="38">
        <v>12</v>
      </c>
    </row>
    <row r="1329" spans="1:17" x14ac:dyDescent="0.25">
      <c r="A1329" s="39" t="str">
        <f>IF(F1329="","",VLOOKUP(F1329,Tabelle1[],3))</f>
        <v>GERLIC</v>
      </c>
      <c r="B1329" s="40" t="str">
        <f>IF(F1329="","",VLOOKUP(F1329,Tabelle1[],2))</f>
        <v>TE-SYLA</v>
      </c>
      <c r="C1329" s="40"/>
      <c r="D1329" s="41">
        <v>46151</v>
      </c>
      <c r="E1329" s="80"/>
      <c r="F1329" s="78">
        <v>20606</v>
      </c>
      <c r="G1329" s="43">
        <v>108</v>
      </c>
      <c r="H1329" s="38">
        <v>35121</v>
      </c>
      <c r="I1329" s="38">
        <v>12</v>
      </c>
      <c r="J1329" s="38">
        <v>35128</v>
      </c>
      <c r="K1329" s="38">
        <v>12</v>
      </c>
      <c r="L1329" s="38">
        <v>31880</v>
      </c>
      <c r="M1329" s="38">
        <v>3</v>
      </c>
    </row>
    <row r="1330" spans="1:17" x14ac:dyDescent="0.25">
      <c r="A1330" s="39" t="str">
        <f>IF(F1330="","",VLOOKUP(F1330,Tabelle1[],3))</f>
        <v>FERIZAJ</v>
      </c>
      <c r="B1330" s="40" t="str">
        <f>IF(F1330="","",VLOOKUP(F1330,Tabelle1[],2))</f>
        <v>SALIHU CORPORATION</v>
      </c>
      <c r="C1330" s="40"/>
      <c r="D1330" s="41">
        <v>46151</v>
      </c>
      <c r="E1330" s="80"/>
      <c r="F1330" s="78">
        <v>20636</v>
      </c>
      <c r="G1330" s="43">
        <v>240</v>
      </c>
      <c r="H1330" s="38">
        <v>35115</v>
      </c>
      <c r="I1330" s="38">
        <v>12</v>
      </c>
      <c r="J1330" s="38">
        <v>35111</v>
      </c>
      <c r="K1330" s="38">
        <v>12</v>
      </c>
      <c r="L1330" s="38">
        <v>35121</v>
      </c>
      <c r="M1330" s="38">
        <v>12</v>
      </c>
      <c r="N1330" s="38">
        <v>35128</v>
      </c>
      <c r="O1330" s="38">
        <v>24</v>
      </c>
    </row>
    <row r="1331" spans="1:17" x14ac:dyDescent="0.25">
      <c r="A1331" s="39" t="str">
        <f>IF(F1331="","",VLOOKUP(F1331,Tabelle1[],3))</f>
        <v>FERIZAJ</v>
      </c>
      <c r="B1331" s="40" t="str">
        <f>IF(F1331="","",VLOOKUP(F1331,Tabelle1[],2))</f>
        <v>SALIHU CORPORATION</v>
      </c>
      <c r="C1331" s="40"/>
      <c r="D1331" s="41">
        <v>46151</v>
      </c>
      <c r="E1331" s="80"/>
      <c r="F1331" s="78">
        <v>20634</v>
      </c>
      <c r="G1331" s="43">
        <v>192</v>
      </c>
      <c r="H1331" s="38">
        <v>35115</v>
      </c>
      <c r="I1331" s="38">
        <v>24</v>
      </c>
      <c r="J1331" s="38">
        <v>35121</v>
      </c>
      <c r="K1331" s="38">
        <v>12</v>
      </c>
      <c r="L1331" s="38">
        <v>35110</v>
      </c>
      <c r="M1331" s="38">
        <v>12</v>
      </c>
    </row>
    <row r="1332" spans="1:17" x14ac:dyDescent="0.25">
      <c r="A1332" s="39" t="str">
        <f>IF(F1332="","",VLOOKUP(F1332,Tabelle1[],3))</f>
        <v>KAQANIK</v>
      </c>
      <c r="B1332" s="40" t="str">
        <f>IF(F1332="","",VLOOKUP(F1332,Tabelle1[],2))</f>
        <v>TE-LUTA</v>
      </c>
      <c r="C1332" s="40"/>
      <c r="D1332" s="41">
        <v>46151</v>
      </c>
      <c r="E1332" s="80"/>
      <c r="F1332" s="78">
        <v>20611</v>
      </c>
      <c r="G1332" s="43">
        <v>187.2</v>
      </c>
      <c r="H1332" s="38">
        <v>35109</v>
      </c>
      <c r="I1332" s="38">
        <v>12</v>
      </c>
      <c r="J1332" s="38">
        <v>35111</v>
      </c>
      <c r="K1332" s="38">
        <v>12</v>
      </c>
      <c r="L1332" s="38">
        <v>35119</v>
      </c>
      <c r="M1332" s="38">
        <v>12</v>
      </c>
      <c r="N1332" s="38">
        <v>50912</v>
      </c>
      <c r="O1332" s="38">
        <v>6</v>
      </c>
    </row>
    <row r="1333" spans="1:17" x14ac:dyDescent="0.25">
      <c r="A1333" s="39" t="str">
        <f>IF(F1333="","",VLOOKUP(F1333,Tabelle1[],3))</f>
        <v>FERIZAJ</v>
      </c>
      <c r="B1333" s="40" t="str">
        <f>IF(F1333="","",VLOOKUP(F1333,Tabelle1[],2))</f>
        <v>ALMIRI QERAMIKA</v>
      </c>
      <c r="C1333" s="40"/>
      <c r="D1333" s="41">
        <v>46151</v>
      </c>
      <c r="E1333" s="80"/>
      <c r="F1333" s="78">
        <v>20631</v>
      </c>
      <c r="G1333" s="43">
        <v>96</v>
      </c>
      <c r="H1333" s="38">
        <v>35109</v>
      </c>
      <c r="I1333" s="38">
        <v>12</v>
      </c>
      <c r="J1333" s="38">
        <v>35121</v>
      </c>
      <c r="K1333" s="38">
        <v>12</v>
      </c>
    </row>
    <row r="1334" spans="1:17" x14ac:dyDescent="0.25">
      <c r="A1334" s="39" t="str">
        <f>IF(F1334="","",VLOOKUP(F1334,Tabelle1[],3))</f>
        <v>FERIZAJ</v>
      </c>
      <c r="B1334" s="40" t="str">
        <f>IF(F1334="","",VLOOKUP(F1334,Tabelle1[],2))</f>
        <v>PROMOIN</v>
      </c>
      <c r="C1334" s="40"/>
      <c r="D1334" s="41">
        <v>46151</v>
      </c>
      <c r="E1334" s="80"/>
      <c r="F1334" s="78">
        <v>20603</v>
      </c>
      <c r="G1334" s="43">
        <v>159</v>
      </c>
      <c r="H1334" s="38">
        <v>35110</v>
      </c>
      <c r="I1334" s="38">
        <v>12</v>
      </c>
      <c r="J1334" s="38">
        <v>35112</v>
      </c>
      <c r="K1334" s="38">
        <v>12</v>
      </c>
      <c r="L1334" s="38">
        <v>35113</v>
      </c>
      <c r="M1334" s="38">
        <v>12</v>
      </c>
      <c r="N1334" s="38">
        <v>51611</v>
      </c>
      <c r="O1334" s="38">
        <v>12</v>
      </c>
    </row>
    <row r="1335" spans="1:17" x14ac:dyDescent="0.25">
      <c r="A1335" s="39" t="str">
        <f>IF(F1335="","",VLOOKUP(F1335,Tabelle1[],3))</f>
        <v>GADIME</v>
      </c>
      <c r="B1335" s="40" t="str">
        <f>IF(F1335="","",VLOOKUP(F1335,Tabelle1[],2))</f>
        <v>MIX-B</v>
      </c>
      <c r="C1335" s="40"/>
      <c r="D1335" s="41">
        <v>46151</v>
      </c>
      <c r="E1335" s="80"/>
      <c r="F1335" s="78">
        <v>20615</v>
      </c>
      <c r="G1335" s="43">
        <v>171.6</v>
      </c>
      <c r="H1335" s="38">
        <v>35113</v>
      </c>
      <c r="I1335" s="38">
        <v>12</v>
      </c>
      <c r="J1335" s="38">
        <v>35110</v>
      </c>
      <c r="K1335" s="38">
        <v>12</v>
      </c>
      <c r="L1335" s="38">
        <v>35111</v>
      </c>
      <c r="M1335" s="38">
        <v>12</v>
      </c>
      <c r="N1335" s="38">
        <v>51612</v>
      </c>
      <c r="O1335" s="38">
        <v>12</v>
      </c>
    </row>
    <row r="1336" spans="1:17" x14ac:dyDescent="0.25">
      <c r="A1336" s="39" t="str">
        <f>IF(F1336="","",VLOOKUP(F1336,Tabelle1[],3))</f>
        <v>FERIZAJ</v>
      </c>
      <c r="B1336" s="40" t="str">
        <f>IF(F1336="","",VLOOKUP(F1336,Tabelle1[],2))</f>
        <v>LTI</v>
      </c>
      <c r="C1336" s="40"/>
      <c r="D1336" s="41">
        <v>46151</v>
      </c>
      <c r="E1336" s="80"/>
      <c r="F1336" s="78">
        <v>20623</v>
      </c>
      <c r="G1336" s="43">
        <v>96</v>
      </c>
      <c r="H1336" s="38">
        <v>35110</v>
      </c>
      <c r="I1336" s="38">
        <v>12</v>
      </c>
      <c r="J1336" s="38">
        <v>35115</v>
      </c>
      <c r="K1336" s="38">
        <v>12</v>
      </c>
    </row>
    <row r="1337" spans="1:17" x14ac:dyDescent="0.25">
      <c r="A1337" s="39" t="str">
        <f>IF(F1337="","",VLOOKUP(F1337,Tabelle1[],3))</f>
        <v>GADIME</v>
      </c>
      <c r="B1337" s="40" t="str">
        <f>IF(F1337="","",VLOOKUP(F1337,Tabelle1[],2))</f>
        <v>ILIRI QERAMIKA</v>
      </c>
      <c r="C1337" s="40"/>
      <c r="D1337" s="41">
        <v>46151</v>
      </c>
      <c r="E1337" s="80"/>
      <c r="F1337" s="78">
        <v>20622</v>
      </c>
      <c r="G1337" s="43">
        <v>111</v>
      </c>
      <c r="H1337" s="38">
        <v>35109</v>
      </c>
      <c r="I1337" s="38">
        <v>12</v>
      </c>
      <c r="J1337" s="38">
        <v>35110</v>
      </c>
      <c r="K1337" s="38">
        <v>12</v>
      </c>
      <c r="L1337" s="38">
        <v>51611</v>
      </c>
      <c r="M1337" s="38">
        <v>12</v>
      </c>
    </row>
    <row r="1338" spans="1:17" x14ac:dyDescent="0.25">
      <c r="A1338" s="39" t="str">
        <f>IF(F1338="","",VLOOKUP(F1338,Tabelle1[],3))</f>
        <v>FERIZAJ</v>
      </c>
      <c r="B1338" s="40" t="str">
        <f>IF(F1338="","",VLOOKUP(F1338,Tabelle1[],2))</f>
        <v>UNIKA</v>
      </c>
      <c r="C1338" s="40"/>
      <c r="D1338" s="41">
        <v>46151</v>
      </c>
      <c r="E1338" s="80"/>
      <c r="F1338" s="78">
        <v>20627</v>
      </c>
      <c r="G1338" s="43">
        <v>444</v>
      </c>
      <c r="H1338" s="38">
        <v>66701</v>
      </c>
      <c r="I1338" s="38">
        <v>60</v>
      </c>
      <c r="J1338" s="38">
        <v>35109</v>
      </c>
      <c r="K1338" s="38">
        <v>12</v>
      </c>
      <c r="L1338" s="38">
        <v>35113</v>
      </c>
      <c r="M1338" s="38">
        <v>12</v>
      </c>
    </row>
    <row r="1339" spans="1:17" x14ac:dyDescent="0.25">
      <c r="A1339" s="39" t="str">
        <f>IF(F1339="","",VLOOKUP(F1339,Tabelle1[],3))</f>
        <v>FERIZAJ</v>
      </c>
      <c r="B1339" s="40" t="str">
        <f>IF(F1339="","",VLOOKUP(F1339,Tabelle1[],2))</f>
        <v>ALFA-QERAMIKA</v>
      </c>
      <c r="C1339" s="40"/>
      <c r="D1339" s="41">
        <v>46151</v>
      </c>
      <c r="E1339" s="80"/>
      <c r="F1339" s="78">
        <v>20604</v>
      </c>
      <c r="G1339" s="43">
        <v>159</v>
      </c>
      <c r="H1339" s="38">
        <v>35109</v>
      </c>
      <c r="I1339" s="38">
        <v>12</v>
      </c>
      <c r="J1339" s="38">
        <v>35110</v>
      </c>
      <c r="K1339" s="38">
        <v>12</v>
      </c>
      <c r="L1339" s="38">
        <v>35111</v>
      </c>
      <c r="M1339" s="38">
        <v>12</v>
      </c>
      <c r="N1339" s="38">
        <v>51611</v>
      </c>
      <c r="O1339" s="38">
        <v>12</v>
      </c>
    </row>
    <row r="1340" spans="1:17" x14ac:dyDescent="0.25">
      <c r="A1340" s="39" t="str">
        <f>IF(F1340="","",VLOOKUP(F1340,Tabelle1[],3))</f>
        <v>LIPJAN</v>
      </c>
      <c r="B1340" s="40" t="str">
        <f>IF(F1340="","",VLOOKUP(F1340,Tabelle1[],2))</f>
        <v>ELEKTROMONT</v>
      </c>
      <c r="C1340" s="40"/>
      <c r="D1340" s="41">
        <v>46151</v>
      </c>
      <c r="E1340" s="80"/>
      <c r="F1340" s="78">
        <v>20601</v>
      </c>
      <c r="G1340" s="43">
        <v>27</v>
      </c>
      <c r="H1340" s="38">
        <v>49644</v>
      </c>
      <c r="I1340" s="38">
        <v>12</v>
      </c>
      <c r="J1340" s="38">
        <v>39505</v>
      </c>
      <c r="K1340" s="38">
        <v>1</v>
      </c>
    </row>
    <row r="1341" spans="1:17" x14ac:dyDescent="0.25">
      <c r="A1341" s="39" t="str">
        <f>IF(F1341="","",VLOOKUP(F1341,Tabelle1[],3))</f>
        <v>PRISHTINE</v>
      </c>
      <c r="B1341" s="40" t="str">
        <f>IF(F1341="","",VLOOKUP(F1341,Tabelle1[],2))</f>
        <v>KRRABAJ</v>
      </c>
      <c r="C1341" s="40"/>
      <c r="D1341" s="41">
        <v>46153</v>
      </c>
      <c r="E1341" s="80"/>
      <c r="F1341" s="78">
        <v>10147</v>
      </c>
      <c r="G1341" s="43">
        <v>80</v>
      </c>
      <c r="H1341" s="38">
        <v>50912</v>
      </c>
      <c r="I1341" s="38">
        <v>10</v>
      </c>
    </row>
    <row r="1342" spans="1:17" x14ac:dyDescent="0.25">
      <c r="A1342" s="39" t="str">
        <f>IF(F1342="","",VLOOKUP(F1342,Tabelle1[],3))</f>
        <v>PRISHTINE</v>
      </c>
      <c r="B1342" s="40" t="str">
        <f>IF(F1342="","",VLOOKUP(F1342,Tabelle1[],2))</f>
        <v>KADIJOLLET</v>
      </c>
      <c r="C1342" s="40"/>
      <c r="D1342" s="41">
        <v>46153</v>
      </c>
      <c r="E1342" s="80"/>
      <c r="F1342" s="78">
        <v>10111</v>
      </c>
      <c r="G1342" s="43">
        <v>141</v>
      </c>
      <c r="H1342" s="38">
        <v>54412</v>
      </c>
      <c r="I1342" s="38">
        <v>12</v>
      </c>
      <c r="J1342" s="38">
        <v>49644</v>
      </c>
      <c r="K1342" s="38">
        <v>3</v>
      </c>
      <c r="L1342" s="38">
        <v>35113</v>
      </c>
      <c r="M1342" s="38">
        <v>12</v>
      </c>
      <c r="N1342" s="38">
        <v>35115</v>
      </c>
      <c r="O1342" s="38">
        <v>12</v>
      </c>
      <c r="P1342" s="38">
        <v>51611</v>
      </c>
      <c r="Q1342" s="38">
        <v>12</v>
      </c>
    </row>
    <row r="1343" spans="1:17" x14ac:dyDescent="0.25">
      <c r="A1343" s="39" t="str">
        <f>IF(F1343="","",VLOOKUP(F1343,Tabelle1[],3))</f>
        <v>BARDHOSH</v>
      </c>
      <c r="B1343" s="40" t="str">
        <f>IF(F1343="","",VLOOKUP(F1343,Tabelle1[],2))</f>
        <v>QELA</v>
      </c>
      <c r="C1343" s="40"/>
      <c r="D1343" s="41">
        <v>46153</v>
      </c>
      <c r="E1343" s="80"/>
      <c r="F1343" s="78">
        <v>10114</v>
      </c>
      <c r="G1343" s="43">
        <v>96</v>
      </c>
      <c r="H1343" s="38">
        <v>35121</v>
      </c>
      <c r="I1343" s="38">
        <v>12</v>
      </c>
      <c r="J1343" s="38">
        <v>35112</v>
      </c>
      <c r="K1343" s="38">
        <v>12</v>
      </c>
    </row>
    <row r="1344" spans="1:17" x14ac:dyDescent="0.25">
      <c r="A1344" s="39" t="str">
        <f>IF(F1344="","",VLOOKUP(F1344,Tabelle1[],3))</f>
        <v>PRISHTINE</v>
      </c>
      <c r="B1344" s="40" t="str">
        <f>IF(F1344="","",VLOOKUP(F1344,Tabelle1[],2))</f>
        <v>EURO COLORS</v>
      </c>
      <c r="C1344" s="40"/>
      <c r="D1344" s="41">
        <v>46153</v>
      </c>
      <c r="E1344" s="80"/>
      <c r="F1344" s="78">
        <v>10134</v>
      </c>
      <c r="G1344" s="43">
        <v>69.599999999999994</v>
      </c>
      <c r="H1344" s="38">
        <v>66701</v>
      </c>
      <c r="I1344" s="38">
        <v>12</v>
      </c>
    </row>
    <row r="1345" spans="1:23" x14ac:dyDescent="0.25">
      <c r="A1345" s="39" t="str">
        <f>IF(F1345="","",VLOOKUP(F1345,Tabelle1[],3))</f>
        <v>PRISHTINE</v>
      </c>
      <c r="B1345" s="40" t="str">
        <f>IF(F1345="","",VLOOKUP(F1345,Tabelle1[],2))</f>
        <v>JETARI</v>
      </c>
      <c r="C1345" s="40"/>
      <c r="D1345" s="41">
        <v>46153</v>
      </c>
      <c r="E1345" s="80"/>
      <c r="F1345" s="78">
        <v>10104</v>
      </c>
      <c r="G1345" s="43">
        <v>48</v>
      </c>
      <c r="H1345" s="38">
        <v>35128</v>
      </c>
      <c r="I1345" s="38">
        <v>12</v>
      </c>
    </row>
    <row r="1346" spans="1:23" x14ac:dyDescent="0.25">
      <c r="A1346" s="39" t="str">
        <f>IF(F1346="","",VLOOKUP(F1346,Tabelle1[],3))</f>
        <v>Rruga B</v>
      </c>
      <c r="B1346" s="40" t="str">
        <f>IF(F1346="","",VLOOKUP(F1346,Tabelle1[],2))</f>
        <v>BAU MIX FATONI</v>
      </c>
      <c r="C1346" s="40"/>
      <c r="D1346" s="41">
        <v>46153</v>
      </c>
      <c r="E1346" s="80"/>
      <c r="F1346" s="78">
        <v>40024</v>
      </c>
      <c r="G1346" s="43">
        <v>48</v>
      </c>
      <c r="H1346" s="38">
        <v>35110</v>
      </c>
      <c r="I1346" s="38">
        <v>12</v>
      </c>
    </row>
    <row r="1347" spans="1:23" x14ac:dyDescent="0.25">
      <c r="A1347" s="39" t="str">
        <f>IF(F1347="","",VLOOKUP(F1347,Tabelle1[],3))</f>
        <v>PEJE</v>
      </c>
      <c r="B1347" s="40" t="str">
        <f>IF(F1347="","",VLOOKUP(F1347,Tabelle1[],2))</f>
        <v>KENA COMERC</v>
      </c>
      <c r="C1347" s="40"/>
      <c r="D1347" s="41">
        <v>46153</v>
      </c>
      <c r="E1347" s="80"/>
      <c r="F1347" s="78">
        <v>20109</v>
      </c>
      <c r="G1347" s="43">
        <v>141</v>
      </c>
      <c r="H1347" s="38">
        <v>35110</v>
      </c>
      <c r="I1347" s="38">
        <v>12</v>
      </c>
      <c r="J1347" s="38">
        <v>35121</v>
      </c>
      <c r="K1347" s="38">
        <v>12</v>
      </c>
      <c r="L1347" s="38">
        <v>51611</v>
      </c>
      <c r="M1347" s="38">
        <v>36</v>
      </c>
    </row>
    <row r="1348" spans="1:23" x14ac:dyDescent="0.25">
      <c r="A1348" s="39" t="str">
        <f>IF(F1348="","",VLOOKUP(F1348,Tabelle1[],3))</f>
        <v>PEJE</v>
      </c>
      <c r="B1348" s="40" t="str">
        <f>IF(F1348="","",VLOOKUP(F1348,Tabelle1[],2))</f>
        <v>ENESI</v>
      </c>
      <c r="C1348" s="40"/>
      <c r="D1348" s="41">
        <v>46153</v>
      </c>
      <c r="E1348" s="80"/>
      <c r="F1348" s="78">
        <v>20130</v>
      </c>
      <c r="G1348" s="43">
        <v>96</v>
      </c>
      <c r="H1348" s="38">
        <v>35119</v>
      </c>
      <c r="I1348" s="38">
        <v>12</v>
      </c>
      <c r="J1348" s="38">
        <v>35121</v>
      </c>
      <c r="K1348" s="38">
        <v>12</v>
      </c>
    </row>
    <row r="1349" spans="1:23" x14ac:dyDescent="0.25">
      <c r="A1349" s="39" t="str">
        <f>IF(F1349="","",VLOOKUP(F1349,Tabelle1[],3))</f>
        <v>PEJE</v>
      </c>
      <c r="B1349" s="40" t="str">
        <f>IF(F1349="","",VLOOKUP(F1349,Tabelle1[],2))</f>
        <v>CAMA BAU</v>
      </c>
      <c r="C1349" s="40"/>
      <c r="D1349" s="41">
        <v>46153</v>
      </c>
      <c r="E1349" s="80"/>
      <c r="F1349" s="78">
        <v>20121</v>
      </c>
      <c r="G1349" s="43">
        <v>192</v>
      </c>
      <c r="H1349" s="38">
        <v>35109</v>
      </c>
      <c r="I1349" s="38">
        <v>12</v>
      </c>
      <c r="J1349" s="38">
        <v>35113</v>
      </c>
      <c r="K1349" s="38">
        <v>12</v>
      </c>
      <c r="L1349" s="38">
        <v>35115</v>
      </c>
      <c r="M1349" s="38">
        <v>12</v>
      </c>
      <c r="N1349" s="38">
        <v>35125</v>
      </c>
      <c r="O1349" s="38">
        <v>12</v>
      </c>
    </row>
    <row r="1350" spans="1:23" x14ac:dyDescent="0.25">
      <c r="A1350" s="39" t="str">
        <f>IF(F1350="","",VLOOKUP(F1350,Tabelle1[],3))</f>
        <v>PEJE</v>
      </c>
      <c r="B1350" s="40" t="str">
        <f>IF(F1350="","",VLOOKUP(F1350,Tabelle1[],2))</f>
        <v>LULI-C</v>
      </c>
      <c r="C1350" s="40"/>
      <c r="D1350" s="41">
        <v>46153</v>
      </c>
      <c r="E1350" s="80"/>
      <c r="F1350" s="78">
        <v>20126</v>
      </c>
      <c r="G1350" s="43">
        <v>250</v>
      </c>
      <c r="H1350" s="38">
        <v>35109</v>
      </c>
      <c r="I1350" s="38">
        <v>12</v>
      </c>
      <c r="J1350" s="38">
        <v>35119</v>
      </c>
      <c r="K1350" s="38">
        <v>12</v>
      </c>
      <c r="L1350" s="38">
        <v>35113</v>
      </c>
      <c r="M1350" s="38">
        <v>12</v>
      </c>
      <c r="N1350" s="38">
        <v>35115</v>
      </c>
      <c r="O1350" s="38">
        <v>12</v>
      </c>
      <c r="P1350" s="38">
        <v>35111</v>
      </c>
      <c r="Q1350" s="38">
        <v>12</v>
      </c>
      <c r="R1350" s="38">
        <v>49644</v>
      </c>
      <c r="S1350" s="38">
        <v>5</v>
      </c>
    </row>
    <row r="1351" spans="1:23" x14ac:dyDescent="0.25">
      <c r="A1351" s="39" t="str">
        <f>IF(F1351="","",VLOOKUP(F1351,Tabelle1[],3))</f>
        <v>PEJE</v>
      </c>
      <c r="B1351" s="40" t="str">
        <f>IF(F1351="","",VLOOKUP(F1351,Tabelle1[],2))</f>
        <v>KUQI-LKW</v>
      </c>
      <c r="C1351" s="40"/>
      <c r="D1351" s="41">
        <v>46153</v>
      </c>
      <c r="E1351" s="80"/>
      <c r="F1351" s="78">
        <v>20102</v>
      </c>
      <c r="G1351" s="43">
        <v>61.5</v>
      </c>
      <c r="H1351" s="38">
        <v>55718</v>
      </c>
      <c r="I1351" s="38">
        <v>6</v>
      </c>
      <c r="J1351" s="38">
        <v>49644</v>
      </c>
      <c r="K1351" s="38">
        <v>7</v>
      </c>
      <c r="L1351" s="38">
        <v>54412</v>
      </c>
      <c r="M1351" s="38">
        <v>9</v>
      </c>
      <c r="N1351" s="38">
        <v>44001</v>
      </c>
      <c r="O1351" s="38">
        <v>1</v>
      </c>
      <c r="P1351" s="38">
        <v>50912</v>
      </c>
      <c r="Q1351" s="38">
        <v>1</v>
      </c>
    </row>
    <row r="1352" spans="1:23" x14ac:dyDescent="0.25">
      <c r="A1352" s="39" t="str">
        <f>IF(F1352="","",VLOOKUP(F1352,Tabelle1[],3))</f>
        <v>PEJE</v>
      </c>
      <c r="B1352" s="40" t="str">
        <f>IF(F1352="","",VLOOKUP(F1352,Tabelle1[],2))</f>
        <v>GLOBI TERM</v>
      </c>
      <c r="C1352" s="40"/>
      <c r="D1352" s="41">
        <v>46153</v>
      </c>
      <c r="E1352" s="80"/>
      <c r="F1352" s="78">
        <v>20122</v>
      </c>
      <c r="G1352" s="43">
        <v>139.19999999999999</v>
      </c>
      <c r="H1352" s="38">
        <v>66701</v>
      </c>
      <c r="I1352" s="38">
        <v>24</v>
      </c>
    </row>
    <row r="1353" spans="1:23" x14ac:dyDescent="0.25">
      <c r="A1353" s="39" t="str">
        <f>IF(F1353="","",VLOOKUP(F1353,Tabelle1[],3))</f>
        <v>PEJE</v>
      </c>
      <c r="B1353" s="40" t="str">
        <f>IF(F1353="","",VLOOKUP(F1353,Tabelle1[],2))</f>
        <v>KTHIMI</v>
      </c>
      <c r="C1353" s="40"/>
      <c r="D1353" s="41">
        <v>46153</v>
      </c>
      <c r="E1353" s="80"/>
      <c r="F1353" s="78">
        <v>20104</v>
      </c>
      <c r="G1353" s="43">
        <v>192</v>
      </c>
      <c r="H1353" s="38">
        <v>35109</v>
      </c>
      <c r="I1353" s="38">
        <v>36</v>
      </c>
      <c r="J1353" s="38">
        <v>35119</v>
      </c>
      <c r="K1353" s="38">
        <v>12</v>
      </c>
    </row>
    <row r="1354" spans="1:23" x14ac:dyDescent="0.25">
      <c r="A1354" s="39" t="str">
        <f>IF(F1354="","",VLOOKUP(F1354,Tabelle1[],3))</f>
        <v>PEJE</v>
      </c>
      <c r="B1354" s="40" t="str">
        <f>IF(F1354="","",VLOOKUP(F1354,Tabelle1[],2))</f>
        <v>LNI SHPK</v>
      </c>
      <c r="C1354" s="40"/>
      <c r="D1354" s="41">
        <v>46153</v>
      </c>
      <c r="E1354" s="80"/>
      <c r="F1354" s="78">
        <v>20129</v>
      </c>
      <c r="G1354" s="43">
        <v>96</v>
      </c>
      <c r="H1354" s="38">
        <v>35115</v>
      </c>
      <c r="I1354" s="38">
        <v>12</v>
      </c>
      <c r="J1354" s="38">
        <v>35121</v>
      </c>
      <c r="K1354" s="38">
        <v>12</v>
      </c>
    </row>
    <row r="1355" spans="1:23" x14ac:dyDescent="0.25">
      <c r="A1355" s="39" t="str">
        <f>IF(F1355="","",VLOOKUP(F1355,Tabelle1[],3))</f>
        <v>PRIZREN</v>
      </c>
      <c r="B1355" s="40" t="str">
        <f>IF(F1355="","",VLOOKUP(F1355,Tabelle1[],2))</f>
        <v>ARSIMI</v>
      </c>
      <c r="C1355" s="40"/>
      <c r="D1355" s="41">
        <v>46154</v>
      </c>
      <c r="E1355" s="80"/>
      <c r="F1355" s="78">
        <v>10258</v>
      </c>
      <c r="G1355" s="43">
        <v>480</v>
      </c>
      <c r="H1355" s="38">
        <v>35109</v>
      </c>
      <c r="I1355" s="38">
        <v>120</v>
      </c>
    </row>
    <row r="1356" spans="1:23" x14ac:dyDescent="0.25">
      <c r="A1356" s="39" t="str">
        <f>IF(F1356="","",VLOOKUP(F1356,Tabelle1[],3))</f>
        <v>PRIZREN</v>
      </c>
      <c r="B1356" s="40" t="str">
        <f>IF(F1356="","",VLOOKUP(F1356,Tabelle1[],2))</f>
        <v>ARPO</v>
      </c>
      <c r="C1356" s="40"/>
      <c r="D1356" s="41">
        <v>46154</v>
      </c>
      <c r="E1356" s="80"/>
      <c r="F1356" s="78">
        <v>10240</v>
      </c>
      <c r="G1356" s="43">
        <v>530.4</v>
      </c>
      <c r="H1356" s="38">
        <v>35113</v>
      </c>
      <c r="I1356" s="38">
        <v>24</v>
      </c>
      <c r="J1356" s="38">
        <v>35108</v>
      </c>
      <c r="K1356" s="38">
        <v>24</v>
      </c>
      <c r="L1356" s="38">
        <v>35119</v>
      </c>
      <c r="M1356" s="38">
        <v>24</v>
      </c>
      <c r="N1356" s="38">
        <v>35110</v>
      </c>
      <c r="O1356" s="38">
        <v>12</v>
      </c>
      <c r="P1356" s="38">
        <v>35109</v>
      </c>
      <c r="Q1356" s="38">
        <v>12</v>
      </c>
      <c r="R1356" s="38">
        <v>35121</v>
      </c>
      <c r="S1356" s="38">
        <v>12</v>
      </c>
      <c r="T1356" s="38">
        <v>35128</v>
      </c>
      <c r="U1356" s="38">
        <v>12</v>
      </c>
      <c r="V1356" s="38">
        <v>72101</v>
      </c>
      <c r="W1356" s="38">
        <v>12</v>
      </c>
    </row>
    <row r="1357" spans="1:23" x14ac:dyDescent="0.25">
      <c r="A1357" s="39" t="str">
        <f>IF(F1357="","",VLOOKUP(F1357,Tabelle1[],3))</f>
        <v>SHIROK</v>
      </c>
      <c r="B1357" s="40" t="str">
        <f>IF(F1357="","",VLOOKUP(F1357,Tabelle1[],2))</f>
        <v>XHAFA</v>
      </c>
      <c r="C1357" s="40"/>
      <c r="D1357" s="41">
        <v>46154</v>
      </c>
      <c r="E1357" s="80"/>
      <c r="F1357" s="78">
        <v>10205</v>
      </c>
      <c r="G1357" s="43">
        <v>144</v>
      </c>
      <c r="H1357" s="38">
        <v>35109</v>
      </c>
      <c r="I1357" s="38">
        <v>12</v>
      </c>
      <c r="J1357" s="38">
        <v>35121</v>
      </c>
      <c r="K1357" s="38">
        <v>12</v>
      </c>
      <c r="L1357" s="38">
        <v>35112</v>
      </c>
      <c r="M1357" s="38">
        <v>12</v>
      </c>
    </row>
    <row r="1358" spans="1:23" x14ac:dyDescent="0.25">
      <c r="A1358" s="39" t="str">
        <f>IF(F1358="","",VLOOKUP(F1358,Tabelle1[],3))</f>
        <v>ZYM</v>
      </c>
      <c r="B1358" s="40" t="str">
        <f>IF(F1358="","",VLOOKUP(F1358,Tabelle1[],2))</f>
        <v>BEK TRADE</v>
      </c>
      <c r="C1358" s="40"/>
      <c r="D1358" s="41">
        <v>46154</v>
      </c>
      <c r="E1358" s="80"/>
      <c r="F1358" s="78">
        <v>10245</v>
      </c>
      <c r="G1358" s="43">
        <v>192</v>
      </c>
      <c r="H1358" s="38">
        <v>35109</v>
      </c>
      <c r="I1358" s="38">
        <v>12</v>
      </c>
      <c r="J1358" s="38">
        <v>35121</v>
      </c>
      <c r="K1358" s="38">
        <v>12</v>
      </c>
      <c r="L1358" s="38">
        <v>35108</v>
      </c>
      <c r="M1358" s="38">
        <v>12</v>
      </c>
      <c r="N1358" s="38">
        <v>35128</v>
      </c>
      <c r="O1358" s="38">
        <v>12</v>
      </c>
    </row>
    <row r="1359" spans="1:23" x14ac:dyDescent="0.25">
      <c r="A1359" s="39" t="str">
        <f>IF(F1359="","",VLOOKUP(F1359,Tabelle1[],3))</f>
        <v>PRIZREN</v>
      </c>
      <c r="B1359" s="40" t="str">
        <f>IF(F1359="","",VLOOKUP(F1359,Tabelle1[],2))</f>
        <v>TEMAJ</v>
      </c>
      <c r="C1359" s="40"/>
      <c r="D1359" s="41">
        <v>46154</v>
      </c>
      <c r="E1359" s="80"/>
      <c r="F1359" s="78">
        <v>40019</v>
      </c>
      <c r="G1359" s="43">
        <v>144</v>
      </c>
      <c r="H1359" s="38">
        <v>35109</v>
      </c>
      <c r="I1359" s="38">
        <v>12</v>
      </c>
      <c r="J1359" s="38">
        <v>35119</v>
      </c>
      <c r="K1359" s="38">
        <v>12</v>
      </c>
      <c r="L1359" s="38">
        <v>35111</v>
      </c>
      <c r="M1359" s="38">
        <v>12</v>
      </c>
    </row>
    <row r="1360" spans="1:23" x14ac:dyDescent="0.25">
      <c r="A1360" s="39" t="str">
        <f>IF(F1360="","",VLOOKUP(F1360,Tabelle1[],3))</f>
        <v>GJAKOVE</v>
      </c>
      <c r="B1360" s="40" t="str">
        <f>IF(F1360="","",VLOOKUP(F1360,Tabelle1[],2))</f>
        <v>PROSAN</v>
      </c>
      <c r="C1360" s="40"/>
      <c r="D1360" s="41">
        <v>46154</v>
      </c>
      <c r="E1360" s="80"/>
      <c r="F1360" s="78">
        <v>20210</v>
      </c>
      <c r="G1360" s="43">
        <v>96</v>
      </c>
      <c r="H1360" s="38">
        <v>35113</v>
      </c>
      <c r="I1360" s="38">
        <v>24</v>
      </c>
    </row>
    <row r="1361" spans="1:19" x14ac:dyDescent="0.25">
      <c r="A1361" s="39" t="str">
        <f>IF(F1361="","",VLOOKUP(F1361,Tabelle1[],3))</f>
        <v>GJAKOVE</v>
      </c>
      <c r="B1361" s="40" t="str">
        <f>IF(F1361="","",VLOOKUP(F1361,Tabelle1[],2))</f>
        <v>LETAJ</v>
      </c>
      <c r="C1361" s="40"/>
      <c r="D1361" s="41">
        <v>46154</v>
      </c>
      <c r="E1361" s="80"/>
      <c r="F1361" s="78">
        <v>20209</v>
      </c>
      <c r="G1361" s="43">
        <v>40.5</v>
      </c>
      <c r="H1361" s="38">
        <v>39505</v>
      </c>
      <c r="I1361" s="38">
        <v>3</v>
      </c>
      <c r="J1361" s="38">
        <v>44001</v>
      </c>
      <c r="K1361" s="38">
        <v>9</v>
      </c>
    </row>
    <row r="1362" spans="1:19" x14ac:dyDescent="0.25">
      <c r="A1362" s="39" t="str">
        <f>IF(F1362="","",VLOOKUP(F1362,Tabelle1[],3))</f>
        <v>JUNIK</v>
      </c>
      <c r="B1362" s="40" t="str">
        <f>IF(F1362="","",VLOOKUP(F1362,Tabelle1[],2))</f>
        <v>GACAFERI-RG</v>
      </c>
      <c r="C1362" s="40"/>
      <c r="D1362" s="41">
        <v>46154</v>
      </c>
      <c r="E1362" s="80"/>
      <c r="F1362" s="78">
        <v>20205</v>
      </c>
      <c r="G1362" s="43">
        <v>161.19999999999999</v>
      </c>
      <c r="H1362" s="38">
        <v>35128</v>
      </c>
      <c r="I1362" s="38">
        <v>12</v>
      </c>
      <c r="J1362" s="38">
        <v>66701</v>
      </c>
      <c r="K1362" s="38">
        <v>12</v>
      </c>
      <c r="L1362" s="38">
        <v>51612</v>
      </c>
      <c r="M1362" s="38">
        <v>12</v>
      </c>
      <c r="N1362" s="38">
        <v>50912</v>
      </c>
      <c r="O1362" s="38">
        <v>2</v>
      </c>
    </row>
    <row r="1363" spans="1:19" x14ac:dyDescent="0.25">
      <c r="A1363" s="39" t="str">
        <f>IF(F1363="","",VLOOKUP(F1363,Tabelle1[],3))</f>
        <v>GJAKOVE</v>
      </c>
      <c r="B1363" s="40" t="str">
        <f>IF(F1363="","",VLOOKUP(F1363,Tabelle1[],2))</f>
        <v>INOX 2</v>
      </c>
      <c r="C1363" s="40"/>
      <c r="D1363" s="41">
        <v>46154</v>
      </c>
      <c r="E1363" s="80"/>
      <c r="F1363" s="78">
        <v>20212</v>
      </c>
      <c r="G1363" s="43">
        <v>96</v>
      </c>
      <c r="H1363" s="38">
        <v>35110</v>
      </c>
      <c r="I1363" s="38">
        <v>12</v>
      </c>
      <c r="J1363" s="38">
        <v>35111</v>
      </c>
      <c r="K1363" s="38">
        <v>12</v>
      </c>
    </row>
    <row r="1364" spans="1:19" x14ac:dyDescent="0.25">
      <c r="A1364" s="39" t="str">
        <f>IF(F1364="","",VLOOKUP(F1364,Tabelle1[],3))</f>
        <v>GJAKOVE</v>
      </c>
      <c r="B1364" s="40" t="str">
        <f>IF(F1364="","",VLOOKUP(F1364,Tabelle1[],2))</f>
        <v>INOX 1</v>
      </c>
      <c r="C1364" s="40"/>
      <c r="D1364" s="41">
        <v>46154</v>
      </c>
      <c r="E1364" s="80"/>
      <c r="F1364" s="78">
        <v>20211</v>
      </c>
      <c r="G1364" s="43">
        <v>111</v>
      </c>
      <c r="H1364" s="38">
        <v>35111</v>
      </c>
      <c r="I1364" s="38">
        <v>12</v>
      </c>
      <c r="J1364" s="38">
        <v>35113</v>
      </c>
      <c r="K1364" s="38">
        <v>12</v>
      </c>
      <c r="L1364" s="38">
        <v>51611</v>
      </c>
      <c r="M1364" s="38">
        <v>12</v>
      </c>
    </row>
    <row r="1365" spans="1:19" x14ac:dyDescent="0.25">
      <c r="A1365" s="39" t="str">
        <f>IF(F1365="","",VLOOKUP(F1365,Tabelle1[],3))</f>
        <v>GJAKOVE</v>
      </c>
      <c r="B1365" s="40" t="str">
        <f>IF(F1365="","",VLOOKUP(F1365,Tabelle1[],2))</f>
        <v>PROSAN</v>
      </c>
      <c r="C1365" s="40"/>
      <c r="D1365" s="41">
        <v>46154</v>
      </c>
      <c r="E1365" s="80"/>
      <c r="F1365" s="78">
        <v>20210</v>
      </c>
      <c r="G1365" s="43">
        <v>174</v>
      </c>
      <c r="H1365" s="38">
        <v>35112</v>
      </c>
      <c r="I1365" s="38">
        <v>12</v>
      </c>
      <c r="J1365" s="38">
        <v>35128</v>
      </c>
      <c r="K1365" s="38">
        <v>12</v>
      </c>
      <c r="L1365" s="38">
        <v>35125</v>
      </c>
      <c r="M1365" s="38">
        <v>12</v>
      </c>
      <c r="N1365" s="38">
        <v>51611</v>
      </c>
      <c r="O1365" s="38">
        <v>24</v>
      </c>
    </row>
    <row r="1366" spans="1:19" x14ac:dyDescent="0.25">
      <c r="A1366" s="39" t="str">
        <f>IF(F1366="","",VLOOKUP(F1366,Tabelle1[],3))</f>
        <v>JUNIK</v>
      </c>
      <c r="B1366" s="40" t="str">
        <f>IF(F1366="","",VLOOKUP(F1366,Tabelle1[],2))</f>
        <v>ERENIKU</v>
      </c>
      <c r="C1366" s="40"/>
      <c r="D1366" s="41">
        <v>46154</v>
      </c>
      <c r="E1366" s="80"/>
      <c r="F1366" s="78">
        <v>20206</v>
      </c>
      <c r="G1366" s="43">
        <v>111</v>
      </c>
      <c r="H1366" s="38">
        <v>35109</v>
      </c>
      <c r="I1366" s="38">
        <v>12</v>
      </c>
      <c r="J1366" s="38">
        <v>35113</v>
      </c>
      <c r="K1366" s="38">
        <v>12</v>
      </c>
      <c r="L1366" s="38">
        <v>51611</v>
      </c>
      <c r="M1366" s="38">
        <v>12</v>
      </c>
    </row>
    <row r="1367" spans="1:19" x14ac:dyDescent="0.25">
      <c r="A1367" s="39" t="str">
        <f>IF(F1367="","",VLOOKUP(F1367,Tabelle1[],3))</f>
        <v>DEQAN</v>
      </c>
      <c r="B1367" s="40" t="str">
        <f>IF(F1367="","",VLOOKUP(F1367,Tabelle1[],2))</f>
        <v>AFRIMI-AG</v>
      </c>
      <c r="C1367" s="40"/>
      <c r="D1367" s="41">
        <v>46154</v>
      </c>
      <c r="E1367" s="80"/>
      <c r="F1367" s="78">
        <v>20203</v>
      </c>
      <c r="G1367" s="43">
        <v>117.6</v>
      </c>
      <c r="H1367" s="38">
        <v>35113</v>
      </c>
      <c r="I1367" s="38">
        <v>12</v>
      </c>
      <c r="J1367" s="38">
        <v>66701</v>
      </c>
      <c r="K1367" s="38">
        <v>12</v>
      </c>
    </row>
    <row r="1368" spans="1:19" x14ac:dyDescent="0.25">
      <c r="A1368" s="39" t="str">
        <f>IF(F1368="","",VLOOKUP(F1368,Tabelle1[],3))</f>
        <v>DEQAN</v>
      </c>
      <c r="B1368" s="40" t="str">
        <f>IF(F1368="","",VLOOKUP(F1368,Tabelle1[],2))</f>
        <v>TE BESIMI</v>
      </c>
      <c r="C1368" s="40"/>
      <c r="D1368" s="41">
        <v>46154</v>
      </c>
      <c r="E1368" s="80"/>
      <c r="F1368" s="78">
        <v>20201</v>
      </c>
      <c r="G1368" s="43">
        <v>160.6</v>
      </c>
      <c r="H1368" s="38">
        <v>35110</v>
      </c>
      <c r="I1368" s="38">
        <v>12</v>
      </c>
      <c r="J1368" s="38">
        <v>35119</v>
      </c>
      <c r="K1368" s="38">
        <v>12</v>
      </c>
      <c r="L1368" s="38">
        <v>51611</v>
      </c>
      <c r="M1368" s="38">
        <v>12</v>
      </c>
      <c r="N1368" s="38">
        <v>56117</v>
      </c>
      <c r="O1368" s="38">
        <v>4</v>
      </c>
      <c r="P1368" s="38">
        <v>54412</v>
      </c>
      <c r="Q1368" s="38">
        <v>3</v>
      </c>
      <c r="R1368" s="38">
        <v>51612</v>
      </c>
      <c r="S1368" s="38">
        <v>12</v>
      </c>
    </row>
    <row r="1369" spans="1:19" x14ac:dyDescent="0.25">
      <c r="A1369" s="39" t="str">
        <f>IF(F1369="","",VLOOKUP(F1369,Tabelle1[],3))</f>
        <v>VITI</v>
      </c>
      <c r="B1369" s="40" t="str">
        <f>IF(F1369="","",VLOOKUP(F1369,Tabelle1[],2))</f>
        <v>DARDANIA</v>
      </c>
      <c r="C1369" s="40"/>
      <c r="D1369" s="41">
        <v>46155</v>
      </c>
      <c r="E1369" s="80"/>
      <c r="F1369" s="78">
        <v>10332</v>
      </c>
      <c r="G1369" s="43">
        <v>96</v>
      </c>
      <c r="H1369" s="38">
        <v>35114</v>
      </c>
      <c r="I1369" s="38">
        <v>12</v>
      </c>
      <c r="J1369" s="38">
        <v>35115</v>
      </c>
      <c r="K1369" s="38">
        <v>12</v>
      </c>
    </row>
    <row r="1370" spans="1:19" x14ac:dyDescent="0.25">
      <c r="A1370" s="39" t="str">
        <f>IF(F1370="","",VLOOKUP(F1370,Tabelle1[],3))</f>
        <v>GJILAN</v>
      </c>
      <c r="B1370" s="40" t="str">
        <f>IF(F1370="","",VLOOKUP(F1370,Tabelle1[],2))</f>
        <v>BASHKIMI</v>
      </c>
      <c r="C1370" s="40"/>
      <c r="D1370" s="41">
        <v>46155</v>
      </c>
      <c r="E1370" s="80"/>
      <c r="F1370" s="78">
        <v>10315</v>
      </c>
      <c r="G1370" s="43">
        <v>86.4</v>
      </c>
      <c r="H1370" s="38">
        <v>50912</v>
      </c>
      <c r="I1370" s="38">
        <v>12</v>
      </c>
    </row>
    <row r="1371" spans="1:19" x14ac:dyDescent="0.25">
      <c r="A1371" s="39" t="str">
        <f>IF(F1371="","",VLOOKUP(F1371,Tabelle1[],3))</f>
        <v>VITI</v>
      </c>
      <c r="B1371" s="40" t="str">
        <f>IF(F1371="","",VLOOKUP(F1371,Tabelle1[],2))</f>
        <v>BALLKANI</v>
      </c>
      <c r="C1371" s="40"/>
      <c r="D1371" s="41">
        <v>46155</v>
      </c>
      <c r="E1371" s="80"/>
      <c r="F1371" s="78">
        <v>10350</v>
      </c>
      <c r="G1371" s="43">
        <v>288</v>
      </c>
      <c r="H1371" s="38">
        <v>35121</v>
      </c>
      <c r="I1371" s="38">
        <v>48</v>
      </c>
      <c r="J1371" s="38">
        <v>35113</v>
      </c>
      <c r="K1371" s="38">
        <v>12</v>
      </c>
      <c r="L1371" s="38">
        <v>35119</v>
      </c>
      <c r="M1371" s="38">
        <v>12</v>
      </c>
    </row>
    <row r="1372" spans="1:19" x14ac:dyDescent="0.25">
      <c r="A1372" s="39" t="str">
        <f>IF(F1372="","",VLOOKUP(F1372,Tabelle1[],3))</f>
        <v>POZHARAN</v>
      </c>
      <c r="B1372" s="40" t="str">
        <f>IF(F1372="","",VLOOKUP(F1372,Tabelle1[],2))</f>
        <v>BURIMI</v>
      </c>
      <c r="C1372" s="40"/>
      <c r="D1372" s="41">
        <v>46155</v>
      </c>
      <c r="E1372" s="80"/>
      <c r="F1372" s="78">
        <v>10330</v>
      </c>
      <c r="G1372" s="43">
        <v>144</v>
      </c>
      <c r="H1372" s="38">
        <v>35112</v>
      </c>
      <c r="I1372" s="38">
        <v>12</v>
      </c>
      <c r="J1372" s="38">
        <v>35113</v>
      </c>
      <c r="K1372" s="38">
        <v>12</v>
      </c>
      <c r="L1372" s="38">
        <v>35121</v>
      </c>
      <c r="M1372" s="38">
        <v>12</v>
      </c>
    </row>
    <row r="1373" spans="1:19" x14ac:dyDescent="0.25">
      <c r="A1373" s="39" t="str">
        <f>IF(F1373="","",VLOOKUP(F1373,Tabelle1[],3))</f>
        <v>GJILAN</v>
      </c>
      <c r="B1373" s="40" t="str">
        <f>IF(F1373="","",VLOOKUP(F1373,Tabelle1[],2))</f>
        <v>AME</v>
      </c>
      <c r="C1373" s="40"/>
      <c r="D1373" s="41">
        <v>46155</v>
      </c>
      <c r="E1373" s="80"/>
      <c r="F1373" s="78">
        <v>10346</v>
      </c>
      <c r="G1373" s="43">
        <v>46.2</v>
      </c>
      <c r="H1373" s="38">
        <v>35109</v>
      </c>
      <c r="I1373" s="38">
        <v>12</v>
      </c>
    </row>
    <row r="1374" spans="1:19" x14ac:dyDescent="0.25">
      <c r="A1374" s="39" t="str">
        <f>IF(F1374="","",VLOOKUP(F1374,Tabelle1[],3))</f>
        <v>VITI</v>
      </c>
      <c r="B1374" s="40" t="str">
        <f>IF(F1374="","",VLOOKUP(F1374,Tabelle1[],2))</f>
        <v>PARKETI</v>
      </c>
      <c r="C1374" s="40"/>
      <c r="D1374" s="41">
        <v>46155</v>
      </c>
      <c r="E1374" s="80"/>
      <c r="F1374" s="78">
        <v>10325</v>
      </c>
      <c r="G1374" s="43">
        <v>63</v>
      </c>
      <c r="H1374" s="38">
        <v>35125</v>
      </c>
      <c r="I1374" s="38">
        <v>12</v>
      </c>
      <c r="J1374" s="38">
        <v>51611</v>
      </c>
      <c r="K1374" s="38">
        <v>12</v>
      </c>
    </row>
    <row r="1375" spans="1:19" x14ac:dyDescent="0.25">
      <c r="A1375" s="39" t="str">
        <f>IF(F1375="","",VLOOKUP(F1375,Tabelle1[],3))</f>
        <v>GJILAN</v>
      </c>
      <c r="B1375" s="40" t="str">
        <f>IF(F1375="","",VLOOKUP(F1375,Tabelle1[],2))</f>
        <v>GLOBAL NT</v>
      </c>
      <c r="C1375" s="40"/>
      <c r="D1375" s="41">
        <v>46155</v>
      </c>
      <c r="E1375" s="80"/>
      <c r="F1375" s="78">
        <v>10360</v>
      </c>
      <c r="G1375" s="43">
        <v>111</v>
      </c>
      <c r="H1375" s="38">
        <v>35115</v>
      </c>
      <c r="I1375" s="38">
        <v>12</v>
      </c>
      <c r="J1375" s="38">
        <v>35119</v>
      </c>
      <c r="K1375" s="38">
        <v>12</v>
      </c>
      <c r="L1375" s="38">
        <v>51611</v>
      </c>
      <c r="M1375" s="38">
        <v>12</v>
      </c>
    </row>
    <row r="1376" spans="1:19" x14ac:dyDescent="0.25">
      <c r="A1376" s="39" t="str">
        <f>IF(F1376="","",VLOOKUP(F1376,Tabelle1[],3))</f>
        <v>VITI</v>
      </c>
      <c r="B1376" s="40" t="str">
        <f>IF(F1376="","",VLOOKUP(F1376,Tabelle1[],2))</f>
        <v>SMIRA COLOR</v>
      </c>
      <c r="C1376" s="40"/>
      <c r="D1376" s="41">
        <v>46155</v>
      </c>
      <c r="E1376" s="80"/>
      <c r="F1376" s="78">
        <v>10367</v>
      </c>
      <c r="G1376" s="43">
        <v>48</v>
      </c>
      <c r="H1376" s="38">
        <v>35113</v>
      </c>
      <c r="I1376" s="38">
        <v>12</v>
      </c>
    </row>
    <row r="1377" spans="1:23" x14ac:dyDescent="0.25">
      <c r="A1377" s="39" t="str">
        <f>IF(F1377="","",VLOOKUP(F1377,Tabelle1[],3))</f>
        <v>GJILAN</v>
      </c>
      <c r="B1377" s="40" t="str">
        <f>IF(F1377="","",VLOOKUP(F1377,Tabelle1[],2))</f>
        <v>IBAK</v>
      </c>
      <c r="C1377" s="40"/>
      <c r="D1377" s="41">
        <v>46155</v>
      </c>
      <c r="E1377" s="80"/>
      <c r="F1377" s="78">
        <v>10340</v>
      </c>
      <c r="G1377" s="43">
        <v>144</v>
      </c>
      <c r="H1377" s="38">
        <v>35121</v>
      </c>
      <c r="I1377" s="38">
        <v>36</v>
      </c>
    </row>
    <row r="1378" spans="1:23" x14ac:dyDescent="0.25">
      <c r="A1378" s="39" t="str">
        <f>IF(F1378="","",VLOOKUP(F1378,Tabelle1[],3))</f>
        <v>GJILAN</v>
      </c>
      <c r="B1378" s="40" t="str">
        <f>IF(F1378="","",VLOOKUP(F1378,Tabelle1[],2))</f>
        <v>BEKA-3</v>
      </c>
      <c r="C1378" s="40"/>
      <c r="D1378" s="41">
        <v>46155</v>
      </c>
      <c r="E1378" s="80"/>
      <c r="F1378" s="78">
        <v>10323</v>
      </c>
      <c r="G1378" s="43">
        <v>86.4</v>
      </c>
      <c r="H1378" s="38">
        <v>50912</v>
      </c>
      <c r="I1378" s="38">
        <v>12</v>
      </c>
    </row>
    <row r="1379" spans="1:23" x14ac:dyDescent="0.25">
      <c r="A1379" s="39" t="str">
        <f>IF(F1379="","",VLOOKUP(F1379,Tabelle1[],3))</f>
        <v>GJILAN</v>
      </c>
      <c r="B1379" s="40" t="str">
        <f>IF(F1379="","",VLOOKUP(F1379,Tabelle1[],2))</f>
        <v>TREND CERAMIKA</v>
      </c>
      <c r="C1379" s="40"/>
      <c r="D1379" s="41">
        <v>46155</v>
      </c>
      <c r="E1379" s="80"/>
      <c r="F1379" s="78">
        <v>10353</v>
      </c>
      <c r="G1379" s="43">
        <v>96</v>
      </c>
      <c r="H1379" s="38">
        <v>35109</v>
      </c>
      <c r="I1379" s="38">
        <v>24</v>
      </c>
    </row>
    <row r="1380" spans="1:23" x14ac:dyDescent="0.25">
      <c r="A1380" s="39" t="str">
        <f>IF(F1380="","",VLOOKUP(F1380,Tabelle1[],3))</f>
        <v>MALISHEVE</v>
      </c>
      <c r="B1380" s="40" t="str">
        <f>IF(F1380="","",VLOOKUP(F1380,Tabelle1[],2))</f>
        <v>HAZROLLI</v>
      </c>
      <c r="C1380" s="40"/>
      <c r="D1380" s="41">
        <v>46155</v>
      </c>
      <c r="E1380" s="80"/>
      <c r="F1380" s="78">
        <v>20301</v>
      </c>
      <c r="G1380" s="43">
        <v>96</v>
      </c>
      <c r="H1380" s="38">
        <v>35128</v>
      </c>
      <c r="I1380" s="38">
        <v>24</v>
      </c>
    </row>
    <row r="1381" spans="1:23" x14ac:dyDescent="0.25">
      <c r="A1381" s="39" t="str">
        <f>IF(F1381="","",VLOOKUP(F1381,Tabelle1[],3))</f>
        <v>RAHOVEC</v>
      </c>
      <c r="B1381" s="40" t="str">
        <f>IF(F1381="","",VLOOKUP(F1381,Tabelle1[],2))</f>
        <v>CONDOR</v>
      </c>
      <c r="C1381" s="40"/>
      <c r="D1381" s="41">
        <v>46155</v>
      </c>
      <c r="E1381" s="80"/>
      <c r="F1381" s="78">
        <v>20307</v>
      </c>
      <c r="G1381" s="43">
        <v>325.8</v>
      </c>
      <c r="H1381" s="38">
        <v>35110</v>
      </c>
      <c r="I1381" s="38">
        <v>12</v>
      </c>
      <c r="J1381" s="38">
        <v>35111</v>
      </c>
      <c r="K1381" s="38">
        <v>12</v>
      </c>
      <c r="L1381" s="38">
        <v>35115</v>
      </c>
      <c r="M1381" s="38">
        <v>12</v>
      </c>
      <c r="N1381" s="38">
        <v>35119</v>
      </c>
      <c r="O1381" s="38">
        <v>12</v>
      </c>
      <c r="P1381" s="38">
        <v>51612</v>
      </c>
      <c r="Q1381" s="38">
        <v>36</v>
      </c>
      <c r="R1381" s="38">
        <v>51936</v>
      </c>
      <c r="S1381" s="38">
        <v>6</v>
      </c>
      <c r="T1381" s="38">
        <v>31818</v>
      </c>
      <c r="U1381" s="38">
        <v>6</v>
      </c>
      <c r="V1381" s="38">
        <v>44001</v>
      </c>
      <c r="W1381" s="38">
        <v>6</v>
      </c>
    </row>
    <row r="1382" spans="1:23" x14ac:dyDescent="0.25">
      <c r="A1382" s="39" t="str">
        <f>IF(F1382="","",VLOOKUP(F1382,Tabelle1[],3))</f>
        <v>MALISHEVE</v>
      </c>
      <c r="B1382" s="40" t="str">
        <f>IF(F1382="","",VLOOKUP(F1382,Tabelle1[],2))</f>
        <v>BEREQETI</v>
      </c>
      <c r="C1382" s="40"/>
      <c r="D1382" s="41">
        <v>46155</v>
      </c>
      <c r="E1382" s="80"/>
      <c r="F1382" s="78">
        <v>20321</v>
      </c>
      <c r="G1382" s="43">
        <v>213.6</v>
      </c>
      <c r="H1382" s="38">
        <v>51612</v>
      </c>
      <c r="I1382" s="38">
        <v>72</v>
      </c>
      <c r="J1382" s="38">
        <v>35121</v>
      </c>
      <c r="K1382" s="38">
        <v>12</v>
      </c>
    </row>
    <row r="1383" spans="1:23" x14ac:dyDescent="0.25">
      <c r="A1383" s="39" t="str">
        <f>IF(F1383="","",VLOOKUP(F1383,Tabelle1[],3))</f>
        <v>MALISHEVE</v>
      </c>
      <c r="B1383" s="40" t="str">
        <f>IF(F1383="","",VLOOKUP(F1383,Tabelle1[],2))</f>
        <v>BARDHI-M</v>
      </c>
      <c r="C1383" s="40"/>
      <c r="D1383" s="41">
        <v>46155</v>
      </c>
      <c r="E1383" s="80"/>
      <c r="F1383" s="78">
        <v>20331</v>
      </c>
      <c r="G1383" s="43">
        <v>96</v>
      </c>
      <c r="H1383" s="38">
        <v>35111</v>
      </c>
      <c r="I1383" s="38">
        <v>12</v>
      </c>
      <c r="J1383" s="38">
        <v>35128</v>
      </c>
      <c r="K1383" s="38">
        <v>12</v>
      </c>
    </row>
    <row r="1384" spans="1:23" x14ac:dyDescent="0.25">
      <c r="A1384" s="39" t="str">
        <f>IF(F1384="","",VLOOKUP(F1384,Tabelle1[],3))</f>
        <v>MALISHEVE</v>
      </c>
      <c r="B1384" s="40" t="str">
        <f>IF(F1384="","",VLOOKUP(F1384,Tabelle1[],2))</f>
        <v>NITA 3</v>
      </c>
      <c r="C1384" s="40"/>
      <c r="D1384" s="41">
        <v>46155</v>
      </c>
      <c r="E1384" s="80"/>
      <c r="F1384" s="78">
        <v>20303</v>
      </c>
      <c r="G1384" s="43">
        <v>111</v>
      </c>
      <c r="H1384" s="38">
        <v>35113</v>
      </c>
      <c r="I1384" s="38">
        <v>12</v>
      </c>
      <c r="J1384" s="38">
        <v>35115</v>
      </c>
      <c r="K1384" s="38">
        <v>12</v>
      </c>
      <c r="L1384" s="38">
        <v>51611</v>
      </c>
      <c r="M1384" s="38">
        <v>12</v>
      </c>
    </row>
    <row r="1385" spans="1:23" x14ac:dyDescent="0.25">
      <c r="A1385" s="39" t="str">
        <f>IF(F1385="","",VLOOKUP(F1385,Tabelle1[],3))</f>
        <v>RAHOVEC</v>
      </c>
      <c r="B1385" s="40" t="str">
        <f>IF(F1385="","",VLOOKUP(F1385,Tabelle1[],2))</f>
        <v>DURGUTI 3</v>
      </c>
      <c r="C1385" s="40"/>
      <c r="D1385" s="41">
        <v>46155</v>
      </c>
      <c r="E1385" s="80"/>
      <c r="F1385" s="78">
        <v>20313</v>
      </c>
      <c r="G1385" s="43">
        <v>171.6</v>
      </c>
      <c r="H1385" s="38">
        <v>35110</v>
      </c>
      <c r="I1385" s="38">
        <v>12</v>
      </c>
      <c r="J1385" s="38">
        <v>35111</v>
      </c>
      <c r="K1385" s="38">
        <v>12</v>
      </c>
      <c r="L1385" s="38">
        <v>35128</v>
      </c>
      <c r="M1385" s="38">
        <v>12</v>
      </c>
      <c r="N1385" s="38">
        <v>51612</v>
      </c>
      <c r="O1385" s="38">
        <v>12</v>
      </c>
    </row>
    <row r="1386" spans="1:23" x14ac:dyDescent="0.25">
      <c r="A1386" s="39" t="str">
        <f>IF(F1386="","",VLOOKUP(F1386,Tabelle1[],3))</f>
        <v>MALISHEVE</v>
      </c>
      <c r="B1386" s="40" t="str">
        <f>IF(F1386="","",VLOOKUP(F1386,Tabelle1[],2))</f>
        <v>ARTURI</v>
      </c>
      <c r="C1386" s="40"/>
      <c r="D1386" s="41">
        <v>46155</v>
      </c>
      <c r="E1386" s="80"/>
      <c r="F1386" s="78">
        <v>20328</v>
      </c>
      <c r="G1386" s="43">
        <v>192</v>
      </c>
      <c r="H1386" s="38">
        <v>35111</v>
      </c>
      <c r="I1386" s="38">
        <v>12</v>
      </c>
      <c r="J1386" s="38">
        <v>35115</v>
      </c>
      <c r="K1386" s="38">
        <v>12</v>
      </c>
      <c r="L1386" s="38">
        <v>35125</v>
      </c>
      <c r="M1386" s="38">
        <v>12</v>
      </c>
      <c r="N1386" s="38">
        <v>35112</v>
      </c>
      <c r="O1386" s="38">
        <v>12</v>
      </c>
    </row>
    <row r="1387" spans="1:23" x14ac:dyDescent="0.25">
      <c r="A1387" s="39" t="str">
        <f>IF(F1387="","",VLOOKUP(F1387,Tabelle1[],3))</f>
        <v>RAHOVEC</v>
      </c>
      <c r="B1387" s="40" t="str">
        <f>IF(F1387="","",VLOOKUP(F1387,Tabelle1[],2))</f>
        <v>SHEHU-A</v>
      </c>
      <c r="C1387" s="40"/>
      <c r="D1387" s="41">
        <v>46155</v>
      </c>
      <c r="E1387" s="80"/>
      <c r="F1387" s="78">
        <v>20317</v>
      </c>
      <c r="G1387" s="43">
        <v>33</v>
      </c>
      <c r="H1387" s="38">
        <v>44001</v>
      </c>
      <c r="I1387" s="38">
        <v>6</v>
      </c>
      <c r="J1387" s="38">
        <v>49644</v>
      </c>
      <c r="K1387" s="38">
        <v>6</v>
      </c>
    </row>
    <row r="1388" spans="1:23" x14ac:dyDescent="0.25">
      <c r="A1388" s="39" t="str">
        <f>IF(F1388="","",VLOOKUP(F1388,Tabelle1[],3))</f>
        <v>RAHOVEC</v>
      </c>
      <c r="B1388" s="40" t="str">
        <f>IF(F1388="","",VLOOKUP(F1388,Tabelle1[],2))</f>
        <v>URA</v>
      </c>
      <c r="C1388" s="40"/>
      <c r="D1388" s="41">
        <v>46155</v>
      </c>
      <c r="E1388" s="80"/>
      <c r="F1388" s="78">
        <v>20314</v>
      </c>
      <c r="G1388" s="43">
        <v>48</v>
      </c>
      <c r="H1388" s="38">
        <v>35109</v>
      </c>
      <c r="I1388" s="38">
        <v>12</v>
      </c>
    </row>
    <row r="1389" spans="1:23" x14ac:dyDescent="0.25">
      <c r="A1389" s="39" t="str">
        <f>IF(F1389="","",VLOOKUP(F1389,Tabelle1[],3))</f>
        <v>VUSHTRRI</v>
      </c>
      <c r="B1389" s="40" t="str">
        <f>IF(F1389="","",VLOOKUP(F1389,Tabelle1[],2))</f>
        <v>SAN KOS</v>
      </c>
      <c r="C1389" s="40"/>
      <c r="D1389" s="41">
        <v>46156</v>
      </c>
      <c r="E1389" s="80"/>
      <c r="F1389" s="78">
        <v>10429</v>
      </c>
      <c r="G1389" s="43">
        <v>48</v>
      </c>
      <c r="H1389" s="38">
        <v>35113</v>
      </c>
      <c r="I1389" s="38">
        <v>12</v>
      </c>
    </row>
    <row r="1390" spans="1:23" x14ac:dyDescent="0.25">
      <c r="A1390" s="39" t="str">
        <f>IF(F1390="","",VLOOKUP(F1390,Tabelle1[],3))</f>
        <v>MITROVICE</v>
      </c>
      <c r="B1390" s="40" t="str">
        <f>IF(F1390="","",VLOOKUP(F1390,Tabelle1[],2))</f>
        <v>GRANITI</v>
      </c>
      <c r="C1390" s="40"/>
      <c r="D1390" s="41">
        <v>46156</v>
      </c>
      <c r="E1390" s="80"/>
      <c r="F1390" s="78">
        <v>10410</v>
      </c>
      <c r="G1390" s="43">
        <v>27.6</v>
      </c>
      <c r="H1390" s="38">
        <v>51612</v>
      </c>
      <c r="I1390" s="38">
        <v>12</v>
      </c>
    </row>
    <row r="1391" spans="1:23" x14ac:dyDescent="0.25">
      <c r="A1391" s="39" t="str">
        <f>IF(F1391="","",VLOOKUP(F1391,Tabelle1[],3))</f>
        <v>VUSHTRRI</v>
      </c>
      <c r="B1391" s="40" t="str">
        <f>IF(F1391="","",VLOOKUP(F1391,Tabelle1[],2))</f>
        <v>DRCOR</v>
      </c>
      <c r="C1391" s="40"/>
      <c r="D1391" s="41">
        <v>46156</v>
      </c>
      <c r="E1391" s="80"/>
      <c r="F1391" s="78">
        <v>10401</v>
      </c>
      <c r="G1391" s="43">
        <v>192</v>
      </c>
      <c r="H1391" s="38">
        <v>35109</v>
      </c>
      <c r="I1391" s="38">
        <v>48</v>
      </c>
    </row>
    <row r="1392" spans="1:23" x14ac:dyDescent="0.25">
      <c r="A1392" s="39" t="str">
        <f>IF(F1392="","",VLOOKUP(F1392,Tabelle1[],3))</f>
        <v>MITROVICE</v>
      </c>
      <c r="B1392" s="40" t="str">
        <f>IF(F1392="","",VLOOKUP(F1392,Tabelle1[],2))</f>
        <v>UNIVERZAL</v>
      </c>
      <c r="C1392" s="40"/>
      <c r="D1392" s="41">
        <v>46156</v>
      </c>
      <c r="E1392" s="80"/>
      <c r="F1392" s="78">
        <v>10413</v>
      </c>
      <c r="G1392" s="43">
        <v>128.5</v>
      </c>
      <c r="H1392" s="38">
        <v>35128</v>
      </c>
      <c r="I1392" s="38">
        <v>24</v>
      </c>
      <c r="J1392" s="38">
        <v>51611</v>
      </c>
      <c r="K1392" s="38">
        <v>12</v>
      </c>
      <c r="L1392" s="38">
        <v>44001</v>
      </c>
      <c r="M1392" s="38">
        <v>5</v>
      </c>
    </row>
    <row r="1393" spans="1:19" x14ac:dyDescent="0.25">
      <c r="A1393" s="39" t="str">
        <f>IF(F1393="","",VLOOKUP(F1393,Tabelle1[],3))</f>
        <v>MITROVICE</v>
      </c>
      <c r="B1393" s="40" t="str">
        <f>IF(F1393="","",VLOOKUP(F1393,Tabelle1[],2))</f>
        <v>VISARI HH</v>
      </c>
      <c r="C1393" s="40"/>
      <c r="D1393" s="41">
        <v>46156</v>
      </c>
      <c r="E1393" s="80"/>
      <c r="F1393" s="78">
        <v>10412</v>
      </c>
      <c r="G1393" s="43">
        <v>96</v>
      </c>
      <c r="H1393" s="38">
        <v>35113</v>
      </c>
      <c r="I1393" s="38">
        <v>12</v>
      </c>
      <c r="J1393" s="38">
        <v>35121</v>
      </c>
      <c r="K1393" s="38">
        <v>12</v>
      </c>
    </row>
    <row r="1394" spans="1:19" x14ac:dyDescent="0.25">
      <c r="A1394" s="39" t="str">
        <f>IF(F1394="","",VLOOKUP(F1394,Tabelle1[],3))</f>
        <v>LIPJAN</v>
      </c>
      <c r="B1394" s="40" t="str">
        <f>IF(F1394="","",VLOOKUP(F1394,Tabelle1[],2))</f>
        <v>ARDI LIPJAN</v>
      </c>
      <c r="C1394" s="40"/>
      <c r="D1394" s="41">
        <v>46157</v>
      </c>
      <c r="E1394" s="80"/>
      <c r="F1394" s="78">
        <v>10529</v>
      </c>
      <c r="G1394" s="43">
        <v>24.5</v>
      </c>
      <c r="H1394" s="38">
        <v>55718</v>
      </c>
      <c r="I1394" s="38">
        <v>4</v>
      </c>
      <c r="J1394" s="38">
        <v>44001</v>
      </c>
      <c r="K1394" s="38">
        <v>3</v>
      </c>
    </row>
    <row r="1395" spans="1:19" x14ac:dyDescent="0.25">
      <c r="A1395" s="39" t="str">
        <f>IF(F1395="","",VLOOKUP(F1395,Tabelle1[],3))</f>
        <v>FERIZAJ</v>
      </c>
      <c r="B1395" s="40" t="str">
        <f>IF(F1395="","",VLOOKUP(F1395,Tabelle1[],2))</f>
        <v>CARRALEVA 2</v>
      </c>
      <c r="C1395" s="40"/>
      <c r="D1395" s="41">
        <v>46157</v>
      </c>
      <c r="E1395" s="80"/>
      <c r="F1395" s="78">
        <v>10508</v>
      </c>
      <c r="G1395" s="43">
        <v>96</v>
      </c>
      <c r="H1395" s="38">
        <v>35109</v>
      </c>
      <c r="I1395" s="38">
        <v>12</v>
      </c>
      <c r="J1395" s="38">
        <v>35110</v>
      </c>
      <c r="K1395" s="38">
        <v>12</v>
      </c>
    </row>
    <row r="1396" spans="1:19" x14ac:dyDescent="0.25">
      <c r="A1396" s="39" t="str">
        <f>IF(F1396="","",VLOOKUP(F1396,Tabelle1[],3))</f>
        <v>FERIZAJ</v>
      </c>
      <c r="B1396" s="40" t="str">
        <f>IF(F1396="","",VLOOKUP(F1396,Tabelle1[],2))</f>
        <v>REAL COLOR 2</v>
      </c>
      <c r="C1396" s="40"/>
      <c r="D1396" s="41">
        <v>46157</v>
      </c>
      <c r="E1396" s="80"/>
      <c r="F1396" s="78">
        <v>10507</v>
      </c>
      <c r="G1396" s="43">
        <v>144</v>
      </c>
      <c r="H1396" s="38">
        <v>35121</v>
      </c>
      <c r="I1396" s="38">
        <v>12</v>
      </c>
      <c r="J1396" s="38">
        <v>35125</v>
      </c>
      <c r="K1396" s="38">
        <v>12</v>
      </c>
      <c r="L1396" s="38">
        <v>35115</v>
      </c>
      <c r="M1396" s="38">
        <v>12</v>
      </c>
    </row>
    <row r="1397" spans="1:19" x14ac:dyDescent="0.25">
      <c r="A1397" s="39" t="str">
        <f>IF(F1397="","",VLOOKUP(F1397,Tabelle1[],3))</f>
        <v>FERIZAJ</v>
      </c>
      <c r="B1397" s="40" t="str">
        <f>IF(F1397="","",VLOOKUP(F1397,Tabelle1[],2))</f>
        <v>LITA</v>
      </c>
      <c r="C1397" s="40"/>
      <c r="D1397" s="41">
        <v>46157</v>
      </c>
      <c r="E1397" s="80"/>
      <c r="F1397" s="78">
        <v>10542</v>
      </c>
      <c r="G1397" s="43">
        <v>96</v>
      </c>
      <c r="H1397" s="38">
        <v>35111</v>
      </c>
      <c r="I1397" s="38">
        <v>12</v>
      </c>
      <c r="J1397" s="38">
        <v>35112</v>
      </c>
      <c r="K1397" s="38">
        <v>12</v>
      </c>
    </row>
    <row r="1398" spans="1:19" x14ac:dyDescent="0.25">
      <c r="A1398" s="39" t="str">
        <f>IF(F1398="","",VLOOKUP(F1398,Tabelle1[],3))</f>
        <v>FERIZAJ</v>
      </c>
      <c r="B1398" s="40" t="str">
        <f>IF(F1398="","",VLOOKUP(F1398,Tabelle1[],2))</f>
        <v>BEKA</v>
      </c>
      <c r="C1398" s="40"/>
      <c r="D1398" s="41">
        <v>46157</v>
      </c>
      <c r="E1398" s="80"/>
      <c r="F1398" s="78">
        <v>10539</v>
      </c>
      <c r="G1398" s="43">
        <v>48</v>
      </c>
      <c r="H1398" s="38">
        <v>35121</v>
      </c>
      <c r="I1398" s="38">
        <v>12</v>
      </c>
    </row>
    <row r="1399" spans="1:19" x14ac:dyDescent="0.25">
      <c r="A1399" s="39" t="str">
        <f>IF(F1399="","",VLOOKUP(F1399,Tabelle1[],3))</f>
        <v>FERIZAJ</v>
      </c>
      <c r="B1399" s="40" t="str">
        <f>IF(F1399="","",VLOOKUP(F1399,Tabelle1[],2))</f>
        <v>LONI</v>
      </c>
      <c r="C1399" s="40"/>
      <c r="D1399" s="41">
        <v>46157</v>
      </c>
      <c r="E1399" s="80"/>
      <c r="F1399" s="78">
        <v>10509</v>
      </c>
      <c r="G1399" s="43">
        <v>48</v>
      </c>
      <c r="H1399" s="38">
        <v>50912</v>
      </c>
      <c r="I1399" s="38">
        <v>5</v>
      </c>
      <c r="J1399" s="38">
        <v>49644</v>
      </c>
      <c r="K1399" s="38">
        <v>6</v>
      </c>
    </row>
    <row r="1400" spans="1:19" x14ac:dyDescent="0.25">
      <c r="A1400" s="39" t="str">
        <f>IF(F1400="","",VLOOKUP(F1400,Tabelle1[],3))</f>
        <v>FERIZAJ</v>
      </c>
      <c r="B1400" s="40" t="str">
        <f>IF(F1400="","",VLOOKUP(F1400,Tabelle1[],2))</f>
        <v>CARRALEVA 1</v>
      </c>
      <c r="C1400" s="40"/>
      <c r="D1400" s="41">
        <v>46157</v>
      </c>
      <c r="E1400" s="80"/>
      <c r="F1400" s="78">
        <v>10504</v>
      </c>
      <c r="G1400" s="43">
        <v>144</v>
      </c>
      <c r="H1400" s="38">
        <v>35113</v>
      </c>
      <c r="I1400" s="38">
        <v>12</v>
      </c>
      <c r="J1400" s="38">
        <v>35121</v>
      </c>
      <c r="K1400" s="38">
        <v>12</v>
      </c>
      <c r="L1400" s="38">
        <v>35109</v>
      </c>
      <c r="M1400" s="38">
        <v>12</v>
      </c>
    </row>
    <row r="1401" spans="1:19" x14ac:dyDescent="0.25">
      <c r="A1401" s="39" t="str">
        <f>IF(F1401="","",VLOOKUP(F1401,Tabelle1[],3))</f>
        <v>HOME KIM TEC</v>
      </c>
      <c r="B1401" s="40" t="str">
        <f>IF(F1401="","",VLOOKUP(F1401,Tabelle1[],2))</f>
        <v>ARBENI BIOBLIC</v>
      </c>
      <c r="C1401" s="40"/>
      <c r="D1401" s="41">
        <v>46157</v>
      </c>
      <c r="E1401" s="80"/>
      <c r="F1401" s="78">
        <v>40003</v>
      </c>
      <c r="G1401" s="43">
        <v>319.5</v>
      </c>
      <c r="H1401" s="38">
        <v>20001</v>
      </c>
      <c r="I1401" s="38">
        <v>190</v>
      </c>
      <c r="J1401" s="38">
        <v>30275</v>
      </c>
      <c r="K1401" s="38">
        <v>60</v>
      </c>
    </row>
    <row r="1402" spans="1:19" x14ac:dyDescent="0.25">
      <c r="A1402" s="39" t="str">
        <f>IF(F1402="","",VLOOKUP(F1402,Tabelle1[],3))</f>
        <v>KLINE</v>
      </c>
      <c r="B1402" s="40" t="str">
        <f>IF(F1402="","",VLOOKUP(F1402,Tabelle1[],2))</f>
        <v>RACI</v>
      </c>
      <c r="C1402" s="40"/>
      <c r="D1402" s="41">
        <v>46157</v>
      </c>
      <c r="E1402" s="80"/>
      <c r="F1402" s="78">
        <v>20501</v>
      </c>
      <c r="G1402" s="43">
        <v>218</v>
      </c>
      <c r="H1402" s="38">
        <v>35108</v>
      </c>
      <c r="I1402" s="38">
        <v>12</v>
      </c>
      <c r="J1402" s="38">
        <v>35110</v>
      </c>
      <c r="K1402" s="38">
        <v>12</v>
      </c>
      <c r="L1402" s="38">
        <v>35113</v>
      </c>
      <c r="M1402" s="38">
        <v>12</v>
      </c>
      <c r="N1402" s="38">
        <v>35128</v>
      </c>
      <c r="O1402" s="38">
        <v>12</v>
      </c>
      <c r="P1402" s="38">
        <v>44001</v>
      </c>
      <c r="Q1402" s="38">
        <v>4</v>
      </c>
      <c r="R1402" s="38">
        <v>39505</v>
      </c>
      <c r="S1402" s="38">
        <v>4</v>
      </c>
    </row>
    <row r="1403" spans="1:19" x14ac:dyDescent="0.25">
      <c r="A1403" s="39" t="str">
        <f>IF(F1403="","",VLOOKUP(F1403,Tabelle1[],3))</f>
        <v>ISTOG</v>
      </c>
      <c r="B1403" s="40" t="str">
        <f>IF(F1403="","",VLOOKUP(F1403,Tabelle1[],2))</f>
        <v>LIRIDONA KLINE</v>
      </c>
      <c r="C1403" s="40"/>
      <c r="D1403" s="41">
        <v>46157</v>
      </c>
      <c r="E1403" s="80"/>
      <c r="F1403" s="78">
        <v>20511</v>
      </c>
      <c r="G1403" s="43">
        <v>384</v>
      </c>
      <c r="H1403" s="38">
        <v>35109</v>
      </c>
      <c r="I1403" s="38">
        <v>24</v>
      </c>
      <c r="J1403" s="38">
        <v>35121</v>
      </c>
      <c r="K1403" s="38">
        <v>24</v>
      </c>
      <c r="L1403" s="38">
        <v>35115</v>
      </c>
      <c r="M1403" s="38">
        <v>24</v>
      </c>
      <c r="N1403" s="38">
        <v>35110</v>
      </c>
      <c r="O1403" s="38">
        <v>12</v>
      </c>
      <c r="P1403" s="38">
        <v>35128</v>
      </c>
      <c r="Q1403" s="38">
        <v>12</v>
      </c>
    </row>
    <row r="1404" spans="1:19" x14ac:dyDescent="0.25">
      <c r="A1404" s="39" t="str">
        <f>IF(F1404="","",VLOOKUP(F1404,Tabelle1[],3))</f>
        <v>KLINE</v>
      </c>
      <c r="B1404" s="40" t="str">
        <f>IF(F1404="","",VLOOKUP(F1404,Tabelle1[],2))</f>
        <v>HOXHA</v>
      </c>
      <c r="C1404" s="40"/>
      <c r="D1404" s="41">
        <v>46157</v>
      </c>
      <c r="E1404" s="80"/>
      <c r="F1404" s="78">
        <v>20502</v>
      </c>
      <c r="G1404" s="43">
        <v>48</v>
      </c>
      <c r="H1404" s="38">
        <v>35110</v>
      </c>
      <c r="I1404" s="38">
        <v>12</v>
      </c>
    </row>
    <row r="1405" spans="1:19" x14ac:dyDescent="0.25">
      <c r="A1405" s="39" t="str">
        <f>IF(F1405="","",VLOOKUP(F1405,Tabelle1[],3))</f>
        <v>ISTOG</v>
      </c>
      <c r="B1405" s="40" t="str">
        <f>IF(F1405="","",VLOOKUP(F1405,Tabelle1[],2))</f>
        <v>LIRIDONA HOME</v>
      </c>
      <c r="C1405" s="40"/>
      <c r="D1405" s="41">
        <v>46157</v>
      </c>
      <c r="E1405" s="80"/>
      <c r="F1405" s="78">
        <v>20508</v>
      </c>
      <c r="G1405" s="43">
        <v>468.6</v>
      </c>
      <c r="H1405" s="38">
        <v>35109</v>
      </c>
      <c r="I1405" s="38">
        <v>48</v>
      </c>
      <c r="J1405" s="38">
        <v>35121</v>
      </c>
      <c r="K1405" s="38">
        <v>24</v>
      </c>
      <c r="L1405" s="38">
        <v>35110</v>
      </c>
      <c r="M1405" s="38">
        <v>12</v>
      </c>
      <c r="N1405" s="38">
        <v>35128</v>
      </c>
      <c r="O1405" s="38">
        <v>12</v>
      </c>
      <c r="P1405" s="38">
        <v>66701</v>
      </c>
      <c r="Q1405" s="38">
        <v>12</v>
      </c>
      <c r="R1405" s="38">
        <v>51611</v>
      </c>
      <c r="S1405" s="38">
        <v>12</v>
      </c>
    </row>
    <row r="1406" spans="1:19" x14ac:dyDescent="0.25">
      <c r="A1406" s="39" t="str">
        <f>IF(F1406="","",VLOOKUP(F1406,Tabelle1[],3))</f>
        <v>ISTOG</v>
      </c>
      <c r="B1406" s="40" t="str">
        <f>IF(F1406="","",VLOOKUP(F1406,Tabelle1[],2))</f>
        <v>BERATI A.P. (1)</v>
      </c>
      <c r="C1406" s="40"/>
      <c r="D1406" s="41">
        <v>46157</v>
      </c>
      <c r="E1406" s="80"/>
      <c r="F1406" s="78">
        <v>20513</v>
      </c>
      <c r="G1406" s="43">
        <v>113.9</v>
      </c>
      <c r="H1406" s="38">
        <v>50912</v>
      </c>
      <c r="I1406" s="38">
        <v>12</v>
      </c>
      <c r="J1406" s="38">
        <v>51736</v>
      </c>
      <c r="K1406" s="38">
        <v>10</v>
      </c>
      <c r="L1406" s="38">
        <v>51936</v>
      </c>
      <c r="M1406" s="38">
        <v>5</v>
      </c>
    </row>
    <row r="1407" spans="1:19" x14ac:dyDescent="0.25">
      <c r="A1407" s="39" t="str">
        <f>IF(F1407="","",VLOOKUP(F1407,Tabelle1[],3))</f>
        <v>ISTOG</v>
      </c>
      <c r="B1407" s="40" t="str">
        <f>IF(F1407="","",VLOOKUP(F1407,Tabelle1[],2))</f>
        <v>LIRIDONA-A</v>
      </c>
      <c r="C1407" s="40"/>
      <c r="D1407" s="41">
        <v>46157</v>
      </c>
      <c r="E1407" s="80"/>
      <c r="F1407" s="78">
        <v>20515</v>
      </c>
      <c r="G1407" s="43">
        <v>213.6</v>
      </c>
      <c r="H1407" s="38">
        <v>35109</v>
      </c>
      <c r="I1407" s="38">
        <v>12</v>
      </c>
      <c r="J1407" s="38">
        <v>35110</v>
      </c>
      <c r="K1407" s="38">
        <v>12</v>
      </c>
      <c r="L1407" s="38">
        <v>35121</v>
      </c>
      <c r="M1407" s="38">
        <v>12</v>
      </c>
      <c r="N1407" s="38">
        <v>66701</v>
      </c>
      <c r="O1407" s="38">
        <v>12</v>
      </c>
    </row>
    <row r="1408" spans="1:19" x14ac:dyDescent="0.25">
      <c r="A1408" s="39" t="str">
        <f>IF(F1408="","",VLOOKUP(F1408,Tabelle1[],3))</f>
        <v>SKENDERAJ</v>
      </c>
      <c r="B1408" s="40" t="str">
        <f>IF(F1408="","",VLOOKUP(F1408,Tabelle1[],2))</f>
        <v>TE BENI</v>
      </c>
      <c r="C1408" s="40"/>
      <c r="D1408" s="41">
        <v>46157</v>
      </c>
      <c r="E1408" s="80"/>
      <c r="F1408" s="78">
        <v>20407</v>
      </c>
      <c r="G1408" s="43">
        <v>192</v>
      </c>
      <c r="H1408" s="38">
        <v>35110</v>
      </c>
      <c r="I1408" s="38">
        <v>12</v>
      </c>
      <c r="J1408" s="38">
        <v>35111</v>
      </c>
      <c r="K1408" s="38">
        <v>12</v>
      </c>
      <c r="L1408" s="38">
        <v>35115</v>
      </c>
      <c r="M1408" s="38">
        <v>24</v>
      </c>
    </row>
    <row r="1409" spans="1:19" x14ac:dyDescent="0.25">
      <c r="A1409" s="39" t="str">
        <f>IF(F1409="","",VLOOKUP(F1409,Tabelle1[],3))</f>
        <v>SKENDERAJ</v>
      </c>
      <c r="B1409" s="40" t="str">
        <f>IF(F1409="","",VLOOKUP(F1409,Tabelle1[],2))</f>
        <v>MEGI</v>
      </c>
      <c r="C1409" s="40"/>
      <c r="D1409" s="41">
        <v>46157</v>
      </c>
      <c r="E1409" s="80"/>
      <c r="F1409" s="78">
        <v>20406</v>
      </c>
      <c r="G1409" s="43">
        <v>51.4</v>
      </c>
      <c r="H1409" s="38">
        <v>54412</v>
      </c>
      <c r="I1409" s="38">
        <v>6</v>
      </c>
      <c r="J1409" s="38">
        <v>55718</v>
      </c>
      <c r="K1409" s="38">
        <v>4</v>
      </c>
      <c r="L1409" s="38">
        <v>44001</v>
      </c>
      <c r="M1409" s="38">
        <v>2</v>
      </c>
      <c r="N1409" s="38">
        <v>50912</v>
      </c>
      <c r="O1409" s="38">
        <v>3</v>
      </c>
    </row>
    <row r="1410" spans="1:19" x14ac:dyDescent="0.25">
      <c r="A1410" s="39" t="str">
        <f>IF(F1410="","",VLOOKUP(F1410,Tabelle1[],3))</f>
        <v>SKENDERAJ</v>
      </c>
      <c r="B1410" s="40" t="str">
        <f>IF(F1410="","",VLOOKUP(F1410,Tabelle1[],2))</f>
        <v>BENI</v>
      </c>
      <c r="C1410" s="40"/>
      <c r="D1410" s="41">
        <v>46157</v>
      </c>
      <c r="E1410" s="80"/>
      <c r="F1410" s="78">
        <v>20409</v>
      </c>
      <c r="G1410" s="43">
        <v>60.1</v>
      </c>
      <c r="H1410" s="38">
        <v>31827</v>
      </c>
      <c r="I1410" s="38">
        <v>4</v>
      </c>
      <c r="J1410" s="38">
        <v>31812</v>
      </c>
      <c r="K1410" s="38">
        <v>4</v>
      </c>
      <c r="L1410" s="38">
        <v>44001</v>
      </c>
      <c r="M1410" s="38">
        <v>4</v>
      </c>
      <c r="N1410" s="38">
        <v>16936</v>
      </c>
      <c r="O1410" s="38">
        <v>3</v>
      </c>
      <c r="P1410" s="38">
        <v>51736</v>
      </c>
      <c r="Q1410" s="38">
        <v>2</v>
      </c>
      <c r="R1410" s="38">
        <v>29802</v>
      </c>
      <c r="S1410" s="38">
        <v>8</v>
      </c>
    </row>
    <row r="1411" spans="1:19" x14ac:dyDescent="0.25">
      <c r="A1411" s="39" t="str">
        <f>IF(F1411="","",VLOOKUP(F1411,Tabelle1[],3))</f>
        <v>DRENAS</v>
      </c>
      <c r="B1411" s="40" t="str">
        <f>IF(F1411="","",VLOOKUP(F1411,Tabelle1[],2))</f>
        <v>TERMIKA</v>
      </c>
      <c r="C1411" s="40"/>
      <c r="D1411" s="41">
        <v>46157</v>
      </c>
      <c r="E1411" s="80"/>
      <c r="F1411" s="78">
        <v>20403</v>
      </c>
      <c r="G1411" s="43">
        <v>110.5</v>
      </c>
      <c r="H1411" s="38">
        <v>35109</v>
      </c>
      <c r="I1411" s="38">
        <v>12</v>
      </c>
      <c r="J1411" s="38">
        <v>35110</v>
      </c>
      <c r="K1411" s="38">
        <v>12</v>
      </c>
      <c r="L1411" s="38">
        <v>49644</v>
      </c>
      <c r="M1411" s="38">
        <v>6</v>
      </c>
      <c r="N1411" s="38">
        <v>51936</v>
      </c>
      <c r="O1411" s="38">
        <v>1</v>
      </c>
    </row>
    <row r="1412" spans="1:19" x14ac:dyDescent="0.25">
      <c r="A1412" s="39" t="str">
        <f>IF(F1412="","",VLOOKUP(F1412,Tabelle1[],3))</f>
        <v>PODUJEVE</v>
      </c>
      <c r="B1412" s="40" t="str">
        <f>IF(F1412="","",VLOOKUP(F1412,Tabelle1[],2))</f>
        <v>ALBANI</v>
      </c>
      <c r="C1412" s="40"/>
      <c r="D1412" s="41">
        <v>46158</v>
      </c>
      <c r="E1412" s="80"/>
      <c r="F1412" s="78">
        <v>10636</v>
      </c>
      <c r="G1412" s="43">
        <v>48</v>
      </c>
      <c r="H1412" s="38">
        <v>35121</v>
      </c>
      <c r="I1412" s="38">
        <v>12</v>
      </c>
    </row>
    <row r="1413" spans="1:19" x14ac:dyDescent="0.25">
      <c r="A1413" s="39" t="str">
        <f>IF(F1413="","",VLOOKUP(F1413,Tabelle1[],3))</f>
        <v>PODUJEVE</v>
      </c>
      <c r="B1413" s="40" t="str">
        <f>IF(F1413="","",VLOOKUP(F1413,Tabelle1[],2))</f>
        <v>TE KELA</v>
      </c>
      <c r="C1413" s="40"/>
      <c r="D1413" s="41">
        <v>46158</v>
      </c>
      <c r="E1413" s="80"/>
      <c r="F1413" s="78">
        <v>10613</v>
      </c>
      <c r="G1413" s="43">
        <v>60</v>
      </c>
      <c r="H1413" s="38">
        <v>50912</v>
      </c>
      <c r="I1413" s="38">
        <v>5</v>
      </c>
      <c r="J1413" s="38">
        <v>49644</v>
      </c>
      <c r="K1413" s="38">
        <v>12</v>
      </c>
    </row>
    <row r="1414" spans="1:19" x14ac:dyDescent="0.25">
      <c r="A1414" s="39" t="str">
        <f>IF(F1414="","",VLOOKUP(F1414,Tabelle1[],3))</f>
        <v>PODUJEVE</v>
      </c>
      <c r="B1414" s="40" t="str">
        <f>IF(F1414="","",VLOOKUP(F1414,Tabelle1[],2))</f>
        <v>ALBANI</v>
      </c>
      <c r="C1414" s="40"/>
      <c r="D1414" s="41">
        <v>46158</v>
      </c>
      <c r="E1414" s="80"/>
      <c r="F1414" s="78">
        <v>10637</v>
      </c>
      <c r="G1414" s="43">
        <v>86.4</v>
      </c>
      <c r="H1414" s="38">
        <v>50912</v>
      </c>
      <c r="I1414" s="38">
        <v>12</v>
      </c>
    </row>
    <row r="1415" spans="1:19" x14ac:dyDescent="0.25">
      <c r="A1415" s="39" t="str">
        <f>IF(F1415="","",VLOOKUP(F1415,Tabelle1[],3))</f>
        <v>PODUJEVE</v>
      </c>
      <c r="B1415" s="40" t="str">
        <f>IF(F1415="","",VLOOKUP(F1415,Tabelle1[],2))</f>
        <v>KUJTA</v>
      </c>
      <c r="C1415" s="40"/>
      <c r="D1415" s="41">
        <v>46158</v>
      </c>
      <c r="E1415" s="80"/>
      <c r="F1415" s="78">
        <v>10625</v>
      </c>
      <c r="G1415" s="43">
        <v>144</v>
      </c>
      <c r="H1415" s="38">
        <v>35128</v>
      </c>
      <c r="I1415" s="38">
        <v>12</v>
      </c>
      <c r="J1415" s="38">
        <v>35125</v>
      </c>
      <c r="K1415" s="38">
        <v>12</v>
      </c>
      <c r="L1415" s="38">
        <v>35113</v>
      </c>
      <c r="M1415" s="38">
        <v>12</v>
      </c>
    </row>
    <row r="1416" spans="1:19" x14ac:dyDescent="0.25">
      <c r="A1416" s="39" t="str">
        <f>IF(F1416="","",VLOOKUP(F1416,Tabelle1[],3))</f>
        <v>PODUJEVE</v>
      </c>
      <c r="B1416" s="40" t="str">
        <f>IF(F1416="","",VLOOKUP(F1416,Tabelle1[],2))</f>
        <v>TE ZENA</v>
      </c>
      <c r="C1416" s="40"/>
      <c r="D1416" s="41">
        <v>46158</v>
      </c>
      <c r="E1416" s="80"/>
      <c r="F1416" s="78">
        <v>10616</v>
      </c>
      <c r="G1416" s="43">
        <v>48</v>
      </c>
      <c r="H1416" s="38">
        <v>35119</v>
      </c>
      <c r="I1416" s="38">
        <v>12</v>
      </c>
    </row>
    <row r="1417" spans="1:19" x14ac:dyDescent="0.25">
      <c r="A1417" s="39" t="str">
        <f>IF(F1417="","",VLOOKUP(F1417,Tabelle1[],3))</f>
        <v>PODUJEVE</v>
      </c>
      <c r="B1417" s="40" t="str">
        <f>IF(F1417="","",VLOOKUP(F1417,Tabelle1[],2))</f>
        <v>ALBANI</v>
      </c>
      <c r="C1417" s="40"/>
      <c r="D1417" s="41">
        <v>46158</v>
      </c>
      <c r="E1417" s="80"/>
      <c r="F1417" s="78">
        <v>10635</v>
      </c>
      <c r="G1417" s="43">
        <v>96</v>
      </c>
      <c r="H1417" s="38">
        <v>35109</v>
      </c>
      <c r="I1417" s="38">
        <v>12</v>
      </c>
      <c r="J1417" s="38">
        <v>35115</v>
      </c>
      <c r="K1417" s="38">
        <v>12</v>
      </c>
    </row>
    <row r="1418" spans="1:19" x14ac:dyDescent="0.25">
      <c r="A1418" s="39" t="str">
        <f>IF(F1418="","",VLOOKUP(F1418,Tabelle1[],3))</f>
        <v>FERIZAJ</v>
      </c>
      <c r="B1418" s="40" t="str">
        <f>IF(F1418="","",VLOOKUP(F1418,Tabelle1[],2))</f>
        <v>BUJARI Q - BESII</v>
      </c>
      <c r="C1418" s="40"/>
      <c r="D1418" s="41">
        <v>46158</v>
      </c>
      <c r="E1418" s="80"/>
      <c r="F1418" s="78">
        <v>20609</v>
      </c>
      <c r="G1418" s="43">
        <v>144</v>
      </c>
      <c r="H1418" s="38">
        <v>35109</v>
      </c>
      <c r="I1418" s="38">
        <v>24</v>
      </c>
      <c r="J1418" s="38">
        <v>35113</v>
      </c>
      <c r="K1418" s="38">
        <v>12</v>
      </c>
    </row>
    <row r="1419" spans="1:19" x14ac:dyDescent="0.25">
      <c r="A1419" s="39" t="str">
        <f>IF(F1419="","",VLOOKUP(F1419,Tabelle1[],3))</f>
        <v>FERIZAJ</v>
      </c>
      <c r="B1419" s="40" t="str">
        <f>IF(F1419="","",VLOOKUP(F1419,Tabelle1[],2))</f>
        <v>AGROLONDI</v>
      </c>
      <c r="C1419" s="40"/>
      <c r="D1419" s="41">
        <v>46158</v>
      </c>
      <c r="E1419" s="80"/>
      <c r="F1419" s="78">
        <v>20602</v>
      </c>
      <c r="G1419" s="43">
        <v>147.5</v>
      </c>
      <c r="H1419" s="38">
        <v>35112</v>
      </c>
      <c r="I1419" s="38">
        <v>12</v>
      </c>
      <c r="J1419" s="38">
        <v>35108</v>
      </c>
      <c r="K1419" s="38">
        <v>12</v>
      </c>
      <c r="L1419" s="38">
        <v>35109</v>
      </c>
      <c r="M1419" s="38">
        <v>12</v>
      </c>
      <c r="N1419" s="38">
        <v>44001</v>
      </c>
      <c r="O1419" s="38">
        <v>1</v>
      </c>
    </row>
    <row r="1420" spans="1:19" x14ac:dyDescent="0.25">
      <c r="A1420" s="39" t="str">
        <f>IF(F1420="","",VLOOKUP(F1420,Tabelle1[],3))</f>
        <v>FERIZAJ</v>
      </c>
      <c r="B1420" s="40" t="str">
        <f>IF(F1420="","",VLOOKUP(F1420,Tabelle1[],2))</f>
        <v>ALMIRI QERAMIKA</v>
      </c>
      <c r="C1420" s="40"/>
      <c r="D1420" s="41">
        <v>46158</v>
      </c>
      <c r="E1420" s="80"/>
      <c r="F1420" s="78">
        <v>20631</v>
      </c>
      <c r="G1420" s="43">
        <v>96</v>
      </c>
      <c r="H1420" s="38">
        <v>35109</v>
      </c>
      <c r="I1420" s="38">
        <v>12</v>
      </c>
      <c r="J1420" s="38">
        <v>35113</v>
      </c>
      <c r="K1420" s="38">
        <v>12</v>
      </c>
    </row>
    <row r="1421" spans="1:19" x14ac:dyDescent="0.25">
      <c r="A1421" s="39" t="str">
        <f>IF(F1421="","",VLOOKUP(F1421,Tabelle1[],3))</f>
        <v>FERIZAJ</v>
      </c>
      <c r="B1421" s="40" t="str">
        <f>IF(F1421="","",VLOOKUP(F1421,Tabelle1[],2))</f>
        <v>UNIKA</v>
      </c>
      <c r="C1421" s="40"/>
      <c r="D1421" s="41">
        <v>46158</v>
      </c>
      <c r="E1421" s="80"/>
      <c r="F1421" s="78">
        <v>20627</v>
      </c>
      <c r="G1421" s="43">
        <v>192</v>
      </c>
      <c r="H1421" s="38">
        <v>35108</v>
      </c>
      <c r="I1421" s="38">
        <v>12</v>
      </c>
      <c r="J1421" s="38">
        <v>35109</v>
      </c>
      <c r="K1421" s="38">
        <v>12</v>
      </c>
      <c r="L1421" s="38">
        <v>35113</v>
      </c>
      <c r="M1421" s="38">
        <v>12</v>
      </c>
      <c r="N1421" s="38">
        <v>35121</v>
      </c>
      <c r="O1421" s="38">
        <v>12</v>
      </c>
    </row>
    <row r="1422" spans="1:19" x14ac:dyDescent="0.25">
      <c r="A1422" s="39" t="str">
        <f>IF(F1422="","",VLOOKUP(F1422,Tabelle1[],3))</f>
        <v>FERIZAJ</v>
      </c>
      <c r="B1422" s="40" t="str">
        <f>IF(F1422="","",VLOOKUP(F1422,Tabelle1[],2))</f>
        <v>LONI</v>
      </c>
      <c r="C1422" s="40"/>
      <c r="D1422" s="41">
        <v>46158</v>
      </c>
      <c r="E1422" s="80"/>
      <c r="F1422" s="78">
        <v>20608</v>
      </c>
      <c r="G1422" s="43">
        <v>144</v>
      </c>
      <c r="H1422" s="38">
        <v>35110</v>
      </c>
      <c r="I1422" s="38">
        <v>12</v>
      </c>
      <c r="J1422" s="38">
        <v>35115</v>
      </c>
      <c r="K1422" s="38">
        <v>12</v>
      </c>
      <c r="L1422" s="38">
        <v>35121</v>
      </c>
      <c r="M1422" s="38">
        <v>12</v>
      </c>
    </row>
    <row r="1423" spans="1:19" x14ac:dyDescent="0.25">
      <c r="A1423" s="39" t="str">
        <f>IF(F1423="","",VLOOKUP(F1423,Tabelle1[],3))</f>
        <v>FERIZAJ</v>
      </c>
      <c r="B1423" s="40" t="str">
        <f>IF(F1423="","",VLOOKUP(F1423,Tabelle1[],2))</f>
        <v>LUTA QERAMIKA</v>
      </c>
      <c r="C1423" s="40"/>
      <c r="D1423" s="41">
        <v>46158</v>
      </c>
      <c r="E1423" s="80"/>
      <c r="F1423" s="78">
        <v>20629</v>
      </c>
      <c r="G1423" s="43">
        <v>432</v>
      </c>
      <c r="H1423" s="38">
        <v>35128</v>
      </c>
      <c r="I1423" s="38">
        <v>36</v>
      </c>
      <c r="J1423" s="38">
        <v>35113</v>
      </c>
      <c r="K1423" s="38">
        <v>36</v>
      </c>
      <c r="L1423" s="38">
        <v>35121</v>
      </c>
      <c r="M1423" s="38">
        <v>24</v>
      </c>
      <c r="N1423" s="38">
        <v>35115</v>
      </c>
      <c r="O1423" s="38">
        <v>12</v>
      </c>
    </row>
    <row r="1424" spans="1:19" x14ac:dyDescent="0.25">
      <c r="A1424" s="39" t="str">
        <f>IF(F1424="","",VLOOKUP(F1424,Tabelle1[],3))</f>
        <v>FERIZAJ</v>
      </c>
      <c r="B1424" s="40" t="str">
        <f>IF(F1424="","",VLOOKUP(F1424,Tabelle1[],2))</f>
        <v>GLOBAL TOOLS</v>
      </c>
      <c r="C1424" s="40"/>
      <c r="D1424" s="41">
        <v>46158</v>
      </c>
      <c r="E1424" s="80"/>
      <c r="F1424" s="78">
        <v>20632</v>
      </c>
      <c r="G1424" s="43">
        <v>368</v>
      </c>
      <c r="H1424" s="38">
        <v>35125</v>
      </c>
      <c r="I1424" s="38">
        <v>24</v>
      </c>
      <c r="J1424" s="38">
        <v>35128</v>
      </c>
      <c r="K1424" s="38">
        <v>24</v>
      </c>
      <c r="L1424" s="38">
        <v>35112</v>
      </c>
      <c r="M1424" s="38">
        <v>24</v>
      </c>
      <c r="N1424" s="38">
        <v>35114</v>
      </c>
      <c r="O1424" s="38">
        <v>12</v>
      </c>
      <c r="P1424" s="38">
        <v>35108</v>
      </c>
      <c r="Q1424" s="38">
        <v>12</v>
      </c>
    </row>
    <row r="1425" spans="1:17" x14ac:dyDescent="0.25">
      <c r="A1425" s="39" t="str">
        <f>IF(F1425="","",VLOOKUP(F1425,Tabelle1[],3))</f>
        <v>DOGANAJ</v>
      </c>
      <c r="B1425" s="40" t="str">
        <f>IF(F1425="","",VLOOKUP(F1425,Tabelle1[],2))</f>
        <v xml:space="preserve">F.V. SH.P.K. </v>
      </c>
      <c r="C1425" s="40"/>
      <c r="D1425" s="41">
        <v>46158</v>
      </c>
      <c r="E1425" s="80"/>
      <c r="F1425" s="78">
        <v>20607</v>
      </c>
      <c r="G1425" s="43">
        <v>96</v>
      </c>
      <c r="H1425" s="38">
        <v>35121</v>
      </c>
      <c r="I1425" s="38">
        <v>12</v>
      </c>
      <c r="J1425" s="38">
        <v>35128</v>
      </c>
      <c r="K1425" s="38">
        <v>12</v>
      </c>
    </row>
    <row r="1426" spans="1:17" x14ac:dyDescent="0.25">
      <c r="A1426" s="39" t="str">
        <f>IF(F1426="","",VLOOKUP(F1426,Tabelle1[],3))</f>
        <v>GADIME</v>
      </c>
      <c r="B1426" s="40" t="str">
        <f>IF(F1426="","",VLOOKUP(F1426,Tabelle1[],2))</f>
        <v>ILIRI QERAMIKA</v>
      </c>
      <c r="C1426" s="40"/>
      <c r="D1426" s="41">
        <v>46158</v>
      </c>
      <c r="E1426" s="80"/>
      <c r="F1426" s="78">
        <v>20622</v>
      </c>
      <c r="G1426" s="43">
        <v>144</v>
      </c>
      <c r="H1426" s="38">
        <v>35109</v>
      </c>
      <c r="I1426" s="38">
        <v>12</v>
      </c>
      <c r="J1426" s="38">
        <v>35121</v>
      </c>
      <c r="K1426" s="38">
        <v>12</v>
      </c>
      <c r="L1426" s="38">
        <v>35111</v>
      </c>
      <c r="M1426" s="38">
        <v>12</v>
      </c>
    </row>
    <row r="1427" spans="1:17" x14ac:dyDescent="0.25">
      <c r="A1427" s="39" t="str">
        <f>IF(F1427="","",VLOOKUP(F1427,Tabelle1[],3))</f>
        <v>FERIZAJ</v>
      </c>
      <c r="B1427" s="40" t="str">
        <f>IF(F1427="","",VLOOKUP(F1427,Tabelle1[],2))</f>
        <v>HIDROTERMI</v>
      </c>
      <c r="C1427" s="40"/>
      <c r="D1427" s="41">
        <v>46158</v>
      </c>
      <c r="E1427" s="80"/>
      <c r="F1427" s="78">
        <v>20605</v>
      </c>
      <c r="G1427" s="43">
        <v>96</v>
      </c>
      <c r="H1427" s="38">
        <v>35109</v>
      </c>
      <c r="I1427" s="38">
        <v>12</v>
      </c>
      <c r="J1427" s="38">
        <v>35121</v>
      </c>
      <c r="K1427" s="38">
        <v>12</v>
      </c>
    </row>
    <row r="1428" spans="1:17" x14ac:dyDescent="0.25">
      <c r="A1428" s="39" t="str">
        <f>IF(F1428="","",VLOOKUP(F1428,Tabelle1[],3))</f>
        <v>FERIZAJ</v>
      </c>
      <c r="B1428" s="40" t="str">
        <f>IF(F1428="","",VLOOKUP(F1428,Tabelle1[],2))</f>
        <v>PROMOIN</v>
      </c>
      <c r="C1428" s="40"/>
      <c r="D1428" s="41">
        <v>46158</v>
      </c>
      <c r="E1428" s="80"/>
      <c r="F1428" s="78">
        <v>20603</v>
      </c>
      <c r="G1428" s="43">
        <v>109.6</v>
      </c>
      <c r="H1428" s="38">
        <v>35111</v>
      </c>
      <c r="I1428" s="38">
        <v>12</v>
      </c>
      <c r="J1428" s="38">
        <v>35115</v>
      </c>
      <c r="K1428" s="38">
        <v>12</v>
      </c>
      <c r="L1428" s="38">
        <v>29802</v>
      </c>
      <c r="M1428" s="38">
        <v>8</v>
      </c>
    </row>
    <row r="1429" spans="1:17" x14ac:dyDescent="0.25">
      <c r="A1429" s="39" t="str">
        <f>IF(F1429="","",VLOOKUP(F1429,Tabelle1[],3))</f>
        <v>PRISHTINE</v>
      </c>
      <c r="B1429" s="40" t="str">
        <f>IF(F1429="","",VLOOKUP(F1429,Tabelle1[],2))</f>
        <v>CHE BAR LOUNGE BAR</v>
      </c>
      <c r="C1429" s="40"/>
      <c r="D1429" s="41">
        <v>46160</v>
      </c>
      <c r="E1429" s="80"/>
      <c r="F1429" s="78">
        <v>10141</v>
      </c>
      <c r="G1429" s="43">
        <v>40</v>
      </c>
      <c r="H1429" s="38">
        <v>20001</v>
      </c>
      <c r="I1429" s="38">
        <v>20</v>
      </c>
    </row>
    <row r="1430" spans="1:17" x14ac:dyDescent="0.25">
      <c r="A1430" s="39" t="str">
        <f>IF(F1430="","",VLOOKUP(F1430,Tabelle1[],3))</f>
        <v>BARDHOSH</v>
      </c>
      <c r="B1430" s="40" t="str">
        <f>IF(F1430="","",VLOOKUP(F1430,Tabelle1[],2))</f>
        <v>QELA</v>
      </c>
      <c r="C1430" s="40"/>
      <c r="D1430" s="41">
        <v>46160</v>
      </c>
      <c r="E1430" s="80"/>
      <c r="F1430" s="78">
        <v>10114</v>
      </c>
      <c r="G1430" s="43">
        <v>96</v>
      </c>
      <c r="H1430" s="38">
        <v>35110</v>
      </c>
      <c r="I1430" s="38">
        <v>12</v>
      </c>
      <c r="J1430" s="38">
        <v>35128</v>
      </c>
      <c r="K1430" s="38">
        <v>12</v>
      </c>
    </row>
    <row r="1431" spans="1:17" x14ac:dyDescent="0.25">
      <c r="A1431" s="39" t="str">
        <f>IF(F1431="","",VLOOKUP(F1431,Tabelle1[],3))</f>
        <v>PRISHTINE</v>
      </c>
      <c r="B1431" s="40" t="str">
        <f>IF(F1431="","",VLOOKUP(F1431,Tabelle1[],2))</f>
        <v>HIDROELDI</v>
      </c>
      <c r="C1431" s="40"/>
      <c r="D1431" s="41">
        <v>46160</v>
      </c>
      <c r="E1431" s="80"/>
      <c r="F1431" s="78">
        <v>10133</v>
      </c>
      <c r="G1431" s="43">
        <v>114</v>
      </c>
      <c r="H1431" s="38">
        <v>30276</v>
      </c>
      <c r="I1431" s="38">
        <v>10</v>
      </c>
      <c r="J1431" s="38">
        <v>35109</v>
      </c>
      <c r="K1431" s="38">
        <v>12</v>
      </c>
      <c r="L1431" s="38">
        <v>35125</v>
      </c>
      <c r="M1431" s="38">
        <v>12</v>
      </c>
    </row>
    <row r="1432" spans="1:17" x14ac:dyDescent="0.25">
      <c r="A1432" s="39" t="str">
        <f>IF(F1432="","",VLOOKUP(F1432,Tabelle1[],3))</f>
        <v>PRISHTINE</v>
      </c>
      <c r="B1432" s="40" t="str">
        <f>IF(F1432="","",VLOOKUP(F1432,Tabelle1[],2))</f>
        <v>KADIJOLLET</v>
      </c>
      <c r="C1432" s="40"/>
      <c r="D1432" s="41">
        <v>46160</v>
      </c>
      <c r="E1432" s="80"/>
      <c r="F1432" s="78">
        <v>10111</v>
      </c>
      <c r="G1432" s="43">
        <v>144</v>
      </c>
      <c r="H1432" s="38">
        <v>35114</v>
      </c>
      <c r="I1432" s="38">
        <v>12</v>
      </c>
      <c r="J1432" s="38">
        <v>35111</v>
      </c>
      <c r="K1432" s="38">
        <v>12</v>
      </c>
      <c r="L1432" s="38">
        <v>35115</v>
      </c>
      <c r="M1432" s="38">
        <v>12</v>
      </c>
    </row>
    <row r="1433" spans="1:17" x14ac:dyDescent="0.25">
      <c r="A1433" s="39" t="str">
        <f>IF(F1433="","",VLOOKUP(F1433,Tabelle1[],3))</f>
        <v>PRISHTINE</v>
      </c>
      <c r="B1433" s="40" t="str">
        <f>IF(F1433="","",VLOOKUP(F1433,Tabelle1[],2))</f>
        <v>KRRABAJ</v>
      </c>
      <c r="C1433" s="40"/>
      <c r="D1433" s="41">
        <v>46160</v>
      </c>
      <c r="E1433" s="80"/>
      <c r="F1433" s="78">
        <v>10145</v>
      </c>
      <c r="G1433" s="43">
        <v>96</v>
      </c>
      <c r="H1433" s="38">
        <v>35109</v>
      </c>
      <c r="I1433" s="38">
        <v>12</v>
      </c>
      <c r="J1433" s="38">
        <v>35121</v>
      </c>
      <c r="K1433" s="38">
        <v>12</v>
      </c>
    </row>
    <row r="1434" spans="1:17" x14ac:dyDescent="0.25">
      <c r="A1434" s="39" t="str">
        <f>IF(F1434="","",VLOOKUP(F1434,Tabelle1[],3))</f>
        <v>PEJE</v>
      </c>
      <c r="B1434" s="40" t="str">
        <f>IF(F1434="","",VLOOKUP(F1434,Tabelle1[],2))</f>
        <v>KENA COMERC</v>
      </c>
      <c r="C1434" s="40"/>
      <c r="D1434" s="41">
        <v>46160</v>
      </c>
      <c r="E1434" s="80"/>
      <c r="F1434" s="78">
        <v>20109</v>
      </c>
      <c r="G1434" s="43">
        <v>144</v>
      </c>
      <c r="H1434" s="38">
        <v>35111</v>
      </c>
      <c r="I1434" s="38">
        <v>24</v>
      </c>
      <c r="J1434" s="38">
        <v>35125</v>
      </c>
      <c r="K1434" s="38">
        <v>12</v>
      </c>
    </row>
    <row r="1435" spans="1:17" x14ac:dyDescent="0.25">
      <c r="A1435" s="39" t="str">
        <f>IF(F1435="","",VLOOKUP(F1435,Tabelle1[],3))</f>
        <v>PEJE</v>
      </c>
      <c r="B1435" s="40" t="str">
        <f>IF(F1435="","",VLOOKUP(F1435,Tabelle1[],2))</f>
        <v>LULI-C</v>
      </c>
      <c r="C1435" s="40"/>
      <c r="D1435" s="41">
        <v>46160</v>
      </c>
      <c r="E1435" s="80"/>
      <c r="F1435" s="78">
        <v>20126</v>
      </c>
      <c r="G1435" s="43">
        <v>162</v>
      </c>
      <c r="H1435" s="38">
        <v>35113</v>
      </c>
      <c r="I1435" s="38">
        <v>12</v>
      </c>
      <c r="J1435" s="38">
        <v>35119</v>
      </c>
      <c r="K1435" s="38">
        <v>12</v>
      </c>
      <c r="L1435" s="38">
        <v>35121</v>
      </c>
      <c r="M1435" s="38">
        <v>12</v>
      </c>
      <c r="N1435" s="38">
        <v>49644</v>
      </c>
      <c r="O1435" s="38">
        <v>6</v>
      </c>
      <c r="P1435" s="38">
        <v>39505</v>
      </c>
      <c r="Q1435" s="38">
        <v>2</v>
      </c>
    </row>
    <row r="1436" spans="1:17" x14ac:dyDescent="0.25">
      <c r="A1436" s="39" t="str">
        <f>IF(F1436="","",VLOOKUP(F1436,Tabelle1[],3))</f>
        <v>PEJE</v>
      </c>
      <c r="B1436" s="40" t="str">
        <f>IF(F1436="","",VLOOKUP(F1436,Tabelle1[],2))</f>
        <v>KUQI-LKW</v>
      </c>
      <c r="C1436" s="40"/>
      <c r="D1436" s="41">
        <v>46160</v>
      </c>
      <c r="E1436" s="80"/>
      <c r="F1436" s="78">
        <v>20102</v>
      </c>
      <c r="G1436" s="43">
        <v>72.7</v>
      </c>
      <c r="H1436" s="38">
        <v>50912</v>
      </c>
      <c r="I1436" s="38">
        <v>6</v>
      </c>
      <c r="J1436" s="38">
        <v>54412</v>
      </c>
      <c r="K1436" s="38">
        <v>6</v>
      </c>
      <c r="L1436" s="38">
        <v>55718</v>
      </c>
      <c r="M1436" s="38">
        <v>5</v>
      </c>
    </row>
    <row r="1437" spans="1:17" x14ac:dyDescent="0.25">
      <c r="A1437" s="39" t="str">
        <f>IF(F1437="","",VLOOKUP(F1437,Tabelle1[],3))</f>
        <v>PEJE</v>
      </c>
      <c r="B1437" s="40" t="str">
        <f>IF(F1437="","",VLOOKUP(F1437,Tabelle1[],2))</f>
        <v>CAMA BAU</v>
      </c>
      <c r="C1437" s="40"/>
      <c r="D1437" s="41">
        <v>46160</v>
      </c>
      <c r="E1437" s="80"/>
      <c r="F1437" s="78">
        <v>20121</v>
      </c>
      <c r="G1437" s="43">
        <v>192</v>
      </c>
      <c r="H1437" s="38">
        <v>35108</v>
      </c>
      <c r="I1437" s="38">
        <v>12</v>
      </c>
      <c r="J1437" s="38">
        <v>35113</v>
      </c>
      <c r="K1437" s="38">
        <v>12</v>
      </c>
      <c r="L1437" s="38">
        <v>35119</v>
      </c>
      <c r="M1437" s="38">
        <v>12</v>
      </c>
      <c r="N1437" s="38">
        <v>35125</v>
      </c>
      <c r="O1437" s="38">
        <v>12</v>
      </c>
    </row>
    <row r="1438" spans="1:17" x14ac:dyDescent="0.25">
      <c r="A1438" s="39" t="str">
        <f>IF(F1438="","",VLOOKUP(F1438,Tabelle1[],3))</f>
        <v>PEJE</v>
      </c>
      <c r="B1438" s="40" t="str">
        <f>IF(F1438="","",VLOOKUP(F1438,Tabelle1[],2))</f>
        <v>TECOL 2</v>
      </c>
      <c r="C1438" s="40"/>
      <c r="D1438" s="41">
        <v>46160</v>
      </c>
      <c r="E1438" s="80"/>
      <c r="F1438" s="78">
        <v>20111</v>
      </c>
      <c r="G1438" s="43">
        <v>68</v>
      </c>
      <c r="H1438" s="38">
        <v>31880</v>
      </c>
      <c r="I1438" s="38">
        <v>6</v>
      </c>
      <c r="J1438" s="38">
        <v>51617</v>
      </c>
      <c r="K1438" s="38">
        <v>6</v>
      </c>
      <c r="L1438" s="38">
        <v>16936</v>
      </c>
      <c r="M1438" s="38">
        <v>8</v>
      </c>
    </row>
    <row r="1439" spans="1:17" x14ac:dyDescent="0.25">
      <c r="A1439" s="39" t="str">
        <f>IF(F1439="","",VLOOKUP(F1439,Tabelle1[],3))</f>
        <v>PEJE</v>
      </c>
      <c r="B1439" s="40" t="str">
        <f>IF(F1439="","",VLOOKUP(F1439,Tabelle1[],2))</f>
        <v>TERMO PROJEKT</v>
      </c>
      <c r="C1439" s="40"/>
      <c r="D1439" s="41">
        <v>46160</v>
      </c>
      <c r="E1439" s="80"/>
      <c r="F1439" s="78">
        <v>20127</v>
      </c>
      <c r="G1439" s="43">
        <v>144</v>
      </c>
      <c r="H1439" s="38">
        <v>35108</v>
      </c>
      <c r="I1439" s="38">
        <v>24</v>
      </c>
      <c r="J1439" s="38">
        <v>35109</v>
      </c>
      <c r="K1439" s="38">
        <v>12</v>
      </c>
    </row>
    <row r="1440" spans="1:17" x14ac:dyDescent="0.25">
      <c r="A1440" s="39" t="str">
        <f>IF(F1440="","",VLOOKUP(F1440,Tabelle1[],3))</f>
        <v>PEJE</v>
      </c>
      <c r="B1440" s="40" t="str">
        <f>IF(F1440="","",VLOOKUP(F1440,Tabelle1[],2))</f>
        <v>LNI SHPK</v>
      </c>
      <c r="C1440" s="40"/>
      <c r="D1440" s="41">
        <v>46160</v>
      </c>
      <c r="E1440" s="80"/>
      <c r="F1440" s="78">
        <v>20129</v>
      </c>
      <c r="G1440" s="43">
        <v>144</v>
      </c>
      <c r="H1440" s="38">
        <v>35113</v>
      </c>
      <c r="I1440" s="38">
        <v>12</v>
      </c>
      <c r="J1440" s="38">
        <v>35114</v>
      </c>
      <c r="K1440" s="38">
        <v>12</v>
      </c>
      <c r="L1440" s="38">
        <v>35125</v>
      </c>
      <c r="M1440" s="38">
        <v>12</v>
      </c>
    </row>
    <row r="1441" spans="1:25" x14ac:dyDescent="0.25">
      <c r="A1441" s="39" t="str">
        <f>IF(F1441="","",VLOOKUP(F1441,Tabelle1[],3))</f>
        <v>HOME KIM TEC</v>
      </c>
      <c r="B1441" s="40" t="str">
        <f>IF(F1441="","",VLOOKUP(F1441,Tabelle1[],2))</f>
        <v>ARBENI BIOBLIC</v>
      </c>
      <c r="C1441" s="40"/>
      <c r="D1441" s="41">
        <v>46161</v>
      </c>
      <c r="E1441" s="80"/>
      <c r="F1441" s="78">
        <v>40003</v>
      </c>
      <c r="G1441" s="43">
        <v>191</v>
      </c>
      <c r="H1441" s="38">
        <v>20001</v>
      </c>
      <c r="I1441" s="38">
        <v>100</v>
      </c>
      <c r="J1441" s="38">
        <v>30275</v>
      </c>
      <c r="K1441" s="38">
        <v>40</v>
      </c>
      <c r="L1441" s="38">
        <v>11000</v>
      </c>
      <c r="M1441" s="38">
        <v>4</v>
      </c>
    </row>
    <row r="1442" spans="1:25" x14ac:dyDescent="0.25">
      <c r="A1442" s="39" t="str">
        <f>IF(F1442="","",VLOOKUP(F1442,Tabelle1[],3))</f>
        <v>PRIZREN</v>
      </c>
      <c r="B1442" s="40" t="str">
        <f>IF(F1442="","",VLOOKUP(F1442,Tabelle1[],2))</f>
        <v>QEMA</v>
      </c>
      <c r="C1442" s="40"/>
      <c r="D1442" s="41">
        <v>46161</v>
      </c>
      <c r="E1442" s="80"/>
      <c r="F1442" s="78">
        <v>10255</v>
      </c>
      <c r="G1442" s="43">
        <v>348</v>
      </c>
      <c r="H1442" s="38">
        <v>66701</v>
      </c>
      <c r="I1442" s="38">
        <v>60</v>
      </c>
    </row>
    <row r="1443" spans="1:25" x14ac:dyDescent="0.25">
      <c r="A1443" s="39" t="str">
        <f>IF(F1443="","",VLOOKUP(F1443,Tabelle1[],3))</f>
        <v>THARAND</v>
      </c>
      <c r="B1443" s="40" t="str">
        <f>IF(F1443="","",VLOOKUP(F1443,Tabelle1[],2))</f>
        <v>TE BESNIKU</v>
      </c>
      <c r="C1443" s="40"/>
      <c r="D1443" s="41">
        <v>46161</v>
      </c>
      <c r="E1443" s="80"/>
      <c r="F1443" s="78">
        <v>10201</v>
      </c>
      <c r="G1443" s="43">
        <v>338.8</v>
      </c>
      <c r="H1443" s="38">
        <v>35108</v>
      </c>
      <c r="I1443" s="38">
        <v>12</v>
      </c>
      <c r="J1443" s="38">
        <v>35109</v>
      </c>
      <c r="K1443" s="38">
        <v>12</v>
      </c>
      <c r="L1443" s="38">
        <v>35110</v>
      </c>
      <c r="M1443" s="38">
        <v>12</v>
      </c>
      <c r="N1443" s="38">
        <v>35111</v>
      </c>
      <c r="O1443" s="38">
        <v>12</v>
      </c>
      <c r="P1443" s="38">
        <v>35113</v>
      </c>
      <c r="Q1443" s="38">
        <v>12</v>
      </c>
      <c r="R1443" s="38">
        <v>35115</v>
      </c>
      <c r="S1443" s="38">
        <v>12</v>
      </c>
      <c r="T1443" s="38">
        <v>35128</v>
      </c>
      <c r="U1443" s="38">
        <v>12</v>
      </c>
      <c r="V1443" s="38">
        <v>35125</v>
      </c>
      <c r="W1443" s="38">
        <v>4</v>
      </c>
    </row>
    <row r="1444" spans="1:25" x14ac:dyDescent="0.25">
      <c r="A1444" s="39" t="str">
        <f>IF(F1444="","",VLOOKUP(F1444,Tabelle1[],3))</f>
        <v>THARAND</v>
      </c>
      <c r="B1444" s="40" t="str">
        <f>IF(F1444="","",VLOOKUP(F1444,Tabelle1[],2))</f>
        <v>TE BESNIKU</v>
      </c>
      <c r="C1444" s="40"/>
      <c r="D1444" s="41">
        <v>46161</v>
      </c>
      <c r="E1444" s="80"/>
      <c r="F1444" s="78">
        <v>10201</v>
      </c>
      <c r="G1444" s="43">
        <v>1001</v>
      </c>
      <c r="H1444" s="38">
        <v>35110</v>
      </c>
      <c r="I1444" s="38">
        <v>36</v>
      </c>
      <c r="J1444" s="38">
        <v>35111</v>
      </c>
      <c r="K1444" s="38">
        <v>36</v>
      </c>
      <c r="L1444" s="38">
        <v>35108</v>
      </c>
      <c r="M1444" s="38">
        <v>36</v>
      </c>
      <c r="N1444" s="38">
        <v>35113</v>
      </c>
      <c r="O1444" s="38">
        <v>36</v>
      </c>
      <c r="P1444" s="38">
        <v>35128</v>
      </c>
      <c r="Q1444" s="38">
        <v>48</v>
      </c>
      <c r="R1444" s="38">
        <v>35115</v>
      </c>
      <c r="S1444" s="38">
        <v>12</v>
      </c>
      <c r="T1444" s="38">
        <v>35112</v>
      </c>
      <c r="U1444" s="38">
        <v>12</v>
      </c>
      <c r="V1444" s="38">
        <v>35125</v>
      </c>
      <c r="W1444" s="38">
        <v>8</v>
      </c>
      <c r="X1444" s="38">
        <v>35109</v>
      </c>
      <c r="Y1444" s="38">
        <v>36</v>
      </c>
    </row>
    <row r="1445" spans="1:25" x14ac:dyDescent="0.25">
      <c r="A1445" s="39" t="str">
        <f>IF(F1445="","",VLOOKUP(F1445,Tabelle1[],3))</f>
        <v>PRIZREN</v>
      </c>
      <c r="B1445" s="40" t="str">
        <f>IF(F1445="","",VLOOKUP(F1445,Tabelle1[],2))</f>
        <v>ARPO</v>
      </c>
      <c r="C1445" s="40"/>
      <c r="D1445" s="41">
        <v>46161</v>
      </c>
      <c r="E1445" s="80"/>
      <c r="F1445" s="78">
        <v>10240</v>
      </c>
      <c r="G1445" s="43">
        <v>336</v>
      </c>
      <c r="H1445" s="38">
        <v>35109</v>
      </c>
      <c r="I1445" s="38">
        <v>12</v>
      </c>
      <c r="J1445" s="38">
        <v>35110</v>
      </c>
      <c r="K1445" s="38">
        <v>12</v>
      </c>
      <c r="L1445" s="38">
        <v>35111</v>
      </c>
      <c r="M1445" s="38">
        <v>12</v>
      </c>
      <c r="N1445" s="38">
        <v>35121</v>
      </c>
      <c r="O1445" s="38">
        <v>12</v>
      </c>
      <c r="P1445" s="38">
        <v>35125</v>
      </c>
      <c r="Q1445" s="38">
        <v>12</v>
      </c>
      <c r="R1445" s="38">
        <v>35128</v>
      </c>
      <c r="S1445" s="38">
        <v>12</v>
      </c>
      <c r="T1445" s="38">
        <v>35115</v>
      </c>
      <c r="U1445" s="38">
        <v>12</v>
      </c>
    </row>
    <row r="1446" spans="1:25" x14ac:dyDescent="0.25">
      <c r="A1446" s="39" t="str">
        <f>IF(F1446="","",VLOOKUP(F1446,Tabelle1[],3))</f>
        <v>PRIZREN</v>
      </c>
      <c r="B1446" s="40" t="str">
        <f>IF(F1446="","",VLOOKUP(F1446,Tabelle1[],2))</f>
        <v>QEMA</v>
      </c>
      <c r="C1446" s="40"/>
      <c r="D1446" s="41">
        <v>46161</v>
      </c>
      <c r="E1446" s="80"/>
      <c r="F1446" s="78">
        <v>10256</v>
      </c>
      <c r="G1446" s="43">
        <v>48</v>
      </c>
      <c r="H1446" s="38">
        <v>35121</v>
      </c>
      <c r="I1446" s="38">
        <v>12</v>
      </c>
    </row>
    <row r="1447" spans="1:25" x14ac:dyDescent="0.25">
      <c r="A1447" s="39" t="str">
        <f>IF(F1447="","",VLOOKUP(F1447,Tabelle1[],3))</f>
        <v>SHIROK</v>
      </c>
      <c r="B1447" s="40" t="str">
        <f>IF(F1447="","",VLOOKUP(F1447,Tabelle1[],2))</f>
        <v>XHAFA</v>
      </c>
      <c r="C1447" s="40"/>
      <c r="D1447" s="41">
        <v>46161</v>
      </c>
      <c r="E1447" s="80"/>
      <c r="F1447" s="78">
        <v>10205</v>
      </c>
      <c r="G1447" s="43">
        <v>96</v>
      </c>
      <c r="H1447" s="38">
        <v>35108</v>
      </c>
      <c r="I1447" s="38">
        <v>12</v>
      </c>
      <c r="J1447" s="38">
        <v>35110</v>
      </c>
      <c r="K1447" s="38">
        <v>12</v>
      </c>
    </row>
    <row r="1448" spans="1:25" x14ac:dyDescent="0.25">
      <c r="A1448" s="39" t="str">
        <f>IF(F1448="","",VLOOKUP(F1448,Tabelle1[],3))</f>
        <v>PRIZREN</v>
      </c>
      <c r="B1448" s="40" t="str">
        <f>IF(F1448="","",VLOOKUP(F1448,Tabelle1[],2))</f>
        <v>BERISHA</v>
      </c>
      <c r="C1448" s="40"/>
      <c r="D1448" s="41">
        <v>46161</v>
      </c>
      <c r="E1448" s="80"/>
      <c r="F1448" s="78">
        <v>10257</v>
      </c>
      <c r="G1448" s="43">
        <v>138.6</v>
      </c>
      <c r="H1448" s="38">
        <v>35109</v>
      </c>
      <c r="I1448" s="38">
        <v>24</v>
      </c>
      <c r="J1448" s="38">
        <v>51611</v>
      </c>
      <c r="K1448" s="38">
        <v>12</v>
      </c>
      <c r="L1448" s="38">
        <v>51612</v>
      </c>
      <c r="M1448" s="38">
        <v>12</v>
      </c>
    </row>
    <row r="1449" spans="1:25" x14ac:dyDescent="0.25">
      <c r="A1449" s="39" t="str">
        <f>IF(F1449="","",VLOOKUP(F1449,Tabelle1[],3))</f>
        <v>PRIZREN</v>
      </c>
      <c r="B1449" s="40" t="str">
        <f>IF(F1449="","",VLOOKUP(F1449,Tabelle1[],2))</f>
        <v>TEMAJ</v>
      </c>
      <c r="C1449" s="40"/>
      <c r="D1449" s="41">
        <v>46161</v>
      </c>
      <c r="E1449" s="80"/>
      <c r="F1449" s="78">
        <v>40019</v>
      </c>
      <c r="G1449" s="43">
        <v>144</v>
      </c>
      <c r="H1449" s="38">
        <v>35108</v>
      </c>
      <c r="I1449" s="38">
        <v>24</v>
      </c>
      <c r="J1449" s="38">
        <v>35121</v>
      </c>
      <c r="K1449" s="38">
        <v>12</v>
      </c>
    </row>
    <row r="1450" spans="1:25" x14ac:dyDescent="0.25">
      <c r="A1450" s="39" t="str">
        <f>IF(F1450="","",VLOOKUP(F1450,Tabelle1[],3))</f>
        <v>PEJE</v>
      </c>
      <c r="B1450" s="40" t="str">
        <f>IF(F1450="","",VLOOKUP(F1450,Tabelle1[],2))</f>
        <v>TERMO PROJEKT</v>
      </c>
      <c r="C1450" s="40"/>
      <c r="D1450" s="41">
        <v>46161</v>
      </c>
      <c r="E1450" s="80"/>
      <c r="F1450" s="78">
        <v>20127</v>
      </c>
      <c r="G1450" s="43">
        <v>66</v>
      </c>
      <c r="H1450" s="38">
        <v>44001</v>
      </c>
      <c r="I1450" s="38">
        <v>12</v>
      </c>
      <c r="J1450" s="38">
        <v>49644</v>
      </c>
      <c r="K1450" s="38">
        <v>12</v>
      </c>
    </row>
    <row r="1451" spans="1:25" x14ac:dyDescent="0.25">
      <c r="A1451" s="39" t="str">
        <f>IF(F1451="","",VLOOKUP(F1451,Tabelle1[],3))</f>
        <v>GJAKOVE</v>
      </c>
      <c r="B1451" s="40" t="str">
        <f>IF(F1451="","",VLOOKUP(F1451,Tabelle1[],2))</f>
        <v>LETAJ</v>
      </c>
      <c r="C1451" s="40"/>
      <c r="D1451" s="41">
        <v>46161</v>
      </c>
      <c r="E1451" s="80"/>
      <c r="F1451" s="78">
        <v>20209</v>
      </c>
      <c r="G1451" s="43">
        <v>145.19999999999999</v>
      </c>
      <c r="H1451" s="38">
        <v>66701</v>
      </c>
      <c r="I1451" s="38">
        <v>12</v>
      </c>
      <c r="J1451" s="38">
        <v>35125</v>
      </c>
      <c r="K1451" s="38">
        <v>12</v>
      </c>
      <c r="L1451" s="38">
        <v>51612</v>
      </c>
      <c r="M1451" s="38">
        <v>12</v>
      </c>
    </row>
    <row r="1452" spans="1:25" x14ac:dyDescent="0.25">
      <c r="A1452" s="39" t="str">
        <f>IF(F1452="","",VLOOKUP(F1452,Tabelle1[],3))</f>
        <v>JUNIK</v>
      </c>
      <c r="B1452" s="40" t="str">
        <f>IF(F1452="","",VLOOKUP(F1452,Tabelle1[],2))</f>
        <v>GACAFERI-RG</v>
      </c>
      <c r="C1452" s="40"/>
      <c r="D1452" s="41">
        <v>46161</v>
      </c>
      <c r="E1452" s="80"/>
      <c r="F1452" s="78">
        <v>20205</v>
      </c>
      <c r="G1452" s="43">
        <v>120</v>
      </c>
      <c r="H1452" s="38">
        <v>35108</v>
      </c>
      <c r="I1452" s="38">
        <v>12</v>
      </c>
      <c r="J1452" s="38">
        <v>35121</v>
      </c>
      <c r="K1452" s="38">
        <v>12</v>
      </c>
      <c r="L1452" s="38">
        <v>56117</v>
      </c>
      <c r="M1452" s="38">
        <v>6</v>
      </c>
    </row>
    <row r="1453" spans="1:25" x14ac:dyDescent="0.25">
      <c r="A1453" s="39" t="str">
        <f>IF(F1453="","",VLOOKUP(F1453,Tabelle1[],3))</f>
        <v>GJAKOVE</v>
      </c>
      <c r="B1453" s="40" t="str">
        <f>IF(F1453="","",VLOOKUP(F1453,Tabelle1[],2))</f>
        <v>ERINA</v>
      </c>
      <c r="C1453" s="40"/>
      <c r="D1453" s="41">
        <v>46161</v>
      </c>
      <c r="E1453" s="80"/>
      <c r="F1453" s="78">
        <v>20222</v>
      </c>
      <c r="G1453" s="43">
        <v>96</v>
      </c>
      <c r="H1453" s="38">
        <v>35114</v>
      </c>
      <c r="I1453" s="38">
        <v>12</v>
      </c>
      <c r="J1453" s="38">
        <v>35121</v>
      </c>
      <c r="K1453" s="38">
        <v>12</v>
      </c>
    </row>
    <row r="1454" spans="1:25" x14ac:dyDescent="0.25">
      <c r="A1454" s="39" t="str">
        <f>IF(F1454="","",VLOOKUP(F1454,Tabelle1[],3))</f>
        <v>GJAKOVE</v>
      </c>
      <c r="B1454" s="40" t="str">
        <f>IF(F1454="","",VLOOKUP(F1454,Tabelle1[],2))</f>
        <v>INOX 2</v>
      </c>
      <c r="C1454" s="40"/>
      <c r="D1454" s="41">
        <v>46161</v>
      </c>
      <c r="E1454" s="80"/>
      <c r="F1454" s="78">
        <v>20212</v>
      </c>
      <c r="G1454" s="43">
        <v>96</v>
      </c>
      <c r="H1454" s="38">
        <v>35113</v>
      </c>
      <c r="I1454" s="38">
        <v>12</v>
      </c>
      <c r="J1454" s="38">
        <v>35121</v>
      </c>
      <c r="K1454" s="38">
        <v>12</v>
      </c>
    </row>
    <row r="1455" spans="1:25" x14ac:dyDescent="0.25">
      <c r="A1455" s="39" t="str">
        <f>IF(F1455="","",VLOOKUP(F1455,Tabelle1[],3))</f>
        <v>JUNIK</v>
      </c>
      <c r="B1455" s="40" t="str">
        <f>IF(F1455="","",VLOOKUP(F1455,Tabelle1[],2))</f>
        <v>ERENIKU</v>
      </c>
      <c r="C1455" s="40"/>
      <c r="D1455" s="41">
        <v>46161</v>
      </c>
      <c r="E1455" s="80"/>
      <c r="F1455" s="78">
        <v>20206</v>
      </c>
      <c r="G1455" s="43">
        <v>55.2</v>
      </c>
      <c r="H1455" s="38">
        <v>51612</v>
      </c>
      <c r="I1455" s="38">
        <v>24</v>
      </c>
    </row>
    <row r="1456" spans="1:25" x14ac:dyDescent="0.25">
      <c r="A1456" s="39" t="str">
        <f>IF(F1456="","",VLOOKUP(F1456,Tabelle1[],3))</f>
        <v>DEQAN</v>
      </c>
      <c r="B1456" s="40" t="str">
        <f>IF(F1456="","",VLOOKUP(F1456,Tabelle1[],2))</f>
        <v>TE BESIMI</v>
      </c>
      <c r="C1456" s="40"/>
      <c r="D1456" s="41">
        <v>46161</v>
      </c>
      <c r="E1456" s="80"/>
      <c r="F1456" s="78">
        <v>20201</v>
      </c>
      <c r="G1456" s="43">
        <v>159</v>
      </c>
      <c r="H1456" s="38">
        <v>35111</v>
      </c>
      <c r="I1456" s="38">
        <v>24</v>
      </c>
      <c r="J1456" s="38">
        <v>35114</v>
      </c>
      <c r="K1456" s="38">
        <v>12</v>
      </c>
      <c r="L1456" s="38">
        <v>51611</v>
      </c>
      <c r="M1456" s="38">
        <v>12</v>
      </c>
    </row>
    <row r="1457" spans="1:19" x14ac:dyDescent="0.25">
      <c r="A1457" s="39" t="str">
        <f>IF(F1457="","",VLOOKUP(F1457,Tabelle1[],3))</f>
        <v>PEJE</v>
      </c>
      <c r="B1457" s="40" t="str">
        <f>IF(F1457="","",VLOOKUP(F1457,Tabelle1[],2))</f>
        <v>TERMO PROJEKT</v>
      </c>
      <c r="C1457" s="40"/>
      <c r="D1457" s="41">
        <v>46161</v>
      </c>
      <c r="E1457" s="80"/>
      <c r="F1457" s="78">
        <v>20127</v>
      </c>
      <c r="G1457" s="43">
        <v>100.4</v>
      </c>
      <c r="H1457" s="38">
        <v>35121</v>
      </c>
      <c r="I1457" s="38">
        <v>24</v>
      </c>
      <c r="J1457" s="38">
        <v>50912</v>
      </c>
      <c r="K1457" s="38">
        <v>2</v>
      </c>
    </row>
    <row r="1458" spans="1:19" x14ac:dyDescent="0.25">
      <c r="A1458" s="39" t="str">
        <f>IF(F1458="","",VLOOKUP(F1458,Tabelle1[],3))</f>
        <v>DEQAN</v>
      </c>
      <c r="B1458" s="40" t="str">
        <f>IF(F1458="","",VLOOKUP(F1458,Tabelle1[],2))</f>
        <v>AFRIMI-AG</v>
      </c>
      <c r="C1458" s="40"/>
      <c r="D1458" s="41">
        <v>46161</v>
      </c>
      <c r="E1458" s="80"/>
      <c r="F1458" s="78">
        <v>20203</v>
      </c>
      <c r="G1458" s="43">
        <v>193.4</v>
      </c>
      <c r="H1458" s="38">
        <v>66701</v>
      </c>
      <c r="I1458" s="38">
        <v>12</v>
      </c>
      <c r="J1458" s="38">
        <v>35111</v>
      </c>
      <c r="K1458" s="38">
        <v>12</v>
      </c>
      <c r="L1458" s="38">
        <v>35115</v>
      </c>
      <c r="M1458" s="38">
        <v>12</v>
      </c>
      <c r="N1458" s="38">
        <v>44001</v>
      </c>
      <c r="O1458" s="38">
        <v>7</v>
      </c>
      <c r="P1458" s="38">
        <v>29802</v>
      </c>
      <c r="Q1458" s="38">
        <v>4</v>
      </c>
    </row>
    <row r="1459" spans="1:19" x14ac:dyDescent="0.25">
      <c r="A1459" s="39" t="str">
        <f>IF(F1459="","",VLOOKUP(F1459,Tabelle1[],3))</f>
        <v>GJILAN</v>
      </c>
      <c r="B1459" s="40" t="str">
        <f>IF(F1459="","",VLOOKUP(F1459,Tabelle1[],2))</f>
        <v>FUNDAMETI</v>
      </c>
      <c r="C1459" s="40"/>
      <c r="D1459" s="41">
        <v>46162</v>
      </c>
      <c r="E1459" s="80"/>
      <c r="F1459" s="78">
        <v>10301</v>
      </c>
      <c r="G1459" s="43">
        <v>96</v>
      </c>
      <c r="H1459" s="38">
        <v>35113</v>
      </c>
      <c r="I1459" s="38">
        <v>24</v>
      </c>
    </row>
    <row r="1460" spans="1:19" x14ac:dyDescent="0.25">
      <c r="A1460" s="39" t="str">
        <f>IF(F1460="","",VLOOKUP(F1460,Tabelle1[],3))</f>
        <v>GJILAN</v>
      </c>
      <c r="B1460" s="40" t="str">
        <f>IF(F1460="","",VLOOKUP(F1460,Tabelle1[],2))</f>
        <v>MIRSADI</v>
      </c>
      <c r="C1460" s="40"/>
      <c r="D1460" s="41">
        <v>46162</v>
      </c>
      <c r="E1460" s="80"/>
      <c r="F1460" s="78">
        <v>10366</v>
      </c>
      <c r="G1460" s="43">
        <v>192</v>
      </c>
      <c r="H1460" s="38">
        <v>35109</v>
      </c>
      <c r="I1460" s="38">
        <v>12</v>
      </c>
      <c r="J1460" s="38">
        <v>35110</v>
      </c>
      <c r="K1460" s="38">
        <v>12</v>
      </c>
      <c r="L1460" s="38">
        <v>35121</v>
      </c>
      <c r="M1460" s="38">
        <v>12</v>
      </c>
      <c r="N1460" s="38">
        <v>35128</v>
      </c>
      <c r="O1460" s="38">
        <v>12</v>
      </c>
    </row>
    <row r="1461" spans="1:19" x14ac:dyDescent="0.25">
      <c r="A1461" s="39" t="str">
        <f>IF(F1461="","",VLOOKUP(F1461,Tabelle1[],3))</f>
        <v>VITI</v>
      </c>
      <c r="B1461" s="40" t="str">
        <f>IF(F1461="","",VLOOKUP(F1461,Tabelle1[],2))</f>
        <v>DARDANIA</v>
      </c>
      <c r="C1461" s="40"/>
      <c r="D1461" s="41">
        <v>46162</v>
      </c>
      <c r="E1461" s="80"/>
      <c r="F1461" s="78">
        <v>10332</v>
      </c>
      <c r="G1461" s="43">
        <v>144</v>
      </c>
      <c r="H1461" s="38">
        <v>35125</v>
      </c>
      <c r="I1461" s="38">
        <v>12</v>
      </c>
      <c r="J1461" s="38">
        <v>35128</v>
      </c>
      <c r="K1461" s="38">
        <v>24</v>
      </c>
    </row>
    <row r="1462" spans="1:19" x14ac:dyDescent="0.25">
      <c r="A1462" s="39" t="str">
        <f>IF(F1462="","",VLOOKUP(F1462,Tabelle1[],3))</f>
        <v>POZHARAN</v>
      </c>
      <c r="B1462" s="40" t="str">
        <f>IF(F1462="","",VLOOKUP(F1462,Tabelle1[],2))</f>
        <v>BURIMI</v>
      </c>
      <c r="C1462" s="40"/>
      <c r="D1462" s="41">
        <v>46162</v>
      </c>
      <c r="E1462" s="80"/>
      <c r="F1462" s="78">
        <v>10330</v>
      </c>
      <c r="G1462" s="43">
        <v>48</v>
      </c>
      <c r="H1462" s="38">
        <v>35111</v>
      </c>
      <c r="I1462" s="38">
        <v>12</v>
      </c>
    </row>
    <row r="1463" spans="1:19" x14ac:dyDescent="0.25">
      <c r="A1463" s="39" t="str">
        <f>IF(F1463="","",VLOOKUP(F1463,Tabelle1[],3))</f>
        <v>VITI</v>
      </c>
      <c r="B1463" s="40" t="str">
        <f>IF(F1463="","",VLOOKUP(F1463,Tabelle1[],2))</f>
        <v>SMIRA</v>
      </c>
      <c r="C1463" s="40"/>
      <c r="D1463" s="41">
        <v>46162</v>
      </c>
      <c r="E1463" s="80"/>
      <c r="F1463" s="78">
        <v>10352</v>
      </c>
      <c r="G1463" s="43">
        <v>96</v>
      </c>
      <c r="H1463" s="38">
        <v>35113</v>
      </c>
      <c r="I1463" s="38">
        <v>12</v>
      </c>
      <c r="J1463" s="38">
        <v>35114</v>
      </c>
      <c r="K1463" s="38">
        <v>12</v>
      </c>
    </row>
    <row r="1464" spans="1:19" x14ac:dyDescent="0.25">
      <c r="A1464" s="39" t="str">
        <f>IF(F1464="","",VLOOKUP(F1464,Tabelle1[],3))</f>
        <v>VITI</v>
      </c>
      <c r="B1464" s="40" t="str">
        <f>IF(F1464="","",VLOOKUP(F1464,Tabelle1[],2))</f>
        <v>BALLKANI</v>
      </c>
      <c r="C1464" s="40"/>
      <c r="D1464" s="41">
        <v>46162</v>
      </c>
      <c r="E1464" s="80"/>
      <c r="F1464" s="78">
        <v>10350</v>
      </c>
      <c r="G1464" s="43">
        <v>192</v>
      </c>
      <c r="H1464" s="38">
        <v>35128</v>
      </c>
      <c r="I1464" s="38">
        <v>12</v>
      </c>
      <c r="J1464" s="38">
        <v>35121</v>
      </c>
      <c r="K1464" s="38">
        <v>36</v>
      </c>
    </row>
    <row r="1465" spans="1:19" x14ac:dyDescent="0.25">
      <c r="A1465" s="39" t="str">
        <f>IF(F1465="","",VLOOKUP(F1465,Tabelle1[],3))</f>
        <v>GJILAN</v>
      </c>
      <c r="B1465" s="40" t="str">
        <f>IF(F1465="","",VLOOKUP(F1465,Tabelle1[],2))</f>
        <v>BEKA-2</v>
      </c>
      <c r="C1465" s="40"/>
      <c r="D1465" s="41">
        <v>46162</v>
      </c>
      <c r="E1465" s="80"/>
      <c r="F1465" s="78">
        <v>10317</v>
      </c>
      <c r="G1465" s="43">
        <v>60</v>
      </c>
      <c r="H1465" s="38">
        <v>50912</v>
      </c>
      <c r="I1465" s="38">
        <v>5</v>
      </c>
      <c r="J1465" s="38">
        <v>54412</v>
      </c>
      <c r="K1465" s="38">
        <v>12</v>
      </c>
    </row>
    <row r="1466" spans="1:19" x14ac:dyDescent="0.25">
      <c r="A1466" s="39" t="str">
        <f>IF(F1466="","",VLOOKUP(F1466,Tabelle1[],3))</f>
        <v>GJILAN</v>
      </c>
      <c r="B1466" s="40" t="str">
        <f>IF(F1466="","",VLOOKUP(F1466,Tabelle1[],2))</f>
        <v>ERALP</v>
      </c>
      <c r="C1466" s="40"/>
      <c r="D1466" s="41">
        <v>46162</v>
      </c>
      <c r="E1466" s="80"/>
      <c r="F1466" s="78">
        <v>10308</v>
      </c>
      <c r="G1466" s="43">
        <v>144</v>
      </c>
      <c r="H1466" s="38">
        <v>35112</v>
      </c>
      <c r="I1466" s="38">
        <v>12</v>
      </c>
      <c r="J1466" s="38">
        <v>35113</v>
      </c>
      <c r="K1466" s="38">
        <v>24</v>
      </c>
    </row>
    <row r="1467" spans="1:19" x14ac:dyDescent="0.25">
      <c r="A1467" s="39" t="str">
        <f>IF(F1467="","",VLOOKUP(F1467,Tabelle1[],3))</f>
        <v>GJILAN</v>
      </c>
      <c r="B1467" s="40" t="str">
        <f>IF(F1467="","",VLOOKUP(F1467,Tabelle1[],2))</f>
        <v>FATMIRI</v>
      </c>
      <c r="C1467" s="40"/>
      <c r="D1467" s="41">
        <v>46162</v>
      </c>
      <c r="E1467" s="80"/>
      <c r="F1467" s="78">
        <v>10313</v>
      </c>
      <c r="G1467" s="43">
        <v>144</v>
      </c>
      <c r="H1467" s="38">
        <v>35112</v>
      </c>
      <c r="I1467" s="38">
        <v>12</v>
      </c>
      <c r="J1467" s="38">
        <v>35111</v>
      </c>
      <c r="K1467" s="38">
        <v>12</v>
      </c>
      <c r="L1467" s="38">
        <v>35113</v>
      </c>
      <c r="M1467" s="38">
        <v>12</v>
      </c>
    </row>
    <row r="1468" spans="1:19" x14ac:dyDescent="0.25">
      <c r="A1468" s="39" t="str">
        <f>IF(F1468="","",VLOOKUP(F1468,Tabelle1[],3))</f>
        <v>RAHOVEC</v>
      </c>
      <c r="B1468" s="40" t="str">
        <f>IF(F1468="","",VLOOKUP(F1468,Tabelle1[],2))</f>
        <v>CONDOR</v>
      </c>
      <c r="C1468" s="40"/>
      <c r="D1468" s="41">
        <v>46162</v>
      </c>
      <c r="E1468" s="80"/>
      <c r="F1468" s="78">
        <v>20307</v>
      </c>
      <c r="G1468" s="43">
        <v>411</v>
      </c>
      <c r="H1468" s="38">
        <v>35110</v>
      </c>
      <c r="I1468" s="38">
        <v>12</v>
      </c>
      <c r="J1468" s="38">
        <v>35113</v>
      </c>
      <c r="K1468" s="38">
        <v>12</v>
      </c>
      <c r="L1468" s="38">
        <v>35125</v>
      </c>
      <c r="M1468" s="38">
        <v>12</v>
      </c>
      <c r="N1468" s="38">
        <v>66701</v>
      </c>
      <c r="O1468" s="38">
        <v>24</v>
      </c>
      <c r="P1468" s="38">
        <v>51611</v>
      </c>
      <c r="Q1468" s="38">
        <v>36</v>
      </c>
      <c r="R1468" s="38">
        <v>51612</v>
      </c>
      <c r="S1468" s="38">
        <v>36</v>
      </c>
    </row>
    <row r="1469" spans="1:19" x14ac:dyDescent="0.25">
      <c r="A1469" s="39" t="str">
        <f>IF(F1469="","",VLOOKUP(F1469,Tabelle1[],3))</f>
        <v>MALISHEVE</v>
      </c>
      <c r="B1469" s="40" t="str">
        <f>IF(F1469="","",VLOOKUP(F1469,Tabelle1[],2))</f>
        <v>HAZROLLI</v>
      </c>
      <c r="C1469" s="40"/>
      <c r="D1469" s="41">
        <v>46162</v>
      </c>
      <c r="E1469" s="80"/>
      <c r="F1469" s="78">
        <v>20301</v>
      </c>
      <c r="G1469" s="43">
        <v>69.599999999999994</v>
      </c>
      <c r="H1469" s="38">
        <v>66701</v>
      </c>
      <c r="I1469" s="38">
        <v>12</v>
      </c>
    </row>
    <row r="1470" spans="1:19" x14ac:dyDescent="0.25">
      <c r="A1470" s="39" t="str">
        <f>IF(F1470="","",VLOOKUP(F1470,Tabelle1[],3))</f>
        <v>MALISHEVE</v>
      </c>
      <c r="B1470" s="40" t="str">
        <f>IF(F1470="","",VLOOKUP(F1470,Tabelle1[],2))</f>
        <v>BEREQETI</v>
      </c>
      <c r="C1470" s="40"/>
      <c r="D1470" s="41">
        <v>46162</v>
      </c>
      <c r="E1470" s="80"/>
      <c r="F1470" s="78">
        <v>20321</v>
      </c>
      <c r="G1470" s="43">
        <v>372</v>
      </c>
      <c r="H1470" s="38">
        <v>35121</v>
      </c>
      <c r="I1470" s="38">
        <v>24</v>
      </c>
      <c r="J1470" s="38">
        <v>51612</v>
      </c>
      <c r="K1470" s="38">
        <v>120</v>
      </c>
    </row>
    <row r="1471" spans="1:19" x14ac:dyDescent="0.25">
      <c r="A1471" s="39" t="str">
        <f>IF(F1471="","",VLOOKUP(F1471,Tabelle1[],3))</f>
        <v>MALISHEVE</v>
      </c>
      <c r="B1471" s="40" t="str">
        <f>IF(F1471="","",VLOOKUP(F1471,Tabelle1[],2))</f>
        <v>FITIMI</v>
      </c>
      <c r="C1471" s="40"/>
      <c r="D1471" s="41">
        <v>46162</v>
      </c>
      <c r="E1471" s="80"/>
      <c r="F1471" s="78">
        <v>20306</v>
      </c>
      <c r="G1471" s="43">
        <v>96</v>
      </c>
      <c r="H1471" s="38">
        <v>35109</v>
      </c>
      <c r="I1471" s="38">
        <v>12</v>
      </c>
      <c r="J1471" s="38">
        <v>35125</v>
      </c>
      <c r="K1471" s="38">
        <v>12</v>
      </c>
    </row>
    <row r="1472" spans="1:19" x14ac:dyDescent="0.25">
      <c r="A1472" s="39" t="str">
        <f>IF(F1472="","",VLOOKUP(F1472,Tabelle1[],3))</f>
        <v>RAHOVEC</v>
      </c>
      <c r="B1472" s="40" t="str">
        <f>IF(F1472="","",VLOOKUP(F1472,Tabelle1[],2))</f>
        <v>DURGUTI 3</v>
      </c>
      <c r="C1472" s="40"/>
      <c r="D1472" s="41">
        <v>46162</v>
      </c>
      <c r="E1472" s="80"/>
      <c r="F1472" s="78">
        <v>20313</v>
      </c>
      <c r="G1472" s="43">
        <v>75.599999999999994</v>
      </c>
      <c r="H1472" s="38">
        <v>35119</v>
      </c>
      <c r="I1472" s="38">
        <v>12</v>
      </c>
      <c r="J1472" s="38">
        <v>51612</v>
      </c>
      <c r="K1472" s="38">
        <v>12</v>
      </c>
    </row>
    <row r="1473" spans="1:15" x14ac:dyDescent="0.25">
      <c r="A1473" s="39" t="str">
        <f>IF(F1473="","",VLOOKUP(F1473,Tabelle1[],3))</f>
        <v>RAHOVEC</v>
      </c>
      <c r="B1473" s="40" t="str">
        <f>IF(F1473="","",VLOOKUP(F1473,Tabelle1[],2))</f>
        <v>SOPAJ</v>
      </c>
      <c r="C1473" s="40"/>
      <c r="D1473" s="41">
        <v>46162</v>
      </c>
      <c r="E1473" s="80"/>
      <c r="F1473" s="78">
        <v>20311</v>
      </c>
      <c r="G1473" s="43">
        <v>144</v>
      </c>
      <c r="H1473" s="38">
        <v>35110</v>
      </c>
      <c r="I1473" s="38">
        <v>12</v>
      </c>
      <c r="J1473" s="38">
        <v>35113</v>
      </c>
      <c r="K1473" s="38">
        <v>12</v>
      </c>
      <c r="L1473" s="38">
        <v>35119</v>
      </c>
      <c r="M1473" s="38">
        <v>12</v>
      </c>
    </row>
    <row r="1474" spans="1:15" x14ac:dyDescent="0.25">
      <c r="A1474" s="39" t="str">
        <f>IF(F1474="","",VLOOKUP(F1474,Tabelle1[],3))</f>
        <v>VUSHTRRI</v>
      </c>
      <c r="B1474" s="40" t="str">
        <f>IF(F1474="","",VLOOKUP(F1474,Tabelle1[],2))</f>
        <v>SAN KOS</v>
      </c>
      <c r="C1474" s="40"/>
      <c r="D1474" s="41">
        <v>46163</v>
      </c>
      <c r="E1474" s="80"/>
      <c r="F1474" s="78">
        <v>10429</v>
      </c>
      <c r="G1474" s="43">
        <v>4</v>
      </c>
      <c r="H1474" s="38">
        <v>35112</v>
      </c>
      <c r="I1474" s="38">
        <v>1</v>
      </c>
    </row>
    <row r="1475" spans="1:15" x14ac:dyDescent="0.25">
      <c r="A1475" s="39" t="str">
        <f>IF(F1475="","",VLOOKUP(F1475,Tabelle1[],3))</f>
        <v>VUSHTRRI</v>
      </c>
      <c r="B1475" s="40" t="str">
        <f>IF(F1475="","",VLOOKUP(F1475,Tabelle1[],2))</f>
        <v>SAN KOS</v>
      </c>
      <c r="C1475" s="40"/>
      <c r="D1475" s="41">
        <v>46163</v>
      </c>
      <c r="E1475" s="80"/>
      <c r="F1475" s="78">
        <v>10429</v>
      </c>
      <c r="G1475" s="43">
        <v>48</v>
      </c>
      <c r="H1475" s="38">
        <v>35113</v>
      </c>
      <c r="I1475" s="38">
        <v>12</v>
      </c>
    </row>
    <row r="1476" spans="1:15" x14ac:dyDescent="0.25">
      <c r="A1476" s="39" t="str">
        <f>IF(F1476="","",VLOOKUP(F1476,Tabelle1[],3))</f>
        <v>MITROVICE</v>
      </c>
      <c r="B1476" s="40" t="str">
        <f>IF(F1476="","",VLOOKUP(F1476,Tabelle1[],2))</f>
        <v>UNIVERZAL</v>
      </c>
      <c r="C1476" s="40"/>
      <c r="D1476" s="41">
        <v>46163</v>
      </c>
      <c r="E1476" s="80"/>
      <c r="F1476" s="78">
        <v>10413</v>
      </c>
      <c r="G1476" s="43">
        <v>141.1</v>
      </c>
      <c r="H1476" s="38">
        <v>35110</v>
      </c>
      <c r="I1476" s="38">
        <v>12</v>
      </c>
      <c r="J1476" s="38">
        <v>35111</v>
      </c>
      <c r="K1476" s="38">
        <v>12</v>
      </c>
      <c r="L1476" s="38">
        <v>55718</v>
      </c>
      <c r="M1476" s="38">
        <v>5</v>
      </c>
      <c r="N1476" s="38">
        <v>51612</v>
      </c>
      <c r="O1476" s="38">
        <v>12</v>
      </c>
    </row>
    <row r="1477" spans="1:15" x14ac:dyDescent="0.25">
      <c r="A1477" s="39" t="str">
        <f>IF(F1477="","",VLOOKUP(F1477,Tabelle1[],3))</f>
        <v>MITROVICE</v>
      </c>
      <c r="B1477" s="40" t="str">
        <f>IF(F1477="","",VLOOKUP(F1477,Tabelle1[],2))</f>
        <v>AGRONI</v>
      </c>
      <c r="C1477" s="40"/>
      <c r="D1477" s="41">
        <v>46163</v>
      </c>
      <c r="E1477" s="80"/>
      <c r="F1477" s="78">
        <v>10406</v>
      </c>
      <c r="G1477" s="43">
        <v>79.2</v>
      </c>
      <c r="H1477" s="38">
        <v>50912</v>
      </c>
      <c r="I1477" s="38">
        <v>6</v>
      </c>
      <c r="J1477" s="38">
        <v>56117</v>
      </c>
      <c r="K1477" s="38">
        <v>6</v>
      </c>
      <c r="L1477" s="38">
        <v>49644</v>
      </c>
      <c r="M1477" s="38">
        <v>6</v>
      </c>
    </row>
    <row r="1478" spans="1:15" x14ac:dyDescent="0.25">
      <c r="A1478" s="39" t="str">
        <f>IF(F1478="","",VLOOKUP(F1478,Tabelle1[],3))</f>
        <v>MITROVICE</v>
      </c>
      <c r="B1478" s="40" t="str">
        <f>IF(F1478="","",VLOOKUP(F1478,Tabelle1[],2))</f>
        <v>GRANITI</v>
      </c>
      <c r="C1478" s="40"/>
      <c r="D1478" s="41">
        <v>46163</v>
      </c>
      <c r="E1478" s="80"/>
      <c r="F1478" s="78">
        <v>10410</v>
      </c>
      <c r="G1478" s="43">
        <v>96</v>
      </c>
      <c r="H1478" s="38">
        <v>35111</v>
      </c>
      <c r="I1478" s="38">
        <v>12</v>
      </c>
      <c r="J1478" s="38">
        <v>35121</v>
      </c>
      <c r="K1478" s="38">
        <v>12</v>
      </c>
    </row>
    <row r="1479" spans="1:15" x14ac:dyDescent="0.25">
      <c r="A1479" s="39" t="str">
        <f>IF(F1479="","",VLOOKUP(F1479,Tabelle1[],3))</f>
        <v>MITROVICE</v>
      </c>
      <c r="B1479" s="40" t="str">
        <f>IF(F1479="","",VLOOKUP(F1479,Tabelle1[],2))</f>
        <v>VISARI HH</v>
      </c>
      <c r="C1479" s="40"/>
      <c r="D1479" s="41">
        <v>46163</v>
      </c>
      <c r="E1479" s="80"/>
      <c r="F1479" s="78">
        <v>10412</v>
      </c>
      <c r="G1479" s="43">
        <v>96</v>
      </c>
      <c r="H1479" s="38">
        <v>35121</v>
      </c>
      <c r="I1479" s="38">
        <v>12</v>
      </c>
      <c r="J1479" s="38">
        <v>35110</v>
      </c>
      <c r="K1479" s="38">
        <v>12</v>
      </c>
    </row>
    <row r="1480" spans="1:15" x14ac:dyDescent="0.25">
      <c r="A1480" s="39" t="str">
        <f>IF(F1480="","",VLOOKUP(F1480,Tabelle1[],3))</f>
        <v>VUSHTRRI</v>
      </c>
      <c r="B1480" s="40" t="str">
        <f>IF(F1480="","",VLOOKUP(F1480,Tabelle1[],2))</f>
        <v>ENISI - H</v>
      </c>
      <c r="C1480" s="40"/>
      <c r="D1480" s="41">
        <v>46163</v>
      </c>
      <c r="E1480" s="80"/>
      <c r="F1480" s="78">
        <v>10428</v>
      </c>
      <c r="G1480" s="43">
        <v>48</v>
      </c>
      <c r="H1480" s="38">
        <v>35111</v>
      </c>
      <c r="I1480" s="38">
        <v>12</v>
      </c>
    </row>
    <row r="1481" spans="1:15" x14ac:dyDescent="0.25">
      <c r="A1481" s="39" t="str">
        <f>IF(F1481="","",VLOOKUP(F1481,Tabelle1[],3))</f>
        <v>FERIZAJ</v>
      </c>
      <c r="B1481" s="40" t="str">
        <f>IF(F1481="","",VLOOKUP(F1481,Tabelle1[],2))</f>
        <v>PROCOM</v>
      </c>
      <c r="C1481" s="40"/>
      <c r="D1481" s="41">
        <v>46164</v>
      </c>
      <c r="E1481" s="80"/>
      <c r="F1481" s="78">
        <v>10502</v>
      </c>
      <c r="G1481" s="43">
        <v>52</v>
      </c>
      <c r="H1481" s="38">
        <v>50912</v>
      </c>
      <c r="I1481" s="38">
        <v>3</v>
      </c>
      <c r="J1481" s="38">
        <v>35113</v>
      </c>
      <c r="K1481" s="38">
        <v>7</v>
      </c>
    </row>
    <row r="1482" spans="1:15" x14ac:dyDescent="0.25">
      <c r="A1482" s="39" t="str">
        <f>IF(F1482="","",VLOOKUP(F1482,Tabelle1[],3))</f>
        <v>FERIZAJ</v>
      </c>
      <c r="B1482" s="40" t="str">
        <f>IF(F1482="","",VLOOKUP(F1482,Tabelle1[],2))</f>
        <v>PROCOM</v>
      </c>
      <c r="C1482" s="40"/>
      <c r="D1482" s="41">
        <v>46164</v>
      </c>
      <c r="E1482" s="80"/>
      <c r="F1482" s="78">
        <v>10502</v>
      </c>
      <c r="G1482" s="43">
        <v>68</v>
      </c>
      <c r="H1482" s="38">
        <v>35113</v>
      </c>
      <c r="I1482" s="38">
        <v>5</v>
      </c>
      <c r="J1482" s="38">
        <v>35121</v>
      </c>
      <c r="K1482" s="38">
        <v>12</v>
      </c>
    </row>
    <row r="1483" spans="1:15" x14ac:dyDescent="0.25">
      <c r="A1483" s="39" t="str">
        <f>IF(F1483="","",VLOOKUP(F1483,Tabelle1[],3))</f>
        <v>FERIZAJ</v>
      </c>
      <c r="B1483" s="40" t="str">
        <f>IF(F1483="","",VLOOKUP(F1483,Tabelle1[],2))</f>
        <v>BEKA</v>
      </c>
      <c r="C1483" s="40"/>
      <c r="D1483" s="41">
        <v>46164</v>
      </c>
      <c r="E1483" s="80"/>
      <c r="F1483" s="78">
        <v>10539</v>
      </c>
      <c r="G1483" s="43">
        <v>48</v>
      </c>
      <c r="H1483" s="38">
        <v>35110</v>
      </c>
      <c r="I1483" s="38">
        <v>12</v>
      </c>
    </row>
    <row r="1484" spans="1:15" x14ac:dyDescent="0.25">
      <c r="A1484" s="39" t="str">
        <f>IF(F1484="","",VLOOKUP(F1484,Tabelle1[],3))</f>
        <v>FERIZAJ</v>
      </c>
      <c r="B1484" s="40" t="str">
        <f>IF(F1484="","",VLOOKUP(F1484,Tabelle1[],2))</f>
        <v>REAL COLOR 2</v>
      </c>
      <c r="C1484" s="40"/>
      <c r="D1484" s="41">
        <v>46164</v>
      </c>
      <c r="E1484" s="80"/>
      <c r="F1484" s="78">
        <v>10507</v>
      </c>
      <c r="G1484" s="43">
        <v>96</v>
      </c>
      <c r="H1484" s="38">
        <v>35109</v>
      </c>
      <c r="I1484" s="38">
        <v>12</v>
      </c>
      <c r="J1484" s="38">
        <v>35115</v>
      </c>
      <c r="K1484" s="38">
        <v>12</v>
      </c>
    </row>
    <row r="1485" spans="1:15" x14ac:dyDescent="0.25">
      <c r="A1485" s="39" t="str">
        <f>IF(F1485="","",VLOOKUP(F1485,Tabelle1[],3))</f>
        <v>FERIZAJ</v>
      </c>
      <c r="B1485" s="40" t="str">
        <f>IF(F1485="","",VLOOKUP(F1485,Tabelle1[],2))</f>
        <v>CARRALEVA 2</v>
      </c>
      <c r="C1485" s="40"/>
      <c r="D1485" s="41">
        <v>46164</v>
      </c>
      <c r="E1485" s="80"/>
      <c r="F1485" s="78">
        <v>10508</v>
      </c>
      <c r="G1485" s="43">
        <v>48</v>
      </c>
      <c r="H1485" s="38">
        <v>35128</v>
      </c>
      <c r="I1485" s="38">
        <v>12</v>
      </c>
    </row>
    <row r="1486" spans="1:15" x14ac:dyDescent="0.25">
      <c r="A1486" s="39" t="str">
        <f>IF(F1486="","",VLOOKUP(F1486,Tabelle1[],3))</f>
        <v>FERIZAJ</v>
      </c>
      <c r="B1486" s="40" t="str">
        <f>IF(F1486="","",VLOOKUP(F1486,Tabelle1[],2))</f>
        <v>LONI</v>
      </c>
      <c r="C1486" s="40"/>
      <c r="D1486" s="41">
        <v>46164</v>
      </c>
      <c r="E1486" s="80"/>
      <c r="F1486" s="78">
        <v>10509</v>
      </c>
      <c r="G1486" s="43">
        <v>63.5</v>
      </c>
      <c r="H1486" s="38">
        <v>44001</v>
      </c>
      <c r="I1486" s="38">
        <v>5</v>
      </c>
      <c r="J1486" s="38">
        <v>49644</v>
      </c>
      <c r="K1486" s="38">
        <v>5</v>
      </c>
      <c r="L1486" s="38">
        <v>50912</v>
      </c>
      <c r="M1486" s="38">
        <v>5</v>
      </c>
    </row>
    <row r="1487" spans="1:15" x14ac:dyDescent="0.25">
      <c r="A1487" s="39" t="str">
        <f>IF(F1487="","",VLOOKUP(F1487,Tabelle1[],3))</f>
        <v>FERIZAJ</v>
      </c>
      <c r="B1487" s="40" t="str">
        <f>IF(F1487="","",VLOOKUP(F1487,Tabelle1[],2))</f>
        <v>CARRALEVA 1</v>
      </c>
      <c r="C1487" s="40"/>
      <c r="D1487" s="41">
        <v>46164</v>
      </c>
      <c r="E1487" s="80"/>
      <c r="F1487" s="78">
        <v>10504</v>
      </c>
      <c r="G1487" s="43">
        <v>96</v>
      </c>
      <c r="H1487" s="38">
        <v>35115</v>
      </c>
      <c r="I1487" s="38">
        <v>12</v>
      </c>
      <c r="J1487" s="38">
        <v>35109</v>
      </c>
      <c r="K1487" s="38">
        <v>12</v>
      </c>
    </row>
    <row r="1488" spans="1:15" x14ac:dyDescent="0.25">
      <c r="A1488" s="39" t="str">
        <f>IF(F1488="","",VLOOKUP(F1488,Tabelle1[],3))</f>
        <v>LIPJAN</v>
      </c>
      <c r="B1488" s="40" t="str">
        <f>IF(F1488="","",VLOOKUP(F1488,Tabelle1[],2))</f>
        <v>ARDI LIPJAN</v>
      </c>
      <c r="C1488" s="40"/>
      <c r="D1488" s="41">
        <v>46164</v>
      </c>
      <c r="E1488" s="80"/>
      <c r="F1488" s="78">
        <v>10529</v>
      </c>
      <c r="G1488" s="43">
        <v>92</v>
      </c>
      <c r="H1488" s="38">
        <v>49644</v>
      </c>
      <c r="I1488" s="38">
        <v>10</v>
      </c>
      <c r="J1488" s="38">
        <v>50912</v>
      </c>
      <c r="K1488" s="38">
        <v>10</v>
      </c>
    </row>
    <row r="1489" spans="1:17" x14ac:dyDescent="0.25">
      <c r="A1489" s="39" t="str">
        <f>IF(F1489="","",VLOOKUP(F1489,Tabelle1[],3))</f>
        <v>LIPJAN</v>
      </c>
      <c r="B1489" s="40" t="str">
        <f>IF(F1489="","",VLOOKUP(F1489,Tabelle1[],2))</f>
        <v>TE RAMIZI</v>
      </c>
      <c r="C1489" s="40"/>
      <c r="D1489" s="41">
        <v>46164</v>
      </c>
      <c r="E1489" s="80"/>
      <c r="F1489" s="78">
        <v>10528</v>
      </c>
      <c r="G1489" s="43">
        <v>53</v>
      </c>
      <c r="H1489" s="38">
        <v>35121</v>
      </c>
      <c r="I1489" s="38">
        <v>12</v>
      </c>
      <c r="J1489" s="38">
        <v>31819</v>
      </c>
      <c r="K1489" s="38">
        <v>2</v>
      </c>
    </row>
    <row r="1490" spans="1:17" x14ac:dyDescent="0.25">
      <c r="A1490" s="39" t="str">
        <f>IF(F1490="","",VLOOKUP(F1490,Tabelle1[],3))</f>
        <v>KLINE</v>
      </c>
      <c r="B1490" s="40" t="str">
        <f>IF(F1490="","",VLOOKUP(F1490,Tabelle1[],2))</f>
        <v>RACI</v>
      </c>
      <c r="C1490" s="40"/>
      <c r="D1490" s="41">
        <v>46164</v>
      </c>
      <c r="E1490" s="80"/>
      <c r="F1490" s="78">
        <v>20501</v>
      </c>
      <c r="G1490" s="43">
        <v>165.6</v>
      </c>
      <c r="H1490" s="38">
        <v>35111</v>
      </c>
      <c r="I1490" s="38">
        <v>12</v>
      </c>
      <c r="J1490" s="38">
        <v>35125</v>
      </c>
      <c r="K1490" s="38">
        <v>12</v>
      </c>
      <c r="L1490" s="38">
        <v>66701</v>
      </c>
      <c r="M1490" s="38">
        <v>12</v>
      </c>
    </row>
    <row r="1491" spans="1:17" x14ac:dyDescent="0.25">
      <c r="A1491" s="39" t="str">
        <f>IF(F1491="","",VLOOKUP(F1491,Tabelle1[],3))</f>
        <v>ISTOG</v>
      </c>
      <c r="B1491" s="40" t="str">
        <f>IF(F1491="","",VLOOKUP(F1491,Tabelle1[],2))</f>
        <v>LIRIDONA KLINE</v>
      </c>
      <c r="C1491" s="40"/>
      <c r="D1491" s="41">
        <v>46164</v>
      </c>
      <c r="E1491" s="80"/>
      <c r="F1491" s="78">
        <v>20511</v>
      </c>
      <c r="G1491" s="43">
        <v>249.6</v>
      </c>
      <c r="H1491" s="38">
        <v>35109</v>
      </c>
      <c r="I1491" s="38">
        <v>24</v>
      </c>
      <c r="J1491" s="38">
        <v>35110</v>
      </c>
      <c r="K1491" s="38">
        <v>12</v>
      </c>
      <c r="L1491" s="38">
        <v>35114</v>
      </c>
      <c r="M1491" s="38">
        <v>12</v>
      </c>
      <c r="N1491" s="38">
        <v>51611</v>
      </c>
      <c r="O1491" s="38">
        <v>12</v>
      </c>
      <c r="P1491" s="38">
        <v>51612</v>
      </c>
      <c r="Q1491" s="38">
        <v>12</v>
      </c>
    </row>
    <row r="1492" spans="1:17" x14ac:dyDescent="0.25">
      <c r="A1492" s="39" t="str">
        <f>IF(F1492="","",VLOOKUP(F1492,Tabelle1[],3))</f>
        <v>KLINE</v>
      </c>
      <c r="B1492" s="40" t="str">
        <f>IF(F1492="","",VLOOKUP(F1492,Tabelle1[],2))</f>
        <v>HOXHA</v>
      </c>
      <c r="C1492" s="40"/>
      <c r="D1492" s="41">
        <v>46164</v>
      </c>
      <c r="E1492" s="80"/>
      <c r="F1492" s="78">
        <v>20502</v>
      </c>
      <c r="G1492" s="43">
        <v>48</v>
      </c>
      <c r="H1492" s="38">
        <v>35119</v>
      </c>
      <c r="I1492" s="38">
        <v>12</v>
      </c>
    </row>
    <row r="1493" spans="1:17" x14ac:dyDescent="0.25">
      <c r="A1493" s="39" t="str">
        <f>IF(F1493="","",VLOOKUP(F1493,Tabelle1[],3))</f>
        <v>ISTOG</v>
      </c>
      <c r="B1493" s="40" t="str">
        <f>IF(F1493="","",VLOOKUP(F1493,Tabelle1[],2))</f>
        <v>LIRIDONA HOME</v>
      </c>
      <c r="C1493" s="40"/>
      <c r="D1493" s="41">
        <v>46164</v>
      </c>
      <c r="E1493" s="80"/>
      <c r="F1493" s="78">
        <v>20508</v>
      </c>
      <c r="G1493" s="43">
        <v>144</v>
      </c>
      <c r="H1493" s="38">
        <v>35109</v>
      </c>
      <c r="I1493" s="38">
        <v>24</v>
      </c>
      <c r="J1493" s="38">
        <v>35113</v>
      </c>
      <c r="K1493" s="38">
        <v>12</v>
      </c>
    </row>
    <row r="1494" spans="1:17" x14ac:dyDescent="0.25">
      <c r="A1494" s="39" t="str">
        <f>IF(F1494="","",VLOOKUP(F1494,Tabelle1[],3))</f>
        <v>ISTOG</v>
      </c>
      <c r="B1494" s="40" t="str">
        <f>IF(F1494="","",VLOOKUP(F1494,Tabelle1[],2))</f>
        <v>LIRIDONA-A</v>
      </c>
      <c r="C1494" s="40"/>
      <c r="D1494" s="41">
        <v>46164</v>
      </c>
      <c r="E1494" s="80"/>
      <c r="F1494" s="78">
        <v>20515</v>
      </c>
      <c r="G1494" s="43">
        <v>138.6</v>
      </c>
      <c r="H1494" s="38">
        <v>35109</v>
      </c>
      <c r="I1494" s="38">
        <v>12</v>
      </c>
      <c r="J1494" s="38">
        <v>35110</v>
      </c>
      <c r="K1494" s="38">
        <v>12</v>
      </c>
      <c r="L1494" s="38">
        <v>51611</v>
      </c>
      <c r="M1494" s="38">
        <v>12</v>
      </c>
      <c r="N1494" s="38">
        <v>51612</v>
      </c>
      <c r="O1494" s="38">
        <v>12</v>
      </c>
    </row>
    <row r="1495" spans="1:17" x14ac:dyDescent="0.25">
      <c r="A1495" s="39" t="str">
        <f>IF(F1495="","",VLOOKUP(F1495,Tabelle1[],3))</f>
        <v>SKENDERAJ</v>
      </c>
      <c r="B1495" s="40" t="str">
        <f>IF(F1495="","",VLOOKUP(F1495,Tabelle1[],2))</f>
        <v>TE BENI</v>
      </c>
      <c r="C1495" s="40"/>
      <c r="D1495" s="41">
        <v>46164</v>
      </c>
      <c r="E1495" s="80"/>
      <c r="F1495" s="78">
        <v>20407</v>
      </c>
      <c r="G1495" s="43">
        <v>192</v>
      </c>
      <c r="H1495" s="38">
        <v>35113</v>
      </c>
      <c r="I1495" s="38">
        <v>24</v>
      </c>
      <c r="J1495" s="38">
        <v>35115</v>
      </c>
      <c r="K1495" s="38">
        <v>12</v>
      </c>
      <c r="L1495" s="38">
        <v>35121</v>
      </c>
      <c r="M1495" s="38">
        <v>12</v>
      </c>
    </row>
    <row r="1496" spans="1:17" x14ac:dyDescent="0.25">
      <c r="A1496" s="39" t="str">
        <f>IF(F1496="","",VLOOKUP(F1496,Tabelle1[],3))</f>
        <v>ISTOG</v>
      </c>
      <c r="B1496" s="40" t="str">
        <f>IF(F1496="","",VLOOKUP(F1496,Tabelle1[],2))</f>
        <v>BERATI A.P. (1)</v>
      </c>
      <c r="C1496" s="40"/>
      <c r="D1496" s="41">
        <v>46164</v>
      </c>
      <c r="E1496" s="80"/>
      <c r="F1496" s="78">
        <v>20513</v>
      </c>
      <c r="G1496" s="43">
        <v>123.2</v>
      </c>
      <c r="H1496" s="38">
        <v>50912</v>
      </c>
      <c r="I1496" s="38">
        <v>12</v>
      </c>
      <c r="J1496" s="38">
        <v>55718</v>
      </c>
      <c r="K1496" s="38">
        <v>5</v>
      </c>
      <c r="L1496" s="38">
        <v>44001</v>
      </c>
      <c r="M1496" s="38">
        <v>5</v>
      </c>
      <c r="N1496" s="38">
        <v>51936</v>
      </c>
      <c r="O1496" s="38">
        <v>2</v>
      </c>
      <c r="P1496" s="38">
        <v>29802</v>
      </c>
      <c r="Q1496" s="38">
        <v>4</v>
      </c>
    </row>
    <row r="1497" spans="1:17" x14ac:dyDescent="0.25">
      <c r="A1497" s="39" t="str">
        <f>IF(F1497="","",VLOOKUP(F1497,Tabelle1[],3))</f>
        <v>SKENDERAJ</v>
      </c>
      <c r="B1497" s="40" t="str">
        <f>IF(F1497="","",VLOOKUP(F1497,Tabelle1[],2))</f>
        <v>MEGI</v>
      </c>
      <c r="C1497" s="40"/>
      <c r="D1497" s="41">
        <v>46164</v>
      </c>
      <c r="E1497" s="80"/>
      <c r="F1497" s="78">
        <v>20406</v>
      </c>
      <c r="G1497" s="43">
        <v>131.19999999999999</v>
      </c>
      <c r="H1497" s="38">
        <v>50912</v>
      </c>
      <c r="I1497" s="38">
        <v>12</v>
      </c>
      <c r="J1497" s="38">
        <v>49644</v>
      </c>
      <c r="K1497" s="38">
        <v>12</v>
      </c>
      <c r="L1497" s="38">
        <v>55718</v>
      </c>
      <c r="M1497" s="38">
        <v>4</v>
      </c>
      <c r="N1497" s="38">
        <v>29802</v>
      </c>
      <c r="O1497" s="38">
        <v>4</v>
      </c>
    </row>
    <row r="1498" spans="1:17" x14ac:dyDescent="0.25">
      <c r="A1498" s="39" t="str">
        <f>IF(F1498="","",VLOOKUP(F1498,Tabelle1[],3))</f>
        <v>DRENAS</v>
      </c>
      <c r="B1498" s="40" t="str">
        <f>IF(F1498="","",VLOOKUP(F1498,Tabelle1[],2))</f>
        <v>BESI</v>
      </c>
      <c r="C1498" s="40"/>
      <c r="D1498" s="41">
        <v>46164</v>
      </c>
      <c r="E1498" s="80"/>
      <c r="F1498" s="78">
        <v>20405</v>
      </c>
      <c r="G1498" s="43">
        <v>96</v>
      </c>
      <c r="H1498" s="38">
        <v>35108</v>
      </c>
      <c r="I1498" s="38">
        <v>12</v>
      </c>
      <c r="J1498" s="38">
        <v>35114</v>
      </c>
      <c r="K1498" s="38">
        <v>12</v>
      </c>
    </row>
    <row r="1499" spans="1:17" x14ac:dyDescent="0.25">
      <c r="A1499" s="39" t="str">
        <f>IF(F1499="","",VLOOKUP(F1499,Tabelle1[],3))</f>
        <v>DRENAS</v>
      </c>
      <c r="B1499" s="40" t="str">
        <f>IF(F1499="","",VLOOKUP(F1499,Tabelle1[],2))</f>
        <v>NSM TRADE</v>
      </c>
      <c r="C1499" s="40"/>
      <c r="D1499" s="41">
        <v>46164</v>
      </c>
      <c r="E1499" s="80"/>
      <c r="F1499" s="78">
        <v>20427</v>
      </c>
      <c r="G1499" s="43">
        <v>35.6</v>
      </c>
      <c r="H1499" s="38">
        <v>50912</v>
      </c>
      <c r="I1499" s="38">
        <v>4</v>
      </c>
      <c r="J1499" s="38">
        <v>29802</v>
      </c>
      <c r="K1499" s="38">
        <v>4</v>
      </c>
    </row>
    <row r="1500" spans="1:17" x14ac:dyDescent="0.25">
      <c r="A1500" s="39" t="str">
        <f>IF(F1500="","",VLOOKUP(F1500,Tabelle1[],3))</f>
        <v>PODUJEVE</v>
      </c>
      <c r="B1500" s="40" t="str">
        <f>IF(F1500="","",VLOOKUP(F1500,Tabelle1[],2))</f>
        <v>TE ZENA</v>
      </c>
      <c r="C1500" s="40"/>
      <c r="D1500" s="41">
        <v>46165</v>
      </c>
      <c r="E1500" s="80"/>
      <c r="F1500" s="78">
        <v>10616</v>
      </c>
      <c r="G1500" s="43">
        <v>96</v>
      </c>
      <c r="H1500" s="38">
        <v>35113</v>
      </c>
      <c r="I1500" s="38">
        <v>12</v>
      </c>
      <c r="J1500" s="38">
        <v>35121</v>
      </c>
      <c r="K1500" s="38">
        <v>12</v>
      </c>
    </row>
    <row r="1501" spans="1:17" x14ac:dyDescent="0.25">
      <c r="A1501" s="39" t="str">
        <f>IF(F1501="","",VLOOKUP(F1501,Tabelle1[],3))</f>
        <v>PODUJEVE</v>
      </c>
      <c r="B1501" s="40" t="str">
        <f>IF(F1501="","",VLOOKUP(F1501,Tabelle1[],2))</f>
        <v>ALBANI</v>
      </c>
      <c r="C1501" s="40"/>
      <c r="D1501" s="41">
        <v>46165</v>
      </c>
      <c r="E1501" s="80"/>
      <c r="F1501" s="78">
        <v>10636</v>
      </c>
      <c r="G1501" s="43">
        <v>96</v>
      </c>
      <c r="H1501" s="38">
        <v>35110</v>
      </c>
      <c r="I1501" s="38">
        <v>12</v>
      </c>
      <c r="J1501" s="38">
        <v>35111</v>
      </c>
      <c r="K1501" s="38">
        <v>12</v>
      </c>
    </row>
    <row r="1502" spans="1:17" x14ac:dyDescent="0.25">
      <c r="A1502" s="39" t="str">
        <f>IF(F1502="","",VLOOKUP(F1502,Tabelle1[],3))</f>
        <v>PODUJEVE</v>
      </c>
      <c r="B1502" s="40" t="str">
        <f>IF(F1502="","",VLOOKUP(F1502,Tabelle1[],2))</f>
        <v>KUJTA</v>
      </c>
      <c r="C1502" s="40"/>
      <c r="D1502" s="41">
        <v>46165</v>
      </c>
      <c r="E1502" s="80"/>
      <c r="F1502" s="78">
        <v>10625</v>
      </c>
      <c r="G1502" s="43">
        <v>96</v>
      </c>
      <c r="H1502" s="38">
        <v>35128</v>
      </c>
      <c r="I1502" s="38">
        <v>12</v>
      </c>
      <c r="J1502" s="38">
        <v>35109</v>
      </c>
      <c r="K1502" s="38">
        <v>12</v>
      </c>
    </row>
    <row r="1503" spans="1:17" x14ac:dyDescent="0.25">
      <c r="A1503" s="39" t="str">
        <f>IF(F1503="","",VLOOKUP(F1503,Tabelle1[],3))</f>
        <v>PODUJEVE</v>
      </c>
      <c r="B1503" s="40" t="str">
        <f>IF(F1503="","",VLOOKUP(F1503,Tabelle1[],2))</f>
        <v>KUJTA</v>
      </c>
      <c r="C1503" s="40"/>
      <c r="D1503" s="41">
        <v>46165</v>
      </c>
      <c r="E1503" s="80"/>
      <c r="F1503" s="78">
        <v>10625</v>
      </c>
      <c r="G1503" s="43">
        <v>75.599999999999994</v>
      </c>
      <c r="H1503" s="38">
        <v>35114</v>
      </c>
      <c r="I1503" s="38">
        <v>12</v>
      </c>
      <c r="J1503" s="38">
        <v>51612</v>
      </c>
      <c r="K1503" s="38">
        <v>12</v>
      </c>
    </row>
    <row r="1504" spans="1:17" x14ac:dyDescent="0.25">
      <c r="A1504" s="39" t="str">
        <f>IF(F1504="","",VLOOKUP(F1504,Tabelle1[],3))</f>
        <v>PODUJEVE</v>
      </c>
      <c r="B1504" s="40" t="str">
        <f>IF(F1504="","",VLOOKUP(F1504,Tabelle1[],2))</f>
        <v>TE KELA</v>
      </c>
      <c r="C1504" s="40"/>
      <c r="D1504" s="41">
        <v>46165</v>
      </c>
      <c r="E1504" s="80"/>
      <c r="F1504" s="78">
        <v>10613</v>
      </c>
      <c r="G1504" s="43">
        <v>39</v>
      </c>
      <c r="H1504" s="38">
        <v>49644</v>
      </c>
      <c r="I1504" s="38">
        <v>12</v>
      </c>
      <c r="J1504" s="38">
        <v>44001</v>
      </c>
      <c r="K1504" s="38">
        <v>2</v>
      </c>
      <c r="L1504" s="38">
        <v>54412</v>
      </c>
      <c r="M1504" s="38">
        <v>4</v>
      </c>
    </row>
    <row r="1505" spans="1:23" x14ac:dyDescent="0.25">
      <c r="A1505" s="39" t="str">
        <f>IF(F1505="","",VLOOKUP(F1505,Tabelle1[],3))</f>
        <v>PODUJEVE</v>
      </c>
      <c r="B1505" s="40" t="str">
        <f>IF(F1505="","",VLOOKUP(F1505,Tabelle1[],2))</f>
        <v>TE KASTRIOTI</v>
      </c>
      <c r="C1505" s="40"/>
      <c r="D1505" s="41">
        <v>46165</v>
      </c>
      <c r="E1505" s="80"/>
      <c r="F1505" s="78">
        <v>10618</v>
      </c>
      <c r="G1505" s="43">
        <v>42.6</v>
      </c>
      <c r="H1505" s="38">
        <v>51611</v>
      </c>
      <c r="I1505" s="38">
        <v>12</v>
      </c>
      <c r="J1505" s="38">
        <v>51612</v>
      </c>
      <c r="K1505" s="38">
        <v>12</v>
      </c>
    </row>
    <row r="1506" spans="1:23" x14ac:dyDescent="0.25">
      <c r="A1506" s="39" t="str">
        <f>IF(F1506="","",VLOOKUP(F1506,Tabelle1[],3))</f>
        <v>PODUJEVE</v>
      </c>
      <c r="B1506" s="40" t="str">
        <f>IF(F1506="","",VLOOKUP(F1506,Tabelle1[],2))</f>
        <v>BECOLOR</v>
      </c>
      <c r="C1506" s="40"/>
      <c r="D1506" s="41">
        <v>46165</v>
      </c>
      <c r="E1506" s="80"/>
      <c r="F1506" s="78">
        <v>10619</v>
      </c>
      <c r="G1506" s="43">
        <v>39</v>
      </c>
      <c r="H1506" s="38">
        <v>16936</v>
      </c>
      <c r="I1506" s="38">
        <v>4</v>
      </c>
      <c r="J1506" s="38">
        <v>69236</v>
      </c>
      <c r="K1506" s="38">
        <v>1</v>
      </c>
      <c r="L1506" s="38">
        <v>31812</v>
      </c>
      <c r="M1506" s="38">
        <v>1</v>
      </c>
      <c r="N1506" s="38">
        <v>56117</v>
      </c>
      <c r="O1506" s="38">
        <v>6</v>
      </c>
    </row>
    <row r="1507" spans="1:23" x14ac:dyDescent="0.25">
      <c r="A1507" s="39" t="str">
        <f>IF(F1507="","",VLOOKUP(F1507,Tabelle1[],3))</f>
        <v>FERIZAJ</v>
      </c>
      <c r="B1507" s="40" t="str">
        <f>IF(F1507="","",VLOOKUP(F1507,Tabelle1[],2))</f>
        <v>AS QERAMIKA</v>
      </c>
      <c r="C1507" s="40"/>
      <c r="D1507" s="41">
        <v>46165</v>
      </c>
      <c r="E1507" s="80"/>
      <c r="F1507" s="78">
        <v>20614</v>
      </c>
      <c r="G1507" s="43">
        <v>480</v>
      </c>
      <c r="H1507" s="38">
        <v>35109</v>
      </c>
      <c r="I1507" s="38">
        <v>240</v>
      </c>
    </row>
    <row r="1508" spans="1:23" x14ac:dyDescent="0.25">
      <c r="A1508" s="39" t="str">
        <f>IF(F1508="","",VLOOKUP(F1508,Tabelle1[],3))</f>
        <v>FERIZAJ</v>
      </c>
      <c r="B1508" s="40" t="str">
        <f>IF(F1508="","",VLOOKUP(F1508,Tabelle1[],2))</f>
        <v>SALIHU CORPORATION</v>
      </c>
      <c r="C1508" s="40"/>
      <c r="D1508" s="41">
        <v>46165</v>
      </c>
      <c r="E1508" s="80"/>
      <c r="F1508" s="78">
        <v>20635</v>
      </c>
      <c r="G1508" s="43">
        <v>144</v>
      </c>
      <c r="H1508" s="38">
        <v>35110</v>
      </c>
      <c r="I1508" s="38">
        <v>12</v>
      </c>
      <c r="J1508" s="38">
        <v>35111</v>
      </c>
      <c r="K1508" s="38">
        <v>12</v>
      </c>
      <c r="L1508" s="38">
        <v>35115</v>
      </c>
      <c r="M1508" s="38">
        <v>12</v>
      </c>
    </row>
    <row r="1509" spans="1:23" x14ac:dyDescent="0.25">
      <c r="A1509" s="39" t="str">
        <f>IF(F1509="","",VLOOKUP(F1509,Tabelle1[],3))</f>
        <v>FERIZAJ</v>
      </c>
      <c r="B1509" s="40" t="str">
        <f>IF(F1509="","",VLOOKUP(F1509,Tabelle1[],2))</f>
        <v>HIDRO DANI</v>
      </c>
      <c r="C1509" s="40"/>
      <c r="D1509" s="41">
        <v>46165</v>
      </c>
      <c r="E1509" s="80"/>
      <c r="F1509" s="78">
        <v>20630</v>
      </c>
      <c r="G1509" s="43">
        <v>251.1</v>
      </c>
      <c r="H1509" s="38">
        <v>35110</v>
      </c>
      <c r="I1509" s="38">
        <v>12</v>
      </c>
      <c r="J1509" s="38">
        <v>35111</v>
      </c>
      <c r="K1509" s="38">
        <v>12</v>
      </c>
      <c r="L1509" s="38">
        <v>35109</v>
      </c>
      <c r="M1509" s="38">
        <v>12</v>
      </c>
      <c r="N1509" s="38">
        <v>66701</v>
      </c>
      <c r="O1509" s="38">
        <v>12</v>
      </c>
      <c r="P1509" s="38">
        <v>51611</v>
      </c>
      <c r="Q1509" s="38">
        <v>12</v>
      </c>
      <c r="R1509" s="38">
        <v>31822</v>
      </c>
      <c r="S1509" s="38">
        <v>6</v>
      </c>
      <c r="T1509" s="38">
        <v>16936</v>
      </c>
      <c r="U1509" s="38">
        <v>3</v>
      </c>
    </row>
    <row r="1510" spans="1:23" x14ac:dyDescent="0.25">
      <c r="A1510" s="39" t="str">
        <f>IF(F1510="","",VLOOKUP(F1510,Tabelle1[],3))</f>
        <v>GADIME</v>
      </c>
      <c r="B1510" s="40" t="str">
        <f>IF(F1510="","",VLOOKUP(F1510,Tabelle1[],2))</f>
        <v>ILIRI QERAMIKA</v>
      </c>
      <c r="C1510" s="40"/>
      <c r="D1510" s="41">
        <v>46165</v>
      </c>
      <c r="E1510" s="80"/>
      <c r="F1510" s="78">
        <v>20622</v>
      </c>
      <c r="G1510" s="43">
        <v>96</v>
      </c>
      <c r="H1510" s="38">
        <v>35109</v>
      </c>
      <c r="I1510" s="38">
        <v>12</v>
      </c>
      <c r="J1510" s="38">
        <v>35121</v>
      </c>
      <c r="K1510" s="38">
        <v>12</v>
      </c>
    </row>
    <row r="1511" spans="1:23" x14ac:dyDescent="0.25">
      <c r="A1511" s="39" t="str">
        <f>IF(F1511="","",VLOOKUP(F1511,Tabelle1[],3))</f>
        <v>FERIZAJ</v>
      </c>
      <c r="B1511" s="40" t="str">
        <f>IF(F1511="","",VLOOKUP(F1511,Tabelle1[],2))</f>
        <v>UNIKA</v>
      </c>
      <c r="C1511" s="40"/>
      <c r="D1511" s="41">
        <v>46165</v>
      </c>
      <c r="E1511" s="80"/>
      <c r="F1511" s="78">
        <v>20627</v>
      </c>
      <c r="G1511" s="43">
        <v>186.6</v>
      </c>
      <c r="H1511" s="38">
        <v>35110</v>
      </c>
      <c r="I1511" s="38">
        <v>24</v>
      </c>
      <c r="J1511" s="38">
        <v>35128</v>
      </c>
      <c r="K1511" s="38">
        <v>12</v>
      </c>
      <c r="L1511" s="38">
        <v>51611</v>
      </c>
      <c r="M1511" s="38">
        <v>12</v>
      </c>
      <c r="N1511" s="38">
        <v>51612</v>
      </c>
      <c r="O1511" s="38">
        <v>12</v>
      </c>
    </row>
    <row r="1512" spans="1:23" x14ac:dyDescent="0.25">
      <c r="A1512" s="39" t="str">
        <f>IF(F1512="","",VLOOKUP(F1512,Tabelle1[],3))</f>
        <v>GREME</v>
      </c>
      <c r="B1512" s="40" t="str">
        <f>IF(F1512="","",VLOOKUP(F1512,Tabelle1[],2))</f>
        <v>AGRO-XHETI</v>
      </c>
      <c r="C1512" s="40"/>
      <c r="D1512" s="41">
        <v>46165</v>
      </c>
      <c r="E1512" s="80"/>
      <c r="F1512" s="78">
        <v>20610</v>
      </c>
      <c r="G1512" s="43">
        <v>444.5</v>
      </c>
      <c r="H1512" s="38">
        <v>35125</v>
      </c>
      <c r="I1512" s="38">
        <v>24</v>
      </c>
      <c r="J1512" s="38">
        <v>35128</v>
      </c>
      <c r="K1512" s="38">
        <v>12</v>
      </c>
      <c r="L1512" s="38">
        <v>35113</v>
      </c>
      <c r="M1512" s="38">
        <v>24</v>
      </c>
      <c r="N1512" s="38">
        <v>35111</v>
      </c>
      <c r="O1512" s="38">
        <v>24</v>
      </c>
      <c r="P1512" s="38">
        <v>39505</v>
      </c>
      <c r="Q1512" s="38">
        <v>12</v>
      </c>
      <c r="R1512" s="38">
        <v>44001</v>
      </c>
      <c r="S1512" s="38">
        <v>7</v>
      </c>
      <c r="T1512" s="38">
        <v>49644</v>
      </c>
      <c r="U1512" s="38">
        <v>6</v>
      </c>
      <c r="V1512" s="38">
        <v>50912</v>
      </c>
      <c r="W1512" s="38">
        <v>5</v>
      </c>
    </row>
    <row r="1513" spans="1:23" x14ac:dyDescent="0.25">
      <c r="A1513" s="39" t="str">
        <f>IF(F1513="","",VLOOKUP(F1513,Tabelle1[],3))</f>
        <v>DOGANAJ</v>
      </c>
      <c r="B1513" s="40" t="str">
        <f>IF(F1513="","",VLOOKUP(F1513,Tabelle1[],2))</f>
        <v xml:space="preserve">F.V. SH.P.K. </v>
      </c>
      <c r="C1513" s="40"/>
      <c r="D1513" s="41">
        <v>46165</v>
      </c>
      <c r="E1513" s="80"/>
      <c r="F1513" s="78">
        <v>20607</v>
      </c>
      <c r="G1513" s="43">
        <v>154</v>
      </c>
      <c r="H1513" s="38">
        <v>35115</v>
      </c>
      <c r="I1513" s="38">
        <v>12</v>
      </c>
      <c r="J1513" s="38">
        <v>35121</v>
      </c>
      <c r="K1513" s="38">
        <v>12</v>
      </c>
      <c r="L1513" s="38">
        <v>35109</v>
      </c>
      <c r="M1513" s="38">
        <v>12</v>
      </c>
      <c r="N1513" s="38">
        <v>26736</v>
      </c>
      <c r="O1513" s="38">
        <v>2</v>
      </c>
      <c r="P1513" s="38">
        <v>16936</v>
      </c>
      <c r="Q1513" s="38">
        <v>2</v>
      </c>
    </row>
    <row r="1514" spans="1:23" x14ac:dyDescent="0.25">
      <c r="A1514" s="39" t="str">
        <f>IF(F1514="","",VLOOKUP(F1514,Tabelle1[],3))</f>
        <v>KAQANIK</v>
      </c>
      <c r="B1514" s="40" t="str">
        <f>IF(F1514="","",VLOOKUP(F1514,Tabelle1[],2))</f>
        <v>TE-LUTA</v>
      </c>
      <c r="C1514" s="40"/>
      <c r="D1514" s="41">
        <v>46165</v>
      </c>
      <c r="E1514" s="80"/>
      <c r="F1514" s="78">
        <v>20611</v>
      </c>
      <c r="G1514" s="43">
        <v>501.6</v>
      </c>
      <c r="H1514" s="38">
        <v>35109</v>
      </c>
      <c r="I1514" s="38">
        <v>24</v>
      </c>
      <c r="J1514" s="38">
        <v>35115</v>
      </c>
      <c r="K1514" s="38">
        <v>12</v>
      </c>
      <c r="L1514" s="38">
        <v>35128</v>
      </c>
      <c r="M1514" s="38">
        <v>12</v>
      </c>
      <c r="N1514" s="38">
        <v>35113</v>
      </c>
      <c r="O1514" s="38">
        <v>24</v>
      </c>
      <c r="P1514" s="38">
        <v>35114</v>
      </c>
      <c r="Q1514" s="38">
        <v>12</v>
      </c>
      <c r="R1514" s="38">
        <v>35110</v>
      </c>
      <c r="S1514" s="38">
        <v>12</v>
      </c>
      <c r="T1514" s="38">
        <v>35111</v>
      </c>
      <c r="U1514" s="38">
        <v>12</v>
      </c>
      <c r="V1514" s="38">
        <v>66701</v>
      </c>
      <c r="W1514" s="38">
        <v>12</v>
      </c>
    </row>
    <row r="1515" spans="1:23" x14ac:dyDescent="0.25">
      <c r="A1515" s="39" t="str">
        <f>IF(F1515="","",VLOOKUP(F1515,Tabelle1[],3))</f>
        <v>GERLIC</v>
      </c>
      <c r="B1515" s="40" t="str">
        <f>IF(F1515="","",VLOOKUP(F1515,Tabelle1[],2))</f>
        <v>TE-SYLA</v>
      </c>
      <c r="C1515" s="40"/>
      <c r="D1515" s="41">
        <v>46165</v>
      </c>
      <c r="E1515" s="80"/>
      <c r="F1515" s="78">
        <v>20606</v>
      </c>
      <c r="G1515" s="43">
        <v>197</v>
      </c>
      <c r="H1515" s="38">
        <v>35110</v>
      </c>
      <c r="I1515" s="38">
        <v>12</v>
      </c>
      <c r="J1515" s="38">
        <v>35113</v>
      </c>
      <c r="K1515" s="38">
        <v>12</v>
      </c>
      <c r="L1515" s="38">
        <v>35115</v>
      </c>
      <c r="M1515" s="38">
        <v>24</v>
      </c>
      <c r="N1515" s="38">
        <v>16936</v>
      </c>
      <c r="O1515" s="38">
        <v>2</v>
      </c>
    </row>
    <row r="1516" spans="1:23" x14ac:dyDescent="0.25">
      <c r="A1516" s="39" t="str">
        <f>IF(F1516="","",VLOOKUP(F1516,Tabelle1[],3))</f>
        <v>LIPJAN</v>
      </c>
      <c r="B1516" s="40" t="str">
        <f>IF(F1516="","",VLOOKUP(F1516,Tabelle1[],2))</f>
        <v>ELEKTROMONT</v>
      </c>
      <c r="C1516" s="40"/>
      <c r="D1516" s="41">
        <v>46165</v>
      </c>
      <c r="E1516" s="80"/>
      <c r="F1516" s="78">
        <v>20601</v>
      </c>
      <c r="G1516" s="43">
        <v>171.6</v>
      </c>
      <c r="H1516" s="38">
        <v>35109</v>
      </c>
      <c r="I1516" s="38">
        <v>36</v>
      </c>
      <c r="J1516" s="38">
        <v>35121</v>
      </c>
      <c r="K1516" s="38">
        <v>12</v>
      </c>
      <c r="L1516" s="38">
        <v>51612</v>
      </c>
      <c r="M1516" s="38">
        <v>12</v>
      </c>
    </row>
    <row r="1517" spans="1:23" x14ac:dyDescent="0.25">
      <c r="A1517" s="39" t="str">
        <f>IF(F1517="","",VLOOKUP(F1517,Tabelle1[],3))</f>
        <v>PRISHTINE</v>
      </c>
      <c r="B1517" s="40" t="str">
        <f>IF(F1517="","",VLOOKUP(F1517,Tabelle1[],2))</f>
        <v>YLLI CONSTRUCION</v>
      </c>
      <c r="C1517" s="40"/>
      <c r="D1517" s="41">
        <v>46167</v>
      </c>
      <c r="E1517" s="80"/>
      <c r="F1517" s="78">
        <v>40017</v>
      </c>
      <c r="G1517" s="43">
        <v>48</v>
      </c>
      <c r="H1517" s="38">
        <v>35108</v>
      </c>
      <c r="I1517" s="38">
        <v>3</v>
      </c>
      <c r="J1517" s="38">
        <v>35128</v>
      </c>
      <c r="K1517" s="38">
        <v>5</v>
      </c>
      <c r="L1517" s="38">
        <v>35121</v>
      </c>
      <c r="M1517" s="38">
        <v>4</v>
      </c>
    </row>
    <row r="1518" spans="1:23" x14ac:dyDescent="0.25">
      <c r="A1518" s="39" t="str">
        <f>IF(F1518="","",VLOOKUP(F1518,Tabelle1[],3))</f>
        <v>PRISHTINE</v>
      </c>
      <c r="B1518" s="40" t="str">
        <f>IF(F1518="","",VLOOKUP(F1518,Tabelle1[],2))</f>
        <v>ARSIM</v>
      </c>
      <c r="C1518" s="40"/>
      <c r="D1518" s="41">
        <v>46167</v>
      </c>
      <c r="E1518" s="80"/>
      <c r="F1518" s="78">
        <v>10105</v>
      </c>
      <c r="G1518" s="43">
        <v>48</v>
      </c>
      <c r="H1518" s="38">
        <v>35125</v>
      </c>
      <c r="I1518" s="38">
        <v>12</v>
      </c>
    </row>
    <row r="1519" spans="1:23" x14ac:dyDescent="0.25">
      <c r="A1519" s="39" t="str">
        <f>IF(F1519="","",VLOOKUP(F1519,Tabelle1[],3))</f>
        <v>PRISHTINE</v>
      </c>
      <c r="B1519" s="40" t="str">
        <f>IF(F1519="","",VLOOKUP(F1519,Tabelle1[],2))</f>
        <v>KADIJOLLET</v>
      </c>
      <c r="C1519" s="40"/>
      <c r="D1519" s="41">
        <v>46167</v>
      </c>
      <c r="E1519" s="80"/>
      <c r="F1519" s="78">
        <v>10111</v>
      </c>
      <c r="G1519" s="43">
        <v>168.6</v>
      </c>
      <c r="H1519" s="38">
        <v>35111</v>
      </c>
      <c r="I1519" s="38">
        <v>12</v>
      </c>
      <c r="J1519" s="38">
        <v>35121</v>
      </c>
      <c r="K1519" s="38">
        <v>12</v>
      </c>
      <c r="L1519" s="38">
        <v>50912</v>
      </c>
      <c r="M1519" s="38">
        <v>8</v>
      </c>
      <c r="N1519" s="38">
        <v>51611</v>
      </c>
      <c r="O1519" s="38">
        <v>12</v>
      </c>
    </row>
    <row r="1520" spans="1:23" x14ac:dyDescent="0.25">
      <c r="A1520" s="39" t="str">
        <f>IF(F1520="","",VLOOKUP(F1520,Tabelle1[],3))</f>
        <v>BARDHOSH</v>
      </c>
      <c r="B1520" s="40" t="str">
        <f>IF(F1520="","",VLOOKUP(F1520,Tabelle1[],2))</f>
        <v>QELA</v>
      </c>
      <c r="C1520" s="40"/>
      <c r="D1520" s="41">
        <v>46167</v>
      </c>
      <c r="E1520" s="80"/>
      <c r="F1520" s="78">
        <v>10114</v>
      </c>
      <c r="G1520" s="43">
        <v>75.5</v>
      </c>
      <c r="H1520" s="38">
        <v>49644</v>
      </c>
      <c r="I1520" s="38">
        <v>5</v>
      </c>
      <c r="J1520" s="38">
        <v>44001</v>
      </c>
      <c r="K1520" s="38">
        <v>5</v>
      </c>
      <c r="L1520" s="38">
        <v>35109</v>
      </c>
      <c r="M1520" s="38">
        <v>12</v>
      </c>
    </row>
    <row r="1521" spans="1:17" x14ac:dyDescent="0.25">
      <c r="A1521" s="39" t="str">
        <f>IF(F1521="","",VLOOKUP(F1521,Tabelle1[],3))</f>
        <v>PRISHTINE</v>
      </c>
      <c r="B1521" s="40" t="str">
        <f>IF(F1521="","",VLOOKUP(F1521,Tabelle1[],2))</f>
        <v>HIDROELDI</v>
      </c>
      <c r="C1521" s="40"/>
      <c r="D1521" s="41">
        <v>46167</v>
      </c>
      <c r="E1521" s="80"/>
      <c r="F1521" s="78">
        <v>10133</v>
      </c>
      <c r="G1521" s="43">
        <v>96</v>
      </c>
      <c r="H1521" s="38">
        <v>35114</v>
      </c>
      <c r="I1521" s="38">
        <v>12</v>
      </c>
      <c r="J1521" s="38">
        <v>35128</v>
      </c>
      <c r="K1521" s="38">
        <v>12</v>
      </c>
    </row>
    <row r="1522" spans="1:17" x14ac:dyDescent="0.25">
      <c r="A1522" s="39" t="str">
        <f>IF(F1522="","",VLOOKUP(F1522,Tabelle1[],3))</f>
        <v>PRISHTINE</v>
      </c>
      <c r="B1522" s="40" t="str">
        <f>IF(F1522="","",VLOOKUP(F1522,Tabelle1[],2))</f>
        <v>BESI COM</v>
      </c>
      <c r="C1522" s="40"/>
      <c r="D1522" s="41">
        <v>46167</v>
      </c>
      <c r="E1522" s="80"/>
      <c r="F1522" s="78">
        <v>10103</v>
      </c>
      <c r="G1522" s="43">
        <v>48</v>
      </c>
      <c r="H1522" s="38">
        <v>35115</v>
      </c>
      <c r="I1522" s="38">
        <v>12</v>
      </c>
    </row>
    <row r="1523" spans="1:17" x14ac:dyDescent="0.25">
      <c r="A1523" s="39" t="str">
        <f>IF(F1523="","",VLOOKUP(F1523,Tabelle1[],3))</f>
        <v>PEJE</v>
      </c>
      <c r="B1523" s="40" t="str">
        <f>IF(F1523="","",VLOOKUP(F1523,Tabelle1[],2))</f>
        <v>ENESI</v>
      </c>
      <c r="C1523" s="40"/>
      <c r="D1523" s="41">
        <v>46167</v>
      </c>
      <c r="E1523" s="80"/>
      <c r="F1523" s="78">
        <v>20130</v>
      </c>
      <c r="G1523" s="43">
        <v>192</v>
      </c>
      <c r="H1523" s="38">
        <v>35109</v>
      </c>
      <c r="I1523" s="38">
        <v>12</v>
      </c>
      <c r="J1523" s="38">
        <v>35111</v>
      </c>
      <c r="K1523" s="38">
        <v>12</v>
      </c>
      <c r="L1523" s="38">
        <v>35114</v>
      </c>
      <c r="M1523" s="38">
        <v>12</v>
      </c>
      <c r="N1523" s="38">
        <v>35115</v>
      </c>
      <c r="O1523" s="38">
        <v>12</v>
      </c>
    </row>
    <row r="1524" spans="1:17" x14ac:dyDescent="0.25">
      <c r="A1524" s="39" t="str">
        <f>IF(F1524="","",VLOOKUP(F1524,Tabelle1[],3))</f>
        <v>PEJE</v>
      </c>
      <c r="B1524" s="40" t="str">
        <f>IF(F1524="","",VLOOKUP(F1524,Tabelle1[],2))</f>
        <v>TECOL 2</v>
      </c>
      <c r="C1524" s="40"/>
      <c r="D1524" s="41">
        <v>46167</v>
      </c>
      <c r="E1524" s="80"/>
      <c r="F1524" s="78">
        <v>20111</v>
      </c>
      <c r="G1524" s="43">
        <v>50</v>
      </c>
      <c r="H1524" s="38">
        <v>51736</v>
      </c>
      <c r="I1524" s="38">
        <v>6</v>
      </c>
      <c r="J1524" s="38">
        <v>51936</v>
      </c>
      <c r="K1524" s="38">
        <v>6</v>
      </c>
      <c r="L1524" s="38">
        <v>16936</v>
      </c>
      <c r="M1524" s="38">
        <v>3</v>
      </c>
      <c r="N1524" s="38">
        <v>26736</v>
      </c>
      <c r="O1524" s="38">
        <v>3</v>
      </c>
      <c r="P1524" s="38">
        <v>31819</v>
      </c>
      <c r="Q1524" s="38">
        <v>2</v>
      </c>
    </row>
    <row r="1525" spans="1:17" x14ac:dyDescent="0.25">
      <c r="A1525" s="39" t="str">
        <f>IF(F1525="","",VLOOKUP(F1525,Tabelle1[],3))</f>
        <v>PEJE</v>
      </c>
      <c r="B1525" s="40" t="str">
        <f>IF(F1525="","",VLOOKUP(F1525,Tabelle1[],2))</f>
        <v>LULI-C</v>
      </c>
      <c r="C1525" s="40"/>
      <c r="D1525" s="41">
        <v>46167</v>
      </c>
      <c r="E1525" s="80"/>
      <c r="F1525" s="78">
        <v>20126</v>
      </c>
      <c r="G1525" s="43">
        <v>144</v>
      </c>
      <c r="H1525" s="38">
        <v>35109</v>
      </c>
      <c r="I1525" s="38">
        <v>12</v>
      </c>
      <c r="J1525" s="38">
        <v>35114</v>
      </c>
      <c r="K1525" s="38">
        <v>12</v>
      </c>
      <c r="L1525" s="38">
        <v>35110</v>
      </c>
      <c r="M1525" s="38">
        <v>12</v>
      </c>
    </row>
    <row r="1526" spans="1:17" x14ac:dyDescent="0.25">
      <c r="A1526" s="39" t="str">
        <f>IF(F1526="","",VLOOKUP(F1526,Tabelle1[],3))</f>
        <v>PEJE</v>
      </c>
      <c r="B1526" s="40" t="str">
        <f>IF(F1526="","",VLOOKUP(F1526,Tabelle1[],2))</f>
        <v>CAMA BAU</v>
      </c>
      <c r="C1526" s="40"/>
      <c r="D1526" s="41">
        <v>46167</v>
      </c>
      <c r="E1526" s="80"/>
      <c r="F1526" s="78">
        <v>20121</v>
      </c>
      <c r="G1526" s="43">
        <v>213.6</v>
      </c>
      <c r="H1526" s="38">
        <v>35108</v>
      </c>
      <c r="I1526" s="38">
        <v>12</v>
      </c>
      <c r="J1526" s="38">
        <v>35113</v>
      </c>
      <c r="K1526" s="38">
        <v>12</v>
      </c>
      <c r="L1526" s="38">
        <v>35125</v>
      </c>
      <c r="M1526" s="38">
        <v>12</v>
      </c>
      <c r="N1526" s="38">
        <v>66701</v>
      </c>
      <c r="O1526" s="38">
        <v>12</v>
      </c>
    </row>
    <row r="1527" spans="1:17" x14ac:dyDescent="0.25">
      <c r="A1527" s="39" t="str">
        <f>IF(F1527="","",VLOOKUP(F1527,Tabelle1[],3))</f>
        <v>PEJE</v>
      </c>
      <c r="B1527" s="40" t="str">
        <f>IF(F1527="","",VLOOKUP(F1527,Tabelle1[],2))</f>
        <v>TE GZIMI</v>
      </c>
      <c r="C1527" s="40"/>
      <c r="D1527" s="41">
        <v>46167</v>
      </c>
      <c r="E1527" s="80"/>
      <c r="F1527" s="78">
        <v>20101</v>
      </c>
      <c r="G1527" s="43">
        <v>52.8</v>
      </c>
      <c r="H1527" s="38">
        <v>54412</v>
      </c>
      <c r="I1527" s="38">
        <v>6</v>
      </c>
      <c r="J1527" s="38">
        <v>49644</v>
      </c>
      <c r="K1527" s="38">
        <v>6</v>
      </c>
      <c r="L1527" s="38">
        <v>50912</v>
      </c>
      <c r="M1527" s="38">
        <v>4</v>
      </c>
    </row>
    <row r="1528" spans="1:17" x14ac:dyDescent="0.25">
      <c r="A1528" s="39" t="str">
        <f>IF(F1528="","",VLOOKUP(F1528,Tabelle1[],3))</f>
        <v>PEJE</v>
      </c>
      <c r="B1528" s="40" t="str">
        <f>IF(F1528="","",VLOOKUP(F1528,Tabelle1[],2))</f>
        <v>KTHIMI</v>
      </c>
      <c r="C1528" s="40"/>
      <c r="D1528" s="41">
        <v>46167</v>
      </c>
      <c r="E1528" s="80"/>
      <c r="F1528" s="78">
        <v>20104</v>
      </c>
      <c r="G1528" s="43">
        <v>96</v>
      </c>
      <c r="H1528" s="38">
        <v>35108</v>
      </c>
      <c r="I1528" s="38">
        <v>12</v>
      </c>
      <c r="J1528" s="38">
        <v>35109</v>
      </c>
      <c r="K1528" s="38">
        <v>12</v>
      </c>
    </row>
    <row r="1529" spans="1:17" x14ac:dyDescent="0.25">
      <c r="A1529" s="39" t="str">
        <f>IF(F1529="","",VLOOKUP(F1529,Tabelle1[],3))</f>
        <v>PEJE</v>
      </c>
      <c r="B1529" s="40" t="str">
        <f>IF(F1529="","",VLOOKUP(F1529,Tabelle1[],2))</f>
        <v>TERMO PROJEKT</v>
      </c>
      <c r="C1529" s="40"/>
      <c r="D1529" s="41">
        <v>46167</v>
      </c>
      <c r="E1529" s="80"/>
      <c r="F1529" s="78">
        <v>20127</v>
      </c>
      <c r="G1529" s="43">
        <v>145.19999999999999</v>
      </c>
      <c r="H1529" s="38">
        <v>35111</v>
      </c>
      <c r="I1529" s="38">
        <v>12</v>
      </c>
      <c r="J1529" s="38">
        <v>51612</v>
      </c>
      <c r="K1529" s="38">
        <v>12</v>
      </c>
      <c r="L1529" s="38">
        <v>66701</v>
      </c>
      <c r="M1529" s="38">
        <v>12</v>
      </c>
    </row>
    <row r="1530" spans="1:17" x14ac:dyDescent="0.25">
      <c r="A1530" s="39" t="str">
        <f>IF(F1530="","",VLOOKUP(F1530,Tabelle1[],3))</f>
        <v>PEJE</v>
      </c>
      <c r="B1530" s="40" t="str">
        <f>IF(F1530="","",VLOOKUP(F1530,Tabelle1[],2))</f>
        <v>LNI SHPK</v>
      </c>
      <c r="C1530" s="40"/>
      <c r="D1530" s="41">
        <v>46167</v>
      </c>
      <c r="E1530" s="80"/>
      <c r="F1530" s="78">
        <v>20129</v>
      </c>
      <c r="G1530" s="43">
        <v>144</v>
      </c>
      <c r="H1530" s="38">
        <v>35110</v>
      </c>
      <c r="I1530" s="38">
        <v>12</v>
      </c>
      <c r="J1530" s="38">
        <v>35109</v>
      </c>
      <c r="K1530" s="38">
        <v>12</v>
      </c>
      <c r="L1530" s="38">
        <v>35111</v>
      </c>
      <c r="M1530" s="38">
        <v>12</v>
      </c>
    </row>
    <row r="1531" spans="1:17" x14ac:dyDescent="0.25">
      <c r="A1531" s="39" t="str">
        <f>IF(F1531="","",VLOOKUP(F1531,Tabelle1[],3))</f>
        <v>DEQAN</v>
      </c>
      <c r="B1531" s="40" t="str">
        <f>IF(F1531="","",VLOOKUP(F1531,Tabelle1[],2))</f>
        <v>TE BESIMI</v>
      </c>
      <c r="C1531" s="40"/>
      <c r="D1531" s="41">
        <v>46167</v>
      </c>
      <c r="E1531" s="80"/>
      <c r="F1531" s="78">
        <v>20201</v>
      </c>
      <c r="G1531" s="43">
        <v>207</v>
      </c>
      <c r="H1531" s="38">
        <v>35109</v>
      </c>
      <c r="I1531" s="38">
        <v>12</v>
      </c>
      <c r="J1531" s="38">
        <v>35121</v>
      </c>
      <c r="K1531" s="38">
        <v>12</v>
      </c>
      <c r="L1531" s="38">
        <v>35128</v>
      </c>
      <c r="M1531" s="38">
        <v>12</v>
      </c>
      <c r="N1531" s="38">
        <v>51611</v>
      </c>
      <c r="O1531" s="38">
        <v>12</v>
      </c>
      <c r="P1531" s="38">
        <v>56117</v>
      </c>
      <c r="Q1531" s="38">
        <v>12</v>
      </c>
    </row>
    <row r="1532" spans="1:17" x14ac:dyDescent="0.25">
      <c r="A1532" s="39" t="str">
        <f>IF(F1532="","",VLOOKUP(F1532,Tabelle1[],3))</f>
        <v>DEQAN</v>
      </c>
      <c r="B1532" s="40" t="str">
        <f>IF(F1532="","",VLOOKUP(F1532,Tabelle1[],2))</f>
        <v>AFRIMI-AG</v>
      </c>
      <c r="C1532" s="40"/>
      <c r="D1532" s="41">
        <v>46167</v>
      </c>
      <c r="E1532" s="80"/>
      <c r="F1532" s="78">
        <v>20203</v>
      </c>
      <c r="G1532" s="43">
        <v>165.6</v>
      </c>
      <c r="H1532" s="38">
        <v>35125</v>
      </c>
      <c r="I1532" s="38">
        <v>12</v>
      </c>
      <c r="J1532" s="38">
        <v>35128</v>
      </c>
      <c r="K1532" s="38">
        <v>12</v>
      </c>
      <c r="L1532" s="38">
        <v>66701</v>
      </c>
      <c r="M1532" s="38">
        <v>12</v>
      </c>
    </row>
    <row r="1533" spans="1:17" x14ac:dyDescent="0.25">
      <c r="A1533" s="39" t="str">
        <f>IF(F1533="","",VLOOKUP(F1533,Tabelle1[],3))</f>
        <v>SHTIME</v>
      </c>
      <c r="B1533" s="40" t="str">
        <f>IF(F1533="","",VLOOKUP(F1533,Tabelle1[],2))</f>
        <v>TAULANTI</v>
      </c>
      <c r="C1533" s="40"/>
      <c r="D1533" s="41">
        <v>46168</v>
      </c>
      <c r="E1533" s="80"/>
      <c r="F1533" s="78">
        <v>10250</v>
      </c>
      <c r="G1533" s="43">
        <v>144</v>
      </c>
      <c r="H1533" s="38">
        <v>35113</v>
      </c>
      <c r="I1533" s="38">
        <v>12</v>
      </c>
      <c r="J1533" s="38">
        <v>35119</v>
      </c>
      <c r="K1533" s="38">
        <v>12</v>
      </c>
      <c r="L1533" s="38">
        <v>35128</v>
      </c>
      <c r="M1533" s="38">
        <v>12</v>
      </c>
    </row>
    <row r="1534" spans="1:17" x14ac:dyDescent="0.25">
      <c r="A1534" s="39" t="str">
        <f>IF(F1534="","",VLOOKUP(F1534,Tabelle1[],3))</f>
        <v>PRIZREN</v>
      </c>
      <c r="B1534" s="40" t="str">
        <f>IF(F1534="","",VLOOKUP(F1534,Tabelle1[],2))</f>
        <v>AB SHPK</v>
      </c>
      <c r="C1534" s="40"/>
      <c r="D1534" s="41">
        <v>46168</v>
      </c>
      <c r="E1534" s="80"/>
      <c r="F1534" s="78">
        <v>10241</v>
      </c>
      <c r="G1534" s="43">
        <v>267.60000000000002</v>
      </c>
      <c r="H1534" s="38">
        <v>35114</v>
      </c>
      <c r="I1534" s="38">
        <v>36</v>
      </c>
      <c r="J1534" s="38">
        <v>35128</v>
      </c>
      <c r="K1534" s="38">
        <v>24</v>
      </c>
      <c r="L1534" s="38">
        <v>51612</v>
      </c>
      <c r="M1534" s="38">
        <v>12</v>
      </c>
    </row>
    <row r="1535" spans="1:17" x14ac:dyDescent="0.25">
      <c r="A1535" s="39" t="str">
        <f>IF(F1535="","",VLOOKUP(F1535,Tabelle1[],3))</f>
        <v>PRIZREN</v>
      </c>
      <c r="B1535" s="40" t="str">
        <f>IF(F1535="","",VLOOKUP(F1535,Tabelle1[],2))</f>
        <v>MONI 2</v>
      </c>
      <c r="C1535" s="40"/>
      <c r="D1535" s="41">
        <v>46168</v>
      </c>
      <c r="E1535" s="80"/>
      <c r="F1535" s="78">
        <v>10210</v>
      </c>
      <c r="G1535" s="43">
        <v>192</v>
      </c>
      <c r="H1535" s="38">
        <v>35108</v>
      </c>
      <c r="I1535" s="38">
        <v>24</v>
      </c>
      <c r="J1535" s="38">
        <v>35115</v>
      </c>
      <c r="K1535" s="38">
        <v>12</v>
      </c>
      <c r="L1535" s="38">
        <v>35121</v>
      </c>
      <c r="M1535" s="38">
        <v>12</v>
      </c>
    </row>
    <row r="1536" spans="1:17" x14ac:dyDescent="0.25">
      <c r="A1536" s="39" t="str">
        <f>IF(F1536="","",VLOOKUP(F1536,Tabelle1[],3))</f>
        <v>ZYM</v>
      </c>
      <c r="B1536" s="40" t="str">
        <f>IF(F1536="","",VLOOKUP(F1536,Tabelle1[],2))</f>
        <v>BEK TRADE</v>
      </c>
      <c r="C1536" s="40"/>
      <c r="D1536" s="41">
        <v>46168</v>
      </c>
      <c r="E1536" s="80"/>
      <c r="F1536" s="78">
        <v>10245</v>
      </c>
      <c r="G1536" s="43">
        <v>48</v>
      </c>
      <c r="H1536" s="38">
        <v>35113</v>
      </c>
      <c r="I1536" s="38">
        <v>12</v>
      </c>
    </row>
    <row r="1537" spans="1:21" x14ac:dyDescent="0.25">
      <c r="A1537" s="39" t="str">
        <f>IF(F1537="","",VLOOKUP(F1537,Tabelle1[],3))</f>
        <v>PRIZREN</v>
      </c>
      <c r="B1537" s="40" t="str">
        <f>IF(F1537="","",VLOOKUP(F1537,Tabelle1[],2))</f>
        <v>ARPO</v>
      </c>
      <c r="C1537" s="40"/>
      <c r="D1537" s="41">
        <v>46168</v>
      </c>
      <c r="E1537" s="80"/>
      <c r="F1537" s="78">
        <v>10240</v>
      </c>
      <c r="G1537" s="43">
        <v>330.6</v>
      </c>
      <c r="H1537" s="38">
        <v>35110</v>
      </c>
      <c r="I1537" s="38">
        <v>24</v>
      </c>
      <c r="J1537" s="38">
        <v>35109</v>
      </c>
      <c r="K1537" s="38">
        <v>12</v>
      </c>
      <c r="L1537" s="38">
        <v>35115</v>
      </c>
      <c r="M1537" s="38">
        <v>12</v>
      </c>
      <c r="N1537" s="38">
        <v>35113</v>
      </c>
      <c r="O1537" s="38">
        <v>12</v>
      </c>
      <c r="P1537" s="38">
        <v>35128</v>
      </c>
      <c r="Q1537" s="38">
        <v>12</v>
      </c>
      <c r="R1537" s="38">
        <v>51611</v>
      </c>
      <c r="S1537" s="38">
        <v>12</v>
      </c>
      <c r="T1537" s="38">
        <v>51612</v>
      </c>
      <c r="U1537" s="38">
        <v>12</v>
      </c>
    </row>
    <row r="1538" spans="1:21" x14ac:dyDescent="0.25">
      <c r="A1538" s="39" t="str">
        <f>IF(F1538="","",VLOOKUP(F1538,Tabelle1[],3))</f>
        <v>SHIROK</v>
      </c>
      <c r="B1538" s="40" t="str">
        <f>IF(F1538="","",VLOOKUP(F1538,Tabelle1[],2))</f>
        <v>XHAFA</v>
      </c>
      <c r="C1538" s="40"/>
      <c r="D1538" s="41">
        <v>46168</v>
      </c>
      <c r="E1538" s="80"/>
      <c r="F1538" s="78">
        <v>10205</v>
      </c>
      <c r="G1538" s="43">
        <v>123.6</v>
      </c>
      <c r="H1538" s="38">
        <v>35111</v>
      </c>
      <c r="I1538" s="38">
        <v>12</v>
      </c>
      <c r="J1538" s="38">
        <v>35128</v>
      </c>
      <c r="K1538" s="38">
        <v>12</v>
      </c>
      <c r="L1538" s="38">
        <v>51612</v>
      </c>
      <c r="M1538" s="38">
        <v>12</v>
      </c>
    </row>
    <row r="1539" spans="1:21" x14ac:dyDescent="0.25">
      <c r="A1539" s="39" t="str">
        <f>IF(F1539="","",VLOOKUP(F1539,Tabelle1[],3))</f>
        <v>PRIZREN</v>
      </c>
      <c r="B1539" s="40" t="str">
        <f>IF(F1539="","",VLOOKUP(F1539,Tabelle1[],2))</f>
        <v>TEMAJ</v>
      </c>
      <c r="C1539" s="40"/>
      <c r="D1539" s="41">
        <v>46168</v>
      </c>
      <c r="E1539" s="80"/>
      <c r="F1539" s="78">
        <v>40019</v>
      </c>
      <c r="G1539" s="43">
        <v>48</v>
      </c>
      <c r="H1539" s="38">
        <v>35113</v>
      </c>
      <c r="I1539" s="38">
        <v>12</v>
      </c>
    </row>
    <row r="1540" spans="1:21" x14ac:dyDescent="0.25">
      <c r="A1540" s="39" t="str">
        <f>IF(F1540="","",VLOOKUP(F1540,Tabelle1[],3))</f>
        <v>GJAKOVE</v>
      </c>
      <c r="B1540" s="40" t="str">
        <f>IF(F1540="","",VLOOKUP(F1540,Tabelle1[],2))</f>
        <v>PROSAN</v>
      </c>
      <c r="C1540" s="40"/>
      <c r="D1540" s="41">
        <v>46168</v>
      </c>
      <c r="E1540" s="80"/>
      <c r="F1540" s="78">
        <v>20210</v>
      </c>
      <c r="G1540" s="43">
        <v>283.2</v>
      </c>
      <c r="H1540" s="38">
        <v>66701</v>
      </c>
      <c r="I1540" s="38">
        <v>24</v>
      </c>
      <c r="J1540" s="38">
        <v>35113</v>
      </c>
      <c r="K1540" s="38">
        <v>36</v>
      </c>
    </row>
    <row r="1541" spans="1:21" x14ac:dyDescent="0.25">
      <c r="A1541" s="39" t="str">
        <f>IF(F1541="","",VLOOKUP(F1541,Tabelle1[],3))</f>
        <v>RAHOVEC</v>
      </c>
      <c r="B1541" s="40" t="str">
        <f>IF(F1541="","",VLOOKUP(F1541,Tabelle1[],2))</f>
        <v>CONDOR</v>
      </c>
      <c r="C1541" s="40"/>
      <c r="D1541" s="41">
        <v>46168</v>
      </c>
      <c r="E1541" s="80"/>
      <c r="F1541" s="78">
        <v>20307</v>
      </c>
      <c r="G1541" s="43">
        <v>240</v>
      </c>
      <c r="H1541" s="38">
        <v>35108</v>
      </c>
      <c r="I1541" s="38">
        <v>12</v>
      </c>
      <c r="J1541" s="38">
        <v>35109</v>
      </c>
      <c r="K1541" s="38">
        <v>24</v>
      </c>
      <c r="L1541" s="38">
        <v>35110</v>
      </c>
      <c r="M1541" s="38">
        <v>12</v>
      </c>
      <c r="N1541" s="38">
        <v>35111</v>
      </c>
      <c r="O1541" s="38">
        <v>12</v>
      </c>
    </row>
    <row r="1542" spans="1:21" x14ac:dyDescent="0.25">
      <c r="A1542" s="39" t="str">
        <f>IF(F1542="","",VLOOKUP(F1542,Tabelle1[],3))</f>
        <v>GJAKOVE</v>
      </c>
      <c r="B1542" s="40" t="str">
        <f>IF(F1542="","",VLOOKUP(F1542,Tabelle1[],2))</f>
        <v>GER COLORS</v>
      </c>
      <c r="C1542" s="40"/>
      <c r="D1542" s="41">
        <v>46168</v>
      </c>
      <c r="E1542" s="80"/>
      <c r="F1542" s="78">
        <v>20223</v>
      </c>
      <c r="G1542" s="43">
        <v>149.6</v>
      </c>
      <c r="H1542" s="38">
        <v>12000</v>
      </c>
      <c r="I1542" s="38">
        <v>10</v>
      </c>
      <c r="J1542" s="38">
        <v>66701</v>
      </c>
      <c r="K1542" s="38">
        <v>12</v>
      </c>
    </row>
    <row r="1543" spans="1:21" x14ac:dyDescent="0.25">
      <c r="A1543" s="39" t="str">
        <f>IF(F1543="","",VLOOKUP(F1543,Tabelle1[],3))</f>
        <v>GJAKOVE</v>
      </c>
      <c r="B1543" s="40" t="str">
        <f>IF(F1543="","",VLOOKUP(F1543,Tabelle1[],2))</f>
        <v>INOX 2</v>
      </c>
      <c r="C1543" s="40"/>
      <c r="D1543" s="41">
        <v>46168</v>
      </c>
      <c r="E1543" s="80"/>
      <c r="F1543" s="78">
        <v>20212</v>
      </c>
      <c r="G1543" s="43">
        <v>144</v>
      </c>
      <c r="H1543" s="38">
        <v>35109</v>
      </c>
      <c r="I1543" s="38">
        <v>24</v>
      </c>
      <c r="J1543" s="38">
        <v>35125</v>
      </c>
      <c r="K1543" s="38">
        <v>12</v>
      </c>
    </row>
    <row r="1544" spans="1:21" x14ac:dyDescent="0.25">
      <c r="A1544" s="39" t="str">
        <f>IF(F1544="","",VLOOKUP(F1544,Tabelle1[],3))</f>
        <v>GJAKOVE</v>
      </c>
      <c r="B1544" s="40" t="str">
        <f>IF(F1544="","",VLOOKUP(F1544,Tabelle1[],2))</f>
        <v>HB-DECOR</v>
      </c>
      <c r="C1544" s="40"/>
      <c r="D1544" s="41">
        <v>46168</v>
      </c>
      <c r="E1544" s="80"/>
      <c r="F1544" s="78">
        <v>20228</v>
      </c>
      <c r="G1544" s="43">
        <v>69.599999999999994</v>
      </c>
      <c r="H1544" s="38">
        <v>66701</v>
      </c>
      <c r="I1544" s="38">
        <v>12</v>
      </c>
    </row>
    <row r="1545" spans="1:21" x14ac:dyDescent="0.25">
      <c r="A1545" s="39" t="str">
        <f>IF(F1545="","",VLOOKUP(F1545,Tabelle1[],3))</f>
        <v>MALISHEVE</v>
      </c>
      <c r="B1545" s="40" t="str">
        <f>IF(F1545="","",VLOOKUP(F1545,Tabelle1[],2))</f>
        <v>HAZROLLI</v>
      </c>
      <c r="C1545" s="40"/>
      <c r="D1545" s="41">
        <v>46168</v>
      </c>
      <c r="E1545" s="80"/>
      <c r="F1545" s="78">
        <v>20301</v>
      </c>
      <c r="G1545" s="43">
        <v>144</v>
      </c>
      <c r="H1545" s="38">
        <v>35111</v>
      </c>
      <c r="I1545" s="38">
        <v>24</v>
      </c>
      <c r="J1545" s="38">
        <v>35125</v>
      </c>
      <c r="K1545" s="38">
        <v>12</v>
      </c>
    </row>
    <row r="1546" spans="1:21" x14ac:dyDescent="0.25">
      <c r="A1546" s="39" t="str">
        <f>IF(F1546="","",VLOOKUP(F1546,Tabelle1[],3))</f>
        <v>RAHOVEC</v>
      </c>
      <c r="B1546" s="40" t="str">
        <f>IF(F1546="","",VLOOKUP(F1546,Tabelle1[],2))</f>
        <v>DURGUTI 3</v>
      </c>
      <c r="C1546" s="40"/>
      <c r="D1546" s="41">
        <v>46168</v>
      </c>
      <c r="E1546" s="80"/>
      <c r="F1546" s="78">
        <v>20313</v>
      </c>
      <c r="G1546" s="43">
        <v>63</v>
      </c>
      <c r="H1546" s="38">
        <v>35108</v>
      </c>
      <c r="I1546" s="38">
        <v>12</v>
      </c>
      <c r="J1546" s="38">
        <v>51611</v>
      </c>
      <c r="K1546" s="38">
        <v>12</v>
      </c>
    </row>
    <row r="1547" spans="1:21" x14ac:dyDescent="0.25">
      <c r="A1547" s="39" t="str">
        <f>IF(F1547="","",VLOOKUP(F1547,Tabelle1[],3))</f>
        <v>LIPJAN</v>
      </c>
      <c r="B1547" s="40" t="str">
        <f>IF(F1547="","",VLOOKUP(F1547,Tabelle1[],2))</f>
        <v>TE RAMIZI</v>
      </c>
      <c r="C1547" s="40"/>
      <c r="D1547" s="41">
        <v>46171</v>
      </c>
      <c r="E1547" s="80"/>
      <c r="F1547" s="78">
        <v>10528</v>
      </c>
      <c r="G1547" s="43">
        <v>48</v>
      </c>
      <c r="H1547" s="38">
        <v>35121</v>
      </c>
      <c r="I1547" s="38">
        <v>12</v>
      </c>
    </row>
    <row r="1548" spans="1:21" x14ac:dyDescent="0.25">
      <c r="A1548" s="39" t="str">
        <f>IF(F1548="","",VLOOKUP(F1548,Tabelle1[],3))</f>
        <v>FERIZAJ</v>
      </c>
      <c r="B1548" s="40" t="str">
        <f>IF(F1548="","",VLOOKUP(F1548,Tabelle1[],2))</f>
        <v>CARRALEVA 1</v>
      </c>
      <c r="C1548" s="40"/>
      <c r="D1548" s="41">
        <v>46171</v>
      </c>
      <c r="E1548" s="80"/>
      <c r="F1548" s="78">
        <v>10504</v>
      </c>
      <c r="G1548" s="43">
        <v>96</v>
      </c>
      <c r="H1548" s="38">
        <v>35128</v>
      </c>
      <c r="I1548" s="38">
        <v>12</v>
      </c>
      <c r="J1548" s="38">
        <v>35111</v>
      </c>
      <c r="K1548" s="38">
        <v>12</v>
      </c>
    </row>
    <row r="1549" spans="1:21" x14ac:dyDescent="0.25">
      <c r="A1549" s="39" t="str">
        <f>IF(F1549="","",VLOOKUP(F1549,Tabelle1[],3))</f>
        <v>FERIZAJ</v>
      </c>
      <c r="B1549" s="40" t="str">
        <f>IF(F1549="","",VLOOKUP(F1549,Tabelle1[],2))</f>
        <v>REAL COLOR 2</v>
      </c>
      <c r="C1549" s="40"/>
      <c r="D1549" s="41">
        <v>46171</v>
      </c>
      <c r="E1549" s="80"/>
      <c r="F1549" s="78">
        <v>10507</v>
      </c>
      <c r="G1549" s="43">
        <v>144</v>
      </c>
      <c r="H1549" s="38">
        <v>35109</v>
      </c>
      <c r="I1549" s="38">
        <v>12</v>
      </c>
      <c r="J1549" s="38">
        <v>35125</v>
      </c>
      <c r="K1549" s="38">
        <v>12</v>
      </c>
      <c r="L1549" s="38">
        <v>35128</v>
      </c>
      <c r="M1549" s="38">
        <v>12</v>
      </c>
    </row>
    <row r="1550" spans="1:21" x14ac:dyDescent="0.25">
      <c r="A1550" s="39" t="str">
        <f>IF(F1550="","",VLOOKUP(F1550,Tabelle1[],3))</f>
        <v>FERIZAJ</v>
      </c>
      <c r="B1550" s="40" t="str">
        <f>IF(F1550="","",VLOOKUP(F1550,Tabelle1[],2))</f>
        <v>LONI</v>
      </c>
      <c r="C1550" s="40"/>
      <c r="D1550" s="41">
        <v>46171</v>
      </c>
      <c r="E1550" s="80"/>
      <c r="F1550" s="78">
        <v>10509</v>
      </c>
      <c r="G1550" s="43">
        <v>45</v>
      </c>
      <c r="H1550" s="38">
        <v>49644</v>
      </c>
      <c r="I1550" s="38">
        <v>5</v>
      </c>
      <c r="J1550" s="38">
        <v>55718</v>
      </c>
      <c r="K1550" s="38">
        <v>5</v>
      </c>
      <c r="L1550" s="38">
        <v>44001</v>
      </c>
      <c r="M1550" s="38">
        <v>5</v>
      </c>
    </row>
    <row r="1551" spans="1:21" x14ac:dyDescent="0.25">
      <c r="A1551" s="39" t="str">
        <f>IF(F1551="","",VLOOKUP(F1551,Tabelle1[],3))</f>
        <v>FERIZAJ</v>
      </c>
      <c r="B1551" s="40" t="str">
        <f>IF(F1551="","",VLOOKUP(F1551,Tabelle1[],2))</f>
        <v>MULI</v>
      </c>
      <c r="C1551" s="40"/>
      <c r="D1551" s="41">
        <v>46171</v>
      </c>
      <c r="E1551" s="80"/>
      <c r="F1551" s="78">
        <v>10511</v>
      </c>
      <c r="G1551" s="43">
        <v>96</v>
      </c>
      <c r="H1551" s="38">
        <v>35109</v>
      </c>
      <c r="I1551" s="38">
        <v>12</v>
      </c>
      <c r="J1551" s="38">
        <v>35128</v>
      </c>
      <c r="K1551" s="38">
        <v>12</v>
      </c>
    </row>
    <row r="1552" spans="1:21" x14ac:dyDescent="0.25">
      <c r="A1552" s="39" t="str">
        <f>IF(F1552="","",VLOOKUP(F1552,Tabelle1[],3))</f>
        <v>FERIZAJ</v>
      </c>
      <c r="B1552" s="40" t="str">
        <f>IF(F1552="","",VLOOKUP(F1552,Tabelle1[],2))</f>
        <v>CARRALEVA 2</v>
      </c>
      <c r="C1552" s="40"/>
      <c r="D1552" s="41">
        <v>46171</v>
      </c>
      <c r="E1552" s="80"/>
      <c r="F1552" s="78">
        <v>10508</v>
      </c>
      <c r="G1552" s="43">
        <v>48</v>
      </c>
      <c r="H1552" s="38">
        <v>35121</v>
      </c>
      <c r="I1552" s="38">
        <v>12</v>
      </c>
    </row>
    <row r="1553" spans="1:17" x14ac:dyDescent="0.25">
      <c r="A1553" s="39" t="str">
        <f>IF(F1553="","",VLOOKUP(F1553,Tabelle1[],3))</f>
        <v>FERIZAJ</v>
      </c>
      <c r="B1553" s="40" t="str">
        <f>IF(F1553="","",VLOOKUP(F1553,Tabelle1[],2))</f>
        <v>PROCOM</v>
      </c>
      <c r="C1553" s="40"/>
      <c r="D1553" s="41">
        <v>46171</v>
      </c>
      <c r="E1553" s="80"/>
      <c r="F1553" s="78">
        <v>10502</v>
      </c>
      <c r="G1553" s="43">
        <v>128</v>
      </c>
      <c r="H1553" s="38">
        <v>35114</v>
      </c>
      <c r="I1553" s="38">
        <v>12</v>
      </c>
      <c r="J1553" s="38">
        <v>35112</v>
      </c>
      <c r="K1553" s="38">
        <v>8</v>
      </c>
      <c r="L1553" s="38">
        <v>35121</v>
      </c>
      <c r="M1553" s="38">
        <v>12</v>
      </c>
    </row>
    <row r="1554" spans="1:17" x14ac:dyDescent="0.25">
      <c r="A1554" s="39" t="str">
        <f>IF(F1554="","",VLOOKUP(F1554,Tabelle1[],3))</f>
        <v>KLINE</v>
      </c>
      <c r="B1554" s="40" t="str">
        <f>IF(F1554="","",VLOOKUP(F1554,Tabelle1[],2))</f>
        <v>RACI</v>
      </c>
      <c r="C1554" s="40"/>
      <c r="D1554" s="41">
        <v>46171</v>
      </c>
      <c r="E1554" s="80"/>
      <c r="F1554" s="78">
        <v>20501</v>
      </c>
      <c r="G1554" s="43">
        <v>48</v>
      </c>
      <c r="H1554" s="38">
        <v>35111</v>
      </c>
      <c r="I1554" s="38">
        <v>12</v>
      </c>
    </row>
    <row r="1555" spans="1:17" x14ac:dyDescent="0.25">
      <c r="A1555" s="39" t="str">
        <f>IF(F1555="","",VLOOKUP(F1555,Tabelle1[],3))</f>
        <v>KLINE</v>
      </c>
      <c r="B1555" s="40" t="str">
        <f>IF(F1555="","",VLOOKUP(F1555,Tabelle1[],2))</f>
        <v>HOXHA</v>
      </c>
      <c r="C1555" s="40"/>
      <c r="D1555" s="41">
        <v>46171</v>
      </c>
      <c r="E1555" s="80"/>
      <c r="F1555" s="78">
        <v>20502</v>
      </c>
      <c r="G1555" s="43">
        <v>96</v>
      </c>
      <c r="H1555" s="38">
        <v>35109</v>
      </c>
      <c r="I1555" s="38">
        <v>12</v>
      </c>
      <c r="J1555" s="38">
        <v>35128</v>
      </c>
      <c r="K1555" s="38">
        <v>12</v>
      </c>
    </row>
    <row r="1556" spans="1:17" x14ac:dyDescent="0.25">
      <c r="A1556" s="39" t="str">
        <f>IF(F1556="","",VLOOKUP(F1556,Tabelle1[],3))</f>
        <v>ISTOG</v>
      </c>
      <c r="B1556" s="40" t="str">
        <f>IF(F1556="","",VLOOKUP(F1556,Tabelle1[],2))</f>
        <v>LIRIDONA-A</v>
      </c>
      <c r="C1556" s="40"/>
      <c r="D1556" s="41">
        <v>46171</v>
      </c>
      <c r="E1556" s="80"/>
      <c r="F1556" s="78">
        <v>20515</v>
      </c>
      <c r="G1556" s="43">
        <v>144</v>
      </c>
      <c r="H1556" s="38">
        <v>35121</v>
      </c>
      <c r="I1556" s="38">
        <v>36</v>
      </c>
    </row>
    <row r="1557" spans="1:17" x14ac:dyDescent="0.25">
      <c r="A1557" s="39" t="str">
        <f>IF(F1557="","",VLOOKUP(F1557,Tabelle1[],3))</f>
        <v>ISTOG</v>
      </c>
      <c r="B1557" s="40" t="str">
        <f>IF(F1557="","",VLOOKUP(F1557,Tabelle1[],2))</f>
        <v>GASHI-COM</v>
      </c>
      <c r="C1557" s="40"/>
      <c r="D1557" s="41">
        <v>46171</v>
      </c>
      <c r="E1557" s="80"/>
      <c r="F1557" s="78">
        <v>20516</v>
      </c>
      <c r="G1557" s="43">
        <v>126</v>
      </c>
      <c r="H1557" s="38">
        <v>35111</v>
      </c>
      <c r="I1557" s="38">
        <v>24</v>
      </c>
      <c r="J1557" s="38">
        <v>51611</v>
      </c>
      <c r="K1557" s="38">
        <v>24</v>
      </c>
    </row>
    <row r="1558" spans="1:17" x14ac:dyDescent="0.25">
      <c r="A1558" s="39" t="str">
        <f>IF(F1558="","",VLOOKUP(F1558,Tabelle1[],3))</f>
        <v>SKENDERAJ</v>
      </c>
      <c r="B1558" s="40" t="str">
        <f>IF(F1558="","",VLOOKUP(F1558,Tabelle1[],2))</f>
        <v>TE BENI</v>
      </c>
      <c r="C1558" s="40"/>
      <c r="D1558" s="41">
        <v>46171</v>
      </c>
      <c r="E1558" s="80"/>
      <c r="F1558" s="78">
        <v>20407</v>
      </c>
      <c r="G1558" s="43">
        <v>144</v>
      </c>
      <c r="H1558" s="38">
        <v>35108</v>
      </c>
      <c r="I1558" s="38">
        <v>12</v>
      </c>
      <c r="J1558" s="38">
        <v>35110</v>
      </c>
      <c r="K1558" s="38">
        <v>12</v>
      </c>
      <c r="L1558" s="38">
        <v>35125</v>
      </c>
      <c r="M1558" s="38">
        <v>12</v>
      </c>
    </row>
    <row r="1559" spans="1:17" x14ac:dyDescent="0.25">
      <c r="A1559" s="39" t="str">
        <f>IF(F1559="","",VLOOKUP(F1559,Tabelle1[],3))</f>
        <v>SKENDERAJ</v>
      </c>
      <c r="B1559" s="40" t="str">
        <f>IF(F1559="","",VLOOKUP(F1559,Tabelle1[],2))</f>
        <v>BENI</v>
      </c>
      <c r="C1559" s="40"/>
      <c r="D1559" s="41">
        <v>46171</v>
      </c>
      <c r="E1559" s="80"/>
      <c r="F1559" s="78">
        <v>20409</v>
      </c>
      <c r="G1559" s="43">
        <v>43.5</v>
      </c>
      <c r="H1559" s="38">
        <v>55718</v>
      </c>
      <c r="I1559" s="38">
        <v>6</v>
      </c>
      <c r="J1559" s="38">
        <v>31819</v>
      </c>
      <c r="K1559" s="38">
        <v>5</v>
      </c>
      <c r="L1559" s="38">
        <v>51736</v>
      </c>
      <c r="M1559" s="38">
        <v>4</v>
      </c>
    </row>
    <row r="1560" spans="1:17" x14ac:dyDescent="0.25">
      <c r="A1560" s="39" t="str">
        <f>IF(F1560="","",VLOOKUP(F1560,Tabelle1[],3))</f>
        <v>PODUJEVE</v>
      </c>
      <c r="B1560" s="40" t="str">
        <f>IF(F1560="","",VLOOKUP(F1560,Tabelle1[],2))</f>
        <v>TE ZENA</v>
      </c>
      <c r="C1560" s="40"/>
      <c r="D1560" s="41">
        <v>46172</v>
      </c>
      <c r="E1560" s="80"/>
      <c r="F1560" s="78">
        <v>10616</v>
      </c>
      <c r="G1560" s="43">
        <v>96</v>
      </c>
      <c r="H1560" s="38">
        <v>35114</v>
      </c>
      <c r="I1560" s="38">
        <v>12</v>
      </c>
      <c r="J1560" s="38">
        <v>35119</v>
      </c>
      <c r="K1560" s="38">
        <v>12</v>
      </c>
    </row>
    <row r="1561" spans="1:17" x14ac:dyDescent="0.25">
      <c r="A1561" s="39" t="str">
        <f>IF(F1561="","",VLOOKUP(F1561,Tabelle1[],3))</f>
        <v>PODUJEVE</v>
      </c>
      <c r="B1561" s="40" t="str">
        <f>IF(F1561="","",VLOOKUP(F1561,Tabelle1[],2))</f>
        <v>ALBANI</v>
      </c>
      <c r="C1561" s="40"/>
      <c r="D1561" s="41">
        <v>46172</v>
      </c>
      <c r="E1561" s="80"/>
      <c r="F1561" s="78">
        <v>10636</v>
      </c>
      <c r="G1561" s="43">
        <v>111</v>
      </c>
      <c r="H1561" s="38">
        <v>35111</v>
      </c>
      <c r="I1561" s="38">
        <v>12</v>
      </c>
      <c r="J1561" s="38">
        <v>35128</v>
      </c>
      <c r="K1561" s="38">
        <v>12</v>
      </c>
      <c r="L1561" s="38">
        <v>51611</v>
      </c>
      <c r="M1561" s="38">
        <v>12</v>
      </c>
    </row>
    <row r="1562" spans="1:17" x14ac:dyDescent="0.25">
      <c r="A1562" s="39" t="str">
        <f>IF(F1562="","",VLOOKUP(F1562,Tabelle1[],3))</f>
        <v>PODUJEVE</v>
      </c>
      <c r="B1562" s="40" t="str">
        <f>IF(F1562="","",VLOOKUP(F1562,Tabelle1[],2))</f>
        <v>HOXHA</v>
      </c>
      <c r="C1562" s="40"/>
      <c r="D1562" s="41">
        <v>46172</v>
      </c>
      <c r="E1562" s="80"/>
      <c r="F1562" s="78">
        <v>10622</v>
      </c>
      <c r="G1562" s="43">
        <v>52.9</v>
      </c>
      <c r="H1562" s="38">
        <v>54412</v>
      </c>
      <c r="I1562" s="38">
        <v>12</v>
      </c>
      <c r="J1562" s="38">
        <v>55718</v>
      </c>
      <c r="K1562" s="38">
        <v>2</v>
      </c>
      <c r="L1562" s="38">
        <v>49644</v>
      </c>
      <c r="M1562" s="38">
        <v>2</v>
      </c>
      <c r="N1562" s="38">
        <v>50912</v>
      </c>
      <c r="O1562" s="38">
        <v>2</v>
      </c>
      <c r="P1562" s="38">
        <v>44001</v>
      </c>
      <c r="Q1562" s="38">
        <v>1</v>
      </c>
    </row>
    <row r="1563" spans="1:17" x14ac:dyDescent="0.25">
      <c r="A1563" s="39" t="str">
        <f>IF(F1563="","",VLOOKUP(F1563,Tabelle1[],3))</f>
        <v>PODUJEVE</v>
      </c>
      <c r="B1563" s="40" t="str">
        <f>IF(F1563="","",VLOOKUP(F1563,Tabelle1[],2))</f>
        <v>ALBANI</v>
      </c>
      <c r="C1563" s="40"/>
      <c r="D1563" s="41">
        <v>46172</v>
      </c>
      <c r="E1563" s="80"/>
      <c r="F1563" s="78">
        <v>10635</v>
      </c>
      <c r="G1563" s="43">
        <v>96</v>
      </c>
      <c r="H1563" s="38">
        <v>35109</v>
      </c>
      <c r="I1563" s="38">
        <v>12</v>
      </c>
      <c r="J1563" s="38">
        <v>35113</v>
      </c>
      <c r="K1563" s="38">
        <v>12</v>
      </c>
    </row>
    <row r="1564" spans="1:17" x14ac:dyDescent="0.25">
      <c r="A1564" s="39" t="str">
        <f>IF(F1564="","",VLOOKUP(F1564,Tabelle1[],3))</f>
        <v>PODUJEVE</v>
      </c>
      <c r="B1564" s="40" t="str">
        <f>IF(F1564="","",VLOOKUP(F1564,Tabelle1[],2))</f>
        <v>KUJTA</v>
      </c>
      <c r="C1564" s="40"/>
      <c r="D1564" s="41">
        <v>46172</v>
      </c>
      <c r="E1564" s="80"/>
      <c r="F1564" s="78">
        <v>10625</v>
      </c>
      <c r="G1564" s="43">
        <v>77</v>
      </c>
      <c r="H1564" s="38">
        <v>35125</v>
      </c>
      <c r="I1564" s="38">
        <v>12</v>
      </c>
      <c r="J1564" s="38">
        <v>54412</v>
      </c>
      <c r="K1564" s="38">
        <v>5</v>
      </c>
      <c r="L1564" s="38">
        <v>50912</v>
      </c>
      <c r="M1564" s="38">
        <v>2</v>
      </c>
      <c r="N1564" s="38">
        <v>49644</v>
      </c>
      <c r="O1564" s="38">
        <v>2</v>
      </c>
    </row>
    <row r="1565" spans="1:17" x14ac:dyDescent="0.25">
      <c r="A1565" s="39" t="str">
        <f>IF(F1565="","",VLOOKUP(F1565,Tabelle1[],3))</f>
        <v>FERIZAJ</v>
      </c>
      <c r="B1565" s="40" t="str">
        <f>IF(F1565="","",VLOOKUP(F1565,Tabelle1[],2))</f>
        <v>BUJARI Q - BESII</v>
      </c>
      <c r="C1565" s="40"/>
      <c r="D1565" s="41">
        <v>46172</v>
      </c>
      <c r="E1565" s="80"/>
      <c r="F1565" s="78">
        <v>20609</v>
      </c>
      <c r="G1565" s="43">
        <v>240</v>
      </c>
      <c r="H1565" s="38">
        <v>35109</v>
      </c>
      <c r="I1565" s="38">
        <v>48</v>
      </c>
      <c r="J1565" s="38">
        <v>35113</v>
      </c>
      <c r="K1565" s="38">
        <v>12</v>
      </c>
    </row>
    <row r="1566" spans="1:17" x14ac:dyDescent="0.25">
      <c r="A1566" s="39" t="str">
        <f>IF(F1566="","",VLOOKUP(F1566,Tabelle1[],3))</f>
        <v>FERIZAJ</v>
      </c>
      <c r="B1566" s="40" t="str">
        <f>IF(F1566="","",VLOOKUP(F1566,Tabelle1[],2))</f>
        <v>AGROLONDI</v>
      </c>
      <c r="C1566" s="40"/>
      <c r="D1566" s="41">
        <v>46172</v>
      </c>
      <c r="E1566" s="80"/>
      <c r="F1566" s="78">
        <v>20602</v>
      </c>
      <c r="G1566" s="43">
        <v>111</v>
      </c>
      <c r="H1566" s="38">
        <v>35119</v>
      </c>
      <c r="I1566" s="38">
        <v>12</v>
      </c>
      <c r="J1566" s="38">
        <v>35115</v>
      </c>
      <c r="K1566" s="38">
        <v>12</v>
      </c>
      <c r="L1566" s="38">
        <v>51611</v>
      </c>
      <c r="M1566" s="38">
        <v>12</v>
      </c>
    </row>
    <row r="1567" spans="1:17" x14ac:dyDescent="0.25">
      <c r="A1567" s="39" t="str">
        <f>IF(F1567="","",VLOOKUP(F1567,Tabelle1[],3))</f>
        <v>FERIZAJ</v>
      </c>
      <c r="B1567" s="40" t="str">
        <f>IF(F1567="","",VLOOKUP(F1567,Tabelle1[],2))</f>
        <v>SALIHU CORPORATION</v>
      </c>
      <c r="C1567" s="40"/>
      <c r="D1567" s="41">
        <v>46172</v>
      </c>
      <c r="E1567" s="80"/>
      <c r="F1567" s="78">
        <v>20635</v>
      </c>
      <c r="G1567" s="43">
        <v>144</v>
      </c>
      <c r="H1567" s="38">
        <v>35109</v>
      </c>
      <c r="I1567" s="38">
        <v>24</v>
      </c>
      <c r="J1567" s="38">
        <v>35115</v>
      </c>
      <c r="K1567" s="38">
        <v>12</v>
      </c>
    </row>
    <row r="1568" spans="1:17" x14ac:dyDescent="0.25">
      <c r="A1568" s="39" t="str">
        <f>IF(F1568="","",VLOOKUP(F1568,Tabelle1[],3))</f>
        <v>FERIZAJ</v>
      </c>
      <c r="B1568" s="40" t="str">
        <f>IF(F1568="","",VLOOKUP(F1568,Tabelle1[],2))</f>
        <v>LONI</v>
      </c>
      <c r="C1568" s="40"/>
      <c r="D1568" s="41">
        <v>46172</v>
      </c>
      <c r="E1568" s="80"/>
      <c r="F1568" s="78">
        <v>20608</v>
      </c>
      <c r="G1568" s="43">
        <v>192</v>
      </c>
      <c r="H1568" s="38">
        <v>35113</v>
      </c>
      <c r="I1568" s="38">
        <v>12</v>
      </c>
      <c r="J1568" s="38">
        <v>35115</v>
      </c>
      <c r="K1568" s="38">
        <v>12</v>
      </c>
      <c r="L1568" s="38">
        <v>35121</v>
      </c>
      <c r="M1568" s="38">
        <v>12</v>
      </c>
      <c r="N1568" s="38">
        <v>35125</v>
      </c>
      <c r="O1568" s="38">
        <v>12</v>
      </c>
    </row>
    <row r="1569" spans="1:19" x14ac:dyDescent="0.25">
      <c r="A1569" s="39" t="str">
        <f>IF(F1569="","",VLOOKUP(F1569,Tabelle1[],3))</f>
        <v>FERIZAJ</v>
      </c>
      <c r="B1569" s="40" t="str">
        <f>IF(F1569="","",VLOOKUP(F1569,Tabelle1[],2))</f>
        <v>BULONI - SH</v>
      </c>
      <c r="C1569" s="40"/>
      <c r="D1569" s="41">
        <v>46172</v>
      </c>
      <c r="E1569" s="80"/>
      <c r="F1569" s="78">
        <v>20624</v>
      </c>
      <c r="G1569" s="43">
        <v>192</v>
      </c>
      <c r="H1569" s="38">
        <v>35113</v>
      </c>
      <c r="I1569" s="38">
        <v>12</v>
      </c>
      <c r="J1569" s="38">
        <v>35121</v>
      </c>
      <c r="K1569" s="38">
        <v>12</v>
      </c>
      <c r="L1569" s="38">
        <v>35113</v>
      </c>
      <c r="M1569" s="38">
        <v>12</v>
      </c>
      <c r="N1569" s="38">
        <v>35111</v>
      </c>
      <c r="O1569" s="38">
        <v>12</v>
      </c>
    </row>
    <row r="1570" spans="1:19" x14ac:dyDescent="0.25">
      <c r="A1570" s="39" t="str">
        <f>IF(F1570="","",VLOOKUP(F1570,Tabelle1[],3))</f>
        <v>FERIZAJ</v>
      </c>
      <c r="B1570" s="40" t="str">
        <f>IF(F1570="","",VLOOKUP(F1570,Tabelle1[],2))</f>
        <v>ALFA-QERAMIKA</v>
      </c>
      <c r="C1570" s="40"/>
      <c r="D1570" s="41">
        <v>46172</v>
      </c>
      <c r="E1570" s="80"/>
      <c r="F1570" s="78">
        <v>20604</v>
      </c>
      <c r="G1570" s="43">
        <v>144</v>
      </c>
      <c r="H1570" s="38">
        <v>35110</v>
      </c>
      <c r="I1570" s="38">
        <v>12</v>
      </c>
      <c r="J1570" s="38">
        <v>35128</v>
      </c>
      <c r="K1570" s="38">
        <v>24</v>
      </c>
    </row>
    <row r="1571" spans="1:19" x14ac:dyDescent="0.25">
      <c r="A1571" s="39" t="str">
        <f>IF(F1571="","",VLOOKUP(F1571,Tabelle1[],3))</f>
        <v>GERLIC</v>
      </c>
      <c r="B1571" s="40" t="str">
        <f>IF(F1571="","",VLOOKUP(F1571,Tabelle1[],2))</f>
        <v>TE-SYLA</v>
      </c>
      <c r="C1571" s="40"/>
      <c r="D1571" s="41">
        <v>46172</v>
      </c>
      <c r="E1571" s="80"/>
      <c r="F1571" s="78">
        <v>20606</v>
      </c>
      <c r="G1571" s="43">
        <v>240</v>
      </c>
      <c r="H1571" s="38">
        <v>35109</v>
      </c>
      <c r="I1571" s="38">
        <v>12</v>
      </c>
      <c r="J1571" s="38">
        <v>35121</v>
      </c>
      <c r="K1571" s="38">
        <v>12</v>
      </c>
      <c r="L1571" s="38">
        <v>35125</v>
      </c>
      <c r="M1571" s="38">
        <v>12</v>
      </c>
      <c r="N1571" s="38">
        <v>35115</v>
      </c>
      <c r="O1571" s="38">
        <v>12</v>
      </c>
      <c r="P1571" s="38">
        <v>49644</v>
      </c>
      <c r="Q1571" s="38">
        <v>12</v>
      </c>
      <c r="R1571" s="38">
        <v>31822</v>
      </c>
      <c r="S1571" s="38">
        <v>12</v>
      </c>
    </row>
    <row r="1572" spans="1:19" x14ac:dyDescent="0.25">
      <c r="A1572" s="39" t="str">
        <f>IF(F1572="","",VLOOKUP(F1572,Tabelle1[],3))</f>
        <v>PRISHTINE</v>
      </c>
      <c r="B1572" s="40" t="str">
        <f>IF(F1572="","",VLOOKUP(F1572,Tabelle1[],2))</f>
        <v>JETARI</v>
      </c>
      <c r="C1572" s="40"/>
      <c r="D1572" s="41">
        <v>46174</v>
      </c>
      <c r="E1572" s="80"/>
      <c r="F1572" s="78">
        <v>10104</v>
      </c>
      <c r="G1572" s="43">
        <v>48</v>
      </c>
      <c r="H1572" s="38">
        <v>35128</v>
      </c>
      <c r="I1572" s="38">
        <v>12</v>
      </c>
    </row>
    <row r="1573" spans="1:19" x14ac:dyDescent="0.25">
      <c r="A1573" s="39" t="str">
        <f>IF(F1573="","",VLOOKUP(F1573,Tabelle1[],3))</f>
        <v>BARDHOSH</v>
      </c>
      <c r="B1573" s="40" t="str">
        <f>IF(F1573="","",VLOOKUP(F1573,Tabelle1[],2))</f>
        <v>QELA</v>
      </c>
      <c r="C1573" s="40"/>
      <c r="D1573" s="41">
        <v>46174</v>
      </c>
      <c r="E1573" s="80"/>
      <c r="F1573" s="78">
        <v>10114</v>
      </c>
      <c r="G1573" s="43">
        <v>96</v>
      </c>
      <c r="H1573" s="38">
        <v>35110</v>
      </c>
      <c r="I1573" s="38">
        <v>12</v>
      </c>
      <c r="J1573" s="38">
        <v>35111</v>
      </c>
      <c r="K1573" s="38">
        <v>12</v>
      </c>
    </row>
    <row r="1574" spans="1:19" x14ac:dyDescent="0.25">
      <c r="A1574" s="39" t="str">
        <f>IF(F1574="","",VLOOKUP(F1574,Tabelle1[],3))</f>
        <v>PRISHTINE</v>
      </c>
      <c r="B1574" s="40" t="str">
        <f>IF(F1574="","",VLOOKUP(F1574,Tabelle1[],2))</f>
        <v>KADIJOLLET</v>
      </c>
      <c r="C1574" s="40"/>
      <c r="D1574" s="41">
        <v>46174</v>
      </c>
      <c r="E1574" s="80"/>
      <c r="F1574" s="78">
        <v>10111</v>
      </c>
      <c r="G1574" s="43">
        <v>123.6</v>
      </c>
      <c r="H1574" s="38">
        <v>35108</v>
      </c>
      <c r="I1574" s="38">
        <v>12</v>
      </c>
      <c r="J1574" s="38">
        <v>35119</v>
      </c>
      <c r="K1574" s="38">
        <v>12</v>
      </c>
      <c r="L1574" s="38">
        <v>51612</v>
      </c>
      <c r="M1574" s="38">
        <v>12</v>
      </c>
    </row>
    <row r="1575" spans="1:19" x14ac:dyDescent="0.25">
      <c r="A1575" s="39" t="str">
        <f>IF(F1575="","",VLOOKUP(F1575,Tabelle1[],3))</f>
        <v>BARDHOSH</v>
      </c>
      <c r="B1575" s="40" t="str">
        <f>IF(F1575="","",VLOOKUP(F1575,Tabelle1[],2))</f>
        <v>OPEL</v>
      </c>
      <c r="C1575" s="40"/>
      <c r="D1575" s="41">
        <v>46174</v>
      </c>
      <c r="E1575" s="80"/>
      <c r="F1575" s="78">
        <v>10116</v>
      </c>
      <c r="G1575" s="43">
        <v>12</v>
      </c>
      <c r="H1575" s="38">
        <v>54412</v>
      </c>
      <c r="I1575" s="38">
        <v>6</v>
      </c>
    </row>
    <row r="1576" spans="1:19" x14ac:dyDescent="0.25">
      <c r="A1576" s="39" t="str">
        <f>IF(F1576="","",VLOOKUP(F1576,Tabelle1[],3))</f>
        <v>PRISHTINE</v>
      </c>
      <c r="B1576" s="40" t="str">
        <f>IF(F1576="","",VLOOKUP(F1576,Tabelle1[],2))</f>
        <v>HIDROELDI</v>
      </c>
      <c r="C1576" s="40"/>
      <c r="D1576" s="41">
        <v>46174</v>
      </c>
      <c r="E1576" s="80"/>
      <c r="F1576" s="78">
        <v>10133</v>
      </c>
      <c r="G1576" s="43">
        <v>48</v>
      </c>
      <c r="H1576" s="38">
        <v>35115</v>
      </c>
      <c r="I1576" s="38">
        <v>12</v>
      </c>
    </row>
    <row r="1577" spans="1:19" x14ac:dyDescent="0.25">
      <c r="A1577" s="39" t="str">
        <f>IF(F1577="","",VLOOKUP(F1577,Tabelle1[],3))</f>
        <v>PRISHTINE</v>
      </c>
      <c r="B1577" s="40" t="str">
        <f>IF(F1577="","",VLOOKUP(F1577,Tabelle1[],2))</f>
        <v>BESI COM</v>
      </c>
      <c r="C1577" s="40"/>
      <c r="D1577" s="41">
        <v>46174</v>
      </c>
      <c r="E1577" s="80"/>
      <c r="F1577" s="78">
        <v>10103</v>
      </c>
      <c r="G1577" s="43">
        <v>96</v>
      </c>
      <c r="H1577" s="38">
        <v>35121</v>
      </c>
      <c r="I1577" s="38">
        <v>12</v>
      </c>
      <c r="J1577" s="38">
        <v>35111</v>
      </c>
      <c r="K1577" s="38">
        <v>12</v>
      </c>
    </row>
    <row r="1578" spans="1:19" x14ac:dyDescent="0.25">
      <c r="A1578" s="39" t="str">
        <f>IF(F1578="","",VLOOKUP(F1578,Tabelle1[],3))</f>
        <v>PEJE</v>
      </c>
      <c r="B1578" s="40" t="str">
        <f>IF(F1578="","",VLOOKUP(F1578,Tabelle1[],2))</f>
        <v>CAMA BAU</v>
      </c>
      <c r="C1578" s="40"/>
      <c r="D1578" s="41">
        <v>46174</v>
      </c>
      <c r="E1578" s="80"/>
      <c r="F1578" s="78">
        <v>20121</v>
      </c>
      <c r="G1578" s="43">
        <v>144</v>
      </c>
      <c r="H1578" s="38">
        <v>35113</v>
      </c>
      <c r="I1578" s="38">
        <v>24</v>
      </c>
      <c r="J1578" s="38">
        <v>35125</v>
      </c>
      <c r="K1578" s="38">
        <v>12</v>
      </c>
    </row>
    <row r="1579" spans="1:19" x14ac:dyDescent="0.25">
      <c r="A1579" s="39" t="str">
        <f>IF(F1579="","",VLOOKUP(F1579,Tabelle1[],3))</f>
        <v>PEJE</v>
      </c>
      <c r="B1579" s="40" t="str">
        <f>IF(F1579="","",VLOOKUP(F1579,Tabelle1[],2))</f>
        <v>TE GZIMI</v>
      </c>
      <c r="C1579" s="40"/>
      <c r="D1579" s="41">
        <v>46174</v>
      </c>
      <c r="E1579" s="80"/>
      <c r="F1579" s="78">
        <v>20101</v>
      </c>
      <c r="G1579" s="43">
        <v>31.8</v>
      </c>
      <c r="H1579" s="38">
        <v>54412</v>
      </c>
      <c r="I1579" s="38">
        <v>5</v>
      </c>
      <c r="J1579" s="38">
        <v>29802</v>
      </c>
      <c r="K1579" s="38">
        <v>4</v>
      </c>
      <c r="L1579" s="38">
        <v>31818</v>
      </c>
      <c r="M1579" s="38">
        <v>6</v>
      </c>
    </row>
    <row r="1580" spans="1:19" x14ac:dyDescent="0.25">
      <c r="A1580" s="39" t="str">
        <f>IF(F1580="","",VLOOKUP(F1580,Tabelle1[],3))</f>
        <v>PEJE</v>
      </c>
      <c r="B1580" s="40" t="str">
        <f>IF(F1580="","",VLOOKUP(F1580,Tabelle1[],2))</f>
        <v>LULI-C</v>
      </c>
      <c r="C1580" s="40"/>
      <c r="D1580" s="41">
        <v>46174</v>
      </c>
      <c r="E1580" s="80"/>
      <c r="F1580" s="78">
        <v>20126</v>
      </c>
      <c r="G1580" s="43">
        <v>78</v>
      </c>
      <c r="H1580" s="38">
        <v>44001</v>
      </c>
      <c r="I1580" s="38">
        <v>12</v>
      </c>
      <c r="J1580" s="38">
        <v>39505</v>
      </c>
      <c r="K1580" s="38">
        <v>12</v>
      </c>
    </row>
    <row r="1581" spans="1:19" x14ac:dyDescent="0.25">
      <c r="A1581" s="39" t="str">
        <f>IF(F1581="","",VLOOKUP(F1581,Tabelle1[],3))</f>
        <v>PEJE</v>
      </c>
      <c r="B1581" s="40" t="str">
        <f>IF(F1581="","",VLOOKUP(F1581,Tabelle1[],2))</f>
        <v>KTHIMI</v>
      </c>
      <c r="C1581" s="40"/>
      <c r="D1581" s="41">
        <v>46174</v>
      </c>
      <c r="E1581" s="80"/>
      <c r="F1581" s="78">
        <v>20104</v>
      </c>
      <c r="G1581" s="43">
        <v>111</v>
      </c>
      <c r="H1581" s="38">
        <v>35111</v>
      </c>
      <c r="I1581" s="38">
        <v>12</v>
      </c>
      <c r="J1581" s="38">
        <v>35125</v>
      </c>
      <c r="K1581" s="38">
        <v>12</v>
      </c>
      <c r="L1581" s="38">
        <v>51611</v>
      </c>
      <c r="M1581" s="38">
        <v>12</v>
      </c>
    </row>
    <row r="1582" spans="1:19" x14ac:dyDescent="0.25">
      <c r="A1582" s="39" t="str">
        <f>IF(F1582="","",VLOOKUP(F1582,Tabelle1[],3))</f>
        <v>PEJE</v>
      </c>
      <c r="B1582" s="40" t="str">
        <f>IF(F1582="","",VLOOKUP(F1582,Tabelle1[],2))</f>
        <v>LNI SHPK</v>
      </c>
      <c r="C1582" s="40"/>
      <c r="D1582" s="41">
        <v>46174</v>
      </c>
      <c r="E1582" s="80"/>
      <c r="F1582" s="78">
        <v>20129</v>
      </c>
      <c r="G1582" s="43">
        <v>96</v>
      </c>
      <c r="H1582" s="38">
        <v>35114</v>
      </c>
      <c r="I1582" s="38">
        <v>12</v>
      </c>
      <c r="J1582" s="38">
        <v>35115</v>
      </c>
      <c r="K1582" s="38">
        <v>12</v>
      </c>
    </row>
    <row r="1583" spans="1:19" x14ac:dyDescent="0.25">
      <c r="A1583" s="39" t="str">
        <f>IF(F1583="","",VLOOKUP(F1583,Tabelle1[],3))</f>
        <v>PEJE</v>
      </c>
      <c r="B1583" s="40" t="str">
        <f>IF(F1583="","",VLOOKUP(F1583,Tabelle1[],2))</f>
        <v>TERMO PROJEKT</v>
      </c>
      <c r="C1583" s="40"/>
      <c r="D1583" s="41">
        <v>46174</v>
      </c>
      <c r="E1583" s="80"/>
      <c r="F1583" s="78">
        <v>20127</v>
      </c>
      <c r="G1583" s="43">
        <v>144</v>
      </c>
      <c r="H1583" s="38">
        <v>35109</v>
      </c>
      <c r="I1583" s="38">
        <v>12</v>
      </c>
      <c r="J1583" s="38">
        <v>35119</v>
      </c>
      <c r="K1583" s="38">
        <v>12</v>
      </c>
      <c r="L1583" s="38">
        <v>35125</v>
      </c>
      <c r="M1583" s="38">
        <v>12</v>
      </c>
    </row>
    <row r="1584" spans="1:19" x14ac:dyDescent="0.25">
      <c r="A1584" s="39" t="str">
        <f>IF(F1584="","",VLOOKUP(F1584,Tabelle1[],3))</f>
        <v>PRIZREN</v>
      </c>
      <c r="B1584" s="40" t="str">
        <f>IF(F1584="","",VLOOKUP(F1584,Tabelle1[],2))</f>
        <v>DURIMI</v>
      </c>
      <c r="C1584" s="40"/>
      <c r="D1584" s="41">
        <v>46175</v>
      </c>
      <c r="E1584" s="80"/>
      <c r="F1584" s="78">
        <v>10213</v>
      </c>
      <c r="G1584" s="43">
        <v>288</v>
      </c>
      <c r="H1584" s="38">
        <v>35108</v>
      </c>
      <c r="I1584" s="38">
        <v>72</v>
      </c>
    </row>
    <row r="1585" spans="1:15" x14ac:dyDescent="0.25">
      <c r="A1585" s="39" t="str">
        <f>IF(F1585="","",VLOOKUP(F1585,Tabelle1[],3))</f>
        <v>SHIROK</v>
      </c>
      <c r="B1585" s="40" t="str">
        <f>IF(F1585="","",VLOOKUP(F1585,Tabelle1[],2))</f>
        <v>XHAFA</v>
      </c>
      <c r="C1585" s="40"/>
      <c r="D1585" s="41">
        <v>46175</v>
      </c>
      <c r="E1585" s="80"/>
      <c r="F1585" s="78">
        <v>10205</v>
      </c>
      <c r="G1585" s="43">
        <v>144</v>
      </c>
      <c r="H1585" s="38">
        <v>35113</v>
      </c>
      <c r="I1585" s="38">
        <v>12</v>
      </c>
      <c r="J1585" s="38">
        <v>35125</v>
      </c>
      <c r="K1585" s="38">
        <v>12</v>
      </c>
      <c r="L1585" s="38">
        <v>35128</v>
      </c>
      <c r="M1585" s="38">
        <v>12</v>
      </c>
    </row>
    <row r="1586" spans="1:15" x14ac:dyDescent="0.25">
      <c r="A1586" s="39" t="str">
        <f>IF(F1586="","",VLOOKUP(F1586,Tabelle1[],3))</f>
        <v>SHIROK</v>
      </c>
      <c r="B1586" s="40" t="str">
        <f>IF(F1586="","",VLOOKUP(F1586,Tabelle1[],2))</f>
        <v>GIMI</v>
      </c>
      <c r="C1586" s="40"/>
      <c r="D1586" s="41">
        <v>46175</v>
      </c>
      <c r="E1586" s="80"/>
      <c r="F1586" s="78">
        <v>10204</v>
      </c>
      <c r="G1586" s="43">
        <v>192</v>
      </c>
      <c r="H1586" s="38">
        <v>35121</v>
      </c>
      <c r="I1586" s="38">
        <v>48</v>
      </c>
    </row>
    <row r="1587" spans="1:15" x14ac:dyDescent="0.25">
      <c r="A1587" s="39" t="str">
        <f>IF(F1587="","",VLOOKUP(F1587,Tabelle1[],3))</f>
        <v>SHTIME</v>
      </c>
      <c r="B1587" s="40" t="str">
        <f>IF(F1587="","",VLOOKUP(F1587,Tabelle1[],2))</f>
        <v>TAULANTI</v>
      </c>
      <c r="C1587" s="40"/>
      <c r="D1587" s="41">
        <v>46175</v>
      </c>
      <c r="E1587" s="80"/>
      <c r="F1587" s="78">
        <v>10251</v>
      </c>
      <c r="G1587" s="43">
        <v>144</v>
      </c>
      <c r="H1587" s="38">
        <v>35110</v>
      </c>
      <c r="I1587" s="38">
        <v>12</v>
      </c>
      <c r="J1587" s="38">
        <v>35113</v>
      </c>
      <c r="K1587" s="38">
        <v>12</v>
      </c>
      <c r="L1587" s="38">
        <v>35128</v>
      </c>
      <c r="M1587" s="38">
        <v>12</v>
      </c>
    </row>
    <row r="1588" spans="1:15" x14ac:dyDescent="0.25">
      <c r="A1588" s="39" t="str">
        <f>IF(F1588="","",VLOOKUP(F1588,Tabelle1[],3))</f>
        <v>PRIZREN</v>
      </c>
      <c r="B1588" s="40" t="str">
        <f>IF(F1588="","",VLOOKUP(F1588,Tabelle1[],2))</f>
        <v>ARPO</v>
      </c>
      <c r="C1588" s="40"/>
      <c r="D1588" s="41">
        <v>46175</v>
      </c>
      <c r="E1588" s="80"/>
      <c r="F1588" s="78">
        <v>10240</v>
      </c>
      <c r="G1588" s="43">
        <v>192</v>
      </c>
      <c r="H1588" s="38">
        <v>35109</v>
      </c>
      <c r="I1588" s="38">
        <v>12</v>
      </c>
      <c r="J1588" s="38">
        <v>35115</v>
      </c>
      <c r="K1588" s="38">
        <v>12</v>
      </c>
      <c r="L1588" s="38">
        <v>35125</v>
      </c>
      <c r="M1588" s="38">
        <v>12</v>
      </c>
      <c r="N1588" s="38">
        <v>35121</v>
      </c>
      <c r="O1588" s="38">
        <v>12</v>
      </c>
    </row>
    <row r="1589" spans="1:15" x14ac:dyDescent="0.25">
      <c r="A1589" s="39" t="str">
        <f>IF(F1589="","",VLOOKUP(F1589,Tabelle1[],3))</f>
        <v>LIPJAN</v>
      </c>
      <c r="B1589" s="40" t="str">
        <f>IF(F1589="","",VLOOKUP(F1589,Tabelle1[],2))</f>
        <v>ARDI LIPJAN</v>
      </c>
      <c r="C1589" s="40"/>
      <c r="D1589" s="41">
        <v>46175</v>
      </c>
      <c r="E1589" s="80"/>
      <c r="F1589" s="78">
        <v>10529</v>
      </c>
      <c r="G1589" s="43">
        <v>86.4</v>
      </c>
      <c r="H1589" s="38">
        <v>50912</v>
      </c>
      <c r="I1589" s="38">
        <v>12</v>
      </c>
    </row>
    <row r="1590" spans="1:15" x14ac:dyDescent="0.25">
      <c r="A1590" s="39" t="str">
        <f>IF(F1590="","",VLOOKUP(F1590,Tabelle1[],3))</f>
        <v>PRIZREN</v>
      </c>
      <c r="B1590" s="40" t="str">
        <f>IF(F1590="","",VLOOKUP(F1590,Tabelle1[],2))</f>
        <v>TEMAJ</v>
      </c>
      <c r="C1590" s="40"/>
      <c r="D1590" s="41">
        <v>46175</v>
      </c>
      <c r="E1590" s="80"/>
      <c r="F1590" s="78">
        <v>40019</v>
      </c>
      <c r="G1590" s="43">
        <v>96</v>
      </c>
      <c r="H1590" s="38">
        <v>35109</v>
      </c>
      <c r="I1590" s="38">
        <v>12</v>
      </c>
      <c r="J1590" s="38">
        <v>35110</v>
      </c>
      <c r="K1590" s="38">
        <v>12</v>
      </c>
    </row>
    <row r="1591" spans="1:15" x14ac:dyDescent="0.25">
      <c r="A1591" s="39" t="str">
        <f>IF(F1591="","",VLOOKUP(F1591,Tabelle1[],3))</f>
        <v>GJAKOVE</v>
      </c>
      <c r="B1591" s="40" t="str">
        <f>IF(F1591="","",VLOOKUP(F1591,Tabelle1[],2))</f>
        <v>LETAJ</v>
      </c>
      <c r="C1591" s="40"/>
      <c r="D1591" s="41">
        <v>46175</v>
      </c>
      <c r="E1591" s="80"/>
      <c r="F1591" s="78">
        <v>20209</v>
      </c>
      <c r="G1591" s="43">
        <v>192</v>
      </c>
      <c r="H1591" s="38">
        <v>35108</v>
      </c>
      <c r="I1591" s="38">
        <v>36</v>
      </c>
      <c r="J1591" s="38">
        <v>35110</v>
      </c>
      <c r="K1591" s="38">
        <v>12</v>
      </c>
    </row>
    <row r="1592" spans="1:15" x14ac:dyDescent="0.25">
      <c r="A1592" s="39" t="str">
        <f>IF(F1592="","",VLOOKUP(F1592,Tabelle1[],3))</f>
        <v>JUNIK</v>
      </c>
      <c r="B1592" s="40" t="str">
        <f>IF(F1592="","",VLOOKUP(F1592,Tabelle1[],2))</f>
        <v>GACAFERI-RG</v>
      </c>
      <c r="C1592" s="40"/>
      <c r="D1592" s="41">
        <v>46175</v>
      </c>
      <c r="E1592" s="80"/>
      <c r="F1592" s="78">
        <v>20205</v>
      </c>
      <c r="G1592" s="43">
        <v>119</v>
      </c>
      <c r="H1592" s="38">
        <v>35110</v>
      </c>
      <c r="I1592" s="38">
        <v>12</v>
      </c>
      <c r="J1592" s="38">
        <v>35121</v>
      </c>
      <c r="K1592" s="38">
        <v>12</v>
      </c>
      <c r="L1592" s="38">
        <v>50912</v>
      </c>
      <c r="M1592" s="38">
        <v>2</v>
      </c>
      <c r="N1592" s="38">
        <v>44001</v>
      </c>
      <c r="O1592" s="38">
        <v>2</v>
      </c>
    </row>
    <row r="1593" spans="1:15" x14ac:dyDescent="0.25">
      <c r="A1593" s="39" t="str">
        <f>IF(F1593="","",VLOOKUP(F1593,Tabelle1[],3))</f>
        <v>GJAKOVE</v>
      </c>
      <c r="B1593" s="40" t="str">
        <f>IF(F1593="","",VLOOKUP(F1593,Tabelle1[],2))</f>
        <v>GER COLORS</v>
      </c>
      <c r="C1593" s="40"/>
      <c r="D1593" s="41">
        <v>46175</v>
      </c>
      <c r="E1593" s="80"/>
      <c r="F1593" s="78">
        <v>20223</v>
      </c>
      <c r="G1593" s="43">
        <v>96</v>
      </c>
      <c r="H1593" s="38">
        <v>35110</v>
      </c>
      <c r="I1593" s="38">
        <v>12</v>
      </c>
      <c r="J1593" s="38">
        <v>35113</v>
      </c>
      <c r="K1593" s="38">
        <v>12</v>
      </c>
    </row>
    <row r="1594" spans="1:15" x14ac:dyDescent="0.25">
      <c r="A1594" s="39" t="str">
        <f>IF(F1594="","",VLOOKUP(F1594,Tabelle1[],3))</f>
        <v>GJAKOVE</v>
      </c>
      <c r="B1594" s="40" t="str">
        <f>IF(F1594="","",VLOOKUP(F1594,Tabelle1[],2))</f>
        <v>INOX 2</v>
      </c>
      <c r="C1594" s="40"/>
      <c r="D1594" s="41">
        <v>46175</v>
      </c>
      <c r="E1594" s="80"/>
      <c r="F1594" s="78">
        <v>20212</v>
      </c>
      <c r="G1594" s="43">
        <v>96</v>
      </c>
      <c r="H1594" s="38">
        <v>35112</v>
      </c>
      <c r="I1594" s="38">
        <v>24</v>
      </c>
    </row>
    <row r="1595" spans="1:15" x14ac:dyDescent="0.25">
      <c r="A1595" s="39" t="str">
        <f>IF(F1595="","",VLOOKUP(F1595,Tabelle1[],3))</f>
        <v>GJAKOVE</v>
      </c>
      <c r="B1595" s="40" t="str">
        <f>IF(F1595="","",VLOOKUP(F1595,Tabelle1[],2))</f>
        <v>V. GJONAJ</v>
      </c>
      <c r="C1595" s="40"/>
      <c r="D1595" s="41">
        <v>46175</v>
      </c>
      <c r="E1595" s="80"/>
      <c r="F1595" s="78">
        <v>20208</v>
      </c>
      <c r="G1595" s="43">
        <v>132.6</v>
      </c>
      <c r="H1595" s="38">
        <v>35111</v>
      </c>
      <c r="I1595" s="38">
        <v>12</v>
      </c>
      <c r="J1595" s="38">
        <v>51611</v>
      </c>
      <c r="K1595" s="38">
        <v>12</v>
      </c>
      <c r="L1595" s="38">
        <v>66701</v>
      </c>
      <c r="M1595" s="38">
        <v>12</v>
      </c>
    </row>
    <row r="1596" spans="1:15" x14ac:dyDescent="0.25">
      <c r="A1596" s="39" t="str">
        <f>IF(F1596="","",VLOOKUP(F1596,Tabelle1[],3))</f>
        <v>JUNIK</v>
      </c>
      <c r="B1596" s="40" t="str">
        <f>IF(F1596="","",VLOOKUP(F1596,Tabelle1[],2))</f>
        <v>ERENIKU</v>
      </c>
      <c r="C1596" s="40"/>
      <c r="D1596" s="41">
        <v>46175</v>
      </c>
      <c r="E1596" s="80"/>
      <c r="F1596" s="78">
        <v>20206</v>
      </c>
      <c r="G1596" s="43">
        <v>134.1</v>
      </c>
      <c r="H1596" s="38">
        <v>35109</v>
      </c>
      <c r="I1596" s="38">
        <v>12</v>
      </c>
      <c r="J1596" s="38">
        <v>35128</v>
      </c>
      <c r="K1596" s="38">
        <v>12</v>
      </c>
      <c r="L1596" s="38">
        <v>51612</v>
      </c>
      <c r="M1596" s="38">
        <v>12</v>
      </c>
      <c r="N1596" s="38">
        <v>44001</v>
      </c>
      <c r="O1596" s="38">
        <v>3</v>
      </c>
    </row>
    <row r="1597" spans="1:15" x14ac:dyDescent="0.25">
      <c r="A1597" s="39" t="str">
        <f>IF(F1597="","",VLOOKUP(F1597,Tabelle1[],3))</f>
        <v>DEQAN</v>
      </c>
      <c r="B1597" s="40" t="str">
        <f>IF(F1597="","",VLOOKUP(F1597,Tabelle1[],2))</f>
        <v>AFRIMI-AG</v>
      </c>
      <c r="C1597" s="40"/>
      <c r="D1597" s="41">
        <v>46175</v>
      </c>
      <c r="E1597" s="80"/>
      <c r="F1597" s="78">
        <v>20203</v>
      </c>
      <c r="G1597" s="43">
        <v>144</v>
      </c>
      <c r="H1597" s="38">
        <v>35108</v>
      </c>
      <c r="I1597" s="38">
        <v>12</v>
      </c>
      <c r="J1597" s="38">
        <v>35114</v>
      </c>
      <c r="K1597" s="38">
        <v>12</v>
      </c>
      <c r="L1597" s="38">
        <v>35121</v>
      </c>
      <c r="M1597" s="38">
        <v>12</v>
      </c>
    </row>
    <row r="1598" spans="1:15" x14ac:dyDescent="0.25">
      <c r="A1598" s="39" t="str">
        <f>IF(F1598="","",VLOOKUP(F1598,Tabelle1[],3))</f>
        <v>VITI</v>
      </c>
      <c r="B1598" s="40" t="str">
        <f>IF(F1598="","",VLOOKUP(F1598,Tabelle1[],2))</f>
        <v>INTERCOM NTP</v>
      </c>
      <c r="C1598" s="40"/>
      <c r="D1598" s="41">
        <v>46176</v>
      </c>
      <c r="E1598" s="80"/>
      <c r="F1598" s="78">
        <v>10343</v>
      </c>
      <c r="G1598" s="43">
        <v>288</v>
      </c>
      <c r="H1598" s="38">
        <v>35109</v>
      </c>
      <c r="I1598" s="38">
        <v>24</v>
      </c>
      <c r="J1598" s="38">
        <v>35121</v>
      </c>
      <c r="K1598" s="38">
        <v>24</v>
      </c>
      <c r="L1598" s="38">
        <v>35113</v>
      </c>
      <c r="M1598" s="38">
        <v>24</v>
      </c>
    </row>
    <row r="1599" spans="1:15" x14ac:dyDescent="0.25">
      <c r="A1599" s="39" t="str">
        <f>IF(F1599="","",VLOOKUP(F1599,Tabelle1[],3))</f>
        <v>VITI</v>
      </c>
      <c r="B1599" s="40" t="str">
        <f>IF(F1599="","",VLOOKUP(F1599,Tabelle1[],2))</f>
        <v>INTERCOM NTP</v>
      </c>
      <c r="C1599" s="40"/>
      <c r="D1599" s="41">
        <v>46176</v>
      </c>
      <c r="E1599" s="80"/>
      <c r="F1599" s="78">
        <v>10343</v>
      </c>
      <c r="G1599" s="43">
        <v>30</v>
      </c>
      <c r="H1599" s="38">
        <v>51611</v>
      </c>
      <c r="I1599" s="38">
        <v>24</v>
      </c>
    </row>
    <row r="1600" spans="1:15" x14ac:dyDescent="0.25">
      <c r="A1600" s="39" t="str">
        <f>IF(F1600="","",VLOOKUP(F1600,Tabelle1[],3))</f>
        <v>VITI</v>
      </c>
      <c r="B1600" s="40" t="str">
        <f>IF(F1600="","",VLOOKUP(F1600,Tabelle1[],2))</f>
        <v>BALLKANI</v>
      </c>
      <c r="C1600" s="40"/>
      <c r="D1600" s="41">
        <v>46176</v>
      </c>
      <c r="E1600" s="80"/>
      <c r="F1600" s="78">
        <v>10350</v>
      </c>
      <c r="G1600" s="43">
        <v>240</v>
      </c>
      <c r="H1600" s="38">
        <v>35121</v>
      </c>
      <c r="I1600" s="38">
        <v>60</v>
      </c>
    </row>
    <row r="1601" spans="1:15" x14ac:dyDescent="0.25">
      <c r="A1601" s="39" t="str">
        <f>IF(F1601="","",VLOOKUP(F1601,Tabelle1[],3))</f>
        <v>VITI</v>
      </c>
      <c r="B1601" s="40" t="str">
        <f>IF(F1601="","",VLOOKUP(F1601,Tabelle1[],2))</f>
        <v>DARDANIA</v>
      </c>
      <c r="C1601" s="40"/>
      <c r="D1601" s="41">
        <v>46176</v>
      </c>
      <c r="E1601" s="80"/>
      <c r="F1601" s="78">
        <v>10332</v>
      </c>
      <c r="G1601" s="43">
        <v>96</v>
      </c>
      <c r="H1601" s="38">
        <v>35109</v>
      </c>
      <c r="I1601" s="38">
        <v>12</v>
      </c>
      <c r="J1601" s="38">
        <v>35121</v>
      </c>
      <c r="K1601" s="38">
        <v>12</v>
      </c>
    </row>
    <row r="1602" spans="1:15" x14ac:dyDescent="0.25">
      <c r="A1602" s="39" t="str">
        <f>IF(F1602="","",VLOOKUP(F1602,Tabelle1[],3))</f>
        <v>GJILAN</v>
      </c>
      <c r="B1602" s="40" t="str">
        <f>IF(F1602="","",VLOOKUP(F1602,Tabelle1[],2))</f>
        <v>ELIONI-1</v>
      </c>
      <c r="C1602" s="40"/>
      <c r="D1602" s="41">
        <v>46176</v>
      </c>
      <c r="E1602" s="80"/>
      <c r="F1602" s="78">
        <v>10306</v>
      </c>
      <c r="G1602" s="43">
        <v>157</v>
      </c>
      <c r="H1602" s="38">
        <v>30275</v>
      </c>
      <c r="I1602" s="38">
        <v>10</v>
      </c>
      <c r="J1602" s="38">
        <v>12001</v>
      </c>
      <c r="K1602" s="38">
        <v>10</v>
      </c>
      <c r="L1602" s="38">
        <v>30276</v>
      </c>
      <c r="M1602" s="38">
        <v>10</v>
      </c>
      <c r="N1602" s="38">
        <v>35121</v>
      </c>
      <c r="O1602" s="38">
        <v>24</v>
      </c>
    </row>
    <row r="1603" spans="1:15" x14ac:dyDescent="0.25">
      <c r="A1603" s="39" t="str">
        <f>IF(F1603="","",VLOOKUP(F1603,Tabelle1[],3))</f>
        <v>POZHARAN</v>
      </c>
      <c r="B1603" s="40" t="str">
        <f>IF(F1603="","",VLOOKUP(F1603,Tabelle1[],2))</f>
        <v>BURIMI</v>
      </c>
      <c r="C1603" s="40"/>
      <c r="D1603" s="41">
        <v>46176</v>
      </c>
      <c r="E1603" s="80"/>
      <c r="F1603" s="78">
        <v>10330</v>
      </c>
      <c r="G1603" s="43">
        <v>192</v>
      </c>
      <c r="H1603" s="38">
        <v>35109</v>
      </c>
      <c r="I1603" s="38">
        <v>12</v>
      </c>
      <c r="J1603" s="38">
        <v>35110</v>
      </c>
      <c r="K1603" s="38">
        <v>12</v>
      </c>
      <c r="L1603" s="38">
        <v>35115</v>
      </c>
      <c r="M1603" s="38">
        <v>12</v>
      </c>
      <c r="N1603" s="38">
        <v>35121</v>
      </c>
      <c r="O1603" s="38">
        <v>12</v>
      </c>
    </row>
    <row r="1604" spans="1:15" x14ac:dyDescent="0.25">
      <c r="A1604" s="39" t="str">
        <f>IF(F1604="","",VLOOKUP(F1604,Tabelle1[],3))</f>
        <v>GJILAN</v>
      </c>
      <c r="B1604" s="40" t="str">
        <f>IF(F1604="","",VLOOKUP(F1604,Tabelle1[],2))</f>
        <v>GLOBAL NT</v>
      </c>
      <c r="C1604" s="40"/>
      <c r="D1604" s="41">
        <v>46176</v>
      </c>
      <c r="E1604" s="80"/>
      <c r="F1604" s="78">
        <v>10360</v>
      </c>
      <c r="G1604" s="43">
        <v>96</v>
      </c>
      <c r="H1604" s="38">
        <v>35121</v>
      </c>
      <c r="I1604" s="38">
        <v>12</v>
      </c>
      <c r="J1604" s="38">
        <v>35128</v>
      </c>
      <c r="K1604" s="38">
        <v>12</v>
      </c>
    </row>
    <row r="1605" spans="1:15" x14ac:dyDescent="0.25">
      <c r="A1605" s="39" t="str">
        <f>IF(F1605="","",VLOOKUP(F1605,Tabelle1[],3))</f>
        <v>GJILAN</v>
      </c>
      <c r="B1605" s="40" t="str">
        <f>IF(F1605="","",VLOOKUP(F1605,Tabelle1[],2))</f>
        <v>BEKA-1</v>
      </c>
      <c r="C1605" s="40"/>
      <c r="D1605" s="41">
        <v>46176</v>
      </c>
      <c r="E1605" s="80"/>
      <c r="F1605" s="78">
        <v>10303</v>
      </c>
      <c r="G1605" s="43">
        <v>50.4</v>
      </c>
      <c r="H1605" s="38">
        <v>50912</v>
      </c>
      <c r="I1605" s="38">
        <v>7</v>
      </c>
    </row>
    <row r="1606" spans="1:15" x14ac:dyDescent="0.25">
      <c r="A1606" s="39" t="str">
        <f>IF(F1606="","",VLOOKUP(F1606,Tabelle1[],3))</f>
        <v>GJILAN</v>
      </c>
      <c r="B1606" s="40" t="str">
        <f>IF(F1606="","",VLOOKUP(F1606,Tabelle1[],2))</f>
        <v>EUROSAN</v>
      </c>
      <c r="C1606" s="40"/>
      <c r="D1606" s="41">
        <v>46176</v>
      </c>
      <c r="E1606" s="80"/>
      <c r="F1606" s="78">
        <v>10304</v>
      </c>
      <c r="G1606" s="43">
        <v>48</v>
      </c>
      <c r="H1606" s="38">
        <v>35128</v>
      </c>
      <c r="I1606" s="38">
        <v>12</v>
      </c>
    </row>
    <row r="1607" spans="1:15" x14ac:dyDescent="0.25">
      <c r="A1607" s="39" t="str">
        <f>IF(F1607="","",VLOOKUP(F1607,Tabelle1[],3))</f>
        <v>GJILAN</v>
      </c>
      <c r="B1607" s="40" t="str">
        <f>IF(F1607="","",VLOOKUP(F1607,Tabelle1[],2))</f>
        <v>BEKA-3</v>
      </c>
      <c r="C1607" s="40"/>
      <c r="D1607" s="41">
        <v>46176</v>
      </c>
      <c r="E1607" s="80"/>
      <c r="F1607" s="78">
        <v>10323</v>
      </c>
      <c r="G1607" s="43">
        <v>86.4</v>
      </c>
      <c r="H1607" s="38">
        <v>50912</v>
      </c>
      <c r="I1607" s="38">
        <v>12</v>
      </c>
    </row>
    <row r="1608" spans="1:15" x14ac:dyDescent="0.25">
      <c r="A1608" s="39" t="str">
        <f>IF(F1608="","",VLOOKUP(F1608,Tabelle1[],3))</f>
        <v>GJILAN</v>
      </c>
      <c r="B1608" s="40" t="str">
        <f>IF(F1608="","",VLOOKUP(F1608,Tabelle1[],2))</f>
        <v>FATMIRI</v>
      </c>
      <c r="C1608" s="40"/>
      <c r="D1608" s="41">
        <v>46176</v>
      </c>
      <c r="E1608" s="80"/>
      <c r="F1608" s="78">
        <v>10313</v>
      </c>
      <c r="G1608" s="43">
        <v>96</v>
      </c>
      <c r="H1608" s="38">
        <v>35121</v>
      </c>
      <c r="I1608" s="38">
        <v>12</v>
      </c>
      <c r="J1608" s="38">
        <v>35111</v>
      </c>
      <c r="K1608" s="38">
        <v>12</v>
      </c>
    </row>
    <row r="1609" spans="1:15" x14ac:dyDescent="0.25">
      <c r="A1609" s="39" t="str">
        <f>IF(F1609="","",VLOOKUP(F1609,Tabelle1[],3))</f>
        <v>MALISHEVE</v>
      </c>
      <c r="B1609" s="40" t="str">
        <f>IF(F1609="","",VLOOKUP(F1609,Tabelle1[],2))</f>
        <v>HAZROLLI</v>
      </c>
      <c r="C1609" s="40"/>
      <c r="D1609" s="41">
        <v>46176</v>
      </c>
      <c r="E1609" s="80"/>
      <c r="F1609" s="78">
        <v>20301</v>
      </c>
      <c r="G1609" s="43">
        <v>48</v>
      </c>
      <c r="H1609" s="38">
        <v>35114</v>
      </c>
      <c r="I1609" s="38">
        <v>12</v>
      </c>
    </row>
    <row r="1610" spans="1:15" x14ac:dyDescent="0.25">
      <c r="A1610" s="39" t="str">
        <f>IF(F1610="","",VLOOKUP(F1610,Tabelle1[],3))</f>
        <v>MALISHEVE</v>
      </c>
      <c r="B1610" s="40" t="str">
        <f>IF(F1610="","",VLOOKUP(F1610,Tabelle1[],2))</f>
        <v>BAU HOME</v>
      </c>
      <c r="C1610" s="40"/>
      <c r="D1610" s="41">
        <v>46176</v>
      </c>
      <c r="E1610" s="80"/>
      <c r="F1610" s="78">
        <v>20324</v>
      </c>
      <c r="G1610" s="43">
        <v>96</v>
      </c>
      <c r="H1610" s="38">
        <v>35109</v>
      </c>
      <c r="I1610" s="38">
        <v>12</v>
      </c>
      <c r="J1610" s="38">
        <v>35125</v>
      </c>
      <c r="K1610" s="38">
        <v>12</v>
      </c>
    </row>
    <row r="1611" spans="1:15" x14ac:dyDescent="0.25">
      <c r="A1611" s="39" t="str">
        <f>IF(F1611="","",VLOOKUP(F1611,Tabelle1[],3))</f>
        <v>RAHOVEC</v>
      </c>
      <c r="B1611" s="40" t="str">
        <f>IF(F1611="","",VLOOKUP(F1611,Tabelle1[],2))</f>
        <v>CONDOR</v>
      </c>
      <c r="C1611" s="40"/>
      <c r="D1611" s="41">
        <v>46176</v>
      </c>
      <c r="E1611" s="80"/>
      <c r="F1611" s="78">
        <v>20307</v>
      </c>
      <c r="G1611" s="43">
        <v>272.39999999999998</v>
      </c>
      <c r="H1611" s="38">
        <v>35111</v>
      </c>
      <c r="I1611" s="38">
        <v>12</v>
      </c>
      <c r="J1611" s="38">
        <v>66701</v>
      </c>
      <c r="K1611" s="38">
        <v>24</v>
      </c>
      <c r="L1611" s="38">
        <v>51612</v>
      </c>
      <c r="M1611" s="38">
        <v>24</v>
      </c>
      <c r="N1611" s="38">
        <v>51611</v>
      </c>
      <c r="O1611" s="38">
        <v>24</v>
      </c>
    </row>
    <row r="1612" spans="1:15" x14ac:dyDescent="0.25">
      <c r="A1612" s="39" t="str">
        <f>IF(F1612="","",VLOOKUP(F1612,Tabelle1[],3))</f>
        <v>MALISHEVE</v>
      </c>
      <c r="B1612" s="40" t="str">
        <f>IF(F1612="","",VLOOKUP(F1612,Tabelle1[],2))</f>
        <v>NIVELIZIMI-D SH.P.K.</v>
      </c>
      <c r="C1612" s="40"/>
      <c r="D1612" s="41">
        <v>46176</v>
      </c>
      <c r="E1612" s="80"/>
      <c r="F1612" s="78">
        <v>20302</v>
      </c>
      <c r="G1612" s="43">
        <v>96</v>
      </c>
      <c r="H1612" s="38">
        <v>35121</v>
      </c>
      <c r="I1612" s="38">
        <v>24</v>
      </c>
    </row>
    <row r="1613" spans="1:15" x14ac:dyDescent="0.25">
      <c r="A1613" s="39" t="str">
        <f>IF(F1613="","",VLOOKUP(F1613,Tabelle1[],3))</f>
        <v>MALISHEVE</v>
      </c>
      <c r="B1613" s="40" t="str">
        <f>IF(F1613="","",VLOOKUP(F1613,Tabelle1[],2))</f>
        <v>AGRO TEC</v>
      </c>
      <c r="C1613" s="40"/>
      <c r="D1613" s="41">
        <v>46176</v>
      </c>
      <c r="E1613" s="80"/>
      <c r="F1613" s="78">
        <v>20332</v>
      </c>
      <c r="G1613" s="43">
        <v>96</v>
      </c>
      <c r="H1613" s="38">
        <v>35109</v>
      </c>
      <c r="I1613" s="38">
        <v>12</v>
      </c>
      <c r="J1613" s="38">
        <v>35110</v>
      </c>
      <c r="K1613" s="38">
        <v>12</v>
      </c>
    </row>
    <row r="1614" spans="1:15" x14ac:dyDescent="0.25">
      <c r="A1614" s="39" t="str">
        <f>IF(F1614="","",VLOOKUP(F1614,Tabelle1[],3))</f>
        <v>MALISHEVE</v>
      </c>
      <c r="B1614" s="40" t="str">
        <f>IF(F1614="","",VLOOKUP(F1614,Tabelle1[],2))</f>
        <v>AGRO-FARM</v>
      </c>
      <c r="C1614" s="40"/>
      <c r="D1614" s="41">
        <v>46176</v>
      </c>
      <c r="E1614" s="80"/>
      <c r="F1614" s="78">
        <v>20304</v>
      </c>
      <c r="G1614" s="43">
        <v>81</v>
      </c>
      <c r="H1614" s="38">
        <v>35128</v>
      </c>
      <c r="I1614" s="38">
        <v>12</v>
      </c>
      <c r="J1614" s="38">
        <v>54412</v>
      </c>
      <c r="K1614" s="38">
        <v>13</v>
      </c>
      <c r="L1614" s="38">
        <v>44001</v>
      </c>
      <c r="M1614" s="38">
        <v>2</v>
      </c>
    </row>
    <row r="1615" spans="1:15" x14ac:dyDescent="0.25">
      <c r="A1615" s="39" t="str">
        <f>IF(F1615="","",VLOOKUP(F1615,Tabelle1[],3))</f>
        <v>MALISHEVE</v>
      </c>
      <c r="B1615" s="40" t="str">
        <f>IF(F1615="","",VLOOKUP(F1615,Tabelle1[],2))</f>
        <v>FITIMI</v>
      </c>
      <c r="C1615" s="40"/>
      <c r="D1615" s="41">
        <v>46176</v>
      </c>
      <c r="E1615" s="80"/>
      <c r="F1615" s="78">
        <v>20306</v>
      </c>
      <c r="G1615" s="43">
        <v>192</v>
      </c>
      <c r="H1615" s="38">
        <v>35109</v>
      </c>
      <c r="I1615" s="38">
        <v>12</v>
      </c>
      <c r="J1615" s="38">
        <v>35110</v>
      </c>
      <c r="K1615" s="38">
        <v>12</v>
      </c>
      <c r="L1615" s="38">
        <v>35113</v>
      </c>
      <c r="M1615" s="38">
        <v>12</v>
      </c>
      <c r="N1615" s="38">
        <v>35115</v>
      </c>
      <c r="O1615" s="38">
        <v>12</v>
      </c>
    </row>
    <row r="1616" spans="1:15" x14ac:dyDescent="0.25">
      <c r="A1616" s="39" t="str">
        <f>IF(F1616="","",VLOOKUP(F1616,Tabelle1[],3))</f>
        <v>RAHOVEC</v>
      </c>
      <c r="B1616" s="40" t="str">
        <f>IF(F1616="","",VLOOKUP(F1616,Tabelle1[],2))</f>
        <v>SOPAJ</v>
      </c>
      <c r="C1616" s="40"/>
      <c r="D1616" s="41">
        <v>46176</v>
      </c>
      <c r="E1616" s="80"/>
      <c r="F1616" s="78">
        <v>20311</v>
      </c>
      <c r="G1616" s="43">
        <v>105.6</v>
      </c>
      <c r="H1616" s="38">
        <v>35121</v>
      </c>
      <c r="I1616" s="38">
        <v>12</v>
      </c>
      <c r="J1616" s="38">
        <v>51612</v>
      </c>
      <c r="K1616" s="38">
        <v>12</v>
      </c>
      <c r="L1616" s="38">
        <v>51611</v>
      </c>
      <c r="M1616" s="38">
        <v>24</v>
      </c>
    </row>
    <row r="1617" spans="1:17" x14ac:dyDescent="0.25">
      <c r="A1617" s="39" t="str">
        <f>IF(F1617="","",VLOOKUP(F1617,Tabelle1[],3))</f>
        <v>RAHOVEC</v>
      </c>
      <c r="B1617" s="40" t="str">
        <f>IF(F1617="","",VLOOKUP(F1617,Tabelle1[],2))</f>
        <v>SHEHU-A</v>
      </c>
      <c r="C1617" s="40"/>
      <c r="D1617" s="41">
        <v>46176</v>
      </c>
      <c r="E1617" s="80"/>
      <c r="F1617" s="78">
        <v>20317</v>
      </c>
      <c r="G1617" s="43">
        <v>91.1</v>
      </c>
      <c r="H1617" s="38">
        <v>50912</v>
      </c>
      <c r="I1617" s="38">
        <v>8</v>
      </c>
      <c r="J1617" s="38">
        <v>44001</v>
      </c>
      <c r="K1617" s="38">
        <v>5</v>
      </c>
      <c r="L1617" s="38">
        <v>49644</v>
      </c>
      <c r="M1617" s="38">
        <v>12</v>
      </c>
    </row>
    <row r="1618" spans="1:17" x14ac:dyDescent="0.25">
      <c r="A1618" s="39" t="str">
        <f>IF(F1618="","",VLOOKUP(F1618,Tabelle1[],3))</f>
        <v>RAHOVEC</v>
      </c>
      <c r="B1618" s="40" t="str">
        <f>IF(F1618="","",VLOOKUP(F1618,Tabelle1[],2))</f>
        <v>URA</v>
      </c>
      <c r="C1618" s="40"/>
      <c r="D1618" s="41">
        <v>46176</v>
      </c>
      <c r="E1618" s="80"/>
      <c r="F1618" s="78">
        <v>20314</v>
      </c>
      <c r="G1618" s="43">
        <v>48</v>
      </c>
      <c r="H1618" s="38">
        <v>35110</v>
      </c>
      <c r="I1618" s="38">
        <v>12</v>
      </c>
    </row>
    <row r="1619" spans="1:17" x14ac:dyDescent="0.25">
      <c r="A1619" s="39" t="str">
        <f>IF(F1619="","",VLOOKUP(F1619,Tabelle1[],3))</f>
        <v>HOME KIM TEC</v>
      </c>
      <c r="B1619" s="40" t="str">
        <f>IF(F1619="","",VLOOKUP(F1619,Tabelle1[],2))</f>
        <v>ARBENI BIOBLIC</v>
      </c>
      <c r="C1619" s="40"/>
      <c r="D1619" s="41">
        <v>46176</v>
      </c>
      <c r="E1619" s="80"/>
      <c r="F1619" s="78">
        <v>40003</v>
      </c>
      <c r="G1619" s="43">
        <v>165</v>
      </c>
      <c r="H1619" s="38">
        <v>20001</v>
      </c>
      <c r="I1619" s="38">
        <v>100</v>
      </c>
      <c r="J1619" s="38">
        <v>30275</v>
      </c>
      <c r="K1619" s="38">
        <v>30</v>
      </c>
    </row>
    <row r="1620" spans="1:17" x14ac:dyDescent="0.25">
      <c r="A1620" s="39" t="str">
        <f>IF(F1620="","",VLOOKUP(F1620,Tabelle1[],3))</f>
        <v>MITROVICE</v>
      </c>
      <c r="B1620" s="40" t="str">
        <f>IF(F1620="","",VLOOKUP(F1620,Tabelle1[],2))</f>
        <v>VISARI HH</v>
      </c>
      <c r="C1620" s="40"/>
      <c r="D1620" s="41">
        <v>46177</v>
      </c>
      <c r="E1620" s="80"/>
      <c r="F1620" s="78">
        <v>10412</v>
      </c>
      <c r="G1620" s="43">
        <v>48</v>
      </c>
      <c r="H1620" s="38">
        <v>35125</v>
      </c>
      <c r="I1620" s="38">
        <v>12</v>
      </c>
    </row>
    <row r="1621" spans="1:17" x14ac:dyDescent="0.25">
      <c r="A1621" s="39" t="str">
        <f>IF(F1621="","",VLOOKUP(F1621,Tabelle1[],3))</f>
        <v>MITROVICE</v>
      </c>
      <c r="B1621" s="40" t="str">
        <f>IF(F1621="","",VLOOKUP(F1621,Tabelle1[],2))</f>
        <v>AGRONI</v>
      </c>
      <c r="C1621" s="40"/>
      <c r="D1621" s="41">
        <v>46177</v>
      </c>
      <c r="E1621" s="80"/>
      <c r="F1621" s="78">
        <v>10406</v>
      </c>
      <c r="G1621" s="43">
        <v>98.4</v>
      </c>
      <c r="H1621" s="38">
        <v>50912</v>
      </c>
      <c r="I1621" s="38">
        <v>12</v>
      </c>
      <c r="J1621" s="38">
        <v>56117</v>
      </c>
      <c r="K1621" s="38">
        <v>3</v>
      </c>
    </row>
    <row r="1622" spans="1:17" x14ac:dyDescent="0.25">
      <c r="A1622" s="39" t="str">
        <f>IF(F1622="","",VLOOKUP(F1622,Tabelle1[],3))</f>
        <v>MITROVICE</v>
      </c>
      <c r="B1622" s="40" t="str">
        <f>IF(F1622="","",VLOOKUP(F1622,Tabelle1[],2))</f>
        <v>UNIVERZAL</v>
      </c>
      <c r="C1622" s="40"/>
      <c r="D1622" s="41">
        <v>46177</v>
      </c>
      <c r="E1622" s="80"/>
      <c r="F1622" s="78">
        <v>10413</v>
      </c>
      <c r="G1622" s="43">
        <v>96</v>
      </c>
      <c r="H1622" s="38">
        <v>35128</v>
      </c>
      <c r="I1622" s="38">
        <v>12</v>
      </c>
      <c r="J1622" s="38">
        <v>35121</v>
      </c>
      <c r="K1622" s="38">
        <v>12</v>
      </c>
    </row>
    <row r="1623" spans="1:17" x14ac:dyDescent="0.25">
      <c r="A1623" s="39" t="str">
        <f>IF(F1623="","",VLOOKUP(F1623,Tabelle1[],3))</f>
        <v>VUSHTRRI</v>
      </c>
      <c r="B1623" s="40" t="str">
        <f>IF(F1623="","",VLOOKUP(F1623,Tabelle1[],2))</f>
        <v>ENISI - H</v>
      </c>
      <c r="C1623" s="40"/>
      <c r="D1623" s="41">
        <v>46177</v>
      </c>
      <c r="E1623" s="80"/>
      <c r="F1623" s="78">
        <v>10428</v>
      </c>
      <c r="G1623" s="43">
        <v>48</v>
      </c>
      <c r="H1623" s="38">
        <v>35110</v>
      </c>
      <c r="I1623" s="38">
        <v>12</v>
      </c>
    </row>
    <row r="1624" spans="1:17" x14ac:dyDescent="0.25">
      <c r="A1624" s="39" t="str">
        <f>IF(F1624="","",VLOOKUP(F1624,Tabelle1[],3))</f>
        <v>MITROVICE</v>
      </c>
      <c r="B1624" s="40" t="str">
        <f>IF(F1624="","",VLOOKUP(F1624,Tabelle1[],2))</f>
        <v>GRANITI</v>
      </c>
      <c r="C1624" s="40"/>
      <c r="D1624" s="41">
        <v>46177</v>
      </c>
      <c r="E1624" s="80"/>
      <c r="F1624" s="78">
        <v>10410</v>
      </c>
      <c r="G1624" s="43">
        <v>96</v>
      </c>
      <c r="H1624" s="38">
        <v>35121</v>
      </c>
      <c r="I1624" s="38">
        <v>12</v>
      </c>
      <c r="J1624" s="38">
        <v>35109</v>
      </c>
      <c r="K1624" s="38">
        <v>12</v>
      </c>
    </row>
    <row r="1625" spans="1:17" x14ac:dyDescent="0.25">
      <c r="A1625" s="39" t="str">
        <f>IF(F1625="","",VLOOKUP(F1625,Tabelle1[],3))</f>
        <v>VUSHTRRI</v>
      </c>
      <c r="B1625" s="40" t="str">
        <f>IF(F1625="","",VLOOKUP(F1625,Tabelle1[],2))</f>
        <v>NDRIQIMI</v>
      </c>
      <c r="C1625" s="40"/>
      <c r="D1625" s="41">
        <v>46177</v>
      </c>
      <c r="E1625" s="80"/>
      <c r="F1625" s="78">
        <v>10418</v>
      </c>
      <c r="G1625" s="43">
        <v>129.5</v>
      </c>
      <c r="H1625" s="38">
        <v>39505</v>
      </c>
      <c r="I1625" s="38">
        <v>2</v>
      </c>
      <c r="J1625" s="38">
        <v>49644</v>
      </c>
      <c r="K1625" s="38">
        <v>5</v>
      </c>
      <c r="L1625" s="38">
        <v>44001</v>
      </c>
      <c r="M1625" s="38">
        <v>5</v>
      </c>
      <c r="N1625" s="38">
        <v>35121</v>
      </c>
      <c r="O1625" s="38">
        <v>12</v>
      </c>
      <c r="P1625" s="38">
        <v>35125</v>
      </c>
      <c r="Q1625" s="38">
        <v>12</v>
      </c>
    </row>
    <row r="1626" spans="1:17" x14ac:dyDescent="0.25">
      <c r="A1626" s="39" t="str">
        <f>IF(F1626="","",VLOOKUP(F1626,Tabelle1[],3))</f>
        <v>PRISHTINE</v>
      </c>
      <c r="B1626" s="40" t="str">
        <f>IF(F1626="","",VLOOKUP(F1626,Tabelle1[],2))</f>
        <v>YLLI CONSTRUCION</v>
      </c>
      <c r="C1626" s="40"/>
      <c r="D1626" s="41">
        <v>46177</v>
      </c>
      <c r="E1626" s="80"/>
      <c r="F1626" s="78">
        <v>40017</v>
      </c>
      <c r="G1626" s="43">
        <v>48</v>
      </c>
      <c r="H1626" s="38">
        <v>35128</v>
      </c>
      <c r="I1626" s="38">
        <v>7</v>
      </c>
      <c r="J1626" s="38">
        <v>35121</v>
      </c>
      <c r="K1626" s="38">
        <v>5</v>
      </c>
    </row>
    <row r="1627" spans="1:17" x14ac:dyDescent="0.25">
      <c r="A1627" s="39" t="str">
        <f>IF(F1627="","",VLOOKUP(F1627,Tabelle1[],3))</f>
        <v/>
      </c>
      <c r="B1627" s="40" t="str">
        <f>IF(F1627="","",VLOOKUP(F1627,Tabelle1[],2))</f>
        <v/>
      </c>
      <c r="C1627" s="40"/>
      <c r="D1627" s="41">
        <v>46178</v>
      </c>
      <c r="E1627" s="80"/>
    </row>
    <row r="1628" spans="1:17" x14ac:dyDescent="0.25">
      <c r="A1628" s="39" t="str">
        <f>IF(F1628="","",VLOOKUP(F1628,Tabelle1[],3))</f>
        <v/>
      </c>
      <c r="B1628" s="40" t="str">
        <f>IF(F1628="","",VLOOKUP(F1628,Tabelle1[],2))</f>
        <v/>
      </c>
      <c r="C1628" s="40"/>
      <c r="E1628" s="80"/>
    </row>
    <row r="1629" spans="1:17" x14ac:dyDescent="0.25">
      <c r="A1629" s="39" t="str">
        <f>IF(F1629="","",VLOOKUP(F1629,Tabelle1[],3))</f>
        <v/>
      </c>
      <c r="B1629" s="40" t="str">
        <f>IF(F1629="","",VLOOKUP(F1629,Tabelle1[],2))</f>
        <v/>
      </c>
      <c r="C1629" s="40"/>
      <c r="E1629" s="80"/>
    </row>
    <row r="1630" spans="1:17" x14ac:dyDescent="0.25">
      <c r="A1630" s="39" t="str">
        <f>IF(F1630="","",VLOOKUP(F1630,Tabelle1[],3))</f>
        <v/>
      </c>
      <c r="B1630" s="40" t="str">
        <f>IF(F1630="","",VLOOKUP(F1630,Tabelle1[],2))</f>
        <v/>
      </c>
      <c r="C1630" s="40"/>
      <c r="E1630" s="80"/>
    </row>
    <row r="1631" spans="1:17" x14ac:dyDescent="0.25">
      <c r="A1631" s="39" t="str">
        <f>IF(F1631="","",VLOOKUP(F1631,Tabelle1[],3))</f>
        <v/>
      </c>
      <c r="B1631" s="40" t="str">
        <f>IF(F1631="","",VLOOKUP(F1631,Tabelle1[],2))</f>
        <v/>
      </c>
      <c r="C1631" s="40"/>
      <c r="E1631" s="80"/>
    </row>
    <row r="1632" spans="1:17" x14ac:dyDescent="0.25">
      <c r="A1632" s="39" t="str">
        <f>IF(F1632="","",VLOOKUP(F1632,Tabelle1[],3))</f>
        <v/>
      </c>
      <c r="B1632" s="40" t="str">
        <f>IF(F1632="","",VLOOKUP(F1632,Tabelle1[],2))</f>
        <v/>
      </c>
      <c r="C1632" s="40"/>
      <c r="E1632" s="80"/>
    </row>
    <row r="1633" spans="1:5" x14ac:dyDescent="0.25">
      <c r="A1633" s="39" t="str">
        <f>IF(F1633="","",VLOOKUP(F1633,Tabelle1[],3))</f>
        <v/>
      </c>
      <c r="B1633" s="40" t="str">
        <f>IF(F1633="","",VLOOKUP(F1633,Tabelle1[],2))</f>
        <v/>
      </c>
      <c r="C1633" s="40"/>
      <c r="E1633" s="80"/>
    </row>
    <row r="1634" spans="1:5" x14ac:dyDescent="0.25">
      <c r="A1634" s="39" t="str">
        <f>IF(F1634="","",VLOOKUP(F1634,Tabelle1[],3))</f>
        <v/>
      </c>
      <c r="B1634" s="40" t="str">
        <f>IF(F1634="","",VLOOKUP(F1634,Tabelle1[],2))</f>
        <v/>
      </c>
      <c r="C1634" s="40"/>
      <c r="E1634" s="80"/>
    </row>
    <row r="1635" spans="1:5" x14ac:dyDescent="0.25">
      <c r="A1635" s="39" t="str">
        <f>IF(F1635="","",VLOOKUP(F1635,Tabelle1[],3))</f>
        <v/>
      </c>
      <c r="B1635" s="40" t="str">
        <f>IF(F1635="","",VLOOKUP(F1635,Tabelle1[],2))</f>
        <v/>
      </c>
      <c r="C1635" s="40"/>
      <c r="E1635" s="80"/>
    </row>
    <row r="1636" spans="1:5" x14ac:dyDescent="0.25">
      <c r="A1636" s="39" t="str">
        <f>IF(F1636="","",VLOOKUP(F1636,Tabelle1[],3))</f>
        <v/>
      </c>
      <c r="B1636" s="40" t="str">
        <f>IF(F1636="","",VLOOKUP(F1636,Tabelle1[],2))</f>
        <v/>
      </c>
      <c r="C1636" s="40"/>
      <c r="E1636" s="80"/>
    </row>
    <row r="1637" spans="1:5" x14ac:dyDescent="0.25">
      <c r="A1637" s="39" t="str">
        <f>IF(F1637="","",VLOOKUP(F1637,Tabelle1[],3))</f>
        <v/>
      </c>
      <c r="B1637" s="40" t="str">
        <f>IF(F1637="","",VLOOKUP(F1637,Tabelle1[],2))</f>
        <v/>
      </c>
      <c r="C1637" s="40"/>
      <c r="E1637" s="80"/>
    </row>
    <row r="1638" spans="1:5" x14ac:dyDescent="0.25">
      <c r="A1638" s="39" t="str">
        <f>IF(F1638="","",VLOOKUP(F1638,Tabelle1[],3))</f>
        <v/>
      </c>
      <c r="B1638" s="40" t="str">
        <f>IF(F1638="","",VLOOKUP(F1638,Tabelle1[],2))</f>
        <v/>
      </c>
      <c r="C1638" s="40"/>
      <c r="E1638" s="80"/>
    </row>
    <row r="1639" spans="1:5" x14ac:dyDescent="0.25">
      <c r="A1639" s="39" t="str">
        <f>IF(F1639="","",VLOOKUP(F1639,Tabelle1[],3))</f>
        <v/>
      </c>
      <c r="B1639" s="40" t="str">
        <f>IF(F1639="","",VLOOKUP(F1639,Tabelle1[],2))</f>
        <v/>
      </c>
      <c r="C1639" s="40"/>
      <c r="E1639" s="80"/>
    </row>
    <row r="1640" spans="1:5" x14ac:dyDescent="0.25">
      <c r="A1640" s="39" t="str">
        <f>IF(F1640="","",VLOOKUP(F1640,Tabelle1[],3))</f>
        <v/>
      </c>
      <c r="B1640" s="40" t="str">
        <f>IF(F1640="","",VLOOKUP(F1640,Tabelle1[],2))</f>
        <v/>
      </c>
      <c r="C1640" s="40"/>
      <c r="E1640" s="80"/>
    </row>
    <row r="1641" spans="1:5" x14ac:dyDescent="0.25">
      <c r="A1641" s="39" t="str">
        <f>IF(F1641="","",VLOOKUP(F1641,Tabelle1[],3))</f>
        <v/>
      </c>
      <c r="B1641" s="40" t="str">
        <f>IF(F1641="","",VLOOKUP(F1641,Tabelle1[],2))</f>
        <v/>
      </c>
      <c r="C1641" s="40"/>
      <c r="E1641" s="80"/>
    </row>
    <row r="1642" spans="1:5" x14ac:dyDescent="0.25">
      <c r="A1642" s="39" t="str">
        <f>IF(F1642="","",VLOOKUP(F1642,Tabelle1[],3))</f>
        <v/>
      </c>
      <c r="B1642" s="40" t="str">
        <f>IF(F1642="","",VLOOKUP(F1642,Tabelle1[],2))</f>
        <v/>
      </c>
      <c r="C1642" s="40"/>
      <c r="E1642" s="80"/>
    </row>
    <row r="1643" spans="1:5" x14ac:dyDescent="0.25">
      <c r="A1643" s="39" t="str">
        <f>IF(F1643="","",VLOOKUP(F1643,Tabelle1[],3))</f>
        <v/>
      </c>
      <c r="B1643" s="40" t="str">
        <f>IF(F1643="","",VLOOKUP(F1643,Tabelle1[],2))</f>
        <v/>
      </c>
      <c r="C1643" s="40"/>
      <c r="E1643" s="80"/>
    </row>
    <row r="1644" spans="1:5" x14ac:dyDescent="0.25">
      <c r="A1644" s="39" t="str">
        <f>IF(F1644="","",VLOOKUP(F1644,Tabelle1[],3))</f>
        <v/>
      </c>
      <c r="B1644" s="40" t="str">
        <f>IF(F1644="","",VLOOKUP(F1644,Tabelle1[],2))</f>
        <v/>
      </c>
      <c r="C1644" s="40"/>
      <c r="E1644" s="80"/>
    </row>
    <row r="1645" spans="1:5" x14ac:dyDescent="0.25">
      <c r="A1645" s="39" t="str">
        <f>IF(F1645="","",VLOOKUP(F1645,Tabelle1[],3))</f>
        <v/>
      </c>
      <c r="B1645" s="40" t="str">
        <f>IF(F1645="","",VLOOKUP(F1645,Tabelle1[],2))</f>
        <v/>
      </c>
      <c r="C1645" s="40"/>
      <c r="E1645" s="80"/>
    </row>
    <row r="1646" spans="1:5" x14ac:dyDescent="0.25">
      <c r="A1646" s="39" t="str">
        <f>IF(F1646="","",VLOOKUP(F1646,Tabelle1[],3))</f>
        <v/>
      </c>
      <c r="B1646" s="40" t="str">
        <f>IF(F1646="","",VLOOKUP(F1646,Tabelle1[],2))</f>
        <v/>
      </c>
      <c r="C1646" s="40"/>
      <c r="E1646" s="80"/>
    </row>
    <row r="1647" spans="1:5" x14ac:dyDescent="0.25">
      <c r="A1647" s="39" t="str">
        <f>IF(F1647="","",VLOOKUP(F1647,Tabelle1[],3))</f>
        <v/>
      </c>
      <c r="B1647" s="40" t="str">
        <f>IF(F1647="","",VLOOKUP(F1647,Tabelle1[],2))</f>
        <v/>
      </c>
      <c r="C1647" s="40"/>
      <c r="E1647" s="80"/>
    </row>
    <row r="1648" spans="1:5" x14ac:dyDescent="0.25">
      <c r="A1648" s="39" t="str">
        <f>IF(F1648="","",VLOOKUP(F1648,Tabelle1[],3))</f>
        <v/>
      </c>
      <c r="B1648" s="40" t="str">
        <f>IF(F1648="","",VLOOKUP(F1648,Tabelle1[],2))</f>
        <v/>
      </c>
      <c r="C1648" s="40"/>
      <c r="E1648" s="80"/>
    </row>
    <row r="1649" spans="1:5" x14ac:dyDescent="0.25">
      <c r="A1649" s="39" t="str">
        <f>IF(F1649="","",VLOOKUP(F1649,Tabelle1[],3))</f>
        <v/>
      </c>
      <c r="B1649" s="40" t="str">
        <f>IF(F1649="","",VLOOKUP(F1649,Tabelle1[],2))</f>
        <v/>
      </c>
      <c r="C1649" s="40"/>
      <c r="E1649" s="80"/>
    </row>
    <row r="1650" spans="1:5" x14ac:dyDescent="0.25">
      <c r="A1650" s="39" t="str">
        <f>IF(F1650="","",VLOOKUP(F1650,Tabelle1[],3))</f>
        <v/>
      </c>
      <c r="B1650" s="40" t="str">
        <f>IF(F1650="","",VLOOKUP(F1650,Tabelle1[],2))</f>
        <v/>
      </c>
      <c r="C1650" s="40"/>
      <c r="E1650" s="80"/>
    </row>
    <row r="1651" spans="1:5" x14ac:dyDescent="0.25">
      <c r="A1651" s="39" t="str">
        <f>IF(F1651="","",VLOOKUP(F1651,Tabelle1[],3))</f>
        <v/>
      </c>
      <c r="B1651" s="40" t="str">
        <f>IF(F1651="","",VLOOKUP(F1651,Tabelle1[],2))</f>
        <v/>
      </c>
      <c r="C1651" s="40"/>
      <c r="E1651" s="80"/>
    </row>
    <row r="1652" spans="1:5" x14ac:dyDescent="0.25">
      <c r="A1652" s="39" t="str">
        <f>IF(F1652="","",VLOOKUP(F1652,Tabelle1[],3))</f>
        <v/>
      </c>
      <c r="B1652" s="40" t="str">
        <f>IF(F1652="","",VLOOKUP(F1652,Tabelle1[],2))</f>
        <v/>
      </c>
      <c r="C1652" s="40"/>
      <c r="E1652" s="80"/>
    </row>
    <row r="1653" spans="1:5" x14ac:dyDescent="0.25">
      <c r="A1653" s="39" t="str">
        <f>IF(F1653="","",VLOOKUP(F1653,Tabelle1[],3))</f>
        <v/>
      </c>
      <c r="B1653" s="40" t="str">
        <f>IF(F1653="","",VLOOKUP(F1653,Tabelle1[],2))</f>
        <v/>
      </c>
      <c r="C1653" s="40"/>
      <c r="E1653" s="80"/>
    </row>
    <row r="1654" spans="1:5" x14ac:dyDescent="0.25">
      <c r="A1654" s="39" t="str">
        <f>IF(F1654="","",VLOOKUP(F1654,Tabelle1[],3))</f>
        <v/>
      </c>
      <c r="B1654" s="40" t="str">
        <f>IF(F1654="","",VLOOKUP(F1654,Tabelle1[],2))</f>
        <v/>
      </c>
      <c r="C1654" s="40"/>
      <c r="E1654" s="80"/>
    </row>
    <row r="1655" spans="1:5" x14ac:dyDescent="0.25">
      <c r="A1655" s="39" t="str">
        <f>IF(F1655="","",VLOOKUP(F1655,Tabelle1[],3))</f>
        <v/>
      </c>
      <c r="B1655" s="40" t="str">
        <f>IF(F1655="","",VLOOKUP(F1655,Tabelle1[],2))</f>
        <v/>
      </c>
      <c r="C1655" s="40"/>
      <c r="E1655" s="80"/>
    </row>
    <row r="1656" spans="1:5" x14ac:dyDescent="0.25">
      <c r="A1656" s="39" t="str">
        <f>IF(F1656="","",VLOOKUP(F1656,Tabelle1[],3))</f>
        <v/>
      </c>
      <c r="B1656" s="40" t="str">
        <f>IF(F1656="","",VLOOKUP(F1656,Tabelle1[],2))</f>
        <v/>
      </c>
      <c r="C1656" s="40"/>
      <c r="E1656" s="80"/>
    </row>
    <row r="1657" spans="1:5" x14ac:dyDescent="0.25">
      <c r="A1657" s="39" t="str">
        <f>IF(F1657="","",VLOOKUP(F1657,Tabelle1[],3))</f>
        <v/>
      </c>
      <c r="B1657" s="40" t="str">
        <f>IF(F1657="","",VLOOKUP(F1657,Tabelle1[],2))</f>
        <v/>
      </c>
      <c r="C1657" s="40"/>
      <c r="E1657" s="80"/>
    </row>
    <row r="1658" spans="1:5" x14ac:dyDescent="0.25">
      <c r="A1658" s="39" t="str">
        <f>IF(F1658="","",VLOOKUP(F1658,Tabelle1[],3))</f>
        <v/>
      </c>
      <c r="B1658" s="40" t="str">
        <f>IF(F1658="","",VLOOKUP(F1658,Tabelle1[],2))</f>
        <v/>
      </c>
      <c r="C1658" s="40"/>
      <c r="E1658" s="80"/>
    </row>
    <row r="1659" spans="1:5" x14ac:dyDescent="0.25">
      <c r="A1659" s="39" t="str">
        <f>IF(F1659="","",VLOOKUP(F1659,Tabelle1[],3))</f>
        <v/>
      </c>
      <c r="B1659" s="40" t="str">
        <f>IF(F1659="","",VLOOKUP(F1659,Tabelle1[],2))</f>
        <v/>
      </c>
      <c r="C1659" s="40"/>
      <c r="E1659" s="80"/>
    </row>
    <row r="1660" spans="1:5" x14ac:dyDescent="0.25">
      <c r="A1660" s="39" t="str">
        <f>IF(F1660="","",VLOOKUP(F1660,Tabelle1[],3))</f>
        <v/>
      </c>
      <c r="B1660" s="40" t="str">
        <f>IF(F1660="","",VLOOKUP(F1660,Tabelle1[],2))</f>
        <v/>
      </c>
      <c r="C1660" s="40"/>
      <c r="E1660" s="80"/>
    </row>
    <row r="1661" spans="1:5" x14ac:dyDescent="0.25">
      <c r="A1661" s="39" t="str">
        <f>IF(F1661="","",VLOOKUP(F1661,Tabelle1[],3))</f>
        <v/>
      </c>
      <c r="B1661" s="40" t="str">
        <f>IF(F1661="","",VLOOKUP(F1661,Tabelle1[],2))</f>
        <v/>
      </c>
      <c r="C1661" s="40"/>
      <c r="E1661" s="80"/>
    </row>
    <row r="1662" spans="1:5" x14ac:dyDescent="0.25">
      <c r="A1662" s="39" t="str">
        <f>IF(F1662="","",VLOOKUP(F1662,Tabelle1[],3))</f>
        <v/>
      </c>
      <c r="B1662" s="40" t="str">
        <f>IF(F1662="","",VLOOKUP(F1662,Tabelle1[],2))</f>
        <v/>
      </c>
      <c r="C1662" s="40"/>
      <c r="E1662" s="80"/>
    </row>
    <row r="1663" spans="1:5" x14ac:dyDescent="0.25">
      <c r="A1663" s="39" t="str">
        <f>IF(F1663="","",VLOOKUP(F1663,Tabelle1[],3))</f>
        <v/>
      </c>
      <c r="B1663" s="40" t="str">
        <f>IF(F1663="","",VLOOKUP(F1663,Tabelle1[],2))</f>
        <v/>
      </c>
      <c r="C1663" s="40"/>
      <c r="E1663" s="80"/>
    </row>
    <row r="1664" spans="1:5" x14ac:dyDescent="0.25">
      <c r="A1664" s="39" t="str">
        <f>IF(F1664="","",VLOOKUP(F1664,Tabelle1[],3))</f>
        <v/>
      </c>
      <c r="B1664" s="40" t="str">
        <f>IF(F1664="","",VLOOKUP(F1664,Tabelle1[],2))</f>
        <v/>
      </c>
      <c r="C1664" s="40"/>
      <c r="E1664" s="80"/>
    </row>
    <row r="1665" spans="1:5" x14ac:dyDescent="0.25">
      <c r="A1665" s="39" t="str">
        <f>IF(F1665="","",VLOOKUP(F1665,Tabelle1[],3))</f>
        <v/>
      </c>
      <c r="B1665" s="40" t="str">
        <f>IF(F1665="","",VLOOKUP(F1665,Tabelle1[],2))</f>
        <v/>
      </c>
      <c r="C1665" s="40"/>
      <c r="E1665" s="80"/>
    </row>
    <row r="1666" spans="1:5" x14ac:dyDescent="0.25">
      <c r="A1666" s="39" t="str">
        <f>IF(F1666="","",VLOOKUP(F1666,Tabelle1[],3))</f>
        <v/>
      </c>
      <c r="B1666" s="40" t="str">
        <f>IF(F1666="","",VLOOKUP(F1666,Tabelle1[],2))</f>
        <v/>
      </c>
      <c r="C1666" s="40"/>
      <c r="E1666" s="80"/>
    </row>
    <row r="1667" spans="1:5" x14ac:dyDescent="0.25">
      <c r="A1667" s="39" t="str">
        <f>IF(F1667="","",VLOOKUP(F1667,Tabelle1[],3))</f>
        <v/>
      </c>
      <c r="B1667" s="40" t="str">
        <f>IF(F1667="","",VLOOKUP(F1667,Tabelle1[],2))</f>
        <v/>
      </c>
      <c r="C1667" s="40"/>
      <c r="E1667" s="80"/>
    </row>
    <row r="1668" spans="1:5" x14ac:dyDescent="0.25">
      <c r="A1668" s="39" t="str">
        <f>IF(F1668="","",VLOOKUP(F1668,Tabelle1[],3))</f>
        <v/>
      </c>
      <c r="B1668" s="40" t="str">
        <f>IF(F1668="","",VLOOKUP(F1668,Tabelle1[],2))</f>
        <v/>
      </c>
      <c r="C1668" s="40"/>
      <c r="E1668" s="80"/>
    </row>
    <row r="1669" spans="1:5" x14ac:dyDescent="0.25">
      <c r="A1669" s="39" t="str">
        <f>IF(F1669="","",VLOOKUP(F1669,Tabelle1[],3))</f>
        <v/>
      </c>
      <c r="B1669" s="40" t="str">
        <f>IF(F1669="","",VLOOKUP(F1669,Tabelle1[],2))</f>
        <v/>
      </c>
      <c r="C1669" s="40"/>
      <c r="E1669" s="80"/>
    </row>
    <row r="1670" spans="1:5" x14ac:dyDescent="0.25">
      <c r="A1670" s="39" t="str">
        <f>IF(F1670="","",VLOOKUP(F1670,Tabelle1[],3))</f>
        <v/>
      </c>
      <c r="B1670" s="40" t="str">
        <f>IF(F1670="","",VLOOKUP(F1670,Tabelle1[],2))</f>
        <v/>
      </c>
      <c r="C1670" s="40"/>
      <c r="E1670" s="80"/>
    </row>
    <row r="1671" spans="1:5" x14ac:dyDescent="0.25">
      <c r="A1671" s="39" t="str">
        <f>IF(F1671="","",VLOOKUP(F1671,Tabelle1[],3))</f>
        <v/>
      </c>
      <c r="B1671" s="40" t="str">
        <f>IF(F1671="","",VLOOKUP(F1671,Tabelle1[],2))</f>
        <v/>
      </c>
      <c r="C1671" s="40"/>
      <c r="E1671" s="80"/>
    </row>
    <row r="1672" spans="1:5" x14ac:dyDescent="0.25">
      <c r="A1672" s="39" t="str">
        <f>IF(F1672="","",VLOOKUP(F1672,Tabelle1[],3))</f>
        <v/>
      </c>
      <c r="B1672" s="40" t="str">
        <f>IF(F1672="","",VLOOKUP(F1672,Tabelle1[],2))</f>
        <v/>
      </c>
      <c r="C1672" s="40"/>
      <c r="E1672" s="80"/>
    </row>
    <row r="1673" spans="1:5" x14ac:dyDescent="0.25">
      <c r="A1673" s="39" t="str">
        <f>IF(F1673="","",VLOOKUP(F1673,Tabelle1[],3))</f>
        <v/>
      </c>
      <c r="B1673" s="40" t="str">
        <f>IF(F1673="","",VLOOKUP(F1673,Tabelle1[],2))</f>
        <v/>
      </c>
      <c r="C1673" s="40"/>
      <c r="E1673" s="80"/>
    </row>
    <row r="1674" spans="1:5" x14ac:dyDescent="0.25">
      <c r="A1674" s="39" t="str">
        <f>IF(F1674="","",VLOOKUP(F1674,Tabelle1[],3))</f>
        <v/>
      </c>
      <c r="B1674" s="40" t="str">
        <f>IF(F1674="","",VLOOKUP(F1674,Tabelle1[],2))</f>
        <v/>
      </c>
      <c r="C1674" s="40"/>
      <c r="E1674" s="80"/>
    </row>
    <row r="1675" spans="1:5" x14ac:dyDescent="0.25">
      <c r="A1675" s="39" t="str">
        <f>IF(F1675="","",VLOOKUP(F1675,Tabelle1[],3))</f>
        <v/>
      </c>
      <c r="B1675" s="40" t="str">
        <f>IF(F1675="","",VLOOKUP(F1675,Tabelle1[],2))</f>
        <v/>
      </c>
      <c r="C1675" s="40"/>
      <c r="E1675" s="80"/>
    </row>
    <row r="1676" spans="1:5" x14ac:dyDescent="0.25">
      <c r="A1676" s="39" t="str">
        <f>IF(F1676="","",VLOOKUP(F1676,Tabelle1[],3))</f>
        <v/>
      </c>
      <c r="B1676" s="40" t="str">
        <f>IF(F1676="","",VLOOKUP(F1676,Tabelle1[],2))</f>
        <v/>
      </c>
      <c r="C1676" s="40"/>
      <c r="E1676" s="80"/>
    </row>
    <row r="1677" spans="1:5" x14ac:dyDescent="0.25">
      <c r="A1677" s="39" t="str">
        <f>IF(F1677="","",VLOOKUP(F1677,Tabelle1[],3))</f>
        <v/>
      </c>
      <c r="B1677" s="40" t="str">
        <f>IF(F1677="","",VLOOKUP(F1677,Tabelle1[],2))</f>
        <v/>
      </c>
      <c r="C1677" s="40"/>
      <c r="E1677" s="80"/>
    </row>
    <row r="1678" spans="1:5" x14ac:dyDescent="0.25">
      <c r="A1678" s="39" t="str">
        <f>IF(F1678="","",VLOOKUP(F1678,Tabelle1[],3))</f>
        <v/>
      </c>
      <c r="B1678" s="40" t="str">
        <f>IF(F1678="","",VLOOKUP(F1678,Tabelle1[],2))</f>
        <v/>
      </c>
      <c r="C1678" s="40"/>
      <c r="E1678" s="80"/>
    </row>
    <row r="1679" spans="1:5" x14ac:dyDescent="0.25">
      <c r="A1679" s="39" t="str">
        <f>IF(F1679="","",VLOOKUP(F1679,Tabelle1[],3))</f>
        <v/>
      </c>
      <c r="B1679" s="40" t="str">
        <f>IF(F1679="","",VLOOKUP(F1679,Tabelle1[],2))</f>
        <v/>
      </c>
      <c r="C1679" s="40"/>
      <c r="E1679" s="80"/>
    </row>
    <row r="1680" spans="1:5" x14ac:dyDescent="0.25">
      <c r="A1680" s="39" t="str">
        <f>IF(F1680="","",VLOOKUP(F1680,Tabelle1[],3))</f>
        <v/>
      </c>
      <c r="B1680" s="40" t="str">
        <f>IF(F1680="","",VLOOKUP(F1680,Tabelle1[],2))</f>
        <v/>
      </c>
      <c r="C1680" s="40"/>
      <c r="E1680" s="80"/>
    </row>
    <row r="1681" spans="1:5" x14ac:dyDescent="0.25">
      <c r="A1681" s="39" t="str">
        <f>IF(F1681="","",VLOOKUP(F1681,Tabelle1[],3))</f>
        <v/>
      </c>
      <c r="B1681" s="40" t="str">
        <f>IF(F1681="","",VLOOKUP(F1681,Tabelle1[],2))</f>
        <v/>
      </c>
      <c r="C1681" s="40"/>
      <c r="E1681" s="80"/>
    </row>
    <row r="1682" spans="1:5" x14ac:dyDescent="0.25">
      <c r="A1682" s="39" t="str">
        <f>IF(F1682="","",VLOOKUP(F1682,Tabelle1[],3))</f>
        <v/>
      </c>
      <c r="B1682" s="40" t="str">
        <f>IF(F1682="","",VLOOKUP(F1682,Tabelle1[],2))</f>
        <v/>
      </c>
      <c r="C1682" s="40"/>
      <c r="E1682" s="80"/>
    </row>
    <row r="1683" spans="1:5" x14ac:dyDescent="0.25">
      <c r="A1683" s="39" t="str">
        <f>IF(F1683="","",VLOOKUP(F1683,Tabelle1[],3))</f>
        <v/>
      </c>
      <c r="B1683" s="40" t="str">
        <f>IF(F1683="","",VLOOKUP(F1683,Tabelle1[],2))</f>
        <v/>
      </c>
      <c r="C1683" s="40"/>
      <c r="E1683" s="80"/>
    </row>
    <row r="1684" spans="1:5" x14ac:dyDescent="0.25">
      <c r="A1684" s="39" t="str">
        <f>IF(F1684="","",VLOOKUP(F1684,Tabelle1[],3))</f>
        <v/>
      </c>
      <c r="B1684" s="40" t="str">
        <f>IF(F1684="","",VLOOKUP(F1684,Tabelle1[],2))</f>
        <v/>
      </c>
      <c r="C1684" s="40"/>
      <c r="E1684" s="80"/>
    </row>
    <row r="1685" spans="1:5" x14ac:dyDescent="0.25">
      <c r="A1685" s="39" t="str">
        <f>IF(F1685="","",VLOOKUP(F1685,Tabelle1[],3))</f>
        <v/>
      </c>
      <c r="B1685" s="40" t="str">
        <f>IF(F1685="","",VLOOKUP(F1685,Tabelle1[],2))</f>
        <v/>
      </c>
      <c r="C1685" s="40"/>
      <c r="E1685" s="80"/>
    </row>
    <row r="1686" spans="1:5" x14ac:dyDescent="0.25">
      <c r="A1686" s="39" t="str">
        <f>IF(F1686="","",VLOOKUP(F1686,Tabelle1[],3))</f>
        <v/>
      </c>
      <c r="B1686" s="40" t="str">
        <f>IF(F1686="","",VLOOKUP(F1686,Tabelle1[],2))</f>
        <v/>
      </c>
      <c r="C1686" s="40"/>
      <c r="E1686" s="80"/>
    </row>
    <row r="1687" spans="1:5" x14ac:dyDescent="0.25">
      <c r="A1687" s="39" t="str">
        <f>IF(F1687="","",VLOOKUP(F1687,Tabelle1[],3))</f>
        <v/>
      </c>
      <c r="B1687" s="40" t="str">
        <f>IF(F1687="","",VLOOKUP(F1687,Tabelle1[],2))</f>
        <v/>
      </c>
      <c r="C1687" s="40"/>
      <c r="E1687" s="80"/>
    </row>
    <row r="1688" spans="1:5" x14ac:dyDescent="0.25">
      <c r="A1688" s="39" t="str">
        <f>IF(F1688="","",VLOOKUP(F1688,Tabelle1[],3))</f>
        <v/>
      </c>
      <c r="B1688" s="40" t="str">
        <f>IF(F1688="","",VLOOKUP(F1688,Tabelle1[],2))</f>
        <v/>
      </c>
      <c r="C1688" s="40"/>
      <c r="E1688" s="80"/>
    </row>
    <row r="1689" spans="1:5" x14ac:dyDescent="0.25">
      <c r="A1689" s="39" t="str">
        <f>IF(F1689="","",VLOOKUP(F1689,Tabelle1[],3))</f>
        <v/>
      </c>
      <c r="B1689" s="40" t="str">
        <f>IF(F1689="","",VLOOKUP(F1689,Tabelle1[],2))</f>
        <v/>
      </c>
      <c r="C1689" s="40"/>
      <c r="E1689" s="80"/>
    </row>
    <row r="1690" spans="1:5" x14ac:dyDescent="0.25">
      <c r="A1690" s="39" t="str">
        <f>IF(F1690="","",VLOOKUP(F1690,Tabelle1[],3))</f>
        <v/>
      </c>
      <c r="B1690" s="40" t="str">
        <f>IF(F1690="","",VLOOKUP(F1690,Tabelle1[],2))</f>
        <v/>
      </c>
      <c r="C1690" s="40"/>
      <c r="E1690" s="80"/>
    </row>
    <row r="1691" spans="1:5" x14ac:dyDescent="0.25">
      <c r="A1691" s="39" t="str">
        <f>IF(F1691="","",VLOOKUP(F1691,Tabelle1[],3))</f>
        <v/>
      </c>
      <c r="B1691" s="40" t="str">
        <f>IF(F1691="","",VLOOKUP(F1691,Tabelle1[],2))</f>
        <v/>
      </c>
      <c r="C1691" s="40"/>
      <c r="E1691" s="80"/>
    </row>
    <row r="1692" spans="1:5" x14ac:dyDescent="0.25">
      <c r="A1692" s="39" t="str">
        <f>IF(F1692="","",VLOOKUP(F1692,Tabelle1[],3))</f>
        <v/>
      </c>
      <c r="B1692" s="40" t="str">
        <f>IF(F1692="","",VLOOKUP(F1692,Tabelle1[],2))</f>
        <v/>
      </c>
      <c r="C1692" s="40"/>
      <c r="E1692" s="80"/>
    </row>
    <row r="1693" spans="1:5" x14ac:dyDescent="0.25">
      <c r="A1693" s="39" t="str">
        <f>IF(F1693="","",VLOOKUP(F1693,Tabelle1[],3))</f>
        <v/>
      </c>
      <c r="B1693" s="40" t="str">
        <f>IF(F1693="","",VLOOKUP(F1693,Tabelle1[],2))</f>
        <v/>
      </c>
      <c r="C1693" s="40"/>
      <c r="E1693" s="80"/>
    </row>
    <row r="1694" spans="1:5" x14ac:dyDescent="0.25">
      <c r="A1694" s="39" t="str">
        <f>IF(F1694="","",VLOOKUP(F1694,Tabelle1[],3))</f>
        <v/>
      </c>
      <c r="B1694" s="40" t="str">
        <f>IF(F1694="","",VLOOKUP(F1694,Tabelle1[],2))</f>
        <v/>
      </c>
      <c r="C1694" s="40"/>
      <c r="E1694" s="80"/>
    </row>
    <row r="1695" spans="1:5" x14ac:dyDescent="0.25">
      <c r="A1695" s="39" t="str">
        <f>IF(F1695="","",VLOOKUP(F1695,Tabelle1[],3))</f>
        <v/>
      </c>
      <c r="B1695" s="40" t="str">
        <f>IF(F1695="","",VLOOKUP(F1695,Tabelle1[],2))</f>
        <v/>
      </c>
      <c r="C1695" s="40"/>
      <c r="E1695" s="80"/>
    </row>
    <row r="1696" spans="1:5" x14ac:dyDescent="0.25">
      <c r="A1696" s="39" t="str">
        <f>IF(F1696="","",VLOOKUP(F1696,Tabelle1[],3))</f>
        <v/>
      </c>
      <c r="B1696" s="40" t="str">
        <f>IF(F1696="","",VLOOKUP(F1696,Tabelle1[],2))</f>
        <v/>
      </c>
      <c r="C1696" s="40"/>
      <c r="E1696" s="80"/>
    </row>
    <row r="1697" spans="1:5" x14ac:dyDescent="0.25">
      <c r="A1697" s="39" t="str">
        <f>IF(F1697="","",VLOOKUP(F1697,Tabelle1[],3))</f>
        <v/>
      </c>
      <c r="B1697" s="40" t="str">
        <f>IF(F1697="","",VLOOKUP(F1697,Tabelle1[],2))</f>
        <v/>
      </c>
      <c r="C1697" s="40"/>
      <c r="E1697" s="80"/>
    </row>
    <row r="1698" spans="1:5" x14ac:dyDescent="0.25">
      <c r="A1698" s="39" t="str">
        <f>IF(F1698="","",VLOOKUP(F1698,Tabelle1[],3))</f>
        <v/>
      </c>
      <c r="B1698" s="40" t="str">
        <f>IF(F1698="","",VLOOKUP(F1698,Tabelle1[],2))</f>
        <v/>
      </c>
      <c r="C1698" s="40"/>
      <c r="E1698" s="80"/>
    </row>
    <row r="1699" spans="1:5" x14ac:dyDescent="0.25">
      <c r="A1699" s="39" t="str">
        <f>IF(F1699="","",VLOOKUP(F1699,Tabelle1[],3))</f>
        <v/>
      </c>
      <c r="B1699" s="40" t="str">
        <f>IF(F1699="","",VLOOKUP(F1699,Tabelle1[],2))</f>
        <v/>
      </c>
      <c r="C1699" s="40"/>
      <c r="E1699" s="80"/>
    </row>
    <row r="1700" spans="1:5" x14ac:dyDescent="0.25">
      <c r="A1700" s="39" t="str">
        <f>IF(F1700="","",VLOOKUP(F1700,Tabelle1[],3))</f>
        <v/>
      </c>
      <c r="B1700" s="40" t="str">
        <f>IF(F1700="","",VLOOKUP(F1700,Tabelle1[],2))</f>
        <v/>
      </c>
      <c r="C1700" s="40"/>
      <c r="E1700" s="80"/>
    </row>
    <row r="1701" spans="1:5" x14ac:dyDescent="0.25">
      <c r="A1701" s="39" t="str">
        <f>IF(F1701="","",VLOOKUP(F1701,Tabelle1[],3))</f>
        <v/>
      </c>
      <c r="B1701" s="40" t="str">
        <f>IF(F1701="","",VLOOKUP(F1701,Tabelle1[],2))</f>
        <v/>
      </c>
      <c r="C1701" s="40"/>
      <c r="E1701" s="80"/>
    </row>
    <row r="1702" spans="1:5" x14ac:dyDescent="0.25">
      <c r="A1702" s="39" t="str">
        <f>IF(F1702="","",VLOOKUP(F1702,Tabelle1[],3))</f>
        <v/>
      </c>
      <c r="B1702" s="40" t="str">
        <f>IF(F1702="","",VLOOKUP(F1702,Tabelle1[],2))</f>
        <v/>
      </c>
      <c r="C1702" s="40"/>
      <c r="E1702" s="80"/>
    </row>
    <row r="1703" spans="1:5" x14ac:dyDescent="0.25">
      <c r="A1703" s="39" t="str">
        <f>IF(F1703="","",VLOOKUP(F1703,Tabelle1[],3))</f>
        <v/>
      </c>
      <c r="B1703" s="40" t="str">
        <f>IF(F1703="","",VLOOKUP(F1703,Tabelle1[],2))</f>
        <v/>
      </c>
      <c r="C1703" s="40"/>
      <c r="E1703" s="80"/>
    </row>
    <row r="1704" spans="1:5" x14ac:dyDescent="0.25">
      <c r="A1704" s="39" t="str">
        <f>IF(F1704="","",VLOOKUP(F1704,Tabelle1[],3))</f>
        <v/>
      </c>
      <c r="B1704" s="40" t="str">
        <f>IF(F1704="","",VLOOKUP(F1704,Tabelle1[],2))</f>
        <v/>
      </c>
      <c r="C1704" s="40"/>
      <c r="E1704" s="80"/>
    </row>
    <row r="1705" spans="1:5" x14ac:dyDescent="0.25">
      <c r="A1705" s="39" t="str">
        <f>IF(F1705="","",VLOOKUP(F1705,Tabelle1[],3))</f>
        <v/>
      </c>
      <c r="B1705" s="40" t="str">
        <f>IF(F1705="","",VLOOKUP(F1705,Tabelle1[],2))</f>
        <v/>
      </c>
      <c r="C1705" s="40"/>
      <c r="E1705" s="80"/>
    </row>
    <row r="1706" spans="1:5" x14ac:dyDescent="0.25">
      <c r="A1706" s="39" t="str">
        <f>IF(F1706="","",VLOOKUP(F1706,Tabelle1[],3))</f>
        <v/>
      </c>
      <c r="B1706" s="40" t="str">
        <f>IF(F1706="","",VLOOKUP(F1706,Tabelle1[],2))</f>
        <v/>
      </c>
      <c r="C1706" s="40"/>
      <c r="E1706" s="80"/>
    </row>
    <row r="1707" spans="1:5" x14ac:dyDescent="0.25">
      <c r="A1707" s="39" t="str">
        <f>IF(F1707="","",VLOOKUP(F1707,Tabelle1[],3))</f>
        <v/>
      </c>
      <c r="B1707" s="40" t="str">
        <f>IF(F1707="","",VLOOKUP(F1707,Tabelle1[],2))</f>
        <v/>
      </c>
      <c r="C1707" s="40"/>
      <c r="E1707" s="80"/>
    </row>
    <row r="1708" spans="1:5" x14ac:dyDescent="0.25">
      <c r="A1708" s="39" t="str">
        <f>IF(F1708="","",VLOOKUP(F1708,Tabelle1[],3))</f>
        <v/>
      </c>
      <c r="B1708" s="40" t="str">
        <f>IF(F1708="","",VLOOKUP(F1708,Tabelle1[],2))</f>
        <v/>
      </c>
      <c r="C1708" s="40"/>
      <c r="E1708" s="80"/>
    </row>
    <row r="1709" spans="1:5" x14ac:dyDescent="0.25">
      <c r="A1709" s="39" t="str">
        <f>IF(F1709="","",VLOOKUP(F1709,Tabelle1[],3))</f>
        <v/>
      </c>
      <c r="B1709" s="40" t="str">
        <f>IF(F1709="","",VLOOKUP(F1709,Tabelle1[],2))</f>
        <v/>
      </c>
      <c r="C1709" s="40"/>
      <c r="E1709" s="80"/>
    </row>
    <row r="1710" spans="1:5" x14ac:dyDescent="0.25">
      <c r="A1710" s="39" t="str">
        <f>IF(F1710="","",VLOOKUP(F1710,Tabelle1[],3))</f>
        <v/>
      </c>
      <c r="B1710" s="40" t="str">
        <f>IF(F1710="","",VLOOKUP(F1710,Tabelle1[],2))</f>
        <v/>
      </c>
      <c r="C1710" s="40"/>
      <c r="E1710" s="80"/>
    </row>
    <row r="1711" spans="1:5" x14ac:dyDescent="0.25">
      <c r="A1711" s="39" t="str">
        <f>IF(F1711="","",VLOOKUP(F1711,Tabelle1[],3))</f>
        <v/>
      </c>
      <c r="B1711" s="40" t="str">
        <f>IF(F1711="","",VLOOKUP(F1711,Tabelle1[],2))</f>
        <v/>
      </c>
      <c r="C1711" s="40"/>
      <c r="E1711" s="80"/>
    </row>
    <row r="1712" spans="1:5" x14ac:dyDescent="0.25">
      <c r="A1712" s="39" t="str">
        <f>IF(F1712="","",VLOOKUP(F1712,Tabelle1[],3))</f>
        <v/>
      </c>
      <c r="B1712" s="40" t="str">
        <f>IF(F1712="","",VLOOKUP(F1712,Tabelle1[],2))</f>
        <v/>
      </c>
      <c r="C1712" s="40"/>
      <c r="E1712" s="80"/>
    </row>
    <row r="1713" spans="1:5" x14ac:dyDescent="0.25">
      <c r="A1713" s="39" t="str">
        <f>IF(F1713="","",VLOOKUP(F1713,Tabelle1[],3))</f>
        <v/>
      </c>
      <c r="B1713" s="40" t="str">
        <f>IF(F1713="","",VLOOKUP(F1713,Tabelle1[],2))</f>
        <v/>
      </c>
      <c r="C1713" s="40"/>
      <c r="E1713" s="80"/>
    </row>
    <row r="1714" spans="1:5" x14ac:dyDescent="0.25">
      <c r="A1714" s="39" t="str">
        <f>IF(F1714="","",VLOOKUP(F1714,Tabelle1[],3))</f>
        <v/>
      </c>
      <c r="B1714" s="40" t="str">
        <f>IF(F1714="","",VLOOKUP(F1714,Tabelle1[],2))</f>
        <v/>
      </c>
      <c r="C1714" s="40"/>
      <c r="E1714" s="80"/>
    </row>
    <row r="1715" spans="1:5" x14ac:dyDescent="0.25">
      <c r="A1715" s="39" t="str">
        <f>IF(F1715="","",VLOOKUP(F1715,Tabelle1[],3))</f>
        <v/>
      </c>
      <c r="B1715" s="40" t="str">
        <f>IF(F1715="","",VLOOKUP(F1715,Tabelle1[],2))</f>
        <v/>
      </c>
      <c r="C1715" s="40"/>
      <c r="E1715" s="80"/>
    </row>
    <row r="1716" spans="1:5" x14ac:dyDescent="0.25">
      <c r="A1716" s="39" t="str">
        <f>IF(F1716="","",VLOOKUP(F1716,Tabelle1[],3))</f>
        <v/>
      </c>
      <c r="B1716" s="40" t="str">
        <f>IF(F1716="","",VLOOKUP(F1716,Tabelle1[],2))</f>
        <v/>
      </c>
      <c r="C1716" s="40"/>
      <c r="E1716" s="80"/>
    </row>
    <row r="1717" spans="1:5" x14ac:dyDescent="0.25">
      <c r="A1717" s="39" t="str">
        <f>IF(F1717="","",VLOOKUP(F1717,Tabelle1[],3))</f>
        <v/>
      </c>
      <c r="B1717" s="40" t="str">
        <f>IF(F1717="","",VLOOKUP(F1717,Tabelle1[],2))</f>
        <v/>
      </c>
      <c r="C1717" s="40"/>
      <c r="E1717" s="80"/>
    </row>
    <row r="1718" spans="1:5" x14ac:dyDescent="0.25">
      <c r="A1718" s="39" t="str">
        <f>IF(F1718="","",VLOOKUP(F1718,Tabelle1[],3))</f>
        <v/>
      </c>
      <c r="B1718" s="40" t="str">
        <f>IF(F1718="","",VLOOKUP(F1718,Tabelle1[],2))</f>
        <v/>
      </c>
      <c r="C1718" s="40"/>
      <c r="E1718" s="80"/>
    </row>
    <row r="1719" spans="1:5" x14ac:dyDescent="0.25">
      <c r="A1719" s="39" t="str">
        <f>IF(F1719="","",VLOOKUP(F1719,Tabelle1[],3))</f>
        <v/>
      </c>
      <c r="B1719" s="40" t="str">
        <f>IF(F1719="","",VLOOKUP(F1719,Tabelle1[],2))</f>
        <v/>
      </c>
      <c r="C1719" s="40"/>
      <c r="E1719" s="80"/>
    </row>
    <row r="1720" spans="1:5" x14ac:dyDescent="0.25">
      <c r="A1720" s="39" t="str">
        <f>IF(F1720="","",VLOOKUP(F1720,Tabelle1[],3))</f>
        <v/>
      </c>
      <c r="B1720" s="40" t="str">
        <f>IF(F1720="","",VLOOKUP(F1720,Tabelle1[],2))</f>
        <v/>
      </c>
      <c r="C1720" s="40"/>
      <c r="E1720" s="80"/>
    </row>
    <row r="1721" spans="1:5" x14ac:dyDescent="0.25">
      <c r="A1721" s="39" t="str">
        <f>IF(F1721="","",VLOOKUP(F1721,Tabelle1[],3))</f>
        <v/>
      </c>
      <c r="B1721" s="40" t="str">
        <f>IF(F1721="","",VLOOKUP(F1721,Tabelle1[],2))</f>
        <v/>
      </c>
      <c r="C1721" s="40"/>
      <c r="E1721" s="80"/>
    </row>
    <row r="1722" spans="1:5" x14ac:dyDescent="0.25">
      <c r="A1722" s="39" t="str">
        <f>IF(F1722="","",VLOOKUP(F1722,Tabelle1[],3))</f>
        <v/>
      </c>
      <c r="B1722" s="40" t="str">
        <f>IF(F1722="","",VLOOKUP(F1722,Tabelle1[],2))</f>
        <v/>
      </c>
      <c r="C1722" s="40"/>
      <c r="E1722" s="80"/>
    </row>
    <row r="1723" spans="1:5" x14ac:dyDescent="0.25">
      <c r="A1723" s="39" t="str">
        <f>IF(F1723="","",VLOOKUP(F1723,Tabelle1[],3))</f>
        <v/>
      </c>
      <c r="B1723" s="40" t="str">
        <f>IF(F1723="","",VLOOKUP(F1723,Tabelle1[],2))</f>
        <v/>
      </c>
      <c r="C1723" s="40"/>
      <c r="E1723" s="80"/>
    </row>
    <row r="1724" spans="1:5" x14ac:dyDescent="0.25">
      <c r="A1724" s="39" t="str">
        <f>IF(F1724="","",VLOOKUP(F1724,Tabelle1[],3))</f>
        <v/>
      </c>
      <c r="B1724" s="40" t="str">
        <f>IF(F1724="","",VLOOKUP(F1724,Tabelle1[],2))</f>
        <v/>
      </c>
      <c r="C1724" s="40"/>
      <c r="E1724" s="80"/>
    </row>
    <row r="1725" spans="1:5" x14ac:dyDescent="0.25">
      <c r="A1725" s="39" t="str">
        <f>IF(F1725="","",VLOOKUP(F1725,Tabelle1[],3))</f>
        <v/>
      </c>
      <c r="B1725" s="40" t="str">
        <f>IF(F1725="","",VLOOKUP(F1725,Tabelle1[],2))</f>
        <v/>
      </c>
      <c r="C1725" s="40"/>
      <c r="E1725" s="80"/>
    </row>
    <row r="1726" spans="1:5" x14ac:dyDescent="0.25">
      <c r="A1726" s="39" t="str">
        <f>IF(F1726="","",VLOOKUP(F1726,Tabelle1[],3))</f>
        <v/>
      </c>
      <c r="B1726" s="40" t="str">
        <f>IF(F1726="","",VLOOKUP(F1726,Tabelle1[],2))</f>
        <v/>
      </c>
      <c r="C1726" s="40"/>
      <c r="E1726" s="80"/>
    </row>
    <row r="1727" spans="1:5" x14ac:dyDescent="0.25">
      <c r="A1727" s="39" t="str">
        <f>IF(F1727="","",VLOOKUP(F1727,Tabelle1[],3))</f>
        <v/>
      </c>
      <c r="B1727" s="40" t="str">
        <f>IF(F1727="","",VLOOKUP(F1727,Tabelle1[],2))</f>
        <v/>
      </c>
      <c r="C1727" s="40"/>
      <c r="E1727" s="80"/>
    </row>
    <row r="1728" spans="1:5" x14ac:dyDescent="0.25">
      <c r="A1728" s="39" t="str">
        <f>IF(F1728="","",VLOOKUP(F1728,Tabelle1[],3))</f>
        <v/>
      </c>
      <c r="B1728" s="40" t="str">
        <f>IF(F1728="","",VLOOKUP(F1728,Tabelle1[],2))</f>
        <v/>
      </c>
      <c r="C1728" s="40"/>
      <c r="E1728" s="80"/>
    </row>
    <row r="1729" spans="1:5" x14ac:dyDescent="0.25">
      <c r="A1729" s="39" t="str">
        <f>IF(F1729="","",VLOOKUP(F1729,Tabelle1[],3))</f>
        <v/>
      </c>
      <c r="B1729" s="40" t="str">
        <f>IF(F1729="","",VLOOKUP(F1729,Tabelle1[],2))</f>
        <v/>
      </c>
      <c r="C1729" s="40"/>
      <c r="E1729" s="80"/>
    </row>
    <row r="1730" spans="1:5" x14ac:dyDescent="0.25">
      <c r="A1730" s="39" t="str">
        <f>IF(F1730="","",VLOOKUP(F1730,Tabelle1[],3))</f>
        <v/>
      </c>
      <c r="B1730" s="40" t="str">
        <f>IF(F1730="","",VLOOKUP(F1730,Tabelle1[],2))</f>
        <v/>
      </c>
      <c r="C1730" s="40"/>
      <c r="E1730" s="80"/>
    </row>
    <row r="1731" spans="1:5" x14ac:dyDescent="0.25">
      <c r="A1731" s="39" t="str">
        <f>IF(F1731="","",VLOOKUP(F1731,Tabelle1[],3))</f>
        <v/>
      </c>
      <c r="B1731" s="40" t="str">
        <f>IF(F1731="","",VLOOKUP(F1731,Tabelle1[],2))</f>
        <v/>
      </c>
      <c r="C1731" s="40"/>
      <c r="E1731" s="80"/>
    </row>
    <row r="1732" spans="1:5" x14ac:dyDescent="0.25">
      <c r="A1732" s="39" t="str">
        <f>IF(F1732="","",VLOOKUP(F1732,Tabelle1[],3))</f>
        <v/>
      </c>
      <c r="B1732" s="40" t="str">
        <f>IF(F1732="","",VLOOKUP(F1732,Tabelle1[],2))</f>
        <v/>
      </c>
      <c r="C1732" s="40"/>
      <c r="E1732" s="80"/>
    </row>
    <row r="1733" spans="1:5" x14ac:dyDescent="0.25">
      <c r="A1733" s="39" t="str">
        <f>IF(F1733="","",VLOOKUP(F1733,Tabelle1[],3))</f>
        <v/>
      </c>
      <c r="B1733" s="40" t="str">
        <f>IF(F1733="","",VLOOKUP(F1733,Tabelle1[],2))</f>
        <v/>
      </c>
      <c r="C1733" s="40"/>
      <c r="E1733" s="80"/>
    </row>
    <row r="1734" spans="1:5" x14ac:dyDescent="0.25">
      <c r="A1734" s="39" t="str">
        <f>IF(F1734="","",VLOOKUP(F1734,Tabelle1[],3))</f>
        <v/>
      </c>
      <c r="B1734" s="40" t="str">
        <f>IF(F1734="","",VLOOKUP(F1734,Tabelle1[],2))</f>
        <v/>
      </c>
      <c r="C1734" s="40"/>
      <c r="E1734" s="80"/>
    </row>
    <row r="1735" spans="1:5" x14ac:dyDescent="0.25">
      <c r="A1735" s="39" t="str">
        <f>IF(F1735="","",VLOOKUP(F1735,Tabelle1[],3))</f>
        <v/>
      </c>
      <c r="B1735" s="40" t="str">
        <f>IF(F1735="","",VLOOKUP(F1735,Tabelle1[],2))</f>
        <v/>
      </c>
      <c r="C1735" s="40"/>
      <c r="E1735" s="80"/>
    </row>
    <row r="1736" spans="1:5" x14ac:dyDescent="0.25">
      <c r="A1736" s="39" t="str">
        <f>IF(F1736="","",VLOOKUP(F1736,Tabelle1[],3))</f>
        <v/>
      </c>
      <c r="B1736" s="40" t="str">
        <f>IF(F1736="","",VLOOKUP(F1736,Tabelle1[],2))</f>
        <v/>
      </c>
      <c r="C1736" s="40"/>
      <c r="E1736" s="80"/>
    </row>
    <row r="1737" spans="1:5" x14ac:dyDescent="0.25">
      <c r="A1737" s="39" t="str">
        <f>IF(F1737="","",VLOOKUP(F1737,Tabelle1[],3))</f>
        <v/>
      </c>
      <c r="B1737" s="40" t="str">
        <f>IF(F1737="","",VLOOKUP(F1737,Tabelle1[],2))</f>
        <v/>
      </c>
      <c r="C1737" s="40"/>
      <c r="E1737" s="80"/>
    </row>
    <row r="1738" spans="1:5" x14ac:dyDescent="0.25">
      <c r="A1738" s="39" t="str">
        <f>IF(F1738="","",VLOOKUP(F1738,Tabelle1[],3))</f>
        <v/>
      </c>
      <c r="B1738" s="40" t="str">
        <f>IF(F1738="","",VLOOKUP(F1738,Tabelle1[],2))</f>
        <v/>
      </c>
      <c r="C1738" s="40"/>
      <c r="E1738" s="80"/>
    </row>
    <row r="1739" spans="1:5" x14ac:dyDescent="0.25">
      <c r="A1739" s="39" t="str">
        <f>IF(F1739="","",VLOOKUP(F1739,Tabelle1[],3))</f>
        <v/>
      </c>
      <c r="B1739" s="40" t="str">
        <f>IF(F1739="","",VLOOKUP(F1739,Tabelle1[],2))</f>
        <v/>
      </c>
      <c r="C1739" s="40"/>
      <c r="E1739" s="80"/>
    </row>
    <row r="1740" spans="1:5" x14ac:dyDescent="0.25">
      <c r="A1740" s="39" t="str">
        <f>IF(F1740="","",VLOOKUP(F1740,Tabelle1[],3))</f>
        <v/>
      </c>
      <c r="B1740" s="40" t="str">
        <f>IF(F1740="","",VLOOKUP(F1740,Tabelle1[],2))</f>
        <v/>
      </c>
      <c r="C1740" s="40"/>
      <c r="E1740" s="80"/>
    </row>
    <row r="1741" spans="1:5" x14ac:dyDescent="0.25">
      <c r="A1741" s="39" t="str">
        <f>IF(F1741="","",VLOOKUP(F1741,Tabelle1[],3))</f>
        <v/>
      </c>
      <c r="B1741" s="40" t="str">
        <f>IF(F1741="","",VLOOKUP(F1741,Tabelle1[],2))</f>
        <v/>
      </c>
      <c r="C1741" s="40"/>
      <c r="E1741" s="80"/>
    </row>
    <row r="1742" spans="1:5" x14ac:dyDescent="0.25">
      <c r="A1742" s="39" t="str">
        <f>IF(F1742="","",VLOOKUP(F1742,Tabelle1[],3))</f>
        <v/>
      </c>
      <c r="B1742" s="40" t="str">
        <f>IF(F1742="","",VLOOKUP(F1742,Tabelle1[],2))</f>
        <v/>
      </c>
      <c r="C1742" s="40"/>
      <c r="E1742" s="80"/>
    </row>
    <row r="1743" spans="1:5" x14ac:dyDescent="0.25">
      <c r="A1743" s="39" t="str">
        <f>IF(F1743="","",VLOOKUP(F1743,Tabelle1[],3))</f>
        <v/>
      </c>
      <c r="B1743" s="40" t="str">
        <f>IF(F1743="","",VLOOKUP(F1743,Tabelle1[],2))</f>
        <v/>
      </c>
      <c r="C1743" s="40"/>
      <c r="E1743" s="80"/>
    </row>
    <row r="1744" spans="1:5" x14ac:dyDescent="0.25">
      <c r="A1744" s="39" t="str">
        <f>IF(F1744="","",VLOOKUP(F1744,Tabelle1[],3))</f>
        <v/>
      </c>
      <c r="B1744" s="40" t="str">
        <f>IF(F1744="","",VLOOKUP(F1744,Tabelle1[],2))</f>
        <v/>
      </c>
      <c r="C1744" s="40"/>
      <c r="E1744" s="80"/>
    </row>
    <row r="1745" spans="1:5" x14ac:dyDescent="0.25">
      <c r="A1745" s="39" t="str">
        <f>IF(F1745="","",VLOOKUP(F1745,Tabelle1[],3))</f>
        <v/>
      </c>
      <c r="B1745" s="40" t="str">
        <f>IF(F1745="","",VLOOKUP(F1745,Tabelle1[],2))</f>
        <v/>
      </c>
      <c r="C1745" s="40"/>
      <c r="E1745" s="80"/>
    </row>
    <row r="1746" spans="1:5" x14ac:dyDescent="0.25">
      <c r="A1746" s="39" t="str">
        <f>IF(F1746="","",VLOOKUP(F1746,Tabelle1[],3))</f>
        <v/>
      </c>
      <c r="B1746" s="40" t="str">
        <f>IF(F1746="","",VLOOKUP(F1746,Tabelle1[],2))</f>
        <v/>
      </c>
      <c r="C1746" s="40"/>
      <c r="E1746" s="80"/>
    </row>
    <row r="1747" spans="1:5" x14ac:dyDescent="0.25">
      <c r="A1747" s="39" t="str">
        <f>IF(F1747="","",VLOOKUP(F1747,Tabelle1[],3))</f>
        <v/>
      </c>
      <c r="B1747" s="40" t="str">
        <f>IF(F1747="","",VLOOKUP(F1747,Tabelle1[],2))</f>
        <v/>
      </c>
      <c r="C1747" s="40"/>
      <c r="E1747" s="80"/>
    </row>
    <row r="1748" spans="1:5" x14ac:dyDescent="0.25">
      <c r="A1748" s="39" t="str">
        <f>IF(F1748="","",VLOOKUP(F1748,Tabelle1[],3))</f>
        <v/>
      </c>
      <c r="B1748" s="40" t="str">
        <f>IF(F1748="","",VLOOKUP(F1748,Tabelle1[],2))</f>
        <v/>
      </c>
      <c r="C1748" s="40"/>
      <c r="E1748" s="80"/>
    </row>
    <row r="1749" spans="1:5" x14ac:dyDescent="0.25">
      <c r="A1749" s="39" t="str">
        <f>IF(F1749="","",VLOOKUP(F1749,Tabelle1[],3))</f>
        <v/>
      </c>
      <c r="B1749" s="40" t="str">
        <f>IF(F1749="","",VLOOKUP(F1749,Tabelle1[],2))</f>
        <v/>
      </c>
      <c r="C1749" s="40"/>
      <c r="E1749" s="80"/>
    </row>
    <row r="1750" spans="1:5" x14ac:dyDescent="0.25">
      <c r="A1750" s="39" t="str">
        <f>IF(F1750="","",VLOOKUP(F1750,Tabelle1[],3))</f>
        <v/>
      </c>
      <c r="B1750" s="40" t="str">
        <f>IF(F1750="","",VLOOKUP(F1750,Tabelle1[],2))</f>
        <v/>
      </c>
      <c r="C1750" s="40"/>
      <c r="E1750" s="80"/>
    </row>
    <row r="1751" spans="1:5" x14ac:dyDescent="0.25">
      <c r="A1751" s="39" t="str">
        <f>IF(F1751="","",VLOOKUP(F1751,Tabelle1[],3))</f>
        <v/>
      </c>
      <c r="B1751" s="40" t="str">
        <f>IF(F1751="","",VLOOKUP(F1751,Tabelle1[],2))</f>
        <v/>
      </c>
      <c r="C1751" s="40"/>
      <c r="E1751" s="80"/>
    </row>
    <row r="1752" spans="1:5" x14ac:dyDescent="0.25">
      <c r="A1752" s="39" t="str">
        <f>IF(F1752="","",VLOOKUP(F1752,Tabelle1[],3))</f>
        <v/>
      </c>
      <c r="B1752" s="40" t="str">
        <f>IF(F1752="","",VLOOKUP(F1752,Tabelle1[],2))</f>
        <v/>
      </c>
      <c r="C1752" s="40"/>
      <c r="E1752" s="80"/>
    </row>
    <row r="1753" spans="1:5" x14ac:dyDescent="0.25">
      <c r="A1753" s="39" t="str">
        <f>IF(F1753="","",VLOOKUP(F1753,Tabelle1[],3))</f>
        <v/>
      </c>
      <c r="B1753" s="40" t="str">
        <f>IF(F1753="","",VLOOKUP(F1753,Tabelle1[],2))</f>
        <v/>
      </c>
      <c r="C1753" s="40"/>
      <c r="E1753" s="80"/>
    </row>
    <row r="1754" spans="1:5" x14ac:dyDescent="0.25">
      <c r="A1754" s="39" t="str">
        <f>IF(F1754="","",VLOOKUP(F1754,Tabelle1[],3))</f>
        <v/>
      </c>
      <c r="B1754" s="40" t="str">
        <f>IF(F1754="","",VLOOKUP(F1754,Tabelle1[],2))</f>
        <v/>
      </c>
      <c r="C1754" s="40"/>
      <c r="E1754" s="80"/>
    </row>
    <row r="1755" spans="1:5" x14ac:dyDescent="0.25">
      <c r="A1755" s="39" t="str">
        <f>IF(F1755="","",VLOOKUP(F1755,Tabelle1[],3))</f>
        <v/>
      </c>
      <c r="B1755" s="40" t="str">
        <f>IF(F1755="","",VLOOKUP(F1755,Tabelle1[],2))</f>
        <v/>
      </c>
      <c r="C1755" s="40"/>
      <c r="E1755" s="80"/>
    </row>
    <row r="1756" spans="1:5" x14ac:dyDescent="0.25">
      <c r="A1756" s="39" t="str">
        <f>IF(F1756="","",VLOOKUP(F1756,Tabelle1[],3))</f>
        <v/>
      </c>
      <c r="B1756" s="40" t="str">
        <f>IF(F1756="","",VLOOKUP(F1756,Tabelle1[],2))</f>
        <v/>
      </c>
      <c r="C1756" s="40"/>
      <c r="E1756" s="80"/>
    </row>
    <row r="1757" spans="1:5" x14ac:dyDescent="0.25">
      <c r="A1757" s="39" t="str">
        <f>IF(F1757="","",VLOOKUP(F1757,Tabelle1[],3))</f>
        <v/>
      </c>
      <c r="B1757" s="40" t="str">
        <f>IF(F1757="","",VLOOKUP(F1757,Tabelle1[],2))</f>
        <v/>
      </c>
      <c r="C1757" s="40"/>
      <c r="E1757" s="80"/>
    </row>
    <row r="1758" spans="1:5" x14ac:dyDescent="0.25">
      <c r="A1758" s="39" t="str">
        <f>IF(F1758="","",VLOOKUP(F1758,Tabelle1[],3))</f>
        <v/>
      </c>
      <c r="B1758" s="40" t="str">
        <f>IF(F1758="","",VLOOKUP(F1758,Tabelle1[],2))</f>
        <v/>
      </c>
      <c r="C1758" s="40"/>
      <c r="E1758" s="80"/>
    </row>
    <row r="1759" spans="1:5" x14ac:dyDescent="0.25">
      <c r="A1759" s="39" t="str">
        <f>IF(F1759="","",VLOOKUP(F1759,Tabelle1[],3))</f>
        <v/>
      </c>
      <c r="B1759" s="40" t="str">
        <f>IF(F1759="","",VLOOKUP(F1759,Tabelle1[],2))</f>
        <v/>
      </c>
      <c r="C1759" s="40"/>
      <c r="E1759" s="80"/>
    </row>
    <row r="1760" spans="1:5" x14ac:dyDescent="0.25">
      <c r="A1760" s="39" t="str">
        <f>IF(F1760="","",VLOOKUP(F1760,Tabelle1[],3))</f>
        <v/>
      </c>
      <c r="B1760" s="40" t="str">
        <f>IF(F1760="","",VLOOKUP(F1760,Tabelle1[],2))</f>
        <v/>
      </c>
      <c r="C1760" s="40"/>
      <c r="E1760" s="80"/>
    </row>
    <row r="1761" spans="1:5" x14ac:dyDescent="0.25">
      <c r="A1761" s="39" t="str">
        <f>IF(F1761="","",VLOOKUP(F1761,Tabelle1[],3))</f>
        <v/>
      </c>
      <c r="B1761" s="40" t="str">
        <f>IF(F1761="","",VLOOKUP(F1761,Tabelle1[],2))</f>
        <v/>
      </c>
      <c r="C1761" s="40"/>
      <c r="E1761" s="80"/>
    </row>
    <row r="1762" spans="1:5" x14ac:dyDescent="0.25">
      <c r="A1762" s="39" t="str">
        <f>IF(F1762="","",VLOOKUP(F1762,Tabelle1[],3))</f>
        <v/>
      </c>
      <c r="B1762" s="40" t="str">
        <f>IF(F1762="","",VLOOKUP(F1762,Tabelle1[],2))</f>
        <v/>
      </c>
      <c r="C1762" s="40"/>
      <c r="E1762" s="80"/>
    </row>
    <row r="1763" spans="1:5" x14ac:dyDescent="0.25">
      <c r="A1763" s="39" t="str">
        <f>IF(F1763="","",VLOOKUP(F1763,Tabelle1[],3))</f>
        <v/>
      </c>
      <c r="B1763" s="40" t="str">
        <f>IF(F1763="","",VLOOKUP(F1763,Tabelle1[],2))</f>
        <v/>
      </c>
      <c r="C1763" s="40"/>
      <c r="E1763" s="80"/>
    </row>
    <row r="1764" spans="1:5" x14ac:dyDescent="0.25">
      <c r="A1764" s="39" t="str">
        <f>IF(F1764="","",VLOOKUP(F1764,Tabelle1[],3))</f>
        <v/>
      </c>
      <c r="B1764" s="40" t="str">
        <f>IF(F1764="","",VLOOKUP(F1764,Tabelle1[],2))</f>
        <v/>
      </c>
      <c r="C1764" s="40"/>
      <c r="E1764" s="80"/>
    </row>
    <row r="1765" spans="1:5" x14ac:dyDescent="0.25">
      <c r="A1765" s="39" t="str">
        <f>IF(F1765="","",VLOOKUP(F1765,Tabelle1[],3))</f>
        <v/>
      </c>
      <c r="B1765" s="40" t="str">
        <f>IF(F1765="","",VLOOKUP(F1765,Tabelle1[],2))</f>
        <v/>
      </c>
      <c r="C1765" s="40"/>
      <c r="E1765" s="80"/>
    </row>
    <row r="1766" spans="1:5" x14ac:dyDescent="0.25">
      <c r="A1766" s="39" t="str">
        <f>IF(F1766="","",VLOOKUP(F1766,Tabelle1[],3))</f>
        <v/>
      </c>
      <c r="B1766" s="40" t="str">
        <f>IF(F1766="","",VLOOKUP(F1766,Tabelle1[],2))</f>
        <v/>
      </c>
      <c r="C1766" s="40"/>
      <c r="E1766" s="80"/>
    </row>
    <row r="1767" spans="1:5" x14ac:dyDescent="0.25">
      <c r="A1767" s="39" t="str">
        <f>IF(F1767="","",VLOOKUP(F1767,Tabelle1[],3))</f>
        <v/>
      </c>
      <c r="B1767" s="40" t="str">
        <f>IF(F1767="","",VLOOKUP(F1767,Tabelle1[],2))</f>
        <v/>
      </c>
      <c r="C1767" s="40"/>
      <c r="E1767" s="80"/>
    </row>
    <row r="1768" spans="1:5" x14ac:dyDescent="0.25">
      <c r="A1768" s="39" t="str">
        <f>IF(F1768="","",VLOOKUP(F1768,Tabelle1[],3))</f>
        <v/>
      </c>
      <c r="B1768" s="40" t="str">
        <f>IF(F1768="","",VLOOKUP(F1768,Tabelle1[],2))</f>
        <v/>
      </c>
      <c r="C1768" s="40"/>
      <c r="E1768" s="80"/>
    </row>
    <row r="1769" spans="1:5" x14ac:dyDescent="0.25">
      <c r="A1769" s="39" t="str">
        <f>IF(F1769="","",VLOOKUP(F1769,Tabelle1[],3))</f>
        <v/>
      </c>
      <c r="B1769" s="40" t="str">
        <f>IF(F1769="","",VLOOKUP(F1769,Tabelle1[],2))</f>
        <v/>
      </c>
      <c r="C1769" s="40"/>
      <c r="E1769" s="80"/>
    </row>
    <row r="1770" spans="1:5" x14ac:dyDescent="0.25">
      <c r="A1770" s="39" t="str">
        <f>IF(F1770="","",VLOOKUP(F1770,Tabelle1[],3))</f>
        <v/>
      </c>
      <c r="B1770" s="40" t="str">
        <f>IF(F1770="","",VLOOKUP(F1770,Tabelle1[],2))</f>
        <v/>
      </c>
      <c r="C1770" s="40"/>
      <c r="E1770" s="80"/>
    </row>
    <row r="1771" spans="1:5" x14ac:dyDescent="0.25">
      <c r="A1771" s="39" t="str">
        <f>IF(F1771="","",VLOOKUP(F1771,Tabelle1[],3))</f>
        <v/>
      </c>
      <c r="B1771" s="40" t="str">
        <f>IF(F1771="","",VLOOKUP(F1771,Tabelle1[],2))</f>
        <v/>
      </c>
      <c r="C1771" s="40"/>
      <c r="E1771" s="80"/>
    </row>
    <row r="1772" spans="1:5" x14ac:dyDescent="0.25">
      <c r="A1772" s="39" t="str">
        <f>IF(F1772="","",VLOOKUP(F1772,Tabelle1[],3))</f>
        <v/>
      </c>
      <c r="B1772" s="40" t="str">
        <f>IF(F1772="","",VLOOKUP(F1772,Tabelle1[],2))</f>
        <v/>
      </c>
      <c r="C1772" s="40"/>
      <c r="E1772" s="80"/>
    </row>
    <row r="1773" spans="1:5" x14ac:dyDescent="0.25">
      <c r="A1773" s="39" t="str">
        <f>IF(F1773="","",VLOOKUP(F1773,Tabelle1[],3))</f>
        <v/>
      </c>
      <c r="B1773" s="40" t="str">
        <f>IF(F1773="","",VLOOKUP(F1773,Tabelle1[],2))</f>
        <v/>
      </c>
      <c r="C1773" s="40"/>
      <c r="E1773" s="80"/>
    </row>
    <row r="1774" spans="1:5" x14ac:dyDescent="0.25">
      <c r="A1774" s="39" t="str">
        <f>IF(F1774="","",VLOOKUP(F1774,Tabelle1[],3))</f>
        <v/>
      </c>
      <c r="B1774" s="40" t="str">
        <f>IF(F1774="","",VLOOKUP(F1774,Tabelle1[],2))</f>
        <v/>
      </c>
      <c r="C1774" s="40"/>
      <c r="E1774" s="80"/>
    </row>
    <row r="1775" spans="1:5" x14ac:dyDescent="0.25">
      <c r="A1775" s="39" t="str">
        <f>IF(F1775="","",VLOOKUP(F1775,Tabelle1[],3))</f>
        <v/>
      </c>
      <c r="B1775" s="40" t="str">
        <f>IF(F1775="","",VLOOKUP(F1775,Tabelle1[],2))</f>
        <v/>
      </c>
      <c r="C1775" s="40"/>
      <c r="E1775" s="80"/>
    </row>
    <row r="1776" spans="1:5" x14ac:dyDescent="0.25">
      <c r="A1776" s="39" t="str">
        <f>IF(F1776="","",VLOOKUP(F1776,Tabelle1[],3))</f>
        <v/>
      </c>
      <c r="B1776" s="40" t="str">
        <f>IF(F1776="","",VLOOKUP(F1776,Tabelle1[],2))</f>
        <v/>
      </c>
      <c r="C1776" s="40"/>
      <c r="E1776" s="80"/>
    </row>
    <row r="1777" spans="1:5" x14ac:dyDescent="0.25">
      <c r="A1777" s="39" t="str">
        <f>IF(F1777="","",VLOOKUP(F1777,Tabelle1[],3))</f>
        <v/>
      </c>
      <c r="B1777" s="40" t="str">
        <f>IF(F1777="","",VLOOKUP(F1777,Tabelle1[],2))</f>
        <v/>
      </c>
      <c r="C1777" s="40"/>
      <c r="E1777" s="80"/>
    </row>
    <row r="1778" spans="1:5" x14ac:dyDescent="0.25">
      <c r="A1778" s="39" t="str">
        <f>IF(F1778="","",VLOOKUP(F1778,Tabelle1[],3))</f>
        <v/>
      </c>
      <c r="B1778" s="40" t="str">
        <f>IF(F1778="","",VLOOKUP(F1778,Tabelle1[],2))</f>
        <v/>
      </c>
      <c r="C1778" s="40"/>
      <c r="E1778" s="80"/>
    </row>
    <row r="1779" spans="1:5" x14ac:dyDescent="0.25">
      <c r="A1779" s="39" t="str">
        <f>IF(F1779="","",VLOOKUP(F1779,Tabelle1[],3))</f>
        <v/>
      </c>
      <c r="B1779" s="40" t="str">
        <f>IF(F1779="","",VLOOKUP(F1779,Tabelle1[],2))</f>
        <v/>
      </c>
      <c r="C1779" s="40"/>
      <c r="E1779" s="80"/>
    </row>
    <row r="1780" spans="1:5" x14ac:dyDescent="0.25">
      <c r="A1780" s="39" t="str">
        <f>IF(F1780="","",VLOOKUP(F1780,Tabelle1[],3))</f>
        <v/>
      </c>
      <c r="B1780" s="40" t="str">
        <f>IF(F1780="","",VLOOKUP(F1780,Tabelle1[],2))</f>
        <v/>
      </c>
      <c r="C1780" s="40"/>
      <c r="E1780" s="80"/>
    </row>
    <row r="1781" spans="1:5" x14ac:dyDescent="0.25">
      <c r="A1781" s="39" t="str">
        <f>IF(F1781="","",VLOOKUP(F1781,Tabelle1[],3))</f>
        <v/>
      </c>
      <c r="B1781" s="40" t="str">
        <f>IF(F1781="","",VLOOKUP(F1781,Tabelle1[],2))</f>
        <v/>
      </c>
      <c r="C1781" s="40"/>
      <c r="E1781" s="80"/>
    </row>
    <row r="1782" spans="1:5" x14ac:dyDescent="0.25">
      <c r="A1782" s="39" t="str">
        <f>IF(F1782="","",VLOOKUP(F1782,Tabelle1[],3))</f>
        <v/>
      </c>
      <c r="B1782" s="40" t="str">
        <f>IF(F1782="","",VLOOKUP(F1782,Tabelle1[],2))</f>
        <v/>
      </c>
      <c r="C1782" s="40"/>
      <c r="E1782" s="80"/>
    </row>
    <row r="1783" spans="1:5" x14ac:dyDescent="0.25">
      <c r="A1783" s="39" t="str">
        <f>IF(F1783="","",VLOOKUP(F1783,Tabelle1[],3))</f>
        <v/>
      </c>
      <c r="B1783" s="40" t="str">
        <f>IF(F1783="","",VLOOKUP(F1783,Tabelle1[],2))</f>
        <v/>
      </c>
      <c r="C1783" s="40"/>
      <c r="E1783" s="80"/>
    </row>
    <row r="1784" spans="1:5" x14ac:dyDescent="0.25">
      <c r="A1784" s="39" t="str">
        <f>IF(F1784="","",VLOOKUP(F1784,Tabelle1[],3))</f>
        <v/>
      </c>
      <c r="B1784" s="40" t="str">
        <f>IF(F1784="","",VLOOKUP(F1784,Tabelle1[],2))</f>
        <v/>
      </c>
      <c r="C1784" s="40"/>
      <c r="E1784" s="80"/>
    </row>
    <row r="1785" spans="1:5" x14ac:dyDescent="0.25">
      <c r="A1785" s="39" t="str">
        <f>IF(F1785="","",VLOOKUP(F1785,Tabelle1[],3))</f>
        <v/>
      </c>
      <c r="B1785" s="40" t="str">
        <f>IF(F1785="","",VLOOKUP(F1785,Tabelle1[],2))</f>
        <v/>
      </c>
      <c r="C1785" s="40"/>
      <c r="E1785" s="80"/>
    </row>
    <row r="1786" spans="1:5" x14ac:dyDescent="0.25">
      <c r="A1786" s="39" t="str">
        <f>IF(F1786="","",VLOOKUP(F1786,Tabelle1[],3))</f>
        <v/>
      </c>
      <c r="B1786" s="40" t="str">
        <f>IF(F1786="","",VLOOKUP(F1786,Tabelle1[],2))</f>
        <v/>
      </c>
      <c r="C1786" s="40"/>
      <c r="E1786" s="80"/>
    </row>
    <row r="1787" spans="1:5" x14ac:dyDescent="0.25">
      <c r="A1787" s="39" t="str">
        <f>IF(F1787="","",VLOOKUP(F1787,Tabelle1[],3))</f>
        <v/>
      </c>
      <c r="B1787" s="40" t="str">
        <f>IF(F1787="","",VLOOKUP(F1787,Tabelle1[],2))</f>
        <v/>
      </c>
      <c r="C1787" s="40"/>
      <c r="E1787" s="80"/>
    </row>
    <row r="1788" spans="1:5" x14ac:dyDescent="0.25">
      <c r="A1788" s="39" t="str">
        <f>IF(F1788="","",VLOOKUP(F1788,Tabelle1[],3))</f>
        <v/>
      </c>
      <c r="B1788" s="40" t="str">
        <f>IF(F1788="","",VLOOKUP(F1788,Tabelle1[],2))</f>
        <v/>
      </c>
      <c r="C1788" s="40"/>
      <c r="E1788" s="80"/>
    </row>
    <row r="1789" spans="1:5" x14ac:dyDescent="0.25">
      <c r="A1789" s="39" t="str">
        <f>IF(F1789="","",VLOOKUP(F1789,Tabelle1[],3))</f>
        <v/>
      </c>
      <c r="B1789" s="40" t="str">
        <f>IF(F1789="","",VLOOKUP(F1789,Tabelle1[],2))</f>
        <v/>
      </c>
      <c r="C1789" s="40"/>
      <c r="E1789" s="80"/>
    </row>
    <row r="1790" spans="1:5" x14ac:dyDescent="0.25">
      <c r="A1790" s="39" t="str">
        <f>IF(F1790="","",VLOOKUP(F1790,Tabelle1[],3))</f>
        <v/>
      </c>
      <c r="B1790" s="40" t="str">
        <f>IF(F1790="","",VLOOKUP(F1790,Tabelle1[],2))</f>
        <v/>
      </c>
      <c r="C1790" s="40"/>
      <c r="E1790" s="80"/>
    </row>
    <row r="1791" spans="1:5" x14ac:dyDescent="0.25">
      <c r="A1791" s="39" t="str">
        <f>IF(F1791="","",VLOOKUP(F1791,Tabelle1[],3))</f>
        <v/>
      </c>
      <c r="B1791" s="40" t="str">
        <f>IF(F1791="","",VLOOKUP(F1791,Tabelle1[],2))</f>
        <v/>
      </c>
      <c r="C1791" s="40"/>
      <c r="E1791" s="80"/>
    </row>
    <row r="1792" spans="1:5" x14ac:dyDescent="0.25">
      <c r="A1792" s="39" t="str">
        <f>IF(F1792="","",VLOOKUP(F1792,Tabelle1[],3))</f>
        <v/>
      </c>
      <c r="B1792" s="40" t="str">
        <f>IF(F1792="","",VLOOKUP(F1792,Tabelle1[],2))</f>
        <v/>
      </c>
      <c r="C1792" s="40"/>
      <c r="E1792" s="80"/>
    </row>
    <row r="1793" spans="1:5" x14ac:dyDescent="0.25">
      <c r="A1793" s="39" t="str">
        <f>IF(F1793="","",VLOOKUP(F1793,Tabelle1[],3))</f>
        <v/>
      </c>
      <c r="B1793" s="40" t="str">
        <f>IF(F1793="","",VLOOKUP(F1793,Tabelle1[],2))</f>
        <v/>
      </c>
      <c r="C1793" s="40"/>
      <c r="E1793" s="80"/>
    </row>
    <row r="1794" spans="1:5" x14ac:dyDescent="0.25">
      <c r="A1794" s="39" t="str">
        <f>IF(F1794="","",VLOOKUP(F1794,Tabelle1[],3))</f>
        <v/>
      </c>
      <c r="B1794" s="40" t="str">
        <f>IF(F1794="","",VLOOKUP(F1794,Tabelle1[],2))</f>
        <v/>
      </c>
      <c r="C1794" s="40"/>
      <c r="E1794" s="80"/>
    </row>
    <row r="1795" spans="1:5" x14ac:dyDescent="0.25">
      <c r="A1795" s="39" t="str">
        <f>IF(F1795="","",VLOOKUP(F1795,Tabelle1[],3))</f>
        <v/>
      </c>
      <c r="B1795" s="40" t="str">
        <f>IF(F1795="","",VLOOKUP(F1795,Tabelle1[],2))</f>
        <v/>
      </c>
      <c r="C1795" s="40"/>
      <c r="E1795" s="80"/>
    </row>
    <row r="1796" spans="1:5" x14ac:dyDescent="0.25">
      <c r="A1796" s="39" t="str">
        <f>IF(F1796="","",VLOOKUP(F1796,Tabelle1[],3))</f>
        <v/>
      </c>
      <c r="B1796" s="40" t="str">
        <f>IF(F1796="","",VLOOKUP(F1796,Tabelle1[],2))</f>
        <v/>
      </c>
      <c r="C1796" s="40"/>
      <c r="E1796" s="80"/>
    </row>
    <row r="1797" spans="1:5" x14ac:dyDescent="0.25">
      <c r="A1797" s="39" t="str">
        <f>IF(F1797="","",VLOOKUP(F1797,Tabelle1[],3))</f>
        <v/>
      </c>
      <c r="B1797" s="40" t="str">
        <f>IF(F1797="","",VLOOKUP(F1797,Tabelle1[],2))</f>
        <v/>
      </c>
      <c r="C1797" s="40"/>
      <c r="E1797" s="80"/>
    </row>
    <row r="1798" spans="1:5" x14ac:dyDescent="0.25">
      <c r="A1798" s="39" t="str">
        <f>IF(F1798="","",VLOOKUP(F1798,Tabelle1[],3))</f>
        <v/>
      </c>
      <c r="B1798" s="40" t="str">
        <f>IF(F1798="","",VLOOKUP(F1798,Tabelle1[],2))</f>
        <v/>
      </c>
      <c r="C1798" s="40"/>
      <c r="E1798" s="80"/>
    </row>
    <row r="1799" spans="1:5" x14ac:dyDescent="0.25">
      <c r="A1799" s="39" t="str">
        <f>IF(F1799="","",VLOOKUP(F1799,Tabelle1[],3))</f>
        <v/>
      </c>
      <c r="B1799" s="40" t="str">
        <f>IF(F1799="","",VLOOKUP(F1799,Tabelle1[],2))</f>
        <v/>
      </c>
      <c r="C1799" s="40"/>
      <c r="E1799" s="80"/>
    </row>
    <row r="1800" spans="1:5" x14ac:dyDescent="0.25">
      <c r="A1800" s="39" t="str">
        <f>IF(F1800="","",VLOOKUP(F1800,Tabelle1[],3))</f>
        <v/>
      </c>
      <c r="B1800" s="40" t="str">
        <f>IF(F1800="","",VLOOKUP(F1800,Tabelle1[],2))</f>
        <v/>
      </c>
      <c r="C1800" s="40"/>
      <c r="E1800" s="80"/>
    </row>
    <row r="1801" spans="1:5" x14ac:dyDescent="0.25">
      <c r="A1801" s="39" t="str">
        <f>IF(F1801="","",VLOOKUP(F1801,Tabelle1[],3))</f>
        <v/>
      </c>
      <c r="B1801" s="40" t="str">
        <f>IF(F1801="","",VLOOKUP(F1801,Tabelle1[],2))</f>
        <v/>
      </c>
      <c r="C1801" s="40"/>
      <c r="E1801" s="80"/>
    </row>
    <row r="1802" spans="1:5" x14ac:dyDescent="0.25">
      <c r="A1802" s="39" t="str">
        <f>IF(F1802="","",VLOOKUP(F1802,Tabelle1[],3))</f>
        <v/>
      </c>
      <c r="B1802" s="40" t="str">
        <f>IF(F1802="","",VLOOKUP(F1802,Tabelle1[],2))</f>
        <v/>
      </c>
      <c r="C1802" s="40"/>
      <c r="E1802" s="80"/>
    </row>
    <row r="1803" spans="1:5" x14ac:dyDescent="0.25">
      <c r="A1803" s="39" t="str">
        <f>IF(F1803="","",VLOOKUP(F1803,Tabelle1[],3))</f>
        <v/>
      </c>
      <c r="B1803" s="40" t="str">
        <f>IF(F1803="","",VLOOKUP(F1803,Tabelle1[],2))</f>
        <v/>
      </c>
      <c r="C1803" s="40"/>
      <c r="E1803" s="80"/>
    </row>
    <row r="1804" spans="1:5" x14ac:dyDescent="0.25">
      <c r="A1804" s="39" t="str">
        <f>IF(F1804="","",VLOOKUP(F1804,Tabelle1[],3))</f>
        <v/>
      </c>
      <c r="B1804" s="40" t="str">
        <f>IF(F1804="","",VLOOKUP(F1804,Tabelle1[],2))</f>
        <v/>
      </c>
      <c r="C1804" s="40"/>
      <c r="E1804" s="80"/>
    </row>
    <row r="1805" spans="1:5" x14ac:dyDescent="0.25">
      <c r="A1805" s="39" t="str">
        <f>IF(F1805="","",VLOOKUP(F1805,Tabelle1[],3))</f>
        <v/>
      </c>
      <c r="B1805" s="40" t="str">
        <f>IF(F1805="","",VLOOKUP(F1805,Tabelle1[],2))</f>
        <v/>
      </c>
      <c r="C1805" s="40"/>
      <c r="E1805" s="80"/>
    </row>
    <row r="1806" spans="1:5" x14ac:dyDescent="0.25">
      <c r="A1806" s="39" t="str">
        <f>IF(F1806="","",VLOOKUP(F1806,Tabelle1[],3))</f>
        <v/>
      </c>
      <c r="B1806" s="40" t="str">
        <f>IF(F1806="","",VLOOKUP(F1806,Tabelle1[],2))</f>
        <v/>
      </c>
      <c r="C1806" s="40"/>
      <c r="E1806" s="80"/>
    </row>
    <row r="1807" spans="1:5" x14ac:dyDescent="0.25">
      <c r="A1807" s="39" t="str">
        <f>IF(F1807="","",VLOOKUP(F1807,Tabelle1[],3))</f>
        <v/>
      </c>
      <c r="B1807" s="40" t="str">
        <f>IF(F1807="","",VLOOKUP(F1807,Tabelle1[],2))</f>
        <v/>
      </c>
      <c r="C1807" s="40"/>
      <c r="E1807" s="80"/>
    </row>
    <row r="1808" spans="1:5" x14ac:dyDescent="0.25">
      <c r="A1808" s="39" t="str">
        <f>IF(F1808="","",VLOOKUP(F1808,Tabelle1[],3))</f>
        <v/>
      </c>
      <c r="B1808" s="40" t="str">
        <f>IF(F1808="","",VLOOKUP(F1808,Tabelle1[],2))</f>
        <v/>
      </c>
      <c r="C1808" s="40"/>
      <c r="E1808" s="80"/>
    </row>
    <row r="1809" spans="1:5" x14ac:dyDescent="0.25">
      <c r="A1809" s="39" t="str">
        <f>IF(F1809="","",VLOOKUP(F1809,Tabelle1[],3))</f>
        <v/>
      </c>
      <c r="B1809" s="40" t="str">
        <f>IF(F1809="","",VLOOKUP(F1809,Tabelle1[],2))</f>
        <v/>
      </c>
      <c r="C1809" s="40"/>
      <c r="E1809" s="80"/>
    </row>
    <row r="1810" spans="1:5" x14ac:dyDescent="0.25">
      <c r="A1810" s="39" t="str">
        <f>IF(F1810="","",VLOOKUP(F1810,Tabelle1[],3))</f>
        <v/>
      </c>
      <c r="B1810" s="40" t="str">
        <f>IF(F1810="","",VLOOKUP(F1810,Tabelle1[],2))</f>
        <v/>
      </c>
      <c r="C1810" s="40"/>
      <c r="E1810" s="80"/>
    </row>
    <row r="1811" spans="1:5" x14ac:dyDescent="0.25">
      <c r="A1811" s="39" t="str">
        <f>IF(F1811="","",VLOOKUP(F1811,Tabelle1[],3))</f>
        <v/>
      </c>
      <c r="B1811" s="40" t="str">
        <f>IF(F1811="","",VLOOKUP(F1811,Tabelle1[],2))</f>
        <v/>
      </c>
      <c r="C1811" s="40"/>
      <c r="E1811" s="80"/>
    </row>
    <row r="1812" spans="1:5" x14ac:dyDescent="0.25">
      <c r="A1812" s="39" t="str">
        <f>IF(F1812="","",VLOOKUP(F1812,Tabelle1[],3))</f>
        <v/>
      </c>
      <c r="B1812" s="40" t="str">
        <f>IF(F1812="","",VLOOKUP(F1812,Tabelle1[],2))</f>
        <v/>
      </c>
      <c r="C1812" s="40"/>
      <c r="E1812" s="80"/>
    </row>
    <row r="1813" spans="1:5" x14ac:dyDescent="0.25">
      <c r="A1813" s="39" t="str">
        <f>IF(F1813="","",VLOOKUP(F1813,Tabelle1[],3))</f>
        <v/>
      </c>
      <c r="B1813" s="40" t="str">
        <f>IF(F1813="","",VLOOKUP(F1813,Tabelle1[],2))</f>
        <v/>
      </c>
      <c r="C1813" s="40"/>
      <c r="E1813" s="80"/>
    </row>
    <row r="1814" spans="1:5" x14ac:dyDescent="0.25">
      <c r="A1814" s="39" t="str">
        <f>IF(F1814="","",VLOOKUP(F1814,Tabelle1[],3))</f>
        <v/>
      </c>
      <c r="B1814" s="40" t="str">
        <f>IF(F1814="","",VLOOKUP(F1814,Tabelle1[],2))</f>
        <v/>
      </c>
      <c r="C1814" s="40"/>
      <c r="E1814" s="80"/>
    </row>
    <row r="1815" spans="1:5" x14ac:dyDescent="0.25">
      <c r="A1815" s="39" t="str">
        <f>IF(F1815="","",VLOOKUP(F1815,Tabelle1[],3))</f>
        <v/>
      </c>
      <c r="B1815" s="40" t="str">
        <f>IF(F1815="","",VLOOKUP(F1815,Tabelle1[],2))</f>
        <v/>
      </c>
      <c r="C1815" s="40"/>
      <c r="E1815" s="80"/>
    </row>
    <row r="1816" spans="1:5" x14ac:dyDescent="0.25">
      <c r="A1816" s="39" t="str">
        <f>IF(F1816="","",VLOOKUP(F1816,Tabelle1[],3))</f>
        <v/>
      </c>
      <c r="B1816" s="40" t="str">
        <f>IF(F1816="","",VLOOKUP(F1816,Tabelle1[],2))</f>
        <v/>
      </c>
      <c r="C1816" s="40"/>
      <c r="E1816" s="80"/>
    </row>
    <row r="1817" spans="1:5" x14ac:dyDescent="0.25">
      <c r="A1817" s="39" t="str">
        <f>IF(F1817="","",VLOOKUP(F1817,Tabelle1[],3))</f>
        <v/>
      </c>
      <c r="B1817" s="40" t="str">
        <f>IF(F1817="","",VLOOKUP(F1817,Tabelle1[],2))</f>
        <v/>
      </c>
      <c r="C1817" s="40"/>
      <c r="E1817" s="80"/>
    </row>
    <row r="1818" spans="1:5" x14ac:dyDescent="0.25">
      <c r="A1818" s="39" t="str">
        <f>IF(F1818="","",VLOOKUP(F1818,Tabelle1[],3))</f>
        <v/>
      </c>
      <c r="B1818" s="40" t="str">
        <f>IF(F1818="","",VLOOKUP(F1818,Tabelle1[],2))</f>
        <v/>
      </c>
      <c r="C1818" s="40"/>
      <c r="E1818" s="80"/>
    </row>
    <row r="1819" spans="1:5" x14ac:dyDescent="0.25">
      <c r="A1819" s="39" t="str">
        <f>IF(F1819="","",VLOOKUP(F1819,Tabelle1[],3))</f>
        <v/>
      </c>
      <c r="B1819" s="40" t="str">
        <f>IF(F1819="","",VLOOKUP(F1819,Tabelle1[],2))</f>
        <v/>
      </c>
      <c r="C1819" s="40"/>
      <c r="E1819" s="80"/>
    </row>
    <row r="1820" spans="1:5" x14ac:dyDescent="0.25">
      <c r="A1820" s="39" t="str">
        <f>IF(F1820="","",VLOOKUP(F1820,Tabelle1[],3))</f>
        <v/>
      </c>
      <c r="B1820" s="40" t="str">
        <f>IF(F1820="","",VLOOKUP(F1820,Tabelle1[],2))</f>
        <v/>
      </c>
      <c r="C1820" s="40"/>
      <c r="E1820" s="80"/>
    </row>
    <row r="1821" spans="1:5" x14ac:dyDescent="0.25">
      <c r="A1821" s="39" t="str">
        <f>IF(F1821="","",VLOOKUP(F1821,Tabelle1[],3))</f>
        <v/>
      </c>
      <c r="B1821" s="40" t="str">
        <f>IF(F1821="","",VLOOKUP(F1821,Tabelle1[],2))</f>
        <v/>
      </c>
      <c r="C1821" s="40"/>
      <c r="E1821" s="80"/>
    </row>
    <row r="1822" spans="1:5" x14ac:dyDescent="0.25">
      <c r="A1822" s="39" t="str">
        <f>IF(F1822="","",VLOOKUP(F1822,Tabelle1[],3))</f>
        <v/>
      </c>
      <c r="B1822" s="40" t="str">
        <f>IF(F1822="","",VLOOKUP(F1822,Tabelle1[],2))</f>
        <v/>
      </c>
      <c r="C1822" s="40"/>
      <c r="E1822" s="80"/>
    </row>
    <row r="1823" spans="1:5" x14ac:dyDescent="0.25">
      <c r="A1823" s="39" t="str">
        <f>IF(F1823="","",VLOOKUP(F1823,Tabelle1[],3))</f>
        <v/>
      </c>
      <c r="B1823" s="40" t="str">
        <f>IF(F1823="","",VLOOKUP(F1823,Tabelle1[],2))</f>
        <v/>
      </c>
      <c r="C1823" s="40"/>
      <c r="E1823" s="80"/>
    </row>
    <row r="1824" spans="1:5" x14ac:dyDescent="0.25">
      <c r="A1824" s="39" t="str">
        <f>IF(F1824="","",VLOOKUP(F1824,Tabelle1[],3))</f>
        <v/>
      </c>
      <c r="B1824" s="40" t="str">
        <f>IF(F1824="","",VLOOKUP(F1824,Tabelle1[],2))</f>
        <v/>
      </c>
      <c r="C1824" s="40"/>
      <c r="E1824" s="80"/>
    </row>
    <row r="1825" spans="1:5" x14ac:dyDescent="0.25">
      <c r="A1825" s="39" t="str">
        <f>IF(F1825="","",VLOOKUP(F1825,Tabelle1[],3))</f>
        <v/>
      </c>
      <c r="B1825" s="40" t="str">
        <f>IF(F1825="","",VLOOKUP(F1825,Tabelle1[],2))</f>
        <v/>
      </c>
      <c r="C1825" s="40"/>
      <c r="E1825" s="80"/>
    </row>
    <row r="1826" spans="1:5" x14ac:dyDescent="0.25">
      <c r="A1826" s="39" t="str">
        <f>IF(F1826="","",VLOOKUP(F1826,Tabelle1[],3))</f>
        <v/>
      </c>
      <c r="B1826" s="40" t="str">
        <f>IF(F1826="","",VLOOKUP(F1826,Tabelle1[],2))</f>
        <v/>
      </c>
      <c r="C1826" s="40"/>
      <c r="E1826" s="80"/>
    </row>
    <row r="1827" spans="1:5" x14ac:dyDescent="0.25">
      <c r="A1827" s="39" t="str">
        <f>IF(F1827="","",VLOOKUP(F1827,Tabelle1[],3))</f>
        <v/>
      </c>
      <c r="B1827" s="40" t="str">
        <f>IF(F1827="","",VLOOKUP(F1827,Tabelle1[],2))</f>
        <v/>
      </c>
      <c r="C1827" s="40"/>
      <c r="E1827" s="80"/>
    </row>
    <row r="1828" spans="1:5" x14ac:dyDescent="0.25">
      <c r="A1828" s="39" t="str">
        <f>IF(F1828="","",VLOOKUP(F1828,Tabelle1[],3))</f>
        <v/>
      </c>
      <c r="B1828" s="40" t="str">
        <f>IF(F1828="","",VLOOKUP(F1828,Tabelle1[],2))</f>
        <v/>
      </c>
      <c r="C1828" s="40"/>
      <c r="E1828" s="80"/>
    </row>
    <row r="1829" spans="1:5" x14ac:dyDescent="0.25">
      <c r="A1829" s="39" t="str">
        <f>IF(F1829="","",VLOOKUP(F1829,Tabelle1[],3))</f>
        <v/>
      </c>
      <c r="B1829" s="40" t="str">
        <f>IF(F1829="","",VLOOKUP(F1829,Tabelle1[],2))</f>
        <v/>
      </c>
      <c r="C1829" s="40"/>
      <c r="E1829" s="80"/>
    </row>
    <row r="1830" spans="1:5" x14ac:dyDescent="0.25">
      <c r="A1830" s="39" t="str">
        <f>IF(F1830="","",VLOOKUP(F1830,Tabelle1[],3))</f>
        <v/>
      </c>
      <c r="B1830" s="40" t="str">
        <f>IF(F1830="","",VLOOKUP(F1830,Tabelle1[],2))</f>
        <v/>
      </c>
      <c r="C1830" s="40"/>
      <c r="E1830" s="80"/>
    </row>
    <row r="1831" spans="1:5" x14ac:dyDescent="0.25">
      <c r="A1831" s="39" t="str">
        <f>IF(F1831="","",VLOOKUP(F1831,Tabelle1[],3))</f>
        <v/>
      </c>
      <c r="B1831" s="40" t="str">
        <f>IF(F1831="","",VLOOKUP(F1831,Tabelle1[],2))</f>
        <v/>
      </c>
      <c r="C1831" s="40"/>
      <c r="E1831" s="80"/>
    </row>
    <row r="1832" spans="1:5" x14ac:dyDescent="0.25">
      <c r="A1832" s="39" t="str">
        <f>IF(F1832="","",VLOOKUP(F1832,Tabelle1[],3))</f>
        <v/>
      </c>
      <c r="B1832" s="40" t="str">
        <f>IF(F1832="","",VLOOKUP(F1832,Tabelle1[],2))</f>
        <v/>
      </c>
      <c r="C1832" s="40"/>
      <c r="E1832" s="80"/>
    </row>
    <row r="1833" spans="1:5" x14ac:dyDescent="0.25">
      <c r="A1833" s="39" t="str">
        <f>IF(F1833="","",VLOOKUP(F1833,Tabelle1[],3))</f>
        <v/>
      </c>
      <c r="B1833" s="40" t="str">
        <f>IF(F1833="","",VLOOKUP(F1833,Tabelle1[],2))</f>
        <v/>
      </c>
      <c r="C1833" s="40"/>
      <c r="E1833" s="80"/>
    </row>
    <row r="1834" spans="1:5" x14ac:dyDescent="0.25">
      <c r="A1834" s="39" t="str">
        <f>IF(F1834="","",VLOOKUP(F1834,Tabelle1[],3))</f>
        <v/>
      </c>
      <c r="B1834" s="40" t="str">
        <f>IF(F1834="","",VLOOKUP(F1834,Tabelle1[],2))</f>
        <v/>
      </c>
      <c r="C1834" s="40"/>
      <c r="E1834" s="80"/>
    </row>
    <row r="1835" spans="1:5" x14ac:dyDescent="0.25">
      <c r="A1835" s="39" t="str">
        <f>IF(F1835="","",VLOOKUP(F1835,Tabelle1[],3))</f>
        <v/>
      </c>
      <c r="B1835" s="40" t="str">
        <f>IF(F1835="","",VLOOKUP(F1835,Tabelle1[],2))</f>
        <v/>
      </c>
      <c r="C1835" s="40"/>
      <c r="E1835" s="80"/>
    </row>
    <row r="1836" spans="1:5" x14ac:dyDescent="0.25">
      <c r="A1836" s="39" t="str">
        <f>IF(F1836="","",VLOOKUP(F1836,Tabelle1[],3))</f>
        <v/>
      </c>
      <c r="B1836" s="40" t="str">
        <f>IF(F1836="","",VLOOKUP(F1836,Tabelle1[],2))</f>
        <v/>
      </c>
      <c r="C1836" s="40"/>
      <c r="E1836" s="80"/>
    </row>
    <row r="1837" spans="1:5" x14ac:dyDescent="0.25">
      <c r="A1837" s="39" t="str">
        <f>IF(F1837="","",VLOOKUP(F1837,Tabelle1[],3))</f>
        <v/>
      </c>
      <c r="B1837" s="40" t="str">
        <f>IF(F1837="","",VLOOKUP(F1837,Tabelle1[],2))</f>
        <v/>
      </c>
      <c r="C1837" s="40"/>
      <c r="E1837" s="80"/>
    </row>
    <row r="1838" spans="1:5" x14ac:dyDescent="0.25">
      <c r="A1838" s="39" t="str">
        <f>IF(F1838="","",VLOOKUP(F1838,Tabelle1[],3))</f>
        <v/>
      </c>
      <c r="B1838" s="40" t="str">
        <f>IF(F1838="","",VLOOKUP(F1838,Tabelle1[],2))</f>
        <v/>
      </c>
      <c r="C1838" s="40"/>
      <c r="E1838" s="80"/>
    </row>
    <row r="1839" spans="1:5" x14ac:dyDescent="0.25">
      <c r="A1839" s="39" t="str">
        <f>IF(F1839="","",VLOOKUP(F1839,Tabelle1[],3))</f>
        <v/>
      </c>
      <c r="B1839" s="40" t="str">
        <f>IF(F1839="","",VLOOKUP(F1839,Tabelle1[],2))</f>
        <v/>
      </c>
      <c r="C1839" s="40"/>
      <c r="E1839" s="80"/>
    </row>
    <row r="1840" spans="1:5" x14ac:dyDescent="0.25">
      <c r="A1840" s="39" t="str">
        <f>IF(F1840="","",VLOOKUP(F1840,Tabelle1[],3))</f>
        <v/>
      </c>
      <c r="B1840" s="40" t="str">
        <f>IF(F1840="","",VLOOKUP(F1840,Tabelle1[],2))</f>
        <v/>
      </c>
      <c r="C1840" s="40"/>
      <c r="E1840" s="80"/>
    </row>
    <row r="1841" spans="1:5" x14ac:dyDescent="0.25">
      <c r="A1841" s="39" t="str">
        <f>IF(F1841="","",VLOOKUP(F1841,Tabelle1[],3))</f>
        <v/>
      </c>
      <c r="B1841" s="40" t="str">
        <f>IF(F1841="","",VLOOKUP(F1841,Tabelle1[],2))</f>
        <v/>
      </c>
      <c r="C1841" s="40"/>
      <c r="E1841" s="80"/>
    </row>
    <row r="1842" spans="1:5" x14ac:dyDescent="0.25">
      <c r="A1842" s="39" t="str">
        <f>IF(F1842="","",VLOOKUP(F1842,Tabelle1[],3))</f>
        <v/>
      </c>
      <c r="B1842" s="40" t="str">
        <f>IF(F1842="","",VLOOKUP(F1842,Tabelle1[],2))</f>
        <v/>
      </c>
      <c r="C1842" s="40"/>
      <c r="E1842" s="80"/>
    </row>
    <row r="1843" spans="1:5" x14ac:dyDescent="0.25">
      <c r="A1843" s="39" t="str">
        <f>IF(F1843="","",VLOOKUP(F1843,Tabelle1[],3))</f>
        <v/>
      </c>
      <c r="B1843" s="40" t="str">
        <f>IF(F1843="","",VLOOKUP(F1843,Tabelle1[],2))</f>
        <v/>
      </c>
      <c r="C1843" s="40"/>
      <c r="E1843" s="80"/>
    </row>
    <row r="1844" spans="1:5" x14ac:dyDescent="0.25">
      <c r="A1844" s="39" t="str">
        <f>IF(F1844="","",VLOOKUP(F1844,Tabelle1[],3))</f>
        <v/>
      </c>
      <c r="B1844" s="40" t="str">
        <f>IF(F1844="","",VLOOKUP(F1844,Tabelle1[],2))</f>
        <v/>
      </c>
      <c r="C1844" s="40"/>
      <c r="E1844" s="80"/>
    </row>
    <row r="1845" spans="1:5" x14ac:dyDescent="0.25">
      <c r="A1845" s="39" t="str">
        <f>IF(F1845="","",VLOOKUP(F1845,Tabelle1[],3))</f>
        <v/>
      </c>
      <c r="B1845" s="40" t="str">
        <f>IF(F1845="","",VLOOKUP(F1845,Tabelle1[],2))</f>
        <v/>
      </c>
      <c r="C1845" s="40"/>
      <c r="E1845" s="80"/>
    </row>
    <row r="1846" spans="1:5" x14ac:dyDescent="0.25">
      <c r="A1846" s="39" t="str">
        <f>IF(F1846="","",VLOOKUP(F1846,Tabelle1[],3))</f>
        <v/>
      </c>
      <c r="B1846" s="40" t="str">
        <f>IF(F1846="","",VLOOKUP(F1846,Tabelle1[],2))</f>
        <v/>
      </c>
      <c r="C1846" s="40"/>
      <c r="E1846" s="80"/>
    </row>
    <row r="1847" spans="1:5" x14ac:dyDescent="0.25">
      <c r="A1847" s="39" t="str">
        <f>IF(F1847="","",VLOOKUP(F1847,Tabelle1[],3))</f>
        <v/>
      </c>
      <c r="B1847" s="40" t="str">
        <f>IF(F1847="","",VLOOKUP(F1847,Tabelle1[],2))</f>
        <v/>
      </c>
      <c r="C1847" s="40"/>
      <c r="E1847" s="80"/>
    </row>
    <row r="1848" spans="1:5" x14ac:dyDescent="0.25">
      <c r="A1848" s="39" t="str">
        <f>IF(F1848="","",VLOOKUP(F1848,Tabelle1[],3))</f>
        <v/>
      </c>
      <c r="B1848" s="40" t="str">
        <f>IF(F1848="","",VLOOKUP(F1848,Tabelle1[],2))</f>
        <v/>
      </c>
      <c r="C1848" s="40"/>
      <c r="E1848" s="80"/>
    </row>
    <row r="1849" spans="1:5" x14ac:dyDescent="0.25">
      <c r="A1849" s="39" t="str">
        <f>IF(F1849="","",VLOOKUP(F1849,Tabelle1[],3))</f>
        <v/>
      </c>
      <c r="B1849" s="40" t="str">
        <f>IF(F1849="","",VLOOKUP(F1849,Tabelle1[],2))</f>
        <v/>
      </c>
      <c r="C1849" s="40"/>
      <c r="E1849" s="80"/>
    </row>
    <row r="1850" spans="1:5" x14ac:dyDescent="0.25">
      <c r="A1850" s="39" t="str">
        <f>IF(F1850="","",VLOOKUP(F1850,Tabelle1[],3))</f>
        <v/>
      </c>
      <c r="B1850" s="40" t="str">
        <f>IF(F1850="","",VLOOKUP(F1850,Tabelle1[],2))</f>
        <v/>
      </c>
      <c r="C1850" s="40"/>
      <c r="E1850" s="80"/>
    </row>
    <row r="1851" spans="1:5" x14ac:dyDescent="0.25">
      <c r="A1851" s="39" t="str">
        <f>IF(F1851="","",VLOOKUP(F1851,Tabelle1[],3))</f>
        <v/>
      </c>
      <c r="B1851" s="40" t="str">
        <f>IF(F1851="","",VLOOKUP(F1851,Tabelle1[],2))</f>
        <v/>
      </c>
      <c r="C1851" s="40"/>
      <c r="E1851" s="80"/>
    </row>
    <row r="1852" spans="1:5" x14ac:dyDescent="0.25">
      <c r="A1852" s="39" t="str">
        <f>IF(F1852="","",VLOOKUP(F1852,Tabelle1[],3))</f>
        <v/>
      </c>
      <c r="B1852" s="40" t="str">
        <f>IF(F1852="","",VLOOKUP(F1852,Tabelle1[],2))</f>
        <v/>
      </c>
      <c r="C1852" s="40"/>
      <c r="E1852" s="80"/>
    </row>
    <row r="1853" spans="1:5" x14ac:dyDescent="0.25">
      <c r="A1853" s="39" t="str">
        <f>IF(F1853="","",VLOOKUP(F1853,Tabelle1[],3))</f>
        <v/>
      </c>
      <c r="B1853" s="40" t="str">
        <f>IF(F1853="","",VLOOKUP(F1853,Tabelle1[],2))</f>
        <v/>
      </c>
      <c r="C1853" s="40"/>
      <c r="E1853" s="80"/>
    </row>
    <row r="1854" spans="1:5" x14ac:dyDescent="0.25">
      <c r="A1854" s="39" t="str">
        <f>IF(F1854="","",VLOOKUP(F1854,Tabelle1[],3))</f>
        <v/>
      </c>
      <c r="B1854" s="40" t="str">
        <f>IF(F1854="","",VLOOKUP(F1854,Tabelle1[],2))</f>
        <v/>
      </c>
      <c r="C1854" s="40"/>
      <c r="E1854" s="80"/>
    </row>
    <row r="1855" spans="1:5" x14ac:dyDescent="0.25">
      <c r="A1855" s="39" t="str">
        <f>IF(F1855="","",VLOOKUP(F1855,Tabelle1[],3))</f>
        <v/>
      </c>
      <c r="B1855" s="40" t="str">
        <f>IF(F1855="","",VLOOKUP(F1855,Tabelle1[],2))</f>
        <v/>
      </c>
      <c r="C1855" s="40"/>
      <c r="E1855" s="80"/>
    </row>
    <row r="1856" spans="1:5" x14ac:dyDescent="0.25">
      <c r="A1856" s="39" t="str">
        <f>IF(F1856="","",VLOOKUP(F1856,Tabelle1[],3))</f>
        <v/>
      </c>
      <c r="B1856" s="40" t="str">
        <f>IF(F1856="","",VLOOKUP(F1856,Tabelle1[],2))</f>
        <v/>
      </c>
      <c r="C1856" s="40"/>
      <c r="E1856" s="80"/>
    </row>
    <row r="1857" spans="1:5" x14ac:dyDescent="0.25">
      <c r="A1857" s="39" t="str">
        <f>IF(F1857="","",VLOOKUP(F1857,Tabelle1[],3))</f>
        <v/>
      </c>
      <c r="B1857" s="40" t="str">
        <f>IF(F1857="","",VLOOKUP(F1857,Tabelle1[],2))</f>
        <v/>
      </c>
      <c r="C1857" s="40"/>
      <c r="E1857" s="80"/>
    </row>
    <row r="1858" spans="1:5" x14ac:dyDescent="0.25">
      <c r="A1858" s="39" t="str">
        <f>IF(F1858="","",VLOOKUP(F1858,Tabelle1[],3))</f>
        <v/>
      </c>
      <c r="B1858" s="40" t="str">
        <f>IF(F1858="","",VLOOKUP(F1858,Tabelle1[],2))</f>
        <v/>
      </c>
      <c r="C1858" s="40"/>
      <c r="E1858" s="80"/>
    </row>
    <row r="1859" spans="1:5" x14ac:dyDescent="0.25">
      <c r="A1859" s="39" t="str">
        <f>IF(F1859="","",VLOOKUP(F1859,Tabelle1[],3))</f>
        <v/>
      </c>
      <c r="B1859" s="40" t="str">
        <f>IF(F1859="","",VLOOKUP(F1859,Tabelle1[],2))</f>
        <v/>
      </c>
      <c r="C1859" s="40"/>
      <c r="E1859" s="80"/>
    </row>
    <row r="1860" spans="1:5" x14ac:dyDescent="0.25">
      <c r="A1860" s="39" t="str">
        <f>IF(F1860="","",VLOOKUP(F1860,Tabelle1[],3))</f>
        <v/>
      </c>
      <c r="B1860" s="40" t="str">
        <f>IF(F1860="","",VLOOKUP(F1860,Tabelle1[],2))</f>
        <v/>
      </c>
      <c r="C1860" s="40"/>
      <c r="E1860" s="80"/>
    </row>
    <row r="1861" spans="1:5" x14ac:dyDescent="0.25">
      <c r="A1861" s="39" t="str">
        <f>IF(F1861="","",VLOOKUP(F1861,Tabelle1[],3))</f>
        <v/>
      </c>
      <c r="B1861" s="40" t="str">
        <f>IF(F1861="","",VLOOKUP(F1861,Tabelle1[],2))</f>
        <v/>
      </c>
      <c r="C1861" s="40"/>
      <c r="E1861" s="80"/>
    </row>
    <row r="1862" spans="1:5" x14ac:dyDescent="0.25">
      <c r="A1862" s="39" t="str">
        <f>IF(F1862="","",VLOOKUP(F1862,Tabelle1[],3))</f>
        <v/>
      </c>
      <c r="B1862" s="40" t="str">
        <f>IF(F1862="","",VLOOKUP(F1862,Tabelle1[],2))</f>
        <v/>
      </c>
      <c r="C1862" s="40"/>
      <c r="E1862" s="80"/>
    </row>
    <row r="1863" spans="1:5" x14ac:dyDescent="0.25">
      <c r="A1863" s="39" t="str">
        <f>IF(F1863="","",VLOOKUP(F1863,Tabelle1[],3))</f>
        <v/>
      </c>
      <c r="B1863" s="40" t="str">
        <f>IF(F1863="","",VLOOKUP(F1863,Tabelle1[],2))</f>
        <v/>
      </c>
      <c r="C1863" s="40"/>
      <c r="E1863" s="80"/>
    </row>
    <row r="1864" spans="1:5" x14ac:dyDescent="0.25">
      <c r="A1864" s="39" t="str">
        <f>IF(F1864="","",VLOOKUP(F1864,Tabelle1[],3))</f>
        <v/>
      </c>
      <c r="B1864" s="40" t="str">
        <f>IF(F1864="","",VLOOKUP(F1864,Tabelle1[],2))</f>
        <v/>
      </c>
      <c r="C1864" s="40"/>
      <c r="E1864" s="80"/>
    </row>
    <row r="1865" spans="1:5" x14ac:dyDescent="0.25">
      <c r="A1865" s="39" t="str">
        <f>IF(F1865="","",VLOOKUP(F1865,Tabelle1[],3))</f>
        <v/>
      </c>
      <c r="B1865" s="40" t="str">
        <f>IF(F1865="","",VLOOKUP(F1865,Tabelle1[],2))</f>
        <v/>
      </c>
      <c r="C1865" s="40"/>
      <c r="E1865" s="80"/>
    </row>
    <row r="1866" spans="1:5" x14ac:dyDescent="0.25">
      <c r="A1866" s="39" t="str">
        <f>IF(F1866="","",VLOOKUP(F1866,Tabelle1[],3))</f>
        <v/>
      </c>
      <c r="B1866" s="40" t="str">
        <f>IF(F1866="","",VLOOKUP(F1866,Tabelle1[],2))</f>
        <v/>
      </c>
      <c r="C1866" s="40"/>
      <c r="E1866" s="80"/>
    </row>
    <row r="1867" spans="1:5" x14ac:dyDescent="0.25">
      <c r="A1867" s="39" t="str">
        <f>IF(F1867="","",VLOOKUP(F1867,Tabelle1[],3))</f>
        <v/>
      </c>
      <c r="B1867" s="40" t="str">
        <f>IF(F1867="","",VLOOKUP(F1867,Tabelle1[],2))</f>
        <v/>
      </c>
      <c r="C1867" s="40"/>
      <c r="E1867" s="80"/>
    </row>
    <row r="1868" spans="1:5" x14ac:dyDescent="0.25">
      <c r="A1868" s="39" t="str">
        <f>IF(F1868="","",VLOOKUP(F1868,Tabelle1[],3))</f>
        <v/>
      </c>
      <c r="B1868" s="40" t="str">
        <f>IF(F1868="","",VLOOKUP(F1868,Tabelle1[],2))</f>
        <v/>
      </c>
      <c r="C1868" s="40"/>
      <c r="E1868" s="80"/>
    </row>
    <row r="1869" spans="1:5" x14ac:dyDescent="0.25">
      <c r="A1869" s="39" t="str">
        <f>IF(F1869="","",VLOOKUP(F1869,Tabelle1[],3))</f>
        <v/>
      </c>
      <c r="B1869" s="40" t="str">
        <f>IF(F1869="","",VLOOKUP(F1869,Tabelle1[],2))</f>
        <v/>
      </c>
      <c r="C1869" s="40"/>
      <c r="E1869" s="80"/>
    </row>
    <row r="1870" spans="1:5" x14ac:dyDescent="0.25">
      <c r="A1870" s="39" t="str">
        <f>IF(F1870="","",VLOOKUP(F1870,Tabelle1[],3))</f>
        <v/>
      </c>
      <c r="B1870" s="40" t="str">
        <f>IF(F1870="","",VLOOKUP(F1870,Tabelle1[],2))</f>
        <v/>
      </c>
      <c r="C1870" s="40"/>
      <c r="E1870" s="80"/>
    </row>
    <row r="1871" spans="1:5" x14ac:dyDescent="0.25">
      <c r="A1871" s="39" t="str">
        <f>IF(F1871="","",VLOOKUP(F1871,Tabelle1[],3))</f>
        <v/>
      </c>
      <c r="B1871" s="40" t="str">
        <f>IF(F1871="","",VLOOKUP(F1871,Tabelle1[],2))</f>
        <v/>
      </c>
      <c r="C1871" s="40"/>
      <c r="E1871" s="80"/>
    </row>
    <row r="1872" spans="1:5" x14ac:dyDescent="0.25">
      <c r="A1872" s="39" t="str">
        <f>IF(F1872="","",VLOOKUP(F1872,Tabelle1[],3))</f>
        <v/>
      </c>
      <c r="B1872" s="40" t="str">
        <f>IF(F1872="","",VLOOKUP(F1872,Tabelle1[],2))</f>
        <v/>
      </c>
      <c r="C1872" s="40"/>
      <c r="E1872" s="80"/>
    </row>
    <row r="1873" spans="1:5" x14ac:dyDescent="0.25">
      <c r="A1873" s="39" t="str">
        <f>IF(F1873="","",VLOOKUP(F1873,Tabelle1[],3))</f>
        <v/>
      </c>
      <c r="B1873" s="40" t="str">
        <f>IF(F1873="","",VLOOKUP(F1873,Tabelle1[],2))</f>
        <v/>
      </c>
      <c r="C1873" s="40"/>
      <c r="E1873" s="80"/>
    </row>
    <row r="1874" spans="1:5" x14ac:dyDescent="0.25">
      <c r="A1874" s="39" t="str">
        <f>IF(F1874="","",VLOOKUP(F1874,Tabelle1[],3))</f>
        <v/>
      </c>
      <c r="B1874" s="40" t="str">
        <f>IF(F1874="","",VLOOKUP(F1874,Tabelle1[],2))</f>
        <v/>
      </c>
      <c r="C1874" s="40"/>
      <c r="E1874" s="80"/>
    </row>
    <row r="1875" spans="1:5" x14ac:dyDescent="0.25">
      <c r="A1875" s="39" t="str">
        <f>IF(F1875="","",VLOOKUP(F1875,Tabelle1[],3))</f>
        <v/>
      </c>
      <c r="B1875" s="40" t="str">
        <f>IF(F1875="","",VLOOKUP(F1875,Tabelle1[],2))</f>
        <v/>
      </c>
      <c r="C1875" s="40"/>
      <c r="E1875" s="80"/>
    </row>
    <row r="1876" spans="1:5" x14ac:dyDescent="0.25">
      <c r="A1876" s="39" t="str">
        <f>IF(F1876="","",VLOOKUP(F1876,Tabelle1[],3))</f>
        <v/>
      </c>
      <c r="B1876" s="40" t="str">
        <f>IF(F1876="","",VLOOKUP(F1876,Tabelle1[],2))</f>
        <v/>
      </c>
      <c r="C1876" s="40"/>
      <c r="E1876" s="80"/>
    </row>
    <row r="1877" spans="1:5" x14ac:dyDescent="0.25">
      <c r="A1877" s="39" t="str">
        <f>IF(F1877="","",VLOOKUP(F1877,Tabelle1[],3))</f>
        <v/>
      </c>
      <c r="B1877" s="40" t="str">
        <f>IF(F1877="","",VLOOKUP(F1877,Tabelle1[],2))</f>
        <v/>
      </c>
      <c r="C1877" s="40"/>
      <c r="E1877" s="80"/>
    </row>
    <row r="1878" spans="1:5" x14ac:dyDescent="0.25">
      <c r="A1878" s="39" t="str">
        <f>IF(F1878="","",VLOOKUP(F1878,Tabelle1[],3))</f>
        <v/>
      </c>
      <c r="B1878" s="40" t="str">
        <f>IF(F1878="","",VLOOKUP(F1878,Tabelle1[],2))</f>
        <v/>
      </c>
      <c r="C1878" s="40"/>
      <c r="E1878" s="80"/>
    </row>
    <row r="1879" spans="1:5" x14ac:dyDescent="0.25">
      <c r="A1879" s="39" t="str">
        <f>IF(F1879="","",VLOOKUP(F1879,Tabelle1[],3))</f>
        <v/>
      </c>
      <c r="B1879" s="40" t="str">
        <f>IF(F1879="","",VLOOKUP(F1879,Tabelle1[],2))</f>
        <v/>
      </c>
      <c r="C1879" s="40"/>
      <c r="E1879" s="80"/>
    </row>
    <row r="1880" spans="1:5" x14ac:dyDescent="0.25">
      <c r="A1880" s="39" t="str">
        <f>IF(F1880="","",VLOOKUP(F1880,Tabelle1[],3))</f>
        <v/>
      </c>
      <c r="B1880" s="40" t="str">
        <f>IF(F1880="","",VLOOKUP(F1880,Tabelle1[],2))</f>
        <v/>
      </c>
      <c r="C1880" s="40"/>
      <c r="E1880" s="80"/>
    </row>
    <row r="1881" spans="1:5" x14ac:dyDescent="0.25">
      <c r="A1881" s="39" t="str">
        <f>IF(F1881="","",VLOOKUP(F1881,Tabelle1[],3))</f>
        <v/>
      </c>
      <c r="B1881" s="40" t="str">
        <f>IF(F1881="","",VLOOKUP(F1881,Tabelle1[],2))</f>
        <v/>
      </c>
      <c r="C1881" s="40"/>
      <c r="E1881" s="80"/>
    </row>
    <row r="1882" spans="1:5" x14ac:dyDescent="0.25">
      <c r="A1882" s="39" t="str">
        <f>IF(F1882="","",VLOOKUP(F1882,Tabelle1[],3))</f>
        <v/>
      </c>
      <c r="B1882" s="40" t="str">
        <f>IF(F1882="","",VLOOKUP(F1882,Tabelle1[],2))</f>
        <v/>
      </c>
      <c r="C1882" s="40"/>
      <c r="E1882" s="80"/>
    </row>
    <row r="1883" spans="1:5" x14ac:dyDescent="0.25">
      <c r="A1883" s="39" t="str">
        <f>IF(F1883="","",VLOOKUP(F1883,Tabelle1[],3))</f>
        <v/>
      </c>
      <c r="B1883" s="40" t="str">
        <f>IF(F1883="","",VLOOKUP(F1883,Tabelle1[],2))</f>
        <v/>
      </c>
      <c r="C1883" s="40"/>
      <c r="E1883" s="80"/>
    </row>
    <row r="1884" spans="1:5" x14ac:dyDescent="0.25">
      <c r="A1884" s="39" t="str">
        <f>IF(F1884="","",VLOOKUP(F1884,Tabelle1[],3))</f>
        <v/>
      </c>
      <c r="B1884" s="40" t="str">
        <f>IF(F1884="","",VLOOKUP(F1884,Tabelle1[],2))</f>
        <v/>
      </c>
      <c r="C1884" s="40"/>
      <c r="E1884" s="80"/>
    </row>
    <row r="1885" spans="1:5" x14ac:dyDescent="0.25">
      <c r="A1885" s="39" t="str">
        <f>IF(F1885="","",VLOOKUP(F1885,Tabelle1[],3))</f>
        <v/>
      </c>
      <c r="B1885" s="40" t="str">
        <f>IF(F1885="","",VLOOKUP(F1885,Tabelle1[],2))</f>
        <v/>
      </c>
      <c r="C1885" s="40"/>
      <c r="E1885" s="80"/>
    </row>
    <row r="1886" spans="1:5" x14ac:dyDescent="0.25">
      <c r="A1886" s="39" t="str">
        <f>IF(F1886="","",VLOOKUP(F1886,Tabelle1[],3))</f>
        <v/>
      </c>
      <c r="B1886" s="40" t="str">
        <f>IF(F1886="","",VLOOKUP(F1886,Tabelle1[],2))</f>
        <v/>
      </c>
      <c r="C1886" s="40"/>
      <c r="E1886" s="80"/>
    </row>
    <row r="1887" spans="1:5" x14ac:dyDescent="0.25">
      <c r="A1887" s="39" t="str">
        <f>IF(F1887="","",VLOOKUP(F1887,Tabelle1[],3))</f>
        <v/>
      </c>
      <c r="B1887" s="40" t="str">
        <f>IF(F1887="","",VLOOKUP(F1887,Tabelle1[],2))</f>
        <v/>
      </c>
      <c r="C1887" s="40"/>
      <c r="E1887" s="80"/>
    </row>
    <row r="1888" spans="1:5" x14ac:dyDescent="0.25">
      <c r="A1888" s="39" t="str">
        <f>IF(F1888="","",VLOOKUP(F1888,Tabelle1[],3))</f>
        <v/>
      </c>
      <c r="B1888" s="40" t="str">
        <f>IF(F1888="","",VLOOKUP(F1888,Tabelle1[],2))</f>
        <v/>
      </c>
      <c r="C1888" s="40"/>
      <c r="E1888" s="80"/>
    </row>
    <row r="1889" spans="1:5" x14ac:dyDescent="0.25">
      <c r="A1889" s="39" t="str">
        <f>IF(F1889="","",VLOOKUP(F1889,Tabelle1[],3))</f>
        <v/>
      </c>
      <c r="B1889" s="40" t="str">
        <f>IF(F1889="","",VLOOKUP(F1889,Tabelle1[],2))</f>
        <v/>
      </c>
      <c r="C1889" s="40"/>
      <c r="E1889" s="80"/>
    </row>
    <row r="1890" spans="1:5" x14ac:dyDescent="0.25">
      <c r="A1890" s="39" t="str">
        <f>IF(F1890="","",VLOOKUP(F1890,Tabelle1[],3))</f>
        <v/>
      </c>
      <c r="B1890" s="40" t="str">
        <f>IF(F1890="","",VLOOKUP(F1890,Tabelle1[],2))</f>
        <v/>
      </c>
      <c r="C1890" s="40"/>
      <c r="E1890" s="80"/>
    </row>
    <row r="1891" spans="1:5" x14ac:dyDescent="0.25">
      <c r="A1891" s="39" t="str">
        <f>IF(F1891="","",VLOOKUP(F1891,Tabelle1[],3))</f>
        <v/>
      </c>
      <c r="B1891" s="40" t="str">
        <f>IF(F1891="","",VLOOKUP(F1891,Tabelle1[],2))</f>
        <v/>
      </c>
      <c r="C1891" s="40"/>
      <c r="E1891" s="80"/>
    </row>
    <row r="1892" spans="1:5" x14ac:dyDescent="0.25">
      <c r="A1892" s="39" t="str">
        <f>IF(F1892="","",VLOOKUP(F1892,Tabelle1[],3))</f>
        <v/>
      </c>
      <c r="B1892" s="40" t="str">
        <f>IF(F1892="","",VLOOKUP(F1892,Tabelle1[],2))</f>
        <v/>
      </c>
      <c r="C1892" s="40"/>
      <c r="E1892" s="80"/>
    </row>
    <row r="1893" spans="1:5" x14ac:dyDescent="0.25">
      <c r="A1893" s="39" t="str">
        <f>IF(F1893="","",VLOOKUP(F1893,Tabelle1[],3))</f>
        <v/>
      </c>
      <c r="B1893" s="40" t="str">
        <f>IF(F1893="","",VLOOKUP(F1893,Tabelle1[],2))</f>
        <v/>
      </c>
      <c r="C1893" s="40"/>
      <c r="E1893" s="80"/>
    </row>
    <row r="1894" spans="1:5" x14ac:dyDescent="0.25">
      <c r="A1894" s="39" t="str">
        <f>IF(F1894="","",VLOOKUP(F1894,Tabelle1[],3))</f>
        <v/>
      </c>
      <c r="B1894" s="40" t="str">
        <f>IF(F1894="","",VLOOKUP(F1894,Tabelle1[],2))</f>
        <v/>
      </c>
      <c r="C1894" s="40"/>
      <c r="E1894" s="80"/>
    </row>
    <row r="1895" spans="1:5" x14ac:dyDescent="0.25">
      <c r="A1895" s="39" t="str">
        <f>IF(F1895="","",VLOOKUP(F1895,Tabelle1[],3))</f>
        <v/>
      </c>
      <c r="B1895" s="40" t="str">
        <f>IF(F1895="","",VLOOKUP(F1895,Tabelle1[],2))</f>
        <v/>
      </c>
      <c r="C1895" s="40"/>
      <c r="E1895" s="80"/>
    </row>
    <row r="1896" spans="1:5" x14ac:dyDescent="0.25">
      <c r="A1896" s="39" t="str">
        <f>IF(F1896="","",VLOOKUP(F1896,Tabelle1[],3))</f>
        <v/>
      </c>
      <c r="B1896" s="40" t="str">
        <f>IF(F1896="","",VLOOKUP(F1896,Tabelle1[],2))</f>
        <v/>
      </c>
      <c r="C1896" s="40"/>
      <c r="E1896" s="80"/>
    </row>
    <row r="1897" spans="1:5" x14ac:dyDescent="0.25">
      <c r="A1897" s="39" t="str">
        <f>IF(F1897="","",VLOOKUP(F1897,Tabelle1[],3))</f>
        <v/>
      </c>
      <c r="B1897" s="40" t="str">
        <f>IF(F1897="","",VLOOKUP(F1897,Tabelle1[],2))</f>
        <v/>
      </c>
      <c r="C1897" s="40"/>
      <c r="E1897" s="80"/>
    </row>
    <row r="1898" spans="1:5" x14ac:dyDescent="0.25">
      <c r="A1898" s="39" t="str">
        <f>IF(F1898="","",VLOOKUP(F1898,Tabelle1[],3))</f>
        <v/>
      </c>
      <c r="B1898" s="40" t="str">
        <f>IF(F1898="","",VLOOKUP(F1898,Tabelle1[],2))</f>
        <v/>
      </c>
      <c r="C1898" s="40"/>
      <c r="E1898" s="80"/>
    </row>
    <row r="1899" spans="1:5" x14ac:dyDescent="0.25">
      <c r="A1899" s="39" t="str">
        <f>IF(F1899="","",VLOOKUP(F1899,Tabelle1[],3))</f>
        <v/>
      </c>
      <c r="B1899" s="40" t="str">
        <f>IF(F1899="","",VLOOKUP(F1899,Tabelle1[],2))</f>
        <v/>
      </c>
      <c r="C1899" s="40"/>
      <c r="E1899" s="80"/>
    </row>
    <row r="1900" spans="1:5" x14ac:dyDescent="0.25">
      <c r="A1900" s="39" t="str">
        <f>IF(F1900="","",VLOOKUP(F1900,Tabelle1[],3))</f>
        <v/>
      </c>
      <c r="B1900" s="40" t="str">
        <f>IF(F1900="","",VLOOKUP(F1900,Tabelle1[],2))</f>
        <v/>
      </c>
      <c r="C1900" s="40"/>
      <c r="E1900" s="80"/>
    </row>
    <row r="1901" spans="1:5" x14ac:dyDescent="0.25">
      <c r="A1901" s="39" t="str">
        <f>IF(F1901="","",VLOOKUP(F1901,Tabelle1[],3))</f>
        <v/>
      </c>
      <c r="B1901" s="40" t="str">
        <f>IF(F1901="","",VLOOKUP(F1901,Tabelle1[],2))</f>
        <v/>
      </c>
      <c r="C1901" s="40"/>
      <c r="E1901" s="80"/>
    </row>
    <row r="1902" spans="1:5" x14ac:dyDescent="0.25">
      <c r="A1902" s="39" t="str">
        <f>IF(F1902="","",VLOOKUP(F1902,Tabelle1[],3))</f>
        <v/>
      </c>
      <c r="B1902" s="40" t="str">
        <f>IF(F1902="","",VLOOKUP(F1902,Tabelle1[],2))</f>
        <v/>
      </c>
      <c r="C1902" s="40"/>
      <c r="E1902" s="80"/>
    </row>
    <row r="1903" spans="1:5" x14ac:dyDescent="0.25">
      <c r="A1903" s="39" t="str">
        <f>IF(F1903="","",VLOOKUP(F1903,Tabelle1[],3))</f>
        <v/>
      </c>
      <c r="B1903" s="40" t="str">
        <f>IF(F1903="","",VLOOKUP(F1903,Tabelle1[],2))</f>
        <v/>
      </c>
      <c r="C1903" s="40"/>
      <c r="E1903" s="80"/>
    </row>
    <row r="1904" spans="1:5" x14ac:dyDescent="0.25">
      <c r="A1904" s="39" t="str">
        <f>IF(F1904="","",VLOOKUP(F1904,Tabelle1[],3))</f>
        <v/>
      </c>
      <c r="B1904" s="40" t="str">
        <f>IF(F1904="","",VLOOKUP(F1904,Tabelle1[],2))</f>
        <v/>
      </c>
      <c r="C1904" s="40"/>
      <c r="E1904" s="80"/>
    </row>
    <row r="1905" spans="1:5" x14ac:dyDescent="0.25">
      <c r="A1905" s="39" t="str">
        <f>IF(F1905="","",VLOOKUP(F1905,Tabelle1[],3))</f>
        <v/>
      </c>
      <c r="B1905" s="40" t="str">
        <f>IF(F1905="","",VLOOKUP(F1905,Tabelle1[],2))</f>
        <v/>
      </c>
      <c r="C1905" s="40"/>
      <c r="E1905" s="80"/>
    </row>
    <row r="1906" spans="1:5" x14ac:dyDescent="0.25">
      <c r="A1906" s="39" t="str">
        <f>IF(F1906="","",VLOOKUP(F1906,Tabelle1[],3))</f>
        <v/>
      </c>
      <c r="B1906" s="40" t="str">
        <f>IF(F1906="","",VLOOKUP(F1906,Tabelle1[],2))</f>
        <v/>
      </c>
      <c r="C1906" s="40"/>
      <c r="E1906" s="80"/>
    </row>
    <row r="1907" spans="1:5" x14ac:dyDescent="0.25">
      <c r="A1907" s="39" t="str">
        <f>IF(F1907="","",VLOOKUP(F1907,Tabelle1[],3))</f>
        <v/>
      </c>
      <c r="B1907" s="40" t="str">
        <f>IF(F1907="","",VLOOKUP(F1907,Tabelle1[],2))</f>
        <v/>
      </c>
      <c r="C1907" s="40"/>
      <c r="E1907" s="80"/>
    </row>
    <row r="1908" spans="1:5" x14ac:dyDescent="0.25">
      <c r="A1908" s="39" t="str">
        <f>IF(F1908="","",VLOOKUP(F1908,Tabelle1[],3))</f>
        <v/>
      </c>
      <c r="B1908" s="40" t="str">
        <f>IF(F1908="","",VLOOKUP(F1908,Tabelle1[],2))</f>
        <v/>
      </c>
      <c r="C1908" s="40"/>
      <c r="E1908" s="80"/>
    </row>
    <row r="1909" spans="1:5" x14ac:dyDescent="0.25">
      <c r="A1909" s="39" t="str">
        <f>IF(F1909="","",VLOOKUP(F1909,Tabelle1[],3))</f>
        <v/>
      </c>
      <c r="B1909" s="40" t="str">
        <f>IF(F1909="","",VLOOKUP(F1909,Tabelle1[],2))</f>
        <v/>
      </c>
      <c r="C1909" s="40"/>
      <c r="E1909" s="80"/>
    </row>
    <row r="1910" spans="1:5" x14ac:dyDescent="0.25">
      <c r="A1910" s="39" t="str">
        <f>IF(F1910="","",VLOOKUP(F1910,Tabelle1[],3))</f>
        <v/>
      </c>
      <c r="B1910" s="40" t="str">
        <f>IF(F1910="","",VLOOKUP(F1910,Tabelle1[],2))</f>
        <v/>
      </c>
      <c r="C1910" s="40"/>
      <c r="E1910" s="80"/>
    </row>
    <row r="1911" spans="1:5" x14ac:dyDescent="0.25">
      <c r="A1911" s="39" t="str">
        <f>IF(F1911="","",VLOOKUP(F1911,Tabelle1[],3))</f>
        <v/>
      </c>
      <c r="B1911" s="40" t="str">
        <f>IF(F1911="","",VLOOKUP(F1911,Tabelle1[],2))</f>
        <v/>
      </c>
      <c r="C1911" s="40"/>
      <c r="E1911" s="80"/>
    </row>
    <row r="1912" spans="1:5" x14ac:dyDescent="0.25">
      <c r="A1912" s="39" t="str">
        <f>IF(F1912="","",VLOOKUP(F1912,Tabelle1[],3))</f>
        <v/>
      </c>
      <c r="B1912" s="40" t="str">
        <f>IF(F1912="","",VLOOKUP(F1912,Tabelle1[],2))</f>
        <v/>
      </c>
      <c r="C1912" s="40"/>
      <c r="E1912" s="80"/>
    </row>
    <row r="1913" spans="1:5" x14ac:dyDescent="0.25">
      <c r="A1913" s="39" t="str">
        <f>IF(F1913="","",VLOOKUP(F1913,Tabelle1[],3))</f>
        <v/>
      </c>
      <c r="B1913" s="40" t="str">
        <f>IF(F1913="","",VLOOKUP(F1913,Tabelle1[],2))</f>
        <v/>
      </c>
      <c r="C1913" s="40"/>
      <c r="E1913" s="80"/>
    </row>
    <row r="1914" spans="1:5" x14ac:dyDescent="0.25">
      <c r="A1914" s="39" t="str">
        <f>IF(F1914="","",VLOOKUP(F1914,Tabelle1[],3))</f>
        <v/>
      </c>
      <c r="B1914" s="40" t="str">
        <f>IF(F1914="","",VLOOKUP(F1914,Tabelle1[],2))</f>
        <v/>
      </c>
      <c r="C1914" s="40"/>
      <c r="E1914" s="80"/>
    </row>
    <row r="1915" spans="1:5" x14ac:dyDescent="0.25">
      <c r="A1915" s="39" t="str">
        <f>IF(F1915="","",VLOOKUP(F1915,Tabelle1[],3))</f>
        <v/>
      </c>
      <c r="B1915" s="40" t="str">
        <f>IF(F1915="","",VLOOKUP(F1915,Tabelle1[],2))</f>
        <v/>
      </c>
      <c r="C1915" s="40"/>
      <c r="E1915" s="80"/>
    </row>
    <row r="1916" spans="1:5" x14ac:dyDescent="0.25">
      <c r="A1916" s="39" t="str">
        <f>IF(F1916="","",VLOOKUP(F1916,Tabelle1[],3))</f>
        <v/>
      </c>
      <c r="B1916" s="40" t="str">
        <f>IF(F1916="","",VLOOKUP(F1916,Tabelle1[],2))</f>
        <v/>
      </c>
      <c r="C1916" s="40"/>
      <c r="E1916" s="80"/>
    </row>
    <row r="1917" spans="1:5" x14ac:dyDescent="0.25">
      <c r="A1917" s="39" t="str">
        <f>IF(F1917="","",VLOOKUP(F1917,Tabelle1[],3))</f>
        <v/>
      </c>
      <c r="B1917" s="40" t="str">
        <f>IF(F1917="","",VLOOKUP(F1917,Tabelle1[],2))</f>
        <v/>
      </c>
      <c r="C1917" s="40"/>
      <c r="E1917" s="80"/>
    </row>
    <row r="1918" spans="1:5" x14ac:dyDescent="0.25">
      <c r="A1918" s="39" t="str">
        <f>IF(F1918="","",VLOOKUP(F1918,Tabelle1[],3))</f>
        <v/>
      </c>
      <c r="B1918" s="40" t="str">
        <f>IF(F1918="","",VLOOKUP(F1918,Tabelle1[],2))</f>
        <v/>
      </c>
      <c r="C1918" s="40"/>
      <c r="E1918" s="80"/>
    </row>
    <row r="1919" spans="1:5" x14ac:dyDescent="0.25">
      <c r="A1919" s="39" t="str">
        <f>IF(F1919="","",VLOOKUP(F1919,Tabelle1[],3))</f>
        <v/>
      </c>
      <c r="B1919" s="40" t="str">
        <f>IF(F1919="","",VLOOKUP(F1919,Tabelle1[],2))</f>
        <v/>
      </c>
      <c r="C1919" s="40"/>
      <c r="E1919" s="80"/>
    </row>
    <row r="1920" spans="1:5" x14ac:dyDescent="0.25">
      <c r="A1920" s="39" t="str">
        <f>IF(F1920="","",VLOOKUP(F1920,Tabelle1[],3))</f>
        <v/>
      </c>
      <c r="B1920" s="40" t="str">
        <f>IF(F1920="","",VLOOKUP(F1920,Tabelle1[],2))</f>
        <v/>
      </c>
      <c r="C1920" s="40"/>
      <c r="E1920" s="80"/>
    </row>
    <row r="1921" spans="1:5" x14ac:dyDescent="0.25">
      <c r="A1921" s="39" t="str">
        <f>IF(F1921="","",VLOOKUP(F1921,Tabelle1[],3))</f>
        <v/>
      </c>
      <c r="B1921" s="40" t="str">
        <f>IF(F1921="","",VLOOKUP(F1921,Tabelle1[],2))</f>
        <v/>
      </c>
      <c r="C1921" s="40"/>
      <c r="E1921" s="80"/>
    </row>
    <row r="1922" spans="1:5" x14ac:dyDescent="0.25">
      <c r="A1922" s="39" t="str">
        <f>IF(F1922="","",VLOOKUP(F1922,Tabelle1[],3))</f>
        <v/>
      </c>
      <c r="B1922" s="40" t="str">
        <f>IF(F1922="","",VLOOKUP(F1922,Tabelle1[],2))</f>
        <v/>
      </c>
      <c r="C1922" s="40"/>
      <c r="E1922" s="80"/>
    </row>
    <row r="1923" spans="1:5" x14ac:dyDescent="0.25">
      <c r="A1923" s="39" t="str">
        <f>IF(F1923="","",VLOOKUP(F1923,Tabelle1[],3))</f>
        <v/>
      </c>
      <c r="B1923" s="40" t="str">
        <f>IF(F1923="","",VLOOKUP(F1923,Tabelle1[],2))</f>
        <v/>
      </c>
      <c r="C1923" s="40"/>
      <c r="E1923" s="80"/>
    </row>
    <row r="1924" spans="1:5" x14ac:dyDescent="0.25">
      <c r="A1924" s="39" t="str">
        <f>IF(F1924="","",VLOOKUP(F1924,Tabelle1[],3))</f>
        <v/>
      </c>
      <c r="B1924" s="40" t="str">
        <f>IF(F1924="","",VLOOKUP(F1924,Tabelle1[],2))</f>
        <v/>
      </c>
      <c r="C1924" s="40"/>
      <c r="E1924" s="80"/>
    </row>
    <row r="1925" spans="1:5" x14ac:dyDescent="0.25">
      <c r="A1925" s="39" t="str">
        <f>IF(F1925="","",VLOOKUP(F1925,Tabelle1[],3))</f>
        <v/>
      </c>
      <c r="B1925" s="40" t="str">
        <f>IF(F1925="","",VLOOKUP(F1925,Tabelle1[],2))</f>
        <v/>
      </c>
      <c r="C1925" s="40"/>
      <c r="E1925" s="80"/>
    </row>
    <row r="1926" spans="1:5" x14ac:dyDescent="0.25">
      <c r="A1926" s="39" t="str">
        <f>IF(F1926="","",VLOOKUP(F1926,Tabelle1[],3))</f>
        <v/>
      </c>
      <c r="B1926" s="40" t="str">
        <f>IF(F1926="","",VLOOKUP(F1926,Tabelle1[],2))</f>
        <v/>
      </c>
      <c r="C1926" s="40"/>
      <c r="E1926" s="80"/>
    </row>
    <row r="1927" spans="1:5" x14ac:dyDescent="0.25">
      <c r="A1927" s="39" t="str">
        <f>IF(F1927="","",VLOOKUP(F1927,Tabelle1[],3))</f>
        <v/>
      </c>
      <c r="B1927" s="40" t="str">
        <f>IF(F1927="","",VLOOKUP(F1927,Tabelle1[],2))</f>
        <v/>
      </c>
      <c r="C1927" s="40"/>
      <c r="E1927" s="80"/>
    </row>
    <row r="1928" spans="1:5" x14ac:dyDescent="0.25">
      <c r="A1928" s="39" t="str">
        <f>IF(F1928="","",VLOOKUP(F1928,Tabelle1[],3))</f>
        <v/>
      </c>
      <c r="B1928" s="40" t="str">
        <f>IF(F1928="","",VLOOKUP(F1928,Tabelle1[],2))</f>
        <v/>
      </c>
      <c r="C1928" s="40"/>
      <c r="E1928" s="80"/>
    </row>
    <row r="1929" spans="1:5" x14ac:dyDescent="0.25">
      <c r="A1929" s="39" t="str">
        <f>IF(F1929="","",VLOOKUP(F1929,Tabelle1[],3))</f>
        <v/>
      </c>
      <c r="B1929" s="40" t="str">
        <f>IF(F1929="","",VLOOKUP(F1929,Tabelle1[],2))</f>
        <v/>
      </c>
      <c r="C1929" s="40"/>
      <c r="E1929" s="80"/>
    </row>
    <row r="1930" spans="1:5" x14ac:dyDescent="0.25">
      <c r="A1930" s="39" t="str">
        <f>IF(F1930="","",VLOOKUP(F1930,Tabelle1[],3))</f>
        <v/>
      </c>
      <c r="B1930" s="40" t="str">
        <f>IF(F1930="","",VLOOKUP(F1930,Tabelle1[],2))</f>
        <v/>
      </c>
      <c r="C1930" s="40"/>
      <c r="E1930" s="80"/>
    </row>
    <row r="1931" spans="1:5" x14ac:dyDescent="0.25">
      <c r="A1931" s="39" t="str">
        <f>IF(F1931="","",VLOOKUP(F1931,Tabelle1[],3))</f>
        <v/>
      </c>
      <c r="B1931" s="40" t="str">
        <f>IF(F1931="","",VLOOKUP(F1931,Tabelle1[],2))</f>
        <v/>
      </c>
      <c r="C1931" s="40"/>
      <c r="E1931" s="80"/>
    </row>
    <row r="1932" spans="1:5" x14ac:dyDescent="0.25">
      <c r="A1932" s="39" t="str">
        <f>IF(F1932="","",VLOOKUP(F1932,Tabelle1[],3))</f>
        <v/>
      </c>
      <c r="B1932" s="40" t="str">
        <f>IF(F1932="","",VLOOKUP(F1932,Tabelle1[],2))</f>
        <v/>
      </c>
      <c r="C1932" s="40"/>
      <c r="E1932" s="80"/>
    </row>
    <row r="1933" spans="1:5" x14ac:dyDescent="0.25">
      <c r="A1933" s="39" t="str">
        <f>IF(F1933="","",VLOOKUP(F1933,Tabelle1[],3))</f>
        <v/>
      </c>
      <c r="B1933" s="40" t="str">
        <f>IF(F1933="","",VLOOKUP(F1933,Tabelle1[],2))</f>
        <v/>
      </c>
      <c r="C1933" s="40"/>
      <c r="E1933" s="80"/>
    </row>
    <row r="1934" spans="1:5" x14ac:dyDescent="0.25">
      <c r="A1934" s="39" t="str">
        <f>IF(F1934="","",VLOOKUP(F1934,Tabelle1[],3))</f>
        <v/>
      </c>
      <c r="B1934" s="40" t="str">
        <f>IF(F1934="","",VLOOKUP(F1934,Tabelle1[],2))</f>
        <v/>
      </c>
      <c r="C1934" s="40"/>
      <c r="E1934" s="80"/>
    </row>
    <row r="1935" spans="1:5" x14ac:dyDescent="0.25">
      <c r="A1935" s="39" t="str">
        <f>IF(F1935="","",VLOOKUP(F1935,Tabelle1[],3))</f>
        <v/>
      </c>
      <c r="B1935" s="40" t="str">
        <f>IF(F1935="","",VLOOKUP(F1935,Tabelle1[],2))</f>
        <v/>
      </c>
      <c r="C1935" s="40"/>
      <c r="E1935" s="80"/>
    </row>
    <row r="1936" spans="1:5" x14ac:dyDescent="0.25">
      <c r="A1936" s="39" t="str">
        <f>IF(F1936="","",VLOOKUP(F1936,Tabelle1[],3))</f>
        <v/>
      </c>
      <c r="B1936" s="40" t="str">
        <f>IF(F1936="","",VLOOKUP(F1936,Tabelle1[],2))</f>
        <v/>
      </c>
      <c r="C1936" s="40"/>
      <c r="E1936" s="80"/>
    </row>
    <row r="1937" spans="1:5" x14ac:dyDescent="0.25">
      <c r="A1937" s="39" t="str">
        <f>IF(F1937="","",VLOOKUP(F1937,Tabelle1[],3))</f>
        <v/>
      </c>
      <c r="B1937" s="40" t="str">
        <f>IF(F1937="","",VLOOKUP(F1937,Tabelle1[],2))</f>
        <v/>
      </c>
      <c r="C1937" s="40"/>
      <c r="E1937" s="80"/>
    </row>
    <row r="1938" spans="1:5" x14ac:dyDescent="0.25">
      <c r="A1938" s="39" t="str">
        <f>IF(F1938="","",VLOOKUP(F1938,Tabelle1[],3))</f>
        <v/>
      </c>
      <c r="B1938" s="40" t="str">
        <f>IF(F1938="","",VLOOKUP(F1938,Tabelle1[],2))</f>
        <v/>
      </c>
      <c r="C1938" s="40"/>
      <c r="E1938" s="80"/>
    </row>
    <row r="1939" spans="1:5" x14ac:dyDescent="0.25">
      <c r="A1939" s="39" t="str">
        <f>IF(F1939="","",VLOOKUP(F1939,Tabelle1[],3))</f>
        <v/>
      </c>
      <c r="B1939" s="40" t="str">
        <f>IF(F1939="","",VLOOKUP(F1939,Tabelle1[],2))</f>
        <v/>
      </c>
      <c r="C1939" s="40"/>
      <c r="E1939" s="80"/>
    </row>
    <row r="1940" spans="1:5" x14ac:dyDescent="0.25">
      <c r="A1940" s="39" t="str">
        <f>IF(F1940="","",VLOOKUP(F1940,Tabelle1[],3))</f>
        <v/>
      </c>
      <c r="B1940" s="40" t="str">
        <f>IF(F1940="","",VLOOKUP(F1940,Tabelle1[],2))</f>
        <v/>
      </c>
      <c r="C1940" s="40"/>
      <c r="E1940" s="80"/>
    </row>
    <row r="1941" spans="1:5" x14ac:dyDescent="0.25">
      <c r="A1941" s="39" t="str">
        <f>IF(F1941="","",VLOOKUP(F1941,Tabelle1[],3))</f>
        <v/>
      </c>
      <c r="B1941" s="40" t="str">
        <f>IF(F1941="","",VLOOKUP(F1941,Tabelle1[],2))</f>
        <v/>
      </c>
      <c r="C1941" s="40"/>
      <c r="E1941" s="80"/>
    </row>
    <row r="1942" spans="1:5" x14ac:dyDescent="0.25">
      <c r="A1942" s="39" t="str">
        <f>IF(F1942="","",VLOOKUP(F1942,Tabelle1[],3))</f>
        <v/>
      </c>
      <c r="B1942" s="40" t="str">
        <f>IF(F1942="","",VLOOKUP(F1942,Tabelle1[],2))</f>
        <v/>
      </c>
      <c r="C1942" s="40"/>
      <c r="E1942" s="80"/>
    </row>
    <row r="1943" spans="1:5" x14ac:dyDescent="0.25">
      <c r="A1943" s="39" t="str">
        <f>IF(F1943="","",VLOOKUP(F1943,Tabelle1[],3))</f>
        <v/>
      </c>
      <c r="B1943" s="40" t="str">
        <f>IF(F1943="","",VLOOKUP(F1943,Tabelle1[],2))</f>
        <v/>
      </c>
      <c r="C1943" s="40"/>
      <c r="E1943" s="80"/>
    </row>
    <row r="1944" spans="1:5" x14ac:dyDescent="0.25">
      <c r="B1944" s="40" t="str">
        <f>IF(F1944="","",VLOOKUP(F1944,Tabelle1[],2))</f>
        <v/>
      </c>
      <c r="C1944" s="40"/>
      <c r="E1944" s="80"/>
    </row>
    <row r="1945" spans="1:5" x14ac:dyDescent="0.25">
      <c r="B1945" s="40" t="str">
        <f>IF(F1945="","",VLOOKUP(F1945,Tabelle1[],2))</f>
        <v/>
      </c>
      <c r="C1945" s="40"/>
      <c r="E1945" s="80"/>
    </row>
    <row r="1946" spans="1:5" x14ac:dyDescent="0.25">
      <c r="B1946" s="40" t="str">
        <f>IF(F1946="","",VLOOKUP(F1946,Tabelle1[],2))</f>
        <v/>
      </c>
      <c r="C1946" s="40"/>
      <c r="E1946" s="80"/>
    </row>
    <row r="1947" spans="1:5" x14ac:dyDescent="0.25">
      <c r="B1947" s="40" t="str">
        <f>IF(F1947="","",VLOOKUP(F1947,Tabelle1[],2))</f>
        <v/>
      </c>
      <c r="C1947" s="40"/>
      <c r="E1947" s="80"/>
    </row>
    <row r="1948" spans="1:5" x14ac:dyDescent="0.25">
      <c r="B1948" s="40" t="str">
        <f>IF(F1948="","",VLOOKUP(F1948,Tabelle1[],2))</f>
        <v/>
      </c>
      <c r="C1948" s="40"/>
      <c r="E1948" s="80"/>
    </row>
    <row r="1949" spans="1:5" x14ac:dyDescent="0.25">
      <c r="B1949" s="40" t="str">
        <f>IF(F1949="","",VLOOKUP(F1949,Tabelle1[],2))</f>
        <v/>
      </c>
      <c r="C1949" s="40"/>
      <c r="E1949" s="80"/>
    </row>
    <row r="1950" spans="1:5" x14ac:dyDescent="0.25">
      <c r="B1950" s="40" t="str">
        <f>IF(F1950="","",VLOOKUP(F1950,Tabelle1[],2))</f>
        <v/>
      </c>
      <c r="C1950" s="40"/>
      <c r="E1950" s="80"/>
    </row>
    <row r="1951" spans="1:5" x14ac:dyDescent="0.25">
      <c r="B1951" s="40" t="str">
        <f>IF(F1951="","",VLOOKUP(F1951,Tabelle1[],2))</f>
        <v/>
      </c>
      <c r="C1951" s="40"/>
      <c r="E1951" s="80"/>
    </row>
    <row r="1952" spans="1:5" x14ac:dyDescent="0.25">
      <c r="B1952" s="40" t="str">
        <f>IF(F1952="","",VLOOKUP(F1952,Tabelle1[],2))</f>
        <v/>
      </c>
      <c r="C1952" s="40"/>
      <c r="E1952" s="80"/>
    </row>
    <row r="1953" spans="2:5" x14ac:dyDescent="0.25">
      <c r="B1953" s="40" t="str">
        <f>IF(F1953="","",VLOOKUP(F1953,Tabelle1[],2))</f>
        <v/>
      </c>
      <c r="C1953" s="40"/>
      <c r="E1953" s="80"/>
    </row>
    <row r="1954" spans="2:5" x14ac:dyDescent="0.25">
      <c r="B1954" s="40" t="str">
        <f>IF(F1954="","",VLOOKUP(F1954,Tabelle1[],2))</f>
        <v/>
      </c>
      <c r="C1954" s="40"/>
      <c r="E1954" s="80"/>
    </row>
    <row r="1955" spans="2:5" x14ac:dyDescent="0.25">
      <c r="B1955" s="40" t="str">
        <f>IF(F1955="","",VLOOKUP(F1955,Tabelle1[],2))</f>
        <v/>
      </c>
      <c r="C1955" s="40"/>
      <c r="E1955" s="80"/>
    </row>
    <row r="1956" spans="2:5" x14ac:dyDescent="0.25">
      <c r="B1956" s="40" t="str">
        <f>IF(F1956="","",VLOOKUP(F1956,Tabelle1[],2))</f>
        <v/>
      </c>
      <c r="C1956" s="40"/>
      <c r="E1956" s="80"/>
    </row>
    <row r="1957" spans="2:5" x14ac:dyDescent="0.25">
      <c r="B1957" s="40" t="str">
        <f>IF(F1957="","",VLOOKUP(F1957,Tabelle1[],2))</f>
        <v/>
      </c>
      <c r="C1957" s="40"/>
      <c r="E1957" s="80"/>
    </row>
    <row r="1958" spans="2:5" x14ac:dyDescent="0.25">
      <c r="B1958" s="40" t="str">
        <f>IF(F1958="","",VLOOKUP(F1958,Tabelle1[],2))</f>
        <v/>
      </c>
      <c r="C1958" s="40"/>
      <c r="E1958" s="80"/>
    </row>
    <row r="1959" spans="2:5" x14ac:dyDescent="0.25">
      <c r="B1959" s="40" t="str">
        <f>IF(F1959="","",VLOOKUP(F1959,Tabelle1[],2))</f>
        <v/>
      </c>
      <c r="C1959" s="40"/>
      <c r="E1959" s="80"/>
    </row>
    <row r="1960" spans="2:5" x14ac:dyDescent="0.25">
      <c r="B1960" s="40" t="str">
        <f>IF(F1960="","",VLOOKUP(F1960,Tabelle1[],2))</f>
        <v/>
      </c>
      <c r="C1960" s="40"/>
      <c r="E1960" s="80"/>
    </row>
    <row r="1961" spans="2:5" x14ac:dyDescent="0.25">
      <c r="B1961" s="40" t="str">
        <f>IF(F1961="","",VLOOKUP(F1961,Tabelle1[],2))</f>
        <v/>
      </c>
      <c r="C1961" s="40"/>
      <c r="E1961" s="80"/>
    </row>
    <row r="1962" spans="2:5" x14ac:dyDescent="0.25">
      <c r="B1962" s="40" t="str">
        <f>IF(F1962="","",VLOOKUP(F1962,Tabelle1[],2))</f>
        <v/>
      </c>
      <c r="C1962" s="40"/>
      <c r="E1962" s="80"/>
    </row>
    <row r="1963" spans="2:5" x14ac:dyDescent="0.25">
      <c r="B1963" s="40" t="str">
        <f>IF(F1963="","",VLOOKUP(F1963,Tabelle1[],2))</f>
        <v/>
      </c>
      <c r="C1963" s="40"/>
      <c r="E1963" s="80"/>
    </row>
    <row r="1964" spans="2:5" x14ac:dyDescent="0.25">
      <c r="B1964" s="40" t="str">
        <f>IF(F1964="","",VLOOKUP(F1964,Tabelle1[],2))</f>
        <v/>
      </c>
      <c r="C1964" s="40"/>
      <c r="E1964" s="80"/>
    </row>
    <row r="1965" spans="2:5" x14ac:dyDescent="0.25">
      <c r="B1965" s="40" t="str">
        <f>IF(F1965="","",VLOOKUP(F1965,Tabelle1[],2))</f>
        <v/>
      </c>
      <c r="C1965" s="40"/>
      <c r="E1965" s="80"/>
    </row>
    <row r="1966" spans="2:5" x14ac:dyDescent="0.25">
      <c r="B1966" s="40" t="str">
        <f>IF(F1966="","",VLOOKUP(F1966,Tabelle1[],2))</f>
        <v/>
      </c>
      <c r="C1966" s="40"/>
      <c r="E1966" s="80"/>
    </row>
    <row r="1967" spans="2:5" x14ac:dyDescent="0.25">
      <c r="B1967" s="40" t="str">
        <f>IF(F1967="","",VLOOKUP(F1967,Tabelle1[],2))</f>
        <v/>
      </c>
      <c r="C1967" s="40"/>
      <c r="E1967" s="80"/>
    </row>
    <row r="1968" spans="2:5" x14ac:dyDescent="0.25">
      <c r="B1968" s="40" t="str">
        <f>IF(F1968="","",VLOOKUP(F1968,Tabelle1[],2))</f>
        <v/>
      </c>
      <c r="C1968" s="40"/>
      <c r="E1968" s="80"/>
    </row>
    <row r="1969" spans="2:5" x14ac:dyDescent="0.25">
      <c r="B1969" s="40" t="str">
        <f>IF(F1969="","",VLOOKUP(F1969,Tabelle1[],2))</f>
        <v/>
      </c>
      <c r="C1969" s="40"/>
      <c r="E1969" s="80"/>
    </row>
    <row r="1970" spans="2:5" x14ac:dyDescent="0.25">
      <c r="B1970" s="40" t="str">
        <f>IF(F1970="","",VLOOKUP(F1970,Tabelle1[],2))</f>
        <v/>
      </c>
      <c r="C1970" s="40"/>
      <c r="E1970" s="80"/>
    </row>
    <row r="1971" spans="2:5" x14ac:dyDescent="0.25">
      <c r="B1971" s="40" t="str">
        <f>IF(F1971="","",VLOOKUP(F1971,Tabelle1[],2))</f>
        <v/>
      </c>
      <c r="C1971" s="40"/>
      <c r="E1971" s="80"/>
    </row>
    <row r="1972" spans="2:5" x14ac:dyDescent="0.25">
      <c r="B1972" s="40" t="str">
        <f>IF(F1972="","",VLOOKUP(F1972,Tabelle1[],2))</f>
        <v/>
      </c>
      <c r="C1972" s="40"/>
      <c r="E1972" s="80"/>
    </row>
    <row r="1973" spans="2:5" x14ac:dyDescent="0.25">
      <c r="B1973" s="40" t="str">
        <f>IF(F1973="","",VLOOKUP(F1973,Tabelle1[],2))</f>
        <v/>
      </c>
      <c r="C1973" s="40"/>
      <c r="E1973" s="80"/>
    </row>
    <row r="1974" spans="2:5" x14ac:dyDescent="0.25">
      <c r="B1974" s="40" t="str">
        <f>IF(F1974="","",VLOOKUP(F1974,Tabelle1[],2))</f>
        <v/>
      </c>
      <c r="C1974" s="40"/>
      <c r="E1974" s="80"/>
    </row>
    <row r="1975" spans="2:5" x14ac:dyDescent="0.25">
      <c r="B1975" s="40" t="str">
        <f>IF(F1975="","",VLOOKUP(F1975,Tabelle1[],2))</f>
        <v/>
      </c>
      <c r="C1975" s="40"/>
      <c r="E1975" s="80"/>
    </row>
    <row r="1976" spans="2:5" x14ac:dyDescent="0.25">
      <c r="B1976" s="40" t="str">
        <f>IF(F1976="","",VLOOKUP(F1976,Tabelle1[],2))</f>
        <v/>
      </c>
      <c r="C1976" s="40"/>
      <c r="E1976" s="80"/>
    </row>
    <row r="1977" spans="2:5" x14ac:dyDescent="0.25">
      <c r="B1977" s="40" t="str">
        <f>IF(F1977="","",VLOOKUP(F1977,Tabelle1[],2))</f>
        <v/>
      </c>
      <c r="C1977" s="40"/>
      <c r="E1977" s="80"/>
    </row>
    <row r="1978" spans="2:5" x14ac:dyDescent="0.25">
      <c r="B1978" s="40" t="str">
        <f>IF(F1978="","",VLOOKUP(F1978,Tabelle1[],2))</f>
        <v/>
      </c>
      <c r="C1978" s="40"/>
      <c r="E1978" s="80"/>
    </row>
    <row r="1979" spans="2:5" x14ac:dyDescent="0.25">
      <c r="B1979" s="40" t="str">
        <f>IF(F1979="","",VLOOKUP(F1979,Tabelle1[],2))</f>
        <v/>
      </c>
      <c r="C1979" s="40"/>
      <c r="E1979" s="80"/>
    </row>
    <row r="1980" spans="2:5" x14ac:dyDescent="0.25">
      <c r="B1980" s="40" t="str">
        <f>IF(F1980="","",VLOOKUP(F1980,Tabelle1[],2))</f>
        <v/>
      </c>
      <c r="C1980" s="40"/>
      <c r="E1980" s="80"/>
    </row>
    <row r="1981" spans="2:5" x14ac:dyDescent="0.25">
      <c r="B1981" s="40" t="str">
        <f>IF(F1981="","",VLOOKUP(F1981,Tabelle1[],2))</f>
        <v/>
      </c>
      <c r="C1981" s="40"/>
      <c r="E1981" s="80"/>
    </row>
    <row r="1982" spans="2:5" x14ac:dyDescent="0.25">
      <c r="B1982" s="40" t="str">
        <f>IF(F1982="","",VLOOKUP(F1982,Tabelle1[],2))</f>
        <v/>
      </c>
      <c r="C1982" s="40"/>
      <c r="E1982" s="80"/>
    </row>
    <row r="1983" spans="2:5" x14ac:dyDescent="0.25">
      <c r="B1983" s="40" t="str">
        <f>IF(F1983="","",VLOOKUP(F1983,Tabelle1[],2))</f>
        <v/>
      </c>
      <c r="C1983" s="40"/>
      <c r="E1983" s="80"/>
    </row>
    <row r="1984" spans="2:5" x14ac:dyDescent="0.25">
      <c r="B1984" s="40" t="str">
        <f>IF(F1984="","",VLOOKUP(F1984,Tabelle1[],2))</f>
        <v/>
      </c>
      <c r="C1984" s="40"/>
      <c r="E1984" s="80"/>
    </row>
    <row r="1985" spans="2:5" x14ac:dyDescent="0.25">
      <c r="B1985" s="40" t="str">
        <f>IF(F1985="","",VLOOKUP(F1985,Tabelle1[],2))</f>
        <v/>
      </c>
      <c r="C1985" s="40"/>
      <c r="E1985" s="80"/>
    </row>
    <row r="1986" spans="2:5" x14ac:dyDescent="0.25">
      <c r="B1986" s="40" t="str">
        <f>IF(F1986="","",VLOOKUP(F1986,Tabelle1[],2))</f>
        <v/>
      </c>
      <c r="C1986" s="40"/>
      <c r="E1986" s="80"/>
    </row>
    <row r="1987" spans="2:5" x14ac:dyDescent="0.25">
      <c r="B1987" s="40" t="str">
        <f>IF(F1987="","",VLOOKUP(F1987,Tabelle1[],2))</f>
        <v/>
      </c>
      <c r="C1987" s="40"/>
      <c r="E1987" s="80"/>
    </row>
    <row r="1988" spans="2:5" x14ac:dyDescent="0.25">
      <c r="B1988" s="40" t="str">
        <f>IF(F1988="","",VLOOKUP(F1988,Tabelle1[],2))</f>
        <v/>
      </c>
      <c r="C1988" s="40"/>
      <c r="E1988" s="80"/>
    </row>
    <row r="1989" spans="2:5" x14ac:dyDescent="0.25">
      <c r="B1989" s="40" t="str">
        <f>IF(F1989="","",VLOOKUP(F1989,Tabelle1[],2))</f>
        <v/>
      </c>
      <c r="C1989" s="40"/>
      <c r="E1989" s="80"/>
    </row>
    <row r="1990" spans="2:5" x14ac:dyDescent="0.25">
      <c r="B1990" s="40" t="str">
        <f>IF(F1990="","",VLOOKUP(F1990,Tabelle1[],2))</f>
        <v/>
      </c>
      <c r="C1990" s="40"/>
      <c r="E1990" s="80"/>
    </row>
    <row r="1991" spans="2:5" x14ac:dyDescent="0.25">
      <c r="B1991" s="40" t="str">
        <f>IF(F1991="","",VLOOKUP(F1991,Tabelle1[],2))</f>
        <v/>
      </c>
      <c r="C1991" s="40"/>
      <c r="E1991" s="80"/>
    </row>
    <row r="1992" spans="2:5" x14ac:dyDescent="0.25">
      <c r="B1992" s="40" t="str">
        <f>IF(F1992="","",VLOOKUP(F1992,Tabelle1[],2))</f>
        <v/>
      </c>
      <c r="C1992" s="40"/>
      <c r="E1992" s="80"/>
    </row>
    <row r="1993" spans="2:5" x14ac:dyDescent="0.25">
      <c r="B1993" s="40" t="str">
        <f>IF(F1993="","",VLOOKUP(F1993,Tabelle1[],2))</f>
        <v/>
      </c>
      <c r="C1993" s="40"/>
      <c r="E1993" s="80"/>
    </row>
    <row r="1994" spans="2:5" x14ac:dyDescent="0.25">
      <c r="B1994" s="40" t="str">
        <f>IF(F1994="","",VLOOKUP(F1994,Tabelle1[],2))</f>
        <v/>
      </c>
      <c r="C1994" s="40"/>
      <c r="E1994" s="80"/>
    </row>
    <row r="1995" spans="2:5" x14ac:dyDescent="0.25">
      <c r="B1995" s="40" t="str">
        <f>IF(F1995="","",VLOOKUP(F1995,Tabelle1[],2))</f>
        <v/>
      </c>
      <c r="C1995" s="40"/>
      <c r="E1995" s="80"/>
    </row>
    <row r="1996" spans="2:5" x14ac:dyDescent="0.25">
      <c r="B1996" s="40" t="str">
        <f>IF(F1996="","",VLOOKUP(F1996,Tabelle1[],2))</f>
        <v/>
      </c>
      <c r="C1996" s="40"/>
      <c r="E1996" s="80"/>
    </row>
    <row r="1997" spans="2:5" x14ac:dyDescent="0.25">
      <c r="B1997" s="40" t="str">
        <f>IF(F1997="","",VLOOKUP(F1997,Tabelle1[],2))</f>
        <v/>
      </c>
      <c r="C1997" s="40"/>
      <c r="E1997" s="80"/>
    </row>
    <row r="1998" spans="2:5" x14ac:dyDescent="0.25">
      <c r="B1998" s="40" t="str">
        <f>IF(F1998="","",VLOOKUP(F1998,Tabelle1[],2))</f>
        <v/>
      </c>
      <c r="C1998" s="40"/>
      <c r="E1998" s="80"/>
    </row>
    <row r="1999" spans="2:5" x14ac:dyDescent="0.25">
      <c r="B1999" s="40" t="str">
        <f>IF(F1999="","",VLOOKUP(F1999,Tabelle1[],2))</f>
        <v/>
      </c>
      <c r="C1999" s="40"/>
      <c r="E1999" s="80"/>
    </row>
    <row r="2000" spans="2:5" x14ac:dyDescent="0.25">
      <c r="B2000" s="40" t="str">
        <f>IF(F2000="","",VLOOKUP(F2000,Tabelle1[],2))</f>
        <v/>
      </c>
      <c r="C2000" s="40"/>
      <c r="E2000" s="80"/>
    </row>
    <row r="2001" spans="2:5" x14ac:dyDescent="0.25">
      <c r="B2001" s="40" t="str">
        <f>IF(F2001="","",VLOOKUP(F2001,Tabelle1[],2))</f>
        <v/>
      </c>
      <c r="C2001" s="40"/>
      <c r="E2001" s="80"/>
    </row>
    <row r="2002" spans="2:5" x14ac:dyDescent="0.25">
      <c r="B2002" s="40" t="str">
        <f>IF(F2002="","",VLOOKUP(F2002,Tabelle1[],2))</f>
        <v/>
      </c>
      <c r="C2002" s="40"/>
      <c r="E2002" s="80"/>
    </row>
    <row r="2003" spans="2:5" x14ac:dyDescent="0.25">
      <c r="B2003" s="40" t="str">
        <f>IF(F2003="","",VLOOKUP(F2003,Tabelle1[],2))</f>
        <v/>
      </c>
      <c r="C2003" s="40"/>
      <c r="E2003" s="80"/>
    </row>
    <row r="2004" spans="2:5" x14ac:dyDescent="0.25">
      <c r="B2004" s="40" t="str">
        <f>IF(F2004="","",VLOOKUP(F2004,Tabelle1[],2))</f>
        <v/>
      </c>
      <c r="C2004" s="40"/>
      <c r="E2004" s="80"/>
    </row>
    <row r="2005" spans="2:5" x14ac:dyDescent="0.25">
      <c r="B2005" s="40" t="str">
        <f>IF(F2005="","",VLOOKUP(F2005,Tabelle1[],2))</f>
        <v/>
      </c>
      <c r="C2005" s="40"/>
      <c r="E2005" s="80"/>
    </row>
    <row r="2006" spans="2:5" x14ac:dyDescent="0.25">
      <c r="B2006" s="40" t="str">
        <f>IF(F2006="","",VLOOKUP(F2006,Tabelle1[],2))</f>
        <v/>
      </c>
      <c r="C2006" s="40"/>
      <c r="E2006" s="80"/>
    </row>
    <row r="2007" spans="2:5" x14ac:dyDescent="0.25">
      <c r="B2007" s="40" t="str">
        <f>IF(F2007="","",VLOOKUP(F2007,Tabelle1[],2))</f>
        <v/>
      </c>
      <c r="C2007" s="40"/>
      <c r="E2007" s="80"/>
    </row>
    <row r="2008" spans="2:5" x14ac:dyDescent="0.25">
      <c r="B2008" s="40" t="str">
        <f>IF(F2008="","",VLOOKUP(F2008,Tabelle1[],2))</f>
        <v/>
      </c>
      <c r="C2008" s="40"/>
      <c r="E2008" s="80"/>
    </row>
    <row r="2009" spans="2:5" x14ac:dyDescent="0.25">
      <c r="B2009" s="40" t="str">
        <f>IF(F2009="","",VLOOKUP(F2009,Tabelle1[],2))</f>
        <v/>
      </c>
      <c r="C2009" s="40"/>
      <c r="E2009" s="80"/>
    </row>
    <row r="2010" spans="2:5" x14ac:dyDescent="0.25">
      <c r="B2010" s="40" t="str">
        <f>IF(F2010="","",VLOOKUP(F2010,Tabelle1[],2))</f>
        <v/>
      </c>
      <c r="C2010" s="40"/>
      <c r="E2010" s="80"/>
    </row>
    <row r="2011" spans="2:5" x14ac:dyDescent="0.25">
      <c r="B2011" s="40" t="str">
        <f>IF(F2011="","",VLOOKUP(F2011,Tabelle1[],2))</f>
        <v/>
      </c>
      <c r="C2011" s="40"/>
      <c r="E2011" s="80"/>
    </row>
    <row r="2012" spans="2:5" x14ac:dyDescent="0.25">
      <c r="B2012" s="40" t="str">
        <f>IF(F2012="","",VLOOKUP(F2012,Tabelle1[],2))</f>
        <v/>
      </c>
      <c r="C2012" s="40"/>
      <c r="E2012" s="80"/>
    </row>
    <row r="2013" spans="2:5" x14ac:dyDescent="0.25">
      <c r="B2013" s="40" t="str">
        <f>IF(F2013="","",VLOOKUP(F2013,Tabelle1[],2))</f>
        <v/>
      </c>
      <c r="C2013" s="40"/>
      <c r="E2013" s="80"/>
    </row>
    <row r="2014" spans="2:5" x14ac:dyDescent="0.25">
      <c r="B2014" s="40" t="str">
        <f>IF(F2014="","",VLOOKUP(F2014,Tabelle1[],2))</f>
        <v/>
      </c>
      <c r="C2014" s="40"/>
      <c r="E2014" s="80"/>
    </row>
    <row r="2015" spans="2:5" x14ac:dyDescent="0.25">
      <c r="B2015" s="40" t="str">
        <f>IF(F2015="","",VLOOKUP(F2015,Tabelle1[],2))</f>
        <v/>
      </c>
      <c r="C2015" s="40"/>
      <c r="E2015" s="80"/>
    </row>
    <row r="2016" spans="2:5" x14ac:dyDescent="0.25">
      <c r="B2016" s="40" t="str">
        <f>IF(F2016="","",VLOOKUP(F2016,Tabelle1[],2))</f>
        <v/>
      </c>
      <c r="C2016" s="40"/>
      <c r="E2016" s="80"/>
    </row>
    <row r="2017" spans="2:5" x14ac:dyDescent="0.25">
      <c r="B2017" s="40" t="str">
        <f>IF(F2017="","",VLOOKUP(F2017,Tabelle1[],2))</f>
        <v/>
      </c>
      <c r="C2017" s="40"/>
      <c r="E2017" s="80"/>
    </row>
    <row r="2018" spans="2:5" x14ac:dyDescent="0.25">
      <c r="B2018" s="40" t="str">
        <f>IF(F2018="","",VLOOKUP(F2018,Tabelle1[],2))</f>
        <v/>
      </c>
      <c r="C2018" s="40"/>
      <c r="E2018" s="80"/>
    </row>
    <row r="2019" spans="2:5" x14ac:dyDescent="0.25">
      <c r="B2019" s="40" t="str">
        <f>IF(F2019="","",VLOOKUP(F2019,Tabelle1[],2))</f>
        <v/>
      </c>
      <c r="C2019" s="40"/>
      <c r="E2019" s="80"/>
    </row>
    <row r="2020" spans="2:5" x14ac:dyDescent="0.25">
      <c r="B2020" s="40" t="str">
        <f>IF(F2020="","",VLOOKUP(F2020,Tabelle1[],2))</f>
        <v/>
      </c>
      <c r="C2020" s="40"/>
      <c r="E2020" s="80"/>
    </row>
    <row r="2021" spans="2:5" x14ac:dyDescent="0.25">
      <c r="B2021" s="40" t="str">
        <f>IF(F2021="","",VLOOKUP(F2021,Tabelle1[],2))</f>
        <v/>
      </c>
      <c r="C2021" s="40"/>
      <c r="E2021" s="80"/>
    </row>
    <row r="2022" spans="2:5" x14ac:dyDescent="0.25">
      <c r="B2022" s="40" t="str">
        <f>IF(F2022="","",VLOOKUP(F2022,Tabelle1[],2))</f>
        <v/>
      </c>
      <c r="C2022" s="40"/>
      <c r="E2022" s="80"/>
    </row>
    <row r="2023" spans="2:5" x14ac:dyDescent="0.25">
      <c r="B2023" s="40" t="str">
        <f>IF(F2023="","",VLOOKUP(F2023,Tabelle1[],2))</f>
        <v/>
      </c>
      <c r="C2023" s="40"/>
      <c r="E2023" s="80"/>
    </row>
    <row r="2024" spans="2:5" x14ac:dyDescent="0.25">
      <c r="B2024" s="40" t="str">
        <f>IF(F2024="","",VLOOKUP(F2024,Tabelle1[],2))</f>
        <v/>
      </c>
      <c r="C2024" s="40"/>
      <c r="E2024" s="80"/>
    </row>
    <row r="2025" spans="2:5" x14ac:dyDescent="0.25">
      <c r="B2025" s="40" t="str">
        <f>IF(F2025="","",VLOOKUP(F2025,Tabelle1[],2))</f>
        <v/>
      </c>
      <c r="C2025" s="40"/>
      <c r="E2025" s="80"/>
    </row>
    <row r="2026" spans="2:5" x14ac:dyDescent="0.25">
      <c r="B2026" s="40" t="str">
        <f>IF(F2026="","",VLOOKUP(F2026,Tabelle1[],2))</f>
        <v/>
      </c>
      <c r="C2026" s="40"/>
      <c r="E2026" s="80"/>
    </row>
    <row r="2027" spans="2:5" x14ac:dyDescent="0.25">
      <c r="B2027" s="40" t="str">
        <f>IF(F2027="","",VLOOKUP(F2027,Tabelle1[],2))</f>
        <v/>
      </c>
      <c r="C2027" s="40"/>
      <c r="E2027" s="80"/>
    </row>
    <row r="2028" spans="2:5" x14ac:dyDescent="0.25">
      <c r="B2028" s="40" t="str">
        <f>IF(F2028="","",VLOOKUP(F2028,Tabelle1[],2))</f>
        <v/>
      </c>
      <c r="C2028" s="40"/>
      <c r="E2028" s="80"/>
    </row>
    <row r="2029" spans="2:5" x14ac:dyDescent="0.25">
      <c r="B2029" s="40" t="str">
        <f>IF(F2029="","",VLOOKUP(F2029,Tabelle1[],2))</f>
        <v/>
      </c>
      <c r="C2029" s="40"/>
      <c r="E2029" s="80"/>
    </row>
    <row r="2030" spans="2:5" x14ac:dyDescent="0.25">
      <c r="B2030" s="40" t="str">
        <f>IF(F2030="","",VLOOKUP(F2030,Tabelle1[],2))</f>
        <v/>
      </c>
      <c r="C2030" s="40"/>
      <c r="E2030" s="80"/>
    </row>
    <row r="2031" spans="2:5" x14ac:dyDescent="0.25">
      <c r="B2031" s="40" t="str">
        <f>IF(F2031="","",VLOOKUP(F2031,Tabelle1[],2))</f>
        <v/>
      </c>
      <c r="C2031" s="40"/>
      <c r="E2031" s="80"/>
    </row>
    <row r="2032" spans="2:5" x14ac:dyDescent="0.25">
      <c r="B2032" s="40" t="str">
        <f>IF(F2032="","",VLOOKUP(F2032,Tabelle1[],2))</f>
        <v/>
      </c>
      <c r="C2032" s="40"/>
      <c r="E2032" s="80"/>
    </row>
    <row r="2033" spans="2:5" x14ac:dyDescent="0.25">
      <c r="B2033" s="40" t="str">
        <f>IF(F2033="","",VLOOKUP(F2033,Tabelle1[],2))</f>
        <v/>
      </c>
      <c r="C2033" s="40"/>
      <c r="E2033" s="80"/>
    </row>
    <row r="2034" spans="2:5" x14ac:dyDescent="0.25">
      <c r="B2034" s="40" t="str">
        <f>IF(F2034="","",VLOOKUP(F2034,Tabelle1[],2))</f>
        <v/>
      </c>
      <c r="C2034" s="40"/>
      <c r="E2034" s="80"/>
    </row>
    <row r="2035" spans="2:5" x14ac:dyDescent="0.25">
      <c r="B2035" s="40" t="str">
        <f>IF(F2035="","",VLOOKUP(F2035,Tabelle1[],2))</f>
        <v/>
      </c>
      <c r="C2035" s="40"/>
      <c r="E2035" s="80"/>
    </row>
    <row r="2036" spans="2:5" x14ac:dyDescent="0.25">
      <c r="B2036" s="40" t="str">
        <f>IF(F2036="","",VLOOKUP(F2036,Tabelle1[],2))</f>
        <v/>
      </c>
      <c r="C2036" s="40"/>
      <c r="E2036" s="80"/>
    </row>
    <row r="2037" spans="2:5" x14ac:dyDescent="0.25">
      <c r="B2037" s="40" t="str">
        <f>IF(F2037="","",VLOOKUP(F2037,Tabelle1[],2))</f>
        <v/>
      </c>
      <c r="C2037" s="40"/>
      <c r="E2037" s="80"/>
    </row>
    <row r="2038" spans="2:5" x14ac:dyDescent="0.25">
      <c r="B2038" s="40" t="str">
        <f>IF(F2038="","",VLOOKUP(F2038,Tabelle1[],2))</f>
        <v/>
      </c>
      <c r="C2038" s="40"/>
      <c r="E2038" s="80"/>
    </row>
    <row r="2039" spans="2:5" x14ac:dyDescent="0.25">
      <c r="B2039" s="40" t="str">
        <f>IF(F2039="","",VLOOKUP(F2039,Tabelle1[],2))</f>
        <v/>
      </c>
      <c r="C2039" s="40"/>
      <c r="E2039" s="80"/>
    </row>
    <row r="2040" spans="2:5" x14ac:dyDescent="0.25">
      <c r="B2040" s="40" t="str">
        <f>IF(F2040="","",VLOOKUP(F2040,Tabelle1[],2))</f>
        <v/>
      </c>
      <c r="C2040" s="40"/>
      <c r="E2040" s="80"/>
    </row>
    <row r="2041" spans="2:5" x14ac:dyDescent="0.25">
      <c r="B2041" s="40" t="str">
        <f>IF(F2041="","",VLOOKUP(F2041,Tabelle1[],2))</f>
        <v/>
      </c>
      <c r="C2041" s="40"/>
      <c r="E2041" s="80"/>
    </row>
    <row r="2042" spans="2:5" x14ac:dyDescent="0.25">
      <c r="B2042" s="40" t="str">
        <f>IF(F2042="","",VLOOKUP(F2042,Tabelle1[],2))</f>
        <v/>
      </c>
      <c r="C2042" s="40"/>
      <c r="E2042" s="80"/>
    </row>
    <row r="2043" spans="2:5" x14ac:dyDescent="0.25">
      <c r="B2043" s="40" t="str">
        <f>IF(F2043="","",VLOOKUP(F2043,Tabelle1[],2))</f>
        <v/>
      </c>
      <c r="C2043" s="40"/>
      <c r="E2043" s="80"/>
    </row>
    <row r="2044" spans="2:5" x14ac:dyDescent="0.25">
      <c r="B2044" s="40" t="str">
        <f>IF(F2044="","",VLOOKUP(F2044,Tabelle1[],2))</f>
        <v/>
      </c>
      <c r="C2044" s="40"/>
      <c r="E2044" s="80"/>
    </row>
    <row r="2045" spans="2:5" x14ac:dyDescent="0.25">
      <c r="B2045" s="40" t="str">
        <f>IF(F2045="","",VLOOKUP(F2045,Tabelle1[],2))</f>
        <v/>
      </c>
      <c r="C2045" s="40"/>
      <c r="E2045" s="80"/>
    </row>
    <row r="2046" spans="2:5" x14ac:dyDescent="0.25">
      <c r="B2046" s="40" t="str">
        <f>IF(F2046="","",VLOOKUP(F2046,Tabelle1[],2))</f>
        <v/>
      </c>
      <c r="C2046" s="40"/>
      <c r="E2046" s="80"/>
    </row>
    <row r="2047" spans="2:5" x14ac:dyDescent="0.25">
      <c r="B2047" s="40" t="str">
        <f>IF(F2047="","",VLOOKUP(F2047,Tabelle1[],2))</f>
        <v/>
      </c>
      <c r="C2047" s="40"/>
      <c r="E2047" s="80"/>
    </row>
    <row r="2048" spans="2:5" x14ac:dyDescent="0.25">
      <c r="B2048" s="40" t="str">
        <f>IF(F2048="","",VLOOKUP(F2048,Tabelle1[],2))</f>
        <v/>
      </c>
      <c r="C2048" s="40"/>
      <c r="E2048" s="80"/>
    </row>
    <row r="2049" spans="2:5" x14ac:dyDescent="0.25">
      <c r="B2049" s="40" t="str">
        <f>IF(F2049="","",VLOOKUP(F2049,Tabelle1[],2))</f>
        <v/>
      </c>
      <c r="C2049" s="40"/>
      <c r="E2049" s="80"/>
    </row>
    <row r="2050" spans="2:5" x14ac:dyDescent="0.25">
      <c r="B2050" s="40" t="str">
        <f>IF(F2050="","",VLOOKUP(F2050,Tabelle1[],2))</f>
        <v/>
      </c>
      <c r="C2050" s="40"/>
      <c r="E2050" s="80"/>
    </row>
    <row r="2051" spans="2:5" x14ac:dyDescent="0.25">
      <c r="B2051" s="40" t="str">
        <f>IF(F2051="","",VLOOKUP(F2051,Tabelle1[],2))</f>
        <v/>
      </c>
      <c r="C2051" s="40"/>
      <c r="E2051" s="80"/>
    </row>
    <row r="2052" spans="2:5" x14ac:dyDescent="0.25">
      <c r="B2052" s="40" t="str">
        <f>IF(F2052="","",VLOOKUP(F2052,Tabelle1[],2))</f>
        <v/>
      </c>
      <c r="C2052" s="40"/>
      <c r="E2052" s="80"/>
    </row>
    <row r="2053" spans="2:5" x14ac:dyDescent="0.25">
      <c r="B2053" s="40" t="str">
        <f>IF(F2053="","",VLOOKUP(F2053,Tabelle1[],2))</f>
        <v/>
      </c>
      <c r="C2053" s="40"/>
      <c r="E2053" s="80"/>
    </row>
    <row r="2054" spans="2:5" x14ac:dyDescent="0.25">
      <c r="B2054" s="40" t="str">
        <f>IF(F2054="","",VLOOKUP(F2054,Tabelle1[],2))</f>
        <v/>
      </c>
      <c r="C2054" s="40"/>
      <c r="E2054" s="80"/>
    </row>
    <row r="2055" spans="2:5" x14ac:dyDescent="0.25">
      <c r="B2055" s="40" t="str">
        <f>IF(F2055="","",VLOOKUP(F2055,Tabelle1[],2))</f>
        <v/>
      </c>
      <c r="C2055" s="40"/>
      <c r="E2055" s="80"/>
    </row>
    <row r="2056" spans="2:5" x14ac:dyDescent="0.25">
      <c r="B2056" s="40" t="str">
        <f>IF(F2056="","",VLOOKUP(F2056,Tabelle1[],2))</f>
        <v/>
      </c>
      <c r="C2056" s="40"/>
      <c r="E2056" s="80"/>
    </row>
    <row r="2057" spans="2:5" x14ac:dyDescent="0.25">
      <c r="B2057" s="40" t="str">
        <f>IF(F2057="","",VLOOKUP(F2057,Tabelle1[],2))</f>
        <v/>
      </c>
      <c r="C2057" s="40"/>
      <c r="E2057" s="80"/>
    </row>
    <row r="2058" spans="2:5" x14ac:dyDescent="0.25">
      <c r="B2058" s="40" t="str">
        <f>IF(F2058="","",VLOOKUP(F2058,Tabelle1[],2))</f>
        <v/>
      </c>
      <c r="C2058" s="40"/>
      <c r="E2058" s="80"/>
    </row>
    <row r="2059" spans="2:5" x14ac:dyDescent="0.25">
      <c r="B2059" s="40" t="str">
        <f>IF(F2059="","",VLOOKUP(F2059,Tabelle1[],2))</f>
        <v/>
      </c>
      <c r="C2059" s="40"/>
      <c r="E2059" s="80"/>
    </row>
    <row r="2060" spans="2:5" x14ac:dyDescent="0.25">
      <c r="B2060" s="40" t="str">
        <f>IF(F2060="","",VLOOKUP(F2060,Tabelle1[],2))</f>
        <v/>
      </c>
      <c r="C2060" s="40"/>
      <c r="E2060" s="80"/>
    </row>
    <row r="2061" spans="2:5" x14ac:dyDescent="0.25">
      <c r="B2061" s="40" t="str">
        <f>IF(F2061="","",VLOOKUP(F2061,Tabelle1[],2))</f>
        <v/>
      </c>
      <c r="C2061" s="40"/>
      <c r="E2061" s="80"/>
    </row>
    <row r="2062" spans="2:5" x14ac:dyDescent="0.25">
      <c r="B2062" s="40" t="str">
        <f>IF(F2062="","",VLOOKUP(F2062,Tabelle1[],2))</f>
        <v/>
      </c>
      <c r="C2062" s="40"/>
      <c r="E2062" s="80"/>
    </row>
    <row r="2063" spans="2:5" x14ac:dyDescent="0.25">
      <c r="B2063" s="40" t="str">
        <f>IF(F2063="","",VLOOKUP(F2063,Tabelle1[],2))</f>
        <v/>
      </c>
      <c r="C2063" s="40"/>
      <c r="E2063" s="80"/>
    </row>
    <row r="2064" spans="2:5" x14ac:dyDescent="0.25">
      <c r="B2064" s="40" t="str">
        <f>IF(F2064="","",VLOOKUP(F2064,Tabelle1[],2))</f>
        <v/>
      </c>
      <c r="C2064" s="40"/>
      <c r="E2064" s="80"/>
    </row>
    <row r="2065" spans="2:5" x14ac:dyDescent="0.25">
      <c r="B2065" s="40" t="str">
        <f>IF(F2065="","",VLOOKUP(F2065,Tabelle1[],2))</f>
        <v/>
      </c>
      <c r="C2065" s="40"/>
      <c r="E2065" s="80"/>
    </row>
    <row r="2066" spans="2:5" x14ac:dyDescent="0.25">
      <c r="B2066" s="40" t="str">
        <f>IF(F2066="","",VLOOKUP(F2066,Tabelle1[],2))</f>
        <v/>
      </c>
      <c r="C2066" s="40"/>
      <c r="E2066" s="80"/>
    </row>
    <row r="2067" spans="2:5" x14ac:dyDescent="0.25">
      <c r="B2067" s="40" t="str">
        <f>IF(F2067="","",VLOOKUP(F2067,Tabelle1[],2))</f>
        <v/>
      </c>
      <c r="C2067" s="40"/>
      <c r="E2067" s="80"/>
    </row>
    <row r="2068" spans="2:5" x14ac:dyDescent="0.25">
      <c r="B2068" s="40" t="str">
        <f>IF(F2068="","",VLOOKUP(F2068,Tabelle1[],2))</f>
        <v/>
      </c>
      <c r="C2068" s="40"/>
      <c r="E2068" s="80"/>
    </row>
    <row r="2069" spans="2:5" x14ac:dyDescent="0.25">
      <c r="B2069" s="40" t="str">
        <f>IF(F2069="","",VLOOKUP(F2069,Tabelle1[],2))</f>
        <v/>
      </c>
      <c r="C2069" s="40"/>
      <c r="E2069" s="80"/>
    </row>
    <row r="2070" spans="2:5" x14ac:dyDescent="0.25">
      <c r="B2070" s="40" t="str">
        <f>IF(F2070="","",VLOOKUP(F2070,Tabelle1[],2))</f>
        <v/>
      </c>
      <c r="C2070" s="40"/>
      <c r="E2070" s="80"/>
    </row>
    <row r="2071" spans="2:5" x14ac:dyDescent="0.25">
      <c r="B2071" s="40" t="str">
        <f>IF(F2071="","",VLOOKUP(F2071,Tabelle1[],2))</f>
        <v/>
      </c>
      <c r="C2071" s="40"/>
      <c r="E2071" s="80"/>
    </row>
    <row r="2072" spans="2:5" x14ac:dyDescent="0.25">
      <c r="B2072" s="40" t="str">
        <f>IF(F2072="","",VLOOKUP(F2072,Tabelle1[],2))</f>
        <v/>
      </c>
      <c r="C2072" s="40"/>
      <c r="E2072" s="80"/>
    </row>
    <row r="2073" spans="2:5" x14ac:dyDescent="0.25">
      <c r="B2073" s="40" t="str">
        <f>IF(F2073="","",VLOOKUP(F2073,Tabelle1[],2))</f>
        <v/>
      </c>
      <c r="C2073" s="40"/>
      <c r="E2073" s="80"/>
    </row>
    <row r="2074" spans="2:5" x14ac:dyDescent="0.25">
      <c r="B2074" s="40" t="str">
        <f>IF(F2074="","",VLOOKUP(F2074,Tabelle1[],2))</f>
        <v/>
      </c>
      <c r="C2074" s="40"/>
      <c r="E2074" s="80"/>
    </row>
    <row r="2075" spans="2:5" x14ac:dyDescent="0.25">
      <c r="B2075" s="40" t="str">
        <f>IF(F2075="","",VLOOKUP(F2075,Tabelle1[],2))</f>
        <v/>
      </c>
      <c r="C2075" s="40"/>
      <c r="E2075" s="80"/>
    </row>
    <row r="2076" spans="2:5" x14ac:dyDescent="0.25">
      <c r="B2076" s="40" t="str">
        <f>IF(F2076="","",VLOOKUP(F2076,Tabelle1[],2))</f>
        <v/>
      </c>
      <c r="C2076" s="40"/>
      <c r="E2076" s="80"/>
    </row>
    <row r="2077" spans="2:5" x14ac:dyDescent="0.25">
      <c r="B2077" s="40" t="str">
        <f>IF(F2077="","",VLOOKUP(F2077,Tabelle1[],2))</f>
        <v/>
      </c>
      <c r="C2077" s="40"/>
      <c r="E2077" s="80"/>
    </row>
    <row r="2078" spans="2:5" x14ac:dyDescent="0.25">
      <c r="B2078" s="40" t="str">
        <f>IF(F2078="","",VLOOKUP(F2078,Tabelle1[],2))</f>
        <v/>
      </c>
      <c r="C2078" s="40"/>
      <c r="E2078" s="80"/>
    </row>
    <row r="2079" spans="2:5" x14ac:dyDescent="0.25">
      <c r="B2079" s="40" t="str">
        <f>IF(F2079="","",VLOOKUP(F2079,Tabelle1[],2))</f>
        <v/>
      </c>
      <c r="C2079" s="40"/>
      <c r="E2079" s="80"/>
    </row>
    <row r="2080" spans="2:5" x14ac:dyDescent="0.25">
      <c r="B2080" s="40" t="str">
        <f>IF(F2080="","",VLOOKUP(F2080,Tabelle1[],2))</f>
        <v/>
      </c>
      <c r="C2080" s="40"/>
      <c r="E2080" s="80"/>
    </row>
    <row r="2081" spans="2:5" x14ac:dyDescent="0.25">
      <c r="B2081" s="40" t="str">
        <f>IF(F2081="","",VLOOKUP(F2081,Tabelle1[],2))</f>
        <v/>
      </c>
      <c r="C2081" s="40"/>
      <c r="E2081" s="80"/>
    </row>
    <row r="2082" spans="2:5" x14ac:dyDescent="0.25">
      <c r="B2082" s="40" t="str">
        <f>IF(F2082="","",VLOOKUP(F2082,Tabelle1[],2))</f>
        <v/>
      </c>
      <c r="C2082" s="40"/>
      <c r="E2082" s="80"/>
    </row>
    <row r="2083" spans="2:5" x14ac:dyDescent="0.25">
      <c r="B2083" s="40" t="str">
        <f>IF(F2083="","",VLOOKUP(F2083,Tabelle1[],2))</f>
        <v/>
      </c>
      <c r="C2083" s="40"/>
      <c r="E2083" s="80"/>
    </row>
    <row r="2084" spans="2:5" x14ac:dyDescent="0.25">
      <c r="B2084" s="40" t="str">
        <f>IF(F2084="","",VLOOKUP(F2084,Tabelle1[],2))</f>
        <v/>
      </c>
      <c r="C2084" s="40"/>
      <c r="E2084" s="80"/>
    </row>
    <row r="2085" spans="2:5" x14ac:dyDescent="0.25">
      <c r="B2085" s="40" t="str">
        <f>IF(F2085="","",VLOOKUP(F2085,Tabelle1[],2))</f>
        <v/>
      </c>
      <c r="C2085" s="40"/>
      <c r="E2085" s="80"/>
    </row>
    <row r="2086" spans="2:5" x14ac:dyDescent="0.25">
      <c r="B2086" s="40" t="str">
        <f>IF(F2086="","",VLOOKUP(F2086,Tabelle1[],2))</f>
        <v/>
      </c>
      <c r="C2086" s="40"/>
      <c r="E2086" s="80"/>
    </row>
    <row r="2087" spans="2:5" x14ac:dyDescent="0.25">
      <c r="B2087" s="40" t="str">
        <f>IF(F2087="","",VLOOKUP(F2087,Tabelle1[],2))</f>
        <v/>
      </c>
      <c r="C2087" s="40"/>
      <c r="E2087" s="80"/>
    </row>
    <row r="2088" spans="2:5" x14ac:dyDescent="0.25">
      <c r="B2088" s="40" t="str">
        <f>IF(F2088="","",VLOOKUP(F2088,Tabelle1[],2))</f>
        <v/>
      </c>
      <c r="C2088" s="40"/>
      <c r="E2088" s="80"/>
    </row>
    <row r="2089" spans="2:5" x14ac:dyDescent="0.25">
      <c r="B2089" s="40" t="str">
        <f>IF(F2089="","",VLOOKUP(F2089,Tabelle1[],2))</f>
        <v/>
      </c>
      <c r="C2089" s="40"/>
      <c r="E2089" s="80"/>
    </row>
    <row r="2090" spans="2:5" x14ac:dyDescent="0.25">
      <c r="B2090" s="40" t="str">
        <f>IF(F2090="","",VLOOKUP(F2090,Tabelle1[],2))</f>
        <v/>
      </c>
      <c r="C2090" s="40"/>
      <c r="E2090" s="80"/>
    </row>
    <row r="2091" spans="2:5" x14ac:dyDescent="0.25">
      <c r="B2091" s="40" t="str">
        <f>IF(F2091="","",VLOOKUP(F2091,Tabelle1[],2))</f>
        <v/>
      </c>
      <c r="C2091" s="40"/>
      <c r="E2091" s="80"/>
    </row>
    <row r="2092" spans="2:5" x14ac:dyDescent="0.25">
      <c r="B2092" s="40" t="str">
        <f>IF(F2092="","",VLOOKUP(F2092,Tabelle1[],2))</f>
        <v/>
      </c>
      <c r="C2092" s="40"/>
      <c r="E2092" s="80"/>
    </row>
    <row r="2093" spans="2:5" x14ac:dyDescent="0.25">
      <c r="B2093" s="40" t="str">
        <f>IF(F2093="","",VLOOKUP(F2093,Tabelle1[],2))</f>
        <v/>
      </c>
      <c r="C2093" s="40"/>
      <c r="E2093" s="80"/>
    </row>
    <row r="2094" spans="2:5" x14ac:dyDescent="0.25">
      <c r="B2094" s="40" t="str">
        <f>IF(F2094="","",VLOOKUP(F2094,Tabelle1[],2))</f>
        <v/>
      </c>
      <c r="C2094" s="40"/>
      <c r="E2094" s="80"/>
    </row>
    <row r="2095" spans="2:5" x14ac:dyDescent="0.25">
      <c r="B2095" s="40" t="str">
        <f>IF(F2095="","",VLOOKUP(F2095,Tabelle1[],2))</f>
        <v/>
      </c>
      <c r="C2095" s="40"/>
      <c r="E2095" s="80"/>
    </row>
    <row r="2096" spans="2:5" x14ac:dyDescent="0.25">
      <c r="B2096" s="40" t="str">
        <f>IF(F2096="","",VLOOKUP(F2096,Tabelle1[],2))</f>
        <v/>
      </c>
      <c r="C2096" s="40"/>
      <c r="E2096" s="80"/>
    </row>
    <row r="2097" spans="2:5" x14ac:dyDescent="0.25">
      <c r="B2097" s="40" t="str">
        <f>IF(F2097="","",VLOOKUP(F2097,Tabelle1[],2))</f>
        <v/>
      </c>
      <c r="C2097" s="40"/>
      <c r="E2097" s="80"/>
    </row>
    <row r="2098" spans="2:5" x14ac:dyDescent="0.25">
      <c r="B2098" s="40" t="str">
        <f>IF(F2098="","",VLOOKUP(F2098,Tabelle1[],2))</f>
        <v/>
      </c>
      <c r="C2098" s="40"/>
      <c r="E2098" s="80"/>
    </row>
    <row r="2099" spans="2:5" x14ac:dyDescent="0.25">
      <c r="B2099" s="40" t="str">
        <f>IF(F2099="","",VLOOKUP(F2099,Tabelle1[],2))</f>
        <v/>
      </c>
      <c r="C2099" s="40"/>
      <c r="E2099" s="80"/>
    </row>
    <row r="2100" spans="2:5" x14ac:dyDescent="0.25">
      <c r="B2100" s="40" t="str">
        <f>IF(F2100="","",VLOOKUP(F2100,Tabelle1[],2))</f>
        <v/>
      </c>
      <c r="C2100" s="40"/>
      <c r="E2100" s="80"/>
    </row>
    <row r="2101" spans="2:5" x14ac:dyDescent="0.25">
      <c r="B2101" s="40" t="str">
        <f>IF(F2101="","",VLOOKUP(F2101,Tabelle1[],2))</f>
        <v/>
      </c>
      <c r="C2101" s="40"/>
      <c r="E2101" s="80"/>
    </row>
    <row r="2102" spans="2:5" x14ac:dyDescent="0.25">
      <c r="B2102" s="40" t="str">
        <f>IF(F2102="","",VLOOKUP(F2102,Tabelle1[],2))</f>
        <v/>
      </c>
      <c r="C2102" s="40"/>
      <c r="E2102" s="80"/>
    </row>
    <row r="2103" spans="2:5" x14ac:dyDescent="0.25">
      <c r="B2103" s="40" t="str">
        <f>IF(F2103="","",VLOOKUP(F2103,Tabelle1[],2))</f>
        <v/>
      </c>
      <c r="C2103" s="40"/>
      <c r="E2103" s="80"/>
    </row>
    <row r="2104" spans="2:5" x14ac:dyDescent="0.25">
      <c r="B2104" s="40" t="str">
        <f>IF(F2104="","",VLOOKUP(F2104,Tabelle1[],2))</f>
        <v/>
      </c>
      <c r="C2104" s="40"/>
      <c r="E2104" s="80"/>
    </row>
    <row r="2105" spans="2:5" x14ac:dyDescent="0.25">
      <c r="B2105" s="40" t="str">
        <f>IF(F2105="","",VLOOKUP(F2105,Tabelle1[],2))</f>
        <v/>
      </c>
      <c r="C2105" s="40"/>
      <c r="E2105" s="80"/>
    </row>
    <row r="2106" spans="2:5" x14ac:dyDescent="0.25">
      <c r="B2106" s="40" t="str">
        <f>IF(F2106="","",VLOOKUP(F2106,Tabelle1[],2))</f>
        <v/>
      </c>
      <c r="C2106" s="40"/>
      <c r="E2106" s="80"/>
    </row>
    <row r="2107" spans="2:5" x14ac:dyDescent="0.25">
      <c r="B2107" s="40" t="str">
        <f>IF(F2107="","",VLOOKUP(F2107,Tabelle1[],2))</f>
        <v/>
      </c>
      <c r="C2107" s="40"/>
      <c r="E2107" s="80"/>
    </row>
    <row r="2108" spans="2:5" x14ac:dyDescent="0.25">
      <c r="B2108" s="40" t="str">
        <f>IF(F2108="","",VLOOKUP(F2108,Tabelle1[],2))</f>
        <v/>
      </c>
      <c r="C2108" s="40"/>
      <c r="E2108" s="80"/>
    </row>
    <row r="2109" spans="2:5" x14ac:dyDescent="0.25">
      <c r="B2109" s="40" t="str">
        <f>IF(F2109="","",VLOOKUP(F2109,Tabelle1[],2))</f>
        <v/>
      </c>
      <c r="C2109" s="40"/>
      <c r="E2109" s="80"/>
    </row>
    <row r="2110" spans="2:5" x14ac:dyDescent="0.25">
      <c r="B2110" s="40" t="str">
        <f>IF(F2110="","",VLOOKUP(F2110,Tabelle1[],2))</f>
        <v/>
      </c>
      <c r="C2110" s="40"/>
      <c r="E2110" s="80"/>
    </row>
    <row r="2111" spans="2:5" x14ac:dyDescent="0.25">
      <c r="B2111" s="40" t="str">
        <f>IF(F2111="","",VLOOKUP(F2111,Tabelle1[],2))</f>
        <v/>
      </c>
      <c r="C2111" s="40"/>
      <c r="E2111" s="80"/>
    </row>
    <row r="2112" spans="2:5" x14ac:dyDescent="0.25">
      <c r="B2112" s="40" t="str">
        <f>IF(F2112="","",VLOOKUP(F2112,Tabelle1[],2))</f>
        <v/>
      </c>
      <c r="C2112" s="40"/>
      <c r="E2112" s="80"/>
    </row>
    <row r="2113" spans="2:5" x14ac:dyDescent="0.25">
      <c r="B2113" s="40" t="str">
        <f>IF(F2113="","",VLOOKUP(F2113,Tabelle1[],2))</f>
        <v/>
      </c>
      <c r="C2113" s="40"/>
      <c r="E2113" s="80"/>
    </row>
    <row r="2114" spans="2:5" x14ac:dyDescent="0.25">
      <c r="B2114" s="40" t="str">
        <f>IF(F2114="","",VLOOKUP(F2114,Tabelle1[],2))</f>
        <v/>
      </c>
      <c r="C2114" s="40"/>
      <c r="E2114" s="80"/>
    </row>
    <row r="2115" spans="2:5" x14ac:dyDescent="0.25">
      <c r="B2115" s="40" t="str">
        <f>IF(F2115="","",VLOOKUP(F2115,Tabelle1[],2))</f>
        <v/>
      </c>
      <c r="C2115" s="40"/>
      <c r="E2115" s="80"/>
    </row>
    <row r="2116" spans="2:5" x14ac:dyDescent="0.25">
      <c r="B2116" s="40" t="str">
        <f>IF(F2116="","",VLOOKUP(F2116,Tabelle1[],2))</f>
        <v/>
      </c>
      <c r="C2116" s="40"/>
      <c r="E2116" s="80"/>
    </row>
    <row r="2117" spans="2:5" x14ac:dyDescent="0.25">
      <c r="B2117" s="40" t="str">
        <f>IF(F2117="","",VLOOKUP(F2117,Tabelle1[],2))</f>
        <v/>
      </c>
      <c r="C2117" s="40"/>
      <c r="E2117" s="80"/>
    </row>
    <row r="2118" spans="2:5" x14ac:dyDescent="0.25">
      <c r="B2118" s="40" t="str">
        <f>IF(F2118="","",VLOOKUP(F2118,Tabelle1[],2))</f>
        <v/>
      </c>
      <c r="C2118" s="40"/>
      <c r="E2118" s="80"/>
    </row>
    <row r="2119" spans="2:5" x14ac:dyDescent="0.25">
      <c r="B2119" s="40" t="str">
        <f>IF(F2119="","",VLOOKUP(F2119,Tabelle1[],2))</f>
        <v/>
      </c>
      <c r="C2119" s="40"/>
      <c r="E2119" s="80"/>
    </row>
    <row r="2120" spans="2:5" x14ac:dyDescent="0.25">
      <c r="B2120" s="40" t="str">
        <f>IF(F2120="","",VLOOKUP(F2120,Tabelle1[],2))</f>
        <v/>
      </c>
      <c r="C2120" s="40"/>
      <c r="E2120" s="80"/>
    </row>
    <row r="2121" spans="2:5" x14ac:dyDescent="0.25">
      <c r="B2121" s="40" t="str">
        <f>IF(F2121="","",VLOOKUP(F2121,Tabelle1[],2))</f>
        <v/>
      </c>
      <c r="C2121" s="40"/>
      <c r="E2121" s="80"/>
    </row>
    <row r="2122" spans="2:5" x14ac:dyDescent="0.25">
      <c r="B2122" s="40" t="str">
        <f>IF(F2122="","",VLOOKUP(F2122,Tabelle1[],2))</f>
        <v/>
      </c>
      <c r="C2122" s="40"/>
      <c r="E2122" s="80"/>
    </row>
    <row r="2123" spans="2:5" x14ac:dyDescent="0.25">
      <c r="B2123" s="40" t="str">
        <f>IF(F2123="","",VLOOKUP(F2123,Tabelle1[],2))</f>
        <v/>
      </c>
      <c r="C2123" s="40"/>
      <c r="E2123" s="80"/>
    </row>
    <row r="2124" spans="2:5" x14ac:dyDescent="0.25">
      <c r="B2124" s="40" t="str">
        <f>IF(F2124="","",VLOOKUP(F2124,Tabelle1[],2))</f>
        <v/>
      </c>
      <c r="C2124" s="40"/>
      <c r="E2124" s="80"/>
    </row>
    <row r="2125" spans="2:5" x14ac:dyDescent="0.25">
      <c r="B2125" s="40" t="str">
        <f>IF(F2125="","",VLOOKUP(F2125,Tabelle1[],2))</f>
        <v/>
      </c>
      <c r="C2125" s="40"/>
      <c r="E2125" s="80"/>
    </row>
    <row r="2126" spans="2:5" x14ac:dyDescent="0.25">
      <c r="B2126" s="40" t="str">
        <f>IF(F2126="","",VLOOKUP(F2126,Tabelle1[],2))</f>
        <v/>
      </c>
      <c r="C2126" s="40"/>
      <c r="E2126" s="80"/>
    </row>
    <row r="2127" spans="2:5" x14ac:dyDescent="0.25">
      <c r="B2127" s="40" t="str">
        <f>IF(F2127="","",VLOOKUP(F2127,Tabelle1[],2))</f>
        <v/>
      </c>
      <c r="C2127" s="40"/>
      <c r="E2127" s="80"/>
    </row>
    <row r="2128" spans="2:5" x14ac:dyDescent="0.25">
      <c r="B2128" s="40" t="str">
        <f>IF(F2128="","",VLOOKUP(F2128,Tabelle1[],2))</f>
        <v/>
      </c>
      <c r="C2128" s="40"/>
      <c r="E2128" s="80"/>
    </row>
    <row r="2129" spans="2:5" x14ac:dyDescent="0.25">
      <c r="B2129" s="40" t="str">
        <f>IF(F2129="","",VLOOKUP(F2129,Tabelle1[],2))</f>
        <v/>
      </c>
      <c r="C2129" s="40"/>
      <c r="E2129" s="80"/>
    </row>
    <row r="2130" spans="2:5" x14ac:dyDescent="0.25">
      <c r="B2130" s="40" t="str">
        <f>IF(F2130="","",VLOOKUP(F2130,Tabelle1[],2))</f>
        <v/>
      </c>
      <c r="C2130" s="40"/>
      <c r="E2130" s="80"/>
    </row>
    <row r="2131" spans="2:5" x14ac:dyDescent="0.25">
      <c r="B2131" s="40" t="str">
        <f>IF(F2131="","",VLOOKUP(F2131,Tabelle1[],2))</f>
        <v/>
      </c>
      <c r="C2131" s="40"/>
      <c r="E2131" s="80"/>
    </row>
    <row r="2132" spans="2:5" x14ac:dyDescent="0.25">
      <c r="B2132" s="40" t="str">
        <f>IF(F2132="","",VLOOKUP(F2132,Tabelle1[],2))</f>
        <v/>
      </c>
      <c r="C2132" s="40"/>
      <c r="E2132" s="80"/>
    </row>
    <row r="2133" spans="2:5" x14ac:dyDescent="0.25">
      <c r="B2133" s="40" t="str">
        <f>IF(F2133="","",VLOOKUP(F2133,Tabelle1[],2))</f>
        <v/>
      </c>
      <c r="C2133" s="40"/>
      <c r="E2133" s="80"/>
    </row>
    <row r="2134" spans="2:5" x14ac:dyDescent="0.25">
      <c r="B2134" s="40" t="str">
        <f>IF(F2134="","",VLOOKUP(F2134,Tabelle1[],2))</f>
        <v/>
      </c>
      <c r="C2134" s="40"/>
      <c r="E2134" s="80"/>
    </row>
    <row r="2135" spans="2:5" x14ac:dyDescent="0.25">
      <c r="B2135" s="40" t="str">
        <f>IF(F2135="","",VLOOKUP(F2135,Tabelle1[],2))</f>
        <v/>
      </c>
      <c r="C2135" s="40"/>
      <c r="E2135" s="80"/>
    </row>
    <row r="2136" spans="2:5" x14ac:dyDescent="0.25">
      <c r="B2136" s="40" t="str">
        <f>IF(F2136="","",VLOOKUP(F2136,Tabelle1[],2))</f>
        <v/>
      </c>
      <c r="C2136" s="40"/>
      <c r="E2136" s="80"/>
    </row>
    <row r="2137" spans="2:5" x14ac:dyDescent="0.25">
      <c r="B2137" s="40" t="str">
        <f>IF(F2137="","",VLOOKUP(F2137,Tabelle1[],2))</f>
        <v/>
      </c>
      <c r="C2137" s="40"/>
      <c r="E2137" s="80"/>
    </row>
    <row r="2138" spans="2:5" x14ac:dyDescent="0.25">
      <c r="B2138" s="40" t="str">
        <f>IF(F2138="","",VLOOKUP(F2138,Tabelle1[],2))</f>
        <v/>
      </c>
      <c r="C2138" s="40"/>
      <c r="E2138" s="80"/>
    </row>
    <row r="2139" spans="2:5" x14ac:dyDescent="0.25">
      <c r="B2139" s="40" t="str">
        <f>IF(F2139="","",VLOOKUP(F2139,Tabelle1[],2))</f>
        <v/>
      </c>
      <c r="C2139" s="40"/>
      <c r="E2139" s="80"/>
    </row>
    <row r="2140" spans="2:5" x14ac:dyDescent="0.25">
      <c r="B2140" s="40" t="str">
        <f>IF(F2140="","",VLOOKUP(F2140,Tabelle1[],2))</f>
        <v/>
      </c>
      <c r="C2140" s="40"/>
      <c r="E2140" s="80"/>
    </row>
    <row r="2141" spans="2:5" x14ac:dyDescent="0.25">
      <c r="B2141" s="40" t="str">
        <f>IF(F2141="","",VLOOKUP(F2141,Tabelle1[],2))</f>
        <v/>
      </c>
      <c r="C2141" s="40"/>
      <c r="E2141" s="80"/>
    </row>
    <row r="2142" spans="2:5" x14ac:dyDescent="0.25">
      <c r="B2142" s="40" t="str">
        <f>IF(F2142="","",VLOOKUP(F2142,Tabelle1[],2))</f>
        <v/>
      </c>
      <c r="C2142" s="40"/>
      <c r="E2142" s="80"/>
    </row>
    <row r="2143" spans="2:5" x14ac:dyDescent="0.25">
      <c r="B2143" s="40" t="str">
        <f>IF(F2143="","",VLOOKUP(F2143,Tabelle1[],2))</f>
        <v/>
      </c>
      <c r="C2143" s="40"/>
      <c r="E2143" s="80"/>
    </row>
    <row r="2144" spans="2:5" x14ac:dyDescent="0.25">
      <c r="B2144" s="40" t="str">
        <f>IF(F2144="","",VLOOKUP(F2144,Tabelle1[],2))</f>
        <v/>
      </c>
      <c r="C2144" s="40"/>
      <c r="E2144" s="80"/>
    </row>
    <row r="2145" spans="2:5" x14ac:dyDescent="0.25">
      <c r="B2145" s="40" t="str">
        <f>IF(F2145="","",VLOOKUP(F2145,Tabelle1[],2))</f>
        <v/>
      </c>
      <c r="C2145" s="40"/>
      <c r="E2145" s="80"/>
    </row>
    <row r="2146" spans="2:5" x14ac:dyDescent="0.25">
      <c r="B2146" s="40" t="str">
        <f>IF(F2146="","",VLOOKUP(F2146,Tabelle1[],2))</f>
        <v/>
      </c>
      <c r="C2146" s="40"/>
      <c r="E2146" s="80"/>
    </row>
    <row r="2147" spans="2:5" x14ac:dyDescent="0.25">
      <c r="B2147" s="40" t="str">
        <f>IF(F2147="","",VLOOKUP(F2147,Tabelle1[],2))</f>
        <v/>
      </c>
      <c r="C2147" s="40"/>
      <c r="E2147" s="80"/>
    </row>
    <row r="2148" spans="2:5" x14ac:dyDescent="0.25">
      <c r="B2148" s="40" t="str">
        <f>IF(F2148="","",VLOOKUP(F2148,Tabelle1[],2))</f>
        <v/>
      </c>
      <c r="C2148" s="40"/>
      <c r="E2148" s="80"/>
    </row>
    <row r="2149" spans="2:5" x14ac:dyDescent="0.25">
      <c r="B2149" s="40" t="str">
        <f>IF(F2149="","",VLOOKUP(F2149,Tabelle1[],2))</f>
        <v/>
      </c>
      <c r="C2149" s="40"/>
      <c r="E2149" s="80"/>
    </row>
    <row r="2150" spans="2:5" x14ac:dyDescent="0.25">
      <c r="B2150" s="40" t="str">
        <f>IF(F2150="","",VLOOKUP(F2150,Tabelle1[],2))</f>
        <v/>
      </c>
      <c r="C2150" s="40"/>
      <c r="E2150" s="80"/>
    </row>
    <row r="2151" spans="2:5" x14ac:dyDescent="0.25">
      <c r="B2151" s="40" t="str">
        <f>IF(F2151="","",VLOOKUP(F2151,Tabelle1[],2))</f>
        <v/>
      </c>
      <c r="C2151" s="40"/>
      <c r="E2151" s="80"/>
    </row>
    <row r="2152" spans="2:5" x14ac:dyDescent="0.25">
      <c r="B2152" s="40" t="str">
        <f>IF(F2152="","",VLOOKUP(F2152,Tabelle1[],2))</f>
        <v/>
      </c>
      <c r="C2152" s="40"/>
      <c r="E2152" s="80"/>
    </row>
    <row r="2153" spans="2:5" x14ac:dyDescent="0.25">
      <c r="B2153" s="40" t="str">
        <f>IF(F2153="","",VLOOKUP(F2153,Tabelle1[],2))</f>
        <v/>
      </c>
      <c r="C2153" s="40"/>
      <c r="E2153" s="80"/>
    </row>
    <row r="2154" spans="2:5" x14ac:dyDescent="0.25">
      <c r="B2154" s="40" t="str">
        <f>IF(F2154="","",VLOOKUP(F2154,Tabelle1[],2))</f>
        <v/>
      </c>
      <c r="C2154" s="40"/>
      <c r="E2154" s="80"/>
    </row>
    <row r="2155" spans="2:5" x14ac:dyDescent="0.25">
      <c r="B2155" s="40" t="str">
        <f>IF(F2155="","",VLOOKUP(F2155,Tabelle1[],2))</f>
        <v/>
      </c>
      <c r="C2155" s="40"/>
      <c r="E2155" s="80"/>
    </row>
    <row r="2156" spans="2:5" x14ac:dyDescent="0.25">
      <c r="B2156" s="40" t="str">
        <f>IF(F2156="","",VLOOKUP(F2156,Tabelle1[],2))</f>
        <v/>
      </c>
      <c r="C2156" s="40"/>
      <c r="E2156" s="80"/>
    </row>
    <row r="2157" spans="2:5" x14ac:dyDescent="0.25">
      <c r="B2157" s="40" t="str">
        <f>IF(F2157="","",VLOOKUP(F2157,Tabelle1[],2))</f>
        <v/>
      </c>
      <c r="C2157" s="40"/>
      <c r="E2157" s="80"/>
    </row>
    <row r="2158" spans="2:5" x14ac:dyDescent="0.25">
      <c r="B2158" s="40" t="str">
        <f>IF(F2158="","",VLOOKUP(F2158,Tabelle1[],2))</f>
        <v/>
      </c>
      <c r="C2158" s="40"/>
      <c r="E2158" s="80"/>
    </row>
    <row r="2159" spans="2:5" x14ac:dyDescent="0.25">
      <c r="B2159" s="40" t="str">
        <f>IF(F2159="","",VLOOKUP(F2159,Tabelle1[],2))</f>
        <v/>
      </c>
      <c r="C2159" s="40"/>
      <c r="E2159" s="80"/>
    </row>
    <row r="2160" spans="2:5" x14ac:dyDescent="0.25">
      <c r="B2160" s="40" t="str">
        <f>IF(F2160="","",VLOOKUP(F2160,Tabelle1[],2))</f>
        <v/>
      </c>
      <c r="C2160" s="40"/>
      <c r="E2160" s="80"/>
    </row>
    <row r="2161" spans="2:5" x14ac:dyDescent="0.25">
      <c r="B2161" s="40" t="str">
        <f>IF(F2161="","",VLOOKUP(F2161,Tabelle1[],2))</f>
        <v/>
      </c>
      <c r="C2161" s="40"/>
      <c r="E2161" s="80"/>
    </row>
    <row r="2162" spans="2:5" x14ac:dyDescent="0.25">
      <c r="B2162" s="40" t="str">
        <f>IF(F2162="","",VLOOKUP(F2162,Tabelle1[],2))</f>
        <v/>
      </c>
      <c r="C2162" s="40"/>
      <c r="E2162" s="80"/>
    </row>
    <row r="2163" spans="2:5" x14ac:dyDescent="0.25">
      <c r="B2163" s="40" t="str">
        <f>IF(F2163="","",VLOOKUP(F2163,Tabelle1[],2))</f>
        <v/>
      </c>
      <c r="C2163" s="40"/>
      <c r="E2163" s="80"/>
    </row>
    <row r="2164" spans="2:5" x14ac:dyDescent="0.25">
      <c r="B2164" s="40" t="str">
        <f>IF(F2164="","",VLOOKUP(F2164,Tabelle1[],2))</f>
        <v/>
      </c>
      <c r="C2164" s="40"/>
      <c r="E2164" s="80"/>
    </row>
    <row r="2165" spans="2:5" x14ac:dyDescent="0.25">
      <c r="B2165" s="40" t="str">
        <f>IF(F2165="","",VLOOKUP(F2165,Tabelle1[],2))</f>
        <v/>
      </c>
      <c r="C2165" s="40"/>
      <c r="E2165" s="80"/>
    </row>
    <row r="2166" spans="2:5" x14ac:dyDescent="0.25">
      <c r="B2166" s="40" t="str">
        <f>IF(F2166="","",VLOOKUP(F2166,Tabelle1[],2))</f>
        <v/>
      </c>
      <c r="C2166" s="40"/>
      <c r="E2166" s="80"/>
    </row>
    <row r="2167" spans="2:5" x14ac:dyDescent="0.25">
      <c r="B2167" s="40" t="str">
        <f>IF(F2167="","",VLOOKUP(F2167,Tabelle1[],2))</f>
        <v/>
      </c>
      <c r="C2167" s="40"/>
      <c r="E2167" s="80"/>
    </row>
    <row r="2168" spans="2:5" x14ac:dyDescent="0.25">
      <c r="B2168" s="40" t="str">
        <f>IF(F2168="","",VLOOKUP(F2168,Tabelle1[],2))</f>
        <v/>
      </c>
      <c r="C2168" s="40"/>
      <c r="E2168" s="80"/>
    </row>
    <row r="2169" spans="2:5" x14ac:dyDescent="0.25">
      <c r="B2169" s="40" t="str">
        <f>IF(F2169="","",VLOOKUP(F2169,Tabelle1[],2))</f>
        <v/>
      </c>
      <c r="C2169" s="40"/>
      <c r="E2169" s="80"/>
    </row>
    <row r="2170" spans="2:5" x14ac:dyDescent="0.25">
      <c r="B2170" s="40" t="str">
        <f>IF(F2170="","",VLOOKUP(F2170,Tabelle1[],2))</f>
        <v/>
      </c>
      <c r="C2170" s="40"/>
      <c r="E2170" s="80"/>
    </row>
    <row r="2171" spans="2:5" x14ac:dyDescent="0.25">
      <c r="B2171" s="40" t="str">
        <f>IF(F2171="","",VLOOKUP(F2171,Tabelle1[],2))</f>
        <v/>
      </c>
      <c r="C2171" s="40"/>
      <c r="E2171" s="80"/>
    </row>
    <row r="2172" spans="2:5" x14ac:dyDescent="0.25">
      <c r="B2172" s="40" t="str">
        <f>IF(F2172="","",VLOOKUP(F2172,Tabelle1[],2))</f>
        <v/>
      </c>
      <c r="C2172" s="40"/>
      <c r="E2172" s="80"/>
    </row>
    <row r="2173" spans="2:5" x14ac:dyDescent="0.25">
      <c r="B2173" s="40" t="str">
        <f>IF(F2173="","",VLOOKUP(F2173,Tabelle1[],2))</f>
        <v/>
      </c>
      <c r="C2173" s="40"/>
      <c r="E2173" s="80"/>
    </row>
    <row r="2174" spans="2:5" x14ac:dyDescent="0.25">
      <c r="B2174" s="40" t="str">
        <f>IF(F2174="","",VLOOKUP(F2174,Tabelle1[],2))</f>
        <v/>
      </c>
      <c r="C2174" s="40"/>
      <c r="E2174" s="80"/>
    </row>
    <row r="2175" spans="2:5" x14ac:dyDescent="0.25">
      <c r="B2175" s="40" t="str">
        <f>IF(F2175="","",VLOOKUP(F2175,Tabelle1[],2))</f>
        <v/>
      </c>
      <c r="C2175" s="40"/>
      <c r="E2175" s="80"/>
    </row>
    <row r="2176" spans="2:5" x14ac:dyDescent="0.25">
      <c r="B2176" s="40" t="str">
        <f>IF(F2176="","",VLOOKUP(F2176,Tabelle1[],2))</f>
        <v/>
      </c>
      <c r="C2176" s="40"/>
      <c r="E2176" s="80"/>
    </row>
    <row r="2177" spans="2:5" x14ac:dyDescent="0.25">
      <c r="B2177" s="40" t="str">
        <f>IF(F2177="","",VLOOKUP(F2177,Tabelle1[],2))</f>
        <v/>
      </c>
      <c r="C2177" s="40"/>
      <c r="E2177" s="80"/>
    </row>
    <row r="2178" spans="2:5" x14ac:dyDescent="0.25">
      <c r="B2178" s="40" t="str">
        <f>IF(F2178="","",VLOOKUP(F2178,Tabelle1[],2))</f>
        <v/>
      </c>
      <c r="C2178" s="40"/>
      <c r="E2178" s="80"/>
    </row>
    <row r="2179" spans="2:5" x14ac:dyDescent="0.25">
      <c r="B2179" s="40" t="str">
        <f>IF(F2179="","",VLOOKUP(F2179,Tabelle1[],2))</f>
        <v/>
      </c>
      <c r="C2179" s="40"/>
      <c r="E2179" s="80"/>
    </row>
    <row r="2180" spans="2:5" x14ac:dyDescent="0.25">
      <c r="B2180" s="40" t="str">
        <f>IF(F2180="","",VLOOKUP(F2180,Tabelle1[],2))</f>
        <v/>
      </c>
      <c r="C2180" s="40"/>
      <c r="E2180" s="80"/>
    </row>
    <row r="2181" spans="2:5" x14ac:dyDescent="0.25">
      <c r="B2181" s="40" t="str">
        <f>IF(F2181="","",VLOOKUP(F2181,Tabelle1[],2))</f>
        <v/>
      </c>
      <c r="C2181" s="40"/>
      <c r="E2181" s="80"/>
    </row>
    <row r="2182" spans="2:5" x14ac:dyDescent="0.25">
      <c r="B2182" s="40" t="str">
        <f>IF(F2182="","",VLOOKUP(F2182,Tabelle1[],2))</f>
        <v/>
      </c>
      <c r="C2182" s="40"/>
      <c r="E2182" s="80"/>
    </row>
    <row r="2183" spans="2:5" x14ac:dyDescent="0.25">
      <c r="B2183" s="40" t="str">
        <f>IF(F2183="","",VLOOKUP(F2183,Tabelle1[],2))</f>
        <v/>
      </c>
      <c r="C2183" s="40"/>
      <c r="E2183" s="80"/>
    </row>
    <row r="2184" spans="2:5" x14ac:dyDescent="0.25">
      <c r="B2184" s="40" t="str">
        <f>IF(F2184="","",VLOOKUP(F2184,Tabelle1[],2))</f>
        <v/>
      </c>
      <c r="C2184" s="40"/>
      <c r="E2184" s="80"/>
    </row>
    <row r="2185" spans="2:5" x14ac:dyDescent="0.25">
      <c r="B2185" s="40" t="str">
        <f>IF(F2185="","",VLOOKUP(F2185,Tabelle1[],2))</f>
        <v/>
      </c>
      <c r="C2185" s="40"/>
      <c r="E2185" s="80"/>
    </row>
    <row r="2186" spans="2:5" x14ac:dyDescent="0.25">
      <c r="B2186" s="40" t="str">
        <f>IF(F2186="","",VLOOKUP(F2186,Tabelle1[],2))</f>
        <v/>
      </c>
      <c r="C2186" s="40"/>
      <c r="E2186" s="80"/>
    </row>
    <row r="2187" spans="2:5" x14ac:dyDescent="0.25">
      <c r="B2187" s="40" t="str">
        <f>IF(F2187="","",VLOOKUP(F2187,Tabelle1[],2))</f>
        <v/>
      </c>
      <c r="C2187" s="40"/>
      <c r="E2187" s="80"/>
    </row>
    <row r="2188" spans="2:5" x14ac:dyDescent="0.25">
      <c r="B2188" s="40" t="str">
        <f>IF(F2188="","",VLOOKUP(F2188,Tabelle1[],2))</f>
        <v/>
      </c>
      <c r="C2188" s="40"/>
      <c r="E2188" s="80"/>
    </row>
    <row r="2189" spans="2:5" x14ac:dyDescent="0.25">
      <c r="B2189" s="40" t="str">
        <f>IF(F2189="","",VLOOKUP(F2189,Tabelle1[],2))</f>
        <v/>
      </c>
      <c r="C2189" s="40"/>
      <c r="E2189" s="80"/>
    </row>
    <row r="2190" spans="2:5" x14ac:dyDescent="0.25">
      <c r="B2190" s="40" t="str">
        <f>IF(F2190="","",VLOOKUP(F2190,Tabelle1[],2))</f>
        <v/>
      </c>
      <c r="C2190" s="40"/>
      <c r="E2190" s="80"/>
    </row>
    <row r="2191" spans="2:5" x14ac:dyDescent="0.25">
      <c r="B2191" s="40" t="str">
        <f>IF(F2191="","",VLOOKUP(F2191,Tabelle1[],2))</f>
        <v/>
      </c>
      <c r="C2191" s="40"/>
      <c r="E2191" s="80"/>
    </row>
    <row r="2192" spans="2:5" x14ac:dyDescent="0.25">
      <c r="B2192" s="40" t="str">
        <f>IF(F2192="","",VLOOKUP(F2192,Tabelle1[],2))</f>
        <v/>
      </c>
      <c r="C2192" s="40"/>
      <c r="E2192" s="80"/>
    </row>
    <row r="2193" spans="2:5" x14ac:dyDescent="0.25">
      <c r="B2193" s="40" t="str">
        <f>IF(F2193="","",VLOOKUP(F2193,Tabelle1[],2))</f>
        <v/>
      </c>
      <c r="C2193" s="40"/>
      <c r="E2193" s="80"/>
    </row>
    <row r="2194" spans="2:5" x14ac:dyDescent="0.25">
      <c r="B2194" s="40" t="str">
        <f>IF(F2194="","",VLOOKUP(F2194,Tabelle1[],2))</f>
        <v/>
      </c>
      <c r="C2194" s="40"/>
      <c r="E2194" s="80"/>
    </row>
    <row r="2195" spans="2:5" x14ac:dyDescent="0.25">
      <c r="B2195" s="40" t="str">
        <f>IF(F2195="","",VLOOKUP(F2195,Tabelle1[],2))</f>
        <v/>
      </c>
      <c r="C2195" s="40"/>
      <c r="E2195" s="80"/>
    </row>
    <row r="2196" spans="2:5" x14ac:dyDescent="0.25">
      <c r="B2196" s="40" t="str">
        <f>IF(F2196="","",VLOOKUP(F2196,Tabelle1[],2))</f>
        <v/>
      </c>
      <c r="C2196" s="40"/>
      <c r="E2196" s="80"/>
    </row>
    <row r="2197" spans="2:5" x14ac:dyDescent="0.25">
      <c r="B2197" s="40" t="str">
        <f>IF(F2197="","",VLOOKUP(F2197,Tabelle1[],2))</f>
        <v/>
      </c>
      <c r="C2197" s="40"/>
      <c r="E2197" s="80"/>
    </row>
    <row r="2198" spans="2:5" x14ac:dyDescent="0.25">
      <c r="B2198" s="40" t="str">
        <f>IF(F2198="","",VLOOKUP(F2198,Tabelle1[],2))</f>
        <v/>
      </c>
      <c r="C2198" s="40"/>
      <c r="E2198" s="80"/>
    </row>
    <row r="2199" spans="2:5" x14ac:dyDescent="0.25">
      <c r="B2199" s="40" t="str">
        <f>IF(F2199="","",VLOOKUP(F2199,Tabelle1[],2))</f>
        <v/>
      </c>
      <c r="C2199" s="40"/>
      <c r="E2199" s="80"/>
    </row>
    <row r="2200" spans="2:5" x14ac:dyDescent="0.25">
      <c r="B2200" s="40" t="str">
        <f>IF(F2200="","",VLOOKUP(F2200,Tabelle1[],2))</f>
        <v/>
      </c>
      <c r="C2200" s="40"/>
      <c r="E2200" s="80"/>
    </row>
    <row r="2201" spans="2:5" x14ac:dyDescent="0.25">
      <c r="B2201" s="40" t="str">
        <f>IF(F2201="","",VLOOKUP(F2201,Tabelle1[],2))</f>
        <v/>
      </c>
      <c r="C2201" s="40"/>
      <c r="E2201" s="80"/>
    </row>
    <row r="2202" spans="2:5" x14ac:dyDescent="0.25">
      <c r="B2202" s="40" t="str">
        <f>IF(F2202="","",VLOOKUP(F2202,Tabelle1[],2))</f>
        <v/>
      </c>
      <c r="C2202" s="40"/>
      <c r="E2202" s="80"/>
    </row>
    <row r="2203" spans="2:5" x14ac:dyDescent="0.25">
      <c r="B2203" s="40" t="str">
        <f>IF(F2203="","",VLOOKUP(F2203,Tabelle1[],2))</f>
        <v/>
      </c>
      <c r="C2203" s="40"/>
      <c r="E2203" s="80"/>
    </row>
    <row r="2204" spans="2:5" x14ac:dyDescent="0.25">
      <c r="B2204" s="40" t="str">
        <f>IF(F2204="","",VLOOKUP(F2204,Tabelle1[],2))</f>
        <v/>
      </c>
      <c r="C2204" s="40"/>
      <c r="E2204" s="80"/>
    </row>
    <row r="2205" spans="2:5" x14ac:dyDescent="0.25">
      <c r="B2205" s="40" t="str">
        <f>IF(F2205="","",VLOOKUP(F2205,Tabelle1[],2))</f>
        <v/>
      </c>
      <c r="C2205" s="40"/>
      <c r="E2205" s="80"/>
    </row>
    <row r="2206" spans="2:5" x14ac:dyDescent="0.25">
      <c r="B2206" s="40" t="str">
        <f>IF(F2206="","",VLOOKUP(F2206,Tabelle1[],2))</f>
        <v/>
      </c>
      <c r="C2206" s="40"/>
      <c r="E2206" s="80"/>
    </row>
    <row r="2207" spans="2:5" x14ac:dyDescent="0.25">
      <c r="B2207" s="40" t="str">
        <f>IF(F2207="","",VLOOKUP(F2207,Tabelle1[],2))</f>
        <v/>
      </c>
      <c r="C2207" s="40"/>
      <c r="E2207" s="80"/>
    </row>
    <row r="2208" spans="2:5" x14ac:dyDescent="0.25">
      <c r="B2208" s="40" t="str">
        <f>IF(F2208="","",VLOOKUP(F2208,Tabelle1[],2))</f>
        <v/>
      </c>
      <c r="C2208" s="40"/>
      <c r="E2208" s="80"/>
    </row>
    <row r="2209" spans="2:5" x14ac:dyDescent="0.25">
      <c r="B2209" s="40" t="str">
        <f>IF(F2209="","",VLOOKUP(F2209,Tabelle1[],2))</f>
        <v/>
      </c>
      <c r="C2209" s="40"/>
      <c r="E2209" s="80"/>
    </row>
    <row r="2210" spans="2:5" x14ac:dyDescent="0.25">
      <c r="B2210" s="40" t="str">
        <f>IF(F2210="","",VLOOKUP(F2210,Tabelle1[],2))</f>
        <v/>
      </c>
      <c r="C2210" s="40"/>
      <c r="E2210" s="80"/>
    </row>
    <row r="2211" spans="2:5" x14ac:dyDescent="0.25">
      <c r="B2211" s="40" t="str">
        <f>IF(F2211="","",VLOOKUP(F2211,Tabelle1[],2))</f>
        <v/>
      </c>
      <c r="C2211" s="40"/>
      <c r="E2211" s="80"/>
    </row>
    <row r="2212" spans="2:5" x14ac:dyDescent="0.25">
      <c r="B2212" s="40" t="str">
        <f>IF(F2212="","",VLOOKUP(F2212,Tabelle1[],2))</f>
        <v/>
      </c>
      <c r="C2212" s="40"/>
      <c r="E2212" s="80"/>
    </row>
    <row r="2213" spans="2:5" x14ac:dyDescent="0.25">
      <c r="B2213" s="40" t="str">
        <f>IF(F2213="","",VLOOKUP(F2213,Tabelle1[],2))</f>
        <v/>
      </c>
      <c r="C2213" s="40"/>
      <c r="E2213" s="80"/>
    </row>
    <row r="2214" spans="2:5" x14ac:dyDescent="0.25">
      <c r="B2214" s="40" t="str">
        <f>IF(F2214="","",VLOOKUP(F2214,Tabelle1[],2))</f>
        <v/>
      </c>
      <c r="C2214" s="40"/>
      <c r="E2214" s="80"/>
    </row>
    <row r="2215" spans="2:5" x14ac:dyDescent="0.25">
      <c r="B2215" s="40" t="str">
        <f>IF(F2215="","",VLOOKUP(F2215,Tabelle1[],2))</f>
        <v/>
      </c>
      <c r="C2215" s="40"/>
      <c r="E2215" s="80"/>
    </row>
    <row r="2216" spans="2:5" x14ac:dyDescent="0.25">
      <c r="B2216" s="40" t="str">
        <f>IF(F2216="","",VLOOKUP(F2216,Tabelle1[],2))</f>
        <v/>
      </c>
      <c r="C2216" s="40"/>
      <c r="E2216" s="80"/>
    </row>
    <row r="2217" spans="2:5" x14ac:dyDescent="0.25">
      <c r="B2217" s="40" t="str">
        <f>IF(F2217="","",VLOOKUP(F2217,Tabelle1[],2))</f>
        <v/>
      </c>
      <c r="C2217" s="40"/>
      <c r="E2217" s="80"/>
    </row>
    <row r="2218" spans="2:5" x14ac:dyDescent="0.25">
      <c r="B2218" s="40" t="str">
        <f>IF(F2218="","",VLOOKUP(F2218,Tabelle1[],2))</f>
        <v/>
      </c>
      <c r="C2218" s="40"/>
      <c r="E2218" s="80"/>
    </row>
    <row r="2219" spans="2:5" x14ac:dyDescent="0.25">
      <c r="B2219" s="40" t="str">
        <f>IF(F2219="","",VLOOKUP(F2219,Tabelle1[],2))</f>
        <v/>
      </c>
      <c r="C2219" s="40"/>
      <c r="E2219" s="80"/>
    </row>
    <row r="2220" spans="2:5" x14ac:dyDescent="0.25">
      <c r="B2220" s="40" t="str">
        <f>IF(F2220="","",VLOOKUP(F2220,Tabelle1[],2))</f>
        <v/>
      </c>
      <c r="C2220" s="40"/>
      <c r="E2220" s="80"/>
    </row>
    <row r="2221" spans="2:5" x14ac:dyDescent="0.25">
      <c r="B2221" s="40" t="str">
        <f>IF(F2221="","",VLOOKUP(F2221,Tabelle1[],2))</f>
        <v/>
      </c>
      <c r="C2221" s="40"/>
      <c r="E2221" s="80"/>
    </row>
    <row r="2222" spans="2:5" x14ac:dyDescent="0.25">
      <c r="B2222" s="40" t="str">
        <f>IF(F2222="","",VLOOKUP(F2222,Tabelle1[],2))</f>
        <v/>
      </c>
      <c r="C2222" s="40"/>
      <c r="E2222" s="80"/>
    </row>
    <row r="2223" spans="2:5" x14ac:dyDescent="0.25">
      <c r="B2223" s="40" t="str">
        <f>IF(F2223="","",VLOOKUP(F2223,Tabelle1[],2))</f>
        <v/>
      </c>
      <c r="C2223" s="40"/>
      <c r="E2223" s="80"/>
    </row>
    <row r="2224" spans="2:5" x14ac:dyDescent="0.25">
      <c r="B2224" s="40" t="str">
        <f>IF(F2224="","",VLOOKUP(F2224,Tabelle1[],2))</f>
        <v/>
      </c>
      <c r="C2224" s="40"/>
      <c r="E2224" s="80"/>
    </row>
    <row r="2225" spans="2:5" x14ac:dyDescent="0.25">
      <c r="B2225" s="40" t="str">
        <f>IF(F2225="","",VLOOKUP(F2225,Tabelle1[],2))</f>
        <v/>
      </c>
      <c r="C2225" s="40"/>
      <c r="E2225" s="80"/>
    </row>
    <row r="2226" spans="2:5" x14ac:dyDescent="0.25">
      <c r="B2226" s="40" t="str">
        <f>IF(F2226="","",VLOOKUP(F2226,Tabelle1[],2))</f>
        <v/>
      </c>
      <c r="C2226" s="40"/>
      <c r="E2226" s="80"/>
    </row>
    <row r="2227" spans="2:5" x14ac:dyDescent="0.25">
      <c r="B2227" s="40" t="str">
        <f>IF(F2227="","",VLOOKUP(F2227,Tabelle1[],2))</f>
        <v/>
      </c>
      <c r="C2227" s="40"/>
      <c r="E2227" s="80"/>
    </row>
    <row r="2228" spans="2:5" x14ac:dyDescent="0.25">
      <c r="B2228" s="40" t="str">
        <f>IF(F2228="","",VLOOKUP(F2228,Tabelle1[],2))</f>
        <v/>
      </c>
      <c r="C2228" s="40"/>
      <c r="E2228" s="80"/>
    </row>
    <row r="2229" spans="2:5" x14ac:dyDescent="0.25">
      <c r="B2229" s="40" t="str">
        <f>IF(F2229="","",VLOOKUP(F2229,Tabelle1[],2))</f>
        <v/>
      </c>
      <c r="C2229" s="40"/>
      <c r="E2229" s="80"/>
    </row>
    <row r="2230" spans="2:5" x14ac:dyDescent="0.25">
      <c r="B2230" s="40" t="str">
        <f>IF(F2230="","",VLOOKUP(F2230,Tabelle1[],2))</f>
        <v/>
      </c>
      <c r="C2230" s="40"/>
      <c r="E2230" s="80"/>
    </row>
    <row r="2231" spans="2:5" x14ac:dyDescent="0.25">
      <c r="B2231" s="40" t="str">
        <f>IF(F2231="","",VLOOKUP(F2231,Tabelle1[],2))</f>
        <v/>
      </c>
      <c r="C2231" s="40"/>
      <c r="E2231" s="80"/>
    </row>
    <row r="2232" spans="2:5" x14ac:dyDescent="0.25">
      <c r="B2232" s="40" t="str">
        <f>IF(F2232="","",VLOOKUP(F2232,Tabelle1[],2))</f>
        <v/>
      </c>
      <c r="C2232" s="40"/>
      <c r="E2232" s="80"/>
    </row>
    <row r="2233" spans="2:5" x14ac:dyDescent="0.25">
      <c r="B2233" s="40" t="str">
        <f>IF(F2233="","",VLOOKUP(F2233,Tabelle1[],2))</f>
        <v/>
      </c>
      <c r="C2233" s="40"/>
      <c r="E2233" s="80"/>
    </row>
    <row r="2234" spans="2:5" x14ac:dyDescent="0.25">
      <c r="B2234" s="40" t="str">
        <f>IF(F2234="","",VLOOKUP(F2234,Tabelle1[],2))</f>
        <v/>
      </c>
      <c r="C2234" s="40"/>
      <c r="E2234" s="80"/>
    </row>
    <row r="2235" spans="2:5" x14ac:dyDescent="0.25">
      <c r="B2235" s="40" t="str">
        <f>IF(F2235="","",VLOOKUP(F2235,Tabelle1[],2))</f>
        <v/>
      </c>
      <c r="C2235" s="40"/>
      <c r="E2235" s="80"/>
    </row>
    <row r="2236" spans="2:5" x14ac:dyDescent="0.25">
      <c r="B2236" s="40" t="str">
        <f>IF(F2236="","",VLOOKUP(F2236,Tabelle1[],2))</f>
        <v/>
      </c>
      <c r="C2236" s="40"/>
      <c r="E2236" s="80"/>
    </row>
    <row r="2237" spans="2:5" x14ac:dyDescent="0.25">
      <c r="B2237" s="40" t="str">
        <f>IF(F2237="","",VLOOKUP(F2237,Tabelle1[],2))</f>
        <v/>
      </c>
      <c r="C2237" s="40"/>
      <c r="E2237" s="80"/>
    </row>
    <row r="2238" spans="2:5" x14ac:dyDescent="0.25">
      <c r="B2238" s="40" t="str">
        <f>IF(F2238="","",VLOOKUP(F2238,Tabelle1[],2))</f>
        <v/>
      </c>
      <c r="C2238" s="40"/>
      <c r="E2238" s="80"/>
    </row>
    <row r="2239" spans="2:5" x14ac:dyDescent="0.25">
      <c r="B2239" s="40" t="str">
        <f>IF(F2239="","",VLOOKUP(F2239,Tabelle1[],2))</f>
        <v/>
      </c>
      <c r="C2239" s="40"/>
      <c r="E2239" s="80"/>
    </row>
    <row r="2240" spans="2:5" x14ac:dyDescent="0.25">
      <c r="B2240" s="40" t="str">
        <f>IF(F2240="","",VLOOKUP(F2240,Tabelle1[],2))</f>
        <v/>
      </c>
      <c r="C2240" s="40"/>
      <c r="E2240" s="80"/>
    </row>
    <row r="2241" spans="2:5" x14ac:dyDescent="0.25">
      <c r="B2241" s="40" t="str">
        <f>IF(F2241="","",VLOOKUP(F2241,Tabelle1[],2))</f>
        <v/>
      </c>
      <c r="C2241" s="40"/>
      <c r="E2241" s="80"/>
    </row>
    <row r="2242" spans="2:5" x14ac:dyDescent="0.25">
      <c r="B2242" s="40" t="str">
        <f>IF(F2242="","",VLOOKUP(F2242,Tabelle1[],2))</f>
        <v/>
      </c>
      <c r="C2242" s="40"/>
      <c r="E2242" s="80"/>
    </row>
    <row r="2243" spans="2:5" x14ac:dyDescent="0.25">
      <c r="B2243" s="40" t="str">
        <f>IF(F2243="","",VLOOKUP(F2243,Tabelle1[],2))</f>
        <v/>
      </c>
      <c r="C2243" s="40"/>
      <c r="E2243" s="80"/>
    </row>
    <row r="2244" spans="2:5" x14ac:dyDescent="0.25">
      <c r="B2244" s="40" t="str">
        <f>IF(F2244="","",VLOOKUP(F2244,Tabelle1[],2))</f>
        <v/>
      </c>
      <c r="C2244" s="40"/>
      <c r="E2244" s="80"/>
    </row>
    <row r="2245" spans="2:5" x14ac:dyDescent="0.25">
      <c r="B2245" s="40" t="str">
        <f>IF(F2245="","",VLOOKUP(F2245,Tabelle1[],2))</f>
        <v/>
      </c>
      <c r="C2245" s="40"/>
      <c r="E2245" s="80"/>
    </row>
    <row r="2246" spans="2:5" x14ac:dyDescent="0.25">
      <c r="B2246" s="40" t="str">
        <f>IF(F2246="","",VLOOKUP(F2246,Tabelle1[],2))</f>
        <v/>
      </c>
      <c r="C2246" s="40"/>
      <c r="E2246" s="80"/>
    </row>
    <row r="2247" spans="2:5" x14ac:dyDescent="0.25">
      <c r="B2247" s="40" t="str">
        <f>IF(F2247="","",VLOOKUP(F2247,Tabelle1[],2))</f>
        <v/>
      </c>
      <c r="C2247" s="40"/>
      <c r="E2247" s="80"/>
    </row>
    <row r="2248" spans="2:5" x14ac:dyDescent="0.25">
      <c r="B2248" s="40" t="str">
        <f>IF(F2248="","",VLOOKUP(F2248,Tabelle1[],2))</f>
        <v/>
      </c>
      <c r="C2248" s="40"/>
      <c r="E2248" s="80"/>
    </row>
    <row r="2249" spans="2:5" x14ac:dyDescent="0.25">
      <c r="B2249" s="40" t="str">
        <f>IF(F2249="","",VLOOKUP(F2249,Tabelle1[],2))</f>
        <v/>
      </c>
      <c r="C2249" s="40"/>
      <c r="E2249" s="80"/>
    </row>
    <row r="2250" spans="2:5" x14ac:dyDescent="0.25">
      <c r="B2250" s="40" t="str">
        <f>IF(F2250="","",VLOOKUP(F2250,Tabelle1[],2))</f>
        <v/>
      </c>
      <c r="C2250" s="40"/>
      <c r="E2250" s="80"/>
    </row>
    <row r="2251" spans="2:5" x14ac:dyDescent="0.25">
      <c r="B2251" s="40" t="str">
        <f>IF(F2251="","",VLOOKUP(F2251,Tabelle1[],2))</f>
        <v/>
      </c>
      <c r="C2251" s="40"/>
      <c r="E2251" s="80"/>
    </row>
    <row r="2252" spans="2:5" x14ac:dyDescent="0.25">
      <c r="B2252" s="40" t="str">
        <f>IF(F2252="","",VLOOKUP(F2252,Tabelle1[],2))</f>
        <v/>
      </c>
      <c r="C2252" s="40"/>
      <c r="E2252" s="80"/>
    </row>
    <row r="2253" spans="2:5" x14ac:dyDescent="0.25">
      <c r="B2253" s="40" t="str">
        <f>IF(F2253="","",VLOOKUP(F2253,Tabelle1[],2))</f>
        <v/>
      </c>
      <c r="C2253" s="40"/>
      <c r="E2253" s="80"/>
    </row>
    <row r="2254" spans="2:5" x14ac:dyDescent="0.25">
      <c r="B2254" s="40" t="str">
        <f>IF(F2254="","",VLOOKUP(F2254,Tabelle1[],2))</f>
        <v/>
      </c>
      <c r="C2254" s="40"/>
      <c r="E2254" s="80"/>
    </row>
    <row r="2255" spans="2:5" x14ac:dyDescent="0.25">
      <c r="B2255" s="40" t="str">
        <f>IF(F2255="","",VLOOKUP(F2255,Tabelle1[],2))</f>
        <v/>
      </c>
      <c r="C2255" s="40"/>
      <c r="E2255" s="80"/>
    </row>
    <row r="2256" spans="2:5" x14ac:dyDescent="0.25">
      <c r="B2256" s="40" t="str">
        <f>IF(F2256="","",VLOOKUP(F2256,Tabelle1[],2))</f>
        <v/>
      </c>
      <c r="C2256" s="40"/>
      <c r="E2256" s="80"/>
    </row>
    <row r="2257" spans="2:5" x14ac:dyDescent="0.25">
      <c r="B2257" s="40" t="str">
        <f>IF(F2257="","",VLOOKUP(F2257,Tabelle1[],2))</f>
        <v/>
      </c>
      <c r="C2257" s="40"/>
      <c r="E2257" s="80"/>
    </row>
    <row r="2258" spans="2:5" x14ac:dyDescent="0.25">
      <c r="B2258" s="40" t="str">
        <f>IF(F2258="","",VLOOKUP(F2258,Tabelle1[],2))</f>
        <v/>
      </c>
      <c r="C2258" s="40"/>
      <c r="E2258" s="80"/>
    </row>
    <row r="2259" spans="2:5" x14ac:dyDescent="0.25">
      <c r="B2259" s="40" t="str">
        <f>IF(F2259="","",VLOOKUP(F2259,Tabelle1[],2))</f>
        <v/>
      </c>
      <c r="C2259" s="40"/>
      <c r="E2259" s="80"/>
    </row>
    <row r="2260" spans="2:5" x14ac:dyDescent="0.25">
      <c r="B2260" s="40" t="str">
        <f>IF(F2260="","",VLOOKUP(F2260,Tabelle1[],2))</f>
        <v/>
      </c>
      <c r="C2260" s="40"/>
      <c r="E2260" s="80"/>
    </row>
    <row r="2261" spans="2:5" x14ac:dyDescent="0.25">
      <c r="B2261" s="40" t="str">
        <f>IF(F2261="","",VLOOKUP(F2261,Tabelle1[],2))</f>
        <v/>
      </c>
      <c r="C2261" s="40"/>
      <c r="E2261" s="80"/>
    </row>
    <row r="2262" spans="2:5" x14ac:dyDescent="0.25">
      <c r="B2262" s="40" t="str">
        <f>IF(F2262="","",VLOOKUP(F2262,Tabelle1[],2))</f>
        <v/>
      </c>
      <c r="C2262" s="40"/>
      <c r="E2262" s="80"/>
    </row>
    <row r="2263" spans="2:5" x14ac:dyDescent="0.25">
      <c r="B2263" s="40" t="str">
        <f>IF(F2263="","",VLOOKUP(F2263,Tabelle1[],2))</f>
        <v/>
      </c>
      <c r="C2263" s="40"/>
      <c r="E2263" s="80"/>
    </row>
    <row r="2264" spans="2:5" x14ac:dyDescent="0.25">
      <c r="B2264" s="40" t="str">
        <f>IF(F2264="","",VLOOKUP(F2264,Tabelle1[],2))</f>
        <v/>
      </c>
      <c r="C2264" s="40"/>
      <c r="E2264" s="80"/>
    </row>
    <row r="2265" spans="2:5" x14ac:dyDescent="0.25">
      <c r="B2265" s="40" t="str">
        <f>IF(F2265="","",VLOOKUP(F2265,Tabelle1[],2))</f>
        <v/>
      </c>
      <c r="C2265" s="40"/>
      <c r="E2265" s="80"/>
    </row>
    <row r="2266" spans="2:5" x14ac:dyDescent="0.25">
      <c r="B2266" s="40" t="str">
        <f>IF(F2266="","",VLOOKUP(F2266,Tabelle1[],2))</f>
        <v/>
      </c>
      <c r="C2266" s="40"/>
      <c r="E2266" s="80"/>
    </row>
    <row r="2267" spans="2:5" x14ac:dyDescent="0.25">
      <c r="B2267" s="40" t="str">
        <f>IF(F2267="","",VLOOKUP(F2267,Tabelle1[],2))</f>
        <v/>
      </c>
      <c r="C2267" s="40"/>
      <c r="E2267" s="80"/>
    </row>
    <row r="2268" spans="2:5" x14ac:dyDescent="0.25">
      <c r="B2268" s="40" t="str">
        <f>IF(F2268="","",VLOOKUP(F2268,Tabelle1[],2))</f>
        <v/>
      </c>
      <c r="C2268" s="40"/>
      <c r="E2268" s="80"/>
    </row>
    <row r="2269" spans="2:5" x14ac:dyDescent="0.25">
      <c r="B2269" s="40" t="str">
        <f>IF(F2269="","",VLOOKUP(F2269,Tabelle1[],2))</f>
        <v/>
      </c>
      <c r="C2269" s="40"/>
      <c r="E2269" s="80"/>
    </row>
    <row r="2270" spans="2:5" x14ac:dyDescent="0.25">
      <c r="B2270" s="40" t="str">
        <f>IF(F2270="","",VLOOKUP(F2270,Tabelle1[],2))</f>
        <v/>
      </c>
      <c r="C2270" s="40"/>
      <c r="E2270" s="80"/>
    </row>
    <row r="2271" spans="2:5" x14ac:dyDescent="0.25">
      <c r="B2271" s="40" t="str">
        <f>IF(F2271="","",VLOOKUP(F2271,Tabelle1[],2))</f>
        <v/>
      </c>
      <c r="C2271" s="40"/>
      <c r="E2271" s="80"/>
    </row>
    <row r="2272" spans="2:5" x14ac:dyDescent="0.25">
      <c r="B2272" s="40" t="str">
        <f>IF(F2272="","",VLOOKUP(F2272,Tabelle1[],2))</f>
        <v/>
      </c>
      <c r="C2272" s="40"/>
      <c r="E2272" s="80"/>
    </row>
    <row r="2273" spans="2:5" x14ac:dyDescent="0.25">
      <c r="B2273" s="40" t="str">
        <f>IF(F2273="","",VLOOKUP(F2273,Tabelle1[],2))</f>
        <v/>
      </c>
      <c r="C2273" s="40"/>
      <c r="E2273" s="80"/>
    </row>
    <row r="2274" spans="2:5" x14ac:dyDescent="0.25">
      <c r="B2274" s="40" t="str">
        <f>IF(F2274="","",VLOOKUP(F2274,Tabelle1[],2))</f>
        <v/>
      </c>
      <c r="C2274" s="40"/>
      <c r="E2274" s="80"/>
    </row>
    <row r="2275" spans="2:5" x14ac:dyDescent="0.25">
      <c r="B2275" s="40" t="str">
        <f>IF(F2275="","",VLOOKUP(F2275,Tabelle1[],2))</f>
        <v/>
      </c>
      <c r="C2275" s="40"/>
      <c r="E2275" s="80"/>
    </row>
    <row r="2276" spans="2:5" x14ac:dyDescent="0.25">
      <c r="B2276" s="40" t="str">
        <f>IF(F2276="","",VLOOKUP(F2276,Tabelle1[],2))</f>
        <v/>
      </c>
      <c r="C2276" s="40"/>
      <c r="E2276" s="80"/>
    </row>
    <row r="2277" spans="2:5" x14ac:dyDescent="0.25">
      <c r="B2277" s="40" t="str">
        <f>IF(F2277="","",VLOOKUP(F2277,Tabelle1[],2))</f>
        <v/>
      </c>
      <c r="C2277" s="40"/>
      <c r="E2277" s="80"/>
    </row>
    <row r="2278" spans="2:5" x14ac:dyDescent="0.25">
      <c r="B2278" s="40" t="str">
        <f>IF(F2278="","",VLOOKUP(F2278,Tabelle1[],2))</f>
        <v/>
      </c>
      <c r="C2278" s="40"/>
      <c r="E2278" s="80"/>
    </row>
    <row r="2279" spans="2:5" x14ac:dyDescent="0.25">
      <c r="B2279" s="40" t="str">
        <f>IF(F2279="","",VLOOKUP(F2279,Tabelle1[],2))</f>
        <v/>
      </c>
      <c r="C2279" s="40"/>
      <c r="E2279" s="80"/>
    </row>
    <row r="2280" spans="2:5" x14ac:dyDescent="0.25">
      <c r="B2280" s="40" t="str">
        <f>IF(F2280="","",VLOOKUP(F2280,Tabelle1[],2))</f>
        <v/>
      </c>
      <c r="C2280" s="40"/>
      <c r="E2280" s="80"/>
    </row>
    <row r="2281" spans="2:5" x14ac:dyDescent="0.25">
      <c r="B2281" s="40" t="str">
        <f>IF(F2281="","",VLOOKUP(F2281,Tabelle1[],2))</f>
        <v/>
      </c>
      <c r="C2281" s="40"/>
      <c r="E2281" s="80"/>
    </row>
    <row r="2282" spans="2:5" x14ac:dyDescent="0.25">
      <c r="B2282" s="40" t="str">
        <f>IF(F2282="","",VLOOKUP(F2282,Tabelle1[],2))</f>
        <v/>
      </c>
      <c r="C2282" s="40"/>
      <c r="E2282" s="80"/>
    </row>
    <row r="2283" spans="2:5" x14ac:dyDescent="0.25">
      <c r="B2283" s="40" t="str">
        <f>IF(F2283="","",VLOOKUP(F2283,Tabelle1[],2))</f>
        <v/>
      </c>
      <c r="C2283" s="40"/>
      <c r="E2283" s="80"/>
    </row>
    <row r="2284" spans="2:5" x14ac:dyDescent="0.25">
      <c r="B2284" s="40" t="str">
        <f>IF(F2284="","",VLOOKUP(F2284,Tabelle1[],2))</f>
        <v/>
      </c>
      <c r="C2284" s="40"/>
      <c r="E2284" s="80"/>
    </row>
    <row r="2285" spans="2:5" x14ac:dyDescent="0.25">
      <c r="B2285" s="40" t="str">
        <f>IF(F2285="","",VLOOKUP(F2285,Tabelle1[],2))</f>
        <v/>
      </c>
      <c r="C2285" s="40"/>
      <c r="E2285" s="80"/>
    </row>
    <row r="2286" spans="2:5" x14ac:dyDescent="0.25">
      <c r="B2286" s="40" t="str">
        <f>IF(F2286="","",VLOOKUP(F2286,Tabelle1[],2))</f>
        <v/>
      </c>
      <c r="C2286" s="40"/>
      <c r="E2286" s="80"/>
    </row>
    <row r="2287" spans="2:5" x14ac:dyDescent="0.25">
      <c r="B2287" s="40" t="str">
        <f>IF(F2287="","",VLOOKUP(F2287,Tabelle1[],2))</f>
        <v/>
      </c>
      <c r="C2287" s="40"/>
      <c r="E2287" s="80"/>
    </row>
    <row r="2288" spans="2:5" x14ac:dyDescent="0.25">
      <c r="B2288" s="40" t="str">
        <f>IF(F2288="","",VLOOKUP(F2288,Tabelle1[],2))</f>
        <v/>
      </c>
      <c r="C2288" s="40"/>
      <c r="E2288" s="80"/>
    </row>
    <row r="2289" spans="2:5" x14ac:dyDescent="0.25">
      <c r="B2289" s="40" t="str">
        <f>IF(F2289="","",VLOOKUP(F2289,Tabelle1[],2))</f>
        <v/>
      </c>
      <c r="C2289" s="40"/>
      <c r="E2289" s="80"/>
    </row>
    <row r="2290" spans="2:5" x14ac:dyDescent="0.25">
      <c r="B2290" s="40" t="str">
        <f>IF(F2290="","",VLOOKUP(F2290,Tabelle1[],2))</f>
        <v/>
      </c>
      <c r="C2290" s="40"/>
      <c r="E2290" s="80"/>
    </row>
    <row r="2291" spans="2:5" x14ac:dyDescent="0.25">
      <c r="B2291" s="40" t="str">
        <f>IF(F2291="","",VLOOKUP(F2291,Tabelle1[],2))</f>
        <v/>
      </c>
      <c r="C2291" s="40"/>
      <c r="E2291" s="80"/>
    </row>
    <row r="2292" spans="2:5" x14ac:dyDescent="0.25">
      <c r="B2292" s="40" t="str">
        <f>IF(F2292="","",VLOOKUP(F2292,Tabelle1[],2))</f>
        <v/>
      </c>
      <c r="C2292" s="40"/>
      <c r="E2292" s="80"/>
    </row>
    <row r="2293" spans="2:5" x14ac:dyDescent="0.25">
      <c r="B2293" s="40" t="str">
        <f>IF(F2293="","",VLOOKUP(F2293,Tabelle1[],2))</f>
        <v/>
      </c>
      <c r="C2293" s="40"/>
      <c r="E2293" s="80"/>
    </row>
    <row r="2294" spans="2:5" x14ac:dyDescent="0.25">
      <c r="B2294" s="40" t="str">
        <f>IF(F2294="","",VLOOKUP(F2294,Tabelle1[],2))</f>
        <v/>
      </c>
      <c r="C2294" s="40"/>
      <c r="E2294" s="80"/>
    </row>
    <row r="2295" spans="2:5" x14ac:dyDescent="0.25">
      <c r="B2295" s="40" t="str">
        <f>IF(F2295="","",VLOOKUP(F2295,Tabelle1[],2))</f>
        <v/>
      </c>
      <c r="C2295" s="40"/>
      <c r="E2295" s="80"/>
    </row>
    <row r="2296" spans="2:5" x14ac:dyDescent="0.25">
      <c r="B2296" s="40" t="str">
        <f>IF(F2296="","",VLOOKUP(F2296,Tabelle1[],2))</f>
        <v/>
      </c>
      <c r="C2296" s="40"/>
      <c r="E2296" s="80"/>
    </row>
    <row r="2297" spans="2:5" x14ac:dyDescent="0.25">
      <c r="B2297" s="40" t="str">
        <f>IF(F2297="","",VLOOKUP(F2297,Tabelle1[],2))</f>
        <v/>
      </c>
      <c r="C2297" s="40"/>
      <c r="E2297" s="80"/>
    </row>
    <row r="2298" spans="2:5" x14ac:dyDescent="0.25">
      <c r="B2298" s="40" t="str">
        <f>IF(F2298="","",VLOOKUP(F2298,Tabelle1[],2))</f>
        <v/>
      </c>
      <c r="C2298" s="40"/>
      <c r="E2298" s="80"/>
    </row>
    <row r="2299" spans="2:5" x14ac:dyDescent="0.25">
      <c r="B2299" s="40" t="str">
        <f>IF(F2299="","",VLOOKUP(F2299,Tabelle1[],2))</f>
        <v/>
      </c>
      <c r="C2299" s="40"/>
      <c r="E2299" s="80"/>
    </row>
    <row r="2300" spans="2:5" x14ac:dyDescent="0.25">
      <c r="B2300" s="40" t="str">
        <f>IF(F2300="","",VLOOKUP(F2300,Tabelle1[],2))</f>
        <v/>
      </c>
      <c r="C2300" s="40"/>
      <c r="E2300" s="80"/>
    </row>
    <row r="2301" spans="2:5" x14ac:dyDescent="0.25">
      <c r="B2301" s="40" t="str">
        <f>IF(F2301="","",VLOOKUP(F2301,Tabelle1[],2))</f>
        <v/>
      </c>
      <c r="C2301" s="40"/>
      <c r="E2301" s="80"/>
    </row>
    <row r="2302" spans="2:5" x14ac:dyDescent="0.25">
      <c r="B2302" s="40" t="str">
        <f>IF(F2302="","",VLOOKUP(F2302,Tabelle1[],2))</f>
        <v/>
      </c>
      <c r="C2302" s="40"/>
      <c r="E2302" s="80"/>
    </row>
    <row r="2303" spans="2:5" x14ac:dyDescent="0.25">
      <c r="B2303" s="40" t="str">
        <f>IF(F2303="","",VLOOKUP(F2303,Tabelle1[],2))</f>
        <v/>
      </c>
      <c r="C2303" s="40"/>
      <c r="E2303" s="80"/>
    </row>
    <row r="2304" spans="2:5" x14ac:dyDescent="0.25">
      <c r="B2304" s="40" t="str">
        <f>IF(F2304="","",VLOOKUP(F2304,Tabelle1[],2))</f>
        <v/>
      </c>
      <c r="C2304" s="40"/>
      <c r="E2304" s="80"/>
    </row>
    <row r="2305" spans="2:5" x14ac:dyDescent="0.25">
      <c r="B2305" s="40" t="str">
        <f>IF(F2305="","",VLOOKUP(F2305,Tabelle1[],2))</f>
        <v/>
      </c>
      <c r="C2305" s="40"/>
      <c r="E2305" s="80"/>
    </row>
    <row r="2306" spans="2:5" x14ac:dyDescent="0.25">
      <c r="B2306" s="40" t="str">
        <f>IF(F2306="","",VLOOKUP(F2306,Tabelle1[],2))</f>
        <v/>
      </c>
      <c r="C2306" s="40"/>
      <c r="E2306" s="80"/>
    </row>
    <row r="2307" spans="2:5" x14ac:dyDescent="0.25">
      <c r="B2307" s="40" t="str">
        <f>IF(F2307="","",VLOOKUP(F2307,Tabelle1[],2))</f>
        <v/>
      </c>
      <c r="C2307" s="40"/>
      <c r="E2307" s="80"/>
    </row>
    <row r="2308" spans="2:5" x14ac:dyDescent="0.25">
      <c r="B2308" s="40" t="str">
        <f>IF(F2308="","",VLOOKUP(F2308,Tabelle1[],2))</f>
        <v/>
      </c>
      <c r="C2308" s="40"/>
      <c r="E2308" s="80"/>
    </row>
    <row r="2309" spans="2:5" x14ac:dyDescent="0.25">
      <c r="B2309" s="40" t="str">
        <f>IF(F2309="","",VLOOKUP(F2309,Tabelle1[],2))</f>
        <v/>
      </c>
      <c r="C2309" s="40"/>
      <c r="E2309" s="80"/>
    </row>
    <row r="2310" spans="2:5" x14ac:dyDescent="0.25">
      <c r="B2310" s="40" t="str">
        <f>IF(F2310="","",VLOOKUP(F2310,Tabelle1[],2))</f>
        <v/>
      </c>
      <c r="C2310" s="40"/>
      <c r="E2310" s="80"/>
    </row>
    <row r="2311" spans="2:5" x14ac:dyDescent="0.25">
      <c r="B2311" s="40" t="str">
        <f>IF(F2311="","",VLOOKUP(F2311,Tabelle1[],2))</f>
        <v/>
      </c>
      <c r="C2311" s="40"/>
      <c r="E2311" s="80"/>
    </row>
    <row r="2312" spans="2:5" x14ac:dyDescent="0.25">
      <c r="B2312" s="40" t="str">
        <f>IF(F2312="","",VLOOKUP(F2312,Tabelle1[],2))</f>
        <v/>
      </c>
      <c r="C2312" s="40"/>
      <c r="E2312" s="80"/>
    </row>
    <row r="2313" spans="2:5" x14ac:dyDescent="0.25">
      <c r="B2313" s="40" t="str">
        <f>IF(F2313="","",VLOOKUP(F2313,Tabelle1[],2))</f>
        <v/>
      </c>
      <c r="C2313" s="40"/>
      <c r="E2313" s="80"/>
    </row>
    <row r="2314" spans="2:5" x14ac:dyDescent="0.25">
      <c r="B2314" s="40" t="str">
        <f>IF(F2314="","",VLOOKUP(F2314,Tabelle1[],2))</f>
        <v/>
      </c>
      <c r="C2314" s="40"/>
      <c r="E2314" s="80"/>
    </row>
    <row r="2315" spans="2:5" x14ac:dyDescent="0.25">
      <c r="B2315" s="40" t="str">
        <f>IF(F2315="","",VLOOKUP(F2315,Tabelle1[],2))</f>
        <v/>
      </c>
      <c r="C2315" s="40"/>
      <c r="E2315" s="80"/>
    </row>
    <row r="2316" spans="2:5" x14ac:dyDescent="0.25">
      <c r="B2316" s="40" t="str">
        <f>IF(F2316="","",VLOOKUP(F2316,Tabelle1[],2))</f>
        <v/>
      </c>
      <c r="C2316" s="40"/>
      <c r="E2316" s="80"/>
    </row>
    <row r="2317" spans="2:5" x14ac:dyDescent="0.25">
      <c r="B2317" s="40" t="str">
        <f>IF(F2317="","",VLOOKUP(F2317,Tabelle1[],2))</f>
        <v/>
      </c>
      <c r="C2317" s="40"/>
      <c r="E2317" s="80"/>
    </row>
    <row r="2318" spans="2:5" x14ac:dyDescent="0.25">
      <c r="B2318" s="40" t="str">
        <f>IF(F2318="","",VLOOKUP(F2318,Tabelle1[],2))</f>
        <v/>
      </c>
      <c r="C2318" s="40"/>
      <c r="E2318" s="80"/>
    </row>
    <row r="2319" spans="2:5" x14ac:dyDescent="0.25">
      <c r="B2319" s="40" t="str">
        <f>IF(F2319="","",VLOOKUP(F2319,Tabelle1[],2))</f>
        <v/>
      </c>
      <c r="C2319" s="40"/>
      <c r="E2319" s="80"/>
    </row>
    <row r="2320" spans="2:5" x14ac:dyDescent="0.25">
      <c r="B2320" s="40" t="str">
        <f>IF(F2320="","",VLOOKUP(F2320,Tabelle1[],2))</f>
        <v/>
      </c>
      <c r="C2320" s="40"/>
      <c r="E2320" s="80"/>
    </row>
    <row r="2321" spans="2:5" x14ac:dyDescent="0.25">
      <c r="B2321" s="40" t="str">
        <f>IF(F2321="","",VLOOKUP(F2321,Tabelle1[],2))</f>
        <v/>
      </c>
      <c r="C2321" s="40"/>
      <c r="E2321" s="80"/>
    </row>
    <row r="2322" spans="2:5" x14ac:dyDescent="0.25">
      <c r="B2322" s="40" t="str">
        <f>IF(F2322="","",VLOOKUP(F2322,Tabelle1[],2))</f>
        <v/>
      </c>
      <c r="C2322" s="40"/>
      <c r="E2322" s="80"/>
    </row>
    <row r="2323" spans="2:5" x14ac:dyDescent="0.25">
      <c r="B2323" s="40" t="str">
        <f>IF(F2323="","",VLOOKUP(F2323,Tabelle1[],2))</f>
        <v/>
      </c>
      <c r="C2323" s="40"/>
      <c r="E2323" s="80"/>
    </row>
    <row r="2324" spans="2:5" x14ac:dyDescent="0.25">
      <c r="B2324" s="40" t="str">
        <f>IF(F2324="","",VLOOKUP(F2324,Tabelle1[],2))</f>
        <v/>
      </c>
      <c r="C2324" s="40"/>
      <c r="E2324" s="80"/>
    </row>
    <row r="2325" spans="2:5" x14ac:dyDescent="0.25">
      <c r="B2325" s="40" t="str">
        <f>IF(F2325="","",VLOOKUP(F2325,Tabelle1[],2))</f>
        <v/>
      </c>
      <c r="C2325" s="40"/>
      <c r="E2325" s="80"/>
    </row>
    <row r="2326" spans="2:5" x14ac:dyDescent="0.25">
      <c r="B2326" s="40" t="str">
        <f>IF(F2326="","",VLOOKUP(F2326,Tabelle1[],2))</f>
        <v/>
      </c>
      <c r="C2326" s="40"/>
      <c r="E2326" s="80"/>
    </row>
    <row r="2327" spans="2:5" x14ac:dyDescent="0.25">
      <c r="B2327" s="40" t="str">
        <f>IF(F2327="","",VLOOKUP(F2327,Tabelle1[],2))</f>
        <v/>
      </c>
      <c r="C2327" s="40"/>
      <c r="E2327" s="80"/>
    </row>
    <row r="2328" spans="2:5" x14ac:dyDescent="0.25">
      <c r="B2328" s="40" t="str">
        <f>IF(F2328="","",VLOOKUP(F2328,Tabelle1[],2))</f>
        <v/>
      </c>
      <c r="C2328" s="40"/>
      <c r="E2328" s="80"/>
    </row>
    <row r="2329" spans="2:5" x14ac:dyDescent="0.25">
      <c r="B2329" s="40" t="str">
        <f>IF(F2329="","",VLOOKUP(F2329,Tabelle1[],2))</f>
        <v/>
      </c>
      <c r="C2329" s="40"/>
      <c r="E2329" s="80"/>
    </row>
    <row r="2330" spans="2:5" x14ac:dyDescent="0.25">
      <c r="B2330" s="40" t="str">
        <f>IF(F2330="","",VLOOKUP(F2330,Tabelle1[],2))</f>
        <v/>
      </c>
      <c r="C2330" s="40"/>
      <c r="E2330" s="80"/>
    </row>
    <row r="2331" spans="2:5" x14ac:dyDescent="0.25">
      <c r="B2331" s="40" t="str">
        <f>IF(F2331="","",VLOOKUP(F2331,Tabelle1[],2))</f>
        <v/>
      </c>
      <c r="C2331" s="40"/>
      <c r="E2331" s="80"/>
    </row>
    <row r="2332" spans="2:5" x14ac:dyDescent="0.25">
      <c r="B2332" s="40" t="str">
        <f>IF(F2332="","",VLOOKUP(F2332,Tabelle1[],2))</f>
        <v/>
      </c>
      <c r="C2332" s="40"/>
      <c r="E2332" s="80"/>
    </row>
    <row r="2333" spans="2:5" x14ac:dyDescent="0.25">
      <c r="B2333" s="40" t="str">
        <f>IF(F2333="","",VLOOKUP(F2333,Tabelle1[],2))</f>
        <v/>
      </c>
      <c r="C2333" s="40"/>
      <c r="E2333" s="80"/>
    </row>
    <row r="2334" spans="2:5" x14ac:dyDescent="0.25">
      <c r="B2334" s="40" t="str">
        <f>IF(F2334="","",VLOOKUP(F2334,Tabelle1[],2))</f>
        <v/>
      </c>
      <c r="C2334" s="40"/>
      <c r="E2334" s="80"/>
    </row>
    <row r="2335" spans="2:5" x14ac:dyDescent="0.25">
      <c r="B2335" s="40" t="str">
        <f>IF(F2335="","",VLOOKUP(F2335,Tabelle1[],2))</f>
        <v/>
      </c>
      <c r="C2335" s="40"/>
      <c r="E2335" s="80"/>
    </row>
    <row r="2336" spans="2:5" x14ac:dyDescent="0.25">
      <c r="B2336" s="40" t="str">
        <f>IF(F2336="","",VLOOKUP(F2336,Tabelle1[],2))</f>
        <v/>
      </c>
      <c r="C2336" s="40"/>
      <c r="E2336" s="80"/>
    </row>
    <row r="2337" spans="2:5" x14ac:dyDescent="0.25">
      <c r="B2337" s="40" t="str">
        <f>IF(F2337="","",VLOOKUP(F2337,Tabelle1[],2))</f>
        <v/>
      </c>
      <c r="C2337" s="40"/>
      <c r="E2337" s="80"/>
    </row>
    <row r="2338" spans="2:5" x14ac:dyDescent="0.25">
      <c r="B2338" s="40" t="str">
        <f>IF(F2338="","",VLOOKUP(F2338,Tabelle1[],2))</f>
        <v/>
      </c>
      <c r="C2338" s="40"/>
      <c r="E2338" s="80"/>
    </row>
    <row r="2339" spans="2:5" x14ac:dyDescent="0.25">
      <c r="B2339" s="40" t="str">
        <f>IF(F2339="","",VLOOKUP(F2339,Tabelle1[],2))</f>
        <v/>
      </c>
      <c r="C2339" s="40"/>
      <c r="E2339" s="80"/>
    </row>
    <row r="2340" spans="2:5" x14ac:dyDescent="0.25">
      <c r="B2340" s="40" t="str">
        <f>IF(F2340="","",VLOOKUP(F2340,Tabelle1[],2))</f>
        <v/>
      </c>
      <c r="C2340" s="40"/>
      <c r="E2340" s="80"/>
    </row>
    <row r="2341" spans="2:5" x14ac:dyDescent="0.25">
      <c r="B2341" s="40" t="str">
        <f>IF(F2341="","",VLOOKUP(F2341,Tabelle1[],2))</f>
        <v/>
      </c>
      <c r="C2341" s="40"/>
      <c r="E2341" s="80"/>
    </row>
    <row r="2342" spans="2:5" x14ac:dyDescent="0.25">
      <c r="B2342" s="40" t="str">
        <f>IF(F2342="","",VLOOKUP(F2342,Tabelle1[],2))</f>
        <v/>
      </c>
      <c r="C2342" s="40"/>
      <c r="E2342" s="80"/>
    </row>
    <row r="2343" spans="2:5" x14ac:dyDescent="0.25">
      <c r="B2343" s="40" t="str">
        <f>IF(F2343="","",VLOOKUP(F2343,Tabelle1[],2))</f>
        <v/>
      </c>
      <c r="C2343" s="40"/>
      <c r="E2343" s="80"/>
    </row>
    <row r="2344" spans="2:5" x14ac:dyDescent="0.25">
      <c r="B2344" s="40" t="str">
        <f>IF(F2344="","",VLOOKUP(F2344,Tabelle1[],2))</f>
        <v/>
      </c>
      <c r="C2344" s="40"/>
      <c r="E2344" s="80"/>
    </row>
    <row r="2345" spans="2:5" x14ac:dyDescent="0.25">
      <c r="B2345" s="40" t="str">
        <f>IF(F2345="","",VLOOKUP(F2345,Tabelle1[],2))</f>
        <v/>
      </c>
      <c r="C2345" s="40"/>
      <c r="E2345" s="80"/>
    </row>
    <row r="2346" spans="2:5" x14ac:dyDescent="0.25">
      <c r="B2346" s="40" t="str">
        <f>IF(F2346="","",VLOOKUP(F2346,Tabelle1[],2))</f>
        <v/>
      </c>
      <c r="C2346" s="40"/>
      <c r="E2346" s="80"/>
    </row>
    <row r="2347" spans="2:5" x14ac:dyDescent="0.25">
      <c r="B2347" s="40" t="str">
        <f>IF(F2347="","",VLOOKUP(F2347,Tabelle1[],2))</f>
        <v/>
      </c>
      <c r="C2347" s="40"/>
      <c r="E2347" s="80"/>
    </row>
    <row r="2348" spans="2:5" x14ac:dyDescent="0.25">
      <c r="B2348" s="40" t="str">
        <f>IF(F2348="","",VLOOKUP(F2348,Tabelle1[],2))</f>
        <v/>
      </c>
      <c r="C2348" s="40"/>
      <c r="E2348" s="80"/>
    </row>
    <row r="2349" spans="2:5" x14ac:dyDescent="0.25">
      <c r="B2349" s="40" t="str">
        <f>IF(F2349="","",VLOOKUP(F2349,Tabelle1[],2))</f>
        <v/>
      </c>
      <c r="C2349" s="40"/>
      <c r="E2349" s="80"/>
    </row>
    <row r="2350" spans="2:5" x14ac:dyDescent="0.25">
      <c r="B2350" s="40" t="str">
        <f>IF(F2350="","",VLOOKUP(F2350,Tabelle1[],2))</f>
        <v/>
      </c>
      <c r="C2350" s="40"/>
      <c r="E2350" s="80"/>
    </row>
    <row r="2351" spans="2:5" x14ac:dyDescent="0.25">
      <c r="B2351" s="40" t="str">
        <f>IF(F2351="","",VLOOKUP(F2351,Tabelle1[],2))</f>
        <v/>
      </c>
      <c r="C2351" s="40"/>
      <c r="E2351" s="80"/>
    </row>
    <row r="2352" spans="2:5" x14ac:dyDescent="0.25">
      <c r="B2352" s="40" t="str">
        <f>IF(F2352="","",VLOOKUP(F2352,Tabelle1[],2))</f>
        <v/>
      </c>
      <c r="C2352" s="40"/>
      <c r="E2352" s="80"/>
    </row>
    <row r="2353" spans="2:5" x14ac:dyDescent="0.25">
      <c r="B2353" s="40" t="str">
        <f>IF(F2353="","",VLOOKUP(F2353,Tabelle1[],2))</f>
        <v/>
      </c>
      <c r="C2353" s="40"/>
      <c r="E2353" s="80"/>
    </row>
    <row r="2354" spans="2:5" x14ac:dyDescent="0.25">
      <c r="B2354" s="40" t="str">
        <f>IF(F2354="","",VLOOKUP(F2354,Tabelle1[],2))</f>
        <v/>
      </c>
      <c r="C2354" s="40"/>
      <c r="E2354" s="80"/>
    </row>
    <row r="2355" spans="2:5" x14ac:dyDescent="0.25">
      <c r="B2355" s="40" t="str">
        <f>IF(F2355="","",VLOOKUP(F2355,Tabelle1[],2))</f>
        <v/>
      </c>
      <c r="C2355" s="40"/>
      <c r="E2355" s="80"/>
    </row>
    <row r="2356" spans="2:5" x14ac:dyDescent="0.25">
      <c r="B2356" s="40" t="str">
        <f>IF(F2356="","",VLOOKUP(F2356,Tabelle1[],2))</f>
        <v/>
      </c>
      <c r="C2356" s="40"/>
      <c r="E2356" s="80"/>
    </row>
    <row r="2357" spans="2:5" x14ac:dyDescent="0.25">
      <c r="B2357" s="40" t="str">
        <f>IF(F2357="","",VLOOKUP(F2357,Tabelle1[],2))</f>
        <v/>
      </c>
      <c r="C2357" s="40"/>
      <c r="E2357" s="80"/>
    </row>
    <row r="2358" spans="2:5" x14ac:dyDescent="0.25">
      <c r="B2358" s="40" t="str">
        <f>IF(F2358="","",VLOOKUP(F2358,Tabelle1[],2))</f>
        <v/>
      </c>
      <c r="C2358" s="40"/>
      <c r="E2358" s="80"/>
    </row>
    <row r="2359" spans="2:5" x14ac:dyDescent="0.25">
      <c r="B2359" s="40" t="str">
        <f>IF(F2359="","",VLOOKUP(F2359,Tabelle1[],2))</f>
        <v/>
      </c>
      <c r="C2359" s="40"/>
      <c r="E2359" s="80"/>
    </row>
    <row r="2360" spans="2:5" x14ac:dyDescent="0.25">
      <c r="B2360" s="40" t="str">
        <f>IF(F2360="","",VLOOKUP(F2360,Tabelle1[],2))</f>
        <v/>
      </c>
      <c r="C2360" s="40"/>
      <c r="E2360" s="80"/>
    </row>
    <row r="2361" spans="2:5" x14ac:dyDescent="0.25">
      <c r="B2361" s="40" t="str">
        <f>IF(F2361="","",VLOOKUP(F2361,Tabelle1[],2))</f>
        <v/>
      </c>
      <c r="C2361" s="40"/>
      <c r="E2361" s="80"/>
    </row>
    <row r="2362" spans="2:5" x14ac:dyDescent="0.25">
      <c r="B2362" s="40" t="str">
        <f>IF(F2362="","",VLOOKUP(F2362,Tabelle1[],2))</f>
        <v/>
      </c>
      <c r="C2362" s="40"/>
      <c r="E2362" s="80"/>
    </row>
    <row r="2363" spans="2:5" x14ac:dyDescent="0.25">
      <c r="B2363" s="40" t="str">
        <f>IF(F2363="","",VLOOKUP(F2363,Tabelle1[],2))</f>
        <v/>
      </c>
      <c r="C2363" s="40"/>
      <c r="E2363" s="80"/>
    </row>
    <row r="2364" spans="2:5" x14ac:dyDescent="0.25">
      <c r="B2364" s="40" t="str">
        <f>IF(F2364="","",VLOOKUP(F2364,Tabelle1[],2))</f>
        <v/>
      </c>
      <c r="C2364" s="40"/>
      <c r="E2364" s="80"/>
    </row>
    <row r="2365" spans="2:5" x14ac:dyDescent="0.25">
      <c r="B2365" s="40" t="str">
        <f>IF(F2365="","",VLOOKUP(F2365,Tabelle1[],2))</f>
        <v/>
      </c>
      <c r="C2365" s="40"/>
      <c r="E2365" s="80"/>
    </row>
    <row r="2366" spans="2:5" x14ac:dyDescent="0.25">
      <c r="B2366" s="40" t="str">
        <f>IF(F2366="","",VLOOKUP(F2366,Tabelle1[],2))</f>
        <v/>
      </c>
      <c r="C2366" s="40"/>
      <c r="E2366" s="80"/>
    </row>
    <row r="2367" spans="2:5" x14ac:dyDescent="0.25">
      <c r="B2367" s="40" t="str">
        <f>IF(F2367="","",VLOOKUP(F2367,Tabelle1[],2))</f>
        <v/>
      </c>
      <c r="C2367" s="40"/>
      <c r="E2367" s="80"/>
    </row>
    <row r="2368" spans="2:5" x14ac:dyDescent="0.25">
      <c r="B2368" s="40" t="str">
        <f>IF(F2368="","",VLOOKUP(F2368,Tabelle1[],2))</f>
        <v/>
      </c>
      <c r="C2368" s="40"/>
      <c r="E2368" s="80"/>
    </row>
    <row r="2369" spans="2:5" x14ac:dyDescent="0.25">
      <c r="B2369" s="40" t="str">
        <f>IF(F2369="","",VLOOKUP(F2369,Tabelle1[],2))</f>
        <v/>
      </c>
      <c r="C2369" s="40"/>
      <c r="E2369" s="80"/>
    </row>
    <row r="2370" spans="2:5" x14ac:dyDescent="0.25">
      <c r="B2370" s="40" t="str">
        <f>IF(F2370="","",VLOOKUP(F2370,Tabelle1[],2))</f>
        <v/>
      </c>
      <c r="C2370" s="40"/>
      <c r="E2370" s="80"/>
    </row>
    <row r="2371" spans="2:5" x14ac:dyDescent="0.25">
      <c r="B2371" s="40" t="str">
        <f>IF(F2371="","",VLOOKUP(F2371,Tabelle1[],2))</f>
        <v/>
      </c>
      <c r="C2371" s="40"/>
      <c r="E2371" s="80"/>
    </row>
    <row r="2372" spans="2:5" x14ac:dyDescent="0.25">
      <c r="B2372" s="40" t="str">
        <f>IF(F2372="","",VLOOKUP(F2372,Tabelle1[],2))</f>
        <v/>
      </c>
      <c r="C2372" s="40"/>
      <c r="E2372" s="80"/>
    </row>
    <row r="2373" spans="2:5" x14ac:dyDescent="0.25">
      <c r="B2373" s="40" t="str">
        <f>IF(F2373="","",VLOOKUP(F2373,Tabelle1[],2))</f>
        <v/>
      </c>
      <c r="C2373" s="40"/>
      <c r="E2373" s="80"/>
    </row>
    <row r="2374" spans="2:5" x14ac:dyDescent="0.25">
      <c r="B2374" s="40" t="str">
        <f>IF(F2374="","",VLOOKUP(F2374,Tabelle1[],2))</f>
        <v/>
      </c>
      <c r="C2374" s="40"/>
      <c r="E2374" s="80"/>
    </row>
    <row r="2375" spans="2:5" x14ac:dyDescent="0.25">
      <c r="B2375" s="40" t="str">
        <f>IF(F2375="","",VLOOKUP(F2375,Tabelle1[],2))</f>
        <v/>
      </c>
      <c r="C2375" s="40"/>
      <c r="E2375" s="80"/>
    </row>
    <row r="2376" spans="2:5" x14ac:dyDescent="0.25">
      <c r="B2376" s="40" t="str">
        <f>IF(F2376="","",VLOOKUP(F2376,Tabelle1[],2))</f>
        <v/>
      </c>
      <c r="C2376" s="40"/>
      <c r="E2376" s="80"/>
    </row>
    <row r="2377" spans="2:5" x14ac:dyDescent="0.25">
      <c r="B2377" s="40" t="str">
        <f>IF(F2377="","",VLOOKUP(F2377,Tabelle1[],2))</f>
        <v/>
      </c>
      <c r="C2377" s="40"/>
      <c r="E2377" s="80"/>
    </row>
    <row r="2378" spans="2:5" x14ac:dyDescent="0.25">
      <c r="B2378" s="40" t="str">
        <f>IF(F2378="","",VLOOKUP(F2378,Tabelle1[],2))</f>
        <v/>
      </c>
      <c r="C2378" s="40"/>
      <c r="E2378" s="80"/>
    </row>
    <row r="2379" spans="2:5" x14ac:dyDescent="0.25">
      <c r="B2379" s="40" t="str">
        <f>IF(F2379="","",VLOOKUP(F2379,Tabelle1[],2))</f>
        <v/>
      </c>
      <c r="C2379" s="40"/>
      <c r="E2379" s="80"/>
    </row>
    <row r="2380" spans="2:5" x14ac:dyDescent="0.25">
      <c r="B2380" s="40" t="str">
        <f>IF(F2380="","",VLOOKUP(F2380,Tabelle1[],2))</f>
        <v/>
      </c>
      <c r="C2380" s="40"/>
      <c r="E2380" s="80"/>
    </row>
    <row r="2381" spans="2:5" x14ac:dyDescent="0.25">
      <c r="B2381" s="40" t="str">
        <f>IF(F2381="","",VLOOKUP(F2381,Tabelle1[],2))</f>
        <v/>
      </c>
      <c r="C2381" s="40"/>
      <c r="E2381" s="80"/>
    </row>
    <row r="2382" spans="2:5" x14ac:dyDescent="0.25">
      <c r="B2382" s="40" t="str">
        <f>IF(F2382="","",VLOOKUP(F2382,Tabelle1[],2))</f>
        <v/>
      </c>
      <c r="C2382" s="40"/>
      <c r="E2382" s="80"/>
    </row>
    <row r="2383" spans="2:5" x14ac:dyDescent="0.25">
      <c r="B2383" s="40" t="str">
        <f>IF(F2383="","",VLOOKUP(F2383,Tabelle1[],2))</f>
        <v/>
      </c>
      <c r="C2383" s="40"/>
      <c r="E2383" s="80"/>
    </row>
    <row r="2384" spans="2:5" x14ac:dyDescent="0.25">
      <c r="B2384" s="40" t="str">
        <f>IF(F2384="","",VLOOKUP(F2384,Tabelle1[],2))</f>
        <v/>
      </c>
      <c r="C2384" s="40"/>
      <c r="E2384" s="80"/>
    </row>
    <row r="2385" spans="2:5" x14ac:dyDescent="0.25">
      <c r="B2385" s="40" t="str">
        <f>IF(F2385="","",VLOOKUP(F2385,Tabelle1[],2))</f>
        <v/>
      </c>
      <c r="C2385" s="40"/>
      <c r="E2385" s="80"/>
    </row>
    <row r="2386" spans="2:5" x14ac:dyDescent="0.25">
      <c r="B2386" s="40" t="str">
        <f>IF(F2386="","",VLOOKUP(F2386,Tabelle1[],2))</f>
        <v/>
      </c>
      <c r="C2386" s="40"/>
      <c r="E2386" s="80"/>
    </row>
    <row r="2387" spans="2:5" x14ac:dyDescent="0.25">
      <c r="B2387" s="40" t="str">
        <f>IF(F2387="","",VLOOKUP(F2387,Tabelle1[],2))</f>
        <v/>
      </c>
      <c r="C2387" s="40"/>
      <c r="E2387" s="80"/>
    </row>
    <row r="2388" spans="2:5" x14ac:dyDescent="0.25">
      <c r="B2388" s="40" t="str">
        <f>IF(F2388="","",VLOOKUP(F2388,Tabelle1[],2))</f>
        <v/>
      </c>
      <c r="C2388" s="40"/>
      <c r="E2388" s="80"/>
    </row>
    <row r="2389" spans="2:5" x14ac:dyDescent="0.25">
      <c r="B2389" s="40" t="str">
        <f>IF(F2389="","",VLOOKUP(F2389,Tabelle1[],2))</f>
        <v/>
      </c>
      <c r="C2389" s="40"/>
      <c r="E2389" s="80"/>
    </row>
    <row r="2390" spans="2:5" x14ac:dyDescent="0.25">
      <c r="B2390" s="40" t="str">
        <f>IF(F2390="","",VLOOKUP(F2390,Tabelle1[],2))</f>
        <v/>
      </c>
      <c r="C2390" s="40"/>
      <c r="E2390" s="80"/>
    </row>
    <row r="2391" spans="2:5" x14ac:dyDescent="0.25">
      <c r="B2391" s="40" t="str">
        <f>IF(F2391="","",VLOOKUP(F2391,Tabelle1[],2))</f>
        <v/>
      </c>
      <c r="C2391" s="40"/>
      <c r="E2391" s="80"/>
    </row>
    <row r="2392" spans="2:5" x14ac:dyDescent="0.25">
      <c r="B2392" s="40" t="str">
        <f>IF(F2392="","",VLOOKUP(F2392,Tabelle1[],2))</f>
        <v/>
      </c>
      <c r="C2392" s="40"/>
      <c r="E2392" s="80"/>
    </row>
    <row r="2393" spans="2:5" x14ac:dyDescent="0.25">
      <c r="B2393" s="40" t="str">
        <f>IF(F2393="","",VLOOKUP(F2393,Tabelle1[],2))</f>
        <v/>
      </c>
      <c r="C2393" s="40"/>
      <c r="E2393" s="80"/>
    </row>
    <row r="2394" spans="2:5" x14ac:dyDescent="0.25">
      <c r="B2394" s="40" t="str">
        <f>IF(F2394="","",VLOOKUP(F2394,Tabelle1[],2))</f>
        <v/>
      </c>
      <c r="C2394" s="40"/>
      <c r="E2394" s="80"/>
    </row>
    <row r="2395" spans="2:5" x14ac:dyDescent="0.25">
      <c r="B2395" s="40" t="str">
        <f>IF(F2395="","",VLOOKUP(F2395,Tabelle1[],2))</f>
        <v/>
      </c>
      <c r="C2395" s="40"/>
      <c r="E2395" s="80"/>
    </row>
    <row r="2396" spans="2:5" x14ac:dyDescent="0.25">
      <c r="B2396" s="40" t="str">
        <f>IF(F2396="","",VLOOKUP(F2396,Tabelle1[],2))</f>
        <v/>
      </c>
      <c r="C2396" s="40"/>
      <c r="E2396" s="80"/>
    </row>
    <row r="2397" spans="2:5" x14ac:dyDescent="0.25">
      <c r="B2397" s="40" t="str">
        <f>IF(F2397="","",VLOOKUP(F2397,Tabelle1[],2))</f>
        <v/>
      </c>
      <c r="C2397" s="40"/>
      <c r="E2397" s="80"/>
    </row>
    <row r="2398" spans="2:5" x14ac:dyDescent="0.25">
      <c r="B2398" s="40" t="str">
        <f>IF(F2398="","",VLOOKUP(F2398,Tabelle1[],2))</f>
        <v/>
      </c>
      <c r="C2398" s="40"/>
      <c r="E2398" s="80"/>
    </row>
    <row r="2399" spans="2:5" x14ac:dyDescent="0.25">
      <c r="B2399" s="40" t="str">
        <f>IF(F2399="","",VLOOKUP(F2399,Tabelle1[],2))</f>
        <v/>
      </c>
      <c r="C2399" s="40"/>
      <c r="E2399" s="80"/>
    </row>
    <row r="2400" spans="2:5" x14ac:dyDescent="0.25">
      <c r="B2400" s="40" t="str">
        <f>IF(F2400="","",VLOOKUP(F2400,Tabelle1[],2))</f>
        <v/>
      </c>
      <c r="C2400" s="40"/>
      <c r="E2400" s="80"/>
    </row>
    <row r="2401" spans="2:5" x14ac:dyDescent="0.25">
      <c r="B2401" s="40" t="str">
        <f>IF(F2401="","",VLOOKUP(F2401,Tabelle1[],2))</f>
        <v/>
      </c>
      <c r="C2401" s="40"/>
      <c r="E2401" s="80"/>
    </row>
    <row r="2402" spans="2:5" x14ac:dyDescent="0.25">
      <c r="B2402" s="40" t="str">
        <f>IF(F2402="","",VLOOKUP(F2402,Tabelle1[],2))</f>
        <v/>
      </c>
      <c r="C2402" s="40"/>
      <c r="E2402" s="80"/>
    </row>
    <row r="2403" spans="2:5" x14ac:dyDescent="0.25">
      <c r="B2403" s="40" t="str">
        <f>IF(F2403="","",VLOOKUP(F2403,Tabelle1[],2))</f>
        <v/>
      </c>
      <c r="C2403" s="40"/>
      <c r="E2403" s="80"/>
    </row>
    <row r="2404" spans="2:5" x14ac:dyDescent="0.25">
      <c r="B2404" s="40" t="str">
        <f>IF(F2404="","",VLOOKUP(F2404,Tabelle1[],2))</f>
        <v/>
      </c>
      <c r="C2404" s="40"/>
      <c r="E2404" s="80"/>
    </row>
    <row r="2405" spans="2:5" x14ac:dyDescent="0.25">
      <c r="B2405" s="40" t="str">
        <f>IF(F2405="","",VLOOKUP(F2405,Tabelle1[],2))</f>
        <v/>
      </c>
      <c r="C2405" s="40"/>
      <c r="E2405" s="80"/>
    </row>
    <row r="2406" spans="2:5" x14ac:dyDescent="0.25">
      <c r="B2406" s="40" t="str">
        <f>IF(F2406="","",VLOOKUP(F2406,Tabelle1[],2))</f>
        <v/>
      </c>
      <c r="C2406" s="40"/>
      <c r="E2406" s="80"/>
    </row>
    <row r="2407" spans="2:5" x14ac:dyDescent="0.25">
      <c r="B2407" s="40" t="str">
        <f>IF(F2407="","",VLOOKUP(F2407,Tabelle1[],2))</f>
        <v/>
      </c>
      <c r="C2407" s="40"/>
      <c r="E2407" s="80"/>
    </row>
    <row r="2408" spans="2:5" x14ac:dyDescent="0.25">
      <c r="B2408" s="40" t="str">
        <f>IF(F2408="","",VLOOKUP(F2408,Tabelle1[],2))</f>
        <v/>
      </c>
      <c r="C2408" s="40"/>
      <c r="E2408" s="80"/>
    </row>
    <row r="2409" spans="2:5" x14ac:dyDescent="0.25">
      <c r="B2409" s="40" t="str">
        <f>IF(F2409="","",VLOOKUP(F2409,Tabelle1[],2))</f>
        <v/>
      </c>
      <c r="C2409" s="40"/>
      <c r="E2409" s="80"/>
    </row>
    <row r="2410" spans="2:5" x14ac:dyDescent="0.25">
      <c r="B2410" s="40" t="str">
        <f>IF(F2410="","",VLOOKUP(F2410,Tabelle1[],2))</f>
        <v/>
      </c>
      <c r="C2410" s="40"/>
      <c r="E2410" s="80"/>
    </row>
    <row r="2411" spans="2:5" x14ac:dyDescent="0.25">
      <c r="B2411" s="40" t="str">
        <f>IF(F2411="","",VLOOKUP(F2411,Tabelle1[],2))</f>
        <v/>
      </c>
      <c r="C2411" s="40"/>
      <c r="E2411" s="80"/>
    </row>
    <row r="2412" spans="2:5" x14ac:dyDescent="0.25">
      <c r="B2412" s="40" t="str">
        <f>IF(F2412="","",VLOOKUP(F2412,Tabelle1[],2))</f>
        <v/>
      </c>
      <c r="C2412" s="40"/>
      <c r="E2412" s="80"/>
    </row>
    <row r="2413" spans="2:5" x14ac:dyDescent="0.25">
      <c r="B2413" s="40" t="str">
        <f>IF(F2413="","",VLOOKUP(F2413,Tabelle1[],2))</f>
        <v/>
      </c>
      <c r="C2413" s="40"/>
      <c r="E2413" s="80"/>
    </row>
    <row r="2414" spans="2:5" x14ac:dyDescent="0.25">
      <c r="B2414" s="40" t="str">
        <f>IF(F2414="","",VLOOKUP(F2414,Tabelle1[],2))</f>
        <v/>
      </c>
      <c r="C2414" s="40"/>
      <c r="E2414" s="80"/>
    </row>
    <row r="2415" spans="2:5" x14ac:dyDescent="0.25">
      <c r="B2415" s="40" t="str">
        <f>IF(F2415="","",VLOOKUP(F2415,Tabelle1[],2))</f>
        <v/>
      </c>
      <c r="C2415" s="40"/>
      <c r="E2415" s="80"/>
    </row>
    <row r="2416" spans="2:5" x14ac:dyDescent="0.25">
      <c r="B2416" s="40" t="str">
        <f>IF(F2416="","",VLOOKUP(F2416,Tabelle1[],2))</f>
        <v/>
      </c>
      <c r="C2416" s="40"/>
      <c r="E2416" s="80"/>
    </row>
    <row r="2417" spans="2:5" x14ac:dyDescent="0.25">
      <c r="B2417" s="40" t="str">
        <f>IF(F2417="","",VLOOKUP(F2417,Tabelle1[],2))</f>
        <v/>
      </c>
      <c r="C2417" s="40"/>
      <c r="E2417" s="80"/>
    </row>
    <row r="2418" spans="2:5" x14ac:dyDescent="0.25">
      <c r="B2418" s="40" t="str">
        <f>IF(F2418="","",VLOOKUP(F2418,Tabelle1[],2))</f>
        <v/>
      </c>
      <c r="C2418" s="40"/>
      <c r="E2418" s="80"/>
    </row>
    <row r="2419" spans="2:5" x14ac:dyDescent="0.25">
      <c r="B2419" s="40" t="str">
        <f>IF(F2419="","",VLOOKUP(F2419,Tabelle1[],2))</f>
        <v/>
      </c>
      <c r="C2419" s="40"/>
      <c r="E2419" s="80"/>
    </row>
    <row r="2420" spans="2:5" x14ac:dyDescent="0.25">
      <c r="B2420" s="40" t="str">
        <f>IF(F2420="","",VLOOKUP(F2420,Tabelle1[],2))</f>
        <v/>
      </c>
      <c r="C2420" s="40"/>
      <c r="E2420" s="80"/>
    </row>
    <row r="2421" spans="2:5" x14ac:dyDescent="0.25">
      <c r="B2421" s="40" t="str">
        <f>IF(F2421="","",VLOOKUP(F2421,Tabelle1[],2))</f>
        <v/>
      </c>
      <c r="C2421" s="40"/>
      <c r="E2421" s="80"/>
    </row>
    <row r="2422" spans="2:5" x14ac:dyDescent="0.25">
      <c r="B2422" s="40" t="str">
        <f>IF(F2422="","",VLOOKUP(F2422,Tabelle1[],2))</f>
        <v/>
      </c>
      <c r="C2422" s="40"/>
      <c r="E2422" s="80"/>
    </row>
    <row r="2423" spans="2:5" x14ac:dyDescent="0.25">
      <c r="B2423" s="40" t="str">
        <f>IF(F2423="","",VLOOKUP(F2423,Tabelle1[],2))</f>
        <v/>
      </c>
      <c r="C2423" s="40"/>
      <c r="E2423" s="80"/>
    </row>
    <row r="2424" spans="2:5" x14ac:dyDescent="0.25">
      <c r="B2424" s="40" t="str">
        <f>IF(F2424="","",VLOOKUP(F2424,Tabelle1[],2))</f>
        <v/>
      </c>
      <c r="C2424" s="40"/>
      <c r="E2424" s="80"/>
    </row>
    <row r="2425" spans="2:5" x14ac:dyDescent="0.25">
      <c r="B2425" s="40" t="str">
        <f>IF(F2425="","",VLOOKUP(F2425,Tabelle1[],2))</f>
        <v/>
      </c>
      <c r="C2425" s="40"/>
      <c r="E2425" s="80"/>
    </row>
    <row r="2426" spans="2:5" x14ac:dyDescent="0.25">
      <c r="B2426" s="40" t="str">
        <f>IF(F2426="","",VLOOKUP(F2426,Tabelle1[],2))</f>
        <v/>
      </c>
      <c r="C2426" s="40"/>
      <c r="E2426" s="80"/>
    </row>
    <row r="2427" spans="2:5" x14ac:dyDescent="0.25">
      <c r="B2427" s="40" t="str">
        <f>IF(F2427="","",VLOOKUP(F2427,Tabelle1[],2))</f>
        <v/>
      </c>
      <c r="C2427" s="40"/>
      <c r="E2427" s="80"/>
    </row>
    <row r="2428" spans="2:5" x14ac:dyDescent="0.25">
      <c r="B2428" s="40" t="str">
        <f>IF(F2428="","",VLOOKUP(F2428,Tabelle1[],2))</f>
        <v/>
      </c>
      <c r="C2428" s="40"/>
      <c r="E2428" s="80"/>
    </row>
    <row r="2429" spans="2:5" x14ac:dyDescent="0.25">
      <c r="B2429" s="40" t="str">
        <f>IF(F2429="","",VLOOKUP(F2429,Tabelle1[],2))</f>
        <v/>
      </c>
      <c r="C2429" s="40"/>
      <c r="E2429" s="80"/>
    </row>
    <row r="2430" spans="2:5" x14ac:dyDescent="0.25">
      <c r="B2430" s="40" t="str">
        <f>IF(F2430="","",VLOOKUP(F2430,Tabelle1[],2))</f>
        <v/>
      </c>
      <c r="C2430" s="40"/>
      <c r="E2430" s="80"/>
    </row>
    <row r="2431" spans="2:5" x14ac:dyDescent="0.25">
      <c r="B2431" s="40" t="str">
        <f>IF(F2431="","",VLOOKUP(F2431,Tabelle1[],2))</f>
        <v/>
      </c>
      <c r="C2431" s="40"/>
      <c r="E2431" s="80"/>
    </row>
    <row r="2432" spans="2:5" x14ac:dyDescent="0.25">
      <c r="B2432" s="40" t="str">
        <f>IF(F2432="","",VLOOKUP(F2432,Tabelle1[],2))</f>
        <v/>
      </c>
      <c r="C2432" s="40"/>
      <c r="E2432" s="80"/>
    </row>
    <row r="2433" spans="2:5" x14ac:dyDescent="0.25">
      <c r="B2433" s="40" t="str">
        <f>IF(F2433="","",VLOOKUP(F2433,Tabelle1[],2))</f>
        <v/>
      </c>
      <c r="C2433" s="40"/>
      <c r="E2433" s="80"/>
    </row>
    <row r="2434" spans="2:5" x14ac:dyDescent="0.25">
      <c r="B2434" s="40" t="str">
        <f>IF(F2434="","",VLOOKUP(F2434,Tabelle1[],2))</f>
        <v/>
      </c>
      <c r="C2434" s="40"/>
      <c r="E2434" s="80"/>
    </row>
    <row r="2435" spans="2:5" x14ac:dyDescent="0.25">
      <c r="B2435" s="40" t="str">
        <f>IF(F2435="","",VLOOKUP(F2435,Tabelle1[],2))</f>
        <v/>
      </c>
      <c r="C2435" s="40"/>
      <c r="E2435" s="80"/>
    </row>
    <row r="2436" spans="2:5" x14ac:dyDescent="0.25">
      <c r="B2436" s="40" t="str">
        <f>IF(F2436="","",VLOOKUP(F2436,Tabelle1[],2))</f>
        <v/>
      </c>
      <c r="C2436" s="40"/>
      <c r="E2436" s="80"/>
    </row>
    <row r="2437" spans="2:5" x14ac:dyDescent="0.25">
      <c r="B2437" s="40" t="str">
        <f>IF(F2437="","",VLOOKUP(F2437,Tabelle1[],2))</f>
        <v/>
      </c>
      <c r="C2437" s="40"/>
      <c r="E2437" s="80"/>
    </row>
    <row r="2438" spans="2:5" x14ac:dyDescent="0.25">
      <c r="B2438" s="40" t="str">
        <f>IF(F2438="","",VLOOKUP(F2438,Tabelle1[],2))</f>
        <v/>
      </c>
      <c r="C2438" s="40"/>
      <c r="E2438" s="80"/>
    </row>
    <row r="2439" spans="2:5" x14ac:dyDescent="0.25">
      <c r="B2439" s="40" t="str">
        <f>IF(F2439="","",VLOOKUP(F2439,Tabelle1[],2))</f>
        <v/>
      </c>
      <c r="C2439" s="40"/>
      <c r="E2439" s="80"/>
    </row>
    <row r="2440" spans="2:5" x14ac:dyDescent="0.25">
      <c r="B2440" s="40" t="str">
        <f>IF(F2440="","",VLOOKUP(F2440,Tabelle1[],2))</f>
        <v/>
      </c>
      <c r="C2440" s="40"/>
      <c r="E2440" s="80"/>
    </row>
    <row r="2441" spans="2:5" x14ac:dyDescent="0.25">
      <c r="B2441" s="40" t="str">
        <f>IF(F2441="","",VLOOKUP(F2441,Tabelle1[],2))</f>
        <v/>
      </c>
      <c r="C2441" s="40"/>
      <c r="E2441" s="80"/>
    </row>
    <row r="2442" spans="2:5" x14ac:dyDescent="0.25">
      <c r="B2442" s="40" t="str">
        <f>IF(F2442="","",VLOOKUP(F2442,Tabelle1[],2))</f>
        <v/>
      </c>
      <c r="C2442" s="40"/>
      <c r="E2442" s="80"/>
    </row>
    <row r="2443" spans="2:5" x14ac:dyDescent="0.25">
      <c r="B2443" s="40" t="str">
        <f>IF(F2443="","",VLOOKUP(F2443,Tabelle1[],2))</f>
        <v/>
      </c>
      <c r="C2443" s="40"/>
      <c r="E2443" s="80"/>
    </row>
    <row r="2444" spans="2:5" x14ac:dyDescent="0.25">
      <c r="B2444" s="40" t="str">
        <f>IF(F2444="","",VLOOKUP(F2444,Tabelle1[],2))</f>
        <v/>
      </c>
      <c r="C2444" s="40"/>
      <c r="E2444" s="80"/>
    </row>
    <row r="2445" spans="2:5" x14ac:dyDescent="0.25">
      <c r="B2445" s="40" t="str">
        <f>IF(F2445="","",VLOOKUP(F2445,Tabelle1[],2))</f>
        <v/>
      </c>
      <c r="C2445" s="40"/>
      <c r="E2445" s="80"/>
    </row>
    <row r="2446" spans="2:5" x14ac:dyDescent="0.25">
      <c r="B2446" s="40" t="str">
        <f>IF(F2446="","",VLOOKUP(F2446,Tabelle1[],2))</f>
        <v/>
      </c>
      <c r="C2446" s="40"/>
      <c r="E2446" s="80"/>
    </row>
    <row r="2447" spans="2:5" x14ac:dyDescent="0.25">
      <c r="B2447" s="40" t="str">
        <f>IF(F2447="","",VLOOKUP(F2447,Tabelle1[],2))</f>
        <v/>
      </c>
      <c r="C2447" s="40"/>
      <c r="E2447" s="80"/>
    </row>
    <row r="2448" spans="2:5" x14ac:dyDescent="0.25">
      <c r="B2448" s="40" t="str">
        <f>IF(F2448="","",VLOOKUP(F2448,Tabelle1[],2))</f>
        <v/>
      </c>
      <c r="C2448" s="40"/>
      <c r="E2448" s="80"/>
    </row>
    <row r="2449" spans="2:5" x14ac:dyDescent="0.25">
      <c r="B2449" s="40" t="str">
        <f>IF(F2449="","",VLOOKUP(F2449,Tabelle1[],2))</f>
        <v/>
      </c>
      <c r="C2449" s="40"/>
      <c r="E2449" s="80"/>
    </row>
    <row r="2450" spans="2:5" x14ac:dyDescent="0.25">
      <c r="B2450" s="40" t="str">
        <f>IF(F2450="","",VLOOKUP(F2450,Tabelle1[],2))</f>
        <v/>
      </c>
      <c r="C2450" s="40"/>
      <c r="E2450" s="80"/>
    </row>
    <row r="2451" spans="2:5" x14ac:dyDescent="0.25">
      <c r="B2451" s="40" t="str">
        <f>IF(F2451="","",VLOOKUP(F2451,Tabelle1[],2))</f>
        <v/>
      </c>
      <c r="C2451" s="40"/>
      <c r="E2451" s="80"/>
    </row>
    <row r="2452" spans="2:5" x14ac:dyDescent="0.25">
      <c r="B2452" s="40" t="str">
        <f>IF(F2452="","",VLOOKUP(F2452,Tabelle1[],2))</f>
        <v/>
      </c>
      <c r="C2452" s="40"/>
      <c r="E2452" s="80"/>
    </row>
    <row r="2453" spans="2:5" x14ac:dyDescent="0.25">
      <c r="B2453" s="40" t="str">
        <f>IF(F2453="","",VLOOKUP(F2453,Tabelle1[],2))</f>
        <v/>
      </c>
      <c r="C2453" s="40"/>
      <c r="E2453" s="80"/>
    </row>
    <row r="2454" spans="2:5" x14ac:dyDescent="0.25">
      <c r="B2454" s="40" t="str">
        <f>IF(F2454="","",VLOOKUP(F2454,Tabelle1[],2))</f>
        <v/>
      </c>
      <c r="C2454" s="40"/>
      <c r="E2454" s="80"/>
    </row>
    <row r="2455" spans="2:5" x14ac:dyDescent="0.25">
      <c r="B2455" s="40" t="str">
        <f>IF(F2455="","",VLOOKUP(F2455,Tabelle1[],2))</f>
        <v/>
      </c>
      <c r="C2455" s="40"/>
      <c r="E2455" s="80"/>
    </row>
    <row r="2456" spans="2:5" x14ac:dyDescent="0.25">
      <c r="B2456" s="40" t="str">
        <f>IF(F2456="","",VLOOKUP(F2456,Tabelle1[],2))</f>
        <v/>
      </c>
      <c r="C2456" s="40"/>
      <c r="E2456" s="80"/>
    </row>
    <row r="2457" spans="2:5" x14ac:dyDescent="0.25">
      <c r="B2457" s="40" t="str">
        <f>IF(F2457="","",VLOOKUP(F2457,Tabelle1[],2))</f>
        <v/>
      </c>
      <c r="C2457" s="40"/>
      <c r="E2457" s="80"/>
    </row>
    <row r="2458" spans="2:5" x14ac:dyDescent="0.25">
      <c r="B2458" s="40" t="str">
        <f>IF(F2458="","",VLOOKUP(F2458,Tabelle1[],2))</f>
        <v/>
      </c>
      <c r="C2458" s="40"/>
      <c r="E2458" s="80"/>
    </row>
    <row r="2459" spans="2:5" x14ac:dyDescent="0.25">
      <c r="B2459" s="40" t="str">
        <f>IF(F2459="","",VLOOKUP(F2459,Tabelle1[],2))</f>
        <v/>
      </c>
      <c r="C2459" s="40"/>
      <c r="E2459" s="80"/>
    </row>
    <row r="2460" spans="2:5" x14ac:dyDescent="0.25">
      <c r="B2460" s="40" t="str">
        <f>IF(F2460="","",VLOOKUP(F2460,Tabelle1[],2))</f>
        <v/>
      </c>
      <c r="C2460" s="40"/>
      <c r="E2460" s="80"/>
    </row>
    <row r="2461" spans="2:5" x14ac:dyDescent="0.25">
      <c r="B2461" s="40" t="str">
        <f>IF(F2461="","",VLOOKUP(F2461,Tabelle1[],2))</f>
        <v/>
      </c>
      <c r="C2461" s="40"/>
      <c r="E2461" s="80"/>
    </row>
    <row r="2462" spans="2:5" x14ac:dyDescent="0.25">
      <c r="B2462" s="40" t="str">
        <f>IF(F2462="","",VLOOKUP(F2462,Tabelle1[],2))</f>
        <v/>
      </c>
      <c r="C2462" s="40"/>
      <c r="E2462" s="80"/>
    </row>
    <row r="2463" spans="2:5" x14ac:dyDescent="0.25">
      <c r="B2463" s="40" t="str">
        <f>IF(F2463="","",VLOOKUP(F2463,Tabelle1[],2))</f>
        <v/>
      </c>
      <c r="C2463" s="40"/>
      <c r="E2463" s="80"/>
    </row>
    <row r="2464" spans="2:5" x14ac:dyDescent="0.25">
      <c r="B2464" s="40" t="str">
        <f>IF(F2464="","",VLOOKUP(F2464,Tabelle1[],2))</f>
        <v/>
      </c>
      <c r="C2464" s="40"/>
      <c r="E2464" s="80"/>
    </row>
    <row r="2465" spans="2:5" x14ac:dyDescent="0.25">
      <c r="B2465" s="40" t="str">
        <f>IF(F2465="","",VLOOKUP(F2465,Tabelle1[],2))</f>
        <v/>
      </c>
      <c r="C2465" s="40"/>
      <c r="E2465" s="80"/>
    </row>
    <row r="2466" spans="2:5" x14ac:dyDescent="0.25">
      <c r="B2466" s="40" t="str">
        <f>IF(F2466="","",VLOOKUP(F2466,Tabelle1[],2))</f>
        <v/>
      </c>
      <c r="C2466" s="40"/>
      <c r="E2466" s="80"/>
    </row>
    <row r="2467" spans="2:5" x14ac:dyDescent="0.25">
      <c r="B2467" s="40" t="str">
        <f>IF(F2467="","",VLOOKUP(F2467,Tabelle1[],2))</f>
        <v/>
      </c>
      <c r="C2467" s="40"/>
      <c r="E2467" s="80"/>
    </row>
    <row r="2468" spans="2:5" x14ac:dyDescent="0.25">
      <c r="B2468" s="40" t="str">
        <f>IF(F2468="","",VLOOKUP(F2468,Tabelle1[],2))</f>
        <v/>
      </c>
      <c r="C2468" s="40"/>
      <c r="E2468" s="80"/>
    </row>
    <row r="2469" spans="2:5" x14ac:dyDescent="0.25">
      <c r="B2469" s="40" t="str">
        <f>IF(F2469="","",VLOOKUP(F2469,Tabelle1[],2))</f>
        <v/>
      </c>
      <c r="C2469" s="40"/>
      <c r="E2469" s="80"/>
    </row>
    <row r="2470" spans="2:5" x14ac:dyDescent="0.25">
      <c r="B2470" s="40" t="str">
        <f>IF(F2470="","",VLOOKUP(F2470,Tabelle1[],2))</f>
        <v/>
      </c>
      <c r="C2470" s="40"/>
      <c r="E2470" s="80"/>
    </row>
    <row r="2471" spans="2:5" x14ac:dyDescent="0.25">
      <c r="B2471" s="40" t="str">
        <f>IF(F2471="","",VLOOKUP(F2471,Tabelle1[],2))</f>
        <v/>
      </c>
      <c r="C2471" s="40"/>
      <c r="E2471" s="80"/>
    </row>
    <row r="2472" spans="2:5" x14ac:dyDescent="0.25">
      <c r="B2472" s="40" t="str">
        <f>IF(F2472="","",VLOOKUP(F2472,Tabelle1[],2))</f>
        <v/>
      </c>
      <c r="C2472" s="40"/>
      <c r="E2472" s="80"/>
    </row>
    <row r="2473" spans="2:5" x14ac:dyDescent="0.25">
      <c r="B2473" s="40" t="str">
        <f>IF(F2473="","",VLOOKUP(F2473,Tabelle1[],2))</f>
        <v/>
      </c>
      <c r="C2473" s="40"/>
      <c r="E2473" s="80"/>
    </row>
    <row r="2474" spans="2:5" x14ac:dyDescent="0.25">
      <c r="B2474" s="40" t="str">
        <f>IF(F2474="","",VLOOKUP(F2474,Tabelle1[],2))</f>
        <v/>
      </c>
      <c r="C2474" s="40"/>
      <c r="E2474" s="80"/>
    </row>
    <row r="2475" spans="2:5" x14ac:dyDescent="0.25">
      <c r="B2475" s="40" t="str">
        <f>IF(F2475="","",VLOOKUP(F2475,Tabelle1[],2))</f>
        <v/>
      </c>
      <c r="C2475" s="40"/>
      <c r="E2475" s="80"/>
    </row>
    <row r="2476" spans="2:5" x14ac:dyDescent="0.25">
      <c r="B2476" s="40" t="str">
        <f>IF(F2476="","",VLOOKUP(F2476,Tabelle1[],2))</f>
        <v/>
      </c>
      <c r="C2476" s="40"/>
      <c r="E2476" s="80"/>
    </row>
    <row r="2477" spans="2:5" x14ac:dyDescent="0.25">
      <c r="B2477" s="40" t="str">
        <f>IF(F2477="","",VLOOKUP(F2477,Tabelle1[],2))</f>
        <v/>
      </c>
      <c r="C2477" s="40"/>
      <c r="E2477" s="80"/>
    </row>
    <row r="2478" spans="2:5" x14ac:dyDescent="0.25">
      <c r="B2478" s="40" t="str">
        <f>IF(F2478="","",VLOOKUP(F2478,Tabelle1[],2))</f>
        <v/>
      </c>
      <c r="C2478" s="40"/>
      <c r="E2478" s="80"/>
    </row>
    <row r="2479" spans="2:5" x14ac:dyDescent="0.25">
      <c r="B2479" s="40" t="str">
        <f>IF(F2479="","",VLOOKUP(F2479,Tabelle1[],2))</f>
        <v/>
      </c>
      <c r="C2479" s="40"/>
      <c r="E2479" s="80"/>
    </row>
    <row r="2480" spans="2:5" x14ac:dyDescent="0.25">
      <c r="B2480" s="40" t="str">
        <f>IF(F2480="","",VLOOKUP(F2480,Tabelle1[],2))</f>
        <v/>
      </c>
      <c r="C2480" s="40"/>
      <c r="E2480" s="80"/>
    </row>
    <row r="2481" spans="2:5" x14ac:dyDescent="0.25">
      <c r="B2481" s="40" t="str">
        <f>IF(F2481="","",VLOOKUP(F2481,Tabelle1[],2))</f>
        <v/>
      </c>
      <c r="C2481" s="40"/>
      <c r="E2481" s="80"/>
    </row>
    <row r="2482" spans="2:5" x14ac:dyDescent="0.25">
      <c r="B2482" s="40" t="str">
        <f>IF(F2482="","",VLOOKUP(F2482,Tabelle1[],2))</f>
        <v/>
      </c>
      <c r="C2482" s="40"/>
      <c r="E2482" s="80"/>
    </row>
    <row r="2483" spans="2:5" x14ac:dyDescent="0.25">
      <c r="B2483" s="40" t="str">
        <f>IF(F2483="","",VLOOKUP(F2483,Tabelle1[],2))</f>
        <v/>
      </c>
      <c r="C2483" s="40"/>
      <c r="E2483" s="80"/>
    </row>
    <row r="2484" spans="2:5" x14ac:dyDescent="0.25">
      <c r="B2484" s="40" t="str">
        <f>IF(F2484="","",VLOOKUP(F2484,Tabelle1[],2))</f>
        <v/>
      </c>
      <c r="C2484" s="40"/>
      <c r="E2484" s="80"/>
    </row>
    <row r="2485" spans="2:5" x14ac:dyDescent="0.25">
      <c r="B2485" s="40" t="str">
        <f>IF(F2485="","",VLOOKUP(F2485,Tabelle1[],2))</f>
        <v/>
      </c>
      <c r="C2485" s="40"/>
      <c r="E2485" s="80"/>
    </row>
    <row r="2486" spans="2:5" x14ac:dyDescent="0.25">
      <c r="B2486" s="40" t="str">
        <f>IF(F2486="","",VLOOKUP(F2486,Tabelle1[],2))</f>
        <v/>
      </c>
      <c r="C2486" s="40"/>
      <c r="E2486" s="80"/>
    </row>
    <row r="2487" spans="2:5" x14ac:dyDescent="0.25">
      <c r="B2487" s="40" t="str">
        <f>IF(F2487="","",VLOOKUP(F2487,Tabelle1[],2))</f>
        <v/>
      </c>
      <c r="C2487" s="40"/>
      <c r="E2487" s="80"/>
    </row>
    <row r="2488" spans="2:5" x14ac:dyDescent="0.25">
      <c r="B2488" s="40" t="str">
        <f>IF(F2488="","",VLOOKUP(F2488,Tabelle1[],2))</f>
        <v/>
      </c>
      <c r="C2488" s="40"/>
      <c r="E2488" s="80"/>
    </row>
    <row r="2489" spans="2:5" x14ac:dyDescent="0.25">
      <c r="B2489" s="40" t="str">
        <f>IF(F2489="","",VLOOKUP(F2489,Tabelle1[],2))</f>
        <v/>
      </c>
      <c r="C2489" s="40"/>
      <c r="E2489" s="80"/>
    </row>
    <row r="2490" spans="2:5" x14ac:dyDescent="0.25">
      <c r="B2490" s="40" t="str">
        <f>IF(F2490="","",VLOOKUP(F2490,Tabelle1[],2))</f>
        <v/>
      </c>
      <c r="C2490" s="40"/>
      <c r="E2490" s="80"/>
    </row>
    <row r="2491" spans="2:5" x14ac:dyDescent="0.25">
      <c r="B2491" s="40" t="str">
        <f>IF(F2491="","",VLOOKUP(F2491,Tabelle1[],2))</f>
        <v/>
      </c>
      <c r="C2491" s="40"/>
      <c r="E2491" s="80"/>
    </row>
    <row r="2492" spans="2:5" x14ac:dyDescent="0.25">
      <c r="B2492" s="40" t="str">
        <f>IF(F2492="","",VLOOKUP(F2492,Tabelle1[],2))</f>
        <v/>
      </c>
      <c r="C2492" s="40"/>
      <c r="E2492" s="80"/>
    </row>
    <row r="2493" spans="2:5" x14ac:dyDescent="0.25">
      <c r="B2493" s="40" t="str">
        <f>IF(F2493="","",VLOOKUP(F2493,Tabelle1[],2))</f>
        <v/>
      </c>
      <c r="C2493" s="40"/>
      <c r="E2493" s="80"/>
    </row>
    <row r="2494" spans="2:5" x14ac:dyDescent="0.25">
      <c r="B2494" s="40" t="str">
        <f>IF(F2494="","",VLOOKUP(F2494,Tabelle1[],2))</f>
        <v/>
      </c>
      <c r="C2494" s="40"/>
      <c r="E2494" s="80"/>
    </row>
    <row r="2495" spans="2:5" x14ac:dyDescent="0.25">
      <c r="B2495" s="40" t="str">
        <f>IF(F2495="","",VLOOKUP(F2495,Tabelle1[],2))</f>
        <v/>
      </c>
      <c r="C2495" s="40"/>
      <c r="E2495" s="80"/>
    </row>
    <row r="2496" spans="2:5" x14ac:dyDescent="0.25">
      <c r="B2496" s="40" t="str">
        <f>IF(F2496="","",VLOOKUP(F2496,Tabelle1[],2))</f>
        <v/>
      </c>
      <c r="C2496" s="40"/>
      <c r="E2496" s="80"/>
    </row>
    <row r="2497" spans="2:5" x14ac:dyDescent="0.25">
      <c r="B2497" s="40" t="str">
        <f>IF(F2497="","",VLOOKUP(F2497,Tabelle1[],2))</f>
        <v/>
      </c>
      <c r="C2497" s="40"/>
      <c r="E2497" s="80"/>
    </row>
    <row r="2498" spans="2:5" x14ac:dyDescent="0.25">
      <c r="B2498" s="40" t="str">
        <f>IF(F2498="","",VLOOKUP(F2498,Tabelle1[],2))</f>
        <v/>
      </c>
      <c r="C2498" s="40"/>
      <c r="E2498" s="80"/>
    </row>
    <row r="2499" spans="2:5" x14ac:dyDescent="0.25">
      <c r="B2499" s="40" t="str">
        <f>IF(F2499="","",VLOOKUP(F2499,Tabelle1[],2))</f>
        <v/>
      </c>
      <c r="C2499" s="40"/>
      <c r="E2499" s="80"/>
    </row>
    <row r="2500" spans="2:5" x14ac:dyDescent="0.25">
      <c r="B2500" s="40" t="str">
        <f>IF(F2500="","",VLOOKUP(F2500,Tabelle1[],2))</f>
        <v/>
      </c>
      <c r="C2500" s="40"/>
      <c r="E2500" s="80"/>
    </row>
    <row r="2501" spans="2:5" x14ac:dyDescent="0.25">
      <c r="B2501" s="40" t="str">
        <f>IF(F2501="","",VLOOKUP(F2501,Tabelle1[],2))</f>
        <v/>
      </c>
      <c r="C2501" s="40"/>
      <c r="E2501" s="80"/>
    </row>
    <row r="2502" spans="2:5" x14ac:dyDescent="0.25">
      <c r="B2502" s="40" t="str">
        <f>IF(F2502="","",VLOOKUP(F2502,Tabelle1[],2))</f>
        <v/>
      </c>
      <c r="C2502" s="40"/>
      <c r="E2502" s="80"/>
    </row>
    <row r="2503" spans="2:5" x14ac:dyDescent="0.25">
      <c r="B2503" s="40" t="str">
        <f>IF(F2503="","",VLOOKUP(F2503,Tabelle1[],2))</f>
        <v/>
      </c>
      <c r="C2503" s="40"/>
      <c r="E2503" s="80"/>
    </row>
    <row r="2504" spans="2:5" x14ac:dyDescent="0.25">
      <c r="B2504" s="40" t="str">
        <f>IF(F2504="","",VLOOKUP(F2504,Tabelle1[],2))</f>
        <v/>
      </c>
      <c r="C2504" s="40"/>
      <c r="E2504" s="80"/>
    </row>
    <row r="2505" spans="2:5" x14ac:dyDescent="0.25">
      <c r="B2505" s="40" t="str">
        <f>IF(F2505="","",VLOOKUP(F2505,Tabelle1[],2))</f>
        <v/>
      </c>
      <c r="C2505" s="40"/>
      <c r="E2505" s="80"/>
    </row>
    <row r="2506" spans="2:5" x14ac:dyDescent="0.25">
      <c r="B2506" s="40" t="str">
        <f>IF(F2506="","",VLOOKUP(F2506,Tabelle1[],2))</f>
        <v/>
      </c>
      <c r="C2506" s="40"/>
      <c r="E2506" s="80"/>
    </row>
    <row r="2507" spans="2:5" x14ac:dyDescent="0.25">
      <c r="B2507" s="40" t="str">
        <f>IF(F2507="","",VLOOKUP(F2507,Tabelle1[],2))</f>
        <v/>
      </c>
      <c r="C2507" s="40"/>
      <c r="E2507" s="80"/>
    </row>
    <row r="2508" spans="2:5" x14ac:dyDescent="0.25">
      <c r="B2508" s="40" t="str">
        <f>IF(F2508="","",VLOOKUP(F2508,Tabelle1[],2))</f>
        <v/>
      </c>
      <c r="C2508" s="40"/>
      <c r="E2508" s="80"/>
    </row>
    <row r="2509" spans="2:5" x14ac:dyDescent="0.25">
      <c r="B2509" s="40" t="str">
        <f>IF(F2509="","",VLOOKUP(F2509,Tabelle1[],2))</f>
        <v/>
      </c>
      <c r="C2509" s="40"/>
      <c r="E2509" s="80"/>
    </row>
    <row r="2510" spans="2:5" x14ac:dyDescent="0.25">
      <c r="B2510" s="40" t="str">
        <f>IF(F2510="","",VLOOKUP(F2510,Tabelle1[],2))</f>
        <v/>
      </c>
      <c r="C2510" s="40"/>
      <c r="E2510" s="80"/>
    </row>
    <row r="2511" spans="2:5" x14ac:dyDescent="0.25">
      <c r="B2511" s="40" t="str">
        <f>IF(F2511="","",VLOOKUP(F2511,Tabelle1[],2))</f>
        <v/>
      </c>
      <c r="C2511" s="40"/>
      <c r="E2511" s="80"/>
    </row>
    <row r="2512" spans="2:5" x14ac:dyDescent="0.25">
      <c r="B2512" s="40" t="str">
        <f>IF(F2512="","",VLOOKUP(F2512,Tabelle1[],2))</f>
        <v/>
      </c>
      <c r="C2512" s="40"/>
      <c r="E2512" s="80"/>
    </row>
    <row r="2513" spans="2:5" x14ac:dyDescent="0.25">
      <c r="B2513" s="40" t="str">
        <f>IF(F2513="","",VLOOKUP(F2513,Tabelle1[],2))</f>
        <v/>
      </c>
      <c r="C2513" s="40"/>
      <c r="E2513" s="80"/>
    </row>
    <row r="2514" spans="2:5" x14ac:dyDescent="0.25">
      <c r="B2514" s="40" t="str">
        <f>IF(F2514="","",VLOOKUP(F2514,Tabelle1[],2))</f>
        <v/>
      </c>
      <c r="C2514" s="40"/>
      <c r="E2514" s="80"/>
    </row>
    <row r="2515" spans="2:5" x14ac:dyDescent="0.25">
      <c r="B2515" s="40" t="str">
        <f>IF(F2515="","",VLOOKUP(F2515,Tabelle1[],2))</f>
        <v/>
      </c>
      <c r="C2515" s="40"/>
      <c r="E2515" s="80"/>
    </row>
    <row r="2516" spans="2:5" x14ac:dyDescent="0.25">
      <c r="B2516" s="40" t="str">
        <f>IF(F2516="","",VLOOKUP(F2516,Tabelle1[],2))</f>
        <v/>
      </c>
      <c r="C2516" s="40"/>
      <c r="E2516" s="80"/>
    </row>
    <row r="2517" spans="2:5" x14ac:dyDescent="0.25">
      <c r="B2517" s="40" t="str">
        <f>IF(F2517="","",VLOOKUP(F2517,Tabelle1[],2))</f>
        <v/>
      </c>
      <c r="C2517" s="40"/>
      <c r="E2517" s="80"/>
    </row>
    <row r="2518" spans="2:5" x14ac:dyDescent="0.25">
      <c r="B2518" s="40" t="str">
        <f>IF(F2518="","",VLOOKUP(F2518,Tabelle1[],2))</f>
        <v/>
      </c>
      <c r="C2518" s="40"/>
      <c r="E2518" s="80"/>
    </row>
    <row r="2519" spans="2:5" x14ac:dyDescent="0.25">
      <c r="B2519" s="40" t="str">
        <f>IF(F2519="","",VLOOKUP(F2519,Tabelle1[],2))</f>
        <v/>
      </c>
      <c r="C2519" s="40"/>
      <c r="E2519" s="80"/>
    </row>
    <row r="2520" spans="2:5" x14ac:dyDescent="0.25">
      <c r="B2520" s="40" t="str">
        <f>IF(F2520="","",VLOOKUP(F2520,Tabelle1[],2))</f>
        <v/>
      </c>
      <c r="C2520" s="40"/>
      <c r="E2520" s="80"/>
    </row>
    <row r="2521" spans="2:5" x14ac:dyDescent="0.25">
      <c r="B2521" s="40" t="str">
        <f>IF(F2521="","",VLOOKUP(F2521,Tabelle1[],2))</f>
        <v/>
      </c>
      <c r="C2521" s="40"/>
      <c r="E2521" s="80"/>
    </row>
    <row r="2522" spans="2:5" x14ac:dyDescent="0.25">
      <c r="B2522" s="40" t="str">
        <f>IF(F2522="","",VLOOKUP(F2522,Tabelle1[],2))</f>
        <v/>
      </c>
      <c r="C2522" s="40"/>
      <c r="E2522" s="80"/>
    </row>
    <row r="2523" spans="2:5" x14ac:dyDescent="0.25">
      <c r="B2523" s="40" t="str">
        <f>IF(F2523="","",VLOOKUP(F2523,Tabelle1[],2))</f>
        <v/>
      </c>
      <c r="C2523" s="40"/>
      <c r="E2523" s="80"/>
    </row>
    <row r="2524" spans="2:5" x14ac:dyDescent="0.25">
      <c r="B2524" s="40" t="str">
        <f>IF(F2524="","",VLOOKUP(F2524,Tabelle1[],2))</f>
        <v/>
      </c>
      <c r="C2524" s="40"/>
      <c r="E2524" s="80"/>
    </row>
    <row r="2525" spans="2:5" x14ac:dyDescent="0.25">
      <c r="B2525" s="40" t="str">
        <f>IF(F2525="","",VLOOKUP(F2525,Tabelle1[],2))</f>
        <v/>
      </c>
      <c r="C2525" s="40"/>
      <c r="E2525" s="80"/>
    </row>
    <row r="2526" spans="2:5" x14ac:dyDescent="0.25">
      <c r="B2526" s="40" t="str">
        <f>IF(F2526="","",VLOOKUP(F2526,Tabelle1[],2))</f>
        <v/>
      </c>
      <c r="C2526" s="40"/>
      <c r="E2526" s="80"/>
    </row>
    <row r="2527" spans="2:5" x14ac:dyDescent="0.25">
      <c r="B2527" s="40" t="str">
        <f>IF(F2527="","",VLOOKUP(F2527,Tabelle1[],2))</f>
        <v/>
      </c>
      <c r="C2527" s="40"/>
      <c r="E2527" s="80"/>
    </row>
    <row r="2528" spans="2:5" x14ac:dyDescent="0.25">
      <c r="B2528" s="40" t="str">
        <f>IF(F2528="","",VLOOKUP(F2528,Tabelle1[],2))</f>
        <v/>
      </c>
      <c r="C2528" s="40"/>
      <c r="E2528" s="80"/>
    </row>
    <row r="2529" spans="2:5" x14ac:dyDescent="0.25">
      <c r="B2529" s="40" t="str">
        <f>IF(F2529="","",VLOOKUP(F2529,Tabelle1[],2))</f>
        <v/>
      </c>
      <c r="C2529" s="40"/>
      <c r="E2529" s="80"/>
    </row>
    <row r="2530" spans="2:5" x14ac:dyDescent="0.25">
      <c r="B2530" s="40" t="str">
        <f>IF(F2530="","",VLOOKUP(F2530,Tabelle1[],2))</f>
        <v/>
      </c>
      <c r="C2530" s="40"/>
      <c r="E2530" s="80"/>
    </row>
    <row r="2531" spans="2:5" x14ac:dyDescent="0.25">
      <c r="B2531" s="40" t="str">
        <f>IF(F2531="","",VLOOKUP(F2531,Tabelle1[],2))</f>
        <v/>
      </c>
      <c r="C2531" s="40"/>
      <c r="E2531" s="80"/>
    </row>
    <row r="2532" spans="2:5" x14ac:dyDescent="0.25">
      <c r="B2532" s="40" t="str">
        <f>IF(F2532="","",VLOOKUP(F2532,Tabelle1[],2))</f>
        <v/>
      </c>
      <c r="C2532" s="40"/>
      <c r="E2532" s="80"/>
    </row>
    <row r="2533" spans="2:5" x14ac:dyDescent="0.25">
      <c r="B2533" s="40" t="str">
        <f>IF(F2533="","",VLOOKUP(F2533,Tabelle1[],2))</f>
        <v/>
      </c>
      <c r="C2533" s="40"/>
      <c r="E2533" s="80"/>
    </row>
    <row r="2534" spans="2:5" x14ac:dyDescent="0.25">
      <c r="B2534" s="40" t="str">
        <f>IF(F2534="","",VLOOKUP(F2534,Tabelle1[],2))</f>
        <v/>
      </c>
      <c r="C2534" s="40"/>
      <c r="E2534" s="80"/>
    </row>
    <row r="2535" spans="2:5" x14ac:dyDescent="0.25">
      <c r="B2535" s="40" t="str">
        <f>IF(F2535="","",VLOOKUP(F2535,Tabelle1[],2))</f>
        <v/>
      </c>
      <c r="C2535" s="40"/>
      <c r="E2535" s="80"/>
    </row>
    <row r="2536" spans="2:5" x14ac:dyDescent="0.25">
      <c r="B2536" s="40" t="str">
        <f>IF(F2536="","",VLOOKUP(F2536,Tabelle1[],2))</f>
        <v/>
      </c>
      <c r="C2536" s="40"/>
      <c r="E2536" s="80"/>
    </row>
    <row r="2537" spans="2:5" x14ac:dyDescent="0.25">
      <c r="B2537" s="40" t="str">
        <f>IF(F2537="","",VLOOKUP(F2537,Tabelle1[],2))</f>
        <v/>
      </c>
      <c r="C2537" s="40"/>
      <c r="E2537" s="80"/>
    </row>
    <row r="2538" spans="2:5" x14ac:dyDescent="0.25">
      <c r="B2538" s="40" t="str">
        <f>IF(F2538="","",VLOOKUP(F2538,Tabelle1[],2))</f>
        <v/>
      </c>
      <c r="C2538" s="40"/>
      <c r="E2538" s="80"/>
    </row>
    <row r="2539" spans="2:5" x14ac:dyDescent="0.25">
      <c r="B2539" s="40" t="str">
        <f>IF(F2539="","",VLOOKUP(F2539,Tabelle1[],2))</f>
        <v/>
      </c>
      <c r="C2539" s="40"/>
      <c r="E2539" s="80"/>
    </row>
    <row r="2540" spans="2:5" x14ac:dyDescent="0.25">
      <c r="B2540" s="40" t="str">
        <f>IF(F2540="","",VLOOKUP(F2540,Tabelle1[],2))</f>
        <v/>
      </c>
      <c r="C2540" s="40"/>
      <c r="E2540" s="80"/>
    </row>
    <row r="2541" spans="2:5" x14ac:dyDescent="0.25">
      <c r="B2541" s="40" t="str">
        <f>IF(F2541="","",VLOOKUP(F2541,Tabelle1[],2))</f>
        <v/>
      </c>
      <c r="C2541" s="40"/>
      <c r="E2541" s="80"/>
    </row>
    <row r="2542" spans="2:5" x14ac:dyDescent="0.25">
      <c r="B2542" s="40" t="str">
        <f>IF(F2542="","",VLOOKUP(F2542,Tabelle1[],2))</f>
        <v/>
      </c>
      <c r="C2542" s="40"/>
      <c r="E2542" s="80"/>
    </row>
    <row r="2543" spans="2:5" x14ac:dyDescent="0.25">
      <c r="B2543" s="40" t="str">
        <f>IF(F2543="","",VLOOKUP(F2543,Tabelle1[],2))</f>
        <v/>
      </c>
      <c r="C2543" s="40"/>
      <c r="E2543" s="80"/>
    </row>
    <row r="2544" spans="2:5" x14ac:dyDescent="0.25">
      <c r="B2544" s="40" t="str">
        <f>IF(F2544="","",VLOOKUP(F2544,Tabelle1[],2))</f>
        <v/>
      </c>
      <c r="C2544" s="40"/>
      <c r="E2544" s="80"/>
    </row>
    <row r="2545" spans="2:5" x14ac:dyDescent="0.25">
      <c r="B2545" s="40" t="str">
        <f>IF(F2545="","",VLOOKUP(F2545,Tabelle1[],2))</f>
        <v/>
      </c>
      <c r="C2545" s="40"/>
      <c r="E2545" s="80"/>
    </row>
    <row r="2546" spans="2:5" x14ac:dyDescent="0.25">
      <c r="B2546" s="40" t="str">
        <f>IF(F2546="","",VLOOKUP(F2546,Tabelle1[],2))</f>
        <v/>
      </c>
      <c r="C2546" s="40"/>
      <c r="E2546" s="80"/>
    </row>
    <row r="2547" spans="2:5" x14ac:dyDescent="0.25">
      <c r="B2547" s="40" t="str">
        <f>IF(F2547="","",VLOOKUP(F2547,Tabelle1[],2))</f>
        <v/>
      </c>
      <c r="C2547" s="40"/>
      <c r="E2547" s="80"/>
    </row>
    <row r="2548" spans="2:5" x14ac:dyDescent="0.25">
      <c r="B2548" s="40" t="str">
        <f>IF(F2548="","",VLOOKUP(F2548,Tabelle1[],2))</f>
        <v/>
      </c>
      <c r="C2548" s="40"/>
      <c r="E2548" s="80"/>
    </row>
    <row r="2549" spans="2:5" x14ac:dyDescent="0.25">
      <c r="B2549" s="40" t="str">
        <f>IF(F2549="","",VLOOKUP(F2549,Tabelle1[],2))</f>
        <v/>
      </c>
      <c r="C2549" s="40"/>
      <c r="E2549" s="80"/>
    </row>
    <row r="2550" spans="2:5" x14ac:dyDescent="0.25">
      <c r="B2550" s="40" t="str">
        <f>IF(F2550="","",VLOOKUP(F2550,Tabelle1[],2))</f>
        <v/>
      </c>
      <c r="C2550" s="40"/>
      <c r="E2550" s="80"/>
    </row>
    <row r="2551" spans="2:5" x14ac:dyDescent="0.25">
      <c r="B2551" s="40" t="str">
        <f>IF(F2551="","",VLOOKUP(F2551,Tabelle1[],2))</f>
        <v/>
      </c>
      <c r="C2551" s="40"/>
      <c r="E2551" s="80"/>
    </row>
    <row r="2552" spans="2:5" x14ac:dyDescent="0.25">
      <c r="B2552" s="40" t="str">
        <f>IF(F2552="","",VLOOKUP(F2552,Tabelle1[],2))</f>
        <v/>
      </c>
      <c r="C2552" s="40"/>
      <c r="E2552" s="80"/>
    </row>
    <row r="2553" spans="2:5" x14ac:dyDescent="0.25">
      <c r="B2553" s="40" t="str">
        <f>IF(F2553="","",VLOOKUP(F2553,Tabelle1[],2))</f>
        <v/>
      </c>
      <c r="C2553" s="40"/>
      <c r="E2553" s="80"/>
    </row>
    <row r="2554" spans="2:5" x14ac:dyDescent="0.25">
      <c r="B2554" s="40" t="str">
        <f>IF(F2554="","",VLOOKUP(F2554,Tabelle1[],2))</f>
        <v/>
      </c>
      <c r="C2554" s="40"/>
      <c r="E2554" s="80"/>
    </row>
    <row r="2555" spans="2:5" x14ac:dyDescent="0.25">
      <c r="B2555" s="40" t="str">
        <f>IF(F2555="","",VLOOKUP(F2555,Tabelle1[],2))</f>
        <v/>
      </c>
      <c r="C2555" s="40"/>
      <c r="E2555" s="80"/>
    </row>
    <row r="2556" spans="2:5" x14ac:dyDescent="0.25">
      <c r="B2556" s="40" t="str">
        <f>IF(F2556="","",VLOOKUP(F2556,Tabelle1[],2))</f>
        <v/>
      </c>
      <c r="C2556" s="40"/>
      <c r="E2556" s="80"/>
    </row>
    <row r="2557" spans="2:5" x14ac:dyDescent="0.25">
      <c r="B2557" s="40" t="str">
        <f>IF(F2557="","",VLOOKUP(F2557,Tabelle1[],2))</f>
        <v/>
      </c>
      <c r="C2557" s="40"/>
      <c r="E2557" s="80"/>
    </row>
    <row r="2558" spans="2:5" x14ac:dyDescent="0.25">
      <c r="B2558" s="40" t="str">
        <f>IF(F2558="","",VLOOKUP(F2558,Tabelle1[],2))</f>
        <v/>
      </c>
      <c r="C2558" s="40"/>
      <c r="E2558" s="80"/>
    </row>
    <row r="2559" spans="2:5" x14ac:dyDescent="0.25">
      <c r="B2559" s="40" t="str">
        <f>IF(F2559="","",VLOOKUP(F2559,Tabelle1[],2))</f>
        <v/>
      </c>
      <c r="C2559" s="40"/>
      <c r="E2559" s="80"/>
    </row>
    <row r="2560" spans="2:5" x14ac:dyDescent="0.25">
      <c r="B2560" s="40" t="str">
        <f>IF(F2560="","",VLOOKUP(F2560,Tabelle1[],2))</f>
        <v/>
      </c>
      <c r="C2560" s="40"/>
      <c r="E2560" s="80"/>
    </row>
    <row r="2561" spans="2:5" x14ac:dyDescent="0.25">
      <c r="B2561" s="40" t="str">
        <f>IF(F2561="","",VLOOKUP(F2561,Tabelle1[],2))</f>
        <v/>
      </c>
      <c r="C2561" s="40"/>
      <c r="E2561" s="80"/>
    </row>
    <row r="2562" spans="2:5" x14ac:dyDescent="0.25">
      <c r="B2562" s="40" t="str">
        <f>IF(F2562="","",VLOOKUP(F2562,Tabelle1[],2))</f>
        <v/>
      </c>
      <c r="C2562" s="40"/>
      <c r="E2562" s="80"/>
    </row>
    <row r="2563" spans="2:5" x14ac:dyDescent="0.25">
      <c r="B2563" s="40" t="str">
        <f>IF(F2563="","",VLOOKUP(F2563,Tabelle1[],2))</f>
        <v/>
      </c>
      <c r="C2563" s="40"/>
      <c r="E2563" s="80"/>
    </row>
    <row r="2564" spans="2:5" x14ac:dyDescent="0.25">
      <c r="B2564" s="40" t="str">
        <f>IF(F2564="","",VLOOKUP(F2564,Tabelle1[],2))</f>
        <v/>
      </c>
      <c r="C2564" s="40"/>
      <c r="E2564" s="80"/>
    </row>
    <row r="2565" spans="2:5" x14ac:dyDescent="0.25">
      <c r="B2565" s="40" t="str">
        <f>IF(F2565="","",VLOOKUP(F2565,Tabelle1[],2))</f>
        <v/>
      </c>
      <c r="C2565" s="40"/>
      <c r="E2565" s="80"/>
    </row>
    <row r="2566" spans="2:5" x14ac:dyDescent="0.25">
      <c r="B2566" s="40" t="str">
        <f>IF(F2566="","",VLOOKUP(F2566,Tabelle1[],2))</f>
        <v/>
      </c>
      <c r="C2566" s="40"/>
      <c r="E2566" s="80"/>
    </row>
    <row r="2567" spans="2:5" x14ac:dyDescent="0.25">
      <c r="B2567" s="40" t="str">
        <f>IF(F2567="","",VLOOKUP(F2567,Tabelle1[],2))</f>
        <v/>
      </c>
      <c r="C2567" s="40"/>
      <c r="E2567" s="80"/>
    </row>
    <row r="2568" spans="2:5" x14ac:dyDescent="0.25">
      <c r="B2568" s="40" t="str">
        <f>IF(F2568="","",VLOOKUP(F2568,Tabelle1[],2))</f>
        <v/>
      </c>
      <c r="C2568" s="40"/>
      <c r="E2568" s="80"/>
    </row>
    <row r="2569" spans="2:5" x14ac:dyDescent="0.25">
      <c r="B2569" s="40" t="str">
        <f>IF(F2569="","",VLOOKUP(F2569,Tabelle1[],2))</f>
        <v/>
      </c>
      <c r="C2569" s="40"/>
      <c r="E2569" s="80"/>
    </row>
    <row r="2570" spans="2:5" x14ac:dyDescent="0.25">
      <c r="B2570" s="40" t="str">
        <f>IF(F2570="","",VLOOKUP(F2570,Tabelle1[],2))</f>
        <v/>
      </c>
      <c r="C2570" s="40"/>
      <c r="E2570" s="80"/>
    </row>
    <row r="2571" spans="2:5" x14ac:dyDescent="0.25">
      <c r="B2571" s="40" t="str">
        <f>IF(F2571="","",VLOOKUP(F2571,Tabelle1[],2))</f>
        <v/>
      </c>
      <c r="C2571" s="40"/>
      <c r="E2571" s="80"/>
    </row>
    <row r="2572" spans="2:5" x14ac:dyDescent="0.25">
      <c r="B2572" s="40" t="str">
        <f>IF(F2572="","",VLOOKUP(F2572,Tabelle1[],2))</f>
        <v/>
      </c>
      <c r="C2572" s="40"/>
      <c r="E2572" s="80"/>
    </row>
    <row r="2573" spans="2:5" x14ac:dyDescent="0.25">
      <c r="B2573" s="40" t="str">
        <f>IF(F2573="","",VLOOKUP(F2573,Tabelle1[],2))</f>
        <v/>
      </c>
      <c r="C2573" s="40"/>
      <c r="E2573" s="80"/>
    </row>
    <row r="2574" spans="2:5" x14ac:dyDescent="0.25">
      <c r="B2574" s="40" t="str">
        <f>IF(F2574="","",VLOOKUP(F2574,Tabelle1[],2))</f>
        <v/>
      </c>
      <c r="C2574" s="40"/>
      <c r="E2574" s="80"/>
    </row>
    <row r="2575" spans="2:5" x14ac:dyDescent="0.25">
      <c r="B2575" s="40" t="str">
        <f>IF(F2575="","",VLOOKUP(F2575,Tabelle1[],2))</f>
        <v/>
      </c>
      <c r="C2575" s="40"/>
      <c r="E2575" s="80"/>
    </row>
    <row r="2576" spans="2:5" x14ac:dyDescent="0.25">
      <c r="B2576" s="40" t="str">
        <f>IF(F2576="","",VLOOKUP(F2576,Tabelle1[],2))</f>
        <v/>
      </c>
      <c r="C2576" s="40"/>
      <c r="E2576" s="80"/>
    </row>
    <row r="2577" spans="2:5" x14ac:dyDescent="0.25">
      <c r="B2577" s="40" t="str">
        <f>IF(F2577="","",VLOOKUP(F2577,Tabelle1[],2))</f>
        <v/>
      </c>
      <c r="C2577" s="40"/>
      <c r="E2577" s="80"/>
    </row>
    <row r="2578" spans="2:5" x14ac:dyDescent="0.25">
      <c r="B2578" s="40" t="str">
        <f>IF(F2578="","",VLOOKUP(F2578,Tabelle1[],2))</f>
        <v/>
      </c>
      <c r="C2578" s="40"/>
      <c r="E2578" s="80"/>
    </row>
    <row r="2579" spans="2:5" x14ac:dyDescent="0.25">
      <c r="B2579" s="40" t="str">
        <f>IF(F2579="","",VLOOKUP(F2579,Tabelle1[],2))</f>
        <v/>
      </c>
      <c r="C2579" s="40"/>
      <c r="E2579" s="80"/>
    </row>
    <row r="2580" spans="2:5" x14ac:dyDescent="0.25">
      <c r="B2580" s="40" t="str">
        <f>IF(F2580="","",VLOOKUP(F2580,Tabelle1[],2))</f>
        <v/>
      </c>
      <c r="C2580" s="40"/>
      <c r="E2580" s="80"/>
    </row>
    <row r="2581" spans="2:5" x14ac:dyDescent="0.25">
      <c r="B2581" s="40" t="str">
        <f>IF(F2581="","",VLOOKUP(F2581,Tabelle1[],2))</f>
        <v/>
      </c>
      <c r="C2581" s="40"/>
      <c r="E2581" s="80"/>
    </row>
    <row r="2582" spans="2:5" x14ac:dyDescent="0.25">
      <c r="B2582" s="40" t="str">
        <f>IF(F2582="","",VLOOKUP(F2582,Tabelle1[],2))</f>
        <v/>
      </c>
      <c r="C2582" s="40"/>
      <c r="E2582" s="80"/>
    </row>
    <row r="2583" spans="2:5" x14ac:dyDescent="0.25">
      <c r="B2583" s="40" t="str">
        <f>IF(F2583="","",VLOOKUP(F2583,Tabelle1[],2))</f>
        <v/>
      </c>
      <c r="C2583" s="40"/>
      <c r="E2583" s="80"/>
    </row>
    <row r="2584" spans="2:5" x14ac:dyDescent="0.25">
      <c r="B2584" s="40" t="str">
        <f>IF(F2584="","",VLOOKUP(F2584,Tabelle1[],2))</f>
        <v/>
      </c>
      <c r="C2584" s="40"/>
      <c r="E2584" s="80"/>
    </row>
    <row r="2585" spans="2:5" x14ac:dyDescent="0.25">
      <c r="B2585" s="40" t="str">
        <f>IF(F2585="","",VLOOKUP(F2585,Tabelle1[],2))</f>
        <v/>
      </c>
      <c r="C2585" s="40"/>
      <c r="E2585" s="80"/>
    </row>
    <row r="2586" spans="2:5" x14ac:dyDescent="0.25">
      <c r="B2586" s="40" t="str">
        <f>IF(F2586="","",VLOOKUP(F2586,Tabelle1[],2))</f>
        <v/>
      </c>
      <c r="C2586" s="40"/>
      <c r="E2586" s="80"/>
    </row>
    <row r="2587" spans="2:5" x14ac:dyDescent="0.25">
      <c r="B2587" s="40" t="str">
        <f>IF(F2587="","",VLOOKUP(F2587,Tabelle1[],2))</f>
        <v/>
      </c>
      <c r="C2587" s="40"/>
      <c r="E2587" s="80"/>
    </row>
    <row r="2588" spans="2:5" x14ac:dyDescent="0.25">
      <c r="B2588" s="40" t="str">
        <f>IF(F2588="","",VLOOKUP(F2588,Tabelle1[],2))</f>
        <v/>
      </c>
      <c r="C2588" s="40"/>
      <c r="E2588" s="80"/>
    </row>
    <row r="2589" spans="2:5" x14ac:dyDescent="0.25">
      <c r="B2589" s="40" t="str">
        <f>IF(F2589="","",VLOOKUP(F2589,Tabelle1[],2))</f>
        <v/>
      </c>
      <c r="C2589" s="40"/>
      <c r="E2589" s="80"/>
    </row>
    <row r="2590" spans="2:5" x14ac:dyDescent="0.25">
      <c r="B2590" s="40" t="str">
        <f>IF(F2590="","",VLOOKUP(F2590,Tabelle1[],2))</f>
        <v/>
      </c>
      <c r="C2590" s="40"/>
      <c r="E2590" s="80"/>
    </row>
    <row r="2591" spans="2:5" x14ac:dyDescent="0.25">
      <c r="B2591" s="40" t="str">
        <f>IF(F2591="","",VLOOKUP(F2591,Tabelle1[],2))</f>
        <v/>
      </c>
      <c r="C2591" s="40"/>
      <c r="E2591" s="80"/>
    </row>
    <row r="2592" spans="2:5" x14ac:dyDescent="0.25">
      <c r="B2592" s="40" t="str">
        <f>IF(F2592="","",VLOOKUP(F2592,Tabelle1[],2))</f>
        <v/>
      </c>
      <c r="C2592" s="40"/>
      <c r="E2592" s="80"/>
    </row>
    <row r="2593" spans="2:5" x14ac:dyDescent="0.25">
      <c r="B2593" s="40" t="str">
        <f>IF(F2593="","",VLOOKUP(F2593,Tabelle1[],2))</f>
        <v/>
      </c>
      <c r="C2593" s="40"/>
      <c r="E2593" s="80"/>
    </row>
    <row r="2594" spans="2:5" x14ac:dyDescent="0.25">
      <c r="B2594" s="40" t="str">
        <f>IF(F2594="","",VLOOKUP(F2594,Tabelle1[],2))</f>
        <v/>
      </c>
      <c r="C2594" s="40"/>
      <c r="E2594" s="80"/>
    </row>
    <row r="2595" spans="2:5" x14ac:dyDescent="0.25">
      <c r="B2595" s="40" t="str">
        <f>IF(F2595="","",VLOOKUP(F2595,Tabelle1[],2))</f>
        <v/>
      </c>
      <c r="C2595" s="40"/>
      <c r="E2595" s="80"/>
    </row>
    <row r="2596" spans="2:5" x14ac:dyDescent="0.25">
      <c r="B2596" s="40" t="str">
        <f>IF(F2596="","",VLOOKUP(F2596,Tabelle1[],2))</f>
        <v/>
      </c>
      <c r="C2596" s="40"/>
      <c r="E2596" s="80"/>
    </row>
    <row r="2597" spans="2:5" x14ac:dyDescent="0.25">
      <c r="B2597" s="40" t="str">
        <f>IF(F2597="","",VLOOKUP(F2597,Tabelle1[],2))</f>
        <v/>
      </c>
      <c r="C2597" s="40"/>
      <c r="E2597" s="80"/>
    </row>
    <row r="2598" spans="2:5" x14ac:dyDescent="0.25">
      <c r="B2598" s="40" t="str">
        <f>IF(F2598="","",VLOOKUP(F2598,Tabelle1[],2))</f>
        <v/>
      </c>
      <c r="C2598" s="40"/>
      <c r="E2598" s="80"/>
    </row>
    <row r="2599" spans="2:5" x14ac:dyDescent="0.25">
      <c r="B2599" s="40" t="str">
        <f>IF(F2599="","",VLOOKUP(F2599,Tabelle1[],2))</f>
        <v/>
      </c>
      <c r="C2599" s="40"/>
      <c r="E2599" s="80"/>
    </row>
    <row r="2600" spans="2:5" x14ac:dyDescent="0.25">
      <c r="B2600" s="40" t="str">
        <f>IF(F2600="","",VLOOKUP(F2600,Tabelle1[],2))</f>
        <v/>
      </c>
      <c r="C2600" s="40"/>
      <c r="E2600" s="80"/>
    </row>
    <row r="2601" spans="2:5" x14ac:dyDescent="0.25">
      <c r="B2601" s="40" t="str">
        <f>IF(F2601="","",VLOOKUP(F2601,Tabelle1[],2))</f>
        <v/>
      </c>
      <c r="C2601" s="40"/>
      <c r="E2601" s="80"/>
    </row>
    <row r="2602" spans="2:5" x14ac:dyDescent="0.25">
      <c r="B2602" s="40" t="str">
        <f>IF(F2602="","",VLOOKUP(F2602,Tabelle1[],2))</f>
        <v/>
      </c>
      <c r="C2602" s="40"/>
      <c r="E2602" s="80"/>
    </row>
    <row r="2603" spans="2:5" x14ac:dyDescent="0.25">
      <c r="B2603" s="40" t="str">
        <f>IF(F2603="","",VLOOKUP(F2603,Tabelle1[],2))</f>
        <v/>
      </c>
      <c r="C2603" s="40"/>
      <c r="E2603" s="80"/>
    </row>
    <row r="2604" spans="2:5" x14ac:dyDescent="0.25">
      <c r="B2604" s="40" t="str">
        <f>IF(F2604="","",VLOOKUP(F2604,Tabelle1[],2))</f>
        <v/>
      </c>
      <c r="C2604" s="40"/>
      <c r="E2604" s="80"/>
    </row>
    <row r="2605" spans="2:5" x14ac:dyDescent="0.25">
      <c r="B2605" s="40" t="str">
        <f>IF(F2605="","",VLOOKUP(F2605,Tabelle1[],2))</f>
        <v/>
      </c>
      <c r="C2605" s="40"/>
      <c r="E2605" s="80"/>
    </row>
    <row r="2606" spans="2:5" x14ac:dyDescent="0.25">
      <c r="B2606" s="40" t="str">
        <f>IF(F2606="","",VLOOKUP(F2606,Tabelle1[],2))</f>
        <v/>
      </c>
      <c r="C2606" s="40"/>
      <c r="E2606" s="80"/>
    </row>
    <row r="2607" spans="2:5" x14ac:dyDescent="0.25">
      <c r="B2607" s="40" t="str">
        <f>IF(F2607="","",VLOOKUP(F2607,Tabelle1[],2))</f>
        <v/>
      </c>
      <c r="C2607" s="40"/>
      <c r="E2607" s="80"/>
    </row>
    <row r="2608" spans="2:5" x14ac:dyDescent="0.25">
      <c r="B2608" s="40" t="str">
        <f>IF(F2608="","",VLOOKUP(F2608,Tabelle1[],2))</f>
        <v/>
      </c>
      <c r="C2608" s="40"/>
      <c r="E2608" s="80"/>
    </row>
    <row r="2609" spans="2:5" x14ac:dyDescent="0.25">
      <c r="B2609" s="40" t="str">
        <f>IF(F2609="","",VLOOKUP(F2609,Tabelle1[],2))</f>
        <v/>
      </c>
      <c r="C2609" s="40"/>
      <c r="E2609" s="80"/>
    </row>
    <row r="2610" spans="2:5" x14ac:dyDescent="0.25">
      <c r="B2610" s="40" t="str">
        <f>IF(F2610="","",VLOOKUP(F2610,Tabelle1[],2))</f>
        <v/>
      </c>
      <c r="C2610" s="40"/>
      <c r="E2610" s="80"/>
    </row>
    <row r="2611" spans="2:5" x14ac:dyDescent="0.25">
      <c r="B2611" s="40" t="str">
        <f>IF(F2611="","",VLOOKUP(F2611,Tabelle1[],2))</f>
        <v/>
      </c>
      <c r="C2611" s="40"/>
      <c r="E2611" s="80"/>
    </row>
    <row r="2612" spans="2:5" x14ac:dyDescent="0.25">
      <c r="B2612" s="40" t="str">
        <f>IF(F2612="","",VLOOKUP(F2612,Tabelle1[],2))</f>
        <v/>
      </c>
      <c r="C2612" s="40"/>
      <c r="E2612" s="80"/>
    </row>
    <row r="2613" spans="2:5" x14ac:dyDescent="0.25">
      <c r="B2613" s="40" t="str">
        <f>IF(F2613="","",VLOOKUP(F2613,Tabelle1[],2))</f>
        <v/>
      </c>
      <c r="C2613" s="40"/>
      <c r="E2613" s="80"/>
    </row>
    <row r="2614" spans="2:5" x14ac:dyDescent="0.25">
      <c r="B2614" s="40" t="str">
        <f>IF(F2614="","",VLOOKUP(F2614,Tabelle1[],2))</f>
        <v/>
      </c>
      <c r="C2614" s="40"/>
      <c r="E2614" s="80"/>
    </row>
    <row r="2615" spans="2:5" x14ac:dyDescent="0.25">
      <c r="B2615" s="40" t="str">
        <f>IF(F2615="","",VLOOKUP(F2615,Tabelle1[],2))</f>
        <v/>
      </c>
      <c r="C2615" s="40"/>
      <c r="E2615" s="80"/>
    </row>
    <row r="2616" spans="2:5" x14ac:dyDescent="0.25">
      <c r="B2616" s="40" t="str">
        <f>IF(F2616="","",VLOOKUP(F2616,Tabelle1[],2))</f>
        <v/>
      </c>
      <c r="C2616" s="40"/>
      <c r="E2616" s="80"/>
    </row>
    <row r="2617" spans="2:5" x14ac:dyDescent="0.25">
      <c r="B2617" s="40" t="str">
        <f>IF(F2617="","",VLOOKUP(F2617,Tabelle1[],2))</f>
        <v/>
      </c>
      <c r="C2617" s="40"/>
      <c r="E2617" s="80"/>
    </row>
    <row r="2618" spans="2:5" x14ac:dyDescent="0.25">
      <c r="B2618" s="40" t="str">
        <f>IF(F2618="","",VLOOKUP(F2618,Tabelle1[],2))</f>
        <v/>
      </c>
      <c r="C2618" s="40"/>
      <c r="E2618" s="80"/>
    </row>
    <row r="2619" spans="2:5" x14ac:dyDescent="0.25">
      <c r="B2619" s="40" t="str">
        <f>IF(F2619="","",VLOOKUP(F2619,Tabelle1[],2))</f>
        <v/>
      </c>
      <c r="C2619" s="40"/>
      <c r="E2619" s="80"/>
    </row>
    <row r="2620" spans="2:5" x14ac:dyDescent="0.25">
      <c r="B2620" s="40" t="str">
        <f>IF(F2620="","",VLOOKUP(F2620,Tabelle1[],2))</f>
        <v/>
      </c>
      <c r="C2620" s="40"/>
      <c r="E2620" s="80"/>
    </row>
    <row r="2621" spans="2:5" x14ac:dyDescent="0.25">
      <c r="B2621" s="40" t="str">
        <f>IF(F2621="","",VLOOKUP(F2621,Tabelle1[],2))</f>
        <v/>
      </c>
      <c r="C2621" s="40"/>
      <c r="E2621" s="80"/>
    </row>
    <row r="2622" spans="2:5" x14ac:dyDescent="0.25">
      <c r="B2622" s="40" t="str">
        <f>IF(F2622="","",VLOOKUP(F2622,Tabelle1[],2))</f>
        <v/>
      </c>
      <c r="C2622" s="40"/>
      <c r="E2622" s="80"/>
    </row>
    <row r="2623" spans="2:5" x14ac:dyDescent="0.25">
      <c r="B2623" s="40" t="str">
        <f>IF(F2623="","",VLOOKUP(F2623,Tabelle1[],2))</f>
        <v/>
      </c>
      <c r="C2623" s="40"/>
      <c r="E2623" s="80"/>
    </row>
    <row r="2624" spans="2:5" x14ac:dyDescent="0.25">
      <c r="B2624" s="40" t="str">
        <f>IF(F2624="","",VLOOKUP(F2624,Tabelle1[],2))</f>
        <v/>
      </c>
      <c r="C2624" s="40"/>
      <c r="E2624" s="80"/>
    </row>
    <row r="2625" spans="2:5" x14ac:dyDescent="0.25">
      <c r="B2625" s="40" t="str">
        <f>IF(F2625="","",VLOOKUP(F2625,Tabelle1[],2))</f>
        <v/>
      </c>
      <c r="C2625" s="40"/>
      <c r="E2625" s="80"/>
    </row>
    <row r="2626" spans="2:5" x14ac:dyDescent="0.25">
      <c r="B2626" s="40" t="str">
        <f>IF(F2626="","",VLOOKUP(F2626,Tabelle1[],2))</f>
        <v/>
      </c>
      <c r="C2626" s="40"/>
      <c r="E2626" s="80"/>
    </row>
    <row r="2627" spans="2:5" x14ac:dyDescent="0.25">
      <c r="B2627" s="40" t="str">
        <f>IF(F2627="","",VLOOKUP(F2627,Tabelle1[],2))</f>
        <v/>
      </c>
      <c r="C2627" s="40"/>
      <c r="E2627" s="80"/>
    </row>
    <row r="2628" spans="2:5" x14ac:dyDescent="0.25">
      <c r="B2628" s="40" t="str">
        <f>IF(F2628="","",VLOOKUP(F2628,Tabelle1[],2))</f>
        <v/>
      </c>
      <c r="C2628" s="40"/>
      <c r="E2628" s="80"/>
    </row>
    <row r="2629" spans="2:5" x14ac:dyDescent="0.25">
      <c r="B2629" s="40" t="str">
        <f>IF(F2629="","",VLOOKUP(F2629,Tabelle1[],2))</f>
        <v/>
      </c>
      <c r="C2629" s="40"/>
      <c r="E2629" s="80"/>
    </row>
    <row r="2630" spans="2:5" x14ac:dyDescent="0.25">
      <c r="B2630" s="40" t="str">
        <f>IF(F2630="","",VLOOKUP(F2630,Tabelle1[],2))</f>
        <v/>
      </c>
      <c r="C2630" s="40"/>
      <c r="E2630" s="80"/>
    </row>
    <row r="2631" spans="2:5" x14ac:dyDescent="0.25">
      <c r="B2631" s="40" t="str">
        <f>IF(F2631="","",VLOOKUP(F2631,Tabelle1[],2))</f>
        <v/>
      </c>
      <c r="C2631" s="40"/>
      <c r="E2631" s="80"/>
    </row>
    <row r="2632" spans="2:5" x14ac:dyDescent="0.25">
      <c r="B2632" s="40" t="str">
        <f>IF(F2632="","",VLOOKUP(F2632,Tabelle1[],2))</f>
        <v/>
      </c>
      <c r="C2632" s="40"/>
      <c r="E2632" s="80"/>
    </row>
    <row r="2633" spans="2:5" x14ac:dyDescent="0.25">
      <c r="B2633" s="40" t="str">
        <f>IF(F2633="","",VLOOKUP(F2633,Tabelle1[],2))</f>
        <v/>
      </c>
      <c r="C2633" s="40"/>
      <c r="E2633" s="80"/>
    </row>
    <row r="2634" spans="2:5" x14ac:dyDescent="0.25">
      <c r="B2634" s="40" t="str">
        <f>IF(F2634="","",VLOOKUP(F2634,Tabelle1[],2))</f>
        <v/>
      </c>
      <c r="C2634" s="40"/>
      <c r="E2634" s="80"/>
    </row>
    <row r="2635" spans="2:5" x14ac:dyDescent="0.25">
      <c r="B2635" s="40" t="str">
        <f>IF(F2635="","",VLOOKUP(F2635,Tabelle1[],2))</f>
        <v/>
      </c>
      <c r="C2635" s="40"/>
      <c r="E2635" s="80"/>
    </row>
    <row r="2636" spans="2:5" x14ac:dyDescent="0.25">
      <c r="B2636" s="40" t="str">
        <f>IF(F2636="","",VLOOKUP(F2636,Tabelle1[],2))</f>
        <v/>
      </c>
      <c r="C2636" s="40"/>
      <c r="E2636" s="80"/>
    </row>
    <row r="2637" spans="2:5" x14ac:dyDescent="0.25">
      <c r="B2637" s="40" t="str">
        <f>IF(F2637="","",VLOOKUP(F2637,Tabelle1[],2))</f>
        <v/>
      </c>
      <c r="C2637" s="40"/>
      <c r="E2637" s="80"/>
    </row>
    <row r="2638" spans="2:5" x14ac:dyDescent="0.25">
      <c r="B2638" s="40" t="str">
        <f>IF(F2638="","",VLOOKUP(F2638,Tabelle1[],2))</f>
        <v/>
      </c>
      <c r="C2638" s="40"/>
      <c r="E2638" s="80"/>
    </row>
    <row r="2639" spans="2:5" x14ac:dyDescent="0.25">
      <c r="B2639" s="40" t="str">
        <f>IF(F2639="","",VLOOKUP(F2639,Tabelle1[],2))</f>
        <v/>
      </c>
      <c r="C2639" s="40"/>
      <c r="E2639" s="80"/>
    </row>
    <row r="2640" spans="2:5" x14ac:dyDescent="0.25">
      <c r="B2640" s="40" t="str">
        <f>IF(F2640="","",VLOOKUP(F2640,Tabelle1[],2))</f>
        <v/>
      </c>
      <c r="C2640" s="40"/>
      <c r="E2640" s="80"/>
    </row>
    <row r="2641" spans="2:5" x14ac:dyDescent="0.25">
      <c r="B2641" s="40" t="str">
        <f>IF(F2641="","",VLOOKUP(F2641,Tabelle1[],2))</f>
        <v/>
      </c>
      <c r="C2641" s="40"/>
      <c r="E2641" s="80"/>
    </row>
    <row r="2642" spans="2:5" x14ac:dyDescent="0.25">
      <c r="B2642" s="40" t="str">
        <f>IF(F2642="","",VLOOKUP(F2642,Tabelle1[],2))</f>
        <v/>
      </c>
      <c r="C2642" s="40"/>
      <c r="E2642" s="80"/>
    </row>
    <row r="2643" spans="2:5" x14ac:dyDescent="0.25">
      <c r="B2643" s="40" t="str">
        <f>IF(F2643="","",VLOOKUP(F2643,Tabelle1[],2))</f>
        <v/>
      </c>
      <c r="C2643" s="40"/>
      <c r="E2643" s="80"/>
    </row>
    <row r="2644" spans="2:5" x14ac:dyDescent="0.25">
      <c r="B2644" s="40" t="str">
        <f>IF(F2644="","",VLOOKUP(F2644,Tabelle1[],2))</f>
        <v/>
      </c>
      <c r="C2644" s="40"/>
      <c r="E2644" s="80"/>
    </row>
    <row r="2645" spans="2:5" x14ac:dyDescent="0.25">
      <c r="B2645" s="40" t="str">
        <f>IF(F2645="","",VLOOKUP(F2645,Tabelle1[],2))</f>
        <v/>
      </c>
      <c r="C2645" s="40"/>
      <c r="E2645" s="80"/>
    </row>
    <row r="2646" spans="2:5" x14ac:dyDescent="0.25">
      <c r="B2646" s="40" t="str">
        <f>IF(F2646="","",VLOOKUP(F2646,Tabelle1[],2))</f>
        <v/>
      </c>
      <c r="C2646" s="40"/>
      <c r="E2646" s="80"/>
    </row>
    <row r="2647" spans="2:5" x14ac:dyDescent="0.25">
      <c r="B2647" s="40" t="str">
        <f>IF(F2647="","",VLOOKUP(F2647,Tabelle1[],2))</f>
        <v/>
      </c>
      <c r="C2647" s="40"/>
      <c r="E2647" s="80"/>
    </row>
    <row r="2648" spans="2:5" x14ac:dyDescent="0.25">
      <c r="B2648" s="40" t="str">
        <f>IF(F2648="","",VLOOKUP(F2648,Tabelle1[],2))</f>
        <v/>
      </c>
      <c r="C2648" s="40"/>
      <c r="E2648" s="80"/>
    </row>
    <row r="2649" spans="2:5" x14ac:dyDescent="0.25">
      <c r="B2649" s="40" t="str">
        <f>IF(F2649="","",VLOOKUP(F2649,Tabelle1[],2))</f>
        <v/>
      </c>
      <c r="C2649" s="40"/>
      <c r="E2649" s="80"/>
    </row>
    <row r="2650" spans="2:5" x14ac:dyDescent="0.25">
      <c r="B2650" s="40" t="str">
        <f>IF(F2650="","",VLOOKUP(F2650,Tabelle1[],2))</f>
        <v/>
      </c>
      <c r="C2650" s="40"/>
      <c r="E2650" s="80"/>
    </row>
    <row r="2651" spans="2:5" x14ac:dyDescent="0.25">
      <c r="B2651" s="40" t="str">
        <f>IF(F2651="","",VLOOKUP(F2651,Tabelle1[],2))</f>
        <v/>
      </c>
      <c r="C2651" s="40"/>
      <c r="E2651" s="80"/>
    </row>
    <row r="2652" spans="2:5" x14ac:dyDescent="0.25">
      <c r="B2652" s="40" t="str">
        <f>IF(F2652="","",VLOOKUP(F2652,Tabelle1[],2))</f>
        <v/>
      </c>
      <c r="C2652" s="40"/>
      <c r="E2652" s="80"/>
    </row>
    <row r="2653" spans="2:5" x14ac:dyDescent="0.25">
      <c r="B2653" s="40" t="str">
        <f>IF(F2653="","",VLOOKUP(F2653,Tabelle1[],2))</f>
        <v/>
      </c>
      <c r="C2653" s="40"/>
      <c r="E2653" s="80"/>
    </row>
    <row r="2654" spans="2:5" x14ac:dyDescent="0.25">
      <c r="B2654" s="40" t="str">
        <f>IF(F2654="","",VLOOKUP(F2654,Tabelle1[],2))</f>
        <v/>
      </c>
      <c r="C2654" s="40"/>
      <c r="E2654" s="80"/>
    </row>
    <row r="2655" spans="2:5" x14ac:dyDescent="0.25">
      <c r="B2655" s="40" t="str">
        <f>IF(F2655="","",VLOOKUP(F2655,Tabelle1[],2))</f>
        <v/>
      </c>
      <c r="C2655" s="40"/>
      <c r="E2655" s="80"/>
    </row>
    <row r="2656" spans="2:5" x14ac:dyDescent="0.25">
      <c r="B2656" s="40" t="str">
        <f>IF(F2656="","",VLOOKUP(F2656,Tabelle1[],2))</f>
        <v/>
      </c>
      <c r="C2656" s="40"/>
      <c r="E2656" s="80"/>
    </row>
    <row r="2657" spans="2:5" x14ac:dyDescent="0.25">
      <c r="B2657" s="40" t="str">
        <f>IF(F2657="","",VLOOKUP(F2657,Tabelle1[],2))</f>
        <v/>
      </c>
      <c r="C2657" s="40"/>
      <c r="E2657" s="80"/>
    </row>
    <row r="2658" spans="2:5" x14ac:dyDescent="0.25">
      <c r="B2658" s="40" t="str">
        <f>IF(F2658="","",VLOOKUP(F2658,Tabelle1[],2))</f>
        <v/>
      </c>
      <c r="C2658" s="40"/>
      <c r="E2658" s="80"/>
    </row>
    <row r="2659" spans="2:5" x14ac:dyDescent="0.25">
      <c r="B2659" s="40" t="str">
        <f>IF(F2659="","",VLOOKUP(F2659,Tabelle1[],2))</f>
        <v/>
      </c>
      <c r="C2659" s="40"/>
      <c r="E2659" s="80"/>
    </row>
    <row r="2660" spans="2:5" x14ac:dyDescent="0.25">
      <c r="B2660" s="40" t="str">
        <f>IF(F2660="","",VLOOKUP(F2660,Tabelle1[],2))</f>
        <v/>
      </c>
      <c r="C2660" s="40"/>
      <c r="E2660" s="80"/>
    </row>
    <row r="2661" spans="2:5" x14ac:dyDescent="0.25">
      <c r="B2661" s="40" t="str">
        <f>IF(F2661="","",VLOOKUP(F2661,Tabelle1[],2))</f>
        <v/>
      </c>
      <c r="C2661" s="40"/>
      <c r="E2661" s="80"/>
    </row>
    <row r="2662" spans="2:5" x14ac:dyDescent="0.25">
      <c r="B2662" s="40" t="str">
        <f>IF(F2662="","",VLOOKUP(F2662,Tabelle1[],2))</f>
        <v/>
      </c>
      <c r="C2662" s="40"/>
      <c r="E2662" s="80"/>
    </row>
    <row r="2663" spans="2:5" x14ac:dyDescent="0.25">
      <c r="B2663" s="40" t="str">
        <f>IF(F2663="","",VLOOKUP(F2663,Tabelle1[],2))</f>
        <v/>
      </c>
      <c r="C2663" s="40"/>
      <c r="E2663" s="80"/>
    </row>
    <row r="2664" spans="2:5" x14ac:dyDescent="0.25">
      <c r="B2664" s="40" t="str">
        <f>IF(F2664="","",VLOOKUP(F2664,Tabelle1[],2))</f>
        <v/>
      </c>
      <c r="C2664" s="40"/>
      <c r="E2664" s="80"/>
    </row>
    <row r="2665" spans="2:5" x14ac:dyDescent="0.25">
      <c r="B2665" s="40" t="str">
        <f>IF(F2665="","",VLOOKUP(F2665,Tabelle1[],2))</f>
        <v/>
      </c>
      <c r="C2665" s="40"/>
      <c r="E2665" s="80"/>
    </row>
    <row r="2666" spans="2:5" x14ac:dyDescent="0.25">
      <c r="B2666" s="40" t="str">
        <f>IF(F2666="","",VLOOKUP(F2666,Tabelle1[],2))</f>
        <v/>
      </c>
      <c r="C2666" s="40"/>
      <c r="E2666" s="80"/>
    </row>
    <row r="2667" spans="2:5" x14ac:dyDescent="0.25">
      <c r="B2667" s="40" t="str">
        <f>IF(F2667="","",VLOOKUP(F2667,Tabelle1[],2))</f>
        <v/>
      </c>
      <c r="C2667" s="40"/>
      <c r="E2667" s="80"/>
    </row>
    <row r="2668" spans="2:5" x14ac:dyDescent="0.25">
      <c r="B2668" s="40" t="str">
        <f>IF(F2668="","",VLOOKUP(F2668,Tabelle1[],2))</f>
        <v/>
      </c>
      <c r="C2668" s="40"/>
      <c r="E2668" s="80"/>
    </row>
    <row r="2669" spans="2:5" x14ac:dyDescent="0.25">
      <c r="B2669" s="40" t="str">
        <f>IF(F2669="","",VLOOKUP(F2669,Tabelle1[],2))</f>
        <v/>
      </c>
      <c r="C2669" s="40"/>
      <c r="E2669" s="80"/>
    </row>
    <row r="2670" spans="2:5" x14ac:dyDescent="0.25">
      <c r="B2670" s="40" t="str">
        <f>IF(F2670="","",VLOOKUP(F2670,Tabelle1[],2))</f>
        <v/>
      </c>
      <c r="C2670" s="40"/>
      <c r="E2670" s="80"/>
    </row>
    <row r="2671" spans="2:5" x14ac:dyDescent="0.25">
      <c r="B2671" s="40" t="str">
        <f>IF(F2671="","",VLOOKUP(F2671,Tabelle1[],2))</f>
        <v/>
      </c>
      <c r="C2671" s="40"/>
      <c r="E2671" s="80"/>
    </row>
    <row r="2672" spans="2:5" x14ac:dyDescent="0.25">
      <c r="B2672" s="40" t="str">
        <f>IF(F2672="","",VLOOKUP(F2672,Tabelle1[],2))</f>
        <v/>
      </c>
      <c r="C2672" s="40"/>
      <c r="E2672" s="80"/>
    </row>
    <row r="2673" spans="2:5" x14ac:dyDescent="0.25">
      <c r="B2673" s="40" t="str">
        <f>IF(F2673="","",VLOOKUP(F2673,Tabelle1[],2))</f>
        <v/>
      </c>
      <c r="C2673" s="40"/>
      <c r="E2673" s="80"/>
    </row>
    <row r="2674" spans="2:5" x14ac:dyDescent="0.25">
      <c r="B2674" s="40" t="str">
        <f>IF(F2674="","",VLOOKUP(F2674,Tabelle1[],2))</f>
        <v/>
      </c>
      <c r="C2674" s="40"/>
      <c r="E2674" s="80"/>
    </row>
    <row r="2675" spans="2:5" x14ac:dyDescent="0.25">
      <c r="B2675" s="40" t="str">
        <f>IF(F2675="","",VLOOKUP(F2675,Tabelle1[],2))</f>
        <v/>
      </c>
      <c r="C2675" s="40"/>
      <c r="E2675" s="80"/>
    </row>
    <row r="2676" spans="2:5" x14ac:dyDescent="0.25">
      <c r="B2676" s="40" t="str">
        <f>IF(F2676="","",VLOOKUP(F2676,Tabelle1[],2))</f>
        <v/>
      </c>
      <c r="C2676" s="40"/>
      <c r="E2676" s="80"/>
    </row>
    <row r="2677" spans="2:5" x14ac:dyDescent="0.25">
      <c r="B2677" s="40" t="str">
        <f>IF(F2677="","",VLOOKUP(F2677,Tabelle1[],2))</f>
        <v/>
      </c>
      <c r="C2677" s="40"/>
      <c r="E2677" s="80"/>
    </row>
    <row r="2678" spans="2:5" x14ac:dyDescent="0.25">
      <c r="B2678" s="40" t="str">
        <f>IF(F2678="","",VLOOKUP(F2678,Tabelle1[],2))</f>
        <v/>
      </c>
      <c r="C2678" s="40"/>
      <c r="E2678" s="80"/>
    </row>
    <row r="2679" spans="2:5" x14ac:dyDescent="0.25">
      <c r="B2679" s="40" t="str">
        <f>IF(F2679="","",VLOOKUP(F2679,Tabelle1[],2))</f>
        <v/>
      </c>
      <c r="C2679" s="40"/>
      <c r="E2679" s="80"/>
    </row>
    <row r="2680" spans="2:5" x14ac:dyDescent="0.25">
      <c r="B2680" s="40" t="str">
        <f>IF(F2680="","",VLOOKUP(F2680,Tabelle1[],2))</f>
        <v/>
      </c>
      <c r="C2680" s="40"/>
      <c r="E2680" s="80"/>
    </row>
    <row r="2681" spans="2:5" x14ac:dyDescent="0.25">
      <c r="B2681" s="40" t="str">
        <f>IF(F2681="","",VLOOKUP(F2681,Tabelle1[],2))</f>
        <v/>
      </c>
      <c r="C2681" s="40"/>
      <c r="E2681" s="80"/>
    </row>
    <row r="2682" spans="2:5" x14ac:dyDescent="0.25">
      <c r="B2682" s="40" t="str">
        <f>IF(F2682="","",VLOOKUP(F2682,Tabelle1[],2))</f>
        <v/>
      </c>
      <c r="C2682" s="40"/>
      <c r="E2682" s="80"/>
    </row>
    <row r="2683" spans="2:5" x14ac:dyDescent="0.25">
      <c r="B2683" s="40" t="str">
        <f>IF(F2683="","",VLOOKUP(F2683,Tabelle1[],2))</f>
        <v/>
      </c>
      <c r="C2683" s="40"/>
      <c r="E2683" s="80"/>
    </row>
    <row r="2684" spans="2:5" x14ac:dyDescent="0.25">
      <c r="B2684" s="40" t="str">
        <f>IF(F2684="","",VLOOKUP(F2684,Tabelle1[],2))</f>
        <v/>
      </c>
      <c r="C2684" s="40"/>
      <c r="E2684" s="80"/>
    </row>
    <row r="2685" spans="2:5" x14ac:dyDescent="0.25">
      <c r="B2685" s="40" t="str">
        <f>IF(F2685="","",VLOOKUP(F2685,Tabelle1[],2))</f>
        <v/>
      </c>
      <c r="C2685" s="40"/>
      <c r="E2685" s="80"/>
    </row>
    <row r="2686" spans="2:5" x14ac:dyDescent="0.25">
      <c r="B2686" s="40" t="str">
        <f>IF(F2686="","",VLOOKUP(F2686,Tabelle1[],2))</f>
        <v/>
      </c>
      <c r="C2686" s="40"/>
      <c r="E2686" s="80"/>
    </row>
    <row r="2687" spans="2:5" x14ac:dyDescent="0.25">
      <c r="B2687" s="40" t="str">
        <f>IF(F2687="","",VLOOKUP(F2687,Tabelle1[],2))</f>
        <v/>
      </c>
      <c r="C2687" s="40"/>
      <c r="E2687" s="80"/>
    </row>
    <row r="2688" spans="2:5" x14ac:dyDescent="0.25">
      <c r="B2688" s="40" t="str">
        <f>IF(F2688="","",VLOOKUP(F2688,Tabelle1[],2))</f>
        <v/>
      </c>
      <c r="C2688" s="40"/>
      <c r="E2688" s="80"/>
    </row>
    <row r="2689" spans="2:5" x14ac:dyDescent="0.25">
      <c r="B2689" s="40" t="str">
        <f>IF(F2689="","",VLOOKUP(F2689,Tabelle1[],2))</f>
        <v/>
      </c>
      <c r="C2689" s="40"/>
      <c r="E2689" s="80"/>
    </row>
    <row r="2690" spans="2:5" x14ac:dyDescent="0.25">
      <c r="B2690" s="40" t="str">
        <f>IF(F2690="","",VLOOKUP(F2690,Tabelle1[],2))</f>
        <v/>
      </c>
      <c r="C2690" s="40"/>
      <c r="E2690" s="80"/>
    </row>
    <row r="2691" spans="2:5" x14ac:dyDescent="0.25">
      <c r="B2691" s="40" t="str">
        <f>IF(F2691="","",VLOOKUP(F2691,Tabelle1[],2))</f>
        <v/>
      </c>
      <c r="C2691" s="40"/>
      <c r="E2691" s="80"/>
    </row>
    <row r="2692" spans="2:5" x14ac:dyDescent="0.25">
      <c r="B2692" s="40" t="str">
        <f>IF(F2692="","",VLOOKUP(F2692,Tabelle1[],2))</f>
        <v/>
      </c>
      <c r="C2692" s="40"/>
      <c r="E2692" s="80"/>
    </row>
    <row r="2693" spans="2:5" x14ac:dyDescent="0.25">
      <c r="B2693" s="40" t="str">
        <f>IF(F2693="","",VLOOKUP(F2693,Tabelle1[],2))</f>
        <v/>
      </c>
      <c r="C2693" s="40"/>
      <c r="E2693" s="80"/>
    </row>
    <row r="2694" spans="2:5" x14ac:dyDescent="0.25">
      <c r="B2694" s="40" t="str">
        <f>IF(F2694="","",VLOOKUP(F2694,Tabelle1[],2))</f>
        <v/>
      </c>
      <c r="C2694" s="40"/>
      <c r="E2694" s="80"/>
    </row>
    <row r="2695" spans="2:5" x14ac:dyDescent="0.25">
      <c r="B2695" s="40" t="str">
        <f>IF(F2695="","",VLOOKUP(F2695,Tabelle1[],2))</f>
        <v/>
      </c>
      <c r="C2695" s="40"/>
      <c r="E2695" s="80"/>
    </row>
    <row r="2696" spans="2:5" x14ac:dyDescent="0.25">
      <c r="B2696" s="40" t="str">
        <f>IF(F2696="","",VLOOKUP(F2696,Tabelle1[],2))</f>
        <v/>
      </c>
      <c r="C2696" s="40"/>
      <c r="E2696" s="80"/>
    </row>
    <row r="2697" spans="2:5" x14ac:dyDescent="0.25">
      <c r="B2697" s="40" t="str">
        <f>IF(F2697="","",VLOOKUP(F2697,Tabelle1[],2))</f>
        <v/>
      </c>
      <c r="C2697" s="40"/>
      <c r="E2697" s="80"/>
    </row>
    <row r="2698" spans="2:5" x14ac:dyDescent="0.25">
      <c r="B2698" s="40" t="str">
        <f>IF(F2698="","",VLOOKUP(F2698,Tabelle1[],2))</f>
        <v/>
      </c>
      <c r="C2698" s="40"/>
      <c r="E2698" s="80"/>
    </row>
    <row r="2699" spans="2:5" x14ac:dyDescent="0.25">
      <c r="B2699" s="40" t="str">
        <f>IF(F2699="","",VLOOKUP(F2699,Tabelle1[],2))</f>
        <v/>
      </c>
      <c r="C2699" s="40"/>
      <c r="E2699" s="80"/>
    </row>
    <row r="2700" spans="2:5" x14ac:dyDescent="0.25">
      <c r="B2700" s="40" t="str">
        <f>IF(F2700="","",VLOOKUP(F2700,Tabelle1[],2))</f>
        <v/>
      </c>
      <c r="C2700" s="40"/>
      <c r="E2700" s="80"/>
    </row>
    <row r="2701" spans="2:5" x14ac:dyDescent="0.25">
      <c r="B2701" s="40" t="str">
        <f>IF(F2701="","",VLOOKUP(F2701,Tabelle1[],2))</f>
        <v/>
      </c>
      <c r="C2701" s="40"/>
      <c r="E2701" s="80"/>
    </row>
    <row r="2702" spans="2:5" x14ac:dyDescent="0.25">
      <c r="B2702" s="40" t="str">
        <f>IF(F2702="","",VLOOKUP(F2702,Tabelle1[],2))</f>
        <v/>
      </c>
      <c r="C2702" s="40"/>
      <c r="E2702" s="80"/>
    </row>
    <row r="2703" spans="2:5" x14ac:dyDescent="0.25">
      <c r="B2703" s="40" t="str">
        <f>IF(F2703="","",VLOOKUP(F2703,Tabelle1[],2))</f>
        <v/>
      </c>
      <c r="C2703" s="40"/>
      <c r="E2703" s="80"/>
    </row>
    <row r="2704" spans="2:5" x14ac:dyDescent="0.25">
      <c r="B2704" s="40" t="str">
        <f>IF(F2704="","",VLOOKUP(F2704,Tabelle1[],2))</f>
        <v/>
      </c>
      <c r="C2704" s="40"/>
      <c r="E2704" s="80"/>
    </row>
    <row r="2705" spans="2:5" x14ac:dyDescent="0.25">
      <c r="B2705" s="40" t="str">
        <f>IF(F2705="","",VLOOKUP(F2705,Tabelle1[],2))</f>
        <v/>
      </c>
      <c r="C2705" s="40"/>
      <c r="E2705" s="80"/>
    </row>
    <row r="2706" spans="2:5" x14ac:dyDescent="0.25">
      <c r="B2706" s="40" t="str">
        <f>IF(F2706="","",VLOOKUP(F2706,Tabelle1[],2))</f>
        <v/>
      </c>
      <c r="C2706" s="40"/>
      <c r="E2706" s="80"/>
    </row>
    <row r="2707" spans="2:5" x14ac:dyDescent="0.25">
      <c r="B2707" s="40" t="str">
        <f>IF(F2707="","",VLOOKUP(F2707,Tabelle1[],2))</f>
        <v/>
      </c>
      <c r="C2707" s="40"/>
      <c r="E2707" s="80"/>
    </row>
    <row r="2708" spans="2:5" x14ac:dyDescent="0.25">
      <c r="B2708" s="40" t="str">
        <f>IF(F2708="","",VLOOKUP(F2708,Tabelle1[],2))</f>
        <v/>
      </c>
      <c r="C2708" s="40"/>
      <c r="E2708" s="80"/>
    </row>
    <row r="2709" spans="2:5" x14ac:dyDescent="0.25">
      <c r="B2709" s="40" t="str">
        <f>IF(F2709="","",VLOOKUP(F2709,Tabelle1[],2))</f>
        <v/>
      </c>
      <c r="C2709" s="40"/>
      <c r="E2709" s="80"/>
    </row>
    <row r="2710" spans="2:5" x14ac:dyDescent="0.25">
      <c r="B2710" s="40" t="str">
        <f>IF(F2710="","",VLOOKUP(F2710,Tabelle1[],2))</f>
        <v/>
      </c>
      <c r="C2710" s="40"/>
      <c r="E2710" s="80"/>
    </row>
    <row r="2711" spans="2:5" x14ac:dyDescent="0.25">
      <c r="B2711" s="40" t="str">
        <f>IF(F2711="","",VLOOKUP(F2711,Tabelle1[],2))</f>
        <v/>
      </c>
      <c r="C2711" s="40"/>
      <c r="E2711" s="80"/>
    </row>
    <row r="2712" spans="2:5" x14ac:dyDescent="0.25">
      <c r="B2712" s="40" t="str">
        <f>IF(F2712="","",VLOOKUP(F2712,Tabelle1[],2))</f>
        <v/>
      </c>
      <c r="C2712" s="40"/>
      <c r="E2712" s="80"/>
    </row>
    <row r="2713" spans="2:5" x14ac:dyDescent="0.25">
      <c r="B2713" s="40" t="str">
        <f>IF(F2713="","",VLOOKUP(F2713,Tabelle1[],2))</f>
        <v/>
      </c>
      <c r="C2713" s="40"/>
      <c r="E2713" s="80"/>
    </row>
    <row r="2714" spans="2:5" x14ac:dyDescent="0.25">
      <c r="B2714" s="40" t="str">
        <f>IF(F2714="","",VLOOKUP(F2714,Tabelle1[],2))</f>
        <v/>
      </c>
      <c r="C2714" s="40"/>
      <c r="E2714" s="80"/>
    </row>
    <row r="2715" spans="2:5" x14ac:dyDescent="0.25">
      <c r="B2715" s="40" t="str">
        <f>IF(F2715="","",VLOOKUP(F2715,Tabelle1[],2))</f>
        <v/>
      </c>
      <c r="C2715" s="40"/>
      <c r="E2715" s="80"/>
    </row>
    <row r="2716" spans="2:5" x14ac:dyDescent="0.25">
      <c r="B2716" s="40" t="str">
        <f>IF(F2716="","",VLOOKUP(F2716,Tabelle1[],2))</f>
        <v/>
      </c>
      <c r="C2716" s="40"/>
      <c r="E2716" s="80"/>
    </row>
    <row r="2717" spans="2:5" x14ac:dyDescent="0.25">
      <c r="B2717" s="40" t="str">
        <f>IF(F2717="","",VLOOKUP(F2717,Tabelle1[],2))</f>
        <v/>
      </c>
      <c r="C2717" s="40"/>
      <c r="E2717" s="80"/>
    </row>
    <row r="2718" spans="2:5" x14ac:dyDescent="0.25">
      <c r="B2718" s="40" t="str">
        <f>IF(F2718="","",VLOOKUP(F2718,Tabelle1[],2))</f>
        <v/>
      </c>
      <c r="C2718" s="40"/>
      <c r="E2718" s="80"/>
    </row>
    <row r="2719" spans="2:5" x14ac:dyDescent="0.25">
      <c r="B2719" s="40" t="str">
        <f>IF(F2719="","",VLOOKUP(F2719,Tabelle1[],2))</f>
        <v/>
      </c>
      <c r="C2719" s="40"/>
      <c r="E2719" s="80"/>
    </row>
    <row r="2720" spans="2:5" x14ac:dyDescent="0.25">
      <c r="B2720" s="40" t="str">
        <f>IF(F2720="","",VLOOKUP(F2720,Tabelle1[],2))</f>
        <v/>
      </c>
      <c r="C2720" s="40"/>
      <c r="E2720" s="80"/>
    </row>
    <row r="2721" spans="2:5" x14ac:dyDescent="0.25">
      <c r="B2721" s="40" t="str">
        <f>IF(F2721="","",VLOOKUP(F2721,Tabelle1[],2))</f>
        <v/>
      </c>
      <c r="C2721" s="40"/>
      <c r="E2721" s="80"/>
    </row>
    <row r="2722" spans="2:5" x14ac:dyDescent="0.25">
      <c r="B2722" s="40" t="str">
        <f>IF(F2722="","",VLOOKUP(F2722,Tabelle1[],2))</f>
        <v/>
      </c>
      <c r="C2722" s="40"/>
      <c r="E2722" s="80"/>
    </row>
    <row r="2723" spans="2:5" x14ac:dyDescent="0.25">
      <c r="B2723" s="40" t="str">
        <f>IF(F2723="","",VLOOKUP(F2723,Tabelle1[],2))</f>
        <v/>
      </c>
      <c r="C2723" s="40"/>
      <c r="E2723" s="80"/>
    </row>
    <row r="2724" spans="2:5" x14ac:dyDescent="0.25">
      <c r="B2724" s="40" t="str">
        <f>IF(F2724="","",VLOOKUP(F2724,Tabelle1[],2))</f>
        <v/>
      </c>
      <c r="C2724" s="40"/>
      <c r="E2724" s="80"/>
    </row>
    <row r="2725" spans="2:5" x14ac:dyDescent="0.25">
      <c r="B2725" s="40" t="str">
        <f>IF(F2725="","",VLOOKUP(F2725,Tabelle1[],2))</f>
        <v/>
      </c>
      <c r="C2725" s="40"/>
      <c r="E2725" s="80"/>
    </row>
    <row r="2726" spans="2:5" x14ac:dyDescent="0.25">
      <c r="B2726" s="40" t="str">
        <f>IF(F2726="","",VLOOKUP(F2726,Tabelle1[],2))</f>
        <v/>
      </c>
      <c r="C2726" s="40"/>
      <c r="E2726" s="80"/>
    </row>
    <row r="2727" spans="2:5" x14ac:dyDescent="0.25">
      <c r="B2727" s="40" t="str">
        <f>IF(F2727="","",VLOOKUP(F2727,Tabelle1[],2))</f>
        <v/>
      </c>
      <c r="C2727" s="40"/>
      <c r="E2727" s="80"/>
    </row>
    <row r="2728" spans="2:5" x14ac:dyDescent="0.25">
      <c r="B2728" s="40" t="str">
        <f>IF(F2728="","",VLOOKUP(F2728,Tabelle1[],2))</f>
        <v/>
      </c>
      <c r="C2728" s="40"/>
      <c r="E2728" s="80"/>
    </row>
    <row r="2729" spans="2:5" x14ac:dyDescent="0.25">
      <c r="B2729" s="40" t="str">
        <f>IF(F2729="","",VLOOKUP(F2729,Tabelle1[],2))</f>
        <v/>
      </c>
      <c r="C2729" s="40"/>
      <c r="E2729" s="80"/>
    </row>
    <row r="2730" spans="2:5" x14ac:dyDescent="0.25">
      <c r="B2730" s="40" t="str">
        <f>IF(F2730="","",VLOOKUP(F2730,Tabelle1[],2))</f>
        <v/>
      </c>
      <c r="C2730" s="40"/>
      <c r="E2730" s="80"/>
    </row>
    <row r="2731" spans="2:5" x14ac:dyDescent="0.25">
      <c r="B2731" s="40" t="str">
        <f>IF(F2731="","",VLOOKUP(F2731,Tabelle1[],2))</f>
        <v/>
      </c>
      <c r="C2731" s="40"/>
      <c r="E2731" s="80"/>
    </row>
    <row r="2732" spans="2:5" x14ac:dyDescent="0.25">
      <c r="B2732" s="40" t="str">
        <f>IF(F2732="","",VLOOKUP(F2732,Tabelle1[],2))</f>
        <v/>
      </c>
      <c r="C2732" s="40"/>
      <c r="E2732" s="80"/>
    </row>
    <row r="2733" spans="2:5" x14ac:dyDescent="0.25">
      <c r="B2733" s="40" t="str">
        <f>IF(F2733="","",VLOOKUP(F2733,Tabelle1[],2))</f>
        <v/>
      </c>
      <c r="C2733" s="40"/>
      <c r="E2733" s="80"/>
    </row>
    <row r="2734" spans="2:5" x14ac:dyDescent="0.25">
      <c r="B2734" s="40" t="str">
        <f>IF(F2734="","",VLOOKUP(F2734,Tabelle1[],2))</f>
        <v/>
      </c>
      <c r="C2734" s="40"/>
      <c r="E2734" s="80"/>
    </row>
    <row r="2735" spans="2:5" x14ac:dyDescent="0.25">
      <c r="B2735" s="40" t="str">
        <f>IF(F2735="","",VLOOKUP(F2735,Tabelle1[],2))</f>
        <v/>
      </c>
      <c r="C2735" s="40"/>
      <c r="E2735" s="80"/>
    </row>
    <row r="2736" spans="2:5" x14ac:dyDescent="0.25">
      <c r="B2736" s="40" t="str">
        <f>IF(F2736="","",VLOOKUP(F2736,Tabelle1[],2))</f>
        <v/>
      </c>
      <c r="C2736" s="40"/>
      <c r="E2736" s="80"/>
    </row>
    <row r="2737" spans="2:5" x14ac:dyDescent="0.25">
      <c r="B2737" s="40" t="str">
        <f>IF(F2737="","",VLOOKUP(F2737,Tabelle1[],2))</f>
        <v/>
      </c>
      <c r="C2737" s="40"/>
      <c r="E2737" s="80"/>
    </row>
    <row r="2738" spans="2:5" x14ac:dyDescent="0.25">
      <c r="B2738" s="40" t="str">
        <f>IF(F2738="","",VLOOKUP(F2738,Tabelle1[],2))</f>
        <v/>
      </c>
      <c r="C2738" s="40"/>
      <c r="E2738" s="80"/>
    </row>
    <row r="2739" spans="2:5" x14ac:dyDescent="0.25">
      <c r="B2739" s="40" t="str">
        <f>IF(F2739="","",VLOOKUP(F2739,Tabelle1[],2))</f>
        <v/>
      </c>
      <c r="C2739" s="40"/>
      <c r="E2739" s="80"/>
    </row>
    <row r="2740" spans="2:5" x14ac:dyDescent="0.25">
      <c r="B2740" s="40" t="str">
        <f>IF(F2740="","",VLOOKUP(F2740,Tabelle1[],2))</f>
        <v/>
      </c>
      <c r="C2740" s="40"/>
      <c r="E2740" s="80"/>
    </row>
    <row r="2741" spans="2:5" x14ac:dyDescent="0.25">
      <c r="B2741" s="40" t="str">
        <f>IF(F2741="","",VLOOKUP(F2741,Tabelle1[],2))</f>
        <v/>
      </c>
      <c r="C2741" s="40"/>
      <c r="E2741" s="80"/>
    </row>
    <row r="2742" spans="2:5" x14ac:dyDescent="0.25">
      <c r="B2742" s="40" t="str">
        <f>IF(F2742="","",VLOOKUP(F2742,Tabelle1[],2))</f>
        <v/>
      </c>
      <c r="C2742" s="40"/>
      <c r="E2742" s="80"/>
    </row>
    <row r="2743" spans="2:5" x14ac:dyDescent="0.25">
      <c r="B2743" s="40" t="str">
        <f>IF(F2743="","",VLOOKUP(F2743,Tabelle1[],2))</f>
        <v/>
      </c>
      <c r="C2743" s="40"/>
      <c r="E2743" s="80"/>
    </row>
    <row r="2744" spans="2:5" x14ac:dyDescent="0.25">
      <c r="B2744" s="40" t="str">
        <f>IF(F2744="","",VLOOKUP(F2744,Tabelle1[],2))</f>
        <v/>
      </c>
      <c r="C2744" s="40"/>
      <c r="E2744" s="80"/>
    </row>
    <row r="2745" spans="2:5" x14ac:dyDescent="0.25">
      <c r="B2745" s="40" t="str">
        <f>IF(F2745="","",VLOOKUP(F2745,Tabelle1[],2))</f>
        <v/>
      </c>
      <c r="C2745" s="40"/>
      <c r="E2745" s="80"/>
    </row>
    <row r="2746" spans="2:5" x14ac:dyDescent="0.25">
      <c r="B2746" s="40" t="str">
        <f>IF(F2746="","",VLOOKUP(F2746,Tabelle1[],2))</f>
        <v/>
      </c>
      <c r="C2746" s="40"/>
      <c r="E2746" s="80"/>
    </row>
    <row r="2747" spans="2:5" x14ac:dyDescent="0.25">
      <c r="B2747" s="40" t="str">
        <f>IF(F2747="","",VLOOKUP(F2747,Tabelle1[],2))</f>
        <v/>
      </c>
      <c r="C2747" s="40"/>
      <c r="E2747" s="80"/>
    </row>
    <row r="2748" spans="2:5" x14ac:dyDescent="0.25">
      <c r="B2748" s="40" t="str">
        <f>IF(F2748="","",VLOOKUP(F2748,Tabelle1[],2))</f>
        <v/>
      </c>
      <c r="C2748" s="40"/>
      <c r="E2748" s="80"/>
    </row>
    <row r="2749" spans="2:5" x14ac:dyDescent="0.25">
      <c r="B2749" s="40" t="str">
        <f>IF(F2749="","",VLOOKUP(F2749,Tabelle1[],2))</f>
        <v/>
      </c>
      <c r="C2749" s="40"/>
      <c r="E2749" s="80"/>
    </row>
    <row r="2750" spans="2:5" x14ac:dyDescent="0.25">
      <c r="B2750" s="40" t="str">
        <f>IF(F2750="","",VLOOKUP(F2750,Tabelle1[],2))</f>
        <v/>
      </c>
      <c r="C2750" s="40"/>
      <c r="E2750" s="80"/>
    </row>
    <row r="2751" spans="2:5" x14ac:dyDescent="0.25">
      <c r="B2751" s="40" t="str">
        <f>IF(F2751="","",VLOOKUP(F2751,Tabelle1[],2))</f>
        <v/>
      </c>
      <c r="C2751" s="40"/>
      <c r="E2751" s="80"/>
    </row>
    <row r="2752" spans="2:5" x14ac:dyDescent="0.25">
      <c r="B2752" s="40" t="str">
        <f>IF(F2752="","",VLOOKUP(F2752,Tabelle1[],2))</f>
        <v/>
      </c>
      <c r="C2752" s="40"/>
      <c r="E2752" s="80"/>
    </row>
    <row r="2753" spans="2:5" x14ac:dyDescent="0.25">
      <c r="B2753" s="40" t="str">
        <f>IF(F2753="","",VLOOKUP(F2753,Tabelle1[],2))</f>
        <v/>
      </c>
      <c r="C2753" s="40"/>
      <c r="E2753" s="80"/>
    </row>
    <row r="2754" spans="2:5" x14ac:dyDescent="0.25">
      <c r="B2754" s="40" t="str">
        <f>IF(F2754="","",VLOOKUP(F2754,Tabelle1[],2))</f>
        <v/>
      </c>
      <c r="C2754" s="40"/>
      <c r="E2754" s="80"/>
    </row>
    <row r="2755" spans="2:5" x14ac:dyDescent="0.25">
      <c r="B2755" s="40" t="str">
        <f>IF(F2755="","",VLOOKUP(F2755,Tabelle1[],2))</f>
        <v/>
      </c>
      <c r="C2755" s="40"/>
      <c r="E2755" s="80"/>
    </row>
    <row r="2756" spans="2:5" x14ac:dyDescent="0.25">
      <c r="B2756" s="40" t="str">
        <f>IF(F2756="","",VLOOKUP(F2756,Tabelle1[],2))</f>
        <v/>
      </c>
      <c r="C2756" s="40"/>
      <c r="E2756" s="80"/>
    </row>
    <row r="2757" spans="2:5" x14ac:dyDescent="0.25">
      <c r="B2757" s="40" t="str">
        <f>IF(F2757="","",VLOOKUP(F2757,Tabelle1[],2))</f>
        <v/>
      </c>
      <c r="C2757" s="40"/>
      <c r="E2757" s="80"/>
    </row>
    <row r="2758" spans="2:5" x14ac:dyDescent="0.25">
      <c r="B2758" s="40" t="str">
        <f>IF(F2758="","",VLOOKUP(F2758,Tabelle1[],2))</f>
        <v/>
      </c>
      <c r="C2758" s="40"/>
      <c r="E2758" s="80"/>
    </row>
    <row r="2759" spans="2:5" x14ac:dyDescent="0.25">
      <c r="B2759" s="40" t="str">
        <f>IF(F2759="","",VLOOKUP(F2759,Tabelle1[],2))</f>
        <v/>
      </c>
      <c r="C2759" s="40"/>
      <c r="E2759" s="80"/>
    </row>
    <row r="2760" spans="2:5" x14ac:dyDescent="0.25">
      <c r="B2760" s="40" t="str">
        <f>IF(F2760="","",VLOOKUP(F2760,Tabelle1[],2))</f>
        <v/>
      </c>
      <c r="C2760" s="40"/>
      <c r="E2760" s="80"/>
    </row>
    <row r="2761" spans="2:5" x14ac:dyDescent="0.25">
      <c r="B2761" s="40" t="str">
        <f>IF(F2761="","",VLOOKUP(F2761,Tabelle1[],2))</f>
        <v/>
      </c>
      <c r="C2761" s="40"/>
      <c r="E2761" s="80"/>
    </row>
    <row r="2762" spans="2:5" x14ac:dyDescent="0.25">
      <c r="B2762" s="40" t="str">
        <f>IF(F2762="","",VLOOKUP(F2762,Tabelle1[],2))</f>
        <v/>
      </c>
      <c r="C2762" s="40"/>
      <c r="E2762" s="80"/>
    </row>
    <row r="2763" spans="2:5" x14ac:dyDescent="0.25">
      <c r="B2763" s="40" t="str">
        <f>IF(F2763="","",VLOOKUP(F2763,Tabelle1[],2))</f>
        <v/>
      </c>
      <c r="C2763" s="40"/>
      <c r="E2763" s="80"/>
    </row>
    <row r="2764" spans="2:5" x14ac:dyDescent="0.25">
      <c r="B2764" s="40" t="str">
        <f>IF(F2764="","",VLOOKUP(F2764,Tabelle1[],2))</f>
        <v/>
      </c>
      <c r="C2764" s="40"/>
      <c r="E2764" s="80"/>
    </row>
    <row r="2765" spans="2:5" x14ac:dyDescent="0.25">
      <c r="B2765" s="40" t="str">
        <f>IF(F2765="","",VLOOKUP(F2765,Tabelle1[],2))</f>
        <v/>
      </c>
      <c r="C2765" s="40"/>
      <c r="E2765" s="80"/>
    </row>
    <row r="2766" spans="2:5" x14ac:dyDescent="0.25">
      <c r="B2766" s="40" t="str">
        <f>IF(F2766="","",VLOOKUP(F2766,Tabelle1[],2))</f>
        <v/>
      </c>
      <c r="C2766" s="40"/>
      <c r="E2766" s="80"/>
    </row>
    <row r="2767" spans="2:5" x14ac:dyDescent="0.25">
      <c r="B2767" s="40" t="str">
        <f>IF(F2767="","",VLOOKUP(F2767,Tabelle1[],2))</f>
        <v/>
      </c>
      <c r="C2767" s="40"/>
      <c r="E2767" s="80"/>
    </row>
    <row r="2768" spans="2:5" x14ac:dyDescent="0.25">
      <c r="B2768" s="40" t="str">
        <f>IF(F2768="","",VLOOKUP(F2768,Tabelle1[],2))</f>
        <v/>
      </c>
      <c r="C2768" s="40"/>
      <c r="E2768" s="80"/>
    </row>
    <row r="2769" spans="2:5" x14ac:dyDescent="0.25">
      <c r="B2769" s="40" t="str">
        <f>IF(F2769="","",VLOOKUP(F2769,Tabelle1[],2))</f>
        <v/>
      </c>
      <c r="C2769" s="40"/>
      <c r="E2769" s="80"/>
    </row>
    <row r="2770" spans="2:5" x14ac:dyDescent="0.25">
      <c r="B2770" s="40" t="str">
        <f>IF(F2770="","",VLOOKUP(F2770,Tabelle1[],2))</f>
        <v/>
      </c>
      <c r="C2770" s="40"/>
      <c r="E2770" s="80"/>
    </row>
    <row r="2771" spans="2:5" x14ac:dyDescent="0.25">
      <c r="B2771" s="40" t="str">
        <f>IF(F2771="","",VLOOKUP(F2771,Tabelle1[],2))</f>
        <v/>
      </c>
      <c r="C2771" s="40"/>
      <c r="E2771" s="80"/>
    </row>
    <row r="2772" spans="2:5" x14ac:dyDescent="0.25">
      <c r="B2772" s="40" t="str">
        <f>IF(F2772="","",VLOOKUP(F2772,Tabelle1[],2))</f>
        <v/>
      </c>
      <c r="C2772" s="40"/>
      <c r="E2772" s="80"/>
    </row>
    <row r="2773" spans="2:5" x14ac:dyDescent="0.25">
      <c r="B2773" s="40" t="str">
        <f>IF(F2773="","",VLOOKUP(F2773,Tabelle1[],2))</f>
        <v/>
      </c>
      <c r="C2773" s="40"/>
      <c r="E2773" s="80"/>
    </row>
    <row r="2774" spans="2:5" x14ac:dyDescent="0.25">
      <c r="B2774" s="40" t="str">
        <f>IF(F2774="","",VLOOKUP(F2774,Tabelle1[],2))</f>
        <v/>
      </c>
      <c r="C2774" s="40"/>
      <c r="E2774" s="80"/>
    </row>
    <row r="2775" spans="2:5" x14ac:dyDescent="0.25">
      <c r="B2775" s="40" t="str">
        <f>IF(F2775="","",VLOOKUP(F2775,Tabelle1[],2))</f>
        <v/>
      </c>
      <c r="C2775" s="40"/>
      <c r="E2775" s="80"/>
    </row>
    <row r="2776" spans="2:5" x14ac:dyDescent="0.25">
      <c r="B2776" s="40" t="str">
        <f>IF(F2776="","",VLOOKUP(F2776,Tabelle1[],2))</f>
        <v/>
      </c>
      <c r="C2776" s="40"/>
      <c r="E2776" s="80"/>
    </row>
    <row r="2777" spans="2:5" x14ac:dyDescent="0.25">
      <c r="B2777" s="40" t="str">
        <f>IF(F2777="","",VLOOKUP(F2777,Tabelle1[],2))</f>
        <v/>
      </c>
      <c r="C2777" s="40"/>
      <c r="E2777" s="80"/>
    </row>
    <row r="2778" spans="2:5" x14ac:dyDescent="0.25">
      <c r="B2778" s="40" t="str">
        <f>IF(F2778="","",VLOOKUP(F2778,Tabelle1[],2))</f>
        <v/>
      </c>
      <c r="C2778" s="40"/>
      <c r="E2778" s="80"/>
    </row>
    <row r="2779" spans="2:5" x14ac:dyDescent="0.25">
      <c r="B2779" s="40" t="str">
        <f>IF(F2779="","",VLOOKUP(F2779,Tabelle1[],2))</f>
        <v/>
      </c>
      <c r="C2779" s="40"/>
      <c r="E2779" s="80"/>
    </row>
    <row r="2780" spans="2:5" x14ac:dyDescent="0.25">
      <c r="B2780" s="40" t="str">
        <f>IF(F2780="","",VLOOKUP(F2780,Tabelle1[],2))</f>
        <v/>
      </c>
      <c r="C2780" s="40"/>
      <c r="E2780" s="80"/>
    </row>
    <row r="2781" spans="2:5" x14ac:dyDescent="0.25">
      <c r="B2781" s="40" t="str">
        <f>IF(F2781="","",VLOOKUP(F2781,Tabelle1[],2))</f>
        <v/>
      </c>
      <c r="C2781" s="40"/>
      <c r="E2781" s="80"/>
    </row>
    <row r="2782" spans="2:5" x14ac:dyDescent="0.25">
      <c r="B2782" s="40" t="str">
        <f>IF(F2782="","",VLOOKUP(F2782,Tabelle1[],2))</f>
        <v/>
      </c>
      <c r="C2782" s="40"/>
      <c r="E2782" s="80"/>
    </row>
    <row r="2783" spans="2:5" x14ac:dyDescent="0.25">
      <c r="B2783" s="40" t="str">
        <f>IF(F2783="","",VLOOKUP(F2783,Tabelle1[],2))</f>
        <v/>
      </c>
      <c r="C2783" s="40"/>
      <c r="E2783" s="80"/>
    </row>
    <row r="2784" spans="2:5" x14ac:dyDescent="0.25">
      <c r="B2784" s="40" t="str">
        <f>IF(F2784="","",VLOOKUP(F2784,Tabelle1[],2))</f>
        <v/>
      </c>
      <c r="C2784" s="40"/>
      <c r="E2784" s="80"/>
    </row>
    <row r="2785" spans="2:5" x14ac:dyDescent="0.25">
      <c r="B2785" s="40" t="str">
        <f>IF(F2785="","",VLOOKUP(F2785,Tabelle1[],2))</f>
        <v/>
      </c>
      <c r="C2785" s="40"/>
      <c r="E2785" s="80"/>
    </row>
    <row r="2786" spans="2:5" x14ac:dyDescent="0.25">
      <c r="B2786" s="40" t="str">
        <f>IF(F2786="","",VLOOKUP(F2786,Tabelle1[],2))</f>
        <v/>
      </c>
      <c r="C2786" s="40"/>
      <c r="E2786" s="80"/>
    </row>
    <row r="2787" spans="2:5" x14ac:dyDescent="0.25">
      <c r="B2787" s="40" t="str">
        <f>IF(F2787="","",VLOOKUP(F2787,Tabelle1[],2))</f>
        <v/>
      </c>
      <c r="C2787" s="40"/>
      <c r="E2787" s="80"/>
    </row>
    <row r="2788" spans="2:5" x14ac:dyDescent="0.25">
      <c r="B2788" s="40" t="str">
        <f>IF(F2788="","",VLOOKUP(F2788,Tabelle1[],2))</f>
        <v/>
      </c>
      <c r="C2788" s="40"/>
      <c r="E2788" s="80"/>
    </row>
    <row r="2789" spans="2:5" x14ac:dyDescent="0.25">
      <c r="B2789" s="40" t="str">
        <f>IF(F2789="","",VLOOKUP(F2789,Tabelle1[],2))</f>
        <v/>
      </c>
      <c r="C2789" s="40"/>
      <c r="E2789" s="80"/>
    </row>
    <row r="2790" spans="2:5" x14ac:dyDescent="0.25">
      <c r="B2790" s="40" t="str">
        <f>IF(F2790="","",VLOOKUP(F2790,Tabelle1[],2))</f>
        <v/>
      </c>
      <c r="C2790" s="40"/>
      <c r="E2790" s="80"/>
    </row>
    <row r="2791" spans="2:5" x14ac:dyDescent="0.25">
      <c r="B2791" s="40" t="str">
        <f>IF(F2791="","",VLOOKUP(F2791,Tabelle1[],2))</f>
        <v/>
      </c>
      <c r="C2791" s="40"/>
      <c r="E2791" s="80"/>
    </row>
    <row r="2792" spans="2:5" x14ac:dyDescent="0.25">
      <c r="B2792" s="40" t="str">
        <f>IF(F2792="","",VLOOKUP(F2792,Tabelle1[],2))</f>
        <v/>
      </c>
      <c r="C2792" s="40"/>
      <c r="E2792" s="80"/>
    </row>
    <row r="2793" spans="2:5" x14ac:dyDescent="0.25">
      <c r="B2793" s="40" t="str">
        <f>IF(F2793="","",VLOOKUP(F2793,Tabelle1[],2))</f>
        <v/>
      </c>
      <c r="C2793" s="40"/>
      <c r="E2793" s="80"/>
    </row>
    <row r="2794" spans="2:5" x14ac:dyDescent="0.25">
      <c r="B2794" s="40" t="str">
        <f>IF(F2794="","",VLOOKUP(F2794,Tabelle1[],2))</f>
        <v/>
      </c>
      <c r="C2794" s="40"/>
      <c r="E2794" s="80"/>
    </row>
    <row r="2795" spans="2:5" x14ac:dyDescent="0.25">
      <c r="B2795" s="40" t="str">
        <f>IF(F2795="","",VLOOKUP(F2795,Tabelle1[],2))</f>
        <v/>
      </c>
      <c r="C2795" s="40"/>
      <c r="E2795" s="80"/>
    </row>
    <row r="2796" spans="2:5" x14ac:dyDescent="0.25">
      <c r="B2796" s="40" t="str">
        <f>IF(F2796="","",VLOOKUP(F2796,Tabelle1[],2))</f>
        <v/>
      </c>
      <c r="C2796" s="40"/>
      <c r="E2796" s="80"/>
    </row>
    <row r="2797" spans="2:5" x14ac:dyDescent="0.25">
      <c r="B2797" s="40" t="str">
        <f>IF(F2797="","",VLOOKUP(F2797,Tabelle1[],2))</f>
        <v/>
      </c>
      <c r="C2797" s="40"/>
      <c r="E2797" s="80"/>
    </row>
    <row r="2798" spans="2:5" x14ac:dyDescent="0.25">
      <c r="B2798" s="40" t="str">
        <f>IF(F2798="","",VLOOKUP(F2798,Tabelle1[],2))</f>
        <v/>
      </c>
      <c r="C2798" s="40"/>
      <c r="E2798" s="80"/>
    </row>
    <row r="2799" spans="2:5" x14ac:dyDescent="0.25">
      <c r="B2799" s="40" t="str">
        <f>IF(F2799="","",VLOOKUP(F2799,Tabelle1[],2))</f>
        <v/>
      </c>
      <c r="C2799" s="40"/>
      <c r="E2799" s="80"/>
    </row>
    <row r="2800" spans="2:5" x14ac:dyDescent="0.25">
      <c r="B2800" s="40" t="str">
        <f>IF(F2800="","",VLOOKUP(F2800,Tabelle1[],2))</f>
        <v/>
      </c>
      <c r="C2800" s="40"/>
      <c r="E2800" s="80"/>
    </row>
    <row r="2801" spans="2:5" x14ac:dyDescent="0.25">
      <c r="B2801" s="40" t="str">
        <f>IF(F2801="","",VLOOKUP(F2801,Tabelle1[],2))</f>
        <v/>
      </c>
      <c r="C2801" s="40"/>
      <c r="E2801" s="80"/>
    </row>
    <row r="2802" spans="2:5" x14ac:dyDescent="0.25">
      <c r="B2802" s="40" t="str">
        <f>IF(F2802="","",VLOOKUP(F2802,Tabelle1[],2))</f>
        <v/>
      </c>
      <c r="C2802" s="40"/>
      <c r="E2802" s="80"/>
    </row>
    <row r="2803" spans="2:5" x14ac:dyDescent="0.25">
      <c r="B2803" s="40" t="str">
        <f>IF(F2803="","",VLOOKUP(F2803,Tabelle1[],2))</f>
        <v/>
      </c>
      <c r="C2803" s="40"/>
      <c r="E2803" s="80"/>
    </row>
    <row r="2804" spans="2:5" x14ac:dyDescent="0.25">
      <c r="B2804" s="40" t="str">
        <f>IF(F2804="","",VLOOKUP(F2804,Tabelle1[],2))</f>
        <v/>
      </c>
      <c r="C2804" s="40"/>
      <c r="E2804" s="80"/>
    </row>
    <row r="2805" spans="2:5" x14ac:dyDescent="0.25">
      <c r="B2805" s="40" t="str">
        <f>IF(F2805="","",VLOOKUP(F2805,Tabelle1[],2))</f>
        <v/>
      </c>
      <c r="C2805" s="40"/>
      <c r="E2805" s="80"/>
    </row>
    <row r="2806" spans="2:5" x14ac:dyDescent="0.25">
      <c r="B2806" s="40" t="str">
        <f>IF(F2806="","",VLOOKUP(F2806,Tabelle1[],2))</f>
        <v/>
      </c>
      <c r="C2806" s="40"/>
      <c r="E2806" s="80"/>
    </row>
    <row r="2807" spans="2:5" x14ac:dyDescent="0.25">
      <c r="B2807" s="40" t="str">
        <f>IF(F2807="","",VLOOKUP(F2807,Tabelle1[],2))</f>
        <v/>
      </c>
      <c r="C2807" s="40"/>
      <c r="E2807" s="80"/>
    </row>
    <row r="2808" spans="2:5" x14ac:dyDescent="0.25">
      <c r="B2808" s="40" t="str">
        <f>IF(F2808="","",VLOOKUP(F2808,Tabelle1[],2))</f>
        <v/>
      </c>
      <c r="C2808" s="40"/>
      <c r="E2808" s="80"/>
    </row>
    <row r="2809" spans="2:5" x14ac:dyDescent="0.25">
      <c r="B2809" s="40" t="str">
        <f>IF(F2809="","",VLOOKUP(F2809,Tabelle1[],2))</f>
        <v/>
      </c>
      <c r="C2809" s="40"/>
      <c r="E2809" s="80"/>
    </row>
    <row r="2810" spans="2:5" x14ac:dyDescent="0.25">
      <c r="B2810" s="40" t="str">
        <f>IF(F2810="","",VLOOKUP(F2810,Tabelle1[],2))</f>
        <v/>
      </c>
      <c r="C2810" s="40"/>
      <c r="E2810" s="80"/>
    </row>
    <row r="2811" spans="2:5" x14ac:dyDescent="0.25">
      <c r="B2811" s="40" t="str">
        <f>IF(F2811="","",VLOOKUP(F2811,Tabelle1[],2))</f>
        <v/>
      </c>
      <c r="C2811" s="40"/>
      <c r="E2811" s="80"/>
    </row>
    <row r="2812" spans="2:5" x14ac:dyDescent="0.25">
      <c r="B2812" s="40" t="str">
        <f>IF(F2812="","",VLOOKUP(F2812,Tabelle1[],2))</f>
        <v/>
      </c>
      <c r="C2812" s="40"/>
      <c r="E2812" s="80"/>
    </row>
    <row r="2813" spans="2:5" x14ac:dyDescent="0.25">
      <c r="B2813" s="40" t="str">
        <f>IF(F2813="","",VLOOKUP(F2813,Tabelle1[],2))</f>
        <v/>
      </c>
      <c r="C2813" s="40"/>
      <c r="E2813" s="80"/>
    </row>
    <row r="2814" spans="2:5" x14ac:dyDescent="0.25">
      <c r="B2814" s="40" t="str">
        <f>IF(F2814="","",VLOOKUP(F2814,Tabelle1[],2))</f>
        <v/>
      </c>
      <c r="C2814" s="40"/>
      <c r="E2814" s="80"/>
    </row>
    <row r="2815" spans="2:5" x14ac:dyDescent="0.25">
      <c r="B2815" s="40" t="str">
        <f>IF(F2815="","",VLOOKUP(F2815,Tabelle1[],2))</f>
        <v/>
      </c>
      <c r="C2815" s="40"/>
      <c r="E2815" s="80"/>
    </row>
    <row r="2816" spans="2:5" x14ac:dyDescent="0.25">
      <c r="B2816" s="40" t="str">
        <f>IF(F2816="","",VLOOKUP(F2816,Tabelle1[],2))</f>
        <v/>
      </c>
      <c r="C2816" s="40"/>
      <c r="E2816" s="80"/>
    </row>
    <row r="2817" spans="2:5" x14ac:dyDescent="0.25">
      <c r="B2817" s="40" t="str">
        <f>IF(F2817="","",VLOOKUP(F2817,Tabelle1[],2))</f>
        <v/>
      </c>
      <c r="C2817" s="40"/>
      <c r="E2817" s="80"/>
    </row>
    <row r="2818" spans="2:5" x14ac:dyDescent="0.25">
      <c r="B2818" s="40" t="str">
        <f>IF(F2818="","",VLOOKUP(F2818,Tabelle1[],2))</f>
        <v/>
      </c>
      <c r="C2818" s="40"/>
      <c r="E2818" s="80"/>
    </row>
    <row r="2819" spans="2:5" x14ac:dyDescent="0.25">
      <c r="B2819" s="40" t="str">
        <f>IF(F2819="","",VLOOKUP(F2819,Tabelle1[],2))</f>
        <v/>
      </c>
      <c r="C2819" s="40"/>
      <c r="E2819" s="80"/>
    </row>
    <row r="2820" spans="2:5" x14ac:dyDescent="0.25">
      <c r="B2820" s="40" t="str">
        <f>IF(F2820="","",VLOOKUP(F2820,Tabelle1[],2))</f>
        <v/>
      </c>
      <c r="C2820" s="40"/>
      <c r="E2820" s="80"/>
    </row>
    <row r="2821" spans="2:5" x14ac:dyDescent="0.25">
      <c r="B2821" s="40" t="str">
        <f>IF(F2821="","",VLOOKUP(F2821,Tabelle1[],2))</f>
        <v/>
      </c>
      <c r="C2821" s="40"/>
      <c r="E2821" s="80"/>
    </row>
    <row r="2822" spans="2:5" x14ac:dyDescent="0.25">
      <c r="B2822" s="40" t="str">
        <f>IF(F2822="","",VLOOKUP(F2822,Tabelle1[],2))</f>
        <v/>
      </c>
      <c r="C2822" s="40"/>
      <c r="E2822" s="80"/>
    </row>
    <row r="2823" spans="2:5" x14ac:dyDescent="0.25">
      <c r="B2823" s="40" t="str">
        <f>IF(F2823="","",VLOOKUP(F2823,Tabelle1[],2))</f>
        <v/>
      </c>
      <c r="C2823" s="40"/>
      <c r="E2823" s="80"/>
    </row>
    <row r="2824" spans="2:5" x14ac:dyDescent="0.25">
      <c r="B2824" s="40" t="str">
        <f>IF(F2824="","",VLOOKUP(F2824,Tabelle1[],2))</f>
        <v/>
      </c>
      <c r="C2824" s="40"/>
      <c r="E2824" s="80"/>
    </row>
    <row r="2825" spans="2:5" x14ac:dyDescent="0.25">
      <c r="B2825" s="40" t="str">
        <f>IF(F2825="","",VLOOKUP(F2825,Tabelle1[],2))</f>
        <v/>
      </c>
      <c r="C2825" s="40"/>
      <c r="E2825" s="80"/>
    </row>
    <row r="2826" spans="2:5" x14ac:dyDescent="0.25">
      <c r="B2826" s="40" t="str">
        <f>IF(F2826="","",VLOOKUP(F2826,Tabelle1[],2))</f>
        <v/>
      </c>
      <c r="C2826" s="40"/>
      <c r="E2826" s="80"/>
    </row>
    <row r="2827" spans="2:5" x14ac:dyDescent="0.25">
      <c r="B2827" s="40" t="str">
        <f>IF(F2827="","",VLOOKUP(F2827,Tabelle1[],2))</f>
        <v/>
      </c>
      <c r="C2827" s="40"/>
      <c r="E2827" s="80"/>
    </row>
    <row r="2828" spans="2:5" x14ac:dyDescent="0.25">
      <c r="B2828" s="40" t="str">
        <f>IF(F2828="","",VLOOKUP(F2828,Tabelle1[],2))</f>
        <v/>
      </c>
      <c r="C2828" s="40"/>
      <c r="E2828" s="80"/>
    </row>
    <row r="2829" spans="2:5" x14ac:dyDescent="0.25">
      <c r="B2829" s="40" t="str">
        <f>IF(F2829="","",VLOOKUP(F2829,Tabelle1[],2))</f>
        <v/>
      </c>
      <c r="C2829" s="40"/>
      <c r="E2829" s="80"/>
    </row>
    <row r="2830" spans="2:5" x14ac:dyDescent="0.25">
      <c r="B2830" s="40" t="str">
        <f>IF(F2830="","",VLOOKUP(F2830,Tabelle1[],2))</f>
        <v/>
      </c>
      <c r="C2830" s="40"/>
      <c r="E2830" s="80"/>
    </row>
    <row r="2831" spans="2:5" x14ac:dyDescent="0.25">
      <c r="B2831" s="40" t="str">
        <f>IF(F2831="","",VLOOKUP(F2831,Tabelle1[],2))</f>
        <v/>
      </c>
      <c r="C2831" s="40"/>
      <c r="E2831" s="80"/>
    </row>
    <row r="2832" spans="2:5" x14ac:dyDescent="0.25">
      <c r="B2832" s="40" t="str">
        <f>IF(F2832="","",VLOOKUP(F2832,Tabelle1[],2))</f>
        <v/>
      </c>
      <c r="C2832" s="40"/>
      <c r="E2832" s="80"/>
    </row>
    <row r="2833" spans="1:5" x14ac:dyDescent="0.25">
      <c r="B2833" s="40" t="str">
        <f>IF(F2833="","",VLOOKUP(F2833,Tabelle1[],2))</f>
        <v/>
      </c>
      <c r="C2833" s="40"/>
      <c r="E2833" s="80"/>
    </row>
    <row r="2834" spans="1:5" x14ac:dyDescent="0.25">
      <c r="B2834" s="40" t="str">
        <f>IF(F2834="","",VLOOKUP(F2834,Tabelle1[],2))</f>
        <v/>
      </c>
      <c r="C2834" s="40"/>
      <c r="E2834" s="80"/>
    </row>
    <row r="2835" spans="1:5" x14ac:dyDescent="0.25">
      <c r="A2835" s="40"/>
      <c r="B2835" s="40" t="str">
        <f>IF(F2835="","",VLOOKUP(F2835,Tabelle1[],2))</f>
        <v/>
      </c>
      <c r="C2835" s="40"/>
      <c r="E2835" s="80"/>
    </row>
    <row r="2836" spans="1:5" x14ac:dyDescent="0.25">
      <c r="B2836" s="40" t="str">
        <f>IF(F2836="","",VLOOKUP(F2836,Tabelle1[],2))</f>
        <v/>
      </c>
      <c r="C2836" s="40"/>
      <c r="E2836" s="80"/>
    </row>
    <row r="2837" spans="1:5" x14ac:dyDescent="0.25">
      <c r="B2837" s="40" t="str">
        <f>IF(F2837="","",VLOOKUP(F2837,Tabelle1[],2))</f>
        <v/>
      </c>
      <c r="C2837" s="40"/>
      <c r="E2837" s="80"/>
    </row>
    <row r="2838" spans="1:5" x14ac:dyDescent="0.25">
      <c r="B2838" s="40" t="str">
        <f>IF(F2838="","",VLOOKUP(F2838,Tabelle1[],2))</f>
        <v/>
      </c>
      <c r="C2838" s="40"/>
      <c r="E2838" s="80"/>
    </row>
    <row r="2839" spans="1:5" x14ac:dyDescent="0.25">
      <c r="B2839" s="40" t="str">
        <f>IF(F2839="","",VLOOKUP(F2839,Tabelle1[],2))</f>
        <v/>
      </c>
      <c r="C2839" s="40"/>
      <c r="E2839" s="80"/>
    </row>
    <row r="2840" spans="1:5" x14ac:dyDescent="0.25">
      <c r="B2840" s="40" t="str">
        <f>IF(F2840="","",VLOOKUP(F2840,Tabelle1[],2))</f>
        <v/>
      </c>
      <c r="C2840" s="40"/>
      <c r="E2840" s="80"/>
    </row>
    <row r="2841" spans="1:5" x14ac:dyDescent="0.25">
      <c r="B2841" s="40" t="str">
        <f>IF(F2841="","",VLOOKUP(F2841,Tabelle1[],2))</f>
        <v/>
      </c>
      <c r="C2841" s="40"/>
      <c r="E2841" s="80"/>
    </row>
    <row r="2842" spans="1:5" x14ac:dyDescent="0.25">
      <c r="B2842" s="40" t="str">
        <f>IF(F2842="","",VLOOKUP(F2842,Tabelle1[],2))</f>
        <v/>
      </c>
      <c r="C2842" s="40"/>
      <c r="E2842" s="80"/>
    </row>
    <row r="2843" spans="1:5" x14ac:dyDescent="0.25">
      <c r="B2843" s="40" t="str">
        <f>IF(F2843="","",VLOOKUP(F2843,Tabelle1[],2))</f>
        <v/>
      </c>
      <c r="C2843" s="40"/>
      <c r="E2843" s="80"/>
    </row>
    <row r="2844" spans="1:5" x14ac:dyDescent="0.25">
      <c r="B2844" s="40" t="str">
        <f>IF(F2844="","",VLOOKUP(F2844,Tabelle1[],2))</f>
        <v/>
      </c>
      <c r="C2844" s="40"/>
      <c r="E2844" s="80"/>
    </row>
    <row r="2845" spans="1:5" x14ac:dyDescent="0.25">
      <c r="B2845" s="40" t="str">
        <f>IF(F2845="","",VLOOKUP(F2845,Tabelle1[],2))</f>
        <v/>
      </c>
      <c r="C2845" s="40"/>
      <c r="E2845" s="80"/>
    </row>
    <row r="2846" spans="1:5" x14ac:dyDescent="0.25">
      <c r="B2846" s="40" t="str">
        <f>IF(F2846="","",VLOOKUP(F2846,Tabelle1[],2))</f>
        <v/>
      </c>
      <c r="C2846" s="40"/>
      <c r="E2846" s="80"/>
    </row>
    <row r="2847" spans="1:5" x14ac:dyDescent="0.25">
      <c r="B2847" s="40" t="str">
        <f>IF(F2847="","",VLOOKUP(F2847,Tabelle1[],2))</f>
        <v/>
      </c>
      <c r="C2847" s="40"/>
      <c r="E2847" s="80"/>
    </row>
    <row r="2848" spans="1:5" x14ac:dyDescent="0.25">
      <c r="B2848" s="40" t="str">
        <f>IF(F2848="","",VLOOKUP(F2848,Tabelle1[],2))</f>
        <v/>
      </c>
      <c r="C2848" s="40"/>
      <c r="E2848" s="80"/>
    </row>
    <row r="2849" spans="2:5" x14ac:dyDescent="0.25">
      <c r="B2849" s="40" t="str">
        <f>IF(F2849="","",VLOOKUP(F2849,Tabelle1[],2))</f>
        <v/>
      </c>
      <c r="C2849" s="40"/>
      <c r="E2849" s="80"/>
    </row>
    <row r="2850" spans="2:5" x14ac:dyDescent="0.25">
      <c r="B2850" s="40" t="str">
        <f>IF(F2850="","",VLOOKUP(F2850,Tabelle1[],2))</f>
        <v/>
      </c>
      <c r="C2850" s="40"/>
      <c r="E2850" s="80"/>
    </row>
    <row r="2851" spans="2:5" x14ac:dyDescent="0.25">
      <c r="B2851" s="40" t="str">
        <f>IF(F2851="","",VLOOKUP(F2851,Tabelle1[],2))</f>
        <v/>
      </c>
      <c r="C2851" s="40"/>
      <c r="E2851" s="80"/>
    </row>
    <row r="2852" spans="2:5" x14ac:dyDescent="0.25">
      <c r="B2852" s="40" t="str">
        <f>IF(F2852="","",VLOOKUP(F2852,Tabelle1[],2))</f>
        <v/>
      </c>
      <c r="C2852" s="40"/>
      <c r="E2852" s="80"/>
    </row>
    <row r="2853" spans="2:5" x14ac:dyDescent="0.25">
      <c r="B2853" s="40" t="str">
        <f>IF(F2853="","",VLOOKUP(F2853,Tabelle1[],2))</f>
        <v/>
      </c>
      <c r="C2853" s="40"/>
      <c r="E2853" s="80"/>
    </row>
    <row r="2854" spans="2:5" x14ac:dyDescent="0.25">
      <c r="B2854" s="40" t="str">
        <f>IF(F2854="","",VLOOKUP(F2854,Tabelle1[],2))</f>
        <v/>
      </c>
      <c r="C2854" s="40"/>
      <c r="E2854" s="80"/>
    </row>
    <row r="2855" spans="2:5" x14ac:dyDescent="0.25">
      <c r="B2855" s="40" t="str">
        <f>IF(F2855="","",VLOOKUP(F2855,Tabelle1[],2))</f>
        <v/>
      </c>
      <c r="C2855" s="40"/>
      <c r="E2855" s="80"/>
    </row>
    <row r="2856" spans="2:5" x14ac:dyDescent="0.25">
      <c r="B2856" s="40" t="str">
        <f>IF(F2856="","",VLOOKUP(F2856,Tabelle1[],2))</f>
        <v/>
      </c>
      <c r="C2856" s="40"/>
      <c r="E2856" s="80"/>
    </row>
    <row r="2857" spans="2:5" x14ac:dyDescent="0.25">
      <c r="B2857" s="40" t="str">
        <f>IF(F2857="","",VLOOKUP(F2857,Tabelle1[],2))</f>
        <v/>
      </c>
      <c r="C2857" s="40"/>
      <c r="E2857" s="80"/>
    </row>
    <row r="2858" spans="2:5" x14ac:dyDescent="0.25">
      <c r="B2858" s="40" t="str">
        <f>IF(F2858="","",VLOOKUP(F2858,Tabelle1[],2))</f>
        <v/>
      </c>
      <c r="C2858" s="40"/>
      <c r="E2858" s="80"/>
    </row>
    <row r="2859" spans="2:5" x14ac:dyDescent="0.25">
      <c r="B2859" s="40" t="str">
        <f>IF(F2859="","",VLOOKUP(F2859,Tabelle1[],2))</f>
        <v/>
      </c>
      <c r="C2859" s="40"/>
      <c r="E2859" s="80"/>
    </row>
    <row r="2860" spans="2:5" x14ac:dyDescent="0.25">
      <c r="B2860" s="40" t="str">
        <f>IF(F2860="","",VLOOKUP(F2860,Tabelle1[],2))</f>
        <v/>
      </c>
      <c r="C2860" s="40"/>
      <c r="E2860" s="80"/>
    </row>
    <row r="2861" spans="2:5" x14ac:dyDescent="0.25">
      <c r="B2861" s="40" t="str">
        <f>IF(F2861="","",VLOOKUP(F2861,Tabelle1[],2))</f>
        <v/>
      </c>
      <c r="C2861" s="40"/>
      <c r="E2861" s="80"/>
    </row>
    <row r="2862" spans="2:5" x14ac:dyDescent="0.25">
      <c r="B2862" s="40" t="str">
        <f>IF(F2862="","",VLOOKUP(F2862,Tabelle1[],2))</f>
        <v/>
      </c>
      <c r="C2862" s="40"/>
      <c r="E2862" s="80"/>
    </row>
    <row r="2863" spans="2:5" x14ac:dyDescent="0.25">
      <c r="B2863" s="40" t="str">
        <f>IF(F2863="","",VLOOKUP(F2863,Tabelle1[],2))</f>
        <v/>
      </c>
      <c r="C2863" s="40"/>
      <c r="E2863" s="80"/>
    </row>
    <row r="2864" spans="2:5" x14ac:dyDescent="0.25">
      <c r="B2864" s="40" t="str">
        <f>IF(F2864="","",VLOOKUP(F2864,Tabelle1[],2))</f>
        <v/>
      </c>
      <c r="C2864" s="40"/>
      <c r="E2864" s="80"/>
    </row>
    <row r="2865" spans="2:5" x14ac:dyDescent="0.25">
      <c r="B2865" s="40" t="str">
        <f>IF(F2865="","",VLOOKUP(F2865,Tabelle1[],2))</f>
        <v/>
      </c>
      <c r="C2865" s="40"/>
      <c r="E2865" s="80"/>
    </row>
    <row r="2866" spans="2:5" x14ac:dyDescent="0.25">
      <c r="B2866" s="40" t="str">
        <f>IF(F2866="","",VLOOKUP(F2866,Tabelle1[],2))</f>
        <v/>
      </c>
      <c r="C2866" s="40"/>
      <c r="E2866" s="80"/>
    </row>
    <row r="2867" spans="2:5" x14ac:dyDescent="0.25">
      <c r="B2867" s="40" t="str">
        <f>IF(F2867="","",VLOOKUP(F2867,Tabelle1[],2))</f>
        <v/>
      </c>
      <c r="C2867" s="40"/>
      <c r="E2867" s="80"/>
    </row>
    <row r="2868" spans="2:5" x14ac:dyDescent="0.25">
      <c r="B2868" s="40" t="str">
        <f>IF(F2868="","",VLOOKUP(F2868,Tabelle1[],2))</f>
        <v/>
      </c>
      <c r="C2868" s="40"/>
      <c r="E2868" s="80"/>
    </row>
    <row r="2869" spans="2:5" x14ac:dyDescent="0.25">
      <c r="B2869" s="40" t="str">
        <f>IF(F2869="","",VLOOKUP(F2869,Tabelle1[],2))</f>
        <v/>
      </c>
      <c r="C2869" s="40"/>
      <c r="E2869" s="80"/>
    </row>
    <row r="2870" spans="2:5" x14ac:dyDescent="0.25">
      <c r="B2870" s="40" t="str">
        <f>IF(F2870="","",VLOOKUP(F2870,Tabelle1[],2))</f>
        <v/>
      </c>
      <c r="C2870" s="40"/>
      <c r="E2870" s="80"/>
    </row>
    <row r="2871" spans="2:5" x14ac:dyDescent="0.25">
      <c r="B2871" s="40" t="str">
        <f>IF(F2871="","",VLOOKUP(F2871,Tabelle1[],2))</f>
        <v/>
      </c>
      <c r="C2871" s="40"/>
      <c r="E2871" s="80"/>
    </row>
    <row r="2872" spans="2:5" x14ac:dyDescent="0.25">
      <c r="B2872" s="40" t="str">
        <f>IF(F2872="","",VLOOKUP(F2872,Tabelle1[],2))</f>
        <v/>
      </c>
      <c r="C2872" s="40"/>
      <c r="E2872" s="80"/>
    </row>
    <row r="2873" spans="2:5" x14ac:dyDescent="0.25">
      <c r="B2873" s="40" t="str">
        <f>IF(F2873="","",VLOOKUP(F2873,Tabelle1[],2))</f>
        <v/>
      </c>
      <c r="C2873" s="40"/>
      <c r="E2873" s="80"/>
    </row>
    <row r="2874" spans="2:5" x14ac:dyDescent="0.25">
      <c r="B2874" s="40" t="str">
        <f>IF(F2874="","",VLOOKUP(F2874,Tabelle1[],2))</f>
        <v/>
      </c>
      <c r="C2874" s="40"/>
      <c r="E2874" s="80"/>
    </row>
    <row r="2875" spans="2:5" x14ac:dyDescent="0.25">
      <c r="B2875" s="40" t="str">
        <f>IF(F2875="","",VLOOKUP(F2875,Tabelle1[],2))</f>
        <v/>
      </c>
      <c r="C2875" s="40"/>
      <c r="E2875" s="80"/>
    </row>
    <row r="2876" spans="2:5" x14ac:dyDescent="0.25">
      <c r="B2876" s="40" t="str">
        <f>IF(F2876="","",VLOOKUP(F2876,Tabelle1[],2))</f>
        <v/>
      </c>
      <c r="C2876" s="40"/>
      <c r="E2876" s="80"/>
    </row>
    <row r="2877" spans="2:5" x14ac:dyDescent="0.25">
      <c r="B2877" s="40" t="str">
        <f>IF(F2877="","",VLOOKUP(F2877,Tabelle1[],2))</f>
        <v/>
      </c>
      <c r="C2877" s="40"/>
      <c r="E2877" s="80"/>
    </row>
    <row r="2878" spans="2:5" x14ac:dyDescent="0.25">
      <c r="B2878" s="40" t="str">
        <f>IF(F2878="","",VLOOKUP(F2878,Tabelle1[],2))</f>
        <v/>
      </c>
      <c r="C2878" s="40"/>
      <c r="E2878" s="80"/>
    </row>
    <row r="2879" spans="2:5" x14ac:dyDescent="0.25">
      <c r="B2879" s="40" t="str">
        <f>IF(F2879="","",VLOOKUP(F2879,Tabelle1[],2))</f>
        <v/>
      </c>
      <c r="C2879" s="40"/>
      <c r="E2879" s="80"/>
    </row>
    <row r="2880" spans="2:5" x14ac:dyDescent="0.25">
      <c r="B2880" s="40" t="str">
        <f>IF(F2880="","",VLOOKUP(F2880,Tabelle1[],2))</f>
        <v/>
      </c>
      <c r="C2880" s="40"/>
      <c r="E2880" s="80"/>
    </row>
    <row r="2881" spans="2:5" x14ac:dyDescent="0.25">
      <c r="B2881" s="40" t="str">
        <f>IF(F2881="","",VLOOKUP(F2881,Tabelle1[],2))</f>
        <v/>
      </c>
      <c r="C2881" s="40"/>
      <c r="E2881" s="80"/>
    </row>
    <row r="2882" spans="2:5" x14ac:dyDescent="0.25">
      <c r="B2882" s="40" t="str">
        <f>IF(F2882="","",VLOOKUP(F2882,Tabelle1[],2))</f>
        <v/>
      </c>
      <c r="C2882" s="40"/>
      <c r="E2882" s="80"/>
    </row>
    <row r="2883" spans="2:5" x14ac:dyDescent="0.25">
      <c r="B2883" s="40" t="str">
        <f>IF(F2883="","",VLOOKUP(F2883,Tabelle1[],2))</f>
        <v/>
      </c>
      <c r="C2883" s="40"/>
      <c r="E2883" s="80"/>
    </row>
    <row r="2884" spans="2:5" x14ac:dyDescent="0.25">
      <c r="B2884" s="40" t="str">
        <f>IF(F2884="","",VLOOKUP(F2884,Tabelle1[],2))</f>
        <v/>
      </c>
      <c r="C2884" s="40"/>
      <c r="E2884" s="80"/>
    </row>
    <row r="2885" spans="2:5" x14ac:dyDescent="0.25">
      <c r="B2885" s="40" t="str">
        <f>IF(F2885="","",VLOOKUP(F2885,Tabelle1[],2))</f>
        <v/>
      </c>
      <c r="C2885" s="40"/>
      <c r="E2885" s="80"/>
    </row>
    <row r="2886" spans="2:5" x14ac:dyDescent="0.25">
      <c r="B2886" s="40" t="str">
        <f>IF(F2886="","",VLOOKUP(F2886,Tabelle1[],2))</f>
        <v/>
      </c>
      <c r="C2886" s="40"/>
      <c r="E2886" s="80"/>
    </row>
    <row r="2887" spans="2:5" x14ac:dyDescent="0.25">
      <c r="B2887" s="40" t="str">
        <f>IF(F2887="","",VLOOKUP(F2887,Tabelle1[],2))</f>
        <v/>
      </c>
      <c r="C2887" s="40"/>
      <c r="E2887" s="80"/>
    </row>
    <row r="2888" spans="2:5" x14ac:dyDescent="0.25">
      <c r="B2888" s="40" t="str">
        <f>IF(F2888="","",VLOOKUP(F2888,Tabelle1[],2))</f>
        <v/>
      </c>
      <c r="C2888" s="40"/>
      <c r="E2888" s="80"/>
    </row>
    <row r="2889" spans="2:5" x14ac:dyDescent="0.25">
      <c r="B2889" s="40" t="str">
        <f>IF(F2889="","",VLOOKUP(F2889,Tabelle1[],2))</f>
        <v/>
      </c>
      <c r="C2889" s="40"/>
      <c r="E2889" s="80"/>
    </row>
    <row r="2890" spans="2:5" x14ac:dyDescent="0.25">
      <c r="B2890" s="40" t="str">
        <f>IF(F2890="","",VLOOKUP(F2890,Tabelle1[],2))</f>
        <v/>
      </c>
      <c r="C2890" s="40"/>
      <c r="E2890" s="80"/>
    </row>
    <row r="2891" spans="2:5" x14ac:dyDescent="0.25">
      <c r="B2891" s="40" t="str">
        <f>IF(F2891="","",VLOOKUP(F2891,Tabelle1[],2))</f>
        <v/>
      </c>
      <c r="C2891" s="40"/>
      <c r="E2891" s="80"/>
    </row>
    <row r="2892" spans="2:5" x14ac:dyDescent="0.25">
      <c r="B2892" s="40" t="str">
        <f>IF(F2892="","",VLOOKUP(F2892,Tabelle1[],2))</f>
        <v/>
      </c>
      <c r="C2892" s="40"/>
      <c r="E2892" s="80"/>
    </row>
    <row r="2893" spans="2:5" x14ac:dyDescent="0.25">
      <c r="B2893" s="40" t="str">
        <f>IF(F2893="","",VLOOKUP(F2893,Tabelle1[],2))</f>
        <v/>
      </c>
      <c r="C2893" s="40"/>
      <c r="E2893" s="80"/>
    </row>
    <row r="2894" spans="2:5" x14ac:dyDescent="0.25">
      <c r="B2894" s="40" t="str">
        <f>IF(F2894="","",VLOOKUP(F2894,Tabelle1[],2))</f>
        <v/>
      </c>
      <c r="C2894" s="40"/>
      <c r="E2894" s="80"/>
    </row>
    <row r="2895" spans="2:5" x14ac:dyDescent="0.25">
      <c r="B2895" s="40" t="str">
        <f>IF(F2895="","",VLOOKUP(F2895,Tabelle1[],2))</f>
        <v/>
      </c>
      <c r="C2895" s="40"/>
      <c r="E2895" s="80"/>
    </row>
    <row r="2896" spans="2:5" x14ac:dyDescent="0.25">
      <c r="B2896" s="40" t="str">
        <f>IF(F2896="","",VLOOKUP(F2896,Tabelle1[],2))</f>
        <v/>
      </c>
      <c r="C2896" s="40"/>
      <c r="E2896" s="80"/>
    </row>
    <row r="2897" spans="2:5" x14ac:dyDescent="0.25">
      <c r="B2897" s="40" t="str">
        <f>IF(F2897="","",VLOOKUP(F2897,Tabelle1[],2))</f>
        <v/>
      </c>
      <c r="C2897" s="40"/>
      <c r="E2897" s="80"/>
    </row>
    <row r="2898" spans="2:5" x14ac:dyDescent="0.25">
      <c r="B2898" s="40" t="str">
        <f>IF(F2898="","",VLOOKUP(F2898,Tabelle1[],2))</f>
        <v/>
      </c>
      <c r="C2898" s="40"/>
      <c r="E2898" s="80"/>
    </row>
    <row r="2899" spans="2:5" x14ac:dyDescent="0.25">
      <c r="B2899" s="40" t="str">
        <f>IF(F2899="","",VLOOKUP(F2899,Tabelle1[],2))</f>
        <v/>
      </c>
      <c r="C2899" s="40"/>
      <c r="E2899" s="80"/>
    </row>
    <row r="2900" spans="2:5" x14ac:dyDescent="0.25">
      <c r="B2900" s="40" t="str">
        <f>IF(F2900="","",VLOOKUP(F2900,Tabelle1[],2))</f>
        <v/>
      </c>
      <c r="C2900" s="40"/>
      <c r="E2900" s="80"/>
    </row>
    <row r="2901" spans="2:5" x14ac:dyDescent="0.25">
      <c r="B2901" s="40" t="str">
        <f>IF(F2901="","",VLOOKUP(F2901,Tabelle1[],2))</f>
        <v/>
      </c>
      <c r="C2901" s="40"/>
      <c r="E2901" s="80"/>
    </row>
    <row r="2902" spans="2:5" x14ac:dyDescent="0.25">
      <c r="B2902" s="40" t="str">
        <f>IF(F2902="","",VLOOKUP(F2902,Tabelle1[],2))</f>
        <v/>
      </c>
      <c r="C2902" s="40"/>
      <c r="E2902" s="80"/>
    </row>
    <row r="2903" spans="2:5" x14ac:dyDescent="0.25">
      <c r="B2903" s="40" t="str">
        <f>IF(F2903="","",VLOOKUP(F2903,Tabelle1[],2))</f>
        <v/>
      </c>
      <c r="C2903" s="40"/>
      <c r="E2903" s="80"/>
    </row>
    <row r="2904" spans="2:5" x14ac:dyDescent="0.25">
      <c r="B2904" s="40" t="str">
        <f>IF(F2904="","",VLOOKUP(F2904,Tabelle1[],2))</f>
        <v/>
      </c>
      <c r="C2904" s="40"/>
      <c r="E2904" s="80"/>
    </row>
    <row r="2905" spans="2:5" x14ac:dyDescent="0.25">
      <c r="B2905" s="40" t="str">
        <f>IF(F2905="","",VLOOKUP(F2905,Tabelle1[],2))</f>
        <v/>
      </c>
      <c r="C2905" s="40"/>
      <c r="E2905" s="80"/>
    </row>
    <row r="2906" spans="2:5" x14ac:dyDescent="0.25">
      <c r="B2906" s="40" t="str">
        <f>IF(F2906="","",VLOOKUP(F2906,Tabelle1[],2))</f>
        <v/>
      </c>
      <c r="C2906" s="40"/>
      <c r="E2906" s="80"/>
    </row>
    <row r="2907" spans="2:5" x14ac:dyDescent="0.25">
      <c r="B2907" s="40" t="str">
        <f>IF(F2907="","",VLOOKUP(F2907,Tabelle1[],2))</f>
        <v/>
      </c>
      <c r="C2907" s="40"/>
      <c r="E2907" s="80"/>
    </row>
    <row r="2908" spans="2:5" x14ac:dyDescent="0.25">
      <c r="B2908" s="40" t="str">
        <f>IF(F2908="","",VLOOKUP(F2908,Tabelle1[],2))</f>
        <v/>
      </c>
      <c r="C2908" s="40"/>
      <c r="E2908" s="80"/>
    </row>
    <row r="2909" spans="2:5" x14ac:dyDescent="0.25">
      <c r="B2909" s="40" t="str">
        <f>IF(F2909="","",VLOOKUP(F2909,Tabelle1[],2))</f>
        <v/>
      </c>
      <c r="C2909" s="40"/>
      <c r="E2909" s="80"/>
    </row>
    <row r="2910" spans="2:5" x14ac:dyDescent="0.25">
      <c r="B2910" s="40" t="str">
        <f>IF(F2910="","",VLOOKUP(F2910,Tabelle1[],2))</f>
        <v/>
      </c>
      <c r="C2910" s="40"/>
      <c r="E2910" s="80"/>
    </row>
    <row r="2911" spans="2:5" x14ac:dyDescent="0.25">
      <c r="B2911" s="40" t="str">
        <f>IF(F2911="","",VLOOKUP(F2911,Tabelle1[],2))</f>
        <v/>
      </c>
      <c r="C2911" s="40"/>
      <c r="E2911" s="80"/>
    </row>
    <row r="2912" spans="2:5" x14ac:dyDescent="0.25">
      <c r="B2912" s="40" t="str">
        <f>IF(F2912="","",VLOOKUP(F2912,Tabelle1[],2))</f>
        <v/>
      </c>
      <c r="C2912" s="40"/>
      <c r="E2912" s="80"/>
    </row>
    <row r="2913" spans="2:5" x14ac:dyDescent="0.25">
      <c r="B2913" s="40" t="str">
        <f>IF(F2913="","",VLOOKUP(F2913,Tabelle1[],2))</f>
        <v/>
      </c>
      <c r="C2913" s="40"/>
      <c r="E2913" s="80"/>
    </row>
    <row r="2914" spans="2:5" x14ac:dyDescent="0.25">
      <c r="B2914" s="40" t="str">
        <f>IF(F2914="","",VLOOKUP(F2914,Tabelle1[],2))</f>
        <v/>
      </c>
      <c r="C2914" s="40"/>
      <c r="E2914" s="80"/>
    </row>
    <row r="2915" spans="2:5" x14ac:dyDescent="0.25">
      <c r="B2915" s="40" t="str">
        <f>IF(F2915="","",VLOOKUP(F2915,Tabelle1[],2))</f>
        <v/>
      </c>
      <c r="C2915" s="40"/>
      <c r="E2915" s="80"/>
    </row>
    <row r="2916" spans="2:5" x14ac:dyDescent="0.25">
      <c r="B2916" s="40" t="str">
        <f>IF(F2916="","",VLOOKUP(F2916,Tabelle1[],2))</f>
        <v/>
      </c>
      <c r="C2916" s="40"/>
      <c r="E2916" s="80"/>
    </row>
    <row r="2917" spans="2:5" x14ac:dyDescent="0.25">
      <c r="B2917" s="40" t="str">
        <f>IF(F2917="","",VLOOKUP(F2917,Tabelle1[],2))</f>
        <v/>
      </c>
      <c r="C2917" s="40"/>
      <c r="E2917" s="80"/>
    </row>
    <row r="2918" spans="2:5" x14ac:dyDescent="0.25">
      <c r="B2918" s="40" t="str">
        <f>IF(F2918="","",VLOOKUP(F2918,Tabelle1[],2))</f>
        <v/>
      </c>
      <c r="C2918" s="40"/>
      <c r="E2918" s="80"/>
    </row>
    <row r="2919" spans="2:5" x14ac:dyDescent="0.25">
      <c r="B2919" s="40" t="str">
        <f>IF(F2919="","",VLOOKUP(F2919,Tabelle1[],2))</f>
        <v/>
      </c>
      <c r="C2919" s="40"/>
      <c r="E2919" s="80"/>
    </row>
    <row r="2920" spans="2:5" x14ac:dyDescent="0.25">
      <c r="B2920" s="40" t="str">
        <f>IF(F2920="","",VLOOKUP(F2920,Tabelle1[],2))</f>
        <v/>
      </c>
      <c r="C2920" s="40"/>
      <c r="E2920" s="80"/>
    </row>
    <row r="2921" spans="2:5" x14ac:dyDescent="0.25">
      <c r="B2921" s="40" t="str">
        <f>IF(F2921="","",VLOOKUP(F2921,Tabelle1[],2))</f>
        <v/>
      </c>
      <c r="C2921" s="40"/>
      <c r="E2921" s="80"/>
    </row>
    <row r="2922" spans="2:5" x14ac:dyDescent="0.25">
      <c r="B2922" s="40" t="str">
        <f>IF(F2922="","",VLOOKUP(F2922,Tabelle1[],2))</f>
        <v/>
      </c>
      <c r="C2922" s="40"/>
      <c r="E2922" s="80"/>
    </row>
    <row r="2923" spans="2:5" x14ac:dyDescent="0.25">
      <c r="B2923" s="40" t="str">
        <f>IF(F2923="","",VLOOKUP(F2923,Tabelle1[],2))</f>
        <v/>
      </c>
      <c r="C2923" s="40"/>
      <c r="E2923" s="80"/>
    </row>
    <row r="2924" spans="2:5" x14ac:dyDescent="0.25">
      <c r="B2924" s="40" t="str">
        <f>IF(F2924="","",VLOOKUP(F2924,Tabelle1[],2))</f>
        <v/>
      </c>
      <c r="C2924" s="40"/>
      <c r="E2924" s="80"/>
    </row>
    <row r="2925" spans="2:5" x14ac:dyDescent="0.25">
      <c r="B2925" s="40" t="str">
        <f>IF(F2925="","",VLOOKUP(F2925,Tabelle1[],2))</f>
        <v/>
      </c>
      <c r="C2925" s="40"/>
      <c r="E2925" s="80"/>
    </row>
    <row r="2926" spans="2:5" x14ac:dyDescent="0.25">
      <c r="B2926" s="40" t="str">
        <f>IF(F2926="","",VLOOKUP(F2926,Tabelle1[],2))</f>
        <v/>
      </c>
      <c r="C2926" s="40"/>
      <c r="E2926" s="80"/>
    </row>
    <row r="2927" spans="2:5" x14ac:dyDescent="0.25">
      <c r="B2927" s="40" t="str">
        <f>IF(F2927="","",VLOOKUP(F2927,Tabelle1[],2))</f>
        <v/>
      </c>
      <c r="C2927" s="40"/>
      <c r="E2927" s="80"/>
    </row>
    <row r="2928" spans="2:5" x14ac:dyDescent="0.25">
      <c r="B2928" s="40" t="str">
        <f>IF(F2928="","",VLOOKUP(F2928,Tabelle1[],2))</f>
        <v/>
      </c>
      <c r="C2928" s="40"/>
      <c r="E2928" s="80"/>
    </row>
    <row r="2929" spans="2:5" x14ac:dyDescent="0.25">
      <c r="B2929" s="40" t="str">
        <f>IF(F2929="","",VLOOKUP(F2929,Tabelle1[],2))</f>
        <v/>
      </c>
      <c r="C2929" s="40"/>
      <c r="E2929" s="80"/>
    </row>
    <row r="2930" spans="2:5" x14ac:dyDescent="0.25">
      <c r="B2930" s="40" t="str">
        <f>IF(F2930="","",VLOOKUP(F2930,Tabelle1[],2))</f>
        <v/>
      </c>
      <c r="C2930" s="40"/>
      <c r="E2930" s="80"/>
    </row>
    <row r="2931" spans="2:5" x14ac:dyDescent="0.25">
      <c r="B2931" s="40" t="str">
        <f>IF(F2931="","",VLOOKUP(F2931,Tabelle1[],2))</f>
        <v/>
      </c>
      <c r="C2931" s="40"/>
      <c r="E2931" s="80"/>
    </row>
    <row r="2932" spans="2:5" x14ac:dyDescent="0.25">
      <c r="B2932" s="40" t="str">
        <f>IF(F2932="","",VLOOKUP(F2932,Tabelle1[],2))</f>
        <v/>
      </c>
      <c r="C2932" s="40"/>
      <c r="E2932" s="80"/>
    </row>
    <row r="2933" spans="2:5" x14ac:dyDescent="0.25">
      <c r="B2933" s="40" t="str">
        <f>IF(F2933="","",VLOOKUP(F2933,Tabelle1[],2))</f>
        <v/>
      </c>
      <c r="C2933" s="40"/>
      <c r="E2933" s="80"/>
    </row>
    <row r="2934" spans="2:5" x14ac:dyDescent="0.25">
      <c r="B2934" s="40" t="str">
        <f>IF(F2934="","",VLOOKUP(F2934,Tabelle1[],2))</f>
        <v/>
      </c>
      <c r="C2934" s="40"/>
      <c r="E2934" s="80"/>
    </row>
    <row r="2935" spans="2:5" x14ac:dyDescent="0.25">
      <c r="B2935" s="40" t="str">
        <f>IF(F2935="","",VLOOKUP(F2935,Tabelle1[],2))</f>
        <v/>
      </c>
      <c r="C2935" s="40"/>
      <c r="E2935" s="80"/>
    </row>
    <row r="2936" spans="2:5" x14ac:dyDescent="0.25">
      <c r="B2936" s="40" t="str">
        <f>IF(F2936="","",VLOOKUP(F2936,Tabelle1[],2))</f>
        <v/>
      </c>
      <c r="C2936" s="40"/>
      <c r="E2936" s="80"/>
    </row>
    <row r="2937" spans="2:5" x14ac:dyDescent="0.25">
      <c r="B2937" s="40" t="str">
        <f>IF(F2937="","",VLOOKUP(F2937,Tabelle1[],2))</f>
        <v/>
      </c>
      <c r="C2937" s="40"/>
      <c r="E2937" s="80"/>
    </row>
    <row r="2938" spans="2:5" x14ac:dyDescent="0.25">
      <c r="B2938" s="40" t="str">
        <f>IF(F2938="","",VLOOKUP(F2938,Tabelle1[],2))</f>
        <v/>
      </c>
      <c r="C2938" s="40"/>
      <c r="E2938" s="80"/>
    </row>
    <row r="2939" spans="2:5" x14ac:dyDescent="0.25">
      <c r="B2939" s="40" t="str">
        <f>IF(F2939="","",VLOOKUP(F2939,Tabelle1[],2))</f>
        <v/>
      </c>
      <c r="C2939" s="40"/>
      <c r="E2939" s="80"/>
    </row>
    <row r="2940" spans="2:5" x14ac:dyDescent="0.25">
      <c r="B2940" s="40" t="str">
        <f>IF(F2940="","",VLOOKUP(F2940,Tabelle1[],2))</f>
        <v/>
      </c>
      <c r="C2940" s="40"/>
      <c r="E2940" s="80"/>
    </row>
    <row r="2941" spans="2:5" x14ac:dyDescent="0.25">
      <c r="B2941" s="40" t="str">
        <f>IF(F2941="","",VLOOKUP(F2941,Tabelle1[],2))</f>
        <v/>
      </c>
      <c r="C2941" s="40"/>
      <c r="E2941" s="80"/>
    </row>
    <row r="2942" spans="2:5" x14ac:dyDescent="0.25">
      <c r="B2942" s="40" t="str">
        <f>IF(F2942="","",VLOOKUP(F2942,Tabelle1[],2))</f>
        <v/>
      </c>
      <c r="C2942" s="40"/>
      <c r="E2942" s="80"/>
    </row>
    <row r="2943" spans="2:5" x14ac:dyDescent="0.25">
      <c r="B2943" s="40" t="str">
        <f>IF(F2943="","",VLOOKUP(F2943,Tabelle1[],2))</f>
        <v/>
      </c>
      <c r="C2943" s="40"/>
      <c r="E2943" s="80"/>
    </row>
    <row r="2944" spans="2:5" x14ac:dyDescent="0.25">
      <c r="B2944" s="40" t="str">
        <f>IF(F2944="","",VLOOKUP(F2944,Tabelle1[],2))</f>
        <v/>
      </c>
      <c r="C2944" s="40"/>
      <c r="E2944" s="80"/>
    </row>
    <row r="2945" spans="2:5" x14ac:dyDescent="0.25">
      <c r="B2945" s="40" t="str">
        <f>IF(F2945="","",VLOOKUP(F2945,Tabelle1[],2))</f>
        <v/>
      </c>
      <c r="C2945" s="40"/>
      <c r="E2945" s="80"/>
    </row>
    <row r="2946" spans="2:5" x14ac:dyDescent="0.25">
      <c r="B2946" s="40" t="str">
        <f>IF(F2946="","",VLOOKUP(F2946,Tabelle1[],2))</f>
        <v/>
      </c>
      <c r="C2946" s="40"/>
      <c r="E2946" s="80"/>
    </row>
    <row r="2947" spans="2:5" x14ac:dyDescent="0.25">
      <c r="B2947" s="40" t="str">
        <f>IF(F2947="","",VLOOKUP(F2947,Tabelle1[],2))</f>
        <v/>
      </c>
      <c r="C2947" s="40"/>
      <c r="E2947" s="80"/>
    </row>
    <row r="2948" spans="2:5" x14ac:dyDescent="0.25">
      <c r="B2948" s="40" t="str">
        <f>IF(F2948="","",VLOOKUP(F2948,Tabelle1[],2))</f>
        <v/>
      </c>
      <c r="C2948" s="40"/>
      <c r="E2948" s="80"/>
    </row>
    <row r="2949" spans="2:5" x14ac:dyDescent="0.25">
      <c r="B2949" s="40" t="str">
        <f>IF(F2949="","",VLOOKUP(F2949,Tabelle1[],2))</f>
        <v/>
      </c>
      <c r="C2949" s="40"/>
      <c r="E2949" s="80"/>
    </row>
    <row r="2950" spans="2:5" x14ac:dyDescent="0.25">
      <c r="B2950" s="40" t="str">
        <f>IF(F2950="","",VLOOKUP(F2950,Tabelle1[],2))</f>
        <v/>
      </c>
      <c r="C2950" s="40"/>
      <c r="E2950" s="80"/>
    </row>
    <row r="2951" spans="2:5" x14ac:dyDescent="0.25">
      <c r="B2951" s="40" t="str">
        <f>IF(F2951="","",VLOOKUP(F2951,Tabelle1[],2))</f>
        <v/>
      </c>
      <c r="C2951" s="40"/>
      <c r="E2951" s="80"/>
    </row>
    <row r="2952" spans="2:5" x14ac:dyDescent="0.25">
      <c r="B2952" s="40" t="str">
        <f>IF(F2952="","",VLOOKUP(F2952,Tabelle1[],2))</f>
        <v/>
      </c>
      <c r="C2952" s="40"/>
      <c r="E2952" s="80"/>
    </row>
    <row r="2953" spans="2:5" x14ac:dyDescent="0.25">
      <c r="B2953" s="40" t="str">
        <f>IF(F2953="","",VLOOKUP(F2953,Tabelle1[],2))</f>
        <v/>
      </c>
      <c r="C2953" s="40"/>
      <c r="E2953" s="80"/>
    </row>
    <row r="2954" spans="2:5" x14ac:dyDescent="0.25">
      <c r="B2954" s="40" t="str">
        <f>IF(F2954="","",VLOOKUP(F2954,Tabelle1[],2))</f>
        <v/>
      </c>
      <c r="C2954" s="40"/>
      <c r="E2954" s="80"/>
    </row>
    <row r="2955" spans="2:5" x14ac:dyDescent="0.25">
      <c r="B2955" s="40" t="str">
        <f>IF(F2955="","",VLOOKUP(F2955,Tabelle1[],2))</f>
        <v/>
      </c>
      <c r="C2955" s="40"/>
      <c r="E2955" s="80"/>
    </row>
    <row r="2956" spans="2:5" x14ac:dyDescent="0.25">
      <c r="B2956" s="40" t="str">
        <f>IF(F2956="","",VLOOKUP(F2956,Tabelle1[],2))</f>
        <v/>
      </c>
      <c r="C2956" s="40"/>
      <c r="E2956" s="80"/>
    </row>
    <row r="2957" spans="2:5" x14ac:dyDescent="0.25">
      <c r="B2957" s="40" t="str">
        <f>IF(F2957="","",VLOOKUP(F2957,Tabelle1[],2))</f>
        <v/>
      </c>
      <c r="C2957" s="40"/>
      <c r="E2957" s="80"/>
    </row>
    <row r="2958" spans="2:5" x14ac:dyDescent="0.25">
      <c r="B2958" s="40" t="str">
        <f>IF(F2958="","",VLOOKUP(F2958,Tabelle1[],2))</f>
        <v/>
      </c>
      <c r="C2958" s="40"/>
      <c r="E2958" s="80"/>
    </row>
    <row r="2959" spans="2:5" x14ac:dyDescent="0.25">
      <c r="B2959" s="40" t="str">
        <f>IF(F2959="","",VLOOKUP(F2959,Tabelle1[],2))</f>
        <v/>
      </c>
      <c r="C2959" s="40"/>
      <c r="E2959" s="80"/>
    </row>
    <row r="2960" spans="2:5" x14ac:dyDescent="0.25">
      <c r="B2960" s="40" t="str">
        <f>IF(F2960="","",VLOOKUP(F2960,Tabelle1[],2))</f>
        <v/>
      </c>
      <c r="C2960" s="40"/>
      <c r="E2960" s="80"/>
    </row>
    <row r="2961" spans="2:5" x14ac:dyDescent="0.25">
      <c r="B2961" s="40" t="str">
        <f>IF(F2961="","",VLOOKUP(F2961,Tabelle1[],2))</f>
        <v/>
      </c>
      <c r="C2961" s="40"/>
      <c r="E2961" s="80"/>
    </row>
    <row r="2962" spans="2:5" x14ac:dyDescent="0.25">
      <c r="B2962" s="40" t="str">
        <f>IF(F2962="","",VLOOKUP(F2962,Tabelle1[],2))</f>
        <v/>
      </c>
      <c r="C2962" s="40"/>
      <c r="E2962" s="80"/>
    </row>
    <row r="2963" spans="2:5" x14ac:dyDescent="0.25">
      <c r="B2963" s="40" t="str">
        <f>IF(F2963="","",VLOOKUP(F2963,Tabelle1[],2))</f>
        <v/>
      </c>
      <c r="C2963" s="40"/>
      <c r="E2963" s="80"/>
    </row>
    <row r="2964" spans="2:5" x14ac:dyDescent="0.25">
      <c r="B2964" s="40" t="str">
        <f>IF(F2964="","",VLOOKUP(F2964,Tabelle1[],2))</f>
        <v/>
      </c>
      <c r="C2964" s="40"/>
      <c r="E2964" s="80"/>
    </row>
    <row r="2965" spans="2:5" x14ac:dyDescent="0.25">
      <c r="B2965" s="40" t="str">
        <f>IF(F2965="","",VLOOKUP(F2965,Tabelle1[],2))</f>
        <v/>
      </c>
      <c r="C2965" s="40"/>
      <c r="E2965" s="80"/>
    </row>
    <row r="2966" spans="2:5" x14ac:dyDescent="0.25">
      <c r="B2966" s="40" t="str">
        <f>IF(F2966="","",VLOOKUP(F2966,Tabelle1[],2))</f>
        <v/>
      </c>
      <c r="C2966" s="40"/>
      <c r="E2966" s="80"/>
    </row>
    <row r="2967" spans="2:5" x14ac:dyDescent="0.25">
      <c r="B2967" s="40" t="str">
        <f>IF(F2967="","",VLOOKUP(F2967,Tabelle1[],2))</f>
        <v/>
      </c>
      <c r="C2967" s="40"/>
      <c r="E2967" s="80"/>
    </row>
    <row r="2968" spans="2:5" x14ac:dyDescent="0.25">
      <c r="B2968" s="40" t="str">
        <f>IF(F2968="","",VLOOKUP(F2968,Tabelle1[],2))</f>
        <v/>
      </c>
      <c r="C2968" s="40"/>
      <c r="E2968" s="80"/>
    </row>
    <row r="2969" spans="2:5" x14ac:dyDescent="0.25">
      <c r="B2969" s="40" t="str">
        <f>IF(F2969="","",VLOOKUP(F2969,Tabelle1[],2))</f>
        <v/>
      </c>
      <c r="C2969" s="40"/>
      <c r="E2969" s="80"/>
    </row>
    <row r="2970" spans="2:5" x14ac:dyDescent="0.25">
      <c r="B2970" s="40" t="str">
        <f>IF(F2970="","",VLOOKUP(F2970,Tabelle1[],2))</f>
        <v/>
      </c>
      <c r="C2970" s="40"/>
      <c r="E2970" s="80"/>
    </row>
    <row r="2971" spans="2:5" x14ac:dyDescent="0.25">
      <c r="B2971" s="40" t="str">
        <f>IF(F2971="","",VLOOKUP(F2971,Tabelle1[],2))</f>
        <v/>
      </c>
      <c r="C2971" s="40"/>
      <c r="E2971" s="80"/>
    </row>
    <row r="2972" spans="2:5" x14ac:dyDescent="0.25">
      <c r="B2972" s="40" t="str">
        <f>IF(F2972="","",VLOOKUP(F2972,Tabelle1[],2))</f>
        <v/>
      </c>
      <c r="C2972" s="40"/>
      <c r="E2972" s="80"/>
    </row>
    <row r="2973" spans="2:5" x14ac:dyDescent="0.25">
      <c r="B2973" s="40" t="str">
        <f>IF(F2973="","",VLOOKUP(F2973,Tabelle1[],2))</f>
        <v/>
      </c>
      <c r="C2973" s="40"/>
      <c r="E2973" s="80"/>
    </row>
    <row r="2974" spans="2:5" x14ac:dyDescent="0.25">
      <c r="B2974" s="40" t="str">
        <f>IF(F2974="","",VLOOKUP(F2974,Tabelle1[],2))</f>
        <v/>
      </c>
      <c r="C2974" s="40"/>
      <c r="E2974" s="80"/>
    </row>
    <row r="2975" spans="2:5" x14ac:dyDescent="0.25">
      <c r="B2975" s="40" t="str">
        <f>IF(F2975="","",VLOOKUP(F2975,Tabelle1[],2))</f>
        <v/>
      </c>
      <c r="C2975" s="40"/>
      <c r="E2975" s="80"/>
    </row>
    <row r="2976" spans="2:5" x14ac:dyDescent="0.25">
      <c r="B2976" s="40" t="str">
        <f>IF(F2976="","",VLOOKUP(F2976,Tabelle1[],2))</f>
        <v/>
      </c>
      <c r="C2976" s="40"/>
      <c r="E2976" s="80"/>
    </row>
    <row r="2977" spans="2:5" x14ac:dyDescent="0.25">
      <c r="B2977" s="40" t="str">
        <f>IF(F2977="","",VLOOKUP(F2977,Tabelle1[],2))</f>
        <v/>
      </c>
      <c r="C2977" s="40"/>
      <c r="E2977" s="80"/>
    </row>
    <row r="2978" spans="2:5" x14ac:dyDescent="0.25">
      <c r="B2978" s="40" t="str">
        <f>IF(F2978="","",VLOOKUP(F2978,Tabelle1[],2))</f>
        <v/>
      </c>
      <c r="C2978" s="40"/>
      <c r="E2978" s="80"/>
    </row>
    <row r="2979" spans="2:5" x14ac:dyDescent="0.25">
      <c r="B2979" s="40" t="str">
        <f>IF(F2979="","",VLOOKUP(F2979,Tabelle1[],2))</f>
        <v/>
      </c>
      <c r="C2979" s="40"/>
      <c r="E2979" s="80"/>
    </row>
    <row r="2980" spans="2:5" x14ac:dyDescent="0.25">
      <c r="B2980" s="40" t="str">
        <f>IF(F2980="","",VLOOKUP(F2980,Tabelle1[],2))</f>
        <v/>
      </c>
      <c r="C2980" s="40"/>
      <c r="E2980" s="80"/>
    </row>
    <row r="2981" spans="2:5" x14ac:dyDescent="0.25">
      <c r="B2981" s="40" t="str">
        <f>IF(F2981="","",VLOOKUP(F2981,Tabelle1[],2))</f>
        <v/>
      </c>
      <c r="C2981" s="40"/>
      <c r="E2981" s="80"/>
    </row>
    <row r="2982" spans="2:5" x14ac:dyDescent="0.25">
      <c r="B2982" s="40" t="str">
        <f>IF(F2982="","",VLOOKUP(F2982,Tabelle1[],2))</f>
        <v/>
      </c>
      <c r="C2982" s="40"/>
      <c r="E2982" s="80"/>
    </row>
    <row r="2983" spans="2:5" x14ac:dyDescent="0.25">
      <c r="B2983" s="40" t="str">
        <f>IF(F2983="","",VLOOKUP(F2983,Tabelle1[],2))</f>
        <v/>
      </c>
      <c r="C2983" s="40"/>
      <c r="E2983" s="80"/>
    </row>
    <row r="2984" spans="2:5" x14ac:dyDescent="0.25">
      <c r="B2984" s="40" t="str">
        <f>IF(F2984="","",VLOOKUP(F2984,Tabelle1[],2))</f>
        <v/>
      </c>
      <c r="C2984" s="40"/>
      <c r="E2984" s="80"/>
    </row>
    <row r="2985" spans="2:5" x14ac:dyDescent="0.25">
      <c r="B2985" s="40" t="str">
        <f>IF(F2985="","",VLOOKUP(F2985,Tabelle1[],2))</f>
        <v/>
      </c>
      <c r="C2985" s="40"/>
      <c r="E2985" s="80"/>
    </row>
    <row r="2986" spans="2:5" x14ac:dyDescent="0.25">
      <c r="B2986" s="40" t="str">
        <f>IF(F2986="","",VLOOKUP(F2986,Tabelle1[],2))</f>
        <v/>
      </c>
      <c r="C2986" s="40"/>
      <c r="E2986" s="80"/>
    </row>
    <row r="2987" spans="2:5" x14ac:dyDescent="0.25">
      <c r="B2987" s="40" t="str">
        <f>IF(F2987="","",VLOOKUP(F2987,Tabelle1[],2))</f>
        <v/>
      </c>
      <c r="C2987" s="40"/>
      <c r="E2987" s="80"/>
    </row>
    <row r="2988" spans="2:5" x14ac:dyDescent="0.25">
      <c r="B2988" s="40" t="str">
        <f>IF(F2988="","",VLOOKUP(F2988,Tabelle1[],2))</f>
        <v/>
      </c>
      <c r="C2988" s="40"/>
      <c r="E2988" s="80"/>
    </row>
    <row r="2989" spans="2:5" x14ac:dyDescent="0.25">
      <c r="B2989" s="40" t="str">
        <f>IF(F2989="","",VLOOKUP(F2989,Tabelle1[],2))</f>
        <v/>
      </c>
      <c r="C2989" s="40"/>
      <c r="E2989" s="80"/>
    </row>
    <row r="2990" spans="2:5" x14ac:dyDescent="0.25">
      <c r="B2990" s="40" t="str">
        <f>IF(F2990="","",VLOOKUP(F2990,Tabelle1[],2))</f>
        <v/>
      </c>
      <c r="C2990" s="40"/>
      <c r="E2990" s="80"/>
    </row>
    <row r="2991" spans="2:5" x14ac:dyDescent="0.25">
      <c r="B2991" s="40" t="str">
        <f>IF(F2991="","",VLOOKUP(F2991,Tabelle1[],2))</f>
        <v/>
      </c>
      <c r="C2991" s="40"/>
      <c r="E2991" s="80"/>
    </row>
    <row r="2992" spans="2:5" x14ac:dyDescent="0.25">
      <c r="B2992" s="40" t="str">
        <f>IF(F2992="","",VLOOKUP(F2992,Tabelle1[],2))</f>
        <v/>
      </c>
      <c r="C2992" s="40"/>
      <c r="E2992" s="80"/>
    </row>
    <row r="2993" spans="2:5" x14ac:dyDescent="0.25">
      <c r="B2993" s="40" t="str">
        <f>IF(F2993="","",VLOOKUP(F2993,Tabelle1[],2))</f>
        <v/>
      </c>
      <c r="C2993" s="40"/>
      <c r="E2993" s="80"/>
    </row>
    <row r="2994" spans="2:5" x14ac:dyDescent="0.25">
      <c r="B2994" s="40" t="str">
        <f>IF(F2994="","",VLOOKUP(F2994,Tabelle1[],2))</f>
        <v/>
      </c>
      <c r="C2994" s="40"/>
      <c r="E2994" s="80"/>
    </row>
    <row r="2995" spans="2:5" x14ac:dyDescent="0.25">
      <c r="B2995" s="40" t="str">
        <f>IF(F2995="","",VLOOKUP(F2995,Tabelle1[],2))</f>
        <v/>
      </c>
      <c r="C2995" s="40"/>
      <c r="E2995" s="80"/>
    </row>
    <row r="2996" spans="2:5" x14ac:dyDescent="0.25">
      <c r="B2996" s="40" t="str">
        <f>IF(F2996="","",VLOOKUP(F2996,Tabelle1[],2))</f>
        <v/>
      </c>
      <c r="C2996" s="40"/>
      <c r="E2996" s="80"/>
    </row>
    <row r="2997" spans="2:5" x14ac:dyDescent="0.25">
      <c r="B2997" s="40" t="str">
        <f>IF(F2997="","",VLOOKUP(F2997,Tabelle1[],2))</f>
        <v/>
      </c>
      <c r="C2997" s="40"/>
      <c r="E2997" s="80"/>
    </row>
    <row r="2998" spans="2:5" x14ac:dyDescent="0.25">
      <c r="B2998" s="40" t="str">
        <f>IF(F2998="","",VLOOKUP(F2998,Tabelle1[],2))</f>
        <v/>
      </c>
      <c r="C2998" s="40"/>
      <c r="E2998" s="80"/>
    </row>
    <row r="2999" spans="2:5" x14ac:dyDescent="0.25">
      <c r="B2999" s="40" t="str">
        <f>IF(F2999="","",VLOOKUP(F2999,Tabelle1[],2))</f>
        <v/>
      </c>
      <c r="C2999" s="40"/>
      <c r="E2999" s="80"/>
    </row>
    <row r="3000" spans="2:5" x14ac:dyDescent="0.25">
      <c r="B3000" s="40" t="str">
        <f>IF(F3000="","",VLOOKUP(F3000,Tabelle1[],2))</f>
        <v/>
      </c>
      <c r="C3000" s="40"/>
      <c r="E3000" s="80"/>
    </row>
    <row r="3001" spans="2:5" x14ac:dyDescent="0.25">
      <c r="B3001" s="40" t="str">
        <f>IF(F3001="","",VLOOKUP(F3001,Tabelle1[],2))</f>
        <v/>
      </c>
      <c r="C3001" s="40"/>
      <c r="E3001" s="80"/>
    </row>
    <row r="3002" spans="2:5" x14ac:dyDescent="0.25">
      <c r="B3002" s="40" t="str">
        <f>IF(F3002="","",VLOOKUP(F3002,Tabelle1[],2))</f>
        <v/>
      </c>
      <c r="C3002" s="40"/>
      <c r="E3002" s="80"/>
    </row>
    <row r="3003" spans="2:5" x14ac:dyDescent="0.25">
      <c r="B3003" s="40" t="str">
        <f>IF(F3003="","",VLOOKUP(F3003,Tabelle1[],2))</f>
        <v/>
      </c>
      <c r="C3003" s="40"/>
      <c r="E3003" s="80"/>
    </row>
    <row r="3004" spans="2:5" x14ac:dyDescent="0.25">
      <c r="B3004" s="40" t="str">
        <f>IF(F3004="","",VLOOKUP(F3004,Tabelle1[],2))</f>
        <v/>
      </c>
      <c r="C3004" s="40"/>
      <c r="E3004" s="80"/>
    </row>
    <row r="3005" spans="2:5" x14ac:dyDescent="0.25">
      <c r="B3005" s="40" t="str">
        <f>IF(F3005="","",VLOOKUP(F3005,Tabelle1[],2))</f>
        <v/>
      </c>
      <c r="C3005" s="40"/>
      <c r="E3005" s="80"/>
    </row>
    <row r="3006" spans="2:5" x14ac:dyDescent="0.25">
      <c r="B3006" s="40" t="str">
        <f>IF(F3006="","",VLOOKUP(F3006,Tabelle1[],2))</f>
        <v/>
      </c>
      <c r="C3006" s="40"/>
      <c r="E3006" s="80"/>
    </row>
    <row r="3007" spans="2:5" x14ac:dyDescent="0.25">
      <c r="B3007" s="40" t="str">
        <f>IF(F3007="","",VLOOKUP(F3007,Tabelle1[],2))</f>
        <v/>
      </c>
      <c r="C3007" s="40"/>
      <c r="E3007" s="80"/>
    </row>
    <row r="3008" spans="2:5" x14ac:dyDescent="0.25">
      <c r="B3008" s="40" t="str">
        <f>IF(F3008="","",VLOOKUP(F3008,Tabelle1[],2))</f>
        <v/>
      </c>
      <c r="C3008" s="40"/>
      <c r="E3008" s="80"/>
    </row>
    <row r="3009" spans="2:5" x14ac:dyDescent="0.25">
      <c r="B3009" s="40" t="str">
        <f>IF(F3009="","",VLOOKUP(F3009,Tabelle1[],2))</f>
        <v/>
      </c>
      <c r="C3009" s="40"/>
      <c r="E3009" s="80"/>
    </row>
    <row r="3010" spans="2:5" x14ac:dyDescent="0.25">
      <c r="B3010" s="40" t="str">
        <f>IF(F3010="","",VLOOKUP(F3010,Tabelle1[],2))</f>
        <v/>
      </c>
      <c r="C3010" s="40"/>
      <c r="E3010" s="80"/>
    </row>
    <row r="3011" spans="2:5" x14ac:dyDescent="0.25">
      <c r="B3011" s="40" t="str">
        <f>IF(F3011="","",VLOOKUP(F3011,Tabelle1[],2))</f>
        <v/>
      </c>
      <c r="C3011" s="40"/>
      <c r="E3011" s="80"/>
    </row>
    <row r="3012" spans="2:5" x14ac:dyDescent="0.25">
      <c r="B3012" s="40" t="str">
        <f>IF(F3012="","",VLOOKUP(F3012,Tabelle1[],2))</f>
        <v/>
      </c>
      <c r="C3012" s="40"/>
      <c r="E3012" s="80"/>
    </row>
    <row r="3013" spans="2:5" x14ac:dyDescent="0.25">
      <c r="B3013" s="40" t="str">
        <f>IF(F3013="","",VLOOKUP(F3013,Tabelle1[],2))</f>
        <v/>
      </c>
      <c r="C3013" s="40"/>
      <c r="E3013" s="80"/>
    </row>
    <row r="3014" spans="2:5" x14ac:dyDescent="0.25">
      <c r="B3014" s="40" t="str">
        <f>IF(F3014="","",VLOOKUP(F3014,Tabelle1[],2))</f>
        <v/>
      </c>
      <c r="C3014" s="40"/>
      <c r="E3014" s="80"/>
    </row>
    <row r="3015" spans="2:5" x14ac:dyDescent="0.25">
      <c r="B3015" s="40" t="str">
        <f>IF(F3015="","",VLOOKUP(F3015,Tabelle1[],2))</f>
        <v/>
      </c>
      <c r="C3015" s="40"/>
      <c r="E3015" s="80"/>
    </row>
    <row r="3016" spans="2:5" x14ac:dyDescent="0.25">
      <c r="B3016" s="40" t="str">
        <f>IF(F3016="","",VLOOKUP(F3016,Tabelle1[],2))</f>
        <v/>
      </c>
      <c r="C3016" s="40"/>
      <c r="E3016" s="80"/>
    </row>
    <row r="3017" spans="2:5" x14ac:dyDescent="0.25">
      <c r="B3017" s="40" t="str">
        <f>IF(F3017="","",VLOOKUP(F3017,Tabelle1[],2))</f>
        <v/>
      </c>
      <c r="C3017" s="40"/>
      <c r="E3017" s="80"/>
    </row>
    <row r="3018" spans="2:5" x14ac:dyDescent="0.25">
      <c r="B3018" s="40" t="str">
        <f>IF(F3018="","",VLOOKUP(F3018,Tabelle1[],2))</f>
        <v/>
      </c>
      <c r="C3018" s="40"/>
      <c r="E3018" s="80"/>
    </row>
    <row r="3019" spans="2:5" x14ac:dyDescent="0.25">
      <c r="B3019" s="40" t="str">
        <f>IF(F3019="","",VLOOKUP(F3019,Tabelle1[],2))</f>
        <v/>
      </c>
      <c r="C3019" s="40"/>
      <c r="E3019" s="80"/>
    </row>
    <row r="3020" spans="2:5" x14ac:dyDescent="0.25">
      <c r="B3020" s="40" t="str">
        <f>IF(F3020="","",VLOOKUP(F3020,Tabelle1[],2))</f>
        <v/>
      </c>
      <c r="C3020" s="40"/>
      <c r="E3020" s="80"/>
    </row>
    <row r="3021" spans="2:5" x14ac:dyDescent="0.25">
      <c r="B3021" s="40" t="str">
        <f>IF(F3021="","",VLOOKUP(F3021,Tabelle1[],2))</f>
        <v/>
      </c>
      <c r="C3021" s="40"/>
      <c r="E3021" s="80"/>
    </row>
    <row r="3022" spans="2:5" x14ac:dyDescent="0.25">
      <c r="B3022" s="40" t="str">
        <f>IF(F3022="","",VLOOKUP(F3022,Tabelle1[],2))</f>
        <v/>
      </c>
      <c r="C3022" s="40"/>
      <c r="E3022" s="80"/>
    </row>
    <row r="3023" spans="2:5" x14ac:dyDescent="0.25">
      <c r="B3023" s="40" t="str">
        <f>IF(F3023="","",VLOOKUP(F3023,Tabelle1[],2))</f>
        <v/>
      </c>
      <c r="C3023" s="40"/>
      <c r="E3023" s="80"/>
    </row>
    <row r="3024" spans="2:5" x14ac:dyDescent="0.25">
      <c r="B3024" s="40" t="str">
        <f>IF(F3024="","",VLOOKUP(F3024,Tabelle1[],2))</f>
        <v/>
      </c>
      <c r="C3024" s="40"/>
      <c r="E3024" s="80"/>
    </row>
    <row r="3025" spans="2:5" x14ac:dyDescent="0.25">
      <c r="B3025" s="40" t="str">
        <f>IF(F3025="","",VLOOKUP(F3025,Tabelle1[],2))</f>
        <v/>
      </c>
      <c r="C3025" s="40"/>
      <c r="E3025" s="80"/>
    </row>
    <row r="3026" spans="2:5" x14ac:dyDescent="0.25">
      <c r="B3026" s="40" t="str">
        <f>IF(F3026="","",VLOOKUP(F3026,Tabelle1[],2))</f>
        <v/>
      </c>
      <c r="C3026" s="40"/>
      <c r="E3026" s="80"/>
    </row>
    <row r="3027" spans="2:5" x14ac:dyDescent="0.25">
      <c r="B3027" s="40" t="str">
        <f>IF(F3027="","",VLOOKUP(F3027,Tabelle1[],2))</f>
        <v/>
      </c>
      <c r="C3027" s="40"/>
      <c r="E3027" s="80"/>
    </row>
    <row r="3028" spans="2:5" x14ac:dyDescent="0.25">
      <c r="B3028" s="40" t="str">
        <f>IF(F3028="","",VLOOKUP(F3028,Tabelle1[],2))</f>
        <v/>
      </c>
      <c r="C3028" s="40"/>
      <c r="E3028" s="80"/>
    </row>
    <row r="3029" spans="2:5" x14ac:dyDescent="0.25">
      <c r="B3029" s="40" t="str">
        <f>IF(F3029="","",VLOOKUP(F3029,Tabelle1[],2))</f>
        <v/>
      </c>
      <c r="C3029" s="40"/>
      <c r="E3029" s="80"/>
    </row>
    <row r="3030" spans="2:5" x14ac:dyDescent="0.25">
      <c r="B3030" s="40" t="str">
        <f>IF(F3030="","",VLOOKUP(F3030,Tabelle1[],2))</f>
        <v/>
      </c>
      <c r="C3030" s="40"/>
      <c r="E3030" s="80"/>
    </row>
    <row r="3031" spans="2:5" x14ac:dyDescent="0.25">
      <c r="B3031" s="40" t="str">
        <f>IF(F3031="","",VLOOKUP(F3031,Tabelle1[],2))</f>
        <v/>
      </c>
      <c r="C3031" s="40"/>
      <c r="E3031" s="80"/>
    </row>
    <row r="3032" spans="2:5" x14ac:dyDescent="0.25">
      <c r="B3032" s="40" t="str">
        <f>IF(F3032="","",VLOOKUP(F3032,Tabelle1[],2))</f>
        <v/>
      </c>
      <c r="C3032" s="40"/>
      <c r="E3032" s="80"/>
    </row>
    <row r="3033" spans="2:5" x14ac:dyDescent="0.25">
      <c r="B3033" s="40" t="str">
        <f>IF(F3033="","",VLOOKUP(F3033,Tabelle1[],2))</f>
        <v/>
      </c>
      <c r="C3033" s="40"/>
      <c r="E3033" s="80"/>
    </row>
    <row r="3034" spans="2:5" x14ac:dyDescent="0.25">
      <c r="B3034" s="40" t="str">
        <f>IF(F3034="","",VLOOKUP(F3034,Tabelle1[],2))</f>
        <v/>
      </c>
      <c r="C3034" s="40"/>
      <c r="E3034" s="80"/>
    </row>
    <row r="3035" spans="2:5" x14ac:dyDescent="0.25">
      <c r="B3035" s="40" t="str">
        <f>IF(F3035="","",VLOOKUP(F3035,Tabelle1[],2))</f>
        <v/>
      </c>
      <c r="C3035" s="40"/>
      <c r="E3035" s="80"/>
    </row>
    <row r="3036" spans="2:5" x14ac:dyDescent="0.25">
      <c r="B3036" s="40" t="str">
        <f>IF(F3036="","",VLOOKUP(F3036,Tabelle1[],2))</f>
        <v/>
      </c>
      <c r="C3036" s="40"/>
      <c r="E3036" s="80"/>
    </row>
    <row r="3037" spans="2:5" x14ac:dyDescent="0.25">
      <c r="B3037" s="40" t="str">
        <f>IF(F3037="","",VLOOKUP(F3037,Tabelle1[],2))</f>
        <v/>
      </c>
      <c r="C3037" s="40"/>
      <c r="E3037" s="80"/>
    </row>
    <row r="3038" spans="2:5" x14ac:dyDescent="0.25">
      <c r="B3038" s="40" t="str">
        <f>IF(F3038="","",VLOOKUP(F3038,Tabelle1[],2))</f>
        <v/>
      </c>
      <c r="C3038" s="40"/>
      <c r="E3038" s="80"/>
    </row>
    <row r="3039" spans="2:5" x14ac:dyDescent="0.25">
      <c r="B3039" s="40" t="str">
        <f>IF(F3039="","",VLOOKUP(F3039,Tabelle1[],2))</f>
        <v/>
      </c>
      <c r="C3039" s="40"/>
      <c r="E3039" s="80"/>
    </row>
    <row r="3040" spans="2:5" x14ac:dyDescent="0.25">
      <c r="B3040" s="40" t="str">
        <f>IF(F3040="","",VLOOKUP(F3040,Tabelle1[],2))</f>
        <v/>
      </c>
      <c r="C3040" s="40"/>
      <c r="E3040" s="80"/>
    </row>
    <row r="3041" spans="2:5" x14ac:dyDescent="0.25">
      <c r="B3041" s="40" t="str">
        <f>IF(F3041="","",VLOOKUP(F3041,Tabelle1[],2))</f>
        <v/>
      </c>
      <c r="C3041" s="40"/>
      <c r="E3041" s="80"/>
    </row>
    <row r="3042" spans="2:5" x14ac:dyDescent="0.25">
      <c r="B3042" s="40" t="str">
        <f>IF(F3042="","",VLOOKUP(F3042,Tabelle1[],2))</f>
        <v/>
      </c>
      <c r="C3042" s="40"/>
      <c r="E3042" s="80"/>
    </row>
    <row r="3043" spans="2:5" x14ac:dyDescent="0.25">
      <c r="B3043" s="40" t="str">
        <f>IF(F3043="","",VLOOKUP(F3043,Tabelle1[],2))</f>
        <v/>
      </c>
      <c r="C3043" s="40"/>
      <c r="E3043" s="80"/>
    </row>
    <row r="3044" spans="2:5" x14ac:dyDescent="0.25">
      <c r="B3044" s="40" t="str">
        <f>IF(F3044="","",VLOOKUP(F3044,Tabelle1[],2))</f>
        <v/>
      </c>
      <c r="C3044" s="40"/>
      <c r="E3044" s="80"/>
    </row>
    <row r="3045" spans="2:5" x14ac:dyDescent="0.25">
      <c r="B3045" s="40" t="str">
        <f>IF(F3045="","",VLOOKUP(F3045,Tabelle1[],2))</f>
        <v/>
      </c>
      <c r="C3045" s="40"/>
      <c r="E3045" s="80"/>
    </row>
    <row r="3046" spans="2:5" x14ac:dyDescent="0.25">
      <c r="B3046" s="40" t="str">
        <f>IF(F3046="","",VLOOKUP(F3046,Tabelle1[],2))</f>
        <v/>
      </c>
      <c r="C3046" s="40"/>
      <c r="E3046" s="80"/>
    </row>
    <row r="3047" spans="2:5" x14ac:dyDescent="0.25">
      <c r="B3047" s="40" t="str">
        <f>IF(F3047="","",VLOOKUP(F3047,Tabelle1[],2))</f>
        <v/>
      </c>
      <c r="C3047" s="40"/>
      <c r="E3047" s="80"/>
    </row>
    <row r="3048" spans="2:5" x14ac:dyDescent="0.25">
      <c r="B3048" s="40" t="str">
        <f>IF(F3048="","",VLOOKUP(F3048,Tabelle1[],2))</f>
        <v/>
      </c>
      <c r="C3048" s="40"/>
      <c r="E3048" s="80"/>
    </row>
    <row r="3049" spans="2:5" x14ac:dyDescent="0.25">
      <c r="B3049" s="40" t="str">
        <f>IF(F3049="","",VLOOKUP(F3049,Tabelle1[],2))</f>
        <v/>
      </c>
      <c r="C3049" s="40"/>
      <c r="E3049" s="80"/>
    </row>
    <row r="3050" spans="2:5" x14ac:dyDescent="0.25">
      <c r="B3050" s="40" t="str">
        <f>IF(F3050="","",VLOOKUP(F3050,Tabelle1[],2))</f>
        <v/>
      </c>
      <c r="C3050" s="40"/>
      <c r="E3050" s="80"/>
    </row>
    <row r="3051" spans="2:5" x14ac:dyDescent="0.25">
      <c r="B3051" s="40" t="str">
        <f>IF(F3051="","",VLOOKUP(F3051,Tabelle1[],2))</f>
        <v/>
      </c>
      <c r="C3051" s="40"/>
      <c r="E3051" s="80"/>
    </row>
    <row r="3052" spans="2:5" x14ac:dyDescent="0.25">
      <c r="B3052" s="40" t="str">
        <f>IF(F3052="","",VLOOKUP(F3052,Tabelle1[],2))</f>
        <v/>
      </c>
      <c r="C3052" s="40"/>
      <c r="E3052" s="80"/>
    </row>
    <row r="3053" spans="2:5" x14ac:dyDescent="0.25">
      <c r="B3053" s="40" t="str">
        <f>IF(F3053="","",VLOOKUP(F3053,Tabelle1[],2))</f>
        <v/>
      </c>
      <c r="C3053" s="40"/>
      <c r="E3053" s="80"/>
    </row>
    <row r="3054" spans="2:5" x14ac:dyDescent="0.25">
      <c r="B3054" s="40" t="str">
        <f>IF(F3054="","",VLOOKUP(F3054,Tabelle1[],2))</f>
        <v/>
      </c>
      <c r="C3054" s="40"/>
      <c r="E3054" s="80"/>
    </row>
    <row r="3055" spans="2:5" x14ac:dyDescent="0.25">
      <c r="B3055" s="40" t="str">
        <f>IF(F3055="","",VLOOKUP(F3055,Tabelle1[],2))</f>
        <v/>
      </c>
      <c r="C3055" s="40"/>
      <c r="E3055" s="80"/>
    </row>
    <row r="3056" spans="2:5" x14ac:dyDescent="0.25">
      <c r="B3056" s="40" t="str">
        <f>IF(F3056="","",VLOOKUP(F3056,Tabelle1[],2))</f>
        <v/>
      </c>
      <c r="C3056" s="40"/>
      <c r="E3056" s="80"/>
    </row>
    <row r="3057" spans="2:5" x14ac:dyDescent="0.25">
      <c r="B3057" s="40" t="str">
        <f>IF(F3057="","",VLOOKUP(F3057,Tabelle1[],2))</f>
        <v/>
      </c>
      <c r="C3057" s="40"/>
      <c r="E3057" s="80"/>
    </row>
    <row r="3058" spans="2:5" x14ac:dyDescent="0.25">
      <c r="B3058" s="40" t="str">
        <f>IF(F3058="","",VLOOKUP(F3058,Tabelle1[],2))</f>
        <v/>
      </c>
      <c r="C3058" s="40"/>
      <c r="E3058" s="80"/>
    </row>
    <row r="3059" spans="2:5" x14ac:dyDescent="0.25">
      <c r="B3059" s="40" t="str">
        <f>IF(F3059="","",VLOOKUP(F3059,Tabelle1[],2))</f>
        <v/>
      </c>
      <c r="C3059" s="40"/>
      <c r="E3059" s="80"/>
    </row>
    <row r="3060" spans="2:5" x14ac:dyDescent="0.25">
      <c r="B3060" s="40" t="str">
        <f>IF(F3060="","",VLOOKUP(F3060,Tabelle1[],2))</f>
        <v/>
      </c>
      <c r="C3060" s="40"/>
      <c r="E3060" s="80"/>
    </row>
    <row r="3061" spans="2:5" x14ac:dyDescent="0.25">
      <c r="B3061" s="40" t="str">
        <f>IF(F3061="","",VLOOKUP(F3061,Tabelle1[],2))</f>
        <v/>
      </c>
      <c r="C3061" s="40"/>
      <c r="E3061" s="80"/>
    </row>
    <row r="3062" spans="2:5" x14ac:dyDescent="0.25">
      <c r="B3062" s="40" t="str">
        <f>IF(F3062="","",VLOOKUP(F3062,Tabelle1[],2))</f>
        <v/>
      </c>
      <c r="C3062" s="40"/>
      <c r="E3062" s="80"/>
    </row>
    <row r="3063" spans="2:5" x14ac:dyDescent="0.25">
      <c r="B3063" s="40" t="str">
        <f>IF(F3063="","",VLOOKUP(F3063,Tabelle1[],2))</f>
        <v/>
      </c>
      <c r="C3063" s="40"/>
      <c r="E3063" s="80"/>
    </row>
    <row r="3064" spans="2:5" x14ac:dyDescent="0.25">
      <c r="B3064" s="40" t="str">
        <f>IF(F3064="","",VLOOKUP(F3064,Tabelle1[],2))</f>
        <v/>
      </c>
      <c r="C3064" s="40"/>
      <c r="E3064" s="80"/>
    </row>
    <row r="3065" spans="2:5" x14ac:dyDescent="0.25">
      <c r="B3065" s="40" t="str">
        <f>IF(F3065="","",VLOOKUP(F3065,Tabelle1[],2))</f>
        <v/>
      </c>
      <c r="C3065" s="40"/>
      <c r="E3065" s="80"/>
    </row>
    <row r="3066" spans="2:5" x14ac:dyDescent="0.25">
      <c r="B3066" s="40" t="str">
        <f>IF(F3066="","",VLOOKUP(F3066,Tabelle1[],2))</f>
        <v/>
      </c>
      <c r="C3066" s="40"/>
      <c r="E3066" s="80"/>
    </row>
    <row r="3067" spans="2:5" x14ac:dyDescent="0.25">
      <c r="B3067" s="40" t="str">
        <f>IF(F3067="","",VLOOKUP(F3067,Tabelle1[],2))</f>
        <v/>
      </c>
      <c r="C3067" s="40"/>
      <c r="E3067" s="80"/>
    </row>
    <row r="3068" spans="2:5" x14ac:dyDescent="0.25">
      <c r="B3068" s="40" t="str">
        <f>IF(F3068="","",VLOOKUP(F3068,Tabelle1[],2))</f>
        <v/>
      </c>
      <c r="C3068" s="40"/>
      <c r="E3068" s="80"/>
    </row>
    <row r="3069" spans="2:5" x14ac:dyDescent="0.25">
      <c r="B3069" s="40" t="str">
        <f>IF(F3069="","",VLOOKUP(F3069,Tabelle1[],2))</f>
        <v/>
      </c>
      <c r="C3069" s="40"/>
      <c r="E3069" s="80"/>
    </row>
    <row r="3070" spans="2:5" x14ac:dyDescent="0.25">
      <c r="B3070" s="40" t="str">
        <f>IF(F3070="","",VLOOKUP(F3070,Tabelle1[],2))</f>
        <v/>
      </c>
      <c r="C3070" s="40"/>
      <c r="E3070" s="80"/>
    </row>
    <row r="3071" spans="2:5" x14ac:dyDescent="0.25">
      <c r="B3071" s="40" t="str">
        <f>IF(F3071="","",VLOOKUP(F3071,Tabelle1[],2))</f>
        <v/>
      </c>
      <c r="C3071" s="40"/>
      <c r="E3071" s="80"/>
    </row>
    <row r="3072" spans="2:5" x14ac:dyDescent="0.25">
      <c r="B3072" s="40" t="str">
        <f>IF(F3072="","",VLOOKUP(F3072,Tabelle1[],2))</f>
        <v/>
      </c>
      <c r="C3072" s="40"/>
      <c r="E3072" s="80"/>
    </row>
    <row r="3073" spans="2:5" x14ac:dyDescent="0.25">
      <c r="B3073" s="40" t="str">
        <f>IF(F3073="","",VLOOKUP(F3073,Tabelle1[],2))</f>
        <v/>
      </c>
      <c r="C3073" s="40"/>
      <c r="E3073" s="80"/>
    </row>
    <row r="3074" spans="2:5" x14ac:dyDescent="0.25">
      <c r="B3074" s="40" t="str">
        <f>IF(F3074="","",VLOOKUP(F3074,Tabelle1[],2))</f>
        <v/>
      </c>
      <c r="C3074" s="40"/>
      <c r="E3074" s="80"/>
    </row>
    <row r="3075" spans="2:5" x14ac:dyDescent="0.25">
      <c r="B3075" s="40" t="str">
        <f>IF(F3075="","",VLOOKUP(F3075,Tabelle1[],2))</f>
        <v/>
      </c>
      <c r="C3075" s="40"/>
      <c r="E3075" s="80"/>
    </row>
    <row r="3076" spans="2:5" x14ac:dyDescent="0.25">
      <c r="B3076" s="40" t="str">
        <f>IF(F3076="","",VLOOKUP(F3076,Tabelle1[],2))</f>
        <v/>
      </c>
      <c r="C3076" s="40"/>
      <c r="E3076" s="80"/>
    </row>
    <row r="3077" spans="2:5" x14ac:dyDescent="0.25">
      <c r="B3077" s="40" t="str">
        <f>IF(F3077="","",VLOOKUP(F3077,Tabelle1[],2))</f>
        <v/>
      </c>
      <c r="C3077" s="40"/>
      <c r="E3077" s="80"/>
    </row>
    <row r="3078" spans="2:5" x14ac:dyDescent="0.25">
      <c r="B3078" s="40" t="str">
        <f>IF(F3078="","",VLOOKUP(F3078,Tabelle1[],2))</f>
        <v/>
      </c>
      <c r="C3078" s="40"/>
      <c r="E3078" s="80"/>
    </row>
    <row r="3079" spans="2:5" x14ac:dyDescent="0.25">
      <c r="B3079" s="40" t="str">
        <f>IF(F3079="","",VLOOKUP(F3079,Tabelle1[],2))</f>
        <v/>
      </c>
      <c r="C3079" s="40"/>
      <c r="E3079" s="80"/>
    </row>
    <row r="3080" spans="2:5" x14ac:dyDescent="0.25">
      <c r="B3080" s="40" t="str">
        <f>IF(F3080="","",VLOOKUP(F3080,Tabelle1[],2))</f>
        <v/>
      </c>
      <c r="C3080" s="40"/>
      <c r="E3080" s="80"/>
    </row>
    <row r="3081" spans="2:5" x14ac:dyDescent="0.25">
      <c r="B3081" s="40" t="str">
        <f>IF(F3081="","",VLOOKUP(F3081,Tabelle1[],2))</f>
        <v/>
      </c>
      <c r="C3081" s="40"/>
      <c r="E3081" s="80"/>
    </row>
    <row r="3082" spans="2:5" x14ac:dyDescent="0.25">
      <c r="B3082" s="40" t="str">
        <f>IF(F3082="","",VLOOKUP(F3082,Tabelle1[],2))</f>
        <v/>
      </c>
      <c r="C3082" s="40"/>
      <c r="E3082" s="80"/>
    </row>
    <row r="3083" spans="2:5" x14ac:dyDescent="0.25">
      <c r="B3083" s="40" t="str">
        <f>IF(F3083="","",VLOOKUP(F3083,Tabelle1[],2))</f>
        <v/>
      </c>
      <c r="C3083" s="40"/>
      <c r="E3083" s="80"/>
    </row>
    <row r="3084" spans="2:5" x14ac:dyDescent="0.25">
      <c r="B3084" s="40" t="str">
        <f>IF(F3084="","",VLOOKUP(F3084,Tabelle1[],2))</f>
        <v/>
      </c>
      <c r="C3084" s="40"/>
      <c r="E3084" s="80"/>
    </row>
    <row r="3085" spans="2:5" x14ac:dyDescent="0.25">
      <c r="B3085" s="40" t="str">
        <f>IF(F3085="","",VLOOKUP(F3085,Tabelle1[],2))</f>
        <v/>
      </c>
      <c r="C3085" s="40"/>
      <c r="E3085" s="80"/>
    </row>
    <row r="3086" spans="2:5" x14ac:dyDescent="0.25">
      <c r="B3086" s="40" t="str">
        <f>IF(F3086="","",VLOOKUP(F3086,Tabelle1[],2))</f>
        <v/>
      </c>
      <c r="C3086" s="40"/>
      <c r="E3086" s="80"/>
    </row>
    <row r="3087" spans="2:5" x14ac:dyDescent="0.25">
      <c r="B3087" s="40" t="str">
        <f>IF(F3087="","",VLOOKUP(F3087,Tabelle1[],2))</f>
        <v/>
      </c>
      <c r="C3087" s="40"/>
      <c r="E3087" s="80"/>
    </row>
    <row r="3088" spans="2:5" x14ac:dyDescent="0.25">
      <c r="B3088" s="40" t="str">
        <f>IF(F3088="","",VLOOKUP(F3088,Tabelle1[],2))</f>
        <v/>
      </c>
      <c r="C3088" s="40"/>
      <c r="E3088" s="80"/>
    </row>
    <row r="3089" spans="2:5" x14ac:dyDescent="0.25">
      <c r="B3089" s="40" t="str">
        <f>IF(F3089="","",VLOOKUP(F3089,Tabelle1[],2))</f>
        <v/>
      </c>
      <c r="C3089" s="40"/>
      <c r="E3089" s="80"/>
    </row>
    <row r="3090" spans="2:5" x14ac:dyDescent="0.25">
      <c r="B3090" s="40" t="str">
        <f>IF(F3090="","",VLOOKUP(F3090,Tabelle1[],2))</f>
        <v/>
      </c>
      <c r="C3090" s="40"/>
      <c r="E3090" s="80"/>
    </row>
    <row r="3091" spans="2:5" x14ac:dyDescent="0.25">
      <c r="B3091" s="40" t="str">
        <f>IF(F3091="","",VLOOKUP(F3091,Tabelle1[],2))</f>
        <v/>
      </c>
      <c r="C3091" s="40"/>
      <c r="E3091" s="80"/>
    </row>
    <row r="3092" spans="2:5" x14ac:dyDescent="0.25">
      <c r="B3092" s="40" t="str">
        <f>IF(F3092="","",VLOOKUP(F3092,Tabelle1[],2))</f>
        <v/>
      </c>
      <c r="C3092" s="40"/>
      <c r="E3092" s="80"/>
    </row>
    <row r="3093" spans="2:5" x14ac:dyDescent="0.25">
      <c r="B3093" s="40" t="str">
        <f>IF(F3093="","",VLOOKUP(F3093,Tabelle1[],2))</f>
        <v/>
      </c>
      <c r="C3093" s="40"/>
      <c r="E3093" s="80"/>
    </row>
    <row r="3094" spans="2:5" x14ac:dyDescent="0.25">
      <c r="B3094" s="40" t="str">
        <f>IF(F3094="","",VLOOKUP(F3094,Tabelle1[],2))</f>
        <v/>
      </c>
      <c r="C3094" s="40"/>
      <c r="E3094" s="80"/>
    </row>
    <row r="3095" spans="2:5" x14ac:dyDescent="0.25">
      <c r="B3095" s="40" t="str">
        <f>IF(F3095="","",VLOOKUP(F3095,Tabelle1[],2))</f>
        <v/>
      </c>
      <c r="C3095" s="40"/>
      <c r="E3095" s="80"/>
    </row>
    <row r="3096" spans="2:5" x14ac:dyDescent="0.25">
      <c r="B3096" s="40" t="str">
        <f>IF(F3096="","",VLOOKUP(F3096,Tabelle1[],2))</f>
        <v/>
      </c>
      <c r="C3096" s="40"/>
      <c r="E3096" s="80"/>
    </row>
    <row r="3097" spans="2:5" x14ac:dyDescent="0.25">
      <c r="B3097" s="40" t="str">
        <f>IF(F3097="","",VLOOKUP(F3097,Tabelle1[],2))</f>
        <v/>
      </c>
      <c r="C3097" s="40"/>
      <c r="E3097" s="80"/>
    </row>
    <row r="3098" spans="2:5" x14ac:dyDescent="0.25">
      <c r="B3098" s="40" t="str">
        <f>IF(F3098="","",VLOOKUP(F3098,Tabelle1[],2))</f>
        <v/>
      </c>
      <c r="C3098" s="40"/>
      <c r="E3098" s="80"/>
    </row>
    <row r="3099" spans="2:5" x14ac:dyDescent="0.25">
      <c r="B3099" s="40" t="str">
        <f>IF(F3099="","",VLOOKUP(F3099,Tabelle1[],2))</f>
        <v/>
      </c>
      <c r="C3099" s="40"/>
      <c r="E3099" s="80"/>
    </row>
    <row r="3100" spans="2:5" x14ac:dyDescent="0.25">
      <c r="B3100" s="40" t="str">
        <f>IF(F3100="","",VLOOKUP(F3100,Tabelle1[],2))</f>
        <v/>
      </c>
      <c r="C3100" s="40"/>
      <c r="E3100" s="80"/>
    </row>
    <row r="3101" spans="2:5" x14ac:dyDescent="0.25">
      <c r="B3101" s="40" t="str">
        <f>IF(F3101="","",VLOOKUP(F3101,Tabelle1[],2))</f>
        <v/>
      </c>
      <c r="C3101" s="40"/>
      <c r="E3101" s="80"/>
    </row>
    <row r="3102" spans="2:5" x14ac:dyDescent="0.25">
      <c r="B3102" s="40" t="str">
        <f>IF(F3102="","",VLOOKUP(F3102,Tabelle1[],2))</f>
        <v/>
      </c>
      <c r="C3102" s="40"/>
      <c r="E3102" s="80"/>
    </row>
    <row r="3103" spans="2:5" x14ac:dyDescent="0.25">
      <c r="B3103" s="40" t="str">
        <f>IF(F3103="","",VLOOKUP(F3103,Tabelle1[],2))</f>
        <v/>
      </c>
      <c r="C3103" s="40"/>
      <c r="E3103" s="80"/>
    </row>
    <row r="3104" spans="2:5" x14ac:dyDescent="0.25">
      <c r="B3104" s="40" t="str">
        <f>IF(F3104="","",VLOOKUP(F3104,Tabelle1[],2))</f>
        <v/>
      </c>
      <c r="C3104" s="40"/>
      <c r="E3104" s="80"/>
    </row>
    <row r="3105" spans="2:5" x14ac:dyDescent="0.25">
      <c r="B3105" s="40" t="str">
        <f>IF(F3105="","",VLOOKUP(F3105,Tabelle1[],2))</f>
        <v/>
      </c>
      <c r="C3105" s="40"/>
      <c r="E3105" s="80"/>
    </row>
    <row r="3106" spans="2:5" x14ac:dyDescent="0.25">
      <c r="B3106" s="40" t="str">
        <f>IF(F3106="","",VLOOKUP(F3106,Tabelle1[],2))</f>
        <v/>
      </c>
      <c r="C3106" s="40"/>
      <c r="E3106" s="80"/>
    </row>
    <row r="3107" spans="2:5" x14ac:dyDescent="0.25">
      <c r="B3107" s="40" t="str">
        <f>IF(F3107="","",VLOOKUP(F3107,Tabelle1[],2))</f>
        <v/>
      </c>
      <c r="C3107" s="40"/>
      <c r="E3107" s="80"/>
    </row>
    <row r="3108" spans="2:5" x14ac:dyDescent="0.25">
      <c r="B3108" s="40" t="str">
        <f>IF(F3108="","",VLOOKUP(F3108,Tabelle1[],2))</f>
        <v/>
      </c>
      <c r="C3108" s="40"/>
      <c r="E3108" s="80"/>
    </row>
    <row r="3109" spans="2:5" x14ac:dyDescent="0.25">
      <c r="B3109" s="40" t="str">
        <f>IF(F3109="","",VLOOKUP(F3109,Tabelle1[],2))</f>
        <v/>
      </c>
      <c r="C3109" s="40"/>
      <c r="E3109" s="80"/>
    </row>
    <row r="3110" spans="2:5" x14ac:dyDescent="0.25">
      <c r="B3110" s="40" t="str">
        <f>IF(F3110="","",VLOOKUP(F3110,Tabelle1[],2))</f>
        <v/>
      </c>
      <c r="C3110" s="40"/>
      <c r="E3110" s="80"/>
    </row>
    <row r="3111" spans="2:5" x14ac:dyDescent="0.25">
      <c r="B3111" s="40" t="str">
        <f>IF(F3111="","",VLOOKUP(F3111,Tabelle1[],2))</f>
        <v/>
      </c>
      <c r="C3111" s="40"/>
      <c r="E3111" s="80"/>
    </row>
    <row r="3112" spans="2:5" x14ac:dyDescent="0.25">
      <c r="B3112" s="40" t="str">
        <f>IF(F3112="","",VLOOKUP(F3112,Tabelle1[],2))</f>
        <v/>
      </c>
      <c r="C3112" s="40"/>
      <c r="E3112" s="80"/>
    </row>
    <row r="3113" spans="2:5" x14ac:dyDescent="0.25">
      <c r="B3113" s="40" t="str">
        <f>IF(F3113="","",VLOOKUP(F3113,Tabelle1[],2))</f>
        <v/>
      </c>
      <c r="C3113" s="40"/>
      <c r="E3113" s="80"/>
    </row>
    <row r="3114" spans="2:5" x14ac:dyDescent="0.25">
      <c r="B3114" s="40" t="str">
        <f>IF(F3114="","",VLOOKUP(F3114,Tabelle1[],2))</f>
        <v/>
      </c>
      <c r="C3114" s="40"/>
      <c r="E3114" s="80"/>
    </row>
    <row r="3115" spans="2:5" x14ac:dyDescent="0.25">
      <c r="B3115" s="40" t="str">
        <f>IF(F3115="","",VLOOKUP(F3115,Tabelle1[],2))</f>
        <v/>
      </c>
      <c r="C3115" s="40"/>
      <c r="E3115" s="80"/>
    </row>
    <row r="3116" spans="2:5" x14ac:dyDescent="0.25">
      <c r="B3116" s="40" t="str">
        <f>IF(F3116="","",VLOOKUP(F3116,Tabelle1[],2))</f>
        <v/>
      </c>
      <c r="C3116" s="40"/>
      <c r="E3116" s="80"/>
    </row>
    <row r="3117" spans="2:5" x14ac:dyDescent="0.25">
      <c r="B3117" s="40" t="str">
        <f>IF(F3117="","",VLOOKUP(F3117,Tabelle1[],2))</f>
        <v/>
      </c>
      <c r="C3117" s="40"/>
      <c r="E3117" s="80"/>
    </row>
    <row r="3118" spans="2:5" x14ac:dyDescent="0.25">
      <c r="B3118" s="40" t="str">
        <f>IF(F3118="","",VLOOKUP(F3118,Tabelle1[],2))</f>
        <v/>
      </c>
      <c r="C3118" s="40"/>
      <c r="E3118" s="80"/>
    </row>
    <row r="3119" spans="2:5" x14ac:dyDescent="0.25">
      <c r="B3119" s="40" t="str">
        <f>IF(F3119="","",VLOOKUP(F3119,Tabelle1[],2))</f>
        <v/>
      </c>
      <c r="C3119" s="40"/>
      <c r="E3119" s="80"/>
    </row>
    <row r="3120" spans="2:5" x14ac:dyDescent="0.25">
      <c r="B3120" s="40" t="str">
        <f>IF(F3120="","",VLOOKUP(F3120,Tabelle1[],2))</f>
        <v/>
      </c>
      <c r="C3120" s="40"/>
      <c r="E3120" s="80"/>
    </row>
    <row r="3121" spans="2:5" x14ac:dyDescent="0.25">
      <c r="B3121" s="40" t="str">
        <f>IF(F3121="","",VLOOKUP(F3121,Tabelle1[],2))</f>
        <v/>
      </c>
      <c r="C3121" s="40"/>
      <c r="E3121" s="80"/>
    </row>
    <row r="3122" spans="2:5" x14ac:dyDescent="0.25">
      <c r="B3122" s="40" t="str">
        <f>IF(F3122="","",VLOOKUP(F3122,Tabelle1[],2))</f>
        <v/>
      </c>
      <c r="C3122" s="40"/>
      <c r="E3122" s="80"/>
    </row>
    <row r="3123" spans="2:5" x14ac:dyDescent="0.25">
      <c r="B3123" s="40" t="str">
        <f>IF(F3123="","",VLOOKUP(F3123,Tabelle1[],2))</f>
        <v/>
      </c>
      <c r="C3123" s="40"/>
      <c r="E3123" s="80"/>
    </row>
    <row r="3124" spans="2:5" x14ac:dyDescent="0.25">
      <c r="B3124" s="40" t="str">
        <f>IF(F3124="","",VLOOKUP(F3124,Tabelle1[],2))</f>
        <v/>
      </c>
      <c r="C3124" s="40"/>
      <c r="E3124" s="80"/>
    </row>
    <row r="3125" spans="2:5" x14ac:dyDescent="0.25">
      <c r="B3125" s="40" t="str">
        <f>IF(F3125="","",VLOOKUP(F3125,Tabelle1[],2))</f>
        <v/>
      </c>
      <c r="C3125" s="40"/>
      <c r="E3125" s="80"/>
    </row>
    <row r="3126" spans="2:5" x14ac:dyDescent="0.25">
      <c r="B3126" s="40" t="str">
        <f>IF(F3126="","",VLOOKUP(F3126,Tabelle1[],2))</f>
        <v/>
      </c>
      <c r="C3126" s="40"/>
      <c r="E3126" s="80"/>
    </row>
    <row r="3127" spans="2:5" x14ac:dyDescent="0.25">
      <c r="B3127" s="40" t="str">
        <f>IF(F3127="","",VLOOKUP(F3127,Tabelle1[],2))</f>
        <v/>
      </c>
      <c r="C3127" s="40"/>
      <c r="E3127" s="80"/>
    </row>
    <row r="3128" spans="2:5" x14ac:dyDescent="0.25">
      <c r="B3128" s="40" t="str">
        <f>IF(F3128="","",VLOOKUP(F3128,Tabelle1[],2))</f>
        <v/>
      </c>
      <c r="C3128" s="40"/>
      <c r="E3128" s="80"/>
    </row>
    <row r="3129" spans="2:5" x14ac:dyDescent="0.25">
      <c r="B3129" s="40" t="str">
        <f>IF(F3129="","",VLOOKUP(F3129,Tabelle1[],2))</f>
        <v/>
      </c>
      <c r="C3129" s="40"/>
      <c r="E3129" s="80"/>
    </row>
    <row r="3130" spans="2:5" x14ac:dyDescent="0.25">
      <c r="B3130" s="40" t="str">
        <f>IF(F3130="","",VLOOKUP(F3130,Tabelle1[],2))</f>
        <v/>
      </c>
      <c r="C3130" s="40"/>
      <c r="E3130" s="80"/>
    </row>
    <row r="3131" spans="2:5" x14ac:dyDescent="0.25">
      <c r="B3131" s="40" t="str">
        <f>IF(F3131="","",VLOOKUP(F3131,Tabelle1[],2))</f>
        <v/>
      </c>
      <c r="C3131" s="40"/>
      <c r="E3131" s="80"/>
    </row>
    <row r="3132" spans="2:5" x14ac:dyDescent="0.25">
      <c r="B3132" s="40" t="str">
        <f>IF(F3132="","",VLOOKUP(F3132,Tabelle1[],2))</f>
        <v/>
      </c>
      <c r="C3132" s="40"/>
      <c r="E3132" s="80"/>
    </row>
    <row r="3133" spans="2:5" x14ac:dyDescent="0.25">
      <c r="B3133" s="40" t="str">
        <f>IF(F3133="","",VLOOKUP(F3133,Tabelle1[],2))</f>
        <v/>
      </c>
      <c r="C3133" s="40"/>
      <c r="E3133" s="80"/>
    </row>
    <row r="3134" spans="2:5" x14ac:dyDescent="0.25">
      <c r="B3134" s="40" t="str">
        <f>IF(F3134="","",VLOOKUP(F3134,Tabelle1[],2))</f>
        <v/>
      </c>
      <c r="C3134" s="40"/>
      <c r="E3134" s="80"/>
    </row>
    <row r="3135" spans="2:5" x14ac:dyDescent="0.25">
      <c r="B3135" s="40" t="str">
        <f>IF(F3135="","",VLOOKUP(F3135,Tabelle1[],2))</f>
        <v/>
      </c>
      <c r="C3135" s="40"/>
      <c r="E3135" s="80"/>
    </row>
    <row r="3136" spans="2:5" x14ac:dyDescent="0.25">
      <c r="B3136" s="40" t="str">
        <f>IF(F3136="","",VLOOKUP(F3136,Tabelle1[],2))</f>
        <v/>
      </c>
      <c r="C3136" s="40"/>
      <c r="E3136" s="80"/>
    </row>
    <row r="3137" spans="2:5" x14ac:dyDescent="0.25">
      <c r="B3137" s="40" t="str">
        <f>IF(F3137="","",VLOOKUP(F3137,Tabelle1[],2))</f>
        <v/>
      </c>
      <c r="C3137" s="40"/>
      <c r="E3137" s="80"/>
    </row>
    <row r="3138" spans="2:5" x14ac:dyDescent="0.25">
      <c r="B3138" s="40" t="str">
        <f>IF(F3138="","",VLOOKUP(F3138,Tabelle1[],2))</f>
        <v/>
      </c>
      <c r="C3138" s="40"/>
      <c r="E3138" s="80"/>
    </row>
    <row r="3139" spans="2:5" x14ac:dyDescent="0.25">
      <c r="B3139" s="40" t="str">
        <f>IF(F3139="","",VLOOKUP(F3139,Tabelle1[],2))</f>
        <v/>
      </c>
      <c r="C3139" s="40"/>
      <c r="E3139" s="80"/>
    </row>
    <row r="3140" spans="2:5" x14ac:dyDescent="0.25">
      <c r="B3140" s="40" t="str">
        <f>IF(F3140="","",VLOOKUP(F3140,Tabelle1[],2))</f>
        <v/>
      </c>
      <c r="C3140" s="40"/>
      <c r="E3140" s="80"/>
    </row>
    <row r="3141" spans="2:5" x14ac:dyDescent="0.25">
      <c r="B3141" s="40" t="str">
        <f>IF(F3141="","",VLOOKUP(F3141,Tabelle1[],2))</f>
        <v/>
      </c>
      <c r="C3141" s="40"/>
      <c r="E3141" s="80"/>
    </row>
    <row r="3142" spans="2:5" x14ac:dyDescent="0.25">
      <c r="B3142" s="40"/>
      <c r="C3142" s="40"/>
      <c r="E3142" s="80"/>
    </row>
    <row r="3143" spans="2:5" x14ac:dyDescent="0.25">
      <c r="B3143" s="40"/>
      <c r="C3143" s="40"/>
      <c r="E3143" s="80"/>
    </row>
    <row r="3144" spans="2:5" x14ac:dyDescent="0.25">
      <c r="B3144" s="40"/>
      <c r="C3144" s="40"/>
      <c r="E3144" s="80"/>
    </row>
    <row r="3145" spans="2:5" x14ac:dyDescent="0.25">
      <c r="B3145" s="40"/>
      <c r="C3145" s="40"/>
      <c r="E3145" s="80"/>
    </row>
    <row r="3146" spans="2:5" x14ac:dyDescent="0.25">
      <c r="B3146" s="40"/>
      <c r="C3146" s="40"/>
      <c r="E3146" s="80"/>
    </row>
    <row r="3147" spans="2:5" x14ac:dyDescent="0.25">
      <c r="B3147" s="40"/>
      <c r="C3147" s="40"/>
      <c r="E3147" s="80"/>
    </row>
    <row r="3148" spans="2:5" x14ac:dyDescent="0.25">
      <c r="B3148" s="40"/>
      <c r="C3148" s="40"/>
      <c r="E3148" s="80"/>
    </row>
    <row r="3149" spans="2:5" x14ac:dyDescent="0.25">
      <c r="B3149" s="40"/>
      <c r="C3149" s="40"/>
      <c r="E3149" s="80"/>
    </row>
    <row r="3150" spans="2:5" x14ac:dyDescent="0.25">
      <c r="B3150" s="40"/>
      <c r="C3150" s="40"/>
      <c r="E3150" s="80"/>
    </row>
    <row r="3151" spans="2:5" x14ac:dyDescent="0.25">
      <c r="B3151" s="40"/>
      <c r="C3151" s="40"/>
      <c r="E3151" s="80"/>
    </row>
    <row r="3152" spans="2:5" x14ac:dyDescent="0.25">
      <c r="B3152" s="40"/>
      <c r="C3152" s="40"/>
      <c r="E3152" s="80"/>
    </row>
    <row r="3153" spans="2:5" x14ac:dyDescent="0.25">
      <c r="B3153" s="40"/>
      <c r="C3153" s="40"/>
      <c r="E3153" s="80"/>
    </row>
    <row r="3154" spans="2:5" x14ac:dyDescent="0.25">
      <c r="B3154" s="40"/>
      <c r="C3154" s="40"/>
      <c r="E3154" s="80"/>
    </row>
    <row r="3155" spans="2:5" x14ac:dyDescent="0.25">
      <c r="B3155" s="40"/>
      <c r="C3155" s="40"/>
      <c r="E3155" s="80"/>
    </row>
    <row r="3156" spans="2:5" x14ac:dyDescent="0.25">
      <c r="B3156" s="40"/>
      <c r="C3156" s="40"/>
      <c r="E3156" s="80"/>
    </row>
    <row r="3157" spans="2:5" x14ac:dyDescent="0.25">
      <c r="B3157" s="40"/>
      <c r="C3157" s="40"/>
      <c r="E3157" s="80"/>
    </row>
    <row r="3158" spans="2:5" x14ac:dyDescent="0.25">
      <c r="B3158" s="40"/>
      <c r="C3158" s="40"/>
      <c r="E3158" s="80"/>
    </row>
    <row r="3159" spans="2:5" x14ac:dyDescent="0.25">
      <c r="B3159" s="40"/>
      <c r="C3159" s="40"/>
      <c r="E3159" s="80"/>
    </row>
    <row r="3160" spans="2:5" x14ac:dyDescent="0.25">
      <c r="B3160" s="40"/>
      <c r="C3160" s="40"/>
      <c r="E3160" s="80"/>
    </row>
    <row r="3161" spans="2:5" x14ac:dyDescent="0.25">
      <c r="B3161" s="40"/>
      <c r="C3161" s="40"/>
      <c r="E3161" s="80"/>
    </row>
    <row r="3162" spans="2:5" x14ac:dyDescent="0.25">
      <c r="B3162" s="40"/>
      <c r="C3162" s="40"/>
      <c r="E3162" s="80"/>
    </row>
    <row r="3163" spans="2:5" x14ac:dyDescent="0.25">
      <c r="B3163" s="40"/>
      <c r="C3163" s="40"/>
      <c r="E3163" s="80"/>
    </row>
    <row r="3164" spans="2:5" x14ac:dyDescent="0.25">
      <c r="B3164" s="40"/>
      <c r="C3164" s="40"/>
      <c r="E3164" s="80"/>
    </row>
    <row r="3165" spans="2:5" x14ac:dyDescent="0.25">
      <c r="B3165" s="40"/>
      <c r="C3165" s="40"/>
      <c r="E3165" s="80"/>
    </row>
    <row r="3166" spans="2:5" x14ac:dyDescent="0.25">
      <c r="B3166" s="40"/>
      <c r="C3166" s="40"/>
      <c r="E3166" s="80"/>
    </row>
    <row r="3167" spans="2:5" x14ac:dyDescent="0.25">
      <c r="B3167" s="40"/>
      <c r="C3167" s="40"/>
      <c r="E3167" s="80"/>
    </row>
    <row r="3168" spans="2:5" x14ac:dyDescent="0.25">
      <c r="B3168" s="40"/>
      <c r="C3168" s="40"/>
      <c r="E3168" s="80"/>
    </row>
    <row r="3169" spans="2:5" x14ac:dyDescent="0.25">
      <c r="B3169" s="40"/>
      <c r="C3169" s="40"/>
      <c r="E3169" s="80"/>
    </row>
    <row r="3170" spans="2:5" x14ac:dyDescent="0.25">
      <c r="B3170" s="40"/>
      <c r="C3170" s="40"/>
      <c r="E3170" s="80"/>
    </row>
    <row r="3171" spans="2:5" x14ac:dyDescent="0.25">
      <c r="B3171" s="40"/>
      <c r="C3171" s="40"/>
      <c r="E3171" s="80"/>
    </row>
    <row r="3172" spans="2:5" x14ac:dyDescent="0.25">
      <c r="B3172" s="40"/>
      <c r="C3172" s="40"/>
      <c r="E3172" s="80"/>
    </row>
    <row r="3173" spans="2:5" x14ac:dyDescent="0.25">
      <c r="B3173" s="40"/>
      <c r="C3173" s="40"/>
      <c r="E3173" s="80"/>
    </row>
    <row r="3174" spans="2:5" x14ac:dyDescent="0.25">
      <c r="B3174" s="40"/>
      <c r="C3174" s="40"/>
      <c r="E3174" s="80"/>
    </row>
    <row r="3175" spans="2:5" x14ac:dyDescent="0.25">
      <c r="B3175" s="40"/>
      <c r="C3175" s="40"/>
      <c r="E3175" s="80"/>
    </row>
    <row r="3176" spans="2:5" x14ac:dyDescent="0.25">
      <c r="B3176" s="40"/>
      <c r="C3176" s="40"/>
      <c r="E3176" s="80"/>
    </row>
    <row r="3177" spans="2:5" x14ac:dyDescent="0.25">
      <c r="B3177" s="40"/>
      <c r="C3177" s="40"/>
      <c r="E3177" s="80"/>
    </row>
    <row r="3178" spans="2:5" x14ac:dyDescent="0.25">
      <c r="B3178" s="40"/>
      <c r="C3178" s="40"/>
      <c r="E3178" s="80"/>
    </row>
    <row r="3179" spans="2:5" x14ac:dyDescent="0.25">
      <c r="B3179" s="40"/>
      <c r="C3179" s="40"/>
      <c r="E3179" s="80"/>
    </row>
    <row r="3180" spans="2:5" x14ac:dyDescent="0.25">
      <c r="B3180" s="40"/>
      <c r="C3180" s="40"/>
      <c r="E3180" s="80"/>
    </row>
    <row r="3181" spans="2:5" x14ac:dyDescent="0.25">
      <c r="B3181" s="40"/>
      <c r="C3181" s="40"/>
      <c r="E3181" s="80"/>
    </row>
    <row r="3182" spans="2:5" x14ac:dyDescent="0.25">
      <c r="B3182" s="40"/>
      <c r="C3182" s="40"/>
      <c r="E3182" s="80"/>
    </row>
    <row r="3183" spans="2:5" x14ac:dyDescent="0.25">
      <c r="B3183" s="40"/>
      <c r="C3183" s="40"/>
      <c r="E3183" s="80"/>
    </row>
    <row r="3184" spans="2:5" x14ac:dyDescent="0.25">
      <c r="B3184" s="40"/>
      <c r="C3184" s="40"/>
      <c r="E3184" s="80"/>
    </row>
    <row r="3185" spans="2:5" x14ac:dyDescent="0.25">
      <c r="B3185" s="40"/>
      <c r="C3185" s="40"/>
      <c r="E3185" s="80"/>
    </row>
    <row r="3186" spans="2:5" x14ac:dyDescent="0.25">
      <c r="B3186" s="40"/>
      <c r="C3186" s="40"/>
      <c r="E3186" s="80"/>
    </row>
    <row r="3187" spans="2:5" x14ac:dyDescent="0.25">
      <c r="B3187" s="40"/>
      <c r="C3187" s="40"/>
      <c r="E3187" s="80"/>
    </row>
    <row r="3188" spans="2:5" x14ac:dyDescent="0.25">
      <c r="B3188" s="40"/>
      <c r="C3188" s="40"/>
      <c r="E3188" s="80"/>
    </row>
    <row r="3189" spans="2:5" x14ac:dyDescent="0.25">
      <c r="B3189" s="40"/>
      <c r="C3189" s="40"/>
      <c r="E3189" s="80"/>
    </row>
    <row r="3190" spans="2:5" x14ac:dyDescent="0.25">
      <c r="B3190" s="40"/>
      <c r="C3190" s="40"/>
      <c r="E3190" s="80"/>
    </row>
    <row r="3191" spans="2:5" x14ac:dyDescent="0.25">
      <c r="B3191" s="40"/>
      <c r="C3191" s="40"/>
      <c r="E3191" s="80"/>
    </row>
    <row r="3192" spans="2:5" x14ac:dyDescent="0.25">
      <c r="B3192" s="40"/>
      <c r="C3192" s="40"/>
      <c r="E3192" s="80"/>
    </row>
    <row r="3193" spans="2:5" x14ac:dyDescent="0.25">
      <c r="B3193" s="40"/>
      <c r="C3193" s="40"/>
      <c r="E3193" s="80"/>
    </row>
    <row r="3194" spans="2:5" x14ac:dyDescent="0.25">
      <c r="B3194" s="40"/>
      <c r="C3194" s="40"/>
      <c r="E3194" s="80"/>
    </row>
    <row r="3195" spans="2:5" x14ac:dyDescent="0.25">
      <c r="B3195" s="40"/>
      <c r="C3195" s="40"/>
      <c r="E3195" s="80"/>
    </row>
    <row r="3196" spans="2:5" x14ac:dyDescent="0.25">
      <c r="B3196" s="40"/>
      <c r="C3196" s="40"/>
      <c r="E3196" s="80"/>
    </row>
    <row r="3197" spans="2:5" x14ac:dyDescent="0.25">
      <c r="B3197" s="40"/>
      <c r="C3197" s="40"/>
      <c r="E3197" s="80"/>
    </row>
    <row r="3198" spans="2:5" x14ac:dyDescent="0.25">
      <c r="B3198" s="40"/>
      <c r="C3198" s="40"/>
      <c r="E3198" s="80"/>
    </row>
    <row r="3199" spans="2:5" x14ac:dyDescent="0.25">
      <c r="B3199" s="40"/>
      <c r="C3199" s="40"/>
      <c r="E3199" s="80"/>
    </row>
    <row r="3200" spans="2:5" x14ac:dyDescent="0.25">
      <c r="B3200" s="40"/>
      <c r="C3200" s="40"/>
      <c r="E3200" s="80"/>
    </row>
    <row r="3201" spans="2:5" x14ac:dyDescent="0.25">
      <c r="B3201" s="40"/>
      <c r="C3201" s="40"/>
      <c r="E3201" s="80"/>
    </row>
    <row r="3202" spans="2:5" x14ac:dyDescent="0.25">
      <c r="B3202" s="40"/>
      <c r="C3202" s="40"/>
      <c r="E3202" s="80"/>
    </row>
    <row r="3203" spans="2:5" x14ac:dyDescent="0.25">
      <c r="B3203" s="40"/>
      <c r="C3203" s="40"/>
      <c r="E3203" s="80"/>
    </row>
    <row r="3204" spans="2:5" x14ac:dyDescent="0.25">
      <c r="B3204" s="40"/>
      <c r="C3204" s="40"/>
      <c r="E3204" s="80"/>
    </row>
    <row r="3205" spans="2:5" x14ac:dyDescent="0.25">
      <c r="B3205" s="40"/>
      <c r="C3205" s="40"/>
      <c r="E3205" s="80"/>
    </row>
    <row r="3206" spans="2:5" x14ac:dyDescent="0.25">
      <c r="B3206" s="40"/>
      <c r="C3206" s="40"/>
      <c r="E3206" s="80"/>
    </row>
    <row r="3207" spans="2:5" x14ac:dyDescent="0.25">
      <c r="B3207" s="40"/>
      <c r="C3207" s="40"/>
      <c r="E3207" s="80"/>
    </row>
    <row r="3208" spans="2:5" x14ac:dyDescent="0.25">
      <c r="B3208" s="40"/>
      <c r="C3208" s="40"/>
      <c r="E3208" s="80"/>
    </row>
    <row r="3209" spans="2:5" x14ac:dyDescent="0.25">
      <c r="B3209" s="40"/>
      <c r="C3209" s="40"/>
      <c r="E3209" s="80"/>
    </row>
    <row r="3210" spans="2:5" x14ac:dyDescent="0.25">
      <c r="B3210" s="40"/>
      <c r="C3210" s="40"/>
      <c r="E3210" s="80"/>
    </row>
    <row r="3211" spans="2:5" x14ac:dyDescent="0.25">
      <c r="B3211" s="40"/>
      <c r="C3211" s="40"/>
      <c r="E3211" s="80"/>
    </row>
    <row r="3212" spans="2:5" x14ac:dyDescent="0.25">
      <c r="B3212" s="40"/>
      <c r="C3212" s="40"/>
      <c r="E3212" s="80"/>
    </row>
    <row r="3213" spans="2:5" x14ac:dyDescent="0.25">
      <c r="B3213" s="40"/>
      <c r="C3213" s="40"/>
      <c r="E3213" s="80"/>
    </row>
    <row r="3214" spans="2:5" x14ac:dyDescent="0.25">
      <c r="B3214" s="40"/>
      <c r="C3214" s="40"/>
      <c r="E3214" s="80"/>
    </row>
    <row r="3215" spans="2:5" x14ac:dyDescent="0.25">
      <c r="B3215" s="40"/>
      <c r="C3215" s="40"/>
      <c r="E3215" s="80"/>
    </row>
    <row r="3216" spans="2:5" x14ac:dyDescent="0.25">
      <c r="B3216" s="40"/>
      <c r="C3216" s="40"/>
      <c r="E3216" s="80"/>
    </row>
    <row r="3217" spans="2:5" x14ac:dyDescent="0.25">
      <c r="B3217" s="40"/>
      <c r="C3217" s="40"/>
      <c r="E3217" s="80"/>
    </row>
    <row r="3218" spans="2:5" x14ac:dyDescent="0.25">
      <c r="B3218" s="40"/>
      <c r="C3218" s="40"/>
      <c r="E3218" s="80"/>
    </row>
    <row r="3219" spans="2:5" x14ac:dyDescent="0.25">
      <c r="B3219" s="40"/>
      <c r="C3219" s="40"/>
      <c r="E3219" s="80"/>
    </row>
    <row r="3220" spans="2:5" x14ac:dyDescent="0.25">
      <c r="B3220" s="40"/>
      <c r="C3220" s="40"/>
      <c r="E3220" s="80"/>
    </row>
    <row r="3221" spans="2:5" x14ac:dyDescent="0.25">
      <c r="B3221" s="40"/>
      <c r="C3221" s="40"/>
      <c r="E3221" s="80"/>
    </row>
    <row r="3222" spans="2:5" x14ac:dyDescent="0.25">
      <c r="B3222" s="40"/>
      <c r="C3222" s="40"/>
      <c r="E3222" s="80"/>
    </row>
    <row r="3223" spans="2:5" x14ac:dyDescent="0.25">
      <c r="B3223" s="40"/>
      <c r="C3223" s="40"/>
      <c r="E3223" s="80"/>
    </row>
    <row r="3224" spans="2:5" x14ac:dyDescent="0.25">
      <c r="B3224" s="40"/>
      <c r="C3224" s="40"/>
      <c r="E3224" s="80"/>
    </row>
    <row r="3225" spans="2:5" x14ac:dyDescent="0.25">
      <c r="B3225" s="40"/>
      <c r="C3225" s="40"/>
      <c r="E3225" s="80"/>
    </row>
    <row r="3226" spans="2:5" x14ac:dyDescent="0.25">
      <c r="B3226" s="40"/>
      <c r="C3226" s="40"/>
      <c r="E3226" s="80"/>
    </row>
    <row r="3227" spans="2:5" x14ac:dyDescent="0.25">
      <c r="B3227" s="40"/>
      <c r="C3227" s="40"/>
      <c r="E3227" s="80"/>
    </row>
    <row r="3228" spans="2:5" x14ac:dyDescent="0.25">
      <c r="B3228" s="40"/>
      <c r="C3228" s="40"/>
      <c r="E3228" s="80"/>
    </row>
    <row r="3229" spans="2:5" x14ac:dyDescent="0.25">
      <c r="B3229" s="40"/>
      <c r="C3229" s="40"/>
      <c r="E3229" s="80"/>
    </row>
    <row r="3230" spans="2:5" x14ac:dyDescent="0.25">
      <c r="B3230" s="40"/>
      <c r="C3230" s="40"/>
      <c r="E3230" s="80"/>
    </row>
    <row r="3231" spans="2:5" x14ac:dyDescent="0.25">
      <c r="B3231" s="40"/>
      <c r="C3231" s="40"/>
      <c r="E3231" s="80"/>
    </row>
    <row r="3232" spans="2:5" x14ac:dyDescent="0.25">
      <c r="B3232" s="40"/>
      <c r="C3232" s="40"/>
      <c r="E3232" s="80"/>
    </row>
    <row r="3233" spans="2:5" x14ac:dyDescent="0.25">
      <c r="B3233" s="40"/>
      <c r="C3233" s="40"/>
      <c r="E3233" s="80"/>
    </row>
    <row r="3234" spans="2:5" x14ac:dyDescent="0.25">
      <c r="B3234" s="40"/>
      <c r="C3234" s="40"/>
      <c r="E3234" s="80"/>
    </row>
    <row r="3235" spans="2:5" x14ac:dyDescent="0.25">
      <c r="B3235" s="40"/>
      <c r="C3235" s="40"/>
      <c r="E3235" s="80"/>
    </row>
    <row r="3236" spans="2:5" x14ac:dyDescent="0.25">
      <c r="B3236" s="40"/>
      <c r="C3236" s="40"/>
      <c r="E3236" s="80"/>
    </row>
    <row r="3237" spans="2:5" x14ac:dyDescent="0.25">
      <c r="B3237" s="40"/>
      <c r="C3237" s="40"/>
      <c r="E3237" s="80"/>
    </row>
    <row r="3238" spans="2:5" x14ac:dyDescent="0.25">
      <c r="B3238" s="40"/>
      <c r="C3238" s="40"/>
      <c r="E3238" s="80"/>
    </row>
    <row r="3239" spans="2:5" x14ac:dyDescent="0.25">
      <c r="B3239" s="40"/>
      <c r="C3239" s="40"/>
      <c r="E3239" s="80"/>
    </row>
    <row r="3240" spans="2:5" x14ac:dyDescent="0.25">
      <c r="B3240" s="40"/>
      <c r="C3240" s="40"/>
      <c r="E3240" s="80"/>
    </row>
    <row r="3241" spans="2:5" x14ac:dyDescent="0.25">
      <c r="B3241" s="40"/>
      <c r="C3241" s="40"/>
      <c r="E3241" s="80"/>
    </row>
    <row r="3242" spans="2:5" x14ac:dyDescent="0.25">
      <c r="B3242" s="40"/>
      <c r="C3242" s="40"/>
      <c r="E3242" s="80"/>
    </row>
    <row r="3243" spans="2:5" x14ac:dyDescent="0.25">
      <c r="B3243" s="40"/>
      <c r="C3243" s="40"/>
      <c r="E3243" s="80"/>
    </row>
    <row r="3244" spans="2:5" x14ac:dyDescent="0.25">
      <c r="B3244" s="40"/>
      <c r="C3244" s="40"/>
      <c r="E3244" s="80"/>
    </row>
    <row r="3245" spans="2:5" x14ac:dyDescent="0.25">
      <c r="B3245" s="40"/>
      <c r="C3245" s="40"/>
      <c r="E3245" s="80"/>
    </row>
    <row r="3246" spans="2:5" x14ac:dyDescent="0.25">
      <c r="B3246" s="40"/>
      <c r="C3246" s="40"/>
      <c r="E3246" s="80"/>
    </row>
    <row r="3247" spans="2:5" x14ac:dyDescent="0.25">
      <c r="B3247" s="40"/>
      <c r="C3247" s="40"/>
      <c r="E3247" s="80"/>
    </row>
    <row r="3248" spans="2:5" x14ac:dyDescent="0.25">
      <c r="B3248" s="40"/>
      <c r="C3248" s="40"/>
      <c r="E3248" s="80"/>
    </row>
    <row r="3249" spans="2:5" x14ac:dyDescent="0.25">
      <c r="B3249" s="40"/>
      <c r="C3249" s="40"/>
      <c r="E3249" s="80"/>
    </row>
    <row r="3250" spans="2:5" x14ac:dyDescent="0.25">
      <c r="B3250" s="40"/>
      <c r="C3250" s="40"/>
      <c r="E3250" s="80"/>
    </row>
    <row r="3251" spans="2:5" x14ac:dyDescent="0.25">
      <c r="B3251" s="40"/>
      <c r="C3251" s="40"/>
      <c r="E3251" s="80"/>
    </row>
    <row r="3252" spans="2:5" x14ac:dyDescent="0.25">
      <c r="B3252" s="40"/>
      <c r="C3252" s="40"/>
      <c r="E3252" s="80"/>
    </row>
    <row r="3253" spans="2:5" x14ac:dyDescent="0.25">
      <c r="B3253" s="40"/>
      <c r="C3253" s="40"/>
      <c r="E3253" s="80"/>
    </row>
    <row r="3254" spans="2:5" x14ac:dyDescent="0.25">
      <c r="B3254" s="40"/>
      <c r="C3254" s="40"/>
      <c r="E3254" s="80"/>
    </row>
    <row r="3255" spans="2:5" x14ac:dyDescent="0.25">
      <c r="B3255" s="40"/>
      <c r="C3255" s="40"/>
      <c r="E3255" s="80"/>
    </row>
    <row r="3256" spans="2:5" x14ac:dyDescent="0.25">
      <c r="B3256" s="40"/>
      <c r="C3256" s="40"/>
      <c r="E3256" s="80"/>
    </row>
    <row r="3257" spans="2:5" x14ac:dyDescent="0.25">
      <c r="B3257" s="40"/>
      <c r="C3257" s="40"/>
      <c r="E3257" s="80"/>
    </row>
    <row r="3258" spans="2:5" x14ac:dyDescent="0.25">
      <c r="B3258" s="40"/>
      <c r="C3258" s="40"/>
      <c r="E3258" s="80"/>
    </row>
    <row r="3259" spans="2:5" x14ac:dyDescent="0.25">
      <c r="B3259" s="40"/>
      <c r="C3259" s="40"/>
      <c r="E3259" s="80"/>
    </row>
    <row r="3260" spans="2:5" x14ac:dyDescent="0.25">
      <c r="B3260" s="40"/>
      <c r="C3260" s="40"/>
      <c r="E3260" s="80"/>
    </row>
    <row r="3261" spans="2:5" x14ac:dyDescent="0.25">
      <c r="B3261" s="40"/>
      <c r="C3261" s="40"/>
      <c r="E3261" s="80"/>
    </row>
    <row r="3262" spans="2:5" x14ac:dyDescent="0.25">
      <c r="B3262" s="40"/>
      <c r="C3262" s="40"/>
      <c r="E3262" s="80"/>
    </row>
    <row r="3263" spans="2:5" x14ac:dyDescent="0.25">
      <c r="B3263" s="40"/>
      <c r="C3263" s="40"/>
      <c r="E3263" s="80"/>
    </row>
    <row r="3264" spans="2:5" x14ac:dyDescent="0.25">
      <c r="B3264" s="40"/>
      <c r="C3264" s="40"/>
      <c r="E3264" s="80"/>
    </row>
    <row r="3265" spans="2:5" x14ac:dyDescent="0.25">
      <c r="B3265" s="40"/>
      <c r="C3265" s="40"/>
      <c r="E3265" s="80"/>
    </row>
    <row r="3266" spans="2:5" x14ac:dyDescent="0.25">
      <c r="B3266" s="40"/>
      <c r="C3266" s="40"/>
      <c r="E3266" s="80"/>
    </row>
    <row r="3267" spans="2:5" x14ac:dyDescent="0.25">
      <c r="B3267" s="40"/>
      <c r="C3267" s="40"/>
      <c r="E3267" s="80"/>
    </row>
    <row r="3268" spans="2:5" x14ac:dyDescent="0.25">
      <c r="B3268" s="40"/>
      <c r="C3268" s="40"/>
      <c r="E3268" s="80"/>
    </row>
    <row r="3269" spans="2:5" x14ac:dyDescent="0.25">
      <c r="B3269" s="40"/>
      <c r="C3269" s="40"/>
      <c r="E3269" s="80"/>
    </row>
    <row r="3270" spans="2:5" x14ac:dyDescent="0.25">
      <c r="B3270" s="40"/>
      <c r="C3270" s="40"/>
      <c r="E3270" s="80"/>
    </row>
    <row r="3271" spans="2:5" x14ac:dyDescent="0.25">
      <c r="B3271" s="40"/>
      <c r="C3271" s="40"/>
      <c r="E3271" s="80"/>
    </row>
    <row r="3272" spans="2:5" x14ac:dyDescent="0.25">
      <c r="B3272" s="40"/>
      <c r="C3272" s="40"/>
      <c r="E3272" s="80"/>
    </row>
    <row r="3273" spans="2:5" x14ac:dyDescent="0.25">
      <c r="B3273" s="40"/>
      <c r="C3273" s="40"/>
      <c r="E3273" s="80"/>
    </row>
    <row r="3274" spans="2:5" x14ac:dyDescent="0.25">
      <c r="B3274" s="40"/>
      <c r="C3274" s="40"/>
      <c r="E3274" s="80"/>
    </row>
    <row r="3275" spans="2:5" x14ac:dyDescent="0.25">
      <c r="B3275" s="40"/>
      <c r="C3275" s="40"/>
      <c r="E3275" s="80"/>
    </row>
    <row r="3276" spans="2:5" x14ac:dyDescent="0.25">
      <c r="B3276" s="40"/>
      <c r="C3276" s="40"/>
      <c r="E3276" s="80"/>
    </row>
    <row r="3277" spans="2:5" x14ac:dyDescent="0.25">
      <c r="B3277" s="40"/>
      <c r="C3277" s="40"/>
      <c r="E3277" s="80"/>
    </row>
    <row r="3278" spans="2:5" x14ac:dyDescent="0.25">
      <c r="B3278" s="40"/>
      <c r="C3278" s="40"/>
      <c r="E3278" s="80"/>
    </row>
    <row r="3279" spans="2:5" x14ac:dyDescent="0.25">
      <c r="B3279" s="40"/>
      <c r="C3279" s="40"/>
      <c r="E3279" s="80"/>
    </row>
    <row r="3280" spans="2:5" x14ac:dyDescent="0.25">
      <c r="B3280" s="40"/>
      <c r="C3280" s="40"/>
      <c r="E3280" s="80"/>
    </row>
    <row r="3281" spans="2:5" x14ac:dyDescent="0.25">
      <c r="B3281" s="40"/>
      <c r="C3281" s="40"/>
      <c r="E3281" s="80"/>
    </row>
    <row r="3282" spans="2:5" x14ac:dyDescent="0.25">
      <c r="B3282" s="40"/>
      <c r="C3282" s="40"/>
      <c r="E3282" s="80"/>
    </row>
    <row r="3283" spans="2:5" x14ac:dyDescent="0.25">
      <c r="B3283" s="40"/>
      <c r="C3283" s="40"/>
      <c r="E3283" s="80"/>
    </row>
    <row r="3284" spans="2:5" x14ac:dyDescent="0.25">
      <c r="B3284" s="40"/>
      <c r="C3284" s="40"/>
      <c r="E3284" s="80"/>
    </row>
    <row r="3285" spans="2:5" x14ac:dyDescent="0.25">
      <c r="B3285" s="40"/>
      <c r="C3285" s="40"/>
      <c r="E3285" s="80"/>
    </row>
    <row r="3286" spans="2:5" x14ac:dyDescent="0.25">
      <c r="B3286" s="40"/>
      <c r="C3286" s="40"/>
      <c r="E3286" s="80"/>
    </row>
    <row r="3287" spans="2:5" x14ac:dyDescent="0.25">
      <c r="B3287" s="40"/>
      <c r="C3287" s="40"/>
      <c r="E3287" s="80"/>
    </row>
    <row r="3288" spans="2:5" x14ac:dyDescent="0.25">
      <c r="B3288" s="40"/>
      <c r="C3288" s="40"/>
      <c r="E3288" s="80"/>
    </row>
    <row r="3289" spans="2:5" x14ac:dyDescent="0.25">
      <c r="B3289" s="40"/>
      <c r="C3289" s="40"/>
      <c r="E3289" s="80"/>
    </row>
    <row r="3290" spans="2:5" x14ac:dyDescent="0.25">
      <c r="B3290" s="40"/>
      <c r="C3290" s="40"/>
      <c r="E3290" s="80"/>
    </row>
    <row r="3291" spans="2:5" x14ac:dyDescent="0.25">
      <c r="B3291" s="40"/>
      <c r="C3291" s="40"/>
      <c r="E3291" s="80"/>
    </row>
    <row r="3292" spans="2:5" x14ac:dyDescent="0.25">
      <c r="B3292" s="40"/>
      <c r="C3292" s="40"/>
      <c r="E3292" s="80"/>
    </row>
    <row r="3293" spans="2:5" x14ac:dyDescent="0.25">
      <c r="B3293" s="40"/>
      <c r="C3293" s="40"/>
      <c r="E3293" s="80"/>
    </row>
    <row r="3294" spans="2:5" x14ac:dyDescent="0.25">
      <c r="B3294" s="40"/>
      <c r="C3294" s="40"/>
      <c r="E3294" s="80"/>
    </row>
    <row r="3295" spans="2:5" x14ac:dyDescent="0.25">
      <c r="B3295" s="40"/>
      <c r="C3295" s="40"/>
      <c r="E3295" s="80"/>
    </row>
    <row r="3296" spans="2:5" x14ac:dyDescent="0.25">
      <c r="B3296" s="40"/>
      <c r="C3296" s="40"/>
      <c r="E3296" s="80"/>
    </row>
    <row r="3297" spans="2:5" x14ac:dyDescent="0.25">
      <c r="B3297" s="40"/>
      <c r="C3297" s="40"/>
      <c r="E3297" s="80"/>
    </row>
    <row r="3298" spans="2:5" x14ac:dyDescent="0.25">
      <c r="B3298" s="40"/>
      <c r="C3298" s="40"/>
      <c r="E3298" s="80"/>
    </row>
    <row r="3299" spans="2:5" x14ac:dyDescent="0.25">
      <c r="B3299" s="40"/>
      <c r="C3299" s="40"/>
      <c r="E3299" s="80"/>
    </row>
    <row r="3300" spans="2:5" x14ac:dyDescent="0.25">
      <c r="B3300" s="40"/>
      <c r="C3300" s="40"/>
      <c r="E3300" s="80"/>
    </row>
    <row r="3301" spans="2:5" x14ac:dyDescent="0.25">
      <c r="B3301" s="40"/>
      <c r="C3301" s="40"/>
      <c r="E3301" s="80"/>
    </row>
    <row r="3302" spans="2:5" x14ac:dyDescent="0.25">
      <c r="B3302" s="40"/>
      <c r="C3302" s="40"/>
      <c r="E3302" s="80"/>
    </row>
    <row r="3303" spans="2:5" x14ac:dyDescent="0.25">
      <c r="B3303" s="40"/>
      <c r="C3303" s="40"/>
      <c r="E3303" s="80"/>
    </row>
    <row r="3304" spans="2:5" x14ac:dyDescent="0.25">
      <c r="B3304" s="40"/>
      <c r="C3304" s="40"/>
      <c r="E3304" s="80"/>
    </row>
    <row r="3305" spans="2:5" x14ac:dyDescent="0.25">
      <c r="B3305" s="40"/>
      <c r="C3305" s="40"/>
      <c r="E3305" s="80"/>
    </row>
    <row r="3306" spans="2:5" x14ac:dyDescent="0.25">
      <c r="B3306" s="40"/>
      <c r="C3306" s="40"/>
      <c r="E3306" s="80"/>
    </row>
    <row r="3307" spans="2:5" x14ac:dyDescent="0.25">
      <c r="B3307" s="40"/>
      <c r="C3307" s="40"/>
      <c r="E3307" s="80"/>
    </row>
    <row r="3308" spans="2:5" x14ac:dyDescent="0.25">
      <c r="B3308" s="40"/>
      <c r="C3308" s="40"/>
      <c r="E3308" s="80"/>
    </row>
    <row r="3309" spans="2:5" x14ac:dyDescent="0.25">
      <c r="B3309" s="40"/>
      <c r="C3309" s="40"/>
      <c r="E3309" s="80"/>
    </row>
    <row r="3310" spans="2:5" x14ac:dyDescent="0.25">
      <c r="B3310" s="40"/>
      <c r="C3310" s="40"/>
      <c r="E3310" s="80"/>
    </row>
    <row r="3311" spans="2:5" x14ac:dyDescent="0.25">
      <c r="B3311" s="40"/>
      <c r="C3311" s="40"/>
      <c r="E3311" s="80"/>
    </row>
    <row r="3312" spans="2:5" x14ac:dyDescent="0.25">
      <c r="B3312" s="40"/>
      <c r="C3312" s="40"/>
      <c r="E3312" s="80"/>
    </row>
    <row r="3313" spans="2:5" x14ac:dyDescent="0.25">
      <c r="B3313" s="40"/>
      <c r="C3313" s="40"/>
      <c r="E3313" s="80"/>
    </row>
    <row r="3314" spans="2:5" x14ac:dyDescent="0.25">
      <c r="B3314" s="40"/>
      <c r="C3314" s="40"/>
      <c r="E3314" s="80"/>
    </row>
    <row r="3315" spans="2:5" x14ac:dyDescent="0.25">
      <c r="B3315" s="40"/>
      <c r="C3315" s="40"/>
      <c r="E3315" s="80"/>
    </row>
    <row r="3316" spans="2:5" x14ac:dyDescent="0.25">
      <c r="B3316" s="40"/>
      <c r="C3316" s="40"/>
      <c r="E3316" s="80"/>
    </row>
    <row r="3317" spans="2:5" x14ac:dyDescent="0.25">
      <c r="B3317" s="40"/>
      <c r="C3317" s="40"/>
      <c r="E3317" s="80"/>
    </row>
    <row r="3318" spans="2:5" x14ac:dyDescent="0.25">
      <c r="B3318" s="40"/>
      <c r="C3318" s="40"/>
      <c r="E3318" s="80"/>
    </row>
    <row r="3319" spans="2:5" x14ac:dyDescent="0.25">
      <c r="B3319" s="40"/>
      <c r="C3319" s="40"/>
      <c r="E3319" s="80"/>
    </row>
    <row r="3320" spans="2:5" x14ac:dyDescent="0.25">
      <c r="B3320" s="40"/>
      <c r="C3320" s="40"/>
      <c r="E3320" s="80"/>
    </row>
    <row r="3321" spans="2:5" x14ac:dyDescent="0.25">
      <c r="B3321" s="40"/>
      <c r="C3321" s="40"/>
      <c r="E3321" s="80"/>
    </row>
    <row r="3322" spans="2:5" x14ac:dyDescent="0.25">
      <c r="B3322" s="40"/>
      <c r="C3322" s="40"/>
      <c r="E3322" s="80"/>
    </row>
    <row r="3323" spans="2:5" x14ac:dyDescent="0.25">
      <c r="B3323" s="40"/>
      <c r="C3323" s="40"/>
      <c r="E3323" s="80"/>
    </row>
    <row r="3324" spans="2:5" x14ac:dyDescent="0.25">
      <c r="B3324" s="40"/>
      <c r="C3324" s="40"/>
      <c r="E3324" s="80"/>
    </row>
    <row r="3325" spans="2:5" x14ac:dyDescent="0.25">
      <c r="B3325" s="40"/>
      <c r="C3325" s="40"/>
      <c r="E3325" s="80"/>
    </row>
    <row r="3326" spans="2:5" x14ac:dyDescent="0.25">
      <c r="B3326" s="40"/>
      <c r="C3326" s="40"/>
      <c r="E3326" s="80"/>
    </row>
    <row r="3327" spans="2:5" x14ac:dyDescent="0.25">
      <c r="B3327" s="40"/>
      <c r="C3327" s="40"/>
      <c r="E3327" s="80"/>
    </row>
    <row r="3328" spans="2:5" x14ac:dyDescent="0.25">
      <c r="B3328" s="40"/>
      <c r="C3328" s="40"/>
      <c r="E3328" s="80"/>
    </row>
    <row r="3329" spans="2:5" x14ac:dyDescent="0.25">
      <c r="B3329" s="40"/>
      <c r="C3329" s="40"/>
      <c r="E3329" s="80"/>
    </row>
    <row r="3330" spans="2:5" x14ac:dyDescent="0.25">
      <c r="B3330" s="40"/>
      <c r="C3330" s="40"/>
      <c r="E3330" s="80"/>
    </row>
    <row r="3331" spans="2:5" x14ac:dyDescent="0.25">
      <c r="B3331" s="40"/>
      <c r="C3331" s="40"/>
      <c r="E3331" s="80"/>
    </row>
    <row r="3332" spans="2:5" x14ac:dyDescent="0.25">
      <c r="B3332" s="40"/>
      <c r="C3332" s="40"/>
      <c r="E3332" s="80"/>
    </row>
    <row r="3333" spans="2:5" x14ac:dyDescent="0.25">
      <c r="B3333" s="40"/>
      <c r="C3333" s="40"/>
      <c r="E3333" s="80"/>
    </row>
    <row r="3334" spans="2:5" x14ac:dyDescent="0.25">
      <c r="B3334" s="40"/>
      <c r="C3334" s="40"/>
      <c r="E3334" s="80"/>
    </row>
    <row r="3335" spans="2:5" x14ac:dyDescent="0.25">
      <c r="B3335" s="40"/>
      <c r="C3335" s="40"/>
      <c r="E3335" s="80"/>
    </row>
    <row r="3336" spans="2:5" x14ac:dyDescent="0.25">
      <c r="B3336" s="40"/>
      <c r="C3336" s="40"/>
      <c r="E3336" s="80"/>
    </row>
    <row r="3337" spans="2:5" x14ac:dyDescent="0.25">
      <c r="B3337" s="40"/>
      <c r="C3337" s="40"/>
      <c r="E3337" s="80"/>
    </row>
    <row r="3338" spans="2:5" x14ac:dyDescent="0.25">
      <c r="B3338" s="40"/>
      <c r="C3338" s="40"/>
      <c r="E3338" s="80"/>
    </row>
    <row r="3339" spans="2:5" x14ac:dyDescent="0.25">
      <c r="B3339" s="40"/>
      <c r="C3339" s="40"/>
      <c r="E3339" s="80"/>
    </row>
    <row r="3340" spans="2:5" x14ac:dyDescent="0.25">
      <c r="B3340" s="40"/>
      <c r="C3340" s="40"/>
      <c r="E3340" s="80"/>
    </row>
    <row r="3341" spans="2:5" x14ac:dyDescent="0.25">
      <c r="B3341" s="40"/>
      <c r="C3341" s="40"/>
      <c r="E3341" s="80"/>
    </row>
    <row r="3342" spans="2:5" x14ac:dyDescent="0.25">
      <c r="B3342" s="40"/>
      <c r="C3342" s="40"/>
      <c r="E3342" s="80"/>
    </row>
    <row r="3343" spans="2:5" x14ac:dyDescent="0.25">
      <c r="B3343" s="40"/>
      <c r="C3343" s="40"/>
      <c r="E3343" s="80"/>
    </row>
    <row r="3344" spans="2:5" x14ac:dyDescent="0.25">
      <c r="B3344" s="40"/>
      <c r="C3344" s="40"/>
      <c r="E3344" s="80"/>
    </row>
    <row r="3345" spans="2:5" x14ac:dyDescent="0.25">
      <c r="B3345" s="40"/>
      <c r="C3345" s="40"/>
      <c r="E3345" s="80"/>
    </row>
    <row r="3346" spans="2:5" x14ac:dyDescent="0.25">
      <c r="B3346" s="40"/>
      <c r="C3346" s="40"/>
      <c r="E3346" s="80"/>
    </row>
    <row r="3347" spans="2:5" x14ac:dyDescent="0.25">
      <c r="B3347" s="40"/>
      <c r="C3347" s="40"/>
      <c r="E3347" s="80"/>
    </row>
    <row r="3348" spans="2:5" x14ac:dyDescent="0.25">
      <c r="B3348" s="40"/>
      <c r="C3348" s="40"/>
      <c r="E3348" s="80"/>
    </row>
    <row r="3349" spans="2:5" x14ac:dyDescent="0.25">
      <c r="B3349" s="40"/>
      <c r="C3349" s="40"/>
      <c r="E3349" s="80"/>
    </row>
    <row r="3350" spans="2:5" x14ac:dyDescent="0.25">
      <c r="B3350" s="40"/>
      <c r="C3350" s="40"/>
      <c r="E3350" s="80"/>
    </row>
    <row r="3351" spans="2:5" x14ac:dyDescent="0.25">
      <c r="B3351" s="40"/>
      <c r="C3351" s="40"/>
      <c r="E3351" s="80"/>
    </row>
    <row r="3352" spans="2:5" x14ac:dyDescent="0.25">
      <c r="B3352" s="40"/>
      <c r="C3352" s="40"/>
      <c r="E3352" s="80"/>
    </row>
    <row r="3353" spans="2:5" x14ac:dyDescent="0.25">
      <c r="B3353" s="40"/>
      <c r="C3353" s="40"/>
      <c r="E3353" s="80"/>
    </row>
    <row r="3354" spans="2:5" x14ac:dyDescent="0.25">
      <c r="B3354" s="40"/>
      <c r="C3354" s="40"/>
      <c r="E3354" s="80"/>
    </row>
    <row r="3355" spans="2:5" x14ac:dyDescent="0.25">
      <c r="B3355" s="40"/>
      <c r="C3355" s="40"/>
      <c r="E3355" s="80"/>
    </row>
    <row r="3356" spans="2:5" x14ac:dyDescent="0.25">
      <c r="B3356" s="40"/>
      <c r="C3356" s="40"/>
      <c r="E3356" s="80"/>
    </row>
    <row r="3357" spans="2:5" x14ac:dyDescent="0.25">
      <c r="B3357" s="40"/>
      <c r="C3357" s="40"/>
      <c r="E3357" s="80"/>
    </row>
    <row r="3358" spans="2:5" x14ac:dyDescent="0.25">
      <c r="B3358" s="40"/>
      <c r="C3358" s="40"/>
      <c r="E3358" s="80"/>
    </row>
    <row r="3359" spans="2:5" x14ac:dyDescent="0.25">
      <c r="B3359" s="40"/>
      <c r="C3359" s="40"/>
      <c r="E3359" s="80"/>
    </row>
    <row r="3360" spans="2:5" x14ac:dyDescent="0.25">
      <c r="B3360" s="40"/>
      <c r="C3360" s="40"/>
      <c r="E3360" s="80"/>
    </row>
    <row r="3361" spans="2:5" x14ac:dyDescent="0.25">
      <c r="B3361" s="40"/>
      <c r="C3361" s="40"/>
      <c r="E3361" s="80"/>
    </row>
    <row r="3362" spans="2:5" x14ac:dyDescent="0.25">
      <c r="B3362" s="40"/>
      <c r="C3362" s="40"/>
      <c r="E3362" s="80"/>
    </row>
    <row r="3363" spans="2:5" x14ac:dyDescent="0.25">
      <c r="B3363" s="40"/>
      <c r="C3363" s="40"/>
      <c r="E3363" s="80"/>
    </row>
    <row r="3364" spans="2:5" x14ac:dyDescent="0.25">
      <c r="B3364" s="40"/>
      <c r="C3364" s="40"/>
      <c r="E3364" s="80"/>
    </row>
    <row r="3365" spans="2:5" x14ac:dyDescent="0.25">
      <c r="B3365" s="40"/>
      <c r="C3365" s="40"/>
      <c r="E3365" s="80"/>
    </row>
    <row r="3366" spans="2:5" x14ac:dyDescent="0.25">
      <c r="B3366" s="40"/>
      <c r="C3366" s="40"/>
      <c r="E3366" s="80"/>
    </row>
    <row r="3367" spans="2:5" x14ac:dyDescent="0.25">
      <c r="B3367" s="40"/>
      <c r="C3367" s="40"/>
      <c r="E3367" s="80"/>
    </row>
    <row r="3368" spans="2:5" x14ac:dyDescent="0.25">
      <c r="B3368" s="40"/>
      <c r="C3368" s="40"/>
      <c r="E3368" s="80"/>
    </row>
    <row r="3369" spans="2:5" x14ac:dyDescent="0.25">
      <c r="B3369" s="40"/>
      <c r="C3369" s="40"/>
      <c r="E3369" s="80"/>
    </row>
    <row r="3370" spans="2:5" x14ac:dyDescent="0.25">
      <c r="B3370" s="40"/>
      <c r="C3370" s="40"/>
      <c r="E3370" s="80"/>
    </row>
    <row r="3371" spans="2:5" x14ac:dyDescent="0.25">
      <c r="B3371" s="40"/>
      <c r="C3371" s="40"/>
      <c r="E3371" s="80"/>
    </row>
    <row r="3372" spans="2:5" x14ac:dyDescent="0.25">
      <c r="B3372" s="40"/>
      <c r="C3372" s="40"/>
      <c r="E3372" s="80"/>
    </row>
    <row r="3373" spans="2:5" x14ac:dyDescent="0.25">
      <c r="B3373" s="40"/>
      <c r="C3373" s="40"/>
      <c r="E3373" s="80"/>
    </row>
    <row r="3374" spans="2:5" x14ac:dyDescent="0.25">
      <c r="B3374" s="40"/>
      <c r="C3374" s="40"/>
      <c r="E3374" s="80"/>
    </row>
    <row r="3375" spans="2:5" x14ac:dyDescent="0.25">
      <c r="B3375" s="40"/>
      <c r="C3375" s="40"/>
      <c r="E3375" s="80"/>
    </row>
    <row r="3376" spans="2:5" x14ac:dyDescent="0.25">
      <c r="B3376" s="40"/>
      <c r="C3376" s="40"/>
      <c r="E3376" s="80"/>
    </row>
    <row r="3377" spans="2:5" x14ac:dyDescent="0.25">
      <c r="B3377" s="40"/>
      <c r="C3377" s="40"/>
      <c r="E3377" s="80"/>
    </row>
    <row r="3378" spans="2:5" x14ac:dyDescent="0.25">
      <c r="B3378" s="40"/>
      <c r="C3378" s="40"/>
      <c r="E3378" s="80"/>
    </row>
    <row r="3379" spans="2:5" x14ac:dyDescent="0.25">
      <c r="B3379" s="40"/>
      <c r="C3379" s="40"/>
      <c r="E3379" s="80"/>
    </row>
    <row r="3380" spans="2:5" x14ac:dyDescent="0.25">
      <c r="B3380" s="40"/>
      <c r="C3380" s="40"/>
      <c r="E3380" s="80"/>
    </row>
    <row r="3381" spans="2:5" x14ac:dyDescent="0.25">
      <c r="B3381" s="40"/>
      <c r="C3381" s="40"/>
      <c r="E3381" s="80"/>
    </row>
    <row r="3382" spans="2:5" x14ac:dyDescent="0.25">
      <c r="B3382" s="40"/>
      <c r="C3382" s="40"/>
      <c r="E3382" s="80"/>
    </row>
    <row r="3383" spans="2:5" x14ac:dyDescent="0.25">
      <c r="B3383" s="40"/>
      <c r="C3383" s="40"/>
      <c r="E3383" s="80"/>
    </row>
    <row r="3384" spans="2:5" x14ac:dyDescent="0.25">
      <c r="B3384" s="40"/>
      <c r="C3384" s="40"/>
      <c r="E3384" s="80"/>
    </row>
    <row r="3385" spans="2:5" x14ac:dyDescent="0.25">
      <c r="B3385" s="40"/>
      <c r="C3385" s="40"/>
      <c r="E3385" s="80"/>
    </row>
    <row r="3386" spans="2:5" x14ac:dyDescent="0.25">
      <c r="B3386" s="40"/>
      <c r="C3386" s="40"/>
      <c r="E3386" s="80"/>
    </row>
    <row r="3387" spans="2:5" x14ac:dyDescent="0.25">
      <c r="B3387" s="40"/>
      <c r="C3387" s="40"/>
      <c r="E3387" s="80"/>
    </row>
    <row r="3388" spans="2:5" x14ac:dyDescent="0.25">
      <c r="B3388" s="40"/>
      <c r="C3388" s="40"/>
      <c r="E3388" s="80"/>
    </row>
    <row r="3389" spans="2:5" x14ac:dyDescent="0.25">
      <c r="B3389" s="40"/>
      <c r="C3389" s="40"/>
      <c r="E3389" s="80"/>
    </row>
    <row r="3390" spans="2:5" x14ac:dyDescent="0.25">
      <c r="B3390" s="40"/>
      <c r="C3390" s="40"/>
      <c r="E3390" s="80"/>
    </row>
    <row r="3391" spans="2:5" x14ac:dyDescent="0.25">
      <c r="B3391" s="40"/>
      <c r="C3391" s="40"/>
      <c r="E3391" s="80"/>
    </row>
    <row r="3392" spans="2:5" x14ac:dyDescent="0.25">
      <c r="B3392" s="40"/>
      <c r="C3392" s="40"/>
      <c r="E3392" s="80"/>
    </row>
    <row r="3393" spans="2:5" x14ac:dyDescent="0.25">
      <c r="B3393" s="40"/>
      <c r="C3393" s="40"/>
      <c r="E3393" s="80"/>
    </row>
    <row r="3394" spans="2:5" x14ac:dyDescent="0.25">
      <c r="B3394" s="40"/>
      <c r="C3394" s="40"/>
      <c r="E3394" s="80"/>
    </row>
    <row r="3395" spans="2:5" x14ac:dyDescent="0.25">
      <c r="B3395" s="40"/>
      <c r="C3395" s="40"/>
      <c r="E3395" s="80"/>
    </row>
    <row r="3396" spans="2:5" x14ac:dyDescent="0.25">
      <c r="B3396" s="40"/>
      <c r="C3396" s="40"/>
      <c r="E3396" s="80"/>
    </row>
    <row r="3397" spans="2:5" x14ac:dyDescent="0.25">
      <c r="B3397" s="40"/>
      <c r="C3397" s="40"/>
      <c r="E3397" s="80"/>
    </row>
    <row r="3398" spans="2:5" x14ac:dyDescent="0.25">
      <c r="B3398" s="40"/>
      <c r="C3398" s="40"/>
      <c r="E3398" s="80"/>
    </row>
    <row r="3399" spans="2:5" x14ac:dyDescent="0.25">
      <c r="B3399" s="40"/>
      <c r="C3399" s="40"/>
      <c r="E3399" s="80"/>
    </row>
    <row r="3400" spans="2:5" x14ac:dyDescent="0.25">
      <c r="B3400" s="40"/>
      <c r="C3400" s="40"/>
      <c r="E3400" s="80"/>
    </row>
    <row r="3401" spans="2:5" x14ac:dyDescent="0.25">
      <c r="B3401" s="40"/>
      <c r="C3401" s="40"/>
      <c r="E3401" s="80"/>
    </row>
    <row r="3402" spans="2:5" x14ac:dyDescent="0.25">
      <c r="B3402" s="40"/>
      <c r="C3402" s="40"/>
      <c r="E3402" s="80"/>
    </row>
    <row r="3403" spans="2:5" x14ac:dyDescent="0.25">
      <c r="B3403" s="40"/>
      <c r="C3403" s="40"/>
      <c r="E3403" s="80"/>
    </row>
    <row r="3404" spans="2:5" x14ac:dyDescent="0.25">
      <c r="B3404" s="40"/>
      <c r="C3404" s="40"/>
      <c r="E3404" s="80"/>
    </row>
    <row r="3405" spans="2:5" x14ac:dyDescent="0.25">
      <c r="B3405" s="40"/>
      <c r="C3405" s="40"/>
      <c r="E3405" s="80"/>
    </row>
    <row r="3406" spans="2:5" x14ac:dyDescent="0.25">
      <c r="B3406" s="40"/>
      <c r="C3406" s="40"/>
      <c r="E3406" s="80"/>
    </row>
    <row r="3407" spans="2:5" x14ac:dyDescent="0.25">
      <c r="B3407" s="40"/>
      <c r="C3407" s="40"/>
      <c r="E3407" s="80"/>
    </row>
    <row r="3408" spans="2:5" x14ac:dyDescent="0.25">
      <c r="B3408" s="40"/>
      <c r="C3408" s="40"/>
      <c r="E3408" s="80"/>
    </row>
    <row r="3409" spans="2:5" x14ac:dyDescent="0.25">
      <c r="B3409" s="40"/>
      <c r="C3409" s="40"/>
      <c r="E3409" s="80"/>
    </row>
    <row r="3410" spans="2:5" x14ac:dyDescent="0.25">
      <c r="B3410" s="40"/>
      <c r="C3410" s="40"/>
      <c r="E3410" s="80"/>
    </row>
    <row r="3411" spans="2:5" x14ac:dyDescent="0.25">
      <c r="B3411" s="40"/>
      <c r="C3411" s="40"/>
      <c r="E3411" s="80"/>
    </row>
    <row r="3412" spans="2:5" x14ac:dyDescent="0.25">
      <c r="B3412" s="40"/>
      <c r="C3412" s="40"/>
      <c r="E3412" s="80"/>
    </row>
    <row r="3413" spans="2:5" x14ac:dyDescent="0.25">
      <c r="B3413" s="40"/>
      <c r="C3413" s="40"/>
      <c r="E3413" s="80"/>
    </row>
    <row r="3414" spans="2:5" x14ac:dyDescent="0.25">
      <c r="B3414" s="40"/>
      <c r="C3414" s="40"/>
      <c r="E3414" s="80"/>
    </row>
    <row r="3415" spans="2:5" x14ac:dyDescent="0.25">
      <c r="B3415" s="40"/>
      <c r="C3415" s="40"/>
      <c r="E3415" s="80"/>
    </row>
    <row r="3416" spans="2:5" x14ac:dyDescent="0.25">
      <c r="B3416" s="40"/>
      <c r="C3416" s="40"/>
      <c r="E3416" s="80"/>
    </row>
    <row r="3417" spans="2:5" x14ac:dyDescent="0.25">
      <c r="B3417" s="40"/>
      <c r="C3417" s="40"/>
      <c r="E3417" s="80"/>
    </row>
    <row r="3418" spans="2:5" x14ac:dyDescent="0.25">
      <c r="B3418" s="40"/>
      <c r="C3418" s="40"/>
      <c r="E3418" s="80"/>
    </row>
    <row r="3419" spans="2:5" x14ac:dyDescent="0.25">
      <c r="B3419" s="40"/>
      <c r="C3419" s="40"/>
      <c r="E3419" s="80"/>
    </row>
    <row r="3420" spans="2:5" x14ac:dyDescent="0.25">
      <c r="B3420" s="40"/>
      <c r="C3420" s="40"/>
      <c r="E3420" s="80"/>
    </row>
    <row r="3421" spans="2:5" x14ac:dyDescent="0.25">
      <c r="B3421" s="40"/>
      <c r="C3421" s="40"/>
      <c r="E3421" s="80"/>
    </row>
    <row r="3422" spans="2:5" x14ac:dyDescent="0.25">
      <c r="B3422" s="40"/>
      <c r="C3422" s="40"/>
      <c r="E3422" s="80"/>
    </row>
    <row r="3423" spans="2:5" x14ac:dyDescent="0.25">
      <c r="B3423" s="40"/>
      <c r="C3423" s="40"/>
      <c r="E3423" s="80"/>
    </row>
    <row r="3424" spans="2:5" x14ac:dyDescent="0.25">
      <c r="B3424" s="40"/>
      <c r="C3424" s="40"/>
      <c r="E3424" s="80"/>
    </row>
    <row r="3425" spans="2:5" x14ac:dyDescent="0.25">
      <c r="B3425" s="40"/>
      <c r="C3425" s="40"/>
      <c r="E3425" s="80"/>
    </row>
    <row r="3426" spans="2:5" x14ac:dyDescent="0.25">
      <c r="B3426" s="40"/>
      <c r="C3426" s="40"/>
      <c r="E3426" s="80"/>
    </row>
    <row r="3427" spans="2:5" x14ac:dyDescent="0.25">
      <c r="B3427" s="40"/>
      <c r="C3427" s="40"/>
      <c r="E3427" s="80"/>
    </row>
    <row r="3428" spans="2:5" x14ac:dyDescent="0.25">
      <c r="B3428" s="40"/>
      <c r="C3428" s="40"/>
      <c r="E3428" s="80"/>
    </row>
    <row r="3429" spans="2:5" x14ac:dyDescent="0.25">
      <c r="B3429" s="40"/>
      <c r="C3429" s="40"/>
      <c r="E3429" s="80"/>
    </row>
    <row r="3430" spans="2:5" x14ac:dyDescent="0.25">
      <c r="B3430" s="40"/>
      <c r="C3430" s="40"/>
      <c r="E3430" s="80"/>
    </row>
    <row r="3431" spans="2:5" x14ac:dyDescent="0.25">
      <c r="B3431" s="40"/>
      <c r="C3431" s="40"/>
      <c r="E3431" s="80"/>
    </row>
    <row r="3432" spans="2:5" x14ac:dyDescent="0.25">
      <c r="B3432" s="40"/>
      <c r="C3432" s="40"/>
      <c r="E3432" s="80"/>
    </row>
    <row r="3433" spans="2:5" x14ac:dyDescent="0.25">
      <c r="B3433" s="40"/>
      <c r="C3433" s="40"/>
      <c r="E3433" s="80"/>
    </row>
    <row r="3434" spans="2:5" x14ac:dyDescent="0.25">
      <c r="B3434" s="40"/>
      <c r="C3434" s="40"/>
      <c r="E3434" s="80"/>
    </row>
    <row r="3435" spans="2:5" x14ac:dyDescent="0.25">
      <c r="B3435" s="40"/>
      <c r="C3435" s="40"/>
      <c r="E3435" s="80"/>
    </row>
    <row r="3436" spans="2:5" x14ac:dyDescent="0.25">
      <c r="B3436" s="40"/>
      <c r="C3436" s="40"/>
      <c r="E3436" s="80"/>
    </row>
    <row r="3437" spans="2:5" x14ac:dyDescent="0.25">
      <c r="B3437" s="40"/>
      <c r="C3437" s="40"/>
      <c r="E3437" s="80"/>
    </row>
    <row r="3438" spans="2:5" x14ac:dyDescent="0.25">
      <c r="B3438" s="40"/>
      <c r="C3438" s="40"/>
      <c r="E3438" s="80"/>
    </row>
    <row r="3439" spans="2:5" x14ac:dyDescent="0.25">
      <c r="B3439" s="40"/>
      <c r="C3439" s="40"/>
      <c r="E3439" s="80"/>
    </row>
    <row r="3440" spans="2:5" x14ac:dyDescent="0.25">
      <c r="B3440" s="40"/>
      <c r="C3440" s="40"/>
      <c r="E3440" s="80"/>
    </row>
    <row r="3441" spans="2:5" x14ac:dyDescent="0.25">
      <c r="B3441" s="40"/>
      <c r="C3441" s="40"/>
      <c r="E3441" s="80"/>
    </row>
    <row r="3442" spans="2:5" x14ac:dyDescent="0.25">
      <c r="B3442" s="40"/>
      <c r="C3442" s="40"/>
      <c r="E3442" s="80"/>
    </row>
    <row r="3443" spans="2:5" x14ac:dyDescent="0.25">
      <c r="B3443" s="40"/>
      <c r="C3443" s="40"/>
      <c r="E3443" s="80"/>
    </row>
    <row r="3444" spans="2:5" x14ac:dyDescent="0.25">
      <c r="B3444" s="40"/>
      <c r="C3444" s="40"/>
      <c r="E3444" s="80"/>
    </row>
    <row r="3445" spans="2:5" x14ac:dyDescent="0.25">
      <c r="B3445" s="40"/>
      <c r="C3445" s="40"/>
      <c r="E3445" s="80"/>
    </row>
    <row r="3446" spans="2:5" x14ac:dyDescent="0.25">
      <c r="B3446" s="40"/>
      <c r="C3446" s="40"/>
      <c r="E3446" s="80"/>
    </row>
    <row r="3447" spans="2:5" x14ac:dyDescent="0.25">
      <c r="B3447" s="40"/>
      <c r="C3447" s="40"/>
      <c r="E3447" s="80"/>
    </row>
    <row r="3448" spans="2:5" x14ac:dyDescent="0.25">
      <c r="B3448" s="40"/>
      <c r="C3448" s="40"/>
      <c r="E3448" s="80"/>
    </row>
    <row r="3449" spans="2:5" x14ac:dyDescent="0.25">
      <c r="B3449" s="40"/>
      <c r="C3449" s="40"/>
      <c r="E3449" s="80"/>
    </row>
    <row r="3450" spans="2:5" x14ac:dyDescent="0.25">
      <c r="B3450" s="40"/>
      <c r="C3450" s="40"/>
      <c r="E3450" s="80"/>
    </row>
    <row r="3451" spans="2:5" x14ac:dyDescent="0.25">
      <c r="B3451" s="40"/>
      <c r="C3451" s="40"/>
      <c r="E3451" s="80"/>
    </row>
    <row r="3452" spans="2:5" x14ac:dyDescent="0.25">
      <c r="B3452" s="40"/>
      <c r="C3452" s="40"/>
      <c r="E3452" s="80"/>
    </row>
    <row r="3453" spans="2:5" x14ac:dyDescent="0.25">
      <c r="B3453" s="40"/>
      <c r="C3453" s="40"/>
      <c r="E3453" s="80"/>
    </row>
    <row r="3454" spans="2:5" x14ac:dyDescent="0.25">
      <c r="B3454" s="40"/>
      <c r="C3454" s="40"/>
      <c r="E3454" s="80"/>
    </row>
    <row r="3455" spans="2:5" x14ac:dyDescent="0.25">
      <c r="B3455" s="40"/>
      <c r="C3455" s="40"/>
      <c r="E3455" s="80"/>
    </row>
    <row r="3456" spans="2:5" x14ac:dyDescent="0.25">
      <c r="B3456" s="40"/>
      <c r="C3456" s="40"/>
      <c r="E3456" s="80"/>
    </row>
    <row r="3457" spans="2:5" x14ac:dyDescent="0.25">
      <c r="B3457" s="40"/>
      <c r="C3457" s="40"/>
      <c r="E3457" s="80"/>
    </row>
    <row r="3458" spans="2:5" x14ac:dyDescent="0.25">
      <c r="B3458" s="40"/>
      <c r="C3458" s="40"/>
      <c r="E3458" s="80"/>
    </row>
    <row r="3459" spans="2:5" x14ac:dyDescent="0.25">
      <c r="B3459" s="40"/>
      <c r="C3459" s="40"/>
      <c r="E3459" s="80"/>
    </row>
    <row r="3460" spans="2:5" x14ac:dyDescent="0.25">
      <c r="B3460" s="40"/>
      <c r="C3460" s="40"/>
      <c r="E3460" s="80"/>
    </row>
    <row r="3461" spans="2:5" x14ac:dyDescent="0.25">
      <c r="B3461" s="40"/>
      <c r="C3461" s="40"/>
      <c r="E3461" s="80"/>
    </row>
    <row r="3462" spans="2:5" x14ac:dyDescent="0.25">
      <c r="B3462" s="40"/>
      <c r="C3462" s="40"/>
      <c r="E3462" s="80"/>
    </row>
    <row r="3463" spans="2:5" x14ac:dyDescent="0.25">
      <c r="B3463" s="40"/>
      <c r="C3463" s="40"/>
      <c r="E3463" s="80"/>
    </row>
    <row r="3464" spans="2:5" x14ac:dyDescent="0.25">
      <c r="B3464" s="40"/>
      <c r="C3464" s="40"/>
      <c r="E3464" s="80"/>
    </row>
    <row r="3465" spans="2:5" x14ac:dyDescent="0.25">
      <c r="B3465" s="40"/>
      <c r="C3465" s="40"/>
      <c r="E3465" s="80"/>
    </row>
    <row r="3466" spans="2:5" x14ac:dyDescent="0.25">
      <c r="B3466" s="40"/>
      <c r="C3466" s="40"/>
      <c r="E3466" s="80"/>
    </row>
    <row r="3467" spans="2:5" x14ac:dyDescent="0.25">
      <c r="B3467" s="40"/>
      <c r="C3467" s="40"/>
      <c r="E3467" s="80"/>
    </row>
    <row r="3468" spans="2:5" x14ac:dyDescent="0.25">
      <c r="B3468" s="40"/>
      <c r="C3468" s="40"/>
      <c r="E3468" s="80"/>
    </row>
    <row r="3469" spans="2:5" x14ac:dyDescent="0.25">
      <c r="B3469" s="40"/>
      <c r="C3469" s="40"/>
      <c r="E3469" s="80"/>
    </row>
    <row r="3470" spans="2:5" x14ac:dyDescent="0.25">
      <c r="B3470" s="40"/>
      <c r="C3470" s="40"/>
      <c r="E3470" s="80"/>
    </row>
    <row r="3471" spans="2:5" x14ac:dyDescent="0.25">
      <c r="B3471" s="40"/>
      <c r="C3471" s="40"/>
      <c r="E3471" s="80"/>
    </row>
    <row r="3472" spans="2:5" x14ac:dyDescent="0.25">
      <c r="B3472" s="40"/>
      <c r="C3472" s="40"/>
      <c r="E3472" s="80"/>
    </row>
    <row r="3473" spans="2:5" x14ac:dyDescent="0.25">
      <c r="B3473" s="40"/>
      <c r="C3473" s="40"/>
      <c r="E3473" s="80"/>
    </row>
    <row r="3474" spans="2:5" x14ac:dyDescent="0.25">
      <c r="B3474" s="40"/>
      <c r="C3474" s="40"/>
      <c r="E3474" s="80"/>
    </row>
    <row r="3475" spans="2:5" x14ac:dyDescent="0.25">
      <c r="B3475" s="40"/>
      <c r="C3475" s="40"/>
      <c r="E3475" s="80"/>
    </row>
    <row r="3476" spans="2:5" x14ac:dyDescent="0.25">
      <c r="B3476" s="40"/>
      <c r="C3476" s="40"/>
      <c r="E3476" s="80"/>
    </row>
    <row r="3477" spans="2:5" x14ac:dyDescent="0.25">
      <c r="B3477" s="40"/>
      <c r="C3477" s="40"/>
      <c r="E3477" s="80"/>
    </row>
    <row r="3478" spans="2:5" x14ac:dyDescent="0.25">
      <c r="B3478" s="40"/>
      <c r="C3478" s="40"/>
      <c r="E3478" s="80"/>
    </row>
    <row r="3479" spans="2:5" x14ac:dyDescent="0.25">
      <c r="B3479" s="40"/>
      <c r="C3479" s="40"/>
      <c r="E3479" s="80"/>
    </row>
    <row r="3480" spans="2:5" x14ac:dyDescent="0.25">
      <c r="B3480" s="40"/>
      <c r="C3480" s="40"/>
      <c r="E3480" s="80"/>
    </row>
    <row r="3481" spans="2:5" x14ac:dyDescent="0.25">
      <c r="B3481" s="40"/>
      <c r="C3481" s="40"/>
      <c r="E3481" s="80"/>
    </row>
    <row r="3482" spans="2:5" x14ac:dyDescent="0.25">
      <c r="B3482" s="40"/>
      <c r="C3482" s="40"/>
      <c r="E3482" s="80"/>
    </row>
    <row r="3483" spans="2:5" x14ac:dyDescent="0.25">
      <c r="B3483" s="40"/>
      <c r="C3483" s="40"/>
      <c r="E3483" s="80"/>
    </row>
    <row r="3484" spans="2:5" x14ac:dyDescent="0.25">
      <c r="B3484" s="40"/>
      <c r="C3484" s="40"/>
      <c r="E3484" s="80"/>
    </row>
    <row r="3485" spans="2:5" x14ac:dyDescent="0.25">
      <c r="B3485" s="40"/>
      <c r="C3485" s="40"/>
      <c r="E3485" s="80"/>
    </row>
    <row r="3486" spans="2:5" x14ac:dyDescent="0.25">
      <c r="B3486" s="40"/>
      <c r="C3486" s="40"/>
      <c r="E3486" s="80"/>
    </row>
    <row r="3487" spans="2:5" x14ac:dyDescent="0.25">
      <c r="B3487" s="40"/>
      <c r="C3487" s="40"/>
      <c r="E3487" s="80"/>
    </row>
    <row r="3488" spans="2:5" x14ac:dyDescent="0.25">
      <c r="B3488" s="40"/>
      <c r="C3488" s="40"/>
      <c r="E3488" s="80"/>
    </row>
    <row r="3489" spans="2:5" x14ac:dyDescent="0.25">
      <c r="B3489" s="40"/>
      <c r="C3489" s="40"/>
      <c r="E3489" s="80"/>
    </row>
    <row r="3490" spans="2:5" x14ac:dyDescent="0.25">
      <c r="B3490" s="40"/>
      <c r="C3490" s="40"/>
      <c r="E3490" s="80"/>
    </row>
    <row r="3491" spans="2:5" x14ac:dyDescent="0.25">
      <c r="B3491" s="40"/>
      <c r="C3491" s="40"/>
      <c r="E3491" s="80"/>
    </row>
    <row r="3492" spans="2:5" x14ac:dyDescent="0.25">
      <c r="B3492" s="40"/>
      <c r="C3492" s="40"/>
      <c r="E3492" s="80"/>
    </row>
    <row r="3493" spans="2:5" x14ac:dyDescent="0.25">
      <c r="B3493" s="40"/>
      <c r="C3493" s="40"/>
      <c r="E3493" s="80"/>
    </row>
    <row r="3494" spans="2:5" x14ac:dyDescent="0.25">
      <c r="B3494" s="40"/>
      <c r="C3494" s="40"/>
      <c r="E3494" s="80"/>
    </row>
    <row r="3495" spans="2:5" x14ac:dyDescent="0.25">
      <c r="B3495" s="40"/>
      <c r="C3495" s="40"/>
      <c r="E3495" s="80"/>
    </row>
    <row r="3496" spans="2:5" x14ac:dyDescent="0.25">
      <c r="B3496" s="40"/>
      <c r="C3496" s="40"/>
      <c r="E3496" s="80"/>
    </row>
    <row r="3497" spans="2:5" x14ac:dyDescent="0.25">
      <c r="B3497" s="40"/>
      <c r="C3497" s="40"/>
      <c r="E3497" s="80"/>
    </row>
    <row r="3498" spans="2:5" x14ac:dyDescent="0.25">
      <c r="B3498" s="40"/>
      <c r="C3498" s="40"/>
      <c r="E3498" s="80"/>
    </row>
    <row r="3499" spans="2:5" x14ac:dyDescent="0.25">
      <c r="B3499" s="40"/>
      <c r="C3499" s="40"/>
      <c r="E3499" s="80"/>
    </row>
    <row r="3500" spans="2:5" x14ac:dyDescent="0.25">
      <c r="B3500" s="40"/>
      <c r="C3500" s="40"/>
      <c r="E3500" s="80"/>
    </row>
    <row r="3501" spans="2:5" x14ac:dyDescent="0.25">
      <c r="B3501" s="40"/>
      <c r="C3501" s="40"/>
      <c r="E3501" s="80"/>
    </row>
    <row r="3502" spans="2:5" x14ac:dyDescent="0.25">
      <c r="B3502" s="40"/>
      <c r="C3502" s="40"/>
      <c r="E3502" s="80"/>
    </row>
    <row r="3503" spans="2:5" x14ac:dyDescent="0.25">
      <c r="B3503" s="40"/>
      <c r="C3503" s="40"/>
      <c r="E3503" s="80"/>
    </row>
    <row r="3504" spans="2:5" x14ac:dyDescent="0.25">
      <c r="B3504" s="40"/>
      <c r="C3504" s="40"/>
      <c r="E3504" s="80"/>
    </row>
    <row r="3505" spans="2:5" x14ac:dyDescent="0.25">
      <c r="B3505" s="40"/>
      <c r="C3505" s="40"/>
      <c r="E3505" s="80"/>
    </row>
    <row r="3506" spans="2:5" x14ac:dyDescent="0.25">
      <c r="B3506" s="40"/>
      <c r="C3506" s="40"/>
      <c r="E3506" s="80"/>
    </row>
    <row r="3507" spans="2:5" x14ac:dyDescent="0.25">
      <c r="B3507" s="40"/>
      <c r="C3507" s="40"/>
      <c r="E3507" s="80"/>
    </row>
    <row r="3508" spans="2:5" x14ac:dyDescent="0.25">
      <c r="B3508" s="40"/>
      <c r="C3508" s="40"/>
      <c r="E3508" s="80"/>
    </row>
    <row r="3509" spans="2:5" x14ac:dyDescent="0.25">
      <c r="B3509" s="40"/>
      <c r="C3509" s="40"/>
      <c r="E3509" s="80"/>
    </row>
    <row r="3510" spans="2:5" x14ac:dyDescent="0.25">
      <c r="B3510" s="40"/>
      <c r="C3510" s="40"/>
      <c r="E3510" s="80"/>
    </row>
    <row r="3511" spans="2:5" x14ac:dyDescent="0.25">
      <c r="B3511" s="40"/>
      <c r="C3511" s="40"/>
      <c r="E3511" s="80"/>
    </row>
    <row r="3512" spans="2:5" x14ac:dyDescent="0.25">
      <c r="B3512" s="40"/>
      <c r="C3512" s="40"/>
      <c r="E3512" s="80"/>
    </row>
    <row r="3513" spans="2:5" x14ac:dyDescent="0.25">
      <c r="B3513" s="40"/>
      <c r="C3513" s="40"/>
      <c r="E3513" s="80"/>
    </row>
    <row r="3514" spans="2:5" x14ac:dyDescent="0.25">
      <c r="B3514" s="40"/>
      <c r="C3514" s="40"/>
      <c r="E3514" s="80"/>
    </row>
    <row r="3515" spans="2:5" x14ac:dyDescent="0.25">
      <c r="B3515" s="40"/>
      <c r="C3515" s="40"/>
      <c r="E3515" s="80"/>
    </row>
    <row r="3516" spans="2:5" x14ac:dyDescent="0.25">
      <c r="B3516" s="40"/>
      <c r="C3516" s="40"/>
      <c r="E3516" s="80"/>
    </row>
    <row r="3517" spans="2:5" x14ac:dyDescent="0.25">
      <c r="B3517" s="40"/>
      <c r="C3517" s="40"/>
      <c r="E3517" s="80"/>
    </row>
    <row r="3518" spans="2:5" x14ac:dyDescent="0.25">
      <c r="B3518" s="40"/>
      <c r="C3518" s="40"/>
      <c r="E3518" s="80"/>
    </row>
    <row r="3519" spans="2:5" x14ac:dyDescent="0.25">
      <c r="B3519" s="40"/>
      <c r="C3519" s="40"/>
      <c r="E3519" s="80"/>
    </row>
    <row r="3520" spans="2:5" x14ac:dyDescent="0.25">
      <c r="B3520" s="40"/>
      <c r="C3520" s="40"/>
      <c r="E3520" s="80"/>
    </row>
    <row r="3521" spans="2:5" x14ac:dyDescent="0.25">
      <c r="B3521" s="40"/>
      <c r="C3521" s="40"/>
      <c r="E3521" s="80"/>
    </row>
    <row r="3522" spans="2:5" x14ac:dyDescent="0.25">
      <c r="B3522" s="40"/>
      <c r="C3522" s="40"/>
      <c r="E3522" s="80"/>
    </row>
    <row r="3523" spans="2:5" x14ac:dyDescent="0.25">
      <c r="B3523" s="40"/>
      <c r="C3523" s="40"/>
      <c r="E3523" s="80"/>
    </row>
    <row r="3524" spans="2:5" x14ac:dyDescent="0.25">
      <c r="B3524" s="40"/>
      <c r="C3524" s="40"/>
      <c r="E3524" s="80"/>
    </row>
    <row r="3525" spans="2:5" x14ac:dyDescent="0.25">
      <c r="B3525" s="40"/>
      <c r="C3525" s="40"/>
      <c r="E3525" s="80"/>
    </row>
    <row r="3526" spans="2:5" x14ac:dyDescent="0.25">
      <c r="B3526" s="40"/>
      <c r="C3526" s="40"/>
      <c r="E3526" s="80"/>
    </row>
    <row r="3527" spans="2:5" x14ac:dyDescent="0.25">
      <c r="B3527" s="40"/>
      <c r="C3527" s="40"/>
      <c r="E3527" s="80"/>
    </row>
    <row r="3528" spans="2:5" x14ac:dyDescent="0.25">
      <c r="B3528" s="40"/>
      <c r="C3528" s="40"/>
      <c r="E3528" s="80"/>
    </row>
    <row r="3529" spans="2:5" x14ac:dyDescent="0.25">
      <c r="B3529" s="40"/>
      <c r="C3529" s="40"/>
      <c r="E3529" s="80"/>
    </row>
    <row r="3530" spans="2:5" x14ac:dyDescent="0.25">
      <c r="B3530" s="40"/>
      <c r="C3530" s="40"/>
      <c r="E3530" s="80"/>
    </row>
    <row r="3531" spans="2:5" x14ac:dyDescent="0.25">
      <c r="B3531" s="40"/>
      <c r="C3531" s="40"/>
      <c r="E3531" s="80"/>
    </row>
    <row r="3532" spans="2:5" x14ac:dyDescent="0.25">
      <c r="B3532" s="40"/>
      <c r="C3532" s="40"/>
      <c r="E3532" s="80"/>
    </row>
    <row r="3533" spans="2:5" x14ac:dyDescent="0.25">
      <c r="B3533" s="40"/>
      <c r="C3533" s="40"/>
      <c r="E3533" s="80"/>
    </row>
    <row r="3534" spans="2:5" x14ac:dyDescent="0.25">
      <c r="B3534" s="40"/>
      <c r="C3534" s="40"/>
      <c r="E3534" s="80"/>
    </row>
    <row r="3535" spans="2:5" x14ac:dyDescent="0.25">
      <c r="B3535" s="40"/>
      <c r="C3535" s="40"/>
      <c r="E3535" s="80"/>
    </row>
    <row r="3536" spans="2:5" x14ac:dyDescent="0.25">
      <c r="B3536" s="40"/>
      <c r="C3536" s="40"/>
      <c r="E3536" s="80"/>
    </row>
    <row r="3537" spans="2:5" x14ac:dyDescent="0.25">
      <c r="B3537" s="40"/>
      <c r="C3537" s="40"/>
      <c r="E3537" s="80"/>
    </row>
    <row r="3538" spans="2:5" x14ac:dyDescent="0.25">
      <c r="B3538" s="40"/>
      <c r="C3538" s="40"/>
      <c r="E3538" s="80"/>
    </row>
    <row r="3539" spans="2:5" x14ac:dyDescent="0.25">
      <c r="B3539" s="40"/>
      <c r="C3539" s="40"/>
      <c r="E3539" s="80"/>
    </row>
    <row r="3540" spans="2:5" x14ac:dyDescent="0.25">
      <c r="B3540" s="40"/>
      <c r="C3540" s="40"/>
      <c r="E3540" s="80"/>
    </row>
    <row r="3541" spans="2:5" x14ac:dyDescent="0.25">
      <c r="B3541" s="40"/>
      <c r="C3541" s="40"/>
      <c r="E3541" s="80"/>
    </row>
    <row r="3542" spans="2:5" x14ac:dyDescent="0.25">
      <c r="B3542" s="40"/>
      <c r="C3542" s="40"/>
      <c r="E3542" s="80"/>
    </row>
    <row r="3543" spans="2:5" x14ac:dyDescent="0.25">
      <c r="B3543" s="40"/>
      <c r="C3543" s="40"/>
      <c r="E3543" s="80"/>
    </row>
    <row r="3544" spans="2:5" x14ac:dyDescent="0.25">
      <c r="B3544" s="40"/>
      <c r="C3544" s="40"/>
      <c r="E3544" s="80"/>
    </row>
    <row r="3545" spans="2:5" x14ac:dyDescent="0.25">
      <c r="B3545" s="40"/>
      <c r="C3545" s="40"/>
      <c r="E3545" s="80"/>
    </row>
    <row r="3546" spans="2:5" x14ac:dyDescent="0.25">
      <c r="B3546" s="40"/>
      <c r="C3546" s="40"/>
      <c r="E3546" s="80"/>
    </row>
    <row r="3547" spans="2:5" x14ac:dyDescent="0.25">
      <c r="B3547" s="40"/>
      <c r="C3547" s="40"/>
      <c r="E3547" s="80"/>
    </row>
    <row r="3548" spans="2:5" x14ac:dyDescent="0.25">
      <c r="B3548" s="40"/>
      <c r="C3548" s="40"/>
      <c r="E3548" s="80"/>
    </row>
    <row r="3549" spans="2:5" x14ac:dyDescent="0.25">
      <c r="B3549" s="40"/>
      <c r="C3549" s="40"/>
      <c r="E3549" s="80"/>
    </row>
    <row r="3550" spans="2:5" x14ac:dyDescent="0.25">
      <c r="B3550" s="40"/>
      <c r="C3550" s="40"/>
      <c r="E3550" s="80"/>
    </row>
    <row r="3551" spans="2:5" x14ac:dyDescent="0.25">
      <c r="B3551" s="40"/>
      <c r="C3551" s="40"/>
      <c r="E3551" s="80"/>
    </row>
    <row r="3552" spans="2:5" x14ac:dyDescent="0.25">
      <c r="B3552" s="40"/>
      <c r="C3552" s="40"/>
      <c r="E3552" s="80"/>
    </row>
    <row r="3553" spans="2:5" x14ac:dyDescent="0.25">
      <c r="B3553" s="40"/>
      <c r="C3553" s="40"/>
      <c r="E3553" s="80"/>
    </row>
    <row r="3554" spans="2:5" x14ac:dyDescent="0.25">
      <c r="B3554" s="40"/>
      <c r="C3554" s="40"/>
      <c r="E3554" s="80"/>
    </row>
    <row r="3555" spans="2:5" x14ac:dyDescent="0.25">
      <c r="B3555" s="40"/>
      <c r="C3555" s="40"/>
      <c r="E3555" s="80"/>
    </row>
    <row r="3556" spans="2:5" x14ac:dyDescent="0.25">
      <c r="B3556" s="40"/>
      <c r="C3556" s="40"/>
      <c r="E3556" s="80"/>
    </row>
    <row r="3557" spans="2:5" x14ac:dyDescent="0.25">
      <c r="B3557" s="40"/>
      <c r="C3557" s="40"/>
      <c r="E3557" s="80"/>
    </row>
    <row r="3558" spans="2:5" x14ac:dyDescent="0.25">
      <c r="B3558" s="40"/>
      <c r="C3558" s="40"/>
      <c r="E3558" s="80"/>
    </row>
    <row r="3559" spans="2:5" x14ac:dyDescent="0.25">
      <c r="B3559" s="40"/>
      <c r="C3559" s="40"/>
      <c r="E3559" s="80"/>
    </row>
    <row r="3560" spans="2:5" x14ac:dyDescent="0.25">
      <c r="B3560" s="40"/>
      <c r="C3560" s="40"/>
      <c r="E3560" s="80"/>
    </row>
    <row r="3561" spans="2:5" x14ac:dyDescent="0.25">
      <c r="B3561" s="40"/>
      <c r="C3561" s="40"/>
      <c r="E3561" s="80"/>
    </row>
    <row r="3562" spans="2:5" x14ac:dyDescent="0.25">
      <c r="B3562" s="40"/>
      <c r="C3562" s="40"/>
      <c r="E3562" s="80"/>
    </row>
    <row r="3563" spans="2:5" x14ac:dyDescent="0.25">
      <c r="B3563" s="40"/>
      <c r="C3563" s="40"/>
      <c r="E3563" s="80"/>
    </row>
    <row r="3564" spans="2:5" x14ac:dyDescent="0.25">
      <c r="B3564" s="40"/>
      <c r="C3564" s="40"/>
      <c r="E3564" s="80"/>
    </row>
    <row r="3565" spans="2:5" x14ac:dyDescent="0.25">
      <c r="B3565" s="40"/>
      <c r="C3565" s="40"/>
      <c r="E3565" s="80"/>
    </row>
    <row r="3566" spans="2:5" x14ac:dyDescent="0.25">
      <c r="B3566" s="40"/>
      <c r="C3566" s="40"/>
      <c r="E3566" s="80"/>
    </row>
    <row r="3567" spans="2:5" x14ac:dyDescent="0.25">
      <c r="B3567" s="40"/>
      <c r="C3567" s="40"/>
      <c r="E3567" s="80"/>
    </row>
    <row r="3568" spans="2:5" x14ac:dyDescent="0.25">
      <c r="B3568" s="40"/>
      <c r="C3568" s="40"/>
      <c r="E3568" s="80"/>
    </row>
    <row r="3569" spans="2:5" x14ac:dyDescent="0.25">
      <c r="B3569" s="40"/>
      <c r="C3569" s="40"/>
      <c r="E3569" s="80"/>
    </row>
    <row r="3570" spans="2:5" x14ac:dyDescent="0.25">
      <c r="B3570" s="40"/>
      <c r="C3570" s="40"/>
      <c r="E3570" s="80"/>
    </row>
    <row r="3571" spans="2:5" x14ac:dyDescent="0.25">
      <c r="B3571" s="40"/>
      <c r="C3571" s="40"/>
      <c r="E3571" s="80"/>
    </row>
    <row r="3572" spans="2:5" x14ac:dyDescent="0.25">
      <c r="B3572" s="40"/>
      <c r="C3572" s="40"/>
      <c r="E3572" s="80"/>
    </row>
    <row r="3573" spans="2:5" x14ac:dyDescent="0.25">
      <c r="B3573" s="40"/>
      <c r="C3573" s="40"/>
      <c r="E3573" s="80"/>
    </row>
    <row r="3574" spans="2:5" x14ac:dyDescent="0.25">
      <c r="B3574" s="40"/>
      <c r="C3574" s="40"/>
      <c r="E3574" s="80"/>
    </row>
    <row r="3575" spans="2:5" x14ac:dyDescent="0.25">
      <c r="B3575" s="40"/>
      <c r="C3575" s="40"/>
      <c r="E3575" s="80"/>
    </row>
    <row r="3576" spans="2:5" x14ac:dyDescent="0.25">
      <c r="B3576" s="40"/>
      <c r="C3576" s="40"/>
      <c r="E3576" s="80"/>
    </row>
    <row r="3577" spans="2:5" x14ac:dyDescent="0.25">
      <c r="B3577" s="40"/>
      <c r="C3577" s="40"/>
      <c r="E3577" s="80"/>
    </row>
    <row r="3578" spans="2:5" x14ac:dyDescent="0.25">
      <c r="B3578" s="40"/>
      <c r="C3578" s="40"/>
      <c r="E3578" s="80"/>
    </row>
    <row r="3579" spans="2:5" x14ac:dyDescent="0.25">
      <c r="B3579" s="40"/>
      <c r="C3579" s="40"/>
      <c r="E3579" s="80"/>
    </row>
    <row r="3580" spans="2:5" x14ac:dyDescent="0.25">
      <c r="B3580" s="40"/>
      <c r="C3580" s="40"/>
      <c r="E3580" s="80"/>
    </row>
    <row r="3581" spans="2:5" x14ac:dyDescent="0.25">
      <c r="B3581" s="40"/>
      <c r="C3581" s="40"/>
      <c r="E3581" s="80"/>
    </row>
    <row r="3582" spans="2:5" x14ac:dyDescent="0.25">
      <c r="B3582" s="40"/>
      <c r="C3582" s="40"/>
      <c r="E3582" s="80"/>
    </row>
    <row r="3583" spans="2:5" x14ac:dyDescent="0.25">
      <c r="B3583" s="40"/>
      <c r="C3583" s="40"/>
      <c r="E3583" s="80"/>
    </row>
    <row r="3584" spans="2:5" x14ac:dyDescent="0.25">
      <c r="B3584" s="40"/>
      <c r="C3584" s="40"/>
      <c r="E3584" s="80"/>
    </row>
    <row r="3585" spans="2:5" x14ac:dyDescent="0.25">
      <c r="B3585" s="40"/>
      <c r="C3585" s="40"/>
      <c r="E3585" s="80"/>
    </row>
    <row r="3586" spans="2:5" x14ac:dyDescent="0.25">
      <c r="B3586" s="40"/>
      <c r="C3586" s="40"/>
      <c r="E3586" s="80"/>
    </row>
    <row r="3587" spans="2:5" x14ac:dyDescent="0.25">
      <c r="B3587" s="40"/>
      <c r="C3587" s="40"/>
      <c r="E3587" s="80"/>
    </row>
    <row r="3588" spans="2:5" x14ac:dyDescent="0.25">
      <c r="B3588" s="40"/>
      <c r="C3588" s="40"/>
      <c r="E3588" s="80"/>
    </row>
    <row r="3589" spans="2:5" x14ac:dyDescent="0.25">
      <c r="B3589" s="40"/>
      <c r="C3589" s="40"/>
      <c r="E3589" s="80"/>
    </row>
    <row r="3590" spans="2:5" x14ac:dyDescent="0.25">
      <c r="B3590" s="40"/>
      <c r="C3590" s="40"/>
      <c r="E3590" s="80"/>
    </row>
    <row r="3591" spans="2:5" x14ac:dyDescent="0.25">
      <c r="B3591" s="40"/>
      <c r="C3591" s="40"/>
      <c r="E3591" s="80"/>
    </row>
    <row r="3592" spans="2:5" x14ac:dyDescent="0.25">
      <c r="B3592" s="40"/>
      <c r="C3592" s="40"/>
      <c r="E3592" s="80"/>
    </row>
    <row r="3593" spans="2:5" x14ac:dyDescent="0.25">
      <c r="B3593" s="40"/>
      <c r="C3593" s="40"/>
      <c r="E3593" s="80"/>
    </row>
    <row r="3594" spans="2:5" x14ac:dyDescent="0.25">
      <c r="B3594" s="40"/>
      <c r="C3594" s="40"/>
      <c r="E3594" s="80"/>
    </row>
    <row r="3595" spans="2:5" x14ac:dyDescent="0.25">
      <c r="B3595" s="40"/>
      <c r="C3595" s="40"/>
      <c r="E3595" s="80"/>
    </row>
    <row r="3596" spans="2:5" x14ac:dyDescent="0.25">
      <c r="B3596" s="40"/>
      <c r="C3596" s="40"/>
      <c r="E3596" s="80"/>
    </row>
    <row r="3597" spans="2:5" x14ac:dyDescent="0.25">
      <c r="B3597" s="40"/>
      <c r="C3597" s="40"/>
      <c r="E3597" s="80"/>
    </row>
    <row r="3598" spans="2:5" x14ac:dyDescent="0.25">
      <c r="B3598" s="40"/>
      <c r="C3598" s="40"/>
      <c r="E3598" s="80"/>
    </row>
    <row r="3599" spans="2:5" x14ac:dyDescent="0.25">
      <c r="B3599" s="40"/>
      <c r="C3599" s="40"/>
      <c r="E3599" s="80"/>
    </row>
    <row r="3600" spans="2:5" x14ac:dyDescent="0.25">
      <c r="B3600" s="40"/>
      <c r="C3600" s="40"/>
      <c r="E3600" s="80"/>
    </row>
    <row r="3601" spans="2:5" x14ac:dyDescent="0.25">
      <c r="B3601" s="40"/>
      <c r="C3601" s="40"/>
      <c r="E3601" s="80"/>
    </row>
    <row r="3602" spans="2:5" x14ac:dyDescent="0.25">
      <c r="B3602" s="40"/>
      <c r="C3602" s="40"/>
      <c r="E3602" s="80"/>
    </row>
    <row r="3603" spans="2:5" x14ac:dyDescent="0.25">
      <c r="B3603" s="40"/>
      <c r="C3603" s="40"/>
      <c r="E3603" s="80"/>
    </row>
    <row r="3604" spans="2:5" x14ac:dyDescent="0.25">
      <c r="B3604" s="40"/>
      <c r="C3604" s="40"/>
      <c r="E3604" s="80"/>
    </row>
    <row r="3605" spans="2:5" x14ac:dyDescent="0.25">
      <c r="B3605" s="40"/>
      <c r="C3605" s="40"/>
      <c r="E3605" s="80"/>
    </row>
    <row r="3606" spans="2:5" x14ac:dyDescent="0.25">
      <c r="B3606" s="40"/>
      <c r="C3606" s="40"/>
      <c r="E3606" s="80"/>
    </row>
    <row r="3607" spans="2:5" x14ac:dyDescent="0.25">
      <c r="B3607" s="40"/>
      <c r="C3607" s="40"/>
      <c r="E3607" s="80"/>
    </row>
    <row r="3608" spans="2:5" x14ac:dyDescent="0.25">
      <c r="B3608" s="40"/>
      <c r="C3608" s="40"/>
      <c r="E3608" s="80"/>
    </row>
    <row r="3609" spans="2:5" x14ac:dyDescent="0.25">
      <c r="B3609" s="40"/>
      <c r="C3609" s="40"/>
      <c r="E3609" s="80"/>
    </row>
    <row r="3610" spans="2:5" x14ac:dyDescent="0.25">
      <c r="B3610" s="40"/>
      <c r="C3610" s="40"/>
      <c r="E3610" s="80"/>
    </row>
    <row r="3611" spans="2:5" x14ac:dyDescent="0.25">
      <c r="B3611" s="40"/>
      <c r="C3611" s="40"/>
      <c r="E3611" s="80"/>
    </row>
    <row r="3612" spans="2:5" x14ac:dyDescent="0.25">
      <c r="B3612" s="40"/>
      <c r="C3612" s="40"/>
      <c r="E3612" s="80"/>
    </row>
    <row r="3613" spans="2:5" x14ac:dyDescent="0.25">
      <c r="B3613" s="40"/>
      <c r="C3613" s="40"/>
      <c r="E3613" s="80"/>
    </row>
    <row r="3614" spans="2:5" x14ac:dyDescent="0.25">
      <c r="B3614" s="40"/>
      <c r="C3614" s="40"/>
      <c r="E3614" s="80"/>
    </row>
    <row r="3615" spans="2:5" x14ac:dyDescent="0.25">
      <c r="B3615" s="40"/>
      <c r="C3615" s="40"/>
      <c r="E3615" s="80"/>
    </row>
    <row r="3616" spans="2:5" x14ac:dyDescent="0.25">
      <c r="B3616" s="40"/>
      <c r="C3616" s="40"/>
      <c r="E3616" s="80"/>
    </row>
    <row r="3617" spans="2:5" x14ac:dyDescent="0.25">
      <c r="B3617" s="40"/>
      <c r="C3617" s="40"/>
      <c r="E3617" s="80"/>
    </row>
    <row r="3618" spans="2:5" x14ac:dyDescent="0.25">
      <c r="B3618" s="40"/>
      <c r="C3618" s="40"/>
      <c r="E3618" s="80"/>
    </row>
    <row r="3619" spans="2:5" x14ac:dyDescent="0.25">
      <c r="B3619" s="40"/>
      <c r="C3619" s="40"/>
      <c r="E3619" s="80"/>
    </row>
    <row r="3620" spans="2:5" x14ac:dyDescent="0.25">
      <c r="B3620" s="40"/>
      <c r="C3620" s="40"/>
      <c r="E3620" s="80"/>
    </row>
    <row r="3621" spans="2:5" x14ac:dyDescent="0.25">
      <c r="B3621" s="40"/>
      <c r="C3621" s="40"/>
      <c r="E3621" s="80"/>
    </row>
    <row r="3622" spans="2:5" x14ac:dyDescent="0.25">
      <c r="B3622" s="40"/>
      <c r="C3622" s="40"/>
      <c r="E3622" s="80"/>
    </row>
    <row r="3623" spans="2:5" x14ac:dyDescent="0.25">
      <c r="B3623" s="40"/>
      <c r="C3623" s="40"/>
      <c r="E3623" s="80"/>
    </row>
    <row r="3624" spans="2:5" x14ac:dyDescent="0.25">
      <c r="B3624" s="40"/>
      <c r="C3624" s="40"/>
      <c r="E3624" s="80"/>
    </row>
    <row r="3625" spans="2:5" x14ac:dyDescent="0.25">
      <c r="B3625" s="40"/>
      <c r="C3625" s="40"/>
      <c r="E3625" s="80"/>
    </row>
    <row r="3626" spans="2:5" x14ac:dyDescent="0.25">
      <c r="B3626" s="40"/>
      <c r="C3626" s="40"/>
      <c r="E3626" s="80"/>
    </row>
    <row r="3627" spans="2:5" x14ac:dyDescent="0.25">
      <c r="B3627" s="40"/>
      <c r="C3627" s="40"/>
      <c r="E3627" s="80"/>
    </row>
    <row r="3628" spans="2:5" x14ac:dyDescent="0.25">
      <c r="B3628" s="40"/>
      <c r="C3628" s="40"/>
      <c r="E3628" s="80"/>
    </row>
    <row r="3629" spans="2:5" x14ac:dyDescent="0.25">
      <c r="B3629" s="40"/>
      <c r="C3629" s="40"/>
      <c r="E3629" s="80"/>
    </row>
    <row r="3630" spans="2:5" x14ac:dyDescent="0.25">
      <c r="B3630" s="40"/>
      <c r="C3630" s="40"/>
      <c r="E3630" s="80"/>
    </row>
    <row r="3631" spans="2:5" x14ac:dyDescent="0.25">
      <c r="B3631" s="40"/>
      <c r="C3631" s="40"/>
      <c r="E3631" s="80"/>
    </row>
    <row r="3632" spans="2:5" x14ac:dyDescent="0.25">
      <c r="B3632" s="40"/>
      <c r="C3632" s="40"/>
      <c r="E3632" s="80"/>
    </row>
    <row r="3633" spans="2:5" x14ac:dyDescent="0.25">
      <c r="B3633" s="40"/>
      <c r="C3633" s="40"/>
      <c r="E3633" s="80"/>
    </row>
    <row r="3634" spans="2:5" x14ac:dyDescent="0.25">
      <c r="B3634" s="40"/>
      <c r="C3634" s="40"/>
      <c r="E3634" s="80"/>
    </row>
    <row r="3635" spans="2:5" x14ac:dyDescent="0.25">
      <c r="B3635" s="40"/>
      <c r="C3635" s="40"/>
      <c r="E3635" s="80"/>
    </row>
    <row r="3636" spans="2:5" x14ac:dyDescent="0.25">
      <c r="B3636" s="40"/>
      <c r="C3636" s="40"/>
      <c r="E3636" s="80"/>
    </row>
    <row r="3637" spans="2:5" x14ac:dyDescent="0.25">
      <c r="B3637" s="40"/>
      <c r="C3637" s="40"/>
      <c r="E3637" s="80"/>
    </row>
    <row r="3638" spans="2:5" x14ac:dyDescent="0.25">
      <c r="B3638" s="40"/>
      <c r="C3638" s="40"/>
      <c r="E3638" s="80"/>
    </row>
    <row r="3639" spans="2:5" x14ac:dyDescent="0.25">
      <c r="B3639" s="40"/>
      <c r="C3639" s="40"/>
      <c r="E3639" s="80"/>
    </row>
    <row r="3640" spans="2:5" x14ac:dyDescent="0.25">
      <c r="B3640" s="40"/>
      <c r="C3640" s="40"/>
      <c r="E3640" s="80"/>
    </row>
    <row r="3641" spans="2:5" x14ac:dyDescent="0.25">
      <c r="B3641" s="40"/>
      <c r="C3641" s="40"/>
      <c r="E3641" s="80"/>
    </row>
    <row r="3642" spans="2:5" x14ac:dyDescent="0.25">
      <c r="B3642" s="40"/>
      <c r="C3642" s="40"/>
      <c r="E3642" s="80"/>
    </row>
    <row r="3643" spans="2:5" x14ac:dyDescent="0.25">
      <c r="B3643" s="40"/>
      <c r="C3643" s="40"/>
      <c r="E3643" s="80"/>
    </row>
    <row r="3644" spans="2:5" x14ac:dyDescent="0.25">
      <c r="B3644" s="40"/>
      <c r="C3644" s="40"/>
      <c r="E3644" s="80"/>
    </row>
    <row r="3645" spans="2:5" x14ac:dyDescent="0.25">
      <c r="B3645" s="40"/>
      <c r="C3645" s="40"/>
      <c r="E3645" s="80"/>
    </row>
    <row r="3646" spans="2:5" x14ac:dyDescent="0.25">
      <c r="B3646" s="40"/>
      <c r="C3646" s="40"/>
      <c r="E3646" s="80"/>
    </row>
    <row r="3647" spans="2:5" x14ac:dyDescent="0.25">
      <c r="B3647" s="40"/>
      <c r="C3647" s="40"/>
      <c r="E3647" s="80"/>
    </row>
    <row r="3648" spans="2:5" x14ac:dyDescent="0.25">
      <c r="B3648" s="40"/>
      <c r="C3648" s="40"/>
      <c r="E3648" s="80"/>
    </row>
    <row r="3649" spans="2:5" x14ac:dyDescent="0.25">
      <c r="B3649" s="40"/>
      <c r="C3649" s="40"/>
      <c r="E3649" s="80"/>
    </row>
    <row r="3650" spans="2:5" x14ac:dyDescent="0.25">
      <c r="B3650" s="40"/>
      <c r="C3650" s="40"/>
      <c r="E3650" s="80"/>
    </row>
    <row r="3651" spans="2:5" x14ac:dyDescent="0.25">
      <c r="B3651" s="40"/>
      <c r="C3651" s="40"/>
      <c r="E3651" s="80"/>
    </row>
    <row r="3652" spans="2:5" x14ac:dyDescent="0.25">
      <c r="B3652" s="40"/>
      <c r="C3652" s="40"/>
      <c r="E3652" s="80"/>
    </row>
    <row r="3653" spans="2:5" x14ac:dyDescent="0.25">
      <c r="B3653" s="40"/>
      <c r="C3653" s="40"/>
      <c r="E3653" s="80"/>
    </row>
    <row r="3654" spans="2:5" x14ac:dyDescent="0.25">
      <c r="B3654" s="40"/>
      <c r="C3654" s="40"/>
      <c r="E3654" s="80"/>
    </row>
    <row r="3655" spans="2:5" x14ac:dyDescent="0.25">
      <c r="B3655" s="40"/>
      <c r="C3655" s="40"/>
      <c r="E3655" s="80"/>
    </row>
    <row r="3656" spans="2:5" x14ac:dyDescent="0.25">
      <c r="B3656" s="40"/>
      <c r="C3656" s="40"/>
      <c r="E3656" s="80"/>
    </row>
    <row r="3657" spans="2:5" x14ac:dyDescent="0.25">
      <c r="B3657" s="40"/>
      <c r="C3657" s="40"/>
      <c r="E3657" s="80"/>
    </row>
    <row r="3658" spans="2:5" x14ac:dyDescent="0.25">
      <c r="B3658" s="40"/>
      <c r="C3658" s="40"/>
      <c r="E3658" s="80"/>
    </row>
    <row r="3659" spans="2:5" x14ac:dyDescent="0.25">
      <c r="B3659" s="40"/>
      <c r="C3659" s="40"/>
      <c r="E3659" s="80"/>
    </row>
    <row r="3660" spans="2:5" x14ac:dyDescent="0.25">
      <c r="B3660" s="40"/>
      <c r="C3660" s="40"/>
      <c r="E3660" s="80"/>
    </row>
    <row r="3661" spans="2:5" x14ac:dyDescent="0.25">
      <c r="B3661" s="40"/>
      <c r="C3661" s="40"/>
      <c r="E3661" s="80"/>
    </row>
    <row r="3662" spans="2:5" x14ac:dyDescent="0.25">
      <c r="B3662" s="40"/>
      <c r="C3662" s="40"/>
      <c r="E3662" s="80"/>
    </row>
    <row r="3663" spans="2:5" x14ac:dyDescent="0.25">
      <c r="B3663" s="40"/>
      <c r="C3663" s="40"/>
      <c r="E3663" s="80"/>
    </row>
    <row r="3664" spans="2:5" x14ac:dyDescent="0.25">
      <c r="B3664" s="40"/>
      <c r="C3664" s="40"/>
      <c r="E3664" s="80"/>
    </row>
    <row r="3665" spans="2:5" x14ac:dyDescent="0.25">
      <c r="B3665" s="40"/>
      <c r="C3665" s="40"/>
      <c r="E3665" s="80"/>
    </row>
    <row r="3666" spans="2:5" x14ac:dyDescent="0.25">
      <c r="B3666" s="40"/>
      <c r="C3666" s="40"/>
      <c r="E3666" s="80"/>
    </row>
    <row r="3667" spans="2:5" x14ac:dyDescent="0.25">
      <c r="B3667" s="40"/>
      <c r="C3667" s="40"/>
      <c r="E3667" s="80"/>
    </row>
    <row r="3668" spans="2:5" x14ac:dyDescent="0.25">
      <c r="B3668" s="40"/>
      <c r="C3668" s="40"/>
      <c r="E3668" s="80"/>
    </row>
    <row r="3669" spans="2:5" x14ac:dyDescent="0.25">
      <c r="B3669" s="40"/>
      <c r="C3669" s="40"/>
      <c r="E3669" s="80"/>
    </row>
    <row r="3670" spans="2:5" x14ac:dyDescent="0.25">
      <c r="B3670" s="40"/>
      <c r="C3670" s="40"/>
      <c r="E3670" s="80"/>
    </row>
    <row r="3671" spans="2:5" x14ac:dyDescent="0.25">
      <c r="B3671" s="40"/>
      <c r="C3671" s="40"/>
      <c r="E3671" s="80"/>
    </row>
    <row r="3672" spans="2:5" x14ac:dyDescent="0.25">
      <c r="B3672" s="40"/>
      <c r="C3672" s="40"/>
      <c r="E3672" s="80"/>
    </row>
    <row r="3673" spans="2:5" x14ac:dyDescent="0.25">
      <c r="B3673" s="40"/>
      <c r="C3673" s="40"/>
      <c r="E3673" s="80"/>
    </row>
    <row r="3674" spans="2:5" x14ac:dyDescent="0.25">
      <c r="B3674" s="40"/>
      <c r="C3674" s="40"/>
      <c r="E3674" s="80"/>
    </row>
    <row r="3675" spans="2:5" x14ac:dyDescent="0.25">
      <c r="B3675" s="40"/>
      <c r="C3675" s="40"/>
      <c r="E3675" s="80"/>
    </row>
    <row r="3676" spans="2:5" x14ac:dyDescent="0.25">
      <c r="B3676" s="40"/>
      <c r="C3676" s="40"/>
      <c r="E3676" s="80"/>
    </row>
    <row r="3677" spans="2:5" x14ac:dyDescent="0.25">
      <c r="B3677" s="40"/>
      <c r="C3677" s="40"/>
      <c r="E3677" s="80"/>
    </row>
    <row r="3678" spans="2:5" x14ac:dyDescent="0.25">
      <c r="B3678" s="40"/>
      <c r="C3678" s="40"/>
      <c r="E3678" s="80"/>
    </row>
    <row r="3679" spans="2:5" x14ac:dyDescent="0.25">
      <c r="B3679" s="40"/>
      <c r="C3679" s="40"/>
      <c r="E3679" s="80"/>
    </row>
    <row r="3680" spans="2:5" x14ac:dyDescent="0.25">
      <c r="B3680" s="40"/>
      <c r="C3680" s="40"/>
      <c r="E3680" s="80"/>
    </row>
    <row r="3681" spans="2:5" x14ac:dyDescent="0.25">
      <c r="B3681" s="40"/>
      <c r="C3681" s="40"/>
      <c r="E3681" s="80"/>
    </row>
    <row r="3682" spans="2:5" x14ac:dyDescent="0.25">
      <c r="B3682" s="40"/>
      <c r="C3682" s="40"/>
      <c r="E3682" s="80"/>
    </row>
    <row r="3683" spans="2:5" x14ac:dyDescent="0.25">
      <c r="B3683" s="40"/>
      <c r="C3683" s="40"/>
      <c r="E3683" s="80"/>
    </row>
    <row r="3684" spans="2:5" x14ac:dyDescent="0.25">
      <c r="B3684" s="40"/>
      <c r="C3684" s="40"/>
      <c r="E3684" s="80"/>
    </row>
    <row r="3685" spans="2:5" x14ac:dyDescent="0.25">
      <c r="B3685" s="40"/>
      <c r="C3685" s="40"/>
      <c r="E3685" s="80"/>
    </row>
    <row r="3686" spans="2:5" x14ac:dyDescent="0.25">
      <c r="B3686" s="40"/>
      <c r="C3686" s="40"/>
      <c r="E3686" s="80"/>
    </row>
    <row r="3687" spans="2:5" x14ac:dyDescent="0.25">
      <c r="B3687" s="40"/>
      <c r="C3687" s="40"/>
      <c r="E3687" s="80"/>
    </row>
    <row r="3688" spans="2:5" x14ac:dyDescent="0.25">
      <c r="B3688" s="40"/>
      <c r="C3688" s="40"/>
      <c r="E3688" s="80"/>
    </row>
    <row r="3689" spans="2:5" x14ac:dyDescent="0.25">
      <c r="B3689" s="40"/>
      <c r="C3689" s="40"/>
      <c r="E3689" s="80"/>
    </row>
    <row r="3690" spans="2:5" x14ac:dyDescent="0.25">
      <c r="B3690" s="40"/>
      <c r="C3690" s="40"/>
      <c r="E3690" s="80"/>
    </row>
    <row r="3691" spans="2:5" x14ac:dyDescent="0.25">
      <c r="B3691" s="40"/>
      <c r="C3691" s="40"/>
      <c r="E3691" s="80"/>
    </row>
    <row r="3692" spans="2:5" x14ac:dyDescent="0.25">
      <c r="B3692" s="40"/>
      <c r="C3692" s="40"/>
      <c r="E3692" s="80"/>
    </row>
    <row r="3693" spans="2:5" x14ac:dyDescent="0.25">
      <c r="B3693" s="40"/>
      <c r="C3693" s="40"/>
      <c r="E3693" s="80"/>
    </row>
    <row r="3694" spans="2:5" x14ac:dyDescent="0.25">
      <c r="B3694" s="40"/>
      <c r="C3694" s="40"/>
      <c r="E3694" s="80"/>
    </row>
    <row r="3695" spans="2:5" x14ac:dyDescent="0.25">
      <c r="B3695" s="40"/>
      <c r="C3695" s="40"/>
      <c r="E3695" s="80"/>
    </row>
    <row r="3696" spans="2:5" x14ac:dyDescent="0.25">
      <c r="B3696" s="40"/>
      <c r="C3696" s="40"/>
      <c r="E3696" s="80"/>
    </row>
    <row r="3697" spans="2:5" x14ac:dyDescent="0.25">
      <c r="B3697" s="40"/>
      <c r="C3697" s="40"/>
      <c r="E3697" s="80"/>
    </row>
    <row r="3698" spans="2:5" x14ac:dyDescent="0.25">
      <c r="B3698" s="40"/>
      <c r="C3698" s="40"/>
      <c r="E3698" s="80"/>
    </row>
    <row r="3699" spans="2:5" x14ac:dyDescent="0.25">
      <c r="B3699" s="40"/>
      <c r="C3699" s="40"/>
      <c r="E3699" s="80"/>
    </row>
    <row r="3700" spans="2:5" x14ac:dyDescent="0.25">
      <c r="B3700" s="40"/>
      <c r="C3700" s="40"/>
      <c r="E3700" s="80"/>
    </row>
    <row r="3701" spans="2:5" x14ac:dyDescent="0.25">
      <c r="B3701" s="40"/>
      <c r="C3701" s="40"/>
      <c r="E3701" s="80"/>
    </row>
    <row r="3702" spans="2:5" x14ac:dyDescent="0.25">
      <c r="B3702" s="40"/>
      <c r="C3702" s="40"/>
      <c r="E3702" s="80"/>
    </row>
    <row r="3703" spans="2:5" x14ac:dyDescent="0.25">
      <c r="B3703" s="40"/>
      <c r="C3703" s="40"/>
      <c r="E3703" s="80"/>
    </row>
    <row r="3704" spans="2:5" x14ac:dyDescent="0.25">
      <c r="B3704" s="40"/>
      <c r="C3704" s="40"/>
      <c r="E3704" s="80"/>
    </row>
    <row r="3705" spans="2:5" x14ac:dyDescent="0.25">
      <c r="B3705" s="40"/>
      <c r="C3705" s="40"/>
      <c r="E3705" s="80"/>
    </row>
    <row r="3706" spans="2:5" x14ac:dyDescent="0.25">
      <c r="B3706" s="40"/>
      <c r="C3706" s="40"/>
      <c r="E3706" s="80"/>
    </row>
    <row r="3707" spans="2:5" x14ac:dyDescent="0.25">
      <c r="B3707" s="40"/>
      <c r="C3707" s="40"/>
      <c r="E3707" s="80"/>
    </row>
    <row r="3708" spans="2:5" x14ac:dyDescent="0.25">
      <c r="B3708" s="40"/>
      <c r="C3708" s="40"/>
      <c r="E3708" s="80"/>
    </row>
    <row r="3709" spans="2:5" x14ac:dyDescent="0.25">
      <c r="B3709" s="40"/>
      <c r="C3709" s="40"/>
      <c r="E3709" s="80"/>
    </row>
    <row r="3710" spans="2:5" x14ac:dyDescent="0.25">
      <c r="B3710" s="40"/>
      <c r="C3710" s="40"/>
      <c r="E3710" s="80"/>
    </row>
    <row r="3711" spans="2:5" x14ac:dyDescent="0.25">
      <c r="B3711" s="40"/>
      <c r="C3711" s="40"/>
      <c r="E3711" s="80"/>
    </row>
    <row r="3712" spans="2:5" x14ac:dyDescent="0.25">
      <c r="B3712" s="40"/>
      <c r="C3712" s="40"/>
      <c r="E3712" s="80"/>
    </row>
    <row r="3713" spans="2:5" x14ac:dyDescent="0.25">
      <c r="B3713" s="40"/>
      <c r="C3713" s="40"/>
      <c r="E3713" s="80"/>
    </row>
    <row r="3714" spans="2:5" x14ac:dyDescent="0.25">
      <c r="B3714" s="40"/>
      <c r="C3714" s="40"/>
      <c r="E3714" s="80"/>
    </row>
    <row r="3715" spans="2:5" x14ac:dyDescent="0.25">
      <c r="B3715" s="40"/>
      <c r="C3715" s="40"/>
      <c r="E3715" s="80"/>
    </row>
    <row r="3716" spans="2:5" x14ac:dyDescent="0.25">
      <c r="B3716" s="40"/>
      <c r="C3716" s="40"/>
      <c r="E3716" s="80"/>
    </row>
    <row r="3717" spans="2:5" x14ac:dyDescent="0.25">
      <c r="B3717" s="40"/>
      <c r="C3717" s="40"/>
      <c r="E3717" s="80"/>
    </row>
    <row r="3718" spans="2:5" x14ac:dyDescent="0.25">
      <c r="B3718" s="40"/>
      <c r="C3718" s="40"/>
      <c r="E3718" s="80"/>
    </row>
    <row r="3719" spans="2:5" x14ac:dyDescent="0.25">
      <c r="B3719" s="40"/>
      <c r="C3719" s="40"/>
      <c r="E3719" s="80"/>
    </row>
    <row r="3720" spans="2:5" x14ac:dyDescent="0.25">
      <c r="B3720" s="40"/>
      <c r="C3720" s="40"/>
      <c r="E3720" s="80"/>
    </row>
    <row r="3721" spans="2:5" x14ac:dyDescent="0.25">
      <c r="B3721" s="40"/>
      <c r="C3721" s="40"/>
      <c r="E3721" s="80"/>
    </row>
    <row r="3722" spans="2:5" x14ac:dyDescent="0.25">
      <c r="B3722" s="40"/>
      <c r="C3722" s="40"/>
      <c r="E3722" s="80"/>
    </row>
    <row r="3723" spans="2:5" x14ac:dyDescent="0.25">
      <c r="B3723" s="40"/>
      <c r="C3723" s="40"/>
      <c r="E3723" s="80"/>
    </row>
    <row r="3724" spans="2:5" x14ac:dyDescent="0.25">
      <c r="B3724" s="40"/>
      <c r="C3724" s="40"/>
      <c r="E3724" s="80"/>
    </row>
    <row r="3725" spans="2:5" x14ac:dyDescent="0.25">
      <c r="B3725" s="40"/>
      <c r="C3725" s="40"/>
      <c r="E3725" s="80"/>
    </row>
    <row r="3726" spans="2:5" x14ac:dyDescent="0.25">
      <c r="B3726" s="40"/>
      <c r="C3726" s="40"/>
      <c r="E3726" s="80"/>
    </row>
    <row r="3727" spans="2:5" x14ac:dyDescent="0.25">
      <c r="B3727" s="40"/>
      <c r="C3727" s="40"/>
      <c r="E3727" s="80"/>
    </row>
    <row r="3728" spans="2:5" x14ac:dyDescent="0.25">
      <c r="B3728" s="40"/>
      <c r="C3728" s="40"/>
      <c r="E3728" s="80"/>
    </row>
    <row r="3729" spans="2:5" x14ac:dyDescent="0.25">
      <c r="B3729" s="40"/>
      <c r="C3729" s="40"/>
      <c r="E3729" s="80"/>
    </row>
    <row r="3730" spans="2:5" x14ac:dyDescent="0.25">
      <c r="B3730" s="40"/>
      <c r="C3730" s="40"/>
      <c r="E3730" s="80"/>
    </row>
    <row r="3731" spans="2:5" x14ac:dyDescent="0.25">
      <c r="B3731" s="40"/>
      <c r="C3731" s="40"/>
      <c r="E3731" s="80"/>
    </row>
    <row r="3732" spans="2:5" x14ac:dyDescent="0.25">
      <c r="B3732" s="40"/>
      <c r="C3732" s="40"/>
      <c r="E3732" s="80"/>
    </row>
    <row r="3733" spans="2:5" x14ac:dyDescent="0.25">
      <c r="B3733" s="40"/>
      <c r="C3733" s="40"/>
      <c r="E3733" s="80"/>
    </row>
    <row r="3734" spans="2:5" x14ac:dyDescent="0.25">
      <c r="B3734" s="40"/>
      <c r="C3734" s="40"/>
      <c r="E3734" s="80"/>
    </row>
    <row r="3735" spans="2:5" x14ac:dyDescent="0.25">
      <c r="B3735" s="40"/>
      <c r="C3735" s="40"/>
      <c r="E3735" s="80"/>
    </row>
    <row r="3736" spans="2:5" x14ac:dyDescent="0.25">
      <c r="B3736" s="40"/>
      <c r="C3736" s="40"/>
      <c r="E3736" s="80"/>
    </row>
    <row r="3737" spans="2:5" x14ac:dyDescent="0.25">
      <c r="B3737" s="40"/>
      <c r="C3737" s="40"/>
      <c r="E3737" s="80"/>
    </row>
    <row r="3738" spans="2:5" x14ac:dyDescent="0.25">
      <c r="B3738" s="40"/>
      <c r="C3738" s="40"/>
      <c r="E3738" s="80"/>
    </row>
    <row r="3739" spans="2:5" x14ac:dyDescent="0.25">
      <c r="B3739" s="40"/>
      <c r="C3739" s="40"/>
      <c r="E3739" s="80"/>
    </row>
    <row r="3740" spans="2:5" x14ac:dyDescent="0.25">
      <c r="B3740" s="40"/>
      <c r="C3740" s="40"/>
      <c r="E3740" s="80"/>
    </row>
    <row r="3741" spans="2:5" x14ac:dyDescent="0.25">
      <c r="B3741" s="40"/>
      <c r="C3741" s="40"/>
      <c r="E3741" s="80"/>
    </row>
    <row r="3742" spans="2:5" x14ac:dyDescent="0.25">
      <c r="B3742" s="40"/>
      <c r="C3742" s="40"/>
      <c r="E3742" s="80"/>
    </row>
    <row r="3743" spans="2:5" x14ac:dyDescent="0.25">
      <c r="B3743" s="40"/>
      <c r="C3743" s="40"/>
      <c r="E3743" s="80"/>
    </row>
    <row r="3744" spans="2:5" x14ac:dyDescent="0.25">
      <c r="B3744" s="40"/>
      <c r="C3744" s="40"/>
      <c r="E3744" s="80"/>
    </row>
    <row r="3745" spans="2:5" x14ac:dyDescent="0.25">
      <c r="B3745" s="40"/>
      <c r="C3745" s="40"/>
      <c r="E3745" s="80"/>
    </row>
    <row r="3746" spans="2:5" x14ac:dyDescent="0.25">
      <c r="B3746" s="40"/>
      <c r="C3746" s="40"/>
      <c r="E3746" s="80"/>
    </row>
    <row r="3747" spans="2:5" x14ac:dyDescent="0.25">
      <c r="B3747" s="40"/>
      <c r="C3747" s="40"/>
      <c r="E3747" s="80"/>
    </row>
    <row r="3748" spans="2:5" x14ac:dyDescent="0.25">
      <c r="B3748" s="40"/>
      <c r="C3748" s="40"/>
      <c r="E3748" s="80"/>
    </row>
    <row r="3749" spans="2:5" x14ac:dyDescent="0.25">
      <c r="B3749" s="40"/>
      <c r="C3749" s="40"/>
      <c r="E3749" s="80"/>
    </row>
    <row r="3750" spans="2:5" x14ac:dyDescent="0.25">
      <c r="B3750" s="40"/>
      <c r="C3750" s="40"/>
      <c r="E3750" s="80"/>
    </row>
    <row r="3751" spans="2:5" x14ac:dyDescent="0.25">
      <c r="B3751" s="40"/>
      <c r="C3751" s="40"/>
      <c r="E3751" s="80"/>
    </row>
    <row r="3752" spans="2:5" x14ac:dyDescent="0.25">
      <c r="B3752" s="40"/>
      <c r="C3752" s="40"/>
      <c r="E3752" s="80"/>
    </row>
    <row r="3753" spans="2:5" x14ac:dyDescent="0.25">
      <c r="B3753" s="40"/>
      <c r="C3753" s="40"/>
      <c r="E3753" s="80"/>
    </row>
    <row r="3754" spans="2:5" x14ac:dyDescent="0.25">
      <c r="B3754" s="40"/>
      <c r="C3754" s="40"/>
      <c r="E3754" s="80"/>
    </row>
    <row r="3755" spans="2:5" x14ac:dyDescent="0.25">
      <c r="B3755" s="40"/>
      <c r="C3755" s="40"/>
      <c r="E3755" s="80"/>
    </row>
    <row r="3756" spans="2:5" x14ac:dyDescent="0.25">
      <c r="B3756" s="40"/>
      <c r="C3756" s="40"/>
      <c r="E3756" s="80"/>
    </row>
    <row r="3757" spans="2:5" x14ac:dyDescent="0.25">
      <c r="B3757" s="40"/>
      <c r="C3757" s="40"/>
      <c r="E3757" s="80"/>
    </row>
    <row r="3758" spans="2:5" x14ac:dyDescent="0.25">
      <c r="B3758" s="40"/>
      <c r="C3758" s="40"/>
      <c r="E3758" s="80"/>
    </row>
    <row r="3759" spans="2:5" x14ac:dyDescent="0.25">
      <c r="B3759" s="40"/>
      <c r="C3759" s="40"/>
      <c r="E3759" s="80"/>
    </row>
    <row r="3760" spans="2:5" x14ac:dyDescent="0.25">
      <c r="B3760" s="40"/>
      <c r="C3760" s="40"/>
      <c r="E3760" s="80"/>
    </row>
    <row r="3761" spans="2:5" x14ac:dyDescent="0.25">
      <c r="B3761" s="40"/>
      <c r="C3761" s="40"/>
      <c r="E3761" s="80"/>
    </row>
    <row r="3762" spans="2:5" x14ac:dyDescent="0.25">
      <c r="B3762" s="40"/>
      <c r="C3762" s="40"/>
      <c r="E3762" s="80"/>
    </row>
    <row r="3763" spans="2:5" x14ac:dyDescent="0.25">
      <c r="B3763" s="40"/>
      <c r="C3763" s="40"/>
      <c r="E3763" s="80"/>
    </row>
    <row r="3764" spans="2:5" x14ac:dyDescent="0.25">
      <c r="B3764" s="40"/>
      <c r="C3764" s="40"/>
      <c r="E3764" s="80"/>
    </row>
    <row r="3765" spans="2:5" x14ac:dyDescent="0.25">
      <c r="B3765" s="40"/>
      <c r="C3765" s="40"/>
      <c r="E3765" s="80"/>
    </row>
    <row r="3766" spans="2:5" x14ac:dyDescent="0.25">
      <c r="B3766" s="40"/>
      <c r="C3766" s="40"/>
      <c r="E3766" s="80"/>
    </row>
    <row r="3767" spans="2:5" x14ac:dyDescent="0.25">
      <c r="B3767" s="40"/>
      <c r="C3767" s="40"/>
      <c r="E3767" s="80"/>
    </row>
    <row r="3768" spans="2:5" x14ac:dyDescent="0.25">
      <c r="B3768" s="40"/>
      <c r="C3768" s="40"/>
      <c r="E3768" s="80"/>
    </row>
    <row r="3769" spans="2:5" x14ac:dyDescent="0.25">
      <c r="B3769" s="40"/>
      <c r="C3769" s="40"/>
      <c r="E3769" s="80"/>
    </row>
    <row r="3770" spans="2:5" x14ac:dyDescent="0.25">
      <c r="B3770" s="40"/>
      <c r="C3770" s="40"/>
      <c r="E3770" s="80"/>
    </row>
    <row r="3771" spans="2:5" x14ac:dyDescent="0.25">
      <c r="B3771" s="40"/>
      <c r="C3771" s="40"/>
      <c r="E3771" s="80"/>
    </row>
    <row r="3772" spans="2:5" x14ac:dyDescent="0.25">
      <c r="B3772" s="40"/>
      <c r="C3772" s="40"/>
      <c r="E3772" s="80"/>
    </row>
    <row r="3773" spans="2:5" x14ac:dyDescent="0.25">
      <c r="B3773" s="40"/>
      <c r="C3773" s="40"/>
      <c r="E3773" s="80"/>
    </row>
    <row r="3774" spans="2:5" x14ac:dyDescent="0.25">
      <c r="B3774" s="40"/>
      <c r="C3774" s="40"/>
      <c r="E3774" s="80"/>
    </row>
    <row r="3775" spans="2:5" x14ac:dyDescent="0.25">
      <c r="B3775" s="40"/>
      <c r="C3775" s="40"/>
      <c r="E3775" s="80"/>
    </row>
    <row r="3776" spans="2:5" x14ac:dyDescent="0.25">
      <c r="B3776" s="40"/>
      <c r="C3776" s="40"/>
      <c r="E3776" s="80"/>
    </row>
    <row r="3777" spans="2:5" x14ac:dyDescent="0.25">
      <c r="B3777" s="40"/>
      <c r="C3777" s="40"/>
      <c r="E3777" s="80"/>
    </row>
    <row r="3778" spans="2:5" x14ac:dyDescent="0.25">
      <c r="B3778" s="40"/>
      <c r="C3778" s="40"/>
      <c r="E3778" s="80"/>
    </row>
    <row r="3779" spans="2:5" x14ac:dyDescent="0.25">
      <c r="B3779" s="40"/>
      <c r="C3779" s="40"/>
      <c r="E3779" s="80"/>
    </row>
    <row r="3780" spans="2:5" x14ac:dyDescent="0.25">
      <c r="B3780" s="40"/>
      <c r="C3780" s="40"/>
      <c r="E3780" s="80"/>
    </row>
    <row r="3781" spans="2:5" x14ac:dyDescent="0.25">
      <c r="B3781" s="40"/>
      <c r="C3781" s="40"/>
      <c r="E3781" s="80"/>
    </row>
    <row r="3782" spans="2:5" x14ac:dyDescent="0.25">
      <c r="B3782" s="40"/>
      <c r="C3782" s="40"/>
      <c r="E3782" s="80"/>
    </row>
    <row r="3783" spans="2:5" x14ac:dyDescent="0.25">
      <c r="B3783" s="40"/>
      <c r="C3783" s="40"/>
      <c r="E3783" s="80"/>
    </row>
    <row r="3784" spans="2:5" x14ac:dyDescent="0.25">
      <c r="B3784" s="40"/>
      <c r="C3784" s="40"/>
      <c r="E3784" s="80"/>
    </row>
    <row r="3785" spans="2:5" x14ac:dyDescent="0.25">
      <c r="B3785" s="40"/>
      <c r="C3785" s="40"/>
      <c r="E3785" s="80"/>
    </row>
    <row r="3786" spans="2:5" x14ac:dyDescent="0.25">
      <c r="B3786" s="40"/>
      <c r="C3786" s="40"/>
      <c r="E3786" s="80"/>
    </row>
    <row r="3787" spans="2:5" x14ac:dyDescent="0.25">
      <c r="B3787" s="40"/>
      <c r="C3787" s="40"/>
      <c r="E3787" s="80"/>
    </row>
    <row r="3788" spans="2:5" x14ac:dyDescent="0.25">
      <c r="B3788" s="40"/>
      <c r="C3788" s="40"/>
      <c r="E3788" s="80"/>
    </row>
    <row r="3789" spans="2:5" x14ac:dyDescent="0.25">
      <c r="B3789" s="40"/>
      <c r="C3789" s="40"/>
      <c r="E3789" s="80"/>
    </row>
    <row r="3790" spans="2:5" x14ac:dyDescent="0.25">
      <c r="B3790" s="40"/>
      <c r="C3790" s="40"/>
      <c r="E3790" s="80"/>
    </row>
    <row r="3791" spans="2:5" x14ac:dyDescent="0.25">
      <c r="B3791" s="40"/>
      <c r="C3791" s="40"/>
      <c r="E3791" s="80"/>
    </row>
    <row r="3792" spans="2:5" x14ac:dyDescent="0.25">
      <c r="B3792" s="40"/>
      <c r="C3792" s="40"/>
      <c r="E3792" s="80"/>
    </row>
    <row r="3793" spans="2:5" x14ac:dyDescent="0.25">
      <c r="B3793" s="40"/>
      <c r="C3793" s="40"/>
      <c r="E3793" s="80"/>
    </row>
    <row r="3794" spans="2:5" x14ac:dyDescent="0.25">
      <c r="B3794" s="40"/>
      <c r="C3794" s="40"/>
      <c r="E3794" s="80"/>
    </row>
    <row r="3795" spans="2:5" x14ac:dyDescent="0.25">
      <c r="B3795" s="40"/>
      <c r="C3795" s="40"/>
      <c r="E3795" s="80"/>
    </row>
    <row r="3796" spans="2:5" x14ac:dyDescent="0.25">
      <c r="B3796" s="40"/>
      <c r="C3796" s="40"/>
      <c r="E3796" s="80"/>
    </row>
    <row r="3797" spans="2:5" x14ac:dyDescent="0.25">
      <c r="B3797" s="40"/>
      <c r="C3797" s="40"/>
      <c r="E3797" s="80"/>
    </row>
    <row r="3798" spans="2:5" x14ac:dyDescent="0.25">
      <c r="B3798" s="40"/>
      <c r="C3798" s="40"/>
      <c r="E3798" s="80"/>
    </row>
    <row r="3799" spans="2:5" x14ac:dyDescent="0.25">
      <c r="B3799" s="40"/>
      <c r="C3799" s="40"/>
      <c r="E3799" s="80"/>
    </row>
    <row r="3800" spans="2:5" x14ac:dyDescent="0.25">
      <c r="B3800" s="40"/>
      <c r="C3800" s="40"/>
      <c r="E3800" s="80"/>
    </row>
    <row r="3801" spans="2:5" x14ac:dyDescent="0.25">
      <c r="B3801" s="40"/>
      <c r="C3801" s="40"/>
      <c r="E3801" s="80"/>
    </row>
    <row r="3802" spans="2:5" x14ac:dyDescent="0.25">
      <c r="B3802" s="40"/>
      <c r="C3802" s="40"/>
      <c r="E3802" s="80"/>
    </row>
    <row r="3803" spans="2:5" x14ac:dyDescent="0.25">
      <c r="B3803" s="40"/>
      <c r="C3803" s="40"/>
      <c r="E3803" s="80"/>
    </row>
    <row r="3804" spans="2:5" x14ac:dyDescent="0.25">
      <c r="B3804" s="40"/>
      <c r="C3804" s="40"/>
      <c r="E3804" s="80"/>
    </row>
    <row r="3805" spans="2:5" x14ac:dyDescent="0.25">
      <c r="B3805" s="40"/>
      <c r="C3805" s="40"/>
      <c r="E3805" s="80"/>
    </row>
    <row r="3806" spans="2:5" x14ac:dyDescent="0.25">
      <c r="B3806" s="40"/>
      <c r="C3806" s="40"/>
      <c r="E3806" s="80"/>
    </row>
    <row r="3807" spans="2:5" x14ac:dyDescent="0.25">
      <c r="B3807" s="40"/>
      <c r="C3807" s="40"/>
      <c r="E3807" s="80"/>
    </row>
    <row r="3808" spans="2:5" x14ac:dyDescent="0.25">
      <c r="B3808" s="40"/>
      <c r="C3808" s="40"/>
      <c r="E3808" s="80"/>
    </row>
    <row r="3809" spans="2:5" x14ac:dyDescent="0.25">
      <c r="B3809" s="40"/>
      <c r="C3809" s="40"/>
      <c r="E3809" s="80"/>
    </row>
    <row r="3810" spans="2:5" x14ac:dyDescent="0.25">
      <c r="B3810" s="40"/>
      <c r="C3810" s="40"/>
      <c r="E3810" s="80"/>
    </row>
    <row r="3811" spans="2:5" x14ac:dyDescent="0.25">
      <c r="B3811" s="40"/>
      <c r="C3811" s="40"/>
      <c r="E3811" s="80"/>
    </row>
    <row r="3812" spans="2:5" x14ac:dyDescent="0.25">
      <c r="B3812" s="40"/>
      <c r="C3812" s="40"/>
      <c r="E3812" s="80"/>
    </row>
    <row r="3813" spans="2:5" x14ac:dyDescent="0.25">
      <c r="B3813" s="40"/>
      <c r="C3813" s="40"/>
      <c r="E3813" s="80"/>
    </row>
    <row r="3814" spans="2:5" x14ac:dyDescent="0.25">
      <c r="B3814" s="40"/>
      <c r="C3814" s="40"/>
      <c r="E3814" s="80"/>
    </row>
    <row r="3815" spans="2:5" x14ac:dyDescent="0.25">
      <c r="B3815" s="40"/>
      <c r="C3815" s="40"/>
      <c r="E3815" s="80"/>
    </row>
    <row r="3816" spans="2:5" x14ac:dyDescent="0.25">
      <c r="B3816" s="40"/>
      <c r="C3816" s="40"/>
      <c r="E3816" s="80"/>
    </row>
    <row r="3817" spans="2:5" x14ac:dyDescent="0.25">
      <c r="B3817" s="40"/>
      <c r="C3817" s="40"/>
      <c r="E3817" s="80"/>
    </row>
    <row r="3818" spans="2:5" x14ac:dyDescent="0.25">
      <c r="B3818" s="40"/>
      <c r="C3818" s="40"/>
      <c r="E3818" s="80"/>
    </row>
    <row r="3819" spans="2:5" x14ac:dyDescent="0.25">
      <c r="B3819" s="40"/>
      <c r="C3819" s="40"/>
      <c r="E3819" s="80"/>
    </row>
    <row r="3820" spans="2:5" x14ac:dyDescent="0.25">
      <c r="B3820" s="40"/>
      <c r="C3820" s="40"/>
      <c r="E3820" s="80"/>
    </row>
    <row r="3821" spans="2:5" x14ac:dyDescent="0.25">
      <c r="B3821" s="40"/>
      <c r="C3821" s="40"/>
      <c r="E3821" s="80"/>
    </row>
    <row r="3822" spans="2:5" x14ac:dyDescent="0.25">
      <c r="B3822" s="40"/>
      <c r="C3822" s="40"/>
      <c r="E3822" s="80"/>
    </row>
    <row r="3823" spans="2:5" x14ac:dyDescent="0.25">
      <c r="B3823" s="40"/>
      <c r="C3823" s="40"/>
      <c r="E3823" s="80"/>
    </row>
    <row r="3824" spans="2:5" x14ac:dyDescent="0.25">
      <c r="B3824" s="40"/>
      <c r="C3824" s="40"/>
      <c r="E3824" s="80"/>
    </row>
    <row r="3825" spans="2:5" x14ac:dyDescent="0.25">
      <c r="B3825" s="40"/>
      <c r="C3825" s="40"/>
      <c r="E3825" s="80"/>
    </row>
    <row r="3826" spans="2:5" x14ac:dyDescent="0.25">
      <c r="B3826" s="40"/>
      <c r="C3826" s="40"/>
      <c r="E3826" s="80"/>
    </row>
    <row r="3827" spans="2:5" x14ac:dyDescent="0.25">
      <c r="B3827" s="40"/>
      <c r="C3827" s="40"/>
      <c r="E3827" s="80"/>
    </row>
    <row r="3828" spans="2:5" x14ac:dyDescent="0.25">
      <c r="B3828" s="40"/>
      <c r="C3828" s="40"/>
      <c r="E3828" s="80"/>
    </row>
    <row r="3829" spans="2:5" x14ac:dyDescent="0.25">
      <c r="B3829" s="40"/>
      <c r="C3829" s="40"/>
      <c r="E3829" s="80"/>
    </row>
    <row r="3830" spans="2:5" x14ac:dyDescent="0.25">
      <c r="B3830" s="40"/>
      <c r="C3830" s="40"/>
      <c r="E3830" s="80"/>
    </row>
    <row r="3831" spans="2:5" x14ac:dyDescent="0.25">
      <c r="B3831" s="40"/>
      <c r="C3831" s="40"/>
      <c r="E3831" s="80"/>
    </row>
    <row r="3832" spans="2:5" x14ac:dyDescent="0.25">
      <c r="B3832" s="40"/>
      <c r="C3832" s="40"/>
      <c r="E3832" s="80"/>
    </row>
    <row r="3833" spans="2:5" x14ac:dyDescent="0.25">
      <c r="B3833" s="40"/>
      <c r="C3833" s="40"/>
      <c r="E3833" s="80"/>
    </row>
    <row r="3834" spans="2:5" x14ac:dyDescent="0.25">
      <c r="B3834" s="40"/>
      <c r="C3834" s="40"/>
      <c r="E3834" s="80"/>
    </row>
    <row r="3835" spans="2:5" x14ac:dyDescent="0.25">
      <c r="B3835" s="40"/>
      <c r="C3835" s="40"/>
      <c r="E3835" s="80"/>
    </row>
    <row r="3836" spans="2:5" x14ac:dyDescent="0.25">
      <c r="B3836" s="40"/>
      <c r="C3836" s="40"/>
      <c r="E3836" s="80"/>
    </row>
    <row r="3837" spans="2:5" x14ac:dyDescent="0.25">
      <c r="B3837" s="40"/>
      <c r="C3837" s="40"/>
      <c r="E3837" s="80"/>
    </row>
    <row r="3838" spans="2:5" x14ac:dyDescent="0.25">
      <c r="B3838" s="40"/>
      <c r="C3838" s="40"/>
      <c r="E3838" s="80"/>
    </row>
    <row r="3839" spans="2:5" x14ac:dyDescent="0.25">
      <c r="B3839" s="40"/>
      <c r="C3839" s="40"/>
      <c r="E3839" s="80"/>
    </row>
    <row r="3840" spans="2:5" x14ac:dyDescent="0.25">
      <c r="B3840" s="40"/>
      <c r="C3840" s="40"/>
      <c r="E3840" s="80"/>
    </row>
    <row r="3841" spans="2:5" x14ac:dyDescent="0.25">
      <c r="B3841" s="40"/>
      <c r="C3841" s="40"/>
      <c r="E3841" s="80"/>
    </row>
    <row r="3842" spans="2:5" x14ac:dyDescent="0.25">
      <c r="B3842" s="40"/>
      <c r="C3842" s="40"/>
      <c r="E3842" s="80"/>
    </row>
    <row r="3843" spans="2:5" x14ac:dyDescent="0.25">
      <c r="B3843" s="40"/>
      <c r="C3843" s="40"/>
      <c r="E3843" s="80"/>
    </row>
    <row r="3844" spans="2:5" x14ac:dyDescent="0.25">
      <c r="B3844" s="40"/>
      <c r="C3844" s="40"/>
      <c r="E3844" s="80"/>
    </row>
    <row r="3845" spans="2:5" x14ac:dyDescent="0.25">
      <c r="B3845" s="40"/>
      <c r="C3845" s="40"/>
      <c r="E3845" s="80"/>
    </row>
    <row r="3846" spans="2:5" x14ac:dyDescent="0.25">
      <c r="B3846" s="40"/>
      <c r="C3846" s="40"/>
      <c r="E3846" s="80"/>
    </row>
    <row r="3847" spans="2:5" x14ac:dyDescent="0.25">
      <c r="B3847" s="40"/>
      <c r="C3847" s="40"/>
      <c r="E3847" s="80"/>
    </row>
    <row r="3848" spans="2:5" x14ac:dyDescent="0.25">
      <c r="B3848" s="40"/>
      <c r="C3848" s="40"/>
      <c r="E3848" s="80"/>
    </row>
    <row r="3849" spans="2:5" x14ac:dyDescent="0.25">
      <c r="B3849" s="40"/>
      <c r="C3849" s="40"/>
      <c r="E3849" s="80"/>
    </row>
    <row r="3850" spans="2:5" x14ac:dyDescent="0.25">
      <c r="B3850" s="40"/>
      <c r="C3850" s="40"/>
      <c r="E3850" s="80"/>
    </row>
    <row r="3851" spans="2:5" x14ac:dyDescent="0.25">
      <c r="B3851" s="40"/>
      <c r="C3851" s="40"/>
      <c r="E3851" s="80"/>
    </row>
    <row r="3852" spans="2:5" x14ac:dyDescent="0.25">
      <c r="B3852" s="40"/>
      <c r="C3852" s="40"/>
      <c r="E3852" s="80"/>
    </row>
    <row r="3853" spans="2:5" x14ac:dyDescent="0.25">
      <c r="B3853" s="40"/>
      <c r="C3853" s="40"/>
      <c r="E3853" s="80"/>
    </row>
    <row r="3854" spans="2:5" x14ac:dyDescent="0.25">
      <c r="B3854" s="40"/>
      <c r="C3854" s="40"/>
      <c r="E3854" s="80"/>
    </row>
    <row r="3855" spans="2:5" x14ac:dyDescent="0.25">
      <c r="B3855" s="40"/>
      <c r="C3855" s="40"/>
      <c r="E3855" s="80"/>
    </row>
    <row r="3856" spans="2:5" x14ac:dyDescent="0.25">
      <c r="B3856" s="40"/>
      <c r="C3856" s="40"/>
      <c r="E3856" s="80"/>
    </row>
    <row r="3857" spans="2:5" x14ac:dyDescent="0.25">
      <c r="B3857" s="40"/>
      <c r="C3857" s="40"/>
      <c r="E3857" s="80"/>
    </row>
    <row r="3858" spans="2:5" x14ac:dyDescent="0.25">
      <c r="B3858" s="40"/>
      <c r="C3858" s="40"/>
      <c r="E3858" s="80"/>
    </row>
    <row r="3859" spans="2:5" x14ac:dyDescent="0.25">
      <c r="B3859" s="40"/>
      <c r="C3859" s="40"/>
      <c r="E3859" s="80"/>
    </row>
    <row r="3860" spans="2:5" x14ac:dyDescent="0.25">
      <c r="B3860" s="40"/>
      <c r="C3860" s="40"/>
      <c r="E3860" s="80"/>
    </row>
    <row r="3861" spans="2:5" x14ac:dyDescent="0.25">
      <c r="B3861" s="40"/>
      <c r="C3861" s="40"/>
      <c r="E3861" s="80"/>
    </row>
    <row r="3862" spans="2:5" x14ac:dyDescent="0.25">
      <c r="B3862" s="40"/>
      <c r="C3862" s="40"/>
      <c r="E3862" s="80"/>
    </row>
    <row r="3863" spans="2:5" x14ac:dyDescent="0.25">
      <c r="B3863" s="40"/>
      <c r="C3863" s="40"/>
      <c r="E3863" s="80"/>
    </row>
    <row r="3864" spans="2:5" x14ac:dyDescent="0.25">
      <c r="B3864" s="40"/>
      <c r="C3864" s="40"/>
      <c r="E3864" s="80"/>
    </row>
    <row r="3865" spans="2:5" x14ac:dyDescent="0.25">
      <c r="B3865" s="40"/>
      <c r="C3865" s="40"/>
      <c r="E3865" s="80"/>
    </row>
    <row r="3866" spans="2:5" x14ac:dyDescent="0.25">
      <c r="B3866" s="40"/>
      <c r="C3866" s="40"/>
      <c r="E3866" s="80"/>
    </row>
    <row r="3867" spans="2:5" x14ac:dyDescent="0.25">
      <c r="B3867" s="40"/>
      <c r="C3867" s="40"/>
      <c r="E3867" s="80"/>
    </row>
    <row r="3868" spans="2:5" x14ac:dyDescent="0.25">
      <c r="B3868" s="40"/>
      <c r="C3868" s="40"/>
      <c r="E3868" s="80"/>
    </row>
    <row r="3869" spans="2:5" x14ac:dyDescent="0.25">
      <c r="B3869" s="40"/>
      <c r="C3869" s="40"/>
      <c r="E3869" s="80"/>
    </row>
    <row r="3870" spans="2:5" x14ac:dyDescent="0.25">
      <c r="B3870" s="40"/>
      <c r="C3870" s="40"/>
      <c r="E3870" s="80"/>
    </row>
    <row r="3871" spans="2:5" x14ac:dyDescent="0.25">
      <c r="B3871" s="40"/>
      <c r="C3871" s="40"/>
      <c r="E3871" s="80"/>
    </row>
    <row r="3872" spans="2:5" x14ac:dyDescent="0.25">
      <c r="B3872" s="40"/>
      <c r="C3872" s="40"/>
      <c r="E3872" s="80"/>
    </row>
    <row r="3873" spans="2:5" x14ac:dyDescent="0.25">
      <c r="B3873" s="40"/>
      <c r="C3873" s="40"/>
      <c r="E3873" s="80"/>
    </row>
    <row r="3874" spans="2:5" x14ac:dyDescent="0.25">
      <c r="B3874" s="40"/>
      <c r="C3874" s="40"/>
      <c r="E3874" s="80"/>
    </row>
    <row r="3875" spans="2:5" x14ac:dyDescent="0.25">
      <c r="B3875" s="40"/>
      <c r="C3875" s="40"/>
      <c r="E3875" s="80"/>
    </row>
    <row r="3876" spans="2:5" x14ac:dyDescent="0.25">
      <c r="B3876" s="40"/>
      <c r="C3876" s="40"/>
      <c r="E3876" s="80"/>
    </row>
    <row r="3877" spans="2:5" x14ac:dyDescent="0.25">
      <c r="B3877" s="40"/>
      <c r="C3877" s="40"/>
      <c r="E3877" s="80"/>
    </row>
    <row r="3878" spans="2:5" x14ac:dyDescent="0.25">
      <c r="B3878" s="40"/>
      <c r="C3878" s="40"/>
      <c r="E3878" s="80"/>
    </row>
    <row r="3879" spans="2:5" x14ac:dyDescent="0.25">
      <c r="B3879" s="40"/>
      <c r="C3879" s="40"/>
      <c r="E3879" s="80"/>
    </row>
    <row r="3880" spans="2:5" x14ac:dyDescent="0.25">
      <c r="B3880" s="40"/>
      <c r="C3880" s="40"/>
      <c r="E3880" s="80"/>
    </row>
    <row r="3881" spans="2:5" x14ac:dyDescent="0.25">
      <c r="B3881" s="40"/>
      <c r="C3881" s="40"/>
      <c r="E3881" s="80"/>
    </row>
    <row r="3882" spans="2:5" x14ac:dyDescent="0.25">
      <c r="B3882" s="40"/>
      <c r="C3882" s="40"/>
      <c r="E3882" s="80"/>
    </row>
    <row r="3883" spans="2:5" x14ac:dyDescent="0.25">
      <c r="B3883" s="40"/>
      <c r="C3883" s="40"/>
      <c r="E3883" s="80"/>
    </row>
    <row r="3884" spans="2:5" x14ac:dyDescent="0.25">
      <c r="B3884" s="40"/>
      <c r="C3884" s="40"/>
      <c r="E3884" s="80"/>
    </row>
    <row r="3885" spans="2:5" x14ac:dyDescent="0.25">
      <c r="B3885" s="40"/>
      <c r="C3885" s="40"/>
      <c r="E3885" s="80"/>
    </row>
    <row r="3886" spans="2:5" x14ac:dyDescent="0.25">
      <c r="B3886" s="40"/>
      <c r="C3886" s="40"/>
      <c r="E3886" s="80"/>
    </row>
    <row r="3887" spans="2:5" x14ac:dyDescent="0.25">
      <c r="B3887" s="40"/>
      <c r="C3887" s="40"/>
      <c r="E3887" s="80"/>
    </row>
    <row r="3888" spans="2:5" x14ac:dyDescent="0.25">
      <c r="B3888" s="40"/>
      <c r="C3888" s="40"/>
      <c r="E3888" s="80"/>
    </row>
    <row r="3889" spans="2:5" x14ac:dyDescent="0.25">
      <c r="B3889" s="40"/>
      <c r="C3889" s="40"/>
      <c r="E3889" s="80"/>
    </row>
    <row r="3890" spans="2:5" x14ac:dyDescent="0.25">
      <c r="B3890" s="40"/>
      <c r="C3890" s="40"/>
      <c r="E3890" s="80"/>
    </row>
    <row r="3891" spans="2:5" x14ac:dyDescent="0.25">
      <c r="B3891" s="40"/>
      <c r="C3891" s="40"/>
      <c r="E3891" s="80"/>
    </row>
    <row r="3892" spans="2:5" x14ac:dyDescent="0.25">
      <c r="B3892" s="40"/>
      <c r="C3892" s="40"/>
      <c r="E3892" s="80"/>
    </row>
    <row r="3893" spans="2:5" x14ac:dyDescent="0.25">
      <c r="B3893" s="40"/>
      <c r="C3893" s="40"/>
      <c r="E3893" s="80"/>
    </row>
    <row r="3894" spans="2:5" x14ac:dyDescent="0.25">
      <c r="B3894" s="40"/>
      <c r="C3894" s="40"/>
      <c r="E3894" s="80"/>
    </row>
    <row r="3895" spans="2:5" x14ac:dyDescent="0.25">
      <c r="B3895" s="40"/>
      <c r="C3895" s="40"/>
      <c r="E3895" s="80"/>
    </row>
    <row r="3896" spans="2:5" x14ac:dyDescent="0.25">
      <c r="B3896" s="40"/>
      <c r="C3896" s="40"/>
      <c r="E3896" s="80"/>
    </row>
    <row r="3897" spans="2:5" x14ac:dyDescent="0.25">
      <c r="B3897" s="40"/>
      <c r="C3897" s="40"/>
      <c r="E3897" s="80"/>
    </row>
    <row r="3898" spans="2:5" x14ac:dyDescent="0.25">
      <c r="B3898" s="40"/>
      <c r="C3898" s="40"/>
      <c r="E3898" s="80"/>
    </row>
    <row r="3899" spans="2:5" x14ac:dyDescent="0.25">
      <c r="B3899" s="40"/>
      <c r="C3899" s="40"/>
      <c r="E3899" s="80"/>
    </row>
    <row r="3900" spans="2:5" x14ac:dyDescent="0.25">
      <c r="B3900" s="40"/>
      <c r="C3900" s="40"/>
      <c r="E3900" s="80"/>
    </row>
    <row r="3901" spans="2:5" x14ac:dyDescent="0.25">
      <c r="B3901" s="40"/>
      <c r="C3901" s="40"/>
      <c r="E3901" s="80"/>
    </row>
    <row r="3902" spans="2:5" x14ac:dyDescent="0.25">
      <c r="B3902" s="40"/>
      <c r="C3902" s="40"/>
      <c r="E3902" s="80"/>
    </row>
    <row r="3903" spans="2:5" x14ac:dyDescent="0.25">
      <c r="B3903" s="40"/>
      <c r="C3903" s="40"/>
      <c r="E3903" s="80"/>
    </row>
    <row r="3904" spans="2:5" x14ac:dyDescent="0.25">
      <c r="B3904" s="40"/>
      <c r="C3904" s="40"/>
      <c r="E3904" s="80"/>
    </row>
    <row r="3905" spans="2:5" x14ac:dyDescent="0.25">
      <c r="B3905" s="40"/>
      <c r="C3905" s="40"/>
      <c r="E3905" s="80"/>
    </row>
    <row r="3906" spans="2:5" x14ac:dyDescent="0.25">
      <c r="B3906" s="40"/>
      <c r="C3906" s="40"/>
      <c r="E3906" s="80"/>
    </row>
    <row r="3907" spans="2:5" x14ac:dyDescent="0.25">
      <c r="B3907" s="40"/>
      <c r="C3907" s="40"/>
      <c r="E3907" s="80"/>
    </row>
    <row r="3908" spans="2:5" x14ac:dyDescent="0.25">
      <c r="B3908" s="40"/>
      <c r="C3908" s="40"/>
      <c r="E3908" s="80"/>
    </row>
    <row r="3909" spans="2:5" x14ac:dyDescent="0.25">
      <c r="B3909" s="40"/>
      <c r="C3909" s="40"/>
      <c r="E3909" s="80"/>
    </row>
    <row r="3910" spans="2:5" x14ac:dyDescent="0.25">
      <c r="B3910" s="40"/>
      <c r="C3910" s="40"/>
      <c r="E3910" s="80"/>
    </row>
    <row r="3911" spans="2:5" x14ac:dyDescent="0.25">
      <c r="B3911" s="40"/>
      <c r="C3911" s="40"/>
      <c r="E3911" s="80"/>
    </row>
    <row r="3912" spans="2:5" x14ac:dyDescent="0.25">
      <c r="B3912" s="40"/>
      <c r="C3912" s="40"/>
      <c r="E3912" s="80"/>
    </row>
    <row r="3913" spans="2:5" x14ac:dyDescent="0.25">
      <c r="B3913" s="40"/>
      <c r="C3913" s="40"/>
      <c r="E3913" s="80"/>
    </row>
    <row r="3914" spans="2:5" x14ac:dyDescent="0.25">
      <c r="B3914" s="40"/>
      <c r="C3914" s="40"/>
      <c r="E3914" s="80"/>
    </row>
    <row r="3915" spans="2:5" x14ac:dyDescent="0.25">
      <c r="B3915" s="40"/>
      <c r="C3915" s="40"/>
      <c r="E3915" s="80"/>
    </row>
    <row r="3916" spans="2:5" x14ac:dyDescent="0.25">
      <c r="B3916" s="40"/>
      <c r="C3916" s="40"/>
      <c r="E3916" s="80"/>
    </row>
    <row r="3917" spans="2:5" x14ac:dyDescent="0.25">
      <c r="B3917" s="40"/>
      <c r="C3917" s="40"/>
      <c r="E3917" s="80"/>
    </row>
    <row r="3918" spans="2:5" x14ac:dyDescent="0.25">
      <c r="B3918" s="40"/>
      <c r="C3918" s="40"/>
      <c r="E3918" s="80"/>
    </row>
    <row r="3919" spans="2:5" x14ac:dyDescent="0.25">
      <c r="B3919" s="40"/>
      <c r="C3919" s="40"/>
      <c r="E3919" s="80"/>
    </row>
    <row r="3920" spans="2:5" x14ac:dyDescent="0.25">
      <c r="B3920" s="40"/>
      <c r="C3920" s="40"/>
      <c r="E3920" s="80"/>
    </row>
    <row r="3921" spans="2:5" x14ac:dyDescent="0.25">
      <c r="B3921" s="40"/>
      <c r="C3921" s="40"/>
      <c r="E3921" s="80"/>
    </row>
    <row r="3922" spans="2:5" x14ac:dyDescent="0.25">
      <c r="B3922" s="40"/>
      <c r="C3922" s="40"/>
      <c r="E3922" s="80"/>
    </row>
    <row r="3923" spans="2:5" x14ac:dyDescent="0.25">
      <c r="B3923" s="40"/>
      <c r="C3923" s="40"/>
      <c r="E3923" s="80"/>
    </row>
    <row r="3924" spans="2:5" x14ac:dyDescent="0.25">
      <c r="B3924" s="40"/>
      <c r="C3924" s="40"/>
      <c r="E3924" s="80"/>
    </row>
    <row r="3925" spans="2:5" x14ac:dyDescent="0.25">
      <c r="B3925" s="40"/>
      <c r="C3925" s="40"/>
      <c r="E3925" s="80"/>
    </row>
    <row r="3926" spans="2:5" x14ac:dyDescent="0.25">
      <c r="B3926" s="40"/>
      <c r="C3926" s="40"/>
      <c r="E3926" s="80"/>
    </row>
    <row r="3927" spans="2:5" x14ac:dyDescent="0.25">
      <c r="B3927" s="40"/>
      <c r="C3927" s="40"/>
      <c r="E3927" s="80"/>
    </row>
    <row r="3928" spans="2:5" x14ac:dyDescent="0.25">
      <c r="B3928" s="40"/>
      <c r="C3928" s="40"/>
      <c r="E3928" s="80"/>
    </row>
    <row r="3929" spans="2:5" x14ac:dyDescent="0.25">
      <c r="B3929" s="40"/>
      <c r="C3929" s="40"/>
      <c r="E3929" s="80"/>
    </row>
    <row r="3930" spans="2:5" x14ac:dyDescent="0.25">
      <c r="B3930" s="40"/>
      <c r="C3930" s="40"/>
      <c r="E3930" s="80"/>
    </row>
    <row r="3931" spans="2:5" x14ac:dyDescent="0.25">
      <c r="B3931" s="40"/>
      <c r="C3931" s="40"/>
      <c r="E3931" s="80"/>
    </row>
    <row r="3932" spans="2:5" x14ac:dyDescent="0.25">
      <c r="B3932" s="40"/>
      <c r="C3932" s="40"/>
      <c r="E3932" s="80"/>
    </row>
    <row r="3933" spans="2:5" x14ac:dyDescent="0.25">
      <c r="B3933" s="40"/>
      <c r="C3933" s="40"/>
      <c r="E3933" s="80"/>
    </row>
    <row r="3934" spans="2:5" x14ac:dyDescent="0.25">
      <c r="B3934" s="40"/>
      <c r="C3934" s="40"/>
      <c r="E3934" s="80"/>
    </row>
    <row r="3935" spans="2:5" x14ac:dyDescent="0.25">
      <c r="B3935" s="40"/>
      <c r="C3935" s="40"/>
      <c r="E3935" s="80"/>
    </row>
    <row r="3936" spans="2:5" x14ac:dyDescent="0.25">
      <c r="B3936" s="40"/>
      <c r="C3936" s="40"/>
      <c r="E3936" s="80"/>
    </row>
    <row r="3937" spans="2:5" x14ac:dyDescent="0.25">
      <c r="B3937" s="40"/>
      <c r="C3937" s="40"/>
      <c r="E3937" s="80"/>
    </row>
    <row r="3938" spans="2:5" x14ac:dyDescent="0.25">
      <c r="B3938" s="40"/>
      <c r="C3938" s="40"/>
      <c r="E3938" s="80"/>
    </row>
    <row r="3939" spans="2:5" x14ac:dyDescent="0.25">
      <c r="B3939" s="40"/>
      <c r="C3939" s="40"/>
      <c r="E3939" s="80"/>
    </row>
    <row r="3940" spans="2:5" x14ac:dyDescent="0.25">
      <c r="B3940" s="40"/>
      <c r="C3940" s="40"/>
      <c r="E3940" s="80"/>
    </row>
    <row r="3941" spans="2:5" x14ac:dyDescent="0.25">
      <c r="B3941" s="40"/>
      <c r="C3941" s="40"/>
      <c r="E3941" s="80"/>
    </row>
    <row r="3942" spans="2:5" x14ac:dyDescent="0.25">
      <c r="B3942" s="40"/>
      <c r="C3942" s="40"/>
      <c r="E3942" s="80"/>
    </row>
    <row r="3943" spans="2:5" x14ac:dyDescent="0.25">
      <c r="B3943" s="40"/>
      <c r="C3943" s="40"/>
      <c r="E3943" s="80"/>
    </row>
    <row r="3944" spans="2:5" x14ac:dyDescent="0.25">
      <c r="B3944" s="40"/>
      <c r="C3944" s="40"/>
      <c r="E3944" s="80"/>
    </row>
    <row r="3945" spans="2:5" x14ac:dyDescent="0.25">
      <c r="B3945" s="40"/>
      <c r="C3945" s="40"/>
      <c r="E3945" s="80"/>
    </row>
    <row r="3946" spans="2:5" x14ac:dyDescent="0.25">
      <c r="B3946" s="40"/>
      <c r="C3946" s="40"/>
      <c r="E3946" s="80"/>
    </row>
    <row r="3947" spans="2:5" x14ac:dyDescent="0.25">
      <c r="B3947" s="40"/>
      <c r="C3947" s="40"/>
      <c r="E3947" s="80"/>
    </row>
    <row r="3948" spans="2:5" x14ac:dyDescent="0.25">
      <c r="B3948" s="40"/>
      <c r="C3948" s="40"/>
      <c r="E3948" s="80"/>
    </row>
    <row r="3949" spans="2:5" x14ac:dyDescent="0.25">
      <c r="B3949" s="40"/>
      <c r="C3949" s="40"/>
      <c r="E3949" s="80"/>
    </row>
    <row r="3950" spans="2:5" x14ac:dyDescent="0.25">
      <c r="B3950" s="40"/>
      <c r="C3950" s="40"/>
      <c r="E3950" s="80"/>
    </row>
    <row r="3951" spans="2:5" x14ac:dyDescent="0.25">
      <c r="B3951" s="40"/>
      <c r="C3951" s="40"/>
      <c r="E3951" s="80"/>
    </row>
    <row r="3952" spans="2:5" x14ac:dyDescent="0.25">
      <c r="B3952" s="40"/>
      <c r="C3952" s="40"/>
      <c r="E3952" s="80"/>
    </row>
    <row r="3953" spans="2:5" x14ac:dyDescent="0.25">
      <c r="B3953" s="40"/>
      <c r="C3953" s="40"/>
      <c r="E3953" s="80"/>
    </row>
    <row r="3954" spans="2:5" x14ac:dyDescent="0.25">
      <c r="B3954" s="40"/>
      <c r="C3954" s="40"/>
      <c r="E3954" s="80"/>
    </row>
    <row r="3955" spans="2:5" x14ac:dyDescent="0.25">
      <c r="B3955" s="40"/>
      <c r="C3955" s="40"/>
      <c r="E3955" s="80"/>
    </row>
    <row r="3956" spans="2:5" x14ac:dyDescent="0.25">
      <c r="B3956" s="40"/>
      <c r="C3956" s="40"/>
      <c r="E3956" s="80"/>
    </row>
    <row r="3957" spans="2:5" x14ac:dyDescent="0.25">
      <c r="B3957" s="40"/>
      <c r="C3957" s="40"/>
      <c r="E3957" s="80"/>
    </row>
    <row r="3958" spans="2:5" x14ac:dyDescent="0.25">
      <c r="B3958" s="40"/>
      <c r="C3958" s="40"/>
      <c r="E3958" s="80"/>
    </row>
    <row r="3959" spans="2:5" x14ac:dyDescent="0.25">
      <c r="B3959" s="40"/>
      <c r="C3959" s="40"/>
      <c r="E3959" s="80"/>
    </row>
    <row r="3960" spans="2:5" x14ac:dyDescent="0.25">
      <c r="B3960" s="40"/>
      <c r="C3960" s="40"/>
      <c r="E3960" s="80"/>
    </row>
    <row r="3961" spans="2:5" x14ac:dyDescent="0.25">
      <c r="B3961" s="40"/>
      <c r="C3961" s="40"/>
      <c r="E3961" s="80"/>
    </row>
    <row r="3962" spans="2:5" x14ac:dyDescent="0.25">
      <c r="B3962" s="40"/>
      <c r="C3962" s="40"/>
      <c r="E3962" s="80"/>
    </row>
    <row r="3963" spans="2:5" x14ac:dyDescent="0.25">
      <c r="B3963" s="40"/>
      <c r="C3963" s="40"/>
      <c r="E3963" s="80"/>
    </row>
    <row r="3964" spans="2:5" x14ac:dyDescent="0.25">
      <c r="B3964" s="40"/>
      <c r="C3964" s="40"/>
      <c r="E3964" s="80"/>
    </row>
    <row r="3965" spans="2:5" x14ac:dyDescent="0.25">
      <c r="B3965" s="40"/>
      <c r="C3965" s="40"/>
      <c r="E3965" s="80"/>
    </row>
    <row r="3966" spans="2:5" x14ac:dyDescent="0.25">
      <c r="B3966" s="40"/>
      <c r="C3966" s="40"/>
      <c r="E3966" s="80"/>
    </row>
    <row r="3967" spans="2:5" x14ac:dyDescent="0.25">
      <c r="B3967" s="40"/>
      <c r="C3967" s="40"/>
      <c r="E3967" s="80"/>
    </row>
    <row r="3968" spans="2:5" x14ac:dyDescent="0.25">
      <c r="B3968" s="40"/>
      <c r="C3968" s="40"/>
      <c r="E3968" s="80"/>
    </row>
    <row r="3969" spans="2:5" x14ac:dyDescent="0.25">
      <c r="B3969" s="40"/>
      <c r="C3969" s="40"/>
      <c r="E3969" s="80"/>
    </row>
    <row r="3970" spans="2:5" x14ac:dyDescent="0.25">
      <c r="B3970" s="40"/>
      <c r="C3970" s="40"/>
      <c r="E3970" s="80"/>
    </row>
    <row r="3971" spans="2:5" x14ac:dyDescent="0.25">
      <c r="B3971" s="40"/>
      <c r="C3971" s="40"/>
      <c r="E3971" s="80"/>
    </row>
    <row r="3972" spans="2:5" x14ac:dyDescent="0.25">
      <c r="B3972" s="40"/>
      <c r="C3972" s="40"/>
      <c r="E3972" s="80"/>
    </row>
    <row r="3973" spans="2:5" x14ac:dyDescent="0.25">
      <c r="B3973" s="40"/>
      <c r="C3973" s="40"/>
      <c r="E3973" s="80"/>
    </row>
    <row r="3974" spans="2:5" x14ac:dyDescent="0.25">
      <c r="B3974" s="40"/>
      <c r="C3974" s="40"/>
      <c r="E3974" s="80"/>
    </row>
    <row r="3975" spans="2:5" x14ac:dyDescent="0.25">
      <c r="B3975" s="40"/>
      <c r="C3975" s="40"/>
      <c r="E3975" s="80"/>
    </row>
    <row r="3976" spans="2:5" x14ac:dyDescent="0.25">
      <c r="B3976" s="40"/>
      <c r="C3976" s="40"/>
      <c r="E3976" s="80"/>
    </row>
    <row r="3977" spans="2:5" x14ac:dyDescent="0.25">
      <c r="B3977" s="40"/>
      <c r="C3977" s="40"/>
      <c r="E3977" s="80"/>
    </row>
    <row r="3978" spans="2:5" x14ac:dyDescent="0.25">
      <c r="B3978" s="40"/>
      <c r="C3978" s="40"/>
      <c r="E3978" s="80"/>
    </row>
    <row r="3979" spans="2:5" x14ac:dyDescent="0.25">
      <c r="B3979" s="40"/>
      <c r="C3979" s="40"/>
      <c r="E3979" s="80"/>
    </row>
    <row r="3980" spans="2:5" x14ac:dyDescent="0.25">
      <c r="B3980" s="40"/>
      <c r="C3980" s="40"/>
      <c r="E3980" s="80"/>
    </row>
    <row r="3981" spans="2:5" x14ac:dyDescent="0.25">
      <c r="B3981" s="40"/>
      <c r="C3981" s="40"/>
      <c r="E3981" s="80"/>
    </row>
    <row r="3982" spans="2:5" x14ac:dyDescent="0.25">
      <c r="B3982" s="40"/>
      <c r="C3982" s="40"/>
      <c r="E3982" s="80"/>
    </row>
    <row r="3983" spans="2:5" x14ac:dyDescent="0.25">
      <c r="B3983" s="40"/>
      <c r="C3983" s="40"/>
      <c r="E3983" s="80"/>
    </row>
    <row r="3984" spans="2:5" x14ac:dyDescent="0.25">
      <c r="B3984" s="40"/>
      <c r="C3984" s="40"/>
      <c r="E3984" s="80"/>
    </row>
    <row r="3985" spans="2:5" x14ac:dyDescent="0.25">
      <c r="B3985" s="40"/>
      <c r="C3985" s="40"/>
      <c r="E3985" s="80"/>
    </row>
    <row r="3986" spans="2:5" x14ac:dyDescent="0.25">
      <c r="B3986" s="40"/>
      <c r="C3986" s="40"/>
      <c r="E3986" s="80"/>
    </row>
    <row r="3987" spans="2:5" x14ac:dyDescent="0.25">
      <c r="B3987" s="40"/>
      <c r="C3987" s="40"/>
      <c r="E3987" s="80"/>
    </row>
    <row r="3988" spans="2:5" x14ac:dyDescent="0.25">
      <c r="B3988" s="40"/>
      <c r="C3988" s="40"/>
      <c r="E3988" s="80"/>
    </row>
    <row r="3989" spans="2:5" x14ac:dyDescent="0.25">
      <c r="B3989" s="40"/>
      <c r="C3989" s="40"/>
      <c r="E3989" s="80"/>
    </row>
    <row r="3990" spans="2:5" x14ac:dyDescent="0.25">
      <c r="B3990" s="40"/>
      <c r="C3990" s="40"/>
      <c r="E3990" s="80"/>
    </row>
    <row r="3991" spans="2:5" x14ac:dyDescent="0.25">
      <c r="B3991" s="40"/>
      <c r="C3991" s="40"/>
      <c r="E3991" s="80"/>
    </row>
    <row r="3992" spans="2:5" x14ac:dyDescent="0.25">
      <c r="B3992" s="40"/>
      <c r="C3992" s="40"/>
      <c r="E3992" s="80"/>
    </row>
    <row r="3993" spans="2:5" x14ac:dyDescent="0.25">
      <c r="B3993" s="40"/>
      <c r="C3993" s="40"/>
      <c r="E3993" s="80"/>
    </row>
    <row r="3994" spans="2:5" x14ac:dyDescent="0.25">
      <c r="B3994" s="40"/>
      <c r="C3994" s="40"/>
      <c r="E3994" s="80"/>
    </row>
    <row r="3995" spans="2:5" x14ac:dyDescent="0.25">
      <c r="B3995" s="40"/>
      <c r="C3995" s="40"/>
      <c r="E3995" s="80"/>
    </row>
    <row r="3996" spans="2:5" x14ac:dyDescent="0.25">
      <c r="B3996" s="40"/>
      <c r="C3996" s="40"/>
      <c r="E3996" s="80"/>
    </row>
    <row r="3997" spans="2:5" x14ac:dyDescent="0.25">
      <c r="B3997" s="40"/>
      <c r="C3997" s="40"/>
      <c r="E3997" s="80"/>
    </row>
    <row r="3998" spans="2:5" x14ac:dyDescent="0.25">
      <c r="B3998" s="40"/>
      <c r="C3998" s="40"/>
      <c r="E3998" s="80"/>
    </row>
    <row r="3999" spans="2:5" x14ac:dyDescent="0.25">
      <c r="B3999" s="40"/>
      <c r="C3999" s="40"/>
      <c r="E3999" s="80"/>
    </row>
    <row r="4000" spans="2:5" x14ac:dyDescent="0.25">
      <c r="B4000" s="40"/>
      <c r="C4000" s="40"/>
      <c r="E4000" s="80"/>
    </row>
    <row r="4001" spans="2:5" x14ac:dyDescent="0.25">
      <c r="B4001" s="40"/>
      <c r="C4001" s="40"/>
      <c r="E4001" s="80"/>
    </row>
    <row r="4002" spans="2:5" x14ac:dyDescent="0.25">
      <c r="B4002" s="40"/>
      <c r="C4002" s="40"/>
      <c r="E4002" s="80"/>
    </row>
    <row r="4003" spans="2:5" x14ac:dyDescent="0.25">
      <c r="B4003" s="40"/>
      <c r="C4003" s="40"/>
      <c r="E4003" s="80"/>
    </row>
    <row r="4004" spans="2:5" x14ac:dyDescent="0.25">
      <c r="B4004" s="40"/>
      <c r="C4004" s="40"/>
      <c r="E4004" s="80"/>
    </row>
    <row r="4005" spans="2:5" x14ac:dyDescent="0.25">
      <c r="B4005" s="40"/>
      <c r="C4005" s="40"/>
      <c r="E4005" s="80"/>
    </row>
    <row r="4006" spans="2:5" x14ac:dyDescent="0.25">
      <c r="B4006" s="40"/>
      <c r="C4006" s="40"/>
      <c r="E4006" s="80"/>
    </row>
    <row r="4007" spans="2:5" x14ac:dyDescent="0.25">
      <c r="B4007" s="40"/>
      <c r="C4007" s="40"/>
      <c r="E4007" s="80"/>
    </row>
    <row r="4008" spans="2:5" x14ac:dyDescent="0.25">
      <c r="B4008" s="40"/>
      <c r="C4008" s="40"/>
      <c r="E4008" s="80"/>
    </row>
    <row r="4009" spans="2:5" x14ac:dyDescent="0.25">
      <c r="B4009" s="40"/>
      <c r="C4009" s="40"/>
      <c r="E4009" s="80"/>
    </row>
    <row r="4010" spans="2:5" x14ac:dyDescent="0.25">
      <c r="B4010" s="40"/>
      <c r="C4010" s="40"/>
      <c r="E4010" s="80"/>
    </row>
    <row r="4011" spans="2:5" x14ac:dyDescent="0.25">
      <c r="B4011" s="40"/>
      <c r="C4011" s="40"/>
      <c r="E4011" s="80"/>
    </row>
    <row r="4012" spans="2:5" x14ac:dyDescent="0.25">
      <c r="B4012" s="40"/>
      <c r="C4012" s="40"/>
      <c r="E4012" s="80"/>
    </row>
    <row r="4013" spans="2:5" x14ac:dyDescent="0.25">
      <c r="B4013" s="40"/>
      <c r="C4013" s="40"/>
      <c r="E4013" s="80"/>
    </row>
    <row r="4014" spans="2:5" x14ac:dyDescent="0.25">
      <c r="B4014" s="40"/>
      <c r="C4014" s="40"/>
      <c r="E4014" s="80"/>
    </row>
    <row r="4015" spans="2:5" x14ac:dyDescent="0.25">
      <c r="B4015" s="40"/>
      <c r="C4015" s="40"/>
      <c r="E4015" s="80"/>
    </row>
    <row r="4016" spans="2:5" x14ac:dyDescent="0.25">
      <c r="B4016" s="40"/>
      <c r="C4016" s="40"/>
      <c r="E4016" s="80"/>
    </row>
    <row r="4017" spans="2:5" x14ac:dyDescent="0.25">
      <c r="B4017" s="40"/>
      <c r="C4017" s="40"/>
      <c r="E4017" s="80"/>
    </row>
    <row r="4018" spans="2:5" x14ac:dyDescent="0.25">
      <c r="B4018" s="40"/>
      <c r="C4018" s="40"/>
      <c r="E4018" s="80"/>
    </row>
    <row r="4019" spans="2:5" x14ac:dyDescent="0.25">
      <c r="B4019" s="40"/>
      <c r="C4019" s="40"/>
      <c r="E4019" s="80"/>
    </row>
    <row r="4020" spans="2:5" x14ac:dyDescent="0.25">
      <c r="B4020" s="40"/>
      <c r="C4020" s="40"/>
      <c r="E4020" s="80"/>
    </row>
    <row r="4021" spans="2:5" x14ac:dyDescent="0.25">
      <c r="B4021" s="40"/>
      <c r="C4021" s="40"/>
      <c r="E4021" s="80"/>
    </row>
    <row r="4022" spans="2:5" x14ac:dyDescent="0.25">
      <c r="B4022" s="40"/>
      <c r="C4022" s="40"/>
      <c r="E4022" s="80"/>
    </row>
    <row r="4023" spans="2:5" x14ac:dyDescent="0.25">
      <c r="B4023" s="40"/>
      <c r="C4023" s="40"/>
      <c r="E4023" s="80"/>
    </row>
    <row r="4024" spans="2:5" x14ac:dyDescent="0.25">
      <c r="B4024" s="40"/>
      <c r="C4024" s="40"/>
      <c r="E4024" s="80"/>
    </row>
    <row r="4025" spans="2:5" x14ac:dyDescent="0.25">
      <c r="B4025" s="40"/>
      <c r="C4025" s="40"/>
      <c r="E4025" s="80"/>
    </row>
    <row r="4026" spans="2:5" x14ac:dyDescent="0.25">
      <c r="B4026" s="40"/>
      <c r="C4026" s="40"/>
      <c r="E4026" s="80"/>
    </row>
    <row r="4027" spans="2:5" x14ac:dyDescent="0.25">
      <c r="B4027" s="40"/>
      <c r="C4027" s="40"/>
      <c r="E4027" s="80"/>
    </row>
    <row r="4028" spans="2:5" x14ac:dyDescent="0.25">
      <c r="B4028" s="40"/>
      <c r="C4028" s="40"/>
      <c r="E4028" s="80"/>
    </row>
    <row r="4029" spans="2:5" x14ac:dyDescent="0.25">
      <c r="B4029" s="40"/>
      <c r="C4029" s="40"/>
      <c r="E4029" s="80"/>
    </row>
    <row r="4030" spans="2:5" x14ac:dyDescent="0.25">
      <c r="B4030" s="40"/>
      <c r="C4030" s="40"/>
      <c r="E4030" s="80"/>
    </row>
    <row r="4031" spans="2:5" x14ac:dyDescent="0.25">
      <c r="B4031" s="40"/>
      <c r="C4031" s="40"/>
      <c r="E4031" s="80"/>
    </row>
    <row r="4032" spans="2:5" x14ac:dyDescent="0.25">
      <c r="B4032" s="40"/>
      <c r="C4032" s="40"/>
      <c r="E4032" s="80"/>
    </row>
    <row r="4033" spans="2:5" x14ac:dyDescent="0.25">
      <c r="B4033" s="40"/>
      <c r="C4033" s="40"/>
      <c r="E4033" s="80"/>
    </row>
    <row r="4034" spans="2:5" x14ac:dyDescent="0.25">
      <c r="B4034" s="40"/>
      <c r="C4034" s="40"/>
      <c r="E4034" s="80"/>
    </row>
    <row r="4035" spans="2:5" x14ac:dyDescent="0.25">
      <c r="B4035" s="40"/>
      <c r="C4035" s="40"/>
      <c r="E4035" s="80"/>
    </row>
    <row r="4036" spans="2:5" x14ac:dyDescent="0.25">
      <c r="B4036" s="40"/>
      <c r="C4036" s="40"/>
      <c r="E4036" s="80"/>
    </row>
    <row r="4037" spans="2:5" x14ac:dyDescent="0.25">
      <c r="B4037" s="40"/>
      <c r="C4037" s="40"/>
      <c r="E4037" s="80"/>
    </row>
    <row r="4038" spans="2:5" x14ac:dyDescent="0.25">
      <c r="B4038" s="40"/>
      <c r="C4038" s="40"/>
      <c r="E4038" s="80"/>
    </row>
    <row r="4039" spans="2:5" x14ac:dyDescent="0.25">
      <c r="B4039" s="40"/>
      <c r="C4039" s="40"/>
      <c r="E4039" s="80"/>
    </row>
    <row r="4040" spans="2:5" x14ac:dyDescent="0.25">
      <c r="B4040" s="40"/>
      <c r="C4040" s="40"/>
      <c r="E4040" s="80"/>
    </row>
    <row r="4041" spans="2:5" x14ac:dyDescent="0.25">
      <c r="B4041" s="40"/>
      <c r="C4041" s="40"/>
      <c r="E4041" s="80"/>
    </row>
    <row r="4042" spans="2:5" x14ac:dyDescent="0.25">
      <c r="B4042" s="40"/>
      <c r="C4042" s="40"/>
      <c r="E4042" s="80"/>
    </row>
    <row r="4043" spans="2:5" x14ac:dyDescent="0.25">
      <c r="B4043" s="40"/>
      <c r="C4043" s="40"/>
      <c r="E4043" s="80"/>
    </row>
    <row r="4044" spans="2:5" x14ac:dyDescent="0.25">
      <c r="B4044" s="40"/>
      <c r="C4044" s="40"/>
      <c r="E4044" s="80"/>
    </row>
    <row r="4045" spans="2:5" x14ac:dyDescent="0.25">
      <c r="B4045" s="40"/>
      <c r="C4045" s="40"/>
      <c r="E4045" s="80"/>
    </row>
    <row r="4046" spans="2:5" x14ac:dyDescent="0.25">
      <c r="B4046" s="40"/>
      <c r="C4046" s="40"/>
      <c r="E4046" s="80"/>
    </row>
    <row r="4047" spans="2:5" x14ac:dyDescent="0.25">
      <c r="B4047" s="40"/>
      <c r="C4047" s="40"/>
      <c r="E4047" s="80"/>
    </row>
    <row r="4048" spans="2:5" x14ac:dyDescent="0.25">
      <c r="B4048" s="40"/>
      <c r="C4048" s="40"/>
      <c r="E4048" s="80"/>
    </row>
    <row r="4049" spans="2:5" x14ac:dyDescent="0.25">
      <c r="B4049" s="40"/>
      <c r="C4049" s="40"/>
      <c r="E4049" s="80"/>
    </row>
    <row r="4050" spans="2:5" x14ac:dyDescent="0.25">
      <c r="B4050" s="40"/>
      <c r="C4050" s="40"/>
      <c r="E4050" s="80"/>
    </row>
    <row r="4051" spans="2:5" x14ac:dyDescent="0.25">
      <c r="B4051" s="40"/>
      <c r="C4051" s="40"/>
      <c r="E4051" s="80"/>
    </row>
    <row r="4052" spans="2:5" x14ac:dyDescent="0.25">
      <c r="B4052" s="40"/>
      <c r="C4052" s="40"/>
      <c r="E4052" s="80"/>
    </row>
    <row r="4053" spans="2:5" x14ac:dyDescent="0.25">
      <c r="B4053" s="40"/>
      <c r="C4053" s="40"/>
      <c r="E4053" s="80"/>
    </row>
    <row r="4054" spans="2:5" x14ac:dyDescent="0.25">
      <c r="B4054" s="40"/>
      <c r="C4054" s="40"/>
      <c r="E4054" s="80"/>
    </row>
    <row r="4055" spans="2:5" x14ac:dyDescent="0.25">
      <c r="B4055" s="40"/>
      <c r="C4055" s="40"/>
      <c r="E4055" s="80"/>
    </row>
    <row r="4056" spans="2:5" x14ac:dyDescent="0.25">
      <c r="B4056" s="40"/>
      <c r="C4056" s="40"/>
      <c r="E4056" s="80"/>
    </row>
    <row r="4057" spans="2:5" x14ac:dyDescent="0.25">
      <c r="B4057" s="40"/>
      <c r="C4057" s="40"/>
      <c r="E4057" s="80"/>
    </row>
    <row r="4058" spans="2:5" x14ac:dyDescent="0.25">
      <c r="B4058" s="40"/>
      <c r="C4058" s="40"/>
      <c r="E4058" s="80"/>
    </row>
    <row r="4059" spans="2:5" x14ac:dyDescent="0.25">
      <c r="B4059" s="40"/>
      <c r="C4059" s="40"/>
      <c r="E4059" s="80"/>
    </row>
    <row r="4060" spans="2:5" x14ac:dyDescent="0.25">
      <c r="B4060" s="40"/>
      <c r="C4060" s="40"/>
      <c r="E4060" s="80"/>
    </row>
    <row r="4061" spans="2:5" x14ac:dyDescent="0.25">
      <c r="B4061" s="40"/>
      <c r="C4061" s="40"/>
      <c r="E4061" s="80"/>
    </row>
    <row r="4062" spans="2:5" x14ac:dyDescent="0.25">
      <c r="B4062" s="40"/>
      <c r="C4062" s="40"/>
      <c r="E4062" s="80"/>
    </row>
    <row r="4063" spans="2:5" x14ac:dyDescent="0.25">
      <c r="B4063" s="40"/>
      <c r="C4063" s="40"/>
      <c r="E4063" s="80"/>
    </row>
    <row r="4064" spans="2:5" x14ac:dyDescent="0.25">
      <c r="B4064" s="40"/>
      <c r="C4064" s="40"/>
      <c r="E4064" s="80"/>
    </row>
    <row r="4065" spans="2:5" x14ac:dyDescent="0.25">
      <c r="B4065" s="40"/>
      <c r="C4065" s="40"/>
      <c r="E4065" s="80"/>
    </row>
    <row r="4066" spans="2:5" x14ac:dyDescent="0.25">
      <c r="B4066" s="40"/>
      <c r="C4066" s="40"/>
      <c r="E4066" s="80"/>
    </row>
    <row r="4067" spans="2:5" x14ac:dyDescent="0.25">
      <c r="B4067" s="40"/>
      <c r="C4067" s="40"/>
      <c r="E4067" s="80"/>
    </row>
    <row r="4068" spans="2:5" x14ac:dyDescent="0.25">
      <c r="B4068" s="40"/>
      <c r="C4068" s="40"/>
      <c r="E4068" s="80"/>
    </row>
    <row r="4069" spans="2:5" x14ac:dyDescent="0.25">
      <c r="B4069" s="40"/>
      <c r="C4069" s="40"/>
      <c r="E4069" s="80"/>
    </row>
    <row r="4070" spans="2:5" x14ac:dyDescent="0.25">
      <c r="B4070" s="40"/>
      <c r="C4070" s="40"/>
      <c r="E4070" s="80"/>
    </row>
    <row r="4071" spans="2:5" x14ac:dyDescent="0.25">
      <c r="B4071" s="40"/>
      <c r="C4071" s="40"/>
      <c r="E4071" s="80"/>
    </row>
    <row r="4072" spans="2:5" x14ac:dyDescent="0.25">
      <c r="B4072" s="40"/>
      <c r="C4072" s="40"/>
      <c r="E4072" s="80"/>
    </row>
    <row r="4073" spans="2:5" x14ac:dyDescent="0.25">
      <c r="B4073" s="40"/>
      <c r="C4073" s="40"/>
      <c r="E4073" s="80"/>
    </row>
    <row r="4074" spans="2:5" x14ac:dyDescent="0.25">
      <c r="B4074" s="40"/>
      <c r="C4074" s="40"/>
      <c r="E4074" s="80"/>
    </row>
    <row r="4075" spans="2:5" x14ac:dyDescent="0.25">
      <c r="B4075" s="40"/>
      <c r="C4075" s="40"/>
      <c r="E4075" s="80"/>
    </row>
    <row r="4076" spans="2:5" x14ac:dyDescent="0.25">
      <c r="B4076" s="40"/>
      <c r="C4076" s="40"/>
      <c r="E4076" s="80"/>
    </row>
    <row r="4077" spans="2:5" x14ac:dyDescent="0.25">
      <c r="B4077" s="40"/>
      <c r="C4077" s="40"/>
      <c r="E4077" s="80"/>
    </row>
    <row r="4078" spans="2:5" x14ac:dyDescent="0.25">
      <c r="B4078" s="40"/>
      <c r="C4078" s="40"/>
      <c r="E4078" s="80"/>
    </row>
    <row r="4079" spans="2:5" x14ac:dyDescent="0.25">
      <c r="B4079" s="40"/>
      <c r="C4079" s="40"/>
      <c r="E4079" s="80"/>
    </row>
    <row r="4080" spans="2:5" x14ac:dyDescent="0.25">
      <c r="B4080" s="40"/>
      <c r="C4080" s="40"/>
      <c r="E4080" s="80"/>
    </row>
    <row r="4081" spans="2:5" x14ac:dyDescent="0.25">
      <c r="B4081" s="40"/>
      <c r="C4081" s="40"/>
      <c r="E4081" s="80"/>
    </row>
    <row r="4082" spans="2:5" x14ac:dyDescent="0.25">
      <c r="B4082" s="40"/>
      <c r="C4082" s="40"/>
      <c r="E4082" s="80"/>
    </row>
    <row r="4083" spans="2:5" x14ac:dyDescent="0.25">
      <c r="B4083" s="40"/>
      <c r="C4083" s="40"/>
      <c r="E4083" s="80"/>
    </row>
    <row r="4084" spans="2:5" x14ac:dyDescent="0.25">
      <c r="B4084" s="40"/>
      <c r="C4084" s="40"/>
      <c r="E4084" s="80"/>
    </row>
    <row r="4085" spans="2:5" x14ac:dyDescent="0.25">
      <c r="B4085" s="40"/>
      <c r="C4085" s="40"/>
      <c r="E4085" s="80"/>
    </row>
    <row r="4086" spans="2:5" x14ac:dyDescent="0.25">
      <c r="B4086" s="40"/>
      <c r="C4086" s="40"/>
      <c r="E4086" s="80"/>
    </row>
    <row r="4087" spans="2:5" x14ac:dyDescent="0.25">
      <c r="B4087" s="40"/>
      <c r="C4087" s="40"/>
      <c r="E4087" s="80"/>
    </row>
    <row r="4088" spans="2:5" x14ac:dyDescent="0.25">
      <c r="B4088" s="40"/>
      <c r="C4088" s="40"/>
      <c r="E4088" s="80"/>
    </row>
    <row r="4089" spans="2:5" x14ac:dyDescent="0.25">
      <c r="B4089" s="40"/>
      <c r="C4089" s="40"/>
      <c r="E4089" s="80"/>
    </row>
    <row r="4090" spans="2:5" x14ac:dyDescent="0.25">
      <c r="B4090" s="40"/>
      <c r="C4090" s="40"/>
      <c r="E4090" s="80"/>
    </row>
    <row r="4091" spans="2:5" x14ac:dyDescent="0.25">
      <c r="B4091" s="40"/>
      <c r="C4091" s="40"/>
      <c r="E4091" s="80"/>
    </row>
    <row r="4092" spans="2:5" x14ac:dyDescent="0.25">
      <c r="B4092" s="40"/>
      <c r="C4092" s="40"/>
      <c r="E4092" s="80"/>
    </row>
    <row r="4093" spans="2:5" x14ac:dyDescent="0.25">
      <c r="B4093" s="40"/>
      <c r="C4093" s="40"/>
      <c r="E4093" s="80"/>
    </row>
    <row r="4094" spans="2:5" x14ac:dyDescent="0.25">
      <c r="B4094" s="40"/>
      <c r="C4094" s="40"/>
      <c r="E4094" s="80"/>
    </row>
    <row r="4095" spans="2:5" x14ac:dyDescent="0.25">
      <c r="B4095" s="40"/>
      <c r="C4095" s="40"/>
      <c r="E4095" s="80"/>
    </row>
    <row r="4096" spans="2:5" x14ac:dyDescent="0.25">
      <c r="B4096" s="40"/>
      <c r="C4096" s="40"/>
      <c r="E4096" s="80"/>
    </row>
    <row r="4097" spans="2:5" x14ac:dyDescent="0.25">
      <c r="B4097" s="40"/>
      <c r="C4097" s="40"/>
      <c r="E4097" s="80"/>
    </row>
    <row r="4098" spans="2:5" x14ac:dyDescent="0.25">
      <c r="B4098" s="40"/>
      <c r="C4098" s="40"/>
      <c r="E4098" s="80"/>
    </row>
    <row r="4099" spans="2:5" x14ac:dyDescent="0.25">
      <c r="B4099" s="40"/>
      <c r="C4099" s="40"/>
      <c r="E4099" s="80"/>
    </row>
    <row r="4100" spans="2:5" x14ac:dyDescent="0.25">
      <c r="B4100" s="40"/>
      <c r="C4100" s="40"/>
      <c r="E4100" s="80"/>
    </row>
    <row r="4101" spans="2:5" x14ac:dyDescent="0.25">
      <c r="B4101" s="40"/>
      <c r="C4101" s="40"/>
      <c r="E4101" s="80"/>
    </row>
    <row r="4102" spans="2:5" x14ac:dyDescent="0.25">
      <c r="B4102" s="40"/>
      <c r="C4102" s="40"/>
      <c r="E4102" s="80"/>
    </row>
    <row r="4103" spans="2:5" x14ac:dyDescent="0.25">
      <c r="B4103" s="40"/>
      <c r="C4103" s="40"/>
      <c r="E4103" s="80"/>
    </row>
    <row r="4104" spans="2:5" x14ac:dyDescent="0.25">
      <c r="B4104" s="40"/>
      <c r="C4104" s="40"/>
      <c r="E4104" s="80"/>
    </row>
    <row r="4105" spans="2:5" x14ac:dyDescent="0.25">
      <c r="B4105" s="40"/>
      <c r="C4105" s="40"/>
      <c r="E4105" s="80"/>
    </row>
    <row r="4106" spans="2:5" x14ac:dyDescent="0.25">
      <c r="B4106" s="40"/>
      <c r="C4106" s="40"/>
      <c r="E4106" s="80"/>
    </row>
    <row r="4107" spans="2:5" x14ac:dyDescent="0.25">
      <c r="B4107" s="40"/>
      <c r="C4107" s="40"/>
      <c r="E4107" s="80"/>
    </row>
    <row r="4108" spans="2:5" x14ac:dyDescent="0.25">
      <c r="B4108" s="40"/>
      <c r="C4108" s="40"/>
      <c r="E4108" s="80"/>
    </row>
    <row r="4109" spans="2:5" x14ac:dyDescent="0.25">
      <c r="B4109" s="40"/>
      <c r="C4109" s="40"/>
      <c r="E4109" s="80"/>
    </row>
    <row r="4110" spans="2:5" x14ac:dyDescent="0.25">
      <c r="B4110" s="40"/>
      <c r="C4110" s="40"/>
      <c r="E4110" s="80"/>
    </row>
    <row r="4111" spans="2:5" x14ac:dyDescent="0.25">
      <c r="B4111" s="40"/>
      <c r="C4111" s="40"/>
      <c r="E4111" s="80"/>
    </row>
    <row r="4112" spans="2:5" x14ac:dyDescent="0.25">
      <c r="B4112" s="40"/>
      <c r="C4112" s="40"/>
      <c r="E4112" s="80"/>
    </row>
    <row r="4113" spans="2:5" x14ac:dyDescent="0.25">
      <c r="B4113" s="40"/>
      <c r="C4113" s="40"/>
      <c r="E4113" s="80"/>
    </row>
    <row r="4114" spans="2:5" x14ac:dyDescent="0.25">
      <c r="B4114" s="40"/>
      <c r="C4114" s="40"/>
      <c r="E4114" s="80"/>
    </row>
    <row r="4115" spans="2:5" x14ac:dyDescent="0.25">
      <c r="B4115" s="40"/>
      <c r="C4115" s="40"/>
      <c r="E4115" s="80"/>
    </row>
    <row r="4116" spans="2:5" x14ac:dyDescent="0.25">
      <c r="B4116" s="40"/>
      <c r="C4116" s="40"/>
      <c r="E4116" s="80"/>
    </row>
    <row r="4117" spans="2:5" x14ac:dyDescent="0.25">
      <c r="B4117" s="40"/>
      <c r="C4117" s="40"/>
      <c r="E4117" s="80"/>
    </row>
    <row r="4118" spans="2:5" x14ac:dyDescent="0.25">
      <c r="B4118" s="40"/>
      <c r="C4118" s="40"/>
      <c r="E4118" s="80"/>
    </row>
    <row r="4119" spans="2:5" x14ac:dyDescent="0.25">
      <c r="B4119" s="40"/>
      <c r="C4119" s="40"/>
      <c r="E4119" s="80"/>
    </row>
    <row r="4120" spans="2:5" x14ac:dyDescent="0.25">
      <c r="B4120" s="40"/>
      <c r="C4120" s="40"/>
      <c r="E4120" s="80"/>
    </row>
    <row r="4121" spans="2:5" x14ac:dyDescent="0.25">
      <c r="B4121" s="40"/>
      <c r="C4121" s="40"/>
      <c r="E4121" s="80"/>
    </row>
    <row r="4122" spans="2:5" x14ac:dyDescent="0.25">
      <c r="B4122" s="40"/>
      <c r="C4122" s="40"/>
      <c r="E4122" s="80"/>
    </row>
    <row r="4123" spans="2:5" x14ac:dyDescent="0.25">
      <c r="B4123" s="40"/>
      <c r="C4123" s="40"/>
      <c r="E4123" s="80"/>
    </row>
    <row r="4124" spans="2:5" x14ac:dyDescent="0.25">
      <c r="B4124" s="40"/>
      <c r="C4124" s="40"/>
      <c r="E4124" s="80"/>
    </row>
    <row r="4125" spans="2:5" x14ac:dyDescent="0.25">
      <c r="B4125" s="40"/>
      <c r="C4125" s="40"/>
      <c r="E4125" s="80"/>
    </row>
    <row r="4126" spans="2:5" x14ac:dyDescent="0.25">
      <c r="B4126" s="40"/>
      <c r="C4126" s="40"/>
      <c r="E4126" s="80"/>
    </row>
    <row r="4127" spans="2:5" x14ac:dyDescent="0.25">
      <c r="B4127" s="40"/>
      <c r="C4127" s="40"/>
      <c r="E4127" s="80"/>
    </row>
    <row r="4128" spans="2:5" x14ac:dyDescent="0.25">
      <c r="B4128" s="40"/>
      <c r="C4128" s="40"/>
      <c r="E4128" s="80"/>
    </row>
    <row r="4129" spans="2:5" x14ac:dyDescent="0.25">
      <c r="B4129" s="40"/>
      <c r="C4129" s="40"/>
      <c r="E4129" s="80"/>
    </row>
    <row r="4130" spans="2:5" x14ac:dyDescent="0.25">
      <c r="B4130" s="40"/>
      <c r="C4130" s="40"/>
      <c r="E4130" s="80"/>
    </row>
    <row r="4131" spans="2:5" x14ac:dyDescent="0.25">
      <c r="B4131" s="40"/>
      <c r="C4131" s="40"/>
      <c r="E4131" s="80"/>
    </row>
    <row r="4132" spans="2:5" x14ac:dyDescent="0.25">
      <c r="B4132" s="40"/>
      <c r="C4132" s="40"/>
      <c r="E4132" s="80"/>
    </row>
    <row r="4133" spans="2:5" x14ac:dyDescent="0.25">
      <c r="B4133" s="40"/>
      <c r="C4133" s="40"/>
      <c r="E4133" s="80"/>
    </row>
    <row r="4134" spans="2:5" x14ac:dyDescent="0.25">
      <c r="B4134" s="40"/>
      <c r="C4134" s="40"/>
      <c r="E4134" s="80"/>
    </row>
    <row r="4135" spans="2:5" x14ac:dyDescent="0.25">
      <c r="B4135" s="40"/>
      <c r="C4135" s="40"/>
      <c r="E4135" s="80"/>
    </row>
    <row r="4136" spans="2:5" x14ac:dyDescent="0.25">
      <c r="B4136" s="40"/>
      <c r="C4136" s="40"/>
      <c r="E4136" s="80"/>
    </row>
    <row r="4137" spans="2:5" x14ac:dyDescent="0.25">
      <c r="B4137" s="40"/>
      <c r="C4137" s="40"/>
      <c r="E4137" s="80"/>
    </row>
    <row r="4138" spans="2:5" x14ac:dyDescent="0.25">
      <c r="B4138" s="40"/>
      <c r="C4138" s="40"/>
      <c r="E4138" s="80"/>
    </row>
    <row r="4139" spans="2:5" x14ac:dyDescent="0.25">
      <c r="B4139" s="40"/>
      <c r="C4139" s="40"/>
      <c r="E4139" s="80"/>
    </row>
    <row r="4140" spans="2:5" x14ac:dyDescent="0.25">
      <c r="B4140" s="40"/>
      <c r="C4140" s="40"/>
      <c r="E4140" s="80"/>
    </row>
    <row r="4141" spans="2:5" x14ac:dyDescent="0.25">
      <c r="B4141" s="40"/>
      <c r="C4141" s="40"/>
      <c r="E4141" s="80"/>
    </row>
    <row r="4142" spans="2:5" x14ac:dyDescent="0.25">
      <c r="B4142" s="40"/>
      <c r="C4142" s="40"/>
      <c r="E4142" s="80"/>
    </row>
    <row r="4143" spans="2:5" x14ac:dyDescent="0.25">
      <c r="B4143" s="40"/>
      <c r="C4143" s="40"/>
      <c r="E4143" s="80"/>
    </row>
    <row r="4144" spans="2:5" x14ac:dyDescent="0.25">
      <c r="B4144" s="40"/>
      <c r="C4144" s="40"/>
      <c r="E4144" s="80"/>
    </row>
    <row r="4145" spans="2:5" x14ac:dyDescent="0.25">
      <c r="B4145" s="40"/>
      <c r="C4145" s="40"/>
      <c r="E4145" s="80"/>
    </row>
    <row r="4146" spans="2:5" x14ac:dyDescent="0.25">
      <c r="B4146" s="40"/>
      <c r="C4146" s="40"/>
      <c r="E4146" s="80"/>
    </row>
    <row r="4147" spans="2:5" x14ac:dyDescent="0.25">
      <c r="B4147" s="40"/>
      <c r="C4147" s="40"/>
      <c r="E4147" s="80"/>
    </row>
    <row r="4148" spans="2:5" x14ac:dyDescent="0.25">
      <c r="B4148" s="40"/>
      <c r="C4148" s="40"/>
      <c r="E4148" s="80"/>
    </row>
    <row r="4149" spans="2:5" x14ac:dyDescent="0.25">
      <c r="B4149" s="40"/>
      <c r="C4149" s="40"/>
      <c r="E4149" s="80"/>
    </row>
    <row r="4150" spans="2:5" x14ac:dyDescent="0.25">
      <c r="B4150" s="40"/>
      <c r="C4150" s="40"/>
      <c r="E4150" s="80"/>
    </row>
    <row r="4151" spans="2:5" x14ac:dyDescent="0.25">
      <c r="B4151" s="40"/>
      <c r="C4151" s="40"/>
      <c r="E4151" s="80"/>
    </row>
    <row r="4152" spans="2:5" x14ac:dyDescent="0.25">
      <c r="B4152" s="40"/>
      <c r="C4152" s="40"/>
      <c r="E4152" s="80"/>
    </row>
    <row r="4153" spans="2:5" x14ac:dyDescent="0.25">
      <c r="B4153" s="40"/>
      <c r="C4153" s="40"/>
      <c r="E4153" s="80"/>
    </row>
    <row r="4154" spans="2:5" x14ac:dyDescent="0.25">
      <c r="B4154" s="40"/>
      <c r="C4154" s="40"/>
      <c r="E4154" s="80"/>
    </row>
    <row r="4155" spans="2:5" x14ac:dyDescent="0.25">
      <c r="B4155" s="40"/>
      <c r="C4155" s="40"/>
      <c r="E4155" s="80"/>
    </row>
    <row r="4156" spans="2:5" x14ac:dyDescent="0.25">
      <c r="B4156" s="40"/>
      <c r="C4156" s="40"/>
      <c r="E4156" s="80"/>
    </row>
    <row r="4157" spans="2:5" x14ac:dyDescent="0.25">
      <c r="B4157" s="40"/>
      <c r="C4157" s="40"/>
      <c r="E4157" s="80"/>
    </row>
    <row r="4158" spans="2:5" x14ac:dyDescent="0.25">
      <c r="B4158" s="40"/>
      <c r="C4158" s="40"/>
      <c r="E4158" s="80"/>
    </row>
    <row r="4159" spans="2:5" x14ac:dyDescent="0.25">
      <c r="B4159" s="40"/>
      <c r="C4159" s="40"/>
      <c r="E4159" s="80"/>
    </row>
    <row r="4160" spans="2:5" x14ac:dyDescent="0.25">
      <c r="B4160" s="40"/>
      <c r="C4160" s="40"/>
      <c r="E4160" s="80"/>
    </row>
    <row r="4161" spans="2:5" x14ac:dyDescent="0.25">
      <c r="B4161" s="40"/>
      <c r="C4161" s="40"/>
      <c r="E4161" s="80"/>
    </row>
    <row r="4162" spans="2:5" x14ac:dyDescent="0.25">
      <c r="B4162" s="40"/>
      <c r="C4162" s="40"/>
      <c r="E4162" s="80"/>
    </row>
    <row r="4163" spans="2:5" x14ac:dyDescent="0.25">
      <c r="B4163" s="40"/>
      <c r="C4163" s="40"/>
      <c r="E4163" s="80"/>
    </row>
    <row r="4164" spans="2:5" x14ac:dyDescent="0.25">
      <c r="B4164" s="40"/>
      <c r="C4164" s="40"/>
      <c r="E4164" s="80"/>
    </row>
    <row r="4165" spans="2:5" x14ac:dyDescent="0.25">
      <c r="B4165" s="40"/>
      <c r="C4165" s="40"/>
      <c r="E4165" s="80"/>
    </row>
    <row r="4166" spans="2:5" x14ac:dyDescent="0.25">
      <c r="B4166" s="40"/>
      <c r="C4166" s="40"/>
      <c r="E4166" s="80"/>
    </row>
    <row r="4167" spans="2:5" x14ac:dyDescent="0.25">
      <c r="B4167" s="40"/>
      <c r="C4167" s="40"/>
      <c r="E4167" s="80"/>
    </row>
    <row r="4168" spans="2:5" x14ac:dyDescent="0.25">
      <c r="B4168" s="40"/>
      <c r="C4168" s="40"/>
      <c r="E4168" s="80"/>
    </row>
    <row r="4169" spans="2:5" x14ac:dyDescent="0.25">
      <c r="B4169" s="40"/>
      <c r="C4169" s="40"/>
      <c r="E4169" s="80"/>
    </row>
    <row r="4170" spans="2:5" x14ac:dyDescent="0.25">
      <c r="B4170" s="40"/>
      <c r="C4170" s="40"/>
      <c r="E4170" s="80"/>
    </row>
    <row r="4171" spans="2:5" x14ac:dyDescent="0.25">
      <c r="B4171" s="40"/>
      <c r="C4171" s="40"/>
      <c r="E4171" s="80"/>
    </row>
    <row r="4172" spans="2:5" x14ac:dyDescent="0.25">
      <c r="B4172" s="40"/>
      <c r="C4172" s="40"/>
      <c r="E4172" s="80"/>
    </row>
    <row r="4173" spans="2:5" x14ac:dyDescent="0.25">
      <c r="B4173" s="40"/>
      <c r="C4173" s="40"/>
      <c r="E4173" s="80"/>
    </row>
    <row r="4174" spans="2:5" x14ac:dyDescent="0.25">
      <c r="B4174" s="40"/>
      <c r="C4174" s="40"/>
      <c r="E4174" s="80"/>
    </row>
    <row r="4175" spans="2:5" x14ac:dyDescent="0.25">
      <c r="B4175" s="40"/>
      <c r="C4175" s="40"/>
      <c r="E4175" s="80"/>
    </row>
    <row r="4176" spans="2:5" x14ac:dyDescent="0.25">
      <c r="B4176" s="40"/>
      <c r="C4176" s="40"/>
      <c r="E4176" s="80"/>
    </row>
    <row r="4177" spans="2:5" x14ac:dyDescent="0.25">
      <c r="B4177" s="40"/>
      <c r="C4177" s="40"/>
      <c r="E4177" s="80"/>
    </row>
    <row r="4178" spans="2:5" x14ac:dyDescent="0.25">
      <c r="B4178" s="40"/>
      <c r="C4178" s="40"/>
      <c r="E4178" s="80"/>
    </row>
    <row r="4179" spans="2:5" x14ac:dyDescent="0.25">
      <c r="B4179" s="40"/>
      <c r="C4179" s="40"/>
      <c r="E4179" s="80"/>
    </row>
    <row r="4180" spans="2:5" x14ac:dyDescent="0.25">
      <c r="B4180" s="40"/>
      <c r="C4180" s="40"/>
      <c r="E4180" s="80"/>
    </row>
    <row r="4181" spans="2:5" x14ac:dyDescent="0.25">
      <c r="B4181" s="40"/>
      <c r="C4181" s="40"/>
      <c r="E4181" s="80"/>
    </row>
    <row r="4182" spans="2:5" x14ac:dyDescent="0.25">
      <c r="B4182" s="40"/>
      <c r="C4182" s="40"/>
      <c r="E4182" s="80"/>
    </row>
    <row r="4183" spans="2:5" x14ac:dyDescent="0.25">
      <c r="B4183" s="40"/>
      <c r="C4183" s="40"/>
      <c r="E4183" s="80"/>
    </row>
    <row r="4184" spans="2:5" x14ac:dyDescent="0.25">
      <c r="B4184" s="40"/>
      <c r="C4184" s="40"/>
      <c r="E4184" s="80"/>
    </row>
    <row r="4185" spans="2:5" x14ac:dyDescent="0.25">
      <c r="B4185" s="40"/>
      <c r="C4185" s="40"/>
      <c r="E4185" s="80"/>
    </row>
    <row r="4186" spans="2:5" x14ac:dyDescent="0.25">
      <c r="B4186" s="40"/>
      <c r="C4186" s="40"/>
      <c r="E4186" s="80"/>
    </row>
    <row r="4187" spans="2:5" x14ac:dyDescent="0.25">
      <c r="B4187" s="40"/>
      <c r="C4187" s="40"/>
      <c r="E4187" s="80"/>
    </row>
    <row r="4188" spans="2:5" x14ac:dyDescent="0.25">
      <c r="B4188" s="40"/>
      <c r="C4188" s="40"/>
      <c r="E4188" s="80"/>
    </row>
    <row r="4189" spans="2:5" x14ac:dyDescent="0.25">
      <c r="B4189" s="40"/>
      <c r="C4189" s="40"/>
      <c r="E4189" s="80"/>
    </row>
    <row r="4190" spans="2:5" x14ac:dyDescent="0.25">
      <c r="B4190" s="40"/>
      <c r="C4190" s="40"/>
      <c r="E4190" s="80"/>
    </row>
    <row r="4191" spans="2:5" x14ac:dyDescent="0.25">
      <c r="B4191" s="40"/>
      <c r="C4191" s="40"/>
      <c r="E4191" s="80"/>
    </row>
    <row r="4192" spans="2:5" x14ac:dyDescent="0.25">
      <c r="B4192" s="40"/>
      <c r="C4192" s="40"/>
      <c r="E4192" s="80"/>
    </row>
    <row r="4193" spans="2:5" x14ac:dyDescent="0.25">
      <c r="B4193" s="40"/>
      <c r="C4193" s="40"/>
      <c r="E4193" s="80"/>
    </row>
    <row r="4194" spans="2:5" x14ac:dyDescent="0.25">
      <c r="B4194" s="40"/>
      <c r="C4194" s="40"/>
      <c r="E4194" s="80"/>
    </row>
    <row r="4195" spans="2:5" x14ac:dyDescent="0.25">
      <c r="B4195" s="40"/>
      <c r="C4195" s="40"/>
      <c r="E4195" s="80"/>
    </row>
    <row r="4196" spans="2:5" x14ac:dyDescent="0.25">
      <c r="B4196" s="40"/>
      <c r="C4196" s="40"/>
      <c r="E4196" s="80"/>
    </row>
    <row r="4197" spans="2:5" x14ac:dyDescent="0.25">
      <c r="B4197" s="40"/>
      <c r="C4197" s="40"/>
      <c r="E4197" s="80"/>
    </row>
    <row r="4198" spans="2:5" x14ac:dyDescent="0.25">
      <c r="B4198" s="40"/>
      <c r="C4198" s="40"/>
      <c r="E4198" s="80"/>
    </row>
    <row r="4199" spans="2:5" x14ac:dyDescent="0.25">
      <c r="B4199" s="40"/>
      <c r="C4199" s="40"/>
      <c r="E4199" s="80"/>
    </row>
    <row r="4200" spans="2:5" x14ac:dyDescent="0.25">
      <c r="B4200" s="40"/>
      <c r="C4200" s="40"/>
      <c r="E4200" s="80"/>
    </row>
    <row r="4201" spans="2:5" x14ac:dyDescent="0.25">
      <c r="B4201" s="40"/>
      <c r="C4201" s="40"/>
      <c r="E4201" s="80"/>
    </row>
    <row r="4202" spans="2:5" x14ac:dyDescent="0.25">
      <c r="B4202" s="40"/>
      <c r="C4202" s="40"/>
      <c r="E4202" s="80"/>
    </row>
    <row r="4203" spans="2:5" x14ac:dyDescent="0.25">
      <c r="B4203" s="40"/>
      <c r="C4203" s="40"/>
      <c r="E4203" s="80"/>
    </row>
    <row r="4204" spans="2:5" x14ac:dyDescent="0.25">
      <c r="B4204" s="40"/>
      <c r="C4204" s="40"/>
      <c r="E4204" s="80"/>
    </row>
    <row r="4205" spans="2:5" x14ac:dyDescent="0.25">
      <c r="B4205" s="40"/>
      <c r="C4205" s="40"/>
      <c r="E4205" s="80"/>
    </row>
    <row r="4206" spans="2:5" x14ac:dyDescent="0.25">
      <c r="B4206" s="40"/>
      <c r="C4206" s="40"/>
      <c r="E4206" s="80"/>
    </row>
    <row r="4207" spans="2:5" x14ac:dyDescent="0.25">
      <c r="B4207" s="40"/>
      <c r="C4207" s="40"/>
      <c r="E4207" s="80"/>
    </row>
    <row r="4208" spans="2:5" x14ac:dyDescent="0.25">
      <c r="B4208" s="40"/>
      <c r="C4208" s="40"/>
      <c r="E4208" s="80"/>
    </row>
    <row r="4209" spans="2:5" x14ac:dyDescent="0.25">
      <c r="B4209" s="40"/>
      <c r="C4209" s="40"/>
      <c r="E4209" s="80"/>
    </row>
    <row r="4210" spans="2:5" x14ac:dyDescent="0.25">
      <c r="B4210" s="40"/>
      <c r="C4210" s="40"/>
      <c r="E4210" s="80"/>
    </row>
    <row r="4211" spans="2:5" x14ac:dyDescent="0.25">
      <c r="B4211" s="40"/>
      <c r="C4211" s="40"/>
      <c r="E4211" s="80"/>
    </row>
    <row r="4212" spans="2:5" x14ac:dyDescent="0.25">
      <c r="B4212" s="40"/>
      <c r="C4212" s="40"/>
      <c r="E4212" s="80"/>
    </row>
    <row r="4213" spans="2:5" x14ac:dyDescent="0.25">
      <c r="B4213" s="40"/>
      <c r="C4213" s="40"/>
      <c r="E4213" s="80"/>
    </row>
    <row r="4214" spans="2:5" x14ac:dyDescent="0.25">
      <c r="B4214" s="40"/>
      <c r="C4214" s="40"/>
      <c r="E4214" s="80"/>
    </row>
    <row r="4215" spans="2:5" x14ac:dyDescent="0.25">
      <c r="B4215" s="40"/>
      <c r="C4215" s="40"/>
      <c r="E4215" s="80"/>
    </row>
    <row r="4216" spans="2:5" x14ac:dyDescent="0.25">
      <c r="B4216" s="40"/>
      <c r="C4216" s="40"/>
      <c r="E4216" s="80"/>
    </row>
    <row r="4217" spans="2:5" x14ac:dyDescent="0.25">
      <c r="B4217" s="40"/>
      <c r="C4217" s="40"/>
      <c r="E4217" s="80"/>
    </row>
    <row r="4218" spans="2:5" x14ac:dyDescent="0.25">
      <c r="B4218" s="40"/>
      <c r="C4218" s="40"/>
      <c r="E4218" s="80"/>
    </row>
    <row r="4219" spans="2:5" x14ac:dyDescent="0.25">
      <c r="B4219" s="40"/>
      <c r="C4219" s="40"/>
      <c r="E4219" s="80"/>
    </row>
    <row r="4220" spans="2:5" x14ac:dyDescent="0.25">
      <c r="B4220" s="40"/>
      <c r="C4220" s="40"/>
      <c r="E4220" s="80"/>
    </row>
    <row r="4221" spans="2:5" x14ac:dyDescent="0.25">
      <c r="B4221" s="40"/>
      <c r="C4221" s="40"/>
      <c r="E4221" s="80"/>
    </row>
    <row r="4222" spans="2:5" x14ac:dyDescent="0.25">
      <c r="B4222" s="40"/>
      <c r="C4222" s="40"/>
      <c r="E4222" s="80"/>
    </row>
    <row r="4223" spans="2:5" x14ac:dyDescent="0.25">
      <c r="B4223" s="40"/>
      <c r="C4223" s="40"/>
      <c r="E4223" s="80"/>
    </row>
    <row r="4224" spans="2:5" x14ac:dyDescent="0.25">
      <c r="B4224" s="40"/>
      <c r="C4224" s="40"/>
      <c r="E4224" s="80"/>
    </row>
    <row r="4225" spans="2:5" x14ac:dyDescent="0.25">
      <c r="B4225" s="40"/>
      <c r="C4225" s="40"/>
      <c r="E4225" s="80"/>
    </row>
    <row r="4226" spans="2:5" x14ac:dyDescent="0.25">
      <c r="B4226" s="40"/>
      <c r="C4226" s="40"/>
      <c r="E4226" s="80"/>
    </row>
    <row r="4227" spans="2:5" x14ac:dyDescent="0.25">
      <c r="B4227" s="40"/>
      <c r="C4227" s="40"/>
      <c r="E4227" s="80"/>
    </row>
    <row r="4228" spans="2:5" x14ac:dyDescent="0.25">
      <c r="B4228" s="40"/>
      <c r="C4228" s="40"/>
      <c r="E4228" s="80"/>
    </row>
    <row r="4229" spans="2:5" x14ac:dyDescent="0.25">
      <c r="B4229" s="40"/>
      <c r="C4229" s="40"/>
      <c r="E4229" s="80"/>
    </row>
    <row r="4230" spans="2:5" x14ac:dyDescent="0.25">
      <c r="B4230" s="40"/>
      <c r="C4230" s="40"/>
      <c r="E4230" s="80"/>
    </row>
    <row r="4231" spans="2:5" x14ac:dyDescent="0.25">
      <c r="B4231" s="40"/>
      <c r="C4231" s="40"/>
      <c r="E4231" s="80"/>
    </row>
    <row r="4232" spans="2:5" x14ac:dyDescent="0.25">
      <c r="B4232" s="40"/>
      <c r="C4232" s="40"/>
      <c r="E4232" s="80"/>
    </row>
    <row r="4233" spans="2:5" x14ac:dyDescent="0.25">
      <c r="B4233" s="40"/>
      <c r="C4233" s="40"/>
      <c r="E4233" s="80"/>
    </row>
    <row r="4234" spans="2:5" x14ac:dyDescent="0.25">
      <c r="B4234" s="40"/>
      <c r="C4234" s="40"/>
      <c r="E4234" s="80"/>
    </row>
    <row r="4235" spans="2:5" x14ac:dyDescent="0.25">
      <c r="B4235" s="40"/>
      <c r="C4235" s="40"/>
      <c r="E4235" s="80"/>
    </row>
    <row r="4236" spans="2:5" x14ac:dyDescent="0.25">
      <c r="B4236" s="40"/>
      <c r="C4236" s="40"/>
      <c r="E4236" s="80"/>
    </row>
    <row r="4237" spans="2:5" x14ac:dyDescent="0.25">
      <c r="B4237" s="40"/>
      <c r="C4237" s="40"/>
      <c r="E4237" s="80"/>
    </row>
    <row r="4238" spans="2:5" x14ac:dyDescent="0.25">
      <c r="B4238" s="40"/>
      <c r="C4238" s="40"/>
      <c r="E4238" s="80"/>
    </row>
    <row r="4239" spans="2:5" x14ac:dyDescent="0.25">
      <c r="B4239" s="40"/>
      <c r="C4239" s="40"/>
      <c r="E4239" s="80"/>
    </row>
    <row r="4240" spans="2:5" x14ac:dyDescent="0.25">
      <c r="B4240" s="40"/>
      <c r="C4240" s="40"/>
      <c r="E4240" s="80"/>
    </row>
    <row r="4241" spans="2:5" x14ac:dyDescent="0.25">
      <c r="B4241" s="40"/>
      <c r="C4241" s="40"/>
      <c r="E4241" s="80"/>
    </row>
    <row r="4242" spans="2:5" x14ac:dyDescent="0.25">
      <c r="B4242" s="40"/>
      <c r="C4242" s="40"/>
      <c r="E4242" s="80"/>
    </row>
    <row r="4243" spans="2:5" x14ac:dyDescent="0.25">
      <c r="B4243" s="40"/>
      <c r="C4243" s="40"/>
      <c r="E4243" s="80"/>
    </row>
    <row r="4244" spans="2:5" x14ac:dyDescent="0.25">
      <c r="B4244" s="40"/>
      <c r="C4244" s="40"/>
      <c r="E4244" s="80"/>
    </row>
    <row r="4245" spans="2:5" x14ac:dyDescent="0.25">
      <c r="B4245" s="40"/>
      <c r="C4245" s="40"/>
      <c r="E4245" s="80"/>
    </row>
    <row r="4246" spans="2:5" x14ac:dyDescent="0.25">
      <c r="B4246" s="40"/>
      <c r="C4246" s="40"/>
      <c r="E4246" s="80"/>
    </row>
    <row r="4247" spans="2:5" x14ac:dyDescent="0.25">
      <c r="B4247" s="40"/>
      <c r="C4247" s="40"/>
      <c r="E4247" s="80"/>
    </row>
    <row r="4248" spans="2:5" x14ac:dyDescent="0.25">
      <c r="B4248" s="40"/>
      <c r="C4248" s="40"/>
      <c r="E4248" s="80"/>
    </row>
    <row r="4249" spans="2:5" x14ac:dyDescent="0.25">
      <c r="B4249" s="40"/>
      <c r="C4249" s="40"/>
      <c r="E4249" s="80"/>
    </row>
    <row r="4250" spans="2:5" x14ac:dyDescent="0.25">
      <c r="B4250" s="40"/>
      <c r="C4250" s="40"/>
      <c r="E4250" s="80"/>
    </row>
    <row r="4251" spans="2:5" x14ac:dyDescent="0.25">
      <c r="B4251" s="40"/>
      <c r="C4251" s="40"/>
      <c r="E4251" s="80"/>
    </row>
    <row r="4252" spans="2:5" x14ac:dyDescent="0.25">
      <c r="B4252" s="40"/>
      <c r="C4252" s="40"/>
      <c r="E4252" s="80"/>
    </row>
    <row r="4253" spans="2:5" x14ac:dyDescent="0.25">
      <c r="B4253" s="40"/>
      <c r="C4253" s="40"/>
      <c r="E4253" s="80"/>
    </row>
    <row r="4254" spans="2:5" x14ac:dyDescent="0.25">
      <c r="B4254" s="40"/>
      <c r="C4254" s="40"/>
      <c r="E4254" s="80"/>
    </row>
    <row r="4255" spans="2:5" x14ac:dyDescent="0.25">
      <c r="B4255" s="40"/>
      <c r="C4255" s="40"/>
      <c r="E4255" s="80"/>
    </row>
    <row r="4256" spans="2:5" x14ac:dyDescent="0.25">
      <c r="B4256" s="40"/>
      <c r="C4256" s="40"/>
      <c r="E4256" s="80"/>
    </row>
    <row r="4257" spans="2:5" x14ac:dyDescent="0.25">
      <c r="B4257" s="40"/>
      <c r="C4257" s="40"/>
      <c r="E4257" s="80"/>
    </row>
    <row r="4258" spans="2:5" x14ac:dyDescent="0.25">
      <c r="B4258" s="40"/>
      <c r="C4258" s="40"/>
      <c r="E4258" s="80"/>
    </row>
    <row r="4259" spans="2:5" x14ac:dyDescent="0.25">
      <c r="B4259" s="40"/>
      <c r="C4259" s="40"/>
      <c r="E4259" s="80"/>
    </row>
    <row r="4260" spans="2:5" x14ac:dyDescent="0.25">
      <c r="B4260" s="40"/>
      <c r="C4260" s="40"/>
      <c r="E4260" s="80"/>
    </row>
    <row r="4261" spans="2:5" x14ac:dyDescent="0.25">
      <c r="B4261" s="40"/>
      <c r="C4261" s="40"/>
      <c r="E4261" s="80"/>
    </row>
    <row r="4262" spans="2:5" x14ac:dyDescent="0.25">
      <c r="B4262" s="40"/>
      <c r="C4262" s="40"/>
      <c r="E4262" s="80"/>
    </row>
    <row r="4263" spans="2:5" x14ac:dyDescent="0.25">
      <c r="B4263" s="40"/>
      <c r="C4263" s="40"/>
      <c r="E4263" s="80"/>
    </row>
    <row r="4264" spans="2:5" x14ac:dyDescent="0.25">
      <c r="B4264" s="40"/>
      <c r="C4264" s="40"/>
      <c r="E4264" s="80"/>
    </row>
    <row r="4265" spans="2:5" x14ac:dyDescent="0.25">
      <c r="B4265" s="40"/>
      <c r="C4265" s="40"/>
      <c r="E4265" s="80"/>
    </row>
    <row r="4266" spans="2:5" x14ac:dyDescent="0.25">
      <c r="B4266" s="40"/>
      <c r="C4266" s="40"/>
      <c r="E4266" s="80"/>
    </row>
    <row r="4267" spans="2:5" x14ac:dyDescent="0.25">
      <c r="B4267" s="40"/>
      <c r="C4267" s="40"/>
      <c r="E4267" s="80"/>
    </row>
    <row r="4268" spans="2:5" x14ac:dyDescent="0.25">
      <c r="B4268" s="40"/>
      <c r="C4268" s="40"/>
      <c r="E4268" s="80"/>
    </row>
    <row r="4269" spans="2:5" x14ac:dyDescent="0.25">
      <c r="B4269" s="40"/>
      <c r="C4269" s="40"/>
      <c r="E4269" s="80"/>
    </row>
    <row r="4270" spans="2:5" x14ac:dyDescent="0.25">
      <c r="B4270" s="40"/>
      <c r="C4270" s="40"/>
      <c r="E4270" s="80"/>
    </row>
    <row r="4271" spans="2:5" x14ac:dyDescent="0.25">
      <c r="B4271" s="40"/>
      <c r="C4271" s="40"/>
      <c r="E4271" s="80"/>
    </row>
    <row r="4272" spans="2:5" x14ac:dyDescent="0.25">
      <c r="B4272" s="40"/>
      <c r="C4272" s="40"/>
      <c r="E4272" s="80"/>
    </row>
    <row r="4273" spans="2:5" x14ac:dyDescent="0.25">
      <c r="B4273" s="40"/>
      <c r="C4273" s="40"/>
      <c r="E4273" s="80"/>
    </row>
    <row r="4274" spans="2:5" x14ac:dyDescent="0.25">
      <c r="B4274" s="40"/>
      <c r="C4274" s="40"/>
      <c r="E4274" s="80"/>
    </row>
    <row r="4275" spans="2:5" x14ac:dyDescent="0.25">
      <c r="B4275" s="40"/>
      <c r="C4275" s="40"/>
      <c r="E4275" s="80"/>
    </row>
    <row r="4276" spans="2:5" x14ac:dyDescent="0.25">
      <c r="B4276" s="40"/>
      <c r="C4276" s="40"/>
      <c r="E4276" s="80"/>
    </row>
    <row r="4277" spans="2:5" x14ac:dyDescent="0.25">
      <c r="B4277" s="40"/>
      <c r="C4277" s="40"/>
      <c r="E4277" s="80"/>
    </row>
    <row r="4278" spans="2:5" x14ac:dyDescent="0.25">
      <c r="B4278" s="40"/>
      <c r="C4278" s="40"/>
      <c r="E4278" s="80"/>
    </row>
    <row r="4279" spans="2:5" x14ac:dyDescent="0.25">
      <c r="B4279" s="40"/>
      <c r="C4279" s="40"/>
      <c r="E4279" s="80"/>
    </row>
    <row r="4280" spans="2:5" x14ac:dyDescent="0.25">
      <c r="B4280" s="40"/>
      <c r="C4280" s="40"/>
      <c r="E4280" s="80"/>
    </row>
    <row r="4281" spans="2:5" x14ac:dyDescent="0.25">
      <c r="B4281" s="40"/>
      <c r="C4281" s="40"/>
      <c r="E4281" s="80"/>
    </row>
    <row r="4282" spans="2:5" x14ac:dyDescent="0.25">
      <c r="B4282" s="40"/>
      <c r="C4282" s="40"/>
      <c r="E4282" s="80"/>
    </row>
    <row r="4283" spans="2:5" x14ac:dyDescent="0.25">
      <c r="B4283" s="40"/>
      <c r="C4283" s="40"/>
      <c r="E4283" s="80"/>
    </row>
    <row r="4284" spans="2:5" x14ac:dyDescent="0.25">
      <c r="B4284" s="40"/>
      <c r="C4284" s="40"/>
      <c r="E4284" s="80"/>
    </row>
    <row r="4285" spans="2:5" x14ac:dyDescent="0.25">
      <c r="B4285" s="40"/>
      <c r="C4285" s="40"/>
      <c r="E4285" s="80"/>
    </row>
    <row r="4286" spans="2:5" x14ac:dyDescent="0.25">
      <c r="B4286" s="40"/>
      <c r="C4286" s="40"/>
      <c r="E4286" s="80"/>
    </row>
    <row r="4287" spans="2:5" x14ac:dyDescent="0.25">
      <c r="B4287" s="40"/>
      <c r="C4287" s="40"/>
      <c r="E4287" s="80"/>
    </row>
    <row r="4288" spans="2:5" x14ac:dyDescent="0.25">
      <c r="B4288" s="40"/>
      <c r="C4288" s="40"/>
      <c r="E4288" s="80"/>
    </row>
    <row r="4289" spans="2:5" x14ac:dyDescent="0.25">
      <c r="B4289" s="40"/>
      <c r="C4289" s="40"/>
      <c r="E4289" s="80"/>
    </row>
    <row r="4290" spans="2:5" x14ac:dyDescent="0.25">
      <c r="B4290" s="40"/>
      <c r="C4290" s="40"/>
      <c r="E4290" s="80"/>
    </row>
    <row r="4291" spans="2:5" x14ac:dyDescent="0.25">
      <c r="B4291" s="40"/>
      <c r="C4291" s="40"/>
      <c r="E4291" s="80"/>
    </row>
    <row r="4292" spans="2:5" x14ac:dyDescent="0.25">
      <c r="B4292" s="40"/>
      <c r="C4292" s="40"/>
      <c r="E4292" s="80"/>
    </row>
    <row r="4293" spans="2:5" x14ac:dyDescent="0.25">
      <c r="B4293" s="40"/>
      <c r="C4293" s="40"/>
      <c r="E4293" s="80"/>
    </row>
    <row r="4294" spans="2:5" x14ac:dyDescent="0.25">
      <c r="B4294" s="40"/>
      <c r="C4294" s="40"/>
      <c r="E4294" s="80"/>
    </row>
    <row r="4295" spans="2:5" x14ac:dyDescent="0.25">
      <c r="B4295" s="40"/>
      <c r="C4295" s="40"/>
      <c r="E4295" s="80"/>
    </row>
    <row r="4296" spans="2:5" x14ac:dyDescent="0.25">
      <c r="B4296" s="40"/>
      <c r="C4296" s="40"/>
      <c r="E4296" s="80"/>
    </row>
    <row r="4297" spans="2:5" x14ac:dyDescent="0.25">
      <c r="B4297" s="40"/>
      <c r="C4297" s="40"/>
      <c r="E4297" s="80"/>
    </row>
    <row r="4298" spans="2:5" x14ac:dyDescent="0.25">
      <c r="B4298" s="40"/>
      <c r="C4298" s="40"/>
      <c r="E4298" s="80"/>
    </row>
    <row r="4299" spans="2:5" x14ac:dyDescent="0.25">
      <c r="B4299" s="40"/>
      <c r="C4299" s="40"/>
      <c r="E4299" s="80"/>
    </row>
    <row r="4300" spans="2:5" x14ac:dyDescent="0.25">
      <c r="B4300" s="40"/>
      <c r="C4300" s="40"/>
      <c r="E4300" s="80"/>
    </row>
    <row r="4301" spans="2:5" x14ac:dyDescent="0.25">
      <c r="B4301" s="40"/>
      <c r="C4301" s="40"/>
      <c r="E4301" s="80"/>
    </row>
    <row r="4302" spans="2:5" x14ac:dyDescent="0.25">
      <c r="B4302" s="40"/>
      <c r="C4302" s="40"/>
      <c r="E4302" s="80"/>
    </row>
    <row r="4303" spans="2:5" x14ac:dyDescent="0.25">
      <c r="B4303" s="40"/>
      <c r="C4303" s="40"/>
      <c r="E4303" s="80"/>
    </row>
    <row r="4304" spans="2:5" x14ac:dyDescent="0.25">
      <c r="B4304" s="40"/>
      <c r="C4304" s="40"/>
      <c r="E4304" s="80"/>
    </row>
    <row r="4305" spans="2:5" x14ac:dyDescent="0.25">
      <c r="B4305" s="40"/>
      <c r="C4305" s="40"/>
      <c r="E4305" s="80"/>
    </row>
    <row r="4306" spans="2:5" x14ac:dyDescent="0.25">
      <c r="B4306" s="40"/>
      <c r="C4306" s="40"/>
      <c r="E4306" s="80"/>
    </row>
    <row r="4307" spans="2:5" x14ac:dyDescent="0.25">
      <c r="B4307" s="40"/>
      <c r="C4307" s="40"/>
      <c r="E4307" s="80"/>
    </row>
    <row r="4308" spans="2:5" x14ac:dyDescent="0.25">
      <c r="B4308" s="40"/>
      <c r="C4308" s="40"/>
      <c r="E4308" s="80"/>
    </row>
    <row r="4309" spans="2:5" x14ac:dyDescent="0.25">
      <c r="B4309" s="40"/>
      <c r="C4309" s="40"/>
      <c r="E4309" s="80"/>
    </row>
    <row r="4310" spans="2:5" x14ac:dyDescent="0.25">
      <c r="B4310" s="40"/>
      <c r="C4310" s="40"/>
      <c r="E4310" s="80"/>
    </row>
    <row r="4311" spans="2:5" x14ac:dyDescent="0.25">
      <c r="B4311" s="40"/>
      <c r="C4311" s="40"/>
      <c r="E4311" s="80"/>
    </row>
    <row r="4312" spans="2:5" x14ac:dyDescent="0.25">
      <c r="B4312" s="40"/>
      <c r="C4312" s="40"/>
      <c r="E4312" s="80"/>
    </row>
    <row r="4313" spans="2:5" x14ac:dyDescent="0.25">
      <c r="B4313" s="40"/>
      <c r="C4313" s="40"/>
      <c r="E4313" s="80"/>
    </row>
    <row r="4314" spans="2:5" x14ac:dyDescent="0.25">
      <c r="B4314" s="40"/>
      <c r="C4314" s="40"/>
      <c r="E4314" s="80"/>
    </row>
    <row r="4315" spans="2:5" x14ac:dyDescent="0.25">
      <c r="B4315" s="40"/>
      <c r="C4315" s="40"/>
      <c r="E4315" s="80"/>
    </row>
    <row r="4316" spans="2:5" x14ac:dyDescent="0.25">
      <c r="B4316" s="40"/>
      <c r="C4316" s="40"/>
      <c r="E4316" s="80"/>
    </row>
    <row r="4317" spans="2:5" x14ac:dyDescent="0.25">
      <c r="B4317" s="40"/>
      <c r="C4317" s="40"/>
      <c r="E4317" s="80"/>
    </row>
    <row r="4318" spans="2:5" x14ac:dyDescent="0.25">
      <c r="B4318" s="40"/>
      <c r="C4318" s="40"/>
      <c r="E4318" s="80"/>
    </row>
    <row r="4319" spans="2:5" x14ac:dyDescent="0.25">
      <c r="B4319" s="40"/>
      <c r="C4319" s="40"/>
      <c r="E4319" s="80"/>
    </row>
    <row r="4320" spans="2:5" x14ac:dyDescent="0.25">
      <c r="B4320" s="40"/>
      <c r="C4320" s="40"/>
      <c r="E4320" s="80"/>
    </row>
    <row r="4321" spans="2:5" x14ac:dyDescent="0.25">
      <c r="B4321" s="40"/>
      <c r="C4321" s="40"/>
      <c r="E4321" s="80"/>
    </row>
    <row r="4322" spans="2:5" x14ac:dyDescent="0.25">
      <c r="B4322" s="40"/>
      <c r="C4322" s="40"/>
      <c r="E4322" s="80"/>
    </row>
    <row r="4323" spans="2:5" x14ac:dyDescent="0.25">
      <c r="B4323" s="40"/>
      <c r="C4323" s="40"/>
      <c r="E4323" s="80"/>
    </row>
    <row r="4324" spans="2:5" x14ac:dyDescent="0.25">
      <c r="B4324" s="40"/>
      <c r="C4324" s="40"/>
      <c r="E4324" s="80"/>
    </row>
    <row r="4325" spans="2:5" x14ac:dyDescent="0.25">
      <c r="B4325" s="40"/>
      <c r="C4325" s="40"/>
      <c r="E4325" s="80"/>
    </row>
    <row r="4326" spans="2:5" x14ac:dyDescent="0.25">
      <c r="B4326" s="40"/>
      <c r="C4326" s="40"/>
      <c r="E4326" s="80"/>
    </row>
    <row r="4327" spans="2:5" x14ac:dyDescent="0.25">
      <c r="B4327" s="40"/>
      <c r="C4327" s="40"/>
      <c r="E4327" s="80"/>
    </row>
    <row r="4328" spans="2:5" x14ac:dyDescent="0.25">
      <c r="B4328" s="40"/>
      <c r="C4328" s="40"/>
      <c r="E4328" s="80"/>
    </row>
    <row r="4329" spans="2:5" x14ac:dyDescent="0.25">
      <c r="B4329" s="40"/>
      <c r="C4329" s="40"/>
      <c r="E4329" s="80"/>
    </row>
    <row r="4330" spans="2:5" x14ac:dyDescent="0.25">
      <c r="B4330" s="40"/>
      <c r="C4330" s="40"/>
      <c r="E4330" s="80"/>
    </row>
    <row r="4331" spans="2:5" x14ac:dyDescent="0.25">
      <c r="B4331" s="40"/>
      <c r="C4331" s="40"/>
      <c r="E4331" s="80"/>
    </row>
    <row r="4332" spans="2:5" x14ac:dyDescent="0.25">
      <c r="B4332" s="40"/>
      <c r="C4332" s="40"/>
      <c r="E4332" s="80"/>
    </row>
    <row r="4333" spans="2:5" x14ac:dyDescent="0.25">
      <c r="B4333" s="40"/>
      <c r="C4333" s="40"/>
      <c r="E4333" s="80"/>
    </row>
    <row r="4334" spans="2:5" x14ac:dyDescent="0.25">
      <c r="B4334" s="40"/>
      <c r="C4334" s="40"/>
      <c r="E4334" s="80"/>
    </row>
    <row r="4335" spans="2:5" x14ac:dyDescent="0.25">
      <c r="B4335" s="40"/>
      <c r="C4335" s="40"/>
      <c r="E4335" s="80"/>
    </row>
    <row r="4336" spans="2:5" x14ac:dyDescent="0.25">
      <c r="B4336" s="40"/>
      <c r="C4336" s="40"/>
      <c r="E4336" s="80"/>
    </row>
    <row r="4337" spans="2:5" x14ac:dyDescent="0.25">
      <c r="B4337" s="40"/>
      <c r="C4337" s="40"/>
      <c r="E4337" s="80"/>
    </row>
    <row r="4338" spans="2:5" x14ac:dyDescent="0.25">
      <c r="B4338" s="40"/>
      <c r="C4338" s="40"/>
      <c r="E4338" s="80"/>
    </row>
    <row r="4339" spans="2:5" x14ac:dyDescent="0.25">
      <c r="B4339" s="40"/>
      <c r="C4339" s="40"/>
      <c r="E4339" s="80"/>
    </row>
    <row r="4340" spans="2:5" x14ac:dyDescent="0.25">
      <c r="B4340" s="40"/>
      <c r="C4340" s="40"/>
      <c r="E4340" s="80"/>
    </row>
    <row r="4341" spans="2:5" x14ac:dyDescent="0.25">
      <c r="B4341" s="40"/>
      <c r="C4341" s="40"/>
      <c r="E4341" s="80"/>
    </row>
    <row r="4342" spans="2:5" x14ac:dyDescent="0.25">
      <c r="B4342" s="40"/>
      <c r="C4342" s="40"/>
      <c r="E4342" s="80"/>
    </row>
    <row r="4343" spans="2:5" x14ac:dyDescent="0.25">
      <c r="B4343" s="40"/>
      <c r="C4343" s="40"/>
      <c r="E4343" s="80"/>
    </row>
    <row r="4344" spans="2:5" x14ac:dyDescent="0.25">
      <c r="B4344" s="40"/>
      <c r="C4344" s="40"/>
      <c r="E4344" s="80"/>
    </row>
    <row r="4345" spans="2:5" x14ac:dyDescent="0.25">
      <c r="B4345" s="40"/>
      <c r="C4345" s="40"/>
      <c r="E4345" s="80"/>
    </row>
    <row r="4346" spans="2:5" x14ac:dyDescent="0.25">
      <c r="B4346" s="40"/>
      <c r="C4346" s="40"/>
      <c r="E4346" s="80"/>
    </row>
    <row r="4347" spans="2:5" x14ac:dyDescent="0.25">
      <c r="B4347" s="40"/>
      <c r="C4347" s="40"/>
      <c r="E4347" s="80"/>
    </row>
    <row r="4348" spans="2:5" x14ac:dyDescent="0.25">
      <c r="B4348" s="40"/>
      <c r="C4348" s="40"/>
      <c r="E4348" s="80"/>
    </row>
    <row r="4349" spans="2:5" x14ac:dyDescent="0.25">
      <c r="B4349" s="40"/>
      <c r="C4349" s="40"/>
      <c r="E4349" s="80"/>
    </row>
    <row r="4350" spans="2:5" x14ac:dyDescent="0.25">
      <c r="B4350" s="40"/>
      <c r="C4350" s="40"/>
      <c r="E4350" s="80"/>
    </row>
    <row r="4351" spans="2:5" x14ac:dyDescent="0.25">
      <c r="B4351" s="40"/>
      <c r="C4351" s="40"/>
      <c r="E4351" s="80"/>
    </row>
    <row r="4352" spans="2:5" x14ac:dyDescent="0.25">
      <c r="B4352" s="40"/>
      <c r="C4352" s="40"/>
      <c r="E4352" s="80"/>
    </row>
    <row r="4353" spans="2:5" x14ac:dyDescent="0.25">
      <c r="B4353" s="40"/>
      <c r="C4353" s="40"/>
      <c r="E4353" s="80"/>
    </row>
    <row r="4354" spans="2:5" x14ac:dyDescent="0.25">
      <c r="B4354" s="40"/>
      <c r="C4354" s="40"/>
      <c r="E4354" s="80"/>
    </row>
    <row r="4355" spans="2:5" x14ac:dyDescent="0.25">
      <c r="B4355" s="40"/>
      <c r="C4355" s="40"/>
      <c r="E4355" s="80"/>
    </row>
    <row r="4356" spans="2:5" x14ac:dyDescent="0.25">
      <c r="B4356" s="40"/>
      <c r="C4356" s="40"/>
      <c r="E4356" s="80"/>
    </row>
    <row r="4357" spans="2:5" x14ac:dyDescent="0.25">
      <c r="B4357" s="40"/>
      <c r="C4357" s="40"/>
      <c r="E4357" s="80"/>
    </row>
    <row r="4358" spans="2:5" x14ac:dyDescent="0.25">
      <c r="B4358" s="40"/>
      <c r="C4358" s="40"/>
      <c r="E4358" s="80"/>
    </row>
    <row r="4359" spans="2:5" x14ac:dyDescent="0.25">
      <c r="B4359" s="40"/>
      <c r="C4359" s="40"/>
      <c r="E4359" s="80"/>
    </row>
    <row r="4360" spans="2:5" x14ac:dyDescent="0.25">
      <c r="B4360" s="40"/>
      <c r="C4360" s="40"/>
      <c r="E4360" s="80"/>
    </row>
    <row r="4361" spans="2:5" x14ac:dyDescent="0.25">
      <c r="B4361" s="40"/>
      <c r="C4361" s="40"/>
      <c r="E4361" s="80"/>
    </row>
    <row r="4362" spans="2:5" x14ac:dyDescent="0.25">
      <c r="B4362" s="40"/>
      <c r="C4362" s="40"/>
      <c r="E4362" s="80"/>
    </row>
    <row r="4363" spans="2:5" x14ac:dyDescent="0.25">
      <c r="B4363" s="40"/>
      <c r="C4363" s="40"/>
      <c r="E4363" s="80"/>
    </row>
    <row r="4364" spans="2:5" x14ac:dyDescent="0.25">
      <c r="B4364" s="40"/>
      <c r="C4364" s="40"/>
      <c r="E4364" s="80"/>
    </row>
    <row r="4365" spans="2:5" x14ac:dyDescent="0.25">
      <c r="B4365" s="40"/>
      <c r="C4365" s="40"/>
      <c r="E4365" s="80"/>
    </row>
    <row r="4366" spans="2:5" x14ac:dyDescent="0.25">
      <c r="B4366" s="40"/>
      <c r="C4366" s="40"/>
      <c r="E4366" s="80"/>
    </row>
    <row r="4367" spans="2:5" x14ac:dyDescent="0.25">
      <c r="B4367" s="40"/>
      <c r="C4367" s="40"/>
      <c r="E4367" s="80"/>
    </row>
    <row r="4368" spans="2:5" x14ac:dyDescent="0.25">
      <c r="B4368" s="40"/>
      <c r="C4368" s="40"/>
      <c r="E4368" s="80"/>
    </row>
    <row r="4369" spans="2:5" x14ac:dyDescent="0.25">
      <c r="B4369" s="40"/>
      <c r="C4369" s="40"/>
      <c r="E4369" s="80"/>
    </row>
    <row r="4370" spans="2:5" x14ac:dyDescent="0.25">
      <c r="B4370" s="40"/>
      <c r="C4370" s="40"/>
      <c r="E4370" s="80"/>
    </row>
    <row r="4371" spans="2:5" x14ac:dyDescent="0.25">
      <c r="B4371" s="40"/>
      <c r="C4371" s="40"/>
      <c r="E4371" s="80"/>
    </row>
    <row r="4372" spans="2:5" x14ac:dyDescent="0.25">
      <c r="B4372" s="40"/>
      <c r="C4372" s="40"/>
      <c r="E4372" s="80"/>
    </row>
    <row r="4373" spans="2:5" x14ac:dyDescent="0.25">
      <c r="B4373" s="40"/>
      <c r="C4373" s="40"/>
      <c r="E4373" s="80"/>
    </row>
    <row r="4374" spans="2:5" x14ac:dyDescent="0.25">
      <c r="B4374" s="40"/>
      <c r="C4374" s="40"/>
      <c r="E4374" s="80"/>
    </row>
    <row r="4375" spans="2:5" x14ac:dyDescent="0.25">
      <c r="B4375" s="40"/>
      <c r="C4375" s="40"/>
      <c r="E4375" s="80"/>
    </row>
    <row r="4376" spans="2:5" x14ac:dyDescent="0.25">
      <c r="B4376" s="40"/>
      <c r="C4376" s="40"/>
      <c r="E4376" s="80"/>
    </row>
    <row r="4377" spans="2:5" x14ac:dyDescent="0.25">
      <c r="B4377" s="40"/>
      <c r="C4377" s="40"/>
      <c r="E4377" s="80"/>
    </row>
    <row r="4378" spans="2:5" x14ac:dyDescent="0.25">
      <c r="B4378" s="40"/>
      <c r="C4378" s="40"/>
      <c r="E4378" s="80"/>
    </row>
    <row r="4379" spans="2:5" x14ac:dyDescent="0.25">
      <c r="B4379" s="40"/>
      <c r="C4379" s="40"/>
      <c r="E4379" s="80"/>
    </row>
    <row r="4380" spans="2:5" x14ac:dyDescent="0.25">
      <c r="B4380" s="40"/>
      <c r="C4380" s="40"/>
      <c r="E4380" s="80"/>
    </row>
    <row r="4381" spans="2:5" x14ac:dyDescent="0.25">
      <c r="B4381" s="40"/>
      <c r="C4381" s="40"/>
      <c r="E4381" s="80"/>
    </row>
    <row r="4382" spans="2:5" x14ac:dyDescent="0.25">
      <c r="B4382" s="40"/>
      <c r="C4382" s="40"/>
      <c r="E4382" s="80"/>
    </row>
    <row r="4383" spans="2:5" x14ac:dyDescent="0.25">
      <c r="B4383" s="40"/>
      <c r="C4383" s="40"/>
      <c r="E4383" s="80"/>
    </row>
    <row r="4384" spans="2:5" x14ac:dyDescent="0.25">
      <c r="B4384" s="40"/>
      <c r="C4384" s="40"/>
      <c r="E4384" s="80"/>
    </row>
    <row r="4385" spans="2:5" x14ac:dyDescent="0.25">
      <c r="B4385" s="40"/>
      <c r="C4385" s="40"/>
      <c r="E4385" s="80"/>
    </row>
    <row r="4386" spans="2:5" x14ac:dyDescent="0.25">
      <c r="B4386" s="40"/>
      <c r="C4386" s="40"/>
      <c r="E4386" s="80"/>
    </row>
    <row r="4387" spans="2:5" x14ac:dyDescent="0.25">
      <c r="B4387" s="40"/>
      <c r="C4387" s="40"/>
      <c r="E4387" s="80"/>
    </row>
    <row r="4388" spans="2:5" x14ac:dyDescent="0.25">
      <c r="B4388" s="40"/>
      <c r="C4388" s="40"/>
      <c r="E4388" s="80"/>
    </row>
    <row r="4389" spans="2:5" x14ac:dyDescent="0.25">
      <c r="B4389" s="40"/>
      <c r="C4389" s="40"/>
      <c r="E4389" s="80"/>
    </row>
    <row r="4390" spans="2:5" x14ac:dyDescent="0.25">
      <c r="B4390" s="40"/>
      <c r="C4390" s="40"/>
      <c r="E4390" s="80"/>
    </row>
    <row r="4391" spans="2:5" x14ac:dyDescent="0.25">
      <c r="B4391" s="40"/>
      <c r="C4391" s="40"/>
      <c r="E4391" s="80"/>
    </row>
    <row r="4392" spans="2:5" x14ac:dyDescent="0.25">
      <c r="B4392" s="40"/>
      <c r="C4392" s="40"/>
      <c r="E4392" s="80"/>
    </row>
    <row r="4393" spans="2:5" x14ac:dyDescent="0.25">
      <c r="B4393" s="40"/>
      <c r="C4393" s="40"/>
      <c r="E4393" s="80"/>
    </row>
    <row r="4394" spans="2:5" x14ac:dyDescent="0.25">
      <c r="B4394" s="40"/>
      <c r="C4394" s="40"/>
      <c r="E4394" s="80"/>
    </row>
    <row r="4395" spans="2:5" x14ac:dyDescent="0.25">
      <c r="B4395" s="40"/>
      <c r="C4395" s="40"/>
      <c r="E4395" s="80"/>
    </row>
    <row r="4396" spans="2:5" x14ac:dyDescent="0.25">
      <c r="B4396" s="40"/>
      <c r="C4396" s="40"/>
      <c r="E4396" s="80"/>
    </row>
    <row r="4397" spans="2:5" x14ac:dyDescent="0.25">
      <c r="B4397" s="40"/>
      <c r="C4397" s="40"/>
      <c r="E4397" s="80"/>
    </row>
    <row r="4398" spans="2:5" x14ac:dyDescent="0.25">
      <c r="B4398" s="40"/>
      <c r="C4398" s="40"/>
      <c r="E4398" s="80"/>
    </row>
    <row r="4399" spans="2:5" x14ac:dyDescent="0.25">
      <c r="B4399" s="40"/>
      <c r="C4399" s="40"/>
      <c r="E4399" s="80"/>
    </row>
    <row r="4400" spans="2:5" x14ac:dyDescent="0.25">
      <c r="B4400" s="40"/>
      <c r="C4400" s="40"/>
      <c r="E4400" s="80"/>
    </row>
    <row r="4401" spans="2:5" x14ac:dyDescent="0.25">
      <c r="B4401" s="40"/>
      <c r="C4401" s="40"/>
      <c r="E4401" s="80"/>
    </row>
    <row r="4402" spans="2:5" x14ac:dyDescent="0.25">
      <c r="B4402" s="40"/>
      <c r="C4402" s="40"/>
      <c r="E4402" s="80"/>
    </row>
    <row r="4403" spans="2:5" x14ac:dyDescent="0.25">
      <c r="B4403" s="40"/>
      <c r="C4403" s="40"/>
      <c r="E4403" s="80"/>
    </row>
    <row r="4404" spans="2:5" x14ac:dyDescent="0.25">
      <c r="B4404" s="40"/>
      <c r="C4404" s="40"/>
      <c r="E4404" s="80"/>
    </row>
    <row r="4405" spans="2:5" x14ac:dyDescent="0.25">
      <c r="B4405" s="40"/>
      <c r="C4405" s="40"/>
      <c r="E4405" s="80"/>
    </row>
    <row r="4406" spans="2:5" x14ac:dyDescent="0.25">
      <c r="B4406" s="40"/>
      <c r="C4406" s="40"/>
      <c r="E4406" s="80"/>
    </row>
    <row r="4407" spans="2:5" x14ac:dyDescent="0.25">
      <c r="B4407" s="40"/>
      <c r="C4407" s="40"/>
      <c r="E4407" s="80"/>
    </row>
    <row r="4408" spans="2:5" x14ac:dyDescent="0.25">
      <c r="B4408" s="40"/>
      <c r="C4408" s="40"/>
      <c r="E4408" s="80"/>
    </row>
    <row r="4409" spans="2:5" x14ac:dyDescent="0.25">
      <c r="B4409" s="40"/>
      <c r="C4409" s="40"/>
      <c r="E4409" s="80"/>
    </row>
    <row r="4410" spans="2:5" x14ac:dyDescent="0.25">
      <c r="B4410" s="40"/>
      <c r="C4410" s="40"/>
      <c r="E4410" s="80"/>
    </row>
    <row r="4411" spans="2:5" x14ac:dyDescent="0.25">
      <c r="B4411" s="40"/>
      <c r="C4411" s="40"/>
      <c r="E4411" s="80"/>
    </row>
    <row r="4412" spans="2:5" x14ac:dyDescent="0.25">
      <c r="B4412" s="40"/>
      <c r="C4412" s="40"/>
      <c r="E4412" s="80"/>
    </row>
    <row r="4413" spans="2:5" x14ac:dyDescent="0.25">
      <c r="B4413" s="40"/>
      <c r="C4413" s="40"/>
      <c r="E4413" s="80"/>
    </row>
    <row r="4414" spans="2:5" x14ac:dyDescent="0.25">
      <c r="B4414" s="40"/>
      <c r="C4414" s="40"/>
      <c r="E4414" s="80"/>
    </row>
    <row r="4415" spans="2:5" x14ac:dyDescent="0.25">
      <c r="B4415" s="40"/>
      <c r="C4415" s="40"/>
      <c r="E4415" s="80"/>
    </row>
    <row r="4416" spans="2:5" x14ac:dyDescent="0.25">
      <c r="B4416" s="40"/>
      <c r="C4416" s="40"/>
      <c r="E4416" s="80"/>
    </row>
    <row r="4417" spans="2:5" x14ac:dyDescent="0.25">
      <c r="B4417" s="40"/>
      <c r="C4417" s="40"/>
      <c r="E4417" s="80"/>
    </row>
    <row r="4418" spans="2:5" x14ac:dyDescent="0.25">
      <c r="B4418" s="40"/>
      <c r="C4418" s="40"/>
      <c r="E4418" s="80"/>
    </row>
    <row r="4419" spans="2:5" x14ac:dyDescent="0.25">
      <c r="B4419" s="40"/>
      <c r="C4419" s="40"/>
      <c r="E4419" s="80"/>
    </row>
    <row r="4420" spans="2:5" x14ac:dyDescent="0.25">
      <c r="B4420" s="40"/>
      <c r="C4420" s="40"/>
      <c r="E4420" s="80"/>
    </row>
    <row r="4421" spans="2:5" x14ac:dyDescent="0.25">
      <c r="B4421" s="40"/>
      <c r="C4421" s="40"/>
      <c r="E4421" s="80"/>
    </row>
    <row r="4422" spans="2:5" x14ac:dyDescent="0.25">
      <c r="B4422" s="40"/>
      <c r="C4422" s="40"/>
      <c r="E4422" s="80"/>
    </row>
    <row r="4423" spans="2:5" x14ac:dyDescent="0.25">
      <c r="B4423" s="40"/>
      <c r="C4423" s="40"/>
      <c r="E4423" s="80"/>
    </row>
    <row r="4424" spans="2:5" x14ac:dyDescent="0.25">
      <c r="B4424" s="40"/>
      <c r="C4424" s="40"/>
      <c r="E4424" s="80"/>
    </row>
    <row r="4425" spans="2:5" x14ac:dyDescent="0.25">
      <c r="B4425" s="40"/>
      <c r="C4425" s="40"/>
      <c r="E4425" s="80"/>
    </row>
    <row r="4426" spans="2:5" x14ac:dyDescent="0.25">
      <c r="B4426" s="40"/>
      <c r="C4426" s="40"/>
      <c r="E4426" s="80"/>
    </row>
    <row r="4427" spans="2:5" x14ac:dyDescent="0.25">
      <c r="B4427" s="40"/>
      <c r="C4427" s="40"/>
      <c r="E4427" s="80"/>
    </row>
    <row r="4428" spans="2:5" x14ac:dyDescent="0.25">
      <c r="B4428" s="40"/>
      <c r="C4428" s="40"/>
      <c r="E4428" s="80"/>
    </row>
    <row r="4429" spans="2:5" x14ac:dyDescent="0.25">
      <c r="B4429" s="40"/>
      <c r="C4429" s="40"/>
      <c r="E4429" s="80"/>
    </row>
    <row r="4430" spans="2:5" x14ac:dyDescent="0.25">
      <c r="B4430" s="40"/>
      <c r="C4430" s="40"/>
      <c r="E4430" s="80"/>
    </row>
    <row r="4431" spans="2:5" x14ac:dyDescent="0.25">
      <c r="B4431" s="40"/>
      <c r="C4431" s="40"/>
      <c r="E4431" s="80"/>
    </row>
    <row r="4432" spans="2:5" x14ac:dyDescent="0.25">
      <c r="B4432" s="40"/>
      <c r="C4432" s="40"/>
      <c r="E4432" s="80"/>
    </row>
    <row r="4433" spans="2:5" x14ac:dyDescent="0.25">
      <c r="B4433" s="40"/>
      <c r="C4433" s="40"/>
      <c r="E4433" s="80"/>
    </row>
    <row r="4434" spans="2:5" x14ac:dyDescent="0.25">
      <c r="B4434" s="40"/>
      <c r="C4434" s="40"/>
      <c r="E4434" s="80"/>
    </row>
    <row r="4435" spans="2:5" x14ac:dyDescent="0.25">
      <c r="B4435" s="40"/>
      <c r="C4435" s="40"/>
      <c r="E4435" s="80"/>
    </row>
    <row r="4436" spans="2:5" x14ac:dyDescent="0.25">
      <c r="B4436" s="40"/>
      <c r="C4436" s="40"/>
      <c r="E4436" s="80"/>
    </row>
    <row r="4437" spans="2:5" x14ac:dyDescent="0.25">
      <c r="B4437" s="40"/>
      <c r="C4437" s="40"/>
      <c r="E4437" s="80"/>
    </row>
    <row r="4438" spans="2:5" x14ac:dyDescent="0.25">
      <c r="B4438" s="40"/>
      <c r="C4438" s="40"/>
      <c r="E4438" s="80"/>
    </row>
    <row r="4439" spans="2:5" x14ac:dyDescent="0.25">
      <c r="B4439" s="40"/>
      <c r="C4439" s="40"/>
      <c r="E4439" s="80"/>
    </row>
    <row r="4440" spans="2:5" x14ac:dyDescent="0.25">
      <c r="B4440" s="40"/>
      <c r="C4440" s="40"/>
      <c r="E4440" s="80"/>
    </row>
    <row r="4441" spans="2:5" x14ac:dyDescent="0.25">
      <c r="B4441" s="40"/>
      <c r="C4441" s="40"/>
      <c r="E4441" s="80"/>
    </row>
    <row r="4442" spans="2:5" x14ac:dyDescent="0.25">
      <c r="B4442" s="40"/>
      <c r="C4442" s="40"/>
      <c r="E4442" s="80"/>
    </row>
    <row r="4443" spans="2:5" x14ac:dyDescent="0.25">
      <c r="B4443" s="40"/>
      <c r="C4443" s="40"/>
      <c r="E4443" s="80"/>
    </row>
    <row r="4444" spans="2:5" x14ac:dyDescent="0.25">
      <c r="B4444" s="40"/>
      <c r="C4444" s="40"/>
      <c r="E4444" s="80"/>
    </row>
    <row r="4445" spans="2:5" x14ac:dyDescent="0.25">
      <c r="B4445" s="40"/>
      <c r="C4445" s="40"/>
      <c r="E4445" s="80"/>
    </row>
    <row r="4446" spans="2:5" x14ac:dyDescent="0.25">
      <c r="B4446" s="40"/>
      <c r="C4446" s="40"/>
      <c r="E4446" s="80"/>
    </row>
    <row r="4447" spans="2:5" x14ac:dyDescent="0.25">
      <c r="B4447" s="40"/>
      <c r="C4447" s="40"/>
      <c r="E4447" s="80"/>
    </row>
    <row r="4448" spans="2:5" x14ac:dyDescent="0.25">
      <c r="B4448" s="40"/>
      <c r="C4448" s="40"/>
      <c r="E4448" s="80"/>
    </row>
    <row r="4449" spans="2:5" x14ac:dyDescent="0.25">
      <c r="B4449" s="40"/>
      <c r="C4449" s="40"/>
      <c r="E4449" s="80"/>
    </row>
    <row r="4450" spans="2:5" x14ac:dyDescent="0.25">
      <c r="B4450" s="40"/>
      <c r="C4450" s="40"/>
      <c r="E4450" s="80"/>
    </row>
    <row r="4451" spans="2:5" x14ac:dyDescent="0.25">
      <c r="B4451" s="40"/>
      <c r="C4451" s="40"/>
      <c r="E4451" s="80"/>
    </row>
    <row r="4452" spans="2:5" x14ac:dyDescent="0.25">
      <c r="B4452" s="40"/>
      <c r="C4452" s="40"/>
      <c r="E4452" s="80"/>
    </row>
    <row r="4453" spans="2:5" x14ac:dyDescent="0.25">
      <c r="B4453" s="40"/>
      <c r="C4453" s="40"/>
      <c r="E4453" s="80"/>
    </row>
    <row r="4454" spans="2:5" x14ac:dyDescent="0.25">
      <c r="B4454" s="40"/>
      <c r="C4454" s="40"/>
      <c r="E4454" s="80"/>
    </row>
    <row r="4455" spans="2:5" x14ac:dyDescent="0.25">
      <c r="B4455" s="40"/>
      <c r="C4455" s="40"/>
      <c r="E4455" s="80"/>
    </row>
    <row r="4456" spans="2:5" x14ac:dyDescent="0.25">
      <c r="B4456" s="40"/>
      <c r="C4456" s="40"/>
      <c r="E4456" s="80"/>
    </row>
    <row r="4457" spans="2:5" x14ac:dyDescent="0.25">
      <c r="B4457" s="40"/>
      <c r="C4457" s="40"/>
      <c r="E4457" s="80"/>
    </row>
    <row r="4458" spans="2:5" x14ac:dyDescent="0.25">
      <c r="B4458" s="40"/>
      <c r="C4458" s="40"/>
      <c r="E4458" s="80"/>
    </row>
    <row r="4459" spans="2:5" x14ac:dyDescent="0.25">
      <c r="B4459" s="40"/>
      <c r="C4459" s="40"/>
      <c r="E4459" s="80"/>
    </row>
    <row r="4460" spans="2:5" x14ac:dyDescent="0.25">
      <c r="B4460" s="40"/>
      <c r="C4460" s="40"/>
      <c r="E4460" s="80"/>
    </row>
    <row r="4461" spans="2:5" x14ac:dyDescent="0.25">
      <c r="B4461" s="40"/>
      <c r="C4461" s="40"/>
      <c r="E4461" s="80"/>
    </row>
    <row r="4462" spans="2:5" x14ac:dyDescent="0.25">
      <c r="B4462" s="40"/>
      <c r="C4462" s="40"/>
      <c r="E4462" s="80"/>
    </row>
    <row r="4463" spans="2:5" x14ac:dyDescent="0.25">
      <c r="B4463" s="40"/>
      <c r="C4463" s="40"/>
      <c r="E4463" s="80"/>
    </row>
    <row r="4464" spans="2:5" x14ac:dyDescent="0.25">
      <c r="B4464" s="40"/>
      <c r="C4464" s="40"/>
      <c r="E4464" s="80"/>
    </row>
    <row r="4465" spans="2:5" x14ac:dyDescent="0.25">
      <c r="B4465" s="40"/>
      <c r="C4465" s="40"/>
      <c r="E4465" s="80"/>
    </row>
    <row r="4466" spans="2:5" x14ac:dyDescent="0.25">
      <c r="B4466" s="40"/>
      <c r="C4466" s="40"/>
      <c r="E4466" s="80"/>
    </row>
    <row r="4467" spans="2:5" x14ac:dyDescent="0.25">
      <c r="B4467" s="40"/>
      <c r="C4467" s="40"/>
      <c r="E4467" s="80"/>
    </row>
    <row r="4468" spans="2:5" x14ac:dyDescent="0.25">
      <c r="B4468" s="40"/>
      <c r="C4468" s="40"/>
      <c r="E4468" s="80"/>
    </row>
    <row r="4469" spans="2:5" x14ac:dyDescent="0.25">
      <c r="B4469" s="40"/>
      <c r="C4469" s="40"/>
      <c r="E4469" s="80"/>
    </row>
    <row r="4470" spans="2:5" x14ac:dyDescent="0.25">
      <c r="B4470" s="40"/>
      <c r="C4470" s="40"/>
      <c r="E4470" s="80"/>
    </row>
    <row r="4471" spans="2:5" x14ac:dyDescent="0.25">
      <c r="B4471" s="40"/>
      <c r="C4471" s="40"/>
      <c r="E4471" s="80"/>
    </row>
    <row r="4472" spans="2:5" x14ac:dyDescent="0.25">
      <c r="B4472" s="40"/>
      <c r="C4472" s="40"/>
      <c r="E4472" s="80"/>
    </row>
    <row r="4473" spans="2:5" x14ac:dyDescent="0.25">
      <c r="B4473" s="40"/>
      <c r="C4473" s="40"/>
      <c r="E4473" s="80"/>
    </row>
    <row r="4474" spans="2:5" x14ac:dyDescent="0.25">
      <c r="B4474" s="40"/>
      <c r="C4474" s="40"/>
      <c r="E4474" s="80"/>
    </row>
    <row r="4475" spans="2:5" x14ac:dyDescent="0.25">
      <c r="B4475" s="40"/>
      <c r="C4475" s="40"/>
      <c r="E4475" s="80"/>
    </row>
    <row r="4476" spans="2:5" x14ac:dyDescent="0.25">
      <c r="B4476" s="40"/>
      <c r="C4476" s="40"/>
      <c r="E4476" s="80"/>
    </row>
    <row r="4477" spans="2:5" x14ac:dyDescent="0.25">
      <c r="B4477" s="40"/>
      <c r="C4477" s="40"/>
      <c r="E4477" s="80"/>
    </row>
    <row r="4478" spans="2:5" x14ac:dyDescent="0.25">
      <c r="B4478" s="40"/>
      <c r="C4478" s="40"/>
      <c r="E4478" s="80"/>
    </row>
    <row r="4479" spans="2:5" x14ac:dyDescent="0.25">
      <c r="B4479" s="40"/>
      <c r="C4479" s="40"/>
      <c r="E4479" s="80"/>
    </row>
    <row r="4480" spans="2:5" x14ac:dyDescent="0.25">
      <c r="B4480" s="40"/>
      <c r="C4480" s="40"/>
      <c r="E4480" s="80"/>
    </row>
    <row r="4481" spans="2:5" x14ac:dyDescent="0.25">
      <c r="B4481" s="40"/>
      <c r="C4481" s="40"/>
      <c r="E4481" s="80"/>
    </row>
    <row r="4482" spans="2:5" x14ac:dyDescent="0.25">
      <c r="B4482" s="40"/>
      <c r="C4482" s="40"/>
      <c r="E4482" s="80"/>
    </row>
    <row r="4483" spans="2:5" x14ac:dyDescent="0.25">
      <c r="B4483" s="40"/>
      <c r="C4483" s="40"/>
      <c r="E4483" s="80"/>
    </row>
    <row r="4484" spans="2:5" x14ac:dyDescent="0.25">
      <c r="B4484" s="40"/>
      <c r="C4484" s="40"/>
      <c r="E4484" s="80"/>
    </row>
    <row r="4485" spans="2:5" x14ac:dyDescent="0.25">
      <c r="B4485" s="40"/>
      <c r="C4485" s="40"/>
      <c r="E4485" s="80"/>
    </row>
    <row r="4486" spans="2:5" x14ac:dyDescent="0.25">
      <c r="B4486" s="40"/>
      <c r="C4486" s="40"/>
      <c r="E4486" s="80"/>
    </row>
    <row r="4487" spans="2:5" x14ac:dyDescent="0.25">
      <c r="B4487" s="40"/>
      <c r="C4487" s="40"/>
      <c r="E4487" s="80"/>
    </row>
    <row r="4488" spans="2:5" x14ac:dyDescent="0.25">
      <c r="B4488" s="40"/>
      <c r="C4488" s="40"/>
      <c r="E4488" s="80"/>
    </row>
    <row r="4489" spans="2:5" x14ac:dyDescent="0.25">
      <c r="B4489" s="40"/>
      <c r="C4489" s="40"/>
      <c r="E4489" s="80"/>
    </row>
    <row r="4490" spans="2:5" x14ac:dyDescent="0.25">
      <c r="B4490" s="40"/>
      <c r="C4490" s="40"/>
      <c r="E4490" s="80"/>
    </row>
    <row r="4491" spans="2:5" x14ac:dyDescent="0.25">
      <c r="B4491" s="40"/>
      <c r="C4491" s="40"/>
      <c r="E4491" s="80"/>
    </row>
    <row r="4492" spans="2:5" x14ac:dyDescent="0.25">
      <c r="B4492" s="40"/>
      <c r="C4492" s="40"/>
      <c r="E4492" s="80"/>
    </row>
    <row r="4493" spans="2:5" x14ac:dyDescent="0.25">
      <c r="B4493" s="40"/>
      <c r="C4493" s="40"/>
      <c r="E4493" s="80"/>
    </row>
    <row r="4494" spans="2:5" x14ac:dyDescent="0.25">
      <c r="B4494" s="40"/>
      <c r="C4494" s="40"/>
      <c r="E4494" s="80"/>
    </row>
    <row r="4495" spans="2:5" x14ac:dyDescent="0.25">
      <c r="B4495" s="40"/>
      <c r="C4495" s="40"/>
      <c r="E4495" s="80"/>
    </row>
    <row r="4496" spans="2:5" x14ac:dyDescent="0.25">
      <c r="B4496" s="40"/>
      <c r="C4496" s="40"/>
      <c r="E4496" s="80"/>
    </row>
    <row r="4497" spans="2:5" x14ac:dyDescent="0.25">
      <c r="B4497" s="40"/>
      <c r="C4497" s="40"/>
      <c r="E4497" s="80"/>
    </row>
    <row r="4498" spans="2:5" x14ac:dyDescent="0.25">
      <c r="B4498" s="40"/>
      <c r="C4498" s="40"/>
      <c r="E4498" s="80"/>
    </row>
    <row r="4499" spans="2:5" x14ac:dyDescent="0.25">
      <c r="B4499" s="40"/>
      <c r="C4499" s="40"/>
      <c r="E4499" s="80"/>
    </row>
    <row r="4500" spans="2:5" x14ac:dyDescent="0.25">
      <c r="B4500" s="40"/>
      <c r="C4500" s="40"/>
      <c r="E4500" s="80"/>
    </row>
    <row r="4501" spans="2:5" x14ac:dyDescent="0.25">
      <c r="B4501" s="40"/>
      <c r="C4501" s="40"/>
      <c r="E4501" s="80"/>
    </row>
    <row r="4502" spans="2:5" x14ac:dyDescent="0.25">
      <c r="B4502" s="40"/>
      <c r="C4502" s="40"/>
      <c r="E4502" s="80"/>
    </row>
    <row r="4503" spans="2:5" x14ac:dyDescent="0.25">
      <c r="B4503" s="40"/>
      <c r="C4503" s="40"/>
      <c r="E4503" s="80"/>
    </row>
    <row r="4504" spans="2:5" x14ac:dyDescent="0.25">
      <c r="B4504" s="40"/>
      <c r="C4504" s="40"/>
      <c r="E4504" s="80"/>
    </row>
    <row r="4505" spans="2:5" x14ac:dyDescent="0.25">
      <c r="B4505" s="40"/>
      <c r="C4505" s="40"/>
      <c r="E4505" s="80"/>
    </row>
    <row r="4506" spans="2:5" x14ac:dyDescent="0.25">
      <c r="B4506" s="40"/>
      <c r="C4506" s="40"/>
      <c r="E4506" s="80"/>
    </row>
    <row r="4507" spans="2:5" x14ac:dyDescent="0.25">
      <c r="B4507" s="40"/>
      <c r="C4507" s="40"/>
      <c r="E4507" s="80"/>
    </row>
    <row r="4508" spans="2:5" x14ac:dyDescent="0.25">
      <c r="B4508" s="40"/>
      <c r="C4508" s="40"/>
      <c r="E4508" s="80"/>
    </row>
    <row r="4509" spans="2:5" x14ac:dyDescent="0.25">
      <c r="B4509" s="40"/>
      <c r="C4509" s="40"/>
      <c r="E4509" s="80"/>
    </row>
    <row r="4510" spans="2:5" x14ac:dyDescent="0.25">
      <c r="B4510" s="40"/>
      <c r="C4510" s="40"/>
      <c r="E4510" s="80"/>
    </row>
    <row r="4511" spans="2:5" x14ac:dyDescent="0.25">
      <c r="B4511" s="40"/>
      <c r="C4511" s="40"/>
      <c r="E4511" s="80"/>
    </row>
    <row r="4512" spans="2:5" x14ac:dyDescent="0.25">
      <c r="B4512" s="40"/>
      <c r="C4512" s="40"/>
      <c r="E4512" s="80"/>
    </row>
    <row r="4513" spans="2:5" x14ac:dyDescent="0.25">
      <c r="B4513" s="40"/>
      <c r="C4513" s="40"/>
      <c r="E4513" s="80"/>
    </row>
    <row r="4514" spans="2:5" x14ac:dyDescent="0.25">
      <c r="B4514" s="40"/>
      <c r="C4514" s="40"/>
      <c r="E4514" s="80"/>
    </row>
    <row r="4515" spans="2:5" x14ac:dyDescent="0.25">
      <c r="B4515" s="40"/>
      <c r="C4515" s="40"/>
      <c r="E4515" s="80"/>
    </row>
    <row r="4516" spans="2:5" x14ac:dyDescent="0.25">
      <c r="B4516" s="40"/>
      <c r="C4516" s="40"/>
      <c r="E4516" s="80"/>
    </row>
    <row r="4517" spans="2:5" x14ac:dyDescent="0.25">
      <c r="B4517" s="40"/>
      <c r="C4517" s="40"/>
      <c r="E4517" s="80"/>
    </row>
    <row r="4518" spans="2:5" x14ac:dyDescent="0.25">
      <c r="B4518" s="40"/>
      <c r="C4518" s="40"/>
      <c r="E4518" s="80"/>
    </row>
    <row r="4519" spans="2:5" x14ac:dyDescent="0.25">
      <c r="B4519" s="40"/>
      <c r="C4519" s="40"/>
      <c r="E4519" s="80"/>
    </row>
    <row r="4520" spans="2:5" x14ac:dyDescent="0.25">
      <c r="B4520" s="40"/>
      <c r="C4520" s="40"/>
      <c r="E4520" s="80"/>
    </row>
    <row r="4521" spans="2:5" x14ac:dyDescent="0.25">
      <c r="B4521" s="40"/>
      <c r="C4521" s="40"/>
      <c r="E4521" s="80"/>
    </row>
    <row r="4522" spans="2:5" x14ac:dyDescent="0.25">
      <c r="B4522" s="40"/>
      <c r="C4522" s="40"/>
      <c r="E4522" s="80"/>
    </row>
    <row r="4523" spans="2:5" x14ac:dyDescent="0.25">
      <c r="B4523" s="40"/>
      <c r="C4523" s="40"/>
      <c r="E4523" s="80"/>
    </row>
    <row r="4524" spans="2:5" x14ac:dyDescent="0.25">
      <c r="B4524" s="40"/>
      <c r="C4524" s="40"/>
      <c r="E4524" s="80"/>
    </row>
    <row r="4525" spans="2:5" x14ac:dyDescent="0.25">
      <c r="B4525" s="40"/>
      <c r="C4525" s="40"/>
      <c r="E4525" s="80"/>
    </row>
    <row r="4526" spans="2:5" x14ac:dyDescent="0.25">
      <c r="B4526" s="40"/>
      <c r="C4526" s="40"/>
      <c r="E4526" s="80"/>
    </row>
    <row r="4527" spans="2:5" x14ac:dyDescent="0.25">
      <c r="B4527" s="40"/>
      <c r="C4527" s="40"/>
      <c r="E4527" s="80"/>
    </row>
    <row r="4528" spans="2:5" x14ac:dyDescent="0.25">
      <c r="B4528" s="40"/>
      <c r="C4528" s="40"/>
      <c r="E4528" s="80"/>
    </row>
    <row r="4529" spans="2:5" x14ac:dyDescent="0.25">
      <c r="B4529" s="40"/>
      <c r="C4529" s="40"/>
      <c r="E4529" s="80"/>
    </row>
    <row r="4530" spans="2:5" x14ac:dyDescent="0.25">
      <c r="B4530" s="40"/>
      <c r="C4530" s="40"/>
      <c r="E4530" s="80"/>
    </row>
    <row r="4531" spans="2:5" x14ac:dyDescent="0.25">
      <c r="B4531" s="40"/>
      <c r="C4531" s="40"/>
      <c r="E4531" s="80"/>
    </row>
    <row r="4532" spans="2:5" x14ac:dyDescent="0.25">
      <c r="B4532" s="40"/>
      <c r="C4532" s="40"/>
      <c r="E4532" s="80"/>
    </row>
    <row r="4533" spans="2:5" x14ac:dyDescent="0.25">
      <c r="B4533" s="40"/>
      <c r="C4533" s="40"/>
      <c r="E4533" s="80"/>
    </row>
    <row r="4534" spans="2:5" x14ac:dyDescent="0.25">
      <c r="B4534" s="40"/>
      <c r="C4534" s="40"/>
      <c r="E4534" s="80"/>
    </row>
    <row r="4535" spans="2:5" x14ac:dyDescent="0.25">
      <c r="B4535" s="40"/>
      <c r="C4535" s="40"/>
      <c r="E4535" s="80"/>
    </row>
    <row r="4536" spans="2:5" x14ac:dyDescent="0.25">
      <c r="B4536" s="40"/>
      <c r="C4536" s="40"/>
      <c r="E4536" s="80"/>
    </row>
    <row r="4537" spans="2:5" x14ac:dyDescent="0.25">
      <c r="B4537" s="40"/>
      <c r="C4537" s="40"/>
      <c r="E4537" s="80"/>
    </row>
    <row r="4538" spans="2:5" x14ac:dyDescent="0.25">
      <c r="B4538" s="40"/>
      <c r="C4538" s="40"/>
      <c r="E4538" s="80"/>
    </row>
    <row r="4539" spans="2:5" x14ac:dyDescent="0.25">
      <c r="B4539" s="40"/>
      <c r="C4539" s="40"/>
      <c r="E4539" s="80"/>
    </row>
    <row r="4540" spans="2:5" x14ac:dyDescent="0.25">
      <c r="B4540" s="40"/>
      <c r="C4540" s="40"/>
      <c r="E4540" s="80"/>
    </row>
    <row r="4541" spans="2:5" x14ac:dyDescent="0.25">
      <c r="B4541" s="40"/>
      <c r="C4541" s="40"/>
      <c r="E4541" s="80"/>
    </row>
    <row r="4542" spans="2:5" x14ac:dyDescent="0.25">
      <c r="B4542" s="40"/>
      <c r="C4542" s="40"/>
      <c r="E4542" s="80"/>
    </row>
    <row r="4543" spans="2:5" x14ac:dyDescent="0.25">
      <c r="B4543" s="40"/>
      <c r="C4543" s="40"/>
      <c r="E4543" s="80"/>
    </row>
    <row r="4544" spans="2:5" x14ac:dyDescent="0.25">
      <c r="B4544" s="40"/>
      <c r="C4544" s="40"/>
      <c r="E4544" s="80"/>
    </row>
    <row r="4545" spans="2:5" x14ac:dyDescent="0.25">
      <c r="B4545" s="40"/>
      <c r="C4545" s="40"/>
      <c r="E4545" s="80"/>
    </row>
    <row r="4546" spans="2:5" x14ac:dyDescent="0.25">
      <c r="B4546" s="40"/>
      <c r="C4546" s="40"/>
      <c r="E4546" s="80"/>
    </row>
    <row r="4547" spans="2:5" x14ac:dyDescent="0.25">
      <c r="B4547" s="40"/>
      <c r="C4547" s="40"/>
      <c r="E4547" s="80"/>
    </row>
    <row r="4548" spans="2:5" x14ac:dyDescent="0.25">
      <c r="B4548" s="40"/>
      <c r="C4548" s="40"/>
      <c r="E4548" s="80"/>
    </row>
    <row r="4549" spans="2:5" x14ac:dyDescent="0.25">
      <c r="B4549" s="40"/>
      <c r="C4549" s="40"/>
      <c r="E4549" s="80"/>
    </row>
    <row r="4550" spans="2:5" x14ac:dyDescent="0.25">
      <c r="B4550" s="40"/>
      <c r="C4550" s="40"/>
      <c r="E4550" s="80"/>
    </row>
    <row r="4551" spans="2:5" x14ac:dyDescent="0.25">
      <c r="B4551" s="40"/>
      <c r="C4551" s="40"/>
      <c r="E4551" s="80"/>
    </row>
    <row r="4552" spans="2:5" x14ac:dyDescent="0.25">
      <c r="B4552" s="40"/>
      <c r="C4552" s="40"/>
      <c r="E4552" s="80"/>
    </row>
    <row r="4553" spans="2:5" x14ac:dyDescent="0.25">
      <c r="B4553" s="40"/>
      <c r="C4553" s="40"/>
      <c r="E4553" s="80"/>
    </row>
    <row r="4554" spans="2:5" x14ac:dyDescent="0.25">
      <c r="B4554" s="40"/>
      <c r="C4554" s="40"/>
      <c r="E4554" s="80"/>
    </row>
    <row r="4555" spans="2:5" x14ac:dyDescent="0.25">
      <c r="B4555" s="40"/>
      <c r="C4555" s="40"/>
      <c r="E4555" s="80"/>
    </row>
    <row r="4556" spans="2:5" x14ac:dyDescent="0.25">
      <c r="B4556" s="40"/>
      <c r="C4556" s="40"/>
      <c r="E4556" s="80"/>
    </row>
    <row r="4557" spans="2:5" x14ac:dyDescent="0.25">
      <c r="B4557" s="40"/>
      <c r="C4557" s="40"/>
      <c r="E4557" s="80"/>
    </row>
    <row r="4558" spans="2:5" x14ac:dyDescent="0.25">
      <c r="B4558" s="40"/>
      <c r="C4558" s="40"/>
      <c r="E4558" s="80"/>
    </row>
    <row r="4559" spans="2:5" x14ac:dyDescent="0.25">
      <c r="B4559" s="40"/>
      <c r="C4559" s="40"/>
      <c r="E4559" s="80"/>
    </row>
    <row r="4560" spans="2:5" x14ac:dyDescent="0.25">
      <c r="B4560" s="40"/>
      <c r="C4560" s="40"/>
      <c r="E4560" s="80"/>
    </row>
    <row r="4561" spans="2:5" x14ac:dyDescent="0.25">
      <c r="B4561" s="40"/>
      <c r="C4561" s="40"/>
      <c r="E4561" s="80"/>
    </row>
    <row r="4562" spans="2:5" x14ac:dyDescent="0.25">
      <c r="B4562" s="40"/>
      <c r="C4562" s="40"/>
      <c r="E4562" s="80"/>
    </row>
    <row r="4563" spans="2:5" x14ac:dyDescent="0.25">
      <c r="B4563" s="40"/>
      <c r="C4563" s="40"/>
      <c r="E4563" s="80"/>
    </row>
    <row r="4564" spans="2:5" x14ac:dyDescent="0.25">
      <c r="B4564" s="40"/>
      <c r="C4564" s="40"/>
      <c r="E4564" s="80"/>
    </row>
    <row r="4565" spans="2:5" x14ac:dyDescent="0.25">
      <c r="B4565" s="40"/>
      <c r="C4565" s="40"/>
      <c r="E4565" s="80"/>
    </row>
    <row r="4566" spans="2:5" x14ac:dyDescent="0.25">
      <c r="B4566" s="40"/>
      <c r="C4566" s="40"/>
      <c r="E4566" s="80"/>
    </row>
    <row r="4567" spans="2:5" x14ac:dyDescent="0.25">
      <c r="B4567" s="40"/>
      <c r="C4567" s="40"/>
      <c r="E4567" s="80"/>
    </row>
    <row r="4568" spans="2:5" x14ac:dyDescent="0.25">
      <c r="B4568" s="40"/>
      <c r="C4568" s="40"/>
      <c r="E4568" s="80"/>
    </row>
    <row r="4569" spans="2:5" x14ac:dyDescent="0.25">
      <c r="B4569" s="40"/>
      <c r="C4569" s="40"/>
      <c r="E4569" s="80"/>
    </row>
    <row r="4570" spans="2:5" x14ac:dyDescent="0.25">
      <c r="B4570" s="40"/>
      <c r="C4570" s="40"/>
      <c r="E4570" s="80"/>
    </row>
    <row r="4571" spans="2:5" x14ac:dyDescent="0.25">
      <c r="B4571" s="40"/>
      <c r="C4571" s="40"/>
      <c r="E4571" s="80"/>
    </row>
    <row r="4572" spans="2:5" x14ac:dyDescent="0.25">
      <c r="B4572" s="40"/>
      <c r="C4572" s="40"/>
      <c r="E4572" s="80"/>
    </row>
    <row r="4573" spans="2:5" x14ac:dyDescent="0.25">
      <c r="B4573" s="40"/>
      <c r="C4573" s="40"/>
      <c r="E4573" s="80"/>
    </row>
    <row r="4574" spans="2:5" x14ac:dyDescent="0.25">
      <c r="B4574" s="40"/>
      <c r="C4574" s="40"/>
      <c r="E4574" s="80"/>
    </row>
    <row r="4575" spans="2:5" x14ac:dyDescent="0.25">
      <c r="B4575" s="40"/>
      <c r="C4575" s="40"/>
      <c r="E4575" s="80"/>
    </row>
    <row r="4576" spans="2:5" x14ac:dyDescent="0.25">
      <c r="B4576" s="40"/>
      <c r="C4576" s="40"/>
      <c r="E4576" s="80"/>
    </row>
    <row r="4577" spans="2:5" x14ac:dyDescent="0.25">
      <c r="B4577" s="40"/>
      <c r="C4577" s="40"/>
      <c r="E4577" s="80"/>
    </row>
    <row r="4578" spans="2:5" x14ac:dyDescent="0.25">
      <c r="B4578" s="40"/>
      <c r="C4578" s="40"/>
      <c r="E4578" s="80"/>
    </row>
    <row r="4579" spans="2:5" x14ac:dyDescent="0.25">
      <c r="B4579" s="40"/>
      <c r="C4579" s="40"/>
      <c r="E4579" s="80"/>
    </row>
    <row r="4580" spans="2:5" x14ac:dyDescent="0.25">
      <c r="B4580" s="40"/>
      <c r="C4580" s="40"/>
      <c r="E4580" s="80"/>
    </row>
    <row r="4581" spans="2:5" x14ac:dyDescent="0.25">
      <c r="B4581" s="40"/>
      <c r="C4581" s="40"/>
      <c r="E4581" s="80"/>
    </row>
    <row r="4582" spans="2:5" x14ac:dyDescent="0.25">
      <c r="B4582" s="40"/>
      <c r="C4582" s="40"/>
      <c r="E4582" s="80"/>
    </row>
    <row r="4583" spans="2:5" x14ac:dyDescent="0.25">
      <c r="B4583" s="40"/>
      <c r="C4583" s="40"/>
      <c r="E4583" s="80"/>
    </row>
    <row r="4584" spans="2:5" x14ac:dyDescent="0.25">
      <c r="B4584" s="40"/>
      <c r="C4584" s="40"/>
      <c r="E4584" s="80"/>
    </row>
    <row r="4585" spans="2:5" x14ac:dyDescent="0.25">
      <c r="B4585" s="40"/>
      <c r="C4585" s="40"/>
      <c r="E4585" s="80"/>
    </row>
    <row r="4586" spans="2:5" x14ac:dyDescent="0.25">
      <c r="B4586" s="40"/>
      <c r="C4586" s="40"/>
      <c r="E4586" s="80"/>
    </row>
    <row r="4587" spans="2:5" x14ac:dyDescent="0.25">
      <c r="B4587" s="40"/>
      <c r="C4587" s="40"/>
      <c r="E4587" s="80"/>
    </row>
    <row r="4588" spans="2:5" x14ac:dyDescent="0.25">
      <c r="B4588" s="40"/>
      <c r="C4588" s="40"/>
      <c r="E4588" s="80"/>
    </row>
    <row r="4589" spans="2:5" x14ac:dyDescent="0.25">
      <c r="B4589" s="40"/>
      <c r="C4589" s="40"/>
      <c r="E4589" s="80"/>
    </row>
    <row r="4590" spans="2:5" x14ac:dyDescent="0.25">
      <c r="B4590" s="40"/>
      <c r="C4590" s="40"/>
      <c r="E4590" s="80"/>
    </row>
    <row r="4591" spans="2:5" x14ac:dyDescent="0.25">
      <c r="B4591" s="40"/>
      <c r="C4591" s="40"/>
      <c r="E4591" s="80"/>
    </row>
    <row r="4592" spans="2:5" x14ac:dyDescent="0.25">
      <c r="B4592" s="40"/>
      <c r="C4592" s="40"/>
      <c r="E4592" s="80"/>
    </row>
    <row r="4593" spans="2:5" x14ac:dyDescent="0.25">
      <c r="B4593" s="40"/>
      <c r="C4593" s="40"/>
      <c r="E4593" s="80"/>
    </row>
    <row r="4594" spans="2:5" x14ac:dyDescent="0.25">
      <c r="B4594" s="40"/>
      <c r="C4594" s="40"/>
      <c r="E4594" s="80"/>
    </row>
    <row r="4595" spans="2:5" x14ac:dyDescent="0.25">
      <c r="B4595" s="40"/>
      <c r="C4595" s="40"/>
      <c r="E4595" s="80"/>
    </row>
    <row r="4596" spans="2:5" x14ac:dyDescent="0.25">
      <c r="B4596" s="40"/>
      <c r="C4596" s="40"/>
      <c r="E4596" s="80"/>
    </row>
    <row r="4597" spans="2:5" x14ac:dyDescent="0.25">
      <c r="B4597" s="40"/>
      <c r="C4597" s="40"/>
      <c r="E4597" s="80"/>
    </row>
    <row r="4598" spans="2:5" x14ac:dyDescent="0.25">
      <c r="B4598" s="40"/>
      <c r="C4598" s="40"/>
      <c r="E4598" s="80"/>
    </row>
    <row r="4599" spans="2:5" x14ac:dyDescent="0.25">
      <c r="B4599" s="40"/>
      <c r="C4599" s="40"/>
      <c r="E4599" s="80"/>
    </row>
    <row r="4600" spans="2:5" x14ac:dyDescent="0.25">
      <c r="B4600" s="40"/>
      <c r="C4600" s="40"/>
      <c r="E4600" s="80"/>
    </row>
    <row r="4601" spans="2:5" x14ac:dyDescent="0.25">
      <c r="B4601" s="40"/>
      <c r="C4601" s="40"/>
      <c r="E4601" s="80"/>
    </row>
    <row r="4602" spans="2:5" x14ac:dyDescent="0.25">
      <c r="B4602" s="40"/>
      <c r="C4602" s="40"/>
      <c r="E4602" s="80"/>
    </row>
    <row r="4603" spans="2:5" x14ac:dyDescent="0.25">
      <c r="B4603" s="40"/>
      <c r="C4603" s="40"/>
      <c r="E4603" s="80"/>
    </row>
    <row r="4604" spans="2:5" x14ac:dyDescent="0.25">
      <c r="B4604" s="40"/>
      <c r="C4604" s="40"/>
      <c r="E4604" s="80"/>
    </row>
    <row r="4605" spans="2:5" x14ac:dyDescent="0.25">
      <c r="B4605" s="40"/>
      <c r="C4605" s="40"/>
      <c r="E4605" s="80"/>
    </row>
    <row r="4606" spans="2:5" x14ac:dyDescent="0.25">
      <c r="B4606" s="40"/>
      <c r="C4606" s="40"/>
      <c r="E4606" s="80"/>
    </row>
    <row r="4607" spans="2:5" x14ac:dyDescent="0.25">
      <c r="B4607" s="40"/>
      <c r="C4607" s="40"/>
      <c r="E4607" s="80"/>
    </row>
    <row r="4608" spans="2:5" x14ac:dyDescent="0.25">
      <c r="B4608" s="40"/>
      <c r="C4608" s="40"/>
      <c r="E4608" s="80"/>
    </row>
    <row r="4609" spans="2:5" x14ac:dyDescent="0.25">
      <c r="B4609" s="40"/>
      <c r="C4609" s="40"/>
      <c r="E4609" s="80"/>
    </row>
    <row r="4610" spans="2:5" x14ac:dyDescent="0.25">
      <c r="B4610" s="40"/>
      <c r="C4610" s="40"/>
      <c r="E4610" s="80"/>
    </row>
    <row r="4611" spans="2:5" x14ac:dyDescent="0.25">
      <c r="B4611" s="40"/>
      <c r="C4611" s="40"/>
      <c r="E4611" s="80"/>
    </row>
    <row r="4612" spans="2:5" x14ac:dyDescent="0.25">
      <c r="B4612" s="40"/>
      <c r="C4612" s="40"/>
      <c r="E4612" s="80"/>
    </row>
    <row r="4613" spans="2:5" x14ac:dyDescent="0.25">
      <c r="B4613" s="40"/>
      <c r="C4613" s="40"/>
      <c r="E4613" s="80"/>
    </row>
    <row r="4614" spans="2:5" x14ac:dyDescent="0.25">
      <c r="B4614" s="40"/>
      <c r="C4614" s="40"/>
      <c r="E4614" s="80"/>
    </row>
    <row r="4615" spans="2:5" x14ac:dyDescent="0.25">
      <c r="B4615" s="40"/>
      <c r="C4615" s="40"/>
      <c r="E4615" s="80"/>
    </row>
    <row r="4616" spans="2:5" x14ac:dyDescent="0.25">
      <c r="B4616" s="40"/>
      <c r="C4616" s="40"/>
      <c r="E4616" s="80"/>
    </row>
    <row r="4617" spans="2:5" x14ac:dyDescent="0.25">
      <c r="B4617" s="40"/>
      <c r="C4617" s="40"/>
      <c r="E4617" s="80"/>
    </row>
    <row r="4618" spans="2:5" x14ac:dyDescent="0.25">
      <c r="B4618" s="40"/>
      <c r="C4618" s="40"/>
      <c r="E4618" s="80"/>
    </row>
    <row r="4619" spans="2:5" x14ac:dyDescent="0.25">
      <c r="B4619" s="40"/>
      <c r="C4619" s="40"/>
      <c r="E4619" s="80"/>
    </row>
    <row r="4620" spans="2:5" x14ac:dyDescent="0.25">
      <c r="B4620" s="40"/>
      <c r="C4620" s="40"/>
      <c r="E4620" s="80"/>
    </row>
    <row r="4621" spans="2:5" x14ac:dyDescent="0.25">
      <c r="B4621" s="40"/>
      <c r="C4621" s="40"/>
      <c r="E4621" s="80"/>
    </row>
    <row r="4622" spans="2:5" x14ac:dyDescent="0.25">
      <c r="B4622" s="40"/>
      <c r="C4622" s="40"/>
      <c r="E4622" s="80"/>
    </row>
    <row r="4623" spans="2:5" x14ac:dyDescent="0.25">
      <c r="B4623" s="40"/>
      <c r="C4623" s="40"/>
      <c r="E4623" s="80"/>
    </row>
    <row r="4624" spans="2:5" x14ac:dyDescent="0.25">
      <c r="B4624" s="40"/>
      <c r="C4624" s="40"/>
      <c r="E4624" s="80"/>
    </row>
    <row r="4625" spans="2:5" x14ac:dyDescent="0.25">
      <c r="B4625" s="40"/>
      <c r="C4625" s="40"/>
      <c r="E4625" s="80"/>
    </row>
    <row r="4626" spans="2:5" x14ac:dyDescent="0.25">
      <c r="B4626" s="40"/>
      <c r="C4626" s="40"/>
      <c r="E4626" s="80"/>
    </row>
    <row r="4627" spans="2:5" x14ac:dyDescent="0.25">
      <c r="B4627" s="40"/>
      <c r="C4627" s="40"/>
      <c r="E4627" s="80"/>
    </row>
    <row r="4628" spans="2:5" x14ac:dyDescent="0.25">
      <c r="B4628" s="40"/>
      <c r="C4628" s="40"/>
      <c r="E4628" s="80"/>
    </row>
    <row r="4629" spans="2:5" x14ac:dyDescent="0.25">
      <c r="B4629" s="40"/>
      <c r="C4629" s="40"/>
      <c r="E4629" s="80"/>
    </row>
    <row r="4630" spans="2:5" x14ac:dyDescent="0.25">
      <c r="B4630" s="40"/>
      <c r="C4630" s="40"/>
      <c r="E4630" s="80"/>
    </row>
    <row r="4631" spans="2:5" x14ac:dyDescent="0.25">
      <c r="B4631" s="40"/>
      <c r="C4631" s="40"/>
      <c r="E4631" s="80"/>
    </row>
    <row r="4632" spans="2:5" x14ac:dyDescent="0.25">
      <c r="B4632" s="40"/>
      <c r="C4632" s="40"/>
      <c r="E4632" s="80"/>
    </row>
    <row r="4633" spans="2:5" x14ac:dyDescent="0.25">
      <c r="B4633" s="40"/>
      <c r="C4633" s="40"/>
      <c r="E4633" s="80"/>
    </row>
    <row r="4634" spans="2:5" x14ac:dyDescent="0.25">
      <c r="B4634" s="40"/>
      <c r="C4634" s="40"/>
      <c r="E4634" s="80"/>
    </row>
    <row r="4635" spans="2:5" x14ac:dyDescent="0.25">
      <c r="B4635" s="40"/>
      <c r="C4635" s="40"/>
      <c r="E4635" s="80"/>
    </row>
    <row r="4636" spans="2:5" x14ac:dyDescent="0.25">
      <c r="B4636" s="40"/>
      <c r="C4636" s="40"/>
      <c r="E4636" s="80"/>
    </row>
    <row r="4637" spans="2:5" x14ac:dyDescent="0.25">
      <c r="B4637" s="40"/>
      <c r="C4637" s="40"/>
      <c r="E4637" s="80"/>
    </row>
    <row r="4638" spans="2:5" x14ac:dyDescent="0.25">
      <c r="B4638" s="40"/>
      <c r="C4638" s="40"/>
      <c r="E4638" s="80"/>
    </row>
    <row r="4639" spans="2:5" x14ac:dyDescent="0.25">
      <c r="B4639" s="40"/>
      <c r="C4639" s="40"/>
      <c r="E4639" s="80"/>
    </row>
    <row r="4640" spans="2:5" x14ac:dyDescent="0.25">
      <c r="B4640" s="40"/>
      <c r="C4640" s="40"/>
      <c r="E4640" s="80"/>
    </row>
    <row r="4641" spans="2:5" x14ac:dyDescent="0.25">
      <c r="B4641" s="40"/>
      <c r="C4641" s="40"/>
      <c r="E4641" s="80"/>
    </row>
    <row r="4642" spans="2:5" x14ac:dyDescent="0.25">
      <c r="B4642" s="40"/>
      <c r="C4642" s="40"/>
      <c r="E4642" s="80"/>
    </row>
    <row r="4643" spans="2:5" x14ac:dyDescent="0.25">
      <c r="B4643" s="40"/>
      <c r="C4643" s="40"/>
      <c r="E4643" s="80"/>
    </row>
    <row r="4644" spans="2:5" x14ac:dyDescent="0.25">
      <c r="B4644" s="40"/>
      <c r="C4644" s="40"/>
      <c r="E4644" s="80"/>
    </row>
    <row r="4645" spans="2:5" x14ac:dyDescent="0.25">
      <c r="B4645" s="40"/>
      <c r="C4645" s="40"/>
      <c r="E4645" s="80"/>
    </row>
    <row r="4646" spans="2:5" x14ac:dyDescent="0.25">
      <c r="B4646" s="40"/>
      <c r="C4646" s="40"/>
      <c r="E4646" s="80"/>
    </row>
    <row r="4647" spans="2:5" x14ac:dyDescent="0.25">
      <c r="B4647" s="40"/>
      <c r="C4647" s="40"/>
      <c r="E4647" s="80"/>
    </row>
    <row r="4648" spans="2:5" x14ac:dyDescent="0.25">
      <c r="B4648" s="40"/>
      <c r="C4648" s="40"/>
      <c r="E4648" s="80"/>
    </row>
    <row r="4649" spans="2:5" x14ac:dyDescent="0.25">
      <c r="B4649" s="40"/>
      <c r="C4649" s="40"/>
      <c r="E4649" s="80"/>
    </row>
    <row r="4650" spans="2:5" x14ac:dyDescent="0.25">
      <c r="B4650" s="40"/>
      <c r="C4650" s="40"/>
      <c r="E4650" s="80"/>
    </row>
    <row r="4651" spans="2:5" x14ac:dyDescent="0.25">
      <c r="B4651" s="40"/>
      <c r="C4651" s="40"/>
      <c r="E4651" s="80"/>
    </row>
    <row r="4652" spans="2:5" x14ac:dyDescent="0.25">
      <c r="B4652" s="40"/>
      <c r="C4652" s="40"/>
      <c r="E4652" s="80"/>
    </row>
    <row r="4653" spans="2:5" x14ac:dyDescent="0.25">
      <c r="B4653" s="40"/>
      <c r="C4653" s="40"/>
      <c r="E4653" s="80"/>
    </row>
    <row r="4654" spans="2:5" x14ac:dyDescent="0.25">
      <c r="B4654" s="40"/>
      <c r="C4654" s="40"/>
      <c r="E4654" s="80"/>
    </row>
    <row r="4655" spans="2:5" x14ac:dyDescent="0.25">
      <c r="B4655" s="40"/>
      <c r="C4655" s="40"/>
      <c r="E4655" s="80"/>
    </row>
    <row r="4656" spans="2:5" x14ac:dyDescent="0.25">
      <c r="B4656" s="40"/>
      <c r="C4656" s="40"/>
      <c r="E4656" s="80"/>
    </row>
    <row r="4657" spans="2:5" x14ac:dyDescent="0.25">
      <c r="B4657" s="40"/>
      <c r="C4657" s="40"/>
      <c r="E4657" s="80"/>
    </row>
    <row r="4658" spans="2:5" x14ac:dyDescent="0.25">
      <c r="B4658" s="40"/>
      <c r="C4658" s="40"/>
      <c r="E4658" s="80"/>
    </row>
    <row r="4659" spans="2:5" x14ac:dyDescent="0.25">
      <c r="B4659" s="40"/>
      <c r="C4659" s="40"/>
      <c r="E4659" s="80"/>
    </row>
    <row r="4660" spans="2:5" x14ac:dyDescent="0.25">
      <c r="B4660" s="40"/>
      <c r="C4660" s="40"/>
      <c r="E4660" s="80"/>
    </row>
    <row r="4661" spans="2:5" x14ac:dyDescent="0.25">
      <c r="B4661" s="40"/>
      <c r="C4661" s="40"/>
      <c r="E4661" s="80"/>
    </row>
    <row r="4662" spans="2:5" x14ac:dyDescent="0.25">
      <c r="B4662" s="40"/>
      <c r="C4662" s="40"/>
      <c r="E4662" s="80"/>
    </row>
    <row r="4663" spans="2:5" x14ac:dyDescent="0.25">
      <c r="B4663" s="40"/>
      <c r="C4663" s="40"/>
      <c r="E4663" s="80"/>
    </row>
    <row r="4664" spans="2:5" x14ac:dyDescent="0.25">
      <c r="B4664" s="40"/>
      <c r="C4664" s="40"/>
      <c r="E4664" s="80"/>
    </row>
    <row r="4665" spans="2:5" x14ac:dyDescent="0.25">
      <c r="B4665" s="40"/>
      <c r="C4665" s="40"/>
      <c r="E4665" s="80"/>
    </row>
    <row r="4666" spans="2:5" x14ac:dyDescent="0.25">
      <c r="B4666" s="40"/>
      <c r="C4666" s="40"/>
      <c r="E4666" s="80"/>
    </row>
    <row r="4667" spans="2:5" x14ac:dyDescent="0.25">
      <c r="B4667" s="40"/>
      <c r="C4667" s="40"/>
      <c r="E4667" s="80"/>
    </row>
    <row r="4668" spans="2:5" x14ac:dyDescent="0.25">
      <c r="B4668" s="40"/>
      <c r="C4668" s="40"/>
      <c r="E4668" s="80"/>
    </row>
    <row r="4669" spans="2:5" x14ac:dyDescent="0.25">
      <c r="B4669" s="40"/>
      <c r="C4669" s="40"/>
      <c r="E4669" s="80"/>
    </row>
    <row r="4670" spans="2:5" x14ac:dyDescent="0.25">
      <c r="B4670" s="40"/>
      <c r="C4670" s="40"/>
      <c r="E4670" s="80"/>
    </row>
    <row r="4671" spans="2:5" x14ac:dyDescent="0.25">
      <c r="B4671" s="40"/>
      <c r="C4671" s="40"/>
      <c r="E4671" s="80"/>
    </row>
    <row r="4672" spans="2:5" x14ac:dyDescent="0.25">
      <c r="B4672" s="40"/>
      <c r="C4672" s="40"/>
      <c r="E4672" s="80"/>
    </row>
    <row r="4673" spans="2:5" x14ac:dyDescent="0.25">
      <c r="B4673" s="40"/>
      <c r="C4673" s="40"/>
      <c r="E4673" s="80"/>
    </row>
    <row r="4674" spans="2:5" x14ac:dyDescent="0.25">
      <c r="B4674" s="40"/>
      <c r="C4674" s="40"/>
      <c r="E4674" s="80"/>
    </row>
    <row r="4675" spans="2:5" x14ac:dyDescent="0.25">
      <c r="B4675" s="40"/>
      <c r="C4675" s="40"/>
      <c r="E4675" s="80"/>
    </row>
    <row r="4676" spans="2:5" x14ac:dyDescent="0.25">
      <c r="B4676" s="40"/>
      <c r="C4676" s="40"/>
      <c r="E4676" s="80"/>
    </row>
    <row r="4677" spans="2:5" x14ac:dyDescent="0.25">
      <c r="B4677" s="40"/>
      <c r="C4677" s="40"/>
      <c r="E4677" s="80"/>
    </row>
    <row r="4678" spans="2:5" x14ac:dyDescent="0.25">
      <c r="B4678" s="40"/>
      <c r="C4678" s="40"/>
      <c r="E4678" s="80"/>
    </row>
    <row r="4679" spans="2:5" x14ac:dyDescent="0.25">
      <c r="B4679" s="40"/>
      <c r="C4679" s="40"/>
      <c r="E4679" s="80"/>
    </row>
    <row r="4680" spans="2:5" x14ac:dyDescent="0.25">
      <c r="B4680" s="40"/>
      <c r="C4680" s="40"/>
      <c r="E4680" s="80"/>
    </row>
    <row r="4681" spans="2:5" x14ac:dyDescent="0.25">
      <c r="B4681" s="40"/>
      <c r="C4681" s="40"/>
      <c r="E4681" s="80"/>
    </row>
    <row r="4682" spans="2:5" x14ac:dyDescent="0.25">
      <c r="B4682" s="40"/>
      <c r="C4682" s="40"/>
      <c r="E4682" s="80"/>
    </row>
    <row r="4683" spans="2:5" x14ac:dyDescent="0.25">
      <c r="B4683" s="40"/>
      <c r="C4683" s="40"/>
      <c r="E4683" s="80"/>
    </row>
    <row r="4684" spans="2:5" x14ac:dyDescent="0.25">
      <c r="B4684" s="40"/>
      <c r="C4684" s="40"/>
      <c r="E4684" s="80"/>
    </row>
    <row r="4685" spans="2:5" x14ac:dyDescent="0.25">
      <c r="B4685" s="40"/>
      <c r="C4685" s="40"/>
      <c r="E4685" s="80"/>
    </row>
    <row r="4686" spans="2:5" x14ac:dyDescent="0.25">
      <c r="B4686" s="40"/>
      <c r="C4686" s="40"/>
      <c r="E4686" s="80"/>
    </row>
    <row r="4687" spans="2:5" x14ac:dyDescent="0.25">
      <c r="B4687" s="40"/>
      <c r="C4687" s="40"/>
      <c r="E4687" s="80"/>
    </row>
    <row r="4688" spans="2:5" x14ac:dyDescent="0.25">
      <c r="B4688" s="40"/>
      <c r="C4688" s="40"/>
      <c r="E4688" s="80"/>
    </row>
    <row r="4689" spans="2:5" x14ac:dyDescent="0.25">
      <c r="B4689" s="40"/>
      <c r="C4689" s="40"/>
      <c r="E4689" s="80"/>
    </row>
    <row r="4690" spans="2:5" x14ac:dyDescent="0.25">
      <c r="B4690" s="40"/>
      <c r="C4690" s="40"/>
      <c r="E4690" s="80"/>
    </row>
    <row r="4691" spans="2:5" x14ac:dyDescent="0.25">
      <c r="B4691" s="40"/>
      <c r="C4691" s="40"/>
      <c r="E4691" s="80"/>
    </row>
    <row r="4692" spans="2:5" x14ac:dyDescent="0.25">
      <c r="B4692" s="40"/>
      <c r="C4692" s="40"/>
      <c r="E4692" s="80"/>
    </row>
    <row r="4693" spans="2:5" x14ac:dyDescent="0.25">
      <c r="B4693" s="40"/>
      <c r="C4693" s="40"/>
      <c r="E4693" s="80"/>
    </row>
    <row r="4694" spans="2:5" x14ac:dyDescent="0.25">
      <c r="B4694" s="40"/>
      <c r="C4694" s="40"/>
      <c r="E4694" s="80"/>
    </row>
    <row r="4695" spans="2:5" x14ac:dyDescent="0.25">
      <c r="B4695" s="40"/>
      <c r="C4695" s="40"/>
      <c r="E4695" s="80"/>
    </row>
    <row r="4696" spans="2:5" x14ac:dyDescent="0.25">
      <c r="B4696" s="40"/>
      <c r="C4696" s="40"/>
      <c r="E4696" s="80"/>
    </row>
    <row r="4697" spans="2:5" x14ac:dyDescent="0.25">
      <c r="B4697" s="40"/>
      <c r="C4697" s="40"/>
      <c r="E4697" s="80"/>
    </row>
    <row r="4698" spans="2:5" x14ac:dyDescent="0.25">
      <c r="B4698" s="40"/>
      <c r="C4698" s="40"/>
      <c r="E4698" s="80"/>
    </row>
    <row r="4699" spans="2:5" x14ac:dyDescent="0.25">
      <c r="B4699" s="40"/>
      <c r="C4699" s="40"/>
      <c r="E4699" s="80"/>
    </row>
    <row r="4700" spans="2:5" x14ac:dyDescent="0.25">
      <c r="B4700" s="40"/>
      <c r="C4700" s="40"/>
      <c r="E4700" s="80"/>
    </row>
    <row r="4701" spans="2:5" x14ac:dyDescent="0.25">
      <c r="B4701" s="40"/>
      <c r="C4701" s="40"/>
      <c r="E4701" s="80"/>
    </row>
    <row r="4702" spans="2:5" x14ac:dyDescent="0.25">
      <c r="B4702" s="40"/>
      <c r="C4702" s="40"/>
      <c r="E4702" s="80"/>
    </row>
    <row r="4703" spans="2:5" x14ac:dyDescent="0.25">
      <c r="B4703" s="40"/>
      <c r="C4703" s="40"/>
      <c r="E4703" s="80"/>
    </row>
    <row r="4704" spans="2:5" x14ac:dyDescent="0.25">
      <c r="B4704" s="40"/>
      <c r="C4704" s="40"/>
      <c r="E4704" s="80"/>
    </row>
    <row r="4705" spans="2:5" x14ac:dyDescent="0.25">
      <c r="B4705" s="40"/>
      <c r="C4705" s="40"/>
      <c r="E4705" s="80"/>
    </row>
    <row r="4706" spans="2:5" x14ac:dyDescent="0.25">
      <c r="B4706" s="40"/>
      <c r="C4706" s="40"/>
      <c r="E4706" s="80"/>
    </row>
    <row r="4707" spans="2:5" x14ac:dyDescent="0.25">
      <c r="B4707" s="40"/>
      <c r="C4707" s="40"/>
      <c r="E4707" s="80"/>
    </row>
    <row r="4708" spans="2:5" x14ac:dyDescent="0.25">
      <c r="B4708" s="40"/>
      <c r="C4708" s="40"/>
      <c r="E4708" s="80"/>
    </row>
    <row r="4709" spans="2:5" x14ac:dyDescent="0.25">
      <c r="B4709" s="40"/>
      <c r="C4709" s="40"/>
      <c r="E4709" s="80"/>
    </row>
    <row r="4710" spans="2:5" x14ac:dyDescent="0.25">
      <c r="B4710" s="40"/>
      <c r="C4710" s="40"/>
      <c r="E4710" s="80"/>
    </row>
    <row r="4711" spans="2:5" x14ac:dyDescent="0.25">
      <c r="B4711" s="40"/>
      <c r="C4711" s="40"/>
      <c r="E4711" s="80"/>
    </row>
    <row r="4712" spans="2:5" x14ac:dyDescent="0.25">
      <c r="B4712" s="40"/>
      <c r="C4712" s="40"/>
      <c r="E4712" s="80"/>
    </row>
    <row r="4713" spans="2:5" x14ac:dyDescent="0.25">
      <c r="B4713" s="40"/>
      <c r="C4713" s="40"/>
      <c r="E4713" s="80"/>
    </row>
    <row r="4714" spans="2:5" x14ac:dyDescent="0.25">
      <c r="B4714" s="40"/>
      <c r="C4714" s="40"/>
      <c r="E4714" s="80"/>
    </row>
    <row r="4715" spans="2:5" x14ac:dyDescent="0.25">
      <c r="B4715" s="40"/>
      <c r="C4715" s="40"/>
      <c r="E4715" s="80"/>
    </row>
    <row r="4716" spans="2:5" x14ac:dyDescent="0.25">
      <c r="B4716" s="40"/>
      <c r="C4716" s="40"/>
      <c r="E4716" s="80"/>
    </row>
    <row r="4717" spans="2:5" x14ac:dyDescent="0.25">
      <c r="B4717" s="40"/>
      <c r="C4717" s="40"/>
      <c r="E4717" s="80"/>
    </row>
    <row r="4718" spans="2:5" x14ac:dyDescent="0.25">
      <c r="B4718" s="40"/>
      <c r="C4718" s="40"/>
      <c r="E4718" s="80"/>
    </row>
    <row r="4719" spans="2:5" x14ac:dyDescent="0.25">
      <c r="B4719" s="40"/>
      <c r="C4719" s="40"/>
      <c r="E4719" s="80"/>
    </row>
    <row r="4720" spans="2:5" x14ac:dyDescent="0.25">
      <c r="B4720" s="40"/>
      <c r="C4720" s="40"/>
      <c r="E4720" s="80"/>
    </row>
    <row r="4721" spans="2:5" x14ac:dyDescent="0.25">
      <c r="B4721" s="40"/>
      <c r="C4721" s="40"/>
      <c r="E4721" s="80"/>
    </row>
    <row r="4722" spans="2:5" x14ac:dyDescent="0.25">
      <c r="B4722" s="40"/>
      <c r="C4722" s="40"/>
      <c r="E4722" s="80"/>
    </row>
    <row r="4723" spans="2:5" x14ac:dyDescent="0.25">
      <c r="B4723" s="40"/>
      <c r="C4723" s="40"/>
      <c r="E4723" s="80"/>
    </row>
    <row r="4724" spans="2:5" x14ac:dyDescent="0.25">
      <c r="B4724" s="40"/>
      <c r="C4724" s="40"/>
      <c r="E4724" s="80"/>
    </row>
    <row r="4725" spans="2:5" x14ac:dyDescent="0.25">
      <c r="B4725" s="40"/>
      <c r="C4725" s="40"/>
      <c r="E4725" s="80"/>
    </row>
    <row r="4726" spans="2:5" x14ac:dyDescent="0.25">
      <c r="B4726" s="40"/>
      <c r="C4726" s="40"/>
      <c r="E4726" s="80"/>
    </row>
    <row r="4727" spans="2:5" x14ac:dyDescent="0.25">
      <c r="B4727" s="40"/>
      <c r="C4727" s="40"/>
      <c r="E4727" s="80"/>
    </row>
    <row r="4728" spans="2:5" x14ac:dyDescent="0.25">
      <c r="B4728" s="40"/>
      <c r="C4728" s="40"/>
      <c r="E4728" s="80"/>
    </row>
    <row r="4729" spans="2:5" x14ac:dyDescent="0.25">
      <c r="B4729" s="40"/>
      <c r="C4729" s="40"/>
      <c r="E4729" s="80"/>
    </row>
    <row r="4730" spans="2:5" x14ac:dyDescent="0.25">
      <c r="B4730" s="40"/>
      <c r="C4730" s="40"/>
      <c r="E4730" s="80"/>
    </row>
    <row r="4731" spans="2:5" x14ac:dyDescent="0.25">
      <c r="B4731" s="40"/>
      <c r="C4731" s="40"/>
      <c r="E4731" s="80"/>
    </row>
    <row r="4732" spans="2:5" x14ac:dyDescent="0.25">
      <c r="B4732" s="40"/>
      <c r="C4732" s="40"/>
      <c r="E4732" s="80"/>
    </row>
    <row r="4733" spans="2:5" x14ac:dyDescent="0.25">
      <c r="B4733" s="40"/>
      <c r="C4733" s="40"/>
      <c r="E4733" s="80"/>
    </row>
    <row r="4734" spans="2:5" x14ac:dyDescent="0.25">
      <c r="B4734" s="40"/>
      <c r="C4734" s="40"/>
      <c r="E4734" s="80"/>
    </row>
    <row r="4735" spans="2:5" x14ac:dyDescent="0.25">
      <c r="B4735" s="40"/>
      <c r="C4735" s="40"/>
      <c r="E4735" s="80"/>
    </row>
    <row r="4736" spans="2:5" x14ac:dyDescent="0.25">
      <c r="B4736" s="40"/>
      <c r="C4736" s="40"/>
      <c r="E4736" s="80"/>
    </row>
    <row r="4737" spans="2:5" x14ac:dyDescent="0.25">
      <c r="B4737" s="40"/>
      <c r="C4737" s="40"/>
      <c r="E4737" s="80"/>
    </row>
    <row r="4738" spans="2:5" x14ac:dyDescent="0.25">
      <c r="B4738" s="40"/>
      <c r="C4738" s="40"/>
      <c r="E4738" s="80"/>
    </row>
    <row r="4739" spans="2:5" x14ac:dyDescent="0.25">
      <c r="B4739" s="40"/>
      <c r="C4739" s="40"/>
      <c r="E4739" s="80"/>
    </row>
    <row r="4740" spans="2:5" x14ac:dyDescent="0.25">
      <c r="B4740" s="40"/>
      <c r="C4740" s="40"/>
      <c r="E4740" s="80"/>
    </row>
    <row r="4741" spans="2:5" x14ac:dyDescent="0.25">
      <c r="B4741" s="40"/>
      <c r="C4741" s="40"/>
      <c r="E4741" s="80"/>
    </row>
    <row r="4742" spans="2:5" x14ac:dyDescent="0.25">
      <c r="B4742" s="40"/>
      <c r="C4742" s="40"/>
      <c r="E4742" s="80"/>
    </row>
    <row r="4743" spans="2:5" x14ac:dyDescent="0.25">
      <c r="B4743" s="40"/>
      <c r="C4743" s="40"/>
      <c r="E4743" s="80"/>
    </row>
    <row r="4744" spans="2:5" x14ac:dyDescent="0.25">
      <c r="B4744" s="40"/>
      <c r="C4744" s="40"/>
      <c r="E4744" s="80"/>
    </row>
    <row r="4745" spans="2:5" x14ac:dyDescent="0.25">
      <c r="B4745" s="40"/>
      <c r="C4745" s="40"/>
      <c r="E4745" s="80"/>
    </row>
    <row r="4746" spans="2:5" x14ac:dyDescent="0.25">
      <c r="B4746" s="40"/>
      <c r="C4746" s="40"/>
      <c r="E4746" s="80"/>
    </row>
    <row r="4747" spans="2:5" x14ac:dyDescent="0.25">
      <c r="B4747" s="40"/>
      <c r="C4747" s="40"/>
      <c r="E4747" s="80"/>
    </row>
    <row r="4748" spans="2:5" x14ac:dyDescent="0.25">
      <c r="B4748" s="40"/>
      <c r="C4748" s="40"/>
      <c r="E4748" s="80"/>
    </row>
    <row r="4749" spans="2:5" x14ac:dyDescent="0.25">
      <c r="B4749" s="40"/>
      <c r="C4749" s="40"/>
      <c r="E4749" s="80"/>
    </row>
    <row r="4750" spans="2:5" x14ac:dyDescent="0.25">
      <c r="B4750" s="40"/>
      <c r="C4750" s="40"/>
      <c r="E4750" s="80"/>
    </row>
    <row r="4751" spans="2:5" x14ac:dyDescent="0.25">
      <c r="B4751" s="40"/>
      <c r="C4751" s="40"/>
      <c r="E4751" s="80"/>
    </row>
    <row r="4752" spans="2:5" x14ac:dyDescent="0.25">
      <c r="B4752" s="40"/>
      <c r="C4752" s="40"/>
      <c r="E4752" s="80"/>
    </row>
    <row r="4753" spans="2:5" x14ac:dyDescent="0.25">
      <c r="B4753" s="40"/>
      <c r="C4753" s="40"/>
      <c r="E4753" s="80"/>
    </row>
    <row r="4754" spans="2:5" x14ac:dyDescent="0.25">
      <c r="B4754" s="40"/>
      <c r="C4754" s="40"/>
      <c r="E4754" s="80"/>
    </row>
    <row r="4755" spans="2:5" x14ac:dyDescent="0.25">
      <c r="B4755" s="40"/>
      <c r="C4755" s="40"/>
      <c r="E4755" s="80"/>
    </row>
    <row r="4756" spans="2:5" x14ac:dyDescent="0.25">
      <c r="B4756" s="40"/>
      <c r="C4756" s="40"/>
      <c r="E4756" s="80"/>
    </row>
    <row r="4757" spans="2:5" x14ac:dyDescent="0.25">
      <c r="B4757" s="40"/>
      <c r="C4757" s="40"/>
      <c r="E4757" s="80"/>
    </row>
    <row r="4758" spans="2:5" x14ac:dyDescent="0.25">
      <c r="B4758" s="40"/>
      <c r="C4758" s="40"/>
      <c r="E4758" s="80"/>
    </row>
    <row r="4759" spans="2:5" x14ac:dyDescent="0.25">
      <c r="B4759" s="40"/>
      <c r="C4759" s="40"/>
      <c r="E4759" s="80"/>
    </row>
    <row r="4760" spans="2:5" x14ac:dyDescent="0.25">
      <c r="B4760" s="40"/>
      <c r="C4760" s="40"/>
      <c r="E4760" s="80"/>
    </row>
    <row r="4761" spans="2:5" x14ac:dyDescent="0.25">
      <c r="B4761" s="40"/>
      <c r="C4761" s="40"/>
      <c r="E4761" s="80"/>
    </row>
    <row r="4762" spans="2:5" x14ac:dyDescent="0.25">
      <c r="B4762" s="40"/>
      <c r="C4762" s="40"/>
      <c r="E4762" s="80"/>
    </row>
    <row r="4763" spans="2:5" x14ac:dyDescent="0.25">
      <c r="B4763" s="40"/>
      <c r="C4763" s="40"/>
      <c r="E4763" s="80"/>
    </row>
    <row r="4764" spans="2:5" x14ac:dyDescent="0.25">
      <c r="B4764" s="40"/>
      <c r="C4764" s="40"/>
      <c r="E4764" s="80"/>
    </row>
    <row r="4765" spans="2:5" x14ac:dyDescent="0.25">
      <c r="B4765" s="40"/>
      <c r="C4765" s="40"/>
      <c r="E4765" s="80"/>
    </row>
    <row r="4766" spans="2:5" x14ac:dyDescent="0.25">
      <c r="B4766" s="40"/>
      <c r="C4766" s="40"/>
      <c r="E4766" s="80"/>
    </row>
    <row r="4767" spans="2:5" x14ac:dyDescent="0.25">
      <c r="B4767" s="40"/>
      <c r="C4767" s="40"/>
      <c r="E4767" s="80"/>
    </row>
    <row r="4768" spans="2:5" x14ac:dyDescent="0.25">
      <c r="B4768" s="40"/>
      <c r="C4768" s="40"/>
      <c r="E4768" s="80"/>
    </row>
    <row r="4769" spans="2:5" x14ac:dyDescent="0.25">
      <c r="B4769" s="40"/>
      <c r="C4769" s="40"/>
      <c r="E4769" s="80"/>
    </row>
    <row r="4770" spans="2:5" x14ac:dyDescent="0.25">
      <c r="B4770" s="40"/>
      <c r="C4770" s="40"/>
      <c r="E4770" s="80"/>
    </row>
    <row r="4771" spans="2:5" x14ac:dyDescent="0.25">
      <c r="B4771" s="40"/>
      <c r="C4771" s="40"/>
      <c r="E4771" s="80"/>
    </row>
    <row r="4772" spans="2:5" x14ac:dyDescent="0.25">
      <c r="B4772" s="40"/>
      <c r="C4772" s="40"/>
      <c r="E4772" s="80"/>
    </row>
    <row r="4773" spans="2:5" x14ac:dyDescent="0.25">
      <c r="B4773" s="40"/>
      <c r="C4773" s="40"/>
      <c r="E4773" s="80"/>
    </row>
    <row r="4774" spans="2:5" x14ac:dyDescent="0.25">
      <c r="B4774" s="40"/>
      <c r="C4774" s="40"/>
      <c r="E4774" s="80"/>
    </row>
    <row r="4775" spans="2:5" x14ac:dyDescent="0.25">
      <c r="B4775" s="40"/>
      <c r="C4775" s="40"/>
      <c r="E4775" s="80"/>
    </row>
    <row r="4776" spans="2:5" x14ac:dyDescent="0.25">
      <c r="B4776" s="40"/>
      <c r="C4776" s="40"/>
      <c r="E4776" s="80"/>
    </row>
    <row r="4777" spans="2:5" x14ac:dyDescent="0.25">
      <c r="B4777" s="40"/>
      <c r="C4777" s="40"/>
      <c r="E4777" s="80"/>
    </row>
    <row r="4778" spans="2:5" x14ac:dyDescent="0.25">
      <c r="B4778" s="40"/>
      <c r="C4778" s="40"/>
      <c r="E4778" s="80"/>
    </row>
    <row r="4779" spans="2:5" x14ac:dyDescent="0.25">
      <c r="B4779" s="40"/>
      <c r="C4779" s="40"/>
      <c r="E4779" s="80"/>
    </row>
    <row r="4780" spans="2:5" x14ac:dyDescent="0.25">
      <c r="B4780" s="40"/>
      <c r="C4780" s="40"/>
      <c r="E4780" s="80"/>
    </row>
    <row r="4781" spans="2:5" x14ac:dyDescent="0.25">
      <c r="B4781" s="40"/>
      <c r="C4781" s="40"/>
      <c r="E4781" s="80"/>
    </row>
    <row r="4782" spans="2:5" x14ac:dyDescent="0.25">
      <c r="B4782" s="40"/>
      <c r="C4782" s="40"/>
      <c r="E4782" s="80"/>
    </row>
    <row r="4783" spans="2:5" x14ac:dyDescent="0.25">
      <c r="B4783" s="40"/>
      <c r="C4783" s="40"/>
      <c r="E4783" s="80"/>
    </row>
    <row r="4784" spans="2:5" x14ac:dyDescent="0.25">
      <c r="B4784" s="40"/>
      <c r="C4784" s="40"/>
      <c r="E4784" s="80"/>
    </row>
    <row r="4785" spans="2:5" x14ac:dyDescent="0.25">
      <c r="B4785" s="40"/>
      <c r="C4785" s="40"/>
      <c r="E4785" s="80"/>
    </row>
    <row r="4786" spans="2:5" x14ac:dyDescent="0.25">
      <c r="B4786" s="40"/>
      <c r="C4786" s="40"/>
      <c r="E4786" s="80"/>
    </row>
    <row r="4787" spans="2:5" x14ac:dyDescent="0.25">
      <c r="B4787" s="40"/>
      <c r="C4787" s="40"/>
      <c r="E4787" s="80"/>
    </row>
    <row r="4788" spans="2:5" x14ac:dyDescent="0.25">
      <c r="B4788" s="40"/>
      <c r="C4788" s="40"/>
      <c r="E4788" s="80"/>
    </row>
    <row r="4789" spans="2:5" x14ac:dyDescent="0.25">
      <c r="B4789" s="40"/>
      <c r="C4789" s="40"/>
      <c r="E4789" s="80"/>
    </row>
    <row r="4790" spans="2:5" x14ac:dyDescent="0.25">
      <c r="B4790" s="40"/>
      <c r="C4790" s="40"/>
      <c r="E4790" s="80"/>
    </row>
    <row r="4791" spans="2:5" x14ac:dyDescent="0.25">
      <c r="B4791" s="40"/>
      <c r="C4791" s="40"/>
      <c r="E4791" s="80"/>
    </row>
    <row r="4792" spans="2:5" x14ac:dyDescent="0.25">
      <c r="B4792" s="40"/>
      <c r="C4792" s="40"/>
      <c r="E4792" s="80"/>
    </row>
    <row r="4793" spans="2:5" x14ac:dyDescent="0.25">
      <c r="B4793" s="40"/>
      <c r="C4793" s="40"/>
      <c r="E4793" s="80"/>
    </row>
    <row r="4794" spans="2:5" x14ac:dyDescent="0.25">
      <c r="B4794" s="40"/>
      <c r="C4794" s="40"/>
      <c r="E4794" s="80"/>
    </row>
    <row r="4795" spans="2:5" x14ac:dyDescent="0.25">
      <c r="B4795" s="40"/>
      <c r="C4795" s="40"/>
      <c r="E4795" s="80"/>
    </row>
    <row r="4796" spans="2:5" x14ac:dyDescent="0.25">
      <c r="B4796" s="40"/>
      <c r="C4796" s="40"/>
      <c r="E4796" s="80"/>
    </row>
    <row r="4797" spans="2:5" x14ac:dyDescent="0.25">
      <c r="B4797" s="40"/>
      <c r="C4797" s="40"/>
      <c r="E4797" s="80"/>
    </row>
    <row r="4798" spans="2:5" x14ac:dyDescent="0.25">
      <c r="B4798" s="40"/>
      <c r="C4798" s="40"/>
      <c r="E4798" s="80"/>
    </row>
    <row r="4799" spans="2:5" x14ac:dyDescent="0.25">
      <c r="B4799" s="40"/>
      <c r="C4799" s="40"/>
      <c r="E4799" s="80"/>
    </row>
    <row r="4800" spans="2:5" x14ac:dyDescent="0.25">
      <c r="B4800" s="40"/>
      <c r="C4800" s="40"/>
      <c r="E4800" s="80"/>
    </row>
    <row r="4801" spans="2:5" x14ac:dyDescent="0.25">
      <c r="B4801" s="40"/>
      <c r="C4801" s="40"/>
      <c r="E4801" s="80"/>
    </row>
    <row r="4802" spans="2:5" x14ac:dyDescent="0.25">
      <c r="B4802" s="40"/>
      <c r="C4802" s="40"/>
      <c r="E4802" s="80"/>
    </row>
    <row r="4803" spans="2:5" x14ac:dyDescent="0.25">
      <c r="B4803" s="40"/>
      <c r="C4803" s="40"/>
      <c r="E4803" s="80"/>
    </row>
    <row r="4804" spans="2:5" x14ac:dyDescent="0.25">
      <c r="B4804" s="40"/>
      <c r="C4804" s="40"/>
      <c r="E4804" s="80"/>
    </row>
    <row r="4805" spans="2:5" x14ac:dyDescent="0.25">
      <c r="B4805" s="40"/>
      <c r="C4805" s="40"/>
      <c r="E4805" s="80"/>
    </row>
    <row r="4806" spans="2:5" x14ac:dyDescent="0.25">
      <c r="B4806" s="40"/>
      <c r="C4806" s="40"/>
      <c r="E4806" s="80"/>
    </row>
    <row r="4807" spans="2:5" x14ac:dyDescent="0.25">
      <c r="B4807" s="40"/>
      <c r="C4807" s="40"/>
      <c r="E4807" s="80"/>
    </row>
    <row r="4808" spans="2:5" x14ac:dyDescent="0.25">
      <c r="B4808" s="40"/>
      <c r="C4808" s="40"/>
      <c r="E4808" s="80"/>
    </row>
    <row r="4809" spans="2:5" x14ac:dyDescent="0.25">
      <c r="B4809" s="40"/>
      <c r="C4809" s="40"/>
      <c r="E4809" s="80"/>
    </row>
    <row r="4810" spans="2:5" x14ac:dyDescent="0.25">
      <c r="B4810" s="40"/>
      <c r="C4810" s="40"/>
      <c r="E4810" s="80"/>
    </row>
    <row r="4811" spans="2:5" x14ac:dyDescent="0.25">
      <c r="B4811" s="40"/>
      <c r="C4811" s="40"/>
      <c r="E4811" s="80"/>
    </row>
    <row r="4812" spans="2:5" x14ac:dyDescent="0.25">
      <c r="B4812" s="40"/>
      <c r="C4812" s="40"/>
      <c r="E4812" s="80"/>
    </row>
    <row r="4813" spans="2:5" x14ac:dyDescent="0.25">
      <c r="B4813" s="40"/>
      <c r="C4813" s="40"/>
      <c r="E4813" s="80"/>
    </row>
    <row r="4814" spans="2:5" x14ac:dyDescent="0.25">
      <c r="B4814" s="40"/>
      <c r="C4814" s="40"/>
      <c r="E4814" s="80"/>
    </row>
    <row r="4815" spans="2:5" x14ac:dyDescent="0.25">
      <c r="B4815" s="40"/>
      <c r="C4815" s="40"/>
      <c r="E4815" s="80"/>
    </row>
    <row r="4816" spans="2:5" x14ac:dyDescent="0.25">
      <c r="B4816" s="40"/>
      <c r="C4816" s="40"/>
      <c r="E4816" s="80"/>
    </row>
    <row r="4817" spans="2:5" x14ac:dyDescent="0.25">
      <c r="B4817" s="40"/>
      <c r="C4817" s="40"/>
      <c r="E4817" s="80"/>
    </row>
    <row r="4818" spans="2:5" x14ac:dyDescent="0.25">
      <c r="B4818" s="40"/>
      <c r="C4818" s="40"/>
      <c r="E4818" s="80"/>
    </row>
    <row r="4819" spans="2:5" x14ac:dyDescent="0.25">
      <c r="B4819" s="40"/>
      <c r="C4819" s="40"/>
      <c r="E4819" s="80"/>
    </row>
    <row r="4820" spans="2:5" x14ac:dyDescent="0.25">
      <c r="B4820" s="40"/>
      <c r="C4820" s="40"/>
      <c r="E4820" s="80"/>
    </row>
    <row r="4821" spans="2:5" x14ac:dyDescent="0.25">
      <c r="B4821" s="40"/>
      <c r="C4821" s="40"/>
      <c r="E4821" s="80"/>
    </row>
    <row r="4822" spans="2:5" x14ac:dyDescent="0.25">
      <c r="B4822" s="40"/>
      <c r="C4822" s="40"/>
      <c r="E4822" s="80"/>
    </row>
    <row r="4823" spans="2:5" x14ac:dyDescent="0.25">
      <c r="B4823" s="40"/>
      <c r="C4823" s="40"/>
      <c r="E4823" s="80"/>
    </row>
    <row r="4824" spans="2:5" x14ac:dyDescent="0.25">
      <c r="B4824" s="40"/>
      <c r="C4824" s="40"/>
      <c r="E4824" s="80"/>
    </row>
    <row r="4825" spans="2:5" x14ac:dyDescent="0.25">
      <c r="B4825" s="40"/>
      <c r="C4825" s="40"/>
      <c r="E4825" s="80"/>
    </row>
    <row r="4826" spans="2:5" x14ac:dyDescent="0.25">
      <c r="B4826" s="40"/>
      <c r="C4826" s="40"/>
      <c r="E4826" s="80"/>
    </row>
    <row r="4827" spans="2:5" x14ac:dyDescent="0.25">
      <c r="B4827" s="40"/>
      <c r="C4827" s="40"/>
      <c r="E4827" s="80"/>
    </row>
    <row r="4828" spans="2:5" x14ac:dyDescent="0.25">
      <c r="B4828" s="40"/>
      <c r="C4828" s="40"/>
      <c r="E4828" s="80"/>
    </row>
    <row r="4829" spans="2:5" x14ac:dyDescent="0.25">
      <c r="B4829" s="40"/>
      <c r="C4829" s="40"/>
      <c r="E4829" s="80"/>
    </row>
    <row r="4830" spans="2:5" x14ac:dyDescent="0.25">
      <c r="B4830" s="40"/>
      <c r="C4830" s="40"/>
      <c r="E4830" s="80"/>
    </row>
    <row r="4831" spans="2:5" x14ac:dyDescent="0.25">
      <c r="B4831" s="40"/>
      <c r="C4831" s="40"/>
      <c r="E4831" s="80"/>
    </row>
    <row r="4832" spans="2:5" x14ac:dyDescent="0.25">
      <c r="B4832" s="40"/>
      <c r="C4832" s="40"/>
      <c r="E4832" s="80"/>
    </row>
    <row r="4833" spans="2:5" x14ac:dyDescent="0.25">
      <c r="B4833" s="40"/>
      <c r="C4833" s="40"/>
      <c r="E4833" s="80"/>
    </row>
    <row r="4834" spans="2:5" x14ac:dyDescent="0.25">
      <c r="B4834" s="40"/>
      <c r="C4834" s="40"/>
      <c r="E4834" s="80"/>
    </row>
    <row r="4835" spans="2:5" x14ac:dyDescent="0.25">
      <c r="B4835" s="40"/>
      <c r="C4835" s="40"/>
      <c r="E4835" s="80"/>
    </row>
    <row r="4836" spans="2:5" x14ac:dyDescent="0.25">
      <c r="B4836" s="40"/>
      <c r="C4836" s="40"/>
      <c r="E4836" s="80"/>
    </row>
    <row r="4837" spans="2:5" x14ac:dyDescent="0.25">
      <c r="B4837" s="40"/>
      <c r="C4837" s="40"/>
      <c r="E4837" s="80"/>
    </row>
    <row r="4838" spans="2:5" x14ac:dyDescent="0.25">
      <c r="B4838" s="40"/>
      <c r="C4838" s="40"/>
      <c r="E4838" s="80"/>
    </row>
    <row r="4839" spans="2:5" x14ac:dyDescent="0.25">
      <c r="B4839" s="40"/>
      <c r="C4839" s="40"/>
      <c r="E4839" s="80"/>
    </row>
    <row r="4840" spans="2:5" x14ac:dyDescent="0.25">
      <c r="B4840" s="40"/>
      <c r="C4840" s="40"/>
      <c r="E4840" s="80"/>
    </row>
    <row r="4841" spans="2:5" x14ac:dyDescent="0.25">
      <c r="B4841" s="40"/>
      <c r="C4841" s="40"/>
      <c r="E4841" s="80"/>
    </row>
    <row r="4842" spans="2:5" x14ac:dyDescent="0.25">
      <c r="B4842" s="40"/>
      <c r="C4842" s="40"/>
      <c r="E4842" s="80"/>
    </row>
    <row r="4843" spans="2:5" x14ac:dyDescent="0.25">
      <c r="B4843" s="40"/>
      <c r="C4843" s="40"/>
      <c r="E4843" s="80"/>
    </row>
    <row r="4844" spans="2:5" x14ac:dyDescent="0.25">
      <c r="B4844" s="40"/>
      <c r="C4844" s="40"/>
      <c r="E4844" s="80"/>
    </row>
    <row r="4845" spans="2:5" x14ac:dyDescent="0.25">
      <c r="B4845" s="40"/>
      <c r="C4845" s="40"/>
      <c r="E4845" s="80"/>
    </row>
    <row r="4846" spans="2:5" x14ac:dyDescent="0.25">
      <c r="B4846" s="40"/>
      <c r="C4846" s="40"/>
      <c r="E4846" s="80"/>
    </row>
    <row r="4847" spans="2:5" x14ac:dyDescent="0.25">
      <c r="B4847" s="40"/>
      <c r="C4847" s="40"/>
      <c r="E4847" s="80"/>
    </row>
    <row r="4848" spans="2:5" x14ac:dyDescent="0.25">
      <c r="B4848" s="40"/>
      <c r="C4848" s="40"/>
      <c r="E4848" s="80"/>
    </row>
    <row r="4849" spans="2:5" x14ac:dyDescent="0.25">
      <c r="B4849" s="40"/>
      <c r="C4849" s="40"/>
      <c r="E4849" s="80"/>
    </row>
    <row r="4850" spans="2:5" x14ac:dyDescent="0.25">
      <c r="B4850" s="40"/>
      <c r="C4850" s="40"/>
      <c r="E4850" s="80"/>
    </row>
    <row r="4851" spans="2:5" x14ac:dyDescent="0.25">
      <c r="B4851" s="40"/>
      <c r="C4851" s="40"/>
      <c r="E4851" s="80"/>
    </row>
    <row r="4852" spans="2:5" x14ac:dyDescent="0.25">
      <c r="B4852" s="40"/>
      <c r="C4852" s="40"/>
      <c r="E4852" s="80"/>
    </row>
    <row r="4853" spans="2:5" x14ac:dyDescent="0.25">
      <c r="B4853" s="40"/>
      <c r="C4853" s="40"/>
      <c r="E4853" s="80"/>
    </row>
    <row r="4854" spans="2:5" x14ac:dyDescent="0.25">
      <c r="B4854" s="40"/>
      <c r="C4854" s="40"/>
      <c r="E4854" s="80"/>
    </row>
    <row r="4855" spans="2:5" x14ac:dyDescent="0.25">
      <c r="B4855" s="40"/>
      <c r="C4855" s="40"/>
      <c r="E4855" s="80"/>
    </row>
    <row r="4856" spans="2:5" x14ac:dyDescent="0.25">
      <c r="B4856" s="40"/>
      <c r="C4856" s="40"/>
      <c r="E4856" s="80"/>
    </row>
    <row r="4857" spans="2:5" x14ac:dyDescent="0.25">
      <c r="B4857" s="40"/>
      <c r="C4857" s="40"/>
      <c r="E4857" s="80"/>
    </row>
    <row r="4858" spans="2:5" x14ac:dyDescent="0.25">
      <c r="B4858" s="40"/>
      <c r="C4858" s="40"/>
      <c r="E4858" s="80"/>
    </row>
    <row r="4859" spans="2:5" x14ac:dyDescent="0.25">
      <c r="B4859" s="40"/>
      <c r="C4859" s="40"/>
      <c r="E4859" s="80"/>
    </row>
    <row r="4860" spans="2:5" x14ac:dyDescent="0.25">
      <c r="B4860" s="40"/>
      <c r="C4860" s="40"/>
      <c r="E4860" s="80"/>
    </row>
    <row r="4861" spans="2:5" x14ac:dyDescent="0.25">
      <c r="B4861" s="40"/>
      <c r="C4861" s="40"/>
      <c r="E4861" s="80"/>
    </row>
    <row r="4862" spans="2:5" x14ac:dyDescent="0.25">
      <c r="B4862" s="40"/>
      <c r="C4862" s="40"/>
      <c r="E4862" s="80"/>
    </row>
    <row r="4863" spans="2:5" x14ac:dyDescent="0.25">
      <c r="B4863" s="40"/>
      <c r="C4863" s="40"/>
      <c r="E4863" s="80"/>
    </row>
    <row r="4864" spans="2:5" x14ac:dyDescent="0.25">
      <c r="B4864" s="40"/>
      <c r="C4864" s="40"/>
      <c r="E4864" s="80"/>
    </row>
    <row r="4865" spans="2:5" x14ac:dyDescent="0.25">
      <c r="B4865" s="40"/>
      <c r="C4865" s="40"/>
      <c r="E4865" s="80"/>
    </row>
    <row r="4866" spans="2:5" x14ac:dyDescent="0.25">
      <c r="B4866" s="40"/>
      <c r="C4866" s="40"/>
      <c r="E4866" s="80"/>
    </row>
    <row r="4867" spans="2:5" x14ac:dyDescent="0.25">
      <c r="B4867" s="40"/>
      <c r="C4867" s="40"/>
      <c r="E4867" s="80"/>
    </row>
    <row r="4868" spans="2:5" x14ac:dyDescent="0.25">
      <c r="B4868" s="40"/>
      <c r="C4868" s="40"/>
      <c r="E4868" s="80"/>
    </row>
    <row r="4869" spans="2:5" x14ac:dyDescent="0.25">
      <c r="B4869" s="40"/>
      <c r="C4869" s="40"/>
      <c r="E4869" s="80"/>
    </row>
    <row r="4870" spans="2:5" x14ac:dyDescent="0.25">
      <c r="B4870" s="40"/>
      <c r="C4870" s="40"/>
      <c r="E4870" s="80"/>
    </row>
    <row r="4871" spans="2:5" x14ac:dyDescent="0.25">
      <c r="B4871" s="40"/>
      <c r="C4871" s="40"/>
      <c r="E4871" s="80"/>
    </row>
    <row r="4872" spans="2:5" x14ac:dyDescent="0.25">
      <c r="B4872" s="40"/>
      <c r="C4872" s="40"/>
      <c r="E4872" s="80"/>
    </row>
    <row r="4873" spans="2:5" x14ac:dyDescent="0.25">
      <c r="B4873" s="40"/>
      <c r="C4873" s="40"/>
      <c r="E4873" s="80"/>
    </row>
    <row r="4874" spans="2:5" x14ac:dyDescent="0.25">
      <c r="B4874" s="40"/>
      <c r="C4874" s="40"/>
      <c r="E4874" s="80"/>
    </row>
    <row r="4875" spans="2:5" x14ac:dyDescent="0.25">
      <c r="B4875" s="40"/>
      <c r="C4875" s="40"/>
      <c r="E4875" s="80"/>
    </row>
    <row r="4876" spans="2:5" x14ac:dyDescent="0.25">
      <c r="B4876" s="40"/>
      <c r="C4876" s="40"/>
      <c r="E4876" s="80"/>
    </row>
    <row r="4877" spans="2:5" x14ac:dyDescent="0.25">
      <c r="B4877" s="40"/>
      <c r="C4877" s="40"/>
      <c r="E4877" s="80"/>
    </row>
    <row r="4878" spans="2:5" x14ac:dyDescent="0.25">
      <c r="B4878" s="40"/>
      <c r="C4878" s="40"/>
      <c r="E4878" s="80"/>
    </row>
    <row r="4879" spans="2:5" x14ac:dyDescent="0.25">
      <c r="B4879" s="40"/>
      <c r="C4879" s="40"/>
      <c r="E4879" s="80"/>
    </row>
    <row r="4880" spans="2:5" x14ac:dyDescent="0.25">
      <c r="B4880" s="40"/>
      <c r="C4880" s="40"/>
      <c r="E4880" s="80"/>
    </row>
    <row r="4881" spans="2:5" x14ac:dyDescent="0.25">
      <c r="B4881" s="40"/>
      <c r="C4881" s="40"/>
      <c r="E4881" s="80"/>
    </row>
    <row r="4882" spans="2:5" x14ac:dyDescent="0.25">
      <c r="B4882" s="40"/>
      <c r="C4882" s="40"/>
      <c r="E4882" s="80"/>
    </row>
    <row r="4883" spans="2:5" x14ac:dyDescent="0.25">
      <c r="B4883" s="40"/>
      <c r="C4883" s="40"/>
      <c r="E4883" s="80"/>
    </row>
    <row r="4884" spans="2:5" x14ac:dyDescent="0.25">
      <c r="B4884" s="40"/>
      <c r="C4884" s="40"/>
      <c r="E4884" s="80"/>
    </row>
    <row r="4885" spans="2:5" x14ac:dyDescent="0.25">
      <c r="B4885" s="40"/>
      <c r="C4885" s="40"/>
      <c r="E4885" s="80"/>
    </row>
    <row r="4886" spans="2:5" x14ac:dyDescent="0.25">
      <c r="B4886" s="40"/>
      <c r="C4886" s="40"/>
      <c r="E4886" s="80"/>
    </row>
    <row r="4887" spans="2:5" x14ac:dyDescent="0.25">
      <c r="B4887" s="40"/>
      <c r="C4887" s="40"/>
      <c r="E4887" s="80"/>
    </row>
    <row r="4888" spans="2:5" x14ac:dyDescent="0.25">
      <c r="B4888" s="40"/>
      <c r="C4888" s="40"/>
      <c r="E4888" s="80"/>
    </row>
    <row r="4889" spans="2:5" x14ac:dyDescent="0.25">
      <c r="B4889" s="40"/>
      <c r="C4889" s="40"/>
      <c r="E4889" s="80"/>
    </row>
    <row r="4890" spans="2:5" x14ac:dyDescent="0.25">
      <c r="B4890" s="40"/>
      <c r="C4890" s="40"/>
      <c r="E4890" s="80"/>
    </row>
    <row r="4891" spans="2:5" x14ac:dyDescent="0.25">
      <c r="B4891" s="40"/>
      <c r="C4891" s="40"/>
      <c r="E4891" s="80"/>
    </row>
    <row r="4892" spans="2:5" x14ac:dyDescent="0.25">
      <c r="B4892" s="40"/>
      <c r="C4892" s="40"/>
      <c r="E4892" s="80"/>
    </row>
    <row r="4893" spans="2:5" x14ac:dyDescent="0.25">
      <c r="B4893" s="40"/>
      <c r="C4893" s="40"/>
      <c r="E4893" s="80"/>
    </row>
    <row r="4894" spans="2:5" x14ac:dyDescent="0.25">
      <c r="B4894" s="40"/>
      <c r="C4894" s="40"/>
      <c r="E4894" s="80"/>
    </row>
    <row r="4895" spans="2:5" x14ac:dyDescent="0.25">
      <c r="B4895" s="40"/>
      <c r="C4895" s="40"/>
      <c r="E4895" s="80"/>
    </row>
    <row r="4896" spans="2:5" x14ac:dyDescent="0.25">
      <c r="B4896" s="40"/>
      <c r="C4896" s="40"/>
      <c r="E4896" s="80"/>
    </row>
    <row r="4897" spans="2:5" x14ac:dyDescent="0.25">
      <c r="B4897" s="40"/>
      <c r="C4897" s="40"/>
      <c r="E4897" s="80"/>
    </row>
    <row r="4898" spans="2:5" x14ac:dyDescent="0.25">
      <c r="B4898" s="40"/>
      <c r="C4898" s="40"/>
      <c r="E4898" s="80"/>
    </row>
    <row r="4899" spans="2:5" x14ac:dyDescent="0.25">
      <c r="B4899" s="40"/>
      <c r="C4899" s="40"/>
      <c r="E4899" s="80"/>
    </row>
    <row r="4900" spans="2:5" x14ac:dyDescent="0.25">
      <c r="B4900" s="40"/>
      <c r="C4900" s="40"/>
      <c r="E4900" s="80"/>
    </row>
    <row r="4901" spans="2:5" x14ac:dyDescent="0.25">
      <c r="B4901" s="40"/>
      <c r="C4901" s="40"/>
      <c r="E4901" s="80"/>
    </row>
    <row r="4902" spans="2:5" x14ac:dyDescent="0.25">
      <c r="B4902" s="40"/>
      <c r="C4902" s="40"/>
      <c r="E4902" s="80"/>
    </row>
    <row r="4903" spans="2:5" x14ac:dyDescent="0.25">
      <c r="B4903" s="40"/>
      <c r="C4903" s="40"/>
      <c r="E4903" s="80"/>
    </row>
    <row r="4904" spans="2:5" x14ac:dyDescent="0.25">
      <c r="B4904" s="40"/>
      <c r="C4904" s="40"/>
      <c r="E4904" s="80"/>
    </row>
    <row r="4905" spans="2:5" x14ac:dyDescent="0.25">
      <c r="B4905" s="40"/>
      <c r="C4905" s="40"/>
      <c r="E4905" s="80"/>
    </row>
    <row r="4906" spans="2:5" x14ac:dyDescent="0.25">
      <c r="B4906" s="40"/>
      <c r="C4906" s="40"/>
      <c r="E4906" s="80"/>
    </row>
    <row r="4907" spans="2:5" x14ac:dyDescent="0.25">
      <c r="B4907" s="40"/>
      <c r="C4907" s="40"/>
      <c r="E4907" s="80"/>
    </row>
    <row r="4908" spans="2:5" x14ac:dyDescent="0.25">
      <c r="B4908" s="40"/>
      <c r="C4908" s="40"/>
      <c r="E4908" s="80"/>
    </row>
    <row r="4909" spans="2:5" x14ac:dyDescent="0.25">
      <c r="B4909" s="40"/>
      <c r="C4909" s="40"/>
      <c r="E4909" s="80"/>
    </row>
    <row r="4910" spans="2:5" x14ac:dyDescent="0.25">
      <c r="B4910" s="40"/>
      <c r="C4910" s="40"/>
      <c r="E4910" s="80"/>
    </row>
    <row r="4911" spans="2:5" x14ac:dyDescent="0.25">
      <c r="B4911" s="40"/>
      <c r="C4911" s="40"/>
      <c r="E4911" s="80"/>
    </row>
    <row r="4912" spans="2:5" x14ac:dyDescent="0.25">
      <c r="B4912" s="40"/>
      <c r="C4912" s="40"/>
      <c r="E4912" s="80"/>
    </row>
    <row r="4913" spans="2:5" x14ac:dyDescent="0.25">
      <c r="B4913" s="40"/>
      <c r="C4913" s="40"/>
      <c r="E4913" s="80"/>
    </row>
    <row r="4914" spans="2:5" x14ac:dyDescent="0.25">
      <c r="B4914" s="40"/>
      <c r="C4914" s="40"/>
      <c r="E4914" s="80"/>
    </row>
    <row r="4915" spans="2:5" x14ac:dyDescent="0.25">
      <c r="B4915" s="40"/>
      <c r="C4915" s="40"/>
      <c r="E4915" s="80"/>
    </row>
    <row r="4916" spans="2:5" x14ac:dyDescent="0.25">
      <c r="B4916" s="40"/>
      <c r="C4916" s="40"/>
      <c r="E4916" s="80"/>
    </row>
    <row r="4917" spans="2:5" x14ac:dyDescent="0.25">
      <c r="B4917" s="40"/>
      <c r="C4917" s="40"/>
      <c r="E4917" s="80"/>
    </row>
    <row r="4918" spans="2:5" x14ac:dyDescent="0.25">
      <c r="B4918" s="40"/>
      <c r="C4918" s="40"/>
      <c r="E4918" s="80"/>
    </row>
    <row r="4919" spans="2:5" x14ac:dyDescent="0.25">
      <c r="B4919" s="40"/>
      <c r="C4919" s="40"/>
      <c r="E4919" s="80"/>
    </row>
    <row r="4920" spans="2:5" x14ac:dyDescent="0.25">
      <c r="B4920" s="40"/>
      <c r="C4920" s="40"/>
      <c r="E4920" s="80"/>
    </row>
    <row r="4921" spans="2:5" x14ac:dyDescent="0.25">
      <c r="B4921" s="40"/>
      <c r="C4921" s="40"/>
      <c r="E4921" s="80"/>
    </row>
    <row r="4922" spans="2:5" x14ac:dyDescent="0.25">
      <c r="B4922" s="40"/>
      <c r="C4922" s="40"/>
      <c r="E4922" s="80"/>
    </row>
    <row r="4923" spans="2:5" x14ac:dyDescent="0.25">
      <c r="B4923" s="40"/>
      <c r="C4923" s="40"/>
      <c r="E4923" s="80"/>
    </row>
    <row r="4924" spans="2:5" x14ac:dyDescent="0.25">
      <c r="B4924" s="40"/>
      <c r="C4924" s="40"/>
      <c r="E4924" s="80"/>
    </row>
    <row r="4925" spans="2:5" x14ac:dyDescent="0.25">
      <c r="B4925" s="40"/>
      <c r="C4925" s="40"/>
      <c r="E4925" s="80"/>
    </row>
    <row r="4926" spans="2:5" x14ac:dyDescent="0.25">
      <c r="B4926" s="40"/>
      <c r="C4926" s="40"/>
      <c r="E4926" s="80"/>
    </row>
    <row r="4927" spans="2:5" x14ac:dyDescent="0.25">
      <c r="B4927" s="40"/>
      <c r="C4927" s="40"/>
      <c r="E4927" s="80"/>
    </row>
    <row r="4928" spans="2:5" x14ac:dyDescent="0.25">
      <c r="B4928" s="40"/>
      <c r="C4928" s="40"/>
      <c r="E4928" s="80"/>
    </row>
    <row r="4929" spans="2:5" x14ac:dyDescent="0.25">
      <c r="B4929" s="40"/>
      <c r="C4929" s="40"/>
      <c r="E4929" s="80"/>
    </row>
    <row r="4930" spans="2:5" x14ac:dyDescent="0.25">
      <c r="B4930" s="40"/>
      <c r="C4930" s="40"/>
      <c r="E4930" s="80"/>
    </row>
    <row r="4931" spans="2:5" x14ac:dyDescent="0.25">
      <c r="B4931" s="40"/>
      <c r="C4931" s="40"/>
      <c r="E4931" s="80"/>
    </row>
    <row r="4932" spans="2:5" x14ac:dyDescent="0.25">
      <c r="B4932" s="40"/>
      <c r="C4932" s="40"/>
      <c r="E4932" s="80"/>
    </row>
    <row r="4933" spans="2:5" x14ac:dyDescent="0.25">
      <c r="B4933" s="40"/>
      <c r="C4933" s="40"/>
      <c r="E4933" s="80"/>
    </row>
    <row r="4934" spans="2:5" x14ac:dyDescent="0.25">
      <c r="B4934" s="40"/>
      <c r="C4934" s="40"/>
      <c r="E4934" s="80"/>
    </row>
    <row r="4935" spans="2:5" x14ac:dyDescent="0.25">
      <c r="B4935" s="40"/>
      <c r="C4935" s="40"/>
      <c r="E4935" s="80"/>
    </row>
    <row r="4936" spans="2:5" x14ac:dyDescent="0.25">
      <c r="B4936" s="40"/>
      <c r="C4936" s="40"/>
      <c r="E4936" s="80"/>
    </row>
    <row r="4937" spans="2:5" x14ac:dyDescent="0.25">
      <c r="B4937" s="40"/>
      <c r="C4937" s="40"/>
      <c r="E4937" s="80"/>
    </row>
    <row r="4938" spans="2:5" x14ac:dyDescent="0.25">
      <c r="B4938" s="40"/>
      <c r="C4938" s="40"/>
      <c r="E4938" s="80"/>
    </row>
    <row r="4939" spans="2:5" x14ac:dyDescent="0.25">
      <c r="B4939" s="40"/>
      <c r="C4939" s="40"/>
      <c r="E4939" s="80"/>
    </row>
    <row r="4940" spans="2:5" x14ac:dyDescent="0.25">
      <c r="B4940" s="40"/>
      <c r="C4940" s="40"/>
      <c r="E4940" s="80"/>
    </row>
    <row r="4941" spans="2:5" x14ac:dyDescent="0.25">
      <c r="B4941" s="40"/>
      <c r="C4941" s="40"/>
      <c r="E4941" s="80"/>
    </row>
    <row r="4942" spans="2:5" x14ac:dyDescent="0.25">
      <c r="B4942" s="40"/>
      <c r="C4942" s="40"/>
      <c r="E4942" s="80"/>
    </row>
    <row r="4943" spans="2:5" x14ac:dyDescent="0.25">
      <c r="B4943" s="40"/>
      <c r="C4943" s="40"/>
      <c r="E4943" s="80"/>
    </row>
    <row r="4944" spans="2:5" x14ac:dyDescent="0.25">
      <c r="B4944" s="40"/>
      <c r="C4944" s="40"/>
      <c r="E4944" s="80"/>
    </row>
    <row r="4945" spans="2:5" x14ac:dyDescent="0.25">
      <c r="B4945" s="40"/>
      <c r="C4945" s="40"/>
      <c r="E4945" s="80"/>
    </row>
    <row r="4946" spans="2:5" x14ac:dyDescent="0.25">
      <c r="B4946" s="40"/>
      <c r="C4946" s="40"/>
      <c r="E4946" s="80"/>
    </row>
    <row r="4947" spans="2:5" x14ac:dyDescent="0.25">
      <c r="B4947" s="40"/>
      <c r="C4947" s="40"/>
      <c r="E4947" s="80"/>
    </row>
    <row r="4948" spans="2:5" x14ac:dyDescent="0.25">
      <c r="B4948" s="40"/>
      <c r="C4948" s="40"/>
      <c r="E4948" s="80"/>
    </row>
    <row r="4949" spans="2:5" x14ac:dyDescent="0.25">
      <c r="B4949" s="40"/>
      <c r="C4949" s="40"/>
      <c r="E4949" s="80"/>
    </row>
    <row r="4950" spans="2:5" x14ac:dyDescent="0.25">
      <c r="B4950" s="40"/>
      <c r="C4950" s="40"/>
      <c r="E4950" s="80"/>
    </row>
    <row r="4951" spans="2:5" x14ac:dyDescent="0.25">
      <c r="B4951" s="40"/>
      <c r="C4951" s="40"/>
      <c r="E4951" s="80"/>
    </row>
    <row r="4952" spans="2:5" x14ac:dyDescent="0.25">
      <c r="B4952" s="40"/>
      <c r="C4952" s="40"/>
      <c r="E4952" s="80"/>
    </row>
    <row r="4953" spans="2:5" x14ac:dyDescent="0.25">
      <c r="B4953" s="40"/>
      <c r="C4953" s="40"/>
      <c r="E4953" s="80"/>
    </row>
    <row r="4954" spans="2:5" x14ac:dyDescent="0.25">
      <c r="B4954" s="40"/>
      <c r="C4954" s="40"/>
      <c r="E4954" s="80"/>
    </row>
    <row r="4955" spans="2:5" x14ac:dyDescent="0.25">
      <c r="B4955" s="40"/>
      <c r="C4955" s="40"/>
      <c r="E4955" s="80"/>
    </row>
    <row r="4956" spans="2:5" x14ac:dyDescent="0.25">
      <c r="B4956" s="40"/>
      <c r="C4956" s="40"/>
      <c r="E4956" s="80"/>
    </row>
    <row r="4957" spans="2:5" x14ac:dyDescent="0.25">
      <c r="B4957" s="40"/>
      <c r="C4957" s="40"/>
      <c r="E4957" s="80"/>
    </row>
    <row r="4958" spans="2:5" x14ac:dyDescent="0.25">
      <c r="B4958" s="40"/>
      <c r="C4958" s="40"/>
      <c r="E4958" s="80"/>
    </row>
    <row r="4959" spans="2:5" x14ac:dyDescent="0.25">
      <c r="B4959" s="40"/>
      <c r="C4959" s="40"/>
      <c r="E4959" s="80"/>
    </row>
    <row r="4960" spans="2:5" x14ac:dyDescent="0.25">
      <c r="B4960" s="40"/>
      <c r="C4960" s="40"/>
      <c r="E4960" s="80"/>
    </row>
    <row r="4961" spans="2:5" x14ac:dyDescent="0.25">
      <c r="B4961" s="40"/>
      <c r="C4961" s="40"/>
      <c r="E4961" s="80"/>
    </row>
    <row r="4962" spans="2:5" x14ac:dyDescent="0.25">
      <c r="B4962" s="40"/>
      <c r="C4962" s="40"/>
      <c r="E4962" s="80"/>
    </row>
    <row r="4963" spans="2:5" x14ac:dyDescent="0.25">
      <c r="B4963" s="40"/>
      <c r="C4963" s="40"/>
      <c r="E4963" s="80"/>
    </row>
    <row r="4964" spans="2:5" x14ac:dyDescent="0.25">
      <c r="B4964" s="40"/>
      <c r="C4964" s="40"/>
      <c r="E4964" s="80"/>
    </row>
    <row r="4965" spans="2:5" x14ac:dyDescent="0.25">
      <c r="B4965" s="40"/>
      <c r="C4965" s="40"/>
      <c r="E4965" s="80"/>
    </row>
    <row r="4966" spans="2:5" x14ac:dyDescent="0.25">
      <c r="B4966" s="40"/>
      <c r="C4966" s="40"/>
      <c r="E4966" s="80"/>
    </row>
    <row r="4967" spans="2:5" x14ac:dyDescent="0.25">
      <c r="B4967" s="40"/>
      <c r="C4967" s="40"/>
      <c r="E4967" s="80"/>
    </row>
    <row r="4968" spans="2:5" x14ac:dyDescent="0.25">
      <c r="B4968" s="40"/>
      <c r="C4968" s="40"/>
      <c r="E4968" s="80"/>
    </row>
    <row r="4969" spans="2:5" x14ac:dyDescent="0.25">
      <c r="B4969" s="40"/>
      <c r="C4969" s="40"/>
      <c r="E4969" s="80"/>
    </row>
    <row r="4970" spans="2:5" x14ac:dyDescent="0.25">
      <c r="B4970" s="40"/>
      <c r="C4970" s="40"/>
      <c r="E4970" s="80"/>
    </row>
    <row r="4971" spans="2:5" x14ac:dyDescent="0.25">
      <c r="B4971" s="40"/>
      <c r="C4971" s="40"/>
      <c r="E4971" s="80"/>
    </row>
    <row r="4972" spans="2:5" x14ac:dyDescent="0.25">
      <c r="B4972" s="40"/>
      <c r="C4972" s="40"/>
      <c r="E4972" s="80"/>
    </row>
    <row r="4973" spans="2:5" x14ac:dyDescent="0.25">
      <c r="B4973" s="40"/>
      <c r="C4973" s="40"/>
      <c r="E4973" s="80"/>
    </row>
    <row r="4974" spans="2:5" x14ac:dyDescent="0.25">
      <c r="B4974" s="40"/>
      <c r="C4974" s="40"/>
      <c r="E4974" s="80"/>
    </row>
    <row r="4975" spans="2:5" x14ac:dyDescent="0.25">
      <c r="B4975" s="40"/>
      <c r="C4975" s="40"/>
      <c r="E4975" s="80"/>
    </row>
    <row r="4976" spans="2:5" x14ac:dyDescent="0.25">
      <c r="B4976" s="40"/>
      <c r="C4976" s="40"/>
      <c r="E4976" s="80"/>
    </row>
    <row r="4977" spans="2:5" x14ac:dyDescent="0.25">
      <c r="B4977" s="40"/>
      <c r="C4977" s="40"/>
      <c r="E4977" s="80"/>
    </row>
    <row r="4978" spans="2:5" x14ac:dyDescent="0.25">
      <c r="B4978" s="40"/>
      <c r="C4978" s="40"/>
      <c r="E4978" s="80"/>
    </row>
    <row r="4979" spans="2:5" x14ac:dyDescent="0.25">
      <c r="B4979" s="40"/>
      <c r="C4979" s="40"/>
      <c r="E4979" s="80"/>
    </row>
    <row r="4980" spans="2:5" x14ac:dyDescent="0.25">
      <c r="B4980" s="40"/>
      <c r="C4980" s="40"/>
      <c r="E4980" s="80"/>
    </row>
    <row r="4981" spans="2:5" x14ac:dyDescent="0.25">
      <c r="B4981" s="40"/>
      <c r="C4981" s="40"/>
      <c r="E4981" s="80"/>
    </row>
    <row r="4982" spans="2:5" x14ac:dyDescent="0.25">
      <c r="B4982" s="40"/>
      <c r="C4982" s="40"/>
      <c r="E4982" s="80"/>
    </row>
    <row r="4983" spans="2:5" x14ac:dyDescent="0.25">
      <c r="B4983" s="40"/>
      <c r="C4983" s="40"/>
      <c r="E4983" s="80"/>
    </row>
    <row r="4984" spans="2:5" x14ac:dyDescent="0.25">
      <c r="B4984" s="40"/>
      <c r="C4984" s="40"/>
      <c r="E4984" s="80"/>
    </row>
    <row r="4985" spans="2:5" x14ac:dyDescent="0.25">
      <c r="B4985" s="40"/>
      <c r="C4985" s="40"/>
      <c r="E4985" s="80"/>
    </row>
    <row r="4986" spans="2:5" x14ac:dyDescent="0.25">
      <c r="B4986" s="40"/>
      <c r="C4986" s="40"/>
      <c r="E4986" s="80"/>
    </row>
    <row r="4987" spans="2:5" x14ac:dyDescent="0.25">
      <c r="B4987" s="40"/>
      <c r="C4987" s="40"/>
      <c r="E4987" s="80"/>
    </row>
    <row r="4988" spans="2:5" x14ac:dyDescent="0.25">
      <c r="B4988" s="40"/>
      <c r="C4988" s="40"/>
      <c r="E4988" s="80"/>
    </row>
    <row r="4989" spans="2:5" x14ac:dyDescent="0.25">
      <c r="B4989" s="40"/>
      <c r="C4989" s="40"/>
      <c r="E4989" s="80"/>
    </row>
    <row r="4990" spans="2:5" x14ac:dyDescent="0.25">
      <c r="B4990" s="40"/>
      <c r="C4990" s="40"/>
      <c r="E4990" s="80"/>
    </row>
    <row r="4991" spans="2:5" x14ac:dyDescent="0.25">
      <c r="B4991" s="40"/>
      <c r="C4991" s="40"/>
      <c r="E4991" s="80"/>
    </row>
    <row r="4992" spans="2:5" x14ac:dyDescent="0.25">
      <c r="B4992" s="40"/>
      <c r="C4992" s="40"/>
      <c r="E4992" s="80"/>
    </row>
    <row r="4993" spans="2:5" x14ac:dyDescent="0.25">
      <c r="B4993" s="40"/>
      <c r="C4993" s="40"/>
      <c r="E4993" s="80"/>
    </row>
    <row r="4994" spans="2:5" x14ac:dyDescent="0.25">
      <c r="B4994" s="40"/>
      <c r="C4994" s="40"/>
      <c r="E4994" s="80"/>
    </row>
    <row r="4995" spans="2:5" x14ac:dyDescent="0.25">
      <c r="B4995" s="40"/>
      <c r="C4995" s="40"/>
      <c r="E4995" s="80"/>
    </row>
    <row r="4996" spans="2:5" x14ac:dyDescent="0.25">
      <c r="B4996" s="40"/>
      <c r="C4996" s="40"/>
      <c r="E4996" s="80"/>
    </row>
    <row r="4997" spans="2:5" x14ac:dyDescent="0.25">
      <c r="B4997" s="40"/>
      <c r="C4997" s="40"/>
      <c r="E4997" s="80"/>
    </row>
    <row r="4998" spans="2:5" x14ac:dyDescent="0.25">
      <c r="B4998" s="40"/>
      <c r="C4998" s="40"/>
      <c r="E4998" s="80"/>
    </row>
    <row r="4999" spans="2:5" x14ac:dyDescent="0.25">
      <c r="B4999" s="40"/>
      <c r="C4999" s="40"/>
      <c r="E4999" s="80"/>
    </row>
    <row r="5000" spans="2:5" x14ac:dyDescent="0.25">
      <c r="B5000" s="40"/>
      <c r="C5000" s="40"/>
      <c r="E5000" s="80"/>
    </row>
    <row r="5001" spans="2:5" x14ac:dyDescent="0.25">
      <c r="B5001" s="40"/>
      <c r="C5001" s="40"/>
      <c r="E5001" s="80"/>
    </row>
    <row r="5002" spans="2:5" x14ac:dyDescent="0.25">
      <c r="B5002" s="40"/>
      <c r="C5002" s="40"/>
      <c r="E5002" s="80"/>
    </row>
    <row r="5003" spans="2:5" x14ac:dyDescent="0.25">
      <c r="B5003" s="40"/>
      <c r="C5003" s="40"/>
      <c r="E5003" s="80"/>
    </row>
    <row r="5004" spans="2:5" x14ac:dyDescent="0.25">
      <c r="B5004" s="40"/>
      <c r="C5004" s="40"/>
      <c r="E5004" s="80"/>
    </row>
    <row r="5005" spans="2:5" x14ac:dyDescent="0.25">
      <c r="B5005" s="40"/>
      <c r="C5005" s="40"/>
      <c r="E5005" s="80"/>
    </row>
    <row r="5006" spans="2:5" x14ac:dyDescent="0.25">
      <c r="B5006" s="40"/>
      <c r="C5006" s="40"/>
      <c r="E5006" s="80"/>
    </row>
    <row r="5007" spans="2:5" x14ac:dyDescent="0.25">
      <c r="B5007" s="40"/>
      <c r="C5007" s="40"/>
      <c r="E5007" s="80"/>
    </row>
    <row r="5008" spans="2:5" x14ac:dyDescent="0.25">
      <c r="B5008" s="40"/>
      <c r="C5008" s="40"/>
      <c r="E5008" s="80"/>
    </row>
    <row r="5009" spans="2:5" x14ac:dyDescent="0.25">
      <c r="B5009" s="40"/>
      <c r="C5009" s="40"/>
      <c r="E5009" s="80"/>
    </row>
    <row r="5010" spans="2:5" x14ac:dyDescent="0.25">
      <c r="B5010" s="40"/>
      <c r="C5010" s="40"/>
      <c r="E5010" s="80"/>
    </row>
    <row r="5011" spans="2:5" x14ac:dyDescent="0.25">
      <c r="B5011" s="40"/>
      <c r="C5011" s="40"/>
      <c r="E5011" s="80"/>
    </row>
    <row r="5012" spans="2:5" x14ac:dyDescent="0.25">
      <c r="B5012" s="40"/>
      <c r="C5012" s="40"/>
      <c r="E5012" s="80"/>
    </row>
    <row r="5013" spans="2:5" x14ac:dyDescent="0.25">
      <c r="B5013" s="40"/>
      <c r="C5013" s="40"/>
      <c r="E5013" s="80"/>
    </row>
    <row r="5014" spans="2:5" x14ac:dyDescent="0.25">
      <c r="B5014" s="40"/>
      <c r="C5014" s="40"/>
      <c r="E5014" s="80"/>
    </row>
    <row r="5015" spans="2:5" x14ac:dyDescent="0.25">
      <c r="B5015" s="40"/>
      <c r="C5015" s="40"/>
      <c r="E5015" s="80"/>
    </row>
    <row r="5016" spans="2:5" x14ac:dyDescent="0.25">
      <c r="B5016" s="40"/>
      <c r="C5016" s="40"/>
      <c r="E5016" s="80"/>
    </row>
    <row r="5017" spans="2:5" x14ac:dyDescent="0.25">
      <c r="B5017" s="40"/>
      <c r="C5017" s="40"/>
      <c r="E5017" s="80"/>
    </row>
    <row r="5018" spans="2:5" x14ac:dyDescent="0.25">
      <c r="B5018" s="40"/>
      <c r="C5018" s="40"/>
      <c r="E5018" s="80"/>
    </row>
    <row r="5019" spans="2:5" x14ac:dyDescent="0.25">
      <c r="B5019" s="40"/>
      <c r="C5019" s="40"/>
      <c r="E5019" s="80"/>
    </row>
    <row r="5020" spans="2:5" x14ac:dyDescent="0.25">
      <c r="B5020" s="40"/>
      <c r="C5020" s="40"/>
      <c r="E5020" s="80"/>
    </row>
    <row r="5021" spans="2:5" x14ac:dyDescent="0.25">
      <c r="B5021" s="40"/>
      <c r="C5021" s="40"/>
      <c r="E5021" s="80"/>
    </row>
    <row r="5022" spans="2:5" x14ac:dyDescent="0.25">
      <c r="B5022" s="40"/>
      <c r="C5022" s="40"/>
      <c r="E5022" s="80"/>
    </row>
    <row r="5023" spans="2:5" x14ac:dyDescent="0.25">
      <c r="B5023" s="40"/>
      <c r="C5023" s="40"/>
      <c r="E5023" s="80"/>
    </row>
    <row r="5024" spans="2:5" x14ac:dyDescent="0.25">
      <c r="B5024" s="40"/>
      <c r="C5024" s="40"/>
      <c r="E5024" s="80"/>
    </row>
    <row r="5025" spans="2:5" x14ac:dyDescent="0.25">
      <c r="B5025" s="40"/>
      <c r="C5025" s="40"/>
      <c r="E5025" s="80"/>
    </row>
    <row r="5026" spans="2:5" x14ac:dyDescent="0.25">
      <c r="B5026" s="40"/>
      <c r="C5026" s="40"/>
      <c r="E5026" s="80"/>
    </row>
    <row r="5027" spans="2:5" x14ac:dyDescent="0.25">
      <c r="B5027" s="40"/>
      <c r="C5027" s="40"/>
      <c r="E5027" s="80"/>
    </row>
    <row r="5028" spans="2:5" x14ac:dyDescent="0.25">
      <c r="B5028" s="40"/>
      <c r="C5028" s="40"/>
      <c r="E5028" s="80"/>
    </row>
    <row r="5029" spans="2:5" x14ac:dyDescent="0.25">
      <c r="B5029" s="40"/>
      <c r="C5029" s="40"/>
      <c r="E5029" s="80"/>
    </row>
    <row r="5030" spans="2:5" x14ac:dyDescent="0.25">
      <c r="B5030" s="40"/>
      <c r="C5030" s="40"/>
      <c r="E5030" s="80"/>
    </row>
    <row r="5031" spans="2:5" x14ac:dyDescent="0.25">
      <c r="B5031" s="40"/>
      <c r="C5031" s="40"/>
      <c r="E5031" s="80"/>
    </row>
    <row r="5032" spans="2:5" x14ac:dyDescent="0.25">
      <c r="B5032" s="40"/>
      <c r="C5032" s="40"/>
      <c r="E5032" s="80"/>
    </row>
    <row r="5033" spans="2:5" x14ac:dyDescent="0.25">
      <c r="B5033" s="40"/>
      <c r="C5033" s="40"/>
      <c r="E5033" s="80"/>
    </row>
    <row r="5034" spans="2:5" x14ac:dyDescent="0.25">
      <c r="B5034" s="40"/>
      <c r="C5034" s="40"/>
      <c r="E5034" s="80"/>
    </row>
    <row r="5035" spans="2:5" x14ac:dyDescent="0.25">
      <c r="B5035" s="40"/>
      <c r="C5035" s="40"/>
      <c r="E5035" s="80"/>
    </row>
    <row r="5036" spans="2:5" x14ac:dyDescent="0.25">
      <c r="B5036" s="40"/>
      <c r="C5036" s="40"/>
      <c r="E5036" s="80"/>
    </row>
    <row r="5037" spans="2:5" x14ac:dyDescent="0.25">
      <c r="B5037" s="40"/>
      <c r="C5037" s="40"/>
      <c r="E5037" s="80"/>
    </row>
    <row r="5038" spans="2:5" x14ac:dyDescent="0.25">
      <c r="B5038" s="40"/>
      <c r="C5038" s="40"/>
      <c r="E5038" s="80"/>
    </row>
    <row r="5039" spans="2:5" x14ac:dyDescent="0.25">
      <c r="B5039" s="40"/>
      <c r="C5039" s="40"/>
      <c r="E5039" s="80"/>
    </row>
    <row r="5040" spans="2:5" x14ac:dyDescent="0.25">
      <c r="B5040" s="40"/>
      <c r="C5040" s="40"/>
      <c r="E5040" s="80"/>
    </row>
    <row r="5041" spans="2:5" x14ac:dyDescent="0.25">
      <c r="B5041" s="40"/>
      <c r="C5041" s="40"/>
      <c r="E5041" s="80"/>
    </row>
    <row r="5042" spans="2:5" x14ac:dyDescent="0.25">
      <c r="B5042" s="40"/>
      <c r="C5042" s="40"/>
      <c r="E5042" s="80"/>
    </row>
    <row r="5043" spans="2:5" x14ac:dyDescent="0.25">
      <c r="B5043" s="40"/>
      <c r="C5043" s="40"/>
      <c r="E5043" s="80"/>
    </row>
    <row r="5044" spans="2:5" x14ac:dyDescent="0.25">
      <c r="B5044" s="40"/>
      <c r="C5044" s="40"/>
      <c r="E5044" s="80"/>
    </row>
    <row r="5045" spans="2:5" x14ac:dyDescent="0.25">
      <c r="B5045" s="40"/>
      <c r="C5045" s="40"/>
      <c r="E5045" s="80"/>
    </row>
    <row r="5046" spans="2:5" x14ac:dyDescent="0.25">
      <c r="B5046" s="40"/>
      <c r="C5046" s="40"/>
      <c r="E5046" s="80"/>
    </row>
    <row r="5047" spans="2:5" x14ac:dyDescent="0.25">
      <c r="B5047" s="40"/>
      <c r="C5047" s="40"/>
      <c r="E5047" s="80"/>
    </row>
    <row r="5048" spans="2:5" x14ac:dyDescent="0.25">
      <c r="B5048" s="40"/>
      <c r="C5048" s="40"/>
      <c r="E5048" s="80"/>
    </row>
    <row r="5049" spans="2:5" x14ac:dyDescent="0.25">
      <c r="B5049" s="40"/>
      <c r="C5049" s="40"/>
      <c r="E5049" s="80"/>
    </row>
    <row r="5050" spans="2:5" x14ac:dyDescent="0.25">
      <c r="B5050" s="40"/>
      <c r="C5050" s="40"/>
      <c r="E5050" s="80"/>
    </row>
    <row r="5051" spans="2:5" x14ac:dyDescent="0.25">
      <c r="B5051" s="40"/>
      <c r="C5051" s="40"/>
      <c r="E5051" s="80"/>
    </row>
    <row r="5052" spans="2:5" x14ac:dyDescent="0.25">
      <c r="B5052" s="40"/>
      <c r="C5052" s="40"/>
      <c r="E5052" s="80"/>
    </row>
    <row r="5053" spans="2:5" x14ac:dyDescent="0.25">
      <c r="B5053" s="40"/>
      <c r="C5053" s="40"/>
      <c r="E5053" s="80"/>
    </row>
    <row r="5054" spans="2:5" x14ac:dyDescent="0.25">
      <c r="B5054" s="40"/>
      <c r="C5054" s="40"/>
      <c r="E5054" s="80"/>
    </row>
    <row r="5055" spans="2:5" x14ac:dyDescent="0.25">
      <c r="B5055" s="40"/>
      <c r="C5055" s="40"/>
      <c r="E5055" s="80"/>
    </row>
    <row r="5056" spans="2:5" x14ac:dyDescent="0.25">
      <c r="B5056" s="40"/>
      <c r="C5056" s="40"/>
      <c r="E5056" s="80"/>
    </row>
    <row r="5057" spans="2:5" x14ac:dyDescent="0.25">
      <c r="B5057" s="40"/>
      <c r="C5057" s="40"/>
      <c r="E5057" s="80"/>
    </row>
    <row r="5058" spans="2:5" x14ac:dyDescent="0.25">
      <c r="B5058" s="40"/>
      <c r="C5058" s="40"/>
      <c r="E5058" s="80"/>
    </row>
    <row r="5059" spans="2:5" x14ac:dyDescent="0.25">
      <c r="B5059" s="40"/>
      <c r="C5059" s="40"/>
      <c r="E5059" s="80"/>
    </row>
    <row r="5060" spans="2:5" x14ac:dyDescent="0.25">
      <c r="B5060" s="40"/>
      <c r="C5060" s="40"/>
      <c r="E5060" s="80"/>
    </row>
    <row r="5061" spans="2:5" x14ac:dyDescent="0.25">
      <c r="B5061" s="40"/>
      <c r="C5061" s="40"/>
      <c r="E5061" s="80"/>
    </row>
    <row r="5062" spans="2:5" x14ac:dyDescent="0.25">
      <c r="B5062" s="40"/>
      <c r="C5062" s="40"/>
      <c r="E5062" s="80"/>
    </row>
    <row r="5063" spans="2:5" x14ac:dyDescent="0.25">
      <c r="B5063" s="40"/>
      <c r="C5063" s="40"/>
      <c r="E5063" s="80"/>
    </row>
    <row r="5064" spans="2:5" x14ac:dyDescent="0.25">
      <c r="B5064" s="40"/>
      <c r="C5064" s="40"/>
      <c r="E5064" s="80"/>
    </row>
    <row r="5065" spans="2:5" x14ac:dyDescent="0.25">
      <c r="B5065" s="40"/>
      <c r="C5065" s="40"/>
      <c r="E5065" s="80"/>
    </row>
    <row r="5066" spans="2:5" x14ac:dyDescent="0.25">
      <c r="B5066" s="40"/>
      <c r="C5066" s="40"/>
      <c r="E5066" s="80"/>
    </row>
    <row r="5067" spans="2:5" x14ac:dyDescent="0.25">
      <c r="B5067" s="40"/>
      <c r="C5067" s="40"/>
      <c r="E5067" s="80"/>
    </row>
    <row r="5068" spans="2:5" x14ac:dyDescent="0.25">
      <c r="B5068" s="40"/>
      <c r="C5068" s="40"/>
      <c r="E5068" s="80"/>
    </row>
    <row r="5069" spans="2:5" x14ac:dyDescent="0.25">
      <c r="B5069" s="40"/>
      <c r="C5069" s="40"/>
      <c r="E5069" s="80"/>
    </row>
    <row r="5070" spans="2:5" x14ac:dyDescent="0.25">
      <c r="B5070" s="40"/>
      <c r="C5070" s="40"/>
      <c r="E5070" s="80"/>
    </row>
    <row r="5071" spans="2:5" x14ac:dyDescent="0.25">
      <c r="B5071" s="40"/>
      <c r="C5071" s="40"/>
      <c r="E5071" s="80"/>
    </row>
    <row r="5072" spans="2:5" x14ac:dyDescent="0.25">
      <c r="B5072" s="40"/>
      <c r="C5072" s="40"/>
      <c r="E5072" s="80"/>
    </row>
    <row r="5073" spans="2:5" x14ac:dyDescent="0.25">
      <c r="B5073" s="40"/>
      <c r="C5073" s="40"/>
      <c r="E5073" s="80"/>
    </row>
    <row r="5074" spans="2:5" x14ac:dyDescent="0.25">
      <c r="B5074" s="40"/>
      <c r="C5074" s="40"/>
      <c r="E5074" s="80"/>
    </row>
    <row r="5075" spans="2:5" x14ac:dyDescent="0.25">
      <c r="B5075" s="40"/>
      <c r="C5075" s="40"/>
      <c r="E5075" s="80"/>
    </row>
    <row r="5076" spans="2:5" x14ac:dyDescent="0.25">
      <c r="B5076" s="40"/>
      <c r="C5076" s="40"/>
      <c r="E5076" s="80"/>
    </row>
    <row r="5077" spans="2:5" x14ac:dyDescent="0.25">
      <c r="B5077" s="40"/>
      <c r="C5077" s="40"/>
      <c r="E5077" s="80"/>
    </row>
    <row r="5078" spans="2:5" x14ac:dyDescent="0.25">
      <c r="B5078" s="40"/>
      <c r="C5078" s="40"/>
      <c r="E5078" s="80"/>
    </row>
    <row r="5079" spans="2:5" x14ac:dyDescent="0.25">
      <c r="B5079" s="40"/>
      <c r="C5079" s="40"/>
      <c r="E5079" s="80"/>
    </row>
    <row r="5080" spans="2:5" x14ac:dyDescent="0.25">
      <c r="B5080" s="40"/>
      <c r="C5080" s="40"/>
      <c r="E5080" s="80"/>
    </row>
    <row r="5081" spans="2:5" x14ac:dyDescent="0.25">
      <c r="B5081" s="40"/>
      <c r="C5081" s="40"/>
      <c r="E5081" s="80"/>
    </row>
    <row r="5082" spans="2:5" x14ac:dyDescent="0.25">
      <c r="B5082" s="40"/>
      <c r="C5082" s="40"/>
      <c r="E5082" s="80"/>
    </row>
    <row r="5083" spans="2:5" x14ac:dyDescent="0.25">
      <c r="B5083" s="40"/>
      <c r="C5083" s="40"/>
      <c r="E5083" s="80"/>
    </row>
    <row r="5084" spans="2:5" x14ac:dyDescent="0.25">
      <c r="B5084" s="40"/>
      <c r="C5084" s="40"/>
      <c r="E5084" s="80"/>
    </row>
    <row r="5085" spans="2:5" x14ac:dyDescent="0.25">
      <c r="B5085" s="40"/>
      <c r="C5085" s="40"/>
      <c r="E5085" s="80"/>
    </row>
    <row r="5086" spans="2:5" x14ac:dyDescent="0.25">
      <c r="B5086" s="40"/>
      <c r="C5086" s="40"/>
      <c r="E5086" s="80"/>
    </row>
    <row r="5087" spans="2:5" x14ac:dyDescent="0.25">
      <c r="B5087" s="40"/>
      <c r="C5087" s="40"/>
      <c r="E5087" s="80"/>
    </row>
    <row r="5088" spans="2:5" x14ac:dyDescent="0.25">
      <c r="B5088" s="40"/>
      <c r="C5088" s="40"/>
      <c r="E5088" s="80"/>
    </row>
    <row r="5089" spans="2:5" x14ac:dyDescent="0.25">
      <c r="B5089" s="40"/>
      <c r="C5089" s="40"/>
      <c r="E5089" s="80"/>
    </row>
    <row r="5090" spans="2:5" x14ac:dyDescent="0.25">
      <c r="B5090" s="40"/>
      <c r="C5090" s="40"/>
      <c r="E5090" s="80"/>
    </row>
    <row r="5091" spans="2:5" x14ac:dyDescent="0.25">
      <c r="B5091" s="40"/>
      <c r="C5091" s="40"/>
      <c r="E5091" s="80"/>
    </row>
    <row r="5092" spans="2:5" x14ac:dyDescent="0.25">
      <c r="B5092" s="40"/>
      <c r="C5092" s="40"/>
      <c r="E5092" s="80"/>
    </row>
    <row r="5093" spans="2:5" x14ac:dyDescent="0.25">
      <c r="B5093" s="40"/>
      <c r="C5093" s="40"/>
      <c r="E5093" s="80"/>
    </row>
    <row r="5094" spans="2:5" x14ac:dyDescent="0.25">
      <c r="B5094" s="40"/>
      <c r="C5094" s="40"/>
      <c r="E5094" s="80"/>
    </row>
    <row r="5095" spans="2:5" x14ac:dyDescent="0.25">
      <c r="B5095" s="40"/>
      <c r="C5095" s="40"/>
      <c r="E5095" s="80"/>
    </row>
    <row r="5096" spans="2:5" x14ac:dyDescent="0.25">
      <c r="B5096" s="40"/>
      <c r="C5096" s="40"/>
      <c r="E5096" s="80"/>
    </row>
    <row r="5097" spans="2:5" x14ac:dyDescent="0.25">
      <c r="B5097" s="40"/>
      <c r="C5097" s="40"/>
      <c r="E5097" s="80"/>
    </row>
    <row r="5098" spans="2:5" x14ac:dyDescent="0.25">
      <c r="B5098" s="40"/>
      <c r="C5098" s="40"/>
      <c r="E5098" s="80"/>
    </row>
    <row r="5099" spans="2:5" x14ac:dyDescent="0.25">
      <c r="B5099" s="40"/>
      <c r="C5099" s="40"/>
      <c r="E5099" s="80"/>
    </row>
    <row r="5100" spans="2:5" x14ac:dyDescent="0.25">
      <c r="B5100" s="40"/>
      <c r="C5100" s="40"/>
      <c r="E5100" s="80"/>
    </row>
    <row r="5101" spans="2:5" x14ac:dyDescent="0.25">
      <c r="B5101" s="40"/>
      <c r="C5101" s="40"/>
      <c r="E5101" s="80"/>
    </row>
    <row r="5102" spans="2:5" x14ac:dyDescent="0.25">
      <c r="B5102" s="40"/>
      <c r="C5102" s="40"/>
      <c r="E5102" s="80"/>
    </row>
    <row r="5103" spans="2:5" x14ac:dyDescent="0.25">
      <c r="B5103" s="40"/>
      <c r="C5103" s="40"/>
      <c r="E5103" s="80"/>
    </row>
    <row r="5104" spans="2:5" x14ac:dyDescent="0.25">
      <c r="B5104" s="40"/>
      <c r="C5104" s="40"/>
      <c r="E5104" s="80"/>
    </row>
    <row r="5105" spans="2:5" x14ac:dyDescent="0.25">
      <c r="B5105" s="40"/>
      <c r="C5105" s="40"/>
      <c r="E5105" s="80"/>
    </row>
    <row r="5106" spans="2:5" x14ac:dyDescent="0.25">
      <c r="B5106" s="40"/>
      <c r="C5106" s="40"/>
      <c r="E5106" s="80"/>
    </row>
    <row r="5107" spans="2:5" x14ac:dyDescent="0.25">
      <c r="B5107" s="40"/>
      <c r="C5107" s="40"/>
      <c r="E5107" s="80"/>
    </row>
    <row r="5108" spans="2:5" x14ac:dyDescent="0.25">
      <c r="B5108" s="40"/>
      <c r="C5108" s="40"/>
      <c r="E5108" s="80"/>
    </row>
    <row r="5109" spans="2:5" x14ac:dyDescent="0.25">
      <c r="B5109" s="40"/>
      <c r="C5109" s="40"/>
      <c r="E5109" s="80"/>
    </row>
    <row r="5110" spans="2:5" x14ac:dyDescent="0.25">
      <c r="B5110" s="40"/>
      <c r="C5110" s="40"/>
      <c r="E5110" s="80"/>
    </row>
    <row r="5111" spans="2:5" x14ac:dyDescent="0.25">
      <c r="B5111" s="40"/>
      <c r="C5111" s="40"/>
      <c r="E5111" s="80"/>
    </row>
    <row r="5112" spans="2:5" x14ac:dyDescent="0.25">
      <c r="B5112" s="40"/>
      <c r="C5112" s="40"/>
      <c r="E5112" s="80"/>
    </row>
    <row r="5113" spans="2:5" x14ac:dyDescent="0.25">
      <c r="B5113" s="40"/>
      <c r="C5113" s="40"/>
      <c r="E5113" s="80"/>
    </row>
    <row r="5114" spans="2:5" x14ac:dyDescent="0.25">
      <c r="B5114" s="40"/>
      <c r="C5114" s="40"/>
      <c r="E5114" s="80"/>
    </row>
    <row r="5115" spans="2:5" x14ac:dyDescent="0.25">
      <c r="B5115" s="40"/>
      <c r="C5115" s="40"/>
      <c r="E5115" s="80"/>
    </row>
    <row r="5116" spans="2:5" x14ac:dyDescent="0.25">
      <c r="B5116" s="40"/>
      <c r="C5116" s="40"/>
      <c r="E5116" s="80"/>
    </row>
    <row r="5117" spans="2:5" x14ac:dyDescent="0.25">
      <c r="B5117" s="40"/>
      <c r="C5117" s="40"/>
      <c r="E5117" s="80"/>
    </row>
    <row r="5118" spans="2:5" x14ac:dyDescent="0.25">
      <c r="B5118" s="40"/>
      <c r="C5118" s="40"/>
      <c r="E5118" s="80"/>
    </row>
    <row r="5119" spans="2:5" x14ac:dyDescent="0.25">
      <c r="B5119" s="40"/>
      <c r="C5119" s="40"/>
      <c r="E5119" s="80"/>
    </row>
    <row r="5120" spans="2:5" x14ac:dyDescent="0.25">
      <c r="B5120" s="40"/>
      <c r="C5120" s="40"/>
      <c r="E5120" s="80"/>
    </row>
    <row r="5121" spans="2:5" x14ac:dyDescent="0.25">
      <c r="B5121" s="40"/>
      <c r="C5121" s="40"/>
      <c r="E5121" s="80"/>
    </row>
    <row r="5122" spans="2:5" x14ac:dyDescent="0.25">
      <c r="B5122" s="40"/>
      <c r="C5122" s="40"/>
      <c r="E5122" s="80"/>
    </row>
    <row r="5123" spans="2:5" x14ac:dyDescent="0.25">
      <c r="B5123" s="40"/>
      <c r="C5123" s="40"/>
      <c r="E5123" s="80"/>
    </row>
    <row r="5124" spans="2:5" x14ac:dyDescent="0.25">
      <c r="B5124" s="40"/>
      <c r="C5124" s="40"/>
      <c r="E5124" s="80"/>
    </row>
    <row r="5125" spans="2:5" x14ac:dyDescent="0.25">
      <c r="B5125" s="40"/>
      <c r="C5125" s="40"/>
      <c r="E5125" s="80"/>
    </row>
    <row r="5126" spans="2:5" x14ac:dyDescent="0.25">
      <c r="B5126" s="40"/>
      <c r="C5126" s="40"/>
      <c r="E5126" s="80"/>
    </row>
    <row r="5127" spans="2:5" x14ac:dyDescent="0.25">
      <c r="B5127" s="40"/>
      <c r="C5127" s="40"/>
      <c r="E5127" s="80"/>
    </row>
    <row r="5128" spans="2:5" x14ac:dyDescent="0.25">
      <c r="B5128" s="40"/>
      <c r="C5128" s="40"/>
      <c r="E5128" s="80"/>
    </row>
    <row r="5129" spans="2:5" x14ac:dyDescent="0.25">
      <c r="B5129" s="40"/>
      <c r="C5129" s="40"/>
      <c r="E5129" s="80"/>
    </row>
    <row r="5130" spans="2:5" x14ac:dyDescent="0.25">
      <c r="B5130" s="40"/>
      <c r="C5130" s="40"/>
      <c r="E5130" s="80"/>
    </row>
    <row r="5131" spans="2:5" x14ac:dyDescent="0.25">
      <c r="B5131" s="40"/>
      <c r="C5131" s="40"/>
      <c r="E5131" s="80"/>
    </row>
    <row r="5132" spans="2:5" x14ac:dyDescent="0.25">
      <c r="B5132" s="40"/>
      <c r="C5132" s="40"/>
      <c r="E5132" s="80"/>
    </row>
    <row r="5133" spans="2:5" x14ac:dyDescent="0.25">
      <c r="B5133" s="40"/>
      <c r="C5133" s="40"/>
      <c r="E5133" s="80"/>
    </row>
    <row r="5134" spans="2:5" x14ac:dyDescent="0.25">
      <c r="B5134" s="40"/>
      <c r="C5134" s="40"/>
      <c r="E5134" s="80"/>
    </row>
    <row r="5135" spans="2:5" x14ac:dyDescent="0.25">
      <c r="B5135" s="40"/>
      <c r="C5135" s="40"/>
      <c r="E5135" s="80"/>
    </row>
    <row r="5136" spans="2:5" x14ac:dyDescent="0.25">
      <c r="B5136" s="40"/>
      <c r="C5136" s="40"/>
      <c r="E5136" s="80"/>
    </row>
    <row r="5137" spans="2:5" x14ac:dyDescent="0.25">
      <c r="B5137" s="40"/>
      <c r="C5137" s="40"/>
      <c r="E5137" s="80"/>
    </row>
    <row r="5138" spans="2:5" x14ac:dyDescent="0.25">
      <c r="B5138" s="40"/>
      <c r="C5138" s="40"/>
      <c r="E5138" s="80"/>
    </row>
    <row r="5139" spans="2:5" x14ac:dyDescent="0.25">
      <c r="B5139" s="40"/>
      <c r="C5139" s="40"/>
      <c r="E5139" s="80"/>
    </row>
    <row r="5140" spans="2:5" x14ac:dyDescent="0.25">
      <c r="B5140" s="40"/>
      <c r="C5140" s="40"/>
      <c r="E5140" s="80"/>
    </row>
    <row r="5141" spans="2:5" x14ac:dyDescent="0.25">
      <c r="B5141" s="40"/>
      <c r="C5141" s="40"/>
      <c r="E5141" s="80"/>
    </row>
    <row r="5142" spans="2:5" x14ac:dyDescent="0.25">
      <c r="B5142" s="40"/>
      <c r="C5142" s="40"/>
      <c r="E5142" s="80"/>
    </row>
    <row r="5143" spans="2:5" x14ac:dyDescent="0.25">
      <c r="B5143" s="40"/>
      <c r="C5143" s="40"/>
      <c r="E5143" s="80"/>
    </row>
    <row r="5144" spans="2:5" x14ac:dyDescent="0.25">
      <c r="B5144" s="40"/>
      <c r="C5144" s="40"/>
      <c r="E5144" s="80"/>
    </row>
    <row r="5145" spans="2:5" x14ac:dyDescent="0.25">
      <c r="B5145" s="40"/>
      <c r="C5145" s="40"/>
      <c r="E5145" s="80"/>
    </row>
    <row r="5146" spans="2:5" x14ac:dyDescent="0.25">
      <c r="B5146" s="40"/>
      <c r="C5146" s="40"/>
      <c r="E5146" s="80"/>
    </row>
    <row r="5147" spans="2:5" x14ac:dyDescent="0.25">
      <c r="B5147" s="40"/>
      <c r="C5147" s="40"/>
      <c r="E5147" s="80"/>
    </row>
    <row r="5148" spans="2:5" x14ac:dyDescent="0.25">
      <c r="B5148" s="40"/>
      <c r="C5148" s="40"/>
      <c r="E5148" s="80"/>
    </row>
    <row r="5149" spans="2:5" x14ac:dyDescent="0.25">
      <c r="B5149" s="40"/>
      <c r="C5149" s="40"/>
      <c r="E5149" s="80"/>
    </row>
    <row r="5150" spans="2:5" x14ac:dyDescent="0.25">
      <c r="B5150" s="40"/>
      <c r="C5150" s="40"/>
      <c r="E5150" s="80"/>
    </row>
    <row r="5151" spans="2:5" x14ac:dyDescent="0.25">
      <c r="B5151" s="40"/>
      <c r="C5151" s="40"/>
      <c r="E5151" s="80"/>
    </row>
    <row r="5152" spans="2:5" x14ac:dyDescent="0.25">
      <c r="B5152" s="40"/>
      <c r="C5152" s="40"/>
      <c r="E5152" s="80"/>
    </row>
    <row r="5153" spans="2:5" x14ac:dyDescent="0.25">
      <c r="B5153" s="40"/>
      <c r="C5153" s="40"/>
      <c r="E5153" s="80"/>
    </row>
    <row r="5154" spans="2:5" x14ac:dyDescent="0.25">
      <c r="B5154" s="40"/>
      <c r="C5154" s="40"/>
      <c r="E5154" s="80"/>
    </row>
    <row r="5155" spans="2:5" x14ac:dyDescent="0.25">
      <c r="B5155" s="40"/>
      <c r="C5155" s="40"/>
      <c r="E5155" s="80"/>
    </row>
    <row r="5156" spans="2:5" x14ac:dyDescent="0.25">
      <c r="B5156" s="40"/>
      <c r="C5156" s="40"/>
      <c r="E5156" s="80"/>
    </row>
    <row r="5157" spans="2:5" x14ac:dyDescent="0.25">
      <c r="B5157" s="40"/>
      <c r="C5157" s="40"/>
      <c r="E5157" s="80"/>
    </row>
    <row r="5158" spans="2:5" x14ac:dyDescent="0.25">
      <c r="B5158" s="40"/>
      <c r="C5158" s="40"/>
      <c r="E5158" s="80"/>
    </row>
    <row r="5159" spans="2:5" x14ac:dyDescent="0.25">
      <c r="B5159" s="40"/>
      <c r="C5159" s="40"/>
      <c r="E5159" s="80"/>
    </row>
    <row r="5160" spans="2:5" x14ac:dyDescent="0.25">
      <c r="B5160" s="40"/>
      <c r="C5160" s="40"/>
      <c r="E5160" s="80"/>
    </row>
    <row r="5161" spans="2:5" x14ac:dyDescent="0.25">
      <c r="B5161" s="40"/>
      <c r="C5161" s="40"/>
      <c r="E5161" s="80"/>
    </row>
    <row r="5162" spans="2:5" x14ac:dyDescent="0.25">
      <c r="B5162" s="40"/>
      <c r="C5162" s="40"/>
      <c r="E5162" s="80"/>
    </row>
    <row r="5163" spans="2:5" x14ac:dyDescent="0.25">
      <c r="B5163" s="40"/>
      <c r="C5163" s="40"/>
      <c r="E5163" s="80"/>
    </row>
    <row r="5164" spans="2:5" x14ac:dyDescent="0.25">
      <c r="B5164" s="40"/>
      <c r="C5164" s="40"/>
      <c r="E5164" s="80"/>
    </row>
    <row r="5165" spans="2:5" x14ac:dyDescent="0.25">
      <c r="B5165" s="40"/>
      <c r="C5165" s="40"/>
      <c r="E5165" s="80"/>
    </row>
    <row r="5166" spans="2:5" x14ac:dyDescent="0.25">
      <c r="B5166" s="40"/>
      <c r="C5166" s="40"/>
      <c r="E5166" s="80"/>
    </row>
    <row r="5167" spans="2:5" x14ac:dyDescent="0.25">
      <c r="B5167" s="40"/>
      <c r="C5167" s="40"/>
      <c r="E5167" s="80"/>
    </row>
    <row r="5168" spans="2:5" x14ac:dyDescent="0.25">
      <c r="B5168" s="40"/>
      <c r="C5168" s="40"/>
      <c r="E5168" s="80"/>
    </row>
    <row r="5169" spans="2:5" x14ac:dyDescent="0.25">
      <c r="B5169" s="40"/>
      <c r="C5169" s="40"/>
      <c r="E5169" s="80"/>
    </row>
    <row r="5170" spans="2:5" x14ac:dyDescent="0.25">
      <c r="B5170" s="40"/>
      <c r="C5170" s="40"/>
      <c r="E5170" s="80"/>
    </row>
    <row r="5171" spans="2:5" x14ac:dyDescent="0.25">
      <c r="B5171" s="40"/>
      <c r="C5171" s="40"/>
      <c r="E5171" s="80"/>
    </row>
    <row r="5172" spans="2:5" x14ac:dyDescent="0.25">
      <c r="B5172" s="40"/>
      <c r="C5172" s="40"/>
      <c r="E5172" s="80"/>
    </row>
    <row r="5173" spans="2:5" x14ac:dyDescent="0.25">
      <c r="B5173" s="40"/>
      <c r="C5173" s="40"/>
      <c r="E5173" s="80"/>
    </row>
    <row r="5174" spans="2:5" x14ac:dyDescent="0.25">
      <c r="B5174" s="40"/>
      <c r="C5174" s="40"/>
      <c r="E5174" s="80"/>
    </row>
    <row r="5175" spans="2:5" x14ac:dyDescent="0.25">
      <c r="B5175" s="40"/>
      <c r="C5175" s="40"/>
      <c r="E5175" s="80"/>
    </row>
    <row r="5176" spans="2:5" x14ac:dyDescent="0.25">
      <c r="B5176" s="40"/>
      <c r="C5176" s="40"/>
      <c r="E5176" s="80"/>
    </row>
    <row r="5177" spans="2:5" x14ac:dyDescent="0.25">
      <c r="B5177" s="40"/>
      <c r="C5177" s="40"/>
      <c r="E5177" s="80"/>
    </row>
    <row r="5178" spans="2:5" x14ac:dyDescent="0.25">
      <c r="B5178" s="40"/>
      <c r="C5178" s="40"/>
      <c r="E5178" s="80"/>
    </row>
    <row r="5179" spans="2:5" x14ac:dyDescent="0.25">
      <c r="B5179" s="40"/>
      <c r="C5179" s="40"/>
      <c r="E5179" s="80"/>
    </row>
    <row r="5180" spans="2:5" x14ac:dyDescent="0.25">
      <c r="B5180" s="40"/>
      <c r="C5180" s="40"/>
      <c r="E5180" s="80"/>
    </row>
    <row r="5181" spans="2:5" x14ac:dyDescent="0.25">
      <c r="B5181" s="40"/>
      <c r="C5181" s="40"/>
      <c r="E5181" s="80"/>
    </row>
    <row r="5182" spans="2:5" x14ac:dyDescent="0.25">
      <c r="B5182" s="40"/>
      <c r="C5182" s="40"/>
      <c r="E5182" s="80"/>
    </row>
    <row r="5183" spans="2:5" x14ac:dyDescent="0.25">
      <c r="B5183" s="40"/>
      <c r="C5183" s="40"/>
      <c r="E5183" s="80"/>
    </row>
    <row r="5184" spans="2:5" x14ac:dyDescent="0.25">
      <c r="B5184" s="40"/>
      <c r="C5184" s="40"/>
      <c r="E5184" s="80"/>
    </row>
    <row r="5185" spans="2:5" x14ac:dyDescent="0.25">
      <c r="B5185" s="40"/>
      <c r="C5185" s="40"/>
      <c r="E5185" s="80"/>
    </row>
    <row r="5186" spans="2:5" x14ac:dyDescent="0.25">
      <c r="B5186" s="40"/>
      <c r="C5186" s="40"/>
      <c r="E5186" s="80"/>
    </row>
    <row r="5187" spans="2:5" x14ac:dyDescent="0.25">
      <c r="B5187" s="40"/>
      <c r="C5187" s="40"/>
      <c r="E5187" s="80"/>
    </row>
    <row r="5188" spans="2:5" x14ac:dyDescent="0.25">
      <c r="B5188" s="40"/>
      <c r="C5188" s="40"/>
      <c r="E5188" s="80"/>
    </row>
    <row r="5189" spans="2:5" x14ac:dyDescent="0.25">
      <c r="B5189" s="40"/>
      <c r="C5189" s="40"/>
      <c r="E5189" s="80"/>
    </row>
    <row r="5190" spans="2:5" x14ac:dyDescent="0.25">
      <c r="B5190" s="40"/>
      <c r="C5190" s="40"/>
      <c r="E5190" s="80"/>
    </row>
    <row r="5191" spans="2:5" x14ac:dyDescent="0.25">
      <c r="B5191" s="40"/>
      <c r="C5191" s="40"/>
      <c r="E5191" s="80"/>
    </row>
    <row r="5192" spans="2:5" x14ac:dyDescent="0.25">
      <c r="B5192" s="40"/>
      <c r="C5192" s="40"/>
      <c r="E5192" s="80"/>
    </row>
    <row r="5193" spans="2:5" x14ac:dyDescent="0.25">
      <c r="B5193" s="40"/>
      <c r="C5193" s="40"/>
      <c r="E5193" s="80"/>
    </row>
    <row r="5194" spans="2:5" x14ac:dyDescent="0.25">
      <c r="B5194" s="40"/>
      <c r="C5194" s="40"/>
      <c r="E5194" s="80"/>
    </row>
    <row r="5195" spans="2:5" x14ac:dyDescent="0.25">
      <c r="B5195" s="40"/>
      <c r="C5195" s="40"/>
      <c r="E5195" s="80"/>
    </row>
    <row r="5196" spans="2:5" x14ac:dyDescent="0.25">
      <c r="B5196" s="40"/>
      <c r="C5196" s="40"/>
      <c r="E5196" s="80"/>
    </row>
    <row r="5197" spans="2:5" x14ac:dyDescent="0.25">
      <c r="B5197" s="40"/>
      <c r="C5197" s="40"/>
      <c r="E5197" s="80"/>
    </row>
    <row r="5198" spans="2:5" x14ac:dyDescent="0.25">
      <c r="B5198" s="40"/>
      <c r="C5198" s="40"/>
      <c r="E5198" s="80"/>
    </row>
    <row r="5199" spans="2:5" x14ac:dyDescent="0.25">
      <c r="B5199" s="40"/>
      <c r="C5199" s="40"/>
      <c r="E5199" s="80"/>
    </row>
    <row r="5200" spans="2:5" x14ac:dyDescent="0.25">
      <c r="B5200" s="40"/>
      <c r="C5200" s="40"/>
      <c r="E5200" s="80"/>
    </row>
    <row r="5201" spans="2:5" x14ac:dyDescent="0.25">
      <c r="B5201" s="40"/>
      <c r="C5201" s="40"/>
      <c r="E5201" s="80"/>
    </row>
    <row r="5202" spans="2:5" x14ac:dyDescent="0.25">
      <c r="B5202" s="40"/>
      <c r="C5202" s="40"/>
      <c r="E5202" s="80"/>
    </row>
    <row r="5203" spans="2:5" x14ac:dyDescent="0.25">
      <c r="B5203" s="40"/>
      <c r="C5203" s="40"/>
      <c r="E5203" s="80"/>
    </row>
    <row r="5204" spans="2:5" x14ac:dyDescent="0.25">
      <c r="B5204" s="40"/>
      <c r="C5204" s="40"/>
      <c r="E5204" s="80"/>
    </row>
    <row r="5205" spans="2:5" x14ac:dyDescent="0.25">
      <c r="B5205" s="40"/>
      <c r="C5205" s="40"/>
      <c r="E5205" s="80"/>
    </row>
    <row r="5206" spans="2:5" x14ac:dyDescent="0.25">
      <c r="B5206" s="40"/>
      <c r="C5206" s="40"/>
      <c r="E5206" s="80"/>
    </row>
    <row r="5207" spans="2:5" x14ac:dyDescent="0.25">
      <c r="B5207" s="40"/>
      <c r="C5207" s="40"/>
      <c r="E5207" s="80"/>
    </row>
    <row r="5208" spans="2:5" x14ac:dyDescent="0.25">
      <c r="B5208" s="40"/>
      <c r="C5208" s="40"/>
      <c r="E5208" s="80"/>
    </row>
    <row r="5209" spans="2:5" x14ac:dyDescent="0.25">
      <c r="B5209" s="40"/>
      <c r="C5209" s="40"/>
      <c r="E5209" s="80"/>
    </row>
    <row r="5210" spans="2:5" x14ac:dyDescent="0.25">
      <c r="B5210" s="40"/>
      <c r="C5210" s="40"/>
      <c r="E5210" s="80"/>
    </row>
    <row r="5211" spans="2:5" x14ac:dyDescent="0.25">
      <c r="B5211" s="40"/>
      <c r="C5211" s="40"/>
      <c r="E5211" s="80"/>
    </row>
    <row r="5212" spans="2:5" x14ac:dyDescent="0.25">
      <c r="B5212" s="40"/>
      <c r="C5212" s="40"/>
      <c r="E5212" s="80"/>
    </row>
    <row r="5213" spans="2:5" x14ac:dyDescent="0.25">
      <c r="B5213" s="40"/>
      <c r="C5213" s="40"/>
      <c r="E5213" s="80"/>
    </row>
    <row r="5214" spans="2:5" x14ac:dyDescent="0.25">
      <c r="B5214" s="40"/>
      <c r="C5214" s="40"/>
      <c r="E5214" s="80"/>
    </row>
    <row r="5215" spans="2:5" x14ac:dyDescent="0.25">
      <c r="B5215" s="40"/>
      <c r="C5215" s="40"/>
      <c r="E5215" s="80"/>
    </row>
    <row r="5216" spans="2:5" x14ac:dyDescent="0.25">
      <c r="B5216" s="40"/>
      <c r="C5216" s="40"/>
      <c r="E5216" s="80"/>
    </row>
    <row r="5217" spans="2:5" x14ac:dyDescent="0.25">
      <c r="B5217" s="40"/>
      <c r="C5217" s="40"/>
      <c r="E5217" s="80"/>
    </row>
    <row r="5218" spans="2:5" x14ac:dyDescent="0.25">
      <c r="B5218" s="40"/>
      <c r="C5218" s="40"/>
      <c r="E5218" s="80"/>
    </row>
    <row r="5219" spans="2:5" x14ac:dyDescent="0.25">
      <c r="B5219" s="40"/>
      <c r="C5219" s="40"/>
      <c r="E5219" s="80"/>
    </row>
    <row r="5220" spans="2:5" x14ac:dyDescent="0.25">
      <c r="B5220" s="40"/>
      <c r="C5220" s="40"/>
      <c r="E5220" s="80"/>
    </row>
    <row r="5221" spans="2:5" x14ac:dyDescent="0.25">
      <c r="B5221" s="40"/>
      <c r="C5221" s="40"/>
      <c r="E5221" s="80"/>
    </row>
    <row r="5222" spans="2:5" x14ac:dyDescent="0.25">
      <c r="B5222" s="40"/>
      <c r="C5222" s="40"/>
      <c r="E5222" s="80"/>
    </row>
    <row r="5223" spans="2:5" x14ac:dyDescent="0.25">
      <c r="B5223" s="40"/>
      <c r="C5223" s="40"/>
      <c r="E5223" s="80"/>
    </row>
    <row r="5224" spans="2:5" x14ac:dyDescent="0.25">
      <c r="B5224" s="40"/>
      <c r="C5224" s="40"/>
      <c r="E5224" s="80"/>
    </row>
    <row r="5225" spans="2:5" x14ac:dyDescent="0.25">
      <c r="B5225" s="40"/>
      <c r="C5225" s="40"/>
      <c r="E5225" s="80"/>
    </row>
    <row r="5226" spans="2:5" x14ac:dyDescent="0.25">
      <c r="B5226" s="40"/>
      <c r="C5226" s="40"/>
      <c r="E5226" s="80"/>
    </row>
    <row r="5227" spans="2:5" x14ac:dyDescent="0.25">
      <c r="B5227" s="40"/>
      <c r="C5227" s="40"/>
      <c r="E5227" s="80"/>
    </row>
    <row r="5228" spans="2:5" x14ac:dyDescent="0.25">
      <c r="B5228" s="40"/>
      <c r="C5228" s="40"/>
      <c r="E5228" s="80"/>
    </row>
    <row r="5229" spans="2:5" x14ac:dyDescent="0.25">
      <c r="B5229" s="40"/>
      <c r="C5229" s="40"/>
      <c r="E5229" s="80"/>
    </row>
    <row r="5230" spans="2:5" x14ac:dyDescent="0.25">
      <c r="B5230" s="40"/>
      <c r="C5230" s="40"/>
      <c r="E5230" s="80"/>
    </row>
    <row r="5231" spans="2:5" x14ac:dyDescent="0.25">
      <c r="B5231" s="40"/>
      <c r="C5231" s="40"/>
      <c r="E5231" s="80"/>
    </row>
    <row r="5232" spans="2:5" x14ac:dyDescent="0.25">
      <c r="B5232" s="40"/>
      <c r="C5232" s="40"/>
      <c r="E5232" s="80"/>
    </row>
    <row r="5233" spans="2:5" x14ac:dyDescent="0.25">
      <c r="B5233" s="40"/>
      <c r="C5233" s="40"/>
      <c r="E5233" s="80"/>
    </row>
    <row r="5234" spans="2:5" x14ac:dyDescent="0.25">
      <c r="B5234" s="40"/>
      <c r="C5234" s="40"/>
      <c r="E5234" s="80"/>
    </row>
    <row r="5235" spans="2:5" x14ac:dyDescent="0.25">
      <c r="B5235" s="40"/>
      <c r="C5235" s="40"/>
      <c r="E5235" s="80"/>
    </row>
    <row r="5236" spans="2:5" x14ac:dyDescent="0.25">
      <c r="B5236" s="40"/>
      <c r="C5236" s="40"/>
      <c r="E5236" s="80"/>
    </row>
    <row r="5237" spans="2:5" x14ac:dyDescent="0.25">
      <c r="B5237" s="40"/>
      <c r="C5237" s="40"/>
      <c r="E5237" s="80"/>
    </row>
    <row r="5238" spans="2:5" x14ac:dyDescent="0.25">
      <c r="B5238" s="40"/>
      <c r="C5238" s="40"/>
      <c r="E5238" s="80"/>
    </row>
    <row r="5239" spans="2:5" x14ac:dyDescent="0.25">
      <c r="B5239" s="40"/>
      <c r="C5239" s="40"/>
      <c r="E5239" s="80"/>
    </row>
    <row r="5240" spans="2:5" x14ac:dyDescent="0.25">
      <c r="B5240" s="40"/>
      <c r="C5240" s="40"/>
      <c r="E5240" s="80"/>
    </row>
    <row r="5241" spans="2:5" x14ac:dyDescent="0.25">
      <c r="B5241" s="40"/>
      <c r="C5241" s="40"/>
      <c r="E5241" s="80"/>
    </row>
    <row r="5242" spans="2:5" x14ac:dyDescent="0.25">
      <c r="B5242" s="40"/>
      <c r="C5242" s="40"/>
      <c r="E5242" s="80"/>
    </row>
    <row r="5243" spans="2:5" x14ac:dyDescent="0.25">
      <c r="B5243" s="40"/>
      <c r="C5243" s="40"/>
      <c r="E5243" s="80"/>
    </row>
    <row r="5244" spans="2:5" x14ac:dyDescent="0.25">
      <c r="B5244" s="40"/>
      <c r="C5244" s="40"/>
      <c r="E5244" s="80"/>
    </row>
    <row r="5245" spans="2:5" x14ac:dyDescent="0.25">
      <c r="B5245" s="40"/>
      <c r="C5245" s="40"/>
      <c r="E5245" s="80"/>
    </row>
    <row r="5246" spans="2:5" x14ac:dyDescent="0.25">
      <c r="B5246" s="40"/>
      <c r="C5246" s="40"/>
      <c r="E5246" s="80"/>
    </row>
    <row r="5247" spans="2:5" x14ac:dyDescent="0.25">
      <c r="B5247" s="40"/>
      <c r="C5247" s="40"/>
      <c r="E5247" s="80"/>
    </row>
    <row r="5248" spans="2:5" x14ac:dyDescent="0.25">
      <c r="B5248" s="40"/>
      <c r="C5248" s="40"/>
      <c r="E5248" s="80"/>
    </row>
    <row r="5249" spans="2:5" x14ac:dyDescent="0.25">
      <c r="B5249" s="40"/>
      <c r="C5249" s="40"/>
      <c r="E5249" s="80"/>
    </row>
    <row r="5250" spans="2:5" x14ac:dyDescent="0.25">
      <c r="B5250" s="40"/>
      <c r="C5250" s="40"/>
      <c r="E5250" s="80"/>
    </row>
    <row r="5251" spans="2:5" x14ac:dyDescent="0.25">
      <c r="B5251" s="40"/>
      <c r="C5251" s="40"/>
      <c r="E5251" s="80"/>
    </row>
    <row r="5252" spans="2:5" x14ac:dyDescent="0.25">
      <c r="B5252" s="40"/>
      <c r="C5252" s="40"/>
      <c r="E5252" s="80"/>
    </row>
    <row r="5253" spans="2:5" x14ac:dyDescent="0.25">
      <c r="B5253" s="40"/>
      <c r="C5253" s="40"/>
      <c r="E5253" s="80"/>
    </row>
    <row r="5254" spans="2:5" x14ac:dyDescent="0.25">
      <c r="B5254" s="40"/>
      <c r="C5254" s="40"/>
      <c r="E5254" s="80"/>
    </row>
    <row r="5255" spans="2:5" x14ac:dyDescent="0.25">
      <c r="B5255" s="40"/>
      <c r="C5255" s="40"/>
      <c r="E5255" s="80"/>
    </row>
    <row r="5256" spans="2:5" x14ac:dyDescent="0.25">
      <c r="B5256" s="40"/>
      <c r="C5256" s="40"/>
      <c r="E5256" s="80"/>
    </row>
    <row r="5257" spans="2:5" x14ac:dyDescent="0.25">
      <c r="B5257" s="40"/>
      <c r="C5257" s="40"/>
      <c r="E5257" s="80"/>
    </row>
    <row r="5258" spans="2:5" x14ac:dyDescent="0.25">
      <c r="B5258" s="40"/>
      <c r="C5258" s="40"/>
      <c r="E5258" s="80"/>
    </row>
    <row r="5259" spans="2:5" x14ac:dyDescent="0.25">
      <c r="B5259" s="40"/>
      <c r="C5259" s="40"/>
      <c r="E5259" s="80"/>
    </row>
    <row r="5260" spans="2:5" x14ac:dyDescent="0.25">
      <c r="B5260" s="40"/>
      <c r="C5260" s="40"/>
      <c r="E5260" s="80"/>
    </row>
    <row r="5261" spans="2:5" x14ac:dyDescent="0.25">
      <c r="B5261" s="40"/>
      <c r="C5261" s="40"/>
      <c r="E5261" s="80"/>
    </row>
    <row r="5262" spans="2:5" x14ac:dyDescent="0.25">
      <c r="B5262" s="40"/>
      <c r="C5262" s="40"/>
      <c r="E5262" s="80"/>
    </row>
    <row r="5263" spans="2:5" x14ac:dyDescent="0.25">
      <c r="B5263" s="40"/>
      <c r="C5263" s="40"/>
      <c r="E5263" s="80"/>
    </row>
    <row r="5264" spans="2:5" x14ac:dyDescent="0.25">
      <c r="B5264" s="40"/>
      <c r="C5264" s="40"/>
      <c r="E5264" s="80"/>
    </row>
    <row r="5265" spans="2:5" x14ac:dyDescent="0.25">
      <c r="B5265" s="40"/>
      <c r="C5265" s="40"/>
      <c r="E5265" s="80"/>
    </row>
    <row r="5266" spans="2:5" x14ac:dyDescent="0.25">
      <c r="B5266" s="40"/>
      <c r="C5266" s="40"/>
      <c r="E5266" s="80"/>
    </row>
    <row r="5267" spans="2:5" x14ac:dyDescent="0.25">
      <c r="B5267" s="40"/>
      <c r="C5267" s="40"/>
      <c r="E5267" s="80"/>
    </row>
    <row r="5268" spans="2:5" x14ac:dyDescent="0.25">
      <c r="B5268" s="40"/>
      <c r="C5268" s="40"/>
      <c r="E5268" s="80"/>
    </row>
    <row r="5269" spans="2:5" x14ac:dyDescent="0.25">
      <c r="B5269" s="40"/>
      <c r="C5269" s="40"/>
      <c r="E5269" s="80"/>
    </row>
    <row r="5270" spans="2:5" x14ac:dyDescent="0.25">
      <c r="B5270" s="40"/>
      <c r="C5270" s="40"/>
      <c r="E5270" s="80"/>
    </row>
    <row r="5271" spans="2:5" x14ac:dyDescent="0.25">
      <c r="B5271" s="40"/>
      <c r="C5271" s="40"/>
      <c r="E5271" s="80"/>
    </row>
    <row r="5272" spans="2:5" x14ac:dyDescent="0.25">
      <c r="B5272" s="40"/>
      <c r="C5272" s="40"/>
      <c r="E5272" s="80"/>
    </row>
    <row r="5273" spans="2:5" x14ac:dyDescent="0.25">
      <c r="B5273" s="40"/>
      <c r="C5273" s="40"/>
      <c r="E5273" s="80"/>
    </row>
    <row r="5274" spans="2:5" x14ac:dyDescent="0.25">
      <c r="B5274" s="40"/>
      <c r="C5274" s="40"/>
      <c r="E5274" s="80"/>
    </row>
    <row r="5275" spans="2:5" x14ac:dyDescent="0.25">
      <c r="B5275" s="40"/>
      <c r="C5275" s="40"/>
      <c r="E5275" s="80"/>
    </row>
    <row r="5276" spans="2:5" x14ac:dyDescent="0.25">
      <c r="B5276" s="40"/>
      <c r="C5276" s="40"/>
      <c r="E5276" s="80"/>
    </row>
    <row r="5277" spans="2:5" x14ac:dyDescent="0.25">
      <c r="B5277" s="40"/>
      <c r="C5277" s="40"/>
      <c r="E5277" s="80"/>
    </row>
    <row r="5278" spans="2:5" x14ac:dyDescent="0.25">
      <c r="B5278" s="40"/>
      <c r="C5278" s="40"/>
      <c r="E5278" s="80"/>
    </row>
    <row r="5279" spans="2:5" x14ac:dyDescent="0.25">
      <c r="B5279" s="40"/>
      <c r="C5279" s="40"/>
      <c r="E5279" s="80"/>
    </row>
    <row r="5280" spans="2:5" x14ac:dyDescent="0.25">
      <c r="B5280" s="40"/>
      <c r="C5280" s="40"/>
      <c r="E5280" s="80"/>
    </row>
    <row r="5281" spans="2:5" x14ac:dyDescent="0.25">
      <c r="B5281" s="40"/>
      <c r="C5281" s="40"/>
      <c r="E5281" s="80"/>
    </row>
    <row r="5282" spans="2:5" x14ac:dyDescent="0.25">
      <c r="B5282" s="40"/>
      <c r="C5282" s="40"/>
      <c r="E5282" s="80"/>
    </row>
    <row r="5283" spans="2:5" x14ac:dyDescent="0.25">
      <c r="B5283" s="40"/>
      <c r="C5283" s="40"/>
      <c r="E5283" s="80"/>
    </row>
    <row r="5284" spans="2:5" x14ac:dyDescent="0.25">
      <c r="B5284" s="40"/>
      <c r="C5284" s="40"/>
      <c r="E5284" s="80"/>
    </row>
    <row r="5285" spans="2:5" x14ac:dyDescent="0.25">
      <c r="B5285" s="40"/>
      <c r="C5285" s="40"/>
      <c r="E5285" s="80"/>
    </row>
    <row r="5286" spans="2:5" x14ac:dyDescent="0.25">
      <c r="B5286" s="40"/>
      <c r="C5286" s="40"/>
      <c r="E5286" s="80"/>
    </row>
    <row r="5287" spans="2:5" x14ac:dyDescent="0.25">
      <c r="B5287" s="40"/>
      <c r="C5287" s="40"/>
      <c r="E5287" s="80"/>
    </row>
    <row r="5288" spans="2:5" x14ac:dyDescent="0.25">
      <c r="B5288" s="40"/>
      <c r="C5288" s="40"/>
      <c r="E5288" s="80"/>
    </row>
    <row r="5289" spans="2:5" x14ac:dyDescent="0.25">
      <c r="B5289" s="40"/>
      <c r="C5289" s="40"/>
      <c r="E5289" s="80"/>
    </row>
    <row r="5290" spans="2:5" x14ac:dyDescent="0.25">
      <c r="B5290" s="40"/>
      <c r="C5290" s="40"/>
      <c r="E5290" s="80"/>
    </row>
    <row r="5291" spans="2:5" x14ac:dyDescent="0.25">
      <c r="B5291" s="40"/>
      <c r="C5291" s="40"/>
      <c r="E5291" s="80"/>
    </row>
    <row r="5292" spans="2:5" x14ac:dyDescent="0.25">
      <c r="B5292" s="40"/>
      <c r="C5292" s="40"/>
      <c r="E5292" s="80"/>
    </row>
    <row r="5293" spans="2:5" x14ac:dyDescent="0.25">
      <c r="B5293" s="40"/>
      <c r="C5293" s="40"/>
      <c r="E5293" s="80"/>
    </row>
    <row r="5294" spans="2:5" x14ac:dyDescent="0.25">
      <c r="B5294" s="40"/>
      <c r="C5294" s="40"/>
      <c r="E5294" s="80"/>
    </row>
    <row r="5295" spans="2:5" x14ac:dyDescent="0.25">
      <c r="B5295" s="40"/>
      <c r="C5295" s="40"/>
      <c r="E5295" s="80"/>
    </row>
    <row r="5296" spans="2:5" x14ac:dyDescent="0.25">
      <c r="B5296" s="40"/>
      <c r="C5296" s="40"/>
      <c r="E5296" s="80"/>
    </row>
    <row r="5297" spans="2:5" x14ac:dyDescent="0.25">
      <c r="B5297" s="40"/>
      <c r="C5297" s="40"/>
      <c r="E5297" s="80"/>
    </row>
    <row r="5298" spans="2:5" x14ac:dyDescent="0.25">
      <c r="B5298" s="40"/>
      <c r="C5298" s="40"/>
      <c r="E5298" s="80"/>
    </row>
    <row r="5299" spans="2:5" x14ac:dyDescent="0.25">
      <c r="B5299" s="40"/>
      <c r="C5299" s="40"/>
      <c r="E5299" s="80"/>
    </row>
    <row r="5300" spans="2:5" x14ac:dyDescent="0.25">
      <c r="B5300" s="40"/>
      <c r="C5300" s="40"/>
      <c r="E5300" s="80"/>
    </row>
    <row r="5301" spans="2:5" x14ac:dyDescent="0.25">
      <c r="B5301" s="40"/>
      <c r="C5301" s="40"/>
      <c r="E5301" s="80"/>
    </row>
    <row r="5302" spans="2:5" x14ac:dyDescent="0.25">
      <c r="B5302" s="40"/>
      <c r="C5302" s="40"/>
      <c r="E5302" s="80"/>
    </row>
    <row r="5303" spans="2:5" x14ac:dyDescent="0.25">
      <c r="B5303" s="40"/>
      <c r="C5303" s="40"/>
      <c r="E5303" s="80"/>
    </row>
    <row r="5304" spans="2:5" x14ac:dyDescent="0.25">
      <c r="B5304" s="40"/>
      <c r="C5304" s="40"/>
      <c r="E5304" s="80"/>
    </row>
    <row r="5305" spans="2:5" x14ac:dyDescent="0.25">
      <c r="B5305" s="40"/>
      <c r="C5305" s="40"/>
      <c r="E5305" s="80"/>
    </row>
    <row r="5306" spans="2:5" x14ac:dyDescent="0.25">
      <c r="B5306" s="40"/>
      <c r="C5306" s="40"/>
      <c r="E5306" s="80"/>
    </row>
    <row r="5307" spans="2:5" x14ac:dyDescent="0.25">
      <c r="B5307" s="40"/>
      <c r="C5307" s="40"/>
      <c r="E5307" s="80"/>
    </row>
    <row r="5308" spans="2:5" x14ac:dyDescent="0.25">
      <c r="B5308" s="40"/>
      <c r="C5308" s="40"/>
      <c r="E5308" s="80"/>
    </row>
    <row r="5309" spans="2:5" x14ac:dyDescent="0.25">
      <c r="B5309" s="40"/>
      <c r="C5309" s="40"/>
      <c r="E5309" s="80"/>
    </row>
    <row r="5310" spans="2:5" x14ac:dyDescent="0.25">
      <c r="B5310" s="40"/>
      <c r="C5310" s="40"/>
      <c r="E5310" s="80"/>
    </row>
    <row r="5311" spans="2:5" x14ac:dyDescent="0.25">
      <c r="B5311" s="40"/>
      <c r="C5311" s="40"/>
      <c r="E5311" s="80"/>
    </row>
    <row r="5312" spans="2:5" x14ac:dyDescent="0.25">
      <c r="B5312" s="40"/>
      <c r="C5312" s="40"/>
      <c r="E5312" s="80"/>
    </row>
    <row r="5313" spans="2:5" x14ac:dyDescent="0.25">
      <c r="B5313" s="40"/>
      <c r="C5313" s="40"/>
      <c r="E5313" s="80"/>
    </row>
    <row r="5314" spans="2:5" x14ac:dyDescent="0.25">
      <c r="B5314" s="40"/>
      <c r="C5314" s="40"/>
      <c r="E5314" s="80"/>
    </row>
    <row r="5315" spans="2:5" x14ac:dyDescent="0.25">
      <c r="B5315" s="40"/>
      <c r="C5315" s="40"/>
      <c r="E5315" s="80"/>
    </row>
    <row r="5316" spans="2:5" x14ac:dyDescent="0.25">
      <c r="B5316" s="40"/>
      <c r="C5316" s="40"/>
      <c r="E5316" s="80"/>
    </row>
    <row r="5317" spans="2:5" x14ac:dyDescent="0.25">
      <c r="B5317" s="40"/>
      <c r="C5317" s="40"/>
      <c r="E5317" s="80"/>
    </row>
    <row r="5318" spans="2:5" x14ac:dyDescent="0.25">
      <c r="B5318" s="40"/>
      <c r="C5318" s="40"/>
      <c r="E5318" s="80"/>
    </row>
    <row r="5319" spans="2:5" x14ac:dyDescent="0.25">
      <c r="B5319" s="40"/>
      <c r="C5319" s="40"/>
      <c r="E5319" s="80"/>
    </row>
    <row r="5320" spans="2:5" x14ac:dyDescent="0.25">
      <c r="B5320" s="40"/>
      <c r="C5320" s="40"/>
      <c r="E5320" s="80"/>
    </row>
    <row r="5321" spans="2:5" x14ac:dyDescent="0.25">
      <c r="B5321" s="40"/>
      <c r="C5321" s="40"/>
      <c r="E5321" s="80"/>
    </row>
    <row r="5322" spans="2:5" x14ac:dyDescent="0.25">
      <c r="B5322" s="40"/>
      <c r="C5322" s="40"/>
      <c r="E5322" s="80"/>
    </row>
    <row r="5323" spans="2:5" x14ac:dyDescent="0.25">
      <c r="B5323" s="40"/>
      <c r="C5323" s="40"/>
      <c r="E5323" s="80"/>
    </row>
    <row r="5324" spans="2:5" x14ac:dyDescent="0.25">
      <c r="B5324" s="40"/>
      <c r="C5324" s="40"/>
      <c r="E5324" s="80"/>
    </row>
    <row r="5325" spans="2:5" x14ac:dyDescent="0.25">
      <c r="B5325" s="40"/>
      <c r="C5325" s="40"/>
      <c r="E5325" s="80"/>
    </row>
    <row r="5326" spans="2:5" x14ac:dyDescent="0.25">
      <c r="B5326" s="40"/>
      <c r="C5326" s="40"/>
      <c r="E5326" s="80"/>
    </row>
    <row r="5327" spans="2:5" x14ac:dyDescent="0.25">
      <c r="B5327" s="40"/>
      <c r="C5327" s="40"/>
      <c r="E5327" s="80"/>
    </row>
    <row r="5328" spans="2:5" x14ac:dyDescent="0.25">
      <c r="B5328" s="40"/>
      <c r="C5328" s="40"/>
      <c r="E5328" s="80"/>
    </row>
    <row r="5329" spans="2:5" x14ac:dyDescent="0.25">
      <c r="B5329" s="40"/>
      <c r="C5329" s="40"/>
      <c r="E5329" s="80"/>
    </row>
    <row r="5330" spans="2:5" x14ac:dyDescent="0.25">
      <c r="B5330" s="40"/>
      <c r="C5330" s="40"/>
      <c r="E5330" s="80"/>
    </row>
    <row r="5331" spans="2:5" x14ac:dyDescent="0.25">
      <c r="B5331" s="40"/>
      <c r="C5331" s="40"/>
      <c r="E5331" s="80"/>
    </row>
    <row r="5332" spans="2:5" x14ac:dyDescent="0.25">
      <c r="B5332" s="40"/>
      <c r="C5332" s="40"/>
      <c r="E5332" s="80"/>
    </row>
    <row r="5333" spans="2:5" x14ac:dyDescent="0.25">
      <c r="B5333" s="40"/>
      <c r="C5333" s="40"/>
      <c r="E5333" s="80"/>
    </row>
    <row r="5334" spans="2:5" x14ac:dyDescent="0.25">
      <c r="B5334" s="40"/>
      <c r="C5334" s="40"/>
      <c r="E5334" s="80"/>
    </row>
    <row r="5335" spans="2:5" x14ac:dyDescent="0.25">
      <c r="B5335" s="40"/>
      <c r="C5335" s="40"/>
      <c r="E5335" s="80"/>
    </row>
    <row r="5336" spans="2:5" x14ac:dyDescent="0.25">
      <c r="B5336" s="40"/>
      <c r="C5336" s="40"/>
      <c r="E5336" s="80"/>
    </row>
    <row r="5337" spans="2:5" x14ac:dyDescent="0.25">
      <c r="B5337" s="40"/>
      <c r="C5337" s="40"/>
      <c r="E5337" s="80"/>
    </row>
    <row r="5338" spans="2:5" x14ac:dyDescent="0.25">
      <c r="B5338" s="40"/>
      <c r="C5338" s="40"/>
      <c r="E5338" s="80"/>
    </row>
    <row r="5339" spans="2:5" x14ac:dyDescent="0.25">
      <c r="B5339" s="40"/>
      <c r="C5339" s="40"/>
      <c r="E5339" s="80"/>
    </row>
    <row r="5340" spans="2:5" x14ac:dyDescent="0.25">
      <c r="B5340" s="40"/>
      <c r="C5340" s="40"/>
      <c r="E5340" s="80"/>
    </row>
    <row r="5341" spans="2:5" x14ac:dyDescent="0.25">
      <c r="B5341" s="40"/>
      <c r="C5341" s="40"/>
      <c r="E5341" s="80"/>
    </row>
    <row r="5342" spans="2:5" x14ac:dyDescent="0.25">
      <c r="B5342" s="40"/>
      <c r="C5342" s="40"/>
      <c r="E5342" s="80"/>
    </row>
    <row r="5343" spans="2:5" x14ac:dyDescent="0.25">
      <c r="B5343" s="40"/>
      <c r="C5343" s="40"/>
      <c r="E5343" s="80"/>
    </row>
    <row r="5344" spans="2:5" x14ac:dyDescent="0.25">
      <c r="B5344" s="40"/>
      <c r="C5344" s="40"/>
      <c r="E5344" s="80"/>
    </row>
    <row r="5345" spans="2:5" x14ac:dyDescent="0.25">
      <c r="B5345" s="40"/>
      <c r="C5345" s="40"/>
      <c r="E5345" s="80"/>
    </row>
    <row r="5346" spans="2:5" x14ac:dyDescent="0.25">
      <c r="B5346" s="40"/>
      <c r="C5346" s="40"/>
      <c r="E5346" s="80"/>
    </row>
    <row r="5347" spans="2:5" x14ac:dyDescent="0.25">
      <c r="B5347" s="40"/>
      <c r="C5347" s="40"/>
      <c r="E5347" s="80"/>
    </row>
    <row r="5348" spans="2:5" x14ac:dyDescent="0.25">
      <c r="B5348" s="40"/>
      <c r="C5348" s="40"/>
      <c r="E5348" s="80"/>
    </row>
    <row r="5349" spans="2:5" x14ac:dyDescent="0.25">
      <c r="B5349" s="40"/>
      <c r="C5349" s="40"/>
      <c r="E5349" s="80"/>
    </row>
    <row r="5350" spans="2:5" x14ac:dyDescent="0.25">
      <c r="B5350" s="40"/>
      <c r="C5350" s="40"/>
      <c r="E5350" s="80"/>
    </row>
    <row r="5351" spans="2:5" x14ac:dyDescent="0.25">
      <c r="B5351" s="40"/>
      <c r="C5351" s="40"/>
      <c r="E5351" s="80"/>
    </row>
    <row r="5352" spans="2:5" x14ac:dyDescent="0.25">
      <c r="B5352" s="40"/>
      <c r="C5352" s="40"/>
      <c r="E5352" s="80"/>
    </row>
    <row r="5353" spans="2:5" x14ac:dyDescent="0.25">
      <c r="B5353" s="40"/>
      <c r="C5353" s="40"/>
      <c r="E5353" s="80"/>
    </row>
    <row r="5354" spans="2:5" x14ac:dyDescent="0.25">
      <c r="B5354" s="40"/>
      <c r="C5354" s="40"/>
      <c r="E5354" s="80"/>
    </row>
    <row r="5355" spans="2:5" x14ac:dyDescent="0.25">
      <c r="B5355" s="40"/>
      <c r="C5355" s="40"/>
      <c r="E5355" s="80"/>
    </row>
    <row r="5356" spans="2:5" x14ac:dyDescent="0.25">
      <c r="B5356" s="40"/>
      <c r="C5356" s="40"/>
      <c r="E5356" s="80"/>
    </row>
    <row r="5357" spans="2:5" x14ac:dyDescent="0.25">
      <c r="B5357" s="40"/>
      <c r="C5357" s="40"/>
      <c r="E5357" s="80"/>
    </row>
    <row r="5358" spans="2:5" x14ac:dyDescent="0.25">
      <c r="B5358" s="40"/>
      <c r="C5358" s="40"/>
      <c r="E5358" s="80"/>
    </row>
    <row r="5359" spans="2:5" x14ac:dyDescent="0.25">
      <c r="B5359" s="40"/>
      <c r="C5359" s="40"/>
      <c r="E5359" s="80"/>
    </row>
    <row r="5360" spans="2:5" x14ac:dyDescent="0.25">
      <c r="B5360" s="40"/>
      <c r="C5360" s="40"/>
      <c r="E5360" s="80"/>
    </row>
    <row r="5361" spans="2:5" x14ac:dyDescent="0.25">
      <c r="B5361" s="40"/>
      <c r="C5361" s="40"/>
      <c r="E5361" s="80"/>
    </row>
    <row r="5362" spans="2:5" x14ac:dyDescent="0.25">
      <c r="B5362" s="40"/>
      <c r="C5362" s="40"/>
      <c r="E5362" s="80"/>
    </row>
    <row r="5363" spans="2:5" x14ac:dyDescent="0.25">
      <c r="B5363" s="40"/>
      <c r="C5363" s="40"/>
      <c r="E5363" s="80"/>
    </row>
    <row r="5364" spans="2:5" x14ac:dyDescent="0.25">
      <c r="B5364" s="40"/>
      <c r="C5364" s="40"/>
      <c r="E5364" s="80"/>
    </row>
    <row r="5365" spans="2:5" x14ac:dyDescent="0.25">
      <c r="B5365" s="40"/>
      <c r="C5365" s="40"/>
      <c r="E5365" s="80"/>
    </row>
    <row r="5366" spans="2:5" x14ac:dyDescent="0.25">
      <c r="B5366" s="40"/>
      <c r="C5366" s="40"/>
      <c r="E5366" s="80"/>
    </row>
    <row r="5367" spans="2:5" x14ac:dyDescent="0.25">
      <c r="B5367" s="40"/>
      <c r="C5367" s="40"/>
      <c r="E5367" s="80"/>
    </row>
    <row r="5368" spans="2:5" x14ac:dyDescent="0.25">
      <c r="B5368" s="40"/>
      <c r="C5368" s="40"/>
      <c r="E5368" s="80"/>
    </row>
    <row r="5369" spans="2:5" x14ac:dyDescent="0.25">
      <c r="B5369" s="40"/>
      <c r="C5369" s="40"/>
      <c r="E5369" s="80"/>
    </row>
    <row r="5370" spans="2:5" x14ac:dyDescent="0.25">
      <c r="B5370" s="40"/>
      <c r="C5370" s="40"/>
      <c r="E5370" s="80"/>
    </row>
    <row r="5371" spans="2:5" x14ac:dyDescent="0.25">
      <c r="B5371" s="40"/>
      <c r="C5371" s="40"/>
      <c r="E5371" s="80"/>
    </row>
    <row r="5372" spans="2:5" x14ac:dyDescent="0.25">
      <c r="B5372" s="40"/>
      <c r="C5372" s="40"/>
      <c r="E5372" s="80"/>
    </row>
    <row r="5373" spans="2:5" x14ac:dyDescent="0.25">
      <c r="B5373" s="40"/>
      <c r="C5373" s="40"/>
      <c r="E5373" s="80"/>
    </row>
    <row r="5374" spans="2:5" x14ac:dyDescent="0.25">
      <c r="B5374" s="40"/>
      <c r="C5374" s="40"/>
      <c r="E5374" s="80"/>
    </row>
    <row r="5375" spans="2:5" x14ac:dyDescent="0.25">
      <c r="B5375" s="40"/>
      <c r="C5375" s="40"/>
      <c r="E5375" s="80"/>
    </row>
    <row r="5376" spans="2:5" x14ac:dyDescent="0.25">
      <c r="B5376" s="40"/>
      <c r="C5376" s="40"/>
      <c r="E5376" s="80"/>
    </row>
    <row r="5377" spans="2:5" x14ac:dyDescent="0.25">
      <c r="B5377" s="40"/>
      <c r="C5377" s="40"/>
      <c r="E5377" s="80"/>
    </row>
    <row r="5378" spans="2:5" x14ac:dyDescent="0.25">
      <c r="B5378" s="40"/>
      <c r="C5378" s="40"/>
      <c r="E5378" s="80"/>
    </row>
    <row r="5379" spans="2:5" x14ac:dyDescent="0.25">
      <c r="B5379" s="40"/>
      <c r="C5379" s="40"/>
      <c r="E5379" s="80"/>
    </row>
    <row r="5380" spans="2:5" x14ac:dyDescent="0.25">
      <c r="B5380" s="40"/>
      <c r="C5380" s="40"/>
      <c r="E5380" s="80"/>
    </row>
    <row r="5381" spans="2:5" x14ac:dyDescent="0.25">
      <c r="B5381" s="40"/>
      <c r="C5381" s="40"/>
      <c r="E5381" s="80"/>
    </row>
    <row r="5382" spans="2:5" x14ac:dyDescent="0.25">
      <c r="B5382" s="40"/>
      <c r="C5382" s="40"/>
      <c r="E5382" s="80"/>
    </row>
    <row r="5383" spans="2:5" x14ac:dyDescent="0.25">
      <c r="B5383" s="40"/>
      <c r="C5383" s="40"/>
      <c r="E5383" s="80"/>
    </row>
    <row r="5384" spans="2:5" x14ac:dyDescent="0.25">
      <c r="B5384" s="40"/>
      <c r="C5384" s="40"/>
      <c r="E5384" s="80"/>
    </row>
    <row r="5385" spans="2:5" x14ac:dyDescent="0.25">
      <c r="B5385" s="40"/>
      <c r="C5385" s="40"/>
      <c r="E5385" s="80"/>
    </row>
    <row r="5386" spans="2:5" x14ac:dyDescent="0.25">
      <c r="B5386" s="40"/>
      <c r="C5386" s="40"/>
      <c r="E5386" s="80"/>
    </row>
    <row r="5387" spans="2:5" x14ac:dyDescent="0.25">
      <c r="B5387" s="40"/>
      <c r="C5387" s="40"/>
      <c r="E5387" s="80"/>
    </row>
    <row r="5388" spans="2:5" x14ac:dyDescent="0.25">
      <c r="B5388" s="40"/>
      <c r="C5388" s="40"/>
      <c r="E5388" s="80"/>
    </row>
    <row r="5389" spans="2:5" x14ac:dyDescent="0.25">
      <c r="B5389" s="40"/>
      <c r="C5389" s="40"/>
      <c r="E5389" s="80"/>
    </row>
    <row r="5390" spans="2:5" x14ac:dyDescent="0.25">
      <c r="B5390" s="40"/>
      <c r="C5390" s="40"/>
      <c r="E5390" s="80"/>
    </row>
    <row r="5391" spans="2:5" x14ac:dyDescent="0.25">
      <c r="B5391" s="40"/>
      <c r="C5391" s="40"/>
      <c r="E5391" s="80"/>
    </row>
    <row r="5392" spans="2:5" x14ac:dyDescent="0.25">
      <c r="B5392" s="40"/>
      <c r="C5392" s="40"/>
      <c r="E5392" s="80"/>
    </row>
    <row r="5393" spans="2:5" x14ac:dyDescent="0.25">
      <c r="B5393" s="40"/>
      <c r="C5393" s="40"/>
      <c r="E5393" s="80"/>
    </row>
    <row r="5394" spans="2:5" x14ac:dyDescent="0.25">
      <c r="B5394" s="40"/>
      <c r="C5394" s="40"/>
      <c r="E5394" s="80"/>
    </row>
    <row r="5395" spans="2:5" x14ac:dyDescent="0.25">
      <c r="B5395" s="40"/>
      <c r="C5395" s="40"/>
      <c r="E5395" s="80"/>
    </row>
    <row r="5396" spans="2:5" x14ac:dyDescent="0.25">
      <c r="B5396" s="40"/>
      <c r="C5396" s="40"/>
      <c r="E5396" s="80"/>
    </row>
    <row r="5397" spans="2:5" x14ac:dyDescent="0.25">
      <c r="B5397" s="40"/>
      <c r="C5397" s="40"/>
      <c r="E5397" s="80"/>
    </row>
    <row r="5398" spans="2:5" x14ac:dyDescent="0.25">
      <c r="B5398" s="40"/>
      <c r="C5398" s="40"/>
      <c r="E5398" s="80"/>
    </row>
    <row r="5399" spans="2:5" x14ac:dyDescent="0.25">
      <c r="B5399" s="40"/>
      <c r="C5399" s="40"/>
      <c r="E5399" s="80"/>
    </row>
    <row r="5400" spans="2:5" x14ac:dyDescent="0.25">
      <c r="B5400" s="40"/>
      <c r="C5400" s="40"/>
      <c r="E5400" s="80"/>
    </row>
    <row r="5401" spans="2:5" x14ac:dyDescent="0.25">
      <c r="B5401" s="40"/>
      <c r="C5401" s="40"/>
      <c r="E5401" s="80"/>
    </row>
    <row r="5402" spans="2:5" x14ac:dyDescent="0.25">
      <c r="B5402" s="40"/>
      <c r="C5402" s="40"/>
      <c r="E5402" s="80"/>
    </row>
    <row r="5403" spans="2:5" x14ac:dyDescent="0.25">
      <c r="B5403" s="40"/>
      <c r="C5403" s="40"/>
      <c r="E5403" s="80"/>
    </row>
    <row r="5404" spans="2:5" x14ac:dyDescent="0.25">
      <c r="B5404" s="40"/>
      <c r="C5404" s="40"/>
      <c r="E5404" s="80"/>
    </row>
    <row r="5405" spans="2:5" x14ac:dyDescent="0.25">
      <c r="B5405" s="40"/>
      <c r="C5405" s="40"/>
      <c r="E5405" s="80"/>
    </row>
    <row r="5406" spans="2:5" x14ac:dyDescent="0.25">
      <c r="B5406" s="40"/>
      <c r="C5406" s="40"/>
      <c r="E5406" s="80"/>
    </row>
    <row r="5407" spans="2:5" x14ac:dyDescent="0.25">
      <c r="B5407" s="40"/>
      <c r="C5407" s="40"/>
      <c r="E5407" s="80"/>
    </row>
    <row r="5408" spans="2:5" x14ac:dyDescent="0.25">
      <c r="B5408" s="40"/>
      <c r="C5408" s="40"/>
      <c r="E5408" s="80"/>
    </row>
    <row r="5409" spans="2:5" x14ac:dyDescent="0.25">
      <c r="B5409" s="40"/>
      <c r="C5409" s="40"/>
      <c r="E5409" s="80"/>
    </row>
    <row r="5410" spans="2:5" x14ac:dyDescent="0.25">
      <c r="B5410" s="40"/>
      <c r="C5410" s="40"/>
      <c r="E5410" s="80"/>
    </row>
    <row r="5411" spans="2:5" x14ac:dyDescent="0.25">
      <c r="B5411" s="40"/>
      <c r="C5411" s="40"/>
      <c r="E5411" s="80"/>
    </row>
    <row r="5412" spans="2:5" x14ac:dyDescent="0.25">
      <c r="B5412" s="40"/>
      <c r="C5412" s="40"/>
      <c r="E5412" s="80"/>
    </row>
    <row r="5413" spans="2:5" x14ac:dyDescent="0.25">
      <c r="B5413" s="40"/>
      <c r="C5413" s="40"/>
      <c r="E5413" s="80"/>
    </row>
    <row r="5414" spans="2:5" x14ac:dyDescent="0.25">
      <c r="B5414" s="40"/>
      <c r="C5414" s="40"/>
      <c r="E5414" s="80"/>
    </row>
    <row r="5415" spans="2:5" x14ac:dyDescent="0.25">
      <c r="B5415" s="40"/>
      <c r="C5415" s="40"/>
      <c r="E5415" s="80"/>
    </row>
    <row r="5416" spans="2:5" x14ac:dyDescent="0.25">
      <c r="B5416" s="40"/>
      <c r="C5416" s="40"/>
      <c r="E5416" s="80"/>
    </row>
    <row r="5417" spans="2:5" x14ac:dyDescent="0.25">
      <c r="B5417" s="40"/>
      <c r="C5417" s="40"/>
      <c r="E5417" s="80"/>
    </row>
    <row r="5418" spans="2:5" x14ac:dyDescent="0.25">
      <c r="B5418" s="40"/>
      <c r="C5418" s="40"/>
      <c r="E5418" s="80"/>
    </row>
    <row r="5419" spans="2:5" x14ac:dyDescent="0.25">
      <c r="B5419" s="40"/>
      <c r="C5419" s="40"/>
      <c r="E5419" s="80"/>
    </row>
    <row r="5420" spans="2:5" x14ac:dyDescent="0.25">
      <c r="B5420" s="40"/>
      <c r="C5420" s="40"/>
      <c r="E5420" s="80"/>
    </row>
    <row r="5421" spans="2:5" x14ac:dyDescent="0.25">
      <c r="B5421" s="40"/>
      <c r="C5421" s="40"/>
      <c r="E5421" s="80"/>
    </row>
    <row r="5422" spans="2:5" x14ac:dyDescent="0.25">
      <c r="B5422" s="40"/>
      <c r="C5422" s="40"/>
      <c r="E5422" s="80"/>
    </row>
    <row r="5423" spans="2:5" x14ac:dyDescent="0.25">
      <c r="B5423" s="40"/>
      <c r="C5423" s="40"/>
      <c r="E5423" s="80"/>
    </row>
    <row r="5424" spans="2:5" x14ac:dyDescent="0.25">
      <c r="B5424" s="40"/>
      <c r="C5424" s="40"/>
      <c r="E5424" s="80"/>
    </row>
    <row r="5425" spans="2:5" x14ac:dyDescent="0.25">
      <c r="B5425" s="40"/>
      <c r="C5425" s="40"/>
      <c r="E5425" s="80"/>
    </row>
    <row r="5426" spans="2:5" x14ac:dyDescent="0.25">
      <c r="B5426" s="40"/>
      <c r="C5426" s="40"/>
      <c r="E5426" s="80"/>
    </row>
    <row r="5427" spans="2:5" x14ac:dyDescent="0.25">
      <c r="B5427" s="40"/>
      <c r="C5427" s="40"/>
      <c r="E5427" s="80"/>
    </row>
    <row r="5428" spans="2:5" x14ac:dyDescent="0.25">
      <c r="B5428" s="40"/>
      <c r="C5428" s="40"/>
      <c r="E5428" s="80"/>
    </row>
    <row r="5429" spans="2:5" x14ac:dyDescent="0.25">
      <c r="B5429" s="40"/>
      <c r="C5429" s="40"/>
      <c r="E5429" s="80"/>
    </row>
    <row r="5430" spans="2:5" x14ac:dyDescent="0.25">
      <c r="B5430" s="40"/>
      <c r="C5430" s="40"/>
      <c r="E5430" s="80"/>
    </row>
    <row r="5431" spans="2:5" x14ac:dyDescent="0.25">
      <c r="B5431" s="40"/>
      <c r="C5431" s="40"/>
      <c r="E5431" s="80"/>
    </row>
    <row r="5432" spans="2:5" x14ac:dyDescent="0.25">
      <c r="B5432" s="40"/>
      <c r="C5432" s="40"/>
      <c r="E5432" s="80"/>
    </row>
    <row r="5433" spans="2:5" x14ac:dyDescent="0.25">
      <c r="B5433" s="40"/>
      <c r="C5433" s="40"/>
      <c r="E5433" s="80"/>
    </row>
    <row r="5434" spans="2:5" x14ac:dyDescent="0.25">
      <c r="B5434" s="40"/>
      <c r="C5434" s="40"/>
      <c r="E5434" s="80"/>
    </row>
    <row r="5435" spans="2:5" x14ac:dyDescent="0.25">
      <c r="B5435" s="40"/>
      <c r="C5435" s="40"/>
      <c r="E5435" s="80"/>
    </row>
    <row r="5436" spans="2:5" x14ac:dyDescent="0.25">
      <c r="B5436" s="40"/>
      <c r="C5436" s="40"/>
      <c r="E5436" s="80"/>
    </row>
    <row r="5437" spans="2:5" x14ac:dyDescent="0.25">
      <c r="B5437" s="40"/>
      <c r="C5437" s="40"/>
      <c r="E5437" s="80"/>
    </row>
    <row r="5438" spans="2:5" x14ac:dyDescent="0.25">
      <c r="B5438" s="40"/>
      <c r="C5438" s="40"/>
      <c r="E5438" s="80"/>
    </row>
    <row r="5439" spans="2:5" x14ac:dyDescent="0.25">
      <c r="B5439" s="40"/>
      <c r="C5439" s="40"/>
      <c r="E5439" s="80"/>
    </row>
    <row r="5440" spans="2:5" x14ac:dyDescent="0.25">
      <c r="B5440" s="40"/>
      <c r="C5440" s="40"/>
      <c r="E5440" s="80"/>
    </row>
    <row r="5441" spans="2:5" x14ac:dyDescent="0.25">
      <c r="B5441" s="40"/>
      <c r="C5441" s="40"/>
      <c r="E5441" s="80"/>
    </row>
    <row r="5442" spans="2:5" x14ac:dyDescent="0.25">
      <c r="B5442" s="40"/>
      <c r="C5442" s="40"/>
      <c r="E5442" s="80"/>
    </row>
    <row r="5443" spans="2:5" x14ac:dyDescent="0.25">
      <c r="B5443" s="40"/>
      <c r="C5443" s="40"/>
      <c r="E5443" s="80"/>
    </row>
    <row r="5444" spans="2:5" x14ac:dyDescent="0.25">
      <c r="B5444" s="40"/>
      <c r="C5444" s="40"/>
      <c r="E5444" s="80"/>
    </row>
    <row r="5445" spans="2:5" x14ac:dyDescent="0.25">
      <c r="B5445" s="40"/>
      <c r="C5445" s="40"/>
      <c r="E5445" s="80"/>
    </row>
    <row r="5446" spans="2:5" x14ac:dyDescent="0.25">
      <c r="B5446" s="40"/>
      <c r="C5446" s="40"/>
      <c r="E5446" s="80"/>
    </row>
    <row r="5447" spans="2:5" x14ac:dyDescent="0.25">
      <c r="B5447" s="40"/>
      <c r="C5447" s="40"/>
      <c r="E5447" s="80"/>
    </row>
    <row r="5448" spans="2:5" x14ac:dyDescent="0.25">
      <c r="B5448" s="40"/>
      <c r="C5448" s="40"/>
      <c r="E5448" s="80"/>
    </row>
    <row r="5449" spans="2:5" x14ac:dyDescent="0.25">
      <c r="B5449" s="40"/>
      <c r="C5449" s="40"/>
      <c r="E5449" s="80"/>
    </row>
    <row r="5450" spans="2:5" x14ac:dyDescent="0.25">
      <c r="B5450" s="40"/>
      <c r="C5450" s="40"/>
      <c r="E5450" s="80"/>
    </row>
    <row r="5451" spans="2:5" x14ac:dyDescent="0.25">
      <c r="B5451" s="40"/>
      <c r="C5451" s="40"/>
      <c r="E5451" s="80"/>
    </row>
    <row r="5452" spans="2:5" x14ac:dyDescent="0.25">
      <c r="B5452" s="40"/>
      <c r="C5452" s="40"/>
      <c r="E5452" s="80"/>
    </row>
    <row r="5453" spans="2:5" x14ac:dyDescent="0.25">
      <c r="B5453" s="40"/>
      <c r="C5453" s="40"/>
      <c r="E5453" s="80"/>
    </row>
    <row r="5454" spans="2:5" x14ac:dyDescent="0.25">
      <c r="B5454" s="40"/>
      <c r="C5454" s="40"/>
      <c r="E5454" s="80"/>
    </row>
    <row r="5455" spans="2:5" x14ac:dyDescent="0.25">
      <c r="B5455" s="40"/>
      <c r="C5455" s="40"/>
      <c r="E5455" s="80"/>
    </row>
    <row r="5456" spans="2:5" x14ac:dyDescent="0.25">
      <c r="B5456" s="40"/>
      <c r="C5456" s="40"/>
      <c r="E5456" s="80"/>
    </row>
    <row r="5457" spans="2:5" x14ac:dyDescent="0.25">
      <c r="B5457" s="40"/>
      <c r="C5457" s="40"/>
      <c r="E5457" s="80"/>
    </row>
    <row r="5458" spans="2:5" x14ac:dyDescent="0.25">
      <c r="B5458" s="40"/>
      <c r="C5458" s="40"/>
      <c r="E5458" s="80"/>
    </row>
    <row r="5459" spans="2:5" x14ac:dyDescent="0.25">
      <c r="B5459" s="40"/>
      <c r="C5459" s="40"/>
      <c r="E5459" s="80"/>
    </row>
    <row r="5460" spans="2:5" x14ac:dyDescent="0.25">
      <c r="B5460" s="40"/>
      <c r="C5460" s="40"/>
      <c r="E5460" s="80"/>
    </row>
    <row r="5461" spans="2:5" x14ac:dyDescent="0.25">
      <c r="B5461" s="40"/>
      <c r="C5461" s="40"/>
      <c r="E5461" s="80"/>
    </row>
    <row r="5462" spans="2:5" x14ac:dyDescent="0.25">
      <c r="B5462" s="40"/>
      <c r="C5462" s="40"/>
      <c r="E5462" s="80"/>
    </row>
    <row r="5463" spans="2:5" x14ac:dyDescent="0.25">
      <c r="B5463" s="40"/>
      <c r="C5463" s="40"/>
      <c r="E5463" s="80"/>
    </row>
    <row r="5464" spans="2:5" x14ac:dyDescent="0.25">
      <c r="B5464" s="40"/>
      <c r="C5464" s="40"/>
      <c r="E5464" s="80"/>
    </row>
    <row r="5465" spans="2:5" x14ac:dyDescent="0.25">
      <c r="B5465" s="40"/>
      <c r="C5465" s="40"/>
      <c r="E5465" s="80"/>
    </row>
    <row r="5466" spans="2:5" x14ac:dyDescent="0.25">
      <c r="B5466" s="40"/>
      <c r="C5466" s="40"/>
      <c r="E5466" s="80"/>
    </row>
    <row r="5467" spans="2:5" x14ac:dyDescent="0.25">
      <c r="B5467" s="40"/>
      <c r="C5467" s="40"/>
      <c r="E5467" s="80"/>
    </row>
    <row r="5468" spans="2:5" x14ac:dyDescent="0.25">
      <c r="B5468" s="40"/>
      <c r="C5468" s="40"/>
      <c r="E5468" s="80"/>
    </row>
    <row r="5469" spans="2:5" x14ac:dyDescent="0.25">
      <c r="B5469" s="40"/>
      <c r="C5469" s="40"/>
      <c r="E5469" s="80"/>
    </row>
    <row r="5470" spans="2:5" x14ac:dyDescent="0.25">
      <c r="B5470" s="40"/>
      <c r="C5470" s="40"/>
      <c r="E5470" s="80"/>
    </row>
    <row r="5471" spans="2:5" x14ac:dyDescent="0.25">
      <c r="B5471" s="40"/>
      <c r="C5471" s="40"/>
      <c r="E5471" s="80"/>
    </row>
    <row r="5472" spans="2:5" x14ac:dyDescent="0.25">
      <c r="B5472" s="40"/>
      <c r="C5472" s="40"/>
      <c r="E5472" s="80"/>
    </row>
    <row r="5473" spans="2:5" x14ac:dyDescent="0.25">
      <c r="B5473" s="40"/>
      <c r="C5473" s="40"/>
      <c r="E5473" s="80"/>
    </row>
    <row r="5474" spans="2:5" x14ac:dyDescent="0.25">
      <c r="B5474" s="40"/>
      <c r="C5474" s="40"/>
      <c r="E5474" s="80"/>
    </row>
    <row r="5475" spans="2:5" x14ac:dyDescent="0.25">
      <c r="B5475" s="40"/>
      <c r="C5475" s="40"/>
      <c r="E5475" s="80"/>
    </row>
    <row r="5476" spans="2:5" x14ac:dyDescent="0.25">
      <c r="B5476" s="40"/>
      <c r="C5476" s="40"/>
      <c r="E5476" s="80"/>
    </row>
    <row r="5477" spans="2:5" x14ac:dyDescent="0.25">
      <c r="B5477" s="40"/>
      <c r="C5477" s="40"/>
      <c r="E5477" s="80"/>
    </row>
    <row r="5478" spans="2:5" x14ac:dyDescent="0.25">
      <c r="B5478" s="40"/>
      <c r="C5478" s="40"/>
      <c r="E5478" s="80"/>
    </row>
    <row r="5479" spans="2:5" x14ac:dyDescent="0.25">
      <c r="B5479" s="40"/>
      <c r="C5479" s="40"/>
      <c r="E5479" s="80"/>
    </row>
    <row r="5480" spans="2:5" x14ac:dyDescent="0.25">
      <c r="B5480" s="40"/>
      <c r="C5480" s="40"/>
      <c r="E5480" s="80"/>
    </row>
    <row r="5481" spans="2:5" x14ac:dyDescent="0.25">
      <c r="B5481" s="40"/>
      <c r="C5481" s="40"/>
      <c r="E5481" s="80"/>
    </row>
    <row r="5482" spans="2:5" x14ac:dyDescent="0.25">
      <c r="B5482" s="40"/>
      <c r="C5482" s="40"/>
      <c r="E5482" s="80"/>
    </row>
    <row r="5483" spans="2:5" x14ac:dyDescent="0.25">
      <c r="B5483" s="40"/>
      <c r="C5483" s="40"/>
      <c r="E5483" s="80"/>
    </row>
    <row r="5484" spans="2:5" x14ac:dyDescent="0.25">
      <c r="B5484" s="40"/>
      <c r="C5484" s="40"/>
      <c r="E5484" s="80"/>
    </row>
    <row r="5485" spans="2:5" x14ac:dyDescent="0.25">
      <c r="B5485" s="40"/>
      <c r="C5485" s="40"/>
      <c r="E5485" s="80"/>
    </row>
    <row r="5486" spans="2:5" x14ac:dyDescent="0.25">
      <c r="B5486" s="40"/>
      <c r="C5486" s="40"/>
      <c r="E5486" s="80"/>
    </row>
    <row r="5487" spans="2:5" x14ac:dyDescent="0.25">
      <c r="B5487" s="40"/>
      <c r="C5487" s="40"/>
      <c r="E5487" s="80"/>
    </row>
    <row r="5488" spans="2:5" x14ac:dyDescent="0.25">
      <c r="B5488" s="40"/>
      <c r="C5488" s="40"/>
      <c r="E5488" s="80"/>
    </row>
    <row r="5489" spans="2:5" x14ac:dyDescent="0.25">
      <c r="B5489" s="40"/>
      <c r="C5489" s="40"/>
      <c r="E5489" s="80"/>
    </row>
    <row r="5490" spans="2:5" x14ac:dyDescent="0.25">
      <c r="B5490" s="40"/>
      <c r="C5490" s="40"/>
      <c r="E5490" s="80"/>
    </row>
    <row r="5491" spans="2:5" x14ac:dyDescent="0.25">
      <c r="B5491" s="40"/>
      <c r="C5491" s="40"/>
      <c r="E5491" s="80"/>
    </row>
    <row r="5492" spans="2:5" x14ac:dyDescent="0.25">
      <c r="B5492" s="40"/>
      <c r="C5492" s="40"/>
      <c r="E5492" s="80"/>
    </row>
    <row r="5493" spans="2:5" x14ac:dyDescent="0.25">
      <c r="B5493" s="40"/>
      <c r="C5493" s="40"/>
      <c r="E5493" s="80"/>
    </row>
    <row r="5494" spans="2:5" x14ac:dyDescent="0.25">
      <c r="B5494" s="40"/>
      <c r="C5494" s="40"/>
      <c r="E5494" s="80"/>
    </row>
    <row r="5495" spans="2:5" x14ac:dyDescent="0.25">
      <c r="B5495" s="40"/>
      <c r="C5495" s="40"/>
      <c r="E5495" s="80"/>
    </row>
    <row r="5496" spans="2:5" x14ac:dyDescent="0.25">
      <c r="B5496" s="40"/>
      <c r="C5496" s="40"/>
      <c r="E5496" s="80"/>
    </row>
    <row r="5497" spans="2:5" x14ac:dyDescent="0.25">
      <c r="B5497" s="40"/>
      <c r="C5497" s="40"/>
      <c r="E5497" s="80"/>
    </row>
    <row r="5498" spans="2:5" x14ac:dyDescent="0.25">
      <c r="B5498" s="40"/>
      <c r="C5498" s="40"/>
      <c r="E5498" s="80"/>
    </row>
    <row r="5499" spans="2:5" x14ac:dyDescent="0.25">
      <c r="B5499" s="40"/>
      <c r="C5499" s="40"/>
      <c r="E5499" s="80"/>
    </row>
    <row r="5500" spans="2:5" x14ac:dyDescent="0.25">
      <c r="B5500" s="40"/>
      <c r="C5500" s="40"/>
      <c r="E5500" s="80"/>
    </row>
    <row r="5501" spans="2:5" x14ac:dyDescent="0.25">
      <c r="B5501" s="40"/>
      <c r="C5501" s="40"/>
      <c r="E5501" s="80"/>
    </row>
    <row r="5502" spans="2:5" x14ac:dyDescent="0.25">
      <c r="B5502" s="40"/>
      <c r="C5502" s="40"/>
      <c r="E5502" s="80"/>
    </row>
    <row r="5503" spans="2:5" x14ac:dyDescent="0.25">
      <c r="B5503" s="40"/>
      <c r="C5503" s="40"/>
      <c r="E5503" s="80"/>
    </row>
    <row r="5504" spans="2:5" x14ac:dyDescent="0.25">
      <c r="B5504" s="40"/>
      <c r="C5504" s="40"/>
      <c r="E5504" s="80"/>
    </row>
    <row r="5505" spans="2:5" x14ac:dyDescent="0.25">
      <c r="B5505" s="40"/>
      <c r="C5505" s="40"/>
      <c r="E5505" s="80"/>
    </row>
    <row r="5506" spans="2:5" x14ac:dyDescent="0.25">
      <c r="B5506" s="40"/>
      <c r="C5506" s="40"/>
      <c r="E5506" s="80"/>
    </row>
    <row r="5507" spans="2:5" x14ac:dyDescent="0.25">
      <c r="B5507" s="40"/>
      <c r="C5507" s="40"/>
      <c r="E5507" s="80"/>
    </row>
    <row r="5508" spans="2:5" x14ac:dyDescent="0.25">
      <c r="B5508" s="40"/>
      <c r="C5508" s="40"/>
      <c r="E5508" s="80"/>
    </row>
    <row r="5509" spans="2:5" x14ac:dyDescent="0.25">
      <c r="B5509" s="40"/>
      <c r="C5509" s="40"/>
      <c r="E5509" s="80"/>
    </row>
    <row r="5510" spans="2:5" x14ac:dyDescent="0.25">
      <c r="B5510" s="40"/>
      <c r="C5510" s="40"/>
      <c r="E5510" s="80"/>
    </row>
    <row r="5511" spans="2:5" x14ac:dyDescent="0.25">
      <c r="B5511" s="40"/>
      <c r="C5511" s="40"/>
      <c r="E5511" s="80"/>
    </row>
    <row r="5512" spans="2:5" x14ac:dyDescent="0.25">
      <c r="B5512" s="40"/>
      <c r="C5512" s="40"/>
      <c r="E5512" s="80"/>
    </row>
    <row r="5513" spans="2:5" x14ac:dyDescent="0.25">
      <c r="B5513" s="40"/>
      <c r="C5513" s="40"/>
      <c r="E5513" s="80"/>
    </row>
    <row r="5514" spans="2:5" x14ac:dyDescent="0.25">
      <c r="B5514" s="40"/>
      <c r="C5514" s="40"/>
      <c r="E5514" s="80"/>
    </row>
    <row r="5515" spans="2:5" x14ac:dyDescent="0.25">
      <c r="B5515" s="40"/>
      <c r="C5515" s="40"/>
      <c r="E5515" s="80"/>
    </row>
    <row r="5516" spans="2:5" x14ac:dyDescent="0.25">
      <c r="B5516" s="40"/>
      <c r="C5516" s="40"/>
      <c r="E5516" s="80"/>
    </row>
    <row r="5517" spans="2:5" x14ac:dyDescent="0.25">
      <c r="B5517" s="40"/>
      <c r="C5517" s="40"/>
      <c r="E5517" s="80"/>
    </row>
    <row r="5518" spans="2:5" x14ac:dyDescent="0.25">
      <c r="B5518" s="40"/>
      <c r="C5518" s="40"/>
      <c r="E5518" s="80"/>
    </row>
    <row r="5519" spans="2:5" x14ac:dyDescent="0.25">
      <c r="B5519" s="40"/>
      <c r="C5519" s="40"/>
      <c r="E5519" s="80"/>
    </row>
    <row r="5520" spans="2:5" x14ac:dyDescent="0.25">
      <c r="B5520" s="40"/>
      <c r="C5520" s="40"/>
      <c r="E5520" s="80"/>
    </row>
    <row r="5521" spans="2:5" x14ac:dyDescent="0.25">
      <c r="B5521" s="40"/>
      <c r="C5521" s="40"/>
      <c r="E5521" s="80"/>
    </row>
    <row r="5522" spans="2:5" x14ac:dyDescent="0.25">
      <c r="B5522" s="40"/>
      <c r="C5522" s="40"/>
      <c r="E5522" s="80"/>
    </row>
    <row r="5523" spans="2:5" x14ac:dyDescent="0.25">
      <c r="B5523" s="40"/>
      <c r="C5523" s="40"/>
      <c r="E5523" s="80"/>
    </row>
    <row r="5524" spans="2:5" x14ac:dyDescent="0.25">
      <c r="B5524" s="40"/>
      <c r="C5524" s="40"/>
      <c r="E5524" s="80"/>
    </row>
    <row r="5525" spans="2:5" x14ac:dyDescent="0.25">
      <c r="B5525" s="40"/>
      <c r="C5525" s="40"/>
      <c r="E5525" s="80"/>
    </row>
    <row r="5526" spans="2:5" x14ac:dyDescent="0.25">
      <c r="B5526" s="40"/>
      <c r="C5526" s="40"/>
      <c r="E5526" s="80"/>
    </row>
    <row r="5527" spans="2:5" x14ac:dyDescent="0.25">
      <c r="B5527" s="40"/>
      <c r="C5527" s="40"/>
      <c r="E5527" s="80"/>
    </row>
    <row r="5528" spans="2:5" x14ac:dyDescent="0.25">
      <c r="B5528" s="40"/>
      <c r="C5528" s="40"/>
      <c r="E5528" s="80"/>
    </row>
    <row r="5529" spans="2:5" x14ac:dyDescent="0.25">
      <c r="B5529" s="40"/>
      <c r="C5529" s="40"/>
      <c r="E5529" s="80"/>
    </row>
    <row r="5530" spans="2:5" x14ac:dyDescent="0.25">
      <c r="B5530" s="40"/>
      <c r="C5530" s="40"/>
      <c r="E5530" s="80"/>
    </row>
    <row r="5531" spans="2:5" x14ac:dyDescent="0.25">
      <c r="B5531" s="40"/>
      <c r="C5531" s="40"/>
      <c r="E5531" s="80"/>
    </row>
    <row r="5532" spans="2:5" x14ac:dyDescent="0.25">
      <c r="B5532" s="40"/>
      <c r="C5532" s="40"/>
      <c r="E5532" s="80"/>
    </row>
    <row r="5533" spans="2:5" x14ac:dyDescent="0.25">
      <c r="B5533" s="40"/>
      <c r="C5533" s="40"/>
      <c r="E5533" s="80"/>
    </row>
    <row r="5534" spans="2:5" x14ac:dyDescent="0.25">
      <c r="B5534" s="40"/>
      <c r="C5534" s="40"/>
      <c r="E5534" s="80"/>
    </row>
    <row r="5535" spans="2:5" x14ac:dyDescent="0.25">
      <c r="B5535" s="40"/>
      <c r="C5535" s="40"/>
      <c r="E5535" s="80"/>
    </row>
    <row r="5536" spans="2:5" x14ac:dyDescent="0.25">
      <c r="B5536" s="40"/>
      <c r="C5536" s="40"/>
      <c r="E5536" s="80"/>
    </row>
    <row r="5537" spans="2:5" x14ac:dyDescent="0.25">
      <c r="B5537" s="40"/>
      <c r="C5537" s="40"/>
      <c r="E5537" s="80"/>
    </row>
    <row r="5538" spans="2:5" x14ac:dyDescent="0.25">
      <c r="B5538" s="40"/>
      <c r="C5538" s="40"/>
      <c r="E5538" s="80"/>
    </row>
    <row r="5539" spans="2:5" x14ac:dyDescent="0.25">
      <c r="B5539" s="40"/>
      <c r="C5539" s="40"/>
      <c r="E5539" s="80"/>
    </row>
    <row r="5540" spans="2:5" x14ac:dyDescent="0.25">
      <c r="B5540" s="40"/>
      <c r="C5540" s="40"/>
      <c r="E5540" s="80"/>
    </row>
    <row r="5541" spans="2:5" x14ac:dyDescent="0.25">
      <c r="B5541" s="40"/>
      <c r="C5541" s="40"/>
      <c r="E5541" s="80"/>
    </row>
    <row r="5542" spans="2:5" x14ac:dyDescent="0.25">
      <c r="B5542" s="40"/>
      <c r="C5542" s="40"/>
      <c r="E5542" s="80"/>
    </row>
    <row r="5543" spans="2:5" x14ac:dyDescent="0.25">
      <c r="B5543" s="40"/>
      <c r="C5543" s="40"/>
      <c r="E5543" s="80"/>
    </row>
    <row r="5544" spans="2:5" x14ac:dyDescent="0.25">
      <c r="B5544" s="40"/>
      <c r="C5544" s="40"/>
      <c r="E5544" s="80"/>
    </row>
    <row r="5545" spans="2:5" x14ac:dyDescent="0.25">
      <c r="B5545" s="40"/>
      <c r="C5545" s="40"/>
      <c r="E5545" s="80"/>
    </row>
    <row r="5546" spans="2:5" x14ac:dyDescent="0.25">
      <c r="B5546" s="40"/>
      <c r="C5546" s="40"/>
      <c r="E5546" s="80"/>
    </row>
    <row r="5547" spans="2:5" x14ac:dyDescent="0.25">
      <c r="B5547" s="40"/>
      <c r="C5547" s="40"/>
      <c r="E5547" s="80"/>
    </row>
    <row r="5548" spans="2:5" x14ac:dyDescent="0.25">
      <c r="B5548" s="40"/>
      <c r="C5548" s="40"/>
      <c r="E5548" s="80"/>
    </row>
    <row r="5549" spans="2:5" x14ac:dyDescent="0.25">
      <c r="B5549" s="40"/>
      <c r="C5549" s="40"/>
      <c r="E5549" s="80"/>
    </row>
    <row r="5550" spans="2:5" x14ac:dyDescent="0.25">
      <c r="B5550" s="40"/>
      <c r="C5550" s="40"/>
      <c r="E5550" s="80"/>
    </row>
    <row r="5551" spans="2:5" x14ac:dyDescent="0.25">
      <c r="B5551" s="40"/>
      <c r="C5551" s="40"/>
      <c r="E5551" s="80"/>
    </row>
    <row r="5552" spans="2:5" x14ac:dyDescent="0.25">
      <c r="B5552" s="40"/>
      <c r="C5552" s="40"/>
      <c r="E5552" s="80"/>
    </row>
    <row r="5553" spans="2:5" x14ac:dyDescent="0.25">
      <c r="B5553" s="40"/>
      <c r="C5553" s="40"/>
      <c r="E5553" s="80"/>
    </row>
    <row r="5554" spans="2:5" x14ac:dyDescent="0.25">
      <c r="B5554" s="40"/>
      <c r="C5554" s="40"/>
      <c r="E5554" s="80"/>
    </row>
    <row r="5555" spans="2:5" x14ac:dyDescent="0.25">
      <c r="B5555" s="40"/>
      <c r="C5555" s="40"/>
      <c r="E5555" s="80"/>
    </row>
    <row r="5556" spans="2:5" x14ac:dyDescent="0.25">
      <c r="B5556" s="40"/>
      <c r="C5556" s="40"/>
      <c r="E5556" s="80"/>
    </row>
    <row r="5557" spans="2:5" x14ac:dyDescent="0.25">
      <c r="B5557" s="40"/>
      <c r="C5557" s="40"/>
      <c r="E5557" s="80"/>
    </row>
    <row r="5558" spans="2:5" x14ac:dyDescent="0.25">
      <c r="B5558" s="40"/>
      <c r="C5558" s="40"/>
      <c r="E5558" s="80"/>
    </row>
    <row r="5559" spans="2:5" x14ac:dyDescent="0.25">
      <c r="B5559" s="40"/>
      <c r="C5559" s="40"/>
      <c r="E5559" s="80"/>
    </row>
    <row r="5560" spans="2:5" x14ac:dyDescent="0.25">
      <c r="B5560" s="40"/>
      <c r="C5560" s="40"/>
      <c r="E5560" s="80"/>
    </row>
    <row r="5561" spans="2:5" x14ac:dyDescent="0.25">
      <c r="B5561" s="40"/>
      <c r="C5561" s="40"/>
      <c r="E5561" s="80"/>
    </row>
    <row r="5562" spans="2:5" x14ac:dyDescent="0.25">
      <c r="B5562" s="40"/>
      <c r="C5562" s="40"/>
      <c r="E5562" s="80"/>
    </row>
    <row r="5563" spans="2:5" x14ac:dyDescent="0.25">
      <c r="B5563" s="40"/>
      <c r="C5563" s="40"/>
      <c r="E5563" s="80"/>
    </row>
    <row r="5564" spans="2:5" x14ac:dyDescent="0.25">
      <c r="B5564" s="40"/>
      <c r="C5564" s="40"/>
      <c r="E5564" s="80"/>
    </row>
    <row r="5565" spans="2:5" x14ac:dyDescent="0.25">
      <c r="B5565" s="40"/>
      <c r="C5565" s="40"/>
      <c r="E5565" s="80"/>
    </row>
    <row r="5566" spans="2:5" x14ac:dyDescent="0.25">
      <c r="B5566" s="40"/>
      <c r="C5566" s="40"/>
      <c r="E5566" s="80"/>
    </row>
    <row r="5567" spans="2:5" x14ac:dyDescent="0.25">
      <c r="B5567" s="40"/>
      <c r="C5567" s="40"/>
      <c r="E5567" s="80"/>
    </row>
    <row r="5568" spans="2:5" x14ac:dyDescent="0.25">
      <c r="B5568" s="40"/>
      <c r="C5568" s="40"/>
      <c r="E5568" s="80"/>
    </row>
    <row r="5569" spans="2:5" x14ac:dyDescent="0.25">
      <c r="B5569" s="40"/>
      <c r="C5569" s="40"/>
      <c r="E5569" s="80"/>
    </row>
    <row r="5570" spans="2:5" x14ac:dyDescent="0.25">
      <c r="B5570" s="40"/>
      <c r="C5570" s="40"/>
      <c r="E5570" s="80"/>
    </row>
    <row r="5571" spans="2:5" x14ac:dyDescent="0.25">
      <c r="B5571" s="40"/>
      <c r="C5571" s="40"/>
      <c r="E5571" s="80"/>
    </row>
    <row r="5572" spans="2:5" x14ac:dyDescent="0.25">
      <c r="B5572" s="40"/>
      <c r="C5572" s="40"/>
      <c r="E5572" s="80"/>
    </row>
    <row r="5573" spans="2:5" x14ac:dyDescent="0.25">
      <c r="B5573" s="40"/>
      <c r="C5573" s="40"/>
      <c r="E5573" s="80"/>
    </row>
    <row r="5574" spans="2:5" x14ac:dyDescent="0.25">
      <c r="B5574" s="40"/>
      <c r="C5574" s="40"/>
      <c r="E5574" s="80"/>
    </row>
    <row r="5575" spans="2:5" x14ac:dyDescent="0.25">
      <c r="B5575" s="40"/>
      <c r="C5575" s="40"/>
      <c r="E5575" s="80"/>
    </row>
    <row r="5576" spans="2:5" x14ac:dyDescent="0.25">
      <c r="B5576" s="40"/>
      <c r="C5576" s="40"/>
      <c r="E5576" s="80"/>
    </row>
    <row r="5577" spans="2:5" x14ac:dyDescent="0.25">
      <c r="B5577" s="40"/>
      <c r="C5577" s="40"/>
      <c r="E5577" s="80"/>
    </row>
    <row r="5578" spans="2:5" x14ac:dyDescent="0.25">
      <c r="B5578" s="40"/>
      <c r="C5578" s="40"/>
      <c r="E5578" s="80"/>
    </row>
    <row r="5579" spans="2:5" x14ac:dyDescent="0.25">
      <c r="B5579" s="40"/>
      <c r="C5579" s="40"/>
      <c r="E5579" s="80"/>
    </row>
    <row r="5580" spans="2:5" x14ac:dyDescent="0.25">
      <c r="B5580" s="40"/>
      <c r="C5580" s="40"/>
      <c r="E5580" s="80"/>
    </row>
    <row r="5581" spans="2:5" x14ac:dyDescent="0.25">
      <c r="B5581" s="40"/>
      <c r="C5581" s="40"/>
      <c r="E5581" s="80"/>
    </row>
    <row r="5582" spans="2:5" x14ac:dyDescent="0.25">
      <c r="B5582" s="40"/>
      <c r="C5582" s="40"/>
      <c r="E5582" s="80"/>
    </row>
    <row r="5583" spans="2:5" x14ac:dyDescent="0.25">
      <c r="B5583" s="40"/>
      <c r="C5583" s="40"/>
      <c r="E5583" s="80"/>
    </row>
    <row r="5584" spans="2:5" x14ac:dyDescent="0.25">
      <c r="B5584" s="40"/>
      <c r="C5584" s="40"/>
      <c r="E5584" s="80"/>
    </row>
    <row r="5585" spans="2:5" x14ac:dyDescent="0.25">
      <c r="B5585" s="40"/>
      <c r="C5585" s="40"/>
      <c r="E5585" s="80"/>
    </row>
    <row r="5586" spans="2:5" x14ac:dyDescent="0.25">
      <c r="B5586" s="40"/>
      <c r="C5586" s="40"/>
      <c r="E5586" s="80"/>
    </row>
    <row r="5587" spans="2:5" x14ac:dyDescent="0.25">
      <c r="B5587" s="40"/>
      <c r="C5587" s="40"/>
      <c r="E5587" s="80"/>
    </row>
    <row r="5588" spans="2:5" x14ac:dyDescent="0.25">
      <c r="B5588" s="40"/>
      <c r="C5588" s="40"/>
      <c r="E5588" s="80"/>
    </row>
    <row r="5589" spans="2:5" x14ac:dyDescent="0.25">
      <c r="B5589" s="40"/>
      <c r="C5589" s="40"/>
      <c r="E5589" s="80"/>
    </row>
    <row r="5590" spans="2:5" x14ac:dyDescent="0.25">
      <c r="B5590" s="40"/>
      <c r="C5590" s="40"/>
      <c r="E5590" s="80"/>
    </row>
    <row r="5591" spans="2:5" x14ac:dyDescent="0.25">
      <c r="B5591" s="40"/>
      <c r="C5591" s="40"/>
      <c r="E5591" s="80"/>
    </row>
    <row r="5592" spans="2:5" x14ac:dyDescent="0.25">
      <c r="B5592" s="40"/>
      <c r="C5592" s="40"/>
      <c r="E5592" s="80"/>
    </row>
    <row r="5593" spans="2:5" x14ac:dyDescent="0.25">
      <c r="B5593" s="40"/>
      <c r="C5593" s="40"/>
      <c r="E5593" s="80"/>
    </row>
    <row r="5594" spans="2:5" x14ac:dyDescent="0.25">
      <c r="B5594" s="40"/>
      <c r="C5594" s="40"/>
      <c r="E5594" s="80"/>
    </row>
    <row r="5595" spans="2:5" x14ac:dyDescent="0.25">
      <c r="B5595" s="40"/>
      <c r="C5595" s="40"/>
      <c r="E5595" s="80"/>
    </row>
    <row r="5596" spans="2:5" x14ac:dyDescent="0.25">
      <c r="B5596" s="40"/>
      <c r="C5596" s="40"/>
      <c r="E5596" s="80"/>
    </row>
    <row r="5597" spans="2:5" x14ac:dyDescent="0.25">
      <c r="B5597" s="40"/>
      <c r="C5597" s="40"/>
      <c r="E5597" s="80"/>
    </row>
    <row r="5598" spans="2:5" x14ac:dyDescent="0.25">
      <c r="B5598" s="40"/>
      <c r="C5598" s="40"/>
      <c r="E5598" s="80"/>
    </row>
    <row r="5599" spans="2:5" x14ac:dyDescent="0.25">
      <c r="B5599" s="40"/>
      <c r="C5599" s="40"/>
      <c r="E5599" s="80"/>
    </row>
    <row r="5600" spans="2:5" x14ac:dyDescent="0.25">
      <c r="B5600" s="40"/>
      <c r="C5600" s="40"/>
      <c r="E5600" s="80"/>
    </row>
    <row r="5601" spans="2:5" x14ac:dyDescent="0.25">
      <c r="B5601" s="40"/>
      <c r="C5601" s="40"/>
      <c r="E5601" s="80"/>
    </row>
    <row r="5602" spans="2:5" x14ac:dyDescent="0.25">
      <c r="B5602" s="40"/>
      <c r="C5602" s="40"/>
      <c r="E5602" s="80"/>
    </row>
    <row r="5603" spans="2:5" x14ac:dyDescent="0.25">
      <c r="B5603" s="40"/>
      <c r="C5603" s="40"/>
      <c r="E5603" s="80"/>
    </row>
    <row r="5604" spans="2:5" x14ac:dyDescent="0.25">
      <c r="B5604" s="40"/>
      <c r="C5604" s="40"/>
      <c r="E5604" s="80"/>
    </row>
    <row r="5605" spans="2:5" x14ac:dyDescent="0.25">
      <c r="B5605" s="40"/>
      <c r="C5605" s="40"/>
      <c r="E5605" s="80"/>
    </row>
    <row r="5606" spans="2:5" x14ac:dyDescent="0.25">
      <c r="B5606" s="40"/>
      <c r="C5606" s="40"/>
      <c r="E5606" s="80"/>
    </row>
    <row r="5607" spans="2:5" x14ac:dyDescent="0.25">
      <c r="B5607" s="40"/>
      <c r="C5607" s="40"/>
      <c r="E5607" s="80"/>
    </row>
    <row r="5608" spans="2:5" x14ac:dyDescent="0.25">
      <c r="B5608" s="40"/>
      <c r="C5608" s="40"/>
      <c r="E5608" s="80"/>
    </row>
    <row r="5609" spans="2:5" x14ac:dyDescent="0.25">
      <c r="B5609" s="40"/>
      <c r="C5609" s="40"/>
      <c r="E5609" s="80"/>
    </row>
    <row r="5610" spans="2:5" x14ac:dyDescent="0.25">
      <c r="B5610" s="40"/>
      <c r="C5610" s="40"/>
      <c r="E5610" s="80"/>
    </row>
    <row r="5611" spans="2:5" x14ac:dyDescent="0.25">
      <c r="B5611" s="40"/>
      <c r="C5611" s="40"/>
      <c r="E5611" s="80"/>
    </row>
    <row r="5612" spans="2:5" x14ac:dyDescent="0.25">
      <c r="B5612" s="40"/>
      <c r="C5612" s="40"/>
      <c r="E5612" s="80"/>
    </row>
    <row r="5613" spans="2:5" x14ac:dyDescent="0.25">
      <c r="B5613" s="40"/>
      <c r="C5613" s="40"/>
      <c r="E5613" s="80"/>
    </row>
    <row r="5614" spans="2:5" x14ac:dyDescent="0.25">
      <c r="B5614" s="40"/>
      <c r="C5614" s="40"/>
      <c r="E5614" s="80"/>
    </row>
    <row r="5615" spans="2:5" x14ac:dyDescent="0.25">
      <c r="B5615" s="40"/>
      <c r="C5615" s="40"/>
      <c r="E5615" s="80"/>
    </row>
    <row r="5616" spans="2:5" x14ac:dyDescent="0.25">
      <c r="B5616" s="40"/>
      <c r="C5616" s="40"/>
      <c r="E5616" s="80"/>
    </row>
    <row r="5617" spans="2:5" x14ac:dyDescent="0.25">
      <c r="B5617" s="40"/>
      <c r="C5617" s="40"/>
      <c r="E5617" s="80"/>
    </row>
    <row r="5618" spans="2:5" x14ac:dyDescent="0.25">
      <c r="B5618" s="40"/>
      <c r="C5618" s="40"/>
      <c r="E5618" s="80"/>
    </row>
    <row r="5619" spans="2:5" x14ac:dyDescent="0.25">
      <c r="B5619" s="40"/>
      <c r="C5619" s="40"/>
      <c r="E5619" s="80"/>
    </row>
    <row r="5620" spans="2:5" x14ac:dyDescent="0.25">
      <c r="B5620" s="40"/>
      <c r="C5620" s="40"/>
      <c r="E5620" s="80"/>
    </row>
    <row r="5621" spans="2:5" x14ac:dyDescent="0.25">
      <c r="B5621" s="40"/>
      <c r="C5621" s="40"/>
      <c r="E5621" s="80"/>
    </row>
    <row r="5622" spans="2:5" x14ac:dyDescent="0.25">
      <c r="B5622" s="40"/>
      <c r="C5622" s="40"/>
      <c r="E5622" s="80"/>
    </row>
    <row r="5623" spans="2:5" x14ac:dyDescent="0.25">
      <c r="B5623" s="40"/>
      <c r="C5623" s="40"/>
      <c r="E5623" s="80"/>
    </row>
    <row r="5624" spans="2:5" x14ac:dyDescent="0.25">
      <c r="B5624" s="40"/>
      <c r="C5624" s="40"/>
      <c r="E5624" s="80"/>
    </row>
    <row r="5625" spans="2:5" x14ac:dyDescent="0.25">
      <c r="B5625" s="40"/>
      <c r="C5625" s="40"/>
      <c r="E5625" s="80"/>
    </row>
    <row r="5626" spans="2:5" x14ac:dyDescent="0.25">
      <c r="B5626" s="40"/>
      <c r="C5626" s="40"/>
      <c r="E5626" s="80"/>
    </row>
    <row r="5627" spans="2:5" x14ac:dyDescent="0.25">
      <c r="B5627" s="40"/>
      <c r="C5627" s="40"/>
      <c r="E5627" s="80"/>
    </row>
    <row r="5628" spans="2:5" x14ac:dyDescent="0.25">
      <c r="B5628" s="40"/>
      <c r="C5628" s="40"/>
      <c r="E5628" s="80"/>
    </row>
    <row r="5629" spans="2:5" x14ac:dyDescent="0.25">
      <c r="B5629" s="40"/>
      <c r="C5629" s="40"/>
      <c r="E5629" s="80"/>
    </row>
    <row r="5630" spans="2:5" x14ac:dyDescent="0.25">
      <c r="B5630" s="40"/>
      <c r="C5630" s="40"/>
      <c r="E5630" s="80"/>
    </row>
    <row r="5631" spans="2:5" x14ac:dyDescent="0.25">
      <c r="B5631" s="40"/>
      <c r="C5631" s="40"/>
      <c r="E5631" s="80"/>
    </row>
    <row r="5632" spans="2:5" x14ac:dyDescent="0.25">
      <c r="B5632" s="40"/>
      <c r="C5632" s="40"/>
      <c r="E5632" s="80"/>
    </row>
    <row r="5633" spans="2:5" x14ac:dyDescent="0.25">
      <c r="B5633" s="40"/>
      <c r="C5633" s="40"/>
      <c r="E5633" s="80"/>
    </row>
    <row r="5634" spans="2:5" x14ac:dyDescent="0.25">
      <c r="B5634" s="40"/>
      <c r="C5634" s="40"/>
      <c r="E5634" s="80"/>
    </row>
    <row r="5635" spans="2:5" x14ac:dyDescent="0.25">
      <c r="B5635" s="40"/>
      <c r="C5635" s="40"/>
      <c r="E5635" s="80"/>
    </row>
    <row r="5636" spans="2:5" x14ac:dyDescent="0.25">
      <c r="B5636" s="40"/>
      <c r="C5636" s="40"/>
      <c r="E5636" s="80"/>
    </row>
    <row r="5637" spans="2:5" x14ac:dyDescent="0.25">
      <c r="B5637" s="40"/>
      <c r="C5637" s="40"/>
      <c r="E5637" s="80"/>
    </row>
    <row r="5638" spans="2:5" x14ac:dyDescent="0.25">
      <c r="B5638" s="40"/>
      <c r="C5638" s="40"/>
      <c r="E5638" s="80"/>
    </row>
    <row r="5639" spans="2:5" x14ac:dyDescent="0.25">
      <c r="B5639" s="40"/>
      <c r="C5639" s="40"/>
      <c r="E5639" s="80"/>
    </row>
    <row r="5640" spans="2:5" x14ac:dyDescent="0.25">
      <c r="B5640" s="40"/>
      <c r="C5640" s="40"/>
      <c r="E5640" s="80"/>
    </row>
    <row r="5641" spans="2:5" x14ac:dyDescent="0.25">
      <c r="B5641" s="40"/>
      <c r="C5641" s="40"/>
      <c r="E5641" s="80"/>
    </row>
    <row r="5642" spans="2:5" x14ac:dyDescent="0.25">
      <c r="B5642" s="40"/>
      <c r="C5642" s="40"/>
      <c r="E5642" s="80"/>
    </row>
    <row r="5643" spans="2:5" x14ac:dyDescent="0.25">
      <c r="B5643" s="40"/>
      <c r="C5643" s="40"/>
      <c r="E5643" s="80"/>
    </row>
    <row r="5644" spans="2:5" x14ac:dyDescent="0.25">
      <c r="B5644" s="40"/>
      <c r="C5644" s="40"/>
      <c r="E5644" s="80"/>
    </row>
    <row r="5645" spans="2:5" x14ac:dyDescent="0.25">
      <c r="B5645" s="40"/>
      <c r="C5645" s="40"/>
      <c r="E5645" s="80"/>
    </row>
    <row r="5646" spans="2:5" x14ac:dyDescent="0.25">
      <c r="B5646" s="40"/>
      <c r="C5646" s="40"/>
      <c r="E5646" s="80"/>
    </row>
    <row r="5647" spans="2:5" x14ac:dyDescent="0.25">
      <c r="B5647" s="40"/>
      <c r="C5647" s="40"/>
      <c r="E5647" s="80"/>
    </row>
    <row r="5648" spans="2:5" x14ac:dyDescent="0.25">
      <c r="B5648" s="40"/>
      <c r="C5648" s="40"/>
      <c r="E5648" s="80"/>
    </row>
    <row r="5649" spans="2:5" x14ac:dyDescent="0.25">
      <c r="B5649" s="40"/>
      <c r="C5649" s="40"/>
      <c r="E5649" s="80"/>
    </row>
    <row r="5650" spans="2:5" x14ac:dyDescent="0.25">
      <c r="B5650" s="40"/>
      <c r="C5650" s="40"/>
      <c r="E5650" s="80"/>
    </row>
    <row r="5651" spans="2:5" x14ac:dyDescent="0.25">
      <c r="B5651" s="40"/>
      <c r="C5651" s="40"/>
      <c r="E5651" s="80"/>
    </row>
    <row r="5652" spans="2:5" x14ac:dyDescent="0.25">
      <c r="B5652" s="40"/>
      <c r="C5652" s="40"/>
      <c r="E5652" s="80"/>
    </row>
    <row r="5653" spans="2:5" x14ac:dyDescent="0.25">
      <c r="B5653" s="40"/>
      <c r="C5653" s="40"/>
      <c r="E5653" s="80"/>
    </row>
    <row r="5654" spans="2:5" x14ac:dyDescent="0.25">
      <c r="B5654" s="40"/>
      <c r="C5654" s="40"/>
      <c r="E5654" s="80"/>
    </row>
    <row r="5655" spans="2:5" x14ac:dyDescent="0.25">
      <c r="B5655" s="40"/>
      <c r="C5655" s="40"/>
      <c r="E5655" s="80"/>
    </row>
    <row r="5656" spans="2:5" x14ac:dyDescent="0.25">
      <c r="B5656" s="40"/>
      <c r="C5656" s="40"/>
      <c r="E5656" s="80"/>
    </row>
    <row r="5657" spans="2:5" x14ac:dyDescent="0.25">
      <c r="B5657" s="40"/>
      <c r="C5657" s="40"/>
      <c r="E5657" s="80"/>
    </row>
    <row r="5658" spans="2:5" x14ac:dyDescent="0.25">
      <c r="B5658" s="40"/>
      <c r="C5658" s="40"/>
      <c r="E5658" s="80"/>
    </row>
    <row r="5659" spans="2:5" x14ac:dyDescent="0.25">
      <c r="B5659" s="40"/>
      <c r="C5659" s="40"/>
      <c r="E5659" s="80"/>
    </row>
    <row r="5660" spans="2:5" x14ac:dyDescent="0.25">
      <c r="B5660" s="40"/>
      <c r="C5660" s="40"/>
      <c r="E5660" s="80"/>
    </row>
    <row r="5661" spans="2:5" x14ac:dyDescent="0.25">
      <c r="B5661" s="40"/>
      <c r="C5661" s="40"/>
      <c r="E5661" s="80"/>
    </row>
    <row r="5662" spans="2:5" x14ac:dyDescent="0.25">
      <c r="B5662" s="40"/>
      <c r="C5662" s="40"/>
      <c r="E5662" s="80"/>
    </row>
    <row r="5663" spans="2:5" x14ac:dyDescent="0.25">
      <c r="B5663" s="40"/>
      <c r="C5663" s="40"/>
      <c r="E5663" s="80"/>
    </row>
    <row r="5664" spans="2:5" x14ac:dyDescent="0.25">
      <c r="B5664" s="40"/>
      <c r="C5664" s="40"/>
      <c r="E5664" s="80"/>
    </row>
    <row r="5665" spans="2:5" x14ac:dyDescent="0.25">
      <c r="B5665" s="40"/>
      <c r="C5665" s="40"/>
      <c r="E5665" s="80"/>
    </row>
    <row r="5666" spans="2:5" x14ac:dyDescent="0.25">
      <c r="B5666" s="40"/>
      <c r="C5666" s="40"/>
      <c r="E5666" s="80"/>
    </row>
    <row r="5667" spans="2:5" x14ac:dyDescent="0.25">
      <c r="B5667" s="40"/>
      <c r="C5667" s="40"/>
      <c r="E5667" s="80"/>
    </row>
    <row r="5668" spans="2:5" x14ac:dyDescent="0.25">
      <c r="B5668" s="40"/>
      <c r="C5668" s="40"/>
      <c r="E5668" s="80"/>
    </row>
    <row r="5669" spans="2:5" x14ac:dyDescent="0.25">
      <c r="B5669" s="40"/>
      <c r="C5669" s="40"/>
      <c r="E5669" s="80"/>
    </row>
    <row r="5670" spans="2:5" x14ac:dyDescent="0.25">
      <c r="B5670" s="40"/>
      <c r="C5670" s="40"/>
      <c r="E5670" s="80"/>
    </row>
    <row r="5671" spans="2:5" x14ac:dyDescent="0.25">
      <c r="B5671" s="40"/>
      <c r="C5671" s="40"/>
      <c r="E5671" s="80"/>
    </row>
    <row r="5672" spans="2:5" x14ac:dyDescent="0.25">
      <c r="B5672" s="40"/>
      <c r="C5672" s="40"/>
      <c r="E5672" s="80"/>
    </row>
    <row r="5673" spans="2:5" x14ac:dyDescent="0.25">
      <c r="B5673" s="40"/>
      <c r="C5673" s="40"/>
      <c r="E5673" s="80"/>
    </row>
    <row r="5674" spans="2:5" x14ac:dyDescent="0.25">
      <c r="B5674" s="40"/>
      <c r="C5674" s="40"/>
      <c r="E5674" s="80"/>
    </row>
    <row r="5675" spans="2:5" x14ac:dyDescent="0.25">
      <c r="B5675" s="40"/>
      <c r="C5675" s="40"/>
      <c r="E5675" s="80"/>
    </row>
    <row r="5676" spans="2:5" x14ac:dyDescent="0.25">
      <c r="B5676" s="40"/>
      <c r="C5676" s="40"/>
      <c r="E5676" s="80"/>
    </row>
    <row r="5677" spans="2:5" x14ac:dyDescent="0.25">
      <c r="B5677" s="40"/>
      <c r="C5677" s="40"/>
      <c r="E5677" s="80"/>
    </row>
    <row r="5678" spans="2:5" x14ac:dyDescent="0.25">
      <c r="B5678" s="40"/>
      <c r="C5678" s="40"/>
      <c r="E5678" s="80"/>
    </row>
    <row r="5679" spans="2:5" x14ac:dyDescent="0.25">
      <c r="B5679" s="40"/>
      <c r="C5679" s="40"/>
      <c r="E5679" s="80"/>
    </row>
    <row r="5680" spans="2:5" x14ac:dyDescent="0.25">
      <c r="B5680" s="40"/>
      <c r="C5680" s="40"/>
      <c r="E5680" s="80"/>
    </row>
    <row r="5681" spans="2:5" x14ac:dyDescent="0.25">
      <c r="B5681" s="40"/>
      <c r="C5681" s="40"/>
      <c r="E5681" s="80"/>
    </row>
    <row r="5682" spans="2:5" x14ac:dyDescent="0.25">
      <c r="B5682" s="40"/>
      <c r="C5682" s="40"/>
      <c r="E5682" s="80"/>
    </row>
    <row r="5683" spans="2:5" x14ac:dyDescent="0.25">
      <c r="B5683" s="40"/>
      <c r="C5683" s="40"/>
      <c r="E5683" s="80"/>
    </row>
    <row r="5684" spans="2:5" x14ac:dyDescent="0.25">
      <c r="B5684" s="40"/>
      <c r="C5684" s="40"/>
      <c r="E5684" s="80"/>
    </row>
    <row r="5685" spans="2:5" x14ac:dyDescent="0.25">
      <c r="B5685" s="40"/>
      <c r="C5685" s="40"/>
      <c r="E5685" s="80"/>
    </row>
    <row r="5686" spans="2:5" x14ac:dyDescent="0.25">
      <c r="B5686" s="40"/>
      <c r="C5686" s="40"/>
      <c r="E5686" s="80"/>
    </row>
    <row r="5687" spans="2:5" x14ac:dyDescent="0.25">
      <c r="B5687" s="40"/>
      <c r="C5687" s="40"/>
      <c r="E5687" s="80"/>
    </row>
    <row r="5688" spans="2:5" x14ac:dyDescent="0.25">
      <c r="B5688" s="40"/>
      <c r="C5688" s="40"/>
      <c r="E5688" s="80"/>
    </row>
    <row r="5689" spans="2:5" x14ac:dyDescent="0.25">
      <c r="B5689" s="40"/>
      <c r="C5689" s="40"/>
      <c r="E5689" s="80"/>
    </row>
    <row r="5690" spans="2:5" x14ac:dyDescent="0.25">
      <c r="B5690" s="40"/>
      <c r="C5690" s="40"/>
      <c r="E5690" s="80"/>
    </row>
    <row r="5691" spans="2:5" x14ac:dyDescent="0.25">
      <c r="B5691" s="40"/>
      <c r="C5691" s="40"/>
      <c r="E5691" s="80"/>
    </row>
    <row r="5692" spans="2:5" x14ac:dyDescent="0.25">
      <c r="B5692" s="40"/>
      <c r="C5692" s="40"/>
      <c r="E5692" s="80"/>
    </row>
    <row r="5693" spans="2:5" x14ac:dyDescent="0.25">
      <c r="B5693" s="40"/>
      <c r="C5693" s="40"/>
      <c r="E5693" s="80"/>
    </row>
    <row r="5694" spans="2:5" x14ac:dyDescent="0.25">
      <c r="B5694" s="40"/>
      <c r="C5694" s="40"/>
      <c r="E5694" s="80"/>
    </row>
    <row r="5695" spans="2:5" x14ac:dyDescent="0.25">
      <c r="B5695" s="40"/>
      <c r="C5695" s="40"/>
      <c r="E5695" s="80"/>
    </row>
    <row r="5696" spans="2:5" x14ac:dyDescent="0.25">
      <c r="B5696" s="40"/>
      <c r="C5696" s="40"/>
      <c r="E5696" s="80"/>
    </row>
    <row r="5697" spans="2:5" x14ac:dyDescent="0.25">
      <c r="B5697" s="40"/>
      <c r="C5697" s="40"/>
      <c r="E5697" s="80"/>
    </row>
    <row r="5698" spans="2:5" x14ac:dyDescent="0.25">
      <c r="B5698" s="40"/>
      <c r="C5698" s="40"/>
      <c r="E5698" s="80"/>
    </row>
    <row r="5699" spans="2:5" x14ac:dyDescent="0.25">
      <c r="B5699" s="40"/>
      <c r="C5699" s="40"/>
      <c r="E5699" s="80"/>
    </row>
    <row r="5700" spans="2:5" x14ac:dyDescent="0.25">
      <c r="B5700" s="40"/>
      <c r="C5700" s="40"/>
      <c r="E5700" s="80"/>
    </row>
    <row r="5701" spans="2:5" x14ac:dyDescent="0.25">
      <c r="B5701" s="40"/>
      <c r="C5701" s="40"/>
      <c r="E5701" s="80"/>
    </row>
    <row r="5702" spans="2:5" x14ac:dyDescent="0.25">
      <c r="B5702" s="40"/>
      <c r="C5702" s="40"/>
      <c r="E5702" s="80"/>
    </row>
    <row r="5703" spans="2:5" x14ac:dyDescent="0.25">
      <c r="B5703" s="40"/>
      <c r="C5703" s="40"/>
      <c r="E5703" s="80"/>
    </row>
    <row r="5704" spans="2:5" x14ac:dyDescent="0.25">
      <c r="B5704" s="40"/>
      <c r="C5704" s="40"/>
      <c r="E5704" s="80"/>
    </row>
    <row r="5705" spans="2:5" x14ac:dyDescent="0.25">
      <c r="B5705" s="40"/>
      <c r="C5705" s="40"/>
      <c r="E5705" s="80"/>
    </row>
    <row r="5706" spans="2:5" x14ac:dyDescent="0.25">
      <c r="B5706" s="40"/>
      <c r="C5706" s="40"/>
      <c r="E5706" s="80"/>
    </row>
    <row r="5707" spans="2:5" x14ac:dyDescent="0.25">
      <c r="B5707" s="40"/>
      <c r="C5707" s="40"/>
      <c r="E5707" s="80"/>
    </row>
    <row r="5708" spans="2:5" x14ac:dyDescent="0.25">
      <c r="B5708" s="40"/>
      <c r="C5708" s="40"/>
      <c r="E5708" s="80"/>
    </row>
    <row r="5709" spans="2:5" x14ac:dyDescent="0.25">
      <c r="B5709" s="40"/>
      <c r="C5709" s="40"/>
      <c r="E5709" s="80"/>
    </row>
    <row r="5710" spans="2:5" x14ac:dyDescent="0.25">
      <c r="B5710" s="40"/>
      <c r="C5710" s="40"/>
      <c r="E5710" s="80"/>
    </row>
    <row r="5711" spans="2:5" x14ac:dyDescent="0.25">
      <c r="B5711" s="40"/>
      <c r="C5711" s="40"/>
      <c r="E5711" s="80"/>
    </row>
    <row r="5712" spans="2:5" x14ac:dyDescent="0.25">
      <c r="B5712" s="40"/>
      <c r="C5712" s="40"/>
      <c r="E5712" s="80"/>
    </row>
    <row r="5713" spans="2:5" x14ac:dyDescent="0.25">
      <c r="B5713" s="40"/>
      <c r="C5713" s="40"/>
      <c r="E5713" s="80"/>
    </row>
    <row r="5714" spans="2:5" x14ac:dyDescent="0.25">
      <c r="B5714" s="40"/>
      <c r="C5714" s="40"/>
      <c r="E5714" s="80"/>
    </row>
    <row r="5715" spans="2:5" x14ac:dyDescent="0.25">
      <c r="B5715" s="40"/>
      <c r="C5715" s="40"/>
      <c r="E5715" s="80"/>
    </row>
    <row r="5716" spans="2:5" x14ac:dyDescent="0.25">
      <c r="B5716" s="40"/>
      <c r="C5716" s="40"/>
      <c r="E5716" s="80"/>
    </row>
    <row r="5717" spans="2:5" x14ac:dyDescent="0.25">
      <c r="B5717" s="40"/>
      <c r="C5717" s="40"/>
      <c r="E5717" s="80"/>
    </row>
    <row r="5718" spans="2:5" x14ac:dyDescent="0.25">
      <c r="B5718" s="40"/>
      <c r="C5718" s="40"/>
      <c r="E5718" s="80"/>
    </row>
    <row r="5719" spans="2:5" x14ac:dyDescent="0.25">
      <c r="B5719" s="40"/>
      <c r="C5719" s="40"/>
      <c r="E5719" s="80"/>
    </row>
    <row r="5720" spans="2:5" x14ac:dyDescent="0.25">
      <c r="B5720" s="40"/>
      <c r="C5720" s="40"/>
      <c r="E5720" s="80"/>
    </row>
    <row r="5721" spans="2:5" x14ac:dyDescent="0.25">
      <c r="B5721" s="40"/>
      <c r="C5721" s="40"/>
      <c r="E5721" s="80"/>
    </row>
    <row r="5722" spans="2:5" x14ac:dyDescent="0.25">
      <c r="B5722" s="40"/>
      <c r="C5722" s="40"/>
      <c r="E5722" s="80"/>
    </row>
    <row r="5723" spans="2:5" x14ac:dyDescent="0.25">
      <c r="B5723" s="40"/>
      <c r="C5723" s="40"/>
      <c r="E5723" s="80"/>
    </row>
    <row r="5724" spans="2:5" x14ac:dyDescent="0.25">
      <c r="B5724" s="40"/>
      <c r="C5724" s="40"/>
      <c r="E5724" s="80"/>
    </row>
    <row r="5725" spans="2:5" x14ac:dyDescent="0.25">
      <c r="B5725" s="40"/>
      <c r="C5725" s="40"/>
      <c r="E5725" s="80"/>
    </row>
    <row r="5726" spans="2:5" x14ac:dyDescent="0.25">
      <c r="B5726" s="40"/>
      <c r="C5726" s="40"/>
      <c r="E5726" s="80"/>
    </row>
    <row r="5727" spans="2:5" x14ac:dyDescent="0.25">
      <c r="B5727" s="40"/>
      <c r="C5727" s="40"/>
      <c r="E5727" s="80"/>
    </row>
    <row r="5728" spans="2:5" x14ac:dyDescent="0.25">
      <c r="B5728" s="40"/>
      <c r="C5728" s="40"/>
      <c r="E5728" s="80"/>
    </row>
    <row r="5729" spans="2:5" x14ac:dyDescent="0.25">
      <c r="B5729" s="40"/>
      <c r="C5729" s="40"/>
      <c r="E5729" s="80"/>
    </row>
    <row r="5730" spans="2:5" x14ac:dyDescent="0.25">
      <c r="B5730" s="40"/>
      <c r="C5730" s="40"/>
      <c r="E5730" s="80"/>
    </row>
    <row r="5731" spans="2:5" x14ac:dyDescent="0.25">
      <c r="B5731" s="40"/>
      <c r="C5731" s="40"/>
      <c r="E5731" s="80"/>
    </row>
    <row r="5732" spans="2:5" x14ac:dyDescent="0.25">
      <c r="B5732" s="40"/>
      <c r="C5732" s="40"/>
      <c r="E5732" s="80"/>
    </row>
    <row r="5733" spans="2:5" x14ac:dyDescent="0.25">
      <c r="B5733" s="40"/>
      <c r="C5733" s="40"/>
      <c r="E5733" s="80"/>
    </row>
    <row r="5734" spans="2:5" x14ac:dyDescent="0.25">
      <c r="B5734" s="40"/>
      <c r="C5734" s="40"/>
      <c r="E5734" s="80"/>
    </row>
    <row r="5735" spans="2:5" x14ac:dyDescent="0.25">
      <c r="B5735" s="40"/>
      <c r="C5735" s="40"/>
      <c r="E5735" s="80"/>
    </row>
    <row r="5736" spans="2:5" x14ac:dyDescent="0.25">
      <c r="B5736" s="40"/>
      <c r="C5736" s="40"/>
      <c r="E5736" s="80"/>
    </row>
    <row r="5737" spans="2:5" x14ac:dyDescent="0.25">
      <c r="B5737" s="40"/>
      <c r="C5737" s="40"/>
      <c r="E5737" s="80"/>
    </row>
    <row r="5738" spans="2:5" x14ac:dyDescent="0.25">
      <c r="B5738" s="40"/>
      <c r="C5738" s="40"/>
      <c r="E5738" s="80"/>
    </row>
    <row r="5739" spans="2:5" x14ac:dyDescent="0.25">
      <c r="B5739" s="40"/>
      <c r="C5739" s="40"/>
      <c r="E5739" s="80"/>
    </row>
    <row r="5740" spans="2:5" x14ac:dyDescent="0.25">
      <c r="B5740" s="40"/>
      <c r="C5740" s="40"/>
      <c r="E5740" s="80"/>
    </row>
    <row r="5741" spans="2:5" x14ac:dyDescent="0.25">
      <c r="B5741" s="40"/>
      <c r="C5741" s="40"/>
      <c r="E5741" s="80"/>
    </row>
    <row r="5742" spans="2:5" x14ac:dyDescent="0.25">
      <c r="B5742" s="40"/>
      <c r="C5742" s="40"/>
      <c r="E5742" s="80"/>
    </row>
    <row r="5743" spans="2:5" x14ac:dyDescent="0.25">
      <c r="B5743" s="40"/>
      <c r="C5743" s="40"/>
      <c r="E5743" s="80"/>
    </row>
    <row r="5744" spans="2:5" x14ac:dyDescent="0.25">
      <c r="B5744" s="40"/>
      <c r="C5744" s="40"/>
      <c r="E5744" s="80"/>
    </row>
    <row r="5745" spans="2:5" x14ac:dyDescent="0.25">
      <c r="B5745" s="40"/>
      <c r="C5745" s="40"/>
      <c r="E5745" s="80"/>
    </row>
    <row r="5746" spans="2:5" x14ac:dyDescent="0.25">
      <c r="B5746" s="40"/>
      <c r="C5746" s="40"/>
      <c r="E5746" s="80"/>
    </row>
    <row r="5747" spans="2:5" x14ac:dyDescent="0.25">
      <c r="B5747" s="40"/>
      <c r="C5747" s="40"/>
      <c r="E5747" s="80"/>
    </row>
    <row r="5748" spans="2:5" x14ac:dyDescent="0.25">
      <c r="B5748" s="40"/>
      <c r="C5748" s="40"/>
      <c r="E5748" s="80"/>
    </row>
    <row r="5749" spans="2:5" x14ac:dyDescent="0.25">
      <c r="B5749" s="40"/>
      <c r="C5749" s="40"/>
      <c r="E5749" s="80"/>
    </row>
    <row r="5750" spans="2:5" x14ac:dyDescent="0.25">
      <c r="B5750" s="40"/>
      <c r="C5750" s="40"/>
      <c r="E5750" s="80"/>
    </row>
    <row r="5751" spans="2:5" x14ac:dyDescent="0.25">
      <c r="B5751" s="40"/>
      <c r="C5751" s="40"/>
      <c r="E5751" s="80"/>
    </row>
    <row r="5752" spans="2:5" x14ac:dyDescent="0.25">
      <c r="B5752" s="40"/>
      <c r="C5752" s="40"/>
      <c r="E5752" s="80"/>
    </row>
    <row r="5753" spans="2:5" x14ac:dyDescent="0.25">
      <c r="B5753" s="40"/>
      <c r="C5753" s="40"/>
      <c r="E5753" s="80"/>
    </row>
    <row r="5754" spans="2:5" x14ac:dyDescent="0.25">
      <c r="B5754" s="40"/>
      <c r="C5754" s="40"/>
      <c r="E5754" s="80"/>
    </row>
    <row r="5755" spans="2:5" x14ac:dyDescent="0.25">
      <c r="B5755" s="40"/>
      <c r="C5755" s="40"/>
      <c r="E5755" s="80"/>
    </row>
    <row r="5756" spans="2:5" x14ac:dyDescent="0.25">
      <c r="B5756" s="40"/>
      <c r="C5756" s="40"/>
      <c r="E5756" s="80"/>
    </row>
    <row r="5757" spans="2:5" x14ac:dyDescent="0.25">
      <c r="B5757" s="40"/>
      <c r="C5757" s="40"/>
      <c r="E5757" s="80"/>
    </row>
    <row r="5758" spans="2:5" x14ac:dyDescent="0.25">
      <c r="B5758" s="40"/>
      <c r="C5758" s="40"/>
      <c r="E5758" s="80"/>
    </row>
    <row r="5759" spans="2:5" x14ac:dyDescent="0.25">
      <c r="B5759" s="40"/>
      <c r="C5759" s="40"/>
      <c r="E5759" s="80"/>
    </row>
    <row r="5760" spans="2:5" x14ac:dyDescent="0.25">
      <c r="B5760" s="40"/>
      <c r="C5760" s="40"/>
      <c r="E5760" s="80"/>
    </row>
    <row r="5761" spans="2:5" x14ac:dyDescent="0.25">
      <c r="B5761" s="40"/>
      <c r="C5761" s="40"/>
      <c r="E5761" s="80"/>
    </row>
    <row r="5762" spans="2:5" x14ac:dyDescent="0.25">
      <c r="B5762" s="40"/>
      <c r="C5762" s="40"/>
      <c r="E5762" s="80"/>
    </row>
    <row r="5763" spans="2:5" x14ac:dyDescent="0.25">
      <c r="B5763" s="40"/>
      <c r="C5763" s="40"/>
      <c r="E5763" s="80"/>
    </row>
    <row r="5764" spans="2:5" x14ac:dyDescent="0.25">
      <c r="B5764" s="40"/>
      <c r="C5764" s="40"/>
      <c r="E5764" s="80"/>
    </row>
    <row r="5765" spans="2:5" x14ac:dyDescent="0.25">
      <c r="B5765" s="40"/>
      <c r="C5765" s="40"/>
      <c r="E5765" s="80"/>
    </row>
    <row r="5766" spans="2:5" x14ac:dyDescent="0.25">
      <c r="B5766" s="40"/>
      <c r="C5766" s="40"/>
      <c r="E5766" s="80"/>
    </row>
    <row r="5767" spans="2:5" x14ac:dyDescent="0.25">
      <c r="B5767" s="40"/>
      <c r="C5767" s="40"/>
      <c r="E5767" s="80"/>
    </row>
    <row r="5768" spans="2:5" x14ac:dyDescent="0.25">
      <c r="B5768" s="40"/>
      <c r="C5768" s="40"/>
      <c r="E5768" s="80"/>
    </row>
    <row r="5769" spans="2:5" x14ac:dyDescent="0.25">
      <c r="B5769" s="40"/>
      <c r="C5769" s="40"/>
      <c r="E5769" s="80"/>
    </row>
    <row r="5770" spans="2:5" x14ac:dyDescent="0.25">
      <c r="B5770" s="40"/>
      <c r="C5770" s="40"/>
      <c r="E5770" s="80"/>
    </row>
    <row r="5771" spans="2:5" x14ac:dyDescent="0.25">
      <c r="B5771" s="40"/>
      <c r="C5771" s="40"/>
      <c r="E5771" s="80"/>
    </row>
    <row r="5772" spans="2:5" x14ac:dyDescent="0.25">
      <c r="B5772" s="40"/>
      <c r="C5772" s="40"/>
      <c r="E5772" s="80"/>
    </row>
    <row r="5773" spans="2:5" x14ac:dyDescent="0.25">
      <c r="B5773" s="40"/>
      <c r="C5773" s="40"/>
      <c r="E5773" s="80"/>
    </row>
    <row r="5774" spans="2:5" x14ac:dyDescent="0.25">
      <c r="B5774" s="40"/>
      <c r="C5774" s="40"/>
      <c r="E5774" s="80"/>
    </row>
    <row r="5775" spans="2:5" x14ac:dyDescent="0.25">
      <c r="B5775" s="40"/>
      <c r="C5775" s="40"/>
      <c r="E5775" s="80"/>
    </row>
    <row r="5776" spans="2:5" x14ac:dyDescent="0.25">
      <c r="B5776" s="40"/>
      <c r="C5776" s="40"/>
      <c r="E5776" s="80"/>
    </row>
    <row r="5777" spans="2:5" x14ac:dyDescent="0.25">
      <c r="B5777" s="40"/>
      <c r="C5777" s="40"/>
      <c r="E5777" s="80"/>
    </row>
    <row r="5778" spans="2:5" x14ac:dyDescent="0.25">
      <c r="B5778" s="40"/>
      <c r="C5778" s="40"/>
      <c r="E5778" s="80"/>
    </row>
    <row r="5779" spans="2:5" x14ac:dyDescent="0.25">
      <c r="B5779" s="40"/>
      <c r="C5779" s="40"/>
      <c r="E5779" s="80"/>
    </row>
    <row r="5780" spans="2:5" x14ac:dyDescent="0.25">
      <c r="B5780" s="40"/>
      <c r="C5780" s="40"/>
      <c r="E5780" s="80"/>
    </row>
    <row r="5781" spans="2:5" x14ac:dyDescent="0.25">
      <c r="B5781" s="40"/>
      <c r="C5781" s="40"/>
      <c r="E5781" s="80"/>
    </row>
    <row r="5782" spans="2:5" x14ac:dyDescent="0.25">
      <c r="B5782" s="40"/>
      <c r="C5782" s="40"/>
      <c r="E5782" s="80"/>
    </row>
    <row r="5783" spans="2:5" x14ac:dyDescent="0.25">
      <c r="B5783" s="40"/>
      <c r="C5783" s="40"/>
      <c r="E5783" s="80"/>
    </row>
    <row r="5784" spans="2:5" x14ac:dyDescent="0.25">
      <c r="B5784" s="40"/>
      <c r="C5784" s="40"/>
      <c r="E5784" s="80"/>
    </row>
    <row r="5785" spans="2:5" x14ac:dyDescent="0.25">
      <c r="B5785" s="40"/>
      <c r="C5785" s="40"/>
      <c r="E5785" s="80"/>
    </row>
    <row r="5786" spans="2:5" x14ac:dyDescent="0.25">
      <c r="B5786" s="40"/>
      <c r="C5786" s="40"/>
      <c r="E5786" s="80"/>
    </row>
    <row r="5787" spans="2:5" x14ac:dyDescent="0.25">
      <c r="B5787" s="40"/>
      <c r="C5787" s="40"/>
      <c r="E5787" s="80"/>
    </row>
    <row r="5788" spans="2:5" x14ac:dyDescent="0.25">
      <c r="B5788" s="40"/>
      <c r="C5788" s="40"/>
      <c r="E5788" s="80"/>
    </row>
    <row r="5789" spans="2:5" x14ac:dyDescent="0.25">
      <c r="B5789" s="40"/>
      <c r="C5789" s="40"/>
      <c r="E5789" s="80"/>
    </row>
    <row r="5790" spans="2:5" x14ac:dyDescent="0.25">
      <c r="B5790" s="40"/>
      <c r="C5790" s="40"/>
      <c r="E5790" s="80"/>
    </row>
    <row r="5791" spans="2:5" x14ac:dyDescent="0.25">
      <c r="B5791" s="40"/>
      <c r="C5791" s="40"/>
      <c r="E5791" s="80"/>
    </row>
    <row r="5792" spans="2:5" x14ac:dyDescent="0.25">
      <c r="B5792" s="40"/>
      <c r="C5792" s="40"/>
      <c r="E5792" s="80"/>
    </row>
    <row r="5793" spans="2:5" x14ac:dyDescent="0.25">
      <c r="B5793" s="40"/>
      <c r="C5793" s="40"/>
      <c r="E5793" s="80"/>
    </row>
    <row r="5794" spans="2:5" x14ac:dyDescent="0.25">
      <c r="B5794" s="40"/>
      <c r="C5794" s="40"/>
      <c r="E5794" s="80"/>
    </row>
    <row r="5795" spans="2:5" x14ac:dyDescent="0.25">
      <c r="B5795" s="40"/>
      <c r="C5795" s="40"/>
      <c r="E5795" s="80"/>
    </row>
    <row r="5796" spans="2:5" x14ac:dyDescent="0.25">
      <c r="B5796" s="40"/>
      <c r="C5796" s="40"/>
      <c r="E5796" s="80"/>
    </row>
    <row r="5797" spans="2:5" x14ac:dyDescent="0.25">
      <c r="B5797" s="40"/>
      <c r="C5797" s="40"/>
      <c r="E5797" s="80"/>
    </row>
    <row r="5798" spans="2:5" x14ac:dyDescent="0.25">
      <c r="B5798" s="40"/>
      <c r="C5798" s="40"/>
      <c r="E5798" s="80"/>
    </row>
    <row r="5799" spans="2:5" x14ac:dyDescent="0.25">
      <c r="B5799" s="40"/>
      <c r="C5799" s="40"/>
      <c r="E5799" s="80"/>
    </row>
    <row r="5800" spans="2:5" x14ac:dyDescent="0.25">
      <c r="B5800" s="40"/>
      <c r="C5800" s="40"/>
      <c r="E5800" s="80"/>
    </row>
    <row r="5801" spans="2:5" x14ac:dyDescent="0.25">
      <c r="B5801" s="40"/>
      <c r="C5801" s="40"/>
      <c r="E5801" s="80"/>
    </row>
    <row r="5802" spans="2:5" x14ac:dyDescent="0.25">
      <c r="B5802" s="40"/>
      <c r="C5802" s="40"/>
      <c r="E5802" s="80"/>
    </row>
    <row r="5803" spans="2:5" x14ac:dyDescent="0.25">
      <c r="B5803" s="40"/>
      <c r="C5803" s="40"/>
      <c r="E5803" s="80"/>
    </row>
    <row r="5804" spans="2:5" x14ac:dyDescent="0.25">
      <c r="B5804" s="40"/>
      <c r="C5804" s="40"/>
      <c r="E5804" s="80"/>
    </row>
    <row r="5805" spans="2:5" x14ac:dyDescent="0.25">
      <c r="B5805" s="40"/>
      <c r="C5805" s="40"/>
      <c r="E5805" s="80"/>
    </row>
    <row r="5806" spans="2:5" x14ac:dyDescent="0.25">
      <c r="B5806" s="40"/>
      <c r="C5806" s="40"/>
      <c r="E5806" s="80"/>
    </row>
    <row r="5807" spans="2:5" x14ac:dyDescent="0.25">
      <c r="B5807" s="40"/>
      <c r="C5807" s="40"/>
      <c r="E5807" s="80"/>
    </row>
    <row r="5808" spans="2:5" x14ac:dyDescent="0.25">
      <c r="B5808" s="40"/>
      <c r="C5808" s="40"/>
      <c r="E5808" s="80"/>
    </row>
    <row r="5809" spans="2:5" x14ac:dyDescent="0.25">
      <c r="B5809" s="40"/>
      <c r="C5809" s="40"/>
      <c r="E5809" s="80"/>
    </row>
    <row r="5810" spans="2:5" x14ac:dyDescent="0.25">
      <c r="B5810" s="40"/>
      <c r="C5810" s="40"/>
      <c r="E5810" s="80"/>
    </row>
    <row r="5811" spans="2:5" x14ac:dyDescent="0.25">
      <c r="B5811" s="40"/>
      <c r="C5811" s="40"/>
      <c r="E5811" s="80"/>
    </row>
    <row r="5812" spans="2:5" x14ac:dyDescent="0.25">
      <c r="B5812" s="40"/>
      <c r="C5812" s="40"/>
      <c r="E5812" s="80"/>
    </row>
    <row r="5813" spans="2:5" x14ac:dyDescent="0.25">
      <c r="B5813" s="40"/>
      <c r="C5813" s="40"/>
      <c r="E5813" s="80"/>
    </row>
    <row r="5814" spans="2:5" x14ac:dyDescent="0.25">
      <c r="B5814" s="40"/>
      <c r="C5814" s="40"/>
      <c r="E5814" s="80"/>
    </row>
    <row r="5815" spans="2:5" x14ac:dyDescent="0.25">
      <c r="B5815" s="40"/>
      <c r="C5815" s="40"/>
      <c r="E5815" s="80"/>
    </row>
    <row r="5816" spans="2:5" x14ac:dyDescent="0.25">
      <c r="B5816" s="40"/>
      <c r="C5816" s="40"/>
      <c r="E5816" s="80"/>
    </row>
    <row r="5817" spans="2:5" x14ac:dyDescent="0.25">
      <c r="B5817" s="40"/>
      <c r="C5817" s="40"/>
      <c r="E5817" s="80"/>
    </row>
    <row r="5818" spans="2:5" x14ac:dyDescent="0.25">
      <c r="B5818" s="40"/>
      <c r="C5818" s="40"/>
      <c r="E5818" s="80"/>
    </row>
    <row r="5819" spans="2:5" x14ac:dyDescent="0.25">
      <c r="B5819" s="40"/>
      <c r="C5819" s="40"/>
      <c r="E5819" s="80"/>
    </row>
    <row r="5820" spans="2:5" x14ac:dyDescent="0.25">
      <c r="B5820" s="40"/>
      <c r="C5820" s="40"/>
      <c r="E5820" s="80"/>
    </row>
    <row r="5821" spans="2:5" x14ac:dyDescent="0.25">
      <c r="B5821" s="40"/>
      <c r="C5821" s="40"/>
      <c r="E5821" s="80"/>
    </row>
    <row r="5822" spans="2:5" x14ac:dyDescent="0.25">
      <c r="B5822" s="40"/>
      <c r="C5822" s="40"/>
      <c r="E5822" s="80"/>
    </row>
    <row r="5823" spans="2:5" x14ac:dyDescent="0.25">
      <c r="B5823" s="40"/>
      <c r="C5823" s="40"/>
      <c r="E5823" s="80"/>
    </row>
    <row r="5824" spans="2:5" x14ac:dyDescent="0.25">
      <c r="B5824" s="40"/>
      <c r="C5824" s="40"/>
      <c r="E5824" s="80"/>
    </row>
    <row r="5825" spans="2:5" x14ac:dyDescent="0.25">
      <c r="B5825" s="40"/>
      <c r="C5825" s="40"/>
      <c r="E5825" s="80"/>
    </row>
    <row r="5826" spans="2:5" x14ac:dyDescent="0.25">
      <c r="B5826" s="40"/>
      <c r="C5826" s="40"/>
      <c r="E5826" s="80"/>
    </row>
    <row r="5827" spans="2:5" x14ac:dyDescent="0.25">
      <c r="B5827" s="40"/>
      <c r="C5827" s="40"/>
      <c r="E5827" s="80"/>
    </row>
    <row r="5828" spans="2:5" x14ac:dyDescent="0.25">
      <c r="B5828" s="40"/>
      <c r="C5828" s="40"/>
      <c r="E5828" s="80"/>
    </row>
    <row r="5829" spans="2:5" x14ac:dyDescent="0.25">
      <c r="B5829" s="40"/>
      <c r="C5829" s="40"/>
      <c r="E5829" s="80"/>
    </row>
    <row r="5830" spans="2:5" x14ac:dyDescent="0.25">
      <c r="B5830" s="40"/>
      <c r="C5830" s="40"/>
      <c r="E5830" s="80"/>
    </row>
    <row r="5831" spans="2:5" x14ac:dyDescent="0.25">
      <c r="B5831" s="40"/>
      <c r="C5831" s="40"/>
      <c r="E5831" s="80"/>
    </row>
    <row r="5832" spans="2:5" x14ac:dyDescent="0.25">
      <c r="B5832" s="40"/>
      <c r="C5832" s="40"/>
      <c r="E5832" s="80"/>
    </row>
    <row r="5833" spans="2:5" x14ac:dyDescent="0.25">
      <c r="B5833" s="40"/>
      <c r="C5833" s="40"/>
      <c r="E5833" s="80"/>
    </row>
    <row r="5834" spans="2:5" x14ac:dyDescent="0.25">
      <c r="B5834" s="40"/>
      <c r="C5834" s="40"/>
      <c r="E5834" s="80"/>
    </row>
    <row r="5835" spans="2:5" x14ac:dyDescent="0.25">
      <c r="B5835" s="40"/>
      <c r="C5835" s="40"/>
      <c r="E5835" s="80"/>
    </row>
    <row r="5836" spans="2:5" x14ac:dyDescent="0.25">
      <c r="B5836" s="40"/>
      <c r="C5836" s="40"/>
      <c r="E5836" s="80"/>
    </row>
    <row r="5837" spans="2:5" x14ac:dyDescent="0.25">
      <c r="B5837" s="40"/>
      <c r="C5837" s="40"/>
      <c r="E5837" s="80"/>
    </row>
    <row r="5838" spans="2:5" x14ac:dyDescent="0.25">
      <c r="B5838" s="40"/>
      <c r="C5838" s="40"/>
      <c r="E5838" s="80"/>
    </row>
    <row r="5839" spans="2:5" x14ac:dyDescent="0.25">
      <c r="B5839" s="40"/>
      <c r="C5839" s="40"/>
      <c r="E5839" s="80"/>
    </row>
    <row r="5840" spans="2:5" x14ac:dyDescent="0.25">
      <c r="B5840" s="40"/>
      <c r="C5840" s="40"/>
      <c r="E5840" s="80"/>
    </row>
    <row r="5841" spans="2:5" x14ac:dyDescent="0.25">
      <c r="B5841" s="40"/>
      <c r="C5841" s="40"/>
      <c r="E5841" s="80"/>
    </row>
    <row r="5842" spans="2:5" x14ac:dyDescent="0.25">
      <c r="B5842" s="40"/>
      <c r="C5842" s="40"/>
      <c r="E5842" s="80"/>
    </row>
    <row r="5843" spans="2:5" x14ac:dyDescent="0.25">
      <c r="B5843" s="40"/>
      <c r="C5843" s="40"/>
      <c r="E5843" s="80"/>
    </row>
    <row r="5844" spans="2:5" x14ac:dyDescent="0.25">
      <c r="B5844" s="40"/>
      <c r="C5844" s="40"/>
      <c r="E5844" s="80"/>
    </row>
    <row r="5845" spans="2:5" x14ac:dyDescent="0.25">
      <c r="B5845" s="40"/>
      <c r="C5845" s="40"/>
      <c r="E5845" s="80"/>
    </row>
    <row r="5846" spans="2:5" x14ac:dyDescent="0.25">
      <c r="B5846" s="40"/>
      <c r="C5846" s="40"/>
      <c r="E5846" s="80"/>
    </row>
    <row r="5847" spans="2:5" x14ac:dyDescent="0.25">
      <c r="B5847" s="40"/>
      <c r="C5847" s="40"/>
      <c r="E5847" s="80"/>
    </row>
    <row r="5848" spans="2:5" x14ac:dyDescent="0.25">
      <c r="B5848" s="40"/>
      <c r="C5848" s="40"/>
      <c r="E5848" s="80"/>
    </row>
    <row r="5849" spans="2:5" x14ac:dyDescent="0.25">
      <c r="B5849" s="40"/>
      <c r="C5849" s="40"/>
      <c r="E5849" s="80"/>
    </row>
    <row r="5850" spans="2:5" x14ac:dyDescent="0.25">
      <c r="B5850" s="40"/>
      <c r="C5850" s="40"/>
      <c r="E5850" s="80"/>
    </row>
    <row r="5851" spans="2:5" x14ac:dyDescent="0.25">
      <c r="B5851" s="40"/>
      <c r="C5851" s="40"/>
      <c r="E5851" s="80"/>
    </row>
    <row r="5852" spans="2:5" x14ac:dyDescent="0.25">
      <c r="B5852" s="40"/>
      <c r="C5852" s="40"/>
      <c r="E5852" s="80"/>
    </row>
    <row r="5853" spans="2:5" x14ac:dyDescent="0.25">
      <c r="B5853" s="40"/>
      <c r="C5853" s="40"/>
      <c r="E5853" s="80"/>
    </row>
    <row r="5854" spans="2:5" x14ac:dyDescent="0.25">
      <c r="B5854" s="40"/>
      <c r="C5854" s="40"/>
      <c r="E5854" s="80"/>
    </row>
    <row r="5855" spans="2:5" x14ac:dyDescent="0.25">
      <c r="B5855" s="40"/>
      <c r="C5855" s="40"/>
      <c r="E5855" s="80"/>
    </row>
    <row r="5856" spans="2:5" x14ac:dyDescent="0.25">
      <c r="B5856" s="40"/>
      <c r="C5856" s="40"/>
      <c r="E5856" s="80"/>
    </row>
    <row r="5857" spans="2:5" x14ac:dyDescent="0.25">
      <c r="B5857" s="40"/>
      <c r="C5857" s="40"/>
      <c r="E5857" s="80"/>
    </row>
    <row r="5858" spans="2:5" x14ac:dyDescent="0.25">
      <c r="B5858" s="40"/>
      <c r="C5858" s="40"/>
      <c r="E5858" s="80"/>
    </row>
    <row r="5859" spans="2:5" x14ac:dyDescent="0.25">
      <c r="B5859" s="40"/>
      <c r="C5859" s="40"/>
      <c r="E5859" s="80"/>
    </row>
    <row r="5860" spans="2:5" x14ac:dyDescent="0.25">
      <c r="B5860" s="40"/>
      <c r="C5860" s="40"/>
      <c r="E5860" s="80"/>
    </row>
    <row r="5861" spans="2:5" x14ac:dyDescent="0.25">
      <c r="B5861" s="40"/>
      <c r="C5861" s="40"/>
      <c r="E5861" s="80"/>
    </row>
    <row r="5862" spans="2:5" x14ac:dyDescent="0.25">
      <c r="B5862" s="40"/>
      <c r="C5862" s="40"/>
      <c r="E5862" s="80"/>
    </row>
    <row r="5863" spans="2:5" x14ac:dyDescent="0.25">
      <c r="B5863" s="40"/>
      <c r="C5863" s="40"/>
      <c r="E5863" s="80"/>
    </row>
    <row r="5864" spans="2:5" x14ac:dyDescent="0.25">
      <c r="B5864" s="40"/>
      <c r="C5864" s="40"/>
      <c r="E5864" s="80"/>
    </row>
    <row r="5865" spans="2:5" x14ac:dyDescent="0.25">
      <c r="B5865" s="40"/>
      <c r="C5865" s="40"/>
      <c r="E5865" s="80"/>
    </row>
    <row r="5866" spans="2:5" x14ac:dyDescent="0.25">
      <c r="B5866" s="40"/>
      <c r="C5866" s="40"/>
      <c r="E5866" s="80"/>
    </row>
    <row r="5867" spans="2:5" x14ac:dyDescent="0.25">
      <c r="B5867" s="40"/>
      <c r="C5867" s="40"/>
      <c r="E5867" s="80"/>
    </row>
    <row r="5868" spans="2:5" x14ac:dyDescent="0.25">
      <c r="B5868" s="40"/>
      <c r="C5868" s="40"/>
      <c r="E5868" s="80"/>
    </row>
    <row r="5869" spans="2:5" x14ac:dyDescent="0.25">
      <c r="B5869" s="40"/>
      <c r="C5869" s="40"/>
      <c r="E5869" s="80"/>
    </row>
    <row r="5870" spans="2:5" x14ac:dyDescent="0.25">
      <c r="B5870" s="40"/>
      <c r="C5870" s="40"/>
      <c r="E5870" s="80"/>
    </row>
    <row r="5871" spans="2:5" x14ac:dyDescent="0.25">
      <c r="B5871" s="40"/>
      <c r="C5871" s="40"/>
      <c r="E5871" s="80"/>
    </row>
    <row r="5872" spans="2:5" x14ac:dyDescent="0.25">
      <c r="B5872" s="40"/>
      <c r="C5872" s="40"/>
      <c r="E5872" s="80"/>
    </row>
    <row r="5873" spans="2:5" x14ac:dyDescent="0.25">
      <c r="B5873" s="40"/>
      <c r="C5873" s="40"/>
      <c r="E5873" s="80"/>
    </row>
    <row r="5874" spans="2:5" x14ac:dyDescent="0.25">
      <c r="B5874" s="40"/>
      <c r="C5874" s="40"/>
      <c r="E5874" s="80"/>
    </row>
    <row r="5875" spans="2:5" x14ac:dyDescent="0.25">
      <c r="B5875" s="40"/>
      <c r="C5875" s="40"/>
      <c r="E5875" s="80"/>
    </row>
    <row r="5876" spans="2:5" x14ac:dyDescent="0.25">
      <c r="B5876" s="40"/>
      <c r="C5876" s="40"/>
      <c r="E5876" s="80"/>
    </row>
    <row r="5877" spans="2:5" x14ac:dyDescent="0.25">
      <c r="B5877" s="40"/>
      <c r="C5877" s="40"/>
      <c r="E5877" s="80"/>
    </row>
    <row r="5878" spans="2:5" x14ac:dyDescent="0.25">
      <c r="B5878" s="40"/>
      <c r="C5878" s="40"/>
      <c r="E5878" s="80"/>
    </row>
    <row r="5879" spans="2:5" x14ac:dyDescent="0.25">
      <c r="B5879" s="40"/>
      <c r="C5879" s="40"/>
      <c r="E5879" s="80"/>
    </row>
    <row r="5880" spans="2:5" x14ac:dyDescent="0.25">
      <c r="B5880" s="40"/>
      <c r="C5880" s="40"/>
      <c r="E5880" s="80"/>
    </row>
    <row r="5881" spans="2:5" x14ac:dyDescent="0.25">
      <c r="B5881" s="40"/>
      <c r="C5881" s="40"/>
      <c r="E5881" s="80"/>
    </row>
    <row r="5882" spans="2:5" x14ac:dyDescent="0.25">
      <c r="B5882" s="40"/>
      <c r="C5882" s="40"/>
      <c r="E5882" s="80"/>
    </row>
    <row r="5883" spans="2:5" x14ac:dyDescent="0.25">
      <c r="B5883" s="40"/>
      <c r="C5883" s="40"/>
      <c r="E5883" s="80"/>
    </row>
    <row r="5884" spans="2:5" x14ac:dyDescent="0.25">
      <c r="B5884" s="40"/>
      <c r="C5884" s="40"/>
      <c r="E5884" s="80"/>
    </row>
    <row r="5885" spans="2:5" x14ac:dyDescent="0.25">
      <c r="B5885" s="40"/>
      <c r="C5885" s="40"/>
      <c r="E5885" s="80"/>
    </row>
    <row r="5886" spans="2:5" x14ac:dyDescent="0.25">
      <c r="B5886" s="40"/>
      <c r="C5886" s="40"/>
      <c r="E5886" s="80"/>
    </row>
    <row r="5887" spans="2:5" x14ac:dyDescent="0.25">
      <c r="B5887" s="40"/>
      <c r="C5887" s="40"/>
      <c r="E5887" s="80"/>
    </row>
    <row r="5888" spans="2:5" x14ac:dyDescent="0.25">
      <c r="B5888" s="40"/>
      <c r="C5888" s="40"/>
      <c r="E5888" s="80"/>
    </row>
    <row r="5889" spans="2:5" x14ac:dyDescent="0.25">
      <c r="B5889" s="40"/>
      <c r="C5889" s="40"/>
      <c r="E5889" s="80"/>
    </row>
    <row r="5890" spans="2:5" x14ac:dyDescent="0.25">
      <c r="B5890" s="40"/>
      <c r="C5890" s="40"/>
      <c r="E5890" s="80"/>
    </row>
    <row r="5891" spans="2:5" x14ac:dyDescent="0.25">
      <c r="B5891" s="40"/>
      <c r="C5891" s="40"/>
      <c r="E5891" s="80"/>
    </row>
    <row r="5892" spans="2:5" x14ac:dyDescent="0.25">
      <c r="B5892" s="40"/>
      <c r="C5892" s="40"/>
      <c r="E5892" s="80"/>
    </row>
    <row r="5893" spans="2:5" x14ac:dyDescent="0.25">
      <c r="B5893" s="40"/>
      <c r="C5893" s="40"/>
      <c r="E5893" s="80"/>
    </row>
    <row r="5894" spans="2:5" x14ac:dyDescent="0.25">
      <c r="B5894" s="40"/>
      <c r="C5894" s="40"/>
      <c r="E5894" s="80"/>
    </row>
    <row r="5895" spans="2:5" x14ac:dyDescent="0.25">
      <c r="B5895" s="40"/>
      <c r="C5895" s="40"/>
      <c r="E5895" s="80"/>
    </row>
    <row r="5896" spans="2:5" x14ac:dyDescent="0.25">
      <c r="B5896" s="40"/>
      <c r="C5896" s="40"/>
      <c r="E5896" s="80"/>
    </row>
    <row r="5897" spans="2:5" x14ac:dyDescent="0.25">
      <c r="B5897" s="40"/>
      <c r="C5897" s="40"/>
      <c r="E5897" s="80"/>
    </row>
    <row r="5898" spans="2:5" x14ac:dyDescent="0.25">
      <c r="B5898" s="40"/>
      <c r="C5898" s="40"/>
      <c r="E5898" s="80"/>
    </row>
    <row r="5899" spans="2:5" x14ac:dyDescent="0.25">
      <c r="B5899" s="40"/>
      <c r="C5899" s="40"/>
      <c r="E5899" s="80"/>
    </row>
    <row r="5900" spans="2:5" x14ac:dyDescent="0.25">
      <c r="B5900" s="40"/>
      <c r="C5900" s="40"/>
      <c r="E5900" s="80"/>
    </row>
    <row r="5901" spans="2:5" x14ac:dyDescent="0.25">
      <c r="B5901" s="40"/>
      <c r="C5901" s="40"/>
      <c r="E5901" s="80"/>
    </row>
    <row r="5902" spans="2:5" x14ac:dyDescent="0.25">
      <c r="B5902" s="40"/>
      <c r="C5902" s="40"/>
      <c r="E5902" s="80"/>
    </row>
    <row r="5903" spans="2:5" x14ac:dyDescent="0.25">
      <c r="B5903" s="40"/>
      <c r="C5903" s="40"/>
      <c r="E5903" s="80"/>
    </row>
    <row r="5904" spans="2:5" x14ac:dyDescent="0.25">
      <c r="B5904" s="40"/>
      <c r="C5904" s="40"/>
      <c r="E5904" s="80"/>
    </row>
    <row r="5905" spans="2:5" x14ac:dyDescent="0.25">
      <c r="B5905" s="40"/>
      <c r="C5905" s="40"/>
      <c r="E5905" s="80"/>
    </row>
    <row r="5906" spans="2:5" x14ac:dyDescent="0.25">
      <c r="B5906" s="40"/>
      <c r="C5906" s="40"/>
      <c r="E5906" s="80"/>
    </row>
    <row r="5907" spans="2:5" x14ac:dyDescent="0.25">
      <c r="B5907" s="40"/>
      <c r="C5907" s="40"/>
      <c r="E5907" s="80"/>
    </row>
    <row r="5908" spans="2:5" x14ac:dyDescent="0.25">
      <c r="B5908" s="40"/>
      <c r="C5908" s="40"/>
      <c r="E5908" s="80"/>
    </row>
    <row r="5909" spans="2:5" x14ac:dyDescent="0.25">
      <c r="B5909" s="40"/>
      <c r="C5909" s="40"/>
      <c r="E5909" s="80"/>
    </row>
    <row r="5910" spans="2:5" x14ac:dyDescent="0.25">
      <c r="B5910" s="40"/>
      <c r="C5910" s="40"/>
      <c r="E5910" s="80"/>
    </row>
    <row r="5911" spans="2:5" x14ac:dyDescent="0.25">
      <c r="B5911" s="40"/>
      <c r="C5911" s="40"/>
      <c r="E5911" s="80"/>
    </row>
    <row r="5912" spans="2:5" x14ac:dyDescent="0.25">
      <c r="B5912" s="40"/>
      <c r="C5912" s="40"/>
      <c r="E5912" s="80"/>
    </row>
    <row r="5913" spans="2:5" x14ac:dyDescent="0.25">
      <c r="B5913" s="40"/>
      <c r="C5913" s="40"/>
      <c r="E5913" s="80"/>
    </row>
    <row r="5914" spans="2:5" x14ac:dyDescent="0.25">
      <c r="B5914" s="40"/>
      <c r="C5914" s="40"/>
      <c r="E5914" s="80"/>
    </row>
    <row r="5915" spans="2:5" x14ac:dyDescent="0.25">
      <c r="B5915" s="40"/>
      <c r="C5915" s="40"/>
      <c r="E5915" s="80"/>
    </row>
    <row r="5916" spans="2:5" x14ac:dyDescent="0.25">
      <c r="B5916" s="40"/>
      <c r="C5916" s="40"/>
      <c r="E5916" s="80"/>
    </row>
    <row r="5917" spans="2:5" x14ac:dyDescent="0.25">
      <c r="B5917" s="40"/>
      <c r="C5917" s="40"/>
      <c r="E5917" s="80"/>
    </row>
    <row r="5918" spans="2:5" x14ac:dyDescent="0.25">
      <c r="B5918" s="40"/>
      <c r="C5918" s="40"/>
      <c r="E5918" s="80"/>
    </row>
    <row r="5919" spans="2:5" x14ac:dyDescent="0.25">
      <c r="B5919" s="40"/>
      <c r="C5919" s="40"/>
      <c r="E5919" s="80"/>
    </row>
    <row r="5920" spans="2:5" x14ac:dyDescent="0.25">
      <c r="B5920" s="40"/>
      <c r="C5920" s="40"/>
      <c r="E5920" s="80"/>
    </row>
    <row r="5921" spans="2:5" x14ac:dyDescent="0.25">
      <c r="B5921" s="40"/>
      <c r="C5921" s="40"/>
      <c r="E5921" s="80"/>
    </row>
    <row r="5922" spans="2:5" x14ac:dyDescent="0.25">
      <c r="B5922" s="40"/>
      <c r="C5922" s="40"/>
      <c r="E5922" s="80"/>
    </row>
    <row r="5923" spans="2:5" x14ac:dyDescent="0.25">
      <c r="B5923" s="40"/>
      <c r="C5923" s="40"/>
      <c r="E5923" s="80"/>
    </row>
    <row r="5924" spans="2:5" x14ac:dyDescent="0.25">
      <c r="B5924" s="40"/>
      <c r="C5924" s="40"/>
      <c r="E5924" s="80"/>
    </row>
    <row r="5925" spans="2:5" x14ac:dyDescent="0.25">
      <c r="B5925" s="40"/>
      <c r="C5925" s="40"/>
      <c r="E5925" s="80"/>
    </row>
    <row r="5926" spans="2:5" x14ac:dyDescent="0.25">
      <c r="B5926" s="40"/>
      <c r="C5926" s="40"/>
      <c r="E5926" s="80"/>
    </row>
    <row r="5927" spans="2:5" x14ac:dyDescent="0.25">
      <c r="B5927" s="40"/>
      <c r="C5927" s="40"/>
      <c r="E5927" s="80"/>
    </row>
    <row r="5928" spans="2:5" x14ac:dyDescent="0.25">
      <c r="B5928" s="40"/>
      <c r="C5928" s="40"/>
      <c r="E5928" s="80"/>
    </row>
    <row r="5929" spans="2:5" x14ac:dyDescent="0.25">
      <c r="B5929" s="40"/>
      <c r="C5929" s="40"/>
      <c r="E5929" s="80"/>
    </row>
    <row r="5930" spans="2:5" x14ac:dyDescent="0.25">
      <c r="B5930" s="40"/>
      <c r="C5930" s="40"/>
      <c r="E5930" s="80"/>
    </row>
    <row r="5931" spans="2:5" x14ac:dyDescent="0.25">
      <c r="B5931" s="40"/>
      <c r="C5931" s="40"/>
      <c r="E5931" s="80"/>
    </row>
    <row r="5932" spans="2:5" x14ac:dyDescent="0.25">
      <c r="B5932" s="40"/>
      <c r="C5932" s="40"/>
      <c r="E5932" s="80"/>
    </row>
    <row r="5933" spans="2:5" x14ac:dyDescent="0.25">
      <c r="B5933" s="40"/>
      <c r="C5933" s="40"/>
      <c r="E5933" s="80"/>
    </row>
    <row r="5934" spans="2:5" x14ac:dyDescent="0.25">
      <c r="B5934" s="40"/>
      <c r="C5934" s="40"/>
      <c r="E5934" s="80"/>
    </row>
    <row r="5935" spans="2:5" x14ac:dyDescent="0.25">
      <c r="B5935" s="40"/>
      <c r="C5935" s="40"/>
      <c r="E5935" s="80"/>
    </row>
    <row r="5936" spans="2:5" x14ac:dyDescent="0.25">
      <c r="B5936" s="40"/>
      <c r="C5936" s="40"/>
      <c r="E5936" s="80"/>
    </row>
    <row r="5937" spans="2:5" x14ac:dyDescent="0.25">
      <c r="B5937" s="40"/>
      <c r="C5937" s="40"/>
      <c r="E5937" s="80"/>
    </row>
    <row r="5938" spans="2:5" x14ac:dyDescent="0.25">
      <c r="B5938" s="40"/>
      <c r="C5938" s="40"/>
      <c r="E5938" s="80"/>
    </row>
    <row r="5939" spans="2:5" x14ac:dyDescent="0.25">
      <c r="B5939" s="40"/>
      <c r="C5939" s="40"/>
      <c r="E5939" s="80"/>
    </row>
    <row r="5940" spans="2:5" x14ac:dyDescent="0.25">
      <c r="B5940" s="40"/>
      <c r="C5940" s="40"/>
      <c r="E5940" s="80"/>
    </row>
    <row r="5941" spans="2:5" x14ac:dyDescent="0.25">
      <c r="B5941" s="40"/>
      <c r="C5941" s="40"/>
      <c r="E5941" s="80"/>
    </row>
    <row r="5942" spans="2:5" x14ac:dyDescent="0.25">
      <c r="B5942" s="40"/>
      <c r="C5942" s="40"/>
      <c r="E5942" s="80"/>
    </row>
    <row r="5943" spans="2:5" x14ac:dyDescent="0.25">
      <c r="B5943" s="40"/>
      <c r="C5943" s="40"/>
      <c r="E5943" s="80"/>
    </row>
    <row r="5944" spans="2:5" x14ac:dyDescent="0.25">
      <c r="B5944" s="40"/>
      <c r="C5944" s="40"/>
      <c r="E5944" s="80"/>
    </row>
    <row r="5945" spans="2:5" x14ac:dyDescent="0.25">
      <c r="B5945" s="40"/>
      <c r="C5945" s="40"/>
      <c r="E5945" s="80"/>
    </row>
    <row r="5946" spans="2:5" x14ac:dyDescent="0.25">
      <c r="B5946" s="40"/>
      <c r="C5946" s="40"/>
      <c r="E5946" s="80"/>
    </row>
    <row r="5947" spans="2:5" x14ac:dyDescent="0.25">
      <c r="B5947" s="40"/>
      <c r="C5947" s="40"/>
      <c r="E5947" s="80"/>
    </row>
    <row r="5948" spans="2:5" x14ac:dyDescent="0.25">
      <c r="B5948" s="40"/>
      <c r="C5948" s="40"/>
      <c r="E5948" s="80"/>
    </row>
    <row r="5949" spans="2:5" x14ac:dyDescent="0.25">
      <c r="B5949" s="40"/>
      <c r="C5949" s="40"/>
      <c r="E5949" s="80"/>
    </row>
    <row r="5950" spans="2:5" x14ac:dyDescent="0.25">
      <c r="B5950" s="40"/>
      <c r="C5950" s="40"/>
      <c r="E5950" s="80"/>
    </row>
    <row r="5951" spans="2:5" x14ac:dyDescent="0.25">
      <c r="B5951" s="40"/>
      <c r="C5951" s="40"/>
      <c r="E5951" s="80"/>
    </row>
    <row r="5952" spans="2:5" x14ac:dyDescent="0.25">
      <c r="B5952" s="40"/>
      <c r="C5952" s="40"/>
      <c r="E5952" s="80"/>
    </row>
    <row r="5953" spans="2:5" x14ac:dyDescent="0.25">
      <c r="B5953" s="40"/>
      <c r="C5953" s="40"/>
      <c r="E5953" s="80"/>
    </row>
    <row r="5954" spans="2:5" x14ac:dyDescent="0.25">
      <c r="B5954" s="40"/>
      <c r="C5954" s="40"/>
      <c r="E5954" s="80"/>
    </row>
    <row r="5955" spans="2:5" x14ac:dyDescent="0.25">
      <c r="B5955" s="40"/>
      <c r="C5955" s="40"/>
      <c r="E5955" s="80"/>
    </row>
    <row r="5956" spans="2:5" x14ac:dyDescent="0.25">
      <c r="B5956" s="40"/>
      <c r="C5956" s="40"/>
      <c r="E5956" s="80"/>
    </row>
    <row r="5957" spans="2:5" x14ac:dyDescent="0.25">
      <c r="B5957" s="40"/>
      <c r="C5957" s="40"/>
      <c r="E5957" s="80"/>
    </row>
    <row r="5958" spans="2:5" x14ac:dyDescent="0.25">
      <c r="B5958" s="40"/>
      <c r="C5958" s="40"/>
      <c r="E5958" s="80"/>
    </row>
    <row r="5959" spans="2:5" x14ac:dyDescent="0.25">
      <c r="B5959" s="40"/>
      <c r="C5959" s="40"/>
      <c r="E5959" s="80"/>
    </row>
    <row r="5960" spans="2:5" x14ac:dyDescent="0.25">
      <c r="B5960" s="40"/>
      <c r="C5960" s="40"/>
      <c r="E5960" s="80"/>
    </row>
    <row r="5961" spans="2:5" x14ac:dyDescent="0.25">
      <c r="B5961" s="40"/>
      <c r="C5961" s="40"/>
      <c r="E5961" s="80"/>
    </row>
    <row r="5962" spans="2:5" x14ac:dyDescent="0.25">
      <c r="B5962" s="40"/>
      <c r="C5962" s="40"/>
      <c r="E5962" s="80"/>
    </row>
    <row r="5963" spans="2:5" x14ac:dyDescent="0.25">
      <c r="B5963" s="40"/>
      <c r="C5963" s="40"/>
      <c r="E5963" s="80"/>
    </row>
    <row r="5964" spans="2:5" x14ac:dyDescent="0.25">
      <c r="B5964" s="40"/>
      <c r="C5964" s="40"/>
      <c r="E5964" s="80"/>
    </row>
    <row r="5965" spans="2:5" x14ac:dyDescent="0.25">
      <c r="B5965" s="40"/>
      <c r="C5965" s="40"/>
      <c r="E5965" s="80"/>
    </row>
    <row r="5966" spans="2:5" x14ac:dyDescent="0.25">
      <c r="B5966" s="40"/>
      <c r="C5966" s="40"/>
      <c r="E5966" s="80"/>
    </row>
    <row r="5967" spans="2:5" x14ac:dyDescent="0.25">
      <c r="B5967" s="40"/>
      <c r="C5967" s="40"/>
      <c r="E5967" s="80"/>
    </row>
    <row r="5968" spans="2:5" x14ac:dyDescent="0.25">
      <c r="B5968" s="40"/>
      <c r="C5968" s="40"/>
      <c r="E5968" s="80"/>
    </row>
    <row r="5969" spans="2:5" x14ac:dyDescent="0.25">
      <c r="B5969" s="40"/>
      <c r="C5969" s="40"/>
      <c r="E5969" s="80"/>
    </row>
    <row r="5970" spans="2:5" x14ac:dyDescent="0.25">
      <c r="B5970" s="40"/>
      <c r="C5970" s="40"/>
      <c r="E5970" s="80"/>
    </row>
    <row r="5971" spans="2:5" x14ac:dyDescent="0.25">
      <c r="B5971" s="40"/>
      <c r="C5971" s="40"/>
      <c r="E5971" s="80"/>
    </row>
    <row r="5972" spans="2:5" x14ac:dyDescent="0.25">
      <c r="B5972" s="40"/>
      <c r="C5972" s="40"/>
      <c r="E5972" s="80"/>
    </row>
    <row r="5973" spans="2:5" x14ac:dyDescent="0.25">
      <c r="B5973" s="40"/>
      <c r="C5973" s="40"/>
      <c r="E5973" s="80"/>
    </row>
    <row r="5974" spans="2:5" x14ac:dyDescent="0.25">
      <c r="B5974" s="40"/>
      <c r="C5974" s="40"/>
      <c r="E5974" s="80"/>
    </row>
    <row r="5975" spans="2:5" x14ac:dyDescent="0.25">
      <c r="B5975" s="40"/>
      <c r="C5975" s="40"/>
      <c r="E5975" s="80"/>
    </row>
    <row r="5976" spans="2:5" x14ac:dyDescent="0.25">
      <c r="B5976" s="40"/>
      <c r="C5976" s="40"/>
      <c r="E5976" s="80"/>
    </row>
    <row r="5977" spans="2:5" x14ac:dyDescent="0.25">
      <c r="B5977" s="40"/>
      <c r="C5977" s="40"/>
      <c r="E5977" s="80"/>
    </row>
    <row r="5978" spans="2:5" x14ac:dyDescent="0.25">
      <c r="B5978" s="40"/>
      <c r="C5978" s="40"/>
      <c r="E5978" s="80"/>
    </row>
    <row r="5979" spans="2:5" x14ac:dyDescent="0.25">
      <c r="B5979" s="40"/>
      <c r="C5979" s="40"/>
      <c r="E5979" s="80"/>
    </row>
    <row r="5980" spans="2:5" x14ac:dyDescent="0.25">
      <c r="B5980" s="40"/>
      <c r="C5980" s="40"/>
      <c r="E5980" s="80"/>
    </row>
    <row r="5981" spans="2:5" x14ac:dyDescent="0.25">
      <c r="B5981" s="40"/>
      <c r="C5981" s="40"/>
      <c r="E5981" s="80"/>
    </row>
    <row r="5982" spans="2:5" x14ac:dyDescent="0.25">
      <c r="B5982" s="40"/>
      <c r="C5982" s="40"/>
      <c r="E5982" s="80"/>
    </row>
    <row r="5983" spans="2:5" x14ac:dyDescent="0.25">
      <c r="B5983" s="40"/>
      <c r="C5983" s="40"/>
      <c r="E5983" s="80"/>
    </row>
    <row r="5984" spans="2:5" x14ac:dyDescent="0.25">
      <c r="B5984" s="40"/>
      <c r="C5984" s="40"/>
      <c r="E5984" s="80"/>
    </row>
    <row r="5985" spans="2:5" x14ac:dyDescent="0.25">
      <c r="B5985" s="40"/>
      <c r="C5985" s="40"/>
      <c r="E5985" s="80"/>
    </row>
    <row r="5986" spans="2:5" x14ac:dyDescent="0.25">
      <c r="B5986" s="40"/>
      <c r="C5986" s="40"/>
      <c r="E5986" s="80"/>
    </row>
    <row r="5987" spans="2:5" x14ac:dyDescent="0.25">
      <c r="B5987" s="40"/>
      <c r="C5987" s="40"/>
      <c r="E5987" s="80"/>
    </row>
    <row r="5988" spans="2:5" x14ac:dyDescent="0.25">
      <c r="B5988" s="40"/>
      <c r="C5988" s="40"/>
      <c r="E5988" s="80"/>
    </row>
    <row r="5989" spans="2:5" x14ac:dyDescent="0.25">
      <c r="B5989" s="40"/>
      <c r="C5989" s="40"/>
      <c r="E5989" s="80"/>
    </row>
    <row r="5990" spans="2:5" x14ac:dyDescent="0.25">
      <c r="B5990" s="40"/>
      <c r="C5990" s="40"/>
      <c r="E5990" s="80"/>
    </row>
    <row r="5991" spans="2:5" x14ac:dyDescent="0.25">
      <c r="B5991" s="40"/>
      <c r="C5991" s="40"/>
      <c r="E5991" s="80"/>
    </row>
    <row r="5992" spans="2:5" x14ac:dyDescent="0.25">
      <c r="B5992" s="40"/>
      <c r="C5992" s="40"/>
      <c r="E5992" s="80"/>
    </row>
    <row r="5993" spans="2:5" x14ac:dyDescent="0.25">
      <c r="B5993" s="40"/>
      <c r="C5993" s="40"/>
      <c r="E5993" s="80"/>
    </row>
    <row r="5994" spans="2:5" x14ac:dyDescent="0.25">
      <c r="B5994" s="40"/>
      <c r="C5994" s="40"/>
      <c r="E5994" s="80"/>
    </row>
    <row r="5995" spans="2:5" x14ac:dyDescent="0.25">
      <c r="B5995" s="40"/>
      <c r="C5995" s="40"/>
      <c r="E5995" s="80"/>
    </row>
    <row r="5996" spans="2:5" x14ac:dyDescent="0.25">
      <c r="B5996" s="40"/>
      <c r="C5996" s="40"/>
      <c r="E5996" s="80"/>
    </row>
    <row r="5997" spans="2:5" x14ac:dyDescent="0.25">
      <c r="B5997" s="40"/>
      <c r="C5997" s="40"/>
      <c r="E5997" s="80"/>
    </row>
    <row r="5998" spans="2:5" x14ac:dyDescent="0.25">
      <c r="B5998" s="40"/>
      <c r="C5998" s="40"/>
      <c r="E5998" s="80"/>
    </row>
    <row r="5999" spans="2:5" x14ac:dyDescent="0.25">
      <c r="B5999" s="40"/>
      <c r="C5999" s="40"/>
      <c r="E5999" s="80"/>
    </row>
    <row r="6000" spans="2:5" x14ac:dyDescent="0.25">
      <c r="B6000" s="40"/>
      <c r="C6000" s="40"/>
      <c r="E6000" s="80"/>
    </row>
    <row r="6001" spans="2:5" x14ac:dyDescent="0.25">
      <c r="B6001" s="40"/>
      <c r="C6001" s="40"/>
      <c r="E6001" s="80"/>
    </row>
    <row r="6002" spans="2:5" x14ac:dyDescent="0.25">
      <c r="B6002" s="40"/>
      <c r="C6002" s="40"/>
      <c r="E6002" s="80"/>
    </row>
    <row r="6003" spans="2:5" x14ac:dyDescent="0.25">
      <c r="B6003" s="40"/>
      <c r="C6003" s="40"/>
      <c r="E6003" s="80"/>
    </row>
    <row r="6004" spans="2:5" x14ac:dyDescent="0.25">
      <c r="B6004" s="40"/>
      <c r="C6004" s="40"/>
      <c r="E6004" s="80"/>
    </row>
    <row r="6005" spans="2:5" x14ac:dyDescent="0.25">
      <c r="B6005" s="40"/>
      <c r="C6005" s="40"/>
      <c r="E6005" s="80"/>
    </row>
    <row r="6006" spans="2:5" x14ac:dyDescent="0.25">
      <c r="B6006" s="40"/>
      <c r="C6006" s="40"/>
      <c r="E6006" s="80"/>
    </row>
    <row r="6007" spans="2:5" x14ac:dyDescent="0.25">
      <c r="B6007" s="40"/>
      <c r="C6007" s="40"/>
      <c r="E6007" s="80"/>
    </row>
    <row r="6008" spans="2:5" x14ac:dyDescent="0.25">
      <c r="B6008" s="40"/>
      <c r="C6008" s="40"/>
      <c r="E6008" s="80"/>
    </row>
    <row r="6009" spans="2:5" x14ac:dyDescent="0.25">
      <c r="B6009" s="40"/>
      <c r="C6009" s="40"/>
      <c r="E6009" s="80"/>
    </row>
    <row r="6010" spans="2:5" x14ac:dyDescent="0.25">
      <c r="B6010" s="40"/>
      <c r="C6010" s="40"/>
      <c r="E6010" s="80"/>
    </row>
    <row r="6011" spans="2:5" x14ac:dyDescent="0.25">
      <c r="B6011" s="40"/>
      <c r="C6011" s="40"/>
      <c r="E6011" s="80"/>
    </row>
    <row r="6012" spans="2:5" x14ac:dyDescent="0.25">
      <c r="B6012" s="40"/>
      <c r="C6012" s="40"/>
      <c r="E6012" s="80"/>
    </row>
    <row r="6013" spans="2:5" x14ac:dyDescent="0.25">
      <c r="B6013" s="40"/>
      <c r="C6013" s="40"/>
      <c r="E6013" s="80"/>
    </row>
    <row r="6014" spans="2:5" x14ac:dyDescent="0.25">
      <c r="B6014" s="40"/>
      <c r="C6014" s="40"/>
      <c r="E6014" s="80"/>
    </row>
    <row r="6015" spans="2:5" x14ac:dyDescent="0.25">
      <c r="B6015" s="40"/>
      <c r="C6015" s="40"/>
      <c r="E6015" s="80"/>
    </row>
    <row r="6016" spans="2:5" x14ac:dyDescent="0.25">
      <c r="B6016" s="40"/>
      <c r="C6016" s="40"/>
      <c r="E6016" s="80"/>
    </row>
    <row r="6017" spans="2:5" x14ac:dyDescent="0.25">
      <c r="B6017" s="40"/>
      <c r="C6017" s="40"/>
      <c r="E6017" s="80"/>
    </row>
    <row r="6018" spans="2:5" x14ac:dyDescent="0.25">
      <c r="B6018" s="40"/>
      <c r="C6018" s="40"/>
      <c r="E6018" s="80"/>
    </row>
    <row r="6019" spans="2:5" x14ac:dyDescent="0.25">
      <c r="B6019" s="40"/>
      <c r="C6019" s="40"/>
      <c r="E6019" s="80"/>
    </row>
    <row r="6020" spans="2:5" x14ac:dyDescent="0.25">
      <c r="B6020" s="40"/>
      <c r="C6020" s="40"/>
      <c r="E6020" s="80"/>
    </row>
    <row r="6021" spans="2:5" x14ac:dyDescent="0.25">
      <c r="B6021" s="40"/>
      <c r="C6021" s="40"/>
      <c r="E6021" s="80"/>
    </row>
    <row r="6022" spans="2:5" x14ac:dyDescent="0.25">
      <c r="B6022" s="40"/>
      <c r="C6022" s="40"/>
      <c r="E6022" s="80"/>
    </row>
    <row r="6023" spans="2:5" x14ac:dyDescent="0.25">
      <c r="B6023" s="40"/>
      <c r="C6023" s="40"/>
      <c r="E6023" s="80"/>
    </row>
    <row r="6024" spans="2:5" x14ac:dyDescent="0.25">
      <c r="B6024" s="40"/>
      <c r="C6024" s="40"/>
      <c r="E6024" s="80"/>
    </row>
    <row r="6025" spans="2:5" x14ac:dyDescent="0.25">
      <c r="B6025" s="40"/>
      <c r="C6025" s="40"/>
      <c r="E6025" s="80"/>
    </row>
    <row r="6026" spans="2:5" x14ac:dyDescent="0.25">
      <c r="B6026" s="40"/>
      <c r="C6026" s="40"/>
      <c r="E6026" s="80"/>
    </row>
    <row r="6027" spans="2:5" x14ac:dyDescent="0.25">
      <c r="B6027" s="40"/>
      <c r="C6027" s="40"/>
      <c r="E6027" s="80"/>
    </row>
    <row r="6028" spans="2:5" x14ac:dyDescent="0.25">
      <c r="B6028" s="40"/>
      <c r="C6028" s="40"/>
      <c r="E6028" s="80"/>
    </row>
    <row r="6029" spans="2:5" x14ac:dyDescent="0.25">
      <c r="B6029" s="40"/>
      <c r="C6029" s="40"/>
      <c r="E6029" s="80"/>
    </row>
    <row r="6030" spans="2:5" x14ac:dyDescent="0.25">
      <c r="B6030" s="40"/>
      <c r="C6030" s="40"/>
      <c r="E6030" s="80"/>
    </row>
    <row r="6031" spans="2:5" x14ac:dyDescent="0.25">
      <c r="B6031" s="40"/>
      <c r="C6031" s="40"/>
      <c r="E6031" s="80"/>
    </row>
    <row r="6032" spans="2:5" x14ac:dyDescent="0.25">
      <c r="B6032" s="40"/>
      <c r="C6032" s="40"/>
      <c r="E6032" s="80"/>
    </row>
    <row r="6033" spans="2:5" x14ac:dyDescent="0.25">
      <c r="B6033" s="40"/>
      <c r="C6033" s="40"/>
      <c r="E6033" s="80"/>
    </row>
    <row r="6034" spans="2:5" x14ac:dyDescent="0.25">
      <c r="B6034" s="40"/>
      <c r="C6034" s="40"/>
      <c r="E6034" s="80"/>
    </row>
    <row r="6035" spans="2:5" x14ac:dyDescent="0.25">
      <c r="B6035" s="40"/>
      <c r="C6035" s="40"/>
      <c r="E6035" s="80"/>
    </row>
    <row r="6036" spans="2:5" x14ac:dyDescent="0.25">
      <c r="B6036" s="40"/>
      <c r="C6036" s="40"/>
      <c r="E6036" s="80"/>
    </row>
    <row r="6037" spans="2:5" x14ac:dyDescent="0.25">
      <c r="B6037" s="40"/>
      <c r="C6037" s="40"/>
      <c r="E6037" s="80"/>
    </row>
    <row r="6038" spans="2:5" x14ac:dyDescent="0.25">
      <c r="B6038" s="40"/>
      <c r="C6038" s="40"/>
      <c r="E6038" s="80"/>
    </row>
    <row r="6039" spans="2:5" x14ac:dyDescent="0.25">
      <c r="B6039" s="40"/>
      <c r="C6039" s="40"/>
      <c r="E6039" s="80"/>
    </row>
    <row r="6040" spans="2:5" x14ac:dyDescent="0.25">
      <c r="B6040" s="40"/>
      <c r="C6040" s="40"/>
      <c r="E6040" s="80"/>
    </row>
    <row r="6041" spans="2:5" x14ac:dyDescent="0.25">
      <c r="B6041" s="40"/>
      <c r="C6041" s="40"/>
      <c r="E6041" s="80"/>
    </row>
    <row r="6042" spans="2:5" x14ac:dyDescent="0.25">
      <c r="B6042" s="40"/>
      <c r="C6042" s="40"/>
      <c r="E6042" s="80"/>
    </row>
    <row r="6043" spans="2:5" x14ac:dyDescent="0.25">
      <c r="B6043" s="40"/>
      <c r="C6043" s="40"/>
      <c r="E6043" s="80"/>
    </row>
    <row r="6044" spans="2:5" x14ac:dyDescent="0.25">
      <c r="B6044" s="40"/>
      <c r="C6044" s="40"/>
      <c r="E6044" s="80"/>
    </row>
    <row r="6045" spans="2:5" x14ac:dyDescent="0.25">
      <c r="B6045" s="40"/>
      <c r="C6045" s="40"/>
      <c r="E6045" s="80"/>
    </row>
    <row r="6046" spans="2:5" x14ac:dyDescent="0.25">
      <c r="B6046" s="40"/>
      <c r="C6046" s="40"/>
      <c r="E6046" s="80"/>
    </row>
    <row r="6047" spans="2:5" x14ac:dyDescent="0.25">
      <c r="B6047" s="40"/>
      <c r="C6047" s="40"/>
      <c r="E6047" s="80"/>
    </row>
    <row r="6048" spans="2:5" x14ac:dyDescent="0.25">
      <c r="B6048" s="40"/>
      <c r="C6048" s="40"/>
      <c r="E6048" s="80"/>
    </row>
    <row r="6049" spans="2:5" x14ac:dyDescent="0.25">
      <c r="B6049" s="40"/>
      <c r="C6049" s="40"/>
      <c r="E6049" s="80"/>
    </row>
    <row r="6050" spans="2:5" x14ac:dyDescent="0.25">
      <c r="B6050" s="40"/>
      <c r="C6050" s="40"/>
      <c r="E6050" s="80"/>
    </row>
    <row r="6051" spans="2:5" x14ac:dyDescent="0.25">
      <c r="B6051" s="40"/>
      <c r="C6051" s="40"/>
      <c r="E6051" s="80"/>
    </row>
    <row r="6052" spans="2:5" x14ac:dyDescent="0.25">
      <c r="B6052" s="40"/>
      <c r="C6052" s="40"/>
      <c r="E6052" s="80"/>
    </row>
    <row r="6053" spans="2:5" x14ac:dyDescent="0.25">
      <c r="B6053" s="40"/>
      <c r="C6053" s="40"/>
      <c r="E6053" s="80"/>
    </row>
    <row r="6054" spans="2:5" x14ac:dyDescent="0.25">
      <c r="B6054" s="40"/>
      <c r="C6054" s="40"/>
      <c r="E6054" s="80"/>
    </row>
    <row r="6055" spans="2:5" x14ac:dyDescent="0.25">
      <c r="B6055" s="40"/>
      <c r="C6055" s="40"/>
      <c r="E6055" s="80"/>
    </row>
    <row r="6056" spans="2:5" x14ac:dyDescent="0.25">
      <c r="B6056" s="40"/>
      <c r="C6056" s="40"/>
      <c r="E6056" s="80"/>
    </row>
    <row r="6057" spans="2:5" x14ac:dyDescent="0.25">
      <c r="B6057" s="40"/>
      <c r="C6057" s="40"/>
      <c r="E6057" s="80"/>
    </row>
    <row r="6058" spans="2:5" x14ac:dyDescent="0.25">
      <c r="B6058" s="40"/>
      <c r="C6058" s="40"/>
      <c r="E6058" s="80"/>
    </row>
    <row r="6059" spans="2:5" x14ac:dyDescent="0.25">
      <c r="B6059" s="40"/>
      <c r="C6059" s="40"/>
      <c r="E6059" s="80"/>
    </row>
    <row r="6060" spans="2:5" x14ac:dyDescent="0.25">
      <c r="B6060" s="40"/>
      <c r="C6060" s="40"/>
      <c r="E6060" s="80"/>
    </row>
    <row r="6061" spans="2:5" x14ac:dyDescent="0.25">
      <c r="B6061" s="40"/>
      <c r="C6061" s="40"/>
      <c r="E6061" s="80"/>
    </row>
    <row r="6062" spans="2:5" x14ac:dyDescent="0.25">
      <c r="B6062" s="40"/>
      <c r="C6062" s="40"/>
      <c r="E6062" s="80"/>
    </row>
    <row r="6063" spans="2:5" x14ac:dyDescent="0.25">
      <c r="B6063" s="40"/>
      <c r="C6063" s="40"/>
      <c r="E6063" s="80"/>
    </row>
    <row r="6064" spans="2:5" x14ac:dyDescent="0.25">
      <c r="B6064" s="40"/>
      <c r="C6064" s="40"/>
      <c r="E6064" s="80"/>
    </row>
    <row r="6065" spans="2:5" x14ac:dyDescent="0.25">
      <c r="B6065" s="40"/>
      <c r="C6065" s="40"/>
      <c r="E6065" s="80"/>
    </row>
    <row r="6066" spans="2:5" x14ac:dyDescent="0.25">
      <c r="B6066" s="40"/>
      <c r="C6066" s="40"/>
      <c r="E6066" s="80"/>
    </row>
    <row r="6067" spans="2:5" x14ac:dyDescent="0.25">
      <c r="B6067" s="40"/>
      <c r="C6067" s="40"/>
      <c r="E6067" s="80"/>
    </row>
    <row r="6068" spans="2:5" x14ac:dyDescent="0.25">
      <c r="B6068" s="40"/>
      <c r="C6068" s="40"/>
      <c r="E6068" s="80"/>
    </row>
    <row r="6069" spans="2:5" x14ac:dyDescent="0.25">
      <c r="B6069" s="40"/>
      <c r="C6069" s="40"/>
      <c r="E6069" s="80"/>
    </row>
    <row r="6070" spans="2:5" x14ac:dyDescent="0.25">
      <c r="B6070" s="40"/>
      <c r="C6070" s="40"/>
      <c r="E6070" s="80"/>
    </row>
    <row r="6071" spans="2:5" x14ac:dyDescent="0.25">
      <c r="B6071" s="40"/>
      <c r="C6071" s="40"/>
      <c r="E6071" s="80"/>
    </row>
    <row r="6072" spans="2:5" x14ac:dyDescent="0.25">
      <c r="B6072" s="40"/>
      <c r="C6072" s="40"/>
      <c r="E6072" s="80"/>
    </row>
    <row r="6073" spans="2:5" x14ac:dyDescent="0.25">
      <c r="B6073" s="40"/>
      <c r="C6073" s="40"/>
      <c r="E6073" s="80"/>
    </row>
    <row r="6074" spans="2:5" x14ac:dyDescent="0.25">
      <c r="B6074" s="40"/>
      <c r="C6074" s="40"/>
      <c r="E6074" s="80"/>
    </row>
    <row r="6075" spans="2:5" x14ac:dyDescent="0.25">
      <c r="B6075" s="40"/>
      <c r="C6075" s="40"/>
      <c r="E6075" s="80"/>
    </row>
    <row r="6076" spans="2:5" x14ac:dyDescent="0.25">
      <c r="B6076" s="40"/>
      <c r="C6076" s="40"/>
      <c r="E6076" s="80"/>
    </row>
    <row r="6077" spans="2:5" x14ac:dyDescent="0.25">
      <c r="B6077" s="40"/>
      <c r="C6077" s="40"/>
      <c r="E6077" s="80"/>
    </row>
    <row r="6078" spans="2:5" x14ac:dyDescent="0.25">
      <c r="B6078" s="40"/>
      <c r="C6078" s="40"/>
      <c r="E6078" s="80"/>
    </row>
    <row r="6079" spans="2:5" x14ac:dyDescent="0.25">
      <c r="B6079" s="40"/>
      <c r="C6079" s="40"/>
      <c r="E6079" s="80"/>
    </row>
    <row r="6080" spans="2:5" x14ac:dyDescent="0.25">
      <c r="B6080" s="40"/>
      <c r="C6080" s="40"/>
      <c r="E6080" s="80"/>
    </row>
    <row r="6081" spans="2:5" x14ac:dyDescent="0.25">
      <c r="B6081" s="40"/>
      <c r="C6081" s="40"/>
      <c r="E6081" s="80"/>
    </row>
    <row r="6082" spans="2:5" x14ac:dyDescent="0.25">
      <c r="B6082" s="40"/>
      <c r="C6082" s="40"/>
      <c r="E6082" s="80"/>
    </row>
    <row r="6083" spans="2:5" x14ac:dyDescent="0.25">
      <c r="B6083" s="40"/>
      <c r="C6083" s="40"/>
      <c r="E6083" s="80"/>
    </row>
    <row r="6084" spans="2:5" x14ac:dyDescent="0.25">
      <c r="B6084" s="40"/>
      <c r="C6084" s="40"/>
      <c r="E6084" s="80"/>
    </row>
    <row r="6085" spans="2:5" x14ac:dyDescent="0.25">
      <c r="B6085" s="40"/>
      <c r="C6085" s="40"/>
      <c r="E6085" s="80"/>
    </row>
    <row r="6086" spans="2:5" x14ac:dyDescent="0.25">
      <c r="B6086" s="40"/>
      <c r="C6086" s="40"/>
      <c r="E6086" s="80"/>
    </row>
    <row r="6087" spans="2:5" x14ac:dyDescent="0.25">
      <c r="B6087" s="40"/>
      <c r="C6087" s="40"/>
      <c r="E6087" s="80"/>
    </row>
    <row r="6088" spans="2:5" x14ac:dyDescent="0.25">
      <c r="B6088" s="40"/>
      <c r="C6088" s="40"/>
      <c r="E6088" s="80"/>
    </row>
    <row r="6089" spans="2:5" x14ac:dyDescent="0.25">
      <c r="B6089" s="40"/>
      <c r="C6089" s="40"/>
      <c r="E6089" s="80"/>
    </row>
    <row r="6090" spans="2:5" x14ac:dyDescent="0.25">
      <c r="B6090" s="40"/>
      <c r="C6090" s="40"/>
      <c r="E6090" s="80"/>
    </row>
    <row r="6091" spans="2:5" x14ac:dyDescent="0.25">
      <c r="B6091" s="40"/>
      <c r="C6091" s="40"/>
      <c r="E6091" s="80"/>
    </row>
    <row r="6092" spans="2:5" x14ac:dyDescent="0.25">
      <c r="B6092" s="40"/>
      <c r="C6092" s="40"/>
      <c r="E6092" s="80"/>
    </row>
    <row r="6093" spans="2:5" x14ac:dyDescent="0.25">
      <c r="B6093" s="40"/>
      <c r="C6093" s="40"/>
      <c r="E6093" s="80"/>
    </row>
    <row r="6094" spans="2:5" x14ac:dyDescent="0.25">
      <c r="B6094" s="40"/>
      <c r="C6094" s="40"/>
      <c r="E6094" s="80"/>
    </row>
    <row r="6095" spans="2:5" x14ac:dyDescent="0.25">
      <c r="B6095" s="40"/>
      <c r="C6095" s="40"/>
      <c r="E6095" s="80"/>
    </row>
    <row r="6096" spans="2:5" x14ac:dyDescent="0.25">
      <c r="B6096" s="40"/>
      <c r="C6096" s="40"/>
      <c r="E6096" s="80"/>
    </row>
    <row r="6097" spans="2:5" x14ac:dyDescent="0.25">
      <c r="B6097" s="40"/>
      <c r="C6097" s="40"/>
      <c r="E6097" s="80"/>
    </row>
    <row r="6098" spans="2:5" x14ac:dyDescent="0.25">
      <c r="B6098" s="40"/>
      <c r="C6098" s="40"/>
      <c r="E6098" s="80"/>
    </row>
    <row r="6099" spans="2:5" x14ac:dyDescent="0.25">
      <c r="B6099" s="40"/>
      <c r="C6099" s="40"/>
      <c r="E6099" s="80"/>
    </row>
    <row r="6100" spans="2:5" x14ac:dyDescent="0.25">
      <c r="B6100" s="40"/>
      <c r="C6100" s="40"/>
      <c r="E6100" s="80"/>
    </row>
    <row r="6101" spans="2:5" x14ac:dyDescent="0.25">
      <c r="B6101" s="40"/>
      <c r="C6101" s="40"/>
      <c r="E6101" s="80"/>
    </row>
    <row r="6102" spans="2:5" x14ac:dyDescent="0.25">
      <c r="B6102" s="40"/>
      <c r="C6102" s="40"/>
      <c r="E6102" s="80"/>
    </row>
    <row r="6103" spans="2:5" x14ac:dyDescent="0.25">
      <c r="B6103" s="40"/>
      <c r="C6103" s="40"/>
      <c r="E6103" s="80"/>
    </row>
    <row r="6104" spans="2:5" x14ac:dyDescent="0.25">
      <c r="B6104" s="40"/>
      <c r="C6104" s="40"/>
      <c r="E6104" s="80"/>
    </row>
    <row r="6105" spans="2:5" x14ac:dyDescent="0.25">
      <c r="B6105" s="40"/>
      <c r="C6105" s="40"/>
      <c r="E6105" s="80"/>
    </row>
    <row r="6106" spans="2:5" x14ac:dyDescent="0.25">
      <c r="B6106" s="40"/>
      <c r="C6106" s="40"/>
      <c r="E6106" s="80"/>
    </row>
    <row r="6107" spans="2:5" x14ac:dyDescent="0.25">
      <c r="B6107" s="40"/>
      <c r="C6107" s="40"/>
      <c r="E6107" s="80"/>
    </row>
    <row r="6108" spans="2:5" x14ac:dyDescent="0.25">
      <c r="B6108" s="40"/>
      <c r="C6108" s="40"/>
      <c r="E6108" s="80"/>
    </row>
    <row r="6109" spans="2:5" x14ac:dyDescent="0.25">
      <c r="B6109" s="40"/>
      <c r="C6109" s="40"/>
      <c r="E6109" s="80"/>
    </row>
    <row r="6110" spans="2:5" x14ac:dyDescent="0.25">
      <c r="B6110" s="40"/>
      <c r="C6110" s="40"/>
      <c r="E6110" s="80"/>
    </row>
    <row r="6111" spans="2:5" x14ac:dyDescent="0.25">
      <c r="B6111" s="40"/>
      <c r="C6111" s="40"/>
      <c r="E6111" s="80"/>
    </row>
    <row r="6112" spans="2:5" x14ac:dyDescent="0.25">
      <c r="B6112" s="40"/>
      <c r="C6112" s="40"/>
      <c r="E6112" s="80"/>
    </row>
    <row r="6113" spans="2:5" x14ac:dyDescent="0.25">
      <c r="B6113" s="40"/>
      <c r="C6113" s="40"/>
      <c r="E6113" s="80"/>
    </row>
    <row r="6114" spans="2:5" x14ac:dyDescent="0.25">
      <c r="B6114" s="40"/>
      <c r="C6114" s="40"/>
      <c r="E6114" s="80"/>
    </row>
    <row r="6115" spans="2:5" x14ac:dyDescent="0.25">
      <c r="B6115" s="40"/>
      <c r="C6115" s="40"/>
      <c r="E6115" s="80"/>
    </row>
    <row r="6116" spans="2:5" x14ac:dyDescent="0.25">
      <c r="B6116" s="40"/>
      <c r="C6116" s="40"/>
      <c r="E6116" s="80"/>
    </row>
    <row r="6117" spans="2:5" x14ac:dyDescent="0.25">
      <c r="B6117" s="40"/>
      <c r="C6117" s="40"/>
      <c r="E6117" s="80"/>
    </row>
    <row r="6118" spans="2:5" x14ac:dyDescent="0.25">
      <c r="B6118" s="40"/>
      <c r="C6118" s="40"/>
      <c r="E6118" s="80"/>
    </row>
    <row r="6119" spans="2:5" x14ac:dyDescent="0.25">
      <c r="B6119" s="40"/>
      <c r="C6119" s="40"/>
      <c r="E6119" s="80"/>
    </row>
    <row r="6120" spans="2:5" x14ac:dyDescent="0.25">
      <c r="B6120" s="40"/>
      <c r="C6120" s="40"/>
      <c r="E6120" s="80"/>
    </row>
    <row r="6121" spans="2:5" x14ac:dyDescent="0.25">
      <c r="B6121" s="40"/>
      <c r="C6121" s="40"/>
      <c r="E6121" s="80"/>
    </row>
    <row r="6122" spans="2:5" x14ac:dyDescent="0.25">
      <c r="B6122" s="40"/>
      <c r="C6122" s="40"/>
      <c r="E6122" s="80"/>
    </row>
    <row r="6123" spans="2:5" x14ac:dyDescent="0.25">
      <c r="B6123" s="40"/>
      <c r="C6123" s="40"/>
      <c r="E6123" s="80"/>
    </row>
    <row r="6124" spans="2:5" x14ac:dyDescent="0.25">
      <c r="B6124" s="40"/>
      <c r="C6124" s="40"/>
      <c r="E6124" s="80"/>
    </row>
    <row r="6125" spans="2:5" x14ac:dyDescent="0.25">
      <c r="B6125" s="40"/>
      <c r="C6125" s="40"/>
      <c r="E6125" s="80"/>
    </row>
    <row r="6126" spans="2:5" x14ac:dyDescent="0.25">
      <c r="B6126" s="40"/>
      <c r="C6126" s="40"/>
      <c r="E6126" s="80"/>
    </row>
    <row r="6127" spans="2:5" x14ac:dyDescent="0.25">
      <c r="B6127" s="40"/>
      <c r="C6127" s="40"/>
      <c r="E6127" s="80"/>
    </row>
    <row r="6128" spans="2:5" x14ac:dyDescent="0.25">
      <c r="B6128" s="40"/>
      <c r="C6128" s="40"/>
      <c r="E6128" s="80"/>
    </row>
    <row r="6129" spans="2:5" x14ac:dyDescent="0.25">
      <c r="B6129" s="40"/>
      <c r="C6129" s="40"/>
      <c r="E6129" s="80"/>
    </row>
    <row r="6130" spans="2:5" x14ac:dyDescent="0.25">
      <c r="B6130" s="40"/>
      <c r="C6130" s="40"/>
      <c r="E6130" s="80"/>
    </row>
    <row r="6131" spans="2:5" x14ac:dyDescent="0.25">
      <c r="B6131" s="40"/>
      <c r="C6131" s="40"/>
      <c r="E6131" s="80"/>
    </row>
    <row r="6132" spans="2:5" x14ac:dyDescent="0.25">
      <c r="B6132" s="40"/>
      <c r="C6132" s="40"/>
      <c r="E6132" s="80"/>
    </row>
    <row r="6133" spans="2:5" x14ac:dyDescent="0.25">
      <c r="B6133" s="40"/>
      <c r="C6133" s="40"/>
      <c r="E6133" s="80"/>
    </row>
    <row r="6134" spans="2:5" x14ac:dyDescent="0.25">
      <c r="B6134" s="40"/>
      <c r="C6134" s="40"/>
      <c r="E6134" s="80"/>
    </row>
    <row r="6135" spans="2:5" x14ac:dyDescent="0.25">
      <c r="B6135" s="40"/>
      <c r="C6135" s="40"/>
      <c r="E6135" s="80"/>
    </row>
    <row r="6136" spans="2:5" x14ac:dyDescent="0.25">
      <c r="B6136" s="40"/>
      <c r="C6136" s="40"/>
      <c r="E6136" s="80"/>
    </row>
    <row r="6137" spans="2:5" x14ac:dyDescent="0.25">
      <c r="B6137" s="40"/>
      <c r="C6137" s="40"/>
      <c r="E6137" s="80"/>
    </row>
    <row r="6138" spans="2:5" x14ac:dyDescent="0.25">
      <c r="B6138" s="40"/>
      <c r="C6138" s="40"/>
      <c r="E6138" s="80"/>
    </row>
    <row r="6139" spans="2:5" x14ac:dyDescent="0.25">
      <c r="B6139" s="40"/>
      <c r="C6139" s="40"/>
      <c r="E6139" s="80"/>
    </row>
    <row r="6140" spans="2:5" x14ac:dyDescent="0.25">
      <c r="B6140" s="40"/>
      <c r="C6140" s="40"/>
      <c r="E6140" s="80"/>
    </row>
    <row r="6141" spans="2:5" x14ac:dyDescent="0.25">
      <c r="B6141" s="40"/>
      <c r="C6141" s="40"/>
      <c r="E6141" s="80"/>
    </row>
    <row r="6142" spans="2:5" x14ac:dyDescent="0.25">
      <c r="B6142" s="40"/>
      <c r="C6142" s="40"/>
      <c r="E6142" s="80"/>
    </row>
    <row r="6143" spans="2:5" x14ac:dyDescent="0.25">
      <c r="B6143" s="40"/>
      <c r="C6143" s="40"/>
      <c r="E6143" s="80"/>
    </row>
    <row r="6144" spans="2:5" x14ac:dyDescent="0.25">
      <c r="B6144" s="40"/>
      <c r="C6144" s="40"/>
      <c r="E6144" s="80"/>
    </row>
    <row r="6145" spans="2:5" x14ac:dyDescent="0.25">
      <c r="B6145" s="40"/>
      <c r="C6145" s="40"/>
      <c r="E6145" s="80"/>
    </row>
    <row r="6146" spans="2:5" x14ac:dyDescent="0.25">
      <c r="B6146" s="40"/>
      <c r="C6146" s="40"/>
      <c r="E6146" s="80"/>
    </row>
    <row r="6147" spans="2:5" x14ac:dyDescent="0.25">
      <c r="B6147" s="40"/>
      <c r="C6147" s="40"/>
      <c r="E6147" s="80"/>
    </row>
    <row r="6148" spans="2:5" x14ac:dyDescent="0.25">
      <c r="B6148" s="40"/>
      <c r="C6148" s="40"/>
      <c r="E6148" s="80"/>
    </row>
    <row r="6149" spans="2:5" x14ac:dyDescent="0.25">
      <c r="B6149" s="40"/>
      <c r="C6149" s="40"/>
      <c r="E6149" s="80"/>
    </row>
    <row r="6150" spans="2:5" x14ac:dyDescent="0.25">
      <c r="B6150" s="40"/>
      <c r="C6150" s="40"/>
      <c r="E6150" s="80"/>
    </row>
    <row r="6151" spans="2:5" x14ac:dyDescent="0.25">
      <c r="B6151" s="40"/>
      <c r="C6151" s="40"/>
      <c r="E6151" s="80"/>
    </row>
    <row r="6152" spans="2:5" x14ac:dyDescent="0.25">
      <c r="B6152" s="40"/>
      <c r="C6152" s="40"/>
      <c r="E6152" s="80"/>
    </row>
    <row r="6153" spans="2:5" x14ac:dyDescent="0.25">
      <c r="B6153" s="40"/>
      <c r="C6153" s="40"/>
      <c r="E6153" s="80"/>
    </row>
    <row r="6154" spans="2:5" x14ac:dyDescent="0.25">
      <c r="B6154" s="40"/>
      <c r="C6154" s="40"/>
      <c r="E6154" s="80"/>
    </row>
    <row r="6155" spans="2:5" x14ac:dyDescent="0.25">
      <c r="B6155" s="40"/>
      <c r="C6155" s="40"/>
      <c r="E6155" s="80"/>
    </row>
    <row r="6156" spans="2:5" x14ac:dyDescent="0.25">
      <c r="B6156" s="40"/>
      <c r="C6156" s="40"/>
      <c r="E6156" s="80"/>
    </row>
    <row r="6157" spans="2:5" x14ac:dyDescent="0.25">
      <c r="B6157" s="40"/>
      <c r="C6157" s="40"/>
      <c r="E6157" s="80"/>
    </row>
    <row r="6158" spans="2:5" x14ac:dyDescent="0.25">
      <c r="B6158" s="40"/>
      <c r="C6158" s="40"/>
      <c r="E6158" s="80"/>
    </row>
    <row r="6159" spans="2:5" x14ac:dyDescent="0.25">
      <c r="B6159" s="40"/>
      <c r="C6159" s="40"/>
      <c r="E6159" s="80"/>
    </row>
    <row r="6160" spans="2:5" x14ac:dyDescent="0.25">
      <c r="B6160" s="40"/>
      <c r="C6160" s="40"/>
      <c r="E6160" s="80"/>
    </row>
    <row r="6161" spans="2:5" x14ac:dyDescent="0.25">
      <c r="B6161" s="40"/>
      <c r="C6161" s="40"/>
      <c r="E6161" s="80"/>
    </row>
    <row r="6162" spans="2:5" x14ac:dyDescent="0.25">
      <c r="B6162" s="40"/>
      <c r="C6162" s="40"/>
      <c r="E6162" s="80"/>
    </row>
    <row r="6163" spans="2:5" x14ac:dyDescent="0.25">
      <c r="B6163" s="40"/>
      <c r="C6163" s="40"/>
      <c r="E6163" s="80"/>
    </row>
    <row r="6164" spans="2:5" x14ac:dyDescent="0.25">
      <c r="B6164" s="40"/>
      <c r="C6164" s="40"/>
      <c r="E6164" s="80"/>
    </row>
    <row r="6165" spans="2:5" x14ac:dyDescent="0.25">
      <c r="B6165" s="40"/>
      <c r="C6165" s="40"/>
      <c r="E6165" s="80"/>
    </row>
    <row r="6166" spans="2:5" x14ac:dyDescent="0.25">
      <c r="B6166" s="40"/>
      <c r="C6166" s="40"/>
      <c r="E6166" s="80"/>
    </row>
    <row r="6167" spans="2:5" x14ac:dyDescent="0.25">
      <c r="B6167" s="40"/>
      <c r="C6167" s="40"/>
      <c r="E6167" s="80"/>
    </row>
    <row r="6168" spans="2:5" x14ac:dyDescent="0.25">
      <c r="B6168" s="40"/>
      <c r="C6168" s="40"/>
      <c r="E6168" s="80"/>
    </row>
    <row r="6169" spans="2:5" x14ac:dyDescent="0.25">
      <c r="B6169" s="40"/>
      <c r="C6169" s="40"/>
      <c r="E6169" s="80"/>
    </row>
    <row r="6170" spans="2:5" x14ac:dyDescent="0.25">
      <c r="B6170" s="40"/>
      <c r="C6170" s="40"/>
      <c r="E6170" s="80"/>
    </row>
    <row r="6171" spans="2:5" x14ac:dyDescent="0.25">
      <c r="B6171" s="40"/>
      <c r="C6171" s="40"/>
      <c r="E6171" s="80"/>
    </row>
    <row r="6172" spans="2:5" x14ac:dyDescent="0.25">
      <c r="B6172" s="40"/>
      <c r="C6172" s="40"/>
      <c r="E6172" s="80"/>
    </row>
    <row r="6173" spans="2:5" x14ac:dyDescent="0.25">
      <c r="B6173" s="40"/>
      <c r="C6173" s="40"/>
      <c r="E6173" s="80"/>
    </row>
    <row r="6174" spans="2:5" x14ac:dyDescent="0.25">
      <c r="B6174" s="40"/>
      <c r="C6174" s="40"/>
      <c r="E6174" s="80"/>
    </row>
    <row r="6175" spans="2:5" x14ac:dyDescent="0.25">
      <c r="B6175" s="40"/>
      <c r="C6175" s="40"/>
      <c r="E6175" s="80"/>
    </row>
    <row r="6176" spans="2:5" x14ac:dyDescent="0.25">
      <c r="B6176" s="40"/>
      <c r="C6176" s="40"/>
      <c r="E6176" s="80"/>
    </row>
    <row r="6177" spans="2:5" x14ac:dyDescent="0.25">
      <c r="B6177" s="40"/>
      <c r="C6177" s="40"/>
      <c r="E6177" s="80"/>
    </row>
    <row r="6178" spans="2:5" x14ac:dyDescent="0.25">
      <c r="B6178" s="40"/>
      <c r="C6178" s="40"/>
      <c r="E6178" s="80"/>
    </row>
    <row r="6179" spans="2:5" x14ac:dyDescent="0.25">
      <c r="B6179" s="40"/>
      <c r="C6179" s="40"/>
      <c r="E6179" s="80"/>
    </row>
    <row r="6180" spans="2:5" x14ac:dyDescent="0.25">
      <c r="B6180" s="40"/>
      <c r="C6180" s="40"/>
      <c r="E6180" s="80"/>
    </row>
    <row r="6181" spans="2:5" x14ac:dyDescent="0.25">
      <c r="B6181" s="40"/>
      <c r="C6181" s="40"/>
      <c r="E6181" s="80"/>
    </row>
    <row r="6182" spans="2:5" x14ac:dyDescent="0.25">
      <c r="B6182" s="40"/>
      <c r="C6182" s="40"/>
      <c r="E6182" s="80"/>
    </row>
    <row r="6183" spans="2:5" x14ac:dyDescent="0.25">
      <c r="B6183" s="40"/>
      <c r="C6183" s="40"/>
      <c r="E6183" s="80"/>
    </row>
    <row r="6184" spans="2:5" x14ac:dyDescent="0.25">
      <c r="B6184" s="40"/>
      <c r="C6184" s="40"/>
      <c r="E6184" s="80"/>
    </row>
    <row r="6185" spans="2:5" x14ac:dyDescent="0.25">
      <c r="B6185" s="40"/>
      <c r="C6185" s="40"/>
      <c r="E6185" s="80"/>
    </row>
    <row r="6186" spans="2:5" x14ac:dyDescent="0.25">
      <c r="B6186" s="40"/>
      <c r="C6186" s="40"/>
      <c r="E6186" s="80"/>
    </row>
    <row r="6187" spans="2:5" x14ac:dyDescent="0.25">
      <c r="B6187" s="40"/>
      <c r="C6187" s="40"/>
      <c r="E6187" s="80"/>
    </row>
    <row r="6188" spans="2:5" x14ac:dyDescent="0.25">
      <c r="B6188" s="40"/>
      <c r="C6188" s="40"/>
      <c r="E6188" s="80"/>
    </row>
    <row r="6189" spans="2:5" x14ac:dyDescent="0.25">
      <c r="B6189" s="40"/>
      <c r="C6189" s="40"/>
      <c r="E6189" s="80"/>
    </row>
    <row r="6190" spans="2:5" x14ac:dyDescent="0.25">
      <c r="B6190" s="40"/>
      <c r="C6190" s="40"/>
      <c r="E6190" s="80"/>
    </row>
    <row r="6191" spans="2:5" x14ac:dyDescent="0.25">
      <c r="B6191" s="40"/>
      <c r="C6191" s="40"/>
      <c r="E6191" s="80"/>
    </row>
    <row r="6192" spans="2:5" x14ac:dyDescent="0.25">
      <c r="B6192" s="40"/>
      <c r="C6192" s="40"/>
      <c r="E6192" s="80"/>
    </row>
    <row r="6193" spans="2:5" x14ac:dyDescent="0.25">
      <c r="B6193" s="40"/>
      <c r="C6193" s="40"/>
      <c r="E6193" s="80"/>
    </row>
    <row r="6194" spans="2:5" x14ac:dyDescent="0.25">
      <c r="B6194" s="40"/>
      <c r="C6194" s="40"/>
      <c r="E6194" s="80"/>
    </row>
    <row r="6195" spans="2:5" x14ac:dyDescent="0.25">
      <c r="B6195" s="40"/>
      <c r="C6195" s="40"/>
      <c r="E6195" s="80"/>
    </row>
    <row r="6196" spans="2:5" x14ac:dyDescent="0.25">
      <c r="B6196" s="40"/>
      <c r="C6196" s="40"/>
      <c r="E6196" s="80"/>
    </row>
    <row r="6197" spans="2:5" x14ac:dyDescent="0.25">
      <c r="B6197" s="40"/>
      <c r="C6197" s="40"/>
      <c r="E6197" s="80"/>
    </row>
    <row r="6198" spans="2:5" x14ac:dyDescent="0.25">
      <c r="B6198" s="40"/>
      <c r="C6198" s="40"/>
      <c r="E6198" s="80"/>
    </row>
    <row r="6199" spans="2:5" x14ac:dyDescent="0.25">
      <c r="B6199" s="40"/>
      <c r="C6199" s="40"/>
      <c r="E6199" s="80"/>
    </row>
    <row r="6200" spans="2:5" x14ac:dyDescent="0.25">
      <c r="B6200" s="40"/>
      <c r="C6200" s="40"/>
      <c r="E6200" s="80"/>
    </row>
    <row r="6201" spans="2:5" x14ac:dyDescent="0.25">
      <c r="B6201" s="40"/>
      <c r="C6201" s="40"/>
      <c r="E6201" s="80"/>
    </row>
    <row r="6202" spans="2:5" x14ac:dyDescent="0.25">
      <c r="B6202" s="40"/>
      <c r="C6202" s="40"/>
      <c r="E6202" s="80"/>
    </row>
    <row r="6203" spans="2:5" x14ac:dyDescent="0.25">
      <c r="B6203" s="40"/>
      <c r="C6203" s="40"/>
      <c r="E6203" s="80"/>
    </row>
    <row r="6204" spans="2:5" x14ac:dyDescent="0.25">
      <c r="B6204" s="40"/>
      <c r="C6204" s="40"/>
      <c r="E6204" s="80"/>
    </row>
    <row r="6205" spans="2:5" x14ac:dyDescent="0.25">
      <c r="B6205" s="40"/>
      <c r="C6205" s="40"/>
      <c r="E6205" s="80"/>
    </row>
    <row r="6206" spans="2:5" x14ac:dyDescent="0.25">
      <c r="B6206" s="40"/>
      <c r="C6206" s="40"/>
      <c r="E6206" s="80"/>
    </row>
    <row r="6207" spans="2:5" x14ac:dyDescent="0.25">
      <c r="B6207" s="40"/>
      <c r="C6207" s="40"/>
      <c r="E6207" s="80"/>
    </row>
    <row r="6208" spans="2:5" x14ac:dyDescent="0.25">
      <c r="B6208" s="40"/>
      <c r="C6208" s="40"/>
      <c r="E6208" s="80"/>
    </row>
    <row r="6209" spans="2:5" x14ac:dyDescent="0.25">
      <c r="B6209" s="40"/>
      <c r="C6209" s="40"/>
      <c r="E6209" s="80"/>
    </row>
    <row r="6210" spans="2:5" x14ac:dyDescent="0.25">
      <c r="B6210" s="40"/>
      <c r="C6210" s="40"/>
      <c r="E6210" s="80"/>
    </row>
    <row r="6211" spans="2:5" x14ac:dyDescent="0.25">
      <c r="B6211" s="40"/>
      <c r="C6211" s="40"/>
      <c r="E6211" s="80"/>
    </row>
    <row r="6212" spans="2:5" x14ac:dyDescent="0.25">
      <c r="B6212" s="40"/>
      <c r="C6212" s="40"/>
      <c r="E6212" s="80"/>
    </row>
    <row r="6213" spans="2:5" x14ac:dyDescent="0.25">
      <c r="B6213" s="40"/>
      <c r="C6213" s="40"/>
      <c r="E6213" s="80"/>
    </row>
    <row r="6214" spans="2:5" x14ac:dyDescent="0.25">
      <c r="B6214" s="40"/>
      <c r="C6214" s="40"/>
      <c r="E6214" s="80"/>
    </row>
    <row r="6215" spans="2:5" x14ac:dyDescent="0.25">
      <c r="B6215" s="40"/>
      <c r="C6215" s="40"/>
      <c r="E6215" s="80"/>
    </row>
    <row r="6216" spans="2:5" x14ac:dyDescent="0.25">
      <c r="B6216" s="40"/>
      <c r="C6216" s="40"/>
      <c r="E6216" s="80"/>
    </row>
    <row r="6217" spans="2:5" x14ac:dyDescent="0.25">
      <c r="B6217" s="40"/>
      <c r="C6217" s="40"/>
      <c r="E6217" s="80"/>
    </row>
    <row r="6218" spans="2:5" x14ac:dyDescent="0.25">
      <c r="B6218" s="40"/>
      <c r="C6218" s="40"/>
      <c r="E6218" s="80"/>
    </row>
    <row r="6219" spans="2:5" x14ac:dyDescent="0.25">
      <c r="B6219" s="40"/>
      <c r="C6219" s="40"/>
      <c r="E6219" s="80"/>
    </row>
    <row r="6220" spans="2:5" x14ac:dyDescent="0.25">
      <c r="B6220" s="40"/>
      <c r="C6220" s="40"/>
      <c r="E6220" s="80"/>
    </row>
    <row r="6221" spans="2:5" x14ac:dyDescent="0.25">
      <c r="B6221" s="40"/>
      <c r="C6221" s="40"/>
      <c r="E6221" s="80"/>
    </row>
    <row r="6222" spans="2:5" x14ac:dyDescent="0.25">
      <c r="B6222" s="40"/>
      <c r="C6222" s="40"/>
      <c r="E6222" s="80"/>
    </row>
    <row r="6223" spans="2:5" x14ac:dyDescent="0.25">
      <c r="B6223" s="40"/>
      <c r="C6223" s="40"/>
      <c r="E6223" s="80"/>
    </row>
    <row r="6224" spans="2:5" x14ac:dyDescent="0.25">
      <c r="B6224" s="40"/>
      <c r="C6224" s="40"/>
      <c r="E6224" s="80"/>
    </row>
    <row r="6225" spans="2:5" x14ac:dyDescent="0.25">
      <c r="B6225" s="40"/>
      <c r="C6225" s="40"/>
      <c r="E6225" s="80"/>
    </row>
    <row r="6226" spans="2:5" x14ac:dyDescent="0.25">
      <c r="B6226" s="40"/>
      <c r="C6226" s="40"/>
      <c r="E6226" s="80"/>
    </row>
    <row r="6227" spans="2:5" x14ac:dyDescent="0.25">
      <c r="B6227" s="40"/>
      <c r="C6227" s="40"/>
      <c r="E6227" s="80"/>
    </row>
    <row r="6228" spans="2:5" x14ac:dyDescent="0.25">
      <c r="B6228" s="40"/>
      <c r="C6228" s="40"/>
      <c r="E6228" s="80"/>
    </row>
    <row r="6229" spans="2:5" x14ac:dyDescent="0.25">
      <c r="B6229" s="40"/>
      <c r="C6229" s="40"/>
      <c r="E6229" s="80"/>
    </row>
    <row r="6230" spans="2:5" x14ac:dyDescent="0.25">
      <c r="B6230" s="40"/>
      <c r="C6230" s="40"/>
      <c r="E6230" s="80"/>
    </row>
    <row r="6231" spans="2:5" x14ac:dyDescent="0.25">
      <c r="B6231" s="40"/>
      <c r="C6231" s="40"/>
      <c r="E6231" s="80"/>
    </row>
    <row r="6232" spans="2:5" x14ac:dyDescent="0.25">
      <c r="B6232" s="40"/>
      <c r="C6232" s="40"/>
      <c r="E6232" s="80"/>
    </row>
    <row r="6233" spans="2:5" x14ac:dyDescent="0.25">
      <c r="B6233" s="40"/>
      <c r="C6233" s="40"/>
      <c r="E6233" s="80"/>
    </row>
    <row r="6234" spans="2:5" x14ac:dyDescent="0.25">
      <c r="B6234" s="40"/>
      <c r="C6234" s="40"/>
      <c r="E6234" s="80"/>
    </row>
    <row r="6235" spans="2:5" x14ac:dyDescent="0.25">
      <c r="B6235" s="40"/>
      <c r="C6235" s="40"/>
      <c r="E6235" s="80"/>
    </row>
    <row r="6236" spans="2:5" x14ac:dyDescent="0.25">
      <c r="B6236" s="40"/>
      <c r="C6236" s="40"/>
      <c r="E6236" s="80"/>
    </row>
    <row r="6237" spans="2:5" x14ac:dyDescent="0.25">
      <c r="B6237" s="40"/>
      <c r="C6237" s="40"/>
      <c r="E6237" s="80"/>
    </row>
    <row r="6238" spans="2:5" x14ac:dyDescent="0.25">
      <c r="B6238" s="40"/>
      <c r="C6238" s="40"/>
      <c r="E6238" s="80"/>
    </row>
    <row r="6239" spans="2:5" x14ac:dyDescent="0.25">
      <c r="B6239" s="40"/>
      <c r="C6239" s="40"/>
      <c r="E6239" s="80"/>
    </row>
    <row r="6240" spans="2:5" x14ac:dyDescent="0.25">
      <c r="B6240" s="40"/>
      <c r="C6240" s="40"/>
      <c r="E6240" s="80"/>
    </row>
    <row r="6241" spans="2:5" x14ac:dyDescent="0.25">
      <c r="B6241" s="40"/>
      <c r="C6241" s="40"/>
      <c r="E6241" s="80"/>
    </row>
    <row r="6242" spans="2:5" x14ac:dyDescent="0.25">
      <c r="B6242" s="40"/>
      <c r="C6242" s="40"/>
      <c r="E6242" s="80"/>
    </row>
    <row r="6243" spans="2:5" x14ac:dyDescent="0.25">
      <c r="B6243" s="40"/>
      <c r="C6243" s="40"/>
      <c r="E6243" s="80"/>
    </row>
    <row r="6244" spans="2:5" x14ac:dyDescent="0.25">
      <c r="B6244" s="40"/>
      <c r="C6244" s="40"/>
      <c r="E6244" s="80"/>
    </row>
    <row r="6245" spans="2:5" x14ac:dyDescent="0.25">
      <c r="B6245" s="40"/>
      <c r="C6245" s="40"/>
      <c r="E6245" s="80"/>
    </row>
    <row r="6246" spans="2:5" x14ac:dyDescent="0.25">
      <c r="B6246" s="40"/>
      <c r="C6246" s="40"/>
      <c r="E6246" s="80"/>
    </row>
    <row r="6247" spans="2:5" x14ac:dyDescent="0.25">
      <c r="B6247" s="40"/>
      <c r="C6247" s="40"/>
      <c r="E6247" s="80"/>
    </row>
    <row r="6248" spans="2:5" x14ac:dyDescent="0.25">
      <c r="B6248" s="40"/>
      <c r="C6248" s="40"/>
      <c r="E6248" s="80"/>
    </row>
    <row r="6249" spans="2:5" x14ac:dyDescent="0.25">
      <c r="B6249" s="40"/>
      <c r="C6249" s="40"/>
      <c r="E6249" s="80"/>
    </row>
    <row r="6250" spans="2:5" x14ac:dyDescent="0.25">
      <c r="B6250" s="40"/>
      <c r="C6250" s="40"/>
      <c r="E6250" s="80"/>
    </row>
    <row r="6251" spans="2:5" x14ac:dyDescent="0.25">
      <c r="B6251" s="40"/>
      <c r="C6251" s="40"/>
      <c r="E6251" s="80"/>
    </row>
    <row r="6252" spans="2:5" x14ac:dyDescent="0.25">
      <c r="B6252" s="40"/>
      <c r="C6252" s="40"/>
      <c r="E6252" s="80"/>
    </row>
    <row r="6253" spans="2:5" x14ac:dyDescent="0.25">
      <c r="B6253" s="40"/>
      <c r="C6253" s="40"/>
      <c r="E6253" s="80"/>
    </row>
    <row r="6254" spans="2:5" x14ac:dyDescent="0.25">
      <c r="B6254" s="40"/>
      <c r="C6254" s="40"/>
      <c r="E6254" s="80"/>
    </row>
    <row r="6255" spans="2:5" x14ac:dyDescent="0.25">
      <c r="B6255" s="40"/>
      <c r="C6255" s="40"/>
      <c r="E6255" s="80"/>
    </row>
    <row r="6256" spans="2:5" x14ac:dyDescent="0.25">
      <c r="B6256" s="40"/>
      <c r="C6256" s="40"/>
      <c r="E6256" s="80"/>
    </row>
    <row r="6257" spans="2:5" x14ac:dyDescent="0.25">
      <c r="B6257" s="40"/>
      <c r="C6257" s="40"/>
      <c r="E6257" s="80"/>
    </row>
    <row r="6258" spans="2:5" x14ac:dyDescent="0.25">
      <c r="B6258" s="40"/>
      <c r="C6258" s="40"/>
      <c r="E6258" s="80"/>
    </row>
    <row r="6259" spans="2:5" x14ac:dyDescent="0.25">
      <c r="B6259" s="40"/>
      <c r="C6259" s="40"/>
      <c r="E6259" s="80"/>
    </row>
    <row r="6260" spans="2:5" x14ac:dyDescent="0.25">
      <c r="B6260" s="40"/>
      <c r="C6260" s="40"/>
      <c r="E6260" s="80"/>
    </row>
    <row r="6261" spans="2:5" x14ac:dyDescent="0.25">
      <c r="B6261" s="40"/>
      <c r="C6261" s="40"/>
      <c r="E6261" s="80"/>
    </row>
    <row r="6262" spans="2:5" x14ac:dyDescent="0.25">
      <c r="B6262" s="40"/>
      <c r="C6262" s="40"/>
      <c r="E6262" s="80"/>
    </row>
    <row r="6263" spans="2:5" x14ac:dyDescent="0.25">
      <c r="B6263" s="40"/>
      <c r="C6263" s="40"/>
      <c r="E6263" s="80"/>
    </row>
    <row r="6264" spans="2:5" x14ac:dyDescent="0.25">
      <c r="B6264" s="40"/>
      <c r="C6264" s="40"/>
      <c r="E6264" s="80"/>
    </row>
    <row r="6265" spans="2:5" x14ac:dyDescent="0.25">
      <c r="B6265" s="40"/>
      <c r="C6265" s="40"/>
      <c r="E6265" s="80"/>
    </row>
    <row r="6266" spans="2:5" x14ac:dyDescent="0.25">
      <c r="B6266" s="40"/>
      <c r="C6266" s="40"/>
      <c r="E6266" s="80"/>
    </row>
    <row r="6267" spans="2:5" x14ac:dyDescent="0.25">
      <c r="B6267" s="40"/>
      <c r="C6267" s="40"/>
      <c r="E6267" s="80"/>
    </row>
    <row r="6268" spans="2:5" x14ac:dyDescent="0.25">
      <c r="B6268" s="40"/>
      <c r="C6268" s="40"/>
      <c r="E6268" s="80"/>
    </row>
    <row r="6269" spans="2:5" x14ac:dyDescent="0.25">
      <c r="B6269" s="40"/>
      <c r="C6269" s="40"/>
      <c r="E6269" s="80"/>
    </row>
    <row r="6270" spans="2:5" x14ac:dyDescent="0.25">
      <c r="B6270" s="40"/>
      <c r="C6270" s="40"/>
      <c r="E6270" s="80"/>
    </row>
    <row r="6271" spans="2:5" x14ac:dyDescent="0.25">
      <c r="B6271" s="40"/>
      <c r="C6271" s="40"/>
      <c r="E6271" s="80"/>
    </row>
    <row r="6272" spans="2:5" x14ac:dyDescent="0.25">
      <c r="B6272" s="40"/>
      <c r="C6272" s="40"/>
      <c r="E6272" s="80"/>
    </row>
    <row r="6273" spans="2:5" x14ac:dyDescent="0.25">
      <c r="B6273" s="40"/>
      <c r="C6273" s="40"/>
      <c r="E6273" s="80"/>
    </row>
    <row r="6274" spans="2:5" x14ac:dyDescent="0.25">
      <c r="B6274" s="40"/>
      <c r="C6274" s="40"/>
      <c r="E6274" s="80"/>
    </row>
    <row r="6275" spans="2:5" x14ac:dyDescent="0.25">
      <c r="B6275" s="40"/>
      <c r="C6275" s="40"/>
      <c r="E6275" s="80"/>
    </row>
    <row r="6276" spans="2:5" x14ac:dyDescent="0.25">
      <c r="B6276" s="40"/>
      <c r="C6276" s="40"/>
      <c r="E6276" s="80"/>
    </row>
    <row r="6277" spans="2:5" x14ac:dyDescent="0.25">
      <c r="B6277" s="40"/>
      <c r="C6277" s="40"/>
      <c r="E6277" s="80"/>
    </row>
    <row r="6278" spans="2:5" x14ac:dyDescent="0.25">
      <c r="B6278" s="40"/>
      <c r="C6278" s="40"/>
      <c r="E6278" s="80"/>
    </row>
    <row r="6279" spans="2:5" x14ac:dyDescent="0.25">
      <c r="B6279" s="40"/>
      <c r="C6279" s="40"/>
      <c r="E6279" s="80"/>
    </row>
    <row r="6280" spans="2:5" x14ac:dyDescent="0.25">
      <c r="B6280" s="40"/>
      <c r="C6280" s="40"/>
      <c r="E6280" s="80"/>
    </row>
    <row r="6281" spans="2:5" x14ac:dyDescent="0.25">
      <c r="B6281" s="40"/>
      <c r="C6281" s="40"/>
      <c r="E6281" s="80"/>
    </row>
    <row r="6282" spans="2:5" x14ac:dyDescent="0.25">
      <c r="B6282" s="40"/>
      <c r="C6282" s="40"/>
      <c r="E6282" s="80"/>
    </row>
    <row r="6283" spans="2:5" x14ac:dyDescent="0.25">
      <c r="B6283" s="40"/>
      <c r="C6283" s="40"/>
      <c r="E6283" s="80"/>
    </row>
    <row r="6284" spans="2:5" x14ac:dyDescent="0.25">
      <c r="B6284" s="40"/>
      <c r="C6284" s="40"/>
      <c r="E6284" s="80"/>
    </row>
    <row r="6285" spans="2:5" x14ac:dyDescent="0.25">
      <c r="B6285" s="40"/>
      <c r="C6285" s="40"/>
      <c r="E6285" s="80"/>
    </row>
    <row r="6286" spans="2:5" x14ac:dyDescent="0.25">
      <c r="B6286" s="40"/>
      <c r="C6286" s="40"/>
      <c r="E6286" s="80"/>
    </row>
    <row r="6287" spans="2:5" x14ac:dyDescent="0.25">
      <c r="B6287" s="40"/>
      <c r="C6287" s="40"/>
      <c r="E6287" s="80"/>
    </row>
    <row r="6288" spans="2:5" x14ac:dyDescent="0.25">
      <c r="B6288" s="40"/>
      <c r="C6288" s="40"/>
      <c r="E6288" s="80"/>
    </row>
    <row r="6289" spans="2:5" x14ac:dyDescent="0.25">
      <c r="B6289" s="40"/>
      <c r="C6289" s="40"/>
      <c r="E6289" s="80"/>
    </row>
    <row r="6290" spans="2:5" x14ac:dyDescent="0.25">
      <c r="B6290" s="40"/>
      <c r="C6290" s="40"/>
      <c r="E6290" s="80"/>
    </row>
    <row r="6291" spans="2:5" x14ac:dyDescent="0.25">
      <c r="B6291" s="40"/>
      <c r="C6291" s="40"/>
      <c r="E6291" s="80"/>
    </row>
    <row r="6292" spans="2:5" x14ac:dyDescent="0.25">
      <c r="B6292" s="40"/>
      <c r="C6292" s="40"/>
      <c r="E6292" s="80"/>
    </row>
    <row r="6293" spans="2:5" x14ac:dyDescent="0.25">
      <c r="B6293" s="40"/>
      <c r="C6293" s="40"/>
      <c r="E6293" s="80"/>
    </row>
    <row r="6294" spans="2:5" x14ac:dyDescent="0.25">
      <c r="B6294" s="40"/>
      <c r="C6294" s="40"/>
      <c r="E6294" s="80"/>
    </row>
    <row r="6295" spans="2:5" x14ac:dyDescent="0.25">
      <c r="B6295" s="40"/>
      <c r="C6295" s="40"/>
      <c r="E6295" s="80"/>
    </row>
    <row r="6296" spans="2:5" x14ac:dyDescent="0.25">
      <c r="B6296" s="40"/>
      <c r="C6296" s="40"/>
      <c r="E6296" s="80"/>
    </row>
    <row r="6297" spans="2:5" x14ac:dyDescent="0.25">
      <c r="B6297" s="40"/>
      <c r="C6297" s="40"/>
      <c r="E6297" s="80"/>
    </row>
    <row r="6298" spans="2:5" x14ac:dyDescent="0.25">
      <c r="B6298" s="40"/>
      <c r="C6298" s="40"/>
      <c r="E6298" s="80"/>
    </row>
    <row r="6299" spans="2:5" x14ac:dyDescent="0.25">
      <c r="B6299" s="40"/>
      <c r="C6299" s="40"/>
      <c r="E6299" s="80"/>
    </row>
    <row r="6300" spans="2:5" x14ac:dyDescent="0.25">
      <c r="B6300" s="40"/>
      <c r="C6300" s="40"/>
      <c r="E6300" s="80"/>
    </row>
    <row r="6301" spans="2:5" x14ac:dyDescent="0.25">
      <c r="B6301" s="40"/>
      <c r="C6301" s="40"/>
      <c r="E6301" s="80"/>
    </row>
    <row r="6302" spans="2:5" x14ac:dyDescent="0.25">
      <c r="B6302" s="40"/>
      <c r="C6302" s="40"/>
      <c r="E6302" s="80"/>
    </row>
    <row r="6303" spans="2:5" x14ac:dyDescent="0.25">
      <c r="B6303" s="40"/>
      <c r="C6303" s="40"/>
      <c r="E6303" s="80"/>
    </row>
    <row r="6304" spans="2:5" x14ac:dyDescent="0.25">
      <c r="B6304" s="40"/>
      <c r="C6304" s="40"/>
      <c r="E6304" s="80"/>
    </row>
    <row r="6305" spans="2:5" x14ac:dyDescent="0.25">
      <c r="B6305" s="40"/>
      <c r="C6305" s="40"/>
      <c r="E6305" s="80"/>
    </row>
    <row r="6306" spans="2:5" x14ac:dyDescent="0.25">
      <c r="B6306" s="40"/>
      <c r="C6306" s="40"/>
      <c r="E6306" s="80"/>
    </row>
    <row r="6307" spans="2:5" x14ac:dyDescent="0.25">
      <c r="B6307" s="40"/>
      <c r="C6307" s="40"/>
      <c r="E6307" s="80"/>
    </row>
    <row r="6308" spans="2:5" x14ac:dyDescent="0.25">
      <c r="B6308" s="40"/>
      <c r="C6308" s="40"/>
      <c r="E6308" s="80"/>
    </row>
    <row r="6309" spans="2:5" x14ac:dyDescent="0.25">
      <c r="B6309" s="40"/>
      <c r="C6309" s="40"/>
      <c r="E6309" s="80"/>
    </row>
    <row r="6310" spans="2:5" x14ac:dyDescent="0.25">
      <c r="B6310" s="40"/>
      <c r="C6310" s="40"/>
      <c r="E6310" s="80"/>
    </row>
    <row r="6311" spans="2:5" x14ac:dyDescent="0.25">
      <c r="B6311" s="40"/>
      <c r="C6311" s="40"/>
      <c r="E6311" s="80"/>
    </row>
    <row r="6312" spans="2:5" x14ac:dyDescent="0.25">
      <c r="B6312" s="40"/>
      <c r="C6312" s="40"/>
      <c r="E6312" s="80"/>
    </row>
    <row r="6313" spans="2:5" x14ac:dyDescent="0.25">
      <c r="B6313" s="40"/>
      <c r="C6313" s="40"/>
      <c r="E6313" s="80"/>
    </row>
    <row r="6314" spans="2:5" x14ac:dyDescent="0.25">
      <c r="B6314" s="40"/>
      <c r="C6314" s="40"/>
      <c r="E6314" s="80"/>
    </row>
    <row r="6315" spans="2:5" x14ac:dyDescent="0.25">
      <c r="B6315" s="40"/>
      <c r="C6315" s="40"/>
      <c r="E6315" s="80"/>
    </row>
    <row r="6316" spans="2:5" x14ac:dyDescent="0.25">
      <c r="B6316" s="40"/>
      <c r="C6316" s="40"/>
      <c r="E6316" s="80"/>
    </row>
    <row r="6317" spans="2:5" x14ac:dyDescent="0.25">
      <c r="B6317" s="40"/>
      <c r="C6317" s="40"/>
      <c r="E6317" s="80"/>
    </row>
    <row r="6318" spans="2:5" x14ac:dyDescent="0.25">
      <c r="B6318" s="40"/>
      <c r="C6318" s="40"/>
      <c r="E6318" s="80"/>
    </row>
    <row r="6319" spans="2:5" x14ac:dyDescent="0.25">
      <c r="B6319" s="40"/>
      <c r="C6319" s="40"/>
      <c r="E6319" s="80"/>
    </row>
    <row r="6320" spans="2:5" x14ac:dyDescent="0.25">
      <c r="B6320" s="40"/>
      <c r="C6320" s="40"/>
      <c r="E6320" s="80"/>
    </row>
    <row r="6321" spans="2:5" x14ac:dyDescent="0.25">
      <c r="B6321" s="40"/>
      <c r="C6321" s="40"/>
      <c r="E6321" s="80"/>
    </row>
    <row r="6322" spans="2:5" x14ac:dyDescent="0.25">
      <c r="B6322" s="40"/>
      <c r="C6322" s="40"/>
      <c r="E6322" s="80"/>
    </row>
    <row r="6323" spans="2:5" x14ac:dyDescent="0.25">
      <c r="B6323" s="40"/>
      <c r="C6323" s="40"/>
      <c r="E6323" s="80"/>
    </row>
    <row r="6324" spans="2:5" x14ac:dyDescent="0.25">
      <c r="B6324" s="40"/>
      <c r="C6324" s="40"/>
      <c r="E6324" s="80"/>
    </row>
    <row r="6325" spans="2:5" x14ac:dyDescent="0.25">
      <c r="B6325" s="40"/>
      <c r="C6325" s="40"/>
      <c r="E6325" s="80"/>
    </row>
    <row r="6326" spans="2:5" x14ac:dyDescent="0.25">
      <c r="B6326" s="40"/>
      <c r="C6326" s="40"/>
      <c r="E6326" s="80"/>
    </row>
    <row r="6327" spans="2:5" x14ac:dyDescent="0.25">
      <c r="B6327" s="40"/>
      <c r="C6327" s="40"/>
      <c r="E6327" s="80"/>
    </row>
    <row r="6328" spans="2:5" x14ac:dyDescent="0.25">
      <c r="B6328" s="40"/>
      <c r="C6328" s="40"/>
      <c r="E6328" s="80"/>
    </row>
    <row r="6329" spans="2:5" x14ac:dyDescent="0.25">
      <c r="B6329" s="40"/>
      <c r="C6329" s="40"/>
      <c r="E6329" s="80"/>
    </row>
    <row r="6330" spans="2:5" x14ac:dyDescent="0.25">
      <c r="B6330" s="40"/>
      <c r="C6330" s="40"/>
      <c r="E6330" s="80"/>
    </row>
    <row r="6331" spans="2:5" x14ac:dyDescent="0.25">
      <c r="B6331" s="40"/>
      <c r="C6331" s="40"/>
      <c r="E6331" s="80"/>
    </row>
    <row r="6332" spans="2:5" x14ac:dyDescent="0.25">
      <c r="B6332" s="40"/>
      <c r="C6332" s="40"/>
      <c r="E6332" s="80"/>
    </row>
    <row r="6333" spans="2:5" x14ac:dyDescent="0.25">
      <c r="B6333" s="40"/>
      <c r="C6333" s="40"/>
      <c r="E6333" s="80"/>
    </row>
    <row r="6334" spans="2:5" x14ac:dyDescent="0.25">
      <c r="B6334" s="40"/>
      <c r="C6334" s="40"/>
      <c r="E6334" s="80"/>
    </row>
    <row r="6335" spans="2:5" x14ac:dyDescent="0.25">
      <c r="B6335" s="40"/>
      <c r="C6335" s="40"/>
      <c r="E6335" s="80"/>
    </row>
    <row r="6336" spans="2:5" x14ac:dyDescent="0.25">
      <c r="B6336" s="40"/>
      <c r="C6336" s="40"/>
      <c r="E6336" s="80"/>
    </row>
    <row r="6337" spans="2:5" x14ac:dyDescent="0.25">
      <c r="B6337" s="40"/>
      <c r="C6337" s="40"/>
      <c r="E6337" s="80"/>
    </row>
    <row r="6338" spans="2:5" x14ac:dyDescent="0.25">
      <c r="B6338" s="40"/>
      <c r="C6338" s="40"/>
      <c r="E6338" s="80"/>
    </row>
    <row r="6339" spans="2:5" x14ac:dyDescent="0.25">
      <c r="B6339" s="40"/>
      <c r="C6339" s="40"/>
      <c r="E6339" s="80"/>
    </row>
    <row r="6340" spans="2:5" x14ac:dyDescent="0.25">
      <c r="B6340" s="40"/>
      <c r="C6340" s="40"/>
      <c r="E6340" s="80"/>
    </row>
    <row r="6341" spans="2:5" x14ac:dyDescent="0.25">
      <c r="B6341" s="40"/>
      <c r="C6341" s="40"/>
      <c r="E6341" s="80"/>
    </row>
    <row r="6342" spans="2:5" x14ac:dyDescent="0.25">
      <c r="B6342" s="40"/>
      <c r="C6342" s="40"/>
      <c r="E6342" s="80"/>
    </row>
    <row r="6343" spans="2:5" x14ac:dyDescent="0.25">
      <c r="B6343" s="40"/>
      <c r="C6343" s="40"/>
      <c r="E6343" s="80"/>
    </row>
    <row r="6344" spans="2:5" x14ac:dyDescent="0.25">
      <c r="B6344" s="40"/>
      <c r="C6344" s="40"/>
      <c r="E6344" s="80"/>
    </row>
    <row r="6345" spans="2:5" x14ac:dyDescent="0.25">
      <c r="B6345" s="40"/>
      <c r="C6345" s="40"/>
      <c r="E6345" s="80"/>
    </row>
    <row r="6346" spans="2:5" x14ac:dyDescent="0.25">
      <c r="B6346" s="40"/>
      <c r="C6346" s="40"/>
      <c r="E6346" s="80"/>
    </row>
    <row r="6347" spans="2:5" x14ac:dyDescent="0.25">
      <c r="B6347" s="40"/>
      <c r="C6347" s="40"/>
      <c r="E6347" s="80"/>
    </row>
    <row r="6348" spans="2:5" x14ac:dyDescent="0.25">
      <c r="B6348" s="40"/>
      <c r="C6348" s="40"/>
      <c r="E6348" s="80"/>
    </row>
    <row r="6349" spans="2:5" x14ac:dyDescent="0.25">
      <c r="B6349" s="40"/>
      <c r="C6349" s="40"/>
      <c r="E6349" s="80"/>
    </row>
    <row r="6350" spans="2:5" x14ac:dyDescent="0.25">
      <c r="B6350" s="40"/>
      <c r="C6350" s="40"/>
      <c r="E6350" s="80"/>
    </row>
    <row r="6351" spans="2:5" x14ac:dyDescent="0.25">
      <c r="B6351" s="40"/>
      <c r="C6351" s="40"/>
      <c r="E6351" s="80"/>
    </row>
    <row r="6352" spans="2:5" x14ac:dyDescent="0.25">
      <c r="B6352" s="40"/>
      <c r="C6352" s="40"/>
      <c r="E6352" s="80"/>
    </row>
    <row r="6353" spans="2:5" x14ac:dyDescent="0.25">
      <c r="B6353" s="40"/>
      <c r="C6353" s="40"/>
      <c r="E6353" s="80"/>
    </row>
    <row r="6354" spans="2:5" x14ac:dyDescent="0.25">
      <c r="B6354" s="40"/>
      <c r="C6354" s="40"/>
      <c r="E6354" s="80"/>
    </row>
    <row r="6355" spans="2:5" x14ac:dyDescent="0.25">
      <c r="B6355" s="40"/>
      <c r="C6355" s="40"/>
      <c r="E6355" s="80"/>
    </row>
    <row r="6356" spans="2:5" x14ac:dyDescent="0.25">
      <c r="B6356" s="40"/>
      <c r="C6356" s="40"/>
      <c r="E6356" s="80"/>
    </row>
    <row r="6357" spans="2:5" x14ac:dyDescent="0.25">
      <c r="B6357" s="40"/>
      <c r="C6357" s="40"/>
      <c r="E6357" s="80"/>
    </row>
    <row r="6358" spans="2:5" x14ac:dyDescent="0.25">
      <c r="B6358" s="40"/>
      <c r="C6358" s="40"/>
      <c r="E6358" s="80"/>
    </row>
    <row r="6359" spans="2:5" x14ac:dyDescent="0.25">
      <c r="B6359" s="40"/>
      <c r="C6359" s="40"/>
      <c r="E6359" s="80"/>
    </row>
    <row r="6360" spans="2:5" x14ac:dyDescent="0.25">
      <c r="B6360" s="40"/>
      <c r="C6360" s="40"/>
      <c r="E6360" s="80"/>
    </row>
    <row r="6361" spans="2:5" x14ac:dyDescent="0.25">
      <c r="B6361" s="40"/>
      <c r="C6361" s="40"/>
      <c r="E6361" s="80"/>
    </row>
    <row r="6362" spans="2:5" x14ac:dyDescent="0.25">
      <c r="B6362" s="40"/>
      <c r="C6362" s="40"/>
      <c r="E6362" s="80"/>
    </row>
    <row r="6363" spans="2:5" x14ac:dyDescent="0.25">
      <c r="B6363" s="40"/>
      <c r="C6363" s="40"/>
      <c r="E6363" s="80"/>
    </row>
    <row r="6364" spans="2:5" x14ac:dyDescent="0.25">
      <c r="B6364" s="40"/>
      <c r="C6364" s="40"/>
      <c r="E6364" s="80"/>
    </row>
    <row r="6365" spans="2:5" x14ac:dyDescent="0.25">
      <c r="B6365" s="40"/>
      <c r="C6365" s="40"/>
      <c r="E6365" s="80"/>
    </row>
    <row r="6366" spans="2:5" x14ac:dyDescent="0.25">
      <c r="B6366" s="40"/>
      <c r="C6366" s="40"/>
      <c r="E6366" s="80"/>
    </row>
    <row r="6367" spans="2:5" x14ac:dyDescent="0.25">
      <c r="B6367" s="40"/>
      <c r="C6367" s="40"/>
      <c r="E6367" s="80"/>
    </row>
    <row r="6368" spans="2:5" x14ac:dyDescent="0.25">
      <c r="B6368" s="40"/>
      <c r="C6368" s="40"/>
      <c r="E6368" s="80"/>
    </row>
    <row r="6369" spans="2:5" x14ac:dyDescent="0.25">
      <c r="B6369" s="40"/>
      <c r="C6369" s="40"/>
      <c r="E6369" s="80"/>
    </row>
    <row r="6370" spans="2:5" x14ac:dyDescent="0.25">
      <c r="B6370" s="40"/>
      <c r="C6370" s="40"/>
      <c r="E6370" s="80"/>
    </row>
    <row r="6371" spans="2:5" x14ac:dyDescent="0.25">
      <c r="B6371" s="40"/>
      <c r="C6371" s="40"/>
      <c r="E6371" s="80"/>
    </row>
    <row r="6372" spans="2:5" x14ac:dyDescent="0.25">
      <c r="B6372" s="40"/>
      <c r="C6372" s="40"/>
      <c r="E6372" s="80"/>
    </row>
    <row r="6373" spans="2:5" x14ac:dyDescent="0.25">
      <c r="B6373" s="40"/>
      <c r="C6373" s="40"/>
      <c r="E6373" s="80"/>
    </row>
    <row r="6374" spans="2:5" x14ac:dyDescent="0.25">
      <c r="B6374" s="40"/>
      <c r="C6374" s="40"/>
      <c r="E6374" s="80"/>
    </row>
    <row r="6375" spans="2:5" x14ac:dyDescent="0.25">
      <c r="B6375" s="40"/>
      <c r="C6375" s="40"/>
      <c r="E6375" s="80"/>
    </row>
    <row r="6376" spans="2:5" x14ac:dyDescent="0.25">
      <c r="B6376" s="40"/>
      <c r="C6376" s="40"/>
      <c r="E6376" s="80"/>
    </row>
    <row r="6377" spans="2:5" x14ac:dyDescent="0.25">
      <c r="B6377" s="40"/>
      <c r="C6377" s="40"/>
      <c r="E6377" s="80"/>
    </row>
    <row r="6378" spans="2:5" x14ac:dyDescent="0.25">
      <c r="B6378" s="40"/>
      <c r="C6378" s="40"/>
      <c r="E6378" s="80"/>
    </row>
    <row r="6379" spans="2:5" x14ac:dyDescent="0.25">
      <c r="B6379" s="40"/>
      <c r="C6379" s="40"/>
      <c r="E6379" s="80"/>
    </row>
    <row r="6380" spans="2:5" x14ac:dyDescent="0.25">
      <c r="B6380" s="40"/>
      <c r="C6380" s="40"/>
      <c r="E6380" s="80"/>
    </row>
    <row r="6381" spans="2:5" x14ac:dyDescent="0.25">
      <c r="B6381" s="40"/>
      <c r="C6381" s="40"/>
      <c r="E6381" s="80"/>
    </row>
    <row r="6382" spans="2:5" x14ac:dyDescent="0.25">
      <c r="B6382" s="40"/>
      <c r="C6382" s="40"/>
      <c r="E6382" s="80"/>
    </row>
    <row r="6383" spans="2:5" x14ac:dyDescent="0.25">
      <c r="B6383" s="40"/>
      <c r="C6383" s="40"/>
      <c r="E6383" s="80"/>
    </row>
    <row r="6384" spans="2:5" x14ac:dyDescent="0.25">
      <c r="B6384" s="40"/>
      <c r="C6384" s="40"/>
      <c r="E6384" s="80"/>
    </row>
    <row r="6385" spans="2:5" x14ac:dyDescent="0.25">
      <c r="B6385" s="40"/>
      <c r="C6385" s="40"/>
      <c r="E6385" s="80"/>
    </row>
    <row r="6386" spans="2:5" x14ac:dyDescent="0.25">
      <c r="B6386" s="40"/>
      <c r="C6386" s="40"/>
      <c r="E6386" s="80"/>
    </row>
    <row r="6387" spans="2:5" x14ac:dyDescent="0.25">
      <c r="B6387" s="40"/>
      <c r="C6387" s="40"/>
      <c r="E6387" s="80"/>
    </row>
    <row r="6388" spans="2:5" x14ac:dyDescent="0.25">
      <c r="B6388" s="40"/>
      <c r="C6388" s="40"/>
      <c r="E6388" s="80"/>
    </row>
    <row r="6389" spans="2:5" x14ac:dyDescent="0.25">
      <c r="B6389" s="40"/>
      <c r="C6389" s="40"/>
      <c r="E6389" s="80"/>
    </row>
    <row r="6390" spans="2:5" x14ac:dyDescent="0.25">
      <c r="B6390" s="40"/>
      <c r="C6390" s="40"/>
      <c r="E6390" s="80"/>
    </row>
    <row r="6391" spans="2:5" x14ac:dyDescent="0.25">
      <c r="B6391" s="40"/>
      <c r="C6391" s="40"/>
      <c r="E6391" s="80"/>
    </row>
    <row r="6392" spans="2:5" x14ac:dyDescent="0.25">
      <c r="B6392" s="40"/>
      <c r="C6392" s="40"/>
      <c r="E6392" s="80"/>
    </row>
    <row r="6393" spans="2:5" x14ac:dyDescent="0.25">
      <c r="B6393" s="40"/>
      <c r="C6393" s="40"/>
      <c r="E6393" s="80"/>
    </row>
    <row r="6394" spans="2:5" x14ac:dyDescent="0.25">
      <c r="B6394" s="40"/>
      <c r="C6394" s="40"/>
      <c r="E6394" s="80"/>
    </row>
    <row r="6395" spans="2:5" x14ac:dyDescent="0.25">
      <c r="B6395" s="40"/>
      <c r="C6395" s="40"/>
      <c r="E6395" s="80"/>
    </row>
    <row r="6396" spans="2:5" x14ac:dyDescent="0.25">
      <c r="B6396" s="40"/>
      <c r="C6396" s="40"/>
      <c r="E6396" s="80"/>
    </row>
    <row r="6397" spans="2:5" x14ac:dyDescent="0.25">
      <c r="B6397" s="40"/>
      <c r="C6397" s="40"/>
      <c r="E6397" s="80"/>
    </row>
    <row r="6398" spans="2:5" x14ac:dyDescent="0.25">
      <c r="B6398" s="40"/>
      <c r="C6398" s="40"/>
      <c r="E6398" s="80"/>
    </row>
    <row r="6399" spans="2:5" x14ac:dyDescent="0.25">
      <c r="B6399" s="40"/>
      <c r="C6399" s="40"/>
      <c r="E6399" s="80"/>
    </row>
    <row r="6400" spans="2:5" x14ac:dyDescent="0.25">
      <c r="B6400" s="40"/>
      <c r="C6400" s="40"/>
      <c r="E6400" s="80"/>
    </row>
    <row r="6401" spans="2:5" x14ac:dyDescent="0.25">
      <c r="B6401" s="40"/>
      <c r="C6401" s="40"/>
      <c r="E6401" s="80"/>
    </row>
    <row r="6402" spans="2:5" x14ac:dyDescent="0.25">
      <c r="B6402" s="40"/>
      <c r="C6402" s="40"/>
      <c r="E6402" s="80"/>
    </row>
    <row r="6403" spans="2:5" x14ac:dyDescent="0.25">
      <c r="B6403" s="40"/>
      <c r="C6403" s="40"/>
      <c r="E6403" s="80"/>
    </row>
    <row r="6404" spans="2:5" x14ac:dyDescent="0.25">
      <c r="B6404" s="40"/>
      <c r="C6404" s="40"/>
      <c r="E6404" s="80"/>
    </row>
    <row r="6405" spans="2:5" x14ac:dyDescent="0.25">
      <c r="B6405" s="40"/>
      <c r="C6405" s="40"/>
      <c r="E6405" s="80"/>
    </row>
    <row r="6406" spans="2:5" x14ac:dyDescent="0.25">
      <c r="B6406" s="40"/>
      <c r="C6406" s="40"/>
      <c r="E6406" s="80"/>
    </row>
    <row r="6407" spans="2:5" x14ac:dyDescent="0.25">
      <c r="B6407" s="40"/>
      <c r="C6407" s="40"/>
      <c r="E6407" s="80"/>
    </row>
    <row r="6408" spans="2:5" x14ac:dyDescent="0.25">
      <c r="B6408" s="40"/>
      <c r="C6408" s="40"/>
      <c r="E6408" s="80"/>
    </row>
    <row r="6409" spans="2:5" x14ac:dyDescent="0.25">
      <c r="B6409" s="40"/>
      <c r="C6409" s="40"/>
      <c r="E6409" s="80"/>
    </row>
    <row r="6410" spans="2:5" x14ac:dyDescent="0.25">
      <c r="B6410" s="40"/>
      <c r="C6410" s="40"/>
      <c r="E6410" s="80"/>
    </row>
    <row r="6411" spans="2:5" x14ac:dyDescent="0.25">
      <c r="B6411" s="40"/>
      <c r="C6411" s="40"/>
      <c r="E6411" s="80"/>
    </row>
    <row r="6412" spans="2:5" x14ac:dyDescent="0.25">
      <c r="B6412" s="40"/>
      <c r="C6412" s="40"/>
      <c r="E6412" s="80"/>
    </row>
    <row r="6413" spans="2:5" x14ac:dyDescent="0.25">
      <c r="B6413" s="40"/>
      <c r="C6413" s="40"/>
      <c r="E6413" s="80"/>
    </row>
    <row r="6414" spans="2:5" x14ac:dyDescent="0.25">
      <c r="B6414" s="40"/>
      <c r="C6414" s="40"/>
      <c r="E6414" s="80"/>
    </row>
    <row r="6415" spans="2:5" x14ac:dyDescent="0.25">
      <c r="B6415" s="40"/>
      <c r="C6415" s="40"/>
      <c r="E6415" s="80"/>
    </row>
    <row r="6416" spans="2:5" x14ac:dyDescent="0.25">
      <c r="B6416" s="40"/>
      <c r="C6416" s="40"/>
      <c r="E6416" s="80"/>
    </row>
    <row r="6417" spans="2:5" x14ac:dyDescent="0.25">
      <c r="B6417" s="40"/>
      <c r="C6417" s="40"/>
      <c r="E6417" s="80"/>
    </row>
    <row r="6418" spans="2:5" x14ac:dyDescent="0.25">
      <c r="B6418" s="40"/>
      <c r="C6418" s="40"/>
      <c r="E6418" s="80"/>
    </row>
    <row r="6419" spans="2:5" x14ac:dyDescent="0.25">
      <c r="B6419" s="40"/>
      <c r="C6419" s="40"/>
      <c r="E6419" s="80"/>
    </row>
    <row r="6420" spans="2:5" x14ac:dyDescent="0.25">
      <c r="B6420" s="40"/>
      <c r="C6420" s="40"/>
      <c r="E6420" s="80"/>
    </row>
    <row r="6421" spans="2:5" x14ac:dyDescent="0.25">
      <c r="B6421" s="40"/>
      <c r="C6421" s="40"/>
      <c r="E6421" s="80"/>
    </row>
    <row r="6422" spans="2:5" x14ac:dyDescent="0.25">
      <c r="B6422" s="40"/>
      <c r="C6422" s="40"/>
      <c r="E6422" s="80"/>
    </row>
    <row r="6423" spans="2:5" x14ac:dyDescent="0.25">
      <c r="B6423" s="40"/>
      <c r="C6423" s="40"/>
      <c r="E6423" s="80"/>
    </row>
    <row r="6424" spans="2:5" x14ac:dyDescent="0.25">
      <c r="B6424" s="40"/>
      <c r="C6424" s="40"/>
      <c r="E6424" s="80"/>
    </row>
    <row r="6425" spans="2:5" x14ac:dyDescent="0.25">
      <c r="B6425" s="40"/>
      <c r="C6425" s="40"/>
      <c r="E6425" s="80"/>
    </row>
    <row r="6426" spans="2:5" x14ac:dyDescent="0.25">
      <c r="B6426" s="40"/>
      <c r="C6426" s="40"/>
      <c r="E6426" s="80"/>
    </row>
    <row r="6427" spans="2:5" x14ac:dyDescent="0.25">
      <c r="B6427" s="40"/>
      <c r="C6427" s="40"/>
      <c r="E6427" s="80"/>
    </row>
    <row r="6428" spans="2:5" x14ac:dyDescent="0.25">
      <c r="B6428" s="40"/>
      <c r="C6428" s="40"/>
      <c r="E6428" s="80"/>
    </row>
    <row r="6429" spans="2:5" x14ac:dyDescent="0.25">
      <c r="B6429" s="40"/>
      <c r="C6429" s="40"/>
      <c r="E6429" s="80"/>
    </row>
    <row r="6430" spans="2:5" x14ac:dyDescent="0.25">
      <c r="B6430" s="40"/>
      <c r="C6430" s="40"/>
      <c r="E6430" s="80"/>
    </row>
    <row r="6431" spans="2:5" x14ac:dyDescent="0.25">
      <c r="B6431" s="40"/>
      <c r="C6431" s="40"/>
      <c r="E6431" s="80"/>
    </row>
    <row r="6432" spans="2:5" x14ac:dyDescent="0.25">
      <c r="B6432" s="40"/>
      <c r="C6432" s="40"/>
      <c r="E6432" s="80"/>
    </row>
    <row r="6433" spans="2:5" x14ac:dyDescent="0.25">
      <c r="B6433" s="40"/>
      <c r="C6433" s="40"/>
      <c r="E6433" s="80"/>
    </row>
    <row r="6434" spans="2:5" x14ac:dyDescent="0.25">
      <c r="B6434" s="40"/>
      <c r="C6434" s="40"/>
      <c r="E6434" s="80"/>
    </row>
    <row r="6435" spans="2:5" x14ac:dyDescent="0.25">
      <c r="B6435" s="40"/>
      <c r="C6435" s="40"/>
      <c r="E6435" s="80"/>
    </row>
    <row r="6436" spans="2:5" x14ac:dyDescent="0.25">
      <c r="B6436" s="40"/>
      <c r="C6436" s="40"/>
      <c r="E6436" s="80"/>
    </row>
    <row r="6437" spans="2:5" x14ac:dyDescent="0.25">
      <c r="B6437" s="40"/>
      <c r="C6437" s="40"/>
      <c r="E6437" s="80"/>
    </row>
    <row r="6438" spans="2:5" x14ac:dyDescent="0.25">
      <c r="B6438" s="40"/>
      <c r="C6438" s="40"/>
      <c r="E6438" s="80"/>
    </row>
    <row r="6439" spans="2:5" x14ac:dyDescent="0.25">
      <c r="B6439" s="40"/>
      <c r="C6439" s="40"/>
      <c r="E6439" s="80"/>
    </row>
    <row r="6440" spans="2:5" x14ac:dyDescent="0.25">
      <c r="B6440" s="40"/>
      <c r="C6440" s="40"/>
      <c r="E6440" s="80"/>
    </row>
    <row r="6441" spans="2:5" x14ac:dyDescent="0.25">
      <c r="B6441" s="40"/>
      <c r="C6441" s="40"/>
      <c r="E6441" s="80"/>
    </row>
    <row r="6442" spans="2:5" x14ac:dyDescent="0.25">
      <c r="B6442" s="40"/>
      <c r="C6442" s="40"/>
      <c r="E6442" s="80"/>
    </row>
    <row r="6443" spans="2:5" x14ac:dyDescent="0.25">
      <c r="B6443" s="40"/>
      <c r="C6443" s="40"/>
      <c r="E6443" s="80"/>
    </row>
    <row r="6444" spans="2:5" x14ac:dyDescent="0.25">
      <c r="B6444" s="40"/>
      <c r="C6444" s="40"/>
      <c r="E6444" s="80"/>
    </row>
    <row r="6445" spans="2:5" x14ac:dyDescent="0.25">
      <c r="B6445" s="40"/>
      <c r="C6445" s="40"/>
      <c r="E6445" s="80"/>
    </row>
    <row r="6446" spans="2:5" x14ac:dyDescent="0.25">
      <c r="B6446" s="40"/>
      <c r="C6446" s="40"/>
      <c r="E6446" s="80"/>
    </row>
    <row r="6447" spans="2:5" x14ac:dyDescent="0.25">
      <c r="B6447" s="40"/>
      <c r="C6447" s="40"/>
      <c r="E6447" s="80"/>
    </row>
    <row r="6448" spans="2:5" x14ac:dyDescent="0.25">
      <c r="B6448" s="40"/>
      <c r="C6448" s="40"/>
      <c r="E6448" s="80"/>
    </row>
    <row r="6449" spans="2:5" x14ac:dyDescent="0.25">
      <c r="B6449" s="40"/>
      <c r="C6449" s="40"/>
      <c r="E6449" s="80"/>
    </row>
    <row r="6450" spans="2:5" x14ac:dyDescent="0.25">
      <c r="B6450" s="40"/>
      <c r="C6450" s="40"/>
      <c r="E6450" s="80"/>
    </row>
    <row r="6451" spans="2:5" x14ac:dyDescent="0.25">
      <c r="B6451" s="40"/>
      <c r="C6451" s="40"/>
      <c r="E6451" s="80"/>
    </row>
    <row r="6452" spans="2:5" x14ac:dyDescent="0.25">
      <c r="B6452" s="40"/>
      <c r="C6452" s="40"/>
      <c r="E6452" s="80"/>
    </row>
    <row r="6453" spans="2:5" x14ac:dyDescent="0.25">
      <c r="B6453" s="40"/>
      <c r="C6453" s="40"/>
      <c r="E6453" s="80"/>
    </row>
    <row r="6454" spans="2:5" x14ac:dyDescent="0.25">
      <c r="B6454" s="40"/>
      <c r="C6454" s="40"/>
      <c r="E6454" s="80"/>
    </row>
    <row r="6455" spans="2:5" x14ac:dyDescent="0.25">
      <c r="B6455" s="40"/>
      <c r="C6455" s="40"/>
      <c r="E6455" s="80"/>
    </row>
    <row r="6456" spans="2:5" x14ac:dyDescent="0.25">
      <c r="B6456" s="40"/>
      <c r="C6456" s="40"/>
      <c r="E6456" s="80"/>
    </row>
    <row r="6457" spans="2:5" x14ac:dyDescent="0.25">
      <c r="B6457" s="40"/>
      <c r="C6457" s="40"/>
      <c r="E6457" s="80"/>
    </row>
    <row r="6458" spans="2:5" x14ac:dyDescent="0.25">
      <c r="B6458" s="40"/>
      <c r="C6458" s="40"/>
      <c r="E6458" s="80"/>
    </row>
    <row r="6459" spans="2:5" x14ac:dyDescent="0.25">
      <c r="B6459" s="40"/>
      <c r="C6459" s="40"/>
      <c r="E6459" s="80"/>
    </row>
    <row r="6460" spans="2:5" x14ac:dyDescent="0.25">
      <c r="B6460" s="40"/>
      <c r="C6460" s="40"/>
      <c r="E6460" s="80"/>
    </row>
    <row r="6461" spans="2:5" x14ac:dyDescent="0.25">
      <c r="B6461" s="40"/>
      <c r="C6461" s="40"/>
      <c r="E6461" s="80"/>
    </row>
    <row r="6462" spans="2:5" x14ac:dyDescent="0.25">
      <c r="B6462" s="40"/>
      <c r="C6462" s="40"/>
      <c r="E6462" s="80"/>
    </row>
    <row r="6463" spans="2:5" x14ac:dyDescent="0.25">
      <c r="B6463" s="40"/>
      <c r="C6463" s="40"/>
      <c r="E6463" s="80"/>
    </row>
    <row r="6464" spans="2:5" x14ac:dyDescent="0.25">
      <c r="B6464" s="40"/>
      <c r="C6464" s="40"/>
      <c r="E6464" s="80"/>
    </row>
    <row r="6465" spans="2:5" x14ac:dyDescent="0.25">
      <c r="B6465" s="40"/>
      <c r="C6465" s="40"/>
      <c r="E6465" s="80"/>
    </row>
    <row r="6466" spans="2:5" x14ac:dyDescent="0.25">
      <c r="B6466" s="40"/>
      <c r="C6466" s="40"/>
      <c r="E6466" s="80"/>
    </row>
    <row r="6467" spans="2:5" x14ac:dyDescent="0.25">
      <c r="B6467" s="40"/>
      <c r="C6467" s="40"/>
      <c r="E6467" s="80"/>
    </row>
    <row r="6468" spans="2:5" x14ac:dyDescent="0.25">
      <c r="B6468" s="40"/>
      <c r="C6468" s="40"/>
      <c r="E6468" s="80"/>
    </row>
    <row r="6469" spans="2:5" x14ac:dyDescent="0.25">
      <c r="B6469" s="40"/>
      <c r="C6469" s="40"/>
      <c r="E6469" s="80"/>
    </row>
    <row r="6470" spans="2:5" x14ac:dyDescent="0.25">
      <c r="B6470" s="40"/>
      <c r="C6470" s="40"/>
      <c r="E6470" s="80"/>
    </row>
    <row r="6471" spans="2:5" x14ac:dyDescent="0.25">
      <c r="B6471" s="40"/>
      <c r="C6471" s="40"/>
      <c r="E6471" s="80"/>
    </row>
    <row r="6472" spans="2:5" x14ac:dyDescent="0.25">
      <c r="B6472" s="40"/>
      <c r="C6472" s="40"/>
      <c r="E6472" s="80"/>
    </row>
    <row r="6473" spans="2:5" x14ac:dyDescent="0.25">
      <c r="B6473" s="40"/>
      <c r="C6473" s="40"/>
      <c r="E6473" s="80"/>
    </row>
    <row r="6474" spans="2:5" x14ac:dyDescent="0.25">
      <c r="B6474" s="40"/>
      <c r="C6474" s="40"/>
      <c r="E6474" s="80"/>
    </row>
    <row r="6475" spans="2:5" x14ac:dyDescent="0.25">
      <c r="B6475" s="40"/>
      <c r="C6475" s="40"/>
      <c r="E6475" s="80"/>
    </row>
    <row r="6476" spans="2:5" x14ac:dyDescent="0.25">
      <c r="B6476" s="40"/>
      <c r="C6476" s="40"/>
      <c r="E6476" s="80"/>
    </row>
    <row r="6477" spans="2:5" x14ac:dyDescent="0.25">
      <c r="B6477" s="40"/>
      <c r="C6477" s="40"/>
      <c r="E6477" s="80"/>
    </row>
    <row r="6478" spans="2:5" x14ac:dyDescent="0.25">
      <c r="B6478" s="40"/>
      <c r="C6478" s="40"/>
      <c r="E6478" s="80"/>
    </row>
    <row r="6479" spans="2:5" x14ac:dyDescent="0.25">
      <c r="B6479" s="40"/>
      <c r="C6479" s="40"/>
      <c r="E6479" s="80"/>
    </row>
    <row r="6480" spans="2:5" x14ac:dyDescent="0.25">
      <c r="B6480" s="40"/>
      <c r="C6480" s="40"/>
      <c r="E6480" s="80"/>
    </row>
    <row r="6481" spans="2:5" x14ac:dyDescent="0.25">
      <c r="B6481" s="40"/>
      <c r="C6481" s="40"/>
      <c r="E6481" s="80"/>
    </row>
    <row r="6482" spans="2:5" x14ac:dyDescent="0.25">
      <c r="B6482" s="40"/>
      <c r="C6482" s="40"/>
      <c r="E6482" s="80"/>
    </row>
    <row r="6483" spans="2:5" x14ac:dyDescent="0.25">
      <c r="B6483" s="40"/>
      <c r="C6483" s="40"/>
      <c r="E6483" s="80"/>
    </row>
    <row r="6484" spans="2:5" x14ac:dyDescent="0.25">
      <c r="B6484" s="40"/>
      <c r="C6484" s="40"/>
      <c r="E6484" s="80"/>
    </row>
    <row r="6485" spans="2:5" x14ac:dyDescent="0.25">
      <c r="B6485" s="40"/>
      <c r="C6485" s="40"/>
      <c r="E6485" s="80"/>
    </row>
    <row r="6486" spans="2:5" x14ac:dyDescent="0.25">
      <c r="B6486" s="40"/>
      <c r="C6486" s="40"/>
      <c r="E6486" s="80"/>
    </row>
    <row r="6487" spans="2:5" x14ac:dyDescent="0.25">
      <c r="B6487" s="40"/>
      <c r="C6487" s="40"/>
      <c r="E6487" s="80"/>
    </row>
    <row r="6488" spans="2:5" x14ac:dyDescent="0.25">
      <c r="B6488" s="40"/>
      <c r="C6488" s="40"/>
      <c r="E6488" s="80"/>
    </row>
    <row r="6489" spans="2:5" x14ac:dyDescent="0.25">
      <c r="B6489" s="40"/>
      <c r="C6489" s="40"/>
      <c r="E6489" s="80"/>
    </row>
    <row r="6490" spans="2:5" x14ac:dyDescent="0.25">
      <c r="B6490" s="40"/>
      <c r="C6490" s="40"/>
      <c r="E6490" s="80"/>
    </row>
    <row r="6491" spans="2:5" x14ac:dyDescent="0.25">
      <c r="B6491" s="40"/>
      <c r="C6491" s="40"/>
      <c r="E6491" s="80"/>
    </row>
    <row r="6492" spans="2:5" x14ac:dyDescent="0.25">
      <c r="B6492" s="40"/>
      <c r="C6492" s="40"/>
      <c r="E6492" s="80"/>
    </row>
    <row r="6493" spans="2:5" x14ac:dyDescent="0.25">
      <c r="B6493" s="40"/>
      <c r="C6493" s="40"/>
      <c r="E6493" s="80"/>
    </row>
    <row r="6494" spans="2:5" x14ac:dyDescent="0.25">
      <c r="B6494" s="40"/>
      <c r="C6494" s="40"/>
      <c r="E6494" s="80"/>
    </row>
    <row r="6495" spans="2:5" x14ac:dyDescent="0.25">
      <c r="B6495" s="40"/>
      <c r="C6495" s="40"/>
      <c r="E6495" s="80"/>
    </row>
    <row r="6496" spans="2:5" x14ac:dyDescent="0.25">
      <c r="B6496" s="40"/>
      <c r="C6496" s="40"/>
      <c r="E6496" s="80"/>
    </row>
    <row r="6497" spans="2:5" x14ac:dyDescent="0.25">
      <c r="B6497" s="40"/>
      <c r="C6497" s="40"/>
      <c r="E6497" s="80"/>
    </row>
    <row r="6498" spans="2:5" x14ac:dyDescent="0.25">
      <c r="B6498" s="40"/>
      <c r="C6498" s="40"/>
      <c r="E6498" s="80"/>
    </row>
    <row r="6499" spans="2:5" x14ac:dyDescent="0.25">
      <c r="B6499" s="40"/>
      <c r="C6499" s="40"/>
      <c r="E6499" s="80"/>
    </row>
    <row r="6500" spans="2:5" x14ac:dyDescent="0.25">
      <c r="B6500" s="40"/>
      <c r="C6500" s="40"/>
      <c r="E6500" s="80"/>
    </row>
    <row r="6501" spans="2:5" x14ac:dyDescent="0.25">
      <c r="B6501" s="40"/>
      <c r="C6501" s="40"/>
      <c r="E6501" s="80"/>
    </row>
    <row r="6502" spans="2:5" x14ac:dyDescent="0.25">
      <c r="B6502" s="40"/>
      <c r="C6502" s="40"/>
      <c r="E6502" s="80"/>
    </row>
    <row r="6503" spans="2:5" x14ac:dyDescent="0.25">
      <c r="B6503" s="40"/>
      <c r="C6503" s="40"/>
      <c r="E6503" s="80"/>
    </row>
    <row r="6504" spans="2:5" x14ac:dyDescent="0.25">
      <c r="B6504" s="40"/>
      <c r="C6504" s="40"/>
      <c r="E6504" s="80"/>
    </row>
    <row r="6505" spans="2:5" x14ac:dyDescent="0.25">
      <c r="B6505" s="40"/>
      <c r="C6505" s="40"/>
      <c r="E6505" s="80"/>
    </row>
    <row r="6506" spans="2:5" x14ac:dyDescent="0.25">
      <c r="B6506" s="40"/>
      <c r="C6506" s="40"/>
      <c r="E6506" s="80"/>
    </row>
    <row r="6507" spans="2:5" x14ac:dyDescent="0.25">
      <c r="B6507" s="40"/>
      <c r="C6507" s="40"/>
      <c r="E6507" s="80"/>
    </row>
    <row r="6508" spans="2:5" x14ac:dyDescent="0.25">
      <c r="B6508" s="40"/>
      <c r="C6508" s="40"/>
      <c r="E6508" s="80"/>
    </row>
    <row r="6509" spans="2:5" x14ac:dyDescent="0.25">
      <c r="B6509" s="40"/>
      <c r="C6509" s="40"/>
      <c r="E6509" s="80"/>
    </row>
    <row r="6510" spans="2:5" x14ac:dyDescent="0.25">
      <c r="B6510" s="40"/>
      <c r="C6510" s="40"/>
      <c r="E6510" s="80"/>
    </row>
    <row r="6511" spans="2:5" x14ac:dyDescent="0.25">
      <c r="B6511" s="40"/>
      <c r="C6511" s="40"/>
      <c r="E6511" s="80"/>
    </row>
    <row r="6512" spans="2:5" x14ac:dyDescent="0.25">
      <c r="B6512" s="40"/>
      <c r="C6512" s="40"/>
      <c r="E6512" s="80"/>
    </row>
    <row r="6513" spans="2:5" x14ac:dyDescent="0.25">
      <c r="B6513" s="40"/>
      <c r="C6513" s="40"/>
      <c r="E6513" s="80"/>
    </row>
    <row r="6514" spans="2:5" x14ac:dyDescent="0.25">
      <c r="B6514" s="40"/>
      <c r="C6514" s="40"/>
      <c r="E6514" s="80"/>
    </row>
    <row r="6515" spans="2:5" x14ac:dyDescent="0.25">
      <c r="B6515" s="40"/>
      <c r="C6515" s="40"/>
      <c r="E6515" s="80"/>
    </row>
    <row r="6516" spans="2:5" x14ac:dyDescent="0.25">
      <c r="B6516" s="40"/>
      <c r="C6516" s="40"/>
      <c r="E6516" s="80"/>
    </row>
    <row r="6517" spans="2:5" x14ac:dyDescent="0.25">
      <c r="B6517" s="40"/>
      <c r="C6517" s="40"/>
      <c r="E6517" s="80"/>
    </row>
    <row r="6518" spans="2:5" x14ac:dyDescent="0.25">
      <c r="B6518" s="40"/>
      <c r="C6518" s="40"/>
      <c r="E6518" s="80"/>
    </row>
    <row r="6519" spans="2:5" x14ac:dyDescent="0.25">
      <c r="B6519" s="40"/>
      <c r="C6519" s="40"/>
      <c r="E6519" s="80"/>
    </row>
    <row r="6520" spans="2:5" x14ac:dyDescent="0.25">
      <c r="B6520" s="40"/>
      <c r="C6520" s="40"/>
      <c r="E6520" s="80"/>
    </row>
    <row r="6521" spans="2:5" x14ac:dyDescent="0.25">
      <c r="B6521" s="40"/>
      <c r="C6521" s="40"/>
      <c r="E6521" s="80"/>
    </row>
    <row r="6522" spans="2:5" x14ac:dyDescent="0.25">
      <c r="B6522" s="40"/>
      <c r="C6522" s="40"/>
      <c r="E6522" s="80"/>
    </row>
    <row r="6523" spans="2:5" x14ac:dyDescent="0.25">
      <c r="B6523" s="40"/>
      <c r="C6523" s="40"/>
      <c r="E6523" s="80"/>
    </row>
    <row r="6524" spans="2:5" x14ac:dyDescent="0.25">
      <c r="B6524" s="40"/>
      <c r="C6524" s="40"/>
      <c r="E6524" s="80"/>
    </row>
    <row r="6525" spans="2:5" x14ac:dyDescent="0.25">
      <c r="B6525" s="40"/>
      <c r="C6525" s="40"/>
      <c r="E6525" s="80"/>
    </row>
    <row r="6526" spans="2:5" x14ac:dyDescent="0.25">
      <c r="B6526" s="40"/>
      <c r="C6526" s="40"/>
      <c r="E6526" s="80"/>
    </row>
    <row r="6527" spans="2:5" x14ac:dyDescent="0.25">
      <c r="B6527" s="40"/>
      <c r="C6527" s="40"/>
      <c r="E6527" s="80"/>
    </row>
    <row r="6528" spans="2:5" x14ac:dyDescent="0.25">
      <c r="B6528" s="40"/>
      <c r="C6528" s="40"/>
      <c r="E6528" s="80"/>
    </row>
    <row r="6529" spans="2:5" x14ac:dyDescent="0.25">
      <c r="B6529" s="40"/>
      <c r="C6529" s="40"/>
      <c r="E6529" s="80"/>
    </row>
    <row r="6530" spans="2:5" x14ac:dyDescent="0.25">
      <c r="B6530" s="40"/>
      <c r="C6530" s="40"/>
      <c r="E6530" s="80"/>
    </row>
    <row r="6531" spans="2:5" x14ac:dyDescent="0.25">
      <c r="B6531" s="40"/>
      <c r="C6531" s="40"/>
      <c r="E6531" s="80"/>
    </row>
    <row r="6532" spans="2:5" x14ac:dyDescent="0.25">
      <c r="B6532" s="40"/>
      <c r="C6532" s="40"/>
      <c r="E6532" s="80"/>
    </row>
    <row r="6533" spans="2:5" x14ac:dyDescent="0.25">
      <c r="B6533" s="40"/>
      <c r="C6533" s="40"/>
      <c r="E6533" s="80"/>
    </row>
    <row r="6534" spans="2:5" x14ac:dyDescent="0.25">
      <c r="B6534" s="40"/>
      <c r="C6534" s="40"/>
      <c r="E6534" s="80"/>
    </row>
    <row r="6535" spans="2:5" x14ac:dyDescent="0.25">
      <c r="B6535" s="40"/>
      <c r="C6535" s="40"/>
      <c r="E6535" s="80"/>
    </row>
    <row r="6536" spans="2:5" x14ac:dyDescent="0.25">
      <c r="B6536" s="40"/>
      <c r="C6536" s="40"/>
      <c r="E6536" s="80"/>
    </row>
    <row r="6537" spans="2:5" x14ac:dyDescent="0.25">
      <c r="B6537" s="40"/>
      <c r="C6537" s="40"/>
      <c r="E6537" s="80"/>
    </row>
    <row r="6538" spans="2:5" x14ac:dyDescent="0.25">
      <c r="B6538" s="40"/>
      <c r="C6538" s="40"/>
      <c r="E6538" s="80"/>
    </row>
    <row r="6539" spans="2:5" x14ac:dyDescent="0.25">
      <c r="B6539" s="40"/>
      <c r="C6539" s="40"/>
      <c r="E6539" s="80"/>
    </row>
    <row r="6540" spans="2:5" x14ac:dyDescent="0.25">
      <c r="B6540" s="40"/>
      <c r="C6540" s="40"/>
      <c r="E6540" s="80"/>
    </row>
    <row r="6541" spans="2:5" x14ac:dyDescent="0.25">
      <c r="B6541" s="40"/>
      <c r="C6541" s="40"/>
      <c r="E6541" s="80"/>
    </row>
    <row r="6542" spans="2:5" x14ac:dyDescent="0.25">
      <c r="B6542" s="40"/>
      <c r="C6542" s="40"/>
      <c r="E6542" s="80"/>
    </row>
    <row r="6543" spans="2:5" x14ac:dyDescent="0.25">
      <c r="B6543" s="40"/>
      <c r="C6543" s="40"/>
      <c r="E6543" s="80"/>
    </row>
    <row r="6544" spans="2:5" x14ac:dyDescent="0.25">
      <c r="B6544" s="40"/>
      <c r="C6544" s="40"/>
      <c r="E6544" s="80"/>
    </row>
    <row r="6545" spans="2:5" x14ac:dyDescent="0.25">
      <c r="B6545" s="40"/>
      <c r="C6545" s="40"/>
      <c r="E6545" s="80"/>
    </row>
    <row r="6546" spans="2:5" x14ac:dyDescent="0.25">
      <c r="B6546" s="40"/>
      <c r="C6546" s="40"/>
      <c r="E6546" s="80"/>
    </row>
    <row r="6547" spans="2:5" x14ac:dyDescent="0.25">
      <c r="B6547" s="40"/>
      <c r="C6547" s="40"/>
      <c r="E6547" s="80"/>
    </row>
    <row r="6548" spans="2:5" x14ac:dyDescent="0.25">
      <c r="B6548" s="40"/>
      <c r="C6548" s="40"/>
      <c r="E6548" s="80"/>
    </row>
    <row r="6549" spans="2:5" x14ac:dyDescent="0.25">
      <c r="B6549" s="40"/>
      <c r="C6549" s="40"/>
      <c r="E6549" s="80"/>
    </row>
    <row r="6550" spans="2:5" x14ac:dyDescent="0.25">
      <c r="B6550" s="40"/>
      <c r="C6550" s="40"/>
      <c r="E6550" s="80"/>
    </row>
    <row r="6551" spans="2:5" x14ac:dyDescent="0.25">
      <c r="B6551" s="40"/>
      <c r="C6551" s="40"/>
      <c r="E6551" s="80"/>
    </row>
    <row r="6552" spans="2:5" x14ac:dyDescent="0.25">
      <c r="B6552" s="40"/>
      <c r="C6552" s="40"/>
      <c r="E6552" s="80"/>
    </row>
    <row r="6553" spans="2:5" x14ac:dyDescent="0.25">
      <c r="B6553" s="40"/>
      <c r="C6553" s="40"/>
      <c r="E6553" s="80"/>
    </row>
    <row r="6554" spans="2:5" x14ac:dyDescent="0.25">
      <c r="B6554" s="40"/>
      <c r="C6554" s="40"/>
      <c r="E6554" s="80"/>
    </row>
    <row r="6555" spans="2:5" x14ac:dyDescent="0.25">
      <c r="B6555" s="40"/>
      <c r="C6555" s="40"/>
      <c r="E6555" s="80"/>
    </row>
    <row r="6556" spans="2:5" x14ac:dyDescent="0.25">
      <c r="B6556" s="40"/>
      <c r="C6556" s="40"/>
      <c r="E6556" s="80"/>
    </row>
    <row r="6557" spans="2:5" x14ac:dyDescent="0.25">
      <c r="B6557" s="40"/>
      <c r="C6557" s="40"/>
      <c r="E6557" s="80"/>
    </row>
    <row r="6558" spans="2:5" x14ac:dyDescent="0.25">
      <c r="B6558" s="40"/>
      <c r="C6558" s="40"/>
      <c r="E6558" s="80"/>
    </row>
    <row r="6559" spans="2:5" x14ac:dyDescent="0.25">
      <c r="B6559" s="40"/>
      <c r="C6559" s="40"/>
      <c r="E6559" s="80"/>
    </row>
    <row r="6560" spans="2:5" x14ac:dyDescent="0.25">
      <c r="B6560" s="40"/>
      <c r="C6560" s="40"/>
      <c r="E6560" s="80"/>
    </row>
    <row r="6561" spans="2:5" x14ac:dyDescent="0.25">
      <c r="B6561" s="40"/>
      <c r="C6561" s="40"/>
      <c r="E6561" s="80"/>
    </row>
    <row r="6562" spans="2:5" x14ac:dyDescent="0.25">
      <c r="B6562" s="40"/>
      <c r="C6562" s="40"/>
      <c r="E6562" s="80"/>
    </row>
    <row r="6563" spans="2:5" x14ac:dyDescent="0.25">
      <c r="B6563" s="40"/>
      <c r="C6563" s="40"/>
      <c r="E6563" s="80"/>
    </row>
    <row r="6564" spans="2:5" x14ac:dyDescent="0.25">
      <c r="B6564" s="40"/>
      <c r="C6564" s="40"/>
      <c r="E6564" s="80"/>
    </row>
    <row r="6565" spans="2:5" x14ac:dyDescent="0.25">
      <c r="B6565" s="40"/>
      <c r="C6565" s="40"/>
      <c r="E6565" s="80"/>
    </row>
    <row r="6566" spans="2:5" x14ac:dyDescent="0.25">
      <c r="B6566" s="40"/>
      <c r="C6566" s="40"/>
      <c r="E6566" s="80"/>
    </row>
    <row r="6567" spans="2:5" x14ac:dyDescent="0.25">
      <c r="B6567" s="40"/>
      <c r="C6567" s="40"/>
      <c r="E6567" s="80"/>
    </row>
    <row r="6568" spans="2:5" x14ac:dyDescent="0.25">
      <c r="B6568" s="40"/>
      <c r="C6568" s="40"/>
      <c r="E6568" s="80"/>
    </row>
    <row r="6569" spans="2:5" x14ac:dyDescent="0.25">
      <c r="B6569" s="40"/>
      <c r="C6569" s="40"/>
      <c r="E6569" s="80"/>
    </row>
    <row r="6570" spans="2:5" x14ac:dyDescent="0.25">
      <c r="B6570" s="40"/>
      <c r="C6570" s="40"/>
      <c r="E6570" s="80"/>
    </row>
    <row r="6571" spans="2:5" x14ac:dyDescent="0.25">
      <c r="B6571" s="40"/>
      <c r="C6571" s="40"/>
      <c r="E6571" s="80"/>
    </row>
    <row r="6572" spans="2:5" x14ac:dyDescent="0.25">
      <c r="B6572" s="40"/>
      <c r="C6572" s="40"/>
      <c r="E6572" s="80"/>
    </row>
    <row r="6573" spans="2:5" x14ac:dyDescent="0.25">
      <c r="B6573" s="40"/>
      <c r="C6573" s="40"/>
      <c r="E6573" s="80"/>
    </row>
    <row r="6574" spans="2:5" x14ac:dyDescent="0.25">
      <c r="B6574" s="40"/>
      <c r="C6574" s="40"/>
      <c r="E6574" s="80"/>
    </row>
    <row r="6575" spans="2:5" x14ac:dyDescent="0.25">
      <c r="B6575" s="40"/>
      <c r="C6575" s="40"/>
      <c r="E6575" s="80"/>
    </row>
    <row r="6576" spans="2:5" x14ac:dyDescent="0.25">
      <c r="B6576" s="40"/>
      <c r="C6576" s="40"/>
      <c r="E6576" s="80"/>
    </row>
    <row r="6577" spans="2:5" x14ac:dyDescent="0.25">
      <c r="B6577" s="40"/>
      <c r="C6577" s="40"/>
      <c r="E6577" s="80"/>
    </row>
    <row r="6578" spans="2:5" x14ac:dyDescent="0.25">
      <c r="B6578" s="40"/>
      <c r="C6578" s="40"/>
      <c r="E6578" s="80"/>
    </row>
    <row r="6579" spans="2:5" x14ac:dyDescent="0.25">
      <c r="B6579" s="40"/>
      <c r="C6579" s="40"/>
      <c r="E6579" s="80"/>
    </row>
    <row r="6580" spans="2:5" x14ac:dyDescent="0.25">
      <c r="B6580" s="40"/>
      <c r="C6580" s="40"/>
      <c r="E6580" s="80"/>
    </row>
    <row r="6581" spans="2:5" x14ac:dyDescent="0.25">
      <c r="B6581" s="40"/>
      <c r="C6581" s="40"/>
      <c r="E6581" s="80"/>
    </row>
    <row r="6582" spans="2:5" x14ac:dyDescent="0.25">
      <c r="B6582" s="40"/>
      <c r="C6582" s="40"/>
      <c r="E6582" s="80"/>
    </row>
    <row r="6583" spans="2:5" x14ac:dyDescent="0.25">
      <c r="B6583" s="40"/>
      <c r="C6583" s="40"/>
      <c r="E6583" s="80"/>
    </row>
    <row r="6584" spans="2:5" x14ac:dyDescent="0.25">
      <c r="B6584" s="40"/>
      <c r="C6584" s="40"/>
      <c r="E6584" s="80"/>
    </row>
    <row r="6585" spans="2:5" x14ac:dyDescent="0.25">
      <c r="B6585" s="40"/>
      <c r="C6585" s="40"/>
      <c r="E6585" s="80"/>
    </row>
    <row r="6586" spans="2:5" x14ac:dyDescent="0.25">
      <c r="B6586" s="40"/>
      <c r="C6586" s="40"/>
      <c r="E6586" s="80"/>
    </row>
    <row r="6587" spans="2:5" x14ac:dyDescent="0.25">
      <c r="B6587" s="40"/>
      <c r="C6587" s="40"/>
      <c r="E6587" s="80"/>
    </row>
    <row r="6588" spans="2:5" x14ac:dyDescent="0.25">
      <c r="B6588" s="40"/>
      <c r="C6588" s="40"/>
      <c r="E6588" s="80"/>
    </row>
    <row r="6589" spans="2:5" x14ac:dyDescent="0.25">
      <c r="B6589" s="40"/>
      <c r="C6589" s="40"/>
      <c r="E6589" s="80"/>
    </row>
    <row r="6590" spans="2:5" x14ac:dyDescent="0.25">
      <c r="B6590" s="40"/>
      <c r="C6590" s="40"/>
      <c r="E6590" s="80"/>
    </row>
    <row r="6591" spans="2:5" x14ac:dyDescent="0.25">
      <c r="B6591" s="40"/>
      <c r="C6591" s="40"/>
      <c r="E6591" s="80"/>
    </row>
    <row r="6592" spans="2:5" x14ac:dyDescent="0.25">
      <c r="B6592" s="40"/>
      <c r="C6592" s="40"/>
      <c r="E6592" s="80"/>
    </row>
    <row r="6593" spans="2:5" x14ac:dyDescent="0.25">
      <c r="B6593" s="40"/>
      <c r="C6593" s="40"/>
      <c r="E6593" s="80"/>
    </row>
    <row r="6594" spans="2:5" x14ac:dyDescent="0.25">
      <c r="B6594" s="40"/>
      <c r="C6594" s="40"/>
      <c r="E6594" s="80"/>
    </row>
    <row r="6595" spans="2:5" x14ac:dyDescent="0.25">
      <c r="B6595" s="40"/>
      <c r="C6595" s="40"/>
      <c r="E6595" s="80"/>
    </row>
    <row r="6596" spans="2:5" x14ac:dyDescent="0.25">
      <c r="B6596" s="40"/>
      <c r="C6596" s="40"/>
      <c r="E6596" s="80"/>
    </row>
    <row r="6597" spans="2:5" x14ac:dyDescent="0.25">
      <c r="B6597" s="40"/>
      <c r="C6597" s="40"/>
      <c r="E6597" s="80"/>
    </row>
    <row r="6598" spans="2:5" x14ac:dyDescent="0.25">
      <c r="B6598" s="40"/>
      <c r="C6598" s="40"/>
      <c r="E6598" s="80"/>
    </row>
    <row r="6599" spans="2:5" x14ac:dyDescent="0.25">
      <c r="B6599" s="40"/>
      <c r="C6599" s="40"/>
      <c r="E6599" s="80"/>
    </row>
    <row r="6600" spans="2:5" x14ac:dyDescent="0.25">
      <c r="B6600" s="40"/>
      <c r="C6600" s="40"/>
      <c r="E6600" s="80"/>
    </row>
    <row r="6601" spans="2:5" x14ac:dyDescent="0.25">
      <c r="B6601" s="40"/>
      <c r="C6601" s="40"/>
      <c r="E6601" s="80"/>
    </row>
    <row r="6602" spans="2:5" x14ac:dyDescent="0.25">
      <c r="B6602" s="40"/>
      <c r="C6602" s="40"/>
      <c r="E6602" s="80"/>
    </row>
    <row r="6603" spans="2:5" x14ac:dyDescent="0.25">
      <c r="B6603" s="40"/>
      <c r="C6603" s="40"/>
      <c r="E6603" s="80"/>
    </row>
    <row r="6604" spans="2:5" x14ac:dyDescent="0.25">
      <c r="B6604" s="40"/>
      <c r="C6604" s="40"/>
      <c r="E6604" s="80"/>
    </row>
    <row r="6605" spans="2:5" x14ac:dyDescent="0.25">
      <c r="B6605" s="40"/>
      <c r="C6605" s="40"/>
      <c r="E6605" s="80"/>
    </row>
    <row r="6606" spans="2:5" x14ac:dyDescent="0.25">
      <c r="B6606" s="40"/>
      <c r="C6606" s="40"/>
      <c r="E6606" s="80"/>
    </row>
    <row r="6607" spans="2:5" x14ac:dyDescent="0.25">
      <c r="B6607" s="40"/>
      <c r="C6607" s="40"/>
      <c r="E6607" s="80"/>
    </row>
    <row r="6608" spans="2:5" x14ac:dyDescent="0.25">
      <c r="B6608" s="40"/>
      <c r="C6608" s="40"/>
      <c r="E6608" s="80"/>
    </row>
    <row r="6609" spans="2:5" x14ac:dyDescent="0.25">
      <c r="B6609" s="40"/>
      <c r="C6609" s="40"/>
      <c r="E6609" s="80"/>
    </row>
    <row r="6610" spans="2:5" x14ac:dyDescent="0.25">
      <c r="B6610" s="40"/>
      <c r="C6610" s="40"/>
      <c r="E6610" s="80"/>
    </row>
    <row r="6611" spans="2:5" x14ac:dyDescent="0.25">
      <c r="B6611" s="40"/>
      <c r="C6611" s="40"/>
      <c r="E6611" s="80"/>
    </row>
    <row r="6612" spans="2:5" x14ac:dyDescent="0.25">
      <c r="B6612" s="40"/>
      <c r="C6612" s="40"/>
      <c r="E6612" s="80"/>
    </row>
    <row r="6613" spans="2:5" x14ac:dyDescent="0.25">
      <c r="B6613" s="40"/>
      <c r="C6613" s="40"/>
      <c r="E6613" s="80"/>
    </row>
    <row r="6614" spans="2:5" x14ac:dyDescent="0.25">
      <c r="B6614" s="40"/>
      <c r="C6614" s="40"/>
      <c r="E6614" s="80"/>
    </row>
    <row r="6615" spans="2:5" x14ac:dyDescent="0.25">
      <c r="B6615" s="40"/>
      <c r="C6615" s="40"/>
      <c r="E6615" s="80"/>
    </row>
    <row r="6616" spans="2:5" x14ac:dyDescent="0.25">
      <c r="B6616" s="40"/>
      <c r="C6616" s="40"/>
      <c r="E6616" s="80"/>
    </row>
    <row r="6617" spans="2:5" x14ac:dyDescent="0.25">
      <c r="B6617" s="40"/>
      <c r="C6617" s="40"/>
      <c r="E6617" s="80"/>
    </row>
    <row r="6618" spans="2:5" x14ac:dyDescent="0.25">
      <c r="B6618" s="40"/>
      <c r="C6618" s="40"/>
      <c r="E6618" s="80"/>
    </row>
    <row r="6619" spans="2:5" x14ac:dyDescent="0.25">
      <c r="B6619" s="40"/>
      <c r="C6619" s="40"/>
      <c r="E6619" s="80"/>
    </row>
    <row r="6620" spans="2:5" x14ac:dyDescent="0.25">
      <c r="B6620" s="40"/>
      <c r="C6620" s="40"/>
      <c r="E6620" s="80"/>
    </row>
    <row r="6621" spans="2:5" x14ac:dyDescent="0.25">
      <c r="B6621" s="40"/>
      <c r="C6621" s="40"/>
      <c r="E6621" s="80"/>
    </row>
    <row r="6622" spans="2:5" x14ac:dyDescent="0.25">
      <c r="B6622" s="40"/>
      <c r="C6622" s="40"/>
      <c r="E6622" s="80"/>
    </row>
    <row r="6623" spans="2:5" x14ac:dyDescent="0.25">
      <c r="B6623" s="40"/>
      <c r="C6623" s="40"/>
      <c r="E6623" s="80"/>
    </row>
    <row r="6624" spans="2:5" x14ac:dyDescent="0.25">
      <c r="B6624" s="40"/>
      <c r="C6624" s="40"/>
      <c r="E6624" s="80"/>
    </row>
    <row r="6625" spans="2:5" x14ac:dyDescent="0.25">
      <c r="B6625" s="40"/>
      <c r="C6625" s="40"/>
      <c r="E6625" s="80"/>
    </row>
    <row r="6626" spans="2:5" x14ac:dyDescent="0.25">
      <c r="B6626" s="40"/>
      <c r="C6626" s="40"/>
      <c r="E6626" s="80"/>
    </row>
    <row r="6627" spans="2:5" x14ac:dyDescent="0.25">
      <c r="B6627" s="40"/>
      <c r="C6627" s="40"/>
      <c r="E6627" s="80"/>
    </row>
    <row r="6628" spans="2:5" x14ac:dyDescent="0.25">
      <c r="B6628" s="40"/>
      <c r="C6628" s="40"/>
      <c r="E6628" s="80"/>
    </row>
    <row r="6629" spans="2:5" x14ac:dyDescent="0.25">
      <c r="B6629" s="40"/>
      <c r="C6629" s="40"/>
      <c r="E6629" s="80"/>
    </row>
    <row r="6630" spans="2:5" x14ac:dyDescent="0.25">
      <c r="B6630" s="40"/>
      <c r="C6630" s="40"/>
      <c r="E6630" s="80"/>
    </row>
    <row r="6631" spans="2:5" x14ac:dyDescent="0.25">
      <c r="B6631" s="40"/>
      <c r="C6631" s="40"/>
      <c r="E6631" s="80"/>
    </row>
    <row r="6632" spans="2:5" x14ac:dyDescent="0.25">
      <c r="B6632" s="40"/>
      <c r="C6632" s="40"/>
      <c r="E6632" s="80"/>
    </row>
    <row r="6633" spans="2:5" x14ac:dyDescent="0.25">
      <c r="B6633" s="40"/>
      <c r="C6633" s="40"/>
      <c r="E6633" s="80"/>
    </row>
    <row r="6634" spans="2:5" x14ac:dyDescent="0.25">
      <c r="B6634" s="40"/>
      <c r="C6634" s="40"/>
      <c r="E6634" s="80"/>
    </row>
    <row r="6635" spans="2:5" x14ac:dyDescent="0.25">
      <c r="B6635" s="40"/>
      <c r="C6635" s="40"/>
      <c r="E6635" s="80"/>
    </row>
    <row r="6636" spans="2:5" x14ac:dyDescent="0.25">
      <c r="B6636" s="40"/>
      <c r="C6636" s="40"/>
      <c r="E6636" s="80"/>
    </row>
    <row r="6637" spans="2:5" x14ac:dyDescent="0.25">
      <c r="B6637" s="40"/>
      <c r="C6637" s="40"/>
      <c r="E6637" s="80"/>
    </row>
    <row r="6638" spans="2:5" x14ac:dyDescent="0.25">
      <c r="B6638" s="40"/>
      <c r="C6638" s="40"/>
      <c r="E6638" s="80"/>
    </row>
    <row r="6639" spans="2:5" x14ac:dyDescent="0.25">
      <c r="B6639" s="40"/>
      <c r="C6639" s="40"/>
      <c r="E6639" s="80"/>
    </row>
    <row r="6640" spans="2:5" x14ac:dyDescent="0.25">
      <c r="B6640" s="40"/>
      <c r="C6640" s="40"/>
      <c r="E6640" s="80"/>
    </row>
    <row r="6641" spans="2:5" x14ac:dyDescent="0.25">
      <c r="B6641" s="40"/>
      <c r="C6641" s="40"/>
      <c r="E6641" s="80"/>
    </row>
    <row r="6642" spans="2:5" x14ac:dyDescent="0.25">
      <c r="B6642" s="40"/>
      <c r="C6642" s="40"/>
      <c r="E6642" s="80"/>
    </row>
    <row r="6643" spans="2:5" x14ac:dyDescent="0.25">
      <c r="B6643" s="40"/>
      <c r="C6643" s="40"/>
      <c r="E6643" s="80"/>
    </row>
    <row r="6644" spans="2:5" x14ac:dyDescent="0.25">
      <c r="B6644" s="40"/>
      <c r="C6644" s="40"/>
      <c r="E6644" s="80"/>
    </row>
    <row r="6645" spans="2:5" x14ac:dyDescent="0.25">
      <c r="B6645" s="40"/>
      <c r="C6645" s="40"/>
      <c r="E6645" s="80"/>
    </row>
    <row r="6646" spans="2:5" x14ac:dyDescent="0.25">
      <c r="B6646" s="40"/>
      <c r="C6646" s="40"/>
      <c r="E6646" s="80"/>
    </row>
    <row r="6647" spans="2:5" x14ac:dyDescent="0.25">
      <c r="B6647" s="40"/>
      <c r="C6647" s="40"/>
      <c r="E6647" s="80"/>
    </row>
    <row r="6648" spans="2:5" x14ac:dyDescent="0.25">
      <c r="B6648" s="40"/>
      <c r="C6648" s="40"/>
      <c r="E6648" s="80"/>
    </row>
    <row r="6649" spans="2:5" x14ac:dyDescent="0.25">
      <c r="B6649" s="40"/>
      <c r="C6649" s="40"/>
      <c r="E6649" s="80"/>
    </row>
    <row r="6650" spans="2:5" x14ac:dyDescent="0.25">
      <c r="B6650" s="40"/>
      <c r="C6650" s="40"/>
      <c r="E6650" s="80"/>
    </row>
    <row r="6651" spans="2:5" x14ac:dyDescent="0.25">
      <c r="B6651" s="40"/>
      <c r="C6651" s="40"/>
      <c r="E6651" s="80"/>
    </row>
    <row r="6652" spans="2:5" x14ac:dyDescent="0.25">
      <c r="B6652" s="40"/>
      <c r="C6652" s="40"/>
      <c r="E6652" s="80"/>
    </row>
    <row r="6653" spans="2:5" x14ac:dyDescent="0.25">
      <c r="B6653" s="40"/>
      <c r="C6653" s="40"/>
      <c r="E6653" s="80"/>
    </row>
    <row r="6654" spans="2:5" x14ac:dyDescent="0.25">
      <c r="B6654" s="40"/>
      <c r="C6654" s="40"/>
      <c r="E6654" s="80"/>
    </row>
    <row r="6655" spans="2:5" x14ac:dyDescent="0.25">
      <c r="B6655" s="40"/>
      <c r="C6655" s="40"/>
      <c r="E6655" s="80"/>
    </row>
    <row r="6656" spans="2:5" x14ac:dyDescent="0.25">
      <c r="B6656" s="40"/>
      <c r="C6656" s="40"/>
      <c r="E6656" s="80"/>
    </row>
    <row r="6657" spans="2:5" x14ac:dyDescent="0.25">
      <c r="B6657" s="40"/>
      <c r="C6657" s="40"/>
      <c r="E6657" s="80"/>
    </row>
    <row r="6658" spans="2:5" x14ac:dyDescent="0.25">
      <c r="B6658" s="40"/>
      <c r="C6658" s="40"/>
      <c r="E6658" s="80"/>
    </row>
    <row r="6659" spans="2:5" x14ac:dyDescent="0.25">
      <c r="B6659" s="40"/>
      <c r="C6659" s="40"/>
      <c r="E6659" s="80"/>
    </row>
    <row r="6660" spans="2:5" x14ac:dyDescent="0.25">
      <c r="B6660" s="40"/>
      <c r="C6660" s="40"/>
      <c r="E6660" s="80"/>
    </row>
    <row r="6661" spans="2:5" x14ac:dyDescent="0.25">
      <c r="B6661" s="40"/>
      <c r="C6661" s="40"/>
      <c r="E6661" s="80"/>
    </row>
    <row r="6662" spans="2:5" x14ac:dyDescent="0.25">
      <c r="B6662" s="40"/>
      <c r="C6662" s="40"/>
      <c r="E6662" s="80"/>
    </row>
    <row r="6663" spans="2:5" x14ac:dyDescent="0.25">
      <c r="B6663" s="40"/>
      <c r="C6663" s="40"/>
      <c r="E6663" s="80"/>
    </row>
    <row r="6664" spans="2:5" x14ac:dyDescent="0.25">
      <c r="B6664" s="40"/>
      <c r="C6664" s="40"/>
      <c r="E6664" s="80"/>
    </row>
    <row r="6665" spans="2:5" x14ac:dyDescent="0.25">
      <c r="B6665" s="40"/>
      <c r="C6665" s="40"/>
      <c r="E6665" s="80"/>
    </row>
    <row r="6666" spans="2:5" x14ac:dyDescent="0.25">
      <c r="B6666" s="40"/>
      <c r="C6666" s="40"/>
      <c r="E6666" s="80"/>
    </row>
    <row r="6667" spans="2:5" x14ac:dyDescent="0.25">
      <c r="B6667" s="40"/>
      <c r="C6667" s="40"/>
      <c r="E6667" s="80"/>
    </row>
    <row r="6668" spans="2:5" x14ac:dyDescent="0.25">
      <c r="B6668" s="40"/>
      <c r="C6668" s="40"/>
      <c r="E6668" s="80"/>
    </row>
    <row r="6669" spans="2:5" x14ac:dyDescent="0.25">
      <c r="B6669" s="40"/>
      <c r="C6669" s="40"/>
      <c r="E6669" s="80"/>
    </row>
    <row r="6670" spans="2:5" x14ac:dyDescent="0.25">
      <c r="B6670" s="40"/>
      <c r="C6670" s="40"/>
      <c r="E6670" s="80"/>
    </row>
    <row r="6671" spans="2:5" x14ac:dyDescent="0.25">
      <c r="B6671" s="40"/>
      <c r="C6671" s="40"/>
      <c r="E6671" s="80"/>
    </row>
    <row r="6672" spans="2:5" x14ac:dyDescent="0.25">
      <c r="B6672" s="40"/>
      <c r="C6672" s="40"/>
      <c r="E6672" s="80"/>
    </row>
    <row r="6673" spans="2:5" x14ac:dyDescent="0.25">
      <c r="B6673" s="40"/>
      <c r="C6673" s="40"/>
      <c r="E6673" s="80"/>
    </row>
    <row r="6674" spans="2:5" x14ac:dyDescent="0.25">
      <c r="B6674" s="40"/>
      <c r="C6674" s="40"/>
      <c r="E6674" s="80"/>
    </row>
    <row r="6675" spans="2:5" x14ac:dyDescent="0.25">
      <c r="B6675" s="40"/>
      <c r="C6675" s="40"/>
      <c r="E6675" s="80"/>
    </row>
    <row r="6676" spans="2:5" x14ac:dyDescent="0.25">
      <c r="B6676" s="40"/>
      <c r="C6676" s="40"/>
      <c r="E6676" s="80"/>
    </row>
    <row r="6677" spans="2:5" x14ac:dyDescent="0.25">
      <c r="B6677" s="40"/>
      <c r="C6677" s="40"/>
      <c r="E6677" s="80"/>
    </row>
    <row r="6678" spans="2:5" x14ac:dyDescent="0.25">
      <c r="B6678" s="40"/>
      <c r="C6678" s="40"/>
      <c r="E6678" s="80"/>
    </row>
    <row r="6679" spans="2:5" x14ac:dyDescent="0.25">
      <c r="B6679" s="40"/>
      <c r="C6679" s="40"/>
      <c r="E6679" s="80"/>
    </row>
    <row r="6680" spans="2:5" x14ac:dyDescent="0.25">
      <c r="B6680" s="40"/>
      <c r="C6680" s="40"/>
      <c r="E6680" s="80"/>
    </row>
    <row r="6681" spans="2:5" x14ac:dyDescent="0.25">
      <c r="B6681" s="40"/>
      <c r="C6681" s="40"/>
      <c r="E6681" s="80"/>
    </row>
    <row r="6682" spans="2:5" x14ac:dyDescent="0.25">
      <c r="B6682" s="40"/>
      <c r="C6682" s="40"/>
      <c r="E6682" s="80"/>
    </row>
    <row r="6683" spans="2:5" x14ac:dyDescent="0.25">
      <c r="B6683" s="40"/>
      <c r="C6683" s="40"/>
      <c r="E6683" s="80"/>
    </row>
    <row r="6684" spans="2:5" x14ac:dyDescent="0.25">
      <c r="B6684" s="40"/>
      <c r="C6684" s="40"/>
      <c r="E6684" s="80"/>
    </row>
    <row r="6685" spans="2:5" x14ac:dyDescent="0.25">
      <c r="B6685" s="40"/>
      <c r="C6685" s="40"/>
      <c r="E6685" s="80"/>
    </row>
    <row r="6686" spans="2:5" x14ac:dyDescent="0.25">
      <c r="B6686" s="40"/>
      <c r="C6686" s="40"/>
      <c r="E6686" s="80"/>
    </row>
    <row r="6687" spans="2:5" x14ac:dyDescent="0.25">
      <c r="B6687" s="40"/>
      <c r="C6687" s="40"/>
      <c r="E6687" s="80"/>
    </row>
    <row r="6688" spans="2:5" x14ac:dyDescent="0.25">
      <c r="B6688" s="40"/>
      <c r="C6688" s="40"/>
      <c r="E6688" s="80"/>
    </row>
    <row r="6689" spans="2:5" x14ac:dyDescent="0.25">
      <c r="B6689" s="40"/>
      <c r="C6689" s="40"/>
      <c r="E6689" s="80"/>
    </row>
    <row r="6690" spans="2:5" x14ac:dyDescent="0.25">
      <c r="B6690" s="40"/>
      <c r="C6690" s="40"/>
      <c r="E6690" s="80"/>
    </row>
    <row r="6691" spans="2:5" x14ac:dyDescent="0.25">
      <c r="B6691" s="40"/>
      <c r="C6691" s="40"/>
      <c r="E6691" s="80"/>
    </row>
    <row r="6692" spans="2:5" x14ac:dyDescent="0.25">
      <c r="B6692" s="40"/>
      <c r="C6692" s="40"/>
      <c r="E6692" s="80"/>
    </row>
    <row r="6693" spans="2:5" x14ac:dyDescent="0.25">
      <c r="B6693" s="40"/>
      <c r="C6693" s="40"/>
      <c r="E6693" s="80"/>
    </row>
    <row r="6694" spans="2:5" x14ac:dyDescent="0.25">
      <c r="B6694" s="40"/>
      <c r="C6694" s="40"/>
      <c r="E6694" s="80"/>
    </row>
    <row r="6695" spans="2:5" x14ac:dyDescent="0.25">
      <c r="B6695" s="40"/>
      <c r="C6695" s="40"/>
      <c r="E6695" s="80"/>
    </row>
    <row r="6696" spans="2:5" x14ac:dyDescent="0.25">
      <c r="B6696" s="40"/>
      <c r="C6696" s="40"/>
      <c r="E6696" s="80"/>
    </row>
    <row r="6697" spans="2:5" x14ac:dyDescent="0.25">
      <c r="B6697" s="40"/>
      <c r="C6697" s="40"/>
      <c r="E6697" s="80"/>
    </row>
    <row r="6698" spans="2:5" x14ac:dyDescent="0.25">
      <c r="B6698" s="40"/>
      <c r="C6698" s="40"/>
      <c r="E6698" s="80"/>
    </row>
    <row r="6699" spans="2:5" x14ac:dyDescent="0.25">
      <c r="B6699" s="40"/>
      <c r="C6699" s="40"/>
      <c r="E6699" s="80"/>
    </row>
    <row r="6700" spans="2:5" x14ac:dyDescent="0.25">
      <c r="B6700" s="40"/>
      <c r="C6700" s="40"/>
      <c r="E6700" s="80"/>
    </row>
    <row r="6701" spans="2:5" x14ac:dyDescent="0.25">
      <c r="B6701" s="40"/>
      <c r="C6701" s="40"/>
      <c r="E6701" s="80"/>
    </row>
    <row r="6702" spans="2:5" x14ac:dyDescent="0.25">
      <c r="B6702" s="40"/>
      <c r="C6702" s="40"/>
      <c r="E6702" s="80"/>
    </row>
    <row r="6703" spans="2:5" x14ac:dyDescent="0.25">
      <c r="B6703" s="40"/>
      <c r="C6703" s="40"/>
      <c r="E6703" s="80"/>
    </row>
    <row r="6704" spans="2:5" x14ac:dyDescent="0.25">
      <c r="B6704" s="40"/>
      <c r="C6704" s="40"/>
      <c r="E6704" s="80"/>
    </row>
    <row r="6705" spans="2:5" x14ac:dyDescent="0.25">
      <c r="B6705" s="40"/>
      <c r="C6705" s="40"/>
      <c r="E6705" s="80"/>
    </row>
    <row r="6706" spans="2:5" x14ac:dyDescent="0.25">
      <c r="B6706" s="40"/>
      <c r="C6706" s="40"/>
      <c r="E6706" s="80"/>
    </row>
    <row r="6707" spans="2:5" x14ac:dyDescent="0.25">
      <c r="B6707" s="40"/>
      <c r="C6707" s="40"/>
      <c r="E6707" s="80"/>
    </row>
    <row r="6708" spans="2:5" x14ac:dyDescent="0.25">
      <c r="B6708" s="40"/>
      <c r="C6708" s="40"/>
      <c r="E6708" s="80"/>
    </row>
    <row r="6709" spans="2:5" x14ac:dyDescent="0.25">
      <c r="B6709" s="40"/>
      <c r="C6709" s="40"/>
      <c r="E6709" s="80"/>
    </row>
    <row r="6710" spans="2:5" x14ac:dyDescent="0.25">
      <c r="B6710" s="40"/>
      <c r="C6710" s="40"/>
      <c r="E6710" s="80"/>
    </row>
    <row r="6711" spans="2:5" x14ac:dyDescent="0.25">
      <c r="B6711" s="40"/>
      <c r="C6711" s="40"/>
      <c r="E6711" s="80"/>
    </row>
    <row r="6712" spans="2:5" x14ac:dyDescent="0.25">
      <c r="B6712" s="40"/>
      <c r="C6712" s="40"/>
      <c r="E6712" s="80"/>
    </row>
    <row r="6713" spans="2:5" x14ac:dyDescent="0.25">
      <c r="B6713" s="40"/>
      <c r="C6713" s="40"/>
      <c r="E6713" s="80"/>
    </row>
    <row r="6714" spans="2:5" x14ac:dyDescent="0.25">
      <c r="B6714" s="40"/>
      <c r="C6714" s="40"/>
      <c r="E6714" s="80"/>
    </row>
    <row r="6715" spans="2:5" x14ac:dyDescent="0.25">
      <c r="B6715" s="40"/>
      <c r="C6715" s="40"/>
      <c r="E6715" s="80"/>
    </row>
    <row r="6716" spans="2:5" x14ac:dyDescent="0.25">
      <c r="B6716" s="40"/>
      <c r="C6716" s="40"/>
      <c r="E6716" s="80"/>
    </row>
    <row r="6717" spans="2:5" x14ac:dyDescent="0.25">
      <c r="B6717" s="40"/>
      <c r="C6717" s="40"/>
      <c r="E6717" s="80"/>
    </row>
    <row r="6718" spans="2:5" x14ac:dyDescent="0.25">
      <c r="B6718" s="40"/>
      <c r="C6718" s="40"/>
      <c r="E6718" s="80"/>
    </row>
    <row r="6719" spans="2:5" x14ac:dyDescent="0.25">
      <c r="B6719" s="40"/>
      <c r="C6719" s="40"/>
      <c r="E6719" s="80"/>
    </row>
    <row r="6720" spans="2:5" x14ac:dyDescent="0.25">
      <c r="B6720" s="40"/>
      <c r="C6720" s="40"/>
      <c r="E6720" s="80"/>
    </row>
    <row r="6721" spans="2:5" x14ac:dyDescent="0.25">
      <c r="B6721" s="40"/>
      <c r="C6721" s="40"/>
      <c r="E6721" s="80"/>
    </row>
    <row r="6722" spans="2:5" x14ac:dyDescent="0.25">
      <c r="B6722" s="40"/>
      <c r="C6722" s="40"/>
      <c r="E6722" s="80"/>
    </row>
    <row r="6723" spans="2:5" x14ac:dyDescent="0.25">
      <c r="B6723" s="40"/>
      <c r="C6723" s="40"/>
      <c r="E6723" s="80"/>
    </row>
    <row r="6724" spans="2:5" x14ac:dyDescent="0.25">
      <c r="B6724" s="40"/>
      <c r="C6724" s="40"/>
      <c r="E6724" s="80"/>
    </row>
    <row r="6725" spans="2:5" x14ac:dyDescent="0.25">
      <c r="B6725" s="40"/>
      <c r="C6725" s="40"/>
      <c r="E6725" s="80"/>
    </row>
    <row r="6726" spans="2:5" x14ac:dyDescent="0.25">
      <c r="B6726" s="40"/>
      <c r="C6726" s="40"/>
      <c r="E6726" s="80"/>
    </row>
    <row r="6727" spans="2:5" x14ac:dyDescent="0.25">
      <c r="B6727" s="40"/>
      <c r="C6727" s="40"/>
      <c r="E6727" s="80"/>
    </row>
    <row r="6728" spans="2:5" x14ac:dyDescent="0.25">
      <c r="B6728" s="40"/>
      <c r="C6728" s="40"/>
      <c r="E6728" s="80"/>
    </row>
    <row r="6729" spans="2:5" x14ac:dyDescent="0.25">
      <c r="B6729" s="40"/>
      <c r="C6729" s="40"/>
      <c r="E6729" s="80"/>
    </row>
    <row r="6730" spans="2:5" x14ac:dyDescent="0.25">
      <c r="B6730" s="40"/>
      <c r="C6730" s="40"/>
      <c r="E6730" s="80"/>
    </row>
    <row r="6731" spans="2:5" x14ac:dyDescent="0.25">
      <c r="B6731" s="40"/>
      <c r="C6731" s="40"/>
      <c r="E6731" s="80"/>
    </row>
    <row r="6732" spans="2:5" x14ac:dyDescent="0.25">
      <c r="B6732" s="40"/>
      <c r="C6732" s="40"/>
      <c r="E6732" s="80"/>
    </row>
    <row r="6733" spans="2:5" x14ac:dyDescent="0.25">
      <c r="B6733" s="40"/>
      <c r="C6733" s="40"/>
      <c r="E6733" s="80"/>
    </row>
    <row r="6734" spans="2:5" x14ac:dyDescent="0.25">
      <c r="B6734" s="40"/>
      <c r="C6734" s="40"/>
      <c r="E6734" s="80"/>
    </row>
    <row r="6735" spans="2:5" x14ac:dyDescent="0.25">
      <c r="B6735" s="40"/>
      <c r="C6735" s="40"/>
      <c r="E6735" s="80"/>
    </row>
    <row r="6736" spans="2:5" x14ac:dyDescent="0.25">
      <c r="B6736" s="40"/>
      <c r="C6736" s="40"/>
      <c r="E6736" s="80"/>
    </row>
    <row r="6737" spans="2:5" x14ac:dyDescent="0.25">
      <c r="B6737" s="40"/>
      <c r="C6737" s="40"/>
      <c r="E6737" s="80"/>
    </row>
    <row r="6738" spans="2:5" x14ac:dyDescent="0.25">
      <c r="B6738" s="40"/>
      <c r="C6738" s="40"/>
      <c r="E6738" s="80"/>
    </row>
    <row r="6739" spans="2:5" x14ac:dyDescent="0.25">
      <c r="B6739" s="40"/>
      <c r="C6739" s="40"/>
      <c r="E6739" s="80"/>
    </row>
    <row r="6740" spans="2:5" x14ac:dyDescent="0.25">
      <c r="B6740" s="40"/>
      <c r="C6740" s="40"/>
      <c r="E6740" s="80"/>
    </row>
    <row r="6741" spans="2:5" x14ac:dyDescent="0.25">
      <c r="B6741" s="40"/>
      <c r="C6741" s="40"/>
      <c r="E6741" s="80"/>
    </row>
    <row r="6742" spans="2:5" x14ac:dyDescent="0.25">
      <c r="B6742" s="40"/>
      <c r="C6742" s="40"/>
      <c r="E6742" s="80"/>
    </row>
    <row r="6743" spans="2:5" x14ac:dyDescent="0.25">
      <c r="B6743" s="40"/>
      <c r="C6743" s="40"/>
      <c r="E6743" s="80"/>
    </row>
    <row r="6744" spans="2:5" x14ac:dyDescent="0.25">
      <c r="B6744" s="40"/>
      <c r="C6744" s="40"/>
      <c r="E6744" s="80"/>
    </row>
    <row r="6745" spans="2:5" x14ac:dyDescent="0.25">
      <c r="B6745" s="40"/>
      <c r="C6745" s="40"/>
      <c r="E6745" s="80"/>
    </row>
    <row r="6746" spans="2:5" x14ac:dyDescent="0.25">
      <c r="B6746" s="40"/>
      <c r="C6746" s="40"/>
      <c r="E6746" s="80"/>
    </row>
    <row r="6747" spans="2:5" x14ac:dyDescent="0.25">
      <c r="B6747" s="40"/>
      <c r="C6747" s="40"/>
      <c r="E6747" s="80"/>
    </row>
    <row r="6748" spans="2:5" x14ac:dyDescent="0.25">
      <c r="B6748" s="40"/>
      <c r="C6748" s="40"/>
      <c r="E6748" s="80"/>
    </row>
    <row r="6749" spans="2:5" x14ac:dyDescent="0.25">
      <c r="B6749" s="40"/>
      <c r="C6749" s="40"/>
      <c r="E6749" s="80"/>
    </row>
    <row r="6750" spans="2:5" x14ac:dyDescent="0.25">
      <c r="B6750" s="40"/>
      <c r="C6750" s="40"/>
      <c r="E6750" s="80"/>
    </row>
    <row r="6751" spans="2:5" x14ac:dyDescent="0.25">
      <c r="B6751" s="40"/>
      <c r="C6751" s="40"/>
      <c r="E6751" s="80"/>
    </row>
    <row r="6752" spans="2:5" x14ac:dyDescent="0.25">
      <c r="B6752" s="40"/>
      <c r="C6752" s="40"/>
      <c r="E6752" s="80"/>
    </row>
    <row r="6753" spans="2:5" x14ac:dyDescent="0.25">
      <c r="B6753" s="40"/>
      <c r="C6753" s="40"/>
      <c r="E6753" s="80"/>
    </row>
    <row r="6754" spans="2:5" x14ac:dyDescent="0.25">
      <c r="B6754" s="40"/>
      <c r="C6754" s="40"/>
      <c r="E6754" s="80"/>
    </row>
    <row r="6755" spans="2:5" x14ac:dyDescent="0.25">
      <c r="B6755" s="40"/>
      <c r="C6755" s="40"/>
      <c r="E6755" s="80"/>
    </row>
    <row r="6756" spans="2:5" x14ac:dyDescent="0.25">
      <c r="B6756" s="40"/>
      <c r="C6756" s="40"/>
      <c r="E6756" s="80"/>
    </row>
    <row r="6757" spans="2:5" x14ac:dyDescent="0.25">
      <c r="B6757" s="40"/>
      <c r="C6757" s="40"/>
      <c r="E6757" s="80"/>
    </row>
    <row r="6758" spans="2:5" x14ac:dyDescent="0.25">
      <c r="B6758" s="40"/>
      <c r="C6758" s="40"/>
      <c r="E6758" s="80"/>
    </row>
    <row r="6759" spans="2:5" x14ac:dyDescent="0.25">
      <c r="B6759" s="40"/>
      <c r="C6759" s="40"/>
      <c r="E6759" s="80"/>
    </row>
    <row r="6760" spans="2:5" x14ac:dyDescent="0.25">
      <c r="B6760" s="40"/>
      <c r="C6760" s="40"/>
      <c r="E6760" s="80"/>
    </row>
    <row r="6761" spans="2:5" x14ac:dyDescent="0.25">
      <c r="B6761" s="40"/>
      <c r="C6761" s="40"/>
      <c r="E6761" s="80"/>
    </row>
    <row r="6762" spans="2:5" x14ac:dyDescent="0.25">
      <c r="B6762" s="40"/>
      <c r="C6762" s="40"/>
      <c r="E6762" s="80"/>
    </row>
    <row r="6763" spans="2:5" x14ac:dyDescent="0.25">
      <c r="B6763" s="40"/>
      <c r="C6763" s="40"/>
      <c r="E6763" s="80"/>
    </row>
    <row r="6764" spans="2:5" x14ac:dyDescent="0.25">
      <c r="B6764" s="40"/>
      <c r="C6764" s="40"/>
      <c r="E6764" s="80"/>
    </row>
    <row r="6765" spans="2:5" x14ac:dyDescent="0.25">
      <c r="B6765" s="40"/>
      <c r="C6765" s="40"/>
      <c r="E6765" s="80"/>
    </row>
    <row r="6766" spans="2:5" x14ac:dyDescent="0.25">
      <c r="B6766" s="40"/>
      <c r="C6766" s="40"/>
      <c r="E6766" s="80"/>
    </row>
    <row r="6767" spans="2:5" x14ac:dyDescent="0.25">
      <c r="B6767" s="40"/>
      <c r="C6767" s="40"/>
      <c r="E6767" s="80"/>
    </row>
    <row r="6768" spans="2:5" x14ac:dyDescent="0.25">
      <c r="B6768" s="40"/>
      <c r="C6768" s="40"/>
      <c r="E6768" s="80"/>
    </row>
    <row r="6769" spans="2:5" x14ac:dyDescent="0.25">
      <c r="B6769" s="40"/>
      <c r="C6769" s="40"/>
      <c r="E6769" s="80"/>
    </row>
    <row r="6770" spans="2:5" x14ac:dyDescent="0.25">
      <c r="B6770" s="40"/>
      <c r="C6770" s="40"/>
      <c r="E6770" s="80"/>
    </row>
    <row r="6771" spans="2:5" x14ac:dyDescent="0.25">
      <c r="B6771" s="40"/>
      <c r="C6771" s="40"/>
      <c r="E6771" s="80"/>
    </row>
    <row r="6772" spans="2:5" x14ac:dyDescent="0.25">
      <c r="B6772" s="40"/>
      <c r="C6772" s="40"/>
      <c r="E6772" s="80"/>
    </row>
    <row r="6773" spans="2:5" x14ac:dyDescent="0.25">
      <c r="B6773" s="40"/>
      <c r="C6773" s="40"/>
      <c r="E6773" s="80"/>
    </row>
    <row r="6774" spans="2:5" x14ac:dyDescent="0.25">
      <c r="B6774" s="40"/>
      <c r="C6774" s="40"/>
      <c r="E6774" s="80"/>
    </row>
    <row r="6775" spans="2:5" x14ac:dyDescent="0.25">
      <c r="B6775" s="40"/>
      <c r="C6775" s="40"/>
      <c r="E6775" s="80"/>
    </row>
    <row r="6776" spans="2:5" x14ac:dyDescent="0.25">
      <c r="B6776" s="40"/>
      <c r="C6776" s="40"/>
      <c r="E6776" s="80"/>
    </row>
    <row r="6777" spans="2:5" x14ac:dyDescent="0.25">
      <c r="B6777" s="40"/>
      <c r="C6777" s="40"/>
      <c r="E6777" s="80"/>
    </row>
    <row r="6778" spans="2:5" x14ac:dyDescent="0.25">
      <c r="B6778" s="40"/>
      <c r="C6778" s="40"/>
      <c r="E6778" s="80"/>
    </row>
    <row r="6779" spans="2:5" x14ac:dyDescent="0.25">
      <c r="B6779" s="40"/>
      <c r="C6779" s="40"/>
      <c r="E6779" s="80"/>
    </row>
    <row r="6780" spans="2:5" x14ac:dyDescent="0.25">
      <c r="B6780" s="40"/>
      <c r="C6780" s="40"/>
      <c r="E6780" s="80"/>
    </row>
    <row r="6781" spans="2:5" x14ac:dyDescent="0.25">
      <c r="B6781" s="40"/>
      <c r="C6781" s="40"/>
      <c r="E6781" s="80"/>
    </row>
    <row r="6782" spans="2:5" x14ac:dyDescent="0.25">
      <c r="B6782" s="40"/>
      <c r="C6782" s="40"/>
      <c r="E6782" s="80"/>
    </row>
    <row r="6783" spans="2:5" x14ac:dyDescent="0.25">
      <c r="B6783" s="40"/>
      <c r="C6783" s="40"/>
      <c r="E6783" s="80"/>
    </row>
    <row r="6784" spans="2:5" x14ac:dyDescent="0.25">
      <c r="B6784" s="40"/>
      <c r="C6784" s="40"/>
      <c r="E6784" s="80"/>
    </row>
    <row r="6785" spans="2:5" x14ac:dyDescent="0.25">
      <c r="B6785" s="40"/>
      <c r="C6785" s="40"/>
      <c r="E6785" s="80"/>
    </row>
    <row r="6786" spans="2:5" x14ac:dyDescent="0.25">
      <c r="B6786" s="40"/>
      <c r="C6786" s="40"/>
      <c r="E6786" s="80"/>
    </row>
    <row r="6787" spans="2:5" x14ac:dyDescent="0.25">
      <c r="B6787" s="40"/>
      <c r="C6787" s="40"/>
      <c r="E6787" s="80"/>
    </row>
    <row r="6788" spans="2:5" x14ac:dyDescent="0.25">
      <c r="B6788" s="40"/>
      <c r="C6788" s="40"/>
      <c r="E6788" s="80"/>
    </row>
    <row r="6789" spans="2:5" x14ac:dyDescent="0.25">
      <c r="B6789" s="40"/>
      <c r="C6789" s="40"/>
      <c r="E6789" s="80"/>
    </row>
    <row r="6790" spans="2:5" x14ac:dyDescent="0.25">
      <c r="B6790" s="40"/>
      <c r="C6790" s="40"/>
      <c r="E6790" s="80"/>
    </row>
    <row r="6791" spans="2:5" x14ac:dyDescent="0.25">
      <c r="B6791" s="40"/>
      <c r="C6791" s="40"/>
      <c r="E6791" s="80"/>
    </row>
    <row r="6792" spans="2:5" x14ac:dyDescent="0.25">
      <c r="B6792" s="40"/>
      <c r="C6792" s="40"/>
      <c r="E6792" s="80"/>
    </row>
    <row r="6793" spans="2:5" x14ac:dyDescent="0.25">
      <c r="B6793" s="40"/>
      <c r="C6793" s="40"/>
      <c r="E6793" s="80"/>
    </row>
    <row r="6794" spans="2:5" x14ac:dyDescent="0.25">
      <c r="B6794" s="40"/>
      <c r="C6794" s="40"/>
      <c r="E6794" s="80"/>
    </row>
    <row r="6795" spans="2:5" x14ac:dyDescent="0.25">
      <c r="B6795" s="40"/>
      <c r="C6795" s="40"/>
      <c r="E6795" s="80"/>
    </row>
    <row r="6796" spans="2:5" x14ac:dyDescent="0.25">
      <c r="B6796" s="40"/>
      <c r="C6796" s="40"/>
      <c r="E6796" s="80"/>
    </row>
    <row r="6797" spans="2:5" x14ac:dyDescent="0.25">
      <c r="B6797" s="40"/>
      <c r="C6797" s="40"/>
      <c r="E6797" s="80"/>
    </row>
    <row r="6798" spans="2:5" x14ac:dyDescent="0.25">
      <c r="B6798" s="40"/>
      <c r="C6798" s="40"/>
      <c r="E6798" s="80"/>
    </row>
    <row r="6799" spans="2:5" x14ac:dyDescent="0.25">
      <c r="B6799" s="40"/>
      <c r="C6799" s="40"/>
      <c r="E6799" s="80"/>
    </row>
    <row r="6800" spans="2:5" x14ac:dyDescent="0.25">
      <c r="B6800" s="40"/>
      <c r="C6800" s="40"/>
      <c r="E6800" s="80"/>
    </row>
    <row r="6801" spans="2:5" x14ac:dyDescent="0.25">
      <c r="B6801" s="40"/>
      <c r="C6801" s="40"/>
      <c r="E6801" s="80"/>
    </row>
    <row r="6802" spans="2:5" x14ac:dyDescent="0.25">
      <c r="B6802" s="40"/>
      <c r="C6802" s="40"/>
      <c r="E6802" s="80"/>
    </row>
    <row r="6803" spans="2:5" x14ac:dyDescent="0.25">
      <c r="B6803" s="40"/>
      <c r="C6803" s="40"/>
      <c r="E6803" s="80"/>
    </row>
    <row r="6804" spans="2:5" x14ac:dyDescent="0.25">
      <c r="B6804" s="40"/>
      <c r="C6804" s="40"/>
      <c r="E6804" s="80"/>
    </row>
    <row r="6805" spans="2:5" x14ac:dyDescent="0.25">
      <c r="B6805" s="40"/>
      <c r="C6805" s="40"/>
      <c r="E6805" s="80"/>
    </row>
    <row r="6806" spans="2:5" x14ac:dyDescent="0.25">
      <c r="B6806" s="40"/>
      <c r="C6806" s="40"/>
      <c r="E6806" s="80"/>
    </row>
    <row r="6807" spans="2:5" x14ac:dyDescent="0.25">
      <c r="B6807" s="40"/>
      <c r="C6807" s="40"/>
      <c r="E6807" s="80"/>
    </row>
    <row r="6808" spans="2:5" x14ac:dyDescent="0.25">
      <c r="B6808" s="40"/>
      <c r="C6808" s="40"/>
      <c r="E6808" s="80"/>
    </row>
    <row r="6809" spans="2:5" x14ac:dyDescent="0.25">
      <c r="B6809" s="40"/>
      <c r="C6809" s="40"/>
      <c r="E6809" s="80"/>
    </row>
    <row r="6810" spans="2:5" x14ac:dyDescent="0.25">
      <c r="B6810" s="40"/>
      <c r="C6810" s="40"/>
      <c r="E6810" s="80"/>
    </row>
    <row r="6811" spans="2:5" x14ac:dyDescent="0.25">
      <c r="B6811" s="40"/>
      <c r="C6811" s="40"/>
      <c r="E6811" s="80"/>
    </row>
    <row r="6812" spans="2:5" x14ac:dyDescent="0.25">
      <c r="B6812" s="40"/>
      <c r="C6812" s="40"/>
      <c r="E6812" s="80"/>
    </row>
    <row r="6813" spans="2:5" x14ac:dyDescent="0.25">
      <c r="B6813" s="40"/>
      <c r="C6813" s="40"/>
      <c r="E6813" s="80"/>
    </row>
    <row r="6814" spans="2:5" x14ac:dyDescent="0.25">
      <c r="B6814" s="40"/>
      <c r="C6814" s="40"/>
      <c r="E6814" s="80"/>
    </row>
    <row r="6815" spans="2:5" x14ac:dyDescent="0.25">
      <c r="B6815" s="40"/>
      <c r="C6815" s="40"/>
      <c r="E6815" s="80"/>
    </row>
    <row r="6816" spans="2:5" x14ac:dyDescent="0.25">
      <c r="B6816" s="40"/>
      <c r="C6816" s="40"/>
      <c r="E6816" s="80"/>
    </row>
    <row r="6817" spans="2:5" x14ac:dyDescent="0.25">
      <c r="B6817" s="40"/>
      <c r="C6817" s="40"/>
      <c r="E6817" s="80"/>
    </row>
    <row r="6818" spans="2:5" x14ac:dyDescent="0.25">
      <c r="B6818" s="40"/>
      <c r="C6818" s="40"/>
      <c r="E6818" s="80"/>
    </row>
    <row r="6819" spans="2:5" x14ac:dyDescent="0.25">
      <c r="B6819" s="40"/>
      <c r="C6819" s="40"/>
      <c r="E6819" s="80"/>
    </row>
    <row r="6820" spans="2:5" x14ac:dyDescent="0.25">
      <c r="B6820" s="40"/>
      <c r="C6820" s="40"/>
      <c r="E6820" s="80"/>
    </row>
    <row r="6821" spans="2:5" x14ac:dyDescent="0.25">
      <c r="B6821" s="40"/>
      <c r="C6821" s="40"/>
      <c r="E6821" s="80"/>
    </row>
    <row r="6822" spans="2:5" x14ac:dyDescent="0.25">
      <c r="B6822" s="40"/>
      <c r="C6822" s="40"/>
      <c r="E6822" s="80"/>
    </row>
    <row r="6823" spans="2:5" x14ac:dyDescent="0.25">
      <c r="B6823" s="40"/>
      <c r="C6823" s="40"/>
      <c r="E6823" s="80"/>
    </row>
    <row r="6824" spans="2:5" x14ac:dyDescent="0.25">
      <c r="B6824" s="40"/>
      <c r="C6824" s="40"/>
      <c r="E6824" s="80"/>
    </row>
    <row r="6825" spans="2:5" x14ac:dyDescent="0.25">
      <c r="B6825" s="40"/>
      <c r="C6825" s="40"/>
      <c r="E6825" s="80"/>
    </row>
    <row r="6826" spans="2:5" x14ac:dyDescent="0.25">
      <c r="B6826" s="40"/>
      <c r="C6826" s="40"/>
      <c r="E6826" s="80"/>
    </row>
    <row r="6827" spans="2:5" x14ac:dyDescent="0.25">
      <c r="B6827" s="40"/>
      <c r="C6827" s="40"/>
      <c r="E6827" s="80"/>
    </row>
    <row r="6828" spans="2:5" x14ac:dyDescent="0.25">
      <c r="B6828" s="40"/>
      <c r="C6828" s="40"/>
      <c r="E6828" s="80"/>
    </row>
    <row r="6829" spans="2:5" x14ac:dyDescent="0.25">
      <c r="B6829" s="40"/>
      <c r="C6829" s="40"/>
      <c r="E6829" s="80"/>
    </row>
    <row r="6830" spans="2:5" x14ac:dyDescent="0.25">
      <c r="B6830" s="40"/>
      <c r="C6830" s="40"/>
      <c r="E6830" s="80"/>
    </row>
    <row r="6831" spans="2:5" x14ac:dyDescent="0.25">
      <c r="B6831" s="40"/>
      <c r="C6831" s="40"/>
      <c r="E6831" s="80"/>
    </row>
    <row r="6832" spans="2:5" x14ac:dyDescent="0.25">
      <c r="B6832" s="40"/>
      <c r="C6832" s="40"/>
      <c r="E6832" s="80"/>
    </row>
    <row r="6833" spans="2:5" x14ac:dyDescent="0.25">
      <c r="B6833" s="40"/>
      <c r="C6833" s="40"/>
      <c r="E6833" s="80"/>
    </row>
    <row r="6834" spans="2:5" x14ac:dyDescent="0.25">
      <c r="B6834" s="40"/>
      <c r="C6834" s="40"/>
      <c r="E6834" s="80"/>
    </row>
    <row r="6835" spans="2:5" x14ac:dyDescent="0.25">
      <c r="B6835" s="40"/>
      <c r="C6835" s="40"/>
      <c r="E6835" s="80"/>
    </row>
    <row r="6836" spans="2:5" x14ac:dyDescent="0.25">
      <c r="B6836" s="40"/>
      <c r="C6836" s="40"/>
      <c r="E6836" s="80"/>
    </row>
    <row r="6837" spans="2:5" x14ac:dyDescent="0.25">
      <c r="B6837" s="40"/>
      <c r="C6837" s="40"/>
      <c r="E6837" s="80"/>
    </row>
    <row r="6838" spans="2:5" x14ac:dyDescent="0.25">
      <c r="B6838" s="40"/>
      <c r="C6838" s="40"/>
      <c r="E6838" s="80"/>
    </row>
    <row r="6839" spans="2:5" x14ac:dyDescent="0.25">
      <c r="B6839" s="40"/>
      <c r="C6839" s="40"/>
      <c r="E6839" s="80"/>
    </row>
    <row r="6840" spans="2:5" x14ac:dyDescent="0.25">
      <c r="B6840" s="40"/>
      <c r="C6840" s="40"/>
      <c r="E6840" s="80"/>
    </row>
    <row r="6841" spans="2:5" x14ac:dyDescent="0.25">
      <c r="B6841" s="40"/>
      <c r="C6841" s="40"/>
      <c r="E6841" s="80"/>
    </row>
    <row r="6842" spans="2:5" x14ac:dyDescent="0.25">
      <c r="B6842" s="40"/>
      <c r="C6842" s="40"/>
      <c r="E6842" s="80"/>
    </row>
    <row r="6843" spans="2:5" x14ac:dyDescent="0.25">
      <c r="B6843" s="40"/>
      <c r="C6843" s="40"/>
      <c r="E6843" s="80"/>
    </row>
    <row r="6844" spans="2:5" x14ac:dyDescent="0.25">
      <c r="B6844" s="40"/>
      <c r="C6844" s="40"/>
      <c r="E6844" s="80"/>
    </row>
    <row r="6845" spans="2:5" x14ac:dyDescent="0.25">
      <c r="B6845" s="40"/>
      <c r="C6845" s="40"/>
      <c r="E6845" s="80"/>
    </row>
    <row r="6846" spans="2:5" x14ac:dyDescent="0.25">
      <c r="B6846" s="40"/>
      <c r="C6846" s="40"/>
      <c r="E6846" s="80"/>
    </row>
    <row r="6847" spans="2:5" x14ac:dyDescent="0.25">
      <c r="B6847" s="40"/>
      <c r="C6847" s="40"/>
      <c r="E6847" s="80"/>
    </row>
    <row r="6848" spans="2:5" x14ac:dyDescent="0.25">
      <c r="B6848" s="40"/>
      <c r="C6848" s="40"/>
      <c r="E6848" s="80"/>
    </row>
    <row r="6849" spans="2:5" x14ac:dyDescent="0.25">
      <c r="B6849" s="40"/>
      <c r="C6849" s="40"/>
      <c r="E6849" s="80"/>
    </row>
    <row r="6850" spans="2:5" x14ac:dyDescent="0.25">
      <c r="B6850" s="40"/>
      <c r="C6850" s="40"/>
      <c r="E6850" s="80"/>
    </row>
    <row r="6851" spans="2:5" x14ac:dyDescent="0.25">
      <c r="B6851" s="40"/>
      <c r="C6851" s="40"/>
      <c r="E6851" s="80"/>
    </row>
    <row r="6852" spans="2:5" x14ac:dyDescent="0.25">
      <c r="B6852" s="40"/>
      <c r="C6852" s="40"/>
      <c r="E6852" s="80"/>
    </row>
    <row r="6853" spans="2:5" x14ac:dyDescent="0.25">
      <c r="B6853" s="40"/>
      <c r="C6853" s="40"/>
      <c r="E6853" s="80"/>
    </row>
    <row r="6854" spans="2:5" x14ac:dyDescent="0.25">
      <c r="B6854" s="40"/>
      <c r="C6854" s="40"/>
      <c r="E6854" s="80"/>
    </row>
    <row r="6855" spans="2:5" x14ac:dyDescent="0.25">
      <c r="B6855" s="40"/>
      <c r="C6855" s="40"/>
      <c r="E6855" s="80"/>
    </row>
    <row r="6856" spans="2:5" x14ac:dyDescent="0.25">
      <c r="B6856" s="40"/>
      <c r="C6856" s="40"/>
      <c r="E6856" s="80"/>
    </row>
    <row r="6857" spans="2:5" x14ac:dyDescent="0.25">
      <c r="B6857" s="40"/>
      <c r="C6857" s="40"/>
      <c r="E6857" s="80"/>
    </row>
    <row r="6858" spans="2:5" x14ac:dyDescent="0.25">
      <c r="B6858" s="40"/>
      <c r="C6858" s="40"/>
      <c r="E6858" s="80"/>
    </row>
    <row r="6859" spans="2:5" x14ac:dyDescent="0.25">
      <c r="B6859" s="40"/>
      <c r="C6859" s="40"/>
      <c r="E6859" s="80"/>
    </row>
    <row r="6860" spans="2:5" x14ac:dyDescent="0.25">
      <c r="B6860" s="40"/>
      <c r="C6860" s="40"/>
      <c r="E6860" s="80"/>
    </row>
    <row r="6861" spans="2:5" x14ac:dyDescent="0.25">
      <c r="B6861" s="40"/>
      <c r="C6861" s="40"/>
      <c r="E6861" s="80"/>
    </row>
    <row r="6862" spans="2:5" x14ac:dyDescent="0.25">
      <c r="B6862" s="40"/>
      <c r="C6862" s="40"/>
      <c r="E6862" s="80"/>
    </row>
    <row r="6863" spans="2:5" x14ac:dyDescent="0.25">
      <c r="B6863" s="40"/>
      <c r="C6863" s="40"/>
      <c r="E6863" s="80"/>
    </row>
    <row r="6864" spans="2:5" x14ac:dyDescent="0.25">
      <c r="B6864" s="40"/>
      <c r="C6864" s="40"/>
      <c r="E6864" s="80"/>
    </row>
    <row r="6865" spans="2:5" x14ac:dyDescent="0.25">
      <c r="B6865" s="40"/>
      <c r="C6865" s="40"/>
      <c r="E6865" s="80"/>
    </row>
    <row r="6866" spans="2:5" x14ac:dyDescent="0.25">
      <c r="B6866" s="40"/>
      <c r="C6866" s="40"/>
      <c r="E6866" s="80"/>
    </row>
    <row r="6867" spans="2:5" x14ac:dyDescent="0.25">
      <c r="B6867" s="40"/>
      <c r="C6867" s="40"/>
      <c r="E6867" s="80"/>
    </row>
    <row r="6868" spans="2:5" x14ac:dyDescent="0.25">
      <c r="B6868" s="40"/>
      <c r="C6868" s="40"/>
      <c r="E6868" s="80"/>
    </row>
    <row r="6869" spans="2:5" x14ac:dyDescent="0.25">
      <c r="B6869" s="40"/>
      <c r="C6869" s="40"/>
      <c r="E6869" s="80"/>
    </row>
    <row r="6870" spans="2:5" x14ac:dyDescent="0.25">
      <c r="B6870" s="40"/>
      <c r="C6870" s="40"/>
      <c r="E6870" s="80"/>
    </row>
    <row r="6871" spans="2:5" x14ac:dyDescent="0.25">
      <c r="B6871" s="40"/>
      <c r="C6871" s="40"/>
      <c r="E6871" s="80"/>
    </row>
    <row r="6872" spans="2:5" x14ac:dyDescent="0.25">
      <c r="B6872" s="40"/>
      <c r="C6872" s="40"/>
      <c r="E6872" s="80"/>
    </row>
    <row r="6873" spans="2:5" x14ac:dyDescent="0.25">
      <c r="B6873" s="40"/>
      <c r="C6873" s="40"/>
      <c r="E6873" s="80"/>
    </row>
    <row r="6874" spans="2:5" x14ac:dyDescent="0.25">
      <c r="B6874" s="40"/>
      <c r="C6874" s="40"/>
      <c r="E6874" s="80"/>
    </row>
    <row r="6875" spans="2:5" x14ac:dyDescent="0.25">
      <c r="B6875" s="40"/>
      <c r="C6875" s="40"/>
      <c r="E6875" s="80"/>
    </row>
    <row r="6876" spans="2:5" x14ac:dyDescent="0.25">
      <c r="B6876" s="40"/>
      <c r="C6876" s="40"/>
      <c r="E6876" s="80"/>
    </row>
    <row r="6877" spans="2:5" x14ac:dyDescent="0.25">
      <c r="B6877" s="40"/>
      <c r="C6877" s="40"/>
      <c r="E6877" s="80"/>
    </row>
    <row r="6878" spans="2:5" x14ac:dyDescent="0.25">
      <c r="B6878" s="40"/>
      <c r="C6878" s="40"/>
      <c r="E6878" s="80"/>
    </row>
    <row r="6879" spans="2:5" x14ac:dyDescent="0.25">
      <c r="B6879" s="40"/>
      <c r="C6879" s="40"/>
      <c r="E6879" s="80"/>
    </row>
    <row r="6880" spans="2:5" x14ac:dyDescent="0.25">
      <c r="B6880" s="40"/>
      <c r="C6880" s="40"/>
      <c r="E6880" s="80"/>
    </row>
    <row r="6881" spans="2:5" x14ac:dyDescent="0.25">
      <c r="B6881" s="40"/>
      <c r="C6881" s="40"/>
      <c r="E6881" s="80"/>
    </row>
    <row r="6882" spans="2:5" x14ac:dyDescent="0.25">
      <c r="B6882" s="40"/>
      <c r="C6882" s="40"/>
      <c r="E6882" s="80"/>
    </row>
    <row r="6883" spans="2:5" x14ac:dyDescent="0.25">
      <c r="B6883" s="40"/>
      <c r="C6883" s="40"/>
      <c r="E6883" s="80"/>
    </row>
    <row r="6884" spans="2:5" x14ac:dyDescent="0.25">
      <c r="B6884" s="40"/>
      <c r="C6884" s="40"/>
      <c r="E6884" s="80"/>
    </row>
    <row r="6885" spans="2:5" x14ac:dyDescent="0.25">
      <c r="B6885" s="40"/>
      <c r="C6885" s="40"/>
      <c r="E6885" s="80"/>
    </row>
    <row r="6886" spans="2:5" x14ac:dyDescent="0.25">
      <c r="B6886" s="40"/>
      <c r="C6886" s="40"/>
      <c r="E6886" s="80"/>
    </row>
    <row r="6887" spans="2:5" x14ac:dyDescent="0.25">
      <c r="B6887" s="40"/>
      <c r="C6887" s="40"/>
      <c r="E6887" s="80"/>
    </row>
    <row r="6888" spans="2:5" x14ac:dyDescent="0.25">
      <c r="B6888" s="40"/>
      <c r="C6888" s="40"/>
      <c r="E6888" s="80"/>
    </row>
    <row r="6889" spans="2:5" x14ac:dyDescent="0.25">
      <c r="B6889" s="40"/>
      <c r="C6889" s="40"/>
      <c r="E6889" s="80"/>
    </row>
    <row r="6890" spans="2:5" x14ac:dyDescent="0.25">
      <c r="B6890" s="40"/>
      <c r="C6890" s="40"/>
      <c r="E6890" s="80"/>
    </row>
    <row r="6891" spans="2:5" x14ac:dyDescent="0.25">
      <c r="B6891" s="40"/>
      <c r="C6891" s="40"/>
      <c r="E6891" s="80"/>
    </row>
    <row r="6892" spans="2:5" x14ac:dyDescent="0.25">
      <c r="B6892" s="40"/>
      <c r="C6892" s="40"/>
      <c r="E6892" s="80"/>
    </row>
    <row r="6893" spans="2:5" x14ac:dyDescent="0.25">
      <c r="B6893" s="40"/>
      <c r="C6893" s="40"/>
      <c r="E6893" s="80"/>
    </row>
    <row r="6894" spans="2:5" x14ac:dyDescent="0.25">
      <c r="B6894" s="40"/>
      <c r="C6894" s="40"/>
      <c r="E6894" s="80"/>
    </row>
    <row r="6895" spans="2:5" x14ac:dyDescent="0.25">
      <c r="B6895" s="40"/>
      <c r="C6895" s="40"/>
      <c r="E6895" s="80"/>
    </row>
    <row r="6896" spans="2:5" x14ac:dyDescent="0.25">
      <c r="B6896" s="40"/>
      <c r="C6896" s="40"/>
      <c r="E6896" s="80"/>
    </row>
    <row r="6897" spans="2:5" x14ac:dyDescent="0.25">
      <c r="B6897" s="40"/>
      <c r="C6897" s="40"/>
      <c r="E6897" s="80"/>
    </row>
    <row r="6898" spans="2:5" x14ac:dyDescent="0.25">
      <c r="B6898" s="40"/>
      <c r="C6898" s="40"/>
      <c r="E6898" s="80"/>
    </row>
    <row r="6899" spans="2:5" x14ac:dyDescent="0.25">
      <c r="B6899" s="40"/>
      <c r="C6899" s="40"/>
      <c r="E6899" s="80"/>
    </row>
    <row r="6900" spans="2:5" x14ac:dyDescent="0.25">
      <c r="B6900" s="40"/>
      <c r="C6900" s="40"/>
      <c r="E6900" s="80"/>
    </row>
    <row r="6901" spans="2:5" x14ac:dyDescent="0.25">
      <c r="B6901" s="40"/>
      <c r="C6901" s="40"/>
      <c r="E6901" s="80"/>
    </row>
    <row r="6902" spans="2:5" x14ac:dyDescent="0.25">
      <c r="B6902" s="40"/>
      <c r="C6902" s="40"/>
      <c r="E6902" s="80"/>
    </row>
    <row r="6903" spans="2:5" x14ac:dyDescent="0.25">
      <c r="B6903" s="40"/>
      <c r="C6903" s="40"/>
      <c r="E6903" s="80"/>
    </row>
    <row r="6904" spans="2:5" x14ac:dyDescent="0.25">
      <c r="B6904" s="40"/>
      <c r="C6904" s="40"/>
      <c r="E6904" s="80"/>
    </row>
    <row r="6905" spans="2:5" x14ac:dyDescent="0.25">
      <c r="B6905" s="40"/>
      <c r="C6905" s="40"/>
      <c r="E6905" s="80"/>
    </row>
    <row r="6906" spans="2:5" x14ac:dyDescent="0.25">
      <c r="B6906" s="40"/>
      <c r="C6906" s="40"/>
      <c r="E6906" s="80"/>
    </row>
    <row r="6907" spans="2:5" x14ac:dyDescent="0.25">
      <c r="B6907" s="40"/>
      <c r="C6907" s="40"/>
      <c r="E6907" s="80"/>
    </row>
    <row r="6908" spans="2:5" x14ac:dyDescent="0.25">
      <c r="B6908" s="40"/>
      <c r="C6908" s="40"/>
      <c r="E6908" s="80"/>
    </row>
    <row r="6909" spans="2:5" x14ac:dyDescent="0.25">
      <c r="B6909" s="40"/>
      <c r="C6909" s="40"/>
      <c r="E6909" s="80"/>
    </row>
    <row r="6910" spans="2:5" x14ac:dyDescent="0.25">
      <c r="B6910" s="40"/>
      <c r="C6910" s="40"/>
      <c r="E6910" s="80"/>
    </row>
    <row r="6911" spans="2:5" x14ac:dyDescent="0.25">
      <c r="B6911" s="40"/>
      <c r="C6911" s="40"/>
      <c r="E6911" s="80"/>
    </row>
    <row r="6912" spans="2:5" x14ac:dyDescent="0.25">
      <c r="B6912" s="40"/>
      <c r="C6912" s="40"/>
      <c r="E6912" s="80"/>
    </row>
    <row r="6913" spans="2:5" x14ac:dyDescent="0.25">
      <c r="B6913" s="40"/>
      <c r="C6913" s="40"/>
      <c r="E6913" s="80"/>
    </row>
    <row r="6914" spans="2:5" x14ac:dyDescent="0.25">
      <c r="B6914" s="40"/>
      <c r="C6914" s="40"/>
      <c r="E6914" s="80"/>
    </row>
    <row r="6915" spans="2:5" x14ac:dyDescent="0.25">
      <c r="B6915" s="40"/>
      <c r="C6915" s="40"/>
      <c r="E6915" s="80"/>
    </row>
    <row r="6916" spans="2:5" x14ac:dyDescent="0.25">
      <c r="B6916" s="40"/>
      <c r="C6916" s="40"/>
      <c r="E6916" s="80"/>
    </row>
    <row r="6917" spans="2:5" x14ac:dyDescent="0.25">
      <c r="B6917" s="40"/>
      <c r="C6917" s="40"/>
      <c r="E6917" s="80"/>
    </row>
    <row r="6918" spans="2:5" x14ac:dyDescent="0.25">
      <c r="B6918" s="40"/>
      <c r="C6918" s="40"/>
      <c r="E6918" s="80"/>
    </row>
    <row r="6919" spans="2:5" x14ac:dyDescent="0.25">
      <c r="B6919" s="40"/>
      <c r="C6919" s="40"/>
      <c r="E6919" s="80"/>
    </row>
    <row r="6920" spans="2:5" x14ac:dyDescent="0.25">
      <c r="B6920" s="40"/>
      <c r="C6920" s="40"/>
      <c r="E6920" s="80"/>
    </row>
    <row r="6921" spans="2:5" x14ac:dyDescent="0.25">
      <c r="B6921" s="40"/>
      <c r="C6921" s="40"/>
      <c r="E6921" s="80"/>
    </row>
    <row r="6922" spans="2:5" x14ac:dyDescent="0.25">
      <c r="B6922" s="40"/>
      <c r="C6922" s="40"/>
      <c r="E6922" s="80"/>
    </row>
    <row r="6923" spans="2:5" x14ac:dyDescent="0.25">
      <c r="B6923" s="40"/>
      <c r="C6923" s="40"/>
      <c r="E6923" s="80"/>
    </row>
    <row r="6924" spans="2:5" x14ac:dyDescent="0.25">
      <c r="B6924" s="40"/>
      <c r="C6924" s="40"/>
      <c r="E6924" s="80"/>
    </row>
    <row r="6925" spans="2:5" x14ac:dyDescent="0.25">
      <c r="B6925" s="40"/>
      <c r="C6925" s="40"/>
      <c r="E6925" s="80"/>
    </row>
    <row r="6926" spans="2:5" x14ac:dyDescent="0.25">
      <c r="B6926" s="40"/>
      <c r="C6926" s="40"/>
      <c r="E6926" s="80"/>
    </row>
    <row r="6927" spans="2:5" x14ac:dyDescent="0.25">
      <c r="B6927" s="40"/>
      <c r="C6927" s="40"/>
      <c r="E6927" s="80"/>
    </row>
    <row r="6928" spans="2:5" x14ac:dyDescent="0.25">
      <c r="B6928" s="40"/>
      <c r="C6928" s="40"/>
      <c r="E6928" s="80"/>
    </row>
    <row r="6929" spans="2:5" x14ac:dyDescent="0.25">
      <c r="B6929" s="40"/>
      <c r="C6929" s="40"/>
      <c r="E6929" s="80"/>
    </row>
    <row r="6930" spans="2:5" x14ac:dyDescent="0.25">
      <c r="B6930" s="40"/>
      <c r="C6930" s="40"/>
      <c r="E6930" s="80"/>
    </row>
    <row r="6931" spans="2:5" x14ac:dyDescent="0.25">
      <c r="B6931" s="40"/>
      <c r="C6931" s="40"/>
      <c r="E6931" s="80"/>
    </row>
    <row r="6932" spans="2:5" x14ac:dyDescent="0.25">
      <c r="B6932" s="40"/>
      <c r="C6932" s="40"/>
      <c r="E6932" s="80"/>
    </row>
    <row r="6933" spans="2:5" x14ac:dyDescent="0.25">
      <c r="B6933" s="40"/>
      <c r="C6933" s="40"/>
      <c r="E6933" s="80"/>
    </row>
    <row r="6934" spans="2:5" x14ac:dyDescent="0.25">
      <c r="B6934" s="40"/>
      <c r="C6934" s="40"/>
      <c r="E6934" s="80"/>
    </row>
    <row r="6935" spans="2:5" x14ac:dyDescent="0.25">
      <c r="B6935" s="40"/>
      <c r="C6935" s="40"/>
      <c r="E6935" s="80"/>
    </row>
    <row r="6936" spans="2:5" x14ac:dyDescent="0.25">
      <c r="B6936" s="40"/>
      <c r="C6936" s="40"/>
      <c r="E6936" s="80"/>
    </row>
    <row r="6937" spans="2:5" x14ac:dyDescent="0.25">
      <c r="B6937" s="40"/>
      <c r="C6937" s="40"/>
      <c r="E6937" s="80"/>
    </row>
    <row r="6938" spans="2:5" x14ac:dyDescent="0.25">
      <c r="B6938" s="40"/>
      <c r="C6938" s="40"/>
      <c r="E6938" s="80"/>
    </row>
    <row r="6939" spans="2:5" x14ac:dyDescent="0.25">
      <c r="B6939" s="40"/>
      <c r="C6939" s="40"/>
      <c r="E6939" s="80"/>
    </row>
    <row r="6940" spans="2:5" x14ac:dyDescent="0.25">
      <c r="B6940" s="40"/>
      <c r="C6940" s="40"/>
      <c r="E6940" s="80"/>
    </row>
    <row r="6941" spans="2:5" x14ac:dyDescent="0.25">
      <c r="B6941" s="40"/>
      <c r="C6941" s="40"/>
      <c r="E6941" s="80"/>
    </row>
    <row r="6942" spans="2:5" x14ac:dyDescent="0.25">
      <c r="B6942" s="40"/>
      <c r="C6942" s="40"/>
      <c r="E6942" s="80"/>
    </row>
    <row r="6943" spans="2:5" x14ac:dyDescent="0.25">
      <c r="B6943" s="40"/>
      <c r="C6943" s="40"/>
      <c r="E6943" s="80"/>
    </row>
    <row r="6944" spans="2:5" x14ac:dyDescent="0.25">
      <c r="B6944" s="40"/>
      <c r="C6944" s="40"/>
      <c r="E6944" s="80"/>
    </row>
    <row r="6945" spans="2:5" x14ac:dyDescent="0.25">
      <c r="B6945" s="40"/>
      <c r="C6945" s="40"/>
      <c r="E6945" s="80"/>
    </row>
    <row r="6946" spans="2:5" x14ac:dyDescent="0.25">
      <c r="B6946" s="40"/>
      <c r="C6946" s="40"/>
      <c r="E6946" s="80"/>
    </row>
    <row r="6947" spans="2:5" x14ac:dyDescent="0.25">
      <c r="B6947" s="40"/>
      <c r="C6947" s="40"/>
      <c r="E6947" s="80"/>
    </row>
    <row r="6948" spans="2:5" x14ac:dyDescent="0.25">
      <c r="B6948" s="40"/>
      <c r="C6948" s="40"/>
      <c r="E6948" s="80"/>
    </row>
    <row r="6949" spans="2:5" x14ac:dyDescent="0.25">
      <c r="B6949" s="40"/>
      <c r="C6949" s="40"/>
      <c r="E6949" s="80"/>
    </row>
    <row r="6950" spans="2:5" x14ac:dyDescent="0.25">
      <c r="B6950" s="40"/>
      <c r="C6950" s="40"/>
      <c r="E6950" s="80"/>
    </row>
    <row r="6951" spans="2:5" x14ac:dyDescent="0.25">
      <c r="B6951" s="40"/>
      <c r="C6951" s="40"/>
      <c r="E6951" s="80"/>
    </row>
    <row r="6952" spans="2:5" x14ac:dyDescent="0.25">
      <c r="B6952" s="40"/>
      <c r="C6952" s="40"/>
      <c r="E6952" s="80"/>
    </row>
    <row r="6953" spans="2:5" x14ac:dyDescent="0.25">
      <c r="B6953" s="40"/>
      <c r="C6953" s="40"/>
      <c r="E6953" s="80"/>
    </row>
    <row r="6954" spans="2:5" x14ac:dyDescent="0.25">
      <c r="B6954" s="40"/>
      <c r="C6954" s="40"/>
      <c r="E6954" s="80"/>
    </row>
    <row r="6955" spans="2:5" x14ac:dyDescent="0.25">
      <c r="B6955" s="40"/>
      <c r="C6955" s="40"/>
      <c r="E6955" s="80"/>
    </row>
    <row r="6956" spans="2:5" x14ac:dyDescent="0.25">
      <c r="B6956" s="40"/>
      <c r="C6956" s="40"/>
      <c r="E6956" s="80"/>
    </row>
    <row r="6957" spans="2:5" x14ac:dyDescent="0.25">
      <c r="B6957" s="40"/>
      <c r="C6957" s="40"/>
      <c r="E6957" s="80"/>
    </row>
    <row r="6958" spans="2:5" x14ac:dyDescent="0.25">
      <c r="B6958" s="40"/>
      <c r="C6958" s="40"/>
      <c r="E6958" s="80"/>
    </row>
    <row r="6959" spans="2:5" x14ac:dyDescent="0.25">
      <c r="B6959" s="40"/>
      <c r="C6959" s="40"/>
      <c r="E6959" s="80"/>
    </row>
    <row r="6960" spans="2:5" x14ac:dyDescent="0.25">
      <c r="B6960" s="40"/>
      <c r="C6960" s="40"/>
      <c r="E6960" s="80"/>
    </row>
    <row r="6961" spans="2:5" x14ac:dyDescent="0.25">
      <c r="B6961" s="40"/>
      <c r="C6961" s="40"/>
      <c r="E6961" s="80"/>
    </row>
    <row r="6962" spans="2:5" x14ac:dyDescent="0.25">
      <c r="B6962" s="40"/>
      <c r="C6962" s="40"/>
      <c r="E6962" s="80"/>
    </row>
    <row r="6963" spans="2:5" x14ac:dyDescent="0.25">
      <c r="B6963" s="40"/>
      <c r="C6963" s="40"/>
      <c r="E6963" s="80"/>
    </row>
    <row r="6964" spans="2:5" x14ac:dyDescent="0.25">
      <c r="B6964" s="40"/>
      <c r="C6964" s="40"/>
      <c r="E6964" s="80"/>
    </row>
    <row r="6965" spans="2:5" x14ac:dyDescent="0.25">
      <c r="B6965" s="40"/>
      <c r="C6965" s="40"/>
      <c r="E6965" s="80"/>
    </row>
    <row r="6966" spans="2:5" x14ac:dyDescent="0.25">
      <c r="B6966" s="40"/>
      <c r="C6966" s="40"/>
      <c r="E6966" s="80"/>
    </row>
    <row r="6967" spans="2:5" x14ac:dyDescent="0.25">
      <c r="B6967" s="40"/>
      <c r="C6967" s="40"/>
      <c r="E6967" s="80"/>
    </row>
    <row r="6968" spans="2:5" x14ac:dyDescent="0.25">
      <c r="B6968" s="40"/>
      <c r="C6968" s="40"/>
      <c r="E6968" s="80"/>
    </row>
    <row r="6969" spans="2:5" x14ac:dyDescent="0.25">
      <c r="B6969" s="40"/>
      <c r="C6969" s="40"/>
      <c r="E6969" s="80"/>
    </row>
    <row r="6970" spans="2:5" x14ac:dyDescent="0.25">
      <c r="B6970" s="40"/>
      <c r="C6970" s="40"/>
      <c r="E6970" s="80"/>
    </row>
    <row r="6971" spans="2:5" x14ac:dyDescent="0.25">
      <c r="B6971" s="40"/>
      <c r="C6971" s="40"/>
      <c r="E6971" s="80"/>
    </row>
    <row r="6972" spans="2:5" x14ac:dyDescent="0.25">
      <c r="B6972" s="40"/>
      <c r="C6972" s="40"/>
      <c r="E6972" s="80"/>
    </row>
    <row r="6973" spans="2:5" x14ac:dyDescent="0.25">
      <c r="B6973" s="40"/>
      <c r="C6973" s="40"/>
      <c r="E6973" s="80"/>
    </row>
    <row r="6974" spans="2:5" x14ac:dyDescent="0.25">
      <c r="B6974" s="40"/>
      <c r="C6974" s="40"/>
      <c r="E6974" s="80"/>
    </row>
    <row r="6975" spans="2:5" x14ac:dyDescent="0.25">
      <c r="B6975" s="40"/>
      <c r="C6975" s="40"/>
      <c r="E6975" s="80"/>
    </row>
    <row r="6976" spans="2:5" x14ac:dyDescent="0.25">
      <c r="B6976" s="40"/>
      <c r="C6976" s="40"/>
      <c r="E6976" s="80"/>
    </row>
    <row r="6977" spans="2:5" x14ac:dyDescent="0.25">
      <c r="B6977" s="40"/>
      <c r="C6977" s="40"/>
      <c r="E6977" s="80"/>
    </row>
    <row r="6978" spans="2:5" x14ac:dyDescent="0.25">
      <c r="B6978" s="40"/>
      <c r="C6978" s="40"/>
      <c r="E6978" s="80"/>
    </row>
    <row r="6979" spans="2:5" x14ac:dyDescent="0.25">
      <c r="B6979" s="40"/>
      <c r="C6979" s="40"/>
      <c r="E6979" s="80"/>
    </row>
    <row r="6980" spans="2:5" x14ac:dyDescent="0.25">
      <c r="B6980" s="40"/>
      <c r="C6980" s="40"/>
      <c r="E6980" s="80"/>
    </row>
    <row r="6981" spans="2:5" x14ac:dyDescent="0.25">
      <c r="B6981" s="40"/>
      <c r="C6981" s="40"/>
      <c r="E6981" s="80"/>
    </row>
    <row r="6982" spans="2:5" x14ac:dyDescent="0.25">
      <c r="B6982" s="40"/>
      <c r="C6982" s="40"/>
      <c r="E6982" s="80"/>
    </row>
    <row r="6983" spans="2:5" x14ac:dyDescent="0.25">
      <c r="B6983" s="40"/>
      <c r="C6983" s="40"/>
      <c r="E6983" s="80"/>
    </row>
    <row r="6984" spans="2:5" x14ac:dyDescent="0.25">
      <c r="B6984" s="40"/>
      <c r="C6984" s="40"/>
      <c r="E6984" s="80"/>
    </row>
    <row r="6985" spans="2:5" x14ac:dyDescent="0.25">
      <c r="B6985" s="40"/>
      <c r="C6985" s="40"/>
      <c r="E6985" s="80"/>
    </row>
    <row r="6986" spans="2:5" x14ac:dyDescent="0.25">
      <c r="B6986" s="40"/>
      <c r="C6986" s="40"/>
      <c r="E6986" s="80"/>
    </row>
    <row r="6987" spans="2:5" x14ac:dyDescent="0.25">
      <c r="B6987" s="40"/>
      <c r="C6987" s="40"/>
      <c r="E6987" s="80"/>
    </row>
    <row r="6988" spans="2:5" x14ac:dyDescent="0.25">
      <c r="B6988" s="40"/>
      <c r="C6988" s="40"/>
      <c r="E6988" s="80"/>
    </row>
    <row r="6989" spans="2:5" x14ac:dyDescent="0.25">
      <c r="B6989" s="40"/>
      <c r="C6989" s="40"/>
      <c r="E6989" s="80"/>
    </row>
    <row r="6990" spans="2:5" x14ac:dyDescent="0.25">
      <c r="B6990" s="40"/>
      <c r="C6990" s="40"/>
      <c r="E6990" s="80"/>
    </row>
    <row r="6991" spans="2:5" x14ac:dyDescent="0.25">
      <c r="B6991" s="40"/>
      <c r="C6991" s="40"/>
      <c r="E6991" s="80"/>
    </row>
    <row r="6992" spans="2:5" x14ac:dyDescent="0.25">
      <c r="B6992" s="40"/>
      <c r="C6992" s="40"/>
      <c r="E6992" s="80"/>
    </row>
    <row r="6993" spans="2:5" x14ac:dyDescent="0.25">
      <c r="B6993" s="40"/>
      <c r="C6993" s="40"/>
      <c r="E6993" s="80"/>
    </row>
    <row r="6994" spans="2:5" x14ac:dyDescent="0.25">
      <c r="B6994" s="40"/>
      <c r="C6994" s="40"/>
      <c r="E6994" s="80"/>
    </row>
    <row r="6995" spans="2:5" x14ac:dyDescent="0.25">
      <c r="B6995" s="40"/>
      <c r="C6995" s="40"/>
      <c r="E6995" s="80"/>
    </row>
    <row r="6996" spans="2:5" x14ac:dyDescent="0.25">
      <c r="B6996" s="40"/>
      <c r="C6996" s="40"/>
      <c r="E6996" s="80"/>
    </row>
    <row r="6997" spans="2:5" x14ac:dyDescent="0.25">
      <c r="B6997" s="40"/>
      <c r="C6997" s="40"/>
      <c r="E6997" s="80"/>
    </row>
    <row r="6998" spans="2:5" x14ac:dyDescent="0.25">
      <c r="B6998" s="40"/>
      <c r="C6998" s="40"/>
      <c r="E6998" s="80"/>
    </row>
    <row r="6999" spans="2:5" x14ac:dyDescent="0.25">
      <c r="B6999" s="40"/>
      <c r="C6999" s="40"/>
      <c r="E6999" s="80"/>
    </row>
    <row r="7000" spans="2:5" x14ac:dyDescent="0.25">
      <c r="B7000" s="40"/>
      <c r="C7000" s="40"/>
      <c r="E7000" s="80"/>
    </row>
    <row r="7001" spans="2:5" x14ac:dyDescent="0.25">
      <c r="B7001" s="40"/>
      <c r="C7001" s="40"/>
      <c r="E7001" s="80"/>
    </row>
    <row r="7002" spans="2:5" x14ac:dyDescent="0.25">
      <c r="B7002" s="40"/>
      <c r="C7002" s="40"/>
      <c r="E7002" s="80"/>
    </row>
    <row r="7003" spans="2:5" x14ac:dyDescent="0.25">
      <c r="B7003" s="40"/>
      <c r="C7003" s="40"/>
      <c r="E7003" s="80"/>
    </row>
    <row r="7004" spans="2:5" x14ac:dyDescent="0.25">
      <c r="B7004" s="40"/>
      <c r="C7004" s="40"/>
      <c r="E7004" s="80"/>
    </row>
    <row r="7005" spans="2:5" x14ac:dyDescent="0.25">
      <c r="B7005" s="40"/>
      <c r="C7005" s="40"/>
      <c r="E7005" s="80"/>
    </row>
    <row r="7006" spans="2:5" x14ac:dyDescent="0.25">
      <c r="B7006" s="40"/>
      <c r="C7006" s="40"/>
      <c r="E7006" s="80"/>
    </row>
    <row r="7007" spans="2:5" x14ac:dyDescent="0.25">
      <c r="B7007" s="40"/>
      <c r="C7007" s="40"/>
      <c r="E7007" s="80"/>
    </row>
    <row r="7008" spans="2:5" x14ac:dyDescent="0.25">
      <c r="B7008" s="40"/>
      <c r="C7008" s="40"/>
      <c r="E7008" s="80"/>
    </row>
    <row r="7009" spans="2:5" x14ac:dyDescent="0.25">
      <c r="B7009" s="40"/>
      <c r="C7009" s="40"/>
      <c r="E7009" s="80"/>
    </row>
    <row r="7010" spans="2:5" x14ac:dyDescent="0.25">
      <c r="B7010" s="40"/>
      <c r="C7010" s="40"/>
      <c r="E7010" s="80"/>
    </row>
    <row r="7011" spans="2:5" x14ac:dyDescent="0.25">
      <c r="B7011" s="40"/>
      <c r="C7011" s="40"/>
      <c r="E7011" s="80"/>
    </row>
    <row r="7012" spans="2:5" x14ac:dyDescent="0.25">
      <c r="B7012" s="40"/>
      <c r="C7012" s="40"/>
      <c r="E7012" s="80"/>
    </row>
    <row r="7013" spans="2:5" x14ac:dyDescent="0.25">
      <c r="B7013" s="40"/>
      <c r="C7013" s="40"/>
      <c r="E7013" s="80"/>
    </row>
    <row r="7014" spans="2:5" x14ac:dyDescent="0.25">
      <c r="B7014" s="40"/>
      <c r="C7014" s="40"/>
      <c r="E7014" s="80"/>
    </row>
    <row r="7015" spans="2:5" x14ac:dyDescent="0.25">
      <c r="B7015" s="40"/>
      <c r="C7015" s="40"/>
      <c r="E7015" s="80"/>
    </row>
    <row r="7016" spans="2:5" x14ac:dyDescent="0.25">
      <c r="B7016" s="40"/>
      <c r="C7016" s="40"/>
      <c r="E7016" s="80"/>
    </row>
    <row r="7017" spans="2:5" x14ac:dyDescent="0.25">
      <c r="B7017" s="40"/>
      <c r="C7017" s="40"/>
      <c r="E7017" s="80"/>
    </row>
    <row r="7018" spans="2:5" x14ac:dyDescent="0.25">
      <c r="B7018" s="40"/>
      <c r="C7018" s="40"/>
      <c r="E7018" s="80"/>
    </row>
    <row r="7019" spans="2:5" x14ac:dyDescent="0.25">
      <c r="B7019" s="40"/>
      <c r="C7019" s="40"/>
      <c r="E7019" s="80"/>
    </row>
    <row r="7020" spans="2:5" x14ac:dyDescent="0.25">
      <c r="B7020" s="40"/>
      <c r="C7020" s="40"/>
      <c r="E7020" s="80"/>
    </row>
    <row r="7021" spans="2:5" x14ac:dyDescent="0.25">
      <c r="B7021" s="40"/>
      <c r="C7021" s="40"/>
      <c r="E7021" s="80"/>
    </row>
    <row r="7022" spans="2:5" x14ac:dyDescent="0.25">
      <c r="B7022" s="40"/>
      <c r="C7022" s="40"/>
      <c r="E7022" s="80"/>
    </row>
    <row r="7023" spans="2:5" x14ac:dyDescent="0.25">
      <c r="B7023" s="40"/>
      <c r="C7023" s="40"/>
      <c r="E7023" s="80"/>
    </row>
    <row r="7024" spans="2:5" x14ac:dyDescent="0.25">
      <c r="B7024" s="40"/>
      <c r="C7024" s="40"/>
      <c r="E7024" s="80"/>
    </row>
    <row r="7025" spans="2:5" x14ac:dyDescent="0.25">
      <c r="B7025" s="40"/>
      <c r="C7025" s="40"/>
      <c r="E7025" s="80"/>
    </row>
    <row r="7026" spans="2:5" x14ac:dyDescent="0.25">
      <c r="B7026" s="40"/>
      <c r="C7026" s="40"/>
      <c r="E7026" s="80"/>
    </row>
    <row r="7027" spans="2:5" x14ac:dyDescent="0.25">
      <c r="B7027" s="40"/>
      <c r="C7027" s="40"/>
      <c r="E7027" s="80"/>
    </row>
    <row r="7028" spans="2:5" x14ac:dyDescent="0.25">
      <c r="B7028" s="40"/>
      <c r="C7028" s="40"/>
      <c r="E7028" s="80"/>
    </row>
    <row r="7029" spans="2:5" x14ac:dyDescent="0.25">
      <c r="B7029" s="40"/>
      <c r="C7029" s="40"/>
      <c r="E7029" s="80"/>
    </row>
    <row r="7030" spans="2:5" x14ac:dyDescent="0.25">
      <c r="B7030" s="40"/>
      <c r="C7030" s="40"/>
      <c r="E7030" s="80"/>
    </row>
    <row r="7031" spans="2:5" x14ac:dyDescent="0.25">
      <c r="B7031" s="40"/>
      <c r="C7031" s="40"/>
      <c r="E7031" s="80"/>
    </row>
    <row r="7032" spans="2:5" x14ac:dyDescent="0.25">
      <c r="B7032" s="40"/>
      <c r="C7032" s="40"/>
      <c r="E7032" s="80"/>
    </row>
    <row r="7033" spans="2:5" x14ac:dyDescent="0.25">
      <c r="B7033" s="40"/>
      <c r="C7033" s="40"/>
      <c r="E7033" s="80"/>
    </row>
    <row r="7034" spans="2:5" x14ac:dyDescent="0.25">
      <c r="B7034" s="40"/>
      <c r="C7034" s="40"/>
      <c r="E7034" s="80"/>
    </row>
    <row r="7035" spans="2:5" x14ac:dyDescent="0.25">
      <c r="B7035" s="40"/>
      <c r="C7035" s="40"/>
      <c r="E7035" s="80"/>
    </row>
    <row r="7036" spans="2:5" x14ac:dyDescent="0.25">
      <c r="B7036" s="40"/>
      <c r="C7036" s="40"/>
      <c r="E7036" s="80"/>
    </row>
    <row r="7037" spans="2:5" x14ac:dyDescent="0.25">
      <c r="B7037" s="40"/>
      <c r="C7037" s="40"/>
      <c r="E7037" s="80"/>
    </row>
    <row r="7038" spans="2:5" x14ac:dyDescent="0.25">
      <c r="B7038" s="40"/>
      <c r="C7038" s="40"/>
      <c r="E7038" s="80"/>
    </row>
    <row r="7039" spans="2:5" x14ac:dyDescent="0.25">
      <c r="B7039" s="40"/>
      <c r="C7039" s="40"/>
      <c r="E7039" s="80"/>
    </row>
    <row r="7040" spans="2:5" x14ac:dyDescent="0.25">
      <c r="B7040" s="40"/>
      <c r="C7040" s="40"/>
      <c r="E7040" s="80"/>
    </row>
    <row r="7041" spans="2:5" x14ac:dyDescent="0.25">
      <c r="B7041" s="40"/>
      <c r="C7041" s="40"/>
      <c r="E7041" s="80"/>
    </row>
    <row r="7042" spans="2:5" x14ac:dyDescent="0.25">
      <c r="B7042" s="40"/>
      <c r="C7042" s="40"/>
      <c r="E7042" s="80"/>
    </row>
    <row r="7043" spans="2:5" x14ac:dyDescent="0.25">
      <c r="B7043" s="40"/>
      <c r="C7043" s="40"/>
      <c r="E7043" s="80"/>
    </row>
    <row r="7044" spans="2:5" x14ac:dyDescent="0.25">
      <c r="B7044" s="40"/>
      <c r="C7044" s="40"/>
      <c r="E7044" s="80"/>
    </row>
    <row r="7045" spans="2:5" x14ac:dyDescent="0.25">
      <c r="B7045" s="40"/>
      <c r="C7045" s="40"/>
      <c r="E7045" s="80"/>
    </row>
    <row r="7046" spans="2:5" x14ac:dyDescent="0.25">
      <c r="B7046" s="40"/>
      <c r="C7046" s="40"/>
      <c r="E7046" s="80"/>
    </row>
    <row r="7047" spans="2:5" x14ac:dyDescent="0.25">
      <c r="B7047" s="40"/>
      <c r="C7047" s="40"/>
      <c r="E7047" s="80"/>
    </row>
    <row r="7048" spans="2:5" x14ac:dyDescent="0.25">
      <c r="B7048" s="40"/>
      <c r="C7048" s="40"/>
      <c r="E7048" s="80"/>
    </row>
    <row r="7049" spans="2:5" x14ac:dyDescent="0.25">
      <c r="B7049" s="40"/>
      <c r="C7049" s="40"/>
      <c r="E7049" s="80"/>
    </row>
    <row r="7050" spans="2:5" x14ac:dyDescent="0.25">
      <c r="B7050" s="40"/>
      <c r="C7050" s="40"/>
      <c r="E7050" s="80"/>
    </row>
    <row r="7051" spans="2:5" x14ac:dyDescent="0.25">
      <c r="B7051" s="40"/>
      <c r="C7051" s="40"/>
      <c r="E7051" s="80"/>
    </row>
    <row r="7052" spans="2:5" x14ac:dyDescent="0.25">
      <c r="B7052" s="40"/>
      <c r="C7052" s="40"/>
      <c r="E7052" s="80"/>
    </row>
    <row r="7053" spans="2:5" x14ac:dyDescent="0.25">
      <c r="B7053" s="40"/>
      <c r="C7053" s="40"/>
      <c r="E7053" s="80"/>
    </row>
    <row r="7054" spans="2:5" x14ac:dyDescent="0.25">
      <c r="B7054" s="40"/>
      <c r="C7054" s="40"/>
      <c r="E7054" s="80"/>
    </row>
    <row r="7055" spans="2:5" x14ac:dyDescent="0.25">
      <c r="B7055" s="40"/>
      <c r="C7055" s="40"/>
      <c r="E7055" s="80"/>
    </row>
    <row r="7056" spans="2:5" x14ac:dyDescent="0.25">
      <c r="B7056" s="40"/>
      <c r="C7056" s="40"/>
      <c r="E7056" s="80"/>
    </row>
    <row r="7057" spans="2:5" x14ac:dyDescent="0.25">
      <c r="B7057" s="40"/>
      <c r="C7057" s="40"/>
      <c r="E7057" s="80"/>
    </row>
    <row r="7058" spans="2:5" x14ac:dyDescent="0.25">
      <c r="B7058" s="40"/>
      <c r="C7058" s="40"/>
      <c r="E7058" s="80"/>
    </row>
    <row r="7059" spans="2:5" x14ac:dyDescent="0.25">
      <c r="B7059" s="40"/>
      <c r="C7059" s="40"/>
      <c r="E7059" s="80"/>
    </row>
    <row r="7060" spans="2:5" x14ac:dyDescent="0.25">
      <c r="B7060" s="40"/>
      <c r="C7060" s="40"/>
      <c r="E7060" s="80"/>
    </row>
    <row r="7061" spans="2:5" x14ac:dyDescent="0.25">
      <c r="B7061" s="40"/>
      <c r="C7061" s="40"/>
      <c r="E7061" s="80"/>
    </row>
    <row r="7062" spans="2:5" x14ac:dyDescent="0.25">
      <c r="B7062" s="40"/>
      <c r="C7062" s="40"/>
      <c r="E7062" s="80"/>
    </row>
    <row r="7063" spans="2:5" x14ac:dyDescent="0.25">
      <c r="B7063" s="40"/>
      <c r="C7063" s="40"/>
      <c r="E7063" s="80"/>
    </row>
    <row r="7064" spans="2:5" x14ac:dyDescent="0.25">
      <c r="B7064" s="40"/>
      <c r="C7064" s="40"/>
      <c r="E7064" s="80"/>
    </row>
    <row r="7065" spans="2:5" x14ac:dyDescent="0.25">
      <c r="B7065" s="40"/>
      <c r="C7065" s="40"/>
      <c r="E7065" s="80"/>
    </row>
    <row r="7066" spans="2:5" x14ac:dyDescent="0.25">
      <c r="B7066" s="40"/>
      <c r="C7066" s="40"/>
      <c r="E7066" s="80"/>
    </row>
    <row r="7067" spans="2:5" x14ac:dyDescent="0.25">
      <c r="B7067" s="40"/>
      <c r="C7067" s="40"/>
      <c r="E7067" s="80"/>
    </row>
    <row r="7068" spans="2:5" x14ac:dyDescent="0.25">
      <c r="B7068" s="40"/>
      <c r="C7068" s="40"/>
      <c r="E7068" s="80"/>
    </row>
    <row r="7069" spans="2:5" x14ac:dyDescent="0.25">
      <c r="B7069" s="40"/>
      <c r="C7069" s="40"/>
      <c r="E7069" s="80"/>
    </row>
    <row r="7070" spans="2:5" x14ac:dyDescent="0.25">
      <c r="B7070" s="40"/>
      <c r="C7070" s="40"/>
      <c r="E7070" s="80"/>
    </row>
    <row r="7071" spans="2:5" x14ac:dyDescent="0.25">
      <c r="B7071" s="40"/>
      <c r="C7071" s="40"/>
      <c r="E7071" s="80"/>
    </row>
    <row r="7072" spans="2:5" x14ac:dyDescent="0.25">
      <c r="B7072" s="40"/>
      <c r="C7072" s="40"/>
      <c r="E7072" s="80"/>
    </row>
    <row r="7073" spans="2:5" x14ac:dyDescent="0.25">
      <c r="B7073" s="40"/>
      <c r="C7073" s="40"/>
      <c r="E7073" s="80"/>
    </row>
    <row r="7074" spans="2:5" x14ac:dyDescent="0.25">
      <c r="B7074" s="40"/>
      <c r="C7074" s="40"/>
      <c r="E7074" s="80"/>
    </row>
    <row r="7075" spans="2:5" x14ac:dyDescent="0.25">
      <c r="B7075" s="40"/>
      <c r="C7075" s="40"/>
      <c r="E7075" s="80"/>
    </row>
    <row r="7076" spans="2:5" x14ac:dyDescent="0.25">
      <c r="B7076" s="40"/>
      <c r="C7076" s="40"/>
      <c r="E7076" s="80"/>
    </row>
    <row r="7077" spans="2:5" x14ac:dyDescent="0.25">
      <c r="B7077" s="40"/>
      <c r="C7077" s="40"/>
      <c r="E7077" s="80"/>
    </row>
    <row r="7078" spans="2:5" x14ac:dyDescent="0.25">
      <c r="B7078" s="40"/>
      <c r="C7078" s="40"/>
      <c r="E7078" s="80"/>
    </row>
    <row r="7079" spans="2:5" x14ac:dyDescent="0.25">
      <c r="B7079" s="40"/>
      <c r="C7079" s="40"/>
      <c r="E7079" s="80"/>
    </row>
    <row r="7080" spans="2:5" x14ac:dyDescent="0.25">
      <c r="B7080" s="40"/>
      <c r="C7080" s="40"/>
      <c r="E7080" s="80"/>
    </row>
    <row r="7081" spans="2:5" x14ac:dyDescent="0.25">
      <c r="B7081" s="40"/>
      <c r="C7081" s="40"/>
      <c r="E7081" s="80"/>
    </row>
    <row r="7082" spans="2:5" x14ac:dyDescent="0.25">
      <c r="B7082" s="40"/>
      <c r="C7082" s="40"/>
      <c r="E7082" s="80"/>
    </row>
    <row r="7083" spans="2:5" x14ac:dyDescent="0.25">
      <c r="B7083" s="40"/>
      <c r="C7083" s="40"/>
      <c r="E7083" s="80"/>
    </row>
    <row r="7084" spans="2:5" x14ac:dyDescent="0.25">
      <c r="B7084" s="40"/>
      <c r="C7084" s="40"/>
      <c r="E7084" s="80"/>
    </row>
    <row r="7085" spans="2:5" x14ac:dyDescent="0.25">
      <c r="B7085" s="40"/>
      <c r="C7085" s="40"/>
      <c r="E7085" s="80"/>
    </row>
    <row r="7086" spans="2:5" x14ac:dyDescent="0.25">
      <c r="B7086" s="40"/>
      <c r="C7086" s="40"/>
      <c r="E7086" s="80"/>
    </row>
    <row r="7087" spans="2:5" x14ac:dyDescent="0.25">
      <c r="B7087" s="40"/>
      <c r="C7087" s="40"/>
      <c r="E7087" s="80"/>
    </row>
    <row r="7088" spans="2:5" x14ac:dyDescent="0.25">
      <c r="B7088" s="40"/>
      <c r="C7088" s="40"/>
      <c r="E7088" s="80"/>
    </row>
    <row r="7089" spans="2:5" x14ac:dyDescent="0.25">
      <c r="B7089" s="40"/>
      <c r="C7089" s="40"/>
      <c r="E7089" s="80"/>
    </row>
    <row r="7090" spans="2:5" x14ac:dyDescent="0.25">
      <c r="B7090" s="40"/>
      <c r="C7090" s="40"/>
      <c r="E7090" s="80"/>
    </row>
    <row r="7091" spans="2:5" x14ac:dyDescent="0.25">
      <c r="B7091" s="40"/>
      <c r="C7091" s="40"/>
      <c r="E7091" s="80"/>
    </row>
    <row r="7092" spans="2:5" x14ac:dyDescent="0.25">
      <c r="B7092" s="40"/>
      <c r="C7092" s="40"/>
      <c r="E7092" s="80"/>
    </row>
    <row r="7093" spans="2:5" x14ac:dyDescent="0.25">
      <c r="B7093" s="40"/>
      <c r="C7093" s="40"/>
      <c r="E7093" s="80"/>
    </row>
    <row r="7094" spans="2:5" x14ac:dyDescent="0.25">
      <c r="B7094" s="40"/>
      <c r="C7094" s="40"/>
      <c r="E7094" s="80"/>
    </row>
    <row r="7095" spans="2:5" x14ac:dyDescent="0.25">
      <c r="B7095" s="40"/>
      <c r="C7095" s="40"/>
      <c r="E7095" s="80"/>
    </row>
    <row r="7096" spans="2:5" x14ac:dyDescent="0.25">
      <c r="B7096" s="40"/>
      <c r="C7096" s="40"/>
      <c r="E7096" s="80"/>
    </row>
    <row r="7097" spans="2:5" x14ac:dyDescent="0.25">
      <c r="B7097" s="40"/>
      <c r="C7097" s="40"/>
      <c r="E7097" s="80"/>
    </row>
    <row r="7098" spans="2:5" x14ac:dyDescent="0.25">
      <c r="B7098" s="40"/>
      <c r="C7098" s="40"/>
      <c r="E7098" s="80"/>
    </row>
    <row r="7099" spans="2:5" x14ac:dyDescent="0.25">
      <c r="B7099" s="40"/>
      <c r="C7099" s="40"/>
      <c r="E7099" s="80"/>
    </row>
    <row r="7100" spans="2:5" x14ac:dyDescent="0.25">
      <c r="B7100" s="40"/>
      <c r="C7100" s="40"/>
      <c r="E7100" s="80"/>
    </row>
    <row r="7101" spans="2:5" x14ac:dyDescent="0.25">
      <c r="B7101" s="40"/>
      <c r="C7101" s="40"/>
      <c r="E7101" s="80"/>
    </row>
    <row r="7102" spans="2:5" x14ac:dyDescent="0.25">
      <c r="B7102" s="40"/>
      <c r="C7102" s="40"/>
      <c r="E7102" s="80"/>
    </row>
    <row r="7103" spans="2:5" x14ac:dyDescent="0.25">
      <c r="B7103" s="40"/>
      <c r="C7103" s="40"/>
      <c r="E7103" s="80"/>
    </row>
    <row r="7104" spans="2:5" x14ac:dyDescent="0.25">
      <c r="B7104" s="40"/>
      <c r="C7104" s="40"/>
      <c r="E7104" s="80"/>
    </row>
    <row r="7105" spans="2:5" x14ac:dyDescent="0.25">
      <c r="B7105" s="40"/>
      <c r="C7105" s="40"/>
      <c r="E7105" s="80"/>
    </row>
    <row r="7106" spans="2:5" x14ac:dyDescent="0.25">
      <c r="B7106" s="40"/>
      <c r="C7106" s="40"/>
      <c r="E7106" s="80"/>
    </row>
    <row r="7107" spans="2:5" x14ac:dyDescent="0.25">
      <c r="B7107" s="40"/>
      <c r="C7107" s="40"/>
      <c r="E7107" s="80"/>
    </row>
    <row r="7108" spans="2:5" x14ac:dyDescent="0.25">
      <c r="B7108" s="40"/>
      <c r="C7108" s="40"/>
      <c r="E7108" s="80"/>
    </row>
    <row r="7109" spans="2:5" x14ac:dyDescent="0.25">
      <c r="B7109" s="40"/>
      <c r="C7109" s="40"/>
      <c r="E7109" s="80"/>
    </row>
    <row r="7110" spans="2:5" x14ac:dyDescent="0.25">
      <c r="B7110" s="40"/>
      <c r="C7110" s="40"/>
      <c r="E7110" s="80"/>
    </row>
    <row r="7111" spans="2:5" x14ac:dyDescent="0.25">
      <c r="B7111" s="40"/>
      <c r="C7111" s="40"/>
      <c r="E7111" s="80"/>
    </row>
    <row r="7112" spans="2:5" x14ac:dyDescent="0.25">
      <c r="B7112" s="40"/>
      <c r="C7112" s="40"/>
      <c r="E7112" s="80"/>
    </row>
    <row r="7113" spans="2:5" x14ac:dyDescent="0.25">
      <c r="B7113" s="40"/>
      <c r="C7113" s="40"/>
      <c r="E7113" s="80"/>
    </row>
    <row r="7114" spans="2:5" x14ac:dyDescent="0.25">
      <c r="B7114" s="40"/>
      <c r="C7114" s="40"/>
      <c r="E7114" s="80"/>
    </row>
    <row r="7115" spans="2:5" x14ac:dyDescent="0.25">
      <c r="B7115" s="40"/>
      <c r="C7115" s="40"/>
      <c r="E7115" s="80"/>
    </row>
    <row r="7116" spans="2:5" x14ac:dyDescent="0.25">
      <c r="B7116" s="40"/>
      <c r="C7116" s="40"/>
      <c r="E7116" s="80"/>
    </row>
    <row r="7117" spans="2:5" x14ac:dyDescent="0.25">
      <c r="B7117" s="40"/>
      <c r="C7117" s="40"/>
      <c r="E7117" s="80"/>
    </row>
    <row r="7118" spans="2:5" x14ac:dyDescent="0.25">
      <c r="B7118" s="40"/>
      <c r="C7118" s="40"/>
      <c r="E7118" s="80"/>
    </row>
    <row r="7119" spans="2:5" x14ac:dyDescent="0.25">
      <c r="B7119" s="40"/>
      <c r="C7119" s="40"/>
      <c r="E7119" s="80"/>
    </row>
    <row r="7120" spans="2:5" x14ac:dyDescent="0.25">
      <c r="B7120" s="40"/>
      <c r="C7120" s="40"/>
      <c r="E7120" s="80"/>
    </row>
    <row r="7121" spans="2:5" x14ac:dyDescent="0.25">
      <c r="B7121" s="40"/>
      <c r="C7121" s="40"/>
      <c r="E7121" s="80"/>
    </row>
    <row r="7122" spans="2:5" x14ac:dyDescent="0.25">
      <c r="B7122" s="40"/>
      <c r="C7122" s="40"/>
      <c r="E7122" s="80"/>
    </row>
    <row r="7123" spans="2:5" x14ac:dyDescent="0.25">
      <c r="B7123" s="40"/>
      <c r="C7123" s="40"/>
      <c r="E7123" s="80"/>
    </row>
    <row r="7124" spans="2:5" x14ac:dyDescent="0.25">
      <c r="B7124" s="40"/>
      <c r="C7124" s="40"/>
      <c r="E7124" s="80"/>
    </row>
    <row r="7125" spans="2:5" x14ac:dyDescent="0.25">
      <c r="B7125" s="40"/>
      <c r="C7125" s="40"/>
      <c r="E7125" s="80"/>
    </row>
    <row r="7126" spans="2:5" x14ac:dyDescent="0.25">
      <c r="B7126" s="40"/>
      <c r="C7126" s="40"/>
      <c r="E7126" s="80"/>
    </row>
    <row r="7127" spans="2:5" x14ac:dyDescent="0.25">
      <c r="B7127" s="40"/>
      <c r="C7127" s="40"/>
      <c r="E7127" s="80"/>
    </row>
    <row r="7128" spans="2:5" x14ac:dyDescent="0.25">
      <c r="B7128" s="40"/>
      <c r="C7128" s="40"/>
      <c r="E7128" s="80"/>
    </row>
    <row r="7129" spans="2:5" x14ac:dyDescent="0.25">
      <c r="B7129" s="40"/>
      <c r="C7129" s="40"/>
      <c r="E7129" s="80"/>
    </row>
    <row r="7130" spans="2:5" x14ac:dyDescent="0.25">
      <c r="B7130" s="40"/>
      <c r="C7130" s="40"/>
      <c r="E7130" s="80"/>
    </row>
    <row r="7131" spans="2:5" x14ac:dyDescent="0.25">
      <c r="B7131" s="40"/>
      <c r="C7131" s="40"/>
      <c r="E7131" s="80"/>
    </row>
    <row r="7132" spans="2:5" x14ac:dyDescent="0.25">
      <c r="B7132" s="40"/>
      <c r="C7132" s="40"/>
      <c r="E7132" s="80"/>
    </row>
    <row r="7133" spans="2:5" x14ac:dyDescent="0.25">
      <c r="B7133" s="40"/>
      <c r="C7133" s="40"/>
      <c r="E7133" s="80"/>
    </row>
    <row r="7134" spans="2:5" x14ac:dyDescent="0.25">
      <c r="B7134" s="40"/>
      <c r="C7134" s="40"/>
      <c r="E7134" s="80"/>
    </row>
    <row r="7135" spans="2:5" x14ac:dyDescent="0.25">
      <c r="B7135" s="40"/>
      <c r="C7135" s="40"/>
      <c r="E7135" s="80"/>
    </row>
    <row r="7136" spans="2:5" x14ac:dyDescent="0.25">
      <c r="B7136" s="40"/>
      <c r="C7136" s="40"/>
      <c r="E7136" s="80"/>
    </row>
    <row r="7137" spans="2:5" x14ac:dyDescent="0.25">
      <c r="B7137" s="40"/>
      <c r="C7137" s="40"/>
      <c r="E7137" s="80"/>
    </row>
    <row r="7138" spans="2:5" x14ac:dyDescent="0.25">
      <c r="B7138" s="40"/>
      <c r="C7138" s="40"/>
      <c r="E7138" s="80"/>
    </row>
    <row r="7139" spans="2:5" x14ac:dyDescent="0.25">
      <c r="B7139" s="40"/>
      <c r="C7139" s="40"/>
      <c r="E7139" s="80"/>
    </row>
    <row r="7140" spans="2:5" x14ac:dyDescent="0.25">
      <c r="B7140" s="40"/>
      <c r="C7140" s="40"/>
      <c r="E7140" s="80"/>
    </row>
    <row r="7141" spans="2:5" x14ac:dyDescent="0.25">
      <c r="B7141" s="40"/>
      <c r="C7141" s="40"/>
      <c r="E7141" s="80"/>
    </row>
    <row r="7142" spans="2:5" x14ac:dyDescent="0.25">
      <c r="B7142" s="40"/>
      <c r="C7142" s="40"/>
      <c r="E7142" s="80"/>
    </row>
    <row r="7143" spans="2:5" x14ac:dyDescent="0.25">
      <c r="B7143" s="40"/>
      <c r="C7143" s="40"/>
      <c r="E7143" s="80"/>
    </row>
    <row r="7144" spans="2:5" x14ac:dyDescent="0.25">
      <c r="B7144" s="40"/>
      <c r="C7144" s="40"/>
      <c r="E7144" s="80"/>
    </row>
    <row r="7145" spans="2:5" x14ac:dyDescent="0.25">
      <c r="B7145" s="40"/>
      <c r="C7145" s="40"/>
      <c r="E7145" s="80"/>
    </row>
    <row r="7146" spans="2:5" x14ac:dyDescent="0.25">
      <c r="B7146" s="40"/>
      <c r="C7146" s="40"/>
      <c r="E7146" s="80"/>
    </row>
    <row r="7147" spans="2:5" x14ac:dyDescent="0.25">
      <c r="B7147" s="40"/>
      <c r="C7147" s="40"/>
      <c r="E7147" s="80"/>
    </row>
    <row r="7148" spans="2:5" x14ac:dyDescent="0.25">
      <c r="B7148" s="40"/>
      <c r="C7148" s="40"/>
      <c r="E7148" s="80"/>
    </row>
    <row r="7149" spans="2:5" x14ac:dyDescent="0.25">
      <c r="B7149" s="40"/>
      <c r="C7149" s="40"/>
      <c r="E7149" s="80"/>
    </row>
    <row r="7150" spans="2:5" x14ac:dyDescent="0.25">
      <c r="B7150" s="40"/>
      <c r="C7150" s="40"/>
      <c r="E7150" s="80"/>
    </row>
    <row r="7151" spans="2:5" x14ac:dyDescent="0.25">
      <c r="B7151" s="40"/>
      <c r="C7151" s="40"/>
      <c r="E7151" s="80"/>
    </row>
    <row r="7152" spans="2:5" x14ac:dyDescent="0.25">
      <c r="B7152" s="40"/>
      <c r="C7152" s="40"/>
      <c r="E7152" s="80"/>
    </row>
    <row r="7153" spans="2:5" x14ac:dyDescent="0.25">
      <c r="B7153" s="40"/>
      <c r="C7153" s="40"/>
      <c r="E7153" s="80"/>
    </row>
    <row r="7154" spans="2:5" x14ac:dyDescent="0.25">
      <c r="B7154" s="40"/>
      <c r="C7154" s="40"/>
      <c r="E7154" s="80"/>
    </row>
    <row r="7155" spans="2:5" x14ac:dyDescent="0.25">
      <c r="B7155" s="40"/>
      <c r="C7155" s="40"/>
      <c r="E7155" s="80"/>
    </row>
    <row r="7156" spans="2:5" x14ac:dyDescent="0.25">
      <c r="B7156" s="40"/>
      <c r="C7156" s="40"/>
      <c r="E7156" s="80"/>
    </row>
    <row r="7157" spans="2:5" x14ac:dyDescent="0.25">
      <c r="B7157" s="40"/>
      <c r="C7157" s="40"/>
      <c r="E7157" s="80"/>
    </row>
    <row r="7158" spans="2:5" x14ac:dyDescent="0.25">
      <c r="B7158" s="40"/>
      <c r="C7158" s="40"/>
      <c r="E7158" s="80"/>
    </row>
    <row r="7159" spans="2:5" x14ac:dyDescent="0.25">
      <c r="B7159" s="40"/>
      <c r="C7159" s="40"/>
      <c r="E7159" s="80"/>
    </row>
    <row r="7160" spans="2:5" x14ac:dyDescent="0.25">
      <c r="B7160" s="40"/>
      <c r="C7160" s="40"/>
      <c r="E7160" s="80"/>
    </row>
    <row r="7161" spans="2:5" x14ac:dyDescent="0.25">
      <c r="B7161" s="40"/>
      <c r="C7161" s="40"/>
      <c r="E7161" s="80"/>
    </row>
    <row r="7162" spans="2:5" x14ac:dyDescent="0.25">
      <c r="B7162" s="40"/>
      <c r="C7162" s="40"/>
      <c r="E7162" s="80"/>
    </row>
    <row r="7163" spans="2:5" x14ac:dyDescent="0.25">
      <c r="B7163" s="40"/>
      <c r="C7163" s="40"/>
      <c r="E7163" s="80"/>
    </row>
    <row r="7164" spans="2:5" x14ac:dyDescent="0.25">
      <c r="B7164" s="40"/>
      <c r="C7164" s="40"/>
      <c r="E7164" s="80"/>
    </row>
    <row r="7165" spans="2:5" x14ac:dyDescent="0.25">
      <c r="B7165" s="40"/>
      <c r="C7165" s="40"/>
      <c r="E7165" s="80"/>
    </row>
    <row r="7166" spans="2:5" x14ac:dyDescent="0.25">
      <c r="B7166" s="40"/>
      <c r="C7166" s="40"/>
      <c r="E7166" s="80"/>
    </row>
    <row r="7167" spans="2:5" x14ac:dyDescent="0.25">
      <c r="B7167" s="40"/>
      <c r="C7167" s="40"/>
      <c r="E7167" s="80"/>
    </row>
    <row r="7168" spans="2:5" x14ac:dyDescent="0.25">
      <c r="B7168" s="40"/>
      <c r="C7168" s="40"/>
      <c r="E7168" s="80"/>
    </row>
    <row r="7169" spans="2:5" x14ac:dyDescent="0.25">
      <c r="B7169" s="40"/>
      <c r="C7169" s="40"/>
      <c r="E7169" s="80"/>
    </row>
    <row r="7170" spans="2:5" x14ac:dyDescent="0.25">
      <c r="B7170" s="40"/>
      <c r="C7170" s="40"/>
      <c r="E7170" s="80"/>
    </row>
    <row r="7171" spans="2:5" x14ac:dyDescent="0.25">
      <c r="B7171" s="40"/>
      <c r="C7171" s="40"/>
      <c r="E7171" s="80"/>
    </row>
    <row r="7172" spans="2:5" x14ac:dyDescent="0.25">
      <c r="B7172" s="40"/>
      <c r="C7172" s="40"/>
      <c r="E7172" s="80"/>
    </row>
    <row r="7173" spans="2:5" x14ac:dyDescent="0.25">
      <c r="B7173" s="40"/>
      <c r="C7173" s="40"/>
      <c r="E7173" s="80"/>
    </row>
    <row r="7174" spans="2:5" x14ac:dyDescent="0.25">
      <c r="B7174" s="40"/>
      <c r="C7174" s="40"/>
      <c r="E7174" s="80"/>
    </row>
    <row r="7175" spans="2:5" x14ac:dyDescent="0.25">
      <c r="B7175" s="40"/>
      <c r="C7175" s="40"/>
      <c r="E7175" s="80"/>
    </row>
    <row r="7176" spans="2:5" x14ac:dyDescent="0.25">
      <c r="B7176" s="40"/>
      <c r="C7176" s="40"/>
      <c r="E7176" s="80"/>
    </row>
    <row r="7177" spans="2:5" x14ac:dyDescent="0.25">
      <c r="B7177" s="40"/>
      <c r="C7177" s="40"/>
      <c r="E7177" s="80"/>
    </row>
    <row r="7178" spans="2:5" x14ac:dyDescent="0.25">
      <c r="B7178" s="40"/>
      <c r="C7178" s="40"/>
      <c r="E7178" s="80"/>
    </row>
    <row r="7179" spans="2:5" x14ac:dyDescent="0.25">
      <c r="B7179" s="40"/>
      <c r="C7179" s="40"/>
      <c r="E7179" s="80"/>
    </row>
    <row r="7180" spans="2:5" x14ac:dyDescent="0.25">
      <c r="B7180" s="40"/>
      <c r="C7180" s="40"/>
      <c r="E7180" s="80"/>
    </row>
    <row r="7181" spans="2:5" x14ac:dyDescent="0.25">
      <c r="B7181" s="40"/>
      <c r="C7181" s="40"/>
      <c r="E7181" s="80"/>
    </row>
    <row r="7182" spans="2:5" x14ac:dyDescent="0.25">
      <c r="B7182" s="40"/>
      <c r="C7182" s="40"/>
      <c r="E7182" s="80"/>
    </row>
    <row r="7183" spans="2:5" x14ac:dyDescent="0.25">
      <c r="B7183" s="40"/>
      <c r="C7183" s="40"/>
      <c r="E7183" s="80"/>
    </row>
    <row r="7184" spans="2:5" x14ac:dyDescent="0.25">
      <c r="B7184" s="40"/>
      <c r="C7184" s="40"/>
      <c r="E7184" s="80"/>
    </row>
    <row r="7185" spans="2:5" x14ac:dyDescent="0.25">
      <c r="B7185" s="40"/>
      <c r="C7185" s="40"/>
      <c r="E7185" s="80"/>
    </row>
    <row r="7186" spans="2:5" x14ac:dyDescent="0.25">
      <c r="B7186" s="40"/>
      <c r="C7186" s="40"/>
      <c r="E7186" s="80"/>
    </row>
    <row r="7187" spans="2:5" x14ac:dyDescent="0.25">
      <c r="B7187" s="40"/>
      <c r="C7187" s="40"/>
      <c r="E7187" s="80"/>
    </row>
    <row r="7188" spans="2:5" x14ac:dyDescent="0.25">
      <c r="B7188" s="40"/>
      <c r="C7188" s="40"/>
      <c r="E7188" s="80"/>
    </row>
    <row r="7189" spans="2:5" x14ac:dyDescent="0.25">
      <c r="B7189" s="40"/>
      <c r="C7189" s="40"/>
      <c r="E7189" s="80"/>
    </row>
    <row r="7190" spans="2:5" x14ac:dyDescent="0.25">
      <c r="B7190" s="40"/>
      <c r="C7190" s="40"/>
      <c r="E7190" s="80"/>
    </row>
    <row r="7191" spans="2:5" x14ac:dyDescent="0.25">
      <c r="B7191" s="40"/>
      <c r="C7191" s="40"/>
      <c r="E7191" s="80"/>
    </row>
    <row r="7192" spans="2:5" x14ac:dyDescent="0.25">
      <c r="B7192" s="40"/>
      <c r="C7192" s="40"/>
      <c r="E7192" s="80"/>
    </row>
    <row r="7193" spans="2:5" x14ac:dyDescent="0.25">
      <c r="B7193" s="40"/>
      <c r="C7193" s="40"/>
      <c r="E7193" s="80"/>
    </row>
    <row r="7194" spans="2:5" x14ac:dyDescent="0.25">
      <c r="B7194" s="40"/>
      <c r="C7194" s="40"/>
      <c r="E7194" s="80"/>
    </row>
    <row r="7195" spans="2:5" x14ac:dyDescent="0.25">
      <c r="B7195" s="40"/>
      <c r="C7195" s="40"/>
      <c r="E7195" s="80"/>
    </row>
    <row r="7196" spans="2:5" x14ac:dyDescent="0.25">
      <c r="B7196" s="40"/>
      <c r="C7196" s="40"/>
      <c r="E7196" s="80"/>
    </row>
    <row r="7197" spans="2:5" x14ac:dyDescent="0.25">
      <c r="B7197" s="40"/>
      <c r="C7197" s="40"/>
      <c r="E7197" s="80"/>
    </row>
    <row r="7198" spans="2:5" x14ac:dyDescent="0.25">
      <c r="B7198" s="40"/>
      <c r="C7198" s="40"/>
      <c r="E7198" s="80"/>
    </row>
    <row r="7199" spans="2:5" x14ac:dyDescent="0.25">
      <c r="B7199" s="40"/>
      <c r="C7199" s="40"/>
      <c r="E7199" s="80"/>
    </row>
    <row r="7200" spans="2:5" x14ac:dyDescent="0.25">
      <c r="B7200" s="40"/>
      <c r="C7200" s="40"/>
      <c r="E7200" s="80"/>
    </row>
    <row r="7201" spans="2:5" x14ac:dyDescent="0.25">
      <c r="B7201" s="40"/>
      <c r="C7201" s="40"/>
      <c r="E7201" s="80"/>
    </row>
    <row r="7202" spans="2:5" x14ac:dyDescent="0.25">
      <c r="B7202" s="40"/>
      <c r="C7202" s="40"/>
      <c r="E7202" s="80"/>
    </row>
    <row r="7203" spans="2:5" x14ac:dyDescent="0.25">
      <c r="B7203" s="40"/>
      <c r="C7203" s="40"/>
      <c r="E7203" s="80"/>
    </row>
    <row r="7204" spans="2:5" x14ac:dyDescent="0.25">
      <c r="B7204" s="40"/>
      <c r="C7204" s="40"/>
      <c r="E7204" s="80"/>
    </row>
    <row r="7205" spans="2:5" x14ac:dyDescent="0.25">
      <c r="B7205" s="40"/>
      <c r="C7205" s="40"/>
      <c r="E7205" s="80"/>
    </row>
    <row r="7206" spans="2:5" x14ac:dyDescent="0.25">
      <c r="B7206" s="40"/>
      <c r="C7206" s="40"/>
      <c r="E7206" s="80"/>
    </row>
    <row r="7207" spans="2:5" x14ac:dyDescent="0.25">
      <c r="B7207" s="40"/>
      <c r="C7207" s="40"/>
      <c r="E7207" s="80"/>
    </row>
    <row r="7208" spans="2:5" x14ac:dyDescent="0.25">
      <c r="B7208" s="40"/>
      <c r="C7208" s="40"/>
      <c r="E7208" s="80"/>
    </row>
    <row r="7209" spans="2:5" x14ac:dyDescent="0.25">
      <c r="B7209" s="40"/>
      <c r="C7209" s="40"/>
      <c r="E7209" s="80"/>
    </row>
    <row r="7210" spans="2:5" x14ac:dyDescent="0.25">
      <c r="B7210" s="40"/>
      <c r="C7210" s="40"/>
      <c r="E7210" s="80"/>
    </row>
    <row r="7211" spans="2:5" x14ac:dyDescent="0.25">
      <c r="B7211" s="40"/>
      <c r="C7211" s="40"/>
      <c r="E7211" s="80"/>
    </row>
    <row r="7212" spans="2:5" x14ac:dyDescent="0.25">
      <c r="B7212" s="40"/>
      <c r="C7212" s="40"/>
      <c r="E7212" s="80"/>
    </row>
    <row r="7213" spans="2:5" x14ac:dyDescent="0.25">
      <c r="B7213" s="40"/>
      <c r="C7213" s="40"/>
      <c r="E7213" s="80"/>
    </row>
    <row r="7214" spans="2:5" x14ac:dyDescent="0.25">
      <c r="B7214" s="40"/>
      <c r="C7214" s="40"/>
      <c r="E7214" s="80"/>
    </row>
    <row r="7215" spans="2:5" x14ac:dyDescent="0.25">
      <c r="B7215" s="40"/>
      <c r="C7215" s="40"/>
      <c r="E7215" s="80"/>
    </row>
    <row r="7216" spans="2:5" x14ac:dyDescent="0.25">
      <c r="B7216" s="40"/>
      <c r="C7216" s="40"/>
      <c r="E7216" s="80"/>
    </row>
    <row r="7217" spans="2:5" x14ac:dyDescent="0.25">
      <c r="B7217" s="40"/>
      <c r="C7217" s="40"/>
      <c r="E7217" s="80"/>
    </row>
    <row r="7218" spans="2:5" x14ac:dyDescent="0.25">
      <c r="B7218" s="40"/>
      <c r="C7218" s="40"/>
      <c r="E7218" s="80"/>
    </row>
    <row r="7219" spans="2:5" x14ac:dyDescent="0.25">
      <c r="B7219" s="40"/>
      <c r="C7219" s="40"/>
      <c r="E7219" s="80"/>
    </row>
    <row r="7220" spans="2:5" x14ac:dyDescent="0.25">
      <c r="B7220" s="40"/>
      <c r="C7220" s="40"/>
      <c r="E7220" s="80"/>
    </row>
    <row r="7221" spans="2:5" x14ac:dyDescent="0.25">
      <c r="B7221" s="40"/>
      <c r="C7221" s="40"/>
      <c r="E7221" s="80"/>
    </row>
    <row r="7222" spans="2:5" x14ac:dyDescent="0.25">
      <c r="B7222" s="40"/>
      <c r="C7222" s="40"/>
      <c r="E7222" s="80"/>
    </row>
    <row r="7223" spans="2:5" x14ac:dyDescent="0.25">
      <c r="B7223" s="40"/>
      <c r="C7223" s="40"/>
      <c r="E7223" s="80"/>
    </row>
    <row r="7224" spans="2:5" x14ac:dyDescent="0.25">
      <c r="B7224" s="40"/>
      <c r="C7224" s="40"/>
      <c r="E7224" s="80"/>
    </row>
    <row r="7225" spans="2:5" x14ac:dyDescent="0.25">
      <c r="B7225" s="40"/>
      <c r="C7225" s="40"/>
      <c r="E7225" s="80"/>
    </row>
    <row r="7226" spans="2:5" x14ac:dyDescent="0.25">
      <c r="B7226" s="40"/>
      <c r="C7226" s="40"/>
      <c r="E7226" s="80"/>
    </row>
    <row r="7227" spans="2:5" x14ac:dyDescent="0.25">
      <c r="B7227" s="40"/>
      <c r="C7227" s="40"/>
      <c r="E7227" s="80"/>
    </row>
    <row r="7228" spans="2:5" x14ac:dyDescent="0.25">
      <c r="B7228" s="40"/>
      <c r="C7228" s="40"/>
      <c r="E7228" s="80"/>
    </row>
    <row r="7229" spans="2:5" x14ac:dyDescent="0.25">
      <c r="B7229" s="40"/>
      <c r="C7229" s="40"/>
      <c r="E7229" s="80"/>
    </row>
    <row r="7230" spans="2:5" x14ac:dyDescent="0.25">
      <c r="B7230" s="40"/>
      <c r="C7230" s="40"/>
      <c r="E7230" s="80"/>
    </row>
    <row r="7231" spans="2:5" x14ac:dyDescent="0.25">
      <c r="B7231" s="40"/>
      <c r="C7231" s="40"/>
      <c r="E7231" s="80"/>
    </row>
    <row r="7232" spans="2:5" x14ac:dyDescent="0.25">
      <c r="B7232" s="40"/>
      <c r="C7232" s="40"/>
      <c r="E7232" s="80"/>
    </row>
    <row r="7233" spans="2:5" x14ac:dyDescent="0.25">
      <c r="B7233" s="40"/>
      <c r="C7233" s="40"/>
      <c r="E7233" s="80"/>
    </row>
    <row r="7234" spans="2:5" x14ac:dyDescent="0.25">
      <c r="B7234" s="40"/>
      <c r="C7234" s="40"/>
      <c r="E7234" s="80"/>
    </row>
    <row r="7235" spans="2:5" x14ac:dyDescent="0.25">
      <c r="B7235" s="40"/>
      <c r="C7235" s="40"/>
      <c r="E7235" s="80"/>
    </row>
    <row r="7236" spans="2:5" x14ac:dyDescent="0.25">
      <c r="B7236" s="40"/>
      <c r="C7236" s="40"/>
      <c r="E7236" s="80"/>
    </row>
    <row r="7237" spans="2:5" x14ac:dyDescent="0.25">
      <c r="B7237" s="40"/>
      <c r="C7237" s="40"/>
      <c r="E7237" s="80"/>
    </row>
    <row r="7238" spans="2:5" x14ac:dyDescent="0.25">
      <c r="B7238" s="40"/>
      <c r="C7238" s="40"/>
      <c r="E7238" s="80"/>
    </row>
    <row r="7239" spans="2:5" x14ac:dyDescent="0.25">
      <c r="B7239" s="40"/>
      <c r="C7239" s="40"/>
      <c r="E7239" s="80"/>
    </row>
    <row r="7240" spans="2:5" x14ac:dyDescent="0.25">
      <c r="B7240" s="40"/>
      <c r="C7240" s="40"/>
      <c r="E7240" s="80"/>
    </row>
    <row r="7241" spans="2:5" x14ac:dyDescent="0.25">
      <c r="B7241" s="40"/>
      <c r="C7241" s="40"/>
      <c r="E7241" s="80"/>
    </row>
    <row r="7242" spans="2:5" x14ac:dyDescent="0.25">
      <c r="B7242" s="40"/>
      <c r="C7242" s="40"/>
      <c r="E7242" s="80"/>
    </row>
    <row r="7243" spans="2:5" x14ac:dyDescent="0.25">
      <c r="B7243" s="40"/>
      <c r="C7243" s="40"/>
      <c r="E7243" s="80"/>
    </row>
    <row r="7244" spans="2:5" x14ac:dyDescent="0.25">
      <c r="B7244" s="40"/>
      <c r="C7244" s="40"/>
      <c r="E7244" s="80"/>
    </row>
    <row r="7245" spans="2:5" x14ac:dyDescent="0.25">
      <c r="B7245" s="40"/>
      <c r="C7245" s="40"/>
      <c r="E7245" s="80"/>
    </row>
    <row r="7246" spans="2:5" x14ac:dyDescent="0.25">
      <c r="B7246" s="40"/>
      <c r="C7246" s="40"/>
      <c r="E7246" s="80"/>
    </row>
    <row r="7247" spans="2:5" x14ac:dyDescent="0.25">
      <c r="B7247" s="40"/>
      <c r="C7247" s="40"/>
      <c r="E7247" s="80"/>
    </row>
    <row r="7248" spans="2:5" x14ac:dyDescent="0.25">
      <c r="B7248" s="40"/>
      <c r="C7248" s="40"/>
      <c r="E7248" s="80"/>
    </row>
    <row r="7249" spans="2:5" x14ac:dyDescent="0.25">
      <c r="B7249" s="40"/>
      <c r="C7249" s="40"/>
      <c r="E7249" s="80"/>
    </row>
    <row r="7250" spans="2:5" x14ac:dyDescent="0.25">
      <c r="B7250" s="40"/>
      <c r="C7250" s="40"/>
      <c r="E7250" s="80"/>
    </row>
    <row r="7251" spans="2:5" x14ac:dyDescent="0.25">
      <c r="B7251" s="40"/>
      <c r="C7251" s="40"/>
      <c r="E7251" s="80"/>
    </row>
    <row r="7252" spans="2:5" x14ac:dyDescent="0.25">
      <c r="B7252" s="40"/>
      <c r="C7252" s="40"/>
      <c r="E7252" s="80"/>
    </row>
    <row r="7253" spans="2:5" x14ac:dyDescent="0.25">
      <c r="B7253" s="40"/>
      <c r="C7253" s="40"/>
      <c r="E7253" s="80"/>
    </row>
    <row r="7254" spans="2:5" x14ac:dyDescent="0.25">
      <c r="B7254" s="40"/>
      <c r="C7254" s="40"/>
      <c r="E7254" s="80"/>
    </row>
    <row r="7255" spans="2:5" x14ac:dyDescent="0.25">
      <c r="B7255" s="40"/>
      <c r="C7255" s="40"/>
      <c r="E7255" s="80"/>
    </row>
    <row r="7256" spans="2:5" x14ac:dyDescent="0.25">
      <c r="B7256" s="40"/>
      <c r="C7256" s="40"/>
      <c r="E7256" s="80"/>
    </row>
    <row r="7257" spans="2:5" x14ac:dyDescent="0.25">
      <c r="B7257" s="40"/>
      <c r="C7257" s="40"/>
      <c r="E7257" s="80"/>
    </row>
    <row r="7258" spans="2:5" x14ac:dyDescent="0.25">
      <c r="B7258" s="40"/>
      <c r="C7258" s="40"/>
      <c r="E7258" s="80"/>
    </row>
    <row r="7259" spans="2:5" x14ac:dyDescent="0.25">
      <c r="B7259" s="40"/>
      <c r="C7259" s="40"/>
      <c r="E7259" s="80"/>
    </row>
    <row r="7260" spans="2:5" x14ac:dyDescent="0.25">
      <c r="B7260" s="40"/>
      <c r="C7260" s="40"/>
      <c r="E7260" s="80"/>
    </row>
    <row r="7261" spans="2:5" x14ac:dyDescent="0.25">
      <c r="B7261" s="40"/>
      <c r="C7261" s="40"/>
      <c r="E7261" s="80"/>
    </row>
    <row r="7262" spans="2:5" x14ac:dyDescent="0.25">
      <c r="B7262" s="40"/>
      <c r="C7262" s="40"/>
      <c r="E7262" s="80"/>
    </row>
    <row r="7263" spans="2:5" x14ac:dyDescent="0.25">
      <c r="B7263" s="40"/>
      <c r="C7263" s="40"/>
      <c r="E7263" s="80"/>
    </row>
    <row r="7264" spans="2:5" x14ac:dyDescent="0.25">
      <c r="B7264" s="40"/>
      <c r="C7264" s="40"/>
      <c r="E7264" s="80"/>
    </row>
    <row r="7265" spans="2:5" x14ac:dyDescent="0.25">
      <c r="B7265" s="40"/>
      <c r="C7265" s="40"/>
      <c r="E7265" s="80"/>
    </row>
    <row r="7266" spans="2:5" x14ac:dyDescent="0.25">
      <c r="B7266" s="40"/>
      <c r="C7266" s="40"/>
      <c r="E7266" s="80"/>
    </row>
    <row r="7267" spans="2:5" x14ac:dyDescent="0.25">
      <c r="B7267" s="40"/>
      <c r="C7267" s="40"/>
      <c r="E7267" s="80"/>
    </row>
    <row r="7268" spans="2:5" x14ac:dyDescent="0.25">
      <c r="B7268" s="40"/>
      <c r="C7268" s="40"/>
      <c r="E7268" s="80"/>
    </row>
    <row r="7269" spans="2:5" x14ac:dyDescent="0.25">
      <c r="B7269" s="40"/>
      <c r="C7269" s="40"/>
      <c r="E7269" s="80"/>
    </row>
    <row r="7270" spans="2:5" x14ac:dyDescent="0.25">
      <c r="B7270" s="40"/>
      <c r="C7270" s="40"/>
      <c r="E7270" s="80"/>
    </row>
    <row r="7271" spans="2:5" x14ac:dyDescent="0.25">
      <c r="B7271" s="40"/>
      <c r="C7271" s="40"/>
      <c r="E7271" s="80"/>
    </row>
    <row r="7272" spans="2:5" x14ac:dyDescent="0.25">
      <c r="B7272" s="40"/>
      <c r="C7272" s="40"/>
      <c r="E7272" s="80"/>
    </row>
    <row r="7273" spans="2:5" x14ac:dyDescent="0.25">
      <c r="B7273" s="40"/>
      <c r="C7273" s="40"/>
      <c r="E7273" s="80"/>
    </row>
    <row r="7274" spans="2:5" x14ac:dyDescent="0.25">
      <c r="B7274" s="40"/>
      <c r="C7274" s="40"/>
      <c r="E7274" s="80"/>
    </row>
    <row r="7275" spans="2:5" x14ac:dyDescent="0.25">
      <c r="B7275" s="40"/>
      <c r="C7275" s="40"/>
      <c r="E7275" s="80"/>
    </row>
    <row r="7276" spans="2:5" x14ac:dyDescent="0.25">
      <c r="B7276" s="40"/>
      <c r="C7276" s="40"/>
      <c r="E7276" s="80"/>
    </row>
    <row r="7277" spans="2:5" x14ac:dyDescent="0.25">
      <c r="B7277" s="40"/>
      <c r="C7277" s="40"/>
      <c r="E7277" s="80"/>
    </row>
    <row r="7278" spans="2:5" x14ac:dyDescent="0.25">
      <c r="B7278" s="40"/>
      <c r="C7278" s="40"/>
      <c r="E7278" s="80"/>
    </row>
    <row r="7279" spans="2:5" x14ac:dyDescent="0.25">
      <c r="B7279" s="40"/>
      <c r="C7279" s="40"/>
      <c r="E7279" s="80"/>
    </row>
    <row r="7280" spans="2:5" x14ac:dyDescent="0.25">
      <c r="B7280" s="40"/>
      <c r="C7280" s="40"/>
      <c r="E7280" s="80"/>
    </row>
    <row r="7281" spans="2:5" x14ac:dyDescent="0.25">
      <c r="B7281" s="40"/>
      <c r="C7281" s="40"/>
      <c r="E7281" s="80"/>
    </row>
    <row r="7282" spans="2:5" x14ac:dyDescent="0.25">
      <c r="B7282" s="40"/>
      <c r="C7282" s="40"/>
      <c r="E7282" s="80"/>
    </row>
    <row r="7283" spans="2:5" x14ac:dyDescent="0.25">
      <c r="B7283" s="40"/>
      <c r="C7283" s="40"/>
      <c r="E7283" s="80"/>
    </row>
    <row r="7284" spans="2:5" x14ac:dyDescent="0.25">
      <c r="B7284" s="40"/>
      <c r="C7284" s="40"/>
      <c r="E7284" s="80"/>
    </row>
    <row r="7285" spans="2:5" x14ac:dyDescent="0.25">
      <c r="B7285" s="40"/>
      <c r="C7285" s="40"/>
      <c r="E7285" s="80"/>
    </row>
    <row r="7286" spans="2:5" x14ac:dyDescent="0.25">
      <c r="B7286" s="40"/>
      <c r="C7286" s="40"/>
      <c r="E7286" s="80"/>
    </row>
    <row r="7287" spans="2:5" x14ac:dyDescent="0.25">
      <c r="B7287" s="40"/>
      <c r="C7287" s="40"/>
      <c r="E7287" s="80"/>
    </row>
    <row r="7288" spans="2:5" x14ac:dyDescent="0.25">
      <c r="B7288" s="40"/>
      <c r="C7288" s="40"/>
      <c r="E7288" s="80"/>
    </row>
    <row r="7289" spans="2:5" x14ac:dyDescent="0.25">
      <c r="B7289" s="40"/>
      <c r="C7289" s="40"/>
      <c r="E7289" s="80"/>
    </row>
    <row r="7290" spans="2:5" x14ac:dyDescent="0.25">
      <c r="B7290" s="40"/>
      <c r="C7290" s="40"/>
      <c r="E7290" s="80"/>
    </row>
    <row r="7291" spans="2:5" x14ac:dyDescent="0.25">
      <c r="B7291" s="40"/>
      <c r="C7291" s="40"/>
      <c r="E7291" s="80"/>
    </row>
    <row r="7292" spans="2:5" x14ac:dyDescent="0.25">
      <c r="B7292" s="40"/>
      <c r="C7292" s="40"/>
      <c r="E7292" s="80"/>
    </row>
    <row r="7293" spans="2:5" x14ac:dyDescent="0.25">
      <c r="B7293" s="40"/>
      <c r="C7293" s="40"/>
      <c r="E7293" s="80"/>
    </row>
    <row r="7294" spans="2:5" x14ac:dyDescent="0.25">
      <c r="B7294" s="40"/>
      <c r="C7294" s="40"/>
      <c r="E7294" s="80"/>
    </row>
    <row r="7295" spans="2:5" x14ac:dyDescent="0.25">
      <c r="B7295" s="40"/>
      <c r="C7295" s="40"/>
      <c r="E7295" s="80"/>
    </row>
    <row r="7296" spans="2:5" x14ac:dyDescent="0.25">
      <c r="B7296" s="40"/>
      <c r="C7296" s="40"/>
      <c r="E7296" s="80"/>
    </row>
    <row r="7297" spans="2:5" x14ac:dyDescent="0.25">
      <c r="B7297" s="40"/>
      <c r="C7297" s="40"/>
      <c r="E7297" s="80"/>
    </row>
    <row r="7298" spans="2:5" x14ac:dyDescent="0.25">
      <c r="B7298" s="40"/>
      <c r="C7298" s="40"/>
      <c r="E7298" s="80"/>
    </row>
    <row r="7299" spans="2:5" x14ac:dyDescent="0.25">
      <c r="B7299" s="40"/>
      <c r="C7299" s="40"/>
      <c r="E7299" s="80"/>
    </row>
    <row r="7300" spans="2:5" x14ac:dyDescent="0.25">
      <c r="B7300" s="40"/>
      <c r="C7300" s="40"/>
      <c r="E7300" s="80"/>
    </row>
    <row r="7301" spans="2:5" x14ac:dyDescent="0.25">
      <c r="B7301" s="40"/>
      <c r="C7301" s="40"/>
      <c r="E7301" s="80"/>
    </row>
    <row r="7302" spans="2:5" x14ac:dyDescent="0.25">
      <c r="B7302" s="40"/>
      <c r="C7302" s="40"/>
      <c r="E7302" s="80"/>
    </row>
    <row r="7303" spans="2:5" x14ac:dyDescent="0.25">
      <c r="B7303" s="40"/>
      <c r="C7303" s="40"/>
      <c r="E7303" s="80"/>
    </row>
    <row r="7304" spans="2:5" x14ac:dyDescent="0.25">
      <c r="B7304" s="40"/>
      <c r="C7304" s="40"/>
      <c r="E7304" s="80"/>
    </row>
    <row r="7305" spans="2:5" x14ac:dyDescent="0.25">
      <c r="B7305" s="40"/>
      <c r="C7305" s="40"/>
      <c r="E7305" s="80"/>
    </row>
    <row r="7306" spans="2:5" x14ac:dyDescent="0.25">
      <c r="B7306" s="40"/>
      <c r="C7306" s="40"/>
      <c r="E7306" s="80"/>
    </row>
    <row r="7307" spans="2:5" x14ac:dyDescent="0.25">
      <c r="B7307" s="40"/>
      <c r="C7307" s="40"/>
      <c r="E7307" s="80"/>
    </row>
    <row r="7308" spans="2:5" x14ac:dyDescent="0.25">
      <c r="B7308" s="40"/>
      <c r="C7308" s="40"/>
      <c r="E7308" s="80"/>
    </row>
    <row r="7309" spans="2:5" x14ac:dyDescent="0.25">
      <c r="B7309" s="40"/>
      <c r="C7309" s="40"/>
      <c r="E7309" s="80"/>
    </row>
    <row r="7310" spans="2:5" x14ac:dyDescent="0.25">
      <c r="B7310" s="40"/>
      <c r="C7310" s="40"/>
      <c r="E7310" s="80"/>
    </row>
    <row r="7311" spans="2:5" x14ac:dyDescent="0.25">
      <c r="B7311" s="40"/>
      <c r="C7311" s="40"/>
      <c r="E7311" s="80"/>
    </row>
    <row r="7312" spans="2:5" x14ac:dyDescent="0.25">
      <c r="B7312" s="40"/>
      <c r="C7312" s="40"/>
      <c r="E7312" s="80"/>
    </row>
    <row r="7313" spans="2:5" x14ac:dyDescent="0.25">
      <c r="B7313" s="40"/>
      <c r="C7313" s="40"/>
      <c r="E7313" s="80"/>
    </row>
    <row r="7314" spans="2:5" x14ac:dyDescent="0.25">
      <c r="B7314" s="40"/>
      <c r="C7314" s="40"/>
      <c r="E7314" s="80"/>
    </row>
    <row r="7315" spans="2:5" x14ac:dyDescent="0.25">
      <c r="B7315" s="40"/>
      <c r="C7315" s="40"/>
      <c r="E7315" s="80"/>
    </row>
    <row r="7316" spans="2:5" x14ac:dyDescent="0.25">
      <c r="B7316" s="40"/>
      <c r="C7316" s="40"/>
      <c r="E7316" s="80"/>
    </row>
    <row r="7317" spans="2:5" x14ac:dyDescent="0.25">
      <c r="B7317" s="40"/>
      <c r="C7317" s="40"/>
      <c r="E7317" s="80"/>
    </row>
    <row r="7318" spans="2:5" x14ac:dyDescent="0.25">
      <c r="B7318" s="40"/>
      <c r="C7318" s="40"/>
      <c r="E7318" s="80"/>
    </row>
    <row r="7319" spans="2:5" x14ac:dyDescent="0.25">
      <c r="B7319" s="40"/>
      <c r="C7319" s="40"/>
      <c r="E7319" s="80"/>
    </row>
    <row r="7320" spans="2:5" x14ac:dyDescent="0.25">
      <c r="B7320" s="40"/>
      <c r="C7320" s="40"/>
      <c r="E7320" s="80"/>
    </row>
    <row r="7321" spans="2:5" x14ac:dyDescent="0.25">
      <c r="B7321" s="40"/>
      <c r="C7321" s="40"/>
      <c r="E7321" s="80"/>
    </row>
    <row r="7322" spans="2:5" x14ac:dyDescent="0.25">
      <c r="B7322" s="40"/>
      <c r="C7322" s="40"/>
      <c r="E7322" s="80"/>
    </row>
    <row r="7323" spans="2:5" x14ac:dyDescent="0.25">
      <c r="B7323" s="40"/>
      <c r="C7323" s="40"/>
      <c r="E7323" s="80"/>
    </row>
    <row r="7324" spans="2:5" x14ac:dyDescent="0.25">
      <c r="B7324" s="40"/>
      <c r="C7324" s="40"/>
      <c r="E7324" s="80"/>
    </row>
    <row r="7325" spans="2:5" x14ac:dyDescent="0.25">
      <c r="B7325" s="40"/>
      <c r="C7325" s="40"/>
      <c r="E7325" s="80"/>
    </row>
    <row r="7326" spans="2:5" x14ac:dyDescent="0.25">
      <c r="B7326" s="40"/>
      <c r="C7326" s="40"/>
      <c r="E7326" s="80"/>
    </row>
    <row r="7327" spans="2:5" x14ac:dyDescent="0.25">
      <c r="B7327" s="40"/>
      <c r="C7327" s="40"/>
      <c r="E7327" s="80"/>
    </row>
    <row r="7328" spans="2:5" x14ac:dyDescent="0.25">
      <c r="B7328" s="40"/>
      <c r="C7328" s="40"/>
      <c r="E7328" s="80"/>
    </row>
    <row r="7329" spans="2:5" x14ac:dyDescent="0.25">
      <c r="B7329" s="40"/>
      <c r="C7329" s="40"/>
      <c r="E7329" s="80"/>
    </row>
    <row r="7330" spans="2:5" x14ac:dyDescent="0.25">
      <c r="B7330" s="40"/>
      <c r="C7330" s="40"/>
      <c r="E7330" s="80"/>
    </row>
    <row r="7331" spans="2:5" x14ac:dyDescent="0.25">
      <c r="B7331" s="40"/>
      <c r="C7331" s="40"/>
      <c r="E7331" s="80"/>
    </row>
    <row r="7332" spans="2:5" x14ac:dyDescent="0.25">
      <c r="B7332" s="40"/>
      <c r="C7332" s="40"/>
      <c r="E7332" s="80"/>
    </row>
    <row r="7333" spans="2:5" x14ac:dyDescent="0.25">
      <c r="B7333" s="40"/>
      <c r="C7333" s="40"/>
      <c r="E7333" s="80"/>
    </row>
    <row r="7334" spans="2:5" x14ac:dyDescent="0.25">
      <c r="B7334" s="40"/>
      <c r="C7334" s="40"/>
      <c r="E7334" s="80"/>
    </row>
    <row r="7335" spans="2:5" x14ac:dyDescent="0.25">
      <c r="B7335" s="40"/>
      <c r="C7335" s="40"/>
      <c r="E7335" s="80"/>
    </row>
    <row r="7336" spans="2:5" x14ac:dyDescent="0.25">
      <c r="B7336" s="40"/>
      <c r="C7336" s="40"/>
      <c r="E7336" s="80"/>
    </row>
    <row r="7337" spans="2:5" x14ac:dyDescent="0.25">
      <c r="B7337" s="40"/>
      <c r="C7337" s="40"/>
      <c r="E7337" s="80"/>
    </row>
    <row r="7338" spans="2:5" x14ac:dyDescent="0.25">
      <c r="B7338" s="40"/>
      <c r="C7338" s="40"/>
      <c r="E7338" s="80"/>
    </row>
    <row r="7339" spans="2:5" x14ac:dyDescent="0.25">
      <c r="B7339" s="40"/>
      <c r="C7339" s="40"/>
      <c r="E7339" s="80"/>
    </row>
    <row r="7340" spans="2:5" x14ac:dyDescent="0.25">
      <c r="B7340" s="40"/>
      <c r="C7340" s="40"/>
      <c r="E7340" s="80"/>
    </row>
    <row r="7341" spans="2:5" x14ac:dyDescent="0.25">
      <c r="B7341" s="40"/>
      <c r="C7341" s="40"/>
      <c r="E7341" s="80"/>
    </row>
    <row r="7342" spans="2:5" x14ac:dyDescent="0.25">
      <c r="B7342" s="40"/>
      <c r="C7342" s="40"/>
      <c r="E7342" s="80"/>
    </row>
    <row r="7343" spans="2:5" x14ac:dyDescent="0.25">
      <c r="B7343" s="40"/>
      <c r="C7343" s="40"/>
      <c r="E7343" s="80"/>
    </row>
    <row r="7344" spans="2:5" x14ac:dyDescent="0.25">
      <c r="B7344" s="40"/>
      <c r="C7344" s="40"/>
      <c r="E7344" s="80"/>
    </row>
    <row r="7345" spans="2:5" x14ac:dyDescent="0.25">
      <c r="B7345" s="40"/>
      <c r="C7345" s="40"/>
      <c r="E7345" s="80"/>
    </row>
    <row r="7346" spans="2:5" x14ac:dyDescent="0.25">
      <c r="B7346" s="40"/>
      <c r="C7346" s="40"/>
      <c r="E7346" s="80"/>
    </row>
    <row r="7347" spans="2:5" x14ac:dyDescent="0.25">
      <c r="B7347" s="40"/>
      <c r="C7347" s="40"/>
      <c r="E7347" s="80"/>
    </row>
    <row r="7348" spans="2:5" x14ac:dyDescent="0.25">
      <c r="B7348" s="40"/>
      <c r="C7348" s="40"/>
      <c r="E7348" s="80"/>
    </row>
    <row r="7349" spans="2:5" x14ac:dyDescent="0.25">
      <c r="B7349" s="40"/>
      <c r="C7349" s="40"/>
      <c r="E7349" s="80"/>
    </row>
    <row r="7350" spans="2:5" x14ac:dyDescent="0.25">
      <c r="B7350" s="40"/>
      <c r="C7350" s="40"/>
      <c r="E7350" s="80"/>
    </row>
    <row r="7351" spans="2:5" x14ac:dyDescent="0.25">
      <c r="B7351" s="40"/>
      <c r="C7351" s="40"/>
      <c r="E7351" s="80"/>
    </row>
    <row r="7352" spans="2:5" x14ac:dyDescent="0.25">
      <c r="B7352" s="40"/>
      <c r="C7352" s="40"/>
      <c r="E7352" s="80"/>
    </row>
    <row r="7353" spans="2:5" x14ac:dyDescent="0.25">
      <c r="B7353" s="40"/>
      <c r="C7353" s="40"/>
      <c r="E7353" s="80"/>
    </row>
    <row r="7354" spans="2:5" x14ac:dyDescent="0.25">
      <c r="B7354" s="40"/>
      <c r="C7354" s="40"/>
      <c r="E7354" s="80"/>
    </row>
    <row r="7355" spans="2:5" x14ac:dyDescent="0.25">
      <c r="B7355" s="40"/>
      <c r="C7355" s="40"/>
      <c r="E7355" s="80"/>
    </row>
    <row r="7356" spans="2:5" x14ac:dyDescent="0.25">
      <c r="B7356" s="40"/>
      <c r="C7356" s="40"/>
      <c r="E7356" s="80"/>
    </row>
    <row r="7357" spans="2:5" x14ac:dyDescent="0.25">
      <c r="B7357" s="40"/>
      <c r="C7357" s="40"/>
      <c r="E7357" s="80"/>
    </row>
    <row r="7358" spans="2:5" x14ac:dyDescent="0.25">
      <c r="B7358" s="40"/>
      <c r="C7358" s="40"/>
      <c r="E7358" s="80"/>
    </row>
    <row r="7359" spans="2:5" x14ac:dyDescent="0.25">
      <c r="B7359" s="40"/>
      <c r="C7359" s="40"/>
      <c r="E7359" s="80"/>
    </row>
    <row r="7360" spans="2:5" x14ac:dyDescent="0.25">
      <c r="B7360" s="40"/>
      <c r="C7360" s="40"/>
      <c r="E7360" s="80"/>
    </row>
    <row r="7361" spans="2:5" x14ac:dyDescent="0.25">
      <c r="B7361" s="40"/>
      <c r="C7361" s="40"/>
      <c r="E7361" s="80"/>
    </row>
    <row r="7362" spans="2:5" x14ac:dyDescent="0.25">
      <c r="B7362" s="40"/>
      <c r="C7362" s="40"/>
      <c r="E7362" s="80"/>
    </row>
    <row r="7363" spans="2:5" x14ac:dyDescent="0.25">
      <c r="B7363" s="40"/>
      <c r="C7363" s="40"/>
      <c r="E7363" s="80"/>
    </row>
    <row r="7364" spans="2:5" x14ac:dyDescent="0.25">
      <c r="B7364" s="40"/>
      <c r="C7364" s="40"/>
      <c r="E7364" s="80"/>
    </row>
    <row r="7365" spans="2:5" x14ac:dyDescent="0.25">
      <c r="B7365" s="40"/>
      <c r="C7365" s="40"/>
      <c r="E7365" s="80"/>
    </row>
    <row r="7366" spans="2:5" x14ac:dyDescent="0.25">
      <c r="B7366" s="40"/>
      <c r="C7366" s="40"/>
      <c r="E7366" s="80"/>
    </row>
    <row r="7367" spans="2:5" x14ac:dyDescent="0.25">
      <c r="B7367" s="40"/>
      <c r="C7367" s="40"/>
      <c r="E7367" s="80"/>
    </row>
    <row r="7368" spans="2:5" x14ac:dyDescent="0.25">
      <c r="B7368" s="40"/>
      <c r="C7368" s="40"/>
      <c r="E7368" s="80"/>
    </row>
    <row r="7369" spans="2:5" x14ac:dyDescent="0.25">
      <c r="B7369" s="40"/>
      <c r="C7369" s="40"/>
      <c r="E7369" s="80"/>
    </row>
    <row r="7370" spans="2:5" x14ac:dyDescent="0.25">
      <c r="B7370" s="40"/>
      <c r="C7370" s="40"/>
      <c r="E7370" s="80"/>
    </row>
    <row r="7371" spans="2:5" x14ac:dyDescent="0.25">
      <c r="B7371" s="40"/>
      <c r="C7371" s="40"/>
      <c r="E7371" s="80"/>
    </row>
    <row r="7372" spans="2:5" x14ac:dyDescent="0.25">
      <c r="B7372" s="40"/>
      <c r="C7372" s="40"/>
      <c r="E7372" s="80"/>
    </row>
    <row r="7373" spans="2:5" x14ac:dyDescent="0.25">
      <c r="B7373" s="40"/>
      <c r="C7373" s="40"/>
      <c r="E7373" s="80"/>
    </row>
    <row r="7374" spans="2:5" x14ac:dyDescent="0.25">
      <c r="B7374" s="40"/>
      <c r="C7374" s="40"/>
      <c r="E7374" s="80"/>
    </row>
    <row r="7375" spans="2:5" x14ac:dyDescent="0.25">
      <c r="B7375" s="40"/>
      <c r="C7375" s="40"/>
      <c r="E7375" s="80"/>
    </row>
    <row r="7376" spans="2:5" x14ac:dyDescent="0.25">
      <c r="B7376" s="40"/>
      <c r="C7376" s="40"/>
      <c r="E7376" s="80"/>
    </row>
    <row r="7377" spans="2:5" x14ac:dyDescent="0.25">
      <c r="B7377" s="40"/>
      <c r="C7377" s="40"/>
      <c r="E7377" s="80"/>
    </row>
    <row r="7378" spans="2:5" x14ac:dyDescent="0.25">
      <c r="B7378" s="40"/>
      <c r="C7378" s="40"/>
      <c r="E7378" s="80"/>
    </row>
    <row r="7379" spans="2:5" x14ac:dyDescent="0.25">
      <c r="B7379" s="40"/>
      <c r="C7379" s="40"/>
      <c r="E7379" s="80"/>
    </row>
    <row r="7380" spans="2:5" x14ac:dyDescent="0.25">
      <c r="B7380" s="40"/>
      <c r="C7380" s="40"/>
      <c r="E7380" s="80"/>
    </row>
    <row r="7381" spans="2:5" x14ac:dyDescent="0.25">
      <c r="B7381" s="40"/>
      <c r="C7381" s="40"/>
      <c r="E7381" s="80"/>
    </row>
    <row r="7382" spans="2:5" x14ac:dyDescent="0.25">
      <c r="B7382" s="40"/>
      <c r="C7382" s="40"/>
      <c r="E7382" s="80"/>
    </row>
    <row r="7383" spans="2:5" x14ac:dyDescent="0.25">
      <c r="B7383" s="40"/>
      <c r="C7383" s="40"/>
      <c r="E7383" s="80"/>
    </row>
    <row r="7384" spans="2:5" x14ac:dyDescent="0.25">
      <c r="B7384" s="40"/>
      <c r="C7384" s="40"/>
      <c r="E7384" s="80"/>
    </row>
    <row r="7385" spans="2:5" x14ac:dyDescent="0.25">
      <c r="B7385" s="40"/>
      <c r="C7385" s="40"/>
      <c r="E7385" s="80"/>
    </row>
    <row r="7386" spans="2:5" x14ac:dyDescent="0.25">
      <c r="B7386" s="40"/>
      <c r="C7386" s="40"/>
      <c r="E7386" s="80"/>
    </row>
    <row r="7387" spans="2:5" x14ac:dyDescent="0.25">
      <c r="B7387" s="40"/>
      <c r="C7387" s="40"/>
      <c r="E7387" s="80"/>
    </row>
    <row r="7388" spans="2:5" x14ac:dyDescent="0.25">
      <c r="B7388" s="40"/>
      <c r="C7388" s="40"/>
      <c r="E7388" s="80"/>
    </row>
    <row r="7389" spans="2:5" x14ac:dyDescent="0.25">
      <c r="B7389" s="40"/>
      <c r="C7389" s="40"/>
      <c r="E7389" s="80"/>
    </row>
    <row r="7390" spans="2:5" x14ac:dyDescent="0.25">
      <c r="B7390" s="40"/>
      <c r="C7390" s="40"/>
      <c r="E7390" s="80"/>
    </row>
    <row r="7391" spans="2:5" x14ac:dyDescent="0.25">
      <c r="B7391" s="40"/>
      <c r="C7391" s="40"/>
      <c r="E7391" s="80"/>
    </row>
    <row r="7392" spans="2:5" x14ac:dyDescent="0.25">
      <c r="B7392" s="40"/>
      <c r="C7392" s="40"/>
      <c r="E7392" s="80"/>
    </row>
    <row r="7393" spans="2:5" x14ac:dyDescent="0.25">
      <c r="B7393" s="40"/>
      <c r="C7393" s="40"/>
      <c r="E7393" s="80"/>
    </row>
    <row r="7394" spans="2:5" x14ac:dyDescent="0.25">
      <c r="B7394" s="40"/>
      <c r="C7394" s="40"/>
      <c r="E7394" s="41"/>
    </row>
    <row r="7395" spans="2:5" x14ac:dyDescent="0.25">
      <c r="B7395" s="40"/>
      <c r="C7395" s="40"/>
      <c r="E7395" s="80"/>
    </row>
    <row r="7396" spans="2:5" x14ac:dyDescent="0.25">
      <c r="B7396" s="40"/>
      <c r="C7396" s="40"/>
      <c r="E7396" s="80"/>
    </row>
    <row r="7397" spans="2:5" x14ac:dyDescent="0.25">
      <c r="B7397" s="40"/>
      <c r="C7397" s="40"/>
      <c r="E7397" s="80"/>
    </row>
    <row r="7398" spans="2:5" x14ac:dyDescent="0.25">
      <c r="B7398" s="40"/>
      <c r="C7398" s="40"/>
      <c r="E7398" s="80"/>
    </row>
    <row r="7399" spans="2:5" x14ac:dyDescent="0.25">
      <c r="B7399" s="40"/>
      <c r="C7399" s="40"/>
      <c r="E7399" s="80"/>
    </row>
    <row r="7400" spans="2:5" x14ac:dyDescent="0.25">
      <c r="B7400" s="40"/>
      <c r="C7400" s="40"/>
      <c r="E7400" s="80"/>
    </row>
    <row r="7401" spans="2:5" x14ac:dyDescent="0.25">
      <c r="B7401" s="40"/>
      <c r="C7401" s="40"/>
      <c r="E7401" s="80"/>
    </row>
    <row r="7402" spans="2:5" x14ac:dyDescent="0.25">
      <c r="B7402" s="40"/>
      <c r="C7402" s="40"/>
      <c r="E7402" s="80"/>
    </row>
    <row r="7403" spans="2:5" x14ac:dyDescent="0.25">
      <c r="B7403" s="40"/>
      <c r="C7403" s="40"/>
      <c r="E7403" s="80"/>
    </row>
    <row r="7404" spans="2:5" x14ac:dyDescent="0.25">
      <c r="B7404" s="40"/>
      <c r="C7404" s="40"/>
      <c r="E7404" s="80"/>
    </row>
    <row r="7405" spans="2:5" x14ac:dyDescent="0.25">
      <c r="B7405" s="40"/>
      <c r="C7405" s="40"/>
      <c r="E7405" s="80"/>
    </row>
    <row r="7406" spans="2:5" x14ac:dyDescent="0.25">
      <c r="B7406" s="40"/>
      <c r="C7406" s="40"/>
      <c r="E7406" s="80"/>
    </row>
    <row r="7407" spans="2:5" x14ac:dyDescent="0.25">
      <c r="B7407" s="40"/>
      <c r="C7407" s="40"/>
      <c r="E7407" s="80"/>
    </row>
    <row r="7408" spans="2:5" x14ac:dyDescent="0.25">
      <c r="B7408" s="40"/>
      <c r="C7408" s="40"/>
      <c r="E7408" s="80"/>
    </row>
    <row r="7409" spans="2:5" x14ac:dyDescent="0.25">
      <c r="B7409" s="40"/>
      <c r="C7409" s="40"/>
      <c r="E7409" s="80"/>
    </row>
    <row r="7410" spans="2:5" x14ac:dyDescent="0.25">
      <c r="B7410" s="40"/>
      <c r="C7410" s="40"/>
      <c r="E7410" s="80"/>
    </row>
    <row r="7411" spans="2:5" x14ac:dyDescent="0.25">
      <c r="B7411" s="40"/>
      <c r="C7411" s="40"/>
      <c r="E7411" s="80"/>
    </row>
    <row r="7412" spans="2:5" x14ac:dyDescent="0.25">
      <c r="B7412" s="40"/>
      <c r="C7412" s="40"/>
      <c r="E7412" s="80"/>
    </row>
    <row r="7413" spans="2:5" x14ac:dyDescent="0.25">
      <c r="B7413" s="40"/>
      <c r="C7413" s="40"/>
      <c r="E7413" s="80"/>
    </row>
    <row r="7414" spans="2:5" x14ac:dyDescent="0.25">
      <c r="B7414" s="40"/>
      <c r="C7414" s="40"/>
      <c r="E7414" s="80"/>
    </row>
    <row r="7415" spans="2:5" x14ac:dyDescent="0.25">
      <c r="B7415" s="40"/>
      <c r="C7415" s="40"/>
      <c r="E7415" s="80"/>
    </row>
    <row r="7416" spans="2:5" x14ac:dyDescent="0.25">
      <c r="B7416" s="40"/>
      <c r="C7416" s="40"/>
      <c r="E7416" s="80"/>
    </row>
    <row r="7417" spans="2:5" x14ac:dyDescent="0.25">
      <c r="B7417" s="40"/>
      <c r="C7417" s="40"/>
      <c r="E7417" s="80"/>
    </row>
    <row r="7418" spans="2:5" x14ac:dyDescent="0.25">
      <c r="B7418" s="40"/>
      <c r="C7418" s="40"/>
      <c r="E7418" s="80"/>
    </row>
    <row r="7419" spans="2:5" x14ac:dyDescent="0.25">
      <c r="B7419" s="40"/>
      <c r="C7419" s="40"/>
      <c r="E7419" s="80"/>
    </row>
    <row r="7420" spans="2:5" x14ac:dyDescent="0.25">
      <c r="B7420" s="40"/>
      <c r="C7420" s="40"/>
      <c r="E7420" s="80"/>
    </row>
    <row r="7421" spans="2:5" x14ac:dyDescent="0.25">
      <c r="B7421" s="40"/>
      <c r="C7421" s="40"/>
      <c r="E7421" s="80"/>
    </row>
    <row r="7422" spans="2:5" x14ac:dyDescent="0.25">
      <c r="B7422" s="40"/>
      <c r="C7422" s="40"/>
      <c r="E7422" s="80"/>
    </row>
    <row r="7423" spans="2:5" x14ac:dyDescent="0.25">
      <c r="B7423" s="40"/>
      <c r="C7423" s="40"/>
      <c r="E7423" s="80"/>
    </row>
    <row r="7424" spans="2:5" x14ac:dyDescent="0.25">
      <c r="B7424" s="40"/>
      <c r="C7424" s="40"/>
      <c r="E7424" s="80"/>
    </row>
    <row r="7425" spans="2:5" x14ac:dyDescent="0.25">
      <c r="B7425" s="40"/>
      <c r="C7425" s="40"/>
      <c r="E7425" s="80"/>
    </row>
    <row r="7426" spans="2:5" x14ac:dyDescent="0.25">
      <c r="B7426" s="40"/>
      <c r="C7426" s="40"/>
      <c r="E7426" s="80"/>
    </row>
    <row r="7427" spans="2:5" x14ac:dyDescent="0.25">
      <c r="B7427" s="40"/>
      <c r="C7427" s="40"/>
      <c r="E7427" s="80"/>
    </row>
    <row r="7428" spans="2:5" x14ac:dyDescent="0.25">
      <c r="B7428" s="40"/>
      <c r="C7428" s="40"/>
      <c r="E7428" s="80"/>
    </row>
    <row r="7429" spans="2:5" x14ac:dyDescent="0.25">
      <c r="B7429" s="40"/>
      <c r="C7429" s="40"/>
      <c r="E7429" s="80"/>
    </row>
    <row r="7430" spans="2:5" x14ac:dyDescent="0.25">
      <c r="B7430" s="40"/>
      <c r="C7430" s="40"/>
      <c r="E7430" s="80"/>
    </row>
    <row r="7431" spans="2:5" x14ac:dyDescent="0.25">
      <c r="B7431" s="40"/>
      <c r="C7431" s="40"/>
      <c r="E7431" s="80"/>
    </row>
    <row r="7432" spans="2:5" x14ac:dyDescent="0.25">
      <c r="B7432" s="40"/>
      <c r="C7432" s="40"/>
      <c r="E7432" s="80"/>
    </row>
    <row r="7433" spans="2:5" x14ac:dyDescent="0.25">
      <c r="B7433" s="40"/>
      <c r="C7433" s="40"/>
      <c r="E7433" s="80"/>
    </row>
    <row r="7434" spans="2:5" x14ac:dyDescent="0.25">
      <c r="B7434" s="40"/>
      <c r="C7434" s="40"/>
      <c r="E7434" s="80"/>
    </row>
    <row r="7435" spans="2:5" x14ac:dyDescent="0.25">
      <c r="B7435" s="40"/>
      <c r="C7435" s="40"/>
      <c r="E7435" s="80"/>
    </row>
    <row r="7436" spans="2:5" x14ac:dyDescent="0.25">
      <c r="B7436" s="40"/>
      <c r="C7436" s="40"/>
      <c r="E7436" s="80"/>
    </row>
    <row r="7437" spans="2:5" x14ac:dyDescent="0.25">
      <c r="B7437" s="40"/>
      <c r="C7437" s="40"/>
      <c r="E7437" s="80"/>
    </row>
    <row r="7438" spans="2:5" x14ac:dyDescent="0.25">
      <c r="B7438" s="40"/>
      <c r="C7438" s="40"/>
      <c r="E7438" s="80"/>
    </row>
    <row r="7439" spans="2:5" x14ac:dyDescent="0.25">
      <c r="B7439" s="40"/>
      <c r="C7439" s="40"/>
      <c r="E7439" s="80"/>
    </row>
    <row r="7440" spans="2:5" x14ac:dyDescent="0.25">
      <c r="B7440" s="40"/>
      <c r="C7440" s="40"/>
      <c r="E7440" s="80"/>
    </row>
    <row r="7441" spans="2:5" x14ac:dyDescent="0.25">
      <c r="B7441" s="40"/>
      <c r="C7441" s="40"/>
      <c r="E7441" s="80"/>
    </row>
    <row r="7442" spans="2:5" x14ac:dyDescent="0.25">
      <c r="B7442" s="40"/>
      <c r="C7442" s="40"/>
      <c r="E7442" s="80"/>
    </row>
    <row r="7443" spans="2:5" x14ac:dyDescent="0.25">
      <c r="B7443" s="40"/>
      <c r="C7443" s="40"/>
      <c r="E7443" s="80"/>
    </row>
    <row r="7444" spans="2:5" x14ac:dyDescent="0.25">
      <c r="B7444" s="40"/>
      <c r="C7444" s="40"/>
      <c r="E7444" s="80"/>
    </row>
    <row r="7445" spans="2:5" x14ac:dyDescent="0.25">
      <c r="B7445" s="40"/>
      <c r="C7445" s="40"/>
      <c r="E7445" s="80"/>
    </row>
    <row r="7446" spans="2:5" x14ac:dyDescent="0.25">
      <c r="B7446" s="40"/>
      <c r="C7446" s="40"/>
      <c r="E7446" s="80"/>
    </row>
    <row r="7447" spans="2:5" x14ac:dyDescent="0.25">
      <c r="B7447" s="40"/>
      <c r="C7447" s="40"/>
      <c r="E7447" s="80"/>
    </row>
    <row r="7448" spans="2:5" x14ac:dyDescent="0.25">
      <c r="B7448" s="40"/>
      <c r="C7448" s="40"/>
      <c r="E7448" s="80"/>
    </row>
    <row r="7449" spans="2:5" x14ac:dyDescent="0.25">
      <c r="B7449" s="40"/>
      <c r="C7449" s="40"/>
      <c r="E7449" s="80"/>
    </row>
    <row r="7450" spans="2:5" x14ac:dyDescent="0.25">
      <c r="B7450" s="40"/>
      <c r="C7450" s="40"/>
      <c r="E7450" s="80"/>
    </row>
    <row r="7451" spans="2:5" x14ac:dyDescent="0.25">
      <c r="B7451" s="40"/>
      <c r="C7451" s="40"/>
      <c r="E7451" s="80"/>
    </row>
    <row r="7452" spans="2:5" x14ac:dyDescent="0.25">
      <c r="B7452" s="40"/>
      <c r="C7452" s="40"/>
      <c r="E7452" s="80"/>
    </row>
    <row r="7453" spans="2:5" x14ac:dyDescent="0.25">
      <c r="B7453" s="40"/>
      <c r="C7453" s="40"/>
      <c r="E7453" s="80"/>
    </row>
    <row r="7454" spans="2:5" x14ac:dyDescent="0.25">
      <c r="B7454" s="40"/>
      <c r="C7454" s="40"/>
      <c r="E7454" s="80"/>
    </row>
    <row r="7455" spans="2:5" x14ac:dyDescent="0.25">
      <c r="B7455" s="40"/>
      <c r="C7455" s="40"/>
      <c r="E7455" s="80"/>
    </row>
    <row r="7456" spans="2:5" x14ac:dyDescent="0.25">
      <c r="B7456" s="40"/>
      <c r="C7456" s="40"/>
      <c r="E7456" s="80"/>
    </row>
    <row r="7457" spans="2:5" x14ac:dyDescent="0.25">
      <c r="B7457" s="40"/>
      <c r="C7457" s="40"/>
      <c r="E7457" s="80"/>
    </row>
    <row r="7458" spans="2:5" x14ac:dyDescent="0.25">
      <c r="B7458" s="40"/>
      <c r="C7458" s="40"/>
      <c r="E7458" s="80"/>
    </row>
    <row r="7459" spans="2:5" x14ac:dyDescent="0.25">
      <c r="B7459" s="40"/>
      <c r="C7459" s="40"/>
      <c r="E7459" s="80"/>
    </row>
    <row r="7460" spans="2:5" x14ac:dyDescent="0.25">
      <c r="B7460" s="40"/>
      <c r="C7460" s="40"/>
      <c r="E7460" s="80"/>
    </row>
    <row r="7461" spans="2:5" x14ac:dyDescent="0.25">
      <c r="B7461" s="40"/>
      <c r="C7461" s="40"/>
      <c r="E7461" s="80"/>
    </row>
    <row r="7462" spans="2:5" x14ac:dyDescent="0.25">
      <c r="B7462" s="40"/>
      <c r="C7462" s="40"/>
      <c r="E7462" s="80"/>
    </row>
    <row r="7463" spans="2:5" x14ac:dyDescent="0.25">
      <c r="B7463" s="40"/>
      <c r="C7463" s="40"/>
      <c r="E7463" s="80"/>
    </row>
    <row r="7464" spans="2:5" x14ac:dyDescent="0.25">
      <c r="B7464" s="40"/>
      <c r="C7464" s="40"/>
      <c r="E7464" s="80"/>
    </row>
    <row r="7465" spans="2:5" x14ac:dyDescent="0.25">
      <c r="B7465" s="40"/>
      <c r="C7465" s="40"/>
      <c r="E7465" s="80"/>
    </row>
    <row r="7466" spans="2:5" x14ac:dyDescent="0.25">
      <c r="B7466" s="40"/>
      <c r="C7466" s="40"/>
      <c r="E7466" s="80"/>
    </row>
    <row r="7467" spans="2:5" x14ac:dyDescent="0.25">
      <c r="B7467" s="40"/>
      <c r="C7467" s="40"/>
      <c r="E7467" s="80"/>
    </row>
    <row r="7468" spans="2:5" x14ac:dyDescent="0.25">
      <c r="B7468" s="40"/>
      <c r="C7468" s="40"/>
      <c r="E7468" s="80"/>
    </row>
    <row r="7469" spans="2:5" x14ac:dyDescent="0.25">
      <c r="B7469" s="40"/>
      <c r="C7469" s="40"/>
      <c r="E7469" s="80"/>
    </row>
    <row r="7470" spans="2:5" x14ac:dyDescent="0.25">
      <c r="B7470" s="40"/>
      <c r="C7470" s="40"/>
      <c r="E7470" s="80"/>
    </row>
    <row r="7471" spans="2:5" x14ac:dyDescent="0.25">
      <c r="B7471" s="40"/>
      <c r="C7471" s="40"/>
      <c r="E7471" s="80"/>
    </row>
    <row r="7472" spans="2:5" x14ac:dyDescent="0.25">
      <c r="B7472" s="40"/>
      <c r="C7472" s="40"/>
      <c r="E7472" s="80"/>
    </row>
    <row r="7473" spans="2:5" x14ac:dyDescent="0.25">
      <c r="B7473" s="40"/>
      <c r="C7473" s="40"/>
      <c r="E7473" s="80"/>
    </row>
    <row r="7474" spans="2:5" x14ac:dyDescent="0.25">
      <c r="B7474" s="40"/>
      <c r="C7474" s="40"/>
      <c r="E7474" s="80"/>
    </row>
    <row r="7475" spans="2:5" x14ac:dyDescent="0.25">
      <c r="B7475" s="40"/>
      <c r="C7475" s="40"/>
      <c r="E7475" s="80"/>
    </row>
    <row r="7476" spans="2:5" x14ac:dyDescent="0.25">
      <c r="B7476" s="40"/>
      <c r="C7476" s="40"/>
      <c r="E7476" s="80"/>
    </row>
    <row r="7477" spans="2:5" x14ac:dyDescent="0.25">
      <c r="B7477" s="40"/>
      <c r="C7477" s="40"/>
      <c r="E7477" s="80"/>
    </row>
    <row r="7478" spans="2:5" x14ac:dyDescent="0.25">
      <c r="B7478" s="40"/>
      <c r="C7478" s="40"/>
      <c r="E7478" s="80"/>
    </row>
    <row r="7479" spans="2:5" x14ac:dyDescent="0.25">
      <c r="B7479" s="40"/>
      <c r="C7479" s="40"/>
      <c r="E7479" s="80"/>
    </row>
    <row r="7480" spans="2:5" x14ac:dyDescent="0.25">
      <c r="B7480" s="40"/>
      <c r="C7480" s="40"/>
      <c r="E7480" s="80"/>
    </row>
    <row r="7481" spans="2:5" x14ac:dyDescent="0.25">
      <c r="B7481" s="40"/>
      <c r="C7481" s="40"/>
      <c r="E7481" s="80"/>
    </row>
    <row r="7482" spans="2:5" x14ac:dyDescent="0.25">
      <c r="B7482" s="40"/>
      <c r="C7482" s="40"/>
      <c r="E7482" s="80"/>
    </row>
    <row r="7483" spans="2:5" x14ac:dyDescent="0.25">
      <c r="B7483" s="40"/>
      <c r="C7483" s="40"/>
      <c r="E7483" s="80"/>
    </row>
    <row r="7484" spans="2:5" x14ac:dyDescent="0.25">
      <c r="B7484" s="40"/>
      <c r="C7484" s="40"/>
      <c r="E7484" s="80"/>
    </row>
    <row r="7485" spans="2:5" x14ac:dyDescent="0.25">
      <c r="B7485" s="40"/>
      <c r="C7485" s="40"/>
      <c r="E7485" s="80"/>
    </row>
    <row r="7486" spans="2:5" x14ac:dyDescent="0.25">
      <c r="B7486" s="40"/>
      <c r="C7486" s="40"/>
      <c r="E7486" s="80"/>
    </row>
    <row r="7487" spans="2:5" x14ac:dyDescent="0.25">
      <c r="B7487" s="40"/>
      <c r="C7487" s="40"/>
      <c r="E7487" s="80"/>
    </row>
    <row r="7488" spans="2:5" x14ac:dyDescent="0.25">
      <c r="B7488" s="40"/>
      <c r="C7488" s="40"/>
      <c r="E7488" s="80"/>
    </row>
    <row r="7489" spans="2:5" x14ac:dyDescent="0.25">
      <c r="B7489" s="40"/>
      <c r="C7489" s="40"/>
      <c r="E7489" s="80"/>
    </row>
    <row r="7490" spans="2:5" x14ac:dyDescent="0.25">
      <c r="B7490" s="40"/>
      <c r="C7490" s="40"/>
      <c r="E7490" s="80"/>
    </row>
    <row r="7491" spans="2:5" x14ac:dyDescent="0.25">
      <c r="B7491" s="40"/>
      <c r="C7491" s="40"/>
      <c r="E7491" s="80"/>
    </row>
    <row r="7492" spans="2:5" x14ac:dyDescent="0.25">
      <c r="B7492" s="40"/>
      <c r="C7492" s="40"/>
      <c r="E7492" s="80"/>
    </row>
    <row r="7493" spans="2:5" x14ac:dyDescent="0.25">
      <c r="B7493" s="40"/>
      <c r="C7493" s="40"/>
      <c r="E7493" s="80"/>
    </row>
    <row r="7494" spans="2:5" x14ac:dyDescent="0.25">
      <c r="B7494" s="40"/>
      <c r="C7494" s="40"/>
      <c r="E7494" s="80"/>
    </row>
    <row r="7495" spans="2:5" x14ac:dyDescent="0.25">
      <c r="B7495" s="40"/>
      <c r="C7495" s="40"/>
      <c r="E7495" s="80"/>
    </row>
    <row r="7496" spans="2:5" x14ac:dyDescent="0.25">
      <c r="B7496" s="40"/>
      <c r="C7496" s="40"/>
      <c r="E7496" s="80"/>
    </row>
    <row r="7497" spans="2:5" x14ac:dyDescent="0.25">
      <c r="B7497" s="40"/>
      <c r="C7497" s="40"/>
      <c r="E7497" s="80"/>
    </row>
    <row r="7498" spans="2:5" x14ac:dyDescent="0.25">
      <c r="B7498" s="40"/>
      <c r="C7498" s="40"/>
      <c r="E7498" s="80"/>
    </row>
    <row r="7499" spans="2:5" x14ac:dyDescent="0.25">
      <c r="B7499" s="40"/>
      <c r="C7499" s="40"/>
      <c r="E7499" s="80"/>
    </row>
    <row r="7500" spans="2:5" x14ac:dyDescent="0.25">
      <c r="B7500" s="40"/>
      <c r="C7500" s="40"/>
      <c r="E7500" s="80"/>
    </row>
    <row r="7501" spans="2:5" x14ac:dyDescent="0.25">
      <c r="B7501" s="40"/>
      <c r="C7501" s="40"/>
      <c r="E7501" s="80"/>
    </row>
    <row r="7502" spans="2:5" x14ac:dyDescent="0.25">
      <c r="B7502" s="40"/>
      <c r="C7502" s="40"/>
      <c r="E7502" s="80"/>
    </row>
    <row r="7503" spans="2:5" x14ac:dyDescent="0.25">
      <c r="B7503" s="40"/>
      <c r="C7503" s="40"/>
      <c r="E7503" s="80"/>
    </row>
    <row r="7504" spans="2:5" x14ac:dyDescent="0.25">
      <c r="B7504" s="40"/>
      <c r="C7504" s="40"/>
      <c r="E7504" s="80"/>
    </row>
    <row r="7505" spans="2:5" x14ac:dyDescent="0.25">
      <c r="B7505" s="40"/>
      <c r="C7505" s="40"/>
      <c r="E7505" s="80"/>
    </row>
    <row r="7506" spans="2:5" x14ac:dyDescent="0.25">
      <c r="B7506" s="40"/>
      <c r="C7506" s="40"/>
      <c r="E7506" s="80"/>
    </row>
    <row r="7507" spans="2:5" x14ac:dyDescent="0.25">
      <c r="B7507" s="40"/>
      <c r="C7507" s="40"/>
      <c r="E7507" s="80"/>
    </row>
    <row r="7508" spans="2:5" x14ac:dyDescent="0.25">
      <c r="B7508" s="40"/>
      <c r="C7508" s="40"/>
      <c r="E7508" s="80"/>
    </row>
    <row r="7509" spans="2:5" x14ac:dyDescent="0.25">
      <c r="B7509" s="40"/>
      <c r="C7509" s="40"/>
      <c r="E7509" s="80"/>
    </row>
    <row r="7510" spans="2:5" x14ac:dyDescent="0.25">
      <c r="B7510" s="40"/>
      <c r="C7510" s="40"/>
      <c r="E7510" s="80"/>
    </row>
    <row r="7511" spans="2:5" x14ac:dyDescent="0.25">
      <c r="B7511" s="40"/>
      <c r="C7511" s="40"/>
      <c r="E7511" s="80"/>
    </row>
    <row r="7512" spans="2:5" x14ac:dyDescent="0.25">
      <c r="B7512" s="40"/>
      <c r="C7512" s="40"/>
      <c r="E7512" s="80"/>
    </row>
    <row r="7513" spans="2:5" x14ac:dyDescent="0.25">
      <c r="B7513" s="40"/>
      <c r="C7513" s="40"/>
      <c r="E7513" s="80"/>
    </row>
    <row r="7514" spans="2:5" x14ac:dyDescent="0.25">
      <c r="B7514" s="40"/>
      <c r="C7514" s="40"/>
      <c r="E7514" s="80"/>
    </row>
    <row r="7515" spans="2:5" x14ac:dyDescent="0.25">
      <c r="B7515" s="40"/>
      <c r="C7515" s="40"/>
      <c r="E7515" s="80"/>
    </row>
    <row r="7516" spans="2:5" x14ac:dyDescent="0.25">
      <c r="B7516" s="40"/>
      <c r="C7516" s="40"/>
      <c r="E7516" s="80"/>
    </row>
    <row r="7517" spans="2:5" x14ac:dyDescent="0.25">
      <c r="B7517" s="40"/>
      <c r="C7517" s="40"/>
      <c r="E7517" s="80"/>
    </row>
    <row r="7518" spans="2:5" x14ac:dyDescent="0.25">
      <c r="B7518" s="40"/>
      <c r="C7518" s="40"/>
      <c r="E7518" s="80"/>
    </row>
    <row r="7519" spans="2:5" x14ac:dyDescent="0.25">
      <c r="B7519" s="40"/>
      <c r="C7519" s="40"/>
      <c r="E7519" s="80"/>
    </row>
    <row r="7520" spans="2:5" x14ac:dyDescent="0.25">
      <c r="B7520" s="40"/>
      <c r="C7520" s="40"/>
      <c r="E7520" s="80"/>
    </row>
    <row r="7521" spans="2:5" x14ac:dyDescent="0.25">
      <c r="B7521" s="40"/>
      <c r="C7521" s="40"/>
      <c r="E7521" s="80"/>
    </row>
    <row r="7522" spans="2:5" x14ac:dyDescent="0.25">
      <c r="B7522" s="40"/>
      <c r="C7522" s="40"/>
      <c r="E7522" s="80"/>
    </row>
    <row r="7523" spans="2:5" x14ac:dyDescent="0.25">
      <c r="B7523" s="40"/>
      <c r="C7523" s="40"/>
      <c r="E7523" s="80"/>
    </row>
    <row r="7524" spans="2:5" x14ac:dyDescent="0.25">
      <c r="B7524" s="40"/>
      <c r="C7524" s="40"/>
      <c r="E7524" s="80"/>
    </row>
    <row r="7525" spans="2:5" x14ac:dyDescent="0.25">
      <c r="B7525" s="40"/>
      <c r="C7525" s="40"/>
      <c r="E7525" s="80"/>
    </row>
    <row r="7526" spans="2:5" x14ac:dyDescent="0.25">
      <c r="B7526" s="40"/>
      <c r="C7526" s="40"/>
      <c r="E7526" s="80"/>
    </row>
    <row r="7527" spans="2:5" x14ac:dyDescent="0.25">
      <c r="B7527" s="40"/>
      <c r="C7527" s="40"/>
      <c r="E7527" s="80"/>
    </row>
    <row r="7528" spans="2:5" x14ac:dyDescent="0.25">
      <c r="B7528" s="40"/>
      <c r="C7528" s="40"/>
      <c r="E7528" s="80"/>
    </row>
    <row r="7529" spans="2:5" x14ac:dyDescent="0.25">
      <c r="B7529" s="40"/>
      <c r="C7529" s="40"/>
      <c r="E7529" s="80"/>
    </row>
    <row r="7530" spans="2:5" x14ac:dyDescent="0.25">
      <c r="B7530" s="40"/>
      <c r="C7530" s="40"/>
      <c r="E7530" s="80"/>
    </row>
    <row r="7531" spans="2:5" x14ac:dyDescent="0.25">
      <c r="B7531" s="40"/>
      <c r="C7531" s="40"/>
      <c r="E7531" s="80"/>
    </row>
    <row r="7532" spans="2:5" x14ac:dyDescent="0.25">
      <c r="B7532" s="40"/>
      <c r="C7532" s="40"/>
      <c r="E7532" s="80"/>
    </row>
    <row r="7533" spans="2:5" x14ac:dyDescent="0.25">
      <c r="B7533" s="40"/>
      <c r="C7533" s="40"/>
      <c r="E7533" s="80"/>
    </row>
    <row r="7534" spans="2:5" x14ac:dyDescent="0.25">
      <c r="B7534" s="40"/>
      <c r="C7534" s="40"/>
      <c r="E7534" s="80"/>
    </row>
    <row r="7535" spans="2:5" x14ac:dyDescent="0.25">
      <c r="B7535" s="40"/>
      <c r="C7535" s="40"/>
      <c r="E7535" s="80"/>
    </row>
    <row r="7536" spans="2:5" x14ac:dyDescent="0.25">
      <c r="B7536" s="40"/>
      <c r="C7536" s="40"/>
      <c r="E7536" s="80"/>
    </row>
    <row r="7537" spans="2:5" x14ac:dyDescent="0.25">
      <c r="B7537" s="40"/>
      <c r="C7537" s="40"/>
      <c r="E7537" s="80"/>
    </row>
    <row r="7538" spans="2:5" x14ac:dyDescent="0.25">
      <c r="B7538" s="40"/>
      <c r="C7538" s="40"/>
      <c r="E7538" s="80"/>
    </row>
    <row r="7539" spans="2:5" x14ac:dyDescent="0.25">
      <c r="B7539" s="40"/>
      <c r="C7539" s="40"/>
      <c r="E7539" s="80"/>
    </row>
    <row r="7540" spans="2:5" x14ac:dyDescent="0.25">
      <c r="B7540" s="40"/>
      <c r="C7540" s="40"/>
      <c r="E7540" s="80"/>
    </row>
    <row r="7541" spans="2:5" x14ac:dyDescent="0.25">
      <c r="B7541" s="40"/>
      <c r="C7541" s="40"/>
      <c r="E7541" s="80"/>
    </row>
    <row r="7542" spans="2:5" x14ac:dyDescent="0.25">
      <c r="B7542" s="40"/>
      <c r="C7542" s="40"/>
      <c r="E7542" s="80"/>
    </row>
    <row r="7543" spans="2:5" x14ac:dyDescent="0.25">
      <c r="B7543" s="40"/>
      <c r="C7543" s="40"/>
      <c r="E7543" s="80"/>
    </row>
    <row r="7544" spans="2:5" x14ac:dyDescent="0.25">
      <c r="B7544" s="40"/>
      <c r="C7544" s="40"/>
      <c r="E7544" s="80"/>
    </row>
    <row r="7545" spans="2:5" x14ac:dyDescent="0.25">
      <c r="B7545" s="40"/>
      <c r="C7545" s="40"/>
      <c r="E7545" s="80"/>
    </row>
    <row r="7546" spans="2:5" x14ac:dyDescent="0.25">
      <c r="B7546" s="40"/>
      <c r="C7546" s="40"/>
      <c r="E7546" s="80"/>
    </row>
    <row r="7547" spans="2:5" x14ac:dyDescent="0.25">
      <c r="B7547" s="40"/>
      <c r="C7547" s="40"/>
      <c r="E7547" s="80"/>
    </row>
    <row r="7548" spans="2:5" x14ac:dyDescent="0.25">
      <c r="B7548" s="40"/>
      <c r="C7548" s="40"/>
      <c r="E7548" s="80"/>
    </row>
    <row r="7549" spans="2:5" x14ac:dyDescent="0.25">
      <c r="B7549" s="40"/>
      <c r="C7549" s="40"/>
      <c r="E7549" s="80"/>
    </row>
    <row r="7550" spans="2:5" x14ac:dyDescent="0.25">
      <c r="B7550" s="40"/>
      <c r="C7550" s="40"/>
      <c r="E7550" s="80"/>
    </row>
    <row r="7551" spans="2:5" x14ac:dyDescent="0.25">
      <c r="B7551" s="40"/>
      <c r="C7551" s="40"/>
      <c r="E7551" s="80"/>
    </row>
    <row r="7552" spans="2:5" x14ac:dyDescent="0.25">
      <c r="B7552" s="40"/>
      <c r="C7552" s="40"/>
      <c r="E7552" s="80"/>
    </row>
    <row r="7553" spans="2:5" x14ac:dyDescent="0.25">
      <c r="B7553" s="40"/>
      <c r="C7553" s="40"/>
      <c r="E7553" s="80"/>
    </row>
    <row r="7554" spans="2:5" x14ac:dyDescent="0.25">
      <c r="B7554" s="40"/>
      <c r="C7554" s="40"/>
      <c r="E7554" s="80"/>
    </row>
    <row r="7555" spans="2:5" x14ac:dyDescent="0.25">
      <c r="B7555" s="40"/>
      <c r="C7555" s="40"/>
      <c r="E7555" s="80"/>
    </row>
    <row r="7556" spans="2:5" x14ac:dyDescent="0.25">
      <c r="B7556" s="40"/>
      <c r="C7556" s="40"/>
      <c r="E7556" s="80"/>
    </row>
    <row r="7557" spans="2:5" x14ac:dyDescent="0.25">
      <c r="B7557" s="40"/>
      <c r="C7557" s="40"/>
      <c r="E7557" s="80"/>
    </row>
    <row r="7558" spans="2:5" x14ac:dyDescent="0.25">
      <c r="B7558" s="40"/>
      <c r="C7558" s="40"/>
      <c r="E7558" s="80"/>
    </row>
    <row r="7559" spans="2:5" x14ac:dyDescent="0.25">
      <c r="B7559" s="40"/>
      <c r="C7559" s="40"/>
      <c r="E7559" s="80"/>
    </row>
    <row r="7560" spans="2:5" x14ac:dyDescent="0.25">
      <c r="B7560" s="40"/>
      <c r="C7560" s="40"/>
      <c r="E7560" s="80"/>
    </row>
    <row r="7561" spans="2:5" x14ac:dyDescent="0.25">
      <c r="B7561" s="40"/>
      <c r="C7561" s="40"/>
      <c r="E7561" s="80"/>
    </row>
    <row r="7562" spans="2:5" x14ac:dyDescent="0.25">
      <c r="B7562" s="40"/>
      <c r="C7562" s="40"/>
      <c r="E7562" s="80"/>
    </row>
    <row r="7563" spans="2:5" x14ac:dyDescent="0.25">
      <c r="B7563" s="40"/>
      <c r="C7563" s="40"/>
      <c r="E7563" s="80"/>
    </row>
    <row r="7564" spans="2:5" x14ac:dyDescent="0.25">
      <c r="B7564" s="40"/>
      <c r="C7564" s="40"/>
      <c r="E7564" s="80"/>
    </row>
    <row r="7565" spans="2:5" x14ac:dyDescent="0.25">
      <c r="B7565" s="40"/>
      <c r="C7565" s="40"/>
      <c r="E7565" s="80"/>
    </row>
    <row r="7566" spans="2:5" x14ac:dyDescent="0.25">
      <c r="B7566" s="40"/>
      <c r="C7566" s="40"/>
      <c r="E7566" s="80"/>
    </row>
    <row r="7567" spans="2:5" x14ac:dyDescent="0.25">
      <c r="B7567" s="40"/>
      <c r="C7567" s="40"/>
      <c r="E7567" s="80"/>
    </row>
    <row r="7568" spans="2:5" x14ac:dyDescent="0.25">
      <c r="B7568" s="40"/>
      <c r="C7568" s="40"/>
      <c r="E7568" s="80"/>
    </row>
    <row r="7569" spans="2:5" x14ac:dyDescent="0.25">
      <c r="B7569" s="40"/>
      <c r="C7569" s="40"/>
      <c r="E7569" s="80"/>
    </row>
    <row r="7570" spans="2:5" x14ac:dyDescent="0.25">
      <c r="B7570" s="40"/>
      <c r="C7570" s="40"/>
      <c r="E7570" s="80"/>
    </row>
    <row r="7571" spans="2:5" x14ac:dyDescent="0.25">
      <c r="B7571" s="40"/>
      <c r="C7571" s="40"/>
      <c r="E7571" s="80"/>
    </row>
    <row r="7572" spans="2:5" x14ac:dyDescent="0.25">
      <c r="B7572" s="40"/>
      <c r="C7572" s="40"/>
      <c r="E7572" s="80"/>
    </row>
    <row r="7573" spans="2:5" x14ac:dyDescent="0.25">
      <c r="B7573" s="40"/>
      <c r="C7573" s="40"/>
      <c r="E7573" s="80"/>
    </row>
    <row r="7574" spans="2:5" x14ac:dyDescent="0.25">
      <c r="B7574" s="40"/>
      <c r="C7574" s="40"/>
      <c r="E7574" s="80"/>
    </row>
    <row r="7575" spans="2:5" x14ac:dyDescent="0.25">
      <c r="B7575" s="40"/>
      <c r="C7575" s="40"/>
      <c r="E7575" s="80"/>
    </row>
    <row r="7576" spans="2:5" x14ac:dyDescent="0.25">
      <c r="B7576" s="40"/>
      <c r="C7576" s="40"/>
      <c r="E7576" s="80"/>
    </row>
    <row r="7577" spans="2:5" x14ac:dyDescent="0.25">
      <c r="B7577" s="40"/>
      <c r="C7577" s="40"/>
      <c r="E7577" s="80"/>
    </row>
    <row r="7578" spans="2:5" x14ac:dyDescent="0.25">
      <c r="B7578" s="40"/>
      <c r="C7578" s="40"/>
      <c r="E7578" s="80"/>
    </row>
    <row r="7579" spans="2:5" x14ac:dyDescent="0.25">
      <c r="B7579" s="40"/>
      <c r="C7579" s="40"/>
      <c r="E7579" s="80"/>
    </row>
    <row r="7580" spans="2:5" x14ac:dyDescent="0.25">
      <c r="B7580" s="40"/>
      <c r="C7580" s="40"/>
      <c r="E7580" s="80"/>
    </row>
    <row r="7581" spans="2:5" x14ac:dyDescent="0.25">
      <c r="B7581" s="40"/>
      <c r="C7581" s="40"/>
      <c r="E7581" s="80"/>
    </row>
    <row r="7582" spans="2:5" x14ac:dyDescent="0.25">
      <c r="B7582" s="40"/>
      <c r="C7582" s="40"/>
      <c r="E7582" s="80"/>
    </row>
    <row r="7583" spans="2:5" x14ac:dyDescent="0.25">
      <c r="B7583" s="40"/>
      <c r="C7583" s="40"/>
      <c r="E7583" s="80"/>
    </row>
    <row r="7584" spans="2:5" x14ac:dyDescent="0.25">
      <c r="B7584" s="40"/>
      <c r="C7584" s="40"/>
      <c r="E7584" s="80"/>
    </row>
    <row r="7585" spans="2:5" x14ac:dyDescent="0.25">
      <c r="B7585" s="40"/>
      <c r="C7585" s="40"/>
      <c r="E7585" s="80"/>
    </row>
    <row r="7586" spans="2:5" x14ac:dyDescent="0.25">
      <c r="B7586" s="40"/>
      <c r="C7586" s="40"/>
      <c r="E7586" s="80"/>
    </row>
    <row r="7587" spans="2:5" x14ac:dyDescent="0.25">
      <c r="B7587" s="40"/>
      <c r="C7587" s="40"/>
      <c r="E7587" s="80"/>
    </row>
    <row r="7588" spans="2:5" x14ac:dyDescent="0.25">
      <c r="B7588" s="40"/>
      <c r="C7588" s="40"/>
      <c r="E7588" s="80"/>
    </row>
    <row r="7589" spans="2:5" x14ac:dyDescent="0.25">
      <c r="B7589" s="40"/>
      <c r="C7589" s="40"/>
      <c r="E7589" s="80"/>
    </row>
    <row r="7590" spans="2:5" x14ac:dyDescent="0.25">
      <c r="B7590" s="40"/>
      <c r="C7590" s="40"/>
      <c r="E7590" s="80"/>
    </row>
    <row r="7591" spans="2:5" x14ac:dyDescent="0.25">
      <c r="B7591" s="40"/>
      <c r="C7591" s="40"/>
      <c r="E7591" s="80"/>
    </row>
    <row r="7592" spans="2:5" x14ac:dyDescent="0.25">
      <c r="B7592" s="40"/>
      <c r="C7592" s="40"/>
      <c r="E7592" s="80"/>
    </row>
    <row r="7593" spans="2:5" x14ac:dyDescent="0.25">
      <c r="B7593" s="40"/>
      <c r="C7593" s="40"/>
      <c r="E7593" s="80"/>
    </row>
    <row r="7594" spans="2:5" x14ac:dyDescent="0.25">
      <c r="B7594" s="40"/>
      <c r="C7594" s="40"/>
      <c r="E7594" s="80"/>
    </row>
    <row r="7595" spans="2:5" x14ac:dyDescent="0.25">
      <c r="B7595" s="40"/>
      <c r="C7595" s="40"/>
      <c r="E7595" s="80"/>
    </row>
    <row r="7596" spans="2:5" x14ac:dyDescent="0.25">
      <c r="B7596" s="40"/>
      <c r="C7596" s="40"/>
      <c r="E7596" s="80"/>
    </row>
    <row r="7597" spans="2:5" x14ac:dyDescent="0.25">
      <c r="B7597" s="40"/>
      <c r="C7597" s="40"/>
      <c r="E7597" s="80"/>
    </row>
    <row r="7598" spans="2:5" x14ac:dyDescent="0.25">
      <c r="B7598" s="40"/>
      <c r="C7598" s="40"/>
      <c r="E7598" s="80"/>
    </row>
    <row r="7599" spans="2:5" x14ac:dyDescent="0.25">
      <c r="B7599" s="40"/>
      <c r="C7599" s="40"/>
      <c r="E7599" s="80"/>
    </row>
    <row r="7600" spans="2:5" x14ac:dyDescent="0.25">
      <c r="B7600" s="40"/>
      <c r="C7600" s="40"/>
      <c r="E7600" s="80"/>
    </row>
    <row r="7601" spans="2:5" x14ac:dyDescent="0.25">
      <c r="B7601" s="40"/>
      <c r="C7601" s="40"/>
      <c r="E7601" s="80"/>
    </row>
    <row r="7602" spans="2:5" x14ac:dyDescent="0.25">
      <c r="B7602" s="40"/>
      <c r="C7602" s="40"/>
      <c r="E7602" s="80"/>
    </row>
    <row r="7603" spans="2:5" x14ac:dyDescent="0.25">
      <c r="B7603" s="40"/>
      <c r="C7603" s="40"/>
      <c r="E7603" s="80"/>
    </row>
    <row r="7604" spans="2:5" x14ac:dyDescent="0.25">
      <c r="B7604" s="40"/>
      <c r="C7604" s="40"/>
      <c r="E7604" s="80"/>
    </row>
    <row r="7605" spans="2:5" x14ac:dyDescent="0.25">
      <c r="B7605" s="40"/>
      <c r="C7605" s="40"/>
      <c r="E7605" s="80"/>
    </row>
    <row r="7606" spans="2:5" x14ac:dyDescent="0.25">
      <c r="B7606" s="40"/>
      <c r="C7606" s="40"/>
      <c r="E7606" s="80"/>
    </row>
    <row r="7607" spans="2:5" x14ac:dyDescent="0.25">
      <c r="B7607" s="40"/>
      <c r="C7607" s="40"/>
      <c r="E7607" s="80"/>
    </row>
    <row r="7608" spans="2:5" x14ac:dyDescent="0.25">
      <c r="B7608" s="40"/>
      <c r="C7608" s="40"/>
      <c r="E7608" s="80"/>
    </row>
    <row r="7609" spans="2:5" x14ac:dyDescent="0.25">
      <c r="B7609" s="40"/>
      <c r="C7609" s="40"/>
      <c r="E7609" s="80"/>
    </row>
    <row r="7610" spans="2:5" x14ac:dyDescent="0.25">
      <c r="B7610" s="40"/>
      <c r="C7610" s="40"/>
      <c r="E7610" s="80"/>
    </row>
    <row r="7611" spans="2:5" x14ac:dyDescent="0.25">
      <c r="B7611" s="40"/>
      <c r="C7611" s="40"/>
      <c r="E7611" s="80"/>
    </row>
    <row r="7612" spans="2:5" x14ac:dyDescent="0.25">
      <c r="B7612" s="40"/>
      <c r="C7612" s="40"/>
      <c r="E7612" s="80"/>
    </row>
    <row r="7613" spans="2:5" x14ac:dyDescent="0.25">
      <c r="B7613" s="40"/>
      <c r="C7613" s="40"/>
      <c r="E7613" s="80"/>
    </row>
    <row r="7614" spans="2:5" x14ac:dyDescent="0.25">
      <c r="B7614" s="40"/>
      <c r="C7614" s="40"/>
      <c r="E7614" s="80"/>
    </row>
    <row r="7615" spans="2:5" x14ac:dyDescent="0.25">
      <c r="B7615" s="40"/>
      <c r="C7615" s="40"/>
      <c r="E7615" s="80"/>
    </row>
    <row r="7616" spans="2:5" x14ac:dyDescent="0.25">
      <c r="B7616" s="40"/>
      <c r="C7616" s="40"/>
      <c r="E7616" s="80"/>
    </row>
    <row r="7617" spans="2:5" x14ac:dyDescent="0.25">
      <c r="B7617" s="40"/>
      <c r="C7617" s="40"/>
      <c r="E7617" s="80"/>
    </row>
    <row r="7618" spans="2:5" x14ac:dyDescent="0.25">
      <c r="B7618" s="40"/>
      <c r="C7618" s="40"/>
      <c r="E7618" s="80"/>
    </row>
    <row r="7619" spans="2:5" x14ac:dyDescent="0.25">
      <c r="B7619" s="40"/>
      <c r="C7619" s="40"/>
      <c r="E7619" s="80"/>
    </row>
    <row r="7620" spans="2:5" x14ac:dyDescent="0.25">
      <c r="B7620" s="40"/>
      <c r="C7620" s="40"/>
      <c r="E7620" s="80"/>
    </row>
    <row r="7621" spans="2:5" x14ac:dyDescent="0.25">
      <c r="B7621" s="40"/>
      <c r="C7621" s="40"/>
      <c r="E7621" s="80"/>
    </row>
    <row r="7622" spans="2:5" x14ac:dyDescent="0.25">
      <c r="B7622" s="40"/>
      <c r="C7622" s="40"/>
      <c r="E7622" s="80"/>
    </row>
    <row r="7623" spans="2:5" x14ac:dyDescent="0.25">
      <c r="B7623" s="40"/>
      <c r="C7623" s="40"/>
      <c r="E7623" s="80"/>
    </row>
    <row r="7624" spans="2:5" x14ac:dyDescent="0.25">
      <c r="B7624" s="40"/>
      <c r="C7624" s="40"/>
      <c r="E7624" s="80"/>
    </row>
    <row r="7625" spans="2:5" x14ac:dyDescent="0.25">
      <c r="B7625" s="40"/>
      <c r="C7625" s="40"/>
      <c r="E7625" s="80"/>
    </row>
    <row r="7626" spans="2:5" x14ac:dyDescent="0.25">
      <c r="B7626" s="40"/>
      <c r="C7626" s="40"/>
      <c r="E7626" s="80"/>
    </row>
    <row r="7627" spans="2:5" x14ac:dyDescent="0.25">
      <c r="B7627" s="40"/>
      <c r="C7627" s="40"/>
      <c r="E7627" s="80"/>
    </row>
    <row r="7628" spans="2:5" x14ac:dyDescent="0.25">
      <c r="B7628" s="40"/>
      <c r="C7628" s="40"/>
      <c r="E7628" s="80"/>
    </row>
    <row r="7629" spans="2:5" x14ac:dyDescent="0.25">
      <c r="B7629" s="40"/>
      <c r="C7629" s="40"/>
      <c r="E7629" s="80"/>
    </row>
    <row r="7630" spans="2:5" x14ac:dyDescent="0.25">
      <c r="B7630" s="40"/>
      <c r="C7630" s="40"/>
      <c r="E7630" s="80"/>
    </row>
    <row r="7631" spans="2:5" x14ac:dyDescent="0.25">
      <c r="B7631" s="40"/>
      <c r="C7631" s="40"/>
      <c r="E7631" s="80"/>
    </row>
    <row r="7632" spans="2:5" x14ac:dyDescent="0.25">
      <c r="B7632" s="40"/>
      <c r="C7632" s="40"/>
      <c r="E7632" s="80"/>
    </row>
    <row r="7633" spans="2:5" x14ac:dyDescent="0.25">
      <c r="B7633" s="40"/>
      <c r="C7633" s="40"/>
      <c r="E7633" s="80"/>
    </row>
    <row r="7634" spans="2:5" x14ac:dyDescent="0.25">
      <c r="B7634" s="40"/>
      <c r="C7634" s="40"/>
      <c r="E7634" s="80"/>
    </row>
    <row r="7635" spans="2:5" x14ac:dyDescent="0.25">
      <c r="B7635" s="40"/>
      <c r="C7635" s="40"/>
      <c r="E7635" s="80"/>
    </row>
    <row r="7636" spans="2:5" x14ac:dyDescent="0.25">
      <c r="B7636" s="40"/>
      <c r="C7636" s="40"/>
      <c r="E7636" s="80"/>
    </row>
    <row r="7637" spans="2:5" x14ac:dyDescent="0.25">
      <c r="B7637" s="40"/>
      <c r="C7637" s="40"/>
      <c r="E7637" s="80"/>
    </row>
    <row r="7638" spans="2:5" x14ac:dyDescent="0.25">
      <c r="B7638" s="40"/>
      <c r="C7638" s="40"/>
      <c r="E7638" s="80"/>
    </row>
    <row r="7639" spans="2:5" x14ac:dyDescent="0.25">
      <c r="B7639" s="40"/>
      <c r="C7639" s="40"/>
      <c r="E7639" s="80"/>
    </row>
    <row r="7640" spans="2:5" x14ac:dyDescent="0.25">
      <c r="B7640" s="40"/>
      <c r="C7640" s="40"/>
      <c r="E7640" s="80"/>
    </row>
    <row r="7641" spans="2:5" x14ac:dyDescent="0.25">
      <c r="B7641" s="40"/>
      <c r="C7641" s="40"/>
      <c r="E7641" s="80"/>
    </row>
    <row r="7642" spans="2:5" x14ac:dyDescent="0.25">
      <c r="B7642" s="40"/>
      <c r="C7642" s="40"/>
      <c r="E7642" s="80"/>
    </row>
    <row r="7643" spans="2:5" x14ac:dyDescent="0.25">
      <c r="B7643" s="40"/>
      <c r="C7643" s="40"/>
      <c r="E7643" s="80"/>
    </row>
    <row r="7644" spans="2:5" x14ac:dyDescent="0.25">
      <c r="B7644" s="40"/>
      <c r="C7644" s="40"/>
      <c r="E7644" s="80"/>
    </row>
    <row r="7645" spans="2:5" x14ac:dyDescent="0.25">
      <c r="B7645" s="40"/>
      <c r="C7645" s="40"/>
      <c r="E7645" s="80"/>
    </row>
    <row r="7646" spans="2:5" x14ac:dyDescent="0.25">
      <c r="B7646" s="40"/>
      <c r="C7646" s="40"/>
      <c r="E7646" s="80"/>
    </row>
    <row r="7647" spans="2:5" x14ac:dyDescent="0.25">
      <c r="B7647" s="40"/>
      <c r="C7647" s="40"/>
      <c r="E7647" s="80"/>
    </row>
    <row r="7648" spans="2:5" x14ac:dyDescent="0.25">
      <c r="B7648" s="40"/>
      <c r="C7648" s="40"/>
      <c r="E7648" s="80"/>
    </row>
    <row r="7649" spans="2:5" x14ac:dyDescent="0.25">
      <c r="B7649" s="40"/>
      <c r="C7649" s="40"/>
      <c r="E7649" s="80"/>
    </row>
    <row r="7650" spans="2:5" x14ac:dyDescent="0.25">
      <c r="B7650" s="40"/>
      <c r="C7650" s="40"/>
      <c r="E7650" s="80"/>
    </row>
    <row r="7651" spans="2:5" x14ac:dyDescent="0.25">
      <c r="B7651" s="40"/>
      <c r="C7651" s="40"/>
      <c r="E7651" s="80"/>
    </row>
    <row r="7652" spans="2:5" x14ac:dyDescent="0.25">
      <c r="B7652" s="40"/>
      <c r="C7652" s="40"/>
      <c r="E7652" s="80"/>
    </row>
    <row r="7653" spans="2:5" x14ac:dyDescent="0.25">
      <c r="B7653" s="40"/>
      <c r="C7653" s="40"/>
      <c r="E7653" s="80"/>
    </row>
    <row r="7654" spans="2:5" x14ac:dyDescent="0.25">
      <c r="B7654" s="40"/>
      <c r="C7654" s="40"/>
      <c r="E7654" s="80"/>
    </row>
    <row r="7655" spans="2:5" x14ac:dyDescent="0.25">
      <c r="B7655" s="40"/>
      <c r="C7655" s="40"/>
      <c r="E7655" s="80"/>
    </row>
    <row r="7656" spans="2:5" x14ac:dyDescent="0.25">
      <c r="B7656" s="40"/>
      <c r="C7656" s="40"/>
      <c r="E7656" s="80"/>
    </row>
    <row r="7657" spans="2:5" x14ac:dyDescent="0.25">
      <c r="B7657" s="40"/>
      <c r="C7657" s="40"/>
      <c r="E7657" s="80"/>
    </row>
    <row r="7658" spans="2:5" x14ac:dyDescent="0.25">
      <c r="B7658" s="40"/>
      <c r="C7658" s="40"/>
      <c r="E7658" s="80"/>
    </row>
    <row r="7659" spans="2:5" x14ac:dyDescent="0.25">
      <c r="B7659" s="40"/>
      <c r="C7659" s="40"/>
      <c r="E7659" s="80"/>
    </row>
    <row r="7660" spans="2:5" x14ac:dyDescent="0.25">
      <c r="B7660" s="40"/>
      <c r="C7660" s="40"/>
      <c r="E7660" s="80"/>
    </row>
    <row r="7661" spans="2:5" x14ac:dyDescent="0.25">
      <c r="B7661" s="40"/>
      <c r="C7661" s="40"/>
      <c r="E7661" s="80"/>
    </row>
    <row r="7662" spans="2:5" x14ac:dyDescent="0.25">
      <c r="B7662" s="40"/>
      <c r="C7662" s="40"/>
      <c r="E7662" s="80"/>
    </row>
    <row r="7663" spans="2:5" x14ac:dyDescent="0.25">
      <c r="B7663" s="40"/>
      <c r="C7663" s="40"/>
      <c r="E7663" s="80"/>
    </row>
    <row r="7664" spans="2:5" x14ac:dyDescent="0.25">
      <c r="B7664" s="40"/>
      <c r="C7664" s="40"/>
      <c r="E7664" s="80"/>
    </row>
    <row r="7665" spans="2:5" x14ac:dyDescent="0.25">
      <c r="B7665" s="40"/>
      <c r="C7665" s="40"/>
      <c r="E7665" s="80"/>
    </row>
    <row r="7666" spans="2:5" x14ac:dyDescent="0.25">
      <c r="B7666" s="40"/>
      <c r="C7666" s="40"/>
      <c r="E7666" s="80"/>
    </row>
    <row r="7667" spans="2:5" x14ac:dyDescent="0.25">
      <c r="B7667" s="40"/>
      <c r="C7667" s="40"/>
      <c r="E7667" s="80"/>
    </row>
    <row r="7668" spans="2:5" x14ac:dyDescent="0.25">
      <c r="B7668" s="40"/>
      <c r="C7668" s="40"/>
      <c r="E7668" s="80"/>
    </row>
    <row r="7669" spans="2:5" x14ac:dyDescent="0.25">
      <c r="B7669" s="40"/>
      <c r="C7669" s="40"/>
      <c r="E7669" s="80"/>
    </row>
    <row r="7670" spans="2:5" x14ac:dyDescent="0.25">
      <c r="B7670" s="40"/>
      <c r="C7670" s="40"/>
      <c r="E7670" s="80"/>
    </row>
    <row r="7671" spans="2:5" x14ac:dyDescent="0.25">
      <c r="B7671" s="40"/>
      <c r="C7671" s="40"/>
      <c r="E7671" s="80"/>
    </row>
    <row r="7672" spans="2:5" x14ac:dyDescent="0.25">
      <c r="B7672" s="40"/>
      <c r="C7672" s="40"/>
      <c r="E7672" s="80"/>
    </row>
    <row r="7673" spans="2:5" x14ac:dyDescent="0.25">
      <c r="B7673" s="40"/>
      <c r="C7673" s="40"/>
      <c r="E7673" s="80"/>
    </row>
    <row r="7674" spans="2:5" x14ac:dyDescent="0.25">
      <c r="B7674" s="40"/>
      <c r="C7674" s="40"/>
      <c r="E7674" s="80"/>
    </row>
    <row r="7675" spans="2:5" x14ac:dyDescent="0.25">
      <c r="B7675" s="40"/>
      <c r="C7675" s="40"/>
      <c r="E7675" s="80"/>
    </row>
    <row r="7676" spans="2:5" x14ac:dyDescent="0.25">
      <c r="B7676" s="40"/>
      <c r="C7676" s="40"/>
      <c r="E7676" s="80"/>
    </row>
    <row r="7677" spans="2:5" x14ac:dyDescent="0.25">
      <c r="B7677" s="40"/>
      <c r="C7677" s="40"/>
      <c r="E7677" s="80"/>
    </row>
    <row r="7678" spans="2:5" x14ac:dyDescent="0.25">
      <c r="B7678" s="40"/>
      <c r="C7678" s="40"/>
      <c r="E7678" s="80"/>
    </row>
    <row r="7679" spans="2:5" x14ac:dyDescent="0.25">
      <c r="B7679" s="40"/>
      <c r="C7679" s="40"/>
      <c r="E7679" s="80"/>
    </row>
    <row r="7680" spans="2:5" x14ac:dyDescent="0.25">
      <c r="B7680" s="40"/>
      <c r="C7680" s="40"/>
      <c r="E7680" s="80"/>
    </row>
    <row r="7681" spans="2:5" x14ac:dyDescent="0.25">
      <c r="B7681" s="40"/>
      <c r="C7681" s="40"/>
      <c r="E7681" s="80"/>
    </row>
    <row r="7682" spans="2:5" x14ac:dyDescent="0.25">
      <c r="B7682" s="40"/>
      <c r="C7682" s="40"/>
      <c r="E7682" s="80"/>
    </row>
    <row r="7683" spans="2:5" x14ac:dyDescent="0.25">
      <c r="B7683" s="40"/>
      <c r="C7683" s="40"/>
      <c r="E7683" s="80"/>
    </row>
    <row r="7684" spans="2:5" x14ac:dyDescent="0.25">
      <c r="B7684" s="40"/>
      <c r="C7684" s="40"/>
      <c r="E7684" s="80"/>
    </row>
    <row r="7685" spans="2:5" x14ac:dyDescent="0.25">
      <c r="B7685" s="40"/>
      <c r="C7685" s="40"/>
      <c r="E7685" s="80"/>
    </row>
    <row r="7686" spans="2:5" x14ac:dyDescent="0.25">
      <c r="B7686" s="40"/>
      <c r="C7686" s="40"/>
      <c r="E7686" s="80"/>
    </row>
    <row r="7687" spans="2:5" x14ac:dyDescent="0.25">
      <c r="B7687" s="40"/>
      <c r="C7687" s="40"/>
      <c r="E7687" s="80"/>
    </row>
    <row r="7688" spans="2:5" x14ac:dyDescent="0.25">
      <c r="B7688" s="40"/>
      <c r="C7688" s="40"/>
      <c r="E7688" s="80"/>
    </row>
    <row r="7689" spans="2:5" x14ac:dyDescent="0.25">
      <c r="B7689" s="40"/>
      <c r="C7689" s="40"/>
      <c r="E7689" s="80"/>
    </row>
    <row r="7690" spans="2:5" x14ac:dyDescent="0.25">
      <c r="B7690" s="40"/>
      <c r="C7690" s="40"/>
      <c r="E7690" s="80"/>
    </row>
    <row r="7691" spans="2:5" x14ac:dyDescent="0.25">
      <c r="B7691" s="40"/>
      <c r="C7691" s="40"/>
      <c r="E7691" s="80"/>
    </row>
    <row r="7692" spans="2:5" x14ac:dyDescent="0.25">
      <c r="B7692" s="40"/>
      <c r="C7692" s="40"/>
      <c r="E7692" s="80"/>
    </row>
    <row r="7693" spans="2:5" x14ac:dyDescent="0.25">
      <c r="B7693" s="40"/>
      <c r="C7693" s="40"/>
      <c r="E7693" s="80"/>
    </row>
    <row r="7694" spans="2:5" x14ac:dyDescent="0.25">
      <c r="B7694" s="40"/>
      <c r="C7694" s="40"/>
      <c r="E7694" s="80"/>
    </row>
    <row r="7695" spans="2:5" x14ac:dyDescent="0.25">
      <c r="B7695" s="40"/>
      <c r="C7695" s="40"/>
      <c r="E7695" s="80"/>
    </row>
    <row r="7696" spans="2:5" x14ac:dyDescent="0.25">
      <c r="B7696" s="40"/>
      <c r="C7696" s="40"/>
      <c r="E7696" s="80"/>
    </row>
    <row r="7697" spans="2:5" x14ac:dyDescent="0.25">
      <c r="B7697" s="40"/>
      <c r="C7697" s="40"/>
      <c r="E7697" s="80"/>
    </row>
    <row r="7698" spans="2:5" x14ac:dyDescent="0.25">
      <c r="B7698" s="40"/>
      <c r="C7698" s="40"/>
      <c r="E7698" s="80"/>
    </row>
    <row r="7699" spans="2:5" x14ac:dyDescent="0.25">
      <c r="B7699" s="40"/>
      <c r="C7699" s="40"/>
      <c r="E7699" s="80"/>
    </row>
    <row r="7700" spans="2:5" x14ac:dyDescent="0.25">
      <c r="B7700" s="40"/>
      <c r="C7700" s="40"/>
      <c r="E7700" s="80"/>
    </row>
    <row r="7701" spans="2:5" x14ac:dyDescent="0.25">
      <c r="B7701" s="40"/>
      <c r="C7701" s="40"/>
      <c r="E7701" s="80"/>
    </row>
    <row r="7702" spans="2:5" x14ac:dyDescent="0.25">
      <c r="B7702" s="40"/>
      <c r="C7702" s="40"/>
      <c r="E7702" s="80"/>
    </row>
    <row r="7703" spans="2:5" x14ac:dyDescent="0.25">
      <c r="B7703" s="40"/>
      <c r="C7703" s="40"/>
      <c r="E7703" s="80"/>
    </row>
    <row r="7704" spans="2:5" x14ac:dyDescent="0.25">
      <c r="B7704" s="40"/>
      <c r="C7704" s="40"/>
      <c r="E7704" s="80"/>
    </row>
    <row r="7705" spans="2:5" x14ac:dyDescent="0.25">
      <c r="B7705" s="40"/>
      <c r="C7705" s="40"/>
      <c r="E7705" s="80"/>
    </row>
    <row r="7706" spans="2:5" x14ac:dyDescent="0.25">
      <c r="B7706" s="40"/>
      <c r="C7706" s="40"/>
      <c r="E7706" s="80"/>
    </row>
    <row r="7707" spans="2:5" x14ac:dyDescent="0.25">
      <c r="B7707" s="40"/>
      <c r="C7707" s="40"/>
      <c r="E7707" s="80"/>
    </row>
    <row r="7708" spans="2:5" x14ac:dyDescent="0.25">
      <c r="B7708" s="40"/>
      <c r="C7708" s="40"/>
      <c r="E7708" s="80"/>
    </row>
    <row r="7709" spans="2:5" x14ac:dyDescent="0.25">
      <c r="B7709" s="40"/>
      <c r="C7709" s="40"/>
      <c r="E7709" s="80"/>
    </row>
    <row r="7710" spans="2:5" x14ac:dyDescent="0.25">
      <c r="B7710" s="40"/>
      <c r="C7710" s="40"/>
      <c r="E7710" s="80"/>
    </row>
    <row r="7711" spans="2:5" x14ac:dyDescent="0.25">
      <c r="B7711" s="40"/>
      <c r="C7711" s="40"/>
      <c r="E7711" s="80"/>
    </row>
    <row r="7712" spans="2:5" x14ac:dyDescent="0.25">
      <c r="B7712" s="40"/>
      <c r="C7712" s="40"/>
      <c r="E7712" s="80"/>
    </row>
    <row r="7713" spans="2:5" x14ac:dyDescent="0.25">
      <c r="B7713" s="40"/>
      <c r="C7713" s="40"/>
      <c r="E7713" s="80"/>
    </row>
    <row r="7714" spans="2:5" x14ac:dyDescent="0.25">
      <c r="B7714" s="40"/>
      <c r="C7714" s="40"/>
      <c r="E7714" s="80"/>
    </row>
    <row r="7715" spans="2:5" x14ac:dyDescent="0.25">
      <c r="B7715" s="40"/>
      <c r="C7715" s="40"/>
      <c r="E7715" s="80"/>
    </row>
    <row r="7716" spans="2:5" x14ac:dyDescent="0.25">
      <c r="B7716" s="40"/>
      <c r="C7716" s="40"/>
      <c r="E7716" s="80"/>
    </row>
    <row r="7717" spans="2:5" x14ac:dyDescent="0.25">
      <c r="B7717" s="40"/>
      <c r="C7717" s="40"/>
      <c r="E7717" s="80"/>
    </row>
    <row r="7718" spans="2:5" x14ac:dyDescent="0.25">
      <c r="B7718" s="40"/>
      <c r="C7718" s="40"/>
      <c r="E7718" s="80"/>
    </row>
    <row r="7719" spans="2:5" x14ac:dyDescent="0.25">
      <c r="B7719" s="40"/>
      <c r="C7719" s="40"/>
      <c r="E7719" s="80"/>
    </row>
    <row r="7720" spans="2:5" x14ac:dyDescent="0.25">
      <c r="B7720" s="40"/>
      <c r="C7720" s="40"/>
      <c r="E7720" s="80"/>
    </row>
    <row r="7721" spans="2:5" x14ac:dyDescent="0.25">
      <c r="B7721" s="40"/>
      <c r="C7721" s="40"/>
      <c r="E7721" s="80"/>
    </row>
    <row r="7722" spans="2:5" x14ac:dyDescent="0.25">
      <c r="B7722" s="40"/>
      <c r="C7722" s="40"/>
      <c r="E7722" s="80"/>
    </row>
    <row r="7723" spans="2:5" x14ac:dyDescent="0.25">
      <c r="B7723" s="40"/>
      <c r="C7723" s="40"/>
      <c r="E7723" s="80"/>
    </row>
    <row r="7724" spans="2:5" x14ac:dyDescent="0.25">
      <c r="B7724" s="40"/>
      <c r="C7724" s="40"/>
      <c r="E7724" s="80"/>
    </row>
    <row r="7725" spans="2:5" x14ac:dyDescent="0.25">
      <c r="B7725" s="40"/>
      <c r="C7725" s="40"/>
      <c r="E7725" s="80"/>
    </row>
    <row r="7726" spans="2:5" x14ac:dyDescent="0.25">
      <c r="B7726" s="40"/>
      <c r="C7726" s="40"/>
      <c r="E7726" s="80"/>
    </row>
    <row r="7727" spans="2:5" x14ac:dyDescent="0.25">
      <c r="B7727" s="40"/>
      <c r="C7727" s="40"/>
      <c r="E7727" s="80"/>
    </row>
    <row r="7728" spans="2:5" x14ac:dyDescent="0.25">
      <c r="B7728" s="40"/>
      <c r="C7728" s="40"/>
      <c r="E7728" s="80"/>
    </row>
    <row r="7729" spans="2:5" x14ac:dyDescent="0.25">
      <c r="B7729" s="40"/>
      <c r="C7729" s="40"/>
      <c r="E7729" s="80"/>
    </row>
    <row r="7730" spans="2:5" x14ac:dyDescent="0.25">
      <c r="B7730" s="40"/>
      <c r="C7730" s="40"/>
      <c r="E7730" s="80"/>
    </row>
    <row r="7731" spans="2:5" x14ac:dyDescent="0.25">
      <c r="B7731" s="40"/>
      <c r="C7731" s="40"/>
      <c r="E7731" s="80"/>
    </row>
    <row r="7732" spans="2:5" x14ac:dyDescent="0.25">
      <c r="B7732" s="40"/>
      <c r="C7732" s="40"/>
      <c r="E7732" s="80"/>
    </row>
    <row r="7733" spans="2:5" x14ac:dyDescent="0.25">
      <c r="B7733" s="40"/>
      <c r="C7733" s="40"/>
      <c r="E7733" s="80"/>
    </row>
    <row r="7734" spans="2:5" x14ac:dyDescent="0.25">
      <c r="B7734" s="40"/>
      <c r="C7734" s="40"/>
      <c r="E7734" s="80"/>
    </row>
    <row r="7735" spans="2:5" x14ac:dyDescent="0.25">
      <c r="B7735" s="40"/>
      <c r="C7735" s="40"/>
      <c r="E7735" s="80"/>
    </row>
    <row r="7736" spans="2:5" x14ac:dyDescent="0.25">
      <c r="B7736" s="40"/>
      <c r="C7736" s="40"/>
      <c r="E7736" s="80"/>
    </row>
    <row r="7737" spans="2:5" x14ac:dyDescent="0.25">
      <c r="B7737" s="40"/>
      <c r="C7737" s="40"/>
      <c r="E7737" s="80"/>
    </row>
    <row r="7738" spans="2:5" x14ac:dyDescent="0.25">
      <c r="B7738" s="40"/>
      <c r="C7738" s="40"/>
      <c r="E7738" s="80"/>
    </row>
    <row r="7739" spans="2:5" x14ac:dyDescent="0.25">
      <c r="B7739" s="40"/>
      <c r="C7739" s="40"/>
      <c r="E7739" s="80"/>
    </row>
    <row r="7740" spans="2:5" x14ac:dyDescent="0.25">
      <c r="B7740" s="40"/>
      <c r="C7740" s="40"/>
      <c r="E7740" s="80"/>
    </row>
    <row r="7741" spans="2:5" x14ac:dyDescent="0.25">
      <c r="B7741" s="40"/>
      <c r="C7741" s="40"/>
      <c r="E7741" s="80"/>
    </row>
    <row r="7742" spans="2:5" x14ac:dyDescent="0.25">
      <c r="B7742" s="40"/>
      <c r="C7742" s="40"/>
      <c r="E7742" s="80"/>
    </row>
    <row r="7743" spans="2:5" x14ac:dyDescent="0.25">
      <c r="B7743" s="40"/>
      <c r="C7743" s="40"/>
      <c r="E7743" s="80"/>
    </row>
    <row r="7744" spans="2:5" x14ac:dyDescent="0.25">
      <c r="B7744" s="40"/>
      <c r="C7744" s="40"/>
      <c r="E7744" s="80"/>
    </row>
    <row r="7745" spans="2:5" x14ac:dyDescent="0.25">
      <c r="B7745" s="40"/>
      <c r="C7745" s="40"/>
      <c r="E7745" s="80"/>
    </row>
    <row r="7746" spans="2:5" x14ac:dyDescent="0.25">
      <c r="B7746" s="40"/>
      <c r="C7746" s="40"/>
      <c r="E7746" s="80"/>
    </row>
    <row r="7747" spans="2:5" x14ac:dyDescent="0.25">
      <c r="B7747" s="40"/>
      <c r="C7747" s="40"/>
      <c r="E7747" s="80"/>
    </row>
    <row r="7748" spans="2:5" x14ac:dyDescent="0.25">
      <c r="B7748" s="40"/>
      <c r="C7748" s="40"/>
      <c r="E7748" s="80"/>
    </row>
    <row r="7749" spans="2:5" x14ac:dyDescent="0.25">
      <c r="B7749" s="40"/>
      <c r="C7749" s="40"/>
      <c r="E7749" s="80"/>
    </row>
    <row r="7750" spans="2:5" x14ac:dyDescent="0.25">
      <c r="B7750" s="40"/>
      <c r="C7750" s="40"/>
      <c r="E7750" s="80"/>
    </row>
    <row r="7751" spans="2:5" x14ac:dyDescent="0.25">
      <c r="B7751" s="40"/>
      <c r="C7751" s="40"/>
      <c r="E7751" s="80"/>
    </row>
    <row r="7752" spans="2:5" x14ac:dyDescent="0.25">
      <c r="B7752" s="40"/>
      <c r="C7752" s="40"/>
      <c r="E7752" s="80"/>
    </row>
    <row r="7753" spans="2:5" x14ac:dyDescent="0.25">
      <c r="B7753" s="40"/>
      <c r="C7753" s="40"/>
      <c r="E7753" s="80"/>
    </row>
    <row r="7754" spans="2:5" x14ac:dyDescent="0.25">
      <c r="B7754" s="40"/>
      <c r="C7754" s="40"/>
      <c r="E7754" s="80"/>
    </row>
    <row r="7755" spans="2:5" x14ac:dyDescent="0.25">
      <c r="B7755" s="40"/>
      <c r="C7755" s="40"/>
      <c r="E7755" s="80"/>
    </row>
    <row r="7756" spans="2:5" x14ac:dyDescent="0.25">
      <c r="B7756" s="40"/>
      <c r="C7756" s="40"/>
      <c r="E7756" s="80"/>
    </row>
    <row r="7757" spans="2:5" x14ac:dyDescent="0.25">
      <c r="B7757" s="40"/>
      <c r="C7757" s="40"/>
      <c r="E7757" s="80"/>
    </row>
    <row r="7758" spans="2:5" x14ac:dyDescent="0.25">
      <c r="B7758" s="40"/>
      <c r="C7758" s="40"/>
      <c r="E7758" s="80"/>
    </row>
    <row r="7759" spans="2:5" x14ac:dyDescent="0.25">
      <c r="B7759" s="40"/>
      <c r="C7759" s="40"/>
      <c r="E7759" s="80"/>
    </row>
    <row r="7760" spans="2:5" x14ac:dyDescent="0.25">
      <c r="B7760" s="40"/>
      <c r="C7760" s="40"/>
      <c r="E7760" s="80"/>
    </row>
    <row r="7761" spans="2:5" x14ac:dyDescent="0.25">
      <c r="B7761" s="40"/>
      <c r="C7761" s="40"/>
      <c r="E7761" s="80"/>
    </row>
    <row r="7762" spans="2:5" x14ac:dyDescent="0.25">
      <c r="B7762" s="40"/>
      <c r="C7762" s="40"/>
      <c r="E7762" s="80"/>
    </row>
    <row r="7763" spans="2:5" x14ac:dyDescent="0.25">
      <c r="B7763" s="40"/>
      <c r="C7763" s="40"/>
      <c r="E7763" s="80"/>
    </row>
    <row r="7764" spans="2:5" x14ac:dyDescent="0.25">
      <c r="B7764" s="40"/>
      <c r="C7764" s="40"/>
      <c r="E7764" s="80"/>
    </row>
    <row r="7765" spans="2:5" x14ac:dyDescent="0.25">
      <c r="B7765" s="40"/>
      <c r="C7765" s="40"/>
      <c r="E7765" s="80"/>
    </row>
    <row r="7766" spans="2:5" x14ac:dyDescent="0.25">
      <c r="B7766" s="40"/>
      <c r="C7766" s="40"/>
      <c r="E7766" s="80"/>
    </row>
    <row r="7767" spans="2:5" x14ac:dyDescent="0.25">
      <c r="B7767" s="40"/>
      <c r="C7767" s="40"/>
      <c r="E7767" s="80"/>
    </row>
    <row r="7768" spans="2:5" x14ac:dyDescent="0.25">
      <c r="B7768" s="40"/>
      <c r="C7768" s="40"/>
      <c r="E7768" s="80"/>
    </row>
    <row r="7769" spans="2:5" x14ac:dyDescent="0.25">
      <c r="B7769" s="40"/>
      <c r="C7769" s="40"/>
      <c r="E7769" s="80"/>
    </row>
    <row r="7770" spans="2:5" x14ac:dyDescent="0.25">
      <c r="B7770" s="40"/>
      <c r="C7770" s="40"/>
      <c r="E7770" s="80"/>
    </row>
    <row r="7771" spans="2:5" x14ac:dyDescent="0.25">
      <c r="B7771" s="40"/>
      <c r="C7771" s="40"/>
      <c r="E7771" s="80"/>
    </row>
    <row r="7772" spans="2:5" x14ac:dyDescent="0.25">
      <c r="B7772" s="40"/>
      <c r="C7772" s="40"/>
      <c r="E7772" s="80"/>
    </row>
    <row r="7773" spans="2:5" x14ac:dyDescent="0.25">
      <c r="B7773" s="40"/>
      <c r="C7773" s="40"/>
      <c r="E7773" s="80"/>
    </row>
    <row r="7774" spans="2:5" x14ac:dyDescent="0.25">
      <c r="B7774" s="40"/>
      <c r="C7774" s="40"/>
      <c r="E7774" s="80"/>
    </row>
    <row r="7775" spans="2:5" x14ac:dyDescent="0.25">
      <c r="B7775" s="40"/>
      <c r="C7775" s="40"/>
      <c r="E7775" s="80"/>
    </row>
    <row r="7776" spans="2:5" x14ac:dyDescent="0.25">
      <c r="B7776" s="40"/>
      <c r="C7776" s="40"/>
      <c r="E7776" s="80"/>
    </row>
    <row r="7777" spans="2:5" x14ac:dyDescent="0.25">
      <c r="B7777" s="40"/>
      <c r="C7777" s="40"/>
      <c r="E7777" s="80"/>
    </row>
    <row r="7778" spans="2:5" x14ac:dyDescent="0.25">
      <c r="B7778" s="40"/>
      <c r="C7778" s="40"/>
      <c r="E7778" s="80"/>
    </row>
    <row r="7779" spans="2:5" x14ac:dyDescent="0.25">
      <c r="B7779" s="40"/>
      <c r="C7779" s="40"/>
      <c r="E7779" s="80"/>
    </row>
    <row r="7780" spans="2:5" x14ac:dyDescent="0.25">
      <c r="B7780" s="40"/>
      <c r="C7780" s="40"/>
      <c r="E7780" s="80"/>
    </row>
    <row r="7781" spans="2:5" x14ac:dyDescent="0.25">
      <c r="B7781" s="40"/>
      <c r="C7781" s="40"/>
      <c r="E7781" s="80"/>
    </row>
    <row r="7782" spans="2:5" x14ac:dyDescent="0.25">
      <c r="B7782" s="40"/>
      <c r="C7782" s="40"/>
      <c r="E7782" s="80"/>
    </row>
    <row r="7783" spans="2:5" x14ac:dyDescent="0.25">
      <c r="B7783" s="40"/>
      <c r="C7783" s="40"/>
      <c r="E7783" s="80"/>
    </row>
    <row r="7784" spans="2:5" x14ac:dyDescent="0.25">
      <c r="B7784" s="40"/>
      <c r="C7784" s="40"/>
      <c r="E7784" s="80"/>
    </row>
    <row r="7785" spans="2:5" x14ac:dyDescent="0.25">
      <c r="B7785" s="40"/>
      <c r="C7785" s="40"/>
      <c r="E7785" s="80"/>
    </row>
    <row r="7786" spans="2:5" x14ac:dyDescent="0.25">
      <c r="B7786" s="40"/>
      <c r="C7786" s="40"/>
      <c r="E7786" s="80"/>
    </row>
    <row r="7787" spans="2:5" x14ac:dyDescent="0.25">
      <c r="B7787" s="40"/>
      <c r="C7787" s="40"/>
      <c r="E7787" s="80"/>
    </row>
    <row r="7788" spans="2:5" x14ac:dyDescent="0.25">
      <c r="B7788" s="40"/>
      <c r="C7788" s="40"/>
      <c r="E7788" s="80"/>
    </row>
    <row r="7789" spans="2:5" x14ac:dyDescent="0.25">
      <c r="B7789" s="40"/>
      <c r="C7789" s="40"/>
      <c r="E7789" s="80"/>
    </row>
    <row r="7790" spans="2:5" x14ac:dyDescent="0.25">
      <c r="B7790" s="40"/>
      <c r="C7790" s="40"/>
      <c r="E7790" s="80"/>
    </row>
    <row r="7791" spans="2:5" x14ac:dyDescent="0.25">
      <c r="B7791" s="40"/>
      <c r="C7791" s="40"/>
      <c r="E7791" s="80"/>
    </row>
    <row r="7792" spans="2:5" x14ac:dyDescent="0.25">
      <c r="B7792" s="40"/>
      <c r="C7792" s="40"/>
      <c r="E7792" s="80"/>
    </row>
    <row r="7793" spans="2:5" x14ac:dyDescent="0.25">
      <c r="B7793" s="40"/>
      <c r="C7793" s="40"/>
      <c r="E7793" s="80"/>
    </row>
    <row r="7794" spans="2:5" x14ac:dyDescent="0.25">
      <c r="B7794" s="40"/>
      <c r="C7794" s="40"/>
      <c r="E7794" s="80"/>
    </row>
    <row r="7795" spans="2:5" x14ac:dyDescent="0.25">
      <c r="B7795" s="40"/>
      <c r="C7795" s="40"/>
      <c r="E7795" s="80"/>
    </row>
    <row r="7796" spans="2:5" x14ac:dyDescent="0.25">
      <c r="B7796" s="40"/>
      <c r="C7796" s="40"/>
      <c r="E7796" s="80"/>
    </row>
    <row r="7797" spans="2:5" x14ac:dyDescent="0.25">
      <c r="B7797" s="40"/>
      <c r="C7797" s="40"/>
      <c r="E7797" s="80"/>
    </row>
    <row r="7798" spans="2:5" x14ac:dyDescent="0.25">
      <c r="B7798" s="40"/>
      <c r="C7798" s="40"/>
      <c r="E7798" s="80"/>
    </row>
    <row r="7799" spans="2:5" x14ac:dyDescent="0.25">
      <c r="B7799" s="40"/>
      <c r="C7799" s="40"/>
      <c r="E7799" s="80"/>
    </row>
    <row r="7800" spans="2:5" x14ac:dyDescent="0.25">
      <c r="B7800" s="40"/>
      <c r="C7800" s="40"/>
      <c r="E7800" s="80"/>
    </row>
    <row r="7801" spans="2:5" x14ac:dyDescent="0.25">
      <c r="B7801" s="40"/>
      <c r="C7801" s="40"/>
      <c r="E7801" s="80"/>
    </row>
    <row r="7802" spans="2:5" x14ac:dyDescent="0.25">
      <c r="B7802" s="40"/>
      <c r="C7802" s="40"/>
      <c r="E7802" s="80"/>
    </row>
    <row r="7803" spans="2:5" x14ac:dyDescent="0.25">
      <c r="B7803" s="40"/>
      <c r="C7803" s="40"/>
      <c r="E7803" s="80"/>
    </row>
    <row r="7804" spans="2:5" x14ac:dyDescent="0.25">
      <c r="B7804" s="40"/>
      <c r="C7804" s="40"/>
      <c r="E7804" s="80"/>
    </row>
    <row r="7805" spans="2:5" x14ac:dyDescent="0.25">
      <c r="B7805" s="40"/>
      <c r="C7805" s="40"/>
      <c r="E7805" s="80"/>
    </row>
    <row r="7806" spans="2:5" x14ac:dyDescent="0.25">
      <c r="B7806" s="40"/>
      <c r="C7806" s="40"/>
      <c r="E7806" s="80"/>
    </row>
    <row r="7807" spans="2:5" x14ac:dyDescent="0.25">
      <c r="B7807" s="40"/>
      <c r="C7807" s="40"/>
      <c r="E7807" s="80"/>
    </row>
    <row r="7808" spans="2:5" x14ac:dyDescent="0.25">
      <c r="B7808" s="40"/>
      <c r="C7808" s="40"/>
      <c r="E7808" s="80"/>
    </row>
    <row r="7809" spans="2:5" x14ac:dyDescent="0.25">
      <c r="B7809" s="40"/>
      <c r="C7809" s="40"/>
      <c r="E7809" s="80"/>
    </row>
    <row r="7810" spans="2:5" x14ac:dyDescent="0.25">
      <c r="B7810" s="40"/>
      <c r="C7810" s="40"/>
      <c r="E7810" s="80"/>
    </row>
    <row r="7811" spans="2:5" x14ac:dyDescent="0.25">
      <c r="B7811" s="40"/>
      <c r="C7811" s="40"/>
      <c r="E7811" s="80"/>
    </row>
    <row r="7812" spans="2:5" x14ac:dyDescent="0.25">
      <c r="B7812" s="40"/>
      <c r="C7812" s="40"/>
      <c r="E7812" s="80"/>
    </row>
    <row r="7813" spans="2:5" x14ac:dyDescent="0.25">
      <c r="B7813" s="40"/>
      <c r="C7813" s="40"/>
      <c r="E7813" s="80"/>
    </row>
    <row r="7814" spans="2:5" x14ac:dyDescent="0.25">
      <c r="B7814" s="40"/>
      <c r="C7814" s="40"/>
      <c r="E7814" s="80"/>
    </row>
    <row r="7815" spans="2:5" x14ac:dyDescent="0.25">
      <c r="B7815" s="40"/>
      <c r="C7815" s="40"/>
      <c r="E7815" s="80"/>
    </row>
    <row r="7816" spans="2:5" x14ac:dyDescent="0.25">
      <c r="B7816" s="40"/>
      <c r="C7816" s="40"/>
      <c r="E7816" s="80"/>
    </row>
    <row r="7817" spans="2:5" x14ac:dyDescent="0.25">
      <c r="B7817" s="40"/>
      <c r="C7817" s="40"/>
      <c r="E7817" s="80"/>
    </row>
    <row r="7818" spans="2:5" x14ac:dyDescent="0.25">
      <c r="B7818" s="40"/>
      <c r="C7818" s="40"/>
      <c r="E7818" s="80"/>
    </row>
    <row r="7819" spans="2:5" x14ac:dyDescent="0.25">
      <c r="B7819" s="40"/>
      <c r="C7819" s="40"/>
      <c r="E7819" s="80"/>
    </row>
    <row r="7820" spans="2:5" x14ac:dyDescent="0.25">
      <c r="B7820" s="40"/>
      <c r="C7820" s="40"/>
      <c r="E7820" s="80"/>
    </row>
    <row r="7821" spans="2:5" x14ac:dyDescent="0.25">
      <c r="B7821" s="40"/>
      <c r="C7821" s="40"/>
      <c r="E7821" s="80"/>
    </row>
    <row r="7822" spans="2:5" x14ac:dyDescent="0.25">
      <c r="B7822" s="40"/>
      <c r="C7822" s="40"/>
      <c r="E7822" s="80"/>
    </row>
    <row r="7823" spans="2:5" x14ac:dyDescent="0.25">
      <c r="B7823" s="40"/>
      <c r="C7823" s="40"/>
      <c r="E7823" s="80"/>
    </row>
    <row r="7824" spans="2:5" x14ac:dyDescent="0.25">
      <c r="B7824" s="40"/>
      <c r="C7824" s="40"/>
      <c r="E7824" s="80"/>
    </row>
    <row r="7825" spans="2:5" x14ac:dyDescent="0.25">
      <c r="B7825" s="40"/>
      <c r="C7825" s="40"/>
      <c r="E7825" s="80"/>
    </row>
    <row r="7826" spans="2:5" x14ac:dyDescent="0.25">
      <c r="B7826" s="40"/>
      <c r="C7826" s="40"/>
      <c r="E7826" s="80"/>
    </row>
    <row r="7827" spans="2:5" x14ac:dyDescent="0.25">
      <c r="B7827" s="40"/>
      <c r="C7827" s="40"/>
      <c r="E7827" s="80"/>
    </row>
    <row r="7828" spans="2:5" x14ac:dyDescent="0.25">
      <c r="B7828" s="40"/>
      <c r="C7828" s="40"/>
      <c r="E7828" s="80"/>
    </row>
    <row r="7829" spans="2:5" x14ac:dyDescent="0.25">
      <c r="B7829" s="40"/>
      <c r="C7829" s="40"/>
      <c r="E7829" s="80"/>
    </row>
    <row r="7830" spans="2:5" x14ac:dyDescent="0.25">
      <c r="B7830" s="40"/>
      <c r="C7830" s="40"/>
      <c r="E7830" s="80"/>
    </row>
    <row r="7831" spans="2:5" x14ac:dyDescent="0.25">
      <c r="B7831" s="40"/>
      <c r="C7831" s="40"/>
      <c r="E7831" s="80"/>
    </row>
    <row r="7832" spans="2:5" x14ac:dyDescent="0.25">
      <c r="B7832" s="40"/>
      <c r="C7832" s="40"/>
      <c r="E7832" s="80"/>
    </row>
    <row r="7833" spans="2:5" x14ac:dyDescent="0.25">
      <c r="B7833" s="40"/>
      <c r="C7833" s="40"/>
      <c r="E7833" s="80"/>
    </row>
    <row r="7834" spans="2:5" x14ac:dyDescent="0.25">
      <c r="B7834" s="40"/>
      <c r="C7834" s="40"/>
      <c r="E7834" s="80"/>
    </row>
    <row r="7835" spans="2:5" x14ac:dyDescent="0.25">
      <c r="B7835" s="40"/>
      <c r="C7835" s="40"/>
      <c r="E7835" s="80"/>
    </row>
    <row r="7836" spans="2:5" x14ac:dyDescent="0.25">
      <c r="B7836" s="40"/>
      <c r="C7836" s="40"/>
      <c r="E7836" s="80"/>
    </row>
    <row r="7837" spans="2:5" x14ac:dyDescent="0.25">
      <c r="B7837" s="40"/>
      <c r="C7837" s="40"/>
      <c r="E7837" s="80"/>
    </row>
    <row r="7838" spans="2:5" x14ac:dyDescent="0.25">
      <c r="B7838" s="40"/>
      <c r="C7838" s="40"/>
      <c r="E7838" s="80"/>
    </row>
    <row r="7839" spans="2:5" x14ac:dyDescent="0.25">
      <c r="B7839" s="40"/>
      <c r="C7839" s="40"/>
      <c r="E7839" s="80"/>
    </row>
    <row r="7840" spans="2:5" x14ac:dyDescent="0.25">
      <c r="B7840" s="40"/>
      <c r="C7840" s="40"/>
      <c r="E7840" s="80"/>
    </row>
    <row r="7841" spans="2:5" x14ac:dyDescent="0.25">
      <c r="B7841" s="40"/>
      <c r="C7841" s="40"/>
      <c r="E7841" s="80"/>
    </row>
    <row r="7842" spans="2:5" x14ac:dyDescent="0.25">
      <c r="B7842" s="40"/>
      <c r="C7842" s="40"/>
      <c r="E7842" s="80"/>
    </row>
    <row r="7843" spans="2:5" x14ac:dyDescent="0.25">
      <c r="B7843" s="40"/>
      <c r="C7843" s="40"/>
      <c r="E7843" s="80"/>
    </row>
    <row r="7844" spans="2:5" x14ac:dyDescent="0.25">
      <c r="B7844" s="40"/>
      <c r="C7844" s="40"/>
      <c r="E7844" s="80"/>
    </row>
    <row r="7845" spans="2:5" x14ac:dyDescent="0.25">
      <c r="B7845" s="40"/>
      <c r="C7845" s="40"/>
      <c r="E7845" s="80"/>
    </row>
    <row r="7846" spans="2:5" x14ac:dyDescent="0.25">
      <c r="B7846" s="40"/>
      <c r="C7846" s="40"/>
      <c r="E7846" s="80"/>
    </row>
    <row r="7847" spans="2:5" x14ac:dyDescent="0.25">
      <c r="B7847" s="40"/>
      <c r="C7847" s="40"/>
      <c r="E7847" s="80"/>
    </row>
    <row r="7848" spans="2:5" x14ac:dyDescent="0.25">
      <c r="B7848" s="40"/>
      <c r="C7848" s="40"/>
      <c r="E7848" s="80"/>
    </row>
    <row r="7849" spans="2:5" x14ac:dyDescent="0.25">
      <c r="B7849" s="40"/>
      <c r="C7849" s="40"/>
      <c r="E7849" s="80"/>
    </row>
    <row r="7850" spans="2:5" x14ac:dyDescent="0.25">
      <c r="B7850" s="40"/>
      <c r="C7850" s="40"/>
      <c r="E7850" s="80"/>
    </row>
    <row r="7851" spans="2:5" x14ac:dyDescent="0.25">
      <c r="B7851" s="40"/>
      <c r="C7851" s="40"/>
      <c r="E7851" s="80"/>
    </row>
    <row r="7852" spans="2:5" x14ac:dyDescent="0.25">
      <c r="B7852" s="40"/>
      <c r="C7852" s="40"/>
      <c r="E7852" s="80"/>
    </row>
    <row r="7853" spans="2:5" x14ac:dyDescent="0.25">
      <c r="B7853" s="40"/>
      <c r="C7853" s="40"/>
      <c r="E7853" s="80"/>
    </row>
    <row r="7854" spans="2:5" x14ac:dyDescent="0.25">
      <c r="B7854" s="40"/>
      <c r="C7854" s="40"/>
      <c r="E7854" s="80"/>
    </row>
    <row r="7855" spans="2:5" x14ac:dyDescent="0.25">
      <c r="B7855" s="40"/>
      <c r="C7855" s="40"/>
      <c r="E7855" s="80"/>
    </row>
    <row r="7856" spans="2:5" x14ac:dyDescent="0.25">
      <c r="B7856" s="40"/>
      <c r="C7856" s="40"/>
      <c r="E7856" s="80"/>
    </row>
    <row r="7857" spans="2:5" x14ac:dyDescent="0.25">
      <c r="B7857" s="40"/>
      <c r="C7857" s="40"/>
      <c r="E7857" s="80"/>
    </row>
    <row r="7858" spans="2:5" x14ac:dyDescent="0.25">
      <c r="B7858" s="40"/>
      <c r="C7858" s="40"/>
      <c r="E7858" s="80"/>
    </row>
    <row r="7859" spans="2:5" x14ac:dyDescent="0.25">
      <c r="B7859" s="40"/>
      <c r="C7859" s="40"/>
      <c r="E7859" s="80"/>
    </row>
    <row r="7860" spans="2:5" x14ac:dyDescent="0.25">
      <c r="B7860" s="40"/>
      <c r="C7860" s="40"/>
      <c r="E7860" s="80"/>
    </row>
    <row r="7861" spans="2:5" x14ac:dyDescent="0.25">
      <c r="B7861" s="40"/>
      <c r="C7861" s="40"/>
      <c r="E7861" s="80"/>
    </row>
    <row r="7862" spans="2:5" x14ac:dyDescent="0.25">
      <c r="B7862" s="40"/>
      <c r="C7862" s="40"/>
      <c r="E7862" s="80"/>
    </row>
    <row r="7863" spans="2:5" x14ac:dyDescent="0.25">
      <c r="B7863" s="40"/>
      <c r="C7863" s="40"/>
      <c r="E7863" s="80"/>
    </row>
    <row r="7864" spans="2:5" x14ac:dyDescent="0.25">
      <c r="B7864" s="40"/>
      <c r="C7864" s="40"/>
      <c r="E7864" s="80"/>
    </row>
    <row r="7865" spans="2:5" x14ac:dyDescent="0.25">
      <c r="B7865" s="40"/>
      <c r="C7865" s="40"/>
      <c r="E7865" s="80"/>
    </row>
    <row r="7866" spans="2:5" x14ac:dyDescent="0.25">
      <c r="B7866" s="40"/>
      <c r="C7866" s="40"/>
      <c r="E7866" s="80"/>
    </row>
    <row r="7867" spans="2:5" x14ac:dyDescent="0.25">
      <c r="B7867" s="40"/>
      <c r="C7867" s="40"/>
      <c r="E7867" s="80"/>
    </row>
    <row r="7868" spans="2:5" x14ac:dyDescent="0.25">
      <c r="B7868" s="40"/>
      <c r="C7868" s="40"/>
      <c r="E7868" s="80"/>
    </row>
    <row r="7869" spans="2:5" x14ac:dyDescent="0.25">
      <c r="B7869" s="40"/>
      <c r="C7869" s="40"/>
      <c r="E7869" s="80"/>
    </row>
    <row r="7870" spans="2:5" x14ac:dyDescent="0.25">
      <c r="B7870" s="40"/>
      <c r="C7870" s="40"/>
      <c r="E7870" s="80"/>
    </row>
    <row r="7871" spans="2:5" x14ac:dyDescent="0.25">
      <c r="B7871" s="40"/>
      <c r="C7871" s="40"/>
      <c r="E7871" s="80"/>
    </row>
    <row r="7872" spans="2:5" x14ac:dyDescent="0.25">
      <c r="B7872" s="40"/>
      <c r="C7872" s="40"/>
      <c r="E7872" s="80"/>
    </row>
    <row r="7873" spans="2:5" x14ac:dyDescent="0.25">
      <c r="B7873" s="40"/>
      <c r="C7873" s="40"/>
      <c r="E7873" s="80"/>
    </row>
    <row r="7874" spans="2:5" x14ac:dyDescent="0.25">
      <c r="B7874" s="40"/>
      <c r="C7874" s="40"/>
      <c r="E7874" s="80"/>
    </row>
    <row r="7875" spans="2:5" x14ac:dyDescent="0.25">
      <c r="B7875" s="40"/>
      <c r="C7875" s="40"/>
      <c r="E7875" s="80"/>
    </row>
    <row r="7876" spans="2:5" x14ac:dyDescent="0.25">
      <c r="B7876" s="40"/>
      <c r="C7876" s="40"/>
      <c r="E7876" s="80"/>
    </row>
    <row r="7877" spans="2:5" x14ac:dyDescent="0.25">
      <c r="B7877" s="40"/>
      <c r="C7877" s="40"/>
      <c r="E7877" s="80"/>
    </row>
    <row r="7878" spans="2:5" x14ac:dyDescent="0.25">
      <c r="B7878" s="40"/>
      <c r="C7878" s="40"/>
      <c r="E7878" s="80"/>
    </row>
    <row r="7879" spans="2:5" x14ac:dyDescent="0.25">
      <c r="B7879" s="40"/>
      <c r="C7879" s="40"/>
      <c r="E7879" s="80"/>
    </row>
    <row r="7880" spans="2:5" x14ac:dyDescent="0.25">
      <c r="B7880" s="40"/>
      <c r="C7880" s="40"/>
      <c r="E7880" s="80"/>
    </row>
    <row r="7881" spans="2:5" x14ac:dyDescent="0.25">
      <c r="B7881" s="40"/>
      <c r="C7881" s="40"/>
      <c r="E7881" s="80"/>
    </row>
    <row r="7882" spans="2:5" x14ac:dyDescent="0.25">
      <c r="B7882" s="40"/>
      <c r="C7882" s="40"/>
      <c r="E7882" s="80"/>
    </row>
    <row r="7883" spans="2:5" x14ac:dyDescent="0.25">
      <c r="B7883" s="40"/>
      <c r="C7883" s="40"/>
      <c r="E7883" s="80"/>
    </row>
    <row r="7884" spans="2:5" x14ac:dyDescent="0.25">
      <c r="B7884" s="40"/>
      <c r="C7884" s="40"/>
      <c r="E7884" s="80"/>
    </row>
    <row r="7885" spans="2:5" x14ac:dyDescent="0.25">
      <c r="B7885" s="40"/>
      <c r="C7885" s="40"/>
      <c r="E7885" s="80"/>
    </row>
    <row r="7886" spans="2:5" x14ac:dyDescent="0.25">
      <c r="B7886" s="40"/>
      <c r="C7886" s="40"/>
      <c r="E7886" s="80"/>
    </row>
    <row r="7887" spans="2:5" x14ac:dyDescent="0.25">
      <c r="B7887" s="40"/>
      <c r="C7887" s="40"/>
      <c r="E7887" s="80"/>
    </row>
    <row r="7888" spans="2:5" x14ac:dyDescent="0.25">
      <c r="B7888" s="40"/>
      <c r="C7888" s="40"/>
      <c r="E7888" s="80"/>
    </row>
    <row r="7889" spans="2:5" x14ac:dyDescent="0.25">
      <c r="B7889" s="40"/>
      <c r="C7889" s="40"/>
      <c r="E7889" s="80"/>
    </row>
    <row r="7890" spans="2:5" x14ac:dyDescent="0.25">
      <c r="B7890" s="40"/>
      <c r="C7890" s="40"/>
      <c r="E7890" s="80"/>
    </row>
    <row r="7891" spans="2:5" x14ac:dyDescent="0.25">
      <c r="B7891" s="40"/>
      <c r="C7891" s="40"/>
      <c r="E7891" s="80"/>
    </row>
    <row r="7892" spans="2:5" x14ac:dyDescent="0.25">
      <c r="B7892" s="40"/>
      <c r="C7892" s="40"/>
      <c r="E7892" s="80"/>
    </row>
    <row r="7893" spans="2:5" x14ac:dyDescent="0.25">
      <c r="B7893" s="40"/>
      <c r="C7893" s="40"/>
      <c r="E7893" s="80"/>
    </row>
    <row r="7894" spans="2:5" x14ac:dyDescent="0.25">
      <c r="B7894" s="40"/>
      <c r="C7894" s="40"/>
      <c r="E7894" s="80"/>
    </row>
    <row r="7895" spans="2:5" x14ac:dyDescent="0.25">
      <c r="B7895" s="40"/>
      <c r="C7895" s="40"/>
      <c r="E7895" s="80"/>
    </row>
    <row r="7896" spans="2:5" x14ac:dyDescent="0.25">
      <c r="B7896" s="40"/>
      <c r="C7896" s="40"/>
      <c r="E7896" s="80"/>
    </row>
    <row r="7897" spans="2:5" x14ac:dyDescent="0.25">
      <c r="B7897" s="40"/>
      <c r="C7897" s="40"/>
      <c r="E7897" s="80"/>
    </row>
    <row r="7898" spans="2:5" x14ac:dyDescent="0.25">
      <c r="B7898" s="40"/>
      <c r="C7898" s="40"/>
      <c r="E7898" s="80"/>
    </row>
    <row r="7899" spans="2:5" x14ac:dyDescent="0.25">
      <c r="B7899" s="40"/>
      <c r="C7899" s="40"/>
      <c r="E7899" s="80"/>
    </row>
    <row r="7900" spans="2:5" x14ac:dyDescent="0.25">
      <c r="B7900" s="40"/>
      <c r="C7900" s="40"/>
      <c r="E7900" s="80"/>
    </row>
    <row r="7901" spans="2:5" x14ac:dyDescent="0.25">
      <c r="B7901" s="40"/>
      <c r="C7901" s="40"/>
      <c r="E7901" s="80"/>
    </row>
    <row r="7902" spans="2:5" x14ac:dyDescent="0.25">
      <c r="B7902" s="40"/>
      <c r="C7902" s="40"/>
      <c r="E7902" s="80"/>
    </row>
    <row r="7903" spans="2:5" x14ac:dyDescent="0.25">
      <c r="B7903" s="40"/>
      <c r="C7903" s="40"/>
      <c r="E7903" s="80"/>
    </row>
    <row r="7904" spans="2:5" x14ac:dyDescent="0.25">
      <c r="B7904" s="40"/>
      <c r="C7904" s="40"/>
      <c r="E7904" s="80"/>
    </row>
    <row r="7905" spans="2:5" x14ac:dyDescent="0.25">
      <c r="B7905" s="40"/>
      <c r="C7905" s="40"/>
      <c r="E7905" s="80"/>
    </row>
    <row r="7906" spans="2:5" x14ac:dyDescent="0.25">
      <c r="B7906" s="40"/>
      <c r="C7906" s="40"/>
      <c r="E7906" s="80"/>
    </row>
    <row r="7907" spans="2:5" x14ac:dyDescent="0.25">
      <c r="B7907" s="40"/>
      <c r="C7907" s="40"/>
      <c r="E7907" s="80"/>
    </row>
    <row r="7908" spans="2:5" x14ac:dyDescent="0.25">
      <c r="B7908" s="40"/>
      <c r="C7908" s="40"/>
      <c r="E7908" s="80"/>
    </row>
    <row r="7909" spans="2:5" x14ac:dyDescent="0.25">
      <c r="B7909" s="40"/>
      <c r="C7909" s="40"/>
      <c r="E7909" s="80"/>
    </row>
    <row r="7910" spans="2:5" x14ac:dyDescent="0.25">
      <c r="B7910" s="40"/>
      <c r="C7910" s="40"/>
      <c r="E7910" s="80"/>
    </row>
    <row r="7911" spans="2:5" x14ac:dyDescent="0.25">
      <c r="B7911" s="40"/>
      <c r="C7911" s="40"/>
      <c r="E7911" s="80"/>
    </row>
    <row r="7912" spans="2:5" x14ac:dyDescent="0.25">
      <c r="B7912" s="40"/>
      <c r="C7912" s="40"/>
      <c r="E7912" s="80"/>
    </row>
    <row r="7913" spans="2:5" x14ac:dyDescent="0.25">
      <c r="B7913" s="40"/>
      <c r="C7913" s="40"/>
      <c r="E7913" s="80"/>
    </row>
    <row r="7914" spans="2:5" x14ac:dyDescent="0.25">
      <c r="B7914" s="40"/>
      <c r="C7914" s="40"/>
      <c r="E7914" s="80"/>
    </row>
    <row r="7915" spans="2:5" x14ac:dyDescent="0.25">
      <c r="B7915" s="40"/>
      <c r="C7915" s="40"/>
      <c r="E7915" s="80"/>
    </row>
    <row r="7916" spans="2:5" x14ac:dyDescent="0.25">
      <c r="B7916" s="40"/>
      <c r="C7916" s="40"/>
      <c r="E7916" s="80"/>
    </row>
    <row r="7917" spans="2:5" x14ac:dyDescent="0.25">
      <c r="B7917" s="40"/>
      <c r="C7917" s="40"/>
      <c r="E7917" s="80"/>
    </row>
    <row r="7918" spans="2:5" x14ac:dyDescent="0.25">
      <c r="B7918" s="40"/>
      <c r="C7918" s="40"/>
      <c r="E7918" s="80"/>
    </row>
    <row r="7919" spans="2:5" x14ac:dyDescent="0.25">
      <c r="B7919" s="40"/>
      <c r="C7919" s="40"/>
      <c r="E7919" s="80"/>
    </row>
    <row r="7920" spans="2:5" x14ac:dyDescent="0.25">
      <c r="B7920" s="40"/>
      <c r="C7920" s="40"/>
      <c r="E7920" s="80"/>
    </row>
    <row r="7921" spans="2:5" x14ac:dyDescent="0.25">
      <c r="B7921" s="40"/>
      <c r="C7921" s="40"/>
      <c r="E7921" s="80"/>
    </row>
    <row r="7922" spans="2:5" x14ac:dyDescent="0.25">
      <c r="B7922" s="40"/>
      <c r="C7922" s="40"/>
      <c r="E7922" s="80"/>
    </row>
    <row r="7923" spans="2:5" x14ac:dyDescent="0.25">
      <c r="B7923" s="40"/>
      <c r="C7923" s="40"/>
      <c r="E7923" s="80"/>
    </row>
    <row r="7924" spans="2:5" x14ac:dyDescent="0.25">
      <c r="B7924" s="40"/>
      <c r="C7924" s="40"/>
      <c r="E7924" s="80"/>
    </row>
    <row r="7925" spans="2:5" x14ac:dyDescent="0.25">
      <c r="B7925" s="40"/>
      <c r="C7925" s="40"/>
      <c r="E7925" s="80"/>
    </row>
    <row r="7926" spans="2:5" x14ac:dyDescent="0.25">
      <c r="B7926" s="40"/>
      <c r="C7926" s="40"/>
      <c r="E7926" s="80"/>
    </row>
    <row r="7927" spans="2:5" x14ac:dyDescent="0.25">
      <c r="B7927" s="40"/>
      <c r="C7927" s="40"/>
      <c r="E7927" s="80"/>
    </row>
    <row r="7928" spans="2:5" x14ac:dyDescent="0.25">
      <c r="B7928" s="40"/>
      <c r="C7928" s="40"/>
      <c r="E7928" s="80"/>
    </row>
    <row r="7929" spans="2:5" x14ac:dyDescent="0.25">
      <c r="B7929" s="40"/>
      <c r="C7929" s="40"/>
      <c r="E7929" s="80"/>
    </row>
    <row r="7930" spans="2:5" x14ac:dyDescent="0.25">
      <c r="B7930" s="40"/>
      <c r="C7930" s="40"/>
      <c r="E7930" s="80"/>
    </row>
    <row r="7931" spans="2:5" x14ac:dyDescent="0.25">
      <c r="B7931" s="40"/>
      <c r="C7931" s="40"/>
      <c r="E7931" s="80"/>
    </row>
    <row r="7932" spans="2:5" x14ac:dyDescent="0.25">
      <c r="B7932" s="40"/>
      <c r="C7932" s="40"/>
      <c r="E7932" s="80"/>
    </row>
    <row r="7933" spans="2:5" x14ac:dyDescent="0.25">
      <c r="B7933" s="40"/>
      <c r="C7933" s="40"/>
      <c r="E7933" s="80"/>
    </row>
    <row r="7934" spans="2:5" x14ac:dyDescent="0.25">
      <c r="B7934" s="40"/>
      <c r="C7934" s="40"/>
      <c r="E7934" s="80"/>
    </row>
    <row r="7935" spans="2:5" x14ac:dyDescent="0.25">
      <c r="B7935" s="40"/>
      <c r="C7935" s="40"/>
      <c r="E7935" s="80"/>
    </row>
    <row r="7936" spans="2:5" x14ac:dyDescent="0.25">
      <c r="B7936" s="40"/>
      <c r="C7936" s="40"/>
      <c r="E7936" s="80"/>
    </row>
    <row r="7937" spans="2:5" x14ac:dyDescent="0.25">
      <c r="B7937" s="40"/>
      <c r="C7937" s="40"/>
      <c r="E7937" s="80"/>
    </row>
    <row r="7938" spans="2:5" x14ac:dyDescent="0.25">
      <c r="B7938" s="40"/>
      <c r="C7938" s="40"/>
      <c r="E7938" s="80"/>
    </row>
    <row r="7939" spans="2:5" x14ac:dyDescent="0.25">
      <c r="B7939" s="40"/>
      <c r="C7939" s="40"/>
      <c r="E7939" s="80"/>
    </row>
    <row r="7940" spans="2:5" x14ac:dyDescent="0.25">
      <c r="B7940" s="40"/>
      <c r="C7940" s="40"/>
      <c r="E7940" s="80"/>
    </row>
    <row r="7941" spans="2:5" x14ac:dyDescent="0.25">
      <c r="B7941" s="40"/>
      <c r="C7941" s="40"/>
      <c r="E7941" s="80"/>
    </row>
    <row r="7942" spans="2:5" x14ac:dyDescent="0.25">
      <c r="B7942" s="40"/>
      <c r="C7942" s="40"/>
      <c r="E7942" s="80"/>
    </row>
    <row r="7943" spans="2:5" x14ac:dyDescent="0.25">
      <c r="B7943" s="40"/>
      <c r="C7943" s="40"/>
      <c r="E7943" s="80"/>
    </row>
    <row r="7944" spans="2:5" x14ac:dyDescent="0.25">
      <c r="B7944" s="40"/>
      <c r="C7944" s="40"/>
      <c r="E7944" s="80"/>
    </row>
    <row r="7945" spans="2:5" x14ac:dyDescent="0.25">
      <c r="B7945" s="40"/>
      <c r="C7945" s="40"/>
      <c r="E7945" s="80"/>
    </row>
    <row r="7946" spans="2:5" x14ac:dyDescent="0.25">
      <c r="B7946" s="40"/>
      <c r="C7946" s="40"/>
      <c r="E7946" s="80"/>
    </row>
    <row r="7947" spans="2:5" x14ac:dyDescent="0.25">
      <c r="B7947" s="40"/>
      <c r="C7947" s="40"/>
      <c r="E7947" s="80"/>
    </row>
    <row r="7948" spans="2:5" x14ac:dyDescent="0.25">
      <c r="B7948" s="40"/>
      <c r="C7948" s="40"/>
      <c r="E7948" s="80"/>
    </row>
    <row r="7949" spans="2:5" x14ac:dyDescent="0.25">
      <c r="B7949" s="40"/>
      <c r="C7949" s="40"/>
      <c r="E7949" s="80"/>
    </row>
    <row r="7950" spans="2:5" x14ac:dyDescent="0.25">
      <c r="B7950" s="40"/>
      <c r="C7950" s="40"/>
      <c r="E7950" s="80"/>
    </row>
    <row r="7951" spans="2:5" x14ac:dyDescent="0.25">
      <c r="B7951" s="40"/>
      <c r="C7951" s="40"/>
      <c r="E7951" s="80"/>
    </row>
    <row r="7952" spans="2:5" x14ac:dyDescent="0.25">
      <c r="B7952" s="40"/>
      <c r="C7952" s="40"/>
      <c r="E7952" s="80"/>
    </row>
    <row r="7953" spans="2:5" x14ac:dyDescent="0.25">
      <c r="B7953" s="40"/>
      <c r="C7953" s="40"/>
      <c r="E7953" s="80"/>
    </row>
    <row r="7954" spans="2:5" x14ac:dyDescent="0.25">
      <c r="B7954" s="40"/>
      <c r="C7954" s="40"/>
      <c r="E7954" s="80"/>
    </row>
    <row r="7955" spans="2:5" x14ac:dyDescent="0.25">
      <c r="B7955" s="40"/>
      <c r="C7955" s="40"/>
      <c r="E7955" s="80"/>
    </row>
    <row r="7956" spans="2:5" x14ac:dyDescent="0.25">
      <c r="B7956" s="40"/>
      <c r="C7956" s="40"/>
      <c r="E7956" s="80"/>
    </row>
    <row r="7957" spans="2:5" x14ac:dyDescent="0.25">
      <c r="B7957" s="40"/>
      <c r="C7957" s="40"/>
      <c r="E7957" s="80"/>
    </row>
    <row r="7958" spans="2:5" x14ac:dyDescent="0.25">
      <c r="B7958" s="40"/>
      <c r="C7958" s="40"/>
      <c r="E7958" s="80"/>
    </row>
    <row r="7959" spans="2:5" x14ac:dyDescent="0.25">
      <c r="B7959" s="40"/>
      <c r="C7959" s="40"/>
      <c r="E7959" s="80"/>
    </row>
    <row r="7960" spans="2:5" x14ac:dyDescent="0.25">
      <c r="B7960" s="40"/>
      <c r="C7960" s="40"/>
      <c r="E7960" s="80"/>
    </row>
    <row r="7961" spans="2:5" x14ac:dyDescent="0.25">
      <c r="B7961" s="40"/>
      <c r="C7961" s="40"/>
      <c r="E7961" s="80"/>
    </row>
    <row r="7962" spans="2:5" x14ac:dyDescent="0.25">
      <c r="B7962" s="40"/>
      <c r="C7962" s="40"/>
      <c r="E7962" s="80"/>
    </row>
    <row r="7963" spans="2:5" x14ac:dyDescent="0.25">
      <c r="B7963" s="40"/>
      <c r="C7963" s="40"/>
      <c r="E7963" s="80"/>
    </row>
    <row r="7964" spans="2:5" x14ac:dyDescent="0.25">
      <c r="B7964" s="40"/>
      <c r="C7964" s="40"/>
      <c r="E7964" s="80"/>
    </row>
    <row r="7965" spans="2:5" x14ac:dyDescent="0.25">
      <c r="B7965" s="40"/>
      <c r="C7965" s="40"/>
      <c r="E7965" s="80"/>
    </row>
    <row r="7966" spans="2:5" x14ac:dyDescent="0.25">
      <c r="B7966" s="40"/>
      <c r="C7966" s="40"/>
      <c r="E7966" s="80"/>
    </row>
    <row r="7967" spans="2:5" x14ac:dyDescent="0.25">
      <c r="B7967" s="40"/>
      <c r="C7967" s="40"/>
      <c r="E7967" s="80"/>
    </row>
    <row r="7968" spans="2:5" x14ac:dyDescent="0.25">
      <c r="B7968" s="40"/>
      <c r="C7968" s="40"/>
      <c r="E7968" s="80"/>
    </row>
    <row r="7969" spans="2:5" x14ac:dyDescent="0.25">
      <c r="B7969" s="40"/>
      <c r="C7969" s="40"/>
      <c r="E7969" s="80"/>
    </row>
    <row r="7970" spans="2:5" x14ac:dyDescent="0.25">
      <c r="B7970" s="40"/>
      <c r="C7970" s="40"/>
      <c r="E7970" s="80"/>
    </row>
    <row r="7971" spans="2:5" x14ac:dyDescent="0.25">
      <c r="B7971" s="40"/>
      <c r="C7971" s="40"/>
      <c r="E7971" s="80"/>
    </row>
    <row r="7972" spans="2:5" x14ac:dyDescent="0.25">
      <c r="B7972" s="40"/>
      <c r="C7972" s="40"/>
      <c r="E7972" s="80"/>
    </row>
    <row r="7973" spans="2:5" x14ac:dyDescent="0.25">
      <c r="B7973" s="40"/>
      <c r="C7973" s="40"/>
      <c r="E7973" s="80"/>
    </row>
    <row r="7974" spans="2:5" x14ac:dyDescent="0.25">
      <c r="B7974" s="40"/>
      <c r="C7974" s="40"/>
      <c r="E7974" s="80"/>
    </row>
    <row r="7975" spans="2:5" x14ac:dyDescent="0.25">
      <c r="B7975" s="40"/>
      <c r="C7975" s="40"/>
      <c r="E7975" s="80"/>
    </row>
    <row r="7976" spans="2:5" x14ac:dyDescent="0.25">
      <c r="B7976" s="40"/>
      <c r="C7976" s="40"/>
      <c r="E7976" s="80"/>
    </row>
    <row r="7977" spans="2:5" x14ac:dyDescent="0.25">
      <c r="B7977" s="40"/>
      <c r="C7977" s="40"/>
      <c r="E7977" s="80"/>
    </row>
    <row r="7978" spans="2:5" x14ac:dyDescent="0.25">
      <c r="B7978" s="40"/>
      <c r="C7978" s="40"/>
      <c r="E7978" s="80"/>
    </row>
    <row r="7979" spans="2:5" x14ac:dyDescent="0.25">
      <c r="B7979" s="40"/>
      <c r="C7979" s="40"/>
      <c r="E7979" s="80"/>
    </row>
    <row r="7980" spans="2:5" x14ac:dyDescent="0.25">
      <c r="B7980" s="40"/>
      <c r="C7980" s="40"/>
      <c r="E7980" s="80"/>
    </row>
    <row r="7981" spans="2:5" x14ac:dyDescent="0.25">
      <c r="B7981" s="40"/>
      <c r="C7981" s="40"/>
      <c r="E7981" s="80"/>
    </row>
    <row r="7982" spans="2:5" x14ac:dyDescent="0.25">
      <c r="B7982" s="40"/>
      <c r="C7982" s="40"/>
      <c r="E7982" s="80"/>
    </row>
    <row r="7983" spans="2:5" x14ac:dyDescent="0.25">
      <c r="B7983" s="40"/>
      <c r="C7983" s="40"/>
      <c r="E7983" s="80"/>
    </row>
    <row r="7984" spans="2:5" x14ac:dyDescent="0.25">
      <c r="B7984" s="40"/>
      <c r="C7984" s="40"/>
      <c r="E7984" s="80"/>
    </row>
    <row r="7985" spans="2:5" x14ac:dyDescent="0.25">
      <c r="B7985" s="40"/>
      <c r="C7985" s="40"/>
      <c r="E7985" s="80"/>
    </row>
    <row r="7986" spans="2:5" x14ac:dyDescent="0.25">
      <c r="B7986" s="40"/>
      <c r="C7986" s="40"/>
      <c r="E7986" s="80"/>
    </row>
    <row r="7987" spans="2:5" x14ac:dyDescent="0.25">
      <c r="B7987" s="40"/>
      <c r="C7987" s="40"/>
      <c r="E7987" s="80"/>
    </row>
    <row r="7988" spans="2:5" x14ac:dyDescent="0.25">
      <c r="B7988" s="40"/>
      <c r="C7988" s="40"/>
      <c r="E7988" s="80"/>
    </row>
    <row r="7989" spans="2:5" x14ac:dyDescent="0.25">
      <c r="B7989" s="40"/>
      <c r="C7989" s="40"/>
      <c r="E7989" s="80"/>
    </row>
    <row r="7990" spans="2:5" x14ac:dyDescent="0.25">
      <c r="B7990" s="40"/>
      <c r="C7990" s="40"/>
      <c r="E7990" s="80"/>
    </row>
    <row r="7991" spans="2:5" x14ac:dyDescent="0.25">
      <c r="B7991" s="40"/>
      <c r="C7991" s="40"/>
      <c r="E7991" s="80"/>
    </row>
    <row r="7992" spans="2:5" x14ac:dyDescent="0.25">
      <c r="B7992" s="40"/>
      <c r="C7992" s="40"/>
      <c r="E7992" s="80"/>
    </row>
    <row r="7993" spans="2:5" x14ac:dyDescent="0.25">
      <c r="B7993" s="40"/>
      <c r="C7993" s="40"/>
      <c r="E7993" s="80"/>
    </row>
    <row r="7994" spans="2:5" x14ac:dyDescent="0.25">
      <c r="B7994" s="40"/>
      <c r="C7994" s="40"/>
      <c r="E7994" s="80"/>
    </row>
    <row r="7995" spans="2:5" x14ac:dyDescent="0.25">
      <c r="B7995" s="40"/>
      <c r="C7995" s="40"/>
      <c r="E7995" s="80"/>
    </row>
    <row r="7996" spans="2:5" x14ac:dyDescent="0.25">
      <c r="B7996" s="40"/>
      <c r="C7996" s="40"/>
      <c r="E7996" s="80"/>
    </row>
    <row r="7997" spans="2:5" x14ac:dyDescent="0.25">
      <c r="B7997" s="40"/>
      <c r="C7997" s="40"/>
      <c r="E7997" s="80"/>
    </row>
    <row r="7998" spans="2:5" x14ac:dyDescent="0.25">
      <c r="B7998" s="40"/>
      <c r="C7998" s="40"/>
      <c r="E7998" s="80"/>
    </row>
    <row r="7999" spans="2:5" x14ac:dyDescent="0.25">
      <c r="B7999" s="40"/>
      <c r="C7999" s="40"/>
      <c r="E7999" s="80"/>
    </row>
    <row r="8000" spans="2:5" x14ac:dyDescent="0.25">
      <c r="B8000" s="40"/>
      <c r="C8000" s="40"/>
      <c r="E8000" s="80"/>
    </row>
    <row r="8001" spans="2:5" x14ac:dyDescent="0.25">
      <c r="B8001" s="40"/>
      <c r="C8001" s="40"/>
      <c r="E8001" s="80"/>
    </row>
    <row r="8002" spans="2:5" x14ac:dyDescent="0.25">
      <c r="B8002" s="40"/>
      <c r="C8002" s="40"/>
      <c r="E8002" s="80"/>
    </row>
    <row r="8003" spans="2:5" x14ac:dyDescent="0.25">
      <c r="B8003" s="40"/>
      <c r="C8003" s="40"/>
      <c r="E8003" s="80"/>
    </row>
    <row r="8004" spans="2:5" x14ac:dyDescent="0.25">
      <c r="B8004" s="40"/>
      <c r="C8004" s="40"/>
      <c r="E8004" s="80"/>
    </row>
    <row r="8005" spans="2:5" x14ac:dyDescent="0.25">
      <c r="B8005" s="40"/>
      <c r="C8005" s="40"/>
      <c r="E8005" s="80"/>
    </row>
    <row r="8006" spans="2:5" x14ac:dyDescent="0.25">
      <c r="B8006" s="40"/>
      <c r="C8006" s="40"/>
      <c r="E8006" s="80"/>
    </row>
    <row r="8007" spans="2:5" x14ac:dyDescent="0.25">
      <c r="B8007" s="40"/>
      <c r="C8007" s="40"/>
      <c r="E8007" s="80"/>
    </row>
    <row r="8008" spans="2:5" x14ac:dyDescent="0.25">
      <c r="B8008" s="40"/>
      <c r="C8008" s="40"/>
      <c r="E8008" s="80"/>
    </row>
    <row r="8009" spans="2:5" x14ac:dyDescent="0.25">
      <c r="B8009" s="40"/>
      <c r="C8009" s="40"/>
      <c r="E8009" s="80"/>
    </row>
    <row r="8010" spans="2:5" x14ac:dyDescent="0.25">
      <c r="B8010" s="40"/>
      <c r="C8010" s="40"/>
      <c r="E8010" s="80"/>
    </row>
    <row r="8011" spans="2:5" x14ac:dyDescent="0.25">
      <c r="B8011" s="40"/>
      <c r="C8011" s="40"/>
      <c r="E8011" s="80"/>
    </row>
    <row r="8012" spans="2:5" x14ac:dyDescent="0.25">
      <c r="B8012" s="40"/>
      <c r="C8012" s="40"/>
      <c r="E8012" s="80"/>
    </row>
    <row r="8013" spans="2:5" x14ac:dyDescent="0.25">
      <c r="B8013" s="40"/>
      <c r="C8013" s="40"/>
      <c r="E8013" s="80"/>
    </row>
    <row r="8014" spans="2:5" x14ac:dyDescent="0.25">
      <c r="B8014" s="40"/>
      <c r="C8014" s="40"/>
      <c r="E8014" s="80"/>
    </row>
    <row r="8015" spans="2:5" x14ac:dyDescent="0.25">
      <c r="B8015" s="40"/>
      <c r="C8015" s="40"/>
      <c r="E8015" s="80"/>
    </row>
    <row r="8016" spans="2:5" x14ac:dyDescent="0.25">
      <c r="B8016" s="40"/>
      <c r="C8016" s="40"/>
      <c r="E8016" s="80"/>
    </row>
    <row r="8017" spans="2:5" x14ac:dyDescent="0.25">
      <c r="B8017" s="40"/>
      <c r="C8017" s="40"/>
      <c r="E8017" s="80"/>
    </row>
    <row r="8018" spans="2:5" x14ac:dyDescent="0.25">
      <c r="B8018" s="40"/>
      <c r="C8018" s="40"/>
      <c r="E8018" s="80"/>
    </row>
    <row r="8019" spans="2:5" x14ac:dyDescent="0.25">
      <c r="B8019" s="40"/>
      <c r="C8019" s="40"/>
      <c r="E8019" s="80"/>
    </row>
    <row r="8020" spans="2:5" x14ac:dyDescent="0.25">
      <c r="B8020" s="40"/>
      <c r="C8020" s="40"/>
      <c r="E8020" s="80"/>
    </row>
    <row r="8021" spans="2:5" x14ac:dyDescent="0.25">
      <c r="B8021" s="40"/>
      <c r="C8021" s="40"/>
      <c r="E8021" s="80"/>
    </row>
    <row r="8022" spans="2:5" x14ac:dyDescent="0.25">
      <c r="B8022" s="40"/>
      <c r="C8022" s="40"/>
      <c r="E8022" s="80"/>
    </row>
    <row r="8023" spans="2:5" x14ac:dyDescent="0.25">
      <c r="B8023" s="40"/>
      <c r="C8023" s="40"/>
      <c r="E8023" s="80"/>
    </row>
    <row r="8024" spans="2:5" x14ac:dyDescent="0.25">
      <c r="B8024" s="40"/>
      <c r="C8024" s="40"/>
      <c r="E8024" s="80"/>
    </row>
    <row r="8025" spans="2:5" x14ac:dyDescent="0.25">
      <c r="B8025" s="40"/>
      <c r="C8025" s="40"/>
      <c r="E8025" s="80"/>
    </row>
    <row r="8026" spans="2:5" x14ac:dyDescent="0.25">
      <c r="B8026" s="40"/>
      <c r="C8026" s="40"/>
      <c r="E8026" s="80"/>
    </row>
    <row r="8027" spans="2:5" x14ac:dyDescent="0.25">
      <c r="B8027" s="40"/>
      <c r="C8027" s="40"/>
      <c r="E8027" s="80"/>
    </row>
    <row r="8028" spans="2:5" x14ac:dyDescent="0.25">
      <c r="B8028" s="40"/>
      <c r="C8028" s="40"/>
      <c r="E8028" s="80"/>
    </row>
    <row r="8029" spans="2:5" x14ac:dyDescent="0.25">
      <c r="B8029" s="40"/>
      <c r="C8029" s="40"/>
      <c r="E8029" s="80"/>
    </row>
    <row r="8030" spans="2:5" x14ac:dyDescent="0.25">
      <c r="B8030" s="40"/>
      <c r="C8030" s="40"/>
      <c r="E8030" s="80"/>
    </row>
    <row r="8031" spans="2:5" x14ac:dyDescent="0.25">
      <c r="B8031" s="40"/>
      <c r="C8031" s="40"/>
      <c r="E8031" s="80"/>
    </row>
    <row r="8032" spans="2:5" x14ac:dyDescent="0.25">
      <c r="B8032" s="40"/>
      <c r="C8032" s="40"/>
      <c r="E8032" s="80"/>
    </row>
    <row r="8033" spans="2:5" x14ac:dyDescent="0.25">
      <c r="B8033" s="40"/>
      <c r="C8033" s="40"/>
      <c r="E8033" s="80"/>
    </row>
    <row r="8034" spans="2:5" x14ac:dyDescent="0.25">
      <c r="B8034" s="40"/>
      <c r="C8034" s="40"/>
      <c r="E8034" s="80"/>
    </row>
    <row r="8035" spans="2:5" x14ac:dyDescent="0.25">
      <c r="B8035" s="40"/>
      <c r="C8035" s="40"/>
      <c r="E8035" s="80"/>
    </row>
    <row r="8036" spans="2:5" x14ac:dyDescent="0.25">
      <c r="B8036" s="40"/>
      <c r="C8036" s="40"/>
      <c r="E8036" s="80"/>
    </row>
    <row r="8037" spans="2:5" x14ac:dyDescent="0.25">
      <c r="B8037" s="40"/>
      <c r="C8037" s="40"/>
      <c r="E8037" s="80"/>
    </row>
    <row r="8038" spans="2:5" x14ac:dyDescent="0.25">
      <c r="B8038" s="40"/>
      <c r="C8038" s="40"/>
      <c r="E8038" s="80"/>
    </row>
    <row r="8039" spans="2:5" x14ac:dyDescent="0.25">
      <c r="B8039" s="40"/>
      <c r="C8039" s="40"/>
      <c r="E8039" s="80"/>
    </row>
    <row r="8040" spans="2:5" x14ac:dyDescent="0.25">
      <c r="B8040" s="40"/>
      <c r="C8040" s="40"/>
      <c r="E8040" s="80"/>
    </row>
    <row r="8041" spans="2:5" x14ac:dyDescent="0.25">
      <c r="B8041" s="40"/>
      <c r="C8041" s="40"/>
      <c r="E8041" s="80"/>
    </row>
    <row r="8042" spans="2:5" x14ac:dyDescent="0.25">
      <c r="B8042" s="40"/>
      <c r="C8042" s="40"/>
      <c r="E8042" s="80"/>
    </row>
    <row r="8043" spans="2:5" x14ac:dyDescent="0.25">
      <c r="B8043" s="40"/>
      <c r="C8043" s="40"/>
      <c r="E8043" s="80"/>
    </row>
    <row r="8044" spans="2:5" x14ac:dyDescent="0.25">
      <c r="B8044" s="40"/>
      <c r="C8044" s="40"/>
      <c r="E8044" s="80"/>
    </row>
    <row r="8045" spans="2:5" x14ac:dyDescent="0.25">
      <c r="B8045" s="40"/>
      <c r="C8045" s="40"/>
      <c r="E8045" s="80"/>
    </row>
    <row r="8046" spans="2:5" x14ac:dyDescent="0.25">
      <c r="B8046" s="40"/>
      <c r="C8046" s="40"/>
      <c r="E8046" s="80"/>
    </row>
    <row r="8047" spans="2:5" x14ac:dyDescent="0.25">
      <c r="B8047" s="40"/>
      <c r="C8047" s="40"/>
      <c r="E8047" s="80"/>
    </row>
    <row r="8048" spans="2:5" x14ac:dyDescent="0.25">
      <c r="B8048" s="40"/>
      <c r="C8048" s="40"/>
      <c r="E8048" s="80"/>
    </row>
    <row r="8049" spans="2:5" x14ac:dyDescent="0.25">
      <c r="B8049" s="40"/>
      <c r="C8049" s="40"/>
      <c r="E8049" s="80"/>
    </row>
    <row r="8050" spans="2:5" x14ac:dyDescent="0.25">
      <c r="B8050" s="40"/>
      <c r="C8050" s="40"/>
      <c r="E8050" s="80"/>
    </row>
    <row r="8051" spans="2:5" x14ac:dyDescent="0.25">
      <c r="B8051" s="40"/>
      <c r="C8051" s="40"/>
      <c r="E8051" s="80"/>
    </row>
    <row r="8052" spans="2:5" x14ac:dyDescent="0.25">
      <c r="B8052" s="40"/>
      <c r="C8052" s="40"/>
      <c r="E8052" s="80"/>
    </row>
    <row r="8053" spans="2:5" x14ac:dyDescent="0.25">
      <c r="B8053" s="40"/>
      <c r="C8053" s="40"/>
      <c r="E8053" s="80"/>
    </row>
    <row r="8054" spans="2:5" x14ac:dyDescent="0.25">
      <c r="B8054" s="40"/>
      <c r="C8054" s="40"/>
      <c r="E8054" s="80"/>
    </row>
    <row r="8055" spans="2:5" x14ac:dyDescent="0.25">
      <c r="B8055" s="40"/>
      <c r="C8055" s="40"/>
      <c r="E8055" s="80"/>
    </row>
    <row r="8056" spans="2:5" x14ac:dyDescent="0.25">
      <c r="B8056" s="40"/>
      <c r="C8056" s="40"/>
      <c r="E8056" s="80"/>
    </row>
    <row r="8057" spans="2:5" x14ac:dyDescent="0.25">
      <c r="B8057" s="40"/>
      <c r="C8057" s="40"/>
      <c r="E8057" s="80"/>
    </row>
    <row r="8058" spans="2:5" x14ac:dyDescent="0.25">
      <c r="B8058" s="40"/>
      <c r="C8058" s="40"/>
      <c r="E8058" s="80"/>
    </row>
    <row r="8059" spans="2:5" x14ac:dyDescent="0.25">
      <c r="B8059" s="40"/>
      <c r="C8059" s="40"/>
      <c r="E8059" s="80"/>
    </row>
    <row r="8060" spans="2:5" x14ac:dyDescent="0.25">
      <c r="B8060" s="40"/>
      <c r="C8060" s="40"/>
      <c r="E8060" s="80"/>
    </row>
    <row r="8061" spans="2:5" x14ac:dyDescent="0.25">
      <c r="B8061" s="40"/>
      <c r="C8061" s="40"/>
      <c r="E8061" s="80"/>
    </row>
    <row r="8062" spans="2:5" x14ac:dyDescent="0.25">
      <c r="B8062" s="40"/>
      <c r="C8062" s="40"/>
      <c r="E8062" s="80"/>
    </row>
    <row r="8063" spans="2:5" x14ac:dyDescent="0.25">
      <c r="B8063" s="40"/>
      <c r="C8063" s="40"/>
      <c r="E8063" s="80"/>
    </row>
    <row r="8064" spans="2:5" x14ac:dyDescent="0.25">
      <c r="B8064" s="40"/>
      <c r="C8064" s="40"/>
      <c r="E8064" s="80"/>
    </row>
    <row r="8065" spans="2:5" x14ac:dyDescent="0.25">
      <c r="B8065" s="40"/>
      <c r="C8065" s="40"/>
      <c r="E8065" s="80"/>
    </row>
    <row r="8066" spans="2:5" x14ac:dyDescent="0.25">
      <c r="B8066" s="40"/>
      <c r="C8066" s="40"/>
      <c r="E8066" s="80"/>
    </row>
    <row r="8067" spans="2:5" x14ac:dyDescent="0.25">
      <c r="B8067" s="40"/>
      <c r="C8067" s="40"/>
      <c r="E8067" s="80"/>
    </row>
    <row r="8068" spans="2:5" x14ac:dyDescent="0.25">
      <c r="B8068" s="40"/>
      <c r="C8068" s="40"/>
      <c r="E8068" s="80"/>
    </row>
    <row r="8069" spans="2:5" x14ac:dyDescent="0.25">
      <c r="B8069" s="40"/>
      <c r="C8069" s="40"/>
      <c r="E8069" s="80"/>
    </row>
    <row r="8070" spans="2:5" x14ac:dyDescent="0.25">
      <c r="B8070" s="40"/>
      <c r="C8070" s="40"/>
      <c r="E8070" s="80"/>
    </row>
    <row r="8071" spans="2:5" x14ac:dyDescent="0.25">
      <c r="B8071" s="40"/>
      <c r="C8071" s="40"/>
      <c r="E8071" s="80"/>
    </row>
    <row r="8072" spans="2:5" x14ac:dyDescent="0.25">
      <c r="B8072" s="40"/>
      <c r="C8072" s="40"/>
      <c r="E8072" s="80"/>
    </row>
    <row r="8073" spans="2:5" x14ac:dyDescent="0.25">
      <c r="B8073" s="40"/>
      <c r="C8073" s="40"/>
      <c r="E8073" s="80"/>
    </row>
    <row r="8074" spans="2:5" x14ac:dyDescent="0.25">
      <c r="B8074" s="40"/>
      <c r="C8074" s="40"/>
      <c r="E8074" s="80"/>
    </row>
    <row r="8075" spans="2:5" x14ac:dyDescent="0.25">
      <c r="B8075" s="40"/>
      <c r="C8075" s="40"/>
      <c r="E8075" s="80"/>
    </row>
    <row r="8076" spans="2:5" x14ac:dyDescent="0.25">
      <c r="B8076" s="40"/>
      <c r="C8076" s="40"/>
      <c r="E8076" s="80"/>
    </row>
    <row r="8077" spans="2:5" x14ac:dyDescent="0.25">
      <c r="B8077" s="40"/>
      <c r="C8077" s="40"/>
      <c r="E8077" s="80"/>
    </row>
    <row r="8078" spans="2:5" x14ac:dyDescent="0.25">
      <c r="B8078" s="40"/>
      <c r="C8078" s="40"/>
      <c r="E8078" s="80"/>
    </row>
    <row r="8079" spans="2:5" x14ac:dyDescent="0.25">
      <c r="B8079" s="40"/>
      <c r="C8079" s="40"/>
      <c r="E8079" s="80"/>
    </row>
    <row r="8080" spans="2:5" x14ac:dyDescent="0.25">
      <c r="B8080" s="40"/>
      <c r="C8080" s="40"/>
      <c r="E8080" s="80"/>
    </row>
    <row r="8081" spans="2:5" x14ac:dyDescent="0.25">
      <c r="B8081" s="40"/>
      <c r="C8081" s="40"/>
      <c r="E8081" s="80"/>
    </row>
    <row r="8082" spans="2:5" x14ac:dyDescent="0.25">
      <c r="B8082" s="40"/>
      <c r="C8082" s="40"/>
      <c r="E8082" s="80"/>
    </row>
    <row r="8083" spans="2:5" x14ac:dyDescent="0.25">
      <c r="B8083" s="40"/>
      <c r="C8083" s="40"/>
      <c r="E8083" s="80"/>
    </row>
    <row r="8084" spans="2:5" x14ac:dyDescent="0.25">
      <c r="B8084" s="40"/>
      <c r="C8084" s="40"/>
      <c r="E8084" s="41"/>
    </row>
    <row r="8085" spans="2:5" x14ac:dyDescent="0.25">
      <c r="B8085" s="40"/>
      <c r="C8085" s="40"/>
      <c r="E8085" s="80"/>
    </row>
    <row r="8086" spans="2:5" x14ac:dyDescent="0.25">
      <c r="B8086" s="40"/>
      <c r="C8086" s="40"/>
      <c r="E8086" s="80"/>
    </row>
    <row r="8087" spans="2:5" x14ac:dyDescent="0.25">
      <c r="B8087" s="40"/>
      <c r="C8087" s="40"/>
      <c r="E8087" s="80"/>
    </row>
    <row r="8088" spans="2:5" x14ac:dyDescent="0.25">
      <c r="B8088" s="40"/>
      <c r="C8088" s="40"/>
      <c r="E8088" s="80"/>
    </row>
    <row r="8089" spans="2:5" x14ac:dyDescent="0.25">
      <c r="B8089" s="40"/>
      <c r="C8089" s="40"/>
      <c r="E8089" s="80"/>
    </row>
    <row r="8090" spans="2:5" x14ac:dyDescent="0.25">
      <c r="B8090" s="40"/>
      <c r="C8090" s="40"/>
      <c r="E8090" s="80"/>
    </row>
    <row r="8091" spans="2:5" x14ac:dyDescent="0.25">
      <c r="B8091" s="40"/>
      <c r="C8091" s="40"/>
      <c r="E8091" s="80"/>
    </row>
    <row r="8092" spans="2:5" x14ac:dyDescent="0.25">
      <c r="B8092" s="40"/>
      <c r="C8092" s="40"/>
      <c r="E8092" s="80"/>
    </row>
    <row r="8093" spans="2:5" x14ac:dyDescent="0.25">
      <c r="B8093" s="40"/>
      <c r="C8093" s="40"/>
      <c r="E8093" s="80"/>
    </row>
    <row r="8094" spans="2:5" x14ac:dyDescent="0.25">
      <c r="B8094" s="40"/>
      <c r="C8094" s="40"/>
      <c r="E8094" s="80"/>
    </row>
    <row r="8095" spans="2:5" x14ac:dyDescent="0.25">
      <c r="B8095" s="40"/>
      <c r="C8095" s="40"/>
      <c r="E8095" s="80"/>
    </row>
    <row r="8096" spans="2:5" x14ac:dyDescent="0.25">
      <c r="B8096" s="40"/>
      <c r="C8096" s="40"/>
      <c r="E8096" s="80"/>
    </row>
    <row r="8097" spans="2:5" x14ac:dyDescent="0.25">
      <c r="B8097" s="40"/>
      <c r="C8097" s="40"/>
      <c r="E8097" s="80"/>
    </row>
    <row r="8098" spans="2:5" x14ac:dyDescent="0.25">
      <c r="B8098" s="40"/>
      <c r="C8098" s="40"/>
      <c r="E8098" s="80"/>
    </row>
    <row r="8099" spans="2:5" x14ac:dyDescent="0.25">
      <c r="B8099" s="40"/>
      <c r="C8099" s="40"/>
      <c r="E8099" s="80"/>
    </row>
    <row r="8100" spans="2:5" x14ac:dyDescent="0.25">
      <c r="B8100" s="40"/>
      <c r="C8100" s="40"/>
      <c r="E8100" s="80"/>
    </row>
    <row r="8101" spans="2:5" x14ac:dyDescent="0.25">
      <c r="B8101" s="40"/>
      <c r="C8101" s="40"/>
      <c r="E8101" s="80"/>
    </row>
    <row r="8102" spans="2:5" x14ac:dyDescent="0.25">
      <c r="B8102" s="40"/>
      <c r="C8102" s="40"/>
      <c r="E8102" s="80"/>
    </row>
    <row r="8103" spans="2:5" x14ac:dyDescent="0.25">
      <c r="B8103" s="40"/>
      <c r="C8103" s="40"/>
      <c r="E8103" s="80"/>
    </row>
    <row r="8104" spans="2:5" x14ac:dyDescent="0.25">
      <c r="B8104" s="40"/>
      <c r="C8104" s="40"/>
      <c r="E8104" s="80"/>
    </row>
    <row r="8105" spans="2:5" x14ac:dyDescent="0.25">
      <c r="B8105" s="40"/>
      <c r="C8105" s="40"/>
      <c r="E8105" s="80"/>
    </row>
    <row r="8106" spans="2:5" x14ac:dyDescent="0.25">
      <c r="B8106" s="40"/>
      <c r="C8106" s="40"/>
      <c r="E8106" s="80"/>
    </row>
    <row r="8107" spans="2:5" x14ac:dyDescent="0.25">
      <c r="B8107" s="40"/>
      <c r="C8107" s="40"/>
      <c r="E8107" s="80"/>
    </row>
    <row r="8108" spans="2:5" x14ac:dyDescent="0.25">
      <c r="B8108" s="40"/>
      <c r="C8108" s="40"/>
      <c r="E8108" s="80"/>
    </row>
    <row r="8109" spans="2:5" x14ac:dyDescent="0.25">
      <c r="B8109" s="40"/>
      <c r="C8109" s="40"/>
      <c r="E8109" s="80"/>
    </row>
    <row r="8110" spans="2:5" x14ac:dyDescent="0.25">
      <c r="B8110" s="40"/>
      <c r="C8110" s="40"/>
      <c r="E8110" s="80"/>
    </row>
    <row r="8111" spans="2:5" x14ac:dyDescent="0.25">
      <c r="B8111" s="40"/>
      <c r="C8111" s="40"/>
      <c r="E8111" s="80"/>
    </row>
    <row r="8112" spans="2:5" x14ac:dyDescent="0.25">
      <c r="B8112" s="40"/>
      <c r="C8112" s="40"/>
      <c r="E8112" s="80"/>
    </row>
    <row r="8113" spans="2:5" x14ac:dyDescent="0.25">
      <c r="B8113" s="40"/>
      <c r="C8113" s="40"/>
      <c r="E8113" s="80"/>
    </row>
    <row r="8114" spans="2:5" x14ac:dyDescent="0.25">
      <c r="B8114" s="40"/>
      <c r="C8114" s="40"/>
      <c r="E8114" s="80"/>
    </row>
    <row r="8115" spans="2:5" x14ac:dyDescent="0.25">
      <c r="B8115" s="40"/>
      <c r="C8115" s="40"/>
      <c r="E8115" s="80"/>
    </row>
    <row r="8116" spans="2:5" x14ac:dyDescent="0.25">
      <c r="B8116" s="40"/>
      <c r="C8116" s="40"/>
      <c r="E8116" s="80"/>
    </row>
    <row r="8117" spans="2:5" x14ac:dyDescent="0.25">
      <c r="B8117" s="40"/>
      <c r="C8117" s="40"/>
      <c r="E8117" s="80"/>
    </row>
    <row r="8118" spans="2:5" x14ac:dyDescent="0.25">
      <c r="B8118" s="40"/>
      <c r="C8118" s="40"/>
      <c r="E8118" s="80"/>
    </row>
    <row r="8119" spans="2:5" x14ac:dyDescent="0.25">
      <c r="B8119" s="40"/>
      <c r="C8119" s="40"/>
      <c r="E8119" s="80"/>
    </row>
    <row r="8120" spans="2:5" x14ac:dyDescent="0.25">
      <c r="B8120" s="40"/>
      <c r="C8120" s="40"/>
      <c r="E8120" s="80"/>
    </row>
    <row r="8121" spans="2:5" x14ac:dyDescent="0.25">
      <c r="B8121" s="40"/>
      <c r="C8121" s="40"/>
      <c r="E8121" s="80"/>
    </row>
    <row r="8122" spans="2:5" x14ac:dyDescent="0.25">
      <c r="B8122" s="40"/>
      <c r="C8122" s="40"/>
      <c r="E8122" s="80"/>
    </row>
    <row r="8123" spans="2:5" x14ac:dyDescent="0.25">
      <c r="B8123" s="40"/>
      <c r="C8123" s="40"/>
      <c r="E8123" s="80"/>
    </row>
    <row r="8124" spans="2:5" x14ac:dyDescent="0.25">
      <c r="B8124" s="40"/>
      <c r="C8124" s="40"/>
      <c r="E8124" s="80"/>
    </row>
    <row r="8125" spans="2:5" x14ac:dyDescent="0.25">
      <c r="B8125" s="40"/>
      <c r="C8125" s="40"/>
      <c r="E8125" s="80"/>
    </row>
    <row r="8126" spans="2:5" x14ac:dyDescent="0.25">
      <c r="B8126" s="40"/>
      <c r="C8126" s="40"/>
      <c r="E8126" s="80"/>
    </row>
    <row r="8127" spans="2:5" x14ac:dyDescent="0.25">
      <c r="B8127" s="40"/>
      <c r="C8127" s="40"/>
      <c r="E8127" s="80"/>
    </row>
    <row r="8128" spans="2:5" x14ac:dyDescent="0.25">
      <c r="B8128" s="40"/>
      <c r="C8128" s="40"/>
      <c r="E8128" s="80"/>
    </row>
    <row r="8129" spans="2:5" x14ac:dyDescent="0.25">
      <c r="B8129" s="40"/>
      <c r="C8129" s="40"/>
      <c r="E8129" s="80"/>
    </row>
    <row r="8130" spans="2:5" x14ac:dyDescent="0.25">
      <c r="B8130" s="40"/>
      <c r="C8130" s="40"/>
      <c r="E8130" s="80"/>
    </row>
    <row r="8131" spans="2:5" x14ac:dyDescent="0.25">
      <c r="B8131" s="40"/>
      <c r="C8131" s="40"/>
      <c r="E8131" s="80"/>
    </row>
    <row r="8132" spans="2:5" x14ac:dyDescent="0.25">
      <c r="B8132" s="40"/>
      <c r="C8132" s="40"/>
      <c r="E8132" s="80"/>
    </row>
    <row r="8133" spans="2:5" x14ac:dyDescent="0.25">
      <c r="B8133" s="40"/>
      <c r="C8133" s="40"/>
      <c r="E8133" s="80"/>
    </row>
    <row r="8134" spans="2:5" x14ac:dyDescent="0.25">
      <c r="B8134" s="40"/>
      <c r="C8134" s="40"/>
      <c r="E8134" s="80"/>
    </row>
    <row r="8135" spans="2:5" x14ac:dyDescent="0.25">
      <c r="B8135" s="40"/>
      <c r="C8135" s="40"/>
      <c r="E8135" s="80"/>
    </row>
    <row r="8136" spans="2:5" x14ac:dyDescent="0.25">
      <c r="B8136" s="40"/>
      <c r="C8136" s="40"/>
      <c r="E8136" s="80"/>
    </row>
    <row r="8137" spans="2:5" x14ac:dyDescent="0.25">
      <c r="B8137" s="40"/>
      <c r="C8137" s="40"/>
      <c r="E8137" s="80"/>
    </row>
    <row r="8138" spans="2:5" x14ac:dyDescent="0.25">
      <c r="B8138" s="40"/>
      <c r="C8138" s="40"/>
      <c r="E8138" s="80"/>
    </row>
    <row r="8139" spans="2:5" x14ac:dyDescent="0.25">
      <c r="B8139" s="40"/>
      <c r="C8139" s="40"/>
      <c r="E8139" s="80"/>
    </row>
    <row r="8140" spans="2:5" x14ac:dyDescent="0.25">
      <c r="B8140" s="40"/>
      <c r="C8140" s="40"/>
      <c r="E8140" s="80"/>
    </row>
    <row r="8141" spans="2:5" x14ac:dyDescent="0.25">
      <c r="B8141" s="40"/>
      <c r="C8141" s="40"/>
      <c r="E8141" s="80"/>
    </row>
    <row r="8142" spans="2:5" x14ac:dyDescent="0.25">
      <c r="B8142" s="40"/>
      <c r="C8142" s="40"/>
      <c r="E8142" s="80"/>
    </row>
    <row r="8143" spans="2:5" x14ac:dyDescent="0.25">
      <c r="B8143" s="40"/>
      <c r="C8143" s="40"/>
      <c r="E8143" s="80"/>
    </row>
    <row r="8144" spans="2:5" x14ac:dyDescent="0.25">
      <c r="B8144" s="40"/>
      <c r="C8144" s="40"/>
      <c r="E8144" s="80"/>
    </row>
    <row r="8145" spans="2:5" x14ac:dyDescent="0.25">
      <c r="B8145" s="40"/>
      <c r="C8145" s="40"/>
      <c r="E8145" s="80"/>
    </row>
    <row r="8146" spans="2:5" x14ac:dyDescent="0.25">
      <c r="B8146" s="40"/>
      <c r="C8146" s="40"/>
      <c r="E8146" s="80"/>
    </row>
    <row r="8147" spans="2:5" x14ac:dyDescent="0.25">
      <c r="B8147" s="40"/>
      <c r="C8147" s="40"/>
      <c r="E8147" s="80"/>
    </row>
    <row r="8148" spans="2:5" x14ac:dyDescent="0.25">
      <c r="B8148" s="40"/>
      <c r="C8148" s="40"/>
      <c r="E8148" s="80"/>
    </row>
    <row r="8149" spans="2:5" x14ac:dyDescent="0.25">
      <c r="B8149" s="40"/>
      <c r="C8149" s="40"/>
      <c r="E8149" s="80"/>
    </row>
    <row r="8150" spans="2:5" x14ac:dyDescent="0.25">
      <c r="B8150" s="40"/>
      <c r="C8150" s="40"/>
      <c r="E8150" s="80"/>
    </row>
    <row r="8151" spans="2:5" x14ac:dyDescent="0.25">
      <c r="B8151" s="40"/>
      <c r="C8151" s="40"/>
      <c r="E8151" s="80"/>
    </row>
    <row r="8152" spans="2:5" x14ac:dyDescent="0.25">
      <c r="B8152" s="40"/>
      <c r="C8152" s="40"/>
      <c r="E8152" s="80"/>
    </row>
    <row r="8153" spans="2:5" x14ac:dyDescent="0.25">
      <c r="B8153" s="40"/>
      <c r="C8153" s="40"/>
      <c r="E8153" s="80"/>
    </row>
    <row r="8154" spans="2:5" x14ac:dyDescent="0.25">
      <c r="B8154" s="40"/>
      <c r="C8154" s="40"/>
      <c r="E8154" s="80"/>
    </row>
    <row r="8155" spans="2:5" x14ac:dyDescent="0.25">
      <c r="B8155" s="40"/>
      <c r="C8155" s="40"/>
      <c r="E8155" s="80"/>
    </row>
    <row r="8156" spans="2:5" x14ac:dyDescent="0.25">
      <c r="B8156" s="40"/>
      <c r="C8156" s="40"/>
      <c r="E8156" s="80"/>
    </row>
    <row r="8157" spans="2:5" x14ac:dyDescent="0.25">
      <c r="B8157" s="40"/>
      <c r="C8157" s="40"/>
      <c r="E8157" s="80"/>
    </row>
    <row r="8158" spans="2:5" x14ac:dyDescent="0.25">
      <c r="B8158" s="40"/>
      <c r="C8158" s="40"/>
      <c r="E8158" s="80"/>
    </row>
    <row r="8159" spans="2:5" x14ac:dyDescent="0.25">
      <c r="B8159" s="40"/>
      <c r="C8159" s="40"/>
      <c r="E8159" s="80"/>
    </row>
    <row r="8160" spans="2:5" x14ac:dyDescent="0.25">
      <c r="B8160" s="40"/>
      <c r="C8160" s="40"/>
      <c r="E8160" s="80"/>
    </row>
    <row r="8161" spans="2:5" x14ac:dyDescent="0.25">
      <c r="B8161" s="40"/>
      <c r="C8161" s="40"/>
      <c r="E8161" s="80"/>
    </row>
    <row r="8162" spans="2:5" x14ac:dyDescent="0.25">
      <c r="B8162" s="40"/>
      <c r="C8162" s="40"/>
      <c r="E8162" s="80"/>
    </row>
    <row r="8163" spans="2:5" x14ac:dyDescent="0.25">
      <c r="B8163" s="40"/>
      <c r="C8163" s="40"/>
      <c r="E8163" s="80"/>
    </row>
    <row r="8164" spans="2:5" x14ac:dyDescent="0.25">
      <c r="B8164" s="40"/>
      <c r="C8164" s="40"/>
      <c r="E8164" s="80"/>
    </row>
    <row r="8165" spans="2:5" x14ac:dyDescent="0.25">
      <c r="B8165" s="40"/>
      <c r="C8165" s="40"/>
      <c r="E8165" s="80"/>
    </row>
    <row r="8166" spans="2:5" x14ac:dyDescent="0.25">
      <c r="B8166" s="40"/>
      <c r="C8166" s="40"/>
      <c r="E8166" s="80"/>
    </row>
    <row r="8167" spans="2:5" x14ac:dyDescent="0.25">
      <c r="B8167" s="40"/>
      <c r="C8167" s="40"/>
      <c r="E8167" s="80"/>
    </row>
    <row r="8168" spans="2:5" x14ac:dyDescent="0.25">
      <c r="B8168" s="40"/>
      <c r="C8168" s="40"/>
      <c r="E8168" s="80"/>
    </row>
    <row r="8169" spans="2:5" x14ac:dyDescent="0.25">
      <c r="B8169" s="40"/>
      <c r="C8169" s="40"/>
      <c r="E8169" s="80"/>
    </row>
    <row r="8170" spans="2:5" x14ac:dyDescent="0.25">
      <c r="B8170" s="40"/>
      <c r="C8170" s="40"/>
      <c r="E8170" s="80"/>
    </row>
    <row r="8171" spans="2:5" x14ac:dyDescent="0.25">
      <c r="B8171" s="40"/>
      <c r="C8171" s="40"/>
      <c r="E8171" s="80"/>
    </row>
    <row r="8172" spans="2:5" x14ac:dyDescent="0.25">
      <c r="B8172" s="40"/>
      <c r="C8172" s="40"/>
      <c r="E8172" s="80"/>
    </row>
    <row r="8173" spans="2:5" x14ac:dyDescent="0.25">
      <c r="B8173" s="40"/>
      <c r="C8173" s="40"/>
      <c r="E8173" s="80"/>
    </row>
    <row r="8174" spans="2:5" x14ac:dyDescent="0.25">
      <c r="B8174" s="40"/>
      <c r="C8174" s="40"/>
      <c r="E8174" s="80"/>
    </row>
    <row r="8175" spans="2:5" x14ac:dyDescent="0.25">
      <c r="B8175" s="40"/>
      <c r="C8175" s="40"/>
      <c r="E8175" s="80"/>
    </row>
    <row r="8176" spans="2:5" x14ac:dyDescent="0.25">
      <c r="B8176" s="40"/>
      <c r="C8176" s="40"/>
      <c r="E8176" s="80"/>
    </row>
    <row r="8177" spans="2:5" x14ac:dyDescent="0.25">
      <c r="B8177" s="40"/>
      <c r="C8177" s="40"/>
      <c r="E8177" s="80"/>
    </row>
    <row r="8178" spans="2:5" x14ac:dyDescent="0.25">
      <c r="B8178" s="40"/>
      <c r="C8178" s="40"/>
      <c r="E8178" s="80"/>
    </row>
    <row r="8179" spans="2:5" x14ac:dyDescent="0.25">
      <c r="B8179" s="40"/>
      <c r="C8179" s="40"/>
      <c r="E8179" s="80"/>
    </row>
    <row r="8180" spans="2:5" x14ac:dyDescent="0.25">
      <c r="B8180" s="40"/>
      <c r="C8180" s="40"/>
      <c r="E8180" s="80"/>
    </row>
    <row r="8181" spans="2:5" x14ac:dyDescent="0.25">
      <c r="B8181" s="40"/>
      <c r="C8181" s="40"/>
      <c r="E8181" s="80"/>
    </row>
    <row r="8182" spans="2:5" x14ac:dyDescent="0.25">
      <c r="B8182" s="40"/>
      <c r="C8182" s="40"/>
      <c r="E8182" s="80"/>
    </row>
    <row r="8183" spans="2:5" x14ac:dyDescent="0.25">
      <c r="B8183" s="40"/>
      <c r="C8183" s="40"/>
      <c r="E8183" s="80"/>
    </row>
    <row r="8184" spans="2:5" x14ac:dyDescent="0.25">
      <c r="B8184" s="40"/>
      <c r="C8184" s="40"/>
      <c r="E8184" s="80"/>
    </row>
    <row r="8185" spans="2:5" x14ac:dyDescent="0.25">
      <c r="B8185" s="40"/>
      <c r="C8185" s="40"/>
      <c r="E8185" s="80"/>
    </row>
    <row r="8186" spans="2:5" x14ac:dyDescent="0.25">
      <c r="B8186" s="40"/>
      <c r="C8186" s="40"/>
      <c r="E8186" s="80"/>
    </row>
    <row r="8187" spans="2:5" x14ac:dyDescent="0.25">
      <c r="B8187" s="40"/>
      <c r="C8187" s="40"/>
      <c r="E8187" s="80"/>
    </row>
    <row r="8188" spans="2:5" x14ac:dyDescent="0.25">
      <c r="B8188" s="40"/>
      <c r="C8188" s="40"/>
      <c r="E8188" s="80"/>
    </row>
    <row r="8189" spans="2:5" x14ac:dyDescent="0.25">
      <c r="B8189" s="40"/>
      <c r="C8189" s="40"/>
      <c r="E8189" s="80"/>
    </row>
    <row r="8190" spans="2:5" x14ac:dyDescent="0.25">
      <c r="B8190" s="40"/>
      <c r="C8190" s="40"/>
      <c r="E8190" s="80"/>
    </row>
    <row r="8191" spans="2:5" x14ac:dyDescent="0.25">
      <c r="B8191" s="40"/>
      <c r="C8191" s="40"/>
      <c r="E8191" s="80"/>
    </row>
    <row r="8192" spans="2:5" x14ac:dyDescent="0.25">
      <c r="B8192" s="40"/>
      <c r="C8192" s="40"/>
      <c r="E8192" s="80"/>
    </row>
    <row r="8193" spans="2:5" x14ac:dyDescent="0.25">
      <c r="B8193" s="40"/>
      <c r="C8193" s="40"/>
      <c r="E8193" s="80"/>
    </row>
    <row r="8194" spans="2:5" x14ac:dyDescent="0.25">
      <c r="B8194" s="40"/>
      <c r="C8194" s="40"/>
      <c r="E8194" s="80"/>
    </row>
    <row r="8195" spans="2:5" x14ac:dyDescent="0.25">
      <c r="B8195" s="40"/>
      <c r="C8195" s="40"/>
      <c r="E8195" s="80"/>
    </row>
    <row r="8196" spans="2:5" x14ac:dyDescent="0.25">
      <c r="B8196" s="40"/>
      <c r="C8196" s="40"/>
      <c r="E8196" s="80"/>
    </row>
    <row r="8197" spans="2:5" x14ac:dyDescent="0.25">
      <c r="B8197" s="40"/>
      <c r="C8197" s="40"/>
      <c r="E8197" s="80"/>
    </row>
    <row r="8198" spans="2:5" x14ac:dyDescent="0.25">
      <c r="B8198" s="40"/>
      <c r="C8198" s="40"/>
      <c r="E8198" s="80"/>
    </row>
    <row r="8199" spans="2:5" x14ac:dyDescent="0.25">
      <c r="B8199" s="40"/>
      <c r="C8199" s="40"/>
      <c r="E8199" s="80"/>
    </row>
    <row r="8200" spans="2:5" x14ac:dyDescent="0.25">
      <c r="B8200" s="40"/>
      <c r="C8200" s="40"/>
      <c r="E8200" s="80"/>
    </row>
    <row r="8201" spans="2:5" x14ac:dyDescent="0.25">
      <c r="B8201" s="40"/>
      <c r="C8201" s="40"/>
      <c r="E8201" s="80"/>
    </row>
    <row r="8202" spans="2:5" x14ac:dyDescent="0.25">
      <c r="B8202" s="40"/>
      <c r="C8202" s="40"/>
      <c r="E8202" s="80"/>
    </row>
    <row r="8203" spans="2:5" x14ac:dyDescent="0.25">
      <c r="B8203" s="40"/>
      <c r="C8203" s="40"/>
      <c r="E8203" s="80"/>
    </row>
    <row r="8204" spans="2:5" x14ac:dyDescent="0.25">
      <c r="B8204" s="40"/>
      <c r="C8204" s="40"/>
      <c r="E8204" s="80"/>
    </row>
    <row r="8205" spans="2:5" x14ac:dyDescent="0.25">
      <c r="B8205" s="40"/>
      <c r="C8205" s="40"/>
      <c r="E8205" s="80"/>
    </row>
    <row r="8206" spans="2:5" x14ac:dyDescent="0.25">
      <c r="B8206" s="40"/>
      <c r="C8206" s="40"/>
      <c r="E8206" s="80"/>
    </row>
    <row r="8207" spans="2:5" x14ac:dyDescent="0.25">
      <c r="B8207" s="40"/>
      <c r="C8207" s="40"/>
      <c r="E8207" s="80"/>
    </row>
    <row r="8208" spans="2:5" x14ac:dyDescent="0.25">
      <c r="B8208" s="40"/>
      <c r="C8208" s="40"/>
      <c r="E8208" s="80"/>
    </row>
    <row r="8209" spans="2:5" x14ac:dyDescent="0.25">
      <c r="B8209" s="40"/>
      <c r="C8209" s="40"/>
      <c r="E8209" s="80"/>
    </row>
    <row r="8210" spans="2:5" x14ac:dyDescent="0.25">
      <c r="B8210" s="40"/>
      <c r="C8210" s="40"/>
      <c r="E8210" s="80"/>
    </row>
    <row r="8211" spans="2:5" x14ac:dyDescent="0.25">
      <c r="B8211" s="40"/>
      <c r="C8211" s="40"/>
      <c r="E8211" s="80"/>
    </row>
    <row r="8212" spans="2:5" x14ac:dyDescent="0.25">
      <c r="B8212" s="40"/>
      <c r="C8212" s="40"/>
      <c r="E8212" s="80"/>
    </row>
    <row r="8213" spans="2:5" x14ac:dyDescent="0.25">
      <c r="B8213" s="40"/>
      <c r="C8213" s="40"/>
      <c r="E8213" s="80"/>
    </row>
    <row r="8214" spans="2:5" x14ac:dyDescent="0.25">
      <c r="B8214" s="40"/>
      <c r="C8214" s="40"/>
      <c r="E8214" s="80"/>
    </row>
    <row r="8215" spans="2:5" x14ac:dyDescent="0.25">
      <c r="B8215" s="40"/>
      <c r="C8215" s="40"/>
      <c r="E8215" s="80"/>
    </row>
    <row r="8216" spans="2:5" x14ac:dyDescent="0.25">
      <c r="B8216" s="40"/>
      <c r="C8216" s="40"/>
      <c r="E8216" s="80"/>
    </row>
    <row r="8217" spans="2:5" x14ac:dyDescent="0.25">
      <c r="B8217" s="40"/>
      <c r="C8217" s="40"/>
      <c r="E8217" s="80"/>
    </row>
    <row r="8218" spans="2:5" x14ac:dyDescent="0.25">
      <c r="B8218" s="40"/>
      <c r="C8218" s="40"/>
      <c r="E8218" s="80"/>
    </row>
    <row r="8219" spans="2:5" x14ac:dyDescent="0.25">
      <c r="B8219" s="40"/>
      <c r="C8219" s="40"/>
      <c r="E8219" s="80"/>
    </row>
    <row r="8220" spans="2:5" x14ac:dyDescent="0.25">
      <c r="B8220" s="40"/>
      <c r="C8220" s="40"/>
      <c r="E8220" s="80"/>
    </row>
    <row r="8221" spans="2:5" x14ac:dyDescent="0.25">
      <c r="B8221" s="40"/>
      <c r="C8221" s="40"/>
      <c r="E8221" s="80"/>
    </row>
    <row r="8222" spans="2:5" x14ac:dyDescent="0.25">
      <c r="B8222" s="40"/>
      <c r="C8222" s="40"/>
      <c r="E8222" s="80"/>
    </row>
    <row r="8223" spans="2:5" x14ac:dyDescent="0.25">
      <c r="B8223" s="40"/>
      <c r="C8223" s="40"/>
      <c r="E8223" s="80"/>
    </row>
    <row r="8224" spans="2:5" x14ac:dyDescent="0.25">
      <c r="B8224" s="40"/>
      <c r="C8224" s="40"/>
      <c r="E8224" s="80"/>
    </row>
    <row r="8225" spans="2:5" x14ac:dyDescent="0.25">
      <c r="B8225" s="40"/>
      <c r="C8225" s="40"/>
      <c r="E8225" s="80"/>
    </row>
    <row r="8226" spans="2:5" x14ac:dyDescent="0.25">
      <c r="B8226" s="40"/>
      <c r="C8226" s="40"/>
      <c r="E8226" s="80"/>
    </row>
    <row r="8227" spans="2:5" x14ac:dyDescent="0.25">
      <c r="B8227" s="40"/>
      <c r="C8227" s="40"/>
      <c r="E8227" s="80"/>
    </row>
    <row r="8228" spans="2:5" x14ac:dyDescent="0.25">
      <c r="B8228" s="40"/>
      <c r="C8228" s="40"/>
      <c r="E8228" s="80"/>
    </row>
    <row r="8229" spans="2:5" x14ac:dyDescent="0.25">
      <c r="B8229" s="40"/>
      <c r="C8229" s="40"/>
      <c r="E8229" s="80"/>
    </row>
    <row r="8230" spans="2:5" x14ac:dyDescent="0.25">
      <c r="B8230" s="40"/>
      <c r="C8230" s="40"/>
      <c r="E8230" s="80"/>
    </row>
    <row r="8231" spans="2:5" x14ac:dyDescent="0.25">
      <c r="B8231" s="40"/>
      <c r="C8231" s="40"/>
      <c r="E8231" s="80"/>
    </row>
    <row r="8232" spans="2:5" x14ac:dyDescent="0.25">
      <c r="B8232" s="40"/>
      <c r="C8232" s="40"/>
      <c r="E8232" s="80"/>
    </row>
    <row r="8233" spans="2:5" x14ac:dyDescent="0.25">
      <c r="B8233" s="40"/>
      <c r="C8233" s="40"/>
      <c r="E8233" s="80"/>
    </row>
    <row r="8234" spans="2:5" x14ac:dyDescent="0.25">
      <c r="B8234" s="40"/>
      <c r="C8234" s="40"/>
      <c r="E8234" s="80"/>
    </row>
    <row r="8235" spans="2:5" x14ac:dyDescent="0.25">
      <c r="B8235" s="40"/>
      <c r="C8235" s="40"/>
      <c r="E8235" s="80"/>
    </row>
    <row r="8236" spans="2:5" x14ac:dyDescent="0.25">
      <c r="B8236" s="40"/>
      <c r="C8236" s="40"/>
      <c r="E8236" s="80"/>
    </row>
    <row r="8237" spans="2:5" x14ac:dyDescent="0.25">
      <c r="B8237" s="40"/>
      <c r="C8237" s="40"/>
      <c r="E8237" s="80"/>
    </row>
    <row r="8238" spans="2:5" x14ac:dyDescent="0.25">
      <c r="B8238" s="40"/>
      <c r="C8238" s="40"/>
      <c r="E8238" s="80"/>
    </row>
    <row r="8239" spans="2:5" x14ac:dyDescent="0.25">
      <c r="B8239" s="40"/>
      <c r="C8239" s="40"/>
      <c r="E8239" s="80"/>
    </row>
    <row r="8240" spans="2:5" x14ac:dyDescent="0.25">
      <c r="B8240" s="40"/>
      <c r="C8240" s="40"/>
      <c r="E8240" s="80"/>
    </row>
    <row r="8241" spans="2:5" x14ac:dyDescent="0.25">
      <c r="B8241" s="40"/>
      <c r="C8241" s="40"/>
      <c r="E8241" s="80"/>
    </row>
    <row r="8242" spans="2:5" x14ac:dyDescent="0.25">
      <c r="B8242" s="40"/>
      <c r="C8242" s="40"/>
      <c r="E8242" s="80"/>
    </row>
    <row r="8243" spans="2:5" x14ac:dyDescent="0.25">
      <c r="B8243" s="40"/>
      <c r="C8243" s="40"/>
      <c r="E8243" s="80"/>
    </row>
    <row r="8244" spans="2:5" x14ac:dyDescent="0.25">
      <c r="B8244" s="40"/>
      <c r="C8244" s="40"/>
      <c r="E8244" s="80"/>
    </row>
    <row r="8245" spans="2:5" x14ac:dyDescent="0.25">
      <c r="B8245" s="40"/>
      <c r="C8245" s="40"/>
      <c r="E8245" s="80"/>
    </row>
    <row r="8246" spans="2:5" x14ac:dyDescent="0.25">
      <c r="B8246" s="40"/>
      <c r="C8246" s="40"/>
      <c r="E8246" s="80"/>
    </row>
    <row r="8247" spans="2:5" x14ac:dyDescent="0.25">
      <c r="B8247" s="40"/>
      <c r="C8247" s="40"/>
      <c r="E8247" s="80"/>
    </row>
    <row r="8248" spans="2:5" x14ac:dyDescent="0.25">
      <c r="B8248" s="40"/>
      <c r="C8248" s="40"/>
      <c r="E8248" s="80"/>
    </row>
    <row r="8249" spans="2:5" x14ac:dyDescent="0.25">
      <c r="B8249" s="40"/>
      <c r="C8249" s="40"/>
      <c r="E8249" s="80"/>
    </row>
    <row r="8250" spans="2:5" x14ac:dyDescent="0.25">
      <c r="B8250" s="40"/>
      <c r="C8250" s="40"/>
      <c r="E8250" s="80"/>
    </row>
    <row r="8251" spans="2:5" x14ac:dyDescent="0.25">
      <c r="B8251" s="40"/>
      <c r="C8251" s="40"/>
      <c r="E8251" s="80"/>
    </row>
    <row r="8252" spans="2:5" x14ac:dyDescent="0.25">
      <c r="B8252" s="40"/>
      <c r="C8252" s="40"/>
      <c r="E8252" s="80"/>
    </row>
    <row r="8253" spans="2:5" x14ac:dyDescent="0.25">
      <c r="B8253" s="40"/>
      <c r="C8253" s="40"/>
      <c r="E8253" s="80"/>
    </row>
    <row r="8254" spans="2:5" x14ac:dyDescent="0.25">
      <c r="B8254" s="40"/>
      <c r="C8254" s="40"/>
      <c r="E8254" s="80"/>
    </row>
    <row r="8255" spans="2:5" x14ac:dyDescent="0.25">
      <c r="B8255" s="40"/>
      <c r="C8255" s="40"/>
      <c r="E8255" s="80"/>
    </row>
    <row r="8256" spans="2:5" x14ac:dyDescent="0.25">
      <c r="B8256" s="40"/>
      <c r="C8256" s="40"/>
      <c r="E8256" s="80"/>
    </row>
    <row r="8257" spans="2:5" x14ac:dyDescent="0.25">
      <c r="B8257" s="40"/>
      <c r="C8257" s="40"/>
      <c r="E8257" s="80"/>
    </row>
    <row r="8258" spans="2:5" x14ac:dyDescent="0.25">
      <c r="B8258" s="40"/>
      <c r="C8258" s="40"/>
      <c r="E8258" s="80"/>
    </row>
    <row r="8259" spans="2:5" x14ac:dyDescent="0.25">
      <c r="B8259" s="40"/>
      <c r="C8259" s="40"/>
      <c r="E8259" s="80"/>
    </row>
    <row r="8260" spans="2:5" x14ac:dyDescent="0.25">
      <c r="B8260" s="40"/>
      <c r="C8260" s="40"/>
      <c r="E8260" s="80"/>
    </row>
    <row r="8261" spans="2:5" x14ac:dyDescent="0.25">
      <c r="B8261" s="40"/>
      <c r="C8261" s="40"/>
      <c r="E8261" s="80"/>
    </row>
    <row r="8262" spans="2:5" x14ac:dyDescent="0.25">
      <c r="B8262" s="40"/>
      <c r="C8262" s="40"/>
      <c r="E8262" s="80"/>
    </row>
    <row r="8263" spans="2:5" x14ac:dyDescent="0.25">
      <c r="B8263" s="40"/>
      <c r="C8263" s="40"/>
      <c r="E8263" s="80"/>
    </row>
    <row r="8264" spans="2:5" x14ac:dyDescent="0.25">
      <c r="B8264" s="40"/>
      <c r="C8264" s="40"/>
      <c r="E8264" s="80"/>
    </row>
    <row r="8265" spans="2:5" x14ac:dyDescent="0.25">
      <c r="B8265" s="40"/>
      <c r="C8265" s="40"/>
      <c r="E8265" s="80"/>
    </row>
    <row r="8266" spans="2:5" x14ac:dyDescent="0.25">
      <c r="B8266" s="40"/>
      <c r="C8266" s="40"/>
      <c r="E8266" s="80"/>
    </row>
    <row r="8267" spans="2:5" x14ac:dyDescent="0.25">
      <c r="B8267" s="40"/>
      <c r="C8267" s="40"/>
      <c r="E8267" s="80"/>
    </row>
    <row r="8268" spans="2:5" x14ac:dyDescent="0.25">
      <c r="B8268" s="40"/>
      <c r="C8268" s="40"/>
      <c r="E8268" s="80"/>
    </row>
    <row r="8269" spans="2:5" x14ac:dyDescent="0.25">
      <c r="B8269" s="40"/>
      <c r="C8269" s="40"/>
      <c r="E8269" s="80"/>
    </row>
    <row r="8270" spans="2:5" x14ac:dyDescent="0.25">
      <c r="B8270" s="40"/>
      <c r="C8270" s="40"/>
      <c r="E8270" s="80"/>
    </row>
    <row r="8271" spans="2:5" x14ac:dyDescent="0.25">
      <c r="B8271" s="40"/>
      <c r="C8271" s="40"/>
      <c r="E8271" s="80"/>
    </row>
    <row r="8272" spans="2:5" x14ac:dyDescent="0.25">
      <c r="B8272" s="40"/>
      <c r="C8272" s="40"/>
      <c r="E8272" s="80"/>
    </row>
    <row r="8273" spans="2:5" x14ac:dyDescent="0.25">
      <c r="B8273" s="40"/>
      <c r="C8273" s="40"/>
      <c r="E8273" s="80"/>
    </row>
    <row r="8274" spans="2:5" x14ac:dyDescent="0.25">
      <c r="B8274" s="40"/>
      <c r="C8274" s="40"/>
      <c r="E8274" s="80"/>
    </row>
    <row r="8275" spans="2:5" x14ac:dyDescent="0.25">
      <c r="B8275" s="40"/>
      <c r="C8275" s="40"/>
      <c r="E8275" s="80"/>
    </row>
    <row r="8276" spans="2:5" x14ac:dyDescent="0.25">
      <c r="B8276" s="40"/>
      <c r="C8276" s="40"/>
      <c r="E8276" s="80"/>
    </row>
    <row r="8277" spans="2:5" x14ac:dyDescent="0.25">
      <c r="B8277" s="40"/>
      <c r="C8277" s="40"/>
      <c r="E8277" s="80"/>
    </row>
    <row r="8278" spans="2:5" x14ac:dyDescent="0.25">
      <c r="B8278" s="40"/>
      <c r="C8278" s="40"/>
      <c r="E8278" s="80"/>
    </row>
    <row r="8279" spans="2:5" x14ac:dyDescent="0.25">
      <c r="B8279" s="40"/>
      <c r="C8279" s="40"/>
      <c r="E8279" s="80"/>
    </row>
    <row r="8280" spans="2:5" x14ac:dyDescent="0.25">
      <c r="B8280" s="40"/>
      <c r="C8280" s="40"/>
      <c r="E8280" s="80"/>
    </row>
    <row r="8281" spans="2:5" x14ac:dyDescent="0.25">
      <c r="B8281" s="40"/>
      <c r="C8281" s="40"/>
      <c r="E8281" s="80"/>
    </row>
    <row r="8282" spans="2:5" x14ac:dyDescent="0.25">
      <c r="B8282" s="40"/>
      <c r="C8282" s="40"/>
      <c r="E8282" s="80"/>
    </row>
    <row r="8283" spans="2:5" x14ac:dyDescent="0.25">
      <c r="B8283" s="40"/>
      <c r="C8283" s="40"/>
      <c r="E8283" s="80"/>
    </row>
    <row r="8284" spans="2:5" x14ac:dyDescent="0.25">
      <c r="B8284" s="40"/>
      <c r="C8284" s="40"/>
      <c r="E8284" s="80"/>
    </row>
    <row r="8285" spans="2:5" x14ac:dyDescent="0.25">
      <c r="B8285" s="40"/>
      <c r="C8285" s="40"/>
      <c r="E8285" s="80"/>
    </row>
    <row r="8286" spans="2:5" x14ac:dyDescent="0.25">
      <c r="B8286" s="40"/>
      <c r="C8286" s="40"/>
      <c r="E8286" s="80"/>
    </row>
    <row r="8287" spans="2:5" x14ac:dyDescent="0.25">
      <c r="B8287" s="40"/>
      <c r="C8287" s="40"/>
      <c r="E8287" s="80"/>
    </row>
    <row r="8288" spans="2:5" x14ac:dyDescent="0.25">
      <c r="B8288" s="40"/>
      <c r="C8288" s="40"/>
      <c r="E8288" s="80"/>
    </row>
    <row r="8289" spans="2:5" x14ac:dyDescent="0.25">
      <c r="B8289" s="40"/>
      <c r="C8289" s="40"/>
      <c r="E8289" s="80"/>
    </row>
    <row r="8290" spans="2:5" x14ac:dyDescent="0.25">
      <c r="B8290" s="40"/>
      <c r="C8290" s="40"/>
      <c r="E8290" s="80"/>
    </row>
    <row r="8291" spans="2:5" x14ac:dyDescent="0.25">
      <c r="B8291" s="40"/>
      <c r="C8291" s="40"/>
      <c r="E8291" s="80"/>
    </row>
    <row r="8292" spans="2:5" x14ac:dyDescent="0.25">
      <c r="B8292" s="40"/>
      <c r="C8292" s="40"/>
      <c r="E8292" s="80"/>
    </row>
    <row r="8293" spans="2:5" x14ac:dyDescent="0.25">
      <c r="B8293" s="40"/>
      <c r="C8293" s="40"/>
      <c r="E8293" s="80"/>
    </row>
    <row r="8294" spans="2:5" x14ac:dyDescent="0.25">
      <c r="B8294" s="40"/>
      <c r="C8294" s="40"/>
      <c r="E8294" s="80"/>
    </row>
    <row r="8295" spans="2:5" x14ac:dyDescent="0.25">
      <c r="B8295" s="40"/>
      <c r="C8295" s="40"/>
      <c r="E8295" s="80"/>
    </row>
    <row r="8296" spans="2:5" x14ac:dyDescent="0.25">
      <c r="B8296" s="40"/>
      <c r="C8296" s="40"/>
      <c r="E8296" s="80"/>
    </row>
    <row r="8297" spans="2:5" x14ac:dyDescent="0.25">
      <c r="B8297" s="40"/>
      <c r="C8297" s="40"/>
      <c r="E8297" s="80"/>
    </row>
    <row r="8298" spans="2:5" x14ac:dyDescent="0.25">
      <c r="B8298" s="40"/>
      <c r="C8298" s="40"/>
      <c r="E8298" s="80"/>
    </row>
    <row r="8299" spans="2:5" x14ac:dyDescent="0.25">
      <c r="B8299" s="40"/>
      <c r="C8299" s="40"/>
      <c r="E8299" s="80"/>
    </row>
    <row r="8300" spans="2:5" x14ac:dyDescent="0.25">
      <c r="B8300" s="40"/>
      <c r="C8300" s="40"/>
      <c r="E8300" s="80"/>
    </row>
    <row r="8301" spans="2:5" x14ac:dyDescent="0.25">
      <c r="B8301" s="40"/>
      <c r="C8301" s="40"/>
      <c r="E8301" s="80"/>
    </row>
    <row r="8302" spans="2:5" x14ac:dyDescent="0.25">
      <c r="B8302" s="40"/>
      <c r="C8302" s="40"/>
      <c r="E8302" s="80"/>
    </row>
    <row r="8303" spans="2:5" x14ac:dyDescent="0.25">
      <c r="B8303" s="40"/>
      <c r="C8303" s="40"/>
      <c r="E8303" s="80"/>
    </row>
    <row r="8304" spans="2:5" x14ac:dyDescent="0.25">
      <c r="B8304" s="40"/>
      <c r="C8304" s="40"/>
      <c r="E8304" s="80"/>
    </row>
    <row r="8305" spans="2:5" x14ac:dyDescent="0.25">
      <c r="B8305" s="40"/>
      <c r="C8305" s="40"/>
      <c r="E8305" s="80"/>
    </row>
    <row r="8306" spans="2:5" x14ac:dyDescent="0.25">
      <c r="B8306" s="40"/>
      <c r="C8306" s="40"/>
      <c r="E8306" s="80"/>
    </row>
    <row r="8307" spans="2:5" x14ac:dyDescent="0.25">
      <c r="B8307" s="40"/>
      <c r="C8307" s="40"/>
      <c r="E8307" s="80"/>
    </row>
    <row r="8308" spans="2:5" x14ac:dyDescent="0.25">
      <c r="B8308" s="40"/>
      <c r="C8308" s="40"/>
      <c r="E8308" s="80"/>
    </row>
    <row r="8309" spans="2:5" x14ac:dyDescent="0.25">
      <c r="B8309" s="40"/>
      <c r="C8309" s="40"/>
      <c r="E8309" s="80"/>
    </row>
    <row r="8310" spans="2:5" x14ac:dyDescent="0.25">
      <c r="B8310" s="40"/>
      <c r="C8310" s="40"/>
      <c r="E8310" s="80"/>
    </row>
    <row r="8311" spans="2:5" x14ac:dyDescent="0.25">
      <c r="B8311" s="40"/>
      <c r="C8311" s="40"/>
      <c r="E8311" s="80"/>
    </row>
    <row r="8312" spans="2:5" x14ac:dyDescent="0.25">
      <c r="B8312" s="40"/>
      <c r="C8312" s="40"/>
      <c r="E8312" s="80"/>
    </row>
    <row r="8313" spans="2:5" x14ac:dyDescent="0.25">
      <c r="B8313" s="40"/>
      <c r="C8313" s="40"/>
      <c r="E8313" s="80"/>
    </row>
    <row r="8314" spans="2:5" x14ac:dyDescent="0.25">
      <c r="B8314" s="40"/>
      <c r="C8314" s="40"/>
      <c r="E8314" s="80"/>
    </row>
    <row r="8315" spans="2:5" x14ac:dyDescent="0.25">
      <c r="B8315" s="40"/>
      <c r="C8315" s="40"/>
      <c r="E8315" s="80"/>
    </row>
    <row r="8316" spans="2:5" x14ac:dyDescent="0.25">
      <c r="B8316" s="40"/>
      <c r="C8316" s="40"/>
      <c r="E8316" s="80"/>
    </row>
    <row r="8317" spans="2:5" x14ac:dyDescent="0.25">
      <c r="B8317" s="40"/>
      <c r="C8317" s="40"/>
      <c r="E8317" s="80"/>
    </row>
    <row r="8318" spans="2:5" x14ac:dyDescent="0.25">
      <c r="B8318" s="40"/>
      <c r="C8318" s="40"/>
      <c r="E8318" s="80"/>
    </row>
    <row r="8319" spans="2:5" x14ac:dyDescent="0.25">
      <c r="B8319" s="40"/>
      <c r="C8319" s="40"/>
      <c r="E8319" s="80"/>
    </row>
    <row r="8320" spans="2:5" x14ac:dyDescent="0.25">
      <c r="B8320" s="40"/>
      <c r="C8320" s="40"/>
      <c r="E8320" s="80"/>
    </row>
    <row r="8321" spans="2:5" x14ac:dyDescent="0.25">
      <c r="B8321" s="40"/>
      <c r="C8321" s="40"/>
      <c r="E8321" s="80"/>
    </row>
    <row r="8322" spans="2:5" x14ac:dyDescent="0.25">
      <c r="B8322" s="40"/>
      <c r="C8322" s="40"/>
      <c r="E8322" s="80"/>
    </row>
    <row r="8323" spans="2:5" x14ac:dyDescent="0.25">
      <c r="B8323" s="40"/>
      <c r="C8323" s="40"/>
      <c r="E8323" s="80"/>
    </row>
    <row r="8324" spans="2:5" x14ac:dyDescent="0.25">
      <c r="B8324" s="40"/>
      <c r="C8324" s="40"/>
      <c r="E8324" s="80"/>
    </row>
    <row r="8325" spans="2:5" x14ac:dyDescent="0.25">
      <c r="B8325" s="40"/>
      <c r="C8325" s="40"/>
      <c r="E8325" s="80"/>
    </row>
    <row r="8326" spans="2:5" x14ac:dyDescent="0.25">
      <c r="B8326" s="40"/>
      <c r="C8326" s="40"/>
      <c r="E8326" s="80"/>
    </row>
    <row r="8327" spans="2:5" x14ac:dyDescent="0.25">
      <c r="B8327" s="40"/>
      <c r="C8327" s="40"/>
      <c r="E8327" s="80"/>
    </row>
    <row r="8328" spans="2:5" x14ac:dyDescent="0.25">
      <c r="B8328" s="40"/>
      <c r="C8328" s="40"/>
      <c r="E8328" s="80"/>
    </row>
    <row r="8329" spans="2:5" x14ac:dyDescent="0.25">
      <c r="B8329" s="40"/>
      <c r="C8329" s="40"/>
      <c r="E8329" s="80"/>
    </row>
    <row r="8330" spans="2:5" x14ac:dyDescent="0.25">
      <c r="B8330" s="40"/>
      <c r="C8330" s="40"/>
      <c r="E8330" s="80"/>
    </row>
    <row r="8331" spans="2:5" x14ac:dyDescent="0.25">
      <c r="B8331" s="40"/>
      <c r="C8331" s="40"/>
      <c r="E8331" s="80"/>
    </row>
    <row r="8332" spans="2:5" x14ac:dyDescent="0.25">
      <c r="B8332" s="40"/>
      <c r="C8332" s="40"/>
      <c r="E8332" s="80"/>
    </row>
    <row r="8333" spans="2:5" x14ac:dyDescent="0.25">
      <c r="B8333" s="40"/>
      <c r="C8333" s="40"/>
      <c r="E8333" s="80"/>
    </row>
    <row r="8334" spans="2:5" x14ac:dyDescent="0.25">
      <c r="B8334" s="40"/>
      <c r="C8334" s="40"/>
      <c r="E8334" s="80"/>
    </row>
    <row r="8335" spans="2:5" x14ac:dyDescent="0.25">
      <c r="B8335" s="40"/>
      <c r="C8335" s="40"/>
      <c r="E8335" s="80"/>
    </row>
    <row r="8336" spans="2:5" x14ac:dyDescent="0.25">
      <c r="B8336" s="40"/>
      <c r="C8336" s="40"/>
      <c r="E8336" s="80"/>
    </row>
    <row r="8337" spans="2:5" x14ac:dyDescent="0.25">
      <c r="B8337" s="40"/>
      <c r="C8337" s="40"/>
      <c r="E8337" s="80"/>
    </row>
    <row r="8338" spans="2:5" x14ac:dyDescent="0.25">
      <c r="B8338" s="40"/>
      <c r="C8338" s="40"/>
      <c r="E8338" s="80"/>
    </row>
    <row r="8339" spans="2:5" x14ac:dyDescent="0.25">
      <c r="B8339" s="40"/>
      <c r="C8339" s="40"/>
      <c r="E8339" s="80"/>
    </row>
    <row r="8340" spans="2:5" x14ac:dyDescent="0.25">
      <c r="B8340" s="40"/>
      <c r="C8340" s="40"/>
      <c r="E8340" s="80"/>
    </row>
    <row r="8341" spans="2:5" x14ac:dyDescent="0.25">
      <c r="B8341" s="40"/>
      <c r="C8341" s="40"/>
      <c r="E8341" s="80"/>
    </row>
    <row r="8342" spans="2:5" x14ac:dyDescent="0.25">
      <c r="B8342" s="40"/>
      <c r="C8342" s="40"/>
      <c r="E8342" s="80"/>
    </row>
    <row r="8343" spans="2:5" x14ac:dyDescent="0.25">
      <c r="B8343" s="40"/>
      <c r="C8343" s="40"/>
      <c r="E8343" s="80"/>
    </row>
    <row r="8344" spans="2:5" x14ac:dyDescent="0.25">
      <c r="B8344" s="40"/>
      <c r="C8344" s="40"/>
      <c r="E8344" s="80"/>
    </row>
    <row r="8345" spans="2:5" x14ac:dyDescent="0.25">
      <c r="B8345" s="40"/>
      <c r="C8345" s="40"/>
      <c r="E8345" s="80"/>
    </row>
    <row r="8346" spans="2:5" x14ac:dyDescent="0.25">
      <c r="B8346" s="40"/>
      <c r="C8346" s="40"/>
      <c r="E8346" s="80"/>
    </row>
    <row r="8347" spans="2:5" x14ac:dyDescent="0.25">
      <c r="B8347" s="40"/>
      <c r="C8347" s="40"/>
      <c r="E8347" s="80"/>
    </row>
    <row r="8348" spans="2:5" x14ac:dyDescent="0.25">
      <c r="B8348" s="40"/>
      <c r="C8348" s="40"/>
      <c r="E8348" s="80"/>
    </row>
    <row r="8349" spans="2:5" x14ac:dyDescent="0.25">
      <c r="B8349" s="40"/>
      <c r="C8349" s="40"/>
      <c r="E8349" s="80"/>
    </row>
    <row r="8350" spans="2:5" x14ac:dyDescent="0.25">
      <c r="B8350" s="40"/>
      <c r="C8350" s="40"/>
      <c r="E8350" s="80"/>
    </row>
    <row r="8351" spans="2:5" x14ac:dyDescent="0.25">
      <c r="B8351" s="40"/>
      <c r="C8351" s="40"/>
      <c r="E8351" s="80"/>
    </row>
    <row r="8352" spans="2:5" x14ac:dyDescent="0.25">
      <c r="B8352" s="40"/>
      <c r="C8352" s="40"/>
      <c r="E8352" s="80"/>
    </row>
    <row r="8353" spans="2:5" x14ac:dyDescent="0.25">
      <c r="B8353" s="40"/>
      <c r="C8353" s="40"/>
      <c r="E8353" s="80"/>
    </row>
    <row r="8354" spans="2:5" x14ac:dyDescent="0.25">
      <c r="B8354" s="40"/>
      <c r="C8354" s="40"/>
      <c r="E8354" s="80"/>
    </row>
    <row r="8355" spans="2:5" x14ac:dyDescent="0.25">
      <c r="B8355" s="40"/>
      <c r="C8355" s="40"/>
      <c r="E8355" s="80"/>
    </row>
    <row r="8356" spans="2:5" x14ac:dyDescent="0.25">
      <c r="B8356" s="40"/>
      <c r="C8356" s="40"/>
      <c r="E8356" s="80"/>
    </row>
    <row r="8357" spans="2:5" x14ac:dyDescent="0.25">
      <c r="B8357" s="40"/>
      <c r="C8357" s="40"/>
      <c r="E8357" s="80"/>
    </row>
    <row r="8358" spans="2:5" x14ac:dyDescent="0.25">
      <c r="B8358" s="40"/>
      <c r="C8358" s="40"/>
      <c r="E8358" s="80"/>
    </row>
    <row r="8359" spans="2:5" x14ac:dyDescent="0.25">
      <c r="B8359" s="40"/>
      <c r="C8359" s="40"/>
      <c r="E8359" s="80"/>
    </row>
    <row r="8360" spans="2:5" x14ac:dyDescent="0.25">
      <c r="B8360" s="40"/>
      <c r="C8360" s="40"/>
      <c r="E8360" s="80"/>
    </row>
    <row r="8361" spans="2:5" x14ac:dyDescent="0.25">
      <c r="B8361" s="40"/>
      <c r="C8361" s="40"/>
      <c r="E8361" s="80"/>
    </row>
    <row r="8362" spans="2:5" x14ac:dyDescent="0.25">
      <c r="B8362" s="40"/>
      <c r="C8362" s="40"/>
      <c r="E8362" s="80"/>
    </row>
    <row r="8363" spans="2:5" x14ac:dyDescent="0.25">
      <c r="B8363" s="40"/>
      <c r="C8363" s="40"/>
      <c r="E8363" s="80"/>
    </row>
    <row r="8364" spans="2:5" x14ac:dyDescent="0.25">
      <c r="B8364" s="40"/>
      <c r="C8364" s="40"/>
      <c r="E8364" s="80"/>
    </row>
    <row r="8365" spans="2:5" x14ac:dyDescent="0.25">
      <c r="B8365" s="40"/>
      <c r="C8365" s="40"/>
      <c r="E8365" s="80"/>
    </row>
    <row r="8366" spans="2:5" x14ac:dyDescent="0.25">
      <c r="B8366" s="40"/>
      <c r="C8366" s="40"/>
      <c r="E8366" s="80"/>
    </row>
    <row r="8367" spans="2:5" x14ac:dyDescent="0.25">
      <c r="B8367" s="40"/>
      <c r="C8367" s="40"/>
      <c r="E8367" s="80"/>
    </row>
    <row r="8368" spans="2:5" x14ac:dyDescent="0.25">
      <c r="B8368" s="40"/>
      <c r="C8368" s="40"/>
      <c r="E8368" s="80"/>
    </row>
    <row r="8369" spans="2:5" x14ac:dyDescent="0.25">
      <c r="B8369" s="40"/>
      <c r="C8369" s="40"/>
      <c r="E8369" s="80"/>
    </row>
    <row r="8370" spans="2:5" x14ac:dyDescent="0.25">
      <c r="B8370" s="40"/>
      <c r="C8370" s="40"/>
      <c r="E8370" s="80"/>
    </row>
    <row r="8371" spans="2:5" x14ac:dyDescent="0.25">
      <c r="B8371" s="40"/>
      <c r="C8371" s="40"/>
      <c r="E8371" s="80"/>
    </row>
    <row r="8372" spans="2:5" x14ac:dyDescent="0.25">
      <c r="B8372" s="40"/>
      <c r="C8372" s="40"/>
      <c r="E8372" s="80"/>
    </row>
    <row r="8373" spans="2:5" x14ac:dyDescent="0.25">
      <c r="B8373" s="40"/>
      <c r="C8373" s="40"/>
      <c r="E8373" s="80"/>
    </row>
    <row r="8374" spans="2:5" x14ac:dyDescent="0.25">
      <c r="B8374" s="40"/>
      <c r="C8374" s="40"/>
      <c r="E8374" s="80"/>
    </row>
    <row r="8375" spans="2:5" x14ac:dyDescent="0.25">
      <c r="B8375" s="40"/>
      <c r="C8375" s="40"/>
      <c r="E8375" s="80"/>
    </row>
    <row r="8376" spans="2:5" x14ac:dyDescent="0.25">
      <c r="B8376" s="40"/>
      <c r="C8376" s="40"/>
      <c r="E8376" s="80"/>
    </row>
    <row r="8377" spans="2:5" x14ac:dyDescent="0.25">
      <c r="B8377" s="40"/>
      <c r="C8377" s="40"/>
      <c r="E8377" s="80"/>
    </row>
    <row r="8378" spans="2:5" x14ac:dyDescent="0.25">
      <c r="B8378" s="40"/>
      <c r="C8378" s="40"/>
      <c r="E8378" s="80"/>
    </row>
    <row r="8379" spans="2:5" x14ac:dyDescent="0.25">
      <c r="B8379" s="40"/>
      <c r="C8379" s="40"/>
      <c r="E8379" s="80"/>
    </row>
    <row r="8380" spans="2:5" x14ac:dyDescent="0.25">
      <c r="B8380" s="40"/>
      <c r="C8380" s="40"/>
      <c r="E8380" s="80"/>
    </row>
    <row r="8381" spans="2:5" x14ac:dyDescent="0.25">
      <c r="B8381" s="40"/>
      <c r="C8381" s="40"/>
      <c r="E8381" s="80"/>
    </row>
    <row r="8382" spans="2:5" x14ac:dyDescent="0.25">
      <c r="B8382" s="40"/>
      <c r="C8382" s="40"/>
      <c r="E8382" s="80"/>
    </row>
    <row r="8383" spans="2:5" x14ac:dyDescent="0.25">
      <c r="B8383" s="40"/>
      <c r="C8383" s="40"/>
      <c r="E8383" s="80"/>
    </row>
    <row r="8384" spans="2:5" x14ac:dyDescent="0.25">
      <c r="B8384" s="40"/>
      <c r="C8384" s="40"/>
      <c r="E8384" s="80"/>
    </row>
    <row r="8385" spans="2:5" x14ac:dyDescent="0.25">
      <c r="B8385" s="40"/>
      <c r="C8385" s="40"/>
      <c r="E8385" s="80"/>
    </row>
    <row r="8386" spans="2:5" x14ac:dyDescent="0.25">
      <c r="B8386" s="40"/>
      <c r="C8386" s="40"/>
      <c r="E8386" s="80"/>
    </row>
    <row r="8387" spans="2:5" x14ac:dyDescent="0.25">
      <c r="B8387" s="40"/>
      <c r="C8387" s="40"/>
      <c r="E8387" s="80"/>
    </row>
    <row r="8388" spans="2:5" x14ac:dyDescent="0.25">
      <c r="B8388" s="40"/>
      <c r="C8388" s="40"/>
      <c r="E8388" s="80"/>
    </row>
    <row r="8389" spans="2:5" x14ac:dyDescent="0.25">
      <c r="B8389" s="40"/>
      <c r="C8389" s="40"/>
      <c r="E8389" s="80"/>
    </row>
    <row r="8390" spans="2:5" x14ac:dyDescent="0.25">
      <c r="B8390" s="40"/>
      <c r="C8390" s="40"/>
      <c r="E8390" s="80"/>
    </row>
    <row r="8391" spans="2:5" x14ac:dyDescent="0.25">
      <c r="B8391" s="40"/>
      <c r="C8391" s="40"/>
      <c r="E8391" s="80"/>
    </row>
    <row r="8392" spans="2:5" x14ac:dyDescent="0.25">
      <c r="B8392" s="40"/>
      <c r="C8392" s="40"/>
      <c r="E8392" s="80"/>
    </row>
    <row r="8393" spans="2:5" x14ac:dyDescent="0.25">
      <c r="B8393" s="40"/>
      <c r="C8393" s="40"/>
      <c r="E8393" s="80"/>
    </row>
    <row r="8394" spans="2:5" x14ac:dyDescent="0.25">
      <c r="B8394" s="40"/>
      <c r="C8394" s="40"/>
      <c r="E8394" s="80"/>
    </row>
    <row r="8395" spans="2:5" x14ac:dyDescent="0.25">
      <c r="B8395" s="40"/>
      <c r="C8395" s="40"/>
      <c r="E8395" s="80"/>
    </row>
    <row r="8396" spans="2:5" x14ac:dyDescent="0.25">
      <c r="B8396" s="40"/>
      <c r="C8396" s="40"/>
      <c r="E8396" s="80"/>
    </row>
    <row r="8397" spans="2:5" x14ac:dyDescent="0.25">
      <c r="B8397" s="40"/>
      <c r="C8397" s="40"/>
      <c r="E8397" s="80"/>
    </row>
    <row r="8398" spans="2:5" x14ac:dyDescent="0.25">
      <c r="B8398" s="40"/>
      <c r="C8398" s="40"/>
      <c r="E8398" s="80"/>
    </row>
    <row r="8399" spans="2:5" x14ac:dyDescent="0.25">
      <c r="B8399" s="40"/>
      <c r="C8399" s="40"/>
      <c r="E8399" s="80"/>
    </row>
    <row r="8400" spans="2:5" x14ac:dyDescent="0.25">
      <c r="B8400" s="40"/>
      <c r="C8400" s="40"/>
      <c r="E8400" s="80"/>
    </row>
    <row r="8401" spans="2:5" x14ac:dyDescent="0.25">
      <c r="B8401" s="40"/>
      <c r="C8401" s="40"/>
      <c r="E8401" s="80"/>
    </row>
    <row r="8402" spans="2:5" x14ac:dyDescent="0.25">
      <c r="B8402" s="40"/>
      <c r="C8402" s="40"/>
      <c r="E8402" s="80"/>
    </row>
    <row r="8403" spans="2:5" x14ac:dyDescent="0.25">
      <c r="B8403" s="40"/>
      <c r="C8403" s="40"/>
      <c r="E8403" s="80"/>
    </row>
    <row r="8404" spans="2:5" x14ac:dyDescent="0.25">
      <c r="B8404" s="40"/>
      <c r="C8404" s="40"/>
      <c r="E8404" s="80"/>
    </row>
    <row r="8405" spans="2:5" x14ac:dyDescent="0.25">
      <c r="B8405" s="40"/>
      <c r="C8405" s="40"/>
      <c r="E8405" s="80"/>
    </row>
    <row r="8406" spans="2:5" x14ac:dyDescent="0.25">
      <c r="B8406" s="40"/>
      <c r="C8406" s="40"/>
      <c r="E8406" s="80"/>
    </row>
    <row r="8407" spans="2:5" x14ac:dyDescent="0.25">
      <c r="B8407" s="40"/>
      <c r="C8407" s="40"/>
      <c r="E8407" s="80"/>
    </row>
    <row r="8408" spans="2:5" x14ac:dyDescent="0.25">
      <c r="B8408" s="40"/>
      <c r="C8408" s="40"/>
      <c r="E8408" s="80"/>
    </row>
    <row r="8409" spans="2:5" x14ac:dyDescent="0.25">
      <c r="B8409" s="40"/>
      <c r="C8409" s="40"/>
      <c r="E8409" s="80"/>
    </row>
    <row r="8410" spans="2:5" x14ac:dyDescent="0.25">
      <c r="B8410" s="40"/>
      <c r="C8410" s="40"/>
      <c r="E8410" s="80"/>
    </row>
    <row r="8411" spans="2:5" x14ac:dyDescent="0.25">
      <c r="B8411" s="40"/>
      <c r="C8411" s="40"/>
      <c r="E8411" s="80"/>
    </row>
    <row r="8412" spans="2:5" x14ac:dyDescent="0.25">
      <c r="B8412" s="40"/>
      <c r="C8412" s="40"/>
      <c r="E8412" s="80"/>
    </row>
    <row r="8413" spans="2:5" x14ac:dyDescent="0.25">
      <c r="B8413" s="40"/>
      <c r="C8413" s="40"/>
      <c r="E8413" s="80"/>
    </row>
    <row r="8414" spans="2:5" x14ac:dyDescent="0.25">
      <c r="B8414" s="40"/>
      <c r="C8414" s="40"/>
      <c r="E8414" s="80"/>
    </row>
    <row r="8415" spans="2:5" x14ac:dyDescent="0.25">
      <c r="B8415" s="40"/>
      <c r="C8415" s="40"/>
      <c r="E8415" s="80"/>
    </row>
    <row r="8416" spans="2:5" x14ac:dyDescent="0.25">
      <c r="B8416" s="40"/>
      <c r="C8416" s="40"/>
      <c r="E8416" s="80"/>
    </row>
    <row r="8417" spans="2:5" x14ac:dyDescent="0.25">
      <c r="B8417" s="40"/>
      <c r="C8417" s="40"/>
      <c r="E8417" s="80"/>
    </row>
    <row r="8418" spans="2:5" x14ac:dyDescent="0.25">
      <c r="B8418" s="40"/>
      <c r="C8418" s="40"/>
      <c r="E8418" s="80"/>
    </row>
    <row r="8419" spans="2:5" x14ac:dyDescent="0.25">
      <c r="B8419" s="40"/>
      <c r="C8419" s="40"/>
      <c r="E8419" s="80"/>
    </row>
    <row r="8420" spans="2:5" x14ac:dyDescent="0.25">
      <c r="B8420" s="40"/>
      <c r="C8420" s="40"/>
      <c r="E8420" s="80"/>
    </row>
    <row r="8421" spans="2:5" x14ac:dyDescent="0.25">
      <c r="B8421" s="40"/>
      <c r="C8421" s="40"/>
      <c r="E8421" s="80"/>
    </row>
    <row r="8422" spans="2:5" x14ac:dyDescent="0.25">
      <c r="B8422" s="40"/>
      <c r="C8422" s="40"/>
      <c r="E8422" s="80"/>
    </row>
    <row r="8423" spans="2:5" x14ac:dyDescent="0.25">
      <c r="B8423" s="40"/>
      <c r="C8423" s="40"/>
      <c r="E8423" s="80"/>
    </row>
    <row r="8424" spans="2:5" x14ac:dyDescent="0.25">
      <c r="B8424" s="40"/>
      <c r="C8424" s="40"/>
      <c r="E8424" s="80"/>
    </row>
    <row r="8425" spans="2:5" x14ac:dyDescent="0.25">
      <c r="B8425" s="40"/>
      <c r="C8425" s="40"/>
      <c r="E8425" s="80"/>
    </row>
    <row r="8426" spans="2:5" x14ac:dyDescent="0.25">
      <c r="B8426" s="40"/>
      <c r="C8426" s="40"/>
      <c r="E8426" s="80"/>
    </row>
    <row r="8427" spans="2:5" x14ac:dyDescent="0.25">
      <c r="B8427" s="40"/>
      <c r="C8427" s="40"/>
      <c r="E8427" s="80"/>
    </row>
    <row r="8428" spans="2:5" x14ac:dyDescent="0.25">
      <c r="B8428" s="40"/>
      <c r="C8428" s="40"/>
      <c r="E8428" s="80"/>
    </row>
    <row r="8429" spans="2:5" x14ac:dyDescent="0.25">
      <c r="B8429" s="40"/>
      <c r="C8429" s="40"/>
      <c r="E8429" s="80"/>
    </row>
    <row r="8430" spans="2:5" x14ac:dyDescent="0.25">
      <c r="B8430" s="40"/>
      <c r="C8430" s="40"/>
      <c r="E8430" s="80"/>
    </row>
    <row r="8431" spans="2:5" x14ac:dyDescent="0.25">
      <c r="B8431" s="40"/>
      <c r="C8431" s="40"/>
      <c r="E8431" s="80"/>
    </row>
    <row r="8432" spans="2:5" x14ac:dyDescent="0.25">
      <c r="B8432" s="40"/>
      <c r="C8432" s="40"/>
      <c r="E8432" s="80"/>
    </row>
    <row r="8433" spans="2:5" x14ac:dyDescent="0.25">
      <c r="B8433" s="40"/>
      <c r="C8433" s="40"/>
      <c r="E8433" s="80"/>
    </row>
    <row r="8434" spans="2:5" x14ac:dyDescent="0.25">
      <c r="B8434" s="40"/>
      <c r="C8434" s="40"/>
      <c r="E8434" s="80"/>
    </row>
    <row r="8435" spans="2:5" x14ac:dyDescent="0.25">
      <c r="B8435" s="40"/>
      <c r="C8435" s="40"/>
      <c r="E8435" s="80"/>
    </row>
    <row r="8436" spans="2:5" x14ac:dyDescent="0.25">
      <c r="B8436" s="40"/>
      <c r="C8436" s="40"/>
      <c r="E8436" s="80"/>
    </row>
    <row r="8437" spans="2:5" x14ac:dyDescent="0.25">
      <c r="B8437" s="40"/>
      <c r="C8437" s="40"/>
      <c r="E8437" s="80"/>
    </row>
    <row r="8438" spans="2:5" x14ac:dyDescent="0.25">
      <c r="B8438" s="40"/>
      <c r="C8438" s="40"/>
      <c r="E8438" s="80"/>
    </row>
    <row r="8439" spans="2:5" x14ac:dyDescent="0.25">
      <c r="B8439" s="40"/>
      <c r="C8439" s="40"/>
      <c r="E8439" s="80"/>
    </row>
    <row r="8440" spans="2:5" x14ac:dyDescent="0.25">
      <c r="B8440" s="40"/>
      <c r="C8440" s="40"/>
      <c r="E8440" s="80"/>
    </row>
    <row r="8441" spans="2:5" x14ac:dyDescent="0.25">
      <c r="B8441" s="40"/>
      <c r="C8441" s="40"/>
      <c r="E8441" s="80"/>
    </row>
    <row r="8442" spans="2:5" x14ac:dyDescent="0.25">
      <c r="B8442" s="40"/>
      <c r="C8442" s="40"/>
      <c r="E8442" s="80"/>
    </row>
    <row r="8443" spans="2:5" x14ac:dyDescent="0.25">
      <c r="B8443" s="40"/>
      <c r="C8443" s="40"/>
      <c r="E8443" s="80"/>
    </row>
    <row r="8444" spans="2:5" x14ac:dyDescent="0.25">
      <c r="B8444" s="40"/>
      <c r="C8444" s="40"/>
      <c r="E8444" s="80"/>
    </row>
    <row r="8445" spans="2:5" x14ac:dyDescent="0.25">
      <c r="B8445" s="40"/>
      <c r="C8445" s="40"/>
      <c r="E8445" s="80"/>
    </row>
    <row r="8446" spans="2:5" x14ac:dyDescent="0.25">
      <c r="B8446" s="40"/>
      <c r="C8446" s="40"/>
      <c r="E8446" s="80"/>
    </row>
    <row r="8447" spans="2:5" x14ac:dyDescent="0.25">
      <c r="B8447" s="40"/>
      <c r="C8447" s="40"/>
      <c r="E8447" s="80"/>
    </row>
    <row r="8448" spans="2:5" x14ac:dyDescent="0.25">
      <c r="B8448" s="40"/>
      <c r="C8448" s="40"/>
      <c r="E8448" s="80"/>
    </row>
    <row r="8449" spans="2:5" x14ac:dyDescent="0.25">
      <c r="B8449" s="40"/>
      <c r="C8449" s="40"/>
      <c r="E8449" s="80"/>
    </row>
    <row r="8450" spans="2:5" x14ac:dyDescent="0.25">
      <c r="B8450" s="40"/>
      <c r="C8450" s="40"/>
      <c r="E8450" s="80"/>
    </row>
    <row r="8451" spans="2:5" x14ac:dyDescent="0.25">
      <c r="B8451" s="40"/>
      <c r="C8451" s="40"/>
      <c r="E8451" s="80"/>
    </row>
    <row r="8452" spans="2:5" x14ac:dyDescent="0.25">
      <c r="B8452" s="40"/>
      <c r="C8452" s="40"/>
      <c r="E8452" s="80"/>
    </row>
    <row r="8453" spans="2:5" x14ac:dyDescent="0.25">
      <c r="B8453" s="40"/>
      <c r="C8453" s="40"/>
      <c r="E8453" s="80"/>
    </row>
    <row r="8454" spans="2:5" x14ac:dyDescent="0.25">
      <c r="B8454" s="40"/>
      <c r="C8454" s="40"/>
      <c r="E8454" s="80"/>
    </row>
    <row r="8455" spans="2:5" x14ac:dyDescent="0.25">
      <c r="B8455" s="40"/>
      <c r="C8455" s="40"/>
      <c r="E8455" s="80"/>
    </row>
    <row r="8456" spans="2:5" x14ac:dyDescent="0.25">
      <c r="B8456" s="40"/>
      <c r="C8456" s="40"/>
      <c r="E8456" s="80"/>
    </row>
    <row r="8457" spans="2:5" x14ac:dyDescent="0.25">
      <c r="B8457" s="40"/>
      <c r="C8457" s="40"/>
      <c r="E8457" s="80"/>
    </row>
    <row r="8458" spans="2:5" x14ac:dyDescent="0.25">
      <c r="B8458" s="40"/>
      <c r="C8458" s="40"/>
      <c r="E8458" s="80"/>
    </row>
    <row r="8459" spans="2:5" x14ac:dyDescent="0.25">
      <c r="B8459" s="40"/>
      <c r="C8459" s="40"/>
      <c r="E8459" s="80"/>
    </row>
    <row r="8460" spans="2:5" x14ac:dyDescent="0.25">
      <c r="B8460" s="40"/>
      <c r="C8460" s="40"/>
      <c r="E8460" s="80"/>
    </row>
    <row r="8461" spans="2:5" x14ac:dyDescent="0.25">
      <c r="B8461" s="40"/>
      <c r="C8461" s="40"/>
      <c r="E8461" s="80"/>
    </row>
    <row r="8462" spans="2:5" x14ac:dyDescent="0.25">
      <c r="B8462" s="40"/>
      <c r="C8462" s="40"/>
      <c r="E8462" s="80"/>
    </row>
    <row r="8463" spans="2:5" x14ac:dyDescent="0.25">
      <c r="B8463" s="40"/>
      <c r="C8463" s="40"/>
      <c r="E8463" s="80"/>
    </row>
    <row r="8464" spans="2:5" x14ac:dyDescent="0.25">
      <c r="B8464" s="40"/>
      <c r="C8464" s="40"/>
      <c r="E8464" s="80"/>
    </row>
    <row r="8465" spans="2:5" x14ac:dyDescent="0.25">
      <c r="B8465" s="40"/>
      <c r="C8465" s="40"/>
      <c r="E8465" s="80"/>
    </row>
    <row r="8466" spans="2:5" x14ac:dyDescent="0.25">
      <c r="B8466" s="40"/>
      <c r="C8466" s="40"/>
      <c r="E8466" s="80"/>
    </row>
    <row r="8467" spans="2:5" x14ac:dyDescent="0.25">
      <c r="B8467" s="40"/>
      <c r="C8467" s="40"/>
      <c r="E8467" s="80"/>
    </row>
    <row r="8468" spans="2:5" x14ac:dyDescent="0.25">
      <c r="B8468" s="40"/>
      <c r="C8468" s="40"/>
      <c r="E8468" s="80"/>
    </row>
    <row r="8469" spans="2:5" x14ac:dyDescent="0.25">
      <c r="B8469" s="40"/>
      <c r="C8469" s="40"/>
      <c r="E8469" s="80"/>
    </row>
    <row r="8470" spans="2:5" x14ac:dyDescent="0.25">
      <c r="B8470" s="40"/>
      <c r="C8470" s="40"/>
      <c r="E8470" s="80"/>
    </row>
    <row r="8471" spans="2:5" x14ac:dyDescent="0.25">
      <c r="B8471" s="40"/>
      <c r="C8471" s="40"/>
      <c r="E8471" s="80"/>
    </row>
    <row r="8472" spans="2:5" x14ac:dyDescent="0.25">
      <c r="B8472" s="40"/>
      <c r="C8472" s="40"/>
      <c r="E8472" s="80"/>
    </row>
    <row r="8473" spans="2:5" x14ac:dyDescent="0.25">
      <c r="B8473" s="40"/>
      <c r="C8473" s="40"/>
      <c r="E8473" s="80"/>
    </row>
    <row r="8474" spans="2:5" x14ac:dyDescent="0.25">
      <c r="B8474" s="40"/>
      <c r="C8474" s="40"/>
      <c r="E8474" s="80"/>
    </row>
    <row r="8475" spans="2:5" x14ac:dyDescent="0.25">
      <c r="B8475" s="40"/>
      <c r="C8475" s="40"/>
      <c r="E8475" s="80"/>
    </row>
    <row r="8476" spans="2:5" x14ac:dyDescent="0.25">
      <c r="B8476" s="40"/>
      <c r="C8476" s="40"/>
      <c r="E8476" s="80"/>
    </row>
    <row r="8477" spans="2:5" x14ac:dyDescent="0.25">
      <c r="B8477" s="40"/>
      <c r="C8477" s="40"/>
      <c r="E8477" s="80"/>
    </row>
    <row r="8478" spans="2:5" x14ac:dyDescent="0.25">
      <c r="B8478" s="40"/>
      <c r="C8478" s="40"/>
      <c r="E8478" s="80"/>
    </row>
    <row r="8479" spans="2:5" x14ac:dyDescent="0.25">
      <c r="B8479" s="40"/>
      <c r="C8479" s="40"/>
      <c r="E8479" s="80"/>
    </row>
    <row r="8480" spans="2:5" x14ac:dyDescent="0.25">
      <c r="B8480" s="40"/>
      <c r="C8480" s="40"/>
      <c r="E8480" s="80"/>
    </row>
    <row r="8481" spans="2:5" x14ac:dyDescent="0.25">
      <c r="B8481" s="40"/>
      <c r="C8481" s="40"/>
      <c r="E8481" s="80"/>
    </row>
    <row r="8482" spans="2:5" x14ac:dyDescent="0.25">
      <c r="B8482" s="40"/>
      <c r="C8482" s="40"/>
      <c r="E8482" s="80"/>
    </row>
    <row r="8483" spans="2:5" x14ac:dyDescent="0.25">
      <c r="B8483" s="40"/>
      <c r="C8483" s="40"/>
      <c r="E8483" s="80"/>
    </row>
    <row r="8484" spans="2:5" x14ac:dyDescent="0.25">
      <c r="B8484" s="40"/>
      <c r="C8484" s="40"/>
      <c r="E8484" s="80"/>
    </row>
    <row r="8485" spans="2:5" x14ac:dyDescent="0.25">
      <c r="B8485" s="40"/>
      <c r="C8485" s="40"/>
      <c r="E8485" s="80"/>
    </row>
    <row r="8486" spans="2:5" x14ac:dyDescent="0.25">
      <c r="B8486" s="40"/>
      <c r="C8486" s="40"/>
      <c r="E8486" s="80"/>
    </row>
    <row r="8487" spans="2:5" x14ac:dyDescent="0.25">
      <c r="B8487" s="40"/>
      <c r="C8487" s="40"/>
      <c r="E8487" s="80"/>
    </row>
    <row r="8488" spans="2:5" x14ac:dyDescent="0.25">
      <c r="B8488" s="40"/>
      <c r="C8488" s="40"/>
      <c r="E8488" s="80"/>
    </row>
    <row r="8489" spans="2:5" x14ac:dyDescent="0.25">
      <c r="B8489" s="40"/>
      <c r="C8489" s="40"/>
      <c r="E8489" s="80"/>
    </row>
    <row r="8490" spans="2:5" x14ac:dyDescent="0.25">
      <c r="B8490" s="40"/>
      <c r="C8490" s="40"/>
      <c r="E8490" s="80"/>
    </row>
    <row r="8491" spans="2:5" x14ac:dyDescent="0.25">
      <c r="B8491" s="40"/>
      <c r="C8491" s="40"/>
      <c r="E8491" s="80"/>
    </row>
    <row r="8492" spans="2:5" x14ac:dyDescent="0.25">
      <c r="B8492" s="40"/>
      <c r="C8492" s="40"/>
      <c r="E8492" s="80"/>
    </row>
    <row r="8493" spans="2:5" x14ac:dyDescent="0.25">
      <c r="B8493" s="40"/>
      <c r="C8493" s="40"/>
      <c r="E8493" s="80"/>
    </row>
    <row r="8494" spans="2:5" x14ac:dyDescent="0.25">
      <c r="B8494" s="40"/>
      <c r="C8494" s="40"/>
      <c r="E8494" s="80"/>
    </row>
    <row r="8495" spans="2:5" x14ac:dyDescent="0.25">
      <c r="B8495" s="40"/>
      <c r="C8495" s="40"/>
      <c r="E8495" s="80"/>
    </row>
    <row r="8496" spans="2:5" x14ac:dyDescent="0.25">
      <c r="B8496" s="40"/>
      <c r="C8496" s="40"/>
      <c r="E8496" s="80"/>
    </row>
    <row r="8497" spans="2:5" x14ac:dyDescent="0.25">
      <c r="B8497" s="40"/>
      <c r="C8497" s="40"/>
      <c r="E8497" s="80"/>
    </row>
    <row r="8498" spans="2:5" x14ac:dyDescent="0.25">
      <c r="B8498" s="40"/>
      <c r="C8498" s="40"/>
      <c r="E8498" s="80"/>
    </row>
    <row r="8499" spans="2:5" x14ac:dyDescent="0.25">
      <c r="B8499" s="40"/>
      <c r="C8499" s="40"/>
      <c r="E8499" s="80"/>
    </row>
    <row r="8500" spans="2:5" x14ac:dyDescent="0.25">
      <c r="B8500" s="40"/>
      <c r="C8500" s="40"/>
      <c r="E8500" s="80"/>
    </row>
    <row r="8501" spans="2:5" x14ac:dyDescent="0.25">
      <c r="B8501" s="40"/>
      <c r="C8501" s="40"/>
      <c r="E8501" s="80"/>
    </row>
    <row r="8502" spans="2:5" x14ac:dyDescent="0.25">
      <c r="B8502" s="40"/>
      <c r="C8502" s="40"/>
      <c r="E8502" s="80"/>
    </row>
    <row r="8503" spans="2:5" x14ac:dyDescent="0.25">
      <c r="B8503" s="40"/>
      <c r="C8503" s="40"/>
      <c r="E8503" s="80"/>
    </row>
    <row r="8504" spans="2:5" x14ac:dyDescent="0.25">
      <c r="B8504" s="40"/>
      <c r="C8504" s="40"/>
      <c r="E8504" s="80"/>
    </row>
    <row r="8505" spans="2:5" x14ac:dyDescent="0.25">
      <c r="B8505" s="40"/>
      <c r="C8505" s="40"/>
      <c r="E8505" s="80"/>
    </row>
    <row r="8506" spans="2:5" x14ac:dyDescent="0.25">
      <c r="B8506" s="40"/>
      <c r="C8506" s="40"/>
      <c r="E8506" s="80"/>
    </row>
    <row r="8507" spans="2:5" x14ac:dyDescent="0.25">
      <c r="B8507" s="40"/>
      <c r="C8507" s="40"/>
      <c r="E8507" s="80"/>
    </row>
    <row r="8508" spans="2:5" x14ac:dyDescent="0.25">
      <c r="B8508" s="40"/>
      <c r="C8508" s="40"/>
      <c r="E8508" s="80"/>
    </row>
    <row r="8509" spans="2:5" x14ac:dyDescent="0.25">
      <c r="B8509" s="40"/>
      <c r="C8509" s="40"/>
      <c r="E8509" s="80"/>
    </row>
    <row r="8510" spans="2:5" x14ac:dyDescent="0.25">
      <c r="B8510" s="40"/>
      <c r="C8510" s="40"/>
      <c r="E8510" s="80"/>
    </row>
    <row r="8511" spans="2:5" x14ac:dyDescent="0.25">
      <c r="B8511" s="40"/>
      <c r="C8511" s="40"/>
      <c r="E8511" s="80"/>
    </row>
    <row r="8512" spans="2:5" x14ac:dyDescent="0.25">
      <c r="B8512" s="40"/>
      <c r="C8512" s="40"/>
      <c r="E8512" s="80"/>
    </row>
    <row r="8513" spans="2:5" x14ac:dyDescent="0.25">
      <c r="B8513" s="40"/>
      <c r="C8513" s="40"/>
      <c r="E8513" s="80"/>
    </row>
    <row r="8514" spans="2:5" x14ac:dyDescent="0.25">
      <c r="B8514" s="40"/>
      <c r="C8514" s="40"/>
      <c r="E8514" s="80"/>
    </row>
    <row r="8515" spans="2:5" x14ac:dyDescent="0.25">
      <c r="B8515" s="40"/>
      <c r="C8515" s="40"/>
      <c r="E8515" s="80"/>
    </row>
    <row r="8516" spans="2:5" x14ac:dyDescent="0.25">
      <c r="B8516" s="40"/>
      <c r="C8516" s="40"/>
      <c r="E8516" s="80"/>
    </row>
    <row r="8517" spans="2:5" x14ac:dyDescent="0.25">
      <c r="B8517" s="40"/>
      <c r="C8517" s="40"/>
      <c r="E8517" s="80"/>
    </row>
    <row r="8518" spans="2:5" x14ac:dyDescent="0.25">
      <c r="B8518" s="40"/>
      <c r="C8518" s="40"/>
      <c r="E8518" s="80"/>
    </row>
    <row r="8519" spans="2:5" x14ac:dyDescent="0.25">
      <c r="B8519" s="40"/>
      <c r="C8519" s="40"/>
      <c r="E8519" s="80"/>
    </row>
    <row r="8520" spans="2:5" x14ac:dyDescent="0.25">
      <c r="B8520" s="40"/>
      <c r="C8520" s="40"/>
      <c r="E8520" s="80"/>
    </row>
    <row r="8521" spans="2:5" x14ac:dyDescent="0.25">
      <c r="B8521" s="40"/>
      <c r="C8521" s="40"/>
      <c r="E8521" s="80"/>
    </row>
    <row r="8522" spans="2:5" x14ac:dyDescent="0.25">
      <c r="B8522" s="40"/>
      <c r="C8522" s="40"/>
      <c r="E8522" s="80"/>
    </row>
    <row r="8523" spans="2:5" x14ac:dyDescent="0.25">
      <c r="B8523" s="40"/>
      <c r="C8523" s="40"/>
      <c r="E8523" s="80"/>
    </row>
    <row r="8524" spans="2:5" x14ac:dyDescent="0.25">
      <c r="B8524" s="40"/>
      <c r="C8524" s="40"/>
      <c r="E8524" s="80"/>
    </row>
    <row r="8525" spans="2:5" x14ac:dyDescent="0.25">
      <c r="B8525" s="40"/>
      <c r="C8525" s="40"/>
      <c r="E8525" s="80"/>
    </row>
    <row r="8526" spans="2:5" x14ac:dyDescent="0.25">
      <c r="B8526" s="40"/>
      <c r="C8526" s="40"/>
      <c r="E8526" s="80"/>
    </row>
    <row r="8527" spans="2:5" x14ac:dyDescent="0.25">
      <c r="B8527" s="40"/>
      <c r="C8527" s="40"/>
      <c r="E8527" s="80"/>
    </row>
    <row r="8528" spans="2:5" x14ac:dyDescent="0.25">
      <c r="B8528" s="40"/>
      <c r="C8528" s="40"/>
      <c r="E8528" s="80"/>
    </row>
    <row r="8529" spans="2:5" x14ac:dyDescent="0.25">
      <c r="B8529" s="40"/>
      <c r="C8529" s="40"/>
      <c r="E8529" s="80"/>
    </row>
    <row r="8530" spans="2:5" x14ac:dyDescent="0.25">
      <c r="B8530" s="40"/>
      <c r="C8530" s="40"/>
      <c r="E8530" s="80"/>
    </row>
    <row r="8531" spans="2:5" x14ac:dyDescent="0.25">
      <c r="B8531" s="40"/>
      <c r="C8531" s="40"/>
      <c r="E8531" s="80"/>
    </row>
    <row r="8532" spans="2:5" x14ac:dyDescent="0.25">
      <c r="B8532" s="40"/>
      <c r="C8532" s="40"/>
      <c r="E8532" s="80"/>
    </row>
    <row r="8533" spans="2:5" x14ac:dyDescent="0.25">
      <c r="B8533" s="40"/>
      <c r="C8533" s="40"/>
      <c r="E8533" s="80"/>
    </row>
    <row r="8534" spans="2:5" x14ac:dyDescent="0.25">
      <c r="B8534" s="40"/>
      <c r="C8534" s="40"/>
      <c r="E8534" s="80"/>
    </row>
    <row r="8535" spans="2:5" x14ac:dyDescent="0.25">
      <c r="B8535" s="40"/>
      <c r="C8535" s="40"/>
      <c r="E8535" s="80"/>
    </row>
    <row r="8536" spans="2:5" x14ac:dyDescent="0.25">
      <c r="B8536" s="40"/>
      <c r="C8536" s="40"/>
      <c r="E8536" s="80"/>
    </row>
    <row r="8537" spans="2:5" x14ac:dyDescent="0.25">
      <c r="B8537" s="40"/>
      <c r="C8537" s="40"/>
      <c r="E8537" s="80"/>
    </row>
    <row r="8538" spans="2:5" x14ac:dyDescent="0.25">
      <c r="B8538" s="40"/>
      <c r="C8538" s="40"/>
      <c r="E8538" s="80"/>
    </row>
    <row r="8539" spans="2:5" x14ac:dyDescent="0.25">
      <c r="B8539" s="40"/>
      <c r="C8539" s="40"/>
      <c r="E8539" s="80"/>
    </row>
    <row r="8540" spans="2:5" x14ac:dyDescent="0.25">
      <c r="B8540" s="40"/>
      <c r="C8540" s="40"/>
      <c r="E8540" s="80"/>
    </row>
    <row r="8541" spans="2:5" x14ac:dyDescent="0.25">
      <c r="B8541" s="40"/>
      <c r="C8541" s="40"/>
      <c r="E8541" s="80"/>
    </row>
    <row r="8542" spans="2:5" x14ac:dyDescent="0.25">
      <c r="B8542" s="40"/>
      <c r="C8542" s="40"/>
      <c r="E8542" s="80"/>
    </row>
    <row r="8543" spans="2:5" x14ac:dyDescent="0.25">
      <c r="B8543" s="40"/>
      <c r="C8543" s="40"/>
      <c r="E8543" s="80"/>
    </row>
    <row r="8544" spans="2:5" x14ac:dyDescent="0.25">
      <c r="B8544" s="40"/>
      <c r="C8544" s="40"/>
      <c r="E8544" s="80"/>
    </row>
    <row r="8545" spans="2:5" x14ac:dyDescent="0.25">
      <c r="B8545" s="40"/>
      <c r="C8545" s="40"/>
      <c r="E8545" s="80"/>
    </row>
    <row r="8546" spans="2:5" x14ac:dyDescent="0.25">
      <c r="B8546" s="40"/>
      <c r="C8546" s="40"/>
      <c r="E8546" s="80"/>
    </row>
    <row r="8547" spans="2:5" x14ac:dyDescent="0.25">
      <c r="B8547" s="40"/>
      <c r="C8547" s="40"/>
      <c r="E8547" s="80"/>
    </row>
    <row r="8548" spans="2:5" x14ac:dyDescent="0.25">
      <c r="B8548" s="40"/>
      <c r="C8548" s="40"/>
      <c r="E8548" s="80"/>
    </row>
    <row r="8549" spans="2:5" x14ac:dyDescent="0.25">
      <c r="B8549" s="40"/>
      <c r="C8549" s="40"/>
      <c r="E8549" s="80"/>
    </row>
    <row r="8550" spans="2:5" x14ac:dyDescent="0.25">
      <c r="B8550" s="40"/>
      <c r="C8550" s="40"/>
      <c r="E8550" s="80"/>
    </row>
    <row r="8551" spans="2:5" x14ac:dyDescent="0.25">
      <c r="B8551" s="40"/>
      <c r="C8551" s="40"/>
      <c r="E8551" s="80"/>
    </row>
    <row r="8552" spans="2:5" x14ac:dyDescent="0.25">
      <c r="B8552" s="40"/>
      <c r="C8552" s="40"/>
      <c r="E8552" s="80"/>
    </row>
    <row r="8553" spans="2:5" x14ac:dyDescent="0.25">
      <c r="B8553" s="40"/>
      <c r="C8553" s="40"/>
      <c r="E8553" s="80"/>
    </row>
    <row r="8554" spans="2:5" x14ac:dyDescent="0.25">
      <c r="B8554" s="40"/>
      <c r="C8554" s="40"/>
      <c r="E8554" s="80"/>
    </row>
    <row r="8555" spans="2:5" x14ac:dyDescent="0.25">
      <c r="B8555" s="40"/>
      <c r="C8555" s="40"/>
      <c r="E8555" s="80"/>
    </row>
    <row r="8556" spans="2:5" x14ac:dyDescent="0.25">
      <c r="B8556" s="40"/>
      <c r="C8556" s="40"/>
      <c r="E8556" s="80"/>
    </row>
    <row r="8557" spans="2:5" x14ac:dyDescent="0.25">
      <c r="B8557" s="40"/>
      <c r="C8557" s="40"/>
      <c r="E8557" s="80"/>
    </row>
    <row r="8558" spans="2:5" x14ac:dyDescent="0.25">
      <c r="B8558" s="40"/>
      <c r="C8558" s="40"/>
      <c r="E8558" s="80"/>
    </row>
    <row r="8559" spans="2:5" x14ac:dyDescent="0.25">
      <c r="B8559" s="40"/>
      <c r="C8559" s="40"/>
      <c r="E8559" s="80"/>
    </row>
    <row r="8560" spans="2:5" x14ac:dyDescent="0.25">
      <c r="B8560" s="40"/>
      <c r="C8560" s="40"/>
      <c r="E8560" s="80"/>
    </row>
    <row r="8561" spans="2:5" x14ac:dyDescent="0.25">
      <c r="B8561" s="40"/>
      <c r="C8561" s="40"/>
      <c r="E8561" s="80"/>
    </row>
    <row r="8562" spans="2:5" x14ac:dyDescent="0.25">
      <c r="B8562" s="40"/>
      <c r="C8562" s="40"/>
      <c r="E8562" s="80"/>
    </row>
    <row r="8563" spans="2:5" x14ac:dyDescent="0.25">
      <c r="B8563" s="40"/>
      <c r="C8563" s="40"/>
      <c r="E8563" s="80"/>
    </row>
    <row r="8564" spans="2:5" x14ac:dyDescent="0.25">
      <c r="B8564" s="40"/>
      <c r="C8564" s="40"/>
      <c r="E8564" s="80"/>
    </row>
    <row r="8565" spans="2:5" x14ac:dyDescent="0.25">
      <c r="B8565" s="40"/>
      <c r="C8565" s="40"/>
      <c r="E8565" s="80"/>
    </row>
    <row r="8566" spans="2:5" x14ac:dyDescent="0.25">
      <c r="B8566" s="40"/>
      <c r="C8566" s="40"/>
      <c r="E8566" s="80"/>
    </row>
    <row r="8567" spans="2:5" x14ac:dyDescent="0.25">
      <c r="B8567" s="40"/>
      <c r="C8567" s="40"/>
      <c r="E8567" s="80"/>
    </row>
    <row r="8568" spans="2:5" x14ac:dyDescent="0.25">
      <c r="B8568" s="40"/>
      <c r="C8568" s="40"/>
      <c r="E8568" s="80"/>
    </row>
    <row r="8569" spans="2:5" x14ac:dyDescent="0.25">
      <c r="B8569" s="40"/>
      <c r="C8569" s="40"/>
      <c r="E8569" s="80"/>
    </row>
    <row r="8570" spans="2:5" x14ac:dyDescent="0.25">
      <c r="B8570" s="40"/>
      <c r="C8570" s="40"/>
      <c r="E8570" s="80"/>
    </row>
    <row r="8571" spans="2:5" x14ac:dyDescent="0.25">
      <c r="B8571" s="40"/>
      <c r="C8571" s="40"/>
      <c r="E8571" s="80"/>
    </row>
    <row r="8572" spans="2:5" x14ac:dyDescent="0.25">
      <c r="B8572" s="40"/>
      <c r="C8572" s="40"/>
      <c r="E8572" s="80"/>
    </row>
    <row r="8573" spans="2:5" x14ac:dyDescent="0.25">
      <c r="B8573" s="40"/>
      <c r="C8573" s="40"/>
      <c r="E8573" s="80"/>
    </row>
    <row r="8574" spans="2:5" x14ac:dyDescent="0.25">
      <c r="B8574" s="40"/>
      <c r="C8574" s="40"/>
      <c r="E8574" s="80"/>
    </row>
    <row r="8575" spans="2:5" x14ac:dyDescent="0.25">
      <c r="B8575" s="40"/>
      <c r="C8575" s="40"/>
      <c r="E8575" s="80"/>
    </row>
    <row r="8576" spans="2:5" x14ac:dyDescent="0.25">
      <c r="B8576" s="40"/>
      <c r="C8576" s="40"/>
      <c r="E8576" s="80"/>
    </row>
    <row r="8577" spans="2:5" x14ac:dyDescent="0.25">
      <c r="B8577" s="40"/>
      <c r="C8577" s="40"/>
      <c r="E8577" s="80"/>
    </row>
    <row r="8578" spans="2:5" x14ac:dyDescent="0.25">
      <c r="B8578" s="40"/>
      <c r="C8578" s="40"/>
      <c r="E8578" s="80"/>
    </row>
    <row r="8579" spans="2:5" x14ac:dyDescent="0.25">
      <c r="B8579" s="40"/>
      <c r="C8579" s="40"/>
      <c r="E8579" s="80"/>
    </row>
    <row r="8580" spans="2:5" x14ac:dyDescent="0.25">
      <c r="B8580" s="40"/>
      <c r="C8580" s="40"/>
      <c r="E8580" s="80"/>
    </row>
    <row r="8581" spans="2:5" x14ac:dyDescent="0.25">
      <c r="B8581" s="40"/>
      <c r="C8581" s="40"/>
      <c r="E8581" s="80"/>
    </row>
    <row r="8582" spans="2:5" x14ac:dyDescent="0.25">
      <c r="B8582" s="40"/>
      <c r="C8582" s="40"/>
      <c r="E8582" s="80"/>
    </row>
    <row r="8583" spans="2:5" x14ac:dyDescent="0.25">
      <c r="B8583" s="40"/>
      <c r="C8583" s="40"/>
      <c r="E8583" s="80"/>
    </row>
    <row r="8584" spans="2:5" x14ac:dyDescent="0.25">
      <c r="B8584" s="40"/>
      <c r="C8584" s="40"/>
      <c r="E8584" s="80"/>
    </row>
    <row r="8585" spans="2:5" x14ac:dyDescent="0.25">
      <c r="B8585" s="40"/>
      <c r="C8585" s="40"/>
      <c r="E8585" s="80"/>
    </row>
    <row r="8586" spans="2:5" x14ac:dyDescent="0.25">
      <c r="B8586" s="40"/>
      <c r="C8586" s="40"/>
      <c r="E8586" s="80"/>
    </row>
    <row r="8587" spans="2:5" x14ac:dyDescent="0.25">
      <c r="B8587" s="40"/>
      <c r="C8587" s="40"/>
      <c r="E8587" s="80"/>
    </row>
    <row r="8588" spans="2:5" x14ac:dyDescent="0.25">
      <c r="B8588" s="40"/>
      <c r="C8588" s="40"/>
      <c r="E8588" s="80"/>
    </row>
    <row r="8589" spans="2:5" x14ac:dyDescent="0.25">
      <c r="B8589" s="40"/>
      <c r="C8589" s="40"/>
      <c r="E8589" s="80"/>
    </row>
    <row r="8590" spans="2:5" x14ac:dyDescent="0.25">
      <c r="B8590" s="40"/>
      <c r="C8590" s="40"/>
      <c r="E8590" s="80"/>
    </row>
    <row r="8591" spans="2:5" x14ac:dyDescent="0.25">
      <c r="B8591" s="40"/>
      <c r="C8591" s="40"/>
      <c r="E8591" s="80"/>
    </row>
    <row r="8592" spans="2:5" x14ac:dyDescent="0.25">
      <c r="B8592" s="40"/>
      <c r="C8592" s="40"/>
      <c r="E8592" s="80"/>
    </row>
    <row r="8593" spans="2:5" x14ac:dyDescent="0.25">
      <c r="B8593" s="40"/>
      <c r="C8593" s="40"/>
      <c r="E8593" s="80"/>
    </row>
    <row r="8594" spans="2:5" x14ac:dyDescent="0.25">
      <c r="B8594" s="40"/>
      <c r="C8594" s="40"/>
      <c r="E8594" s="80"/>
    </row>
    <row r="8595" spans="2:5" x14ac:dyDescent="0.25">
      <c r="B8595" s="40"/>
      <c r="C8595" s="40"/>
      <c r="E8595" s="80"/>
    </row>
    <row r="8596" spans="2:5" x14ac:dyDescent="0.25">
      <c r="B8596" s="40"/>
      <c r="C8596" s="40"/>
      <c r="E8596" s="80"/>
    </row>
    <row r="8597" spans="2:5" x14ac:dyDescent="0.25">
      <c r="B8597" s="40"/>
      <c r="C8597" s="40"/>
      <c r="E8597" s="80"/>
    </row>
    <row r="8598" spans="2:5" x14ac:dyDescent="0.25">
      <c r="B8598" s="40"/>
      <c r="C8598" s="40"/>
      <c r="E8598" s="80"/>
    </row>
    <row r="8599" spans="2:5" x14ac:dyDescent="0.25">
      <c r="B8599" s="40"/>
      <c r="C8599" s="40"/>
      <c r="E8599" s="80"/>
    </row>
    <row r="8600" spans="2:5" x14ac:dyDescent="0.25">
      <c r="B8600" s="40"/>
      <c r="C8600" s="40"/>
      <c r="E8600" s="80"/>
    </row>
    <row r="8601" spans="2:5" x14ac:dyDescent="0.25">
      <c r="B8601" s="40"/>
      <c r="C8601" s="40"/>
      <c r="E8601" s="80"/>
    </row>
    <row r="8602" spans="2:5" x14ac:dyDescent="0.25">
      <c r="B8602" s="40"/>
      <c r="C8602" s="40"/>
      <c r="E8602" s="80"/>
    </row>
    <row r="8603" spans="2:5" x14ac:dyDescent="0.25">
      <c r="B8603" s="40"/>
      <c r="C8603" s="40"/>
      <c r="E8603" s="80"/>
    </row>
    <row r="8604" spans="2:5" x14ac:dyDescent="0.25">
      <c r="B8604" s="40"/>
      <c r="C8604" s="40"/>
      <c r="E8604" s="80"/>
    </row>
    <row r="8605" spans="2:5" x14ac:dyDescent="0.25">
      <c r="B8605" s="40"/>
      <c r="C8605" s="40"/>
      <c r="E8605" s="80"/>
    </row>
    <row r="8606" spans="2:5" x14ac:dyDescent="0.25">
      <c r="B8606" s="40"/>
      <c r="C8606" s="40"/>
      <c r="E8606" s="80"/>
    </row>
    <row r="8607" spans="2:5" x14ac:dyDescent="0.25">
      <c r="B8607" s="40"/>
      <c r="C8607" s="40"/>
      <c r="E8607" s="80"/>
    </row>
    <row r="8608" spans="2:5" x14ac:dyDescent="0.25">
      <c r="B8608" s="40"/>
      <c r="C8608" s="40"/>
      <c r="E8608" s="80"/>
    </row>
    <row r="8609" spans="2:5" x14ac:dyDescent="0.25">
      <c r="B8609" s="40"/>
      <c r="C8609" s="40"/>
      <c r="E8609" s="80"/>
    </row>
    <row r="8610" spans="2:5" x14ac:dyDescent="0.25">
      <c r="B8610" s="40"/>
      <c r="C8610" s="40"/>
      <c r="E8610" s="80"/>
    </row>
    <row r="8611" spans="2:5" x14ac:dyDescent="0.25">
      <c r="B8611" s="40"/>
      <c r="C8611" s="40"/>
      <c r="E8611" s="80"/>
    </row>
    <row r="8612" spans="2:5" x14ac:dyDescent="0.25">
      <c r="B8612" s="40"/>
      <c r="C8612" s="40"/>
      <c r="E8612" s="80"/>
    </row>
    <row r="8613" spans="2:5" x14ac:dyDescent="0.25">
      <c r="B8613" s="40"/>
      <c r="C8613" s="40"/>
      <c r="E8613" s="80"/>
    </row>
    <row r="8614" spans="2:5" x14ac:dyDescent="0.25">
      <c r="B8614" s="40"/>
      <c r="C8614" s="40"/>
      <c r="E8614" s="80"/>
    </row>
    <row r="8615" spans="2:5" x14ac:dyDescent="0.25">
      <c r="B8615" s="40"/>
      <c r="C8615" s="40"/>
      <c r="E8615" s="80"/>
    </row>
    <row r="8616" spans="2:5" x14ac:dyDescent="0.25">
      <c r="B8616" s="40"/>
      <c r="C8616" s="40"/>
      <c r="E8616" s="80"/>
    </row>
    <row r="8617" spans="2:5" x14ac:dyDescent="0.25">
      <c r="B8617" s="40"/>
      <c r="C8617" s="40"/>
      <c r="E8617" s="80"/>
    </row>
    <row r="8618" spans="2:5" x14ac:dyDescent="0.25">
      <c r="B8618" s="40"/>
      <c r="C8618" s="40"/>
      <c r="E8618" s="80"/>
    </row>
    <row r="8619" spans="2:5" x14ac:dyDescent="0.25">
      <c r="B8619" s="40"/>
      <c r="C8619" s="40"/>
      <c r="E8619" s="80"/>
    </row>
    <row r="8620" spans="2:5" x14ac:dyDescent="0.25">
      <c r="B8620" s="40"/>
      <c r="C8620" s="40"/>
      <c r="E8620" s="80"/>
    </row>
    <row r="8621" spans="2:5" x14ac:dyDescent="0.25">
      <c r="B8621" s="40"/>
      <c r="C8621" s="40"/>
      <c r="E8621" s="80"/>
    </row>
    <row r="8622" spans="2:5" x14ac:dyDescent="0.25">
      <c r="B8622" s="40"/>
      <c r="C8622" s="40"/>
      <c r="E8622" s="80"/>
    </row>
    <row r="8623" spans="2:5" x14ac:dyDescent="0.25">
      <c r="B8623" s="40"/>
      <c r="C8623" s="40"/>
      <c r="E8623" s="80"/>
    </row>
    <row r="8624" spans="2:5" x14ac:dyDescent="0.25">
      <c r="B8624" s="40"/>
      <c r="C8624" s="40"/>
      <c r="E8624" s="80"/>
    </row>
    <row r="8625" spans="2:5" x14ac:dyDescent="0.25">
      <c r="B8625" s="40"/>
      <c r="C8625" s="40"/>
      <c r="E8625" s="80"/>
    </row>
    <row r="8626" spans="2:5" x14ac:dyDescent="0.25">
      <c r="B8626" s="40"/>
      <c r="C8626" s="40"/>
      <c r="E8626" s="80"/>
    </row>
    <row r="8627" spans="2:5" x14ac:dyDescent="0.25">
      <c r="B8627" s="40"/>
      <c r="C8627" s="40"/>
      <c r="E8627" s="80"/>
    </row>
    <row r="8628" spans="2:5" x14ac:dyDescent="0.25">
      <c r="B8628" s="40"/>
      <c r="C8628" s="40"/>
      <c r="E8628" s="80"/>
    </row>
    <row r="8629" spans="2:5" x14ac:dyDescent="0.25">
      <c r="B8629" s="40"/>
      <c r="C8629" s="40"/>
      <c r="E8629" s="80"/>
    </row>
    <row r="8630" spans="2:5" x14ac:dyDescent="0.25">
      <c r="B8630" s="40"/>
      <c r="C8630" s="40"/>
      <c r="E8630" s="80"/>
    </row>
    <row r="8631" spans="2:5" x14ac:dyDescent="0.25">
      <c r="B8631" s="40"/>
      <c r="C8631" s="40"/>
      <c r="E8631" s="80"/>
    </row>
    <row r="8632" spans="2:5" x14ac:dyDescent="0.25">
      <c r="B8632" s="40"/>
      <c r="C8632" s="40"/>
      <c r="E8632" s="80"/>
    </row>
    <row r="8633" spans="2:5" x14ac:dyDescent="0.25">
      <c r="B8633" s="40"/>
      <c r="C8633" s="40"/>
      <c r="E8633" s="80"/>
    </row>
    <row r="8634" spans="2:5" x14ac:dyDescent="0.25">
      <c r="B8634" s="40"/>
      <c r="C8634" s="40"/>
      <c r="E8634" s="80"/>
    </row>
    <row r="8635" spans="2:5" x14ac:dyDescent="0.25">
      <c r="B8635" s="40"/>
      <c r="C8635" s="40"/>
      <c r="E8635" s="80"/>
    </row>
    <row r="8636" spans="2:5" x14ac:dyDescent="0.25">
      <c r="B8636" s="40"/>
      <c r="C8636" s="40"/>
      <c r="E8636" s="80"/>
    </row>
    <row r="8637" spans="2:5" x14ac:dyDescent="0.25">
      <c r="B8637" s="40"/>
      <c r="C8637" s="40"/>
      <c r="E8637" s="80"/>
    </row>
    <row r="8638" spans="2:5" x14ac:dyDescent="0.25">
      <c r="B8638" s="40"/>
      <c r="C8638" s="40"/>
      <c r="E8638" s="80"/>
    </row>
    <row r="8639" spans="2:5" x14ac:dyDescent="0.25">
      <c r="B8639" s="40"/>
      <c r="C8639" s="40"/>
      <c r="E8639" s="80"/>
    </row>
    <row r="8640" spans="2:5" x14ac:dyDescent="0.25">
      <c r="B8640" s="40"/>
      <c r="C8640" s="40"/>
      <c r="E8640" s="80"/>
    </row>
    <row r="8641" spans="2:5" x14ac:dyDescent="0.25">
      <c r="B8641" s="40"/>
      <c r="C8641" s="40"/>
      <c r="E8641" s="80"/>
    </row>
    <row r="8642" spans="2:5" x14ac:dyDescent="0.25">
      <c r="B8642" s="40"/>
      <c r="C8642" s="40"/>
      <c r="E8642" s="80"/>
    </row>
    <row r="8643" spans="2:5" x14ac:dyDescent="0.25">
      <c r="B8643" s="40"/>
      <c r="C8643" s="40"/>
      <c r="E8643" s="80"/>
    </row>
    <row r="8644" spans="2:5" x14ac:dyDescent="0.25">
      <c r="B8644" s="40"/>
      <c r="C8644" s="40"/>
      <c r="E8644" s="80"/>
    </row>
    <row r="8645" spans="2:5" x14ac:dyDescent="0.25">
      <c r="B8645" s="40"/>
      <c r="C8645" s="40"/>
      <c r="E8645" s="80"/>
    </row>
    <row r="8646" spans="2:5" x14ac:dyDescent="0.25">
      <c r="B8646" s="40"/>
      <c r="C8646" s="40"/>
      <c r="E8646" s="80"/>
    </row>
    <row r="8647" spans="2:5" x14ac:dyDescent="0.25">
      <c r="B8647" s="40"/>
      <c r="C8647" s="40"/>
      <c r="E8647" s="80"/>
    </row>
    <row r="8648" spans="2:5" x14ac:dyDescent="0.25">
      <c r="B8648" s="40"/>
      <c r="C8648" s="40"/>
      <c r="E8648" s="80"/>
    </row>
    <row r="8649" spans="2:5" x14ac:dyDescent="0.25">
      <c r="B8649" s="40"/>
      <c r="C8649" s="40"/>
      <c r="E8649" s="80"/>
    </row>
    <row r="8650" spans="2:5" x14ac:dyDescent="0.25">
      <c r="B8650" s="40"/>
      <c r="C8650" s="40"/>
      <c r="E8650" s="80"/>
    </row>
    <row r="8651" spans="2:5" x14ac:dyDescent="0.25">
      <c r="B8651" s="40"/>
      <c r="C8651" s="40"/>
      <c r="E8651" s="80"/>
    </row>
    <row r="8652" spans="2:5" x14ac:dyDescent="0.25">
      <c r="B8652" s="40"/>
      <c r="C8652" s="40"/>
      <c r="E8652" s="80"/>
    </row>
    <row r="8653" spans="2:5" x14ac:dyDescent="0.25">
      <c r="B8653" s="40"/>
      <c r="C8653" s="40"/>
      <c r="E8653" s="80"/>
    </row>
    <row r="8654" spans="2:5" x14ac:dyDescent="0.25">
      <c r="B8654" s="40"/>
      <c r="C8654" s="40"/>
      <c r="E8654" s="80"/>
    </row>
    <row r="8655" spans="2:5" x14ac:dyDescent="0.25">
      <c r="B8655" s="40"/>
      <c r="C8655" s="40"/>
      <c r="E8655" s="80"/>
    </row>
    <row r="8656" spans="2:5" x14ac:dyDescent="0.25">
      <c r="B8656" s="40"/>
      <c r="C8656" s="40"/>
      <c r="E8656" s="80"/>
    </row>
    <row r="8657" spans="2:5" x14ac:dyDescent="0.25">
      <c r="B8657" s="40"/>
      <c r="C8657" s="40"/>
      <c r="E8657" s="80"/>
    </row>
    <row r="8658" spans="2:5" x14ac:dyDescent="0.25">
      <c r="B8658" s="40"/>
      <c r="C8658" s="40"/>
      <c r="E8658" s="80"/>
    </row>
    <row r="8659" spans="2:5" x14ac:dyDescent="0.25">
      <c r="B8659" s="40"/>
      <c r="C8659" s="40"/>
      <c r="E8659" s="80"/>
    </row>
    <row r="8660" spans="2:5" x14ac:dyDescent="0.25">
      <c r="B8660" s="40"/>
      <c r="C8660" s="40"/>
      <c r="E8660" s="80"/>
    </row>
    <row r="8661" spans="2:5" x14ac:dyDescent="0.25">
      <c r="B8661" s="40"/>
      <c r="C8661" s="40"/>
      <c r="E8661" s="80"/>
    </row>
    <row r="8662" spans="2:5" x14ac:dyDescent="0.25">
      <c r="B8662" s="40"/>
      <c r="C8662" s="40"/>
      <c r="E8662" s="80"/>
    </row>
    <row r="8663" spans="2:5" x14ac:dyDescent="0.25">
      <c r="B8663" s="40"/>
      <c r="C8663" s="40"/>
      <c r="E8663" s="80"/>
    </row>
    <row r="8664" spans="2:5" x14ac:dyDescent="0.25">
      <c r="B8664" s="40"/>
      <c r="C8664" s="40"/>
      <c r="E8664" s="80"/>
    </row>
    <row r="8665" spans="2:5" x14ac:dyDescent="0.25">
      <c r="B8665" s="40"/>
      <c r="C8665" s="40"/>
      <c r="E8665" s="80"/>
    </row>
    <row r="8666" spans="2:5" x14ac:dyDescent="0.25">
      <c r="B8666" s="40"/>
      <c r="C8666" s="40"/>
      <c r="E8666" s="80"/>
    </row>
    <row r="8667" spans="2:5" x14ac:dyDescent="0.25">
      <c r="B8667" s="40"/>
      <c r="C8667" s="40"/>
      <c r="E8667" s="80"/>
    </row>
    <row r="8668" spans="2:5" x14ac:dyDescent="0.25">
      <c r="B8668" s="40"/>
      <c r="C8668" s="40"/>
      <c r="E8668" s="80"/>
    </row>
    <row r="8669" spans="2:5" x14ac:dyDescent="0.25">
      <c r="B8669" s="40"/>
      <c r="C8669" s="40"/>
      <c r="E8669" s="80"/>
    </row>
    <row r="8670" spans="2:5" x14ac:dyDescent="0.25">
      <c r="B8670" s="40"/>
      <c r="C8670" s="40"/>
      <c r="E8670" s="80"/>
    </row>
    <row r="8671" spans="2:5" x14ac:dyDescent="0.25">
      <c r="B8671" s="40"/>
      <c r="C8671" s="40"/>
      <c r="E8671" s="80"/>
    </row>
    <row r="8672" spans="2:5" x14ac:dyDescent="0.25">
      <c r="B8672" s="40"/>
      <c r="C8672" s="40"/>
      <c r="E8672" s="80"/>
    </row>
    <row r="8673" spans="2:5" x14ac:dyDescent="0.25">
      <c r="B8673" s="40"/>
      <c r="C8673" s="40"/>
      <c r="E8673" s="80"/>
    </row>
    <row r="8674" spans="2:5" x14ac:dyDescent="0.25">
      <c r="B8674" s="40"/>
      <c r="C8674" s="40"/>
      <c r="E8674" s="80"/>
    </row>
    <row r="8675" spans="2:5" x14ac:dyDescent="0.25">
      <c r="B8675" s="40"/>
      <c r="C8675" s="40"/>
      <c r="E8675" s="80"/>
    </row>
    <row r="8676" spans="2:5" x14ac:dyDescent="0.25">
      <c r="B8676" s="40"/>
      <c r="C8676" s="40"/>
      <c r="E8676" s="80"/>
    </row>
    <row r="8677" spans="2:5" x14ac:dyDescent="0.25">
      <c r="B8677" s="40"/>
      <c r="C8677" s="40"/>
      <c r="E8677" s="80"/>
    </row>
    <row r="8678" spans="2:5" x14ac:dyDescent="0.25">
      <c r="B8678" s="40"/>
      <c r="C8678" s="40"/>
      <c r="E8678" s="80"/>
    </row>
    <row r="8679" spans="2:5" x14ac:dyDescent="0.25">
      <c r="B8679" s="40"/>
      <c r="C8679" s="40"/>
      <c r="E8679" s="80"/>
    </row>
    <row r="8680" spans="2:5" x14ac:dyDescent="0.25">
      <c r="B8680" s="40"/>
      <c r="C8680" s="40"/>
      <c r="E8680" s="80"/>
    </row>
    <row r="8681" spans="2:5" x14ac:dyDescent="0.25">
      <c r="B8681" s="40"/>
      <c r="C8681" s="40"/>
      <c r="E8681" s="80"/>
    </row>
    <row r="8682" spans="2:5" x14ac:dyDescent="0.25">
      <c r="B8682" s="40"/>
      <c r="C8682" s="40"/>
      <c r="E8682" s="80"/>
    </row>
    <row r="8683" spans="2:5" x14ac:dyDescent="0.25">
      <c r="B8683" s="40"/>
      <c r="C8683" s="40"/>
      <c r="E8683" s="80"/>
    </row>
    <row r="8684" spans="2:5" x14ac:dyDescent="0.25">
      <c r="B8684" s="40"/>
      <c r="C8684" s="40"/>
      <c r="E8684" s="80"/>
    </row>
    <row r="8685" spans="2:5" x14ac:dyDescent="0.25">
      <c r="B8685" s="40"/>
      <c r="C8685" s="40"/>
      <c r="E8685" s="80"/>
    </row>
    <row r="8686" spans="2:5" x14ac:dyDescent="0.25">
      <c r="B8686" s="40"/>
      <c r="C8686" s="40"/>
      <c r="E8686" s="80"/>
    </row>
    <row r="8687" spans="2:5" x14ac:dyDescent="0.25">
      <c r="B8687" s="40"/>
      <c r="C8687" s="40"/>
      <c r="E8687" s="80"/>
    </row>
    <row r="8688" spans="2:5" x14ac:dyDescent="0.25">
      <c r="B8688" s="40"/>
      <c r="C8688" s="40"/>
      <c r="E8688" s="80"/>
    </row>
    <row r="8689" spans="2:5" x14ac:dyDescent="0.25">
      <c r="B8689" s="40"/>
      <c r="C8689" s="40"/>
      <c r="E8689" s="80"/>
    </row>
    <row r="8690" spans="2:5" x14ac:dyDescent="0.25">
      <c r="B8690" s="40"/>
      <c r="C8690" s="40"/>
      <c r="E8690" s="80"/>
    </row>
    <row r="8691" spans="2:5" x14ac:dyDescent="0.25">
      <c r="B8691" s="40"/>
      <c r="C8691" s="40"/>
      <c r="E8691" s="80"/>
    </row>
    <row r="8692" spans="2:5" x14ac:dyDescent="0.25">
      <c r="B8692" s="40"/>
      <c r="C8692" s="40"/>
      <c r="E8692" s="80"/>
    </row>
    <row r="8693" spans="2:5" x14ac:dyDescent="0.25">
      <c r="B8693" s="40"/>
      <c r="C8693" s="40"/>
      <c r="E8693" s="80"/>
    </row>
    <row r="8694" spans="2:5" x14ac:dyDescent="0.25">
      <c r="B8694" s="40"/>
      <c r="C8694" s="40"/>
      <c r="E8694" s="80"/>
    </row>
    <row r="8695" spans="2:5" x14ac:dyDescent="0.25">
      <c r="B8695" s="40"/>
      <c r="C8695" s="40"/>
      <c r="E8695" s="80"/>
    </row>
    <row r="8696" spans="2:5" x14ac:dyDescent="0.25">
      <c r="B8696" s="40"/>
      <c r="C8696" s="40"/>
      <c r="E8696" s="80"/>
    </row>
    <row r="8697" spans="2:5" x14ac:dyDescent="0.25">
      <c r="B8697" s="40"/>
      <c r="C8697" s="40"/>
      <c r="E8697" s="80"/>
    </row>
    <row r="8698" spans="2:5" x14ac:dyDescent="0.25">
      <c r="B8698" s="40"/>
      <c r="C8698" s="40"/>
      <c r="E8698" s="80"/>
    </row>
    <row r="8699" spans="2:5" x14ac:dyDescent="0.25">
      <c r="B8699" s="40"/>
      <c r="C8699" s="40"/>
      <c r="E8699" s="80"/>
    </row>
    <row r="8700" spans="2:5" x14ac:dyDescent="0.25">
      <c r="B8700" s="40"/>
      <c r="C8700" s="40"/>
      <c r="E8700" s="80"/>
    </row>
    <row r="8701" spans="2:5" x14ac:dyDescent="0.25">
      <c r="B8701" s="40"/>
      <c r="C8701" s="40"/>
      <c r="E8701" s="80"/>
    </row>
    <row r="8702" spans="2:5" x14ac:dyDescent="0.25">
      <c r="B8702" s="40"/>
      <c r="C8702" s="40"/>
      <c r="E8702" s="80"/>
    </row>
    <row r="8703" spans="2:5" x14ac:dyDescent="0.25">
      <c r="B8703" s="40"/>
      <c r="C8703" s="40"/>
      <c r="E8703" s="80"/>
    </row>
    <row r="8704" spans="2:5" x14ac:dyDescent="0.25">
      <c r="B8704" s="40"/>
      <c r="C8704" s="40"/>
      <c r="E8704" s="80"/>
    </row>
    <row r="8705" spans="2:5" x14ac:dyDescent="0.25">
      <c r="B8705" s="40"/>
      <c r="C8705" s="40"/>
      <c r="E8705" s="80"/>
    </row>
    <row r="8706" spans="2:5" x14ac:dyDescent="0.25">
      <c r="B8706" s="40"/>
      <c r="C8706" s="40"/>
      <c r="E8706" s="80"/>
    </row>
    <row r="8707" spans="2:5" x14ac:dyDescent="0.25">
      <c r="B8707" s="40"/>
      <c r="C8707" s="40"/>
      <c r="E8707" s="80"/>
    </row>
    <row r="8708" spans="2:5" x14ac:dyDescent="0.25">
      <c r="B8708" s="40"/>
      <c r="C8708" s="40"/>
      <c r="E8708" s="80"/>
    </row>
    <row r="8709" spans="2:5" x14ac:dyDescent="0.25">
      <c r="B8709" s="40"/>
      <c r="C8709" s="40"/>
      <c r="E8709" s="80"/>
    </row>
    <row r="8710" spans="2:5" x14ac:dyDescent="0.25">
      <c r="B8710" s="40"/>
      <c r="C8710" s="40"/>
      <c r="E8710" s="80"/>
    </row>
    <row r="8711" spans="2:5" x14ac:dyDescent="0.25">
      <c r="B8711" s="40"/>
      <c r="C8711" s="40"/>
      <c r="E8711" s="80"/>
    </row>
    <row r="8712" spans="2:5" x14ac:dyDescent="0.25">
      <c r="B8712" s="40"/>
      <c r="C8712" s="40"/>
      <c r="E8712" s="80"/>
    </row>
    <row r="8713" spans="2:5" x14ac:dyDescent="0.25">
      <c r="B8713" s="40"/>
      <c r="C8713" s="40"/>
      <c r="E8713" s="80"/>
    </row>
    <row r="8714" spans="2:5" x14ac:dyDescent="0.25">
      <c r="B8714" s="40"/>
      <c r="C8714" s="40"/>
      <c r="E8714" s="80"/>
    </row>
    <row r="8715" spans="2:5" x14ac:dyDescent="0.25">
      <c r="B8715" s="40"/>
      <c r="C8715" s="40"/>
      <c r="E8715" s="80"/>
    </row>
    <row r="8716" spans="2:5" x14ac:dyDescent="0.25">
      <c r="B8716" s="40"/>
      <c r="C8716" s="40"/>
      <c r="E8716" s="80"/>
    </row>
    <row r="8717" spans="2:5" x14ac:dyDescent="0.25">
      <c r="B8717" s="40"/>
      <c r="C8717" s="40"/>
      <c r="E8717" s="80"/>
    </row>
    <row r="8718" spans="2:5" x14ac:dyDescent="0.25">
      <c r="B8718" s="40"/>
      <c r="C8718" s="40"/>
      <c r="E8718" s="80"/>
    </row>
    <row r="8719" spans="2:5" x14ac:dyDescent="0.25">
      <c r="B8719" s="40"/>
      <c r="C8719" s="40"/>
      <c r="E8719" s="80"/>
    </row>
    <row r="8720" spans="2:5" x14ac:dyDescent="0.25">
      <c r="B8720" s="40"/>
      <c r="C8720" s="40"/>
      <c r="E8720" s="80"/>
    </row>
    <row r="8721" spans="2:5" x14ac:dyDescent="0.25">
      <c r="B8721" s="40"/>
      <c r="C8721" s="40"/>
      <c r="E8721" s="80"/>
    </row>
    <row r="8722" spans="2:5" x14ac:dyDescent="0.25">
      <c r="B8722" s="40"/>
      <c r="C8722" s="40"/>
      <c r="E8722" s="80"/>
    </row>
    <row r="8723" spans="2:5" x14ac:dyDescent="0.25">
      <c r="B8723" s="40"/>
      <c r="C8723" s="40"/>
      <c r="E8723" s="80"/>
    </row>
    <row r="8724" spans="2:5" x14ac:dyDescent="0.25">
      <c r="B8724" s="40"/>
      <c r="C8724" s="40"/>
      <c r="E8724" s="80"/>
    </row>
    <row r="8725" spans="2:5" x14ac:dyDescent="0.25">
      <c r="B8725" s="40"/>
      <c r="C8725" s="40"/>
      <c r="E8725" s="80"/>
    </row>
    <row r="8726" spans="2:5" x14ac:dyDescent="0.25">
      <c r="B8726" s="40"/>
      <c r="C8726" s="40"/>
      <c r="E8726" s="80"/>
    </row>
    <row r="8727" spans="2:5" x14ac:dyDescent="0.25">
      <c r="B8727" s="40"/>
      <c r="C8727" s="40"/>
      <c r="E8727" s="80"/>
    </row>
    <row r="8728" spans="2:5" x14ac:dyDescent="0.25">
      <c r="B8728" s="40"/>
      <c r="C8728" s="40"/>
      <c r="E8728" s="80"/>
    </row>
    <row r="8729" spans="2:5" x14ac:dyDescent="0.25">
      <c r="B8729" s="40"/>
      <c r="C8729" s="40"/>
      <c r="E8729" s="80"/>
    </row>
    <row r="8730" spans="2:5" x14ac:dyDescent="0.25">
      <c r="B8730" s="40"/>
      <c r="C8730" s="40"/>
      <c r="E8730" s="80"/>
    </row>
    <row r="8731" spans="2:5" x14ac:dyDescent="0.25">
      <c r="B8731" s="40"/>
      <c r="C8731" s="40"/>
      <c r="E8731" s="80"/>
    </row>
    <row r="8732" spans="2:5" x14ac:dyDescent="0.25">
      <c r="B8732" s="40"/>
      <c r="C8732" s="40"/>
      <c r="E8732" s="80"/>
    </row>
    <row r="8733" spans="2:5" x14ac:dyDescent="0.25">
      <c r="B8733" s="40"/>
      <c r="C8733" s="40"/>
      <c r="E8733" s="80"/>
    </row>
    <row r="8734" spans="2:5" x14ac:dyDescent="0.25">
      <c r="B8734" s="40"/>
      <c r="C8734" s="40"/>
      <c r="E8734" s="80"/>
    </row>
    <row r="8735" spans="2:5" x14ac:dyDescent="0.25">
      <c r="B8735" s="40"/>
      <c r="C8735" s="40"/>
      <c r="E8735" s="80"/>
    </row>
    <row r="8736" spans="2:5" x14ac:dyDescent="0.25">
      <c r="B8736" s="40"/>
      <c r="C8736" s="40"/>
      <c r="E8736" s="80"/>
    </row>
    <row r="8737" spans="2:5" x14ac:dyDescent="0.25">
      <c r="B8737" s="40"/>
      <c r="C8737" s="40"/>
      <c r="E8737" s="80"/>
    </row>
    <row r="8738" spans="2:5" x14ac:dyDescent="0.25">
      <c r="B8738" s="40"/>
      <c r="C8738" s="40"/>
      <c r="E8738" s="80"/>
    </row>
    <row r="8739" spans="2:5" x14ac:dyDescent="0.25">
      <c r="B8739" s="40"/>
      <c r="C8739" s="40"/>
      <c r="E8739" s="80"/>
    </row>
    <row r="8740" spans="2:5" x14ac:dyDescent="0.25">
      <c r="B8740" s="40"/>
      <c r="C8740" s="40"/>
      <c r="E8740" s="80"/>
    </row>
    <row r="8741" spans="2:5" x14ac:dyDescent="0.25">
      <c r="B8741" s="40"/>
      <c r="C8741" s="40"/>
      <c r="E8741" s="80"/>
    </row>
    <row r="8742" spans="2:5" x14ac:dyDescent="0.25">
      <c r="B8742" s="40"/>
      <c r="C8742" s="40"/>
      <c r="E8742" s="80"/>
    </row>
    <row r="8743" spans="2:5" x14ac:dyDescent="0.25">
      <c r="B8743" s="40"/>
      <c r="C8743" s="40"/>
      <c r="E8743" s="80"/>
    </row>
    <row r="8744" spans="2:5" x14ac:dyDescent="0.25">
      <c r="B8744" s="40"/>
      <c r="C8744" s="40"/>
      <c r="E8744" s="80"/>
    </row>
    <row r="8745" spans="2:5" x14ac:dyDescent="0.25">
      <c r="B8745" s="40"/>
      <c r="C8745" s="40"/>
      <c r="E8745" s="80"/>
    </row>
    <row r="8746" spans="2:5" x14ac:dyDescent="0.25">
      <c r="B8746" s="40"/>
      <c r="C8746" s="40"/>
      <c r="E8746" s="80"/>
    </row>
    <row r="8747" spans="2:5" x14ac:dyDescent="0.25">
      <c r="B8747" s="40"/>
      <c r="C8747" s="40"/>
      <c r="E8747" s="80"/>
    </row>
    <row r="8748" spans="2:5" x14ac:dyDescent="0.25">
      <c r="B8748" s="40"/>
      <c r="C8748" s="40"/>
      <c r="E8748" s="80"/>
    </row>
    <row r="8749" spans="2:5" x14ac:dyDescent="0.25">
      <c r="B8749" s="40"/>
      <c r="C8749" s="40"/>
      <c r="E8749" s="80"/>
    </row>
    <row r="8750" spans="2:5" x14ac:dyDescent="0.25">
      <c r="B8750" s="40"/>
      <c r="C8750" s="40"/>
      <c r="E8750" s="80"/>
    </row>
    <row r="8751" spans="2:5" x14ac:dyDescent="0.25">
      <c r="B8751" s="40"/>
      <c r="C8751" s="40"/>
      <c r="E8751" s="80"/>
    </row>
    <row r="8752" spans="2:5" x14ac:dyDescent="0.25">
      <c r="B8752" s="40"/>
      <c r="C8752" s="40"/>
      <c r="E8752" s="80"/>
    </row>
    <row r="8753" spans="2:5" x14ac:dyDescent="0.25">
      <c r="B8753" s="40"/>
      <c r="C8753" s="40"/>
      <c r="E8753" s="80"/>
    </row>
    <row r="8754" spans="2:5" x14ac:dyDescent="0.25">
      <c r="B8754" s="40"/>
      <c r="C8754" s="40"/>
      <c r="E8754" s="80"/>
    </row>
    <row r="8755" spans="2:5" x14ac:dyDescent="0.25">
      <c r="B8755" s="40"/>
      <c r="C8755" s="40"/>
      <c r="E8755" s="80"/>
    </row>
    <row r="8756" spans="2:5" x14ac:dyDescent="0.25">
      <c r="B8756" s="40"/>
      <c r="C8756" s="40"/>
      <c r="E8756" s="80"/>
    </row>
    <row r="8757" spans="2:5" x14ac:dyDescent="0.25">
      <c r="B8757" s="40"/>
      <c r="C8757" s="40"/>
      <c r="E8757" s="80"/>
    </row>
    <row r="8758" spans="2:5" x14ac:dyDescent="0.25">
      <c r="B8758" s="40"/>
      <c r="C8758" s="40"/>
      <c r="E8758" s="80"/>
    </row>
    <row r="8759" spans="2:5" x14ac:dyDescent="0.25">
      <c r="B8759" s="40"/>
      <c r="C8759" s="40"/>
      <c r="E8759" s="80"/>
    </row>
    <row r="8760" spans="2:5" x14ac:dyDescent="0.25">
      <c r="B8760" s="40"/>
      <c r="C8760" s="40"/>
      <c r="E8760" s="80"/>
    </row>
    <row r="8761" spans="2:5" x14ac:dyDescent="0.25">
      <c r="B8761" s="40"/>
      <c r="C8761" s="40"/>
      <c r="E8761" s="80"/>
    </row>
    <row r="8762" spans="2:5" x14ac:dyDescent="0.25">
      <c r="B8762" s="40"/>
      <c r="C8762" s="40"/>
      <c r="E8762" s="80"/>
    </row>
    <row r="8763" spans="2:5" x14ac:dyDescent="0.25">
      <c r="B8763" s="40"/>
      <c r="C8763" s="40"/>
      <c r="E8763" s="80"/>
    </row>
    <row r="8764" spans="2:5" x14ac:dyDescent="0.25">
      <c r="B8764" s="40"/>
      <c r="C8764" s="40"/>
      <c r="E8764" s="80"/>
    </row>
    <row r="8765" spans="2:5" x14ac:dyDescent="0.25">
      <c r="B8765" s="40"/>
      <c r="C8765" s="40"/>
      <c r="E8765" s="80"/>
    </row>
    <row r="8766" spans="2:5" x14ac:dyDescent="0.25">
      <c r="B8766" s="40"/>
      <c r="C8766" s="40"/>
      <c r="E8766" s="80"/>
    </row>
    <row r="8767" spans="2:5" x14ac:dyDescent="0.25">
      <c r="B8767" s="40"/>
      <c r="C8767" s="40"/>
      <c r="E8767" s="80"/>
    </row>
    <row r="8768" spans="2:5" x14ac:dyDescent="0.25">
      <c r="B8768" s="40"/>
      <c r="C8768" s="40"/>
      <c r="E8768" s="80"/>
    </row>
    <row r="8769" spans="2:5" x14ac:dyDescent="0.25">
      <c r="B8769" s="40"/>
      <c r="C8769" s="40"/>
      <c r="E8769" s="80"/>
    </row>
    <row r="8770" spans="2:5" x14ac:dyDescent="0.25">
      <c r="B8770" s="40"/>
      <c r="C8770" s="40"/>
      <c r="E8770" s="80"/>
    </row>
    <row r="8771" spans="2:5" x14ac:dyDescent="0.25">
      <c r="B8771" s="40"/>
      <c r="C8771" s="40"/>
      <c r="E8771" s="80"/>
    </row>
    <row r="8772" spans="2:5" x14ac:dyDescent="0.25">
      <c r="B8772" s="40"/>
      <c r="C8772" s="40"/>
      <c r="E8772" s="80"/>
    </row>
    <row r="8773" spans="2:5" x14ac:dyDescent="0.25">
      <c r="B8773" s="40"/>
      <c r="C8773" s="40"/>
      <c r="E8773" s="80"/>
    </row>
    <row r="8774" spans="2:5" x14ac:dyDescent="0.25">
      <c r="B8774" s="40"/>
      <c r="C8774" s="40"/>
      <c r="E8774" s="80"/>
    </row>
    <row r="8775" spans="2:5" x14ac:dyDescent="0.25">
      <c r="B8775" s="40"/>
      <c r="C8775" s="40"/>
      <c r="E8775" s="80"/>
    </row>
    <row r="8776" spans="2:5" x14ac:dyDescent="0.25">
      <c r="B8776" s="40"/>
      <c r="C8776" s="40"/>
      <c r="E8776" s="80"/>
    </row>
    <row r="8777" spans="2:5" x14ac:dyDescent="0.25">
      <c r="B8777" s="40"/>
      <c r="C8777" s="40"/>
      <c r="E8777" s="80"/>
    </row>
    <row r="8778" spans="2:5" x14ac:dyDescent="0.25">
      <c r="B8778" s="40"/>
      <c r="C8778" s="40"/>
      <c r="E8778" s="80"/>
    </row>
    <row r="8779" spans="2:5" x14ac:dyDescent="0.25">
      <c r="B8779" s="40"/>
      <c r="C8779" s="40"/>
      <c r="E8779" s="80"/>
    </row>
    <row r="8780" spans="2:5" x14ac:dyDescent="0.25">
      <c r="B8780" s="40"/>
      <c r="C8780" s="40"/>
      <c r="E8780" s="80"/>
    </row>
    <row r="8781" spans="2:5" x14ac:dyDescent="0.25">
      <c r="B8781" s="40"/>
      <c r="C8781" s="40"/>
      <c r="E8781" s="80"/>
    </row>
    <row r="8782" spans="2:5" x14ac:dyDescent="0.25">
      <c r="B8782" s="40"/>
      <c r="C8782" s="40"/>
      <c r="E8782" s="80"/>
    </row>
    <row r="8783" spans="2:5" x14ac:dyDescent="0.25">
      <c r="B8783" s="40"/>
      <c r="C8783" s="40"/>
      <c r="E8783" s="80"/>
    </row>
    <row r="8784" spans="2:5" x14ac:dyDescent="0.25">
      <c r="B8784" s="40"/>
      <c r="C8784" s="40"/>
      <c r="E8784" s="80"/>
    </row>
    <row r="8785" spans="2:5" x14ac:dyDescent="0.25">
      <c r="B8785" s="40"/>
      <c r="C8785" s="40"/>
      <c r="E8785" s="80"/>
    </row>
    <row r="8786" spans="2:5" x14ac:dyDescent="0.25">
      <c r="B8786" s="40"/>
      <c r="C8786" s="40"/>
      <c r="E8786" s="80"/>
    </row>
    <row r="8787" spans="2:5" x14ac:dyDescent="0.25">
      <c r="B8787" s="40"/>
      <c r="C8787" s="40"/>
      <c r="E8787" s="80"/>
    </row>
    <row r="8788" spans="2:5" x14ac:dyDescent="0.25">
      <c r="B8788" s="40"/>
      <c r="C8788" s="40"/>
      <c r="E8788" s="80"/>
    </row>
    <row r="8789" spans="2:5" x14ac:dyDescent="0.25">
      <c r="B8789" s="40"/>
      <c r="C8789" s="40"/>
      <c r="E8789" s="80"/>
    </row>
    <row r="8790" spans="2:5" x14ac:dyDescent="0.25">
      <c r="B8790" s="40"/>
      <c r="C8790" s="40"/>
      <c r="E8790" s="80"/>
    </row>
    <row r="8791" spans="2:5" x14ac:dyDescent="0.25">
      <c r="B8791" s="40"/>
      <c r="C8791" s="40"/>
      <c r="E8791" s="80"/>
    </row>
    <row r="8792" spans="2:5" x14ac:dyDescent="0.25">
      <c r="B8792" s="40"/>
      <c r="C8792" s="40"/>
      <c r="E8792" s="80"/>
    </row>
    <row r="8793" spans="2:5" x14ac:dyDescent="0.25">
      <c r="B8793" s="40"/>
      <c r="C8793" s="40"/>
      <c r="E8793" s="80"/>
    </row>
    <row r="8794" spans="2:5" x14ac:dyDescent="0.25">
      <c r="B8794" s="40"/>
      <c r="C8794" s="40"/>
      <c r="E8794" s="80"/>
    </row>
    <row r="8795" spans="2:5" x14ac:dyDescent="0.25">
      <c r="B8795" s="40"/>
      <c r="C8795" s="40"/>
      <c r="E8795" s="80"/>
    </row>
    <row r="8796" spans="2:5" x14ac:dyDescent="0.25">
      <c r="B8796" s="40"/>
      <c r="C8796" s="40"/>
      <c r="E8796" s="80"/>
    </row>
    <row r="8797" spans="2:5" x14ac:dyDescent="0.25">
      <c r="B8797" s="40"/>
      <c r="C8797" s="40"/>
      <c r="E8797" s="80"/>
    </row>
    <row r="8798" spans="2:5" x14ac:dyDescent="0.25">
      <c r="B8798" s="40"/>
      <c r="C8798" s="40"/>
      <c r="E8798" s="80"/>
    </row>
    <row r="8799" spans="2:5" x14ac:dyDescent="0.25">
      <c r="B8799" s="40"/>
      <c r="C8799" s="40"/>
      <c r="E8799" s="80"/>
    </row>
    <row r="8800" spans="2:5" x14ac:dyDescent="0.25">
      <c r="B8800" s="40"/>
      <c r="C8800" s="40"/>
      <c r="E8800" s="80"/>
    </row>
    <row r="8801" spans="2:5" x14ac:dyDescent="0.25">
      <c r="B8801" s="40"/>
      <c r="C8801" s="40"/>
      <c r="E8801" s="80"/>
    </row>
    <row r="8802" spans="2:5" x14ac:dyDescent="0.25">
      <c r="B8802" s="40"/>
      <c r="C8802" s="40"/>
      <c r="E8802" s="80"/>
    </row>
    <row r="8803" spans="2:5" x14ac:dyDescent="0.25">
      <c r="B8803" s="40"/>
      <c r="C8803" s="40"/>
      <c r="E8803" s="80"/>
    </row>
    <row r="8804" spans="2:5" x14ac:dyDescent="0.25">
      <c r="B8804" s="40"/>
      <c r="C8804" s="40"/>
      <c r="E8804" s="80"/>
    </row>
    <row r="8805" spans="2:5" x14ac:dyDescent="0.25">
      <c r="B8805" s="40"/>
      <c r="C8805" s="40"/>
      <c r="E8805" s="80"/>
    </row>
    <row r="8806" spans="2:5" x14ac:dyDescent="0.25">
      <c r="B8806" s="40"/>
      <c r="C8806" s="40"/>
      <c r="E8806" s="80"/>
    </row>
    <row r="8807" spans="2:5" x14ac:dyDescent="0.25">
      <c r="B8807" s="40"/>
      <c r="C8807" s="40"/>
      <c r="E8807" s="80"/>
    </row>
    <row r="8808" spans="2:5" x14ac:dyDescent="0.25">
      <c r="B8808" s="40"/>
      <c r="C8808" s="40"/>
      <c r="E8808" s="80"/>
    </row>
    <row r="8809" spans="2:5" x14ac:dyDescent="0.25">
      <c r="B8809" s="40"/>
      <c r="C8809" s="40"/>
      <c r="E8809" s="80"/>
    </row>
    <row r="8810" spans="2:5" x14ac:dyDescent="0.25">
      <c r="B8810" s="40"/>
      <c r="C8810" s="40"/>
      <c r="E8810" s="80"/>
    </row>
    <row r="8811" spans="2:5" x14ac:dyDescent="0.25">
      <c r="B8811" s="40"/>
      <c r="C8811" s="40"/>
      <c r="E8811" s="80"/>
    </row>
    <row r="8812" spans="2:5" x14ac:dyDescent="0.25">
      <c r="B8812" s="40"/>
      <c r="C8812" s="40"/>
      <c r="E8812" s="80"/>
    </row>
    <row r="8813" spans="2:5" x14ac:dyDescent="0.25">
      <c r="B8813" s="40"/>
      <c r="C8813" s="40"/>
      <c r="E8813" s="80"/>
    </row>
    <row r="8814" spans="2:5" x14ac:dyDescent="0.25">
      <c r="B8814" s="40"/>
      <c r="C8814" s="40"/>
      <c r="E8814" s="80"/>
    </row>
    <row r="8815" spans="2:5" x14ac:dyDescent="0.25">
      <c r="B8815" s="40"/>
      <c r="C8815" s="40"/>
      <c r="E8815" s="80"/>
    </row>
    <row r="8816" spans="2:5" x14ac:dyDescent="0.25">
      <c r="B8816" s="40"/>
      <c r="C8816" s="40"/>
      <c r="E8816" s="80"/>
    </row>
    <row r="8817" spans="2:5" x14ac:dyDescent="0.25">
      <c r="B8817" s="40"/>
      <c r="C8817" s="40"/>
      <c r="E8817" s="80"/>
    </row>
    <row r="8818" spans="2:5" x14ac:dyDescent="0.25">
      <c r="B8818" s="40"/>
      <c r="C8818" s="40"/>
      <c r="E8818" s="80"/>
    </row>
    <row r="8819" spans="2:5" x14ac:dyDescent="0.25">
      <c r="B8819" s="40"/>
      <c r="C8819" s="40"/>
      <c r="E8819" s="80"/>
    </row>
    <row r="8820" spans="2:5" x14ac:dyDescent="0.25">
      <c r="B8820" s="40"/>
      <c r="C8820" s="40"/>
      <c r="E8820" s="80"/>
    </row>
    <row r="8821" spans="2:5" x14ac:dyDescent="0.25">
      <c r="B8821" s="40"/>
      <c r="C8821" s="40"/>
      <c r="E8821" s="80"/>
    </row>
    <row r="8822" spans="2:5" x14ac:dyDescent="0.25">
      <c r="B8822" s="40"/>
      <c r="C8822" s="40"/>
      <c r="E8822" s="80"/>
    </row>
    <row r="8823" spans="2:5" x14ac:dyDescent="0.25">
      <c r="B8823" s="40"/>
      <c r="C8823" s="40"/>
      <c r="E8823" s="80"/>
    </row>
    <row r="8824" spans="2:5" x14ac:dyDescent="0.25">
      <c r="B8824" s="40"/>
      <c r="C8824" s="40"/>
      <c r="E8824" s="80"/>
    </row>
    <row r="8825" spans="2:5" x14ac:dyDescent="0.25">
      <c r="B8825" s="40"/>
      <c r="C8825" s="40"/>
      <c r="E8825" s="80"/>
    </row>
    <row r="8826" spans="2:5" x14ac:dyDescent="0.25">
      <c r="B8826" s="40"/>
      <c r="C8826" s="40"/>
      <c r="E8826" s="80"/>
    </row>
    <row r="8827" spans="2:5" x14ac:dyDescent="0.25">
      <c r="B8827" s="40"/>
      <c r="C8827" s="40"/>
      <c r="E8827" s="80"/>
    </row>
    <row r="8828" spans="2:5" x14ac:dyDescent="0.25">
      <c r="B8828" s="40"/>
      <c r="C8828" s="40"/>
      <c r="E8828" s="80"/>
    </row>
    <row r="8829" spans="2:5" x14ac:dyDescent="0.25">
      <c r="B8829" s="40"/>
      <c r="C8829" s="40"/>
      <c r="E8829" s="80"/>
    </row>
    <row r="8830" spans="2:5" x14ac:dyDescent="0.25">
      <c r="B8830" s="40"/>
      <c r="C8830" s="40"/>
      <c r="E8830" s="80"/>
    </row>
    <row r="8831" spans="2:5" x14ac:dyDescent="0.25">
      <c r="B8831" s="40"/>
      <c r="C8831" s="40"/>
      <c r="E8831" s="80"/>
    </row>
    <row r="8832" spans="2:5" x14ac:dyDescent="0.25">
      <c r="B8832" s="40"/>
      <c r="C8832" s="40"/>
      <c r="E8832" s="80"/>
    </row>
    <row r="8833" spans="2:5" x14ac:dyDescent="0.25">
      <c r="B8833" s="40"/>
      <c r="C8833" s="40"/>
      <c r="E8833" s="80"/>
    </row>
    <row r="8834" spans="2:5" x14ac:dyDescent="0.25">
      <c r="B8834" s="40"/>
      <c r="C8834" s="40"/>
      <c r="E8834" s="80"/>
    </row>
    <row r="8835" spans="2:5" x14ac:dyDescent="0.25">
      <c r="B8835" s="40"/>
      <c r="C8835" s="40"/>
      <c r="E8835" s="80"/>
    </row>
    <row r="8836" spans="2:5" x14ac:dyDescent="0.25">
      <c r="B8836" s="40"/>
      <c r="C8836" s="40"/>
      <c r="E8836" s="80"/>
    </row>
    <row r="8837" spans="2:5" x14ac:dyDescent="0.25">
      <c r="B8837" s="40"/>
      <c r="C8837" s="40"/>
      <c r="E8837" s="80"/>
    </row>
    <row r="8838" spans="2:5" x14ac:dyDescent="0.25">
      <c r="B8838" s="40"/>
      <c r="C8838" s="40"/>
      <c r="E8838" s="80"/>
    </row>
    <row r="8839" spans="2:5" x14ac:dyDescent="0.25">
      <c r="B8839" s="40"/>
      <c r="C8839" s="40"/>
      <c r="E8839" s="80"/>
    </row>
    <row r="8840" spans="2:5" x14ac:dyDescent="0.25">
      <c r="B8840" s="40"/>
      <c r="C8840" s="40"/>
      <c r="E8840" s="80"/>
    </row>
    <row r="8841" spans="2:5" x14ac:dyDescent="0.25">
      <c r="B8841" s="40"/>
      <c r="C8841" s="40"/>
      <c r="E8841" s="80"/>
    </row>
    <row r="8842" spans="2:5" x14ac:dyDescent="0.25">
      <c r="B8842" s="40"/>
      <c r="C8842" s="40"/>
      <c r="E8842" s="80"/>
    </row>
    <row r="8843" spans="2:5" x14ac:dyDescent="0.25">
      <c r="B8843" s="40"/>
      <c r="C8843" s="40"/>
      <c r="E8843" s="80"/>
    </row>
    <row r="8844" spans="2:5" x14ac:dyDescent="0.25">
      <c r="B8844" s="40"/>
      <c r="C8844" s="40"/>
      <c r="E8844" s="80"/>
    </row>
    <row r="8845" spans="2:5" x14ac:dyDescent="0.25">
      <c r="B8845" s="40"/>
      <c r="C8845" s="40"/>
      <c r="E8845" s="80"/>
    </row>
    <row r="8846" spans="2:5" x14ac:dyDescent="0.25">
      <c r="B8846" s="40"/>
      <c r="C8846" s="40"/>
      <c r="E8846" s="80"/>
    </row>
    <row r="8847" spans="2:5" x14ac:dyDescent="0.25">
      <c r="B8847" s="40"/>
      <c r="C8847" s="40"/>
      <c r="E8847" s="80"/>
    </row>
    <row r="8848" spans="2:5" x14ac:dyDescent="0.25">
      <c r="B8848" s="40"/>
      <c r="C8848" s="40"/>
      <c r="E8848" s="80"/>
    </row>
    <row r="8849" spans="2:5" x14ac:dyDescent="0.25">
      <c r="B8849" s="40"/>
      <c r="C8849" s="40"/>
      <c r="E8849" s="80"/>
    </row>
    <row r="8850" spans="2:5" x14ac:dyDescent="0.25">
      <c r="B8850" s="40"/>
      <c r="C8850" s="40"/>
      <c r="E8850" s="80"/>
    </row>
    <row r="8851" spans="2:5" x14ac:dyDescent="0.25">
      <c r="B8851" s="40"/>
      <c r="C8851" s="40"/>
      <c r="E8851" s="80"/>
    </row>
    <row r="8852" spans="2:5" x14ac:dyDescent="0.25">
      <c r="B8852" s="40"/>
      <c r="C8852" s="40"/>
      <c r="E8852" s="80"/>
    </row>
    <row r="8853" spans="2:5" x14ac:dyDescent="0.25">
      <c r="B8853" s="40"/>
      <c r="C8853" s="40"/>
      <c r="E8853" s="80"/>
    </row>
    <row r="8854" spans="2:5" x14ac:dyDescent="0.25">
      <c r="B8854" s="40"/>
      <c r="C8854" s="40"/>
      <c r="E8854" s="80"/>
    </row>
    <row r="8855" spans="2:5" x14ac:dyDescent="0.25">
      <c r="B8855" s="40"/>
      <c r="C8855" s="40"/>
      <c r="E8855" s="80"/>
    </row>
    <row r="8856" spans="2:5" x14ac:dyDescent="0.25">
      <c r="B8856" s="40"/>
      <c r="C8856" s="40"/>
      <c r="E8856" s="80"/>
    </row>
    <row r="8857" spans="2:5" x14ac:dyDescent="0.25">
      <c r="B8857" s="40"/>
      <c r="C8857" s="40"/>
      <c r="E8857" s="80"/>
    </row>
    <row r="8858" spans="2:5" x14ac:dyDescent="0.25">
      <c r="B8858" s="40"/>
      <c r="C8858" s="40"/>
      <c r="E8858" s="80"/>
    </row>
    <row r="8859" spans="2:5" x14ac:dyDescent="0.25">
      <c r="B8859" s="40"/>
      <c r="C8859" s="40"/>
      <c r="E8859" s="80"/>
    </row>
    <row r="8860" spans="2:5" x14ac:dyDescent="0.25">
      <c r="B8860" s="40"/>
      <c r="C8860" s="40"/>
      <c r="E8860" s="80"/>
    </row>
    <row r="8861" spans="2:5" x14ac:dyDescent="0.25">
      <c r="B8861" s="40"/>
      <c r="C8861" s="40"/>
      <c r="E8861" s="80"/>
    </row>
    <row r="8862" spans="2:5" x14ac:dyDescent="0.25">
      <c r="B8862" s="40"/>
      <c r="C8862" s="40"/>
      <c r="E8862" s="80"/>
    </row>
    <row r="8863" spans="2:5" x14ac:dyDescent="0.25">
      <c r="B8863" s="40"/>
      <c r="C8863" s="40"/>
      <c r="E8863" s="80"/>
    </row>
    <row r="8864" spans="2:5" x14ac:dyDescent="0.25">
      <c r="B8864" s="40"/>
      <c r="C8864" s="40"/>
      <c r="E8864" s="80"/>
    </row>
    <row r="8865" spans="2:5" x14ac:dyDescent="0.25">
      <c r="B8865" s="40"/>
      <c r="C8865" s="40"/>
      <c r="E8865" s="80"/>
    </row>
    <row r="8866" spans="2:5" x14ac:dyDescent="0.25">
      <c r="B8866" s="40"/>
      <c r="C8866" s="40"/>
      <c r="E8866" s="80"/>
    </row>
    <row r="8867" spans="2:5" x14ac:dyDescent="0.25">
      <c r="B8867" s="40"/>
      <c r="C8867" s="40"/>
      <c r="E8867" s="80"/>
    </row>
    <row r="8868" spans="2:5" x14ac:dyDescent="0.25">
      <c r="B8868" s="40"/>
      <c r="C8868" s="40"/>
      <c r="E8868" s="80"/>
    </row>
    <row r="8869" spans="2:5" x14ac:dyDescent="0.25">
      <c r="B8869" s="40"/>
      <c r="C8869" s="40"/>
      <c r="E8869" s="80"/>
    </row>
    <row r="8870" spans="2:5" x14ac:dyDescent="0.25">
      <c r="B8870" s="40"/>
      <c r="C8870" s="40"/>
      <c r="E8870" s="80"/>
    </row>
    <row r="8871" spans="2:5" x14ac:dyDescent="0.25">
      <c r="B8871" s="40"/>
      <c r="C8871" s="40"/>
      <c r="E8871" s="80"/>
    </row>
    <row r="8872" spans="2:5" x14ac:dyDescent="0.25">
      <c r="B8872" s="40"/>
      <c r="C8872" s="40"/>
      <c r="E8872" s="80"/>
    </row>
    <row r="8873" spans="2:5" x14ac:dyDescent="0.25">
      <c r="B8873" s="40"/>
      <c r="C8873" s="40"/>
      <c r="E8873" s="80"/>
    </row>
    <row r="8874" spans="2:5" x14ac:dyDescent="0.25">
      <c r="B8874" s="40"/>
      <c r="C8874" s="40"/>
      <c r="E8874" s="80"/>
    </row>
    <row r="8875" spans="2:5" x14ac:dyDescent="0.25">
      <c r="B8875" s="40"/>
      <c r="C8875" s="40"/>
      <c r="E8875" s="80"/>
    </row>
    <row r="8876" spans="2:5" x14ac:dyDescent="0.25">
      <c r="B8876" s="40"/>
      <c r="C8876" s="40"/>
      <c r="E8876" s="80"/>
    </row>
    <row r="8877" spans="2:5" x14ac:dyDescent="0.25">
      <c r="B8877" s="40"/>
      <c r="C8877" s="40"/>
      <c r="E8877" s="80"/>
    </row>
    <row r="8878" spans="2:5" x14ac:dyDescent="0.25">
      <c r="B8878" s="40"/>
      <c r="C8878" s="40"/>
      <c r="E8878" s="80"/>
    </row>
    <row r="8879" spans="2:5" x14ac:dyDescent="0.25">
      <c r="B8879" s="40"/>
      <c r="C8879" s="40"/>
      <c r="E8879" s="80"/>
    </row>
    <row r="8880" spans="2:5" x14ac:dyDescent="0.25">
      <c r="B8880" s="40"/>
      <c r="C8880" s="40"/>
      <c r="E8880" s="80"/>
    </row>
    <row r="8881" spans="2:5" x14ac:dyDescent="0.25">
      <c r="B8881" s="40"/>
      <c r="C8881" s="40"/>
      <c r="E8881" s="80"/>
    </row>
    <row r="8882" spans="2:5" x14ac:dyDescent="0.25">
      <c r="B8882" s="40"/>
      <c r="C8882" s="40"/>
      <c r="E8882" s="80"/>
    </row>
    <row r="8883" spans="2:5" x14ac:dyDescent="0.25">
      <c r="B8883" s="40"/>
      <c r="C8883" s="40"/>
      <c r="E8883" s="80"/>
    </row>
    <row r="8884" spans="2:5" x14ac:dyDescent="0.25">
      <c r="B8884" s="40"/>
      <c r="C8884" s="40"/>
      <c r="E8884" s="80"/>
    </row>
    <row r="8885" spans="2:5" x14ac:dyDescent="0.25">
      <c r="B8885" s="40"/>
      <c r="C8885" s="40"/>
      <c r="E8885" s="80"/>
    </row>
    <row r="8886" spans="2:5" x14ac:dyDescent="0.25">
      <c r="B8886" s="40"/>
      <c r="C8886" s="40"/>
      <c r="E8886" s="80"/>
    </row>
    <row r="8887" spans="2:5" x14ac:dyDescent="0.25">
      <c r="B8887" s="40"/>
      <c r="C8887" s="40"/>
      <c r="E8887" s="80"/>
    </row>
    <row r="8888" spans="2:5" x14ac:dyDescent="0.25">
      <c r="B8888" s="40"/>
      <c r="C8888" s="40"/>
      <c r="E8888" s="80"/>
    </row>
    <row r="8889" spans="2:5" x14ac:dyDescent="0.25">
      <c r="B8889" s="40"/>
      <c r="C8889" s="40"/>
      <c r="E8889" s="80"/>
    </row>
    <row r="8890" spans="2:5" x14ac:dyDescent="0.25">
      <c r="B8890" s="40"/>
      <c r="C8890" s="40"/>
      <c r="E8890" s="80"/>
    </row>
    <row r="8891" spans="2:5" x14ac:dyDescent="0.25">
      <c r="B8891" s="40"/>
      <c r="C8891" s="40"/>
      <c r="E8891" s="80"/>
    </row>
    <row r="8892" spans="2:5" x14ac:dyDescent="0.25">
      <c r="B8892" s="40"/>
      <c r="C8892" s="40"/>
      <c r="E8892" s="80"/>
    </row>
    <row r="8893" spans="2:5" x14ac:dyDescent="0.25">
      <c r="B8893" s="40"/>
      <c r="C8893" s="40"/>
      <c r="E8893" s="80"/>
    </row>
    <row r="8894" spans="2:5" x14ac:dyDescent="0.25">
      <c r="B8894" s="40"/>
      <c r="C8894" s="40"/>
      <c r="E8894" s="80"/>
    </row>
    <row r="8895" spans="2:5" x14ac:dyDescent="0.25">
      <c r="B8895" s="40"/>
      <c r="C8895" s="40"/>
      <c r="E8895" s="80"/>
    </row>
    <row r="8896" spans="2:5" x14ac:dyDescent="0.25">
      <c r="B8896" s="40"/>
      <c r="C8896" s="40"/>
      <c r="E8896" s="80"/>
    </row>
    <row r="8897" spans="2:5" x14ac:dyDescent="0.25">
      <c r="B8897" s="40"/>
      <c r="C8897" s="40"/>
      <c r="E8897" s="80"/>
    </row>
    <row r="8898" spans="2:5" x14ac:dyDescent="0.25">
      <c r="B8898" s="40"/>
      <c r="C8898" s="40"/>
      <c r="E8898" s="80"/>
    </row>
    <row r="8899" spans="2:5" x14ac:dyDescent="0.25">
      <c r="B8899" s="40"/>
      <c r="C8899" s="40"/>
      <c r="E8899" s="80"/>
    </row>
    <row r="8900" spans="2:5" x14ac:dyDescent="0.25">
      <c r="B8900" s="40"/>
      <c r="C8900" s="40"/>
      <c r="E8900" s="80"/>
    </row>
    <row r="8901" spans="2:5" x14ac:dyDescent="0.25">
      <c r="B8901" s="40"/>
      <c r="C8901" s="40"/>
      <c r="E8901" s="80"/>
    </row>
    <row r="8902" spans="2:5" x14ac:dyDescent="0.25">
      <c r="B8902" s="40"/>
      <c r="C8902" s="40"/>
      <c r="E8902" s="80"/>
    </row>
    <row r="8903" spans="2:5" x14ac:dyDescent="0.25">
      <c r="B8903" s="40"/>
      <c r="C8903" s="40"/>
      <c r="E8903" s="80"/>
    </row>
    <row r="8904" spans="2:5" x14ac:dyDescent="0.25">
      <c r="B8904" s="40"/>
      <c r="C8904" s="40"/>
      <c r="E8904" s="80"/>
    </row>
    <row r="8905" spans="2:5" x14ac:dyDescent="0.25">
      <c r="B8905" s="40"/>
      <c r="C8905" s="40"/>
      <c r="E8905" s="80"/>
    </row>
    <row r="8906" spans="2:5" x14ac:dyDescent="0.25">
      <c r="B8906" s="40"/>
      <c r="C8906" s="40"/>
      <c r="E8906" s="80"/>
    </row>
    <row r="8907" spans="2:5" x14ac:dyDescent="0.25">
      <c r="B8907" s="40"/>
      <c r="C8907" s="40"/>
      <c r="E8907" s="80"/>
    </row>
    <row r="8908" spans="2:5" x14ac:dyDescent="0.25">
      <c r="B8908" s="40"/>
      <c r="C8908" s="40"/>
      <c r="E8908" s="80"/>
    </row>
    <row r="8909" spans="2:5" x14ac:dyDescent="0.25">
      <c r="B8909" s="40"/>
      <c r="C8909" s="40"/>
      <c r="E8909" s="80"/>
    </row>
    <row r="8910" spans="2:5" x14ac:dyDescent="0.25">
      <c r="B8910" s="40"/>
      <c r="C8910" s="40"/>
      <c r="E8910" s="80"/>
    </row>
    <row r="8911" spans="2:5" x14ac:dyDescent="0.25">
      <c r="B8911" s="40"/>
      <c r="C8911" s="40"/>
      <c r="E8911" s="80"/>
    </row>
    <row r="8912" spans="2:5" x14ac:dyDescent="0.25">
      <c r="B8912" s="40"/>
      <c r="C8912" s="40"/>
      <c r="E8912" s="80"/>
    </row>
    <row r="8913" spans="2:5" x14ac:dyDescent="0.25">
      <c r="B8913" s="40"/>
      <c r="C8913" s="40"/>
      <c r="E8913" s="80"/>
    </row>
    <row r="8914" spans="2:5" x14ac:dyDescent="0.25">
      <c r="B8914" s="40"/>
      <c r="C8914" s="40"/>
      <c r="E8914" s="80"/>
    </row>
    <row r="8915" spans="2:5" x14ac:dyDescent="0.25">
      <c r="B8915" s="40"/>
      <c r="C8915" s="40"/>
      <c r="E8915" s="80"/>
    </row>
    <row r="8916" spans="2:5" x14ac:dyDescent="0.25">
      <c r="B8916" s="40"/>
      <c r="C8916" s="40"/>
      <c r="E8916" s="80"/>
    </row>
    <row r="8917" spans="2:5" x14ac:dyDescent="0.25">
      <c r="B8917" s="40"/>
      <c r="C8917" s="40"/>
      <c r="E8917" s="80"/>
    </row>
    <row r="8918" spans="2:5" x14ac:dyDescent="0.25">
      <c r="B8918" s="40"/>
      <c r="C8918" s="40"/>
      <c r="E8918" s="80"/>
    </row>
    <row r="8919" spans="2:5" x14ac:dyDescent="0.25">
      <c r="B8919" s="40"/>
      <c r="C8919" s="40"/>
      <c r="E8919" s="80"/>
    </row>
    <row r="8920" spans="2:5" x14ac:dyDescent="0.25">
      <c r="B8920" s="40"/>
      <c r="C8920" s="40"/>
      <c r="E8920" s="80"/>
    </row>
    <row r="8921" spans="2:5" x14ac:dyDescent="0.25">
      <c r="B8921" s="40"/>
      <c r="C8921" s="40"/>
      <c r="E8921" s="80"/>
    </row>
    <row r="8922" spans="2:5" x14ac:dyDescent="0.25">
      <c r="B8922" s="40"/>
      <c r="C8922" s="40"/>
      <c r="E8922" s="80"/>
    </row>
    <row r="8923" spans="2:5" x14ac:dyDescent="0.25">
      <c r="B8923" s="40"/>
      <c r="C8923" s="40"/>
      <c r="E8923" s="80"/>
    </row>
    <row r="8924" spans="2:5" x14ac:dyDescent="0.25">
      <c r="B8924" s="40"/>
      <c r="C8924" s="40"/>
      <c r="E8924" s="80"/>
    </row>
    <row r="8925" spans="2:5" x14ac:dyDescent="0.25">
      <c r="B8925" s="40"/>
      <c r="C8925" s="40"/>
      <c r="E8925" s="80"/>
    </row>
    <row r="8926" spans="2:5" x14ac:dyDescent="0.25">
      <c r="B8926" s="40"/>
      <c r="C8926" s="40"/>
      <c r="E8926" s="80"/>
    </row>
    <row r="8927" spans="2:5" x14ac:dyDescent="0.25">
      <c r="B8927" s="40"/>
      <c r="C8927" s="40"/>
      <c r="E8927" s="80"/>
    </row>
    <row r="8928" spans="2:5" x14ac:dyDescent="0.25">
      <c r="B8928" s="40"/>
      <c r="C8928" s="40"/>
      <c r="E8928" s="80"/>
    </row>
    <row r="8929" spans="2:5" x14ac:dyDescent="0.25">
      <c r="B8929" s="40"/>
      <c r="C8929" s="40"/>
      <c r="E8929" s="80"/>
    </row>
    <row r="8930" spans="2:5" x14ac:dyDescent="0.25">
      <c r="B8930" s="40"/>
      <c r="C8930" s="40"/>
      <c r="E8930" s="80"/>
    </row>
    <row r="8931" spans="2:5" x14ac:dyDescent="0.25">
      <c r="B8931" s="40"/>
      <c r="C8931" s="40"/>
      <c r="E8931" s="80"/>
    </row>
    <row r="8932" spans="2:5" x14ac:dyDescent="0.25">
      <c r="B8932" s="40"/>
      <c r="C8932" s="40"/>
      <c r="E8932" s="80"/>
    </row>
    <row r="8933" spans="2:5" x14ac:dyDescent="0.25">
      <c r="B8933" s="40"/>
      <c r="C8933" s="40"/>
      <c r="E8933" s="80"/>
    </row>
    <row r="8934" spans="2:5" x14ac:dyDescent="0.25">
      <c r="B8934" s="40"/>
      <c r="C8934" s="40"/>
      <c r="E8934" s="80"/>
    </row>
    <row r="8935" spans="2:5" x14ac:dyDescent="0.25">
      <c r="B8935" s="40"/>
      <c r="C8935" s="40"/>
      <c r="E8935" s="80"/>
    </row>
    <row r="8936" spans="2:5" x14ac:dyDescent="0.25">
      <c r="B8936" s="40"/>
      <c r="C8936" s="40"/>
      <c r="E8936" s="80"/>
    </row>
    <row r="8937" spans="2:5" x14ac:dyDescent="0.25">
      <c r="B8937" s="40"/>
      <c r="C8937" s="40"/>
      <c r="E8937" s="80"/>
    </row>
    <row r="8938" spans="2:5" x14ac:dyDescent="0.25">
      <c r="B8938" s="40"/>
      <c r="C8938" s="40"/>
      <c r="E8938" s="80"/>
    </row>
    <row r="8939" spans="2:5" x14ac:dyDescent="0.25">
      <c r="B8939" s="40"/>
      <c r="C8939" s="40"/>
      <c r="E8939" s="80"/>
    </row>
    <row r="8940" spans="2:5" x14ac:dyDescent="0.25">
      <c r="B8940" s="40"/>
      <c r="C8940" s="40"/>
      <c r="E8940" s="80"/>
    </row>
    <row r="8941" spans="2:5" x14ac:dyDescent="0.25">
      <c r="B8941" s="40"/>
      <c r="C8941" s="40"/>
      <c r="E8941" s="80"/>
    </row>
    <row r="8942" spans="2:5" x14ac:dyDescent="0.25">
      <c r="B8942" s="40"/>
      <c r="C8942" s="40"/>
      <c r="E8942" s="80"/>
    </row>
    <row r="8943" spans="2:5" x14ac:dyDescent="0.25">
      <c r="B8943" s="40"/>
      <c r="C8943" s="40"/>
      <c r="E8943" s="80"/>
    </row>
    <row r="8944" spans="2:5" x14ac:dyDescent="0.25">
      <c r="B8944" s="40"/>
      <c r="C8944" s="40"/>
      <c r="E8944" s="80"/>
    </row>
    <row r="8945" spans="2:5" x14ac:dyDescent="0.25">
      <c r="B8945" s="40"/>
      <c r="C8945" s="40"/>
      <c r="E8945" s="80"/>
    </row>
    <row r="8946" spans="2:5" x14ac:dyDescent="0.25">
      <c r="B8946" s="40"/>
      <c r="C8946" s="40"/>
      <c r="E8946" s="80"/>
    </row>
    <row r="8947" spans="2:5" x14ac:dyDescent="0.25">
      <c r="B8947" s="40"/>
      <c r="C8947" s="40"/>
      <c r="E8947" s="80"/>
    </row>
    <row r="8948" spans="2:5" x14ac:dyDescent="0.25">
      <c r="B8948" s="40"/>
      <c r="C8948" s="40"/>
      <c r="E8948" s="80"/>
    </row>
    <row r="8949" spans="2:5" x14ac:dyDescent="0.25">
      <c r="B8949" s="40"/>
      <c r="C8949" s="40"/>
      <c r="E8949" s="80"/>
    </row>
    <row r="8950" spans="2:5" x14ac:dyDescent="0.25">
      <c r="B8950" s="40"/>
      <c r="C8950" s="40"/>
      <c r="E8950" s="80"/>
    </row>
    <row r="8951" spans="2:5" x14ac:dyDescent="0.25">
      <c r="B8951" s="40"/>
      <c r="C8951" s="40"/>
      <c r="E8951" s="80"/>
    </row>
    <row r="8952" spans="2:5" x14ac:dyDescent="0.25">
      <c r="B8952" s="40"/>
      <c r="C8952" s="40"/>
      <c r="E8952" s="80"/>
    </row>
    <row r="8953" spans="2:5" x14ac:dyDescent="0.25">
      <c r="B8953" s="40"/>
      <c r="C8953" s="40"/>
      <c r="E8953" s="80"/>
    </row>
    <row r="8954" spans="2:5" x14ac:dyDescent="0.25">
      <c r="B8954" s="40"/>
      <c r="C8954" s="40"/>
      <c r="E8954" s="80"/>
    </row>
    <row r="8955" spans="2:5" x14ac:dyDescent="0.25">
      <c r="B8955" s="40"/>
      <c r="C8955" s="40"/>
      <c r="E8955" s="80"/>
    </row>
    <row r="8956" spans="2:5" x14ac:dyDescent="0.25">
      <c r="B8956" s="40"/>
      <c r="C8956" s="40"/>
      <c r="E8956" s="80"/>
    </row>
    <row r="8957" spans="2:5" x14ac:dyDescent="0.25">
      <c r="B8957" s="40"/>
      <c r="C8957" s="40"/>
      <c r="E8957" s="80"/>
    </row>
    <row r="8958" spans="2:5" x14ac:dyDescent="0.25">
      <c r="B8958" s="40"/>
      <c r="C8958" s="40"/>
      <c r="E8958" s="80"/>
    </row>
    <row r="8959" spans="2:5" x14ac:dyDescent="0.25">
      <c r="B8959" s="40"/>
      <c r="C8959" s="40"/>
      <c r="E8959" s="80"/>
    </row>
    <row r="8960" spans="2:5" x14ac:dyDescent="0.25">
      <c r="B8960" s="40"/>
      <c r="C8960" s="40"/>
      <c r="E8960" s="80"/>
    </row>
    <row r="8961" spans="2:5" x14ac:dyDescent="0.25">
      <c r="B8961" s="40"/>
      <c r="C8961" s="40"/>
      <c r="E8961" s="80"/>
    </row>
    <row r="8962" spans="2:5" x14ac:dyDescent="0.25">
      <c r="B8962" s="40"/>
      <c r="C8962" s="40"/>
      <c r="E8962" s="80"/>
    </row>
    <row r="8963" spans="2:5" x14ac:dyDescent="0.25">
      <c r="B8963" s="40"/>
      <c r="C8963" s="40"/>
      <c r="E8963" s="80"/>
    </row>
    <row r="8964" spans="2:5" x14ac:dyDescent="0.25">
      <c r="B8964" s="40"/>
      <c r="C8964" s="40"/>
      <c r="E8964" s="80"/>
    </row>
    <row r="8965" spans="2:5" x14ac:dyDescent="0.25">
      <c r="B8965" s="40"/>
      <c r="C8965" s="40"/>
      <c r="E8965" s="80"/>
    </row>
    <row r="8966" spans="2:5" x14ac:dyDescent="0.25">
      <c r="B8966" s="40"/>
      <c r="C8966" s="40"/>
      <c r="E8966" s="80"/>
    </row>
    <row r="8967" spans="2:5" x14ac:dyDescent="0.25">
      <c r="B8967" s="40"/>
      <c r="C8967" s="40"/>
      <c r="E8967" s="80"/>
    </row>
    <row r="8968" spans="2:5" x14ac:dyDescent="0.25">
      <c r="B8968" s="40"/>
      <c r="C8968" s="40"/>
      <c r="E8968" s="80"/>
    </row>
    <row r="8969" spans="2:5" x14ac:dyDescent="0.25">
      <c r="B8969" s="40"/>
      <c r="C8969" s="40"/>
      <c r="E8969" s="80"/>
    </row>
    <row r="8970" spans="2:5" x14ac:dyDescent="0.25">
      <c r="B8970" s="40"/>
      <c r="C8970" s="40"/>
      <c r="E8970" s="80"/>
    </row>
    <row r="8971" spans="2:5" x14ac:dyDescent="0.25">
      <c r="B8971" s="40"/>
      <c r="C8971" s="40"/>
      <c r="E8971" s="80"/>
    </row>
    <row r="8972" spans="2:5" x14ac:dyDescent="0.25">
      <c r="B8972" s="40"/>
      <c r="C8972" s="40"/>
      <c r="E8972" s="80"/>
    </row>
    <row r="8973" spans="2:5" x14ac:dyDescent="0.25">
      <c r="B8973" s="40"/>
      <c r="C8973" s="40"/>
      <c r="E8973" s="80"/>
    </row>
    <row r="8974" spans="2:5" x14ac:dyDescent="0.25">
      <c r="B8974" s="40"/>
      <c r="C8974" s="40"/>
      <c r="E8974" s="80"/>
    </row>
    <row r="8975" spans="2:5" x14ac:dyDescent="0.25">
      <c r="B8975" s="40"/>
      <c r="C8975" s="40"/>
      <c r="E8975" s="80"/>
    </row>
    <row r="8976" spans="2:5" x14ac:dyDescent="0.25">
      <c r="B8976" s="40"/>
      <c r="C8976" s="40"/>
      <c r="E8976" s="80"/>
    </row>
    <row r="8977" spans="2:5" x14ac:dyDescent="0.25">
      <c r="B8977" s="40"/>
      <c r="C8977" s="40"/>
      <c r="E8977" s="80"/>
    </row>
    <row r="8978" spans="2:5" x14ac:dyDescent="0.25">
      <c r="B8978" s="40"/>
      <c r="C8978" s="40"/>
      <c r="E8978" s="80"/>
    </row>
    <row r="8979" spans="2:5" x14ac:dyDescent="0.25">
      <c r="B8979" s="40"/>
      <c r="C8979" s="40"/>
      <c r="E8979" s="80"/>
    </row>
    <row r="8980" spans="2:5" x14ac:dyDescent="0.25">
      <c r="B8980" s="40"/>
      <c r="C8980" s="40"/>
      <c r="E8980" s="80"/>
    </row>
    <row r="8981" spans="2:5" x14ac:dyDescent="0.25">
      <c r="B8981" s="40"/>
      <c r="C8981" s="40"/>
      <c r="E8981" s="80"/>
    </row>
    <row r="8982" spans="2:5" x14ac:dyDescent="0.25">
      <c r="B8982" s="40"/>
      <c r="C8982" s="40"/>
      <c r="E8982" s="80"/>
    </row>
    <row r="8983" spans="2:5" x14ac:dyDescent="0.25">
      <c r="B8983" s="40"/>
      <c r="C8983" s="40"/>
      <c r="E8983" s="80"/>
    </row>
    <row r="8984" spans="2:5" x14ac:dyDescent="0.25">
      <c r="B8984" s="40"/>
      <c r="C8984" s="40"/>
      <c r="E8984" s="80"/>
    </row>
    <row r="8985" spans="2:5" x14ac:dyDescent="0.25">
      <c r="B8985" s="40"/>
      <c r="C8985" s="40"/>
      <c r="E8985" s="80"/>
    </row>
    <row r="8986" spans="2:5" x14ac:dyDescent="0.25">
      <c r="B8986" s="40"/>
      <c r="C8986" s="40"/>
      <c r="E8986" s="80"/>
    </row>
    <row r="8987" spans="2:5" x14ac:dyDescent="0.25">
      <c r="B8987" s="40"/>
      <c r="C8987" s="40"/>
      <c r="E8987" s="80"/>
    </row>
    <row r="8988" spans="2:5" x14ac:dyDescent="0.25">
      <c r="B8988" s="40"/>
      <c r="C8988" s="40"/>
      <c r="E8988" s="80"/>
    </row>
    <row r="8989" spans="2:5" x14ac:dyDescent="0.25">
      <c r="B8989" s="40"/>
      <c r="C8989" s="40"/>
      <c r="E8989" s="80"/>
    </row>
    <row r="8990" spans="2:5" x14ac:dyDescent="0.25">
      <c r="B8990" s="40"/>
      <c r="C8990" s="40"/>
      <c r="E8990" s="80"/>
    </row>
    <row r="8991" spans="2:5" x14ac:dyDescent="0.25">
      <c r="B8991" s="40"/>
      <c r="C8991" s="40"/>
      <c r="E8991" s="80"/>
    </row>
    <row r="8992" spans="2:5" x14ac:dyDescent="0.25">
      <c r="B8992" s="40"/>
      <c r="C8992" s="40"/>
      <c r="E8992" s="80"/>
    </row>
    <row r="8993" spans="2:5" x14ac:dyDescent="0.25">
      <c r="B8993" s="40"/>
      <c r="C8993" s="40"/>
      <c r="E8993" s="80"/>
    </row>
    <row r="8994" spans="2:5" x14ac:dyDescent="0.25">
      <c r="B8994" s="40"/>
      <c r="C8994" s="40"/>
      <c r="E8994" s="80"/>
    </row>
    <row r="8995" spans="2:5" x14ac:dyDescent="0.25">
      <c r="B8995" s="40"/>
      <c r="C8995" s="40"/>
      <c r="E8995" s="80"/>
    </row>
    <row r="8996" spans="2:5" x14ac:dyDescent="0.25">
      <c r="B8996" s="40"/>
      <c r="C8996" s="40"/>
      <c r="E8996" s="80"/>
    </row>
    <row r="8997" spans="2:5" x14ac:dyDescent="0.25">
      <c r="B8997" s="40"/>
      <c r="C8997" s="40"/>
      <c r="E8997" s="80"/>
    </row>
    <row r="8998" spans="2:5" x14ac:dyDescent="0.25">
      <c r="B8998" s="40"/>
      <c r="C8998" s="40"/>
      <c r="E8998" s="80"/>
    </row>
    <row r="8999" spans="2:5" x14ac:dyDescent="0.25">
      <c r="B8999" s="40"/>
      <c r="C8999" s="40"/>
      <c r="E8999" s="80"/>
    </row>
    <row r="9000" spans="2:5" x14ac:dyDescent="0.25">
      <c r="B9000" s="40"/>
      <c r="C9000" s="40"/>
      <c r="E9000" s="80"/>
    </row>
    <row r="9001" spans="2:5" x14ac:dyDescent="0.25">
      <c r="B9001" s="40"/>
      <c r="C9001" s="40"/>
      <c r="E9001" s="80"/>
    </row>
    <row r="9002" spans="2:5" x14ac:dyDescent="0.25">
      <c r="B9002" s="40"/>
      <c r="C9002" s="40"/>
      <c r="E9002" s="80"/>
    </row>
    <row r="9003" spans="2:5" x14ac:dyDescent="0.25">
      <c r="B9003" s="40"/>
      <c r="C9003" s="40"/>
      <c r="E9003" s="80"/>
    </row>
    <row r="9004" spans="2:5" x14ac:dyDescent="0.25">
      <c r="B9004" s="40"/>
      <c r="C9004" s="40"/>
      <c r="E9004" s="80"/>
    </row>
    <row r="9005" spans="2:5" x14ac:dyDescent="0.25">
      <c r="B9005" s="40"/>
      <c r="C9005" s="40"/>
      <c r="E9005" s="80"/>
    </row>
    <row r="9006" spans="2:5" x14ac:dyDescent="0.25">
      <c r="B9006" s="40"/>
      <c r="C9006" s="40"/>
      <c r="E9006" s="80"/>
    </row>
    <row r="9007" spans="2:5" x14ac:dyDescent="0.25">
      <c r="B9007" s="40"/>
      <c r="C9007" s="40"/>
      <c r="E9007" s="80"/>
    </row>
    <row r="9008" spans="2:5" x14ac:dyDescent="0.25">
      <c r="B9008" s="40"/>
      <c r="C9008" s="40"/>
      <c r="E9008" s="80"/>
    </row>
    <row r="9009" spans="2:5" x14ac:dyDescent="0.25">
      <c r="B9009" s="40"/>
      <c r="C9009" s="40"/>
      <c r="E9009" s="80"/>
    </row>
    <row r="9010" spans="2:5" x14ac:dyDescent="0.25">
      <c r="B9010" s="40"/>
      <c r="C9010" s="40"/>
      <c r="E9010" s="80"/>
    </row>
    <row r="9011" spans="2:5" x14ac:dyDescent="0.25">
      <c r="B9011" s="40"/>
      <c r="C9011" s="40"/>
      <c r="E9011" s="80"/>
    </row>
    <row r="9012" spans="2:5" x14ac:dyDescent="0.25">
      <c r="B9012" s="40"/>
      <c r="C9012" s="40"/>
      <c r="E9012" s="80"/>
    </row>
    <row r="9013" spans="2:5" x14ac:dyDescent="0.25">
      <c r="B9013" s="40"/>
      <c r="C9013" s="40"/>
      <c r="E9013" s="80"/>
    </row>
    <row r="9014" spans="2:5" x14ac:dyDescent="0.25">
      <c r="B9014" s="40"/>
      <c r="C9014" s="40"/>
      <c r="E9014" s="80"/>
    </row>
    <row r="9015" spans="2:5" x14ac:dyDescent="0.25">
      <c r="B9015" s="40"/>
      <c r="C9015" s="40"/>
      <c r="E9015" s="80"/>
    </row>
    <row r="9016" spans="2:5" x14ac:dyDescent="0.25">
      <c r="B9016" s="40"/>
      <c r="C9016" s="40"/>
      <c r="E9016" s="80"/>
    </row>
    <row r="9017" spans="2:5" x14ac:dyDescent="0.25">
      <c r="B9017" s="40"/>
      <c r="C9017" s="40"/>
      <c r="E9017" s="80"/>
    </row>
    <row r="9018" spans="2:5" x14ac:dyDescent="0.25">
      <c r="B9018" s="40"/>
      <c r="C9018" s="40"/>
      <c r="E9018" s="80"/>
    </row>
    <row r="9019" spans="2:5" x14ac:dyDescent="0.25">
      <c r="B9019" s="40"/>
      <c r="C9019" s="40"/>
      <c r="E9019" s="80"/>
    </row>
    <row r="9020" spans="2:5" x14ac:dyDescent="0.25">
      <c r="B9020" s="40"/>
      <c r="C9020" s="40"/>
      <c r="E9020" s="80"/>
    </row>
    <row r="9021" spans="2:5" x14ac:dyDescent="0.25">
      <c r="B9021" s="40"/>
      <c r="C9021" s="40"/>
      <c r="E9021" s="80"/>
    </row>
    <row r="9022" spans="2:5" x14ac:dyDescent="0.25">
      <c r="B9022" s="40"/>
      <c r="C9022" s="40"/>
      <c r="E9022" s="80"/>
    </row>
    <row r="9023" spans="2:5" x14ac:dyDescent="0.25">
      <c r="B9023" s="40"/>
      <c r="C9023" s="40"/>
      <c r="E9023" s="80"/>
    </row>
    <row r="9024" spans="2:5" x14ac:dyDescent="0.25">
      <c r="B9024" s="40"/>
      <c r="C9024" s="40"/>
      <c r="E9024" s="80"/>
    </row>
    <row r="9025" spans="2:5" x14ac:dyDescent="0.25">
      <c r="B9025" s="40"/>
      <c r="C9025" s="40"/>
      <c r="E9025" s="80"/>
    </row>
    <row r="9026" spans="2:5" x14ac:dyDescent="0.25">
      <c r="B9026" s="40"/>
      <c r="C9026" s="40"/>
      <c r="E9026" s="80"/>
    </row>
    <row r="9027" spans="2:5" x14ac:dyDescent="0.25">
      <c r="B9027" s="40"/>
      <c r="C9027" s="40"/>
      <c r="E9027" s="80"/>
    </row>
    <row r="9028" spans="2:5" x14ac:dyDescent="0.25">
      <c r="B9028" s="40"/>
      <c r="C9028" s="40"/>
      <c r="E9028" s="80"/>
    </row>
    <row r="9029" spans="2:5" x14ac:dyDescent="0.25">
      <c r="B9029" s="40"/>
      <c r="C9029" s="40"/>
      <c r="E9029" s="80"/>
    </row>
    <row r="9030" spans="2:5" x14ac:dyDescent="0.25">
      <c r="B9030" s="40"/>
      <c r="C9030" s="40"/>
      <c r="E9030" s="80"/>
    </row>
    <row r="9031" spans="2:5" x14ac:dyDescent="0.25">
      <c r="B9031" s="40"/>
      <c r="C9031" s="40"/>
      <c r="E9031" s="80"/>
    </row>
    <row r="9032" spans="2:5" x14ac:dyDescent="0.25">
      <c r="B9032" s="40"/>
      <c r="C9032" s="40"/>
      <c r="E9032" s="80"/>
    </row>
    <row r="9033" spans="2:5" x14ac:dyDescent="0.25">
      <c r="B9033" s="40"/>
      <c r="C9033" s="40"/>
      <c r="E9033" s="80"/>
    </row>
    <row r="9034" spans="2:5" x14ac:dyDescent="0.25">
      <c r="B9034" s="40"/>
      <c r="C9034" s="40"/>
      <c r="E9034" s="80"/>
    </row>
    <row r="9035" spans="2:5" x14ac:dyDescent="0.25">
      <c r="B9035" s="40"/>
      <c r="C9035" s="40"/>
      <c r="E9035" s="80"/>
    </row>
    <row r="9036" spans="2:5" x14ac:dyDescent="0.25">
      <c r="B9036" s="40"/>
      <c r="C9036" s="40"/>
      <c r="E9036" s="80"/>
    </row>
    <row r="9037" spans="2:5" x14ac:dyDescent="0.25">
      <c r="B9037" s="40"/>
      <c r="C9037" s="40"/>
      <c r="E9037" s="80"/>
    </row>
    <row r="9038" spans="2:5" x14ac:dyDescent="0.25">
      <c r="B9038" s="40"/>
      <c r="C9038" s="40"/>
      <c r="E9038" s="80"/>
    </row>
    <row r="9039" spans="2:5" x14ac:dyDescent="0.25">
      <c r="B9039" s="40"/>
      <c r="C9039" s="40"/>
      <c r="E9039" s="80"/>
    </row>
    <row r="9040" spans="2:5" x14ac:dyDescent="0.25">
      <c r="B9040" s="40"/>
      <c r="C9040" s="40"/>
      <c r="E9040" s="80"/>
    </row>
    <row r="9041" spans="2:5" x14ac:dyDescent="0.25">
      <c r="B9041" s="40"/>
      <c r="C9041" s="40"/>
      <c r="E9041" s="80"/>
    </row>
    <row r="9042" spans="2:5" x14ac:dyDescent="0.25">
      <c r="B9042" s="40"/>
      <c r="C9042" s="40"/>
      <c r="E9042" s="80"/>
    </row>
    <row r="9043" spans="2:5" x14ac:dyDescent="0.25">
      <c r="B9043" s="40"/>
      <c r="C9043" s="40"/>
      <c r="E9043" s="80"/>
    </row>
    <row r="9044" spans="2:5" x14ac:dyDescent="0.25">
      <c r="B9044" s="40"/>
      <c r="C9044" s="40"/>
      <c r="E9044" s="80"/>
    </row>
    <row r="9045" spans="2:5" x14ac:dyDescent="0.25">
      <c r="B9045" s="40"/>
      <c r="C9045" s="40"/>
      <c r="E9045" s="80"/>
    </row>
    <row r="9046" spans="2:5" x14ac:dyDescent="0.25">
      <c r="B9046" s="40"/>
      <c r="C9046" s="40"/>
      <c r="E9046" s="80"/>
    </row>
    <row r="9047" spans="2:5" x14ac:dyDescent="0.25">
      <c r="B9047" s="40"/>
      <c r="C9047" s="40"/>
      <c r="E9047" s="80"/>
    </row>
    <row r="9048" spans="2:5" x14ac:dyDescent="0.25">
      <c r="B9048" s="40"/>
      <c r="C9048" s="40"/>
      <c r="E9048" s="80"/>
    </row>
    <row r="9049" spans="2:5" x14ac:dyDescent="0.25">
      <c r="B9049" s="40"/>
      <c r="C9049" s="40"/>
      <c r="E9049" s="80"/>
    </row>
    <row r="9050" spans="2:5" x14ac:dyDescent="0.25">
      <c r="B9050" s="40"/>
      <c r="C9050" s="40"/>
      <c r="E9050" s="80"/>
    </row>
    <row r="9051" spans="2:5" x14ac:dyDescent="0.25">
      <c r="B9051" s="40"/>
      <c r="C9051" s="40"/>
      <c r="E9051" s="80"/>
    </row>
    <row r="9052" spans="2:5" x14ac:dyDescent="0.25">
      <c r="B9052" s="40"/>
      <c r="C9052" s="40"/>
      <c r="E9052" s="80"/>
    </row>
    <row r="9053" spans="2:5" x14ac:dyDescent="0.25">
      <c r="B9053" s="40"/>
      <c r="C9053" s="40"/>
      <c r="E9053" s="80"/>
    </row>
    <row r="9054" spans="2:5" x14ac:dyDescent="0.25">
      <c r="B9054" s="40"/>
      <c r="C9054" s="40"/>
      <c r="E9054" s="80"/>
    </row>
    <row r="9055" spans="2:5" x14ac:dyDescent="0.25">
      <c r="B9055" s="40"/>
      <c r="C9055" s="40"/>
      <c r="E9055" s="80"/>
    </row>
    <row r="9056" spans="2:5" x14ac:dyDescent="0.25">
      <c r="B9056" s="40"/>
      <c r="C9056" s="40"/>
      <c r="E9056" s="80"/>
    </row>
    <row r="9057" spans="2:5" x14ac:dyDescent="0.25">
      <c r="B9057" s="40"/>
      <c r="C9057" s="40"/>
      <c r="E9057" s="80"/>
    </row>
    <row r="9058" spans="2:5" x14ac:dyDescent="0.25">
      <c r="B9058" s="40"/>
      <c r="C9058" s="40"/>
      <c r="E9058" s="80"/>
    </row>
    <row r="9059" spans="2:5" x14ac:dyDescent="0.25">
      <c r="B9059" s="40"/>
      <c r="C9059" s="40"/>
      <c r="E9059" s="80"/>
    </row>
    <row r="9060" spans="2:5" x14ac:dyDescent="0.25">
      <c r="B9060" s="40"/>
      <c r="C9060" s="40"/>
      <c r="E9060" s="80"/>
    </row>
    <row r="9061" spans="2:5" x14ac:dyDescent="0.25">
      <c r="B9061" s="40"/>
      <c r="C9061" s="40"/>
      <c r="E9061" s="80"/>
    </row>
    <row r="9062" spans="2:5" x14ac:dyDescent="0.25">
      <c r="B9062" s="40"/>
      <c r="C9062" s="40"/>
      <c r="E9062" s="80"/>
    </row>
    <row r="9063" spans="2:5" x14ac:dyDescent="0.25">
      <c r="B9063" s="40"/>
      <c r="C9063" s="40"/>
      <c r="E9063" s="80"/>
    </row>
    <row r="9064" spans="2:5" x14ac:dyDescent="0.25">
      <c r="B9064" s="40"/>
      <c r="C9064" s="40"/>
      <c r="E9064" s="80"/>
    </row>
    <row r="9065" spans="2:5" x14ac:dyDescent="0.25">
      <c r="B9065" s="40"/>
      <c r="C9065" s="40"/>
      <c r="E9065" s="80"/>
    </row>
    <row r="9066" spans="2:5" x14ac:dyDescent="0.25">
      <c r="B9066" s="40"/>
      <c r="C9066" s="40"/>
      <c r="E9066" s="80"/>
    </row>
    <row r="9067" spans="2:5" x14ac:dyDescent="0.25">
      <c r="B9067" s="40"/>
      <c r="C9067" s="40"/>
      <c r="E9067" s="80"/>
    </row>
    <row r="9068" spans="2:5" x14ac:dyDescent="0.25">
      <c r="B9068" s="40"/>
      <c r="C9068" s="40"/>
      <c r="E9068" s="80"/>
    </row>
    <row r="9069" spans="2:5" x14ac:dyDescent="0.25">
      <c r="B9069" s="40"/>
      <c r="C9069" s="40"/>
      <c r="E9069" s="80"/>
    </row>
    <row r="9070" spans="2:5" x14ac:dyDescent="0.25">
      <c r="B9070" s="40"/>
      <c r="C9070" s="40"/>
      <c r="E9070" s="80"/>
    </row>
    <row r="9071" spans="2:5" x14ac:dyDescent="0.25">
      <c r="B9071" s="40"/>
      <c r="C9071" s="40"/>
      <c r="E9071" s="80"/>
    </row>
    <row r="9072" spans="2:5" x14ac:dyDescent="0.25">
      <c r="B9072" s="40"/>
      <c r="C9072" s="40"/>
      <c r="E9072" s="80"/>
    </row>
    <row r="9073" spans="2:5" x14ac:dyDescent="0.25">
      <c r="B9073" s="40"/>
      <c r="C9073" s="40"/>
      <c r="E9073" s="80"/>
    </row>
    <row r="9074" spans="2:5" x14ac:dyDescent="0.25">
      <c r="B9074" s="40"/>
      <c r="C9074" s="40"/>
      <c r="E9074" s="80"/>
    </row>
    <row r="9075" spans="2:5" x14ac:dyDescent="0.25">
      <c r="B9075" s="40"/>
      <c r="C9075" s="40"/>
      <c r="E9075" s="80"/>
    </row>
    <row r="9076" spans="2:5" x14ac:dyDescent="0.25">
      <c r="B9076" s="40"/>
      <c r="C9076" s="40"/>
      <c r="E9076" s="80"/>
    </row>
    <row r="9077" spans="2:5" x14ac:dyDescent="0.25">
      <c r="B9077" s="40"/>
      <c r="C9077" s="40"/>
      <c r="E9077" s="80"/>
    </row>
    <row r="9078" spans="2:5" x14ac:dyDescent="0.25">
      <c r="B9078" s="40"/>
      <c r="C9078" s="40"/>
      <c r="E9078" s="80"/>
    </row>
    <row r="9079" spans="2:5" x14ac:dyDescent="0.25">
      <c r="B9079" s="40"/>
      <c r="C9079" s="40"/>
      <c r="E9079" s="80"/>
    </row>
    <row r="9080" spans="2:5" x14ac:dyDescent="0.25">
      <c r="B9080" s="40"/>
      <c r="C9080" s="40"/>
      <c r="E9080" s="80"/>
    </row>
    <row r="9081" spans="2:5" x14ac:dyDescent="0.25">
      <c r="B9081" s="40"/>
      <c r="C9081" s="40"/>
      <c r="E9081" s="80"/>
    </row>
    <row r="9082" spans="2:5" x14ac:dyDescent="0.25">
      <c r="B9082" s="40"/>
      <c r="C9082" s="40"/>
      <c r="E9082" s="80"/>
    </row>
    <row r="9083" spans="2:5" x14ac:dyDescent="0.25">
      <c r="B9083" s="40"/>
      <c r="C9083" s="40"/>
      <c r="E9083" s="80"/>
    </row>
    <row r="9084" spans="2:5" x14ac:dyDescent="0.25">
      <c r="B9084" s="40"/>
      <c r="C9084" s="40"/>
      <c r="E9084" s="80"/>
    </row>
    <row r="9085" spans="2:5" x14ac:dyDescent="0.25">
      <c r="B9085" s="40"/>
      <c r="C9085" s="40"/>
      <c r="E9085" s="80"/>
    </row>
    <row r="9086" spans="2:5" x14ac:dyDescent="0.25">
      <c r="B9086" s="40"/>
      <c r="C9086" s="40"/>
      <c r="E9086" s="80"/>
    </row>
    <row r="9087" spans="2:5" x14ac:dyDescent="0.25">
      <c r="B9087" s="40"/>
      <c r="C9087" s="40"/>
      <c r="E9087" s="80"/>
    </row>
    <row r="9088" spans="2:5" x14ac:dyDescent="0.25">
      <c r="B9088" s="40"/>
      <c r="C9088" s="40"/>
      <c r="E9088" s="80"/>
    </row>
    <row r="9089" spans="2:5" x14ac:dyDescent="0.25">
      <c r="B9089" s="40"/>
      <c r="C9089" s="40"/>
      <c r="E9089" s="80"/>
    </row>
    <row r="9090" spans="2:5" x14ac:dyDescent="0.25">
      <c r="B9090" s="40"/>
      <c r="C9090" s="40"/>
      <c r="E9090" s="80"/>
    </row>
    <row r="9091" spans="2:5" x14ac:dyDescent="0.25">
      <c r="B9091" s="40"/>
      <c r="C9091" s="40"/>
      <c r="E9091" s="80"/>
    </row>
    <row r="9092" spans="2:5" x14ac:dyDescent="0.25">
      <c r="B9092" s="40"/>
      <c r="C9092" s="40"/>
      <c r="E9092" s="80"/>
    </row>
    <row r="9093" spans="2:5" x14ac:dyDescent="0.25">
      <c r="B9093" s="40"/>
      <c r="C9093" s="40"/>
      <c r="E9093" s="80"/>
    </row>
    <row r="9094" spans="2:5" x14ac:dyDescent="0.25">
      <c r="B9094" s="40"/>
      <c r="C9094" s="40"/>
      <c r="E9094" s="80"/>
    </row>
    <row r="9095" spans="2:5" x14ac:dyDescent="0.25">
      <c r="B9095" s="40"/>
      <c r="C9095" s="40"/>
      <c r="E9095" s="80"/>
    </row>
    <row r="9096" spans="2:5" x14ac:dyDescent="0.25">
      <c r="B9096" s="40"/>
      <c r="C9096" s="40"/>
      <c r="E9096" s="80"/>
    </row>
    <row r="9097" spans="2:5" x14ac:dyDescent="0.25">
      <c r="B9097" s="40"/>
      <c r="C9097" s="40"/>
      <c r="E9097" s="80"/>
    </row>
    <row r="9098" spans="2:5" x14ac:dyDescent="0.25">
      <c r="B9098" s="40"/>
      <c r="C9098" s="40"/>
      <c r="E9098" s="80"/>
    </row>
    <row r="9099" spans="2:5" x14ac:dyDescent="0.25">
      <c r="B9099" s="40"/>
      <c r="C9099" s="40"/>
      <c r="E9099" s="80"/>
    </row>
    <row r="9100" spans="2:5" x14ac:dyDescent="0.25">
      <c r="B9100" s="40"/>
      <c r="C9100" s="40"/>
      <c r="E9100" s="80"/>
    </row>
    <row r="9101" spans="2:5" x14ac:dyDescent="0.25">
      <c r="B9101" s="40"/>
      <c r="C9101" s="40"/>
      <c r="E9101" s="80"/>
    </row>
    <row r="9102" spans="2:5" x14ac:dyDescent="0.25">
      <c r="B9102" s="40"/>
      <c r="C9102" s="40"/>
      <c r="E9102" s="80"/>
    </row>
    <row r="9103" spans="2:5" x14ac:dyDescent="0.25">
      <c r="B9103" s="40"/>
      <c r="C9103" s="40"/>
      <c r="E9103" s="80"/>
    </row>
    <row r="9104" spans="2:5" x14ac:dyDescent="0.25">
      <c r="B9104" s="40"/>
      <c r="C9104" s="40"/>
      <c r="E9104" s="80"/>
    </row>
    <row r="9105" spans="2:5" x14ac:dyDescent="0.25">
      <c r="B9105" s="40"/>
      <c r="C9105" s="40"/>
      <c r="E9105" s="80"/>
    </row>
    <row r="9106" spans="2:5" x14ac:dyDescent="0.25">
      <c r="B9106" s="40"/>
      <c r="C9106" s="40"/>
      <c r="E9106" s="80"/>
    </row>
    <row r="9107" spans="2:5" x14ac:dyDescent="0.25">
      <c r="B9107" s="40"/>
      <c r="C9107" s="40"/>
      <c r="E9107" s="80"/>
    </row>
    <row r="9108" spans="2:5" x14ac:dyDescent="0.25">
      <c r="B9108" s="40"/>
      <c r="C9108" s="40"/>
      <c r="E9108" s="80"/>
    </row>
    <row r="9109" spans="2:5" x14ac:dyDescent="0.25">
      <c r="B9109" s="40"/>
      <c r="C9109" s="40"/>
      <c r="E9109" s="80"/>
    </row>
    <row r="9110" spans="2:5" x14ac:dyDescent="0.25">
      <c r="B9110" s="40"/>
      <c r="C9110" s="40"/>
      <c r="E9110" s="80"/>
    </row>
    <row r="9111" spans="2:5" x14ac:dyDescent="0.25">
      <c r="B9111" s="40"/>
      <c r="C9111" s="40"/>
      <c r="E9111" s="80"/>
    </row>
    <row r="9112" spans="2:5" x14ac:dyDescent="0.25">
      <c r="B9112" s="40"/>
      <c r="C9112" s="40"/>
      <c r="E9112" s="80"/>
    </row>
    <row r="9113" spans="2:5" x14ac:dyDescent="0.25">
      <c r="B9113" s="40"/>
      <c r="C9113" s="40"/>
      <c r="E9113" s="80"/>
    </row>
    <row r="9114" spans="2:5" x14ac:dyDescent="0.25">
      <c r="B9114" s="40"/>
      <c r="C9114" s="40"/>
      <c r="E9114" s="80"/>
    </row>
    <row r="9115" spans="2:5" x14ac:dyDescent="0.25">
      <c r="B9115" s="40"/>
      <c r="C9115" s="40"/>
      <c r="E9115" s="80"/>
    </row>
    <row r="9116" spans="2:5" x14ac:dyDescent="0.25">
      <c r="B9116" s="40"/>
      <c r="C9116" s="40"/>
      <c r="E9116" s="80"/>
    </row>
    <row r="9117" spans="2:5" x14ac:dyDescent="0.25">
      <c r="B9117" s="40"/>
      <c r="C9117" s="40"/>
      <c r="E9117" s="80"/>
    </row>
    <row r="9118" spans="2:5" x14ac:dyDescent="0.25">
      <c r="B9118" s="40"/>
      <c r="C9118" s="40"/>
      <c r="E9118" s="80"/>
    </row>
    <row r="9119" spans="2:5" x14ac:dyDescent="0.25">
      <c r="B9119" s="40"/>
      <c r="C9119" s="40"/>
      <c r="E9119" s="80"/>
    </row>
    <row r="9120" spans="2:5" x14ac:dyDescent="0.25">
      <c r="B9120" s="40"/>
      <c r="C9120" s="40"/>
      <c r="E9120" s="80"/>
    </row>
    <row r="9121" spans="2:5" x14ac:dyDescent="0.25">
      <c r="B9121" s="40"/>
      <c r="C9121" s="40"/>
      <c r="E9121" s="80"/>
    </row>
    <row r="9122" spans="2:5" x14ac:dyDescent="0.25">
      <c r="B9122" s="40"/>
      <c r="C9122" s="40"/>
      <c r="E9122" s="80"/>
    </row>
    <row r="9123" spans="2:5" x14ac:dyDescent="0.25">
      <c r="B9123" s="40"/>
      <c r="C9123" s="40"/>
      <c r="E9123" s="80"/>
    </row>
    <row r="9124" spans="2:5" x14ac:dyDescent="0.25">
      <c r="B9124" s="40"/>
      <c r="C9124" s="40"/>
      <c r="E9124" s="80"/>
    </row>
    <row r="9125" spans="2:5" x14ac:dyDescent="0.25">
      <c r="B9125" s="40"/>
      <c r="C9125" s="40"/>
      <c r="E9125" s="80"/>
    </row>
    <row r="9126" spans="2:5" x14ac:dyDescent="0.25">
      <c r="B9126" s="40"/>
      <c r="C9126" s="40"/>
      <c r="E9126" s="80"/>
    </row>
    <row r="9127" spans="2:5" x14ac:dyDescent="0.25">
      <c r="B9127" s="40"/>
      <c r="C9127" s="40"/>
      <c r="E9127" s="80"/>
    </row>
    <row r="9128" spans="2:5" x14ac:dyDescent="0.25">
      <c r="B9128" s="40"/>
      <c r="C9128" s="40"/>
      <c r="E9128" s="80"/>
    </row>
    <row r="9129" spans="2:5" x14ac:dyDescent="0.25">
      <c r="B9129" s="40"/>
      <c r="C9129" s="40"/>
      <c r="E9129" s="80"/>
    </row>
    <row r="9130" spans="2:5" x14ac:dyDescent="0.25">
      <c r="B9130" s="40"/>
      <c r="C9130" s="40"/>
      <c r="E9130" s="80"/>
    </row>
    <row r="9131" spans="2:5" x14ac:dyDescent="0.25">
      <c r="B9131" s="40"/>
      <c r="C9131" s="40"/>
      <c r="E9131" s="80"/>
    </row>
    <row r="9132" spans="2:5" x14ac:dyDescent="0.25">
      <c r="B9132" s="40"/>
      <c r="C9132" s="40"/>
      <c r="E9132" s="80"/>
    </row>
    <row r="9133" spans="2:5" x14ac:dyDescent="0.25">
      <c r="B9133" s="40"/>
      <c r="C9133" s="40"/>
      <c r="E9133" s="80"/>
    </row>
    <row r="9134" spans="2:5" x14ac:dyDescent="0.25">
      <c r="B9134" s="40"/>
      <c r="C9134" s="40"/>
      <c r="E9134" s="80"/>
    </row>
    <row r="9135" spans="2:5" x14ac:dyDescent="0.25">
      <c r="B9135" s="40"/>
      <c r="C9135" s="40"/>
      <c r="E9135" s="80"/>
    </row>
    <row r="9136" spans="2:5" x14ac:dyDescent="0.25">
      <c r="B9136" s="40"/>
      <c r="C9136" s="40"/>
      <c r="E9136" s="80"/>
    </row>
    <row r="9137" spans="2:5" x14ac:dyDescent="0.25">
      <c r="B9137" s="40"/>
      <c r="C9137" s="40"/>
      <c r="E9137" s="80"/>
    </row>
    <row r="9138" spans="2:5" x14ac:dyDescent="0.25">
      <c r="B9138" s="40"/>
      <c r="C9138" s="40"/>
      <c r="E9138" s="80"/>
    </row>
    <row r="9139" spans="2:5" x14ac:dyDescent="0.25">
      <c r="B9139" s="40"/>
      <c r="C9139" s="40"/>
      <c r="E9139" s="80"/>
    </row>
    <row r="9140" spans="2:5" x14ac:dyDescent="0.25">
      <c r="B9140" s="40"/>
      <c r="C9140" s="40"/>
      <c r="E9140" s="80"/>
    </row>
    <row r="9141" spans="2:5" x14ac:dyDescent="0.25">
      <c r="B9141" s="40"/>
      <c r="C9141" s="40"/>
      <c r="E9141" s="80"/>
    </row>
    <row r="9142" spans="2:5" x14ac:dyDescent="0.25">
      <c r="B9142" s="40"/>
      <c r="C9142" s="40"/>
      <c r="E9142" s="80"/>
    </row>
    <row r="9143" spans="2:5" x14ac:dyDescent="0.25">
      <c r="B9143" s="40"/>
      <c r="C9143" s="40"/>
      <c r="E9143" s="80"/>
    </row>
    <row r="9144" spans="2:5" x14ac:dyDescent="0.25">
      <c r="B9144" s="40"/>
      <c r="C9144" s="40"/>
      <c r="E9144" s="80"/>
    </row>
    <row r="9145" spans="2:5" x14ac:dyDescent="0.25">
      <c r="B9145" s="40"/>
      <c r="C9145" s="40"/>
      <c r="E9145" s="80"/>
    </row>
    <row r="9146" spans="2:5" x14ac:dyDescent="0.25">
      <c r="B9146" s="40"/>
      <c r="C9146" s="40"/>
      <c r="E9146" s="80"/>
    </row>
    <row r="9147" spans="2:5" x14ac:dyDescent="0.25">
      <c r="B9147" s="40"/>
      <c r="C9147" s="40"/>
      <c r="E9147" s="80"/>
    </row>
    <row r="9148" spans="2:5" x14ac:dyDescent="0.25">
      <c r="B9148" s="40"/>
      <c r="C9148" s="40"/>
      <c r="E9148" s="80"/>
    </row>
    <row r="9149" spans="2:5" x14ac:dyDescent="0.25">
      <c r="B9149" s="40"/>
      <c r="C9149" s="40"/>
      <c r="E9149" s="80"/>
    </row>
    <row r="9150" spans="2:5" x14ac:dyDescent="0.25">
      <c r="B9150" s="40"/>
      <c r="C9150" s="40"/>
      <c r="E9150" s="80"/>
    </row>
    <row r="9151" spans="2:5" x14ac:dyDescent="0.25">
      <c r="B9151" s="40"/>
      <c r="C9151" s="40"/>
      <c r="E9151" s="80"/>
    </row>
    <row r="9152" spans="2:5" x14ac:dyDescent="0.25">
      <c r="B9152" s="40"/>
      <c r="C9152" s="40"/>
      <c r="E9152" s="80"/>
    </row>
    <row r="9153" spans="2:5" x14ac:dyDescent="0.25">
      <c r="B9153" s="40"/>
      <c r="C9153" s="40"/>
      <c r="E9153" s="80"/>
    </row>
    <row r="9154" spans="2:5" x14ac:dyDescent="0.25">
      <c r="B9154" s="40"/>
      <c r="C9154" s="40"/>
      <c r="E9154" s="80"/>
    </row>
    <row r="9155" spans="2:5" x14ac:dyDescent="0.25">
      <c r="B9155" s="40"/>
      <c r="C9155" s="40"/>
      <c r="E9155" s="80"/>
    </row>
    <row r="9156" spans="2:5" x14ac:dyDescent="0.25">
      <c r="B9156" s="40"/>
      <c r="C9156" s="40"/>
      <c r="E9156" s="80"/>
    </row>
    <row r="9157" spans="2:5" x14ac:dyDescent="0.25">
      <c r="B9157" s="40"/>
      <c r="C9157" s="40"/>
      <c r="E9157" s="80"/>
    </row>
    <row r="9158" spans="2:5" x14ac:dyDescent="0.25">
      <c r="B9158" s="40"/>
      <c r="C9158" s="40"/>
      <c r="E9158" s="80"/>
    </row>
    <row r="9159" spans="2:5" x14ac:dyDescent="0.25">
      <c r="B9159" s="40"/>
      <c r="C9159" s="40"/>
      <c r="E9159" s="80"/>
    </row>
    <row r="9160" spans="2:5" x14ac:dyDescent="0.25">
      <c r="B9160" s="40"/>
      <c r="C9160" s="40"/>
      <c r="E9160" s="80"/>
    </row>
    <row r="9161" spans="2:5" x14ac:dyDescent="0.25">
      <c r="B9161" s="40"/>
      <c r="C9161" s="40"/>
      <c r="E9161" s="80"/>
    </row>
    <row r="9162" spans="2:5" x14ac:dyDescent="0.25">
      <c r="B9162" s="40"/>
      <c r="C9162" s="40"/>
      <c r="E9162" s="80"/>
    </row>
    <row r="9163" spans="2:5" x14ac:dyDescent="0.25">
      <c r="B9163" s="40"/>
      <c r="C9163" s="40"/>
      <c r="E9163" s="80"/>
    </row>
    <row r="9164" spans="2:5" x14ac:dyDescent="0.25">
      <c r="B9164" s="40"/>
      <c r="C9164" s="40"/>
      <c r="E9164" s="80"/>
    </row>
    <row r="9165" spans="2:5" x14ac:dyDescent="0.25">
      <c r="B9165" s="40"/>
      <c r="C9165" s="40"/>
      <c r="E9165" s="80"/>
    </row>
    <row r="9166" spans="2:5" x14ac:dyDescent="0.25">
      <c r="B9166" s="40"/>
      <c r="C9166" s="40"/>
      <c r="E9166" s="80"/>
    </row>
    <row r="9167" spans="2:5" x14ac:dyDescent="0.25">
      <c r="B9167" s="40"/>
      <c r="C9167" s="40"/>
      <c r="E9167" s="80"/>
    </row>
    <row r="9168" spans="2:5" x14ac:dyDescent="0.25">
      <c r="B9168" s="40"/>
      <c r="C9168" s="40"/>
      <c r="E9168" s="80"/>
    </row>
    <row r="9169" spans="2:5" x14ac:dyDescent="0.25">
      <c r="B9169" s="40"/>
      <c r="C9169" s="40"/>
      <c r="E9169" s="80"/>
    </row>
    <row r="9170" spans="2:5" x14ac:dyDescent="0.25">
      <c r="B9170" s="40"/>
      <c r="C9170" s="40"/>
      <c r="E9170" s="80"/>
    </row>
    <row r="9171" spans="2:5" x14ac:dyDescent="0.25">
      <c r="B9171" s="40"/>
      <c r="C9171" s="40"/>
      <c r="E9171" s="80"/>
    </row>
    <row r="9172" spans="2:5" x14ac:dyDescent="0.25">
      <c r="B9172" s="40"/>
      <c r="C9172" s="40"/>
      <c r="E9172" s="80"/>
    </row>
    <row r="9173" spans="2:5" x14ac:dyDescent="0.25">
      <c r="B9173" s="40"/>
      <c r="C9173" s="40"/>
      <c r="E9173" s="80"/>
    </row>
    <row r="9174" spans="2:5" x14ac:dyDescent="0.25">
      <c r="B9174" s="40"/>
      <c r="C9174" s="40"/>
      <c r="E9174" s="80"/>
    </row>
    <row r="9175" spans="2:5" x14ac:dyDescent="0.25">
      <c r="B9175" s="40"/>
      <c r="C9175" s="40"/>
      <c r="E9175" s="80"/>
    </row>
    <row r="9176" spans="2:5" x14ac:dyDescent="0.25">
      <c r="B9176" s="40"/>
      <c r="C9176" s="40"/>
      <c r="E9176" s="80"/>
    </row>
    <row r="9177" spans="2:5" x14ac:dyDescent="0.25">
      <c r="B9177" s="40"/>
      <c r="C9177" s="40"/>
      <c r="E9177" s="80"/>
    </row>
    <row r="9178" spans="2:5" x14ac:dyDescent="0.25">
      <c r="B9178" s="40"/>
      <c r="C9178" s="40"/>
      <c r="E9178" s="80"/>
    </row>
    <row r="9179" spans="2:5" x14ac:dyDescent="0.25">
      <c r="B9179" s="40"/>
      <c r="C9179" s="40"/>
      <c r="E9179" s="80"/>
    </row>
    <row r="9180" spans="2:5" x14ac:dyDescent="0.25">
      <c r="B9180" s="40"/>
      <c r="C9180" s="40"/>
      <c r="E9180" s="80"/>
    </row>
    <row r="9181" spans="2:5" x14ac:dyDescent="0.25">
      <c r="B9181" s="40"/>
      <c r="C9181" s="40"/>
      <c r="E9181" s="80"/>
    </row>
    <row r="9182" spans="2:5" x14ac:dyDescent="0.25">
      <c r="B9182" s="40"/>
      <c r="C9182" s="40"/>
      <c r="E9182" s="80"/>
    </row>
    <row r="9183" spans="2:5" x14ac:dyDescent="0.25">
      <c r="B9183" s="40"/>
      <c r="C9183" s="40"/>
      <c r="E9183" s="80"/>
    </row>
    <row r="9184" spans="2:5" x14ac:dyDescent="0.25">
      <c r="B9184" s="40"/>
      <c r="C9184" s="40"/>
      <c r="E9184" s="80"/>
    </row>
    <row r="9185" spans="2:5" x14ac:dyDescent="0.25">
      <c r="B9185" s="40"/>
      <c r="C9185" s="40"/>
      <c r="E9185" s="80"/>
    </row>
    <row r="9186" spans="2:5" x14ac:dyDescent="0.25">
      <c r="B9186" s="40"/>
      <c r="C9186" s="40"/>
      <c r="E9186" s="80"/>
    </row>
    <row r="9187" spans="2:5" x14ac:dyDescent="0.25">
      <c r="B9187" s="40"/>
      <c r="C9187" s="40"/>
      <c r="E9187" s="80"/>
    </row>
    <row r="9188" spans="2:5" x14ac:dyDescent="0.25">
      <c r="B9188" s="40"/>
      <c r="C9188" s="40"/>
      <c r="E9188" s="80"/>
    </row>
    <row r="9189" spans="2:5" x14ac:dyDescent="0.25">
      <c r="B9189" s="40"/>
      <c r="C9189" s="40"/>
      <c r="E9189" s="80"/>
    </row>
    <row r="9190" spans="2:5" x14ac:dyDescent="0.25">
      <c r="B9190" s="40"/>
      <c r="C9190" s="40"/>
      <c r="E9190" s="80"/>
    </row>
    <row r="9191" spans="2:5" x14ac:dyDescent="0.25">
      <c r="B9191" s="40"/>
      <c r="C9191" s="40"/>
      <c r="E9191" s="80"/>
    </row>
    <row r="9192" spans="2:5" x14ac:dyDescent="0.25">
      <c r="B9192" s="40"/>
      <c r="C9192" s="40"/>
      <c r="E9192" s="80"/>
    </row>
    <row r="9193" spans="2:5" x14ac:dyDescent="0.25">
      <c r="B9193" s="40"/>
      <c r="C9193" s="40"/>
      <c r="E9193" s="80"/>
    </row>
    <row r="9194" spans="2:5" x14ac:dyDescent="0.25">
      <c r="B9194" s="40"/>
      <c r="C9194" s="40"/>
      <c r="E9194" s="80"/>
    </row>
    <row r="9195" spans="2:5" x14ac:dyDescent="0.25">
      <c r="B9195" s="40"/>
      <c r="C9195" s="40"/>
      <c r="E9195" s="80"/>
    </row>
    <row r="9196" spans="2:5" x14ac:dyDescent="0.25">
      <c r="B9196" s="40"/>
      <c r="C9196" s="40"/>
      <c r="E9196" s="80"/>
    </row>
    <row r="9197" spans="2:5" x14ac:dyDescent="0.25">
      <c r="B9197" s="40"/>
      <c r="C9197" s="40"/>
      <c r="E9197" s="80"/>
    </row>
    <row r="9198" spans="2:5" x14ac:dyDescent="0.25">
      <c r="B9198" s="40"/>
      <c r="C9198" s="40"/>
      <c r="E9198" s="80"/>
    </row>
    <row r="9199" spans="2:5" x14ac:dyDescent="0.25">
      <c r="B9199" s="40"/>
      <c r="C9199" s="40"/>
      <c r="E9199" s="80"/>
    </row>
    <row r="9200" spans="2:5" x14ac:dyDescent="0.25">
      <c r="B9200" s="40"/>
      <c r="C9200" s="40"/>
      <c r="E9200" s="80"/>
    </row>
    <row r="9201" spans="2:5" x14ac:dyDescent="0.25">
      <c r="B9201" s="40"/>
      <c r="C9201" s="40"/>
      <c r="E9201" s="80"/>
    </row>
    <row r="9202" spans="2:5" x14ac:dyDescent="0.25">
      <c r="B9202" s="40"/>
      <c r="C9202" s="40"/>
      <c r="E9202" s="80"/>
    </row>
    <row r="9203" spans="2:5" x14ac:dyDescent="0.25">
      <c r="B9203" s="40"/>
      <c r="C9203" s="40"/>
      <c r="E9203" s="80"/>
    </row>
    <row r="9204" spans="2:5" x14ac:dyDescent="0.25">
      <c r="B9204" s="40"/>
      <c r="C9204" s="40"/>
      <c r="E9204" s="80"/>
    </row>
    <row r="9205" spans="2:5" x14ac:dyDescent="0.25">
      <c r="B9205" s="40"/>
      <c r="C9205" s="40"/>
      <c r="E9205" s="80"/>
    </row>
    <row r="9206" spans="2:5" x14ac:dyDescent="0.25">
      <c r="B9206" s="40"/>
      <c r="C9206" s="40"/>
      <c r="E9206" s="80"/>
    </row>
    <row r="9207" spans="2:5" x14ac:dyDescent="0.25">
      <c r="B9207" s="40"/>
      <c r="C9207" s="40"/>
      <c r="E9207" s="80"/>
    </row>
    <row r="9208" spans="2:5" x14ac:dyDescent="0.25">
      <c r="B9208" s="40"/>
      <c r="C9208" s="40"/>
      <c r="E9208" s="80"/>
    </row>
    <row r="9209" spans="2:5" x14ac:dyDescent="0.25">
      <c r="B9209" s="40"/>
      <c r="C9209" s="40"/>
      <c r="E9209" s="80"/>
    </row>
    <row r="9210" spans="2:5" x14ac:dyDescent="0.25">
      <c r="B9210" s="40"/>
      <c r="C9210" s="40"/>
      <c r="E9210" s="80"/>
    </row>
    <row r="9211" spans="2:5" x14ac:dyDescent="0.25">
      <c r="B9211" s="40"/>
      <c r="C9211" s="40"/>
      <c r="E9211" s="80"/>
    </row>
    <row r="9212" spans="2:5" x14ac:dyDescent="0.25">
      <c r="B9212" s="40"/>
      <c r="C9212" s="40"/>
      <c r="E9212" s="80"/>
    </row>
    <row r="9213" spans="2:5" x14ac:dyDescent="0.25">
      <c r="B9213" s="40"/>
      <c r="C9213" s="40"/>
      <c r="E9213" s="80"/>
    </row>
    <row r="9214" spans="2:5" x14ac:dyDescent="0.25">
      <c r="B9214" s="40"/>
      <c r="C9214" s="40"/>
      <c r="E9214" s="80"/>
    </row>
    <row r="9215" spans="2:5" x14ac:dyDescent="0.25">
      <c r="B9215" s="40"/>
      <c r="C9215" s="40"/>
      <c r="E9215" s="80"/>
    </row>
    <row r="9216" spans="2:5" x14ac:dyDescent="0.25">
      <c r="B9216" s="40"/>
      <c r="C9216" s="40"/>
      <c r="E9216" s="80"/>
    </row>
    <row r="9217" spans="2:5" x14ac:dyDescent="0.25">
      <c r="B9217" s="40"/>
      <c r="C9217" s="40"/>
      <c r="E9217" s="80"/>
    </row>
    <row r="9218" spans="2:5" x14ac:dyDescent="0.25">
      <c r="B9218" s="40"/>
      <c r="C9218" s="40"/>
      <c r="E9218" s="80"/>
    </row>
    <row r="9219" spans="2:5" x14ac:dyDescent="0.25">
      <c r="B9219" s="40"/>
      <c r="C9219" s="40"/>
      <c r="E9219" s="80"/>
    </row>
    <row r="9220" spans="2:5" x14ac:dyDescent="0.25">
      <c r="B9220" s="40"/>
      <c r="C9220" s="40"/>
      <c r="E9220" s="80"/>
    </row>
    <row r="9221" spans="2:5" x14ac:dyDescent="0.25">
      <c r="B9221" s="40"/>
      <c r="C9221" s="40"/>
      <c r="E9221" s="80"/>
    </row>
    <row r="9222" spans="2:5" x14ac:dyDescent="0.25">
      <c r="B9222" s="40"/>
      <c r="C9222" s="40"/>
      <c r="E9222" s="80"/>
    </row>
    <row r="9223" spans="2:5" x14ac:dyDescent="0.25">
      <c r="B9223" s="40"/>
      <c r="C9223" s="40"/>
      <c r="E9223" s="80"/>
    </row>
    <row r="9224" spans="2:5" x14ac:dyDescent="0.25">
      <c r="B9224" s="40"/>
      <c r="C9224" s="40"/>
      <c r="E9224" s="80"/>
    </row>
    <row r="9225" spans="2:5" x14ac:dyDescent="0.25">
      <c r="B9225" s="40"/>
      <c r="C9225" s="40"/>
      <c r="E9225" s="80"/>
    </row>
    <row r="9226" spans="2:5" x14ac:dyDescent="0.25">
      <c r="B9226" s="40"/>
      <c r="C9226" s="40"/>
      <c r="E9226" s="80"/>
    </row>
    <row r="9227" spans="2:5" x14ac:dyDescent="0.25">
      <c r="B9227" s="40"/>
      <c r="C9227" s="40"/>
      <c r="E9227" s="80"/>
    </row>
    <row r="9228" spans="2:5" x14ac:dyDescent="0.25">
      <c r="B9228" s="40"/>
      <c r="C9228" s="40"/>
      <c r="E9228" s="80"/>
    </row>
    <row r="9229" spans="2:5" x14ac:dyDescent="0.25">
      <c r="B9229" s="40"/>
      <c r="C9229" s="40"/>
      <c r="E9229" s="80"/>
    </row>
    <row r="9230" spans="2:5" x14ac:dyDescent="0.25">
      <c r="B9230" s="40"/>
      <c r="C9230" s="40"/>
      <c r="E9230" s="80"/>
    </row>
    <row r="9231" spans="2:5" x14ac:dyDescent="0.25">
      <c r="B9231" s="40"/>
      <c r="C9231" s="40"/>
      <c r="E9231" s="80"/>
    </row>
    <row r="9232" spans="2:5" x14ac:dyDescent="0.25">
      <c r="B9232" s="40"/>
      <c r="C9232" s="40"/>
      <c r="E9232" s="80"/>
    </row>
    <row r="9233" spans="2:5" x14ac:dyDescent="0.25">
      <c r="B9233" s="40"/>
      <c r="C9233" s="40"/>
      <c r="E9233" s="80"/>
    </row>
    <row r="9234" spans="2:5" x14ac:dyDescent="0.25">
      <c r="B9234" s="40"/>
      <c r="C9234" s="40"/>
      <c r="E9234" s="80"/>
    </row>
    <row r="9235" spans="2:5" x14ac:dyDescent="0.25">
      <c r="B9235" s="40"/>
      <c r="C9235" s="40"/>
      <c r="E9235" s="80"/>
    </row>
    <row r="9236" spans="2:5" x14ac:dyDescent="0.25">
      <c r="B9236" s="40"/>
      <c r="C9236" s="40"/>
      <c r="E9236" s="80"/>
    </row>
    <row r="9237" spans="2:5" x14ac:dyDescent="0.25">
      <c r="B9237" s="40"/>
      <c r="C9237" s="40"/>
      <c r="E9237" s="80"/>
    </row>
    <row r="9238" spans="2:5" x14ac:dyDescent="0.25">
      <c r="B9238" s="40"/>
      <c r="C9238" s="40"/>
      <c r="E9238" s="80"/>
    </row>
    <row r="9239" spans="2:5" x14ac:dyDescent="0.25">
      <c r="B9239" s="40"/>
      <c r="C9239" s="40"/>
      <c r="E9239" s="80"/>
    </row>
    <row r="9240" spans="2:5" x14ac:dyDescent="0.25">
      <c r="B9240" s="40"/>
      <c r="C9240" s="40"/>
      <c r="E9240" s="80"/>
    </row>
    <row r="9241" spans="2:5" x14ac:dyDescent="0.25">
      <c r="B9241" s="40"/>
      <c r="C9241" s="40"/>
      <c r="E9241" s="80"/>
    </row>
    <row r="9242" spans="2:5" x14ac:dyDescent="0.25">
      <c r="B9242" s="40"/>
      <c r="C9242" s="40"/>
      <c r="E9242" s="80"/>
    </row>
    <row r="9243" spans="2:5" x14ac:dyDescent="0.25">
      <c r="B9243" s="40"/>
      <c r="C9243" s="40"/>
      <c r="E9243" s="80"/>
    </row>
    <row r="9244" spans="2:5" x14ac:dyDescent="0.25">
      <c r="B9244" s="40"/>
      <c r="C9244" s="40"/>
      <c r="E9244" s="80"/>
    </row>
    <row r="9245" spans="2:5" x14ac:dyDescent="0.25">
      <c r="B9245" s="40"/>
      <c r="C9245" s="40"/>
      <c r="E9245" s="80"/>
    </row>
    <row r="9246" spans="2:5" x14ac:dyDescent="0.25">
      <c r="B9246" s="40"/>
      <c r="C9246" s="40"/>
      <c r="E9246" s="80"/>
    </row>
    <row r="9247" spans="2:5" x14ac:dyDescent="0.25">
      <c r="B9247" s="40"/>
      <c r="C9247" s="40"/>
      <c r="E9247" s="80"/>
    </row>
    <row r="9248" spans="2:5" x14ac:dyDescent="0.25">
      <c r="B9248" s="40"/>
      <c r="C9248" s="40"/>
      <c r="E9248" s="80"/>
    </row>
    <row r="9249" spans="2:5" x14ac:dyDescent="0.25">
      <c r="B9249" s="40"/>
      <c r="C9249" s="40"/>
      <c r="E9249" s="80"/>
    </row>
    <row r="9250" spans="2:5" x14ac:dyDescent="0.25">
      <c r="B9250" s="40"/>
      <c r="C9250" s="40"/>
      <c r="E9250" s="80"/>
    </row>
    <row r="9251" spans="2:5" x14ac:dyDescent="0.25">
      <c r="B9251" s="40"/>
      <c r="C9251" s="40"/>
      <c r="E9251" s="80"/>
    </row>
    <row r="9252" spans="2:5" x14ac:dyDescent="0.25">
      <c r="B9252" s="40"/>
      <c r="C9252" s="40"/>
      <c r="E9252" s="80"/>
    </row>
    <row r="9253" spans="2:5" x14ac:dyDescent="0.25">
      <c r="B9253" s="40"/>
      <c r="C9253" s="40"/>
      <c r="E9253" s="80"/>
    </row>
    <row r="9254" spans="2:5" x14ac:dyDescent="0.25">
      <c r="B9254" s="40"/>
      <c r="C9254" s="40"/>
      <c r="E9254" s="80"/>
    </row>
    <row r="9255" spans="2:5" x14ac:dyDescent="0.25">
      <c r="B9255" s="40"/>
      <c r="C9255" s="40"/>
      <c r="E9255" s="80"/>
    </row>
    <row r="9256" spans="2:5" x14ac:dyDescent="0.25">
      <c r="B9256" s="40"/>
      <c r="C9256" s="40"/>
      <c r="E9256" s="80"/>
    </row>
    <row r="9257" spans="2:5" x14ac:dyDescent="0.25">
      <c r="B9257" s="40"/>
      <c r="C9257" s="40"/>
      <c r="E9257" s="80"/>
    </row>
    <row r="9258" spans="2:5" x14ac:dyDescent="0.25">
      <c r="B9258" s="40"/>
      <c r="C9258" s="40"/>
      <c r="E9258" s="80"/>
    </row>
    <row r="9259" spans="2:5" x14ac:dyDescent="0.25">
      <c r="B9259" s="40"/>
      <c r="C9259" s="40"/>
      <c r="E9259" s="80"/>
    </row>
    <row r="9260" spans="2:5" x14ac:dyDescent="0.25">
      <c r="B9260" s="40"/>
      <c r="C9260" s="40"/>
      <c r="E9260" s="80"/>
    </row>
    <row r="9261" spans="2:5" x14ac:dyDescent="0.25">
      <c r="B9261" s="40"/>
      <c r="C9261" s="40"/>
      <c r="E9261" s="80"/>
    </row>
    <row r="9262" spans="2:5" x14ac:dyDescent="0.25">
      <c r="B9262" s="40"/>
      <c r="C9262" s="40"/>
      <c r="E9262" s="80"/>
    </row>
    <row r="9263" spans="2:5" x14ac:dyDescent="0.25">
      <c r="B9263" s="40"/>
      <c r="C9263" s="40"/>
      <c r="E9263" s="80"/>
    </row>
    <row r="9264" spans="2:5" x14ac:dyDescent="0.25">
      <c r="B9264" s="40"/>
      <c r="C9264" s="40"/>
      <c r="E9264" s="80"/>
    </row>
    <row r="9265" spans="2:5" x14ac:dyDescent="0.25">
      <c r="B9265" s="40"/>
      <c r="C9265" s="40"/>
      <c r="E9265" s="80"/>
    </row>
    <row r="9266" spans="2:5" x14ac:dyDescent="0.25">
      <c r="B9266" s="40"/>
      <c r="C9266" s="40"/>
      <c r="E9266" s="80"/>
    </row>
    <row r="9267" spans="2:5" x14ac:dyDescent="0.25">
      <c r="B9267" s="40"/>
      <c r="C9267" s="40"/>
      <c r="E9267" s="80"/>
    </row>
    <row r="9268" spans="2:5" x14ac:dyDescent="0.25">
      <c r="B9268" s="40"/>
      <c r="C9268" s="40"/>
      <c r="E9268" s="80"/>
    </row>
    <row r="9269" spans="2:5" x14ac:dyDescent="0.25">
      <c r="B9269" s="40"/>
      <c r="C9269" s="40"/>
      <c r="E9269" s="80"/>
    </row>
    <row r="9270" spans="2:5" x14ac:dyDescent="0.25">
      <c r="B9270" s="40"/>
      <c r="C9270" s="40"/>
      <c r="E9270" s="80"/>
    </row>
    <row r="9271" spans="2:5" x14ac:dyDescent="0.25">
      <c r="B9271" s="40"/>
      <c r="C9271" s="40"/>
      <c r="E9271" s="80"/>
    </row>
    <row r="9272" spans="2:5" x14ac:dyDescent="0.25">
      <c r="B9272" s="40"/>
      <c r="C9272" s="40"/>
      <c r="E9272" s="80"/>
    </row>
    <row r="9273" spans="2:5" x14ac:dyDescent="0.25">
      <c r="B9273" s="40"/>
      <c r="C9273" s="40"/>
      <c r="E9273" s="80"/>
    </row>
    <row r="9274" spans="2:5" x14ac:dyDescent="0.25">
      <c r="B9274" s="40"/>
      <c r="C9274" s="40"/>
      <c r="E9274" s="80"/>
    </row>
    <row r="9275" spans="2:5" x14ac:dyDescent="0.25">
      <c r="B9275" s="40"/>
      <c r="C9275" s="40"/>
      <c r="E9275" s="80"/>
    </row>
    <row r="9276" spans="2:5" x14ac:dyDescent="0.25">
      <c r="B9276" s="40"/>
      <c r="C9276" s="40"/>
      <c r="E9276" s="80"/>
    </row>
    <row r="9277" spans="2:5" x14ac:dyDescent="0.25">
      <c r="B9277" s="40"/>
      <c r="C9277" s="40"/>
      <c r="E9277" s="80"/>
    </row>
    <row r="9278" spans="2:5" x14ac:dyDescent="0.25">
      <c r="B9278" s="40"/>
      <c r="C9278" s="40"/>
      <c r="E9278" s="80"/>
    </row>
    <row r="9279" spans="2:5" x14ac:dyDescent="0.25">
      <c r="B9279" s="40"/>
      <c r="C9279" s="40"/>
      <c r="E9279" s="80"/>
    </row>
    <row r="9280" spans="2:5" x14ac:dyDescent="0.25">
      <c r="B9280" s="40"/>
      <c r="C9280" s="40"/>
      <c r="E9280" s="80"/>
    </row>
    <row r="9281" spans="2:5" x14ac:dyDescent="0.25">
      <c r="B9281" s="40"/>
      <c r="C9281" s="40"/>
      <c r="E9281" s="80"/>
    </row>
    <row r="9282" spans="2:5" x14ac:dyDescent="0.25">
      <c r="B9282" s="40"/>
      <c r="C9282" s="40"/>
      <c r="E9282" s="80"/>
    </row>
    <row r="9283" spans="2:5" x14ac:dyDescent="0.25">
      <c r="B9283" s="40"/>
      <c r="C9283" s="40"/>
      <c r="E9283" s="80"/>
    </row>
    <row r="9284" spans="2:5" x14ac:dyDescent="0.25">
      <c r="B9284" s="40"/>
      <c r="C9284" s="40"/>
      <c r="E9284" s="80"/>
    </row>
    <row r="9285" spans="2:5" x14ac:dyDescent="0.25">
      <c r="B9285" s="40"/>
      <c r="C9285" s="40"/>
      <c r="E9285" s="80"/>
    </row>
    <row r="9286" spans="2:5" x14ac:dyDescent="0.25">
      <c r="B9286" s="40"/>
      <c r="C9286" s="40"/>
      <c r="E9286" s="80"/>
    </row>
    <row r="9287" spans="2:5" x14ac:dyDescent="0.25">
      <c r="B9287" s="40"/>
      <c r="C9287" s="40"/>
      <c r="E9287" s="80"/>
    </row>
    <row r="9288" spans="2:5" x14ac:dyDescent="0.25">
      <c r="B9288" s="40"/>
      <c r="C9288" s="40"/>
      <c r="E9288" s="80"/>
    </row>
    <row r="9289" spans="2:5" x14ac:dyDescent="0.25">
      <c r="B9289" s="40"/>
      <c r="C9289" s="40"/>
      <c r="E9289" s="80"/>
    </row>
    <row r="9290" spans="2:5" x14ac:dyDescent="0.25">
      <c r="B9290" s="40"/>
      <c r="C9290" s="40"/>
      <c r="E9290" s="80"/>
    </row>
    <row r="9291" spans="2:5" x14ac:dyDescent="0.25">
      <c r="B9291" s="40"/>
      <c r="C9291" s="40"/>
      <c r="E9291" s="80"/>
    </row>
    <row r="9292" spans="2:5" x14ac:dyDescent="0.25">
      <c r="B9292" s="40"/>
      <c r="C9292" s="40"/>
      <c r="E9292" s="80"/>
    </row>
    <row r="9293" spans="2:5" x14ac:dyDescent="0.25">
      <c r="B9293" s="40"/>
      <c r="C9293" s="40"/>
      <c r="E9293" s="80"/>
    </row>
    <row r="9294" spans="2:5" x14ac:dyDescent="0.25">
      <c r="B9294" s="40"/>
      <c r="C9294" s="40"/>
      <c r="E9294" s="80"/>
    </row>
    <row r="9295" spans="2:5" x14ac:dyDescent="0.25">
      <c r="B9295" s="40"/>
      <c r="C9295" s="40"/>
      <c r="E9295" s="80"/>
    </row>
    <row r="9296" spans="2:5" x14ac:dyDescent="0.25">
      <c r="B9296" s="40"/>
      <c r="C9296" s="40"/>
      <c r="E9296" s="80"/>
    </row>
    <row r="9297" spans="2:5" x14ac:dyDescent="0.25">
      <c r="B9297" s="40"/>
      <c r="C9297" s="40"/>
      <c r="E9297" s="80"/>
    </row>
    <row r="9298" spans="2:5" x14ac:dyDescent="0.25">
      <c r="B9298" s="40"/>
      <c r="C9298" s="40"/>
      <c r="E9298" s="80"/>
    </row>
    <row r="9299" spans="2:5" x14ac:dyDescent="0.25">
      <c r="B9299" s="40"/>
      <c r="C9299" s="40"/>
      <c r="E9299" s="80"/>
    </row>
    <row r="9300" spans="2:5" x14ac:dyDescent="0.25">
      <c r="B9300" s="40"/>
      <c r="C9300" s="40"/>
      <c r="E9300" s="80"/>
    </row>
    <row r="9301" spans="2:5" x14ac:dyDescent="0.25">
      <c r="B9301" s="40"/>
      <c r="C9301" s="40"/>
      <c r="E9301" s="80"/>
    </row>
    <row r="9302" spans="2:5" x14ac:dyDescent="0.25">
      <c r="B9302" s="40"/>
      <c r="C9302" s="40"/>
      <c r="E9302" s="80"/>
    </row>
    <row r="9303" spans="2:5" x14ac:dyDescent="0.25">
      <c r="B9303" s="40"/>
      <c r="C9303" s="40"/>
      <c r="E9303" s="80"/>
    </row>
    <row r="9304" spans="2:5" x14ac:dyDescent="0.25">
      <c r="B9304" s="40"/>
      <c r="C9304" s="40"/>
      <c r="E9304" s="80"/>
    </row>
    <row r="9305" spans="2:5" x14ac:dyDescent="0.25">
      <c r="B9305" s="40"/>
      <c r="C9305" s="40"/>
      <c r="E9305" s="80"/>
    </row>
    <row r="9306" spans="2:5" x14ac:dyDescent="0.25">
      <c r="B9306" s="40"/>
      <c r="C9306" s="40"/>
      <c r="E9306" s="80"/>
    </row>
    <row r="9307" spans="2:5" x14ac:dyDescent="0.25">
      <c r="B9307" s="40"/>
      <c r="C9307" s="40"/>
      <c r="E9307" s="80"/>
    </row>
    <row r="9308" spans="2:5" x14ac:dyDescent="0.25">
      <c r="B9308" s="40"/>
      <c r="C9308" s="40"/>
      <c r="E9308" s="80"/>
    </row>
    <row r="9309" spans="2:5" x14ac:dyDescent="0.25">
      <c r="B9309" s="40"/>
      <c r="C9309" s="40"/>
      <c r="E9309" s="80"/>
    </row>
    <row r="9310" spans="2:5" x14ac:dyDescent="0.25">
      <c r="B9310" s="40"/>
      <c r="C9310" s="40"/>
      <c r="E9310" s="80"/>
    </row>
    <row r="9311" spans="2:5" x14ac:dyDescent="0.25">
      <c r="B9311" s="40"/>
      <c r="C9311" s="40"/>
      <c r="E9311" s="80"/>
    </row>
    <row r="9312" spans="2:5" x14ac:dyDescent="0.25">
      <c r="B9312" s="40"/>
      <c r="C9312" s="40"/>
      <c r="E9312" s="80"/>
    </row>
    <row r="9313" spans="2:5" x14ac:dyDescent="0.25">
      <c r="B9313" s="40"/>
      <c r="C9313" s="40"/>
      <c r="E9313" s="80"/>
    </row>
    <row r="9314" spans="2:5" x14ac:dyDescent="0.25">
      <c r="B9314" s="40"/>
      <c r="C9314" s="40"/>
      <c r="E9314" s="80"/>
    </row>
    <row r="9315" spans="2:5" x14ac:dyDescent="0.25">
      <c r="B9315" s="40"/>
      <c r="C9315" s="40"/>
      <c r="E9315" s="80"/>
    </row>
    <row r="9316" spans="2:5" x14ac:dyDescent="0.25">
      <c r="B9316" s="40"/>
      <c r="C9316" s="40"/>
      <c r="E9316" s="80"/>
    </row>
    <row r="9317" spans="2:5" x14ac:dyDescent="0.25">
      <c r="B9317" s="40"/>
      <c r="C9317" s="40"/>
      <c r="E9317" s="80"/>
    </row>
    <row r="9318" spans="2:5" x14ac:dyDescent="0.25">
      <c r="B9318" s="40"/>
      <c r="C9318" s="40"/>
      <c r="E9318" s="80"/>
    </row>
    <row r="9319" spans="2:5" x14ac:dyDescent="0.25">
      <c r="B9319" s="40"/>
      <c r="C9319" s="40"/>
      <c r="E9319" s="80"/>
    </row>
    <row r="9320" spans="2:5" x14ac:dyDescent="0.25">
      <c r="B9320" s="40"/>
      <c r="C9320" s="40"/>
      <c r="E9320" s="80"/>
    </row>
    <row r="9321" spans="2:5" x14ac:dyDescent="0.25">
      <c r="B9321" s="40"/>
      <c r="C9321" s="40"/>
      <c r="E9321" s="80"/>
    </row>
    <row r="9322" spans="2:5" x14ac:dyDescent="0.25">
      <c r="B9322" s="40"/>
      <c r="C9322" s="40"/>
      <c r="E9322" s="80"/>
    </row>
    <row r="9323" spans="2:5" x14ac:dyDescent="0.25">
      <c r="B9323" s="40"/>
      <c r="C9323" s="40"/>
      <c r="E9323" s="80"/>
    </row>
    <row r="9324" spans="2:5" x14ac:dyDescent="0.25">
      <c r="B9324" s="40"/>
      <c r="C9324" s="40"/>
      <c r="E9324" s="80"/>
    </row>
    <row r="9325" spans="2:5" x14ac:dyDescent="0.25">
      <c r="B9325" s="40"/>
      <c r="C9325" s="40"/>
      <c r="E9325" s="80"/>
    </row>
    <row r="9326" spans="2:5" x14ac:dyDescent="0.25">
      <c r="B9326" s="40"/>
      <c r="C9326" s="40"/>
      <c r="E9326" s="80"/>
    </row>
    <row r="9327" spans="2:5" x14ac:dyDescent="0.25">
      <c r="B9327" s="40"/>
      <c r="C9327" s="40"/>
      <c r="E9327" s="80"/>
    </row>
    <row r="9328" spans="2:5" x14ac:dyDescent="0.25">
      <c r="B9328" s="40"/>
      <c r="C9328" s="40"/>
      <c r="E9328" s="80"/>
    </row>
    <row r="9329" spans="2:5" x14ac:dyDescent="0.25">
      <c r="B9329" s="40"/>
      <c r="C9329" s="40"/>
      <c r="E9329" s="80"/>
    </row>
    <row r="9330" spans="2:5" x14ac:dyDescent="0.25">
      <c r="B9330" s="40"/>
      <c r="C9330" s="40"/>
      <c r="E9330" s="80"/>
    </row>
    <row r="9331" spans="2:5" x14ac:dyDescent="0.25">
      <c r="B9331" s="40"/>
      <c r="C9331" s="40"/>
      <c r="E9331" s="80"/>
    </row>
    <row r="9332" spans="2:5" x14ac:dyDescent="0.25">
      <c r="B9332" s="40"/>
      <c r="C9332" s="40"/>
      <c r="E9332" s="80"/>
    </row>
    <row r="9333" spans="2:5" x14ac:dyDescent="0.25">
      <c r="B9333" s="40"/>
      <c r="C9333" s="40"/>
      <c r="E9333" s="80"/>
    </row>
    <row r="9334" spans="2:5" x14ac:dyDescent="0.25">
      <c r="B9334" s="40"/>
      <c r="C9334" s="40"/>
      <c r="E9334" s="80"/>
    </row>
    <row r="9335" spans="2:5" x14ac:dyDescent="0.25">
      <c r="B9335" s="40"/>
      <c r="C9335" s="40"/>
      <c r="E9335" s="80"/>
    </row>
    <row r="9336" spans="2:5" x14ac:dyDescent="0.25">
      <c r="B9336" s="40"/>
      <c r="C9336" s="40"/>
      <c r="E9336" s="80"/>
    </row>
    <row r="9337" spans="2:5" x14ac:dyDescent="0.25">
      <c r="B9337" s="40"/>
      <c r="C9337" s="40"/>
      <c r="E9337" s="80"/>
    </row>
    <row r="9338" spans="2:5" x14ac:dyDescent="0.25">
      <c r="B9338" s="40"/>
      <c r="C9338" s="40"/>
      <c r="E9338" s="80"/>
    </row>
    <row r="9339" spans="2:5" x14ac:dyDescent="0.25">
      <c r="B9339" s="40"/>
      <c r="C9339" s="40"/>
      <c r="E9339" s="80"/>
    </row>
    <row r="9340" spans="2:5" x14ac:dyDescent="0.25">
      <c r="B9340" s="40"/>
      <c r="C9340" s="40"/>
      <c r="E9340" s="80"/>
    </row>
    <row r="9341" spans="2:5" x14ac:dyDescent="0.25">
      <c r="B9341" s="40"/>
      <c r="C9341" s="40"/>
      <c r="E9341" s="80"/>
    </row>
    <row r="9342" spans="2:5" x14ac:dyDescent="0.25">
      <c r="B9342" s="40"/>
      <c r="C9342" s="40"/>
      <c r="E9342" s="80"/>
    </row>
    <row r="9343" spans="2:5" x14ac:dyDescent="0.25">
      <c r="B9343" s="40"/>
      <c r="C9343" s="40"/>
      <c r="E9343" s="80"/>
    </row>
    <row r="9344" spans="2:5" x14ac:dyDescent="0.25">
      <c r="B9344" s="40"/>
      <c r="C9344" s="40"/>
      <c r="E9344" s="80"/>
    </row>
    <row r="9345" spans="2:5" x14ac:dyDescent="0.25">
      <c r="B9345" s="40"/>
      <c r="C9345" s="40"/>
      <c r="E9345" s="80"/>
    </row>
    <row r="9346" spans="2:5" x14ac:dyDescent="0.25">
      <c r="B9346" s="40"/>
      <c r="C9346" s="40"/>
      <c r="E9346" s="80"/>
    </row>
    <row r="9347" spans="2:5" x14ac:dyDescent="0.25">
      <c r="B9347" s="40"/>
      <c r="C9347" s="40"/>
      <c r="E9347" s="80"/>
    </row>
    <row r="9348" spans="2:5" x14ac:dyDescent="0.25">
      <c r="B9348" s="40"/>
      <c r="C9348" s="40"/>
      <c r="E9348" s="80"/>
    </row>
    <row r="9349" spans="2:5" x14ac:dyDescent="0.25">
      <c r="B9349" s="40"/>
      <c r="C9349" s="40"/>
      <c r="E9349" s="80"/>
    </row>
    <row r="9350" spans="2:5" x14ac:dyDescent="0.25">
      <c r="B9350" s="40"/>
      <c r="C9350" s="40"/>
      <c r="E9350" s="80"/>
    </row>
    <row r="9351" spans="2:5" x14ac:dyDescent="0.25">
      <c r="B9351" s="40"/>
      <c r="C9351" s="40"/>
      <c r="E9351" s="80"/>
    </row>
    <row r="9352" spans="2:5" x14ac:dyDescent="0.25">
      <c r="B9352" s="40"/>
      <c r="C9352" s="40"/>
      <c r="E9352" s="80"/>
    </row>
    <row r="9353" spans="2:5" x14ac:dyDescent="0.25">
      <c r="B9353" s="40"/>
      <c r="C9353" s="40"/>
      <c r="E9353" s="80"/>
    </row>
    <row r="9354" spans="2:5" x14ac:dyDescent="0.25">
      <c r="B9354" s="40"/>
      <c r="C9354" s="40"/>
      <c r="E9354" s="80"/>
    </row>
    <row r="9355" spans="2:5" x14ac:dyDescent="0.25">
      <c r="B9355" s="40"/>
      <c r="C9355" s="40"/>
      <c r="E9355" s="80"/>
    </row>
    <row r="9356" spans="2:5" x14ac:dyDescent="0.25">
      <c r="B9356" s="40"/>
      <c r="C9356" s="40"/>
      <c r="E9356" s="80"/>
    </row>
    <row r="9357" spans="2:5" x14ac:dyDescent="0.25">
      <c r="B9357" s="40"/>
      <c r="C9357" s="40"/>
      <c r="E9357" s="80"/>
    </row>
    <row r="9358" spans="2:5" x14ac:dyDescent="0.25">
      <c r="B9358" s="40"/>
      <c r="C9358" s="40"/>
      <c r="E9358" s="80"/>
    </row>
    <row r="9359" spans="2:5" x14ac:dyDescent="0.25">
      <c r="B9359" s="40"/>
      <c r="C9359" s="40"/>
      <c r="E9359" s="80"/>
    </row>
    <row r="9360" spans="2:5" x14ac:dyDescent="0.25">
      <c r="B9360" s="40"/>
      <c r="C9360" s="40"/>
      <c r="E9360" s="80"/>
    </row>
    <row r="9361" spans="2:5" x14ac:dyDescent="0.25">
      <c r="B9361" s="40"/>
      <c r="C9361" s="40"/>
      <c r="E9361" s="80"/>
    </row>
    <row r="9362" spans="2:5" x14ac:dyDescent="0.25">
      <c r="B9362" s="40"/>
      <c r="C9362" s="40"/>
      <c r="E9362" s="80"/>
    </row>
    <row r="9363" spans="2:5" x14ac:dyDescent="0.25">
      <c r="B9363" s="40"/>
      <c r="C9363" s="40"/>
      <c r="E9363" s="80"/>
    </row>
    <row r="9364" spans="2:5" x14ac:dyDescent="0.25">
      <c r="B9364" s="40"/>
      <c r="C9364" s="40"/>
      <c r="E9364" s="80"/>
    </row>
    <row r="9365" spans="2:5" x14ac:dyDescent="0.25">
      <c r="B9365" s="40"/>
      <c r="C9365" s="40"/>
      <c r="E9365" s="80"/>
    </row>
    <row r="9366" spans="2:5" x14ac:dyDescent="0.25">
      <c r="B9366" s="40"/>
      <c r="C9366" s="40"/>
      <c r="E9366" s="80"/>
    </row>
    <row r="9367" spans="2:5" x14ac:dyDescent="0.25">
      <c r="B9367" s="40"/>
      <c r="C9367" s="40"/>
      <c r="E9367" s="80"/>
    </row>
    <row r="9368" spans="2:5" x14ac:dyDescent="0.25">
      <c r="B9368" s="40"/>
      <c r="C9368" s="40"/>
      <c r="E9368" s="80"/>
    </row>
    <row r="9369" spans="2:5" x14ac:dyDescent="0.25">
      <c r="B9369" s="40"/>
      <c r="C9369" s="40"/>
      <c r="E9369" s="80"/>
    </row>
    <row r="9370" spans="2:5" x14ac:dyDescent="0.25">
      <c r="B9370" s="40"/>
      <c r="C9370" s="40"/>
      <c r="E9370" s="80"/>
    </row>
    <row r="9371" spans="2:5" x14ac:dyDescent="0.25">
      <c r="B9371" s="40"/>
      <c r="C9371" s="40"/>
      <c r="E9371" s="80"/>
    </row>
    <row r="9372" spans="2:5" x14ac:dyDescent="0.25">
      <c r="B9372" s="40"/>
      <c r="C9372" s="40"/>
      <c r="E9372" s="80"/>
    </row>
    <row r="9373" spans="2:5" x14ac:dyDescent="0.25">
      <c r="B9373" s="40"/>
      <c r="C9373" s="40"/>
      <c r="E9373" s="80"/>
    </row>
    <row r="9374" spans="2:5" x14ac:dyDescent="0.25">
      <c r="B9374" s="40"/>
      <c r="C9374" s="40"/>
      <c r="E9374" s="80"/>
    </row>
    <row r="9375" spans="2:5" x14ac:dyDescent="0.25">
      <c r="B9375" s="40"/>
      <c r="C9375" s="40"/>
      <c r="E9375" s="80"/>
    </row>
    <row r="9376" spans="2:5" x14ac:dyDescent="0.25">
      <c r="B9376" s="40"/>
      <c r="C9376" s="40"/>
      <c r="E9376" s="80"/>
    </row>
    <row r="9377" spans="2:5" x14ac:dyDescent="0.25">
      <c r="B9377" s="40"/>
      <c r="C9377" s="40"/>
      <c r="E9377" s="80"/>
    </row>
    <row r="9378" spans="2:5" x14ac:dyDescent="0.25">
      <c r="B9378" s="40"/>
      <c r="C9378" s="40"/>
      <c r="E9378" s="80"/>
    </row>
    <row r="9379" spans="2:5" x14ac:dyDescent="0.25">
      <c r="B9379" s="40"/>
      <c r="C9379" s="40"/>
      <c r="E9379" s="80"/>
    </row>
    <row r="9380" spans="2:5" x14ac:dyDescent="0.25">
      <c r="B9380" s="40"/>
      <c r="C9380" s="40"/>
      <c r="E9380" s="80"/>
    </row>
    <row r="9381" spans="2:5" x14ac:dyDescent="0.25">
      <c r="B9381" s="40"/>
      <c r="C9381" s="40"/>
      <c r="E9381" s="80"/>
    </row>
    <row r="9382" spans="2:5" x14ac:dyDescent="0.25">
      <c r="B9382" s="40"/>
      <c r="C9382" s="40"/>
      <c r="E9382" s="80"/>
    </row>
    <row r="9383" spans="2:5" x14ac:dyDescent="0.25">
      <c r="B9383" s="40"/>
      <c r="C9383" s="40"/>
      <c r="E9383" s="80"/>
    </row>
    <row r="9384" spans="2:5" x14ac:dyDescent="0.25">
      <c r="B9384" s="40"/>
      <c r="C9384" s="40"/>
      <c r="E9384" s="80"/>
    </row>
    <row r="9385" spans="2:5" x14ac:dyDescent="0.25">
      <c r="B9385" s="40"/>
      <c r="C9385" s="40"/>
      <c r="E9385" s="80"/>
    </row>
    <row r="9386" spans="2:5" x14ac:dyDescent="0.25">
      <c r="B9386" s="40"/>
      <c r="C9386" s="40"/>
      <c r="E9386" s="80"/>
    </row>
    <row r="9387" spans="2:5" x14ac:dyDescent="0.25">
      <c r="B9387" s="40"/>
      <c r="C9387" s="40"/>
      <c r="E9387" s="80"/>
    </row>
    <row r="9388" spans="2:5" x14ac:dyDescent="0.25">
      <c r="B9388" s="40"/>
      <c r="C9388" s="40"/>
      <c r="E9388" s="80"/>
    </row>
    <row r="9389" spans="2:5" x14ac:dyDescent="0.25">
      <c r="B9389" s="40"/>
      <c r="C9389" s="40"/>
      <c r="E9389" s="80"/>
    </row>
    <row r="9390" spans="2:5" x14ac:dyDescent="0.25">
      <c r="B9390" s="40"/>
      <c r="C9390" s="40"/>
      <c r="E9390" s="80"/>
    </row>
    <row r="9391" spans="2:5" x14ac:dyDescent="0.25">
      <c r="B9391" s="40"/>
      <c r="C9391" s="40"/>
      <c r="E9391" s="80"/>
    </row>
    <row r="9392" spans="2:5" x14ac:dyDescent="0.25">
      <c r="B9392" s="40"/>
      <c r="C9392" s="40"/>
      <c r="E9392" s="80"/>
    </row>
    <row r="9393" spans="2:5" x14ac:dyDescent="0.25">
      <c r="B9393" s="40"/>
      <c r="C9393" s="40"/>
      <c r="E9393" s="80"/>
    </row>
    <row r="9394" spans="2:5" x14ac:dyDescent="0.25">
      <c r="B9394" s="40"/>
      <c r="C9394" s="40"/>
      <c r="E9394" s="80"/>
    </row>
    <row r="9395" spans="2:5" x14ac:dyDescent="0.25">
      <c r="B9395" s="40"/>
      <c r="C9395" s="40"/>
      <c r="E9395" s="80"/>
    </row>
    <row r="9396" spans="2:5" x14ac:dyDescent="0.25">
      <c r="B9396" s="40"/>
      <c r="C9396" s="40"/>
      <c r="E9396" s="80"/>
    </row>
    <row r="9397" spans="2:5" x14ac:dyDescent="0.25">
      <c r="B9397" s="40"/>
      <c r="C9397" s="40"/>
      <c r="E9397" s="80"/>
    </row>
    <row r="9398" spans="2:5" x14ac:dyDescent="0.25">
      <c r="B9398" s="40"/>
      <c r="C9398" s="40"/>
      <c r="E9398" s="80"/>
    </row>
    <row r="9399" spans="2:5" x14ac:dyDescent="0.25">
      <c r="B9399" s="40"/>
      <c r="C9399" s="40"/>
      <c r="E9399" s="80"/>
    </row>
    <row r="9400" spans="2:5" x14ac:dyDescent="0.25">
      <c r="B9400" s="40"/>
      <c r="C9400" s="40"/>
      <c r="E9400" s="80"/>
    </row>
    <row r="9401" spans="2:5" x14ac:dyDescent="0.25">
      <c r="B9401" s="40"/>
      <c r="C9401" s="40"/>
      <c r="E9401" s="80"/>
    </row>
    <row r="9402" spans="2:5" x14ac:dyDescent="0.25">
      <c r="B9402" s="40"/>
      <c r="C9402" s="40"/>
      <c r="E9402" s="80"/>
    </row>
    <row r="9403" spans="2:5" x14ac:dyDescent="0.25">
      <c r="B9403" s="40"/>
      <c r="C9403" s="40"/>
      <c r="E9403" s="80"/>
    </row>
    <row r="9404" spans="2:5" x14ac:dyDescent="0.25">
      <c r="B9404" s="40"/>
      <c r="C9404" s="40"/>
      <c r="E9404" s="80"/>
    </row>
    <row r="9405" spans="2:5" x14ac:dyDescent="0.25">
      <c r="B9405" s="40"/>
      <c r="C9405" s="40"/>
      <c r="E9405" s="80"/>
    </row>
    <row r="9406" spans="2:5" x14ac:dyDescent="0.25">
      <c r="B9406" s="40"/>
      <c r="C9406" s="40"/>
      <c r="E9406" s="80"/>
    </row>
    <row r="9407" spans="2:5" x14ac:dyDescent="0.25">
      <c r="B9407" s="40"/>
      <c r="C9407" s="40"/>
      <c r="E9407" s="80"/>
    </row>
    <row r="9408" spans="2:5" x14ac:dyDescent="0.25">
      <c r="B9408" s="40"/>
      <c r="C9408" s="40"/>
      <c r="E9408" s="80"/>
    </row>
    <row r="9409" spans="2:5" x14ac:dyDescent="0.25">
      <c r="B9409" s="40"/>
      <c r="C9409" s="40"/>
      <c r="E9409" s="80"/>
    </row>
    <row r="9410" spans="2:5" x14ac:dyDescent="0.25">
      <c r="B9410" s="40"/>
      <c r="C9410" s="40"/>
      <c r="E9410" s="80"/>
    </row>
    <row r="9411" spans="2:5" x14ac:dyDescent="0.25">
      <c r="B9411" s="40"/>
      <c r="C9411" s="40"/>
      <c r="E9411" s="80"/>
    </row>
    <row r="9412" spans="2:5" x14ac:dyDescent="0.25">
      <c r="B9412" s="40"/>
      <c r="C9412" s="40"/>
      <c r="E9412" s="80"/>
    </row>
    <row r="9413" spans="2:5" x14ac:dyDescent="0.25">
      <c r="B9413" s="40"/>
      <c r="C9413" s="40"/>
      <c r="E9413" s="80"/>
    </row>
    <row r="9414" spans="2:5" x14ac:dyDescent="0.25">
      <c r="B9414" s="40"/>
      <c r="C9414" s="40"/>
      <c r="E9414" s="80"/>
    </row>
    <row r="9415" spans="2:5" x14ac:dyDescent="0.25">
      <c r="B9415" s="40"/>
      <c r="C9415" s="40"/>
      <c r="E9415" s="80"/>
    </row>
    <row r="9416" spans="2:5" x14ac:dyDescent="0.25">
      <c r="B9416" s="40"/>
      <c r="C9416" s="40"/>
      <c r="E9416" s="80"/>
    </row>
    <row r="9417" spans="2:5" x14ac:dyDescent="0.25">
      <c r="B9417" s="40"/>
      <c r="C9417" s="40"/>
      <c r="E9417" s="80"/>
    </row>
    <row r="9418" spans="2:5" x14ac:dyDescent="0.25">
      <c r="B9418" s="40"/>
      <c r="C9418" s="40"/>
      <c r="E9418" s="80"/>
    </row>
    <row r="9419" spans="2:5" x14ac:dyDescent="0.25">
      <c r="B9419" s="40"/>
      <c r="C9419" s="40"/>
      <c r="E9419" s="80"/>
    </row>
    <row r="9420" spans="2:5" x14ac:dyDescent="0.25">
      <c r="B9420" s="40"/>
      <c r="C9420" s="40"/>
      <c r="E9420" s="80"/>
    </row>
    <row r="9421" spans="2:5" x14ac:dyDescent="0.25">
      <c r="B9421" s="40"/>
      <c r="C9421" s="40"/>
      <c r="E9421" s="80"/>
    </row>
    <row r="9422" spans="2:5" x14ac:dyDescent="0.25">
      <c r="B9422" s="40"/>
      <c r="C9422" s="40"/>
      <c r="E9422" s="80"/>
    </row>
    <row r="9423" spans="2:5" x14ac:dyDescent="0.25">
      <c r="B9423" s="40"/>
      <c r="C9423" s="40"/>
      <c r="E9423" s="80"/>
    </row>
    <row r="9424" spans="2:5" x14ac:dyDescent="0.25">
      <c r="B9424" s="40"/>
      <c r="C9424" s="40"/>
      <c r="E9424" s="80"/>
    </row>
    <row r="9425" spans="2:5" x14ac:dyDescent="0.25">
      <c r="B9425" s="40"/>
      <c r="C9425" s="40"/>
      <c r="E9425" s="80"/>
    </row>
    <row r="9426" spans="2:5" x14ac:dyDescent="0.25">
      <c r="B9426" s="40"/>
      <c r="C9426" s="40"/>
      <c r="E9426" s="80"/>
    </row>
    <row r="9427" spans="2:5" x14ac:dyDescent="0.25">
      <c r="B9427" s="40"/>
      <c r="C9427" s="40"/>
      <c r="E9427" s="80"/>
    </row>
    <row r="9428" spans="2:5" x14ac:dyDescent="0.25">
      <c r="B9428" s="40"/>
      <c r="C9428" s="40"/>
      <c r="E9428" s="80"/>
    </row>
    <row r="9429" spans="2:5" x14ac:dyDescent="0.25">
      <c r="B9429" s="40"/>
      <c r="C9429" s="40"/>
      <c r="E9429" s="80"/>
    </row>
    <row r="9430" spans="2:5" x14ac:dyDescent="0.25">
      <c r="B9430" s="40"/>
      <c r="C9430" s="40"/>
      <c r="E9430" s="80"/>
    </row>
    <row r="9431" spans="2:5" x14ac:dyDescent="0.25">
      <c r="B9431" s="40"/>
      <c r="C9431" s="40"/>
      <c r="E9431" s="80"/>
    </row>
    <row r="9432" spans="2:5" x14ac:dyDescent="0.25">
      <c r="B9432" s="40"/>
      <c r="C9432" s="40"/>
      <c r="E9432" s="80"/>
    </row>
    <row r="9433" spans="2:5" x14ac:dyDescent="0.25">
      <c r="B9433" s="40"/>
      <c r="C9433" s="40"/>
      <c r="E9433" s="80"/>
    </row>
    <row r="9434" spans="2:5" x14ac:dyDescent="0.25">
      <c r="B9434" s="40"/>
      <c r="C9434" s="40"/>
      <c r="E9434" s="80"/>
    </row>
    <row r="9435" spans="2:5" x14ac:dyDescent="0.25">
      <c r="B9435" s="40"/>
      <c r="C9435" s="40"/>
      <c r="E9435" s="80"/>
    </row>
    <row r="9436" spans="2:5" x14ac:dyDescent="0.25">
      <c r="B9436" s="40"/>
      <c r="C9436" s="40"/>
      <c r="E9436" s="80"/>
    </row>
    <row r="9437" spans="2:5" x14ac:dyDescent="0.25">
      <c r="B9437" s="40"/>
      <c r="C9437" s="40"/>
      <c r="E9437" s="80"/>
    </row>
    <row r="9438" spans="2:5" x14ac:dyDescent="0.25">
      <c r="B9438" s="40"/>
      <c r="C9438" s="40"/>
      <c r="E9438" s="80"/>
    </row>
    <row r="9439" spans="2:5" x14ac:dyDescent="0.25">
      <c r="B9439" s="40"/>
      <c r="C9439" s="40"/>
      <c r="E9439" s="80"/>
    </row>
    <row r="9440" spans="2:5" x14ac:dyDescent="0.25">
      <c r="B9440" s="40"/>
      <c r="C9440" s="40"/>
      <c r="E9440" s="80"/>
    </row>
    <row r="9441" spans="2:5" x14ac:dyDescent="0.25">
      <c r="B9441" s="40"/>
      <c r="C9441" s="40"/>
      <c r="E9441" s="80"/>
    </row>
    <row r="9442" spans="2:5" x14ac:dyDescent="0.25">
      <c r="B9442" s="40"/>
      <c r="C9442" s="40"/>
      <c r="E9442" s="80"/>
    </row>
    <row r="9443" spans="2:5" x14ac:dyDescent="0.25">
      <c r="B9443" s="40"/>
      <c r="C9443" s="40"/>
      <c r="E9443" s="80"/>
    </row>
    <row r="9444" spans="2:5" x14ac:dyDescent="0.25">
      <c r="B9444" s="40"/>
      <c r="C9444" s="40"/>
      <c r="E9444" s="80"/>
    </row>
    <row r="9445" spans="2:5" x14ac:dyDescent="0.25">
      <c r="B9445" s="40"/>
      <c r="C9445" s="40"/>
      <c r="E9445" s="80"/>
    </row>
    <row r="9446" spans="2:5" x14ac:dyDescent="0.25">
      <c r="B9446" s="40"/>
      <c r="C9446" s="40"/>
      <c r="E9446" s="80"/>
    </row>
    <row r="9447" spans="2:5" x14ac:dyDescent="0.25">
      <c r="B9447" s="40"/>
      <c r="C9447" s="40"/>
      <c r="E9447" s="80"/>
    </row>
    <row r="9448" spans="2:5" x14ac:dyDescent="0.25">
      <c r="B9448" s="40"/>
      <c r="C9448" s="40"/>
      <c r="E9448" s="80"/>
    </row>
    <row r="9449" spans="2:5" x14ac:dyDescent="0.25">
      <c r="B9449" s="40"/>
      <c r="C9449" s="40"/>
      <c r="E9449" s="80"/>
    </row>
    <row r="9450" spans="2:5" x14ac:dyDescent="0.25">
      <c r="B9450" s="40"/>
      <c r="C9450" s="40"/>
      <c r="E9450" s="80"/>
    </row>
    <row r="9451" spans="2:5" x14ac:dyDescent="0.25">
      <c r="B9451" s="40"/>
      <c r="C9451" s="40"/>
      <c r="E9451" s="80"/>
    </row>
    <row r="9452" spans="2:5" x14ac:dyDescent="0.25">
      <c r="B9452" s="40"/>
      <c r="C9452" s="40"/>
      <c r="E9452" s="80"/>
    </row>
    <row r="9453" spans="2:5" x14ac:dyDescent="0.25">
      <c r="B9453" s="40"/>
      <c r="C9453" s="40"/>
      <c r="E9453" s="80"/>
    </row>
    <row r="9454" spans="2:5" x14ac:dyDescent="0.25">
      <c r="B9454" s="40"/>
      <c r="C9454" s="40"/>
      <c r="E9454" s="80"/>
    </row>
    <row r="9455" spans="2:5" x14ac:dyDescent="0.25">
      <c r="B9455" s="40"/>
      <c r="C9455" s="40"/>
      <c r="E9455" s="80"/>
    </row>
    <row r="9456" spans="2:5" x14ac:dyDescent="0.25">
      <c r="B9456" s="40"/>
      <c r="C9456" s="40"/>
      <c r="E9456" s="80"/>
    </row>
    <row r="9457" spans="2:5" x14ac:dyDescent="0.25">
      <c r="B9457" s="40"/>
      <c r="C9457" s="40"/>
      <c r="E9457" s="80"/>
    </row>
    <row r="9458" spans="2:5" x14ac:dyDescent="0.25">
      <c r="B9458" s="40"/>
      <c r="C9458" s="40"/>
      <c r="E9458" s="80"/>
    </row>
    <row r="9459" spans="2:5" x14ac:dyDescent="0.25">
      <c r="B9459" s="40"/>
      <c r="C9459" s="40"/>
      <c r="E9459" s="80"/>
    </row>
    <row r="9460" spans="2:5" x14ac:dyDescent="0.25">
      <c r="B9460" s="40"/>
      <c r="C9460" s="40"/>
      <c r="E9460" s="80"/>
    </row>
    <row r="9461" spans="2:5" x14ac:dyDescent="0.25">
      <c r="B9461" s="40"/>
      <c r="C9461" s="40"/>
      <c r="E9461" s="80"/>
    </row>
    <row r="9462" spans="2:5" x14ac:dyDescent="0.25">
      <c r="B9462" s="40"/>
      <c r="C9462" s="40"/>
      <c r="E9462" s="80"/>
    </row>
    <row r="9463" spans="2:5" x14ac:dyDescent="0.25">
      <c r="B9463" s="40"/>
      <c r="C9463" s="40"/>
      <c r="E9463" s="80"/>
    </row>
    <row r="9464" spans="2:5" x14ac:dyDescent="0.25">
      <c r="B9464" s="40"/>
      <c r="C9464" s="40"/>
      <c r="E9464" s="80"/>
    </row>
    <row r="9465" spans="2:5" x14ac:dyDescent="0.25">
      <c r="B9465" s="40"/>
      <c r="C9465" s="40"/>
      <c r="E9465" s="80"/>
    </row>
    <row r="9466" spans="2:5" x14ac:dyDescent="0.25">
      <c r="B9466" s="40"/>
      <c r="C9466" s="40"/>
      <c r="E9466" s="80"/>
    </row>
    <row r="9467" spans="2:5" x14ac:dyDescent="0.25">
      <c r="B9467" s="40"/>
      <c r="C9467" s="40"/>
      <c r="E9467" s="80"/>
    </row>
    <row r="9468" spans="2:5" x14ac:dyDescent="0.25">
      <c r="B9468" s="40"/>
      <c r="C9468" s="40"/>
      <c r="E9468" s="80"/>
    </row>
    <row r="9469" spans="2:5" x14ac:dyDescent="0.25">
      <c r="B9469" s="40"/>
      <c r="C9469" s="40"/>
      <c r="E9469" s="80"/>
    </row>
    <row r="9470" spans="2:5" x14ac:dyDescent="0.25">
      <c r="B9470" s="40"/>
      <c r="C9470" s="40"/>
      <c r="E9470" s="80"/>
    </row>
    <row r="9471" spans="2:5" x14ac:dyDescent="0.25">
      <c r="B9471" s="40"/>
      <c r="C9471" s="40"/>
      <c r="E9471" s="80"/>
    </row>
    <row r="9472" spans="2:5" x14ac:dyDescent="0.25">
      <c r="B9472" s="40"/>
      <c r="C9472" s="40"/>
      <c r="E9472" s="80"/>
    </row>
    <row r="9473" spans="2:5" x14ac:dyDescent="0.25">
      <c r="B9473" s="40"/>
      <c r="C9473" s="40"/>
      <c r="E9473" s="80"/>
    </row>
    <row r="9474" spans="2:5" x14ac:dyDescent="0.25">
      <c r="B9474" s="40"/>
      <c r="C9474" s="40"/>
      <c r="E9474" s="80"/>
    </row>
    <row r="9475" spans="2:5" x14ac:dyDescent="0.25">
      <c r="B9475" s="40"/>
      <c r="C9475" s="40"/>
      <c r="E9475" s="80"/>
    </row>
    <row r="9476" spans="2:5" x14ac:dyDescent="0.25">
      <c r="B9476" s="40"/>
      <c r="C9476" s="40"/>
      <c r="E9476" s="80"/>
    </row>
    <row r="9477" spans="2:5" x14ac:dyDescent="0.25">
      <c r="B9477" s="40"/>
      <c r="C9477" s="40"/>
      <c r="E9477" s="80"/>
    </row>
    <row r="9478" spans="2:5" x14ac:dyDescent="0.25">
      <c r="B9478" s="40"/>
      <c r="C9478" s="40"/>
      <c r="E9478" s="80"/>
    </row>
    <row r="9479" spans="2:5" x14ac:dyDescent="0.25">
      <c r="B9479" s="40"/>
      <c r="C9479" s="40"/>
      <c r="E9479" s="80"/>
    </row>
    <row r="9480" spans="2:5" x14ac:dyDescent="0.25">
      <c r="B9480" s="40"/>
      <c r="C9480" s="40"/>
      <c r="E9480" s="80"/>
    </row>
    <row r="9481" spans="2:5" x14ac:dyDescent="0.25">
      <c r="B9481" s="40"/>
      <c r="C9481" s="40"/>
      <c r="E9481" s="80"/>
    </row>
    <row r="9482" spans="2:5" x14ac:dyDescent="0.25">
      <c r="B9482" s="40"/>
      <c r="C9482" s="40"/>
      <c r="E9482" s="80"/>
    </row>
    <row r="9483" spans="2:5" x14ac:dyDescent="0.25">
      <c r="B9483" s="40"/>
      <c r="C9483" s="40"/>
      <c r="E9483" s="80"/>
    </row>
    <row r="9484" spans="2:5" x14ac:dyDescent="0.25">
      <c r="B9484" s="40"/>
      <c r="C9484" s="40"/>
      <c r="E9484" s="80"/>
    </row>
    <row r="9485" spans="2:5" x14ac:dyDescent="0.25">
      <c r="B9485" s="40"/>
      <c r="C9485" s="40"/>
      <c r="E9485" s="80"/>
    </row>
    <row r="9486" spans="2:5" x14ac:dyDescent="0.25">
      <c r="B9486" s="40"/>
      <c r="C9486" s="40"/>
      <c r="E9486" s="80"/>
    </row>
    <row r="9487" spans="2:5" x14ac:dyDescent="0.25">
      <c r="B9487" s="40"/>
      <c r="C9487" s="40"/>
      <c r="E9487" s="80"/>
    </row>
    <row r="9488" spans="2:5" x14ac:dyDescent="0.25">
      <c r="B9488" s="40"/>
      <c r="C9488" s="40"/>
      <c r="E9488" s="80"/>
    </row>
    <row r="9489" spans="2:5" x14ac:dyDescent="0.25">
      <c r="B9489" s="40"/>
      <c r="C9489" s="40"/>
      <c r="E9489" s="80"/>
    </row>
    <row r="9490" spans="2:5" x14ac:dyDescent="0.25">
      <c r="B9490" s="40"/>
      <c r="C9490" s="40"/>
      <c r="E9490" s="80"/>
    </row>
    <row r="9491" spans="2:5" x14ac:dyDescent="0.25">
      <c r="B9491" s="40"/>
      <c r="C9491" s="40"/>
      <c r="E9491" s="80"/>
    </row>
    <row r="9492" spans="2:5" x14ac:dyDescent="0.25">
      <c r="B9492" s="40"/>
      <c r="C9492" s="40"/>
      <c r="E9492" s="80"/>
    </row>
    <row r="9493" spans="2:5" x14ac:dyDescent="0.25">
      <c r="B9493" s="40"/>
      <c r="C9493" s="40"/>
      <c r="E9493" s="80"/>
    </row>
    <row r="9494" spans="2:5" x14ac:dyDescent="0.25">
      <c r="B9494" s="40"/>
      <c r="C9494" s="40"/>
      <c r="E9494" s="80"/>
    </row>
    <row r="9495" spans="2:5" x14ac:dyDescent="0.25">
      <c r="B9495" s="40"/>
      <c r="C9495" s="40"/>
      <c r="E9495" s="80"/>
    </row>
    <row r="9496" spans="2:5" x14ac:dyDescent="0.25">
      <c r="B9496" s="40"/>
      <c r="C9496" s="40"/>
      <c r="E9496" s="80"/>
    </row>
    <row r="9497" spans="2:5" x14ac:dyDescent="0.25">
      <c r="B9497" s="40"/>
      <c r="C9497" s="40"/>
      <c r="E9497" s="80"/>
    </row>
    <row r="9498" spans="2:5" x14ac:dyDescent="0.25">
      <c r="B9498" s="40"/>
      <c r="C9498" s="40"/>
      <c r="E9498" s="80"/>
    </row>
    <row r="9499" spans="2:5" x14ac:dyDescent="0.25">
      <c r="B9499" s="40"/>
      <c r="C9499" s="40"/>
      <c r="E9499" s="80"/>
    </row>
    <row r="9500" spans="2:5" x14ac:dyDescent="0.25">
      <c r="B9500" s="40"/>
      <c r="C9500" s="40"/>
      <c r="E9500" s="80"/>
    </row>
    <row r="9501" spans="2:5" x14ac:dyDescent="0.25">
      <c r="B9501" s="40"/>
      <c r="C9501" s="40"/>
      <c r="E9501" s="80"/>
    </row>
    <row r="9502" spans="2:5" x14ac:dyDescent="0.25">
      <c r="B9502" s="40"/>
      <c r="C9502" s="40"/>
      <c r="E9502" s="80"/>
    </row>
    <row r="9503" spans="2:5" x14ac:dyDescent="0.25">
      <c r="B9503" s="40"/>
      <c r="C9503" s="40"/>
      <c r="E9503" s="80"/>
    </row>
    <row r="9504" spans="2:5" x14ac:dyDescent="0.25">
      <c r="B9504" s="40"/>
      <c r="C9504" s="40"/>
      <c r="E9504" s="80"/>
    </row>
    <row r="9505" spans="2:5" x14ac:dyDescent="0.25">
      <c r="B9505" s="40"/>
      <c r="C9505" s="40"/>
      <c r="E9505" s="80"/>
    </row>
    <row r="9506" spans="2:5" x14ac:dyDescent="0.25">
      <c r="B9506" s="40"/>
      <c r="C9506" s="40"/>
      <c r="E9506" s="80"/>
    </row>
    <row r="9507" spans="2:5" x14ac:dyDescent="0.25">
      <c r="B9507" s="40"/>
      <c r="C9507" s="40"/>
      <c r="E9507" s="80"/>
    </row>
    <row r="9508" spans="2:5" x14ac:dyDescent="0.25">
      <c r="B9508" s="40"/>
      <c r="C9508" s="40"/>
      <c r="E9508" s="80"/>
    </row>
    <row r="9509" spans="2:5" x14ac:dyDescent="0.25">
      <c r="B9509" s="40"/>
      <c r="C9509" s="40"/>
      <c r="E9509" s="80"/>
    </row>
    <row r="9510" spans="2:5" x14ac:dyDescent="0.25">
      <c r="B9510" s="40"/>
      <c r="C9510" s="40"/>
      <c r="E9510" s="80"/>
    </row>
    <row r="9511" spans="2:5" x14ac:dyDescent="0.25">
      <c r="B9511" s="40"/>
      <c r="C9511" s="40"/>
      <c r="E9511" s="80"/>
    </row>
    <row r="9512" spans="2:5" x14ac:dyDescent="0.25">
      <c r="B9512" s="40"/>
      <c r="C9512" s="40"/>
      <c r="E9512" s="80"/>
    </row>
    <row r="9513" spans="2:5" x14ac:dyDescent="0.25">
      <c r="B9513" s="40"/>
      <c r="C9513" s="40"/>
      <c r="E9513" s="80"/>
    </row>
    <row r="9514" spans="2:5" x14ac:dyDescent="0.25">
      <c r="B9514" s="40"/>
      <c r="C9514" s="40"/>
      <c r="E9514" s="80"/>
    </row>
    <row r="9515" spans="2:5" x14ac:dyDescent="0.25">
      <c r="B9515" s="40"/>
      <c r="C9515" s="40"/>
      <c r="E9515" s="80"/>
    </row>
    <row r="9516" spans="2:5" x14ac:dyDescent="0.25">
      <c r="B9516" s="40"/>
      <c r="C9516" s="40"/>
      <c r="E9516" s="80"/>
    </row>
    <row r="9517" spans="2:5" x14ac:dyDescent="0.25">
      <c r="B9517" s="40"/>
      <c r="C9517" s="40"/>
      <c r="E9517" s="80"/>
    </row>
    <row r="9518" spans="2:5" x14ac:dyDescent="0.25">
      <c r="B9518" s="40"/>
      <c r="C9518" s="40"/>
      <c r="E9518" s="80"/>
    </row>
    <row r="9519" spans="2:5" x14ac:dyDescent="0.25">
      <c r="B9519" s="40"/>
      <c r="C9519" s="40"/>
      <c r="E9519" s="80"/>
    </row>
    <row r="9520" spans="2:5" x14ac:dyDescent="0.25">
      <c r="B9520" s="40"/>
      <c r="C9520" s="40"/>
      <c r="E9520" s="80"/>
    </row>
    <row r="9521" spans="2:5" x14ac:dyDescent="0.25">
      <c r="B9521" s="40"/>
      <c r="C9521" s="40"/>
      <c r="E9521" s="80"/>
    </row>
    <row r="9522" spans="2:5" x14ac:dyDescent="0.25">
      <c r="B9522" s="40"/>
      <c r="C9522" s="40"/>
      <c r="E9522" s="80"/>
    </row>
    <row r="9523" spans="2:5" x14ac:dyDescent="0.25">
      <c r="B9523" s="40"/>
      <c r="C9523" s="40"/>
      <c r="E9523" s="80"/>
    </row>
    <row r="9524" spans="2:5" x14ac:dyDescent="0.25">
      <c r="B9524" s="40"/>
      <c r="C9524" s="40"/>
      <c r="E9524" s="80"/>
    </row>
    <row r="9525" spans="2:5" x14ac:dyDescent="0.25">
      <c r="B9525" s="40"/>
      <c r="C9525" s="40"/>
      <c r="E9525" s="80"/>
    </row>
    <row r="9526" spans="2:5" x14ac:dyDescent="0.25">
      <c r="B9526" s="40"/>
      <c r="C9526" s="40"/>
      <c r="E9526" s="80"/>
    </row>
    <row r="9527" spans="2:5" x14ac:dyDescent="0.25">
      <c r="B9527" s="40"/>
      <c r="C9527" s="40"/>
      <c r="E9527" s="80"/>
    </row>
    <row r="9528" spans="2:5" x14ac:dyDescent="0.25">
      <c r="B9528" s="40"/>
      <c r="C9528" s="40"/>
      <c r="E9528" s="80"/>
    </row>
    <row r="9529" spans="2:5" x14ac:dyDescent="0.25">
      <c r="B9529" s="40"/>
      <c r="C9529" s="40"/>
      <c r="E9529" s="80"/>
    </row>
    <row r="9530" spans="2:5" x14ac:dyDescent="0.25">
      <c r="B9530" s="40"/>
      <c r="C9530" s="40"/>
      <c r="E9530" s="80"/>
    </row>
    <row r="9531" spans="2:5" x14ac:dyDescent="0.25">
      <c r="B9531" s="40"/>
      <c r="C9531" s="40"/>
      <c r="E9531" s="80"/>
    </row>
    <row r="9532" spans="2:5" x14ac:dyDescent="0.25">
      <c r="B9532" s="40"/>
      <c r="C9532" s="40"/>
      <c r="E9532" s="80"/>
    </row>
    <row r="9533" spans="2:5" x14ac:dyDescent="0.25">
      <c r="B9533" s="40"/>
      <c r="C9533" s="40"/>
      <c r="E9533" s="80"/>
    </row>
    <row r="9534" spans="2:5" x14ac:dyDescent="0.25">
      <c r="B9534" s="40"/>
      <c r="C9534" s="40"/>
      <c r="E9534" s="80"/>
    </row>
    <row r="9535" spans="2:5" x14ac:dyDescent="0.25">
      <c r="B9535" s="40"/>
      <c r="C9535" s="40"/>
      <c r="E9535" s="80"/>
    </row>
    <row r="9536" spans="2:5" x14ac:dyDescent="0.25">
      <c r="B9536" s="40"/>
      <c r="C9536" s="40"/>
      <c r="E9536" s="80"/>
    </row>
    <row r="9537" spans="2:5" x14ac:dyDescent="0.25">
      <c r="B9537" s="40"/>
      <c r="C9537" s="40"/>
      <c r="E9537" s="80"/>
    </row>
    <row r="9538" spans="2:5" x14ac:dyDescent="0.25">
      <c r="B9538" s="40"/>
      <c r="C9538" s="40"/>
      <c r="E9538" s="80"/>
    </row>
    <row r="9539" spans="2:5" x14ac:dyDescent="0.25">
      <c r="B9539" s="40"/>
      <c r="C9539" s="40"/>
      <c r="E9539" s="80"/>
    </row>
    <row r="9540" spans="2:5" x14ac:dyDescent="0.25">
      <c r="B9540" s="40"/>
      <c r="C9540" s="40"/>
      <c r="E9540" s="80"/>
    </row>
    <row r="9541" spans="2:5" x14ac:dyDescent="0.25">
      <c r="B9541" s="40"/>
      <c r="C9541" s="40"/>
      <c r="E9541" s="80"/>
    </row>
    <row r="9542" spans="2:5" x14ac:dyDescent="0.25">
      <c r="B9542" s="40"/>
      <c r="C9542" s="40"/>
      <c r="E9542" s="80"/>
    </row>
    <row r="9543" spans="2:5" x14ac:dyDescent="0.25">
      <c r="B9543" s="40"/>
      <c r="C9543" s="40"/>
      <c r="E9543" s="80"/>
    </row>
    <row r="9544" spans="2:5" x14ac:dyDescent="0.25">
      <c r="B9544" s="40"/>
      <c r="C9544" s="40"/>
      <c r="E9544" s="80"/>
    </row>
    <row r="9545" spans="2:5" x14ac:dyDescent="0.25">
      <c r="B9545" s="40"/>
      <c r="C9545" s="40"/>
      <c r="E9545" s="80"/>
    </row>
    <row r="9546" spans="2:5" x14ac:dyDescent="0.25">
      <c r="B9546" s="40"/>
      <c r="C9546" s="40"/>
      <c r="E9546" s="80"/>
    </row>
    <row r="9547" spans="2:5" x14ac:dyDescent="0.25">
      <c r="B9547" s="40"/>
      <c r="C9547" s="40"/>
      <c r="E9547" s="80"/>
    </row>
    <row r="9548" spans="2:5" x14ac:dyDescent="0.25">
      <c r="B9548" s="40"/>
      <c r="C9548" s="40"/>
      <c r="E9548" s="80"/>
    </row>
    <row r="9549" spans="2:5" x14ac:dyDescent="0.25">
      <c r="B9549" s="40"/>
      <c r="C9549" s="40"/>
      <c r="E9549" s="80"/>
    </row>
    <row r="9550" spans="2:5" x14ac:dyDescent="0.25">
      <c r="B9550" s="40"/>
      <c r="C9550" s="40"/>
      <c r="E9550" s="80"/>
    </row>
    <row r="9551" spans="2:5" x14ac:dyDescent="0.25">
      <c r="B9551" s="40"/>
      <c r="C9551" s="40"/>
      <c r="E9551" s="80"/>
    </row>
    <row r="9552" spans="2:5" x14ac:dyDescent="0.25">
      <c r="B9552" s="40"/>
      <c r="C9552" s="40"/>
      <c r="E9552" s="80"/>
    </row>
    <row r="9553" spans="2:5" x14ac:dyDescent="0.25">
      <c r="B9553" s="40"/>
      <c r="C9553" s="40"/>
      <c r="E9553" s="80"/>
    </row>
    <row r="9554" spans="2:5" x14ac:dyDescent="0.25">
      <c r="B9554" s="40"/>
      <c r="C9554" s="40"/>
      <c r="E9554" s="80"/>
    </row>
    <row r="9555" spans="2:5" x14ac:dyDescent="0.25">
      <c r="B9555" s="40"/>
      <c r="C9555" s="40"/>
      <c r="E9555" s="80"/>
    </row>
    <row r="9556" spans="2:5" x14ac:dyDescent="0.25">
      <c r="B9556" s="40"/>
      <c r="C9556" s="40"/>
      <c r="E9556" s="80"/>
    </row>
    <row r="9557" spans="2:5" x14ac:dyDescent="0.25">
      <c r="B9557" s="40"/>
      <c r="C9557" s="40"/>
      <c r="E9557" s="80"/>
    </row>
    <row r="9558" spans="2:5" x14ac:dyDescent="0.25">
      <c r="B9558" s="40"/>
      <c r="C9558" s="40"/>
      <c r="E9558" s="80"/>
    </row>
    <row r="9559" spans="2:5" x14ac:dyDescent="0.25">
      <c r="B9559" s="40"/>
      <c r="C9559" s="40"/>
      <c r="E9559" s="80"/>
    </row>
    <row r="9560" spans="2:5" x14ac:dyDescent="0.25">
      <c r="B9560" s="40"/>
      <c r="C9560" s="40"/>
      <c r="E9560" s="80"/>
    </row>
    <row r="9561" spans="2:5" x14ac:dyDescent="0.25">
      <c r="B9561" s="40"/>
      <c r="C9561" s="40"/>
      <c r="E9561" s="80"/>
    </row>
    <row r="9562" spans="2:5" x14ac:dyDescent="0.25">
      <c r="B9562" s="40"/>
      <c r="C9562" s="40"/>
      <c r="E9562" s="80"/>
    </row>
    <row r="9563" spans="2:5" x14ac:dyDescent="0.25">
      <c r="B9563" s="40"/>
      <c r="C9563" s="40"/>
      <c r="E9563" s="80"/>
    </row>
    <row r="9564" spans="2:5" x14ac:dyDescent="0.25">
      <c r="B9564" s="40"/>
      <c r="C9564" s="40"/>
      <c r="E9564" s="80"/>
    </row>
    <row r="9565" spans="2:5" x14ac:dyDescent="0.25">
      <c r="B9565" s="40"/>
      <c r="C9565" s="40"/>
      <c r="E9565" s="80"/>
    </row>
    <row r="9566" spans="2:5" x14ac:dyDescent="0.25">
      <c r="B9566" s="40"/>
      <c r="C9566" s="40"/>
      <c r="E9566" s="80"/>
    </row>
    <row r="9567" spans="2:5" x14ac:dyDescent="0.25">
      <c r="B9567" s="40"/>
      <c r="C9567" s="40"/>
      <c r="E9567" s="80"/>
    </row>
    <row r="9568" spans="2:5" x14ac:dyDescent="0.25">
      <c r="B9568" s="40"/>
      <c r="C9568" s="40"/>
      <c r="E9568" s="80"/>
    </row>
    <row r="9569" spans="2:5" x14ac:dyDescent="0.25">
      <c r="B9569" s="40"/>
      <c r="C9569" s="40"/>
      <c r="E9569" s="80"/>
    </row>
    <row r="9570" spans="2:5" x14ac:dyDescent="0.25">
      <c r="B9570" s="40"/>
      <c r="C9570" s="40"/>
      <c r="E9570" s="80"/>
    </row>
    <row r="9571" spans="2:5" x14ac:dyDescent="0.25">
      <c r="B9571" s="40"/>
      <c r="C9571" s="40"/>
      <c r="E9571" s="80"/>
    </row>
    <row r="9572" spans="2:5" x14ac:dyDescent="0.25">
      <c r="B9572" s="40"/>
      <c r="C9572" s="40"/>
      <c r="E9572" s="80"/>
    </row>
    <row r="9573" spans="2:5" x14ac:dyDescent="0.25">
      <c r="B9573" s="40"/>
      <c r="C9573" s="40"/>
      <c r="E9573" s="80"/>
    </row>
    <row r="9574" spans="2:5" x14ac:dyDescent="0.25">
      <c r="B9574" s="40"/>
      <c r="C9574" s="40"/>
      <c r="E9574" s="80"/>
    </row>
    <row r="9575" spans="2:5" x14ac:dyDescent="0.25">
      <c r="B9575" s="40"/>
      <c r="C9575" s="40"/>
      <c r="E9575" s="80"/>
    </row>
    <row r="9576" spans="2:5" x14ac:dyDescent="0.25">
      <c r="B9576" s="40"/>
      <c r="C9576" s="40"/>
      <c r="E9576" s="80"/>
    </row>
    <row r="9577" spans="2:5" x14ac:dyDescent="0.25">
      <c r="B9577" s="40"/>
      <c r="C9577" s="40"/>
      <c r="E9577" s="80"/>
    </row>
    <row r="9578" spans="2:5" x14ac:dyDescent="0.25">
      <c r="B9578" s="40"/>
      <c r="C9578" s="40"/>
      <c r="E9578" s="80"/>
    </row>
    <row r="9579" spans="2:5" x14ac:dyDescent="0.25">
      <c r="B9579" s="40"/>
      <c r="C9579" s="40"/>
      <c r="E9579" s="80"/>
    </row>
    <row r="9580" spans="2:5" x14ac:dyDescent="0.25">
      <c r="B9580" s="40"/>
      <c r="C9580" s="40"/>
      <c r="E9580" s="80"/>
    </row>
    <row r="9581" spans="2:5" x14ac:dyDescent="0.25">
      <c r="B9581" s="40"/>
      <c r="C9581" s="40"/>
      <c r="E9581" s="80"/>
    </row>
    <row r="9582" spans="2:5" x14ac:dyDescent="0.25">
      <c r="B9582" s="40"/>
      <c r="C9582" s="40"/>
      <c r="E9582" s="80"/>
    </row>
    <row r="9583" spans="2:5" x14ac:dyDescent="0.25">
      <c r="B9583" s="40"/>
      <c r="C9583" s="40"/>
      <c r="E9583" s="80"/>
    </row>
    <row r="9584" spans="2:5" x14ac:dyDescent="0.25">
      <c r="B9584" s="40"/>
      <c r="C9584" s="40"/>
      <c r="E9584" s="80"/>
    </row>
    <row r="9585" spans="2:5" x14ac:dyDescent="0.25">
      <c r="B9585" s="40"/>
      <c r="C9585" s="40"/>
      <c r="E9585" s="80"/>
    </row>
    <row r="9586" spans="2:5" x14ac:dyDescent="0.25">
      <c r="B9586" s="40"/>
      <c r="C9586" s="40"/>
      <c r="E9586" s="80"/>
    </row>
    <row r="9587" spans="2:5" x14ac:dyDescent="0.25">
      <c r="B9587" s="40"/>
      <c r="C9587" s="40"/>
      <c r="E9587" s="80"/>
    </row>
    <row r="9588" spans="2:5" x14ac:dyDescent="0.25">
      <c r="B9588" s="40"/>
      <c r="C9588" s="40"/>
      <c r="E9588" s="80"/>
    </row>
    <row r="9589" spans="2:5" x14ac:dyDescent="0.25">
      <c r="B9589" s="40"/>
      <c r="C9589" s="40"/>
      <c r="E9589" s="80"/>
    </row>
    <row r="9590" spans="2:5" x14ac:dyDescent="0.25">
      <c r="B9590" s="40"/>
      <c r="C9590" s="40"/>
      <c r="E9590" s="80"/>
    </row>
    <row r="9591" spans="2:5" x14ac:dyDescent="0.25">
      <c r="B9591" s="40"/>
      <c r="C9591" s="40"/>
      <c r="E9591" s="80"/>
    </row>
    <row r="9592" spans="2:5" x14ac:dyDescent="0.25">
      <c r="B9592" s="40"/>
      <c r="C9592" s="40"/>
      <c r="E9592" s="80"/>
    </row>
    <row r="9593" spans="2:5" x14ac:dyDescent="0.25">
      <c r="B9593" s="40"/>
      <c r="C9593" s="40"/>
      <c r="E9593" s="80"/>
    </row>
    <row r="9594" spans="2:5" x14ac:dyDescent="0.25">
      <c r="B9594" s="40"/>
      <c r="C9594" s="40"/>
      <c r="E9594" s="80"/>
    </row>
    <row r="9595" spans="2:5" x14ac:dyDescent="0.25">
      <c r="B9595" s="40"/>
      <c r="C9595" s="40"/>
      <c r="E9595" s="80"/>
    </row>
    <row r="9596" spans="2:5" x14ac:dyDescent="0.25">
      <c r="B9596" s="40"/>
      <c r="C9596" s="40"/>
      <c r="E9596" s="80"/>
    </row>
    <row r="9597" spans="2:5" x14ac:dyDescent="0.25">
      <c r="B9597" s="40"/>
      <c r="C9597" s="40"/>
      <c r="E9597" s="80"/>
    </row>
    <row r="9598" spans="2:5" x14ac:dyDescent="0.25">
      <c r="B9598" s="40"/>
      <c r="C9598" s="40"/>
      <c r="E9598" s="80"/>
    </row>
    <row r="9599" spans="2:5" x14ac:dyDescent="0.25">
      <c r="B9599" s="40"/>
      <c r="C9599" s="40"/>
      <c r="E9599" s="80"/>
    </row>
    <row r="9600" spans="2:5" x14ac:dyDescent="0.25">
      <c r="B9600" s="40"/>
      <c r="C9600" s="40"/>
      <c r="E9600" s="80"/>
    </row>
    <row r="9601" spans="2:5" x14ac:dyDescent="0.25">
      <c r="B9601" s="40"/>
      <c r="C9601" s="40"/>
      <c r="E9601" s="80"/>
    </row>
    <row r="9602" spans="2:5" x14ac:dyDescent="0.25">
      <c r="B9602" s="40"/>
      <c r="C9602" s="40"/>
      <c r="E9602" s="80"/>
    </row>
    <row r="9603" spans="2:5" x14ac:dyDescent="0.25">
      <c r="B9603" s="40"/>
      <c r="C9603" s="40"/>
      <c r="E9603" s="80"/>
    </row>
    <row r="9604" spans="2:5" x14ac:dyDescent="0.25">
      <c r="B9604" s="40"/>
      <c r="C9604" s="40"/>
      <c r="E9604" s="80"/>
    </row>
    <row r="9605" spans="2:5" x14ac:dyDescent="0.25">
      <c r="B9605" s="40"/>
      <c r="C9605" s="40"/>
      <c r="E9605" s="80"/>
    </row>
    <row r="9606" spans="2:5" x14ac:dyDescent="0.25">
      <c r="B9606" s="40"/>
      <c r="C9606" s="40"/>
      <c r="E9606" s="80"/>
    </row>
    <row r="9607" spans="2:5" x14ac:dyDescent="0.25">
      <c r="B9607" s="40"/>
      <c r="C9607" s="40"/>
      <c r="E9607" s="80"/>
    </row>
    <row r="9608" spans="2:5" x14ac:dyDescent="0.25">
      <c r="B9608" s="40"/>
      <c r="C9608" s="40"/>
      <c r="E9608" s="80"/>
    </row>
    <row r="9609" spans="2:5" x14ac:dyDescent="0.25">
      <c r="B9609" s="40"/>
      <c r="C9609" s="40"/>
      <c r="E9609" s="80"/>
    </row>
    <row r="9610" spans="2:5" x14ac:dyDescent="0.25">
      <c r="B9610" s="40"/>
      <c r="C9610" s="40"/>
      <c r="E9610" s="80"/>
    </row>
    <row r="9611" spans="2:5" x14ac:dyDescent="0.25">
      <c r="B9611" s="40"/>
      <c r="C9611" s="40"/>
      <c r="E9611" s="80"/>
    </row>
    <row r="9612" spans="2:5" x14ac:dyDescent="0.25">
      <c r="B9612" s="40"/>
      <c r="C9612" s="40"/>
      <c r="E9612" s="80"/>
    </row>
    <row r="9613" spans="2:5" x14ac:dyDescent="0.25">
      <c r="B9613" s="40"/>
      <c r="C9613" s="40"/>
      <c r="E9613" s="80"/>
    </row>
    <row r="9614" spans="2:5" x14ac:dyDescent="0.25">
      <c r="B9614" s="40"/>
      <c r="C9614" s="40"/>
      <c r="E9614" s="80"/>
    </row>
    <row r="9615" spans="2:5" x14ac:dyDescent="0.25">
      <c r="B9615" s="40"/>
      <c r="C9615" s="40"/>
      <c r="E9615" s="80"/>
    </row>
    <row r="9616" spans="2:5" x14ac:dyDescent="0.25">
      <c r="B9616" s="40"/>
      <c r="C9616" s="40"/>
      <c r="E9616" s="80"/>
    </row>
    <row r="9617" spans="2:5" x14ac:dyDescent="0.25">
      <c r="B9617" s="40"/>
      <c r="C9617" s="40"/>
      <c r="E9617" s="80"/>
    </row>
    <row r="9618" spans="2:5" x14ac:dyDescent="0.25">
      <c r="B9618" s="40"/>
      <c r="C9618" s="40"/>
      <c r="E9618" s="80"/>
    </row>
    <row r="9619" spans="2:5" x14ac:dyDescent="0.25">
      <c r="B9619" s="40"/>
      <c r="C9619" s="40"/>
      <c r="E9619" s="80"/>
    </row>
    <row r="9620" spans="2:5" x14ac:dyDescent="0.25">
      <c r="B9620" s="40"/>
      <c r="C9620" s="40"/>
      <c r="E9620" s="80"/>
    </row>
    <row r="9621" spans="2:5" x14ac:dyDescent="0.25">
      <c r="B9621" s="40"/>
      <c r="C9621" s="40"/>
      <c r="E9621" s="80"/>
    </row>
    <row r="9622" spans="2:5" x14ac:dyDescent="0.25">
      <c r="B9622" s="40"/>
      <c r="C9622" s="40"/>
      <c r="E9622" s="80"/>
    </row>
    <row r="9623" spans="2:5" x14ac:dyDescent="0.25">
      <c r="B9623" s="40"/>
      <c r="C9623" s="40"/>
      <c r="E9623" s="80"/>
    </row>
    <row r="9624" spans="2:5" x14ac:dyDescent="0.25">
      <c r="B9624" s="40"/>
      <c r="C9624" s="40"/>
      <c r="E9624" s="80"/>
    </row>
    <row r="9625" spans="2:5" x14ac:dyDescent="0.25">
      <c r="B9625" s="40"/>
      <c r="C9625" s="40"/>
      <c r="E9625" s="80"/>
    </row>
    <row r="9626" spans="2:5" x14ac:dyDescent="0.25">
      <c r="B9626" s="40"/>
      <c r="C9626" s="40"/>
      <c r="E9626" s="80"/>
    </row>
    <row r="9627" spans="2:5" x14ac:dyDescent="0.25">
      <c r="B9627" s="40"/>
      <c r="C9627" s="40"/>
      <c r="E9627" s="80"/>
    </row>
    <row r="9628" spans="2:5" x14ac:dyDescent="0.25">
      <c r="B9628" s="40"/>
      <c r="C9628" s="40"/>
      <c r="E9628" s="80"/>
    </row>
    <row r="9629" spans="2:5" x14ac:dyDescent="0.25">
      <c r="B9629" s="40"/>
      <c r="C9629" s="40"/>
      <c r="E9629" s="80"/>
    </row>
    <row r="9630" spans="2:5" x14ac:dyDescent="0.25">
      <c r="B9630" s="40"/>
      <c r="C9630" s="40"/>
      <c r="E9630" s="80"/>
    </row>
    <row r="9631" spans="2:5" x14ac:dyDescent="0.25">
      <c r="B9631" s="40"/>
      <c r="C9631" s="40"/>
      <c r="E9631" s="80"/>
    </row>
    <row r="9632" spans="2:5" x14ac:dyDescent="0.25">
      <c r="B9632" s="40"/>
      <c r="C9632" s="40"/>
      <c r="E9632" s="80"/>
    </row>
    <row r="9633" spans="2:5" x14ac:dyDescent="0.25">
      <c r="B9633" s="40"/>
      <c r="C9633" s="40"/>
      <c r="E9633" s="80"/>
    </row>
    <row r="9634" spans="2:5" x14ac:dyDescent="0.25">
      <c r="B9634" s="40"/>
      <c r="C9634" s="40"/>
      <c r="E9634" s="80"/>
    </row>
    <row r="9635" spans="2:5" x14ac:dyDescent="0.25">
      <c r="B9635" s="40"/>
      <c r="C9635" s="40"/>
      <c r="E9635" s="80"/>
    </row>
    <row r="9636" spans="2:5" x14ac:dyDescent="0.25">
      <c r="B9636" s="40"/>
      <c r="C9636" s="40"/>
      <c r="E9636" s="80"/>
    </row>
    <row r="9637" spans="2:5" x14ac:dyDescent="0.25">
      <c r="B9637" s="40"/>
      <c r="C9637" s="40"/>
      <c r="E9637" s="80"/>
    </row>
    <row r="9638" spans="2:5" x14ac:dyDescent="0.25">
      <c r="B9638" s="40"/>
      <c r="C9638" s="40"/>
      <c r="E9638" s="80"/>
    </row>
    <row r="9639" spans="2:5" x14ac:dyDescent="0.25">
      <c r="B9639" s="40"/>
      <c r="C9639" s="40"/>
      <c r="E9639" s="80"/>
    </row>
    <row r="9640" spans="2:5" x14ac:dyDescent="0.25">
      <c r="B9640" s="40"/>
      <c r="C9640" s="40"/>
      <c r="E9640" s="80"/>
    </row>
    <row r="9641" spans="2:5" x14ac:dyDescent="0.25">
      <c r="B9641" s="40"/>
      <c r="C9641" s="40"/>
      <c r="E9641" s="80"/>
    </row>
    <row r="9642" spans="2:5" x14ac:dyDescent="0.25">
      <c r="B9642" s="40"/>
      <c r="C9642" s="40"/>
      <c r="E9642" s="80"/>
    </row>
    <row r="9643" spans="2:5" x14ac:dyDescent="0.25">
      <c r="B9643" s="40"/>
      <c r="C9643" s="40"/>
      <c r="E9643" s="80"/>
    </row>
    <row r="9644" spans="2:5" x14ac:dyDescent="0.25">
      <c r="B9644" s="40"/>
      <c r="C9644" s="40"/>
      <c r="E9644" s="80"/>
    </row>
    <row r="9645" spans="2:5" x14ac:dyDescent="0.25">
      <c r="B9645" s="40"/>
      <c r="C9645" s="40"/>
      <c r="E9645" s="80"/>
    </row>
    <row r="9646" spans="2:5" x14ac:dyDescent="0.25">
      <c r="B9646" s="40"/>
      <c r="C9646" s="40"/>
      <c r="E9646" s="80"/>
    </row>
    <row r="9647" spans="2:5" x14ac:dyDescent="0.25">
      <c r="B9647" s="40"/>
      <c r="C9647" s="40"/>
      <c r="E9647" s="80"/>
    </row>
    <row r="9648" spans="2:5" x14ac:dyDescent="0.25">
      <c r="B9648" s="40"/>
      <c r="C9648" s="40"/>
      <c r="E9648" s="80"/>
    </row>
    <row r="9649" spans="2:5" x14ac:dyDescent="0.25">
      <c r="B9649" s="40"/>
      <c r="C9649" s="40"/>
      <c r="E9649" s="80"/>
    </row>
    <row r="9650" spans="2:5" x14ac:dyDescent="0.25">
      <c r="B9650" s="40"/>
      <c r="C9650" s="40"/>
      <c r="E9650" s="80"/>
    </row>
    <row r="9651" spans="2:5" x14ac:dyDescent="0.25">
      <c r="B9651" s="40"/>
      <c r="C9651" s="40"/>
      <c r="E9651" s="80"/>
    </row>
    <row r="9652" spans="2:5" x14ac:dyDescent="0.25">
      <c r="B9652" s="40"/>
      <c r="C9652" s="40"/>
      <c r="E9652" s="80"/>
    </row>
    <row r="9653" spans="2:5" x14ac:dyDescent="0.25">
      <c r="B9653" s="40"/>
      <c r="C9653" s="40"/>
      <c r="E9653" s="80"/>
    </row>
    <row r="9654" spans="2:5" x14ac:dyDescent="0.25">
      <c r="B9654" s="40"/>
      <c r="C9654" s="40"/>
      <c r="E9654" s="80"/>
    </row>
    <row r="9655" spans="2:5" x14ac:dyDescent="0.25">
      <c r="B9655" s="40"/>
      <c r="C9655" s="40"/>
      <c r="E9655" s="80"/>
    </row>
    <row r="9656" spans="2:5" x14ac:dyDescent="0.25">
      <c r="B9656" s="40"/>
      <c r="C9656" s="40"/>
      <c r="E9656" s="80"/>
    </row>
    <row r="9657" spans="2:5" x14ac:dyDescent="0.25">
      <c r="B9657" s="40"/>
      <c r="C9657" s="40"/>
      <c r="E9657" s="80"/>
    </row>
    <row r="9658" spans="2:5" x14ac:dyDescent="0.25">
      <c r="B9658" s="40"/>
      <c r="C9658" s="40"/>
      <c r="E9658" s="80"/>
    </row>
    <row r="9659" spans="2:5" x14ac:dyDescent="0.25">
      <c r="B9659" s="40"/>
      <c r="C9659" s="40"/>
      <c r="E9659" s="80"/>
    </row>
    <row r="9660" spans="2:5" x14ac:dyDescent="0.25">
      <c r="B9660" s="40"/>
      <c r="C9660" s="40"/>
      <c r="E9660" s="80"/>
    </row>
    <row r="9661" spans="2:5" x14ac:dyDescent="0.25">
      <c r="B9661" s="40"/>
      <c r="C9661" s="40"/>
      <c r="E9661" s="80"/>
    </row>
    <row r="9662" spans="2:5" x14ac:dyDescent="0.25">
      <c r="B9662" s="40"/>
      <c r="C9662" s="40"/>
      <c r="E9662" s="80"/>
    </row>
    <row r="9663" spans="2:5" x14ac:dyDescent="0.25">
      <c r="B9663" s="40"/>
      <c r="C9663" s="40"/>
      <c r="E9663" s="80"/>
    </row>
    <row r="9664" spans="2:5" x14ac:dyDescent="0.25">
      <c r="B9664" s="40"/>
      <c r="C9664" s="40"/>
      <c r="E9664" s="80"/>
    </row>
    <row r="9665" spans="2:5" x14ac:dyDescent="0.25">
      <c r="B9665" s="40"/>
      <c r="C9665" s="40"/>
      <c r="E9665" s="80"/>
    </row>
    <row r="9666" spans="2:5" x14ac:dyDescent="0.25">
      <c r="B9666" s="40"/>
      <c r="C9666" s="40"/>
      <c r="E9666" s="80"/>
    </row>
    <row r="9667" spans="2:5" x14ac:dyDescent="0.25">
      <c r="B9667" s="40"/>
      <c r="C9667" s="40"/>
      <c r="E9667" s="80"/>
    </row>
    <row r="9668" spans="2:5" x14ac:dyDescent="0.25">
      <c r="B9668" s="40"/>
      <c r="C9668" s="40"/>
      <c r="E9668" s="80"/>
    </row>
    <row r="9669" spans="2:5" x14ac:dyDescent="0.25">
      <c r="B9669" s="40"/>
      <c r="C9669" s="40"/>
      <c r="E9669" s="80"/>
    </row>
    <row r="9670" spans="2:5" x14ac:dyDescent="0.25">
      <c r="B9670" s="40"/>
      <c r="C9670" s="40"/>
      <c r="E9670" s="80"/>
    </row>
    <row r="9671" spans="2:5" x14ac:dyDescent="0.25">
      <c r="B9671" s="40"/>
      <c r="C9671" s="40"/>
      <c r="E9671" s="80"/>
    </row>
    <row r="9672" spans="2:5" x14ac:dyDescent="0.25">
      <c r="B9672" s="40"/>
      <c r="C9672" s="40"/>
      <c r="E9672" s="80"/>
    </row>
    <row r="9673" spans="2:5" x14ac:dyDescent="0.25">
      <c r="B9673" s="40"/>
      <c r="C9673" s="40"/>
      <c r="E9673" s="80"/>
    </row>
    <row r="9674" spans="2:5" x14ac:dyDescent="0.25">
      <c r="B9674" s="40"/>
      <c r="C9674" s="40"/>
      <c r="E9674" s="80"/>
    </row>
    <row r="9675" spans="2:5" x14ac:dyDescent="0.25">
      <c r="B9675" s="40"/>
      <c r="C9675" s="40"/>
      <c r="E9675" s="80"/>
    </row>
    <row r="9676" spans="2:5" x14ac:dyDescent="0.25">
      <c r="B9676" s="40"/>
      <c r="C9676" s="40"/>
      <c r="E9676" s="80"/>
    </row>
    <row r="9677" spans="2:5" x14ac:dyDescent="0.25">
      <c r="B9677" s="40"/>
      <c r="C9677" s="40"/>
      <c r="E9677" s="80"/>
    </row>
    <row r="9678" spans="2:5" x14ac:dyDescent="0.25">
      <c r="B9678" s="40"/>
      <c r="C9678" s="40"/>
      <c r="E9678" s="80"/>
    </row>
    <row r="9679" spans="2:5" x14ac:dyDescent="0.25">
      <c r="B9679" s="40"/>
      <c r="C9679" s="40"/>
      <c r="E9679" s="80"/>
    </row>
    <row r="9680" spans="2:5" x14ac:dyDescent="0.25">
      <c r="B9680" s="40"/>
      <c r="C9680" s="40"/>
      <c r="E9680" s="80"/>
    </row>
    <row r="9681" spans="2:5" x14ac:dyDescent="0.25">
      <c r="B9681" s="40"/>
      <c r="C9681" s="40"/>
      <c r="E9681" s="80"/>
    </row>
    <row r="9682" spans="2:5" x14ac:dyDescent="0.25">
      <c r="B9682" s="40"/>
      <c r="C9682" s="40"/>
      <c r="E9682" s="80"/>
    </row>
    <row r="9683" spans="2:5" x14ac:dyDescent="0.25">
      <c r="B9683" s="40"/>
      <c r="C9683" s="40"/>
      <c r="E9683" s="80"/>
    </row>
    <row r="9684" spans="2:5" x14ac:dyDescent="0.25">
      <c r="B9684" s="40"/>
      <c r="C9684" s="40"/>
      <c r="E9684" s="80"/>
    </row>
    <row r="9685" spans="2:5" x14ac:dyDescent="0.25">
      <c r="B9685" s="40"/>
      <c r="C9685" s="40"/>
      <c r="E9685" s="80"/>
    </row>
    <row r="9686" spans="2:5" x14ac:dyDescent="0.25">
      <c r="B9686" s="40"/>
      <c r="C9686" s="40"/>
      <c r="E9686" s="80"/>
    </row>
    <row r="9687" spans="2:5" x14ac:dyDescent="0.25">
      <c r="B9687" s="40"/>
      <c r="C9687" s="40"/>
      <c r="E9687" s="80"/>
    </row>
    <row r="9688" spans="2:5" x14ac:dyDescent="0.25">
      <c r="B9688" s="40"/>
      <c r="C9688" s="40"/>
      <c r="E9688" s="80"/>
    </row>
    <row r="9689" spans="2:5" x14ac:dyDescent="0.25">
      <c r="B9689" s="40"/>
      <c r="C9689" s="40"/>
      <c r="E9689" s="80"/>
    </row>
    <row r="9690" spans="2:5" x14ac:dyDescent="0.25">
      <c r="B9690" s="40"/>
      <c r="C9690" s="40"/>
      <c r="E9690" s="80"/>
    </row>
    <row r="9691" spans="2:5" x14ac:dyDescent="0.25">
      <c r="B9691" s="40"/>
      <c r="C9691" s="40"/>
      <c r="E9691" s="80"/>
    </row>
    <row r="9692" spans="2:5" x14ac:dyDescent="0.25">
      <c r="B9692" s="40"/>
      <c r="C9692" s="40"/>
      <c r="E9692" s="80"/>
    </row>
    <row r="9693" spans="2:5" x14ac:dyDescent="0.25">
      <c r="B9693" s="40"/>
      <c r="C9693" s="40"/>
      <c r="E9693" s="80"/>
    </row>
    <row r="9694" spans="2:5" x14ac:dyDescent="0.25">
      <c r="B9694" s="40"/>
      <c r="C9694" s="40"/>
      <c r="E9694" s="80"/>
    </row>
    <row r="9695" spans="2:5" x14ac:dyDescent="0.25">
      <c r="B9695" s="40"/>
      <c r="C9695" s="40"/>
      <c r="E9695" s="80"/>
    </row>
    <row r="9696" spans="2:5" x14ac:dyDescent="0.25">
      <c r="B9696" s="40"/>
      <c r="C9696" s="40"/>
      <c r="E9696" s="80"/>
    </row>
    <row r="9697" spans="2:5" x14ac:dyDescent="0.25">
      <c r="B9697" s="40"/>
      <c r="C9697" s="40"/>
      <c r="E9697" s="80"/>
    </row>
    <row r="9698" spans="2:5" x14ac:dyDescent="0.25">
      <c r="B9698" s="40"/>
      <c r="C9698" s="40"/>
      <c r="E9698" s="80"/>
    </row>
    <row r="9699" spans="2:5" x14ac:dyDescent="0.25">
      <c r="B9699" s="40"/>
      <c r="C9699" s="40"/>
      <c r="E9699" s="80"/>
    </row>
    <row r="9700" spans="2:5" x14ac:dyDescent="0.25">
      <c r="B9700" s="40"/>
      <c r="C9700" s="40"/>
      <c r="E9700" s="80"/>
    </row>
    <row r="9701" spans="2:5" x14ac:dyDescent="0.25">
      <c r="B9701" s="40"/>
      <c r="C9701" s="40"/>
      <c r="E9701" s="80"/>
    </row>
    <row r="9702" spans="2:5" x14ac:dyDescent="0.25">
      <c r="B9702" s="40"/>
      <c r="C9702" s="40"/>
      <c r="E9702" s="80"/>
    </row>
    <row r="9703" spans="2:5" x14ac:dyDescent="0.25">
      <c r="B9703" s="40"/>
      <c r="C9703" s="40"/>
      <c r="E9703" s="80"/>
    </row>
    <row r="9704" spans="2:5" x14ac:dyDescent="0.25">
      <c r="B9704" s="40"/>
      <c r="C9704" s="40"/>
      <c r="E9704" s="80"/>
    </row>
    <row r="9705" spans="2:5" x14ac:dyDescent="0.25">
      <c r="B9705" s="40"/>
      <c r="C9705" s="40"/>
      <c r="E9705" s="80"/>
    </row>
    <row r="9706" spans="2:5" x14ac:dyDescent="0.25">
      <c r="B9706" s="40"/>
      <c r="C9706" s="40"/>
      <c r="E9706" s="80"/>
    </row>
    <row r="9707" spans="2:5" x14ac:dyDescent="0.25">
      <c r="B9707" s="40"/>
      <c r="C9707" s="40"/>
      <c r="E9707" s="80"/>
    </row>
    <row r="9708" spans="2:5" x14ac:dyDescent="0.25">
      <c r="B9708" s="40"/>
      <c r="C9708" s="40"/>
      <c r="E9708" s="80"/>
    </row>
    <row r="9709" spans="2:5" x14ac:dyDescent="0.25">
      <c r="B9709" s="40"/>
      <c r="C9709" s="40"/>
      <c r="E9709" s="80"/>
    </row>
    <row r="9710" spans="2:5" x14ac:dyDescent="0.25">
      <c r="B9710" s="40"/>
      <c r="C9710" s="40"/>
      <c r="E9710" s="80"/>
    </row>
    <row r="9711" spans="2:5" x14ac:dyDescent="0.25">
      <c r="B9711" s="40"/>
      <c r="C9711" s="40"/>
      <c r="E9711" s="80"/>
    </row>
    <row r="9712" spans="2:5" x14ac:dyDescent="0.25">
      <c r="B9712" s="40"/>
      <c r="C9712" s="40"/>
      <c r="E9712" s="80"/>
    </row>
    <row r="9713" spans="2:5" x14ac:dyDescent="0.25">
      <c r="B9713" s="40"/>
      <c r="C9713" s="40"/>
      <c r="E9713" s="80"/>
    </row>
    <row r="9714" spans="2:5" x14ac:dyDescent="0.25">
      <c r="B9714" s="40"/>
      <c r="C9714" s="40"/>
      <c r="E9714" s="80"/>
    </row>
    <row r="9715" spans="2:5" x14ac:dyDescent="0.25">
      <c r="B9715" s="40"/>
      <c r="C9715" s="40"/>
      <c r="E9715" s="80"/>
    </row>
    <row r="9716" spans="2:5" x14ac:dyDescent="0.25">
      <c r="B9716" s="40"/>
      <c r="C9716" s="40"/>
      <c r="E9716" s="80"/>
    </row>
    <row r="9717" spans="2:5" x14ac:dyDescent="0.25">
      <c r="B9717" s="40"/>
      <c r="C9717" s="40"/>
      <c r="E9717" s="80"/>
    </row>
    <row r="9718" spans="2:5" x14ac:dyDescent="0.25">
      <c r="B9718" s="40"/>
      <c r="C9718" s="40"/>
      <c r="E9718" s="80"/>
    </row>
    <row r="9719" spans="2:5" x14ac:dyDescent="0.25">
      <c r="B9719" s="40"/>
      <c r="C9719" s="40"/>
      <c r="E9719" s="80"/>
    </row>
    <row r="9720" spans="2:5" x14ac:dyDescent="0.25">
      <c r="B9720" s="40"/>
      <c r="C9720" s="40"/>
      <c r="E9720" s="80"/>
    </row>
    <row r="9721" spans="2:5" x14ac:dyDescent="0.25">
      <c r="B9721" s="40"/>
      <c r="C9721" s="40"/>
      <c r="E9721" s="80"/>
    </row>
    <row r="9722" spans="2:5" x14ac:dyDescent="0.25">
      <c r="B9722" s="40"/>
      <c r="C9722" s="40"/>
      <c r="E9722" s="80"/>
    </row>
    <row r="9723" spans="2:5" x14ac:dyDescent="0.25">
      <c r="B9723" s="40"/>
      <c r="C9723" s="40"/>
      <c r="E9723" s="80"/>
    </row>
    <row r="9724" spans="2:5" x14ac:dyDescent="0.25">
      <c r="B9724" s="40"/>
      <c r="C9724" s="40"/>
      <c r="E9724" s="80"/>
    </row>
    <row r="9725" spans="2:5" x14ac:dyDescent="0.25">
      <c r="B9725" s="40"/>
      <c r="C9725" s="40"/>
      <c r="E9725" s="80"/>
    </row>
    <row r="9726" spans="2:5" x14ac:dyDescent="0.25">
      <c r="B9726" s="40"/>
      <c r="C9726" s="40"/>
      <c r="E9726" s="80"/>
    </row>
    <row r="9727" spans="2:5" x14ac:dyDescent="0.25">
      <c r="B9727" s="40"/>
      <c r="C9727" s="40"/>
      <c r="E9727" s="80"/>
    </row>
    <row r="9728" spans="2:5" x14ac:dyDescent="0.25">
      <c r="B9728" s="40"/>
      <c r="C9728" s="40"/>
      <c r="E9728" s="80"/>
    </row>
    <row r="9729" spans="2:5" x14ac:dyDescent="0.25">
      <c r="B9729" s="40"/>
      <c r="C9729" s="40"/>
      <c r="E9729" s="80"/>
    </row>
    <row r="9730" spans="2:5" x14ac:dyDescent="0.25">
      <c r="B9730" s="40"/>
      <c r="C9730" s="40"/>
      <c r="E9730" s="80"/>
    </row>
    <row r="9731" spans="2:5" x14ac:dyDescent="0.25">
      <c r="B9731" s="40"/>
      <c r="C9731" s="40"/>
      <c r="E9731" s="80"/>
    </row>
    <row r="9732" spans="2:5" x14ac:dyDescent="0.25">
      <c r="B9732" s="40"/>
      <c r="C9732" s="40"/>
      <c r="E9732" s="80"/>
    </row>
    <row r="9733" spans="2:5" x14ac:dyDescent="0.25">
      <c r="B9733" s="40"/>
      <c r="C9733" s="40"/>
      <c r="E9733" s="80"/>
    </row>
    <row r="9734" spans="2:5" x14ac:dyDescent="0.25">
      <c r="B9734" s="40"/>
      <c r="C9734" s="40"/>
      <c r="E9734" s="80"/>
    </row>
    <row r="9735" spans="2:5" x14ac:dyDescent="0.25">
      <c r="B9735" s="40"/>
      <c r="C9735" s="40"/>
      <c r="E9735" s="80"/>
    </row>
    <row r="9736" spans="2:5" x14ac:dyDescent="0.25">
      <c r="B9736" s="40"/>
      <c r="C9736" s="40"/>
      <c r="E9736" s="80"/>
    </row>
    <row r="9737" spans="2:5" x14ac:dyDescent="0.25">
      <c r="B9737" s="40"/>
      <c r="C9737" s="40"/>
      <c r="E9737" s="80"/>
    </row>
    <row r="9738" spans="2:5" x14ac:dyDescent="0.25">
      <c r="B9738" s="40"/>
      <c r="C9738" s="40"/>
      <c r="E9738" s="80"/>
    </row>
    <row r="9739" spans="2:5" x14ac:dyDescent="0.25">
      <c r="B9739" s="40"/>
      <c r="C9739" s="40"/>
      <c r="E9739" s="80"/>
    </row>
    <row r="9740" spans="2:5" x14ac:dyDescent="0.25">
      <c r="B9740" s="40"/>
      <c r="C9740" s="40"/>
      <c r="E9740" s="80"/>
    </row>
    <row r="9741" spans="2:5" x14ac:dyDescent="0.25">
      <c r="B9741" s="40"/>
      <c r="C9741" s="40"/>
      <c r="E9741" s="80"/>
    </row>
    <row r="9742" spans="2:5" x14ac:dyDescent="0.25">
      <c r="B9742" s="40"/>
      <c r="C9742" s="40"/>
      <c r="E9742" s="80"/>
    </row>
    <row r="9743" spans="2:5" x14ac:dyDescent="0.25">
      <c r="B9743" s="40"/>
      <c r="C9743" s="40"/>
      <c r="E9743" s="80"/>
    </row>
    <row r="9744" spans="2:5" x14ac:dyDescent="0.25">
      <c r="B9744" s="40"/>
      <c r="C9744" s="40"/>
      <c r="E9744" s="80"/>
    </row>
    <row r="9745" spans="2:5" x14ac:dyDescent="0.25">
      <c r="B9745" s="40"/>
      <c r="C9745" s="40"/>
      <c r="E9745" s="80"/>
    </row>
    <row r="9746" spans="2:5" x14ac:dyDescent="0.25">
      <c r="B9746" s="40"/>
      <c r="C9746" s="40"/>
      <c r="E9746" s="80"/>
    </row>
    <row r="9747" spans="2:5" x14ac:dyDescent="0.25">
      <c r="B9747" s="40"/>
      <c r="C9747" s="40"/>
      <c r="E9747" s="80"/>
    </row>
    <row r="9748" spans="2:5" x14ac:dyDescent="0.25">
      <c r="B9748" s="40"/>
      <c r="C9748" s="40"/>
      <c r="E9748" s="80"/>
    </row>
    <row r="9749" spans="2:5" x14ac:dyDescent="0.25">
      <c r="B9749" s="40"/>
      <c r="C9749" s="40"/>
      <c r="E9749" s="80"/>
    </row>
    <row r="9750" spans="2:5" x14ac:dyDescent="0.25">
      <c r="B9750" s="40"/>
      <c r="C9750" s="40"/>
      <c r="E9750" s="80"/>
    </row>
    <row r="9751" spans="2:5" x14ac:dyDescent="0.25">
      <c r="B9751" s="40"/>
      <c r="C9751" s="40"/>
      <c r="E9751" s="80"/>
    </row>
    <row r="9752" spans="2:5" x14ac:dyDescent="0.25">
      <c r="B9752" s="40"/>
      <c r="C9752" s="40"/>
      <c r="E9752" s="80"/>
    </row>
    <row r="9753" spans="2:5" x14ac:dyDescent="0.25">
      <c r="B9753" s="40"/>
      <c r="C9753" s="40"/>
      <c r="E9753" s="80"/>
    </row>
    <row r="9754" spans="2:5" x14ac:dyDescent="0.25">
      <c r="B9754" s="40"/>
      <c r="C9754" s="40"/>
      <c r="E9754" s="80"/>
    </row>
    <row r="9755" spans="2:5" x14ac:dyDescent="0.25">
      <c r="B9755" s="40"/>
      <c r="C9755" s="40"/>
      <c r="E9755" s="80"/>
    </row>
    <row r="9756" spans="2:5" x14ac:dyDescent="0.25">
      <c r="B9756" s="40"/>
      <c r="C9756" s="40"/>
      <c r="E9756" s="80"/>
    </row>
    <row r="9757" spans="2:5" x14ac:dyDescent="0.25">
      <c r="B9757" s="40"/>
      <c r="C9757" s="40"/>
      <c r="E9757" s="80"/>
    </row>
    <row r="9758" spans="2:5" x14ac:dyDescent="0.25">
      <c r="B9758" s="40"/>
      <c r="C9758" s="40"/>
      <c r="E9758" s="80"/>
    </row>
    <row r="9759" spans="2:5" x14ac:dyDescent="0.25">
      <c r="B9759" s="40"/>
      <c r="C9759" s="40"/>
      <c r="E9759" s="80"/>
    </row>
    <row r="9760" spans="2:5" x14ac:dyDescent="0.25">
      <c r="B9760" s="40"/>
      <c r="C9760" s="40"/>
      <c r="E9760" s="80"/>
    </row>
    <row r="9761" spans="2:5" x14ac:dyDescent="0.25">
      <c r="B9761" s="40"/>
      <c r="C9761" s="40"/>
      <c r="E9761" s="80"/>
    </row>
    <row r="9762" spans="2:5" x14ac:dyDescent="0.25">
      <c r="B9762" s="40"/>
      <c r="C9762" s="40"/>
      <c r="E9762" s="80"/>
    </row>
    <row r="9763" spans="2:5" x14ac:dyDescent="0.25">
      <c r="B9763" s="40"/>
      <c r="C9763" s="40"/>
      <c r="E9763" s="80"/>
    </row>
    <row r="9764" spans="2:5" x14ac:dyDescent="0.25">
      <c r="B9764" s="40"/>
      <c r="C9764" s="40"/>
      <c r="E9764" s="80"/>
    </row>
    <row r="9765" spans="2:5" x14ac:dyDescent="0.25">
      <c r="B9765" s="40"/>
      <c r="C9765" s="40"/>
      <c r="E9765" s="80"/>
    </row>
    <row r="9766" spans="2:5" x14ac:dyDescent="0.25">
      <c r="B9766" s="40"/>
      <c r="C9766" s="40"/>
      <c r="E9766" s="80"/>
    </row>
    <row r="9767" spans="2:5" x14ac:dyDescent="0.25">
      <c r="B9767" s="40"/>
      <c r="C9767" s="40"/>
      <c r="E9767" s="80"/>
    </row>
    <row r="9768" spans="2:5" x14ac:dyDescent="0.25">
      <c r="B9768" s="40"/>
      <c r="C9768" s="40"/>
      <c r="E9768" s="80"/>
    </row>
    <row r="9769" spans="2:5" x14ac:dyDescent="0.25">
      <c r="B9769" s="40"/>
      <c r="C9769" s="40"/>
      <c r="E9769" s="80"/>
    </row>
    <row r="9770" spans="2:5" x14ac:dyDescent="0.25">
      <c r="B9770" s="40"/>
      <c r="C9770" s="40"/>
      <c r="E9770" s="80"/>
    </row>
    <row r="9771" spans="2:5" x14ac:dyDescent="0.25">
      <c r="B9771" s="40"/>
      <c r="C9771" s="40"/>
      <c r="E9771" s="80"/>
    </row>
    <row r="9772" spans="2:5" x14ac:dyDescent="0.25">
      <c r="B9772" s="40"/>
      <c r="C9772" s="40"/>
      <c r="E9772" s="80"/>
    </row>
    <row r="9773" spans="2:5" x14ac:dyDescent="0.25">
      <c r="B9773" s="40"/>
      <c r="C9773" s="40"/>
      <c r="E9773" s="80"/>
    </row>
    <row r="9774" spans="2:5" x14ac:dyDescent="0.25">
      <c r="B9774" s="40"/>
      <c r="C9774" s="40"/>
      <c r="E9774" s="80"/>
    </row>
    <row r="9775" spans="2:5" x14ac:dyDescent="0.25">
      <c r="B9775" s="40"/>
      <c r="C9775" s="40"/>
      <c r="E9775" s="80"/>
    </row>
    <row r="9776" spans="2:5" x14ac:dyDescent="0.25">
      <c r="B9776" s="40"/>
      <c r="C9776" s="40"/>
      <c r="E9776" s="80"/>
    </row>
    <row r="9777" spans="2:5" x14ac:dyDescent="0.25">
      <c r="B9777" s="40"/>
      <c r="C9777" s="40"/>
      <c r="E9777" s="80"/>
    </row>
    <row r="9778" spans="2:5" x14ac:dyDescent="0.25">
      <c r="B9778" s="40"/>
      <c r="C9778" s="40"/>
      <c r="E9778" s="80"/>
    </row>
    <row r="9779" spans="2:5" x14ac:dyDescent="0.25">
      <c r="B9779" s="40"/>
      <c r="C9779" s="40"/>
      <c r="E9779" s="80"/>
    </row>
    <row r="9780" spans="2:5" x14ac:dyDescent="0.25">
      <c r="B9780" s="40"/>
      <c r="C9780" s="40"/>
      <c r="E9780" s="80"/>
    </row>
    <row r="9781" spans="2:5" x14ac:dyDescent="0.25">
      <c r="B9781" s="40"/>
      <c r="C9781" s="40"/>
      <c r="E9781" s="80"/>
    </row>
    <row r="9782" spans="2:5" x14ac:dyDescent="0.25">
      <c r="B9782" s="40"/>
      <c r="C9782" s="40"/>
      <c r="E9782" s="80"/>
    </row>
    <row r="9783" spans="2:5" x14ac:dyDescent="0.25">
      <c r="B9783" s="40"/>
      <c r="C9783" s="40"/>
      <c r="E9783" s="80"/>
    </row>
    <row r="9784" spans="2:5" x14ac:dyDescent="0.25">
      <c r="B9784" s="40"/>
      <c r="C9784" s="40"/>
      <c r="E9784" s="80"/>
    </row>
    <row r="9785" spans="2:5" x14ac:dyDescent="0.25">
      <c r="B9785" s="40"/>
      <c r="C9785" s="40"/>
      <c r="E9785" s="80"/>
    </row>
    <row r="9786" spans="2:5" x14ac:dyDescent="0.25">
      <c r="B9786" s="40"/>
      <c r="C9786" s="40"/>
      <c r="E9786" s="80"/>
    </row>
    <row r="9787" spans="2:5" x14ac:dyDescent="0.25">
      <c r="B9787" s="40"/>
      <c r="C9787" s="40"/>
      <c r="E9787" s="80"/>
    </row>
    <row r="9788" spans="2:5" x14ac:dyDescent="0.25">
      <c r="B9788" s="40"/>
      <c r="C9788" s="40"/>
      <c r="E9788" s="80"/>
    </row>
    <row r="9789" spans="2:5" x14ac:dyDescent="0.25">
      <c r="B9789" s="40"/>
      <c r="C9789" s="40"/>
      <c r="E9789" s="80"/>
    </row>
    <row r="9790" spans="2:5" x14ac:dyDescent="0.25">
      <c r="B9790" s="40"/>
      <c r="C9790" s="40"/>
      <c r="E9790" s="80"/>
    </row>
    <row r="9791" spans="2:5" x14ac:dyDescent="0.25">
      <c r="B9791" s="40"/>
      <c r="C9791" s="40"/>
      <c r="E9791" s="80"/>
    </row>
    <row r="9792" spans="2:5" x14ac:dyDescent="0.25">
      <c r="B9792" s="40"/>
      <c r="C9792" s="40"/>
      <c r="E9792" s="80"/>
    </row>
    <row r="9793" spans="2:5" x14ac:dyDescent="0.25">
      <c r="B9793" s="40"/>
      <c r="C9793" s="40"/>
      <c r="E9793" s="80"/>
    </row>
    <row r="9794" spans="2:5" x14ac:dyDescent="0.25">
      <c r="B9794" s="40"/>
      <c r="C9794" s="40"/>
      <c r="E9794" s="80"/>
    </row>
    <row r="9795" spans="2:5" x14ac:dyDescent="0.25">
      <c r="B9795" s="40"/>
      <c r="C9795" s="40"/>
      <c r="E9795" s="80"/>
    </row>
    <row r="9796" spans="2:5" x14ac:dyDescent="0.25">
      <c r="B9796" s="40"/>
      <c r="C9796" s="40"/>
      <c r="E9796" s="80"/>
    </row>
    <row r="9797" spans="2:5" x14ac:dyDescent="0.25">
      <c r="B9797" s="40"/>
      <c r="C9797" s="40"/>
      <c r="E9797" s="80"/>
    </row>
    <row r="9798" spans="2:5" x14ac:dyDescent="0.25">
      <c r="B9798" s="40"/>
      <c r="C9798" s="40"/>
      <c r="E9798" s="80"/>
    </row>
    <row r="9799" spans="2:5" x14ac:dyDescent="0.25">
      <c r="B9799" s="40"/>
      <c r="C9799" s="40"/>
      <c r="E9799" s="80"/>
    </row>
    <row r="9800" spans="2:5" x14ac:dyDescent="0.25">
      <c r="B9800" s="40"/>
      <c r="C9800" s="40"/>
      <c r="E9800" s="80"/>
    </row>
    <row r="9801" spans="2:5" x14ac:dyDescent="0.25">
      <c r="B9801" s="40"/>
      <c r="C9801" s="40"/>
      <c r="E9801" s="80"/>
    </row>
    <row r="9802" spans="2:5" x14ac:dyDescent="0.25">
      <c r="B9802" s="40"/>
      <c r="C9802" s="40"/>
      <c r="E9802" s="80"/>
    </row>
    <row r="9803" spans="2:5" x14ac:dyDescent="0.25">
      <c r="B9803" s="40"/>
      <c r="C9803" s="40"/>
      <c r="E9803" s="80"/>
    </row>
    <row r="9804" spans="2:5" x14ac:dyDescent="0.25">
      <c r="B9804" s="40"/>
      <c r="C9804" s="40"/>
      <c r="E9804" s="80"/>
    </row>
    <row r="9805" spans="2:5" x14ac:dyDescent="0.25">
      <c r="B9805" s="40"/>
      <c r="C9805" s="40"/>
      <c r="E9805" s="80"/>
    </row>
    <row r="9806" spans="2:5" x14ac:dyDescent="0.25">
      <c r="B9806" s="40"/>
      <c r="C9806" s="40"/>
      <c r="E9806" s="80"/>
    </row>
    <row r="9807" spans="2:5" x14ac:dyDescent="0.25">
      <c r="B9807" s="40"/>
      <c r="C9807" s="40"/>
      <c r="E9807" s="80"/>
    </row>
    <row r="9808" spans="2:5" x14ac:dyDescent="0.25">
      <c r="B9808" s="40"/>
      <c r="C9808" s="40"/>
      <c r="E9808" s="80"/>
    </row>
    <row r="9809" spans="2:5" x14ac:dyDescent="0.25">
      <c r="B9809" s="40"/>
      <c r="C9809" s="40"/>
      <c r="E9809" s="80"/>
    </row>
    <row r="9810" spans="2:5" x14ac:dyDescent="0.25">
      <c r="B9810" s="40"/>
      <c r="C9810" s="40"/>
      <c r="E9810" s="80"/>
    </row>
    <row r="9811" spans="2:5" x14ac:dyDescent="0.25">
      <c r="B9811" s="40"/>
      <c r="C9811" s="40"/>
      <c r="E9811" s="80"/>
    </row>
    <row r="9812" spans="2:5" x14ac:dyDescent="0.25">
      <c r="B9812" s="40"/>
      <c r="C9812" s="40"/>
      <c r="E9812" s="80"/>
    </row>
    <row r="9813" spans="2:5" x14ac:dyDescent="0.25">
      <c r="B9813" s="40"/>
      <c r="C9813" s="40"/>
      <c r="E9813" s="80"/>
    </row>
    <row r="9814" spans="2:5" x14ac:dyDescent="0.25">
      <c r="B9814" s="40"/>
      <c r="C9814" s="40"/>
      <c r="E9814" s="80"/>
    </row>
    <row r="9815" spans="2:5" x14ac:dyDescent="0.25">
      <c r="B9815" s="40"/>
      <c r="C9815" s="40"/>
      <c r="E9815" s="80"/>
    </row>
    <row r="9816" spans="2:5" x14ac:dyDescent="0.25">
      <c r="B9816" s="40"/>
      <c r="C9816" s="40"/>
      <c r="E9816" s="80"/>
    </row>
    <row r="9817" spans="2:5" x14ac:dyDescent="0.25">
      <c r="B9817" s="40"/>
      <c r="C9817" s="40"/>
      <c r="E9817" s="80"/>
    </row>
    <row r="9818" spans="2:5" x14ac:dyDescent="0.25">
      <c r="B9818" s="40"/>
      <c r="C9818" s="40"/>
      <c r="E9818" s="80"/>
    </row>
    <row r="9819" spans="2:5" x14ac:dyDescent="0.25">
      <c r="B9819" s="40"/>
      <c r="C9819" s="40"/>
      <c r="E9819" s="80"/>
    </row>
    <row r="9820" spans="2:5" x14ac:dyDescent="0.25">
      <c r="B9820" s="40"/>
      <c r="C9820" s="40"/>
      <c r="E9820" s="80"/>
    </row>
    <row r="9821" spans="2:5" x14ac:dyDescent="0.25">
      <c r="B9821" s="40"/>
      <c r="C9821" s="40"/>
      <c r="E9821" s="80"/>
    </row>
    <row r="9822" spans="2:5" x14ac:dyDescent="0.25">
      <c r="B9822" s="40"/>
      <c r="C9822" s="40"/>
      <c r="E9822" s="80"/>
    </row>
    <row r="9823" spans="2:5" x14ac:dyDescent="0.25">
      <c r="B9823" s="40"/>
      <c r="C9823" s="40"/>
      <c r="E9823" s="80"/>
    </row>
    <row r="9824" spans="2:5" x14ac:dyDescent="0.25">
      <c r="B9824" s="40"/>
      <c r="C9824" s="40"/>
      <c r="E9824" s="80"/>
    </row>
    <row r="9825" spans="2:5" x14ac:dyDescent="0.25">
      <c r="B9825" s="40"/>
      <c r="C9825" s="40"/>
      <c r="E9825" s="80"/>
    </row>
    <row r="9826" spans="2:5" x14ac:dyDescent="0.25">
      <c r="B9826" s="40"/>
      <c r="C9826" s="40"/>
      <c r="E9826" s="80"/>
    </row>
    <row r="9827" spans="2:5" x14ac:dyDescent="0.25">
      <c r="B9827" s="40"/>
      <c r="C9827" s="40"/>
      <c r="E9827" s="80"/>
    </row>
    <row r="9828" spans="2:5" x14ac:dyDescent="0.25">
      <c r="B9828" s="40"/>
      <c r="C9828" s="40"/>
      <c r="E9828" s="80"/>
    </row>
    <row r="9829" spans="2:5" x14ac:dyDescent="0.25">
      <c r="B9829" s="40"/>
      <c r="C9829" s="40"/>
      <c r="E9829" s="80"/>
    </row>
    <row r="9830" spans="2:5" x14ac:dyDescent="0.25">
      <c r="B9830" s="40"/>
      <c r="C9830" s="40"/>
      <c r="E9830" s="80"/>
    </row>
    <row r="9831" spans="2:5" x14ac:dyDescent="0.25">
      <c r="B9831" s="40"/>
      <c r="C9831" s="40"/>
      <c r="E9831" s="80"/>
    </row>
    <row r="9832" spans="2:5" x14ac:dyDescent="0.25">
      <c r="B9832" s="40"/>
      <c r="C9832" s="40"/>
      <c r="E9832" s="80"/>
    </row>
    <row r="9833" spans="2:5" x14ac:dyDescent="0.25">
      <c r="B9833" s="40"/>
      <c r="C9833" s="40"/>
      <c r="E9833" s="80"/>
    </row>
    <row r="9834" spans="2:5" x14ac:dyDescent="0.25">
      <c r="B9834" s="40"/>
      <c r="C9834" s="40"/>
      <c r="E9834" s="80"/>
    </row>
    <row r="9835" spans="2:5" x14ac:dyDescent="0.25">
      <c r="B9835" s="40"/>
      <c r="C9835" s="40"/>
      <c r="E9835" s="80"/>
    </row>
    <row r="9836" spans="2:5" x14ac:dyDescent="0.25">
      <c r="B9836" s="40"/>
      <c r="C9836" s="40"/>
      <c r="E9836" s="80"/>
    </row>
    <row r="9837" spans="2:5" x14ac:dyDescent="0.25">
      <c r="B9837" s="40"/>
      <c r="C9837" s="40"/>
      <c r="E9837" s="80"/>
    </row>
    <row r="9838" spans="2:5" x14ac:dyDescent="0.25">
      <c r="B9838" s="40"/>
      <c r="C9838" s="40"/>
      <c r="E9838" s="80"/>
    </row>
    <row r="9839" spans="2:5" x14ac:dyDescent="0.25">
      <c r="B9839" s="40"/>
      <c r="C9839" s="40"/>
      <c r="E9839" s="80"/>
    </row>
    <row r="9840" spans="2:5" x14ac:dyDescent="0.25">
      <c r="B9840" s="40"/>
      <c r="C9840" s="40"/>
      <c r="E9840" s="80"/>
    </row>
    <row r="9841" spans="2:5" x14ac:dyDescent="0.25">
      <c r="B9841" s="40"/>
      <c r="C9841" s="40"/>
      <c r="E9841" s="80"/>
    </row>
    <row r="9842" spans="2:5" x14ac:dyDescent="0.25">
      <c r="B9842" s="40"/>
      <c r="C9842" s="40"/>
      <c r="E9842" s="80"/>
    </row>
    <row r="9843" spans="2:5" x14ac:dyDescent="0.25">
      <c r="B9843" s="40"/>
      <c r="C9843" s="40"/>
      <c r="E9843" s="80"/>
    </row>
    <row r="9844" spans="2:5" x14ac:dyDescent="0.25">
      <c r="B9844" s="40"/>
      <c r="C9844" s="40"/>
      <c r="E9844" s="80"/>
    </row>
    <row r="9845" spans="2:5" x14ac:dyDescent="0.25">
      <c r="B9845" s="40"/>
      <c r="C9845" s="40"/>
      <c r="E9845" s="80"/>
    </row>
    <row r="9846" spans="2:5" x14ac:dyDescent="0.25">
      <c r="B9846" s="40"/>
      <c r="C9846" s="40"/>
      <c r="E9846" s="80"/>
    </row>
    <row r="9847" spans="2:5" x14ac:dyDescent="0.25">
      <c r="B9847" s="40"/>
      <c r="C9847" s="40"/>
      <c r="E9847" s="80"/>
    </row>
    <row r="9848" spans="2:5" x14ac:dyDescent="0.25">
      <c r="B9848" s="40"/>
      <c r="C9848" s="40"/>
      <c r="E9848" s="80"/>
    </row>
    <row r="9849" spans="2:5" x14ac:dyDescent="0.25">
      <c r="B9849" s="40"/>
      <c r="C9849" s="40"/>
      <c r="E9849" s="80"/>
    </row>
    <row r="9850" spans="2:5" x14ac:dyDescent="0.25">
      <c r="B9850" s="40"/>
      <c r="C9850" s="40"/>
      <c r="E9850" s="80"/>
    </row>
    <row r="9851" spans="2:5" x14ac:dyDescent="0.25">
      <c r="B9851" s="40"/>
      <c r="C9851" s="40"/>
      <c r="E9851" s="80"/>
    </row>
    <row r="9852" spans="2:5" x14ac:dyDescent="0.25">
      <c r="B9852" s="40"/>
      <c r="C9852" s="40"/>
      <c r="E9852" s="80"/>
    </row>
    <row r="9853" spans="2:5" x14ac:dyDescent="0.25">
      <c r="B9853" s="40"/>
      <c r="C9853" s="40"/>
      <c r="E9853" s="80"/>
    </row>
    <row r="9854" spans="2:5" x14ac:dyDescent="0.25">
      <c r="B9854" s="40"/>
      <c r="C9854" s="40"/>
      <c r="E9854" s="80"/>
    </row>
    <row r="9855" spans="2:5" x14ac:dyDescent="0.25">
      <c r="B9855" s="40"/>
      <c r="C9855" s="40"/>
      <c r="E9855" s="80"/>
    </row>
    <row r="9856" spans="2:5" x14ac:dyDescent="0.25">
      <c r="B9856" s="40"/>
      <c r="C9856" s="40"/>
      <c r="E9856" s="80"/>
    </row>
    <row r="9857" spans="2:5" x14ac:dyDescent="0.25">
      <c r="B9857" s="40"/>
      <c r="C9857" s="40"/>
      <c r="E9857" s="80"/>
    </row>
    <row r="9858" spans="2:5" x14ac:dyDescent="0.25">
      <c r="B9858" s="40"/>
      <c r="C9858" s="40"/>
      <c r="E9858" s="80"/>
    </row>
    <row r="9859" spans="2:5" x14ac:dyDescent="0.25">
      <c r="B9859" s="40"/>
      <c r="C9859" s="40"/>
      <c r="E9859" s="80"/>
    </row>
    <row r="9860" spans="2:5" x14ac:dyDescent="0.25">
      <c r="B9860" s="40"/>
      <c r="C9860" s="40"/>
      <c r="E9860" s="80"/>
    </row>
    <row r="9861" spans="2:5" x14ac:dyDescent="0.25">
      <c r="B9861" s="40"/>
      <c r="C9861" s="40"/>
      <c r="E9861" s="80"/>
    </row>
    <row r="9862" spans="2:5" x14ac:dyDescent="0.25">
      <c r="B9862" s="40"/>
      <c r="C9862" s="40"/>
      <c r="E9862" s="80"/>
    </row>
    <row r="9863" spans="2:5" x14ac:dyDescent="0.25">
      <c r="B9863" s="40"/>
      <c r="C9863" s="40"/>
      <c r="E9863" s="80"/>
    </row>
    <row r="9864" spans="2:5" x14ac:dyDescent="0.25">
      <c r="B9864" s="40"/>
      <c r="C9864" s="40"/>
      <c r="E9864" s="80"/>
    </row>
    <row r="9865" spans="2:5" x14ac:dyDescent="0.25">
      <c r="B9865" s="40"/>
      <c r="C9865" s="40"/>
      <c r="E9865" s="80"/>
    </row>
    <row r="9866" spans="2:5" x14ac:dyDescent="0.25">
      <c r="B9866" s="40"/>
      <c r="C9866" s="40"/>
      <c r="E9866" s="80"/>
    </row>
    <row r="9867" spans="2:5" x14ac:dyDescent="0.25">
      <c r="B9867" s="40"/>
      <c r="C9867" s="40"/>
      <c r="E9867" s="80"/>
    </row>
    <row r="9868" spans="2:5" x14ac:dyDescent="0.25">
      <c r="B9868" s="40"/>
      <c r="C9868" s="40"/>
      <c r="E9868" s="80"/>
    </row>
    <row r="9869" spans="2:5" x14ac:dyDescent="0.25">
      <c r="B9869" s="40"/>
      <c r="C9869" s="40"/>
      <c r="E9869" s="80"/>
    </row>
    <row r="9870" spans="2:5" x14ac:dyDescent="0.25">
      <c r="B9870" s="40"/>
      <c r="C9870" s="40"/>
      <c r="E9870" s="80"/>
    </row>
    <row r="9871" spans="2:5" x14ac:dyDescent="0.25">
      <c r="B9871" s="40"/>
      <c r="C9871" s="40"/>
      <c r="E9871" s="80"/>
    </row>
    <row r="9872" spans="2:5" x14ac:dyDescent="0.25">
      <c r="B9872" s="40"/>
      <c r="C9872" s="40"/>
      <c r="E9872" s="80"/>
    </row>
    <row r="9873" spans="2:5" x14ac:dyDescent="0.25">
      <c r="B9873" s="40"/>
      <c r="C9873" s="40"/>
      <c r="E9873" s="80"/>
    </row>
    <row r="9874" spans="2:5" x14ac:dyDescent="0.25">
      <c r="B9874" s="40"/>
      <c r="C9874" s="40"/>
      <c r="E9874" s="80"/>
    </row>
    <row r="9875" spans="2:5" x14ac:dyDescent="0.25">
      <c r="B9875" s="40"/>
      <c r="C9875" s="40"/>
      <c r="E9875" s="80"/>
    </row>
    <row r="9876" spans="2:5" x14ac:dyDescent="0.25">
      <c r="B9876" s="40"/>
      <c r="C9876" s="40"/>
      <c r="E9876" s="80"/>
    </row>
    <row r="9877" spans="2:5" x14ac:dyDescent="0.25">
      <c r="B9877" s="40"/>
      <c r="C9877" s="40"/>
      <c r="E9877" s="80"/>
    </row>
    <row r="9878" spans="2:5" x14ac:dyDescent="0.25">
      <c r="B9878" s="40"/>
      <c r="C9878" s="40"/>
      <c r="E9878" s="80"/>
    </row>
    <row r="9879" spans="2:5" x14ac:dyDescent="0.25">
      <c r="B9879" s="40"/>
      <c r="C9879" s="40"/>
      <c r="E9879" s="80"/>
    </row>
    <row r="9880" spans="2:5" x14ac:dyDescent="0.25">
      <c r="B9880" s="40"/>
      <c r="C9880" s="40"/>
      <c r="E9880" s="80"/>
    </row>
    <row r="9881" spans="2:5" x14ac:dyDescent="0.25">
      <c r="B9881" s="40"/>
      <c r="C9881" s="40"/>
      <c r="E9881" s="80"/>
    </row>
    <row r="9882" spans="2:5" x14ac:dyDescent="0.25">
      <c r="B9882" s="40"/>
      <c r="C9882" s="40"/>
      <c r="E9882" s="80"/>
    </row>
    <row r="9883" spans="2:5" x14ac:dyDescent="0.25">
      <c r="B9883" s="40"/>
      <c r="C9883" s="40"/>
      <c r="E9883" s="80"/>
    </row>
    <row r="9884" spans="2:5" x14ac:dyDescent="0.25">
      <c r="B9884" s="40"/>
      <c r="C9884" s="40"/>
      <c r="E9884" s="80"/>
    </row>
    <row r="9885" spans="2:5" x14ac:dyDescent="0.25">
      <c r="B9885" s="40"/>
      <c r="C9885" s="40"/>
      <c r="E9885" s="80"/>
    </row>
    <row r="9886" spans="2:5" x14ac:dyDescent="0.25">
      <c r="B9886" s="40"/>
      <c r="C9886" s="40"/>
      <c r="E9886" s="80"/>
    </row>
    <row r="9887" spans="2:5" x14ac:dyDescent="0.25">
      <c r="B9887" s="40"/>
      <c r="C9887" s="40"/>
      <c r="E9887" s="80"/>
    </row>
    <row r="9888" spans="2:5" x14ac:dyDescent="0.25">
      <c r="B9888" s="40"/>
      <c r="C9888" s="40"/>
      <c r="E9888" s="80"/>
    </row>
    <row r="9889" spans="2:5" x14ac:dyDescent="0.25">
      <c r="B9889" s="40"/>
      <c r="C9889" s="40"/>
      <c r="E9889" s="80"/>
    </row>
    <row r="9890" spans="2:5" x14ac:dyDescent="0.25">
      <c r="B9890" s="40"/>
      <c r="C9890" s="40"/>
      <c r="E9890" s="80"/>
    </row>
    <row r="9891" spans="2:5" x14ac:dyDescent="0.25">
      <c r="B9891" s="40"/>
      <c r="C9891" s="40"/>
      <c r="E9891" s="80"/>
    </row>
    <row r="9892" spans="2:5" x14ac:dyDescent="0.25">
      <c r="B9892" s="40"/>
      <c r="C9892" s="40"/>
      <c r="E9892" s="80"/>
    </row>
    <row r="9893" spans="2:5" x14ac:dyDescent="0.25">
      <c r="B9893" s="40"/>
      <c r="C9893" s="40"/>
      <c r="E9893" s="80"/>
    </row>
    <row r="9894" spans="2:5" x14ac:dyDescent="0.25">
      <c r="B9894" s="40"/>
      <c r="C9894" s="40"/>
      <c r="E9894" s="80"/>
    </row>
    <row r="9895" spans="2:5" x14ac:dyDescent="0.25">
      <c r="B9895" s="40"/>
      <c r="C9895" s="40"/>
      <c r="E9895" s="80"/>
    </row>
    <row r="9896" spans="2:5" x14ac:dyDescent="0.25">
      <c r="B9896" s="40"/>
      <c r="C9896" s="40"/>
      <c r="E9896" s="80"/>
    </row>
    <row r="9897" spans="2:5" x14ac:dyDescent="0.25">
      <c r="B9897" s="40"/>
      <c r="C9897" s="40"/>
      <c r="E9897" s="80"/>
    </row>
    <row r="9898" spans="2:5" x14ac:dyDescent="0.25">
      <c r="B9898" s="40"/>
      <c r="C9898" s="40"/>
      <c r="E9898" s="80"/>
    </row>
    <row r="9899" spans="2:5" x14ac:dyDescent="0.25">
      <c r="B9899" s="40"/>
      <c r="C9899" s="40"/>
      <c r="E9899" s="80"/>
    </row>
    <row r="9900" spans="2:5" x14ac:dyDescent="0.25">
      <c r="B9900" s="40"/>
      <c r="C9900" s="40"/>
      <c r="E9900" s="80"/>
    </row>
    <row r="9901" spans="2:5" x14ac:dyDescent="0.25">
      <c r="B9901" s="40"/>
      <c r="C9901" s="40"/>
      <c r="E9901" s="80"/>
    </row>
    <row r="9902" spans="2:5" x14ac:dyDescent="0.25">
      <c r="B9902" s="40"/>
      <c r="C9902" s="40"/>
      <c r="E9902" s="80"/>
    </row>
    <row r="9903" spans="2:5" x14ac:dyDescent="0.25">
      <c r="B9903" s="40"/>
      <c r="C9903" s="40"/>
      <c r="E9903" s="80"/>
    </row>
    <row r="9904" spans="2:5" x14ac:dyDescent="0.25">
      <c r="B9904" s="40"/>
      <c r="C9904" s="40"/>
      <c r="E9904" s="80"/>
    </row>
    <row r="9905" spans="2:5" x14ac:dyDescent="0.25">
      <c r="B9905" s="40"/>
      <c r="C9905" s="40"/>
      <c r="E9905" s="80"/>
    </row>
    <row r="9906" spans="2:5" x14ac:dyDescent="0.25">
      <c r="B9906" s="40"/>
      <c r="C9906" s="40"/>
      <c r="E9906" s="80"/>
    </row>
    <row r="9907" spans="2:5" x14ac:dyDescent="0.25">
      <c r="B9907" s="40"/>
      <c r="C9907" s="40"/>
      <c r="E9907" s="80"/>
    </row>
    <row r="9908" spans="2:5" x14ac:dyDescent="0.25">
      <c r="B9908" s="40"/>
      <c r="C9908" s="40"/>
      <c r="E9908" s="80"/>
    </row>
    <row r="9909" spans="2:5" x14ac:dyDescent="0.25">
      <c r="B9909" s="40"/>
      <c r="C9909" s="40"/>
      <c r="E9909" s="80"/>
    </row>
    <row r="9910" spans="2:5" x14ac:dyDescent="0.25">
      <c r="B9910" s="40"/>
      <c r="C9910" s="40"/>
      <c r="E9910" s="80"/>
    </row>
    <row r="9911" spans="2:5" x14ac:dyDescent="0.25">
      <c r="B9911" s="40"/>
      <c r="C9911" s="40"/>
      <c r="E9911" s="80"/>
    </row>
    <row r="9912" spans="2:5" x14ac:dyDescent="0.25">
      <c r="B9912" s="40"/>
      <c r="C9912" s="40"/>
      <c r="E9912" s="80"/>
    </row>
    <row r="9913" spans="2:5" x14ac:dyDescent="0.25">
      <c r="B9913" s="40"/>
      <c r="C9913" s="40"/>
      <c r="E9913" s="80"/>
    </row>
    <row r="9914" spans="2:5" x14ac:dyDescent="0.25">
      <c r="B9914" s="40"/>
      <c r="C9914" s="40"/>
      <c r="E9914" s="80"/>
    </row>
    <row r="9915" spans="2:5" x14ac:dyDescent="0.25">
      <c r="B9915" s="40"/>
      <c r="C9915" s="40"/>
      <c r="E9915" s="80"/>
    </row>
    <row r="9916" spans="2:5" x14ac:dyDescent="0.25">
      <c r="B9916" s="40"/>
      <c r="C9916" s="40"/>
      <c r="E9916" s="80"/>
    </row>
    <row r="9917" spans="2:5" x14ac:dyDescent="0.25">
      <c r="B9917" s="40"/>
      <c r="C9917" s="40"/>
      <c r="E9917" s="80"/>
    </row>
    <row r="9918" spans="2:5" x14ac:dyDescent="0.25">
      <c r="B9918" s="40"/>
      <c r="C9918" s="40"/>
      <c r="E9918" s="80"/>
    </row>
    <row r="9919" spans="2:5" x14ac:dyDescent="0.25">
      <c r="B9919" s="40"/>
      <c r="C9919" s="40"/>
      <c r="E9919" s="80"/>
    </row>
    <row r="9920" spans="2:5" x14ac:dyDescent="0.25">
      <c r="B9920" s="40"/>
      <c r="C9920" s="40"/>
      <c r="E9920" s="80"/>
    </row>
    <row r="9921" spans="2:5" x14ac:dyDescent="0.25">
      <c r="B9921" s="40"/>
      <c r="C9921" s="40"/>
      <c r="E9921" s="80"/>
    </row>
    <row r="9922" spans="2:5" x14ac:dyDescent="0.25">
      <c r="B9922" s="40"/>
      <c r="C9922" s="40"/>
      <c r="E9922" s="80"/>
    </row>
    <row r="9923" spans="2:5" x14ac:dyDescent="0.25">
      <c r="B9923" s="40"/>
      <c r="C9923" s="40"/>
      <c r="E9923" s="80"/>
    </row>
    <row r="9924" spans="2:5" x14ac:dyDescent="0.25">
      <c r="B9924" s="40"/>
      <c r="C9924" s="40"/>
      <c r="E9924" s="80"/>
    </row>
    <row r="9925" spans="2:5" x14ac:dyDescent="0.25">
      <c r="B9925" s="40"/>
      <c r="C9925" s="40"/>
      <c r="E9925" s="80"/>
    </row>
    <row r="9926" spans="2:5" x14ac:dyDescent="0.25">
      <c r="B9926" s="40"/>
      <c r="C9926" s="40"/>
      <c r="E9926" s="80"/>
    </row>
    <row r="9927" spans="2:5" x14ac:dyDescent="0.25">
      <c r="B9927" s="40"/>
      <c r="C9927" s="40"/>
      <c r="E9927" s="80"/>
    </row>
    <row r="9928" spans="2:5" x14ac:dyDescent="0.25">
      <c r="B9928" s="40"/>
      <c r="C9928" s="40"/>
      <c r="E9928" s="80"/>
    </row>
    <row r="9929" spans="2:5" x14ac:dyDescent="0.25">
      <c r="B9929" s="40"/>
      <c r="C9929" s="40"/>
      <c r="E9929" s="80"/>
    </row>
    <row r="9930" spans="2:5" x14ac:dyDescent="0.25">
      <c r="B9930" s="40"/>
      <c r="C9930" s="40"/>
      <c r="E9930" s="80"/>
    </row>
    <row r="9931" spans="2:5" x14ac:dyDescent="0.25">
      <c r="B9931" s="40"/>
      <c r="C9931" s="40"/>
      <c r="E9931" s="80"/>
    </row>
    <row r="9932" spans="2:5" x14ac:dyDescent="0.25">
      <c r="B9932" s="40"/>
      <c r="C9932" s="40"/>
      <c r="E9932" s="80"/>
    </row>
    <row r="9933" spans="2:5" x14ac:dyDescent="0.25">
      <c r="B9933" s="40"/>
      <c r="C9933" s="40"/>
      <c r="E9933" s="80"/>
    </row>
    <row r="9934" spans="2:5" x14ac:dyDescent="0.25">
      <c r="B9934" s="40"/>
      <c r="C9934" s="40"/>
      <c r="E9934" s="80"/>
    </row>
    <row r="9935" spans="2:5" x14ac:dyDescent="0.25">
      <c r="B9935" s="40"/>
      <c r="C9935" s="40"/>
      <c r="E9935" s="80"/>
    </row>
    <row r="9936" spans="2:5" x14ac:dyDescent="0.25">
      <c r="B9936" s="40"/>
      <c r="C9936" s="40"/>
      <c r="E9936" s="80"/>
    </row>
    <row r="9937" spans="2:5" x14ac:dyDescent="0.25">
      <c r="B9937" s="40"/>
      <c r="C9937" s="40"/>
      <c r="E9937" s="80"/>
    </row>
    <row r="9938" spans="2:5" x14ac:dyDescent="0.25">
      <c r="B9938" s="40"/>
      <c r="C9938" s="40"/>
      <c r="E9938" s="80"/>
    </row>
    <row r="9939" spans="2:5" x14ac:dyDescent="0.25">
      <c r="B9939" s="40"/>
      <c r="C9939" s="40"/>
      <c r="E9939" s="80"/>
    </row>
    <row r="9940" spans="2:5" x14ac:dyDescent="0.25">
      <c r="B9940" s="40"/>
      <c r="C9940" s="40"/>
      <c r="E9940" s="80"/>
    </row>
    <row r="9941" spans="2:5" x14ac:dyDescent="0.25">
      <c r="B9941" s="40"/>
      <c r="C9941" s="40"/>
      <c r="E9941" s="80"/>
    </row>
    <row r="9942" spans="2:5" x14ac:dyDescent="0.25">
      <c r="B9942" s="40"/>
      <c r="C9942" s="40"/>
      <c r="E9942" s="80"/>
    </row>
    <row r="9943" spans="2:5" x14ac:dyDescent="0.25">
      <c r="B9943" s="40"/>
      <c r="C9943" s="40"/>
      <c r="E9943" s="80"/>
    </row>
    <row r="9944" spans="2:5" x14ac:dyDescent="0.25">
      <c r="B9944" s="40"/>
      <c r="C9944" s="40"/>
      <c r="E9944" s="80"/>
    </row>
    <row r="9945" spans="2:5" x14ac:dyDescent="0.25">
      <c r="B9945" s="40"/>
      <c r="C9945" s="40"/>
      <c r="E9945" s="80"/>
    </row>
    <row r="9946" spans="2:5" x14ac:dyDescent="0.25">
      <c r="B9946" s="40"/>
      <c r="C9946" s="40"/>
      <c r="E9946" s="80"/>
    </row>
    <row r="9947" spans="2:5" x14ac:dyDescent="0.25">
      <c r="B9947" s="40"/>
      <c r="C9947" s="40"/>
      <c r="E9947" s="80"/>
    </row>
    <row r="9948" spans="2:5" x14ac:dyDescent="0.25">
      <c r="B9948" s="40"/>
      <c r="C9948" s="40"/>
      <c r="E9948" s="80"/>
    </row>
    <row r="9949" spans="2:5" x14ac:dyDescent="0.25">
      <c r="B9949" s="40"/>
      <c r="C9949" s="40"/>
      <c r="E9949" s="80"/>
    </row>
    <row r="9950" spans="2:5" x14ac:dyDescent="0.25">
      <c r="B9950" s="40"/>
      <c r="C9950" s="40"/>
      <c r="E9950" s="80"/>
    </row>
    <row r="9951" spans="2:5" x14ac:dyDescent="0.25">
      <c r="B9951" s="40"/>
      <c r="C9951" s="40"/>
      <c r="E9951" s="80"/>
    </row>
    <row r="9952" spans="2:5" x14ac:dyDescent="0.25">
      <c r="B9952" s="40"/>
      <c r="C9952" s="40"/>
      <c r="E9952" s="80"/>
    </row>
    <row r="9953" spans="2:5" x14ac:dyDescent="0.25">
      <c r="B9953" s="40"/>
      <c r="C9953" s="40"/>
      <c r="E9953" s="80"/>
    </row>
    <row r="9954" spans="2:5" x14ac:dyDescent="0.25">
      <c r="B9954" s="40"/>
      <c r="C9954" s="40"/>
      <c r="E9954" s="80"/>
    </row>
    <row r="9955" spans="2:5" x14ac:dyDescent="0.25">
      <c r="B9955" s="40"/>
      <c r="C9955" s="40"/>
      <c r="E9955" s="80"/>
    </row>
    <row r="9956" spans="2:5" x14ac:dyDescent="0.25">
      <c r="B9956" s="40"/>
      <c r="C9956" s="40"/>
      <c r="E9956" s="80"/>
    </row>
    <row r="9957" spans="2:5" x14ac:dyDescent="0.25">
      <c r="B9957" s="40"/>
      <c r="C9957" s="40"/>
      <c r="E9957" s="80"/>
    </row>
    <row r="9958" spans="2:5" x14ac:dyDescent="0.25">
      <c r="B9958" s="40"/>
      <c r="C9958" s="40"/>
      <c r="E9958" s="80"/>
    </row>
    <row r="9959" spans="2:5" x14ac:dyDescent="0.25">
      <c r="B9959" s="40"/>
      <c r="C9959" s="40"/>
      <c r="E9959" s="80"/>
    </row>
    <row r="9960" spans="2:5" x14ac:dyDescent="0.25">
      <c r="B9960" s="40"/>
      <c r="C9960" s="40"/>
      <c r="E9960" s="80"/>
    </row>
    <row r="9961" spans="2:5" x14ac:dyDescent="0.25">
      <c r="B9961" s="40"/>
      <c r="C9961" s="40"/>
      <c r="E9961" s="80"/>
    </row>
    <row r="9962" spans="2:5" x14ac:dyDescent="0.25">
      <c r="B9962" s="40"/>
      <c r="C9962" s="40"/>
      <c r="E9962" s="80"/>
    </row>
    <row r="9963" spans="2:5" x14ac:dyDescent="0.25">
      <c r="B9963" s="40"/>
      <c r="C9963" s="40"/>
      <c r="E9963" s="80"/>
    </row>
    <row r="9964" spans="2:5" x14ac:dyDescent="0.25">
      <c r="B9964" s="40"/>
      <c r="C9964" s="40"/>
      <c r="E9964" s="80"/>
    </row>
    <row r="9965" spans="2:5" x14ac:dyDescent="0.25">
      <c r="B9965" s="40"/>
      <c r="C9965" s="40"/>
      <c r="E9965" s="80"/>
    </row>
    <row r="9966" spans="2:5" x14ac:dyDescent="0.25">
      <c r="B9966" s="40"/>
      <c r="C9966" s="40"/>
      <c r="E9966" s="80"/>
    </row>
    <row r="9967" spans="2:5" x14ac:dyDescent="0.25">
      <c r="B9967" s="40"/>
      <c r="C9967" s="40"/>
      <c r="E9967" s="80"/>
    </row>
    <row r="9968" spans="2:5" x14ac:dyDescent="0.25">
      <c r="B9968" s="40"/>
      <c r="C9968" s="40"/>
      <c r="E9968" s="80"/>
    </row>
    <row r="9969" spans="2:5" x14ac:dyDescent="0.25">
      <c r="B9969" s="40"/>
      <c r="C9969" s="40"/>
      <c r="E9969" s="80"/>
    </row>
    <row r="9970" spans="2:5" x14ac:dyDescent="0.25">
      <c r="B9970" s="40"/>
      <c r="C9970" s="40"/>
      <c r="E9970" s="80"/>
    </row>
    <row r="9971" spans="2:5" x14ac:dyDescent="0.25">
      <c r="B9971" s="40"/>
      <c r="C9971" s="40"/>
      <c r="E9971" s="80"/>
    </row>
    <row r="9972" spans="2:5" x14ac:dyDescent="0.25">
      <c r="B9972" s="40"/>
      <c r="C9972" s="40"/>
      <c r="E9972" s="80"/>
    </row>
    <row r="9973" spans="2:5" x14ac:dyDescent="0.25">
      <c r="B9973" s="40"/>
      <c r="C9973" s="40"/>
      <c r="E9973" s="80"/>
    </row>
    <row r="9974" spans="2:5" x14ac:dyDescent="0.25">
      <c r="B9974" s="40"/>
      <c r="C9974" s="40"/>
      <c r="E9974" s="80"/>
    </row>
    <row r="9975" spans="2:5" x14ac:dyDescent="0.25">
      <c r="B9975" s="40"/>
      <c r="C9975" s="40"/>
      <c r="E9975" s="80"/>
    </row>
    <row r="9976" spans="2:5" x14ac:dyDescent="0.25">
      <c r="B9976" s="40"/>
      <c r="C9976" s="40"/>
      <c r="E9976" s="80"/>
    </row>
    <row r="9977" spans="2:5" x14ac:dyDescent="0.25">
      <c r="B9977" s="40"/>
      <c r="C9977" s="40"/>
      <c r="E9977" s="80"/>
    </row>
    <row r="9978" spans="2:5" x14ac:dyDescent="0.25">
      <c r="B9978" s="40"/>
      <c r="C9978" s="40"/>
      <c r="E9978" s="80"/>
    </row>
    <row r="9979" spans="2:5" x14ac:dyDescent="0.25">
      <c r="B9979" s="40"/>
      <c r="C9979" s="40"/>
      <c r="E9979" s="80"/>
    </row>
    <row r="9980" spans="2:5" x14ac:dyDescent="0.25">
      <c r="B9980" s="40"/>
      <c r="C9980" s="40"/>
      <c r="E9980" s="80"/>
    </row>
    <row r="9981" spans="2:5" x14ac:dyDescent="0.25">
      <c r="B9981" s="40"/>
      <c r="C9981" s="40"/>
      <c r="E9981" s="80"/>
    </row>
    <row r="9982" spans="2:5" x14ac:dyDescent="0.25">
      <c r="B9982" s="40"/>
      <c r="C9982" s="40"/>
      <c r="E9982" s="80"/>
    </row>
    <row r="9983" spans="2:5" x14ac:dyDescent="0.25">
      <c r="B9983" s="40"/>
      <c r="C9983" s="40"/>
      <c r="E9983" s="80"/>
    </row>
    <row r="9984" spans="2:5" x14ac:dyDescent="0.25">
      <c r="B9984" s="40"/>
      <c r="C9984" s="40"/>
      <c r="E9984" s="80"/>
    </row>
    <row r="9985" spans="2:5" x14ac:dyDescent="0.25">
      <c r="B9985" s="40"/>
      <c r="C9985" s="40"/>
      <c r="E9985" s="80"/>
    </row>
    <row r="9986" spans="2:5" x14ac:dyDescent="0.25">
      <c r="B9986" s="40"/>
      <c r="C9986" s="40"/>
      <c r="E9986" s="80"/>
    </row>
    <row r="9987" spans="2:5" x14ac:dyDescent="0.25">
      <c r="B9987" s="40"/>
      <c r="C9987" s="40"/>
      <c r="E9987" s="80"/>
    </row>
    <row r="9988" spans="2:5" x14ac:dyDescent="0.25">
      <c r="B9988" s="40"/>
      <c r="C9988" s="40"/>
      <c r="E9988" s="80"/>
    </row>
    <row r="9989" spans="2:5" x14ac:dyDescent="0.25">
      <c r="B9989" s="40"/>
      <c r="C9989" s="40"/>
      <c r="E9989" s="80"/>
    </row>
    <row r="9990" spans="2:5" x14ac:dyDescent="0.25">
      <c r="B9990" s="40"/>
      <c r="C9990" s="40"/>
      <c r="E9990" s="80"/>
    </row>
    <row r="9991" spans="2:5" x14ac:dyDescent="0.25">
      <c r="B9991" s="40"/>
      <c r="C9991" s="40"/>
      <c r="E9991" s="80"/>
    </row>
    <row r="9992" spans="2:5" x14ac:dyDescent="0.25">
      <c r="B9992" s="40"/>
      <c r="C9992" s="40"/>
      <c r="E9992" s="80"/>
    </row>
    <row r="9993" spans="2:5" x14ac:dyDescent="0.25">
      <c r="B9993" s="40"/>
      <c r="C9993" s="40"/>
      <c r="E9993" s="80"/>
    </row>
    <row r="9994" spans="2:5" x14ac:dyDescent="0.25">
      <c r="B9994" s="40"/>
      <c r="C9994" s="40"/>
      <c r="E9994" s="80"/>
    </row>
    <row r="9995" spans="2:5" x14ac:dyDescent="0.25">
      <c r="B9995" s="40"/>
      <c r="C9995" s="40"/>
      <c r="E9995" s="80"/>
    </row>
    <row r="9996" spans="2:5" x14ac:dyDescent="0.25">
      <c r="B9996" s="40"/>
      <c r="C9996" s="40"/>
      <c r="E9996" s="80"/>
    </row>
    <row r="9997" spans="2:5" x14ac:dyDescent="0.25">
      <c r="B9997" s="40"/>
      <c r="C9997" s="40"/>
      <c r="E9997" s="80"/>
    </row>
    <row r="9998" spans="2:5" x14ac:dyDescent="0.25">
      <c r="B9998" s="40"/>
      <c r="C9998" s="40"/>
      <c r="E9998" s="80"/>
    </row>
    <row r="9999" spans="2:5" x14ac:dyDescent="0.25">
      <c r="B9999" s="40"/>
      <c r="C9999" s="40"/>
      <c r="E9999" s="80"/>
    </row>
    <row r="10000" spans="2:5" x14ac:dyDescent="0.25">
      <c r="B10000" s="40"/>
      <c r="C10000" s="40"/>
      <c r="E10000" s="80"/>
    </row>
    <row r="10001" spans="2:5" x14ac:dyDescent="0.25">
      <c r="B10001" s="40"/>
      <c r="C10001" s="40"/>
      <c r="E10001" s="80"/>
    </row>
    <row r="10002" spans="2:5" x14ac:dyDescent="0.25">
      <c r="B10002" s="40"/>
      <c r="C10002" s="40"/>
      <c r="E10002" s="80"/>
    </row>
    <row r="10003" spans="2:5" x14ac:dyDescent="0.25">
      <c r="B10003" s="40"/>
      <c r="C10003" s="40"/>
      <c r="E10003" s="80"/>
    </row>
    <row r="10004" spans="2:5" x14ac:dyDescent="0.25">
      <c r="B10004" s="40"/>
      <c r="C10004" s="40"/>
      <c r="E10004" s="80"/>
    </row>
    <row r="10005" spans="2:5" x14ac:dyDescent="0.25">
      <c r="B10005" s="40"/>
      <c r="C10005" s="40"/>
      <c r="E10005" s="80"/>
    </row>
    <row r="10006" spans="2:5" x14ac:dyDescent="0.25">
      <c r="B10006" s="40"/>
      <c r="C10006" s="40"/>
      <c r="E10006" s="80"/>
    </row>
    <row r="10007" spans="2:5" x14ac:dyDescent="0.25">
      <c r="B10007" s="40"/>
      <c r="C10007" s="40"/>
      <c r="E10007" s="80"/>
    </row>
    <row r="10008" spans="2:5" x14ac:dyDescent="0.25">
      <c r="B10008" s="40"/>
      <c r="C10008" s="40"/>
      <c r="E10008" s="80"/>
    </row>
    <row r="10009" spans="2:5" x14ac:dyDescent="0.25">
      <c r="B10009" s="40"/>
      <c r="C10009" s="40"/>
      <c r="E10009" s="80"/>
    </row>
    <row r="10010" spans="2:5" x14ac:dyDescent="0.25">
      <c r="B10010" s="40"/>
      <c r="C10010" s="40"/>
      <c r="E10010" s="80"/>
    </row>
    <row r="10011" spans="2:5" x14ac:dyDescent="0.25">
      <c r="B10011" s="40"/>
      <c r="C10011" s="40"/>
      <c r="E10011" s="80"/>
    </row>
    <row r="10012" spans="2:5" x14ac:dyDescent="0.25">
      <c r="B10012" s="40"/>
      <c r="C10012" s="40"/>
      <c r="E10012" s="80"/>
    </row>
    <row r="10013" spans="2:5" x14ac:dyDescent="0.25">
      <c r="B10013" s="40"/>
      <c r="C10013" s="40"/>
      <c r="E10013" s="80"/>
    </row>
    <row r="10014" spans="2:5" x14ac:dyDescent="0.25">
      <c r="B10014" s="40"/>
      <c r="C10014" s="40"/>
      <c r="E10014" s="80"/>
    </row>
    <row r="10015" spans="2:5" x14ac:dyDescent="0.25">
      <c r="B10015" s="40"/>
      <c r="C10015" s="40"/>
      <c r="E10015" s="80"/>
    </row>
    <row r="10016" spans="2:5" x14ac:dyDescent="0.25">
      <c r="B10016" s="40"/>
      <c r="C10016" s="40"/>
      <c r="E10016" s="80"/>
    </row>
    <row r="10017" spans="2:5" x14ac:dyDescent="0.25">
      <c r="B10017" s="40"/>
      <c r="C10017" s="40"/>
      <c r="E10017" s="80"/>
    </row>
    <row r="10018" spans="2:5" x14ac:dyDescent="0.25">
      <c r="B10018" s="40"/>
      <c r="C10018" s="40"/>
      <c r="E10018" s="80"/>
    </row>
    <row r="10019" spans="2:5" x14ac:dyDescent="0.25">
      <c r="B10019" s="40"/>
      <c r="C10019" s="40"/>
      <c r="E10019" s="80"/>
    </row>
    <row r="10020" spans="2:5" x14ac:dyDescent="0.25">
      <c r="B10020" s="40"/>
      <c r="C10020" s="40"/>
      <c r="E10020" s="80"/>
    </row>
    <row r="10021" spans="2:5" x14ac:dyDescent="0.25">
      <c r="B10021" s="40"/>
      <c r="C10021" s="40"/>
      <c r="E10021" s="80"/>
    </row>
    <row r="10022" spans="2:5" x14ac:dyDescent="0.25">
      <c r="B10022" s="40"/>
      <c r="C10022" s="40"/>
      <c r="E10022" s="80"/>
    </row>
    <row r="10023" spans="2:5" x14ac:dyDescent="0.25">
      <c r="B10023" s="40"/>
      <c r="C10023" s="40"/>
      <c r="E10023" s="80"/>
    </row>
    <row r="10024" spans="2:5" x14ac:dyDescent="0.25">
      <c r="B10024" s="40"/>
      <c r="C10024" s="40"/>
      <c r="E10024" s="80"/>
    </row>
    <row r="10025" spans="2:5" x14ac:dyDescent="0.25">
      <c r="B10025" s="40"/>
      <c r="C10025" s="40"/>
      <c r="E10025" s="80"/>
    </row>
    <row r="10026" spans="2:5" x14ac:dyDescent="0.25">
      <c r="B10026" s="40"/>
      <c r="C10026" s="40"/>
      <c r="E10026" s="80"/>
    </row>
    <row r="10027" spans="2:5" x14ac:dyDescent="0.25">
      <c r="B10027" s="40"/>
      <c r="C10027" s="40"/>
      <c r="E10027" s="80"/>
    </row>
    <row r="10028" spans="2:5" x14ac:dyDescent="0.25">
      <c r="B10028" s="40"/>
      <c r="C10028" s="40"/>
      <c r="E10028" s="80"/>
    </row>
    <row r="10029" spans="2:5" x14ac:dyDescent="0.25">
      <c r="B10029" s="40"/>
      <c r="C10029" s="40"/>
      <c r="E10029" s="80"/>
    </row>
    <row r="10030" spans="2:5" x14ac:dyDescent="0.25">
      <c r="B10030" s="40"/>
      <c r="C10030" s="40"/>
      <c r="E10030" s="80"/>
    </row>
    <row r="10031" spans="2:5" x14ac:dyDescent="0.25">
      <c r="B10031" s="40"/>
      <c r="C10031" s="40"/>
      <c r="E10031" s="80"/>
    </row>
    <row r="10032" spans="2:5" x14ac:dyDescent="0.25">
      <c r="B10032" s="40"/>
      <c r="C10032" s="40"/>
      <c r="E10032" s="80"/>
    </row>
    <row r="10033" spans="2:5" x14ac:dyDescent="0.25">
      <c r="B10033" s="40"/>
      <c r="C10033" s="40"/>
      <c r="E10033" s="80"/>
    </row>
    <row r="10034" spans="2:5" x14ac:dyDescent="0.25">
      <c r="B10034" s="40"/>
      <c r="C10034" s="40"/>
      <c r="E10034" s="80"/>
    </row>
    <row r="10035" spans="2:5" x14ac:dyDescent="0.25">
      <c r="B10035" s="40"/>
      <c r="C10035" s="40"/>
      <c r="E10035" s="80"/>
    </row>
    <row r="10036" spans="2:5" x14ac:dyDescent="0.25">
      <c r="B10036" s="40"/>
      <c r="C10036" s="40"/>
      <c r="E10036" s="80"/>
    </row>
    <row r="10037" spans="2:5" x14ac:dyDescent="0.25">
      <c r="B10037" s="40"/>
      <c r="C10037" s="40"/>
      <c r="E10037" s="80"/>
    </row>
    <row r="10038" spans="2:5" x14ac:dyDescent="0.25">
      <c r="B10038" s="40"/>
      <c r="C10038" s="40"/>
      <c r="E10038" s="80"/>
    </row>
    <row r="10039" spans="2:5" x14ac:dyDescent="0.25">
      <c r="B10039" s="40"/>
      <c r="C10039" s="40"/>
      <c r="E10039" s="80"/>
    </row>
    <row r="10040" spans="2:5" x14ac:dyDescent="0.25">
      <c r="B10040" s="40"/>
      <c r="C10040" s="40"/>
      <c r="E10040" s="80"/>
    </row>
    <row r="10041" spans="2:5" x14ac:dyDescent="0.25">
      <c r="B10041" s="40"/>
      <c r="C10041" s="40"/>
      <c r="E10041" s="80"/>
    </row>
    <row r="10042" spans="2:5" x14ac:dyDescent="0.25">
      <c r="B10042" s="40"/>
      <c r="C10042" s="40"/>
      <c r="E10042" s="80"/>
    </row>
    <row r="10043" spans="2:5" x14ac:dyDescent="0.25">
      <c r="B10043" s="40"/>
      <c r="C10043" s="40"/>
      <c r="E10043" s="80"/>
    </row>
    <row r="10044" spans="2:5" x14ac:dyDescent="0.25">
      <c r="B10044" s="40"/>
      <c r="C10044" s="40"/>
      <c r="E10044" s="80"/>
    </row>
    <row r="10045" spans="2:5" x14ac:dyDescent="0.25">
      <c r="B10045" s="40"/>
      <c r="C10045" s="40"/>
      <c r="E10045" s="80"/>
    </row>
    <row r="10046" spans="2:5" x14ac:dyDescent="0.25">
      <c r="B10046" s="40"/>
      <c r="C10046" s="40"/>
      <c r="E10046" s="80"/>
    </row>
    <row r="10047" spans="2:5" x14ac:dyDescent="0.25">
      <c r="B10047" s="40"/>
      <c r="C10047" s="40"/>
      <c r="E10047" s="80"/>
    </row>
    <row r="10048" spans="2:5" x14ac:dyDescent="0.25">
      <c r="B10048" s="40"/>
      <c r="C10048" s="40"/>
      <c r="E10048" s="80"/>
    </row>
    <row r="10049" spans="2:5" x14ac:dyDescent="0.25">
      <c r="B10049" s="40"/>
      <c r="C10049" s="40"/>
      <c r="E10049" s="80"/>
    </row>
    <row r="10050" spans="2:5" x14ac:dyDescent="0.25">
      <c r="B10050" s="40"/>
      <c r="C10050" s="40"/>
      <c r="E10050" s="80"/>
    </row>
    <row r="10051" spans="2:5" x14ac:dyDescent="0.25">
      <c r="B10051" s="40"/>
      <c r="C10051" s="40"/>
      <c r="E10051" s="80"/>
    </row>
    <row r="10052" spans="2:5" x14ac:dyDescent="0.25">
      <c r="B10052" s="40"/>
      <c r="C10052" s="40"/>
      <c r="E10052" s="80"/>
    </row>
    <row r="10053" spans="2:5" x14ac:dyDescent="0.25">
      <c r="B10053" s="40"/>
      <c r="C10053" s="40"/>
      <c r="E10053" s="80"/>
    </row>
    <row r="10054" spans="2:5" x14ac:dyDescent="0.25">
      <c r="B10054" s="40"/>
      <c r="C10054" s="40"/>
      <c r="E10054" s="80"/>
    </row>
    <row r="10055" spans="2:5" x14ac:dyDescent="0.25">
      <c r="B10055" s="40"/>
      <c r="C10055" s="40"/>
      <c r="E10055" s="80"/>
    </row>
    <row r="10056" spans="2:5" x14ac:dyDescent="0.25">
      <c r="B10056" s="40"/>
      <c r="C10056" s="40"/>
      <c r="E10056" s="80"/>
    </row>
    <row r="10057" spans="2:5" x14ac:dyDescent="0.25">
      <c r="B10057" s="40"/>
      <c r="C10057" s="40"/>
      <c r="E10057" s="80"/>
    </row>
    <row r="10058" spans="2:5" x14ac:dyDescent="0.25">
      <c r="B10058" s="40"/>
      <c r="C10058" s="40"/>
      <c r="E10058" s="80"/>
    </row>
    <row r="10059" spans="2:5" x14ac:dyDescent="0.25">
      <c r="B10059" s="40"/>
      <c r="C10059" s="40"/>
      <c r="E10059" s="80"/>
    </row>
    <row r="10060" spans="2:5" x14ac:dyDescent="0.25">
      <c r="B10060" s="40"/>
      <c r="C10060" s="40"/>
      <c r="E10060" s="80"/>
    </row>
    <row r="10061" spans="2:5" x14ac:dyDescent="0.25">
      <c r="B10061" s="40"/>
      <c r="C10061" s="40"/>
      <c r="E10061" s="80"/>
    </row>
    <row r="10062" spans="2:5" x14ac:dyDescent="0.25">
      <c r="B10062" s="40"/>
      <c r="C10062" s="40"/>
      <c r="E10062" s="80"/>
    </row>
    <row r="10063" spans="2:5" x14ac:dyDescent="0.25">
      <c r="B10063" s="40"/>
      <c r="C10063" s="40"/>
      <c r="E10063" s="80"/>
    </row>
    <row r="10064" spans="2:5" x14ac:dyDescent="0.25">
      <c r="B10064" s="40"/>
      <c r="C10064" s="40"/>
      <c r="E10064" s="80"/>
    </row>
    <row r="10065" spans="2:5" x14ac:dyDescent="0.25">
      <c r="B10065" s="40"/>
      <c r="C10065" s="40"/>
      <c r="E10065" s="80"/>
    </row>
    <row r="10066" spans="2:5" x14ac:dyDescent="0.25">
      <c r="B10066" s="40"/>
      <c r="C10066" s="40"/>
      <c r="E10066" s="80"/>
    </row>
    <row r="10067" spans="2:5" x14ac:dyDescent="0.25">
      <c r="B10067" s="40"/>
      <c r="C10067" s="40"/>
      <c r="E10067" s="80"/>
    </row>
    <row r="10068" spans="2:5" x14ac:dyDescent="0.25">
      <c r="B10068" s="40"/>
      <c r="C10068" s="40"/>
      <c r="E10068" s="80"/>
    </row>
    <row r="10069" spans="2:5" x14ac:dyDescent="0.25">
      <c r="B10069" s="40"/>
      <c r="C10069" s="40"/>
      <c r="E10069" s="80"/>
    </row>
    <row r="10070" spans="2:5" x14ac:dyDescent="0.25">
      <c r="B10070" s="40"/>
      <c r="C10070" s="40"/>
      <c r="E10070" s="80"/>
    </row>
    <row r="10071" spans="2:5" x14ac:dyDescent="0.25">
      <c r="B10071" s="40"/>
      <c r="C10071" s="40"/>
      <c r="E10071" s="80"/>
    </row>
    <row r="10072" spans="2:5" x14ac:dyDescent="0.25">
      <c r="B10072" s="40"/>
      <c r="C10072" s="40"/>
      <c r="E10072" s="80"/>
    </row>
    <row r="10073" spans="2:5" x14ac:dyDescent="0.25">
      <c r="B10073" s="40"/>
      <c r="C10073" s="40"/>
      <c r="E10073" s="80"/>
    </row>
    <row r="10074" spans="2:5" x14ac:dyDescent="0.25">
      <c r="B10074" s="40"/>
      <c r="C10074" s="40"/>
      <c r="E10074" s="80"/>
    </row>
    <row r="10075" spans="2:5" x14ac:dyDescent="0.25">
      <c r="B10075" s="40"/>
      <c r="C10075" s="40"/>
      <c r="E10075" s="80"/>
    </row>
    <row r="10076" spans="2:5" x14ac:dyDescent="0.25">
      <c r="B10076" s="40"/>
      <c r="C10076" s="40"/>
      <c r="E10076" s="80"/>
    </row>
    <row r="10077" spans="2:5" x14ac:dyDescent="0.25">
      <c r="B10077" s="40"/>
      <c r="C10077" s="40"/>
      <c r="E10077" s="80"/>
    </row>
    <row r="10078" spans="2:5" x14ac:dyDescent="0.25">
      <c r="B10078" s="40"/>
      <c r="C10078" s="40"/>
      <c r="E10078" s="80"/>
    </row>
    <row r="10079" spans="2:5" x14ac:dyDescent="0.25">
      <c r="B10079" s="40"/>
      <c r="C10079" s="40"/>
      <c r="E10079" s="80"/>
    </row>
    <row r="10080" spans="2:5" x14ac:dyDescent="0.25">
      <c r="B10080" s="40"/>
      <c r="C10080" s="40"/>
      <c r="E10080" s="80"/>
    </row>
    <row r="10081" spans="2:5" x14ac:dyDescent="0.25">
      <c r="B10081" s="40"/>
      <c r="C10081" s="40"/>
      <c r="E10081" s="80"/>
    </row>
    <row r="10082" spans="2:5" x14ac:dyDescent="0.25">
      <c r="B10082" s="40"/>
      <c r="C10082" s="40"/>
      <c r="E10082" s="80"/>
    </row>
    <row r="10083" spans="2:5" x14ac:dyDescent="0.25">
      <c r="B10083" s="40"/>
      <c r="C10083" s="40"/>
      <c r="E10083" s="80"/>
    </row>
    <row r="10084" spans="2:5" x14ac:dyDescent="0.25">
      <c r="B10084" s="40"/>
      <c r="C10084" s="40"/>
      <c r="E10084" s="80"/>
    </row>
    <row r="10085" spans="2:5" x14ac:dyDescent="0.25">
      <c r="B10085" s="40"/>
      <c r="C10085" s="40"/>
      <c r="E10085" s="80"/>
    </row>
    <row r="10086" spans="2:5" x14ac:dyDescent="0.25">
      <c r="B10086" s="40"/>
      <c r="C10086" s="40"/>
      <c r="E10086" s="80"/>
    </row>
    <row r="10087" spans="2:5" x14ac:dyDescent="0.25">
      <c r="B10087" s="40"/>
      <c r="C10087" s="40"/>
      <c r="E10087" s="80"/>
    </row>
    <row r="10088" spans="2:5" x14ac:dyDescent="0.25">
      <c r="B10088" s="40"/>
      <c r="C10088" s="40"/>
      <c r="E10088" s="80"/>
    </row>
    <row r="10089" spans="2:5" x14ac:dyDescent="0.25">
      <c r="B10089" s="40"/>
      <c r="C10089" s="40"/>
      <c r="E10089" s="80"/>
    </row>
    <row r="10090" spans="2:5" x14ac:dyDescent="0.25">
      <c r="B10090" s="40"/>
      <c r="C10090" s="40"/>
      <c r="E10090" s="80"/>
    </row>
    <row r="10091" spans="2:5" x14ac:dyDescent="0.25">
      <c r="B10091" s="40"/>
      <c r="C10091" s="40"/>
      <c r="E10091" s="80"/>
    </row>
    <row r="10092" spans="2:5" x14ac:dyDescent="0.25">
      <c r="B10092" s="40"/>
      <c r="C10092" s="40"/>
      <c r="E10092" s="80"/>
    </row>
    <row r="10093" spans="2:5" x14ac:dyDescent="0.25">
      <c r="B10093" s="40"/>
      <c r="C10093" s="40"/>
      <c r="E10093" s="80"/>
    </row>
    <row r="10094" spans="2:5" x14ac:dyDescent="0.25">
      <c r="B10094" s="40"/>
      <c r="C10094" s="40"/>
      <c r="E10094" s="80"/>
    </row>
    <row r="10095" spans="2:5" x14ac:dyDescent="0.25">
      <c r="B10095" s="40"/>
      <c r="C10095" s="40"/>
      <c r="E10095" s="80"/>
    </row>
    <row r="10096" spans="2:5" x14ac:dyDescent="0.25">
      <c r="B10096" s="40"/>
      <c r="C10096" s="40"/>
      <c r="E10096" s="80"/>
    </row>
    <row r="10097" spans="2:5" x14ac:dyDescent="0.25">
      <c r="B10097" s="40"/>
      <c r="C10097" s="40"/>
      <c r="E10097" s="80"/>
    </row>
    <row r="10098" spans="2:5" x14ac:dyDescent="0.25">
      <c r="B10098" s="40"/>
      <c r="C10098" s="40"/>
      <c r="E10098" s="80"/>
    </row>
    <row r="10099" spans="2:5" x14ac:dyDescent="0.25">
      <c r="B10099" s="40"/>
      <c r="C10099" s="40"/>
      <c r="E10099" s="80"/>
    </row>
    <row r="10100" spans="2:5" x14ac:dyDescent="0.25">
      <c r="B10100" s="40"/>
      <c r="C10100" s="40"/>
      <c r="E10100" s="80"/>
    </row>
    <row r="10101" spans="2:5" x14ac:dyDescent="0.25">
      <c r="B10101" s="40"/>
      <c r="C10101" s="40"/>
      <c r="E10101" s="80"/>
    </row>
    <row r="10102" spans="2:5" x14ac:dyDescent="0.25">
      <c r="B10102" s="40"/>
      <c r="C10102" s="40"/>
      <c r="E10102" s="80"/>
    </row>
    <row r="10103" spans="2:5" x14ac:dyDescent="0.25">
      <c r="B10103" s="40"/>
      <c r="C10103" s="40"/>
      <c r="E10103" s="80"/>
    </row>
    <row r="10104" spans="2:5" x14ac:dyDescent="0.25">
      <c r="B10104" s="40"/>
      <c r="C10104" s="40"/>
      <c r="E10104" s="80"/>
    </row>
    <row r="10105" spans="2:5" x14ac:dyDescent="0.25">
      <c r="B10105" s="40"/>
      <c r="C10105" s="40"/>
      <c r="E10105" s="80"/>
    </row>
    <row r="10106" spans="2:5" x14ac:dyDescent="0.25">
      <c r="B10106" s="40"/>
      <c r="C10106" s="40"/>
      <c r="E10106" s="80"/>
    </row>
    <row r="10107" spans="2:5" x14ac:dyDescent="0.25">
      <c r="B10107" s="40"/>
      <c r="C10107" s="40"/>
      <c r="E10107" s="80"/>
    </row>
    <row r="10108" spans="2:5" x14ac:dyDescent="0.25">
      <c r="B10108" s="40"/>
      <c r="C10108" s="40"/>
      <c r="E10108" s="80"/>
    </row>
    <row r="10109" spans="2:5" x14ac:dyDescent="0.25">
      <c r="B10109" s="40"/>
      <c r="C10109" s="40"/>
      <c r="E10109" s="80"/>
    </row>
    <row r="10110" spans="2:5" x14ac:dyDescent="0.25">
      <c r="B10110" s="40"/>
      <c r="C10110" s="40"/>
      <c r="E10110" s="80"/>
    </row>
    <row r="10111" spans="2:5" x14ac:dyDescent="0.25">
      <c r="B10111" s="40"/>
      <c r="C10111" s="40"/>
      <c r="E10111" s="80"/>
    </row>
    <row r="10112" spans="2:5" x14ac:dyDescent="0.25">
      <c r="B10112" s="40"/>
      <c r="C10112" s="40"/>
      <c r="E10112" s="80"/>
    </row>
    <row r="10113" spans="2:5" x14ac:dyDescent="0.25">
      <c r="B10113" s="40"/>
      <c r="C10113" s="40"/>
      <c r="E10113" s="80"/>
    </row>
    <row r="10114" spans="2:5" x14ac:dyDescent="0.25">
      <c r="B10114" s="40"/>
      <c r="C10114" s="40"/>
      <c r="E10114" s="80"/>
    </row>
    <row r="10115" spans="2:5" x14ac:dyDescent="0.25">
      <c r="B10115" s="40"/>
      <c r="C10115" s="40"/>
      <c r="E10115" s="80"/>
    </row>
    <row r="10116" spans="2:5" x14ac:dyDescent="0.25">
      <c r="B10116" s="40"/>
      <c r="C10116" s="40"/>
      <c r="E10116" s="80"/>
    </row>
    <row r="10117" spans="2:5" x14ac:dyDescent="0.25">
      <c r="B10117" s="40"/>
      <c r="C10117" s="40"/>
      <c r="E10117" s="80"/>
    </row>
    <row r="10118" spans="2:5" x14ac:dyDescent="0.25">
      <c r="B10118" s="40"/>
      <c r="C10118" s="40"/>
      <c r="E10118" s="80"/>
    </row>
    <row r="10119" spans="2:5" x14ac:dyDescent="0.25">
      <c r="B10119" s="40"/>
      <c r="C10119" s="40"/>
      <c r="E10119" s="80"/>
    </row>
    <row r="10120" spans="2:5" x14ac:dyDescent="0.25">
      <c r="B10120" s="40"/>
      <c r="C10120" s="40"/>
      <c r="E10120" s="80"/>
    </row>
    <row r="10121" spans="2:5" x14ac:dyDescent="0.25">
      <c r="B10121" s="40"/>
      <c r="C10121" s="40"/>
      <c r="E10121" s="80"/>
    </row>
    <row r="10122" spans="2:5" x14ac:dyDescent="0.25">
      <c r="B10122" s="40"/>
      <c r="C10122" s="40"/>
      <c r="E10122" s="80"/>
    </row>
    <row r="10123" spans="2:5" x14ac:dyDescent="0.25">
      <c r="B10123" s="40"/>
      <c r="C10123" s="40"/>
      <c r="E10123" s="80"/>
    </row>
    <row r="10124" spans="2:5" x14ac:dyDescent="0.25">
      <c r="B10124" s="40"/>
      <c r="C10124" s="40"/>
      <c r="E10124" s="80"/>
    </row>
    <row r="10125" spans="2:5" x14ac:dyDescent="0.25">
      <c r="B10125" s="40"/>
      <c r="C10125" s="40"/>
      <c r="E10125" s="80"/>
    </row>
    <row r="10126" spans="2:5" x14ac:dyDescent="0.25">
      <c r="B10126" s="40"/>
      <c r="C10126" s="40"/>
      <c r="E10126" s="80"/>
    </row>
    <row r="10127" spans="2:5" x14ac:dyDescent="0.25">
      <c r="B10127" s="40"/>
      <c r="C10127" s="40"/>
      <c r="E10127" s="80"/>
    </row>
    <row r="10128" spans="2:5" x14ac:dyDescent="0.25">
      <c r="B10128" s="40"/>
      <c r="C10128" s="40"/>
      <c r="E10128" s="80"/>
    </row>
    <row r="10129" spans="2:5" x14ac:dyDescent="0.25">
      <c r="B10129" s="40"/>
      <c r="C10129" s="40"/>
      <c r="E10129" s="80"/>
    </row>
    <row r="10130" spans="2:5" x14ac:dyDescent="0.25">
      <c r="B10130" s="40"/>
      <c r="C10130" s="40"/>
      <c r="E10130" s="80"/>
    </row>
    <row r="10131" spans="2:5" x14ac:dyDescent="0.25">
      <c r="B10131" s="40"/>
      <c r="C10131" s="40"/>
      <c r="E10131" s="80"/>
    </row>
    <row r="10132" spans="2:5" x14ac:dyDescent="0.25">
      <c r="B10132" s="40"/>
      <c r="C10132" s="40"/>
      <c r="E10132" s="80"/>
    </row>
    <row r="10133" spans="2:5" x14ac:dyDescent="0.25">
      <c r="B10133" s="40"/>
      <c r="C10133" s="40"/>
      <c r="E10133" s="80"/>
    </row>
    <row r="10134" spans="2:5" x14ac:dyDescent="0.25">
      <c r="B10134" s="40"/>
      <c r="C10134" s="40"/>
      <c r="E10134" s="80"/>
    </row>
    <row r="10135" spans="2:5" x14ac:dyDescent="0.25">
      <c r="B10135" s="40"/>
      <c r="C10135" s="40"/>
      <c r="E10135" s="80"/>
    </row>
    <row r="10136" spans="2:5" x14ac:dyDescent="0.25">
      <c r="B10136" s="40"/>
      <c r="C10136" s="40"/>
      <c r="E10136" s="80"/>
    </row>
    <row r="10137" spans="2:5" x14ac:dyDescent="0.25">
      <c r="B10137" s="40"/>
      <c r="C10137" s="40"/>
      <c r="E10137" s="80"/>
    </row>
    <row r="10138" spans="2:5" x14ac:dyDescent="0.25">
      <c r="B10138" s="40"/>
      <c r="C10138" s="40"/>
      <c r="E10138" s="80"/>
    </row>
    <row r="10139" spans="2:5" x14ac:dyDescent="0.25">
      <c r="B10139" s="40"/>
      <c r="C10139" s="40"/>
      <c r="E10139" s="80"/>
    </row>
    <row r="10140" spans="2:5" x14ac:dyDescent="0.25">
      <c r="B10140" s="40"/>
      <c r="C10140" s="40"/>
      <c r="E10140" s="80"/>
    </row>
    <row r="10141" spans="2:5" x14ac:dyDescent="0.25">
      <c r="B10141" s="40"/>
      <c r="C10141" s="40"/>
      <c r="E10141" s="80"/>
    </row>
    <row r="10142" spans="2:5" x14ac:dyDescent="0.25">
      <c r="B10142" s="40"/>
      <c r="C10142" s="40"/>
      <c r="E10142" s="80"/>
    </row>
    <row r="10143" spans="2:5" x14ac:dyDescent="0.25">
      <c r="B10143" s="40"/>
      <c r="C10143" s="40"/>
      <c r="E10143" s="80"/>
    </row>
    <row r="10144" spans="2:5" x14ac:dyDescent="0.25">
      <c r="B10144" s="40"/>
      <c r="C10144" s="40"/>
      <c r="E10144" s="80"/>
    </row>
    <row r="10145" spans="2:5" x14ac:dyDescent="0.25">
      <c r="B10145" s="40"/>
      <c r="C10145" s="40"/>
      <c r="E10145" s="80"/>
    </row>
    <row r="10146" spans="2:5" x14ac:dyDescent="0.25">
      <c r="B10146" s="40"/>
      <c r="C10146" s="40"/>
      <c r="E10146" s="80"/>
    </row>
    <row r="10147" spans="2:5" x14ac:dyDescent="0.25">
      <c r="B10147" s="40"/>
      <c r="C10147" s="40"/>
      <c r="E10147" s="80"/>
    </row>
    <row r="10148" spans="2:5" x14ac:dyDescent="0.25">
      <c r="B10148" s="40"/>
      <c r="C10148" s="40"/>
      <c r="E10148" s="80"/>
    </row>
    <row r="10149" spans="2:5" x14ac:dyDescent="0.25">
      <c r="B10149" s="40"/>
      <c r="C10149" s="40"/>
      <c r="E10149" s="80"/>
    </row>
    <row r="10150" spans="2:5" x14ac:dyDescent="0.25">
      <c r="B10150" s="40"/>
      <c r="C10150" s="40"/>
      <c r="E10150" s="80"/>
    </row>
    <row r="10151" spans="2:5" x14ac:dyDescent="0.25">
      <c r="B10151" s="40"/>
      <c r="C10151" s="40"/>
      <c r="E10151" s="80"/>
    </row>
    <row r="10152" spans="2:5" x14ac:dyDescent="0.25">
      <c r="B10152" s="40"/>
      <c r="C10152" s="40"/>
      <c r="E10152" s="80"/>
    </row>
    <row r="10153" spans="2:5" x14ac:dyDescent="0.25">
      <c r="B10153" s="40"/>
      <c r="C10153" s="40"/>
      <c r="E10153" s="80"/>
    </row>
    <row r="10154" spans="2:5" x14ac:dyDescent="0.25">
      <c r="B10154" s="40"/>
      <c r="C10154" s="40"/>
      <c r="E10154" s="80"/>
    </row>
    <row r="10155" spans="2:5" x14ac:dyDescent="0.25">
      <c r="B10155" s="40"/>
      <c r="C10155" s="40"/>
      <c r="E10155" s="80"/>
    </row>
    <row r="10156" spans="2:5" x14ac:dyDescent="0.25">
      <c r="B10156" s="40"/>
      <c r="C10156" s="40"/>
      <c r="E10156" s="80"/>
    </row>
    <row r="10157" spans="2:5" x14ac:dyDescent="0.25">
      <c r="B10157" s="40"/>
      <c r="C10157" s="40"/>
      <c r="E10157" s="80"/>
    </row>
    <row r="10158" spans="2:5" x14ac:dyDescent="0.25">
      <c r="B10158" s="40"/>
      <c r="C10158" s="40"/>
      <c r="E10158" s="80"/>
    </row>
    <row r="10159" spans="2:5" x14ac:dyDescent="0.25">
      <c r="B10159" s="40"/>
      <c r="C10159" s="40"/>
      <c r="E10159" s="80"/>
    </row>
    <row r="10160" spans="2:5" x14ac:dyDescent="0.25">
      <c r="B10160" s="40"/>
      <c r="C10160" s="40"/>
      <c r="E10160" s="80"/>
    </row>
    <row r="10161" spans="2:5" x14ac:dyDescent="0.25">
      <c r="B10161" s="40"/>
      <c r="C10161" s="40"/>
      <c r="E10161" s="80"/>
    </row>
    <row r="10162" spans="2:5" x14ac:dyDescent="0.25">
      <c r="B10162" s="40"/>
      <c r="C10162" s="40"/>
      <c r="E10162" s="80"/>
    </row>
    <row r="10163" spans="2:5" x14ac:dyDescent="0.25">
      <c r="B10163" s="40"/>
      <c r="C10163" s="40"/>
      <c r="E10163" s="80"/>
    </row>
    <row r="10164" spans="2:5" x14ac:dyDescent="0.25">
      <c r="B10164" s="40"/>
      <c r="C10164" s="40"/>
      <c r="E10164" s="80"/>
    </row>
    <row r="10165" spans="2:5" x14ac:dyDescent="0.25">
      <c r="B10165" s="40"/>
      <c r="C10165" s="40"/>
      <c r="E10165" s="80"/>
    </row>
    <row r="10166" spans="2:5" x14ac:dyDescent="0.25">
      <c r="B10166" s="40"/>
      <c r="C10166" s="40"/>
      <c r="E10166" s="80"/>
    </row>
    <row r="10167" spans="2:5" x14ac:dyDescent="0.25">
      <c r="B10167" s="40"/>
      <c r="C10167" s="40"/>
      <c r="E10167" s="80"/>
    </row>
    <row r="10168" spans="2:5" x14ac:dyDescent="0.25">
      <c r="B10168" s="40"/>
      <c r="C10168" s="40"/>
      <c r="E10168" s="80"/>
    </row>
    <row r="10169" spans="2:5" x14ac:dyDescent="0.25">
      <c r="B10169" s="40"/>
      <c r="C10169" s="40"/>
      <c r="E10169" s="80"/>
    </row>
    <row r="10170" spans="2:5" x14ac:dyDescent="0.25">
      <c r="B10170" s="40"/>
      <c r="C10170" s="40"/>
      <c r="E10170" s="80"/>
    </row>
    <row r="10171" spans="2:5" x14ac:dyDescent="0.25">
      <c r="B10171" s="40"/>
      <c r="C10171" s="40"/>
      <c r="E10171" s="80"/>
    </row>
    <row r="10172" spans="2:5" x14ac:dyDescent="0.25">
      <c r="B10172" s="40"/>
      <c r="C10172" s="40"/>
      <c r="E10172" s="80"/>
    </row>
    <row r="10173" spans="2:5" x14ac:dyDescent="0.25">
      <c r="B10173" s="40"/>
      <c r="C10173" s="40"/>
      <c r="E10173" s="80"/>
    </row>
    <row r="10174" spans="2:5" x14ac:dyDescent="0.25">
      <c r="B10174" s="40"/>
      <c r="C10174" s="40"/>
      <c r="E10174" s="80"/>
    </row>
    <row r="10175" spans="2:5" x14ac:dyDescent="0.25">
      <c r="B10175" s="40"/>
      <c r="C10175" s="40"/>
      <c r="E10175" s="80"/>
    </row>
    <row r="10176" spans="2:5" x14ac:dyDescent="0.25">
      <c r="B10176" s="40"/>
      <c r="C10176" s="40"/>
      <c r="E10176" s="80"/>
    </row>
    <row r="10177" spans="2:5" x14ac:dyDescent="0.25">
      <c r="B10177" s="40"/>
      <c r="C10177" s="40"/>
      <c r="E10177" s="80"/>
    </row>
    <row r="10178" spans="2:5" x14ac:dyDescent="0.25">
      <c r="B10178" s="40"/>
      <c r="C10178" s="40"/>
      <c r="E10178" s="80"/>
    </row>
    <row r="10179" spans="2:5" x14ac:dyDescent="0.25">
      <c r="B10179" s="40"/>
      <c r="C10179" s="40"/>
      <c r="E10179" s="80"/>
    </row>
    <row r="10180" spans="2:5" x14ac:dyDescent="0.25">
      <c r="B10180" s="40"/>
      <c r="C10180" s="40"/>
      <c r="E10180" s="80"/>
    </row>
    <row r="10181" spans="2:5" x14ac:dyDescent="0.25">
      <c r="B10181" s="40"/>
      <c r="C10181" s="40"/>
      <c r="E10181" s="80"/>
    </row>
    <row r="10182" spans="2:5" x14ac:dyDescent="0.25">
      <c r="B10182" s="40"/>
      <c r="C10182" s="40"/>
      <c r="E10182" s="80"/>
    </row>
    <row r="10183" spans="2:5" x14ac:dyDescent="0.25">
      <c r="B10183" s="40"/>
      <c r="C10183" s="40"/>
      <c r="E10183" s="80"/>
    </row>
    <row r="10184" spans="2:5" x14ac:dyDescent="0.25">
      <c r="B10184" s="40"/>
      <c r="C10184" s="40"/>
      <c r="E10184" s="80"/>
    </row>
    <row r="10185" spans="2:5" x14ac:dyDescent="0.25">
      <c r="B10185" s="40"/>
      <c r="C10185" s="40"/>
      <c r="E10185" s="80"/>
    </row>
    <row r="10186" spans="2:5" x14ac:dyDescent="0.25">
      <c r="B10186" s="40"/>
      <c r="C10186" s="40"/>
      <c r="E10186" s="80"/>
    </row>
    <row r="10187" spans="2:5" x14ac:dyDescent="0.25">
      <c r="B10187" s="40"/>
      <c r="C10187" s="40"/>
      <c r="E10187" s="80"/>
    </row>
    <row r="10188" spans="2:5" x14ac:dyDescent="0.25">
      <c r="B10188" s="40"/>
      <c r="C10188" s="40"/>
      <c r="E10188" s="80"/>
    </row>
    <row r="10189" spans="2:5" x14ac:dyDescent="0.25">
      <c r="B10189" s="40"/>
      <c r="C10189" s="40"/>
      <c r="E10189" s="80"/>
    </row>
    <row r="10190" spans="2:5" x14ac:dyDescent="0.25">
      <c r="B10190" s="40"/>
      <c r="C10190" s="40"/>
      <c r="E10190" s="80"/>
    </row>
    <row r="10191" spans="2:5" x14ac:dyDescent="0.25">
      <c r="B10191" s="40"/>
      <c r="C10191" s="40"/>
      <c r="E10191" s="80"/>
    </row>
    <row r="10192" spans="2:5" x14ac:dyDescent="0.25">
      <c r="B10192" s="40"/>
      <c r="C10192" s="40"/>
      <c r="E10192" s="80"/>
    </row>
    <row r="10193" spans="2:5" x14ac:dyDescent="0.25">
      <c r="B10193" s="40"/>
      <c r="C10193" s="40"/>
      <c r="E10193" s="80"/>
    </row>
    <row r="10194" spans="2:5" x14ac:dyDescent="0.25">
      <c r="B10194" s="40"/>
      <c r="C10194" s="40"/>
      <c r="E10194" s="80"/>
    </row>
    <row r="10195" spans="2:5" x14ac:dyDescent="0.25">
      <c r="B10195" s="40"/>
      <c r="C10195" s="40"/>
      <c r="E10195" s="80"/>
    </row>
    <row r="10196" spans="2:5" x14ac:dyDescent="0.25">
      <c r="B10196" s="40"/>
      <c r="C10196" s="40"/>
      <c r="E10196" s="80"/>
    </row>
    <row r="10197" spans="2:5" x14ac:dyDescent="0.25">
      <c r="B10197" s="40"/>
      <c r="C10197" s="40"/>
      <c r="E10197" s="80"/>
    </row>
    <row r="10198" spans="2:5" x14ac:dyDescent="0.25">
      <c r="B10198" s="40"/>
      <c r="C10198" s="40"/>
      <c r="E10198" s="80"/>
    </row>
    <row r="10199" spans="2:5" x14ac:dyDescent="0.25">
      <c r="B10199" s="40"/>
      <c r="C10199" s="40"/>
      <c r="E10199" s="80"/>
    </row>
    <row r="10200" spans="2:5" x14ac:dyDescent="0.25">
      <c r="B10200" s="40"/>
      <c r="C10200" s="40"/>
      <c r="E10200" s="80"/>
    </row>
    <row r="10201" spans="2:5" x14ac:dyDescent="0.25">
      <c r="B10201" s="40"/>
      <c r="C10201" s="40"/>
      <c r="E10201" s="80"/>
    </row>
    <row r="10202" spans="2:5" x14ac:dyDescent="0.25">
      <c r="B10202" s="40"/>
      <c r="C10202" s="40"/>
      <c r="E10202" s="80"/>
    </row>
    <row r="10203" spans="2:5" x14ac:dyDescent="0.25">
      <c r="B10203" s="40"/>
      <c r="C10203" s="40"/>
      <c r="E10203" s="80"/>
    </row>
    <row r="10204" spans="2:5" x14ac:dyDescent="0.25">
      <c r="B10204" s="40"/>
      <c r="C10204" s="40"/>
      <c r="E10204" s="80"/>
    </row>
    <row r="10205" spans="2:5" x14ac:dyDescent="0.25">
      <c r="B10205" s="40"/>
      <c r="C10205" s="40"/>
      <c r="E10205" s="80"/>
    </row>
    <row r="10206" spans="2:5" x14ac:dyDescent="0.25">
      <c r="B10206" s="40"/>
      <c r="C10206" s="40"/>
      <c r="E10206" s="80"/>
    </row>
    <row r="10207" spans="2:5" x14ac:dyDescent="0.25">
      <c r="B10207" s="40"/>
      <c r="C10207" s="40"/>
      <c r="E10207" s="80"/>
    </row>
    <row r="10208" spans="2:5" x14ac:dyDescent="0.25">
      <c r="B10208" s="40"/>
      <c r="C10208" s="40"/>
      <c r="E10208" s="80"/>
    </row>
    <row r="10209" spans="2:5" x14ac:dyDescent="0.25">
      <c r="B10209" s="40"/>
      <c r="C10209" s="40"/>
      <c r="E10209" s="80"/>
    </row>
    <row r="10210" spans="2:5" x14ac:dyDescent="0.25">
      <c r="B10210" s="40"/>
      <c r="C10210" s="40"/>
      <c r="E10210" s="80"/>
    </row>
    <row r="10211" spans="2:5" x14ac:dyDescent="0.25">
      <c r="B10211" s="40"/>
      <c r="C10211" s="40"/>
      <c r="E10211" s="80"/>
    </row>
    <row r="10212" spans="2:5" x14ac:dyDescent="0.25">
      <c r="B10212" s="40"/>
      <c r="C10212" s="40"/>
      <c r="E10212" s="80"/>
    </row>
    <row r="10213" spans="2:5" x14ac:dyDescent="0.25">
      <c r="B10213" s="40"/>
      <c r="C10213" s="40"/>
      <c r="E10213" s="80"/>
    </row>
    <row r="10214" spans="2:5" x14ac:dyDescent="0.25">
      <c r="B10214" s="40"/>
      <c r="C10214" s="40"/>
      <c r="E10214" s="80"/>
    </row>
    <row r="10215" spans="2:5" x14ac:dyDescent="0.25">
      <c r="B10215" s="40"/>
      <c r="C10215" s="40"/>
      <c r="E10215" s="80"/>
    </row>
    <row r="10216" spans="2:5" x14ac:dyDescent="0.25">
      <c r="B10216" s="40"/>
      <c r="C10216" s="40"/>
      <c r="E10216" s="80"/>
    </row>
    <row r="10217" spans="2:5" x14ac:dyDescent="0.25">
      <c r="B10217" s="40"/>
      <c r="C10217" s="40"/>
      <c r="E10217" s="80"/>
    </row>
    <row r="10218" spans="2:5" x14ac:dyDescent="0.25">
      <c r="B10218" s="40"/>
      <c r="C10218" s="40"/>
      <c r="E10218" s="80"/>
    </row>
    <row r="10219" spans="2:5" x14ac:dyDescent="0.25">
      <c r="B10219" s="40"/>
      <c r="C10219" s="40"/>
      <c r="E10219" s="80"/>
    </row>
    <row r="10220" spans="2:5" x14ac:dyDescent="0.25">
      <c r="B10220" s="40"/>
      <c r="C10220" s="40"/>
      <c r="E10220" s="80"/>
    </row>
    <row r="10221" spans="2:5" x14ac:dyDescent="0.25">
      <c r="B10221" s="40"/>
      <c r="C10221" s="40"/>
      <c r="E10221" s="80"/>
    </row>
    <row r="10222" spans="2:5" x14ac:dyDescent="0.25">
      <c r="B10222" s="40"/>
      <c r="C10222" s="40"/>
      <c r="E10222" s="80"/>
    </row>
    <row r="10223" spans="2:5" x14ac:dyDescent="0.25">
      <c r="B10223" s="40"/>
      <c r="C10223" s="40"/>
      <c r="E10223" s="80"/>
    </row>
    <row r="10224" spans="2:5" x14ac:dyDescent="0.25">
      <c r="B10224" s="40"/>
      <c r="C10224" s="40"/>
      <c r="E10224" s="80"/>
    </row>
    <row r="10225" spans="2:5" x14ac:dyDescent="0.25">
      <c r="B10225" s="40"/>
      <c r="C10225" s="40"/>
      <c r="E10225" s="80"/>
    </row>
    <row r="10226" spans="2:5" x14ac:dyDescent="0.25">
      <c r="B10226" s="40"/>
      <c r="C10226" s="40"/>
      <c r="E10226" s="80"/>
    </row>
    <row r="10227" spans="2:5" x14ac:dyDescent="0.25">
      <c r="B10227" s="40"/>
      <c r="C10227" s="40"/>
      <c r="E10227" s="80"/>
    </row>
    <row r="10228" spans="2:5" x14ac:dyDescent="0.25">
      <c r="B10228" s="40"/>
      <c r="C10228" s="40"/>
      <c r="E10228" s="80"/>
    </row>
    <row r="10229" spans="2:5" x14ac:dyDescent="0.25">
      <c r="B10229" s="40"/>
      <c r="C10229" s="40"/>
      <c r="E10229" s="80"/>
    </row>
    <row r="10230" spans="2:5" x14ac:dyDescent="0.25">
      <c r="B10230" s="40"/>
      <c r="C10230" s="40"/>
      <c r="E10230" s="80"/>
    </row>
    <row r="10231" spans="2:5" x14ac:dyDescent="0.25">
      <c r="B10231" s="40"/>
      <c r="C10231" s="40"/>
      <c r="E10231" s="80"/>
    </row>
    <row r="10232" spans="2:5" x14ac:dyDescent="0.25">
      <c r="B10232" s="40"/>
      <c r="C10232" s="40"/>
      <c r="E10232" s="80"/>
    </row>
    <row r="10233" spans="2:5" x14ac:dyDescent="0.25">
      <c r="B10233" s="40"/>
      <c r="C10233" s="40"/>
      <c r="E10233" s="80"/>
    </row>
    <row r="10234" spans="2:5" x14ac:dyDescent="0.25">
      <c r="B10234" s="40"/>
      <c r="C10234" s="40"/>
      <c r="E10234" s="80"/>
    </row>
    <row r="10235" spans="2:5" x14ac:dyDescent="0.25">
      <c r="B10235" s="40"/>
      <c r="C10235" s="40"/>
      <c r="E10235" s="80"/>
    </row>
    <row r="10236" spans="2:5" x14ac:dyDescent="0.25">
      <c r="B10236" s="40"/>
      <c r="C10236" s="40"/>
      <c r="E10236" s="80"/>
    </row>
    <row r="10237" spans="2:5" x14ac:dyDescent="0.25">
      <c r="B10237" s="40"/>
      <c r="C10237" s="40"/>
      <c r="E10237" s="80"/>
    </row>
    <row r="10238" spans="2:5" x14ac:dyDescent="0.25">
      <c r="B10238" s="40"/>
      <c r="C10238" s="40"/>
      <c r="E10238" s="80"/>
    </row>
    <row r="10239" spans="2:5" x14ac:dyDescent="0.25">
      <c r="B10239" s="40"/>
      <c r="C10239" s="40"/>
      <c r="E10239" s="80"/>
    </row>
    <row r="10240" spans="2:5" x14ac:dyDescent="0.25">
      <c r="B10240" s="40"/>
      <c r="C10240" s="40"/>
      <c r="E10240" s="80"/>
    </row>
    <row r="10241" spans="2:5" x14ac:dyDescent="0.25">
      <c r="B10241" s="40"/>
      <c r="C10241" s="40"/>
      <c r="E10241" s="80"/>
    </row>
    <row r="10242" spans="2:5" x14ac:dyDescent="0.25">
      <c r="B10242" s="40"/>
      <c r="C10242" s="40"/>
      <c r="E10242" s="80"/>
    </row>
    <row r="10243" spans="2:5" x14ac:dyDescent="0.25">
      <c r="B10243" s="40"/>
      <c r="C10243" s="40"/>
      <c r="E10243" s="80"/>
    </row>
    <row r="10244" spans="2:5" x14ac:dyDescent="0.25">
      <c r="B10244" s="40"/>
      <c r="C10244" s="40"/>
      <c r="E10244" s="80"/>
    </row>
    <row r="10245" spans="2:5" x14ac:dyDescent="0.25">
      <c r="B10245" s="40"/>
      <c r="C10245" s="40"/>
      <c r="E10245" s="80"/>
    </row>
    <row r="10246" spans="2:5" x14ac:dyDescent="0.25">
      <c r="B10246" s="40"/>
      <c r="C10246" s="40"/>
      <c r="E10246" s="80"/>
    </row>
    <row r="10247" spans="2:5" x14ac:dyDescent="0.25">
      <c r="B10247" s="40"/>
      <c r="C10247" s="40"/>
      <c r="E10247" s="80"/>
    </row>
    <row r="10248" spans="2:5" x14ac:dyDescent="0.25">
      <c r="B10248" s="40"/>
      <c r="C10248" s="40"/>
      <c r="E10248" s="80"/>
    </row>
    <row r="10249" spans="2:5" x14ac:dyDescent="0.25">
      <c r="B10249" s="40"/>
      <c r="C10249" s="40"/>
      <c r="E10249" s="80"/>
    </row>
    <row r="10250" spans="2:5" x14ac:dyDescent="0.25">
      <c r="B10250" s="40"/>
      <c r="C10250" s="40"/>
      <c r="E10250" s="80"/>
    </row>
    <row r="10251" spans="2:5" x14ac:dyDescent="0.25">
      <c r="B10251" s="40"/>
      <c r="C10251" s="40"/>
      <c r="E10251" s="80"/>
    </row>
    <row r="10252" spans="2:5" x14ac:dyDescent="0.25">
      <c r="B10252" s="40"/>
      <c r="C10252" s="40"/>
      <c r="E10252" s="80"/>
    </row>
    <row r="10253" spans="2:5" x14ac:dyDescent="0.25">
      <c r="B10253" s="40"/>
      <c r="C10253" s="40"/>
      <c r="E10253" s="80"/>
    </row>
    <row r="10254" spans="2:5" x14ac:dyDescent="0.25">
      <c r="B10254" s="40"/>
      <c r="C10254" s="40"/>
      <c r="E10254" s="80"/>
    </row>
    <row r="10255" spans="2:5" x14ac:dyDescent="0.25">
      <c r="B10255" s="40"/>
      <c r="C10255" s="40"/>
      <c r="E10255" s="80"/>
    </row>
    <row r="10256" spans="2:5" x14ac:dyDescent="0.25">
      <c r="B10256" s="40"/>
      <c r="C10256" s="40"/>
      <c r="E10256" s="80"/>
    </row>
    <row r="10257" spans="2:5" x14ac:dyDescent="0.25">
      <c r="B10257" s="40"/>
      <c r="C10257" s="40"/>
      <c r="E10257" s="80"/>
    </row>
    <row r="10258" spans="2:5" x14ac:dyDescent="0.25">
      <c r="B10258" s="40"/>
      <c r="C10258" s="40"/>
      <c r="E10258" s="80"/>
    </row>
    <row r="10259" spans="2:5" x14ac:dyDescent="0.25">
      <c r="B10259" s="40"/>
      <c r="C10259" s="40"/>
      <c r="E10259" s="80"/>
    </row>
    <row r="10260" spans="2:5" x14ac:dyDescent="0.25">
      <c r="B10260" s="40"/>
      <c r="C10260" s="40"/>
      <c r="E10260" s="80"/>
    </row>
    <row r="10261" spans="2:5" x14ac:dyDescent="0.25">
      <c r="B10261" s="40"/>
      <c r="C10261" s="40"/>
      <c r="E10261" s="80"/>
    </row>
    <row r="10262" spans="2:5" x14ac:dyDescent="0.25">
      <c r="B10262" s="40"/>
      <c r="C10262" s="40"/>
      <c r="E10262" s="80"/>
    </row>
    <row r="10263" spans="2:5" x14ac:dyDescent="0.25">
      <c r="B10263" s="40"/>
      <c r="C10263" s="40"/>
      <c r="E10263" s="80"/>
    </row>
    <row r="10264" spans="2:5" x14ac:dyDescent="0.25">
      <c r="B10264" s="40"/>
      <c r="C10264" s="40"/>
      <c r="E10264" s="80"/>
    </row>
    <row r="10265" spans="2:5" x14ac:dyDescent="0.25">
      <c r="B10265" s="40"/>
      <c r="C10265" s="40"/>
      <c r="E10265" s="80"/>
    </row>
    <row r="10266" spans="2:5" x14ac:dyDescent="0.25">
      <c r="B10266" s="40"/>
      <c r="C10266" s="40"/>
      <c r="E10266" s="80"/>
    </row>
    <row r="10267" spans="2:5" x14ac:dyDescent="0.25">
      <c r="B10267" s="40"/>
      <c r="C10267" s="40"/>
      <c r="E10267" s="80"/>
    </row>
    <row r="10268" spans="2:5" x14ac:dyDescent="0.25">
      <c r="B10268" s="40"/>
      <c r="C10268" s="40"/>
      <c r="E10268" s="80"/>
    </row>
    <row r="10269" spans="2:5" x14ac:dyDescent="0.25">
      <c r="B10269" s="40"/>
      <c r="C10269" s="40"/>
      <c r="E10269" s="80"/>
    </row>
    <row r="10270" spans="2:5" x14ac:dyDescent="0.25">
      <c r="B10270" s="40"/>
      <c r="C10270" s="40"/>
      <c r="E10270" s="80"/>
    </row>
    <row r="10271" spans="2:5" x14ac:dyDescent="0.25">
      <c r="B10271" s="40"/>
      <c r="C10271" s="40"/>
      <c r="E10271" s="80"/>
    </row>
    <row r="10272" spans="2:5" x14ac:dyDescent="0.25">
      <c r="B10272" s="40"/>
      <c r="C10272" s="40"/>
      <c r="E10272" s="80"/>
    </row>
    <row r="10273" spans="2:5" x14ac:dyDescent="0.25">
      <c r="B10273" s="40"/>
      <c r="C10273" s="40"/>
      <c r="E10273" s="80"/>
    </row>
    <row r="10274" spans="2:5" x14ac:dyDescent="0.25">
      <c r="B10274" s="40"/>
      <c r="C10274" s="40"/>
      <c r="E10274" s="80"/>
    </row>
    <row r="10275" spans="2:5" x14ac:dyDescent="0.25">
      <c r="B10275" s="40"/>
      <c r="C10275" s="40"/>
      <c r="E10275" s="80"/>
    </row>
    <row r="10276" spans="2:5" x14ac:dyDescent="0.25">
      <c r="B10276" s="40"/>
      <c r="C10276" s="40"/>
      <c r="E10276" s="80"/>
    </row>
    <row r="10277" spans="2:5" x14ac:dyDescent="0.25">
      <c r="B10277" s="40"/>
      <c r="C10277" s="40"/>
      <c r="E10277" s="80"/>
    </row>
    <row r="10278" spans="2:5" x14ac:dyDescent="0.25">
      <c r="B10278" s="40"/>
      <c r="C10278" s="40"/>
      <c r="E10278" s="80"/>
    </row>
    <row r="10279" spans="2:5" x14ac:dyDescent="0.25">
      <c r="B10279" s="40"/>
      <c r="C10279" s="40"/>
      <c r="E10279" s="80"/>
    </row>
    <row r="10280" spans="2:5" x14ac:dyDescent="0.25">
      <c r="B10280" s="40"/>
      <c r="C10280" s="40"/>
      <c r="E10280" s="80"/>
    </row>
    <row r="10281" spans="2:5" x14ac:dyDescent="0.25">
      <c r="B10281" s="40"/>
      <c r="C10281" s="40"/>
      <c r="E10281" s="80"/>
    </row>
    <row r="10282" spans="2:5" x14ac:dyDescent="0.25">
      <c r="B10282" s="40"/>
      <c r="C10282" s="40"/>
      <c r="E10282" s="80"/>
    </row>
    <row r="10283" spans="2:5" x14ac:dyDescent="0.25">
      <c r="B10283" s="40"/>
      <c r="C10283" s="40"/>
      <c r="E10283" s="80"/>
    </row>
    <row r="10284" spans="2:5" x14ac:dyDescent="0.25">
      <c r="B10284" s="40"/>
      <c r="C10284" s="40"/>
      <c r="E10284" s="80"/>
    </row>
    <row r="10285" spans="2:5" x14ac:dyDescent="0.25">
      <c r="B10285" s="40"/>
      <c r="C10285" s="40"/>
      <c r="E10285" s="80"/>
    </row>
    <row r="10286" spans="2:5" x14ac:dyDescent="0.25">
      <c r="B10286" s="40"/>
      <c r="C10286" s="40"/>
      <c r="E10286" s="80"/>
    </row>
    <row r="10287" spans="2:5" x14ac:dyDescent="0.25">
      <c r="B10287" s="40"/>
      <c r="C10287" s="40"/>
      <c r="E10287" s="80"/>
    </row>
    <row r="10288" spans="2:5" x14ac:dyDescent="0.25">
      <c r="B10288" s="40"/>
      <c r="C10288" s="40"/>
      <c r="E10288" s="80"/>
    </row>
    <row r="10289" spans="2:5" x14ac:dyDescent="0.25">
      <c r="B10289" s="40"/>
      <c r="C10289" s="40"/>
      <c r="E10289" s="80"/>
    </row>
    <row r="10290" spans="2:5" x14ac:dyDescent="0.25">
      <c r="B10290" s="40"/>
      <c r="C10290" s="40"/>
      <c r="E10290" s="80"/>
    </row>
    <row r="10291" spans="2:5" x14ac:dyDescent="0.25">
      <c r="B10291" s="40"/>
      <c r="C10291" s="40"/>
      <c r="E10291" s="80"/>
    </row>
    <row r="10292" spans="2:5" x14ac:dyDescent="0.25">
      <c r="B10292" s="40"/>
      <c r="C10292" s="40"/>
      <c r="E10292" s="80"/>
    </row>
    <row r="10293" spans="2:5" x14ac:dyDescent="0.25">
      <c r="B10293" s="40"/>
      <c r="C10293" s="40"/>
      <c r="E10293" s="80"/>
    </row>
    <row r="10294" spans="2:5" x14ac:dyDescent="0.25">
      <c r="B10294" s="40"/>
      <c r="C10294" s="40"/>
      <c r="E10294" s="80"/>
    </row>
    <row r="10295" spans="2:5" x14ac:dyDescent="0.25">
      <c r="B10295" s="40"/>
      <c r="C10295" s="40"/>
      <c r="E10295" s="80"/>
    </row>
    <row r="10296" spans="2:5" x14ac:dyDescent="0.25">
      <c r="B10296" s="40"/>
      <c r="C10296" s="40"/>
      <c r="E10296" s="80"/>
    </row>
    <row r="10297" spans="2:5" x14ac:dyDescent="0.25">
      <c r="B10297" s="40"/>
      <c r="C10297" s="40"/>
      <c r="E10297" s="80"/>
    </row>
    <row r="10298" spans="2:5" x14ac:dyDescent="0.25">
      <c r="B10298" s="40"/>
      <c r="C10298" s="40"/>
      <c r="E10298" s="80"/>
    </row>
    <row r="10299" spans="2:5" x14ac:dyDescent="0.25">
      <c r="B10299" s="40"/>
      <c r="C10299" s="40"/>
      <c r="E10299" s="80"/>
    </row>
    <row r="10300" spans="2:5" x14ac:dyDescent="0.25">
      <c r="B10300" s="40"/>
      <c r="C10300" s="40"/>
      <c r="E10300" s="80"/>
    </row>
    <row r="10301" spans="2:5" x14ac:dyDescent="0.25">
      <c r="B10301" s="40"/>
      <c r="C10301" s="40"/>
      <c r="E10301" s="80"/>
    </row>
    <row r="10302" spans="2:5" x14ac:dyDescent="0.25">
      <c r="B10302" s="40"/>
      <c r="C10302" s="40"/>
      <c r="E10302" s="80"/>
    </row>
    <row r="10303" spans="2:5" x14ac:dyDescent="0.25">
      <c r="B10303" s="40"/>
      <c r="C10303" s="40"/>
      <c r="E10303" s="80"/>
    </row>
    <row r="10304" spans="2:5" x14ac:dyDescent="0.25">
      <c r="B10304" s="40"/>
      <c r="C10304" s="40"/>
      <c r="E10304" s="80"/>
    </row>
    <row r="10305" spans="2:5" x14ac:dyDescent="0.25">
      <c r="B10305" s="40"/>
      <c r="C10305" s="40"/>
      <c r="E10305" s="80"/>
    </row>
    <row r="10306" spans="2:5" x14ac:dyDescent="0.25">
      <c r="B10306" s="40"/>
      <c r="C10306" s="40"/>
      <c r="E10306" s="80"/>
    </row>
    <row r="10307" spans="2:5" x14ac:dyDescent="0.25">
      <c r="B10307" s="40"/>
      <c r="C10307" s="40"/>
      <c r="E10307" s="80"/>
    </row>
    <row r="10308" spans="2:5" x14ac:dyDescent="0.25">
      <c r="B10308" s="40"/>
      <c r="C10308" s="40"/>
      <c r="E10308" s="80"/>
    </row>
    <row r="10309" spans="2:5" x14ac:dyDescent="0.25">
      <c r="B10309" s="40"/>
      <c r="C10309" s="40"/>
      <c r="E10309" s="80"/>
    </row>
    <row r="10310" spans="2:5" x14ac:dyDescent="0.25">
      <c r="B10310" s="40"/>
      <c r="C10310" s="40"/>
      <c r="E10310" s="80"/>
    </row>
    <row r="10311" spans="2:5" x14ac:dyDescent="0.25">
      <c r="B10311" s="40"/>
      <c r="C10311" s="40"/>
      <c r="E10311" s="80"/>
    </row>
    <row r="10312" spans="2:5" x14ac:dyDescent="0.25">
      <c r="B10312" s="40"/>
      <c r="C10312" s="40"/>
      <c r="E10312" s="80"/>
    </row>
    <row r="10313" spans="2:5" x14ac:dyDescent="0.25">
      <c r="B10313" s="40"/>
      <c r="C10313" s="40"/>
      <c r="E10313" s="80"/>
    </row>
    <row r="10314" spans="2:5" x14ac:dyDescent="0.25">
      <c r="B10314" s="40"/>
      <c r="C10314" s="40"/>
      <c r="E10314" s="80"/>
    </row>
    <row r="10315" spans="2:5" x14ac:dyDescent="0.25">
      <c r="B10315" s="40"/>
      <c r="C10315" s="40"/>
      <c r="E10315" s="80"/>
    </row>
    <row r="10316" spans="2:5" x14ac:dyDescent="0.25">
      <c r="B10316" s="40"/>
      <c r="C10316" s="40"/>
      <c r="E10316" s="80"/>
    </row>
    <row r="10317" spans="2:5" x14ac:dyDescent="0.25">
      <c r="B10317" s="40"/>
      <c r="C10317" s="40"/>
      <c r="E10317" s="80"/>
    </row>
    <row r="10318" spans="2:5" x14ac:dyDescent="0.25">
      <c r="B10318" s="40"/>
      <c r="C10318" s="40"/>
      <c r="E10318" s="80"/>
    </row>
    <row r="10319" spans="2:5" x14ac:dyDescent="0.25">
      <c r="B10319" s="40"/>
      <c r="C10319" s="40"/>
      <c r="E10319" s="80"/>
    </row>
    <row r="10320" spans="2:5" x14ac:dyDescent="0.25">
      <c r="B10320" s="40"/>
      <c r="C10320" s="40"/>
      <c r="E10320" s="80"/>
    </row>
    <row r="10321" spans="2:5" x14ac:dyDescent="0.25">
      <c r="B10321" s="40"/>
      <c r="C10321" s="40"/>
      <c r="E10321" s="80"/>
    </row>
    <row r="10322" spans="2:5" x14ac:dyDescent="0.25">
      <c r="B10322" s="40"/>
      <c r="C10322" s="40"/>
      <c r="E10322" s="80"/>
    </row>
    <row r="10323" spans="2:5" x14ac:dyDescent="0.25">
      <c r="B10323" s="40"/>
      <c r="C10323" s="40"/>
      <c r="E10323" s="80"/>
    </row>
    <row r="10324" spans="2:5" x14ac:dyDescent="0.25">
      <c r="B10324" s="40"/>
      <c r="C10324" s="40"/>
      <c r="E10324" s="80"/>
    </row>
    <row r="10325" spans="2:5" x14ac:dyDescent="0.25">
      <c r="B10325" s="40"/>
      <c r="C10325" s="40"/>
      <c r="E10325" s="80"/>
    </row>
    <row r="10326" spans="2:5" x14ac:dyDescent="0.25">
      <c r="B10326" s="40"/>
      <c r="C10326" s="40"/>
      <c r="E10326" s="80"/>
    </row>
    <row r="10327" spans="2:5" x14ac:dyDescent="0.25">
      <c r="B10327" s="40"/>
      <c r="C10327" s="40"/>
      <c r="E10327" s="80"/>
    </row>
    <row r="10328" spans="2:5" x14ac:dyDescent="0.25">
      <c r="B10328" s="40"/>
      <c r="C10328" s="40"/>
      <c r="E10328" s="80"/>
    </row>
    <row r="10329" spans="2:5" x14ac:dyDescent="0.25">
      <c r="B10329" s="40"/>
      <c r="C10329" s="40"/>
      <c r="E10329" s="80"/>
    </row>
    <row r="10330" spans="2:5" x14ac:dyDescent="0.25">
      <c r="B10330" s="40"/>
      <c r="C10330" s="40"/>
      <c r="E10330" s="80"/>
    </row>
    <row r="10331" spans="2:5" x14ac:dyDescent="0.25">
      <c r="B10331" s="40"/>
      <c r="C10331" s="40"/>
      <c r="E10331" s="80"/>
    </row>
    <row r="10332" spans="2:5" x14ac:dyDescent="0.25">
      <c r="B10332" s="40"/>
      <c r="C10332" s="40"/>
      <c r="E10332" s="80"/>
    </row>
    <row r="10333" spans="2:5" x14ac:dyDescent="0.25">
      <c r="B10333" s="40"/>
      <c r="C10333" s="40"/>
      <c r="E10333" s="80"/>
    </row>
    <row r="10334" spans="2:5" x14ac:dyDescent="0.25">
      <c r="B10334" s="40"/>
      <c r="C10334" s="40"/>
      <c r="E10334" s="80"/>
    </row>
    <row r="10335" spans="2:5" x14ac:dyDescent="0.25">
      <c r="B10335" s="40"/>
      <c r="C10335" s="40"/>
      <c r="E10335" s="80"/>
    </row>
    <row r="10336" spans="2:5" x14ac:dyDescent="0.25">
      <c r="B10336" s="40"/>
      <c r="C10336" s="40"/>
      <c r="E10336" s="80"/>
    </row>
    <row r="10337" spans="2:5" x14ac:dyDescent="0.25">
      <c r="B10337" s="40"/>
      <c r="C10337" s="40"/>
      <c r="E10337" s="80"/>
    </row>
    <row r="10338" spans="2:5" x14ac:dyDescent="0.25">
      <c r="B10338" s="40"/>
      <c r="C10338" s="40"/>
      <c r="E10338" s="80"/>
    </row>
    <row r="10339" spans="2:5" x14ac:dyDescent="0.25">
      <c r="B10339" s="40"/>
      <c r="C10339" s="40"/>
      <c r="E10339" s="80"/>
    </row>
    <row r="10340" spans="2:5" x14ac:dyDescent="0.25">
      <c r="B10340" s="40"/>
      <c r="C10340" s="40"/>
      <c r="E10340" s="80"/>
    </row>
    <row r="10341" spans="2:5" x14ac:dyDescent="0.25">
      <c r="B10341" s="40"/>
      <c r="C10341" s="40"/>
      <c r="E10341" s="80"/>
    </row>
    <row r="10342" spans="2:5" x14ac:dyDescent="0.25">
      <c r="B10342" s="40"/>
      <c r="C10342" s="40"/>
      <c r="E10342" s="80"/>
    </row>
    <row r="10343" spans="2:5" x14ac:dyDescent="0.25">
      <c r="B10343" s="40"/>
      <c r="C10343" s="40"/>
      <c r="E10343" s="80"/>
    </row>
    <row r="10344" spans="2:5" x14ac:dyDescent="0.25">
      <c r="B10344" s="40"/>
      <c r="C10344" s="40"/>
      <c r="E10344" s="80"/>
    </row>
    <row r="10345" spans="2:5" x14ac:dyDescent="0.25">
      <c r="B10345" s="40"/>
      <c r="C10345" s="40"/>
      <c r="E10345" s="80"/>
    </row>
    <row r="10346" spans="2:5" x14ac:dyDescent="0.25">
      <c r="B10346" s="40"/>
      <c r="C10346" s="40"/>
      <c r="E10346" s="80"/>
    </row>
    <row r="10347" spans="2:5" x14ac:dyDescent="0.25">
      <c r="B10347" s="40"/>
      <c r="C10347" s="40"/>
      <c r="E10347" s="80"/>
    </row>
    <row r="10348" spans="2:5" x14ac:dyDescent="0.25">
      <c r="B10348" s="40"/>
      <c r="C10348" s="40"/>
      <c r="E10348" s="80"/>
    </row>
    <row r="10349" spans="2:5" x14ac:dyDescent="0.25">
      <c r="B10349" s="40"/>
      <c r="C10349" s="40"/>
      <c r="E10349" s="80"/>
    </row>
    <row r="10350" spans="2:5" x14ac:dyDescent="0.25">
      <c r="B10350" s="40"/>
      <c r="C10350" s="40"/>
      <c r="E10350" s="80"/>
    </row>
    <row r="10351" spans="2:5" x14ac:dyDescent="0.25">
      <c r="B10351" s="40"/>
      <c r="C10351" s="40"/>
      <c r="E10351" s="80"/>
    </row>
    <row r="10352" spans="2:5" x14ac:dyDescent="0.25">
      <c r="B10352" s="40"/>
      <c r="C10352" s="40"/>
      <c r="E10352" s="80"/>
    </row>
    <row r="10353" spans="2:5" x14ac:dyDescent="0.25">
      <c r="B10353" s="40"/>
      <c r="C10353" s="40"/>
      <c r="E10353" s="80"/>
    </row>
    <row r="10354" spans="2:5" x14ac:dyDescent="0.25">
      <c r="B10354" s="40"/>
      <c r="C10354" s="40"/>
      <c r="E10354" s="80"/>
    </row>
    <row r="10355" spans="2:5" x14ac:dyDescent="0.25">
      <c r="B10355" s="40"/>
      <c r="C10355" s="40"/>
      <c r="E10355" s="80"/>
    </row>
    <row r="10356" spans="2:5" x14ac:dyDescent="0.25">
      <c r="B10356" s="40"/>
      <c r="C10356" s="40"/>
      <c r="E10356" s="80"/>
    </row>
    <row r="10357" spans="2:5" x14ac:dyDescent="0.25">
      <c r="B10357" s="40"/>
      <c r="C10357" s="40"/>
      <c r="E10357" s="80"/>
    </row>
    <row r="10358" spans="2:5" x14ac:dyDescent="0.25">
      <c r="B10358" s="40"/>
      <c r="C10358" s="40"/>
      <c r="E10358" s="80"/>
    </row>
    <row r="10359" spans="2:5" x14ac:dyDescent="0.25">
      <c r="B10359" s="40"/>
      <c r="C10359" s="40"/>
      <c r="E10359" s="80"/>
    </row>
    <row r="10360" spans="2:5" x14ac:dyDescent="0.25">
      <c r="B10360" s="40"/>
      <c r="C10360" s="40"/>
      <c r="E10360" s="80"/>
    </row>
    <row r="10361" spans="2:5" x14ac:dyDescent="0.25">
      <c r="B10361" s="40"/>
      <c r="C10361" s="40"/>
      <c r="E10361" s="80"/>
    </row>
    <row r="10362" spans="2:5" x14ac:dyDescent="0.25">
      <c r="B10362" s="40"/>
      <c r="C10362" s="40"/>
      <c r="E10362" s="80"/>
    </row>
    <row r="10363" spans="2:5" x14ac:dyDescent="0.25">
      <c r="B10363" s="40"/>
      <c r="C10363" s="40"/>
      <c r="E10363" s="80"/>
    </row>
    <row r="10364" spans="2:5" x14ac:dyDescent="0.25">
      <c r="B10364" s="40"/>
      <c r="C10364" s="40"/>
      <c r="E10364" s="80"/>
    </row>
    <row r="10365" spans="2:5" x14ac:dyDescent="0.25">
      <c r="B10365" s="40"/>
      <c r="C10365" s="40"/>
      <c r="E10365" s="80"/>
    </row>
    <row r="10366" spans="2:5" x14ac:dyDescent="0.25">
      <c r="B10366" s="40"/>
      <c r="C10366" s="40"/>
      <c r="E10366" s="80"/>
    </row>
    <row r="10367" spans="2:5" x14ac:dyDescent="0.25">
      <c r="B10367" s="40"/>
      <c r="C10367" s="40"/>
      <c r="E10367" s="80"/>
    </row>
    <row r="10368" spans="2:5" x14ac:dyDescent="0.25">
      <c r="B10368" s="40"/>
      <c r="C10368" s="40"/>
      <c r="E10368" s="80"/>
    </row>
    <row r="10369" spans="2:5" x14ac:dyDescent="0.25">
      <c r="B10369" s="40"/>
      <c r="C10369" s="40"/>
      <c r="E10369" s="80"/>
    </row>
    <row r="10370" spans="2:5" x14ac:dyDescent="0.25">
      <c r="B10370" s="40"/>
      <c r="C10370" s="40"/>
      <c r="E10370" s="80"/>
    </row>
    <row r="10371" spans="2:5" x14ac:dyDescent="0.25">
      <c r="B10371" s="40"/>
      <c r="C10371" s="40"/>
      <c r="E10371" s="80"/>
    </row>
    <row r="10372" spans="2:5" x14ac:dyDescent="0.25">
      <c r="B10372" s="40"/>
      <c r="C10372" s="40"/>
      <c r="E10372" s="80"/>
    </row>
    <row r="10373" spans="2:5" x14ac:dyDescent="0.25">
      <c r="B10373" s="40"/>
      <c r="C10373" s="40"/>
      <c r="E10373" s="80"/>
    </row>
    <row r="10374" spans="2:5" x14ac:dyDescent="0.25">
      <c r="B10374" s="40"/>
      <c r="C10374" s="40"/>
      <c r="E10374" s="80"/>
    </row>
    <row r="10375" spans="2:5" x14ac:dyDescent="0.25">
      <c r="B10375" s="40"/>
      <c r="C10375" s="40"/>
      <c r="E10375" s="80"/>
    </row>
    <row r="10376" spans="2:5" x14ac:dyDescent="0.25">
      <c r="B10376" s="40"/>
      <c r="C10376" s="40"/>
      <c r="E10376" s="80"/>
    </row>
    <row r="10377" spans="2:5" x14ac:dyDescent="0.25">
      <c r="B10377" s="40"/>
      <c r="C10377" s="40"/>
      <c r="E10377" s="80"/>
    </row>
    <row r="10378" spans="2:5" x14ac:dyDescent="0.25">
      <c r="B10378" s="40"/>
      <c r="C10378" s="40"/>
      <c r="E10378" s="80"/>
    </row>
    <row r="10379" spans="2:5" x14ac:dyDescent="0.25">
      <c r="B10379" s="40"/>
      <c r="C10379" s="40"/>
      <c r="E10379" s="80"/>
    </row>
    <row r="10380" spans="2:5" x14ac:dyDescent="0.25">
      <c r="B10380" s="40"/>
      <c r="C10380" s="40"/>
      <c r="E10380" s="80"/>
    </row>
    <row r="10381" spans="2:5" x14ac:dyDescent="0.25">
      <c r="B10381" s="40"/>
      <c r="C10381" s="40"/>
      <c r="E10381" s="80"/>
    </row>
    <row r="10382" spans="2:5" x14ac:dyDescent="0.25">
      <c r="B10382" s="40"/>
      <c r="C10382" s="40"/>
      <c r="E10382" s="80"/>
    </row>
    <row r="10383" spans="2:5" x14ac:dyDescent="0.25">
      <c r="B10383" s="40"/>
      <c r="C10383" s="40"/>
      <c r="E10383" s="80"/>
    </row>
    <row r="10384" spans="2:5" x14ac:dyDescent="0.25">
      <c r="B10384" s="40"/>
      <c r="C10384" s="40"/>
      <c r="E10384" s="80"/>
    </row>
    <row r="10385" spans="2:5" x14ac:dyDescent="0.25">
      <c r="B10385" s="40"/>
      <c r="C10385" s="40"/>
      <c r="E10385" s="80"/>
    </row>
    <row r="10386" spans="2:5" x14ac:dyDescent="0.25">
      <c r="B10386" s="40"/>
      <c r="C10386" s="40"/>
      <c r="E10386" s="80"/>
    </row>
    <row r="10387" spans="2:5" x14ac:dyDescent="0.25">
      <c r="B10387" s="40"/>
      <c r="C10387" s="40"/>
      <c r="E10387" s="80"/>
    </row>
    <row r="10388" spans="2:5" x14ac:dyDescent="0.25">
      <c r="B10388" s="40"/>
      <c r="C10388" s="40"/>
      <c r="E10388" s="80"/>
    </row>
    <row r="10389" spans="2:5" x14ac:dyDescent="0.25">
      <c r="B10389" s="40"/>
      <c r="C10389" s="40"/>
      <c r="E10389" s="80"/>
    </row>
    <row r="10390" spans="2:5" x14ac:dyDescent="0.25">
      <c r="B10390" s="40"/>
      <c r="C10390" s="40"/>
      <c r="E10390" s="80"/>
    </row>
    <row r="10391" spans="2:5" x14ac:dyDescent="0.25">
      <c r="B10391" s="40"/>
      <c r="C10391" s="40"/>
      <c r="E10391" s="80"/>
    </row>
    <row r="10392" spans="2:5" x14ac:dyDescent="0.25">
      <c r="B10392" s="40"/>
      <c r="C10392" s="40"/>
      <c r="E10392" s="80"/>
    </row>
    <row r="10393" spans="2:5" x14ac:dyDescent="0.25">
      <c r="B10393" s="40"/>
      <c r="C10393" s="40"/>
      <c r="E10393" s="80"/>
    </row>
    <row r="10394" spans="2:5" x14ac:dyDescent="0.25">
      <c r="B10394" s="40"/>
      <c r="C10394" s="40"/>
      <c r="E10394" s="80"/>
    </row>
    <row r="10395" spans="2:5" x14ac:dyDescent="0.25">
      <c r="B10395" s="40"/>
      <c r="C10395" s="40"/>
      <c r="E10395" s="80"/>
    </row>
    <row r="10396" spans="2:5" x14ac:dyDescent="0.25">
      <c r="B10396" s="40"/>
      <c r="C10396" s="40"/>
      <c r="E10396" s="80"/>
    </row>
    <row r="10397" spans="2:5" x14ac:dyDescent="0.25">
      <c r="B10397" s="40"/>
      <c r="C10397" s="40"/>
      <c r="E10397" s="80"/>
    </row>
    <row r="10398" spans="2:5" x14ac:dyDescent="0.25">
      <c r="B10398" s="40"/>
      <c r="C10398" s="40"/>
      <c r="E10398" s="80"/>
    </row>
    <row r="10399" spans="2:5" x14ac:dyDescent="0.25">
      <c r="B10399" s="40"/>
      <c r="C10399" s="40"/>
      <c r="E10399" s="80"/>
    </row>
    <row r="10400" spans="2:5" x14ac:dyDescent="0.25">
      <c r="B10400" s="40"/>
      <c r="C10400" s="40"/>
      <c r="E10400" s="80"/>
    </row>
    <row r="10401" spans="2:5" x14ac:dyDescent="0.25">
      <c r="B10401" s="40"/>
      <c r="C10401" s="40"/>
      <c r="E10401" s="80"/>
    </row>
    <row r="10402" spans="2:5" x14ac:dyDescent="0.25">
      <c r="B10402" s="40"/>
      <c r="C10402" s="40"/>
      <c r="E10402" s="80"/>
    </row>
    <row r="10403" spans="2:5" x14ac:dyDescent="0.25">
      <c r="B10403" s="40"/>
      <c r="C10403" s="40"/>
      <c r="E10403" s="80"/>
    </row>
    <row r="10404" spans="2:5" x14ac:dyDescent="0.25">
      <c r="B10404" s="40"/>
      <c r="C10404" s="40"/>
      <c r="E10404" s="80"/>
    </row>
    <row r="10405" spans="2:5" x14ac:dyDescent="0.25">
      <c r="B10405" s="40"/>
      <c r="C10405" s="40"/>
      <c r="E10405" s="80"/>
    </row>
    <row r="10406" spans="2:5" x14ac:dyDescent="0.25">
      <c r="B10406" s="40"/>
      <c r="C10406" s="40"/>
      <c r="E10406" s="80"/>
    </row>
    <row r="10407" spans="2:5" x14ac:dyDescent="0.25">
      <c r="B10407" s="40"/>
      <c r="C10407" s="40"/>
      <c r="E10407" s="80"/>
    </row>
    <row r="10408" spans="2:5" x14ac:dyDescent="0.25">
      <c r="B10408" s="40"/>
      <c r="C10408" s="40"/>
      <c r="E10408" s="80"/>
    </row>
    <row r="10409" spans="2:5" x14ac:dyDescent="0.25">
      <c r="B10409" s="40"/>
      <c r="C10409" s="40"/>
      <c r="E10409" s="80"/>
    </row>
    <row r="10410" spans="2:5" x14ac:dyDescent="0.25">
      <c r="B10410" s="40"/>
      <c r="C10410" s="40"/>
      <c r="E10410" s="80"/>
    </row>
    <row r="10411" spans="2:5" x14ac:dyDescent="0.25">
      <c r="B10411" s="40"/>
      <c r="C10411" s="40"/>
      <c r="E10411" s="80"/>
    </row>
    <row r="10412" spans="2:5" x14ac:dyDescent="0.25">
      <c r="B10412" s="40"/>
      <c r="C10412" s="40"/>
      <c r="E10412" s="80"/>
    </row>
    <row r="10413" spans="2:5" x14ac:dyDescent="0.25">
      <c r="B10413" s="40"/>
      <c r="C10413" s="40"/>
      <c r="E10413" s="80"/>
    </row>
    <row r="10414" spans="2:5" x14ac:dyDescent="0.25">
      <c r="B10414" s="40"/>
      <c r="C10414" s="40"/>
      <c r="E10414" s="80"/>
    </row>
    <row r="10415" spans="2:5" x14ac:dyDescent="0.25">
      <c r="B10415" s="40"/>
      <c r="C10415" s="40"/>
      <c r="E10415" s="80"/>
    </row>
    <row r="10416" spans="2:5" x14ac:dyDescent="0.25">
      <c r="B10416" s="40"/>
      <c r="C10416" s="40"/>
      <c r="E10416" s="80"/>
    </row>
    <row r="10417" spans="2:5" x14ac:dyDescent="0.25">
      <c r="B10417" s="40"/>
      <c r="C10417" s="40"/>
      <c r="E10417" s="80"/>
    </row>
    <row r="10418" spans="2:5" x14ac:dyDescent="0.25">
      <c r="B10418" s="40"/>
      <c r="C10418" s="40"/>
      <c r="E10418" s="80"/>
    </row>
    <row r="10419" spans="2:5" x14ac:dyDescent="0.25">
      <c r="B10419" s="40"/>
      <c r="C10419" s="40"/>
      <c r="E10419" s="80"/>
    </row>
    <row r="10420" spans="2:5" x14ac:dyDescent="0.25">
      <c r="B10420" s="40"/>
      <c r="C10420" s="40"/>
      <c r="E10420" s="80"/>
    </row>
    <row r="10421" spans="2:5" x14ac:dyDescent="0.25">
      <c r="B10421" s="40"/>
      <c r="C10421" s="40"/>
      <c r="E10421" s="80"/>
    </row>
    <row r="10422" spans="2:5" x14ac:dyDescent="0.25">
      <c r="B10422" s="40"/>
      <c r="C10422" s="40"/>
      <c r="E10422" s="80"/>
    </row>
    <row r="10423" spans="2:5" x14ac:dyDescent="0.25">
      <c r="B10423" s="40"/>
      <c r="C10423" s="40"/>
      <c r="E10423" s="80"/>
    </row>
    <row r="10424" spans="2:5" x14ac:dyDescent="0.25">
      <c r="B10424" s="40"/>
      <c r="C10424" s="40"/>
      <c r="E10424" s="80"/>
    </row>
    <row r="10425" spans="2:5" x14ac:dyDescent="0.25">
      <c r="B10425" s="40"/>
      <c r="C10425" s="40"/>
      <c r="E10425" s="80"/>
    </row>
    <row r="10426" spans="2:5" x14ac:dyDescent="0.25">
      <c r="B10426" s="40"/>
      <c r="C10426" s="40"/>
      <c r="E10426" s="80"/>
    </row>
    <row r="10427" spans="2:5" x14ac:dyDescent="0.25">
      <c r="B10427" s="40"/>
      <c r="C10427" s="40"/>
      <c r="E10427" s="80"/>
    </row>
    <row r="10428" spans="2:5" x14ac:dyDescent="0.25">
      <c r="B10428" s="40"/>
      <c r="C10428" s="40"/>
      <c r="E10428" s="80"/>
    </row>
    <row r="10429" spans="2:5" x14ac:dyDescent="0.25">
      <c r="B10429" s="40"/>
      <c r="C10429" s="40"/>
      <c r="E10429" s="80"/>
    </row>
    <row r="10430" spans="2:5" x14ac:dyDescent="0.25">
      <c r="B10430" s="40"/>
      <c r="C10430" s="40"/>
      <c r="E10430" s="80"/>
    </row>
    <row r="10431" spans="2:5" x14ac:dyDescent="0.25">
      <c r="B10431" s="40"/>
      <c r="C10431" s="40"/>
      <c r="E10431" s="80"/>
    </row>
    <row r="10432" spans="2:5" x14ac:dyDescent="0.25">
      <c r="B10432" s="40"/>
      <c r="C10432" s="40"/>
      <c r="E10432" s="80"/>
    </row>
    <row r="10433" spans="2:5" x14ac:dyDescent="0.25">
      <c r="B10433" s="40"/>
      <c r="C10433" s="40"/>
      <c r="E10433" s="80"/>
    </row>
    <row r="10434" spans="2:5" x14ac:dyDescent="0.25">
      <c r="B10434" s="40"/>
      <c r="C10434" s="40"/>
      <c r="E10434" s="80"/>
    </row>
    <row r="10435" spans="2:5" x14ac:dyDescent="0.25">
      <c r="B10435" s="40"/>
      <c r="C10435" s="40"/>
      <c r="E10435" s="80"/>
    </row>
    <row r="10436" spans="2:5" x14ac:dyDescent="0.25">
      <c r="B10436" s="40"/>
      <c r="C10436" s="40"/>
      <c r="E10436" s="80"/>
    </row>
    <row r="10437" spans="2:5" x14ac:dyDescent="0.25">
      <c r="B10437" s="40"/>
      <c r="C10437" s="40"/>
      <c r="E10437" s="80"/>
    </row>
    <row r="10438" spans="2:5" x14ac:dyDescent="0.25">
      <c r="B10438" s="40"/>
      <c r="C10438" s="40"/>
      <c r="E10438" s="80"/>
    </row>
    <row r="10439" spans="2:5" x14ac:dyDescent="0.25">
      <c r="B10439" s="40"/>
      <c r="C10439" s="40"/>
      <c r="E10439" s="80"/>
    </row>
    <row r="10440" spans="2:5" x14ac:dyDescent="0.25">
      <c r="B10440" s="40"/>
      <c r="C10440" s="40"/>
      <c r="E10440" s="80"/>
    </row>
    <row r="10441" spans="2:5" x14ac:dyDescent="0.25">
      <c r="B10441" s="40"/>
      <c r="C10441" s="40"/>
      <c r="E10441" s="80"/>
    </row>
    <row r="10442" spans="2:5" x14ac:dyDescent="0.25">
      <c r="B10442" s="40"/>
      <c r="C10442" s="40"/>
      <c r="E10442" s="80"/>
    </row>
    <row r="10443" spans="2:5" x14ac:dyDescent="0.25">
      <c r="B10443" s="40"/>
      <c r="C10443" s="40"/>
      <c r="E10443" s="80"/>
    </row>
    <row r="10444" spans="2:5" x14ac:dyDescent="0.25">
      <c r="B10444" s="40"/>
      <c r="C10444" s="40"/>
      <c r="E10444" s="80"/>
    </row>
    <row r="10445" spans="2:5" x14ac:dyDescent="0.25">
      <c r="B10445" s="40"/>
      <c r="C10445" s="40"/>
      <c r="E10445" s="80"/>
    </row>
    <row r="10446" spans="2:5" x14ac:dyDescent="0.25">
      <c r="B10446" s="40"/>
      <c r="C10446" s="40"/>
      <c r="E10446" s="80"/>
    </row>
    <row r="10447" spans="2:5" x14ac:dyDescent="0.25">
      <c r="B10447" s="40"/>
      <c r="C10447" s="40"/>
      <c r="E10447" s="80"/>
    </row>
    <row r="10448" spans="2:5" x14ac:dyDescent="0.25">
      <c r="B10448" s="40"/>
      <c r="C10448" s="40"/>
      <c r="E10448" s="80"/>
    </row>
    <row r="10449" spans="2:5" x14ac:dyDescent="0.25">
      <c r="B10449" s="40"/>
      <c r="C10449" s="40"/>
      <c r="E10449" s="80"/>
    </row>
    <row r="10450" spans="2:5" x14ac:dyDescent="0.25">
      <c r="B10450" s="40"/>
      <c r="C10450" s="40"/>
      <c r="E10450" s="80"/>
    </row>
    <row r="10451" spans="2:5" x14ac:dyDescent="0.25">
      <c r="B10451" s="40"/>
      <c r="C10451" s="40"/>
      <c r="E10451" s="80"/>
    </row>
    <row r="10452" spans="2:5" x14ac:dyDescent="0.25">
      <c r="B10452" s="40"/>
      <c r="C10452" s="40"/>
      <c r="E10452" s="80"/>
    </row>
    <row r="10453" spans="2:5" x14ac:dyDescent="0.25">
      <c r="B10453" s="40"/>
      <c r="C10453" s="40"/>
      <c r="E10453" s="80"/>
    </row>
    <row r="10454" spans="2:5" x14ac:dyDescent="0.25">
      <c r="B10454" s="40"/>
      <c r="C10454" s="40"/>
      <c r="E10454" s="80"/>
    </row>
    <row r="10455" spans="2:5" x14ac:dyDescent="0.25">
      <c r="B10455" s="40"/>
      <c r="C10455" s="40"/>
      <c r="E10455" s="80"/>
    </row>
    <row r="10456" spans="2:5" x14ac:dyDescent="0.25">
      <c r="B10456" s="40"/>
      <c r="C10456" s="40"/>
      <c r="E10456" s="80"/>
    </row>
    <row r="10457" spans="2:5" x14ac:dyDescent="0.25">
      <c r="B10457" s="40"/>
      <c r="C10457" s="40"/>
      <c r="E10457" s="80"/>
    </row>
    <row r="10458" spans="2:5" x14ac:dyDescent="0.25">
      <c r="B10458" s="40"/>
      <c r="C10458" s="40"/>
      <c r="E10458" s="80"/>
    </row>
    <row r="10459" spans="2:5" x14ac:dyDescent="0.25">
      <c r="B10459" s="40"/>
      <c r="C10459" s="40"/>
      <c r="E10459" s="80"/>
    </row>
    <row r="10460" spans="2:5" x14ac:dyDescent="0.25">
      <c r="B10460" s="40"/>
      <c r="C10460" s="40"/>
      <c r="E10460" s="80"/>
    </row>
    <row r="10461" spans="2:5" x14ac:dyDescent="0.25">
      <c r="B10461" s="40"/>
      <c r="C10461" s="40"/>
      <c r="E10461" s="80"/>
    </row>
    <row r="10462" spans="2:5" x14ac:dyDescent="0.25">
      <c r="B10462" s="40"/>
      <c r="C10462" s="40"/>
      <c r="E10462" s="80"/>
    </row>
    <row r="10463" spans="2:5" x14ac:dyDescent="0.25">
      <c r="B10463" s="40"/>
      <c r="C10463" s="40"/>
      <c r="E10463" s="80"/>
    </row>
    <row r="10464" spans="2:5" x14ac:dyDescent="0.25">
      <c r="B10464" s="40"/>
      <c r="C10464" s="40"/>
      <c r="E10464" s="80"/>
    </row>
    <row r="10465" spans="2:5" x14ac:dyDescent="0.25">
      <c r="B10465" s="40"/>
      <c r="C10465" s="40"/>
      <c r="E10465" s="80"/>
    </row>
    <row r="10466" spans="2:5" x14ac:dyDescent="0.25">
      <c r="B10466" s="40"/>
      <c r="C10466" s="40"/>
      <c r="E10466" s="80"/>
    </row>
    <row r="10467" spans="2:5" x14ac:dyDescent="0.25">
      <c r="B10467" s="40"/>
      <c r="C10467" s="40"/>
      <c r="E10467" s="80"/>
    </row>
    <row r="10468" spans="2:5" x14ac:dyDescent="0.25">
      <c r="B10468" s="40"/>
      <c r="C10468" s="40"/>
      <c r="E10468" s="80"/>
    </row>
    <row r="10469" spans="2:5" x14ac:dyDescent="0.25">
      <c r="B10469" s="40"/>
      <c r="C10469" s="40"/>
      <c r="E10469" s="80"/>
    </row>
    <row r="10470" spans="2:5" x14ac:dyDescent="0.25">
      <c r="B10470" s="40"/>
      <c r="C10470" s="40"/>
      <c r="E10470" s="80"/>
    </row>
    <row r="10471" spans="2:5" x14ac:dyDescent="0.25">
      <c r="B10471" s="40"/>
      <c r="C10471" s="40"/>
      <c r="E10471" s="80"/>
    </row>
    <row r="10472" spans="2:5" x14ac:dyDescent="0.25">
      <c r="B10472" s="40"/>
      <c r="C10472" s="40"/>
      <c r="E10472" s="80"/>
    </row>
    <row r="10473" spans="2:5" x14ac:dyDescent="0.25">
      <c r="B10473" s="40"/>
      <c r="C10473" s="40"/>
      <c r="E10473" s="80"/>
    </row>
    <row r="10474" spans="2:5" x14ac:dyDescent="0.25">
      <c r="B10474" s="40"/>
      <c r="C10474" s="40"/>
      <c r="E10474" s="80"/>
    </row>
    <row r="10475" spans="2:5" x14ac:dyDescent="0.25">
      <c r="B10475" s="40"/>
      <c r="C10475" s="40"/>
      <c r="E10475" s="80"/>
    </row>
    <row r="10476" spans="2:5" x14ac:dyDescent="0.25">
      <c r="B10476" s="40"/>
      <c r="C10476" s="40"/>
      <c r="E10476" s="80"/>
    </row>
    <row r="10477" spans="2:5" x14ac:dyDescent="0.25">
      <c r="B10477" s="40"/>
      <c r="C10477" s="40"/>
      <c r="E10477" s="80"/>
    </row>
    <row r="10478" spans="2:5" x14ac:dyDescent="0.25">
      <c r="B10478" s="40"/>
      <c r="C10478" s="40"/>
      <c r="E10478" s="80"/>
    </row>
    <row r="10479" spans="2:5" x14ac:dyDescent="0.25">
      <c r="B10479" s="40"/>
      <c r="C10479" s="40"/>
      <c r="E10479" s="80"/>
    </row>
    <row r="10480" spans="2:5" x14ac:dyDescent="0.25">
      <c r="B10480" s="40"/>
      <c r="C10480" s="40"/>
      <c r="E10480" s="80"/>
    </row>
    <row r="10481" spans="2:5" x14ac:dyDescent="0.25">
      <c r="B10481" s="40"/>
      <c r="C10481" s="40"/>
      <c r="E10481" s="80"/>
    </row>
    <row r="10482" spans="2:5" x14ac:dyDescent="0.25">
      <c r="B10482" s="40"/>
      <c r="C10482" s="40"/>
      <c r="E10482" s="80"/>
    </row>
    <row r="10483" spans="2:5" x14ac:dyDescent="0.25">
      <c r="B10483" s="40"/>
      <c r="C10483" s="40"/>
      <c r="E10483" s="80"/>
    </row>
    <row r="10484" spans="2:5" x14ac:dyDescent="0.25">
      <c r="B10484" s="40"/>
      <c r="C10484" s="40"/>
      <c r="E10484" s="80"/>
    </row>
    <row r="10485" spans="2:5" x14ac:dyDescent="0.25">
      <c r="B10485" s="40"/>
      <c r="C10485" s="40"/>
      <c r="E10485" s="80"/>
    </row>
    <row r="10486" spans="2:5" x14ac:dyDescent="0.25">
      <c r="B10486" s="40"/>
      <c r="C10486" s="40"/>
      <c r="E10486" s="80"/>
    </row>
    <row r="10487" spans="2:5" x14ac:dyDescent="0.25">
      <c r="B10487" s="40"/>
      <c r="C10487" s="40"/>
      <c r="E10487" s="80"/>
    </row>
    <row r="10488" spans="2:5" x14ac:dyDescent="0.25">
      <c r="B10488" s="40"/>
      <c r="C10488" s="40"/>
      <c r="E10488" s="80"/>
    </row>
    <row r="10489" spans="2:5" x14ac:dyDescent="0.25">
      <c r="B10489" s="40"/>
      <c r="C10489" s="40"/>
      <c r="E10489" s="80"/>
    </row>
    <row r="10490" spans="2:5" x14ac:dyDescent="0.25">
      <c r="B10490" s="40"/>
      <c r="C10490" s="40"/>
      <c r="E10490" s="80"/>
    </row>
    <row r="10491" spans="2:5" x14ac:dyDescent="0.25">
      <c r="B10491" s="40"/>
      <c r="C10491" s="40"/>
      <c r="E10491" s="80"/>
    </row>
    <row r="10492" spans="2:5" x14ac:dyDescent="0.25">
      <c r="B10492" s="40"/>
      <c r="C10492" s="40"/>
      <c r="E10492" s="80"/>
    </row>
    <row r="10493" spans="2:5" x14ac:dyDescent="0.25">
      <c r="B10493" s="40"/>
      <c r="C10493" s="40"/>
      <c r="E10493" s="80"/>
    </row>
    <row r="10494" spans="2:5" x14ac:dyDescent="0.25">
      <c r="B10494" s="40"/>
      <c r="C10494" s="40"/>
      <c r="E10494" s="80"/>
    </row>
    <row r="10495" spans="2:5" x14ac:dyDescent="0.25">
      <c r="B10495" s="40"/>
      <c r="C10495" s="40"/>
      <c r="E10495" s="80"/>
    </row>
    <row r="10496" spans="2:5" x14ac:dyDescent="0.25">
      <c r="B10496" s="40"/>
      <c r="C10496" s="40"/>
      <c r="E10496" s="80"/>
    </row>
    <row r="10497" spans="2:5" x14ac:dyDescent="0.25">
      <c r="B10497" s="40"/>
      <c r="C10497" s="40"/>
      <c r="E10497" s="80"/>
    </row>
    <row r="10498" spans="2:5" x14ac:dyDescent="0.25">
      <c r="B10498" s="40"/>
      <c r="C10498" s="40"/>
      <c r="E10498" s="80"/>
    </row>
    <row r="10499" spans="2:5" x14ac:dyDescent="0.25">
      <c r="B10499" s="40"/>
      <c r="C10499" s="40"/>
      <c r="E10499" s="80"/>
    </row>
    <row r="10500" spans="2:5" x14ac:dyDescent="0.25">
      <c r="B10500" s="40"/>
      <c r="C10500" s="40"/>
      <c r="E10500" s="80"/>
    </row>
    <row r="10501" spans="2:5" x14ac:dyDescent="0.25">
      <c r="B10501" s="40"/>
      <c r="C10501" s="40"/>
      <c r="E10501" s="80"/>
    </row>
    <row r="10502" spans="2:5" x14ac:dyDescent="0.25">
      <c r="B10502" s="40"/>
      <c r="C10502" s="40"/>
      <c r="E10502" s="80"/>
    </row>
    <row r="10503" spans="2:5" x14ac:dyDescent="0.25">
      <c r="B10503" s="40"/>
      <c r="C10503" s="40"/>
      <c r="E10503" s="80"/>
    </row>
    <row r="10504" spans="2:5" x14ac:dyDescent="0.25">
      <c r="B10504" s="40"/>
      <c r="C10504" s="40"/>
      <c r="E10504" s="80"/>
    </row>
    <row r="10505" spans="2:5" x14ac:dyDescent="0.25">
      <c r="B10505" s="40"/>
      <c r="C10505" s="40"/>
      <c r="E10505" s="80"/>
    </row>
    <row r="10506" spans="2:5" x14ac:dyDescent="0.25">
      <c r="B10506" s="40"/>
      <c r="C10506" s="40"/>
      <c r="E10506" s="80"/>
    </row>
    <row r="10507" spans="2:5" x14ac:dyDescent="0.25">
      <c r="B10507" s="40"/>
      <c r="C10507" s="40"/>
      <c r="E10507" s="80"/>
    </row>
    <row r="10508" spans="2:5" x14ac:dyDescent="0.25">
      <c r="B10508" s="40"/>
      <c r="C10508" s="40"/>
      <c r="E10508" s="80"/>
    </row>
    <row r="10509" spans="2:5" x14ac:dyDescent="0.25">
      <c r="B10509" s="40"/>
      <c r="C10509" s="40"/>
      <c r="E10509" s="80"/>
    </row>
    <row r="10510" spans="2:5" x14ac:dyDescent="0.25">
      <c r="B10510" s="40"/>
      <c r="C10510" s="40"/>
      <c r="E10510" s="80"/>
    </row>
    <row r="10511" spans="2:5" x14ac:dyDescent="0.25">
      <c r="B10511" s="40"/>
      <c r="C10511" s="40"/>
      <c r="E10511" s="80"/>
    </row>
    <row r="10512" spans="2:5" x14ac:dyDescent="0.25">
      <c r="B10512" s="40"/>
      <c r="C10512" s="40"/>
      <c r="E10512" s="80"/>
    </row>
    <row r="10513" spans="2:5" x14ac:dyDescent="0.25">
      <c r="B10513" s="40"/>
      <c r="C10513" s="40"/>
      <c r="E10513" s="80"/>
    </row>
    <row r="10514" spans="2:5" x14ac:dyDescent="0.25">
      <c r="B10514" s="40"/>
      <c r="C10514" s="40"/>
      <c r="E10514" s="80"/>
    </row>
    <row r="10515" spans="2:5" x14ac:dyDescent="0.25">
      <c r="B10515" s="40"/>
      <c r="C10515" s="40"/>
      <c r="E10515" s="80"/>
    </row>
    <row r="10516" spans="2:5" x14ac:dyDescent="0.25">
      <c r="B10516" s="40"/>
      <c r="C10516" s="40"/>
      <c r="E10516" s="80"/>
    </row>
    <row r="10517" spans="2:5" x14ac:dyDescent="0.25">
      <c r="B10517" s="40"/>
      <c r="C10517" s="40"/>
      <c r="E10517" s="80"/>
    </row>
    <row r="10518" spans="2:5" x14ac:dyDescent="0.25">
      <c r="B10518" s="40"/>
      <c r="C10518" s="40"/>
      <c r="E10518" s="80"/>
    </row>
    <row r="10519" spans="2:5" x14ac:dyDescent="0.25">
      <c r="B10519" s="40"/>
      <c r="C10519" s="40"/>
      <c r="E10519" s="80"/>
    </row>
    <row r="10520" spans="2:5" x14ac:dyDescent="0.25">
      <c r="B10520" s="40"/>
      <c r="C10520" s="40"/>
      <c r="E10520" s="80"/>
    </row>
    <row r="10521" spans="2:5" x14ac:dyDescent="0.25">
      <c r="B10521" s="40"/>
      <c r="C10521" s="40"/>
      <c r="E10521" s="80"/>
    </row>
    <row r="10522" spans="2:5" x14ac:dyDescent="0.25">
      <c r="B10522" s="40"/>
      <c r="C10522" s="40"/>
      <c r="E10522" s="80"/>
    </row>
    <row r="10523" spans="2:5" x14ac:dyDescent="0.25">
      <c r="B10523" s="40"/>
      <c r="C10523" s="40"/>
      <c r="E10523" s="80"/>
    </row>
    <row r="10524" spans="2:5" x14ac:dyDescent="0.25">
      <c r="B10524" s="40"/>
      <c r="C10524" s="40"/>
      <c r="E10524" s="80"/>
    </row>
    <row r="10525" spans="2:5" x14ac:dyDescent="0.25">
      <c r="B10525" s="40"/>
      <c r="C10525" s="40"/>
      <c r="E10525" s="80"/>
    </row>
    <row r="10526" spans="2:5" x14ac:dyDescent="0.25">
      <c r="B10526" s="40"/>
      <c r="C10526" s="40"/>
      <c r="E10526" s="80"/>
    </row>
    <row r="10527" spans="2:5" x14ac:dyDescent="0.25">
      <c r="B10527" s="40"/>
      <c r="C10527" s="40"/>
      <c r="E10527" s="80"/>
    </row>
    <row r="10528" spans="2:5" x14ac:dyDescent="0.25">
      <c r="B10528" s="40"/>
      <c r="C10528" s="40"/>
      <c r="E10528" s="80"/>
    </row>
    <row r="10529" spans="2:5" x14ac:dyDescent="0.25">
      <c r="B10529" s="40"/>
      <c r="C10529" s="40"/>
      <c r="E10529" s="80"/>
    </row>
    <row r="10530" spans="2:5" x14ac:dyDescent="0.25">
      <c r="B10530" s="40"/>
      <c r="C10530" s="40"/>
      <c r="E10530" s="80"/>
    </row>
    <row r="10531" spans="2:5" x14ac:dyDescent="0.25">
      <c r="B10531" s="40"/>
      <c r="C10531" s="40"/>
      <c r="E10531" s="80"/>
    </row>
    <row r="10532" spans="2:5" x14ac:dyDescent="0.25">
      <c r="B10532" s="40"/>
      <c r="C10532" s="40"/>
      <c r="E10532" s="80"/>
    </row>
    <row r="10533" spans="2:5" x14ac:dyDescent="0.25">
      <c r="B10533" s="40"/>
      <c r="C10533" s="40"/>
      <c r="E10533" s="80"/>
    </row>
    <row r="10534" spans="2:5" x14ac:dyDescent="0.25">
      <c r="B10534" s="40"/>
      <c r="C10534" s="40"/>
      <c r="E10534" s="80"/>
    </row>
    <row r="10535" spans="2:5" x14ac:dyDescent="0.25">
      <c r="B10535" s="40"/>
      <c r="C10535" s="40"/>
      <c r="E10535" s="80"/>
    </row>
    <row r="10536" spans="2:5" x14ac:dyDescent="0.25">
      <c r="B10536" s="40"/>
      <c r="C10536" s="40"/>
      <c r="E10536" s="80"/>
    </row>
    <row r="10537" spans="2:5" x14ac:dyDescent="0.25">
      <c r="B10537" s="40"/>
      <c r="C10537" s="40"/>
      <c r="E10537" s="80"/>
    </row>
    <row r="10538" spans="2:5" x14ac:dyDescent="0.25">
      <c r="B10538" s="40"/>
      <c r="C10538" s="40"/>
      <c r="E10538" s="80"/>
    </row>
    <row r="10539" spans="2:5" x14ac:dyDescent="0.25">
      <c r="B10539" s="40"/>
      <c r="C10539" s="40"/>
      <c r="E10539" s="80"/>
    </row>
    <row r="10540" spans="2:5" x14ac:dyDescent="0.25">
      <c r="B10540" s="40"/>
      <c r="C10540" s="40"/>
      <c r="E10540" s="80"/>
    </row>
    <row r="10541" spans="2:5" x14ac:dyDescent="0.25">
      <c r="B10541" s="40"/>
      <c r="C10541" s="40"/>
      <c r="E10541" s="80"/>
    </row>
    <row r="10542" spans="2:5" x14ac:dyDescent="0.25">
      <c r="B10542" s="40"/>
      <c r="C10542" s="40"/>
      <c r="E10542" s="80"/>
    </row>
    <row r="10543" spans="2:5" x14ac:dyDescent="0.25">
      <c r="B10543" s="40"/>
      <c r="C10543" s="40"/>
      <c r="E10543" s="80"/>
    </row>
    <row r="10544" spans="2:5" x14ac:dyDescent="0.25">
      <c r="B10544" s="40"/>
      <c r="C10544" s="40"/>
      <c r="E10544" s="80"/>
    </row>
    <row r="10545" spans="2:5" x14ac:dyDescent="0.25">
      <c r="B10545" s="40"/>
      <c r="C10545" s="40"/>
      <c r="E10545" s="80"/>
    </row>
    <row r="10546" spans="2:5" x14ac:dyDescent="0.25">
      <c r="B10546" s="40"/>
      <c r="C10546" s="40"/>
      <c r="E10546" s="80"/>
    </row>
    <row r="10547" spans="2:5" x14ac:dyDescent="0.25">
      <c r="B10547" s="40"/>
      <c r="C10547" s="40"/>
      <c r="E10547" s="80"/>
    </row>
    <row r="10548" spans="2:5" x14ac:dyDescent="0.25">
      <c r="B10548" s="40"/>
      <c r="C10548" s="40"/>
      <c r="E10548" s="80"/>
    </row>
    <row r="10549" spans="2:5" x14ac:dyDescent="0.25">
      <c r="B10549" s="40"/>
      <c r="C10549" s="40"/>
      <c r="E10549" s="80"/>
    </row>
    <row r="10550" spans="2:5" x14ac:dyDescent="0.25">
      <c r="B10550" s="40"/>
      <c r="C10550" s="40"/>
      <c r="E10550" s="80"/>
    </row>
    <row r="10551" spans="2:5" x14ac:dyDescent="0.25">
      <c r="B10551" s="40"/>
      <c r="C10551" s="40"/>
      <c r="E10551" s="80"/>
    </row>
    <row r="10552" spans="2:5" x14ac:dyDescent="0.25">
      <c r="B10552" s="40"/>
      <c r="C10552" s="40"/>
      <c r="E10552" s="80"/>
    </row>
    <row r="10553" spans="2:5" x14ac:dyDescent="0.25">
      <c r="B10553" s="40"/>
      <c r="C10553" s="40"/>
      <c r="E10553" s="80"/>
    </row>
    <row r="10554" spans="2:5" x14ac:dyDescent="0.25">
      <c r="B10554" s="40"/>
      <c r="C10554" s="40"/>
      <c r="E10554" s="80"/>
    </row>
    <row r="10555" spans="2:5" x14ac:dyDescent="0.25">
      <c r="B10555" s="40"/>
      <c r="C10555" s="40"/>
      <c r="E10555" s="80"/>
    </row>
    <row r="10556" spans="2:5" x14ac:dyDescent="0.25">
      <c r="B10556" s="40"/>
      <c r="C10556" s="40"/>
      <c r="E10556" s="80"/>
    </row>
    <row r="10557" spans="2:5" x14ac:dyDescent="0.25">
      <c r="B10557" s="40"/>
      <c r="C10557" s="40"/>
      <c r="E10557" s="80"/>
    </row>
    <row r="10558" spans="2:5" x14ac:dyDescent="0.25">
      <c r="B10558" s="40"/>
      <c r="C10558" s="40"/>
      <c r="E10558" s="80"/>
    </row>
    <row r="10559" spans="2:5" x14ac:dyDescent="0.25">
      <c r="B10559" s="40"/>
      <c r="C10559" s="40"/>
      <c r="E10559" s="80"/>
    </row>
    <row r="10560" spans="2:5" x14ac:dyDescent="0.25">
      <c r="B10560" s="40"/>
      <c r="C10560" s="40"/>
      <c r="E10560" s="80"/>
    </row>
    <row r="10561" spans="2:5" x14ac:dyDescent="0.25">
      <c r="B10561" s="40"/>
      <c r="C10561" s="40"/>
      <c r="E10561" s="80"/>
    </row>
    <row r="10562" spans="2:5" x14ac:dyDescent="0.25">
      <c r="B10562" s="40"/>
      <c r="C10562" s="40"/>
      <c r="E10562" s="80"/>
    </row>
    <row r="10563" spans="2:5" x14ac:dyDescent="0.25">
      <c r="B10563" s="40"/>
      <c r="C10563" s="40"/>
      <c r="E10563" s="80"/>
    </row>
    <row r="10564" spans="2:5" x14ac:dyDescent="0.25">
      <c r="B10564" s="40"/>
      <c r="C10564" s="40"/>
      <c r="E10564" s="80"/>
    </row>
    <row r="10565" spans="2:5" x14ac:dyDescent="0.25">
      <c r="B10565" s="40"/>
      <c r="C10565" s="40"/>
      <c r="E10565" s="80"/>
    </row>
    <row r="10566" spans="2:5" x14ac:dyDescent="0.25">
      <c r="B10566" s="40"/>
      <c r="C10566" s="40"/>
      <c r="E10566" s="80"/>
    </row>
    <row r="10567" spans="2:5" x14ac:dyDescent="0.25">
      <c r="B10567" s="40"/>
      <c r="C10567" s="40"/>
      <c r="E10567" s="80"/>
    </row>
    <row r="10568" spans="2:5" x14ac:dyDescent="0.25">
      <c r="B10568" s="40"/>
      <c r="C10568" s="40"/>
      <c r="E10568" s="80"/>
    </row>
    <row r="10569" spans="2:5" x14ac:dyDescent="0.25">
      <c r="B10569" s="40"/>
      <c r="C10569" s="40"/>
      <c r="E10569" s="80"/>
    </row>
    <row r="10570" spans="2:5" x14ac:dyDescent="0.25">
      <c r="B10570" s="40"/>
      <c r="C10570" s="40"/>
      <c r="E10570" s="80"/>
    </row>
    <row r="10571" spans="2:5" x14ac:dyDescent="0.25">
      <c r="B10571" s="40"/>
      <c r="C10571" s="40"/>
      <c r="E10571" s="80"/>
    </row>
    <row r="10572" spans="2:5" x14ac:dyDescent="0.25">
      <c r="B10572" s="40"/>
      <c r="C10572" s="40"/>
      <c r="E10572" s="80"/>
    </row>
    <row r="10573" spans="2:5" x14ac:dyDescent="0.25">
      <c r="B10573" s="40"/>
      <c r="C10573" s="40"/>
      <c r="E10573" s="80"/>
    </row>
    <row r="10574" spans="2:5" x14ac:dyDescent="0.25">
      <c r="B10574" s="40"/>
      <c r="C10574" s="40"/>
      <c r="E10574" s="80"/>
    </row>
    <row r="10575" spans="2:5" x14ac:dyDescent="0.25">
      <c r="B10575" s="40"/>
      <c r="C10575" s="40"/>
      <c r="E10575" s="80"/>
    </row>
    <row r="10576" spans="2:5" x14ac:dyDescent="0.25">
      <c r="B10576" s="40"/>
      <c r="C10576" s="40"/>
      <c r="E10576" s="80"/>
    </row>
    <row r="10577" spans="2:5" x14ac:dyDescent="0.25">
      <c r="B10577" s="40"/>
      <c r="C10577" s="40"/>
      <c r="E10577" s="80"/>
    </row>
    <row r="10578" spans="2:5" x14ac:dyDescent="0.25">
      <c r="B10578" s="40"/>
      <c r="C10578" s="40"/>
      <c r="E10578" s="80"/>
    </row>
    <row r="10579" spans="2:5" x14ac:dyDescent="0.25">
      <c r="B10579" s="40"/>
      <c r="C10579" s="40"/>
      <c r="E10579" s="80"/>
    </row>
    <row r="10580" spans="2:5" x14ac:dyDescent="0.25">
      <c r="B10580" s="40"/>
      <c r="C10580" s="40"/>
      <c r="E10580" s="80"/>
    </row>
    <row r="10581" spans="2:5" x14ac:dyDescent="0.25">
      <c r="B10581" s="40"/>
      <c r="C10581" s="40"/>
      <c r="E10581" s="80"/>
    </row>
    <row r="10582" spans="2:5" x14ac:dyDescent="0.25">
      <c r="B10582" s="40"/>
      <c r="C10582" s="40"/>
      <c r="E10582" s="80"/>
    </row>
    <row r="10583" spans="2:5" x14ac:dyDescent="0.25">
      <c r="B10583" s="40"/>
      <c r="C10583" s="40"/>
      <c r="E10583" s="80"/>
    </row>
    <row r="10584" spans="2:5" x14ac:dyDescent="0.25">
      <c r="B10584" s="40"/>
      <c r="C10584" s="40"/>
      <c r="E10584" s="80"/>
    </row>
    <row r="10585" spans="2:5" x14ac:dyDescent="0.25">
      <c r="B10585" s="40"/>
      <c r="C10585" s="40"/>
      <c r="E10585" s="80"/>
    </row>
    <row r="10586" spans="2:5" x14ac:dyDescent="0.25">
      <c r="B10586" s="40"/>
      <c r="C10586" s="40"/>
      <c r="E10586" s="80"/>
    </row>
    <row r="10587" spans="2:5" x14ac:dyDescent="0.25">
      <c r="B10587" s="40"/>
      <c r="C10587" s="40"/>
      <c r="E10587" s="80"/>
    </row>
    <row r="10588" spans="2:5" x14ac:dyDescent="0.25">
      <c r="B10588" s="40"/>
      <c r="C10588" s="40"/>
      <c r="E10588" s="80"/>
    </row>
    <row r="10589" spans="2:5" x14ac:dyDescent="0.25">
      <c r="B10589" s="40"/>
      <c r="C10589" s="40"/>
      <c r="E10589" s="80"/>
    </row>
    <row r="10590" spans="2:5" x14ac:dyDescent="0.25">
      <c r="B10590" s="40"/>
      <c r="C10590" s="40"/>
      <c r="E10590" s="80"/>
    </row>
    <row r="10591" spans="2:5" x14ac:dyDescent="0.25">
      <c r="B10591" s="40"/>
      <c r="C10591" s="40"/>
      <c r="E10591" s="80"/>
    </row>
    <row r="10592" spans="2:5" x14ac:dyDescent="0.25">
      <c r="B10592" s="40"/>
      <c r="C10592" s="40"/>
      <c r="E10592" s="80"/>
    </row>
    <row r="10593" spans="2:5" x14ac:dyDescent="0.25">
      <c r="B10593" s="40"/>
      <c r="C10593" s="40"/>
      <c r="E10593" s="80"/>
    </row>
    <row r="10594" spans="2:5" x14ac:dyDescent="0.25">
      <c r="B10594" s="40"/>
      <c r="C10594" s="40"/>
      <c r="E10594" s="80"/>
    </row>
    <row r="10595" spans="2:5" x14ac:dyDescent="0.25">
      <c r="B10595" s="40"/>
      <c r="C10595" s="40"/>
      <c r="E10595" s="80"/>
    </row>
    <row r="10596" spans="2:5" x14ac:dyDescent="0.25">
      <c r="B10596" s="40"/>
      <c r="C10596" s="40"/>
      <c r="E10596" s="80"/>
    </row>
    <row r="10597" spans="2:5" x14ac:dyDescent="0.25">
      <c r="B10597" s="40"/>
      <c r="C10597" s="40"/>
      <c r="E10597" s="80"/>
    </row>
    <row r="10598" spans="2:5" x14ac:dyDescent="0.25">
      <c r="B10598" s="40"/>
      <c r="C10598" s="40"/>
      <c r="E10598" s="80"/>
    </row>
    <row r="10599" spans="2:5" x14ac:dyDescent="0.25">
      <c r="B10599" s="40"/>
      <c r="C10599" s="40"/>
      <c r="E10599" s="80"/>
    </row>
    <row r="10600" spans="2:5" x14ac:dyDescent="0.25">
      <c r="B10600" s="40"/>
      <c r="C10600" s="40"/>
      <c r="E10600" s="80"/>
    </row>
    <row r="10601" spans="2:5" x14ac:dyDescent="0.25">
      <c r="B10601" s="40"/>
      <c r="C10601" s="40"/>
      <c r="E10601" s="80"/>
    </row>
    <row r="10602" spans="2:5" x14ac:dyDescent="0.25">
      <c r="B10602" s="40"/>
      <c r="C10602" s="40"/>
      <c r="E10602" s="80"/>
    </row>
    <row r="10603" spans="2:5" x14ac:dyDescent="0.25">
      <c r="B10603" s="40"/>
      <c r="C10603" s="40"/>
      <c r="E10603" s="80"/>
    </row>
    <row r="10604" spans="2:5" x14ac:dyDescent="0.25">
      <c r="B10604" s="40"/>
      <c r="C10604" s="40"/>
      <c r="E10604" s="80"/>
    </row>
    <row r="10605" spans="2:5" x14ac:dyDescent="0.25">
      <c r="B10605" s="40"/>
      <c r="C10605" s="40"/>
      <c r="E10605" s="80"/>
    </row>
    <row r="10606" spans="2:5" x14ac:dyDescent="0.25">
      <c r="B10606" s="40"/>
      <c r="C10606" s="40"/>
      <c r="E10606" s="80"/>
    </row>
    <row r="10607" spans="2:5" x14ac:dyDescent="0.25">
      <c r="B10607" s="40"/>
      <c r="C10607" s="40"/>
      <c r="E10607" s="80"/>
    </row>
    <row r="10608" spans="2:5" x14ac:dyDescent="0.25">
      <c r="B10608" s="40"/>
      <c r="C10608" s="40"/>
      <c r="E10608" s="80"/>
    </row>
    <row r="10609" spans="2:5" x14ac:dyDescent="0.25">
      <c r="B10609" s="40"/>
      <c r="C10609" s="40"/>
      <c r="E10609" s="80"/>
    </row>
    <row r="10610" spans="2:5" x14ac:dyDescent="0.25">
      <c r="B10610" s="40"/>
      <c r="C10610" s="40"/>
      <c r="E10610" s="80"/>
    </row>
    <row r="10611" spans="2:5" x14ac:dyDescent="0.25">
      <c r="B10611" s="40"/>
      <c r="C10611" s="40"/>
      <c r="E10611" s="80"/>
    </row>
    <row r="10612" spans="2:5" x14ac:dyDescent="0.25">
      <c r="B10612" s="40"/>
      <c r="C10612" s="40"/>
      <c r="E10612" s="80"/>
    </row>
    <row r="10613" spans="2:5" x14ac:dyDescent="0.25">
      <c r="B10613" s="40"/>
      <c r="C10613" s="40"/>
      <c r="E10613" s="80"/>
    </row>
    <row r="10614" spans="2:5" x14ac:dyDescent="0.25">
      <c r="B10614" s="40"/>
      <c r="C10614" s="40"/>
      <c r="E10614" s="80"/>
    </row>
    <row r="10615" spans="2:5" x14ac:dyDescent="0.25">
      <c r="B10615" s="40"/>
      <c r="C10615" s="40"/>
      <c r="E10615" s="80"/>
    </row>
    <row r="10616" spans="2:5" x14ac:dyDescent="0.25">
      <c r="B10616" s="40"/>
      <c r="C10616" s="40"/>
      <c r="E10616" s="80"/>
    </row>
    <row r="10617" spans="2:5" x14ac:dyDescent="0.25">
      <c r="B10617" s="40"/>
      <c r="C10617" s="40"/>
      <c r="E10617" s="80"/>
    </row>
    <row r="10618" spans="2:5" x14ac:dyDescent="0.25">
      <c r="B10618" s="40"/>
      <c r="C10618" s="40"/>
      <c r="E10618" s="80"/>
    </row>
    <row r="10619" spans="2:5" x14ac:dyDescent="0.25">
      <c r="B10619" s="40"/>
      <c r="C10619" s="40"/>
      <c r="E10619" s="80"/>
    </row>
    <row r="10620" spans="2:5" x14ac:dyDescent="0.25">
      <c r="B10620" s="40"/>
      <c r="C10620" s="40"/>
      <c r="E10620" s="80"/>
    </row>
    <row r="10621" spans="2:5" x14ac:dyDescent="0.25">
      <c r="B10621" s="40"/>
      <c r="C10621" s="40"/>
      <c r="E10621" s="80"/>
    </row>
    <row r="10622" spans="2:5" x14ac:dyDescent="0.25">
      <c r="B10622" s="40"/>
      <c r="C10622" s="40"/>
      <c r="E10622" s="80"/>
    </row>
    <row r="10623" spans="2:5" x14ac:dyDescent="0.25">
      <c r="B10623" s="40"/>
      <c r="C10623" s="40"/>
      <c r="E10623" s="80"/>
    </row>
    <row r="10624" spans="2:5" x14ac:dyDescent="0.25">
      <c r="B10624" s="40"/>
      <c r="C10624" s="40"/>
      <c r="E10624" s="80"/>
    </row>
    <row r="10625" spans="2:5" x14ac:dyDescent="0.25">
      <c r="B10625" s="40"/>
      <c r="C10625" s="40"/>
      <c r="E10625" s="80"/>
    </row>
    <row r="10626" spans="2:5" x14ac:dyDescent="0.25">
      <c r="B10626" s="40"/>
      <c r="C10626" s="40"/>
      <c r="E10626" s="80"/>
    </row>
    <row r="10627" spans="2:5" x14ac:dyDescent="0.25">
      <c r="B10627" s="40"/>
      <c r="C10627" s="40"/>
      <c r="E10627" s="80"/>
    </row>
    <row r="10628" spans="2:5" x14ac:dyDescent="0.25">
      <c r="B10628" s="40"/>
      <c r="C10628" s="40"/>
      <c r="E10628" s="80"/>
    </row>
    <row r="10629" spans="2:5" x14ac:dyDescent="0.25">
      <c r="B10629" s="40"/>
      <c r="C10629" s="40"/>
      <c r="E10629" s="80"/>
    </row>
    <row r="10630" spans="2:5" x14ac:dyDescent="0.25">
      <c r="B10630" s="40"/>
      <c r="C10630" s="40"/>
      <c r="E10630" s="80"/>
    </row>
    <row r="10631" spans="2:5" x14ac:dyDescent="0.25">
      <c r="B10631" s="40"/>
      <c r="C10631" s="40"/>
      <c r="E10631" s="80"/>
    </row>
    <row r="10632" spans="2:5" x14ac:dyDescent="0.25">
      <c r="B10632" s="40"/>
      <c r="C10632" s="40"/>
      <c r="E10632" s="80"/>
    </row>
    <row r="10633" spans="2:5" x14ac:dyDescent="0.25">
      <c r="B10633" s="40"/>
      <c r="C10633" s="40"/>
      <c r="E10633" s="80"/>
    </row>
    <row r="10634" spans="2:5" x14ac:dyDescent="0.25">
      <c r="B10634" s="40"/>
      <c r="C10634" s="40"/>
      <c r="E10634" s="80"/>
    </row>
    <row r="10635" spans="2:5" x14ac:dyDescent="0.25">
      <c r="B10635" s="40"/>
      <c r="C10635" s="40"/>
      <c r="E10635" s="80"/>
    </row>
    <row r="10636" spans="2:5" x14ac:dyDescent="0.25">
      <c r="B10636" s="40"/>
      <c r="C10636" s="40"/>
      <c r="E10636" s="80"/>
    </row>
    <row r="10637" spans="2:5" x14ac:dyDescent="0.25">
      <c r="B10637" s="40"/>
      <c r="C10637" s="40"/>
      <c r="E10637" s="80"/>
    </row>
    <row r="10638" spans="2:5" x14ac:dyDescent="0.25">
      <c r="B10638" s="40"/>
      <c r="C10638" s="40"/>
      <c r="E10638" s="80"/>
    </row>
    <row r="10639" spans="2:5" x14ac:dyDescent="0.25">
      <c r="B10639" s="40"/>
      <c r="C10639" s="40"/>
      <c r="E10639" s="80"/>
    </row>
    <row r="10640" spans="2:5" x14ac:dyDescent="0.25">
      <c r="B10640" s="40"/>
      <c r="C10640" s="40"/>
      <c r="E10640" s="80"/>
    </row>
    <row r="10641" spans="2:5" x14ac:dyDescent="0.25">
      <c r="B10641" s="40"/>
      <c r="C10641" s="40"/>
      <c r="E10641" s="80"/>
    </row>
    <row r="10642" spans="2:5" x14ac:dyDescent="0.25">
      <c r="B10642" s="40"/>
      <c r="C10642" s="40"/>
      <c r="E10642" s="80"/>
    </row>
    <row r="10643" spans="2:5" x14ac:dyDescent="0.25">
      <c r="B10643" s="40"/>
      <c r="C10643" s="40"/>
      <c r="E10643" s="80"/>
    </row>
    <row r="10644" spans="2:5" x14ac:dyDescent="0.25">
      <c r="B10644" s="40"/>
      <c r="C10644" s="40"/>
      <c r="E10644" s="80"/>
    </row>
    <row r="10645" spans="2:5" x14ac:dyDescent="0.25">
      <c r="B10645" s="40"/>
      <c r="C10645" s="40"/>
      <c r="E10645" s="80"/>
    </row>
    <row r="10646" spans="2:5" x14ac:dyDescent="0.25">
      <c r="B10646" s="40"/>
      <c r="C10646" s="40"/>
      <c r="E10646" s="80"/>
    </row>
    <row r="10647" spans="2:5" x14ac:dyDescent="0.25">
      <c r="B10647" s="40"/>
      <c r="C10647" s="40"/>
      <c r="E10647" s="80"/>
    </row>
    <row r="10648" spans="2:5" x14ac:dyDescent="0.25">
      <c r="B10648" s="40"/>
      <c r="C10648" s="40"/>
      <c r="E10648" s="80"/>
    </row>
    <row r="10649" spans="2:5" x14ac:dyDescent="0.25">
      <c r="B10649" s="40"/>
      <c r="C10649" s="40"/>
      <c r="E10649" s="80"/>
    </row>
    <row r="10650" spans="2:5" x14ac:dyDescent="0.25">
      <c r="B10650" s="40"/>
      <c r="C10650" s="40"/>
      <c r="E10650" s="80"/>
    </row>
    <row r="10651" spans="2:5" x14ac:dyDescent="0.25">
      <c r="B10651" s="40"/>
      <c r="C10651" s="40"/>
      <c r="E10651" s="80"/>
    </row>
    <row r="10652" spans="2:5" x14ac:dyDescent="0.25">
      <c r="B10652" s="40"/>
      <c r="C10652" s="40"/>
      <c r="E10652" s="80"/>
    </row>
    <row r="10653" spans="2:5" x14ac:dyDescent="0.25">
      <c r="B10653" s="40"/>
      <c r="C10653" s="40"/>
      <c r="E10653" s="80"/>
    </row>
    <row r="10654" spans="2:5" x14ac:dyDescent="0.25">
      <c r="B10654" s="40"/>
      <c r="C10654" s="40"/>
      <c r="E10654" s="80"/>
    </row>
    <row r="10655" spans="2:5" x14ac:dyDescent="0.25">
      <c r="B10655" s="40"/>
      <c r="C10655" s="40"/>
      <c r="E10655" s="80"/>
    </row>
    <row r="10656" spans="2:5" x14ac:dyDescent="0.25">
      <c r="B10656" s="40"/>
      <c r="C10656" s="40"/>
      <c r="E10656" s="80"/>
    </row>
    <row r="10657" spans="1:5" x14ac:dyDescent="0.25">
      <c r="B10657" s="40"/>
      <c r="C10657" s="40"/>
      <c r="E10657" s="80"/>
    </row>
    <row r="10658" spans="1:5" x14ac:dyDescent="0.25">
      <c r="B10658" s="40"/>
      <c r="C10658" s="40"/>
      <c r="E10658" s="80"/>
    </row>
    <row r="10659" spans="1:5" x14ac:dyDescent="0.25">
      <c r="B10659" s="40"/>
      <c r="C10659" s="40"/>
      <c r="E10659" s="80"/>
    </row>
    <row r="10660" spans="1:5" x14ac:dyDescent="0.25">
      <c r="A10660" s="40"/>
      <c r="B10660" s="40"/>
      <c r="C10660" s="40"/>
      <c r="E10660" s="80"/>
    </row>
    <row r="10661" spans="1:5" x14ac:dyDescent="0.25">
      <c r="A10661" s="40"/>
      <c r="B10661" s="40"/>
      <c r="C10661" s="40"/>
      <c r="E10661" s="80"/>
    </row>
    <row r="10662" spans="1:5" x14ac:dyDescent="0.25">
      <c r="A10662" s="40"/>
      <c r="B10662" s="40"/>
      <c r="C10662" s="40"/>
      <c r="E10662" s="80"/>
    </row>
    <row r="10663" spans="1:5" x14ac:dyDescent="0.25">
      <c r="A10663" s="40"/>
      <c r="B10663" s="40"/>
      <c r="C10663" s="40"/>
      <c r="E10663" s="80"/>
    </row>
    <row r="10664" spans="1:5" x14ac:dyDescent="0.25">
      <c r="A10664" s="40"/>
      <c r="B10664" s="40"/>
      <c r="C10664" s="40"/>
      <c r="E10664" s="80"/>
    </row>
    <row r="10665" spans="1:5" x14ac:dyDescent="0.25">
      <c r="A10665" s="40"/>
      <c r="B10665" s="40"/>
      <c r="C10665" s="40"/>
      <c r="E10665" s="80"/>
    </row>
    <row r="10666" spans="1:5" x14ac:dyDescent="0.25">
      <c r="A10666" s="40"/>
      <c r="B10666" s="40"/>
      <c r="C10666" s="40"/>
      <c r="E10666" s="80"/>
    </row>
    <row r="10667" spans="1:5" x14ac:dyDescent="0.25">
      <c r="A10667" s="40"/>
      <c r="B10667" s="40"/>
      <c r="C10667" s="40"/>
      <c r="E10667" s="80"/>
    </row>
    <row r="10668" spans="1:5" x14ac:dyDescent="0.25">
      <c r="A10668" s="40"/>
      <c r="B10668" s="40"/>
      <c r="C10668" s="40"/>
      <c r="E10668" s="80"/>
    </row>
    <row r="10669" spans="1:5" x14ac:dyDescent="0.25">
      <c r="A10669" s="40"/>
      <c r="B10669" s="40"/>
      <c r="C10669" s="40"/>
      <c r="E10669" s="80"/>
    </row>
    <row r="10670" spans="1:5" x14ac:dyDescent="0.25">
      <c r="A10670" s="40"/>
      <c r="B10670" s="40"/>
      <c r="C10670" s="40"/>
      <c r="E10670" s="80"/>
    </row>
    <row r="10671" spans="1:5" x14ac:dyDescent="0.25">
      <c r="A10671" s="40"/>
      <c r="B10671" s="40"/>
      <c r="C10671" s="40"/>
      <c r="E10671" s="80"/>
    </row>
    <row r="10672" spans="1:5" x14ac:dyDescent="0.25">
      <c r="A10672" s="40"/>
      <c r="B10672" s="40"/>
      <c r="C10672" s="40"/>
      <c r="E10672" s="80"/>
    </row>
    <row r="10673" spans="1:5" x14ac:dyDescent="0.25">
      <c r="A10673" s="40"/>
      <c r="B10673" s="40"/>
      <c r="C10673" s="40"/>
      <c r="E10673" s="80"/>
    </row>
    <row r="10674" spans="1:5" x14ac:dyDescent="0.25">
      <c r="A10674" s="40"/>
      <c r="B10674" s="40"/>
      <c r="C10674" s="40"/>
      <c r="E10674" s="80"/>
    </row>
    <row r="10675" spans="1:5" x14ac:dyDescent="0.25">
      <c r="A10675" s="40"/>
      <c r="B10675" s="40"/>
      <c r="C10675" s="40"/>
      <c r="E10675" s="80"/>
    </row>
    <row r="10676" spans="1:5" x14ac:dyDescent="0.25">
      <c r="A10676" s="40"/>
      <c r="B10676" s="40"/>
      <c r="C10676" s="40"/>
      <c r="E10676" s="80"/>
    </row>
    <row r="10677" spans="1:5" x14ac:dyDescent="0.25">
      <c r="A10677" s="40"/>
      <c r="B10677" s="40"/>
      <c r="C10677" s="40"/>
      <c r="E10677" s="80"/>
    </row>
    <row r="10678" spans="1:5" x14ac:dyDescent="0.25">
      <c r="A10678" s="40"/>
      <c r="B10678" s="40"/>
      <c r="C10678" s="40"/>
      <c r="E10678" s="80"/>
    </row>
    <row r="10679" spans="1:5" x14ac:dyDescent="0.25">
      <c r="A10679" s="40"/>
      <c r="B10679" s="40"/>
      <c r="C10679" s="40"/>
      <c r="E10679" s="80"/>
    </row>
    <row r="10680" spans="1:5" x14ac:dyDescent="0.25">
      <c r="A10680" s="40"/>
      <c r="B10680" s="40"/>
      <c r="C10680" s="40"/>
      <c r="E10680" s="80"/>
    </row>
    <row r="10681" spans="1:5" x14ac:dyDescent="0.25">
      <c r="A10681" s="40"/>
      <c r="B10681" s="40"/>
      <c r="C10681" s="40"/>
      <c r="E10681" s="80"/>
    </row>
    <row r="10682" spans="1:5" x14ac:dyDescent="0.25">
      <c r="A10682" s="40"/>
      <c r="B10682" s="40"/>
      <c r="C10682" s="40"/>
      <c r="E10682" s="80"/>
    </row>
    <row r="10683" spans="1:5" x14ac:dyDescent="0.25">
      <c r="A10683" s="40"/>
      <c r="B10683" s="40"/>
      <c r="C10683" s="40"/>
      <c r="E10683" s="80"/>
    </row>
    <row r="10684" spans="1:5" x14ac:dyDescent="0.25">
      <c r="A10684" s="40"/>
      <c r="B10684" s="40"/>
      <c r="C10684" s="40"/>
      <c r="E10684" s="80"/>
    </row>
    <row r="10685" spans="1:5" x14ac:dyDescent="0.25">
      <c r="A10685" s="40"/>
      <c r="B10685" s="40"/>
      <c r="C10685" s="40"/>
      <c r="E10685" s="80"/>
    </row>
    <row r="10686" spans="1:5" x14ac:dyDescent="0.25">
      <c r="A10686" s="40"/>
      <c r="B10686" s="40"/>
      <c r="C10686" s="40"/>
      <c r="E10686" s="80"/>
    </row>
    <row r="10687" spans="1:5" x14ac:dyDescent="0.25">
      <c r="A10687" s="40"/>
      <c r="B10687" s="40"/>
      <c r="C10687" s="40"/>
      <c r="E10687" s="80"/>
    </row>
    <row r="10688" spans="1:5" x14ac:dyDescent="0.25">
      <c r="A10688" s="40"/>
      <c r="B10688" s="40"/>
      <c r="C10688" s="40"/>
      <c r="E10688" s="80"/>
    </row>
    <row r="10689" spans="1:5" x14ac:dyDescent="0.25">
      <c r="A10689" s="40"/>
      <c r="B10689" s="40"/>
      <c r="C10689" s="40"/>
      <c r="E10689" s="80"/>
    </row>
    <row r="10690" spans="1:5" x14ac:dyDescent="0.25">
      <c r="A10690" s="40"/>
      <c r="B10690" s="40"/>
      <c r="C10690" s="40"/>
      <c r="E10690" s="80"/>
    </row>
    <row r="10691" spans="1:5" x14ac:dyDescent="0.25">
      <c r="A10691" s="40"/>
      <c r="B10691" s="40"/>
      <c r="C10691" s="40"/>
      <c r="E10691" s="80"/>
    </row>
    <row r="10692" spans="1:5" x14ac:dyDescent="0.25">
      <c r="A10692" s="40"/>
      <c r="B10692" s="40"/>
      <c r="C10692" s="40"/>
      <c r="E10692" s="80"/>
    </row>
    <row r="10693" spans="1:5" x14ac:dyDescent="0.25">
      <c r="A10693" s="40"/>
      <c r="B10693" s="40"/>
      <c r="C10693" s="40"/>
      <c r="E10693" s="80"/>
    </row>
    <row r="10694" spans="1:5" x14ac:dyDescent="0.25">
      <c r="A10694" s="40"/>
      <c r="B10694" s="40"/>
      <c r="C10694" s="40"/>
      <c r="E10694" s="80"/>
    </row>
    <row r="10695" spans="1:5" x14ac:dyDescent="0.25">
      <c r="A10695" s="40"/>
      <c r="B10695" s="40"/>
      <c r="C10695" s="40"/>
      <c r="E10695" s="80"/>
    </row>
    <row r="10696" spans="1:5" x14ac:dyDescent="0.25">
      <c r="A10696" s="40"/>
      <c r="B10696" s="40"/>
      <c r="C10696" s="40"/>
      <c r="E10696" s="80"/>
    </row>
    <row r="10697" spans="1:5" x14ac:dyDescent="0.25">
      <c r="A10697" s="40"/>
      <c r="B10697" s="40"/>
      <c r="C10697" s="40"/>
      <c r="E10697" s="80"/>
    </row>
    <row r="10698" spans="1:5" x14ac:dyDescent="0.25">
      <c r="A10698" s="40"/>
      <c r="B10698" s="40"/>
      <c r="C10698" s="40"/>
      <c r="E10698" s="80"/>
    </row>
    <row r="10699" spans="1:5" x14ac:dyDescent="0.25">
      <c r="A10699" s="40"/>
      <c r="B10699" s="40"/>
      <c r="C10699" s="40"/>
      <c r="E10699" s="80"/>
    </row>
    <row r="10700" spans="1:5" x14ac:dyDescent="0.25">
      <c r="A10700" s="40"/>
      <c r="B10700" s="40"/>
      <c r="C10700" s="40"/>
      <c r="E10700" s="80"/>
    </row>
    <row r="10701" spans="1:5" x14ac:dyDescent="0.25">
      <c r="A10701" s="40"/>
      <c r="B10701" s="40"/>
      <c r="C10701" s="40"/>
      <c r="E10701" s="80"/>
    </row>
    <row r="10702" spans="1:5" x14ac:dyDescent="0.25">
      <c r="A10702" s="40"/>
      <c r="B10702" s="40"/>
      <c r="C10702" s="40"/>
      <c r="E10702" s="80"/>
    </row>
    <row r="10703" spans="1:5" x14ac:dyDescent="0.25">
      <c r="A10703" s="40"/>
      <c r="B10703" s="40"/>
      <c r="C10703" s="40"/>
      <c r="E10703" s="80"/>
    </row>
    <row r="10704" spans="1:5" x14ac:dyDescent="0.25">
      <c r="A10704" s="40"/>
      <c r="B10704" s="40"/>
      <c r="C10704" s="40"/>
      <c r="E10704" s="80"/>
    </row>
    <row r="10705" spans="1:5" x14ac:dyDescent="0.25">
      <c r="A10705" s="40"/>
      <c r="B10705" s="40"/>
      <c r="C10705" s="40"/>
      <c r="E10705" s="80"/>
    </row>
    <row r="10706" spans="1:5" x14ac:dyDescent="0.25">
      <c r="A10706" s="40"/>
      <c r="B10706" s="40"/>
      <c r="C10706" s="40"/>
      <c r="E10706" s="80"/>
    </row>
    <row r="10707" spans="1:5" x14ac:dyDescent="0.25">
      <c r="A10707" s="40"/>
      <c r="B10707" s="40"/>
      <c r="C10707" s="40"/>
      <c r="E10707" s="80"/>
    </row>
    <row r="10708" spans="1:5" x14ac:dyDescent="0.25">
      <c r="A10708" s="40"/>
      <c r="B10708" s="40"/>
      <c r="C10708" s="40"/>
      <c r="E10708" s="80"/>
    </row>
    <row r="10709" spans="1:5" x14ac:dyDescent="0.25">
      <c r="A10709" s="40"/>
      <c r="B10709" s="40"/>
      <c r="C10709" s="40"/>
      <c r="E10709" s="80"/>
    </row>
    <row r="10710" spans="1:5" x14ac:dyDescent="0.25">
      <c r="A10710" s="40"/>
      <c r="B10710" s="40"/>
      <c r="C10710" s="40"/>
      <c r="E10710" s="80"/>
    </row>
    <row r="10711" spans="1:5" x14ac:dyDescent="0.25">
      <c r="A10711" s="40"/>
      <c r="B10711" s="40"/>
      <c r="C10711" s="40"/>
      <c r="E10711" s="80"/>
    </row>
    <row r="10712" spans="1:5" x14ac:dyDescent="0.25">
      <c r="A10712" s="40"/>
      <c r="B10712" s="40"/>
      <c r="C10712" s="40"/>
      <c r="E10712" s="80"/>
    </row>
    <row r="10713" spans="1:5" x14ac:dyDescent="0.25">
      <c r="A10713" s="40"/>
      <c r="B10713" s="40"/>
      <c r="C10713" s="40"/>
      <c r="E10713" s="80"/>
    </row>
    <row r="10714" spans="1:5" x14ac:dyDescent="0.25">
      <c r="A10714" s="40"/>
      <c r="B10714" s="40"/>
      <c r="C10714" s="40"/>
      <c r="E10714" s="80"/>
    </row>
    <row r="10715" spans="1:5" x14ac:dyDescent="0.25">
      <c r="A10715" s="40"/>
      <c r="B10715" s="40"/>
      <c r="C10715" s="40"/>
      <c r="E10715" s="80"/>
    </row>
    <row r="10716" spans="1:5" x14ac:dyDescent="0.25">
      <c r="A10716" s="40"/>
      <c r="B10716" s="40"/>
      <c r="C10716" s="40"/>
      <c r="E10716" s="80"/>
    </row>
    <row r="10717" spans="1:5" x14ac:dyDescent="0.25">
      <c r="A10717" s="40"/>
      <c r="B10717" s="40"/>
      <c r="C10717" s="40"/>
      <c r="E10717" s="80"/>
    </row>
    <row r="10718" spans="1:5" x14ac:dyDescent="0.25">
      <c r="A10718" s="40"/>
      <c r="B10718" s="40"/>
      <c r="C10718" s="40"/>
      <c r="E10718" s="80"/>
    </row>
    <row r="10719" spans="1:5" x14ac:dyDescent="0.25">
      <c r="A10719" s="40"/>
      <c r="B10719" s="40"/>
      <c r="C10719" s="40"/>
      <c r="E10719" s="80"/>
    </row>
    <row r="10720" spans="1:5" x14ac:dyDescent="0.25">
      <c r="A10720" s="40"/>
      <c r="B10720" s="40"/>
      <c r="C10720" s="40"/>
      <c r="E10720" s="80"/>
    </row>
    <row r="10721" spans="1:5" x14ac:dyDescent="0.25">
      <c r="A10721" s="40"/>
      <c r="B10721" s="40"/>
      <c r="C10721" s="40"/>
      <c r="E10721" s="80"/>
    </row>
    <row r="10722" spans="1:5" x14ac:dyDescent="0.25">
      <c r="A10722" s="40"/>
      <c r="B10722" s="40"/>
      <c r="C10722" s="40"/>
      <c r="E10722" s="80"/>
    </row>
    <row r="10723" spans="1:5" x14ac:dyDescent="0.25">
      <c r="A10723" s="40"/>
      <c r="B10723" s="40"/>
      <c r="C10723" s="40"/>
      <c r="E10723" s="80"/>
    </row>
    <row r="10724" spans="1:5" x14ac:dyDescent="0.25">
      <c r="A10724" s="40"/>
      <c r="B10724" s="40"/>
      <c r="C10724" s="40"/>
      <c r="E10724" s="80"/>
    </row>
    <row r="10725" spans="1:5" x14ac:dyDescent="0.25">
      <c r="A10725" s="40"/>
      <c r="B10725" s="40"/>
      <c r="C10725" s="40"/>
      <c r="E10725" s="80"/>
    </row>
    <row r="10726" spans="1:5" x14ac:dyDescent="0.25">
      <c r="A10726" s="40"/>
      <c r="B10726" s="40"/>
      <c r="C10726" s="40"/>
      <c r="E10726" s="80"/>
    </row>
    <row r="10727" spans="1:5" x14ac:dyDescent="0.25">
      <c r="A10727" s="40"/>
      <c r="B10727" s="40"/>
      <c r="C10727" s="40"/>
      <c r="E10727" s="80"/>
    </row>
    <row r="10728" spans="1:5" x14ac:dyDescent="0.25">
      <c r="A10728" s="40"/>
      <c r="B10728" s="40"/>
      <c r="C10728" s="40"/>
      <c r="E10728" s="80"/>
    </row>
    <row r="10729" spans="1:5" x14ac:dyDescent="0.25">
      <c r="A10729" s="40"/>
      <c r="B10729" s="40"/>
      <c r="C10729" s="40"/>
      <c r="E10729" s="80"/>
    </row>
    <row r="10730" spans="1:5" x14ac:dyDescent="0.25">
      <c r="A10730" s="40"/>
      <c r="B10730" s="40"/>
      <c r="C10730" s="40"/>
      <c r="E10730" s="80"/>
    </row>
    <row r="10731" spans="1:5" x14ac:dyDescent="0.25">
      <c r="A10731" s="40"/>
      <c r="B10731" s="40"/>
      <c r="C10731" s="40"/>
      <c r="E10731" s="80"/>
    </row>
    <row r="10732" spans="1:5" x14ac:dyDescent="0.25">
      <c r="A10732" s="40"/>
      <c r="B10732" s="40"/>
      <c r="C10732" s="40"/>
      <c r="E10732" s="80"/>
    </row>
    <row r="10733" spans="1:5" x14ac:dyDescent="0.25">
      <c r="A10733" s="40"/>
      <c r="B10733" s="40"/>
      <c r="C10733" s="40"/>
      <c r="E10733" s="80"/>
    </row>
    <row r="10734" spans="1:5" x14ac:dyDescent="0.25">
      <c r="A10734" s="40"/>
      <c r="B10734" s="40"/>
      <c r="C10734" s="40"/>
      <c r="E10734" s="80"/>
    </row>
    <row r="10735" spans="1:5" x14ac:dyDescent="0.25">
      <c r="A10735" s="40"/>
      <c r="B10735" s="40"/>
      <c r="C10735" s="40"/>
      <c r="E10735" s="80"/>
    </row>
    <row r="10736" spans="1:5" x14ac:dyDescent="0.25">
      <c r="A10736" s="40"/>
      <c r="B10736" s="40"/>
      <c r="C10736" s="40"/>
      <c r="E10736" s="80"/>
    </row>
    <row r="10737" spans="1:5" x14ac:dyDescent="0.25">
      <c r="A10737" s="40"/>
      <c r="B10737" s="40"/>
      <c r="C10737" s="40"/>
      <c r="E10737" s="80"/>
    </row>
    <row r="10738" spans="1:5" x14ac:dyDescent="0.25">
      <c r="A10738" s="40"/>
      <c r="B10738" s="40"/>
      <c r="C10738" s="40"/>
      <c r="E10738" s="80"/>
    </row>
    <row r="10739" spans="1:5" x14ac:dyDescent="0.25">
      <c r="A10739" s="40"/>
      <c r="B10739" s="40"/>
      <c r="C10739" s="40"/>
      <c r="E10739" s="80"/>
    </row>
    <row r="10740" spans="1:5" x14ac:dyDescent="0.25">
      <c r="A10740" s="40"/>
      <c r="B10740" s="40"/>
      <c r="C10740" s="40"/>
      <c r="E10740" s="80"/>
    </row>
    <row r="10741" spans="1:5" x14ac:dyDescent="0.25">
      <c r="A10741" s="40"/>
      <c r="B10741" s="40"/>
      <c r="C10741" s="40"/>
      <c r="E10741" s="80"/>
    </row>
    <row r="10742" spans="1:5" x14ac:dyDescent="0.25">
      <c r="A10742" s="40"/>
      <c r="B10742" s="40"/>
      <c r="C10742" s="40"/>
      <c r="E10742" s="80"/>
    </row>
    <row r="10743" spans="1:5" x14ac:dyDescent="0.25">
      <c r="A10743" s="40"/>
      <c r="B10743" s="40"/>
      <c r="C10743" s="40"/>
      <c r="E10743" s="80"/>
    </row>
    <row r="10744" spans="1:5" x14ac:dyDescent="0.25">
      <c r="A10744" s="40"/>
      <c r="B10744" s="40"/>
      <c r="C10744" s="40"/>
      <c r="E10744" s="80"/>
    </row>
    <row r="10745" spans="1:5" x14ac:dyDescent="0.25">
      <c r="A10745" s="40"/>
      <c r="B10745" s="40"/>
      <c r="C10745" s="40"/>
      <c r="E10745" s="80"/>
    </row>
    <row r="10746" spans="1:5" x14ac:dyDescent="0.25">
      <c r="A10746" s="40"/>
      <c r="B10746" s="40"/>
      <c r="C10746" s="40"/>
      <c r="E10746" s="80"/>
    </row>
    <row r="10747" spans="1:5" x14ac:dyDescent="0.25">
      <c r="A10747" s="40"/>
      <c r="B10747" s="40"/>
      <c r="C10747" s="40"/>
      <c r="E10747" s="80"/>
    </row>
    <row r="10748" spans="1:5" x14ac:dyDescent="0.25">
      <c r="A10748" s="40"/>
      <c r="B10748" s="40"/>
      <c r="C10748" s="40"/>
      <c r="E10748" s="80"/>
    </row>
    <row r="10749" spans="1:5" x14ac:dyDescent="0.25">
      <c r="A10749" s="40"/>
      <c r="B10749" s="40"/>
      <c r="C10749" s="40"/>
      <c r="E10749" s="80"/>
    </row>
    <row r="10750" spans="1:5" x14ac:dyDescent="0.25">
      <c r="A10750" s="40"/>
      <c r="B10750" s="40"/>
      <c r="C10750" s="40"/>
      <c r="E10750" s="80"/>
    </row>
    <row r="10751" spans="1:5" x14ac:dyDescent="0.25">
      <c r="A10751" s="40"/>
      <c r="B10751" s="40"/>
      <c r="C10751" s="40"/>
      <c r="E10751" s="80"/>
    </row>
    <row r="10752" spans="1:5" x14ac:dyDescent="0.25">
      <c r="A10752" s="40"/>
      <c r="B10752" s="40"/>
      <c r="C10752" s="40"/>
      <c r="E10752" s="80"/>
    </row>
    <row r="10753" spans="1:5" x14ac:dyDescent="0.25">
      <c r="A10753" s="40"/>
      <c r="B10753" s="40"/>
      <c r="C10753" s="40"/>
      <c r="E10753" s="80"/>
    </row>
    <row r="10754" spans="1:5" x14ac:dyDescent="0.25">
      <c r="A10754" s="40"/>
      <c r="B10754" s="40"/>
      <c r="C10754" s="40"/>
      <c r="E10754" s="80"/>
    </row>
    <row r="10755" spans="1:5" x14ac:dyDescent="0.25">
      <c r="A10755" s="40"/>
      <c r="B10755" s="40"/>
      <c r="C10755" s="40"/>
      <c r="E10755" s="80"/>
    </row>
    <row r="10756" spans="1:5" x14ac:dyDescent="0.25">
      <c r="A10756" s="40"/>
      <c r="B10756" s="40"/>
      <c r="C10756" s="40"/>
      <c r="E10756" s="80"/>
    </row>
    <row r="10757" spans="1:5" x14ac:dyDescent="0.25">
      <c r="A10757" s="40"/>
      <c r="B10757" s="40"/>
      <c r="C10757" s="40"/>
      <c r="E10757" s="80"/>
    </row>
    <row r="10758" spans="1:5" x14ac:dyDescent="0.25">
      <c r="A10758" s="40"/>
      <c r="B10758" s="40"/>
      <c r="C10758" s="40"/>
      <c r="E10758" s="80"/>
    </row>
    <row r="10759" spans="1:5" x14ac:dyDescent="0.25">
      <c r="A10759" s="40"/>
      <c r="B10759" s="40"/>
      <c r="C10759" s="40"/>
      <c r="E10759" s="80"/>
    </row>
    <row r="10760" spans="1:5" x14ac:dyDescent="0.25">
      <c r="A10760" s="40"/>
      <c r="B10760" s="40"/>
      <c r="C10760" s="40"/>
      <c r="E10760" s="80"/>
    </row>
    <row r="10761" spans="1:5" x14ac:dyDescent="0.25">
      <c r="A10761" s="40"/>
      <c r="B10761" s="40"/>
      <c r="C10761" s="40"/>
      <c r="E10761" s="80"/>
    </row>
    <row r="10762" spans="1:5" x14ac:dyDescent="0.25">
      <c r="A10762" s="40"/>
      <c r="B10762" s="40"/>
      <c r="C10762" s="40"/>
      <c r="E10762" s="80"/>
    </row>
    <row r="10763" spans="1:5" x14ac:dyDescent="0.25">
      <c r="A10763" s="40"/>
      <c r="B10763" s="40"/>
      <c r="C10763" s="40"/>
      <c r="E10763" s="80"/>
    </row>
    <row r="10764" spans="1:5" x14ac:dyDescent="0.25">
      <c r="A10764" s="40"/>
      <c r="B10764" s="40"/>
      <c r="C10764" s="40"/>
      <c r="E10764" s="80"/>
    </row>
    <row r="10765" spans="1:5" x14ac:dyDescent="0.25">
      <c r="A10765" s="40"/>
      <c r="B10765" s="40"/>
      <c r="C10765" s="40"/>
      <c r="E10765" s="80"/>
    </row>
    <row r="10766" spans="1:5" x14ac:dyDescent="0.25">
      <c r="A10766" s="40"/>
      <c r="B10766" s="40"/>
      <c r="C10766" s="40"/>
      <c r="E10766" s="80"/>
    </row>
    <row r="10767" spans="1:5" x14ac:dyDescent="0.25">
      <c r="A10767" s="40"/>
      <c r="B10767" s="40"/>
      <c r="C10767" s="40"/>
      <c r="E10767" s="80"/>
    </row>
    <row r="10768" spans="1:5" x14ac:dyDescent="0.25">
      <c r="A10768" s="40"/>
      <c r="B10768" s="40"/>
      <c r="C10768" s="40"/>
      <c r="E10768" s="80"/>
    </row>
    <row r="10769" spans="1:5" x14ac:dyDescent="0.25">
      <c r="A10769" s="40"/>
      <c r="B10769" s="40"/>
      <c r="C10769" s="40"/>
      <c r="E10769" s="80"/>
    </row>
    <row r="10770" spans="1:5" x14ac:dyDescent="0.25">
      <c r="A10770" s="40"/>
      <c r="B10770" s="40"/>
      <c r="C10770" s="40"/>
      <c r="E10770" s="80"/>
    </row>
    <row r="10771" spans="1:5" x14ac:dyDescent="0.25">
      <c r="A10771" s="40"/>
      <c r="B10771" s="40"/>
      <c r="C10771" s="40"/>
      <c r="E10771" s="80"/>
    </row>
    <row r="10772" spans="1:5" x14ac:dyDescent="0.25">
      <c r="A10772" s="40"/>
      <c r="B10772" s="40"/>
      <c r="C10772" s="40"/>
      <c r="E10772" s="80"/>
    </row>
    <row r="10773" spans="1:5" x14ac:dyDescent="0.25">
      <c r="A10773" s="40"/>
      <c r="B10773" s="40"/>
      <c r="C10773" s="40"/>
      <c r="E10773" s="80"/>
    </row>
    <row r="10774" spans="1:5" x14ac:dyDescent="0.25">
      <c r="A10774" s="40"/>
      <c r="B10774" s="40"/>
      <c r="C10774" s="40"/>
      <c r="E10774" s="80"/>
    </row>
    <row r="10775" spans="1:5" x14ac:dyDescent="0.25">
      <c r="A10775" s="40"/>
      <c r="B10775" s="40"/>
      <c r="C10775" s="40"/>
      <c r="E10775" s="80"/>
    </row>
    <row r="10776" spans="1:5" x14ac:dyDescent="0.25">
      <c r="A10776" s="40"/>
      <c r="B10776" s="40"/>
      <c r="C10776" s="40"/>
      <c r="E10776" s="80"/>
    </row>
    <row r="10777" spans="1:5" x14ac:dyDescent="0.25">
      <c r="A10777" s="40"/>
      <c r="B10777" s="40"/>
      <c r="C10777" s="40"/>
      <c r="E10777" s="80"/>
    </row>
    <row r="10778" spans="1:5" x14ac:dyDescent="0.25">
      <c r="A10778" s="40"/>
      <c r="B10778" s="40"/>
      <c r="C10778" s="40"/>
      <c r="E10778" s="80"/>
    </row>
    <row r="10779" spans="1:5" x14ac:dyDescent="0.25">
      <c r="A10779" s="40"/>
      <c r="B10779" s="40"/>
      <c r="C10779" s="40"/>
      <c r="E10779" s="80"/>
    </row>
    <row r="10780" spans="1:5" x14ac:dyDescent="0.25">
      <c r="A10780" s="40"/>
      <c r="B10780" s="40"/>
      <c r="C10780" s="40"/>
      <c r="E10780" s="80"/>
    </row>
    <row r="10781" spans="1:5" x14ac:dyDescent="0.25">
      <c r="A10781" s="40"/>
      <c r="B10781" s="40"/>
      <c r="C10781" s="40"/>
      <c r="E10781" s="80"/>
    </row>
    <row r="10782" spans="1:5" x14ac:dyDescent="0.25">
      <c r="A10782" s="40"/>
      <c r="B10782" s="40"/>
      <c r="C10782" s="40"/>
      <c r="E10782" s="80"/>
    </row>
    <row r="10783" spans="1:5" x14ac:dyDescent="0.25">
      <c r="A10783" s="40"/>
      <c r="B10783" s="40"/>
      <c r="C10783" s="40"/>
      <c r="E10783" s="80"/>
    </row>
    <row r="10784" spans="1:5" x14ac:dyDescent="0.25">
      <c r="A10784" s="40"/>
      <c r="B10784" s="40"/>
      <c r="C10784" s="40"/>
      <c r="E10784" s="80"/>
    </row>
    <row r="10785" spans="1:5" x14ac:dyDescent="0.25">
      <c r="A10785" s="40"/>
      <c r="B10785" s="40"/>
      <c r="C10785" s="40"/>
      <c r="E10785" s="80"/>
    </row>
    <row r="10786" spans="1:5" x14ac:dyDescent="0.25">
      <c r="A10786" s="40"/>
      <c r="B10786" s="40"/>
      <c r="C10786" s="40"/>
      <c r="E10786" s="80"/>
    </row>
    <row r="10787" spans="1:5" x14ac:dyDescent="0.25">
      <c r="A10787" s="40"/>
      <c r="B10787" s="40"/>
      <c r="C10787" s="40"/>
      <c r="E10787" s="80"/>
    </row>
    <row r="10788" spans="1:5" x14ac:dyDescent="0.25">
      <c r="A10788" s="40"/>
      <c r="B10788" s="40"/>
      <c r="C10788" s="40"/>
      <c r="E10788" s="80"/>
    </row>
    <row r="10789" spans="1:5" x14ac:dyDescent="0.25">
      <c r="A10789" s="40"/>
      <c r="B10789" s="40"/>
      <c r="C10789" s="40"/>
      <c r="E10789" s="80"/>
    </row>
    <row r="10790" spans="1:5" x14ac:dyDescent="0.25">
      <c r="A10790" s="40"/>
      <c r="B10790" s="40"/>
      <c r="C10790" s="40"/>
      <c r="E10790" s="80"/>
    </row>
    <row r="10791" spans="1:5" x14ac:dyDescent="0.25">
      <c r="A10791" s="40"/>
      <c r="B10791" s="40"/>
      <c r="C10791" s="40"/>
      <c r="E10791" s="80"/>
    </row>
    <row r="10792" spans="1:5" x14ac:dyDescent="0.25">
      <c r="A10792" s="40"/>
      <c r="B10792" s="40"/>
      <c r="C10792" s="40"/>
      <c r="E10792" s="80"/>
    </row>
    <row r="10793" spans="1:5" x14ac:dyDescent="0.25">
      <c r="A10793" s="40"/>
      <c r="B10793" s="40"/>
      <c r="C10793" s="40"/>
      <c r="E10793" s="80"/>
    </row>
    <row r="10794" spans="1:5" x14ac:dyDescent="0.25">
      <c r="A10794" s="40"/>
      <c r="B10794" s="40"/>
      <c r="C10794" s="40"/>
      <c r="E10794" s="80"/>
    </row>
    <row r="10795" spans="1:5" x14ac:dyDescent="0.25">
      <c r="A10795" s="40"/>
      <c r="B10795" s="40"/>
      <c r="C10795" s="40"/>
      <c r="E10795" s="80"/>
    </row>
    <row r="10796" spans="1:5" x14ac:dyDescent="0.25">
      <c r="A10796" s="40"/>
      <c r="B10796" s="40"/>
      <c r="C10796" s="40"/>
      <c r="E10796" s="80"/>
    </row>
    <row r="10797" spans="1:5" x14ac:dyDescent="0.25">
      <c r="A10797" s="40"/>
      <c r="B10797" s="40"/>
      <c r="C10797" s="40"/>
      <c r="E10797" s="80"/>
    </row>
    <row r="10798" spans="1:5" x14ac:dyDescent="0.25">
      <c r="A10798" s="40"/>
      <c r="B10798" s="40"/>
      <c r="C10798" s="40"/>
      <c r="E10798" s="80"/>
    </row>
    <row r="10799" spans="1:5" x14ac:dyDescent="0.25">
      <c r="A10799" s="40"/>
      <c r="B10799" s="40"/>
      <c r="C10799" s="40"/>
      <c r="E10799" s="80"/>
    </row>
    <row r="10800" spans="1:5" x14ac:dyDescent="0.25">
      <c r="A10800" s="40"/>
      <c r="B10800" s="40"/>
      <c r="C10800" s="40"/>
      <c r="E10800" s="80"/>
    </row>
    <row r="10801" spans="1:5" x14ac:dyDescent="0.25">
      <c r="A10801" s="40"/>
      <c r="B10801" s="40"/>
      <c r="C10801" s="40"/>
      <c r="E10801" s="80"/>
    </row>
    <row r="10802" spans="1:5" x14ac:dyDescent="0.25">
      <c r="A10802" s="40"/>
      <c r="B10802" s="40"/>
      <c r="C10802" s="40"/>
      <c r="E10802" s="80"/>
    </row>
    <row r="10803" spans="1:5" x14ac:dyDescent="0.25">
      <c r="A10803" s="40"/>
      <c r="B10803" s="40"/>
      <c r="C10803" s="40"/>
      <c r="E10803" s="80"/>
    </row>
    <row r="10804" spans="1:5" x14ac:dyDescent="0.25">
      <c r="A10804" s="40"/>
      <c r="B10804" s="40"/>
      <c r="C10804" s="40"/>
      <c r="E10804" s="80"/>
    </row>
    <row r="10805" spans="1:5" x14ac:dyDescent="0.25">
      <c r="A10805" s="40"/>
      <c r="B10805" s="40"/>
      <c r="C10805" s="40"/>
      <c r="E10805" s="80"/>
    </row>
    <row r="10806" spans="1:5" x14ac:dyDescent="0.25">
      <c r="A10806" s="40"/>
      <c r="B10806" s="40"/>
      <c r="C10806" s="40"/>
      <c r="E10806" s="80"/>
    </row>
    <row r="10807" spans="1:5" x14ac:dyDescent="0.25">
      <c r="A10807" s="40"/>
      <c r="B10807" s="40"/>
      <c r="C10807" s="40"/>
      <c r="E10807" s="80"/>
    </row>
    <row r="10808" spans="1:5" x14ac:dyDescent="0.25">
      <c r="A10808" s="40"/>
      <c r="B10808" s="40"/>
      <c r="C10808" s="40"/>
      <c r="E10808" s="80"/>
    </row>
    <row r="10809" spans="1:5" x14ac:dyDescent="0.25">
      <c r="A10809" s="40"/>
      <c r="B10809" s="40"/>
      <c r="C10809" s="40"/>
      <c r="E10809" s="80"/>
    </row>
    <row r="10810" spans="1:5" x14ac:dyDescent="0.25">
      <c r="A10810" s="40"/>
      <c r="B10810" s="40"/>
      <c r="C10810" s="40"/>
      <c r="E10810" s="80"/>
    </row>
    <row r="10811" spans="1:5" x14ac:dyDescent="0.25">
      <c r="A10811" s="40"/>
      <c r="B10811" s="40"/>
      <c r="C10811" s="40"/>
      <c r="E10811" s="80"/>
    </row>
    <row r="10812" spans="1:5" x14ac:dyDescent="0.25">
      <c r="A10812" s="40"/>
      <c r="B10812" s="40"/>
      <c r="C10812" s="40"/>
      <c r="E10812" s="80"/>
    </row>
    <row r="10813" spans="1:5" x14ac:dyDescent="0.25">
      <c r="A10813" s="40"/>
      <c r="B10813" s="40"/>
      <c r="C10813" s="40"/>
      <c r="E10813" s="80"/>
    </row>
    <row r="10814" spans="1:5" x14ac:dyDescent="0.25">
      <c r="A10814" s="40"/>
      <c r="B10814" s="40"/>
      <c r="C10814" s="40"/>
      <c r="E10814" s="80"/>
    </row>
    <row r="10815" spans="1:5" x14ac:dyDescent="0.25">
      <c r="A10815" s="40"/>
      <c r="B10815" s="40"/>
      <c r="C10815" s="40"/>
      <c r="E10815" s="80"/>
    </row>
    <row r="10816" spans="1:5" x14ac:dyDescent="0.25">
      <c r="A10816" s="40"/>
      <c r="B10816" s="40"/>
      <c r="C10816" s="40"/>
      <c r="E10816" s="80"/>
    </row>
    <row r="10817" spans="1:5" x14ac:dyDescent="0.25">
      <c r="A10817" s="40"/>
      <c r="B10817" s="40"/>
      <c r="C10817" s="40"/>
      <c r="E10817" s="80"/>
    </row>
    <row r="10818" spans="1:5" x14ac:dyDescent="0.25">
      <c r="A10818" s="40"/>
      <c r="B10818" s="40"/>
      <c r="C10818" s="40"/>
      <c r="E10818" s="80"/>
    </row>
    <row r="10819" spans="1:5" x14ac:dyDescent="0.25">
      <c r="A10819" s="40"/>
      <c r="B10819" s="40"/>
      <c r="C10819" s="40"/>
      <c r="E10819" s="80"/>
    </row>
    <row r="10820" spans="1:5" x14ac:dyDescent="0.25">
      <c r="A10820" s="40"/>
      <c r="B10820" s="40"/>
      <c r="C10820" s="40"/>
      <c r="E10820" s="80"/>
    </row>
    <row r="10821" spans="1:5" x14ac:dyDescent="0.25">
      <c r="A10821" s="40"/>
      <c r="B10821" s="40"/>
      <c r="C10821" s="40"/>
      <c r="E10821" s="80"/>
    </row>
    <row r="10822" spans="1:5" x14ac:dyDescent="0.25">
      <c r="A10822" s="40"/>
      <c r="B10822" s="40"/>
      <c r="C10822" s="40"/>
      <c r="E10822" s="80"/>
    </row>
    <row r="10823" spans="1:5" x14ac:dyDescent="0.25">
      <c r="A10823" s="40"/>
      <c r="B10823" s="40"/>
      <c r="C10823" s="40"/>
      <c r="E10823" s="80"/>
    </row>
    <row r="10824" spans="1:5" x14ac:dyDescent="0.25">
      <c r="A10824" s="40"/>
      <c r="B10824" s="40"/>
      <c r="C10824" s="40"/>
      <c r="E10824" s="80"/>
    </row>
    <row r="10825" spans="1:5" x14ac:dyDescent="0.25">
      <c r="A10825" s="40"/>
      <c r="B10825" s="40"/>
      <c r="C10825" s="40"/>
      <c r="E10825" s="80"/>
    </row>
    <row r="10826" spans="1:5" x14ac:dyDescent="0.25">
      <c r="A10826" s="40"/>
      <c r="B10826" s="40"/>
      <c r="C10826" s="40"/>
      <c r="E10826" s="80"/>
    </row>
    <row r="10827" spans="1:5" x14ac:dyDescent="0.25">
      <c r="A10827" s="40"/>
      <c r="B10827" s="40"/>
      <c r="C10827" s="40"/>
      <c r="E10827" s="80"/>
    </row>
    <row r="10828" spans="1:5" x14ac:dyDescent="0.25">
      <c r="A10828" s="40"/>
      <c r="B10828" s="40"/>
      <c r="C10828" s="40"/>
      <c r="E10828" s="80"/>
    </row>
    <row r="10829" spans="1:5" x14ac:dyDescent="0.25">
      <c r="A10829" s="40"/>
      <c r="B10829" s="40"/>
      <c r="C10829" s="40"/>
      <c r="E10829" s="80"/>
    </row>
    <row r="10830" spans="1:5" x14ac:dyDescent="0.25">
      <c r="A10830" s="40"/>
      <c r="B10830" s="40"/>
      <c r="C10830" s="40"/>
      <c r="E10830" s="80"/>
    </row>
    <row r="10831" spans="1:5" x14ac:dyDescent="0.25">
      <c r="A10831" s="40"/>
      <c r="B10831" s="40"/>
      <c r="C10831" s="40"/>
      <c r="E10831" s="80"/>
    </row>
    <row r="10832" spans="1:5" x14ac:dyDescent="0.25">
      <c r="A10832" s="40"/>
      <c r="B10832" s="40"/>
      <c r="C10832" s="40"/>
      <c r="E10832" s="80"/>
    </row>
    <row r="10833" spans="1:5" x14ac:dyDescent="0.25">
      <c r="A10833" s="40"/>
      <c r="B10833" s="40"/>
      <c r="C10833" s="40"/>
      <c r="E10833" s="80"/>
    </row>
    <row r="10834" spans="1:5" x14ac:dyDescent="0.25">
      <c r="A10834" s="40"/>
      <c r="B10834" s="40"/>
      <c r="C10834" s="40"/>
      <c r="E10834" s="80"/>
    </row>
    <row r="10835" spans="1:5" x14ac:dyDescent="0.25">
      <c r="A10835" s="40"/>
      <c r="B10835" s="40"/>
      <c r="C10835" s="40"/>
      <c r="E10835" s="80"/>
    </row>
    <row r="10836" spans="1:5" x14ac:dyDescent="0.25">
      <c r="A10836" s="40"/>
      <c r="B10836" s="40"/>
      <c r="C10836" s="40"/>
      <c r="E10836" s="80"/>
    </row>
    <row r="10837" spans="1:5" x14ac:dyDescent="0.25">
      <c r="A10837" s="40"/>
      <c r="B10837" s="40"/>
      <c r="C10837" s="40"/>
      <c r="E10837" s="80"/>
    </row>
    <row r="10838" spans="1:5" x14ac:dyDescent="0.25">
      <c r="A10838" s="40"/>
      <c r="B10838" s="40"/>
      <c r="C10838" s="40"/>
      <c r="E10838" s="80"/>
    </row>
    <row r="10839" spans="1:5" x14ac:dyDescent="0.25">
      <c r="A10839" s="40"/>
      <c r="B10839" s="40"/>
      <c r="C10839" s="40"/>
      <c r="E10839" s="80"/>
    </row>
    <row r="10840" spans="1:5" x14ac:dyDescent="0.25">
      <c r="A10840" s="40"/>
      <c r="B10840" s="40"/>
      <c r="C10840" s="40"/>
      <c r="E10840" s="80"/>
    </row>
    <row r="10841" spans="1:5" x14ac:dyDescent="0.25">
      <c r="A10841" s="40"/>
      <c r="B10841" s="40"/>
      <c r="C10841" s="40"/>
      <c r="E10841" s="80"/>
    </row>
    <row r="10842" spans="1:5" x14ac:dyDescent="0.25">
      <c r="A10842" s="40"/>
      <c r="B10842" s="40"/>
      <c r="C10842" s="40"/>
      <c r="E10842" s="80"/>
    </row>
    <row r="10843" spans="1:5" x14ac:dyDescent="0.25">
      <c r="A10843" s="40"/>
      <c r="B10843" s="40"/>
      <c r="C10843" s="40"/>
      <c r="E10843" s="80"/>
    </row>
    <row r="10844" spans="1:5" x14ac:dyDescent="0.25">
      <c r="A10844" s="40"/>
      <c r="B10844" s="40"/>
      <c r="C10844" s="40"/>
      <c r="E10844" s="80"/>
    </row>
    <row r="10845" spans="1:5" x14ac:dyDescent="0.25">
      <c r="A10845" s="40"/>
      <c r="B10845" s="40"/>
      <c r="C10845" s="40"/>
      <c r="E10845" s="80"/>
    </row>
    <row r="10846" spans="1:5" x14ac:dyDescent="0.25">
      <c r="A10846" s="40"/>
      <c r="B10846" s="40"/>
      <c r="C10846" s="40"/>
      <c r="E10846" s="80"/>
    </row>
    <row r="10847" spans="1:5" x14ac:dyDescent="0.25">
      <c r="A10847" s="40"/>
      <c r="B10847" s="40"/>
      <c r="C10847" s="40"/>
      <c r="E10847" s="80"/>
    </row>
    <row r="10848" spans="1:5" x14ac:dyDescent="0.25">
      <c r="A10848" s="40"/>
      <c r="B10848" s="40"/>
      <c r="C10848" s="40"/>
      <c r="E10848" s="80"/>
    </row>
    <row r="10849" spans="1:5" x14ac:dyDescent="0.25">
      <c r="A10849" s="40"/>
      <c r="B10849" s="40"/>
      <c r="C10849" s="40"/>
      <c r="E10849" s="80"/>
    </row>
    <row r="10850" spans="1:5" x14ac:dyDescent="0.25">
      <c r="A10850" s="40"/>
      <c r="B10850" s="40"/>
      <c r="C10850" s="40"/>
      <c r="E10850" s="80"/>
    </row>
    <row r="10851" spans="1:5" x14ac:dyDescent="0.25">
      <c r="A10851" s="40"/>
      <c r="B10851" s="40"/>
      <c r="C10851" s="40"/>
      <c r="E10851" s="80"/>
    </row>
    <row r="10852" spans="1:5" x14ac:dyDescent="0.25">
      <c r="A10852" s="40"/>
      <c r="B10852" s="40"/>
      <c r="C10852" s="40"/>
      <c r="E10852" s="80"/>
    </row>
    <row r="10853" spans="1:5" x14ac:dyDescent="0.25">
      <c r="A10853" s="40"/>
      <c r="B10853" s="40"/>
      <c r="C10853" s="40"/>
      <c r="E10853" s="80"/>
    </row>
    <row r="10854" spans="1:5" x14ac:dyDescent="0.25">
      <c r="A10854" s="40"/>
      <c r="B10854" s="40"/>
      <c r="C10854" s="40"/>
      <c r="E10854" s="80"/>
    </row>
    <row r="10855" spans="1:5" x14ac:dyDescent="0.25">
      <c r="A10855" s="40"/>
      <c r="B10855" s="40"/>
      <c r="C10855" s="40"/>
      <c r="E10855" s="80"/>
    </row>
    <row r="10856" spans="1:5" x14ac:dyDescent="0.25">
      <c r="A10856" s="40"/>
      <c r="B10856" s="40"/>
      <c r="C10856" s="40"/>
      <c r="E10856" s="80"/>
    </row>
    <row r="10857" spans="1:5" x14ac:dyDescent="0.25">
      <c r="A10857" s="40"/>
      <c r="B10857" s="40"/>
      <c r="C10857" s="40"/>
      <c r="E10857" s="80"/>
    </row>
    <row r="10858" spans="1:5" x14ac:dyDescent="0.25">
      <c r="A10858" s="40"/>
      <c r="B10858" s="40"/>
      <c r="C10858" s="40"/>
      <c r="E10858" s="80"/>
    </row>
    <row r="10859" spans="1:5" x14ac:dyDescent="0.25">
      <c r="A10859" s="40"/>
      <c r="B10859" s="40"/>
      <c r="C10859" s="40"/>
      <c r="E10859" s="80"/>
    </row>
    <row r="10860" spans="1:5" x14ac:dyDescent="0.25">
      <c r="A10860" s="40"/>
      <c r="B10860" s="40"/>
      <c r="C10860" s="40"/>
      <c r="E10860" s="80"/>
    </row>
    <row r="10861" spans="1:5" x14ac:dyDescent="0.25">
      <c r="A10861" s="40"/>
      <c r="B10861" s="40"/>
      <c r="C10861" s="40"/>
      <c r="E10861" s="80"/>
    </row>
    <row r="10862" spans="1:5" x14ac:dyDescent="0.25">
      <c r="A10862" s="40"/>
      <c r="B10862" s="40"/>
      <c r="C10862" s="40"/>
      <c r="E10862" s="80"/>
    </row>
    <row r="10863" spans="1:5" x14ac:dyDescent="0.25">
      <c r="A10863" s="40"/>
      <c r="B10863" s="40"/>
      <c r="C10863" s="40"/>
      <c r="E10863" s="80"/>
    </row>
    <row r="10864" spans="1:5" x14ac:dyDescent="0.25">
      <c r="A10864" s="40"/>
      <c r="B10864" s="40"/>
      <c r="C10864" s="40"/>
      <c r="E10864" s="80"/>
    </row>
    <row r="10865" spans="1:5" x14ac:dyDescent="0.25">
      <c r="A10865" s="40"/>
      <c r="B10865" s="40"/>
      <c r="C10865" s="40"/>
      <c r="E10865" s="80"/>
    </row>
    <row r="10866" spans="1:5" x14ac:dyDescent="0.25">
      <c r="A10866" s="40"/>
      <c r="B10866" s="40"/>
      <c r="C10866" s="40"/>
      <c r="E10866" s="80"/>
    </row>
    <row r="10867" spans="1:5" x14ac:dyDescent="0.25">
      <c r="A10867" s="40"/>
      <c r="B10867" s="40"/>
      <c r="C10867" s="40"/>
      <c r="E10867" s="80"/>
    </row>
    <row r="10868" spans="1:5" x14ac:dyDescent="0.25">
      <c r="A10868" s="40"/>
      <c r="B10868" s="40"/>
      <c r="C10868" s="40"/>
      <c r="E10868" s="80"/>
    </row>
    <row r="10869" spans="1:5" x14ac:dyDescent="0.25">
      <c r="A10869" s="40"/>
      <c r="B10869" s="40"/>
      <c r="C10869" s="40"/>
      <c r="E10869" s="80"/>
    </row>
    <row r="10870" spans="1:5" x14ac:dyDescent="0.25">
      <c r="A10870" s="40"/>
      <c r="B10870" s="40"/>
      <c r="C10870" s="40"/>
      <c r="E10870" s="80"/>
    </row>
    <row r="10871" spans="1:5" x14ac:dyDescent="0.25">
      <c r="A10871" s="40"/>
      <c r="B10871" s="40"/>
      <c r="C10871" s="40"/>
      <c r="E10871" s="80"/>
    </row>
    <row r="10872" spans="1:5" x14ac:dyDescent="0.25">
      <c r="A10872" s="40"/>
      <c r="B10872" s="40"/>
      <c r="C10872" s="40"/>
      <c r="E10872" s="80"/>
    </row>
    <row r="10873" spans="1:5" x14ac:dyDescent="0.25">
      <c r="A10873" s="40"/>
      <c r="B10873" s="40"/>
      <c r="C10873" s="40"/>
      <c r="E10873" s="80"/>
    </row>
    <row r="10874" spans="1:5" x14ac:dyDescent="0.25">
      <c r="A10874" s="40"/>
      <c r="B10874" s="40"/>
      <c r="C10874" s="40"/>
      <c r="E10874" s="80"/>
    </row>
    <row r="10875" spans="1:5" x14ac:dyDescent="0.25">
      <c r="A10875" s="40"/>
      <c r="B10875" s="40"/>
      <c r="C10875" s="40"/>
      <c r="E10875" s="80"/>
    </row>
    <row r="10876" spans="1:5" x14ac:dyDescent="0.25">
      <c r="A10876" s="40"/>
      <c r="B10876" s="40"/>
      <c r="C10876" s="40"/>
      <c r="E10876" s="80"/>
    </row>
    <row r="10877" spans="1:5" x14ac:dyDescent="0.25">
      <c r="A10877" s="40"/>
      <c r="B10877" s="40"/>
      <c r="C10877" s="40"/>
      <c r="E10877" s="80"/>
    </row>
    <row r="10878" spans="1:5" x14ac:dyDescent="0.25">
      <c r="A10878" s="40"/>
      <c r="B10878" s="40"/>
      <c r="C10878" s="40"/>
      <c r="E10878" s="80"/>
    </row>
    <row r="10879" spans="1:5" x14ac:dyDescent="0.25">
      <c r="A10879" s="40"/>
      <c r="B10879" s="40"/>
      <c r="C10879" s="40"/>
      <c r="E10879" s="80"/>
    </row>
    <row r="10880" spans="1:5" x14ac:dyDescent="0.25">
      <c r="A10880" s="40"/>
      <c r="B10880" s="40"/>
      <c r="C10880" s="40"/>
      <c r="E10880" s="80"/>
    </row>
    <row r="10881" spans="1:5" x14ac:dyDescent="0.25">
      <c r="A10881" s="40"/>
      <c r="B10881" s="40"/>
      <c r="C10881" s="40"/>
      <c r="E10881" s="80"/>
    </row>
    <row r="10882" spans="1:5" x14ac:dyDescent="0.25">
      <c r="A10882" s="40"/>
      <c r="B10882" s="40"/>
      <c r="C10882" s="40"/>
      <c r="E10882" s="80"/>
    </row>
    <row r="10883" spans="1:5" x14ac:dyDescent="0.25">
      <c r="A10883" s="40"/>
      <c r="B10883" s="40"/>
      <c r="C10883" s="40"/>
      <c r="E10883" s="80"/>
    </row>
    <row r="10884" spans="1:5" x14ac:dyDescent="0.25">
      <c r="A10884" s="40"/>
      <c r="B10884" s="40"/>
      <c r="C10884" s="40"/>
      <c r="E10884" s="80"/>
    </row>
    <row r="10885" spans="1:5" x14ac:dyDescent="0.25">
      <c r="A10885" s="40"/>
      <c r="B10885" s="40"/>
      <c r="C10885" s="40"/>
      <c r="E10885" s="80"/>
    </row>
    <row r="10886" spans="1:5" x14ac:dyDescent="0.25">
      <c r="A10886" s="40"/>
      <c r="B10886" s="40"/>
      <c r="C10886" s="40"/>
      <c r="E10886" s="80"/>
    </row>
    <row r="10887" spans="1:5" x14ac:dyDescent="0.25">
      <c r="A10887" s="40"/>
      <c r="B10887" s="40"/>
      <c r="C10887" s="40"/>
      <c r="E10887" s="80"/>
    </row>
    <row r="10888" spans="1:5" x14ac:dyDescent="0.25">
      <c r="A10888" s="40"/>
      <c r="B10888" s="40"/>
      <c r="C10888" s="40"/>
      <c r="E10888" s="80"/>
    </row>
    <row r="10889" spans="1:5" x14ac:dyDescent="0.25">
      <c r="A10889" s="40"/>
      <c r="B10889" s="40"/>
      <c r="C10889" s="40"/>
      <c r="E10889" s="80"/>
    </row>
    <row r="10890" spans="1:5" x14ac:dyDescent="0.25">
      <c r="A10890" s="40"/>
      <c r="B10890" s="40"/>
      <c r="C10890" s="40"/>
      <c r="E10890" s="80"/>
    </row>
    <row r="10891" spans="1:5" x14ac:dyDescent="0.25">
      <c r="A10891" s="40"/>
      <c r="B10891" s="40"/>
      <c r="C10891" s="40"/>
      <c r="E10891" s="80"/>
    </row>
    <row r="10892" spans="1:5" x14ac:dyDescent="0.25">
      <c r="A10892" s="40"/>
      <c r="B10892" s="40"/>
      <c r="C10892" s="40"/>
      <c r="E10892" s="80"/>
    </row>
    <row r="10893" spans="1:5" x14ac:dyDescent="0.25">
      <c r="A10893" s="40"/>
      <c r="B10893" s="40"/>
      <c r="C10893" s="40"/>
      <c r="E10893" s="80"/>
    </row>
    <row r="10894" spans="1:5" x14ac:dyDescent="0.25">
      <c r="A10894" s="40"/>
      <c r="B10894" s="40"/>
      <c r="C10894" s="40"/>
      <c r="E10894" s="80"/>
    </row>
    <row r="10895" spans="1:5" x14ac:dyDescent="0.25">
      <c r="A10895" s="40"/>
      <c r="B10895" s="40"/>
      <c r="C10895" s="40"/>
      <c r="E10895" s="80"/>
    </row>
    <row r="10896" spans="1:5" x14ac:dyDescent="0.25">
      <c r="A10896" s="40"/>
      <c r="B10896" s="40"/>
      <c r="C10896" s="40"/>
      <c r="E10896" s="80"/>
    </row>
    <row r="10897" spans="1:5" x14ac:dyDescent="0.25">
      <c r="A10897" s="40"/>
      <c r="B10897" s="40"/>
      <c r="C10897" s="40"/>
      <c r="E10897" s="80"/>
    </row>
    <row r="10898" spans="1:5" x14ac:dyDescent="0.25">
      <c r="A10898" s="40"/>
      <c r="B10898" s="40"/>
      <c r="C10898" s="40"/>
      <c r="E10898" s="80"/>
    </row>
    <row r="10899" spans="1:5" x14ac:dyDescent="0.25">
      <c r="A10899" s="40"/>
      <c r="B10899" s="40"/>
      <c r="C10899" s="40"/>
      <c r="E10899" s="80"/>
    </row>
    <row r="10900" spans="1:5" x14ac:dyDescent="0.25">
      <c r="A10900" s="40"/>
      <c r="B10900" s="40"/>
      <c r="C10900" s="40"/>
      <c r="E10900" s="80"/>
    </row>
    <row r="10901" spans="1:5" x14ac:dyDescent="0.25">
      <c r="A10901" s="40"/>
      <c r="B10901" s="40"/>
      <c r="C10901" s="40"/>
      <c r="E10901" s="80"/>
    </row>
    <row r="10902" spans="1:5" x14ac:dyDescent="0.25">
      <c r="A10902" s="40"/>
      <c r="B10902" s="40"/>
      <c r="C10902" s="40"/>
      <c r="E10902" s="80"/>
    </row>
    <row r="10903" spans="1:5" x14ac:dyDescent="0.25">
      <c r="A10903" s="40"/>
      <c r="B10903" s="40"/>
      <c r="C10903" s="40"/>
      <c r="E10903" s="80"/>
    </row>
    <row r="10904" spans="1:5" x14ac:dyDescent="0.25">
      <c r="A10904" s="40"/>
      <c r="B10904" s="40"/>
      <c r="C10904" s="40"/>
      <c r="E10904" s="80"/>
    </row>
    <row r="10905" spans="1:5" x14ac:dyDescent="0.25">
      <c r="A10905" s="40"/>
      <c r="B10905" s="40"/>
      <c r="C10905" s="40"/>
      <c r="E10905" s="80"/>
    </row>
    <row r="10906" spans="1:5" x14ac:dyDescent="0.25">
      <c r="A10906" s="40"/>
      <c r="B10906" s="40"/>
      <c r="C10906" s="40"/>
      <c r="E10906" s="80"/>
    </row>
    <row r="10907" spans="1:5" x14ac:dyDescent="0.25">
      <c r="A10907" s="40"/>
      <c r="B10907" s="40"/>
      <c r="C10907" s="40"/>
      <c r="E10907" s="80"/>
    </row>
    <row r="10908" spans="1:5" x14ac:dyDescent="0.25">
      <c r="A10908" s="40"/>
      <c r="B10908" s="40"/>
      <c r="C10908" s="40"/>
      <c r="E10908" s="80"/>
    </row>
    <row r="10909" spans="1:5" x14ac:dyDescent="0.25">
      <c r="A10909" s="40"/>
      <c r="B10909" s="40"/>
      <c r="C10909" s="40"/>
      <c r="E10909" s="80"/>
    </row>
    <row r="10910" spans="1:5" x14ac:dyDescent="0.25">
      <c r="A10910" s="40"/>
      <c r="B10910" s="40"/>
      <c r="C10910" s="40"/>
      <c r="E10910" s="80"/>
    </row>
    <row r="10911" spans="1:5" x14ac:dyDescent="0.25">
      <c r="A10911" s="40"/>
      <c r="B10911" s="40"/>
      <c r="C10911" s="40"/>
      <c r="E10911" s="80"/>
    </row>
    <row r="10912" spans="1:5" x14ac:dyDescent="0.25">
      <c r="A10912" s="40"/>
      <c r="B10912" s="40"/>
      <c r="C10912" s="40"/>
      <c r="E10912" s="80"/>
    </row>
    <row r="10913" spans="1:5" x14ac:dyDescent="0.25">
      <c r="A10913" s="40"/>
      <c r="B10913" s="40"/>
      <c r="C10913" s="40"/>
      <c r="E10913" s="80"/>
    </row>
    <row r="10914" spans="1:5" x14ac:dyDescent="0.25">
      <c r="A10914" s="40"/>
      <c r="B10914" s="40"/>
      <c r="C10914" s="40"/>
      <c r="E10914" s="80"/>
    </row>
    <row r="10915" spans="1:5" x14ac:dyDescent="0.25">
      <c r="A10915" s="40"/>
      <c r="B10915" s="40"/>
      <c r="C10915" s="40"/>
      <c r="E10915" s="80"/>
    </row>
    <row r="10916" spans="1:5" x14ac:dyDescent="0.25">
      <c r="A10916" s="40"/>
      <c r="B10916" s="40"/>
      <c r="C10916" s="40"/>
      <c r="E10916" s="80"/>
    </row>
    <row r="10917" spans="1:5" x14ac:dyDescent="0.25">
      <c r="A10917" s="40"/>
      <c r="B10917" s="40"/>
      <c r="C10917" s="40"/>
      <c r="E10917" s="80"/>
    </row>
    <row r="10918" spans="1:5" x14ac:dyDescent="0.25">
      <c r="A10918" s="40"/>
      <c r="B10918" s="40"/>
      <c r="C10918" s="40"/>
      <c r="E10918" s="80"/>
    </row>
    <row r="10919" spans="1:5" x14ac:dyDescent="0.25">
      <c r="A10919" s="40"/>
      <c r="B10919" s="40"/>
      <c r="C10919" s="40"/>
      <c r="E10919" s="80"/>
    </row>
    <row r="10920" spans="1:5" x14ac:dyDescent="0.25">
      <c r="A10920" s="40"/>
      <c r="B10920" s="40"/>
      <c r="C10920" s="40"/>
      <c r="E10920" s="80"/>
    </row>
    <row r="10921" spans="1:5" x14ac:dyDescent="0.25">
      <c r="A10921" s="40"/>
      <c r="B10921" s="40"/>
      <c r="C10921" s="40"/>
      <c r="E10921" s="80"/>
    </row>
    <row r="10922" spans="1:5" x14ac:dyDescent="0.25">
      <c r="A10922" s="40"/>
      <c r="B10922" s="40"/>
      <c r="C10922" s="40"/>
      <c r="E10922" s="80"/>
    </row>
    <row r="10923" spans="1:5" x14ac:dyDescent="0.25">
      <c r="A10923" s="40"/>
      <c r="B10923" s="40"/>
      <c r="C10923" s="40"/>
      <c r="E10923" s="80"/>
    </row>
    <row r="10924" spans="1:5" x14ac:dyDescent="0.25">
      <c r="A10924" s="40"/>
      <c r="B10924" s="40"/>
      <c r="C10924" s="40"/>
      <c r="E10924" s="80"/>
    </row>
    <row r="10925" spans="1:5" x14ac:dyDescent="0.25">
      <c r="A10925" s="40"/>
      <c r="B10925" s="40"/>
      <c r="C10925" s="40"/>
      <c r="E10925" s="80"/>
    </row>
    <row r="10926" spans="1:5" x14ac:dyDescent="0.25">
      <c r="A10926" s="40"/>
      <c r="B10926" s="40"/>
      <c r="C10926" s="40"/>
      <c r="E10926" s="80"/>
    </row>
    <row r="10927" spans="1:5" x14ac:dyDescent="0.25">
      <c r="A10927" s="40"/>
      <c r="B10927" s="40"/>
      <c r="C10927" s="40"/>
      <c r="E10927" s="80"/>
    </row>
    <row r="10928" spans="1:5" x14ac:dyDescent="0.25">
      <c r="A10928" s="40"/>
      <c r="B10928" s="40"/>
      <c r="C10928" s="40"/>
      <c r="E10928" s="80"/>
    </row>
    <row r="10929" spans="1:5" x14ac:dyDescent="0.25">
      <c r="A10929" s="40"/>
      <c r="B10929" s="40"/>
      <c r="C10929" s="40"/>
      <c r="E10929" s="80"/>
    </row>
    <row r="10930" spans="1:5" x14ac:dyDescent="0.25">
      <c r="A10930" s="40"/>
      <c r="B10930" s="40"/>
      <c r="C10930" s="40"/>
      <c r="E10930" s="80"/>
    </row>
    <row r="10931" spans="1:5" x14ac:dyDescent="0.25">
      <c r="A10931" s="40"/>
      <c r="B10931" s="40"/>
      <c r="C10931" s="40"/>
      <c r="E10931" s="80"/>
    </row>
    <row r="10932" spans="1:5" x14ac:dyDescent="0.25">
      <c r="A10932" s="40"/>
      <c r="B10932" s="40"/>
      <c r="C10932" s="40"/>
      <c r="E10932" s="80"/>
    </row>
    <row r="10933" spans="1:5" x14ac:dyDescent="0.25">
      <c r="A10933" s="40"/>
      <c r="B10933" s="40"/>
      <c r="C10933" s="40"/>
      <c r="E10933" s="80"/>
    </row>
    <row r="10934" spans="1:5" x14ac:dyDescent="0.25">
      <c r="A10934" s="40"/>
      <c r="B10934" s="40"/>
      <c r="C10934" s="40"/>
      <c r="E10934" s="80"/>
    </row>
    <row r="10935" spans="1:5" x14ac:dyDescent="0.25">
      <c r="A10935" s="40"/>
      <c r="B10935" s="40"/>
      <c r="C10935" s="40"/>
      <c r="E10935" s="80"/>
    </row>
    <row r="10936" spans="1:5" x14ac:dyDescent="0.25">
      <c r="A10936" s="40"/>
      <c r="B10936" s="40"/>
      <c r="C10936" s="40"/>
      <c r="E10936" s="80"/>
    </row>
    <row r="10937" spans="1:5" x14ac:dyDescent="0.25">
      <c r="A10937" s="40"/>
      <c r="B10937" s="40"/>
      <c r="C10937" s="40"/>
      <c r="E10937" s="80"/>
    </row>
    <row r="10938" spans="1:5" x14ac:dyDescent="0.25">
      <c r="A10938" s="40"/>
      <c r="B10938" s="40"/>
      <c r="C10938" s="40"/>
      <c r="E10938" s="80"/>
    </row>
    <row r="10939" spans="1:5" x14ac:dyDescent="0.25">
      <c r="A10939" s="40"/>
      <c r="B10939" s="40"/>
      <c r="C10939" s="40"/>
      <c r="E10939" s="80"/>
    </row>
    <row r="10940" spans="1:5" x14ac:dyDescent="0.25">
      <c r="A10940" s="40"/>
      <c r="B10940" s="40"/>
      <c r="C10940" s="40"/>
      <c r="E10940" s="80"/>
    </row>
    <row r="10941" spans="1:5" x14ac:dyDescent="0.25">
      <c r="A10941" s="40"/>
      <c r="B10941" s="40"/>
      <c r="C10941" s="40"/>
      <c r="E10941" s="80"/>
    </row>
    <row r="10942" spans="1:5" x14ac:dyDescent="0.25">
      <c r="A10942" s="40"/>
      <c r="B10942" s="40"/>
      <c r="C10942" s="40"/>
      <c r="E10942" s="80"/>
    </row>
    <row r="10943" spans="1:5" x14ac:dyDescent="0.25">
      <c r="A10943" s="40"/>
      <c r="B10943" s="40"/>
      <c r="C10943" s="40"/>
      <c r="E10943" s="80"/>
    </row>
    <row r="10944" spans="1:5" x14ac:dyDescent="0.25">
      <c r="A10944" s="40"/>
      <c r="B10944" s="40"/>
      <c r="C10944" s="40"/>
      <c r="E10944" s="80"/>
    </row>
    <row r="10945" spans="1:5" x14ac:dyDescent="0.25">
      <c r="A10945" s="40"/>
      <c r="B10945" s="40"/>
      <c r="C10945" s="40"/>
      <c r="E10945" s="80"/>
    </row>
    <row r="10946" spans="1:5" x14ac:dyDescent="0.25">
      <c r="A10946" s="40"/>
      <c r="B10946" s="40"/>
      <c r="C10946" s="40"/>
      <c r="E10946" s="80"/>
    </row>
    <row r="10947" spans="1:5" x14ac:dyDescent="0.25">
      <c r="A10947" s="40"/>
      <c r="B10947" s="40"/>
      <c r="C10947" s="40"/>
      <c r="E10947" s="80"/>
    </row>
    <row r="10948" spans="1:5" x14ac:dyDescent="0.25">
      <c r="A10948" s="40"/>
      <c r="B10948" s="40"/>
      <c r="C10948" s="40"/>
      <c r="E10948" s="80"/>
    </row>
    <row r="10949" spans="1:5" x14ac:dyDescent="0.25">
      <c r="A10949" s="40"/>
      <c r="B10949" s="40"/>
      <c r="C10949" s="40"/>
      <c r="E10949" s="80"/>
    </row>
    <row r="10950" spans="1:5" x14ac:dyDescent="0.25">
      <c r="A10950" s="40"/>
      <c r="B10950" s="40"/>
      <c r="C10950" s="40"/>
      <c r="E10950" s="80"/>
    </row>
    <row r="10951" spans="1:5" x14ac:dyDescent="0.25">
      <c r="A10951" s="40"/>
      <c r="B10951" s="40"/>
      <c r="C10951" s="40"/>
      <c r="E10951" s="80"/>
    </row>
    <row r="10952" spans="1:5" x14ac:dyDescent="0.25">
      <c r="A10952" s="40"/>
      <c r="B10952" s="40"/>
      <c r="C10952" s="40"/>
      <c r="E10952" s="80"/>
    </row>
    <row r="10953" spans="1:5" x14ac:dyDescent="0.25">
      <c r="A10953" s="40"/>
      <c r="B10953" s="40"/>
      <c r="C10953" s="40"/>
      <c r="E10953" s="80"/>
    </row>
    <row r="10954" spans="1:5" x14ac:dyDescent="0.25">
      <c r="A10954" s="40"/>
      <c r="B10954" s="40"/>
      <c r="C10954" s="40"/>
      <c r="E10954" s="80"/>
    </row>
    <row r="10955" spans="1:5" x14ac:dyDescent="0.25">
      <c r="A10955" s="40"/>
      <c r="B10955" s="40"/>
      <c r="C10955" s="40"/>
      <c r="E10955" s="80"/>
    </row>
    <row r="10956" spans="1:5" x14ac:dyDescent="0.25">
      <c r="A10956" s="40"/>
      <c r="B10956" s="40"/>
      <c r="C10956" s="40"/>
      <c r="E10956" s="80"/>
    </row>
    <row r="10957" spans="1:5" x14ac:dyDescent="0.25">
      <c r="A10957" s="40"/>
      <c r="B10957" s="40"/>
      <c r="C10957" s="40"/>
      <c r="E10957" s="80"/>
    </row>
    <row r="10958" spans="1:5" x14ac:dyDescent="0.25">
      <c r="A10958" s="40"/>
      <c r="B10958" s="40"/>
      <c r="C10958" s="40"/>
      <c r="E10958" s="80"/>
    </row>
    <row r="10959" spans="1:5" x14ac:dyDescent="0.25">
      <c r="A10959" s="40"/>
      <c r="B10959" s="40"/>
      <c r="C10959" s="40"/>
      <c r="E10959" s="80"/>
    </row>
    <row r="10960" spans="1:5" x14ac:dyDescent="0.25">
      <c r="A10960" s="40"/>
      <c r="B10960" s="40"/>
      <c r="C10960" s="40"/>
      <c r="E10960" s="80"/>
    </row>
    <row r="10961" spans="1:5" x14ac:dyDescent="0.25">
      <c r="A10961" s="40"/>
      <c r="B10961" s="40"/>
      <c r="C10961" s="40"/>
      <c r="E10961" s="80"/>
    </row>
    <row r="10962" spans="1:5" x14ac:dyDescent="0.25">
      <c r="A10962" s="40"/>
      <c r="B10962" s="40"/>
      <c r="C10962" s="40"/>
      <c r="E10962" s="80"/>
    </row>
    <row r="10963" spans="1:5" x14ac:dyDescent="0.25">
      <c r="A10963" s="40"/>
      <c r="B10963" s="40"/>
      <c r="C10963" s="40"/>
      <c r="E10963" s="80"/>
    </row>
    <row r="10964" spans="1:5" x14ac:dyDescent="0.25">
      <c r="A10964" s="40"/>
      <c r="B10964" s="40"/>
      <c r="C10964" s="40"/>
      <c r="E10964" s="80"/>
    </row>
    <row r="10965" spans="1:5" x14ac:dyDescent="0.25">
      <c r="A10965" s="40"/>
      <c r="B10965" s="40"/>
      <c r="C10965" s="40"/>
      <c r="E10965" s="80"/>
    </row>
    <row r="10966" spans="1:5" x14ac:dyDescent="0.25">
      <c r="A10966" s="40"/>
      <c r="B10966" s="40"/>
      <c r="C10966" s="40"/>
      <c r="E10966" s="80"/>
    </row>
    <row r="10967" spans="1:5" x14ac:dyDescent="0.25">
      <c r="A10967" s="40"/>
      <c r="B10967" s="40"/>
      <c r="C10967" s="40"/>
      <c r="E10967" s="80"/>
    </row>
    <row r="10968" spans="1:5" x14ac:dyDescent="0.25">
      <c r="A10968" s="40"/>
      <c r="B10968" s="40"/>
      <c r="C10968" s="40"/>
      <c r="E10968" s="80"/>
    </row>
    <row r="10969" spans="1:5" x14ac:dyDescent="0.25">
      <c r="A10969" s="40"/>
      <c r="B10969" s="40"/>
      <c r="C10969" s="40"/>
      <c r="E10969" s="80"/>
    </row>
    <row r="10970" spans="1:5" x14ac:dyDescent="0.25">
      <c r="A10970" s="40"/>
      <c r="B10970" s="40"/>
      <c r="C10970" s="40"/>
      <c r="E10970" s="80"/>
    </row>
    <row r="10971" spans="1:5" x14ac:dyDescent="0.25">
      <c r="A10971" s="40"/>
      <c r="B10971" s="40"/>
      <c r="C10971" s="40"/>
      <c r="E10971" s="80"/>
    </row>
    <row r="10972" spans="1:5" x14ac:dyDescent="0.25">
      <c r="A10972" s="40"/>
      <c r="B10972" s="40"/>
      <c r="C10972" s="40"/>
      <c r="E10972" s="80"/>
    </row>
    <row r="10973" spans="1:5" x14ac:dyDescent="0.25">
      <c r="A10973" s="40"/>
      <c r="B10973" s="40"/>
      <c r="C10973" s="40"/>
      <c r="E10973" s="80"/>
    </row>
    <row r="10974" spans="1:5" x14ac:dyDescent="0.25">
      <c r="A10974" s="40"/>
      <c r="B10974" s="40"/>
      <c r="C10974" s="40"/>
      <c r="E10974" s="80"/>
    </row>
    <row r="10975" spans="1:5" x14ac:dyDescent="0.25">
      <c r="A10975" s="40"/>
      <c r="B10975" s="40"/>
      <c r="C10975" s="40"/>
      <c r="E10975" s="80"/>
    </row>
    <row r="10976" spans="1:5" x14ac:dyDescent="0.25">
      <c r="A10976" s="40"/>
      <c r="B10976" s="40"/>
      <c r="C10976" s="40"/>
      <c r="E10976" s="80"/>
    </row>
    <row r="10977" spans="1:5" x14ac:dyDescent="0.25">
      <c r="A10977" s="40"/>
      <c r="B10977" s="40"/>
      <c r="C10977" s="40"/>
      <c r="E10977" s="80"/>
    </row>
    <row r="10978" spans="1:5" x14ac:dyDescent="0.25">
      <c r="A10978" s="40"/>
      <c r="B10978" s="40"/>
      <c r="C10978" s="40"/>
      <c r="E10978" s="80"/>
    </row>
    <row r="10979" spans="1:5" x14ac:dyDescent="0.25">
      <c r="A10979" s="40"/>
      <c r="B10979" s="40"/>
      <c r="C10979" s="40"/>
      <c r="E10979" s="80"/>
    </row>
    <row r="10980" spans="1:5" x14ac:dyDescent="0.25">
      <c r="A10980" s="40"/>
      <c r="B10980" s="40"/>
      <c r="C10980" s="40"/>
      <c r="E10980" s="80"/>
    </row>
    <row r="10981" spans="1:5" x14ac:dyDescent="0.25">
      <c r="A10981" s="40"/>
      <c r="B10981" s="40"/>
      <c r="C10981" s="40"/>
      <c r="E10981" s="80"/>
    </row>
    <row r="10982" spans="1:5" x14ac:dyDescent="0.25">
      <c r="A10982" s="40"/>
      <c r="B10982" s="40"/>
      <c r="C10982" s="40"/>
      <c r="E10982" s="80"/>
    </row>
    <row r="10983" spans="1:5" x14ac:dyDescent="0.25">
      <c r="A10983" s="40"/>
      <c r="B10983" s="40"/>
      <c r="C10983" s="40"/>
      <c r="E10983" s="80"/>
    </row>
    <row r="10984" spans="1:5" x14ac:dyDescent="0.25">
      <c r="A10984" s="40"/>
      <c r="B10984" s="40"/>
      <c r="C10984" s="40"/>
      <c r="E10984" s="80"/>
    </row>
    <row r="10985" spans="1:5" x14ac:dyDescent="0.25">
      <c r="A10985" s="40"/>
      <c r="B10985" s="40"/>
      <c r="C10985" s="40"/>
      <c r="E10985" s="80"/>
    </row>
    <row r="10986" spans="1:5" x14ac:dyDescent="0.25">
      <c r="A10986" s="40"/>
      <c r="B10986" s="40"/>
      <c r="C10986" s="40"/>
      <c r="E10986" s="80"/>
    </row>
    <row r="10987" spans="1:5" x14ac:dyDescent="0.25">
      <c r="A10987" s="40"/>
      <c r="B10987" s="40"/>
      <c r="C10987" s="40"/>
      <c r="E10987" s="80"/>
    </row>
    <row r="10988" spans="1:5" x14ac:dyDescent="0.25">
      <c r="A10988" s="40"/>
      <c r="B10988" s="40"/>
      <c r="C10988" s="40"/>
      <c r="E10988" s="80"/>
    </row>
    <row r="10989" spans="1:5" x14ac:dyDescent="0.25">
      <c r="A10989" s="40"/>
      <c r="B10989" s="40"/>
      <c r="C10989" s="40"/>
      <c r="E10989" s="80"/>
    </row>
    <row r="10990" spans="1:5" x14ac:dyDescent="0.25">
      <c r="A10990" s="40"/>
      <c r="B10990" s="40"/>
      <c r="C10990" s="40"/>
      <c r="E10990" s="80"/>
    </row>
    <row r="10991" spans="1:5" x14ac:dyDescent="0.25">
      <c r="A10991" s="40"/>
      <c r="B10991" s="40"/>
      <c r="C10991" s="40"/>
      <c r="E10991" s="80"/>
    </row>
    <row r="10992" spans="1:5" x14ac:dyDescent="0.25">
      <c r="A10992" s="40"/>
      <c r="B10992" s="40"/>
      <c r="C10992" s="40"/>
      <c r="E10992" s="80"/>
    </row>
    <row r="10993" spans="1:5" x14ac:dyDescent="0.25">
      <c r="A10993" s="40"/>
      <c r="B10993" s="40"/>
      <c r="C10993" s="40"/>
      <c r="E10993" s="80"/>
    </row>
    <row r="10994" spans="1:5" x14ac:dyDescent="0.25">
      <c r="A10994" s="40"/>
      <c r="B10994" s="40"/>
      <c r="C10994" s="40"/>
      <c r="E10994" s="80"/>
    </row>
    <row r="10995" spans="1:5" x14ac:dyDescent="0.25">
      <c r="A10995" s="40"/>
      <c r="B10995" s="40"/>
      <c r="C10995" s="40"/>
      <c r="E10995" s="80"/>
    </row>
    <row r="10996" spans="1:5" x14ac:dyDescent="0.25">
      <c r="A10996" s="40"/>
      <c r="B10996" s="40"/>
      <c r="C10996" s="40"/>
      <c r="E10996" s="80"/>
    </row>
    <row r="10997" spans="1:5" x14ac:dyDescent="0.25">
      <c r="A10997" s="40"/>
      <c r="B10997" s="40"/>
      <c r="C10997" s="40"/>
      <c r="E10997" s="80"/>
    </row>
    <row r="10998" spans="1:5" x14ac:dyDescent="0.25">
      <c r="A10998" s="40"/>
      <c r="B10998" s="40"/>
      <c r="C10998" s="40"/>
      <c r="E10998" s="80"/>
    </row>
    <row r="10999" spans="1:5" x14ac:dyDescent="0.25">
      <c r="A10999" s="40"/>
      <c r="B10999" s="40"/>
      <c r="C10999" s="40"/>
      <c r="E10999" s="80"/>
    </row>
    <row r="11000" spans="1:5" x14ac:dyDescent="0.25">
      <c r="A11000" s="40"/>
      <c r="B11000" s="40"/>
      <c r="C11000" s="40"/>
      <c r="E11000" s="80"/>
    </row>
    <row r="11001" spans="1:5" x14ac:dyDescent="0.25">
      <c r="A11001" s="40"/>
      <c r="B11001" s="40"/>
      <c r="C11001" s="40"/>
      <c r="E11001" s="80"/>
    </row>
    <row r="11002" spans="1:5" x14ac:dyDescent="0.25">
      <c r="A11002" s="40"/>
      <c r="B11002" s="40"/>
      <c r="C11002" s="40"/>
      <c r="E11002" s="80"/>
    </row>
    <row r="11003" spans="1:5" x14ac:dyDescent="0.25">
      <c r="A11003" s="40"/>
      <c r="B11003" s="40"/>
      <c r="C11003" s="40"/>
      <c r="E11003" s="80"/>
    </row>
    <row r="11004" spans="1:5" x14ac:dyDescent="0.25">
      <c r="A11004" s="40"/>
      <c r="B11004" s="40"/>
      <c r="C11004" s="40"/>
      <c r="E11004" s="80"/>
    </row>
    <row r="11005" spans="1:5" x14ac:dyDescent="0.25">
      <c r="A11005" s="40"/>
      <c r="B11005" s="40"/>
      <c r="C11005" s="40"/>
      <c r="E11005" s="80"/>
    </row>
    <row r="11006" spans="1:5" x14ac:dyDescent="0.25">
      <c r="A11006" s="40"/>
      <c r="B11006" s="40"/>
      <c r="C11006" s="40"/>
      <c r="E11006" s="80"/>
    </row>
    <row r="11007" spans="1:5" x14ac:dyDescent="0.25">
      <c r="A11007" s="40"/>
      <c r="B11007" s="40"/>
      <c r="C11007" s="40"/>
      <c r="E11007" s="80"/>
    </row>
    <row r="11008" spans="1:5" x14ac:dyDescent="0.25">
      <c r="A11008" s="40"/>
      <c r="B11008" s="40"/>
      <c r="C11008" s="40"/>
      <c r="E11008" s="80"/>
    </row>
    <row r="11009" spans="1:5" x14ac:dyDescent="0.25">
      <c r="A11009" s="40"/>
      <c r="B11009" s="40"/>
      <c r="C11009" s="40"/>
      <c r="E11009" s="80"/>
    </row>
    <row r="11010" spans="1:5" x14ac:dyDescent="0.25">
      <c r="A11010" s="40"/>
      <c r="B11010" s="40"/>
      <c r="C11010" s="40"/>
      <c r="E11010" s="80"/>
    </row>
    <row r="11011" spans="1:5" x14ac:dyDescent="0.25">
      <c r="A11011" s="40"/>
      <c r="B11011" s="40"/>
      <c r="C11011" s="40"/>
      <c r="E11011" s="80"/>
    </row>
    <row r="11012" spans="1:5" x14ac:dyDescent="0.25">
      <c r="A11012" s="40"/>
      <c r="B11012" s="40"/>
      <c r="C11012" s="40"/>
      <c r="E11012" s="80"/>
    </row>
    <row r="11013" spans="1:5" x14ac:dyDescent="0.25">
      <c r="A11013" s="40"/>
      <c r="B11013" s="40"/>
      <c r="C11013" s="40"/>
      <c r="E11013" s="80"/>
    </row>
    <row r="11014" spans="1:5" x14ac:dyDescent="0.25">
      <c r="A11014" s="40"/>
      <c r="B11014" s="40"/>
      <c r="C11014" s="40"/>
      <c r="E11014" s="80"/>
    </row>
    <row r="11015" spans="1:5" x14ac:dyDescent="0.25">
      <c r="A11015" s="40"/>
      <c r="B11015" s="40"/>
      <c r="C11015" s="40"/>
      <c r="E11015" s="80"/>
    </row>
    <row r="11016" spans="1:5" x14ac:dyDescent="0.25">
      <c r="A11016" s="40"/>
      <c r="B11016" s="40"/>
      <c r="C11016" s="40"/>
      <c r="E11016" s="80"/>
    </row>
    <row r="11017" spans="1:5" x14ac:dyDescent="0.25">
      <c r="A11017" s="40"/>
      <c r="B11017" s="40"/>
      <c r="C11017" s="40"/>
      <c r="E11017" s="80"/>
    </row>
    <row r="11018" spans="1:5" x14ac:dyDescent="0.25">
      <c r="A11018" s="40"/>
      <c r="B11018" s="40"/>
      <c r="C11018" s="40"/>
      <c r="E11018" s="80"/>
    </row>
    <row r="11019" spans="1:5" x14ac:dyDescent="0.25">
      <c r="A11019" s="40"/>
      <c r="B11019" s="40"/>
      <c r="C11019" s="40"/>
      <c r="E11019" s="80"/>
    </row>
    <row r="11020" spans="1:5" x14ac:dyDescent="0.25">
      <c r="A11020" s="40"/>
      <c r="B11020" s="40"/>
      <c r="C11020" s="40"/>
      <c r="E11020" s="80"/>
    </row>
    <row r="11021" spans="1:5" x14ac:dyDescent="0.25">
      <c r="A11021" s="40"/>
      <c r="B11021" s="40"/>
      <c r="C11021" s="40"/>
      <c r="E11021" s="80"/>
    </row>
    <row r="11022" spans="1:5" x14ac:dyDescent="0.25">
      <c r="A11022" s="40"/>
      <c r="B11022" s="40"/>
      <c r="C11022" s="40"/>
      <c r="E11022" s="80"/>
    </row>
    <row r="11023" spans="1:5" x14ac:dyDescent="0.25">
      <c r="A11023" s="40"/>
      <c r="B11023" s="40"/>
      <c r="C11023" s="40"/>
      <c r="E11023" s="80"/>
    </row>
    <row r="11024" spans="1:5" x14ac:dyDescent="0.25">
      <c r="A11024" s="40"/>
      <c r="B11024" s="40"/>
      <c r="C11024" s="40"/>
      <c r="E11024" s="80"/>
    </row>
    <row r="11025" spans="1:5" x14ac:dyDescent="0.25">
      <c r="A11025" s="40"/>
      <c r="B11025" s="40"/>
      <c r="C11025" s="40"/>
      <c r="E11025" s="80"/>
    </row>
    <row r="11026" spans="1:5" x14ac:dyDescent="0.25">
      <c r="A11026" s="40"/>
      <c r="B11026" s="40"/>
      <c r="C11026" s="40"/>
      <c r="E11026" s="80"/>
    </row>
    <row r="11027" spans="1:5" x14ac:dyDescent="0.25">
      <c r="A11027" s="40"/>
      <c r="B11027" s="40"/>
      <c r="C11027" s="40"/>
      <c r="E11027" s="80"/>
    </row>
    <row r="11028" spans="1:5" x14ac:dyDescent="0.25">
      <c r="A11028" s="40"/>
      <c r="B11028" s="40"/>
      <c r="C11028" s="40"/>
      <c r="E11028" s="80"/>
    </row>
    <row r="11029" spans="1:5" x14ac:dyDescent="0.25">
      <c r="A11029" s="40"/>
      <c r="B11029" s="40"/>
      <c r="C11029" s="40"/>
      <c r="E11029" s="80"/>
    </row>
    <row r="11030" spans="1:5" x14ac:dyDescent="0.25">
      <c r="A11030" s="40"/>
      <c r="B11030" s="40"/>
      <c r="C11030" s="40"/>
      <c r="E11030" s="80"/>
    </row>
    <row r="11031" spans="1:5" x14ac:dyDescent="0.25">
      <c r="A11031" s="40"/>
      <c r="B11031" s="40"/>
      <c r="C11031" s="40"/>
      <c r="E11031" s="80"/>
    </row>
    <row r="11032" spans="1:5" x14ac:dyDescent="0.25">
      <c r="A11032" s="40"/>
      <c r="B11032" s="40"/>
      <c r="C11032" s="40"/>
      <c r="E11032" s="80"/>
    </row>
    <row r="11033" spans="1:5" x14ac:dyDescent="0.25">
      <c r="A11033" s="40"/>
      <c r="B11033" s="40"/>
      <c r="C11033" s="40"/>
      <c r="E11033" s="80"/>
    </row>
    <row r="11034" spans="1:5" x14ac:dyDescent="0.25">
      <c r="A11034" s="40"/>
      <c r="B11034" s="40"/>
      <c r="C11034" s="40"/>
      <c r="E11034" s="80"/>
    </row>
    <row r="11035" spans="1:5" x14ac:dyDescent="0.25">
      <c r="A11035" s="40"/>
      <c r="B11035" s="40"/>
      <c r="C11035" s="40"/>
      <c r="E11035" s="80"/>
    </row>
    <row r="11036" spans="1:5" x14ac:dyDescent="0.25">
      <c r="A11036" s="40"/>
      <c r="B11036" s="40"/>
      <c r="C11036" s="40"/>
      <c r="E11036" s="80"/>
    </row>
    <row r="11037" spans="1:5" x14ac:dyDescent="0.25">
      <c r="A11037" s="40"/>
      <c r="B11037" s="40"/>
      <c r="C11037" s="40"/>
      <c r="E11037" s="80"/>
    </row>
    <row r="11038" spans="1:5" x14ac:dyDescent="0.25">
      <c r="A11038" s="40"/>
      <c r="B11038" s="40"/>
      <c r="C11038" s="40"/>
      <c r="E11038" s="80"/>
    </row>
    <row r="11039" spans="1:5" x14ac:dyDescent="0.25">
      <c r="A11039" s="40"/>
      <c r="B11039" s="40"/>
      <c r="C11039" s="40"/>
      <c r="E11039" s="80"/>
    </row>
    <row r="11040" spans="1:5" x14ac:dyDescent="0.25">
      <c r="A11040" s="40"/>
      <c r="B11040" s="40"/>
      <c r="C11040" s="40"/>
      <c r="E11040" s="80"/>
    </row>
    <row r="11041" spans="1:5" x14ac:dyDescent="0.25">
      <c r="A11041" s="40"/>
      <c r="B11041" s="40"/>
      <c r="C11041" s="40"/>
      <c r="E11041" s="80"/>
    </row>
    <row r="11042" spans="1:5" x14ac:dyDescent="0.25">
      <c r="A11042" s="40"/>
      <c r="B11042" s="40"/>
      <c r="C11042" s="40"/>
      <c r="E11042" s="80"/>
    </row>
    <row r="11043" spans="1:5" x14ac:dyDescent="0.25">
      <c r="A11043" s="40"/>
      <c r="B11043" s="40"/>
      <c r="C11043" s="40"/>
      <c r="E11043" s="80"/>
    </row>
    <row r="11044" spans="1:5" x14ac:dyDescent="0.25">
      <c r="A11044" s="40"/>
      <c r="B11044" s="40"/>
      <c r="C11044" s="40"/>
      <c r="E11044" s="80"/>
    </row>
    <row r="11045" spans="1:5" x14ac:dyDescent="0.25">
      <c r="A11045" s="40"/>
      <c r="B11045" s="40"/>
      <c r="C11045" s="40"/>
      <c r="E11045" s="80"/>
    </row>
    <row r="11046" spans="1:5" x14ac:dyDescent="0.25">
      <c r="A11046" s="40"/>
      <c r="B11046" s="40"/>
      <c r="C11046" s="40"/>
      <c r="E11046" s="80"/>
    </row>
    <row r="11047" spans="1:5" x14ac:dyDescent="0.25">
      <c r="A11047" s="40"/>
      <c r="B11047" s="40"/>
      <c r="C11047" s="40"/>
      <c r="E11047" s="80"/>
    </row>
    <row r="11048" spans="1:5" x14ac:dyDescent="0.25">
      <c r="A11048" s="40"/>
      <c r="B11048" s="40"/>
      <c r="C11048" s="40"/>
      <c r="E11048" s="80"/>
    </row>
    <row r="11049" spans="1:5" x14ac:dyDescent="0.25">
      <c r="A11049" s="40"/>
      <c r="B11049" s="40"/>
      <c r="C11049" s="40"/>
      <c r="E11049" s="80"/>
    </row>
    <row r="11050" spans="1:5" x14ac:dyDescent="0.25">
      <c r="A11050" s="40"/>
      <c r="B11050" s="40"/>
      <c r="C11050" s="40"/>
      <c r="E11050" s="80"/>
    </row>
    <row r="11051" spans="1:5" x14ac:dyDescent="0.25">
      <c r="A11051" s="40"/>
      <c r="B11051" s="40"/>
      <c r="C11051" s="40"/>
      <c r="E11051" s="80"/>
    </row>
    <row r="11052" spans="1:5" x14ac:dyDescent="0.25">
      <c r="A11052" s="40"/>
      <c r="B11052" s="40"/>
      <c r="C11052" s="40"/>
      <c r="E11052" s="80"/>
    </row>
    <row r="11053" spans="1:5" x14ac:dyDescent="0.25">
      <c r="A11053" s="40"/>
      <c r="B11053" s="40"/>
      <c r="C11053" s="40"/>
      <c r="E11053" s="80"/>
    </row>
    <row r="11054" spans="1:5" x14ac:dyDescent="0.25">
      <c r="A11054" s="40"/>
      <c r="B11054" s="40"/>
      <c r="C11054" s="40"/>
      <c r="E11054" s="80"/>
    </row>
    <row r="11055" spans="1:5" x14ac:dyDescent="0.25">
      <c r="A11055" s="40"/>
      <c r="B11055" s="40"/>
      <c r="C11055" s="40"/>
      <c r="E11055" s="80"/>
    </row>
    <row r="11056" spans="1:5" x14ac:dyDescent="0.25">
      <c r="A11056" s="40"/>
      <c r="B11056" s="40"/>
      <c r="C11056" s="40"/>
      <c r="E11056" s="80"/>
    </row>
    <row r="11057" spans="1:5" x14ac:dyDescent="0.25">
      <c r="A11057" s="40"/>
      <c r="B11057" s="40"/>
      <c r="C11057" s="40"/>
      <c r="E11057" s="80"/>
    </row>
    <row r="11058" spans="1:5" x14ac:dyDescent="0.25">
      <c r="A11058" s="40"/>
      <c r="B11058" s="40"/>
      <c r="C11058" s="40"/>
      <c r="E11058" s="80"/>
    </row>
    <row r="11059" spans="1:5" x14ac:dyDescent="0.25">
      <c r="A11059" s="40"/>
      <c r="B11059" s="40"/>
      <c r="C11059" s="40"/>
      <c r="E11059" s="80"/>
    </row>
    <row r="11060" spans="1:5" x14ac:dyDescent="0.25">
      <c r="A11060" s="40"/>
      <c r="B11060" s="40"/>
      <c r="C11060" s="40"/>
      <c r="E11060" s="80"/>
    </row>
    <row r="11061" spans="1:5" x14ac:dyDescent="0.25">
      <c r="A11061" s="40"/>
      <c r="B11061" s="40"/>
      <c r="C11061" s="40"/>
      <c r="E11061" s="80"/>
    </row>
    <row r="11062" spans="1:5" x14ac:dyDescent="0.25">
      <c r="A11062" s="40"/>
      <c r="B11062" s="40"/>
      <c r="C11062" s="40"/>
      <c r="E11062" s="80"/>
    </row>
    <row r="11063" spans="1:5" x14ac:dyDescent="0.25">
      <c r="A11063" s="40"/>
      <c r="B11063" s="40"/>
      <c r="C11063" s="40"/>
      <c r="E11063" s="80"/>
    </row>
    <row r="11064" spans="1:5" x14ac:dyDescent="0.25">
      <c r="A11064" s="40"/>
      <c r="B11064" s="40"/>
      <c r="C11064" s="40"/>
      <c r="E11064" s="80"/>
    </row>
    <row r="11065" spans="1:5" x14ac:dyDescent="0.25">
      <c r="A11065" s="40"/>
      <c r="B11065" s="40"/>
      <c r="C11065" s="40"/>
      <c r="E11065" s="80"/>
    </row>
    <row r="11066" spans="1:5" x14ac:dyDescent="0.25">
      <c r="A11066" s="40"/>
      <c r="B11066" s="40"/>
      <c r="C11066" s="40"/>
      <c r="E11066" s="80"/>
    </row>
    <row r="11067" spans="1:5" x14ac:dyDescent="0.25">
      <c r="A11067" s="40"/>
      <c r="B11067" s="40"/>
      <c r="C11067" s="40"/>
      <c r="E11067" s="80"/>
    </row>
    <row r="11068" spans="1:5" x14ac:dyDescent="0.25">
      <c r="A11068" s="40"/>
      <c r="B11068" s="40"/>
      <c r="C11068" s="40"/>
      <c r="E11068" s="80"/>
    </row>
    <row r="11069" spans="1:5" x14ac:dyDescent="0.25">
      <c r="A11069" s="40"/>
      <c r="B11069" s="40"/>
      <c r="C11069" s="40"/>
      <c r="E11069" s="80"/>
    </row>
    <row r="11070" spans="1:5" x14ac:dyDescent="0.25">
      <c r="A11070" s="40"/>
      <c r="B11070" s="40"/>
      <c r="C11070" s="40"/>
      <c r="E11070" s="80"/>
    </row>
    <row r="11071" spans="1:5" x14ac:dyDescent="0.25">
      <c r="A11071" s="40"/>
      <c r="B11071" s="40"/>
      <c r="C11071" s="40"/>
      <c r="E11071" s="80"/>
    </row>
    <row r="11072" spans="1:5" x14ac:dyDescent="0.25">
      <c r="A11072" s="40"/>
      <c r="B11072" s="40"/>
      <c r="C11072" s="40"/>
      <c r="E11072" s="80"/>
    </row>
    <row r="11073" spans="1:5" x14ac:dyDescent="0.25">
      <c r="A11073" s="40"/>
      <c r="B11073" s="40"/>
      <c r="C11073" s="40"/>
      <c r="E11073" s="80"/>
    </row>
    <row r="11074" spans="1:5" x14ac:dyDescent="0.25">
      <c r="A11074" s="40"/>
      <c r="B11074" s="40"/>
      <c r="C11074" s="40"/>
      <c r="E11074" s="80"/>
    </row>
    <row r="11075" spans="1:5" x14ac:dyDescent="0.25">
      <c r="A11075" s="40"/>
      <c r="B11075" s="40"/>
      <c r="C11075" s="40"/>
      <c r="E11075" s="80"/>
    </row>
    <row r="11076" spans="1:5" x14ac:dyDescent="0.25">
      <c r="A11076" s="40"/>
      <c r="B11076" s="40"/>
      <c r="C11076" s="40"/>
      <c r="E11076" s="80"/>
    </row>
    <row r="11077" spans="1:5" x14ac:dyDescent="0.25">
      <c r="A11077" s="40"/>
      <c r="B11077" s="40"/>
      <c r="C11077" s="40"/>
      <c r="E11077" s="80"/>
    </row>
    <row r="11078" spans="1:5" x14ac:dyDescent="0.25">
      <c r="A11078" s="40"/>
      <c r="B11078" s="40"/>
      <c r="C11078" s="40"/>
      <c r="E11078" s="80"/>
    </row>
    <row r="11079" spans="1:5" x14ac:dyDescent="0.25">
      <c r="A11079" s="40"/>
      <c r="B11079" s="40"/>
      <c r="C11079" s="40"/>
      <c r="E11079" s="80"/>
    </row>
    <row r="11080" spans="1:5" x14ac:dyDescent="0.25">
      <c r="A11080" s="40"/>
      <c r="B11080" s="40"/>
      <c r="C11080" s="40"/>
      <c r="E11080" s="80"/>
    </row>
    <row r="11081" spans="1:5" x14ac:dyDescent="0.25">
      <c r="A11081" s="40"/>
      <c r="B11081" s="40"/>
      <c r="C11081" s="40"/>
      <c r="E11081" s="80"/>
    </row>
    <row r="11082" spans="1:5" x14ac:dyDescent="0.25">
      <c r="A11082" s="40"/>
      <c r="B11082" s="40"/>
      <c r="C11082" s="40"/>
      <c r="E11082" s="80"/>
    </row>
    <row r="11083" spans="1:5" x14ac:dyDescent="0.25">
      <c r="A11083" s="40"/>
      <c r="B11083" s="40"/>
      <c r="C11083" s="40"/>
      <c r="E11083" s="80"/>
    </row>
    <row r="11084" spans="1:5" x14ac:dyDescent="0.25">
      <c r="A11084" s="40"/>
      <c r="B11084" s="40"/>
      <c r="C11084" s="40"/>
      <c r="E11084" s="80"/>
    </row>
    <row r="11085" spans="1:5" x14ac:dyDescent="0.25">
      <c r="A11085" s="40"/>
      <c r="B11085" s="40"/>
      <c r="C11085" s="40"/>
      <c r="E11085" s="80"/>
    </row>
    <row r="11086" spans="1:5" x14ac:dyDescent="0.25">
      <c r="A11086" s="40"/>
      <c r="B11086" s="40"/>
      <c r="C11086" s="40"/>
      <c r="E11086" s="80"/>
    </row>
    <row r="11087" spans="1:5" x14ac:dyDescent="0.25">
      <c r="A11087" s="40"/>
      <c r="B11087" s="40"/>
      <c r="C11087" s="40"/>
      <c r="E11087" s="80"/>
    </row>
    <row r="11088" spans="1:5" x14ac:dyDescent="0.25">
      <c r="A11088" s="40"/>
      <c r="B11088" s="40"/>
      <c r="C11088" s="40"/>
      <c r="E11088" s="80"/>
    </row>
    <row r="11089" spans="1:5" x14ac:dyDescent="0.25">
      <c r="A11089" s="40"/>
      <c r="B11089" s="40"/>
      <c r="C11089" s="40"/>
      <c r="E11089" s="80"/>
    </row>
    <row r="11090" spans="1:5" x14ac:dyDescent="0.25">
      <c r="A11090" s="40"/>
      <c r="B11090" s="40"/>
      <c r="C11090" s="40"/>
      <c r="E11090" s="80"/>
    </row>
    <row r="11091" spans="1:5" x14ac:dyDescent="0.25">
      <c r="A11091" s="40"/>
      <c r="B11091" s="40"/>
      <c r="C11091" s="40"/>
      <c r="E11091" s="80"/>
    </row>
    <row r="11092" spans="1:5" x14ac:dyDescent="0.25">
      <c r="A11092" s="40"/>
      <c r="B11092" s="40"/>
      <c r="C11092" s="40"/>
      <c r="E11092" s="80"/>
    </row>
    <row r="11093" spans="1:5" x14ac:dyDescent="0.25">
      <c r="A11093" s="40"/>
      <c r="B11093" s="40"/>
      <c r="C11093" s="40"/>
      <c r="E11093" s="80"/>
    </row>
    <row r="11094" spans="1:5" x14ac:dyDescent="0.25">
      <c r="A11094" s="40"/>
      <c r="B11094" s="40"/>
      <c r="C11094" s="40"/>
      <c r="E11094" s="80"/>
    </row>
    <row r="11095" spans="1:5" x14ac:dyDescent="0.25">
      <c r="A11095" s="40"/>
      <c r="B11095" s="40"/>
      <c r="C11095" s="40"/>
      <c r="E11095" s="80"/>
    </row>
    <row r="11096" spans="1:5" x14ac:dyDescent="0.25">
      <c r="A11096" s="40"/>
      <c r="B11096" s="40"/>
      <c r="C11096" s="40"/>
      <c r="E11096" s="80"/>
    </row>
    <row r="11097" spans="1:5" x14ac:dyDescent="0.25">
      <c r="A11097" s="40"/>
      <c r="B11097" s="40"/>
      <c r="C11097" s="40"/>
      <c r="E11097" s="80"/>
    </row>
    <row r="11098" spans="1:5" x14ac:dyDescent="0.25">
      <c r="A11098" s="40"/>
      <c r="B11098" s="40"/>
      <c r="C11098" s="40"/>
      <c r="E11098" s="80"/>
    </row>
    <row r="11099" spans="1:5" x14ac:dyDescent="0.25">
      <c r="A11099" s="40"/>
      <c r="B11099" s="40"/>
      <c r="C11099" s="40"/>
      <c r="E11099" s="80"/>
    </row>
    <row r="11100" spans="1:5" x14ac:dyDescent="0.25">
      <c r="A11100" s="40"/>
      <c r="B11100" s="40"/>
      <c r="C11100" s="40"/>
      <c r="E11100" s="80"/>
    </row>
    <row r="11101" spans="1:5" x14ac:dyDescent="0.25">
      <c r="A11101" s="40"/>
      <c r="B11101" s="40"/>
      <c r="C11101" s="40"/>
      <c r="E11101" s="80"/>
    </row>
    <row r="11102" spans="1:5" x14ac:dyDescent="0.25">
      <c r="A11102" s="40"/>
      <c r="B11102" s="40"/>
      <c r="C11102" s="40"/>
      <c r="E11102" s="80"/>
    </row>
    <row r="11103" spans="1:5" x14ac:dyDescent="0.25">
      <c r="A11103" s="40"/>
      <c r="B11103" s="40"/>
      <c r="C11103" s="40"/>
      <c r="E11103" s="80"/>
    </row>
    <row r="11104" spans="1:5" x14ac:dyDescent="0.25">
      <c r="A11104" s="40"/>
      <c r="B11104" s="40"/>
      <c r="C11104" s="40"/>
      <c r="E11104" s="80"/>
    </row>
    <row r="11105" spans="1:5" x14ac:dyDescent="0.25">
      <c r="A11105" s="40"/>
      <c r="B11105" s="40"/>
      <c r="C11105" s="40"/>
      <c r="E11105" s="80"/>
    </row>
    <row r="11106" spans="1:5" x14ac:dyDescent="0.25">
      <c r="A11106" s="40"/>
      <c r="B11106" s="40"/>
      <c r="C11106" s="40"/>
      <c r="E11106" s="80"/>
    </row>
    <row r="11107" spans="1:5" x14ac:dyDescent="0.25">
      <c r="A11107" s="40"/>
      <c r="B11107" s="40"/>
      <c r="C11107" s="40"/>
      <c r="E11107" s="80"/>
    </row>
    <row r="11108" spans="1:5" x14ac:dyDescent="0.25">
      <c r="A11108" s="40"/>
      <c r="B11108" s="40"/>
      <c r="C11108" s="40"/>
      <c r="E11108" s="80"/>
    </row>
    <row r="11109" spans="1:5" x14ac:dyDescent="0.25">
      <c r="A11109" s="40"/>
      <c r="B11109" s="40"/>
      <c r="C11109" s="40"/>
      <c r="E11109" s="80"/>
    </row>
    <row r="11110" spans="1:5" x14ac:dyDescent="0.25">
      <c r="A11110" s="40"/>
      <c r="B11110" s="40"/>
      <c r="C11110" s="40"/>
      <c r="E11110" s="80"/>
    </row>
    <row r="11111" spans="1:5" x14ac:dyDescent="0.25">
      <c r="A11111" s="40"/>
      <c r="B11111" s="40"/>
      <c r="C11111" s="40"/>
      <c r="E11111" s="80"/>
    </row>
    <row r="11112" spans="1:5" x14ac:dyDescent="0.25">
      <c r="A11112" s="40"/>
      <c r="B11112" s="40"/>
      <c r="C11112" s="40"/>
      <c r="E11112" s="80"/>
    </row>
    <row r="11113" spans="1:5" x14ac:dyDescent="0.25">
      <c r="A11113" s="40"/>
      <c r="B11113" s="40"/>
      <c r="C11113" s="40"/>
      <c r="E11113" s="80"/>
    </row>
    <row r="11114" spans="1:5" x14ac:dyDescent="0.25">
      <c r="A11114" s="40"/>
      <c r="B11114" s="40"/>
      <c r="C11114" s="40"/>
      <c r="E11114" s="80"/>
    </row>
    <row r="11115" spans="1:5" x14ac:dyDescent="0.25">
      <c r="A11115" s="40"/>
      <c r="B11115" s="40"/>
      <c r="C11115" s="40"/>
      <c r="E11115" s="80"/>
    </row>
    <row r="11116" spans="1:5" x14ac:dyDescent="0.25">
      <c r="A11116" s="40"/>
      <c r="B11116" s="40"/>
      <c r="C11116" s="40"/>
      <c r="E11116" s="80"/>
    </row>
    <row r="11117" spans="1:5" x14ac:dyDescent="0.25">
      <c r="A11117" s="40"/>
      <c r="B11117" s="40"/>
      <c r="C11117" s="40"/>
      <c r="E11117" s="80"/>
    </row>
    <row r="11118" spans="1:5" x14ac:dyDescent="0.25">
      <c r="A11118" s="40"/>
      <c r="B11118" s="40"/>
      <c r="C11118" s="40"/>
      <c r="E11118" s="80"/>
    </row>
    <row r="11119" spans="1:5" x14ac:dyDescent="0.25">
      <c r="A11119" s="40"/>
      <c r="B11119" s="40"/>
      <c r="C11119" s="40"/>
      <c r="E11119" s="80"/>
    </row>
    <row r="11120" spans="1:5" x14ac:dyDescent="0.25">
      <c r="A11120" s="40"/>
      <c r="B11120" s="40"/>
      <c r="C11120" s="40"/>
      <c r="E11120" s="80"/>
    </row>
    <row r="11121" spans="1:5" x14ac:dyDescent="0.25">
      <c r="A11121" s="40"/>
      <c r="B11121" s="40"/>
      <c r="C11121" s="40"/>
      <c r="E11121" s="80"/>
    </row>
    <row r="11122" spans="1:5" x14ac:dyDescent="0.25">
      <c r="A11122" s="40"/>
      <c r="B11122" s="40"/>
      <c r="C11122" s="40"/>
      <c r="E11122" s="80"/>
    </row>
    <row r="11123" spans="1:5" x14ac:dyDescent="0.25">
      <c r="A11123" s="40"/>
      <c r="B11123" s="40"/>
      <c r="C11123" s="40"/>
      <c r="E11123" s="80"/>
    </row>
    <row r="11124" spans="1:5" x14ac:dyDescent="0.25">
      <c r="A11124" s="40"/>
      <c r="B11124" s="40"/>
      <c r="C11124" s="40"/>
      <c r="E11124" s="80"/>
    </row>
    <row r="11125" spans="1:5" x14ac:dyDescent="0.25">
      <c r="A11125" s="40"/>
      <c r="B11125" s="40"/>
      <c r="C11125" s="40"/>
      <c r="E11125" s="80"/>
    </row>
    <row r="11126" spans="1:5" x14ac:dyDescent="0.25">
      <c r="A11126" s="40"/>
      <c r="B11126" s="40"/>
      <c r="C11126" s="40"/>
      <c r="E11126" s="80"/>
    </row>
    <row r="11127" spans="1:5" x14ac:dyDescent="0.25">
      <c r="A11127" s="40"/>
      <c r="B11127" s="40"/>
      <c r="C11127" s="40"/>
      <c r="E11127" s="80"/>
    </row>
    <row r="11128" spans="1:5" x14ac:dyDescent="0.25">
      <c r="A11128" s="40"/>
      <c r="B11128" s="40"/>
      <c r="C11128" s="40"/>
      <c r="E11128" s="80"/>
    </row>
    <row r="11129" spans="1:5" x14ac:dyDescent="0.25">
      <c r="A11129" s="40"/>
      <c r="B11129" s="40"/>
      <c r="C11129" s="40"/>
      <c r="E11129" s="80"/>
    </row>
    <row r="11130" spans="1:5" x14ac:dyDescent="0.25">
      <c r="A11130" s="40"/>
      <c r="B11130" s="40"/>
      <c r="C11130" s="40"/>
      <c r="E11130" s="80"/>
    </row>
    <row r="11131" spans="1:5" x14ac:dyDescent="0.25">
      <c r="A11131" s="40"/>
      <c r="B11131" s="40"/>
      <c r="C11131" s="40"/>
      <c r="E11131" s="80"/>
    </row>
    <row r="11132" spans="1:5" x14ac:dyDescent="0.25">
      <c r="A11132" s="40"/>
      <c r="B11132" s="40"/>
      <c r="C11132" s="40"/>
      <c r="E11132" s="80"/>
    </row>
    <row r="11133" spans="1:5" x14ac:dyDescent="0.25">
      <c r="A11133" s="40"/>
      <c r="B11133" s="40"/>
      <c r="C11133" s="40"/>
      <c r="E11133" s="80"/>
    </row>
    <row r="11134" spans="1:5" x14ac:dyDescent="0.25">
      <c r="A11134" s="40"/>
      <c r="B11134" s="40"/>
      <c r="C11134" s="40"/>
      <c r="E11134" s="80"/>
    </row>
    <row r="11135" spans="1:5" x14ac:dyDescent="0.25">
      <c r="A11135" s="40"/>
      <c r="B11135" s="40"/>
      <c r="C11135" s="40"/>
      <c r="E11135" s="80"/>
    </row>
    <row r="11136" spans="1:5" x14ac:dyDescent="0.25">
      <c r="A11136" s="40"/>
      <c r="B11136" s="40"/>
      <c r="C11136" s="40"/>
      <c r="E11136" s="80"/>
    </row>
    <row r="11137" spans="1:5" x14ac:dyDescent="0.25">
      <c r="A11137" s="40"/>
      <c r="B11137" s="40"/>
      <c r="C11137" s="40"/>
      <c r="E11137" s="80"/>
    </row>
    <row r="11138" spans="1:5" x14ac:dyDescent="0.25">
      <c r="A11138" s="40"/>
      <c r="B11138" s="40"/>
      <c r="C11138" s="40"/>
      <c r="E11138" s="80"/>
    </row>
    <row r="11139" spans="1:5" x14ac:dyDescent="0.25">
      <c r="A11139" s="40"/>
      <c r="B11139" s="40"/>
      <c r="C11139" s="40"/>
      <c r="E11139" s="80"/>
    </row>
    <row r="11140" spans="1:5" x14ac:dyDescent="0.25">
      <c r="A11140" s="40"/>
      <c r="B11140" s="40"/>
      <c r="C11140" s="40"/>
      <c r="E11140" s="80"/>
    </row>
    <row r="11141" spans="1:5" x14ac:dyDescent="0.25">
      <c r="A11141" s="40"/>
      <c r="B11141" s="40"/>
      <c r="C11141" s="40"/>
      <c r="E11141" s="80"/>
    </row>
    <row r="11142" spans="1:5" x14ac:dyDescent="0.25">
      <c r="A11142" s="40"/>
      <c r="B11142" s="40"/>
      <c r="C11142" s="40"/>
      <c r="E11142" s="80"/>
    </row>
    <row r="11143" spans="1:5" x14ac:dyDescent="0.25">
      <c r="A11143" s="40"/>
      <c r="B11143" s="40"/>
      <c r="C11143" s="40"/>
      <c r="E11143" s="80"/>
    </row>
    <row r="11144" spans="1:5" x14ac:dyDescent="0.25">
      <c r="A11144" s="40"/>
      <c r="B11144" s="40"/>
      <c r="C11144" s="40"/>
      <c r="E11144" s="80"/>
    </row>
    <row r="11145" spans="1:5" x14ac:dyDescent="0.25">
      <c r="A11145" s="40"/>
      <c r="B11145" s="40"/>
      <c r="C11145" s="40"/>
      <c r="E11145" s="80"/>
    </row>
    <row r="11146" spans="1:5" x14ac:dyDescent="0.25">
      <c r="A11146" s="40"/>
      <c r="B11146" s="40"/>
      <c r="C11146" s="40"/>
      <c r="E11146" s="80"/>
    </row>
    <row r="11147" spans="1:5" x14ac:dyDescent="0.25">
      <c r="A11147" s="40"/>
      <c r="B11147" s="40"/>
      <c r="C11147" s="40"/>
      <c r="E11147" s="80"/>
    </row>
    <row r="11148" spans="1:5" x14ac:dyDescent="0.25">
      <c r="A11148" s="40"/>
      <c r="B11148" s="40"/>
      <c r="C11148" s="40"/>
      <c r="E11148" s="80"/>
    </row>
    <row r="11149" spans="1:5" x14ac:dyDescent="0.25">
      <c r="A11149" s="40"/>
      <c r="B11149" s="40"/>
      <c r="C11149" s="40"/>
      <c r="E11149" s="80"/>
    </row>
    <row r="11150" spans="1:5" x14ac:dyDescent="0.25">
      <c r="A11150" s="40"/>
      <c r="B11150" s="40"/>
      <c r="C11150" s="40"/>
      <c r="E11150" s="80"/>
    </row>
    <row r="11151" spans="1:5" x14ac:dyDescent="0.25">
      <c r="A11151" s="40"/>
      <c r="B11151" s="40"/>
      <c r="C11151" s="40"/>
      <c r="E11151" s="80"/>
    </row>
    <row r="11152" spans="1:5" x14ac:dyDescent="0.25">
      <c r="A11152" s="40"/>
      <c r="B11152" s="40"/>
      <c r="C11152" s="40"/>
      <c r="E11152" s="80"/>
    </row>
    <row r="11153" spans="1:5" x14ac:dyDescent="0.25">
      <c r="A11153" s="40"/>
      <c r="B11153" s="40"/>
      <c r="C11153" s="40"/>
      <c r="E11153" s="80"/>
    </row>
    <row r="11154" spans="1:5" x14ac:dyDescent="0.25">
      <c r="A11154" s="40"/>
      <c r="B11154" s="40"/>
      <c r="C11154" s="40"/>
      <c r="E11154" s="80"/>
    </row>
    <row r="11155" spans="1:5" x14ac:dyDescent="0.25">
      <c r="A11155" s="40"/>
      <c r="B11155" s="40"/>
      <c r="C11155" s="40"/>
      <c r="E11155" s="80"/>
    </row>
    <row r="11156" spans="1:5" x14ac:dyDescent="0.25">
      <c r="A11156" s="40"/>
      <c r="B11156" s="40"/>
      <c r="C11156" s="40"/>
      <c r="E11156" s="80"/>
    </row>
    <row r="11157" spans="1:5" x14ac:dyDescent="0.25">
      <c r="A11157" s="40"/>
      <c r="B11157" s="40"/>
      <c r="C11157" s="40"/>
      <c r="E11157" s="80"/>
    </row>
    <row r="11158" spans="1:5" x14ac:dyDescent="0.25">
      <c r="A11158" s="40"/>
      <c r="B11158" s="40"/>
      <c r="C11158" s="40"/>
      <c r="E11158" s="80"/>
    </row>
    <row r="11159" spans="1:5" x14ac:dyDescent="0.25">
      <c r="A11159" s="40"/>
      <c r="B11159" s="40"/>
      <c r="C11159" s="40"/>
      <c r="E11159" s="80"/>
    </row>
    <row r="11160" spans="1:5" x14ac:dyDescent="0.25">
      <c r="A11160" s="40"/>
      <c r="B11160" s="40"/>
      <c r="C11160" s="40"/>
      <c r="E11160" s="80"/>
    </row>
    <row r="11161" spans="1:5" x14ac:dyDescent="0.25">
      <c r="A11161" s="40"/>
      <c r="B11161" s="40"/>
      <c r="C11161" s="40"/>
      <c r="E11161" s="80"/>
    </row>
    <row r="11162" spans="1:5" x14ac:dyDescent="0.25">
      <c r="A11162" s="40"/>
      <c r="B11162" s="40"/>
      <c r="C11162" s="40"/>
      <c r="E11162" s="80"/>
    </row>
    <row r="11163" spans="1:5" x14ac:dyDescent="0.25">
      <c r="A11163" s="40"/>
      <c r="B11163" s="40"/>
      <c r="C11163" s="40"/>
      <c r="E11163" s="80"/>
    </row>
    <row r="11164" spans="1:5" x14ac:dyDescent="0.25">
      <c r="A11164" s="40"/>
      <c r="B11164" s="40"/>
      <c r="C11164" s="40"/>
      <c r="E11164" s="80"/>
    </row>
    <row r="11165" spans="1:5" x14ac:dyDescent="0.25">
      <c r="A11165" s="40"/>
      <c r="B11165" s="40"/>
      <c r="C11165" s="40"/>
      <c r="E11165" s="80"/>
    </row>
    <row r="11166" spans="1:5" x14ac:dyDescent="0.25">
      <c r="A11166" s="40"/>
      <c r="B11166" s="40"/>
      <c r="C11166" s="40"/>
      <c r="E11166" s="80"/>
    </row>
    <row r="11167" spans="1:5" x14ac:dyDescent="0.25">
      <c r="A11167" s="40"/>
      <c r="B11167" s="40"/>
      <c r="C11167" s="40"/>
      <c r="E11167" s="80"/>
    </row>
    <row r="11168" spans="1:5" x14ac:dyDescent="0.25">
      <c r="A11168" s="40"/>
      <c r="B11168" s="40"/>
      <c r="C11168" s="40"/>
      <c r="E11168" s="80"/>
    </row>
    <row r="11169" spans="1:5" x14ac:dyDescent="0.25">
      <c r="A11169" s="40"/>
      <c r="B11169" s="40"/>
      <c r="C11169" s="40"/>
      <c r="E11169" s="80"/>
    </row>
    <row r="11170" spans="1:5" x14ac:dyDescent="0.25">
      <c r="A11170" s="40"/>
      <c r="B11170" s="40"/>
      <c r="C11170" s="40"/>
      <c r="E11170" s="80"/>
    </row>
    <row r="11171" spans="1:5" x14ac:dyDescent="0.25">
      <c r="A11171" s="40"/>
      <c r="B11171" s="40"/>
      <c r="C11171" s="40"/>
      <c r="E11171" s="80"/>
    </row>
    <row r="11172" spans="1:5" x14ac:dyDescent="0.25">
      <c r="A11172" s="40"/>
      <c r="B11172" s="40"/>
      <c r="C11172" s="40"/>
      <c r="E11172" s="80"/>
    </row>
    <row r="11173" spans="1:5" x14ac:dyDescent="0.25">
      <c r="A11173" s="40"/>
      <c r="B11173" s="40"/>
      <c r="C11173" s="40"/>
      <c r="E11173" s="80"/>
    </row>
    <row r="11174" spans="1:5" x14ac:dyDescent="0.25">
      <c r="A11174" s="40"/>
      <c r="B11174" s="40"/>
      <c r="C11174" s="40"/>
      <c r="E11174" s="80"/>
    </row>
    <row r="11175" spans="1:5" x14ac:dyDescent="0.25">
      <c r="A11175" s="40"/>
      <c r="B11175" s="40"/>
      <c r="C11175" s="40"/>
      <c r="E11175" s="80"/>
    </row>
    <row r="11176" spans="1:5" x14ac:dyDescent="0.25">
      <c r="A11176" s="40"/>
      <c r="B11176" s="40"/>
      <c r="C11176" s="40"/>
      <c r="E11176" s="80"/>
    </row>
    <row r="11177" spans="1:5" x14ac:dyDescent="0.25">
      <c r="A11177" s="40"/>
      <c r="B11177" s="40"/>
      <c r="C11177" s="40"/>
      <c r="E11177" s="80"/>
    </row>
    <row r="11178" spans="1:5" x14ac:dyDescent="0.25">
      <c r="A11178" s="40"/>
      <c r="B11178" s="40"/>
      <c r="C11178" s="40"/>
      <c r="E11178" s="80"/>
    </row>
    <row r="11179" spans="1:5" x14ac:dyDescent="0.25">
      <c r="A11179" s="40"/>
      <c r="B11179" s="40"/>
      <c r="C11179" s="40"/>
      <c r="E11179" s="80"/>
    </row>
    <row r="11180" spans="1:5" x14ac:dyDescent="0.25">
      <c r="A11180" s="40"/>
      <c r="B11180" s="40"/>
      <c r="C11180" s="40"/>
      <c r="E11180" s="80"/>
    </row>
    <row r="11181" spans="1:5" x14ac:dyDescent="0.25">
      <c r="A11181" s="40"/>
      <c r="B11181" s="40"/>
      <c r="C11181" s="40"/>
      <c r="E11181" s="80"/>
    </row>
    <row r="11182" spans="1:5" x14ac:dyDescent="0.25">
      <c r="A11182" s="40"/>
      <c r="B11182" s="40"/>
      <c r="C11182" s="40"/>
      <c r="E11182" s="80"/>
    </row>
    <row r="11183" spans="1:5" x14ac:dyDescent="0.25">
      <c r="A11183" s="40"/>
      <c r="B11183" s="40"/>
      <c r="C11183" s="40"/>
      <c r="E11183" s="80"/>
    </row>
    <row r="11184" spans="1:5" x14ac:dyDescent="0.25">
      <c r="A11184" s="40"/>
      <c r="B11184" s="40"/>
      <c r="C11184" s="40"/>
      <c r="E11184" s="80"/>
    </row>
    <row r="11185" spans="1:5" x14ac:dyDescent="0.25">
      <c r="A11185" s="40"/>
      <c r="B11185" s="40"/>
      <c r="C11185" s="40"/>
      <c r="E11185" s="80"/>
    </row>
    <row r="11186" spans="1:5" x14ac:dyDescent="0.25">
      <c r="A11186" s="40"/>
      <c r="B11186" s="40"/>
      <c r="C11186" s="40"/>
      <c r="E11186" s="80"/>
    </row>
    <row r="11187" spans="1:5" x14ac:dyDescent="0.25">
      <c r="A11187" s="40"/>
      <c r="B11187" s="40"/>
      <c r="C11187" s="40"/>
      <c r="E11187" s="80"/>
    </row>
    <row r="11188" spans="1:5" x14ac:dyDescent="0.25">
      <c r="A11188" s="40"/>
      <c r="B11188" s="40"/>
      <c r="C11188" s="40"/>
      <c r="E11188" s="80"/>
    </row>
    <row r="11189" spans="1:5" x14ac:dyDescent="0.25">
      <c r="A11189" s="40"/>
      <c r="B11189" s="40"/>
      <c r="C11189" s="40"/>
      <c r="E11189" s="80"/>
    </row>
    <row r="11190" spans="1:5" x14ac:dyDescent="0.25">
      <c r="A11190" s="40"/>
      <c r="B11190" s="40"/>
      <c r="C11190" s="40"/>
      <c r="E11190" s="80"/>
    </row>
    <row r="11191" spans="1:5" x14ac:dyDescent="0.25">
      <c r="A11191" s="40"/>
      <c r="B11191" s="40"/>
      <c r="C11191" s="40"/>
      <c r="E11191" s="80"/>
    </row>
    <row r="11192" spans="1:5" x14ac:dyDescent="0.25">
      <c r="A11192" s="40"/>
      <c r="B11192" s="40"/>
      <c r="C11192" s="40"/>
      <c r="E11192" s="80"/>
    </row>
    <row r="11193" spans="1:5" x14ac:dyDescent="0.25">
      <c r="A11193" s="40"/>
      <c r="B11193" s="40"/>
      <c r="C11193" s="40"/>
      <c r="E11193" s="80"/>
    </row>
    <row r="11194" spans="1:5" x14ac:dyDescent="0.25">
      <c r="A11194" s="40"/>
      <c r="B11194" s="40"/>
      <c r="C11194" s="40"/>
      <c r="E11194" s="80"/>
    </row>
    <row r="11195" spans="1:5" x14ac:dyDescent="0.25">
      <c r="A11195" s="40"/>
      <c r="B11195" s="40"/>
      <c r="C11195" s="40"/>
      <c r="E11195" s="80"/>
    </row>
    <row r="11196" spans="1:5" x14ac:dyDescent="0.25">
      <c r="A11196" s="40"/>
      <c r="B11196" s="40"/>
      <c r="C11196" s="40"/>
      <c r="E11196" s="80"/>
    </row>
    <row r="11197" spans="1:5" x14ac:dyDescent="0.25">
      <c r="A11197" s="40"/>
      <c r="B11197" s="40"/>
      <c r="C11197" s="40"/>
      <c r="E11197" s="80"/>
    </row>
    <row r="11198" spans="1:5" x14ac:dyDescent="0.25">
      <c r="A11198" s="40"/>
      <c r="B11198" s="40"/>
      <c r="C11198" s="40"/>
      <c r="E11198" s="80"/>
    </row>
    <row r="11199" spans="1:5" x14ac:dyDescent="0.25">
      <c r="A11199" s="40"/>
      <c r="B11199" s="40"/>
      <c r="C11199" s="40"/>
      <c r="E11199" s="80"/>
    </row>
    <row r="11200" spans="1:5" x14ac:dyDescent="0.25">
      <c r="A11200" s="40"/>
      <c r="B11200" s="40"/>
      <c r="C11200" s="40"/>
      <c r="E11200" s="80"/>
    </row>
    <row r="11201" spans="1:5" x14ac:dyDescent="0.25">
      <c r="A11201" s="40"/>
      <c r="B11201" s="40"/>
      <c r="C11201" s="40"/>
      <c r="E11201" s="80"/>
    </row>
    <row r="11202" spans="1:5" x14ac:dyDescent="0.25">
      <c r="A11202" s="40"/>
      <c r="B11202" s="40"/>
      <c r="C11202" s="40"/>
      <c r="E11202" s="80"/>
    </row>
    <row r="11203" spans="1:5" x14ac:dyDescent="0.25">
      <c r="A11203" s="40"/>
      <c r="B11203" s="40"/>
      <c r="C11203" s="40"/>
      <c r="E11203" s="80"/>
    </row>
    <row r="11204" spans="1:5" x14ac:dyDescent="0.25">
      <c r="A11204" s="40"/>
      <c r="B11204" s="40"/>
      <c r="C11204" s="40"/>
      <c r="E11204" s="80"/>
    </row>
    <row r="11205" spans="1:5" x14ac:dyDescent="0.25">
      <c r="A11205" s="40"/>
      <c r="B11205" s="40"/>
      <c r="C11205" s="40"/>
      <c r="E11205" s="80"/>
    </row>
    <row r="11206" spans="1:5" x14ac:dyDescent="0.25">
      <c r="A11206" s="40"/>
      <c r="B11206" s="40"/>
      <c r="C11206" s="40"/>
      <c r="E11206" s="80"/>
    </row>
    <row r="11207" spans="1:5" x14ac:dyDescent="0.25">
      <c r="A11207" s="40"/>
      <c r="B11207" s="40"/>
      <c r="C11207" s="40"/>
      <c r="E11207" s="80"/>
    </row>
    <row r="11208" spans="1:5" x14ac:dyDescent="0.25">
      <c r="A11208" s="40"/>
      <c r="B11208" s="40"/>
      <c r="C11208" s="40"/>
      <c r="E11208" s="80"/>
    </row>
    <row r="11209" spans="1:5" x14ac:dyDescent="0.25">
      <c r="A11209" s="40"/>
      <c r="B11209" s="40"/>
      <c r="C11209" s="40"/>
      <c r="E11209" s="80"/>
    </row>
    <row r="11210" spans="1:5" x14ac:dyDescent="0.25">
      <c r="A11210" s="40"/>
      <c r="B11210" s="40"/>
      <c r="C11210" s="40"/>
      <c r="E11210" s="80"/>
    </row>
    <row r="11211" spans="1:5" x14ac:dyDescent="0.25">
      <c r="A11211" s="40"/>
      <c r="B11211" s="40"/>
      <c r="C11211" s="40"/>
      <c r="E11211" s="80"/>
    </row>
    <row r="11212" spans="1:5" x14ac:dyDescent="0.25">
      <c r="A11212" s="40"/>
      <c r="B11212" s="40"/>
      <c r="C11212" s="40"/>
      <c r="E11212" s="80"/>
    </row>
    <row r="11213" spans="1:5" x14ac:dyDescent="0.25">
      <c r="A11213" s="40"/>
      <c r="B11213" s="40"/>
      <c r="C11213" s="40"/>
      <c r="E11213" s="80"/>
    </row>
    <row r="11214" spans="1:5" x14ac:dyDescent="0.25">
      <c r="A11214" s="40"/>
      <c r="B11214" s="40"/>
      <c r="C11214" s="40"/>
      <c r="E11214" s="80"/>
    </row>
    <row r="11215" spans="1:5" x14ac:dyDescent="0.25">
      <c r="A11215" s="40"/>
      <c r="B11215" s="40"/>
      <c r="C11215" s="40"/>
      <c r="E11215" s="80"/>
    </row>
    <row r="11216" spans="1:5" x14ac:dyDescent="0.25">
      <c r="A11216" s="40"/>
      <c r="B11216" s="40"/>
      <c r="C11216" s="40"/>
      <c r="E11216" s="80"/>
    </row>
    <row r="11217" spans="1:5" x14ac:dyDescent="0.25">
      <c r="A11217" s="40"/>
      <c r="B11217" s="40"/>
      <c r="C11217" s="40"/>
      <c r="E11217" s="80"/>
    </row>
    <row r="11218" spans="1:5" x14ac:dyDescent="0.25">
      <c r="A11218" s="40"/>
      <c r="B11218" s="40"/>
      <c r="C11218" s="40"/>
      <c r="E11218" s="80"/>
    </row>
    <row r="11219" spans="1:5" x14ac:dyDescent="0.25">
      <c r="A11219" s="40"/>
      <c r="B11219" s="40"/>
      <c r="C11219" s="40"/>
      <c r="E11219" s="80"/>
    </row>
    <row r="11220" spans="1:5" x14ac:dyDescent="0.25">
      <c r="A11220" s="40"/>
      <c r="B11220" s="40"/>
      <c r="C11220" s="40"/>
      <c r="E11220" s="80"/>
    </row>
    <row r="11221" spans="1:5" x14ac:dyDescent="0.25">
      <c r="A11221" s="40"/>
      <c r="B11221" s="40"/>
      <c r="C11221" s="40"/>
      <c r="E11221" s="80"/>
    </row>
    <row r="11222" spans="1:5" x14ac:dyDescent="0.25">
      <c r="A11222" s="40"/>
      <c r="B11222" s="40"/>
      <c r="C11222" s="40"/>
      <c r="E11222" s="80"/>
    </row>
    <row r="11223" spans="1:5" x14ac:dyDescent="0.25">
      <c r="A11223" s="40"/>
      <c r="B11223" s="40"/>
      <c r="C11223" s="40"/>
      <c r="E11223" s="80"/>
    </row>
    <row r="11224" spans="1:5" x14ac:dyDescent="0.25">
      <c r="A11224" s="40"/>
      <c r="B11224" s="40"/>
      <c r="C11224" s="40"/>
      <c r="E11224" s="80"/>
    </row>
    <row r="11225" spans="1:5" x14ac:dyDescent="0.25">
      <c r="A11225" s="40"/>
      <c r="B11225" s="40"/>
      <c r="C11225" s="40"/>
      <c r="E11225" s="80"/>
    </row>
    <row r="11226" spans="1:5" x14ac:dyDescent="0.25">
      <c r="A11226" s="40"/>
      <c r="B11226" s="40"/>
      <c r="C11226" s="40"/>
      <c r="E11226" s="80"/>
    </row>
    <row r="11227" spans="1:5" x14ac:dyDescent="0.25">
      <c r="A11227" s="40"/>
      <c r="B11227" s="40"/>
      <c r="C11227" s="40"/>
      <c r="E11227" s="80"/>
    </row>
    <row r="11228" spans="1:5" x14ac:dyDescent="0.25">
      <c r="A11228" s="40"/>
      <c r="B11228" s="40"/>
      <c r="C11228" s="40"/>
      <c r="E11228" s="80"/>
    </row>
    <row r="11229" spans="1:5" x14ac:dyDescent="0.25">
      <c r="A11229" s="40"/>
      <c r="B11229" s="40"/>
      <c r="C11229" s="40"/>
      <c r="E11229" s="80"/>
    </row>
    <row r="11230" spans="1:5" x14ac:dyDescent="0.25">
      <c r="A11230" s="40"/>
      <c r="B11230" s="40"/>
      <c r="C11230" s="40"/>
      <c r="E11230" s="80"/>
    </row>
    <row r="11231" spans="1:5" x14ac:dyDescent="0.25">
      <c r="A11231" s="40"/>
      <c r="B11231" s="40"/>
      <c r="C11231" s="40"/>
      <c r="E11231" s="80"/>
    </row>
    <row r="11232" spans="1:5" x14ac:dyDescent="0.25">
      <c r="A11232" s="40"/>
      <c r="B11232" s="40"/>
      <c r="C11232" s="40"/>
      <c r="E11232" s="80"/>
    </row>
    <row r="11233" spans="1:5" x14ac:dyDescent="0.25">
      <c r="A11233" s="40"/>
      <c r="B11233" s="40"/>
      <c r="C11233" s="40"/>
      <c r="E11233" s="80"/>
    </row>
    <row r="11234" spans="1:5" x14ac:dyDescent="0.25">
      <c r="A11234" s="40"/>
      <c r="B11234" s="40"/>
      <c r="C11234" s="40"/>
      <c r="E11234" s="80"/>
    </row>
    <row r="11235" spans="1:5" x14ac:dyDescent="0.25">
      <c r="A11235" s="40"/>
      <c r="B11235" s="40"/>
      <c r="C11235" s="40"/>
      <c r="E11235" s="80"/>
    </row>
    <row r="11236" spans="1:5" x14ac:dyDescent="0.25">
      <c r="A11236" s="40"/>
      <c r="B11236" s="40"/>
      <c r="C11236" s="40"/>
      <c r="E11236" s="80"/>
    </row>
    <row r="11237" spans="1:5" x14ac:dyDescent="0.25">
      <c r="A11237" s="40"/>
      <c r="B11237" s="40"/>
      <c r="C11237" s="40"/>
      <c r="E11237" s="80"/>
    </row>
    <row r="11238" spans="1:5" x14ac:dyDescent="0.25">
      <c r="A11238" s="40"/>
      <c r="B11238" s="40"/>
      <c r="C11238" s="40"/>
      <c r="E11238" s="80"/>
    </row>
    <row r="11239" spans="1:5" x14ac:dyDescent="0.25">
      <c r="A11239" s="40"/>
      <c r="B11239" s="40"/>
      <c r="C11239" s="40"/>
      <c r="E11239" s="80"/>
    </row>
    <row r="11240" spans="1:5" x14ac:dyDescent="0.25">
      <c r="A11240" s="40"/>
      <c r="B11240" s="40"/>
      <c r="C11240" s="40"/>
      <c r="E11240" s="80"/>
    </row>
    <row r="11241" spans="1:5" x14ac:dyDescent="0.25">
      <c r="A11241" s="40"/>
      <c r="B11241" s="40"/>
      <c r="C11241" s="40"/>
      <c r="E11241" s="80"/>
    </row>
    <row r="11242" spans="1:5" x14ac:dyDescent="0.25">
      <c r="A11242" s="40"/>
      <c r="B11242" s="40"/>
      <c r="C11242" s="40"/>
      <c r="E11242" s="80"/>
    </row>
    <row r="11243" spans="1:5" x14ac:dyDescent="0.25">
      <c r="A11243" s="40"/>
      <c r="B11243" s="40"/>
      <c r="C11243" s="40"/>
      <c r="E11243" s="80"/>
    </row>
    <row r="11244" spans="1:5" x14ac:dyDescent="0.25">
      <c r="A11244" s="40"/>
      <c r="B11244" s="40"/>
      <c r="C11244" s="40"/>
      <c r="E11244" s="80"/>
    </row>
    <row r="11245" spans="1:5" x14ac:dyDescent="0.25">
      <c r="A11245" s="40"/>
      <c r="B11245" s="40"/>
      <c r="C11245" s="40"/>
      <c r="E11245" s="80"/>
    </row>
    <row r="11246" spans="1:5" x14ac:dyDescent="0.25">
      <c r="A11246" s="40"/>
      <c r="B11246" s="40"/>
      <c r="C11246" s="40"/>
      <c r="E11246" s="80"/>
    </row>
    <row r="11247" spans="1:5" x14ac:dyDescent="0.25">
      <c r="A11247" s="40"/>
      <c r="B11247" s="40"/>
      <c r="C11247" s="40"/>
      <c r="E11247" s="80"/>
    </row>
    <row r="11248" spans="1:5" x14ac:dyDescent="0.25">
      <c r="A11248" s="40"/>
      <c r="B11248" s="40"/>
      <c r="C11248" s="40"/>
      <c r="E11248" s="80"/>
    </row>
    <row r="11249" spans="1:5" x14ac:dyDescent="0.25">
      <c r="A11249" s="40"/>
      <c r="B11249" s="40"/>
      <c r="C11249" s="40"/>
      <c r="E11249" s="80"/>
    </row>
    <row r="11250" spans="1:5" x14ac:dyDescent="0.25">
      <c r="A11250" s="40"/>
      <c r="B11250" s="40"/>
      <c r="C11250" s="40"/>
      <c r="E11250" s="80"/>
    </row>
    <row r="11251" spans="1:5" x14ac:dyDescent="0.25">
      <c r="A11251" s="40"/>
      <c r="B11251" s="40"/>
      <c r="C11251" s="40"/>
      <c r="E11251" s="80"/>
    </row>
    <row r="11252" spans="1:5" x14ac:dyDescent="0.25">
      <c r="A11252" s="40"/>
      <c r="B11252" s="40"/>
      <c r="C11252" s="40"/>
      <c r="E11252" s="80"/>
    </row>
    <row r="11253" spans="1:5" x14ac:dyDescent="0.25">
      <c r="A11253" s="40"/>
      <c r="B11253" s="40"/>
      <c r="C11253" s="40"/>
      <c r="E11253" s="80"/>
    </row>
    <row r="11254" spans="1:5" x14ac:dyDescent="0.25">
      <c r="A11254" s="40"/>
      <c r="B11254" s="40"/>
      <c r="C11254" s="40"/>
      <c r="E11254" s="80"/>
    </row>
    <row r="11255" spans="1:5" x14ac:dyDescent="0.25">
      <c r="A11255" s="40"/>
      <c r="B11255" s="40"/>
      <c r="C11255" s="40"/>
      <c r="E11255" s="80"/>
    </row>
    <row r="11256" spans="1:5" x14ac:dyDescent="0.25">
      <c r="A11256" s="40"/>
      <c r="B11256" s="40"/>
      <c r="C11256" s="40"/>
      <c r="E11256" s="80"/>
    </row>
    <row r="11257" spans="1:5" x14ac:dyDescent="0.25">
      <c r="A11257" s="40"/>
      <c r="B11257" s="40"/>
      <c r="C11257" s="40"/>
      <c r="E11257" s="80"/>
    </row>
    <row r="11258" spans="1:5" x14ac:dyDescent="0.25">
      <c r="A11258" s="40"/>
      <c r="B11258" s="40"/>
      <c r="C11258" s="40"/>
      <c r="E11258" s="80"/>
    </row>
    <row r="11259" spans="1:5" x14ac:dyDescent="0.25">
      <c r="A11259" s="40"/>
      <c r="B11259" s="40"/>
      <c r="C11259" s="40"/>
      <c r="E11259" s="80"/>
    </row>
    <row r="11260" spans="1:5" x14ac:dyDescent="0.25">
      <c r="A11260" s="40"/>
      <c r="B11260" s="40"/>
      <c r="C11260" s="40"/>
      <c r="E11260" s="80"/>
    </row>
    <row r="11261" spans="1:5" x14ac:dyDescent="0.25">
      <c r="A11261" s="40"/>
      <c r="B11261" s="40"/>
      <c r="C11261" s="40"/>
      <c r="E11261" s="80"/>
    </row>
    <row r="11262" spans="1:5" x14ac:dyDescent="0.25">
      <c r="A11262" s="40"/>
      <c r="B11262" s="40"/>
      <c r="C11262" s="40"/>
      <c r="E11262" s="80"/>
    </row>
    <row r="11263" spans="1:5" x14ac:dyDescent="0.25">
      <c r="A11263" s="40"/>
      <c r="B11263" s="40"/>
      <c r="C11263" s="40"/>
      <c r="E11263" s="80"/>
    </row>
    <row r="11264" spans="1:5" x14ac:dyDescent="0.25">
      <c r="A11264" s="40"/>
      <c r="B11264" s="40"/>
      <c r="C11264" s="40"/>
      <c r="E11264" s="80"/>
    </row>
    <row r="11265" spans="1:5" x14ac:dyDescent="0.25">
      <c r="A11265" s="40"/>
      <c r="B11265" s="40"/>
      <c r="C11265" s="40"/>
      <c r="E11265" s="80"/>
    </row>
    <row r="11266" spans="1:5" x14ac:dyDescent="0.25">
      <c r="A11266" s="40"/>
      <c r="B11266" s="40"/>
      <c r="C11266" s="40"/>
      <c r="E11266" s="80"/>
    </row>
    <row r="11267" spans="1:5" x14ac:dyDescent="0.25">
      <c r="A11267" s="40"/>
      <c r="B11267" s="40"/>
      <c r="C11267" s="40"/>
      <c r="E11267" s="80"/>
    </row>
    <row r="11268" spans="1:5" x14ac:dyDescent="0.25">
      <c r="A11268" s="40"/>
      <c r="B11268" s="40"/>
      <c r="C11268" s="40"/>
      <c r="E11268" s="80"/>
    </row>
    <row r="11269" spans="1:5" x14ac:dyDescent="0.25">
      <c r="A11269" s="40"/>
      <c r="B11269" s="40"/>
      <c r="C11269" s="40"/>
      <c r="E11269" s="80"/>
    </row>
    <row r="11270" spans="1:5" x14ac:dyDescent="0.25">
      <c r="A11270" s="40"/>
      <c r="B11270" s="40"/>
      <c r="C11270" s="40"/>
      <c r="E11270" s="80"/>
    </row>
    <row r="11271" spans="1:5" x14ac:dyDescent="0.25">
      <c r="A11271" s="40"/>
      <c r="B11271" s="40"/>
      <c r="C11271" s="40"/>
      <c r="E11271" s="80"/>
    </row>
    <row r="11272" spans="1:5" x14ac:dyDescent="0.25">
      <c r="A11272" s="40"/>
      <c r="B11272" s="40"/>
      <c r="C11272" s="40"/>
      <c r="E11272" s="80"/>
    </row>
    <row r="11273" spans="1:5" x14ac:dyDescent="0.25">
      <c r="A11273" s="40"/>
      <c r="B11273" s="40"/>
      <c r="C11273" s="40"/>
      <c r="E11273" s="80"/>
    </row>
    <row r="11274" spans="1:5" x14ac:dyDescent="0.25">
      <c r="A11274" s="40"/>
      <c r="B11274" s="40"/>
      <c r="C11274" s="40"/>
      <c r="E11274" s="80"/>
    </row>
    <row r="11275" spans="1:5" x14ac:dyDescent="0.25">
      <c r="A11275" s="40"/>
      <c r="B11275" s="40"/>
      <c r="C11275" s="40"/>
      <c r="E11275" s="80"/>
    </row>
    <row r="11276" spans="1:5" x14ac:dyDescent="0.25">
      <c r="A11276" s="40"/>
      <c r="B11276" s="40"/>
      <c r="C11276" s="40"/>
      <c r="E11276" s="80"/>
    </row>
    <row r="11277" spans="1:5" x14ac:dyDescent="0.25">
      <c r="A11277" s="40"/>
      <c r="B11277" s="40"/>
      <c r="C11277" s="40"/>
      <c r="E11277" s="80"/>
    </row>
    <row r="11278" spans="1:5" x14ac:dyDescent="0.25">
      <c r="A11278" s="40"/>
      <c r="B11278" s="40"/>
      <c r="C11278" s="40"/>
      <c r="E11278" s="80"/>
    </row>
    <row r="11279" spans="1:5" x14ac:dyDescent="0.25">
      <c r="A11279" s="40"/>
      <c r="B11279" s="40"/>
      <c r="C11279" s="40"/>
      <c r="E11279" s="80"/>
    </row>
    <row r="11280" spans="1:5" x14ac:dyDescent="0.25">
      <c r="A11280" s="40"/>
      <c r="B11280" s="40"/>
      <c r="C11280" s="40"/>
      <c r="E11280" s="80"/>
    </row>
    <row r="11281" spans="1:5" x14ac:dyDescent="0.25">
      <c r="A11281" s="40"/>
      <c r="B11281" s="40"/>
      <c r="C11281" s="40"/>
      <c r="E11281" s="80"/>
    </row>
    <row r="11282" spans="1:5" x14ac:dyDescent="0.25">
      <c r="A11282" s="40"/>
      <c r="B11282" s="40"/>
      <c r="C11282" s="40"/>
      <c r="E11282" s="80"/>
    </row>
    <row r="11283" spans="1:5" x14ac:dyDescent="0.25">
      <c r="A11283" s="40"/>
      <c r="B11283" s="40"/>
      <c r="C11283" s="40"/>
      <c r="E11283" s="80"/>
    </row>
    <row r="11284" spans="1:5" x14ac:dyDescent="0.25">
      <c r="A11284" s="40"/>
      <c r="B11284" s="40"/>
      <c r="C11284" s="40"/>
      <c r="E11284" s="80"/>
    </row>
    <row r="11285" spans="1:5" x14ac:dyDescent="0.25">
      <c r="A11285" s="40"/>
      <c r="B11285" s="40"/>
      <c r="C11285" s="40"/>
      <c r="E11285" s="80"/>
    </row>
    <row r="11286" spans="1:5" x14ac:dyDescent="0.25">
      <c r="A11286" s="40"/>
      <c r="B11286" s="40"/>
      <c r="C11286" s="40"/>
      <c r="E11286" s="80"/>
    </row>
    <row r="11287" spans="1:5" x14ac:dyDescent="0.25">
      <c r="A11287" s="40"/>
      <c r="B11287" s="40"/>
      <c r="C11287" s="40"/>
      <c r="E11287" s="80"/>
    </row>
    <row r="11288" spans="1:5" x14ac:dyDescent="0.25">
      <c r="A11288" s="40"/>
      <c r="B11288" s="40"/>
      <c r="C11288" s="40"/>
      <c r="E11288" s="80"/>
    </row>
    <row r="11289" spans="1:5" x14ac:dyDescent="0.25">
      <c r="A11289" s="40"/>
      <c r="B11289" s="40"/>
      <c r="C11289" s="40"/>
      <c r="E11289" s="80"/>
    </row>
    <row r="11290" spans="1:5" x14ac:dyDescent="0.25">
      <c r="A11290" s="40"/>
      <c r="B11290" s="40"/>
      <c r="C11290" s="40"/>
      <c r="E11290" s="80"/>
    </row>
    <row r="11291" spans="1:5" x14ac:dyDescent="0.25">
      <c r="A11291" s="40"/>
      <c r="B11291" s="40"/>
      <c r="C11291" s="40"/>
      <c r="E11291" s="80"/>
    </row>
    <row r="11292" spans="1:5" x14ac:dyDescent="0.25">
      <c r="A11292" s="40"/>
      <c r="B11292" s="40"/>
      <c r="C11292" s="40"/>
      <c r="E11292" s="80"/>
    </row>
    <row r="11293" spans="1:5" x14ac:dyDescent="0.25">
      <c r="A11293" s="40"/>
      <c r="B11293" s="40"/>
      <c r="C11293" s="40"/>
      <c r="E11293" s="80"/>
    </row>
    <row r="11294" spans="1:5" x14ac:dyDescent="0.25">
      <c r="A11294" s="40"/>
      <c r="B11294" s="40"/>
      <c r="C11294" s="40"/>
      <c r="E11294" s="80"/>
    </row>
    <row r="11295" spans="1:5" x14ac:dyDescent="0.25">
      <c r="A11295" s="40"/>
      <c r="B11295" s="40"/>
      <c r="C11295" s="40"/>
      <c r="E11295" s="80"/>
    </row>
    <row r="11296" spans="1:5" x14ac:dyDescent="0.25">
      <c r="A11296" s="40"/>
      <c r="B11296" s="40"/>
      <c r="C11296" s="40"/>
      <c r="E11296" s="80"/>
    </row>
    <row r="11297" spans="1:5" x14ac:dyDescent="0.25">
      <c r="A11297" s="40"/>
      <c r="B11297" s="40"/>
      <c r="C11297" s="40"/>
      <c r="E11297" s="80"/>
    </row>
    <row r="11298" spans="1:5" x14ac:dyDescent="0.25">
      <c r="A11298" s="40"/>
      <c r="B11298" s="40"/>
      <c r="C11298" s="40"/>
      <c r="E11298" s="80"/>
    </row>
    <row r="11299" spans="1:5" x14ac:dyDescent="0.25">
      <c r="A11299" s="40"/>
      <c r="B11299" s="40"/>
      <c r="C11299" s="40"/>
      <c r="E11299" s="80"/>
    </row>
    <row r="11300" spans="1:5" x14ac:dyDescent="0.25">
      <c r="A11300" s="40"/>
      <c r="B11300" s="40"/>
      <c r="C11300" s="40"/>
      <c r="E11300" s="80"/>
    </row>
    <row r="11301" spans="1:5" x14ac:dyDescent="0.25">
      <c r="A11301" s="40"/>
      <c r="B11301" s="40"/>
      <c r="C11301" s="40"/>
      <c r="E11301" s="80"/>
    </row>
    <row r="11302" spans="1:5" x14ac:dyDescent="0.25">
      <c r="A11302" s="40"/>
      <c r="B11302" s="40"/>
      <c r="C11302" s="40"/>
      <c r="E11302" s="80"/>
    </row>
    <row r="11303" spans="1:5" x14ac:dyDescent="0.25">
      <c r="A11303" s="40"/>
      <c r="B11303" s="40"/>
      <c r="C11303" s="40"/>
      <c r="E11303" s="80"/>
    </row>
    <row r="11304" spans="1:5" x14ac:dyDescent="0.25">
      <c r="A11304" s="40"/>
      <c r="B11304" s="40"/>
      <c r="C11304" s="40"/>
      <c r="E11304" s="80"/>
    </row>
    <row r="11305" spans="1:5" x14ac:dyDescent="0.25">
      <c r="A11305" s="40"/>
      <c r="B11305" s="40"/>
      <c r="C11305" s="40"/>
      <c r="E11305" s="80"/>
    </row>
    <row r="11306" spans="1:5" x14ac:dyDescent="0.25">
      <c r="A11306" s="40"/>
      <c r="B11306" s="40"/>
      <c r="C11306" s="40"/>
      <c r="E11306" s="80"/>
    </row>
    <row r="11307" spans="1:5" x14ac:dyDescent="0.25">
      <c r="A11307" s="40"/>
      <c r="B11307" s="40"/>
      <c r="C11307" s="40"/>
      <c r="E11307" s="80"/>
    </row>
    <row r="11308" spans="1:5" x14ac:dyDescent="0.25">
      <c r="A11308" s="40"/>
      <c r="B11308" s="40"/>
      <c r="C11308" s="40"/>
      <c r="E11308" s="80"/>
    </row>
    <row r="11309" spans="1:5" x14ac:dyDescent="0.25">
      <c r="A11309" s="40"/>
      <c r="B11309" s="40"/>
      <c r="C11309" s="40"/>
      <c r="E11309" s="80"/>
    </row>
    <row r="11310" spans="1:5" x14ac:dyDescent="0.25">
      <c r="A11310" s="40"/>
      <c r="B11310" s="40"/>
      <c r="C11310" s="40"/>
      <c r="E11310" s="80"/>
    </row>
    <row r="11311" spans="1:5" x14ac:dyDescent="0.25">
      <c r="A11311" s="40"/>
      <c r="B11311" s="40"/>
      <c r="C11311" s="40"/>
      <c r="E11311" s="80"/>
    </row>
    <row r="11312" spans="1:5" x14ac:dyDescent="0.25">
      <c r="A11312" s="40"/>
      <c r="B11312" s="40"/>
      <c r="C11312" s="40"/>
      <c r="E11312" s="80"/>
    </row>
    <row r="11313" spans="1:5" x14ac:dyDescent="0.25">
      <c r="A11313" s="40"/>
      <c r="B11313" s="40"/>
      <c r="C11313" s="40"/>
      <c r="E11313" s="80"/>
    </row>
    <row r="11314" spans="1:5" x14ac:dyDescent="0.25">
      <c r="A11314" s="40"/>
      <c r="B11314" s="40"/>
      <c r="C11314" s="40"/>
      <c r="E11314" s="80"/>
    </row>
    <row r="11315" spans="1:5" x14ac:dyDescent="0.25">
      <c r="A11315" s="40"/>
      <c r="B11315" s="40"/>
      <c r="C11315" s="40"/>
      <c r="E11315" s="80"/>
    </row>
    <row r="11316" spans="1:5" x14ac:dyDescent="0.25">
      <c r="A11316" s="40"/>
      <c r="B11316" s="40"/>
      <c r="C11316" s="40"/>
      <c r="E11316" s="80"/>
    </row>
    <row r="11317" spans="1:5" x14ac:dyDescent="0.25">
      <c r="A11317" s="40"/>
      <c r="B11317" s="40"/>
      <c r="C11317" s="40"/>
      <c r="E11317" s="80"/>
    </row>
    <row r="11318" spans="1:5" x14ac:dyDescent="0.25">
      <c r="A11318" s="40"/>
      <c r="B11318" s="40"/>
      <c r="C11318" s="40"/>
      <c r="E11318" s="80"/>
    </row>
    <row r="11319" spans="1:5" x14ac:dyDescent="0.25">
      <c r="A11319" s="40"/>
      <c r="B11319" s="40"/>
      <c r="C11319" s="40"/>
      <c r="E11319" s="80"/>
    </row>
    <row r="11320" spans="1:5" x14ac:dyDescent="0.25">
      <c r="A11320" s="40"/>
      <c r="B11320" s="40"/>
      <c r="C11320" s="40"/>
      <c r="E11320" s="80"/>
    </row>
    <row r="11321" spans="1:5" x14ac:dyDescent="0.25">
      <c r="A11321" s="40"/>
      <c r="B11321" s="40"/>
      <c r="C11321" s="40"/>
      <c r="E11321" s="80"/>
    </row>
    <row r="11322" spans="1:5" x14ac:dyDescent="0.25">
      <c r="A11322" s="40"/>
      <c r="B11322" s="40"/>
      <c r="C11322" s="40"/>
      <c r="E11322" s="80"/>
    </row>
    <row r="11323" spans="1:5" x14ac:dyDescent="0.25">
      <c r="A11323" s="40"/>
      <c r="B11323" s="40"/>
      <c r="C11323" s="40"/>
      <c r="E11323" s="80"/>
    </row>
    <row r="11324" spans="1:5" x14ac:dyDescent="0.25">
      <c r="A11324" s="40"/>
      <c r="B11324" s="40"/>
      <c r="C11324" s="40"/>
      <c r="E11324" s="80"/>
    </row>
    <row r="11325" spans="1:5" x14ac:dyDescent="0.25">
      <c r="A11325" s="40"/>
      <c r="B11325" s="40"/>
      <c r="C11325" s="40"/>
      <c r="E11325" s="80"/>
    </row>
    <row r="11326" spans="1:5" x14ac:dyDescent="0.25">
      <c r="A11326" s="40"/>
      <c r="B11326" s="40"/>
      <c r="C11326" s="40"/>
      <c r="E11326" s="80"/>
    </row>
    <row r="11327" spans="1:5" x14ac:dyDescent="0.25">
      <c r="A11327" s="40"/>
      <c r="B11327" s="40"/>
      <c r="C11327" s="40"/>
      <c r="E11327" s="80"/>
    </row>
    <row r="11328" spans="1:5" x14ac:dyDescent="0.25">
      <c r="A11328" s="40"/>
      <c r="B11328" s="40"/>
      <c r="C11328" s="40"/>
      <c r="E11328" s="80"/>
    </row>
    <row r="11329" spans="1:5" x14ac:dyDescent="0.25">
      <c r="A11329" s="40"/>
      <c r="B11329" s="40"/>
      <c r="C11329" s="40"/>
      <c r="E11329" s="80"/>
    </row>
    <row r="11330" spans="1:5" x14ac:dyDescent="0.25">
      <c r="A11330" s="40"/>
      <c r="B11330" s="40"/>
      <c r="C11330" s="40"/>
      <c r="E11330" s="80"/>
    </row>
    <row r="11331" spans="1:5" x14ac:dyDescent="0.25">
      <c r="A11331" s="40"/>
      <c r="B11331" s="40"/>
      <c r="C11331" s="40"/>
      <c r="E11331" s="80"/>
    </row>
    <row r="11332" spans="1:5" x14ac:dyDescent="0.25">
      <c r="A11332" s="40"/>
      <c r="B11332" s="40"/>
      <c r="C11332" s="40"/>
      <c r="E11332" s="80"/>
    </row>
    <row r="11333" spans="1:5" x14ac:dyDescent="0.25">
      <c r="A11333" s="40"/>
      <c r="B11333" s="40"/>
      <c r="C11333" s="40"/>
      <c r="E11333" s="80"/>
    </row>
    <row r="11334" spans="1:5" x14ac:dyDescent="0.25">
      <c r="A11334" s="40"/>
      <c r="B11334" s="40"/>
      <c r="C11334" s="40"/>
      <c r="E11334" s="80"/>
    </row>
    <row r="11335" spans="1:5" x14ac:dyDescent="0.25">
      <c r="A11335" s="40"/>
      <c r="B11335" s="40"/>
      <c r="C11335" s="40"/>
      <c r="E11335" s="80"/>
    </row>
    <row r="11336" spans="1:5" x14ac:dyDescent="0.25">
      <c r="A11336" s="40"/>
      <c r="B11336" s="40"/>
      <c r="C11336" s="40"/>
      <c r="E11336" s="80"/>
    </row>
    <row r="11337" spans="1:5" x14ac:dyDescent="0.25">
      <c r="A11337" s="40"/>
      <c r="B11337" s="40"/>
      <c r="C11337" s="40"/>
      <c r="E11337" s="80"/>
    </row>
    <row r="11338" spans="1:5" x14ac:dyDescent="0.25">
      <c r="A11338" s="40"/>
      <c r="B11338" s="40"/>
      <c r="C11338" s="40"/>
      <c r="E11338" s="80"/>
    </row>
    <row r="11339" spans="1:5" x14ac:dyDescent="0.25">
      <c r="A11339" s="40"/>
      <c r="B11339" s="40"/>
      <c r="C11339" s="40"/>
      <c r="E11339" s="80"/>
    </row>
    <row r="11340" spans="1:5" x14ac:dyDescent="0.25">
      <c r="A11340" s="40"/>
      <c r="B11340" s="40"/>
      <c r="C11340" s="40"/>
      <c r="E11340" s="80"/>
    </row>
    <row r="11341" spans="1:5" x14ac:dyDescent="0.25">
      <c r="A11341" s="40"/>
      <c r="B11341" s="40"/>
      <c r="C11341" s="40"/>
      <c r="E11341" s="80"/>
    </row>
    <row r="11342" spans="1:5" x14ac:dyDescent="0.25">
      <c r="A11342" s="40"/>
      <c r="B11342" s="40"/>
      <c r="C11342" s="40"/>
      <c r="E11342" s="80"/>
    </row>
    <row r="11343" spans="1:5" x14ac:dyDescent="0.25">
      <c r="A11343" s="40"/>
      <c r="B11343" s="40"/>
      <c r="C11343" s="40"/>
      <c r="E11343" s="80"/>
    </row>
    <row r="11344" spans="1:5" x14ac:dyDescent="0.25">
      <c r="A11344" s="40"/>
      <c r="B11344" s="40"/>
      <c r="C11344" s="40"/>
      <c r="E11344" s="80"/>
    </row>
    <row r="11345" spans="1:5" x14ac:dyDescent="0.25">
      <c r="A11345" s="40"/>
      <c r="B11345" s="40"/>
      <c r="C11345" s="40"/>
      <c r="E11345" s="80"/>
    </row>
    <row r="11346" spans="1:5" x14ac:dyDescent="0.25">
      <c r="A11346" s="40"/>
      <c r="B11346" s="40"/>
      <c r="C11346" s="40"/>
      <c r="E11346" s="80"/>
    </row>
    <row r="11347" spans="1:5" x14ac:dyDescent="0.25">
      <c r="A11347" s="40"/>
      <c r="B11347" s="40"/>
      <c r="C11347" s="40"/>
      <c r="E11347" s="80"/>
    </row>
    <row r="11348" spans="1:5" x14ac:dyDescent="0.25">
      <c r="A11348" s="40"/>
      <c r="B11348" s="40"/>
      <c r="C11348" s="40"/>
      <c r="E11348" s="80"/>
    </row>
    <row r="11349" spans="1:5" x14ac:dyDescent="0.25">
      <c r="A11349" s="40"/>
      <c r="B11349" s="40"/>
      <c r="C11349" s="40"/>
      <c r="E11349" s="80"/>
    </row>
    <row r="11350" spans="1:5" x14ac:dyDescent="0.25">
      <c r="A11350" s="40"/>
      <c r="B11350" s="40"/>
      <c r="C11350" s="40"/>
      <c r="E11350" s="80"/>
    </row>
    <row r="11351" spans="1:5" x14ac:dyDescent="0.25">
      <c r="A11351" s="40"/>
      <c r="B11351" s="40"/>
      <c r="C11351" s="40"/>
      <c r="E11351" s="80"/>
    </row>
    <row r="11352" spans="1:5" x14ac:dyDescent="0.25">
      <c r="A11352" s="40"/>
      <c r="B11352" s="40"/>
      <c r="C11352" s="40"/>
      <c r="E11352" s="80"/>
    </row>
    <row r="11353" spans="1:5" x14ac:dyDescent="0.25">
      <c r="A11353" s="40"/>
      <c r="B11353" s="40"/>
      <c r="C11353" s="40"/>
      <c r="E11353" s="80"/>
    </row>
    <row r="11354" spans="1:5" x14ac:dyDescent="0.25">
      <c r="A11354" s="40"/>
      <c r="B11354" s="40"/>
      <c r="C11354" s="40"/>
      <c r="E11354" s="80"/>
    </row>
    <row r="11355" spans="1:5" x14ac:dyDescent="0.25">
      <c r="A11355" s="40"/>
      <c r="B11355" s="40"/>
      <c r="C11355" s="40"/>
      <c r="E11355" s="80"/>
    </row>
    <row r="11356" spans="1:5" x14ac:dyDescent="0.25">
      <c r="A11356" s="40"/>
      <c r="B11356" s="40"/>
      <c r="C11356" s="40"/>
      <c r="E11356" s="80"/>
    </row>
    <row r="11357" spans="1:5" x14ac:dyDescent="0.25">
      <c r="A11357" s="40"/>
      <c r="B11357" s="40"/>
      <c r="C11357" s="40"/>
      <c r="E11357" s="80"/>
    </row>
    <row r="11358" spans="1:5" x14ac:dyDescent="0.25">
      <c r="A11358" s="40"/>
      <c r="B11358" s="40"/>
      <c r="C11358" s="40"/>
      <c r="E11358" s="80"/>
    </row>
    <row r="11359" spans="1:5" x14ac:dyDescent="0.25">
      <c r="A11359" s="40"/>
      <c r="B11359" s="40"/>
      <c r="C11359" s="40"/>
      <c r="E11359" s="80"/>
    </row>
    <row r="11360" spans="1:5" x14ac:dyDescent="0.25">
      <c r="A11360" s="40"/>
      <c r="B11360" s="40"/>
      <c r="C11360" s="40"/>
      <c r="E11360" s="80"/>
    </row>
    <row r="11361" spans="1:5" x14ac:dyDescent="0.25">
      <c r="A11361" s="40"/>
      <c r="B11361" s="40"/>
      <c r="C11361" s="40"/>
      <c r="E11361" s="80"/>
    </row>
    <row r="11362" spans="1:5" x14ac:dyDescent="0.25">
      <c r="A11362" s="40"/>
      <c r="B11362" s="40"/>
      <c r="C11362" s="40"/>
      <c r="E11362" s="80"/>
    </row>
    <row r="11363" spans="1:5" x14ac:dyDescent="0.25">
      <c r="A11363" s="40"/>
      <c r="B11363" s="40"/>
      <c r="C11363" s="40"/>
      <c r="E11363" s="80"/>
    </row>
    <row r="11364" spans="1:5" x14ac:dyDescent="0.25">
      <c r="A11364" s="40"/>
      <c r="B11364" s="40"/>
      <c r="C11364" s="40"/>
      <c r="E11364" s="80"/>
    </row>
    <row r="11365" spans="1:5" x14ac:dyDescent="0.25">
      <c r="A11365" s="40"/>
      <c r="B11365" s="40"/>
      <c r="C11365" s="40"/>
      <c r="E11365" s="80"/>
    </row>
    <row r="11366" spans="1:5" x14ac:dyDescent="0.25">
      <c r="A11366" s="40"/>
      <c r="B11366" s="40"/>
      <c r="C11366" s="40"/>
      <c r="E11366" s="80"/>
    </row>
    <row r="11367" spans="1:5" x14ac:dyDescent="0.25">
      <c r="A11367" s="40"/>
      <c r="B11367" s="40"/>
      <c r="C11367" s="40"/>
      <c r="E11367" s="80"/>
    </row>
    <row r="11368" spans="1:5" x14ac:dyDescent="0.25">
      <c r="A11368" s="40"/>
      <c r="B11368" s="40"/>
      <c r="C11368" s="40"/>
      <c r="E11368" s="80"/>
    </row>
    <row r="11369" spans="1:5" x14ac:dyDescent="0.25">
      <c r="A11369" s="40"/>
      <c r="B11369" s="40"/>
      <c r="C11369" s="40"/>
      <c r="E11369" s="80"/>
    </row>
    <row r="11370" spans="1:5" x14ac:dyDescent="0.25">
      <c r="A11370" s="40"/>
      <c r="B11370" s="40"/>
      <c r="C11370" s="40"/>
      <c r="E11370" s="80"/>
    </row>
    <row r="11371" spans="1:5" x14ac:dyDescent="0.25">
      <c r="A11371" s="40"/>
      <c r="B11371" s="40"/>
      <c r="C11371" s="40"/>
      <c r="E11371" s="80"/>
    </row>
    <row r="11372" spans="1:5" x14ac:dyDescent="0.25">
      <c r="A11372" s="40"/>
      <c r="B11372" s="40"/>
      <c r="C11372" s="40"/>
      <c r="E11372" s="80"/>
    </row>
    <row r="11373" spans="1:5" x14ac:dyDescent="0.25">
      <c r="A11373" s="40"/>
      <c r="B11373" s="40"/>
      <c r="C11373" s="40"/>
      <c r="E11373" s="80"/>
    </row>
    <row r="11374" spans="1:5" x14ac:dyDescent="0.25">
      <c r="A11374" s="40"/>
      <c r="B11374" s="40"/>
      <c r="C11374" s="40"/>
      <c r="E11374" s="80"/>
    </row>
    <row r="11375" spans="1:5" x14ac:dyDescent="0.25">
      <c r="A11375" s="40"/>
      <c r="B11375" s="40"/>
      <c r="C11375" s="40"/>
      <c r="E11375" s="80"/>
    </row>
    <row r="11376" spans="1:5" x14ac:dyDescent="0.25">
      <c r="A11376" s="40"/>
      <c r="B11376" s="40"/>
      <c r="C11376" s="40"/>
      <c r="E11376" s="80"/>
    </row>
    <row r="11377" spans="1:5" x14ac:dyDescent="0.25">
      <c r="A11377" s="40"/>
      <c r="B11377" s="40"/>
      <c r="C11377" s="40"/>
      <c r="E11377" s="80"/>
    </row>
    <row r="11378" spans="1:5" x14ac:dyDescent="0.25">
      <c r="A11378" s="40"/>
      <c r="B11378" s="40"/>
      <c r="C11378" s="40"/>
      <c r="E11378" s="80"/>
    </row>
    <row r="11379" spans="1:5" x14ac:dyDescent="0.25">
      <c r="A11379" s="40"/>
      <c r="B11379" s="40"/>
      <c r="C11379" s="40"/>
      <c r="E11379" s="80"/>
    </row>
    <row r="11380" spans="1:5" x14ac:dyDescent="0.25">
      <c r="A11380" s="40"/>
      <c r="B11380" s="40"/>
      <c r="C11380" s="40"/>
      <c r="E11380" s="80"/>
    </row>
    <row r="11381" spans="1:5" x14ac:dyDescent="0.25">
      <c r="A11381" s="40"/>
      <c r="B11381" s="40"/>
      <c r="C11381" s="40"/>
      <c r="E11381" s="80"/>
    </row>
    <row r="11382" spans="1:5" x14ac:dyDescent="0.25">
      <c r="A11382" s="40"/>
      <c r="B11382" s="40"/>
      <c r="C11382" s="40"/>
      <c r="E11382" s="80"/>
    </row>
    <row r="11383" spans="1:5" x14ac:dyDescent="0.25">
      <c r="A11383" s="40"/>
      <c r="B11383" s="40"/>
      <c r="C11383" s="40"/>
      <c r="E11383" s="80"/>
    </row>
    <row r="11384" spans="1:5" x14ac:dyDescent="0.25">
      <c r="A11384" s="40"/>
      <c r="B11384" s="40"/>
      <c r="C11384" s="40"/>
      <c r="E11384" s="80"/>
    </row>
    <row r="11385" spans="1:5" x14ac:dyDescent="0.25">
      <c r="A11385" s="40"/>
      <c r="B11385" s="40"/>
      <c r="C11385" s="40"/>
      <c r="E11385" s="80"/>
    </row>
    <row r="11386" spans="1:5" x14ac:dyDescent="0.25">
      <c r="A11386" s="40"/>
      <c r="B11386" s="40"/>
      <c r="C11386" s="40"/>
      <c r="E11386" s="80"/>
    </row>
    <row r="11387" spans="1:5" x14ac:dyDescent="0.25">
      <c r="A11387" s="40"/>
      <c r="B11387" s="40"/>
      <c r="C11387" s="40"/>
      <c r="E11387" s="80"/>
    </row>
    <row r="11388" spans="1:5" x14ac:dyDescent="0.25">
      <c r="A11388" s="40"/>
      <c r="B11388" s="40"/>
      <c r="C11388" s="40"/>
      <c r="E11388" s="80"/>
    </row>
    <row r="11389" spans="1:5" x14ac:dyDescent="0.25">
      <c r="A11389" s="40"/>
      <c r="B11389" s="40"/>
      <c r="C11389" s="40"/>
      <c r="E11389" s="80"/>
    </row>
    <row r="11390" spans="1:5" x14ac:dyDescent="0.25">
      <c r="A11390" s="40"/>
      <c r="B11390" s="40"/>
      <c r="C11390" s="40"/>
      <c r="E11390" s="80"/>
    </row>
    <row r="11391" spans="1:5" x14ac:dyDescent="0.25">
      <c r="A11391" s="40"/>
      <c r="B11391" s="40"/>
      <c r="C11391" s="40"/>
      <c r="E11391" s="80"/>
    </row>
    <row r="11392" spans="1:5" x14ac:dyDescent="0.25">
      <c r="A11392" s="40"/>
      <c r="B11392" s="40"/>
      <c r="C11392" s="40"/>
      <c r="E11392" s="80"/>
    </row>
    <row r="11393" spans="1:5" x14ac:dyDescent="0.25">
      <c r="A11393" s="40"/>
      <c r="B11393" s="40"/>
      <c r="C11393" s="40"/>
      <c r="E11393" s="80"/>
    </row>
    <row r="11394" spans="1:5" x14ac:dyDescent="0.25">
      <c r="A11394" s="40"/>
      <c r="B11394" s="40"/>
      <c r="C11394" s="40"/>
      <c r="E11394" s="80"/>
    </row>
    <row r="11395" spans="1:5" x14ac:dyDescent="0.25">
      <c r="A11395" s="40"/>
      <c r="B11395" s="40"/>
      <c r="C11395" s="40"/>
      <c r="E11395" s="80"/>
    </row>
    <row r="11396" spans="1:5" x14ac:dyDescent="0.25">
      <c r="A11396" s="40"/>
      <c r="B11396" s="40"/>
      <c r="C11396" s="40"/>
      <c r="E11396" s="80"/>
    </row>
    <row r="11397" spans="1:5" x14ac:dyDescent="0.25">
      <c r="A11397" s="40"/>
      <c r="B11397" s="40"/>
      <c r="C11397" s="40"/>
      <c r="E11397" s="80"/>
    </row>
    <row r="11398" spans="1:5" x14ac:dyDescent="0.25">
      <c r="A11398" s="40"/>
      <c r="B11398" s="40"/>
      <c r="C11398" s="40"/>
      <c r="E11398" s="80"/>
    </row>
    <row r="11399" spans="1:5" x14ac:dyDescent="0.25">
      <c r="A11399" s="40"/>
      <c r="B11399" s="40"/>
      <c r="C11399" s="40"/>
      <c r="E11399" s="80"/>
    </row>
    <row r="11400" spans="1:5" x14ac:dyDescent="0.25">
      <c r="A11400" s="40"/>
      <c r="B11400" s="40"/>
      <c r="C11400" s="40"/>
      <c r="E11400" s="80"/>
    </row>
    <row r="11401" spans="1:5" x14ac:dyDescent="0.25">
      <c r="A11401" s="40"/>
      <c r="B11401" s="40"/>
      <c r="C11401" s="40"/>
      <c r="E11401" s="80"/>
    </row>
    <row r="11402" spans="1:5" x14ac:dyDescent="0.25">
      <c r="A11402" s="40"/>
      <c r="B11402" s="40"/>
      <c r="C11402" s="40"/>
      <c r="E11402" s="80"/>
    </row>
    <row r="11403" spans="1:5" x14ac:dyDescent="0.25">
      <c r="A11403" s="40"/>
      <c r="B11403" s="40"/>
      <c r="C11403" s="40"/>
      <c r="E11403" s="80"/>
    </row>
    <row r="11404" spans="1:5" x14ac:dyDescent="0.25">
      <c r="A11404" s="40"/>
      <c r="B11404" s="40"/>
      <c r="C11404" s="40"/>
      <c r="E11404" s="80"/>
    </row>
    <row r="11405" spans="1:5" x14ac:dyDescent="0.25">
      <c r="A11405" s="40"/>
      <c r="B11405" s="40"/>
      <c r="C11405" s="40"/>
      <c r="E11405" s="80"/>
    </row>
    <row r="11406" spans="1:5" x14ac:dyDescent="0.25">
      <c r="A11406" s="40"/>
      <c r="B11406" s="40"/>
      <c r="C11406" s="40"/>
      <c r="E11406" s="80"/>
    </row>
    <row r="11407" spans="1:5" x14ac:dyDescent="0.25">
      <c r="A11407" s="40"/>
      <c r="B11407" s="40"/>
      <c r="C11407" s="40"/>
      <c r="E11407" s="80"/>
    </row>
    <row r="11408" spans="1:5" x14ac:dyDescent="0.25">
      <c r="A11408" s="40"/>
      <c r="B11408" s="40"/>
      <c r="C11408" s="40"/>
      <c r="E11408" s="80"/>
    </row>
    <row r="11409" spans="1:5" x14ac:dyDescent="0.25">
      <c r="A11409" s="40"/>
      <c r="B11409" s="40"/>
      <c r="C11409" s="40"/>
      <c r="E11409" s="80"/>
    </row>
    <row r="11410" spans="1:5" x14ac:dyDescent="0.25">
      <c r="A11410" s="40"/>
      <c r="B11410" s="40"/>
      <c r="C11410" s="40"/>
      <c r="E11410" s="80"/>
    </row>
    <row r="11411" spans="1:5" x14ac:dyDescent="0.25">
      <c r="A11411" s="40"/>
      <c r="B11411" s="40"/>
      <c r="C11411" s="40"/>
      <c r="E11411" s="80"/>
    </row>
    <row r="11412" spans="1:5" x14ac:dyDescent="0.25">
      <c r="A11412" s="40"/>
      <c r="B11412" s="40"/>
      <c r="C11412" s="40"/>
      <c r="E11412" s="80"/>
    </row>
    <row r="11413" spans="1:5" x14ac:dyDescent="0.25">
      <c r="A11413" s="40"/>
      <c r="B11413" s="40"/>
      <c r="C11413" s="40"/>
      <c r="E11413" s="80"/>
    </row>
    <row r="11414" spans="1:5" x14ac:dyDescent="0.25">
      <c r="A11414" s="40"/>
      <c r="B11414" s="40"/>
      <c r="C11414" s="40"/>
      <c r="E11414" s="80"/>
    </row>
    <row r="11415" spans="1:5" x14ac:dyDescent="0.25">
      <c r="A11415" s="40"/>
      <c r="B11415" s="40"/>
      <c r="C11415" s="40"/>
      <c r="E11415" s="80"/>
    </row>
    <row r="11416" spans="1:5" x14ac:dyDescent="0.25">
      <c r="A11416" s="40"/>
      <c r="B11416" s="40"/>
      <c r="C11416" s="40"/>
      <c r="E11416" s="80"/>
    </row>
    <row r="11417" spans="1:5" x14ac:dyDescent="0.25">
      <c r="A11417" s="40"/>
      <c r="B11417" s="40"/>
      <c r="C11417" s="40"/>
      <c r="E11417" s="80"/>
    </row>
    <row r="11418" spans="1:5" x14ac:dyDescent="0.25">
      <c r="A11418" s="40"/>
      <c r="B11418" s="40"/>
      <c r="C11418" s="40"/>
      <c r="E11418" s="80"/>
    </row>
    <row r="11419" spans="1:5" x14ac:dyDescent="0.25">
      <c r="A11419" s="40"/>
      <c r="B11419" s="40"/>
      <c r="C11419" s="40"/>
      <c r="E11419" s="80"/>
    </row>
    <row r="11420" spans="1:5" x14ac:dyDescent="0.25">
      <c r="A11420" s="40"/>
      <c r="B11420" s="40"/>
      <c r="C11420" s="40"/>
      <c r="E11420" s="80"/>
    </row>
    <row r="11421" spans="1:5" x14ac:dyDescent="0.25">
      <c r="A11421" s="40"/>
      <c r="B11421" s="40"/>
      <c r="C11421" s="40"/>
      <c r="E11421" s="80"/>
    </row>
    <row r="11422" spans="1:5" x14ac:dyDescent="0.25">
      <c r="A11422" s="40"/>
      <c r="B11422" s="40"/>
      <c r="C11422" s="40"/>
      <c r="E11422" s="80"/>
    </row>
    <row r="11423" spans="1:5" x14ac:dyDescent="0.25">
      <c r="A11423" s="40"/>
      <c r="B11423" s="40"/>
      <c r="C11423" s="40"/>
      <c r="E11423" s="80"/>
    </row>
    <row r="11424" spans="1:5" x14ac:dyDescent="0.25">
      <c r="A11424" s="40"/>
      <c r="B11424" s="40"/>
      <c r="C11424" s="40"/>
      <c r="E11424" s="80"/>
    </row>
    <row r="11425" spans="1:5" x14ac:dyDescent="0.25">
      <c r="A11425" s="40"/>
      <c r="B11425" s="40"/>
      <c r="C11425" s="40"/>
      <c r="E11425" s="80"/>
    </row>
    <row r="11426" spans="1:5" x14ac:dyDescent="0.25">
      <c r="A11426" s="40"/>
      <c r="B11426" s="40"/>
      <c r="C11426" s="40"/>
      <c r="E11426" s="80"/>
    </row>
    <row r="11427" spans="1:5" x14ac:dyDescent="0.25">
      <c r="A11427" s="40"/>
      <c r="B11427" s="40"/>
      <c r="C11427" s="40"/>
      <c r="E11427" s="80"/>
    </row>
    <row r="11428" spans="1:5" x14ac:dyDescent="0.25">
      <c r="A11428" s="40"/>
      <c r="B11428" s="40"/>
      <c r="C11428" s="40"/>
      <c r="E11428" s="80"/>
    </row>
    <row r="11429" spans="1:5" x14ac:dyDescent="0.25">
      <c r="A11429" s="40"/>
      <c r="B11429" s="40"/>
      <c r="C11429" s="40"/>
      <c r="E11429" s="80"/>
    </row>
    <row r="11430" spans="1:5" x14ac:dyDescent="0.25">
      <c r="A11430" s="40"/>
      <c r="B11430" s="40"/>
      <c r="C11430" s="40"/>
      <c r="E11430" s="80"/>
    </row>
    <row r="11431" spans="1:5" x14ac:dyDescent="0.25">
      <c r="A11431" s="40"/>
      <c r="B11431" s="40"/>
      <c r="C11431" s="40"/>
      <c r="E11431" s="80"/>
    </row>
    <row r="11432" spans="1:5" x14ac:dyDescent="0.25">
      <c r="A11432" s="40"/>
      <c r="B11432" s="40"/>
      <c r="C11432" s="40"/>
      <c r="E11432" s="80"/>
    </row>
    <row r="11433" spans="1:5" x14ac:dyDescent="0.25">
      <c r="A11433" s="40"/>
      <c r="B11433" s="40"/>
      <c r="C11433" s="40"/>
      <c r="E11433" s="80"/>
    </row>
    <row r="11434" spans="1:5" x14ac:dyDescent="0.25">
      <c r="A11434" s="40"/>
      <c r="B11434" s="40"/>
      <c r="C11434" s="40"/>
      <c r="E11434" s="80"/>
    </row>
    <row r="11435" spans="1:5" x14ac:dyDescent="0.25">
      <c r="A11435" s="40"/>
      <c r="B11435" s="40"/>
      <c r="C11435" s="40"/>
      <c r="E11435" s="80"/>
    </row>
    <row r="11436" spans="1:5" x14ac:dyDescent="0.25">
      <c r="A11436" s="40"/>
      <c r="B11436" s="40"/>
      <c r="C11436" s="40"/>
      <c r="E11436" s="80"/>
    </row>
    <row r="11437" spans="1:5" x14ac:dyDescent="0.25">
      <c r="A11437" s="40"/>
      <c r="B11437" s="40"/>
      <c r="C11437" s="40"/>
      <c r="E11437" s="80"/>
    </row>
    <row r="11438" spans="1:5" x14ac:dyDescent="0.25">
      <c r="A11438" s="40"/>
      <c r="B11438" s="40"/>
      <c r="C11438" s="40"/>
      <c r="E11438" s="80"/>
    </row>
    <row r="11439" spans="1:5" x14ac:dyDescent="0.25">
      <c r="A11439" s="40"/>
      <c r="B11439" s="40"/>
      <c r="C11439" s="40"/>
      <c r="E11439" s="80"/>
    </row>
    <row r="11440" spans="1:5" x14ac:dyDescent="0.25">
      <c r="A11440" s="40"/>
      <c r="B11440" s="40"/>
      <c r="C11440" s="40"/>
      <c r="E11440" s="80"/>
    </row>
    <row r="11441" spans="1:5" x14ac:dyDescent="0.25">
      <c r="A11441" s="40"/>
      <c r="B11441" s="40"/>
      <c r="C11441" s="40"/>
      <c r="E11441" s="80"/>
    </row>
    <row r="11442" spans="1:5" x14ac:dyDescent="0.25">
      <c r="A11442" s="40"/>
      <c r="B11442" s="40"/>
      <c r="C11442" s="40"/>
      <c r="E11442" s="80"/>
    </row>
    <row r="11443" spans="1:5" x14ac:dyDescent="0.25">
      <c r="A11443" s="40"/>
      <c r="B11443" s="40"/>
      <c r="C11443" s="40"/>
      <c r="E11443" s="80"/>
    </row>
    <row r="11444" spans="1:5" x14ac:dyDescent="0.25">
      <c r="A11444" s="40"/>
      <c r="B11444" s="40"/>
      <c r="C11444" s="40"/>
      <c r="E11444" s="80"/>
    </row>
    <row r="11445" spans="1:5" x14ac:dyDescent="0.25">
      <c r="A11445" s="40"/>
      <c r="B11445" s="40"/>
      <c r="C11445" s="40"/>
      <c r="E11445" s="80"/>
    </row>
    <row r="11446" spans="1:5" x14ac:dyDescent="0.25">
      <c r="A11446" s="40"/>
      <c r="B11446" s="40"/>
      <c r="C11446" s="40"/>
      <c r="E11446" s="80"/>
    </row>
    <row r="11447" spans="1:5" x14ac:dyDescent="0.25">
      <c r="A11447" s="40"/>
      <c r="B11447" s="40"/>
      <c r="C11447" s="40"/>
      <c r="E11447" s="80"/>
    </row>
    <row r="11448" spans="1:5" x14ac:dyDescent="0.25">
      <c r="A11448" s="40"/>
      <c r="B11448" s="40"/>
      <c r="C11448" s="40"/>
      <c r="E11448" s="80"/>
    </row>
    <row r="11449" spans="1:5" x14ac:dyDescent="0.25">
      <c r="A11449" s="40"/>
      <c r="B11449" s="40"/>
      <c r="C11449" s="40"/>
      <c r="E11449" s="80"/>
    </row>
    <row r="11450" spans="1:5" x14ac:dyDescent="0.25">
      <c r="A11450" s="40"/>
      <c r="B11450" s="40"/>
      <c r="C11450" s="40"/>
      <c r="E11450" s="80"/>
    </row>
    <row r="11451" spans="1:5" x14ac:dyDescent="0.25">
      <c r="A11451" s="40"/>
      <c r="B11451" s="40"/>
      <c r="C11451" s="40"/>
      <c r="E11451" s="80"/>
    </row>
    <row r="11452" spans="1:5" x14ac:dyDescent="0.25">
      <c r="A11452" s="40"/>
      <c r="B11452" s="40"/>
      <c r="C11452" s="40"/>
      <c r="E11452" s="80"/>
    </row>
    <row r="11453" spans="1:5" x14ac:dyDescent="0.25">
      <c r="A11453" s="40"/>
      <c r="B11453" s="40"/>
      <c r="C11453" s="40"/>
      <c r="E11453" s="80"/>
    </row>
    <row r="11454" spans="1:5" x14ac:dyDescent="0.25">
      <c r="A11454" s="40"/>
      <c r="B11454" s="40"/>
      <c r="C11454" s="40"/>
      <c r="E11454" s="80"/>
    </row>
    <row r="11455" spans="1:5" x14ac:dyDescent="0.25">
      <c r="A11455" s="40"/>
      <c r="B11455" s="40"/>
      <c r="C11455" s="40"/>
      <c r="E11455" s="80"/>
    </row>
    <row r="11456" spans="1:5" x14ac:dyDescent="0.25">
      <c r="A11456" s="40"/>
      <c r="B11456" s="40"/>
      <c r="C11456" s="40"/>
      <c r="E11456" s="80"/>
    </row>
    <row r="11457" spans="1:5" x14ac:dyDescent="0.25">
      <c r="A11457" s="40"/>
      <c r="B11457" s="40"/>
      <c r="C11457" s="40"/>
      <c r="E11457" s="80"/>
    </row>
    <row r="11458" spans="1:5" x14ac:dyDescent="0.25">
      <c r="A11458" s="40"/>
      <c r="B11458" s="40"/>
      <c r="C11458" s="40"/>
      <c r="E11458" s="80"/>
    </row>
    <row r="11459" spans="1:5" x14ac:dyDescent="0.25">
      <c r="A11459" s="40"/>
      <c r="B11459" s="40"/>
      <c r="C11459" s="40"/>
      <c r="E11459" s="80"/>
    </row>
    <row r="11460" spans="1:5" x14ac:dyDescent="0.25">
      <c r="A11460" s="40"/>
      <c r="B11460" s="40"/>
      <c r="C11460" s="40"/>
      <c r="E11460" s="80"/>
    </row>
    <row r="11461" spans="1:5" x14ac:dyDescent="0.25">
      <c r="A11461" s="40"/>
      <c r="B11461" s="40"/>
      <c r="C11461" s="40"/>
      <c r="E11461" s="80"/>
    </row>
    <row r="11462" spans="1:5" x14ac:dyDescent="0.25">
      <c r="A11462" s="40"/>
      <c r="B11462" s="40"/>
      <c r="C11462" s="40"/>
      <c r="E11462" s="80"/>
    </row>
    <row r="11463" spans="1:5" x14ac:dyDescent="0.25">
      <c r="A11463" s="40"/>
      <c r="B11463" s="40"/>
      <c r="C11463" s="40"/>
      <c r="E11463" s="80"/>
    </row>
    <row r="11464" spans="1:5" x14ac:dyDescent="0.25">
      <c r="A11464" s="40"/>
      <c r="B11464" s="40"/>
      <c r="C11464" s="40"/>
      <c r="E11464" s="80"/>
    </row>
    <row r="11465" spans="1:5" x14ac:dyDescent="0.25">
      <c r="A11465" s="40"/>
      <c r="B11465" s="40"/>
      <c r="C11465" s="40"/>
      <c r="E11465" s="80"/>
    </row>
    <row r="11466" spans="1:5" x14ac:dyDescent="0.25">
      <c r="A11466" s="40"/>
      <c r="B11466" s="40"/>
      <c r="C11466" s="40"/>
      <c r="E11466" s="80"/>
    </row>
    <row r="11467" spans="1:5" x14ac:dyDescent="0.25">
      <c r="A11467" s="40"/>
      <c r="B11467" s="40"/>
      <c r="C11467" s="40"/>
      <c r="E11467" s="80"/>
    </row>
    <row r="11468" spans="1:5" x14ac:dyDescent="0.25">
      <c r="A11468" s="40"/>
      <c r="B11468" s="40"/>
      <c r="C11468" s="40"/>
      <c r="E11468" s="80"/>
    </row>
    <row r="11469" spans="1:5" x14ac:dyDescent="0.25">
      <c r="A11469" s="40"/>
      <c r="B11469" s="40"/>
      <c r="C11469" s="40"/>
      <c r="E11469" s="80"/>
    </row>
    <row r="11470" spans="1:5" x14ac:dyDescent="0.25">
      <c r="A11470" s="40"/>
      <c r="B11470" s="40"/>
      <c r="C11470" s="40"/>
      <c r="E11470" s="80"/>
    </row>
    <row r="11471" spans="1:5" x14ac:dyDescent="0.25">
      <c r="A11471" s="40"/>
      <c r="B11471" s="40"/>
      <c r="C11471" s="40"/>
      <c r="E11471" s="80"/>
    </row>
    <row r="11472" spans="1:5" x14ac:dyDescent="0.25">
      <c r="A11472" s="40"/>
      <c r="B11472" s="40"/>
      <c r="C11472" s="40"/>
      <c r="E11472" s="80"/>
    </row>
    <row r="11473" spans="1:5" x14ac:dyDescent="0.25">
      <c r="A11473" s="40"/>
      <c r="B11473" s="40"/>
      <c r="C11473" s="40"/>
      <c r="E11473" s="80"/>
    </row>
    <row r="11474" spans="1:5" x14ac:dyDescent="0.25">
      <c r="A11474" s="40"/>
      <c r="B11474" s="40"/>
      <c r="C11474" s="40"/>
      <c r="E11474" s="80"/>
    </row>
    <row r="11475" spans="1:5" x14ac:dyDescent="0.25">
      <c r="A11475" s="40"/>
      <c r="B11475" s="40"/>
      <c r="C11475" s="40"/>
      <c r="E11475" s="80"/>
    </row>
    <row r="11476" spans="1:5" x14ac:dyDescent="0.25">
      <c r="A11476" s="40"/>
      <c r="B11476" s="40"/>
      <c r="C11476" s="40"/>
      <c r="E11476" s="80"/>
    </row>
    <row r="11477" spans="1:5" x14ac:dyDescent="0.25">
      <c r="A11477" s="40"/>
      <c r="B11477" s="40"/>
      <c r="C11477" s="40"/>
      <c r="E11477" s="80"/>
    </row>
    <row r="11478" spans="1:5" x14ac:dyDescent="0.25">
      <c r="A11478" s="40"/>
      <c r="B11478" s="40"/>
      <c r="C11478" s="40"/>
      <c r="E11478" s="80"/>
    </row>
    <row r="11479" spans="1:5" x14ac:dyDescent="0.25">
      <c r="A11479" s="40"/>
      <c r="B11479" s="40"/>
      <c r="C11479" s="40"/>
      <c r="E11479" s="80"/>
    </row>
    <row r="11480" spans="1:5" x14ac:dyDescent="0.25">
      <c r="A11480" s="40"/>
      <c r="B11480" s="40"/>
      <c r="C11480" s="40"/>
      <c r="E11480" s="80"/>
    </row>
    <row r="11481" spans="1:5" x14ac:dyDescent="0.25">
      <c r="A11481" s="40"/>
      <c r="B11481" s="40"/>
      <c r="C11481" s="40"/>
      <c r="E11481" s="80"/>
    </row>
    <row r="11482" spans="1:5" x14ac:dyDescent="0.25">
      <c r="A11482" s="40"/>
      <c r="B11482" s="40"/>
      <c r="C11482" s="40"/>
      <c r="E11482" s="80"/>
    </row>
    <row r="11483" spans="1:5" x14ac:dyDescent="0.25">
      <c r="A11483" s="40"/>
      <c r="B11483" s="40"/>
      <c r="C11483" s="40"/>
      <c r="E11483" s="80"/>
    </row>
    <row r="11484" spans="1:5" x14ac:dyDescent="0.25">
      <c r="A11484" s="40"/>
      <c r="B11484" s="40"/>
      <c r="C11484" s="40"/>
      <c r="E11484" s="80"/>
    </row>
    <row r="11485" spans="1:5" x14ac:dyDescent="0.25">
      <c r="A11485" s="40"/>
      <c r="B11485" s="40"/>
      <c r="C11485" s="40"/>
      <c r="E11485" s="80"/>
    </row>
    <row r="11486" spans="1:5" x14ac:dyDescent="0.25">
      <c r="A11486" s="40"/>
      <c r="B11486" s="40"/>
      <c r="C11486" s="40"/>
      <c r="E11486" s="80"/>
    </row>
    <row r="11487" spans="1:5" x14ac:dyDescent="0.25">
      <c r="A11487" s="40"/>
      <c r="B11487" s="40"/>
      <c r="C11487" s="40"/>
      <c r="E11487" s="80"/>
    </row>
    <row r="11488" spans="1:5" x14ac:dyDescent="0.25">
      <c r="A11488" s="40"/>
      <c r="B11488" s="40"/>
      <c r="C11488" s="40"/>
      <c r="E11488" s="80"/>
    </row>
    <row r="11489" spans="1:5" x14ac:dyDescent="0.25">
      <c r="A11489" s="40"/>
      <c r="B11489" s="40"/>
      <c r="C11489" s="40"/>
      <c r="E11489" s="80"/>
    </row>
    <row r="11490" spans="1:5" x14ac:dyDescent="0.25">
      <c r="A11490" s="40"/>
      <c r="B11490" s="40"/>
      <c r="C11490" s="40"/>
      <c r="E11490" s="80"/>
    </row>
    <row r="11491" spans="1:5" x14ac:dyDescent="0.25">
      <c r="A11491" s="40"/>
      <c r="B11491" s="40"/>
      <c r="C11491" s="40"/>
      <c r="E11491" s="80"/>
    </row>
    <row r="11492" spans="1:5" x14ac:dyDescent="0.25">
      <c r="A11492" s="40"/>
      <c r="B11492" s="40"/>
      <c r="C11492" s="40"/>
      <c r="E11492" s="80"/>
    </row>
    <row r="11493" spans="1:5" x14ac:dyDescent="0.25">
      <c r="A11493" s="40"/>
      <c r="B11493" s="40"/>
      <c r="C11493" s="40"/>
      <c r="E11493" s="80"/>
    </row>
    <row r="11494" spans="1:5" x14ac:dyDescent="0.25">
      <c r="A11494" s="40"/>
      <c r="B11494" s="40"/>
      <c r="C11494" s="40"/>
      <c r="E11494" s="80"/>
    </row>
    <row r="11495" spans="1:5" x14ac:dyDescent="0.25">
      <c r="A11495" s="40"/>
      <c r="B11495" s="40"/>
      <c r="C11495" s="40"/>
      <c r="E11495" s="80"/>
    </row>
    <row r="11496" spans="1:5" x14ac:dyDescent="0.25">
      <c r="A11496" s="40"/>
      <c r="B11496" s="40"/>
      <c r="C11496" s="40"/>
      <c r="E11496" s="80"/>
    </row>
    <row r="11497" spans="1:5" x14ac:dyDescent="0.25">
      <c r="A11497" s="40"/>
      <c r="B11497" s="40"/>
      <c r="C11497" s="40"/>
      <c r="E11497" s="80"/>
    </row>
    <row r="11498" spans="1:5" x14ac:dyDescent="0.25">
      <c r="A11498" s="40"/>
      <c r="B11498" s="40"/>
      <c r="C11498" s="40"/>
      <c r="E11498" s="80"/>
    </row>
    <row r="11499" spans="1:5" x14ac:dyDescent="0.25">
      <c r="A11499" s="40"/>
      <c r="B11499" s="40"/>
      <c r="C11499" s="40"/>
      <c r="E11499" s="80"/>
    </row>
    <row r="11500" spans="1:5" x14ac:dyDescent="0.25">
      <c r="A11500" s="40"/>
      <c r="B11500" s="40"/>
      <c r="C11500" s="40"/>
      <c r="E11500" s="80"/>
    </row>
    <row r="11501" spans="1:5" x14ac:dyDescent="0.25">
      <c r="A11501" s="40"/>
      <c r="B11501" s="40"/>
      <c r="C11501" s="40"/>
      <c r="E11501" s="80"/>
    </row>
    <row r="11502" spans="1:5" x14ac:dyDescent="0.25">
      <c r="A11502" s="40"/>
      <c r="B11502" s="40"/>
      <c r="C11502" s="40"/>
      <c r="E11502" s="80"/>
    </row>
    <row r="11503" spans="1:5" x14ac:dyDescent="0.25">
      <c r="A11503" s="40"/>
      <c r="B11503" s="40"/>
      <c r="C11503" s="40"/>
      <c r="E11503" s="80"/>
    </row>
    <row r="11504" spans="1:5" x14ac:dyDescent="0.25">
      <c r="A11504" s="40"/>
      <c r="B11504" s="40"/>
      <c r="C11504" s="40"/>
      <c r="E11504" s="80"/>
    </row>
    <row r="11505" spans="1:5" x14ac:dyDescent="0.25">
      <c r="A11505" s="40"/>
      <c r="B11505" s="40"/>
      <c r="C11505" s="40"/>
      <c r="E11505" s="80"/>
    </row>
    <row r="11506" spans="1:5" x14ac:dyDescent="0.25">
      <c r="A11506" s="40"/>
      <c r="B11506" s="40"/>
      <c r="C11506" s="40"/>
      <c r="E11506" s="80"/>
    </row>
    <row r="11507" spans="1:5" x14ac:dyDescent="0.25">
      <c r="A11507" s="40"/>
      <c r="B11507" s="40"/>
      <c r="C11507" s="40"/>
      <c r="E11507" s="80"/>
    </row>
    <row r="11508" spans="1:5" x14ac:dyDescent="0.25">
      <c r="A11508" s="40"/>
      <c r="B11508" s="40"/>
      <c r="C11508" s="40"/>
      <c r="E11508" s="80"/>
    </row>
    <row r="11509" spans="1:5" x14ac:dyDescent="0.25">
      <c r="A11509" s="40"/>
      <c r="B11509" s="40"/>
      <c r="C11509" s="40"/>
      <c r="E11509" s="80"/>
    </row>
    <row r="11510" spans="1:5" x14ac:dyDescent="0.25">
      <c r="A11510" s="40"/>
      <c r="B11510" s="40"/>
      <c r="C11510" s="40"/>
      <c r="E11510" s="80"/>
    </row>
    <row r="11511" spans="1:5" x14ac:dyDescent="0.25">
      <c r="A11511" s="40"/>
      <c r="B11511" s="40"/>
      <c r="C11511" s="40"/>
      <c r="E11511" s="80"/>
    </row>
    <row r="11512" spans="1:5" x14ac:dyDescent="0.25">
      <c r="A11512" s="40"/>
      <c r="B11512" s="40"/>
      <c r="C11512" s="40"/>
      <c r="E11512" s="80"/>
    </row>
    <row r="11513" spans="1:5" x14ac:dyDescent="0.25">
      <c r="A11513" s="40"/>
      <c r="B11513" s="40"/>
      <c r="C11513" s="40"/>
      <c r="E11513" s="80"/>
    </row>
    <row r="11514" spans="1:5" x14ac:dyDescent="0.25">
      <c r="A11514" s="40"/>
      <c r="B11514" s="40"/>
      <c r="C11514" s="40"/>
      <c r="E11514" s="80"/>
    </row>
    <row r="11515" spans="1:5" x14ac:dyDescent="0.25">
      <c r="A11515" s="40"/>
      <c r="B11515" s="40"/>
      <c r="C11515" s="40"/>
      <c r="E11515" s="80"/>
    </row>
    <row r="11516" spans="1:5" x14ac:dyDescent="0.25">
      <c r="A11516" s="40"/>
      <c r="B11516" s="40"/>
      <c r="C11516" s="40"/>
      <c r="E11516" s="80"/>
    </row>
    <row r="11517" spans="1:5" x14ac:dyDescent="0.25">
      <c r="A11517" s="40"/>
      <c r="B11517" s="40"/>
      <c r="C11517" s="40"/>
      <c r="E11517" s="80"/>
    </row>
    <row r="11518" spans="1:5" x14ac:dyDescent="0.25">
      <c r="A11518" s="40"/>
      <c r="B11518" s="40"/>
      <c r="C11518" s="40"/>
      <c r="E11518" s="80"/>
    </row>
    <row r="11519" spans="1:5" x14ac:dyDescent="0.25">
      <c r="A11519" s="40"/>
      <c r="B11519" s="40"/>
      <c r="C11519" s="40"/>
      <c r="E11519" s="80"/>
    </row>
    <row r="11520" spans="1:5" x14ac:dyDescent="0.25">
      <c r="A11520" s="40"/>
      <c r="B11520" s="40"/>
      <c r="C11520" s="40"/>
      <c r="E11520" s="80"/>
    </row>
    <row r="11521" spans="1:5" x14ac:dyDescent="0.25">
      <c r="A11521" s="40"/>
      <c r="B11521" s="40"/>
      <c r="C11521" s="40"/>
      <c r="E11521" s="80"/>
    </row>
    <row r="11522" spans="1:5" x14ac:dyDescent="0.25">
      <c r="A11522" s="40"/>
      <c r="B11522" s="40"/>
      <c r="C11522" s="40"/>
      <c r="E11522" s="80"/>
    </row>
    <row r="11523" spans="1:5" x14ac:dyDescent="0.25">
      <c r="A11523" s="40"/>
      <c r="B11523" s="40"/>
      <c r="C11523" s="40"/>
      <c r="E11523" s="80"/>
    </row>
    <row r="11524" spans="1:5" x14ac:dyDescent="0.25">
      <c r="A11524" s="40"/>
      <c r="B11524" s="40"/>
      <c r="C11524" s="40"/>
      <c r="E11524" s="80"/>
    </row>
    <row r="11525" spans="1:5" x14ac:dyDescent="0.25">
      <c r="A11525" s="40"/>
      <c r="B11525" s="40"/>
      <c r="C11525" s="40"/>
      <c r="E11525" s="80"/>
    </row>
    <row r="11526" spans="1:5" x14ac:dyDescent="0.25">
      <c r="A11526" s="40"/>
      <c r="B11526" s="40"/>
      <c r="C11526" s="40"/>
      <c r="E11526" s="80"/>
    </row>
    <row r="11527" spans="1:5" x14ac:dyDescent="0.25">
      <c r="A11527" s="40"/>
      <c r="B11527" s="40"/>
      <c r="C11527" s="40"/>
      <c r="E11527" s="80"/>
    </row>
    <row r="11528" spans="1:5" x14ac:dyDescent="0.25">
      <c r="A11528" s="40"/>
      <c r="B11528" s="40"/>
      <c r="C11528" s="40"/>
      <c r="E11528" s="80"/>
    </row>
    <row r="11529" spans="1:5" x14ac:dyDescent="0.25">
      <c r="A11529" s="40"/>
      <c r="B11529" s="40"/>
      <c r="C11529" s="40"/>
      <c r="E11529" s="80"/>
    </row>
    <row r="11530" spans="1:5" x14ac:dyDescent="0.25">
      <c r="A11530" s="40"/>
      <c r="B11530" s="40"/>
      <c r="C11530" s="40"/>
      <c r="E11530" s="80"/>
    </row>
    <row r="11531" spans="1:5" x14ac:dyDescent="0.25">
      <c r="A11531" s="40"/>
      <c r="B11531" s="40"/>
      <c r="C11531" s="40"/>
      <c r="E11531" s="80"/>
    </row>
    <row r="11532" spans="1:5" x14ac:dyDescent="0.25">
      <c r="A11532" s="40"/>
      <c r="B11532" s="40"/>
      <c r="C11532" s="40"/>
      <c r="E11532" s="80"/>
    </row>
    <row r="11533" spans="1:5" x14ac:dyDescent="0.25">
      <c r="A11533" s="40"/>
      <c r="B11533" s="40"/>
      <c r="C11533" s="40"/>
      <c r="E11533" s="80"/>
    </row>
    <row r="11534" spans="1:5" x14ac:dyDescent="0.25">
      <c r="A11534" s="40"/>
      <c r="B11534" s="40"/>
      <c r="C11534" s="40"/>
      <c r="E11534" s="80"/>
    </row>
    <row r="11535" spans="1:5" x14ac:dyDescent="0.25">
      <c r="A11535" s="40"/>
      <c r="B11535" s="40"/>
      <c r="C11535" s="40"/>
      <c r="E11535" s="80"/>
    </row>
    <row r="11536" spans="1:5" x14ac:dyDescent="0.25">
      <c r="A11536" s="40"/>
      <c r="B11536" s="40"/>
      <c r="C11536" s="40"/>
      <c r="E11536" s="80"/>
    </row>
    <row r="11537" spans="1:5" x14ac:dyDescent="0.25">
      <c r="A11537" s="40"/>
      <c r="B11537" s="40"/>
      <c r="C11537" s="40"/>
      <c r="E11537" s="80"/>
    </row>
    <row r="11538" spans="1:5" x14ac:dyDescent="0.25">
      <c r="A11538" s="40"/>
      <c r="B11538" s="40"/>
      <c r="C11538" s="40"/>
      <c r="E11538" s="80"/>
    </row>
    <row r="11539" spans="1:5" x14ac:dyDescent="0.25">
      <c r="A11539" s="40"/>
      <c r="B11539" s="40"/>
      <c r="C11539" s="40"/>
      <c r="E11539" s="80"/>
    </row>
    <row r="11540" spans="1:5" x14ac:dyDescent="0.25">
      <c r="A11540" s="40"/>
      <c r="B11540" s="40"/>
      <c r="C11540" s="40"/>
      <c r="E11540" s="80"/>
    </row>
    <row r="11541" spans="1:5" x14ac:dyDescent="0.25">
      <c r="A11541" s="40"/>
      <c r="B11541" s="40"/>
      <c r="C11541" s="40"/>
      <c r="E11541" s="80"/>
    </row>
    <row r="11542" spans="1:5" x14ac:dyDescent="0.25">
      <c r="A11542" s="40"/>
      <c r="B11542" s="40"/>
      <c r="C11542" s="40"/>
      <c r="E11542" s="80"/>
    </row>
    <row r="11543" spans="1:5" x14ac:dyDescent="0.25">
      <c r="A11543" s="40"/>
      <c r="B11543" s="40"/>
      <c r="C11543" s="40"/>
      <c r="E11543" s="80"/>
    </row>
    <row r="11544" spans="1:5" x14ac:dyDescent="0.25">
      <c r="A11544" s="40"/>
      <c r="B11544" s="40"/>
      <c r="C11544" s="40"/>
      <c r="E11544" s="80"/>
    </row>
    <row r="11545" spans="1:5" x14ac:dyDescent="0.25">
      <c r="A11545" s="40"/>
      <c r="B11545" s="40"/>
      <c r="C11545" s="40"/>
      <c r="E11545" s="80"/>
    </row>
    <row r="11546" spans="1:5" x14ac:dyDescent="0.25">
      <c r="A11546" s="40"/>
      <c r="B11546" s="40"/>
      <c r="C11546" s="40"/>
      <c r="E11546" s="80"/>
    </row>
    <row r="11547" spans="1:5" x14ac:dyDescent="0.25">
      <c r="A11547" s="40"/>
      <c r="B11547" s="40"/>
      <c r="C11547" s="40"/>
      <c r="E11547" s="80"/>
    </row>
    <row r="11548" spans="1:5" x14ac:dyDescent="0.25">
      <c r="A11548" s="40"/>
      <c r="B11548" s="40"/>
      <c r="C11548" s="40"/>
      <c r="E11548" s="80"/>
    </row>
    <row r="11549" spans="1:5" x14ac:dyDescent="0.25">
      <c r="A11549" s="40"/>
      <c r="B11549" s="40"/>
      <c r="C11549" s="40"/>
      <c r="E11549" s="80"/>
    </row>
    <row r="11550" spans="1:5" x14ac:dyDescent="0.25">
      <c r="A11550" s="40"/>
      <c r="B11550" s="40"/>
      <c r="C11550" s="40"/>
      <c r="E11550" s="80"/>
    </row>
    <row r="11551" spans="1:5" x14ac:dyDescent="0.25">
      <c r="A11551" s="40"/>
      <c r="B11551" s="40"/>
      <c r="C11551" s="40"/>
      <c r="E11551" s="80"/>
    </row>
    <row r="11552" spans="1:5" x14ac:dyDescent="0.25">
      <c r="A11552" s="40"/>
      <c r="B11552" s="40"/>
      <c r="C11552" s="40"/>
      <c r="E11552" s="80"/>
    </row>
    <row r="11553" spans="1:5" x14ac:dyDescent="0.25">
      <c r="A11553" s="40"/>
      <c r="B11553" s="40"/>
      <c r="C11553" s="40"/>
      <c r="E11553" s="80"/>
    </row>
    <row r="11554" spans="1:5" x14ac:dyDescent="0.25">
      <c r="A11554" s="40"/>
      <c r="B11554" s="40"/>
      <c r="C11554" s="40"/>
      <c r="E11554" s="80"/>
    </row>
    <row r="11555" spans="1:5" x14ac:dyDescent="0.25">
      <c r="A11555" s="40"/>
      <c r="B11555" s="40"/>
      <c r="C11555" s="40"/>
      <c r="E11555" s="80"/>
    </row>
    <row r="11556" spans="1:5" x14ac:dyDescent="0.25">
      <c r="A11556" s="40"/>
      <c r="B11556" s="40"/>
      <c r="C11556" s="40"/>
      <c r="E11556" s="80"/>
    </row>
    <row r="11557" spans="1:5" x14ac:dyDescent="0.25">
      <c r="A11557" s="40"/>
      <c r="B11557" s="40"/>
      <c r="C11557" s="40"/>
      <c r="E11557" s="80"/>
    </row>
    <row r="11558" spans="1:5" x14ac:dyDescent="0.25">
      <c r="A11558" s="40"/>
      <c r="B11558" s="40"/>
      <c r="C11558" s="40"/>
      <c r="E11558" s="80"/>
    </row>
    <row r="11559" spans="1:5" x14ac:dyDescent="0.25">
      <c r="A11559" s="40"/>
      <c r="B11559" s="40"/>
      <c r="C11559" s="40"/>
      <c r="E11559" s="80"/>
    </row>
    <row r="11560" spans="1:5" x14ac:dyDescent="0.25">
      <c r="A11560" s="40"/>
      <c r="B11560" s="40"/>
      <c r="C11560" s="40"/>
      <c r="E11560" s="80"/>
    </row>
    <row r="11561" spans="1:5" x14ac:dyDescent="0.25">
      <c r="A11561" s="40"/>
      <c r="B11561" s="40"/>
      <c r="C11561" s="40"/>
      <c r="E11561" s="80"/>
    </row>
    <row r="11562" spans="1:5" x14ac:dyDescent="0.25">
      <c r="A11562" s="40"/>
      <c r="B11562" s="40"/>
      <c r="C11562" s="40"/>
      <c r="E11562" s="80"/>
    </row>
    <row r="11563" spans="1:5" x14ac:dyDescent="0.25">
      <c r="A11563" s="40"/>
      <c r="B11563" s="40"/>
      <c r="C11563" s="40"/>
      <c r="E11563" s="80"/>
    </row>
    <row r="11564" spans="1:5" x14ac:dyDescent="0.25">
      <c r="A11564" s="40"/>
      <c r="B11564" s="40"/>
      <c r="C11564" s="40"/>
      <c r="E11564" s="80"/>
    </row>
    <row r="11565" spans="1:5" x14ac:dyDescent="0.25">
      <c r="A11565" s="40"/>
      <c r="B11565" s="40"/>
      <c r="C11565" s="40"/>
      <c r="E11565" s="80"/>
    </row>
    <row r="11566" spans="1:5" x14ac:dyDescent="0.25">
      <c r="A11566" s="40"/>
      <c r="B11566" s="40"/>
      <c r="C11566" s="40"/>
      <c r="E11566" s="80"/>
    </row>
    <row r="11567" spans="1:5" x14ac:dyDescent="0.25">
      <c r="A11567" s="40"/>
      <c r="B11567" s="40"/>
      <c r="C11567" s="40"/>
      <c r="E11567" s="80"/>
    </row>
    <row r="11568" spans="1:5" x14ac:dyDescent="0.25">
      <c r="A11568" s="40"/>
      <c r="B11568" s="40"/>
      <c r="C11568" s="40"/>
      <c r="E11568" s="80"/>
    </row>
    <row r="11569" spans="1:5" x14ac:dyDescent="0.25">
      <c r="A11569" s="40"/>
      <c r="B11569" s="40"/>
      <c r="C11569" s="40"/>
      <c r="E11569" s="80"/>
    </row>
    <row r="11570" spans="1:5" x14ac:dyDescent="0.25">
      <c r="A11570" s="40"/>
      <c r="B11570" s="40"/>
      <c r="C11570" s="40"/>
      <c r="E11570" s="80"/>
    </row>
    <row r="11571" spans="1:5" x14ac:dyDescent="0.25">
      <c r="A11571" s="40"/>
      <c r="B11571" s="40"/>
      <c r="C11571" s="40"/>
      <c r="E11571" s="80"/>
    </row>
    <row r="11572" spans="1:5" x14ac:dyDescent="0.25">
      <c r="A11572" s="40"/>
      <c r="B11572" s="40"/>
      <c r="C11572" s="40"/>
      <c r="E11572" s="80"/>
    </row>
    <row r="11573" spans="1:5" x14ac:dyDescent="0.25">
      <c r="A11573" s="40"/>
      <c r="B11573" s="40"/>
      <c r="C11573" s="40"/>
      <c r="E11573" s="80"/>
    </row>
    <row r="11574" spans="1:5" x14ac:dyDescent="0.25">
      <c r="A11574" s="40"/>
      <c r="B11574" s="40"/>
      <c r="C11574" s="40"/>
      <c r="E11574" s="80"/>
    </row>
    <row r="11575" spans="1:5" x14ac:dyDescent="0.25">
      <c r="A11575" s="40"/>
      <c r="B11575" s="40"/>
      <c r="C11575" s="40"/>
      <c r="E11575" s="80"/>
    </row>
    <row r="11576" spans="1:5" x14ac:dyDescent="0.25">
      <c r="A11576" s="40"/>
      <c r="B11576" s="40"/>
      <c r="C11576" s="40"/>
      <c r="E11576" s="80"/>
    </row>
    <row r="11577" spans="1:5" x14ac:dyDescent="0.25">
      <c r="A11577" s="40"/>
      <c r="B11577" s="40"/>
      <c r="C11577" s="40"/>
      <c r="E11577" s="80"/>
    </row>
    <row r="11578" spans="1:5" x14ac:dyDescent="0.25">
      <c r="A11578" s="40"/>
      <c r="B11578" s="40"/>
      <c r="C11578" s="40"/>
      <c r="E11578" s="80"/>
    </row>
    <row r="11579" spans="1:5" x14ac:dyDescent="0.25">
      <c r="A11579" s="40"/>
      <c r="B11579" s="40"/>
      <c r="C11579" s="40"/>
      <c r="E11579" s="80"/>
    </row>
    <row r="11580" spans="1:5" x14ac:dyDescent="0.25">
      <c r="A11580" s="40"/>
      <c r="B11580" s="40"/>
      <c r="C11580" s="40"/>
      <c r="E11580" s="80"/>
    </row>
    <row r="11581" spans="1:5" x14ac:dyDescent="0.25">
      <c r="A11581" s="40"/>
      <c r="B11581" s="40"/>
      <c r="C11581" s="40"/>
      <c r="E11581" s="80"/>
    </row>
    <row r="11582" spans="1:5" x14ac:dyDescent="0.25">
      <c r="A11582" s="40"/>
      <c r="B11582" s="40"/>
      <c r="C11582" s="40"/>
      <c r="E11582" s="80"/>
    </row>
    <row r="11583" spans="1:5" x14ac:dyDescent="0.25">
      <c r="A11583" s="40"/>
      <c r="B11583" s="40"/>
      <c r="C11583" s="40"/>
      <c r="E11583" s="80"/>
    </row>
    <row r="11584" spans="1:5" x14ac:dyDescent="0.25">
      <c r="A11584" s="40"/>
      <c r="B11584" s="40"/>
      <c r="C11584" s="40"/>
      <c r="E11584" s="80"/>
    </row>
    <row r="11585" spans="1:5" x14ac:dyDescent="0.25">
      <c r="A11585" s="40"/>
      <c r="B11585" s="40"/>
      <c r="C11585" s="40"/>
      <c r="E11585" s="80"/>
    </row>
    <row r="11586" spans="1:5" x14ac:dyDescent="0.25">
      <c r="A11586" s="40"/>
      <c r="B11586" s="40"/>
      <c r="C11586" s="40"/>
      <c r="E11586" s="80"/>
    </row>
    <row r="11587" spans="1:5" x14ac:dyDescent="0.25">
      <c r="A11587" s="40"/>
      <c r="B11587" s="40"/>
      <c r="C11587" s="40"/>
      <c r="E11587" s="80"/>
    </row>
    <row r="11588" spans="1:5" x14ac:dyDescent="0.25">
      <c r="A11588" s="40"/>
      <c r="B11588" s="40"/>
      <c r="C11588" s="40"/>
      <c r="E11588" s="80"/>
    </row>
    <row r="11589" spans="1:5" x14ac:dyDescent="0.25">
      <c r="A11589" s="40"/>
      <c r="B11589" s="40"/>
      <c r="C11589" s="40"/>
      <c r="E11589" s="80"/>
    </row>
    <row r="11590" spans="1:5" x14ac:dyDescent="0.25">
      <c r="A11590" s="40"/>
      <c r="B11590" s="40"/>
      <c r="C11590" s="40"/>
      <c r="E11590" s="80"/>
    </row>
    <row r="11591" spans="1:5" x14ac:dyDescent="0.25">
      <c r="A11591" s="40"/>
      <c r="B11591" s="40"/>
      <c r="C11591" s="40"/>
      <c r="E11591" s="80"/>
    </row>
    <row r="11592" spans="1:5" x14ac:dyDescent="0.25">
      <c r="A11592" s="40"/>
      <c r="B11592" s="40"/>
      <c r="C11592" s="40"/>
      <c r="E11592" s="80"/>
    </row>
    <row r="11593" spans="1:5" x14ac:dyDescent="0.25">
      <c r="A11593" s="40"/>
      <c r="B11593" s="40"/>
      <c r="C11593" s="40"/>
      <c r="E11593" s="80"/>
    </row>
    <row r="11594" spans="1:5" x14ac:dyDescent="0.25">
      <c r="A11594" s="40"/>
      <c r="B11594" s="40"/>
      <c r="C11594" s="40"/>
      <c r="E11594" s="80"/>
    </row>
    <row r="11595" spans="1:5" x14ac:dyDescent="0.25">
      <c r="A11595" s="40"/>
      <c r="B11595" s="40"/>
      <c r="C11595" s="40"/>
      <c r="E11595" s="80"/>
    </row>
    <row r="11596" spans="1:5" x14ac:dyDescent="0.25">
      <c r="A11596" s="40"/>
      <c r="B11596" s="40"/>
      <c r="C11596" s="40"/>
      <c r="E11596" s="80"/>
    </row>
    <row r="11597" spans="1:5" x14ac:dyDescent="0.25">
      <c r="A11597" s="40"/>
      <c r="B11597" s="40"/>
      <c r="C11597" s="40"/>
      <c r="E11597" s="80"/>
    </row>
    <row r="11598" spans="1:5" x14ac:dyDescent="0.25">
      <c r="A11598" s="40"/>
      <c r="B11598" s="40"/>
      <c r="C11598" s="40"/>
      <c r="E11598" s="80"/>
    </row>
    <row r="11599" spans="1:5" x14ac:dyDescent="0.25">
      <c r="A11599" s="40"/>
      <c r="B11599" s="40"/>
      <c r="C11599" s="40"/>
      <c r="E11599" s="80"/>
    </row>
    <row r="11600" spans="1:5" x14ac:dyDescent="0.25">
      <c r="A11600" s="40"/>
      <c r="B11600" s="40"/>
      <c r="C11600" s="40"/>
      <c r="E11600" s="80"/>
    </row>
    <row r="11601" spans="1:5" x14ac:dyDescent="0.25">
      <c r="A11601" s="40"/>
      <c r="B11601" s="40"/>
      <c r="C11601" s="40"/>
      <c r="E11601" s="80"/>
    </row>
    <row r="11602" spans="1:5" x14ac:dyDescent="0.25">
      <c r="A11602" s="40"/>
      <c r="B11602" s="40"/>
      <c r="C11602" s="40"/>
      <c r="E11602" s="80"/>
    </row>
    <row r="11603" spans="1:5" x14ac:dyDescent="0.25">
      <c r="A11603" s="40"/>
      <c r="B11603" s="40"/>
      <c r="C11603" s="40"/>
      <c r="E11603" s="80"/>
    </row>
    <row r="11604" spans="1:5" x14ac:dyDescent="0.25">
      <c r="A11604" s="40"/>
      <c r="B11604" s="40"/>
      <c r="C11604" s="40"/>
      <c r="E11604" s="80"/>
    </row>
    <row r="11605" spans="1:5" x14ac:dyDescent="0.25">
      <c r="A11605" s="40"/>
      <c r="B11605" s="40"/>
      <c r="C11605" s="40"/>
      <c r="E11605" s="80"/>
    </row>
    <row r="11606" spans="1:5" x14ac:dyDescent="0.25">
      <c r="A11606" s="40"/>
      <c r="B11606" s="40"/>
      <c r="C11606" s="40"/>
      <c r="E11606" s="80"/>
    </row>
    <row r="11607" spans="1:5" x14ac:dyDescent="0.25">
      <c r="A11607" s="40"/>
      <c r="B11607" s="40"/>
      <c r="C11607" s="40"/>
      <c r="E11607" s="80"/>
    </row>
    <row r="11608" spans="1:5" x14ac:dyDescent="0.25">
      <c r="A11608" s="40"/>
      <c r="B11608" s="40"/>
      <c r="C11608" s="40"/>
      <c r="E11608" s="80"/>
    </row>
    <row r="11609" spans="1:5" x14ac:dyDescent="0.25">
      <c r="A11609" s="40"/>
      <c r="B11609" s="40"/>
      <c r="C11609" s="40"/>
      <c r="E11609" s="80"/>
    </row>
    <row r="11610" spans="1:5" x14ac:dyDescent="0.25">
      <c r="A11610" s="40"/>
      <c r="B11610" s="40"/>
      <c r="C11610" s="40"/>
      <c r="E11610" s="80"/>
    </row>
    <row r="11611" spans="1:5" x14ac:dyDescent="0.25">
      <c r="A11611" s="40"/>
      <c r="B11611" s="40"/>
      <c r="C11611" s="40"/>
      <c r="E11611" s="80"/>
    </row>
    <row r="11612" spans="1:5" x14ac:dyDescent="0.25">
      <c r="A11612" s="40"/>
      <c r="B11612" s="40"/>
      <c r="C11612" s="40"/>
      <c r="E11612" s="80"/>
    </row>
    <row r="11613" spans="1:5" x14ac:dyDescent="0.25">
      <c r="A11613" s="40"/>
      <c r="B11613" s="40"/>
      <c r="C11613" s="40"/>
      <c r="E11613" s="80"/>
    </row>
    <row r="11614" spans="1:5" x14ac:dyDescent="0.25">
      <c r="A11614" s="40"/>
      <c r="B11614" s="40"/>
      <c r="C11614" s="40"/>
      <c r="E11614" s="80"/>
    </row>
    <row r="11615" spans="1:5" x14ac:dyDescent="0.25">
      <c r="A11615" s="40"/>
      <c r="B11615" s="40"/>
      <c r="C11615" s="40"/>
      <c r="E11615" s="80"/>
    </row>
    <row r="11616" spans="1:5" x14ac:dyDescent="0.25">
      <c r="A11616" s="40"/>
      <c r="B11616" s="40"/>
      <c r="C11616" s="40"/>
      <c r="E11616" s="80"/>
    </row>
    <row r="11617" spans="1:5" x14ac:dyDescent="0.25">
      <c r="A11617" s="40"/>
      <c r="B11617" s="40"/>
      <c r="C11617" s="40"/>
      <c r="E11617" s="80"/>
    </row>
    <row r="11618" spans="1:5" x14ac:dyDescent="0.25">
      <c r="A11618" s="40"/>
      <c r="B11618" s="40"/>
      <c r="C11618" s="40"/>
      <c r="E11618" s="80"/>
    </row>
    <row r="11619" spans="1:5" x14ac:dyDescent="0.25">
      <c r="A11619" s="40"/>
      <c r="B11619" s="40"/>
      <c r="C11619" s="40"/>
      <c r="E11619" s="80"/>
    </row>
    <row r="11620" spans="1:5" x14ac:dyDescent="0.25">
      <c r="A11620" s="40"/>
      <c r="B11620" s="40"/>
      <c r="C11620" s="40"/>
      <c r="E11620" s="80"/>
    </row>
    <row r="11621" spans="1:5" x14ac:dyDescent="0.25">
      <c r="A11621" s="40"/>
      <c r="B11621" s="40"/>
      <c r="C11621" s="40"/>
      <c r="E11621" s="80"/>
    </row>
    <row r="11622" spans="1:5" x14ac:dyDescent="0.25">
      <c r="A11622" s="40"/>
      <c r="B11622" s="40"/>
      <c r="C11622" s="40"/>
      <c r="E11622" s="80"/>
    </row>
    <row r="11623" spans="1:5" x14ac:dyDescent="0.25">
      <c r="A11623" s="40"/>
      <c r="B11623" s="40"/>
      <c r="C11623" s="40"/>
      <c r="E11623" s="80"/>
    </row>
    <row r="11624" spans="1:5" x14ac:dyDescent="0.25">
      <c r="A11624" s="40"/>
      <c r="B11624" s="40"/>
      <c r="C11624" s="40"/>
      <c r="E11624" s="80"/>
    </row>
    <row r="11625" spans="1:5" x14ac:dyDescent="0.25">
      <c r="A11625" s="40"/>
      <c r="B11625" s="40"/>
      <c r="C11625" s="40"/>
      <c r="E11625" s="80"/>
    </row>
    <row r="11626" spans="1:5" x14ac:dyDescent="0.25">
      <c r="A11626" s="40"/>
      <c r="B11626" s="40"/>
      <c r="C11626" s="40"/>
      <c r="E11626" s="80"/>
    </row>
    <row r="11627" spans="1:5" x14ac:dyDescent="0.25">
      <c r="A11627" s="40"/>
      <c r="B11627" s="40"/>
      <c r="C11627" s="40"/>
      <c r="E11627" s="80"/>
    </row>
    <row r="11628" spans="1:5" x14ac:dyDescent="0.25">
      <c r="A11628" s="40"/>
      <c r="B11628" s="40"/>
      <c r="C11628" s="40"/>
      <c r="E11628" s="80"/>
    </row>
    <row r="11629" spans="1:5" x14ac:dyDescent="0.25">
      <c r="A11629" s="40"/>
      <c r="B11629" s="40"/>
      <c r="C11629" s="40"/>
      <c r="E11629" s="80"/>
    </row>
    <row r="11630" spans="1:5" x14ac:dyDescent="0.25">
      <c r="A11630" s="40"/>
      <c r="B11630" s="40"/>
      <c r="C11630" s="40"/>
      <c r="E11630" s="80"/>
    </row>
    <row r="11631" spans="1:5" x14ac:dyDescent="0.25">
      <c r="A11631" s="40"/>
      <c r="B11631" s="40"/>
      <c r="C11631" s="40"/>
      <c r="E11631" s="80"/>
    </row>
    <row r="11632" spans="1:5" x14ac:dyDescent="0.25">
      <c r="A11632" s="40"/>
      <c r="B11632" s="40"/>
      <c r="C11632" s="40"/>
      <c r="E11632" s="80"/>
    </row>
    <row r="11633" spans="1:5" x14ac:dyDescent="0.25">
      <c r="A11633" s="40"/>
      <c r="B11633" s="40"/>
      <c r="C11633" s="40"/>
      <c r="E11633" s="80"/>
    </row>
    <row r="11634" spans="1:5" x14ac:dyDescent="0.25">
      <c r="A11634" s="40"/>
      <c r="B11634" s="40"/>
      <c r="C11634" s="40"/>
      <c r="E11634" s="80"/>
    </row>
    <row r="11635" spans="1:5" x14ac:dyDescent="0.25">
      <c r="A11635" s="40"/>
      <c r="B11635" s="40"/>
      <c r="C11635" s="40"/>
      <c r="E11635" s="80"/>
    </row>
    <row r="11636" spans="1:5" x14ac:dyDescent="0.25">
      <c r="A11636" s="40"/>
      <c r="B11636" s="40"/>
      <c r="C11636" s="40"/>
      <c r="E11636" s="80"/>
    </row>
    <row r="11637" spans="1:5" x14ac:dyDescent="0.25">
      <c r="A11637" s="40"/>
      <c r="B11637" s="40"/>
      <c r="C11637" s="40"/>
      <c r="E11637" s="80"/>
    </row>
    <row r="11638" spans="1:5" x14ac:dyDescent="0.25">
      <c r="A11638" s="40"/>
      <c r="B11638" s="40"/>
      <c r="C11638" s="40"/>
      <c r="E11638" s="80"/>
    </row>
    <row r="11639" spans="1:5" x14ac:dyDescent="0.25">
      <c r="A11639" s="40"/>
      <c r="B11639" s="40"/>
      <c r="C11639" s="40"/>
      <c r="E11639" s="80"/>
    </row>
    <row r="11640" spans="1:5" x14ac:dyDescent="0.25">
      <c r="A11640" s="40"/>
      <c r="B11640" s="40"/>
      <c r="C11640" s="40"/>
      <c r="E11640" s="80"/>
    </row>
    <row r="11641" spans="1:5" x14ac:dyDescent="0.25">
      <c r="A11641" s="40"/>
      <c r="B11641" s="40"/>
      <c r="C11641" s="40"/>
      <c r="E11641" s="80"/>
    </row>
    <row r="11642" spans="1:5" x14ac:dyDescent="0.25">
      <c r="A11642" s="40"/>
      <c r="B11642" s="40"/>
      <c r="C11642" s="40"/>
      <c r="E11642" s="80"/>
    </row>
    <row r="11643" spans="1:5" x14ac:dyDescent="0.25">
      <c r="A11643" s="40"/>
      <c r="B11643" s="40"/>
      <c r="C11643" s="40"/>
      <c r="E11643" s="80"/>
    </row>
    <row r="11644" spans="1:5" x14ac:dyDescent="0.25">
      <c r="A11644" s="40"/>
      <c r="B11644" s="40"/>
      <c r="C11644" s="40"/>
      <c r="E11644" s="80"/>
    </row>
    <row r="11645" spans="1:5" x14ac:dyDescent="0.25">
      <c r="A11645" s="40"/>
      <c r="B11645" s="40"/>
      <c r="C11645" s="40"/>
      <c r="E11645" s="80"/>
    </row>
    <row r="11646" spans="1:5" x14ac:dyDescent="0.25">
      <c r="A11646" s="40"/>
      <c r="B11646" s="40"/>
      <c r="C11646" s="40"/>
      <c r="E11646" s="80"/>
    </row>
    <row r="11647" spans="1:5" x14ac:dyDescent="0.25">
      <c r="A11647" s="40"/>
      <c r="B11647" s="40"/>
      <c r="C11647" s="40"/>
      <c r="E11647" s="80"/>
    </row>
    <row r="11648" spans="1:5" x14ac:dyDescent="0.25">
      <c r="A11648" s="40"/>
      <c r="B11648" s="40"/>
      <c r="C11648" s="40"/>
      <c r="E11648" s="80"/>
    </row>
    <row r="11649" spans="1:5" x14ac:dyDescent="0.25">
      <c r="A11649" s="40"/>
      <c r="B11649" s="40"/>
      <c r="C11649" s="40"/>
      <c r="E11649" s="80"/>
    </row>
    <row r="11650" spans="1:5" x14ac:dyDescent="0.25">
      <c r="A11650" s="40"/>
      <c r="B11650" s="40"/>
      <c r="C11650" s="40"/>
      <c r="E11650" s="80"/>
    </row>
    <row r="11651" spans="1:5" x14ac:dyDescent="0.25">
      <c r="A11651" s="40"/>
      <c r="B11651" s="40"/>
      <c r="C11651" s="40"/>
      <c r="E11651" s="80"/>
    </row>
    <row r="11652" spans="1:5" x14ac:dyDescent="0.25">
      <c r="A11652" s="40"/>
      <c r="B11652" s="40"/>
      <c r="C11652" s="40"/>
      <c r="E11652" s="80"/>
    </row>
    <row r="11653" spans="1:5" x14ac:dyDescent="0.25">
      <c r="A11653" s="40"/>
      <c r="B11653" s="40"/>
      <c r="C11653" s="40"/>
      <c r="E11653" s="80"/>
    </row>
    <row r="11654" spans="1:5" x14ac:dyDescent="0.25">
      <c r="A11654" s="40"/>
      <c r="B11654" s="40"/>
      <c r="C11654" s="40"/>
      <c r="E11654" s="80"/>
    </row>
    <row r="11655" spans="1:5" x14ac:dyDescent="0.25">
      <c r="A11655" s="40"/>
      <c r="B11655" s="40"/>
      <c r="C11655" s="40"/>
      <c r="E11655" s="80"/>
    </row>
    <row r="11656" spans="1:5" x14ac:dyDescent="0.25">
      <c r="A11656" s="40"/>
      <c r="B11656" s="40"/>
      <c r="C11656" s="40"/>
      <c r="E11656" s="80"/>
    </row>
    <row r="11657" spans="1:5" x14ac:dyDescent="0.25">
      <c r="A11657" s="40"/>
      <c r="B11657" s="40"/>
      <c r="C11657" s="40"/>
      <c r="E11657" s="80"/>
    </row>
    <row r="11658" spans="1:5" x14ac:dyDescent="0.25">
      <c r="A11658" s="40"/>
      <c r="B11658" s="40"/>
      <c r="C11658" s="40"/>
      <c r="E11658" s="80"/>
    </row>
    <row r="11659" spans="1:5" x14ac:dyDescent="0.25">
      <c r="A11659" s="40"/>
      <c r="B11659" s="40"/>
      <c r="C11659" s="40"/>
      <c r="E11659" s="80"/>
    </row>
    <row r="11660" spans="1:5" x14ac:dyDescent="0.25">
      <c r="A11660" s="40"/>
      <c r="B11660" s="40"/>
      <c r="C11660" s="40"/>
      <c r="E11660" s="80"/>
    </row>
    <row r="11661" spans="1:5" x14ac:dyDescent="0.25">
      <c r="A11661" s="40"/>
      <c r="B11661" s="40"/>
      <c r="C11661" s="40"/>
      <c r="E11661" s="80"/>
    </row>
    <row r="11662" spans="1:5" x14ac:dyDescent="0.25">
      <c r="A11662" s="40"/>
      <c r="B11662" s="40"/>
      <c r="C11662" s="40"/>
      <c r="E11662" s="80"/>
    </row>
    <row r="11663" spans="1:5" x14ac:dyDescent="0.25">
      <c r="A11663" s="40"/>
      <c r="B11663" s="40"/>
      <c r="C11663" s="40"/>
      <c r="E11663" s="80"/>
    </row>
    <row r="11664" spans="1:5" x14ac:dyDescent="0.25">
      <c r="A11664" s="40"/>
      <c r="B11664" s="40"/>
      <c r="C11664" s="40"/>
      <c r="E11664" s="80"/>
    </row>
    <row r="11665" spans="1:5" x14ac:dyDescent="0.25">
      <c r="A11665" s="40"/>
      <c r="B11665" s="40"/>
      <c r="C11665" s="40"/>
      <c r="E11665" s="80"/>
    </row>
    <row r="11666" spans="1:5" x14ac:dyDescent="0.25">
      <c r="A11666" s="40"/>
      <c r="B11666" s="40"/>
      <c r="C11666" s="40"/>
      <c r="E11666" s="80"/>
    </row>
    <row r="11667" spans="1:5" x14ac:dyDescent="0.25">
      <c r="A11667" s="40"/>
      <c r="B11667" s="40"/>
      <c r="C11667" s="40"/>
      <c r="E11667" s="80"/>
    </row>
    <row r="11668" spans="1:5" x14ac:dyDescent="0.25">
      <c r="A11668" s="40"/>
      <c r="B11668" s="40"/>
      <c r="C11668" s="40"/>
      <c r="E11668" s="80"/>
    </row>
    <row r="11669" spans="1:5" x14ac:dyDescent="0.25">
      <c r="A11669" s="40"/>
      <c r="B11669" s="40"/>
      <c r="C11669" s="40"/>
      <c r="E11669" s="80"/>
    </row>
    <row r="11670" spans="1:5" x14ac:dyDescent="0.25">
      <c r="A11670" s="40"/>
      <c r="B11670" s="40"/>
      <c r="C11670" s="40"/>
      <c r="E11670" s="80"/>
    </row>
    <row r="11671" spans="1:5" x14ac:dyDescent="0.25">
      <c r="A11671" s="40"/>
      <c r="B11671" s="40"/>
      <c r="C11671" s="40"/>
      <c r="E11671" s="80"/>
    </row>
    <row r="11672" spans="1:5" x14ac:dyDescent="0.25">
      <c r="A11672" s="40"/>
      <c r="B11672" s="40"/>
      <c r="C11672" s="40"/>
      <c r="E11672" s="80"/>
    </row>
    <row r="11673" spans="1:5" x14ac:dyDescent="0.25">
      <c r="A11673" s="40"/>
      <c r="B11673" s="40"/>
      <c r="C11673" s="40"/>
      <c r="E11673" s="80"/>
    </row>
    <row r="11674" spans="1:5" x14ac:dyDescent="0.25">
      <c r="A11674" s="40"/>
      <c r="B11674" s="40"/>
      <c r="C11674" s="40"/>
      <c r="E11674" s="80"/>
    </row>
    <row r="11675" spans="1:5" x14ac:dyDescent="0.25">
      <c r="A11675" s="40"/>
      <c r="B11675" s="40"/>
      <c r="C11675" s="40"/>
      <c r="E11675" s="80"/>
    </row>
    <row r="11676" spans="1:5" x14ac:dyDescent="0.25">
      <c r="A11676" s="40"/>
      <c r="B11676" s="40"/>
      <c r="C11676" s="40"/>
      <c r="E11676" s="80"/>
    </row>
    <row r="11677" spans="1:5" x14ac:dyDescent="0.25">
      <c r="A11677" s="40"/>
      <c r="B11677" s="40"/>
      <c r="C11677" s="40"/>
      <c r="E11677" s="80"/>
    </row>
    <row r="11678" spans="1:5" x14ac:dyDescent="0.25">
      <c r="A11678" s="40"/>
      <c r="B11678" s="40"/>
      <c r="C11678" s="40"/>
      <c r="E11678" s="80"/>
    </row>
    <row r="11679" spans="1:5" x14ac:dyDescent="0.25">
      <c r="A11679" s="40"/>
      <c r="B11679" s="40"/>
      <c r="C11679" s="40"/>
      <c r="E11679" s="80"/>
    </row>
    <row r="11680" spans="1:5" x14ac:dyDescent="0.25">
      <c r="A11680" s="40"/>
      <c r="B11680" s="40"/>
      <c r="C11680" s="40"/>
      <c r="E11680" s="80"/>
    </row>
    <row r="11681" spans="1:5" x14ac:dyDescent="0.25">
      <c r="A11681" s="40"/>
      <c r="B11681" s="40"/>
      <c r="C11681" s="40"/>
      <c r="E11681" s="80"/>
    </row>
    <row r="11682" spans="1:5" x14ac:dyDescent="0.25">
      <c r="A11682" s="40"/>
      <c r="B11682" s="40"/>
      <c r="C11682" s="40"/>
      <c r="E11682" s="80"/>
    </row>
    <row r="11683" spans="1:5" x14ac:dyDescent="0.25">
      <c r="A11683" s="40"/>
      <c r="B11683" s="40"/>
      <c r="C11683" s="40"/>
      <c r="E11683" s="80"/>
    </row>
    <row r="11684" spans="1:5" x14ac:dyDescent="0.25">
      <c r="A11684" s="40"/>
      <c r="B11684" s="40"/>
      <c r="C11684" s="40"/>
      <c r="E11684" s="80"/>
    </row>
    <row r="11685" spans="1:5" x14ac:dyDescent="0.25">
      <c r="A11685" s="40"/>
      <c r="B11685" s="40"/>
      <c r="C11685" s="40"/>
      <c r="E11685" s="80"/>
    </row>
    <row r="11686" spans="1:5" x14ac:dyDescent="0.25">
      <c r="A11686" s="40"/>
      <c r="B11686" s="40"/>
      <c r="C11686" s="40"/>
      <c r="E11686" s="80"/>
    </row>
    <row r="11687" spans="1:5" x14ac:dyDescent="0.25">
      <c r="A11687" s="40"/>
      <c r="B11687" s="40"/>
      <c r="C11687" s="40"/>
      <c r="E11687" s="80"/>
    </row>
    <row r="11688" spans="1:5" x14ac:dyDescent="0.25">
      <c r="A11688" s="40"/>
      <c r="B11688" s="40"/>
      <c r="C11688" s="40"/>
      <c r="E11688" s="80"/>
    </row>
    <row r="11689" spans="1:5" x14ac:dyDescent="0.25">
      <c r="A11689" s="40"/>
      <c r="B11689" s="40"/>
      <c r="C11689" s="40"/>
      <c r="E11689" s="80"/>
    </row>
    <row r="11690" spans="1:5" x14ac:dyDescent="0.25">
      <c r="A11690" s="40"/>
      <c r="B11690" s="40"/>
      <c r="C11690" s="40"/>
      <c r="E11690" s="80"/>
    </row>
    <row r="11691" spans="1:5" x14ac:dyDescent="0.25">
      <c r="A11691" s="40"/>
      <c r="B11691" s="40"/>
      <c r="C11691" s="40"/>
      <c r="E11691" s="80"/>
    </row>
    <row r="11692" spans="1:5" x14ac:dyDescent="0.25">
      <c r="A11692" s="40"/>
      <c r="B11692" s="40"/>
      <c r="C11692" s="40"/>
      <c r="E11692" s="80"/>
    </row>
    <row r="11693" spans="1:5" x14ac:dyDescent="0.25">
      <c r="A11693" s="40"/>
      <c r="B11693" s="40"/>
      <c r="C11693" s="40"/>
      <c r="E11693" s="80"/>
    </row>
    <row r="11694" spans="1:5" x14ac:dyDescent="0.25">
      <c r="A11694" s="40"/>
      <c r="B11694" s="40"/>
      <c r="C11694" s="40"/>
      <c r="E11694" s="80"/>
    </row>
    <row r="11695" spans="1:5" x14ac:dyDescent="0.25">
      <c r="A11695" s="40"/>
      <c r="B11695" s="40"/>
      <c r="C11695" s="40"/>
      <c r="E11695" s="80"/>
    </row>
    <row r="11696" spans="1:5" x14ac:dyDescent="0.25">
      <c r="A11696" s="40"/>
      <c r="B11696" s="40"/>
      <c r="C11696" s="40"/>
      <c r="E11696" s="80"/>
    </row>
    <row r="11697" spans="1:5" x14ac:dyDescent="0.25">
      <c r="A11697" s="40"/>
      <c r="B11697" s="40"/>
      <c r="C11697" s="40"/>
      <c r="E11697" s="80"/>
    </row>
    <row r="11698" spans="1:5" x14ac:dyDescent="0.25">
      <c r="A11698" s="40"/>
      <c r="B11698" s="40"/>
      <c r="C11698" s="40"/>
      <c r="E11698" s="80"/>
    </row>
    <row r="11699" spans="1:5" x14ac:dyDescent="0.25">
      <c r="A11699" s="40"/>
      <c r="B11699" s="40"/>
      <c r="C11699" s="40"/>
      <c r="E11699" s="80"/>
    </row>
    <row r="11700" spans="1:5" x14ac:dyDescent="0.25">
      <c r="A11700" s="40"/>
      <c r="B11700" s="40"/>
      <c r="C11700" s="40"/>
      <c r="E11700" s="80"/>
    </row>
    <row r="11701" spans="1:5" x14ac:dyDescent="0.25">
      <c r="A11701" s="40"/>
      <c r="B11701" s="40"/>
      <c r="C11701" s="40"/>
      <c r="E11701" s="80"/>
    </row>
    <row r="11702" spans="1:5" x14ac:dyDescent="0.25">
      <c r="A11702" s="40"/>
      <c r="B11702" s="40"/>
      <c r="C11702" s="40"/>
      <c r="E11702" s="80"/>
    </row>
    <row r="11703" spans="1:5" x14ac:dyDescent="0.25">
      <c r="A11703" s="40"/>
      <c r="B11703" s="40"/>
      <c r="C11703" s="40"/>
      <c r="E11703" s="80"/>
    </row>
    <row r="11704" spans="1:5" x14ac:dyDescent="0.25">
      <c r="A11704" s="40"/>
      <c r="B11704" s="40"/>
      <c r="C11704" s="40"/>
      <c r="E11704" s="80"/>
    </row>
    <row r="11705" spans="1:5" x14ac:dyDescent="0.25">
      <c r="A11705" s="40"/>
      <c r="B11705" s="40"/>
      <c r="C11705" s="40"/>
      <c r="E11705" s="80"/>
    </row>
    <row r="11706" spans="1:5" x14ac:dyDescent="0.25">
      <c r="A11706" s="40"/>
      <c r="B11706" s="40"/>
      <c r="C11706" s="40"/>
      <c r="E11706" s="80"/>
    </row>
    <row r="11707" spans="1:5" x14ac:dyDescent="0.25">
      <c r="A11707" s="40"/>
      <c r="B11707" s="40"/>
      <c r="C11707" s="40"/>
      <c r="E11707" s="80"/>
    </row>
    <row r="11708" spans="1:5" x14ac:dyDescent="0.25">
      <c r="A11708" s="40"/>
      <c r="B11708" s="40"/>
      <c r="C11708" s="40"/>
      <c r="E11708" s="80"/>
    </row>
    <row r="11709" spans="1:5" x14ac:dyDescent="0.25">
      <c r="A11709" s="40"/>
      <c r="B11709" s="40"/>
      <c r="C11709" s="40"/>
      <c r="E11709" s="80"/>
    </row>
    <row r="11710" spans="1:5" x14ac:dyDescent="0.25">
      <c r="A11710" s="40"/>
      <c r="B11710" s="40"/>
      <c r="C11710" s="40"/>
      <c r="E11710" s="80"/>
    </row>
    <row r="11711" spans="1:5" x14ac:dyDescent="0.25">
      <c r="A11711" s="40"/>
      <c r="B11711" s="40"/>
      <c r="C11711" s="40"/>
      <c r="E11711" s="80"/>
    </row>
    <row r="11712" spans="1:5" x14ac:dyDescent="0.25">
      <c r="A11712" s="40"/>
      <c r="B11712" s="40"/>
      <c r="C11712" s="40"/>
      <c r="E11712" s="80"/>
    </row>
    <row r="11713" spans="1:5" x14ac:dyDescent="0.25">
      <c r="A11713" s="40"/>
      <c r="B11713" s="40"/>
      <c r="C11713" s="40"/>
      <c r="E11713" s="80"/>
    </row>
    <row r="11714" spans="1:5" x14ac:dyDescent="0.25">
      <c r="A11714" s="40"/>
      <c r="B11714" s="40"/>
      <c r="C11714" s="40"/>
      <c r="E11714" s="80"/>
    </row>
    <row r="11715" spans="1:5" x14ac:dyDescent="0.25">
      <c r="A11715" s="40"/>
      <c r="B11715" s="40"/>
      <c r="C11715" s="40"/>
      <c r="E11715" s="80"/>
    </row>
    <row r="11716" spans="1:5" x14ac:dyDescent="0.25">
      <c r="A11716" s="40"/>
      <c r="B11716" s="40"/>
      <c r="C11716" s="40"/>
      <c r="E11716" s="80"/>
    </row>
    <row r="11717" spans="1:5" x14ac:dyDescent="0.25">
      <c r="A11717" s="40"/>
      <c r="B11717" s="40"/>
      <c r="C11717" s="40"/>
      <c r="E11717" s="80"/>
    </row>
    <row r="11718" spans="1:5" x14ac:dyDescent="0.25">
      <c r="A11718" s="40"/>
      <c r="B11718" s="40"/>
      <c r="C11718" s="40"/>
      <c r="E11718" s="80"/>
    </row>
    <row r="11719" spans="1:5" x14ac:dyDescent="0.25">
      <c r="A11719" s="40"/>
      <c r="B11719" s="40"/>
      <c r="C11719" s="40"/>
      <c r="E11719" s="80"/>
    </row>
    <row r="11720" spans="1:5" x14ac:dyDescent="0.25">
      <c r="A11720" s="40"/>
      <c r="B11720" s="40"/>
      <c r="C11720" s="40"/>
      <c r="E11720" s="80"/>
    </row>
    <row r="11721" spans="1:5" x14ac:dyDescent="0.25">
      <c r="A11721" s="40"/>
      <c r="B11721" s="40"/>
      <c r="C11721" s="40"/>
      <c r="E11721" s="80"/>
    </row>
    <row r="11722" spans="1:5" x14ac:dyDescent="0.25">
      <c r="A11722" s="40"/>
      <c r="B11722" s="40"/>
      <c r="C11722" s="40"/>
      <c r="E11722" s="80"/>
    </row>
    <row r="11723" spans="1:5" x14ac:dyDescent="0.25">
      <c r="A11723" s="40"/>
      <c r="B11723" s="40"/>
      <c r="C11723" s="40"/>
      <c r="E11723" s="80"/>
    </row>
    <row r="11724" spans="1:5" x14ac:dyDescent="0.25">
      <c r="A11724" s="40"/>
      <c r="B11724" s="40"/>
      <c r="C11724" s="40"/>
      <c r="E11724" s="80"/>
    </row>
    <row r="11725" spans="1:5" x14ac:dyDescent="0.25">
      <c r="A11725" s="40"/>
      <c r="B11725" s="40"/>
      <c r="C11725" s="40"/>
      <c r="E11725" s="80"/>
    </row>
    <row r="11726" spans="1:5" x14ac:dyDescent="0.25">
      <c r="A11726" s="40"/>
      <c r="B11726" s="40"/>
      <c r="C11726" s="40"/>
      <c r="E11726" s="80"/>
    </row>
    <row r="11727" spans="1:5" x14ac:dyDescent="0.25">
      <c r="A11727" s="40"/>
      <c r="B11727" s="40"/>
      <c r="C11727" s="40"/>
      <c r="E11727" s="80"/>
    </row>
    <row r="11728" spans="1:5" x14ac:dyDescent="0.25">
      <c r="A11728" s="40"/>
      <c r="B11728" s="40"/>
      <c r="C11728" s="40"/>
      <c r="E11728" s="80"/>
    </row>
    <row r="11729" spans="1:5" x14ac:dyDescent="0.25">
      <c r="A11729" s="40"/>
      <c r="B11729" s="40"/>
      <c r="C11729" s="40"/>
      <c r="E11729" s="80"/>
    </row>
    <row r="11730" spans="1:5" x14ac:dyDescent="0.25">
      <c r="A11730" s="40"/>
      <c r="B11730" s="40"/>
      <c r="C11730" s="40"/>
      <c r="E11730" s="80"/>
    </row>
    <row r="11731" spans="1:5" x14ac:dyDescent="0.25">
      <c r="A11731" s="40"/>
      <c r="B11731" s="40"/>
      <c r="C11731" s="40"/>
      <c r="E11731" s="80"/>
    </row>
    <row r="11732" spans="1:5" x14ac:dyDescent="0.25">
      <c r="A11732" s="40"/>
      <c r="B11732" s="40"/>
      <c r="C11732" s="40"/>
      <c r="E11732" s="80"/>
    </row>
    <row r="11733" spans="1:5" x14ac:dyDescent="0.25">
      <c r="A11733" s="40"/>
      <c r="B11733" s="40"/>
      <c r="C11733" s="40"/>
      <c r="E11733" s="80"/>
    </row>
    <row r="11734" spans="1:5" x14ac:dyDescent="0.25">
      <c r="A11734" s="40"/>
      <c r="B11734" s="40"/>
      <c r="C11734" s="40"/>
      <c r="E11734" s="80"/>
    </row>
    <row r="11735" spans="1:5" x14ac:dyDescent="0.25">
      <c r="A11735" s="40"/>
      <c r="B11735" s="40"/>
      <c r="C11735" s="40"/>
      <c r="E11735" s="80"/>
    </row>
    <row r="11736" spans="1:5" x14ac:dyDescent="0.25">
      <c r="A11736" s="40"/>
      <c r="B11736" s="40"/>
      <c r="C11736" s="40"/>
      <c r="E11736" s="80"/>
    </row>
    <row r="11737" spans="1:5" x14ac:dyDescent="0.25">
      <c r="A11737" s="40"/>
      <c r="B11737" s="40"/>
      <c r="C11737" s="40"/>
      <c r="E11737" s="80"/>
    </row>
    <row r="11738" spans="1:5" x14ac:dyDescent="0.25">
      <c r="A11738" s="40"/>
      <c r="B11738" s="40"/>
      <c r="C11738" s="40"/>
      <c r="E11738" s="80"/>
    </row>
    <row r="11739" spans="1:5" x14ac:dyDescent="0.25">
      <c r="A11739" s="40"/>
      <c r="B11739" s="40"/>
      <c r="C11739" s="40"/>
      <c r="E11739" s="80"/>
    </row>
    <row r="11740" spans="1:5" x14ac:dyDescent="0.25">
      <c r="A11740" s="40"/>
      <c r="B11740" s="40"/>
      <c r="C11740" s="40"/>
      <c r="E11740" s="80"/>
    </row>
    <row r="11741" spans="1:5" x14ac:dyDescent="0.25">
      <c r="A11741" s="40"/>
      <c r="B11741" s="40"/>
      <c r="C11741" s="40"/>
      <c r="E11741" s="80"/>
    </row>
    <row r="11742" spans="1:5" x14ac:dyDescent="0.25">
      <c r="A11742" s="40"/>
      <c r="B11742" s="40"/>
      <c r="C11742" s="40"/>
      <c r="E11742" s="80"/>
    </row>
    <row r="11743" spans="1:5" x14ac:dyDescent="0.25">
      <c r="A11743" s="40"/>
      <c r="B11743" s="40"/>
      <c r="C11743" s="40"/>
      <c r="E11743" s="80"/>
    </row>
    <row r="11744" spans="1:5" x14ac:dyDescent="0.25">
      <c r="A11744" s="40"/>
      <c r="B11744" s="40"/>
      <c r="C11744" s="40"/>
      <c r="E11744" s="80"/>
    </row>
    <row r="11745" spans="1:5" x14ac:dyDescent="0.25">
      <c r="A11745" s="40"/>
      <c r="B11745" s="40"/>
      <c r="C11745" s="40"/>
      <c r="E11745" s="80"/>
    </row>
    <row r="11746" spans="1:5" x14ac:dyDescent="0.25">
      <c r="A11746" s="40"/>
      <c r="B11746" s="40"/>
      <c r="C11746" s="40"/>
      <c r="E11746" s="80"/>
    </row>
    <row r="11747" spans="1:5" x14ac:dyDescent="0.25">
      <c r="A11747" s="40"/>
      <c r="B11747" s="40"/>
      <c r="C11747" s="40"/>
      <c r="E11747" s="80"/>
    </row>
    <row r="11748" spans="1:5" x14ac:dyDescent="0.25">
      <c r="A11748" s="40"/>
      <c r="B11748" s="40"/>
      <c r="C11748" s="40"/>
      <c r="E11748" s="80"/>
    </row>
    <row r="11749" spans="1:5" x14ac:dyDescent="0.25">
      <c r="A11749" s="40"/>
      <c r="B11749" s="40"/>
      <c r="C11749" s="40"/>
      <c r="E11749" s="80"/>
    </row>
    <row r="11750" spans="1:5" x14ac:dyDescent="0.25">
      <c r="A11750" s="40"/>
      <c r="B11750" s="40"/>
      <c r="C11750" s="40"/>
      <c r="E11750" s="80"/>
    </row>
    <row r="11751" spans="1:5" x14ac:dyDescent="0.25">
      <c r="A11751" s="40"/>
      <c r="B11751" s="40"/>
      <c r="C11751" s="40"/>
      <c r="E11751" s="80"/>
    </row>
    <row r="11752" spans="1:5" x14ac:dyDescent="0.25">
      <c r="A11752" s="40"/>
      <c r="B11752" s="40"/>
      <c r="C11752" s="40"/>
      <c r="E11752" s="80"/>
    </row>
    <row r="11753" spans="1:5" x14ac:dyDescent="0.25">
      <c r="A11753" s="40"/>
      <c r="B11753" s="40"/>
      <c r="C11753" s="40"/>
      <c r="E11753" s="80"/>
    </row>
    <row r="11754" spans="1:5" x14ac:dyDescent="0.25">
      <c r="A11754" s="40"/>
      <c r="B11754" s="40"/>
      <c r="C11754" s="40"/>
      <c r="E11754" s="80"/>
    </row>
    <row r="11755" spans="1:5" x14ac:dyDescent="0.25">
      <c r="A11755" s="40"/>
      <c r="B11755" s="40"/>
      <c r="C11755" s="40"/>
      <c r="E11755" s="80"/>
    </row>
    <row r="11756" spans="1:5" x14ac:dyDescent="0.25">
      <c r="A11756" s="40"/>
      <c r="B11756" s="40"/>
      <c r="C11756" s="40"/>
      <c r="E11756" s="80"/>
    </row>
    <row r="11757" spans="1:5" x14ac:dyDescent="0.25">
      <c r="A11757" s="40"/>
      <c r="B11757" s="40"/>
      <c r="C11757" s="40"/>
      <c r="E11757" s="80"/>
    </row>
    <row r="11758" spans="1:5" x14ac:dyDescent="0.25">
      <c r="A11758" s="40"/>
      <c r="B11758" s="40"/>
      <c r="C11758" s="40"/>
      <c r="E11758" s="80"/>
    </row>
    <row r="11759" spans="1:5" x14ac:dyDescent="0.25">
      <c r="A11759" s="40"/>
      <c r="B11759" s="40"/>
      <c r="C11759" s="40"/>
      <c r="E11759" s="80"/>
    </row>
    <row r="11760" spans="1:5" x14ac:dyDescent="0.25">
      <c r="A11760" s="40"/>
      <c r="B11760" s="40"/>
      <c r="C11760" s="40"/>
      <c r="E11760" s="80"/>
    </row>
    <row r="11761" spans="1:5" x14ac:dyDescent="0.25">
      <c r="A11761" s="40"/>
      <c r="B11761" s="40"/>
      <c r="C11761" s="40"/>
      <c r="E11761" s="80"/>
    </row>
    <row r="11762" spans="1:5" x14ac:dyDescent="0.25">
      <c r="A11762" s="40"/>
      <c r="B11762" s="40"/>
      <c r="C11762" s="40"/>
      <c r="E11762" s="80"/>
    </row>
    <row r="11763" spans="1:5" x14ac:dyDescent="0.25">
      <c r="A11763" s="40"/>
      <c r="B11763" s="40"/>
      <c r="C11763" s="40"/>
      <c r="E11763" s="80"/>
    </row>
    <row r="11764" spans="1:5" x14ac:dyDescent="0.25">
      <c r="A11764" s="40"/>
      <c r="B11764" s="40"/>
      <c r="C11764" s="40"/>
      <c r="E11764" s="80"/>
    </row>
    <row r="11765" spans="1:5" x14ac:dyDescent="0.25">
      <c r="A11765" s="40"/>
      <c r="B11765" s="40"/>
      <c r="C11765" s="40"/>
      <c r="E11765" s="80"/>
    </row>
    <row r="11766" spans="1:5" x14ac:dyDescent="0.25">
      <c r="A11766" s="40"/>
      <c r="B11766" s="40"/>
      <c r="C11766" s="40"/>
      <c r="E11766" s="80"/>
    </row>
    <row r="11767" spans="1:5" x14ac:dyDescent="0.25">
      <c r="A11767" s="40"/>
      <c r="B11767" s="40"/>
      <c r="C11767" s="40"/>
      <c r="E11767" s="80"/>
    </row>
    <row r="11768" spans="1:5" x14ac:dyDescent="0.25">
      <c r="A11768" s="40"/>
      <c r="B11768" s="40"/>
      <c r="C11768" s="40"/>
      <c r="E11768" s="80"/>
    </row>
    <row r="11769" spans="1:5" x14ac:dyDescent="0.25">
      <c r="A11769" s="40"/>
      <c r="B11769" s="40"/>
      <c r="C11769" s="40"/>
      <c r="E11769" s="80"/>
    </row>
    <row r="11770" spans="1:5" x14ac:dyDescent="0.25">
      <c r="A11770" s="40"/>
      <c r="B11770" s="40"/>
      <c r="C11770" s="40"/>
      <c r="E11770" s="80"/>
    </row>
    <row r="11771" spans="1:5" x14ac:dyDescent="0.25">
      <c r="A11771" s="40"/>
      <c r="B11771" s="40"/>
      <c r="C11771" s="40"/>
      <c r="E11771" s="80"/>
    </row>
    <row r="11772" spans="1:5" x14ac:dyDescent="0.25">
      <c r="A11772" s="40"/>
      <c r="B11772" s="40"/>
      <c r="C11772" s="40"/>
      <c r="E11772" s="80"/>
    </row>
    <row r="11773" spans="1:5" x14ac:dyDescent="0.25">
      <c r="A11773" s="40"/>
      <c r="B11773" s="40"/>
      <c r="C11773" s="40"/>
      <c r="E11773" s="80"/>
    </row>
    <row r="11774" spans="1:5" x14ac:dyDescent="0.25">
      <c r="A11774" s="40"/>
      <c r="B11774" s="40"/>
      <c r="C11774" s="40"/>
      <c r="E11774" s="80"/>
    </row>
    <row r="11775" spans="1:5" x14ac:dyDescent="0.25">
      <c r="A11775" s="40"/>
      <c r="B11775" s="40"/>
      <c r="C11775" s="40"/>
      <c r="E11775" s="80"/>
    </row>
    <row r="11776" spans="1:5" x14ac:dyDescent="0.25">
      <c r="A11776" s="40"/>
      <c r="B11776" s="40"/>
      <c r="C11776" s="40"/>
      <c r="E11776" s="80"/>
    </row>
    <row r="11777" spans="1:5" x14ac:dyDescent="0.25">
      <c r="A11777" s="40"/>
      <c r="B11777" s="40"/>
      <c r="C11777" s="40"/>
      <c r="E11777" s="80"/>
    </row>
    <row r="11778" spans="1:5" x14ac:dyDescent="0.25">
      <c r="A11778" s="40"/>
      <c r="B11778" s="40"/>
      <c r="C11778" s="40"/>
      <c r="E11778" s="80"/>
    </row>
    <row r="11779" spans="1:5" x14ac:dyDescent="0.25">
      <c r="A11779" s="40"/>
      <c r="B11779" s="40"/>
      <c r="C11779" s="40"/>
      <c r="E11779" s="80"/>
    </row>
    <row r="11780" spans="1:5" x14ac:dyDescent="0.25">
      <c r="A11780" s="40"/>
      <c r="B11780" s="40"/>
      <c r="C11780" s="40"/>
      <c r="E11780" s="80"/>
    </row>
    <row r="11781" spans="1:5" x14ac:dyDescent="0.25">
      <c r="A11781" s="40"/>
      <c r="B11781" s="40"/>
      <c r="C11781" s="40"/>
      <c r="E11781" s="80"/>
    </row>
    <row r="11782" spans="1:5" x14ac:dyDescent="0.25">
      <c r="A11782" s="40"/>
      <c r="B11782" s="40"/>
      <c r="C11782" s="40"/>
      <c r="E11782" s="80"/>
    </row>
    <row r="11783" spans="1:5" x14ac:dyDescent="0.25">
      <c r="A11783" s="40"/>
      <c r="B11783" s="40"/>
      <c r="C11783" s="40"/>
      <c r="E11783" s="80"/>
    </row>
    <row r="11784" spans="1:5" x14ac:dyDescent="0.25">
      <c r="A11784" s="40"/>
      <c r="B11784" s="40"/>
      <c r="C11784" s="40"/>
      <c r="E11784" s="80"/>
    </row>
    <row r="11785" spans="1:5" x14ac:dyDescent="0.25">
      <c r="A11785" s="40"/>
      <c r="B11785" s="40"/>
      <c r="C11785" s="40"/>
      <c r="E11785" s="80"/>
    </row>
    <row r="11786" spans="1:5" x14ac:dyDescent="0.25">
      <c r="A11786" s="40"/>
      <c r="B11786" s="40"/>
      <c r="C11786" s="40"/>
      <c r="E11786" s="80"/>
    </row>
    <row r="11787" spans="1:5" x14ac:dyDescent="0.25">
      <c r="A11787" s="40"/>
      <c r="B11787" s="40"/>
      <c r="C11787" s="40"/>
      <c r="E11787" s="80"/>
    </row>
    <row r="11788" spans="1:5" x14ac:dyDescent="0.25">
      <c r="A11788" s="40"/>
      <c r="B11788" s="40"/>
      <c r="C11788" s="40"/>
      <c r="E11788" s="80"/>
    </row>
    <row r="11789" spans="1:5" x14ac:dyDescent="0.25">
      <c r="A11789" s="40"/>
      <c r="B11789" s="40"/>
      <c r="C11789" s="40"/>
      <c r="E11789" s="80"/>
    </row>
    <row r="11790" spans="1:5" x14ac:dyDescent="0.25">
      <c r="A11790" s="40"/>
      <c r="B11790" s="40"/>
      <c r="C11790" s="40"/>
      <c r="E11790" s="80"/>
    </row>
    <row r="11791" spans="1:5" x14ac:dyDescent="0.25">
      <c r="A11791" s="40"/>
      <c r="B11791" s="40"/>
      <c r="C11791" s="40"/>
      <c r="E11791" s="80"/>
    </row>
    <row r="11792" spans="1:5" x14ac:dyDescent="0.25">
      <c r="A11792" s="40"/>
      <c r="B11792" s="40"/>
      <c r="C11792" s="40"/>
      <c r="E11792" s="80"/>
    </row>
    <row r="11793" spans="1:5" x14ac:dyDescent="0.25">
      <c r="A11793" s="40"/>
      <c r="B11793" s="40"/>
      <c r="C11793" s="40"/>
      <c r="E11793" s="80"/>
    </row>
    <row r="11794" spans="1:5" x14ac:dyDescent="0.25">
      <c r="A11794" s="40"/>
      <c r="B11794" s="40"/>
      <c r="C11794" s="40"/>
      <c r="E11794" s="80"/>
    </row>
    <row r="11795" spans="1:5" x14ac:dyDescent="0.25">
      <c r="A11795" s="40"/>
      <c r="B11795" s="40"/>
      <c r="C11795" s="40"/>
      <c r="E11795" s="80"/>
    </row>
    <row r="11796" spans="1:5" x14ac:dyDescent="0.25">
      <c r="A11796" s="40"/>
      <c r="B11796" s="40"/>
      <c r="C11796" s="40"/>
      <c r="E11796" s="80"/>
    </row>
    <row r="11797" spans="1:5" x14ac:dyDescent="0.25">
      <c r="A11797" s="40"/>
      <c r="B11797" s="40"/>
      <c r="C11797" s="40"/>
      <c r="E11797" s="80"/>
    </row>
    <row r="11798" spans="1:5" x14ac:dyDescent="0.25">
      <c r="A11798" s="40"/>
      <c r="B11798" s="40"/>
      <c r="C11798" s="40"/>
      <c r="E11798" s="80"/>
    </row>
    <row r="11799" spans="1:5" x14ac:dyDescent="0.25">
      <c r="A11799" s="40"/>
      <c r="B11799" s="40"/>
      <c r="C11799" s="40"/>
      <c r="E11799" s="80"/>
    </row>
    <row r="11800" spans="1:5" x14ac:dyDescent="0.25">
      <c r="A11800" s="40"/>
      <c r="B11800" s="40"/>
      <c r="C11800" s="40"/>
      <c r="E11800" s="80"/>
    </row>
    <row r="11801" spans="1:5" x14ac:dyDescent="0.25">
      <c r="A11801" s="40"/>
      <c r="B11801" s="40"/>
      <c r="C11801" s="40"/>
      <c r="E11801" s="80"/>
    </row>
    <row r="11802" spans="1:5" x14ac:dyDescent="0.25">
      <c r="A11802" s="40"/>
      <c r="B11802" s="40"/>
      <c r="C11802" s="40"/>
      <c r="E11802" s="80"/>
    </row>
    <row r="11803" spans="1:5" x14ac:dyDescent="0.25">
      <c r="A11803" s="40"/>
      <c r="B11803" s="40"/>
      <c r="C11803" s="40"/>
      <c r="E11803" s="80"/>
    </row>
    <row r="11804" spans="1:5" x14ac:dyDescent="0.25">
      <c r="A11804" s="40"/>
      <c r="B11804" s="40"/>
      <c r="C11804" s="40"/>
      <c r="E11804" s="80"/>
    </row>
    <row r="11805" spans="1:5" x14ac:dyDescent="0.25">
      <c r="A11805" s="40"/>
      <c r="B11805" s="40"/>
      <c r="C11805" s="40"/>
      <c r="E11805" s="80"/>
    </row>
    <row r="11806" spans="1:5" x14ac:dyDescent="0.25">
      <c r="A11806" s="40"/>
      <c r="B11806" s="40"/>
      <c r="C11806" s="40"/>
      <c r="E11806" s="80"/>
    </row>
    <row r="11807" spans="1:5" x14ac:dyDescent="0.25">
      <c r="A11807" s="40"/>
      <c r="B11807" s="40"/>
      <c r="C11807" s="40"/>
      <c r="E11807" s="80"/>
    </row>
    <row r="11808" spans="1:5" x14ac:dyDescent="0.25">
      <c r="A11808" s="40"/>
      <c r="B11808" s="40"/>
      <c r="C11808" s="40"/>
      <c r="E11808" s="80"/>
    </row>
    <row r="11809" spans="1:5" x14ac:dyDescent="0.25">
      <c r="A11809" s="40"/>
      <c r="B11809" s="40"/>
      <c r="C11809" s="40"/>
      <c r="E11809" s="80"/>
    </row>
    <row r="11810" spans="1:5" x14ac:dyDescent="0.25">
      <c r="A11810" s="40"/>
      <c r="B11810" s="40"/>
      <c r="C11810" s="40"/>
      <c r="E11810" s="80"/>
    </row>
    <row r="11811" spans="1:5" x14ac:dyDescent="0.25">
      <c r="A11811" s="40"/>
      <c r="B11811" s="40"/>
      <c r="C11811" s="40"/>
      <c r="E11811" s="80"/>
    </row>
    <row r="11812" spans="1:5" x14ac:dyDescent="0.25">
      <c r="A11812" s="40"/>
      <c r="B11812" s="40"/>
      <c r="C11812" s="40"/>
      <c r="E11812" s="80"/>
    </row>
    <row r="11813" spans="1:5" x14ac:dyDescent="0.25">
      <c r="A11813" s="40"/>
      <c r="B11813" s="40"/>
      <c r="C11813" s="40"/>
      <c r="E11813" s="80"/>
    </row>
    <row r="11814" spans="1:5" x14ac:dyDescent="0.25">
      <c r="A11814" s="40"/>
      <c r="B11814" s="40"/>
      <c r="C11814" s="40"/>
      <c r="E11814" s="80"/>
    </row>
    <row r="11815" spans="1:5" x14ac:dyDescent="0.25">
      <c r="A11815" s="40"/>
      <c r="B11815" s="40"/>
      <c r="C11815" s="40"/>
      <c r="E11815" s="80"/>
    </row>
    <row r="11816" spans="1:5" x14ac:dyDescent="0.25">
      <c r="A11816" s="40"/>
      <c r="B11816" s="40"/>
      <c r="C11816" s="40"/>
      <c r="E11816" s="80"/>
    </row>
    <row r="11817" spans="1:5" x14ac:dyDescent="0.25">
      <c r="A11817" s="40"/>
      <c r="B11817" s="40"/>
      <c r="C11817" s="40"/>
      <c r="E11817" s="80"/>
    </row>
    <row r="11818" spans="1:5" x14ac:dyDescent="0.25">
      <c r="A11818" s="40"/>
      <c r="B11818" s="40"/>
      <c r="C11818" s="40"/>
      <c r="E11818" s="80"/>
    </row>
    <row r="11819" spans="1:5" x14ac:dyDescent="0.25">
      <c r="A11819" s="40"/>
      <c r="B11819" s="40"/>
      <c r="C11819" s="40"/>
      <c r="E11819" s="80"/>
    </row>
    <row r="11820" spans="1:5" x14ac:dyDescent="0.25">
      <c r="A11820" s="40"/>
      <c r="B11820" s="40"/>
      <c r="C11820" s="40"/>
      <c r="E11820" s="80"/>
    </row>
    <row r="11821" spans="1:5" x14ac:dyDescent="0.25">
      <c r="A11821" s="40"/>
      <c r="B11821" s="40"/>
      <c r="C11821" s="40"/>
      <c r="E11821" s="80"/>
    </row>
    <row r="11822" spans="1:5" x14ac:dyDescent="0.25">
      <c r="A11822" s="40"/>
      <c r="B11822" s="40"/>
      <c r="C11822" s="40"/>
      <c r="E11822" s="80"/>
    </row>
    <row r="11823" spans="1:5" x14ac:dyDescent="0.25">
      <c r="A11823" s="40"/>
      <c r="B11823" s="40"/>
      <c r="C11823" s="40"/>
      <c r="E11823" s="80"/>
    </row>
    <row r="11824" spans="1:5" x14ac:dyDescent="0.25">
      <c r="A11824" s="40"/>
      <c r="B11824" s="40"/>
      <c r="C11824" s="40"/>
      <c r="E11824" s="80"/>
    </row>
    <row r="11825" spans="1:5" x14ac:dyDescent="0.25">
      <c r="A11825" s="40"/>
      <c r="B11825" s="40"/>
      <c r="C11825" s="40"/>
      <c r="E11825" s="80"/>
    </row>
    <row r="11826" spans="1:5" x14ac:dyDescent="0.25">
      <c r="A11826" s="40"/>
      <c r="B11826" s="40"/>
      <c r="C11826" s="40"/>
      <c r="E11826" s="80"/>
    </row>
    <row r="11827" spans="1:5" x14ac:dyDescent="0.25">
      <c r="A11827" s="40"/>
      <c r="B11827" s="40"/>
      <c r="C11827" s="40"/>
      <c r="E11827" s="80"/>
    </row>
    <row r="11828" spans="1:5" x14ac:dyDescent="0.25">
      <c r="A11828" s="40"/>
      <c r="B11828" s="40"/>
      <c r="C11828" s="40"/>
      <c r="E11828" s="80"/>
    </row>
    <row r="11829" spans="1:5" x14ac:dyDescent="0.25">
      <c r="A11829" s="40"/>
      <c r="B11829" s="40"/>
      <c r="C11829" s="40"/>
      <c r="E11829" s="80"/>
    </row>
    <row r="11830" spans="1:5" x14ac:dyDescent="0.25">
      <c r="A11830" s="40"/>
      <c r="B11830" s="40"/>
      <c r="C11830" s="40"/>
      <c r="E11830" s="80"/>
    </row>
    <row r="11831" spans="1:5" x14ac:dyDescent="0.25">
      <c r="A11831" s="40"/>
      <c r="B11831" s="40"/>
      <c r="C11831" s="40"/>
      <c r="E11831" s="80"/>
    </row>
    <row r="11832" spans="1:5" x14ac:dyDescent="0.25">
      <c r="A11832" s="40"/>
      <c r="B11832" s="40"/>
      <c r="C11832" s="40"/>
      <c r="E11832" s="80"/>
    </row>
    <row r="11833" spans="1:5" x14ac:dyDescent="0.25">
      <c r="A11833" s="40"/>
      <c r="B11833" s="40"/>
      <c r="C11833" s="40"/>
      <c r="E11833" s="80"/>
    </row>
  </sheetData>
  <sheetProtection selectLockedCells="1"/>
  <pageMargins left="0.7" right="0.7" top="0.78740157499999996" bottom="0.78740157499999996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KUNDENLISTE_SuperSave">
                <anchor moveWithCells="1" sizeWithCells="1">
                  <from>
                    <xdr:col>4</xdr:col>
                    <xdr:colOff>285750</xdr:colOff>
                    <xdr:row>0</xdr:row>
                    <xdr:rowOff>0</xdr:rowOff>
                  </from>
                  <to>
                    <xdr:col>7</xdr:col>
                    <xdr:colOff>228600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Auswertung_erstellen">
                <anchor moveWithCells="1" sizeWithCells="1">
                  <from>
                    <xdr:col>1</xdr:col>
                    <xdr:colOff>1085850</xdr:colOff>
                    <xdr:row>0</xdr:row>
                    <xdr:rowOff>9525</xdr:rowOff>
                  </from>
                  <to>
                    <xdr:col>4</xdr:col>
                    <xdr:colOff>219075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41839-212B-4588-9E43-697611832B73}">
  <sheetPr codeName="Tabelle4"/>
  <dimension ref="A1:J930"/>
  <sheetViews>
    <sheetView workbookViewId="0">
      <pane ySplit="1" topLeftCell="A90" activePane="bottomLeft" state="frozen"/>
      <selection pane="bottomLeft" activeCell="B103" sqref="B103"/>
    </sheetView>
  </sheetViews>
  <sheetFormatPr baseColWidth="10" defaultColWidth="11.42578125" defaultRowHeight="15" x14ac:dyDescent="0.25"/>
  <cols>
    <col min="1" max="1" width="12" customWidth="1"/>
    <col min="2" max="2" width="27.42578125" customWidth="1"/>
    <col min="3" max="3" width="23.28515625" customWidth="1"/>
    <col min="4" max="4" width="15.85546875" style="37" customWidth="1"/>
    <col min="5" max="5" width="18.28515625" style="1" customWidth="1"/>
  </cols>
  <sheetData>
    <row r="1" spans="1:10" x14ac:dyDescent="0.25">
      <c r="A1" t="s">
        <v>0</v>
      </c>
      <c r="B1" t="s">
        <v>1</v>
      </c>
      <c r="C1" t="s">
        <v>2</v>
      </c>
      <c r="D1" s="37" t="s">
        <v>3</v>
      </c>
      <c r="E1" s="1" t="s">
        <v>4</v>
      </c>
      <c r="F1" t="s">
        <v>69</v>
      </c>
      <c r="G1" t="s">
        <v>654</v>
      </c>
      <c r="H1" t="s">
        <v>768</v>
      </c>
    </row>
    <row r="2" spans="1:10" x14ac:dyDescent="0.25">
      <c r="A2">
        <v>10000</v>
      </c>
      <c r="B2" t="s">
        <v>700</v>
      </c>
      <c r="C2" t="s">
        <v>701</v>
      </c>
      <c r="G2" s="47" t="str">
        <f>IF(Tabelle1[[#This Row],[Kunde Nr.]]&lt;$I$2,$J$2,IF(Tabelle1[[#This Row],[Kunde Nr.]]&lt;$I$3,$J$3,IF(Tabelle1[[#This Row],[Kunde Nr.]]&lt;$I$4,$J$4,0)))</f>
        <v>Qerimi</v>
      </c>
      <c r="I2">
        <v>20000</v>
      </c>
      <c r="J2" t="s">
        <v>655</v>
      </c>
    </row>
    <row r="3" spans="1:10" x14ac:dyDescent="0.25">
      <c r="A3">
        <v>10101</v>
      </c>
      <c r="B3" t="s">
        <v>563</v>
      </c>
      <c r="C3" t="s">
        <v>659</v>
      </c>
      <c r="G3" t="str">
        <f>IF(Tabelle1[[#This Row],[Kunde Nr.]]&lt;$I$2,$J$2,IF(Tabelle1[[#This Row],[Kunde Nr.]]&lt;$I$3,$J$3,IF(Tabelle1[[#This Row],[Kunde Nr.]]&lt;$I$4,$J$4,0)))</f>
        <v>Qerimi</v>
      </c>
      <c r="I3">
        <v>30000</v>
      </c>
      <c r="J3" t="s">
        <v>656</v>
      </c>
    </row>
    <row r="4" spans="1:10" x14ac:dyDescent="0.25">
      <c r="A4">
        <v>10102</v>
      </c>
      <c r="B4" t="s">
        <v>564</v>
      </c>
      <c r="C4" t="s">
        <v>659</v>
      </c>
      <c r="G4" t="str">
        <f>IF(Tabelle1[[#This Row],[Kunde Nr.]]&lt;$I$2,$J$2,IF(Tabelle1[[#This Row],[Kunde Nr.]]&lt;$I$3,$J$3,IF(Tabelle1[[#This Row],[Kunde Nr.]]&lt;$I$4,$J$4,"KIM TEC")))</f>
        <v>Qerimi</v>
      </c>
      <c r="I4">
        <v>40000</v>
      </c>
      <c r="J4" t="s">
        <v>657</v>
      </c>
    </row>
    <row r="5" spans="1:10" x14ac:dyDescent="0.25">
      <c r="A5">
        <v>10103</v>
      </c>
      <c r="B5" t="s">
        <v>565</v>
      </c>
      <c r="C5" t="s">
        <v>659</v>
      </c>
      <c r="G5" t="str">
        <f>IF(Tabelle1[[#This Row],[Kunde Nr.]]&lt;$I$2,$J$2,IF(Tabelle1[[#This Row],[Kunde Nr.]]&lt;$I$3,$J$3,IF(Tabelle1[[#This Row],[Kunde Nr.]]&lt;$I$4,$J$4,0)))</f>
        <v>Qerimi</v>
      </c>
    </row>
    <row r="6" spans="1:10" x14ac:dyDescent="0.25">
      <c r="A6">
        <v>10104</v>
      </c>
      <c r="B6" t="s">
        <v>566</v>
      </c>
      <c r="C6" t="s">
        <v>659</v>
      </c>
      <c r="G6" t="str">
        <f>IF(Tabelle1[[#This Row],[Kunde Nr.]]&lt;$I$2,$J$2,IF(Tabelle1[[#This Row],[Kunde Nr.]]&lt;$I$3,$J$3,IF(Tabelle1[[#This Row],[Kunde Nr.]]&lt;$I$4,$J$4,0)))</f>
        <v>Qerimi</v>
      </c>
    </row>
    <row r="7" spans="1:10" x14ac:dyDescent="0.25">
      <c r="A7">
        <v>10105</v>
      </c>
      <c r="B7" t="s">
        <v>567</v>
      </c>
      <c r="C7" t="s">
        <v>659</v>
      </c>
      <c r="G7" t="str">
        <f>IF(Tabelle1[[#This Row],[Kunde Nr.]]&lt;$I$2,$J$2,IF(Tabelle1[[#This Row],[Kunde Nr.]]&lt;$I$3,$J$3,IF(Tabelle1[[#This Row],[Kunde Nr.]]&lt;$I$4,$J$4,0)))</f>
        <v>Qerimi</v>
      </c>
    </row>
    <row r="8" spans="1:10" x14ac:dyDescent="0.25">
      <c r="A8">
        <v>10106</v>
      </c>
      <c r="B8" t="s">
        <v>568</v>
      </c>
      <c r="C8" t="s">
        <v>659</v>
      </c>
      <c r="G8" t="str">
        <f>IF(Tabelle1[[#This Row],[Kunde Nr.]]&lt;$I$2,$J$2,IF(Tabelle1[[#This Row],[Kunde Nr.]]&lt;$I$3,$J$3,IF(Tabelle1[[#This Row],[Kunde Nr.]]&lt;$I$4,$J$4,0)))</f>
        <v>Qerimi</v>
      </c>
    </row>
    <row r="9" spans="1:10" x14ac:dyDescent="0.25">
      <c r="A9">
        <v>10107</v>
      </c>
      <c r="B9" t="s">
        <v>569</v>
      </c>
      <c r="C9" t="s">
        <v>659</v>
      </c>
      <c r="G9" t="str">
        <f>IF(Tabelle1[[#This Row],[Kunde Nr.]]&lt;$I$2,$J$2,IF(Tabelle1[[#This Row],[Kunde Nr.]]&lt;$I$3,$J$3,IF(Tabelle1[[#This Row],[Kunde Nr.]]&lt;$I$4,$J$4,0)))</f>
        <v>Qerimi</v>
      </c>
    </row>
    <row r="10" spans="1:10" x14ac:dyDescent="0.25">
      <c r="A10">
        <v>10108</v>
      </c>
      <c r="B10" t="s">
        <v>570</v>
      </c>
      <c r="C10" t="s">
        <v>659</v>
      </c>
      <c r="G10" t="str">
        <f>IF(Tabelle1[[#This Row],[Kunde Nr.]]&lt;$I$2,$J$2,IF(Tabelle1[[#This Row],[Kunde Nr.]]&lt;$I$3,$J$3,IF(Tabelle1[[#This Row],[Kunde Nr.]]&lt;$I$4,$J$4,0)))</f>
        <v>Qerimi</v>
      </c>
    </row>
    <row r="11" spans="1:10" x14ac:dyDescent="0.25">
      <c r="A11">
        <v>10109</v>
      </c>
      <c r="B11" t="s">
        <v>571</v>
      </c>
      <c r="C11" t="s">
        <v>659</v>
      </c>
      <c r="G11" t="str">
        <f>IF(Tabelle1[[#This Row],[Kunde Nr.]]&lt;$I$2,$J$2,IF(Tabelle1[[#This Row],[Kunde Nr.]]&lt;$I$3,$J$3,IF(Tabelle1[[#This Row],[Kunde Nr.]]&lt;$I$4,$J$4,0)))</f>
        <v>Qerimi</v>
      </c>
    </row>
    <row r="12" spans="1:10" x14ac:dyDescent="0.25">
      <c r="A12">
        <v>10110</v>
      </c>
      <c r="B12" t="s">
        <v>572</v>
      </c>
      <c r="C12" t="s">
        <v>659</v>
      </c>
      <c r="G12" t="str">
        <f>IF(Tabelle1[[#This Row],[Kunde Nr.]]&lt;$I$2,$J$2,IF(Tabelle1[[#This Row],[Kunde Nr.]]&lt;$I$3,$J$3,IF(Tabelle1[[#This Row],[Kunde Nr.]]&lt;$I$4,$J$4,0)))</f>
        <v>Qerimi</v>
      </c>
    </row>
    <row r="13" spans="1:10" x14ac:dyDescent="0.25">
      <c r="A13">
        <v>10111</v>
      </c>
      <c r="B13" t="s">
        <v>573</v>
      </c>
      <c r="C13" t="s">
        <v>659</v>
      </c>
      <c r="G13" t="str">
        <f>IF(Tabelle1[[#This Row],[Kunde Nr.]]&lt;$I$2,$J$2,IF(Tabelle1[[#This Row],[Kunde Nr.]]&lt;$I$3,$J$3,IF(Tabelle1[[#This Row],[Kunde Nr.]]&lt;$I$4,$J$4,0)))</f>
        <v>Qerimi</v>
      </c>
    </row>
    <row r="14" spans="1:10" x14ac:dyDescent="0.25">
      <c r="A14">
        <v>10112</v>
      </c>
      <c r="B14" t="s">
        <v>574</v>
      </c>
      <c r="C14" t="s">
        <v>659</v>
      </c>
      <c r="G14" t="str">
        <f>IF(Tabelle1[[#This Row],[Kunde Nr.]]&lt;$I$2,$J$2,IF(Tabelle1[[#This Row],[Kunde Nr.]]&lt;$I$3,$J$3,IF(Tabelle1[[#This Row],[Kunde Nr.]]&lt;$I$4,$J$4,0)))</f>
        <v>Qerimi</v>
      </c>
    </row>
    <row r="15" spans="1:10" x14ac:dyDescent="0.25">
      <c r="A15">
        <v>10113</v>
      </c>
      <c r="B15" t="s">
        <v>575</v>
      </c>
      <c r="C15" t="s">
        <v>581</v>
      </c>
      <c r="G15" t="str">
        <f>IF(Tabelle1[[#This Row],[Kunde Nr.]]&lt;$I$2,$J$2,IF(Tabelle1[[#This Row],[Kunde Nr.]]&lt;$I$3,$J$3,IF(Tabelle1[[#This Row],[Kunde Nr.]]&lt;$I$4,$J$4,0)))</f>
        <v>Qerimi</v>
      </c>
    </row>
    <row r="16" spans="1:10" x14ac:dyDescent="0.25">
      <c r="A16">
        <v>10114</v>
      </c>
      <c r="B16" t="s">
        <v>576</v>
      </c>
      <c r="C16" t="s">
        <v>581</v>
      </c>
      <c r="G16" t="str">
        <f>IF(Tabelle1[[#This Row],[Kunde Nr.]]&lt;$I$2,$J$2,IF(Tabelle1[[#This Row],[Kunde Nr.]]&lt;$I$3,$J$3,IF(Tabelle1[[#This Row],[Kunde Nr.]]&lt;$I$4,$J$4,0)))</f>
        <v>Qerimi</v>
      </c>
    </row>
    <row r="17" spans="1:7" x14ac:dyDescent="0.25">
      <c r="A17">
        <v>10115</v>
      </c>
      <c r="B17" t="s">
        <v>577</v>
      </c>
      <c r="C17" t="s">
        <v>581</v>
      </c>
      <c r="G17" t="str">
        <f>IF(Tabelle1[[#This Row],[Kunde Nr.]]&lt;$I$2,$J$2,IF(Tabelle1[[#This Row],[Kunde Nr.]]&lt;$I$3,$J$3,IF(Tabelle1[[#This Row],[Kunde Nr.]]&lt;$I$4,$J$4,0)))</f>
        <v>Qerimi</v>
      </c>
    </row>
    <row r="18" spans="1:7" x14ac:dyDescent="0.25">
      <c r="A18">
        <v>10116</v>
      </c>
      <c r="B18" t="s">
        <v>578</v>
      </c>
      <c r="C18" t="s">
        <v>581</v>
      </c>
      <c r="G18" t="str">
        <f>IF(Tabelle1[[#This Row],[Kunde Nr.]]&lt;$I$2,$J$2,IF(Tabelle1[[#This Row],[Kunde Nr.]]&lt;$I$3,$J$3,IF(Tabelle1[[#This Row],[Kunde Nr.]]&lt;$I$4,$J$4,0)))</f>
        <v>Qerimi</v>
      </c>
    </row>
    <row r="19" spans="1:7" x14ac:dyDescent="0.25">
      <c r="A19">
        <v>10117</v>
      </c>
      <c r="B19" t="s">
        <v>579</v>
      </c>
      <c r="C19" t="s">
        <v>659</v>
      </c>
      <c r="G19" t="str">
        <f>IF(Tabelle1[[#This Row],[Kunde Nr.]]&lt;$I$2,$J$2,IF(Tabelle1[[#This Row],[Kunde Nr.]]&lt;$I$3,$J$3,IF(Tabelle1[[#This Row],[Kunde Nr.]]&lt;$I$4,$J$4,0)))</f>
        <v>Qerimi</v>
      </c>
    </row>
    <row r="20" spans="1:7" x14ac:dyDescent="0.25">
      <c r="A20">
        <v>10118</v>
      </c>
      <c r="B20" t="s">
        <v>580</v>
      </c>
      <c r="C20" t="s">
        <v>659</v>
      </c>
      <c r="G20" t="str">
        <f>IF(Tabelle1[[#This Row],[Kunde Nr.]]&lt;$I$2,$J$2,IF(Tabelle1[[#This Row],[Kunde Nr.]]&lt;$I$3,$J$3,IF(Tabelle1[[#This Row],[Kunde Nr.]]&lt;$I$4,$J$4,0)))</f>
        <v>Qerimi</v>
      </c>
    </row>
    <row r="21" spans="1:7" x14ac:dyDescent="0.25">
      <c r="A21">
        <v>10119</v>
      </c>
      <c r="B21" t="s">
        <v>582</v>
      </c>
      <c r="C21" t="s">
        <v>659</v>
      </c>
      <c r="G21" t="str">
        <f>IF(Tabelle1[[#This Row],[Kunde Nr.]]&lt;$I$2,$J$2,IF(Tabelle1[[#This Row],[Kunde Nr.]]&lt;$I$3,$J$3,IF(Tabelle1[[#This Row],[Kunde Nr.]]&lt;$I$4,$J$4,0)))</f>
        <v>Qerimi</v>
      </c>
    </row>
    <row r="22" spans="1:7" x14ac:dyDescent="0.25">
      <c r="A22">
        <v>10120</v>
      </c>
      <c r="B22" t="s">
        <v>583</v>
      </c>
      <c r="C22" t="s">
        <v>659</v>
      </c>
      <c r="G22" t="str">
        <f>IF(Tabelle1[[#This Row],[Kunde Nr.]]&lt;$I$2,$J$2,IF(Tabelle1[[#This Row],[Kunde Nr.]]&lt;$I$3,$J$3,IF(Tabelle1[[#This Row],[Kunde Nr.]]&lt;$I$4,$J$4,0)))</f>
        <v>Qerimi</v>
      </c>
    </row>
    <row r="23" spans="1:7" x14ac:dyDescent="0.25">
      <c r="A23">
        <v>10121</v>
      </c>
      <c r="B23" t="s">
        <v>584</v>
      </c>
      <c r="C23" t="s">
        <v>585</v>
      </c>
      <c r="G23" t="str">
        <f>IF(Tabelle1[[#This Row],[Kunde Nr.]]&lt;$I$2,$J$2,IF(Tabelle1[[#This Row],[Kunde Nr.]]&lt;$I$3,$J$3,IF(Tabelle1[[#This Row],[Kunde Nr.]]&lt;$I$4,$J$4,0)))</f>
        <v>Qerimi</v>
      </c>
    </row>
    <row r="24" spans="1:7" x14ac:dyDescent="0.25">
      <c r="A24">
        <v>10122</v>
      </c>
      <c r="B24" t="s">
        <v>586</v>
      </c>
      <c r="C24" t="s">
        <v>585</v>
      </c>
      <c r="G24" t="str">
        <f>IF(Tabelle1[[#This Row],[Kunde Nr.]]&lt;$I$2,$J$2,IF(Tabelle1[[#This Row],[Kunde Nr.]]&lt;$I$3,$J$3,IF(Tabelle1[[#This Row],[Kunde Nr.]]&lt;$I$4,$J$4,0)))</f>
        <v>Qerimi</v>
      </c>
    </row>
    <row r="25" spans="1:7" x14ac:dyDescent="0.25">
      <c r="A25">
        <v>10123</v>
      </c>
      <c r="B25" t="s">
        <v>591</v>
      </c>
      <c r="C25" t="s">
        <v>585</v>
      </c>
      <c r="G25" t="str">
        <f>IF(Tabelle1[[#This Row],[Kunde Nr.]]&lt;$I$2,$J$2,IF(Tabelle1[[#This Row],[Kunde Nr.]]&lt;$I$3,$J$3,IF(Tabelle1[[#This Row],[Kunde Nr.]]&lt;$I$4,$J$4,0)))</f>
        <v>Qerimi</v>
      </c>
    </row>
    <row r="26" spans="1:7" x14ac:dyDescent="0.25">
      <c r="A26">
        <v>10124</v>
      </c>
      <c r="B26" t="s">
        <v>587</v>
      </c>
      <c r="C26" t="s">
        <v>585</v>
      </c>
      <c r="G26" t="str">
        <f>IF(Tabelle1[[#This Row],[Kunde Nr.]]&lt;$I$2,$J$2,IF(Tabelle1[[#This Row],[Kunde Nr.]]&lt;$I$3,$J$3,IF(Tabelle1[[#This Row],[Kunde Nr.]]&lt;$I$4,$J$4,0)))</f>
        <v>Qerimi</v>
      </c>
    </row>
    <row r="27" spans="1:7" x14ac:dyDescent="0.25">
      <c r="A27">
        <v>10125</v>
      </c>
      <c r="B27" t="s">
        <v>19</v>
      </c>
      <c r="C27" t="s">
        <v>585</v>
      </c>
      <c r="G27" t="str">
        <f>IF(Tabelle1[[#This Row],[Kunde Nr.]]&lt;$I$2,$J$2,IF(Tabelle1[[#This Row],[Kunde Nr.]]&lt;$I$3,$J$3,IF(Tabelle1[[#This Row],[Kunde Nr.]]&lt;$I$4,$J$4,0)))</f>
        <v>Qerimi</v>
      </c>
    </row>
    <row r="28" spans="1:7" x14ac:dyDescent="0.25">
      <c r="A28">
        <v>10126</v>
      </c>
      <c r="B28" t="s">
        <v>588</v>
      </c>
      <c r="C28" t="s">
        <v>585</v>
      </c>
      <c r="G28" t="str">
        <f>IF(Tabelle1[[#This Row],[Kunde Nr.]]&lt;$I$2,$J$2,IF(Tabelle1[[#This Row],[Kunde Nr.]]&lt;$I$3,$J$3,IF(Tabelle1[[#This Row],[Kunde Nr.]]&lt;$I$4,$J$4,0)))</f>
        <v>Qerimi</v>
      </c>
    </row>
    <row r="29" spans="1:7" x14ac:dyDescent="0.25">
      <c r="A29">
        <v>10127</v>
      </c>
      <c r="B29" t="s">
        <v>589</v>
      </c>
      <c r="C29" t="s">
        <v>659</v>
      </c>
      <c r="G29" t="str">
        <f>IF(Tabelle1[[#This Row],[Kunde Nr.]]&lt;$I$2,$J$2,IF(Tabelle1[[#This Row],[Kunde Nr.]]&lt;$I$3,$J$3,IF(Tabelle1[[#This Row],[Kunde Nr.]]&lt;$I$4,$J$4,0)))</f>
        <v>Qerimi</v>
      </c>
    </row>
    <row r="30" spans="1:7" x14ac:dyDescent="0.25">
      <c r="A30">
        <v>10128</v>
      </c>
      <c r="B30" t="s">
        <v>590</v>
      </c>
      <c r="C30" t="s">
        <v>585</v>
      </c>
      <c r="G30" t="str">
        <f>IF(Tabelle1[[#This Row],[Kunde Nr.]]&lt;$I$2,$J$2,IF(Tabelle1[[#This Row],[Kunde Nr.]]&lt;$I$3,$J$3,IF(Tabelle1[[#This Row],[Kunde Nr.]]&lt;$I$4,$J$4,0)))</f>
        <v>Qerimi</v>
      </c>
    </row>
    <row r="31" spans="1:7" x14ac:dyDescent="0.25">
      <c r="A31">
        <v>10130</v>
      </c>
      <c r="B31" t="s">
        <v>753</v>
      </c>
      <c r="C31" t="s">
        <v>736</v>
      </c>
      <c r="G31" s="47" t="str">
        <f>IF(Tabelle1[[#This Row],[Kunde Nr.]]&lt;$I$2,$J$2,IF(Tabelle1[[#This Row],[Kunde Nr.]]&lt;$I$3,$J$3,IF(Tabelle1[[#This Row],[Kunde Nr.]]&lt;$I$4,$J$4,0)))</f>
        <v>Qerimi</v>
      </c>
    </row>
    <row r="32" spans="1:7" x14ac:dyDescent="0.25">
      <c r="A32">
        <v>10131</v>
      </c>
      <c r="B32" t="s">
        <v>911</v>
      </c>
      <c r="C32" t="s">
        <v>736</v>
      </c>
      <c r="G32" s="47" t="str">
        <f>IF(Tabelle1[[#This Row],[Kunde Nr.]]&lt;$I$2,$J$2,IF(Tabelle1[[#This Row],[Kunde Nr.]]&lt;$I$3,$J$3,IF(Tabelle1[[#This Row],[Kunde Nr.]]&lt;$I$4,$J$4,0)))</f>
        <v>Qerimi</v>
      </c>
    </row>
    <row r="33" spans="1:7" x14ac:dyDescent="0.25">
      <c r="A33">
        <v>10132</v>
      </c>
      <c r="B33" t="s">
        <v>1187</v>
      </c>
      <c r="C33" t="s">
        <v>659</v>
      </c>
      <c r="G33" s="47" t="str">
        <f>IF(Tabelle1[[#This Row],[Kunde Nr.]]&lt;$I$2,$J$2,IF(Tabelle1[[#This Row],[Kunde Nr.]]&lt;$I$3,$J$3,IF(Tabelle1[[#This Row],[Kunde Nr.]]&lt;$I$4,$J$4,0)))</f>
        <v>Qerimi</v>
      </c>
    </row>
    <row r="34" spans="1:7" x14ac:dyDescent="0.25">
      <c r="A34">
        <v>10133</v>
      </c>
      <c r="B34" t="s">
        <v>1188</v>
      </c>
      <c r="C34" t="s">
        <v>659</v>
      </c>
      <c r="G34" s="47" t="str">
        <f>IF(Tabelle1[[#This Row],[Kunde Nr.]]&lt;$I$2,$J$2,IF(Tabelle1[[#This Row],[Kunde Nr.]]&lt;$I$3,$J$3,IF(Tabelle1[[#This Row],[Kunde Nr.]]&lt;$I$4,$J$4,0)))</f>
        <v>Qerimi</v>
      </c>
    </row>
    <row r="35" spans="1:7" x14ac:dyDescent="0.25">
      <c r="A35">
        <v>10134</v>
      </c>
      <c r="B35" t="s">
        <v>1189</v>
      </c>
      <c r="C35" t="s">
        <v>659</v>
      </c>
      <c r="G35" s="47" t="str">
        <f>IF(Tabelle1[[#This Row],[Kunde Nr.]]&lt;$I$2,$J$2,IF(Tabelle1[[#This Row],[Kunde Nr.]]&lt;$I$3,$J$3,IF(Tabelle1[[#This Row],[Kunde Nr.]]&lt;$I$4,$J$4,0)))</f>
        <v>Qerimi</v>
      </c>
    </row>
    <row r="36" spans="1:7" x14ac:dyDescent="0.25">
      <c r="A36">
        <v>10135</v>
      </c>
      <c r="B36" t="s">
        <v>1190</v>
      </c>
      <c r="C36" t="s">
        <v>659</v>
      </c>
      <c r="G36" s="47" t="str">
        <f>IF(Tabelle1[[#This Row],[Kunde Nr.]]&lt;$I$2,$J$2,IF(Tabelle1[[#This Row],[Kunde Nr.]]&lt;$I$3,$J$3,IF(Tabelle1[[#This Row],[Kunde Nr.]]&lt;$I$4,$J$4,0)))</f>
        <v>Qerimi</v>
      </c>
    </row>
    <row r="37" spans="1:7" x14ac:dyDescent="0.25">
      <c r="A37">
        <v>10136</v>
      </c>
      <c r="B37" t="s">
        <v>1191</v>
      </c>
      <c r="C37" t="s">
        <v>659</v>
      </c>
      <c r="G37" s="47" t="str">
        <f>IF(Tabelle1[[#This Row],[Kunde Nr.]]&lt;$I$2,$J$2,IF(Tabelle1[[#This Row],[Kunde Nr.]]&lt;$I$3,$J$3,IF(Tabelle1[[#This Row],[Kunde Nr.]]&lt;$I$4,$J$4,0)))</f>
        <v>Qerimi</v>
      </c>
    </row>
    <row r="38" spans="1:7" x14ac:dyDescent="0.25">
      <c r="A38">
        <v>10137</v>
      </c>
      <c r="B38" t="s">
        <v>1192</v>
      </c>
      <c r="C38" t="s">
        <v>659</v>
      </c>
      <c r="G38" s="47" t="str">
        <f>IF(Tabelle1[[#This Row],[Kunde Nr.]]&lt;$I$2,$J$2,IF(Tabelle1[[#This Row],[Kunde Nr.]]&lt;$I$3,$J$3,IF(Tabelle1[[#This Row],[Kunde Nr.]]&lt;$I$4,$J$4,0)))</f>
        <v>Qerimi</v>
      </c>
    </row>
    <row r="39" spans="1:7" x14ac:dyDescent="0.25">
      <c r="A39">
        <v>10138</v>
      </c>
      <c r="B39" t="s">
        <v>1193</v>
      </c>
      <c r="C39" t="s">
        <v>659</v>
      </c>
      <c r="G39" s="47" t="str">
        <f>IF(Tabelle1[[#This Row],[Kunde Nr.]]&lt;$I$2,$J$2,IF(Tabelle1[[#This Row],[Kunde Nr.]]&lt;$I$3,$J$3,IF(Tabelle1[[#This Row],[Kunde Nr.]]&lt;$I$4,$J$4,0)))</f>
        <v>Qerimi</v>
      </c>
    </row>
    <row r="40" spans="1:7" x14ac:dyDescent="0.25">
      <c r="A40">
        <v>10139</v>
      </c>
      <c r="B40" t="s">
        <v>1194</v>
      </c>
      <c r="C40" t="s">
        <v>659</v>
      </c>
      <c r="G40" s="47" t="str">
        <f>IF(Tabelle1[[#This Row],[Kunde Nr.]]&lt;$I$2,$J$2,IF(Tabelle1[[#This Row],[Kunde Nr.]]&lt;$I$3,$J$3,IF(Tabelle1[[#This Row],[Kunde Nr.]]&lt;$I$4,$J$4,0)))</f>
        <v>Qerimi</v>
      </c>
    </row>
    <row r="41" spans="1:7" x14ac:dyDescent="0.25">
      <c r="A41">
        <v>10140</v>
      </c>
      <c r="B41" t="s">
        <v>379</v>
      </c>
      <c r="C41" t="s">
        <v>659</v>
      </c>
      <c r="G41" s="47" t="str">
        <f>IF(Tabelle1[[#This Row],[Kunde Nr.]]&lt;$I$2,$J$2,IF(Tabelle1[[#This Row],[Kunde Nr.]]&lt;$I$3,$J$3,IF(Tabelle1[[#This Row],[Kunde Nr.]]&lt;$I$4,$J$4,0)))</f>
        <v>Qerimi</v>
      </c>
    </row>
    <row r="42" spans="1:7" x14ac:dyDescent="0.25">
      <c r="A42">
        <v>10141</v>
      </c>
      <c r="B42" t="s">
        <v>1195</v>
      </c>
      <c r="C42" t="s">
        <v>659</v>
      </c>
      <c r="G42" s="47" t="str">
        <f>IF(Tabelle1[[#This Row],[Kunde Nr.]]&lt;$I$2,$J$2,IF(Tabelle1[[#This Row],[Kunde Nr.]]&lt;$I$3,$J$3,IF(Tabelle1[[#This Row],[Kunde Nr.]]&lt;$I$4,$J$4,0)))</f>
        <v>Qerimi</v>
      </c>
    </row>
    <row r="43" spans="1:7" x14ac:dyDescent="0.25">
      <c r="A43">
        <v>10144</v>
      </c>
      <c r="B43" t="s">
        <v>1262</v>
      </c>
      <c r="C43" t="s">
        <v>659</v>
      </c>
      <c r="G43" s="47" t="str">
        <f>IF(Tabelle1[[#This Row],[Kunde Nr.]]&lt;$I$2,$J$2,IF(Tabelle1[[#This Row],[Kunde Nr.]]&lt;$I$3,$J$3,IF(Tabelle1[[#This Row],[Kunde Nr.]]&lt;$I$4,$J$4,0)))</f>
        <v>Qerimi</v>
      </c>
    </row>
    <row r="44" spans="1:7" x14ac:dyDescent="0.25">
      <c r="A44">
        <v>10145</v>
      </c>
      <c r="B44" t="s">
        <v>1265</v>
      </c>
      <c r="C44" t="s">
        <v>659</v>
      </c>
      <c r="G44" s="47" t="str">
        <f>IF(Tabelle1[[#This Row],[Kunde Nr.]]&lt;$I$2,$J$2,IF(Tabelle1[[#This Row],[Kunde Nr.]]&lt;$I$3,$J$3,IF(Tabelle1[[#This Row],[Kunde Nr.]]&lt;$I$4,$J$4,0)))</f>
        <v>Qerimi</v>
      </c>
    </row>
    <row r="45" spans="1:7" x14ac:dyDescent="0.25">
      <c r="A45">
        <v>10201</v>
      </c>
      <c r="B45" t="s">
        <v>509</v>
      </c>
      <c r="C45" t="s">
        <v>510</v>
      </c>
      <c r="G45" t="str">
        <f>IF(Tabelle1[[#This Row],[Kunde Nr.]]&lt;$I$2,$J$2,IF(Tabelle1[[#This Row],[Kunde Nr.]]&lt;$I$3,$J$3,IF(Tabelle1[[#This Row],[Kunde Nr.]]&lt;$I$4,$J$4,0)))</f>
        <v>Qerimi</v>
      </c>
    </row>
    <row r="46" spans="1:7" x14ac:dyDescent="0.25">
      <c r="A46">
        <v>10202</v>
      </c>
      <c r="B46" t="s">
        <v>511</v>
      </c>
      <c r="C46" t="s">
        <v>510</v>
      </c>
      <c r="G46" t="str">
        <f>IF(Tabelle1[[#This Row],[Kunde Nr.]]&lt;$I$2,$J$2,IF(Tabelle1[[#This Row],[Kunde Nr.]]&lt;$I$3,$J$3,IF(Tabelle1[[#This Row],[Kunde Nr.]]&lt;$I$4,$J$4,0)))</f>
        <v>Qerimi</v>
      </c>
    </row>
    <row r="47" spans="1:7" x14ac:dyDescent="0.25">
      <c r="A47">
        <v>10203</v>
      </c>
      <c r="B47" t="s">
        <v>512</v>
      </c>
      <c r="C47" t="s">
        <v>510</v>
      </c>
      <c r="G47" t="str">
        <f>IF(Tabelle1[[#This Row],[Kunde Nr.]]&lt;$I$2,$J$2,IF(Tabelle1[[#This Row],[Kunde Nr.]]&lt;$I$3,$J$3,IF(Tabelle1[[#This Row],[Kunde Nr.]]&lt;$I$4,$J$4,0)))</f>
        <v>Qerimi</v>
      </c>
    </row>
    <row r="48" spans="1:7" x14ac:dyDescent="0.25">
      <c r="A48">
        <v>10204</v>
      </c>
      <c r="B48" t="s">
        <v>513</v>
      </c>
      <c r="C48" t="s">
        <v>514</v>
      </c>
      <c r="G48" t="str">
        <f>IF(Tabelle1[[#This Row],[Kunde Nr.]]&lt;$I$2,$J$2,IF(Tabelle1[[#This Row],[Kunde Nr.]]&lt;$I$3,$J$3,IF(Tabelle1[[#This Row],[Kunde Nr.]]&lt;$I$4,$J$4,0)))</f>
        <v>Qerimi</v>
      </c>
    </row>
    <row r="49" spans="1:7" x14ac:dyDescent="0.25">
      <c r="A49">
        <v>10205</v>
      </c>
      <c r="B49" t="s">
        <v>515</v>
      </c>
      <c r="C49" t="s">
        <v>514</v>
      </c>
      <c r="G49" t="str">
        <f>IF(Tabelle1[[#This Row],[Kunde Nr.]]&lt;$I$2,$J$2,IF(Tabelle1[[#This Row],[Kunde Nr.]]&lt;$I$3,$J$3,IF(Tabelle1[[#This Row],[Kunde Nr.]]&lt;$I$4,$J$4,0)))</f>
        <v>Qerimi</v>
      </c>
    </row>
    <row r="50" spans="1:7" x14ac:dyDescent="0.25">
      <c r="A50">
        <v>10206</v>
      </c>
      <c r="B50" t="s">
        <v>516</v>
      </c>
      <c r="C50" t="s">
        <v>63</v>
      </c>
      <c r="G50" t="str">
        <f>IF(Tabelle1[[#This Row],[Kunde Nr.]]&lt;$I$2,$J$2,IF(Tabelle1[[#This Row],[Kunde Nr.]]&lt;$I$3,$J$3,IF(Tabelle1[[#This Row],[Kunde Nr.]]&lt;$I$4,$J$4,0)))</f>
        <v>Qerimi</v>
      </c>
    </row>
    <row r="51" spans="1:7" x14ac:dyDescent="0.25">
      <c r="A51">
        <v>10207</v>
      </c>
      <c r="B51" t="s">
        <v>517</v>
      </c>
      <c r="C51" t="s">
        <v>63</v>
      </c>
      <c r="G51" t="str">
        <f>IF(Tabelle1[[#This Row],[Kunde Nr.]]&lt;$I$2,$J$2,IF(Tabelle1[[#This Row],[Kunde Nr.]]&lt;$I$3,$J$3,IF(Tabelle1[[#This Row],[Kunde Nr.]]&lt;$I$4,$J$4,0)))</f>
        <v>Qerimi</v>
      </c>
    </row>
    <row r="52" spans="1:7" x14ac:dyDescent="0.25">
      <c r="A52">
        <v>10208</v>
      </c>
      <c r="B52" t="s">
        <v>518</v>
      </c>
      <c r="C52" t="s">
        <v>63</v>
      </c>
      <c r="G52" t="str">
        <f>IF(Tabelle1[[#This Row],[Kunde Nr.]]&lt;$I$2,$J$2,IF(Tabelle1[[#This Row],[Kunde Nr.]]&lt;$I$3,$J$3,IF(Tabelle1[[#This Row],[Kunde Nr.]]&lt;$I$4,$J$4,0)))</f>
        <v>Qerimi</v>
      </c>
    </row>
    <row r="53" spans="1:7" x14ac:dyDescent="0.25">
      <c r="A53">
        <v>10209</v>
      </c>
      <c r="B53" t="s">
        <v>519</v>
      </c>
      <c r="C53" t="s">
        <v>63</v>
      </c>
      <c r="G53" t="str">
        <f>IF(Tabelle1[[#This Row],[Kunde Nr.]]&lt;$I$2,$J$2,IF(Tabelle1[[#This Row],[Kunde Nr.]]&lt;$I$3,$J$3,IF(Tabelle1[[#This Row],[Kunde Nr.]]&lt;$I$4,$J$4,0)))</f>
        <v>Qerimi</v>
      </c>
    </row>
    <row r="54" spans="1:7" x14ac:dyDescent="0.25">
      <c r="A54">
        <v>10210</v>
      </c>
      <c r="B54" t="s">
        <v>520</v>
      </c>
      <c r="C54" t="s">
        <v>63</v>
      </c>
      <c r="G54" t="str">
        <f>IF(Tabelle1[[#This Row],[Kunde Nr.]]&lt;$I$2,$J$2,IF(Tabelle1[[#This Row],[Kunde Nr.]]&lt;$I$3,$J$3,IF(Tabelle1[[#This Row],[Kunde Nr.]]&lt;$I$4,$J$4,0)))</f>
        <v>Qerimi</v>
      </c>
    </row>
    <row r="55" spans="1:7" x14ac:dyDescent="0.25">
      <c r="A55">
        <v>10211</v>
      </c>
      <c r="B55" t="s">
        <v>521</v>
      </c>
      <c r="C55" t="s">
        <v>63</v>
      </c>
      <c r="G55" t="str">
        <f>IF(Tabelle1[[#This Row],[Kunde Nr.]]&lt;$I$2,$J$2,IF(Tabelle1[[#This Row],[Kunde Nr.]]&lt;$I$3,$J$3,IF(Tabelle1[[#This Row],[Kunde Nr.]]&lt;$I$4,$J$4,0)))</f>
        <v>Qerimi</v>
      </c>
    </row>
    <row r="56" spans="1:7" x14ac:dyDescent="0.25">
      <c r="A56">
        <v>10212</v>
      </c>
      <c r="B56" t="s">
        <v>522</v>
      </c>
      <c r="C56" t="s">
        <v>63</v>
      </c>
      <c r="G56" t="str">
        <f>IF(Tabelle1[[#This Row],[Kunde Nr.]]&lt;$I$2,$J$2,IF(Tabelle1[[#This Row],[Kunde Nr.]]&lt;$I$3,$J$3,IF(Tabelle1[[#This Row],[Kunde Nr.]]&lt;$I$4,$J$4,0)))</f>
        <v>Qerimi</v>
      </c>
    </row>
    <row r="57" spans="1:7" x14ac:dyDescent="0.25">
      <c r="A57">
        <v>10213</v>
      </c>
      <c r="B57" t="s">
        <v>523</v>
      </c>
      <c r="C57" t="s">
        <v>63</v>
      </c>
      <c r="G57" t="str">
        <f>IF(Tabelle1[[#This Row],[Kunde Nr.]]&lt;$I$2,$J$2,IF(Tabelle1[[#This Row],[Kunde Nr.]]&lt;$I$3,$J$3,IF(Tabelle1[[#This Row],[Kunde Nr.]]&lt;$I$4,$J$4,0)))</f>
        <v>Qerimi</v>
      </c>
    </row>
    <row r="58" spans="1:7" x14ac:dyDescent="0.25">
      <c r="A58">
        <v>10214</v>
      </c>
      <c r="B58" t="s">
        <v>524</v>
      </c>
      <c r="C58" t="s">
        <v>63</v>
      </c>
      <c r="G58" t="str">
        <f>IF(Tabelle1[[#This Row],[Kunde Nr.]]&lt;$I$2,$J$2,IF(Tabelle1[[#This Row],[Kunde Nr.]]&lt;$I$3,$J$3,IF(Tabelle1[[#This Row],[Kunde Nr.]]&lt;$I$4,$J$4,0)))</f>
        <v>Qerimi</v>
      </c>
    </row>
    <row r="59" spans="1:7" x14ac:dyDescent="0.25">
      <c r="A59">
        <v>10215</v>
      </c>
      <c r="B59" t="s">
        <v>525</v>
      </c>
      <c r="C59" t="s">
        <v>63</v>
      </c>
      <c r="G59" t="str">
        <f>IF(Tabelle1[[#This Row],[Kunde Nr.]]&lt;$I$2,$J$2,IF(Tabelle1[[#This Row],[Kunde Nr.]]&lt;$I$3,$J$3,IF(Tabelle1[[#This Row],[Kunde Nr.]]&lt;$I$4,$J$4,0)))</f>
        <v>Qerimi</v>
      </c>
    </row>
    <row r="60" spans="1:7" x14ac:dyDescent="0.25">
      <c r="A60">
        <v>10216</v>
      </c>
      <c r="B60" t="s">
        <v>526</v>
      </c>
      <c r="C60" t="s">
        <v>63</v>
      </c>
      <c r="G60" t="str">
        <f>IF(Tabelle1[[#This Row],[Kunde Nr.]]&lt;$I$2,$J$2,IF(Tabelle1[[#This Row],[Kunde Nr.]]&lt;$I$3,$J$3,IF(Tabelle1[[#This Row],[Kunde Nr.]]&lt;$I$4,$J$4,0)))</f>
        <v>Qerimi</v>
      </c>
    </row>
    <row r="61" spans="1:7" x14ac:dyDescent="0.25">
      <c r="A61">
        <v>10217</v>
      </c>
      <c r="B61" t="s">
        <v>527</v>
      </c>
      <c r="C61" t="s">
        <v>63</v>
      </c>
      <c r="G61" t="str">
        <f>IF(Tabelle1[[#This Row],[Kunde Nr.]]&lt;$I$2,$J$2,IF(Tabelle1[[#This Row],[Kunde Nr.]]&lt;$I$3,$J$3,IF(Tabelle1[[#This Row],[Kunde Nr.]]&lt;$I$4,$J$4,0)))</f>
        <v>Qerimi</v>
      </c>
    </row>
    <row r="62" spans="1:7" x14ac:dyDescent="0.25">
      <c r="A62">
        <v>10218</v>
      </c>
      <c r="B62" t="s">
        <v>528</v>
      </c>
      <c r="C62" t="s">
        <v>63</v>
      </c>
      <c r="G62" t="str">
        <f>IF(Tabelle1[[#This Row],[Kunde Nr.]]&lt;$I$2,$J$2,IF(Tabelle1[[#This Row],[Kunde Nr.]]&lt;$I$3,$J$3,IF(Tabelle1[[#This Row],[Kunde Nr.]]&lt;$I$4,$J$4,0)))</f>
        <v>Qerimi</v>
      </c>
    </row>
    <row r="63" spans="1:7" x14ac:dyDescent="0.25">
      <c r="A63">
        <v>10219</v>
      </c>
      <c r="B63" t="s">
        <v>588</v>
      </c>
      <c r="C63" t="s">
        <v>63</v>
      </c>
      <c r="G63" t="str">
        <f>IF(Tabelle1[[#This Row],[Kunde Nr.]]&lt;$I$2,$J$2,IF(Tabelle1[[#This Row],[Kunde Nr.]]&lt;$I$3,$J$3,IF(Tabelle1[[#This Row],[Kunde Nr.]]&lt;$I$4,$J$4,0)))</f>
        <v>Qerimi</v>
      </c>
    </row>
    <row r="64" spans="1:7" x14ac:dyDescent="0.25">
      <c r="A64">
        <v>10220</v>
      </c>
      <c r="B64" t="s">
        <v>529</v>
      </c>
      <c r="C64" t="s">
        <v>63</v>
      </c>
      <c r="G64" t="str">
        <f>IF(Tabelle1[[#This Row],[Kunde Nr.]]&lt;$I$2,$J$2,IF(Tabelle1[[#This Row],[Kunde Nr.]]&lt;$I$3,$J$3,IF(Tabelle1[[#This Row],[Kunde Nr.]]&lt;$I$4,$J$4,0)))</f>
        <v>Qerimi</v>
      </c>
    </row>
    <row r="65" spans="1:7" x14ac:dyDescent="0.25">
      <c r="A65">
        <v>10221</v>
      </c>
      <c r="B65" t="s">
        <v>530</v>
      </c>
      <c r="C65" t="s">
        <v>63</v>
      </c>
      <c r="G65" t="str">
        <f>IF(Tabelle1[[#This Row],[Kunde Nr.]]&lt;$I$2,$J$2,IF(Tabelle1[[#This Row],[Kunde Nr.]]&lt;$I$3,$J$3,IF(Tabelle1[[#This Row],[Kunde Nr.]]&lt;$I$4,$J$4,0)))</f>
        <v>Qerimi</v>
      </c>
    </row>
    <row r="66" spans="1:7" x14ac:dyDescent="0.25">
      <c r="A66">
        <v>10222</v>
      </c>
      <c r="B66" t="s">
        <v>531</v>
      </c>
      <c r="C66" t="s">
        <v>63</v>
      </c>
      <c r="G66" t="str">
        <f>IF(Tabelle1[[#This Row],[Kunde Nr.]]&lt;$I$2,$J$2,IF(Tabelle1[[#This Row],[Kunde Nr.]]&lt;$I$3,$J$3,IF(Tabelle1[[#This Row],[Kunde Nr.]]&lt;$I$4,$J$4,0)))</f>
        <v>Qerimi</v>
      </c>
    </row>
    <row r="67" spans="1:7" x14ac:dyDescent="0.25">
      <c r="A67">
        <v>10223</v>
      </c>
      <c r="B67" t="s">
        <v>532</v>
      </c>
      <c r="C67" t="s">
        <v>63</v>
      </c>
      <c r="G67" t="str">
        <f>IF(Tabelle1[[#This Row],[Kunde Nr.]]&lt;$I$2,$J$2,IF(Tabelle1[[#This Row],[Kunde Nr.]]&lt;$I$3,$J$3,IF(Tabelle1[[#This Row],[Kunde Nr.]]&lt;$I$4,$J$4,0)))</f>
        <v>Qerimi</v>
      </c>
    </row>
    <row r="68" spans="1:7" x14ac:dyDescent="0.25">
      <c r="A68">
        <v>10224</v>
      </c>
      <c r="B68" t="s">
        <v>533</v>
      </c>
      <c r="C68" t="s">
        <v>63</v>
      </c>
      <c r="G68" t="str">
        <f>IF(Tabelle1[[#This Row],[Kunde Nr.]]&lt;$I$2,$J$2,IF(Tabelle1[[#This Row],[Kunde Nr.]]&lt;$I$3,$J$3,IF(Tabelle1[[#This Row],[Kunde Nr.]]&lt;$I$4,$J$4,0)))</f>
        <v>Qerimi</v>
      </c>
    </row>
    <row r="69" spans="1:7" x14ac:dyDescent="0.25">
      <c r="A69">
        <v>10225</v>
      </c>
      <c r="B69" t="s">
        <v>534</v>
      </c>
      <c r="C69" t="s">
        <v>63</v>
      </c>
      <c r="G69" t="str">
        <f>IF(Tabelle1[[#This Row],[Kunde Nr.]]&lt;$I$2,$J$2,IF(Tabelle1[[#This Row],[Kunde Nr.]]&lt;$I$3,$J$3,IF(Tabelle1[[#This Row],[Kunde Nr.]]&lt;$I$4,$J$4,0)))</f>
        <v>Qerimi</v>
      </c>
    </row>
    <row r="70" spans="1:7" x14ac:dyDescent="0.25">
      <c r="A70">
        <v>10226</v>
      </c>
      <c r="B70" t="s">
        <v>535</v>
      </c>
      <c r="C70" t="s">
        <v>510</v>
      </c>
      <c r="G70" t="str">
        <f>IF(Tabelle1[[#This Row],[Kunde Nr.]]&lt;$I$2,$J$2,IF(Tabelle1[[#This Row],[Kunde Nr.]]&lt;$I$3,$J$3,IF(Tabelle1[[#This Row],[Kunde Nr.]]&lt;$I$4,$J$4,0)))</f>
        <v>Qerimi</v>
      </c>
    </row>
    <row r="71" spans="1:7" x14ac:dyDescent="0.25">
      <c r="A71">
        <v>10227</v>
      </c>
      <c r="B71" t="s">
        <v>536</v>
      </c>
      <c r="C71" t="s">
        <v>510</v>
      </c>
      <c r="G71" t="str">
        <f>IF(Tabelle1[[#This Row],[Kunde Nr.]]&lt;$I$2,$J$2,IF(Tabelle1[[#This Row],[Kunde Nr.]]&lt;$I$3,$J$3,IF(Tabelle1[[#This Row],[Kunde Nr.]]&lt;$I$4,$J$4,0)))</f>
        <v>Qerimi</v>
      </c>
    </row>
    <row r="72" spans="1:7" x14ac:dyDescent="0.25">
      <c r="A72">
        <v>10228</v>
      </c>
      <c r="B72" t="s">
        <v>537</v>
      </c>
      <c r="C72" t="s">
        <v>538</v>
      </c>
      <c r="G72" t="str">
        <f>IF(Tabelle1[[#This Row],[Kunde Nr.]]&lt;$I$2,$J$2,IF(Tabelle1[[#This Row],[Kunde Nr.]]&lt;$I$3,$J$3,IF(Tabelle1[[#This Row],[Kunde Nr.]]&lt;$I$4,$J$4,0)))</f>
        <v>Qerimi</v>
      </c>
    </row>
    <row r="73" spans="1:7" x14ac:dyDescent="0.25">
      <c r="A73">
        <v>10229</v>
      </c>
      <c r="B73" t="s">
        <v>558</v>
      </c>
      <c r="C73" t="s">
        <v>63</v>
      </c>
      <c r="G73" s="47" t="str">
        <f>IF(Tabelle1[[#This Row],[Kunde Nr.]]&lt;$I$2,$J$2,IF(Tabelle1[[#This Row],[Kunde Nr.]]&lt;$I$3,$J$3,IF(Tabelle1[[#This Row],[Kunde Nr.]]&lt;$I$4,$J$4,0)))</f>
        <v>Qerimi</v>
      </c>
    </row>
    <row r="74" spans="1:7" x14ac:dyDescent="0.25">
      <c r="A74">
        <v>10230</v>
      </c>
      <c r="B74" t="s">
        <v>939</v>
      </c>
      <c r="C74" t="s">
        <v>538</v>
      </c>
      <c r="G74" s="47" t="str">
        <f>IF(Tabelle1[[#This Row],[Kunde Nr.]]&lt;$I$2,$J$2,IF(Tabelle1[[#This Row],[Kunde Nr.]]&lt;$I$3,$J$3,IF(Tabelle1[[#This Row],[Kunde Nr.]]&lt;$I$4,$J$4,0)))</f>
        <v>Qerimi</v>
      </c>
    </row>
    <row r="75" spans="1:7" x14ac:dyDescent="0.25">
      <c r="A75">
        <v>10231</v>
      </c>
      <c r="B75" t="s">
        <v>1196</v>
      </c>
      <c r="C75" t="s">
        <v>63</v>
      </c>
      <c r="G75" s="47" t="str">
        <f>IF(Tabelle1[[#This Row],[Kunde Nr.]]&lt;$I$2,$J$2,IF(Tabelle1[[#This Row],[Kunde Nr.]]&lt;$I$3,$J$3,IF(Tabelle1[[#This Row],[Kunde Nr.]]&lt;$I$4,$J$4,0)))</f>
        <v>Qerimi</v>
      </c>
    </row>
    <row r="76" spans="1:7" x14ac:dyDescent="0.25">
      <c r="A76">
        <v>10232</v>
      </c>
      <c r="B76" t="s">
        <v>1197</v>
      </c>
      <c r="C76" t="s">
        <v>63</v>
      </c>
      <c r="G76" s="47" t="str">
        <f>IF(Tabelle1[[#This Row],[Kunde Nr.]]&lt;$I$2,$J$2,IF(Tabelle1[[#This Row],[Kunde Nr.]]&lt;$I$3,$J$3,IF(Tabelle1[[#This Row],[Kunde Nr.]]&lt;$I$4,$J$4,0)))</f>
        <v>Qerimi</v>
      </c>
    </row>
    <row r="77" spans="1:7" x14ac:dyDescent="0.25">
      <c r="A77">
        <v>10233</v>
      </c>
      <c r="B77" t="s">
        <v>1085</v>
      </c>
      <c r="C77" t="s">
        <v>63</v>
      </c>
      <c r="G77" s="47" t="str">
        <f>IF(Tabelle1[[#This Row],[Kunde Nr.]]&lt;$I$2,$J$2,IF(Tabelle1[[#This Row],[Kunde Nr.]]&lt;$I$3,$J$3,IF(Tabelle1[[#This Row],[Kunde Nr.]]&lt;$I$4,$J$4,0)))</f>
        <v>Qerimi</v>
      </c>
    </row>
    <row r="78" spans="1:7" x14ac:dyDescent="0.25">
      <c r="A78" s="7">
        <v>10234</v>
      </c>
      <c r="B78" t="s">
        <v>1152</v>
      </c>
      <c r="C78" t="s">
        <v>63</v>
      </c>
      <c r="G78" s="47" t="str">
        <f>IF(Tabelle1[[#This Row],[Kunde Nr.]]&lt;$I$2,$J$2,IF(Tabelle1[[#This Row],[Kunde Nr.]]&lt;$I$3,$J$3,IF(Tabelle1[[#This Row],[Kunde Nr.]]&lt;$I$4,$J$4,0)))</f>
        <v>Qerimi</v>
      </c>
    </row>
    <row r="79" spans="1:7" x14ac:dyDescent="0.25">
      <c r="A79" s="7">
        <v>10235</v>
      </c>
      <c r="B79" t="s">
        <v>1198</v>
      </c>
      <c r="C79" t="s">
        <v>63</v>
      </c>
      <c r="G79" s="47" t="str">
        <f>IF(Tabelle1[[#This Row],[Kunde Nr.]]&lt;$I$2,$J$2,IF(Tabelle1[[#This Row],[Kunde Nr.]]&lt;$I$3,$J$3,IF(Tabelle1[[#This Row],[Kunde Nr.]]&lt;$I$4,$J$4,0)))</f>
        <v>Qerimi</v>
      </c>
    </row>
    <row r="80" spans="1:7" x14ac:dyDescent="0.25">
      <c r="A80" s="7">
        <v>10236</v>
      </c>
      <c r="B80" t="s">
        <v>1199</v>
      </c>
      <c r="C80" t="s">
        <v>510</v>
      </c>
      <c r="G80" s="47" t="str">
        <f>IF(Tabelle1[[#This Row],[Kunde Nr.]]&lt;$I$2,$J$2,IF(Tabelle1[[#This Row],[Kunde Nr.]]&lt;$I$3,$J$3,IF(Tabelle1[[#This Row],[Kunde Nr.]]&lt;$I$4,$J$4,0)))</f>
        <v>Qerimi</v>
      </c>
    </row>
    <row r="81" spans="1:7" x14ac:dyDescent="0.25">
      <c r="A81" s="7">
        <v>10237</v>
      </c>
      <c r="B81" t="s">
        <v>1200</v>
      </c>
      <c r="C81" t="s">
        <v>63</v>
      </c>
      <c r="G81" s="47" t="str">
        <f>IF(Tabelle1[[#This Row],[Kunde Nr.]]&lt;$I$2,$J$2,IF(Tabelle1[[#This Row],[Kunde Nr.]]&lt;$I$3,$J$3,IF(Tabelle1[[#This Row],[Kunde Nr.]]&lt;$I$4,$J$4,0)))</f>
        <v>Qerimi</v>
      </c>
    </row>
    <row r="82" spans="1:7" x14ac:dyDescent="0.25">
      <c r="A82" s="7">
        <v>10239</v>
      </c>
      <c r="B82" t="s">
        <v>1156</v>
      </c>
      <c r="C82" t="s">
        <v>63</v>
      </c>
      <c r="G82" s="47" t="str">
        <f>IF(Tabelle1[[#This Row],[Kunde Nr.]]&lt;$I$2,$J$2,IF(Tabelle1[[#This Row],[Kunde Nr.]]&lt;$I$3,$J$3,IF(Tabelle1[[#This Row],[Kunde Nr.]]&lt;$I$4,$J$4,0)))</f>
        <v>Qerimi</v>
      </c>
    </row>
    <row r="83" spans="1:7" x14ac:dyDescent="0.25">
      <c r="A83">
        <v>10240</v>
      </c>
      <c r="B83" t="s">
        <v>1201</v>
      </c>
      <c r="C83" t="s">
        <v>63</v>
      </c>
      <c r="G83" s="47" t="str">
        <f>IF(Tabelle1[[#This Row],[Kunde Nr.]]&lt;$I$2,$J$2,IF(Tabelle1[[#This Row],[Kunde Nr.]]&lt;$I$3,$J$3,IF(Tabelle1[[#This Row],[Kunde Nr.]]&lt;$I$4,$J$4,0)))</f>
        <v>Qerimi</v>
      </c>
    </row>
    <row r="84" spans="1:7" x14ac:dyDescent="0.25">
      <c r="A84">
        <v>10241</v>
      </c>
      <c r="B84" t="s">
        <v>1038</v>
      </c>
      <c r="C84" t="s">
        <v>63</v>
      </c>
      <c r="G84" s="47" t="str">
        <f>IF(Tabelle1[[#This Row],[Kunde Nr.]]&lt;$I$2,$J$2,IF(Tabelle1[[#This Row],[Kunde Nr.]]&lt;$I$3,$J$3,IF(Tabelle1[[#This Row],[Kunde Nr.]]&lt;$I$4,$J$4,0)))</f>
        <v>Qerimi</v>
      </c>
    </row>
    <row r="85" spans="1:7" x14ac:dyDescent="0.25">
      <c r="A85">
        <v>10242</v>
      </c>
      <c r="B85" t="s">
        <v>1202</v>
      </c>
      <c r="C85" t="s">
        <v>63</v>
      </c>
      <c r="G85" s="47" t="str">
        <f>IF(Tabelle1[[#This Row],[Kunde Nr.]]&lt;$I$2,$J$2,IF(Tabelle1[[#This Row],[Kunde Nr.]]&lt;$I$3,$J$3,IF(Tabelle1[[#This Row],[Kunde Nr.]]&lt;$I$4,$J$4,0)))</f>
        <v>Qerimi</v>
      </c>
    </row>
    <row r="86" spans="1:7" x14ac:dyDescent="0.25">
      <c r="A86">
        <v>10243</v>
      </c>
      <c r="B86" t="s">
        <v>1203</v>
      </c>
      <c r="C86" t="s">
        <v>389</v>
      </c>
      <c r="G86" s="47" t="str">
        <f>IF(Tabelle1[[#This Row],[Kunde Nr.]]&lt;$I$2,$J$2,IF(Tabelle1[[#This Row],[Kunde Nr.]]&lt;$I$3,$J$3,IF(Tabelle1[[#This Row],[Kunde Nr.]]&lt;$I$4,$J$4,0)))</f>
        <v>Qerimi</v>
      </c>
    </row>
    <row r="87" spans="1:7" x14ac:dyDescent="0.25">
      <c r="A87">
        <v>10244</v>
      </c>
      <c r="B87" t="s">
        <v>19</v>
      </c>
      <c r="C87" t="s">
        <v>514</v>
      </c>
      <c r="G87" s="47" t="str">
        <f>IF(Tabelle1[[#This Row],[Kunde Nr.]]&lt;$I$2,$J$2,IF(Tabelle1[[#This Row],[Kunde Nr.]]&lt;$I$3,$J$3,IF(Tabelle1[[#This Row],[Kunde Nr.]]&lt;$I$4,$J$4,0)))</f>
        <v>Qerimi</v>
      </c>
    </row>
    <row r="88" spans="1:7" x14ac:dyDescent="0.25">
      <c r="A88">
        <v>10245</v>
      </c>
      <c r="B88" t="s">
        <v>1204</v>
      </c>
      <c r="C88" t="s">
        <v>1205</v>
      </c>
      <c r="G88" s="47" t="str">
        <f>IF(Tabelle1[[#This Row],[Kunde Nr.]]&lt;$I$2,$J$2,IF(Tabelle1[[#This Row],[Kunde Nr.]]&lt;$I$3,$J$3,IF(Tabelle1[[#This Row],[Kunde Nr.]]&lt;$I$4,$J$4,0)))</f>
        <v>Qerimi</v>
      </c>
    </row>
    <row r="89" spans="1:7" x14ac:dyDescent="0.25">
      <c r="A89">
        <v>10246</v>
      </c>
      <c r="B89" t="s">
        <v>1206</v>
      </c>
      <c r="C89" t="s">
        <v>1207</v>
      </c>
      <c r="G89" s="47" t="str">
        <f>IF(Tabelle1[[#This Row],[Kunde Nr.]]&lt;$I$2,$J$2,IF(Tabelle1[[#This Row],[Kunde Nr.]]&lt;$I$3,$J$3,IF(Tabelle1[[#This Row],[Kunde Nr.]]&lt;$I$4,$J$4,0)))</f>
        <v>Qerimi</v>
      </c>
    </row>
    <row r="90" spans="1:7" x14ac:dyDescent="0.25">
      <c r="A90">
        <v>10247</v>
      </c>
      <c r="B90" t="s">
        <v>1179</v>
      </c>
      <c r="C90" t="s">
        <v>63</v>
      </c>
      <c r="G90" s="47" t="str">
        <f>IF(Tabelle1[[#This Row],[Kunde Nr.]]&lt;$I$2,$J$2,IF(Tabelle1[[#This Row],[Kunde Nr.]]&lt;$I$3,$J$3,IF(Tabelle1[[#This Row],[Kunde Nr.]]&lt;$I$4,$J$4,0)))</f>
        <v>Qerimi</v>
      </c>
    </row>
    <row r="91" spans="1:7" x14ac:dyDescent="0.25">
      <c r="A91">
        <v>10248</v>
      </c>
      <c r="B91" t="s">
        <v>646</v>
      </c>
      <c r="C91" t="s">
        <v>389</v>
      </c>
      <c r="G91" s="47" t="str">
        <f>IF(Tabelle1[[#This Row],[Kunde Nr.]]&lt;$I$2,$J$2,IF(Tabelle1[[#This Row],[Kunde Nr.]]&lt;$I$3,$J$3,IF(Tabelle1[[#This Row],[Kunde Nr.]]&lt;$I$4,$J$4,0)))</f>
        <v>Qerimi</v>
      </c>
    </row>
    <row r="92" spans="1:7" x14ac:dyDescent="0.25">
      <c r="A92">
        <v>10252</v>
      </c>
      <c r="B92" t="s">
        <v>1267</v>
      </c>
      <c r="C92" t="s">
        <v>63</v>
      </c>
      <c r="G92" s="47" t="str">
        <f>IF(Tabelle1[[#This Row],[Kunde Nr.]]&lt;$I$2,$J$2,IF(Tabelle1[[#This Row],[Kunde Nr.]]&lt;$I$3,$J$3,IF(Tabelle1[[#This Row],[Kunde Nr.]]&lt;$I$4,$J$4,0)))</f>
        <v>Qerimi</v>
      </c>
    </row>
    <row r="93" spans="1:7" x14ac:dyDescent="0.25">
      <c r="A93">
        <v>10255</v>
      </c>
      <c r="B93" t="s">
        <v>1298</v>
      </c>
      <c r="C93" t="s">
        <v>63</v>
      </c>
      <c r="G93" s="47" t="str">
        <f>IF(Tabelle1[[#This Row],[Kunde Nr.]]&lt;$I$2,$J$2,IF(Tabelle1[[#This Row],[Kunde Nr.]]&lt;$I$3,$J$3,IF(Tabelle1[[#This Row],[Kunde Nr.]]&lt;$I$4,$J$4,0)))</f>
        <v>Qerimi</v>
      </c>
    </row>
    <row r="94" spans="1:7" x14ac:dyDescent="0.25">
      <c r="A94">
        <v>10257</v>
      </c>
      <c r="B94" t="s">
        <v>1300</v>
      </c>
      <c r="C94" t="s">
        <v>63</v>
      </c>
      <c r="G94" s="47" t="str">
        <f>IF(Tabelle1[[#This Row],[Kunde Nr.]]&lt;$I$2,$J$2,IF(Tabelle1[[#This Row],[Kunde Nr.]]&lt;$I$3,$J$3,IF(Tabelle1[[#This Row],[Kunde Nr.]]&lt;$I$4,$J$4,0)))</f>
        <v>Qerimi</v>
      </c>
    </row>
    <row r="95" spans="1:7" x14ac:dyDescent="0.25">
      <c r="A95">
        <v>10258</v>
      </c>
      <c r="B95" t="s">
        <v>1299</v>
      </c>
      <c r="C95" t="s">
        <v>63</v>
      </c>
      <c r="G95" s="47" t="str">
        <f>IF(Tabelle1[[#This Row],[Kunde Nr.]]&lt;$I$2,$J$2,IF(Tabelle1[[#This Row],[Kunde Nr.]]&lt;$I$3,$J$3,IF(Tabelle1[[#This Row],[Kunde Nr.]]&lt;$I$4,$J$4,0)))</f>
        <v>Qerimi</v>
      </c>
    </row>
    <row r="96" spans="1:7" x14ac:dyDescent="0.25">
      <c r="A96">
        <v>10262</v>
      </c>
      <c r="B96" t="s">
        <v>1321</v>
      </c>
      <c r="C96" t="s">
        <v>63</v>
      </c>
      <c r="G96" s="47" t="str">
        <f>IF(Tabelle1[[#This Row],[Kunde Nr.]]&lt;$I$2,$J$2,IF(Tabelle1[[#This Row],[Kunde Nr.]]&lt;$I$3,$J$3,IF(Tabelle1[[#This Row],[Kunde Nr.]]&lt;$I$4,$J$4,0)))</f>
        <v>Qerimi</v>
      </c>
    </row>
    <row r="97" spans="1:7" x14ac:dyDescent="0.25">
      <c r="A97">
        <v>10301</v>
      </c>
      <c r="B97" t="s">
        <v>5</v>
      </c>
      <c r="C97" t="s">
        <v>33</v>
      </c>
      <c r="G97" t="str">
        <f>IF(Tabelle1[[#This Row],[Kunde Nr.]]&lt;$I$2,$J$2,IF(Tabelle1[[#This Row],[Kunde Nr.]]&lt;$I$3,$J$3,IF(Tabelle1[[#This Row],[Kunde Nr.]]&lt;$I$4,$J$4,0)))</f>
        <v>Qerimi</v>
      </c>
    </row>
    <row r="98" spans="1:7" x14ac:dyDescent="0.25">
      <c r="A98">
        <v>10302</v>
      </c>
      <c r="B98" t="s">
        <v>6</v>
      </c>
      <c r="C98" t="s">
        <v>33</v>
      </c>
      <c r="G98" t="str">
        <f>IF(Tabelle1[[#This Row],[Kunde Nr.]]&lt;$I$2,$J$2,IF(Tabelle1[[#This Row],[Kunde Nr.]]&lt;$I$3,$J$3,IF(Tabelle1[[#This Row],[Kunde Nr.]]&lt;$I$4,$J$4,0)))</f>
        <v>Qerimi</v>
      </c>
    </row>
    <row r="99" spans="1:7" x14ac:dyDescent="0.25">
      <c r="A99">
        <v>10303</v>
      </c>
      <c r="B99" t="s">
        <v>7</v>
      </c>
      <c r="C99" t="s">
        <v>33</v>
      </c>
      <c r="G99" t="str">
        <f>IF(Tabelle1[[#This Row],[Kunde Nr.]]&lt;$I$2,$J$2,IF(Tabelle1[[#This Row],[Kunde Nr.]]&lt;$I$3,$J$3,IF(Tabelle1[[#This Row],[Kunde Nr.]]&lt;$I$4,$J$4,0)))</f>
        <v>Qerimi</v>
      </c>
    </row>
    <row r="100" spans="1:7" x14ac:dyDescent="0.25">
      <c r="A100">
        <v>10304</v>
      </c>
      <c r="B100" t="s">
        <v>8</v>
      </c>
      <c r="C100" t="s">
        <v>33</v>
      </c>
      <c r="E100" s="1" t="s">
        <v>14</v>
      </c>
      <c r="G100" t="str">
        <f>IF(Tabelle1[[#This Row],[Kunde Nr.]]&lt;$I$2,$J$2,IF(Tabelle1[[#This Row],[Kunde Nr.]]&lt;$I$3,$J$3,IF(Tabelle1[[#This Row],[Kunde Nr.]]&lt;$I$4,$J$4,0)))</f>
        <v>Qerimi</v>
      </c>
    </row>
    <row r="101" spans="1:7" x14ac:dyDescent="0.25">
      <c r="A101">
        <v>10305</v>
      </c>
      <c r="B101" t="s">
        <v>9</v>
      </c>
      <c r="C101" t="s">
        <v>33</v>
      </c>
      <c r="E101" s="1" t="s">
        <v>16</v>
      </c>
      <c r="G101" t="str">
        <f>IF(Tabelle1[[#This Row],[Kunde Nr.]]&lt;$I$2,$J$2,IF(Tabelle1[[#This Row],[Kunde Nr.]]&lt;$I$3,$J$3,IF(Tabelle1[[#This Row],[Kunde Nr.]]&lt;$I$4,$J$4,0)))</f>
        <v>Qerimi</v>
      </c>
    </row>
    <row r="102" spans="1:7" x14ac:dyDescent="0.25">
      <c r="A102">
        <v>10306</v>
      </c>
      <c r="B102" t="s">
        <v>10</v>
      </c>
      <c r="C102" t="s">
        <v>33</v>
      </c>
      <c r="G102" t="str">
        <f>IF(Tabelle1[[#This Row],[Kunde Nr.]]&lt;$I$2,$J$2,IF(Tabelle1[[#This Row],[Kunde Nr.]]&lt;$I$3,$J$3,IF(Tabelle1[[#This Row],[Kunde Nr.]]&lt;$I$4,$J$4,0)))</f>
        <v>Qerimi</v>
      </c>
    </row>
    <row r="103" spans="1:7" x14ac:dyDescent="0.25">
      <c r="A103">
        <v>10307</v>
      </c>
      <c r="B103" t="s">
        <v>11</v>
      </c>
      <c r="C103" t="s">
        <v>33</v>
      </c>
      <c r="G103" t="str">
        <f>IF(Tabelle1[[#This Row],[Kunde Nr.]]&lt;$I$2,$J$2,IF(Tabelle1[[#This Row],[Kunde Nr.]]&lt;$I$3,$J$3,IF(Tabelle1[[#This Row],[Kunde Nr.]]&lt;$I$4,$J$4,0)))</f>
        <v>Qerimi</v>
      </c>
    </row>
    <row r="104" spans="1:7" x14ac:dyDescent="0.25">
      <c r="A104">
        <v>10308</v>
      </c>
      <c r="B104" t="s">
        <v>12</v>
      </c>
      <c r="C104" t="s">
        <v>33</v>
      </c>
      <c r="E104" s="1" t="s">
        <v>15</v>
      </c>
      <c r="G104" t="str">
        <f>IF(Tabelle1[[#This Row],[Kunde Nr.]]&lt;$I$2,$J$2,IF(Tabelle1[[#This Row],[Kunde Nr.]]&lt;$I$3,$J$3,IF(Tabelle1[[#This Row],[Kunde Nr.]]&lt;$I$4,$J$4,0)))</f>
        <v>Qerimi</v>
      </c>
    </row>
    <row r="105" spans="1:7" x14ac:dyDescent="0.25">
      <c r="A105">
        <v>10309</v>
      </c>
      <c r="B105" t="s">
        <v>13</v>
      </c>
      <c r="C105" t="s">
        <v>33</v>
      </c>
      <c r="G105" t="str">
        <f>IF(Tabelle1[[#This Row],[Kunde Nr.]]&lt;$I$2,$J$2,IF(Tabelle1[[#This Row],[Kunde Nr.]]&lt;$I$3,$J$3,IF(Tabelle1[[#This Row],[Kunde Nr.]]&lt;$I$4,$J$4,0)))</f>
        <v>Qerimi</v>
      </c>
    </row>
    <row r="106" spans="1:7" x14ac:dyDescent="0.25">
      <c r="A106">
        <v>10310</v>
      </c>
      <c r="B106" t="s">
        <v>17</v>
      </c>
      <c r="C106" t="s">
        <v>33</v>
      </c>
      <c r="G106" t="str">
        <f>IF(Tabelle1[[#This Row],[Kunde Nr.]]&lt;$I$2,$J$2,IF(Tabelle1[[#This Row],[Kunde Nr.]]&lt;$I$3,$J$3,IF(Tabelle1[[#This Row],[Kunde Nr.]]&lt;$I$4,$J$4,0)))</f>
        <v>Qerimi</v>
      </c>
    </row>
    <row r="107" spans="1:7" x14ac:dyDescent="0.25">
      <c r="A107">
        <v>10311</v>
      </c>
      <c r="B107" t="s">
        <v>18</v>
      </c>
      <c r="C107" t="s">
        <v>33</v>
      </c>
      <c r="G107" t="str">
        <f>IF(Tabelle1[[#This Row],[Kunde Nr.]]&lt;$I$2,$J$2,IF(Tabelle1[[#This Row],[Kunde Nr.]]&lt;$I$3,$J$3,IF(Tabelle1[[#This Row],[Kunde Nr.]]&lt;$I$4,$J$4,0)))</f>
        <v>Qerimi</v>
      </c>
    </row>
    <row r="108" spans="1:7" x14ac:dyDescent="0.25">
      <c r="A108">
        <v>10312</v>
      </c>
      <c r="B108" t="s">
        <v>19</v>
      </c>
      <c r="C108" t="s">
        <v>33</v>
      </c>
      <c r="G108" t="str">
        <f>IF(Tabelle1[[#This Row],[Kunde Nr.]]&lt;$I$2,$J$2,IF(Tabelle1[[#This Row],[Kunde Nr.]]&lt;$I$3,$J$3,IF(Tabelle1[[#This Row],[Kunde Nr.]]&lt;$I$4,$J$4,0)))</f>
        <v>Qerimi</v>
      </c>
    </row>
    <row r="109" spans="1:7" x14ac:dyDescent="0.25">
      <c r="A109">
        <v>10313</v>
      </c>
      <c r="B109" t="s">
        <v>20</v>
      </c>
      <c r="C109" t="s">
        <v>33</v>
      </c>
      <c r="E109" s="1" t="s">
        <v>44</v>
      </c>
      <c r="G109" t="str">
        <f>IF(Tabelle1[[#This Row],[Kunde Nr.]]&lt;$I$2,$J$2,IF(Tabelle1[[#This Row],[Kunde Nr.]]&lt;$I$3,$J$3,IF(Tabelle1[[#This Row],[Kunde Nr.]]&lt;$I$4,$J$4,0)))</f>
        <v>Qerimi</v>
      </c>
    </row>
    <row r="110" spans="1:7" x14ac:dyDescent="0.25">
      <c r="A110">
        <v>10314</v>
      </c>
      <c r="B110" t="s">
        <v>21</v>
      </c>
      <c r="C110" t="s">
        <v>33</v>
      </c>
      <c r="G110" t="str">
        <f>IF(Tabelle1[[#This Row],[Kunde Nr.]]&lt;$I$2,$J$2,IF(Tabelle1[[#This Row],[Kunde Nr.]]&lt;$I$3,$J$3,IF(Tabelle1[[#This Row],[Kunde Nr.]]&lt;$I$4,$J$4,0)))</f>
        <v>Qerimi</v>
      </c>
    </row>
    <row r="111" spans="1:7" x14ac:dyDescent="0.25">
      <c r="A111">
        <v>10315</v>
      </c>
      <c r="B111" t="s">
        <v>22</v>
      </c>
      <c r="C111" t="s">
        <v>33</v>
      </c>
      <c r="G111" t="str">
        <f>IF(Tabelle1[[#This Row],[Kunde Nr.]]&lt;$I$2,$J$2,IF(Tabelle1[[#This Row],[Kunde Nr.]]&lt;$I$3,$J$3,IF(Tabelle1[[#This Row],[Kunde Nr.]]&lt;$I$4,$J$4,0)))</f>
        <v>Qerimi</v>
      </c>
    </row>
    <row r="112" spans="1:7" x14ac:dyDescent="0.25">
      <c r="A112">
        <v>10316</v>
      </c>
      <c r="B112" t="s">
        <v>26</v>
      </c>
      <c r="C112" t="s">
        <v>33</v>
      </c>
      <c r="G112" t="str">
        <f>IF(Tabelle1[[#This Row],[Kunde Nr.]]&lt;$I$2,$J$2,IF(Tabelle1[[#This Row],[Kunde Nr.]]&lt;$I$3,$J$3,IF(Tabelle1[[#This Row],[Kunde Nr.]]&lt;$I$4,$J$4,0)))</f>
        <v>Qerimi</v>
      </c>
    </row>
    <row r="113" spans="1:7" x14ac:dyDescent="0.25">
      <c r="A113">
        <v>10317</v>
      </c>
      <c r="B113" t="s">
        <v>23</v>
      </c>
      <c r="C113" t="s">
        <v>33</v>
      </c>
      <c r="G113" t="str">
        <f>IF(Tabelle1[[#This Row],[Kunde Nr.]]&lt;$I$2,$J$2,IF(Tabelle1[[#This Row],[Kunde Nr.]]&lt;$I$3,$J$3,IF(Tabelle1[[#This Row],[Kunde Nr.]]&lt;$I$4,$J$4,0)))</f>
        <v>Qerimi</v>
      </c>
    </row>
    <row r="114" spans="1:7" x14ac:dyDescent="0.25">
      <c r="A114">
        <v>10318</v>
      </c>
      <c r="B114" t="s">
        <v>25</v>
      </c>
      <c r="C114" t="s">
        <v>33</v>
      </c>
      <c r="G114" t="str">
        <f>IF(Tabelle1[[#This Row],[Kunde Nr.]]&lt;$I$2,$J$2,IF(Tabelle1[[#This Row],[Kunde Nr.]]&lt;$I$3,$J$3,IF(Tabelle1[[#This Row],[Kunde Nr.]]&lt;$I$4,$J$4,0)))</f>
        <v>Qerimi</v>
      </c>
    </row>
    <row r="115" spans="1:7" x14ac:dyDescent="0.25">
      <c r="A115">
        <v>10319</v>
      </c>
      <c r="B115" t="s">
        <v>24</v>
      </c>
      <c r="C115" t="s">
        <v>33</v>
      </c>
      <c r="G115" t="str">
        <f>IF(Tabelle1[[#This Row],[Kunde Nr.]]&lt;$I$2,$J$2,IF(Tabelle1[[#This Row],[Kunde Nr.]]&lt;$I$3,$J$3,IF(Tabelle1[[#This Row],[Kunde Nr.]]&lt;$I$4,$J$4,0)))</f>
        <v>Qerimi</v>
      </c>
    </row>
    <row r="116" spans="1:7" x14ac:dyDescent="0.25">
      <c r="A116">
        <v>10320</v>
      </c>
      <c r="B116" t="s">
        <v>27</v>
      </c>
      <c r="C116" t="s">
        <v>33</v>
      </c>
      <c r="G116" t="str">
        <f>IF(Tabelle1[[#This Row],[Kunde Nr.]]&lt;$I$2,$J$2,IF(Tabelle1[[#This Row],[Kunde Nr.]]&lt;$I$3,$J$3,IF(Tabelle1[[#This Row],[Kunde Nr.]]&lt;$I$4,$J$4,0)))</f>
        <v>Qerimi</v>
      </c>
    </row>
    <row r="117" spans="1:7" x14ac:dyDescent="0.25">
      <c r="A117">
        <v>10321</v>
      </c>
      <c r="B117" t="s">
        <v>28</v>
      </c>
      <c r="C117" t="s">
        <v>33</v>
      </c>
      <c r="G117" t="str">
        <f>IF(Tabelle1[[#This Row],[Kunde Nr.]]&lt;$I$2,$J$2,IF(Tabelle1[[#This Row],[Kunde Nr.]]&lt;$I$3,$J$3,IF(Tabelle1[[#This Row],[Kunde Nr.]]&lt;$I$4,$J$4,0)))</f>
        <v>Qerimi</v>
      </c>
    </row>
    <row r="118" spans="1:7" x14ac:dyDescent="0.25">
      <c r="A118">
        <v>10322</v>
      </c>
      <c r="B118" t="s">
        <v>29</v>
      </c>
      <c r="C118" t="s">
        <v>33</v>
      </c>
      <c r="G118" t="str">
        <f>IF(Tabelle1[[#This Row],[Kunde Nr.]]&lt;$I$2,$J$2,IF(Tabelle1[[#This Row],[Kunde Nr.]]&lt;$I$3,$J$3,IF(Tabelle1[[#This Row],[Kunde Nr.]]&lt;$I$4,$J$4,0)))</f>
        <v>Qerimi</v>
      </c>
    </row>
    <row r="119" spans="1:7" x14ac:dyDescent="0.25">
      <c r="A119">
        <v>10323</v>
      </c>
      <c r="B119" t="s">
        <v>30</v>
      </c>
      <c r="C119" t="s">
        <v>33</v>
      </c>
      <c r="G119" t="str">
        <f>IF(Tabelle1[[#This Row],[Kunde Nr.]]&lt;$I$2,$J$2,IF(Tabelle1[[#This Row],[Kunde Nr.]]&lt;$I$3,$J$3,IF(Tabelle1[[#This Row],[Kunde Nr.]]&lt;$I$4,$J$4,0)))</f>
        <v>Qerimi</v>
      </c>
    </row>
    <row r="120" spans="1:7" x14ac:dyDescent="0.25">
      <c r="A120">
        <v>10324</v>
      </c>
      <c r="B120" t="s">
        <v>31</v>
      </c>
      <c r="C120" t="s">
        <v>33</v>
      </c>
      <c r="G120" t="str">
        <f>IF(Tabelle1[[#This Row],[Kunde Nr.]]&lt;$I$2,$J$2,IF(Tabelle1[[#This Row],[Kunde Nr.]]&lt;$I$3,$J$3,IF(Tabelle1[[#This Row],[Kunde Nr.]]&lt;$I$4,$J$4,0)))</f>
        <v>Qerimi</v>
      </c>
    </row>
    <row r="121" spans="1:7" x14ac:dyDescent="0.25">
      <c r="A121">
        <v>10325</v>
      </c>
      <c r="B121" t="s">
        <v>34</v>
      </c>
      <c r="C121" t="s">
        <v>32</v>
      </c>
      <c r="G121" t="str">
        <f>IF(Tabelle1[[#This Row],[Kunde Nr.]]&lt;$I$2,$J$2,IF(Tabelle1[[#This Row],[Kunde Nr.]]&lt;$I$3,$J$3,IF(Tabelle1[[#This Row],[Kunde Nr.]]&lt;$I$4,$J$4,0)))</f>
        <v>Qerimi</v>
      </c>
    </row>
    <row r="122" spans="1:7" x14ac:dyDescent="0.25">
      <c r="A122">
        <v>10326</v>
      </c>
      <c r="B122" t="s">
        <v>35</v>
      </c>
      <c r="C122" t="s">
        <v>32</v>
      </c>
      <c r="G122" t="str">
        <f>IF(Tabelle1[[#This Row],[Kunde Nr.]]&lt;$I$2,$J$2,IF(Tabelle1[[#This Row],[Kunde Nr.]]&lt;$I$3,$J$3,IF(Tabelle1[[#This Row],[Kunde Nr.]]&lt;$I$4,$J$4,0)))</f>
        <v>Qerimi</v>
      </c>
    </row>
    <row r="123" spans="1:7" x14ac:dyDescent="0.25">
      <c r="A123">
        <v>10327</v>
      </c>
      <c r="B123" t="s">
        <v>36</v>
      </c>
      <c r="C123" t="s">
        <v>32</v>
      </c>
      <c r="G123" t="str">
        <f>IF(Tabelle1[[#This Row],[Kunde Nr.]]&lt;$I$2,$J$2,IF(Tabelle1[[#This Row],[Kunde Nr.]]&lt;$I$3,$J$3,IF(Tabelle1[[#This Row],[Kunde Nr.]]&lt;$I$4,$J$4,0)))</f>
        <v>Qerimi</v>
      </c>
    </row>
    <row r="124" spans="1:7" x14ac:dyDescent="0.25">
      <c r="A124">
        <v>10328</v>
      </c>
      <c r="B124" t="s">
        <v>38</v>
      </c>
      <c r="C124" t="s">
        <v>37</v>
      </c>
      <c r="G124" t="str">
        <f>IF(Tabelle1[[#This Row],[Kunde Nr.]]&lt;$I$2,$J$2,IF(Tabelle1[[#This Row],[Kunde Nr.]]&lt;$I$3,$J$3,IF(Tabelle1[[#This Row],[Kunde Nr.]]&lt;$I$4,$J$4,0)))</f>
        <v>Qerimi</v>
      </c>
    </row>
    <row r="125" spans="1:7" x14ac:dyDescent="0.25">
      <c r="A125">
        <v>10329</v>
      </c>
      <c r="B125" t="s">
        <v>39</v>
      </c>
      <c r="C125" t="s">
        <v>40</v>
      </c>
      <c r="G125" t="str">
        <f>IF(Tabelle1[[#This Row],[Kunde Nr.]]&lt;$I$2,$J$2,IF(Tabelle1[[#This Row],[Kunde Nr.]]&lt;$I$3,$J$3,IF(Tabelle1[[#This Row],[Kunde Nr.]]&lt;$I$4,$J$4,0)))</f>
        <v>Qerimi</v>
      </c>
    </row>
    <row r="126" spans="1:7" x14ac:dyDescent="0.25">
      <c r="A126">
        <v>10330</v>
      </c>
      <c r="B126" t="s">
        <v>41</v>
      </c>
      <c r="C126" t="s">
        <v>40</v>
      </c>
      <c r="G126" t="str">
        <f>IF(Tabelle1[[#This Row],[Kunde Nr.]]&lt;$I$2,$J$2,IF(Tabelle1[[#This Row],[Kunde Nr.]]&lt;$I$3,$J$3,IF(Tabelle1[[#This Row],[Kunde Nr.]]&lt;$I$4,$J$4,0)))</f>
        <v>Qerimi</v>
      </c>
    </row>
    <row r="127" spans="1:7" x14ac:dyDescent="0.25">
      <c r="A127">
        <v>10331</v>
      </c>
      <c r="B127" t="s">
        <v>42</v>
      </c>
      <c r="C127" t="s">
        <v>40</v>
      </c>
      <c r="G127" t="str">
        <f>IF(Tabelle1[[#This Row],[Kunde Nr.]]&lt;$I$2,$J$2,IF(Tabelle1[[#This Row],[Kunde Nr.]]&lt;$I$3,$J$3,IF(Tabelle1[[#This Row],[Kunde Nr.]]&lt;$I$4,$J$4,0)))</f>
        <v>Qerimi</v>
      </c>
    </row>
    <row r="128" spans="1:7" x14ac:dyDescent="0.25">
      <c r="A128">
        <v>10332</v>
      </c>
      <c r="B128" t="s">
        <v>43</v>
      </c>
      <c r="C128" t="s">
        <v>32</v>
      </c>
      <c r="F128" t="s">
        <v>667</v>
      </c>
      <c r="G128" t="str">
        <f>IF(Tabelle1[[#This Row],[Kunde Nr.]]&lt;$I$2,$J$2,IF(Tabelle1[[#This Row],[Kunde Nr.]]&lt;$I$3,$J$3,IF(Tabelle1[[#This Row],[Kunde Nr.]]&lt;$I$4,$J$4,0)))</f>
        <v>Qerimi</v>
      </c>
    </row>
    <row r="129" spans="1:7" x14ac:dyDescent="0.25">
      <c r="A129">
        <v>10333</v>
      </c>
      <c r="B129" t="s">
        <v>663</v>
      </c>
      <c r="C129" t="s">
        <v>33</v>
      </c>
      <c r="G129" s="47" t="str">
        <f>IF(Tabelle1[[#This Row],[Kunde Nr.]]&lt;$I$2,$J$2,IF(Tabelle1[[#This Row],[Kunde Nr.]]&lt;$I$3,$J$3,IF(Tabelle1[[#This Row],[Kunde Nr.]]&lt;$I$4,$J$4,0)))</f>
        <v>Qerimi</v>
      </c>
    </row>
    <row r="130" spans="1:7" x14ac:dyDescent="0.25">
      <c r="A130">
        <v>10334</v>
      </c>
      <c r="B130" t="s">
        <v>1208</v>
      </c>
      <c r="C130" t="s">
        <v>1209</v>
      </c>
      <c r="G130" s="47" t="str">
        <f>IF(Tabelle1[[#This Row],[Kunde Nr.]]&lt;$I$2,$J$2,IF(Tabelle1[[#This Row],[Kunde Nr.]]&lt;$I$3,$J$3,IF(Tabelle1[[#This Row],[Kunde Nr.]]&lt;$I$4,$J$4,0)))</f>
        <v>Qerimi</v>
      </c>
    </row>
    <row r="131" spans="1:7" x14ac:dyDescent="0.25">
      <c r="A131">
        <v>10335</v>
      </c>
      <c r="B131" t="s">
        <v>773</v>
      </c>
      <c r="C131" t="s">
        <v>32</v>
      </c>
      <c r="G131" s="47" t="str">
        <f>IF(Tabelle1[[#This Row],[Kunde Nr.]]&lt;$I$2,$J$2,IF(Tabelle1[[#This Row],[Kunde Nr.]]&lt;$I$3,$J$3,IF(Tabelle1[[#This Row],[Kunde Nr.]]&lt;$I$4,$J$4,0)))</f>
        <v>Qerimi</v>
      </c>
    </row>
    <row r="132" spans="1:7" x14ac:dyDescent="0.25">
      <c r="A132">
        <v>10337</v>
      </c>
      <c r="B132" t="s">
        <v>1058</v>
      </c>
      <c r="C132" t="s">
        <v>1059</v>
      </c>
      <c r="G132" s="47" t="str">
        <f>IF(Tabelle1[[#This Row],[Kunde Nr.]]&lt;$I$2,$J$2,IF(Tabelle1[[#This Row],[Kunde Nr.]]&lt;$I$3,$J$3,IF(Tabelle1[[#This Row],[Kunde Nr.]]&lt;$I$4,$J$4,0)))</f>
        <v>Qerimi</v>
      </c>
    </row>
    <row r="133" spans="1:7" x14ac:dyDescent="0.25">
      <c r="A133">
        <v>10338</v>
      </c>
      <c r="B133" t="s">
        <v>948</v>
      </c>
      <c r="C133" t="s">
        <v>33</v>
      </c>
      <c r="G133" s="47" t="str">
        <f>IF(Tabelle1[[#This Row],[Kunde Nr.]]&lt;$I$2,$J$2,IF(Tabelle1[[#This Row],[Kunde Nr.]]&lt;$I$3,$J$3,IF(Tabelle1[[#This Row],[Kunde Nr.]]&lt;$I$4,$J$4,0)))</f>
        <v>Qerimi</v>
      </c>
    </row>
    <row r="134" spans="1:7" x14ac:dyDescent="0.25">
      <c r="A134">
        <v>10340</v>
      </c>
      <c r="B134" t="s">
        <v>1153</v>
      </c>
      <c r="C134" t="s">
        <v>33</v>
      </c>
      <c r="G134" s="47" t="str">
        <f>IF(Tabelle1[[#This Row],[Kunde Nr.]]&lt;$I$2,$J$2,IF(Tabelle1[[#This Row],[Kunde Nr.]]&lt;$I$3,$J$3,IF(Tabelle1[[#This Row],[Kunde Nr.]]&lt;$I$4,$J$4,0)))</f>
        <v>Qerimi</v>
      </c>
    </row>
    <row r="135" spans="1:7" x14ac:dyDescent="0.25">
      <c r="A135">
        <v>10341</v>
      </c>
      <c r="B135" t="s">
        <v>411</v>
      </c>
      <c r="G135" s="47" t="str">
        <f>IF(Tabelle1[[#This Row],[Kunde Nr.]]&lt;$I$2,$J$2,IF(Tabelle1[[#This Row],[Kunde Nr.]]&lt;$I$3,$J$3,IF(Tabelle1[[#This Row],[Kunde Nr.]]&lt;$I$4,$J$4,0)))</f>
        <v>Qerimi</v>
      </c>
    </row>
    <row r="136" spans="1:7" x14ac:dyDescent="0.25">
      <c r="A136">
        <v>10342</v>
      </c>
      <c r="B136" t="s">
        <v>632</v>
      </c>
      <c r="G136" s="47" t="str">
        <f>IF(Tabelle1[[#This Row],[Kunde Nr.]]&lt;$I$2,$J$2,IF(Tabelle1[[#This Row],[Kunde Nr.]]&lt;$I$3,$J$3,IF(Tabelle1[[#This Row],[Kunde Nr.]]&lt;$I$4,$J$4,0)))</f>
        <v>Qerimi</v>
      </c>
    </row>
    <row r="137" spans="1:7" x14ac:dyDescent="0.25">
      <c r="A137">
        <v>10343</v>
      </c>
      <c r="B137" t="s">
        <v>1005</v>
      </c>
      <c r="C137" t="s">
        <v>32</v>
      </c>
      <c r="G137" s="47" t="str">
        <f>IF(Tabelle1[[#This Row],[Kunde Nr.]]&lt;$I$2,$J$2,IF(Tabelle1[[#This Row],[Kunde Nr.]]&lt;$I$3,$J$3,IF(Tabelle1[[#This Row],[Kunde Nr.]]&lt;$I$4,$J$4,0)))</f>
        <v>Qerimi</v>
      </c>
    </row>
    <row r="138" spans="1:7" x14ac:dyDescent="0.25">
      <c r="A138" s="7">
        <v>10344</v>
      </c>
      <c r="B138" t="s">
        <v>1154</v>
      </c>
      <c r="C138" t="s">
        <v>33</v>
      </c>
      <c r="G138" s="47" t="str">
        <f>IF(Tabelle1[[#This Row],[Kunde Nr.]]&lt;$I$2,$J$2,IF(Tabelle1[[#This Row],[Kunde Nr.]]&lt;$I$3,$J$3,IF(Tabelle1[[#This Row],[Kunde Nr.]]&lt;$I$4,$J$4,0)))</f>
        <v>Qerimi</v>
      </c>
    </row>
    <row r="139" spans="1:7" x14ac:dyDescent="0.25">
      <c r="A139" s="7">
        <v>10345</v>
      </c>
      <c r="B139" t="s">
        <v>1210</v>
      </c>
      <c r="C139" t="s">
        <v>33</v>
      </c>
      <c r="G139" s="47" t="str">
        <f>IF(Tabelle1[[#This Row],[Kunde Nr.]]&lt;$I$2,$J$2,IF(Tabelle1[[#This Row],[Kunde Nr.]]&lt;$I$3,$J$3,IF(Tabelle1[[#This Row],[Kunde Nr.]]&lt;$I$4,$J$4,0)))</f>
        <v>Qerimi</v>
      </c>
    </row>
    <row r="140" spans="1:7" x14ac:dyDescent="0.25">
      <c r="A140" s="7">
        <v>10346</v>
      </c>
      <c r="B140" t="s">
        <v>1173</v>
      </c>
      <c r="C140" t="s">
        <v>33</v>
      </c>
      <c r="G140" s="47" t="str">
        <f>IF(Tabelle1[[#This Row],[Kunde Nr.]]&lt;$I$2,$J$2,IF(Tabelle1[[#This Row],[Kunde Nr.]]&lt;$I$3,$J$3,IF(Tabelle1[[#This Row],[Kunde Nr.]]&lt;$I$4,$J$4,0)))</f>
        <v>Qerimi</v>
      </c>
    </row>
    <row r="141" spans="1:7" x14ac:dyDescent="0.25">
      <c r="A141" s="7">
        <v>10347</v>
      </c>
      <c r="B141" t="s">
        <v>19</v>
      </c>
      <c r="C141" t="s">
        <v>33</v>
      </c>
      <c r="G141" s="47" t="str">
        <f>IF(Tabelle1[[#This Row],[Kunde Nr.]]&lt;$I$2,$J$2,IF(Tabelle1[[#This Row],[Kunde Nr.]]&lt;$I$3,$J$3,IF(Tabelle1[[#This Row],[Kunde Nr.]]&lt;$I$4,$J$4,0)))</f>
        <v>Qerimi</v>
      </c>
    </row>
    <row r="142" spans="1:7" x14ac:dyDescent="0.25">
      <c r="A142" s="7">
        <v>10348</v>
      </c>
      <c r="B142" t="s">
        <v>1174</v>
      </c>
      <c r="C142" t="s">
        <v>33</v>
      </c>
      <c r="G142" s="47" t="str">
        <f>IF(Tabelle1[[#This Row],[Kunde Nr.]]&lt;$I$2,$J$2,IF(Tabelle1[[#This Row],[Kunde Nr.]]&lt;$I$3,$J$3,IF(Tabelle1[[#This Row],[Kunde Nr.]]&lt;$I$4,$J$4,0)))</f>
        <v>Qerimi</v>
      </c>
    </row>
    <row r="143" spans="1:7" x14ac:dyDescent="0.25">
      <c r="A143" s="7">
        <v>10349</v>
      </c>
      <c r="B143" t="s">
        <v>1211</v>
      </c>
      <c r="C143" t="s">
        <v>33</v>
      </c>
      <c r="G143" s="47" t="str">
        <f>IF(Tabelle1[[#This Row],[Kunde Nr.]]&lt;$I$2,$J$2,IF(Tabelle1[[#This Row],[Kunde Nr.]]&lt;$I$3,$J$3,IF(Tabelle1[[#This Row],[Kunde Nr.]]&lt;$I$4,$J$4,0)))</f>
        <v>Qerimi</v>
      </c>
    </row>
    <row r="144" spans="1:7" x14ac:dyDescent="0.25">
      <c r="A144" s="7">
        <v>10350</v>
      </c>
      <c r="B144" t="s">
        <v>413</v>
      </c>
      <c r="C144" t="s">
        <v>32</v>
      </c>
      <c r="G144" s="47" t="str">
        <f>IF(Tabelle1[[#This Row],[Kunde Nr.]]&lt;$I$2,$J$2,IF(Tabelle1[[#This Row],[Kunde Nr.]]&lt;$I$3,$J$3,IF(Tabelle1[[#This Row],[Kunde Nr.]]&lt;$I$4,$J$4,0)))</f>
        <v>Qerimi</v>
      </c>
    </row>
    <row r="145" spans="1:7" x14ac:dyDescent="0.25">
      <c r="A145" s="7">
        <v>10351</v>
      </c>
      <c r="B145" t="s">
        <v>719</v>
      </c>
      <c r="C145" t="s">
        <v>32</v>
      </c>
      <c r="G145" s="47" t="str">
        <f>IF(Tabelle1[[#This Row],[Kunde Nr.]]&lt;$I$2,$J$2,IF(Tabelle1[[#This Row],[Kunde Nr.]]&lt;$I$3,$J$3,IF(Tabelle1[[#This Row],[Kunde Nr.]]&lt;$I$4,$J$4,0)))</f>
        <v>Qerimi</v>
      </c>
    </row>
    <row r="146" spans="1:7" x14ac:dyDescent="0.25">
      <c r="A146" s="7">
        <v>10352</v>
      </c>
      <c r="B146" t="s">
        <v>415</v>
      </c>
      <c r="C146" t="s">
        <v>32</v>
      </c>
      <c r="G146" s="47" t="str">
        <f>IF(Tabelle1[[#This Row],[Kunde Nr.]]&lt;$I$2,$J$2,IF(Tabelle1[[#This Row],[Kunde Nr.]]&lt;$I$3,$J$3,IF(Tabelle1[[#This Row],[Kunde Nr.]]&lt;$I$4,$J$4,0)))</f>
        <v>Qerimi</v>
      </c>
    </row>
    <row r="147" spans="1:7" x14ac:dyDescent="0.25">
      <c r="A147" s="7">
        <v>10353</v>
      </c>
      <c r="B147" t="s">
        <v>995</v>
      </c>
      <c r="C147" t="s">
        <v>33</v>
      </c>
      <c r="G147" s="47" t="str">
        <f>IF(Tabelle1[[#This Row],[Kunde Nr.]]&lt;$I$2,$J$2,IF(Tabelle1[[#This Row],[Kunde Nr.]]&lt;$I$3,$J$3,IF(Tabelle1[[#This Row],[Kunde Nr.]]&lt;$I$4,$J$4,0)))</f>
        <v>Qerimi</v>
      </c>
    </row>
    <row r="148" spans="1:7" x14ac:dyDescent="0.25">
      <c r="A148" s="7">
        <v>10354</v>
      </c>
      <c r="B148" t="s">
        <v>1212</v>
      </c>
      <c r="G148" s="47" t="str">
        <f>IF(Tabelle1[[#This Row],[Kunde Nr.]]&lt;$I$2,$J$2,IF(Tabelle1[[#This Row],[Kunde Nr.]]&lt;$I$3,$J$3,IF(Tabelle1[[#This Row],[Kunde Nr.]]&lt;$I$4,$J$4,0)))</f>
        <v>Qerimi</v>
      </c>
    </row>
    <row r="149" spans="1:7" x14ac:dyDescent="0.25">
      <c r="A149" s="7">
        <v>10355</v>
      </c>
      <c r="B149" t="s">
        <v>625</v>
      </c>
      <c r="C149" t="s">
        <v>32</v>
      </c>
      <c r="G149" s="47" t="str">
        <f>IF(Tabelle1[[#This Row],[Kunde Nr.]]&lt;$I$2,$J$2,IF(Tabelle1[[#This Row],[Kunde Nr.]]&lt;$I$3,$J$3,IF(Tabelle1[[#This Row],[Kunde Nr.]]&lt;$I$4,$J$4,0)))</f>
        <v>Qerimi</v>
      </c>
    </row>
    <row r="150" spans="1:7" x14ac:dyDescent="0.25">
      <c r="A150" s="7">
        <v>10357</v>
      </c>
      <c r="B150" t="s">
        <v>1253</v>
      </c>
      <c r="C150" t="s">
        <v>33</v>
      </c>
      <c r="G150" s="47" t="str">
        <f>IF(Tabelle1[[#This Row],[Kunde Nr.]]&lt;$I$2,$J$2,IF(Tabelle1[[#This Row],[Kunde Nr.]]&lt;$I$3,$J$3,IF(Tabelle1[[#This Row],[Kunde Nr.]]&lt;$I$4,$J$4,0)))</f>
        <v>Qerimi</v>
      </c>
    </row>
    <row r="151" spans="1:7" x14ac:dyDescent="0.25">
      <c r="A151" s="7">
        <v>10361</v>
      </c>
      <c r="B151" t="s">
        <v>1268</v>
      </c>
      <c r="C151" t="s">
        <v>32</v>
      </c>
      <c r="G151" s="47" t="str">
        <f>IF(Tabelle1[[#This Row],[Kunde Nr.]]&lt;$I$2,$J$2,IF(Tabelle1[[#This Row],[Kunde Nr.]]&lt;$I$3,$J$3,IF(Tabelle1[[#This Row],[Kunde Nr.]]&lt;$I$4,$J$4,0)))</f>
        <v>Qerimi</v>
      </c>
    </row>
    <row r="152" spans="1:7" x14ac:dyDescent="0.25">
      <c r="A152" s="7">
        <v>10362</v>
      </c>
      <c r="B152" t="s">
        <v>756</v>
      </c>
      <c r="C152" t="s">
        <v>32</v>
      </c>
      <c r="G152" s="47" t="str">
        <f>IF(Tabelle1[[#This Row],[Kunde Nr.]]&lt;$I$2,$J$2,IF(Tabelle1[[#This Row],[Kunde Nr.]]&lt;$I$3,$J$3,IF(Tabelle1[[#This Row],[Kunde Nr.]]&lt;$I$4,$J$4,0)))</f>
        <v>Qerimi</v>
      </c>
    </row>
    <row r="153" spans="1:7" x14ac:dyDescent="0.25">
      <c r="A153" s="7">
        <v>10364</v>
      </c>
      <c r="B153" t="s">
        <v>1296</v>
      </c>
      <c r="C153" t="s">
        <v>32</v>
      </c>
      <c r="G153" s="47" t="str">
        <f>IF(Tabelle1[[#This Row],[Kunde Nr.]]&lt;$I$2,$J$2,IF(Tabelle1[[#This Row],[Kunde Nr.]]&lt;$I$3,$J$3,IF(Tabelle1[[#This Row],[Kunde Nr.]]&lt;$I$4,$J$4,0)))</f>
        <v>Qerimi</v>
      </c>
    </row>
    <row r="154" spans="1:7" x14ac:dyDescent="0.25">
      <c r="A154" s="7">
        <v>10365</v>
      </c>
      <c r="B154" t="s">
        <v>1303</v>
      </c>
      <c r="C154" t="s">
        <v>33</v>
      </c>
      <c r="G154" s="47" t="str">
        <f>IF(Tabelle1[[#This Row],[Kunde Nr.]]&lt;$I$2,$J$2,IF(Tabelle1[[#This Row],[Kunde Nr.]]&lt;$I$3,$J$3,IF(Tabelle1[[#This Row],[Kunde Nr.]]&lt;$I$4,$J$4,0)))</f>
        <v>Qerimi</v>
      </c>
    </row>
    <row r="155" spans="1:7" x14ac:dyDescent="0.25">
      <c r="A155" s="7">
        <v>10366</v>
      </c>
      <c r="B155" t="s">
        <v>1304</v>
      </c>
      <c r="C155" t="s">
        <v>33</v>
      </c>
      <c r="G155" s="47" t="str">
        <f>IF(Tabelle1[[#This Row],[Kunde Nr.]]&lt;$I$2,$J$2,IF(Tabelle1[[#This Row],[Kunde Nr.]]&lt;$I$3,$J$3,IF(Tabelle1[[#This Row],[Kunde Nr.]]&lt;$I$4,$J$4,0)))</f>
        <v>Qerimi</v>
      </c>
    </row>
    <row r="156" spans="1:7" x14ac:dyDescent="0.25">
      <c r="A156" s="7">
        <v>10367</v>
      </c>
      <c r="B156" t="s">
        <v>1316</v>
      </c>
      <c r="C156" t="s">
        <v>32</v>
      </c>
      <c r="G156" s="47" t="str">
        <f>IF(Tabelle1[[#This Row],[Kunde Nr.]]&lt;$I$2,$J$2,IF(Tabelle1[[#This Row],[Kunde Nr.]]&lt;$I$3,$J$3,IF(Tabelle1[[#This Row],[Kunde Nr.]]&lt;$I$4,$J$4,0)))</f>
        <v>Qerimi</v>
      </c>
    </row>
    <row r="157" spans="1:7" x14ac:dyDescent="0.25">
      <c r="A157" s="7">
        <v>10368</v>
      </c>
      <c r="B157" t="s">
        <v>1319</v>
      </c>
      <c r="C157" t="s">
        <v>32</v>
      </c>
      <c r="G157" s="47" t="str">
        <f>IF(Tabelle1[[#This Row],[Kunde Nr.]]&lt;$I$2,$J$2,IF(Tabelle1[[#This Row],[Kunde Nr.]]&lt;$I$3,$J$3,IF(Tabelle1[[#This Row],[Kunde Nr.]]&lt;$I$4,$J$4,0)))</f>
        <v>Qerimi</v>
      </c>
    </row>
    <row r="158" spans="1:7" x14ac:dyDescent="0.25">
      <c r="A158">
        <v>10401</v>
      </c>
      <c r="B158" t="s">
        <v>540</v>
      </c>
      <c r="C158" t="s">
        <v>539</v>
      </c>
      <c r="G158" t="str">
        <f>IF(Tabelle1[[#This Row],[Kunde Nr.]]&lt;$I$2,$J$2,IF(Tabelle1[[#This Row],[Kunde Nr.]]&lt;$I$3,$J$3,IF(Tabelle1[[#This Row],[Kunde Nr.]]&lt;$I$4,$J$4,0)))</f>
        <v>Qerimi</v>
      </c>
    </row>
    <row r="159" spans="1:7" x14ac:dyDescent="0.25">
      <c r="A159">
        <v>10402</v>
      </c>
      <c r="B159" t="s">
        <v>541</v>
      </c>
      <c r="C159" t="s">
        <v>539</v>
      </c>
      <c r="G159" t="str">
        <f>IF(Tabelle1[[#This Row],[Kunde Nr.]]&lt;$I$2,$J$2,IF(Tabelle1[[#This Row],[Kunde Nr.]]&lt;$I$3,$J$3,IF(Tabelle1[[#This Row],[Kunde Nr.]]&lt;$I$4,$J$4,0)))</f>
        <v>Qerimi</v>
      </c>
    </row>
    <row r="160" spans="1:7" x14ac:dyDescent="0.25">
      <c r="A160">
        <v>10403</v>
      </c>
      <c r="B160" t="s">
        <v>542</v>
      </c>
      <c r="C160" t="s">
        <v>539</v>
      </c>
      <c r="G160" t="str">
        <f>IF(Tabelle1[[#This Row],[Kunde Nr.]]&lt;$I$2,$J$2,IF(Tabelle1[[#This Row],[Kunde Nr.]]&lt;$I$3,$J$3,IF(Tabelle1[[#This Row],[Kunde Nr.]]&lt;$I$4,$J$4,0)))</f>
        <v>Qerimi</v>
      </c>
    </row>
    <row r="161" spans="1:7" x14ac:dyDescent="0.25">
      <c r="A161">
        <v>10404</v>
      </c>
      <c r="B161" t="s">
        <v>543</v>
      </c>
      <c r="C161" t="s">
        <v>544</v>
      </c>
      <c r="G161" t="str">
        <f>IF(Tabelle1[[#This Row],[Kunde Nr.]]&lt;$I$2,$J$2,IF(Tabelle1[[#This Row],[Kunde Nr.]]&lt;$I$3,$J$3,IF(Tabelle1[[#This Row],[Kunde Nr.]]&lt;$I$4,$J$4,0)))</f>
        <v>Qerimi</v>
      </c>
    </row>
    <row r="162" spans="1:7" x14ac:dyDescent="0.25">
      <c r="A162">
        <v>10405</v>
      </c>
      <c r="B162" t="s">
        <v>545</v>
      </c>
      <c r="C162" t="s">
        <v>544</v>
      </c>
      <c r="G162" t="str">
        <f>IF(Tabelle1[[#This Row],[Kunde Nr.]]&lt;$I$2,$J$2,IF(Tabelle1[[#This Row],[Kunde Nr.]]&lt;$I$3,$J$3,IF(Tabelle1[[#This Row],[Kunde Nr.]]&lt;$I$4,$J$4,0)))</f>
        <v>Qerimi</v>
      </c>
    </row>
    <row r="163" spans="1:7" x14ac:dyDescent="0.25">
      <c r="A163">
        <v>10406</v>
      </c>
      <c r="B163" t="s">
        <v>546</v>
      </c>
      <c r="C163" t="s">
        <v>544</v>
      </c>
      <c r="G163" t="str">
        <f>IF(Tabelle1[[#This Row],[Kunde Nr.]]&lt;$I$2,$J$2,IF(Tabelle1[[#This Row],[Kunde Nr.]]&lt;$I$3,$J$3,IF(Tabelle1[[#This Row],[Kunde Nr.]]&lt;$I$4,$J$4,0)))</f>
        <v>Qerimi</v>
      </c>
    </row>
    <row r="164" spans="1:7" x14ac:dyDescent="0.25">
      <c r="A164">
        <v>10407</v>
      </c>
      <c r="B164" t="s">
        <v>547</v>
      </c>
      <c r="C164" t="s">
        <v>544</v>
      </c>
      <c r="G164" t="str">
        <f>IF(Tabelle1[[#This Row],[Kunde Nr.]]&lt;$I$2,$J$2,IF(Tabelle1[[#This Row],[Kunde Nr.]]&lt;$I$3,$J$3,IF(Tabelle1[[#This Row],[Kunde Nr.]]&lt;$I$4,$J$4,0)))</f>
        <v>Qerimi</v>
      </c>
    </row>
    <row r="165" spans="1:7" x14ac:dyDescent="0.25">
      <c r="A165">
        <v>10408</v>
      </c>
      <c r="B165" t="s">
        <v>548</v>
      </c>
      <c r="C165" t="s">
        <v>544</v>
      </c>
      <c r="G165" t="str">
        <f>IF(Tabelle1[[#This Row],[Kunde Nr.]]&lt;$I$2,$J$2,IF(Tabelle1[[#This Row],[Kunde Nr.]]&lt;$I$3,$J$3,IF(Tabelle1[[#This Row],[Kunde Nr.]]&lt;$I$4,$J$4,0)))</f>
        <v>Qerimi</v>
      </c>
    </row>
    <row r="166" spans="1:7" x14ac:dyDescent="0.25">
      <c r="A166">
        <v>10409</v>
      </c>
      <c r="B166" t="s">
        <v>549</v>
      </c>
      <c r="C166" t="s">
        <v>544</v>
      </c>
      <c r="G166" t="str">
        <f>IF(Tabelle1[[#This Row],[Kunde Nr.]]&lt;$I$2,$J$2,IF(Tabelle1[[#This Row],[Kunde Nr.]]&lt;$I$3,$J$3,IF(Tabelle1[[#This Row],[Kunde Nr.]]&lt;$I$4,$J$4,0)))</f>
        <v>Qerimi</v>
      </c>
    </row>
    <row r="167" spans="1:7" x14ac:dyDescent="0.25">
      <c r="A167">
        <v>10410</v>
      </c>
      <c r="B167" t="s">
        <v>550</v>
      </c>
      <c r="C167" t="s">
        <v>544</v>
      </c>
      <c r="G167" t="str">
        <f>IF(Tabelle1[[#This Row],[Kunde Nr.]]&lt;$I$2,$J$2,IF(Tabelle1[[#This Row],[Kunde Nr.]]&lt;$I$3,$J$3,IF(Tabelle1[[#This Row],[Kunde Nr.]]&lt;$I$4,$J$4,0)))</f>
        <v>Qerimi</v>
      </c>
    </row>
    <row r="168" spans="1:7" x14ac:dyDescent="0.25">
      <c r="A168">
        <v>10411</v>
      </c>
      <c r="B168" t="s">
        <v>551</v>
      </c>
      <c r="C168" t="s">
        <v>544</v>
      </c>
      <c r="G168" t="str">
        <f>IF(Tabelle1[[#This Row],[Kunde Nr.]]&lt;$I$2,$J$2,IF(Tabelle1[[#This Row],[Kunde Nr.]]&lt;$I$3,$J$3,IF(Tabelle1[[#This Row],[Kunde Nr.]]&lt;$I$4,$J$4,0)))</f>
        <v>Qerimi</v>
      </c>
    </row>
    <row r="169" spans="1:7" x14ac:dyDescent="0.25">
      <c r="A169">
        <v>10412</v>
      </c>
      <c r="B169" t="s">
        <v>552</v>
      </c>
      <c r="C169" t="s">
        <v>544</v>
      </c>
      <c r="G169" t="str">
        <f>IF(Tabelle1[[#This Row],[Kunde Nr.]]&lt;$I$2,$J$2,IF(Tabelle1[[#This Row],[Kunde Nr.]]&lt;$I$3,$J$3,IF(Tabelle1[[#This Row],[Kunde Nr.]]&lt;$I$4,$J$4,0)))</f>
        <v>Qerimi</v>
      </c>
    </row>
    <row r="170" spans="1:7" x14ac:dyDescent="0.25">
      <c r="A170">
        <v>10413</v>
      </c>
      <c r="B170" t="s">
        <v>553</v>
      </c>
      <c r="C170" t="s">
        <v>544</v>
      </c>
      <c r="G170" t="str">
        <f>IF(Tabelle1[[#This Row],[Kunde Nr.]]&lt;$I$2,$J$2,IF(Tabelle1[[#This Row],[Kunde Nr.]]&lt;$I$3,$J$3,IF(Tabelle1[[#This Row],[Kunde Nr.]]&lt;$I$4,$J$4,0)))</f>
        <v>Qerimi</v>
      </c>
    </row>
    <row r="171" spans="1:7" x14ac:dyDescent="0.25">
      <c r="A171">
        <v>10414</v>
      </c>
      <c r="B171" t="s">
        <v>554</v>
      </c>
      <c r="C171" t="s">
        <v>544</v>
      </c>
      <c r="G171" t="str">
        <f>IF(Tabelle1[[#This Row],[Kunde Nr.]]&lt;$I$2,$J$2,IF(Tabelle1[[#This Row],[Kunde Nr.]]&lt;$I$3,$J$3,IF(Tabelle1[[#This Row],[Kunde Nr.]]&lt;$I$4,$J$4,0)))</f>
        <v>Qerimi</v>
      </c>
    </row>
    <row r="172" spans="1:7" x14ac:dyDescent="0.25">
      <c r="A172">
        <v>10415</v>
      </c>
      <c r="B172" t="s">
        <v>555</v>
      </c>
      <c r="C172" t="s">
        <v>539</v>
      </c>
      <c r="G172" t="str">
        <f>IF(Tabelle1[[#This Row],[Kunde Nr.]]&lt;$I$2,$J$2,IF(Tabelle1[[#This Row],[Kunde Nr.]]&lt;$I$3,$J$3,IF(Tabelle1[[#This Row],[Kunde Nr.]]&lt;$I$4,$J$4,0)))</f>
        <v>Qerimi</v>
      </c>
    </row>
    <row r="173" spans="1:7" x14ac:dyDescent="0.25">
      <c r="A173">
        <v>10416</v>
      </c>
      <c r="B173" t="s">
        <v>556</v>
      </c>
      <c r="C173" t="s">
        <v>539</v>
      </c>
      <c r="G173" t="str">
        <f>IF(Tabelle1[[#This Row],[Kunde Nr.]]&lt;$I$2,$J$2,IF(Tabelle1[[#This Row],[Kunde Nr.]]&lt;$I$3,$J$3,IF(Tabelle1[[#This Row],[Kunde Nr.]]&lt;$I$4,$J$4,0)))</f>
        <v>Qerimi</v>
      </c>
    </row>
    <row r="174" spans="1:7" x14ac:dyDescent="0.25">
      <c r="A174">
        <v>10417</v>
      </c>
      <c r="B174" t="s">
        <v>557</v>
      </c>
      <c r="C174" t="s">
        <v>539</v>
      </c>
      <c r="G174" t="str">
        <f>IF(Tabelle1[[#This Row],[Kunde Nr.]]&lt;$I$2,$J$2,IF(Tabelle1[[#This Row],[Kunde Nr.]]&lt;$I$3,$J$3,IF(Tabelle1[[#This Row],[Kunde Nr.]]&lt;$I$4,$J$4,0)))</f>
        <v>Qerimi</v>
      </c>
    </row>
    <row r="175" spans="1:7" x14ac:dyDescent="0.25">
      <c r="A175">
        <v>10418</v>
      </c>
      <c r="B175" t="s">
        <v>558</v>
      </c>
      <c r="C175" t="s">
        <v>539</v>
      </c>
      <c r="G175" t="str">
        <f>IF(Tabelle1[[#This Row],[Kunde Nr.]]&lt;$I$2,$J$2,IF(Tabelle1[[#This Row],[Kunde Nr.]]&lt;$I$3,$J$3,IF(Tabelle1[[#This Row],[Kunde Nr.]]&lt;$I$4,$J$4,0)))</f>
        <v>Qerimi</v>
      </c>
    </row>
    <row r="176" spans="1:7" x14ac:dyDescent="0.25">
      <c r="A176">
        <v>10419</v>
      </c>
      <c r="B176" t="s">
        <v>559</v>
      </c>
      <c r="C176" t="s">
        <v>539</v>
      </c>
      <c r="G176" t="str">
        <f>IF(Tabelle1[[#This Row],[Kunde Nr.]]&lt;$I$2,$J$2,IF(Tabelle1[[#This Row],[Kunde Nr.]]&lt;$I$3,$J$3,IF(Tabelle1[[#This Row],[Kunde Nr.]]&lt;$I$4,$J$4,0)))</f>
        <v>Qerimi</v>
      </c>
    </row>
    <row r="177" spans="1:7" x14ac:dyDescent="0.25">
      <c r="A177">
        <v>10420</v>
      </c>
      <c r="B177" t="s">
        <v>560</v>
      </c>
      <c r="C177" t="s">
        <v>539</v>
      </c>
      <c r="G177" t="str">
        <f>IF(Tabelle1[[#This Row],[Kunde Nr.]]&lt;$I$2,$J$2,IF(Tabelle1[[#This Row],[Kunde Nr.]]&lt;$I$3,$J$3,IF(Tabelle1[[#This Row],[Kunde Nr.]]&lt;$I$4,$J$4,0)))</f>
        <v>Qerimi</v>
      </c>
    </row>
    <row r="178" spans="1:7" x14ac:dyDescent="0.25">
      <c r="A178">
        <v>10421</v>
      </c>
      <c r="B178" t="s">
        <v>41</v>
      </c>
      <c r="C178" t="s">
        <v>539</v>
      </c>
      <c r="G178" t="str">
        <f>IF(Tabelle1[[#This Row],[Kunde Nr.]]&lt;$I$2,$J$2,IF(Tabelle1[[#This Row],[Kunde Nr.]]&lt;$I$3,$J$3,IF(Tabelle1[[#This Row],[Kunde Nr.]]&lt;$I$4,$J$4,0)))</f>
        <v>Qerimi</v>
      </c>
    </row>
    <row r="179" spans="1:7" x14ac:dyDescent="0.25">
      <c r="A179">
        <v>10422</v>
      </c>
      <c r="B179" t="s">
        <v>561</v>
      </c>
      <c r="C179" t="s">
        <v>539</v>
      </c>
      <c r="G179" t="str">
        <f>IF(Tabelle1[[#This Row],[Kunde Nr.]]&lt;$I$2,$J$2,IF(Tabelle1[[#This Row],[Kunde Nr.]]&lt;$I$3,$J$3,IF(Tabelle1[[#This Row],[Kunde Nr.]]&lt;$I$4,$J$4,0)))</f>
        <v>Qerimi</v>
      </c>
    </row>
    <row r="180" spans="1:7" x14ac:dyDescent="0.25">
      <c r="A180">
        <v>10423</v>
      </c>
      <c r="B180" t="s">
        <v>562</v>
      </c>
      <c r="C180" t="s">
        <v>539</v>
      </c>
      <c r="D180" s="37" t="s">
        <v>451</v>
      </c>
      <c r="G180" t="str">
        <f>IF(Tabelle1[[#This Row],[Kunde Nr.]]&lt;$I$2,$J$2,IF(Tabelle1[[#This Row],[Kunde Nr.]]&lt;$I$3,$J$3,IF(Tabelle1[[#This Row],[Kunde Nr.]]&lt;$I$4,$J$4,0)))</f>
        <v>Qerimi</v>
      </c>
    </row>
    <row r="181" spans="1:7" x14ac:dyDescent="0.25">
      <c r="A181">
        <v>10424</v>
      </c>
      <c r="B181" t="s">
        <v>893</v>
      </c>
      <c r="C181" t="s">
        <v>539</v>
      </c>
      <c r="G181" s="47" t="str">
        <f>IF(Tabelle1[[#This Row],[Kunde Nr.]]&lt;$I$2,$J$2,IF(Tabelle1[[#This Row],[Kunde Nr.]]&lt;$I$3,$J$3,IF(Tabelle1[[#This Row],[Kunde Nr.]]&lt;$I$4,$J$4,0)))</f>
        <v>Qerimi</v>
      </c>
    </row>
    <row r="182" spans="1:7" x14ac:dyDescent="0.25">
      <c r="A182">
        <v>10425</v>
      </c>
      <c r="B182" t="s">
        <v>1213</v>
      </c>
      <c r="C182" t="s">
        <v>544</v>
      </c>
      <c r="G182" s="47" t="str">
        <f>IF(Tabelle1[[#This Row],[Kunde Nr.]]&lt;$I$2,$J$2,IF(Tabelle1[[#This Row],[Kunde Nr.]]&lt;$I$3,$J$3,IF(Tabelle1[[#This Row],[Kunde Nr.]]&lt;$I$4,$J$4,0)))</f>
        <v>Qerimi</v>
      </c>
    </row>
    <row r="183" spans="1:7" x14ac:dyDescent="0.25">
      <c r="A183">
        <v>10426</v>
      </c>
      <c r="B183" t="s">
        <v>1214</v>
      </c>
      <c r="C183" t="s">
        <v>539</v>
      </c>
      <c r="G183" s="47" t="str">
        <f>IF(Tabelle1[[#This Row],[Kunde Nr.]]&lt;$I$2,$J$2,IF(Tabelle1[[#This Row],[Kunde Nr.]]&lt;$I$3,$J$3,IF(Tabelle1[[#This Row],[Kunde Nr.]]&lt;$I$4,$J$4,0)))</f>
        <v>Qerimi</v>
      </c>
    </row>
    <row r="184" spans="1:7" x14ac:dyDescent="0.25">
      <c r="A184">
        <v>10427</v>
      </c>
      <c r="B184" t="s">
        <v>49</v>
      </c>
      <c r="C184" t="s">
        <v>539</v>
      </c>
      <c r="G184" s="47" t="str">
        <f>IF(Tabelle1[[#This Row],[Kunde Nr.]]&lt;$I$2,$J$2,IF(Tabelle1[[#This Row],[Kunde Nr.]]&lt;$I$3,$J$3,IF(Tabelle1[[#This Row],[Kunde Nr.]]&lt;$I$4,$J$4,0)))</f>
        <v>Qerimi</v>
      </c>
    </row>
    <row r="185" spans="1:7" x14ac:dyDescent="0.25">
      <c r="A185" s="7">
        <v>10428</v>
      </c>
      <c r="B185" t="s">
        <v>903</v>
      </c>
      <c r="C185" t="s">
        <v>539</v>
      </c>
      <c r="G185" s="47" t="str">
        <f>IF(Tabelle1[[#This Row],[Kunde Nr.]]&lt;$I$2,$J$2,IF(Tabelle1[[#This Row],[Kunde Nr.]]&lt;$I$3,$J$3,IF(Tabelle1[[#This Row],[Kunde Nr.]]&lt;$I$4,$J$4,0)))</f>
        <v>Qerimi</v>
      </c>
    </row>
    <row r="186" spans="1:7" x14ac:dyDescent="0.25">
      <c r="A186" s="7">
        <v>10429</v>
      </c>
      <c r="B186" t="s">
        <v>1215</v>
      </c>
      <c r="C186" t="s">
        <v>539</v>
      </c>
      <c r="G186" s="47" t="str">
        <f>IF(Tabelle1[[#This Row],[Kunde Nr.]]&lt;$I$2,$J$2,IF(Tabelle1[[#This Row],[Kunde Nr.]]&lt;$I$3,$J$3,IF(Tabelle1[[#This Row],[Kunde Nr.]]&lt;$I$4,$J$4,0)))</f>
        <v>Qerimi</v>
      </c>
    </row>
    <row r="187" spans="1:7" x14ac:dyDescent="0.25">
      <c r="A187" s="7">
        <v>10430</v>
      </c>
      <c r="B187" t="s">
        <v>879</v>
      </c>
      <c r="C187" t="s">
        <v>544</v>
      </c>
      <c r="G187" s="47" t="str">
        <f>IF(Tabelle1[[#This Row],[Kunde Nr.]]&lt;$I$2,$J$2,IF(Tabelle1[[#This Row],[Kunde Nr.]]&lt;$I$3,$J$3,IF(Tabelle1[[#This Row],[Kunde Nr.]]&lt;$I$4,$J$4,0)))</f>
        <v>Qerimi</v>
      </c>
    </row>
    <row r="188" spans="1:7" x14ac:dyDescent="0.25">
      <c r="A188" s="7">
        <v>10431</v>
      </c>
      <c r="B188" t="s">
        <v>1216</v>
      </c>
      <c r="C188" t="s">
        <v>1217</v>
      </c>
      <c r="G188" s="47" t="str">
        <f>IF(Tabelle1[[#This Row],[Kunde Nr.]]&lt;$I$2,$J$2,IF(Tabelle1[[#This Row],[Kunde Nr.]]&lt;$I$3,$J$3,IF(Tabelle1[[#This Row],[Kunde Nr.]]&lt;$I$4,$J$4,0)))</f>
        <v>Qerimi</v>
      </c>
    </row>
    <row r="189" spans="1:7" x14ac:dyDescent="0.25">
      <c r="A189" s="7">
        <v>10432</v>
      </c>
      <c r="B189" t="s">
        <v>1218</v>
      </c>
      <c r="C189" t="s">
        <v>544</v>
      </c>
      <c r="G189" s="47" t="str">
        <f>IF(Tabelle1[[#This Row],[Kunde Nr.]]&lt;$I$2,$J$2,IF(Tabelle1[[#This Row],[Kunde Nr.]]&lt;$I$3,$J$3,IF(Tabelle1[[#This Row],[Kunde Nr.]]&lt;$I$4,$J$4,0)))</f>
        <v>Qerimi</v>
      </c>
    </row>
    <row r="190" spans="1:7" x14ac:dyDescent="0.25">
      <c r="A190">
        <v>10501</v>
      </c>
      <c r="B190" t="s">
        <v>481</v>
      </c>
      <c r="C190" t="s">
        <v>385</v>
      </c>
      <c r="G190" t="str">
        <f>IF(Tabelle1[[#This Row],[Kunde Nr.]]&lt;$I$2,$J$2,IF(Tabelle1[[#This Row],[Kunde Nr.]]&lt;$I$3,$J$3,IF(Tabelle1[[#This Row],[Kunde Nr.]]&lt;$I$4,$J$4,0)))</f>
        <v>Qerimi</v>
      </c>
    </row>
    <row r="191" spans="1:7" x14ac:dyDescent="0.25">
      <c r="A191">
        <v>10502</v>
      </c>
      <c r="B191" t="s">
        <v>482</v>
      </c>
      <c r="C191" t="s">
        <v>385</v>
      </c>
      <c r="G191" t="str">
        <f>IF(Tabelle1[[#This Row],[Kunde Nr.]]&lt;$I$2,$J$2,IF(Tabelle1[[#This Row],[Kunde Nr.]]&lt;$I$3,$J$3,IF(Tabelle1[[#This Row],[Kunde Nr.]]&lt;$I$4,$J$4,0)))</f>
        <v>Qerimi</v>
      </c>
    </row>
    <row r="192" spans="1:7" x14ac:dyDescent="0.25">
      <c r="A192">
        <v>10503</v>
      </c>
      <c r="B192" t="s">
        <v>483</v>
      </c>
      <c r="C192" t="s">
        <v>385</v>
      </c>
      <c r="G192" t="str">
        <f>IF(Tabelle1[[#This Row],[Kunde Nr.]]&lt;$I$2,$J$2,IF(Tabelle1[[#This Row],[Kunde Nr.]]&lt;$I$3,$J$3,IF(Tabelle1[[#This Row],[Kunde Nr.]]&lt;$I$4,$J$4,0)))</f>
        <v>Qerimi</v>
      </c>
    </row>
    <row r="193" spans="1:7" x14ac:dyDescent="0.25">
      <c r="A193">
        <v>10504</v>
      </c>
      <c r="B193" t="s">
        <v>484</v>
      </c>
      <c r="C193" t="s">
        <v>385</v>
      </c>
      <c r="G193" t="str">
        <f>IF(Tabelle1[[#This Row],[Kunde Nr.]]&lt;$I$2,$J$2,IF(Tabelle1[[#This Row],[Kunde Nr.]]&lt;$I$3,$J$3,IF(Tabelle1[[#This Row],[Kunde Nr.]]&lt;$I$4,$J$4,0)))</f>
        <v>Qerimi</v>
      </c>
    </row>
    <row r="194" spans="1:7" x14ac:dyDescent="0.25">
      <c r="A194">
        <v>10505</v>
      </c>
      <c r="B194" t="s">
        <v>485</v>
      </c>
      <c r="C194" t="s">
        <v>385</v>
      </c>
      <c r="G194" t="str">
        <f>IF(Tabelle1[[#This Row],[Kunde Nr.]]&lt;$I$2,$J$2,IF(Tabelle1[[#This Row],[Kunde Nr.]]&lt;$I$3,$J$3,IF(Tabelle1[[#This Row],[Kunde Nr.]]&lt;$I$4,$J$4,0)))</f>
        <v>Qerimi</v>
      </c>
    </row>
    <row r="195" spans="1:7" x14ac:dyDescent="0.25">
      <c r="A195">
        <v>10506</v>
      </c>
      <c r="B195" t="s">
        <v>486</v>
      </c>
      <c r="C195" t="s">
        <v>385</v>
      </c>
      <c r="G195" t="str">
        <f>IF(Tabelle1[[#This Row],[Kunde Nr.]]&lt;$I$2,$J$2,IF(Tabelle1[[#This Row],[Kunde Nr.]]&lt;$I$3,$J$3,IF(Tabelle1[[#This Row],[Kunde Nr.]]&lt;$I$4,$J$4,0)))</f>
        <v>Qerimi</v>
      </c>
    </row>
    <row r="196" spans="1:7" x14ac:dyDescent="0.25">
      <c r="A196">
        <v>10507</v>
      </c>
      <c r="B196" t="s">
        <v>487</v>
      </c>
      <c r="C196" t="s">
        <v>385</v>
      </c>
      <c r="G196" t="str">
        <f>IF(Tabelle1[[#This Row],[Kunde Nr.]]&lt;$I$2,$J$2,IF(Tabelle1[[#This Row],[Kunde Nr.]]&lt;$I$3,$J$3,IF(Tabelle1[[#This Row],[Kunde Nr.]]&lt;$I$4,$J$4,0)))</f>
        <v>Qerimi</v>
      </c>
    </row>
    <row r="197" spans="1:7" x14ac:dyDescent="0.25">
      <c r="A197">
        <v>10508</v>
      </c>
      <c r="B197" t="s">
        <v>491</v>
      </c>
      <c r="C197" t="s">
        <v>385</v>
      </c>
      <c r="G197" t="str">
        <f>IF(Tabelle1[[#This Row],[Kunde Nr.]]&lt;$I$2,$J$2,IF(Tabelle1[[#This Row],[Kunde Nr.]]&lt;$I$3,$J$3,IF(Tabelle1[[#This Row],[Kunde Nr.]]&lt;$I$4,$J$4,0)))</f>
        <v>Qerimi</v>
      </c>
    </row>
    <row r="198" spans="1:7" x14ac:dyDescent="0.25">
      <c r="A198">
        <v>10509</v>
      </c>
      <c r="B198" t="s">
        <v>435</v>
      </c>
      <c r="C198" t="s">
        <v>385</v>
      </c>
      <c r="G198" t="str">
        <f>IF(Tabelle1[[#This Row],[Kunde Nr.]]&lt;$I$2,$J$2,IF(Tabelle1[[#This Row],[Kunde Nr.]]&lt;$I$3,$J$3,IF(Tabelle1[[#This Row],[Kunde Nr.]]&lt;$I$4,$J$4,0)))</f>
        <v>Qerimi</v>
      </c>
    </row>
    <row r="199" spans="1:7" x14ac:dyDescent="0.25">
      <c r="A199">
        <v>10510</v>
      </c>
      <c r="B199" t="s">
        <v>488</v>
      </c>
      <c r="C199" t="s">
        <v>385</v>
      </c>
      <c r="G199" t="str">
        <f>IF(Tabelle1[[#This Row],[Kunde Nr.]]&lt;$I$2,$J$2,IF(Tabelle1[[#This Row],[Kunde Nr.]]&lt;$I$3,$J$3,IF(Tabelle1[[#This Row],[Kunde Nr.]]&lt;$I$4,$J$4,0)))</f>
        <v>Qerimi</v>
      </c>
    </row>
    <row r="200" spans="1:7" x14ac:dyDescent="0.25">
      <c r="A200">
        <v>10511</v>
      </c>
      <c r="B200" t="s">
        <v>489</v>
      </c>
      <c r="C200" t="s">
        <v>385</v>
      </c>
      <c r="G200" t="str">
        <f>IF(Tabelle1[[#This Row],[Kunde Nr.]]&lt;$I$2,$J$2,IF(Tabelle1[[#This Row],[Kunde Nr.]]&lt;$I$3,$J$3,IF(Tabelle1[[#This Row],[Kunde Nr.]]&lt;$I$4,$J$4,0)))</f>
        <v>Qerimi</v>
      </c>
    </row>
    <row r="201" spans="1:7" x14ac:dyDescent="0.25">
      <c r="A201">
        <v>10512</v>
      </c>
      <c r="B201" t="s">
        <v>490</v>
      </c>
      <c r="C201" t="s">
        <v>385</v>
      </c>
      <c r="G201" t="str">
        <f>IF(Tabelle1[[#This Row],[Kunde Nr.]]&lt;$I$2,$J$2,IF(Tabelle1[[#This Row],[Kunde Nr.]]&lt;$I$3,$J$3,IF(Tabelle1[[#This Row],[Kunde Nr.]]&lt;$I$4,$J$4,0)))</f>
        <v>Qerimi</v>
      </c>
    </row>
    <row r="202" spans="1:7" x14ac:dyDescent="0.25">
      <c r="A202">
        <v>10513</v>
      </c>
      <c r="B202" t="s">
        <v>492</v>
      </c>
      <c r="C202" t="s">
        <v>385</v>
      </c>
      <c r="G202" t="str">
        <f>IF(Tabelle1[[#This Row],[Kunde Nr.]]&lt;$I$2,$J$2,IF(Tabelle1[[#This Row],[Kunde Nr.]]&lt;$I$3,$J$3,IF(Tabelle1[[#This Row],[Kunde Nr.]]&lt;$I$4,$J$4,0)))</f>
        <v>Qerimi</v>
      </c>
    </row>
    <row r="203" spans="1:7" x14ac:dyDescent="0.25">
      <c r="A203">
        <v>10514</v>
      </c>
      <c r="B203" t="s">
        <v>493</v>
      </c>
      <c r="C203" t="s">
        <v>385</v>
      </c>
      <c r="G203" t="str">
        <f>IF(Tabelle1[[#This Row],[Kunde Nr.]]&lt;$I$2,$J$2,IF(Tabelle1[[#This Row],[Kunde Nr.]]&lt;$I$3,$J$3,IF(Tabelle1[[#This Row],[Kunde Nr.]]&lt;$I$4,$J$4,0)))</f>
        <v>Qerimi</v>
      </c>
    </row>
    <row r="204" spans="1:7" x14ac:dyDescent="0.25">
      <c r="A204">
        <v>10515</v>
      </c>
      <c r="B204" t="s">
        <v>494</v>
      </c>
      <c r="C204" t="s">
        <v>385</v>
      </c>
      <c r="G204" t="str">
        <f>IF(Tabelle1[[#This Row],[Kunde Nr.]]&lt;$I$2,$J$2,IF(Tabelle1[[#This Row],[Kunde Nr.]]&lt;$I$3,$J$3,IF(Tabelle1[[#This Row],[Kunde Nr.]]&lt;$I$4,$J$4,0)))</f>
        <v>Qerimi</v>
      </c>
    </row>
    <row r="205" spans="1:7" x14ac:dyDescent="0.25">
      <c r="A205">
        <v>10516</v>
      </c>
      <c r="B205" t="s">
        <v>495</v>
      </c>
      <c r="C205" t="s">
        <v>385</v>
      </c>
      <c r="G205" t="str">
        <f>IF(Tabelle1[[#This Row],[Kunde Nr.]]&lt;$I$2,$J$2,IF(Tabelle1[[#This Row],[Kunde Nr.]]&lt;$I$3,$J$3,IF(Tabelle1[[#This Row],[Kunde Nr.]]&lt;$I$4,$J$4,0)))</f>
        <v>Qerimi</v>
      </c>
    </row>
    <row r="206" spans="1:7" x14ac:dyDescent="0.25">
      <c r="A206">
        <v>10517</v>
      </c>
      <c r="B206" t="s">
        <v>496</v>
      </c>
      <c r="C206" t="s">
        <v>385</v>
      </c>
      <c r="G206" t="str">
        <f>IF(Tabelle1[[#This Row],[Kunde Nr.]]&lt;$I$2,$J$2,IF(Tabelle1[[#This Row],[Kunde Nr.]]&lt;$I$3,$J$3,IF(Tabelle1[[#This Row],[Kunde Nr.]]&lt;$I$4,$J$4,0)))</f>
        <v>Qerimi</v>
      </c>
    </row>
    <row r="207" spans="1:7" x14ac:dyDescent="0.25">
      <c r="A207">
        <v>10518</v>
      </c>
      <c r="B207" t="s">
        <v>497</v>
      </c>
      <c r="C207" t="s">
        <v>385</v>
      </c>
      <c r="G207" t="str">
        <f>IF(Tabelle1[[#This Row],[Kunde Nr.]]&lt;$I$2,$J$2,IF(Tabelle1[[#This Row],[Kunde Nr.]]&lt;$I$3,$J$3,IF(Tabelle1[[#This Row],[Kunde Nr.]]&lt;$I$4,$J$4,0)))</f>
        <v>Qerimi</v>
      </c>
    </row>
    <row r="208" spans="1:7" x14ac:dyDescent="0.25">
      <c r="A208">
        <v>10519</v>
      </c>
      <c r="B208" t="s">
        <v>498</v>
      </c>
      <c r="C208" t="s">
        <v>385</v>
      </c>
      <c r="G208" t="str">
        <f>IF(Tabelle1[[#This Row],[Kunde Nr.]]&lt;$I$2,$J$2,IF(Tabelle1[[#This Row],[Kunde Nr.]]&lt;$I$3,$J$3,IF(Tabelle1[[#This Row],[Kunde Nr.]]&lt;$I$4,$J$4,0)))</f>
        <v>Qerimi</v>
      </c>
    </row>
    <row r="209" spans="1:7" x14ac:dyDescent="0.25">
      <c r="A209">
        <v>10520</v>
      </c>
      <c r="B209" t="s">
        <v>499</v>
      </c>
      <c r="C209" t="s">
        <v>385</v>
      </c>
      <c r="G209" t="str">
        <f>IF(Tabelle1[[#This Row],[Kunde Nr.]]&lt;$I$2,$J$2,IF(Tabelle1[[#This Row],[Kunde Nr.]]&lt;$I$3,$J$3,IF(Tabelle1[[#This Row],[Kunde Nr.]]&lt;$I$4,$J$4,0)))</f>
        <v>Qerimi</v>
      </c>
    </row>
    <row r="210" spans="1:7" x14ac:dyDescent="0.25">
      <c r="A210">
        <v>10521</v>
      </c>
      <c r="B210" t="s">
        <v>500</v>
      </c>
      <c r="C210" t="s">
        <v>385</v>
      </c>
      <c r="G210" t="str">
        <f>IF(Tabelle1[[#This Row],[Kunde Nr.]]&lt;$I$2,$J$2,IF(Tabelle1[[#This Row],[Kunde Nr.]]&lt;$I$3,$J$3,IF(Tabelle1[[#This Row],[Kunde Nr.]]&lt;$I$4,$J$4,0)))</f>
        <v>Qerimi</v>
      </c>
    </row>
    <row r="211" spans="1:7" x14ac:dyDescent="0.25">
      <c r="A211">
        <v>10522</v>
      </c>
      <c r="B211" t="s">
        <v>501</v>
      </c>
      <c r="C211" t="s">
        <v>385</v>
      </c>
      <c r="G211" t="str">
        <f>IF(Tabelle1[[#This Row],[Kunde Nr.]]&lt;$I$2,$J$2,IF(Tabelle1[[#This Row],[Kunde Nr.]]&lt;$I$3,$J$3,IF(Tabelle1[[#This Row],[Kunde Nr.]]&lt;$I$4,$J$4,0)))</f>
        <v>Qerimi</v>
      </c>
    </row>
    <row r="212" spans="1:7" x14ac:dyDescent="0.25">
      <c r="A212">
        <v>10523</v>
      </c>
      <c r="B212" t="s">
        <v>502</v>
      </c>
      <c r="C212" t="s">
        <v>429</v>
      </c>
      <c r="G212" t="str">
        <f>IF(Tabelle1[[#This Row],[Kunde Nr.]]&lt;$I$2,$J$2,IF(Tabelle1[[#This Row],[Kunde Nr.]]&lt;$I$3,$J$3,IF(Tabelle1[[#This Row],[Kunde Nr.]]&lt;$I$4,$J$4,0)))</f>
        <v>Qerimi</v>
      </c>
    </row>
    <row r="213" spans="1:7" x14ac:dyDescent="0.25">
      <c r="A213">
        <v>10524</v>
      </c>
      <c r="B213" t="s">
        <v>503</v>
      </c>
      <c r="C213" t="s">
        <v>429</v>
      </c>
      <c r="G213" t="str">
        <f>IF(Tabelle1[[#This Row],[Kunde Nr.]]&lt;$I$2,$J$2,IF(Tabelle1[[#This Row],[Kunde Nr.]]&lt;$I$3,$J$3,IF(Tabelle1[[#This Row],[Kunde Nr.]]&lt;$I$4,$J$4,0)))</f>
        <v>Qerimi</v>
      </c>
    </row>
    <row r="214" spans="1:7" x14ac:dyDescent="0.25">
      <c r="A214">
        <v>10525</v>
      </c>
      <c r="B214" t="s">
        <v>504</v>
      </c>
      <c r="C214" t="s">
        <v>429</v>
      </c>
      <c r="G214" t="str">
        <f>IF(Tabelle1[[#This Row],[Kunde Nr.]]&lt;$I$2,$J$2,IF(Tabelle1[[#This Row],[Kunde Nr.]]&lt;$I$3,$J$3,IF(Tabelle1[[#This Row],[Kunde Nr.]]&lt;$I$4,$J$4,0)))</f>
        <v>Qerimi</v>
      </c>
    </row>
    <row r="215" spans="1:7" x14ac:dyDescent="0.25">
      <c r="A215">
        <v>10526</v>
      </c>
      <c r="B215" t="s">
        <v>505</v>
      </c>
      <c r="C215" t="s">
        <v>429</v>
      </c>
      <c r="G215" t="str">
        <f>IF(Tabelle1[[#This Row],[Kunde Nr.]]&lt;$I$2,$J$2,IF(Tabelle1[[#This Row],[Kunde Nr.]]&lt;$I$3,$J$3,IF(Tabelle1[[#This Row],[Kunde Nr.]]&lt;$I$4,$J$4,0)))</f>
        <v>Qerimi</v>
      </c>
    </row>
    <row r="216" spans="1:7" x14ac:dyDescent="0.25">
      <c r="A216">
        <v>10527</v>
      </c>
      <c r="B216" t="s">
        <v>506</v>
      </c>
      <c r="C216" t="s">
        <v>429</v>
      </c>
      <c r="G216" t="str">
        <f>IF(Tabelle1[[#This Row],[Kunde Nr.]]&lt;$I$2,$J$2,IF(Tabelle1[[#This Row],[Kunde Nr.]]&lt;$I$3,$J$3,IF(Tabelle1[[#This Row],[Kunde Nr.]]&lt;$I$4,$J$4,0)))</f>
        <v>Qerimi</v>
      </c>
    </row>
    <row r="217" spans="1:7" x14ac:dyDescent="0.25">
      <c r="A217">
        <v>10528</v>
      </c>
      <c r="B217" t="s">
        <v>507</v>
      </c>
      <c r="C217" t="s">
        <v>429</v>
      </c>
      <c r="G217" t="str">
        <f>IF(Tabelle1[[#This Row],[Kunde Nr.]]&lt;$I$2,$J$2,IF(Tabelle1[[#This Row],[Kunde Nr.]]&lt;$I$3,$J$3,IF(Tabelle1[[#This Row],[Kunde Nr.]]&lt;$I$4,$J$4,0)))</f>
        <v>Qerimi</v>
      </c>
    </row>
    <row r="218" spans="1:7" x14ac:dyDescent="0.25">
      <c r="A218">
        <v>10529</v>
      </c>
      <c r="B218" t="s">
        <v>666</v>
      </c>
      <c r="C218" t="s">
        <v>429</v>
      </c>
      <c r="G218" t="str">
        <f>IF(Tabelle1[[#This Row],[Kunde Nr.]]&lt;$I$2,$J$2,IF(Tabelle1[[#This Row],[Kunde Nr.]]&lt;$I$3,$J$3,IF(Tabelle1[[#This Row],[Kunde Nr.]]&lt;$I$4,$J$4,0)))</f>
        <v>Qerimi</v>
      </c>
    </row>
    <row r="219" spans="1:7" x14ac:dyDescent="0.25">
      <c r="A219">
        <v>10530</v>
      </c>
      <c r="B219" t="s">
        <v>1219</v>
      </c>
      <c r="C219" t="s">
        <v>385</v>
      </c>
      <c r="G219" s="47" t="str">
        <f>IF(Tabelle1[[#This Row],[Kunde Nr.]]&lt;$I$2,$J$2,IF(Tabelle1[[#This Row],[Kunde Nr.]]&lt;$I$3,$J$3,IF(Tabelle1[[#This Row],[Kunde Nr.]]&lt;$I$4,$J$4,0)))</f>
        <v>Qerimi</v>
      </c>
    </row>
    <row r="220" spans="1:7" x14ac:dyDescent="0.25">
      <c r="A220">
        <v>10531</v>
      </c>
      <c r="B220" t="s">
        <v>1220</v>
      </c>
      <c r="C220" t="s">
        <v>429</v>
      </c>
      <c r="G220" s="47" t="str">
        <f>IF(Tabelle1[[#This Row],[Kunde Nr.]]&lt;$I$2,$J$2,IF(Tabelle1[[#This Row],[Kunde Nr.]]&lt;$I$3,$J$3,IF(Tabelle1[[#This Row],[Kunde Nr.]]&lt;$I$4,$J$4,0)))</f>
        <v>Qerimi</v>
      </c>
    </row>
    <row r="221" spans="1:7" x14ac:dyDescent="0.25">
      <c r="A221">
        <v>10532</v>
      </c>
      <c r="B221" t="s">
        <v>1221</v>
      </c>
      <c r="C221" t="s">
        <v>385</v>
      </c>
      <c r="G221" s="47" t="str">
        <f>IF(Tabelle1[[#This Row],[Kunde Nr.]]&lt;$I$2,$J$2,IF(Tabelle1[[#This Row],[Kunde Nr.]]&lt;$I$3,$J$3,IF(Tabelle1[[#This Row],[Kunde Nr.]]&lt;$I$4,$J$4,0)))</f>
        <v>Qerimi</v>
      </c>
    </row>
    <row r="222" spans="1:7" x14ac:dyDescent="0.25">
      <c r="A222">
        <v>10533</v>
      </c>
      <c r="B222" t="s">
        <v>1222</v>
      </c>
      <c r="C222" t="s">
        <v>385</v>
      </c>
      <c r="G222" s="47" t="str">
        <f>IF(Tabelle1[[#This Row],[Kunde Nr.]]&lt;$I$2,$J$2,IF(Tabelle1[[#This Row],[Kunde Nr.]]&lt;$I$3,$J$3,IF(Tabelle1[[#This Row],[Kunde Nr.]]&lt;$I$4,$J$4,0)))</f>
        <v>Qerimi</v>
      </c>
    </row>
    <row r="223" spans="1:7" x14ac:dyDescent="0.25">
      <c r="A223">
        <v>10534</v>
      </c>
      <c r="B223" t="s">
        <v>982</v>
      </c>
      <c r="C223" t="s">
        <v>385</v>
      </c>
      <c r="G223" s="47" t="str">
        <f>IF(Tabelle1[[#This Row],[Kunde Nr.]]&lt;$I$2,$J$2,IF(Tabelle1[[#This Row],[Kunde Nr.]]&lt;$I$3,$J$3,IF(Tabelle1[[#This Row],[Kunde Nr.]]&lt;$I$4,$J$4,0)))</f>
        <v>Qerimi</v>
      </c>
    </row>
    <row r="224" spans="1:7" x14ac:dyDescent="0.25">
      <c r="A224">
        <v>10535</v>
      </c>
      <c r="B224" t="s">
        <v>1223</v>
      </c>
      <c r="C224" t="s">
        <v>385</v>
      </c>
      <c r="G224" s="47" t="str">
        <f>IF(Tabelle1[[#This Row],[Kunde Nr.]]&lt;$I$2,$J$2,IF(Tabelle1[[#This Row],[Kunde Nr.]]&lt;$I$3,$J$3,IF(Tabelle1[[#This Row],[Kunde Nr.]]&lt;$I$4,$J$4,0)))</f>
        <v>Qerimi</v>
      </c>
    </row>
    <row r="225" spans="1:7" x14ac:dyDescent="0.25">
      <c r="A225">
        <v>10536</v>
      </c>
      <c r="B225" t="s">
        <v>1224</v>
      </c>
      <c r="C225" t="s">
        <v>385</v>
      </c>
      <c r="G225" s="47" t="str">
        <f>IF(Tabelle1[[#This Row],[Kunde Nr.]]&lt;$I$2,$J$2,IF(Tabelle1[[#This Row],[Kunde Nr.]]&lt;$I$3,$J$3,IF(Tabelle1[[#This Row],[Kunde Nr.]]&lt;$I$4,$J$4,0)))</f>
        <v>Qerimi</v>
      </c>
    </row>
    <row r="226" spans="1:7" x14ac:dyDescent="0.25">
      <c r="A226">
        <v>10537</v>
      </c>
      <c r="B226" t="s">
        <v>386</v>
      </c>
      <c r="C226" t="s">
        <v>385</v>
      </c>
      <c r="G226" s="47" t="str">
        <f>IF(Tabelle1[[#This Row],[Kunde Nr.]]&lt;$I$2,$J$2,IF(Tabelle1[[#This Row],[Kunde Nr.]]&lt;$I$3,$J$3,IF(Tabelle1[[#This Row],[Kunde Nr.]]&lt;$I$4,$J$4,0)))</f>
        <v>Qerimi</v>
      </c>
    </row>
    <row r="227" spans="1:7" x14ac:dyDescent="0.25">
      <c r="A227">
        <v>10538</v>
      </c>
      <c r="B227" t="s">
        <v>1225</v>
      </c>
      <c r="C227" t="s">
        <v>385</v>
      </c>
      <c r="G227" s="47" t="str">
        <f>IF(Tabelle1[[#This Row],[Kunde Nr.]]&lt;$I$2,$J$2,IF(Tabelle1[[#This Row],[Kunde Nr.]]&lt;$I$3,$J$3,IF(Tabelle1[[#This Row],[Kunde Nr.]]&lt;$I$4,$J$4,0)))</f>
        <v>Qerimi</v>
      </c>
    </row>
    <row r="228" spans="1:7" x14ac:dyDescent="0.25">
      <c r="A228">
        <v>10539</v>
      </c>
      <c r="B228" t="s">
        <v>38</v>
      </c>
      <c r="C228" t="s">
        <v>385</v>
      </c>
      <c r="G228" s="47" t="str">
        <f>IF(Tabelle1[[#This Row],[Kunde Nr.]]&lt;$I$2,$J$2,IF(Tabelle1[[#This Row],[Kunde Nr.]]&lt;$I$3,$J$3,IF(Tabelle1[[#This Row],[Kunde Nr.]]&lt;$I$4,$J$4,0)))</f>
        <v>Qerimi</v>
      </c>
    </row>
    <row r="229" spans="1:7" x14ac:dyDescent="0.25">
      <c r="A229">
        <v>10540</v>
      </c>
      <c r="B229" t="s">
        <v>836</v>
      </c>
      <c r="C229" t="s">
        <v>1227</v>
      </c>
      <c r="G229" s="47" t="str">
        <f>IF(Tabelle1[[#This Row],[Kunde Nr.]]&lt;$I$2,$J$2,IF(Tabelle1[[#This Row],[Kunde Nr.]]&lt;$I$3,$J$3,IF(Tabelle1[[#This Row],[Kunde Nr.]]&lt;$I$4,$J$4,0)))</f>
        <v>Qerimi</v>
      </c>
    </row>
    <row r="230" spans="1:7" x14ac:dyDescent="0.25">
      <c r="A230">
        <v>10541</v>
      </c>
      <c r="B230" t="s">
        <v>1226</v>
      </c>
      <c r="C230" t="s">
        <v>385</v>
      </c>
      <c r="G230" s="47" t="str">
        <f>IF(Tabelle1[[#This Row],[Kunde Nr.]]&lt;$I$2,$J$2,IF(Tabelle1[[#This Row],[Kunde Nr.]]&lt;$I$3,$J$3,IF(Tabelle1[[#This Row],[Kunde Nr.]]&lt;$I$4,$J$4,0)))</f>
        <v>Qerimi</v>
      </c>
    </row>
    <row r="231" spans="1:7" x14ac:dyDescent="0.25">
      <c r="A231">
        <v>10542</v>
      </c>
      <c r="B231" t="s">
        <v>1170</v>
      </c>
      <c r="C231" t="s">
        <v>385</v>
      </c>
      <c r="G231" s="47" t="str">
        <f>IF(Tabelle1[[#This Row],[Kunde Nr.]]&lt;$I$2,$J$2,IF(Tabelle1[[#This Row],[Kunde Nr.]]&lt;$I$3,$J$3,IF(Tabelle1[[#This Row],[Kunde Nr.]]&lt;$I$4,$J$4,0)))</f>
        <v>Qerimi</v>
      </c>
    </row>
    <row r="232" spans="1:7" x14ac:dyDescent="0.25">
      <c r="A232">
        <v>10543</v>
      </c>
      <c r="B232" t="s">
        <v>1219</v>
      </c>
      <c r="C232" t="s">
        <v>385</v>
      </c>
      <c r="G232" s="47" t="str">
        <f>IF(Tabelle1[[#This Row],[Kunde Nr.]]&lt;$I$2,$J$2,IF(Tabelle1[[#This Row],[Kunde Nr.]]&lt;$I$3,$J$3,IF(Tabelle1[[#This Row],[Kunde Nr.]]&lt;$I$4,$J$4,0)))</f>
        <v>Qerimi</v>
      </c>
    </row>
    <row r="233" spans="1:7" x14ac:dyDescent="0.25">
      <c r="A233">
        <v>10542</v>
      </c>
      <c r="B233" t="s">
        <v>1170</v>
      </c>
      <c r="C233" t="s">
        <v>385</v>
      </c>
      <c r="G233" s="47" t="str">
        <f>IF(Tabelle1[[#This Row],[Kunde Nr.]]&lt;$I$2,$J$2,IF(Tabelle1[[#This Row],[Kunde Nr.]]&lt;$I$3,$J$3,IF(Tabelle1[[#This Row],[Kunde Nr.]]&lt;$I$4,$J$4,0)))</f>
        <v>Qerimi</v>
      </c>
    </row>
    <row r="234" spans="1:7" x14ac:dyDescent="0.25">
      <c r="A234">
        <v>10543</v>
      </c>
      <c r="B234" t="s">
        <v>1175</v>
      </c>
      <c r="C234" t="s">
        <v>429</v>
      </c>
      <c r="G234" s="47" t="str">
        <f>IF(Tabelle1[[#This Row],[Kunde Nr.]]&lt;$I$2,$J$2,IF(Tabelle1[[#This Row],[Kunde Nr.]]&lt;$I$3,$J$3,IF(Tabelle1[[#This Row],[Kunde Nr.]]&lt;$I$4,$J$4,0)))</f>
        <v>Qerimi</v>
      </c>
    </row>
    <row r="235" spans="1:7" x14ac:dyDescent="0.25">
      <c r="A235">
        <v>10544</v>
      </c>
      <c r="B235" t="s">
        <v>1235</v>
      </c>
      <c r="C235" t="s">
        <v>429</v>
      </c>
      <c r="G235" s="47" t="str">
        <f>IF(Tabelle1[[#This Row],[Kunde Nr.]]&lt;$I$2,$J$2,IF(Tabelle1[[#This Row],[Kunde Nr.]]&lt;$I$3,$J$3,IF(Tabelle1[[#This Row],[Kunde Nr.]]&lt;$I$4,$J$4,0)))</f>
        <v>Qerimi</v>
      </c>
    </row>
    <row r="236" spans="1:7" x14ac:dyDescent="0.25">
      <c r="A236">
        <v>10601</v>
      </c>
      <c r="B236" t="s">
        <v>593</v>
      </c>
      <c r="C236" t="s">
        <v>592</v>
      </c>
      <c r="G236" t="str">
        <f>IF(Tabelle1[[#This Row],[Kunde Nr.]]&lt;$I$2,$J$2,IF(Tabelle1[[#This Row],[Kunde Nr.]]&lt;$I$3,$J$3,IF(Tabelle1[[#This Row],[Kunde Nr.]]&lt;$I$4,$J$4,0)))</f>
        <v>Qerimi</v>
      </c>
    </row>
    <row r="237" spans="1:7" x14ac:dyDescent="0.25">
      <c r="A237">
        <v>10602</v>
      </c>
      <c r="B237" t="s">
        <v>594</v>
      </c>
      <c r="C237" t="s">
        <v>592</v>
      </c>
      <c r="G237" t="str">
        <f>IF(Tabelle1[[#This Row],[Kunde Nr.]]&lt;$I$2,$J$2,IF(Tabelle1[[#This Row],[Kunde Nr.]]&lt;$I$3,$J$3,IF(Tabelle1[[#This Row],[Kunde Nr.]]&lt;$I$4,$J$4,0)))</f>
        <v>Qerimi</v>
      </c>
    </row>
    <row r="238" spans="1:7" x14ac:dyDescent="0.25">
      <c r="A238">
        <v>10603</v>
      </c>
      <c r="B238" t="s">
        <v>595</v>
      </c>
      <c r="C238" t="s">
        <v>592</v>
      </c>
      <c r="G238" t="str">
        <f>IF(Tabelle1[[#This Row],[Kunde Nr.]]&lt;$I$2,$J$2,IF(Tabelle1[[#This Row],[Kunde Nr.]]&lt;$I$3,$J$3,IF(Tabelle1[[#This Row],[Kunde Nr.]]&lt;$I$4,$J$4,0)))</f>
        <v>Qerimi</v>
      </c>
    </row>
    <row r="239" spans="1:7" x14ac:dyDescent="0.25">
      <c r="A239">
        <v>10604</v>
      </c>
      <c r="B239" t="s">
        <v>596</v>
      </c>
      <c r="C239" t="s">
        <v>592</v>
      </c>
      <c r="G239" t="str">
        <f>IF(Tabelle1[[#This Row],[Kunde Nr.]]&lt;$I$2,$J$2,IF(Tabelle1[[#This Row],[Kunde Nr.]]&lt;$I$3,$J$3,IF(Tabelle1[[#This Row],[Kunde Nr.]]&lt;$I$4,$J$4,0)))</f>
        <v>Qerimi</v>
      </c>
    </row>
    <row r="240" spans="1:7" x14ac:dyDescent="0.25">
      <c r="A240">
        <v>10605</v>
      </c>
      <c r="B240" t="s">
        <v>597</v>
      </c>
      <c r="C240" t="s">
        <v>592</v>
      </c>
      <c r="G240" t="str">
        <f>IF(Tabelle1[[#This Row],[Kunde Nr.]]&lt;$I$2,$J$2,IF(Tabelle1[[#This Row],[Kunde Nr.]]&lt;$I$3,$J$3,IF(Tabelle1[[#This Row],[Kunde Nr.]]&lt;$I$4,$J$4,0)))</f>
        <v>Qerimi</v>
      </c>
    </row>
    <row r="241" spans="1:7" x14ac:dyDescent="0.25">
      <c r="A241">
        <v>10606</v>
      </c>
      <c r="B241" t="s">
        <v>598</v>
      </c>
      <c r="C241" t="s">
        <v>592</v>
      </c>
      <c r="G241" t="str">
        <f>IF(Tabelle1[[#This Row],[Kunde Nr.]]&lt;$I$2,$J$2,IF(Tabelle1[[#This Row],[Kunde Nr.]]&lt;$I$3,$J$3,IF(Tabelle1[[#This Row],[Kunde Nr.]]&lt;$I$4,$J$4,0)))</f>
        <v>Qerimi</v>
      </c>
    </row>
    <row r="242" spans="1:7" x14ac:dyDescent="0.25">
      <c r="A242">
        <v>10607</v>
      </c>
      <c r="B242" t="s">
        <v>599</v>
      </c>
      <c r="C242" t="s">
        <v>592</v>
      </c>
      <c r="G242" t="str">
        <f>IF(Tabelle1[[#This Row],[Kunde Nr.]]&lt;$I$2,$J$2,IF(Tabelle1[[#This Row],[Kunde Nr.]]&lt;$I$3,$J$3,IF(Tabelle1[[#This Row],[Kunde Nr.]]&lt;$I$4,$J$4,0)))</f>
        <v>Qerimi</v>
      </c>
    </row>
    <row r="243" spans="1:7" x14ac:dyDescent="0.25">
      <c r="A243">
        <v>10608</v>
      </c>
      <c r="B243" t="s">
        <v>600</v>
      </c>
      <c r="C243" t="s">
        <v>592</v>
      </c>
      <c r="G243" t="str">
        <f>IF(Tabelle1[[#This Row],[Kunde Nr.]]&lt;$I$2,$J$2,IF(Tabelle1[[#This Row],[Kunde Nr.]]&lt;$I$3,$J$3,IF(Tabelle1[[#This Row],[Kunde Nr.]]&lt;$I$4,$J$4,0)))</f>
        <v>Qerimi</v>
      </c>
    </row>
    <row r="244" spans="1:7" x14ac:dyDescent="0.25">
      <c r="A244">
        <v>10609</v>
      </c>
      <c r="B244" t="s">
        <v>601</v>
      </c>
      <c r="C244" t="s">
        <v>592</v>
      </c>
      <c r="G244" t="str">
        <f>IF(Tabelle1[[#This Row],[Kunde Nr.]]&lt;$I$2,$J$2,IF(Tabelle1[[#This Row],[Kunde Nr.]]&lt;$I$3,$J$3,IF(Tabelle1[[#This Row],[Kunde Nr.]]&lt;$I$4,$J$4,0)))</f>
        <v>Qerimi</v>
      </c>
    </row>
    <row r="245" spans="1:7" x14ac:dyDescent="0.25">
      <c r="A245">
        <v>10610</v>
      </c>
      <c r="B245" t="s">
        <v>602</v>
      </c>
      <c r="C245" t="s">
        <v>592</v>
      </c>
      <c r="G245" t="str">
        <f>IF(Tabelle1[[#This Row],[Kunde Nr.]]&lt;$I$2,$J$2,IF(Tabelle1[[#This Row],[Kunde Nr.]]&lt;$I$3,$J$3,IF(Tabelle1[[#This Row],[Kunde Nr.]]&lt;$I$4,$J$4,0)))</f>
        <v>Qerimi</v>
      </c>
    </row>
    <row r="246" spans="1:7" x14ac:dyDescent="0.25">
      <c r="A246">
        <v>10611</v>
      </c>
      <c r="B246" t="s">
        <v>603</v>
      </c>
      <c r="C246" t="s">
        <v>592</v>
      </c>
      <c r="G246" t="str">
        <f>IF(Tabelle1[[#This Row],[Kunde Nr.]]&lt;$I$2,$J$2,IF(Tabelle1[[#This Row],[Kunde Nr.]]&lt;$I$3,$J$3,IF(Tabelle1[[#This Row],[Kunde Nr.]]&lt;$I$4,$J$4,0)))</f>
        <v>Qerimi</v>
      </c>
    </row>
    <row r="247" spans="1:7" x14ac:dyDescent="0.25">
      <c r="A247">
        <v>10612</v>
      </c>
      <c r="B247" t="s">
        <v>604</v>
      </c>
      <c r="C247" t="s">
        <v>592</v>
      </c>
      <c r="D247" s="37" t="s">
        <v>451</v>
      </c>
      <c r="G247" t="str">
        <f>IF(Tabelle1[[#This Row],[Kunde Nr.]]&lt;$I$2,$J$2,IF(Tabelle1[[#This Row],[Kunde Nr.]]&lt;$I$3,$J$3,IF(Tabelle1[[#This Row],[Kunde Nr.]]&lt;$I$4,$J$4,0)))</f>
        <v>Qerimi</v>
      </c>
    </row>
    <row r="248" spans="1:7" x14ac:dyDescent="0.25">
      <c r="A248">
        <v>10613</v>
      </c>
      <c r="B248" t="s">
        <v>605</v>
      </c>
      <c r="C248" t="s">
        <v>592</v>
      </c>
      <c r="G248" t="str">
        <f>IF(Tabelle1[[#This Row],[Kunde Nr.]]&lt;$I$2,$J$2,IF(Tabelle1[[#This Row],[Kunde Nr.]]&lt;$I$3,$J$3,IF(Tabelle1[[#This Row],[Kunde Nr.]]&lt;$I$4,$J$4,0)))</f>
        <v>Qerimi</v>
      </c>
    </row>
    <row r="249" spans="1:7" x14ac:dyDescent="0.25">
      <c r="A249">
        <v>10614</v>
      </c>
      <c r="B249" t="s">
        <v>606</v>
      </c>
      <c r="C249" t="s">
        <v>592</v>
      </c>
      <c r="G249" t="str">
        <f>IF(Tabelle1[[#This Row],[Kunde Nr.]]&lt;$I$2,$J$2,IF(Tabelle1[[#This Row],[Kunde Nr.]]&lt;$I$3,$J$3,IF(Tabelle1[[#This Row],[Kunde Nr.]]&lt;$I$4,$J$4,0)))</f>
        <v>Qerimi</v>
      </c>
    </row>
    <row r="250" spans="1:7" x14ac:dyDescent="0.25">
      <c r="A250">
        <v>10615</v>
      </c>
      <c r="B250" t="s">
        <v>607</v>
      </c>
      <c r="C250" t="s">
        <v>592</v>
      </c>
      <c r="G250" t="str">
        <f>IF(Tabelle1[[#This Row],[Kunde Nr.]]&lt;$I$2,$J$2,IF(Tabelle1[[#This Row],[Kunde Nr.]]&lt;$I$3,$J$3,IF(Tabelle1[[#This Row],[Kunde Nr.]]&lt;$I$4,$J$4,0)))</f>
        <v>Qerimi</v>
      </c>
    </row>
    <row r="251" spans="1:7" x14ac:dyDescent="0.25">
      <c r="A251">
        <v>10616</v>
      </c>
      <c r="B251" t="s">
        <v>608</v>
      </c>
      <c r="C251" t="s">
        <v>592</v>
      </c>
      <c r="G251" t="str">
        <f>IF(Tabelle1[[#This Row],[Kunde Nr.]]&lt;$I$2,$J$2,IF(Tabelle1[[#This Row],[Kunde Nr.]]&lt;$I$3,$J$3,IF(Tabelle1[[#This Row],[Kunde Nr.]]&lt;$I$4,$J$4,0)))</f>
        <v>Qerimi</v>
      </c>
    </row>
    <row r="252" spans="1:7" x14ac:dyDescent="0.25">
      <c r="A252">
        <v>10617</v>
      </c>
      <c r="B252" t="s">
        <v>609</v>
      </c>
      <c r="C252" t="s">
        <v>592</v>
      </c>
      <c r="G252" t="str">
        <f>IF(Tabelle1[[#This Row],[Kunde Nr.]]&lt;$I$2,$J$2,IF(Tabelle1[[#This Row],[Kunde Nr.]]&lt;$I$3,$J$3,IF(Tabelle1[[#This Row],[Kunde Nr.]]&lt;$I$4,$J$4,0)))</f>
        <v>Qerimi</v>
      </c>
    </row>
    <row r="253" spans="1:7" x14ac:dyDescent="0.25">
      <c r="A253">
        <v>10618</v>
      </c>
      <c r="B253" t="s">
        <v>610</v>
      </c>
      <c r="C253" t="s">
        <v>592</v>
      </c>
      <c r="G253" t="str">
        <f>IF(Tabelle1[[#This Row],[Kunde Nr.]]&lt;$I$2,$J$2,IF(Tabelle1[[#This Row],[Kunde Nr.]]&lt;$I$3,$J$3,IF(Tabelle1[[#This Row],[Kunde Nr.]]&lt;$I$4,$J$4,0)))</f>
        <v>Qerimi</v>
      </c>
    </row>
    <row r="254" spans="1:7" x14ac:dyDescent="0.25">
      <c r="A254">
        <v>10619</v>
      </c>
      <c r="B254" t="s">
        <v>611</v>
      </c>
      <c r="C254" t="s">
        <v>592</v>
      </c>
      <c r="G254" t="str">
        <f>IF(Tabelle1[[#This Row],[Kunde Nr.]]&lt;$I$2,$J$2,IF(Tabelle1[[#This Row],[Kunde Nr.]]&lt;$I$3,$J$3,IF(Tabelle1[[#This Row],[Kunde Nr.]]&lt;$I$4,$J$4,0)))</f>
        <v>Qerimi</v>
      </c>
    </row>
    <row r="255" spans="1:7" x14ac:dyDescent="0.25">
      <c r="A255">
        <v>10620</v>
      </c>
      <c r="B255" t="s">
        <v>612</v>
      </c>
      <c r="C255" t="s">
        <v>592</v>
      </c>
      <c r="G255" t="str">
        <f>IF(Tabelle1[[#This Row],[Kunde Nr.]]&lt;$I$2,$J$2,IF(Tabelle1[[#This Row],[Kunde Nr.]]&lt;$I$3,$J$3,IF(Tabelle1[[#This Row],[Kunde Nr.]]&lt;$I$4,$J$4,0)))</f>
        <v>Qerimi</v>
      </c>
    </row>
    <row r="256" spans="1:7" x14ac:dyDescent="0.25">
      <c r="A256">
        <v>10621</v>
      </c>
      <c r="B256" t="s">
        <v>613</v>
      </c>
      <c r="C256" t="s">
        <v>592</v>
      </c>
      <c r="G256" t="str">
        <f>IF(Tabelle1[[#This Row],[Kunde Nr.]]&lt;$I$2,$J$2,IF(Tabelle1[[#This Row],[Kunde Nr.]]&lt;$I$3,$J$3,IF(Tabelle1[[#This Row],[Kunde Nr.]]&lt;$I$4,$J$4,0)))</f>
        <v>Qerimi</v>
      </c>
    </row>
    <row r="257" spans="1:7" x14ac:dyDescent="0.25">
      <c r="A257">
        <v>10622</v>
      </c>
      <c r="B257" t="s">
        <v>454</v>
      </c>
      <c r="C257" t="s">
        <v>592</v>
      </c>
      <c r="G257" t="str">
        <f>IF(Tabelle1[[#This Row],[Kunde Nr.]]&lt;$I$2,$J$2,IF(Tabelle1[[#This Row],[Kunde Nr.]]&lt;$I$3,$J$3,IF(Tabelle1[[#This Row],[Kunde Nr.]]&lt;$I$4,$J$4,0)))</f>
        <v>Qerimi</v>
      </c>
    </row>
    <row r="258" spans="1:7" x14ac:dyDescent="0.25">
      <c r="A258">
        <v>10623</v>
      </c>
      <c r="B258" t="s">
        <v>961</v>
      </c>
      <c r="C258" t="s">
        <v>592</v>
      </c>
      <c r="G258" t="str">
        <f>IF(Tabelle1[[#This Row],[Kunde Nr.]]&lt;$I$2,$J$2,IF(Tabelle1[[#This Row],[Kunde Nr.]]&lt;$I$3,$J$3,IF(Tabelle1[[#This Row],[Kunde Nr.]]&lt;$I$4,$J$4,0)))</f>
        <v>Qerimi</v>
      </c>
    </row>
    <row r="259" spans="1:7" x14ac:dyDescent="0.25">
      <c r="A259">
        <v>10624</v>
      </c>
      <c r="B259" t="s">
        <v>836</v>
      </c>
      <c r="C259" t="s">
        <v>592</v>
      </c>
      <c r="G259" s="47" t="str">
        <f>IF(Tabelle1[[#This Row],[Kunde Nr.]]&lt;$I$2,$J$2,IF(Tabelle1[[#This Row],[Kunde Nr.]]&lt;$I$3,$J$3,IF(Tabelle1[[#This Row],[Kunde Nr.]]&lt;$I$4,$J$4,0)))</f>
        <v>Qerimi</v>
      </c>
    </row>
    <row r="260" spans="1:7" x14ac:dyDescent="0.25">
      <c r="A260">
        <v>10625</v>
      </c>
      <c r="B260" t="s">
        <v>837</v>
      </c>
      <c r="C260" t="s">
        <v>592</v>
      </c>
      <c r="G260" s="47" t="str">
        <f>IF(Tabelle1[[#This Row],[Kunde Nr.]]&lt;$I$2,$J$2,IF(Tabelle1[[#This Row],[Kunde Nr.]]&lt;$I$3,$J$3,IF(Tabelle1[[#This Row],[Kunde Nr.]]&lt;$I$4,$J$4,0)))</f>
        <v>Qerimi</v>
      </c>
    </row>
    <row r="261" spans="1:7" x14ac:dyDescent="0.25">
      <c r="A261">
        <v>10626</v>
      </c>
      <c r="B261" t="s">
        <v>829</v>
      </c>
      <c r="C261" t="s">
        <v>592</v>
      </c>
      <c r="G261" s="47" t="str">
        <f>IF(Tabelle1[[#This Row],[Kunde Nr.]]&lt;$I$2,$J$2,IF(Tabelle1[[#This Row],[Kunde Nr.]]&lt;$I$3,$J$3,IF(Tabelle1[[#This Row],[Kunde Nr.]]&lt;$I$4,$J$4,0)))</f>
        <v>Qerimi</v>
      </c>
    </row>
    <row r="262" spans="1:7" x14ac:dyDescent="0.25">
      <c r="A262">
        <v>10627</v>
      </c>
      <c r="B262" t="s">
        <v>821</v>
      </c>
      <c r="C262" t="s">
        <v>592</v>
      </c>
      <c r="G262" s="47" t="str">
        <f>IF(Tabelle1[[#This Row],[Kunde Nr.]]&lt;$I$2,$J$2,IF(Tabelle1[[#This Row],[Kunde Nr.]]&lt;$I$3,$J$3,IF(Tabelle1[[#This Row],[Kunde Nr.]]&lt;$I$4,$J$4,0)))</f>
        <v>Qerimi</v>
      </c>
    </row>
    <row r="263" spans="1:7" x14ac:dyDescent="0.25">
      <c r="A263">
        <v>10628</v>
      </c>
      <c r="B263" t="s">
        <v>625</v>
      </c>
      <c r="C263" t="s">
        <v>592</v>
      </c>
      <c r="G263" s="47" t="str">
        <f>IF(Tabelle1[[#This Row],[Kunde Nr.]]&lt;$I$2,$J$2,IF(Tabelle1[[#This Row],[Kunde Nr.]]&lt;$I$3,$J$3,IF(Tabelle1[[#This Row],[Kunde Nr.]]&lt;$I$4,$J$4,0)))</f>
        <v>Qerimi</v>
      </c>
    </row>
    <row r="264" spans="1:7" x14ac:dyDescent="0.25">
      <c r="A264">
        <v>10629</v>
      </c>
      <c r="B264" t="s">
        <v>935</v>
      </c>
      <c r="C264" t="s">
        <v>592</v>
      </c>
      <c r="G264" s="47" t="str">
        <f>IF(Tabelle1[[#This Row],[Kunde Nr.]]&lt;$I$2,$J$2,IF(Tabelle1[[#This Row],[Kunde Nr.]]&lt;$I$3,$J$3,IF(Tabelle1[[#This Row],[Kunde Nr.]]&lt;$I$4,$J$4,0)))</f>
        <v>Qerimi</v>
      </c>
    </row>
    <row r="265" spans="1:7" x14ac:dyDescent="0.25">
      <c r="A265">
        <v>10630</v>
      </c>
      <c r="B265" t="s">
        <v>938</v>
      </c>
      <c r="C265" t="s">
        <v>592</v>
      </c>
      <c r="G265" s="47" t="str">
        <f>IF(Tabelle1[[#This Row],[Kunde Nr.]]&lt;$I$2,$J$2,IF(Tabelle1[[#This Row],[Kunde Nr.]]&lt;$I$3,$J$3,IF(Tabelle1[[#This Row],[Kunde Nr.]]&lt;$I$4,$J$4,0)))</f>
        <v>Qerimi</v>
      </c>
    </row>
    <row r="266" spans="1:7" x14ac:dyDescent="0.25">
      <c r="A266">
        <v>10631</v>
      </c>
      <c r="B266" t="s">
        <v>1228</v>
      </c>
      <c r="C266" t="s">
        <v>592</v>
      </c>
      <c r="G266" s="47" t="str">
        <f>IF(Tabelle1[[#This Row],[Kunde Nr.]]&lt;$I$2,$J$2,IF(Tabelle1[[#This Row],[Kunde Nr.]]&lt;$I$3,$J$3,IF(Tabelle1[[#This Row],[Kunde Nr.]]&lt;$I$4,$J$4,0)))</f>
        <v>Qerimi</v>
      </c>
    </row>
    <row r="267" spans="1:7" x14ac:dyDescent="0.25">
      <c r="A267">
        <v>10632</v>
      </c>
      <c r="B267" t="s">
        <v>1229</v>
      </c>
      <c r="C267" t="s">
        <v>592</v>
      </c>
      <c r="G267" s="47" t="str">
        <f>IF(Tabelle1[[#This Row],[Kunde Nr.]]&lt;$I$2,$J$2,IF(Tabelle1[[#This Row],[Kunde Nr.]]&lt;$I$3,$J$3,IF(Tabelle1[[#This Row],[Kunde Nr.]]&lt;$I$4,$J$4,0)))</f>
        <v>Qerimi</v>
      </c>
    </row>
    <row r="268" spans="1:7" x14ac:dyDescent="0.25">
      <c r="A268">
        <v>10633</v>
      </c>
      <c r="B268" t="s">
        <v>1230</v>
      </c>
      <c r="C268" t="s">
        <v>592</v>
      </c>
      <c r="G268" s="47" t="str">
        <f>IF(Tabelle1[[#This Row],[Kunde Nr.]]&lt;$I$2,$J$2,IF(Tabelle1[[#This Row],[Kunde Nr.]]&lt;$I$3,$J$3,IF(Tabelle1[[#This Row],[Kunde Nr.]]&lt;$I$4,$J$4,0)))</f>
        <v>Qerimi</v>
      </c>
    </row>
    <row r="269" spans="1:7" x14ac:dyDescent="0.25">
      <c r="A269">
        <v>20000</v>
      </c>
      <c r="B269" t="s">
        <v>702</v>
      </c>
      <c r="C269" t="s">
        <v>701</v>
      </c>
      <c r="G269" s="47" t="str">
        <f>IF(Tabelle1[[#This Row],[Kunde Nr.]]&lt;$I$2,$J$2,IF(Tabelle1[[#This Row],[Kunde Nr.]]&lt;$I$3,$J$3,IF(Tabelle1[[#This Row],[Kunde Nr.]]&lt;$I$4,$J$4,0)))</f>
        <v>Mensuri</v>
      </c>
    </row>
    <row r="270" spans="1:7" x14ac:dyDescent="0.25">
      <c r="A270">
        <v>20101</v>
      </c>
      <c r="B270" t="s">
        <v>468</v>
      </c>
      <c r="C270" t="s">
        <v>392</v>
      </c>
      <c r="G270" t="str">
        <f>IF(Tabelle1[[#This Row],[Kunde Nr.]]&lt;$I$2,$J$2,IF(Tabelle1[[#This Row],[Kunde Nr.]]&lt;$I$3,$J$3,IF(Tabelle1[[#This Row],[Kunde Nr.]]&lt;$I$4,$J$4,0)))</f>
        <v>Mensuri</v>
      </c>
    </row>
    <row r="271" spans="1:7" x14ac:dyDescent="0.25">
      <c r="A271">
        <v>20102</v>
      </c>
      <c r="B271" t="s">
        <v>469</v>
      </c>
      <c r="C271" t="s">
        <v>392</v>
      </c>
      <c r="G271" t="str">
        <f>IF(Tabelle1[[#This Row],[Kunde Nr.]]&lt;$I$2,$J$2,IF(Tabelle1[[#This Row],[Kunde Nr.]]&lt;$I$3,$J$3,IF(Tabelle1[[#This Row],[Kunde Nr.]]&lt;$I$4,$J$4,0)))</f>
        <v>Mensuri</v>
      </c>
    </row>
    <row r="272" spans="1:7" x14ac:dyDescent="0.25">
      <c r="A272">
        <v>20103</v>
      </c>
      <c r="B272" t="s">
        <v>470</v>
      </c>
      <c r="C272" t="s">
        <v>392</v>
      </c>
      <c r="G272" t="str">
        <f>IF(Tabelle1[[#This Row],[Kunde Nr.]]&lt;$I$2,$J$2,IF(Tabelle1[[#This Row],[Kunde Nr.]]&lt;$I$3,$J$3,IF(Tabelle1[[#This Row],[Kunde Nr.]]&lt;$I$4,$J$4,0)))</f>
        <v>Mensuri</v>
      </c>
    </row>
    <row r="273" spans="1:7" x14ac:dyDescent="0.25">
      <c r="A273">
        <v>20104</v>
      </c>
      <c r="B273" t="s">
        <v>471</v>
      </c>
      <c r="C273" t="s">
        <v>392</v>
      </c>
      <c r="G273" t="str">
        <f>IF(Tabelle1[[#This Row],[Kunde Nr.]]&lt;$I$2,$J$2,IF(Tabelle1[[#This Row],[Kunde Nr.]]&lt;$I$3,$J$3,IF(Tabelle1[[#This Row],[Kunde Nr.]]&lt;$I$4,$J$4,0)))</f>
        <v>Mensuri</v>
      </c>
    </row>
    <row r="274" spans="1:7" x14ac:dyDescent="0.25">
      <c r="A274">
        <v>20105</v>
      </c>
      <c r="B274" t="s">
        <v>472</v>
      </c>
      <c r="C274" t="s">
        <v>392</v>
      </c>
      <c r="G274" t="str">
        <f>IF(Tabelle1[[#This Row],[Kunde Nr.]]&lt;$I$2,$J$2,IF(Tabelle1[[#This Row],[Kunde Nr.]]&lt;$I$3,$J$3,IF(Tabelle1[[#This Row],[Kunde Nr.]]&lt;$I$4,$J$4,0)))</f>
        <v>Mensuri</v>
      </c>
    </row>
    <row r="275" spans="1:7" x14ac:dyDescent="0.25">
      <c r="A275">
        <v>20106</v>
      </c>
      <c r="B275" t="s">
        <v>960</v>
      </c>
      <c r="C275" t="s">
        <v>392</v>
      </c>
      <c r="G275" t="str">
        <f>IF(Tabelle1[[#This Row],[Kunde Nr.]]&lt;$I$2,$J$2,IF(Tabelle1[[#This Row],[Kunde Nr.]]&lt;$I$3,$J$3,IF(Tabelle1[[#This Row],[Kunde Nr.]]&lt;$I$4,$J$4,0)))</f>
        <v>Mensuri</v>
      </c>
    </row>
    <row r="276" spans="1:7" x14ac:dyDescent="0.25">
      <c r="A276">
        <v>20107</v>
      </c>
      <c r="B276" t="s">
        <v>473</v>
      </c>
      <c r="C276" t="s">
        <v>392</v>
      </c>
      <c r="G276" t="str">
        <f>IF(Tabelle1[[#This Row],[Kunde Nr.]]&lt;$I$2,$J$2,IF(Tabelle1[[#This Row],[Kunde Nr.]]&lt;$I$3,$J$3,IF(Tabelle1[[#This Row],[Kunde Nr.]]&lt;$I$4,$J$4,0)))</f>
        <v>Mensuri</v>
      </c>
    </row>
    <row r="277" spans="1:7" x14ac:dyDescent="0.25">
      <c r="A277">
        <v>20108</v>
      </c>
      <c r="B277" t="s">
        <v>959</v>
      </c>
      <c r="C277" t="s">
        <v>392</v>
      </c>
      <c r="F277" t="s">
        <v>431</v>
      </c>
      <c r="G277" t="str">
        <f>IF(Tabelle1[[#This Row],[Kunde Nr.]]&lt;$I$2,$J$2,IF(Tabelle1[[#This Row],[Kunde Nr.]]&lt;$I$3,$J$3,IF(Tabelle1[[#This Row],[Kunde Nr.]]&lt;$I$4,$J$4,0)))</f>
        <v>Mensuri</v>
      </c>
    </row>
    <row r="278" spans="1:7" x14ac:dyDescent="0.25">
      <c r="A278">
        <v>20109</v>
      </c>
      <c r="B278" t="s">
        <v>474</v>
      </c>
      <c r="C278" t="s">
        <v>392</v>
      </c>
      <c r="G278" t="str">
        <f>IF(Tabelle1[[#This Row],[Kunde Nr.]]&lt;$I$2,$J$2,IF(Tabelle1[[#This Row],[Kunde Nr.]]&lt;$I$3,$J$3,IF(Tabelle1[[#This Row],[Kunde Nr.]]&lt;$I$4,$J$4,0)))</f>
        <v>Mensuri</v>
      </c>
    </row>
    <row r="279" spans="1:7" x14ac:dyDescent="0.25">
      <c r="A279">
        <v>20110</v>
      </c>
      <c r="B279" t="s">
        <v>475</v>
      </c>
      <c r="C279" t="s">
        <v>392</v>
      </c>
      <c r="G279" t="str">
        <f>IF(Tabelle1[[#This Row],[Kunde Nr.]]&lt;$I$2,$J$2,IF(Tabelle1[[#This Row],[Kunde Nr.]]&lt;$I$3,$J$3,IF(Tabelle1[[#This Row],[Kunde Nr.]]&lt;$I$4,$J$4,0)))</f>
        <v>Mensuri</v>
      </c>
    </row>
    <row r="280" spans="1:7" x14ac:dyDescent="0.25">
      <c r="A280">
        <v>20111</v>
      </c>
      <c r="B280" t="s">
        <v>476</v>
      </c>
      <c r="C280" t="s">
        <v>392</v>
      </c>
      <c r="G280" t="str">
        <f>IF(Tabelle1[[#This Row],[Kunde Nr.]]&lt;$I$2,$J$2,IF(Tabelle1[[#This Row],[Kunde Nr.]]&lt;$I$3,$J$3,IF(Tabelle1[[#This Row],[Kunde Nr.]]&lt;$I$4,$J$4,0)))</f>
        <v>Mensuri</v>
      </c>
    </row>
    <row r="281" spans="1:7" x14ac:dyDescent="0.25">
      <c r="A281">
        <v>20112</v>
      </c>
      <c r="B281" t="s">
        <v>477</v>
      </c>
      <c r="C281" t="s">
        <v>392</v>
      </c>
      <c r="G281" t="str">
        <f>IF(Tabelle1[[#This Row],[Kunde Nr.]]&lt;$I$2,$J$2,IF(Tabelle1[[#This Row],[Kunde Nr.]]&lt;$I$3,$J$3,IF(Tabelle1[[#This Row],[Kunde Nr.]]&lt;$I$4,$J$4,0)))</f>
        <v>Mensuri</v>
      </c>
    </row>
    <row r="282" spans="1:7" x14ac:dyDescent="0.25">
      <c r="A282">
        <v>20113</v>
      </c>
      <c r="B282" t="s">
        <v>668</v>
      </c>
      <c r="C282" t="s">
        <v>392</v>
      </c>
      <c r="G282" t="str">
        <f>IF(Tabelle1[[#This Row],[Kunde Nr.]]&lt;$I$2,$J$2,IF(Tabelle1[[#This Row],[Kunde Nr.]]&lt;$I$3,$J$3,IF(Tabelle1[[#This Row],[Kunde Nr.]]&lt;$I$4,$J$4,0)))</f>
        <v>Mensuri</v>
      </c>
    </row>
    <row r="283" spans="1:7" x14ac:dyDescent="0.25">
      <c r="A283">
        <v>20114</v>
      </c>
      <c r="B283" t="s">
        <v>478</v>
      </c>
      <c r="C283" t="s">
        <v>392</v>
      </c>
      <c r="G283" t="str">
        <f>IF(Tabelle1[[#This Row],[Kunde Nr.]]&lt;$I$2,$J$2,IF(Tabelle1[[#This Row],[Kunde Nr.]]&lt;$I$3,$J$3,IF(Tabelle1[[#This Row],[Kunde Nr.]]&lt;$I$4,$J$4,0)))</f>
        <v>Mensuri</v>
      </c>
    </row>
    <row r="284" spans="1:7" x14ac:dyDescent="0.25">
      <c r="A284">
        <v>20115</v>
      </c>
      <c r="B284" t="s">
        <v>669</v>
      </c>
      <c r="C284" t="s">
        <v>392</v>
      </c>
      <c r="G284" t="str">
        <f>IF(Tabelle1[[#This Row],[Kunde Nr.]]&lt;$I$2,$J$2,IF(Tabelle1[[#This Row],[Kunde Nr.]]&lt;$I$3,$J$3,IF(Tabelle1[[#This Row],[Kunde Nr.]]&lt;$I$4,$J$4,0)))</f>
        <v>Mensuri</v>
      </c>
    </row>
    <row r="285" spans="1:7" x14ac:dyDescent="0.25">
      <c r="A285">
        <v>20116</v>
      </c>
      <c r="B285" t="s">
        <v>738</v>
      </c>
      <c r="C285" t="s">
        <v>392</v>
      </c>
      <c r="G285" s="47" t="str">
        <f>IF(Tabelle1[[#This Row],[Kunde Nr.]]&lt;$I$2,$J$2,IF(Tabelle1[[#This Row],[Kunde Nr.]]&lt;$I$3,$J$3,IF(Tabelle1[[#This Row],[Kunde Nr.]]&lt;$I$4,$J$4,0)))</f>
        <v>Mensuri</v>
      </c>
    </row>
    <row r="286" spans="1:7" x14ac:dyDescent="0.25">
      <c r="A286">
        <v>20117</v>
      </c>
      <c r="B286" t="s">
        <v>739</v>
      </c>
      <c r="C286" t="s">
        <v>392</v>
      </c>
      <c r="G286" s="47" t="str">
        <f>IF(Tabelle1[[#This Row],[Kunde Nr.]]&lt;$I$2,$J$2,IF(Tabelle1[[#This Row],[Kunde Nr.]]&lt;$I$3,$J$3,IF(Tabelle1[[#This Row],[Kunde Nr.]]&lt;$I$4,$J$4,0)))</f>
        <v>Mensuri</v>
      </c>
    </row>
    <row r="287" spans="1:7" x14ac:dyDescent="0.25">
      <c r="A287">
        <v>20118</v>
      </c>
      <c r="B287" t="s">
        <v>823</v>
      </c>
      <c r="C287" t="s">
        <v>399</v>
      </c>
      <c r="G287" s="47" t="str">
        <f>IF(Tabelle1[[#This Row],[Kunde Nr.]]&lt;$I$2,$J$2,IF(Tabelle1[[#This Row],[Kunde Nr.]]&lt;$I$3,$J$3,IF(Tabelle1[[#This Row],[Kunde Nr.]]&lt;$I$4,$J$4,0)))</f>
        <v>Mensuri</v>
      </c>
    </row>
    <row r="288" spans="1:7" x14ac:dyDescent="0.25">
      <c r="A288">
        <v>20119</v>
      </c>
      <c r="B288" t="s">
        <v>962</v>
      </c>
      <c r="C288" t="s">
        <v>392</v>
      </c>
      <c r="G288" s="47" t="str">
        <f>IF(Tabelle1[[#This Row],[Kunde Nr.]]&lt;$I$2,$J$2,IF(Tabelle1[[#This Row],[Kunde Nr.]]&lt;$I$3,$J$3,IF(Tabelle1[[#This Row],[Kunde Nr.]]&lt;$I$4,$J$4,0)))</f>
        <v>Mensuri</v>
      </c>
    </row>
    <row r="289" spans="1:7" x14ac:dyDescent="0.25">
      <c r="A289">
        <v>20120</v>
      </c>
      <c r="B289" t="s">
        <v>1164</v>
      </c>
      <c r="C289" t="s">
        <v>392</v>
      </c>
      <c r="G289" s="47" t="str">
        <f>IF(Tabelle1[[#This Row],[Kunde Nr.]]&lt;$I$2,$J$2,IF(Tabelle1[[#This Row],[Kunde Nr.]]&lt;$I$3,$J$3,IF(Tabelle1[[#This Row],[Kunde Nr.]]&lt;$I$4,$J$4,0)))</f>
        <v>Mensuri</v>
      </c>
    </row>
    <row r="290" spans="1:7" x14ac:dyDescent="0.25">
      <c r="A290">
        <v>20121</v>
      </c>
      <c r="B290" t="s">
        <v>1163</v>
      </c>
      <c r="C290" t="s">
        <v>392</v>
      </c>
      <c r="G290" s="47" t="str">
        <f>IF(Tabelle1[[#This Row],[Kunde Nr.]]&lt;$I$2,$J$2,IF(Tabelle1[[#This Row],[Kunde Nr.]]&lt;$I$3,$J$3,IF(Tabelle1[[#This Row],[Kunde Nr.]]&lt;$I$4,$J$4,0)))</f>
        <v>Mensuri</v>
      </c>
    </row>
    <row r="291" spans="1:7" x14ac:dyDescent="0.25">
      <c r="A291">
        <v>20122</v>
      </c>
      <c r="B291" t="s">
        <v>395</v>
      </c>
      <c r="C291" t="s">
        <v>392</v>
      </c>
      <c r="G291" s="47" t="str">
        <f>IF(Tabelle1[[#This Row],[Kunde Nr.]]&lt;$I$2,$J$2,IF(Tabelle1[[#This Row],[Kunde Nr.]]&lt;$I$3,$J$3,IF(Tabelle1[[#This Row],[Kunde Nr.]]&lt;$I$4,$J$4,0)))</f>
        <v>Mensuri</v>
      </c>
    </row>
    <row r="292" spans="1:7" x14ac:dyDescent="0.25">
      <c r="A292">
        <v>20123</v>
      </c>
      <c r="B292" t="s">
        <v>1165</v>
      </c>
      <c r="C292" t="s">
        <v>392</v>
      </c>
      <c r="G292" s="47" t="str">
        <f>IF(Tabelle1[[#This Row],[Kunde Nr.]]&lt;$I$2,$J$2,IF(Tabelle1[[#This Row],[Kunde Nr.]]&lt;$I$3,$J$3,IF(Tabelle1[[#This Row],[Kunde Nr.]]&lt;$I$4,$J$4,0)))</f>
        <v>Mensuri</v>
      </c>
    </row>
    <row r="293" spans="1:7" x14ac:dyDescent="0.25">
      <c r="A293">
        <v>20124</v>
      </c>
      <c r="B293" t="s">
        <v>721</v>
      </c>
      <c r="C293" t="s">
        <v>392</v>
      </c>
      <c r="G293" s="47" t="str">
        <f>IF(Tabelle1[[#This Row],[Kunde Nr.]]&lt;$I$2,$J$2,IF(Tabelle1[[#This Row],[Kunde Nr.]]&lt;$I$3,$J$3,IF(Tabelle1[[#This Row],[Kunde Nr.]]&lt;$I$4,$J$4,0)))</f>
        <v>Mensuri</v>
      </c>
    </row>
    <row r="294" spans="1:7" x14ac:dyDescent="0.25">
      <c r="A294">
        <v>20125</v>
      </c>
      <c r="B294" t="s">
        <v>1172</v>
      </c>
      <c r="C294" t="s">
        <v>392</v>
      </c>
      <c r="G294" s="47" t="str">
        <f>IF(Tabelle1[[#This Row],[Kunde Nr.]]&lt;$I$2,$J$2,IF(Tabelle1[[#This Row],[Kunde Nr.]]&lt;$I$3,$J$3,IF(Tabelle1[[#This Row],[Kunde Nr.]]&lt;$I$4,$J$4,0)))</f>
        <v>Mensuri</v>
      </c>
    </row>
    <row r="295" spans="1:7" x14ac:dyDescent="0.25">
      <c r="A295">
        <v>20126</v>
      </c>
      <c r="B295" t="s">
        <v>1180</v>
      </c>
      <c r="C295" t="s">
        <v>392</v>
      </c>
      <c r="G295" s="47" t="str">
        <f>IF(Tabelle1[[#This Row],[Kunde Nr.]]&lt;$I$2,$J$2,IF(Tabelle1[[#This Row],[Kunde Nr.]]&lt;$I$3,$J$3,IF(Tabelle1[[#This Row],[Kunde Nr.]]&lt;$I$4,$J$4,0)))</f>
        <v>Mensuri</v>
      </c>
    </row>
    <row r="296" spans="1:7" x14ac:dyDescent="0.25">
      <c r="A296">
        <v>20127</v>
      </c>
      <c r="B296" t="s">
        <v>1129</v>
      </c>
      <c r="C296" t="s">
        <v>392</v>
      </c>
      <c r="G296" s="47" t="str">
        <f>IF(Tabelle1[[#This Row],[Kunde Nr.]]&lt;$I$2,$J$2,IF(Tabelle1[[#This Row],[Kunde Nr.]]&lt;$I$3,$J$3,IF(Tabelle1[[#This Row],[Kunde Nr.]]&lt;$I$4,$J$4,0)))</f>
        <v>Mensuri</v>
      </c>
    </row>
    <row r="297" spans="1:7" x14ac:dyDescent="0.25">
      <c r="A297">
        <v>20128</v>
      </c>
      <c r="B297" t="s">
        <v>1254</v>
      </c>
      <c r="C297" t="s">
        <v>392</v>
      </c>
      <c r="G297" s="47" t="str">
        <f>IF(Tabelle1[[#This Row],[Kunde Nr.]]&lt;$I$2,$J$2,IF(Tabelle1[[#This Row],[Kunde Nr.]]&lt;$I$3,$J$3,IF(Tabelle1[[#This Row],[Kunde Nr.]]&lt;$I$4,$J$4,0)))</f>
        <v>Mensuri</v>
      </c>
    </row>
    <row r="298" spans="1:7" x14ac:dyDescent="0.25">
      <c r="A298">
        <v>20129</v>
      </c>
      <c r="B298" t="s">
        <v>1306</v>
      </c>
      <c r="C298" t="s">
        <v>392</v>
      </c>
      <c r="G298" s="47" t="str">
        <f>IF(Tabelle1[[#This Row],[Kunde Nr.]]&lt;$I$2,$J$2,IF(Tabelle1[[#This Row],[Kunde Nr.]]&lt;$I$3,$J$3,IF(Tabelle1[[#This Row],[Kunde Nr.]]&lt;$I$4,$J$4,0)))</f>
        <v>Mensuri</v>
      </c>
    </row>
    <row r="299" spans="1:7" x14ac:dyDescent="0.25">
      <c r="A299">
        <v>20130</v>
      </c>
      <c r="B299" t="s">
        <v>1315</v>
      </c>
      <c r="C299" t="s">
        <v>392</v>
      </c>
      <c r="G299" s="47" t="str">
        <f>IF(Tabelle1[[#This Row],[Kunde Nr.]]&lt;$I$2,$J$2,IF(Tabelle1[[#This Row],[Kunde Nr.]]&lt;$I$3,$J$3,IF(Tabelle1[[#This Row],[Kunde Nr.]]&lt;$I$4,$J$4,0)))</f>
        <v>Mensuri</v>
      </c>
    </row>
    <row r="300" spans="1:7" x14ac:dyDescent="0.25">
      <c r="A300">
        <v>20201</v>
      </c>
      <c r="B300" t="s">
        <v>963</v>
      </c>
      <c r="C300" t="s">
        <v>416</v>
      </c>
      <c r="G300" t="str">
        <f>IF(Tabelle1[[#This Row],[Kunde Nr.]]&lt;$I$2,$J$2,IF(Tabelle1[[#This Row],[Kunde Nr.]]&lt;$I$3,$J$3,IF(Tabelle1[[#This Row],[Kunde Nr.]]&lt;$I$4,$J$4,0)))</f>
        <v>Mensuri</v>
      </c>
    </row>
    <row r="301" spans="1:7" x14ac:dyDescent="0.25">
      <c r="A301">
        <v>20202</v>
      </c>
      <c r="B301" t="s">
        <v>417</v>
      </c>
      <c r="C301" t="s">
        <v>416</v>
      </c>
      <c r="G301" t="str">
        <f>IF(Tabelle1[[#This Row],[Kunde Nr.]]&lt;$I$2,$J$2,IF(Tabelle1[[#This Row],[Kunde Nr.]]&lt;$I$3,$J$3,IF(Tabelle1[[#This Row],[Kunde Nr.]]&lt;$I$4,$J$4,0)))</f>
        <v>Mensuri</v>
      </c>
    </row>
    <row r="302" spans="1:7" x14ac:dyDescent="0.25">
      <c r="A302">
        <v>20203</v>
      </c>
      <c r="B302" t="s">
        <v>418</v>
      </c>
      <c r="C302" t="s">
        <v>416</v>
      </c>
      <c r="G302" t="str">
        <f>IF(Tabelle1[[#This Row],[Kunde Nr.]]&lt;$I$2,$J$2,IF(Tabelle1[[#This Row],[Kunde Nr.]]&lt;$I$3,$J$3,IF(Tabelle1[[#This Row],[Kunde Nr.]]&lt;$I$4,$J$4,0)))</f>
        <v>Mensuri</v>
      </c>
    </row>
    <row r="303" spans="1:7" x14ac:dyDescent="0.25">
      <c r="A303">
        <v>20204</v>
      </c>
      <c r="B303" t="s">
        <v>419</v>
      </c>
      <c r="C303" t="s">
        <v>416</v>
      </c>
      <c r="G303" t="str">
        <f>IF(Tabelle1[[#This Row],[Kunde Nr.]]&lt;$I$2,$J$2,IF(Tabelle1[[#This Row],[Kunde Nr.]]&lt;$I$3,$J$3,IF(Tabelle1[[#This Row],[Kunde Nr.]]&lt;$I$4,$J$4,0)))</f>
        <v>Mensuri</v>
      </c>
    </row>
    <row r="304" spans="1:7" x14ac:dyDescent="0.25">
      <c r="A304">
        <v>20205</v>
      </c>
      <c r="B304" t="s">
        <v>420</v>
      </c>
      <c r="C304" t="s">
        <v>421</v>
      </c>
      <c r="G304" t="str">
        <f>IF(Tabelle1[[#This Row],[Kunde Nr.]]&lt;$I$2,$J$2,IF(Tabelle1[[#This Row],[Kunde Nr.]]&lt;$I$3,$J$3,IF(Tabelle1[[#This Row],[Kunde Nr.]]&lt;$I$4,$J$4,0)))</f>
        <v>Mensuri</v>
      </c>
    </row>
    <row r="305" spans="1:7" x14ac:dyDescent="0.25">
      <c r="A305">
        <v>20206</v>
      </c>
      <c r="B305" t="s">
        <v>670</v>
      </c>
      <c r="C305" t="s">
        <v>421</v>
      </c>
      <c r="G305" t="str">
        <f>IF(Tabelle1[[#This Row],[Kunde Nr.]]&lt;$I$2,$J$2,IF(Tabelle1[[#This Row],[Kunde Nr.]]&lt;$I$3,$J$3,IF(Tabelle1[[#This Row],[Kunde Nr.]]&lt;$I$4,$J$4,0)))</f>
        <v>Mensuri</v>
      </c>
    </row>
    <row r="306" spans="1:7" x14ac:dyDescent="0.25">
      <c r="A306">
        <v>20207</v>
      </c>
      <c r="B306" t="s">
        <v>671</v>
      </c>
      <c r="C306" t="s">
        <v>660</v>
      </c>
      <c r="G306" t="str">
        <f>IF(Tabelle1[[#This Row],[Kunde Nr.]]&lt;$I$2,$J$2,IF(Tabelle1[[#This Row],[Kunde Nr.]]&lt;$I$3,$J$3,IF(Tabelle1[[#This Row],[Kunde Nr.]]&lt;$I$4,$J$4,0)))</f>
        <v>Mensuri</v>
      </c>
    </row>
    <row r="307" spans="1:7" x14ac:dyDescent="0.25">
      <c r="A307">
        <v>20208</v>
      </c>
      <c r="B307" t="s">
        <v>442</v>
      </c>
      <c r="C307" t="s">
        <v>660</v>
      </c>
      <c r="G307" t="str">
        <f>IF(Tabelle1[[#This Row],[Kunde Nr.]]&lt;$I$2,$J$2,IF(Tabelle1[[#This Row],[Kunde Nr.]]&lt;$I$3,$J$3,IF(Tabelle1[[#This Row],[Kunde Nr.]]&lt;$I$4,$J$4,0)))</f>
        <v>Mensuri</v>
      </c>
    </row>
    <row r="308" spans="1:7" x14ac:dyDescent="0.25">
      <c r="A308">
        <v>20209</v>
      </c>
      <c r="B308" t="s">
        <v>422</v>
      </c>
      <c r="C308" t="s">
        <v>660</v>
      </c>
      <c r="G308" t="str">
        <f>IF(Tabelle1[[#This Row],[Kunde Nr.]]&lt;$I$2,$J$2,IF(Tabelle1[[#This Row],[Kunde Nr.]]&lt;$I$3,$J$3,IF(Tabelle1[[#This Row],[Kunde Nr.]]&lt;$I$4,$J$4,0)))</f>
        <v>Mensuri</v>
      </c>
    </row>
    <row r="309" spans="1:7" x14ac:dyDescent="0.25">
      <c r="A309">
        <v>20210</v>
      </c>
      <c r="B309" t="s">
        <v>423</v>
      </c>
      <c r="C309" t="s">
        <v>660</v>
      </c>
      <c r="G309" t="str">
        <f>IF(Tabelle1[[#This Row],[Kunde Nr.]]&lt;$I$2,$J$2,IF(Tabelle1[[#This Row],[Kunde Nr.]]&lt;$I$3,$J$3,IF(Tabelle1[[#This Row],[Kunde Nr.]]&lt;$I$4,$J$4,0)))</f>
        <v>Mensuri</v>
      </c>
    </row>
    <row r="310" spans="1:7" x14ac:dyDescent="0.25">
      <c r="A310">
        <v>20211</v>
      </c>
      <c r="B310" t="s">
        <v>424</v>
      </c>
      <c r="C310" t="s">
        <v>660</v>
      </c>
      <c r="G310" t="str">
        <f>IF(Tabelle1[[#This Row],[Kunde Nr.]]&lt;$I$2,$J$2,IF(Tabelle1[[#This Row],[Kunde Nr.]]&lt;$I$3,$J$3,IF(Tabelle1[[#This Row],[Kunde Nr.]]&lt;$I$4,$J$4,0)))</f>
        <v>Mensuri</v>
      </c>
    </row>
    <row r="311" spans="1:7" x14ac:dyDescent="0.25">
      <c r="A311">
        <v>20212</v>
      </c>
      <c r="B311" t="s">
        <v>425</v>
      </c>
      <c r="C311" t="s">
        <v>660</v>
      </c>
      <c r="G311" t="str">
        <f>IF(Tabelle1[[#This Row],[Kunde Nr.]]&lt;$I$2,$J$2,IF(Tabelle1[[#This Row],[Kunde Nr.]]&lt;$I$3,$J$3,IF(Tabelle1[[#This Row],[Kunde Nr.]]&lt;$I$4,$J$4,0)))</f>
        <v>Mensuri</v>
      </c>
    </row>
    <row r="312" spans="1:7" x14ac:dyDescent="0.25">
      <c r="A312">
        <v>20213</v>
      </c>
      <c r="B312" t="s">
        <v>426</v>
      </c>
      <c r="C312" t="s">
        <v>660</v>
      </c>
      <c r="G312" t="str">
        <f>IF(Tabelle1[[#This Row],[Kunde Nr.]]&lt;$I$2,$J$2,IF(Tabelle1[[#This Row],[Kunde Nr.]]&lt;$I$3,$J$3,IF(Tabelle1[[#This Row],[Kunde Nr.]]&lt;$I$4,$J$4,0)))</f>
        <v>Mensuri</v>
      </c>
    </row>
    <row r="313" spans="1:7" x14ac:dyDescent="0.25">
      <c r="A313">
        <v>20214</v>
      </c>
      <c r="B313" t="s">
        <v>427</v>
      </c>
      <c r="C313" t="s">
        <v>660</v>
      </c>
      <c r="G313" t="str">
        <f>IF(Tabelle1[[#This Row],[Kunde Nr.]]&lt;$I$2,$J$2,IF(Tabelle1[[#This Row],[Kunde Nr.]]&lt;$I$3,$J$3,IF(Tabelle1[[#This Row],[Kunde Nr.]]&lt;$I$4,$J$4,0)))</f>
        <v>Mensuri</v>
      </c>
    </row>
    <row r="314" spans="1:7" x14ac:dyDescent="0.25">
      <c r="A314">
        <v>20215</v>
      </c>
      <c r="B314" t="s">
        <v>757</v>
      </c>
      <c r="C314" t="s">
        <v>660</v>
      </c>
      <c r="G314" s="47" t="str">
        <f>IF(Tabelle1[[#This Row],[Kunde Nr.]]&lt;$I$2,$J$2,IF(Tabelle1[[#This Row],[Kunde Nr.]]&lt;$I$3,$J$3,IF(Tabelle1[[#This Row],[Kunde Nr.]]&lt;$I$4,$J$4,0)))</f>
        <v>Mensuri</v>
      </c>
    </row>
    <row r="315" spans="1:7" x14ac:dyDescent="0.25">
      <c r="A315">
        <v>20216</v>
      </c>
      <c r="B315" t="s">
        <v>778</v>
      </c>
      <c r="C315" t="s">
        <v>660</v>
      </c>
      <c r="G315" s="47" t="str">
        <f>IF(Tabelle1[[#This Row],[Kunde Nr.]]&lt;$I$2,$J$2,IF(Tabelle1[[#This Row],[Kunde Nr.]]&lt;$I$3,$J$3,IF(Tabelle1[[#This Row],[Kunde Nr.]]&lt;$I$4,$J$4,0)))</f>
        <v>Mensuri</v>
      </c>
    </row>
    <row r="316" spans="1:7" x14ac:dyDescent="0.25">
      <c r="A316">
        <v>20217</v>
      </c>
      <c r="B316" t="s">
        <v>584</v>
      </c>
      <c r="C316" t="s">
        <v>660</v>
      </c>
      <c r="G316" s="47" t="str">
        <f>IF(Tabelle1[[#This Row],[Kunde Nr.]]&lt;$I$2,$J$2,IF(Tabelle1[[#This Row],[Kunde Nr.]]&lt;$I$3,$J$3,IF(Tabelle1[[#This Row],[Kunde Nr.]]&lt;$I$4,$J$4,0)))</f>
        <v>Mensuri</v>
      </c>
    </row>
    <row r="317" spans="1:7" x14ac:dyDescent="0.25">
      <c r="A317">
        <v>20219</v>
      </c>
      <c r="B317" t="s">
        <v>810</v>
      </c>
      <c r="C317" t="s">
        <v>904</v>
      </c>
      <c r="G317" s="47" t="str">
        <f>IF(Tabelle1[[#This Row],[Kunde Nr.]]&lt;$I$2,$J$2,IF(Tabelle1[[#This Row],[Kunde Nr.]]&lt;$I$3,$J$3,IF(Tabelle1[[#This Row],[Kunde Nr.]]&lt;$I$4,$J$4,0)))</f>
        <v>Mensuri</v>
      </c>
    </row>
    <row r="318" spans="1:7" x14ac:dyDescent="0.25">
      <c r="A318">
        <v>20220</v>
      </c>
      <c r="B318" t="s">
        <v>1155</v>
      </c>
      <c r="C318" t="s">
        <v>660</v>
      </c>
      <c r="G318" s="47" t="str">
        <f>IF(Tabelle1[[#This Row],[Kunde Nr.]]&lt;$I$2,$J$2,IF(Tabelle1[[#This Row],[Kunde Nr.]]&lt;$I$3,$J$3,IF(Tabelle1[[#This Row],[Kunde Nr.]]&lt;$I$4,$J$4,0)))</f>
        <v>Mensuri</v>
      </c>
    </row>
    <row r="319" spans="1:7" x14ac:dyDescent="0.25">
      <c r="A319">
        <v>20221</v>
      </c>
      <c r="B319" t="s">
        <v>1166</v>
      </c>
      <c r="C319" t="s">
        <v>660</v>
      </c>
      <c r="G319" s="47" t="str">
        <f>IF(Tabelle1[[#This Row],[Kunde Nr.]]&lt;$I$2,$J$2,IF(Tabelle1[[#This Row],[Kunde Nr.]]&lt;$I$3,$J$3,IF(Tabelle1[[#This Row],[Kunde Nr.]]&lt;$I$4,$J$4,0)))</f>
        <v>Mensuri</v>
      </c>
    </row>
    <row r="320" spans="1:7" x14ac:dyDescent="0.25">
      <c r="A320">
        <v>20222</v>
      </c>
      <c r="B320" t="s">
        <v>1167</v>
      </c>
      <c r="C320" t="s">
        <v>660</v>
      </c>
      <c r="G320" s="47" t="str">
        <f>IF(Tabelle1[[#This Row],[Kunde Nr.]]&lt;$I$2,$J$2,IF(Tabelle1[[#This Row],[Kunde Nr.]]&lt;$I$3,$J$3,IF(Tabelle1[[#This Row],[Kunde Nr.]]&lt;$I$4,$J$4,0)))</f>
        <v>Mensuri</v>
      </c>
    </row>
    <row r="321" spans="1:7" x14ac:dyDescent="0.25">
      <c r="A321">
        <v>20223</v>
      </c>
      <c r="B321" t="s">
        <v>1041</v>
      </c>
      <c r="C321" t="s">
        <v>660</v>
      </c>
      <c r="G321" s="47" t="str">
        <f>IF(Tabelle1[[#This Row],[Kunde Nr.]]&lt;$I$2,$J$2,IF(Tabelle1[[#This Row],[Kunde Nr.]]&lt;$I$3,$J$3,IF(Tabelle1[[#This Row],[Kunde Nr.]]&lt;$I$4,$J$4,0)))</f>
        <v>Mensuri</v>
      </c>
    </row>
    <row r="322" spans="1:7" x14ac:dyDescent="0.25">
      <c r="A322">
        <v>20224</v>
      </c>
      <c r="B322" t="s">
        <v>643</v>
      </c>
      <c r="C322" t="s">
        <v>660</v>
      </c>
      <c r="G322" s="47" t="str">
        <f>IF(Tabelle1[[#This Row],[Kunde Nr.]]&lt;$I$2,$J$2,IF(Tabelle1[[#This Row],[Kunde Nr.]]&lt;$I$3,$J$3,IF(Tabelle1[[#This Row],[Kunde Nr.]]&lt;$I$4,$J$4,0)))</f>
        <v>Mensuri</v>
      </c>
    </row>
    <row r="323" spans="1:7" x14ac:dyDescent="0.25">
      <c r="A323">
        <v>20225</v>
      </c>
      <c r="B323" t="s">
        <v>1181</v>
      </c>
      <c r="C323" t="s">
        <v>660</v>
      </c>
      <c r="G323" s="47" t="str">
        <f>IF(Tabelle1[[#This Row],[Kunde Nr.]]&lt;$I$2,$J$2,IF(Tabelle1[[#This Row],[Kunde Nr.]]&lt;$I$3,$J$3,IF(Tabelle1[[#This Row],[Kunde Nr.]]&lt;$I$4,$J$4,0)))</f>
        <v>Mensuri</v>
      </c>
    </row>
    <row r="324" spans="1:7" x14ac:dyDescent="0.25">
      <c r="A324">
        <v>20226</v>
      </c>
      <c r="B324" t="s">
        <v>1172</v>
      </c>
      <c r="C324" t="s">
        <v>660</v>
      </c>
      <c r="G324" s="47" t="str">
        <f>IF(Tabelle1[[#This Row],[Kunde Nr.]]&lt;$I$2,$J$2,IF(Tabelle1[[#This Row],[Kunde Nr.]]&lt;$I$3,$J$3,IF(Tabelle1[[#This Row],[Kunde Nr.]]&lt;$I$4,$J$4,0)))</f>
        <v>Mensuri</v>
      </c>
    </row>
    <row r="325" spans="1:7" x14ac:dyDescent="0.25">
      <c r="A325">
        <v>20227</v>
      </c>
      <c r="B325" t="s">
        <v>1291</v>
      </c>
      <c r="C325" t="s">
        <v>660</v>
      </c>
      <c r="G325" s="47" t="str">
        <f>IF(Tabelle1[[#This Row],[Kunde Nr.]]&lt;$I$2,$J$2,IF(Tabelle1[[#This Row],[Kunde Nr.]]&lt;$I$3,$J$3,IF(Tabelle1[[#This Row],[Kunde Nr.]]&lt;$I$4,$J$4,0)))</f>
        <v>Mensuri</v>
      </c>
    </row>
    <row r="326" spans="1:7" x14ac:dyDescent="0.25">
      <c r="A326">
        <v>20228</v>
      </c>
      <c r="B326" t="s">
        <v>1302</v>
      </c>
      <c r="C326" t="s">
        <v>660</v>
      </c>
      <c r="G326" s="47" t="str">
        <f>IF(Tabelle1[[#This Row],[Kunde Nr.]]&lt;$I$2,$J$2,IF(Tabelle1[[#This Row],[Kunde Nr.]]&lt;$I$3,$J$3,IF(Tabelle1[[#This Row],[Kunde Nr.]]&lt;$I$4,$J$4,0)))</f>
        <v>Mensuri</v>
      </c>
    </row>
    <row r="327" spans="1:7" x14ac:dyDescent="0.25">
      <c r="A327">
        <v>20229</v>
      </c>
      <c r="B327" t="s">
        <v>1314</v>
      </c>
      <c r="C327" t="s">
        <v>660</v>
      </c>
      <c r="G327" s="47" t="str">
        <f>IF(Tabelle1[[#This Row],[Kunde Nr.]]&lt;$I$2,$J$2,IF(Tabelle1[[#This Row],[Kunde Nr.]]&lt;$I$3,$J$3,IF(Tabelle1[[#This Row],[Kunde Nr.]]&lt;$I$4,$J$4,0)))</f>
        <v>Mensuri</v>
      </c>
    </row>
    <row r="328" spans="1:7" x14ac:dyDescent="0.25">
      <c r="A328">
        <v>20230</v>
      </c>
      <c r="G328" s="47" t="str">
        <f>IF(Tabelle1[[#This Row],[Kunde Nr.]]&lt;$I$2,$J$2,IF(Tabelle1[[#This Row],[Kunde Nr.]]&lt;$I$3,$J$3,IF(Tabelle1[[#This Row],[Kunde Nr.]]&lt;$I$4,$J$4,0)))</f>
        <v>Mensuri</v>
      </c>
    </row>
    <row r="329" spans="1:7" x14ac:dyDescent="0.25">
      <c r="A329">
        <v>20231</v>
      </c>
      <c r="G329" s="47" t="str">
        <f>IF(Tabelle1[[#This Row],[Kunde Nr.]]&lt;$I$2,$J$2,IF(Tabelle1[[#This Row],[Kunde Nr.]]&lt;$I$3,$J$3,IF(Tabelle1[[#This Row],[Kunde Nr.]]&lt;$I$4,$J$4,0)))</f>
        <v>Mensuri</v>
      </c>
    </row>
    <row r="330" spans="1:7" x14ac:dyDescent="0.25">
      <c r="A330">
        <v>20232</v>
      </c>
      <c r="G330" s="47" t="str">
        <f>IF(Tabelle1[[#This Row],[Kunde Nr.]]&lt;$I$2,$J$2,IF(Tabelle1[[#This Row],[Kunde Nr.]]&lt;$I$3,$J$3,IF(Tabelle1[[#This Row],[Kunde Nr.]]&lt;$I$4,$J$4,0)))</f>
        <v>Mensuri</v>
      </c>
    </row>
    <row r="331" spans="1:7" x14ac:dyDescent="0.25">
      <c r="A331">
        <v>20301</v>
      </c>
      <c r="B331" t="s">
        <v>614</v>
      </c>
      <c r="C331" t="s">
        <v>627</v>
      </c>
      <c r="G331" t="str">
        <f>IF(Tabelle1[[#This Row],[Kunde Nr.]]&lt;$I$2,$J$2,IF(Tabelle1[[#This Row],[Kunde Nr.]]&lt;$I$3,$J$3,IF(Tabelle1[[#This Row],[Kunde Nr.]]&lt;$I$4,$J$4,0)))</f>
        <v>Mensuri</v>
      </c>
    </row>
    <row r="332" spans="1:7" x14ac:dyDescent="0.25">
      <c r="A332">
        <v>20302</v>
      </c>
      <c r="B332" t="s">
        <v>60</v>
      </c>
      <c r="C332" t="s">
        <v>627</v>
      </c>
      <c r="G332" t="str">
        <f>IF(Tabelle1[[#This Row],[Kunde Nr.]]&lt;$I$2,$J$2,IF(Tabelle1[[#This Row],[Kunde Nr.]]&lt;$I$3,$J$3,IF(Tabelle1[[#This Row],[Kunde Nr.]]&lt;$I$4,$J$4,0)))</f>
        <v>Mensuri</v>
      </c>
    </row>
    <row r="333" spans="1:7" x14ac:dyDescent="0.25">
      <c r="A333">
        <v>20303</v>
      </c>
      <c r="B333" t="s">
        <v>895</v>
      </c>
      <c r="C333" t="s">
        <v>627</v>
      </c>
      <c r="G333" t="str">
        <f>IF(Tabelle1[[#This Row],[Kunde Nr.]]&lt;$I$2,$J$2,IF(Tabelle1[[#This Row],[Kunde Nr.]]&lt;$I$3,$J$3,IF(Tabelle1[[#This Row],[Kunde Nr.]]&lt;$I$4,$J$4,0)))</f>
        <v>Mensuri</v>
      </c>
    </row>
    <row r="334" spans="1:7" x14ac:dyDescent="0.25">
      <c r="A334">
        <v>20304</v>
      </c>
      <c r="B334" t="s">
        <v>615</v>
      </c>
      <c r="C334" t="s">
        <v>627</v>
      </c>
      <c r="G334" t="str">
        <f>IF(Tabelle1[[#This Row],[Kunde Nr.]]&lt;$I$2,$J$2,IF(Tabelle1[[#This Row],[Kunde Nr.]]&lt;$I$3,$J$3,IF(Tabelle1[[#This Row],[Kunde Nr.]]&lt;$I$4,$J$4,0)))</f>
        <v>Mensuri</v>
      </c>
    </row>
    <row r="335" spans="1:7" x14ac:dyDescent="0.25">
      <c r="A335">
        <v>20305</v>
      </c>
      <c r="B335" t="s">
        <v>616</v>
      </c>
      <c r="C335" t="s">
        <v>627</v>
      </c>
      <c r="G335" t="str">
        <f>IF(Tabelle1[[#This Row],[Kunde Nr.]]&lt;$I$2,$J$2,IF(Tabelle1[[#This Row],[Kunde Nr.]]&lt;$I$3,$J$3,IF(Tabelle1[[#This Row],[Kunde Nr.]]&lt;$I$4,$J$4,0)))</f>
        <v>Mensuri</v>
      </c>
    </row>
    <row r="336" spans="1:7" x14ac:dyDescent="0.25">
      <c r="A336">
        <v>20306</v>
      </c>
      <c r="B336" t="s">
        <v>617</v>
      </c>
      <c r="C336" t="s">
        <v>627</v>
      </c>
      <c r="G336" t="str">
        <f>IF(Tabelle1[[#This Row],[Kunde Nr.]]&lt;$I$2,$J$2,IF(Tabelle1[[#This Row],[Kunde Nr.]]&lt;$I$3,$J$3,IF(Tabelle1[[#This Row],[Kunde Nr.]]&lt;$I$4,$J$4,0)))</f>
        <v>Mensuri</v>
      </c>
    </row>
    <row r="337" spans="1:7" x14ac:dyDescent="0.25">
      <c r="A337">
        <v>20307</v>
      </c>
      <c r="B337" t="s">
        <v>618</v>
      </c>
      <c r="C337" t="s">
        <v>628</v>
      </c>
      <c r="G337" t="str">
        <f>IF(Tabelle1[[#This Row],[Kunde Nr.]]&lt;$I$2,$J$2,IF(Tabelle1[[#This Row],[Kunde Nr.]]&lt;$I$3,$J$3,IF(Tabelle1[[#This Row],[Kunde Nr.]]&lt;$I$4,$J$4,0)))</f>
        <v>Mensuri</v>
      </c>
    </row>
    <row r="338" spans="1:7" x14ac:dyDescent="0.25">
      <c r="A338">
        <v>20308</v>
      </c>
      <c r="B338" t="s">
        <v>619</v>
      </c>
      <c r="C338" t="s">
        <v>628</v>
      </c>
      <c r="G338" t="str">
        <f>IF(Tabelle1[[#This Row],[Kunde Nr.]]&lt;$I$2,$J$2,IF(Tabelle1[[#This Row],[Kunde Nr.]]&lt;$I$3,$J$3,IF(Tabelle1[[#This Row],[Kunde Nr.]]&lt;$I$4,$J$4,0)))</f>
        <v>Mensuri</v>
      </c>
    </row>
    <row r="339" spans="1:7" x14ac:dyDescent="0.25">
      <c r="A339">
        <v>20309</v>
      </c>
      <c r="B339" t="s">
        <v>620</v>
      </c>
      <c r="C339" t="s">
        <v>628</v>
      </c>
      <c r="G339" t="str">
        <f>IF(Tabelle1[[#This Row],[Kunde Nr.]]&lt;$I$2,$J$2,IF(Tabelle1[[#This Row],[Kunde Nr.]]&lt;$I$3,$J$3,IF(Tabelle1[[#This Row],[Kunde Nr.]]&lt;$I$4,$J$4,0)))</f>
        <v>Mensuri</v>
      </c>
    </row>
    <row r="340" spans="1:7" x14ac:dyDescent="0.25">
      <c r="A340">
        <v>20310</v>
      </c>
      <c r="B340" t="s">
        <v>621</v>
      </c>
      <c r="C340" t="s">
        <v>628</v>
      </c>
      <c r="G340" t="str">
        <f>IF(Tabelle1[[#This Row],[Kunde Nr.]]&lt;$I$2,$J$2,IF(Tabelle1[[#This Row],[Kunde Nr.]]&lt;$I$3,$J$3,IF(Tabelle1[[#This Row],[Kunde Nr.]]&lt;$I$4,$J$4,0)))</f>
        <v>Mensuri</v>
      </c>
    </row>
    <row r="341" spans="1:7" x14ac:dyDescent="0.25">
      <c r="A341">
        <v>20311</v>
      </c>
      <c r="B341" t="s">
        <v>949</v>
      </c>
      <c r="C341" t="s">
        <v>628</v>
      </c>
      <c r="G341" t="str">
        <f>IF(Tabelle1[[#This Row],[Kunde Nr.]]&lt;$I$2,$J$2,IF(Tabelle1[[#This Row],[Kunde Nr.]]&lt;$I$3,$J$3,IF(Tabelle1[[#This Row],[Kunde Nr.]]&lt;$I$4,$J$4,0)))</f>
        <v>Mensuri</v>
      </c>
    </row>
    <row r="342" spans="1:7" x14ac:dyDescent="0.25">
      <c r="A342">
        <v>20312</v>
      </c>
      <c r="B342" t="s">
        <v>622</v>
      </c>
      <c r="C342" t="s">
        <v>628</v>
      </c>
      <c r="G342" t="str">
        <f>IF(Tabelle1[[#This Row],[Kunde Nr.]]&lt;$I$2,$J$2,IF(Tabelle1[[#This Row],[Kunde Nr.]]&lt;$I$3,$J$3,IF(Tabelle1[[#This Row],[Kunde Nr.]]&lt;$I$4,$J$4,0)))</f>
        <v>Mensuri</v>
      </c>
    </row>
    <row r="343" spans="1:7" x14ac:dyDescent="0.25">
      <c r="A343">
        <v>20313</v>
      </c>
      <c r="B343" t="s">
        <v>623</v>
      </c>
      <c r="C343" t="s">
        <v>628</v>
      </c>
      <c r="G343" t="str">
        <f>IF(Tabelle1[[#This Row],[Kunde Nr.]]&lt;$I$2,$J$2,IF(Tabelle1[[#This Row],[Kunde Nr.]]&lt;$I$3,$J$3,IF(Tabelle1[[#This Row],[Kunde Nr.]]&lt;$I$4,$J$4,0)))</f>
        <v>Mensuri</v>
      </c>
    </row>
    <row r="344" spans="1:7" x14ac:dyDescent="0.25">
      <c r="A344">
        <v>20314</v>
      </c>
      <c r="B344" t="s">
        <v>624</v>
      </c>
      <c r="C344" t="s">
        <v>628</v>
      </c>
      <c r="G344" t="str">
        <f>IF(Tabelle1[[#This Row],[Kunde Nr.]]&lt;$I$2,$J$2,IF(Tabelle1[[#This Row],[Kunde Nr.]]&lt;$I$3,$J$3,IF(Tabelle1[[#This Row],[Kunde Nr.]]&lt;$I$4,$J$4,0)))</f>
        <v>Mensuri</v>
      </c>
    </row>
    <row r="345" spans="1:7" x14ac:dyDescent="0.25">
      <c r="A345">
        <v>20315</v>
      </c>
      <c r="B345" t="s">
        <v>672</v>
      </c>
      <c r="C345" t="s">
        <v>628</v>
      </c>
      <c r="G345" t="str">
        <f>IF(Tabelle1[[#This Row],[Kunde Nr.]]&lt;$I$2,$J$2,IF(Tabelle1[[#This Row],[Kunde Nr.]]&lt;$I$3,$J$3,IF(Tabelle1[[#This Row],[Kunde Nr.]]&lt;$I$4,$J$4,0)))</f>
        <v>Mensuri</v>
      </c>
    </row>
    <row r="346" spans="1:7" x14ac:dyDescent="0.25">
      <c r="A346">
        <v>20316</v>
      </c>
      <c r="B346" t="s">
        <v>1297</v>
      </c>
      <c r="C346" t="s">
        <v>628</v>
      </c>
      <c r="G346" t="str">
        <f>IF(Tabelle1[[#This Row],[Kunde Nr.]]&lt;$I$2,$J$2,IF(Tabelle1[[#This Row],[Kunde Nr.]]&lt;$I$3,$J$3,IF(Tabelle1[[#This Row],[Kunde Nr.]]&lt;$I$4,$J$4,0)))</f>
        <v>Mensuri</v>
      </c>
    </row>
    <row r="347" spans="1:7" x14ac:dyDescent="0.25">
      <c r="A347">
        <v>20317</v>
      </c>
      <c r="B347" t="s">
        <v>626</v>
      </c>
      <c r="C347" t="s">
        <v>628</v>
      </c>
      <c r="G347" t="str">
        <f>IF(Tabelle1[[#This Row],[Kunde Nr.]]&lt;$I$2,$J$2,IF(Tabelle1[[#This Row],[Kunde Nr.]]&lt;$I$3,$J$3,IF(Tabelle1[[#This Row],[Kunde Nr.]]&lt;$I$4,$J$4,0)))</f>
        <v>Mensuri</v>
      </c>
    </row>
    <row r="348" spans="1:7" x14ac:dyDescent="0.25">
      <c r="A348">
        <v>20318</v>
      </c>
      <c r="B348" t="s">
        <v>665</v>
      </c>
      <c r="C348" t="s">
        <v>627</v>
      </c>
      <c r="G348" s="47" t="str">
        <f>IF(Tabelle1[[#This Row],[Kunde Nr.]]&lt;$I$2,$J$2,IF(Tabelle1[[#This Row],[Kunde Nr.]]&lt;$I$3,$J$3,IF(Tabelle1[[#This Row],[Kunde Nr.]]&lt;$I$4,$J$4,0)))</f>
        <v>Mensuri</v>
      </c>
    </row>
    <row r="349" spans="1:7" x14ac:dyDescent="0.25">
      <c r="A349">
        <v>20319</v>
      </c>
      <c r="B349" t="s">
        <v>799</v>
      </c>
      <c r="C349" t="s">
        <v>800</v>
      </c>
      <c r="G349" s="47" t="str">
        <f>IF(Tabelle1[[#This Row],[Kunde Nr.]]&lt;$I$2,$J$2,IF(Tabelle1[[#This Row],[Kunde Nr.]]&lt;$I$3,$J$3,IF(Tabelle1[[#This Row],[Kunde Nr.]]&lt;$I$4,$J$4,0)))</f>
        <v>Mensuri</v>
      </c>
    </row>
    <row r="350" spans="1:7" x14ac:dyDescent="0.25">
      <c r="A350">
        <v>20320</v>
      </c>
      <c r="B350" t="s">
        <v>964</v>
      </c>
      <c r="C350" t="s">
        <v>627</v>
      </c>
      <c r="G350" s="47" t="str">
        <f>IF(Tabelle1[[#This Row],[Kunde Nr.]]&lt;$I$2,$J$2,IF(Tabelle1[[#This Row],[Kunde Nr.]]&lt;$I$3,$J$3,IF(Tabelle1[[#This Row],[Kunde Nr.]]&lt;$I$4,$J$4,0)))</f>
        <v>Mensuri</v>
      </c>
    </row>
    <row r="351" spans="1:7" x14ac:dyDescent="0.25">
      <c r="A351">
        <v>20321</v>
      </c>
      <c r="B351" t="s">
        <v>1307</v>
      </c>
      <c r="C351" t="s">
        <v>627</v>
      </c>
      <c r="G351" s="47" t="str">
        <f>IF(Tabelle1[[#This Row],[Kunde Nr.]]&lt;$I$2,$J$2,IF(Tabelle1[[#This Row],[Kunde Nr.]]&lt;$I$3,$J$3,IF(Tabelle1[[#This Row],[Kunde Nr.]]&lt;$I$4,$J$4,0)))</f>
        <v>Mensuri</v>
      </c>
    </row>
    <row r="352" spans="1:7" x14ac:dyDescent="0.25">
      <c r="A352">
        <v>20322</v>
      </c>
      <c r="B352" t="s">
        <v>907</v>
      </c>
      <c r="C352" t="s">
        <v>627</v>
      </c>
      <c r="G352" s="47" t="str">
        <f>IF(Tabelle1[[#This Row],[Kunde Nr.]]&lt;$I$2,$J$2,IF(Tabelle1[[#This Row],[Kunde Nr.]]&lt;$I$3,$J$3,IF(Tabelle1[[#This Row],[Kunde Nr.]]&lt;$I$4,$J$4,0)))</f>
        <v>Mensuri</v>
      </c>
    </row>
    <row r="353" spans="1:7" x14ac:dyDescent="0.25">
      <c r="A353">
        <v>20323</v>
      </c>
      <c r="B353" t="s">
        <v>908</v>
      </c>
      <c r="C353" t="s">
        <v>628</v>
      </c>
      <c r="G353" s="47" t="str">
        <f>IF(Tabelle1[[#This Row],[Kunde Nr.]]&lt;$I$2,$J$2,IF(Tabelle1[[#This Row],[Kunde Nr.]]&lt;$I$3,$J$3,IF(Tabelle1[[#This Row],[Kunde Nr.]]&lt;$I$4,$J$4,0)))</f>
        <v>Mensuri</v>
      </c>
    </row>
    <row r="354" spans="1:7" x14ac:dyDescent="0.25">
      <c r="A354">
        <v>20324</v>
      </c>
      <c r="B354" t="s">
        <v>1057</v>
      </c>
      <c r="C354" t="s">
        <v>627</v>
      </c>
      <c r="G354" s="47" t="str">
        <f>IF(Tabelle1[[#This Row],[Kunde Nr.]]&lt;$I$2,$J$2,IF(Tabelle1[[#This Row],[Kunde Nr.]]&lt;$I$3,$J$3,IF(Tabelle1[[#This Row],[Kunde Nr.]]&lt;$I$4,$J$4,0)))</f>
        <v>Mensuri</v>
      </c>
    </row>
    <row r="355" spans="1:7" x14ac:dyDescent="0.25">
      <c r="A355">
        <v>20325</v>
      </c>
      <c r="B355" t="s">
        <v>1292</v>
      </c>
      <c r="C355" t="s">
        <v>627</v>
      </c>
      <c r="G355" s="47" t="str">
        <f>IF(Tabelle1[[#This Row],[Kunde Nr.]]&lt;$I$2,$J$2,IF(Tabelle1[[#This Row],[Kunde Nr.]]&lt;$I$3,$J$3,IF(Tabelle1[[#This Row],[Kunde Nr.]]&lt;$I$4,$J$4,0)))</f>
        <v>Mensuri</v>
      </c>
    </row>
    <row r="356" spans="1:7" x14ac:dyDescent="0.25">
      <c r="A356">
        <v>20326</v>
      </c>
      <c r="B356" t="s">
        <v>1308</v>
      </c>
      <c r="C356" t="s">
        <v>627</v>
      </c>
      <c r="G356" s="47" t="str">
        <f>IF(Tabelle1[[#This Row],[Kunde Nr.]]&lt;$I$2,$J$2,IF(Tabelle1[[#This Row],[Kunde Nr.]]&lt;$I$3,$J$3,IF(Tabelle1[[#This Row],[Kunde Nr.]]&lt;$I$4,$J$4,0)))</f>
        <v>Mensuri</v>
      </c>
    </row>
    <row r="357" spans="1:7" x14ac:dyDescent="0.25">
      <c r="A357">
        <v>20327</v>
      </c>
      <c r="B357" t="s">
        <v>1168</v>
      </c>
      <c r="C357" t="s">
        <v>627</v>
      </c>
      <c r="G357" s="47" t="str">
        <f>IF(Tabelle1[[#This Row],[Kunde Nr.]]&lt;$I$2,$J$2,IF(Tabelle1[[#This Row],[Kunde Nr.]]&lt;$I$3,$J$3,IF(Tabelle1[[#This Row],[Kunde Nr.]]&lt;$I$4,$J$4,0)))</f>
        <v>Mensuri</v>
      </c>
    </row>
    <row r="358" spans="1:7" x14ac:dyDescent="0.25">
      <c r="A358">
        <v>20328</v>
      </c>
      <c r="B358" t="s">
        <v>1182</v>
      </c>
      <c r="C358" t="s">
        <v>627</v>
      </c>
      <c r="G358" s="47" t="str">
        <f>IF(Tabelle1[[#This Row],[Kunde Nr.]]&lt;$I$2,$J$2,IF(Tabelle1[[#This Row],[Kunde Nr.]]&lt;$I$3,$J$3,IF(Tabelle1[[#This Row],[Kunde Nr.]]&lt;$I$4,$J$4,0)))</f>
        <v>Mensuri</v>
      </c>
    </row>
    <row r="359" spans="1:7" x14ac:dyDescent="0.25">
      <c r="A359">
        <v>20329</v>
      </c>
      <c r="B359" t="s">
        <v>1183</v>
      </c>
      <c r="C359" t="s">
        <v>627</v>
      </c>
      <c r="G359" s="47" t="str">
        <f>IF(Tabelle1[[#This Row],[Kunde Nr.]]&lt;$I$2,$J$2,IF(Tabelle1[[#This Row],[Kunde Nr.]]&lt;$I$3,$J$3,IF(Tabelle1[[#This Row],[Kunde Nr.]]&lt;$I$4,$J$4,0)))</f>
        <v>Mensuri</v>
      </c>
    </row>
    <row r="360" spans="1:7" x14ac:dyDescent="0.25">
      <c r="A360">
        <v>20330</v>
      </c>
      <c r="B360" t="s">
        <v>1184</v>
      </c>
      <c r="C360" t="s">
        <v>627</v>
      </c>
      <c r="G360" s="47" t="str">
        <f>IF(Tabelle1[[#This Row],[Kunde Nr.]]&lt;$I$2,$J$2,IF(Tabelle1[[#This Row],[Kunde Nr.]]&lt;$I$3,$J$3,IF(Tabelle1[[#This Row],[Kunde Nr.]]&lt;$I$4,$J$4,0)))</f>
        <v>Mensuri</v>
      </c>
    </row>
    <row r="361" spans="1:7" x14ac:dyDescent="0.25">
      <c r="A361">
        <v>20331</v>
      </c>
      <c r="B361" t="s">
        <v>1252</v>
      </c>
      <c r="C361" t="s">
        <v>627</v>
      </c>
      <c r="G361" s="47" t="str">
        <f>IF(Tabelle1[[#This Row],[Kunde Nr.]]&lt;$I$2,$J$2,IF(Tabelle1[[#This Row],[Kunde Nr.]]&lt;$I$3,$J$3,IF(Tabelle1[[#This Row],[Kunde Nr.]]&lt;$I$4,$J$4,0)))</f>
        <v>Mensuri</v>
      </c>
    </row>
    <row r="362" spans="1:7" x14ac:dyDescent="0.25">
      <c r="A362">
        <v>20332</v>
      </c>
      <c r="B362" t="s">
        <v>1310</v>
      </c>
      <c r="C362" t="s">
        <v>627</v>
      </c>
      <c r="G362" s="47" t="str">
        <f>IF(Tabelle1[[#This Row],[Kunde Nr.]]&lt;$I$2,$J$2,IF(Tabelle1[[#This Row],[Kunde Nr.]]&lt;$I$3,$J$3,IF(Tabelle1[[#This Row],[Kunde Nr.]]&lt;$I$4,$J$4,0)))</f>
        <v>Mensuri</v>
      </c>
    </row>
    <row r="363" spans="1:7" x14ac:dyDescent="0.25">
      <c r="A363">
        <v>20401</v>
      </c>
      <c r="B363" t="s">
        <v>965</v>
      </c>
      <c r="C363" t="s">
        <v>45</v>
      </c>
      <c r="G363" t="str">
        <f>IF(Tabelle1[[#This Row],[Kunde Nr.]]&lt;$I$2,$J$2,IF(Tabelle1[[#This Row],[Kunde Nr.]]&lt;$I$3,$J$3,IF(Tabelle1[[#This Row],[Kunde Nr.]]&lt;$I$4,$J$4,0)))</f>
        <v>Mensuri</v>
      </c>
    </row>
    <row r="364" spans="1:7" x14ac:dyDescent="0.25">
      <c r="A364">
        <v>20402</v>
      </c>
      <c r="B364" t="s">
        <v>46</v>
      </c>
      <c r="C364" t="s">
        <v>45</v>
      </c>
      <c r="G364" t="str">
        <f>IF(Tabelle1[[#This Row],[Kunde Nr.]]&lt;$I$2,$J$2,IF(Tabelle1[[#This Row],[Kunde Nr.]]&lt;$I$3,$J$3,IF(Tabelle1[[#This Row],[Kunde Nr.]]&lt;$I$4,$J$4,0)))</f>
        <v>Mensuri</v>
      </c>
    </row>
    <row r="365" spans="1:7" x14ac:dyDescent="0.25">
      <c r="A365">
        <v>20403</v>
      </c>
      <c r="B365" t="s">
        <v>47</v>
      </c>
      <c r="C365" t="s">
        <v>45</v>
      </c>
      <c r="G365" t="str">
        <f>IF(Tabelle1[[#This Row],[Kunde Nr.]]&lt;$I$2,$J$2,IF(Tabelle1[[#This Row],[Kunde Nr.]]&lt;$I$3,$J$3,IF(Tabelle1[[#This Row],[Kunde Nr.]]&lt;$I$4,$J$4,0)))</f>
        <v>Mensuri</v>
      </c>
    </row>
    <row r="366" spans="1:7" x14ac:dyDescent="0.25">
      <c r="A366">
        <v>20404</v>
      </c>
      <c r="B366" t="s">
        <v>48</v>
      </c>
      <c r="C366" t="s">
        <v>45</v>
      </c>
      <c r="G366" t="str">
        <f>IF(Tabelle1[[#This Row],[Kunde Nr.]]&lt;$I$2,$J$2,IF(Tabelle1[[#This Row],[Kunde Nr.]]&lt;$I$3,$J$3,IF(Tabelle1[[#This Row],[Kunde Nr.]]&lt;$I$4,$J$4,0)))</f>
        <v>Mensuri</v>
      </c>
    </row>
    <row r="367" spans="1:7" x14ac:dyDescent="0.25">
      <c r="A367">
        <v>20405</v>
      </c>
      <c r="B367" t="s">
        <v>49</v>
      </c>
      <c r="C367" t="s">
        <v>45</v>
      </c>
      <c r="G367" t="str">
        <f>IF(Tabelle1[[#This Row],[Kunde Nr.]]&lt;$I$2,$J$2,IF(Tabelle1[[#This Row],[Kunde Nr.]]&lt;$I$3,$J$3,IF(Tabelle1[[#This Row],[Kunde Nr.]]&lt;$I$4,$J$4,0)))</f>
        <v>Mensuri</v>
      </c>
    </row>
    <row r="368" spans="1:7" x14ac:dyDescent="0.25">
      <c r="A368">
        <v>20406</v>
      </c>
      <c r="B368" t="s">
        <v>59</v>
      </c>
      <c r="C368" t="s">
        <v>50</v>
      </c>
      <c r="G368" t="str">
        <f>IF(Tabelle1[[#This Row],[Kunde Nr.]]&lt;$I$2,$J$2,IF(Tabelle1[[#This Row],[Kunde Nr.]]&lt;$I$3,$J$3,IF(Tabelle1[[#This Row],[Kunde Nr.]]&lt;$I$4,$J$4,0)))</f>
        <v>Mensuri</v>
      </c>
    </row>
    <row r="369" spans="1:7" x14ac:dyDescent="0.25">
      <c r="A369">
        <v>20407</v>
      </c>
      <c r="B369" t="s">
        <v>53</v>
      </c>
      <c r="C369" t="s">
        <v>50</v>
      </c>
      <c r="G369" t="str">
        <f>IF(Tabelle1[[#This Row],[Kunde Nr.]]&lt;$I$2,$J$2,IF(Tabelle1[[#This Row],[Kunde Nr.]]&lt;$I$3,$J$3,IF(Tabelle1[[#This Row],[Kunde Nr.]]&lt;$I$4,$J$4,0)))</f>
        <v>Mensuri</v>
      </c>
    </row>
    <row r="370" spans="1:7" x14ac:dyDescent="0.25">
      <c r="A370">
        <v>20408</v>
      </c>
      <c r="B370" t="s">
        <v>51</v>
      </c>
      <c r="C370" t="s">
        <v>50</v>
      </c>
      <c r="G370" t="str">
        <f>IF(Tabelle1[[#This Row],[Kunde Nr.]]&lt;$I$2,$J$2,IF(Tabelle1[[#This Row],[Kunde Nr.]]&lt;$I$3,$J$3,IF(Tabelle1[[#This Row],[Kunde Nr.]]&lt;$I$4,$J$4,0)))</f>
        <v>Mensuri</v>
      </c>
    </row>
    <row r="371" spans="1:7" x14ac:dyDescent="0.25">
      <c r="A371">
        <v>20409</v>
      </c>
      <c r="B371" t="s">
        <v>52</v>
      </c>
      <c r="C371" t="s">
        <v>50</v>
      </c>
      <c r="G371" t="str">
        <f>IF(Tabelle1[[#This Row],[Kunde Nr.]]&lt;$I$2,$J$2,IF(Tabelle1[[#This Row],[Kunde Nr.]]&lt;$I$3,$J$3,IF(Tabelle1[[#This Row],[Kunde Nr.]]&lt;$I$4,$J$4,0)))</f>
        <v>Mensuri</v>
      </c>
    </row>
    <row r="372" spans="1:7" x14ac:dyDescent="0.25">
      <c r="A372">
        <v>20410</v>
      </c>
      <c r="B372" t="s">
        <v>465</v>
      </c>
      <c r="C372" t="s">
        <v>50</v>
      </c>
      <c r="G372" t="str">
        <f>IF(Tabelle1[[#This Row],[Kunde Nr.]]&lt;$I$2,$J$2,IF(Tabelle1[[#This Row],[Kunde Nr.]]&lt;$I$3,$J$3,IF(Tabelle1[[#This Row],[Kunde Nr.]]&lt;$I$4,$J$4,0)))</f>
        <v>Mensuri</v>
      </c>
    </row>
    <row r="373" spans="1:7" x14ac:dyDescent="0.25">
      <c r="A373">
        <v>20411</v>
      </c>
      <c r="B373" t="s">
        <v>1283</v>
      </c>
      <c r="C373" t="s">
        <v>45</v>
      </c>
      <c r="G373" s="47" t="str">
        <f>IF(Tabelle1[[#This Row],[Kunde Nr.]]&lt;$I$2,$J$2,IF(Tabelle1[[#This Row],[Kunde Nr.]]&lt;$I$3,$J$3,IF(Tabelle1[[#This Row],[Kunde Nr.]]&lt;$I$4,$J$4,0)))</f>
        <v>Mensuri</v>
      </c>
    </row>
    <row r="374" spans="1:7" x14ac:dyDescent="0.25">
      <c r="A374">
        <v>20412</v>
      </c>
      <c r="B374" t="s">
        <v>664</v>
      </c>
      <c r="C374" t="s">
        <v>585</v>
      </c>
      <c r="G374" s="47" t="str">
        <f>IF(Tabelle1[[#This Row],[Kunde Nr.]]&lt;$I$2,$J$2,IF(Tabelle1[[#This Row],[Kunde Nr.]]&lt;$I$3,$J$3,IF(Tabelle1[[#This Row],[Kunde Nr.]]&lt;$I$4,$J$4,0)))</f>
        <v>Mensuri</v>
      </c>
    </row>
    <row r="375" spans="1:7" x14ac:dyDescent="0.25">
      <c r="A375">
        <v>20413</v>
      </c>
      <c r="B375" t="s">
        <v>728</v>
      </c>
      <c r="C375" t="s">
        <v>729</v>
      </c>
      <c r="G375" s="47" t="str">
        <f>IF(Tabelle1[[#This Row],[Kunde Nr.]]&lt;$I$2,$J$2,IF(Tabelle1[[#This Row],[Kunde Nr.]]&lt;$I$3,$J$3,IF(Tabelle1[[#This Row],[Kunde Nr.]]&lt;$I$4,$J$4,0)))</f>
        <v>Mensuri</v>
      </c>
    </row>
    <row r="376" spans="1:7" x14ac:dyDescent="0.25">
      <c r="A376">
        <v>20415</v>
      </c>
      <c r="B376" t="s">
        <v>730</v>
      </c>
      <c r="C376" t="s">
        <v>45</v>
      </c>
      <c r="G376" s="47" t="str">
        <f>IF(Tabelle1[[#This Row],[Kunde Nr.]]&lt;$I$2,$J$2,IF(Tabelle1[[#This Row],[Kunde Nr.]]&lt;$I$3,$J$3,IF(Tabelle1[[#This Row],[Kunde Nr.]]&lt;$I$4,$J$4,0)))</f>
        <v>Mensuri</v>
      </c>
    </row>
    <row r="377" spans="1:7" x14ac:dyDescent="0.25">
      <c r="A377">
        <v>20416</v>
      </c>
      <c r="B377" t="s">
        <v>966</v>
      </c>
      <c r="C377" t="s">
        <v>736</v>
      </c>
      <c r="G377" s="47" t="str">
        <f>IF(Tabelle1[[#This Row],[Kunde Nr.]]&lt;$I$2,$J$2,IF(Tabelle1[[#This Row],[Kunde Nr.]]&lt;$I$3,$J$3,IF(Tabelle1[[#This Row],[Kunde Nr.]]&lt;$I$4,$J$4,0)))</f>
        <v>Mensuri</v>
      </c>
    </row>
    <row r="378" spans="1:7" x14ac:dyDescent="0.25">
      <c r="A378">
        <v>20417</v>
      </c>
      <c r="B378" t="s">
        <v>760</v>
      </c>
      <c r="C378" t="s">
        <v>45</v>
      </c>
      <c r="G378" s="47" t="str">
        <f>IF(Tabelle1[[#This Row],[Kunde Nr.]]&lt;$I$2,$J$2,IF(Tabelle1[[#This Row],[Kunde Nr.]]&lt;$I$3,$J$3,IF(Tabelle1[[#This Row],[Kunde Nr.]]&lt;$I$4,$J$4,0)))</f>
        <v>Mensuri</v>
      </c>
    </row>
    <row r="379" spans="1:7" x14ac:dyDescent="0.25">
      <c r="A379">
        <v>20418</v>
      </c>
      <c r="B379" t="s">
        <v>761</v>
      </c>
      <c r="C379" t="s">
        <v>45</v>
      </c>
      <c r="G379" s="47" t="str">
        <f>IF(Tabelle1[[#This Row],[Kunde Nr.]]&lt;$I$2,$J$2,IF(Tabelle1[[#This Row],[Kunde Nr.]]&lt;$I$3,$J$3,IF(Tabelle1[[#This Row],[Kunde Nr.]]&lt;$I$4,$J$4,0)))</f>
        <v>Mensuri</v>
      </c>
    </row>
    <row r="380" spans="1:7" x14ac:dyDescent="0.25">
      <c r="A380">
        <v>20419</v>
      </c>
      <c r="B380" t="s">
        <v>842</v>
      </c>
      <c r="C380" t="s">
        <v>50</v>
      </c>
      <c r="G380" s="47" t="str">
        <f>IF(Tabelle1[[#This Row],[Kunde Nr.]]&lt;$I$2,$J$2,IF(Tabelle1[[#This Row],[Kunde Nr.]]&lt;$I$3,$J$3,IF(Tabelle1[[#This Row],[Kunde Nr.]]&lt;$I$4,$J$4,0)))</f>
        <v>Mensuri</v>
      </c>
    </row>
    <row r="381" spans="1:7" x14ac:dyDescent="0.25">
      <c r="A381">
        <v>20420</v>
      </c>
      <c r="B381" t="s">
        <v>843</v>
      </c>
      <c r="C381" t="s">
        <v>45</v>
      </c>
      <c r="G381" s="47" t="str">
        <f>IF(Tabelle1[[#This Row],[Kunde Nr.]]&lt;$I$2,$J$2,IF(Tabelle1[[#This Row],[Kunde Nr.]]&lt;$I$3,$J$3,IF(Tabelle1[[#This Row],[Kunde Nr.]]&lt;$I$4,$J$4,0)))</f>
        <v>Mensuri</v>
      </c>
    </row>
    <row r="382" spans="1:7" x14ac:dyDescent="0.25">
      <c r="A382">
        <v>20421</v>
      </c>
      <c r="B382" t="s">
        <v>932</v>
      </c>
      <c r="C382" t="s">
        <v>45</v>
      </c>
      <c r="G382" s="47" t="str">
        <f>IF(Tabelle1[[#This Row],[Kunde Nr.]]&lt;$I$2,$J$2,IF(Tabelle1[[#This Row],[Kunde Nr.]]&lt;$I$3,$J$3,IF(Tabelle1[[#This Row],[Kunde Nr.]]&lt;$I$4,$J$4,0)))</f>
        <v>Mensuri</v>
      </c>
    </row>
    <row r="383" spans="1:7" x14ac:dyDescent="0.25">
      <c r="A383">
        <v>20423</v>
      </c>
      <c r="B383" t="s">
        <v>910</v>
      </c>
      <c r="C383" t="s">
        <v>45</v>
      </c>
      <c r="G383" s="47" t="str">
        <f>IF(Tabelle1[[#This Row],[Kunde Nr.]]&lt;$I$2,$J$2,IF(Tabelle1[[#This Row],[Kunde Nr.]]&lt;$I$3,$J$3,IF(Tabelle1[[#This Row],[Kunde Nr.]]&lt;$I$4,$J$4,0)))</f>
        <v>Mensuri</v>
      </c>
    </row>
    <row r="384" spans="1:7" x14ac:dyDescent="0.25">
      <c r="A384" s="7">
        <v>20426</v>
      </c>
      <c r="B384" t="s">
        <v>1123</v>
      </c>
      <c r="C384" t="s">
        <v>45</v>
      </c>
      <c r="G384" s="47" t="str">
        <f>IF(Tabelle1[[#This Row],[Kunde Nr.]]&lt;$I$2,$J$2,IF(Tabelle1[[#This Row],[Kunde Nr.]]&lt;$I$3,$J$3,IF(Tabelle1[[#This Row],[Kunde Nr.]]&lt;$I$4,$J$4,0)))</f>
        <v>Mensuri</v>
      </c>
    </row>
    <row r="385" spans="1:7" x14ac:dyDescent="0.25">
      <c r="A385">
        <v>20501</v>
      </c>
      <c r="B385" t="s">
        <v>453</v>
      </c>
      <c r="C385" t="s">
        <v>399</v>
      </c>
      <c r="G385" t="str">
        <f>IF(Tabelle1[[#This Row],[Kunde Nr.]]&lt;$I$2,$J$2,IF(Tabelle1[[#This Row],[Kunde Nr.]]&lt;$I$3,$J$3,IF(Tabelle1[[#This Row],[Kunde Nr.]]&lt;$I$4,$J$4,0)))</f>
        <v>Mensuri</v>
      </c>
    </row>
    <row r="386" spans="1:7" x14ac:dyDescent="0.25">
      <c r="A386">
        <v>20502</v>
      </c>
      <c r="B386" t="s">
        <v>454</v>
      </c>
      <c r="C386" t="s">
        <v>399</v>
      </c>
      <c r="G386" t="str">
        <f>IF(Tabelle1[[#This Row],[Kunde Nr.]]&lt;$I$2,$J$2,IF(Tabelle1[[#This Row],[Kunde Nr.]]&lt;$I$3,$J$3,IF(Tabelle1[[#This Row],[Kunde Nr.]]&lt;$I$4,$J$4,0)))</f>
        <v>Mensuri</v>
      </c>
    </row>
    <row r="387" spans="1:7" x14ac:dyDescent="0.25">
      <c r="A387">
        <v>20503</v>
      </c>
      <c r="B387" t="s">
        <v>455</v>
      </c>
      <c r="C387" t="s">
        <v>399</v>
      </c>
      <c r="G387" t="str">
        <f>IF(Tabelle1[[#This Row],[Kunde Nr.]]&lt;$I$2,$J$2,IF(Tabelle1[[#This Row],[Kunde Nr.]]&lt;$I$3,$J$3,IF(Tabelle1[[#This Row],[Kunde Nr.]]&lt;$I$4,$J$4,0)))</f>
        <v>Mensuri</v>
      </c>
    </row>
    <row r="388" spans="1:7" x14ac:dyDescent="0.25">
      <c r="A388">
        <v>20504</v>
      </c>
      <c r="B388" t="s">
        <v>673</v>
      </c>
      <c r="C388" t="s">
        <v>399</v>
      </c>
      <c r="G388" t="str">
        <f>IF(Tabelle1[[#This Row],[Kunde Nr.]]&lt;$I$2,$J$2,IF(Tabelle1[[#This Row],[Kunde Nr.]]&lt;$I$3,$J$3,IF(Tabelle1[[#This Row],[Kunde Nr.]]&lt;$I$4,$J$4,0)))</f>
        <v>Mensuri</v>
      </c>
    </row>
    <row r="389" spans="1:7" x14ac:dyDescent="0.25">
      <c r="A389">
        <v>20505</v>
      </c>
      <c r="B389" t="s">
        <v>456</v>
      </c>
      <c r="C389" t="s">
        <v>399</v>
      </c>
      <c r="G389" t="str">
        <f>IF(Tabelle1[[#This Row],[Kunde Nr.]]&lt;$I$2,$J$2,IF(Tabelle1[[#This Row],[Kunde Nr.]]&lt;$I$3,$J$3,IF(Tabelle1[[#This Row],[Kunde Nr.]]&lt;$I$4,$J$4,0)))</f>
        <v>Mensuri</v>
      </c>
    </row>
    <row r="390" spans="1:7" x14ac:dyDescent="0.25">
      <c r="A390">
        <v>20506</v>
      </c>
      <c r="B390" t="s">
        <v>457</v>
      </c>
      <c r="C390" t="s">
        <v>399</v>
      </c>
      <c r="G390" t="str">
        <f>IF(Tabelle1[[#This Row],[Kunde Nr.]]&lt;$I$2,$J$2,IF(Tabelle1[[#This Row],[Kunde Nr.]]&lt;$I$3,$J$3,IF(Tabelle1[[#This Row],[Kunde Nr.]]&lt;$I$4,$J$4,0)))</f>
        <v>Mensuri</v>
      </c>
    </row>
    <row r="391" spans="1:7" x14ac:dyDescent="0.25">
      <c r="A391">
        <v>20507</v>
      </c>
      <c r="B391" t="s">
        <v>458</v>
      </c>
      <c r="C391" t="s">
        <v>399</v>
      </c>
      <c r="G391" t="str">
        <f>IF(Tabelle1[[#This Row],[Kunde Nr.]]&lt;$I$2,$J$2,IF(Tabelle1[[#This Row],[Kunde Nr.]]&lt;$I$3,$J$3,IF(Tabelle1[[#This Row],[Kunde Nr.]]&lt;$I$4,$J$4,0)))</f>
        <v>Mensuri</v>
      </c>
    </row>
    <row r="392" spans="1:7" x14ac:dyDescent="0.25">
      <c r="A392">
        <v>20508</v>
      </c>
      <c r="B392" t="s">
        <v>674</v>
      </c>
      <c r="C392" t="s">
        <v>402</v>
      </c>
      <c r="G392" t="str">
        <f>IF(Tabelle1[[#This Row],[Kunde Nr.]]&lt;$I$2,$J$2,IF(Tabelle1[[#This Row],[Kunde Nr.]]&lt;$I$3,$J$3,IF(Tabelle1[[#This Row],[Kunde Nr.]]&lt;$I$4,$J$4,0)))</f>
        <v>Mensuri</v>
      </c>
    </row>
    <row r="393" spans="1:7" x14ac:dyDescent="0.25">
      <c r="A393">
        <v>20509</v>
      </c>
      <c r="B393" t="s">
        <v>459</v>
      </c>
      <c r="C393" t="s">
        <v>402</v>
      </c>
      <c r="G393" t="str">
        <f>IF(Tabelle1[[#This Row],[Kunde Nr.]]&lt;$I$2,$J$2,IF(Tabelle1[[#This Row],[Kunde Nr.]]&lt;$I$3,$J$3,IF(Tabelle1[[#This Row],[Kunde Nr.]]&lt;$I$4,$J$4,0)))</f>
        <v>Mensuri</v>
      </c>
    </row>
    <row r="394" spans="1:7" x14ac:dyDescent="0.25">
      <c r="A394">
        <v>20510</v>
      </c>
      <c r="B394" t="s">
        <v>675</v>
      </c>
      <c r="C394" t="s">
        <v>402</v>
      </c>
      <c r="G394" t="str">
        <f>IF(Tabelle1[[#This Row],[Kunde Nr.]]&lt;$I$2,$J$2,IF(Tabelle1[[#This Row],[Kunde Nr.]]&lt;$I$3,$J$3,IF(Tabelle1[[#This Row],[Kunde Nr.]]&lt;$I$4,$J$4,0)))</f>
        <v>Mensuri</v>
      </c>
    </row>
    <row r="395" spans="1:7" x14ac:dyDescent="0.25">
      <c r="A395">
        <v>20511</v>
      </c>
      <c r="B395" t="s">
        <v>1258</v>
      </c>
      <c r="C395" t="s">
        <v>402</v>
      </c>
      <c r="G395" t="str">
        <f>IF(Tabelle1[[#This Row],[Kunde Nr.]]&lt;$I$2,$J$2,IF(Tabelle1[[#This Row],[Kunde Nr.]]&lt;$I$3,$J$3,IF(Tabelle1[[#This Row],[Kunde Nr.]]&lt;$I$4,$J$4,0)))</f>
        <v>Mensuri</v>
      </c>
    </row>
    <row r="396" spans="1:7" x14ac:dyDescent="0.25">
      <c r="A396">
        <v>20512</v>
      </c>
      <c r="B396" t="s">
        <v>460</v>
      </c>
      <c r="C396" t="s">
        <v>402</v>
      </c>
      <c r="G396" t="str">
        <f>IF(Tabelle1[[#This Row],[Kunde Nr.]]&lt;$I$2,$J$2,IF(Tabelle1[[#This Row],[Kunde Nr.]]&lt;$I$3,$J$3,IF(Tabelle1[[#This Row],[Kunde Nr.]]&lt;$I$4,$J$4,0)))</f>
        <v>Mensuri</v>
      </c>
    </row>
    <row r="397" spans="1:7" x14ac:dyDescent="0.25">
      <c r="A397">
        <v>20513</v>
      </c>
      <c r="B397" t="s">
        <v>461</v>
      </c>
      <c r="C397" t="s">
        <v>402</v>
      </c>
      <c r="G397" t="str">
        <f>IF(Tabelle1[[#This Row],[Kunde Nr.]]&lt;$I$2,$J$2,IF(Tabelle1[[#This Row],[Kunde Nr.]]&lt;$I$3,$J$3,IF(Tabelle1[[#This Row],[Kunde Nr.]]&lt;$I$4,$J$4,0)))</f>
        <v>Mensuri</v>
      </c>
    </row>
    <row r="398" spans="1:7" x14ac:dyDescent="0.25">
      <c r="A398">
        <v>20514</v>
      </c>
      <c r="B398" t="s">
        <v>462</v>
      </c>
      <c r="C398" t="s">
        <v>402</v>
      </c>
      <c r="G398" t="str">
        <f>IF(Tabelle1[[#This Row],[Kunde Nr.]]&lt;$I$2,$J$2,IF(Tabelle1[[#This Row],[Kunde Nr.]]&lt;$I$3,$J$3,IF(Tabelle1[[#This Row],[Kunde Nr.]]&lt;$I$4,$J$4,0)))</f>
        <v>Mensuri</v>
      </c>
    </row>
    <row r="399" spans="1:7" x14ac:dyDescent="0.25">
      <c r="A399">
        <v>20515</v>
      </c>
      <c r="B399" t="s">
        <v>463</v>
      </c>
      <c r="C399" t="s">
        <v>402</v>
      </c>
      <c r="G399" t="str">
        <f>IF(Tabelle1[[#This Row],[Kunde Nr.]]&lt;$I$2,$J$2,IF(Tabelle1[[#This Row],[Kunde Nr.]]&lt;$I$3,$J$3,IF(Tabelle1[[#This Row],[Kunde Nr.]]&lt;$I$4,$J$4,0)))</f>
        <v>Mensuri</v>
      </c>
    </row>
    <row r="400" spans="1:7" x14ac:dyDescent="0.25">
      <c r="A400">
        <v>20516</v>
      </c>
      <c r="B400" t="s">
        <v>464</v>
      </c>
      <c r="C400" t="s">
        <v>402</v>
      </c>
      <c r="G400" t="str">
        <f>IF(Tabelle1[[#This Row],[Kunde Nr.]]&lt;$I$2,$J$2,IF(Tabelle1[[#This Row],[Kunde Nr.]]&lt;$I$3,$J$3,IF(Tabelle1[[#This Row],[Kunde Nr.]]&lt;$I$4,$J$4,0)))</f>
        <v>Mensuri</v>
      </c>
    </row>
    <row r="401" spans="1:7" x14ac:dyDescent="0.25">
      <c r="A401">
        <v>20517</v>
      </c>
      <c r="B401" t="s">
        <v>758</v>
      </c>
      <c r="C401" t="s">
        <v>402</v>
      </c>
      <c r="G401" s="47" t="str">
        <f>IF(Tabelle1[[#This Row],[Kunde Nr.]]&lt;$I$2,$J$2,IF(Tabelle1[[#This Row],[Kunde Nr.]]&lt;$I$3,$J$3,IF(Tabelle1[[#This Row],[Kunde Nr.]]&lt;$I$4,$J$4,0)))</f>
        <v>Mensuri</v>
      </c>
    </row>
    <row r="402" spans="1:7" x14ac:dyDescent="0.25">
      <c r="A402">
        <v>20518</v>
      </c>
      <c r="B402" t="s">
        <v>776</v>
      </c>
      <c r="C402" t="s">
        <v>402</v>
      </c>
      <c r="G402" s="47" t="str">
        <f>IF(Tabelle1[[#This Row],[Kunde Nr.]]&lt;$I$2,$J$2,IF(Tabelle1[[#This Row],[Kunde Nr.]]&lt;$I$3,$J$3,IF(Tabelle1[[#This Row],[Kunde Nr.]]&lt;$I$4,$J$4,0)))</f>
        <v>Mensuri</v>
      </c>
    </row>
    <row r="403" spans="1:7" x14ac:dyDescent="0.25">
      <c r="A403">
        <v>20519</v>
      </c>
      <c r="B403" t="s">
        <v>1259</v>
      </c>
      <c r="C403" t="s">
        <v>399</v>
      </c>
      <c r="G403" s="47" t="str">
        <f>IF(Tabelle1[[#This Row],[Kunde Nr.]]&lt;$I$2,$J$2,IF(Tabelle1[[#This Row],[Kunde Nr.]]&lt;$I$3,$J$3,IF(Tabelle1[[#This Row],[Kunde Nr.]]&lt;$I$4,$J$4,0)))</f>
        <v>Mensuri</v>
      </c>
    </row>
    <row r="404" spans="1:7" x14ac:dyDescent="0.25">
      <c r="A404">
        <v>20520</v>
      </c>
      <c r="B404" t="s">
        <v>802</v>
      </c>
      <c r="C404" t="s">
        <v>803</v>
      </c>
      <c r="G404" s="47" t="str">
        <f>IF(Tabelle1[[#This Row],[Kunde Nr.]]&lt;$I$2,$J$2,IF(Tabelle1[[#This Row],[Kunde Nr.]]&lt;$I$3,$J$3,IF(Tabelle1[[#This Row],[Kunde Nr.]]&lt;$I$4,$J$4,0)))</f>
        <v>Mensuri</v>
      </c>
    </row>
    <row r="405" spans="1:7" x14ac:dyDescent="0.25">
      <c r="A405">
        <v>20521</v>
      </c>
      <c r="B405" t="s">
        <v>827</v>
      </c>
      <c r="C405" t="s">
        <v>399</v>
      </c>
      <c r="G405" s="47" t="str">
        <f>IF(Tabelle1[[#This Row],[Kunde Nr.]]&lt;$I$2,$J$2,IF(Tabelle1[[#This Row],[Kunde Nr.]]&lt;$I$3,$J$3,IF(Tabelle1[[#This Row],[Kunde Nr.]]&lt;$I$4,$J$4,0)))</f>
        <v>Mensuri</v>
      </c>
    </row>
    <row r="406" spans="1:7" x14ac:dyDescent="0.25">
      <c r="A406">
        <v>20522</v>
      </c>
      <c r="B406" t="s">
        <v>936</v>
      </c>
      <c r="C406" t="s">
        <v>402</v>
      </c>
      <c r="G406" s="47" t="str">
        <f>IF(Tabelle1[[#This Row],[Kunde Nr.]]&lt;$I$2,$J$2,IF(Tabelle1[[#This Row],[Kunde Nr.]]&lt;$I$3,$J$3,IF(Tabelle1[[#This Row],[Kunde Nr.]]&lt;$I$4,$J$4,0)))</f>
        <v>Mensuri</v>
      </c>
    </row>
    <row r="407" spans="1:7" x14ac:dyDescent="0.25">
      <c r="A407">
        <v>20523</v>
      </c>
      <c r="B407" t="s">
        <v>1117</v>
      </c>
      <c r="C407" t="s">
        <v>399</v>
      </c>
      <c r="G407" s="47" t="str">
        <f>IF(Tabelle1[[#This Row],[Kunde Nr.]]&lt;$I$2,$J$2,IF(Tabelle1[[#This Row],[Kunde Nr.]]&lt;$I$3,$J$3,IF(Tabelle1[[#This Row],[Kunde Nr.]]&lt;$I$4,$J$4,0)))</f>
        <v>Mensuri</v>
      </c>
    </row>
    <row r="408" spans="1:7" x14ac:dyDescent="0.25">
      <c r="A408">
        <v>20524</v>
      </c>
      <c r="B408" t="s">
        <v>1169</v>
      </c>
      <c r="C408" t="s">
        <v>399</v>
      </c>
      <c r="G408" s="47" t="str">
        <f>IF(Tabelle1[[#This Row],[Kunde Nr.]]&lt;$I$2,$J$2,IF(Tabelle1[[#This Row],[Kunde Nr.]]&lt;$I$3,$J$3,IF(Tabelle1[[#This Row],[Kunde Nr.]]&lt;$I$4,$J$4,0)))</f>
        <v>Mensuri</v>
      </c>
    </row>
    <row r="409" spans="1:7" x14ac:dyDescent="0.25">
      <c r="A409">
        <v>20601</v>
      </c>
      <c r="B409" t="s">
        <v>428</v>
      </c>
      <c r="C409" t="s">
        <v>429</v>
      </c>
      <c r="G409" t="str">
        <f>IF(Tabelle1[[#This Row],[Kunde Nr.]]&lt;$I$2,$J$2,IF(Tabelle1[[#This Row],[Kunde Nr.]]&lt;$I$3,$J$3,IF(Tabelle1[[#This Row],[Kunde Nr.]]&lt;$I$4,$J$4,0)))</f>
        <v>Mensuri</v>
      </c>
    </row>
    <row r="410" spans="1:7" x14ac:dyDescent="0.25">
      <c r="A410">
        <v>20602</v>
      </c>
      <c r="B410" t="s">
        <v>430</v>
      </c>
      <c r="C410" t="s">
        <v>385</v>
      </c>
      <c r="F410" t="s">
        <v>431</v>
      </c>
      <c r="G410" t="str">
        <f>IF(Tabelle1[[#This Row],[Kunde Nr.]]&lt;$I$2,$J$2,IF(Tabelle1[[#This Row],[Kunde Nr.]]&lt;$I$3,$J$3,IF(Tabelle1[[#This Row],[Kunde Nr.]]&lt;$I$4,$J$4,0)))</f>
        <v>Mensuri</v>
      </c>
    </row>
    <row r="411" spans="1:7" x14ac:dyDescent="0.25">
      <c r="A411">
        <v>20603</v>
      </c>
      <c r="B411" t="s">
        <v>967</v>
      </c>
      <c r="C411" t="s">
        <v>385</v>
      </c>
      <c r="F411" t="s">
        <v>431</v>
      </c>
      <c r="G411" t="str">
        <f>IF(Tabelle1[[#This Row],[Kunde Nr.]]&lt;$I$2,$J$2,IF(Tabelle1[[#This Row],[Kunde Nr.]]&lt;$I$3,$J$3,IF(Tabelle1[[#This Row],[Kunde Nr.]]&lt;$I$4,$J$4,0)))</f>
        <v>Mensuri</v>
      </c>
    </row>
    <row r="412" spans="1:7" x14ac:dyDescent="0.25">
      <c r="A412">
        <v>20604</v>
      </c>
      <c r="B412" t="s">
        <v>432</v>
      </c>
      <c r="C412" t="s">
        <v>385</v>
      </c>
      <c r="F412" t="s">
        <v>431</v>
      </c>
      <c r="G412" t="str">
        <f>IF(Tabelle1[[#This Row],[Kunde Nr.]]&lt;$I$2,$J$2,IF(Tabelle1[[#This Row],[Kunde Nr.]]&lt;$I$3,$J$3,IF(Tabelle1[[#This Row],[Kunde Nr.]]&lt;$I$4,$J$4,0)))</f>
        <v>Mensuri</v>
      </c>
    </row>
    <row r="413" spans="1:7" x14ac:dyDescent="0.25">
      <c r="A413">
        <v>20605</v>
      </c>
      <c r="B413" t="s">
        <v>433</v>
      </c>
      <c r="C413" t="s">
        <v>385</v>
      </c>
      <c r="G413" t="str">
        <f>IF(Tabelle1[[#This Row],[Kunde Nr.]]&lt;$I$2,$J$2,IF(Tabelle1[[#This Row],[Kunde Nr.]]&lt;$I$3,$J$3,IF(Tabelle1[[#This Row],[Kunde Nr.]]&lt;$I$4,$J$4,0)))</f>
        <v>Mensuri</v>
      </c>
    </row>
    <row r="414" spans="1:7" x14ac:dyDescent="0.25">
      <c r="A414">
        <v>20606</v>
      </c>
      <c r="B414" t="s">
        <v>434</v>
      </c>
      <c r="C414" t="s">
        <v>439</v>
      </c>
      <c r="F414" t="s">
        <v>431</v>
      </c>
      <c r="G414" t="str">
        <f>IF(Tabelle1[[#This Row],[Kunde Nr.]]&lt;$I$2,$J$2,IF(Tabelle1[[#This Row],[Kunde Nr.]]&lt;$I$3,$J$3,IF(Tabelle1[[#This Row],[Kunde Nr.]]&lt;$I$4,$J$4,0)))</f>
        <v>Mensuri</v>
      </c>
    </row>
    <row r="415" spans="1:7" x14ac:dyDescent="0.25">
      <c r="A415">
        <v>20607</v>
      </c>
      <c r="B415" t="s">
        <v>676</v>
      </c>
      <c r="C415" t="s">
        <v>437</v>
      </c>
      <c r="G415" t="str">
        <f>IF(Tabelle1[[#This Row],[Kunde Nr.]]&lt;$I$2,$J$2,IF(Tabelle1[[#This Row],[Kunde Nr.]]&lt;$I$3,$J$3,IF(Tabelle1[[#This Row],[Kunde Nr.]]&lt;$I$4,$J$4,0)))</f>
        <v>Mensuri</v>
      </c>
    </row>
    <row r="416" spans="1:7" x14ac:dyDescent="0.25">
      <c r="A416">
        <v>20608</v>
      </c>
      <c r="B416" t="s">
        <v>435</v>
      </c>
      <c r="C416" t="s">
        <v>385</v>
      </c>
      <c r="G416" t="str">
        <f>IF(Tabelle1[[#This Row],[Kunde Nr.]]&lt;$I$2,$J$2,IF(Tabelle1[[#This Row],[Kunde Nr.]]&lt;$I$3,$J$3,IF(Tabelle1[[#This Row],[Kunde Nr.]]&lt;$I$4,$J$4,0)))</f>
        <v>Mensuri</v>
      </c>
    </row>
    <row r="417" spans="1:7" x14ac:dyDescent="0.25">
      <c r="A417">
        <v>20609</v>
      </c>
      <c r="B417" t="s">
        <v>1263</v>
      </c>
      <c r="C417" t="s">
        <v>385</v>
      </c>
      <c r="G417" t="str">
        <f>IF(Tabelle1[[#This Row],[Kunde Nr.]]&lt;$I$2,$J$2,IF(Tabelle1[[#This Row],[Kunde Nr.]]&lt;$I$3,$J$3,IF(Tabelle1[[#This Row],[Kunde Nr.]]&lt;$I$4,$J$4,0)))</f>
        <v>Mensuri</v>
      </c>
    </row>
    <row r="418" spans="1:7" x14ac:dyDescent="0.25">
      <c r="A418">
        <v>20610</v>
      </c>
      <c r="B418" t="s">
        <v>438</v>
      </c>
      <c r="C418" t="s">
        <v>466</v>
      </c>
      <c r="G418" t="str">
        <f>IF(Tabelle1[[#This Row],[Kunde Nr.]]&lt;$I$2,$J$2,IF(Tabelle1[[#This Row],[Kunde Nr.]]&lt;$I$3,$J$3,IF(Tabelle1[[#This Row],[Kunde Nr.]]&lt;$I$4,$J$4,0)))</f>
        <v>Mensuri</v>
      </c>
    </row>
    <row r="419" spans="1:7" x14ac:dyDescent="0.25">
      <c r="A419">
        <v>20611</v>
      </c>
      <c r="B419" t="s">
        <v>440</v>
      </c>
      <c r="C419" t="s">
        <v>441</v>
      </c>
      <c r="G419" t="str">
        <f>IF(Tabelle1[[#This Row],[Kunde Nr.]]&lt;$I$2,$J$2,IF(Tabelle1[[#This Row],[Kunde Nr.]]&lt;$I$3,$J$3,IF(Tabelle1[[#This Row],[Kunde Nr.]]&lt;$I$4,$J$4,0)))</f>
        <v>Mensuri</v>
      </c>
    </row>
    <row r="420" spans="1:7" x14ac:dyDescent="0.25">
      <c r="A420">
        <v>20612</v>
      </c>
      <c r="B420" t="s">
        <v>443</v>
      </c>
      <c r="C420" t="s">
        <v>437</v>
      </c>
      <c r="G420" t="str">
        <f>IF(Tabelle1[[#This Row],[Kunde Nr.]]&lt;$I$2,$J$2,IF(Tabelle1[[#This Row],[Kunde Nr.]]&lt;$I$3,$J$3,IF(Tabelle1[[#This Row],[Kunde Nr.]]&lt;$I$4,$J$4,0)))</f>
        <v>Mensuri</v>
      </c>
    </row>
    <row r="421" spans="1:7" x14ac:dyDescent="0.25">
      <c r="A421">
        <v>20613</v>
      </c>
      <c r="B421" t="s">
        <v>444</v>
      </c>
      <c r="C421" t="s">
        <v>437</v>
      </c>
      <c r="G421" t="str">
        <f>IF(Tabelle1[[#This Row],[Kunde Nr.]]&lt;$I$2,$J$2,IF(Tabelle1[[#This Row],[Kunde Nr.]]&lt;$I$3,$J$3,IF(Tabelle1[[#This Row],[Kunde Nr.]]&lt;$I$4,$J$4,0)))</f>
        <v>Mensuri</v>
      </c>
    </row>
    <row r="422" spans="1:7" x14ac:dyDescent="0.25">
      <c r="A422">
        <v>20614</v>
      </c>
      <c r="B422" t="s">
        <v>974</v>
      </c>
      <c r="C422" t="s">
        <v>385</v>
      </c>
      <c r="G422" t="str">
        <f>IF(Tabelle1[[#This Row],[Kunde Nr.]]&lt;$I$2,$J$2,IF(Tabelle1[[#This Row],[Kunde Nr.]]&lt;$I$3,$J$3,IF(Tabelle1[[#This Row],[Kunde Nr.]]&lt;$I$4,$J$4,0)))</f>
        <v>Mensuri</v>
      </c>
    </row>
    <row r="423" spans="1:7" x14ac:dyDescent="0.25">
      <c r="A423">
        <v>20615</v>
      </c>
      <c r="B423" t="s">
        <v>446</v>
      </c>
      <c r="C423" t="s">
        <v>467</v>
      </c>
      <c r="G423" t="str">
        <f>IF(Tabelle1[[#This Row],[Kunde Nr.]]&lt;$I$2,$J$2,IF(Tabelle1[[#This Row],[Kunde Nr.]]&lt;$I$3,$J$3,IF(Tabelle1[[#This Row],[Kunde Nr.]]&lt;$I$4,$J$4,0)))</f>
        <v>Mensuri</v>
      </c>
    </row>
    <row r="424" spans="1:7" x14ac:dyDescent="0.25">
      <c r="A424">
        <v>20616</v>
      </c>
      <c r="B424" t="s">
        <v>1309</v>
      </c>
      <c r="C424" t="s">
        <v>429</v>
      </c>
      <c r="G424" t="str">
        <f>IF(Tabelle1[[#This Row],[Kunde Nr.]]&lt;$I$2,$J$2,IF(Tabelle1[[#This Row],[Kunde Nr.]]&lt;$I$3,$J$3,IF(Tabelle1[[#This Row],[Kunde Nr.]]&lt;$I$4,$J$4,0)))</f>
        <v>Mensuri</v>
      </c>
    </row>
    <row r="425" spans="1:7" x14ac:dyDescent="0.25">
      <c r="A425">
        <v>20617</v>
      </c>
      <c r="B425" t="s">
        <v>448</v>
      </c>
      <c r="C425" t="s">
        <v>429</v>
      </c>
      <c r="G425" t="str">
        <f>IF(Tabelle1[[#This Row],[Kunde Nr.]]&lt;$I$2,$J$2,IF(Tabelle1[[#This Row],[Kunde Nr.]]&lt;$I$3,$J$3,IF(Tabelle1[[#This Row],[Kunde Nr.]]&lt;$I$4,$J$4,0)))</f>
        <v>Mensuri</v>
      </c>
    </row>
    <row r="426" spans="1:7" x14ac:dyDescent="0.25">
      <c r="A426">
        <v>20618</v>
      </c>
      <c r="B426" t="s">
        <v>449</v>
      </c>
      <c r="C426" t="s">
        <v>385</v>
      </c>
      <c r="G426" t="str">
        <f>IF(Tabelle1[[#This Row],[Kunde Nr.]]&lt;$I$2,$J$2,IF(Tabelle1[[#This Row],[Kunde Nr.]]&lt;$I$3,$J$3,IF(Tabelle1[[#This Row],[Kunde Nr.]]&lt;$I$4,$J$4,0)))</f>
        <v>Mensuri</v>
      </c>
    </row>
    <row r="427" spans="1:7" x14ac:dyDescent="0.25">
      <c r="A427">
        <v>20619</v>
      </c>
      <c r="B427" t="s">
        <v>450</v>
      </c>
      <c r="C427" t="s">
        <v>385</v>
      </c>
      <c r="G427" t="str">
        <f>IF(Tabelle1[[#This Row],[Kunde Nr.]]&lt;$I$2,$J$2,IF(Tabelle1[[#This Row],[Kunde Nr.]]&lt;$I$3,$J$3,IF(Tabelle1[[#This Row],[Kunde Nr.]]&lt;$I$4,$J$4,0)))</f>
        <v>Mensuri</v>
      </c>
    </row>
    <row r="428" spans="1:7" x14ac:dyDescent="0.25">
      <c r="A428">
        <v>20620</v>
      </c>
      <c r="B428" t="s">
        <v>1260</v>
      </c>
      <c r="C428" t="s">
        <v>40</v>
      </c>
      <c r="G428" s="47" t="str">
        <f>IF(Tabelle1[[#This Row],[Kunde Nr.]]&lt;$I$2,$J$2,IF(Tabelle1[[#This Row],[Kunde Nr.]]&lt;$I$3,$J$3,IF(Tabelle1[[#This Row],[Kunde Nr.]]&lt;$I$4,$J$4,0)))</f>
        <v>Mensuri</v>
      </c>
    </row>
    <row r="429" spans="1:7" x14ac:dyDescent="0.25">
      <c r="A429">
        <v>20621</v>
      </c>
      <c r="B429" t="s">
        <v>1301</v>
      </c>
      <c r="C429" t="s">
        <v>385</v>
      </c>
      <c r="G429" s="47" t="str">
        <f>IF(Tabelle1[[#This Row],[Kunde Nr.]]&lt;$I$2,$J$2,IF(Tabelle1[[#This Row],[Kunde Nr.]]&lt;$I$3,$J$3,IF(Tabelle1[[#This Row],[Kunde Nr.]]&lt;$I$4,$J$4,0)))</f>
        <v>Mensuri</v>
      </c>
    </row>
    <row r="430" spans="1:7" x14ac:dyDescent="0.25">
      <c r="A430">
        <v>20622</v>
      </c>
      <c r="B430" t="s">
        <v>1305</v>
      </c>
      <c r="C430" t="s">
        <v>467</v>
      </c>
      <c r="G430" s="47" t="str">
        <f>IF(Tabelle1[[#This Row],[Kunde Nr.]]&lt;$I$2,$J$2,IF(Tabelle1[[#This Row],[Kunde Nr.]]&lt;$I$3,$J$3,IF(Tabelle1[[#This Row],[Kunde Nr.]]&lt;$I$4,$J$4,0)))</f>
        <v>Mensuri</v>
      </c>
    </row>
    <row r="431" spans="1:7" x14ac:dyDescent="0.25">
      <c r="A431">
        <v>20623</v>
      </c>
      <c r="B431" t="s">
        <v>1009</v>
      </c>
      <c r="C431" t="s">
        <v>385</v>
      </c>
      <c r="G431" s="47" t="str">
        <f>IF(Tabelle1[[#This Row],[Kunde Nr.]]&lt;$I$2,$J$2,IF(Tabelle1[[#This Row],[Kunde Nr.]]&lt;$I$3,$J$3,IF(Tabelle1[[#This Row],[Kunde Nr.]]&lt;$I$4,$J$4,0)))</f>
        <v>Mensuri</v>
      </c>
    </row>
    <row r="432" spans="1:7" x14ac:dyDescent="0.25">
      <c r="A432">
        <v>20624</v>
      </c>
      <c r="B432" t="s">
        <v>968</v>
      </c>
      <c r="C432" t="s">
        <v>385</v>
      </c>
      <c r="G432" s="47" t="str">
        <f>IF(Tabelle1[[#This Row],[Kunde Nr.]]&lt;$I$2,$J$2,IF(Tabelle1[[#This Row],[Kunde Nr.]]&lt;$I$3,$J$3,IF(Tabelle1[[#This Row],[Kunde Nr.]]&lt;$I$4,$J$4,0)))</f>
        <v>Mensuri</v>
      </c>
    </row>
    <row r="433" spans="1:7" x14ac:dyDescent="0.25">
      <c r="A433">
        <v>20625</v>
      </c>
      <c r="B433" t="s">
        <v>384</v>
      </c>
      <c r="C433" t="s">
        <v>385</v>
      </c>
      <c r="G433" s="47" t="str">
        <f>IF(Tabelle1[[#This Row],[Kunde Nr.]]&lt;$I$2,$J$2,IF(Tabelle1[[#This Row],[Kunde Nr.]]&lt;$I$3,$J$3,IF(Tabelle1[[#This Row],[Kunde Nr.]]&lt;$I$4,$J$4,0)))</f>
        <v>Mensuri</v>
      </c>
    </row>
    <row r="434" spans="1:7" x14ac:dyDescent="0.25">
      <c r="A434">
        <v>20626</v>
      </c>
      <c r="B434" t="s">
        <v>1162</v>
      </c>
      <c r="C434" t="s">
        <v>441</v>
      </c>
      <c r="G434" s="47" t="str">
        <f>IF(Tabelle1[[#This Row],[Kunde Nr.]]&lt;$I$2,$J$2,IF(Tabelle1[[#This Row],[Kunde Nr.]]&lt;$I$3,$J$3,IF(Tabelle1[[#This Row],[Kunde Nr.]]&lt;$I$4,$J$4,0)))</f>
        <v>Mensuri</v>
      </c>
    </row>
    <row r="435" spans="1:7" x14ac:dyDescent="0.25">
      <c r="A435">
        <v>20627</v>
      </c>
      <c r="B435" t="s">
        <v>1171</v>
      </c>
      <c r="C435" t="s">
        <v>385</v>
      </c>
      <c r="G435" s="47" t="str">
        <f>IF(Tabelle1[[#This Row],[Kunde Nr.]]&lt;$I$2,$J$2,IF(Tabelle1[[#This Row],[Kunde Nr.]]&lt;$I$3,$J$3,IF(Tabelle1[[#This Row],[Kunde Nr.]]&lt;$I$4,$J$4,0)))</f>
        <v>Mensuri</v>
      </c>
    </row>
    <row r="436" spans="1:7" x14ac:dyDescent="0.25">
      <c r="A436">
        <v>20628</v>
      </c>
      <c r="B436" t="s">
        <v>1185</v>
      </c>
      <c r="C436" t="s">
        <v>385</v>
      </c>
      <c r="G436" s="47" t="str">
        <f>IF(Tabelle1[[#This Row],[Kunde Nr.]]&lt;$I$2,$J$2,IF(Tabelle1[[#This Row],[Kunde Nr.]]&lt;$I$3,$J$3,IF(Tabelle1[[#This Row],[Kunde Nr.]]&lt;$I$4,$J$4,0)))</f>
        <v>Mensuri</v>
      </c>
    </row>
    <row r="437" spans="1:7" x14ac:dyDescent="0.25">
      <c r="A437">
        <v>20629</v>
      </c>
      <c r="B437" t="s">
        <v>1186</v>
      </c>
      <c r="C437" t="s">
        <v>385</v>
      </c>
      <c r="G437" s="47" t="str">
        <f>IF(Tabelle1[[#This Row],[Kunde Nr.]]&lt;$I$2,$J$2,IF(Tabelle1[[#This Row],[Kunde Nr.]]&lt;$I$3,$J$3,IF(Tabelle1[[#This Row],[Kunde Nr.]]&lt;$I$4,$J$4,0)))</f>
        <v>Mensuri</v>
      </c>
    </row>
    <row r="438" spans="1:7" x14ac:dyDescent="0.25">
      <c r="A438">
        <v>20630</v>
      </c>
      <c r="B438" t="s">
        <v>1232</v>
      </c>
      <c r="C438" t="s">
        <v>385</v>
      </c>
      <c r="G438" s="47" t="str">
        <f>IF(Tabelle1[[#This Row],[Kunde Nr.]]&lt;$I$2,$J$2,IF(Tabelle1[[#This Row],[Kunde Nr.]]&lt;$I$3,$J$3,IF(Tabelle1[[#This Row],[Kunde Nr.]]&lt;$I$4,$J$4,0)))</f>
        <v>Mensuri</v>
      </c>
    </row>
    <row r="439" spans="1:7" x14ac:dyDescent="0.25">
      <c r="A439">
        <v>20631</v>
      </c>
      <c r="B439" t="s">
        <v>1261</v>
      </c>
      <c r="C439" t="s">
        <v>385</v>
      </c>
      <c r="G439" s="47" t="str">
        <f>IF(Tabelle1[[#This Row],[Kunde Nr.]]&lt;$I$2,$J$2,IF(Tabelle1[[#This Row],[Kunde Nr.]]&lt;$I$3,$J$3,IF(Tabelle1[[#This Row],[Kunde Nr.]]&lt;$I$4,$J$4,0)))</f>
        <v>Mensuri</v>
      </c>
    </row>
    <row r="440" spans="1:7" x14ac:dyDescent="0.25">
      <c r="A440">
        <v>20632</v>
      </c>
      <c r="B440" t="s">
        <v>1257</v>
      </c>
      <c r="C440" t="s">
        <v>385</v>
      </c>
      <c r="G440" s="47" t="str">
        <f>IF(Tabelle1[[#This Row],[Kunde Nr.]]&lt;$I$2,$J$2,IF(Tabelle1[[#This Row],[Kunde Nr.]]&lt;$I$3,$J$3,IF(Tabelle1[[#This Row],[Kunde Nr.]]&lt;$I$4,$J$4,0)))</f>
        <v>Mensuri</v>
      </c>
    </row>
    <row r="441" spans="1:7" x14ac:dyDescent="0.25">
      <c r="A441">
        <v>20633</v>
      </c>
      <c r="B441" t="s">
        <v>1264</v>
      </c>
      <c r="C441" t="s">
        <v>385</v>
      </c>
      <c r="G441" s="47" t="str">
        <f>IF(Tabelle1[[#This Row],[Kunde Nr.]]&lt;$I$2,$J$2,IF(Tabelle1[[#This Row],[Kunde Nr.]]&lt;$I$3,$J$3,IF(Tabelle1[[#This Row],[Kunde Nr.]]&lt;$I$4,$J$4,0)))</f>
        <v>Mensuri</v>
      </c>
    </row>
    <row r="442" spans="1:7" x14ac:dyDescent="0.25">
      <c r="A442">
        <v>20634</v>
      </c>
      <c r="B442" t="s">
        <v>1322</v>
      </c>
      <c r="C442" t="s">
        <v>385</v>
      </c>
      <c r="G442" s="47" t="str">
        <f>IF(Tabelle1[[#This Row],[Kunde Nr.]]&lt;$I$2,$J$2,IF(Tabelle1[[#This Row],[Kunde Nr.]]&lt;$I$3,$J$3,IF(Tabelle1[[#This Row],[Kunde Nr.]]&lt;$I$4,$J$4,0)))</f>
        <v>Mensuri</v>
      </c>
    </row>
    <row r="443" spans="1:7" x14ac:dyDescent="0.25">
      <c r="A443">
        <v>30000</v>
      </c>
      <c r="B443" t="s">
        <v>703</v>
      </c>
      <c r="C443" t="s">
        <v>701</v>
      </c>
      <c r="G443" s="47" t="str">
        <f>IF(Tabelle1[[#This Row],[Kunde Nr.]]&lt;$I$2,$J$2,IF(Tabelle1[[#This Row],[Kunde Nr.]]&lt;$I$3,$J$3,IF(Tabelle1[[#This Row],[Kunde Nr.]]&lt;$I$4,$J$4,0)))</f>
        <v>Miloti</v>
      </c>
    </row>
    <row r="444" spans="1:7" x14ac:dyDescent="0.25">
      <c r="A444">
        <v>30101</v>
      </c>
      <c r="B444" t="s">
        <v>406</v>
      </c>
      <c r="C444" t="s">
        <v>33</v>
      </c>
      <c r="G444" t="str">
        <f>IF(Tabelle1[[#This Row],[Kunde Nr.]]&lt;$I$2,$J$2,IF(Tabelle1[[#This Row],[Kunde Nr.]]&lt;$I$3,$J$3,IF(Tabelle1[[#This Row],[Kunde Nr.]]&lt;$I$4,$J$4,0)))</f>
        <v>Miloti</v>
      </c>
    </row>
    <row r="445" spans="1:7" x14ac:dyDescent="0.25">
      <c r="A445">
        <v>30102</v>
      </c>
      <c r="B445" t="s">
        <v>407</v>
      </c>
      <c r="C445" t="s">
        <v>33</v>
      </c>
      <c r="G445" t="str">
        <f>IF(Tabelle1[[#This Row],[Kunde Nr.]]&lt;$I$2,$J$2,IF(Tabelle1[[#This Row],[Kunde Nr.]]&lt;$I$3,$J$3,IF(Tabelle1[[#This Row],[Kunde Nr.]]&lt;$I$4,$J$4,0)))</f>
        <v>Miloti</v>
      </c>
    </row>
    <row r="446" spans="1:7" x14ac:dyDescent="0.25">
      <c r="A446">
        <v>30103</v>
      </c>
      <c r="B446" t="s">
        <v>408</v>
      </c>
      <c r="C446" t="s">
        <v>33</v>
      </c>
      <c r="F446" t="s">
        <v>431</v>
      </c>
      <c r="G446" t="str">
        <f>IF(Tabelle1[[#This Row],[Kunde Nr.]]&lt;$I$2,$J$2,IF(Tabelle1[[#This Row],[Kunde Nr.]]&lt;$I$3,$J$3,IF(Tabelle1[[#This Row],[Kunde Nr.]]&lt;$I$4,$J$4,0)))</f>
        <v>Miloti</v>
      </c>
    </row>
    <row r="447" spans="1:7" x14ac:dyDescent="0.25">
      <c r="A447">
        <v>30104</v>
      </c>
      <c r="B447" t="s">
        <v>409</v>
      </c>
      <c r="C447" t="s">
        <v>33</v>
      </c>
      <c r="G447" t="str">
        <f>IF(Tabelle1[[#This Row],[Kunde Nr.]]&lt;$I$2,$J$2,IF(Tabelle1[[#This Row],[Kunde Nr.]]&lt;$I$3,$J$3,IF(Tabelle1[[#This Row],[Kunde Nr.]]&lt;$I$4,$J$4,0)))</f>
        <v>Miloti</v>
      </c>
    </row>
    <row r="448" spans="1:7" x14ac:dyDescent="0.25">
      <c r="A448">
        <v>30105</v>
      </c>
      <c r="B448" t="s">
        <v>410</v>
      </c>
      <c r="C448" t="s">
        <v>33</v>
      </c>
      <c r="G448" t="str">
        <f>IF(Tabelle1[[#This Row],[Kunde Nr.]]&lt;$I$2,$J$2,IF(Tabelle1[[#This Row],[Kunde Nr.]]&lt;$I$3,$J$3,IF(Tabelle1[[#This Row],[Kunde Nr.]]&lt;$I$4,$J$4,0)))</f>
        <v>Miloti</v>
      </c>
    </row>
    <row r="449" spans="1:7" x14ac:dyDescent="0.25">
      <c r="A449">
        <v>30106</v>
      </c>
      <c r="B449" t="s">
        <v>411</v>
      </c>
      <c r="C449" t="s">
        <v>33</v>
      </c>
      <c r="G449" t="str">
        <f>IF(Tabelle1[[#This Row],[Kunde Nr.]]&lt;$I$2,$J$2,IF(Tabelle1[[#This Row],[Kunde Nr.]]&lt;$I$3,$J$3,IF(Tabelle1[[#This Row],[Kunde Nr.]]&lt;$I$4,$J$4,0)))</f>
        <v>Miloti</v>
      </c>
    </row>
    <row r="450" spans="1:7" x14ac:dyDescent="0.25">
      <c r="A450">
        <v>30107</v>
      </c>
      <c r="B450" t="s">
        <v>412</v>
      </c>
      <c r="C450" t="s">
        <v>33</v>
      </c>
      <c r="G450" t="str">
        <f>IF(Tabelle1[[#This Row],[Kunde Nr.]]&lt;$I$2,$J$2,IF(Tabelle1[[#This Row],[Kunde Nr.]]&lt;$I$3,$J$3,IF(Tabelle1[[#This Row],[Kunde Nr.]]&lt;$I$4,$J$4,0)))</f>
        <v>Miloti</v>
      </c>
    </row>
    <row r="451" spans="1:7" x14ac:dyDescent="0.25">
      <c r="A451">
        <v>30108</v>
      </c>
      <c r="B451" t="s">
        <v>413</v>
      </c>
      <c r="C451" t="s">
        <v>32</v>
      </c>
      <c r="G451" t="str">
        <f>IF(Tabelle1[[#This Row],[Kunde Nr.]]&lt;$I$2,$J$2,IF(Tabelle1[[#This Row],[Kunde Nr.]]&lt;$I$3,$J$3,IF(Tabelle1[[#This Row],[Kunde Nr.]]&lt;$I$4,$J$4,0)))</f>
        <v>Miloti</v>
      </c>
    </row>
    <row r="452" spans="1:7" x14ac:dyDescent="0.25">
      <c r="A452">
        <v>30109</v>
      </c>
      <c r="B452" t="s">
        <v>414</v>
      </c>
      <c r="C452" t="s">
        <v>32</v>
      </c>
      <c r="G452" t="str">
        <f>IF(Tabelle1[[#This Row],[Kunde Nr.]]&lt;$I$2,$J$2,IF(Tabelle1[[#This Row],[Kunde Nr.]]&lt;$I$3,$J$3,IF(Tabelle1[[#This Row],[Kunde Nr.]]&lt;$I$4,$J$4,0)))</f>
        <v>Miloti</v>
      </c>
    </row>
    <row r="453" spans="1:7" x14ac:dyDescent="0.25">
      <c r="A453">
        <v>30110</v>
      </c>
      <c r="B453" t="s">
        <v>415</v>
      </c>
      <c r="C453" t="s">
        <v>32</v>
      </c>
      <c r="G453" t="str">
        <f>IF(Tabelle1[[#This Row],[Kunde Nr.]]&lt;$I$2,$J$2,IF(Tabelle1[[#This Row],[Kunde Nr.]]&lt;$I$3,$J$3,IF(Tabelle1[[#This Row],[Kunde Nr.]]&lt;$I$4,$J$4,0)))</f>
        <v>Miloti</v>
      </c>
    </row>
    <row r="454" spans="1:7" x14ac:dyDescent="0.25">
      <c r="A454">
        <v>30111</v>
      </c>
      <c r="B454" t="s">
        <v>629</v>
      </c>
      <c r="C454" t="s">
        <v>33</v>
      </c>
      <c r="G454" t="str">
        <f>IF(Tabelle1[[#This Row],[Kunde Nr.]]&lt;$I$2,$J$2,IF(Tabelle1[[#This Row],[Kunde Nr.]]&lt;$I$3,$J$3,IF(Tabelle1[[#This Row],[Kunde Nr.]]&lt;$I$4,$J$4,0)))</f>
        <v>Miloti</v>
      </c>
    </row>
    <row r="455" spans="1:7" x14ac:dyDescent="0.25">
      <c r="A455">
        <v>30112</v>
      </c>
      <c r="B455" t="s">
        <v>630</v>
      </c>
      <c r="C455" t="s">
        <v>33</v>
      </c>
      <c r="G455" t="str">
        <f>IF(Tabelle1[[#This Row],[Kunde Nr.]]&lt;$I$2,$J$2,IF(Tabelle1[[#This Row],[Kunde Nr.]]&lt;$I$3,$J$3,IF(Tabelle1[[#This Row],[Kunde Nr.]]&lt;$I$4,$J$4,0)))</f>
        <v>Miloti</v>
      </c>
    </row>
    <row r="456" spans="1:7" x14ac:dyDescent="0.25">
      <c r="A456">
        <v>30113</v>
      </c>
      <c r="B456" t="s">
        <v>631</v>
      </c>
      <c r="C456" t="s">
        <v>33</v>
      </c>
      <c r="G456" t="str">
        <f>IF(Tabelle1[[#This Row],[Kunde Nr.]]&lt;$I$2,$J$2,IF(Tabelle1[[#This Row],[Kunde Nr.]]&lt;$I$3,$J$3,IF(Tabelle1[[#This Row],[Kunde Nr.]]&lt;$I$4,$J$4,0)))</f>
        <v>Miloti</v>
      </c>
    </row>
    <row r="457" spans="1:7" x14ac:dyDescent="0.25">
      <c r="A457">
        <v>30114</v>
      </c>
      <c r="B457" t="s">
        <v>632</v>
      </c>
      <c r="C457" t="s">
        <v>33</v>
      </c>
      <c r="G457" t="str">
        <f>IF(Tabelle1[[#This Row],[Kunde Nr.]]&lt;$I$2,$J$2,IF(Tabelle1[[#This Row],[Kunde Nr.]]&lt;$I$3,$J$3,IF(Tabelle1[[#This Row],[Kunde Nr.]]&lt;$I$4,$J$4,0)))</f>
        <v>Miloti</v>
      </c>
    </row>
    <row r="458" spans="1:7" x14ac:dyDescent="0.25">
      <c r="A458">
        <v>30115</v>
      </c>
      <c r="B458" t="s">
        <v>715</v>
      </c>
      <c r="C458" t="s">
        <v>33</v>
      </c>
      <c r="F458" t="s">
        <v>716</v>
      </c>
      <c r="G458" s="47" t="str">
        <f>IF(Tabelle1[[#This Row],[Kunde Nr.]]&lt;$I$2,$J$2,IF(Tabelle1[[#This Row],[Kunde Nr.]]&lt;$I$3,$J$3,IF(Tabelle1[[#This Row],[Kunde Nr.]]&lt;$I$4,$J$4,0)))</f>
        <v>Miloti</v>
      </c>
    </row>
    <row r="459" spans="1:7" x14ac:dyDescent="0.25">
      <c r="A459">
        <v>30116</v>
      </c>
      <c r="B459" t="s">
        <v>550</v>
      </c>
      <c r="C459" t="s">
        <v>33</v>
      </c>
      <c r="G459" s="47" t="str">
        <f>IF(Tabelle1[[#This Row],[Kunde Nr.]]&lt;$I$2,$J$2,IF(Tabelle1[[#This Row],[Kunde Nr.]]&lt;$I$3,$J$3,IF(Tabelle1[[#This Row],[Kunde Nr.]]&lt;$I$4,$J$4,0)))</f>
        <v>Miloti</v>
      </c>
    </row>
    <row r="460" spans="1:7" x14ac:dyDescent="0.25">
      <c r="A460">
        <v>30117</v>
      </c>
      <c r="B460" t="s">
        <v>718</v>
      </c>
      <c r="C460" t="s">
        <v>33</v>
      </c>
      <c r="G460" s="47" t="str">
        <f>IF(Tabelle1[[#This Row],[Kunde Nr.]]&lt;$I$2,$J$2,IF(Tabelle1[[#This Row],[Kunde Nr.]]&lt;$I$3,$J$3,IF(Tabelle1[[#This Row],[Kunde Nr.]]&lt;$I$4,$J$4,0)))</f>
        <v>Miloti</v>
      </c>
    </row>
    <row r="461" spans="1:7" x14ac:dyDescent="0.25">
      <c r="A461">
        <v>30118</v>
      </c>
      <c r="B461" t="s">
        <v>719</v>
      </c>
      <c r="C461" t="s">
        <v>32</v>
      </c>
      <c r="G461" s="47" t="str">
        <f>IF(Tabelle1[[#This Row],[Kunde Nr.]]&lt;$I$2,$J$2,IF(Tabelle1[[#This Row],[Kunde Nr.]]&lt;$I$3,$J$3,IF(Tabelle1[[#This Row],[Kunde Nr.]]&lt;$I$4,$J$4,0)))</f>
        <v>Miloti</v>
      </c>
    </row>
    <row r="462" spans="1:7" x14ac:dyDescent="0.25">
      <c r="A462">
        <v>30119</v>
      </c>
      <c r="B462" t="s">
        <v>720</v>
      </c>
      <c r="C462" t="s">
        <v>32</v>
      </c>
      <c r="G462" s="47" t="str">
        <f>IF(Tabelle1[[#This Row],[Kunde Nr.]]&lt;$I$2,$J$2,IF(Tabelle1[[#This Row],[Kunde Nr.]]&lt;$I$3,$J$3,IF(Tabelle1[[#This Row],[Kunde Nr.]]&lt;$I$4,$J$4,0)))</f>
        <v>Miloti</v>
      </c>
    </row>
    <row r="463" spans="1:7" x14ac:dyDescent="0.25">
      <c r="A463">
        <v>30120</v>
      </c>
      <c r="B463" t="s">
        <v>727</v>
      </c>
      <c r="C463" t="s">
        <v>32</v>
      </c>
      <c r="G463" s="47" t="str">
        <f>IF(Tabelle1[[#This Row],[Kunde Nr.]]&lt;$I$2,$J$2,IF(Tabelle1[[#This Row],[Kunde Nr.]]&lt;$I$3,$J$3,IF(Tabelle1[[#This Row],[Kunde Nr.]]&lt;$I$4,$J$4,0)))</f>
        <v>Miloti</v>
      </c>
    </row>
    <row r="464" spans="1:7" x14ac:dyDescent="0.25">
      <c r="A464">
        <v>30121</v>
      </c>
      <c r="B464" t="s">
        <v>742</v>
      </c>
      <c r="C464" t="s">
        <v>33</v>
      </c>
      <c r="G464" s="47" t="str">
        <f>IF(Tabelle1[[#This Row],[Kunde Nr.]]&lt;$I$2,$J$2,IF(Tabelle1[[#This Row],[Kunde Nr.]]&lt;$I$3,$J$3,IF(Tabelle1[[#This Row],[Kunde Nr.]]&lt;$I$4,$J$4,0)))</f>
        <v>Miloti</v>
      </c>
    </row>
    <row r="465" spans="1:7" x14ac:dyDescent="0.25">
      <c r="A465">
        <v>30122</v>
      </c>
      <c r="B465" t="s">
        <v>741</v>
      </c>
      <c r="C465" t="s">
        <v>33</v>
      </c>
      <c r="G465" s="47" t="str">
        <f>IF(Tabelle1[[#This Row],[Kunde Nr.]]&lt;$I$2,$J$2,IF(Tabelle1[[#This Row],[Kunde Nr.]]&lt;$I$3,$J$3,IF(Tabelle1[[#This Row],[Kunde Nr.]]&lt;$I$4,$J$4,0)))</f>
        <v>Miloti</v>
      </c>
    </row>
    <row r="466" spans="1:7" x14ac:dyDescent="0.25">
      <c r="A466">
        <v>30123</v>
      </c>
      <c r="B466" t="s">
        <v>740</v>
      </c>
      <c r="C466" t="s">
        <v>33</v>
      </c>
      <c r="G466" s="47" t="str">
        <f>IF(Tabelle1[[#This Row],[Kunde Nr.]]&lt;$I$2,$J$2,IF(Tabelle1[[#This Row],[Kunde Nr.]]&lt;$I$3,$J$3,IF(Tabelle1[[#This Row],[Kunde Nr.]]&lt;$I$4,$J$4,0)))</f>
        <v>Miloti</v>
      </c>
    </row>
    <row r="467" spans="1:7" x14ac:dyDescent="0.25">
      <c r="A467">
        <v>30124</v>
      </c>
      <c r="B467" t="s">
        <v>756</v>
      </c>
      <c r="C467" t="s">
        <v>33</v>
      </c>
      <c r="G467" s="47" t="str">
        <f>IF(Tabelle1[[#This Row],[Kunde Nr.]]&lt;$I$2,$J$2,IF(Tabelle1[[#This Row],[Kunde Nr.]]&lt;$I$3,$J$3,IF(Tabelle1[[#This Row],[Kunde Nr.]]&lt;$I$4,$J$4,0)))</f>
        <v>Miloti</v>
      </c>
    </row>
    <row r="468" spans="1:7" x14ac:dyDescent="0.25">
      <c r="A468">
        <v>30125</v>
      </c>
      <c r="B468" t="s">
        <v>755</v>
      </c>
      <c r="C468" t="s">
        <v>33</v>
      </c>
      <c r="G468" s="47" t="str">
        <f>IF(Tabelle1[[#This Row],[Kunde Nr.]]&lt;$I$2,$J$2,IF(Tabelle1[[#This Row],[Kunde Nr.]]&lt;$I$3,$J$3,IF(Tabelle1[[#This Row],[Kunde Nr.]]&lt;$I$4,$J$4,0)))</f>
        <v>Miloti</v>
      </c>
    </row>
    <row r="469" spans="1:7" x14ac:dyDescent="0.25">
      <c r="A469">
        <v>30126</v>
      </c>
      <c r="B469" t="s">
        <v>754</v>
      </c>
      <c r="C469" t="s">
        <v>33</v>
      </c>
      <c r="G469" s="47" t="str">
        <f>IF(Tabelle1[[#This Row],[Kunde Nr.]]&lt;$I$2,$J$2,IF(Tabelle1[[#This Row],[Kunde Nr.]]&lt;$I$3,$J$3,IF(Tabelle1[[#This Row],[Kunde Nr.]]&lt;$I$4,$J$4,0)))</f>
        <v>Miloti</v>
      </c>
    </row>
    <row r="470" spans="1:7" x14ac:dyDescent="0.25">
      <c r="A470">
        <v>30127</v>
      </c>
      <c r="B470" t="s">
        <v>766</v>
      </c>
      <c r="C470" t="s">
        <v>32</v>
      </c>
      <c r="G470" s="47" t="str">
        <f>IF(Tabelle1[[#This Row],[Kunde Nr.]]&lt;$I$2,$J$2,IF(Tabelle1[[#This Row],[Kunde Nr.]]&lt;$I$3,$J$3,IF(Tabelle1[[#This Row],[Kunde Nr.]]&lt;$I$4,$J$4,0)))</f>
        <v>Miloti</v>
      </c>
    </row>
    <row r="471" spans="1:7" x14ac:dyDescent="0.25">
      <c r="A471">
        <v>30128</v>
      </c>
      <c r="B471" t="s">
        <v>797</v>
      </c>
      <c r="C471" t="s">
        <v>33</v>
      </c>
      <c r="G471" s="47" t="str">
        <f>IF(Tabelle1[[#This Row],[Kunde Nr.]]&lt;$I$2,$J$2,IF(Tabelle1[[#This Row],[Kunde Nr.]]&lt;$I$3,$J$3,IF(Tabelle1[[#This Row],[Kunde Nr.]]&lt;$I$4,$J$4,0)))</f>
        <v>Miloti</v>
      </c>
    </row>
    <row r="472" spans="1:7" x14ac:dyDescent="0.25">
      <c r="A472">
        <v>30129</v>
      </c>
      <c r="B472" t="s">
        <v>796</v>
      </c>
      <c r="C472" t="s">
        <v>32</v>
      </c>
      <c r="G472" s="47" t="str">
        <f>IF(Tabelle1[[#This Row],[Kunde Nr.]]&lt;$I$2,$J$2,IF(Tabelle1[[#This Row],[Kunde Nr.]]&lt;$I$3,$J$3,IF(Tabelle1[[#This Row],[Kunde Nr.]]&lt;$I$4,$J$4,0)))</f>
        <v>Miloti</v>
      </c>
    </row>
    <row r="473" spans="1:7" x14ac:dyDescent="0.25">
      <c r="A473">
        <v>30130</v>
      </c>
      <c r="B473" t="s">
        <v>793</v>
      </c>
      <c r="C473" t="s">
        <v>33</v>
      </c>
      <c r="G473" s="47" t="str">
        <f>IF(Tabelle1[[#This Row],[Kunde Nr.]]&lt;$I$2,$J$2,IF(Tabelle1[[#This Row],[Kunde Nr.]]&lt;$I$3,$J$3,IF(Tabelle1[[#This Row],[Kunde Nr.]]&lt;$I$4,$J$4,0)))</f>
        <v>Miloti</v>
      </c>
    </row>
    <row r="474" spans="1:7" x14ac:dyDescent="0.25">
      <c r="A474">
        <v>30131</v>
      </c>
      <c r="B474" t="s">
        <v>795</v>
      </c>
      <c r="C474" t="s">
        <v>33</v>
      </c>
      <c r="G474" s="47" t="str">
        <f>IF(Tabelle1[[#This Row],[Kunde Nr.]]&lt;$I$2,$J$2,IF(Tabelle1[[#This Row],[Kunde Nr.]]&lt;$I$3,$J$3,IF(Tabelle1[[#This Row],[Kunde Nr.]]&lt;$I$4,$J$4,0)))</f>
        <v>Miloti</v>
      </c>
    </row>
    <row r="475" spans="1:7" x14ac:dyDescent="0.25">
      <c r="A475">
        <v>30132</v>
      </c>
      <c r="B475" t="s">
        <v>794</v>
      </c>
      <c r="C475" t="s">
        <v>32</v>
      </c>
      <c r="G475" s="47" t="str">
        <f>IF(Tabelle1[[#This Row],[Kunde Nr.]]&lt;$I$2,$J$2,IF(Tabelle1[[#This Row],[Kunde Nr.]]&lt;$I$3,$J$3,IF(Tabelle1[[#This Row],[Kunde Nr.]]&lt;$I$4,$J$4,0)))</f>
        <v>Miloti</v>
      </c>
    </row>
    <row r="476" spans="1:7" x14ac:dyDescent="0.25">
      <c r="A476">
        <v>30133</v>
      </c>
      <c r="B476" t="s">
        <v>825</v>
      </c>
      <c r="C476" t="s">
        <v>33</v>
      </c>
      <c r="G476" s="47" t="str">
        <f>IF(Tabelle1[[#This Row],[Kunde Nr.]]&lt;$I$2,$J$2,IF(Tabelle1[[#This Row],[Kunde Nr.]]&lt;$I$3,$J$3,IF(Tabelle1[[#This Row],[Kunde Nr.]]&lt;$I$4,$J$4,0)))</f>
        <v>Miloti</v>
      </c>
    </row>
    <row r="477" spans="1:7" x14ac:dyDescent="0.25">
      <c r="A477">
        <v>30134</v>
      </c>
      <c r="B477" t="s">
        <v>824</v>
      </c>
      <c r="C477" t="s">
        <v>33</v>
      </c>
      <c r="G477" s="47" t="str">
        <f>IF(Tabelle1[[#This Row],[Kunde Nr.]]&lt;$I$2,$J$2,IF(Tabelle1[[#This Row],[Kunde Nr.]]&lt;$I$3,$J$3,IF(Tabelle1[[#This Row],[Kunde Nr.]]&lt;$I$4,$J$4,0)))</f>
        <v>Miloti</v>
      </c>
    </row>
    <row r="478" spans="1:7" x14ac:dyDescent="0.25">
      <c r="A478">
        <v>30135</v>
      </c>
      <c r="B478" t="s">
        <v>838</v>
      </c>
      <c r="C478" t="s">
        <v>839</v>
      </c>
      <c r="G478" s="47" t="str">
        <f>IF(Tabelle1[[#This Row],[Kunde Nr.]]&lt;$I$2,$J$2,IF(Tabelle1[[#This Row],[Kunde Nr.]]&lt;$I$3,$J$3,IF(Tabelle1[[#This Row],[Kunde Nr.]]&lt;$I$4,$J$4,0)))</f>
        <v>Miloti</v>
      </c>
    </row>
    <row r="479" spans="1:7" x14ac:dyDescent="0.25">
      <c r="A479">
        <v>30136</v>
      </c>
      <c r="B479" t="s">
        <v>850</v>
      </c>
      <c r="C479" t="s">
        <v>32</v>
      </c>
      <c r="G479" s="47" t="str">
        <f>IF(Tabelle1[[#This Row],[Kunde Nr.]]&lt;$I$2,$J$2,IF(Tabelle1[[#This Row],[Kunde Nr.]]&lt;$I$3,$J$3,IF(Tabelle1[[#This Row],[Kunde Nr.]]&lt;$I$4,$J$4,0)))</f>
        <v>Miloti</v>
      </c>
    </row>
    <row r="480" spans="1:7" x14ac:dyDescent="0.25">
      <c r="A480">
        <v>30137</v>
      </c>
      <c r="B480" t="s">
        <v>851</v>
      </c>
      <c r="C480" t="s">
        <v>33</v>
      </c>
      <c r="G480" s="47" t="str">
        <f>IF(Tabelle1[[#This Row],[Kunde Nr.]]&lt;$I$2,$J$2,IF(Tabelle1[[#This Row],[Kunde Nr.]]&lt;$I$3,$J$3,IF(Tabelle1[[#This Row],[Kunde Nr.]]&lt;$I$4,$J$4,0)))</f>
        <v>Miloti</v>
      </c>
    </row>
    <row r="481" spans="1:7" x14ac:dyDescent="0.25">
      <c r="A481">
        <v>30138</v>
      </c>
      <c r="B481" t="s">
        <v>862</v>
      </c>
      <c r="C481" t="s">
        <v>33</v>
      </c>
      <c r="G481" s="47" t="str">
        <f>IF(Tabelle1[[#This Row],[Kunde Nr.]]&lt;$I$2,$J$2,IF(Tabelle1[[#This Row],[Kunde Nr.]]&lt;$I$3,$J$3,IF(Tabelle1[[#This Row],[Kunde Nr.]]&lt;$I$4,$J$4,0)))</f>
        <v>Miloti</v>
      </c>
    </row>
    <row r="482" spans="1:7" x14ac:dyDescent="0.25">
      <c r="A482">
        <v>30139</v>
      </c>
      <c r="B482" t="s">
        <v>860</v>
      </c>
      <c r="C482" t="s">
        <v>33</v>
      </c>
      <c r="G482" s="47" t="str">
        <f>IF(Tabelle1[[#This Row],[Kunde Nr.]]&lt;$I$2,$J$2,IF(Tabelle1[[#This Row],[Kunde Nr.]]&lt;$I$3,$J$3,IF(Tabelle1[[#This Row],[Kunde Nr.]]&lt;$I$4,$J$4,0)))</f>
        <v>Miloti</v>
      </c>
    </row>
    <row r="483" spans="1:7" x14ac:dyDescent="0.25">
      <c r="A483">
        <v>30140</v>
      </c>
      <c r="B483" t="s">
        <v>882</v>
      </c>
      <c r="C483" t="s">
        <v>32</v>
      </c>
      <c r="G483" s="47" t="str">
        <f>IF(Tabelle1[[#This Row],[Kunde Nr.]]&lt;$I$2,$J$2,IF(Tabelle1[[#This Row],[Kunde Nr.]]&lt;$I$3,$J$3,IF(Tabelle1[[#This Row],[Kunde Nr.]]&lt;$I$4,$J$4,0)))</f>
        <v>Miloti</v>
      </c>
    </row>
    <row r="484" spans="1:7" x14ac:dyDescent="0.25">
      <c r="A484">
        <v>30141</v>
      </c>
      <c r="B484" t="s">
        <v>886</v>
      </c>
      <c r="C484" t="s">
        <v>33</v>
      </c>
      <c r="G484" s="47" t="str">
        <f>IF(Tabelle1[[#This Row],[Kunde Nr.]]&lt;$I$2,$J$2,IF(Tabelle1[[#This Row],[Kunde Nr.]]&lt;$I$3,$J$3,IF(Tabelle1[[#This Row],[Kunde Nr.]]&lt;$I$4,$J$4,0)))</f>
        <v>Miloti</v>
      </c>
    </row>
    <row r="485" spans="1:7" x14ac:dyDescent="0.25">
      <c r="A485">
        <v>30142</v>
      </c>
      <c r="B485" t="s">
        <v>885</v>
      </c>
      <c r="C485" t="s">
        <v>33</v>
      </c>
      <c r="G485" s="47" t="str">
        <f>IF(Tabelle1[[#This Row],[Kunde Nr.]]&lt;$I$2,$J$2,IF(Tabelle1[[#This Row],[Kunde Nr.]]&lt;$I$3,$J$3,IF(Tabelle1[[#This Row],[Kunde Nr.]]&lt;$I$4,$J$4,0)))</f>
        <v>Miloti</v>
      </c>
    </row>
    <row r="486" spans="1:7" x14ac:dyDescent="0.25">
      <c r="A486">
        <v>30143</v>
      </c>
      <c r="B486" t="s">
        <v>884</v>
      </c>
      <c r="C486" t="s">
        <v>33</v>
      </c>
      <c r="G486" s="47" t="str">
        <f>IF(Tabelle1[[#This Row],[Kunde Nr.]]&lt;$I$2,$J$2,IF(Tabelle1[[#This Row],[Kunde Nr.]]&lt;$I$3,$J$3,IF(Tabelle1[[#This Row],[Kunde Nr.]]&lt;$I$4,$J$4,0)))</f>
        <v>Miloti</v>
      </c>
    </row>
    <row r="487" spans="1:7" x14ac:dyDescent="0.25">
      <c r="A487">
        <v>30144</v>
      </c>
      <c r="B487" t="s">
        <v>883</v>
      </c>
      <c r="C487" t="s">
        <v>32</v>
      </c>
      <c r="G487" s="47" t="str">
        <f>IF(Tabelle1[[#This Row],[Kunde Nr.]]&lt;$I$2,$J$2,IF(Tabelle1[[#This Row],[Kunde Nr.]]&lt;$I$3,$J$3,IF(Tabelle1[[#This Row],[Kunde Nr.]]&lt;$I$4,$J$4,0)))</f>
        <v>Miloti</v>
      </c>
    </row>
    <row r="488" spans="1:7" x14ac:dyDescent="0.25">
      <c r="A488">
        <v>30145</v>
      </c>
      <c r="B488" t="s">
        <v>888</v>
      </c>
      <c r="C488" t="s">
        <v>839</v>
      </c>
      <c r="G488" s="47" t="str">
        <f>IF(Tabelle1[[#This Row],[Kunde Nr.]]&lt;$I$2,$J$2,IF(Tabelle1[[#This Row],[Kunde Nr.]]&lt;$I$3,$J$3,IF(Tabelle1[[#This Row],[Kunde Nr.]]&lt;$I$4,$J$4,0)))</f>
        <v>Miloti</v>
      </c>
    </row>
    <row r="489" spans="1:7" x14ac:dyDescent="0.25">
      <c r="A489">
        <v>30146</v>
      </c>
      <c r="B489" t="s">
        <v>890</v>
      </c>
      <c r="C489" t="s">
        <v>32</v>
      </c>
      <c r="G489" s="47" t="str">
        <f>IF(Tabelle1[[#This Row],[Kunde Nr.]]&lt;$I$2,$J$2,IF(Tabelle1[[#This Row],[Kunde Nr.]]&lt;$I$3,$J$3,IF(Tabelle1[[#This Row],[Kunde Nr.]]&lt;$I$4,$J$4,0)))</f>
        <v>Miloti</v>
      </c>
    </row>
    <row r="490" spans="1:7" x14ac:dyDescent="0.25">
      <c r="A490">
        <v>30147</v>
      </c>
      <c r="B490" t="s">
        <v>899</v>
      </c>
      <c r="C490" t="s">
        <v>32</v>
      </c>
      <c r="G490" s="47" t="str">
        <f>IF(Tabelle1[[#This Row],[Kunde Nr.]]&lt;$I$2,$J$2,IF(Tabelle1[[#This Row],[Kunde Nr.]]&lt;$I$3,$J$3,IF(Tabelle1[[#This Row],[Kunde Nr.]]&lt;$I$4,$J$4,0)))</f>
        <v>Miloti</v>
      </c>
    </row>
    <row r="491" spans="1:7" x14ac:dyDescent="0.25">
      <c r="A491">
        <v>30148</v>
      </c>
      <c r="B491" t="s">
        <v>902</v>
      </c>
      <c r="C491" t="s">
        <v>33</v>
      </c>
      <c r="G491" s="47" t="str">
        <f>IF(Tabelle1[[#This Row],[Kunde Nr.]]&lt;$I$2,$J$2,IF(Tabelle1[[#This Row],[Kunde Nr.]]&lt;$I$3,$J$3,IF(Tabelle1[[#This Row],[Kunde Nr.]]&lt;$I$4,$J$4,0)))</f>
        <v>Miloti</v>
      </c>
    </row>
    <row r="492" spans="1:7" x14ac:dyDescent="0.25">
      <c r="A492">
        <v>30149</v>
      </c>
      <c r="B492" t="s">
        <v>969</v>
      </c>
      <c r="C492" t="s">
        <v>33</v>
      </c>
      <c r="G492" s="47" t="str">
        <f>IF(Tabelle1[[#This Row],[Kunde Nr.]]&lt;$I$2,$J$2,IF(Tabelle1[[#This Row],[Kunde Nr.]]&lt;$I$3,$J$3,IF(Tabelle1[[#This Row],[Kunde Nr.]]&lt;$I$4,$J$4,0)))</f>
        <v>Miloti</v>
      </c>
    </row>
    <row r="493" spans="1:7" x14ac:dyDescent="0.25">
      <c r="A493">
        <v>30150</v>
      </c>
      <c r="B493" t="s">
        <v>980</v>
      </c>
      <c r="C493" t="s">
        <v>32</v>
      </c>
      <c r="G493" s="47" t="str">
        <f>IF(Tabelle1[[#This Row],[Kunde Nr.]]&lt;$I$2,$J$2,IF(Tabelle1[[#This Row],[Kunde Nr.]]&lt;$I$3,$J$3,IF(Tabelle1[[#This Row],[Kunde Nr.]]&lt;$I$4,$J$4,0)))</f>
        <v>Miloti</v>
      </c>
    </row>
    <row r="494" spans="1:7" x14ac:dyDescent="0.25">
      <c r="A494">
        <v>30151</v>
      </c>
      <c r="B494" t="s">
        <v>981</v>
      </c>
      <c r="C494" t="s">
        <v>32</v>
      </c>
      <c r="G494" s="47" t="str">
        <f>IF(Tabelle1[[#This Row],[Kunde Nr.]]&lt;$I$2,$J$2,IF(Tabelle1[[#This Row],[Kunde Nr.]]&lt;$I$3,$J$3,IF(Tabelle1[[#This Row],[Kunde Nr.]]&lt;$I$4,$J$4,0)))</f>
        <v>Miloti</v>
      </c>
    </row>
    <row r="495" spans="1:7" x14ac:dyDescent="0.25">
      <c r="A495">
        <v>30152</v>
      </c>
      <c r="B495" t="s">
        <v>995</v>
      </c>
      <c r="C495" t="s">
        <v>33</v>
      </c>
      <c r="G495" s="47" t="str">
        <f>IF(Tabelle1[[#This Row],[Kunde Nr.]]&lt;$I$2,$J$2,IF(Tabelle1[[#This Row],[Kunde Nr.]]&lt;$I$3,$J$3,IF(Tabelle1[[#This Row],[Kunde Nr.]]&lt;$I$4,$J$4,0)))</f>
        <v>Miloti</v>
      </c>
    </row>
    <row r="496" spans="1:7" x14ac:dyDescent="0.25">
      <c r="A496">
        <v>30153</v>
      </c>
      <c r="B496" t="s">
        <v>996</v>
      </c>
      <c r="C496" t="s">
        <v>33</v>
      </c>
      <c r="G496" s="47" t="str">
        <f>IF(Tabelle1[[#This Row],[Kunde Nr.]]&lt;$I$2,$J$2,IF(Tabelle1[[#This Row],[Kunde Nr.]]&lt;$I$3,$J$3,IF(Tabelle1[[#This Row],[Kunde Nr.]]&lt;$I$4,$J$4,0)))</f>
        <v>Miloti</v>
      </c>
    </row>
    <row r="497" spans="1:7" x14ac:dyDescent="0.25">
      <c r="A497">
        <v>30154</v>
      </c>
      <c r="B497" t="s">
        <v>997</v>
      </c>
      <c r="C497" t="s">
        <v>33</v>
      </c>
      <c r="G497" s="47" t="str">
        <f>IF(Tabelle1[[#This Row],[Kunde Nr.]]&lt;$I$2,$J$2,IF(Tabelle1[[#This Row],[Kunde Nr.]]&lt;$I$3,$J$3,IF(Tabelle1[[#This Row],[Kunde Nr.]]&lt;$I$4,$J$4,0)))</f>
        <v>Miloti</v>
      </c>
    </row>
    <row r="498" spans="1:7" x14ac:dyDescent="0.25">
      <c r="A498">
        <v>30155</v>
      </c>
      <c r="B498" t="s">
        <v>1005</v>
      </c>
      <c r="C498" t="s">
        <v>33</v>
      </c>
      <c r="G498" s="47" t="str">
        <f>IF(Tabelle1[[#This Row],[Kunde Nr.]]&lt;$I$2,$J$2,IF(Tabelle1[[#This Row],[Kunde Nr.]]&lt;$I$3,$J$3,IF(Tabelle1[[#This Row],[Kunde Nr.]]&lt;$I$4,$J$4,0)))</f>
        <v>Miloti</v>
      </c>
    </row>
    <row r="499" spans="1:7" x14ac:dyDescent="0.25">
      <c r="A499">
        <v>30156</v>
      </c>
      <c r="B499" t="s">
        <v>1019</v>
      </c>
      <c r="C499" t="s">
        <v>33</v>
      </c>
      <c r="G499" s="47" t="str">
        <f>IF(Tabelle1[[#This Row],[Kunde Nr.]]&lt;$I$2,$J$2,IF(Tabelle1[[#This Row],[Kunde Nr.]]&lt;$I$3,$J$3,IF(Tabelle1[[#This Row],[Kunde Nr.]]&lt;$I$4,$J$4,0)))</f>
        <v>Miloti</v>
      </c>
    </row>
    <row r="500" spans="1:7" x14ac:dyDescent="0.25">
      <c r="A500" s="7">
        <v>30157</v>
      </c>
      <c r="B500" t="s">
        <v>1020</v>
      </c>
      <c r="C500" t="s">
        <v>33</v>
      </c>
      <c r="G500" s="47" t="str">
        <f>IF(Tabelle1[[#This Row],[Kunde Nr.]]&lt;$I$2,$J$2,IF(Tabelle1[[#This Row],[Kunde Nr.]]&lt;$I$3,$J$3,IF(Tabelle1[[#This Row],[Kunde Nr.]]&lt;$I$4,$J$4,0)))</f>
        <v>Miloti</v>
      </c>
    </row>
    <row r="501" spans="1:7" x14ac:dyDescent="0.25">
      <c r="A501" s="7">
        <v>30158</v>
      </c>
      <c r="B501" t="s">
        <v>1086</v>
      </c>
      <c r="C501" t="s">
        <v>1087</v>
      </c>
      <c r="G501" s="47" t="str">
        <f>IF(Tabelle1[[#This Row],[Kunde Nr.]]&lt;$I$2,$J$2,IF(Tabelle1[[#This Row],[Kunde Nr.]]&lt;$I$3,$J$3,IF(Tabelle1[[#This Row],[Kunde Nr.]]&lt;$I$4,$J$4,0)))</f>
        <v>Miloti</v>
      </c>
    </row>
    <row r="502" spans="1:7" x14ac:dyDescent="0.25">
      <c r="A502" s="7">
        <v>30159</v>
      </c>
      <c r="B502" t="s">
        <v>1089</v>
      </c>
      <c r="C502" t="s">
        <v>33</v>
      </c>
      <c r="G502" s="47" t="str">
        <f>IF(Tabelle1[[#This Row],[Kunde Nr.]]&lt;$I$2,$J$2,IF(Tabelle1[[#This Row],[Kunde Nr.]]&lt;$I$3,$J$3,IF(Tabelle1[[#This Row],[Kunde Nr.]]&lt;$I$4,$J$4,0)))</f>
        <v>Miloti</v>
      </c>
    </row>
    <row r="503" spans="1:7" x14ac:dyDescent="0.25">
      <c r="A503">
        <v>30160</v>
      </c>
      <c r="B503" t="s">
        <v>1110</v>
      </c>
      <c r="C503" t="s">
        <v>33</v>
      </c>
      <c r="G503" s="47" t="str">
        <f>IF(Tabelle1[[#This Row],[Kunde Nr.]]&lt;$I$2,$J$2,IF(Tabelle1[[#This Row],[Kunde Nr.]]&lt;$I$3,$J$3,IF(Tabelle1[[#This Row],[Kunde Nr.]]&lt;$I$4,$J$4,0)))</f>
        <v>Miloti</v>
      </c>
    </row>
    <row r="504" spans="1:7" x14ac:dyDescent="0.25">
      <c r="A504">
        <v>30201</v>
      </c>
      <c r="B504" t="s">
        <v>393</v>
      </c>
      <c r="C504" t="s">
        <v>392</v>
      </c>
      <c r="G504" t="str">
        <f>IF(Tabelle1[[#This Row],[Kunde Nr.]]&lt;$I$2,$J$2,IF(Tabelle1[[#This Row],[Kunde Nr.]]&lt;$I$3,$J$3,IF(Tabelle1[[#This Row],[Kunde Nr.]]&lt;$I$4,$J$4,0)))</f>
        <v>Miloti</v>
      </c>
    </row>
    <row r="505" spans="1:7" x14ac:dyDescent="0.25">
      <c r="A505">
        <v>30202</v>
      </c>
      <c r="B505" t="s">
        <v>394</v>
      </c>
      <c r="C505" t="s">
        <v>392</v>
      </c>
      <c r="G505" t="str">
        <f>IF(Tabelle1[[#This Row],[Kunde Nr.]]&lt;$I$2,$J$2,IF(Tabelle1[[#This Row],[Kunde Nr.]]&lt;$I$3,$J$3,IF(Tabelle1[[#This Row],[Kunde Nr.]]&lt;$I$4,$J$4,0)))</f>
        <v>Miloti</v>
      </c>
    </row>
    <row r="506" spans="1:7" x14ac:dyDescent="0.25">
      <c r="A506">
        <v>30203</v>
      </c>
      <c r="B506" t="s">
        <v>395</v>
      </c>
      <c r="C506" t="s">
        <v>392</v>
      </c>
      <c r="G506" t="str">
        <f>IF(Tabelle1[[#This Row],[Kunde Nr.]]&lt;$I$2,$J$2,IF(Tabelle1[[#This Row],[Kunde Nr.]]&lt;$I$3,$J$3,IF(Tabelle1[[#This Row],[Kunde Nr.]]&lt;$I$4,$J$4,0)))</f>
        <v>Miloti</v>
      </c>
    </row>
    <row r="507" spans="1:7" x14ac:dyDescent="0.25">
      <c r="A507">
        <v>30204</v>
      </c>
      <c r="B507" t="s">
        <v>396</v>
      </c>
      <c r="C507" t="s">
        <v>392</v>
      </c>
      <c r="G507" t="str">
        <f>IF(Tabelle1[[#This Row],[Kunde Nr.]]&lt;$I$2,$J$2,IF(Tabelle1[[#This Row],[Kunde Nr.]]&lt;$I$3,$J$3,IF(Tabelle1[[#This Row],[Kunde Nr.]]&lt;$I$4,$J$4,0)))</f>
        <v>Miloti</v>
      </c>
    </row>
    <row r="508" spans="1:7" x14ac:dyDescent="0.25">
      <c r="A508">
        <v>30205</v>
      </c>
      <c r="B508" t="s">
        <v>397</v>
      </c>
      <c r="C508" t="s">
        <v>392</v>
      </c>
      <c r="G508" t="str">
        <f>IF(Tabelle1[[#This Row],[Kunde Nr.]]&lt;$I$2,$J$2,IF(Tabelle1[[#This Row],[Kunde Nr.]]&lt;$I$3,$J$3,IF(Tabelle1[[#This Row],[Kunde Nr.]]&lt;$I$4,$J$4,0)))</f>
        <v>Miloti</v>
      </c>
    </row>
    <row r="509" spans="1:7" x14ac:dyDescent="0.25">
      <c r="A509">
        <v>30206</v>
      </c>
      <c r="B509" t="s">
        <v>891</v>
      </c>
      <c r="C509" t="s">
        <v>392</v>
      </c>
      <c r="G509" t="str">
        <f>IF(Tabelle1[[#This Row],[Kunde Nr.]]&lt;$I$2,$J$2,IF(Tabelle1[[#This Row],[Kunde Nr.]]&lt;$I$3,$J$3,IF(Tabelle1[[#This Row],[Kunde Nr.]]&lt;$I$4,$J$4,0)))</f>
        <v>Miloti</v>
      </c>
    </row>
    <row r="510" spans="1:7" x14ac:dyDescent="0.25">
      <c r="A510">
        <v>30207</v>
      </c>
      <c r="B510" t="s">
        <v>398</v>
      </c>
      <c r="C510" t="s">
        <v>399</v>
      </c>
      <c r="G510" t="str">
        <f>IF(Tabelle1[[#This Row],[Kunde Nr.]]&lt;$I$2,$J$2,IF(Tabelle1[[#This Row],[Kunde Nr.]]&lt;$I$3,$J$3,IF(Tabelle1[[#This Row],[Kunde Nr.]]&lt;$I$4,$J$4,0)))</f>
        <v>Miloti</v>
      </c>
    </row>
    <row r="511" spans="1:7" x14ac:dyDescent="0.25">
      <c r="A511">
        <v>30208</v>
      </c>
      <c r="B511" t="s">
        <v>400</v>
      </c>
      <c r="C511" t="s">
        <v>399</v>
      </c>
      <c r="F511" t="s">
        <v>404</v>
      </c>
      <c r="G511" t="str">
        <f>IF(Tabelle1[[#This Row],[Kunde Nr.]]&lt;$I$2,$J$2,IF(Tabelle1[[#This Row],[Kunde Nr.]]&lt;$I$3,$J$3,IF(Tabelle1[[#This Row],[Kunde Nr.]]&lt;$I$4,$J$4,0)))</f>
        <v>Miloti</v>
      </c>
    </row>
    <row r="512" spans="1:7" x14ac:dyDescent="0.25">
      <c r="A512">
        <v>30209</v>
      </c>
      <c r="B512" t="s">
        <v>401</v>
      </c>
      <c r="C512" t="s">
        <v>402</v>
      </c>
      <c r="G512" t="str">
        <f>IF(Tabelle1[[#This Row],[Kunde Nr.]]&lt;$I$2,$J$2,IF(Tabelle1[[#This Row],[Kunde Nr.]]&lt;$I$3,$J$3,IF(Tabelle1[[#This Row],[Kunde Nr.]]&lt;$I$4,$J$4,0)))</f>
        <v>Miloti</v>
      </c>
    </row>
    <row r="513" spans="1:9" x14ac:dyDescent="0.25">
      <c r="A513">
        <v>30210</v>
      </c>
      <c r="B513" t="s">
        <v>405</v>
      </c>
      <c r="C513" t="s">
        <v>402</v>
      </c>
      <c r="F513" t="s">
        <v>403</v>
      </c>
      <c r="G513" t="str">
        <f>IF(Tabelle1[[#This Row],[Kunde Nr.]]&lt;$I$2,$J$2,IF(Tabelle1[[#This Row],[Kunde Nr.]]&lt;$I$3,$J$3,IF(Tabelle1[[#This Row],[Kunde Nr.]]&lt;$I$4,$J$4,0)))</f>
        <v>Miloti</v>
      </c>
    </row>
    <row r="514" spans="1:9" x14ac:dyDescent="0.25">
      <c r="A514">
        <v>30211</v>
      </c>
      <c r="B514" t="s">
        <v>633</v>
      </c>
      <c r="C514" t="s">
        <v>392</v>
      </c>
      <c r="G514" t="str">
        <f>IF(Tabelle1[[#This Row],[Kunde Nr.]]&lt;$I$2,$J$2,IF(Tabelle1[[#This Row],[Kunde Nr.]]&lt;$I$3,$J$3,IF(Tabelle1[[#This Row],[Kunde Nr.]]&lt;$I$4,$J$4,0)))</f>
        <v>Miloti</v>
      </c>
    </row>
    <row r="515" spans="1:9" x14ac:dyDescent="0.25">
      <c r="A515">
        <v>30212</v>
      </c>
      <c r="B515" t="s">
        <v>634</v>
      </c>
      <c r="C515" t="s">
        <v>392</v>
      </c>
      <c r="G515" t="str">
        <f>IF(Tabelle1[[#This Row],[Kunde Nr.]]&lt;$I$2,$J$2,IF(Tabelle1[[#This Row],[Kunde Nr.]]&lt;$I$3,$J$3,IF(Tabelle1[[#This Row],[Kunde Nr.]]&lt;$I$4,$J$4,0)))</f>
        <v>Miloti</v>
      </c>
      <c r="I515">
        <v>2.5</v>
      </c>
    </row>
    <row r="516" spans="1:9" x14ac:dyDescent="0.25">
      <c r="A516">
        <v>30213</v>
      </c>
      <c r="B516" t="s">
        <v>635</v>
      </c>
      <c r="C516" t="s">
        <v>392</v>
      </c>
      <c r="D516" s="37">
        <v>810109175</v>
      </c>
      <c r="E516" s="1" t="s">
        <v>636</v>
      </c>
      <c r="G516" t="str">
        <f>IF(Tabelle1[[#This Row],[Kunde Nr.]]&lt;$I$2,$J$2,IF(Tabelle1[[#This Row],[Kunde Nr.]]&lt;$I$3,$J$3,IF(Tabelle1[[#This Row],[Kunde Nr.]]&lt;$I$4,$J$4,0)))</f>
        <v>Miloti</v>
      </c>
    </row>
    <row r="517" spans="1:9" x14ac:dyDescent="0.25">
      <c r="A517">
        <v>30214</v>
      </c>
      <c r="B517" t="s">
        <v>721</v>
      </c>
      <c r="C517" t="s">
        <v>392</v>
      </c>
      <c r="G517" s="47" t="str">
        <f>IF(Tabelle1[[#This Row],[Kunde Nr.]]&lt;$I$2,$J$2,IF(Tabelle1[[#This Row],[Kunde Nr.]]&lt;$I$3,$J$3,IF(Tabelle1[[#This Row],[Kunde Nr.]]&lt;$I$4,$J$4,0)))</f>
        <v>Miloti</v>
      </c>
    </row>
    <row r="518" spans="1:9" x14ac:dyDescent="0.25">
      <c r="A518">
        <v>30216</v>
      </c>
      <c r="B518" t="s">
        <v>798</v>
      </c>
      <c r="C518" t="s">
        <v>392</v>
      </c>
      <c r="G518" s="47" t="str">
        <f>IF(Tabelle1[[#This Row],[Kunde Nr.]]&lt;$I$2,$J$2,IF(Tabelle1[[#This Row],[Kunde Nr.]]&lt;$I$3,$J$3,IF(Tabelle1[[#This Row],[Kunde Nr.]]&lt;$I$4,$J$4,0)))</f>
        <v>Miloti</v>
      </c>
    </row>
    <row r="519" spans="1:9" x14ac:dyDescent="0.25">
      <c r="A519">
        <v>30217</v>
      </c>
      <c r="B519" t="s">
        <v>809</v>
      </c>
      <c r="C519" t="s">
        <v>392</v>
      </c>
      <c r="G519" s="47" t="str">
        <f>IF(Tabelle1[[#This Row],[Kunde Nr.]]&lt;$I$2,$J$2,IF(Tabelle1[[#This Row],[Kunde Nr.]]&lt;$I$3,$J$3,IF(Tabelle1[[#This Row],[Kunde Nr.]]&lt;$I$4,$J$4,0)))</f>
        <v>Miloti</v>
      </c>
    </row>
    <row r="520" spans="1:9" x14ac:dyDescent="0.25">
      <c r="A520">
        <v>30218</v>
      </c>
      <c r="B520" t="s">
        <v>840</v>
      </c>
      <c r="C520" t="s">
        <v>392</v>
      </c>
      <c r="G520" s="47" t="str">
        <f>IF(Tabelle1[[#This Row],[Kunde Nr.]]&lt;$I$2,$J$2,IF(Tabelle1[[#This Row],[Kunde Nr.]]&lt;$I$3,$J$3,IF(Tabelle1[[#This Row],[Kunde Nr.]]&lt;$I$4,$J$4,0)))</f>
        <v>Miloti</v>
      </c>
    </row>
    <row r="521" spans="1:9" x14ac:dyDescent="0.25">
      <c r="A521">
        <v>30219</v>
      </c>
      <c r="B521" t="s">
        <v>863</v>
      </c>
      <c r="C521" t="s">
        <v>392</v>
      </c>
      <c r="G521" s="47" t="str">
        <f>IF(Tabelle1[[#This Row],[Kunde Nr.]]&lt;$I$2,$J$2,IF(Tabelle1[[#This Row],[Kunde Nr.]]&lt;$I$3,$J$3,IF(Tabelle1[[#This Row],[Kunde Nr.]]&lt;$I$4,$J$4,0)))</f>
        <v>Miloti</v>
      </c>
    </row>
    <row r="522" spans="1:9" x14ac:dyDescent="0.25">
      <c r="A522">
        <v>30220</v>
      </c>
      <c r="B522" t="s">
        <v>861</v>
      </c>
      <c r="C522" t="s">
        <v>399</v>
      </c>
      <c r="G522" s="47" t="str">
        <f>IF(Tabelle1[[#This Row],[Kunde Nr.]]&lt;$I$2,$J$2,IF(Tabelle1[[#This Row],[Kunde Nr.]]&lt;$I$3,$J$3,IF(Tabelle1[[#This Row],[Kunde Nr.]]&lt;$I$4,$J$4,0)))</f>
        <v>Miloti</v>
      </c>
    </row>
    <row r="523" spans="1:9" x14ac:dyDescent="0.25">
      <c r="A523">
        <v>30221</v>
      </c>
      <c r="B523" t="s">
        <v>892</v>
      </c>
      <c r="C523" t="s">
        <v>402</v>
      </c>
      <c r="G523" s="47" t="str">
        <f>IF(Tabelle1[[#This Row],[Kunde Nr.]]&lt;$I$2,$J$2,IF(Tabelle1[[#This Row],[Kunde Nr.]]&lt;$I$3,$J$3,IF(Tabelle1[[#This Row],[Kunde Nr.]]&lt;$I$4,$J$4,0)))</f>
        <v>Miloti</v>
      </c>
    </row>
    <row r="524" spans="1:9" x14ac:dyDescent="0.25">
      <c r="A524">
        <v>30222</v>
      </c>
      <c r="B524" t="s">
        <v>905</v>
      </c>
      <c r="C524" t="s">
        <v>392</v>
      </c>
      <c r="G524" s="47" t="str">
        <f>IF(Tabelle1[[#This Row],[Kunde Nr.]]&lt;$I$2,$J$2,IF(Tabelle1[[#This Row],[Kunde Nr.]]&lt;$I$3,$J$3,IF(Tabelle1[[#This Row],[Kunde Nr.]]&lt;$I$4,$J$4,0)))</f>
        <v>Miloti</v>
      </c>
    </row>
    <row r="525" spans="1:9" x14ac:dyDescent="0.25">
      <c r="A525">
        <v>30223</v>
      </c>
      <c r="B525" t="s">
        <v>940</v>
      </c>
      <c r="C525" t="s">
        <v>402</v>
      </c>
      <c r="G525" s="47" t="str">
        <f>IF(Tabelle1[[#This Row],[Kunde Nr.]]&lt;$I$2,$J$2,IF(Tabelle1[[#This Row],[Kunde Nr.]]&lt;$I$3,$J$3,IF(Tabelle1[[#This Row],[Kunde Nr.]]&lt;$I$4,$J$4,0)))</f>
        <v>Miloti</v>
      </c>
    </row>
    <row r="526" spans="1:9" x14ac:dyDescent="0.25">
      <c r="A526">
        <v>30226</v>
      </c>
      <c r="B526" t="s">
        <v>970</v>
      </c>
      <c r="C526" t="s">
        <v>402</v>
      </c>
      <c r="G526" s="47" t="str">
        <f>IF(Tabelle1[[#This Row],[Kunde Nr.]]&lt;$I$2,$J$2,IF(Tabelle1[[#This Row],[Kunde Nr.]]&lt;$I$3,$J$3,IF(Tabelle1[[#This Row],[Kunde Nr.]]&lt;$I$4,$J$4,0)))</f>
        <v>Miloti</v>
      </c>
    </row>
    <row r="527" spans="1:9" x14ac:dyDescent="0.25">
      <c r="A527">
        <v>30227</v>
      </c>
      <c r="B527" t="s">
        <v>976</v>
      </c>
      <c r="C527" t="s">
        <v>392</v>
      </c>
      <c r="G527" s="47" t="str">
        <f>IF(Tabelle1[[#This Row],[Kunde Nr.]]&lt;$I$2,$J$2,IF(Tabelle1[[#This Row],[Kunde Nr.]]&lt;$I$3,$J$3,IF(Tabelle1[[#This Row],[Kunde Nr.]]&lt;$I$4,$J$4,0)))</f>
        <v>Miloti</v>
      </c>
    </row>
    <row r="528" spans="1:9" x14ac:dyDescent="0.25">
      <c r="A528">
        <v>30230</v>
      </c>
      <c r="B528" t="s">
        <v>998</v>
      </c>
      <c r="C528" t="s">
        <v>999</v>
      </c>
      <c r="G528" s="47" t="str">
        <f>IF(Tabelle1[[#This Row],[Kunde Nr.]]&lt;$I$2,$J$2,IF(Tabelle1[[#This Row],[Kunde Nr.]]&lt;$I$3,$J$3,IF(Tabelle1[[#This Row],[Kunde Nr.]]&lt;$I$4,$J$4,0)))</f>
        <v>Miloti</v>
      </c>
    </row>
    <row r="529" spans="1:7" x14ac:dyDescent="0.25">
      <c r="A529">
        <v>30231</v>
      </c>
      <c r="B529" t="s">
        <v>1021</v>
      </c>
      <c r="C529" t="s">
        <v>392</v>
      </c>
      <c r="G529" s="47" t="str">
        <f>IF(Tabelle1[[#This Row],[Kunde Nr.]]&lt;$I$2,$J$2,IF(Tabelle1[[#This Row],[Kunde Nr.]]&lt;$I$3,$J$3,IF(Tabelle1[[#This Row],[Kunde Nr.]]&lt;$I$4,$J$4,0)))</f>
        <v>Miloti</v>
      </c>
    </row>
    <row r="530" spans="1:7" x14ac:dyDescent="0.25">
      <c r="A530" s="7">
        <v>30232</v>
      </c>
      <c r="B530" t="s">
        <v>870</v>
      </c>
      <c r="C530" t="s">
        <v>1022</v>
      </c>
      <c r="G530" s="47" t="str">
        <f>IF(Tabelle1[[#This Row],[Kunde Nr.]]&lt;$I$2,$J$2,IF(Tabelle1[[#This Row],[Kunde Nr.]]&lt;$I$3,$J$3,IF(Tabelle1[[#This Row],[Kunde Nr.]]&lt;$I$4,$J$4,0)))</f>
        <v>Miloti</v>
      </c>
    </row>
    <row r="531" spans="1:7" x14ac:dyDescent="0.25">
      <c r="A531">
        <v>30233</v>
      </c>
      <c r="B531" t="s">
        <v>1023</v>
      </c>
      <c r="C531" t="s">
        <v>1024</v>
      </c>
      <c r="G531" s="47" t="str">
        <f>IF(Tabelle1[[#This Row],[Kunde Nr.]]&lt;$I$2,$J$2,IF(Tabelle1[[#This Row],[Kunde Nr.]]&lt;$I$3,$J$3,IF(Tabelle1[[#This Row],[Kunde Nr.]]&lt;$I$4,$J$4,0)))</f>
        <v>Miloti</v>
      </c>
    </row>
    <row r="532" spans="1:7" x14ac:dyDescent="0.25">
      <c r="A532" s="7">
        <v>30234</v>
      </c>
      <c r="B532" t="s">
        <v>1025</v>
      </c>
      <c r="C532" t="s">
        <v>399</v>
      </c>
      <c r="G532" s="47" t="str">
        <f>IF(Tabelle1[[#This Row],[Kunde Nr.]]&lt;$I$2,$J$2,IF(Tabelle1[[#This Row],[Kunde Nr.]]&lt;$I$3,$J$3,IF(Tabelle1[[#This Row],[Kunde Nr.]]&lt;$I$4,$J$4,0)))</f>
        <v>Miloti</v>
      </c>
    </row>
    <row r="533" spans="1:7" x14ac:dyDescent="0.25">
      <c r="A533">
        <v>30235</v>
      </c>
      <c r="B533" t="s">
        <v>1026</v>
      </c>
      <c r="C533" t="s">
        <v>399</v>
      </c>
      <c r="G533" s="47" t="str">
        <f>IF(Tabelle1[[#This Row],[Kunde Nr.]]&lt;$I$2,$J$2,IF(Tabelle1[[#This Row],[Kunde Nr.]]&lt;$I$3,$J$3,IF(Tabelle1[[#This Row],[Kunde Nr.]]&lt;$I$4,$J$4,0)))</f>
        <v>Miloti</v>
      </c>
    </row>
    <row r="534" spans="1:7" x14ac:dyDescent="0.25">
      <c r="A534" s="7">
        <v>30236</v>
      </c>
      <c r="B534" t="s">
        <v>1027</v>
      </c>
      <c r="C534" t="s">
        <v>399</v>
      </c>
      <c r="G534" s="47" t="str">
        <f>IF(Tabelle1[[#This Row],[Kunde Nr.]]&lt;$I$2,$J$2,IF(Tabelle1[[#This Row],[Kunde Nr.]]&lt;$I$3,$J$3,IF(Tabelle1[[#This Row],[Kunde Nr.]]&lt;$I$4,$J$4,0)))</f>
        <v>Miloti</v>
      </c>
    </row>
    <row r="535" spans="1:7" x14ac:dyDescent="0.25">
      <c r="A535">
        <v>30237</v>
      </c>
      <c r="B535" t="s">
        <v>1028</v>
      </c>
      <c r="C535" t="s">
        <v>392</v>
      </c>
      <c r="G535" s="47" t="str">
        <f>IF(Tabelle1[[#This Row],[Kunde Nr.]]&lt;$I$2,$J$2,IF(Tabelle1[[#This Row],[Kunde Nr.]]&lt;$I$3,$J$3,IF(Tabelle1[[#This Row],[Kunde Nr.]]&lt;$I$4,$J$4,0)))</f>
        <v>Miloti</v>
      </c>
    </row>
    <row r="536" spans="1:7" x14ac:dyDescent="0.25">
      <c r="A536" s="7">
        <v>30238</v>
      </c>
      <c r="B536" t="s">
        <v>1029</v>
      </c>
      <c r="C536" t="s">
        <v>392</v>
      </c>
      <c r="G536" s="47" t="str">
        <f>IF(Tabelle1[[#This Row],[Kunde Nr.]]&lt;$I$2,$J$2,IF(Tabelle1[[#This Row],[Kunde Nr.]]&lt;$I$3,$J$3,IF(Tabelle1[[#This Row],[Kunde Nr.]]&lt;$I$4,$J$4,0)))</f>
        <v>Miloti</v>
      </c>
    </row>
    <row r="537" spans="1:7" x14ac:dyDescent="0.25">
      <c r="A537">
        <v>30239</v>
      </c>
      <c r="B537" t="s">
        <v>1030</v>
      </c>
      <c r="C537" t="s">
        <v>399</v>
      </c>
      <c r="G537" s="47" t="str">
        <f>IF(Tabelle1[[#This Row],[Kunde Nr.]]&lt;$I$2,$J$2,IF(Tabelle1[[#This Row],[Kunde Nr.]]&lt;$I$3,$J$3,IF(Tabelle1[[#This Row],[Kunde Nr.]]&lt;$I$4,$J$4,0)))</f>
        <v>Miloti</v>
      </c>
    </row>
    <row r="538" spans="1:7" x14ac:dyDescent="0.25">
      <c r="A538" s="7">
        <v>30240</v>
      </c>
      <c r="B538" t="s">
        <v>1031</v>
      </c>
      <c r="C538" t="s">
        <v>1032</v>
      </c>
      <c r="G538" s="47" t="str">
        <f>IF(Tabelle1[[#This Row],[Kunde Nr.]]&lt;$I$2,$J$2,IF(Tabelle1[[#This Row],[Kunde Nr.]]&lt;$I$3,$J$3,IF(Tabelle1[[#This Row],[Kunde Nr.]]&lt;$I$4,$J$4,0)))</f>
        <v>Miloti</v>
      </c>
    </row>
    <row r="539" spans="1:7" x14ac:dyDescent="0.25">
      <c r="A539">
        <v>30241</v>
      </c>
      <c r="B539" t="s">
        <v>1095</v>
      </c>
      <c r="C539" t="s">
        <v>392</v>
      </c>
      <c r="G539" s="47" t="str">
        <f>IF(Tabelle1[[#This Row],[Kunde Nr.]]&lt;$I$2,$J$2,IF(Tabelle1[[#This Row],[Kunde Nr.]]&lt;$I$3,$J$3,IF(Tabelle1[[#This Row],[Kunde Nr.]]&lt;$I$4,$J$4,0)))</f>
        <v>Miloti</v>
      </c>
    </row>
    <row r="540" spans="1:7" x14ac:dyDescent="0.25">
      <c r="A540">
        <v>30243</v>
      </c>
      <c r="B540" t="s">
        <v>1127</v>
      </c>
      <c r="C540" t="s">
        <v>392</v>
      </c>
      <c r="G540" s="47" t="str">
        <f>IF(Tabelle1[[#This Row],[Kunde Nr.]]&lt;$I$2,$J$2,IF(Tabelle1[[#This Row],[Kunde Nr.]]&lt;$I$3,$J$3,IF(Tabelle1[[#This Row],[Kunde Nr.]]&lt;$I$4,$J$4,0)))</f>
        <v>Miloti</v>
      </c>
    </row>
    <row r="541" spans="1:7" x14ac:dyDescent="0.25">
      <c r="A541" s="7">
        <v>30244</v>
      </c>
      <c r="B541" t="s">
        <v>1128</v>
      </c>
      <c r="C541" t="s">
        <v>392</v>
      </c>
      <c r="G541" s="47" t="str">
        <f>IF(Tabelle1[[#This Row],[Kunde Nr.]]&lt;$I$2,$J$2,IF(Tabelle1[[#This Row],[Kunde Nr.]]&lt;$I$3,$J$3,IF(Tabelle1[[#This Row],[Kunde Nr.]]&lt;$I$4,$J$4,0)))</f>
        <v>Miloti</v>
      </c>
    </row>
    <row r="542" spans="1:7" x14ac:dyDescent="0.25">
      <c r="A542">
        <v>30245</v>
      </c>
      <c r="B542" t="s">
        <v>1129</v>
      </c>
      <c r="C542" t="s">
        <v>392</v>
      </c>
      <c r="G542" s="47" t="str">
        <f>IF(Tabelle1[[#This Row],[Kunde Nr.]]&lt;$I$2,$J$2,IF(Tabelle1[[#This Row],[Kunde Nr.]]&lt;$I$3,$J$3,IF(Tabelle1[[#This Row],[Kunde Nr.]]&lt;$I$4,$J$4,0)))</f>
        <v>Miloti</v>
      </c>
    </row>
    <row r="543" spans="1:7" x14ac:dyDescent="0.25">
      <c r="A543">
        <v>30246</v>
      </c>
      <c r="B543" t="s">
        <v>1136</v>
      </c>
      <c r="C543" t="s">
        <v>399</v>
      </c>
      <c r="G543" s="47" t="str">
        <f>IF(Tabelle1[[#This Row],[Kunde Nr.]]&lt;$I$2,$J$2,IF(Tabelle1[[#This Row],[Kunde Nr.]]&lt;$I$3,$J$3,IF(Tabelle1[[#This Row],[Kunde Nr.]]&lt;$I$4,$J$4,0)))</f>
        <v>Miloti</v>
      </c>
    </row>
    <row r="544" spans="1:7" x14ac:dyDescent="0.25">
      <c r="A544" s="7">
        <v>30247</v>
      </c>
      <c r="B544" t="s">
        <v>1137</v>
      </c>
      <c r="C544" t="s">
        <v>1138</v>
      </c>
      <c r="G544" s="47" t="str">
        <f>IF(Tabelle1[[#This Row],[Kunde Nr.]]&lt;$I$2,$J$2,IF(Tabelle1[[#This Row],[Kunde Nr.]]&lt;$I$3,$J$3,IF(Tabelle1[[#This Row],[Kunde Nr.]]&lt;$I$4,$J$4,0)))</f>
        <v>Miloti</v>
      </c>
    </row>
    <row r="545" spans="1:7" x14ac:dyDescent="0.25">
      <c r="A545">
        <v>30248</v>
      </c>
      <c r="B545" t="s">
        <v>1139</v>
      </c>
      <c r="C545" t="s">
        <v>392</v>
      </c>
      <c r="G545" s="47" t="str">
        <f>IF(Tabelle1[[#This Row],[Kunde Nr.]]&lt;$I$2,$J$2,IF(Tabelle1[[#This Row],[Kunde Nr.]]&lt;$I$3,$J$3,IF(Tabelle1[[#This Row],[Kunde Nr.]]&lt;$I$4,$J$4,0)))</f>
        <v>Miloti</v>
      </c>
    </row>
    <row r="546" spans="1:7" x14ac:dyDescent="0.25">
      <c r="A546" s="7">
        <v>30249</v>
      </c>
      <c r="B546" t="s">
        <v>1140</v>
      </c>
      <c r="C546" t="s">
        <v>399</v>
      </c>
      <c r="G546" s="47" t="str">
        <f>IF(Tabelle1[[#This Row],[Kunde Nr.]]&lt;$I$2,$J$2,IF(Tabelle1[[#This Row],[Kunde Nr.]]&lt;$I$3,$J$3,IF(Tabelle1[[#This Row],[Kunde Nr.]]&lt;$I$4,$J$4,0)))</f>
        <v>Miloti</v>
      </c>
    </row>
    <row r="547" spans="1:7" x14ac:dyDescent="0.25">
      <c r="A547">
        <v>30250</v>
      </c>
      <c r="B547" t="s">
        <v>1141</v>
      </c>
      <c r="C547" t="s">
        <v>399</v>
      </c>
      <c r="G547" s="47" t="str">
        <f>IF(Tabelle1[[#This Row],[Kunde Nr.]]&lt;$I$2,$J$2,IF(Tabelle1[[#This Row],[Kunde Nr.]]&lt;$I$3,$J$3,IF(Tabelle1[[#This Row],[Kunde Nr.]]&lt;$I$4,$J$4,0)))</f>
        <v>Miloti</v>
      </c>
    </row>
    <row r="548" spans="1:7" x14ac:dyDescent="0.25">
      <c r="A548" s="7">
        <v>30251</v>
      </c>
      <c r="B548" t="s">
        <v>1142</v>
      </c>
      <c r="C548" t="s">
        <v>1138</v>
      </c>
      <c r="G548" s="47" t="str">
        <f>IF(Tabelle1[[#This Row],[Kunde Nr.]]&lt;$I$2,$J$2,IF(Tabelle1[[#This Row],[Kunde Nr.]]&lt;$I$3,$J$3,IF(Tabelle1[[#This Row],[Kunde Nr.]]&lt;$I$4,$J$4,0)))</f>
        <v>Miloti</v>
      </c>
    </row>
    <row r="549" spans="1:7" x14ac:dyDescent="0.25">
      <c r="A549">
        <v>30252</v>
      </c>
      <c r="B549" t="s">
        <v>1143</v>
      </c>
      <c r="C549" t="s">
        <v>392</v>
      </c>
      <c r="G549" s="47" t="str">
        <f>IF(Tabelle1[[#This Row],[Kunde Nr.]]&lt;$I$2,$J$2,IF(Tabelle1[[#This Row],[Kunde Nr.]]&lt;$I$3,$J$3,IF(Tabelle1[[#This Row],[Kunde Nr.]]&lt;$I$4,$J$4,0)))</f>
        <v>Miloti</v>
      </c>
    </row>
    <row r="550" spans="1:7" x14ac:dyDescent="0.25">
      <c r="A550">
        <v>30301</v>
      </c>
      <c r="B550" t="s">
        <v>384</v>
      </c>
      <c r="C550" t="s">
        <v>385</v>
      </c>
      <c r="F550" t="s">
        <v>431</v>
      </c>
      <c r="G550" t="str">
        <f>IF(Tabelle1[[#This Row],[Kunde Nr.]]&lt;$I$2,$J$2,IF(Tabelle1[[#This Row],[Kunde Nr.]]&lt;$I$3,$J$3,IF(Tabelle1[[#This Row],[Kunde Nr.]]&lt;$I$4,$J$4,0)))</f>
        <v>Miloti</v>
      </c>
    </row>
    <row r="551" spans="1:7" x14ac:dyDescent="0.25">
      <c r="A551">
        <v>30302</v>
      </c>
      <c r="B551" t="s">
        <v>386</v>
      </c>
      <c r="C551" t="s">
        <v>385</v>
      </c>
      <c r="G551" t="str">
        <f>IF(Tabelle1[[#This Row],[Kunde Nr.]]&lt;$I$2,$J$2,IF(Tabelle1[[#This Row],[Kunde Nr.]]&lt;$I$3,$J$3,IF(Tabelle1[[#This Row],[Kunde Nr.]]&lt;$I$4,$J$4,0)))</f>
        <v>Miloti</v>
      </c>
    </row>
    <row r="552" spans="1:7" x14ac:dyDescent="0.25">
      <c r="A552">
        <v>30303</v>
      </c>
      <c r="B552" t="s">
        <v>387</v>
      </c>
      <c r="C552" t="s">
        <v>385</v>
      </c>
      <c r="G552" t="str">
        <f>IF(Tabelle1[[#This Row],[Kunde Nr.]]&lt;$I$2,$J$2,IF(Tabelle1[[#This Row],[Kunde Nr.]]&lt;$I$3,$J$3,IF(Tabelle1[[#This Row],[Kunde Nr.]]&lt;$I$4,$J$4,0)))</f>
        <v>Miloti</v>
      </c>
    </row>
    <row r="553" spans="1:7" x14ac:dyDescent="0.25">
      <c r="A553">
        <v>30304</v>
      </c>
      <c r="B553" t="s">
        <v>388</v>
      </c>
      <c r="C553" t="s">
        <v>389</v>
      </c>
      <c r="G553" t="str">
        <f>IF(Tabelle1[[#This Row],[Kunde Nr.]]&lt;$I$2,$J$2,IF(Tabelle1[[#This Row],[Kunde Nr.]]&lt;$I$3,$J$3,IF(Tabelle1[[#This Row],[Kunde Nr.]]&lt;$I$4,$J$4,0)))</f>
        <v>Miloti</v>
      </c>
    </row>
    <row r="554" spans="1:7" x14ac:dyDescent="0.25">
      <c r="A554">
        <v>30305</v>
      </c>
      <c r="B554" t="s">
        <v>390</v>
      </c>
      <c r="C554" t="s">
        <v>389</v>
      </c>
      <c r="G554" t="str">
        <f>IF(Tabelle1[[#This Row],[Kunde Nr.]]&lt;$I$2,$J$2,IF(Tabelle1[[#This Row],[Kunde Nr.]]&lt;$I$3,$J$3,IF(Tabelle1[[#This Row],[Kunde Nr.]]&lt;$I$4,$J$4,0)))</f>
        <v>Miloti</v>
      </c>
    </row>
    <row r="555" spans="1:7" x14ac:dyDescent="0.25">
      <c r="A555">
        <v>30306</v>
      </c>
      <c r="B555" t="s">
        <v>391</v>
      </c>
      <c r="C555" t="s">
        <v>385</v>
      </c>
      <c r="G555" t="str">
        <f>IF(Tabelle1[[#This Row],[Kunde Nr.]]&lt;$I$2,$J$2,IF(Tabelle1[[#This Row],[Kunde Nr.]]&lt;$I$3,$J$3,IF(Tabelle1[[#This Row],[Kunde Nr.]]&lt;$I$4,$J$4,0)))</f>
        <v>Miloti</v>
      </c>
    </row>
    <row r="556" spans="1:7" x14ac:dyDescent="0.25">
      <c r="A556">
        <v>30307</v>
      </c>
      <c r="B556" t="s">
        <v>653</v>
      </c>
      <c r="C556" t="s">
        <v>385</v>
      </c>
      <c r="G556" t="str">
        <f>IF(Tabelle1[[#This Row],[Kunde Nr.]]&lt;$I$2,$J$2,IF(Tabelle1[[#This Row],[Kunde Nr.]]&lt;$I$3,$J$3,IF(Tabelle1[[#This Row],[Kunde Nr.]]&lt;$I$4,$J$4,0)))</f>
        <v>Miloti</v>
      </c>
    </row>
    <row r="557" spans="1:7" x14ac:dyDescent="0.25">
      <c r="A557">
        <v>30308</v>
      </c>
      <c r="B557" t="s">
        <v>637</v>
      </c>
      <c r="C557" t="s">
        <v>385</v>
      </c>
      <c r="F557" t="s">
        <v>431</v>
      </c>
      <c r="G557" t="str">
        <f>IF(Tabelle1[[#This Row],[Kunde Nr.]]&lt;$I$2,$J$2,IF(Tabelle1[[#This Row],[Kunde Nr.]]&lt;$I$3,$J$3,IF(Tabelle1[[#This Row],[Kunde Nr.]]&lt;$I$4,$J$4,0)))</f>
        <v>Miloti</v>
      </c>
    </row>
    <row r="558" spans="1:7" x14ac:dyDescent="0.25">
      <c r="A558">
        <v>30309</v>
      </c>
      <c r="B558" t="s">
        <v>638</v>
      </c>
      <c r="C558" t="s">
        <v>389</v>
      </c>
      <c r="G558" t="str">
        <f>IF(Tabelle1[[#This Row],[Kunde Nr.]]&lt;$I$2,$J$2,IF(Tabelle1[[#This Row],[Kunde Nr.]]&lt;$I$3,$J$3,IF(Tabelle1[[#This Row],[Kunde Nr.]]&lt;$I$4,$J$4,0)))</f>
        <v>Miloti</v>
      </c>
    </row>
    <row r="559" spans="1:7" x14ac:dyDescent="0.25">
      <c r="A559">
        <v>30310</v>
      </c>
      <c r="B559" t="s">
        <v>639</v>
      </c>
      <c r="C559" t="s">
        <v>429</v>
      </c>
      <c r="G559" t="str">
        <f>IF(Tabelle1[[#This Row],[Kunde Nr.]]&lt;$I$2,$J$2,IF(Tabelle1[[#This Row],[Kunde Nr.]]&lt;$I$3,$J$3,IF(Tabelle1[[#This Row],[Kunde Nr.]]&lt;$I$4,$J$4,0)))</f>
        <v>Miloti</v>
      </c>
    </row>
    <row r="560" spans="1:7" x14ac:dyDescent="0.25">
      <c r="A560">
        <v>30311</v>
      </c>
      <c r="B560" t="s">
        <v>746</v>
      </c>
      <c r="C560" t="s">
        <v>385</v>
      </c>
      <c r="G560" s="47" t="str">
        <f>IF(Tabelle1[[#This Row],[Kunde Nr.]]&lt;$I$2,$J$2,IF(Tabelle1[[#This Row],[Kunde Nr.]]&lt;$I$3,$J$3,IF(Tabelle1[[#This Row],[Kunde Nr.]]&lt;$I$4,$J$4,0)))</f>
        <v>Miloti</v>
      </c>
    </row>
    <row r="561" spans="1:7" x14ac:dyDescent="0.25">
      <c r="A561">
        <v>30312</v>
      </c>
      <c r="B561" t="s">
        <v>781</v>
      </c>
      <c r="C561" t="s">
        <v>389</v>
      </c>
      <c r="G561" s="47" t="str">
        <f>IF(Tabelle1[[#This Row],[Kunde Nr.]]&lt;$I$2,$J$2,IF(Tabelle1[[#This Row],[Kunde Nr.]]&lt;$I$3,$J$3,IF(Tabelle1[[#This Row],[Kunde Nr.]]&lt;$I$4,$J$4,0)))</f>
        <v>Miloti</v>
      </c>
    </row>
    <row r="562" spans="1:7" x14ac:dyDescent="0.25">
      <c r="A562">
        <v>30313</v>
      </c>
      <c r="B562" t="s">
        <v>726</v>
      </c>
      <c r="C562" t="s">
        <v>429</v>
      </c>
      <c r="G562" s="47" t="str">
        <f>IF(Tabelle1[[#This Row],[Kunde Nr.]]&lt;$I$2,$J$2,IF(Tabelle1[[#This Row],[Kunde Nr.]]&lt;$I$3,$J$3,IF(Tabelle1[[#This Row],[Kunde Nr.]]&lt;$I$4,$J$4,0)))</f>
        <v>Miloti</v>
      </c>
    </row>
    <row r="563" spans="1:7" x14ac:dyDescent="0.25">
      <c r="A563">
        <v>30314</v>
      </c>
      <c r="B563" t="s">
        <v>725</v>
      </c>
      <c r="C563" t="s">
        <v>429</v>
      </c>
      <c r="G563" s="47" t="str">
        <f>IF(Tabelle1[[#This Row],[Kunde Nr.]]&lt;$I$2,$J$2,IF(Tabelle1[[#This Row],[Kunde Nr.]]&lt;$I$3,$J$3,IF(Tabelle1[[#This Row],[Kunde Nr.]]&lt;$I$4,$J$4,0)))</f>
        <v>Miloti</v>
      </c>
    </row>
    <row r="564" spans="1:7" x14ac:dyDescent="0.25">
      <c r="A564">
        <v>30315</v>
      </c>
      <c r="B564" t="s">
        <v>724</v>
      </c>
      <c r="C564" t="s">
        <v>389</v>
      </c>
      <c r="G564" s="47" t="str">
        <f>IF(Tabelle1[[#This Row],[Kunde Nr.]]&lt;$I$2,$J$2,IF(Tabelle1[[#This Row],[Kunde Nr.]]&lt;$I$3,$J$3,IF(Tabelle1[[#This Row],[Kunde Nr.]]&lt;$I$4,$J$4,0)))</f>
        <v>Miloti</v>
      </c>
    </row>
    <row r="565" spans="1:7" x14ac:dyDescent="0.25">
      <c r="A565">
        <v>30316</v>
      </c>
      <c r="B565" t="s">
        <v>723</v>
      </c>
      <c r="C565" t="s">
        <v>389</v>
      </c>
      <c r="G565" s="47" t="str">
        <f>IF(Tabelle1[[#This Row],[Kunde Nr.]]&lt;$I$2,$J$2,IF(Tabelle1[[#This Row],[Kunde Nr.]]&lt;$I$3,$J$3,IF(Tabelle1[[#This Row],[Kunde Nr.]]&lt;$I$4,$J$4,0)))</f>
        <v>Miloti</v>
      </c>
    </row>
    <row r="566" spans="1:7" x14ac:dyDescent="0.25">
      <c r="A566">
        <v>30317</v>
      </c>
      <c r="B566" t="s">
        <v>722</v>
      </c>
      <c r="C566" t="s">
        <v>385</v>
      </c>
      <c r="G566" s="47" t="str">
        <f>IF(Tabelle1[[#This Row],[Kunde Nr.]]&lt;$I$2,$J$2,IF(Tabelle1[[#This Row],[Kunde Nr.]]&lt;$I$3,$J$3,IF(Tabelle1[[#This Row],[Kunde Nr.]]&lt;$I$4,$J$4,0)))</f>
        <v>Miloti</v>
      </c>
    </row>
    <row r="567" spans="1:7" x14ac:dyDescent="0.25">
      <c r="A567">
        <v>30318</v>
      </c>
      <c r="B567" t="s">
        <v>743</v>
      </c>
      <c r="C567" t="s">
        <v>385</v>
      </c>
      <c r="G567" s="47" t="str">
        <f>IF(Tabelle1[[#This Row],[Kunde Nr.]]&lt;$I$2,$J$2,IF(Tabelle1[[#This Row],[Kunde Nr.]]&lt;$I$3,$J$3,IF(Tabelle1[[#This Row],[Kunde Nr.]]&lt;$I$4,$J$4,0)))</f>
        <v>Miloti</v>
      </c>
    </row>
    <row r="568" spans="1:7" x14ac:dyDescent="0.25">
      <c r="A568">
        <v>30319</v>
      </c>
      <c r="B568" t="s">
        <v>747</v>
      </c>
      <c r="C568" t="s">
        <v>385</v>
      </c>
      <c r="G568" s="47" t="str">
        <f>IF(Tabelle1[[#This Row],[Kunde Nr.]]&lt;$I$2,$J$2,IF(Tabelle1[[#This Row],[Kunde Nr.]]&lt;$I$3,$J$3,IF(Tabelle1[[#This Row],[Kunde Nr.]]&lt;$I$4,$J$4,0)))</f>
        <v>Miloti</v>
      </c>
    </row>
    <row r="569" spans="1:7" x14ac:dyDescent="0.25">
      <c r="A569">
        <v>30320</v>
      </c>
      <c r="B569" t="s">
        <v>744</v>
      </c>
      <c r="C569" t="s">
        <v>385</v>
      </c>
      <c r="G569" s="47" t="str">
        <f>IF(Tabelle1[[#This Row],[Kunde Nr.]]&lt;$I$2,$J$2,IF(Tabelle1[[#This Row],[Kunde Nr.]]&lt;$I$3,$J$3,IF(Tabelle1[[#This Row],[Kunde Nr.]]&lt;$I$4,$J$4,0)))</f>
        <v>Miloti</v>
      </c>
    </row>
    <row r="570" spans="1:7" x14ac:dyDescent="0.25">
      <c r="A570">
        <v>30321</v>
      </c>
      <c r="B570" t="s">
        <v>835</v>
      </c>
      <c r="C570" t="s">
        <v>385</v>
      </c>
      <c r="G570" s="47" t="str">
        <f>IF(Tabelle1[[#This Row],[Kunde Nr.]]&lt;$I$2,$J$2,IF(Tabelle1[[#This Row],[Kunde Nr.]]&lt;$I$3,$J$3,IF(Tabelle1[[#This Row],[Kunde Nr.]]&lt;$I$4,$J$4,0)))</f>
        <v>Miloti</v>
      </c>
    </row>
    <row r="571" spans="1:7" x14ac:dyDescent="0.25">
      <c r="A571">
        <v>30322</v>
      </c>
      <c r="B571" t="s">
        <v>780</v>
      </c>
      <c r="C571" t="s">
        <v>385</v>
      </c>
      <c r="G571" s="47" t="str">
        <f>IF(Tabelle1[[#This Row],[Kunde Nr.]]&lt;$I$2,$J$2,IF(Tabelle1[[#This Row],[Kunde Nr.]]&lt;$I$3,$J$3,IF(Tabelle1[[#This Row],[Kunde Nr.]]&lt;$I$4,$J$4,0)))</f>
        <v>Miloti</v>
      </c>
    </row>
    <row r="572" spans="1:7" x14ac:dyDescent="0.25">
      <c r="A572">
        <v>30323</v>
      </c>
      <c r="B572" t="s">
        <v>779</v>
      </c>
      <c r="C572" t="s">
        <v>385</v>
      </c>
      <c r="G572" s="47" t="str">
        <f>IF(Tabelle1[[#This Row],[Kunde Nr.]]&lt;$I$2,$J$2,IF(Tabelle1[[#This Row],[Kunde Nr.]]&lt;$I$3,$J$3,IF(Tabelle1[[#This Row],[Kunde Nr.]]&lt;$I$4,$J$4,0)))</f>
        <v>Miloti</v>
      </c>
    </row>
    <row r="573" spans="1:7" x14ac:dyDescent="0.25">
      <c r="A573">
        <v>30324</v>
      </c>
      <c r="B573" t="s">
        <v>801</v>
      </c>
      <c r="C573" t="s">
        <v>429</v>
      </c>
      <c r="G573" s="47" t="str">
        <f>IF(Tabelle1[[#This Row],[Kunde Nr.]]&lt;$I$2,$J$2,IF(Tabelle1[[#This Row],[Kunde Nr.]]&lt;$I$3,$J$3,IF(Tabelle1[[#This Row],[Kunde Nr.]]&lt;$I$4,$J$4,0)))</f>
        <v>Miloti</v>
      </c>
    </row>
    <row r="574" spans="1:7" x14ac:dyDescent="0.25">
      <c r="A574">
        <v>30325</v>
      </c>
      <c r="B574" t="s">
        <v>817</v>
      </c>
      <c r="C574" t="s">
        <v>429</v>
      </c>
      <c r="G574" s="47" t="str">
        <f>IF(Tabelle1[[#This Row],[Kunde Nr.]]&lt;$I$2,$J$2,IF(Tabelle1[[#This Row],[Kunde Nr.]]&lt;$I$3,$J$3,IF(Tabelle1[[#This Row],[Kunde Nr.]]&lt;$I$4,$J$4,0)))</f>
        <v>Miloti</v>
      </c>
    </row>
    <row r="575" spans="1:7" x14ac:dyDescent="0.25">
      <c r="A575">
        <v>30326</v>
      </c>
      <c r="B575" t="s">
        <v>816</v>
      </c>
      <c r="C575" t="s">
        <v>385</v>
      </c>
      <c r="G575" s="47" t="str">
        <f>IF(Tabelle1[[#This Row],[Kunde Nr.]]&lt;$I$2,$J$2,IF(Tabelle1[[#This Row],[Kunde Nr.]]&lt;$I$3,$J$3,IF(Tabelle1[[#This Row],[Kunde Nr.]]&lt;$I$4,$J$4,0)))</f>
        <v>Miloti</v>
      </c>
    </row>
    <row r="576" spans="1:7" x14ac:dyDescent="0.25">
      <c r="A576">
        <v>30327</v>
      </c>
      <c r="B576" t="s">
        <v>814</v>
      </c>
      <c r="C576" t="s">
        <v>385</v>
      </c>
      <c r="F576" t="s">
        <v>815</v>
      </c>
      <c r="G576" s="47" t="str">
        <f>IF(Tabelle1[[#This Row],[Kunde Nr.]]&lt;$I$2,$J$2,IF(Tabelle1[[#This Row],[Kunde Nr.]]&lt;$I$3,$J$3,IF(Tabelle1[[#This Row],[Kunde Nr.]]&lt;$I$4,$J$4,0)))</f>
        <v>Miloti</v>
      </c>
    </row>
    <row r="577" spans="1:7" x14ac:dyDescent="0.25">
      <c r="A577">
        <v>30328</v>
      </c>
      <c r="B577" t="s">
        <v>813</v>
      </c>
      <c r="C577" t="s">
        <v>385</v>
      </c>
      <c r="G577" s="47" t="str">
        <f>IF(Tabelle1[[#This Row],[Kunde Nr.]]&lt;$I$2,$J$2,IF(Tabelle1[[#This Row],[Kunde Nr.]]&lt;$I$3,$J$3,IF(Tabelle1[[#This Row],[Kunde Nr.]]&lt;$I$4,$J$4,0)))</f>
        <v>Miloti</v>
      </c>
    </row>
    <row r="578" spans="1:7" x14ac:dyDescent="0.25">
      <c r="A578">
        <v>30329</v>
      </c>
      <c r="B578" t="s">
        <v>812</v>
      </c>
      <c r="C578" t="s">
        <v>385</v>
      </c>
      <c r="G578" s="47" t="str">
        <f>IF(Tabelle1[[#This Row],[Kunde Nr.]]&lt;$I$2,$J$2,IF(Tabelle1[[#This Row],[Kunde Nr.]]&lt;$I$3,$J$3,IF(Tabelle1[[#This Row],[Kunde Nr.]]&lt;$I$4,$J$4,0)))</f>
        <v>Miloti</v>
      </c>
    </row>
    <row r="579" spans="1:7" x14ac:dyDescent="0.25">
      <c r="A579">
        <v>30330</v>
      </c>
      <c r="B579" t="s">
        <v>745</v>
      </c>
      <c r="C579" t="s">
        <v>385</v>
      </c>
      <c r="G579" s="47" t="str">
        <f>IF(Tabelle1[[#This Row],[Kunde Nr.]]&lt;$I$2,$J$2,IF(Tabelle1[[#This Row],[Kunde Nr.]]&lt;$I$3,$J$3,IF(Tabelle1[[#This Row],[Kunde Nr.]]&lt;$I$4,$J$4,0)))</f>
        <v>Miloti</v>
      </c>
    </row>
    <row r="580" spans="1:7" x14ac:dyDescent="0.25">
      <c r="A580">
        <v>30331</v>
      </c>
      <c r="B580" t="s">
        <v>811</v>
      </c>
      <c r="C580" t="s">
        <v>385</v>
      </c>
      <c r="G580" s="47" t="str">
        <f>IF(Tabelle1[[#This Row],[Kunde Nr.]]&lt;$I$2,$J$2,IF(Tabelle1[[#This Row],[Kunde Nr.]]&lt;$I$3,$J$3,IF(Tabelle1[[#This Row],[Kunde Nr.]]&lt;$I$4,$J$4,0)))</f>
        <v>Miloti</v>
      </c>
    </row>
    <row r="581" spans="1:7" x14ac:dyDescent="0.25">
      <c r="A581">
        <v>30332</v>
      </c>
      <c r="B581" t="s">
        <v>819</v>
      </c>
      <c r="C581" t="s">
        <v>385</v>
      </c>
      <c r="G581" s="47" t="str">
        <f>IF(Tabelle1[[#This Row],[Kunde Nr.]]&lt;$I$2,$J$2,IF(Tabelle1[[#This Row],[Kunde Nr.]]&lt;$I$3,$J$3,IF(Tabelle1[[#This Row],[Kunde Nr.]]&lt;$I$4,$J$4,0)))</f>
        <v>Miloti</v>
      </c>
    </row>
    <row r="582" spans="1:7" x14ac:dyDescent="0.25">
      <c r="A582">
        <v>30333</v>
      </c>
      <c r="B582" t="s">
        <v>834</v>
      </c>
      <c r="C582" t="s">
        <v>385</v>
      </c>
      <c r="G582" s="47" t="str">
        <f>IF(Tabelle1[[#This Row],[Kunde Nr.]]&lt;$I$2,$J$2,IF(Tabelle1[[#This Row],[Kunde Nr.]]&lt;$I$3,$J$3,IF(Tabelle1[[#This Row],[Kunde Nr.]]&lt;$I$4,$J$4,0)))</f>
        <v>Miloti</v>
      </c>
    </row>
    <row r="583" spans="1:7" x14ac:dyDescent="0.25">
      <c r="A583">
        <v>30334</v>
      </c>
      <c r="B583" t="s">
        <v>841</v>
      </c>
      <c r="C583" t="s">
        <v>385</v>
      </c>
      <c r="G583" s="47" t="str">
        <f>IF(Tabelle1[[#This Row],[Kunde Nr.]]&lt;$I$2,$J$2,IF(Tabelle1[[#This Row],[Kunde Nr.]]&lt;$I$3,$J$3,IF(Tabelle1[[#This Row],[Kunde Nr.]]&lt;$I$4,$J$4,0)))</f>
        <v>Miloti</v>
      </c>
    </row>
    <row r="584" spans="1:7" x14ac:dyDescent="0.25">
      <c r="A584">
        <v>30335</v>
      </c>
      <c r="B584" t="s">
        <v>853</v>
      </c>
      <c r="C584" t="s">
        <v>385</v>
      </c>
      <c r="G584" s="47" t="str">
        <f>IF(Tabelle1[[#This Row],[Kunde Nr.]]&lt;$I$2,$J$2,IF(Tabelle1[[#This Row],[Kunde Nr.]]&lt;$I$3,$J$3,IF(Tabelle1[[#This Row],[Kunde Nr.]]&lt;$I$4,$J$4,0)))</f>
        <v>Miloti</v>
      </c>
    </row>
    <row r="585" spans="1:7" x14ac:dyDescent="0.25">
      <c r="A585">
        <v>30336</v>
      </c>
      <c r="B585" t="s">
        <v>852</v>
      </c>
      <c r="C585" t="s">
        <v>385</v>
      </c>
      <c r="G585" s="47" t="str">
        <f>IF(Tabelle1[[#This Row],[Kunde Nr.]]&lt;$I$2,$J$2,IF(Tabelle1[[#This Row],[Kunde Nr.]]&lt;$I$3,$J$3,IF(Tabelle1[[#This Row],[Kunde Nr.]]&lt;$I$4,$J$4,0)))</f>
        <v>Miloti</v>
      </c>
    </row>
    <row r="586" spans="1:7" x14ac:dyDescent="0.25">
      <c r="A586">
        <v>30337</v>
      </c>
      <c r="B586" t="s">
        <v>864</v>
      </c>
      <c r="C586" t="s">
        <v>385</v>
      </c>
      <c r="G586" s="47" t="str">
        <f>IF(Tabelle1[[#This Row],[Kunde Nr.]]&lt;$I$2,$J$2,IF(Tabelle1[[#This Row],[Kunde Nr.]]&lt;$I$3,$J$3,IF(Tabelle1[[#This Row],[Kunde Nr.]]&lt;$I$4,$J$4,0)))</f>
        <v>Miloti</v>
      </c>
    </row>
    <row r="587" spans="1:7" x14ac:dyDescent="0.25">
      <c r="A587">
        <v>30338</v>
      </c>
      <c r="B587" t="s">
        <v>889</v>
      </c>
      <c r="C587" t="s">
        <v>385</v>
      </c>
      <c r="F587" t="s">
        <v>815</v>
      </c>
      <c r="G587" s="47" t="str">
        <f>IF(Tabelle1[[#This Row],[Kunde Nr.]]&lt;$I$2,$J$2,IF(Tabelle1[[#This Row],[Kunde Nr.]]&lt;$I$3,$J$3,IF(Tabelle1[[#This Row],[Kunde Nr.]]&lt;$I$4,$J$4,0)))</f>
        <v>Miloti</v>
      </c>
    </row>
    <row r="588" spans="1:7" x14ac:dyDescent="0.25">
      <c r="A588">
        <v>30339</v>
      </c>
      <c r="B588" t="s">
        <v>896</v>
      </c>
      <c r="C588" t="s">
        <v>385</v>
      </c>
      <c r="G588" s="47" t="str">
        <f>IF(Tabelle1[[#This Row],[Kunde Nr.]]&lt;$I$2,$J$2,IF(Tabelle1[[#This Row],[Kunde Nr.]]&lt;$I$3,$J$3,IF(Tabelle1[[#This Row],[Kunde Nr.]]&lt;$I$4,$J$4,0)))</f>
        <v>Miloti</v>
      </c>
    </row>
    <row r="589" spans="1:7" x14ac:dyDescent="0.25">
      <c r="A589">
        <v>30340</v>
      </c>
      <c r="B589" t="s">
        <v>909</v>
      </c>
      <c r="C589" t="s">
        <v>385</v>
      </c>
      <c r="G589" s="47" t="str">
        <f>IF(Tabelle1[[#This Row],[Kunde Nr.]]&lt;$I$2,$J$2,IF(Tabelle1[[#This Row],[Kunde Nr.]]&lt;$I$3,$J$3,IF(Tabelle1[[#This Row],[Kunde Nr.]]&lt;$I$4,$J$4,0)))</f>
        <v>Miloti</v>
      </c>
    </row>
    <row r="590" spans="1:7" x14ac:dyDescent="0.25">
      <c r="A590">
        <v>30341</v>
      </c>
      <c r="B590" t="s">
        <v>941</v>
      </c>
      <c r="C590" t="s">
        <v>385</v>
      </c>
      <c r="G590" s="47" t="str">
        <f>IF(Tabelle1[[#This Row],[Kunde Nr.]]&lt;$I$2,$J$2,IF(Tabelle1[[#This Row],[Kunde Nr.]]&lt;$I$3,$J$3,IF(Tabelle1[[#This Row],[Kunde Nr.]]&lt;$I$4,$J$4,0)))</f>
        <v>Miloti</v>
      </c>
    </row>
    <row r="591" spans="1:7" x14ac:dyDescent="0.25">
      <c r="A591">
        <v>30342</v>
      </c>
      <c r="B591" t="s">
        <v>942</v>
      </c>
      <c r="C591" t="s">
        <v>385</v>
      </c>
      <c r="G591" s="47" t="str">
        <f>IF(Tabelle1[[#This Row],[Kunde Nr.]]&lt;$I$2,$J$2,IF(Tabelle1[[#This Row],[Kunde Nr.]]&lt;$I$3,$J$3,IF(Tabelle1[[#This Row],[Kunde Nr.]]&lt;$I$4,$J$4,0)))</f>
        <v>Miloti</v>
      </c>
    </row>
    <row r="592" spans="1:7" x14ac:dyDescent="0.25">
      <c r="A592">
        <v>30343</v>
      </c>
      <c r="B592" t="s">
        <v>943</v>
      </c>
      <c r="C592" t="s">
        <v>385</v>
      </c>
      <c r="F592" t="s">
        <v>952</v>
      </c>
      <c r="G592" s="47" t="str">
        <f>IF(Tabelle1[[#This Row],[Kunde Nr.]]&lt;$I$2,$J$2,IF(Tabelle1[[#This Row],[Kunde Nr.]]&lt;$I$3,$J$3,IF(Tabelle1[[#This Row],[Kunde Nr.]]&lt;$I$4,$J$4,0)))</f>
        <v>Miloti</v>
      </c>
    </row>
    <row r="593" spans="1:7" x14ac:dyDescent="0.25">
      <c r="A593">
        <v>30344</v>
      </c>
      <c r="B593" t="s">
        <v>971</v>
      </c>
      <c r="C593" t="s">
        <v>385</v>
      </c>
      <c r="G593" s="47" t="str">
        <f>IF(Tabelle1[[#This Row],[Kunde Nr.]]&lt;$I$2,$J$2,IF(Tabelle1[[#This Row],[Kunde Nr.]]&lt;$I$3,$J$3,IF(Tabelle1[[#This Row],[Kunde Nr.]]&lt;$I$4,$J$4,0)))</f>
        <v>Miloti</v>
      </c>
    </row>
    <row r="594" spans="1:7" x14ac:dyDescent="0.25">
      <c r="A594">
        <v>30345</v>
      </c>
      <c r="B594" t="s">
        <v>974</v>
      </c>
      <c r="C594" t="s">
        <v>385</v>
      </c>
      <c r="G594" s="47" t="str">
        <f>IF(Tabelle1[[#This Row],[Kunde Nr.]]&lt;$I$2,$J$2,IF(Tabelle1[[#This Row],[Kunde Nr.]]&lt;$I$3,$J$3,IF(Tabelle1[[#This Row],[Kunde Nr.]]&lt;$I$4,$J$4,0)))</f>
        <v>Miloti</v>
      </c>
    </row>
    <row r="595" spans="1:7" x14ac:dyDescent="0.25">
      <c r="A595">
        <v>30346</v>
      </c>
      <c r="B595" t="s">
        <v>975</v>
      </c>
      <c r="C595" t="s">
        <v>385</v>
      </c>
      <c r="G595" s="47" t="str">
        <f>IF(Tabelle1[[#This Row],[Kunde Nr.]]&lt;$I$2,$J$2,IF(Tabelle1[[#This Row],[Kunde Nr.]]&lt;$I$3,$J$3,IF(Tabelle1[[#This Row],[Kunde Nr.]]&lt;$I$4,$J$4,0)))</f>
        <v>Miloti</v>
      </c>
    </row>
    <row r="596" spans="1:7" x14ac:dyDescent="0.25">
      <c r="A596">
        <v>30347</v>
      </c>
      <c r="B596" t="s">
        <v>979</v>
      </c>
      <c r="C596" t="s">
        <v>385</v>
      </c>
      <c r="G596" s="47" t="str">
        <f>IF(Tabelle1[[#This Row],[Kunde Nr.]]&lt;$I$2,$J$2,IF(Tabelle1[[#This Row],[Kunde Nr.]]&lt;$I$3,$J$3,IF(Tabelle1[[#This Row],[Kunde Nr.]]&lt;$I$4,$J$4,0)))</f>
        <v>Miloti</v>
      </c>
    </row>
    <row r="597" spans="1:7" x14ac:dyDescent="0.25">
      <c r="A597">
        <v>30348</v>
      </c>
      <c r="B597" t="s">
        <v>982</v>
      </c>
      <c r="C597" t="s">
        <v>385</v>
      </c>
      <c r="G597" s="47" t="str">
        <f>IF(Tabelle1[[#This Row],[Kunde Nr.]]&lt;$I$2,$J$2,IF(Tabelle1[[#This Row],[Kunde Nr.]]&lt;$I$3,$J$3,IF(Tabelle1[[#This Row],[Kunde Nr.]]&lt;$I$4,$J$4,0)))</f>
        <v>Miloti</v>
      </c>
    </row>
    <row r="598" spans="1:7" x14ac:dyDescent="0.25">
      <c r="A598">
        <v>30349</v>
      </c>
      <c r="B598" t="s">
        <v>983</v>
      </c>
      <c r="C598" t="s">
        <v>385</v>
      </c>
      <c r="G598" s="47" t="str">
        <f>IF(Tabelle1[[#This Row],[Kunde Nr.]]&lt;$I$2,$J$2,IF(Tabelle1[[#This Row],[Kunde Nr.]]&lt;$I$3,$J$3,IF(Tabelle1[[#This Row],[Kunde Nr.]]&lt;$I$4,$J$4,0)))</f>
        <v>Miloti</v>
      </c>
    </row>
    <row r="599" spans="1:7" x14ac:dyDescent="0.25">
      <c r="A599">
        <v>30350</v>
      </c>
      <c r="B599" t="s">
        <v>984</v>
      </c>
      <c r="C599" t="s">
        <v>385</v>
      </c>
      <c r="G599" s="47" t="str">
        <f>IF(Tabelle1[[#This Row],[Kunde Nr.]]&lt;$I$2,$J$2,IF(Tabelle1[[#This Row],[Kunde Nr.]]&lt;$I$3,$J$3,IF(Tabelle1[[#This Row],[Kunde Nr.]]&lt;$I$4,$J$4,0)))</f>
        <v>Miloti</v>
      </c>
    </row>
    <row r="600" spans="1:7" x14ac:dyDescent="0.25">
      <c r="A600">
        <v>30351</v>
      </c>
      <c r="B600" t="s">
        <v>985</v>
      </c>
      <c r="C600" t="s">
        <v>429</v>
      </c>
      <c r="G600" s="47" t="str">
        <f>IF(Tabelle1[[#This Row],[Kunde Nr.]]&lt;$I$2,$J$2,IF(Tabelle1[[#This Row],[Kunde Nr.]]&lt;$I$3,$J$3,IF(Tabelle1[[#This Row],[Kunde Nr.]]&lt;$I$4,$J$4,0)))</f>
        <v>Miloti</v>
      </c>
    </row>
    <row r="601" spans="1:7" x14ac:dyDescent="0.25">
      <c r="A601">
        <v>30352</v>
      </c>
      <c r="B601" t="s">
        <v>986</v>
      </c>
      <c r="C601" t="s">
        <v>389</v>
      </c>
      <c r="G601" s="47" t="str">
        <f>IF(Tabelle1[[#This Row],[Kunde Nr.]]&lt;$I$2,$J$2,IF(Tabelle1[[#This Row],[Kunde Nr.]]&lt;$I$3,$J$3,IF(Tabelle1[[#This Row],[Kunde Nr.]]&lt;$I$4,$J$4,0)))</f>
        <v>Miloti</v>
      </c>
    </row>
    <row r="602" spans="1:7" x14ac:dyDescent="0.25">
      <c r="A602">
        <v>30353</v>
      </c>
      <c r="B602" t="s">
        <v>1000</v>
      </c>
      <c r="C602" t="s">
        <v>389</v>
      </c>
      <c r="G602" s="47" t="str">
        <f>IF(Tabelle1[[#This Row],[Kunde Nr.]]&lt;$I$2,$J$2,IF(Tabelle1[[#This Row],[Kunde Nr.]]&lt;$I$3,$J$3,IF(Tabelle1[[#This Row],[Kunde Nr.]]&lt;$I$4,$J$4,0)))</f>
        <v>Miloti</v>
      </c>
    </row>
    <row r="603" spans="1:7" x14ac:dyDescent="0.25">
      <c r="A603">
        <v>30354</v>
      </c>
      <c r="B603" t="s">
        <v>1001</v>
      </c>
      <c r="C603" t="s">
        <v>389</v>
      </c>
      <c r="G603" s="47" t="str">
        <f>IF(Tabelle1[[#This Row],[Kunde Nr.]]&lt;$I$2,$J$2,IF(Tabelle1[[#This Row],[Kunde Nr.]]&lt;$I$3,$J$3,IF(Tabelle1[[#This Row],[Kunde Nr.]]&lt;$I$4,$J$4,0)))</f>
        <v>Miloti</v>
      </c>
    </row>
    <row r="604" spans="1:7" x14ac:dyDescent="0.25">
      <c r="A604">
        <v>30355</v>
      </c>
      <c r="B604" t="s">
        <v>1002</v>
      </c>
      <c r="C604" t="s">
        <v>429</v>
      </c>
      <c r="G604" s="47" t="str">
        <f>IF(Tabelle1[[#This Row],[Kunde Nr.]]&lt;$I$2,$J$2,IF(Tabelle1[[#This Row],[Kunde Nr.]]&lt;$I$3,$J$3,IF(Tabelle1[[#This Row],[Kunde Nr.]]&lt;$I$4,$J$4,0)))</f>
        <v>Miloti</v>
      </c>
    </row>
    <row r="605" spans="1:7" x14ac:dyDescent="0.25">
      <c r="A605">
        <v>30356</v>
      </c>
      <c r="B605" t="s">
        <v>1003</v>
      </c>
      <c r="C605" t="s">
        <v>385</v>
      </c>
      <c r="G605" s="47" t="str">
        <f>IF(Tabelle1[[#This Row],[Kunde Nr.]]&lt;$I$2,$J$2,IF(Tabelle1[[#This Row],[Kunde Nr.]]&lt;$I$3,$J$3,IF(Tabelle1[[#This Row],[Kunde Nr.]]&lt;$I$4,$J$4,0)))</f>
        <v>Miloti</v>
      </c>
    </row>
    <row r="606" spans="1:7" x14ac:dyDescent="0.25">
      <c r="A606">
        <v>30357</v>
      </c>
      <c r="B606" t="s">
        <v>1033</v>
      </c>
      <c r="C606" t="s">
        <v>389</v>
      </c>
      <c r="G606" s="47" t="str">
        <f>IF(Tabelle1[[#This Row],[Kunde Nr.]]&lt;$I$2,$J$2,IF(Tabelle1[[#This Row],[Kunde Nr.]]&lt;$I$3,$J$3,IF(Tabelle1[[#This Row],[Kunde Nr.]]&lt;$I$4,$J$4,0)))</f>
        <v>Miloti</v>
      </c>
    </row>
    <row r="607" spans="1:7" x14ac:dyDescent="0.25">
      <c r="A607" s="7">
        <v>30358</v>
      </c>
      <c r="B607" t="s">
        <v>1034</v>
      </c>
      <c r="C607" t="s">
        <v>385</v>
      </c>
      <c r="G607" s="47" t="str">
        <f>IF(Tabelle1[[#This Row],[Kunde Nr.]]&lt;$I$2,$J$2,IF(Tabelle1[[#This Row],[Kunde Nr.]]&lt;$I$3,$J$3,IF(Tabelle1[[#This Row],[Kunde Nr.]]&lt;$I$4,$J$4,0)))</f>
        <v>Miloti</v>
      </c>
    </row>
    <row r="608" spans="1:7" x14ac:dyDescent="0.25">
      <c r="A608">
        <v>30359</v>
      </c>
      <c r="B608" t="s">
        <v>1035</v>
      </c>
      <c r="C608" t="s">
        <v>389</v>
      </c>
      <c r="G608" s="47" t="str">
        <f>IF(Tabelle1[[#This Row],[Kunde Nr.]]&lt;$I$2,$J$2,IF(Tabelle1[[#This Row],[Kunde Nr.]]&lt;$I$3,$J$3,IF(Tabelle1[[#This Row],[Kunde Nr.]]&lt;$I$4,$J$4,0)))</f>
        <v>Miloti</v>
      </c>
    </row>
    <row r="609" spans="1:7" x14ac:dyDescent="0.25">
      <c r="A609" s="7">
        <v>30360</v>
      </c>
      <c r="B609" t="s">
        <v>1036</v>
      </c>
      <c r="C609" t="s">
        <v>389</v>
      </c>
      <c r="G609" s="47" t="str">
        <f>IF(Tabelle1[[#This Row],[Kunde Nr.]]&lt;$I$2,$J$2,IF(Tabelle1[[#This Row],[Kunde Nr.]]&lt;$I$3,$J$3,IF(Tabelle1[[#This Row],[Kunde Nr.]]&lt;$I$4,$J$4,0)))</f>
        <v>Miloti</v>
      </c>
    </row>
    <row r="610" spans="1:7" x14ac:dyDescent="0.25">
      <c r="A610">
        <v>30361</v>
      </c>
      <c r="B610" t="s">
        <v>1090</v>
      </c>
      <c r="C610" t="s">
        <v>1091</v>
      </c>
      <c r="G610" s="47" t="str">
        <f>IF(Tabelle1[[#This Row],[Kunde Nr.]]&lt;$I$2,$J$2,IF(Tabelle1[[#This Row],[Kunde Nr.]]&lt;$I$3,$J$3,IF(Tabelle1[[#This Row],[Kunde Nr.]]&lt;$I$4,$J$4,0)))</f>
        <v>Miloti</v>
      </c>
    </row>
    <row r="611" spans="1:7" x14ac:dyDescent="0.25">
      <c r="A611" s="7">
        <v>30362</v>
      </c>
      <c r="B611" t="s">
        <v>1116</v>
      </c>
      <c r="C611" t="s">
        <v>385</v>
      </c>
      <c r="G611" s="47" t="str">
        <f>IF(Tabelle1[[#This Row],[Kunde Nr.]]&lt;$I$2,$J$2,IF(Tabelle1[[#This Row],[Kunde Nr.]]&lt;$I$3,$J$3,IF(Tabelle1[[#This Row],[Kunde Nr.]]&lt;$I$4,$J$4,0)))</f>
        <v>Miloti</v>
      </c>
    </row>
    <row r="612" spans="1:7" x14ac:dyDescent="0.25">
      <c r="A612">
        <v>30365</v>
      </c>
      <c r="B612" t="s">
        <v>1147</v>
      </c>
      <c r="C612" t="s">
        <v>385</v>
      </c>
      <c r="G612" s="47" t="str">
        <f>IF(Tabelle1[[#This Row],[Kunde Nr.]]&lt;$I$2,$J$2,IF(Tabelle1[[#This Row],[Kunde Nr.]]&lt;$I$3,$J$3,IF(Tabelle1[[#This Row],[Kunde Nr.]]&lt;$I$4,$J$4,0)))</f>
        <v>Miloti</v>
      </c>
    </row>
    <row r="613" spans="1:7" x14ac:dyDescent="0.25">
      <c r="A613">
        <v>30401</v>
      </c>
      <c r="B613" t="s">
        <v>54</v>
      </c>
      <c r="C613" t="s">
        <v>55</v>
      </c>
      <c r="D613" s="37">
        <v>811044619</v>
      </c>
      <c r="E613" s="1" t="s">
        <v>57</v>
      </c>
      <c r="G613" t="str">
        <f>IF(Tabelle1[[#This Row],[Kunde Nr.]]&lt;$I$2,$J$2,IF(Tabelle1[[#This Row],[Kunde Nr.]]&lt;$I$3,$J$3,IF(Tabelle1[[#This Row],[Kunde Nr.]]&lt;$I$4,$J$4,0)))</f>
        <v>Miloti</v>
      </c>
    </row>
    <row r="614" spans="1:7" x14ac:dyDescent="0.25">
      <c r="A614">
        <v>30402</v>
      </c>
      <c r="B614" t="s">
        <v>56</v>
      </c>
      <c r="C614" t="s">
        <v>55</v>
      </c>
      <c r="D614" s="37">
        <v>810085622</v>
      </c>
      <c r="E614" s="1" t="s">
        <v>58</v>
      </c>
      <c r="G614" t="str">
        <f>IF(Tabelle1[[#This Row],[Kunde Nr.]]&lt;$I$2,$J$2,IF(Tabelle1[[#This Row],[Kunde Nr.]]&lt;$I$3,$J$3,IF(Tabelle1[[#This Row],[Kunde Nr.]]&lt;$I$4,$J$4,0)))</f>
        <v>Miloti</v>
      </c>
    </row>
    <row r="615" spans="1:7" x14ac:dyDescent="0.25">
      <c r="A615">
        <v>30403</v>
      </c>
      <c r="B615" t="s">
        <v>60</v>
      </c>
      <c r="C615" t="s">
        <v>55</v>
      </c>
      <c r="D615" s="37">
        <v>810002171</v>
      </c>
      <c r="E615" s="1" t="s">
        <v>61</v>
      </c>
      <c r="F615" t="s">
        <v>431</v>
      </c>
      <c r="G615" t="str">
        <f>IF(Tabelle1[[#This Row],[Kunde Nr.]]&lt;$I$2,$J$2,IF(Tabelle1[[#This Row],[Kunde Nr.]]&lt;$I$3,$J$3,IF(Tabelle1[[#This Row],[Kunde Nr.]]&lt;$I$4,$J$4,0)))</f>
        <v>Miloti</v>
      </c>
    </row>
    <row r="616" spans="1:7" x14ac:dyDescent="0.25">
      <c r="A616">
        <v>30404</v>
      </c>
      <c r="B616" t="s">
        <v>62</v>
      </c>
      <c r="C616" t="s">
        <v>63</v>
      </c>
      <c r="D616" s="37">
        <v>810086935</v>
      </c>
      <c r="E616" s="1" t="s">
        <v>64</v>
      </c>
      <c r="G616" t="str">
        <f>IF(Tabelle1[[#This Row],[Kunde Nr.]]&lt;$I$2,$J$2,IF(Tabelle1[[#This Row],[Kunde Nr.]]&lt;$I$3,$J$3,IF(Tabelle1[[#This Row],[Kunde Nr.]]&lt;$I$4,$J$4,0)))</f>
        <v>Miloti</v>
      </c>
    </row>
    <row r="617" spans="1:7" x14ac:dyDescent="0.25">
      <c r="A617">
        <v>30405</v>
      </c>
      <c r="B617" t="s">
        <v>65</v>
      </c>
      <c r="C617" t="s">
        <v>63</v>
      </c>
      <c r="D617" s="37">
        <v>600021670</v>
      </c>
      <c r="E617" s="1" t="s">
        <v>66</v>
      </c>
      <c r="G617" t="str">
        <f>IF(Tabelle1[[#This Row],[Kunde Nr.]]&lt;$I$2,$J$2,IF(Tabelle1[[#This Row],[Kunde Nr.]]&lt;$I$3,$J$3,IF(Tabelle1[[#This Row],[Kunde Nr.]]&lt;$I$4,$J$4,0)))</f>
        <v>Miloti</v>
      </c>
    </row>
    <row r="618" spans="1:7" x14ac:dyDescent="0.25">
      <c r="A618">
        <v>30406</v>
      </c>
      <c r="B618" t="s">
        <v>67</v>
      </c>
      <c r="C618" t="s">
        <v>63</v>
      </c>
      <c r="D618" s="37">
        <v>810066557</v>
      </c>
      <c r="E618" s="1" t="s">
        <v>68</v>
      </c>
      <c r="F618" t="s">
        <v>70</v>
      </c>
      <c r="G618" t="str">
        <f>IF(Tabelle1[[#This Row],[Kunde Nr.]]&lt;$I$2,$J$2,IF(Tabelle1[[#This Row],[Kunde Nr.]]&lt;$I$3,$J$3,IF(Tabelle1[[#This Row],[Kunde Nr.]]&lt;$I$4,$J$4,0)))</f>
        <v>Miloti</v>
      </c>
    </row>
    <row r="619" spans="1:7" x14ac:dyDescent="0.25">
      <c r="A619">
        <v>30407</v>
      </c>
      <c r="B619" t="s">
        <v>71</v>
      </c>
      <c r="C619" t="s">
        <v>63</v>
      </c>
      <c r="D619" s="37">
        <v>600023569</v>
      </c>
      <c r="F619" t="s">
        <v>661</v>
      </c>
      <c r="G619" t="str">
        <f>IF(Tabelle1[[#This Row],[Kunde Nr.]]&lt;$I$2,$J$2,IF(Tabelle1[[#This Row],[Kunde Nr.]]&lt;$I$3,$J$3,IF(Tabelle1[[#This Row],[Kunde Nr.]]&lt;$I$4,$J$4,0)))</f>
        <v>Miloti</v>
      </c>
    </row>
    <row r="620" spans="1:7" x14ac:dyDescent="0.25">
      <c r="A620">
        <v>30408</v>
      </c>
      <c r="B620" t="s">
        <v>72</v>
      </c>
      <c r="C620" t="s">
        <v>73</v>
      </c>
      <c r="F620" t="s">
        <v>74</v>
      </c>
      <c r="G620" t="str">
        <f>IF(Tabelle1[[#This Row],[Kunde Nr.]]&lt;$I$2,$J$2,IF(Tabelle1[[#This Row],[Kunde Nr.]]&lt;$I$3,$J$3,IF(Tabelle1[[#This Row],[Kunde Nr.]]&lt;$I$4,$J$4,0)))</f>
        <v>Miloti</v>
      </c>
    </row>
    <row r="621" spans="1:7" x14ac:dyDescent="0.25">
      <c r="A621">
        <v>30409</v>
      </c>
      <c r="B621" t="s">
        <v>75</v>
      </c>
      <c r="C621" t="s">
        <v>73</v>
      </c>
      <c r="F621" t="s">
        <v>76</v>
      </c>
      <c r="G621" t="str">
        <f>IF(Tabelle1[[#This Row],[Kunde Nr.]]&lt;$I$2,$J$2,IF(Tabelle1[[#This Row],[Kunde Nr.]]&lt;$I$3,$J$3,IF(Tabelle1[[#This Row],[Kunde Nr.]]&lt;$I$4,$J$4,0)))</f>
        <v>Miloti</v>
      </c>
    </row>
    <row r="622" spans="1:7" x14ac:dyDescent="0.25">
      <c r="A622">
        <v>30410</v>
      </c>
      <c r="B622" t="s">
        <v>77</v>
      </c>
      <c r="C622" t="s">
        <v>660</v>
      </c>
      <c r="F622" t="s">
        <v>431</v>
      </c>
      <c r="G622" t="str">
        <f>IF(Tabelle1[[#This Row],[Kunde Nr.]]&lt;$I$2,$J$2,IF(Tabelle1[[#This Row],[Kunde Nr.]]&lt;$I$3,$J$3,IF(Tabelle1[[#This Row],[Kunde Nr.]]&lt;$I$4,$J$4,0)))</f>
        <v>Miloti</v>
      </c>
    </row>
    <row r="623" spans="1:7" x14ac:dyDescent="0.25">
      <c r="A623">
        <v>30411</v>
      </c>
      <c r="B623" t="s">
        <v>78</v>
      </c>
      <c r="C623" t="s">
        <v>660</v>
      </c>
      <c r="D623" s="37">
        <v>810220559</v>
      </c>
      <c r="G623" t="str">
        <f>IF(Tabelle1[[#This Row],[Kunde Nr.]]&lt;$I$2,$J$2,IF(Tabelle1[[#This Row],[Kunde Nr.]]&lt;$I$3,$J$3,IF(Tabelle1[[#This Row],[Kunde Nr.]]&lt;$I$4,$J$4,0)))</f>
        <v>Miloti</v>
      </c>
    </row>
    <row r="624" spans="1:7" x14ac:dyDescent="0.25">
      <c r="A624">
        <v>30412</v>
      </c>
      <c r="B624" t="s">
        <v>79</v>
      </c>
      <c r="C624" t="s">
        <v>660</v>
      </c>
      <c r="D624" s="37">
        <v>810013475</v>
      </c>
      <c r="G624" t="str">
        <f>IF(Tabelle1[[#This Row],[Kunde Nr.]]&lt;$I$2,$J$2,IF(Tabelle1[[#This Row],[Kunde Nr.]]&lt;$I$3,$J$3,IF(Tabelle1[[#This Row],[Kunde Nr.]]&lt;$I$4,$J$4,0)))</f>
        <v>Miloti</v>
      </c>
    </row>
    <row r="625" spans="1:7" x14ac:dyDescent="0.25">
      <c r="A625">
        <v>30413</v>
      </c>
      <c r="B625" t="s">
        <v>640</v>
      </c>
      <c r="C625" t="s">
        <v>660</v>
      </c>
      <c r="G625" t="str">
        <f>IF(Tabelle1[[#This Row],[Kunde Nr.]]&lt;$I$2,$J$2,IF(Tabelle1[[#This Row],[Kunde Nr.]]&lt;$I$3,$J$3,IF(Tabelle1[[#This Row],[Kunde Nr.]]&lt;$I$4,$J$4,0)))</f>
        <v>Miloti</v>
      </c>
    </row>
    <row r="626" spans="1:7" x14ac:dyDescent="0.25">
      <c r="A626">
        <v>30414</v>
      </c>
      <c r="B626" t="s">
        <v>641</v>
      </c>
      <c r="C626" t="s">
        <v>660</v>
      </c>
      <c r="G626" t="str">
        <f>IF(Tabelle1[[#This Row],[Kunde Nr.]]&lt;$I$2,$J$2,IF(Tabelle1[[#This Row],[Kunde Nr.]]&lt;$I$3,$J$3,IF(Tabelle1[[#This Row],[Kunde Nr.]]&lt;$I$4,$J$4,0)))</f>
        <v>Miloti</v>
      </c>
    </row>
    <row r="627" spans="1:7" x14ac:dyDescent="0.25">
      <c r="A627">
        <v>30415</v>
      </c>
      <c r="B627" t="s">
        <v>642</v>
      </c>
      <c r="C627" t="s">
        <v>660</v>
      </c>
      <c r="G627" t="str">
        <f>IF(Tabelle1[[#This Row],[Kunde Nr.]]&lt;$I$2,$J$2,IF(Tabelle1[[#This Row],[Kunde Nr.]]&lt;$I$3,$J$3,IF(Tabelle1[[#This Row],[Kunde Nr.]]&lt;$I$4,$J$4,0)))</f>
        <v>Miloti</v>
      </c>
    </row>
    <row r="628" spans="1:7" x14ac:dyDescent="0.25">
      <c r="A628">
        <v>30416</v>
      </c>
      <c r="B628" t="s">
        <v>645</v>
      </c>
      <c r="C628" t="s">
        <v>660</v>
      </c>
      <c r="G628" t="str">
        <f>IF(Tabelle1[[#This Row],[Kunde Nr.]]&lt;$I$2,$J$2,IF(Tabelle1[[#This Row],[Kunde Nr.]]&lt;$I$3,$J$3,IF(Tabelle1[[#This Row],[Kunde Nr.]]&lt;$I$4,$J$4,0)))</f>
        <v>Miloti</v>
      </c>
    </row>
    <row r="629" spans="1:7" x14ac:dyDescent="0.25">
      <c r="A629">
        <v>30417</v>
      </c>
      <c r="B629" t="s">
        <v>643</v>
      </c>
      <c r="C629" t="s">
        <v>660</v>
      </c>
      <c r="G629" t="str">
        <f>IF(Tabelle1[[#This Row],[Kunde Nr.]]&lt;$I$2,$J$2,IF(Tabelle1[[#This Row],[Kunde Nr.]]&lt;$I$3,$J$3,IF(Tabelle1[[#This Row],[Kunde Nr.]]&lt;$I$4,$J$4,0)))</f>
        <v>Miloti</v>
      </c>
    </row>
    <row r="630" spans="1:7" x14ac:dyDescent="0.25">
      <c r="A630">
        <v>30418</v>
      </c>
      <c r="B630" t="s">
        <v>644</v>
      </c>
      <c r="C630" t="s">
        <v>55</v>
      </c>
      <c r="G630" t="str">
        <f>IF(Tabelle1[[#This Row],[Kunde Nr.]]&lt;$I$2,$J$2,IF(Tabelle1[[#This Row],[Kunde Nr.]]&lt;$I$3,$J$3,IF(Tabelle1[[#This Row],[Kunde Nr.]]&lt;$I$4,$J$4,0)))</f>
        <v>Miloti</v>
      </c>
    </row>
    <row r="631" spans="1:7" x14ac:dyDescent="0.25">
      <c r="A631">
        <v>30419</v>
      </c>
      <c r="B631" t="s">
        <v>679</v>
      </c>
      <c r="C631" t="s">
        <v>677</v>
      </c>
      <c r="G631" s="47" t="str">
        <f>IF(Tabelle1[[#This Row],[Kunde Nr.]]&lt;$I$2,$J$2,IF(Tabelle1[[#This Row],[Kunde Nr.]]&lt;$I$3,$J$3,IF(Tabelle1[[#This Row],[Kunde Nr.]]&lt;$I$4,$J$4,0)))</f>
        <v>Miloti</v>
      </c>
    </row>
    <row r="632" spans="1:7" x14ac:dyDescent="0.25">
      <c r="A632">
        <v>30420</v>
      </c>
      <c r="B632" t="s">
        <v>680</v>
      </c>
      <c r="C632" t="s">
        <v>677</v>
      </c>
      <c r="G632" s="47" t="str">
        <f>IF(Tabelle1[[#This Row],[Kunde Nr.]]&lt;$I$2,$J$2,IF(Tabelle1[[#This Row],[Kunde Nr.]]&lt;$I$3,$J$3,IF(Tabelle1[[#This Row],[Kunde Nr.]]&lt;$I$4,$J$4,0)))</f>
        <v>Miloti</v>
      </c>
    </row>
    <row r="633" spans="1:7" x14ac:dyDescent="0.25">
      <c r="A633">
        <v>30421</v>
      </c>
      <c r="B633" t="s">
        <v>678</v>
      </c>
      <c r="C633" t="s">
        <v>677</v>
      </c>
      <c r="G633" s="47" t="str">
        <f>IF(Tabelle1[[#This Row],[Kunde Nr.]]&lt;$I$2,$J$2,IF(Tabelle1[[#This Row],[Kunde Nr.]]&lt;$I$3,$J$3,IF(Tabelle1[[#This Row],[Kunde Nr.]]&lt;$I$4,$J$4,0)))</f>
        <v>Miloti</v>
      </c>
    </row>
    <row r="634" spans="1:7" x14ac:dyDescent="0.25">
      <c r="A634">
        <v>30422</v>
      </c>
      <c r="B634" t="s">
        <v>681</v>
      </c>
      <c r="C634" t="s">
        <v>63</v>
      </c>
      <c r="F634" t="s">
        <v>682</v>
      </c>
      <c r="G634" s="47" t="str">
        <f>IF(Tabelle1[[#This Row],[Kunde Nr.]]&lt;$I$2,$J$2,IF(Tabelle1[[#This Row],[Kunde Nr.]]&lt;$I$3,$J$3,IF(Tabelle1[[#This Row],[Kunde Nr.]]&lt;$I$4,$J$4,0)))</f>
        <v>Miloti</v>
      </c>
    </row>
    <row r="635" spans="1:7" x14ac:dyDescent="0.25">
      <c r="A635">
        <v>30423</v>
      </c>
      <c r="B635" t="s">
        <v>731</v>
      </c>
      <c r="C635" t="s">
        <v>660</v>
      </c>
      <c r="G635" s="47" t="str">
        <f>IF(Tabelle1[[#This Row],[Kunde Nr.]]&lt;$I$2,$J$2,IF(Tabelle1[[#This Row],[Kunde Nr.]]&lt;$I$3,$J$3,IF(Tabelle1[[#This Row],[Kunde Nr.]]&lt;$I$4,$J$4,0)))</f>
        <v>Miloti</v>
      </c>
    </row>
    <row r="636" spans="1:7" x14ac:dyDescent="0.25">
      <c r="A636">
        <v>30424</v>
      </c>
      <c r="B636" t="s">
        <v>733</v>
      </c>
      <c r="C636" t="s">
        <v>660</v>
      </c>
      <c r="G636" s="47" t="str">
        <f>IF(Tabelle1[[#This Row],[Kunde Nr.]]&lt;$I$2,$J$2,IF(Tabelle1[[#This Row],[Kunde Nr.]]&lt;$I$3,$J$3,IF(Tabelle1[[#This Row],[Kunde Nr.]]&lt;$I$4,$J$4,0)))</f>
        <v>Miloti</v>
      </c>
    </row>
    <row r="637" spans="1:7" x14ac:dyDescent="0.25">
      <c r="A637">
        <v>30425</v>
      </c>
      <c r="B637" t="s">
        <v>732</v>
      </c>
      <c r="C637" t="s">
        <v>660</v>
      </c>
      <c r="G637" s="47" t="str">
        <f>IF(Tabelle1[[#This Row],[Kunde Nr.]]&lt;$I$2,$J$2,IF(Tabelle1[[#This Row],[Kunde Nr.]]&lt;$I$3,$J$3,IF(Tabelle1[[#This Row],[Kunde Nr.]]&lt;$I$4,$J$4,0)))</f>
        <v>Miloti</v>
      </c>
    </row>
    <row r="638" spans="1:7" x14ac:dyDescent="0.25">
      <c r="A638">
        <v>30426</v>
      </c>
      <c r="B638" t="s">
        <v>749</v>
      </c>
      <c r="C638" t="s">
        <v>660</v>
      </c>
      <c r="G638" s="47" t="str">
        <f>IF(Tabelle1[[#This Row],[Kunde Nr.]]&lt;$I$2,$J$2,IF(Tabelle1[[#This Row],[Kunde Nr.]]&lt;$I$3,$J$3,IF(Tabelle1[[#This Row],[Kunde Nr.]]&lt;$I$4,$J$4,0)))</f>
        <v>Miloti</v>
      </c>
    </row>
    <row r="639" spans="1:7" x14ac:dyDescent="0.25">
      <c r="A639">
        <v>30427</v>
      </c>
      <c r="B639" t="s">
        <v>750</v>
      </c>
      <c r="C639" t="s">
        <v>660</v>
      </c>
      <c r="G639" s="47" t="str">
        <f>IF(Tabelle1[[#This Row],[Kunde Nr.]]&lt;$I$2,$J$2,IF(Tabelle1[[#This Row],[Kunde Nr.]]&lt;$I$3,$J$3,IF(Tabelle1[[#This Row],[Kunde Nr.]]&lt;$I$4,$J$4,0)))</f>
        <v>Miloti</v>
      </c>
    </row>
    <row r="640" spans="1:7" x14ac:dyDescent="0.25">
      <c r="A640">
        <v>30428</v>
      </c>
      <c r="B640" t="s">
        <v>748</v>
      </c>
      <c r="C640" t="s">
        <v>785</v>
      </c>
      <c r="G640" s="47" t="str">
        <f>IF(Tabelle1[[#This Row],[Kunde Nr.]]&lt;$I$2,$J$2,IF(Tabelle1[[#This Row],[Kunde Nr.]]&lt;$I$3,$J$3,IF(Tabelle1[[#This Row],[Kunde Nr.]]&lt;$I$4,$J$4,0)))</f>
        <v>Miloti</v>
      </c>
    </row>
    <row r="641" spans="1:7" x14ac:dyDescent="0.25">
      <c r="A641">
        <v>30429</v>
      </c>
      <c r="B641" t="s">
        <v>765</v>
      </c>
      <c r="C641" t="s">
        <v>785</v>
      </c>
      <c r="G641" s="47" t="str">
        <f>IF(Tabelle1[[#This Row],[Kunde Nr.]]&lt;$I$2,$J$2,IF(Tabelle1[[#This Row],[Kunde Nr.]]&lt;$I$3,$J$3,IF(Tabelle1[[#This Row],[Kunde Nr.]]&lt;$I$4,$J$4,0)))</f>
        <v>Miloti</v>
      </c>
    </row>
    <row r="642" spans="1:7" x14ac:dyDescent="0.25">
      <c r="A642">
        <v>30430</v>
      </c>
      <c r="B642" t="s">
        <v>763</v>
      </c>
      <c r="C642" t="s">
        <v>764</v>
      </c>
      <c r="G642" s="47" t="str">
        <f>IF(Tabelle1[[#This Row],[Kunde Nr.]]&lt;$I$2,$J$2,IF(Tabelle1[[#This Row],[Kunde Nr.]]&lt;$I$3,$J$3,IF(Tabelle1[[#This Row],[Kunde Nr.]]&lt;$I$4,$J$4,0)))</f>
        <v>Miloti</v>
      </c>
    </row>
    <row r="643" spans="1:7" x14ac:dyDescent="0.25">
      <c r="A643">
        <v>30431</v>
      </c>
      <c r="B643" t="s">
        <v>762</v>
      </c>
      <c r="C643" t="s">
        <v>785</v>
      </c>
      <c r="G643" s="47" t="str">
        <f>IF(Tabelle1[[#This Row],[Kunde Nr.]]&lt;$I$2,$J$2,IF(Tabelle1[[#This Row],[Kunde Nr.]]&lt;$I$3,$J$3,IF(Tabelle1[[#This Row],[Kunde Nr.]]&lt;$I$4,$J$4,0)))</f>
        <v>Miloti</v>
      </c>
    </row>
    <row r="644" spans="1:7" x14ac:dyDescent="0.25">
      <c r="A644">
        <v>30432</v>
      </c>
      <c r="B644" t="s">
        <v>788</v>
      </c>
      <c r="C644" t="s">
        <v>785</v>
      </c>
      <c r="G644" s="47" t="str">
        <f>IF(Tabelle1[[#This Row],[Kunde Nr.]]&lt;$I$2,$J$2,IF(Tabelle1[[#This Row],[Kunde Nr.]]&lt;$I$3,$J$3,IF(Tabelle1[[#This Row],[Kunde Nr.]]&lt;$I$4,$J$4,0)))</f>
        <v>Miloti</v>
      </c>
    </row>
    <row r="645" spans="1:7" x14ac:dyDescent="0.25">
      <c r="A645">
        <v>30433</v>
      </c>
      <c r="B645" t="s">
        <v>786</v>
      </c>
      <c r="C645" t="s">
        <v>787</v>
      </c>
      <c r="G645" s="47" t="str">
        <f>IF(Tabelle1[[#This Row],[Kunde Nr.]]&lt;$I$2,$J$2,IF(Tabelle1[[#This Row],[Kunde Nr.]]&lt;$I$3,$J$3,IF(Tabelle1[[#This Row],[Kunde Nr.]]&lt;$I$4,$J$4,0)))</f>
        <v>Miloti</v>
      </c>
    </row>
    <row r="646" spans="1:7" x14ac:dyDescent="0.25">
      <c r="A646">
        <v>30434</v>
      </c>
      <c r="B646" t="s">
        <v>784</v>
      </c>
      <c r="C646" t="s">
        <v>785</v>
      </c>
      <c r="G646" s="47" t="str">
        <f>IF(Tabelle1[[#This Row],[Kunde Nr.]]&lt;$I$2,$J$2,IF(Tabelle1[[#This Row],[Kunde Nr.]]&lt;$I$3,$J$3,IF(Tabelle1[[#This Row],[Kunde Nr.]]&lt;$I$4,$J$4,0)))</f>
        <v>Miloti</v>
      </c>
    </row>
    <row r="647" spans="1:7" x14ac:dyDescent="0.25">
      <c r="A647">
        <v>30435</v>
      </c>
      <c r="B647" t="s">
        <v>867</v>
      </c>
      <c r="C647" t="s">
        <v>783</v>
      </c>
      <c r="G647" s="47" t="str">
        <f>IF(Tabelle1[[#This Row],[Kunde Nr.]]&lt;$I$2,$J$2,IF(Tabelle1[[#This Row],[Kunde Nr.]]&lt;$I$3,$J$3,IF(Tabelle1[[#This Row],[Kunde Nr.]]&lt;$I$4,$J$4,0)))</f>
        <v>Miloti</v>
      </c>
    </row>
    <row r="648" spans="1:7" x14ac:dyDescent="0.25">
      <c r="A648">
        <v>30436</v>
      </c>
      <c r="B648" t="s">
        <v>782</v>
      </c>
      <c r="C648" t="s">
        <v>660</v>
      </c>
      <c r="G648" s="47" t="str">
        <f>IF(Tabelle1[[#This Row],[Kunde Nr.]]&lt;$I$2,$J$2,IF(Tabelle1[[#This Row],[Kunde Nr.]]&lt;$I$3,$J$3,IF(Tabelle1[[#This Row],[Kunde Nr.]]&lt;$I$4,$J$4,0)))</f>
        <v>Miloti</v>
      </c>
    </row>
    <row r="649" spans="1:7" x14ac:dyDescent="0.25">
      <c r="A649">
        <v>30437</v>
      </c>
      <c r="B649" t="s">
        <v>818</v>
      </c>
      <c r="C649" t="s">
        <v>63</v>
      </c>
      <c r="G649" s="47" t="str">
        <f>IF(Tabelle1[[#This Row],[Kunde Nr.]]&lt;$I$2,$J$2,IF(Tabelle1[[#This Row],[Kunde Nr.]]&lt;$I$3,$J$3,IF(Tabelle1[[#This Row],[Kunde Nr.]]&lt;$I$4,$J$4,0)))</f>
        <v>Miloti</v>
      </c>
    </row>
    <row r="650" spans="1:7" x14ac:dyDescent="0.25">
      <c r="A650">
        <v>30438</v>
      </c>
      <c r="B650" t="s">
        <v>826</v>
      </c>
      <c r="C650" t="s">
        <v>660</v>
      </c>
      <c r="G650" s="47" t="str">
        <f>IF(Tabelle1[[#This Row],[Kunde Nr.]]&lt;$I$2,$J$2,IF(Tabelle1[[#This Row],[Kunde Nr.]]&lt;$I$3,$J$3,IF(Tabelle1[[#This Row],[Kunde Nr.]]&lt;$I$4,$J$4,0)))</f>
        <v>Miloti</v>
      </c>
    </row>
    <row r="651" spans="1:7" x14ac:dyDescent="0.25">
      <c r="A651">
        <v>30439</v>
      </c>
      <c r="B651" t="s">
        <v>847</v>
      </c>
      <c r="C651" t="s">
        <v>660</v>
      </c>
      <c r="G651" s="47" t="str">
        <f>IF(Tabelle1[[#This Row],[Kunde Nr.]]&lt;$I$2,$J$2,IF(Tabelle1[[#This Row],[Kunde Nr.]]&lt;$I$3,$J$3,IF(Tabelle1[[#This Row],[Kunde Nr.]]&lt;$I$4,$J$4,0)))</f>
        <v>Miloti</v>
      </c>
    </row>
    <row r="652" spans="1:7" x14ac:dyDescent="0.25">
      <c r="A652">
        <v>30440</v>
      </c>
      <c r="B652" t="s">
        <v>846</v>
      </c>
      <c r="C652" t="s">
        <v>63</v>
      </c>
      <c r="G652" s="47" t="str">
        <f>IF(Tabelle1[[#This Row],[Kunde Nr.]]&lt;$I$2,$J$2,IF(Tabelle1[[#This Row],[Kunde Nr.]]&lt;$I$3,$J$3,IF(Tabelle1[[#This Row],[Kunde Nr.]]&lt;$I$4,$J$4,0)))</f>
        <v>Miloti</v>
      </c>
    </row>
    <row r="653" spans="1:7" x14ac:dyDescent="0.25">
      <c r="A653">
        <v>30441</v>
      </c>
      <c r="B653" t="s">
        <v>845</v>
      </c>
      <c r="C653" t="s">
        <v>63</v>
      </c>
      <c r="G653" s="47" t="str">
        <f>IF(Tabelle1[[#This Row],[Kunde Nr.]]&lt;$I$2,$J$2,IF(Tabelle1[[#This Row],[Kunde Nr.]]&lt;$I$3,$J$3,IF(Tabelle1[[#This Row],[Kunde Nr.]]&lt;$I$4,$J$4,0)))</f>
        <v>Miloti</v>
      </c>
    </row>
    <row r="654" spans="1:7" x14ac:dyDescent="0.25">
      <c r="A654">
        <v>30442</v>
      </c>
      <c r="B654" t="s">
        <v>858</v>
      </c>
      <c r="C654" t="s">
        <v>63</v>
      </c>
      <c r="G654" s="47" t="str">
        <f>IF(Tabelle1[[#This Row],[Kunde Nr.]]&lt;$I$2,$J$2,IF(Tabelle1[[#This Row],[Kunde Nr.]]&lt;$I$3,$J$3,IF(Tabelle1[[#This Row],[Kunde Nr.]]&lt;$I$4,$J$4,0)))</f>
        <v>Miloti</v>
      </c>
    </row>
    <row r="655" spans="1:7" x14ac:dyDescent="0.25">
      <c r="A655">
        <v>30443</v>
      </c>
      <c r="B655" t="s">
        <v>844</v>
      </c>
      <c r="C655" t="s">
        <v>677</v>
      </c>
      <c r="G655" s="47" t="str">
        <f>IF(Tabelle1[[#This Row],[Kunde Nr.]]&lt;$I$2,$J$2,IF(Tabelle1[[#This Row],[Kunde Nr.]]&lt;$I$3,$J$3,IF(Tabelle1[[#This Row],[Kunde Nr.]]&lt;$I$4,$J$4,0)))</f>
        <v>Miloti</v>
      </c>
    </row>
    <row r="656" spans="1:7" x14ac:dyDescent="0.25">
      <c r="A656">
        <v>30444</v>
      </c>
      <c r="B656" t="s">
        <v>865</v>
      </c>
      <c r="C656" t="s">
        <v>63</v>
      </c>
      <c r="F656" t="s">
        <v>866</v>
      </c>
      <c r="G656" s="47" t="str">
        <f>IF(Tabelle1[[#This Row],[Kunde Nr.]]&lt;$I$2,$J$2,IF(Tabelle1[[#This Row],[Kunde Nr.]]&lt;$I$3,$J$3,IF(Tabelle1[[#This Row],[Kunde Nr.]]&lt;$I$4,$J$4,0)))</f>
        <v>Miloti</v>
      </c>
    </row>
    <row r="657" spans="1:7" x14ac:dyDescent="0.25">
      <c r="A657">
        <v>30445</v>
      </c>
      <c r="B657" t="s">
        <v>875</v>
      </c>
      <c r="C657" t="s">
        <v>63</v>
      </c>
      <c r="G657" s="47" t="str">
        <f>IF(Tabelle1[[#This Row],[Kunde Nr.]]&lt;$I$2,$J$2,IF(Tabelle1[[#This Row],[Kunde Nr.]]&lt;$I$3,$J$3,IF(Tabelle1[[#This Row],[Kunde Nr.]]&lt;$I$4,$J$4,0)))</f>
        <v>Miloti</v>
      </c>
    </row>
    <row r="658" spans="1:7" x14ac:dyDescent="0.25">
      <c r="A658">
        <v>30446</v>
      </c>
      <c r="B658" t="s">
        <v>874</v>
      </c>
      <c r="C658" t="s">
        <v>785</v>
      </c>
      <c r="G658" s="47" t="str">
        <f>IF(Tabelle1[[#This Row],[Kunde Nr.]]&lt;$I$2,$J$2,IF(Tabelle1[[#This Row],[Kunde Nr.]]&lt;$I$3,$J$3,IF(Tabelle1[[#This Row],[Kunde Nr.]]&lt;$I$4,$J$4,0)))</f>
        <v>Miloti</v>
      </c>
    </row>
    <row r="659" spans="1:7" x14ac:dyDescent="0.25">
      <c r="A659">
        <v>30447</v>
      </c>
      <c r="B659" t="s">
        <v>887</v>
      </c>
      <c r="C659" t="s">
        <v>628</v>
      </c>
      <c r="G659" s="47" t="str">
        <f>IF(Tabelle1[[#This Row],[Kunde Nr.]]&lt;$I$2,$J$2,IF(Tabelle1[[#This Row],[Kunde Nr.]]&lt;$I$3,$J$3,IF(Tabelle1[[#This Row],[Kunde Nr.]]&lt;$I$4,$J$4,0)))</f>
        <v>Miloti</v>
      </c>
    </row>
    <row r="660" spans="1:7" x14ac:dyDescent="0.25">
      <c r="A660">
        <v>30448</v>
      </c>
      <c r="B660" t="s">
        <v>933</v>
      </c>
      <c r="C660" t="s">
        <v>785</v>
      </c>
      <c r="G660" s="47" t="str">
        <f>IF(Tabelle1[[#This Row],[Kunde Nr.]]&lt;$I$2,$J$2,IF(Tabelle1[[#This Row],[Kunde Nr.]]&lt;$I$3,$J$3,IF(Tabelle1[[#This Row],[Kunde Nr.]]&lt;$I$4,$J$4,0)))</f>
        <v>Miloti</v>
      </c>
    </row>
    <row r="661" spans="1:7" x14ac:dyDescent="0.25">
      <c r="A661">
        <v>30451</v>
      </c>
      <c r="B661" t="s">
        <v>958</v>
      </c>
      <c r="C661" t="s">
        <v>785</v>
      </c>
      <c r="G661" s="47" t="str">
        <f>IF(Tabelle1[[#This Row],[Kunde Nr.]]&lt;$I$2,$J$2,IF(Tabelle1[[#This Row],[Kunde Nr.]]&lt;$I$3,$J$3,IF(Tabelle1[[#This Row],[Kunde Nr.]]&lt;$I$4,$J$4,0)))</f>
        <v>Miloti</v>
      </c>
    </row>
    <row r="662" spans="1:7" x14ac:dyDescent="0.25">
      <c r="A662">
        <v>30453</v>
      </c>
      <c r="B662" t="s">
        <v>987</v>
      </c>
      <c r="C662" t="s">
        <v>785</v>
      </c>
      <c r="G662" s="47" t="str">
        <f>IF(Tabelle1[[#This Row],[Kunde Nr.]]&lt;$I$2,$J$2,IF(Tabelle1[[#This Row],[Kunde Nr.]]&lt;$I$3,$J$3,IF(Tabelle1[[#This Row],[Kunde Nr.]]&lt;$I$4,$J$4,0)))</f>
        <v>Miloti</v>
      </c>
    </row>
    <row r="663" spans="1:7" x14ac:dyDescent="0.25">
      <c r="A663">
        <v>30454</v>
      </c>
      <c r="B663" t="s">
        <v>1037</v>
      </c>
      <c r="C663" t="s">
        <v>63</v>
      </c>
      <c r="G663" s="47" t="str">
        <f>IF(Tabelle1[[#This Row],[Kunde Nr.]]&lt;$I$2,$J$2,IF(Tabelle1[[#This Row],[Kunde Nr.]]&lt;$I$3,$J$3,IF(Tabelle1[[#This Row],[Kunde Nr.]]&lt;$I$4,$J$4,0)))</f>
        <v>Miloti</v>
      </c>
    </row>
    <row r="664" spans="1:7" x14ac:dyDescent="0.25">
      <c r="A664" s="7">
        <v>30455</v>
      </c>
      <c r="B664" t="s">
        <v>1038</v>
      </c>
      <c r="C664" t="s">
        <v>63</v>
      </c>
      <c r="G664" s="47" t="str">
        <f>IF(Tabelle1[[#This Row],[Kunde Nr.]]&lt;$I$2,$J$2,IF(Tabelle1[[#This Row],[Kunde Nr.]]&lt;$I$3,$J$3,IF(Tabelle1[[#This Row],[Kunde Nr.]]&lt;$I$4,$J$4,0)))</f>
        <v>Miloti</v>
      </c>
    </row>
    <row r="665" spans="1:7" x14ac:dyDescent="0.25">
      <c r="A665">
        <v>30456</v>
      </c>
      <c r="B665" t="s">
        <v>1039</v>
      </c>
      <c r="C665" t="s">
        <v>660</v>
      </c>
      <c r="G665" s="47" t="str">
        <f>IF(Tabelle1[[#This Row],[Kunde Nr.]]&lt;$I$2,$J$2,IF(Tabelle1[[#This Row],[Kunde Nr.]]&lt;$I$3,$J$3,IF(Tabelle1[[#This Row],[Kunde Nr.]]&lt;$I$4,$J$4,0)))</f>
        <v>Miloti</v>
      </c>
    </row>
    <row r="666" spans="1:7" x14ac:dyDescent="0.25">
      <c r="A666" s="7">
        <v>30457</v>
      </c>
      <c r="B666" t="s">
        <v>1040</v>
      </c>
      <c r="C666" t="s">
        <v>785</v>
      </c>
      <c r="G666" s="47" t="str">
        <f>IF(Tabelle1[[#This Row],[Kunde Nr.]]&lt;$I$2,$J$2,IF(Tabelle1[[#This Row],[Kunde Nr.]]&lt;$I$3,$J$3,IF(Tabelle1[[#This Row],[Kunde Nr.]]&lt;$I$4,$J$4,0)))</f>
        <v>Miloti</v>
      </c>
    </row>
    <row r="667" spans="1:7" x14ac:dyDescent="0.25">
      <c r="A667">
        <v>30458</v>
      </c>
      <c r="B667" t="s">
        <v>1041</v>
      </c>
      <c r="C667" t="s">
        <v>660</v>
      </c>
      <c r="G667" s="47" t="str">
        <f>IF(Tabelle1[[#This Row],[Kunde Nr.]]&lt;$I$2,$J$2,IF(Tabelle1[[#This Row],[Kunde Nr.]]&lt;$I$3,$J$3,IF(Tabelle1[[#This Row],[Kunde Nr.]]&lt;$I$4,$J$4,0)))</f>
        <v>Miloti</v>
      </c>
    </row>
    <row r="668" spans="1:7" x14ac:dyDescent="0.25">
      <c r="A668">
        <v>30459</v>
      </c>
      <c r="B668" t="s">
        <v>1122</v>
      </c>
      <c r="C668" t="s">
        <v>677</v>
      </c>
      <c r="G668" s="47" t="str">
        <f>IF(Tabelle1[[#This Row],[Kunde Nr.]]&lt;$I$2,$J$2,IF(Tabelle1[[#This Row],[Kunde Nr.]]&lt;$I$3,$J$3,IF(Tabelle1[[#This Row],[Kunde Nr.]]&lt;$I$4,$J$4,0)))</f>
        <v>Miloti</v>
      </c>
    </row>
    <row r="669" spans="1:7" x14ac:dyDescent="0.25">
      <c r="A669">
        <v>30460</v>
      </c>
      <c r="B669" t="s">
        <v>1121</v>
      </c>
      <c r="C669" t="s">
        <v>660</v>
      </c>
      <c r="G669" s="47" t="str">
        <f>IF(Tabelle1[[#This Row],[Kunde Nr.]]&lt;$I$2,$J$2,IF(Tabelle1[[#This Row],[Kunde Nr.]]&lt;$I$3,$J$3,IF(Tabelle1[[#This Row],[Kunde Nr.]]&lt;$I$4,$J$4,0)))</f>
        <v>Miloti</v>
      </c>
    </row>
    <row r="670" spans="1:7" x14ac:dyDescent="0.25">
      <c r="A670">
        <v>30501</v>
      </c>
      <c r="B670" t="s">
        <v>372</v>
      </c>
      <c r="C670" t="s">
        <v>659</v>
      </c>
      <c r="F670" t="s">
        <v>431</v>
      </c>
      <c r="G670" t="str">
        <f>IF(Tabelle1[[#This Row],[Kunde Nr.]]&lt;$I$2,$J$2,IF(Tabelle1[[#This Row],[Kunde Nr.]]&lt;$I$3,$J$3,IF(Tabelle1[[#This Row],[Kunde Nr.]]&lt;$I$4,$J$4,0)))</f>
        <v>Miloti</v>
      </c>
    </row>
    <row r="671" spans="1:7" x14ac:dyDescent="0.25">
      <c r="A671">
        <v>30502</v>
      </c>
      <c r="B671" t="s">
        <v>373</v>
      </c>
      <c r="C671" t="s">
        <v>659</v>
      </c>
      <c r="D671" s="37">
        <v>600077491</v>
      </c>
      <c r="E671" s="1" t="s">
        <v>374</v>
      </c>
      <c r="G671" t="str">
        <f>IF(Tabelle1[[#This Row],[Kunde Nr.]]&lt;$I$2,$J$2,IF(Tabelle1[[#This Row],[Kunde Nr.]]&lt;$I$3,$J$3,IF(Tabelle1[[#This Row],[Kunde Nr.]]&lt;$I$4,$J$4,0)))</f>
        <v>Miloti</v>
      </c>
    </row>
    <row r="672" spans="1:7" x14ac:dyDescent="0.25">
      <c r="A672">
        <v>30503</v>
      </c>
      <c r="B672" t="s">
        <v>375</v>
      </c>
      <c r="C672" t="s">
        <v>659</v>
      </c>
      <c r="G672" t="str">
        <f>IF(Tabelle1[[#This Row],[Kunde Nr.]]&lt;$I$2,$J$2,IF(Tabelle1[[#This Row],[Kunde Nr.]]&lt;$I$3,$J$3,IF(Tabelle1[[#This Row],[Kunde Nr.]]&lt;$I$4,$J$4,0)))</f>
        <v>Miloti</v>
      </c>
    </row>
    <row r="673" spans="1:7" x14ac:dyDescent="0.25">
      <c r="A673">
        <v>30504</v>
      </c>
      <c r="B673" t="s">
        <v>377</v>
      </c>
      <c r="C673" t="s">
        <v>659</v>
      </c>
      <c r="G673" t="str">
        <f>IF(Tabelle1[[#This Row],[Kunde Nr.]]&lt;$I$2,$J$2,IF(Tabelle1[[#This Row],[Kunde Nr.]]&lt;$I$3,$J$3,IF(Tabelle1[[#This Row],[Kunde Nr.]]&lt;$I$4,$J$4,0)))</f>
        <v>Miloti</v>
      </c>
    </row>
    <row r="674" spans="1:7" x14ac:dyDescent="0.25">
      <c r="A674">
        <v>30505</v>
      </c>
      <c r="B674" t="s">
        <v>378</v>
      </c>
      <c r="C674" t="s">
        <v>659</v>
      </c>
      <c r="G674" t="str">
        <f>IF(Tabelle1[[#This Row],[Kunde Nr.]]&lt;$I$2,$J$2,IF(Tabelle1[[#This Row],[Kunde Nr.]]&lt;$I$3,$J$3,IF(Tabelle1[[#This Row],[Kunde Nr.]]&lt;$I$4,$J$4,0)))</f>
        <v>Miloti</v>
      </c>
    </row>
    <row r="675" spans="1:7" x14ac:dyDescent="0.25">
      <c r="A675">
        <v>30506</v>
      </c>
      <c r="B675" t="s">
        <v>379</v>
      </c>
      <c r="C675" t="s">
        <v>659</v>
      </c>
      <c r="G675" t="str">
        <f>IF(Tabelle1[[#This Row],[Kunde Nr.]]&lt;$I$2,$J$2,IF(Tabelle1[[#This Row],[Kunde Nr.]]&lt;$I$3,$J$3,IF(Tabelle1[[#This Row],[Kunde Nr.]]&lt;$I$4,$J$4,0)))</f>
        <v>Miloti</v>
      </c>
    </row>
    <row r="676" spans="1:7" x14ac:dyDescent="0.25">
      <c r="A676">
        <v>30507</v>
      </c>
      <c r="B676" t="s">
        <v>380</v>
      </c>
      <c r="C676" t="s">
        <v>659</v>
      </c>
      <c r="G676" t="str">
        <f>IF(Tabelle1[[#This Row],[Kunde Nr.]]&lt;$I$2,$J$2,IF(Tabelle1[[#This Row],[Kunde Nr.]]&lt;$I$3,$J$3,IF(Tabelle1[[#This Row],[Kunde Nr.]]&lt;$I$4,$J$4,0)))</f>
        <v>Miloti</v>
      </c>
    </row>
    <row r="677" spans="1:7" x14ac:dyDescent="0.25">
      <c r="A677">
        <v>30508</v>
      </c>
      <c r="B677" t="s">
        <v>381</v>
      </c>
      <c r="C677" t="s">
        <v>659</v>
      </c>
      <c r="G677" t="str">
        <f>IF(Tabelle1[[#This Row],[Kunde Nr.]]&lt;$I$2,$J$2,IF(Tabelle1[[#This Row],[Kunde Nr.]]&lt;$I$3,$J$3,IF(Tabelle1[[#This Row],[Kunde Nr.]]&lt;$I$4,$J$4,0)))</f>
        <v>Miloti</v>
      </c>
    </row>
    <row r="678" spans="1:7" x14ac:dyDescent="0.25">
      <c r="A678">
        <v>30509</v>
      </c>
      <c r="B678" t="s">
        <v>382</v>
      </c>
      <c r="C678" t="s">
        <v>376</v>
      </c>
      <c r="F678" t="s">
        <v>431</v>
      </c>
      <c r="G678" t="str">
        <f>IF(Tabelle1[[#This Row],[Kunde Nr.]]&lt;$I$2,$J$2,IF(Tabelle1[[#This Row],[Kunde Nr.]]&lt;$I$3,$J$3,IF(Tabelle1[[#This Row],[Kunde Nr.]]&lt;$I$4,$J$4,0)))</f>
        <v>Miloti</v>
      </c>
    </row>
    <row r="679" spans="1:7" x14ac:dyDescent="0.25">
      <c r="A679">
        <v>30510</v>
      </c>
      <c r="B679" t="s">
        <v>383</v>
      </c>
      <c r="C679" t="s">
        <v>659</v>
      </c>
      <c r="G679" t="str">
        <f>IF(Tabelle1[[#This Row],[Kunde Nr.]]&lt;$I$2,$J$2,IF(Tabelle1[[#This Row],[Kunde Nr.]]&lt;$I$3,$J$3,IF(Tabelle1[[#This Row],[Kunde Nr.]]&lt;$I$4,$J$4,0)))</f>
        <v>Miloti</v>
      </c>
    </row>
    <row r="680" spans="1:7" x14ac:dyDescent="0.25">
      <c r="A680">
        <v>30511</v>
      </c>
      <c r="B680" t="s">
        <v>646</v>
      </c>
      <c r="C680" t="s">
        <v>585</v>
      </c>
      <c r="G680" t="str">
        <f>IF(Tabelle1[[#This Row],[Kunde Nr.]]&lt;$I$2,$J$2,IF(Tabelle1[[#This Row],[Kunde Nr.]]&lt;$I$3,$J$3,IF(Tabelle1[[#This Row],[Kunde Nr.]]&lt;$I$4,$J$4,0)))</f>
        <v>Miloti</v>
      </c>
    </row>
    <row r="681" spans="1:7" x14ac:dyDescent="0.25">
      <c r="A681">
        <v>30512</v>
      </c>
      <c r="B681" t="s">
        <v>647</v>
      </c>
      <c r="C681" t="s">
        <v>659</v>
      </c>
      <c r="F681" t="s">
        <v>431</v>
      </c>
      <c r="G681" t="str">
        <f>IF(Tabelle1[[#This Row],[Kunde Nr.]]&lt;$I$2,$J$2,IF(Tabelle1[[#This Row],[Kunde Nr.]]&lt;$I$3,$J$3,IF(Tabelle1[[#This Row],[Kunde Nr.]]&lt;$I$4,$J$4,0)))</f>
        <v>Miloti</v>
      </c>
    </row>
    <row r="682" spans="1:7" x14ac:dyDescent="0.25">
      <c r="A682">
        <v>30513</v>
      </c>
      <c r="B682" t="s">
        <v>696</v>
      </c>
      <c r="C682" t="s">
        <v>659</v>
      </c>
      <c r="G682" s="47" t="str">
        <f>IF(Tabelle1[[#This Row],[Kunde Nr.]]&lt;$I$2,$J$2,IF(Tabelle1[[#This Row],[Kunde Nr.]]&lt;$I$3,$J$3,IF(Tabelle1[[#This Row],[Kunde Nr.]]&lt;$I$4,$J$4,0)))</f>
        <v>Miloti</v>
      </c>
    </row>
    <row r="683" spans="1:7" x14ac:dyDescent="0.25">
      <c r="A683">
        <v>30514</v>
      </c>
      <c r="B683" t="s">
        <v>697</v>
      </c>
      <c r="C683" t="s">
        <v>659</v>
      </c>
      <c r="G683" s="47" t="str">
        <f>IF(Tabelle1[[#This Row],[Kunde Nr.]]&lt;$I$2,$J$2,IF(Tabelle1[[#This Row],[Kunde Nr.]]&lt;$I$3,$J$3,IF(Tabelle1[[#This Row],[Kunde Nr.]]&lt;$I$4,$J$4,0)))</f>
        <v>Miloti</v>
      </c>
    </row>
    <row r="684" spans="1:7" x14ac:dyDescent="0.25">
      <c r="A684">
        <v>30515</v>
      </c>
      <c r="B684" t="s">
        <v>735</v>
      </c>
      <c r="C684" t="s">
        <v>736</v>
      </c>
      <c r="G684" s="47" t="str">
        <f>IF(Tabelle1[[#This Row],[Kunde Nr.]]&lt;$I$2,$J$2,IF(Tabelle1[[#This Row],[Kunde Nr.]]&lt;$I$3,$J$3,IF(Tabelle1[[#This Row],[Kunde Nr.]]&lt;$I$4,$J$4,0)))</f>
        <v>Miloti</v>
      </c>
    </row>
    <row r="685" spans="1:7" x14ac:dyDescent="0.25">
      <c r="A685">
        <v>30516</v>
      </c>
      <c r="B685" t="s">
        <v>734</v>
      </c>
      <c r="C685" t="s">
        <v>659</v>
      </c>
      <c r="G685" s="47" t="str">
        <f>IF(Tabelle1[[#This Row],[Kunde Nr.]]&lt;$I$2,$J$2,IF(Tabelle1[[#This Row],[Kunde Nr.]]&lt;$I$3,$J$3,IF(Tabelle1[[#This Row],[Kunde Nr.]]&lt;$I$4,$J$4,0)))</f>
        <v>Miloti</v>
      </c>
    </row>
    <row r="686" spans="1:7" x14ac:dyDescent="0.25">
      <c r="A686">
        <v>30517</v>
      </c>
      <c r="B686" t="s">
        <v>774</v>
      </c>
      <c r="C686" t="s">
        <v>659</v>
      </c>
      <c r="G686" s="47" t="str">
        <f>IF(Tabelle1[[#This Row],[Kunde Nr.]]&lt;$I$2,$J$2,IF(Tabelle1[[#This Row],[Kunde Nr.]]&lt;$I$3,$J$3,IF(Tabelle1[[#This Row],[Kunde Nr.]]&lt;$I$4,$J$4,0)))</f>
        <v>Miloti</v>
      </c>
    </row>
    <row r="687" spans="1:7" x14ac:dyDescent="0.25">
      <c r="A687">
        <v>30518</v>
      </c>
      <c r="B687" t="s">
        <v>789</v>
      </c>
      <c r="C687" t="s">
        <v>736</v>
      </c>
      <c r="G687" s="47" t="str">
        <f>IF(Tabelle1[[#This Row],[Kunde Nr.]]&lt;$I$2,$J$2,IF(Tabelle1[[#This Row],[Kunde Nr.]]&lt;$I$3,$J$3,IF(Tabelle1[[#This Row],[Kunde Nr.]]&lt;$I$4,$J$4,0)))</f>
        <v>Miloti</v>
      </c>
    </row>
    <row r="688" spans="1:7" x14ac:dyDescent="0.25">
      <c r="A688">
        <v>30519</v>
      </c>
      <c r="B688" t="s">
        <v>790</v>
      </c>
      <c r="C688" t="s">
        <v>659</v>
      </c>
      <c r="G688" s="47" t="str">
        <f>IF(Tabelle1[[#This Row],[Kunde Nr.]]&lt;$I$2,$J$2,IF(Tabelle1[[#This Row],[Kunde Nr.]]&lt;$I$3,$J$3,IF(Tabelle1[[#This Row],[Kunde Nr.]]&lt;$I$4,$J$4,0)))</f>
        <v>Miloti</v>
      </c>
    </row>
    <row r="689" spans="1:7" x14ac:dyDescent="0.25">
      <c r="A689">
        <v>30520</v>
      </c>
      <c r="B689" t="s">
        <v>808</v>
      </c>
      <c r="C689" t="s">
        <v>807</v>
      </c>
      <c r="G689" s="47" t="str">
        <f>IF(Tabelle1[[#This Row],[Kunde Nr.]]&lt;$I$2,$J$2,IF(Tabelle1[[#This Row],[Kunde Nr.]]&lt;$I$3,$J$3,IF(Tabelle1[[#This Row],[Kunde Nr.]]&lt;$I$4,$J$4,0)))</f>
        <v>Miloti</v>
      </c>
    </row>
    <row r="690" spans="1:7" x14ac:dyDescent="0.25">
      <c r="A690">
        <v>30521</v>
      </c>
      <c r="B690" t="s">
        <v>806</v>
      </c>
      <c r="C690" t="s">
        <v>807</v>
      </c>
      <c r="G690" s="47" t="str">
        <f>IF(Tabelle1[[#This Row],[Kunde Nr.]]&lt;$I$2,$J$2,IF(Tabelle1[[#This Row],[Kunde Nr.]]&lt;$I$3,$J$3,IF(Tabelle1[[#This Row],[Kunde Nr.]]&lt;$I$4,$J$4,0)))</f>
        <v>Miloti</v>
      </c>
    </row>
    <row r="691" spans="1:7" x14ac:dyDescent="0.25">
      <c r="A691">
        <v>30522</v>
      </c>
      <c r="B691" t="s">
        <v>820</v>
      </c>
      <c r="C691" t="s">
        <v>659</v>
      </c>
      <c r="G691" s="47" t="str">
        <f>IF(Tabelle1[[#This Row],[Kunde Nr.]]&lt;$I$2,$J$2,IF(Tabelle1[[#This Row],[Kunde Nr.]]&lt;$I$3,$J$3,IF(Tabelle1[[#This Row],[Kunde Nr.]]&lt;$I$4,$J$4,0)))</f>
        <v>Miloti</v>
      </c>
    </row>
    <row r="692" spans="1:7" x14ac:dyDescent="0.25">
      <c r="A692">
        <v>30523</v>
      </c>
      <c r="B692" t="s">
        <v>828</v>
      </c>
      <c r="C692" t="s">
        <v>659</v>
      </c>
      <c r="G692" s="47" t="str">
        <f>IF(Tabelle1[[#This Row],[Kunde Nr.]]&lt;$I$2,$J$2,IF(Tabelle1[[#This Row],[Kunde Nr.]]&lt;$I$3,$J$3,IF(Tabelle1[[#This Row],[Kunde Nr.]]&lt;$I$4,$J$4,0)))</f>
        <v>Miloti</v>
      </c>
    </row>
    <row r="693" spans="1:7" x14ac:dyDescent="0.25">
      <c r="A693">
        <v>30524</v>
      </c>
      <c r="B693" t="s">
        <v>831</v>
      </c>
      <c r="C693" t="s">
        <v>659</v>
      </c>
      <c r="G693" s="47" t="str">
        <f>IF(Tabelle1[[#This Row],[Kunde Nr.]]&lt;$I$2,$J$2,IF(Tabelle1[[#This Row],[Kunde Nr.]]&lt;$I$3,$J$3,IF(Tabelle1[[#This Row],[Kunde Nr.]]&lt;$I$4,$J$4,0)))</f>
        <v>Miloti</v>
      </c>
    </row>
    <row r="694" spans="1:7" x14ac:dyDescent="0.25">
      <c r="A694">
        <v>30525</v>
      </c>
      <c r="B694" t="s">
        <v>844</v>
      </c>
      <c r="C694" t="s">
        <v>736</v>
      </c>
      <c r="G694" s="47" t="str">
        <f>IF(Tabelle1[[#This Row],[Kunde Nr.]]&lt;$I$2,$J$2,IF(Tabelle1[[#This Row],[Kunde Nr.]]&lt;$I$3,$J$3,IF(Tabelle1[[#This Row],[Kunde Nr.]]&lt;$I$4,$J$4,0)))</f>
        <v>Miloti</v>
      </c>
    </row>
    <row r="695" spans="1:7" x14ac:dyDescent="0.25">
      <c r="A695">
        <v>30526</v>
      </c>
      <c r="B695" t="s">
        <v>859</v>
      </c>
      <c r="C695" t="s">
        <v>659</v>
      </c>
      <c r="G695" s="47" t="str">
        <f>IF(Tabelle1[[#This Row],[Kunde Nr.]]&lt;$I$2,$J$2,IF(Tabelle1[[#This Row],[Kunde Nr.]]&lt;$I$3,$J$3,IF(Tabelle1[[#This Row],[Kunde Nr.]]&lt;$I$4,$J$4,0)))</f>
        <v>Miloti</v>
      </c>
    </row>
    <row r="696" spans="1:7" x14ac:dyDescent="0.25">
      <c r="A696">
        <v>30527</v>
      </c>
      <c r="B696" t="s">
        <v>870</v>
      </c>
      <c r="C696" t="s">
        <v>736</v>
      </c>
      <c r="G696" s="47" t="str">
        <f>IF(Tabelle1[[#This Row],[Kunde Nr.]]&lt;$I$2,$J$2,IF(Tabelle1[[#This Row],[Kunde Nr.]]&lt;$I$3,$J$3,IF(Tabelle1[[#This Row],[Kunde Nr.]]&lt;$I$4,$J$4,0)))</f>
        <v>Miloti</v>
      </c>
    </row>
    <row r="697" spans="1:7" x14ac:dyDescent="0.25">
      <c r="A697">
        <v>30528</v>
      </c>
      <c r="B697" t="s">
        <v>869</v>
      </c>
      <c r="C697" t="s">
        <v>659</v>
      </c>
      <c r="G697" s="47" t="str">
        <f>IF(Tabelle1[[#This Row],[Kunde Nr.]]&lt;$I$2,$J$2,IF(Tabelle1[[#This Row],[Kunde Nr.]]&lt;$I$3,$J$3,IF(Tabelle1[[#This Row],[Kunde Nr.]]&lt;$I$4,$J$4,0)))</f>
        <v>Miloti</v>
      </c>
    </row>
    <row r="698" spans="1:7" x14ac:dyDescent="0.25">
      <c r="A698">
        <v>30529</v>
      </c>
      <c r="B698" t="s">
        <v>868</v>
      </c>
      <c r="C698" t="s">
        <v>736</v>
      </c>
      <c r="G698" s="47" t="str">
        <f>IF(Tabelle1[[#This Row],[Kunde Nr.]]&lt;$I$2,$J$2,IF(Tabelle1[[#This Row],[Kunde Nr.]]&lt;$I$3,$J$3,IF(Tabelle1[[#This Row],[Kunde Nr.]]&lt;$I$4,$J$4,0)))</f>
        <v>Miloti</v>
      </c>
    </row>
    <row r="699" spans="1:7" x14ac:dyDescent="0.25">
      <c r="A699">
        <v>30530</v>
      </c>
      <c r="B699" t="s">
        <v>876</v>
      </c>
      <c r="C699" t="s">
        <v>736</v>
      </c>
      <c r="G699" s="47" t="str">
        <f>IF(Tabelle1[[#This Row],[Kunde Nr.]]&lt;$I$2,$J$2,IF(Tabelle1[[#This Row],[Kunde Nr.]]&lt;$I$3,$J$3,IF(Tabelle1[[#This Row],[Kunde Nr.]]&lt;$I$4,$J$4,0)))</f>
        <v>Miloti</v>
      </c>
    </row>
    <row r="700" spans="1:7" x14ac:dyDescent="0.25">
      <c r="A700">
        <v>30530</v>
      </c>
      <c r="B700" t="s">
        <v>873</v>
      </c>
      <c r="C700" t="s">
        <v>659</v>
      </c>
      <c r="G700" s="47" t="str">
        <f>IF(Tabelle1[[#This Row],[Kunde Nr.]]&lt;$I$2,$J$2,IF(Tabelle1[[#This Row],[Kunde Nr.]]&lt;$I$3,$J$3,IF(Tabelle1[[#This Row],[Kunde Nr.]]&lt;$I$4,$J$4,0)))</f>
        <v>Miloti</v>
      </c>
    </row>
    <row r="701" spans="1:7" x14ac:dyDescent="0.25">
      <c r="A701">
        <v>30531</v>
      </c>
      <c r="B701" t="s">
        <v>877</v>
      </c>
      <c r="C701" t="s">
        <v>659</v>
      </c>
      <c r="G701" s="47" t="str">
        <f>IF(Tabelle1[[#This Row],[Kunde Nr.]]&lt;$I$2,$J$2,IF(Tabelle1[[#This Row],[Kunde Nr.]]&lt;$I$3,$J$3,IF(Tabelle1[[#This Row],[Kunde Nr.]]&lt;$I$4,$J$4,0)))</f>
        <v>Miloti</v>
      </c>
    </row>
    <row r="702" spans="1:7" x14ac:dyDescent="0.25">
      <c r="A702">
        <v>30532</v>
      </c>
      <c r="B702" t="s">
        <v>878</v>
      </c>
      <c r="C702" t="s">
        <v>659</v>
      </c>
      <c r="G702" s="47" t="str">
        <f>IF(Tabelle1[[#This Row],[Kunde Nr.]]&lt;$I$2,$J$2,IF(Tabelle1[[#This Row],[Kunde Nr.]]&lt;$I$3,$J$3,IF(Tabelle1[[#This Row],[Kunde Nr.]]&lt;$I$4,$J$4,0)))</f>
        <v>Miloti</v>
      </c>
    </row>
    <row r="703" spans="1:7" x14ac:dyDescent="0.25">
      <c r="A703">
        <v>30533</v>
      </c>
      <c r="B703" t="s">
        <v>894</v>
      </c>
      <c r="C703" t="s">
        <v>659</v>
      </c>
      <c r="G703" s="47" t="str">
        <f>IF(Tabelle1[[#This Row],[Kunde Nr.]]&lt;$I$2,$J$2,IF(Tabelle1[[#This Row],[Kunde Nr.]]&lt;$I$3,$J$3,IF(Tabelle1[[#This Row],[Kunde Nr.]]&lt;$I$4,$J$4,0)))</f>
        <v>Miloti</v>
      </c>
    </row>
    <row r="704" spans="1:7" x14ac:dyDescent="0.25">
      <c r="A704">
        <v>30534</v>
      </c>
      <c r="B704" t="s">
        <v>873</v>
      </c>
      <c r="C704" t="s">
        <v>659</v>
      </c>
      <c r="G704" s="47" t="str">
        <f>IF(Tabelle1[[#This Row],[Kunde Nr.]]&lt;$I$2,$J$2,IF(Tabelle1[[#This Row],[Kunde Nr.]]&lt;$I$3,$J$3,IF(Tabelle1[[#This Row],[Kunde Nr.]]&lt;$I$4,$J$4,0)))</f>
        <v>Miloti</v>
      </c>
    </row>
    <row r="705" spans="1:7" x14ac:dyDescent="0.25">
      <c r="A705">
        <v>30535</v>
      </c>
      <c r="B705" t="s">
        <v>972</v>
      </c>
      <c r="C705" t="s">
        <v>736</v>
      </c>
      <c r="G705" s="47" t="str">
        <f>IF(Tabelle1[[#This Row],[Kunde Nr.]]&lt;$I$2,$J$2,IF(Tabelle1[[#This Row],[Kunde Nr.]]&lt;$I$3,$J$3,IF(Tabelle1[[#This Row],[Kunde Nr.]]&lt;$I$4,$J$4,0)))</f>
        <v>Miloti</v>
      </c>
    </row>
    <row r="706" spans="1:7" x14ac:dyDescent="0.25">
      <c r="A706">
        <v>30536</v>
      </c>
      <c r="B706" t="s">
        <v>988</v>
      </c>
      <c r="C706" t="s">
        <v>736</v>
      </c>
      <c r="G706" s="47" t="str">
        <f>IF(Tabelle1[[#This Row],[Kunde Nr.]]&lt;$I$2,$J$2,IF(Tabelle1[[#This Row],[Kunde Nr.]]&lt;$I$3,$J$3,IF(Tabelle1[[#This Row],[Kunde Nr.]]&lt;$I$4,$J$4,0)))</f>
        <v>Miloti</v>
      </c>
    </row>
    <row r="707" spans="1:7" x14ac:dyDescent="0.25">
      <c r="A707">
        <v>30537</v>
      </c>
      <c r="B707" t="s">
        <v>989</v>
      </c>
      <c r="C707" t="s">
        <v>659</v>
      </c>
      <c r="G707" s="47" t="str">
        <f>IF(Tabelle1[[#This Row],[Kunde Nr.]]&lt;$I$2,$J$2,IF(Tabelle1[[#This Row],[Kunde Nr.]]&lt;$I$3,$J$3,IF(Tabelle1[[#This Row],[Kunde Nr.]]&lt;$I$4,$J$4,0)))</f>
        <v>Miloti</v>
      </c>
    </row>
    <row r="708" spans="1:7" x14ac:dyDescent="0.25">
      <c r="A708">
        <v>30538</v>
      </c>
      <c r="B708" t="s">
        <v>990</v>
      </c>
      <c r="C708" t="s">
        <v>736</v>
      </c>
      <c r="G708" s="47" t="str">
        <f>IF(Tabelle1[[#This Row],[Kunde Nr.]]&lt;$I$2,$J$2,IF(Tabelle1[[#This Row],[Kunde Nr.]]&lt;$I$3,$J$3,IF(Tabelle1[[#This Row],[Kunde Nr.]]&lt;$I$4,$J$4,0)))</f>
        <v>Miloti</v>
      </c>
    </row>
    <row r="709" spans="1:7" x14ac:dyDescent="0.25">
      <c r="A709">
        <v>30539</v>
      </c>
      <c r="B709" t="s">
        <v>991</v>
      </c>
      <c r="C709" t="s">
        <v>736</v>
      </c>
      <c r="G709" s="47" t="str">
        <f>IF(Tabelle1[[#This Row],[Kunde Nr.]]&lt;$I$2,$J$2,IF(Tabelle1[[#This Row],[Kunde Nr.]]&lt;$I$3,$J$3,IF(Tabelle1[[#This Row],[Kunde Nr.]]&lt;$I$4,$J$4,0)))</f>
        <v>Miloti</v>
      </c>
    </row>
    <row r="710" spans="1:7" x14ac:dyDescent="0.25">
      <c r="A710">
        <v>30540</v>
      </c>
      <c r="B710" t="s">
        <v>994</v>
      </c>
      <c r="C710" t="s">
        <v>659</v>
      </c>
      <c r="G710" s="47" t="str">
        <f>IF(Tabelle1[[#This Row],[Kunde Nr.]]&lt;$I$2,$J$2,IF(Tabelle1[[#This Row],[Kunde Nr.]]&lt;$I$3,$J$3,IF(Tabelle1[[#This Row],[Kunde Nr.]]&lt;$I$4,$J$4,0)))</f>
        <v>Miloti</v>
      </c>
    </row>
    <row r="711" spans="1:7" x14ac:dyDescent="0.25">
      <c r="A711" s="7">
        <v>30541</v>
      </c>
      <c r="B711" t="s">
        <v>1042</v>
      </c>
      <c r="C711" t="s">
        <v>736</v>
      </c>
      <c r="G711" s="47" t="str">
        <f>IF(Tabelle1[[#This Row],[Kunde Nr.]]&lt;$I$2,$J$2,IF(Tabelle1[[#This Row],[Kunde Nr.]]&lt;$I$3,$J$3,IF(Tabelle1[[#This Row],[Kunde Nr.]]&lt;$I$4,$J$4,0)))</f>
        <v>Miloti</v>
      </c>
    </row>
    <row r="712" spans="1:7" x14ac:dyDescent="0.25">
      <c r="A712">
        <v>30542</v>
      </c>
      <c r="B712" t="s">
        <v>1004</v>
      </c>
      <c r="C712" t="s">
        <v>736</v>
      </c>
      <c r="G712" s="47" t="str">
        <f>IF(Tabelle1[[#This Row],[Kunde Nr.]]&lt;$I$2,$J$2,IF(Tabelle1[[#This Row],[Kunde Nr.]]&lt;$I$3,$J$3,IF(Tabelle1[[#This Row],[Kunde Nr.]]&lt;$I$4,$J$4,0)))</f>
        <v>Miloti</v>
      </c>
    </row>
    <row r="713" spans="1:7" x14ac:dyDescent="0.25">
      <c r="A713">
        <v>30543</v>
      </c>
      <c r="B713" t="s">
        <v>1043</v>
      </c>
      <c r="C713" t="s">
        <v>736</v>
      </c>
      <c r="G713" s="47" t="str">
        <f>IF(Tabelle1[[#This Row],[Kunde Nr.]]&lt;$I$2,$J$2,IF(Tabelle1[[#This Row],[Kunde Nr.]]&lt;$I$3,$J$3,IF(Tabelle1[[#This Row],[Kunde Nr.]]&lt;$I$4,$J$4,0)))</f>
        <v>Miloti</v>
      </c>
    </row>
    <row r="714" spans="1:7" x14ac:dyDescent="0.25">
      <c r="A714" s="7">
        <v>30544</v>
      </c>
      <c r="B714" t="s">
        <v>1044</v>
      </c>
      <c r="C714" t="s">
        <v>736</v>
      </c>
      <c r="G714" s="47" t="str">
        <f>IF(Tabelle1[[#This Row],[Kunde Nr.]]&lt;$I$2,$J$2,IF(Tabelle1[[#This Row],[Kunde Nr.]]&lt;$I$3,$J$3,IF(Tabelle1[[#This Row],[Kunde Nr.]]&lt;$I$4,$J$4,0)))</f>
        <v>Miloti</v>
      </c>
    </row>
    <row r="715" spans="1:7" x14ac:dyDescent="0.25">
      <c r="A715">
        <v>30545</v>
      </c>
      <c r="B715" t="s">
        <v>1045</v>
      </c>
      <c r="C715" t="s">
        <v>659</v>
      </c>
      <c r="G715" s="47" t="str">
        <f>IF(Tabelle1[[#This Row],[Kunde Nr.]]&lt;$I$2,$J$2,IF(Tabelle1[[#This Row],[Kunde Nr.]]&lt;$I$3,$J$3,IF(Tabelle1[[#This Row],[Kunde Nr.]]&lt;$I$4,$J$4,0)))</f>
        <v>Miloti</v>
      </c>
    </row>
    <row r="716" spans="1:7" x14ac:dyDescent="0.25">
      <c r="A716" s="7">
        <v>30546</v>
      </c>
      <c r="B716" t="s">
        <v>1046</v>
      </c>
      <c r="C716" t="s">
        <v>659</v>
      </c>
      <c r="G716" s="47" t="str">
        <f>IF(Tabelle1[[#This Row],[Kunde Nr.]]&lt;$I$2,$J$2,IF(Tabelle1[[#This Row],[Kunde Nr.]]&lt;$I$3,$J$3,IF(Tabelle1[[#This Row],[Kunde Nr.]]&lt;$I$4,$J$4,0)))</f>
        <v>Miloti</v>
      </c>
    </row>
    <row r="717" spans="1:7" x14ac:dyDescent="0.25">
      <c r="A717">
        <v>30547</v>
      </c>
      <c r="B717" t="s">
        <v>1047</v>
      </c>
      <c r="C717" t="s">
        <v>659</v>
      </c>
      <c r="G717" s="47" t="str">
        <f>IF(Tabelle1[[#This Row],[Kunde Nr.]]&lt;$I$2,$J$2,IF(Tabelle1[[#This Row],[Kunde Nr.]]&lt;$I$3,$J$3,IF(Tabelle1[[#This Row],[Kunde Nr.]]&lt;$I$4,$J$4,0)))</f>
        <v>Miloti</v>
      </c>
    </row>
    <row r="718" spans="1:7" x14ac:dyDescent="0.25">
      <c r="A718" s="7">
        <v>30548</v>
      </c>
      <c r="B718" t="s">
        <v>1048</v>
      </c>
      <c r="C718" t="s">
        <v>736</v>
      </c>
      <c r="G718" s="47" t="str">
        <f>IF(Tabelle1[[#This Row],[Kunde Nr.]]&lt;$I$2,$J$2,IF(Tabelle1[[#This Row],[Kunde Nr.]]&lt;$I$3,$J$3,IF(Tabelle1[[#This Row],[Kunde Nr.]]&lt;$I$4,$J$4,0)))</f>
        <v>Miloti</v>
      </c>
    </row>
    <row r="719" spans="1:7" x14ac:dyDescent="0.25">
      <c r="A719">
        <v>30549</v>
      </c>
      <c r="B719" t="s">
        <v>1049</v>
      </c>
      <c r="C719" t="s">
        <v>659</v>
      </c>
      <c r="G719" s="47" t="str">
        <f>IF(Tabelle1[[#This Row],[Kunde Nr.]]&lt;$I$2,$J$2,IF(Tabelle1[[#This Row],[Kunde Nr.]]&lt;$I$3,$J$3,IF(Tabelle1[[#This Row],[Kunde Nr.]]&lt;$I$4,$J$4,0)))</f>
        <v>Miloti</v>
      </c>
    </row>
    <row r="720" spans="1:7" x14ac:dyDescent="0.25">
      <c r="A720" s="7">
        <v>30550</v>
      </c>
      <c r="B720" t="s">
        <v>1050</v>
      </c>
      <c r="C720" t="s">
        <v>659</v>
      </c>
      <c r="G720" s="47" t="str">
        <f>IF(Tabelle1[[#This Row],[Kunde Nr.]]&lt;$I$2,$J$2,IF(Tabelle1[[#This Row],[Kunde Nr.]]&lt;$I$3,$J$3,IF(Tabelle1[[#This Row],[Kunde Nr.]]&lt;$I$4,$J$4,0)))</f>
        <v>Miloti</v>
      </c>
    </row>
    <row r="721" spans="1:7" x14ac:dyDescent="0.25">
      <c r="A721">
        <v>30551</v>
      </c>
      <c r="B721" t="s">
        <v>1051</v>
      </c>
      <c r="C721" t="s">
        <v>659</v>
      </c>
      <c r="G721" s="47" t="str">
        <f>IF(Tabelle1[[#This Row],[Kunde Nr.]]&lt;$I$2,$J$2,IF(Tabelle1[[#This Row],[Kunde Nr.]]&lt;$I$3,$J$3,IF(Tabelle1[[#This Row],[Kunde Nr.]]&lt;$I$4,$J$4,0)))</f>
        <v>Miloti</v>
      </c>
    </row>
    <row r="722" spans="1:7" x14ac:dyDescent="0.25">
      <c r="A722" s="7">
        <v>30552</v>
      </c>
      <c r="B722" t="s">
        <v>1052</v>
      </c>
      <c r="C722" t="s">
        <v>659</v>
      </c>
      <c r="G722" s="47" t="str">
        <f>IF(Tabelle1[[#This Row],[Kunde Nr.]]&lt;$I$2,$J$2,IF(Tabelle1[[#This Row],[Kunde Nr.]]&lt;$I$3,$J$3,IF(Tabelle1[[#This Row],[Kunde Nr.]]&lt;$I$4,$J$4,0)))</f>
        <v>Miloti</v>
      </c>
    </row>
    <row r="723" spans="1:7" x14ac:dyDescent="0.25">
      <c r="A723">
        <v>30553</v>
      </c>
      <c r="B723" t="s">
        <v>1053</v>
      </c>
      <c r="C723" t="s">
        <v>659</v>
      </c>
      <c r="G723" s="47" t="str">
        <f>IF(Tabelle1[[#This Row],[Kunde Nr.]]&lt;$I$2,$J$2,IF(Tabelle1[[#This Row],[Kunde Nr.]]&lt;$I$3,$J$3,IF(Tabelle1[[#This Row],[Kunde Nr.]]&lt;$I$4,$J$4,0)))</f>
        <v>Miloti</v>
      </c>
    </row>
    <row r="724" spans="1:7" x14ac:dyDescent="0.25">
      <c r="A724" s="7">
        <v>30554</v>
      </c>
      <c r="B724" t="s">
        <v>1084</v>
      </c>
      <c r="C724" t="s">
        <v>659</v>
      </c>
      <c r="G724" s="47" t="str">
        <f>IF(Tabelle1[[#This Row],[Kunde Nr.]]&lt;$I$2,$J$2,IF(Tabelle1[[#This Row],[Kunde Nr.]]&lt;$I$3,$J$3,IF(Tabelle1[[#This Row],[Kunde Nr.]]&lt;$I$4,$J$4,0)))</f>
        <v>Miloti</v>
      </c>
    </row>
    <row r="725" spans="1:7" x14ac:dyDescent="0.25">
      <c r="A725" s="7">
        <v>30555</v>
      </c>
      <c r="C725" t="s">
        <v>659</v>
      </c>
      <c r="G725" s="47" t="str">
        <f>IF(Tabelle1[[#This Row],[Kunde Nr.]]&lt;$I$2,$J$2,IF(Tabelle1[[#This Row],[Kunde Nr.]]&lt;$I$3,$J$3,IF(Tabelle1[[#This Row],[Kunde Nr.]]&lt;$I$4,$J$4,0)))</f>
        <v>Miloti</v>
      </c>
    </row>
    <row r="726" spans="1:7" x14ac:dyDescent="0.25">
      <c r="A726">
        <v>30557</v>
      </c>
      <c r="B726" t="s">
        <v>1131</v>
      </c>
      <c r="C726" t="s">
        <v>736</v>
      </c>
      <c r="G726" s="47" t="str">
        <f>IF(Tabelle1[[#This Row],[Kunde Nr.]]&lt;$I$2,$J$2,IF(Tabelle1[[#This Row],[Kunde Nr.]]&lt;$I$3,$J$3,IF(Tabelle1[[#This Row],[Kunde Nr.]]&lt;$I$4,$J$4,0)))</f>
        <v>Miloti</v>
      </c>
    </row>
    <row r="727" spans="1:7" x14ac:dyDescent="0.25">
      <c r="A727" s="7">
        <v>30558</v>
      </c>
      <c r="B727" t="s">
        <v>1130</v>
      </c>
      <c r="C727" t="s">
        <v>736</v>
      </c>
      <c r="G727" s="47" t="str">
        <f>IF(Tabelle1[[#This Row],[Kunde Nr.]]&lt;$I$2,$J$2,IF(Tabelle1[[#This Row],[Kunde Nr.]]&lt;$I$3,$J$3,IF(Tabelle1[[#This Row],[Kunde Nr.]]&lt;$I$4,$J$4,0)))</f>
        <v>Miloti</v>
      </c>
    </row>
    <row r="728" spans="1:7" x14ac:dyDescent="0.25">
      <c r="A728" s="7">
        <v>30559</v>
      </c>
      <c r="B728" t="s">
        <v>746</v>
      </c>
      <c r="C728" t="s">
        <v>736</v>
      </c>
      <c r="G728" s="47" t="str">
        <f>IF(Tabelle1[[#This Row],[Kunde Nr.]]&lt;$I$2,$J$2,IF(Tabelle1[[#This Row],[Kunde Nr.]]&lt;$I$3,$J$3,IF(Tabelle1[[#This Row],[Kunde Nr.]]&lt;$I$4,$J$4,0)))</f>
        <v>Miloti</v>
      </c>
    </row>
    <row r="729" spans="1:7" x14ac:dyDescent="0.25">
      <c r="A729">
        <v>30560</v>
      </c>
      <c r="B729" t="s">
        <v>1132</v>
      </c>
      <c r="C729" t="s">
        <v>736</v>
      </c>
      <c r="G729" s="47" t="str">
        <f>IF(Tabelle1[[#This Row],[Kunde Nr.]]&lt;$I$2,$J$2,IF(Tabelle1[[#This Row],[Kunde Nr.]]&lt;$I$3,$J$3,IF(Tabelle1[[#This Row],[Kunde Nr.]]&lt;$I$4,$J$4,0)))</f>
        <v>Miloti</v>
      </c>
    </row>
    <row r="730" spans="1:7" x14ac:dyDescent="0.25">
      <c r="A730" s="7">
        <v>30561</v>
      </c>
      <c r="B730" t="s">
        <v>1133</v>
      </c>
      <c r="C730" t="s">
        <v>659</v>
      </c>
      <c r="G730" s="47" t="str">
        <f>IF(Tabelle1[[#This Row],[Kunde Nr.]]&lt;$I$2,$J$2,IF(Tabelle1[[#This Row],[Kunde Nr.]]&lt;$I$3,$J$3,IF(Tabelle1[[#This Row],[Kunde Nr.]]&lt;$I$4,$J$4,0)))</f>
        <v>Miloti</v>
      </c>
    </row>
    <row r="731" spans="1:7" x14ac:dyDescent="0.25">
      <c r="A731">
        <v>30562</v>
      </c>
      <c r="B731" t="s">
        <v>1134</v>
      </c>
      <c r="C731" t="s">
        <v>659</v>
      </c>
      <c r="G731" s="47" t="str">
        <f>IF(Tabelle1[[#This Row],[Kunde Nr.]]&lt;$I$2,$J$2,IF(Tabelle1[[#This Row],[Kunde Nr.]]&lt;$I$3,$J$3,IF(Tabelle1[[#This Row],[Kunde Nr.]]&lt;$I$4,$J$4,0)))</f>
        <v>Miloti</v>
      </c>
    </row>
    <row r="732" spans="1:7" x14ac:dyDescent="0.25">
      <c r="A732" s="7">
        <v>30563</v>
      </c>
      <c r="B732" t="s">
        <v>1135</v>
      </c>
      <c r="C732" t="s">
        <v>659</v>
      </c>
      <c r="G732" s="47" t="str">
        <f>IF(Tabelle1[[#This Row],[Kunde Nr.]]&lt;$I$2,$J$2,IF(Tabelle1[[#This Row],[Kunde Nr.]]&lt;$I$3,$J$3,IF(Tabelle1[[#This Row],[Kunde Nr.]]&lt;$I$4,$J$4,0)))</f>
        <v>Miloti</v>
      </c>
    </row>
    <row r="733" spans="1:7" x14ac:dyDescent="0.25">
      <c r="A733" s="7">
        <v>30564</v>
      </c>
      <c r="B733" t="s">
        <v>1146</v>
      </c>
      <c r="C733" t="s">
        <v>659</v>
      </c>
      <c r="G733" s="47" t="str">
        <f>IF(Tabelle1[[#This Row],[Kunde Nr.]]&lt;$I$2,$J$2,IF(Tabelle1[[#This Row],[Kunde Nr.]]&lt;$I$3,$J$3,IF(Tabelle1[[#This Row],[Kunde Nr.]]&lt;$I$4,$J$4,0)))</f>
        <v>Miloti</v>
      </c>
    </row>
    <row r="734" spans="1:7" x14ac:dyDescent="0.25">
      <c r="A734" s="7">
        <v>30565</v>
      </c>
      <c r="B734" t="s">
        <v>1144</v>
      </c>
      <c r="C734" t="s">
        <v>659</v>
      </c>
      <c r="G734" s="47" t="str">
        <f>IF(Tabelle1[[#This Row],[Kunde Nr.]]&lt;$I$2,$J$2,IF(Tabelle1[[#This Row],[Kunde Nr.]]&lt;$I$3,$J$3,IF(Tabelle1[[#This Row],[Kunde Nr.]]&lt;$I$4,$J$4,0)))</f>
        <v>Miloti</v>
      </c>
    </row>
    <row r="735" spans="1:7" x14ac:dyDescent="0.25">
      <c r="A735">
        <v>30566</v>
      </c>
      <c r="B735" t="s">
        <v>1145</v>
      </c>
      <c r="C735" t="s">
        <v>659</v>
      </c>
      <c r="G735" s="47" t="str">
        <f>IF(Tabelle1[[#This Row],[Kunde Nr.]]&lt;$I$2,$J$2,IF(Tabelle1[[#This Row],[Kunde Nr.]]&lt;$I$3,$J$3,IF(Tabelle1[[#This Row],[Kunde Nr.]]&lt;$I$4,$J$4,0)))</f>
        <v>Miloti</v>
      </c>
    </row>
    <row r="736" spans="1:7" x14ac:dyDescent="0.25">
      <c r="A736" s="7">
        <v>30567</v>
      </c>
      <c r="B736" t="s">
        <v>1149</v>
      </c>
      <c r="C736" t="s">
        <v>659</v>
      </c>
      <c r="G736" s="47" t="str">
        <f>IF(Tabelle1[[#This Row],[Kunde Nr.]]&lt;$I$2,$J$2,IF(Tabelle1[[#This Row],[Kunde Nr.]]&lt;$I$3,$J$3,IF(Tabelle1[[#This Row],[Kunde Nr.]]&lt;$I$4,$J$4,0)))</f>
        <v>Miloti</v>
      </c>
    </row>
    <row r="737" spans="1:7" x14ac:dyDescent="0.25">
      <c r="A737">
        <v>30567</v>
      </c>
      <c r="B737" t="s">
        <v>1150</v>
      </c>
      <c r="C737" t="s">
        <v>659</v>
      </c>
      <c r="G737" s="47" t="str">
        <f>IF(Tabelle1[[#This Row],[Kunde Nr.]]&lt;$I$2,$J$2,IF(Tabelle1[[#This Row],[Kunde Nr.]]&lt;$I$3,$J$3,IF(Tabelle1[[#This Row],[Kunde Nr.]]&lt;$I$4,$J$4,0)))</f>
        <v>Miloti</v>
      </c>
    </row>
    <row r="738" spans="1:7" x14ac:dyDescent="0.25">
      <c r="A738">
        <v>30601</v>
      </c>
      <c r="B738" t="s">
        <v>648</v>
      </c>
      <c r="C738" t="s">
        <v>539</v>
      </c>
      <c r="G738" t="str">
        <f>IF(Tabelle1[[#This Row],[Kunde Nr.]]&lt;$I$2,$J$2,IF(Tabelle1[[#This Row],[Kunde Nr.]]&lt;$I$3,$J$3,IF(Tabelle1[[#This Row],[Kunde Nr.]]&lt;$I$4,$J$4,0)))</f>
        <v>Miloti</v>
      </c>
    </row>
    <row r="739" spans="1:7" x14ac:dyDescent="0.25">
      <c r="A739">
        <v>30602</v>
      </c>
      <c r="B739" t="s">
        <v>649</v>
      </c>
      <c r="C739" t="s">
        <v>539</v>
      </c>
      <c r="G739" t="str">
        <f>IF(Tabelle1[[#This Row],[Kunde Nr.]]&lt;$I$2,$J$2,IF(Tabelle1[[#This Row],[Kunde Nr.]]&lt;$I$3,$J$3,IF(Tabelle1[[#This Row],[Kunde Nr.]]&lt;$I$4,$J$4,0)))</f>
        <v>Miloti</v>
      </c>
    </row>
    <row r="740" spans="1:7" x14ac:dyDescent="0.25">
      <c r="A740">
        <v>30603</v>
      </c>
      <c r="B740" t="s">
        <v>650</v>
      </c>
      <c r="C740" t="s">
        <v>539</v>
      </c>
      <c r="G740" t="str">
        <f>IF(Tabelle1[[#This Row],[Kunde Nr.]]&lt;$I$2,$J$2,IF(Tabelle1[[#This Row],[Kunde Nr.]]&lt;$I$3,$J$3,IF(Tabelle1[[#This Row],[Kunde Nr.]]&lt;$I$4,$J$4,0)))</f>
        <v>Miloti</v>
      </c>
    </row>
    <row r="741" spans="1:7" x14ac:dyDescent="0.25">
      <c r="A741">
        <v>30604</v>
      </c>
      <c r="B741" t="s">
        <v>651</v>
      </c>
      <c r="C741" t="s">
        <v>592</v>
      </c>
      <c r="G741" t="str">
        <f>IF(Tabelle1[[#This Row],[Kunde Nr.]]&lt;$I$2,$J$2,IF(Tabelle1[[#This Row],[Kunde Nr.]]&lt;$I$3,$J$3,IF(Tabelle1[[#This Row],[Kunde Nr.]]&lt;$I$4,$J$4,0)))</f>
        <v>Miloti</v>
      </c>
    </row>
    <row r="742" spans="1:7" x14ac:dyDescent="0.25">
      <c r="A742">
        <v>30605</v>
      </c>
      <c r="B742" t="s">
        <v>652</v>
      </c>
      <c r="C742" t="s">
        <v>592</v>
      </c>
      <c r="G742" t="str">
        <f>IF(Tabelle1[[#This Row],[Kunde Nr.]]&lt;$I$2,$J$2,IF(Tabelle1[[#This Row],[Kunde Nr.]]&lt;$I$3,$J$3,IF(Tabelle1[[#This Row],[Kunde Nr.]]&lt;$I$4,$J$4,0)))</f>
        <v>Miloti</v>
      </c>
    </row>
    <row r="743" spans="1:7" x14ac:dyDescent="0.25">
      <c r="A743">
        <v>30606</v>
      </c>
      <c r="B743" t="s">
        <v>698</v>
      </c>
      <c r="C743" t="s">
        <v>592</v>
      </c>
      <c r="D743" s="37">
        <v>600131693</v>
      </c>
      <c r="E743" s="1" t="s">
        <v>699</v>
      </c>
      <c r="G743" s="47" t="str">
        <f>IF(Tabelle1[[#This Row],[Kunde Nr.]]&lt;$I$2,$J$2,IF(Tabelle1[[#This Row],[Kunde Nr.]]&lt;$I$3,$J$3,IF(Tabelle1[[#This Row],[Kunde Nr.]]&lt;$I$4,$J$4,0)))</f>
        <v>Miloti</v>
      </c>
    </row>
    <row r="744" spans="1:7" x14ac:dyDescent="0.25">
      <c r="A744">
        <v>30607</v>
      </c>
      <c r="B744" t="s">
        <v>737</v>
      </c>
      <c r="C744" t="s">
        <v>539</v>
      </c>
      <c r="G744" s="47" t="str">
        <f>IF(Tabelle1[[#This Row],[Kunde Nr.]]&lt;$I$2,$J$2,IF(Tabelle1[[#This Row],[Kunde Nr.]]&lt;$I$3,$J$3,IF(Tabelle1[[#This Row],[Kunde Nr.]]&lt;$I$4,$J$4,0)))</f>
        <v>Miloti</v>
      </c>
    </row>
    <row r="745" spans="1:7" x14ac:dyDescent="0.25">
      <c r="A745">
        <v>30608</v>
      </c>
      <c r="B745" t="s">
        <v>752</v>
      </c>
      <c r="C745" t="s">
        <v>539</v>
      </c>
      <c r="G745" s="47" t="str">
        <f>IF(Tabelle1[[#This Row],[Kunde Nr.]]&lt;$I$2,$J$2,IF(Tabelle1[[#This Row],[Kunde Nr.]]&lt;$I$3,$J$3,IF(Tabelle1[[#This Row],[Kunde Nr.]]&lt;$I$4,$J$4,0)))</f>
        <v>Miloti</v>
      </c>
    </row>
    <row r="746" spans="1:7" x14ac:dyDescent="0.25">
      <c r="A746">
        <v>30609</v>
      </c>
      <c r="B746" t="s">
        <v>751</v>
      </c>
      <c r="C746" t="s">
        <v>592</v>
      </c>
      <c r="G746" s="47" t="str">
        <f>IF(Tabelle1[[#This Row],[Kunde Nr.]]&lt;$I$2,$J$2,IF(Tabelle1[[#This Row],[Kunde Nr.]]&lt;$I$3,$J$3,IF(Tabelle1[[#This Row],[Kunde Nr.]]&lt;$I$4,$J$4,0)))</f>
        <v>Miloti</v>
      </c>
    </row>
    <row r="747" spans="1:7" x14ac:dyDescent="0.25">
      <c r="A747">
        <v>30610</v>
      </c>
      <c r="B747" t="s">
        <v>777</v>
      </c>
      <c r="C747" t="s">
        <v>539</v>
      </c>
      <c r="G747" s="47" t="str">
        <f>IF(Tabelle1[[#This Row],[Kunde Nr.]]&lt;$I$2,$J$2,IF(Tabelle1[[#This Row],[Kunde Nr.]]&lt;$I$3,$J$3,IF(Tabelle1[[#This Row],[Kunde Nr.]]&lt;$I$4,$J$4,0)))</f>
        <v>Miloti</v>
      </c>
    </row>
    <row r="748" spans="1:7" x14ac:dyDescent="0.25">
      <c r="A748">
        <v>30611</v>
      </c>
      <c r="B748" t="s">
        <v>791</v>
      </c>
      <c r="C748" t="s">
        <v>592</v>
      </c>
      <c r="G748" s="47" t="str">
        <f>IF(Tabelle1[[#This Row],[Kunde Nr.]]&lt;$I$2,$J$2,IF(Tabelle1[[#This Row],[Kunde Nr.]]&lt;$I$3,$J$3,IF(Tabelle1[[#This Row],[Kunde Nr.]]&lt;$I$4,$J$4,0)))</f>
        <v>Miloti</v>
      </c>
    </row>
    <row r="749" spans="1:7" x14ac:dyDescent="0.25">
      <c r="A749">
        <v>30612</v>
      </c>
      <c r="B749" t="s">
        <v>792</v>
      </c>
      <c r="C749" t="s">
        <v>539</v>
      </c>
      <c r="G749" s="47" t="str">
        <f>IF(Tabelle1[[#This Row],[Kunde Nr.]]&lt;$I$2,$J$2,IF(Tabelle1[[#This Row],[Kunde Nr.]]&lt;$I$3,$J$3,IF(Tabelle1[[#This Row],[Kunde Nr.]]&lt;$I$4,$J$4,0)))</f>
        <v>Miloti</v>
      </c>
    </row>
    <row r="750" spans="1:7" x14ac:dyDescent="0.25">
      <c r="A750">
        <v>30613</v>
      </c>
      <c r="B750" t="s">
        <v>804</v>
      </c>
      <c r="C750" t="s">
        <v>539</v>
      </c>
      <c r="F750" t="s">
        <v>805</v>
      </c>
      <c r="G750" s="47" t="str">
        <f>IF(Tabelle1[[#This Row],[Kunde Nr.]]&lt;$I$2,$J$2,IF(Tabelle1[[#This Row],[Kunde Nr.]]&lt;$I$3,$J$3,IF(Tabelle1[[#This Row],[Kunde Nr.]]&lt;$I$4,$J$4,0)))</f>
        <v>Miloti</v>
      </c>
    </row>
    <row r="751" spans="1:7" x14ac:dyDescent="0.25">
      <c r="A751">
        <v>30614</v>
      </c>
      <c r="B751" t="s">
        <v>822</v>
      </c>
      <c r="C751" t="s">
        <v>539</v>
      </c>
      <c r="G751" s="47" t="str">
        <f>IF(Tabelle1[[#This Row],[Kunde Nr.]]&lt;$I$2,$J$2,IF(Tabelle1[[#This Row],[Kunde Nr.]]&lt;$I$3,$J$3,IF(Tabelle1[[#This Row],[Kunde Nr.]]&lt;$I$4,$J$4,0)))</f>
        <v>Miloti</v>
      </c>
    </row>
    <row r="752" spans="1:7" x14ac:dyDescent="0.25">
      <c r="A752">
        <v>30615</v>
      </c>
      <c r="B752" t="s">
        <v>832</v>
      </c>
      <c r="C752" t="s">
        <v>539</v>
      </c>
      <c r="G752" s="47" t="str">
        <f>IF(Tabelle1[[#This Row],[Kunde Nr.]]&lt;$I$2,$J$2,IF(Tabelle1[[#This Row],[Kunde Nr.]]&lt;$I$3,$J$3,IF(Tabelle1[[#This Row],[Kunde Nr.]]&lt;$I$4,$J$4,0)))</f>
        <v>Miloti</v>
      </c>
    </row>
    <row r="753" spans="1:7" x14ac:dyDescent="0.25">
      <c r="A753">
        <v>30616</v>
      </c>
      <c r="B753" t="s">
        <v>833</v>
      </c>
      <c r="C753" t="s">
        <v>539</v>
      </c>
      <c r="G753" s="47" t="str">
        <f>IF(Tabelle1[[#This Row],[Kunde Nr.]]&lt;$I$2,$J$2,IF(Tabelle1[[#This Row],[Kunde Nr.]]&lt;$I$3,$J$3,IF(Tabelle1[[#This Row],[Kunde Nr.]]&lt;$I$4,$J$4,0)))</f>
        <v>Miloti</v>
      </c>
    </row>
    <row r="754" spans="1:7" x14ac:dyDescent="0.25">
      <c r="A754">
        <v>30617</v>
      </c>
      <c r="B754" t="s">
        <v>849</v>
      </c>
      <c r="C754" t="s">
        <v>592</v>
      </c>
      <c r="G754" s="47" t="str">
        <f>IF(Tabelle1[[#This Row],[Kunde Nr.]]&lt;$I$2,$J$2,IF(Tabelle1[[#This Row],[Kunde Nr.]]&lt;$I$3,$J$3,IF(Tabelle1[[#This Row],[Kunde Nr.]]&lt;$I$4,$J$4,0)))</f>
        <v>Miloti</v>
      </c>
    </row>
    <row r="755" spans="1:7" x14ac:dyDescent="0.25">
      <c r="A755">
        <v>30618</v>
      </c>
      <c r="B755" t="s">
        <v>848</v>
      </c>
      <c r="C755" t="s">
        <v>544</v>
      </c>
      <c r="G755" s="47" t="str">
        <f>IF(Tabelle1[[#This Row],[Kunde Nr.]]&lt;$I$2,$J$2,IF(Tabelle1[[#This Row],[Kunde Nr.]]&lt;$I$3,$J$3,IF(Tabelle1[[#This Row],[Kunde Nr.]]&lt;$I$4,$J$4,0)))</f>
        <v>Miloti</v>
      </c>
    </row>
    <row r="756" spans="1:7" x14ac:dyDescent="0.25">
      <c r="A756">
        <v>30619</v>
      </c>
      <c r="B756" t="s">
        <v>872</v>
      </c>
      <c r="C756" t="s">
        <v>592</v>
      </c>
      <c r="G756" s="47" t="str">
        <f>IF(Tabelle1[[#This Row],[Kunde Nr.]]&lt;$I$2,$J$2,IF(Tabelle1[[#This Row],[Kunde Nr.]]&lt;$I$3,$J$3,IF(Tabelle1[[#This Row],[Kunde Nr.]]&lt;$I$4,$J$4,0)))</f>
        <v>Miloti</v>
      </c>
    </row>
    <row r="757" spans="1:7" x14ac:dyDescent="0.25">
      <c r="A757">
        <v>30620</v>
      </c>
      <c r="B757" t="s">
        <v>871</v>
      </c>
      <c r="C757" t="s">
        <v>539</v>
      </c>
      <c r="G757" s="47" t="str">
        <f>IF(Tabelle1[[#This Row],[Kunde Nr.]]&lt;$I$2,$J$2,IF(Tabelle1[[#This Row],[Kunde Nr.]]&lt;$I$3,$J$3,IF(Tabelle1[[#This Row],[Kunde Nr.]]&lt;$I$4,$J$4,0)))</f>
        <v>Miloti</v>
      </c>
    </row>
    <row r="758" spans="1:7" x14ac:dyDescent="0.25">
      <c r="A758">
        <v>30621</v>
      </c>
      <c r="B758" t="s">
        <v>880</v>
      </c>
      <c r="C758" t="s">
        <v>539</v>
      </c>
      <c r="G758" s="47" t="str">
        <f>IF(Tabelle1[[#This Row],[Kunde Nr.]]&lt;$I$2,$J$2,IF(Tabelle1[[#This Row],[Kunde Nr.]]&lt;$I$3,$J$3,IF(Tabelle1[[#This Row],[Kunde Nr.]]&lt;$I$4,$J$4,0)))</f>
        <v>Miloti</v>
      </c>
    </row>
    <row r="759" spans="1:7" x14ac:dyDescent="0.25">
      <c r="A759">
        <v>30622</v>
      </c>
      <c r="B759" t="s">
        <v>881</v>
      </c>
      <c r="C759" t="s">
        <v>539</v>
      </c>
      <c r="G759" s="47" t="str">
        <f>IF(Tabelle1[[#This Row],[Kunde Nr.]]&lt;$I$2,$J$2,IF(Tabelle1[[#This Row],[Kunde Nr.]]&lt;$I$3,$J$3,IF(Tabelle1[[#This Row],[Kunde Nr.]]&lt;$I$4,$J$4,0)))</f>
        <v>Miloti</v>
      </c>
    </row>
    <row r="760" spans="1:7" x14ac:dyDescent="0.25">
      <c r="A760">
        <v>30623</v>
      </c>
      <c r="B760" t="s">
        <v>879</v>
      </c>
      <c r="C760" t="s">
        <v>807</v>
      </c>
      <c r="G760" s="47" t="str">
        <f>IF(Tabelle1[[#This Row],[Kunde Nr.]]&lt;$I$2,$J$2,IF(Tabelle1[[#This Row],[Kunde Nr.]]&lt;$I$3,$J$3,IF(Tabelle1[[#This Row],[Kunde Nr.]]&lt;$I$4,$J$4,0)))</f>
        <v>Miloti</v>
      </c>
    </row>
    <row r="761" spans="1:7" x14ac:dyDescent="0.25">
      <c r="A761">
        <v>30624</v>
      </c>
      <c r="B761" t="s">
        <v>898</v>
      </c>
      <c r="C761" t="s">
        <v>592</v>
      </c>
      <c r="G761" s="47" t="str">
        <f>IF(Tabelle1[[#This Row],[Kunde Nr.]]&lt;$I$2,$J$2,IF(Tabelle1[[#This Row],[Kunde Nr.]]&lt;$I$3,$J$3,IF(Tabelle1[[#This Row],[Kunde Nr.]]&lt;$I$4,$J$4,0)))</f>
        <v>Miloti</v>
      </c>
    </row>
    <row r="762" spans="1:7" x14ac:dyDescent="0.25">
      <c r="A762">
        <v>30625</v>
      </c>
      <c r="B762" t="s">
        <v>897</v>
      </c>
      <c r="C762" t="s">
        <v>592</v>
      </c>
      <c r="G762" s="47" t="str">
        <f>IF(Tabelle1[[#This Row],[Kunde Nr.]]&lt;$I$2,$J$2,IF(Tabelle1[[#This Row],[Kunde Nr.]]&lt;$I$3,$J$3,IF(Tabelle1[[#This Row],[Kunde Nr.]]&lt;$I$4,$J$4,0)))</f>
        <v>Miloti</v>
      </c>
    </row>
    <row r="763" spans="1:7" x14ac:dyDescent="0.25">
      <c r="A763">
        <v>30626</v>
      </c>
      <c r="B763" t="s">
        <v>901</v>
      </c>
      <c r="C763" t="s">
        <v>592</v>
      </c>
      <c r="G763" s="47" t="str">
        <f>IF(Tabelle1[[#This Row],[Kunde Nr.]]&lt;$I$2,$J$2,IF(Tabelle1[[#This Row],[Kunde Nr.]]&lt;$I$3,$J$3,IF(Tabelle1[[#This Row],[Kunde Nr.]]&lt;$I$4,$J$4,0)))</f>
        <v>Miloti</v>
      </c>
    </row>
    <row r="764" spans="1:7" x14ac:dyDescent="0.25">
      <c r="A764">
        <v>30627</v>
      </c>
      <c r="B764" t="s">
        <v>900</v>
      </c>
      <c r="C764" t="s">
        <v>539</v>
      </c>
      <c r="G764" s="47" t="str">
        <f>IF(Tabelle1[[#This Row],[Kunde Nr.]]&lt;$I$2,$J$2,IF(Tabelle1[[#This Row],[Kunde Nr.]]&lt;$I$3,$J$3,IF(Tabelle1[[#This Row],[Kunde Nr.]]&lt;$I$4,$J$4,0)))</f>
        <v>Miloti</v>
      </c>
    </row>
    <row r="765" spans="1:7" x14ac:dyDescent="0.25">
      <c r="A765">
        <v>30628</v>
      </c>
      <c r="B765" t="s">
        <v>903</v>
      </c>
      <c r="C765" t="s">
        <v>539</v>
      </c>
      <c r="G765" s="47" t="str">
        <f>IF(Tabelle1[[#This Row],[Kunde Nr.]]&lt;$I$2,$J$2,IF(Tabelle1[[#This Row],[Kunde Nr.]]&lt;$I$3,$J$3,IF(Tabelle1[[#This Row],[Kunde Nr.]]&lt;$I$4,$J$4,0)))</f>
        <v>Miloti</v>
      </c>
    </row>
    <row r="766" spans="1:7" x14ac:dyDescent="0.25">
      <c r="A766">
        <v>30629</v>
      </c>
      <c r="B766" t="s">
        <v>934</v>
      </c>
      <c r="C766" t="s">
        <v>539</v>
      </c>
      <c r="G766" s="47" t="str">
        <f>IF(Tabelle1[[#This Row],[Kunde Nr.]]&lt;$I$2,$J$2,IF(Tabelle1[[#This Row],[Kunde Nr.]]&lt;$I$3,$J$3,IF(Tabelle1[[#This Row],[Kunde Nr.]]&lt;$I$4,$J$4,0)))</f>
        <v>Miloti</v>
      </c>
    </row>
    <row r="767" spans="1:7" x14ac:dyDescent="0.25">
      <c r="A767">
        <v>30630</v>
      </c>
      <c r="B767" t="s">
        <v>937</v>
      </c>
      <c r="C767" t="s">
        <v>539</v>
      </c>
      <c r="G767" s="47" t="str">
        <f>IF(Tabelle1[[#This Row],[Kunde Nr.]]&lt;$I$2,$J$2,IF(Tabelle1[[#This Row],[Kunde Nr.]]&lt;$I$3,$J$3,IF(Tabelle1[[#This Row],[Kunde Nr.]]&lt;$I$4,$J$4,0)))</f>
        <v>Miloti</v>
      </c>
    </row>
    <row r="768" spans="1:7" x14ac:dyDescent="0.25">
      <c r="A768">
        <v>30631</v>
      </c>
      <c r="B768" t="s">
        <v>954</v>
      </c>
      <c r="C768" t="s">
        <v>539</v>
      </c>
      <c r="G768" s="47" t="str">
        <f>IF(Tabelle1[[#This Row],[Kunde Nr.]]&lt;$I$2,$J$2,IF(Tabelle1[[#This Row],[Kunde Nr.]]&lt;$I$3,$J$3,IF(Tabelle1[[#This Row],[Kunde Nr.]]&lt;$I$4,$J$4,0)))</f>
        <v>Miloti</v>
      </c>
    </row>
    <row r="769" spans="1:8" x14ac:dyDescent="0.25">
      <c r="A769">
        <v>30632</v>
      </c>
      <c r="B769" t="s">
        <v>953</v>
      </c>
      <c r="C769" t="s">
        <v>592</v>
      </c>
      <c r="G769" s="47" t="str">
        <f>IF(Tabelle1[[#This Row],[Kunde Nr.]]&lt;$I$2,$J$2,IF(Tabelle1[[#This Row],[Kunde Nr.]]&lt;$I$3,$J$3,IF(Tabelle1[[#This Row],[Kunde Nr.]]&lt;$I$4,$J$4,0)))</f>
        <v>Miloti</v>
      </c>
    </row>
    <row r="770" spans="1:8" x14ac:dyDescent="0.25">
      <c r="A770">
        <v>30633</v>
      </c>
      <c r="B770" t="s">
        <v>992</v>
      </c>
      <c r="C770" t="s">
        <v>592</v>
      </c>
      <c r="G770" s="47" t="str">
        <f>IF(Tabelle1[[#This Row],[Kunde Nr.]]&lt;$I$2,$J$2,IF(Tabelle1[[#This Row],[Kunde Nr.]]&lt;$I$3,$J$3,IF(Tabelle1[[#This Row],[Kunde Nr.]]&lt;$I$4,$J$4,0)))</f>
        <v>Miloti</v>
      </c>
    </row>
    <row r="771" spans="1:8" x14ac:dyDescent="0.25">
      <c r="A771">
        <v>30634</v>
      </c>
      <c r="B771" t="s">
        <v>993</v>
      </c>
      <c r="C771" t="s">
        <v>592</v>
      </c>
      <c r="G771" s="47" t="str">
        <f>IF(Tabelle1[[#This Row],[Kunde Nr.]]&lt;$I$2,$J$2,IF(Tabelle1[[#This Row],[Kunde Nr.]]&lt;$I$3,$J$3,IF(Tabelle1[[#This Row],[Kunde Nr.]]&lt;$I$4,$J$4,0)))</f>
        <v>Miloti</v>
      </c>
    </row>
    <row r="772" spans="1:8" x14ac:dyDescent="0.25">
      <c r="A772" s="7">
        <v>30635</v>
      </c>
      <c r="B772" t="s">
        <v>1054</v>
      </c>
      <c r="C772" t="s">
        <v>539</v>
      </c>
      <c r="G772" s="47" t="str">
        <f>IF(Tabelle1[[#This Row],[Kunde Nr.]]&lt;$I$2,$J$2,IF(Tabelle1[[#This Row],[Kunde Nr.]]&lt;$I$3,$J$3,IF(Tabelle1[[#This Row],[Kunde Nr.]]&lt;$I$4,$J$4,0)))</f>
        <v>Miloti</v>
      </c>
    </row>
    <row r="773" spans="1:8" x14ac:dyDescent="0.25">
      <c r="A773">
        <v>30636</v>
      </c>
      <c r="B773" t="s">
        <v>1055</v>
      </c>
      <c r="C773" t="s">
        <v>539</v>
      </c>
      <c r="G773" s="47" t="str">
        <f>IF(Tabelle1[[#This Row],[Kunde Nr.]]&lt;$I$2,$J$2,IF(Tabelle1[[#This Row],[Kunde Nr.]]&lt;$I$3,$J$3,IF(Tabelle1[[#This Row],[Kunde Nr.]]&lt;$I$4,$J$4,0)))</f>
        <v>Miloti</v>
      </c>
    </row>
    <row r="774" spans="1:8" x14ac:dyDescent="0.25">
      <c r="A774" s="7">
        <v>30637</v>
      </c>
      <c r="B774" t="s">
        <v>1056</v>
      </c>
      <c r="C774" t="s">
        <v>592</v>
      </c>
      <c r="G774" s="47" t="str">
        <f>IF(Tabelle1[[#This Row],[Kunde Nr.]]&lt;$I$2,$J$2,IF(Tabelle1[[#This Row],[Kunde Nr.]]&lt;$I$3,$J$3,IF(Tabelle1[[#This Row],[Kunde Nr.]]&lt;$I$4,$J$4,0)))</f>
        <v>Miloti</v>
      </c>
    </row>
    <row r="775" spans="1:8" x14ac:dyDescent="0.25">
      <c r="A775">
        <v>30638</v>
      </c>
      <c r="B775" t="s">
        <v>1088</v>
      </c>
      <c r="C775" t="s">
        <v>659</v>
      </c>
      <c r="G775" s="47" t="str">
        <f>IF(Tabelle1[[#This Row],[Kunde Nr.]]&lt;$I$2,$J$2,IF(Tabelle1[[#This Row],[Kunde Nr.]]&lt;$I$3,$J$3,IF(Tabelle1[[#This Row],[Kunde Nr.]]&lt;$I$4,$J$4,0)))</f>
        <v>Miloti</v>
      </c>
    </row>
    <row r="776" spans="1:8" x14ac:dyDescent="0.25">
      <c r="A776" s="7">
        <v>30639</v>
      </c>
      <c r="B776" t="s">
        <v>833</v>
      </c>
      <c r="C776" t="s">
        <v>1109</v>
      </c>
      <c r="G776" s="47" t="str">
        <f>IF(Tabelle1[[#This Row],[Kunde Nr.]]&lt;$I$2,$J$2,IF(Tabelle1[[#This Row],[Kunde Nr.]]&lt;$I$3,$J$3,IF(Tabelle1[[#This Row],[Kunde Nr.]]&lt;$I$4,$J$4,0)))</f>
        <v>Miloti</v>
      </c>
    </row>
    <row r="777" spans="1:8" x14ac:dyDescent="0.25">
      <c r="A777">
        <v>40001</v>
      </c>
      <c r="B777" t="s">
        <v>767</v>
      </c>
      <c r="C777" t="s">
        <v>508</v>
      </c>
      <c r="F777" t="s">
        <v>45</v>
      </c>
      <c r="G777" s="47">
        <f>IF(Tabelle1[[#This Row],[Kunde Nr.]]&lt;$I$2,$J$2,IF(Tabelle1[[#This Row],[Kunde Nr.]]&lt;$I$3,$J$3,IF(Tabelle1[[#This Row],[Kunde Nr.]]&lt;$I$4,$J$4,0)))</f>
        <v>0</v>
      </c>
    </row>
    <row r="778" spans="1:8" x14ac:dyDescent="0.25">
      <c r="A778">
        <v>40002</v>
      </c>
      <c r="B778" t="s">
        <v>769</v>
      </c>
      <c r="C778" t="s">
        <v>508</v>
      </c>
      <c r="F778" t="s">
        <v>659</v>
      </c>
      <c r="G778" s="47">
        <f>IF(Tabelle1[[#This Row],[Kunde Nr.]]&lt;$I$2,$J$2,IF(Tabelle1[[#This Row],[Kunde Nr.]]&lt;$I$3,$J$3,IF(Tabelle1[[#This Row],[Kunde Nr.]]&lt;$I$4,$J$4,0)))</f>
        <v>0</v>
      </c>
      <c r="H778">
        <v>4960044</v>
      </c>
    </row>
    <row r="779" spans="1:8" x14ac:dyDescent="0.25">
      <c r="A779">
        <v>40003</v>
      </c>
      <c r="B779" t="s">
        <v>770</v>
      </c>
      <c r="C779" t="s">
        <v>508</v>
      </c>
      <c r="G779" s="47">
        <f>IF(Tabelle1[[#This Row],[Kunde Nr.]]&lt;$I$2,$J$2,IF(Tabelle1[[#This Row],[Kunde Nr.]]&lt;$I$3,$J$3,IF(Tabelle1[[#This Row],[Kunde Nr.]]&lt;$I$4,$J$4,0)))</f>
        <v>0</v>
      </c>
    </row>
    <row r="780" spans="1:8" x14ac:dyDescent="0.25">
      <c r="A780">
        <v>40004</v>
      </c>
      <c r="B780" t="s">
        <v>771</v>
      </c>
      <c r="C780" t="s">
        <v>508</v>
      </c>
      <c r="F780" t="s">
        <v>659</v>
      </c>
      <c r="G780" s="47">
        <f>IF(Tabelle1[[#This Row],[Kunde Nr.]]&lt;$I$2,$J$2,IF(Tabelle1[[#This Row],[Kunde Nr.]]&lt;$I$3,$J$3,IF(Tabelle1[[#This Row],[Kunde Nr.]]&lt;$I$4,$J$4,0)))</f>
        <v>0</v>
      </c>
    </row>
    <row r="781" spans="1:8" x14ac:dyDescent="0.25">
      <c r="A781">
        <v>40005</v>
      </c>
      <c r="B781" t="s">
        <v>772</v>
      </c>
      <c r="C781" t="s">
        <v>508</v>
      </c>
      <c r="F781" t="s">
        <v>385</v>
      </c>
      <c r="G781" s="47">
        <f>IF(Tabelle1[[#This Row],[Kunde Nr.]]&lt;$I$2,$J$2,IF(Tabelle1[[#This Row],[Kunde Nr.]]&lt;$I$3,$J$3,IF(Tabelle1[[#This Row],[Kunde Nr.]]&lt;$I$4,$J$4,0)))</f>
        <v>0</v>
      </c>
    </row>
    <row r="782" spans="1:8" x14ac:dyDescent="0.25">
      <c r="A782">
        <v>40006</v>
      </c>
      <c r="B782" t="s">
        <v>775</v>
      </c>
      <c r="C782" t="s">
        <v>508</v>
      </c>
      <c r="G782" s="47">
        <f>IF(Tabelle1[[#This Row],[Kunde Nr.]]&lt;$I$2,$J$2,IF(Tabelle1[[#This Row],[Kunde Nr.]]&lt;$I$3,$J$3,IF(Tabelle1[[#This Row],[Kunde Nr.]]&lt;$I$4,$J$4,0)))</f>
        <v>0</v>
      </c>
    </row>
    <row r="783" spans="1:8" x14ac:dyDescent="0.25">
      <c r="A783">
        <v>40007</v>
      </c>
      <c r="B783" t="s">
        <v>906</v>
      </c>
      <c r="C783" t="s">
        <v>659</v>
      </c>
      <c r="G783" s="47">
        <f>IF(Tabelle1[[#This Row],[Kunde Nr.]]&lt;$I$2,$J$2,IF(Tabelle1[[#This Row],[Kunde Nr.]]&lt;$I$3,$J$3,IF(Tabelle1[[#This Row],[Kunde Nr.]]&lt;$I$4,$J$4,0)))</f>
        <v>0</v>
      </c>
    </row>
    <row r="784" spans="1:8" x14ac:dyDescent="0.25">
      <c r="A784">
        <v>40016</v>
      </c>
      <c r="B784" t="s">
        <v>950</v>
      </c>
      <c r="C784" t="s">
        <v>659</v>
      </c>
      <c r="G784" s="47">
        <f>IF(Tabelle1[[#This Row],[Kunde Nr.]]&lt;$I$2,$J$2,IF(Tabelle1[[#This Row],[Kunde Nr.]]&lt;$I$3,$J$3,IF(Tabelle1[[#This Row],[Kunde Nr.]]&lt;$I$4,$J$4,0)))</f>
        <v>0</v>
      </c>
    </row>
    <row r="785" spans="1:7" x14ac:dyDescent="0.25">
      <c r="A785">
        <v>40017</v>
      </c>
      <c r="B785" t="s">
        <v>1177</v>
      </c>
      <c r="C785" t="s">
        <v>659</v>
      </c>
      <c r="G785" s="47">
        <f>IF(Tabelle1[[#This Row],[Kunde Nr.]]&lt;$I$2,$J$2,IF(Tabelle1[[#This Row],[Kunde Nr.]]&lt;$I$3,$J$3,IF(Tabelle1[[#This Row],[Kunde Nr.]]&lt;$I$4,$J$4,0)))</f>
        <v>0</v>
      </c>
    </row>
    <row r="786" spans="1:7" x14ac:dyDescent="0.25">
      <c r="A786">
        <v>40018</v>
      </c>
      <c r="B786" t="s">
        <v>1178</v>
      </c>
      <c r="C786" t="s">
        <v>659</v>
      </c>
      <c r="G786" s="47">
        <f>IF(Tabelle1[[#This Row],[Kunde Nr.]]&lt;$I$2,$J$2,IF(Tabelle1[[#This Row],[Kunde Nr.]]&lt;$I$3,$J$3,IF(Tabelle1[[#This Row],[Kunde Nr.]]&lt;$I$4,$J$4,0)))</f>
        <v>0</v>
      </c>
    </row>
    <row r="787" spans="1:7" x14ac:dyDescent="0.25">
      <c r="A787">
        <v>40019</v>
      </c>
      <c r="B787" t="s">
        <v>1179</v>
      </c>
      <c r="C787" t="s">
        <v>63</v>
      </c>
      <c r="G787" s="47">
        <f>IF(Tabelle1[[#This Row],[Kunde Nr.]]&lt;$I$2,$J$2,IF(Tabelle1[[#This Row],[Kunde Nr.]]&lt;$I$3,$J$3,IF(Tabelle1[[#This Row],[Kunde Nr.]]&lt;$I$4,$J$4,0)))</f>
        <v>0</v>
      </c>
    </row>
    <row r="788" spans="1:7" x14ac:dyDescent="0.25">
      <c r="A788">
        <v>40020</v>
      </c>
      <c r="B788" t="s">
        <v>1033</v>
      </c>
      <c r="C788" t="s">
        <v>389</v>
      </c>
      <c r="G788" s="47">
        <f>IF(Tabelle1[[#This Row],[Kunde Nr.]]&lt;$I$2,$J$2,IF(Tabelle1[[#This Row],[Kunde Nr.]]&lt;$I$3,$J$3,IF(Tabelle1[[#This Row],[Kunde Nr.]]&lt;$I$4,$J$4,0)))</f>
        <v>0</v>
      </c>
    </row>
    <row r="789" spans="1:7" x14ac:dyDescent="0.25">
      <c r="A789">
        <v>40021</v>
      </c>
      <c r="B789" t="s">
        <v>1231</v>
      </c>
      <c r="C789" t="s">
        <v>659</v>
      </c>
      <c r="G789" s="47">
        <f>IF(Tabelle1[[#This Row],[Kunde Nr.]]&lt;$I$2,$J$2,IF(Tabelle1[[#This Row],[Kunde Nr.]]&lt;$I$3,$J$3,IF(Tabelle1[[#This Row],[Kunde Nr.]]&lt;$I$4,$J$4,0)))</f>
        <v>0</v>
      </c>
    </row>
    <row r="790" spans="1:7" x14ac:dyDescent="0.25">
      <c r="A790">
        <v>40022</v>
      </c>
      <c r="B790" t="s">
        <v>1233</v>
      </c>
      <c r="C790" t="s">
        <v>385</v>
      </c>
      <c r="G790" s="47">
        <f>IF(Tabelle1[[#This Row],[Kunde Nr.]]&lt;$I$2,$J$2,IF(Tabelle1[[#This Row],[Kunde Nr.]]&lt;$I$3,$J$3,IF(Tabelle1[[#This Row],[Kunde Nr.]]&lt;$I$4,$J$4,0)))</f>
        <v>0</v>
      </c>
    </row>
    <row r="791" spans="1:7" x14ac:dyDescent="0.25">
      <c r="A791">
        <v>40023</v>
      </c>
      <c r="B791" t="s">
        <v>1234</v>
      </c>
      <c r="C791" t="s">
        <v>659</v>
      </c>
      <c r="G791" s="47">
        <f>IF(Tabelle1[[#This Row],[Kunde Nr.]]&lt;$I$2,$J$2,IF(Tabelle1[[#This Row],[Kunde Nr.]]&lt;$I$3,$J$3,IF(Tabelle1[[#This Row],[Kunde Nr.]]&lt;$I$4,$J$4,0)))</f>
        <v>0</v>
      </c>
    </row>
    <row r="792" spans="1:7" x14ac:dyDescent="0.25">
      <c r="A792">
        <v>40024</v>
      </c>
      <c r="B792" t="s">
        <v>1244</v>
      </c>
      <c r="C792" t="s">
        <v>1245</v>
      </c>
      <c r="G792" s="47">
        <f>IF(Tabelle1[[#This Row],[Kunde Nr.]]&lt;$I$2,$J$2,IF(Tabelle1[[#This Row],[Kunde Nr.]]&lt;$I$3,$J$3,IF(Tabelle1[[#This Row],[Kunde Nr.]]&lt;$I$4,$J$4,0)))</f>
        <v>0</v>
      </c>
    </row>
    <row r="793" spans="1:7" x14ac:dyDescent="0.25">
      <c r="A793">
        <v>40025</v>
      </c>
      <c r="B793" t="s">
        <v>1255</v>
      </c>
      <c r="C793" t="s">
        <v>389</v>
      </c>
      <c r="G793" s="47">
        <f>IF(Tabelle1[[#This Row],[Kunde Nr.]]&lt;$I$2,$J$2,IF(Tabelle1[[#This Row],[Kunde Nr.]]&lt;$I$3,$J$3,IF(Tabelle1[[#This Row],[Kunde Nr.]]&lt;$I$4,$J$4,0)))</f>
        <v>0</v>
      </c>
    </row>
    <row r="794" spans="1:7" x14ac:dyDescent="0.25">
      <c r="A794">
        <v>40026</v>
      </c>
      <c r="B794" t="s">
        <v>1266</v>
      </c>
      <c r="C794" t="s">
        <v>659</v>
      </c>
      <c r="G794" s="47">
        <f>IF(Tabelle1[[#This Row],[Kunde Nr.]]&lt;$I$2,$J$2,IF(Tabelle1[[#This Row],[Kunde Nr.]]&lt;$I$3,$J$3,IF(Tabelle1[[#This Row],[Kunde Nr.]]&lt;$I$4,$J$4,0)))</f>
        <v>0</v>
      </c>
    </row>
    <row r="795" spans="1:7" x14ac:dyDescent="0.25">
      <c r="A795">
        <v>40027</v>
      </c>
      <c r="B795" t="s">
        <v>1281</v>
      </c>
      <c r="C795" t="s">
        <v>736</v>
      </c>
      <c r="G795" s="47">
        <f>IF(Tabelle1[[#This Row],[Kunde Nr.]]&lt;$I$2,$J$2,IF(Tabelle1[[#This Row],[Kunde Nr.]]&lt;$I$3,$J$3,IF(Tabelle1[[#This Row],[Kunde Nr.]]&lt;$I$4,$J$4,0)))</f>
        <v>0</v>
      </c>
    </row>
    <row r="796" spans="1:7" x14ac:dyDescent="0.25">
      <c r="A796">
        <v>40028</v>
      </c>
      <c r="B796" t="s">
        <v>1282</v>
      </c>
      <c r="C796" t="s">
        <v>659</v>
      </c>
      <c r="G796" s="47">
        <f>IF(Tabelle1[[#This Row],[Kunde Nr.]]&lt;$I$2,$J$2,IF(Tabelle1[[#This Row],[Kunde Nr.]]&lt;$I$3,$J$3,IF(Tabelle1[[#This Row],[Kunde Nr.]]&lt;$I$4,$J$4,0)))</f>
        <v>0</v>
      </c>
    </row>
    <row r="797" spans="1:7" x14ac:dyDescent="0.25">
      <c r="A797">
        <v>40029</v>
      </c>
      <c r="B797" t="s">
        <v>1284</v>
      </c>
      <c r="C797" t="s">
        <v>659</v>
      </c>
      <c r="G797" s="47">
        <f>IF(Tabelle1[[#This Row],[Kunde Nr.]]&lt;$I$2,$J$2,IF(Tabelle1[[#This Row],[Kunde Nr.]]&lt;$I$3,$J$3,IF(Tabelle1[[#This Row],[Kunde Nr.]]&lt;$I$4,$J$4,0)))</f>
        <v>0</v>
      </c>
    </row>
    <row r="798" spans="1:7" x14ac:dyDescent="0.25">
      <c r="A798">
        <v>40030</v>
      </c>
      <c r="B798" t="s">
        <v>1285</v>
      </c>
      <c r="C798" t="s">
        <v>659</v>
      </c>
      <c r="G798" s="47">
        <f>IF(Tabelle1[[#This Row],[Kunde Nr.]]&lt;$I$2,$J$2,IF(Tabelle1[[#This Row],[Kunde Nr.]]&lt;$I$3,$J$3,IF(Tabelle1[[#This Row],[Kunde Nr.]]&lt;$I$4,$J$4,0)))</f>
        <v>0</v>
      </c>
    </row>
    <row r="799" spans="1:7" x14ac:dyDescent="0.25">
      <c r="A799">
        <v>40031</v>
      </c>
      <c r="B799" t="s">
        <v>1286</v>
      </c>
      <c r="C799" t="s">
        <v>659</v>
      </c>
      <c r="G799" s="47">
        <f>IF(Tabelle1[[#This Row],[Kunde Nr.]]&lt;$I$2,$J$2,IF(Tabelle1[[#This Row],[Kunde Nr.]]&lt;$I$3,$J$3,IF(Tabelle1[[#This Row],[Kunde Nr.]]&lt;$I$4,$J$4,0)))</f>
        <v>0</v>
      </c>
    </row>
    <row r="800" spans="1:7" x14ac:dyDescent="0.25">
      <c r="A800">
        <v>40032</v>
      </c>
      <c r="B800" t="s">
        <v>1290</v>
      </c>
      <c r="C800" t="s">
        <v>659</v>
      </c>
      <c r="G800" s="47">
        <f>IF(Tabelle1[[#This Row],[Kunde Nr.]]&lt;$I$2,$J$2,IF(Tabelle1[[#This Row],[Kunde Nr.]]&lt;$I$3,$J$3,IF(Tabelle1[[#This Row],[Kunde Nr.]]&lt;$I$4,$J$4,0)))</f>
        <v>0</v>
      </c>
    </row>
    <row r="801" spans="1:7" x14ac:dyDescent="0.25">
      <c r="A801">
        <v>40033</v>
      </c>
      <c r="B801" t="s">
        <v>1293</v>
      </c>
      <c r="C801" t="s">
        <v>429</v>
      </c>
      <c r="G801" s="47">
        <f>IF(Tabelle1[[#This Row],[Kunde Nr.]]&lt;$I$2,$J$2,IF(Tabelle1[[#This Row],[Kunde Nr.]]&lt;$I$3,$J$3,IF(Tabelle1[[#This Row],[Kunde Nr.]]&lt;$I$4,$J$4,0)))</f>
        <v>0</v>
      </c>
    </row>
    <row r="802" spans="1:7" x14ac:dyDescent="0.25">
      <c r="A802">
        <v>40034</v>
      </c>
      <c r="B802" t="s">
        <v>1294</v>
      </c>
      <c r="C802" t="s">
        <v>659</v>
      </c>
      <c r="G802" s="47">
        <f>IF(Tabelle1[[#This Row],[Kunde Nr.]]&lt;$I$2,$J$2,IF(Tabelle1[[#This Row],[Kunde Nr.]]&lt;$I$3,$J$3,IF(Tabelle1[[#This Row],[Kunde Nr.]]&lt;$I$4,$J$4,0)))</f>
        <v>0</v>
      </c>
    </row>
    <row r="803" spans="1:7" x14ac:dyDescent="0.25">
      <c r="A803" s="7" t="s">
        <v>363</v>
      </c>
      <c r="B803" t="s">
        <v>1176</v>
      </c>
      <c r="C803" t="s">
        <v>508</v>
      </c>
      <c r="G803" t="str">
        <f>IF(Tabelle1[[#This Row],[Kunde Nr.]]&lt;$I$2,$J$2,IF(Tabelle1[[#This Row],[Kunde Nr.]]&lt;$I$3,$J$3,IF(Tabelle1[[#This Row],[Kunde Nr.]]&lt;$I$4,$J$4,"KIM TEC")))</f>
        <v>KIM TEC</v>
      </c>
    </row>
    <row r="804" spans="1:7" x14ac:dyDescent="0.25">
      <c r="A804" s="7"/>
      <c r="G804" s="47" t="str">
        <f>IF(Tabelle1[[#This Row],[Kunde Nr.]]&lt;$I$2,$J$2,IF(Tabelle1[[#This Row],[Kunde Nr.]]&lt;$I$3,$J$3,IF(Tabelle1[[#This Row],[Kunde Nr.]]&lt;$I$4,$J$4,0)))</f>
        <v>Qerimi</v>
      </c>
    </row>
    <row r="805" spans="1:7" x14ac:dyDescent="0.25">
      <c r="G805" s="47" t="str">
        <f>IF(Tabelle1[[#This Row],[Kunde Nr.]]&lt;$I$2,$J$2,IF(Tabelle1[[#This Row],[Kunde Nr.]]&lt;$I$3,$J$3,IF(Tabelle1[[#This Row],[Kunde Nr.]]&lt;$I$4,$J$4,0)))</f>
        <v>Qerimi</v>
      </c>
    </row>
    <row r="806" spans="1:7" x14ac:dyDescent="0.25">
      <c r="A806" s="7"/>
      <c r="G806" s="47" t="str">
        <f>IF(Tabelle1[[#This Row],[Kunde Nr.]]&lt;$I$2,$J$2,IF(Tabelle1[[#This Row],[Kunde Nr.]]&lt;$I$3,$J$3,IF(Tabelle1[[#This Row],[Kunde Nr.]]&lt;$I$4,$J$4,0)))</f>
        <v>Qerimi</v>
      </c>
    </row>
    <row r="807" spans="1:7" x14ac:dyDescent="0.25">
      <c r="G807" s="47" t="str">
        <f>IF(Tabelle1[[#This Row],[Kunde Nr.]]&lt;$I$2,$J$2,IF(Tabelle1[[#This Row],[Kunde Nr.]]&lt;$I$3,$J$3,IF(Tabelle1[[#This Row],[Kunde Nr.]]&lt;$I$4,$J$4,0)))</f>
        <v>Qerimi</v>
      </c>
    </row>
    <row r="808" spans="1:7" x14ac:dyDescent="0.25">
      <c r="A808" s="7"/>
      <c r="G808" s="47" t="str">
        <f>IF(Tabelle1[[#This Row],[Kunde Nr.]]&lt;$I$2,$J$2,IF(Tabelle1[[#This Row],[Kunde Nr.]]&lt;$I$3,$J$3,IF(Tabelle1[[#This Row],[Kunde Nr.]]&lt;$I$4,$J$4,0)))</f>
        <v>Qerimi</v>
      </c>
    </row>
    <row r="809" spans="1:7" x14ac:dyDescent="0.25">
      <c r="G809" s="47" t="str">
        <f>IF(Tabelle1[[#This Row],[Kunde Nr.]]&lt;$I$2,$J$2,IF(Tabelle1[[#This Row],[Kunde Nr.]]&lt;$I$3,$J$3,IF(Tabelle1[[#This Row],[Kunde Nr.]]&lt;$I$4,$J$4,0)))</f>
        <v>Qerimi</v>
      </c>
    </row>
    <row r="810" spans="1:7" x14ac:dyDescent="0.25">
      <c r="A810" s="7"/>
      <c r="G810" s="47" t="str">
        <f>IF(Tabelle1[[#This Row],[Kunde Nr.]]&lt;$I$2,$J$2,IF(Tabelle1[[#This Row],[Kunde Nr.]]&lt;$I$3,$J$3,IF(Tabelle1[[#This Row],[Kunde Nr.]]&lt;$I$4,$J$4,0)))</f>
        <v>Qerimi</v>
      </c>
    </row>
    <row r="811" spans="1:7" x14ac:dyDescent="0.25">
      <c r="G811" s="47" t="str">
        <f>IF(Tabelle1[[#This Row],[Kunde Nr.]]&lt;$I$2,$J$2,IF(Tabelle1[[#This Row],[Kunde Nr.]]&lt;$I$3,$J$3,IF(Tabelle1[[#This Row],[Kunde Nr.]]&lt;$I$4,$J$4,0)))</f>
        <v>Qerimi</v>
      </c>
    </row>
    <row r="812" spans="1:7" x14ac:dyDescent="0.25">
      <c r="A812" s="7"/>
      <c r="G812" s="47" t="str">
        <f>IF(Tabelle1[[#This Row],[Kunde Nr.]]&lt;$I$2,$J$2,IF(Tabelle1[[#This Row],[Kunde Nr.]]&lt;$I$3,$J$3,IF(Tabelle1[[#This Row],[Kunde Nr.]]&lt;$I$4,$J$4,0)))</f>
        <v>Qerimi</v>
      </c>
    </row>
    <row r="813" spans="1:7" x14ac:dyDescent="0.25">
      <c r="G813" s="47" t="str">
        <f>IF(Tabelle1[[#This Row],[Kunde Nr.]]&lt;$I$2,$J$2,IF(Tabelle1[[#This Row],[Kunde Nr.]]&lt;$I$3,$J$3,IF(Tabelle1[[#This Row],[Kunde Nr.]]&lt;$I$4,$J$4,0)))</f>
        <v>Qerimi</v>
      </c>
    </row>
    <row r="814" spans="1:7" x14ac:dyDescent="0.25">
      <c r="A814" s="7"/>
      <c r="G814" s="47" t="str">
        <f>IF(Tabelle1[[#This Row],[Kunde Nr.]]&lt;$I$2,$J$2,IF(Tabelle1[[#This Row],[Kunde Nr.]]&lt;$I$3,$J$3,IF(Tabelle1[[#This Row],[Kunde Nr.]]&lt;$I$4,$J$4,0)))</f>
        <v>Qerimi</v>
      </c>
    </row>
    <row r="815" spans="1:7" x14ac:dyDescent="0.25">
      <c r="G815" s="47" t="str">
        <f>IF(Tabelle1[[#This Row],[Kunde Nr.]]&lt;$I$2,$J$2,IF(Tabelle1[[#This Row],[Kunde Nr.]]&lt;$I$3,$J$3,IF(Tabelle1[[#This Row],[Kunde Nr.]]&lt;$I$4,$J$4,0)))</f>
        <v>Qerimi</v>
      </c>
    </row>
    <row r="816" spans="1:7" x14ac:dyDescent="0.25">
      <c r="A816" s="7"/>
      <c r="G816" s="47" t="str">
        <f>IF(Tabelle1[[#This Row],[Kunde Nr.]]&lt;$I$2,$J$2,IF(Tabelle1[[#This Row],[Kunde Nr.]]&lt;$I$3,$J$3,IF(Tabelle1[[#This Row],[Kunde Nr.]]&lt;$I$4,$J$4,0)))</f>
        <v>Qerimi</v>
      </c>
    </row>
    <row r="817" spans="1:7" x14ac:dyDescent="0.25">
      <c r="G817" s="47" t="str">
        <f>IF(Tabelle1[[#This Row],[Kunde Nr.]]&lt;$I$2,$J$2,IF(Tabelle1[[#This Row],[Kunde Nr.]]&lt;$I$3,$J$3,IF(Tabelle1[[#This Row],[Kunde Nr.]]&lt;$I$4,$J$4,0)))</f>
        <v>Qerimi</v>
      </c>
    </row>
    <row r="818" spans="1:7" x14ac:dyDescent="0.25">
      <c r="A818" s="7"/>
      <c r="G818" s="47" t="str">
        <f>IF(Tabelle1[[#This Row],[Kunde Nr.]]&lt;$I$2,$J$2,IF(Tabelle1[[#This Row],[Kunde Nr.]]&lt;$I$3,$J$3,IF(Tabelle1[[#This Row],[Kunde Nr.]]&lt;$I$4,$J$4,0)))</f>
        <v>Qerimi</v>
      </c>
    </row>
    <row r="819" spans="1:7" x14ac:dyDescent="0.25">
      <c r="G819" s="47" t="str">
        <f>IF(Tabelle1[[#This Row],[Kunde Nr.]]&lt;$I$2,$J$2,IF(Tabelle1[[#This Row],[Kunde Nr.]]&lt;$I$3,$J$3,IF(Tabelle1[[#This Row],[Kunde Nr.]]&lt;$I$4,$J$4,0)))</f>
        <v>Qerimi</v>
      </c>
    </row>
    <row r="820" spans="1:7" x14ac:dyDescent="0.25">
      <c r="A820" s="7"/>
      <c r="G820" s="47" t="str">
        <f>IF(Tabelle1[[#This Row],[Kunde Nr.]]&lt;$I$2,$J$2,IF(Tabelle1[[#This Row],[Kunde Nr.]]&lt;$I$3,$J$3,IF(Tabelle1[[#This Row],[Kunde Nr.]]&lt;$I$4,$J$4,0)))</f>
        <v>Qerimi</v>
      </c>
    </row>
    <row r="821" spans="1:7" x14ac:dyDescent="0.25">
      <c r="G821" s="47" t="str">
        <f>IF(Tabelle1[[#This Row],[Kunde Nr.]]&lt;$I$2,$J$2,IF(Tabelle1[[#This Row],[Kunde Nr.]]&lt;$I$3,$J$3,IF(Tabelle1[[#This Row],[Kunde Nr.]]&lt;$I$4,$J$4,0)))</f>
        <v>Qerimi</v>
      </c>
    </row>
    <row r="822" spans="1:7" x14ac:dyDescent="0.25">
      <c r="A822" s="7"/>
      <c r="G822" s="47" t="str">
        <f>IF(Tabelle1[[#This Row],[Kunde Nr.]]&lt;$I$2,$J$2,IF(Tabelle1[[#This Row],[Kunde Nr.]]&lt;$I$3,$J$3,IF(Tabelle1[[#This Row],[Kunde Nr.]]&lt;$I$4,$J$4,0)))</f>
        <v>Qerimi</v>
      </c>
    </row>
    <row r="823" spans="1:7" x14ac:dyDescent="0.25">
      <c r="G823" s="47" t="str">
        <f>IF(Tabelle1[[#This Row],[Kunde Nr.]]&lt;$I$2,$J$2,IF(Tabelle1[[#This Row],[Kunde Nr.]]&lt;$I$3,$J$3,IF(Tabelle1[[#This Row],[Kunde Nr.]]&lt;$I$4,$J$4,0)))</f>
        <v>Qerimi</v>
      </c>
    </row>
    <row r="824" spans="1:7" x14ac:dyDescent="0.25">
      <c r="A824" s="7"/>
      <c r="G824" s="47" t="str">
        <f>IF(Tabelle1[[#This Row],[Kunde Nr.]]&lt;$I$2,$J$2,IF(Tabelle1[[#This Row],[Kunde Nr.]]&lt;$I$3,$J$3,IF(Tabelle1[[#This Row],[Kunde Nr.]]&lt;$I$4,$J$4,0)))</f>
        <v>Qerimi</v>
      </c>
    </row>
    <row r="825" spans="1:7" x14ac:dyDescent="0.25">
      <c r="G825" s="47" t="str">
        <f>IF(Tabelle1[[#This Row],[Kunde Nr.]]&lt;$I$2,$J$2,IF(Tabelle1[[#This Row],[Kunde Nr.]]&lt;$I$3,$J$3,IF(Tabelle1[[#This Row],[Kunde Nr.]]&lt;$I$4,$J$4,0)))</f>
        <v>Qerimi</v>
      </c>
    </row>
    <row r="826" spans="1:7" x14ac:dyDescent="0.25">
      <c r="A826" s="7"/>
      <c r="G826" s="47" t="str">
        <f>IF(Tabelle1[[#This Row],[Kunde Nr.]]&lt;$I$2,$J$2,IF(Tabelle1[[#This Row],[Kunde Nr.]]&lt;$I$3,$J$3,IF(Tabelle1[[#This Row],[Kunde Nr.]]&lt;$I$4,$J$4,0)))</f>
        <v>Qerimi</v>
      </c>
    </row>
    <row r="827" spans="1:7" x14ac:dyDescent="0.25">
      <c r="G827" s="47" t="str">
        <f>IF(Tabelle1[[#This Row],[Kunde Nr.]]&lt;$I$2,$J$2,IF(Tabelle1[[#This Row],[Kunde Nr.]]&lt;$I$3,$J$3,IF(Tabelle1[[#This Row],[Kunde Nr.]]&lt;$I$4,$J$4,0)))</f>
        <v>Qerimi</v>
      </c>
    </row>
    <row r="828" spans="1:7" x14ac:dyDescent="0.25">
      <c r="A828" s="7"/>
      <c r="G828" s="47" t="str">
        <f>IF(Tabelle1[[#This Row],[Kunde Nr.]]&lt;$I$2,$J$2,IF(Tabelle1[[#This Row],[Kunde Nr.]]&lt;$I$3,$J$3,IF(Tabelle1[[#This Row],[Kunde Nr.]]&lt;$I$4,$J$4,0)))</f>
        <v>Qerimi</v>
      </c>
    </row>
    <row r="829" spans="1:7" x14ac:dyDescent="0.25">
      <c r="G829" s="47" t="str">
        <f>IF(Tabelle1[[#This Row],[Kunde Nr.]]&lt;$I$2,$J$2,IF(Tabelle1[[#This Row],[Kunde Nr.]]&lt;$I$3,$J$3,IF(Tabelle1[[#This Row],[Kunde Nr.]]&lt;$I$4,$J$4,0)))</f>
        <v>Qerimi</v>
      </c>
    </row>
    <row r="830" spans="1:7" x14ac:dyDescent="0.25">
      <c r="A830" s="7"/>
      <c r="G830" s="47" t="str">
        <f>IF(Tabelle1[[#This Row],[Kunde Nr.]]&lt;$I$2,$J$2,IF(Tabelle1[[#This Row],[Kunde Nr.]]&lt;$I$3,$J$3,IF(Tabelle1[[#This Row],[Kunde Nr.]]&lt;$I$4,$J$4,0)))</f>
        <v>Qerimi</v>
      </c>
    </row>
    <row r="831" spans="1:7" x14ac:dyDescent="0.25">
      <c r="G831" s="47" t="str">
        <f>IF(Tabelle1[[#This Row],[Kunde Nr.]]&lt;$I$2,$J$2,IF(Tabelle1[[#This Row],[Kunde Nr.]]&lt;$I$3,$J$3,IF(Tabelle1[[#This Row],[Kunde Nr.]]&lt;$I$4,$J$4,0)))</f>
        <v>Qerimi</v>
      </c>
    </row>
    <row r="832" spans="1:7" x14ac:dyDescent="0.25">
      <c r="A832" s="7"/>
      <c r="G832" s="47" t="str">
        <f>IF(Tabelle1[[#This Row],[Kunde Nr.]]&lt;$I$2,$J$2,IF(Tabelle1[[#This Row],[Kunde Nr.]]&lt;$I$3,$J$3,IF(Tabelle1[[#This Row],[Kunde Nr.]]&lt;$I$4,$J$4,0)))</f>
        <v>Qerimi</v>
      </c>
    </row>
    <row r="833" spans="1:7" x14ac:dyDescent="0.25">
      <c r="G833" s="47" t="str">
        <f>IF(Tabelle1[[#This Row],[Kunde Nr.]]&lt;$I$2,$J$2,IF(Tabelle1[[#This Row],[Kunde Nr.]]&lt;$I$3,$J$3,IF(Tabelle1[[#This Row],[Kunde Nr.]]&lt;$I$4,$J$4,0)))</f>
        <v>Qerimi</v>
      </c>
    </row>
    <row r="834" spans="1:7" x14ac:dyDescent="0.25">
      <c r="A834" s="7"/>
      <c r="G834" s="47" t="str">
        <f>IF(Tabelle1[[#This Row],[Kunde Nr.]]&lt;$I$2,$J$2,IF(Tabelle1[[#This Row],[Kunde Nr.]]&lt;$I$3,$J$3,IF(Tabelle1[[#This Row],[Kunde Nr.]]&lt;$I$4,$J$4,0)))</f>
        <v>Qerimi</v>
      </c>
    </row>
    <row r="835" spans="1:7" x14ac:dyDescent="0.25">
      <c r="G835" s="47" t="str">
        <f>IF(Tabelle1[[#This Row],[Kunde Nr.]]&lt;$I$2,$J$2,IF(Tabelle1[[#This Row],[Kunde Nr.]]&lt;$I$3,$J$3,IF(Tabelle1[[#This Row],[Kunde Nr.]]&lt;$I$4,$J$4,0)))</f>
        <v>Qerimi</v>
      </c>
    </row>
    <row r="836" spans="1:7" x14ac:dyDescent="0.25">
      <c r="A836" s="7"/>
      <c r="G836" s="47" t="str">
        <f>IF(Tabelle1[[#This Row],[Kunde Nr.]]&lt;$I$2,$J$2,IF(Tabelle1[[#This Row],[Kunde Nr.]]&lt;$I$3,$J$3,IF(Tabelle1[[#This Row],[Kunde Nr.]]&lt;$I$4,$J$4,0)))</f>
        <v>Qerimi</v>
      </c>
    </row>
    <row r="837" spans="1:7" x14ac:dyDescent="0.25">
      <c r="G837" s="47" t="str">
        <f>IF(Tabelle1[[#This Row],[Kunde Nr.]]&lt;$I$2,$J$2,IF(Tabelle1[[#This Row],[Kunde Nr.]]&lt;$I$3,$J$3,IF(Tabelle1[[#This Row],[Kunde Nr.]]&lt;$I$4,$J$4,0)))</f>
        <v>Qerimi</v>
      </c>
    </row>
    <row r="838" spans="1:7" x14ac:dyDescent="0.25">
      <c r="A838" s="7"/>
      <c r="G838" s="47" t="str">
        <f>IF(Tabelle1[[#This Row],[Kunde Nr.]]&lt;$I$2,$J$2,IF(Tabelle1[[#This Row],[Kunde Nr.]]&lt;$I$3,$J$3,IF(Tabelle1[[#This Row],[Kunde Nr.]]&lt;$I$4,$J$4,0)))</f>
        <v>Qerimi</v>
      </c>
    </row>
    <row r="839" spans="1:7" x14ac:dyDescent="0.25">
      <c r="G839" s="47" t="str">
        <f>IF(Tabelle1[[#This Row],[Kunde Nr.]]&lt;$I$2,$J$2,IF(Tabelle1[[#This Row],[Kunde Nr.]]&lt;$I$3,$J$3,IF(Tabelle1[[#This Row],[Kunde Nr.]]&lt;$I$4,$J$4,0)))</f>
        <v>Qerimi</v>
      </c>
    </row>
    <row r="840" spans="1:7" x14ac:dyDescent="0.25">
      <c r="A840" s="7"/>
      <c r="G840" s="47" t="str">
        <f>IF(Tabelle1[[#This Row],[Kunde Nr.]]&lt;$I$2,$J$2,IF(Tabelle1[[#This Row],[Kunde Nr.]]&lt;$I$3,$J$3,IF(Tabelle1[[#This Row],[Kunde Nr.]]&lt;$I$4,$J$4,0)))</f>
        <v>Qerimi</v>
      </c>
    </row>
    <row r="841" spans="1:7" x14ac:dyDescent="0.25">
      <c r="G841" s="47" t="str">
        <f>IF(Tabelle1[[#This Row],[Kunde Nr.]]&lt;$I$2,$J$2,IF(Tabelle1[[#This Row],[Kunde Nr.]]&lt;$I$3,$J$3,IF(Tabelle1[[#This Row],[Kunde Nr.]]&lt;$I$4,$J$4,0)))</f>
        <v>Qerimi</v>
      </c>
    </row>
    <row r="842" spans="1:7" x14ac:dyDescent="0.25">
      <c r="A842" s="7"/>
      <c r="G842" s="47" t="str">
        <f>IF(Tabelle1[[#This Row],[Kunde Nr.]]&lt;$I$2,$J$2,IF(Tabelle1[[#This Row],[Kunde Nr.]]&lt;$I$3,$J$3,IF(Tabelle1[[#This Row],[Kunde Nr.]]&lt;$I$4,$J$4,0)))</f>
        <v>Qerimi</v>
      </c>
    </row>
    <row r="843" spans="1:7" x14ac:dyDescent="0.25">
      <c r="G843" s="47" t="str">
        <f>IF(Tabelle1[[#This Row],[Kunde Nr.]]&lt;$I$2,$J$2,IF(Tabelle1[[#This Row],[Kunde Nr.]]&lt;$I$3,$J$3,IF(Tabelle1[[#This Row],[Kunde Nr.]]&lt;$I$4,$J$4,0)))</f>
        <v>Qerimi</v>
      </c>
    </row>
    <row r="844" spans="1:7" x14ac:dyDescent="0.25">
      <c r="A844" s="7"/>
      <c r="G844" s="47" t="str">
        <f>IF(Tabelle1[[#This Row],[Kunde Nr.]]&lt;$I$2,$J$2,IF(Tabelle1[[#This Row],[Kunde Nr.]]&lt;$I$3,$J$3,IF(Tabelle1[[#This Row],[Kunde Nr.]]&lt;$I$4,$J$4,0)))</f>
        <v>Qerimi</v>
      </c>
    </row>
    <row r="845" spans="1:7" x14ac:dyDescent="0.25">
      <c r="G845" s="47" t="str">
        <f>IF(Tabelle1[[#This Row],[Kunde Nr.]]&lt;$I$2,$J$2,IF(Tabelle1[[#This Row],[Kunde Nr.]]&lt;$I$3,$J$3,IF(Tabelle1[[#This Row],[Kunde Nr.]]&lt;$I$4,$J$4,0)))</f>
        <v>Qerimi</v>
      </c>
    </row>
    <row r="846" spans="1:7" x14ac:dyDescent="0.25">
      <c r="A846" s="7"/>
      <c r="G846" s="47" t="str">
        <f>IF(Tabelle1[[#This Row],[Kunde Nr.]]&lt;$I$2,$J$2,IF(Tabelle1[[#This Row],[Kunde Nr.]]&lt;$I$3,$J$3,IF(Tabelle1[[#This Row],[Kunde Nr.]]&lt;$I$4,$J$4,0)))</f>
        <v>Qerimi</v>
      </c>
    </row>
    <row r="847" spans="1:7" x14ac:dyDescent="0.25">
      <c r="G847" s="47" t="str">
        <f>IF(Tabelle1[[#This Row],[Kunde Nr.]]&lt;$I$2,$J$2,IF(Tabelle1[[#This Row],[Kunde Nr.]]&lt;$I$3,$J$3,IF(Tabelle1[[#This Row],[Kunde Nr.]]&lt;$I$4,$J$4,0)))</f>
        <v>Qerimi</v>
      </c>
    </row>
    <row r="848" spans="1:7" x14ac:dyDescent="0.25">
      <c r="A848" s="7"/>
      <c r="G848" s="47" t="str">
        <f>IF(Tabelle1[[#This Row],[Kunde Nr.]]&lt;$I$2,$J$2,IF(Tabelle1[[#This Row],[Kunde Nr.]]&lt;$I$3,$J$3,IF(Tabelle1[[#This Row],[Kunde Nr.]]&lt;$I$4,$J$4,0)))</f>
        <v>Qerimi</v>
      </c>
    </row>
    <row r="849" spans="1:7" x14ac:dyDescent="0.25">
      <c r="G849" s="47" t="str">
        <f>IF(Tabelle1[[#This Row],[Kunde Nr.]]&lt;$I$2,$J$2,IF(Tabelle1[[#This Row],[Kunde Nr.]]&lt;$I$3,$J$3,IF(Tabelle1[[#This Row],[Kunde Nr.]]&lt;$I$4,$J$4,0)))</f>
        <v>Qerimi</v>
      </c>
    </row>
    <row r="850" spans="1:7" x14ac:dyDescent="0.25">
      <c r="A850" s="7"/>
      <c r="G850" s="47" t="str">
        <f>IF(Tabelle1[[#This Row],[Kunde Nr.]]&lt;$I$2,$J$2,IF(Tabelle1[[#This Row],[Kunde Nr.]]&lt;$I$3,$J$3,IF(Tabelle1[[#This Row],[Kunde Nr.]]&lt;$I$4,$J$4,0)))</f>
        <v>Qerimi</v>
      </c>
    </row>
    <row r="851" spans="1:7" x14ac:dyDescent="0.25">
      <c r="G851" s="47" t="str">
        <f>IF(Tabelle1[[#This Row],[Kunde Nr.]]&lt;$I$2,$J$2,IF(Tabelle1[[#This Row],[Kunde Nr.]]&lt;$I$3,$J$3,IF(Tabelle1[[#This Row],[Kunde Nr.]]&lt;$I$4,$J$4,0)))</f>
        <v>Qerimi</v>
      </c>
    </row>
    <row r="852" spans="1:7" x14ac:dyDescent="0.25">
      <c r="A852" s="7"/>
      <c r="G852" s="47" t="str">
        <f>IF(Tabelle1[[#This Row],[Kunde Nr.]]&lt;$I$2,$J$2,IF(Tabelle1[[#This Row],[Kunde Nr.]]&lt;$I$3,$J$3,IF(Tabelle1[[#This Row],[Kunde Nr.]]&lt;$I$4,$J$4,0)))</f>
        <v>Qerimi</v>
      </c>
    </row>
    <row r="853" spans="1:7" x14ac:dyDescent="0.25">
      <c r="G853" s="47" t="str">
        <f>IF(Tabelle1[[#This Row],[Kunde Nr.]]&lt;$I$2,$J$2,IF(Tabelle1[[#This Row],[Kunde Nr.]]&lt;$I$3,$J$3,IF(Tabelle1[[#This Row],[Kunde Nr.]]&lt;$I$4,$J$4,0)))</f>
        <v>Qerimi</v>
      </c>
    </row>
    <row r="854" spans="1:7" x14ac:dyDescent="0.25">
      <c r="A854" s="7"/>
      <c r="G854" s="47" t="str">
        <f>IF(Tabelle1[[#This Row],[Kunde Nr.]]&lt;$I$2,$J$2,IF(Tabelle1[[#This Row],[Kunde Nr.]]&lt;$I$3,$J$3,IF(Tabelle1[[#This Row],[Kunde Nr.]]&lt;$I$4,$J$4,0)))</f>
        <v>Qerimi</v>
      </c>
    </row>
    <row r="855" spans="1:7" x14ac:dyDescent="0.25">
      <c r="G855" s="47" t="str">
        <f>IF(Tabelle1[[#This Row],[Kunde Nr.]]&lt;$I$2,$J$2,IF(Tabelle1[[#This Row],[Kunde Nr.]]&lt;$I$3,$J$3,IF(Tabelle1[[#This Row],[Kunde Nr.]]&lt;$I$4,$J$4,0)))</f>
        <v>Qerimi</v>
      </c>
    </row>
    <row r="856" spans="1:7" x14ac:dyDescent="0.25">
      <c r="A856" s="7"/>
      <c r="G856" s="47" t="str">
        <f>IF(Tabelle1[[#This Row],[Kunde Nr.]]&lt;$I$2,$J$2,IF(Tabelle1[[#This Row],[Kunde Nr.]]&lt;$I$3,$J$3,IF(Tabelle1[[#This Row],[Kunde Nr.]]&lt;$I$4,$J$4,0)))</f>
        <v>Qerimi</v>
      </c>
    </row>
    <row r="857" spans="1:7" x14ac:dyDescent="0.25">
      <c r="G857" s="47" t="str">
        <f>IF(Tabelle1[[#This Row],[Kunde Nr.]]&lt;$I$2,$J$2,IF(Tabelle1[[#This Row],[Kunde Nr.]]&lt;$I$3,$J$3,IF(Tabelle1[[#This Row],[Kunde Nr.]]&lt;$I$4,$J$4,0)))</f>
        <v>Qerimi</v>
      </c>
    </row>
    <row r="858" spans="1:7" x14ac:dyDescent="0.25">
      <c r="A858" s="7"/>
      <c r="G858" s="47" t="str">
        <f>IF(Tabelle1[[#This Row],[Kunde Nr.]]&lt;$I$2,$J$2,IF(Tabelle1[[#This Row],[Kunde Nr.]]&lt;$I$3,$J$3,IF(Tabelle1[[#This Row],[Kunde Nr.]]&lt;$I$4,$J$4,0)))</f>
        <v>Qerimi</v>
      </c>
    </row>
    <row r="859" spans="1:7" x14ac:dyDescent="0.25">
      <c r="G859" s="47" t="str">
        <f>IF(Tabelle1[[#This Row],[Kunde Nr.]]&lt;$I$2,$J$2,IF(Tabelle1[[#This Row],[Kunde Nr.]]&lt;$I$3,$J$3,IF(Tabelle1[[#This Row],[Kunde Nr.]]&lt;$I$4,$J$4,0)))</f>
        <v>Qerimi</v>
      </c>
    </row>
    <row r="860" spans="1:7" x14ac:dyDescent="0.25">
      <c r="A860" s="7"/>
      <c r="G860" s="47" t="str">
        <f>IF(Tabelle1[[#This Row],[Kunde Nr.]]&lt;$I$2,$J$2,IF(Tabelle1[[#This Row],[Kunde Nr.]]&lt;$I$3,$J$3,IF(Tabelle1[[#This Row],[Kunde Nr.]]&lt;$I$4,$J$4,0)))</f>
        <v>Qerimi</v>
      </c>
    </row>
    <row r="861" spans="1:7" x14ac:dyDescent="0.25">
      <c r="G861" s="47" t="str">
        <f>IF(Tabelle1[[#This Row],[Kunde Nr.]]&lt;$I$2,$J$2,IF(Tabelle1[[#This Row],[Kunde Nr.]]&lt;$I$3,$J$3,IF(Tabelle1[[#This Row],[Kunde Nr.]]&lt;$I$4,$J$4,0)))</f>
        <v>Qerimi</v>
      </c>
    </row>
    <row r="862" spans="1:7" x14ac:dyDescent="0.25">
      <c r="A862" s="7"/>
      <c r="G862" s="47" t="str">
        <f>IF(Tabelle1[[#This Row],[Kunde Nr.]]&lt;$I$2,$J$2,IF(Tabelle1[[#This Row],[Kunde Nr.]]&lt;$I$3,$J$3,IF(Tabelle1[[#This Row],[Kunde Nr.]]&lt;$I$4,$J$4,0)))</f>
        <v>Qerimi</v>
      </c>
    </row>
    <row r="863" spans="1:7" x14ac:dyDescent="0.25">
      <c r="G863" s="47" t="str">
        <f>IF(Tabelle1[[#This Row],[Kunde Nr.]]&lt;$I$2,$J$2,IF(Tabelle1[[#This Row],[Kunde Nr.]]&lt;$I$3,$J$3,IF(Tabelle1[[#This Row],[Kunde Nr.]]&lt;$I$4,$J$4,0)))</f>
        <v>Qerimi</v>
      </c>
    </row>
    <row r="864" spans="1:7" x14ac:dyDescent="0.25">
      <c r="A864" s="7"/>
      <c r="G864" s="47" t="str">
        <f>IF(Tabelle1[[#This Row],[Kunde Nr.]]&lt;$I$2,$J$2,IF(Tabelle1[[#This Row],[Kunde Nr.]]&lt;$I$3,$J$3,IF(Tabelle1[[#This Row],[Kunde Nr.]]&lt;$I$4,$J$4,0)))</f>
        <v>Qerimi</v>
      </c>
    </row>
    <row r="865" spans="1:7" x14ac:dyDescent="0.25">
      <c r="G865" s="47" t="str">
        <f>IF(Tabelle1[[#This Row],[Kunde Nr.]]&lt;$I$2,$J$2,IF(Tabelle1[[#This Row],[Kunde Nr.]]&lt;$I$3,$J$3,IF(Tabelle1[[#This Row],[Kunde Nr.]]&lt;$I$4,$J$4,0)))</f>
        <v>Qerimi</v>
      </c>
    </row>
    <row r="866" spans="1:7" x14ac:dyDescent="0.25">
      <c r="A866" s="7"/>
      <c r="G866" s="47" t="str">
        <f>IF(Tabelle1[[#This Row],[Kunde Nr.]]&lt;$I$2,$J$2,IF(Tabelle1[[#This Row],[Kunde Nr.]]&lt;$I$3,$J$3,IF(Tabelle1[[#This Row],[Kunde Nr.]]&lt;$I$4,$J$4,0)))</f>
        <v>Qerimi</v>
      </c>
    </row>
    <row r="867" spans="1:7" x14ac:dyDescent="0.25">
      <c r="G867" s="47" t="str">
        <f>IF(Tabelle1[[#This Row],[Kunde Nr.]]&lt;$I$2,$J$2,IF(Tabelle1[[#This Row],[Kunde Nr.]]&lt;$I$3,$J$3,IF(Tabelle1[[#This Row],[Kunde Nr.]]&lt;$I$4,$J$4,0)))</f>
        <v>Qerimi</v>
      </c>
    </row>
    <row r="868" spans="1:7" x14ac:dyDescent="0.25">
      <c r="A868" s="7"/>
      <c r="G868" s="47" t="str">
        <f>IF(Tabelle1[[#This Row],[Kunde Nr.]]&lt;$I$2,$J$2,IF(Tabelle1[[#This Row],[Kunde Nr.]]&lt;$I$3,$J$3,IF(Tabelle1[[#This Row],[Kunde Nr.]]&lt;$I$4,$J$4,0)))</f>
        <v>Qerimi</v>
      </c>
    </row>
    <row r="869" spans="1:7" x14ac:dyDescent="0.25">
      <c r="G869" s="47" t="str">
        <f>IF(Tabelle1[[#This Row],[Kunde Nr.]]&lt;$I$2,$J$2,IF(Tabelle1[[#This Row],[Kunde Nr.]]&lt;$I$3,$J$3,IF(Tabelle1[[#This Row],[Kunde Nr.]]&lt;$I$4,$J$4,0)))</f>
        <v>Qerimi</v>
      </c>
    </row>
    <row r="870" spans="1:7" x14ac:dyDescent="0.25">
      <c r="A870" s="7"/>
      <c r="G870" s="47" t="str">
        <f>IF(Tabelle1[[#This Row],[Kunde Nr.]]&lt;$I$2,$J$2,IF(Tabelle1[[#This Row],[Kunde Nr.]]&lt;$I$3,$J$3,IF(Tabelle1[[#This Row],[Kunde Nr.]]&lt;$I$4,$J$4,0)))</f>
        <v>Qerimi</v>
      </c>
    </row>
    <row r="871" spans="1:7" x14ac:dyDescent="0.25">
      <c r="G871" s="47" t="str">
        <f>IF(Tabelle1[[#This Row],[Kunde Nr.]]&lt;$I$2,$J$2,IF(Tabelle1[[#This Row],[Kunde Nr.]]&lt;$I$3,$J$3,IF(Tabelle1[[#This Row],[Kunde Nr.]]&lt;$I$4,$J$4,0)))</f>
        <v>Qerimi</v>
      </c>
    </row>
    <row r="872" spans="1:7" x14ac:dyDescent="0.25">
      <c r="A872" s="7"/>
      <c r="G872" s="47" t="str">
        <f>IF(Tabelle1[[#This Row],[Kunde Nr.]]&lt;$I$2,$J$2,IF(Tabelle1[[#This Row],[Kunde Nr.]]&lt;$I$3,$J$3,IF(Tabelle1[[#This Row],[Kunde Nr.]]&lt;$I$4,$J$4,0)))</f>
        <v>Qerimi</v>
      </c>
    </row>
    <row r="873" spans="1:7" x14ac:dyDescent="0.25">
      <c r="G873" s="47" t="str">
        <f>IF(Tabelle1[[#This Row],[Kunde Nr.]]&lt;$I$2,$J$2,IF(Tabelle1[[#This Row],[Kunde Nr.]]&lt;$I$3,$J$3,IF(Tabelle1[[#This Row],[Kunde Nr.]]&lt;$I$4,$J$4,0)))</f>
        <v>Qerimi</v>
      </c>
    </row>
    <row r="874" spans="1:7" x14ac:dyDescent="0.25">
      <c r="A874" s="7"/>
      <c r="G874" s="47" t="str">
        <f>IF(Tabelle1[[#This Row],[Kunde Nr.]]&lt;$I$2,$J$2,IF(Tabelle1[[#This Row],[Kunde Nr.]]&lt;$I$3,$J$3,IF(Tabelle1[[#This Row],[Kunde Nr.]]&lt;$I$4,$J$4,0)))</f>
        <v>Qerimi</v>
      </c>
    </row>
    <row r="875" spans="1:7" x14ac:dyDescent="0.25">
      <c r="G875" s="47" t="str">
        <f>IF(Tabelle1[[#This Row],[Kunde Nr.]]&lt;$I$2,$J$2,IF(Tabelle1[[#This Row],[Kunde Nr.]]&lt;$I$3,$J$3,IF(Tabelle1[[#This Row],[Kunde Nr.]]&lt;$I$4,$J$4,0)))</f>
        <v>Qerimi</v>
      </c>
    </row>
    <row r="876" spans="1:7" x14ac:dyDescent="0.25">
      <c r="A876" s="7"/>
      <c r="G876" s="47" t="str">
        <f>IF(Tabelle1[[#This Row],[Kunde Nr.]]&lt;$I$2,$J$2,IF(Tabelle1[[#This Row],[Kunde Nr.]]&lt;$I$3,$J$3,IF(Tabelle1[[#This Row],[Kunde Nr.]]&lt;$I$4,$J$4,0)))</f>
        <v>Qerimi</v>
      </c>
    </row>
    <row r="877" spans="1:7" x14ac:dyDescent="0.25">
      <c r="G877" s="47" t="str">
        <f>IF(Tabelle1[[#This Row],[Kunde Nr.]]&lt;$I$2,$J$2,IF(Tabelle1[[#This Row],[Kunde Nr.]]&lt;$I$3,$J$3,IF(Tabelle1[[#This Row],[Kunde Nr.]]&lt;$I$4,$J$4,0)))</f>
        <v>Qerimi</v>
      </c>
    </row>
    <row r="878" spans="1:7" x14ac:dyDescent="0.25">
      <c r="A878" s="7"/>
      <c r="G878" s="47" t="str">
        <f>IF(Tabelle1[[#This Row],[Kunde Nr.]]&lt;$I$2,$J$2,IF(Tabelle1[[#This Row],[Kunde Nr.]]&lt;$I$3,$J$3,IF(Tabelle1[[#This Row],[Kunde Nr.]]&lt;$I$4,$J$4,0)))</f>
        <v>Qerimi</v>
      </c>
    </row>
    <row r="879" spans="1:7" x14ac:dyDescent="0.25">
      <c r="G879" s="47" t="str">
        <f>IF(Tabelle1[[#This Row],[Kunde Nr.]]&lt;$I$2,$J$2,IF(Tabelle1[[#This Row],[Kunde Nr.]]&lt;$I$3,$J$3,IF(Tabelle1[[#This Row],[Kunde Nr.]]&lt;$I$4,$J$4,0)))</f>
        <v>Qerimi</v>
      </c>
    </row>
    <row r="880" spans="1:7" x14ac:dyDescent="0.25">
      <c r="A880" s="7"/>
      <c r="G880" s="47" t="str">
        <f>IF(Tabelle1[[#This Row],[Kunde Nr.]]&lt;$I$2,$J$2,IF(Tabelle1[[#This Row],[Kunde Nr.]]&lt;$I$3,$J$3,IF(Tabelle1[[#This Row],[Kunde Nr.]]&lt;$I$4,$J$4,0)))</f>
        <v>Qerimi</v>
      </c>
    </row>
    <row r="881" spans="1:7" x14ac:dyDescent="0.25">
      <c r="G881" s="47" t="str">
        <f>IF(Tabelle1[[#This Row],[Kunde Nr.]]&lt;$I$2,$J$2,IF(Tabelle1[[#This Row],[Kunde Nr.]]&lt;$I$3,$J$3,IF(Tabelle1[[#This Row],[Kunde Nr.]]&lt;$I$4,$J$4,0)))</f>
        <v>Qerimi</v>
      </c>
    </row>
    <row r="882" spans="1:7" x14ac:dyDescent="0.25">
      <c r="A882" s="7"/>
      <c r="G882" s="47" t="str">
        <f>IF(Tabelle1[[#This Row],[Kunde Nr.]]&lt;$I$2,$J$2,IF(Tabelle1[[#This Row],[Kunde Nr.]]&lt;$I$3,$J$3,IF(Tabelle1[[#This Row],[Kunde Nr.]]&lt;$I$4,$J$4,0)))</f>
        <v>Qerimi</v>
      </c>
    </row>
    <row r="883" spans="1:7" x14ac:dyDescent="0.25">
      <c r="G883" s="47" t="str">
        <f>IF(Tabelle1[[#This Row],[Kunde Nr.]]&lt;$I$2,$J$2,IF(Tabelle1[[#This Row],[Kunde Nr.]]&lt;$I$3,$J$3,IF(Tabelle1[[#This Row],[Kunde Nr.]]&lt;$I$4,$J$4,0)))</f>
        <v>Qerimi</v>
      </c>
    </row>
    <row r="884" spans="1:7" x14ac:dyDescent="0.25">
      <c r="A884" s="7"/>
      <c r="G884" s="47" t="str">
        <f>IF(Tabelle1[[#This Row],[Kunde Nr.]]&lt;$I$2,$J$2,IF(Tabelle1[[#This Row],[Kunde Nr.]]&lt;$I$3,$J$3,IF(Tabelle1[[#This Row],[Kunde Nr.]]&lt;$I$4,$J$4,0)))</f>
        <v>Qerimi</v>
      </c>
    </row>
    <row r="885" spans="1:7" x14ac:dyDescent="0.25">
      <c r="G885" s="47" t="str">
        <f>IF(Tabelle1[[#This Row],[Kunde Nr.]]&lt;$I$2,$J$2,IF(Tabelle1[[#This Row],[Kunde Nr.]]&lt;$I$3,$J$3,IF(Tabelle1[[#This Row],[Kunde Nr.]]&lt;$I$4,$J$4,0)))</f>
        <v>Qerimi</v>
      </c>
    </row>
    <row r="886" spans="1:7" x14ac:dyDescent="0.25">
      <c r="A886" s="7"/>
      <c r="G886" s="47" t="str">
        <f>IF(Tabelle1[[#This Row],[Kunde Nr.]]&lt;$I$2,$J$2,IF(Tabelle1[[#This Row],[Kunde Nr.]]&lt;$I$3,$J$3,IF(Tabelle1[[#This Row],[Kunde Nr.]]&lt;$I$4,$J$4,0)))</f>
        <v>Qerimi</v>
      </c>
    </row>
    <row r="887" spans="1:7" x14ac:dyDescent="0.25">
      <c r="G887" s="47" t="str">
        <f>IF(Tabelle1[[#This Row],[Kunde Nr.]]&lt;$I$2,$J$2,IF(Tabelle1[[#This Row],[Kunde Nr.]]&lt;$I$3,$J$3,IF(Tabelle1[[#This Row],[Kunde Nr.]]&lt;$I$4,$J$4,0)))</f>
        <v>Qerimi</v>
      </c>
    </row>
    <row r="888" spans="1:7" x14ac:dyDescent="0.25">
      <c r="A888" s="7"/>
      <c r="G888" s="47" t="str">
        <f>IF(Tabelle1[[#This Row],[Kunde Nr.]]&lt;$I$2,$J$2,IF(Tabelle1[[#This Row],[Kunde Nr.]]&lt;$I$3,$J$3,IF(Tabelle1[[#This Row],[Kunde Nr.]]&lt;$I$4,$J$4,0)))</f>
        <v>Qerimi</v>
      </c>
    </row>
    <row r="889" spans="1:7" x14ac:dyDescent="0.25">
      <c r="G889" s="47" t="str">
        <f>IF(Tabelle1[[#This Row],[Kunde Nr.]]&lt;$I$2,$J$2,IF(Tabelle1[[#This Row],[Kunde Nr.]]&lt;$I$3,$J$3,IF(Tabelle1[[#This Row],[Kunde Nr.]]&lt;$I$4,$J$4,0)))</f>
        <v>Qerimi</v>
      </c>
    </row>
    <row r="890" spans="1:7" x14ac:dyDescent="0.25">
      <c r="A890" s="7"/>
      <c r="G890" s="47" t="str">
        <f>IF(Tabelle1[[#This Row],[Kunde Nr.]]&lt;$I$2,$J$2,IF(Tabelle1[[#This Row],[Kunde Nr.]]&lt;$I$3,$J$3,IF(Tabelle1[[#This Row],[Kunde Nr.]]&lt;$I$4,$J$4,0)))</f>
        <v>Qerimi</v>
      </c>
    </row>
    <row r="891" spans="1:7" x14ac:dyDescent="0.25">
      <c r="G891" s="47" t="str">
        <f>IF(Tabelle1[[#This Row],[Kunde Nr.]]&lt;$I$2,$J$2,IF(Tabelle1[[#This Row],[Kunde Nr.]]&lt;$I$3,$J$3,IF(Tabelle1[[#This Row],[Kunde Nr.]]&lt;$I$4,$J$4,0)))</f>
        <v>Qerimi</v>
      </c>
    </row>
    <row r="892" spans="1:7" x14ac:dyDescent="0.25">
      <c r="A892" s="7"/>
      <c r="G892" s="47" t="str">
        <f>IF(Tabelle1[[#This Row],[Kunde Nr.]]&lt;$I$2,$J$2,IF(Tabelle1[[#This Row],[Kunde Nr.]]&lt;$I$3,$J$3,IF(Tabelle1[[#This Row],[Kunde Nr.]]&lt;$I$4,$J$4,0)))</f>
        <v>Qerimi</v>
      </c>
    </row>
    <row r="893" spans="1:7" x14ac:dyDescent="0.25">
      <c r="G893" s="47" t="str">
        <f>IF(Tabelle1[[#This Row],[Kunde Nr.]]&lt;$I$2,$J$2,IF(Tabelle1[[#This Row],[Kunde Nr.]]&lt;$I$3,$J$3,IF(Tabelle1[[#This Row],[Kunde Nr.]]&lt;$I$4,$J$4,0)))</f>
        <v>Qerimi</v>
      </c>
    </row>
    <row r="894" spans="1:7" x14ac:dyDescent="0.25">
      <c r="A894" s="7"/>
      <c r="G894" s="47" t="str">
        <f>IF(Tabelle1[[#This Row],[Kunde Nr.]]&lt;$I$2,$J$2,IF(Tabelle1[[#This Row],[Kunde Nr.]]&lt;$I$3,$J$3,IF(Tabelle1[[#This Row],[Kunde Nr.]]&lt;$I$4,$J$4,0)))</f>
        <v>Qerimi</v>
      </c>
    </row>
    <row r="895" spans="1:7" x14ac:dyDescent="0.25">
      <c r="G895" s="47" t="str">
        <f>IF(Tabelle1[[#This Row],[Kunde Nr.]]&lt;$I$2,$J$2,IF(Tabelle1[[#This Row],[Kunde Nr.]]&lt;$I$3,$J$3,IF(Tabelle1[[#This Row],[Kunde Nr.]]&lt;$I$4,$J$4,0)))</f>
        <v>Qerimi</v>
      </c>
    </row>
    <row r="896" spans="1:7" x14ac:dyDescent="0.25">
      <c r="A896" s="7"/>
      <c r="G896" s="47" t="str">
        <f>IF(Tabelle1[[#This Row],[Kunde Nr.]]&lt;$I$2,$J$2,IF(Tabelle1[[#This Row],[Kunde Nr.]]&lt;$I$3,$J$3,IF(Tabelle1[[#This Row],[Kunde Nr.]]&lt;$I$4,$J$4,0)))</f>
        <v>Qerimi</v>
      </c>
    </row>
    <row r="897" spans="1:7" x14ac:dyDescent="0.25">
      <c r="G897" s="47" t="str">
        <f>IF(Tabelle1[[#This Row],[Kunde Nr.]]&lt;$I$2,$J$2,IF(Tabelle1[[#This Row],[Kunde Nr.]]&lt;$I$3,$J$3,IF(Tabelle1[[#This Row],[Kunde Nr.]]&lt;$I$4,$J$4,0)))</f>
        <v>Qerimi</v>
      </c>
    </row>
    <row r="898" spans="1:7" x14ac:dyDescent="0.25">
      <c r="A898" s="7"/>
      <c r="G898" s="47" t="str">
        <f>IF(Tabelle1[[#This Row],[Kunde Nr.]]&lt;$I$2,$J$2,IF(Tabelle1[[#This Row],[Kunde Nr.]]&lt;$I$3,$J$3,IF(Tabelle1[[#This Row],[Kunde Nr.]]&lt;$I$4,$J$4,0)))</f>
        <v>Qerimi</v>
      </c>
    </row>
    <row r="899" spans="1:7" x14ac:dyDescent="0.25">
      <c r="G899" s="47" t="str">
        <f>IF(Tabelle1[[#This Row],[Kunde Nr.]]&lt;$I$2,$J$2,IF(Tabelle1[[#This Row],[Kunde Nr.]]&lt;$I$3,$J$3,IF(Tabelle1[[#This Row],[Kunde Nr.]]&lt;$I$4,$J$4,0)))</f>
        <v>Qerimi</v>
      </c>
    </row>
    <row r="900" spans="1:7" x14ac:dyDescent="0.25">
      <c r="A900" s="7"/>
      <c r="G900" s="47" t="str">
        <f>IF(Tabelle1[[#This Row],[Kunde Nr.]]&lt;$I$2,$J$2,IF(Tabelle1[[#This Row],[Kunde Nr.]]&lt;$I$3,$J$3,IF(Tabelle1[[#This Row],[Kunde Nr.]]&lt;$I$4,$J$4,0)))</f>
        <v>Qerimi</v>
      </c>
    </row>
    <row r="901" spans="1:7" x14ac:dyDescent="0.25">
      <c r="G901" s="47" t="str">
        <f>IF(Tabelle1[[#This Row],[Kunde Nr.]]&lt;$I$2,$J$2,IF(Tabelle1[[#This Row],[Kunde Nr.]]&lt;$I$3,$J$3,IF(Tabelle1[[#This Row],[Kunde Nr.]]&lt;$I$4,$J$4,0)))</f>
        <v>Qerimi</v>
      </c>
    </row>
    <row r="902" spans="1:7" x14ac:dyDescent="0.25">
      <c r="A902" s="7"/>
      <c r="G902" s="47" t="str">
        <f>IF(Tabelle1[[#This Row],[Kunde Nr.]]&lt;$I$2,$J$2,IF(Tabelle1[[#This Row],[Kunde Nr.]]&lt;$I$3,$J$3,IF(Tabelle1[[#This Row],[Kunde Nr.]]&lt;$I$4,$J$4,0)))</f>
        <v>Qerimi</v>
      </c>
    </row>
    <row r="903" spans="1:7" x14ac:dyDescent="0.25">
      <c r="G903" s="47" t="str">
        <f>IF(Tabelle1[[#This Row],[Kunde Nr.]]&lt;$I$2,$J$2,IF(Tabelle1[[#This Row],[Kunde Nr.]]&lt;$I$3,$J$3,IF(Tabelle1[[#This Row],[Kunde Nr.]]&lt;$I$4,$J$4,0)))</f>
        <v>Qerimi</v>
      </c>
    </row>
    <row r="904" spans="1:7" x14ac:dyDescent="0.25">
      <c r="A904" s="7"/>
      <c r="G904" s="47" t="str">
        <f>IF(Tabelle1[[#This Row],[Kunde Nr.]]&lt;$I$2,$J$2,IF(Tabelle1[[#This Row],[Kunde Nr.]]&lt;$I$3,$J$3,IF(Tabelle1[[#This Row],[Kunde Nr.]]&lt;$I$4,$J$4,0)))</f>
        <v>Qerimi</v>
      </c>
    </row>
    <row r="905" spans="1:7" x14ac:dyDescent="0.25">
      <c r="G905" s="47" t="str">
        <f>IF(Tabelle1[[#This Row],[Kunde Nr.]]&lt;$I$2,$J$2,IF(Tabelle1[[#This Row],[Kunde Nr.]]&lt;$I$3,$J$3,IF(Tabelle1[[#This Row],[Kunde Nr.]]&lt;$I$4,$J$4,0)))</f>
        <v>Qerimi</v>
      </c>
    </row>
    <row r="906" spans="1:7" x14ac:dyDescent="0.25">
      <c r="A906" s="7"/>
      <c r="G906" s="47" t="str">
        <f>IF(Tabelle1[[#This Row],[Kunde Nr.]]&lt;$I$2,$J$2,IF(Tabelle1[[#This Row],[Kunde Nr.]]&lt;$I$3,$J$3,IF(Tabelle1[[#This Row],[Kunde Nr.]]&lt;$I$4,$J$4,0)))</f>
        <v>Qerimi</v>
      </c>
    </row>
    <row r="907" spans="1:7" x14ac:dyDescent="0.25">
      <c r="G907" s="47" t="str">
        <f>IF(Tabelle1[[#This Row],[Kunde Nr.]]&lt;$I$2,$J$2,IF(Tabelle1[[#This Row],[Kunde Nr.]]&lt;$I$3,$J$3,IF(Tabelle1[[#This Row],[Kunde Nr.]]&lt;$I$4,$J$4,0)))</f>
        <v>Qerimi</v>
      </c>
    </row>
    <row r="908" spans="1:7" x14ac:dyDescent="0.25">
      <c r="A908" s="7"/>
      <c r="G908" s="47" t="str">
        <f>IF(Tabelle1[[#This Row],[Kunde Nr.]]&lt;$I$2,$J$2,IF(Tabelle1[[#This Row],[Kunde Nr.]]&lt;$I$3,$J$3,IF(Tabelle1[[#This Row],[Kunde Nr.]]&lt;$I$4,$J$4,0)))</f>
        <v>Qerimi</v>
      </c>
    </row>
    <row r="909" spans="1:7" x14ac:dyDescent="0.25">
      <c r="G909" s="47" t="str">
        <f>IF(Tabelle1[[#This Row],[Kunde Nr.]]&lt;$I$2,$J$2,IF(Tabelle1[[#This Row],[Kunde Nr.]]&lt;$I$3,$J$3,IF(Tabelle1[[#This Row],[Kunde Nr.]]&lt;$I$4,$J$4,0)))</f>
        <v>Qerimi</v>
      </c>
    </row>
    <row r="910" spans="1:7" x14ac:dyDescent="0.25">
      <c r="A910" s="7"/>
      <c r="G910" s="47" t="str">
        <f>IF(Tabelle1[[#This Row],[Kunde Nr.]]&lt;$I$2,$J$2,IF(Tabelle1[[#This Row],[Kunde Nr.]]&lt;$I$3,$J$3,IF(Tabelle1[[#This Row],[Kunde Nr.]]&lt;$I$4,$J$4,0)))</f>
        <v>Qerimi</v>
      </c>
    </row>
    <row r="911" spans="1:7" x14ac:dyDescent="0.25">
      <c r="G911" s="47" t="str">
        <f>IF(Tabelle1[[#This Row],[Kunde Nr.]]&lt;$I$2,$J$2,IF(Tabelle1[[#This Row],[Kunde Nr.]]&lt;$I$3,$J$3,IF(Tabelle1[[#This Row],[Kunde Nr.]]&lt;$I$4,$J$4,0)))</f>
        <v>Qerimi</v>
      </c>
    </row>
    <row r="912" spans="1:7" x14ac:dyDescent="0.25">
      <c r="A912" s="7"/>
      <c r="G912" s="47" t="str">
        <f>IF(Tabelle1[[#This Row],[Kunde Nr.]]&lt;$I$2,$J$2,IF(Tabelle1[[#This Row],[Kunde Nr.]]&lt;$I$3,$J$3,IF(Tabelle1[[#This Row],[Kunde Nr.]]&lt;$I$4,$J$4,0)))</f>
        <v>Qerimi</v>
      </c>
    </row>
    <row r="913" spans="1:7" x14ac:dyDescent="0.25">
      <c r="G913" s="47" t="str">
        <f>IF(Tabelle1[[#This Row],[Kunde Nr.]]&lt;$I$2,$J$2,IF(Tabelle1[[#This Row],[Kunde Nr.]]&lt;$I$3,$J$3,IF(Tabelle1[[#This Row],[Kunde Nr.]]&lt;$I$4,$J$4,0)))</f>
        <v>Qerimi</v>
      </c>
    </row>
    <row r="914" spans="1:7" x14ac:dyDescent="0.25">
      <c r="A914" s="7"/>
      <c r="G914" s="47" t="str">
        <f>IF(Tabelle1[[#This Row],[Kunde Nr.]]&lt;$I$2,$J$2,IF(Tabelle1[[#This Row],[Kunde Nr.]]&lt;$I$3,$J$3,IF(Tabelle1[[#This Row],[Kunde Nr.]]&lt;$I$4,$J$4,0)))</f>
        <v>Qerimi</v>
      </c>
    </row>
    <row r="915" spans="1:7" x14ac:dyDescent="0.25">
      <c r="G915" s="47" t="str">
        <f>IF(Tabelle1[[#This Row],[Kunde Nr.]]&lt;$I$2,$J$2,IF(Tabelle1[[#This Row],[Kunde Nr.]]&lt;$I$3,$J$3,IF(Tabelle1[[#This Row],[Kunde Nr.]]&lt;$I$4,$J$4,0)))</f>
        <v>Qerimi</v>
      </c>
    </row>
    <row r="916" spans="1:7" x14ac:dyDescent="0.25">
      <c r="A916" s="7"/>
      <c r="G916" s="47" t="str">
        <f>IF(Tabelle1[[#This Row],[Kunde Nr.]]&lt;$I$2,$J$2,IF(Tabelle1[[#This Row],[Kunde Nr.]]&lt;$I$3,$J$3,IF(Tabelle1[[#This Row],[Kunde Nr.]]&lt;$I$4,$J$4,0)))</f>
        <v>Qerimi</v>
      </c>
    </row>
    <row r="917" spans="1:7" x14ac:dyDescent="0.25">
      <c r="G917" s="47" t="str">
        <f>IF(Tabelle1[[#This Row],[Kunde Nr.]]&lt;$I$2,$J$2,IF(Tabelle1[[#This Row],[Kunde Nr.]]&lt;$I$3,$J$3,IF(Tabelle1[[#This Row],[Kunde Nr.]]&lt;$I$4,$J$4,0)))</f>
        <v>Qerimi</v>
      </c>
    </row>
    <row r="918" spans="1:7" x14ac:dyDescent="0.25">
      <c r="A918" s="7"/>
      <c r="G918" s="47" t="str">
        <f>IF(Tabelle1[[#This Row],[Kunde Nr.]]&lt;$I$2,$J$2,IF(Tabelle1[[#This Row],[Kunde Nr.]]&lt;$I$3,$J$3,IF(Tabelle1[[#This Row],[Kunde Nr.]]&lt;$I$4,$J$4,0)))</f>
        <v>Qerimi</v>
      </c>
    </row>
    <row r="919" spans="1:7" x14ac:dyDescent="0.25">
      <c r="G919" s="47" t="str">
        <f>IF(Tabelle1[[#This Row],[Kunde Nr.]]&lt;$I$2,$J$2,IF(Tabelle1[[#This Row],[Kunde Nr.]]&lt;$I$3,$J$3,IF(Tabelle1[[#This Row],[Kunde Nr.]]&lt;$I$4,$J$4,0)))</f>
        <v>Qerimi</v>
      </c>
    </row>
    <row r="920" spans="1:7" x14ac:dyDescent="0.25">
      <c r="A920" s="7"/>
      <c r="G920" s="47" t="str">
        <f>IF(Tabelle1[[#This Row],[Kunde Nr.]]&lt;$I$2,$J$2,IF(Tabelle1[[#This Row],[Kunde Nr.]]&lt;$I$3,$J$3,IF(Tabelle1[[#This Row],[Kunde Nr.]]&lt;$I$4,$J$4,0)))</f>
        <v>Qerimi</v>
      </c>
    </row>
    <row r="921" spans="1:7" x14ac:dyDescent="0.25">
      <c r="G921" s="47" t="str">
        <f>IF(Tabelle1[[#This Row],[Kunde Nr.]]&lt;$I$2,$J$2,IF(Tabelle1[[#This Row],[Kunde Nr.]]&lt;$I$3,$J$3,IF(Tabelle1[[#This Row],[Kunde Nr.]]&lt;$I$4,$J$4,0)))</f>
        <v>Qerimi</v>
      </c>
    </row>
    <row r="922" spans="1:7" x14ac:dyDescent="0.25">
      <c r="A922" s="7"/>
      <c r="G922" s="47" t="str">
        <f>IF(Tabelle1[[#This Row],[Kunde Nr.]]&lt;$I$2,$J$2,IF(Tabelle1[[#This Row],[Kunde Nr.]]&lt;$I$3,$J$3,IF(Tabelle1[[#This Row],[Kunde Nr.]]&lt;$I$4,$J$4,0)))</f>
        <v>Qerimi</v>
      </c>
    </row>
    <row r="923" spans="1:7" x14ac:dyDescent="0.25">
      <c r="G923" s="47" t="str">
        <f>IF(Tabelle1[[#This Row],[Kunde Nr.]]&lt;$I$2,$J$2,IF(Tabelle1[[#This Row],[Kunde Nr.]]&lt;$I$3,$J$3,IF(Tabelle1[[#This Row],[Kunde Nr.]]&lt;$I$4,$J$4,0)))</f>
        <v>Qerimi</v>
      </c>
    </row>
    <row r="924" spans="1:7" x14ac:dyDescent="0.25">
      <c r="A924" s="7"/>
      <c r="G924" s="47" t="str">
        <f>IF(Tabelle1[[#This Row],[Kunde Nr.]]&lt;$I$2,$J$2,IF(Tabelle1[[#This Row],[Kunde Nr.]]&lt;$I$3,$J$3,IF(Tabelle1[[#This Row],[Kunde Nr.]]&lt;$I$4,$J$4,0)))</f>
        <v>Qerimi</v>
      </c>
    </row>
    <row r="925" spans="1:7" x14ac:dyDescent="0.25">
      <c r="G925" s="47" t="str">
        <f>IF(Tabelle1[[#This Row],[Kunde Nr.]]&lt;$I$2,$J$2,IF(Tabelle1[[#This Row],[Kunde Nr.]]&lt;$I$3,$J$3,IF(Tabelle1[[#This Row],[Kunde Nr.]]&lt;$I$4,$J$4,0)))</f>
        <v>Qerimi</v>
      </c>
    </row>
    <row r="926" spans="1:7" x14ac:dyDescent="0.25">
      <c r="A926" s="7"/>
      <c r="G926" s="47" t="str">
        <f>IF(Tabelle1[[#This Row],[Kunde Nr.]]&lt;$I$2,$J$2,IF(Tabelle1[[#This Row],[Kunde Nr.]]&lt;$I$3,$J$3,IF(Tabelle1[[#This Row],[Kunde Nr.]]&lt;$I$4,$J$4,0)))</f>
        <v>Qerimi</v>
      </c>
    </row>
    <row r="927" spans="1:7" x14ac:dyDescent="0.25">
      <c r="G927" s="47" t="str">
        <f>IF(Tabelle1[[#This Row],[Kunde Nr.]]&lt;$I$2,$J$2,IF(Tabelle1[[#This Row],[Kunde Nr.]]&lt;$I$3,$J$3,IF(Tabelle1[[#This Row],[Kunde Nr.]]&lt;$I$4,$J$4,0)))</f>
        <v>Qerimi</v>
      </c>
    </row>
    <row r="928" spans="1:7" x14ac:dyDescent="0.25">
      <c r="A928" s="7"/>
      <c r="G928" s="47" t="str">
        <f>IF(Tabelle1[[#This Row],[Kunde Nr.]]&lt;$I$2,$J$2,IF(Tabelle1[[#This Row],[Kunde Nr.]]&lt;$I$3,$J$3,IF(Tabelle1[[#This Row],[Kunde Nr.]]&lt;$I$4,$J$4,0)))</f>
        <v>Qerimi</v>
      </c>
    </row>
    <row r="929" spans="1:7" x14ac:dyDescent="0.25">
      <c r="G929" s="47" t="str">
        <f>IF(Tabelle1[[#This Row],[Kunde Nr.]]&lt;$I$2,$J$2,IF(Tabelle1[[#This Row],[Kunde Nr.]]&lt;$I$3,$J$3,IF(Tabelle1[[#This Row],[Kunde Nr.]]&lt;$I$4,$J$4,0)))</f>
        <v>Qerimi</v>
      </c>
    </row>
    <row r="930" spans="1:7" x14ac:dyDescent="0.25">
      <c r="A930" s="7"/>
      <c r="G930" s="47" t="str">
        <f>IF(Tabelle1[[#This Row],[Kunde Nr.]]&lt;$I$2,$J$2,IF(Tabelle1[[#This Row],[Kunde Nr.]]&lt;$I$3,$J$3,IF(Tabelle1[[#This Row],[Kunde Nr.]]&lt;$I$4,$J$4,0)))</f>
        <v>Qerimi</v>
      </c>
    </row>
  </sheetData>
  <sortState xmlns:xlrd2="http://schemas.microsoft.com/office/spreadsheetml/2017/richdata2" ref="K268:K303">
    <sortCondition ref="K268"/>
  </sortState>
  <pageMargins left="0.7" right="0.7" top="0.78740157499999996" bottom="0.78740157499999996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72742-A2E8-422C-8005-BF24484068D0}">
  <sheetPr codeName="Tabelle9"/>
  <dimension ref="A2:C320"/>
  <sheetViews>
    <sheetView zoomScale="118" zoomScaleNormal="118" workbookViewId="0">
      <selection activeCell="A61" sqref="A61"/>
    </sheetView>
  </sheetViews>
  <sheetFormatPr baseColWidth="10" defaultColWidth="11.42578125" defaultRowHeight="15" x14ac:dyDescent="0.25"/>
  <cols>
    <col min="1" max="1" width="22.42578125" bestFit="1" customWidth="1"/>
    <col min="2" max="2" width="16.5703125" bestFit="1" customWidth="1"/>
    <col min="3" max="3" width="17.28515625" bestFit="1" customWidth="1"/>
    <col min="4" max="4" width="10.85546875" bestFit="1" customWidth="1"/>
    <col min="5" max="5" width="7.42578125" bestFit="1" customWidth="1"/>
    <col min="6" max="6" width="9.85546875" bestFit="1" customWidth="1"/>
    <col min="7" max="7" width="9.7109375" bestFit="1" customWidth="1"/>
    <col min="8" max="8" width="8.140625" bestFit="1" customWidth="1"/>
    <col min="9" max="9" width="6.85546875" bestFit="1" customWidth="1"/>
    <col min="10" max="10" width="10.5703125" bestFit="1" customWidth="1"/>
    <col min="11" max="11" width="9" bestFit="1" customWidth="1"/>
    <col min="12" max="12" width="14.42578125" bestFit="1" customWidth="1"/>
    <col min="13" max="13" width="8.42578125" bestFit="1" customWidth="1"/>
    <col min="14" max="14" width="7.140625" bestFit="1" customWidth="1"/>
    <col min="15" max="15" width="9.28515625" bestFit="1" customWidth="1"/>
    <col min="16" max="16" width="8" bestFit="1" customWidth="1"/>
    <col min="17" max="17" width="7.42578125" bestFit="1" customWidth="1"/>
    <col min="18" max="18" width="14.140625" bestFit="1" customWidth="1"/>
    <col min="19" max="19" width="6" bestFit="1" customWidth="1"/>
    <col min="20" max="20" width="8" bestFit="1" customWidth="1"/>
    <col min="21" max="21" width="7" bestFit="1" customWidth="1"/>
    <col min="22" max="22" width="9.28515625" bestFit="1" customWidth="1"/>
    <col min="23" max="23" width="9" bestFit="1" customWidth="1"/>
    <col min="24" max="24" width="7" bestFit="1" customWidth="1"/>
    <col min="25" max="25" width="11.140625" bestFit="1" customWidth="1"/>
    <col min="26" max="26" width="11" bestFit="1" customWidth="1"/>
    <col min="27" max="27" width="8" bestFit="1" customWidth="1"/>
    <col min="28" max="28" width="10.28515625" bestFit="1" customWidth="1"/>
    <col min="29" max="29" width="11" bestFit="1" customWidth="1"/>
    <col min="30" max="30" width="10.140625" bestFit="1" customWidth="1"/>
    <col min="31" max="31" width="8.42578125" bestFit="1" customWidth="1"/>
    <col min="32" max="32" width="9.5703125" bestFit="1" customWidth="1"/>
    <col min="33" max="33" width="7.5703125" bestFit="1" customWidth="1"/>
    <col min="34" max="34" width="6.7109375" bestFit="1" customWidth="1"/>
    <col min="35" max="35" width="7.5703125" bestFit="1" customWidth="1"/>
    <col min="36" max="36" width="8" bestFit="1" customWidth="1"/>
    <col min="37" max="37" width="11" bestFit="1" customWidth="1"/>
    <col min="38" max="38" width="10.140625" bestFit="1" customWidth="1"/>
    <col min="39" max="39" width="9.7109375" bestFit="1" customWidth="1"/>
    <col min="40" max="40" width="8" bestFit="1" customWidth="1"/>
    <col min="41" max="41" width="9.85546875" bestFit="1" customWidth="1"/>
    <col min="42" max="42" width="7" bestFit="1" customWidth="1"/>
    <col min="43" max="43" width="15.5703125" bestFit="1" customWidth="1"/>
  </cols>
  <sheetData>
    <row r="2" spans="1:2" x14ac:dyDescent="0.25">
      <c r="A2" s="46" t="s">
        <v>361</v>
      </c>
      <c r="B2" t="s">
        <v>1289</v>
      </c>
    </row>
    <row r="4" spans="1:2" x14ac:dyDescent="0.25">
      <c r="A4" s="46" t="s">
        <v>1287</v>
      </c>
      <c r="B4" t="s">
        <v>479</v>
      </c>
    </row>
    <row r="5" spans="1:2" x14ac:dyDescent="0.25">
      <c r="A5" s="37" t="s">
        <v>1288</v>
      </c>
      <c r="B5" s="47"/>
    </row>
    <row r="266" spans="3:3" x14ac:dyDescent="0.25">
      <c r="C266">
        <v>263</v>
      </c>
    </row>
    <row r="267" spans="3:3" x14ac:dyDescent="0.25">
      <c r="C267">
        <v>264</v>
      </c>
    </row>
    <row r="268" spans="3:3" x14ac:dyDescent="0.25">
      <c r="C268">
        <v>265</v>
      </c>
    </row>
    <row r="269" spans="3:3" x14ac:dyDescent="0.25">
      <c r="C269">
        <v>266</v>
      </c>
    </row>
    <row r="270" spans="3:3" x14ac:dyDescent="0.25">
      <c r="C270">
        <v>267</v>
      </c>
    </row>
    <row r="271" spans="3:3" x14ac:dyDescent="0.25">
      <c r="C271">
        <v>268</v>
      </c>
    </row>
    <row r="272" spans="3:3" x14ac:dyDescent="0.25">
      <c r="C272">
        <v>269</v>
      </c>
    </row>
    <row r="273" spans="3:3" x14ac:dyDescent="0.25">
      <c r="C273">
        <v>270</v>
      </c>
    </row>
    <row r="274" spans="3:3" x14ac:dyDescent="0.25">
      <c r="C274">
        <v>271</v>
      </c>
    </row>
    <row r="275" spans="3:3" x14ac:dyDescent="0.25">
      <c r="C275">
        <v>272</v>
      </c>
    </row>
    <row r="276" spans="3:3" x14ac:dyDescent="0.25">
      <c r="C276">
        <v>273</v>
      </c>
    </row>
    <row r="277" spans="3:3" x14ac:dyDescent="0.25">
      <c r="C277">
        <v>274</v>
      </c>
    </row>
    <row r="278" spans="3:3" x14ac:dyDescent="0.25">
      <c r="C278">
        <v>275</v>
      </c>
    </row>
    <row r="279" spans="3:3" x14ac:dyDescent="0.25">
      <c r="C279">
        <v>276</v>
      </c>
    </row>
    <row r="280" spans="3:3" x14ac:dyDescent="0.25">
      <c r="C280">
        <v>277</v>
      </c>
    </row>
    <row r="281" spans="3:3" x14ac:dyDescent="0.25">
      <c r="C281">
        <v>278</v>
      </c>
    </row>
    <row r="282" spans="3:3" x14ac:dyDescent="0.25">
      <c r="C282">
        <v>279</v>
      </c>
    </row>
    <row r="283" spans="3:3" x14ac:dyDescent="0.25">
      <c r="C283">
        <v>280</v>
      </c>
    </row>
    <row r="284" spans="3:3" x14ac:dyDescent="0.25">
      <c r="C284">
        <v>281</v>
      </c>
    </row>
    <row r="285" spans="3:3" x14ac:dyDescent="0.25">
      <c r="C285">
        <v>282</v>
      </c>
    </row>
    <row r="286" spans="3:3" x14ac:dyDescent="0.25">
      <c r="C286">
        <v>283</v>
      </c>
    </row>
    <row r="287" spans="3:3" x14ac:dyDescent="0.25">
      <c r="C287">
        <v>284</v>
      </c>
    </row>
    <row r="288" spans="3:3" x14ac:dyDescent="0.25">
      <c r="C288">
        <v>285</v>
      </c>
    </row>
    <row r="289" spans="3:3" x14ac:dyDescent="0.25">
      <c r="C289">
        <v>286</v>
      </c>
    </row>
    <row r="290" spans="3:3" x14ac:dyDescent="0.25">
      <c r="C290">
        <v>287</v>
      </c>
    </row>
    <row r="291" spans="3:3" x14ac:dyDescent="0.25">
      <c r="C291">
        <v>288</v>
      </c>
    </row>
    <row r="292" spans="3:3" x14ac:dyDescent="0.25">
      <c r="C292">
        <v>289</v>
      </c>
    </row>
    <row r="293" spans="3:3" x14ac:dyDescent="0.25">
      <c r="C293">
        <v>290</v>
      </c>
    </row>
    <row r="294" spans="3:3" x14ac:dyDescent="0.25">
      <c r="C294">
        <v>291</v>
      </c>
    </row>
    <row r="295" spans="3:3" x14ac:dyDescent="0.25">
      <c r="C295">
        <v>292</v>
      </c>
    </row>
    <row r="296" spans="3:3" x14ac:dyDescent="0.25">
      <c r="C296">
        <v>293</v>
      </c>
    </row>
    <row r="297" spans="3:3" x14ac:dyDescent="0.25">
      <c r="C297">
        <v>294</v>
      </c>
    </row>
    <row r="298" spans="3:3" x14ac:dyDescent="0.25">
      <c r="C298">
        <v>295</v>
      </c>
    </row>
    <row r="299" spans="3:3" x14ac:dyDescent="0.25">
      <c r="C299">
        <v>296</v>
      </c>
    </row>
    <row r="300" spans="3:3" x14ac:dyDescent="0.25">
      <c r="C300">
        <v>297</v>
      </c>
    </row>
    <row r="301" spans="3:3" x14ac:dyDescent="0.25">
      <c r="C301">
        <v>298</v>
      </c>
    </row>
    <row r="302" spans="3:3" x14ac:dyDescent="0.25">
      <c r="C302">
        <v>299</v>
      </c>
    </row>
    <row r="303" spans="3:3" x14ac:dyDescent="0.25">
      <c r="C303">
        <v>300</v>
      </c>
    </row>
    <row r="304" spans="3:3" x14ac:dyDescent="0.25">
      <c r="C304">
        <v>301</v>
      </c>
    </row>
    <row r="305" spans="3:3" x14ac:dyDescent="0.25">
      <c r="C305">
        <v>302</v>
      </c>
    </row>
    <row r="306" spans="3:3" x14ac:dyDescent="0.25">
      <c r="C306">
        <v>303</v>
      </c>
    </row>
    <row r="307" spans="3:3" x14ac:dyDescent="0.25">
      <c r="C307">
        <v>304</v>
      </c>
    </row>
    <row r="308" spans="3:3" x14ac:dyDescent="0.25">
      <c r="C308">
        <v>305</v>
      </c>
    </row>
    <row r="309" spans="3:3" x14ac:dyDescent="0.25">
      <c r="C309">
        <v>306</v>
      </c>
    </row>
    <row r="310" spans="3:3" x14ac:dyDescent="0.25">
      <c r="C310">
        <v>307</v>
      </c>
    </row>
    <row r="311" spans="3:3" x14ac:dyDescent="0.25">
      <c r="C311">
        <v>308</v>
      </c>
    </row>
    <row r="312" spans="3:3" x14ac:dyDescent="0.25">
      <c r="C312">
        <v>309</v>
      </c>
    </row>
    <row r="313" spans="3:3" x14ac:dyDescent="0.25">
      <c r="C313">
        <v>310</v>
      </c>
    </row>
    <row r="314" spans="3:3" x14ac:dyDescent="0.25">
      <c r="C314">
        <v>311</v>
      </c>
    </row>
    <row r="315" spans="3:3" x14ac:dyDescent="0.25">
      <c r="C315">
        <v>312</v>
      </c>
    </row>
    <row r="316" spans="3:3" x14ac:dyDescent="0.25">
      <c r="C316">
        <v>313</v>
      </c>
    </row>
    <row r="317" spans="3:3" x14ac:dyDescent="0.25">
      <c r="C317">
        <v>314</v>
      </c>
    </row>
    <row r="318" spans="3:3" x14ac:dyDescent="0.25">
      <c r="C318">
        <v>315</v>
      </c>
    </row>
    <row r="319" spans="3:3" x14ac:dyDescent="0.25">
      <c r="C319">
        <v>316</v>
      </c>
    </row>
    <row r="320" spans="3:3" x14ac:dyDescent="0.25">
      <c r="C320">
        <v>317</v>
      </c>
    </row>
  </sheetData>
  <sortState xmlns:xlrd2="http://schemas.microsoft.com/office/spreadsheetml/2017/richdata2" ref="E8:E52">
    <sortCondition ref="E8"/>
  </sortState>
  <pageMargins left="0.7" right="0.7" top="0.78740157499999996" bottom="0.78740157499999996" header="0.3" footer="0.3"/>
  <pageSetup paperSize="9" orientation="portrait" horizontalDpi="0" verticalDpi="0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8D09E-083B-4C2A-A9E8-DEF9A8E42D26}">
  <dimension ref="A1:L2"/>
  <sheetViews>
    <sheetView workbookViewId="0">
      <selection activeCell="B2" sqref="B2"/>
    </sheetView>
  </sheetViews>
  <sheetFormatPr baseColWidth="10" defaultRowHeight="15" x14ac:dyDescent="0.25"/>
  <cols>
    <col min="1" max="1" width="13.28515625" customWidth="1"/>
    <col min="6" max="6" width="13.140625" customWidth="1"/>
    <col min="7" max="7" width="15" customWidth="1"/>
    <col min="9" max="9" width="14.140625" customWidth="1"/>
  </cols>
  <sheetData>
    <row r="1" spans="1:12" x14ac:dyDescent="0.25">
      <c r="A1" t="s">
        <v>705</v>
      </c>
      <c r="B1" t="s">
        <v>361</v>
      </c>
      <c r="C1" t="s">
        <v>81</v>
      </c>
      <c r="D1" t="s">
        <v>362</v>
      </c>
      <c r="E1" t="s">
        <v>711</v>
      </c>
      <c r="F1" t="s">
        <v>706</v>
      </c>
      <c r="G1" t="s">
        <v>707</v>
      </c>
      <c r="H1" t="s">
        <v>708</v>
      </c>
      <c r="I1" t="s">
        <v>709</v>
      </c>
      <c r="J1" t="s">
        <v>710</v>
      </c>
      <c r="K1" t="s">
        <v>658</v>
      </c>
      <c r="L1" t="s">
        <v>712</v>
      </c>
    </row>
    <row r="2" spans="1:12" x14ac:dyDescent="0.25">
      <c r="A2" t="s">
        <v>471</v>
      </c>
      <c r="B2" s="91">
        <v>46153</v>
      </c>
      <c r="F2">
        <v>20104</v>
      </c>
      <c r="G2" t="s">
        <v>471</v>
      </c>
      <c r="H2">
        <v>36</v>
      </c>
      <c r="I2" t="e">
        <v>#N/A</v>
      </c>
      <c r="J2">
        <v>35119</v>
      </c>
      <c r="K2" t="s">
        <v>656</v>
      </c>
      <c r="L2" t="e">
        <v>#N/A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CAF97-F849-4718-A62B-0A2C4407E8AA}">
  <dimension ref="A1:L2"/>
  <sheetViews>
    <sheetView workbookViewId="0">
      <selection sqref="A1:L2"/>
    </sheetView>
  </sheetViews>
  <sheetFormatPr baseColWidth="10" defaultRowHeight="15" x14ac:dyDescent="0.25"/>
  <cols>
    <col min="1" max="1" width="13.28515625" customWidth="1"/>
    <col min="6" max="6" width="13.140625" customWidth="1"/>
    <col min="7" max="7" width="15" customWidth="1"/>
    <col min="9" max="9" width="14.140625" customWidth="1"/>
  </cols>
  <sheetData>
    <row r="1" spans="1:12" x14ac:dyDescent="0.25">
      <c r="A1" t="s">
        <v>705</v>
      </c>
      <c r="B1" t="s">
        <v>361</v>
      </c>
      <c r="C1" t="s">
        <v>81</v>
      </c>
      <c r="D1" t="s">
        <v>362</v>
      </c>
      <c r="E1" t="s">
        <v>711</v>
      </c>
      <c r="F1" t="s">
        <v>706</v>
      </c>
      <c r="G1" t="s">
        <v>707</v>
      </c>
      <c r="H1" t="s">
        <v>708</v>
      </c>
      <c r="I1" t="s">
        <v>709</v>
      </c>
      <c r="J1" t="s">
        <v>710</v>
      </c>
      <c r="K1" t="s">
        <v>658</v>
      </c>
      <c r="L1" t="s">
        <v>712</v>
      </c>
    </row>
    <row r="2" spans="1:12" x14ac:dyDescent="0.25">
      <c r="A2" t="s">
        <v>471</v>
      </c>
      <c r="B2" s="91">
        <v>46153</v>
      </c>
      <c r="F2">
        <v>20104</v>
      </c>
      <c r="G2" t="s">
        <v>471</v>
      </c>
      <c r="H2">
        <v>12</v>
      </c>
      <c r="I2" t="e">
        <v>#N/A</v>
      </c>
      <c r="K2" t="s">
        <v>656</v>
      </c>
      <c r="L2" t="e">
        <v>#N/A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A0E0A-A0C4-49E9-B6CC-BE93A18FDEFB}">
  <sheetPr codeName="Tabelle7">
    <pageSetUpPr fitToPage="1"/>
  </sheetPr>
  <dimension ref="A2:Z101"/>
  <sheetViews>
    <sheetView zoomScale="90" zoomScaleNormal="90" zoomScaleSheetLayoutView="90" workbookViewId="0">
      <selection activeCell="D38" sqref="D38"/>
    </sheetView>
  </sheetViews>
  <sheetFormatPr baseColWidth="10" defaultColWidth="11.42578125" defaultRowHeight="15" x14ac:dyDescent="0.25"/>
  <cols>
    <col min="1" max="1" width="22.42578125" bestFit="1" customWidth="1"/>
    <col min="2" max="2" width="16.7109375" bestFit="1" customWidth="1"/>
    <col min="3" max="3" width="16.5703125" bestFit="1" customWidth="1"/>
    <col min="4" max="4" width="13.7109375" bestFit="1" customWidth="1"/>
    <col min="6" max="6" width="5" bestFit="1" customWidth="1"/>
    <col min="7" max="12" width="4" bestFit="1" customWidth="1"/>
    <col min="13" max="13" width="2" bestFit="1" customWidth="1"/>
    <col min="14" max="14" width="4" bestFit="1" customWidth="1"/>
    <col min="15" max="15" width="12" bestFit="1" customWidth="1"/>
    <col min="16" max="16" width="9.28515625" bestFit="1" customWidth="1"/>
    <col min="17" max="17" width="12.7109375" bestFit="1" customWidth="1"/>
    <col min="18" max="18" width="10.85546875" bestFit="1" customWidth="1"/>
    <col min="19" max="19" width="9.85546875" bestFit="1" customWidth="1"/>
    <col min="20" max="20" width="16.5703125" bestFit="1" customWidth="1"/>
    <col min="21" max="21" width="15.85546875" bestFit="1" customWidth="1"/>
    <col min="22" max="22" width="16.140625" bestFit="1" customWidth="1"/>
    <col min="23" max="23" width="19.140625" bestFit="1" customWidth="1"/>
    <col min="24" max="24" width="15.28515625" bestFit="1" customWidth="1"/>
    <col min="25" max="25" width="11.7109375" bestFit="1" customWidth="1"/>
    <col min="26" max="26" width="31.5703125" bestFit="1" customWidth="1"/>
    <col min="27" max="27" width="5.85546875" bestFit="1" customWidth="1"/>
    <col min="28" max="28" width="7.85546875" bestFit="1" customWidth="1"/>
    <col min="29" max="29" width="18.85546875" bestFit="1" customWidth="1"/>
    <col min="30" max="30" width="15.7109375" bestFit="1" customWidth="1"/>
    <col min="31" max="31" width="13.42578125" bestFit="1" customWidth="1"/>
    <col min="32" max="32" width="11.28515625" bestFit="1" customWidth="1"/>
    <col min="33" max="33" width="12" bestFit="1" customWidth="1"/>
    <col min="34" max="34" width="19" bestFit="1" customWidth="1"/>
    <col min="35" max="35" width="18.42578125" bestFit="1" customWidth="1"/>
    <col min="36" max="36" width="17.5703125" bestFit="1" customWidth="1"/>
    <col min="37" max="37" width="14.140625" bestFit="1" customWidth="1"/>
    <col min="38" max="38" width="16.5703125" bestFit="1" customWidth="1"/>
    <col min="39" max="39" width="14.28515625" bestFit="1" customWidth="1"/>
    <col min="40" max="40" width="10.140625" bestFit="1" customWidth="1"/>
    <col min="41" max="41" width="18.42578125" bestFit="1" customWidth="1"/>
    <col min="42" max="43" width="17.5703125" bestFit="1" customWidth="1"/>
    <col min="44" max="44" width="23" bestFit="1" customWidth="1"/>
    <col min="45" max="45" width="11" bestFit="1" customWidth="1"/>
    <col min="46" max="46" width="12.42578125" bestFit="1" customWidth="1"/>
    <col min="47" max="47" width="19.42578125" bestFit="1" customWidth="1"/>
    <col min="48" max="48" width="8.140625" bestFit="1" customWidth="1"/>
    <col min="49" max="49" width="9.28515625" bestFit="1" customWidth="1"/>
    <col min="50" max="50" width="12" bestFit="1" customWidth="1"/>
    <col min="51" max="51" width="21.7109375" bestFit="1" customWidth="1"/>
    <col min="52" max="52" width="23.28515625" bestFit="1" customWidth="1"/>
    <col min="53" max="53" width="12.85546875" bestFit="1" customWidth="1"/>
    <col min="54" max="54" width="14.28515625" bestFit="1" customWidth="1"/>
    <col min="55" max="55" width="23.85546875" bestFit="1" customWidth="1"/>
    <col min="56" max="56" width="16.85546875" bestFit="1" customWidth="1"/>
    <col min="57" max="57" width="13.5703125" bestFit="1" customWidth="1"/>
    <col min="58" max="58" width="17.85546875" bestFit="1" customWidth="1"/>
    <col min="59" max="59" width="9.42578125" bestFit="1" customWidth="1"/>
    <col min="60" max="60" width="4.7109375" bestFit="1" customWidth="1"/>
    <col min="61" max="61" width="15.5703125" bestFit="1" customWidth="1"/>
  </cols>
  <sheetData>
    <row r="2" spans="1:26" x14ac:dyDescent="0.25">
      <c r="A2" s="46" t="s">
        <v>361</v>
      </c>
      <c r="B2" t="s">
        <v>1289</v>
      </c>
    </row>
    <row r="3" spans="1:26" x14ac:dyDescent="0.25">
      <c r="A3" s="46" t="s">
        <v>658</v>
      </c>
      <c r="B3" t="s">
        <v>655</v>
      </c>
    </row>
    <row r="4" spans="1:26" x14ac:dyDescent="0.25">
      <c r="A4" t="s">
        <v>452</v>
      </c>
    </row>
    <row r="5" spans="1:26" x14ac:dyDescent="0.25">
      <c r="A5" s="46" t="s">
        <v>1287</v>
      </c>
      <c r="B5" t="s">
        <v>713</v>
      </c>
      <c r="C5" t="s">
        <v>714</v>
      </c>
    </row>
    <row r="6" spans="1:26" x14ac:dyDescent="0.25">
      <c r="A6" s="37">
        <v>16936</v>
      </c>
      <c r="B6" s="47">
        <v>4</v>
      </c>
      <c r="C6" s="47">
        <v>0.15</v>
      </c>
      <c r="D6">
        <f t="shared" ref="D6:D50" si="0">B6*C6</f>
        <v>0.6</v>
      </c>
      <c r="E6">
        <f>B6*C6</f>
        <v>0.6</v>
      </c>
    </row>
    <row r="7" spans="1:26" x14ac:dyDescent="0.25">
      <c r="A7" s="37">
        <v>20001</v>
      </c>
      <c r="B7" s="47">
        <v>20</v>
      </c>
      <c r="C7" s="47">
        <v>0.30000000000000004</v>
      </c>
      <c r="D7">
        <f t="shared" si="0"/>
        <v>6.0000000000000009</v>
      </c>
      <c r="E7">
        <f t="shared" ref="E7:E49" si="1">B7*C7</f>
        <v>6.0000000000000009</v>
      </c>
      <c r="V7" t="s">
        <v>1157</v>
      </c>
      <c r="W7" t="s">
        <v>1158</v>
      </c>
      <c r="X7" t="s">
        <v>1159</v>
      </c>
    </row>
    <row r="8" spans="1:26" x14ac:dyDescent="0.25">
      <c r="A8" s="37">
        <v>26736</v>
      </c>
      <c r="B8" s="47">
        <v>3</v>
      </c>
      <c r="C8" s="47">
        <v>0.15</v>
      </c>
      <c r="D8">
        <f t="shared" si="0"/>
        <v>0.44999999999999996</v>
      </c>
      <c r="E8">
        <f t="shared" si="1"/>
        <v>0.44999999999999996</v>
      </c>
    </row>
    <row r="9" spans="1:26" x14ac:dyDescent="0.25">
      <c r="A9" s="37">
        <v>30276</v>
      </c>
      <c r="B9" s="47">
        <v>10</v>
      </c>
      <c r="C9" s="47">
        <v>0.30000000000000004</v>
      </c>
      <c r="D9">
        <f t="shared" si="0"/>
        <v>3.0000000000000004</v>
      </c>
      <c r="E9">
        <f t="shared" si="1"/>
        <v>3.0000000000000004</v>
      </c>
      <c r="U9" t="s">
        <v>1251</v>
      </c>
      <c r="V9">
        <v>600</v>
      </c>
      <c r="W9">
        <v>400</v>
      </c>
      <c r="X9">
        <f>SUM(V9-W9)</f>
        <v>200</v>
      </c>
    </row>
    <row r="10" spans="1:26" x14ac:dyDescent="0.25">
      <c r="A10" s="37">
        <v>31812</v>
      </c>
      <c r="B10" s="47">
        <v>1</v>
      </c>
      <c r="C10" s="47">
        <v>0.15</v>
      </c>
      <c r="D10">
        <f t="shared" si="0"/>
        <v>0.15</v>
      </c>
      <c r="E10">
        <f t="shared" si="1"/>
        <v>0.15</v>
      </c>
      <c r="U10" t="s">
        <v>49</v>
      </c>
      <c r="X10">
        <f>SUM(V10-W10)</f>
        <v>0</v>
      </c>
    </row>
    <row r="11" spans="1:26" x14ac:dyDescent="0.25">
      <c r="A11" s="37">
        <v>31818</v>
      </c>
      <c r="B11" s="47">
        <v>5</v>
      </c>
      <c r="C11" s="47">
        <v>0.15</v>
      </c>
      <c r="D11">
        <f t="shared" si="0"/>
        <v>0.75</v>
      </c>
      <c r="E11">
        <f t="shared" si="1"/>
        <v>0.75</v>
      </c>
      <c r="T11" t="s">
        <v>1148</v>
      </c>
      <c r="U11" t="s">
        <v>957</v>
      </c>
      <c r="V11">
        <v>1300.56</v>
      </c>
      <c r="W11">
        <v>400</v>
      </c>
      <c r="X11">
        <f>SUM(V11-W11)</f>
        <v>900.56</v>
      </c>
    </row>
    <row r="12" spans="1:26" x14ac:dyDescent="0.25">
      <c r="A12" s="37">
        <v>31819</v>
      </c>
      <c r="B12" s="47">
        <v>2</v>
      </c>
      <c r="C12" s="47">
        <v>0.15</v>
      </c>
      <c r="D12">
        <f t="shared" si="0"/>
        <v>0.3</v>
      </c>
      <c r="E12">
        <f t="shared" si="1"/>
        <v>0.3</v>
      </c>
      <c r="T12" t="s">
        <v>1148</v>
      </c>
      <c r="U12" t="s">
        <v>956</v>
      </c>
      <c r="V12">
        <v>875.53</v>
      </c>
      <c r="W12">
        <v>400</v>
      </c>
      <c r="X12">
        <f>SUM(V12-W12)</f>
        <v>475.53</v>
      </c>
    </row>
    <row r="13" spans="1:26" x14ac:dyDescent="0.25">
      <c r="A13" s="37">
        <v>31827</v>
      </c>
      <c r="B13" s="47">
        <v>6</v>
      </c>
      <c r="C13" s="47">
        <v>0.15</v>
      </c>
      <c r="D13">
        <f t="shared" si="0"/>
        <v>0.89999999999999991</v>
      </c>
      <c r="E13">
        <f t="shared" si="1"/>
        <v>0.89999999999999991</v>
      </c>
      <c r="U13" t="s">
        <v>955</v>
      </c>
      <c r="X13">
        <f>SUM(V13-W13)</f>
        <v>0</v>
      </c>
    </row>
    <row r="14" spans="1:26" x14ac:dyDescent="0.25">
      <c r="A14" s="37">
        <v>35108</v>
      </c>
      <c r="B14" s="47">
        <v>192</v>
      </c>
      <c r="C14" s="47">
        <v>0.16999999999999996</v>
      </c>
      <c r="D14">
        <f t="shared" si="0"/>
        <v>32.639999999999993</v>
      </c>
      <c r="E14">
        <f t="shared" si="1"/>
        <v>32.639999999999993</v>
      </c>
    </row>
    <row r="15" spans="1:26" x14ac:dyDescent="0.25">
      <c r="A15" s="37">
        <v>35109</v>
      </c>
      <c r="B15" s="47">
        <v>588</v>
      </c>
      <c r="C15" s="47">
        <v>0.16999999999999996</v>
      </c>
      <c r="D15">
        <f t="shared" si="0"/>
        <v>99.95999999999998</v>
      </c>
      <c r="E15">
        <f t="shared" si="1"/>
        <v>99.95999999999998</v>
      </c>
      <c r="Z15" t="s">
        <v>452</v>
      </c>
    </row>
    <row r="16" spans="1:26" x14ac:dyDescent="0.25">
      <c r="A16" s="37">
        <v>35110</v>
      </c>
      <c r="B16" s="47">
        <v>276</v>
      </c>
      <c r="C16" s="47">
        <v>0.16999999999999996</v>
      </c>
      <c r="D16">
        <f t="shared" si="0"/>
        <v>46.919999999999987</v>
      </c>
      <c r="E16">
        <f t="shared" si="1"/>
        <v>46.919999999999987</v>
      </c>
    </row>
    <row r="17" spans="1:24" x14ac:dyDescent="0.25">
      <c r="A17" s="37">
        <v>35111</v>
      </c>
      <c r="B17" s="47">
        <v>228</v>
      </c>
      <c r="C17" s="47">
        <v>0.16999999999999996</v>
      </c>
      <c r="D17">
        <f t="shared" si="0"/>
        <v>38.759999999999991</v>
      </c>
      <c r="E17">
        <f t="shared" si="1"/>
        <v>38.759999999999991</v>
      </c>
    </row>
    <row r="18" spans="1:24" x14ac:dyDescent="0.25">
      <c r="A18" s="37">
        <v>35112</v>
      </c>
      <c r="B18" s="47">
        <v>141</v>
      </c>
      <c r="C18" s="47">
        <v>0.16999999999999996</v>
      </c>
      <c r="D18">
        <f t="shared" si="0"/>
        <v>23.969999999999995</v>
      </c>
      <c r="E18">
        <f t="shared" si="1"/>
        <v>23.969999999999995</v>
      </c>
      <c r="X18">
        <f>SUM(X9:X17)</f>
        <v>1576.09</v>
      </c>
    </row>
    <row r="19" spans="1:24" x14ac:dyDescent="0.25">
      <c r="A19" s="37">
        <v>35113</v>
      </c>
      <c r="B19" s="47">
        <v>408</v>
      </c>
      <c r="C19" s="47">
        <v>0.16999999999999996</v>
      </c>
      <c r="D19">
        <f t="shared" si="0"/>
        <v>69.359999999999985</v>
      </c>
      <c r="E19">
        <f t="shared" si="1"/>
        <v>69.359999999999985</v>
      </c>
    </row>
    <row r="20" spans="1:24" x14ac:dyDescent="0.25">
      <c r="A20" s="37">
        <v>35114</v>
      </c>
      <c r="B20" s="47">
        <v>168</v>
      </c>
      <c r="C20" s="47">
        <v>0.16999999999999996</v>
      </c>
      <c r="D20">
        <f t="shared" si="0"/>
        <v>28.559999999999992</v>
      </c>
      <c r="E20">
        <f t="shared" si="1"/>
        <v>28.559999999999992</v>
      </c>
    </row>
    <row r="21" spans="1:24" x14ac:dyDescent="0.25">
      <c r="A21" s="37">
        <v>35115</v>
      </c>
      <c r="B21" s="47">
        <v>240</v>
      </c>
      <c r="C21" s="47">
        <v>0.16999999999999996</v>
      </c>
      <c r="D21">
        <f t="shared" si="0"/>
        <v>40.79999999999999</v>
      </c>
      <c r="E21">
        <f t="shared" si="1"/>
        <v>40.79999999999999</v>
      </c>
    </row>
    <row r="22" spans="1:24" x14ac:dyDescent="0.25">
      <c r="A22" s="37">
        <v>35119</v>
      </c>
      <c r="B22" s="47">
        <v>132</v>
      </c>
      <c r="C22" s="47">
        <v>0.16999999999999998</v>
      </c>
      <c r="D22">
        <f t="shared" si="0"/>
        <v>22.439999999999998</v>
      </c>
      <c r="E22">
        <f t="shared" si="1"/>
        <v>22.439999999999998</v>
      </c>
    </row>
    <row r="23" spans="1:24" x14ac:dyDescent="0.25">
      <c r="A23" s="37">
        <v>35121</v>
      </c>
      <c r="B23" s="47">
        <v>600</v>
      </c>
      <c r="C23" s="47">
        <v>0.16999999999999996</v>
      </c>
      <c r="D23">
        <f t="shared" si="0"/>
        <v>101.99999999999997</v>
      </c>
      <c r="E23">
        <f t="shared" si="1"/>
        <v>101.99999999999997</v>
      </c>
    </row>
    <row r="24" spans="1:24" x14ac:dyDescent="0.25">
      <c r="A24" s="37">
        <v>35125</v>
      </c>
      <c r="B24" s="47">
        <v>168</v>
      </c>
      <c r="C24" s="47">
        <v>0.16999999999999996</v>
      </c>
      <c r="D24">
        <f t="shared" si="0"/>
        <v>28.559999999999992</v>
      </c>
      <c r="E24">
        <f t="shared" si="1"/>
        <v>28.559999999999992</v>
      </c>
      <c r="V24">
        <v>477.91</v>
      </c>
      <c r="W24" t="s">
        <v>1118</v>
      </c>
    </row>
    <row r="25" spans="1:24" x14ac:dyDescent="0.25">
      <c r="A25" s="37">
        <v>35128</v>
      </c>
      <c r="B25" s="47">
        <v>432</v>
      </c>
      <c r="C25" s="47">
        <v>0.16999999999999996</v>
      </c>
      <c r="D25">
        <f t="shared" si="0"/>
        <v>73.439999999999984</v>
      </c>
      <c r="E25">
        <f t="shared" si="1"/>
        <v>73.439999999999984</v>
      </c>
      <c r="V25">
        <v>603.36</v>
      </c>
      <c r="W25" t="s">
        <v>1119</v>
      </c>
    </row>
    <row r="26" spans="1:24" x14ac:dyDescent="0.25">
      <c r="A26" s="37">
        <v>44001</v>
      </c>
      <c r="B26" s="47">
        <v>36</v>
      </c>
      <c r="C26" s="47">
        <v>0.19999999999999998</v>
      </c>
      <c r="D26">
        <f t="shared" si="0"/>
        <v>7.1999999999999993</v>
      </c>
      <c r="E26">
        <f t="shared" si="1"/>
        <v>7.1999999999999993</v>
      </c>
      <c r="W26" t="s">
        <v>1120</v>
      </c>
    </row>
    <row r="27" spans="1:24" x14ac:dyDescent="0.25">
      <c r="A27" s="37">
        <v>49644</v>
      </c>
      <c r="B27" s="47">
        <v>86</v>
      </c>
      <c r="C27" s="47">
        <v>0.2</v>
      </c>
      <c r="D27">
        <f t="shared" si="0"/>
        <v>17.2</v>
      </c>
      <c r="E27">
        <f t="shared" si="1"/>
        <v>17.2</v>
      </c>
    </row>
    <row r="28" spans="1:24" x14ac:dyDescent="0.25">
      <c r="A28" s="37">
        <v>50912</v>
      </c>
      <c r="B28" s="47">
        <v>131</v>
      </c>
      <c r="C28" s="47">
        <v>0.20000000000000007</v>
      </c>
      <c r="D28">
        <f t="shared" si="0"/>
        <v>26.20000000000001</v>
      </c>
      <c r="E28">
        <f t="shared" si="1"/>
        <v>26.20000000000001</v>
      </c>
    </row>
    <row r="29" spans="1:24" x14ac:dyDescent="0.25">
      <c r="A29" s="37">
        <v>51611</v>
      </c>
      <c r="B29" s="47">
        <v>120</v>
      </c>
      <c r="C29" s="47">
        <v>6.0000000000000012E-2</v>
      </c>
      <c r="D29">
        <f t="shared" si="0"/>
        <v>7.2000000000000011</v>
      </c>
      <c r="E29">
        <f t="shared" si="1"/>
        <v>7.2000000000000011</v>
      </c>
    </row>
    <row r="30" spans="1:24" x14ac:dyDescent="0.25">
      <c r="A30" s="37">
        <v>51612</v>
      </c>
      <c r="B30" s="47">
        <v>132</v>
      </c>
      <c r="C30" s="47">
        <v>6.0000000000000012E-2</v>
      </c>
      <c r="D30">
        <f t="shared" si="0"/>
        <v>7.9200000000000017</v>
      </c>
      <c r="E30">
        <f t="shared" si="1"/>
        <v>7.9200000000000017</v>
      </c>
    </row>
    <row r="31" spans="1:24" x14ac:dyDescent="0.25">
      <c r="A31" s="37">
        <v>54412</v>
      </c>
      <c r="B31" s="47">
        <v>69</v>
      </c>
      <c r="C31" s="47">
        <v>0.19999999999999998</v>
      </c>
      <c r="D31">
        <f t="shared" si="0"/>
        <v>13.799999999999999</v>
      </c>
      <c r="E31">
        <f t="shared" si="1"/>
        <v>13.799999999999999</v>
      </c>
      <c r="R31" t="s">
        <v>452</v>
      </c>
    </row>
    <row r="32" spans="1:24" x14ac:dyDescent="0.25">
      <c r="A32" s="37">
        <v>55718</v>
      </c>
      <c r="B32" s="47">
        <v>22</v>
      </c>
      <c r="C32" s="47">
        <v>0.2</v>
      </c>
      <c r="D32">
        <f t="shared" si="0"/>
        <v>4.4000000000000004</v>
      </c>
      <c r="E32">
        <f t="shared" si="1"/>
        <v>4.4000000000000004</v>
      </c>
    </row>
    <row r="33" spans="1:5" x14ac:dyDescent="0.25">
      <c r="A33" s="37">
        <v>56117</v>
      </c>
      <c r="B33" s="47">
        <v>22</v>
      </c>
      <c r="C33" s="47">
        <v>0.2</v>
      </c>
      <c r="D33">
        <f t="shared" si="0"/>
        <v>4.4000000000000004</v>
      </c>
      <c r="E33">
        <f t="shared" si="1"/>
        <v>4.4000000000000004</v>
      </c>
    </row>
    <row r="34" spans="1:5" x14ac:dyDescent="0.25">
      <c r="A34" s="37">
        <v>66701</v>
      </c>
      <c r="B34" s="47">
        <v>78</v>
      </c>
      <c r="C34" s="47">
        <v>0.20000000000000004</v>
      </c>
      <c r="D34">
        <f t="shared" si="0"/>
        <v>15.600000000000003</v>
      </c>
      <c r="E34">
        <f t="shared" si="1"/>
        <v>15.600000000000003</v>
      </c>
    </row>
    <row r="35" spans="1:5" x14ac:dyDescent="0.25">
      <c r="A35" s="37">
        <v>69236</v>
      </c>
      <c r="B35" s="47">
        <v>1</v>
      </c>
      <c r="C35" s="47">
        <v>0.15</v>
      </c>
      <c r="D35">
        <f t="shared" si="0"/>
        <v>0.15</v>
      </c>
      <c r="E35">
        <f t="shared" si="1"/>
        <v>0.15</v>
      </c>
    </row>
    <row r="36" spans="1:5" x14ac:dyDescent="0.25">
      <c r="A36" s="37">
        <v>72101</v>
      </c>
      <c r="B36" s="47">
        <v>12</v>
      </c>
      <c r="C36" s="47">
        <v>0.2</v>
      </c>
      <c r="D36">
        <f t="shared" si="0"/>
        <v>2.4000000000000004</v>
      </c>
      <c r="E36">
        <f t="shared" si="1"/>
        <v>2.4000000000000004</v>
      </c>
    </row>
    <row r="37" spans="1:5" x14ac:dyDescent="0.25">
      <c r="A37" s="37" t="s">
        <v>1288</v>
      </c>
      <c r="B37" s="47">
        <v>4333</v>
      </c>
      <c r="C37" s="47">
        <v>0.16881818181818325</v>
      </c>
      <c r="E37">
        <f t="shared" si="1"/>
        <v>731.48918181818806</v>
      </c>
    </row>
    <row r="38" spans="1:5" x14ac:dyDescent="0.25">
      <c r="D38">
        <f t="shared" si="0"/>
        <v>0</v>
      </c>
      <c r="E38">
        <f t="shared" si="1"/>
        <v>0</v>
      </c>
    </row>
    <row r="39" spans="1:5" x14ac:dyDescent="0.25">
      <c r="D39">
        <f t="shared" si="0"/>
        <v>0</v>
      </c>
      <c r="E39">
        <f t="shared" si="1"/>
        <v>0</v>
      </c>
    </row>
    <row r="40" spans="1:5" x14ac:dyDescent="0.25">
      <c r="D40">
        <f t="shared" si="0"/>
        <v>0</v>
      </c>
      <c r="E40">
        <f t="shared" si="1"/>
        <v>0</v>
      </c>
    </row>
    <row r="41" spans="1:5" x14ac:dyDescent="0.25">
      <c r="D41">
        <f t="shared" si="0"/>
        <v>0</v>
      </c>
      <c r="E41">
        <f t="shared" si="1"/>
        <v>0</v>
      </c>
    </row>
    <row r="42" spans="1:5" x14ac:dyDescent="0.25">
      <c r="E42">
        <f t="shared" si="1"/>
        <v>0</v>
      </c>
    </row>
    <row r="43" spans="1:5" x14ac:dyDescent="0.25">
      <c r="D43">
        <f t="shared" si="0"/>
        <v>0</v>
      </c>
      <c r="E43">
        <f t="shared" si="1"/>
        <v>0</v>
      </c>
    </row>
    <row r="44" spans="1:5" x14ac:dyDescent="0.25">
      <c r="D44">
        <f t="shared" si="0"/>
        <v>0</v>
      </c>
      <c r="E44">
        <f t="shared" si="1"/>
        <v>0</v>
      </c>
    </row>
    <row r="45" spans="1:5" x14ac:dyDescent="0.25">
      <c r="D45">
        <f t="shared" si="0"/>
        <v>0</v>
      </c>
      <c r="E45">
        <f t="shared" si="1"/>
        <v>0</v>
      </c>
    </row>
    <row r="46" spans="1:5" x14ac:dyDescent="0.25">
      <c r="D46">
        <f t="shared" si="0"/>
        <v>0</v>
      </c>
      <c r="E46">
        <f t="shared" si="1"/>
        <v>0</v>
      </c>
    </row>
    <row r="47" spans="1:5" x14ac:dyDescent="0.25">
      <c r="E47">
        <f t="shared" si="1"/>
        <v>0</v>
      </c>
    </row>
    <row r="48" spans="1:5" x14ac:dyDescent="0.25">
      <c r="D48">
        <f t="shared" si="0"/>
        <v>0</v>
      </c>
      <c r="E48">
        <f t="shared" si="1"/>
        <v>0</v>
      </c>
    </row>
    <row r="49" spans="4:18" x14ac:dyDescent="0.25">
      <c r="D49">
        <f t="shared" si="0"/>
        <v>0</v>
      </c>
      <c r="E49">
        <f t="shared" si="1"/>
        <v>0</v>
      </c>
    </row>
    <row r="50" spans="4:18" x14ac:dyDescent="0.25">
      <c r="D50">
        <f t="shared" si="0"/>
        <v>0</v>
      </c>
    </row>
    <row r="51" spans="4:18" x14ac:dyDescent="0.25">
      <c r="E51">
        <v>150</v>
      </c>
    </row>
    <row r="52" spans="4:18" x14ac:dyDescent="0.25">
      <c r="E52">
        <v>-12.5</v>
      </c>
      <c r="R52" t="s">
        <v>1312</v>
      </c>
    </row>
    <row r="54" spans="4:18" x14ac:dyDescent="0.25">
      <c r="E54">
        <f>SUM(E47:E53)</f>
        <v>137.5</v>
      </c>
    </row>
    <row r="56" spans="4:18" x14ac:dyDescent="0.25">
      <c r="D56">
        <v>150</v>
      </c>
    </row>
    <row r="57" spans="4:18" x14ac:dyDescent="0.25">
      <c r="D57">
        <v>-12.5</v>
      </c>
      <c r="R57" t="s">
        <v>1313</v>
      </c>
    </row>
    <row r="59" spans="4:18" x14ac:dyDescent="0.25">
      <c r="D59">
        <f>SUM(D6:D58)</f>
        <v>863.52999999999986</v>
      </c>
    </row>
    <row r="71" spans="6:7" x14ac:dyDescent="0.25">
      <c r="F71" s="10"/>
      <c r="G71" s="10"/>
    </row>
    <row r="72" spans="6:7" x14ac:dyDescent="0.25">
      <c r="F72" s="10"/>
      <c r="G72" s="10"/>
    </row>
    <row r="73" spans="6:7" x14ac:dyDescent="0.25">
      <c r="F73" s="10"/>
      <c r="G73" s="10"/>
    </row>
    <row r="74" spans="6:7" x14ac:dyDescent="0.25">
      <c r="F74" s="10"/>
      <c r="G74" s="10"/>
    </row>
    <row r="75" spans="6:7" x14ac:dyDescent="0.25">
      <c r="F75" s="10"/>
      <c r="G75" s="10"/>
    </row>
    <row r="76" spans="6:7" x14ac:dyDescent="0.25">
      <c r="F76" s="10"/>
      <c r="G76" s="10"/>
    </row>
    <row r="77" spans="6:7" x14ac:dyDescent="0.25">
      <c r="F77" s="10"/>
      <c r="G77" s="10"/>
    </row>
    <row r="78" spans="6:7" x14ac:dyDescent="0.25">
      <c r="F78" s="10"/>
      <c r="G78" s="10"/>
    </row>
    <row r="79" spans="6:7" x14ac:dyDescent="0.25">
      <c r="F79" s="10"/>
      <c r="G79" s="10"/>
    </row>
    <row r="80" spans="6:7" x14ac:dyDescent="0.25">
      <c r="F80" s="10"/>
      <c r="G80" s="10"/>
    </row>
    <row r="81" spans="6:7" x14ac:dyDescent="0.25">
      <c r="F81" s="10"/>
      <c r="G81" s="10"/>
    </row>
    <row r="82" spans="6:7" x14ac:dyDescent="0.25">
      <c r="F82" s="10"/>
      <c r="G82" s="10"/>
    </row>
    <row r="83" spans="6:7" x14ac:dyDescent="0.25">
      <c r="F83" s="10"/>
      <c r="G83" s="10"/>
    </row>
    <row r="84" spans="6:7" x14ac:dyDescent="0.25">
      <c r="F84" s="10"/>
      <c r="G84" s="10"/>
    </row>
    <row r="85" spans="6:7" x14ac:dyDescent="0.25">
      <c r="F85" s="10"/>
      <c r="G85" s="10"/>
    </row>
    <row r="86" spans="6:7" x14ac:dyDescent="0.25">
      <c r="F86" s="10"/>
      <c r="G86" s="10"/>
    </row>
    <row r="87" spans="6:7" x14ac:dyDescent="0.25">
      <c r="F87" s="10"/>
      <c r="G87" s="10"/>
    </row>
    <row r="88" spans="6:7" x14ac:dyDescent="0.25">
      <c r="F88" s="10"/>
      <c r="G88" s="10"/>
    </row>
    <row r="89" spans="6:7" x14ac:dyDescent="0.25">
      <c r="F89" s="10"/>
      <c r="G89" s="10"/>
    </row>
    <row r="90" spans="6:7" x14ac:dyDescent="0.25">
      <c r="F90" s="10"/>
      <c r="G90" s="10"/>
    </row>
    <row r="91" spans="6:7" x14ac:dyDescent="0.25">
      <c r="F91" s="10"/>
      <c r="G91" s="10"/>
    </row>
    <row r="92" spans="6:7" x14ac:dyDescent="0.25">
      <c r="F92" s="10"/>
      <c r="G92" s="10"/>
    </row>
    <row r="93" spans="6:7" x14ac:dyDescent="0.25">
      <c r="F93" s="10"/>
      <c r="G93" s="10"/>
    </row>
    <row r="94" spans="6:7" x14ac:dyDescent="0.25">
      <c r="F94" s="10"/>
      <c r="G94" s="10"/>
    </row>
    <row r="95" spans="6:7" x14ac:dyDescent="0.25">
      <c r="F95" s="10"/>
      <c r="G95" s="10"/>
    </row>
    <row r="96" spans="6:7" x14ac:dyDescent="0.25">
      <c r="F96" s="10"/>
      <c r="G96" s="10"/>
    </row>
    <row r="97" spans="6:7" x14ac:dyDescent="0.25">
      <c r="F97" s="10"/>
      <c r="G97" s="10"/>
    </row>
    <row r="98" spans="6:7" x14ac:dyDescent="0.25">
      <c r="F98" s="10"/>
      <c r="G98" s="10"/>
    </row>
    <row r="99" spans="6:7" x14ac:dyDescent="0.25">
      <c r="F99" s="10"/>
      <c r="G99" s="10"/>
    </row>
    <row r="100" spans="6:7" x14ac:dyDescent="0.25">
      <c r="F100" s="10"/>
      <c r="G100" s="10"/>
    </row>
    <row r="101" spans="6:7" x14ac:dyDescent="0.25">
      <c r="F101" s="10"/>
      <c r="G101" s="10"/>
    </row>
  </sheetData>
  <pageMargins left="0.7" right="0.7" top="0.78740157499999996" bottom="0.78740157499999996" header="0.3" footer="0.3"/>
  <pageSetup paperSize="9" scale="84" fitToWidth="0" orientation="portrait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099B9-3DBB-4491-A75B-E4B7AD233F12}">
  <dimension ref="B1:F20"/>
  <sheetViews>
    <sheetView workbookViewId="0">
      <selection activeCell="F20" sqref="F20"/>
    </sheetView>
  </sheetViews>
  <sheetFormatPr baseColWidth="10" defaultRowHeight="15" x14ac:dyDescent="0.25"/>
  <sheetData>
    <row r="1" spans="4:6" x14ac:dyDescent="0.25">
      <c r="D1">
        <v>1248</v>
      </c>
      <c r="E1">
        <v>0.35</v>
      </c>
      <c r="F1">
        <f>D1*E1</f>
        <v>436.79999999999995</v>
      </c>
    </row>
    <row r="2" spans="4:6" x14ac:dyDescent="0.25">
      <c r="D2">
        <v>3744</v>
      </c>
      <c r="E2">
        <v>0.35</v>
      </c>
      <c r="F2">
        <f t="shared" ref="F2:F11" si="0">D2*E2</f>
        <v>1310.3999999999999</v>
      </c>
    </row>
    <row r="3" spans="4:6" x14ac:dyDescent="0.25">
      <c r="D3">
        <v>3744</v>
      </c>
      <c r="E3">
        <v>0.35</v>
      </c>
      <c r="F3">
        <f t="shared" si="0"/>
        <v>1310.3999999999999</v>
      </c>
    </row>
    <row r="4" spans="4:6" x14ac:dyDescent="0.25">
      <c r="D4">
        <v>1872</v>
      </c>
      <c r="E4">
        <v>0.35</v>
      </c>
      <c r="F4">
        <f t="shared" si="0"/>
        <v>655.19999999999993</v>
      </c>
    </row>
    <row r="5" spans="4:6" x14ac:dyDescent="0.25">
      <c r="D5">
        <v>1248</v>
      </c>
      <c r="E5">
        <v>0.35</v>
      </c>
      <c r="F5">
        <f t="shared" si="0"/>
        <v>436.79999999999995</v>
      </c>
    </row>
    <row r="6" spans="4:6" x14ac:dyDescent="0.25">
      <c r="D6">
        <v>1872</v>
      </c>
      <c r="E6">
        <v>0.35</v>
      </c>
      <c r="F6">
        <f t="shared" si="0"/>
        <v>655.19999999999993</v>
      </c>
    </row>
    <row r="7" spans="4:6" x14ac:dyDescent="0.25">
      <c r="D7">
        <v>1248</v>
      </c>
      <c r="E7">
        <v>0.35</v>
      </c>
      <c r="F7">
        <f t="shared" si="0"/>
        <v>436.79999999999995</v>
      </c>
    </row>
    <row r="8" spans="4:6" x14ac:dyDescent="0.25">
      <c r="D8">
        <v>5616</v>
      </c>
      <c r="E8">
        <v>0.35</v>
      </c>
      <c r="F8">
        <f t="shared" si="0"/>
        <v>1965.6</v>
      </c>
    </row>
    <row r="9" spans="4:6" x14ac:dyDescent="0.25">
      <c r="D9">
        <v>1248</v>
      </c>
      <c r="E9">
        <v>0.35</v>
      </c>
      <c r="F9">
        <f t="shared" si="0"/>
        <v>436.79999999999995</v>
      </c>
    </row>
    <row r="10" spans="4:6" x14ac:dyDescent="0.25">
      <c r="D10">
        <v>624</v>
      </c>
      <c r="E10">
        <v>0.35</v>
      </c>
      <c r="F10">
        <f t="shared" si="0"/>
        <v>218.39999999999998</v>
      </c>
    </row>
    <row r="11" spans="4:6" x14ac:dyDescent="0.25">
      <c r="D11">
        <v>1248</v>
      </c>
      <c r="E11">
        <v>0.35</v>
      </c>
      <c r="F11">
        <f t="shared" si="0"/>
        <v>436.79999999999995</v>
      </c>
    </row>
    <row r="16" spans="4:6" x14ac:dyDescent="0.25">
      <c r="D16">
        <f>SUM(D1:D15)</f>
        <v>23712</v>
      </c>
      <c r="F16">
        <f>SUM(F1:F15)</f>
        <v>8299.1999999999989</v>
      </c>
    </row>
    <row r="18" spans="2:6" x14ac:dyDescent="0.25">
      <c r="B18" t="s">
        <v>1317</v>
      </c>
      <c r="D18">
        <v>22464</v>
      </c>
      <c r="F18">
        <v>8299.64</v>
      </c>
    </row>
    <row r="20" spans="2:6" x14ac:dyDescent="0.25">
      <c r="B20" t="s">
        <v>1318</v>
      </c>
      <c r="D20">
        <f>D16-D18</f>
        <v>1248</v>
      </c>
      <c r="F20">
        <f>F16-F18</f>
        <v>-0.44000000000050932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789D9-8C00-4BC5-87FB-3093E22B52BD}">
  <sheetPr codeName="Tabelle6"/>
  <dimension ref="A3:K376"/>
  <sheetViews>
    <sheetView showGridLines="0" topLeftCell="A208" zoomScaleNormal="100" zoomScaleSheetLayoutView="115" workbookViewId="0">
      <selection activeCell="B32" sqref="B32"/>
    </sheetView>
  </sheetViews>
  <sheetFormatPr baseColWidth="10" defaultColWidth="20.7109375" defaultRowHeight="15" x14ac:dyDescent="0.25"/>
  <cols>
    <col min="1" max="1" width="16.5703125" style="44" bestFit="1" customWidth="1"/>
    <col min="2" max="2" width="8.28515625" style="44" bestFit="1" customWidth="1"/>
    <col min="3" max="3" width="20.85546875" style="44" bestFit="1" customWidth="1"/>
    <col min="4" max="4" width="16.5703125" style="44" bestFit="1" customWidth="1"/>
    <col min="5" max="5" width="20.85546875" style="44" bestFit="1" customWidth="1"/>
    <col min="6" max="6" width="24.5703125" style="44" bestFit="1" customWidth="1"/>
    <col min="7" max="7" width="29" style="44" bestFit="1" customWidth="1"/>
    <col min="8" max="8" width="16.5703125" style="44" bestFit="1" customWidth="1"/>
    <col min="9" max="9" width="20.85546875" style="44" bestFit="1" customWidth="1"/>
    <col min="10" max="10" width="24.5703125" style="44" bestFit="1" customWidth="1"/>
    <col min="11" max="11" width="29" style="44" bestFit="1" customWidth="1"/>
    <col min="12" max="16384" width="20.7109375" style="44"/>
  </cols>
  <sheetData>
    <row r="3" spans="1:9" x14ac:dyDescent="0.25">
      <c r="A3" s="46" t="s">
        <v>658</v>
      </c>
      <c r="B3" t="s">
        <v>1289</v>
      </c>
    </row>
    <row r="4" spans="1:9" x14ac:dyDescent="0.25">
      <c r="A4" s="46" t="s">
        <v>361</v>
      </c>
      <c r="B4" t="s">
        <v>1289</v>
      </c>
    </row>
    <row r="6" spans="1:9" x14ac:dyDescent="0.25">
      <c r="A6" t="s">
        <v>479</v>
      </c>
    </row>
    <row r="7" spans="1:9" x14ac:dyDescent="0.25">
      <c r="A7" s="48">
        <v>199774.74999999991</v>
      </c>
      <c r="I7" s="45"/>
    </row>
    <row r="8" spans="1:9" x14ac:dyDescent="0.25">
      <c r="A8"/>
      <c r="I8" s="45"/>
    </row>
    <row r="9" spans="1:9" x14ac:dyDescent="0.25">
      <c r="A9"/>
      <c r="I9" s="45"/>
    </row>
    <row r="10" spans="1:9" x14ac:dyDescent="0.25">
      <c r="A10"/>
      <c r="I10" s="45"/>
    </row>
    <row r="11" spans="1:9" x14ac:dyDescent="0.25">
      <c r="A11"/>
      <c r="I11" s="45"/>
    </row>
    <row r="12" spans="1:9" x14ac:dyDescent="0.25">
      <c r="A12"/>
      <c r="I12" s="45"/>
    </row>
    <row r="13" spans="1:9" x14ac:dyDescent="0.25">
      <c r="I13" s="45"/>
    </row>
    <row r="14" spans="1:9" x14ac:dyDescent="0.25">
      <c r="A14"/>
      <c r="I14" s="45"/>
    </row>
    <row r="15" spans="1:9" x14ac:dyDescent="0.25">
      <c r="A15"/>
      <c r="B15"/>
      <c r="I15" s="45"/>
    </row>
    <row r="16" spans="1:9" x14ac:dyDescent="0.25">
      <c r="A16" s="46" t="s">
        <v>658</v>
      </c>
      <c r="B16" t="s">
        <v>1289</v>
      </c>
      <c r="I16" s="45"/>
    </row>
    <row r="17" spans="1:11" x14ac:dyDescent="0.25">
      <c r="I17" s="45"/>
    </row>
    <row r="18" spans="1:11" x14ac:dyDescent="0.25">
      <c r="A18" s="46" t="s">
        <v>1287</v>
      </c>
      <c r="B18" t="s">
        <v>479</v>
      </c>
      <c r="C18" t="s">
        <v>662</v>
      </c>
      <c r="D18"/>
      <c r="E18"/>
      <c r="F18"/>
      <c r="G18"/>
      <c r="H18"/>
      <c r="I18"/>
      <c r="J18"/>
      <c r="K18"/>
    </row>
    <row r="19" spans="1:11" x14ac:dyDescent="0.25">
      <c r="A19" s="37" t="s">
        <v>770</v>
      </c>
      <c r="B19" s="49">
        <v>6104.55</v>
      </c>
      <c r="C19" s="49">
        <v>29</v>
      </c>
      <c r="D19"/>
      <c r="E19"/>
      <c r="F19"/>
      <c r="G19"/>
      <c r="H19"/>
      <c r="I19"/>
      <c r="J19"/>
      <c r="K19"/>
    </row>
    <row r="20" spans="1:11" x14ac:dyDescent="0.25">
      <c r="A20" s="37" t="s">
        <v>618</v>
      </c>
      <c r="B20" s="49">
        <v>5536.7000000000007</v>
      </c>
      <c r="C20" s="49">
        <v>22</v>
      </c>
      <c r="D20"/>
      <c r="E20"/>
      <c r="F20"/>
      <c r="G20"/>
      <c r="H20"/>
      <c r="I20"/>
      <c r="J20"/>
      <c r="K20"/>
    </row>
    <row r="21" spans="1:11" x14ac:dyDescent="0.25">
      <c r="A21" s="37" t="s">
        <v>1201</v>
      </c>
      <c r="B21" s="49">
        <v>4715.2000000000007</v>
      </c>
      <c r="C21" s="49">
        <v>21</v>
      </c>
      <c r="D21"/>
      <c r="E21"/>
      <c r="F21"/>
      <c r="G21"/>
      <c r="H21"/>
      <c r="I21"/>
      <c r="J21"/>
      <c r="K21"/>
    </row>
    <row r="22" spans="1:11" x14ac:dyDescent="0.25">
      <c r="A22" s="37" t="s">
        <v>413</v>
      </c>
      <c r="B22" s="49">
        <v>4275.6000000000004</v>
      </c>
      <c r="C22" s="49">
        <v>22</v>
      </c>
      <c r="D22"/>
      <c r="E22"/>
      <c r="F22"/>
      <c r="G22"/>
      <c r="H22"/>
      <c r="I22"/>
      <c r="J22"/>
      <c r="K22"/>
    </row>
    <row r="23" spans="1:11" x14ac:dyDescent="0.25">
      <c r="A23" s="37" t="s">
        <v>558</v>
      </c>
      <c r="B23" s="49">
        <v>3877.2000000000003</v>
      </c>
      <c r="C23" s="49">
        <v>13</v>
      </c>
      <c r="D23"/>
      <c r="E23"/>
      <c r="F23"/>
      <c r="G23"/>
      <c r="H23"/>
      <c r="I23"/>
      <c r="J23"/>
      <c r="K23"/>
    </row>
    <row r="24" spans="1:11" x14ac:dyDescent="0.25">
      <c r="A24" s="37" t="s">
        <v>53</v>
      </c>
      <c r="B24" s="49">
        <v>3461.8</v>
      </c>
      <c r="C24" s="49">
        <v>16</v>
      </c>
      <c r="D24"/>
      <c r="E24"/>
      <c r="F24"/>
      <c r="G24"/>
      <c r="H24"/>
      <c r="I24"/>
      <c r="J24"/>
      <c r="K24"/>
    </row>
    <row r="25" spans="1:11" x14ac:dyDescent="0.25">
      <c r="A25" s="37" t="s">
        <v>1230</v>
      </c>
      <c r="B25" s="49">
        <v>3420.0000000000005</v>
      </c>
      <c r="C25" s="49">
        <v>36</v>
      </c>
      <c r="D25"/>
      <c r="E25"/>
      <c r="F25"/>
      <c r="G25"/>
      <c r="H25"/>
      <c r="I25"/>
      <c r="J25"/>
      <c r="K25"/>
    </row>
    <row r="26" spans="1:11" x14ac:dyDescent="0.25">
      <c r="A26" s="37" t="s">
        <v>1163</v>
      </c>
      <c r="B26" s="49">
        <v>3281.1</v>
      </c>
      <c r="C26" s="49">
        <v>17</v>
      </c>
      <c r="D26"/>
      <c r="E26"/>
      <c r="F26"/>
      <c r="G26"/>
      <c r="H26"/>
      <c r="I26"/>
      <c r="J26"/>
      <c r="K26"/>
    </row>
    <row r="27" spans="1:11" x14ac:dyDescent="0.25">
      <c r="A27" s="37" t="s">
        <v>438</v>
      </c>
      <c r="B27" s="49">
        <v>3094.5</v>
      </c>
      <c r="C27" s="49">
        <v>9</v>
      </c>
      <c r="D27"/>
      <c r="E27"/>
      <c r="F27"/>
      <c r="G27"/>
      <c r="H27"/>
      <c r="I27"/>
      <c r="J27"/>
      <c r="K27"/>
    </row>
    <row r="28" spans="1:11" x14ac:dyDescent="0.25">
      <c r="A28" s="37" t="s">
        <v>1258</v>
      </c>
      <c r="B28" s="49">
        <v>3007.8</v>
      </c>
      <c r="C28" s="49">
        <v>15</v>
      </c>
      <c r="D28"/>
      <c r="E28"/>
      <c r="F28"/>
      <c r="G28"/>
      <c r="H28"/>
      <c r="I28"/>
      <c r="J28"/>
      <c r="K28"/>
    </row>
    <row r="29" spans="1:11" x14ac:dyDescent="0.25">
      <c r="A29" s="37" t="s">
        <v>515</v>
      </c>
      <c r="B29" s="49">
        <v>2845.7999999999997</v>
      </c>
      <c r="C29" s="49">
        <v>19</v>
      </c>
      <c r="D29"/>
      <c r="E29"/>
      <c r="F29"/>
      <c r="G29"/>
      <c r="H29"/>
      <c r="I29"/>
      <c r="J29"/>
      <c r="K29"/>
    </row>
    <row r="30" spans="1:11" x14ac:dyDescent="0.25">
      <c r="A30" s="37" t="s">
        <v>674</v>
      </c>
      <c r="B30" s="49">
        <v>2827.2000000000003</v>
      </c>
      <c r="C30" s="49">
        <v>15</v>
      </c>
      <c r="D30"/>
      <c r="E30"/>
      <c r="F30"/>
      <c r="G30"/>
      <c r="H30"/>
      <c r="I30"/>
      <c r="J30"/>
      <c r="K30"/>
    </row>
    <row r="31" spans="1:11" x14ac:dyDescent="0.25">
      <c r="A31" s="37" t="s">
        <v>463</v>
      </c>
      <c r="B31" s="49">
        <v>2822.3999999999996</v>
      </c>
      <c r="C31" s="49">
        <v>16</v>
      </c>
      <c r="D31"/>
      <c r="E31"/>
      <c r="F31"/>
      <c r="G31"/>
      <c r="H31"/>
      <c r="I31"/>
      <c r="J31"/>
      <c r="K31"/>
    </row>
    <row r="32" spans="1:11" x14ac:dyDescent="0.25">
      <c r="A32" s="37" t="s">
        <v>418</v>
      </c>
      <c r="B32" s="49">
        <v>2796.8</v>
      </c>
      <c r="C32" s="49">
        <v>16</v>
      </c>
      <c r="D32"/>
      <c r="E32"/>
      <c r="F32"/>
      <c r="G32"/>
      <c r="H32"/>
      <c r="I32"/>
      <c r="J32"/>
      <c r="K32"/>
    </row>
    <row r="33" spans="1:11" x14ac:dyDescent="0.25">
      <c r="A33" s="37" t="s">
        <v>837</v>
      </c>
      <c r="B33" s="49">
        <v>2725.3999999999996</v>
      </c>
      <c r="C33" s="49">
        <v>22</v>
      </c>
      <c r="D33"/>
      <c r="E33"/>
      <c r="F33"/>
      <c r="G33"/>
      <c r="H33"/>
      <c r="I33"/>
      <c r="J33"/>
      <c r="K33"/>
    </row>
    <row r="34" spans="1:11" x14ac:dyDescent="0.25">
      <c r="A34" s="37" t="s">
        <v>1322</v>
      </c>
      <c r="B34" s="49">
        <v>2647.2</v>
      </c>
      <c r="C34" s="49">
        <v>12</v>
      </c>
      <c r="D34"/>
      <c r="E34"/>
      <c r="F34"/>
      <c r="G34"/>
      <c r="H34"/>
      <c r="I34"/>
      <c r="J34"/>
      <c r="K34"/>
    </row>
    <row r="35" spans="1:11" x14ac:dyDescent="0.25">
      <c r="A35" s="37" t="s">
        <v>573</v>
      </c>
      <c r="B35" s="49">
        <v>2634.6000000000004</v>
      </c>
      <c r="C35" s="49">
        <v>21</v>
      </c>
      <c r="D35"/>
      <c r="E35"/>
      <c r="F35"/>
      <c r="G35"/>
      <c r="H35"/>
      <c r="I35"/>
      <c r="J35"/>
      <c r="K35"/>
    </row>
    <row r="36" spans="1:11" x14ac:dyDescent="0.25">
      <c r="A36" s="37" t="s">
        <v>1171</v>
      </c>
      <c r="B36" s="49">
        <v>2619.7999999999997</v>
      </c>
      <c r="C36" s="49">
        <v>16</v>
      </c>
      <c r="D36"/>
      <c r="E36"/>
      <c r="F36"/>
      <c r="G36"/>
      <c r="H36"/>
      <c r="I36"/>
      <c r="J36"/>
      <c r="K36"/>
    </row>
    <row r="37" spans="1:11" x14ac:dyDescent="0.25">
      <c r="A37" s="37" t="s">
        <v>1299</v>
      </c>
      <c r="B37" s="49">
        <v>2605.1999999999998</v>
      </c>
      <c r="C37" s="49">
        <v>7</v>
      </c>
      <c r="D37"/>
      <c r="E37"/>
      <c r="F37"/>
      <c r="G37"/>
      <c r="H37"/>
      <c r="I37"/>
      <c r="J37"/>
      <c r="K37"/>
    </row>
    <row r="38" spans="1:11" x14ac:dyDescent="0.25">
      <c r="A38" s="37" t="s">
        <v>487</v>
      </c>
      <c r="B38" s="49">
        <v>2581.7999999999997</v>
      </c>
      <c r="C38" s="49">
        <v>20</v>
      </c>
      <c r="D38"/>
      <c r="E38"/>
      <c r="F38"/>
      <c r="G38"/>
      <c r="H38"/>
      <c r="I38"/>
      <c r="J38"/>
      <c r="K38"/>
    </row>
    <row r="39" spans="1:11" x14ac:dyDescent="0.25">
      <c r="A39" s="37" t="s">
        <v>1180</v>
      </c>
      <c r="B39" s="49">
        <v>2540.3999999999996</v>
      </c>
      <c r="C39" s="49">
        <v>18</v>
      </c>
      <c r="D39"/>
      <c r="E39"/>
      <c r="F39"/>
      <c r="G39"/>
      <c r="H39"/>
      <c r="I39"/>
      <c r="J39"/>
      <c r="K39"/>
    </row>
    <row r="40" spans="1:11" x14ac:dyDescent="0.25">
      <c r="A40" s="37" t="s">
        <v>1179</v>
      </c>
      <c r="B40" s="49">
        <v>2525.4</v>
      </c>
      <c r="C40" s="49">
        <v>18</v>
      </c>
      <c r="D40"/>
      <c r="E40"/>
      <c r="F40"/>
      <c r="G40"/>
      <c r="H40"/>
      <c r="I40"/>
      <c r="J40"/>
      <c r="K40"/>
    </row>
    <row r="41" spans="1:11" x14ac:dyDescent="0.25">
      <c r="A41" s="37" t="s">
        <v>422</v>
      </c>
      <c r="B41" s="49">
        <v>2475.2999999999997</v>
      </c>
      <c r="C41" s="49">
        <v>14</v>
      </c>
      <c r="D41"/>
      <c r="E41"/>
      <c r="F41"/>
      <c r="G41"/>
      <c r="H41"/>
      <c r="I41"/>
      <c r="J41"/>
      <c r="K41"/>
    </row>
    <row r="42" spans="1:11" x14ac:dyDescent="0.25">
      <c r="A42" s="37" t="s">
        <v>474</v>
      </c>
      <c r="B42" s="49">
        <v>2469.6000000000004</v>
      </c>
      <c r="C42" s="49">
        <v>17</v>
      </c>
      <c r="D42"/>
      <c r="E42"/>
      <c r="F42"/>
      <c r="G42"/>
      <c r="H42"/>
      <c r="I42"/>
      <c r="J42"/>
      <c r="K42"/>
    </row>
    <row r="43" spans="1:11" x14ac:dyDescent="0.25">
      <c r="A43" s="37" t="s">
        <v>453</v>
      </c>
      <c r="B43" s="49">
        <v>2448.9</v>
      </c>
      <c r="C43" s="49">
        <v>15</v>
      </c>
      <c r="D43"/>
      <c r="E43"/>
      <c r="F43"/>
      <c r="G43"/>
      <c r="H43"/>
      <c r="I43"/>
      <c r="J43"/>
      <c r="K43"/>
    </row>
    <row r="44" spans="1:11" x14ac:dyDescent="0.25">
      <c r="A44" s="37" t="s">
        <v>963</v>
      </c>
      <c r="B44" s="49">
        <v>2443.1</v>
      </c>
      <c r="C44" s="49">
        <v>18</v>
      </c>
      <c r="D44"/>
      <c r="E44"/>
      <c r="F44"/>
      <c r="G44"/>
      <c r="H44"/>
      <c r="I44"/>
      <c r="J44"/>
      <c r="K44"/>
    </row>
    <row r="45" spans="1:11" x14ac:dyDescent="0.25">
      <c r="A45" s="37" t="s">
        <v>440</v>
      </c>
      <c r="B45" s="49">
        <v>2385.8000000000002</v>
      </c>
      <c r="C45" s="49">
        <v>9</v>
      </c>
      <c r="D45"/>
      <c r="E45"/>
      <c r="F45"/>
      <c r="G45"/>
      <c r="H45"/>
      <c r="I45"/>
      <c r="J45"/>
      <c r="K45"/>
    </row>
    <row r="46" spans="1:11" x14ac:dyDescent="0.25">
      <c r="A46" s="37" t="s">
        <v>1307</v>
      </c>
      <c r="B46" s="49">
        <v>2225.3999999999996</v>
      </c>
      <c r="C46" s="49">
        <v>13</v>
      </c>
      <c r="D46"/>
      <c r="E46"/>
      <c r="F46"/>
      <c r="G46"/>
      <c r="H46"/>
      <c r="I46"/>
      <c r="J46"/>
      <c r="K46"/>
    </row>
    <row r="47" spans="1:11" x14ac:dyDescent="0.25">
      <c r="A47" s="37" t="s">
        <v>509</v>
      </c>
      <c r="B47" s="49">
        <v>2173.4</v>
      </c>
      <c r="C47" s="49">
        <v>13</v>
      </c>
      <c r="D47"/>
      <c r="E47"/>
      <c r="F47"/>
      <c r="G47"/>
      <c r="H47"/>
      <c r="I47"/>
      <c r="J47"/>
      <c r="K47"/>
    </row>
    <row r="48" spans="1:11" x14ac:dyDescent="0.25">
      <c r="A48" s="37" t="s">
        <v>974</v>
      </c>
      <c r="B48" s="49">
        <v>2155.8000000000002</v>
      </c>
      <c r="C48" s="49">
        <v>5</v>
      </c>
      <c r="D48"/>
      <c r="E48"/>
      <c r="F48"/>
      <c r="G48"/>
      <c r="H48"/>
      <c r="I48"/>
      <c r="J48"/>
      <c r="K48"/>
    </row>
    <row r="49" spans="1:11" x14ac:dyDescent="0.25">
      <c r="A49" s="37" t="s">
        <v>550</v>
      </c>
      <c r="B49" s="49">
        <v>2076.6</v>
      </c>
      <c r="C49" s="49">
        <v>18</v>
      </c>
      <c r="D49"/>
      <c r="E49"/>
      <c r="F49"/>
      <c r="G49"/>
      <c r="H49"/>
      <c r="I49"/>
      <c r="J49"/>
      <c r="K49"/>
    </row>
    <row r="50" spans="1:11" x14ac:dyDescent="0.25">
      <c r="A50" s="37" t="s">
        <v>1129</v>
      </c>
      <c r="B50" s="49">
        <v>2065.2000000000003</v>
      </c>
      <c r="C50" s="49">
        <v>17</v>
      </c>
      <c r="D50"/>
      <c r="E50"/>
      <c r="F50"/>
      <c r="G50"/>
      <c r="H50"/>
      <c r="I50"/>
      <c r="J50"/>
      <c r="K50"/>
    </row>
    <row r="51" spans="1:11" x14ac:dyDescent="0.25">
      <c r="A51" s="37" t="s">
        <v>425</v>
      </c>
      <c r="B51" s="49">
        <v>2063.4000000000005</v>
      </c>
      <c r="C51" s="49">
        <v>18</v>
      </c>
      <c r="D51"/>
      <c r="E51"/>
      <c r="F51"/>
      <c r="G51"/>
      <c r="H51"/>
      <c r="I51"/>
      <c r="J51"/>
      <c r="K51"/>
    </row>
    <row r="52" spans="1:11" x14ac:dyDescent="0.25">
      <c r="A52" s="37" t="s">
        <v>1252</v>
      </c>
      <c r="B52" s="49">
        <v>2047.6000000000001</v>
      </c>
      <c r="C52" s="49">
        <v>15</v>
      </c>
      <c r="D52"/>
      <c r="E52"/>
      <c r="F52"/>
      <c r="G52"/>
      <c r="H52"/>
      <c r="I52"/>
      <c r="J52"/>
      <c r="K52"/>
    </row>
    <row r="53" spans="1:11" x14ac:dyDescent="0.25">
      <c r="A53" s="37" t="s">
        <v>430</v>
      </c>
      <c r="B53" s="49">
        <v>2001.7</v>
      </c>
      <c r="C53" s="49">
        <v>13</v>
      </c>
      <c r="D53"/>
      <c r="E53"/>
      <c r="F53"/>
      <c r="G53"/>
      <c r="H53"/>
      <c r="I53"/>
      <c r="J53"/>
      <c r="K53"/>
    </row>
    <row r="54" spans="1:11" x14ac:dyDescent="0.25">
      <c r="A54" s="37" t="s">
        <v>435</v>
      </c>
      <c r="B54" s="49">
        <v>1967.3000000000002</v>
      </c>
      <c r="C54" s="49">
        <v>22</v>
      </c>
      <c r="D54"/>
      <c r="E54"/>
      <c r="F54"/>
      <c r="G54"/>
      <c r="H54"/>
      <c r="I54"/>
      <c r="J54"/>
      <c r="K54"/>
    </row>
    <row r="55" spans="1:11" x14ac:dyDescent="0.25">
      <c r="A55" s="37" t="s">
        <v>434</v>
      </c>
      <c r="B55" s="49">
        <v>1903.3999999999999</v>
      </c>
      <c r="C55" s="49">
        <v>15</v>
      </c>
      <c r="D55"/>
      <c r="E55"/>
      <c r="F55"/>
      <c r="G55"/>
      <c r="H55"/>
      <c r="I55"/>
      <c r="J55"/>
      <c r="K55"/>
    </row>
    <row r="56" spans="1:11" x14ac:dyDescent="0.25">
      <c r="A56" s="37" t="s">
        <v>484</v>
      </c>
      <c r="B56" s="49">
        <v>1827</v>
      </c>
      <c r="C56" s="49">
        <v>17</v>
      </c>
      <c r="D56"/>
      <c r="E56"/>
      <c r="F56"/>
      <c r="G56"/>
      <c r="H56"/>
      <c r="I56"/>
      <c r="J56"/>
      <c r="K56"/>
    </row>
    <row r="57" spans="1:11" x14ac:dyDescent="0.25">
      <c r="A57" s="37" t="s">
        <v>1257</v>
      </c>
      <c r="B57" s="49">
        <v>1796.6</v>
      </c>
      <c r="C57" s="49">
        <v>5</v>
      </c>
      <c r="D57"/>
      <c r="E57"/>
      <c r="F57"/>
      <c r="G57"/>
      <c r="H57"/>
      <c r="I57"/>
      <c r="J57"/>
      <c r="K57"/>
    </row>
    <row r="58" spans="1:11" x14ac:dyDescent="0.25">
      <c r="A58" s="37" t="s">
        <v>623</v>
      </c>
      <c r="B58" s="49">
        <v>1727.3999999999999</v>
      </c>
      <c r="C58" s="49">
        <v>15</v>
      </c>
      <c r="D58"/>
      <c r="E58"/>
      <c r="F58"/>
      <c r="G58"/>
      <c r="H58"/>
      <c r="I58"/>
      <c r="J58"/>
      <c r="K58"/>
    </row>
    <row r="59" spans="1:11" x14ac:dyDescent="0.25">
      <c r="A59" s="37" t="s">
        <v>1041</v>
      </c>
      <c r="B59" s="49">
        <v>1689.5999999999997</v>
      </c>
      <c r="C59" s="49">
        <v>14</v>
      </c>
      <c r="D59"/>
      <c r="E59"/>
      <c r="F59"/>
      <c r="G59"/>
      <c r="H59"/>
      <c r="I59"/>
      <c r="J59"/>
      <c r="K59"/>
    </row>
    <row r="60" spans="1:11" x14ac:dyDescent="0.25">
      <c r="A60" s="37" t="s">
        <v>432</v>
      </c>
      <c r="B60" s="49">
        <v>1624.2</v>
      </c>
      <c r="C60" s="49">
        <v>9</v>
      </c>
      <c r="D60"/>
      <c r="E60"/>
      <c r="F60"/>
      <c r="G60"/>
      <c r="H60"/>
      <c r="I60"/>
      <c r="J60"/>
      <c r="K60"/>
    </row>
    <row r="61" spans="1:11" x14ac:dyDescent="0.25">
      <c r="A61" s="37" t="s">
        <v>1298</v>
      </c>
      <c r="B61" s="49">
        <v>1601.4</v>
      </c>
      <c r="C61" s="49">
        <v>10</v>
      </c>
      <c r="D61"/>
      <c r="E61"/>
      <c r="F61"/>
      <c r="G61"/>
      <c r="H61"/>
      <c r="I61"/>
      <c r="J61"/>
      <c r="K61"/>
    </row>
    <row r="62" spans="1:11" x14ac:dyDescent="0.25">
      <c r="A62" s="37" t="s">
        <v>553</v>
      </c>
      <c r="B62" s="49">
        <v>1563.7</v>
      </c>
      <c r="C62" s="49">
        <v>18</v>
      </c>
      <c r="D62"/>
      <c r="E62"/>
      <c r="F62"/>
      <c r="G62"/>
      <c r="H62"/>
      <c r="I62"/>
      <c r="J62"/>
      <c r="K62"/>
    </row>
    <row r="63" spans="1:11" x14ac:dyDescent="0.25">
      <c r="A63" s="37" t="s">
        <v>1154</v>
      </c>
      <c r="B63" s="49">
        <v>1524.6</v>
      </c>
      <c r="C63" s="49">
        <v>10</v>
      </c>
      <c r="D63"/>
      <c r="E63"/>
      <c r="F63"/>
      <c r="G63"/>
      <c r="H63"/>
      <c r="I63"/>
      <c r="J63"/>
      <c r="K63"/>
    </row>
    <row r="64" spans="1:11" x14ac:dyDescent="0.25">
      <c r="A64" s="37" t="s">
        <v>520</v>
      </c>
      <c r="B64" s="49">
        <v>1522.1999999999998</v>
      </c>
      <c r="C64" s="49">
        <v>11</v>
      </c>
      <c r="D64"/>
      <c r="E64"/>
      <c r="F64"/>
      <c r="G64"/>
      <c r="H64"/>
      <c r="I64"/>
      <c r="J64"/>
      <c r="K64"/>
    </row>
    <row r="65" spans="1:11" x14ac:dyDescent="0.25">
      <c r="A65" s="37" t="s">
        <v>471</v>
      </c>
      <c r="B65" s="49">
        <v>1517.8</v>
      </c>
      <c r="C65" s="49">
        <v>12</v>
      </c>
      <c r="D65"/>
      <c r="E65"/>
      <c r="F65"/>
      <c r="G65"/>
      <c r="H65"/>
      <c r="I65"/>
      <c r="J65"/>
      <c r="K65"/>
    </row>
    <row r="66" spans="1:11" x14ac:dyDescent="0.25">
      <c r="A66" s="37" t="s">
        <v>614</v>
      </c>
      <c r="B66" s="49">
        <v>1517.3999999999999</v>
      </c>
      <c r="C66" s="49">
        <v>13</v>
      </c>
      <c r="D66"/>
      <c r="E66"/>
      <c r="F66"/>
      <c r="G66"/>
      <c r="H66"/>
      <c r="I66"/>
      <c r="J66"/>
      <c r="K66"/>
    </row>
    <row r="67" spans="1:11" x14ac:dyDescent="0.25">
      <c r="A67" s="37" t="s">
        <v>43</v>
      </c>
      <c r="B67" s="49">
        <v>1487.4</v>
      </c>
      <c r="C67" s="49">
        <v>15</v>
      </c>
      <c r="D67"/>
      <c r="E67"/>
      <c r="F67"/>
      <c r="G67"/>
      <c r="H67"/>
      <c r="I67"/>
      <c r="J67"/>
      <c r="K67"/>
    </row>
    <row r="68" spans="1:11" x14ac:dyDescent="0.25">
      <c r="A68" s="37" t="s">
        <v>1305</v>
      </c>
      <c r="B68" s="49">
        <v>1473</v>
      </c>
      <c r="C68" s="49">
        <v>12</v>
      </c>
      <c r="D68"/>
      <c r="E68"/>
      <c r="F68"/>
      <c r="G68"/>
      <c r="H68"/>
      <c r="I68"/>
      <c r="J68"/>
      <c r="K68"/>
    </row>
    <row r="69" spans="1:11" x14ac:dyDescent="0.25">
      <c r="A69" s="37" t="s">
        <v>1204</v>
      </c>
      <c r="B69" s="49">
        <v>1444.8</v>
      </c>
      <c r="C69" s="49">
        <v>9</v>
      </c>
      <c r="D69"/>
      <c r="E69"/>
      <c r="F69"/>
      <c r="G69"/>
      <c r="H69"/>
      <c r="I69"/>
      <c r="J69"/>
      <c r="K69"/>
    </row>
    <row r="70" spans="1:11" x14ac:dyDescent="0.25">
      <c r="A70" s="37" t="s">
        <v>576</v>
      </c>
      <c r="B70" s="49">
        <v>1431.7</v>
      </c>
      <c r="C70" s="49">
        <v>19</v>
      </c>
      <c r="D70"/>
      <c r="E70"/>
      <c r="F70"/>
      <c r="G70"/>
      <c r="H70"/>
      <c r="I70"/>
      <c r="J70"/>
      <c r="K70"/>
    </row>
    <row r="71" spans="1:11" x14ac:dyDescent="0.25">
      <c r="A71" s="37" t="s">
        <v>670</v>
      </c>
      <c r="B71" s="49">
        <v>1418.3999999999999</v>
      </c>
      <c r="C71" s="49">
        <v>13</v>
      </c>
      <c r="D71"/>
      <c r="E71"/>
      <c r="F71"/>
      <c r="G71"/>
      <c r="H71"/>
      <c r="I71"/>
      <c r="J71"/>
      <c r="K71"/>
    </row>
    <row r="72" spans="1:11" x14ac:dyDescent="0.25">
      <c r="A72" s="37" t="s">
        <v>12</v>
      </c>
      <c r="B72" s="49">
        <v>1348.8</v>
      </c>
      <c r="C72" s="49">
        <v>12</v>
      </c>
      <c r="D72"/>
      <c r="E72"/>
      <c r="F72"/>
      <c r="G72"/>
      <c r="H72"/>
      <c r="I72"/>
      <c r="J72"/>
      <c r="K72"/>
    </row>
    <row r="73" spans="1:11" x14ac:dyDescent="0.25">
      <c r="A73" s="37" t="s">
        <v>608</v>
      </c>
      <c r="B73" s="49">
        <v>1306.1999999999998</v>
      </c>
      <c r="C73" s="49">
        <v>15</v>
      </c>
      <c r="D73"/>
      <c r="E73"/>
      <c r="F73"/>
      <c r="G73"/>
      <c r="H73"/>
      <c r="I73"/>
      <c r="J73"/>
      <c r="K73"/>
    </row>
    <row r="74" spans="1:11" x14ac:dyDescent="0.25">
      <c r="A74" s="37" t="s">
        <v>1263</v>
      </c>
      <c r="B74" s="49">
        <v>1304.4000000000001</v>
      </c>
      <c r="C74" s="49">
        <v>9</v>
      </c>
      <c r="D74"/>
      <c r="E74"/>
      <c r="F74"/>
      <c r="G74"/>
      <c r="H74"/>
      <c r="I74"/>
      <c r="J74"/>
      <c r="K74"/>
    </row>
    <row r="75" spans="1:11" x14ac:dyDescent="0.25">
      <c r="A75" s="37" t="s">
        <v>8</v>
      </c>
      <c r="B75" s="49">
        <v>1290</v>
      </c>
      <c r="C75" s="49">
        <v>11</v>
      </c>
      <c r="D75"/>
      <c r="E75"/>
      <c r="F75"/>
      <c r="G75"/>
      <c r="H75"/>
      <c r="I75"/>
      <c r="J75"/>
      <c r="K75"/>
    </row>
    <row r="76" spans="1:11" x14ac:dyDescent="0.25">
      <c r="A76" s="37" t="s">
        <v>967</v>
      </c>
      <c r="B76" s="49">
        <v>1224.9000000000001</v>
      </c>
      <c r="C76" s="49">
        <v>10</v>
      </c>
      <c r="D76"/>
      <c r="E76"/>
      <c r="F76"/>
      <c r="G76"/>
      <c r="H76"/>
      <c r="I76"/>
      <c r="J76"/>
      <c r="K76"/>
    </row>
    <row r="77" spans="1:11" x14ac:dyDescent="0.25">
      <c r="A77" s="37" t="s">
        <v>968</v>
      </c>
      <c r="B77" s="49">
        <v>1222.1999999999998</v>
      </c>
      <c r="C77" s="49">
        <v>8</v>
      </c>
      <c r="D77"/>
      <c r="E77"/>
      <c r="F77"/>
      <c r="G77"/>
      <c r="H77"/>
      <c r="I77"/>
      <c r="J77"/>
      <c r="K77"/>
    </row>
    <row r="78" spans="1:11" x14ac:dyDescent="0.25">
      <c r="A78" s="37" t="s">
        <v>20</v>
      </c>
      <c r="B78" s="49">
        <v>1217.1999999999998</v>
      </c>
      <c r="C78" s="49">
        <v>9</v>
      </c>
      <c r="D78"/>
      <c r="E78"/>
      <c r="F78"/>
      <c r="G78"/>
      <c r="H78"/>
      <c r="I78"/>
      <c r="J78"/>
      <c r="K78"/>
    </row>
    <row r="79" spans="1:11" x14ac:dyDescent="0.25">
      <c r="A79" s="37" t="s">
        <v>415</v>
      </c>
      <c r="B79" s="49">
        <v>1204.8</v>
      </c>
      <c r="C79" s="49">
        <v>9</v>
      </c>
      <c r="D79"/>
      <c r="E79"/>
      <c r="F79"/>
      <c r="G79"/>
      <c r="H79"/>
      <c r="I79"/>
      <c r="J79"/>
      <c r="K79"/>
    </row>
    <row r="80" spans="1:11" x14ac:dyDescent="0.25">
      <c r="A80" s="37" t="s">
        <v>676</v>
      </c>
      <c r="B80" s="49">
        <v>1156.9000000000001</v>
      </c>
      <c r="C80" s="49">
        <v>9</v>
      </c>
      <c r="D80"/>
      <c r="E80"/>
      <c r="F80"/>
      <c r="G80"/>
      <c r="H80"/>
      <c r="I80"/>
      <c r="J80"/>
      <c r="K80"/>
    </row>
    <row r="81" spans="1:11" x14ac:dyDescent="0.25">
      <c r="A81" s="37" t="s">
        <v>1282</v>
      </c>
      <c r="B81" s="49">
        <v>1134</v>
      </c>
      <c r="C81" s="49">
        <v>1</v>
      </c>
      <c r="D81"/>
      <c r="E81"/>
      <c r="F81"/>
      <c r="G81"/>
      <c r="H81"/>
      <c r="I81"/>
      <c r="J81"/>
      <c r="K81"/>
    </row>
    <row r="82" spans="1:11" x14ac:dyDescent="0.25">
      <c r="A82" s="37" t="s">
        <v>1232</v>
      </c>
      <c r="B82" s="49">
        <v>1128.5</v>
      </c>
      <c r="C82" s="49">
        <v>7</v>
      </c>
      <c r="D82"/>
      <c r="E82"/>
      <c r="F82"/>
      <c r="G82"/>
      <c r="H82"/>
      <c r="I82"/>
      <c r="J82"/>
      <c r="K82"/>
    </row>
    <row r="83" spans="1:11" x14ac:dyDescent="0.25">
      <c r="A83" s="37" t="s">
        <v>1188</v>
      </c>
      <c r="B83" s="49">
        <v>1087.8000000000002</v>
      </c>
      <c r="C83" s="49">
        <v>14</v>
      </c>
      <c r="D83"/>
      <c r="E83"/>
      <c r="F83"/>
      <c r="G83"/>
      <c r="H83"/>
      <c r="I83"/>
      <c r="J83"/>
      <c r="K83"/>
    </row>
    <row r="84" spans="1:11" x14ac:dyDescent="0.25">
      <c r="A84" s="37" t="s">
        <v>1265</v>
      </c>
      <c r="B84" s="49">
        <v>1079</v>
      </c>
      <c r="C84" s="49">
        <v>8</v>
      </c>
      <c r="D84"/>
      <c r="E84"/>
      <c r="F84"/>
      <c r="G84"/>
      <c r="H84"/>
      <c r="I84"/>
      <c r="J84"/>
      <c r="K84"/>
    </row>
    <row r="85" spans="1:11" x14ac:dyDescent="0.25">
      <c r="A85" s="37" t="s">
        <v>1186</v>
      </c>
      <c r="B85" s="49">
        <v>1048.8</v>
      </c>
      <c r="C85" s="49">
        <v>3</v>
      </c>
      <c r="D85"/>
      <c r="E85"/>
      <c r="F85"/>
      <c r="G85"/>
      <c r="H85"/>
      <c r="I85"/>
      <c r="J85"/>
      <c r="K85"/>
    </row>
    <row r="86" spans="1:11" x14ac:dyDescent="0.25">
      <c r="A86" s="37" t="s">
        <v>59</v>
      </c>
      <c r="B86" s="49">
        <v>1015.1999999999998</v>
      </c>
      <c r="C86" s="49">
        <v>11</v>
      </c>
      <c r="D86"/>
      <c r="E86"/>
      <c r="F86"/>
      <c r="G86"/>
      <c r="H86"/>
      <c r="I86"/>
      <c r="J86"/>
      <c r="K86"/>
    </row>
    <row r="87" spans="1:11" x14ac:dyDescent="0.25">
      <c r="A87" s="37" t="s">
        <v>1231</v>
      </c>
      <c r="B87" s="49">
        <v>1008</v>
      </c>
      <c r="C87" s="49">
        <v>1</v>
      </c>
      <c r="D87"/>
      <c r="E87"/>
      <c r="F87"/>
      <c r="G87"/>
      <c r="H87"/>
      <c r="I87"/>
      <c r="J87"/>
      <c r="K87"/>
    </row>
    <row r="88" spans="1:11" x14ac:dyDescent="0.25">
      <c r="A88" s="37" t="s">
        <v>454</v>
      </c>
      <c r="B88" s="49">
        <v>998.59999999999991</v>
      </c>
      <c r="C88" s="49">
        <v>16</v>
      </c>
      <c r="D88"/>
      <c r="E88"/>
      <c r="F88"/>
      <c r="G88"/>
      <c r="H88"/>
      <c r="I88"/>
      <c r="J88"/>
      <c r="K88"/>
    </row>
    <row r="89" spans="1:11" x14ac:dyDescent="0.25">
      <c r="A89" s="37" t="s">
        <v>30</v>
      </c>
      <c r="B89" s="49">
        <v>985.59999999999991</v>
      </c>
      <c r="C89" s="49">
        <v>13</v>
      </c>
      <c r="D89"/>
      <c r="E89"/>
      <c r="F89"/>
      <c r="G89"/>
      <c r="H89"/>
      <c r="I89"/>
      <c r="J89"/>
      <c r="K89"/>
    </row>
    <row r="90" spans="1:11" x14ac:dyDescent="0.25">
      <c r="A90" s="37" t="s">
        <v>949</v>
      </c>
      <c r="B90" s="49">
        <v>956.59999999999991</v>
      </c>
      <c r="C90" s="49">
        <v>11</v>
      </c>
      <c r="D90"/>
      <c r="E90"/>
      <c r="F90"/>
      <c r="G90"/>
      <c r="H90"/>
      <c r="I90"/>
      <c r="J90"/>
      <c r="K90"/>
    </row>
    <row r="91" spans="1:11" x14ac:dyDescent="0.25">
      <c r="A91" s="37" t="s">
        <v>1005</v>
      </c>
      <c r="B91" s="49">
        <v>934.2</v>
      </c>
      <c r="C91" s="49">
        <v>6</v>
      </c>
      <c r="D91"/>
      <c r="E91"/>
      <c r="F91"/>
      <c r="G91"/>
      <c r="H91"/>
      <c r="I91"/>
      <c r="J91"/>
      <c r="K91"/>
    </row>
    <row r="92" spans="1:11" x14ac:dyDescent="0.25">
      <c r="A92" s="37" t="s">
        <v>446</v>
      </c>
      <c r="B92" s="49">
        <v>931.2</v>
      </c>
      <c r="C92" s="49">
        <v>6</v>
      </c>
      <c r="D92"/>
      <c r="E92"/>
      <c r="F92"/>
      <c r="G92"/>
      <c r="H92"/>
      <c r="I92"/>
      <c r="J92"/>
      <c r="K92"/>
    </row>
    <row r="93" spans="1:11" x14ac:dyDescent="0.25">
      <c r="A93" s="37" t="s">
        <v>646</v>
      </c>
      <c r="B93" s="49">
        <v>929.4</v>
      </c>
      <c r="C93" s="49">
        <v>7</v>
      </c>
      <c r="D93"/>
      <c r="E93"/>
      <c r="F93"/>
      <c r="G93"/>
      <c r="H93"/>
      <c r="I93"/>
      <c r="J93"/>
      <c r="K93"/>
    </row>
    <row r="94" spans="1:11" x14ac:dyDescent="0.25">
      <c r="A94" s="37" t="s">
        <v>420</v>
      </c>
      <c r="B94" s="49">
        <v>929.39999999999986</v>
      </c>
      <c r="C94" s="49">
        <v>7</v>
      </c>
      <c r="D94"/>
      <c r="E94"/>
      <c r="F94"/>
      <c r="G94"/>
      <c r="H94"/>
      <c r="I94"/>
      <c r="J94"/>
      <c r="K94"/>
    </row>
    <row r="95" spans="1:11" x14ac:dyDescent="0.25">
      <c r="A95" s="37" t="s">
        <v>1009</v>
      </c>
      <c r="B95" s="49">
        <v>909.6</v>
      </c>
      <c r="C95" s="49">
        <v>6</v>
      </c>
      <c r="D95"/>
      <c r="E95"/>
      <c r="F95"/>
      <c r="G95"/>
      <c r="H95"/>
      <c r="I95"/>
      <c r="J95"/>
      <c r="K95"/>
    </row>
    <row r="96" spans="1:11" x14ac:dyDescent="0.25">
      <c r="A96" s="37" t="s">
        <v>1306</v>
      </c>
      <c r="B96" s="49">
        <v>892.19999999999993</v>
      </c>
      <c r="C96" s="49">
        <v>8</v>
      </c>
      <c r="D96"/>
      <c r="E96"/>
      <c r="F96"/>
      <c r="G96"/>
      <c r="H96"/>
      <c r="I96"/>
      <c r="J96"/>
      <c r="K96"/>
    </row>
    <row r="97" spans="1:11" x14ac:dyDescent="0.25">
      <c r="A97" s="37" t="s">
        <v>442</v>
      </c>
      <c r="B97" s="49">
        <v>889.80000000000007</v>
      </c>
      <c r="C97" s="49">
        <v>8</v>
      </c>
      <c r="D97"/>
      <c r="E97"/>
      <c r="F97"/>
      <c r="G97"/>
      <c r="H97"/>
      <c r="I97"/>
      <c r="J97"/>
      <c r="K97"/>
    </row>
    <row r="98" spans="1:11" x14ac:dyDescent="0.25">
      <c r="A98" s="37" t="s">
        <v>939</v>
      </c>
      <c r="B98" s="49">
        <v>877.80000000000007</v>
      </c>
      <c r="C98" s="49">
        <v>7</v>
      </c>
      <c r="D98"/>
      <c r="E98"/>
      <c r="F98"/>
      <c r="G98"/>
      <c r="H98"/>
      <c r="I98"/>
      <c r="J98"/>
      <c r="K98"/>
    </row>
    <row r="99" spans="1:11" x14ac:dyDescent="0.25">
      <c r="A99" s="37" t="s">
        <v>1253</v>
      </c>
      <c r="B99" s="49">
        <v>854.4</v>
      </c>
      <c r="C99" s="49">
        <v>9</v>
      </c>
      <c r="D99"/>
      <c r="E99"/>
      <c r="F99"/>
      <c r="G99"/>
      <c r="H99"/>
      <c r="I99"/>
      <c r="J99"/>
      <c r="K99"/>
    </row>
    <row r="100" spans="1:11" x14ac:dyDescent="0.25">
      <c r="A100" s="37" t="s">
        <v>666</v>
      </c>
      <c r="B100" s="49">
        <v>854.10000000000014</v>
      </c>
      <c r="C100" s="49">
        <v>11</v>
      </c>
      <c r="D100"/>
      <c r="E100"/>
      <c r="F100"/>
      <c r="G100"/>
      <c r="H100"/>
      <c r="I100"/>
      <c r="J100"/>
      <c r="K100"/>
    </row>
    <row r="101" spans="1:11" x14ac:dyDescent="0.25">
      <c r="A101" s="37" t="s">
        <v>5</v>
      </c>
      <c r="B101" s="49">
        <v>847.19999999999993</v>
      </c>
      <c r="C101" s="49">
        <v>7</v>
      </c>
      <c r="D101"/>
      <c r="E101"/>
      <c r="F101"/>
      <c r="G101"/>
      <c r="H101"/>
      <c r="I101"/>
      <c r="J101"/>
      <c r="K101"/>
    </row>
    <row r="102" spans="1:11" x14ac:dyDescent="0.25">
      <c r="A102" s="37" t="s">
        <v>482</v>
      </c>
      <c r="B102" s="49">
        <v>836.4</v>
      </c>
      <c r="C102" s="49">
        <v>11</v>
      </c>
      <c r="D102"/>
      <c r="E102"/>
      <c r="F102"/>
      <c r="G102"/>
      <c r="H102"/>
      <c r="I102"/>
      <c r="J102"/>
      <c r="K102"/>
    </row>
    <row r="103" spans="1:11" x14ac:dyDescent="0.25">
      <c r="A103" s="37" t="s">
        <v>1302</v>
      </c>
      <c r="B103" s="49">
        <v>835.19999999999993</v>
      </c>
      <c r="C103" s="49">
        <v>8</v>
      </c>
      <c r="D103"/>
      <c r="E103"/>
      <c r="F103"/>
      <c r="G103"/>
      <c r="H103"/>
      <c r="I103"/>
      <c r="J103"/>
      <c r="K103"/>
    </row>
    <row r="104" spans="1:11" x14ac:dyDescent="0.25">
      <c r="A104" s="37" t="s">
        <v>461</v>
      </c>
      <c r="B104" s="49">
        <v>807.9</v>
      </c>
      <c r="C104" s="49">
        <v>11</v>
      </c>
      <c r="D104"/>
      <c r="E104"/>
      <c r="F104"/>
      <c r="G104"/>
      <c r="H104"/>
      <c r="I104"/>
      <c r="J104"/>
      <c r="K104"/>
    </row>
    <row r="105" spans="1:11" x14ac:dyDescent="0.25">
      <c r="A105" s="37" t="s">
        <v>566</v>
      </c>
      <c r="B105" s="49">
        <v>804.80000000000018</v>
      </c>
      <c r="C105" s="49">
        <v>13</v>
      </c>
      <c r="D105"/>
      <c r="E105"/>
      <c r="F105"/>
      <c r="G105"/>
      <c r="H105"/>
      <c r="I105"/>
      <c r="J105"/>
      <c r="K105"/>
    </row>
    <row r="106" spans="1:11" x14ac:dyDescent="0.25">
      <c r="A106" s="37" t="s">
        <v>41</v>
      </c>
      <c r="B106" s="49">
        <v>794.4</v>
      </c>
      <c r="C106" s="49">
        <v>9</v>
      </c>
      <c r="D106"/>
      <c r="E106"/>
      <c r="F106"/>
      <c r="G106"/>
      <c r="H106"/>
      <c r="I106"/>
      <c r="J106"/>
      <c r="K106"/>
    </row>
    <row r="107" spans="1:11" x14ac:dyDescent="0.25">
      <c r="A107" s="37" t="s">
        <v>626</v>
      </c>
      <c r="B107" s="49">
        <v>792.2</v>
      </c>
      <c r="C107" s="49">
        <v>12</v>
      </c>
      <c r="D107"/>
      <c r="E107"/>
      <c r="F107"/>
      <c r="G107"/>
      <c r="H107"/>
      <c r="I107"/>
      <c r="J107"/>
      <c r="K107"/>
    </row>
    <row r="108" spans="1:11" x14ac:dyDescent="0.25">
      <c r="A108" s="37" t="s">
        <v>1315</v>
      </c>
      <c r="B108" s="49">
        <v>787</v>
      </c>
      <c r="C108" s="49">
        <v>9</v>
      </c>
      <c r="D108"/>
      <c r="E108"/>
      <c r="F108"/>
      <c r="G108"/>
      <c r="H108"/>
      <c r="I108"/>
      <c r="J108"/>
      <c r="K108"/>
    </row>
    <row r="109" spans="1:11" x14ac:dyDescent="0.25">
      <c r="A109" s="37" t="s">
        <v>615</v>
      </c>
      <c r="B109" s="49">
        <v>778.80000000000007</v>
      </c>
      <c r="C109" s="49">
        <v>8</v>
      </c>
      <c r="D109"/>
      <c r="E109"/>
      <c r="F109"/>
      <c r="G109"/>
      <c r="H109"/>
      <c r="I109"/>
      <c r="J109"/>
      <c r="K109"/>
    </row>
    <row r="110" spans="1:11" x14ac:dyDescent="0.25">
      <c r="A110" s="37" t="s">
        <v>546</v>
      </c>
      <c r="B110" s="49">
        <v>768.4</v>
      </c>
      <c r="C110" s="49">
        <v>13</v>
      </c>
      <c r="D110"/>
      <c r="E110"/>
      <c r="F110"/>
      <c r="G110"/>
      <c r="H110"/>
      <c r="I110"/>
      <c r="J110"/>
      <c r="K110"/>
    </row>
    <row r="111" spans="1:11" x14ac:dyDescent="0.25">
      <c r="A111" s="37" t="s">
        <v>491</v>
      </c>
      <c r="B111" s="49">
        <v>763.19999999999993</v>
      </c>
      <c r="C111" s="49">
        <v>11</v>
      </c>
      <c r="D111"/>
      <c r="E111"/>
      <c r="F111"/>
      <c r="G111"/>
      <c r="H111"/>
      <c r="I111"/>
      <c r="J111"/>
      <c r="K111"/>
    </row>
    <row r="112" spans="1:11" x14ac:dyDescent="0.25">
      <c r="A112" s="37" t="s">
        <v>643</v>
      </c>
      <c r="B112" s="49">
        <v>762.59999999999991</v>
      </c>
      <c r="C112" s="49">
        <v>5</v>
      </c>
      <c r="D112"/>
      <c r="E112"/>
      <c r="F112"/>
      <c r="G112"/>
      <c r="H112"/>
      <c r="I112"/>
      <c r="J112"/>
      <c r="K112"/>
    </row>
    <row r="113" spans="1:11" x14ac:dyDescent="0.25">
      <c r="A113" s="37" t="s">
        <v>617</v>
      </c>
      <c r="B113" s="49">
        <v>755.4</v>
      </c>
      <c r="C113" s="49">
        <v>7</v>
      </c>
      <c r="D113"/>
      <c r="E113"/>
      <c r="F113"/>
      <c r="G113"/>
      <c r="H113"/>
      <c r="I113"/>
      <c r="J113"/>
      <c r="K113"/>
    </row>
    <row r="114" spans="1:11" x14ac:dyDescent="0.25">
      <c r="A114" s="37" t="s">
        <v>469</v>
      </c>
      <c r="B114" s="49">
        <v>721.7</v>
      </c>
      <c r="C114" s="49">
        <v>11</v>
      </c>
      <c r="D114"/>
      <c r="E114"/>
      <c r="F114"/>
      <c r="G114"/>
      <c r="H114"/>
      <c r="I114"/>
      <c r="J114"/>
      <c r="K114"/>
    </row>
    <row r="115" spans="1:11" x14ac:dyDescent="0.25">
      <c r="A115" s="37" t="s">
        <v>486</v>
      </c>
      <c r="B115" s="49">
        <v>708.4</v>
      </c>
      <c r="C115" s="49">
        <v>10</v>
      </c>
      <c r="D115"/>
      <c r="E115"/>
      <c r="F115"/>
      <c r="G115"/>
      <c r="H115"/>
      <c r="I115"/>
      <c r="J115"/>
      <c r="K115"/>
    </row>
    <row r="116" spans="1:11" x14ac:dyDescent="0.25">
      <c r="A116" s="37" t="s">
        <v>1177</v>
      </c>
      <c r="B116" s="49">
        <v>708</v>
      </c>
      <c r="C116" s="49">
        <v>14</v>
      </c>
      <c r="D116"/>
      <c r="E116"/>
      <c r="F116"/>
      <c r="G116"/>
      <c r="H116"/>
      <c r="I116"/>
      <c r="J116"/>
      <c r="K116"/>
    </row>
    <row r="117" spans="1:11" x14ac:dyDescent="0.25">
      <c r="A117" s="37" t="s">
        <v>903</v>
      </c>
      <c r="B117" s="49">
        <v>663.6</v>
      </c>
      <c r="C117" s="49">
        <v>9</v>
      </c>
      <c r="D117"/>
      <c r="E117"/>
      <c r="F117"/>
      <c r="G117"/>
      <c r="H117"/>
      <c r="I117"/>
      <c r="J117"/>
      <c r="K117"/>
    </row>
    <row r="118" spans="1:11" x14ac:dyDescent="0.25">
      <c r="A118" s="37" t="s">
        <v>552</v>
      </c>
      <c r="B118" s="49">
        <v>659.4</v>
      </c>
      <c r="C118" s="49">
        <v>7</v>
      </c>
      <c r="D118"/>
      <c r="E118"/>
      <c r="F118"/>
      <c r="G118"/>
      <c r="H118"/>
      <c r="I118"/>
      <c r="J118"/>
      <c r="K118"/>
    </row>
    <row r="119" spans="1:11" x14ac:dyDescent="0.25">
      <c r="A119" s="37" t="s">
        <v>423</v>
      </c>
      <c r="B119" s="49">
        <v>645.59999999999991</v>
      </c>
      <c r="C119" s="49">
        <v>4</v>
      </c>
      <c r="D119"/>
      <c r="E119"/>
      <c r="F119"/>
      <c r="G119"/>
      <c r="H119"/>
      <c r="I119"/>
      <c r="J119"/>
      <c r="K119"/>
    </row>
    <row r="120" spans="1:11" x14ac:dyDescent="0.25">
      <c r="A120" s="37" t="s">
        <v>10</v>
      </c>
      <c r="B120" s="49">
        <v>627.40000000000009</v>
      </c>
      <c r="C120" s="49">
        <v>7</v>
      </c>
      <c r="D120"/>
      <c r="E120"/>
      <c r="F120"/>
      <c r="G120"/>
      <c r="H120"/>
      <c r="I120"/>
      <c r="J120"/>
      <c r="K120"/>
    </row>
    <row r="121" spans="1:11" x14ac:dyDescent="0.25">
      <c r="A121" s="37" t="s">
        <v>565</v>
      </c>
      <c r="B121" s="49">
        <v>626.6</v>
      </c>
      <c r="C121" s="49">
        <v>10</v>
      </c>
      <c r="D121"/>
      <c r="E121"/>
      <c r="F121"/>
      <c r="G121"/>
      <c r="H121"/>
      <c r="I121"/>
      <c r="J121"/>
      <c r="K121"/>
    </row>
    <row r="122" spans="1:11" x14ac:dyDescent="0.25">
      <c r="A122" s="37" t="s">
        <v>1038</v>
      </c>
      <c r="B122" s="49">
        <v>618</v>
      </c>
      <c r="C122" s="49">
        <v>8</v>
      </c>
      <c r="D122"/>
      <c r="E122"/>
      <c r="F122"/>
      <c r="G122"/>
      <c r="H122"/>
      <c r="I122"/>
      <c r="J122"/>
      <c r="K122"/>
    </row>
    <row r="123" spans="1:11" x14ac:dyDescent="0.25">
      <c r="A123" s="37" t="s">
        <v>1185</v>
      </c>
      <c r="B123" s="49">
        <v>612</v>
      </c>
      <c r="C123" s="49">
        <v>5</v>
      </c>
      <c r="D123"/>
      <c r="E123"/>
      <c r="F123"/>
      <c r="G123"/>
      <c r="H123"/>
      <c r="I123"/>
      <c r="J123"/>
      <c r="K123"/>
    </row>
    <row r="124" spans="1:11" x14ac:dyDescent="0.25">
      <c r="A124" s="37" t="s">
        <v>1182</v>
      </c>
      <c r="B124" s="49">
        <v>579.6</v>
      </c>
      <c r="C124" s="49">
        <v>4</v>
      </c>
      <c r="D124"/>
      <c r="E124"/>
      <c r="F124"/>
      <c r="G124"/>
      <c r="H124"/>
      <c r="I124"/>
      <c r="J124"/>
      <c r="K124"/>
    </row>
    <row r="125" spans="1:11" x14ac:dyDescent="0.25">
      <c r="A125" s="37" t="s">
        <v>1215</v>
      </c>
      <c r="B125" s="49">
        <v>571</v>
      </c>
      <c r="C125" s="49">
        <v>11</v>
      </c>
      <c r="D125"/>
      <c r="E125"/>
      <c r="F125"/>
      <c r="G125"/>
      <c r="H125"/>
      <c r="I125"/>
      <c r="J125"/>
      <c r="K125"/>
    </row>
    <row r="126" spans="1:11" x14ac:dyDescent="0.25">
      <c r="A126" s="37" t="s">
        <v>1304</v>
      </c>
      <c r="B126" s="49">
        <v>561.6</v>
      </c>
      <c r="C126" s="49">
        <v>3</v>
      </c>
      <c r="D126"/>
      <c r="E126"/>
      <c r="F126"/>
      <c r="G126"/>
      <c r="H126"/>
      <c r="I126"/>
      <c r="J126"/>
      <c r="K126"/>
    </row>
    <row r="127" spans="1:11" x14ac:dyDescent="0.25">
      <c r="A127" s="37" t="s">
        <v>540</v>
      </c>
      <c r="B127" s="49">
        <v>561.6</v>
      </c>
      <c r="C127" s="49">
        <v>5</v>
      </c>
      <c r="D127"/>
      <c r="E127"/>
      <c r="F127"/>
      <c r="G127"/>
      <c r="H127"/>
      <c r="I127"/>
      <c r="J127"/>
      <c r="K127"/>
    </row>
    <row r="128" spans="1:11" x14ac:dyDescent="0.25">
      <c r="A128" s="37" t="s">
        <v>1153</v>
      </c>
      <c r="B128" s="49">
        <v>559.79999999999995</v>
      </c>
      <c r="C128" s="49">
        <v>7</v>
      </c>
      <c r="D128"/>
      <c r="E128"/>
      <c r="F128"/>
      <c r="G128"/>
      <c r="H128"/>
      <c r="I128"/>
      <c r="J128"/>
      <c r="K128"/>
    </row>
    <row r="129" spans="1:11" x14ac:dyDescent="0.25">
      <c r="A129" s="37" t="s">
        <v>48</v>
      </c>
      <c r="B129" s="49">
        <v>554.40000000000009</v>
      </c>
      <c r="C129" s="49">
        <v>5</v>
      </c>
      <c r="D129"/>
      <c r="E129"/>
      <c r="F129"/>
      <c r="G129"/>
      <c r="H129"/>
      <c r="I129"/>
      <c r="J129"/>
      <c r="K129"/>
    </row>
    <row r="130" spans="1:11" x14ac:dyDescent="0.25">
      <c r="A130" s="37" t="s">
        <v>52</v>
      </c>
      <c r="B130" s="49">
        <v>542.40000000000009</v>
      </c>
      <c r="C130" s="49">
        <v>8</v>
      </c>
      <c r="D130"/>
      <c r="E130"/>
      <c r="F130"/>
      <c r="G130"/>
      <c r="H130"/>
      <c r="I130"/>
      <c r="J130"/>
      <c r="K130"/>
    </row>
    <row r="131" spans="1:11" x14ac:dyDescent="0.25">
      <c r="A131" s="37" t="s">
        <v>424</v>
      </c>
      <c r="B131" s="49">
        <v>537</v>
      </c>
      <c r="C131" s="49">
        <v>6</v>
      </c>
      <c r="D131"/>
      <c r="E131"/>
      <c r="F131"/>
      <c r="G131"/>
      <c r="H131"/>
      <c r="I131"/>
      <c r="J131"/>
      <c r="K131"/>
    </row>
    <row r="132" spans="1:11" x14ac:dyDescent="0.25">
      <c r="A132" s="37" t="s">
        <v>895</v>
      </c>
      <c r="B132" s="49">
        <v>531.6</v>
      </c>
      <c r="C132" s="49">
        <v>5</v>
      </c>
      <c r="D132"/>
      <c r="E132"/>
      <c r="F132"/>
      <c r="G132"/>
      <c r="H132"/>
      <c r="I132"/>
      <c r="J132"/>
      <c r="K132"/>
    </row>
    <row r="133" spans="1:11" x14ac:dyDescent="0.25">
      <c r="A133" s="37" t="s">
        <v>1296</v>
      </c>
      <c r="B133" s="49">
        <v>508.20000000000005</v>
      </c>
      <c r="C133" s="49">
        <v>3</v>
      </c>
      <c r="D133"/>
      <c r="E133"/>
      <c r="F133"/>
      <c r="G133"/>
      <c r="H133"/>
      <c r="I133"/>
      <c r="J133"/>
      <c r="K133"/>
    </row>
    <row r="134" spans="1:11" x14ac:dyDescent="0.25">
      <c r="A134" s="37" t="s">
        <v>38</v>
      </c>
      <c r="B134" s="49">
        <v>465.6</v>
      </c>
      <c r="C134" s="49">
        <v>8</v>
      </c>
      <c r="D134"/>
      <c r="E134"/>
      <c r="F134"/>
      <c r="G134"/>
      <c r="H134"/>
      <c r="I134"/>
      <c r="J134"/>
      <c r="K134"/>
    </row>
    <row r="135" spans="1:11" x14ac:dyDescent="0.25">
      <c r="A135" s="37" t="s">
        <v>34</v>
      </c>
      <c r="B135" s="49">
        <v>462.6</v>
      </c>
      <c r="C135" s="49">
        <v>5</v>
      </c>
      <c r="D135"/>
      <c r="E135"/>
      <c r="F135"/>
      <c r="G135"/>
      <c r="H135"/>
      <c r="I135"/>
      <c r="J135"/>
      <c r="K135"/>
    </row>
    <row r="136" spans="1:11" x14ac:dyDescent="0.25">
      <c r="A136" s="37" t="s">
        <v>616</v>
      </c>
      <c r="B136" s="49">
        <v>462.00000000000006</v>
      </c>
      <c r="C136" s="49">
        <v>4</v>
      </c>
      <c r="D136"/>
      <c r="E136"/>
      <c r="F136"/>
      <c r="G136"/>
      <c r="H136"/>
      <c r="I136"/>
      <c r="J136"/>
      <c r="K136"/>
    </row>
    <row r="137" spans="1:11" x14ac:dyDescent="0.25">
      <c r="A137" s="37" t="s">
        <v>624</v>
      </c>
      <c r="B137" s="49">
        <v>432.6</v>
      </c>
      <c r="C137" s="49">
        <v>5</v>
      </c>
      <c r="D137"/>
      <c r="E137"/>
      <c r="F137"/>
      <c r="G137"/>
      <c r="H137"/>
      <c r="I137"/>
      <c r="J137"/>
      <c r="K137"/>
    </row>
    <row r="138" spans="1:11" x14ac:dyDescent="0.25">
      <c r="A138" s="37" t="s">
        <v>1057</v>
      </c>
      <c r="B138" s="49">
        <v>424.8</v>
      </c>
      <c r="C138" s="49">
        <v>6</v>
      </c>
      <c r="D138"/>
      <c r="E138"/>
      <c r="F138"/>
      <c r="G138"/>
      <c r="H138"/>
      <c r="I138"/>
      <c r="J138"/>
      <c r="K138"/>
    </row>
    <row r="139" spans="1:11" x14ac:dyDescent="0.25">
      <c r="A139" s="37" t="s">
        <v>879</v>
      </c>
      <c r="B139" s="49">
        <v>414.7</v>
      </c>
      <c r="C139" s="49">
        <v>6</v>
      </c>
      <c r="D139"/>
      <c r="E139"/>
      <c r="F139"/>
      <c r="G139"/>
      <c r="H139"/>
      <c r="I139"/>
      <c r="J139"/>
      <c r="K139"/>
    </row>
    <row r="140" spans="1:11" x14ac:dyDescent="0.25">
      <c r="A140" s="37" t="s">
        <v>995</v>
      </c>
      <c r="B140" s="49">
        <v>403.2</v>
      </c>
      <c r="C140" s="49">
        <v>6</v>
      </c>
      <c r="D140"/>
      <c r="E140"/>
      <c r="F140"/>
      <c r="G140"/>
      <c r="H140"/>
      <c r="I140"/>
      <c r="J140"/>
      <c r="K140"/>
    </row>
    <row r="141" spans="1:11" x14ac:dyDescent="0.25">
      <c r="A141" s="37" t="s">
        <v>476</v>
      </c>
      <c r="B141" s="49">
        <v>403.2</v>
      </c>
      <c r="C141" s="49">
        <v>7</v>
      </c>
      <c r="D141"/>
      <c r="E141"/>
      <c r="F141"/>
      <c r="G141"/>
      <c r="H141"/>
      <c r="I141"/>
      <c r="J141"/>
      <c r="K141"/>
    </row>
    <row r="142" spans="1:11" x14ac:dyDescent="0.25">
      <c r="A142" s="37" t="s">
        <v>47</v>
      </c>
      <c r="B142" s="49">
        <v>394.70000000000005</v>
      </c>
      <c r="C142" s="49">
        <v>4</v>
      </c>
      <c r="D142"/>
      <c r="E142"/>
      <c r="F142"/>
      <c r="G142"/>
      <c r="H142"/>
      <c r="I142"/>
      <c r="J142"/>
      <c r="K142"/>
    </row>
    <row r="143" spans="1:11" x14ac:dyDescent="0.25">
      <c r="A143" s="37" t="s">
        <v>959</v>
      </c>
      <c r="B143" s="49">
        <v>394.6</v>
      </c>
      <c r="C143" s="49">
        <v>3</v>
      </c>
      <c r="D143"/>
      <c r="E143"/>
      <c r="F143"/>
      <c r="G143"/>
      <c r="H143"/>
      <c r="I143"/>
      <c r="J143"/>
      <c r="K143"/>
    </row>
    <row r="144" spans="1:11" x14ac:dyDescent="0.25">
      <c r="A144" s="37" t="s">
        <v>1261</v>
      </c>
      <c r="B144" s="49">
        <v>376.8</v>
      </c>
      <c r="C144" s="49">
        <v>4</v>
      </c>
      <c r="D144"/>
      <c r="E144"/>
      <c r="F144"/>
      <c r="G144"/>
      <c r="H144"/>
      <c r="I144"/>
      <c r="J144"/>
      <c r="K144"/>
    </row>
    <row r="145" spans="1:11" x14ac:dyDescent="0.25">
      <c r="A145" s="37" t="s">
        <v>468</v>
      </c>
      <c r="B145" s="49">
        <v>375.6</v>
      </c>
      <c r="C145" s="49">
        <v>9</v>
      </c>
      <c r="D145"/>
      <c r="E145"/>
      <c r="F145"/>
      <c r="G145"/>
      <c r="H145"/>
      <c r="I145"/>
      <c r="J145"/>
      <c r="K145"/>
    </row>
    <row r="146" spans="1:11" x14ac:dyDescent="0.25">
      <c r="A146" s="37" t="s">
        <v>675</v>
      </c>
      <c r="B146" s="49">
        <v>374.4</v>
      </c>
      <c r="C146" s="49">
        <v>4</v>
      </c>
      <c r="D146"/>
      <c r="E146"/>
      <c r="F146"/>
      <c r="G146"/>
      <c r="H146"/>
      <c r="I146"/>
      <c r="J146"/>
      <c r="K146"/>
    </row>
    <row r="147" spans="1:11" x14ac:dyDescent="0.25">
      <c r="A147" s="37" t="s">
        <v>1155</v>
      </c>
      <c r="B147" s="49">
        <v>359.9</v>
      </c>
      <c r="C147" s="49">
        <v>4</v>
      </c>
      <c r="D147"/>
      <c r="E147"/>
      <c r="F147"/>
      <c r="G147"/>
      <c r="H147"/>
      <c r="I147"/>
      <c r="J147"/>
      <c r="K147"/>
    </row>
    <row r="148" spans="1:11" x14ac:dyDescent="0.25">
      <c r="A148" s="37" t="s">
        <v>23</v>
      </c>
      <c r="B148" s="49">
        <v>355.29999999999995</v>
      </c>
      <c r="C148" s="49">
        <v>6</v>
      </c>
      <c r="D148"/>
      <c r="E148"/>
      <c r="F148"/>
      <c r="G148"/>
      <c r="H148"/>
      <c r="I148"/>
      <c r="J148"/>
      <c r="K148"/>
    </row>
    <row r="149" spans="1:11" x14ac:dyDescent="0.25">
      <c r="A149" s="37" t="s">
        <v>513</v>
      </c>
      <c r="B149" s="49">
        <v>330.6</v>
      </c>
      <c r="C149" s="49">
        <v>2</v>
      </c>
      <c r="D149"/>
      <c r="E149"/>
      <c r="F149"/>
      <c r="G149"/>
      <c r="H149"/>
      <c r="I149"/>
      <c r="J149"/>
      <c r="K149"/>
    </row>
    <row r="150" spans="1:11" x14ac:dyDescent="0.25">
      <c r="A150" s="37" t="s">
        <v>51</v>
      </c>
      <c r="B150" s="49">
        <v>330</v>
      </c>
      <c r="C150" s="49">
        <v>7</v>
      </c>
      <c r="D150"/>
      <c r="E150"/>
      <c r="F150"/>
      <c r="G150"/>
      <c r="H150"/>
      <c r="I150"/>
      <c r="J150"/>
      <c r="K150"/>
    </row>
    <row r="151" spans="1:11" x14ac:dyDescent="0.25">
      <c r="A151" s="37" t="s">
        <v>567</v>
      </c>
      <c r="B151" s="49">
        <v>325.20000000000005</v>
      </c>
      <c r="C151" s="49">
        <v>6</v>
      </c>
      <c r="D151"/>
      <c r="E151"/>
      <c r="F151"/>
      <c r="G151"/>
      <c r="H151"/>
      <c r="I151"/>
      <c r="J151"/>
      <c r="K151"/>
    </row>
    <row r="152" spans="1:11" x14ac:dyDescent="0.25">
      <c r="A152" s="37" t="s">
        <v>1183</v>
      </c>
      <c r="B152" s="49">
        <v>323.39999999999998</v>
      </c>
      <c r="C152" s="49">
        <v>2</v>
      </c>
      <c r="D152"/>
      <c r="E152"/>
      <c r="F152"/>
      <c r="G152"/>
      <c r="H152"/>
      <c r="I152"/>
      <c r="J152"/>
      <c r="K152"/>
    </row>
    <row r="153" spans="1:11" x14ac:dyDescent="0.25">
      <c r="A153" s="37" t="s">
        <v>395</v>
      </c>
      <c r="B153" s="49">
        <v>310.39999999999998</v>
      </c>
      <c r="C153" s="49">
        <v>4</v>
      </c>
      <c r="D153"/>
      <c r="E153"/>
      <c r="F153"/>
      <c r="G153"/>
      <c r="H153"/>
      <c r="I153"/>
      <c r="J153"/>
      <c r="K153"/>
    </row>
    <row r="154" spans="1:11" x14ac:dyDescent="0.25">
      <c r="A154" s="37" t="s">
        <v>1300</v>
      </c>
      <c r="B154" s="49">
        <v>300.60000000000002</v>
      </c>
      <c r="C154" s="49">
        <v>2</v>
      </c>
      <c r="D154"/>
      <c r="E154"/>
      <c r="F154"/>
      <c r="G154"/>
      <c r="H154"/>
      <c r="I154"/>
      <c r="J154"/>
      <c r="K154"/>
    </row>
    <row r="155" spans="1:11" x14ac:dyDescent="0.25">
      <c r="A155" s="37" t="s">
        <v>907</v>
      </c>
      <c r="B155" s="49">
        <v>297.70000000000005</v>
      </c>
      <c r="C155" s="49">
        <v>2</v>
      </c>
      <c r="D155"/>
      <c r="E155"/>
      <c r="F155"/>
      <c r="G155"/>
      <c r="H155"/>
      <c r="I155"/>
      <c r="J155"/>
      <c r="K155"/>
    </row>
    <row r="156" spans="1:11" x14ac:dyDescent="0.25">
      <c r="A156" s="37" t="s">
        <v>489</v>
      </c>
      <c r="B156" s="49">
        <v>296.60000000000002</v>
      </c>
      <c r="C156" s="49">
        <v>4</v>
      </c>
      <c r="D156"/>
      <c r="E156"/>
      <c r="F156"/>
      <c r="G156"/>
      <c r="H156"/>
      <c r="I156"/>
      <c r="J156"/>
      <c r="K156"/>
    </row>
    <row r="157" spans="1:11" x14ac:dyDescent="0.25">
      <c r="A157" s="37" t="s">
        <v>605</v>
      </c>
      <c r="B157" s="49">
        <v>287.7</v>
      </c>
      <c r="C157" s="49">
        <v>7</v>
      </c>
      <c r="D157"/>
      <c r="E157"/>
      <c r="F157"/>
      <c r="G157"/>
      <c r="H157"/>
      <c r="I157"/>
      <c r="J157"/>
      <c r="K157"/>
    </row>
    <row r="158" spans="1:11" x14ac:dyDescent="0.25">
      <c r="A158" s="37" t="s">
        <v>1170</v>
      </c>
      <c r="B158" s="49">
        <v>280.8</v>
      </c>
      <c r="C158" s="49">
        <v>5</v>
      </c>
      <c r="D158"/>
      <c r="E158"/>
      <c r="F158"/>
      <c r="G158"/>
      <c r="H158"/>
      <c r="I158"/>
      <c r="J158"/>
      <c r="K158"/>
    </row>
    <row r="159" spans="1:11" x14ac:dyDescent="0.25">
      <c r="A159" s="37" t="s">
        <v>428</v>
      </c>
      <c r="B159" s="49">
        <v>277.8</v>
      </c>
      <c r="C159" s="49">
        <v>3</v>
      </c>
      <c r="D159"/>
      <c r="E159"/>
      <c r="F159"/>
      <c r="G159"/>
      <c r="H159"/>
      <c r="I159"/>
      <c r="J159"/>
      <c r="K159"/>
    </row>
    <row r="160" spans="1:11" x14ac:dyDescent="0.25">
      <c r="A160" s="37" t="s">
        <v>1264</v>
      </c>
      <c r="B160" s="49">
        <v>277.20000000000005</v>
      </c>
      <c r="C160" s="49">
        <v>2</v>
      </c>
      <c r="D160"/>
      <c r="E160"/>
      <c r="F160"/>
      <c r="G160"/>
      <c r="H160"/>
      <c r="I160"/>
      <c r="J160"/>
      <c r="K160"/>
    </row>
    <row r="161" spans="1:11" x14ac:dyDescent="0.25">
      <c r="A161" s="37" t="s">
        <v>1314</v>
      </c>
      <c r="B161" s="49">
        <v>277.2</v>
      </c>
      <c r="C161" s="49">
        <v>1</v>
      </c>
      <c r="D161"/>
      <c r="E161"/>
      <c r="F161"/>
      <c r="G161"/>
      <c r="H161"/>
      <c r="I161"/>
      <c r="J161"/>
      <c r="K161"/>
    </row>
    <row r="162" spans="1:11" x14ac:dyDescent="0.25">
      <c r="A162" s="37" t="s">
        <v>512</v>
      </c>
      <c r="B162" s="49">
        <v>273.60000000000002</v>
      </c>
      <c r="C162" s="49">
        <v>1</v>
      </c>
      <c r="D162"/>
      <c r="E162"/>
      <c r="F162"/>
      <c r="G162"/>
      <c r="H162"/>
      <c r="I162"/>
      <c r="J162"/>
      <c r="K162"/>
    </row>
    <row r="163" spans="1:11" x14ac:dyDescent="0.25">
      <c r="A163" s="37" t="s">
        <v>49</v>
      </c>
      <c r="B163" s="49">
        <v>234.6</v>
      </c>
      <c r="C163" s="49">
        <v>2</v>
      </c>
      <c r="D163"/>
      <c r="E163"/>
      <c r="F163"/>
      <c r="G163"/>
      <c r="H163"/>
      <c r="I163"/>
      <c r="J163"/>
      <c r="K163"/>
    </row>
    <row r="164" spans="1:11" x14ac:dyDescent="0.25">
      <c r="A164" s="37" t="s">
        <v>611</v>
      </c>
      <c r="B164" s="49">
        <v>219</v>
      </c>
      <c r="C164" s="49">
        <v>8</v>
      </c>
      <c r="D164"/>
      <c r="E164"/>
      <c r="F164"/>
      <c r="G164"/>
      <c r="H164"/>
      <c r="I164"/>
      <c r="J164"/>
      <c r="K164"/>
    </row>
    <row r="165" spans="1:11" x14ac:dyDescent="0.25">
      <c r="A165" s="37" t="s">
        <v>60</v>
      </c>
      <c r="B165" s="49">
        <v>212.4</v>
      </c>
      <c r="C165" s="49">
        <v>2</v>
      </c>
      <c r="D165"/>
      <c r="E165"/>
      <c r="F165"/>
      <c r="G165"/>
      <c r="H165"/>
      <c r="I165"/>
      <c r="J165"/>
      <c r="K165"/>
    </row>
    <row r="166" spans="1:11" x14ac:dyDescent="0.25">
      <c r="A166" s="37" t="s">
        <v>1173</v>
      </c>
      <c r="B166" s="49">
        <v>184.8</v>
      </c>
      <c r="C166" s="49">
        <v>2</v>
      </c>
      <c r="D166"/>
      <c r="E166"/>
      <c r="F166"/>
      <c r="G166"/>
      <c r="H166"/>
      <c r="I166"/>
      <c r="J166"/>
      <c r="K166"/>
    </row>
    <row r="167" spans="1:11" x14ac:dyDescent="0.25">
      <c r="A167" s="37" t="s">
        <v>1235</v>
      </c>
      <c r="B167" s="49">
        <v>184.8</v>
      </c>
      <c r="C167" s="49">
        <v>3</v>
      </c>
      <c r="D167"/>
      <c r="E167"/>
      <c r="F167"/>
      <c r="G167"/>
      <c r="H167"/>
      <c r="I167"/>
      <c r="J167"/>
      <c r="K167"/>
    </row>
    <row r="168" spans="1:11" x14ac:dyDescent="0.25">
      <c r="A168" s="37" t="s">
        <v>1291</v>
      </c>
      <c r="B168" s="49">
        <v>184.8</v>
      </c>
      <c r="C168" s="49">
        <v>2</v>
      </c>
      <c r="D168"/>
      <c r="E168"/>
      <c r="F168"/>
      <c r="G168"/>
      <c r="H168"/>
      <c r="I168"/>
      <c r="J168"/>
      <c r="K168"/>
    </row>
    <row r="169" spans="1:11" x14ac:dyDescent="0.25">
      <c r="A169" s="37" t="s">
        <v>511</v>
      </c>
      <c r="B169" s="49">
        <v>184.8</v>
      </c>
      <c r="C169" s="49">
        <v>3</v>
      </c>
      <c r="D169"/>
      <c r="E169"/>
      <c r="F169"/>
      <c r="G169"/>
      <c r="H169"/>
      <c r="I169"/>
      <c r="J169"/>
      <c r="K169"/>
    </row>
    <row r="170" spans="1:11" x14ac:dyDescent="0.25">
      <c r="A170" s="37" t="s">
        <v>823</v>
      </c>
      <c r="B170" s="49">
        <v>169.6</v>
      </c>
      <c r="C170" s="49">
        <v>2</v>
      </c>
      <c r="D170"/>
      <c r="E170"/>
      <c r="F170"/>
      <c r="G170"/>
      <c r="H170"/>
      <c r="I170"/>
      <c r="J170"/>
      <c r="K170"/>
    </row>
    <row r="171" spans="1:11" x14ac:dyDescent="0.25">
      <c r="A171" s="37" t="s">
        <v>597</v>
      </c>
      <c r="B171" s="49">
        <v>164.5</v>
      </c>
      <c r="C171" s="49">
        <v>4</v>
      </c>
      <c r="D171"/>
      <c r="E171"/>
      <c r="F171"/>
      <c r="G171"/>
      <c r="H171"/>
      <c r="I171"/>
      <c r="J171"/>
      <c r="K171"/>
    </row>
    <row r="172" spans="1:11" x14ac:dyDescent="0.25">
      <c r="A172" s="37" t="s">
        <v>7</v>
      </c>
      <c r="B172" s="49">
        <v>164.4</v>
      </c>
      <c r="C172" s="49">
        <v>5</v>
      </c>
      <c r="D172"/>
      <c r="E172"/>
      <c r="F172"/>
      <c r="G172"/>
      <c r="H172"/>
      <c r="I172"/>
      <c r="J172"/>
      <c r="K172"/>
    </row>
    <row r="173" spans="1:11" x14ac:dyDescent="0.25">
      <c r="A173" s="37" t="s">
        <v>507</v>
      </c>
      <c r="B173" s="49">
        <v>147.19999999999999</v>
      </c>
      <c r="C173" s="49">
        <v>3</v>
      </c>
      <c r="D173"/>
      <c r="E173"/>
      <c r="F173"/>
      <c r="G173"/>
      <c r="H173"/>
      <c r="I173"/>
      <c r="J173"/>
      <c r="K173"/>
    </row>
    <row r="174" spans="1:11" x14ac:dyDescent="0.25">
      <c r="A174" s="37" t="s">
        <v>1123</v>
      </c>
      <c r="B174" s="49">
        <v>145.6</v>
      </c>
      <c r="C174" s="49">
        <v>3</v>
      </c>
      <c r="D174"/>
      <c r="E174"/>
      <c r="F174"/>
      <c r="G174"/>
      <c r="H174"/>
      <c r="I174"/>
      <c r="J174"/>
      <c r="K174"/>
    </row>
    <row r="175" spans="1:11" x14ac:dyDescent="0.25">
      <c r="A175" s="37" t="s">
        <v>1244</v>
      </c>
      <c r="B175" s="49">
        <v>142.19999999999999</v>
      </c>
      <c r="C175" s="49">
        <v>3</v>
      </c>
      <c r="D175"/>
      <c r="E175"/>
      <c r="F175"/>
      <c r="G175"/>
      <c r="H175"/>
      <c r="I175"/>
      <c r="J175"/>
      <c r="K175"/>
    </row>
    <row r="176" spans="1:11" x14ac:dyDescent="0.25">
      <c r="A176" s="37" t="s">
        <v>1316</v>
      </c>
      <c r="B176" s="49">
        <v>140.4</v>
      </c>
      <c r="C176" s="49">
        <v>2</v>
      </c>
      <c r="D176"/>
      <c r="E176"/>
      <c r="F176"/>
      <c r="G176"/>
      <c r="H176"/>
      <c r="I176"/>
      <c r="J176"/>
      <c r="K176"/>
    </row>
    <row r="177" spans="1:11" x14ac:dyDescent="0.25">
      <c r="A177" s="37" t="s">
        <v>1189</v>
      </c>
      <c r="B177" s="49">
        <v>139.19999999999999</v>
      </c>
      <c r="C177" s="49">
        <v>2</v>
      </c>
      <c r="D177"/>
      <c r="E177"/>
      <c r="F177"/>
      <c r="G177"/>
      <c r="H177"/>
      <c r="I177"/>
      <c r="J177"/>
      <c r="K177"/>
    </row>
    <row r="178" spans="1:11" x14ac:dyDescent="0.25">
      <c r="A178" s="37" t="s">
        <v>483</v>
      </c>
      <c r="B178" s="49">
        <v>138.60000000000002</v>
      </c>
      <c r="C178" s="49">
        <v>2</v>
      </c>
      <c r="D178"/>
      <c r="E178"/>
      <c r="F178"/>
      <c r="G178"/>
      <c r="H178"/>
      <c r="I178"/>
      <c r="J178"/>
      <c r="K178"/>
    </row>
    <row r="179" spans="1:11" x14ac:dyDescent="0.25">
      <c r="A179" s="37" t="s">
        <v>802</v>
      </c>
      <c r="B179" s="49">
        <v>138.60000000000002</v>
      </c>
      <c r="C179" s="49">
        <v>2</v>
      </c>
      <c r="D179"/>
      <c r="E179"/>
      <c r="F179"/>
      <c r="G179"/>
      <c r="H179"/>
      <c r="I179"/>
      <c r="J179"/>
      <c r="K179"/>
    </row>
    <row r="180" spans="1:11" x14ac:dyDescent="0.25">
      <c r="A180" s="37" t="s">
        <v>1321</v>
      </c>
      <c r="B180" s="49">
        <v>138.6</v>
      </c>
      <c r="C180" s="49">
        <v>1</v>
      </c>
      <c r="D180"/>
      <c r="E180"/>
      <c r="F180"/>
      <c r="G180"/>
      <c r="H180"/>
      <c r="I180"/>
      <c r="J180"/>
      <c r="K180"/>
    </row>
    <row r="181" spans="1:11" x14ac:dyDescent="0.25">
      <c r="A181" s="37" t="s">
        <v>1310</v>
      </c>
      <c r="B181" s="49">
        <v>131.4</v>
      </c>
      <c r="C181" s="49">
        <v>1</v>
      </c>
      <c r="D181"/>
      <c r="E181"/>
      <c r="F181"/>
      <c r="G181"/>
      <c r="H181"/>
      <c r="I181"/>
      <c r="J181"/>
      <c r="K181"/>
    </row>
    <row r="182" spans="1:11" x14ac:dyDescent="0.25">
      <c r="A182" s="37" t="s">
        <v>769</v>
      </c>
      <c r="B182" s="49">
        <v>131</v>
      </c>
      <c r="C182" s="49">
        <v>6</v>
      </c>
      <c r="D182"/>
      <c r="E182"/>
      <c r="F182"/>
      <c r="G182"/>
      <c r="H182"/>
      <c r="I182"/>
      <c r="J182"/>
      <c r="K182"/>
    </row>
    <row r="183" spans="1:11" x14ac:dyDescent="0.25">
      <c r="A183" s="37" t="s">
        <v>464</v>
      </c>
      <c r="B183" s="49">
        <v>126</v>
      </c>
      <c r="C183" s="49">
        <v>1</v>
      </c>
      <c r="D183"/>
      <c r="E183"/>
      <c r="F183"/>
      <c r="G183"/>
      <c r="H183"/>
      <c r="I183"/>
      <c r="J183"/>
      <c r="K183"/>
    </row>
    <row r="184" spans="1:11" x14ac:dyDescent="0.25">
      <c r="A184" s="37" t="s">
        <v>1195</v>
      </c>
      <c r="B184" s="49">
        <v>120</v>
      </c>
      <c r="C184" s="49">
        <v>3</v>
      </c>
      <c r="D184"/>
      <c r="E184"/>
      <c r="F184"/>
      <c r="G184"/>
      <c r="H184"/>
      <c r="I184"/>
      <c r="J184"/>
      <c r="K184"/>
    </row>
    <row r="185" spans="1:11" x14ac:dyDescent="0.25">
      <c r="A185" s="37" t="s">
        <v>588</v>
      </c>
      <c r="B185" s="49">
        <v>107.7</v>
      </c>
      <c r="C185" s="49">
        <v>2</v>
      </c>
      <c r="D185"/>
      <c r="E185"/>
      <c r="F185"/>
      <c r="G185"/>
      <c r="H185"/>
      <c r="I185"/>
      <c r="J185"/>
      <c r="K185"/>
    </row>
    <row r="186" spans="1:11" x14ac:dyDescent="0.25">
      <c r="A186" s="37" t="s">
        <v>433</v>
      </c>
      <c r="B186" s="49">
        <v>96</v>
      </c>
      <c r="C186" s="49">
        <v>1</v>
      </c>
      <c r="D186"/>
      <c r="E186"/>
      <c r="F186"/>
      <c r="G186"/>
      <c r="H186"/>
      <c r="I186"/>
      <c r="J186"/>
      <c r="K186"/>
    </row>
    <row r="187" spans="1:11" x14ac:dyDescent="0.25">
      <c r="A187" s="37" t="s">
        <v>1167</v>
      </c>
      <c r="B187" s="49">
        <v>96</v>
      </c>
      <c r="C187" s="49">
        <v>1</v>
      </c>
      <c r="D187"/>
      <c r="E187"/>
      <c r="F187"/>
      <c r="G187"/>
      <c r="H187"/>
      <c r="I187"/>
      <c r="J187"/>
      <c r="K187"/>
    </row>
    <row r="188" spans="1:11" x14ac:dyDescent="0.25">
      <c r="A188" s="37" t="s">
        <v>1226</v>
      </c>
      <c r="B188" s="49">
        <v>92.4</v>
      </c>
      <c r="C188" s="49">
        <v>1</v>
      </c>
      <c r="D188"/>
      <c r="E188"/>
      <c r="F188"/>
      <c r="G188"/>
      <c r="H188"/>
      <c r="I188"/>
      <c r="J188"/>
      <c r="K188"/>
    </row>
    <row r="189" spans="1:11" x14ac:dyDescent="0.25">
      <c r="A189" s="37" t="s">
        <v>1303</v>
      </c>
      <c r="B189" s="49">
        <v>92.4</v>
      </c>
      <c r="C189" s="49">
        <v>1</v>
      </c>
      <c r="D189"/>
      <c r="E189"/>
      <c r="F189"/>
      <c r="G189"/>
      <c r="H189"/>
      <c r="I189"/>
      <c r="J189"/>
      <c r="K189"/>
    </row>
    <row r="190" spans="1:11" x14ac:dyDescent="0.25">
      <c r="A190" s="37" t="s">
        <v>27</v>
      </c>
      <c r="B190" s="49">
        <v>92.4</v>
      </c>
      <c r="C190" s="49">
        <v>2</v>
      </c>
      <c r="D190"/>
      <c r="E190"/>
      <c r="F190"/>
      <c r="G190"/>
      <c r="H190"/>
      <c r="I190"/>
      <c r="J190"/>
      <c r="K190"/>
    </row>
    <row r="191" spans="1:11" x14ac:dyDescent="0.25">
      <c r="A191" s="37" t="s">
        <v>572</v>
      </c>
      <c r="B191" s="49">
        <v>92.4</v>
      </c>
      <c r="C191" s="49">
        <v>1</v>
      </c>
      <c r="D191"/>
      <c r="E191"/>
      <c r="F191"/>
      <c r="G191"/>
      <c r="H191"/>
      <c r="I191"/>
      <c r="J191"/>
      <c r="K191"/>
    </row>
    <row r="192" spans="1:11" x14ac:dyDescent="0.25">
      <c r="A192" s="37" t="s">
        <v>1184</v>
      </c>
      <c r="B192" s="49">
        <v>91.2</v>
      </c>
      <c r="C192" s="49">
        <v>1</v>
      </c>
      <c r="D192"/>
      <c r="E192"/>
      <c r="F192"/>
      <c r="G192"/>
      <c r="H192"/>
      <c r="I192"/>
      <c r="J192"/>
      <c r="K192"/>
    </row>
    <row r="193" spans="1:11" x14ac:dyDescent="0.25">
      <c r="A193" s="37" t="s">
        <v>36</v>
      </c>
      <c r="B193" s="49">
        <v>86.4</v>
      </c>
      <c r="C193" s="49">
        <v>1</v>
      </c>
      <c r="D193"/>
      <c r="E193"/>
      <c r="F193"/>
      <c r="G193"/>
      <c r="H193"/>
      <c r="I193"/>
      <c r="J193"/>
      <c r="K193"/>
    </row>
    <row r="194" spans="1:11" x14ac:dyDescent="0.25">
      <c r="A194" s="37" t="s">
        <v>22</v>
      </c>
      <c r="B194" s="49">
        <v>86.4</v>
      </c>
      <c r="C194" s="49">
        <v>1</v>
      </c>
      <c r="D194"/>
      <c r="E194"/>
      <c r="F194"/>
      <c r="G194"/>
      <c r="H194"/>
      <c r="I194"/>
      <c r="J194"/>
      <c r="K194"/>
    </row>
    <row r="195" spans="1:11" x14ac:dyDescent="0.25">
      <c r="A195" s="37" t="s">
        <v>1293</v>
      </c>
      <c r="B195" s="49">
        <v>76.5</v>
      </c>
      <c r="C195" s="49">
        <v>2</v>
      </c>
      <c r="D195"/>
      <c r="E195"/>
      <c r="F195"/>
      <c r="G195"/>
      <c r="H195"/>
      <c r="I195"/>
      <c r="J195"/>
      <c r="K195"/>
    </row>
    <row r="196" spans="1:11" x14ac:dyDescent="0.25">
      <c r="A196" s="37" t="s">
        <v>1176</v>
      </c>
      <c r="B196" s="49">
        <v>68</v>
      </c>
      <c r="C196" s="49">
        <v>3</v>
      </c>
      <c r="D196"/>
      <c r="E196"/>
      <c r="F196"/>
      <c r="G196"/>
      <c r="H196"/>
      <c r="I196"/>
      <c r="J196"/>
      <c r="K196"/>
    </row>
    <row r="197" spans="1:11" x14ac:dyDescent="0.25">
      <c r="A197" s="37" t="s">
        <v>19</v>
      </c>
      <c r="B197" s="49">
        <v>67.800000000000011</v>
      </c>
      <c r="C197" s="49">
        <v>2</v>
      </c>
      <c r="D197"/>
      <c r="E197"/>
      <c r="F197"/>
      <c r="G197"/>
      <c r="H197"/>
      <c r="I197"/>
      <c r="J197"/>
      <c r="K197"/>
    </row>
    <row r="198" spans="1:11" x14ac:dyDescent="0.25">
      <c r="A198" s="37" t="s">
        <v>829</v>
      </c>
      <c r="B198" s="49">
        <v>60.4</v>
      </c>
      <c r="C198" s="49">
        <v>2</v>
      </c>
      <c r="D198"/>
      <c r="E198"/>
      <c r="F198"/>
      <c r="G198"/>
      <c r="H198"/>
      <c r="I198"/>
      <c r="J198"/>
      <c r="K198"/>
    </row>
    <row r="199" spans="1:11" x14ac:dyDescent="0.25">
      <c r="A199" s="37" t="s">
        <v>596</v>
      </c>
      <c r="B199" s="49">
        <v>57.5</v>
      </c>
      <c r="C199" s="49">
        <v>3</v>
      </c>
      <c r="D199"/>
      <c r="E199"/>
      <c r="F199"/>
      <c r="G199"/>
      <c r="H199"/>
      <c r="I199"/>
      <c r="J199"/>
      <c r="K199"/>
    </row>
    <row r="200" spans="1:11" x14ac:dyDescent="0.25">
      <c r="A200" s="37" t="s">
        <v>622</v>
      </c>
      <c r="B200" s="49">
        <v>55.5</v>
      </c>
      <c r="C200" s="49">
        <v>1</v>
      </c>
      <c r="D200"/>
      <c r="E200"/>
      <c r="F200"/>
      <c r="G200"/>
      <c r="H200"/>
      <c r="I200"/>
      <c r="J200"/>
      <c r="K200"/>
    </row>
    <row r="201" spans="1:11" x14ac:dyDescent="0.25">
      <c r="A201" s="37" t="s">
        <v>579</v>
      </c>
      <c r="B201" s="49">
        <v>50</v>
      </c>
      <c r="C201" s="49">
        <v>1</v>
      </c>
      <c r="D201"/>
      <c r="E201"/>
      <c r="F201"/>
      <c r="G201"/>
      <c r="H201"/>
      <c r="I201"/>
      <c r="J201"/>
      <c r="K201"/>
    </row>
    <row r="202" spans="1:11" x14ac:dyDescent="0.25">
      <c r="A202" s="37" t="s">
        <v>1308</v>
      </c>
      <c r="B202" s="49">
        <v>46.2</v>
      </c>
      <c r="C202" s="49">
        <v>1</v>
      </c>
      <c r="D202"/>
      <c r="E202"/>
      <c r="F202"/>
      <c r="G202"/>
      <c r="H202"/>
      <c r="I202"/>
      <c r="J202"/>
      <c r="K202"/>
    </row>
    <row r="203" spans="1:11" x14ac:dyDescent="0.25">
      <c r="A203" s="37" t="s">
        <v>1190</v>
      </c>
      <c r="B203" s="49">
        <v>46.2</v>
      </c>
      <c r="C203" s="49">
        <v>1</v>
      </c>
      <c r="D203"/>
      <c r="E203"/>
      <c r="F203"/>
      <c r="G203"/>
      <c r="H203"/>
      <c r="I203"/>
      <c r="J203"/>
      <c r="K203"/>
    </row>
    <row r="204" spans="1:11" x14ac:dyDescent="0.25">
      <c r="A204" s="37" t="s">
        <v>609</v>
      </c>
      <c r="B204" s="49">
        <v>46.2</v>
      </c>
      <c r="C204" s="49">
        <v>1</v>
      </c>
      <c r="D204"/>
      <c r="E204"/>
      <c r="F204"/>
      <c r="G204"/>
      <c r="H204"/>
      <c r="I204"/>
      <c r="J204"/>
      <c r="K204"/>
    </row>
    <row r="205" spans="1:11" x14ac:dyDescent="0.25">
      <c r="A205" s="37" t="s">
        <v>1290</v>
      </c>
      <c r="B205" s="49">
        <v>46</v>
      </c>
      <c r="C205" s="49">
        <v>1</v>
      </c>
      <c r="D205"/>
      <c r="E205"/>
      <c r="F205"/>
      <c r="G205"/>
      <c r="H205"/>
      <c r="I205"/>
      <c r="J205"/>
      <c r="K205"/>
    </row>
    <row r="206" spans="1:11" x14ac:dyDescent="0.25">
      <c r="A206" s="37" t="s">
        <v>1259</v>
      </c>
      <c r="B206" s="49">
        <v>45</v>
      </c>
      <c r="C206" s="49">
        <v>1</v>
      </c>
      <c r="D206"/>
      <c r="E206"/>
      <c r="F206"/>
      <c r="G206"/>
      <c r="H206"/>
      <c r="I206"/>
      <c r="J206"/>
      <c r="K206"/>
    </row>
    <row r="207" spans="1:11" x14ac:dyDescent="0.25">
      <c r="A207" s="37" t="s">
        <v>532</v>
      </c>
      <c r="B207" s="49">
        <v>43.5</v>
      </c>
      <c r="C207" s="49">
        <v>1</v>
      </c>
      <c r="D207"/>
      <c r="E207"/>
      <c r="F207"/>
      <c r="G207"/>
      <c r="H207"/>
      <c r="I207"/>
      <c r="J207"/>
      <c r="K207"/>
    </row>
    <row r="208" spans="1:11" x14ac:dyDescent="0.25">
      <c r="A208" s="37" t="s">
        <v>610</v>
      </c>
      <c r="B208" s="49">
        <v>42.6</v>
      </c>
      <c r="C208" s="49">
        <v>1</v>
      </c>
      <c r="D208"/>
      <c r="E208"/>
      <c r="F208"/>
      <c r="G208"/>
      <c r="H208"/>
      <c r="I208"/>
      <c r="J208"/>
      <c r="K208"/>
    </row>
    <row r="209" spans="1:11" x14ac:dyDescent="0.25">
      <c r="A209" s="37" t="s">
        <v>575</v>
      </c>
      <c r="B209" s="49">
        <v>31.6</v>
      </c>
      <c r="C209" s="49">
        <v>1</v>
      </c>
      <c r="D209"/>
      <c r="E209"/>
      <c r="F209"/>
      <c r="G209"/>
      <c r="H209"/>
      <c r="I209"/>
      <c r="J209"/>
      <c r="K209"/>
    </row>
    <row r="210" spans="1:11" x14ac:dyDescent="0.25">
      <c r="A210" s="37" t="s">
        <v>663</v>
      </c>
      <c r="B210" s="49">
        <v>30</v>
      </c>
      <c r="C210" s="49">
        <v>1</v>
      </c>
      <c r="D210"/>
      <c r="E210"/>
      <c r="F210"/>
      <c r="G210"/>
      <c r="H210"/>
      <c r="I210"/>
      <c r="J210"/>
      <c r="K210"/>
    </row>
    <row r="211" spans="1:11" x14ac:dyDescent="0.25">
      <c r="A211" s="37" t="s">
        <v>606</v>
      </c>
      <c r="B211" s="49">
        <v>20</v>
      </c>
      <c r="C211" s="49">
        <v>1</v>
      </c>
      <c r="D211"/>
      <c r="E211"/>
      <c r="F211"/>
      <c r="G211"/>
      <c r="H211"/>
      <c r="I211"/>
      <c r="J211"/>
      <c r="K211"/>
    </row>
    <row r="212" spans="1:11" x14ac:dyDescent="0.25">
      <c r="A212" s="37" t="s">
        <v>821</v>
      </c>
      <c r="B212" s="49">
        <v>10</v>
      </c>
      <c r="C212" s="49">
        <v>1</v>
      </c>
      <c r="D212"/>
      <c r="E212"/>
      <c r="F212"/>
      <c r="G212"/>
      <c r="H212"/>
      <c r="I212"/>
      <c r="J212"/>
      <c r="K212"/>
    </row>
    <row r="213" spans="1:11" x14ac:dyDescent="0.25">
      <c r="A213" s="37" t="s">
        <v>1320</v>
      </c>
      <c r="B213" s="49"/>
      <c r="C213" s="49"/>
      <c r="D213"/>
      <c r="E213"/>
      <c r="F213"/>
      <c r="G213"/>
      <c r="H213"/>
      <c r="I213"/>
      <c r="J213"/>
      <c r="K213"/>
    </row>
    <row r="214" spans="1:11" x14ac:dyDescent="0.25">
      <c r="A214" s="37"/>
      <c r="B214" s="49"/>
      <c r="C214" s="49"/>
      <c r="D214"/>
      <c r="E214"/>
      <c r="F214"/>
      <c r="G214"/>
      <c r="H214"/>
      <c r="I214"/>
      <c r="J214"/>
      <c r="K214"/>
    </row>
    <row r="215" spans="1:11" x14ac:dyDescent="0.25">
      <c r="A215" s="37" t="s">
        <v>1288</v>
      </c>
      <c r="B215" s="49">
        <v>199774.74999999991</v>
      </c>
      <c r="C215" s="49">
        <v>1570</v>
      </c>
      <c r="D215"/>
      <c r="E215"/>
      <c r="F215"/>
      <c r="G215"/>
      <c r="H215"/>
      <c r="I215"/>
      <c r="J215"/>
      <c r="K215"/>
    </row>
    <row r="216" spans="1:11" x14ac:dyDescent="0.25">
      <c r="A216"/>
      <c r="B216"/>
      <c r="C216"/>
      <c r="D216"/>
      <c r="E216"/>
      <c r="F216"/>
      <c r="G216"/>
      <c r="H216"/>
      <c r="I216"/>
      <c r="J216"/>
      <c r="K216"/>
    </row>
    <row r="217" spans="1:11" x14ac:dyDescent="0.25">
      <c r="A217"/>
      <c r="B217"/>
      <c r="C217"/>
      <c r="D217"/>
      <c r="E217"/>
      <c r="F217"/>
      <c r="G217"/>
      <c r="H217"/>
      <c r="I217"/>
      <c r="J217"/>
      <c r="K217"/>
    </row>
    <row r="218" spans="1:11" x14ac:dyDescent="0.25">
      <c r="A218"/>
      <c r="B218"/>
      <c r="C218"/>
      <c r="D218"/>
      <c r="E218"/>
      <c r="F218"/>
      <c r="G218"/>
      <c r="H218"/>
      <c r="I218"/>
      <c r="J218"/>
      <c r="K218"/>
    </row>
    <row r="219" spans="1:11" x14ac:dyDescent="0.25">
      <c r="A219"/>
      <c r="B219"/>
      <c r="C219"/>
      <c r="D219"/>
      <c r="E219"/>
      <c r="F219"/>
      <c r="G219"/>
      <c r="H219"/>
      <c r="I219"/>
      <c r="J219"/>
      <c r="K219"/>
    </row>
    <row r="220" spans="1:11" x14ac:dyDescent="0.25">
      <c r="A220"/>
      <c r="B220"/>
      <c r="C220"/>
      <c r="D220"/>
      <c r="E220"/>
      <c r="F220"/>
      <c r="G220"/>
      <c r="H220"/>
      <c r="I220"/>
      <c r="J220"/>
      <c r="K220"/>
    </row>
    <row r="221" spans="1:11" x14ac:dyDescent="0.25">
      <c r="A221"/>
      <c r="B221"/>
      <c r="C221"/>
      <c r="D221"/>
      <c r="E221"/>
      <c r="F221"/>
      <c r="G221"/>
      <c r="H221"/>
      <c r="I221"/>
      <c r="J221"/>
      <c r="K221"/>
    </row>
    <row r="222" spans="1:11" x14ac:dyDescent="0.25">
      <c r="A222"/>
      <c r="B222"/>
      <c r="C222"/>
      <c r="D222"/>
      <c r="E222"/>
      <c r="F222"/>
      <c r="G222"/>
      <c r="H222"/>
      <c r="I222"/>
      <c r="J222"/>
      <c r="K222"/>
    </row>
    <row r="223" spans="1:11" x14ac:dyDescent="0.25">
      <c r="A223"/>
      <c r="B223"/>
      <c r="C223"/>
      <c r="D223"/>
      <c r="E223"/>
      <c r="F223"/>
      <c r="G223"/>
      <c r="H223"/>
      <c r="I223"/>
      <c r="J223"/>
      <c r="K223"/>
    </row>
    <row r="224" spans="1:11" x14ac:dyDescent="0.25">
      <c r="A224"/>
      <c r="B224"/>
      <c r="C224"/>
      <c r="D224"/>
      <c r="E224"/>
      <c r="F224"/>
      <c r="G224"/>
      <c r="H224"/>
      <c r="I224"/>
      <c r="J224"/>
      <c r="K224"/>
    </row>
    <row r="225" spans="1:11" x14ac:dyDescent="0.25">
      <c r="A225"/>
      <c r="B225"/>
      <c r="C225"/>
      <c r="D225"/>
      <c r="E225"/>
      <c r="F225"/>
      <c r="G225"/>
      <c r="H225"/>
      <c r="I225"/>
      <c r="J225"/>
      <c r="K225"/>
    </row>
    <row r="226" spans="1:11" x14ac:dyDescent="0.25">
      <c r="A226"/>
      <c r="B226"/>
      <c r="C226"/>
      <c r="D226"/>
      <c r="E226"/>
      <c r="F226"/>
      <c r="G226"/>
      <c r="H226"/>
      <c r="I226"/>
      <c r="J226"/>
      <c r="K226"/>
    </row>
    <row r="227" spans="1:11" x14ac:dyDescent="0.25">
      <c r="A227"/>
      <c r="B227"/>
      <c r="C227"/>
      <c r="D227"/>
      <c r="E227"/>
      <c r="F227"/>
      <c r="G227"/>
      <c r="H227"/>
      <c r="I227"/>
      <c r="J227"/>
      <c r="K227"/>
    </row>
    <row r="228" spans="1:11" x14ac:dyDescent="0.25">
      <c r="A228"/>
      <c r="B228"/>
      <c r="C228"/>
      <c r="D228"/>
      <c r="E228"/>
      <c r="F228"/>
      <c r="G228"/>
      <c r="H228"/>
      <c r="I228"/>
      <c r="J228"/>
      <c r="K228"/>
    </row>
    <row r="229" spans="1:11" x14ac:dyDescent="0.25">
      <c r="A229"/>
      <c r="B229"/>
      <c r="C229"/>
      <c r="D229"/>
      <c r="E229"/>
      <c r="F229"/>
      <c r="G229"/>
      <c r="H229"/>
      <c r="I229"/>
      <c r="J229"/>
      <c r="K229"/>
    </row>
    <row r="230" spans="1:11" x14ac:dyDescent="0.25">
      <c r="A230"/>
      <c r="B230"/>
      <c r="C230"/>
    </row>
    <row r="231" spans="1:11" x14ac:dyDescent="0.25">
      <c r="A231"/>
      <c r="B231"/>
      <c r="C231"/>
    </row>
    <row r="232" spans="1:11" x14ac:dyDescent="0.25">
      <c r="A232"/>
      <c r="B232"/>
      <c r="C232"/>
    </row>
    <row r="233" spans="1:11" x14ac:dyDescent="0.25">
      <c r="A233"/>
      <c r="B233"/>
      <c r="C233"/>
    </row>
    <row r="234" spans="1:11" x14ac:dyDescent="0.25">
      <c r="A234"/>
      <c r="B234"/>
      <c r="C234"/>
    </row>
    <row r="235" spans="1:11" x14ac:dyDescent="0.25">
      <c r="A235"/>
      <c r="B235"/>
      <c r="C235"/>
    </row>
    <row r="236" spans="1:11" x14ac:dyDescent="0.25">
      <c r="A236"/>
      <c r="B236"/>
      <c r="C236"/>
    </row>
    <row r="237" spans="1:11" x14ac:dyDescent="0.25">
      <c r="A237"/>
      <c r="B237"/>
      <c r="C237"/>
    </row>
    <row r="238" spans="1:11" x14ac:dyDescent="0.25">
      <c r="A238"/>
      <c r="B238"/>
      <c r="C238"/>
    </row>
    <row r="239" spans="1:11" x14ac:dyDescent="0.25">
      <c r="A239"/>
      <c r="B239"/>
      <c r="C239"/>
    </row>
    <row r="240" spans="1:11" x14ac:dyDescent="0.25">
      <c r="A240"/>
      <c r="B240"/>
      <c r="C240"/>
    </row>
    <row r="241" spans="1:3" x14ac:dyDescent="0.25">
      <c r="A241"/>
      <c r="B241"/>
      <c r="C241"/>
    </row>
    <row r="242" spans="1:3" x14ac:dyDescent="0.25">
      <c r="A242"/>
      <c r="B242"/>
      <c r="C242"/>
    </row>
    <row r="243" spans="1:3" x14ac:dyDescent="0.25">
      <c r="A243"/>
      <c r="B243"/>
      <c r="C243"/>
    </row>
    <row r="244" spans="1:3" x14ac:dyDescent="0.25">
      <c r="A244"/>
      <c r="B244"/>
      <c r="C244"/>
    </row>
    <row r="245" spans="1:3" x14ac:dyDescent="0.25">
      <c r="A245"/>
      <c r="B245"/>
      <c r="C245"/>
    </row>
    <row r="246" spans="1:3" x14ac:dyDescent="0.25">
      <c r="A246"/>
      <c r="B246"/>
      <c r="C246"/>
    </row>
    <row r="247" spans="1:3" x14ac:dyDescent="0.25">
      <c r="A247"/>
      <c r="B247"/>
      <c r="C247"/>
    </row>
    <row r="248" spans="1:3" x14ac:dyDescent="0.25">
      <c r="A248"/>
      <c r="B248"/>
      <c r="C248"/>
    </row>
    <row r="249" spans="1:3" x14ac:dyDescent="0.25">
      <c r="A249"/>
      <c r="B249"/>
      <c r="C249"/>
    </row>
    <row r="250" spans="1:3" x14ac:dyDescent="0.25">
      <c r="A250"/>
      <c r="B250"/>
      <c r="C250"/>
    </row>
    <row r="251" spans="1:3" x14ac:dyDescent="0.25">
      <c r="A251"/>
      <c r="B251"/>
      <c r="C251"/>
    </row>
    <row r="252" spans="1:3" x14ac:dyDescent="0.25">
      <c r="A252"/>
      <c r="B252"/>
      <c r="C252"/>
    </row>
    <row r="253" spans="1:3" x14ac:dyDescent="0.25">
      <c r="A253"/>
      <c r="B253"/>
      <c r="C253"/>
    </row>
    <row r="254" spans="1:3" x14ac:dyDescent="0.25">
      <c r="A254"/>
      <c r="B254"/>
      <c r="C254"/>
    </row>
    <row r="255" spans="1:3" x14ac:dyDescent="0.25">
      <c r="A255"/>
      <c r="B255"/>
      <c r="C255"/>
    </row>
    <row r="256" spans="1:3" x14ac:dyDescent="0.25">
      <c r="A256"/>
      <c r="B256"/>
      <c r="C256"/>
    </row>
    <row r="257" spans="1:3" x14ac:dyDescent="0.25">
      <c r="A257"/>
      <c r="B257"/>
      <c r="C257"/>
    </row>
    <row r="258" spans="1:3" x14ac:dyDescent="0.25">
      <c r="A258"/>
      <c r="B258"/>
      <c r="C258"/>
    </row>
    <row r="259" spans="1:3" x14ac:dyDescent="0.25">
      <c r="A259"/>
      <c r="B259"/>
      <c r="C259"/>
    </row>
    <row r="260" spans="1:3" x14ac:dyDescent="0.25">
      <c r="A260"/>
      <c r="B260"/>
      <c r="C260"/>
    </row>
    <row r="261" spans="1:3" x14ac:dyDescent="0.25">
      <c r="A261"/>
      <c r="B261"/>
      <c r="C261"/>
    </row>
    <row r="262" spans="1:3" x14ac:dyDescent="0.25">
      <c r="A262"/>
      <c r="B262"/>
      <c r="C262"/>
    </row>
    <row r="263" spans="1:3" x14ac:dyDescent="0.25">
      <c r="A263"/>
      <c r="B263"/>
      <c r="C263"/>
    </row>
    <row r="264" spans="1:3" x14ac:dyDescent="0.25">
      <c r="A264"/>
      <c r="B264"/>
      <c r="C264"/>
    </row>
    <row r="265" spans="1:3" x14ac:dyDescent="0.25">
      <c r="A265"/>
      <c r="B265"/>
      <c r="C265"/>
    </row>
    <row r="266" spans="1:3" x14ac:dyDescent="0.25">
      <c r="A266"/>
      <c r="B266"/>
      <c r="C266"/>
    </row>
    <row r="267" spans="1:3" x14ac:dyDescent="0.25">
      <c r="A267"/>
      <c r="B267"/>
      <c r="C267"/>
    </row>
    <row r="268" spans="1:3" x14ac:dyDescent="0.25">
      <c r="A268"/>
      <c r="B268"/>
      <c r="C268"/>
    </row>
    <row r="269" spans="1:3" x14ac:dyDescent="0.25">
      <c r="A269"/>
      <c r="B269"/>
      <c r="C269"/>
    </row>
    <row r="270" spans="1:3" x14ac:dyDescent="0.25">
      <c r="A270"/>
      <c r="B270"/>
      <c r="C270"/>
    </row>
    <row r="271" spans="1:3" x14ac:dyDescent="0.25">
      <c r="A271"/>
      <c r="B271"/>
      <c r="C271"/>
    </row>
    <row r="272" spans="1:3" x14ac:dyDescent="0.25">
      <c r="A272"/>
      <c r="B272"/>
      <c r="C272"/>
    </row>
    <row r="273" spans="1:3" x14ac:dyDescent="0.25">
      <c r="A273"/>
      <c r="B273"/>
      <c r="C273"/>
    </row>
    <row r="274" spans="1:3" x14ac:dyDescent="0.25">
      <c r="A274"/>
      <c r="B274"/>
      <c r="C274"/>
    </row>
    <row r="275" spans="1:3" x14ac:dyDescent="0.25">
      <c r="A275"/>
      <c r="B275"/>
      <c r="C275"/>
    </row>
    <row r="276" spans="1:3" x14ac:dyDescent="0.25">
      <c r="A276"/>
      <c r="B276"/>
      <c r="C276"/>
    </row>
    <row r="277" spans="1:3" x14ac:dyDescent="0.25">
      <c r="A277"/>
      <c r="B277"/>
      <c r="C277"/>
    </row>
    <row r="278" spans="1:3" x14ac:dyDescent="0.25">
      <c r="A278"/>
      <c r="B278"/>
      <c r="C278"/>
    </row>
    <row r="279" spans="1:3" x14ac:dyDescent="0.25">
      <c r="A279"/>
      <c r="B279"/>
      <c r="C279"/>
    </row>
    <row r="280" spans="1:3" x14ac:dyDescent="0.25">
      <c r="A280"/>
      <c r="B280"/>
      <c r="C280"/>
    </row>
    <row r="281" spans="1:3" x14ac:dyDescent="0.25">
      <c r="A281"/>
      <c r="B281"/>
      <c r="C281"/>
    </row>
    <row r="282" spans="1:3" x14ac:dyDescent="0.25">
      <c r="A282"/>
      <c r="B282"/>
      <c r="C282"/>
    </row>
    <row r="283" spans="1:3" x14ac:dyDescent="0.25">
      <c r="A283"/>
      <c r="B283"/>
      <c r="C283"/>
    </row>
    <row r="284" spans="1:3" x14ac:dyDescent="0.25">
      <c r="A284"/>
      <c r="B284"/>
      <c r="C284"/>
    </row>
    <row r="285" spans="1:3" x14ac:dyDescent="0.25">
      <c r="A285"/>
      <c r="B285"/>
      <c r="C285"/>
    </row>
    <row r="286" spans="1:3" x14ac:dyDescent="0.25">
      <c r="A286"/>
      <c r="B286"/>
      <c r="C286"/>
    </row>
    <row r="287" spans="1:3" x14ac:dyDescent="0.25">
      <c r="A287"/>
      <c r="B287"/>
      <c r="C287"/>
    </row>
    <row r="288" spans="1:3" x14ac:dyDescent="0.25">
      <c r="A288"/>
      <c r="B288"/>
      <c r="C288"/>
    </row>
    <row r="289" spans="1:3" x14ac:dyDescent="0.25">
      <c r="A289"/>
      <c r="B289"/>
      <c r="C289"/>
    </row>
    <row r="290" spans="1:3" x14ac:dyDescent="0.25">
      <c r="A290"/>
      <c r="B290"/>
      <c r="C290"/>
    </row>
    <row r="291" spans="1:3" x14ac:dyDescent="0.25">
      <c r="A291"/>
      <c r="B291"/>
      <c r="C291"/>
    </row>
    <row r="292" spans="1:3" x14ac:dyDescent="0.25">
      <c r="A292"/>
      <c r="B292"/>
      <c r="C292"/>
    </row>
    <row r="293" spans="1:3" x14ac:dyDescent="0.25">
      <c r="A293"/>
      <c r="B293"/>
      <c r="C293"/>
    </row>
    <row r="294" spans="1:3" x14ac:dyDescent="0.25">
      <c r="A294"/>
      <c r="B294"/>
      <c r="C294"/>
    </row>
    <row r="295" spans="1:3" x14ac:dyDescent="0.25">
      <c r="A295"/>
      <c r="B295"/>
      <c r="C295"/>
    </row>
    <row r="296" spans="1:3" x14ac:dyDescent="0.25">
      <c r="A296"/>
      <c r="B296"/>
      <c r="C296"/>
    </row>
    <row r="297" spans="1:3" x14ac:dyDescent="0.25">
      <c r="A297"/>
      <c r="B297"/>
      <c r="C297"/>
    </row>
    <row r="298" spans="1:3" x14ac:dyDescent="0.25">
      <c r="A298"/>
      <c r="B298"/>
      <c r="C298"/>
    </row>
    <row r="299" spans="1:3" x14ac:dyDescent="0.25">
      <c r="A299"/>
      <c r="B299"/>
      <c r="C299"/>
    </row>
    <row r="300" spans="1:3" x14ac:dyDescent="0.25">
      <c r="A300"/>
      <c r="B300"/>
      <c r="C300"/>
    </row>
    <row r="301" spans="1:3" x14ac:dyDescent="0.25">
      <c r="A301"/>
      <c r="B301"/>
      <c r="C301"/>
    </row>
    <row r="302" spans="1:3" x14ac:dyDescent="0.25">
      <c r="A302"/>
      <c r="B302"/>
      <c r="C302"/>
    </row>
    <row r="303" spans="1:3" x14ac:dyDescent="0.25">
      <c r="A303"/>
      <c r="B303"/>
      <c r="C303"/>
    </row>
    <row r="304" spans="1:3" x14ac:dyDescent="0.25">
      <c r="A304"/>
      <c r="B304"/>
      <c r="C304"/>
    </row>
    <row r="305" spans="1:3" x14ac:dyDescent="0.25">
      <c r="A305"/>
      <c r="B305"/>
      <c r="C305"/>
    </row>
    <row r="306" spans="1:3" x14ac:dyDescent="0.25">
      <c r="A306"/>
      <c r="B306"/>
      <c r="C306"/>
    </row>
    <row r="307" spans="1:3" x14ac:dyDescent="0.25">
      <c r="A307"/>
      <c r="B307"/>
      <c r="C307"/>
    </row>
    <row r="308" spans="1:3" x14ac:dyDescent="0.25">
      <c r="A308"/>
      <c r="B308"/>
      <c r="C308"/>
    </row>
    <row r="309" spans="1:3" x14ac:dyDescent="0.25">
      <c r="A309"/>
      <c r="B309"/>
      <c r="C309"/>
    </row>
    <row r="310" spans="1:3" x14ac:dyDescent="0.25">
      <c r="A310"/>
      <c r="B310"/>
      <c r="C310"/>
    </row>
    <row r="311" spans="1:3" x14ac:dyDescent="0.25">
      <c r="A311"/>
      <c r="B311"/>
      <c r="C311"/>
    </row>
    <row r="312" spans="1:3" x14ac:dyDescent="0.25">
      <c r="A312"/>
      <c r="B312"/>
      <c r="C312"/>
    </row>
    <row r="313" spans="1:3" x14ac:dyDescent="0.25">
      <c r="A313"/>
      <c r="B313"/>
      <c r="C313"/>
    </row>
    <row r="314" spans="1:3" x14ac:dyDescent="0.25">
      <c r="A314"/>
      <c r="B314"/>
      <c r="C314"/>
    </row>
    <row r="315" spans="1:3" x14ac:dyDescent="0.25">
      <c r="A315"/>
      <c r="B315"/>
      <c r="C315"/>
    </row>
    <row r="316" spans="1:3" x14ac:dyDescent="0.25">
      <c r="A316"/>
      <c r="B316"/>
      <c r="C316"/>
    </row>
    <row r="317" spans="1:3" x14ac:dyDescent="0.25">
      <c r="A317"/>
      <c r="B317"/>
      <c r="C317"/>
    </row>
    <row r="318" spans="1:3" x14ac:dyDescent="0.25">
      <c r="A318"/>
      <c r="B318"/>
      <c r="C318"/>
    </row>
    <row r="319" spans="1:3" x14ac:dyDescent="0.25">
      <c r="A319"/>
      <c r="B319"/>
      <c r="C319"/>
    </row>
    <row r="320" spans="1:3" x14ac:dyDescent="0.25">
      <c r="A320"/>
      <c r="B320"/>
      <c r="C320"/>
    </row>
    <row r="321" spans="1:3" x14ac:dyDescent="0.25">
      <c r="A321"/>
      <c r="B321"/>
      <c r="C321"/>
    </row>
    <row r="322" spans="1:3" x14ac:dyDescent="0.25">
      <c r="A322"/>
      <c r="B322"/>
      <c r="C322"/>
    </row>
    <row r="323" spans="1:3" x14ac:dyDescent="0.25">
      <c r="A323"/>
      <c r="B323"/>
      <c r="C323"/>
    </row>
    <row r="324" spans="1:3" x14ac:dyDescent="0.25">
      <c r="A324"/>
      <c r="B324"/>
      <c r="C324"/>
    </row>
    <row r="325" spans="1:3" x14ac:dyDescent="0.25">
      <c r="A325"/>
      <c r="B325"/>
      <c r="C325"/>
    </row>
    <row r="326" spans="1:3" x14ac:dyDescent="0.25">
      <c r="A326"/>
      <c r="B326"/>
      <c r="C326"/>
    </row>
    <row r="327" spans="1:3" x14ac:dyDescent="0.25">
      <c r="A327"/>
      <c r="B327"/>
      <c r="C327"/>
    </row>
    <row r="328" spans="1:3" x14ac:dyDescent="0.25">
      <c r="A328"/>
      <c r="B328"/>
      <c r="C328"/>
    </row>
    <row r="329" spans="1:3" x14ac:dyDescent="0.25">
      <c r="A329"/>
      <c r="B329"/>
      <c r="C329"/>
    </row>
    <row r="330" spans="1:3" x14ac:dyDescent="0.25">
      <c r="A330"/>
      <c r="B330"/>
      <c r="C330"/>
    </row>
    <row r="331" spans="1:3" x14ac:dyDescent="0.25">
      <c r="A331"/>
      <c r="B331"/>
      <c r="C331"/>
    </row>
    <row r="332" spans="1:3" x14ac:dyDescent="0.25">
      <c r="A332"/>
      <c r="B332"/>
      <c r="C332"/>
    </row>
    <row r="333" spans="1:3" x14ac:dyDescent="0.25">
      <c r="A333"/>
      <c r="B333"/>
      <c r="C333"/>
    </row>
    <row r="334" spans="1:3" x14ac:dyDescent="0.25">
      <c r="A334"/>
      <c r="B334"/>
      <c r="C334"/>
    </row>
    <row r="335" spans="1:3" x14ac:dyDescent="0.25">
      <c r="A335"/>
      <c r="B335"/>
      <c r="C335"/>
    </row>
    <row r="336" spans="1:3" x14ac:dyDescent="0.25">
      <c r="A336"/>
      <c r="B336"/>
      <c r="C336"/>
    </row>
    <row r="337" spans="1:3" x14ac:dyDescent="0.25">
      <c r="A337"/>
      <c r="B337"/>
      <c r="C337"/>
    </row>
    <row r="338" spans="1:3" x14ac:dyDescent="0.25">
      <c r="A338"/>
      <c r="B338"/>
      <c r="C338"/>
    </row>
    <row r="339" spans="1:3" x14ac:dyDescent="0.25">
      <c r="A339"/>
      <c r="B339"/>
      <c r="C339"/>
    </row>
    <row r="340" spans="1:3" x14ac:dyDescent="0.25">
      <c r="A340"/>
      <c r="C340"/>
    </row>
    <row r="341" spans="1:3" x14ac:dyDescent="0.25">
      <c r="A341"/>
      <c r="C341"/>
    </row>
    <row r="342" spans="1:3" x14ac:dyDescent="0.25">
      <c r="A342"/>
      <c r="C342"/>
    </row>
    <row r="343" spans="1:3" x14ac:dyDescent="0.25">
      <c r="A343"/>
      <c r="C343"/>
    </row>
    <row r="344" spans="1:3" x14ac:dyDescent="0.25">
      <c r="A344"/>
      <c r="C344"/>
    </row>
    <row r="345" spans="1:3" x14ac:dyDescent="0.25">
      <c r="A345"/>
      <c r="C345"/>
    </row>
    <row r="346" spans="1:3" x14ac:dyDescent="0.25">
      <c r="A346"/>
      <c r="C346"/>
    </row>
    <row r="347" spans="1:3" x14ac:dyDescent="0.25">
      <c r="A347"/>
      <c r="C347"/>
    </row>
    <row r="348" spans="1:3" x14ac:dyDescent="0.25">
      <c r="A348"/>
      <c r="C348"/>
    </row>
    <row r="349" spans="1:3" x14ac:dyDescent="0.25">
      <c r="A349"/>
      <c r="C349"/>
    </row>
    <row r="350" spans="1:3" x14ac:dyDescent="0.25">
      <c r="A350"/>
      <c r="C350"/>
    </row>
    <row r="351" spans="1:3" x14ac:dyDescent="0.25">
      <c r="A351"/>
      <c r="C351"/>
    </row>
    <row r="352" spans="1:3" x14ac:dyDescent="0.25">
      <c r="A352"/>
      <c r="C352"/>
    </row>
    <row r="353" spans="1:3" x14ac:dyDescent="0.25">
      <c r="A353"/>
      <c r="C353"/>
    </row>
    <row r="354" spans="1:3" x14ac:dyDescent="0.25">
      <c r="A354"/>
      <c r="C354"/>
    </row>
    <row r="355" spans="1:3" x14ac:dyDescent="0.25">
      <c r="A355"/>
      <c r="C355"/>
    </row>
    <row r="356" spans="1:3" x14ac:dyDescent="0.25">
      <c r="A356"/>
      <c r="C356"/>
    </row>
    <row r="357" spans="1:3" x14ac:dyDescent="0.25">
      <c r="A357"/>
      <c r="C357"/>
    </row>
    <row r="358" spans="1:3" x14ac:dyDescent="0.25">
      <c r="A358"/>
      <c r="C358"/>
    </row>
    <row r="359" spans="1:3" x14ac:dyDescent="0.25">
      <c r="A359"/>
      <c r="C359"/>
    </row>
    <row r="360" spans="1:3" x14ac:dyDescent="0.25">
      <c r="A360"/>
      <c r="C360"/>
    </row>
    <row r="361" spans="1:3" x14ac:dyDescent="0.25">
      <c r="A361"/>
      <c r="C361"/>
    </row>
    <row r="362" spans="1:3" x14ac:dyDescent="0.25">
      <c r="A362"/>
      <c r="C362"/>
    </row>
    <row r="363" spans="1:3" x14ac:dyDescent="0.25">
      <c r="A363"/>
      <c r="C363"/>
    </row>
    <row r="364" spans="1:3" x14ac:dyDescent="0.25">
      <c r="A364"/>
      <c r="C364"/>
    </row>
    <row r="365" spans="1:3" x14ac:dyDescent="0.25">
      <c r="A365"/>
      <c r="C365"/>
    </row>
    <row r="366" spans="1:3" x14ac:dyDescent="0.25">
      <c r="A366"/>
      <c r="C366"/>
    </row>
    <row r="367" spans="1:3" x14ac:dyDescent="0.25">
      <c r="A367"/>
      <c r="C367"/>
    </row>
    <row r="368" spans="1:3" x14ac:dyDescent="0.25">
      <c r="A368"/>
      <c r="C368"/>
    </row>
    <row r="369" spans="1:3" x14ac:dyDescent="0.25">
      <c r="A369"/>
      <c r="C369"/>
    </row>
    <row r="370" spans="1:3" x14ac:dyDescent="0.25">
      <c r="A370"/>
      <c r="C370"/>
    </row>
    <row r="371" spans="1:3" x14ac:dyDescent="0.25">
      <c r="A371"/>
      <c r="C371"/>
    </row>
    <row r="372" spans="1:3" x14ac:dyDescent="0.25">
      <c r="A372"/>
      <c r="C372"/>
    </row>
    <row r="373" spans="1:3" x14ac:dyDescent="0.25">
      <c r="A373"/>
      <c r="C373"/>
    </row>
    <row r="374" spans="1:3" x14ac:dyDescent="0.25">
      <c r="A374"/>
      <c r="C374"/>
    </row>
    <row r="375" spans="1:3" x14ac:dyDescent="0.25">
      <c r="A375"/>
      <c r="C375"/>
    </row>
    <row r="376" spans="1:3" x14ac:dyDescent="0.25">
      <c r="A376"/>
      <c r="C376"/>
    </row>
  </sheetData>
  <pageMargins left="0.7" right="0.7" top="0.78740157499999996" bottom="0.78740157499999996" header="0.3" footer="0.3"/>
  <pageSetup paperSize="9" orientation="portrait" horizontalDpi="0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" name="Button 1">
              <controlPr defaultSize="0" print="0" autoFill="0" autoPict="0" macro="[0]!RefreshINFO">
                <anchor moveWithCells="1" sizeWithCells="1">
                  <from>
                    <xdr:col>3</xdr:col>
                    <xdr:colOff>9525</xdr:colOff>
                    <xdr:row>0</xdr:row>
                    <xdr:rowOff>85725</xdr:rowOff>
                  </from>
                  <to>
                    <xdr:col>4</xdr:col>
                    <xdr:colOff>390525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FF01D-0FD0-4CE7-9D90-B2D1942B1782}">
  <sheetPr codeName="Tabelle10"/>
  <dimension ref="A2:P121"/>
  <sheetViews>
    <sheetView workbookViewId="0">
      <selection activeCell="Q24" sqref="Q24"/>
    </sheetView>
  </sheetViews>
  <sheetFormatPr baseColWidth="10" defaultColWidth="11.42578125" defaultRowHeight="15" x14ac:dyDescent="0.25"/>
  <cols>
    <col min="1" max="1" width="22.42578125" bestFit="1" customWidth="1"/>
    <col min="2" max="2" width="16.7109375" bestFit="1" customWidth="1"/>
    <col min="3" max="3" width="16.7109375" style="90" bestFit="1" customWidth="1"/>
    <col min="4" max="4" width="12.28515625" customWidth="1"/>
    <col min="5" max="5" width="4" bestFit="1" customWidth="1"/>
    <col min="6" max="6" width="2" bestFit="1" customWidth="1"/>
    <col min="7" max="7" width="4" bestFit="1" customWidth="1"/>
    <col min="8" max="8" width="7" customWidth="1"/>
    <col min="9" max="9" width="4" bestFit="1" customWidth="1"/>
    <col min="10" max="10" width="2" bestFit="1" customWidth="1"/>
    <col min="11" max="11" width="4" bestFit="1" customWidth="1"/>
    <col min="12" max="12" width="2" bestFit="1" customWidth="1"/>
    <col min="13" max="13" width="5" bestFit="1" customWidth="1"/>
    <col min="14" max="14" width="10.28515625" bestFit="1" customWidth="1"/>
    <col min="15" max="15" width="10" customWidth="1"/>
    <col min="16" max="16" width="11.28515625" customWidth="1"/>
    <col min="17" max="17" width="11" customWidth="1"/>
    <col min="18" max="18" width="3" bestFit="1" customWidth="1"/>
    <col min="19" max="20" width="5" bestFit="1" customWidth="1"/>
    <col min="21" max="21" width="8" bestFit="1" customWidth="1"/>
    <col min="22" max="23" width="3" bestFit="1" customWidth="1"/>
    <col min="24" max="24" width="13.42578125" customWidth="1"/>
    <col min="25" max="25" width="5" bestFit="1" customWidth="1"/>
    <col min="26" max="26" width="3" bestFit="1" customWidth="1"/>
    <col min="27" max="27" width="5" bestFit="1" customWidth="1"/>
    <col min="28" max="28" width="3" bestFit="1" customWidth="1"/>
    <col min="29" max="29" width="5" bestFit="1" customWidth="1"/>
    <col min="30" max="30" width="3" bestFit="1" customWidth="1"/>
    <col min="31" max="31" width="5" bestFit="1" customWidth="1"/>
    <col min="32" max="32" width="3" bestFit="1" customWidth="1"/>
    <col min="33" max="33" width="5" bestFit="1" customWidth="1"/>
    <col min="34" max="34" width="3" bestFit="1" customWidth="1"/>
    <col min="35" max="35" width="5" bestFit="1" customWidth="1"/>
    <col min="36" max="36" width="3" bestFit="1" customWidth="1"/>
    <col min="37" max="38" width="5" bestFit="1" customWidth="1"/>
    <col min="39" max="40" width="3" bestFit="1" customWidth="1"/>
    <col min="41" max="45" width="5" bestFit="1" customWidth="1"/>
    <col min="46" max="46" width="3" bestFit="1" customWidth="1"/>
    <col min="47" max="49" width="5" bestFit="1" customWidth="1"/>
    <col min="50" max="50" width="3" bestFit="1" customWidth="1"/>
    <col min="51" max="51" width="5" bestFit="1" customWidth="1"/>
    <col min="52" max="52" width="3" bestFit="1" customWidth="1"/>
    <col min="53" max="53" width="5" bestFit="1" customWidth="1"/>
    <col min="54" max="54" width="3" bestFit="1" customWidth="1"/>
    <col min="55" max="55" width="5" bestFit="1" customWidth="1"/>
    <col min="56" max="56" width="3" bestFit="1" customWidth="1"/>
    <col min="57" max="58" width="5" bestFit="1" customWidth="1"/>
    <col min="59" max="59" width="3" bestFit="1" customWidth="1"/>
    <col min="60" max="61" width="5" bestFit="1" customWidth="1"/>
    <col min="62" max="62" width="3" bestFit="1" customWidth="1"/>
    <col min="63" max="69" width="5" bestFit="1" customWidth="1"/>
    <col min="70" max="70" width="3" bestFit="1" customWidth="1"/>
    <col min="71" max="71" width="5" bestFit="1" customWidth="1"/>
    <col min="72" max="72" width="3" bestFit="1" customWidth="1"/>
    <col min="73" max="75" width="5" bestFit="1" customWidth="1"/>
    <col min="76" max="76" width="3" bestFit="1" customWidth="1"/>
    <col min="77" max="78" width="5" bestFit="1" customWidth="1"/>
    <col min="79" max="79" width="3" bestFit="1" customWidth="1"/>
    <col min="80" max="82" width="5" bestFit="1" customWidth="1"/>
    <col min="83" max="83" width="3" bestFit="1" customWidth="1"/>
    <col min="84" max="87" width="5" bestFit="1" customWidth="1"/>
    <col min="88" max="88" width="3" bestFit="1" customWidth="1"/>
    <col min="89" max="93" width="5" bestFit="1" customWidth="1"/>
    <col min="94" max="94" width="3" bestFit="1" customWidth="1"/>
    <col min="95" max="98" width="5" bestFit="1" customWidth="1"/>
    <col min="99" max="99" width="3" bestFit="1" customWidth="1"/>
    <col min="100" max="106" width="5" bestFit="1" customWidth="1"/>
    <col min="107" max="107" width="3" bestFit="1" customWidth="1"/>
    <col min="108" max="108" width="5" bestFit="1" customWidth="1"/>
    <col min="109" max="109" width="3" bestFit="1" customWidth="1"/>
    <col min="110" max="110" width="5" bestFit="1" customWidth="1"/>
    <col min="111" max="111" width="3" bestFit="1" customWidth="1"/>
    <col min="112" max="113" width="5" bestFit="1" customWidth="1"/>
    <col min="114" max="114" width="3" bestFit="1" customWidth="1"/>
    <col min="115" max="117" width="5" bestFit="1" customWidth="1"/>
    <col min="118" max="118" width="3" bestFit="1" customWidth="1"/>
    <col min="119" max="120" width="5" bestFit="1" customWidth="1"/>
    <col min="121" max="121" width="3" bestFit="1" customWidth="1"/>
    <col min="122" max="122" width="5" bestFit="1" customWidth="1"/>
    <col min="123" max="123" width="3" bestFit="1" customWidth="1"/>
    <col min="124" max="129" width="5" bestFit="1" customWidth="1"/>
    <col min="130" max="130" width="3" bestFit="1" customWidth="1"/>
    <col min="131" max="132" width="5" bestFit="1" customWidth="1"/>
    <col min="133" max="135" width="3" bestFit="1" customWidth="1"/>
    <col min="136" max="138" width="5" bestFit="1" customWidth="1"/>
    <col min="139" max="139" width="3" bestFit="1" customWidth="1"/>
    <col min="140" max="141" width="5" bestFit="1" customWidth="1"/>
    <col min="142" max="142" width="3" bestFit="1" customWidth="1"/>
    <col min="143" max="143" width="5" bestFit="1" customWidth="1"/>
    <col min="144" max="145" width="3" bestFit="1" customWidth="1"/>
    <col min="146" max="146" width="5" bestFit="1" customWidth="1"/>
    <col min="147" max="147" width="3" bestFit="1" customWidth="1"/>
    <col min="148" max="151" width="5" bestFit="1" customWidth="1"/>
    <col min="152" max="152" width="3" bestFit="1" customWidth="1"/>
    <col min="153" max="155" width="5" bestFit="1" customWidth="1"/>
    <col min="156" max="157" width="3" bestFit="1" customWidth="1"/>
    <col min="158" max="160" width="5" bestFit="1" customWidth="1"/>
    <col min="161" max="162" width="3" bestFit="1" customWidth="1"/>
    <col min="163" max="163" width="5" bestFit="1" customWidth="1"/>
    <col min="164" max="165" width="3" bestFit="1" customWidth="1"/>
    <col min="166" max="166" width="5" bestFit="1" customWidth="1"/>
    <col min="167" max="168" width="3" bestFit="1" customWidth="1"/>
    <col min="169" max="169" width="5" bestFit="1" customWidth="1"/>
    <col min="170" max="170" width="3" bestFit="1" customWidth="1"/>
    <col min="171" max="173" width="5" bestFit="1" customWidth="1"/>
    <col min="174" max="174" width="3" bestFit="1" customWidth="1"/>
    <col min="175" max="177" width="5" bestFit="1" customWidth="1"/>
    <col min="178" max="179" width="3" bestFit="1" customWidth="1"/>
    <col min="180" max="180" width="5" bestFit="1" customWidth="1"/>
    <col min="181" max="181" width="3" bestFit="1" customWidth="1"/>
    <col min="182" max="182" width="4" bestFit="1" customWidth="1"/>
    <col min="183" max="184" width="6" bestFit="1" customWidth="1"/>
    <col min="185" max="187" width="4" bestFit="1" customWidth="1"/>
    <col min="188" max="191" width="6" bestFit="1" customWidth="1"/>
    <col min="192" max="193" width="4" bestFit="1" customWidth="1"/>
    <col min="194" max="194" width="6" bestFit="1" customWidth="1"/>
    <col min="195" max="195" width="4" bestFit="1" customWidth="1"/>
    <col min="196" max="198" width="6" bestFit="1" customWidth="1"/>
    <col min="199" max="200" width="4" bestFit="1" customWidth="1"/>
    <col min="201" max="205" width="6" bestFit="1" customWidth="1"/>
    <col min="206" max="206" width="4" bestFit="1" customWidth="1"/>
    <col min="207" max="208" width="6" bestFit="1" customWidth="1"/>
    <col min="209" max="210" width="4" bestFit="1" customWidth="1"/>
    <col min="211" max="211" width="6" bestFit="1" customWidth="1"/>
    <col min="212" max="212" width="4" bestFit="1" customWidth="1"/>
    <col min="213" max="215" width="6" bestFit="1" customWidth="1"/>
    <col min="216" max="216" width="4" bestFit="1" customWidth="1"/>
    <col min="217" max="217" width="6" bestFit="1" customWidth="1"/>
    <col min="218" max="219" width="4" bestFit="1" customWidth="1"/>
    <col min="220" max="220" width="6" bestFit="1" customWidth="1"/>
    <col min="221" max="223" width="4" bestFit="1" customWidth="1"/>
    <col min="224" max="226" width="6" bestFit="1" customWidth="1"/>
    <col min="227" max="227" width="4" bestFit="1" customWidth="1"/>
    <col min="228" max="228" width="6" bestFit="1" customWidth="1"/>
    <col min="229" max="229" width="4" bestFit="1" customWidth="1"/>
    <col min="230" max="231" width="6" bestFit="1" customWidth="1"/>
    <col min="232" max="232" width="4" bestFit="1" customWidth="1"/>
    <col min="233" max="233" width="6" bestFit="1" customWidth="1"/>
    <col min="234" max="234" width="4" bestFit="1" customWidth="1"/>
    <col min="235" max="235" width="6" bestFit="1" customWidth="1"/>
    <col min="236" max="238" width="4" bestFit="1" customWidth="1"/>
    <col min="239" max="243" width="6" bestFit="1" customWidth="1"/>
    <col min="244" max="244" width="4" bestFit="1" customWidth="1"/>
    <col min="245" max="246" width="6" bestFit="1" customWidth="1"/>
    <col min="247" max="247" width="4" bestFit="1" customWidth="1"/>
    <col min="248" max="248" width="6" bestFit="1" customWidth="1"/>
    <col min="249" max="249" width="4" bestFit="1" customWidth="1"/>
    <col min="250" max="250" width="6" bestFit="1" customWidth="1"/>
    <col min="251" max="253" width="4" bestFit="1" customWidth="1"/>
    <col min="254" max="255" width="6" bestFit="1" customWidth="1"/>
    <col min="256" max="256" width="4" bestFit="1" customWidth="1"/>
    <col min="257" max="257" width="6" bestFit="1" customWidth="1"/>
    <col min="258" max="258" width="4" bestFit="1" customWidth="1"/>
    <col min="259" max="259" width="6" bestFit="1" customWidth="1"/>
    <col min="260" max="261" width="4" bestFit="1" customWidth="1"/>
    <col min="262" max="263" width="6" bestFit="1" customWidth="1"/>
    <col min="264" max="264" width="4" bestFit="1" customWidth="1"/>
    <col min="265" max="265" width="6.28515625" bestFit="1" customWidth="1"/>
    <col min="266" max="266" width="15.5703125" bestFit="1" customWidth="1"/>
  </cols>
  <sheetData>
    <row r="2" spans="1:3" x14ac:dyDescent="0.25">
      <c r="A2" s="46" t="s">
        <v>706</v>
      </c>
      <c r="B2" t="s">
        <v>1289</v>
      </c>
    </row>
    <row r="3" spans="1:3" x14ac:dyDescent="0.25">
      <c r="A3" s="46" t="s">
        <v>361</v>
      </c>
      <c r="B3" t="s">
        <v>1289</v>
      </c>
    </row>
    <row r="5" spans="1:3" x14ac:dyDescent="0.25">
      <c r="A5" s="46" t="s">
        <v>1287</v>
      </c>
      <c r="B5" t="s">
        <v>713</v>
      </c>
    </row>
    <row r="6" spans="1:3" x14ac:dyDescent="0.25">
      <c r="A6" s="37">
        <v>12000</v>
      </c>
      <c r="B6" s="47">
        <v>10</v>
      </c>
      <c r="C6" s="90">
        <v>30</v>
      </c>
    </row>
    <row r="7" spans="1:3" x14ac:dyDescent="0.25">
      <c r="A7" s="37">
        <v>16936</v>
      </c>
      <c r="B7" s="47">
        <v>82</v>
      </c>
      <c r="C7" s="90">
        <v>5</v>
      </c>
    </row>
    <row r="8" spans="1:3" x14ac:dyDescent="0.25">
      <c r="A8" s="37">
        <v>20000</v>
      </c>
      <c r="B8" s="47">
        <v>10</v>
      </c>
      <c r="C8" s="90">
        <v>2.5</v>
      </c>
    </row>
    <row r="9" spans="1:3" x14ac:dyDescent="0.25">
      <c r="A9" s="37">
        <v>20001</v>
      </c>
      <c r="B9" s="47">
        <v>650</v>
      </c>
      <c r="C9" s="90">
        <v>16</v>
      </c>
    </row>
    <row r="10" spans="1:3" x14ac:dyDescent="0.25">
      <c r="A10" s="37">
        <v>26736</v>
      </c>
      <c r="B10" s="47">
        <v>78</v>
      </c>
      <c r="C10" s="90">
        <v>3</v>
      </c>
    </row>
    <row r="11" spans="1:3" x14ac:dyDescent="0.25">
      <c r="A11" s="37">
        <v>29802</v>
      </c>
      <c r="B11" s="47">
        <v>8</v>
      </c>
      <c r="C11" s="90">
        <v>2.7</v>
      </c>
    </row>
    <row r="12" spans="1:3" x14ac:dyDescent="0.25">
      <c r="A12" s="37">
        <v>30275</v>
      </c>
      <c r="B12" s="47">
        <v>300</v>
      </c>
      <c r="C12" s="90">
        <v>2.7</v>
      </c>
    </row>
    <row r="13" spans="1:3" x14ac:dyDescent="0.25">
      <c r="A13" s="37">
        <v>30277</v>
      </c>
      <c r="B13" s="47">
        <v>20</v>
      </c>
      <c r="C13" s="90">
        <v>1.3</v>
      </c>
    </row>
    <row r="14" spans="1:3" x14ac:dyDescent="0.25">
      <c r="A14" s="37">
        <v>31818</v>
      </c>
      <c r="B14" s="47">
        <v>2</v>
      </c>
      <c r="C14" s="90">
        <v>1.3</v>
      </c>
    </row>
    <row r="15" spans="1:3" x14ac:dyDescent="0.25">
      <c r="A15" s="37">
        <v>31819</v>
      </c>
      <c r="B15" s="47">
        <v>18</v>
      </c>
      <c r="C15" s="90">
        <v>3.5</v>
      </c>
    </row>
    <row r="16" spans="1:3" x14ac:dyDescent="0.25">
      <c r="A16" s="37">
        <v>31822</v>
      </c>
      <c r="B16" s="47">
        <v>4</v>
      </c>
      <c r="C16" s="90">
        <v>3</v>
      </c>
    </row>
    <row r="17" spans="1:16" x14ac:dyDescent="0.25">
      <c r="A17" s="37">
        <v>31827</v>
      </c>
      <c r="B17" s="47">
        <v>2</v>
      </c>
      <c r="C17" s="90">
        <v>3.5</v>
      </c>
      <c r="N17" s="37"/>
      <c r="O17" s="47"/>
    </row>
    <row r="18" spans="1:16" x14ac:dyDescent="0.25">
      <c r="A18" s="37">
        <v>31880</v>
      </c>
      <c r="B18" s="47">
        <v>27</v>
      </c>
      <c r="C18" s="90">
        <v>3.5</v>
      </c>
      <c r="N18" s="37"/>
      <c r="O18" s="47"/>
    </row>
    <row r="19" spans="1:16" x14ac:dyDescent="0.25">
      <c r="A19" s="37">
        <v>31903</v>
      </c>
      <c r="B19" s="47">
        <v>6</v>
      </c>
      <c r="C19" s="90">
        <v>18</v>
      </c>
      <c r="N19" s="37"/>
      <c r="O19" s="47"/>
    </row>
    <row r="20" spans="1:16" x14ac:dyDescent="0.25">
      <c r="A20" s="37">
        <v>35108</v>
      </c>
      <c r="B20" s="47">
        <v>504</v>
      </c>
      <c r="C20" s="90">
        <v>1.5</v>
      </c>
      <c r="N20" s="37"/>
      <c r="O20" s="47"/>
    </row>
    <row r="21" spans="1:16" x14ac:dyDescent="0.25">
      <c r="A21" s="37">
        <v>35109</v>
      </c>
      <c r="B21" s="47">
        <v>2352</v>
      </c>
      <c r="C21" s="90">
        <v>1.3</v>
      </c>
      <c r="N21" s="37"/>
      <c r="O21" s="47"/>
    </row>
    <row r="22" spans="1:16" x14ac:dyDescent="0.25">
      <c r="A22" s="37">
        <v>35110</v>
      </c>
      <c r="B22" s="47">
        <v>1588</v>
      </c>
      <c r="C22" s="90">
        <v>1.3</v>
      </c>
      <c r="N22" s="37"/>
      <c r="O22" s="47"/>
    </row>
    <row r="23" spans="1:16" x14ac:dyDescent="0.25">
      <c r="A23" s="37">
        <v>35111</v>
      </c>
      <c r="B23" s="47">
        <v>1048</v>
      </c>
      <c r="C23" s="90">
        <v>3</v>
      </c>
      <c r="N23" s="37"/>
      <c r="O23" s="47"/>
    </row>
    <row r="24" spans="1:16" x14ac:dyDescent="0.25">
      <c r="A24" s="37">
        <v>35112</v>
      </c>
      <c r="B24" s="47">
        <v>948</v>
      </c>
      <c r="C24" s="90">
        <v>3</v>
      </c>
      <c r="N24" s="37"/>
      <c r="O24" s="47"/>
    </row>
    <row r="25" spans="1:16" x14ac:dyDescent="0.25">
      <c r="A25" s="37">
        <v>35113</v>
      </c>
      <c r="B25" s="47">
        <v>1092</v>
      </c>
      <c r="C25" s="90">
        <v>3</v>
      </c>
      <c r="N25" s="37"/>
      <c r="O25" s="47"/>
    </row>
    <row r="26" spans="1:16" x14ac:dyDescent="0.25">
      <c r="A26" s="37">
        <v>35114</v>
      </c>
      <c r="B26" s="47">
        <v>300</v>
      </c>
      <c r="C26" s="90">
        <v>1.3</v>
      </c>
      <c r="N26" s="37"/>
      <c r="O26" s="47">
        <f>9000*0.25</f>
        <v>2250</v>
      </c>
      <c r="P26">
        <f>O26*12</f>
        <v>27000</v>
      </c>
    </row>
    <row r="27" spans="1:16" x14ac:dyDescent="0.25">
      <c r="A27" s="37">
        <v>35115</v>
      </c>
      <c r="B27" s="47">
        <v>856</v>
      </c>
      <c r="C27" s="90">
        <v>2</v>
      </c>
      <c r="N27" s="37"/>
      <c r="O27" s="47">
        <f>O26/1.18</f>
        <v>1906.7796610169491</v>
      </c>
      <c r="P27">
        <f>P26*10%</f>
        <v>2700</v>
      </c>
    </row>
    <row r="28" spans="1:16" x14ac:dyDescent="0.25">
      <c r="A28" s="37">
        <v>35119</v>
      </c>
      <c r="B28" s="47">
        <v>228</v>
      </c>
      <c r="C28" s="90">
        <v>2</v>
      </c>
      <c r="N28" s="37"/>
      <c r="O28" s="47">
        <f>O26-O27</f>
        <v>343.22033898305085</v>
      </c>
      <c r="P28">
        <f>P27+O29</f>
        <v>6818.6440677966102</v>
      </c>
    </row>
    <row r="29" spans="1:16" x14ac:dyDescent="0.25">
      <c r="A29" s="37">
        <v>35121</v>
      </c>
      <c r="B29" s="47">
        <v>2028</v>
      </c>
      <c r="C29" s="90">
        <v>2.1</v>
      </c>
      <c r="N29" s="37"/>
      <c r="O29" s="47">
        <f>O28*12</f>
        <v>4118.6440677966102</v>
      </c>
    </row>
    <row r="30" spans="1:16" x14ac:dyDescent="0.25">
      <c r="A30" s="37">
        <v>35125</v>
      </c>
      <c r="B30" s="47">
        <v>516</v>
      </c>
      <c r="C30" s="90">
        <v>2.1</v>
      </c>
    </row>
    <row r="31" spans="1:16" x14ac:dyDescent="0.25">
      <c r="A31" s="37">
        <v>35128</v>
      </c>
      <c r="B31" s="47">
        <v>1032</v>
      </c>
      <c r="C31" s="90">
        <v>2.1</v>
      </c>
    </row>
    <row r="32" spans="1:16" x14ac:dyDescent="0.25">
      <c r="A32" s="37">
        <v>39505</v>
      </c>
      <c r="B32" s="47">
        <v>18</v>
      </c>
      <c r="C32" s="90">
        <v>2.1</v>
      </c>
    </row>
    <row r="33" spans="1:3" x14ac:dyDescent="0.25">
      <c r="A33" s="37">
        <v>44001</v>
      </c>
      <c r="B33" s="47">
        <v>112</v>
      </c>
      <c r="C33" s="90">
        <v>2.1</v>
      </c>
    </row>
    <row r="34" spans="1:3" x14ac:dyDescent="0.25">
      <c r="A34" s="37">
        <v>49644</v>
      </c>
      <c r="B34" s="47">
        <v>169</v>
      </c>
      <c r="C34" s="90">
        <v>2.1</v>
      </c>
    </row>
    <row r="35" spans="1:3" x14ac:dyDescent="0.25">
      <c r="A35" s="37">
        <v>50912</v>
      </c>
      <c r="B35" s="47">
        <v>266</v>
      </c>
      <c r="C35" s="90">
        <v>2.1</v>
      </c>
    </row>
    <row r="36" spans="1:3" x14ac:dyDescent="0.25">
      <c r="A36" s="37">
        <v>51611</v>
      </c>
      <c r="B36" s="47">
        <v>1008</v>
      </c>
      <c r="C36" s="90">
        <v>2.1</v>
      </c>
    </row>
    <row r="37" spans="1:3" x14ac:dyDescent="0.25">
      <c r="A37" s="37">
        <v>51612</v>
      </c>
      <c r="B37" s="47">
        <v>552</v>
      </c>
      <c r="C37" s="90">
        <v>2.1</v>
      </c>
    </row>
    <row r="38" spans="1:3" x14ac:dyDescent="0.25">
      <c r="A38" s="37">
        <v>51621</v>
      </c>
      <c r="B38" s="47">
        <v>24</v>
      </c>
      <c r="C38" s="90">
        <v>2.1</v>
      </c>
    </row>
    <row r="39" spans="1:3" x14ac:dyDescent="0.25">
      <c r="A39" s="37">
        <v>51736</v>
      </c>
      <c r="B39" s="47">
        <v>54</v>
      </c>
      <c r="C39" s="90">
        <v>2.1</v>
      </c>
    </row>
    <row r="40" spans="1:3" x14ac:dyDescent="0.25">
      <c r="A40" s="37">
        <v>51936</v>
      </c>
      <c r="B40" s="47">
        <v>69</v>
      </c>
      <c r="C40" s="90">
        <v>2.1</v>
      </c>
    </row>
    <row r="41" spans="1:3" x14ac:dyDescent="0.25">
      <c r="A41" s="37">
        <v>54412</v>
      </c>
      <c r="B41" s="47">
        <v>61</v>
      </c>
      <c r="C41" s="90">
        <v>2.7</v>
      </c>
    </row>
    <row r="42" spans="1:3" x14ac:dyDescent="0.25">
      <c r="A42" s="37">
        <v>55718</v>
      </c>
      <c r="B42" s="47">
        <v>52</v>
      </c>
      <c r="C42" s="90">
        <v>2.7</v>
      </c>
    </row>
    <row r="43" spans="1:3" x14ac:dyDescent="0.25">
      <c r="A43" s="37">
        <v>56117</v>
      </c>
      <c r="B43" s="47">
        <v>90</v>
      </c>
      <c r="C43" s="90">
        <v>2.7</v>
      </c>
    </row>
    <row r="44" spans="1:3" x14ac:dyDescent="0.25">
      <c r="A44" s="37">
        <v>66701</v>
      </c>
      <c r="B44" s="47">
        <v>486</v>
      </c>
      <c r="C44" s="90">
        <v>2.7</v>
      </c>
    </row>
    <row r="45" spans="1:3" x14ac:dyDescent="0.25">
      <c r="A45" s="37">
        <v>69236</v>
      </c>
      <c r="B45" s="47">
        <v>14</v>
      </c>
      <c r="C45" s="90">
        <v>2.7</v>
      </c>
    </row>
    <row r="46" spans="1:3" x14ac:dyDescent="0.25">
      <c r="A46" s="37">
        <v>72101</v>
      </c>
      <c r="B46" s="47">
        <v>4</v>
      </c>
      <c r="C46" s="90">
        <v>3</v>
      </c>
    </row>
    <row r="47" spans="1:3" x14ac:dyDescent="0.25">
      <c r="A47" s="37" t="s">
        <v>1288</v>
      </c>
      <c r="B47" s="47">
        <v>16688</v>
      </c>
      <c r="C47" s="90">
        <v>3</v>
      </c>
    </row>
    <row r="48" spans="1:3" x14ac:dyDescent="0.25">
      <c r="C48" s="90">
        <v>3</v>
      </c>
    </row>
    <row r="49" spans="3:3" x14ac:dyDescent="0.25">
      <c r="C49" s="90">
        <v>1.8</v>
      </c>
    </row>
    <row r="50" spans="3:3" x14ac:dyDescent="0.25">
      <c r="C50" s="90">
        <v>7</v>
      </c>
    </row>
    <row r="51" spans="3:3" x14ac:dyDescent="0.25">
      <c r="C51" s="90">
        <v>1</v>
      </c>
    </row>
    <row r="52" spans="3:3" x14ac:dyDescent="0.25">
      <c r="C52" s="90">
        <v>1.8</v>
      </c>
    </row>
    <row r="53" spans="3:3" x14ac:dyDescent="0.25">
      <c r="C53" s="90">
        <v>2.7</v>
      </c>
    </row>
    <row r="54" spans="3:3" x14ac:dyDescent="0.25">
      <c r="C54" s="90">
        <v>2.7</v>
      </c>
    </row>
    <row r="55" spans="3:3" x14ac:dyDescent="0.25">
      <c r="C55" s="90">
        <v>1.8</v>
      </c>
    </row>
    <row r="56" spans="3:3" x14ac:dyDescent="0.25">
      <c r="C56" s="90">
        <v>3</v>
      </c>
    </row>
    <row r="57" spans="3:3" x14ac:dyDescent="0.25">
      <c r="C57" s="90">
        <v>3.5</v>
      </c>
    </row>
    <row r="58" spans="3:3" x14ac:dyDescent="0.25">
      <c r="C58" s="90">
        <v>2.2999999999999998</v>
      </c>
    </row>
    <row r="59" spans="3:3" x14ac:dyDescent="0.25">
      <c r="C59" s="90">
        <v>9</v>
      </c>
    </row>
    <row r="60" spans="3:3" x14ac:dyDescent="0.25">
      <c r="C60" s="90">
        <v>2.7</v>
      </c>
    </row>
    <row r="61" spans="3:3" x14ac:dyDescent="0.25">
      <c r="C61" s="90">
        <v>3</v>
      </c>
    </row>
    <row r="62" spans="3:3" x14ac:dyDescent="0.25">
      <c r="C62" s="90">
        <v>0</v>
      </c>
    </row>
    <row r="63" spans="3:3" x14ac:dyDescent="0.25">
      <c r="C63" s="90">
        <v>2.6</v>
      </c>
    </row>
    <row r="64" spans="3:3" x14ac:dyDescent="0.25">
      <c r="C64" s="90">
        <v>5</v>
      </c>
    </row>
    <row r="65" spans="3:3" x14ac:dyDescent="0.25">
      <c r="C65" s="90">
        <v>0</v>
      </c>
    </row>
    <row r="66" spans="3:3" x14ac:dyDescent="0.25">
      <c r="C66" s="90">
        <v>3</v>
      </c>
    </row>
    <row r="67" spans="3:3" x14ac:dyDescent="0.25">
      <c r="C67" s="90">
        <v>3</v>
      </c>
    </row>
    <row r="68" spans="3:3" x14ac:dyDescent="0.25">
      <c r="C68" s="90">
        <v>3</v>
      </c>
    </row>
    <row r="69" spans="3:3" x14ac:dyDescent="0.25">
      <c r="C69" s="90">
        <v>3</v>
      </c>
    </row>
    <row r="70" spans="3:3" x14ac:dyDescent="0.25">
      <c r="C70" s="90">
        <v>3</v>
      </c>
    </row>
    <row r="71" spans="3:3" x14ac:dyDescent="0.25">
      <c r="C71" s="90">
        <v>3</v>
      </c>
    </row>
    <row r="72" spans="3:3" x14ac:dyDescent="0.25">
      <c r="C72" s="90">
        <v>3</v>
      </c>
    </row>
    <row r="73" spans="3:3" x14ac:dyDescent="0.25">
      <c r="C73" s="90">
        <v>1.8</v>
      </c>
    </row>
    <row r="74" spans="3:3" x14ac:dyDescent="0.25">
      <c r="C74" s="90">
        <v>18</v>
      </c>
    </row>
    <row r="75" spans="3:3" x14ac:dyDescent="0.25">
      <c r="C75" s="90">
        <v>1.5</v>
      </c>
    </row>
    <row r="76" spans="3:3" x14ac:dyDescent="0.25">
      <c r="C76" s="90">
        <v>2.5</v>
      </c>
    </row>
    <row r="77" spans="3:3" x14ac:dyDescent="0.25">
      <c r="C77" s="90">
        <v>2.1</v>
      </c>
    </row>
    <row r="78" spans="3:3" x14ac:dyDescent="0.25">
      <c r="C78" s="90">
        <v>2.8</v>
      </c>
    </row>
    <row r="79" spans="3:3" x14ac:dyDescent="0.25">
      <c r="C79" s="90">
        <v>2.5</v>
      </c>
    </row>
    <row r="80" spans="3:3" x14ac:dyDescent="0.25">
      <c r="C80" s="90">
        <v>2.5</v>
      </c>
    </row>
    <row r="81" spans="3:3" x14ac:dyDescent="0.25">
      <c r="C81" s="90">
        <v>2.5</v>
      </c>
    </row>
    <row r="82" spans="3:3" x14ac:dyDescent="0.25">
      <c r="C82" s="90">
        <v>3.5</v>
      </c>
    </row>
    <row r="83" spans="3:3" x14ac:dyDescent="0.25">
      <c r="C83" s="90">
        <v>2.5</v>
      </c>
    </row>
    <row r="84" spans="3:3" x14ac:dyDescent="0.25">
      <c r="C84" s="90">
        <v>4</v>
      </c>
    </row>
    <row r="85" spans="3:3" x14ac:dyDescent="0.25">
      <c r="C85" s="90">
        <v>4</v>
      </c>
    </row>
    <row r="86" spans="3:3" x14ac:dyDescent="0.25">
      <c r="C86" s="90">
        <v>3.6</v>
      </c>
    </row>
    <row r="87" spans="3:3" x14ac:dyDescent="0.25">
      <c r="C87" s="90">
        <v>4</v>
      </c>
    </row>
    <row r="88" spans="3:3" x14ac:dyDescent="0.25">
      <c r="C88" s="90">
        <v>3.5</v>
      </c>
    </row>
    <row r="89" spans="3:3" x14ac:dyDescent="0.25">
      <c r="C89" s="90">
        <v>4</v>
      </c>
    </row>
    <row r="90" spans="3:3" x14ac:dyDescent="0.25">
      <c r="C90" s="90">
        <v>4</v>
      </c>
    </row>
    <row r="91" spans="3:3" x14ac:dyDescent="0.25">
      <c r="C91" s="90">
        <v>3</v>
      </c>
    </row>
    <row r="92" spans="3:3" x14ac:dyDescent="0.25">
      <c r="C92" s="90">
        <v>5</v>
      </c>
    </row>
    <row r="93" spans="3:3" x14ac:dyDescent="0.25">
      <c r="C93" s="90">
        <v>3</v>
      </c>
    </row>
    <row r="94" spans="3:3" x14ac:dyDescent="0.25">
      <c r="C94" s="90">
        <v>3</v>
      </c>
    </row>
    <row r="95" spans="3:3" x14ac:dyDescent="0.25">
      <c r="C95" s="90">
        <v>3</v>
      </c>
    </row>
    <row r="96" spans="3:3" x14ac:dyDescent="0.25">
      <c r="C96" s="90">
        <v>3</v>
      </c>
    </row>
    <row r="97" spans="3:8" x14ac:dyDescent="0.25">
      <c r="C97" s="90">
        <v>6.6</v>
      </c>
      <c r="H97">
        <f>GETPIVOTDATA("Stück",$A$4)*0.2</f>
        <v>3337.6000000000004</v>
      </c>
    </row>
    <row r="98" spans="3:8" x14ac:dyDescent="0.25">
      <c r="C98" s="90">
        <v>3.3</v>
      </c>
    </row>
    <row r="99" spans="3:8" x14ac:dyDescent="0.25">
      <c r="C99" s="90">
        <v>9.5</v>
      </c>
    </row>
    <row r="100" spans="3:8" x14ac:dyDescent="0.25">
      <c r="C100" s="90">
        <v>4</v>
      </c>
    </row>
    <row r="101" spans="3:8" x14ac:dyDescent="0.25">
      <c r="C101" s="90">
        <v>2.5</v>
      </c>
    </row>
    <row r="102" spans="3:8" x14ac:dyDescent="0.25">
      <c r="C102" s="90">
        <v>3</v>
      </c>
    </row>
    <row r="103" spans="3:8" x14ac:dyDescent="0.25">
      <c r="C103" s="90">
        <v>2.5</v>
      </c>
    </row>
    <row r="104" spans="3:8" x14ac:dyDescent="0.25">
      <c r="C104" s="90">
        <v>2.5</v>
      </c>
    </row>
    <row r="105" spans="3:8" x14ac:dyDescent="0.25">
      <c r="C105" s="90">
        <v>2.5</v>
      </c>
    </row>
    <row r="106" spans="3:8" x14ac:dyDescent="0.25">
      <c r="C106" s="90">
        <v>2.6</v>
      </c>
    </row>
    <row r="107" spans="3:8" x14ac:dyDescent="0.25">
      <c r="C107" s="90">
        <v>5</v>
      </c>
    </row>
    <row r="108" spans="3:8" x14ac:dyDescent="0.25">
      <c r="C108" s="90">
        <v>4.5</v>
      </c>
    </row>
    <row r="109" spans="3:8" x14ac:dyDescent="0.25">
      <c r="C109" s="90">
        <v>4.5</v>
      </c>
    </row>
    <row r="110" spans="3:8" x14ac:dyDescent="0.25">
      <c r="C110" s="90">
        <v>0</v>
      </c>
    </row>
    <row r="111" spans="3:8" x14ac:dyDescent="0.25">
      <c r="C111" s="90">
        <v>3</v>
      </c>
    </row>
    <row r="112" spans="3:8" x14ac:dyDescent="0.25">
      <c r="C112" s="90">
        <v>3</v>
      </c>
    </row>
    <row r="113" spans="3:3" x14ac:dyDescent="0.25">
      <c r="C113" s="90">
        <v>2</v>
      </c>
    </row>
    <row r="114" spans="3:3" x14ac:dyDescent="0.25">
      <c r="C114" s="90">
        <v>3</v>
      </c>
    </row>
    <row r="115" spans="3:3" x14ac:dyDescent="0.25">
      <c r="C115" s="90">
        <v>3</v>
      </c>
    </row>
    <row r="116" spans="3:3" x14ac:dyDescent="0.25">
      <c r="C116" s="90">
        <v>3</v>
      </c>
    </row>
    <row r="117" spans="3:3" x14ac:dyDescent="0.25">
      <c r="C117" s="90">
        <v>3</v>
      </c>
    </row>
    <row r="118" spans="3:3" x14ac:dyDescent="0.25">
      <c r="C118" s="90">
        <v>3</v>
      </c>
    </row>
    <row r="119" spans="3:3" x14ac:dyDescent="0.25">
      <c r="C119" s="90">
        <v>4</v>
      </c>
    </row>
    <row r="120" spans="3:3" x14ac:dyDescent="0.25">
      <c r="C120" s="90">
        <v>2</v>
      </c>
    </row>
    <row r="121" spans="3:3" x14ac:dyDescent="0.25">
      <c r="C121" s="90">
        <v>2</v>
      </c>
    </row>
  </sheetData>
  <pageMargins left="0.7" right="0.7" top="0.78740157499999996" bottom="0.78740157499999996" header="0.3" footer="0.3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1FF51-DD75-4805-8F19-CF90ADF6DD5D}">
  <sheetPr codeName="Tabelle5"/>
  <dimension ref="A1:O301"/>
  <sheetViews>
    <sheetView workbookViewId="0">
      <selection sqref="A1:H1048576"/>
    </sheetView>
  </sheetViews>
  <sheetFormatPr baseColWidth="10" defaultColWidth="11.42578125" defaultRowHeight="15.75" x14ac:dyDescent="0.25"/>
  <cols>
    <col min="1" max="1" width="11.5703125" style="3" bestFit="1" customWidth="1"/>
    <col min="2" max="2" width="36.7109375" style="3" bestFit="1" customWidth="1"/>
    <col min="3" max="3" width="21.85546875" style="3" bestFit="1" customWidth="1"/>
    <col min="4" max="4" width="7.7109375" style="4" bestFit="1" customWidth="1"/>
    <col min="5" max="5" width="11.5703125" style="5" bestFit="1" customWidth="1"/>
    <col min="6" max="6" width="9" style="6" bestFit="1" customWidth="1"/>
    <col min="7" max="7" width="6.42578125" style="2" bestFit="1" customWidth="1"/>
  </cols>
  <sheetData>
    <row r="1" spans="1:12" x14ac:dyDescent="0.25">
      <c r="A1" s="50" t="s">
        <v>134</v>
      </c>
      <c r="B1" s="51" t="s">
        <v>135</v>
      </c>
      <c r="C1" s="52" t="s">
        <v>683</v>
      </c>
      <c r="D1" s="50" t="s">
        <v>684</v>
      </c>
      <c r="E1" s="53" t="s">
        <v>136</v>
      </c>
      <c r="F1" s="54" t="s">
        <v>685</v>
      </c>
      <c r="G1" s="52" t="s">
        <v>137</v>
      </c>
      <c r="H1" s="77" t="s">
        <v>712</v>
      </c>
    </row>
    <row r="2" spans="1:12" x14ac:dyDescent="0.25">
      <c r="A2" s="55">
        <v>10000</v>
      </c>
      <c r="B2" s="56" t="s">
        <v>138</v>
      </c>
      <c r="C2" s="57" t="s">
        <v>139</v>
      </c>
      <c r="D2" s="55">
        <v>20</v>
      </c>
      <c r="E2" s="57"/>
      <c r="F2" s="55"/>
      <c r="G2" s="57">
        <v>45</v>
      </c>
      <c r="H2" s="57">
        <v>0.5</v>
      </c>
      <c r="L2">
        <f>(Tabelle4[[#This Row],[%]]/Tabelle4[[#This Row],[QMIMI]])*100</f>
        <v>1.1111111111111112</v>
      </c>
    </row>
    <row r="3" spans="1:12" x14ac:dyDescent="0.25">
      <c r="A3" s="55">
        <v>11000</v>
      </c>
      <c r="B3" s="56" t="s">
        <v>140</v>
      </c>
      <c r="C3" s="57" t="s">
        <v>141</v>
      </c>
      <c r="D3" s="55">
        <v>2.5</v>
      </c>
      <c r="E3" s="57">
        <v>4021799</v>
      </c>
      <c r="F3" s="55">
        <v>158273</v>
      </c>
      <c r="G3" s="57">
        <v>10</v>
      </c>
      <c r="H3" s="57">
        <v>0.5</v>
      </c>
      <c r="L3">
        <f>(Tabelle4[[#This Row],[%]]/Tabelle4[[#This Row],[QMIMI]])*100</f>
        <v>5</v>
      </c>
    </row>
    <row r="4" spans="1:12" x14ac:dyDescent="0.25">
      <c r="A4" s="55">
        <v>11111</v>
      </c>
      <c r="B4" s="56" t="s">
        <v>1010</v>
      </c>
      <c r="C4" s="57" t="s">
        <v>161</v>
      </c>
      <c r="D4" s="55">
        <v>3.5</v>
      </c>
      <c r="E4" s="57"/>
      <c r="F4" s="55"/>
      <c r="G4" s="57">
        <v>3</v>
      </c>
      <c r="H4" s="81">
        <v>0.3</v>
      </c>
      <c r="L4">
        <f>(Tabelle4[[#This Row],[%]]/Tabelle4[[#This Row],[QMIMI]])*100</f>
        <v>10</v>
      </c>
    </row>
    <row r="5" spans="1:12" x14ac:dyDescent="0.25">
      <c r="A5" s="55">
        <v>11112</v>
      </c>
      <c r="B5" s="56" t="s">
        <v>1010</v>
      </c>
      <c r="C5" s="57" t="s">
        <v>141</v>
      </c>
      <c r="D5" s="55">
        <v>24</v>
      </c>
      <c r="E5" s="57"/>
      <c r="F5" s="55"/>
      <c r="G5" s="57">
        <v>20</v>
      </c>
      <c r="H5" s="81">
        <v>2</v>
      </c>
      <c r="L5">
        <f>(Tabelle4[[#This Row],[%]]/Tabelle4[[#This Row],[QMIMI]])*100</f>
        <v>10</v>
      </c>
    </row>
    <row r="6" spans="1:12" x14ac:dyDescent="0.25">
      <c r="A6" s="55">
        <v>11113</v>
      </c>
      <c r="B6" s="56" t="s">
        <v>1010</v>
      </c>
      <c r="C6" s="57" t="s">
        <v>142</v>
      </c>
      <c r="D6" s="55">
        <v>5.25</v>
      </c>
      <c r="E6" s="57"/>
      <c r="F6" s="55"/>
      <c r="G6" s="57">
        <v>5</v>
      </c>
      <c r="H6" s="81">
        <v>0.45</v>
      </c>
      <c r="L6">
        <f>(Tabelle4[[#This Row],[%]]/Tabelle4[[#This Row],[QMIMI]])*100</f>
        <v>9</v>
      </c>
    </row>
    <row r="7" spans="1:12" x14ac:dyDescent="0.25">
      <c r="A7" s="55">
        <v>12000</v>
      </c>
      <c r="B7" s="56" t="s">
        <v>1151</v>
      </c>
      <c r="C7" s="57" t="s">
        <v>178</v>
      </c>
      <c r="D7" s="55"/>
      <c r="E7" s="57"/>
      <c r="F7" s="55"/>
      <c r="G7" s="57">
        <v>5.5</v>
      </c>
      <c r="H7" s="81">
        <v>0.5</v>
      </c>
    </row>
    <row r="8" spans="1:12" x14ac:dyDescent="0.25">
      <c r="A8" s="55">
        <v>12000</v>
      </c>
      <c r="B8" s="56" t="s">
        <v>1160</v>
      </c>
      <c r="C8" s="57"/>
      <c r="D8" s="55"/>
      <c r="E8" s="57"/>
      <c r="F8" s="55"/>
      <c r="G8" s="57">
        <v>8</v>
      </c>
      <c r="H8" s="81">
        <v>0.5</v>
      </c>
    </row>
    <row r="9" spans="1:12" x14ac:dyDescent="0.25">
      <c r="A9" s="55">
        <v>12001</v>
      </c>
      <c r="B9" s="56" t="s">
        <v>1151</v>
      </c>
      <c r="C9" s="57" t="s">
        <v>142</v>
      </c>
      <c r="D9" s="55"/>
      <c r="E9" s="57"/>
      <c r="F9" s="55"/>
      <c r="G9" s="57"/>
      <c r="H9" s="81">
        <v>0.3</v>
      </c>
    </row>
    <row r="10" spans="1:12" x14ac:dyDescent="0.25">
      <c r="A10" s="55">
        <v>16936</v>
      </c>
      <c r="B10" s="56" t="s">
        <v>1099</v>
      </c>
      <c r="C10" s="57" t="s">
        <v>164</v>
      </c>
      <c r="D10" s="55"/>
      <c r="E10" s="57"/>
      <c r="F10" s="55"/>
      <c r="G10" s="57">
        <v>3</v>
      </c>
      <c r="H10" s="81">
        <v>0.15</v>
      </c>
      <c r="L10">
        <f>(Tabelle4[[#This Row],[%]]/Tabelle4[[#This Row],[QMIMI]])*100</f>
        <v>5</v>
      </c>
    </row>
    <row r="11" spans="1:12" x14ac:dyDescent="0.25">
      <c r="A11" s="55">
        <v>17101</v>
      </c>
      <c r="B11" s="56" t="s">
        <v>1092</v>
      </c>
      <c r="C11" s="57" t="s">
        <v>1093</v>
      </c>
      <c r="D11" s="55"/>
      <c r="E11" s="57"/>
      <c r="F11" s="55"/>
      <c r="G11" s="57">
        <v>2.7</v>
      </c>
      <c r="H11" s="81">
        <v>0.15</v>
      </c>
      <c r="L11">
        <f>(Tabelle4[[#This Row],[%]]/Tabelle4[[#This Row],[QMIMI]])*100</f>
        <v>5.5555555555555554</v>
      </c>
    </row>
    <row r="12" spans="1:12" x14ac:dyDescent="0.25">
      <c r="A12" s="55">
        <v>17501</v>
      </c>
      <c r="B12" s="56" t="s">
        <v>1094</v>
      </c>
      <c r="C12" s="57" t="s">
        <v>176</v>
      </c>
      <c r="D12" s="55"/>
      <c r="E12" s="57"/>
      <c r="F12" s="55"/>
      <c r="G12" s="57">
        <v>2.7</v>
      </c>
      <c r="H12" s="81">
        <v>0.15</v>
      </c>
      <c r="L12">
        <f>(Tabelle4[[#This Row],[%]]/Tabelle4[[#This Row],[QMIMI]])*100</f>
        <v>5.5555555555555554</v>
      </c>
    </row>
    <row r="13" spans="1:12" x14ac:dyDescent="0.25">
      <c r="A13" s="55">
        <v>20000</v>
      </c>
      <c r="B13" s="56" t="s">
        <v>686</v>
      </c>
      <c r="C13" s="57" t="s">
        <v>142</v>
      </c>
      <c r="D13" s="55">
        <v>1.76</v>
      </c>
      <c r="E13" s="58">
        <v>4021799</v>
      </c>
      <c r="F13" s="55">
        <v>126920</v>
      </c>
      <c r="G13" s="57">
        <v>1.8</v>
      </c>
      <c r="H13" s="57">
        <v>0.30000000000000004</v>
      </c>
      <c r="L13">
        <f>(Tabelle4[[#This Row],[%]]/Tabelle4[[#This Row],[QMIMI]])*100</f>
        <v>16.666666666666668</v>
      </c>
    </row>
    <row r="14" spans="1:12" x14ac:dyDescent="0.25">
      <c r="A14" s="55">
        <v>20001</v>
      </c>
      <c r="B14" s="56" t="s">
        <v>687</v>
      </c>
      <c r="C14" s="57" t="s">
        <v>143</v>
      </c>
      <c r="D14" s="55">
        <v>1.76</v>
      </c>
      <c r="E14" s="58">
        <v>4021799</v>
      </c>
      <c r="F14" s="55">
        <v>123400</v>
      </c>
      <c r="G14" s="57">
        <v>1.8</v>
      </c>
      <c r="H14" s="57">
        <v>0.30000000000000004</v>
      </c>
      <c r="L14">
        <f>(Tabelle4[[#This Row],[%]]/Tabelle4[[#This Row],[QMIMI]])*100</f>
        <v>16.666666666666668</v>
      </c>
    </row>
    <row r="15" spans="1:12" x14ac:dyDescent="0.25">
      <c r="A15" s="55">
        <v>20002</v>
      </c>
      <c r="B15" s="56" t="s">
        <v>144</v>
      </c>
      <c r="C15" s="57" t="s">
        <v>145</v>
      </c>
      <c r="D15" s="55">
        <v>2.3199999999999998</v>
      </c>
      <c r="E15" s="57">
        <v>4021799</v>
      </c>
      <c r="F15" s="55">
        <v>123080</v>
      </c>
      <c r="G15" s="57">
        <v>3</v>
      </c>
      <c r="H15" s="57">
        <v>9.9999999999999645E-2</v>
      </c>
      <c r="L15">
        <f>(Tabelle4[[#This Row],[%]]/Tabelle4[[#This Row],[QMIMI]])*100</f>
        <v>3.3333333333333215</v>
      </c>
    </row>
    <row r="16" spans="1:12" x14ac:dyDescent="0.25">
      <c r="A16" s="55">
        <v>20003</v>
      </c>
      <c r="B16" s="56" t="s">
        <v>146</v>
      </c>
      <c r="C16" s="57" t="s">
        <v>147</v>
      </c>
      <c r="D16" s="55">
        <v>2.76</v>
      </c>
      <c r="E16" s="57">
        <v>4021799</v>
      </c>
      <c r="F16" s="55">
        <v>123431</v>
      </c>
      <c r="G16" s="57">
        <v>4</v>
      </c>
      <c r="H16" s="57">
        <v>0.19999999999999973</v>
      </c>
      <c r="L16">
        <f>(Tabelle4[[#This Row],[%]]/Tabelle4[[#This Row],[QMIMI]])*100</f>
        <v>4.9999999999999929</v>
      </c>
    </row>
    <row r="17" spans="1:12" x14ac:dyDescent="0.25">
      <c r="A17" s="55">
        <v>20004</v>
      </c>
      <c r="B17" s="56" t="s">
        <v>686</v>
      </c>
      <c r="C17" s="57" t="s">
        <v>148</v>
      </c>
      <c r="D17" s="55">
        <v>5</v>
      </c>
      <c r="E17" s="57">
        <v>4021799</v>
      </c>
      <c r="F17" s="55">
        <v>123431</v>
      </c>
      <c r="G17" s="57">
        <v>8</v>
      </c>
      <c r="H17" s="57">
        <v>0.19999999999999973</v>
      </c>
      <c r="L17">
        <f>(Tabelle4[[#This Row],[%]]/Tabelle4[[#This Row],[QMIMI]])*100</f>
        <v>2.4999999999999964</v>
      </c>
    </row>
    <row r="18" spans="1:12" x14ac:dyDescent="0.25">
      <c r="A18" s="55">
        <v>20014</v>
      </c>
      <c r="B18" s="56" t="s">
        <v>687</v>
      </c>
      <c r="C18" s="57" t="s">
        <v>141</v>
      </c>
      <c r="D18" s="55">
        <v>5</v>
      </c>
      <c r="E18" s="57">
        <v>4021799</v>
      </c>
      <c r="F18" s="55">
        <v>123431</v>
      </c>
      <c r="G18" s="57">
        <v>8</v>
      </c>
      <c r="H18" s="57">
        <v>0.5</v>
      </c>
      <c r="L18">
        <f>(Tabelle4[[#This Row],[%]]/Tabelle4[[#This Row],[QMIMI]])*100</f>
        <v>6.25</v>
      </c>
    </row>
    <row r="19" spans="1:12" x14ac:dyDescent="0.25">
      <c r="A19" s="55">
        <v>20030</v>
      </c>
      <c r="B19" s="56" t="s">
        <v>687</v>
      </c>
      <c r="C19" s="57" t="s">
        <v>149</v>
      </c>
      <c r="D19" s="55">
        <v>10</v>
      </c>
      <c r="E19" s="57">
        <v>4021799</v>
      </c>
      <c r="F19" s="55">
        <v>123431</v>
      </c>
      <c r="G19" s="57">
        <v>60</v>
      </c>
      <c r="H19" s="57">
        <v>0.19999999999999973</v>
      </c>
    </row>
    <row r="20" spans="1:12" x14ac:dyDescent="0.25">
      <c r="A20" s="55">
        <v>21000</v>
      </c>
      <c r="B20" s="56" t="s">
        <v>688</v>
      </c>
      <c r="C20" s="57" t="s">
        <v>142</v>
      </c>
      <c r="D20" s="55">
        <v>1.26</v>
      </c>
      <c r="E20" s="57">
        <v>4021799</v>
      </c>
      <c r="F20" s="55">
        <v>126487</v>
      </c>
      <c r="G20" s="57">
        <v>1.3</v>
      </c>
      <c r="H20" s="57">
        <v>0.19999999999999973</v>
      </c>
    </row>
    <row r="21" spans="1:12" x14ac:dyDescent="0.25">
      <c r="A21" s="55">
        <v>22000</v>
      </c>
      <c r="B21" s="56" t="s">
        <v>150</v>
      </c>
      <c r="C21" s="57" t="s">
        <v>151</v>
      </c>
      <c r="D21" s="55">
        <v>2</v>
      </c>
      <c r="E21" s="57">
        <v>4021779</v>
      </c>
      <c r="F21" s="59">
        <v>129372</v>
      </c>
      <c r="G21" s="57">
        <v>2.5</v>
      </c>
      <c r="H21" s="57">
        <v>0.19999999999999973</v>
      </c>
    </row>
    <row r="22" spans="1:12" x14ac:dyDescent="0.25">
      <c r="A22" s="55">
        <v>26736</v>
      </c>
      <c r="B22" s="56" t="s">
        <v>1096</v>
      </c>
      <c r="C22" s="57" t="s">
        <v>164</v>
      </c>
      <c r="D22" s="55"/>
      <c r="E22" s="57"/>
      <c r="F22" s="59"/>
      <c r="G22" s="57">
        <v>3</v>
      </c>
      <c r="H22" s="81">
        <v>0.15</v>
      </c>
      <c r="L22">
        <f>(Tabelle4[[#This Row],[%]]/Tabelle4[[#This Row],[QMIMI]])*100</f>
        <v>5</v>
      </c>
    </row>
    <row r="23" spans="1:12" x14ac:dyDescent="0.25">
      <c r="A23" s="55">
        <v>28022</v>
      </c>
      <c r="B23" s="56" t="s">
        <v>1097</v>
      </c>
      <c r="C23" s="57" t="s">
        <v>164</v>
      </c>
      <c r="D23" s="55"/>
      <c r="E23" s="57"/>
      <c r="F23" s="59"/>
      <c r="G23" s="57">
        <v>3.5</v>
      </c>
      <c r="H23" s="81">
        <v>0.15</v>
      </c>
      <c r="L23">
        <f>(Tabelle4[[#This Row],[%]]/Tabelle4[[#This Row],[QMIMI]])*100</f>
        <v>4.2857142857142856</v>
      </c>
    </row>
    <row r="24" spans="1:12" x14ac:dyDescent="0.25">
      <c r="A24" s="55">
        <v>28101</v>
      </c>
      <c r="B24" s="56" t="s">
        <v>1098</v>
      </c>
      <c r="C24" s="57" t="s">
        <v>164</v>
      </c>
      <c r="D24" s="55"/>
      <c r="E24" s="57"/>
      <c r="F24" s="59"/>
      <c r="G24" s="57">
        <v>3.5</v>
      </c>
      <c r="H24" s="81">
        <v>0.15</v>
      </c>
      <c r="L24">
        <f>(Tabelle4[[#This Row],[%]]/Tabelle4[[#This Row],[QMIMI]])*100</f>
        <v>4.2857142857142856</v>
      </c>
    </row>
    <row r="25" spans="1:12" x14ac:dyDescent="0.25">
      <c r="A25" s="55">
        <v>29801</v>
      </c>
      <c r="B25" s="56" t="s">
        <v>854</v>
      </c>
      <c r="C25" s="57" t="s">
        <v>855</v>
      </c>
      <c r="D25" s="55">
        <v>14</v>
      </c>
      <c r="E25" s="57">
        <v>4270000</v>
      </c>
      <c r="F25" s="59">
        <v>537240</v>
      </c>
      <c r="G25" s="57">
        <v>18</v>
      </c>
      <c r="H25" s="81">
        <v>0.5</v>
      </c>
      <c r="L25">
        <f>(Tabelle4[[#This Row],[%]]/Tabelle4[[#This Row],[QMIMI]])*100</f>
        <v>2.7777777777777777</v>
      </c>
    </row>
    <row r="26" spans="1:12" x14ac:dyDescent="0.25">
      <c r="A26" s="55">
        <v>29802</v>
      </c>
      <c r="B26" s="56" t="s">
        <v>854</v>
      </c>
      <c r="C26" s="57" t="s">
        <v>161</v>
      </c>
      <c r="D26" s="55">
        <v>0.85</v>
      </c>
      <c r="E26" s="57">
        <v>4260660</v>
      </c>
      <c r="F26" s="59">
        <v>530002</v>
      </c>
      <c r="G26" s="57">
        <v>1.5</v>
      </c>
      <c r="H26" s="81">
        <v>0.1</v>
      </c>
      <c r="L26">
        <f>(Tabelle4[[#This Row],[%]]/Tabelle4[[#This Row],[QMIMI]])*100</f>
        <v>6.666666666666667</v>
      </c>
    </row>
    <row r="27" spans="1:12" x14ac:dyDescent="0.25">
      <c r="A27" s="55">
        <v>30001</v>
      </c>
      <c r="B27" s="56" t="s">
        <v>951</v>
      </c>
      <c r="C27" s="57" t="s">
        <v>164</v>
      </c>
      <c r="D27" s="55">
        <v>4.13</v>
      </c>
      <c r="E27" s="57">
        <v>4021799</v>
      </c>
      <c r="F27" s="59">
        <v>123509</v>
      </c>
      <c r="G27" s="57">
        <v>6.5</v>
      </c>
      <c r="H27" s="81">
        <v>0.2</v>
      </c>
    </row>
    <row r="28" spans="1:12" x14ac:dyDescent="0.25">
      <c r="A28" s="55">
        <v>30275</v>
      </c>
      <c r="B28" s="56" t="s">
        <v>153</v>
      </c>
      <c r="C28" s="57" t="s">
        <v>142</v>
      </c>
      <c r="D28" s="55">
        <v>1.76</v>
      </c>
      <c r="E28" s="57">
        <v>4021799</v>
      </c>
      <c r="F28" s="55">
        <v>126562</v>
      </c>
      <c r="G28" s="57">
        <v>1.8</v>
      </c>
      <c r="H28" s="57">
        <v>0.30000000000000004</v>
      </c>
    </row>
    <row r="29" spans="1:12" x14ac:dyDescent="0.25">
      <c r="A29" s="55">
        <v>30276</v>
      </c>
      <c r="B29" s="56" t="s">
        <v>689</v>
      </c>
      <c r="C29" s="57" t="s">
        <v>142</v>
      </c>
      <c r="D29" s="55">
        <v>1.4</v>
      </c>
      <c r="E29" s="57">
        <v>4021799</v>
      </c>
      <c r="F29" s="55">
        <v>136950</v>
      </c>
      <c r="G29" s="57">
        <v>1.8</v>
      </c>
      <c r="H29" s="57">
        <v>0.30000000000000004</v>
      </c>
    </row>
    <row r="30" spans="1:12" x14ac:dyDescent="0.25">
      <c r="A30" s="55">
        <v>30277</v>
      </c>
      <c r="B30" s="56" t="s">
        <v>1256</v>
      </c>
      <c r="C30" s="57" t="s">
        <v>151</v>
      </c>
      <c r="D30" s="55">
        <v>2.5</v>
      </c>
      <c r="E30" s="57">
        <v>4021779</v>
      </c>
      <c r="F30" s="55"/>
      <c r="G30" s="57">
        <v>2.5</v>
      </c>
      <c r="H30" s="81">
        <v>0.5</v>
      </c>
    </row>
    <row r="31" spans="1:12" x14ac:dyDescent="0.25">
      <c r="A31" s="55">
        <v>31812</v>
      </c>
      <c r="B31" s="56" t="s">
        <v>1236</v>
      </c>
      <c r="C31" s="57" t="s">
        <v>917</v>
      </c>
      <c r="D31" s="55"/>
      <c r="E31" s="57"/>
      <c r="F31" s="55"/>
      <c r="G31" s="57">
        <v>2.5</v>
      </c>
      <c r="H31" s="81">
        <v>0.15</v>
      </c>
    </row>
    <row r="32" spans="1:12" x14ac:dyDescent="0.25">
      <c r="A32" s="55">
        <v>31815</v>
      </c>
      <c r="B32" s="56" t="s">
        <v>1237</v>
      </c>
      <c r="C32" s="57" t="s">
        <v>917</v>
      </c>
      <c r="D32" s="55"/>
      <c r="E32" s="57"/>
      <c r="F32" s="55"/>
      <c r="G32" s="57">
        <v>2.5</v>
      </c>
      <c r="H32" s="81">
        <v>0.15</v>
      </c>
    </row>
    <row r="33" spans="1:12" x14ac:dyDescent="0.25">
      <c r="A33" s="55">
        <v>31818</v>
      </c>
      <c r="B33" s="56" t="s">
        <v>1107</v>
      </c>
      <c r="C33" s="57" t="s">
        <v>1108</v>
      </c>
      <c r="D33" s="55"/>
      <c r="E33" s="57"/>
      <c r="F33" s="55"/>
      <c r="G33" s="57">
        <v>3</v>
      </c>
      <c r="H33" s="81">
        <v>0.15</v>
      </c>
    </row>
    <row r="34" spans="1:12" x14ac:dyDescent="0.25">
      <c r="A34" s="55">
        <v>31819</v>
      </c>
      <c r="B34" s="56" t="s">
        <v>1105</v>
      </c>
      <c r="C34" s="57" t="s">
        <v>164</v>
      </c>
      <c r="D34" s="55"/>
      <c r="E34" s="57"/>
      <c r="F34" s="55"/>
      <c r="G34" s="57">
        <v>3</v>
      </c>
      <c r="H34" s="81">
        <v>0.15</v>
      </c>
      <c r="L34">
        <f>(Tabelle4[[#This Row],[%]]/Tabelle4[[#This Row],[QMIMI]])*100</f>
        <v>5</v>
      </c>
    </row>
    <row r="35" spans="1:12" x14ac:dyDescent="0.25">
      <c r="A35" s="55">
        <v>31822</v>
      </c>
      <c r="B35" s="56" t="s">
        <v>1238</v>
      </c>
      <c r="C35" s="57" t="s">
        <v>917</v>
      </c>
      <c r="D35" s="55"/>
      <c r="E35" s="57"/>
      <c r="F35" s="55"/>
      <c r="G35" s="57">
        <v>3</v>
      </c>
      <c r="H35" s="81">
        <v>0.15</v>
      </c>
    </row>
    <row r="36" spans="1:12" x14ac:dyDescent="0.25">
      <c r="A36" s="55">
        <v>31824</v>
      </c>
      <c r="B36" s="56" t="s">
        <v>1239</v>
      </c>
      <c r="C36" s="57" t="s">
        <v>917</v>
      </c>
      <c r="D36" s="55"/>
      <c r="E36" s="57"/>
      <c r="F36" s="55"/>
      <c r="G36" s="57">
        <v>2.5</v>
      </c>
      <c r="H36" s="81">
        <v>0.15</v>
      </c>
    </row>
    <row r="37" spans="1:12" x14ac:dyDescent="0.25">
      <c r="A37" s="55">
        <v>31827</v>
      </c>
      <c r="B37" s="56" t="s">
        <v>1240</v>
      </c>
      <c r="C37" s="57" t="s">
        <v>917</v>
      </c>
      <c r="D37" s="55"/>
      <c r="E37" s="57"/>
      <c r="F37" s="55"/>
      <c r="G37" s="57">
        <v>2.5</v>
      </c>
      <c r="H37" s="81">
        <v>0.15</v>
      </c>
    </row>
    <row r="38" spans="1:12" x14ac:dyDescent="0.25">
      <c r="A38" s="55">
        <v>31828</v>
      </c>
      <c r="B38" s="56" t="s">
        <v>1106</v>
      </c>
      <c r="C38" s="57" t="s">
        <v>164</v>
      </c>
      <c r="D38" s="55"/>
      <c r="E38" s="57"/>
      <c r="F38" s="55"/>
      <c r="G38" s="57">
        <v>3</v>
      </c>
      <c r="H38" s="81">
        <v>0.15</v>
      </c>
      <c r="L38">
        <f>(Tabelle4[[#This Row],[%]]/Tabelle4[[#This Row],[QMIMI]])*100</f>
        <v>5</v>
      </c>
    </row>
    <row r="39" spans="1:12" x14ac:dyDescent="0.25">
      <c r="A39" s="55">
        <v>31880</v>
      </c>
      <c r="B39" s="56" t="s">
        <v>1126</v>
      </c>
      <c r="C39" s="57" t="s">
        <v>164</v>
      </c>
      <c r="D39" s="55"/>
      <c r="E39" s="57"/>
      <c r="F39" s="55"/>
      <c r="G39" s="57">
        <v>4.0999999999999996</v>
      </c>
      <c r="H39" s="81">
        <v>0.35</v>
      </c>
      <c r="L39">
        <f>(Tabelle4[[#This Row],[%]]/Tabelle4[[#This Row],[QMIMI]])*100</f>
        <v>8.536585365853659</v>
      </c>
    </row>
    <row r="40" spans="1:12" x14ac:dyDescent="0.25">
      <c r="A40" s="55">
        <v>31903</v>
      </c>
      <c r="B40" s="56" t="s">
        <v>1241</v>
      </c>
      <c r="C40" s="57" t="s">
        <v>164</v>
      </c>
      <c r="D40" s="55"/>
      <c r="E40" s="57"/>
      <c r="F40" s="55"/>
      <c r="G40" s="57">
        <v>3</v>
      </c>
      <c r="H40" s="81">
        <v>0.15</v>
      </c>
    </row>
    <row r="41" spans="1:12" x14ac:dyDescent="0.25">
      <c r="A41" s="55">
        <v>32001</v>
      </c>
      <c r="B41" s="56" t="s">
        <v>947</v>
      </c>
      <c r="C41" s="57" t="s">
        <v>929</v>
      </c>
      <c r="D41" s="55">
        <v>0.7</v>
      </c>
      <c r="E41" s="57">
        <v>4021799</v>
      </c>
      <c r="F41" s="55">
        <v>126852</v>
      </c>
      <c r="G41" s="57">
        <v>1.3</v>
      </c>
      <c r="H41" s="81">
        <v>0.2</v>
      </c>
      <c r="L41">
        <f>(Tabelle4[[#This Row],[%]]/Tabelle4[[#This Row],[QMIMI]])*100</f>
        <v>15.384615384615385</v>
      </c>
    </row>
    <row r="42" spans="1:12" x14ac:dyDescent="0.25">
      <c r="A42" s="55">
        <v>33008</v>
      </c>
      <c r="B42" s="56" t="s">
        <v>856</v>
      </c>
      <c r="C42" s="57" t="s">
        <v>857</v>
      </c>
      <c r="D42" s="55">
        <v>1.7</v>
      </c>
      <c r="E42" s="57">
        <v>4270000</v>
      </c>
      <c r="F42" s="55">
        <v>537172</v>
      </c>
      <c r="G42" s="57">
        <v>2.2999999999999998</v>
      </c>
      <c r="H42" s="81">
        <v>0.1</v>
      </c>
      <c r="L42">
        <f>(Tabelle4[[#This Row],[%]]/Tabelle4[[#This Row],[QMIMI]])*100</f>
        <v>4.3478260869565224</v>
      </c>
    </row>
    <row r="43" spans="1:12" x14ac:dyDescent="0.25">
      <c r="A43" s="55">
        <v>33009</v>
      </c>
      <c r="B43" s="56" t="s">
        <v>856</v>
      </c>
      <c r="C43" s="57" t="s">
        <v>297</v>
      </c>
      <c r="D43" s="55">
        <v>1.7</v>
      </c>
      <c r="E43" s="57">
        <v>4270000</v>
      </c>
      <c r="F43" s="55">
        <v>537189</v>
      </c>
      <c r="G43" s="57">
        <v>2.2999999999999998</v>
      </c>
      <c r="H43" s="81">
        <v>0.1</v>
      </c>
      <c r="L43">
        <f>(Tabelle4[[#This Row],[%]]/Tabelle4[[#This Row],[QMIMI]])*100</f>
        <v>4.3478260869565224</v>
      </c>
    </row>
    <row r="44" spans="1:12" x14ac:dyDescent="0.25">
      <c r="A44" s="55">
        <v>33010</v>
      </c>
      <c r="B44" s="56" t="s">
        <v>856</v>
      </c>
      <c r="C44" s="57" t="s">
        <v>298</v>
      </c>
      <c r="D44" s="55">
        <v>1.7</v>
      </c>
      <c r="E44" s="57">
        <v>4270000</v>
      </c>
      <c r="F44" s="55">
        <v>537103</v>
      </c>
      <c r="G44" s="57">
        <v>2.2999999999999998</v>
      </c>
      <c r="H44" s="81">
        <v>0.1</v>
      </c>
      <c r="L44">
        <f>(Tabelle4[[#This Row],[%]]/Tabelle4[[#This Row],[QMIMI]])*100</f>
        <v>4.3478260869565224</v>
      </c>
    </row>
    <row r="45" spans="1:12" x14ac:dyDescent="0.25">
      <c r="A45" s="55">
        <v>33011</v>
      </c>
      <c r="B45" s="56" t="s">
        <v>856</v>
      </c>
      <c r="C45" s="57" t="s">
        <v>299</v>
      </c>
      <c r="D45" s="55">
        <v>1.7</v>
      </c>
      <c r="E45" s="57">
        <v>4270000</v>
      </c>
      <c r="F45" s="55">
        <v>537110</v>
      </c>
      <c r="G45" s="57">
        <v>2.2999999999999998</v>
      </c>
      <c r="H45" s="81">
        <v>0.1</v>
      </c>
      <c r="L45">
        <f>(Tabelle4[[#This Row],[%]]/Tabelle4[[#This Row],[QMIMI]])*100</f>
        <v>4.3478260869565224</v>
      </c>
    </row>
    <row r="46" spans="1:12" x14ac:dyDescent="0.25">
      <c r="A46" s="55">
        <v>33012</v>
      </c>
      <c r="B46" s="56" t="s">
        <v>856</v>
      </c>
      <c r="C46" s="57" t="s">
        <v>693</v>
      </c>
      <c r="D46" s="55">
        <v>1.7</v>
      </c>
      <c r="E46" s="57">
        <v>4270000</v>
      </c>
      <c r="F46" s="55">
        <v>537141</v>
      </c>
      <c r="G46" s="57">
        <v>2.2999999999999998</v>
      </c>
      <c r="H46" s="81">
        <v>0.1</v>
      </c>
      <c r="L46">
        <f>(Tabelle4[[#This Row],[%]]/Tabelle4[[#This Row],[QMIMI]])*100</f>
        <v>4.3478260869565224</v>
      </c>
    </row>
    <row r="47" spans="1:12" x14ac:dyDescent="0.25">
      <c r="A47" s="55">
        <v>33013</v>
      </c>
      <c r="B47" s="56" t="s">
        <v>856</v>
      </c>
      <c r="C47" s="57" t="s">
        <v>300</v>
      </c>
      <c r="D47" s="55">
        <v>1.7</v>
      </c>
      <c r="E47" s="57">
        <v>4270000</v>
      </c>
      <c r="F47" s="55">
        <v>537226</v>
      </c>
      <c r="G47" s="57">
        <v>2.2999999999999998</v>
      </c>
      <c r="H47" s="81">
        <v>0.1</v>
      </c>
      <c r="L47">
        <f>(Tabelle4[[#This Row],[%]]/Tabelle4[[#This Row],[QMIMI]])*100</f>
        <v>4.3478260869565224</v>
      </c>
    </row>
    <row r="48" spans="1:12" x14ac:dyDescent="0.25">
      <c r="A48" s="55">
        <v>33014</v>
      </c>
      <c r="B48" s="56" t="s">
        <v>856</v>
      </c>
      <c r="C48" s="57" t="s">
        <v>301</v>
      </c>
      <c r="D48" s="55">
        <v>1.7</v>
      </c>
      <c r="E48" s="57">
        <v>4270000</v>
      </c>
      <c r="F48" s="55">
        <v>537134</v>
      </c>
      <c r="G48" s="57">
        <v>2.2999999999999998</v>
      </c>
      <c r="H48" s="81">
        <v>0.1</v>
      </c>
      <c r="L48">
        <f>(Tabelle4[[#This Row],[%]]/Tabelle4[[#This Row],[QMIMI]])*100</f>
        <v>4.3478260869565224</v>
      </c>
    </row>
    <row r="49" spans="1:15" x14ac:dyDescent="0.25">
      <c r="A49" s="55">
        <v>33015</v>
      </c>
      <c r="B49" s="56" t="s">
        <v>856</v>
      </c>
      <c r="C49" s="57" t="s">
        <v>302</v>
      </c>
      <c r="D49" s="55">
        <v>1.7</v>
      </c>
      <c r="E49" s="57">
        <v>4270000</v>
      </c>
      <c r="F49" s="55">
        <v>537127</v>
      </c>
      <c r="G49" s="57">
        <v>2.2999999999999998</v>
      </c>
      <c r="H49" s="81">
        <v>0.1</v>
      </c>
      <c r="L49">
        <f>(Tabelle4[[#This Row],[%]]/Tabelle4[[#This Row],[QMIMI]])*100</f>
        <v>4.3478260869565224</v>
      </c>
    </row>
    <row r="50" spans="1:15" x14ac:dyDescent="0.25">
      <c r="A50" s="55">
        <v>33019</v>
      </c>
      <c r="B50" s="56" t="s">
        <v>856</v>
      </c>
      <c r="C50" s="57" t="s">
        <v>303</v>
      </c>
      <c r="D50" s="55">
        <v>1.7</v>
      </c>
      <c r="E50" s="57">
        <v>4270000</v>
      </c>
      <c r="F50" s="55">
        <v>537219</v>
      </c>
      <c r="G50" s="57">
        <v>2.2999999999999998</v>
      </c>
      <c r="H50" s="81">
        <v>0.1</v>
      </c>
      <c r="L50">
        <f>(Tabelle4[[#This Row],[%]]/Tabelle4[[#This Row],[QMIMI]])*100</f>
        <v>4.3478260869565224</v>
      </c>
    </row>
    <row r="51" spans="1:15" x14ac:dyDescent="0.25">
      <c r="A51" s="55">
        <v>33020</v>
      </c>
      <c r="B51" s="56" t="s">
        <v>856</v>
      </c>
      <c r="C51" s="57" t="s">
        <v>304</v>
      </c>
      <c r="D51" s="55">
        <v>1.7</v>
      </c>
      <c r="E51" s="57">
        <v>4270000</v>
      </c>
      <c r="F51" s="55">
        <v>537196</v>
      </c>
      <c r="G51" s="57">
        <v>2.2999999999999998</v>
      </c>
      <c r="H51" s="81">
        <v>0.1</v>
      </c>
      <c r="L51">
        <f>(Tabelle4[[#This Row],[%]]/Tabelle4[[#This Row],[QMIMI]])*100</f>
        <v>4.3478260869565224</v>
      </c>
    </row>
    <row r="52" spans="1:15" x14ac:dyDescent="0.25">
      <c r="A52" s="55">
        <v>33021</v>
      </c>
      <c r="B52" s="56" t="s">
        <v>856</v>
      </c>
      <c r="C52" s="57" t="s">
        <v>305</v>
      </c>
      <c r="D52" s="55">
        <v>1.7</v>
      </c>
      <c r="E52" s="57">
        <v>4270000</v>
      </c>
      <c r="F52" s="55">
        <v>537202</v>
      </c>
      <c r="G52" s="57">
        <v>2.2999999999999998</v>
      </c>
      <c r="H52" s="81">
        <v>0.1</v>
      </c>
      <c r="L52">
        <f>(Tabelle4[[#This Row],[%]]/Tabelle4[[#This Row],[QMIMI]])*100</f>
        <v>4.3478260869565224</v>
      </c>
    </row>
    <row r="53" spans="1:15" x14ac:dyDescent="0.25">
      <c r="A53" s="55">
        <v>33025</v>
      </c>
      <c r="B53" s="56" t="s">
        <v>856</v>
      </c>
      <c r="C53" s="57" t="s">
        <v>306</v>
      </c>
      <c r="D53" s="55">
        <v>1.7</v>
      </c>
      <c r="E53" s="57">
        <v>4270000</v>
      </c>
      <c r="F53" s="55">
        <v>537158</v>
      </c>
      <c r="G53" s="57">
        <v>2.2999999999999998</v>
      </c>
      <c r="H53" s="81">
        <v>0.1</v>
      </c>
      <c r="L53">
        <f>(Tabelle4[[#This Row],[%]]/Tabelle4[[#This Row],[QMIMI]])*100</f>
        <v>4.3478260869565224</v>
      </c>
    </row>
    <row r="54" spans="1:15" x14ac:dyDescent="0.25">
      <c r="A54" s="55">
        <v>33028</v>
      </c>
      <c r="B54" s="56" t="s">
        <v>856</v>
      </c>
      <c r="C54" s="57" t="s">
        <v>307</v>
      </c>
      <c r="D54" s="55">
        <v>1.7</v>
      </c>
      <c r="E54" s="57">
        <v>4270000</v>
      </c>
      <c r="F54" s="55">
        <v>537233</v>
      </c>
      <c r="G54" s="57">
        <v>2.2999999999999998</v>
      </c>
      <c r="H54" s="81">
        <v>0.1</v>
      </c>
      <c r="I54">
        <f>(Tabelle4[[#This Row],[QMIMI]]*Tabelle4[[#This Row],[%]])*100</f>
        <v>23</v>
      </c>
      <c r="L54">
        <f>(Tabelle4[[#This Row],[%]]/Tabelle4[[#This Row],[QMIMI]])*100</f>
        <v>4.3478260869565224</v>
      </c>
    </row>
    <row r="55" spans="1:15" x14ac:dyDescent="0.25">
      <c r="A55" s="55">
        <v>33061</v>
      </c>
      <c r="B55" s="56" t="s">
        <v>856</v>
      </c>
      <c r="C55" s="57" t="s">
        <v>311</v>
      </c>
      <c r="D55" s="55">
        <v>1.7</v>
      </c>
      <c r="E55" s="57"/>
      <c r="F55" s="55"/>
      <c r="G55" s="57">
        <v>2.2999999999999998</v>
      </c>
      <c r="H55" s="81">
        <v>0.1</v>
      </c>
      <c r="L55">
        <f>(Tabelle4[[#This Row],[%]]/Tabelle4[[#This Row],[QMIMI]])*100</f>
        <v>4.3478260869565224</v>
      </c>
    </row>
    <row r="56" spans="1:15" x14ac:dyDescent="0.25">
      <c r="A56" s="55">
        <v>33062</v>
      </c>
      <c r="B56" s="56" t="s">
        <v>856</v>
      </c>
      <c r="C56" s="57" t="s">
        <v>312</v>
      </c>
      <c r="D56" s="55">
        <v>1.7</v>
      </c>
      <c r="E56" s="57">
        <v>4270000</v>
      </c>
      <c r="F56" s="55">
        <v>537356</v>
      </c>
      <c r="G56" s="57">
        <v>2.2999999999999998</v>
      </c>
      <c r="H56" s="81">
        <v>0.1</v>
      </c>
      <c r="L56">
        <f>(Tabelle4[[#This Row],[%]]/Tabelle4[[#This Row],[QMIMI]])*100</f>
        <v>4.3478260869565224</v>
      </c>
      <c r="O56" s="83"/>
    </row>
    <row r="57" spans="1:15" x14ac:dyDescent="0.25">
      <c r="A57" s="55">
        <v>35108</v>
      </c>
      <c r="B57" s="56" t="s">
        <v>1008</v>
      </c>
      <c r="C57" s="57" t="s">
        <v>1269</v>
      </c>
      <c r="D57" s="55"/>
      <c r="E57" s="57"/>
      <c r="F57" s="55"/>
      <c r="G57" s="57">
        <v>2.2999999999999998</v>
      </c>
      <c r="H57" s="81">
        <v>0.17</v>
      </c>
      <c r="L57">
        <f>(Tabelle4[[#This Row],[%]]/Tabelle4[[#This Row],[QMIMI]])*100</f>
        <v>7.3913043478260887</v>
      </c>
      <c r="O57" s="83"/>
    </row>
    <row r="58" spans="1:15" x14ac:dyDescent="0.25">
      <c r="A58" s="55">
        <v>35109</v>
      </c>
      <c r="B58" s="56" t="s">
        <v>1008</v>
      </c>
      <c r="C58" s="57" t="s">
        <v>1270</v>
      </c>
      <c r="D58" s="55"/>
      <c r="E58" s="57"/>
      <c r="F58" s="55"/>
      <c r="G58" s="57">
        <v>2.2999999999999998</v>
      </c>
      <c r="H58" s="81">
        <v>0.17</v>
      </c>
      <c r="L58">
        <f>(Tabelle4[[#This Row],[%]]/Tabelle4[[#This Row],[QMIMI]])*100</f>
        <v>7.3913043478260887</v>
      </c>
      <c r="O58" s="83"/>
    </row>
    <row r="59" spans="1:15" x14ac:dyDescent="0.25">
      <c r="A59" s="55">
        <v>35110</v>
      </c>
      <c r="B59" s="56" t="s">
        <v>1008</v>
      </c>
      <c r="C59" s="57" t="s">
        <v>1271</v>
      </c>
      <c r="D59" s="55"/>
      <c r="E59" s="57"/>
      <c r="F59" s="55"/>
      <c r="G59" s="57">
        <v>2.2999999999999998</v>
      </c>
      <c r="H59" s="81">
        <v>0.17</v>
      </c>
      <c r="L59">
        <f>(Tabelle4[[#This Row],[%]]/Tabelle4[[#This Row],[QMIMI]])*100</f>
        <v>7.3913043478260887</v>
      </c>
      <c r="O59" s="83"/>
    </row>
    <row r="60" spans="1:15" x14ac:dyDescent="0.25">
      <c r="A60" s="55">
        <v>35111</v>
      </c>
      <c r="B60" s="56" t="s">
        <v>1008</v>
      </c>
      <c r="C60" s="57" t="s">
        <v>1272</v>
      </c>
      <c r="D60" s="55"/>
      <c r="E60" s="57"/>
      <c r="F60" s="55"/>
      <c r="G60" s="57">
        <v>2.2999999999999998</v>
      </c>
      <c r="H60" s="81">
        <v>0.17</v>
      </c>
      <c r="L60">
        <f>(Tabelle4[[#This Row],[%]]/Tabelle4[[#This Row],[QMIMI]])*100</f>
        <v>7.3913043478260887</v>
      </c>
      <c r="N60" s="82"/>
      <c r="O60" s="82"/>
    </row>
    <row r="61" spans="1:15" x14ac:dyDescent="0.25">
      <c r="A61" s="55">
        <v>35112</v>
      </c>
      <c r="B61" s="56" t="s">
        <v>1008</v>
      </c>
      <c r="C61" s="57" t="s">
        <v>1273</v>
      </c>
      <c r="D61" s="55"/>
      <c r="E61" s="57"/>
      <c r="F61" s="55"/>
      <c r="G61" s="57">
        <v>2.2999999999999998</v>
      </c>
      <c r="H61" s="81">
        <v>0.17</v>
      </c>
      <c r="L61">
        <f>(Tabelle4[[#This Row],[%]]/Tabelle4[[#This Row],[QMIMI]])*100</f>
        <v>7.3913043478260887</v>
      </c>
    </row>
    <row r="62" spans="1:15" x14ac:dyDescent="0.25">
      <c r="A62" s="55">
        <v>35113</v>
      </c>
      <c r="B62" s="56" t="s">
        <v>1008</v>
      </c>
      <c r="C62" s="57" t="s">
        <v>1274</v>
      </c>
      <c r="D62" s="55"/>
      <c r="E62" s="57"/>
      <c r="F62" s="55"/>
      <c r="G62" s="57">
        <v>2.2999999999999998</v>
      </c>
      <c r="H62" s="81">
        <v>0.17</v>
      </c>
      <c r="L62">
        <f>(Tabelle4[[#This Row],[%]]/Tabelle4[[#This Row],[QMIMI]])*100</f>
        <v>7.3913043478260887</v>
      </c>
    </row>
    <row r="63" spans="1:15" x14ac:dyDescent="0.25">
      <c r="A63" s="55">
        <v>35114</v>
      </c>
      <c r="B63" s="56" t="s">
        <v>1008</v>
      </c>
      <c r="C63" s="57" t="s">
        <v>1275</v>
      </c>
      <c r="D63" s="55"/>
      <c r="E63" s="57"/>
      <c r="F63" s="55"/>
      <c r="G63" s="57">
        <v>2.2999999999999998</v>
      </c>
      <c r="H63" s="81">
        <v>0.17</v>
      </c>
      <c r="L63">
        <f>(Tabelle4[[#This Row],[%]]/Tabelle4[[#This Row],[QMIMI]])*100</f>
        <v>7.3913043478260887</v>
      </c>
    </row>
    <row r="64" spans="1:15" x14ac:dyDescent="0.25">
      <c r="A64" s="55">
        <v>35115</v>
      </c>
      <c r="B64" s="56" t="s">
        <v>1008</v>
      </c>
      <c r="C64" s="57" t="s">
        <v>1276</v>
      </c>
      <c r="D64" s="55"/>
      <c r="E64" s="57"/>
      <c r="F64" s="55"/>
      <c r="G64" s="57">
        <v>2.2999999999999998</v>
      </c>
      <c r="H64" s="81">
        <v>0.17</v>
      </c>
      <c r="L64">
        <f>(Tabelle4[[#This Row],[%]]/Tabelle4[[#This Row],[QMIMI]])*100</f>
        <v>7.3913043478260887</v>
      </c>
    </row>
    <row r="65" spans="1:12" x14ac:dyDescent="0.25">
      <c r="A65" s="55">
        <v>35119</v>
      </c>
      <c r="B65" s="56" t="s">
        <v>1008</v>
      </c>
      <c r="C65" s="57" t="s">
        <v>1277</v>
      </c>
      <c r="D65" s="55"/>
      <c r="E65" s="57"/>
      <c r="F65" s="55"/>
      <c r="G65" s="57">
        <v>2.2999999999999998</v>
      </c>
      <c r="H65" s="81">
        <v>0.17</v>
      </c>
      <c r="L65">
        <f>(Tabelle4[[#This Row],[%]]/Tabelle4[[#This Row],[QMIMI]])*100</f>
        <v>7.3913043478260887</v>
      </c>
    </row>
    <row r="66" spans="1:12" x14ac:dyDescent="0.25">
      <c r="A66" s="55">
        <v>35121</v>
      </c>
      <c r="B66" s="56" t="s">
        <v>1008</v>
      </c>
      <c r="C66" s="57" t="s">
        <v>1278</v>
      </c>
      <c r="D66" s="55"/>
      <c r="E66" s="57"/>
      <c r="F66" s="55"/>
      <c r="G66" s="57">
        <v>2.2999999999999998</v>
      </c>
      <c r="H66" s="81">
        <v>0.17</v>
      </c>
      <c r="L66">
        <f>(Tabelle4[[#This Row],[%]]/Tabelle4[[#This Row],[QMIMI]])*100</f>
        <v>7.3913043478260887</v>
      </c>
    </row>
    <row r="67" spans="1:12" x14ac:dyDescent="0.25">
      <c r="A67" s="55">
        <v>35125</v>
      </c>
      <c r="B67" s="56" t="s">
        <v>1008</v>
      </c>
      <c r="C67" s="57" t="s">
        <v>1279</v>
      </c>
      <c r="D67" s="55"/>
      <c r="E67" s="57"/>
      <c r="F67" s="55"/>
      <c r="G67" s="57">
        <v>2.2999999999999998</v>
      </c>
      <c r="H67" s="81">
        <v>0.17</v>
      </c>
      <c r="L67">
        <f>(Tabelle4[[#This Row],[%]]/Tabelle4[[#This Row],[QMIMI]])*100</f>
        <v>7.3913043478260887</v>
      </c>
    </row>
    <row r="68" spans="1:12" x14ac:dyDescent="0.25">
      <c r="A68" s="55">
        <v>35128</v>
      </c>
      <c r="B68" s="56" t="s">
        <v>1008</v>
      </c>
      <c r="C68" s="57" t="s">
        <v>1280</v>
      </c>
      <c r="D68" s="55"/>
      <c r="E68" s="57"/>
      <c r="F68" s="55"/>
      <c r="G68" s="57">
        <v>2.2999999999999998</v>
      </c>
      <c r="H68" s="81">
        <v>0.17</v>
      </c>
      <c r="L68">
        <f>(Tabelle4[[#This Row],[%]]/Tabelle4[[#This Row],[QMIMI]])*100</f>
        <v>7.3913043478260887</v>
      </c>
    </row>
    <row r="69" spans="1:12" x14ac:dyDescent="0.25">
      <c r="A69" s="55">
        <v>36010</v>
      </c>
      <c r="B69" s="56" t="s">
        <v>973</v>
      </c>
      <c r="C69" s="57" t="s">
        <v>298</v>
      </c>
      <c r="D69" s="55"/>
      <c r="E69" s="57">
        <v>4270000</v>
      </c>
      <c r="F69" s="55">
        <v>537301</v>
      </c>
      <c r="G69" s="57">
        <v>3</v>
      </c>
      <c r="H69" s="81">
        <v>0.1</v>
      </c>
      <c r="L69">
        <f>(Tabelle4[[#This Row],[%]]/Tabelle4[[#This Row],[QMIMI]])*100</f>
        <v>3.3333333333333335</v>
      </c>
    </row>
    <row r="70" spans="1:12" x14ac:dyDescent="0.25">
      <c r="A70" s="55">
        <v>36011</v>
      </c>
      <c r="B70" s="56" t="s">
        <v>973</v>
      </c>
      <c r="C70" s="57" t="s">
        <v>299</v>
      </c>
      <c r="D70" s="55"/>
      <c r="E70" s="57">
        <v>4270000</v>
      </c>
      <c r="F70" s="55">
        <v>537318</v>
      </c>
      <c r="G70" s="57">
        <v>3</v>
      </c>
      <c r="H70" s="81">
        <v>0.1</v>
      </c>
      <c r="L70">
        <f>(Tabelle4[[#This Row],[%]]/Tabelle4[[#This Row],[QMIMI]])*100</f>
        <v>3.3333333333333335</v>
      </c>
    </row>
    <row r="71" spans="1:12" x14ac:dyDescent="0.25">
      <c r="A71" s="55">
        <v>36012</v>
      </c>
      <c r="B71" s="56" t="s">
        <v>973</v>
      </c>
      <c r="C71" s="57" t="s">
        <v>693</v>
      </c>
      <c r="D71" s="55"/>
      <c r="E71" s="57">
        <v>4270000</v>
      </c>
      <c r="F71" s="55">
        <v>537325</v>
      </c>
      <c r="G71" s="57">
        <v>3</v>
      </c>
      <c r="H71" s="81">
        <v>0.1</v>
      </c>
      <c r="L71">
        <f>(Tabelle4[[#This Row],[%]]/Tabelle4[[#This Row],[QMIMI]])*100</f>
        <v>3.3333333333333335</v>
      </c>
    </row>
    <row r="72" spans="1:12" x14ac:dyDescent="0.25">
      <c r="A72" s="55">
        <v>36014</v>
      </c>
      <c r="B72" s="56" t="s">
        <v>973</v>
      </c>
      <c r="C72" s="57" t="s">
        <v>301</v>
      </c>
      <c r="D72" s="55"/>
      <c r="E72" s="57">
        <v>4270000</v>
      </c>
      <c r="F72" s="55">
        <v>537332</v>
      </c>
      <c r="G72" s="57">
        <v>3</v>
      </c>
      <c r="H72" s="81">
        <v>0.1</v>
      </c>
      <c r="L72">
        <f>(Tabelle4[[#This Row],[%]]/Tabelle4[[#This Row],[QMIMI]])*100</f>
        <v>3.3333333333333335</v>
      </c>
    </row>
    <row r="73" spans="1:12" x14ac:dyDescent="0.25">
      <c r="A73" s="55">
        <v>36015</v>
      </c>
      <c r="B73" s="56" t="s">
        <v>973</v>
      </c>
      <c r="C73" s="57" t="s">
        <v>302</v>
      </c>
      <c r="D73" s="55"/>
      <c r="E73" s="57">
        <v>4270000</v>
      </c>
      <c r="F73" s="55">
        <v>537349</v>
      </c>
      <c r="G73" s="57">
        <v>3</v>
      </c>
      <c r="H73" s="81">
        <v>0.1</v>
      </c>
      <c r="L73">
        <f>(Tabelle4[[#This Row],[%]]/Tabelle4[[#This Row],[QMIMI]])*100</f>
        <v>3.3333333333333335</v>
      </c>
    </row>
    <row r="74" spans="1:12" x14ac:dyDescent="0.25">
      <c r="A74" s="55">
        <v>36110</v>
      </c>
      <c r="B74" s="56" t="s">
        <v>1062</v>
      </c>
      <c r="C74" s="57"/>
      <c r="D74" s="55"/>
      <c r="E74" s="57"/>
      <c r="F74" s="55"/>
      <c r="G74" s="57">
        <v>3</v>
      </c>
      <c r="H74" s="81">
        <v>0.1</v>
      </c>
      <c r="L74">
        <f>(Tabelle4[[#This Row],[%]]/Tabelle4[[#This Row],[QMIMI]])*100</f>
        <v>3.3333333333333335</v>
      </c>
    </row>
    <row r="75" spans="1:12" x14ac:dyDescent="0.25">
      <c r="A75" s="55">
        <v>36111</v>
      </c>
      <c r="B75" s="56" t="s">
        <v>1062</v>
      </c>
      <c r="C75" s="57"/>
      <c r="D75" s="55"/>
      <c r="E75" s="57"/>
      <c r="F75" s="55"/>
      <c r="G75" s="57">
        <v>3</v>
      </c>
      <c r="H75" s="81">
        <v>0.1</v>
      </c>
      <c r="L75">
        <f>(Tabelle4[[#This Row],[%]]/Tabelle4[[#This Row],[QMIMI]])*100</f>
        <v>3.3333333333333335</v>
      </c>
    </row>
    <row r="76" spans="1:12" x14ac:dyDescent="0.25">
      <c r="A76" s="55">
        <v>36112</v>
      </c>
      <c r="B76" s="56" t="s">
        <v>1062</v>
      </c>
      <c r="C76" s="57"/>
      <c r="D76" s="55"/>
      <c r="E76" s="57"/>
      <c r="F76" s="55"/>
      <c r="G76" s="57">
        <v>3</v>
      </c>
      <c r="H76" s="81">
        <v>0.1</v>
      </c>
      <c r="L76">
        <f>(Tabelle4[[#This Row],[%]]/Tabelle4[[#This Row],[QMIMI]])*100</f>
        <v>3.3333333333333335</v>
      </c>
    </row>
    <row r="77" spans="1:12" x14ac:dyDescent="0.25">
      <c r="A77" s="55">
        <v>36114</v>
      </c>
      <c r="B77" s="56" t="s">
        <v>1062</v>
      </c>
      <c r="C77" s="57"/>
      <c r="D77" s="55"/>
      <c r="E77" s="57"/>
      <c r="F77" s="55"/>
      <c r="G77" s="57">
        <v>3</v>
      </c>
      <c r="H77" s="81">
        <v>0.1</v>
      </c>
    </row>
    <row r="78" spans="1:12" x14ac:dyDescent="0.25">
      <c r="A78" s="55">
        <v>36115</v>
      </c>
      <c r="B78" s="56" t="s">
        <v>1062</v>
      </c>
      <c r="C78" s="57"/>
      <c r="D78" s="55"/>
      <c r="E78" s="57"/>
      <c r="F78" s="55"/>
      <c r="G78" s="57">
        <v>3</v>
      </c>
      <c r="H78" s="81">
        <v>0.1</v>
      </c>
    </row>
    <row r="79" spans="1:12" x14ac:dyDescent="0.25">
      <c r="A79" s="55">
        <v>36121</v>
      </c>
      <c r="B79" s="56" t="s">
        <v>1062</v>
      </c>
      <c r="C79" s="57"/>
      <c r="D79" s="55"/>
      <c r="E79" s="57"/>
      <c r="F79" s="55"/>
      <c r="G79" s="57">
        <v>3</v>
      </c>
      <c r="H79" s="81">
        <v>0.1</v>
      </c>
    </row>
    <row r="80" spans="1:12" x14ac:dyDescent="0.25">
      <c r="A80" s="55">
        <v>37110</v>
      </c>
      <c r="B80" s="56" t="s">
        <v>1246</v>
      </c>
      <c r="C80" s="57" t="s">
        <v>1247</v>
      </c>
      <c r="D80" s="55"/>
      <c r="E80" s="57"/>
      <c r="F80" s="55"/>
      <c r="G80" s="57">
        <v>2</v>
      </c>
      <c r="H80" s="81">
        <v>0.05</v>
      </c>
    </row>
    <row r="81" spans="1:12" x14ac:dyDescent="0.25">
      <c r="A81" s="55">
        <v>37111</v>
      </c>
      <c r="B81" s="56" t="s">
        <v>1248</v>
      </c>
      <c r="C81" s="57" t="s">
        <v>1247</v>
      </c>
      <c r="D81" s="55"/>
      <c r="E81" s="57"/>
      <c r="F81" s="55"/>
      <c r="G81" s="57">
        <v>2</v>
      </c>
      <c r="H81" s="81">
        <v>0.05</v>
      </c>
    </row>
    <row r="82" spans="1:12" x14ac:dyDescent="0.25">
      <c r="A82" s="55">
        <v>37112</v>
      </c>
      <c r="B82" s="56" t="s">
        <v>1249</v>
      </c>
      <c r="C82" s="57" t="s">
        <v>1247</v>
      </c>
      <c r="D82" s="55"/>
      <c r="E82" s="57"/>
      <c r="F82" s="55"/>
      <c r="G82" s="57">
        <v>2</v>
      </c>
      <c r="H82" s="81">
        <v>0.05</v>
      </c>
    </row>
    <row r="83" spans="1:12" x14ac:dyDescent="0.25">
      <c r="A83" s="55">
        <v>37115</v>
      </c>
      <c r="B83" s="56" t="s">
        <v>1250</v>
      </c>
      <c r="C83" s="57" t="s">
        <v>1247</v>
      </c>
      <c r="D83" s="55"/>
      <c r="E83" s="57"/>
      <c r="F83" s="55"/>
      <c r="G83" s="57">
        <v>2</v>
      </c>
      <c r="H83" s="81">
        <v>0.05</v>
      </c>
    </row>
    <row r="84" spans="1:12" x14ac:dyDescent="0.25">
      <c r="A84" s="55">
        <v>38013</v>
      </c>
      <c r="B84" s="56" t="s">
        <v>1104</v>
      </c>
      <c r="C84" s="57" t="s">
        <v>164</v>
      </c>
      <c r="D84" s="55"/>
      <c r="E84" s="57"/>
      <c r="F84" s="55"/>
      <c r="G84" s="57">
        <v>3</v>
      </c>
      <c r="H84" s="81">
        <v>0.15</v>
      </c>
      <c r="L84">
        <f>(Tabelle4[[#This Row],[%]]/Tabelle4[[#This Row],[QMIMI]])*100</f>
        <v>5</v>
      </c>
    </row>
    <row r="85" spans="1:12" x14ac:dyDescent="0.25">
      <c r="A85" s="55">
        <v>38136</v>
      </c>
      <c r="B85" s="56" t="s">
        <v>1100</v>
      </c>
      <c r="C85" s="57" t="s">
        <v>164</v>
      </c>
      <c r="D85" s="55"/>
      <c r="E85" s="57"/>
      <c r="F85" s="55"/>
      <c r="G85" s="57">
        <v>3</v>
      </c>
      <c r="H85" s="81">
        <v>0.15</v>
      </c>
      <c r="L85">
        <f>(Tabelle4[[#This Row],[%]]/Tabelle4[[#This Row],[QMIMI]])*100</f>
        <v>5</v>
      </c>
    </row>
    <row r="86" spans="1:12" x14ac:dyDescent="0.25">
      <c r="A86" s="55">
        <v>39505</v>
      </c>
      <c r="B86" s="56" t="s">
        <v>1311</v>
      </c>
      <c r="C86" s="57" t="s">
        <v>917</v>
      </c>
      <c r="D86" s="55"/>
      <c r="E86" s="57"/>
      <c r="F86" s="55"/>
      <c r="G86" s="57">
        <v>3</v>
      </c>
      <c r="H86" s="81">
        <v>0.2</v>
      </c>
    </row>
    <row r="87" spans="1:12" x14ac:dyDescent="0.25">
      <c r="A87" s="55">
        <v>44001</v>
      </c>
      <c r="B87" s="56" t="s">
        <v>192</v>
      </c>
      <c r="C87" s="57" t="s">
        <v>917</v>
      </c>
      <c r="D87" s="55"/>
      <c r="E87" s="57"/>
      <c r="F87" s="55"/>
      <c r="G87" s="57">
        <v>3.5</v>
      </c>
      <c r="H87" s="81">
        <v>0.2</v>
      </c>
      <c r="L87">
        <f>(Tabelle4[[#This Row],[%]]/Tabelle4[[#This Row],[QMIMI]])*100</f>
        <v>5.7142857142857144</v>
      </c>
    </row>
    <row r="88" spans="1:12" x14ac:dyDescent="0.25">
      <c r="A88" s="55">
        <v>49644</v>
      </c>
      <c r="B88" s="56" t="s">
        <v>977</v>
      </c>
      <c r="C88" s="57" t="s">
        <v>164</v>
      </c>
      <c r="D88" s="55"/>
      <c r="E88" s="57">
        <v>4270000</v>
      </c>
      <c r="F88" s="55">
        <v>537264</v>
      </c>
      <c r="G88" s="57">
        <v>2</v>
      </c>
      <c r="H88" s="81">
        <v>0.2</v>
      </c>
      <c r="L88">
        <f>(Tabelle4[[#This Row],[%]]/Tabelle4[[#This Row],[QMIMI]])*100</f>
        <v>10</v>
      </c>
    </row>
    <row r="89" spans="1:12" x14ac:dyDescent="0.25">
      <c r="A89" s="55">
        <v>50001</v>
      </c>
      <c r="B89" s="56" t="s">
        <v>154</v>
      </c>
      <c r="C89" s="57" t="s">
        <v>155</v>
      </c>
      <c r="D89" s="55">
        <v>2.76</v>
      </c>
      <c r="E89" s="57">
        <v>4021799</v>
      </c>
      <c r="F89" s="55">
        <v>125268</v>
      </c>
      <c r="G89" s="57">
        <v>3.5</v>
      </c>
      <c r="H89" s="57">
        <v>0.20000000000000018</v>
      </c>
    </row>
    <row r="90" spans="1:12" x14ac:dyDescent="0.25">
      <c r="A90" s="55">
        <v>50002</v>
      </c>
      <c r="B90" s="56" t="s">
        <v>154</v>
      </c>
      <c r="C90" s="57" t="s">
        <v>156</v>
      </c>
      <c r="D90" s="55">
        <v>2.76</v>
      </c>
      <c r="E90" s="57">
        <v>4021799</v>
      </c>
      <c r="F90" s="55">
        <v>125572</v>
      </c>
      <c r="G90" s="57">
        <v>3.5</v>
      </c>
      <c r="H90" s="57">
        <v>0.20000000000000018</v>
      </c>
    </row>
    <row r="91" spans="1:12" x14ac:dyDescent="0.25">
      <c r="A91" s="55">
        <v>50912</v>
      </c>
      <c r="B91" s="56" t="s">
        <v>1063</v>
      </c>
      <c r="C91" s="57"/>
      <c r="D91" s="55"/>
      <c r="E91" s="57"/>
      <c r="F91" s="55"/>
      <c r="G91" s="57">
        <v>7</v>
      </c>
      <c r="H91" s="81">
        <v>0.2</v>
      </c>
    </row>
    <row r="92" spans="1:12" x14ac:dyDescent="0.25">
      <c r="A92" s="55">
        <v>51611</v>
      </c>
      <c r="B92" s="56" t="s">
        <v>1017</v>
      </c>
      <c r="C92" s="57"/>
      <c r="D92" s="55"/>
      <c r="E92" s="57"/>
      <c r="F92" s="55"/>
      <c r="G92" s="57">
        <v>1.1000000000000001</v>
      </c>
      <c r="H92" s="81">
        <v>0.06</v>
      </c>
    </row>
    <row r="93" spans="1:12" x14ac:dyDescent="0.25">
      <c r="A93" s="55">
        <v>51612</v>
      </c>
      <c r="B93" s="56" t="s">
        <v>1018</v>
      </c>
      <c r="C93" s="57"/>
      <c r="D93" s="55"/>
      <c r="E93" s="57"/>
      <c r="F93" s="55"/>
      <c r="G93" s="57">
        <v>1.9</v>
      </c>
      <c r="H93" s="81">
        <v>0.06</v>
      </c>
      <c r="L93">
        <f>(Tabelle4[[#This Row],[%]]/Tabelle4[[#This Row],[QMIMI]])*100</f>
        <v>3.1578947368421053</v>
      </c>
    </row>
    <row r="94" spans="1:12" x14ac:dyDescent="0.25">
      <c r="A94" s="55">
        <v>51736</v>
      </c>
      <c r="B94" s="56" t="s">
        <v>1101</v>
      </c>
      <c r="C94" s="57"/>
      <c r="D94" s="55"/>
      <c r="E94" s="57"/>
      <c r="F94" s="55"/>
      <c r="G94" s="57">
        <v>2.7</v>
      </c>
      <c r="H94" s="81">
        <v>0.15</v>
      </c>
    </row>
    <row r="95" spans="1:12" x14ac:dyDescent="0.25">
      <c r="A95" s="55">
        <v>51936</v>
      </c>
      <c r="B95" s="56" t="s">
        <v>1102</v>
      </c>
      <c r="C95" s="57" t="s">
        <v>164</v>
      </c>
      <c r="D95" s="55"/>
      <c r="E95" s="57"/>
      <c r="F95" s="55"/>
      <c r="G95" s="57">
        <v>2.7</v>
      </c>
      <c r="H95" s="81">
        <v>0.15</v>
      </c>
    </row>
    <row r="96" spans="1:12" x14ac:dyDescent="0.25">
      <c r="A96" s="55">
        <v>54412</v>
      </c>
      <c r="B96" s="56" t="s">
        <v>978</v>
      </c>
      <c r="C96" s="57" t="s">
        <v>161</v>
      </c>
      <c r="D96" s="55"/>
      <c r="E96" s="57">
        <v>4270000</v>
      </c>
      <c r="F96" s="55">
        <v>537257</v>
      </c>
      <c r="G96" s="57">
        <v>2.2999999999999998</v>
      </c>
      <c r="H96" s="81">
        <v>0.2</v>
      </c>
    </row>
    <row r="97" spans="1:12" x14ac:dyDescent="0.25">
      <c r="A97" s="55">
        <v>55718</v>
      </c>
      <c r="B97" s="56" t="s">
        <v>1011</v>
      </c>
      <c r="C97" s="57" t="s">
        <v>1013</v>
      </c>
      <c r="D97" s="55"/>
      <c r="E97" s="57"/>
      <c r="F97" s="55"/>
      <c r="G97" s="57">
        <v>3.5</v>
      </c>
      <c r="H97" s="81">
        <v>0.2</v>
      </c>
    </row>
    <row r="98" spans="1:12" x14ac:dyDescent="0.25">
      <c r="A98" s="55">
        <v>56117</v>
      </c>
      <c r="B98" s="56" t="s">
        <v>1012</v>
      </c>
      <c r="C98" s="57" t="s">
        <v>1014</v>
      </c>
      <c r="D98" s="55"/>
      <c r="E98" s="57"/>
      <c r="F98" s="55"/>
      <c r="G98" s="57">
        <v>4</v>
      </c>
      <c r="H98" s="81">
        <v>0.2</v>
      </c>
    </row>
    <row r="99" spans="1:12" x14ac:dyDescent="0.25">
      <c r="A99" s="55">
        <v>66700</v>
      </c>
      <c r="B99" s="56" t="s">
        <v>1111</v>
      </c>
      <c r="C99" s="57" t="s">
        <v>1112</v>
      </c>
      <c r="D99" s="55"/>
      <c r="E99" s="57"/>
      <c r="F99" s="55"/>
      <c r="G99" s="57">
        <v>2.2999999999999998</v>
      </c>
      <c r="H99" s="81">
        <v>0.1</v>
      </c>
    </row>
    <row r="100" spans="1:12" x14ac:dyDescent="0.25">
      <c r="A100" s="55">
        <v>66701</v>
      </c>
      <c r="B100" s="56" t="s">
        <v>1124</v>
      </c>
      <c r="C100" s="57" t="s">
        <v>1112</v>
      </c>
      <c r="D100" s="55" t="s">
        <v>1125</v>
      </c>
      <c r="E100" s="57"/>
      <c r="F100" s="55"/>
      <c r="G100" s="57">
        <v>5.8</v>
      </c>
      <c r="H100" s="81">
        <v>0.2</v>
      </c>
    </row>
    <row r="101" spans="1:12" x14ac:dyDescent="0.25">
      <c r="A101" s="55">
        <v>66702</v>
      </c>
      <c r="B101" s="56" t="s">
        <v>1242</v>
      </c>
      <c r="C101" s="57" t="s">
        <v>1243</v>
      </c>
      <c r="D101" s="55"/>
      <c r="E101" s="57"/>
      <c r="F101" s="55"/>
      <c r="G101" s="57">
        <v>4.5</v>
      </c>
      <c r="H101" s="81">
        <v>0.5</v>
      </c>
    </row>
    <row r="102" spans="1:12" x14ac:dyDescent="0.25">
      <c r="A102" s="55">
        <v>66762</v>
      </c>
      <c r="B102" s="56" t="s">
        <v>1113</v>
      </c>
      <c r="C102" s="57" t="s">
        <v>1114</v>
      </c>
      <c r="D102" s="55"/>
      <c r="E102" s="57"/>
      <c r="F102" s="55"/>
      <c r="G102" s="57">
        <v>9</v>
      </c>
      <c r="H102" s="81">
        <v>0.5</v>
      </c>
      <c r="L102">
        <f>(Tabelle4[[#This Row],[%]]/Tabelle4[[#This Row],[QMIMI]])*100</f>
        <v>5.5555555555555554</v>
      </c>
    </row>
    <row r="103" spans="1:12" x14ac:dyDescent="0.25">
      <c r="A103" s="55">
        <v>69236</v>
      </c>
      <c r="B103" s="56" t="s">
        <v>1103</v>
      </c>
      <c r="C103" s="57"/>
      <c r="D103" s="55"/>
      <c r="E103" s="57"/>
      <c r="F103" s="55"/>
      <c r="G103" s="57">
        <v>2.5</v>
      </c>
      <c r="H103" s="81">
        <v>0.15</v>
      </c>
    </row>
    <row r="104" spans="1:12" x14ac:dyDescent="0.25">
      <c r="A104" s="55">
        <v>72101</v>
      </c>
      <c r="B104" s="56" t="s">
        <v>695</v>
      </c>
      <c r="C104" s="57"/>
      <c r="D104" s="55"/>
      <c r="E104" s="57"/>
      <c r="F104" s="55"/>
      <c r="G104" s="57">
        <v>4.2</v>
      </c>
      <c r="H104" s="81">
        <v>0.2</v>
      </c>
    </row>
    <row r="105" spans="1:12" x14ac:dyDescent="0.25">
      <c r="A105" s="55">
        <v>74001</v>
      </c>
      <c r="B105" s="56" t="s">
        <v>1015</v>
      </c>
      <c r="C105" s="57" t="s">
        <v>1016</v>
      </c>
      <c r="D105" s="55"/>
      <c r="E105" s="57"/>
      <c r="F105" s="55"/>
      <c r="G105" s="57">
        <v>3</v>
      </c>
      <c r="H105" s="81">
        <v>0.05</v>
      </c>
    </row>
    <row r="106" spans="1:12" x14ac:dyDescent="0.25">
      <c r="A106" s="55">
        <v>77777</v>
      </c>
      <c r="B106" s="56" t="s">
        <v>1076</v>
      </c>
      <c r="C106" s="57"/>
      <c r="D106" s="55"/>
      <c r="E106" s="57"/>
      <c r="F106" s="55"/>
      <c r="G106" s="57">
        <v>1.8</v>
      </c>
      <c r="H106" s="81">
        <v>0.05</v>
      </c>
    </row>
    <row r="107" spans="1:12" x14ac:dyDescent="0.25">
      <c r="A107" s="55">
        <v>82155</v>
      </c>
      <c r="B107" s="56" t="s">
        <v>1064</v>
      </c>
      <c r="C107" s="57"/>
      <c r="D107" s="55"/>
      <c r="E107" s="57"/>
      <c r="F107" s="55"/>
      <c r="G107" s="57"/>
      <c r="H107" s="81">
        <v>0.05</v>
      </c>
    </row>
    <row r="108" spans="1:12" x14ac:dyDescent="0.25">
      <c r="A108" s="55">
        <v>82156</v>
      </c>
      <c r="B108" s="56" t="s">
        <v>1065</v>
      </c>
      <c r="C108" s="57"/>
      <c r="D108" s="55"/>
      <c r="E108" s="57"/>
      <c r="F108" s="55"/>
      <c r="G108" s="57"/>
      <c r="H108" s="81">
        <v>0.05</v>
      </c>
    </row>
    <row r="109" spans="1:12" x14ac:dyDescent="0.25">
      <c r="A109" s="55">
        <v>82158</v>
      </c>
      <c r="B109" s="56" t="s">
        <v>1066</v>
      </c>
      <c r="C109" s="57"/>
      <c r="D109" s="55"/>
      <c r="E109" s="57"/>
      <c r="F109" s="55"/>
      <c r="G109" s="57"/>
      <c r="H109" s="81">
        <v>0.05</v>
      </c>
    </row>
    <row r="110" spans="1:12" x14ac:dyDescent="0.25">
      <c r="A110" s="55">
        <v>82218</v>
      </c>
      <c r="B110" s="56" t="s">
        <v>1067</v>
      </c>
      <c r="C110" s="57"/>
      <c r="D110" s="55"/>
      <c r="E110" s="57"/>
      <c r="F110" s="55"/>
      <c r="G110" s="57"/>
      <c r="H110" s="81">
        <v>0.05</v>
      </c>
    </row>
    <row r="111" spans="1:12" x14ac:dyDescent="0.25">
      <c r="A111" s="55">
        <v>82410</v>
      </c>
      <c r="B111" s="56" t="s">
        <v>1068</v>
      </c>
      <c r="C111" s="57"/>
      <c r="D111" s="55"/>
      <c r="E111" s="57"/>
      <c r="F111" s="55"/>
      <c r="G111" s="57"/>
      <c r="H111" s="81">
        <v>0.05</v>
      </c>
    </row>
    <row r="112" spans="1:12" x14ac:dyDescent="0.25">
      <c r="A112" s="55">
        <v>82426</v>
      </c>
      <c r="B112" s="56" t="s">
        <v>1069</v>
      </c>
      <c r="C112" s="57"/>
      <c r="D112" s="55"/>
      <c r="E112" s="57"/>
      <c r="F112" s="55"/>
      <c r="G112" s="57"/>
      <c r="H112" s="81">
        <v>0.05</v>
      </c>
    </row>
    <row r="113" spans="1:12" x14ac:dyDescent="0.25">
      <c r="A113" s="55">
        <v>82515</v>
      </c>
      <c r="B113" s="56" t="s">
        <v>1070</v>
      </c>
      <c r="C113" s="57"/>
      <c r="D113" s="55"/>
      <c r="E113" s="57"/>
      <c r="F113" s="55"/>
      <c r="G113" s="57"/>
      <c r="H113" s="81">
        <v>0.05</v>
      </c>
    </row>
    <row r="114" spans="1:12" x14ac:dyDescent="0.25">
      <c r="A114" s="55">
        <v>82707</v>
      </c>
      <c r="B114" s="56" t="s">
        <v>1071</v>
      </c>
      <c r="C114" s="57"/>
      <c r="D114" s="55"/>
      <c r="E114" s="57"/>
      <c r="F114" s="55"/>
      <c r="G114" s="57"/>
      <c r="H114" s="81">
        <v>0.05</v>
      </c>
    </row>
    <row r="115" spans="1:12" x14ac:dyDescent="0.25">
      <c r="A115" s="55">
        <v>82714</v>
      </c>
      <c r="B115" s="56" t="s">
        <v>1072</v>
      </c>
      <c r="C115" s="57"/>
      <c r="D115" s="55"/>
      <c r="E115" s="57"/>
      <c r="F115" s="55"/>
      <c r="G115" s="57"/>
      <c r="H115" s="81">
        <v>0.05</v>
      </c>
    </row>
    <row r="116" spans="1:12" x14ac:dyDescent="0.25">
      <c r="A116" s="55">
        <v>82805</v>
      </c>
      <c r="B116" s="56" t="s">
        <v>1073</v>
      </c>
      <c r="C116" s="57"/>
      <c r="D116" s="55"/>
      <c r="E116" s="57"/>
      <c r="F116" s="55"/>
      <c r="G116" s="57"/>
      <c r="H116" s="81">
        <v>0.05</v>
      </c>
      <c r="L116" t="e">
        <f>(Tabelle4[[#This Row],[%]]/Tabelle4[[#This Row],[QMIMI]])*100</f>
        <v>#DIV/0!</v>
      </c>
    </row>
    <row r="117" spans="1:12" x14ac:dyDescent="0.25">
      <c r="A117" s="55">
        <v>82887</v>
      </c>
      <c r="B117" s="56" t="s">
        <v>1074</v>
      </c>
      <c r="C117" s="57"/>
      <c r="D117" s="55"/>
      <c r="E117" s="57"/>
      <c r="F117" s="55"/>
      <c r="G117" s="57"/>
      <c r="H117" s="81">
        <v>0.05</v>
      </c>
    </row>
    <row r="118" spans="1:12" x14ac:dyDescent="0.25">
      <c r="A118" s="55">
        <v>82968</v>
      </c>
      <c r="B118" s="56" t="s">
        <v>1075</v>
      </c>
      <c r="C118" s="57"/>
      <c r="D118" s="55"/>
      <c r="E118" s="57"/>
      <c r="F118" s="55"/>
      <c r="G118" s="57"/>
      <c r="H118" s="81">
        <v>0.05</v>
      </c>
    </row>
    <row r="119" spans="1:12" x14ac:dyDescent="0.25">
      <c r="A119" s="55">
        <v>88888</v>
      </c>
      <c r="B119" s="56" t="s">
        <v>1076</v>
      </c>
      <c r="C119" s="57"/>
      <c r="D119" s="55"/>
      <c r="E119" s="57"/>
      <c r="F119" s="55"/>
      <c r="G119" s="57"/>
      <c r="H119" s="81">
        <v>0.05</v>
      </c>
      <c r="L119" t="e">
        <f>(Tabelle4[[#This Row],[%]]/Tabelle4[[#This Row],[QMIMI]])*100</f>
        <v>#DIV/0!</v>
      </c>
    </row>
    <row r="120" spans="1:12" x14ac:dyDescent="0.25">
      <c r="A120" s="55">
        <v>89227</v>
      </c>
      <c r="B120" s="56" t="s">
        <v>1077</v>
      </c>
      <c r="C120" s="57"/>
      <c r="D120" s="55"/>
      <c r="E120" s="57"/>
      <c r="F120" s="55"/>
      <c r="G120" s="57"/>
      <c r="H120" s="81">
        <v>0.05</v>
      </c>
      <c r="L120" t="e">
        <f>(Tabelle4[[#This Row],[%]]/Tabelle4[[#This Row],[QMIMI]])*100</f>
        <v>#DIV/0!</v>
      </c>
    </row>
    <row r="121" spans="1:12" x14ac:dyDescent="0.25">
      <c r="A121" s="55">
        <v>97001</v>
      </c>
      <c r="B121" s="56" t="s">
        <v>1115</v>
      </c>
      <c r="C121" s="57"/>
      <c r="D121" s="55"/>
      <c r="E121" s="57"/>
      <c r="F121" s="55"/>
      <c r="G121" s="57">
        <v>18</v>
      </c>
      <c r="H121" s="81">
        <v>0.5</v>
      </c>
      <c r="L121">
        <f>(Tabelle4[[#This Row],[%]]/Tabelle4[[#This Row],[QMIMI]])*100</f>
        <v>2.7777777777777777</v>
      </c>
    </row>
    <row r="122" spans="1:12" x14ac:dyDescent="0.25">
      <c r="A122" s="55">
        <v>99001</v>
      </c>
      <c r="B122" s="56" t="s">
        <v>1161</v>
      </c>
      <c r="C122" s="57" t="s">
        <v>692</v>
      </c>
      <c r="D122" s="55"/>
      <c r="E122" s="57"/>
      <c r="F122" s="55"/>
      <c r="G122" s="57">
        <v>4.4000000000000004</v>
      </c>
      <c r="H122" s="81">
        <v>0.4</v>
      </c>
      <c r="L122">
        <f>(Tabelle4[[#This Row],[%]]/Tabelle4[[#This Row],[QMIMI]])*100</f>
        <v>9.0909090909090917</v>
      </c>
    </row>
    <row r="123" spans="1:12" x14ac:dyDescent="0.25">
      <c r="A123" s="55">
        <v>112233</v>
      </c>
      <c r="B123" s="56" t="s">
        <v>690</v>
      </c>
      <c r="C123" s="57"/>
      <c r="D123" s="55">
        <v>3.9</v>
      </c>
      <c r="E123" s="57">
        <v>4021799</v>
      </c>
      <c r="F123" s="55">
        <v>125565</v>
      </c>
      <c r="G123" s="57">
        <v>10</v>
      </c>
      <c r="H123" s="57">
        <v>0.5</v>
      </c>
      <c r="L123">
        <f>(Tabelle4[[#This Row],[%]]/Tabelle4[[#This Row],[QMIMI]])*100</f>
        <v>5</v>
      </c>
    </row>
    <row r="124" spans="1:12" x14ac:dyDescent="0.25">
      <c r="A124" s="55">
        <v>201519</v>
      </c>
      <c r="B124" s="56" t="s">
        <v>158</v>
      </c>
      <c r="C124" s="57">
        <v>19</v>
      </c>
      <c r="D124" s="55">
        <v>3</v>
      </c>
      <c r="E124" s="57">
        <v>4021799</v>
      </c>
      <c r="F124" s="55">
        <v>124414</v>
      </c>
      <c r="G124" s="57">
        <v>3</v>
      </c>
      <c r="H124" s="57">
        <v>0.20000000000000018</v>
      </c>
      <c r="L124">
        <f>(Tabelle4[[#This Row],[%]]/Tabelle4[[#This Row],[QMIMI]])*100</f>
        <v>6.6666666666666723</v>
      </c>
    </row>
    <row r="125" spans="1:12" x14ac:dyDescent="0.25">
      <c r="A125" s="55">
        <v>540012</v>
      </c>
      <c r="B125" s="56" t="s">
        <v>159</v>
      </c>
      <c r="C125" s="57" t="s">
        <v>161</v>
      </c>
      <c r="D125" s="55">
        <v>1.45</v>
      </c>
      <c r="E125" s="57">
        <v>4021799</v>
      </c>
      <c r="F125" s="55">
        <v>123059</v>
      </c>
      <c r="G125" s="57">
        <v>2.5</v>
      </c>
      <c r="H125" s="57">
        <v>0.20000000000000018</v>
      </c>
      <c r="L125">
        <f>(Tabelle4[[#This Row],[%]]/Tabelle4[[#This Row],[QMIMI]])*100</f>
        <v>8.0000000000000071</v>
      </c>
    </row>
    <row r="126" spans="1:12" x14ac:dyDescent="0.25">
      <c r="A126" s="55">
        <v>550001</v>
      </c>
      <c r="B126" s="56" t="s">
        <v>162</v>
      </c>
      <c r="C126" s="57" t="s">
        <v>161</v>
      </c>
      <c r="D126" s="55">
        <v>1.75</v>
      </c>
      <c r="E126" s="57">
        <v>4021799</v>
      </c>
      <c r="F126" s="55">
        <v>125831</v>
      </c>
      <c r="G126" s="57">
        <v>2.8</v>
      </c>
      <c r="H126" s="57">
        <v>0.19999999999999973</v>
      </c>
      <c r="L126">
        <f>(Tabelle4[[#This Row],[%]]/Tabelle4[[#This Row],[QMIMI]])*100</f>
        <v>7.1428571428571344</v>
      </c>
    </row>
    <row r="127" spans="1:12" x14ac:dyDescent="0.25">
      <c r="A127" s="55">
        <v>560001</v>
      </c>
      <c r="B127" s="56" t="s">
        <v>163</v>
      </c>
      <c r="C127" s="57" t="s">
        <v>164</v>
      </c>
      <c r="D127" s="55">
        <v>1.67</v>
      </c>
      <c r="E127" s="57">
        <v>4021799</v>
      </c>
      <c r="F127" s="55">
        <v>129358</v>
      </c>
      <c r="G127" s="57">
        <v>3.5</v>
      </c>
      <c r="H127" s="57">
        <v>0.19999999999999973</v>
      </c>
      <c r="L127">
        <f>(Tabelle4[[#This Row],[%]]/Tabelle4[[#This Row],[QMIMI]])*100</f>
        <v>5.7142857142857064</v>
      </c>
    </row>
    <row r="128" spans="1:12" x14ac:dyDescent="0.25">
      <c r="A128" s="55">
        <v>570001</v>
      </c>
      <c r="B128" s="56" t="s">
        <v>165</v>
      </c>
      <c r="C128" s="57" t="s">
        <v>164</v>
      </c>
      <c r="D128" s="55">
        <v>2.41</v>
      </c>
      <c r="E128" s="57">
        <v>4021799</v>
      </c>
      <c r="F128" s="55">
        <v>129341</v>
      </c>
      <c r="G128" s="57">
        <v>4.5</v>
      </c>
      <c r="H128" s="57">
        <v>0.19999999999999973</v>
      </c>
      <c r="L128">
        <f>(Tabelle4[[#This Row],[%]]/Tabelle4[[#This Row],[QMIMI]])*100</f>
        <v>4.4444444444444384</v>
      </c>
    </row>
    <row r="129" spans="1:12" x14ac:dyDescent="0.25">
      <c r="A129" s="55">
        <v>770013</v>
      </c>
      <c r="B129" s="56" t="s">
        <v>166</v>
      </c>
      <c r="C129" s="57" t="s">
        <v>164</v>
      </c>
      <c r="D129" s="55">
        <v>1.74</v>
      </c>
      <c r="E129" s="57">
        <v>4021799</v>
      </c>
      <c r="F129" s="55">
        <v>141565</v>
      </c>
      <c r="G129" s="57">
        <v>2.5</v>
      </c>
      <c r="H129" s="57">
        <v>0.20000000000000018</v>
      </c>
      <c r="L129">
        <f>(Tabelle4[[#This Row],[%]]/Tabelle4[[#This Row],[QMIMI]])*100</f>
        <v>8.0000000000000071</v>
      </c>
    </row>
    <row r="130" spans="1:12" x14ac:dyDescent="0.25">
      <c r="A130" s="55">
        <v>780008</v>
      </c>
      <c r="B130" s="56" t="s">
        <v>168</v>
      </c>
      <c r="C130" s="57" t="s">
        <v>164</v>
      </c>
      <c r="D130" s="55">
        <v>1.75</v>
      </c>
      <c r="E130" s="57">
        <v>4021799</v>
      </c>
      <c r="F130" s="55">
        <v>125206</v>
      </c>
      <c r="G130" s="57">
        <v>2.5</v>
      </c>
      <c r="H130" s="57">
        <v>0.20000000000000018</v>
      </c>
      <c r="L130">
        <f>(Tabelle4[[#This Row],[%]]/Tabelle4[[#This Row],[QMIMI]])*100</f>
        <v>8.0000000000000071</v>
      </c>
    </row>
    <row r="131" spans="1:12" x14ac:dyDescent="0.25">
      <c r="A131" s="55">
        <v>780009</v>
      </c>
      <c r="B131" s="56" t="s">
        <v>169</v>
      </c>
      <c r="C131" s="57" t="s">
        <v>164</v>
      </c>
      <c r="D131" s="55">
        <v>1.75</v>
      </c>
      <c r="E131" s="57">
        <v>4021799</v>
      </c>
      <c r="F131" s="55">
        <v>125237</v>
      </c>
      <c r="G131" s="57">
        <v>2.5</v>
      </c>
      <c r="H131" s="57">
        <v>0.20000000000000018</v>
      </c>
      <c r="L131">
        <f>(Tabelle4[[#This Row],[%]]/Tabelle4[[#This Row],[QMIMI]])*100</f>
        <v>8.0000000000000071</v>
      </c>
    </row>
    <row r="132" spans="1:12" x14ac:dyDescent="0.25">
      <c r="A132" s="55">
        <v>800001</v>
      </c>
      <c r="B132" s="56" t="s">
        <v>170</v>
      </c>
      <c r="C132" s="57" t="s">
        <v>164</v>
      </c>
      <c r="D132" s="55">
        <v>1.75</v>
      </c>
      <c r="E132" s="57">
        <v>4021799</v>
      </c>
      <c r="F132" s="55">
        <v>139920</v>
      </c>
      <c r="G132" s="57">
        <v>2.5</v>
      </c>
      <c r="H132" s="57">
        <v>0.20000000000000018</v>
      </c>
      <c r="L132">
        <f>(Tabelle4[[#This Row],[%]]/Tabelle4[[#This Row],[QMIMI]])*100</f>
        <v>8.0000000000000071</v>
      </c>
    </row>
    <row r="133" spans="1:12" x14ac:dyDescent="0.25">
      <c r="A133" s="55">
        <v>810001</v>
      </c>
      <c r="B133" s="56" t="s">
        <v>691</v>
      </c>
      <c r="C133" s="57" t="s">
        <v>164</v>
      </c>
      <c r="D133" s="55">
        <v>1.75</v>
      </c>
      <c r="E133" s="57">
        <v>4021799</v>
      </c>
      <c r="F133" s="55">
        <v>125824</v>
      </c>
      <c r="G133" s="57">
        <v>2.5</v>
      </c>
      <c r="H133" s="57">
        <v>0.20000000000000018</v>
      </c>
      <c r="L133">
        <f>(Tabelle4[[#This Row],[%]]/Tabelle4[[#This Row],[QMIMI]])*100</f>
        <v>8.0000000000000071</v>
      </c>
    </row>
    <row r="134" spans="1:12" x14ac:dyDescent="0.25">
      <c r="A134" s="55">
        <v>830001</v>
      </c>
      <c r="B134" s="56" t="s">
        <v>171</v>
      </c>
      <c r="C134" s="57" t="s">
        <v>164</v>
      </c>
      <c r="D134" s="55">
        <v>1.75</v>
      </c>
      <c r="E134" s="57">
        <v>4021799</v>
      </c>
      <c r="F134" s="55">
        <v>139982</v>
      </c>
      <c r="G134" s="57">
        <v>2.5</v>
      </c>
      <c r="H134" s="57">
        <v>0.20000000000000018</v>
      </c>
      <c r="L134">
        <f>(Tabelle4[[#This Row],[%]]/Tabelle4[[#This Row],[QMIMI]])*100</f>
        <v>8.0000000000000071</v>
      </c>
    </row>
    <row r="135" spans="1:12" x14ac:dyDescent="0.25">
      <c r="A135" s="55">
        <v>850001</v>
      </c>
      <c r="B135" s="56" t="s">
        <v>172</v>
      </c>
      <c r="C135" s="57" t="s">
        <v>164</v>
      </c>
      <c r="D135" s="55">
        <v>2.3199999999999998</v>
      </c>
      <c r="E135" s="57">
        <v>4021799</v>
      </c>
      <c r="F135" s="55">
        <v>126159</v>
      </c>
      <c r="G135" s="57">
        <v>3.5</v>
      </c>
      <c r="H135" s="57">
        <v>0.29999999999999982</v>
      </c>
      <c r="L135">
        <f>(Tabelle4[[#This Row],[%]]/Tabelle4[[#This Row],[QMIMI]])*100</f>
        <v>8.5714285714285658</v>
      </c>
    </row>
    <row r="136" spans="1:12" x14ac:dyDescent="0.25">
      <c r="A136" s="55">
        <v>1190001</v>
      </c>
      <c r="B136" s="56" t="s">
        <v>173</v>
      </c>
      <c r="C136" s="57" t="s">
        <v>164</v>
      </c>
      <c r="D136" s="55">
        <v>2.38</v>
      </c>
      <c r="E136" s="57">
        <v>4021799</v>
      </c>
      <c r="F136" s="55">
        <v>127132</v>
      </c>
      <c r="G136" s="57">
        <v>3.5</v>
      </c>
      <c r="H136" s="57">
        <v>0.20000000000000018</v>
      </c>
      <c r="L136">
        <f>(Tabelle4[[#This Row],[%]]/Tabelle4[[#This Row],[QMIMI]])*100</f>
        <v>5.7142857142857197</v>
      </c>
    </row>
    <row r="137" spans="1:12" x14ac:dyDescent="0.25">
      <c r="A137" s="55">
        <v>1420011</v>
      </c>
      <c r="B137" s="56" t="s">
        <v>174</v>
      </c>
      <c r="C137" s="57" t="s">
        <v>164</v>
      </c>
      <c r="D137" s="55">
        <v>1.27</v>
      </c>
      <c r="E137" s="57">
        <v>4021799</v>
      </c>
      <c r="F137" s="55">
        <v>129143</v>
      </c>
      <c r="G137" s="57">
        <v>2.5</v>
      </c>
      <c r="H137" s="57">
        <v>0.19999999999999996</v>
      </c>
      <c r="L137">
        <f>(Tabelle4[[#This Row],[%]]/Tabelle4[[#This Row],[QMIMI]])*100</f>
        <v>7.9999999999999991</v>
      </c>
    </row>
    <row r="138" spans="1:12" x14ac:dyDescent="0.25">
      <c r="A138" s="55">
        <v>1440001</v>
      </c>
      <c r="B138" s="56" t="s">
        <v>175</v>
      </c>
      <c r="C138" s="57" t="s">
        <v>176</v>
      </c>
      <c r="D138" s="55">
        <v>2.58</v>
      </c>
      <c r="E138" s="57">
        <v>4021799</v>
      </c>
      <c r="F138" s="55">
        <v>129396</v>
      </c>
      <c r="G138" s="57">
        <v>4</v>
      </c>
      <c r="H138" s="57">
        <v>0.20000000000000018</v>
      </c>
      <c r="L138">
        <f>(Tabelle4[[#This Row],[%]]/Tabelle4[[#This Row],[QMIMI]])*100</f>
        <v>5.0000000000000044</v>
      </c>
    </row>
    <row r="139" spans="1:12" x14ac:dyDescent="0.25">
      <c r="A139" s="55">
        <v>1510005</v>
      </c>
      <c r="B139" s="56" t="s">
        <v>177</v>
      </c>
      <c r="C139" s="57" t="s">
        <v>178</v>
      </c>
      <c r="D139" s="55">
        <v>10</v>
      </c>
      <c r="E139" s="57">
        <v>4021799</v>
      </c>
      <c r="F139" s="55">
        <v>143552</v>
      </c>
      <c r="G139" s="57">
        <v>0</v>
      </c>
      <c r="H139" s="57">
        <v>0.5</v>
      </c>
      <c r="L139" t="e">
        <f>(Tabelle4[[#This Row],[%]]/Tabelle4[[#This Row],[QMIMI]])*100</f>
        <v>#DIV/0!</v>
      </c>
    </row>
    <row r="140" spans="1:12" x14ac:dyDescent="0.25">
      <c r="A140" s="55">
        <v>1510008</v>
      </c>
      <c r="B140" s="56" t="s">
        <v>179</v>
      </c>
      <c r="C140" s="57" t="s">
        <v>180</v>
      </c>
      <c r="D140" s="55">
        <v>2.4500000000000002</v>
      </c>
      <c r="E140" s="57">
        <v>4021799</v>
      </c>
      <c r="F140" s="55">
        <v>143569</v>
      </c>
      <c r="G140" s="57">
        <v>4</v>
      </c>
      <c r="H140" s="57">
        <v>0.20000000000000018</v>
      </c>
      <c r="L140">
        <f>(Tabelle4[[#This Row],[%]]/Tabelle4[[#This Row],[QMIMI]])*100</f>
        <v>5.0000000000000044</v>
      </c>
    </row>
    <row r="141" spans="1:12" x14ac:dyDescent="0.25">
      <c r="A141" s="55">
        <v>1690036</v>
      </c>
      <c r="B141" s="56" t="s">
        <v>187</v>
      </c>
      <c r="C141" s="57" t="s">
        <v>188</v>
      </c>
      <c r="D141" s="55">
        <v>1.99</v>
      </c>
      <c r="E141" s="57">
        <v>4021799</v>
      </c>
      <c r="F141" s="55">
        <v>124629</v>
      </c>
      <c r="G141" s="57">
        <v>3</v>
      </c>
      <c r="H141" s="57">
        <v>0.20000000000000018</v>
      </c>
      <c r="L141">
        <f>(Tabelle4[[#This Row],[%]]/Tabelle4[[#This Row],[QMIMI]])*100</f>
        <v>6.6666666666666723</v>
      </c>
    </row>
    <row r="142" spans="1:12" x14ac:dyDescent="0.25">
      <c r="A142" s="55">
        <v>1710001</v>
      </c>
      <c r="B142" s="56" t="s">
        <v>189</v>
      </c>
      <c r="C142" s="57" t="s">
        <v>176</v>
      </c>
      <c r="D142" s="55">
        <v>2.4</v>
      </c>
      <c r="E142" s="57">
        <v>4021799</v>
      </c>
      <c r="F142" s="55">
        <v>127057</v>
      </c>
      <c r="G142" s="57">
        <v>3.6</v>
      </c>
      <c r="H142" s="57">
        <v>0.20000000000000018</v>
      </c>
      <c r="L142">
        <f>(Tabelle4[[#This Row],[%]]/Tabelle4[[#This Row],[QMIMI]])*100</f>
        <v>5.5555555555555598</v>
      </c>
    </row>
    <row r="143" spans="1:12" x14ac:dyDescent="0.25">
      <c r="A143" s="55">
        <v>1720001</v>
      </c>
      <c r="B143" s="56" t="s">
        <v>190</v>
      </c>
      <c r="C143" s="57" t="s">
        <v>176</v>
      </c>
      <c r="D143" s="55">
        <v>2.21</v>
      </c>
      <c r="E143" s="57">
        <v>4021799</v>
      </c>
      <c r="F143" s="55">
        <v>127699</v>
      </c>
      <c r="G143" s="57">
        <v>3</v>
      </c>
      <c r="H143" s="57">
        <v>0.19999999999999996</v>
      </c>
      <c r="L143">
        <f>(Tabelle4[[#This Row],[%]]/Tabelle4[[#This Row],[QMIMI]])*100</f>
        <v>6.6666666666666652</v>
      </c>
    </row>
    <row r="144" spans="1:12" x14ac:dyDescent="0.25">
      <c r="A144" s="55">
        <v>1750001</v>
      </c>
      <c r="B144" s="56" t="s">
        <v>191</v>
      </c>
      <c r="C144" s="57" t="s">
        <v>176</v>
      </c>
      <c r="D144" s="55">
        <v>2.4</v>
      </c>
      <c r="E144" s="57">
        <v>4021799</v>
      </c>
      <c r="F144" s="55">
        <v>127040</v>
      </c>
      <c r="G144" s="57">
        <v>3.6</v>
      </c>
      <c r="H144" s="57">
        <v>0.20000000000000018</v>
      </c>
      <c r="L144">
        <f>(Tabelle4[[#This Row],[%]]/Tabelle4[[#This Row],[QMIMI]])*100</f>
        <v>5.5555555555555598</v>
      </c>
    </row>
    <row r="145" spans="1:12" x14ac:dyDescent="0.25">
      <c r="A145" s="55">
        <v>1770001</v>
      </c>
      <c r="B145" s="56" t="s">
        <v>192</v>
      </c>
      <c r="C145" s="57" t="s">
        <v>193</v>
      </c>
      <c r="D145" s="55">
        <v>1.85</v>
      </c>
      <c r="E145" s="57">
        <v>4021799</v>
      </c>
      <c r="F145" s="55">
        <v>126326</v>
      </c>
      <c r="G145" s="57">
        <v>3.6</v>
      </c>
      <c r="H145" s="57">
        <v>0.29999999999999982</v>
      </c>
      <c r="L145">
        <f>(Tabelle4[[#This Row],[%]]/Tabelle4[[#This Row],[QMIMI]])*100</f>
        <v>8.3333333333333286</v>
      </c>
    </row>
    <row r="146" spans="1:12" x14ac:dyDescent="0.25">
      <c r="A146" s="55">
        <v>1770005</v>
      </c>
      <c r="B146" s="56" t="s">
        <v>194</v>
      </c>
      <c r="C146" s="57" t="s">
        <v>195</v>
      </c>
      <c r="D146" s="55">
        <v>2.21</v>
      </c>
      <c r="E146" s="57">
        <v>4021799</v>
      </c>
      <c r="F146" s="55">
        <v>125640</v>
      </c>
      <c r="G146" s="57">
        <v>3.2</v>
      </c>
      <c r="H146" s="57">
        <v>0.20000000000000018</v>
      </c>
    </row>
    <row r="147" spans="1:12" x14ac:dyDescent="0.25">
      <c r="A147" s="55">
        <v>1790001</v>
      </c>
      <c r="B147" s="56" t="s">
        <v>196</v>
      </c>
      <c r="C147" s="57" t="s">
        <v>197</v>
      </c>
      <c r="D147" s="55">
        <v>2.76</v>
      </c>
      <c r="E147" s="57">
        <v>4021799</v>
      </c>
      <c r="F147" s="55">
        <v>123493</v>
      </c>
      <c r="G147" s="57">
        <v>4</v>
      </c>
      <c r="H147" s="57">
        <v>0.20000000000000018</v>
      </c>
      <c r="L147">
        <f>(Tabelle4[[#This Row],[%]]/Tabelle4[[#This Row],[QMIMI]])*100</f>
        <v>5.0000000000000044</v>
      </c>
    </row>
    <row r="148" spans="1:12" x14ac:dyDescent="0.25">
      <c r="A148" s="55">
        <v>1800001</v>
      </c>
      <c r="B148" s="56" t="s">
        <v>198</v>
      </c>
      <c r="C148" s="57" t="s">
        <v>176</v>
      </c>
      <c r="D148" s="55">
        <v>2.66</v>
      </c>
      <c r="E148" s="57">
        <v>4021799</v>
      </c>
      <c r="F148" s="55">
        <v>152219</v>
      </c>
      <c r="G148" s="57">
        <v>3.5</v>
      </c>
      <c r="H148" s="57">
        <v>0.10000000000000009</v>
      </c>
      <c r="L148">
        <f>(Tabelle4[[#This Row],[%]]/Tabelle4[[#This Row],[QMIMI]])*100</f>
        <v>2.8571428571428599</v>
      </c>
    </row>
    <row r="149" spans="1:12" x14ac:dyDescent="0.25">
      <c r="A149" s="55">
        <v>1830001</v>
      </c>
      <c r="B149" s="56" t="s">
        <v>199</v>
      </c>
      <c r="C149" s="57" t="s">
        <v>164</v>
      </c>
      <c r="D149" s="55">
        <v>2.4</v>
      </c>
      <c r="E149" s="57">
        <v>4021799</v>
      </c>
      <c r="F149" s="55">
        <v>141206</v>
      </c>
      <c r="G149" s="57">
        <v>7</v>
      </c>
      <c r="H149" s="57">
        <v>0.5</v>
      </c>
      <c r="L149">
        <f>(Tabelle4[[#This Row],[%]]/Tabelle4[[#This Row],[QMIMI]])*100</f>
        <v>7.1428571428571423</v>
      </c>
    </row>
    <row r="150" spans="1:12" x14ac:dyDescent="0.25">
      <c r="A150" s="55">
        <v>2150876</v>
      </c>
      <c r="B150" s="56" t="s">
        <v>1078</v>
      </c>
      <c r="C150" s="57"/>
      <c r="D150" s="55"/>
      <c r="E150" s="57"/>
      <c r="F150" s="55"/>
      <c r="G150" s="57"/>
      <c r="H150" s="81">
        <v>0.05</v>
      </c>
      <c r="L150" t="e">
        <f>(Tabelle4[[#This Row],[%]]/Tabelle4[[#This Row],[QMIMI]])*100</f>
        <v>#DIV/0!</v>
      </c>
    </row>
    <row r="151" spans="1:12" x14ac:dyDescent="0.25">
      <c r="A151" s="55">
        <v>2650001</v>
      </c>
      <c r="B151" s="56" t="s">
        <v>200</v>
      </c>
      <c r="C151" s="57" t="s">
        <v>161</v>
      </c>
      <c r="D151" s="55">
        <v>3.36</v>
      </c>
      <c r="E151" s="57">
        <v>4021799</v>
      </c>
      <c r="F151" s="55">
        <v>123684</v>
      </c>
      <c r="G151" s="57">
        <v>4.5</v>
      </c>
      <c r="H151" s="57">
        <v>0.20000000000000018</v>
      </c>
      <c r="L151">
        <f>(Tabelle4[[#This Row],[%]]/Tabelle4[[#This Row],[QMIMI]])*100</f>
        <v>4.4444444444444482</v>
      </c>
    </row>
    <row r="152" spans="1:12" x14ac:dyDescent="0.25">
      <c r="A152" s="55">
        <v>2650002</v>
      </c>
      <c r="B152" s="56" t="s">
        <v>201</v>
      </c>
      <c r="C152" s="57" t="s">
        <v>161</v>
      </c>
      <c r="D152" s="55">
        <v>3.73</v>
      </c>
      <c r="E152" s="57">
        <v>4021799</v>
      </c>
      <c r="F152" s="55">
        <v>123691</v>
      </c>
      <c r="G152" s="57">
        <v>5.7</v>
      </c>
      <c r="H152" s="57">
        <v>0.20000000000000018</v>
      </c>
      <c r="L152">
        <f>(Tabelle4[[#This Row],[%]]/Tabelle4[[#This Row],[QMIMI]])*100</f>
        <v>3.5087719298245648</v>
      </c>
    </row>
    <row r="153" spans="1:12" x14ac:dyDescent="0.25">
      <c r="A153" s="55">
        <v>2650003</v>
      </c>
      <c r="B153" s="56" t="s">
        <v>202</v>
      </c>
      <c r="C153" s="57" t="s">
        <v>161</v>
      </c>
      <c r="D153" s="55">
        <v>3.73</v>
      </c>
      <c r="E153" s="57">
        <v>4021799</v>
      </c>
      <c r="F153" s="55">
        <v>123707</v>
      </c>
      <c r="G153" s="57">
        <v>5.7</v>
      </c>
      <c r="H153" s="57">
        <v>0.20000000000000018</v>
      </c>
      <c r="L153">
        <f>(Tabelle4[[#This Row],[%]]/Tabelle4[[#This Row],[QMIMI]])*100</f>
        <v>3.5087719298245648</v>
      </c>
    </row>
    <row r="154" spans="1:12" x14ac:dyDescent="0.25">
      <c r="A154" s="55">
        <v>2670036</v>
      </c>
      <c r="B154" s="56" t="s">
        <v>203</v>
      </c>
      <c r="C154" s="57" t="s">
        <v>204</v>
      </c>
      <c r="D154" s="55">
        <v>2.2999999999999998</v>
      </c>
      <c r="E154" s="57">
        <v>4021799</v>
      </c>
      <c r="F154" s="55">
        <v>127675</v>
      </c>
      <c r="G154" s="57">
        <v>3.5</v>
      </c>
      <c r="H154" s="57">
        <v>0.29999999999999982</v>
      </c>
      <c r="L154">
        <f>(Tabelle4[[#This Row],[%]]/Tabelle4[[#This Row],[QMIMI]])*100</f>
        <v>8.5714285714285658</v>
      </c>
    </row>
    <row r="155" spans="1:12" x14ac:dyDescent="0.25">
      <c r="A155" s="55">
        <v>2680036</v>
      </c>
      <c r="B155" s="56" t="s">
        <v>205</v>
      </c>
      <c r="C155" s="57" t="s">
        <v>206</v>
      </c>
      <c r="D155" s="55">
        <v>2.65</v>
      </c>
      <c r="E155" s="57">
        <v>4021799</v>
      </c>
      <c r="F155" s="55">
        <v>124971</v>
      </c>
      <c r="G155" s="57">
        <v>3.5</v>
      </c>
      <c r="H155" s="57">
        <v>0</v>
      </c>
      <c r="L155">
        <f>(Tabelle4[[#This Row],[%]]/Tabelle4[[#This Row],[QMIMI]])*100</f>
        <v>0</v>
      </c>
    </row>
    <row r="156" spans="1:12" x14ac:dyDescent="0.25">
      <c r="A156" s="55">
        <v>2800022</v>
      </c>
      <c r="B156" s="56" t="s">
        <v>207</v>
      </c>
      <c r="C156" s="57" t="s">
        <v>164</v>
      </c>
      <c r="D156" s="55">
        <v>1.64</v>
      </c>
      <c r="E156" s="57">
        <v>4021799</v>
      </c>
      <c r="F156" s="55">
        <v>126500</v>
      </c>
      <c r="G156" s="57">
        <v>4</v>
      </c>
      <c r="H156" s="57">
        <v>0.20000000000000018</v>
      </c>
      <c r="L156">
        <f>(Tabelle4[[#This Row],[%]]/Tabelle4[[#This Row],[QMIMI]])*100</f>
        <v>5.0000000000000044</v>
      </c>
    </row>
    <row r="157" spans="1:12" x14ac:dyDescent="0.25">
      <c r="A157" s="55">
        <v>2810001</v>
      </c>
      <c r="B157" s="56" t="s">
        <v>208</v>
      </c>
      <c r="C157" s="57" t="s">
        <v>164</v>
      </c>
      <c r="D157" s="55">
        <v>2.2000000000000002</v>
      </c>
      <c r="E157" s="57">
        <v>4021799</v>
      </c>
      <c r="F157" s="55">
        <v>123394</v>
      </c>
      <c r="G157" s="57">
        <v>4</v>
      </c>
      <c r="H157" s="57">
        <v>0.20000000000000018</v>
      </c>
      <c r="L157">
        <f>(Tabelle4[[#This Row],[%]]/Tabelle4[[#This Row],[QMIMI]])*100</f>
        <v>5.0000000000000044</v>
      </c>
    </row>
    <row r="158" spans="1:12" x14ac:dyDescent="0.25">
      <c r="A158" s="55">
        <v>2880002</v>
      </c>
      <c r="B158" s="56" t="s">
        <v>209</v>
      </c>
      <c r="C158" s="57" t="s">
        <v>164</v>
      </c>
      <c r="D158" s="55">
        <v>2.11</v>
      </c>
      <c r="E158" s="57">
        <v>4021799</v>
      </c>
      <c r="F158" s="55">
        <v>124087</v>
      </c>
      <c r="G158" s="57">
        <v>3</v>
      </c>
      <c r="H158" s="57">
        <v>0.20000000000000018</v>
      </c>
      <c r="L158">
        <f>(Tabelle4[[#This Row],[%]]/Tabelle4[[#This Row],[QMIMI]])*100</f>
        <v>6.6666666666666723</v>
      </c>
    </row>
    <row r="159" spans="1:12" x14ac:dyDescent="0.25">
      <c r="A159" s="55">
        <v>2980001</v>
      </c>
      <c r="B159" s="56" t="s">
        <v>210</v>
      </c>
      <c r="C159" s="57" t="s">
        <v>167</v>
      </c>
      <c r="D159" s="55">
        <v>14.86</v>
      </c>
      <c r="E159" s="57">
        <v>4021799</v>
      </c>
      <c r="F159" s="55">
        <v>126012</v>
      </c>
      <c r="G159" s="57">
        <v>22</v>
      </c>
      <c r="H159" s="57">
        <v>1.5</v>
      </c>
      <c r="L159">
        <f>(Tabelle4[[#This Row],[%]]/Tabelle4[[#This Row],[QMIMI]])*100</f>
        <v>6.8181818181818175</v>
      </c>
    </row>
    <row r="160" spans="1:12" x14ac:dyDescent="0.25">
      <c r="A160" s="55">
        <v>2980002</v>
      </c>
      <c r="B160" s="56" t="s">
        <v>210</v>
      </c>
      <c r="C160" s="57" t="s">
        <v>161</v>
      </c>
      <c r="D160" s="55">
        <v>0.85</v>
      </c>
      <c r="E160" s="57">
        <v>40033150</v>
      </c>
      <c r="F160" s="55">
        <v>74762</v>
      </c>
      <c r="G160" s="57">
        <v>1.5</v>
      </c>
      <c r="H160" s="57">
        <v>0.10000000000000009</v>
      </c>
      <c r="L160">
        <f>(Tabelle4[[#This Row],[%]]/Tabelle4[[#This Row],[QMIMI]])*100</f>
        <v>6.6666666666666723</v>
      </c>
    </row>
    <row r="161" spans="1:12" x14ac:dyDescent="0.25">
      <c r="A161" s="55">
        <v>2980003</v>
      </c>
      <c r="B161" s="56" t="s">
        <v>210</v>
      </c>
      <c r="C161" s="57" t="s">
        <v>692</v>
      </c>
      <c r="D161" s="55">
        <v>3.4</v>
      </c>
      <c r="E161" s="57">
        <v>4021799</v>
      </c>
      <c r="F161" s="55">
        <v>124797</v>
      </c>
      <c r="G161" s="57">
        <v>6</v>
      </c>
      <c r="H161" s="57">
        <v>0.2</v>
      </c>
      <c r="L161">
        <f>(Tabelle4[[#This Row],[%]]/Tabelle4[[#This Row],[QMIMI]])*100</f>
        <v>3.3333333333333335</v>
      </c>
    </row>
    <row r="162" spans="1:12" x14ac:dyDescent="0.25">
      <c r="A162" s="55">
        <v>2990001</v>
      </c>
      <c r="B162" s="56" t="s">
        <v>211</v>
      </c>
      <c r="C162" s="57" t="s">
        <v>164</v>
      </c>
      <c r="D162" s="55">
        <v>3.42</v>
      </c>
      <c r="E162" s="57">
        <v>4021799</v>
      </c>
      <c r="F162" s="55">
        <v>123400</v>
      </c>
      <c r="G162" s="57">
        <v>4.5</v>
      </c>
      <c r="H162" s="57">
        <v>0.10000000000000009</v>
      </c>
      <c r="L162">
        <f>(Tabelle4[[#This Row],[%]]/Tabelle4[[#This Row],[QMIMI]])*100</f>
        <v>2.2222222222222241</v>
      </c>
    </row>
    <row r="163" spans="1:12" x14ac:dyDescent="0.25">
      <c r="A163" s="55">
        <v>3000002</v>
      </c>
      <c r="B163" s="56" t="s">
        <v>212</v>
      </c>
      <c r="C163" s="57" t="s">
        <v>213</v>
      </c>
      <c r="D163" s="55">
        <v>3.92</v>
      </c>
      <c r="E163" s="57">
        <v>4021799</v>
      </c>
      <c r="F163" s="55">
        <v>125114</v>
      </c>
      <c r="G163" s="57">
        <v>0</v>
      </c>
      <c r="H163" s="57">
        <v>0.20000000000000018</v>
      </c>
      <c r="L163" t="e">
        <f>(Tabelle4[[#This Row],[%]]/Tabelle4[[#This Row],[QMIMI]])*100</f>
        <v>#DIV/0!</v>
      </c>
    </row>
    <row r="164" spans="1:12" x14ac:dyDescent="0.25">
      <c r="A164" s="55">
        <v>3000005</v>
      </c>
      <c r="B164" s="56" t="s">
        <v>212</v>
      </c>
      <c r="C164" s="57" t="s">
        <v>161</v>
      </c>
      <c r="D164" s="55">
        <v>2.8</v>
      </c>
      <c r="E164" s="57">
        <v>4021799</v>
      </c>
      <c r="F164" s="55">
        <v>127705</v>
      </c>
      <c r="G164" s="57">
        <v>4</v>
      </c>
      <c r="H164" s="57">
        <v>0.29999999999999982</v>
      </c>
      <c r="L164">
        <f>(Tabelle4[[#This Row],[%]]/Tabelle4[[#This Row],[QMIMI]])*100</f>
        <v>7.4999999999999956</v>
      </c>
    </row>
    <row r="165" spans="1:12" x14ac:dyDescent="0.25">
      <c r="A165" s="55">
        <v>3020005</v>
      </c>
      <c r="B165" s="56" t="s">
        <v>215</v>
      </c>
      <c r="C165" s="57" t="s">
        <v>214</v>
      </c>
      <c r="D165" s="55">
        <v>3.03</v>
      </c>
      <c r="E165" s="57">
        <v>4021799</v>
      </c>
      <c r="F165" s="55">
        <v>126975</v>
      </c>
      <c r="G165" s="57">
        <v>0</v>
      </c>
      <c r="H165" s="57">
        <v>0.29999999999999982</v>
      </c>
      <c r="L165" t="e">
        <f>(Tabelle4[[#This Row],[%]]/Tabelle4[[#This Row],[QMIMI]])*100</f>
        <v>#DIV/0!</v>
      </c>
    </row>
    <row r="166" spans="1:12" x14ac:dyDescent="0.25">
      <c r="A166" s="55">
        <v>3020030</v>
      </c>
      <c r="B166" s="56" t="s">
        <v>215</v>
      </c>
      <c r="C166" s="57" t="s">
        <v>157</v>
      </c>
      <c r="D166" s="55">
        <v>3.03</v>
      </c>
      <c r="E166" s="57">
        <v>4021799</v>
      </c>
      <c r="F166" s="55">
        <v>138565</v>
      </c>
      <c r="G166" s="57">
        <v>0</v>
      </c>
      <c r="H166" s="57">
        <v>0.29999999999999982</v>
      </c>
      <c r="L166" t="e">
        <f>(Tabelle4[[#This Row],[%]]/Tabelle4[[#This Row],[QMIMI]])*100</f>
        <v>#DIV/0!</v>
      </c>
    </row>
    <row r="167" spans="1:12" x14ac:dyDescent="0.25">
      <c r="A167" s="55">
        <v>3100001</v>
      </c>
      <c r="B167" s="56" t="s">
        <v>216</v>
      </c>
      <c r="C167" s="57" t="s">
        <v>164</v>
      </c>
      <c r="D167" s="55">
        <v>4.09</v>
      </c>
      <c r="E167" s="57">
        <v>4021799</v>
      </c>
      <c r="F167" s="55">
        <v>124995</v>
      </c>
      <c r="G167" s="57">
        <v>5</v>
      </c>
      <c r="H167" s="57">
        <v>0.29999999999999982</v>
      </c>
      <c r="L167">
        <f>(Tabelle4[[#This Row],[%]]/Tabelle4[[#This Row],[QMIMI]])*100</f>
        <v>5.9999999999999964</v>
      </c>
    </row>
    <row r="168" spans="1:12" x14ac:dyDescent="0.25">
      <c r="A168" s="55">
        <v>3110001</v>
      </c>
      <c r="B168" s="56" t="s">
        <v>217</v>
      </c>
      <c r="C168" s="57" t="s">
        <v>164</v>
      </c>
      <c r="D168" s="55">
        <v>2.2599999999999998</v>
      </c>
      <c r="E168" s="57">
        <v>4021799</v>
      </c>
      <c r="F168" s="55">
        <v>126319</v>
      </c>
      <c r="G168" s="57">
        <v>3.5</v>
      </c>
      <c r="H168" s="57">
        <v>0.20000000000000018</v>
      </c>
      <c r="L168">
        <f>(Tabelle4[[#This Row],[%]]/Tabelle4[[#This Row],[QMIMI]])*100</f>
        <v>5.7142857142857197</v>
      </c>
    </row>
    <row r="169" spans="1:12" x14ac:dyDescent="0.25">
      <c r="A169" s="55">
        <v>3170005</v>
      </c>
      <c r="B169" s="56" t="s">
        <v>218</v>
      </c>
      <c r="C169" s="57" t="s">
        <v>160</v>
      </c>
      <c r="D169" s="55">
        <v>9.0399999999999991</v>
      </c>
      <c r="E169" s="57">
        <v>4021799</v>
      </c>
      <c r="F169" s="55">
        <v>125749</v>
      </c>
      <c r="G169" s="57">
        <v>3</v>
      </c>
      <c r="H169" s="57">
        <v>0.20000000000000018</v>
      </c>
      <c r="L169">
        <f>(Tabelle4[[#This Row],[%]]/Tabelle4[[#This Row],[QMIMI]])*100</f>
        <v>6.6666666666666723</v>
      </c>
    </row>
    <row r="170" spans="1:12" x14ac:dyDescent="0.25">
      <c r="A170" s="55">
        <v>3170022</v>
      </c>
      <c r="B170" s="56" t="s">
        <v>219</v>
      </c>
      <c r="C170" s="57" t="s">
        <v>164</v>
      </c>
      <c r="D170" s="55">
        <v>1.71</v>
      </c>
      <c r="E170" s="57">
        <v>4021799</v>
      </c>
      <c r="F170" s="55">
        <v>123042</v>
      </c>
      <c r="G170" s="57">
        <v>3.3</v>
      </c>
      <c r="H170" s="57">
        <v>0.20000000000000018</v>
      </c>
      <c r="L170">
        <f>(Tabelle4[[#This Row],[%]]/Tabelle4[[#This Row],[QMIMI]])*100</f>
        <v>6.0606060606060659</v>
      </c>
    </row>
    <row r="171" spans="1:12" x14ac:dyDescent="0.25">
      <c r="A171" s="55">
        <v>3180001</v>
      </c>
      <c r="B171" s="56" t="s">
        <v>220</v>
      </c>
      <c r="C171" s="57" t="s">
        <v>221</v>
      </c>
      <c r="D171" s="55">
        <v>2.88</v>
      </c>
      <c r="E171" s="57">
        <v>4021799</v>
      </c>
      <c r="F171" s="55">
        <v>139258</v>
      </c>
      <c r="G171" s="57">
        <v>4</v>
      </c>
      <c r="H171" s="57">
        <v>0.20000000000000018</v>
      </c>
      <c r="L171">
        <f>(Tabelle4[[#This Row],[%]]/Tabelle4[[#This Row],[QMIMI]])*100</f>
        <v>5.0000000000000044</v>
      </c>
    </row>
    <row r="172" spans="1:12" x14ac:dyDescent="0.25">
      <c r="A172" s="55">
        <v>3180002</v>
      </c>
      <c r="B172" s="56" t="s">
        <v>220</v>
      </c>
      <c r="C172" s="57" t="s">
        <v>222</v>
      </c>
      <c r="D172" s="55">
        <v>2.88</v>
      </c>
      <c r="E172" s="57">
        <v>4021799</v>
      </c>
      <c r="F172" s="55">
        <v>139265</v>
      </c>
      <c r="G172" s="57">
        <v>4</v>
      </c>
      <c r="H172" s="57">
        <v>0.20000000000000018</v>
      </c>
      <c r="L172">
        <f>(Tabelle4[[#This Row],[%]]/Tabelle4[[#This Row],[QMIMI]])*100</f>
        <v>5.0000000000000044</v>
      </c>
    </row>
    <row r="173" spans="1:12" x14ac:dyDescent="0.25">
      <c r="A173" s="55">
        <v>3180003</v>
      </c>
      <c r="B173" s="56" t="s">
        <v>220</v>
      </c>
      <c r="C173" s="57" t="s">
        <v>223</v>
      </c>
      <c r="D173" s="55">
        <v>2.88</v>
      </c>
      <c r="E173" s="57">
        <v>4021799</v>
      </c>
      <c r="F173" s="55">
        <v>139272</v>
      </c>
      <c r="G173" s="57">
        <v>4</v>
      </c>
      <c r="H173" s="57">
        <v>0.1</v>
      </c>
      <c r="L173">
        <f>(Tabelle4[[#This Row],[%]]/Tabelle4[[#This Row],[QMIMI]])*100</f>
        <v>2.5</v>
      </c>
    </row>
    <row r="174" spans="1:12" x14ac:dyDescent="0.25">
      <c r="A174" s="55">
        <v>3180004</v>
      </c>
      <c r="B174" s="56" t="s">
        <v>220</v>
      </c>
      <c r="C174" s="57" t="s">
        <v>224</v>
      </c>
      <c r="D174" s="55">
        <v>2.88</v>
      </c>
      <c r="E174" s="57">
        <v>4021799</v>
      </c>
      <c r="F174" s="55">
        <v>139289</v>
      </c>
      <c r="G174" s="57">
        <v>4</v>
      </c>
      <c r="H174" s="57">
        <v>0.20000000000000018</v>
      </c>
      <c r="L174">
        <f>(Tabelle4[[#This Row],[%]]/Tabelle4[[#This Row],[QMIMI]])*100</f>
        <v>5.0000000000000044</v>
      </c>
    </row>
    <row r="175" spans="1:12" x14ac:dyDescent="0.25">
      <c r="A175" s="55">
        <v>3180012</v>
      </c>
      <c r="B175" s="56" t="s">
        <v>220</v>
      </c>
      <c r="C175" s="57" t="s">
        <v>225</v>
      </c>
      <c r="D175" s="55">
        <v>2.88</v>
      </c>
      <c r="E175" s="57">
        <v>4021799</v>
      </c>
      <c r="F175" s="55">
        <v>139296</v>
      </c>
      <c r="G175" s="57">
        <v>4</v>
      </c>
      <c r="H175" s="57">
        <v>0.20000000000000018</v>
      </c>
      <c r="L175">
        <f>(Tabelle4[[#This Row],[%]]/Tabelle4[[#This Row],[QMIMI]])*100</f>
        <v>5.0000000000000044</v>
      </c>
    </row>
    <row r="176" spans="1:12" x14ac:dyDescent="0.25">
      <c r="A176" s="55">
        <v>3180013</v>
      </c>
      <c r="B176" s="56" t="s">
        <v>220</v>
      </c>
      <c r="C176" s="57" t="s">
        <v>226</v>
      </c>
      <c r="D176" s="55">
        <v>2.88</v>
      </c>
      <c r="E176" s="57">
        <v>4021799</v>
      </c>
      <c r="F176" s="55">
        <v>139302</v>
      </c>
      <c r="G176" s="57">
        <v>4</v>
      </c>
      <c r="H176" s="57">
        <v>0.20000000000000018</v>
      </c>
      <c r="L176">
        <f>(Tabelle4[[#This Row],[%]]/Tabelle4[[#This Row],[QMIMI]])*100</f>
        <v>5.0000000000000044</v>
      </c>
    </row>
    <row r="177" spans="1:12" x14ac:dyDescent="0.25">
      <c r="A177" s="55">
        <v>3180014</v>
      </c>
      <c r="B177" s="56" t="s">
        <v>220</v>
      </c>
      <c r="C177" s="57" t="s">
        <v>227</v>
      </c>
      <c r="D177" s="55">
        <v>2.88</v>
      </c>
      <c r="E177" s="57">
        <v>4021799</v>
      </c>
      <c r="F177" s="55">
        <v>139319</v>
      </c>
      <c r="G177" s="57">
        <v>4</v>
      </c>
      <c r="H177" s="57">
        <v>0.20000000000000018</v>
      </c>
      <c r="L177">
        <f>(Tabelle4[[#This Row],[%]]/Tabelle4[[#This Row],[QMIMI]])*100</f>
        <v>5.0000000000000044</v>
      </c>
    </row>
    <row r="178" spans="1:12" x14ac:dyDescent="0.25">
      <c r="A178" s="55">
        <v>3180015</v>
      </c>
      <c r="B178" s="56" t="s">
        <v>228</v>
      </c>
      <c r="C178" s="57" t="s">
        <v>229</v>
      </c>
      <c r="D178" s="55">
        <v>2.13</v>
      </c>
      <c r="E178" s="57">
        <v>4021799</v>
      </c>
      <c r="F178" s="55">
        <v>125428</v>
      </c>
      <c r="G178" s="57">
        <v>3</v>
      </c>
      <c r="H178" s="57">
        <v>0.10000000000000009</v>
      </c>
      <c r="L178">
        <f>(Tabelle4[[#This Row],[%]]/Tabelle4[[#This Row],[QMIMI]])*100</f>
        <v>3.3333333333333361</v>
      </c>
    </row>
    <row r="179" spans="1:12" x14ac:dyDescent="0.25">
      <c r="A179" s="55">
        <v>3180018</v>
      </c>
      <c r="B179" s="56" t="s">
        <v>230</v>
      </c>
      <c r="C179" s="57" t="s">
        <v>231</v>
      </c>
      <c r="D179" s="55">
        <v>2.27</v>
      </c>
      <c r="E179" s="57">
        <v>4021799</v>
      </c>
      <c r="F179" s="55">
        <v>125428</v>
      </c>
      <c r="G179" s="57">
        <v>3</v>
      </c>
      <c r="H179" s="57">
        <v>0.10000000000000009</v>
      </c>
      <c r="L179">
        <f>(Tabelle4[[#This Row],[%]]/Tabelle4[[#This Row],[QMIMI]])*100</f>
        <v>3.3333333333333361</v>
      </c>
    </row>
    <row r="180" spans="1:12" x14ac:dyDescent="0.25">
      <c r="A180" s="55">
        <v>3180019</v>
      </c>
      <c r="B180" s="56" t="s">
        <v>232</v>
      </c>
      <c r="C180" s="57" t="s">
        <v>233</v>
      </c>
      <c r="D180" s="55">
        <v>2.27</v>
      </c>
      <c r="E180" s="57">
        <v>4021799</v>
      </c>
      <c r="F180" s="55">
        <v>124636</v>
      </c>
      <c r="G180" s="57">
        <v>3</v>
      </c>
      <c r="H180" s="57">
        <v>9.9999999999999645E-2</v>
      </c>
      <c r="L180">
        <f>(Tabelle4[[#This Row],[%]]/Tabelle4[[#This Row],[QMIMI]])*100</f>
        <v>3.3333333333333215</v>
      </c>
    </row>
    <row r="181" spans="1:12" x14ac:dyDescent="0.25">
      <c r="A181" s="55">
        <v>3180021</v>
      </c>
      <c r="B181" s="56" t="s">
        <v>234</v>
      </c>
      <c r="C181" s="57" t="s">
        <v>235</v>
      </c>
      <c r="D181" s="55">
        <v>2.27</v>
      </c>
      <c r="E181" s="57">
        <v>4021799</v>
      </c>
      <c r="F181" s="55">
        <v>129105</v>
      </c>
      <c r="G181" s="57">
        <v>3</v>
      </c>
      <c r="H181" s="57">
        <v>0.10000000000000009</v>
      </c>
      <c r="L181">
        <f>(Tabelle4[[#This Row],[%]]/Tabelle4[[#This Row],[QMIMI]])*100</f>
        <v>3.3333333333333361</v>
      </c>
    </row>
    <row r="182" spans="1:12" x14ac:dyDescent="0.25">
      <c r="A182" s="55">
        <v>3180022</v>
      </c>
      <c r="B182" s="56" t="s">
        <v>236</v>
      </c>
      <c r="C182" s="57" t="s">
        <v>237</v>
      </c>
      <c r="D182" s="55">
        <v>2.27</v>
      </c>
      <c r="E182" s="57">
        <v>4021799</v>
      </c>
      <c r="F182" s="55">
        <v>129136</v>
      </c>
      <c r="G182" s="57">
        <v>3</v>
      </c>
      <c r="H182" s="57">
        <v>0.10000000000000009</v>
      </c>
      <c r="L182">
        <f>(Tabelle4[[#This Row],[%]]/Tabelle4[[#This Row],[QMIMI]])*100</f>
        <v>3.3333333333333361</v>
      </c>
    </row>
    <row r="183" spans="1:12" x14ac:dyDescent="0.25">
      <c r="A183" s="55">
        <v>3180023</v>
      </c>
      <c r="B183" s="56" t="s">
        <v>238</v>
      </c>
      <c r="C183" s="57" t="s">
        <v>239</v>
      </c>
      <c r="D183" s="55">
        <v>2.27</v>
      </c>
      <c r="E183" s="57">
        <v>4021799</v>
      </c>
      <c r="F183" s="55">
        <v>137445</v>
      </c>
      <c r="G183" s="57">
        <v>3</v>
      </c>
      <c r="H183" s="57">
        <v>0.10000000000000009</v>
      </c>
      <c r="L183">
        <f>(Tabelle4[[#This Row],[%]]/Tabelle4[[#This Row],[QMIMI]])*100</f>
        <v>3.3333333333333361</v>
      </c>
    </row>
    <row r="184" spans="1:12" x14ac:dyDescent="0.25">
      <c r="A184" s="55">
        <v>3180024</v>
      </c>
      <c r="B184" s="56" t="s">
        <v>240</v>
      </c>
      <c r="C184" s="57" t="s">
        <v>241</v>
      </c>
      <c r="D184" s="55">
        <v>2.27</v>
      </c>
      <c r="E184" s="57">
        <v>4021799</v>
      </c>
      <c r="F184" s="55">
        <v>137452</v>
      </c>
      <c r="G184" s="57">
        <v>3</v>
      </c>
      <c r="H184" s="57">
        <v>0.10000000000000009</v>
      </c>
      <c r="L184">
        <f>(Tabelle4[[#This Row],[%]]/Tabelle4[[#This Row],[QMIMI]])*100</f>
        <v>3.3333333333333361</v>
      </c>
    </row>
    <row r="185" spans="1:12" x14ac:dyDescent="0.25">
      <c r="A185" s="55">
        <v>3180025</v>
      </c>
      <c r="B185" s="56" t="s">
        <v>242</v>
      </c>
      <c r="C185" s="57" t="s">
        <v>243</v>
      </c>
      <c r="D185" s="55">
        <v>2.27</v>
      </c>
      <c r="E185" s="57">
        <v>4021799</v>
      </c>
      <c r="F185" s="55">
        <v>125787</v>
      </c>
      <c r="G185" s="57">
        <v>3</v>
      </c>
      <c r="H185" s="57">
        <v>0.10000000000000009</v>
      </c>
      <c r="L185">
        <f>(Tabelle4[[#This Row],[%]]/Tabelle4[[#This Row],[QMIMI]])*100</f>
        <v>3.3333333333333361</v>
      </c>
    </row>
    <row r="186" spans="1:12" x14ac:dyDescent="0.25">
      <c r="A186" s="55">
        <v>3180027</v>
      </c>
      <c r="B186" s="56" t="s">
        <v>244</v>
      </c>
      <c r="C186" s="57" t="s">
        <v>245</v>
      </c>
      <c r="D186" s="55">
        <v>2.27</v>
      </c>
      <c r="E186" s="57">
        <v>4021799</v>
      </c>
      <c r="F186" s="55">
        <v>137469</v>
      </c>
      <c r="G186" s="57">
        <v>3</v>
      </c>
      <c r="H186" s="57">
        <v>0.10000000000000009</v>
      </c>
      <c r="L186">
        <f>(Tabelle4[[#This Row],[%]]/Tabelle4[[#This Row],[QMIMI]])*100</f>
        <v>3.3333333333333361</v>
      </c>
    </row>
    <row r="187" spans="1:12" x14ac:dyDescent="0.25">
      <c r="A187" s="55">
        <v>3180028</v>
      </c>
      <c r="B187" s="56" t="s">
        <v>246</v>
      </c>
      <c r="C187" s="57" t="s">
        <v>247</v>
      </c>
      <c r="D187" s="55">
        <v>2.27</v>
      </c>
      <c r="E187" s="57">
        <v>4021799</v>
      </c>
      <c r="F187" s="55">
        <v>129099</v>
      </c>
      <c r="G187" s="57">
        <v>3</v>
      </c>
      <c r="H187" s="57">
        <v>0.10000000000000009</v>
      </c>
      <c r="L187">
        <f>(Tabelle4[[#This Row],[%]]/Tabelle4[[#This Row],[QMIMI]])*100</f>
        <v>3.3333333333333361</v>
      </c>
    </row>
    <row r="188" spans="1:12" x14ac:dyDescent="0.25">
      <c r="A188" s="55">
        <v>3180029</v>
      </c>
      <c r="B188" s="56" t="s">
        <v>248</v>
      </c>
      <c r="C188" s="57" t="s">
        <v>249</v>
      </c>
      <c r="D188" s="55">
        <v>2.27</v>
      </c>
      <c r="E188" s="57">
        <v>4021799</v>
      </c>
      <c r="F188" s="55">
        <v>125398</v>
      </c>
      <c r="G188" s="57">
        <v>3</v>
      </c>
      <c r="H188" s="57">
        <v>0.10000000000000009</v>
      </c>
      <c r="L188">
        <f>(Tabelle4[[#This Row],[%]]/Tabelle4[[#This Row],[QMIMI]])*100</f>
        <v>3.3333333333333361</v>
      </c>
    </row>
    <row r="189" spans="1:12" x14ac:dyDescent="0.25">
      <c r="A189" s="55">
        <v>3180030</v>
      </c>
      <c r="B189" s="56" t="s">
        <v>250</v>
      </c>
      <c r="C189" s="57" t="s">
        <v>251</v>
      </c>
      <c r="D189" s="55">
        <v>2.13</v>
      </c>
      <c r="E189" s="57">
        <v>4021799</v>
      </c>
      <c r="F189" s="55">
        <v>125398</v>
      </c>
      <c r="G189" s="57">
        <v>3</v>
      </c>
      <c r="H189" s="57">
        <v>0.10000000000000009</v>
      </c>
      <c r="L189">
        <f>(Tabelle4[[#This Row],[%]]/Tabelle4[[#This Row],[QMIMI]])*100</f>
        <v>3.3333333333333361</v>
      </c>
    </row>
    <row r="190" spans="1:12" x14ac:dyDescent="0.25">
      <c r="A190" s="55">
        <v>3180031</v>
      </c>
      <c r="B190" s="56" t="s">
        <v>252</v>
      </c>
      <c r="C190" s="57" t="s">
        <v>253</v>
      </c>
      <c r="D190" s="55">
        <v>2.13</v>
      </c>
      <c r="E190" s="57">
        <v>4021799</v>
      </c>
      <c r="F190" s="55">
        <v>125398</v>
      </c>
      <c r="G190" s="57">
        <v>3</v>
      </c>
      <c r="H190" s="57">
        <v>0.10000000000000009</v>
      </c>
      <c r="L190">
        <f>(Tabelle4[[#This Row],[%]]/Tabelle4[[#This Row],[QMIMI]])*100</f>
        <v>3.3333333333333361</v>
      </c>
    </row>
    <row r="191" spans="1:12" x14ac:dyDescent="0.25">
      <c r="A191" s="55">
        <v>3180043</v>
      </c>
      <c r="B191" s="56" t="s">
        <v>254</v>
      </c>
      <c r="C191" s="57" t="s">
        <v>255</v>
      </c>
      <c r="D191" s="55">
        <v>1.6</v>
      </c>
      <c r="E191" s="57"/>
      <c r="F191" s="55"/>
      <c r="G191" s="57">
        <v>3</v>
      </c>
      <c r="H191" s="57">
        <v>0.20000000000000018</v>
      </c>
      <c r="L191">
        <f>(Tabelle4[[#This Row],[%]]/Tabelle4[[#This Row],[QMIMI]])*100</f>
        <v>6.6666666666666723</v>
      </c>
    </row>
    <row r="192" spans="1:12" x14ac:dyDescent="0.25">
      <c r="A192" s="55">
        <v>3180059</v>
      </c>
      <c r="B192" s="56" t="s">
        <v>256</v>
      </c>
      <c r="C192" s="57" t="s">
        <v>257</v>
      </c>
      <c r="D192" s="55">
        <v>2.66</v>
      </c>
      <c r="E192" s="57">
        <v>4021799</v>
      </c>
      <c r="F192" s="55">
        <v>125190</v>
      </c>
      <c r="G192" s="57">
        <v>0</v>
      </c>
      <c r="H192" s="57">
        <v>0.20000000000000018</v>
      </c>
      <c r="L192" t="e">
        <f>(Tabelle4[[#This Row],[%]]/Tabelle4[[#This Row],[QMIMI]])*100</f>
        <v>#DIV/0!</v>
      </c>
    </row>
    <row r="193" spans="1:12" x14ac:dyDescent="0.25">
      <c r="A193" s="55">
        <v>3180080</v>
      </c>
      <c r="B193" s="56" t="s">
        <v>258</v>
      </c>
      <c r="C193" s="57" t="s">
        <v>184</v>
      </c>
      <c r="D193" s="55">
        <v>4.13</v>
      </c>
      <c r="E193" s="57">
        <v>4021799</v>
      </c>
      <c r="F193" s="55">
        <v>152486</v>
      </c>
      <c r="G193" s="57">
        <v>6.5</v>
      </c>
      <c r="H193" s="57">
        <v>0.20000000000000018</v>
      </c>
      <c r="L193">
        <f>(Tabelle4[[#This Row],[%]]/Tabelle4[[#This Row],[QMIMI]])*100</f>
        <v>3.0769230769230793</v>
      </c>
    </row>
    <row r="194" spans="1:12" x14ac:dyDescent="0.25">
      <c r="A194" s="55">
        <v>3180081</v>
      </c>
      <c r="B194" s="56" t="s">
        <v>258</v>
      </c>
      <c r="C194" s="57" t="s">
        <v>259</v>
      </c>
      <c r="D194" s="55">
        <v>4.13</v>
      </c>
      <c r="E194" s="57">
        <v>4021799</v>
      </c>
      <c r="F194" s="55">
        <v>152493</v>
      </c>
      <c r="G194" s="57">
        <v>6.5</v>
      </c>
      <c r="H194" s="57">
        <v>0.20000000000000018</v>
      </c>
      <c r="L194">
        <f>(Tabelle4[[#This Row],[%]]/Tabelle4[[#This Row],[QMIMI]])*100</f>
        <v>3.0769230769230793</v>
      </c>
    </row>
    <row r="195" spans="1:12" x14ac:dyDescent="0.25">
      <c r="A195" s="55">
        <v>3350003</v>
      </c>
      <c r="B195" s="56" t="s">
        <v>260</v>
      </c>
      <c r="C195" s="57" t="s">
        <v>164</v>
      </c>
      <c r="D195" s="55">
        <v>1.81</v>
      </c>
      <c r="E195" s="57">
        <v>4021799</v>
      </c>
      <c r="F195" s="55">
        <v>126494</v>
      </c>
      <c r="G195" s="57">
        <v>2.2999999999999998</v>
      </c>
      <c r="H195" s="57">
        <v>0.20000000000000018</v>
      </c>
      <c r="L195">
        <f>(Tabelle4[[#This Row],[%]]/Tabelle4[[#This Row],[QMIMI]])*100</f>
        <v>8.6956521739130519</v>
      </c>
    </row>
    <row r="196" spans="1:12" x14ac:dyDescent="0.25">
      <c r="A196" s="55">
        <v>3430001</v>
      </c>
      <c r="B196" s="56" t="s">
        <v>261</v>
      </c>
      <c r="C196" s="57" t="s">
        <v>185</v>
      </c>
      <c r="D196" s="55">
        <v>4.04</v>
      </c>
      <c r="E196" s="57">
        <v>4021799</v>
      </c>
      <c r="F196" s="55">
        <v>136325</v>
      </c>
      <c r="G196" s="57">
        <v>8</v>
      </c>
      <c r="H196" s="57">
        <v>0.5</v>
      </c>
      <c r="L196">
        <f>(Tabelle4[[#This Row],[%]]/Tabelle4[[#This Row],[QMIMI]])*100</f>
        <v>6.25</v>
      </c>
    </row>
    <row r="197" spans="1:12" x14ac:dyDescent="0.25">
      <c r="A197" s="55">
        <v>3500001</v>
      </c>
      <c r="B197" s="56" t="s">
        <v>262</v>
      </c>
      <c r="C197" s="57" t="s">
        <v>263</v>
      </c>
      <c r="D197" s="55">
        <v>4.5199999999999996</v>
      </c>
      <c r="E197" s="57">
        <v>4021799</v>
      </c>
      <c r="F197" s="55">
        <v>152691</v>
      </c>
      <c r="G197" s="57">
        <v>4.28</v>
      </c>
      <c r="H197" s="57">
        <v>0.20000000000000018</v>
      </c>
      <c r="L197">
        <f>(Tabelle4[[#This Row],[%]]/Tabelle4[[#This Row],[QMIMI]])*100</f>
        <v>4.6728971962616859</v>
      </c>
    </row>
    <row r="198" spans="1:12" x14ac:dyDescent="0.25">
      <c r="A198" s="55">
        <v>3510030</v>
      </c>
      <c r="B198" s="56" t="s">
        <v>262</v>
      </c>
      <c r="C198" s="57" t="s">
        <v>157</v>
      </c>
      <c r="D198" s="55">
        <v>3.42</v>
      </c>
      <c r="E198" s="57">
        <v>4021799</v>
      </c>
      <c r="F198" s="55">
        <v>137643</v>
      </c>
      <c r="G198" s="57">
        <v>0</v>
      </c>
      <c r="H198" s="57">
        <v>0.20000000000000018</v>
      </c>
      <c r="L198" t="e">
        <f>(Tabelle4[[#This Row],[%]]/Tabelle4[[#This Row],[QMIMI]])*100</f>
        <v>#DIV/0!</v>
      </c>
    </row>
    <row r="199" spans="1:12" x14ac:dyDescent="0.25">
      <c r="A199" s="55">
        <v>3750112</v>
      </c>
      <c r="B199" s="56" t="s">
        <v>264</v>
      </c>
      <c r="C199" s="57" t="s">
        <v>265</v>
      </c>
      <c r="D199" s="55">
        <v>2.13</v>
      </c>
      <c r="E199" s="57">
        <v>4021799</v>
      </c>
      <c r="F199" s="55">
        <v>142746</v>
      </c>
      <c r="G199" s="57">
        <v>3.5</v>
      </c>
      <c r="H199" s="57">
        <v>0.20000000000000018</v>
      </c>
      <c r="L199">
        <f>(Tabelle4[[#This Row],[%]]/Tabelle4[[#This Row],[QMIMI]])*100</f>
        <v>5.7142857142857197</v>
      </c>
    </row>
    <row r="200" spans="1:12" x14ac:dyDescent="0.25">
      <c r="A200" s="55">
        <v>3800013</v>
      </c>
      <c r="B200" s="56" t="s">
        <v>266</v>
      </c>
      <c r="C200" s="57" t="s">
        <v>164</v>
      </c>
      <c r="D200" s="55">
        <v>2.2599999999999998</v>
      </c>
      <c r="E200" s="57">
        <v>4021799</v>
      </c>
      <c r="F200" s="55">
        <v>125770</v>
      </c>
      <c r="G200" s="57">
        <v>3.5</v>
      </c>
      <c r="H200" s="57">
        <v>0.20000000000000018</v>
      </c>
      <c r="L200">
        <f>(Tabelle4[[#This Row],[%]]/Tabelle4[[#This Row],[QMIMI]])*100</f>
        <v>5.7142857142857197</v>
      </c>
    </row>
    <row r="201" spans="1:12" x14ac:dyDescent="0.25">
      <c r="A201" s="55">
        <v>3810036</v>
      </c>
      <c r="B201" s="56" t="s">
        <v>267</v>
      </c>
      <c r="C201" s="57" t="s">
        <v>257</v>
      </c>
      <c r="D201" s="55">
        <v>2.11</v>
      </c>
      <c r="E201" s="57">
        <v>4021799</v>
      </c>
      <c r="F201" s="55">
        <v>123219</v>
      </c>
      <c r="G201" s="57">
        <v>3.3</v>
      </c>
      <c r="H201" s="57">
        <v>0.20000000000000018</v>
      </c>
      <c r="L201">
        <f>(Tabelle4[[#This Row],[%]]/Tabelle4[[#This Row],[QMIMI]])*100</f>
        <v>6.0606060606060659</v>
      </c>
    </row>
    <row r="202" spans="1:12" x14ac:dyDescent="0.25">
      <c r="A202" s="55">
        <v>3811016</v>
      </c>
      <c r="B202" s="56" t="s">
        <v>268</v>
      </c>
      <c r="C202" s="57" t="s">
        <v>269</v>
      </c>
      <c r="D202" s="55">
        <v>2.2599999999999998</v>
      </c>
      <c r="E202" s="57">
        <v>4021799</v>
      </c>
      <c r="F202" s="55">
        <v>123189</v>
      </c>
      <c r="G202" s="57">
        <v>3</v>
      </c>
      <c r="H202" s="57">
        <v>0.20000000000000018</v>
      </c>
      <c r="L202">
        <f>(Tabelle4[[#This Row],[%]]/Tabelle4[[#This Row],[QMIMI]])*100</f>
        <v>6.6666666666666723</v>
      </c>
    </row>
    <row r="203" spans="1:12" x14ac:dyDescent="0.25">
      <c r="A203" s="55">
        <v>3860001</v>
      </c>
      <c r="B203" s="56" t="s">
        <v>270</v>
      </c>
      <c r="C203" s="57" t="s">
        <v>164</v>
      </c>
      <c r="D203" s="55">
        <v>2.8</v>
      </c>
      <c r="E203" s="57">
        <v>4021799</v>
      </c>
      <c r="F203" s="55">
        <v>125794</v>
      </c>
      <c r="G203" s="57">
        <v>4</v>
      </c>
      <c r="H203" s="57">
        <v>0.20000000000000018</v>
      </c>
      <c r="L203">
        <f>(Tabelle4[[#This Row],[%]]/Tabelle4[[#This Row],[QMIMI]])*100</f>
        <v>5.0000000000000044</v>
      </c>
    </row>
    <row r="204" spans="1:12" x14ac:dyDescent="0.25">
      <c r="A204" s="55">
        <v>3880001</v>
      </c>
      <c r="B204" s="56" t="s">
        <v>271</v>
      </c>
      <c r="C204" s="57" t="s">
        <v>164</v>
      </c>
      <c r="D204" s="55">
        <v>2.65</v>
      </c>
      <c r="E204" s="57">
        <v>4021799</v>
      </c>
      <c r="F204" s="55">
        <v>123486</v>
      </c>
      <c r="G204" s="57">
        <v>4</v>
      </c>
      <c r="H204" s="57">
        <v>0.20000000000000018</v>
      </c>
      <c r="L204">
        <f>(Tabelle4[[#This Row],[%]]/Tabelle4[[#This Row],[QMIMI]])*100</f>
        <v>5.0000000000000044</v>
      </c>
    </row>
    <row r="205" spans="1:12" x14ac:dyDescent="0.25">
      <c r="A205" s="55">
        <v>3880003</v>
      </c>
      <c r="B205" s="56" t="s">
        <v>271</v>
      </c>
      <c r="C205" s="57" t="s">
        <v>272</v>
      </c>
      <c r="D205" s="55">
        <v>7.49</v>
      </c>
      <c r="E205" s="57">
        <v>4021799</v>
      </c>
      <c r="F205" s="55">
        <v>0</v>
      </c>
      <c r="G205" s="57">
        <v>8.5</v>
      </c>
      <c r="H205" s="57">
        <v>0.20000000000000018</v>
      </c>
      <c r="L205">
        <f>(Tabelle4[[#This Row],[%]]/Tabelle4[[#This Row],[QMIMI]])*100</f>
        <v>2.3529411764705901</v>
      </c>
    </row>
    <row r="206" spans="1:12" x14ac:dyDescent="0.25">
      <c r="A206" s="55">
        <v>3890003</v>
      </c>
      <c r="B206" s="56" t="s">
        <v>273</v>
      </c>
      <c r="C206" s="57" t="s">
        <v>272</v>
      </c>
      <c r="D206" s="55">
        <v>7.49</v>
      </c>
      <c r="E206" s="57">
        <v>4021799</v>
      </c>
      <c r="F206" s="55">
        <v>124452</v>
      </c>
      <c r="G206" s="57">
        <v>9</v>
      </c>
      <c r="H206" s="57">
        <v>0.20000000000000018</v>
      </c>
      <c r="L206">
        <f>(Tabelle4[[#This Row],[%]]/Tabelle4[[#This Row],[QMIMI]])*100</f>
        <v>2.2222222222222241</v>
      </c>
    </row>
    <row r="207" spans="1:12" x14ac:dyDescent="0.25">
      <c r="A207" s="55">
        <v>3890007</v>
      </c>
      <c r="B207" s="56" t="s">
        <v>273</v>
      </c>
      <c r="C207" s="57" t="s">
        <v>164</v>
      </c>
      <c r="D207" s="55">
        <v>2.4500000000000002</v>
      </c>
      <c r="E207" s="57">
        <v>4021799</v>
      </c>
      <c r="F207" s="55">
        <v>123158</v>
      </c>
      <c r="G207" s="57">
        <v>4</v>
      </c>
      <c r="H207" s="57">
        <v>0.20000000000000018</v>
      </c>
      <c r="L207">
        <f>(Tabelle4[[#This Row],[%]]/Tabelle4[[#This Row],[QMIMI]])*100</f>
        <v>5.0000000000000044</v>
      </c>
    </row>
    <row r="208" spans="1:12" x14ac:dyDescent="0.25">
      <c r="A208" s="55">
        <v>3900001</v>
      </c>
      <c r="B208" s="56" t="s">
        <v>274</v>
      </c>
      <c r="C208" s="57" t="s">
        <v>204</v>
      </c>
      <c r="D208" s="55">
        <v>3.9</v>
      </c>
      <c r="E208" s="57">
        <v>4021799</v>
      </c>
      <c r="F208" s="55">
        <v>124742</v>
      </c>
      <c r="G208" s="57">
        <v>3.75</v>
      </c>
      <c r="H208" s="57">
        <v>0.20000000000000018</v>
      </c>
      <c r="L208">
        <f>(Tabelle4[[#This Row],[%]]/Tabelle4[[#This Row],[QMIMI]])*100</f>
        <v>5.3333333333333375</v>
      </c>
    </row>
    <row r="209" spans="1:12" x14ac:dyDescent="0.25">
      <c r="A209" s="55">
        <v>3910001</v>
      </c>
      <c r="B209" s="56" t="s">
        <v>275</v>
      </c>
      <c r="C209" s="57" t="s">
        <v>164</v>
      </c>
      <c r="D209" s="55">
        <v>2.3199999999999998</v>
      </c>
      <c r="E209" s="57">
        <v>4021799</v>
      </c>
      <c r="F209" s="55">
        <v>123677</v>
      </c>
      <c r="G209" s="57">
        <v>3.5</v>
      </c>
      <c r="H209" s="57">
        <v>0.20000000000000018</v>
      </c>
      <c r="L209">
        <f>(Tabelle4[[#This Row],[%]]/Tabelle4[[#This Row],[QMIMI]])*100</f>
        <v>5.7142857142857197</v>
      </c>
    </row>
    <row r="210" spans="1:12" x14ac:dyDescent="0.25">
      <c r="A210" s="55">
        <v>3920005</v>
      </c>
      <c r="B210" s="56" t="s">
        <v>276</v>
      </c>
      <c r="C210" s="57" t="s">
        <v>185</v>
      </c>
      <c r="D210" s="55">
        <v>1.9</v>
      </c>
      <c r="E210" s="57">
        <v>4021799</v>
      </c>
      <c r="F210" s="55">
        <v>145242</v>
      </c>
      <c r="G210" s="57">
        <v>3.5</v>
      </c>
      <c r="H210" s="57">
        <v>4.9999999999999989E-2</v>
      </c>
      <c r="L210">
        <f>(Tabelle4[[#This Row],[%]]/Tabelle4[[#This Row],[QMIMI]])*100</f>
        <v>1.4285714285714282</v>
      </c>
    </row>
    <row r="211" spans="1:12" x14ac:dyDescent="0.25">
      <c r="A211" s="55">
        <v>3930001</v>
      </c>
      <c r="B211" s="56" t="s">
        <v>277</v>
      </c>
      <c r="C211" s="57" t="s">
        <v>278</v>
      </c>
      <c r="D211" s="55">
        <v>4.7699999999999996</v>
      </c>
      <c r="E211" s="57">
        <v>4021799</v>
      </c>
      <c r="F211" s="55">
        <v>126340</v>
      </c>
      <c r="G211" s="57">
        <v>6.5</v>
      </c>
      <c r="H211" s="57">
        <v>0.3</v>
      </c>
      <c r="L211">
        <f>(Tabelle4[[#This Row],[%]]/Tabelle4[[#This Row],[QMIMI]])*100</f>
        <v>4.615384615384615</v>
      </c>
    </row>
    <row r="212" spans="1:12" x14ac:dyDescent="0.25">
      <c r="A212" s="55">
        <v>3930010</v>
      </c>
      <c r="B212" s="56" t="s">
        <v>277</v>
      </c>
      <c r="C212" s="57" t="s">
        <v>279</v>
      </c>
      <c r="D212" s="55">
        <v>4.7699999999999996</v>
      </c>
      <c r="E212" s="57">
        <v>4021799</v>
      </c>
      <c r="F212" s="55">
        <v>136400</v>
      </c>
      <c r="G212" s="57">
        <v>6.5</v>
      </c>
      <c r="H212" s="57">
        <v>0.29999999999999982</v>
      </c>
      <c r="L212">
        <f>(Tabelle4[[#This Row],[%]]/Tabelle4[[#This Row],[QMIMI]])*100</f>
        <v>4.6153846153846132</v>
      </c>
    </row>
    <row r="213" spans="1:12" x14ac:dyDescent="0.25">
      <c r="A213" s="55">
        <v>3930012</v>
      </c>
      <c r="B213" s="56" t="s">
        <v>277</v>
      </c>
      <c r="C213" s="57" t="s">
        <v>280</v>
      </c>
      <c r="D213" s="55">
        <v>4.7699999999999996</v>
      </c>
      <c r="E213" s="57">
        <v>4021799</v>
      </c>
      <c r="F213" s="55">
        <v>136424</v>
      </c>
      <c r="G213" s="57">
        <v>6.5</v>
      </c>
      <c r="H213" s="57">
        <v>0.29999999999999982</v>
      </c>
      <c r="L213">
        <f>(Tabelle4[[#This Row],[%]]/Tabelle4[[#This Row],[QMIMI]])*100</f>
        <v>4.6153846153846132</v>
      </c>
    </row>
    <row r="214" spans="1:12" x14ac:dyDescent="0.25">
      <c r="A214" s="55">
        <v>3950005</v>
      </c>
      <c r="B214" s="56" t="s">
        <v>281</v>
      </c>
      <c r="C214" s="57" t="s">
        <v>282</v>
      </c>
      <c r="D214" s="55">
        <v>1.87</v>
      </c>
      <c r="E214" s="57">
        <v>4021799</v>
      </c>
      <c r="F214" s="55">
        <v>123097</v>
      </c>
      <c r="G214" s="57">
        <v>4</v>
      </c>
      <c r="H214" s="57">
        <v>0.20000000000000018</v>
      </c>
      <c r="L214">
        <f>(Tabelle4[[#This Row],[%]]/Tabelle4[[#This Row],[QMIMI]])*100</f>
        <v>5.0000000000000044</v>
      </c>
    </row>
    <row r="215" spans="1:12" x14ac:dyDescent="0.25">
      <c r="A215" s="55">
        <v>3990001</v>
      </c>
      <c r="B215" s="56" t="s">
        <v>283</v>
      </c>
      <c r="C215" s="57" t="s">
        <v>164</v>
      </c>
      <c r="D215" s="55">
        <v>2.08</v>
      </c>
      <c r="E215" s="57">
        <v>4021799</v>
      </c>
      <c r="F215" s="55">
        <v>125008</v>
      </c>
      <c r="G215" s="57">
        <v>3</v>
      </c>
      <c r="H215" s="57">
        <v>0.20000000000000018</v>
      </c>
      <c r="L215">
        <f>(Tabelle4[[#This Row],[%]]/Tabelle4[[#This Row],[QMIMI]])*100</f>
        <v>6.6666666666666723</v>
      </c>
    </row>
    <row r="216" spans="1:12" x14ac:dyDescent="0.25">
      <c r="A216" s="55">
        <v>4930001</v>
      </c>
      <c r="B216" s="56" t="s">
        <v>284</v>
      </c>
      <c r="C216" s="57" t="s">
        <v>164</v>
      </c>
      <c r="D216" s="55">
        <v>3.16</v>
      </c>
      <c r="E216" s="57">
        <v>4021799</v>
      </c>
      <c r="F216" s="55">
        <v>126449</v>
      </c>
      <c r="G216" s="57">
        <v>4</v>
      </c>
      <c r="H216" s="57">
        <v>0.20000000000000018</v>
      </c>
      <c r="L216">
        <f>(Tabelle4[[#This Row],[%]]/Tabelle4[[#This Row],[QMIMI]])*100</f>
        <v>5.0000000000000044</v>
      </c>
    </row>
    <row r="217" spans="1:12" x14ac:dyDescent="0.25">
      <c r="A217" s="55">
        <v>4950001</v>
      </c>
      <c r="B217" s="56" t="s">
        <v>285</v>
      </c>
      <c r="C217" s="57" t="s">
        <v>164</v>
      </c>
      <c r="D217" s="55">
        <v>2.02</v>
      </c>
      <c r="E217" s="57">
        <v>4021799</v>
      </c>
      <c r="F217" s="55">
        <v>125619</v>
      </c>
      <c r="G217" s="57">
        <v>2.8</v>
      </c>
      <c r="H217" s="57">
        <v>0.20000000000000018</v>
      </c>
      <c r="L217">
        <f>(Tabelle4[[#This Row],[%]]/Tabelle4[[#This Row],[QMIMI]])*100</f>
        <v>7.1428571428571495</v>
      </c>
    </row>
    <row r="218" spans="1:12" x14ac:dyDescent="0.25">
      <c r="A218" s="55">
        <v>4950002</v>
      </c>
      <c r="B218" s="56" t="s">
        <v>286</v>
      </c>
      <c r="C218" s="57" t="s">
        <v>164</v>
      </c>
      <c r="D218" s="55">
        <v>2.08</v>
      </c>
      <c r="E218" s="57">
        <v>4021799</v>
      </c>
      <c r="F218" s="55">
        <v>126784</v>
      </c>
      <c r="G218" s="57">
        <v>3</v>
      </c>
      <c r="H218" s="57">
        <v>0.19999999999999973</v>
      </c>
      <c r="L218">
        <f>(Tabelle4[[#This Row],[%]]/Tabelle4[[#This Row],[QMIMI]])*100</f>
        <v>6.6666666666666581</v>
      </c>
    </row>
    <row r="219" spans="1:12" x14ac:dyDescent="0.25">
      <c r="A219" s="55">
        <v>4960044</v>
      </c>
      <c r="B219" s="56" t="s">
        <v>287</v>
      </c>
      <c r="C219" s="57" t="s">
        <v>164</v>
      </c>
      <c r="D219" s="55">
        <v>1.44</v>
      </c>
      <c r="E219" s="57">
        <v>4021799</v>
      </c>
      <c r="F219" s="55">
        <v>123233</v>
      </c>
      <c r="G219" s="57">
        <v>2.5</v>
      </c>
      <c r="H219" s="57">
        <v>0.20000000000000018</v>
      </c>
      <c r="L219">
        <f>(Tabelle4[[#This Row],[%]]/Tabelle4[[#This Row],[QMIMI]])*100</f>
        <v>8.0000000000000071</v>
      </c>
    </row>
    <row r="220" spans="1:12" x14ac:dyDescent="0.25">
      <c r="A220" s="55">
        <v>5030001</v>
      </c>
      <c r="B220" s="56" t="s">
        <v>288</v>
      </c>
      <c r="C220" s="57" t="s">
        <v>263</v>
      </c>
      <c r="D220" s="55">
        <v>2.52</v>
      </c>
      <c r="E220" s="57">
        <v>4021799</v>
      </c>
      <c r="F220" s="55">
        <v>126609</v>
      </c>
      <c r="G220" s="57">
        <v>5.5</v>
      </c>
      <c r="H220" s="57">
        <v>0.20000000000000018</v>
      </c>
      <c r="L220">
        <f>(Tabelle4[[#This Row],[%]]/Tabelle4[[#This Row],[QMIMI]])*100</f>
        <v>3.6363636363636398</v>
      </c>
    </row>
    <row r="221" spans="1:12" x14ac:dyDescent="0.25">
      <c r="A221" s="55">
        <v>5030030</v>
      </c>
      <c r="B221" s="56" t="s">
        <v>288</v>
      </c>
      <c r="C221" s="57" t="s">
        <v>289</v>
      </c>
      <c r="D221" s="55">
        <v>1.74</v>
      </c>
      <c r="E221" s="57">
        <v>4021799</v>
      </c>
      <c r="F221" s="55">
        <v>137582</v>
      </c>
      <c r="G221" s="57">
        <v>120</v>
      </c>
      <c r="H221" s="57">
        <v>6</v>
      </c>
      <c r="L221">
        <f>(Tabelle4[[#This Row],[%]]/Tabelle4[[#This Row],[QMIMI]])*100</f>
        <v>5</v>
      </c>
    </row>
    <row r="222" spans="1:12" x14ac:dyDescent="0.25">
      <c r="A222" s="55">
        <v>5060001</v>
      </c>
      <c r="B222" s="56" t="s">
        <v>290</v>
      </c>
      <c r="C222" s="57" t="s">
        <v>164</v>
      </c>
      <c r="D222" s="55">
        <v>1.39</v>
      </c>
      <c r="E222" s="57">
        <v>4021799</v>
      </c>
      <c r="F222" s="55">
        <v>126487</v>
      </c>
      <c r="G222" s="57">
        <v>3</v>
      </c>
      <c r="H222" s="57">
        <v>0.20000000000000018</v>
      </c>
      <c r="L222">
        <f>(Tabelle4[[#This Row],[%]]/Tabelle4[[#This Row],[QMIMI]])*100</f>
        <v>6.6666666666666723</v>
      </c>
    </row>
    <row r="223" spans="1:12" x14ac:dyDescent="0.25">
      <c r="A223" s="55">
        <v>5070001</v>
      </c>
      <c r="B223" s="56" t="s">
        <v>291</v>
      </c>
      <c r="C223" s="57" t="s">
        <v>164</v>
      </c>
      <c r="D223" s="55">
        <v>1.87</v>
      </c>
      <c r="E223" s="57">
        <v>4021799</v>
      </c>
      <c r="F223" s="55">
        <v>123479</v>
      </c>
      <c r="G223" s="57">
        <v>3</v>
      </c>
      <c r="H223" s="57">
        <v>0.20000000000000018</v>
      </c>
      <c r="L223">
        <f>(Tabelle4[[#This Row],[%]]/Tabelle4[[#This Row],[QMIMI]])*100</f>
        <v>6.6666666666666723</v>
      </c>
    </row>
    <row r="224" spans="1:12" x14ac:dyDescent="0.25">
      <c r="A224" s="55">
        <v>5080002</v>
      </c>
      <c r="B224" s="56" t="s">
        <v>292</v>
      </c>
      <c r="C224" s="57" t="s">
        <v>164</v>
      </c>
      <c r="D224" s="55">
        <v>1.35</v>
      </c>
      <c r="E224" s="57">
        <v>4021799</v>
      </c>
      <c r="F224" s="55">
        <v>126470</v>
      </c>
      <c r="G224" s="57">
        <v>2.5</v>
      </c>
      <c r="H224" s="57">
        <v>0.19999999999999996</v>
      </c>
      <c r="L224">
        <f>(Tabelle4[[#This Row],[%]]/Tabelle4[[#This Row],[QMIMI]])*100</f>
        <v>7.9999999999999991</v>
      </c>
    </row>
    <row r="225" spans="1:12" x14ac:dyDescent="0.25">
      <c r="A225" s="55">
        <v>5080007</v>
      </c>
      <c r="B225" s="56" t="s">
        <v>293</v>
      </c>
      <c r="C225" s="57" t="s">
        <v>164</v>
      </c>
      <c r="D225" s="55">
        <v>1.35</v>
      </c>
      <c r="E225" s="57">
        <v>4021799</v>
      </c>
      <c r="F225" s="55">
        <v>123134</v>
      </c>
      <c r="G225" s="57">
        <v>2.5</v>
      </c>
      <c r="H225" s="57">
        <v>0.20000000000000018</v>
      </c>
      <c r="L225">
        <f>(Tabelle4[[#This Row],[%]]/Tabelle4[[#This Row],[QMIMI]])*100</f>
        <v>8.0000000000000071</v>
      </c>
    </row>
    <row r="226" spans="1:12" x14ac:dyDescent="0.25">
      <c r="A226" s="55">
        <v>5090012</v>
      </c>
      <c r="B226" s="56" t="s">
        <v>294</v>
      </c>
      <c r="C226" s="57" t="s">
        <v>295</v>
      </c>
      <c r="D226" s="55">
        <v>5.82</v>
      </c>
      <c r="E226" s="57">
        <v>4021799</v>
      </c>
      <c r="F226" s="55">
        <v>126357</v>
      </c>
      <c r="G226" s="57">
        <v>8.5</v>
      </c>
      <c r="H226" s="57">
        <v>0.30000000000000071</v>
      </c>
      <c r="L226">
        <f>(Tabelle4[[#This Row],[%]]/Tabelle4[[#This Row],[QMIMI]])*100</f>
        <v>3.5294117647058907</v>
      </c>
    </row>
    <row r="227" spans="1:12" x14ac:dyDescent="0.25">
      <c r="A227" s="55">
        <v>5152809</v>
      </c>
      <c r="B227" s="56" t="s">
        <v>296</v>
      </c>
      <c r="C227" s="57" t="s">
        <v>297</v>
      </c>
      <c r="D227" s="55">
        <v>1.65</v>
      </c>
      <c r="E227" s="57">
        <v>4021799</v>
      </c>
      <c r="F227" s="55">
        <v>158563</v>
      </c>
      <c r="G227" s="57">
        <v>2.5</v>
      </c>
      <c r="H227" s="57">
        <v>0.1</v>
      </c>
      <c r="L227">
        <f>(Tabelle4[[#This Row],[%]]/Tabelle4[[#This Row],[QMIMI]])*100</f>
        <v>4</v>
      </c>
    </row>
    <row r="228" spans="1:12" x14ac:dyDescent="0.25">
      <c r="A228" s="55">
        <v>5152810</v>
      </c>
      <c r="B228" s="56" t="s">
        <v>296</v>
      </c>
      <c r="C228" s="57" t="s">
        <v>298</v>
      </c>
      <c r="D228" s="55">
        <v>1.55</v>
      </c>
      <c r="E228" s="57">
        <v>4021799</v>
      </c>
      <c r="F228" s="55">
        <v>152714</v>
      </c>
      <c r="G228" s="57">
        <v>2.5</v>
      </c>
      <c r="H228" s="57">
        <v>0.1</v>
      </c>
      <c r="L228">
        <f>(Tabelle4[[#This Row],[%]]/Tabelle4[[#This Row],[QMIMI]])*100</f>
        <v>4</v>
      </c>
    </row>
    <row r="229" spans="1:12" x14ac:dyDescent="0.25">
      <c r="A229" s="55">
        <v>5152811</v>
      </c>
      <c r="B229" s="56" t="s">
        <v>296</v>
      </c>
      <c r="C229" s="57" t="s">
        <v>299</v>
      </c>
      <c r="D229" s="55">
        <v>1.55</v>
      </c>
      <c r="E229" s="57">
        <v>4021799</v>
      </c>
      <c r="F229" s="55">
        <v>152721</v>
      </c>
      <c r="G229" s="57">
        <v>2.5</v>
      </c>
      <c r="H229" s="57">
        <v>0.1</v>
      </c>
      <c r="L229">
        <f>(Tabelle4[[#This Row],[%]]/Tabelle4[[#This Row],[QMIMI]])*100</f>
        <v>4</v>
      </c>
    </row>
    <row r="230" spans="1:12" x14ac:dyDescent="0.25">
      <c r="A230" s="55">
        <v>5152812</v>
      </c>
      <c r="B230" s="56" t="s">
        <v>296</v>
      </c>
      <c r="C230" s="57" t="s">
        <v>693</v>
      </c>
      <c r="D230" s="55">
        <v>1.65</v>
      </c>
      <c r="E230" s="57">
        <v>4021799</v>
      </c>
      <c r="F230" s="55">
        <v>152738</v>
      </c>
      <c r="G230" s="57">
        <v>2.5</v>
      </c>
      <c r="H230" s="57">
        <v>0.1</v>
      </c>
      <c r="L230">
        <f>(Tabelle4[[#This Row],[%]]/Tabelle4[[#This Row],[QMIMI]])*100</f>
        <v>4</v>
      </c>
    </row>
    <row r="231" spans="1:12" x14ac:dyDescent="0.25">
      <c r="A231" s="55">
        <v>5152813</v>
      </c>
      <c r="B231" s="56" t="s">
        <v>296</v>
      </c>
      <c r="C231" s="57" t="s">
        <v>300</v>
      </c>
      <c r="D231" s="55">
        <v>1.65</v>
      </c>
      <c r="E231" s="57">
        <v>4021799</v>
      </c>
      <c r="F231" s="55">
        <v>152745</v>
      </c>
      <c r="G231" s="57">
        <v>2.5</v>
      </c>
      <c r="H231" s="57">
        <v>0.1</v>
      </c>
      <c r="L231">
        <f>(Tabelle4[[#This Row],[%]]/Tabelle4[[#This Row],[QMIMI]])*100</f>
        <v>4</v>
      </c>
    </row>
    <row r="232" spans="1:12" x14ac:dyDescent="0.25">
      <c r="A232" s="55">
        <v>5152814</v>
      </c>
      <c r="B232" s="56" t="s">
        <v>296</v>
      </c>
      <c r="C232" s="57" t="s">
        <v>301</v>
      </c>
      <c r="D232" s="55">
        <v>1.65</v>
      </c>
      <c r="E232" s="57">
        <v>4021799</v>
      </c>
      <c r="F232" s="55">
        <v>152752</v>
      </c>
      <c r="G232" s="57">
        <v>2.5</v>
      </c>
      <c r="H232" s="57">
        <v>0.1</v>
      </c>
      <c r="L232">
        <f>(Tabelle4[[#This Row],[%]]/Tabelle4[[#This Row],[QMIMI]])*100</f>
        <v>4</v>
      </c>
    </row>
    <row r="233" spans="1:12" x14ac:dyDescent="0.25">
      <c r="A233" s="55">
        <v>5152815</v>
      </c>
      <c r="B233" s="56" t="s">
        <v>296</v>
      </c>
      <c r="C233" s="57" t="s">
        <v>302</v>
      </c>
      <c r="D233" s="55">
        <v>1.65</v>
      </c>
      <c r="E233" s="57">
        <v>4021799</v>
      </c>
      <c r="F233" s="55">
        <v>152769</v>
      </c>
      <c r="G233" s="57">
        <v>2.5</v>
      </c>
      <c r="H233" s="57">
        <v>0.1</v>
      </c>
      <c r="L233">
        <f>(Tabelle4[[#This Row],[%]]/Tabelle4[[#This Row],[QMIMI]])*100</f>
        <v>4</v>
      </c>
    </row>
    <row r="234" spans="1:12" x14ac:dyDescent="0.25">
      <c r="A234" s="55">
        <v>5152819</v>
      </c>
      <c r="B234" s="56" t="s">
        <v>296</v>
      </c>
      <c r="C234" s="57" t="s">
        <v>303</v>
      </c>
      <c r="D234" s="55">
        <v>1.65</v>
      </c>
      <c r="E234" s="57">
        <v>4021799</v>
      </c>
      <c r="F234" s="55">
        <v>152776</v>
      </c>
      <c r="G234" s="57">
        <v>2.5</v>
      </c>
      <c r="H234" s="57">
        <v>0.1</v>
      </c>
      <c r="L234">
        <f>(Tabelle4[[#This Row],[%]]/Tabelle4[[#This Row],[QMIMI]])*100</f>
        <v>4</v>
      </c>
    </row>
    <row r="235" spans="1:12" x14ac:dyDescent="0.25">
      <c r="A235" s="55">
        <v>5152820</v>
      </c>
      <c r="B235" s="56" t="s">
        <v>296</v>
      </c>
      <c r="C235" s="57" t="s">
        <v>304</v>
      </c>
      <c r="D235" s="55">
        <v>1.65</v>
      </c>
      <c r="E235" s="57">
        <v>4021799</v>
      </c>
      <c r="F235" s="55">
        <v>152783</v>
      </c>
      <c r="G235" s="57">
        <v>2.5</v>
      </c>
      <c r="H235" s="57">
        <v>0.1</v>
      </c>
      <c r="L235">
        <f>(Tabelle4[[#This Row],[%]]/Tabelle4[[#This Row],[QMIMI]])*100</f>
        <v>4</v>
      </c>
    </row>
    <row r="236" spans="1:12" x14ac:dyDescent="0.25">
      <c r="A236" s="55">
        <v>5152821</v>
      </c>
      <c r="B236" s="56" t="s">
        <v>296</v>
      </c>
      <c r="C236" s="57" t="s">
        <v>305</v>
      </c>
      <c r="D236" s="55">
        <v>1.65</v>
      </c>
      <c r="E236" s="57">
        <v>4021799</v>
      </c>
      <c r="F236" s="55">
        <v>152790</v>
      </c>
      <c r="G236" s="57">
        <v>2.5</v>
      </c>
      <c r="H236" s="57">
        <v>0.1</v>
      </c>
      <c r="L236">
        <f>(Tabelle4[[#This Row],[%]]/Tabelle4[[#This Row],[QMIMI]])*100</f>
        <v>4</v>
      </c>
    </row>
    <row r="237" spans="1:12" x14ac:dyDescent="0.25">
      <c r="A237" s="55">
        <v>5152825</v>
      </c>
      <c r="B237" s="56" t="s">
        <v>296</v>
      </c>
      <c r="C237" s="57" t="s">
        <v>306</v>
      </c>
      <c r="D237" s="55">
        <v>1.65</v>
      </c>
      <c r="E237" s="57">
        <v>4021799</v>
      </c>
      <c r="F237" s="55">
        <v>152806</v>
      </c>
      <c r="G237" s="57">
        <v>2.5</v>
      </c>
      <c r="H237" s="57">
        <v>0.1</v>
      </c>
      <c r="L237">
        <f>(Tabelle4[[#This Row],[%]]/Tabelle4[[#This Row],[QMIMI]])*100</f>
        <v>4</v>
      </c>
    </row>
    <row r="238" spans="1:12" x14ac:dyDescent="0.25">
      <c r="A238" s="55">
        <v>5152828</v>
      </c>
      <c r="B238" s="56" t="s">
        <v>296</v>
      </c>
      <c r="C238" s="57" t="s">
        <v>307</v>
      </c>
      <c r="D238" s="55">
        <v>1.65</v>
      </c>
      <c r="E238" s="57">
        <v>4021799</v>
      </c>
      <c r="F238" s="55">
        <v>154176</v>
      </c>
      <c r="G238" s="57">
        <v>2.5</v>
      </c>
      <c r="H238" s="57">
        <v>0.1</v>
      </c>
      <c r="L238">
        <f>(Tabelle4[[#This Row],[%]]/Tabelle4[[#This Row],[QMIMI]])*100</f>
        <v>4</v>
      </c>
    </row>
    <row r="239" spans="1:12" x14ac:dyDescent="0.25">
      <c r="A239" s="55">
        <v>5152829</v>
      </c>
      <c r="B239" s="56" t="s">
        <v>296</v>
      </c>
      <c r="C239" s="57" t="s">
        <v>308</v>
      </c>
      <c r="D239" s="55">
        <v>1.65</v>
      </c>
      <c r="E239" s="57">
        <v>4021799</v>
      </c>
      <c r="F239" s="55">
        <v>152813</v>
      </c>
      <c r="G239" s="57">
        <v>2.5</v>
      </c>
      <c r="H239" s="57">
        <v>0.1</v>
      </c>
      <c r="L239">
        <f>(Tabelle4[[#This Row],[%]]/Tabelle4[[#This Row],[QMIMI]])*100</f>
        <v>4</v>
      </c>
    </row>
    <row r="240" spans="1:12" x14ac:dyDescent="0.25">
      <c r="A240" s="55">
        <v>5152830</v>
      </c>
      <c r="B240" s="56" t="s">
        <v>296</v>
      </c>
      <c r="C240" s="57" t="s">
        <v>309</v>
      </c>
      <c r="D240" s="55">
        <v>1.65</v>
      </c>
      <c r="E240" s="57">
        <v>4021799</v>
      </c>
      <c r="F240" s="55">
        <v>158938</v>
      </c>
      <c r="G240" s="57">
        <v>2.5</v>
      </c>
      <c r="H240" s="57">
        <v>0.1</v>
      </c>
      <c r="L240">
        <f>(Tabelle4[[#This Row],[%]]/Tabelle4[[#This Row],[QMIMI]])*100</f>
        <v>4</v>
      </c>
    </row>
    <row r="241" spans="1:12" x14ac:dyDescent="0.25">
      <c r="A241" s="60">
        <v>5152860</v>
      </c>
      <c r="B241" s="61" t="s">
        <v>296</v>
      </c>
      <c r="C241" s="62" t="s">
        <v>310</v>
      </c>
      <c r="D241" s="55">
        <v>1.65</v>
      </c>
      <c r="E241" s="57">
        <v>4021799</v>
      </c>
      <c r="F241" s="55">
        <v>158662</v>
      </c>
      <c r="G241" s="57">
        <v>2.5</v>
      </c>
      <c r="H241" s="57">
        <v>0.1</v>
      </c>
      <c r="L241">
        <f>(Tabelle4[[#This Row],[%]]/Tabelle4[[#This Row],[QMIMI]])*100</f>
        <v>4</v>
      </c>
    </row>
    <row r="242" spans="1:12" x14ac:dyDescent="0.25">
      <c r="A242" s="60">
        <v>5152861</v>
      </c>
      <c r="B242" s="61" t="s">
        <v>296</v>
      </c>
      <c r="C242" s="62" t="s">
        <v>311</v>
      </c>
      <c r="D242" s="55">
        <v>1.65</v>
      </c>
      <c r="E242" s="57">
        <v>4021799</v>
      </c>
      <c r="F242" s="55">
        <v>158679</v>
      </c>
      <c r="G242" s="57">
        <v>2.5</v>
      </c>
      <c r="H242" s="57">
        <v>0.1</v>
      </c>
      <c r="L242">
        <f>(Tabelle4[[#This Row],[%]]/Tabelle4[[#This Row],[QMIMI]])*100</f>
        <v>4</v>
      </c>
    </row>
    <row r="243" spans="1:12" x14ac:dyDescent="0.25">
      <c r="A243" s="60">
        <v>5152862</v>
      </c>
      <c r="B243" s="61" t="s">
        <v>296</v>
      </c>
      <c r="C243" s="62" t="s">
        <v>312</v>
      </c>
      <c r="D243" s="55">
        <v>1.65</v>
      </c>
      <c r="E243" s="57">
        <v>4021799</v>
      </c>
      <c r="F243" s="55">
        <v>158686</v>
      </c>
      <c r="G243" s="57">
        <v>2.5</v>
      </c>
      <c r="H243" s="57">
        <v>0.1</v>
      </c>
      <c r="L243">
        <f>(Tabelle4[[#This Row],[%]]/Tabelle4[[#This Row],[QMIMI]])*100</f>
        <v>4</v>
      </c>
    </row>
    <row r="244" spans="1:12" x14ac:dyDescent="0.25">
      <c r="A244" s="60">
        <v>5160011</v>
      </c>
      <c r="B244" s="61" t="s">
        <v>313</v>
      </c>
      <c r="C244" s="62" t="s">
        <v>314</v>
      </c>
      <c r="D244" s="55">
        <v>0.8</v>
      </c>
      <c r="E244" s="57">
        <v>4021799</v>
      </c>
      <c r="F244" s="55">
        <v>128634</v>
      </c>
      <c r="G244" s="57">
        <v>1</v>
      </c>
      <c r="H244" s="57">
        <v>0.05</v>
      </c>
      <c r="L244">
        <f>(Tabelle4[[#This Row],[%]]/Tabelle4[[#This Row],[QMIMI]])*100</f>
        <v>5</v>
      </c>
    </row>
    <row r="245" spans="1:12" x14ac:dyDescent="0.25">
      <c r="A245" s="55">
        <v>5160211</v>
      </c>
      <c r="B245" s="56" t="s">
        <v>315</v>
      </c>
      <c r="C245" s="57" t="s">
        <v>181</v>
      </c>
      <c r="D245" s="55">
        <v>1.3</v>
      </c>
      <c r="E245" s="57">
        <v>4021799</v>
      </c>
      <c r="F245" s="55">
        <v>135922</v>
      </c>
      <c r="G245" s="57">
        <v>1.6</v>
      </c>
      <c r="H245" s="57">
        <v>5.0000000000000044E-2</v>
      </c>
      <c r="L245">
        <f>(Tabelle4[[#This Row],[%]]/Tabelle4[[#This Row],[QMIMI]])*100</f>
        <v>3.1250000000000027</v>
      </c>
    </row>
    <row r="246" spans="1:12" x14ac:dyDescent="0.25">
      <c r="A246" s="55">
        <v>5162811</v>
      </c>
      <c r="B246" s="56" t="s">
        <v>316</v>
      </c>
      <c r="C246" s="57" t="s">
        <v>299</v>
      </c>
      <c r="D246" s="55">
        <v>0.8</v>
      </c>
      <c r="E246" s="57">
        <v>4021799</v>
      </c>
      <c r="F246" s="55">
        <v>153469</v>
      </c>
      <c r="G246" s="57">
        <v>1</v>
      </c>
      <c r="H246" s="57">
        <v>5.0000000000000044E-2</v>
      </c>
      <c r="L246">
        <f>(Tabelle4[[#This Row],[%]]/Tabelle4[[#This Row],[QMIMI]])*100</f>
        <v>5.0000000000000044</v>
      </c>
    </row>
    <row r="247" spans="1:12" x14ac:dyDescent="0.25">
      <c r="A247" s="55">
        <v>5170009</v>
      </c>
      <c r="B247" s="56" t="s">
        <v>317</v>
      </c>
      <c r="C247" s="57" t="s">
        <v>318</v>
      </c>
      <c r="D247" s="55">
        <v>1.96</v>
      </c>
      <c r="E247" s="57">
        <v>4021799</v>
      </c>
      <c r="F247" s="55">
        <v>126463</v>
      </c>
      <c r="G247" s="57">
        <v>3.2</v>
      </c>
      <c r="H247" s="57">
        <v>5.0000000000000044E-2</v>
      </c>
      <c r="L247">
        <f>(Tabelle4[[#This Row],[%]]/Tabelle4[[#This Row],[QMIMI]])*100</f>
        <v>1.5625000000000013</v>
      </c>
    </row>
    <row r="248" spans="1:12" x14ac:dyDescent="0.25">
      <c r="A248" s="55">
        <v>5170010</v>
      </c>
      <c r="B248" s="56" t="s">
        <v>317</v>
      </c>
      <c r="C248" s="57" t="s">
        <v>183</v>
      </c>
      <c r="D248" s="55">
        <v>2.2999999999999998</v>
      </c>
      <c r="E248" s="57">
        <v>4021799</v>
      </c>
      <c r="F248" s="55">
        <v>125336</v>
      </c>
      <c r="G248" s="57">
        <v>3.2</v>
      </c>
      <c r="H248" s="57">
        <v>0.10000000000000009</v>
      </c>
      <c r="L248">
        <f>(Tabelle4[[#This Row],[%]]/Tabelle4[[#This Row],[QMIMI]])*100</f>
        <v>3.1250000000000027</v>
      </c>
    </row>
    <row r="249" spans="1:12" x14ac:dyDescent="0.25">
      <c r="A249" s="55">
        <v>5170011</v>
      </c>
      <c r="B249" s="56" t="s">
        <v>317</v>
      </c>
      <c r="C249" s="57" t="s">
        <v>319</v>
      </c>
      <c r="D249" s="55">
        <v>2.2999999999999998</v>
      </c>
      <c r="E249" s="57">
        <v>4021799</v>
      </c>
      <c r="F249" s="55">
        <v>140469</v>
      </c>
      <c r="G249" s="57">
        <v>3.2</v>
      </c>
      <c r="H249" s="57">
        <v>0.10000000000000009</v>
      </c>
      <c r="L249">
        <f>(Tabelle4[[#This Row],[%]]/Tabelle4[[#This Row],[QMIMI]])*100</f>
        <v>3.1250000000000027</v>
      </c>
    </row>
    <row r="250" spans="1:12" x14ac:dyDescent="0.25">
      <c r="A250" s="55">
        <v>5170012</v>
      </c>
      <c r="B250" s="56" t="s">
        <v>317</v>
      </c>
      <c r="C250" s="57" t="s">
        <v>320</v>
      </c>
      <c r="D250" s="55">
        <v>2.2999999999999998</v>
      </c>
      <c r="E250" s="57">
        <v>4021799</v>
      </c>
      <c r="F250" s="55">
        <v>136660</v>
      </c>
      <c r="G250" s="57">
        <v>3.2</v>
      </c>
      <c r="H250" s="57">
        <v>0.1</v>
      </c>
      <c r="L250">
        <f>(Tabelle4[[#This Row],[%]]/Tabelle4[[#This Row],[QMIMI]])*100</f>
        <v>3.125</v>
      </c>
    </row>
    <row r="251" spans="1:12" x14ac:dyDescent="0.25">
      <c r="A251" s="55">
        <v>5170014</v>
      </c>
      <c r="B251" s="56" t="s">
        <v>321</v>
      </c>
      <c r="C251" s="57" t="s">
        <v>322</v>
      </c>
      <c r="D251" s="55">
        <v>2.2999999999999998</v>
      </c>
      <c r="E251" s="57">
        <v>4021799</v>
      </c>
      <c r="F251" s="55">
        <v>136592</v>
      </c>
      <c r="G251" s="57">
        <v>3.2</v>
      </c>
      <c r="H251" s="57">
        <v>0.10000000000000009</v>
      </c>
      <c r="L251">
        <f>(Tabelle4[[#This Row],[%]]/Tabelle4[[#This Row],[QMIMI]])*100</f>
        <v>3.1250000000000027</v>
      </c>
    </row>
    <row r="252" spans="1:12" x14ac:dyDescent="0.25">
      <c r="A252" s="55">
        <v>5170015</v>
      </c>
      <c r="B252" s="56" t="s">
        <v>317</v>
      </c>
      <c r="C252" s="57" t="s">
        <v>182</v>
      </c>
      <c r="D252" s="55">
        <v>2.2999999999999998</v>
      </c>
      <c r="E252" s="57">
        <v>4021799</v>
      </c>
      <c r="F252" s="55">
        <v>140445</v>
      </c>
      <c r="G252" s="57">
        <v>3.2</v>
      </c>
      <c r="H252" s="57">
        <v>0.10000000000000009</v>
      </c>
      <c r="L252">
        <f>(Tabelle4[[#This Row],[%]]/Tabelle4[[#This Row],[QMIMI]])*100</f>
        <v>3.1250000000000027</v>
      </c>
    </row>
    <row r="253" spans="1:12" x14ac:dyDescent="0.25">
      <c r="A253" s="55">
        <v>5170036</v>
      </c>
      <c r="B253" s="56" t="s">
        <v>323</v>
      </c>
      <c r="C253" s="57" t="s">
        <v>152</v>
      </c>
      <c r="D253" s="55">
        <v>1.75</v>
      </c>
      <c r="E253" s="57">
        <v>4021799</v>
      </c>
      <c r="F253" s="55">
        <v>124643</v>
      </c>
      <c r="G253" s="57">
        <v>2.8</v>
      </c>
      <c r="H253" s="57">
        <v>0.10000000000000009</v>
      </c>
      <c r="L253">
        <f>(Tabelle4[[#This Row],[%]]/Tabelle4[[#This Row],[QMIMI]])*100</f>
        <v>3.5714285714285747</v>
      </c>
    </row>
    <row r="254" spans="1:12" x14ac:dyDescent="0.25">
      <c r="A254" s="55">
        <v>5170060</v>
      </c>
      <c r="B254" s="56" t="s">
        <v>317</v>
      </c>
      <c r="C254" s="57" t="s">
        <v>324</v>
      </c>
      <c r="D254" s="55">
        <v>1.96</v>
      </c>
      <c r="E254" s="57">
        <v>4021799</v>
      </c>
      <c r="F254" s="55">
        <v>136677</v>
      </c>
      <c r="G254" s="57">
        <v>3.2</v>
      </c>
      <c r="H254" s="57">
        <v>0.10000000000000009</v>
      </c>
      <c r="L254">
        <f>(Tabelle4[[#This Row],[%]]/Tabelle4[[#This Row],[QMIMI]])*100</f>
        <v>3.1250000000000027</v>
      </c>
    </row>
    <row r="255" spans="1:12" x14ac:dyDescent="0.25">
      <c r="A255" s="55">
        <v>5170061</v>
      </c>
      <c r="B255" s="56" t="s">
        <v>317</v>
      </c>
      <c r="C255" s="57" t="s">
        <v>325</v>
      </c>
      <c r="D255" s="55">
        <v>1.96</v>
      </c>
      <c r="E255" s="57">
        <v>4021799</v>
      </c>
      <c r="F255" s="55">
        <v>136653</v>
      </c>
      <c r="G255" s="57">
        <v>3.2</v>
      </c>
      <c r="H255" s="57">
        <v>0.10000000000000009</v>
      </c>
      <c r="L255">
        <f>(Tabelle4[[#This Row],[%]]/Tabelle4[[#This Row],[QMIMI]])*100</f>
        <v>3.1250000000000027</v>
      </c>
    </row>
    <row r="256" spans="1:12" x14ac:dyDescent="0.25">
      <c r="A256" s="55">
        <v>5170062</v>
      </c>
      <c r="B256" s="56" t="s">
        <v>317</v>
      </c>
      <c r="C256" s="57" t="s">
        <v>326</v>
      </c>
      <c r="D256" s="55">
        <v>1.96</v>
      </c>
      <c r="E256" s="57">
        <v>4021799</v>
      </c>
      <c r="F256" s="55">
        <v>140421</v>
      </c>
      <c r="G256" s="57">
        <v>3.2</v>
      </c>
      <c r="H256" s="57">
        <v>0.10000000000000009</v>
      </c>
      <c r="L256">
        <f>(Tabelle4[[#This Row],[%]]/Tabelle4[[#This Row],[QMIMI]])*100</f>
        <v>3.1250000000000027</v>
      </c>
    </row>
    <row r="257" spans="1:12" x14ac:dyDescent="0.25">
      <c r="A257" s="55">
        <v>5176510</v>
      </c>
      <c r="B257" s="56" t="s">
        <v>327</v>
      </c>
      <c r="C257" s="57" t="s">
        <v>328</v>
      </c>
      <c r="D257" s="55">
        <v>2.0499999999999998</v>
      </c>
      <c r="E257" s="57">
        <v>4021799</v>
      </c>
      <c r="F257" s="55">
        <v>125336</v>
      </c>
      <c r="G257" s="57">
        <v>3.2</v>
      </c>
      <c r="H257" s="57">
        <v>0.10000000000000009</v>
      </c>
      <c r="L257">
        <f>(Tabelle4[[#This Row],[%]]/Tabelle4[[#This Row],[QMIMI]])*100</f>
        <v>3.1250000000000027</v>
      </c>
    </row>
    <row r="258" spans="1:12" x14ac:dyDescent="0.25">
      <c r="A258" s="55">
        <v>5176511</v>
      </c>
      <c r="B258" s="56" t="s">
        <v>327</v>
      </c>
      <c r="C258" s="57" t="s">
        <v>181</v>
      </c>
      <c r="D258" s="55">
        <v>2.0499999999999998</v>
      </c>
      <c r="E258" s="57">
        <v>4021799</v>
      </c>
      <c r="F258" s="55">
        <v>140469</v>
      </c>
      <c r="G258" s="57">
        <v>3.2</v>
      </c>
      <c r="H258" s="57">
        <v>0.10000000000000009</v>
      </c>
      <c r="L258">
        <f>(Tabelle4[[#This Row],[%]]/Tabelle4[[#This Row],[QMIMI]])*100</f>
        <v>3.1250000000000027</v>
      </c>
    </row>
    <row r="259" spans="1:12" x14ac:dyDescent="0.25">
      <c r="A259" s="55">
        <v>5176512</v>
      </c>
      <c r="B259" s="56" t="s">
        <v>327</v>
      </c>
      <c r="C259" s="57" t="s">
        <v>186</v>
      </c>
      <c r="D259" s="55">
        <v>2.15</v>
      </c>
      <c r="E259" s="57">
        <v>4021799</v>
      </c>
      <c r="F259" s="55">
        <v>136660</v>
      </c>
      <c r="G259" s="57">
        <v>3.2</v>
      </c>
      <c r="H259" s="57">
        <v>0.10000000000000009</v>
      </c>
      <c r="L259">
        <f>(Tabelle4[[#This Row],[%]]/Tabelle4[[#This Row],[QMIMI]])*100</f>
        <v>3.1250000000000027</v>
      </c>
    </row>
    <row r="260" spans="1:12" x14ac:dyDescent="0.25">
      <c r="A260" s="55">
        <v>5176515</v>
      </c>
      <c r="B260" s="56" t="s">
        <v>327</v>
      </c>
      <c r="C260" s="57" t="s">
        <v>329</v>
      </c>
      <c r="D260" s="55">
        <v>2.15</v>
      </c>
      <c r="E260" s="57">
        <v>4021799</v>
      </c>
      <c r="F260" s="55">
        <v>140445</v>
      </c>
      <c r="G260" s="57">
        <v>3.2</v>
      </c>
      <c r="H260" s="57">
        <v>0.10000000000000009</v>
      </c>
      <c r="L260">
        <f>(Tabelle4[[#This Row],[%]]/Tabelle4[[#This Row],[QMIMI]])*100</f>
        <v>3.1250000000000027</v>
      </c>
    </row>
    <row r="261" spans="1:12" x14ac:dyDescent="0.25">
      <c r="A261" s="55">
        <v>5190036</v>
      </c>
      <c r="B261" s="56" t="s">
        <v>694</v>
      </c>
      <c r="C261" s="57" t="s">
        <v>152</v>
      </c>
      <c r="D261" s="55">
        <v>1.75</v>
      </c>
      <c r="E261" s="57">
        <v>4021799</v>
      </c>
      <c r="F261" s="55">
        <v>124650</v>
      </c>
      <c r="G261" s="57">
        <v>2.8</v>
      </c>
      <c r="H261" s="57">
        <v>5.0000000000000266E-2</v>
      </c>
      <c r="L261">
        <f>(Tabelle4[[#This Row],[%]]/Tabelle4[[#This Row],[QMIMI]])*100</f>
        <v>1.7857142857142954</v>
      </c>
    </row>
    <row r="262" spans="1:12" x14ac:dyDescent="0.25">
      <c r="A262" s="55">
        <v>5380002</v>
      </c>
      <c r="B262" s="56" t="s">
        <v>330</v>
      </c>
      <c r="C262" s="57" t="s">
        <v>164</v>
      </c>
      <c r="D262" s="55">
        <v>2.08</v>
      </c>
      <c r="E262" s="57">
        <v>4021799</v>
      </c>
      <c r="F262" s="55">
        <v>123424</v>
      </c>
      <c r="G262" s="57">
        <v>3.5</v>
      </c>
      <c r="H262" s="57">
        <v>0.29999999999999982</v>
      </c>
      <c r="L262">
        <f>(Tabelle4[[#This Row],[%]]/Tabelle4[[#This Row],[QMIMI]])*100</f>
        <v>8.5714285714285658</v>
      </c>
    </row>
    <row r="263" spans="1:12" x14ac:dyDescent="0.25">
      <c r="A263" s="55">
        <v>5570018</v>
      </c>
      <c r="B263" s="56" t="s">
        <v>331</v>
      </c>
      <c r="C263" s="57" t="s">
        <v>164</v>
      </c>
      <c r="D263" s="55">
        <v>2.11</v>
      </c>
      <c r="E263" s="57">
        <v>4021799</v>
      </c>
      <c r="F263" s="55">
        <v>123172</v>
      </c>
      <c r="G263" s="57">
        <v>3.5</v>
      </c>
      <c r="H263" s="57">
        <v>0.20000000000000018</v>
      </c>
      <c r="L263">
        <f>(Tabelle4[[#This Row],[%]]/Tabelle4[[#This Row],[QMIMI]])*100</f>
        <v>5.7142857142857197</v>
      </c>
    </row>
    <row r="264" spans="1:12" x14ac:dyDescent="0.25">
      <c r="A264" s="55">
        <v>5610017</v>
      </c>
      <c r="B264" s="56" t="s">
        <v>264</v>
      </c>
      <c r="C264" s="57" t="s">
        <v>332</v>
      </c>
      <c r="D264" s="55">
        <v>2.65</v>
      </c>
      <c r="E264" s="57">
        <v>4021799</v>
      </c>
      <c r="F264" s="55">
        <v>124766</v>
      </c>
      <c r="G264" s="57">
        <v>3.5</v>
      </c>
      <c r="H264" s="57">
        <v>0.20000000000000018</v>
      </c>
      <c r="L264">
        <f>(Tabelle4[[#This Row],[%]]/Tabelle4[[#This Row],[QMIMI]])*100</f>
        <v>5.7142857142857197</v>
      </c>
    </row>
    <row r="265" spans="1:12" x14ac:dyDescent="0.25">
      <c r="A265" s="55">
        <v>6670002</v>
      </c>
      <c r="B265" s="56" t="s">
        <v>334</v>
      </c>
      <c r="C265" s="57" t="s">
        <v>335</v>
      </c>
      <c r="D265" s="55">
        <v>5.83</v>
      </c>
      <c r="E265" s="57">
        <v>4021799</v>
      </c>
      <c r="F265" s="55">
        <v>139807</v>
      </c>
      <c r="G265" s="57">
        <v>9</v>
      </c>
      <c r="H265" s="57">
        <v>0.5</v>
      </c>
      <c r="L265">
        <f>(Tabelle4[[#This Row],[%]]/Tabelle4[[#This Row],[QMIMI]])*100</f>
        <v>5.5555555555555554</v>
      </c>
    </row>
    <row r="266" spans="1:12" x14ac:dyDescent="0.25">
      <c r="A266" s="55">
        <v>6670003</v>
      </c>
      <c r="B266" s="56" t="s">
        <v>336</v>
      </c>
      <c r="C266" s="57" t="s">
        <v>337</v>
      </c>
      <c r="D266" s="55">
        <v>5.86</v>
      </c>
      <c r="E266" s="57">
        <v>4021799</v>
      </c>
      <c r="F266" s="55">
        <v>139807</v>
      </c>
      <c r="G266" s="57">
        <v>8</v>
      </c>
      <c r="H266" s="57">
        <v>0.5</v>
      </c>
      <c r="L266">
        <f>(Tabelle4[[#This Row],[%]]/Tabelle4[[#This Row],[QMIMI]])*100</f>
        <v>6.25</v>
      </c>
    </row>
    <row r="267" spans="1:12" x14ac:dyDescent="0.25">
      <c r="A267" s="55">
        <v>6670006</v>
      </c>
      <c r="B267" s="56" t="s">
        <v>338</v>
      </c>
      <c r="C267" s="57" t="s">
        <v>339</v>
      </c>
      <c r="D267" s="55">
        <v>4.26</v>
      </c>
      <c r="E267" s="57">
        <v>4021799</v>
      </c>
      <c r="F267" s="55">
        <v>125121</v>
      </c>
      <c r="G267" s="57">
        <v>7</v>
      </c>
      <c r="H267" s="57">
        <v>0.5</v>
      </c>
      <c r="L267">
        <f>(Tabelle4[[#This Row],[%]]/Tabelle4[[#This Row],[QMIMI]])*100</f>
        <v>7.1428571428571423</v>
      </c>
    </row>
    <row r="268" spans="1:12" x14ac:dyDescent="0.25">
      <c r="A268" s="55">
        <v>6670028</v>
      </c>
      <c r="B268" s="56" t="s">
        <v>340</v>
      </c>
      <c r="C268" s="57" t="s">
        <v>341</v>
      </c>
      <c r="D268" s="55">
        <v>5.0599999999999996</v>
      </c>
      <c r="E268" s="57">
        <v>4021799</v>
      </c>
      <c r="F268" s="55">
        <v>139746</v>
      </c>
      <c r="G268" s="57">
        <v>13.5</v>
      </c>
      <c r="H268" s="57">
        <v>0.5</v>
      </c>
      <c r="L268">
        <f>(Tabelle4[[#This Row],[%]]/Tabelle4[[#This Row],[QMIMI]])*100</f>
        <v>3.7037037037037033</v>
      </c>
    </row>
    <row r="269" spans="1:12" x14ac:dyDescent="0.25">
      <c r="A269" s="55">
        <v>6670029</v>
      </c>
      <c r="B269" s="56" t="s">
        <v>342</v>
      </c>
      <c r="C269" s="57" t="s">
        <v>343</v>
      </c>
      <c r="D269" s="55">
        <v>3.6</v>
      </c>
      <c r="E269" s="57">
        <v>4021799</v>
      </c>
      <c r="F269" s="55">
        <v>143460</v>
      </c>
      <c r="G269" s="57">
        <v>6.5</v>
      </c>
      <c r="H269" s="57">
        <v>0.29999999999999982</v>
      </c>
      <c r="L269">
        <f>(Tabelle4[[#This Row],[%]]/Tabelle4[[#This Row],[QMIMI]])*100</f>
        <v>4.6153846153846132</v>
      </c>
    </row>
    <row r="270" spans="1:12" x14ac:dyDescent="0.25">
      <c r="A270" s="55">
        <v>6670056</v>
      </c>
      <c r="B270" s="56" t="s">
        <v>340</v>
      </c>
      <c r="C270" s="57" t="s">
        <v>344</v>
      </c>
      <c r="D270" s="55">
        <v>10.199999999999999</v>
      </c>
      <c r="E270" s="57">
        <v>4021799</v>
      </c>
      <c r="F270" s="55">
        <v>152240</v>
      </c>
      <c r="G270" s="57">
        <v>0</v>
      </c>
      <c r="H270" s="57">
        <v>0.29999999999999982</v>
      </c>
      <c r="L270" t="e">
        <f>(Tabelle4[[#This Row],[%]]/Tabelle4[[#This Row],[QMIMI]])*100</f>
        <v>#DIV/0!</v>
      </c>
    </row>
    <row r="271" spans="1:12" x14ac:dyDescent="0.25">
      <c r="A271" s="55">
        <v>6670061</v>
      </c>
      <c r="B271" s="56" t="s">
        <v>338</v>
      </c>
      <c r="C271" s="57" t="s">
        <v>345</v>
      </c>
      <c r="D271" s="55">
        <v>4.26</v>
      </c>
      <c r="E271" s="57">
        <v>4021799</v>
      </c>
      <c r="F271" s="55">
        <v>154688</v>
      </c>
      <c r="G271" s="57">
        <v>7</v>
      </c>
      <c r="H271" s="57">
        <v>0.29999999999999982</v>
      </c>
      <c r="L271">
        <f>(Tabelle4[[#This Row],[%]]/Tabelle4[[#This Row],[QMIMI]])*100</f>
        <v>4.2857142857142829</v>
      </c>
    </row>
    <row r="272" spans="1:12" x14ac:dyDescent="0.25">
      <c r="A272" s="55">
        <v>6670062</v>
      </c>
      <c r="B272" s="63" t="s">
        <v>333</v>
      </c>
      <c r="C272" s="57" t="s">
        <v>346</v>
      </c>
      <c r="D272" s="55">
        <v>4</v>
      </c>
      <c r="E272" s="57">
        <v>4021799</v>
      </c>
      <c r="F272" s="55">
        <v>154695</v>
      </c>
      <c r="G272" s="57">
        <v>4</v>
      </c>
      <c r="H272" s="57">
        <v>0.10000000000000009</v>
      </c>
      <c r="L272">
        <f>(Tabelle4[[#This Row],[%]]/Tabelle4[[#This Row],[QMIMI]])*100</f>
        <v>2.5000000000000022</v>
      </c>
    </row>
    <row r="273" spans="1:12" x14ac:dyDescent="0.25">
      <c r="A273" s="55">
        <v>6920036</v>
      </c>
      <c r="B273" s="56" t="s">
        <v>347</v>
      </c>
      <c r="C273" s="57" t="s">
        <v>348</v>
      </c>
      <c r="D273" s="55">
        <v>1.91</v>
      </c>
      <c r="E273" s="57">
        <v>4021799</v>
      </c>
      <c r="F273" s="55">
        <v>126333</v>
      </c>
      <c r="G273" s="57">
        <v>2.8</v>
      </c>
      <c r="H273" s="57">
        <v>4.9999999999999822E-2</v>
      </c>
      <c r="L273">
        <f>(Tabelle4[[#This Row],[%]]/Tabelle4[[#This Row],[QMIMI]])*100</f>
        <v>1.7857142857142794</v>
      </c>
    </row>
    <row r="274" spans="1:12" x14ac:dyDescent="0.25">
      <c r="A274" s="55">
        <v>6930036</v>
      </c>
      <c r="B274" s="56" t="s">
        <v>349</v>
      </c>
      <c r="C274" s="57" t="s">
        <v>348</v>
      </c>
      <c r="D274" s="55">
        <v>1.91</v>
      </c>
      <c r="E274" s="57">
        <v>4021799</v>
      </c>
      <c r="F274" s="55">
        <v>124674</v>
      </c>
      <c r="G274" s="57">
        <v>2.8</v>
      </c>
      <c r="H274" s="57">
        <v>4.9999999999999822E-2</v>
      </c>
      <c r="L274">
        <f>(Tabelle4[[#This Row],[%]]/Tabelle4[[#This Row],[QMIMI]])*100</f>
        <v>1.7857142857142794</v>
      </c>
    </row>
    <row r="275" spans="1:12" x14ac:dyDescent="0.25">
      <c r="A275" s="55">
        <v>7210001</v>
      </c>
      <c r="B275" s="56" t="s">
        <v>350</v>
      </c>
      <c r="C275" s="57" t="s">
        <v>164</v>
      </c>
      <c r="D275" s="55">
        <v>3.21</v>
      </c>
      <c r="E275" s="57">
        <v>4021799</v>
      </c>
      <c r="F275" s="55">
        <v>140384</v>
      </c>
      <c r="G275" s="57">
        <v>5</v>
      </c>
      <c r="H275" s="57">
        <v>0.20000000000000018</v>
      </c>
      <c r="L275">
        <f>(Tabelle4[[#This Row],[%]]/Tabelle4[[#This Row],[QMIMI]])*100</f>
        <v>4.0000000000000036</v>
      </c>
    </row>
    <row r="276" spans="1:12" x14ac:dyDescent="0.25">
      <c r="A276" s="55">
        <v>7220009</v>
      </c>
      <c r="B276" s="56" t="s">
        <v>351</v>
      </c>
      <c r="C276" s="57" t="s">
        <v>164</v>
      </c>
      <c r="D276" s="55">
        <v>2.71</v>
      </c>
      <c r="E276" s="57">
        <v>4021799</v>
      </c>
      <c r="F276" s="55">
        <v>123165</v>
      </c>
      <c r="G276" s="57">
        <v>4.5</v>
      </c>
      <c r="H276" s="57">
        <v>0.20000000000000018</v>
      </c>
    </row>
    <row r="277" spans="1:12" x14ac:dyDescent="0.25">
      <c r="A277" s="55">
        <v>7230001</v>
      </c>
      <c r="B277" s="56" t="s">
        <v>695</v>
      </c>
      <c r="C277" s="57" t="s">
        <v>164</v>
      </c>
      <c r="D277" s="55">
        <v>2.21</v>
      </c>
      <c r="E277" s="57">
        <v>4021799</v>
      </c>
      <c r="F277" s="55">
        <v>149141</v>
      </c>
      <c r="G277" s="57">
        <v>4.5</v>
      </c>
      <c r="H277" s="57">
        <v>0.20000000000000018</v>
      </c>
    </row>
    <row r="278" spans="1:12" x14ac:dyDescent="0.25">
      <c r="A278" s="55">
        <v>7230009</v>
      </c>
      <c r="B278" s="56" t="s">
        <v>352</v>
      </c>
      <c r="C278" s="57" t="s">
        <v>164</v>
      </c>
      <c r="D278" s="55">
        <v>2.21</v>
      </c>
      <c r="E278" s="57">
        <v>4021799</v>
      </c>
      <c r="F278" s="55">
        <v>123103</v>
      </c>
      <c r="G278" s="57">
        <v>4.5</v>
      </c>
      <c r="H278" s="57">
        <v>0.20000000000000018</v>
      </c>
    </row>
    <row r="279" spans="1:12" x14ac:dyDescent="0.25">
      <c r="A279" s="55">
        <v>7240001</v>
      </c>
      <c r="B279" s="56" t="s">
        <v>353</v>
      </c>
      <c r="C279" s="57" t="s">
        <v>164</v>
      </c>
      <c r="D279" s="55">
        <v>2.08</v>
      </c>
      <c r="E279" s="57">
        <v>4021799</v>
      </c>
      <c r="F279" s="55">
        <v>126432</v>
      </c>
      <c r="G279" s="57">
        <v>3.5</v>
      </c>
      <c r="H279" s="57">
        <v>0.20000000000000018</v>
      </c>
    </row>
    <row r="280" spans="1:12" x14ac:dyDescent="0.25">
      <c r="A280" s="55">
        <v>8215700</v>
      </c>
      <c r="B280" s="56" t="s">
        <v>1079</v>
      </c>
      <c r="C280" s="57"/>
      <c r="D280" s="55"/>
      <c r="E280" s="57"/>
      <c r="F280" s="55"/>
      <c r="G280" s="57"/>
      <c r="H280" s="81">
        <v>0.05</v>
      </c>
    </row>
    <row r="281" spans="1:12" x14ac:dyDescent="0.25">
      <c r="A281" s="55">
        <v>8215730</v>
      </c>
      <c r="B281" s="56" t="s">
        <v>1080</v>
      </c>
      <c r="C281" s="57"/>
      <c r="D281" s="55"/>
      <c r="E281" s="57"/>
      <c r="F281" s="55"/>
      <c r="G281" s="57"/>
      <c r="H281" s="81">
        <v>0.05</v>
      </c>
    </row>
    <row r="282" spans="1:12" x14ac:dyDescent="0.25">
      <c r="A282" s="55">
        <v>8215770</v>
      </c>
      <c r="B282" s="56" t="s">
        <v>1081</v>
      </c>
      <c r="C282" s="57"/>
      <c r="D282" s="55"/>
      <c r="E282" s="57"/>
      <c r="F282" s="55"/>
      <c r="G282" s="57"/>
      <c r="H282" s="81">
        <v>0.05</v>
      </c>
      <c r="L282" t="e">
        <f>(Tabelle4[[#This Row],[%]]/Tabelle4[[#This Row],[QMIMI]])*100</f>
        <v>#DIV/0!</v>
      </c>
    </row>
    <row r="283" spans="1:12" x14ac:dyDescent="0.25">
      <c r="A283" s="55">
        <v>8215790</v>
      </c>
      <c r="B283" s="56" t="s">
        <v>1082</v>
      </c>
      <c r="C283" s="57"/>
      <c r="D283" s="55"/>
      <c r="E283" s="57"/>
      <c r="F283" s="55"/>
      <c r="G283" s="57"/>
      <c r="H283" s="81">
        <v>0.05</v>
      </c>
      <c r="L283" t="e">
        <f>(Tabelle4[[#This Row],[%]]/Tabelle4[[#This Row],[QMIMI]])*100</f>
        <v>#DIV/0!</v>
      </c>
    </row>
    <row r="284" spans="1:12" x14ac:dyDescent="0.25">
      <c r="A284" s="55">
        <v>9003012</v>
      </c>
      <c r="B284" s="56" t="s">
        <v>1060</v>
      </c>
      <c r="C284" s="57"/>
      <c r="D284" s="55"/>
      <c r="E284" s="57"/>
      <c r="F284" s="55"/>
      <c r="G284" s="57"/>
      <c r="H284" s="81">
        <v>0.05</v>
      </c>
      <c r="L284" t="e">
        <f>(Tabelle4[[#This Row],[%]]/Tabelle4[[#This Row],[QMIMI]])*100</f>
        <v>#DIV/0!</v>
      </c>
    </row>
    <row r="285" spans="1:12" x14ac:dyDescent="0.25">
      <c r="A285" s="55">
        <v>9701121</v>
      </c>
      <c r="B285" s="56" t="s">
        <v>1061</v>
      </c>
      <c r="C285" s="57"/>
      <c r="D285" s="55"/>
      <c r="E285" s="57"/>
      <c r="F285" s="55"/>
      <c r="G285" s="57"/>
      <c r="H285" s="81">
        <v>0.05</v>
      </c>
      <c r="L285" t="e">
        <f>(Tabelle4[[#This Row],[%]]/Tabelle4[[#This Row],[QMIMI]])*100</f>
        <v>#DIV/0!</v>
      </c>
    </row>
    <row r="286" spans="1:12" x14ac:dyDescent="0.25">
      <c r="A286" s="55">
        <v>9990001</v>
      </c>
      <c r="B286" s="56" t="s">
        <v>264</v>
      </c>
      <c r="C286" s="57" t="s">
        <v>354</v>
      </c>
      <c r="D286" s="55">
        <v>3.48</v>
      </c>
      <c r="E286" s="57">
        <v>4021799</v>
      </c>
      <c r="F286" s="55">
        <v>142753</v>
      </c>
      <c r="G286" s="57">
        <v>4.9000000000000004</v>
      </c>
      <c r="H286" s="57">
        <v>0.20000000000000018</v>
      </c>
      <c r="L286">
        <f>(Tabelle4[[#This Row],[%]]/Tabelle4[[#This Row],[QMIMI]])*100</f>
        <v>4.0816326530612272</v>
      </c>
    </row>
    <row r="287" spans="1:12" x14ac:dyDescent="0.25">
      <c r="A287" s="55">
        <v>9990002</v>
      </c>
      <c r="B287" s="56" t="s">
        <v>355</v>
      </c>
      <c r="C287" s="57" t="s">
        <v>354</v>
      </c>
      <c r="D287" s="55">
        <v>3.86</v>
      </c>
      <c r="E287" s="57">
        <v>4021799</v>
      </c>
      <c r="F287" s="55">
        <v>123660</v>
      </c>
      <c r="G287" s="57">
        <v>4.5</v>
      </c>
      <c r="H287" s="57">
        <v>0.20000000000000018</v>
      </c>
    </row>
    <row r="288" spans="1:12" x14ac:dyDescent="0.25">
      <c r="A288" s="55">
        <v>9990003</v>
      </c>
      <c r="B288" s="56" t="s">
        <v>264</v>
      </c>
      <c r="C288" s="57" t="s">
        <v>356</v>
      </c>
      <c r="D288" s="55">
        <v>3.48</v>
      </c>
      <c r="E288" s="57">
        <v>4021799</v>
      </c>
      <c r="F288" s="55">
        <v>123714</v>
      </c>
      <c r="G288" s="57">
        <v>4.5</v>
      </c>
      <c r="H288" s="57">
        <v>0.20000000000000018</v>
      </c>
      <c r="L288">
        <f>(Tabelle4[[#This Row],[%]]/Tabelle4[[#This Row],[QMIMI]])*100</f>
        <v>4.4444444444444482</v>
      </c>
    </row>
    <row r="289" spans="1:12" x14ac:dyDescent="0.25">
      <c r="A289" s="55">
        <v>9990005</v>
      </c>
      <c r="B289" s="56" t="s">
        <v>357</v>
      </c>
      <c r="C289" s="57" t="s">
        <v>358</v>
      </c>
      <c r="D289" s="55">
        <v>2.97</v>
      </c>
      <c r="E289" s="57">
        <v>4021799</v>
      </c>
      <c r="F289" s="55">
        <v>125107</v>
      </c>
      <c r="G289" s="57">
        <v>4.5</v>
      </c>
      <c r="H289" s="57">
        <v>0.20000000000000018</v>
      </c>
      <c r="L289">
        <f>(Tabelle4[[#This Row],[%]]/Tabelle4[[#This Row],[QMIMI]])*100</f>
        <v>4.4444444444444482</v>
      </c>
    </row>
    <row r="290" spans="1:12" x14ac:dyDescent="0.25">
      <c r="A290" s="55">
        <v>9990007</v>
      </c>
      <c r="B290" s="56" t="s">
        <v>359</v>
      </c>
      <c r="C290" s="57" t="s">
        <v>360</v>
      </c>
      <c r="D290" s="55">
        <v>6.12</v>
      </c>
      <c r="E290" s="57">
        <v>4021799</v>
      </c>
      <c r="F290" s="55">
        <v>125459</v>
      </c>
      <c r="G290" s="57">
        <v>9</v>
      </c>
      <c r="H290" s="57">
        <v>1</v>
      </c>
      <c r="L290">
        <f>(Tabelle4[[#This Row],[%]]/Tabelle4[[#This Row],[QMIMI]])*100</f>
        <v>11.111111111111111</v>
      </c>
    </row>
    <row r="291" spans="1:12" x14ac:dyDescent="0.25">
      <c r="A291" s="55">
        <v>82157901</v>
      </c>
      <c r="B291" s="56" t="s">
        <v>1083</v>
      </c>
      <c r="C291" s="57"/>
      <c r="D291" s="55"/>
      <c r="E291" s="57"/>
      <c r="F291" s="55"/>
      <c r="G291" s="57"/>
      <c r="H291" s="81">
        <v>0.05</v>
      </c>
      <c r="L291" t="e">
        <f>(Tabelle4[[#This Row],[%]]/Tabelle4[[#This Row],[QMIMI]])*100</f>
        <v>#DIV/0!</v>
      </c>
    </row>
    <row r="292" spans="1:12" x14ac:dyDescent="0.25">
      <c r="A292" s="55" t="s">
        <v>946</v>
      </c>
      <c r="B292" s="56" t="s">
        <v>944</v>
      </c>
      <c r="C292" s="57" t="s">
        <v>945</v>
      </c>
      <c r="D292" s="55">
        <v>1.35</v>
      </c>
      <c r="E292" s="57">
        <v>4001587</v>
      </c>
      <c r="F292" s="55">
        <v>130551</v>
      </c>
      <c r="G292" s="57">
        <v>2.2000000000000002</v>
      </c>
      <c r="H292" s="81">
        <v>0.1</v>
      </c>
      <c r="L292">
        <f>(Tabelle4[[#This Row],[%]]/Tabelle4[[#This Row],[QMIMI]])*100</f>
        <v>4.5454545454545459</v>
      </c>
    </row>
    <row r="293" spans="1:12" x14ac:dyDescent="0.25">
      <c r="A293" s="55" t="s">
        <v>914</v>
      </c>
      <c r="B293" s="56" t="s">
        <v>916</v>
      </c>
      <c r="C293" s="57" t="s">
        <v>917</v>
      </c>
      <c r="D293" s="55"/>
      <c r="E293" s="57">
        <v>4001587</v>
      </c>
      <c r="F293" s="55">
        <v>130582</v>
      </c>
      <c r="G293" s="57"/>
      <c r="H293" s="81">
        <v>0.2</v>
      </c>
      <c r="L293" t="e">
        <f>(Tabelle4[[#This Row],[%]]/Tabelle4[[#This Row],[QMIMI]])*100</f>
        <v>#DIV/0!</v>
      </c>
    </row>
    <row r="294" spans="1:12" x14ac:dyDescent="0.25">
      <c r="A294" s="55" t="s">
        <v>918</v>
      </c>
      <c r="B294" s="56" t="s">
        <v>919</v>
      </c>
      <c r="C294" s="57" t="s">
        <v>920</v>
      </c>
      <c r="D294" s="55">
        <v>1.35</v>
      </c>
      <c r="E294" s="57">
        <v>4001587</v>
      </c>
      <c r="F294" s="55">
        <v>130797</v>
      </c>
      <c r="G294" s="57">
        <v>3</v>
      </c>
      <c r="H294" s="81">
        <v>0.2</v>
      </c>
      <c r="L294">
        <f>(Tabelle4[[#This Row],[%]]/Tabelle4[[#This Row],[QMIMI]])*100</f>
        <v>6.666666666666667</v>
      </c>
    </row>
    <row r="295" spans="1:12" x14ac:dyDescent="0.25">
      <c r="A295" s="55" t="s">
        <v>921</v>
      </c>
      <c r="B295" s="56" t="s">
        <v>922</v>
      </c>
      <c r="C295" s="57" t="s">
        <v>923</v>
      </c>
      <c r="D295" s="55">
        <v>1.65</v>
      </c>
      <c r="E295" s="57">
        <v>4001587</v>
      </c>
      <c r="F295" s="55">
        <v>130544</v>
      </c>
      <c r="G295" s="57">
        <v>4</v>
      </c>
      <c r="H295" s="81">
        <v>0.2</v>
      </c>
      <c r="L295">
        <f>(Tabelle4[[#This Row],[%]]/Tabelle4[[#This Row],[QMIMI]])*100</f>
        <v>5</v>
      </c>
    </row>
    <row r="296" spans="1:12" x14ac:dyDescent="0.25">
      <c r="A296" s="55" t="s">
        <v>913</v>
      </c>
      <c r="B296" s="56" t="s">
        <v>924</v>
      </c>
      <c r="C296" s="57" t="s">
        <v>164</v>
      </c>
      <c r="D296" s="55">
        <v>1.75</v>
      </c>
      <c r="E296" s="57">
        <v>4001587</v>
      </c>
      <c r="F296" s="55">
        <v>130520</v>
      </c>
      <c r="G296" s="57">
        <v>2.5</v>
      </c>
      <c r="H296" s="81">
        <v>0.2</v>
      </c>
      <c r="L296">
        <f>(Tabelle4[[#This Row],[%]]/Tabelle4[[#This Row],[QMIMI]])*100</f>
        <v>8</v>
      </c>
    </row>
    <row r="297" spans="1:12" x14ac:dyDescent="0.25">
      <c r="A297" s="55" t="s">
        <v>925</v>
      </c>
      <c r="B297" s="56" t="s">
        <v>926</v>
      </c>
      <c r="C297" s="57" t="s">
        <v>164</v>
      </c>
      <c r="D297" s="55">
        <v>165</v>
      </c>
      <c r="E297" s="57">
        <v>4001587</v>
      </c>
      <c r="F297" s="55">
        <v>130728</v>
      </c>
      <c r="G297" s="57">
        <v>3.5</v>
      </c>
      <c r="H297" s="81">
        <v>0.2</v>
      </c>
    </row>
    <row r="298" spans="1:12" x14ac:dyDescent="0.25">
      <c r="A298" s="55" t="s">
        <v>927</v>
      </c>
      <c r="B298" s="56" t="s">
        <v>928</v>
      </c>
      <c r="C298" s="57" t="s">
        <v>929</v>
      </c>
      <c r="D298" s="55">
        <v>1.8</v>
      </c>
      <c r="E298" s="57">
        <v>4001587</v>
      </c>
      <c r="F298" s="55">
        <v>130513</v>
      </c>
      <c r="G298" s="57">
        <v>2.5</v>
      </c>
      <c r="H298" s="81">
        <v>0.2</v>
      </c>
    </row>
    <row r="299" spans="1:12" x14ac:dyDescent="0.25">
      <c r="A299" s="55" t="s">
        <v>915</v>
      </c>
      <c r="B299" s="56" t="s">
        <v>930</v>
      </c>
      <c r="C299" s="57" t="s">
        <v>164</v>
      </c>
      <c r="D299" s="55">
        <v>3</v>
      </c>
      <c r="E299" s="57">
        <v>4001587</v>
      </c>
      <c r="F299" s="55">
        <v>131756</v>
      </c>
      <c r="G299" s="57">
        <v>3.5</v>
      </c>
      <c r="H299" s="81">
        <v>0.2</v>
      </c>
    </row>
    <row r="300" spans="1:12" x14ac:dyDescent="0.25">
      <c r="A300" s="55" t="s">
        <v>912</v>
      </c>
      <c r="B300" s="56" t="s">
        <v>931</v>
      </c>
      <c r="C300" s="57" t="s">
        <v>917</v>
      </c>
      <c r="D300" s="55">
        <v>2.5</v>
      </c>
      <c r="E300" s="57">
        <v>4001587</v>
      </c>
      <c r="F300" s="55">
        <v>131794</v>
      </c>
      <c r="G300" s="57">
        <v>3.2</v>
      </c>
      <c r="H300" s="81">
        <v>0.2</v>
      </c>
    </row>
    <row r="301" spans="1:12" x14ac:dyDescent="0.25">
      <c r="A301" s="55">
        <v>200001</v>
      </c>
      <c r="B301" s="56" t="s">
        <v>1295</v>
      </c>
      <c r="C301" s="57" t="s">
        <v>263</v>
      </c>
      <c r="D301" s="55">
        <v>3.6</v>
      </c>
      <c r="E301" s="57"/>
      <c r="F301" s="55"/>
      <c r="G301" s="57">
        <v>3.6</v>
      </c>
      <c r="H301" s="81"/>
    </row>
  </sheetData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27EA5-9ED7-4CC3-8916-C2E3AD24D5A4}">
  <sheetPr codeName="Tabelle3">
    <pageSetUpPr fitToPage="1"/>
  </sheetPr>
  <dimension ref="A1:F42"/>
  <sheetViews>
    <sheetView view="pageBreakPreview" zoomScale="60" zoomScaleNormal="40" workbookViewId="0">
      <selection activeCell="F9" sqref="F9"/>
    </sheetView>
  </sheetViews>
  <sheetFormatPr baseColWidth="10" defaultColWidth="11.42578125" defaultRowHeight="15" x14ac:dyDescent="0.25"/>
  <cols>
    <col min="2" max="2" width="24.85546875" customWidth="1"/>
    <col min="3" max="3" width="56.28515625" customWidth="1"/>
    <col min="4" max="4" width="37.5703125" bestFit="1" customWidth="1"/>
    <col min="5" max="5" width="27.42578125" customWidth="1"/>
    <col min="6" max="6" width="62" customWidth="1"/>
  </cols>
  <sheetData>
    <row r="1" spans="1:6" ht="50.1" customHeight="1" x14ac:dyDescent="0.4">
      <c r="A1" s="11"/>
      <c r="B1" s="12" t="s">
        <v>364</v>
      </c>
      <c r="C1" s="13"/>
      <c r="D1" s="14"/>
      <c r="E1" s="14"/>
      <c r="F1" s="15"/>
    </row>
    <row r="2" spans="1:6" ht="50.1" customHeight="1" thickBot="1" x14ac:dyDescent="0.45">
      <c r="A2" s="16"/>
      <c r="B2" s="17" t="s">
        <v>365</v>
      </c>
      <c r="C2" s="18"/>
      <c r="D2" s="19"/>
      <c r="E2" s="19"/>
      <c r="F2" s="20"/>
    </row>
    <row r="3" spans="1:6" ht="50.1" customHeight="1" thickBot="1" x14ac:dyDescent="0.55000000000000004">
      <c r="A3" s="34" t="s">
        <v>366</v>
      </c>
      <c r="B3" s="84" t="s">
        <v>367</v>
      </c>
      <c r="C3" s="84" t="s">
        <v>368</v>
      </c>
      <c r="D3" s="84" t="s">
        <v>369</v>
      </c>
      <c r="E3" s="35" t="s">
        <v>370</v>
      </c>
      <c r="F3" s="36" t="s">
        <v>371</v>
      </c>
    </row>
    <row r="4" spans="1:6" ht="50.1" customHeight="1" x14ac:dyDescent="0.5">
      <c r="A4" s="21">
        <v>1</v>
      </c>
      <c r="B4" s="85">
        <v>20601</v>
      </c>
      <c r="C4" s="86" t="s">
        <v>428</v>
      </c>
      <c r="D4" s="86" t="s">
        <v>429</v>
      </c>
      <c r="E4" s="22"/>
      <c r="F4" s="23"/>
    </row>
    <row r="5" spans="1:6" ht="50.1" customHeight="1" x14ac:dyDescent="0.5">
      <c r="A5" s="24">
        <v>2</v>
      </c>
      <c r="B5" s="85">
        <v>20602</v>
      </c>
      <c r="C5" s="86" t="s">
        <v>430</v>
      </c>
      <c r="D5" s="86" t="s">
        <v>385</v>
      </c>
      <c r="E5" s="25"/>
      <c r="F5" s="26"/>
    </row>
    <row r="6" spans="1:6" ht="50.1" customHeight="1" x14ac:dyDescent="0.5">
      <c r="A6" s="24">
        <v>3</v>
      </c>
      <c r="B6" s="85">
        <v>20603</v>
      </c>
      <c r="C6" s="86" t="s">
        <v>967</v>
      </c>
      <c r="D6" s="86" t="s">
        <v>385</v>
      </c>
      <c r="E6" s="25"/>
      <c r="F6" s="26"/>
    </row>
    <row r="7" spans="1:6" ht="50.1" customHeight="1" x14ac:dyDescent="0.5">
      <c r="A7" s="24">
        <v>4</v>
      </c>
      <c r="B7" s="85">
        <v>20604</v>
      </c>
      <c r="C7" s="86" t="s">
        <v>432</v>
      </c>
      <c r="D7" s="86" t="s">
        <v>385</v>
      </c>
      <c r="E7" s="25"/>
      <c r="F7" s="26"/>
    </row>
    <row r="8" spans="1:6" ht="50.1" customHeight="1" x14ac:dyDescent="0.5">
      <c r="A8" s="24">
        <v>5</v>
      </c>
      <c r="B8" s="85">
        <v>20605</v>
      </c>
      <c r="C8" s="86" t="s">
        <v>433</v>
      </c>
      <c r="D8" s="86" t="s">
        <v>385</v>
      </c>
      <c r="E8" s="25"/>
      <c r="F8" s="26"/>
    </row>
    <row r="9" spans="1:6" ht="50.1" customHeight="1" x14ac:dyDescent="0.5">
      <c r="A9" s="24">
        <v>6</v>
      </c>
      <c r="B9" s="85">
        <v>20606</v>
      </c>
      <c r="C9" s="86" t="s">
        <v>434</v>
      </c>
      <c r="D9" s="86" t="s">
        <v>439</v>
      </c>
      <c r="E9" s="25"/>
      <c r="F9" s="26"/>
    </row>
    <row r="10" spans="1:6" ht="50.1" customHeight="1" x14ac:dyDescent="0.5">
      <c r="A10" s="24">
        <v>7</v>
      </c>
      <c r="B10" s="85">
        <v>20607</v>
      </c>
      <c r="C10" s="86" t="s">
        <v>676</v>
      </c>
      <c r="D10" s="86" t="s">
        <v>437</v>
      </c>
      <c r="E10" s="25"/>
      <c r="F10" s="26"/>
    </row>
    <row r="11" spans="1:6" ht="50.1" customHeight="1" x14ac:dyDescent="0.5">
      <c r="A11" s="24">
        <v>8</v>
      </c>
      <c r="B11" s="85">
        <v>20608</v>
      </c>
      <c r="C11" s="86" t="s">
        <v>435</v>
      </c>
      <c r="D11" s="86" t="s">
        <v>385</v>
      </c>
      <c r="E11" s="25"/>
      <c r="F11" s="26"/>
    </row>
    <row r="12" spans="1:6" ht="50.1" customHeight="1" x14ac:dyDescent="0.5">
      <c r="A12" s="24">
        <v>9</v>
      </c>
      <c r="B12" s="85">
        <v>20609</v>
      </c>
      <c r="C12" s="86" t="s">
        <v>436</v>
      </c>
      <c r="D12" s="86" t="s">
        <v>437</v>
      </c>
      <c r="E12" s="25"/>
      <c r="F12" s="26"/>
    </row>
    <row r="13" spans="1:6" ht="50.1" customHeight="1" x14ac:dyDescent="0.5">
      <c r="A13" s="24">
        <v>10</v>
      </c>
      <c r="B13" s="85">
        <v>20610</v>
      </c>
      <c r="C13" s="86" t="s">
        <v>438</v>
      </c>
      <c r="D13" s="86" t="s">
        <v>466</v>
      </c>
      <c r="E13" s="25"/>
      <c r="F13" s="26"/>
    </row>
    <row r="14" spans="1:6" ht="50.1" customHeight="1" x14ac:dyDescent="0.5">
      <c r="A14" s="24">
        <v>11</v>
      </c>
      <c r="B14" s="85">
        <v>20611</v>
      </c>
      <c r="C14" s="86" t="s">
        <v>440</v>
      </c>
      <c r="D14" s="86" t="s">
        <v>441</v>
      </c>
      <c r="E14" s="25"/>
      <c r="F14" s="26"/>
    </row>
    <row r="15" spans="1:6" ht="50.1" customHeight="1" x14ac:dyDescent="0.5">
      <c r="A15" s="24">
        <v>12</v>
      </c>
      <c r="B15" s="85">
        <v>20612</v>
      </c>
      <c r="C15" s="86" t="s">
        <v>443</v>
      </c>
      <c r="D15" s="86" t="s">
        <v>437</v>
      </c>
      <c r="E15" s="25"/>
      <c r="F15" s="26"/>
    </row>
    <row r="16" spans="1:6" ht="50.1" customHeight="1" x14ac:dyDescent="0.5">
      <c r="A16" s="24">
        <v>13</v>
      </c>
      <c r="B16" s="85">
        <v>20613</v>
      </c>
      <c r="C16" s="86" t="s">
        <v>444</v>
      </c>
      <c r="D16" s="86" t="s">
        <v>437</v>
      </c>
      <c r="E16" s="25"/>
      <c r="F16" s="26"/>
    </row>
    <row r="17" spans="1:6" ht="50.1" customHeight="1" x14ac:dyDescent="0.5">
      <c r="A17" s="24">
        <v>14</v>
      </c>
      <c r="B17" s="85">
        <v>20614</v>
      </c>
      <c r="C17" s="86" t="s">
        <v>445</v>
      </c>
      <c r="D17" s="86" t="s">
        <v>437</v>
      </c>
      <c r="E17" s="25"/>
      <c r="F17" s="26"/>
    </row>
    <row r="18" spans="1:6" ht="50.1" customHeight="1" x14ac:dyDescent="0.5">
      <c r="A18" s="24">
        <v>15</v>
      </c>
      <c r="B18" s="85">
        <v>20615</v>
      </c>
      <c r="C18" s="86" t="s">
        <v>446</v>
      </c>
      <c r="D18" s="86" t="s">
        <v>467</v>
      </c>
      <c r="E18" s="25"/>
      <c r="F18" s="26"/>
    </row>
    <row r="19" spans="1:6" ht="50.1" customHeight="1" x14ac:dyDescent="0.5">
      <c r="A19" s="24">
        <v>16</v>
      </c>
      <c r="B19" s="85">
        <v>20616</v>
      </c>
      <c r="C19" s="86" t="s">
        <v>447</v>
      </c>
      <c r="D19" s="86" t="s">
        <v>429</v>
      </c>
      <c r="E19" s="25"/>
      <c r="F19" s="26"/>
    </row>
    <row r="20" spans="1:6" ht="50.1" customHeight="1" x14ac:dyDescent="0.5">
      <c r="A20" s="24">
        <v>17</v>
      </c>
      <c r="B20" s="85">
        <v>20617</v>
      </c>
      <c r="C20" s="86" t="s">
        <v>448</v>
      </c>
      <c r="D20" s="86" t="s">
        <v>429</v>
      </c>
      <c r="E20" s="25"/>
      <c r="F20" s="26"/>
    </row>
    <row r="21" spans="1:6" ht="50.1" customHeight="1" x14ac:dyDescent="0.5">
      <c r="A21" s="24">
        <v>18</v>
      </c>
      <c r="B21" s="85">
        <v>20618</v>
      </c>
      <c r="C21" s="86" t="s">
        <v>449</v>
      </c>
      <c r="D21" s="86" t="s">
        <v>385</v>
      </c>
      <c r="E21" s="25"/>
      <c r="F21" s="26"/>
    </row>
    <row r="22" spans="1:6" ht="50.1" customHeight="1" x14ac:dyDescent="0.5">
      <c r="A22" s="24">
        <v>19</v>
      </c>
      <c r="B22" s="85">
        <v>20619</v>
      </c>
      <c r="C22" s="86" t="s">
        <v>450</v>
      </c>
      <c r="D22" s="86" t="s">
        <v>385</v>
      </c>
      <c r="E22" s="25"/>
      <c r="F22" s="26"/>
    </row>
    <row r="23" spans="1:6" ht="50.1" customHeight="1" x14ac:dyDescent="0.5">
      <c r="A23" s="24">
        <v>20</v>
      </c>
      <c r="B23" s="85">
        <v>20620</v>
      </c>
      <c r="C23" s="86" t="s">
        <v>717</v>
      </c>
      <c r="D23" s="86" t="s">
        <v>40</v>
      </c>
      <c r="E23" s="25"/>
      <c r="F23" s="26"/>
    </row>
    <row r="24" spans="1:6" ht="50.1" customHeight="1" x14ac:dyDescent="0.5">
      <c r="A24" s="24">
        <v>21</v>
      </c>
      <c r="B24" s="85">
        <v>20621</v>
      </c>
      <c r="C24" s="86" t="s">
        <v>759</v>
      </c>
      <c r="D24" s="86" t="s">
        <v>385</v>
      </c>
      <c r="E24" s="25"/>
      <c r="F24" s="26"/>
    </row>
    <row r="25" spans="1:6" ht="50.1" customHeight="1" x14ac:dyDescent="0.5">
      <c r="A25" s="24">
        <v>22</v>
      </c>
      <c r="B25" s="85">
        <v>20622</v>
      </c>
      <c r="C25" s="86" t="s">
        <v>830</v>
      </c>
      <c r="D25" s="86" t="s">
        <v>467</v>
      </c>
      <c r="E25" s="25"/>
      <c r="F25" s="26"/>
    </row>
    <row r="26" spans="1:6" ht="50.1" customHeight="1" x14ac:dyDescent="0.5">
      <c r="A26" s="24">
        <v>23</v>
      </c>
      <c r="B26" s="85">
        <v>20623</v>
      </c>
      <c r="C26" s="86" t="s">
        <v>1009</v>
      </c>
      <c r="D26" s="86" t="s">
        <v>385</v>
      </c>
      <c r="E26" s="25"/>
      <c r="F26" s="26"/>
    </row>
    <row r="27" spans="1:6" ht="50.1" customHeight="1" x14ac:dyDescent="0.5">
      <c r="A27" s="24">
        <v>24</v>
      </c>
      <c r="B27" s="85">
        <v>20624</v>
      </c>
      <c r="C27" s="86" t="s">
        <v>968</v>
      </c>
      <c r="D27" s="86" t="s">
        <v>385</v>
      </c>
      <c r="E27" s="25"/>
      <c r="F27" s="26"/>
    </row>
    <row r="28" spans="1:6" ht="50.1" customHeight="1" x14ac:dyDescent="0.5">
      <c r="A28" s="24">
        <v>25</v>
      </c>
      <c r="B28" s="88"/>
      <c r="C28" s="87"/>
      <c r="D28" s="87"/>
      <c r="E28" s="25"/>
      <c r="F28" s="26"/>
    </row>
    <row r="29" spans="1:6" ht="50.1" customHeight="1" x14ac:dyDescent="0.4">
      <c r="A29" s="24">
        <v>26</v>
      </c>
      <c r="B29" s="25"/>
      <c r="C29" s="25"/>
      <c r="D29" s="25"/>
      <c r="E29" s="25"/>
      <c r="F29" s="26"/>
    </row>
    <row r="30" spans="1:6" ht="50.1" customHeight="1" x14ac:dyDescent="0.4">
      <c r="A30" s="24">
        <v>27</v>
      </c>
      <c r="B30" s="25"/>
      <c r="C30" s="25"/>
      <c r="D30" s="25"/>
      <c r="E30" s="25"/>
      <c r="F30" s="26"/>
    </row>
    <row r="31" spans="1:6" ht="50.1" customHeight="1" thickBot="1" x14ac:dyDescent="0.45">
      <c r="A31" s="27">
        <v>28</v>
      </c>
      <c r="B31" s="28"/>
      <c r="C31" s="29"/>
      <c r="D31" s="29"/>
      <c r="E31" s="29"/>
      <c r="F31" s="30"/>
    </row>
    <row r="32" spans="1:6" ht="50.1" customHeight="1" x14ac:dyDescent="0.4">
      <c r="A32" s="24">
        <v>29</v>
      </c>
      <c r="B32" s="22"/>
      <c r="C32" s="25"/>
      <c r="D32" s="25" t="s">
        <v>452</v>
      </c>
      <c r="E32" s="25"/>
      <c r="F32" s="26"/>
    </row>
    <row r="33" spans="1:6" ht="50.1" customHeight="1" x14ac:dyDescent="0.4">
      <c r="A33" s="31">
        <v>30</v>
      </c>
      <c r="B33" s="32"/>
      <c r="C33" s="32"/>
      <c r="D33" s="32"/>
      <c r="E33" s="32"/>
      <c r="F33" s="33"/>
    </row>
    <row r="34" spans="1:6" ht="19.5" x14ac:dyDescent="0.3">
      <c r="A34" s="8"/>
      <c r="B34" s="9"/>
      <c r="C34" s="9"/>
      <c r="D34" s="9"/>
      <c r="E34" s="9"/>
      <c r="F34" s="9"/>
    </row>
    <row r="35" spans="1:6" ht="19.5" x14ac:dyDescent="0.3">
      <c r="A35" s="8"/>
      <c r="B35" s="9"/>
      <c r="C35" s="9"/>
      <c r="D35" s="9"/>
      <c r="E35" s="9"/>
      <c r="F35" s="9"/>
    </row>
    <row r="36" spans="1:6" ht="19.5" x14ac:dyDescent="0.3">
      <c r="A36" s="8"/>
      <c r="B36" s="9"/>
      <c r="C36" s="9"/>
      <c r="D36" s="9"/>
      <c r="E36" s="9"/>
      <c r="F36" s="9"/>
    </row>
    <row r="37" spans="1:6" ht="19.5" x14ac:dyDescent="0.3">
      <c r="A37" s="8"/>
      <c r="B37" s="9"/>
      <c r="C37" s="9"/>
      <c r="D37" s="9"/>
      <c r="E37" s="9"/>
      <c r="F37" s="9"/>
    </row>
    <row r="38" spans="1:6" ht="19.5" x14ac:dyDescent="0.3">
      <c r="A38" s="8"/>
      <c r="B38" s="9"/>
      <c r="C38" s="9"/>
      <c r="D38" s="9"/>
      <c r="E38" s="9"/>
      <c r="F38" s="9"/>
    </row>
    <row r="39" spans="1:6" ht="19.5" x14ac:dyDescent="0.3">
      <c r="A39" s="8"/>
      <c r="B39" s="9"/>
      <c r="C39" s="9"/>
      <c r="D39" s="9"/>
      <c r="E39" s="9"/>
      <c r="F39" s="9"/>
    </row>
    <row r="40" spans="1:6" ht="19.5" x14ac:dyDescent="0.3">
      <c r="A40" s="8"/>
      <c r="B40" s="9"/>
      <c r="C40" s="9"/>
      <c r="D40" s="9"/>
      <c r="E40" s="9"/>
      <c r="F40" s="9"/>
    </row>
    <row r="41" spans="1:6" x14ac:dyDescent="0.25">
      <c r="A41" s="10"/>
      <c r="B41" s="10"/>
      <c r="C41" s="10"/>
      <c r="D41" s="10"/>
      <c r="E41" s="10"/>
      <c r="F41" s="10"/>
    </row>
    <row r="42" spans="1:6" x14ac:dyDescent="0.25">
      <c r="A42" s="10"/>
      <c r="B42" s="10"/>
      <c r="C42" s="10"/>
      <c r="D42" s="10"/>
      <c r="E42" s="10"/>
      <c r="F42" s="10"/>
    </row>
  </sheetData>
  <pageMargins left="0.25" right="0.25" top="0.75" bottom="0.75" header="0.3" footer="0.3"/>
  <pageSetup paperSize="9" scale="45" fitToHeight="0" orientation="portrait" horizontalDpi="4294967293" r:id="rId1"/>
  <colBreaks count="1" manualBreakCount="1">
    <brk id="6" max="1048575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6FB28-A079-48D7-9863-251EA7BA17F4}">
  <sheetPr codeName="Tabelle8">
    <tabColor theme="9" tint="0.59999389629810485"/>
  </sheetPr>
  <dimension ref="A1:L4001"/>
  <sheetViews>
    <sheetView showGridLines="0" zoomScale="115" zoomScaleNormal="115" workbookViewId="0">
      <pane ySplit="4" topLeftCell="A8" activePane="bottomLeft" state="frozen"/>
      <selection pane="bottomLeft" activeCell="A4002" sqref="A4002"/>
    </sheetView>
  </sheetViews>
  <sheetFormatPr baseColWidth="10" defaultColWidth="11.42578125" defaultRowHeight="12.75" x14ac:dyDescent="0.2"/>
  <cols>
    <col min="1" max="1" width="12.7109375" style="65" customWidth="1"/>
    <col min="2" max="2" width="11.42578125" style="65"/>
    <col min="3" max="3" width="13.28515625" style="65" customWidth="1"/>
    <col min="4" max="4" width="8.5703125" style="65" bestFit="1" customWidth="1"/>
    <col min="5" max="5" width="7.42578125" style="65" hidden="1" customWidth="1"/>
    <col min="6" max="6" width="12.5703125" style="65" customWidth="1"/>
    <col min="7" max="7" width="25.85546875" style="65" bestFit="1" customWidth="1"/>
    <col min="8" max="8" width="12.140625" style="65" customWidth="1"/>
    <col min="9" max="9" width="24.28515625" style="65" bestFit="1" customWidth="1"/>
    <col min="10" max="16384" width="11.42578125" style="65"/>
  </cols>
  <sheetData>
    <row r="1" spans="1:12" ht="15.75" x14ac:dyDescent="0.25">
      <c r="A1" s="64" t="s">
        <v>704</v>
      </c>
    </row>
    <row r="2" spans="1:12" ht="17.25" customHeight="1" x14ac:dyDescent="0.2"/>
    <row r="3" spans="1:12" x14ac:dyDescent="0.2">
      <c r="A3" s="66" t="s">
        <v>1324</v>
      </c>
      <c r="C3" s="67">
        <f>SUM(C5:C1048576)</f>
        <v>195614.4499999999</v>
      </c>
      <c r="J3" s="68">
        <f>SUM(J5:J1048576)</f>
        <v>56972</v>
      </c>
    </row>
    <row r="4" spans="1:12" ht="24" customHeight="1" x14ac:dyDescent="0.2">
      <c r="A4" s="71" t="s">
        <v>705</v>
      </c>
      <c r="B4" s="72" t="s">
        <v>361</v>
      </c>
      <c r="C4" s="73" t="s">
        <v>81</v>
      </c>
      <c r="D4" s="71" t="s">
        <v>362</v>
      </c>
      <c r="E4" s="72" t="s">
        <v>711</v>
      </c>
      <c r="F4" s="72" t="s">
        <v>706</v>
      </c>
      <c r="G4" s="72" t="s">
        <v>707</v>
      </c>
      <c r="H4" s="71" t="s">
        <v>708</v>
      </c>
      <c r="I4" s="71" t="s">
        <v>709</v>
      </c>
      <c r="J4" s="74" t="s">
        <v>710</v>
      </c>
      <c r="K4" s="74" t="s">
        <v>658</v>
      </c>
      <c r="L4" s="74" t="s">
        <v>712</v>
      </c>
    </row>
    <row r="5" spans="1:12" x14ac:dyDescent="0.2">
      <c r="A5" s="65" t="s">
        <v>1005</v>
      </c>
      <c r="B5" s="69">
        <v>46029</v>
      </c>
      <c r="C5" s="70">
        <v>231</v>
      </c>
      <c r="F5" s="65">
        <v>10343</v>
      </c>
      <c r="G5" s="65" t="str">
        <f>VLOOKUP(Tabelle2[[#This Row],[Kunden Nr.]],KUNDEN!A:B,2,0)</f>
        <v>INTERCOM NTP</v>
      </c>
      <c r="H5" s="65">
        <v>35110</v>
      </c>
      <c r="I5" s="65" t="str">
        <f>VLOOKUP(Tabelle2[[#This Row],[Artikel]],Produkte!A:B,2,0)</f>
        <v>M-ONE Sanitar Silikon</v>
      </c>
      <c r="J5" s="65">
        <v>24</v>
      </c>
      <c r="K5" s="75" t="str">
        <f>VLOOKUP(Tabelle2[[#This Row],[Kunden Nr.]],KUNDEN!A:G,7)</f>
        <v>Qerimi</v>
      </c>
      <c r="L5" s="76">
        <f>VLOOKUP(Tabelle2[[#This Row],[Artikel]],Produkte!A:H,8)</f>
        <v>0.17</v>
      </c>
    </row>
    <row r="6" spans="1:12" x14ac:dyDescent="0.2">
      <c r="A6" s="75" t="s">
        <v>1005</v>
      </c>
      <c r="B6" s="79">
        <v>46029</v>
      </c>
      <c r="C6" s="75"/>
      <c r="D6" s="75"/>
      <c r="E6" s="75"/>
      <c r="F6" s="75">
        <v>10343</v>
      </c>
      <c r="G6" s="76" t="str">
        <f>VLOOKUP(Tabelle2[[#This Row],[Kunden Nr.]],KUNDEN!A:B,2,0)</f>
        <v>INTERCOM NTP</v>
      </c>
      <c r="H6" s="75">
        <v>35121</v>
      </c>
      <c r="I6" s="76" t="str">
        <f>VLOOKUP(Tabelle2[[#This Row],[Artikel]],Produkte!A:B,2,0)</f>
        <v>M-ONE Sanitar Silikon</v>
      </c>
      <c r="J6" s="75">
        <v>36</v>
      </c>
      <c r="K6" s="76" t="str">
        <f>VLOOKUP(Tabelle2[[#This Row],[Kunden Nr.]],KUNDEN!A:G,7)</f>
        <v>Qerimi</v>
      </c>
      <c r="L6" s="76">
        <f>VLOOKUP(Tabelle2[[#This Row],[Artikel]],Produkte!A:H,8)</f>
        <v>0.17</v>
      </c>
    </row>
    <row r="7" spans="1:12" x14ac:dyDescent="0.2">
      <c r="A7" s="75" t="s">
        <v>12</v>
      </c>
      <c r="B7" s="79">
        <v>46029</v>
      </c>
      <c r="C7" s="89">
        <v>92.4</v>
      </c>
      <c r="D7" s="75"/>
      <c r="E7" s="75"/>
      <c r="F7" s="75">
        <v>10308</v>
      </c>
      <c r="G7" s="76" t="str">
        <f>VLOOKUP(Tabelle2[[#This Row],[Kunden Nr.]],KUNDEN!A:B,2,0)</f>
        <v>ERALP</v>
      </c>
      <c r="H7" s="75">
        <v>35125</v>
      </c>
      <c r="I7" s="76" t="str">
        <f>VLOOKUP(Tabelle2[[#This Row],[Artikel]],Produkte!A:B,2,0)</f>
        <v>M-ONE Sanitar Silikon</v>
      </c>
      <c r="J7" s="75">
        <v>24</v>
      </c>
      <c r="K7" s="76" t="str">
        <f>VLOOKUP(Tabelle2[[#This Row],[Kunden Nr.]],KUNDEN!A:G,7)</f>
        <v>Qerimi</v>
      </c>
      <c r="L7" s="76">
        <f>VLOOKUP(Tabelle2[[#This Row],[Artikel]],Produkte!A:H,8)</f>
        <v>0.17</v>
      </c>
    </row>
    <row r="8" spans="1:12" x14ac:dyDescent="0.2">
      <c r="A8" s="75" t="s">
        <v>1154</v>
      </c>
      <c r="B8" s="79">
        <v>46029</v>
      </c>
      <c r="C8" s="89">
        <v>46.2</v>
      </c>
      <c r="D8" s="75"/>
      <c r="E8" s="75"/>
      <c r="F8" s="75">
        <v>10344</v>
      </c>
      <c r="G8" s="76" t="str">
        <f>VLOOKUP(Tabelle2[[#This Row],[Kunden Nr.]],KUNDEN!A:B,2,0)</f>
        <v>TINA</v>
      </c>
      <c r="H8" s="75">
        <v>35108</v>
      </c>
      <c r="I8" s="76" t="str">
        <f>VLOOKUP(Tabelle2[[#This Row],[Artikel]],Produkte!A:B,2,0)</f>
        <v>M-ONE Sanitar Silikon</v>
      </c>
      <c r="J8" s="75">
        <v>12</v>
      </c>
      <c r="K8" s="76" t="str">
        <f>VLOOKUP(Tabelle2[[#This Row],[Kunden Nr.]],KUNDEN!A:G,7)</f>
        <v>Qerimi</v>
      </c>
      <c r="L8" s="76">
        <f>VLOOKUP(Tabelle2[[#This Row],[Artikel]],Produkte!A:H,8)</f>
        <v>0.17</v>
      </c>
    </row>
    <row r="9" spans="1:12" x14ac:dyDescent="0.2">
      <c r="A9" s="75" t="s">
        <v>1153</v>
      </c>
      <c r="B9" s="79">
        <v>46029</v>
      </c>
      <c r="C9" s="89">
        <v>92.4</v>
      </c>
      <c r="D9" s="75"/>
      <c r="E9" s="75"/>
      <c r="F9" s="75">
        <v>10340</v>
      </c>
      <c r="G9" s="76" t="str">
        <f>VLOOKUP(Tabelle2[[#This Row],[Kunden Nr.]],KUNDEN!A:B,2,0)</f>
        <v>IBAK</v>
      </c>
      <c r="H9" s="75">
        <v>35109</v>
      </c>
      <c r="I9" s="76" t="str">
        <f>VLOOKUP(Tabelle2[[#This Row],[Artikel]],Produkte!A:B,2,0)</f>
        <v>M-ONE Sanitar Silikon</v>
      </c>
      <c r="J9" s="75">
        <v>24</v>
      </c>
      <c r="K9" s="76" t="str">
        <f>VLOOKUP(Tabelle2[[#This Row],[Kunden Nr.]],KUNDEN!A:G,7)</f>
        <v>Qerimi</v>
      </c>
      <c r="L9" s="76">
        <f>VLOOKUP(Tabelle2[[#This Row],[Artikel]],Produkte!A:H,8)</f>
        <v>0.17</v>
      </c>
    </row>
    <row r="10" spans="1:12" x14ac:dyDescent="0.2">
      <c r="A10" s="75" t="s">
        <v>34</v>
      </c>
      <c r="B10" s="79">
        <v>46029</v>
      </c>
      <c r="C10" s="89">
        <v>138.6</v>
      </c>
      <c r="D10" s="75"/>
      <c r="E10" s="75"/>
      <c r="F10" s="75">
        <v>10325</v>
      </c>
      <c r="G10" s="76" t="str">
        <f>VLOOKUP(Tabelle2[[#This Row],[Kunden Nr.]],KUNDEN!A:B,2,0)</f>
        <v>PARKETI</v>
      </c>
      <c r="H10" s="75">
        <v>35110</v>
      </c>
      <c r="I10" s="76" t="str">
        <f>VLOOKUP(Tabelle2[[#This Row],[Artikel]],Produkte!A:B,2,0)</f>
        <v>M-ONE Sanitar Silikon</v>
      </c>
      <c r="J10" s="75">
        <v>24</v>
      </c>
      <c r="K10" s="76" t="str">
        <f>VLOOKUP(Tabelle2[[#This Row],[Kunden Nr.]],KUNDEN!A:G,7)</f>
        <v>Qerimi</v>
      </c>
      <c r="L10" s="76">
        <f>VLOOKUP(Tabelle2[[#This Row],[Artikel]],Produkte!A:H,8)</f>
        <v>0.17</v>
      </c>
    </row>
    <row r="11" spans="1:12" x14ac:dyDescent="0.2">
      <c r="A11" s="75" t="s">
        <v>34</v>
      </c>
      <c r="B11" s="79">
        <v>46029</v>
      </c>
      <c r="C11" s="75"/>
      <c r="D11" s="75"/>
      <c r="E11" s="75"/>
      <c r="F11" s="75">
        <v>10325</v>
      </c>
      <c r="G11" s="76" t="str">
        <f>VLOOKUP(Tabelle2[[#This Row],[Kunden Nr.]],KUNDEN!A:B,2,0)</f>
        <v>PARKETI</v>
      </c>
      <c r="H11" s="75">
        <v>35111</v>
      </c>
      <c r="I11" s="76" t="str">
        <f>VLOOKUP(Tabelle2[[#This Row],[Artikel]],Produkte!A:B,2,0)</f>
        <v>M-ONE Sanitar Silikon</v>
      </c>
      <c r="J11" s="75">
        <v>12</v>
      </c>
      <c r="K11" s="76" t="str">
        <f>VLOOKUP(Tabelle2[[#This Row],[Kunden Nr.]],KUNDEN!A:G,7)</f>
        <v>Qerimi</v>
      </c>
      <c r="L11" s="76">
        <f>VLOOKUP(Tabelle2[[#This Row],[Artikel]],Produkte!A:H,8)</f>
        <v>0.17</v>
      </c>
    </row>
    <row r="12" spans="1:12" x14ac:dyDescent="0.2">
      <c r="A12" s="75" t="s">
        <v>41</v>
      </c>
      <c r="B12" s="79">
        <v>46029</v>
      </c>
      <c r="C12" s="89">
        <v>46.2</v>
      </c>
      <c r="D12" s="75"/>
      <c r="E12" s="75"/>
      <c r="F12" s="75">
        <v>10330</v>
      </c>
      <c r="G12" s="76" t="str">
        <f>VLOOKUP(Tabelle2[[#This Row],[Kunden Nr.]],KUNDEN!A:B,2,0)</f>
        <v>BURIMI</v>
      </c>
      <c r="H12" s="75">
        <v>35109</v>
      </c>
      <c r="I12" s="76" t="str">
        <f>VLOOKUP(Tabelle2[[#This Row],[Artikel]],Produkte!A:B,2,0)</f>
        <v>M-ONE Sanitar Silikon</v>
      </c>
      <c r="J12" s="75">
        <v>12</v>
      </c>
      <c r="K12" s="76" t="str">
        <f>VLOOKUP(Tabelle2[[#This Row],[Kunden Nr.]],KUNDEN!A:G,7)</f>
        <v>Qerimi</v>
      </c>
      <c r="L12" s="76">
        <f>VLOOKUP(Tabelle2[[#This Row],[Artikel]],Produkte!A:H,8)</f>
        <v>0.17</v>
      </c>
    </row>
    <row r="13" spans="1:12" x14ac:dyDescent="0.2">
      <c r="A13" s="75" t="s">
        <v>43</v>
      </c>
      <c r="B13" s="79">
        <v>46029</v>
      </c>
      <c r="C13" s="89">
        <v>92.4</v>
      </c>
      <c r="D13" s="75"/>
      <c r="E13" s="75"/>
      <c r="F13" s="75">
        <v>10332</v>
      </c>
      <c r="G13" s="76" t="str">
        <f>VLOOKUP(Tabelle2[[#This Row],[Kunden Nr.]],KUNDEN!A:B,2,0)</f>
        <v>DARDANIA</v>
      </c>
      <c r="H13" s="75">
        <v>35109</v>
      </c>
      <c r="I13" s="76" t="str">
        <f>VLOOKUP(Tabelle2[[#This Row],[Artikel]],Produkte!A:B,2,0)</f>
        <v>M-ONE Sanitar Silikon</v>
      </c>
      <c r="J13" s="75">
        <v>12</v>
      </c>
      <c r="K13" s="76" t="str">
        <f>VLOOKUP(Tabelle2[[#This Row],[Kunden Nr.]],KUNDEN!A:G,7)</f>
        <v>Qerimi</v>
      </c>
      <c r="L13" s="76">
        <f>VLOOKUP(Tabelle2[[#This Row],[Artikel]],Produkte!A:H,8)</f>
        <v>0.17</v>
      </c>
    </row>
    <row r="14" spans="1:12" x14ac:dyDescent="0.2">
      <c r="A14" s="75" t="s">
        <v>43</v>
      </c>
      <c r="B14" s="79">
        <v>46029</v>
      </c>
      <c r="C14" s="75"/>
      <c r="D14" s="75"/>
      <c r="E14" s="75"/>
      <c r="F14" s="75">
        <v>10332</v>
      </c>
      <c r="G14" s="76" t="str">
        <f>VLOOKUP(Tabelle2[[#This Row],[Kunden Nr.]],KUNDEN!A:B,2,0)</f>
        <v>DARDANIA</v>
      </c>
      <c r="H14" s="75">
        <v>35110</v>
      </c>
      <c r="I14" s="76" t="str">
        <f>VLOOKUP(Tabelle2[[#This Row],[Artikel]],Produkte!A:B,2,0)</f>
        <v>M-ONE Sanitar Silikon</v>
      </c>
      <c r="J14" s="75">
        <v>12</v>
      </c>
      <c r="K14" s="76" t="str">
        <f>VLOOKUP(Tabelle2[[#This Row],[Kunden Nr.]],KUNDEN!A:G,7)</f>
        <v>Qerimi</v>
      </c>
      <c r="L14" s="76">
        <f>VLOOKUP(Tabelle2[[#This Row],[Artikel]],Produkte!A:H,8)</f>
        <v>0.17</v>
      </c>
    </row>
    <row r="15" spans="1:12" x14ac:dyDescent="0.2">
      <c r="A15" s="75" t="s">
        <v>5</v>
      </c>
      <c r="B15" s="79">
        <v>46029</v>
      </c>
      <c r="C15" s="89">
        <v>92.4</v>
      </c>
      <c r="D15" s="75"/>
      <c r="E15" s="75"/>
      <c r="F15" s="75">
        <v>10301</v>
      </c>
      <c r="G15" s="76" t="str">
        <f>VLOOKUP(Tabelle2[[#This Row],[Kunden Nr.]],KUNDEN!A:B,2,0)</f>
        <v>FUNDAMETI</v>
      </c>
      <c r="H15" s="75">
        <v>35121</v>
      </c>
      <c r="I15" s="76" t="str">
        <f>VLOOKUP(Tabelle2[[#This Row],[Artikel]],Produkte!A:B,2,0)</f>
        <v>M-ONE Sanitar Silikon</v>
      </c>
      <c r="J15" s="75">
        <v>12</v>
      </c>
      <c r="K15" s="76" t="str">
        <f>VLOOKUP(Tabelle2[[#This Row],[Kunden Nr.]],KUNDEN!A:G,7)</f>
        <v>Qerimi</v>
      </c>
      <c r="L15" s="76">
        <f>VLOOKUP(Tabelle2[[#This Row],[Artikel]],Produkte!A:H,8)</f>
        <v>0.17</v>
      </c>
    </row>
    <row r="16" spans="1:12" x14ac:dyDescent="0.2">
      <c r="A16" s="75" t="s">
        <v>5</v>
      </c>
      <c r="B16" s="79">
        <v>46029</v>
      </c>
      <c r="C16" s="75"/>
      <c r="D16" s="75"/>
      <c r="E16" s="75"/>
      <c r="F16" s="75">
        <v>10301</v>
      </c>
      <c r="G16" s="76" t="str">
        <f>VLOOKUP(Tabelle2[[#This Row],[Kunden Nr.]],KUNDEN!A:B,2,0)</f>
        <v>FUNDAMETI</v>
      </c>
      <c r="H16" s="75">
        <v>35119</v>
      </c>
      <c r="I16" s="76" t="str">
        <f>VLOOKUP(Tabelle2[[#This Row],[Artikel]],Produkte!A:B,2,0)</f>
        <v>M-ONE Sanitar Silikon</v>
      </c>
      <c r="J16" s="75">
        <v>12</v>
      </c>
      <c r="K16" s="76" t="str">
        <f>VLOOKUP(Tabelle2[[#This Row],[Kunden Nr.]],KUNDEN!A:G,7)</f>
        <v>Qerimi</v>
      </c>
      <c r="L16" s="76">
        <f>VLOOKUP(Tabelle2[[#This Row],[Artikel]],Produkte!A:H,8)</f>
        <v>0.17</v>
      </c>
    </row>
    <row r="17" spans="1:12" x14ac:dyDescent="0.2">
      <c r="A17" s="75" t="s">
        <v>30</v>
      </c>
      <c r="B17" s="79">
        <v>46029</v>
      </c>
      <c r="C17" s="89">
        <v>86.4</v>
      </c>
      <c r="D17" s="75"/>
      <c r="E17" s="75"/>
      <c r="F17" s="75">
        <v>10323</v>
      </c>
      <c r="G17" s="76" t="str">
        <f>VLOOKUP(Tabelle2[[#This Row],[Kunden Nr.]],KUNDEN!A:B,2,0)</f>
        <v>BEKA-3</v>
      </c>
      <c r="H17" s="75">
        <v>50912</v>
      </c>
      <c r="I17" s="76" t="str">
        <f>VLOOKUP(Tabelle2[[#This Row],[Artikel]],Produkte!A:B,2,0)</f>
        <v>DICHTUNG</v>
      </c>
      <c r="J17" s="75">
        <v>12</v>
      </c>
      <c r="K17" s="76" t="str">
        <f>VLOOKUP(Tabelle2[[#This Row],[Kunden Nr.]],KUNDEN!A:G,7)</f>
        <v>Qerimi</v>
      </c>
      <c r="L17" s="76">
        <f>VLOOKUP(Tabelle2[[#This Row],[Artikel]],Produkte!A:H,8)</f>
        <v>0.2</v>
      </c>
    </row>
    <row r="18" spans="1:12" x14ac:dyDescent="0.2">
      <c r="A18" s="75" t="s">
        <v>614</v>
      </c>
      <c r="B18" s="79">
        <v>46029</v>
      </c>
      <c r="C18" s="89">
        <v>46.2</v>
      </c>
      <c r="D18" s="75"/>
      <c r="E18" s="75"/>
      <c r="F18" s="75">
        <v>20301</v>
      </c>
      <c r="G18" s="76" t="str">
        <f>VLOOKUP(Tabelle2[[#This Row],[Kunden Nr.]],KUNDEN!A:B,2,0)</f>
        <v>HAZROLLI</v>
      </c>
      <c r="H18" s="75">
        <v>35119</v>
      </c>
      <c r="I18" s="76" t="str">
        <f>VLOOKUP(Tabelle2[[#This Row],[Artikel]],Produkte!A:B,2,0)</f>
        <v>M-ONE Sanitar Silikon</v>
      </c>
      <c r="J18" s="75">
        <v>12</v>
      </c>
      <c r="K18" s="76" t="str">
        <f>VLOOKUP(Tabelle2[[#This Row],[Kunden Nr.]],KUNDEN!A:G,7)</f>
        <v>Mensuri</v>
      </c>
      <c r="L18" s="76">
        <f>VLOOKUP(Tabelle2[[#This Row],[Artikel]],Produkte!A:H,8)</f>
        <v>0.17</v>
      </c>
    </row>
    <row r="19" spans="1:12" x14ac:dyDescent="0.2">
      <c r="A19" s="75" t="s">
        <v>1057</v>
      </c>
      <c r="B19" s="79">
        <v>46029</v>
      </c>
      <c r="C19" s="89">
        <v>73.8</v>
      </c>
      <c r="D19" s="75"/>
      <c r="E19" s="75"/>
      <c r="F19" s="75">
        <v>20324</v>
      </c>
      <c r="G19" s="76" t="str">
        <f>VLOOKUP(Tabelle2[[#This Row],[Kunden Nr.]],KUNDEN!A:B,2,0)</f>
        <v>BAU HOME</v>
      </c>
      <c r="H19" s="75">
        <v>35121</v>
      </c>
      <c r="I19" s="76" t="str">
        <f>VLOOKUP(Tabelle2[[#This Row],[Artikel]],Produkte!A:B,2,0)</f>
        <v>M-ONE Sanitar Silikon</v>
      </c>
      <c r="J19" s="75">
        <v>12</v>
      </c>
      <c r="K19" s="76" t="str">
        <f>VLOOKUP(Tabelle2[[#This Row],[Kunden Nr.]],KUNDEN!A:G,7)</f>
        <v>Mensuri</v>
      </c>
      <c r="L19" s="76">
        <f>VLOOKUP(Tabelle2[[#This Row],[Artikel]],Produkte!A:H,8)</f>
        <v>0.17</v>
      </c>
    </row>
    <row r="20" spans="1:12" x14ac:dyDescent="0.2">
      <c r="A20" s="75" t="s">
        <v>1057</v>
      </c>
      <c r="B20" s="79">
        <v>46029</v>
      </c>
      <c r="C20" s="75"/>
      <c r="D20" s="75"/>
      <c r="E20" s="75"/>
      <c r="F20" s="75">
        <v>20324</v>
      </c>
      <c r="G20" s="76" t="str">
        <f>VLOOKUP(Tabelle2[[#This Row],[Kunden Nr.]],KUNDEN!A:B,2,0)</f>
        <v>BAU HOME</v>
      </c>
      <c r="H20" s="75">
        <v>51612</v>
      </c>
      <c r="I20" s="76" t="str">
        <f>VLOOKUP(Tabelle2[[#This Row],[Artikel]],Produkte!A:B,2,0)</f>
        <v>struktural akryl</v>
      </c>
      <c r="J20" s="75">
        <v>12</v>
      </c>
      <c r="K20" s="76" t="str">
        <f>VLOOKUP(Tabelle2[[#This Row],[Kunden Nr.]],KUNDEN!A:G,7)</f>
        <v>Mensuri</v>
      </c>
      <c r="L20" s="76">
        <f>VLOOKUP(Tabelle2[[#This Row],[Artikel]],Produkte!A:H,8)</f>
        <v>0.06</v>
      </c>
    </row>
    <row r="21" spans="1:12" x14ac:dyDescent="0.2">
      <c r="A21" s="75" t="s">
        <v>618</v>
      </c>
      <c r="B21" s="79">
        <v>46029</v>
      </c>
      <c r="C21" s="89">
        <v>240</v>
      </c>
      <c r="D21" s="75"/>
      <c r="E21" s="75"/>
      <c r="F21" s="75">
        <v>20307</v>
      </c>
      <c r="G21" s="76" t="str">
        <f>VLOOKUP(Tabelle2[[#This Row],[Kunden Nr.]],KUNDEN!A:B,2,0)</f>
        <v>CONDOR</v>
      </c>
      <c r="H21" s="75">
        <v>35108</v>
      </c>
      <c r="I21" s="76" t="str">
        <f>VLOOKUP(Tabelle2[[#This Row],[Artikel]],Produkte!A:B,2,0)</f>
        <v>M-ONE Sanitar Silikon</v>
      </c>
      <c r="J21" s="75">
        <v>12</v>
      </c>
      <c r="K21" s="76" t="str">
        <f>VLOOKUP(Tabelle2[[#This Row],[Kunden Nr.]],KUNDEN!A:G,7)</f>
        <v>Mensuri</v>
      </c>
      <c r="L21" s="76">
        <f>VLOOKUP(Tabelle2[[#This Row],[Artikel]],Produkte!A:H,8)</f>
        <v>0.17</v>
      </c>
    </row>
    <row r="22" spans="1:12" x14ac:dyDescent="0.2">
      <c r="A22" s="75" t="s">
        <v>618</v>
      </c>
      <c r="B22" s="79">
        <v>46029</v>
      </c>
      <c r="C22" s="75"/>
      <c r="D22" s="75"/>
      <c r="E22" s="75"/>
      <c r="F22" s="75">
        <v>20307</v>
      </c>
      <c r="G22" s="76" t="str">
        <f>VLOOKUP(Tabelle2[[#This Row],[Kunden Nr.]],KUNDEN!A:B,2,0)</f>
        <v>CONDOR</v>
      </c>
      <c r="H22" s="75">
        <v>35110</v>
      </c>
      <c r="I22" s="76" t="str">
        <f>VLOOKUP(Tabelle2[[#This Row],[Artikel]],Produkte!A:B,2,0)</f>
        <v>M-ONE Sanitar Silikon</v>
      </c>
      <c r="J22" s="75">
        <v>12</v>
      </c>
      <c r="K22" s="76" t="str">
        <f>VLOOKUP(Tabelle2[[#This Row],[Kunden Nr.]],KUNDEN!A:G,7)</f>
        <v>Mensuri</v>
      </c>
      <c r="L22" s="76">
        <f>VLOOKUP(Tabelle2[[#This Row],[Artikel]],Produkte!A:H,8)</f>
        <v>0.17</v>
      </c>
    </row>
    <row r="23" spans="1:12" x14ac:dyDescent="0.2">
      <c r="A23" s="75" t="s">
        <v>618</v>
      </c>
      <c r="B23" s="79">
        <v>46029</v>
      </c>
      <c r="C23" s="75"/>
      <c r="D23" s="75"/>
      <c r="E23" s="75"/>
      <c r="F23" s="75">
        <v>20307</v>
      </c>
      <c r="G23" s="76" t="str">
        <f>VLOOKUP(Tabelle2[[#This Row],[Kunden Nr.]],KUNDEN!A:B,2,0)</f>
        <v>CONDOR</v>
      </c>
      <c r="H23" s="75">
        <v>35111</v>
      </c>
      <c r="I23" s="76" t="str">
        <f>VLOOKUP(Tabelle2[[#This Row],[Artikel]],Produkte!A:B,2,0)</f>
        <v>M-ONE Sanitar Silikon</v>
      </c>
      <c r="J23" s="75">
        <v>12</v>
      </c>
      <c r="K23" s="76" t="str">
        <f>VLOOKUP(Tabelle2[[#This Row],[Kunden Nr.]],KUNDEN!A:G,7)</f>
        <v>Mensuri</v>
      </c>
      <c r="L23" s="76">
        <f>VLOOKUP(Tabelle2[[#This Row],[Artikel]],Produkte!A:H,8)</f>
        <v>0.17</v>
      </c>
    </row>
    <row r="24" spans="1:12" x14ac:dyDescent="0.2">
      <c r="A24" s="75" t="s">
        <v>618</v>
      </c>
      <c r="B24" s="79">
        <v>46029</v>
      </c>
      <c r="C24" s="75"/>
      <c r="D24" s="75"/>
      <c r="E24" s="75"/>
      <c r="F24" s="75">
        <v>20307</v>
      </c>
      <c r="G24" s="76" t="str">
        <f>VLOOKUP(Tabelle2[[#This Row],[Kunden Nr.]],KUNDEN!A:B,2,0)</f>
        <v>CONDOR</v>
      </c>
      <c r="H24" s="75">
        <v>35128</v>
      </c>
      <c r="I24" s="76" t="str">
        <f>VLOOKUP(Tabelle2[[#This Row],[Artikel]],Produkte!A:B,2,0)</f>
        <v>M-ONE Sanitar Silikon</v>
      </c>
      <c r="J24" s="75">
        <v>12</v>
      </c>
      <c r="K24" s="76" t="str">
        <f>VLOOKUP(Tabelle2[[#This Row],[Kunden Nr.]],KUNDEN!A:G,7)</f>
        <v>Mensuri</v>
      </c>
      <c r="L24" s="76">
        <f>VLOOKUP(Tabelle2[[#This Row],[Artikel]],Produkte!A:H,8)</f>
        <v>0.17</v>
      </c>
    </row>
    <row r="25" spans="1:12" x14ac:dyDescent="0.2">
      <c r="A25" s="75" t="s">
        <v>618</v>
      </c>
      <c r="B25" s="79">
        <v>46029</v>
      </c>
      <c r="C25" s="75"/>
      <c r="D25" s="75"/>
      <c r="E25" s="75"/>
      <c r="F25" s="75">
        <v>20307</v>
      </c>
      <c r="G25" s="76" t="str">
        <f>VLOOKUP(Tabelle2[[#This Row],[Kunden Nr.]],KUNDEN!A:B,2,0)</f>
        <v>CONDOR</v>
      </c>
      <c r="H25" s="75">
        <v>51612</v>
      </c>
      <c r="I25" s="76" t="str">
        <f>VLOOKUP(Tabelle2[[#This Row],[Artikel]],Produkte!A:B,2,0)</f>
        <v>struktural akryl</v>
      </c>
      <c r="J25" s="75">
        <v>24</v>
      </c>
      <c r="K25" s="76" t="str">
        <f>VLOOKUP(Tabelle2[[#This Row],[Kunden Nr.]],KUNDEN!A:G,7)</f>
        <v>Mensuri</v>
      </c>
      <c r="L25" s="76">
        <f>VLOOKUP(Tabelle2[[#This Row],[Artikel]],Produkte!A:H,8)</f>
        <v>0.06</v>
      </c>
    </row>
    <row r="26" spans="1:12" x14ac:dyDescent="0.2">
      <c r="A26" s="75" t="s">
        <v>623</v>
      </c>
      <c r="B26" s="79">
        <v>46029</v>
      </c>
      <c r="C26" s="89">
        <v>143.4</v>
      </c>
      <c r="D26" s="75"/>
      <c r="E26" s="75"/>
      <c r="F26" s="75">
        <v>20313</v>
      </c>
      <c r="G26" s="76" t="str">
        <f>VLOOKUP(Tabelle2[[#This Row],[Kunden Nr.]],KUNDEN!A:B,2,0)</f>
        <v>DURGUTI 3</v>
      </c>
      <c r="H26" s="75">
        <v>35109</v>
      </c>
      <c r="I26" s="76" t="str">
        <f>VLOOKUP(Tabelle2[[#This Row],[Artikel]],Produkte!A:B,2,0)</f>
        <v>M-ONE Sanitar Silikon</v>
      </c>
      <c r="J26" s="75">
        <v>12</v>
      </c>
      <c r="K26" s="76" t="str">
        <f>VLOOKUP(Tabelle2[[#This Row],[Kunden Nr.]],KUNDEN!A:G,7)</f>
        <v>Mensuri</v>
      </c>
      <c r="L26" s="76">
        <f>VLOOKUP(Tabelle2[[#This Row],[Artikel]],Produkte!A:H,8)</f>
        <v>0.17</v>
      </c>
    </row>
    <row r="27" spans="1:12" x14ac:dyDescent="0.2">
      <c r="A27" s="75" t="s">
        <v>623</v>
      </c>
      <c r="B27" s="79">
        <v>46029</v>
      </c>
      <c r="C27" s="75"/>
      <c r="D27" s="75"/>
      <c r="E27" s="75"/>
      <c r="F27" s="75">
        <v>20313</v>
      </c>
      <c r="G27" s="76" t="str">
        <f>VLOOKUP(Tabelle2[[#This Row],[Kunden Nr.]],KUNDEN!A:B,2,0)</f>
        <v>DURGUTI 3</v>
      </c>
      <c r="H27" s="75">
        <v>66701</v>
      </c>
      <c r="I27" s="76" t="str">
        <f>VLOOKUP(Tabelle2[[#This Row],[Artikel]],Produkte!A:B,2,0)</f>
        <v>PROFIMONT EXTREME</v>
      </c>
      <c r="J27" s="75">
        <v>12</v>
      </c>
      <c r="K27" s="76" t="str">
        <f>VLOOKUP(Tabelle2[[#This Row],[Kunden Nr.]],KUNDEN!A:G,7)</f>
        <v>Mensuri</v>
      </c>
      <c r="L27" s="76">
        <f>VLOOKUP(Tabelle2[[#This Row],[Artikel]],Produkte!A:H,8)</f>
        <v>0.2</v>
      </c>
    </row>
    <row r="28" spans="1:12" x14ac:dyDescent="0.2">
      <c r="A28" s="75" t="s">
        <v>623</v>
      </c>
      <c r="B28" s="79">
        <v>46029</v>
      </c>
      <c r="C28" s="75"/>
      <c r="D28" s="75"/>
      <c r="E28" s="75"/>
      <c r="F28" s="75">
        <v>20313</v>
      </c>
      <c r="G28" s="76" t="str">
        <f>VLOOKUP(Tabelle2[[#This Row],[Kunden Nr.]],KUNDEN!A:B,2,0)</f>
        <v>DURGUTI 3</v>
      </c>
      <c r="H28" s="75">
        <v>51612</v>
      </c>
      <c r="I28" s="76" t="str">
        <f>VLOOKUP(Tabelle2[[#This Row],[Artikel]],Produkte!A:B,2,0)</f>
        <v>struktural akryl</v>
      </c>
      <c r="J28" s="75">
        <v>12</v>
      </c>
      <c r="K28" s="76" t="str">
        <f>VLOOKUP(Tabelle2[[#This Row],[Kunden Nr.]],KUNDEN!A:G,7)</f>
        <v>Mensuri</v>
      </c>
      <c r="L28" s="76">
        <f>VLOOKUP(Tabelle2[[#This Row],[Artikel]],Produkte!A:H,8)</f>
        <v>0.06</v>
      </c>
    </row>
    <row r="29" spans="1:12" x14ac:dyDescent="0.2">
      <c r="A29" s="75" t="s">
        <v>1307</v>
      </c>
      <c r="B29" s="79">
        <v>46029</v>
      </c>
      <c r="C29" s="89">
        <v>73.8</v>
      </c>
      <c r="D29" s="75"/>
      <c r="E29" s="75"/>
      <c r="F29" s="75">
        <v>20321</v>
      </c>
      <c r="G29" s="76" t="str">
        <f>VLOOKUP(Tabelle2[[#This Row],[Kunden Nr.]],KUNDEN!A:B,2,0)</f>
        <v>BEREQETI</v>
      </c>
      <c r="H29" s="75">
        <v>35121</v>
      </c>
      <c r="I29" s="76" t="str">
        <f>VLOOKUP(Tabelle2[[#This Row],[Artikel]],Produkte!A:B,2,0)</f>
        <v>M-ONE Sanitar Silikon</v>
      </c>
      <c r="J29" s="75">
        <v>12</v>
      </c>
      <c r="K29" s="76" t="str">
        <f>VLOOKUP(Tabelle2[[#This Row],[Kunden Nr.]],KUNDEN!A:G,7)</f>
        <v>Mensuri</v>
      </c>
      <c r="L29" s="76">
        <f>VLOOKUP(Tabelle2[[#This Row],[Artikel]],Produkte!A:H,8)</f>
        <v>0.17</v>
      </c>
    </row>
    <row r="30" spans="1:12" x14ac:dyDescent="0.2">
      <c r="A30" s="75" t="s">
        <v>1307</v>
      </c>
      <c r="B30" s="79">
        <v>46029</v>
      </c>
      <c r="C30" s="75"/>
      <c r="D30" s="75"/>
      <c r="E30" s="75"/>
      <c r="F30" s="75">
        <v>20321</v>
      </c>
      <c r="G30" s="76" t="str">
        <f>VLOOKUP(Tabelle2[[#This Row],[Kunden Nr.]],KUNDEN!A:B,2,0)</f>
        <v>BEREQETI</v>
      </c>
      <c r="H30" s="75">
        <v>51612</v>
      </c>
      <c r="I30" s="76" t="str">
        <f>VLOOKUP(Tabelle2[[#This Row],[Artikel]],Produkte!A:B,2,0)</f>
        <v>struktural akryl</v>
      </c>
      <c r="J30" s="75">
        <v>12</v>
      </c>
      <c r="K30" s="76" t="str">
        <f>VLOOKUP(Tabelle2[[#This Row],[Kunden Nr.]],KUNDEN!A:G,7)</f>
        <v>Mensuri</v>
      </c>
      <c r="L30" s="76">
        <f>VLOOKUP(Tabelle2[[#This Row],[Artikel]],Produkte!A:H,8)</f>
        <v>0.06</v>
      </c>
    </row>
    <row r="31" spans="1:12" x14ac:dyDescent="0.2">
      <c r="A31" s="75" t="s">
        <v>615</v>
      </c>
      <c r="B31" s="79">
        <v>46029</v>
      </c>
      <c r="C31" s="89">
        <v>142.19999999999999</v>
      </c>
      <c r="D31" s="75"/>
      <c r="E31" s="75"/>
      <c r="F31" s="75">
        <v>20304</v>
      </c>
      <c r="G31" s="76" t="str">
        <f>VLOOKUP(Tabelle2[[#This Row],[Kunden Nr.]],KUNDEN!A:B,2,0)</f>
        <v>AGRO-FARM</v>
      </c>
      <c r="H31" s="75">
        <v>35111</v>
      </c>
      <c r="I31" s="76" t="str">
        <f>VLOOKUP(Tabelle2[[#This Row],[Artikel]],Produkte!A:B,2,0)</f>
        <v>M-ONE Sanitar Silikon</v>
      </c>
      <c r="J31" s="75">
        <v>12</v>
      </c>
      <c r="K31" s="76" t="str">
        <f>VLOOKUP(Tabelle2[[#This Row],[Kunden Nr.]],KUNDEN!A:G,7)</f>
        <v>Mensuri</v>
      </c>
      <c r="L31" s="76">
        <f>VLOOKUP(Tabelle2[[#This Row],[Artikel]],Produkte!A:H,8)</f>
        <v>0.17</v>
      </c>
    </row>
    <row r="32" spans="1:12" x14ac:dyDescent="0.2">
      <c r="A32" s="75" t="s">
        <v>615</v>
      </c>
      <c r="B32" s="79">
        <v>46029</v>
      </c>
      <c r="C32" s="75"/>
      <c r="D32" s="75"/>
      <c r="E32" s="75"/>
      <c r="F32" s="75">
        <v>20304</v>
      </c>
      <c r="G32" s="76" t="str">
        <f>VLOOKUP(Tabelle2[[#This Row],[Kunden Nr.]],KUNDEN!A:B,2,0)</f>
        <v>AGRO-FARM</v>
      </c>
      <c r="H32" s="75">
        <v>37112</v>
      </c>
      <c r="I32" s="76" t="str">
        <f>VLOOKUP(Tabelle2[[#This Row],[Artikel]],Produkte!A:B,2,0)</f>
        <v>M ONE BLACK</v>
      </c>
      <c r="J32" s="75">
        <v>240</v>
      </c>
      <c r="K32" s="76" t="str">
        <f>VLOOKUP(Tabelle2[[#This Row],[Kunden Nr.]],KUNDEN!A:G,7)</f>
        <v>Mensuri</v>
      </c>
      <c r="L32" s="76">
        <f>VLOOKUP(Tabelle2[[#This Row],[Artikel]],Produkte!A:H,8)</f>
        <v>0.05</v>
      </c>
    </row>
    <row r="33" spans="1:12" x14ac:dyDescent="0.2">
      <c r="A33" s="75" t="s">
        <v>895</v>
      </c>
      <c r="B33" s="79">
        <v>46029</v>
      </c>
      <c r="C33" s="89">
        <v>92.4</v>
      </c>
      <c r="D33" s="75"/>
      <c r="E33" s="75"/>
      <c r="F33" s="75">
        <v>20303</v>
      </c>
      <c r="G33" s="76" t="str">
        <f>VLOOKUP(Tabelle2[[#This Row],[Kunden Nr.]],KUNDEN!A:B,2,0)</f>
        <v>NITA 3</v>
      </c>
      <c r="H33" s="75">
        <v>35108</v>
      </c>
      <c r="I33" s="76" t="str">
        <f>VLOOKUP(Tabelle2[[#This Row],[Artikel]],Produkte!A:B,2,0)</f>
        <v>M-ONE Sanitar Silikon</v>
      </c>
      <c r="J33" s="75">
        <v>12</v>
      </c>
      <c r="K33" s="76" t="str">
        <f>VLOOKUP(Tabelle2[[#This Row],[Kunden Nr.]],KUNDEN!A:G,7)</f>
        <v>Mensuri</v>
      </c>
      <c r="L33" s="76">
        <f>VLOOKUP(Tabelle2[[#This Row],[Artikel]],Produkte!A:H,8)</f>
        <v>0.17</v>
      </c>
    </row>
    <row r="34" spans="1:12" x14ac:dyDescent="0.2">
      <c r="A34" s="75" t="s">
        <v>895</v>
      </c>
      <c r="B34" s="79">
        <v>46029</v>
      </c>
      <c r="C34" s="75"/>
      <c r="D34" s="75"/>
      <c r="E34" s="75"/>
      <c r="F34" s="75">
        <v>20303</v>
      </c>
      <c r="G34" s="76" t="str">
        <f>VLOOKUP(Tabelle2[[#This Row],[Kunden Nr.]],KUNDEN!A:B,2,0)</f>
        <v>NITA 3</v>
      </c>
      <c r="H34" s="75">
        <v>35110</v>
      </c>
      <c r="I34" s="76" t="str">
        <f>VLOOKUP(Tabelle2[[#This Row],[Artikel]],Produkte!A:B,2,0)</f>
        <v>M-ONE Sanitar Silikon</v>
      </c>
      <c r="J34" s="75">
        <v>12</v>
      </c>
      <c r="K34" s="76" t="str">
        <f>VLOOKUP(Tabelle2[[#This Row],[Kunden Nr.]],KUNDEN!A:G,7)</f>
        <v>Mensuri</v>
      </c>
      <c r="L34" s="76">
        <f>VLOOKUP(Tabelle2[[#This Row],[Artikel]],Produkte!A:H,8)</f>
        <v>0.17</v>
      </c>
    </row>
    <row r="35" spans="1:12" x14ac:dyDescent="0.2">
      <c r="A35" s="75" t="s">
        <v>617</v>
      </c>
      <c r="B35" s="79">
        <v>46029</v>
      </c>
      <c r="C35" s="89">
        <v>92.4</v>
      </c>
      <c r="D35" s="75"/>
      <c r="E35" s="75"/>
      <c r="F35" s="75">
        <v>20306</v>
      </c>
      <c r="G35" s="76" t="str">
        <f>VLOOKUP(Tabelle2[[#This Row],[Kunden Nr.]],KUNDEN!A:B,2,0)</f>
        <v>FITIMI</v>
      </c>
      <c r="H35" s="75">
        <v>35109</v>
      </c>
      <c r="I35" s="76" t="str">
        <f>VLOOKUP(Tabelle2[[#This Row],[Artikel]],Produkte!A:B,2,0)</f>
        <v>M-ONE Sanitar Silikon</v>
      </c>
      <c r="J35" s="75">
        <v>12</v>
      </c>
      <c r="K35" s="76" t="str">
        <f>VLOOKUP(Tabelle2[[#This Row],[Kunden Nr.]],KUNDEN!A:G,7)</f>
        <v>Mensuri</v>
      </c>
      <c r="L35" s="76">
        <f>VLOOKUP(Tabelle2[[#This Row],[Artikel]],Produkte!A:H,8)</f>
        <v>0.17</v>
      </c>
    </row>
    <row r="36" spans="1:12" x14ac:dyDescent="0.2">
      <c r="A36" s="75" t="s">
        <v>617</v>
      </c>
      <c r="B36" s="79">
        <v>46029</v>
      </c>
      <c r="C36" s="75"/>
      <c r="D36" s="75"/>
      <c r="E36" s="75"/>
      <c r="F36" s="75">
        <v>20306</v>
      </c>
      <c r="G36" s="76" t="str">
        <f>VLOOKUP(Tabelle2[[#This Row],[Kunden Nr.]],KUNDEN!A:B,2,0)</f>
        <v>FITIMI</v>
      </c>
      <c r="H36" s="75">
        <v>35110</v>
      </c>
      <c r="I36" s="76" t="str">
        <f>VLOOKUP(Tabelle2[[#This Row],[Artikel]],Produkte!A:B,2,0)</f>
        <v>M-ONE Sanitar Silikon</v>
      </c>
      <c r="J36" s="75">
        <v>12</v>
      </c>
      <c r="K36" s="76" t="str">
        <f>VLOOKUP(Tabelle2[[#This Row],[Kunden Nr.]],KUNDEN!A:G,7)</f>
        <v>Mensuri</v>
      </c>
      <c r="L36" s="76">
        <f>VLOOKUP(Tabelle2[[#This Row],[Artikel]],Produkte!A:H,8)</f>
        <v>0.17</v>
      </c>
    </row>
    <row r="37" spans="1:12" x14ac:dyDescent="0.2">
      <c r="A37" s="75" t="s">
        <v>626</v>
      </c>
      <c r="B37" s="79">
        <v>46029</v>
      </c>
      <c r="C37" s="89">
        <v>69.2</v>
      </c>
      <c r="D37" s="75"/>
      <c r="E37" s="75"/>
      <c r="F37" s="75">
        <v>20317</v>
      </c>
      <c r="G37" s="76" t="str">
        <f>VLOOKUP(Tabelle2[[#This Row],[Kunden Nr.]],KUNDEN!A:B,2,0)</f>
        <v>SHEHU-A</v>
      </c>
      <c r="H37" s="75">
        <v>50912</v>
      </c>
      <c r="I37" s="76" t="str">
        <f>VLOOKUP(Tabelle2[[#This Row],[Artikel]],Produkte!A:B,2,0)</f>
        <v>DICHTUNG</v>
      </c>
      <c r="J37" s="75">
        <v>6</v>
      </c>
      <c r="K37" s="76" t="str">
        <f>VLOOKUP(Tabelle2[[#This Row],[Kunden Nr.]],KUNDEN!A:G,7)</f>
        <v>Mensuri</v>
      </c>
      <c r="L37" s="76">
        <f>VLOOKUP(Tabelle2[[#This Row],[Artikel]],Produkte!A:H,8)</f>
        <v>0.2</v>
      </c>
    </row>
    <row r="38" spans="1:12" x14ac:dyDescent="0.2">
      <c r="A38" s="75" t="s">
        <v>626</v>
      </c>
      <c r="B38" s="79">
        <v>46029</v>
      </c>
      <c r="C38" s="75"/>
      <c r="D38" s="75"/>
      <c r="E38" s="75"/>
      <c r="F38" s="75">
        <v>20317</v>
      </c>
      <c r="G38" s="76" t="str">
        <f>VLOOKUP(Tabelle2[[#This Row],[Kunden Nr.]],KUNDEN!A:B,2,0)</f>
        <v>SHEHU-A</v>
      </c>
      <c r="H38" s="75">
        <v>49644</v>
      </c>
      <c r="I38" s="76" t="str">
        <f>VLOOKUP(Tabelle2[[#This Row],[Artikel]],Produkte!A:B,2,0)</f>
        <v>beMAKER Rostlöser</v>
      </c>
      <c r="J38" s="75">
        <v>6</v>
      </c>
      <c r="K38" s="76" t="str">
        <f>VLOOKUP(Tabelle2[[#This Row],[Kunden Nr.]],KUNDEN!A:G,7)</f>
        <v>Mensuri</v>
      </c>
      <c r="L38" s="76">
        <f>VLOOKUP(Tabelle2[[#This Row],[Artikel]],Produkte!A:H,8)</f>
        <v>0.2</v>
      </c>
    </row>
    <row r="39" spans="1:12" x14ac:dyDescent="0.2">
      <c r="A39" s="75" t="s">
        <v>626</v>
      </c>
      <c r="B39" s="79">
        <v>46029</v>
      </c>
      <c r="C39" s="75"/>
      <c r="D39" s="75"/>
      <c r="E39" s="75"/>
      <c r="F39" s="75">
        <v>20317</v>
      </c>
      <c r="G39" s="76" t="str">
        <f>VLOOKUP(Tabelle2[[#This Row],[Kunden Nr.]],KUNDEN!A:B,2,0)</f>
        <v>SHEHU-A</v>
      </c>
      <c r="H39" s="75">
        <v>55718</v>
      </c>
      <c r="I39" s="76" t="str">
        <f>VLOOKUP(Tabelle2[[#This Row],[Artikel]],Produkte!A:B,2,0)</f>
        <v>M ONE MOTORSTART</v>
      </c>
      <c r="J39" s="75">
        <v>4</v>
      </c>
      <c r="K39" s="76" t="str">
        <f>VLOOKUP(Tabelle2[[#This Row],[Kunden Nr.]],KUNDEN!A:G,7)</f>
        <v>Mensuri</v>
      </c>
      <c r="L39" s="76">
        <f>VLOOKUP(Tabelle2[[#This Row],[Artikel]],Produkte!A:H,8)</f>
        <v>0.2</v>
      </c>
    </row>
    <row r="40" spans="1:12" x14ac:dyDescent="0.2">
      <c r="A40" s="75" t="s">
        <v>553</v>
      </c>
      <c r="B40" s="79">
        <v>46030</v>
      </c>
      <c r="C40" s="89">
        <v>46.2</v>
      </c>
      <c r="D40" s="75"/>
      <c r="E40" s="75"/>
      <c r="F40" s="75">
        <v>10413</v>
      </c>
      <c r="G40" s="76" t="str">
        <f>VLOOKUP(Tabelle2[[#This Row],[Kunden Nr.]],KUNDEN!A:B,2,0)</f>
        <v>UNIVERZAL</v>
      </c>
      <c r="H40" s="75">
        <v>35109</v>
      </c>
      <c r="I40" s="76" t="str">
        <f>VLOOKUP(Tabelle2[[#This Row],[Artikel]],Produkte!A:B,2,0)</f>
        <v>M-ONE Sanitar Silikon</v>
      </c>
      <c r="J40" s="75">
        <v>12</v>
      </c>
      <c r="K40" s="76" t="str">
        <f>VLOOKUP(Tabelle2[[#This Row],[Kunden Nr.]],KUNDEN!A:G,7)</f>
        <v>Qerimi</v>
      </c>
      <c r="L40" s="76">
        <f>VLOOKUP(Tabelle2[[#This Row],[Artikel]],Produkte!A:H,8)</f>
        <v>0.17</v>
      </c>
    </row>
    <row r="41" spans="1:12" x14ac:dyDescent="0.2">
      <c r="A41" s="75" t="s">
        <v>879</v>
      </c>
      <c r="B41" s="79">
        <v>46030</v>
      </c>
      <c r="C41" s="89">
        <v>56.2</v>
      </c>
      <c r="D41" s="75"/>
      <c r="E41" s="75"/>
      <c r="F41" s="75">
        <v>10430</v>
      </c>
      <c r="G41" s="76" t="str">
        <f>VLOOKUP(Tabelle2[[#This Row],[Kunden Nr.]],KUNDEN!A:B,2,0)</f>
        <v>EURO COM</v>
      </c>
      <c r="H41" s="75">
        <v>54412</v>
      </c>
      <c r="I41" s="76" t="str">
        <f>VLOOKUP(Tabelle2[[#This Row],[Artikel]],Produkte!A:B,2,0)</f>
        <v>beMAKER Bremsen&amp;Teile Reininger</v>
      </c>
      <c r="J41" s="75">
        <v>5</v>
      </c>
      <c r="K41" s="76" t="str">
        <f>VLOOKUP(Tabelle2[[#This Row],[Kunden Nr.]],KUNDEN!A:G,7)</f>
        <v>Qerimi</v>
      </c>
      <c r="L41" s="76">
        <f>VLOOKUP(Tabelle2[[#This Row],[Artikel]],Produkte!A:H,8)</f>
        <v>0.2</v>
      </c>
    </row>
    <row r="42" spans="1:12" x14ac:dyDescent="0.2">
      <c r="A42" s="75" t="s">
        <v>879</v>
      </c>
      <c r="B42" s="79">
        <v>46030</v>
      </c>
      <c r="C42" s="75"/>
      <c r="D42" s="75"/>
      <c r="E42" s="75"/>
      <c r="F42" s="75">
        <v>10430</v>
      </c>
      <c r="G42" s="76" t="str">
        <f>VLOOKUP(Tabelle2[[#This Row],[Kunden Nr.]],KUNDEN!A:B,2,0)</f>
        <v>EURO COM</v>
      </c>
      <c r="H42" s="75">
        <v>35109</v>
      </c>
      <c r="I42" s="76" t="str">
        <f>VLOOKUP(Tabelle2[[#This Row],[Artikel]],Produkte!A:B,2,0)</f>
        <v>M-ONE Sanitar Silikon</v>
      </c>
      <c r="J42" s="75">
        <v>12</v>
      </c>
      <c r="K42" s="76" t="str">
        <f>VLOOKUP(Tabelle2[[#This Row],[Kunden Nr.]],KUNDEN!A:G,7)</f>
        <v>Qerimi</v>
      </c>
      <c r="L42" s="76">
        <f>VLOOKUP(Tabelle2[[#This Row],[Artikel]],Produkte!A:H,8)</f>
        <v>0.17</v>
      </c>
    </row>
    <row r="43" spans="1:12" x14ac:dyDescent="0.2">
      <c r="A43" s="75" t="s">
        <v>903</v>
      </c>
      <c r="B43" s="79">
        <v>46030</v>
      </c>
      <c r="C43" s="89">
        <v>46.2</v>
      </c>
      <c r="D43" s="75"/>
      <c r="E43" s="75"/>
      <c r="F43" s="75">
        <v>10428</v>
      </c>
      <c r="G43" s="76" t="str">
        <f>VLOOKUP(Tabelle2[[#This Row],[Kunden Nr.]],KUNDEN!A:B,2,0)</f>
        <v>ENISI - H</v>
      </c>
      <c r="H43" s="75">
        <v>35125</v>
      </c>
      <c r="I43" s="76" t="str">
        <f>VLOOKUP(Tabelle2[[#This Row],[Artikel]],Produkte!A:B,2,0)</f>
        <v>M-ONE Sanitar Silikon</v>
      </c>
      <c r="J43" s="75">
        <v>12</v>
      </c>
      <c r="K43" s="76" t="str">
        <f>VLOOKUP(Tabelle2[[#This Row],[Kunden Nr.]],KUNDEN!A:G,7)</f>
        <v>Qerimi</v>
      </c>
      <c r="L43" s="76">
        <f>VLOOKUP(Tabelle2[[#This Row],[Artikel]],Produkte!A:H,8)</f>
        <v>0.17</v>
      </c>
    </row>
    <row r="44" spans="1:12" x14ac:dyDescent="0.2">
      <c r="A44" s="75" t="s">
        <v>552</v>
      </c>
      <c r="B44" s="79">
        <v>46030</v>
      </c>
      <c r="C44" s="89">
        <v>92.4</v>
      </c>
      <c r="D44" s="75"/>
      <c r="E44" s="75"/>
      <c r="F44" s="75">
        <v>10412</v>
      </c>
      <c r="G44" s="76" t="str">
        <f>VLOOKUP(Tabelle2[[#This Row],[Kunden Nr.]],KUNDEN!A:B,2,0)</f>
        <v>VISARI HH</v>
      </c>
      <c r="H44" s="75">
        <v>35112</v>
      </c>
      <c r="I44" s="76" t="str">
        <f>VLOOKUP(Tabelle2[[#This Row],[Artikel]],Produkte!A:B,2,0)</f>
        <v>M-ONE Sanitar Silikon</v>
      </c>
      <c r="J44" s="75">
        <v>12</v>
      </c>
      <c r="K44" s="76" t="str">
        <f>VLOOKUP(Tabelle2[[#This Row],[Kunden Nr.]],KUNDEN!A:G,7)</f>
        <v>Qerimi</v>
      </c>
      <c r="L44" s="76">
        <f>VLOOKUP(Tabelle2[[#This Row],[Artikel]],Produkte!A:H,8)</f>
        <v>0.17</v>
      </c>
    </row>
    <row r="45" spans="1:12" x14ac:dyDescent="0.2">
      <c r="A45" s="75" t="s">
        <v>552</v>
      </c>
      <c r="B45" s="79">
        <v>46030</v>
      </c>
      <c r="C45" s="75"/>
      <c r="D45" s="75"/>
      <c r="E45" s="75"/>
      <c r="F45" s="75">
        <v>10412</v>
      </c>
      <c r="G45" s="76" t="str">
        <f>VLOOKUP(Tabelle2[[#This Row],[Kunden Nr.]],KUNDEN!A:B,2,0)</f>
        <v>VISARI HH</v>
      </c>
      <c r="H45" s="75">
        <v>35111</v>
      </c>
      <c r="I45" s="76" t="str">
        <f>VLOOKUP(Tabelle2[[#This Row],[Artikel]],Produkte!A:B,2,0)</f>
        <v>M-ONE Sanitar Silikon</v>
      </c>
      <c r="J45" s="75">
        <v>12</v>
      </c>
      <c r="K45" s="76" t="str">
        <f>VLOOKUP(Tabelle2[[#This Row],[Kunden Nr.]],KUNDEN!A:G,7)</f>
        <v>Qerimi</v>
      </c>
      <c r="L45" s="76">
        <f>VLOOKUP(Tabelle2[[#This Row],[Artikel]],Produkte!A:H,8)</f>
        <v>0.17</v>
      </c>
    </row>
    <row r="46" spans="1:12" x14ac:dyDescent="0.2">
      <c r="A46" s="75" t="s">
        <v>546</v>
      </c>
      <c r="B46" s="79">
        <v>46030</v>
      </c>
      <c r="C46" s="89">
        <v>63.5</v>
      </c>
      <c r="D46" s="75"/>
      <c r="E46" s="75"/>
      <c r="F46" s="75">
        <v>10406</v>
      </c>
      <c r="G46" s="76" t="str">
        <f>VLOOKUP(Tabelle2[[#This Row],[Kunden Nr.]],KUNDEN!A:B,2,0)</f>
        <v>AGRONI</v>
      </c>
      <c r="H46" s="75">
        <v>50912</v>
      </c>
      <c r="I46" s="76" t="str">
        <f>VLOOKUP(Tabelle2[[#This Row],[Artikel]],Produkte!A:B,2,0)</f>
        <v>DICHTUNG</v>
      </c>
      <c r="J46" s="75">
        <v>5</v>
      </c>
      <c r="K46" s="76" t="str">
        <f>VLOOKUP(Tabelle2[[#This Row],[Kunden Nr.]],KUNDEN!A:G,7)</f>
        <v>Qerimi</v>
      </c>
      <c r="L46" s="76">
        <f>VLOOKUP(Tabelle2[[#This Row],[Artikel]],Produkte!A:H,8)</f>
        <v>0.2</v>
      </c>
    </row>
    <row r="47" spans="1:12" x14ac:dyDescent="0.2">
      <c r="A47" s="75" t="s">
        <v>546</v>
      </c>
      <c r="B47" s="79">
        <v>46030</v>
      </c>
      <c r="C47" s="75"/>
      <c r="D47" s="75"/>
      <c r="E47" s="75"/>
      <c r="F47" s="75">
        <v>10406</v>
      </c>
      <c r="G47" s="76" t="str">
        <f>VLOOKUP(Tabelle2[[#This Row],[Kunden Nr.]],KUNDEN!A:B,2,0)</f>
        <v>AGRONI</v>
      </c>
      <c r="H47" s="75">
        <v>49644</v>
      </c>
      <c r="I47" s="76" t="str">
        <f>VLOOKUP(Tabelle2[[#This Row],[Artikel]],Produkte!A:B,2,0)</f>
        <v>beMAKER Rostlöser</v>
      </c>
      <c r="J47" s="75">
        <v>5</v>
      </c>
      <c r="K47" s="76" t="str">
        <f>VLOOKUP(Tabelle2[[#This Row],[Kunden Nr.]],KUNDEN!A:G,7)</f>
        <v>Qerimi</v>
      </c>
      <c r="L47" s="76">
        <f>VLOOKUP(Tabelle2[[#This Row],[Artikel]],Produkte!A:H,8)</f>
        <v>0.2</v>
      </c>
    </row>
    <row r="48" spans="1:12" x14ac:dyDescent="0.2">
      <c r="A48" s="75" t="s">
        <v>546</v>
      </c>
      <c r="B48" s="79">
        <v>46030</v>
      </c>
      <c r="C48" s="75"/>
      <c r="D48" s="75"/>
      <c r="E48" s="75"/>
      <c r="F48" s="75">
        <v>10406</v>
      </c>
      <c r="G48" s="76" t="str">
        <f>VLOOKUP(Tabelle2[[#This Row],[Kunden Nr.]],KUNDEN!A:B,2,0)</f>
        <v>AGRONI</v>
      </c>
      <c r="H48" s="75">
        <v>44001</v>
      </c>
      <c r="I48" s="76" t="str">
        <f>VLOOKUP(Tabelle2[[#This Row],[Artikel]],Produkte!A:B,2,0)</f>
        <v>Fettspray</v>
      </c>
      <c r="J48" s="75">
        <v>5</v>
      </c>
      <c r="K48" s="76" t="str">
        <f>VLOOKUP(Tabelle2[[#This Row],[Kunden Nr.]],KUNDEN!A:G,7)</f>
        <v>Qerimi</v>
      </c>
      <c r="L48" s="76">
        <f>VLOOKUP(Tabelle2[[#This Row],[Artikel]],Produkte!A:H,8)</f>
        <v>0.2</v>
      </c>
    </row>
    <row r="49" spans="1:12" x14ac:dyDescent="0.2">
      <c r="A49" s="75" t="s">
        <v>491</v>
      </c>
      <c r="B49" s="79">
        <v>46031</v>
      </c>
      <c r="C49" s="89">
        <v>46.2</v>
      </c>
      <c r="D49" s="75"/>
      <c r="E49" s="75"/>
      <c r="F49" s="75">
        <v>10508</v>
      </c>
      <c r="G49" s="76" t="str">
        <f>VLOOKUP(Tabelle2[[#This Row],[Kunden Nr.]],KUNDEN!A:B,2,0)</f>
        <v>CARRALEVA 2</v>
      </c>
      <c r="H49" s="75">
        <v>35109</v>
      </c>
      <c r="I49" s="76" t="str">
        <f>VLOOKUP(Tabelle2[[#This Row],[Artikel]],Produkte!A:B,2,0)</f>
        <v>M-ONE Sanitar Silikon</v>
      </c>
      <c r="J49" s="75">
        <v>12</v>
      </c>
      <c r="K49" s="76" t="str">
        <f>VLOOKUP(Tabelle2[[#This Row],[Kunden Nr.]],KUNDEN!A:G,7)</f>
        <v>Qerimi</v>
      </c>
      <c r="L49" s="76">
        <f>VLOOKUP(Tabelle2[[#This Row],[Artikel]],Produkte!A:H,8)</f>
        <v>0.17</v>
      </c>
    </row>
    <row r="50" spans="1:12" x14ac:dyDescent="0.2">
      <c r="A50" s="75" t="s">
        <v>435</v>
      </c>
      <c r="B50" s="79">
        <v>46031</v>
      </c>
      <c r="C50" s="89">
        <v>68.5</v>
      </c>
      <c r="D50" s="75"/>
      <c r="E50" s="75"/>
      <c r="F50" s="75">
        <v>10509</v>
      </c>
      <c r="G50" s="76" t="str">
        <f>VLOOKUP(Tabelle2[[#This Row],[Kunden Nr.]],KUNDEN!A:B,2,0)</f>
        <v>LONI</v>
      </c>
      <c r="H50" s="75">
        <v>50912</v>
      </c>
      <c r="I50" s="76" t="str">
        <f>VLOOKUP(Tabelle2[[#This Row],[Artikel]],Produkte!A:B,2,0)</f>
        <v>DICHTUNG</v>
      </c>
      <c r="J50" s="75">
        <v>5</v>
      </c>
      <c r="K50" s="76" t="str">
        <f>VLOOKUP(Tabelle2[[#This Row],[Kunden Nr.]],KUNDEN!A:G,7)</f>
        <v>Qerimi</v>
      </c>
      <c r="L50" s="76">
        <f>VLOOKUP(Tabelle2[[#This Row],[Artikel]],Produkte!A:H,8)</f>
        <v>0.2</v>
      </c>
    </row>
    <row r="51" spans="1:12" x14ac:dyDescent="0.2">
      <c r="A51" s="75" t="s">
        <v>435</v>
      </c>
      <c r="B51" s="79">
        <v>46031</v>
      </c>
      <c r="C51" s="75"/>
      <c r="D51" s="75"/>
      <c r="E51" s="75"/>
      <c r="F51" s="75">
        <v>10509</v>
      </c>
      <c r="G51" s="76" t="str">
        <f>VLOOKUP(Tabelle2[[#This Row],[Kunden Nr.]],KUNDEN!A:B,2,0)</f>
        <v>LONI</v>
      </c>
      <c r="H51" s="75">
        <v>56117</v>
      </c>
      <c r="I51" s="76" t="str">
        <f>VLOOKUP(Tabelle2[[#This Row],[Artikel]],Produkte!A:B,2,0)</f>
        <v>M ONE UBS</v>
      </c>
      <c r="J51" s="75">
        <v>3</v>
      </c>
      <c r="K51" s="76" t="str">
        <f>VLOOKUP(Tabelle2[[#This Row],[Kunden Nr.]],KUNDEN!A:G,7)</f>
        <v>Qerimi</v>
      </c>
      <c r="L51" s="76">
        <f>VLOOKUP(Tabelle2[[#This Row],[Artikel]],Produkte!A:H,8)</f>
        <v>0.2</v>
      </c>
    </row>
    <row r="52" spans="1:12" x14ac:dyDescent="0.2">
      <c r="A52" s="75" t="s">
        <v>435</v>
      </c>
      <c r="B52" s="79">
        <v>46031</v>
      </c>
      <c r="C52" s="75"/>
      <c r="D52" s="75"/>
      <c r="E52" s="75"/>
      <c r="F52" s="75">
        <v>10509</v>
      </c>
      <c r="G52" s="76" t="str">
        <f>VLOOKUP(Tabelle2[[#This Row],[Kunden Nr.]],KUNDEN!A:B,2,0)</f>
        <v>LONI</v>
      </c>
      <c r="H52" s="75">
        <v>49644</v>
      </c>
      <c r="I52" s="76" t="str">
        <f>VLOOKUP(Tabelle2[[#This Row],[Artikel]],Produkte!A:B,2,0)</f>
        <v>beMAKER Rostlöser</v>
      </c>
      <c r="J52" s="75">
        <v>5</v>
      </c>
      <c r="K52" s="76" t="str">
        <f>VLOOKUP(Tabelle2[[#This Row],[Kunden Nr.]],KUNDEN!A:G,7)</f>
        <v>Qerimi</v>
      </c>
      <c r="L52" s="76">
        <f>VLOOKUP(Tabelle2[[#This Row],[Artikel]],Produkte!A:H,8)</f>
        <v>0.2</v>
      </c>
    </row>
    <row r="53" spans="1:12" x14ac:dyDescent="0.2">
      <c r="A53" s="75" t="s">
        <v>435</v>
      </c>
      <c r="B53" s="79">
        <v>46031</v>
      </c>
      <c r="C53" s="75"/>
      <c r="D53" s="75"/>
      <c r="E53" s="75"/>
      <c r="F53" s="75">
        <v>10509</v>
      </c>
      <c r="G53" s="76" t="str">
        <f>VLOOKUP(Tabelle2[[#This Row],[Kunden Nr.]],KUNDEN!A:B,2,0)</f>
        <v>LONI</v>
      </c>
      <c r="H53" s="75">
        <v>44001</v>
      </c>
      <c r="I53" s="76" t="str">
        <f>VLOOKUP(Tabelle2[[#This Row],[Artikel]],Produkte!A:B,2,0)</f>
        <v>Fettspray</v>
      </c>
      <c r="J53" s="75">
        <v>3</v>
      </c>
      <c r="K53" s="76" t="str">
        <f>VLOOKUP(Tabelle2[[#This Row],[Kunden Nr.]],KUNDEN!A:G,7)</f>
        <v>Qerimi</v>
      </c>
      <c r="L53" s="76">
        <f>VLOOKUP(Tabelle2[[#This Row],[Artikel]],Produkte!A:H,8)</f>
        <v>0.2</v>
      </c>
    </row>
    <row r="54" spans="1:12" x14ac:dyDescent="0.2">
      <c r="A54" s="75" t="s">
        <v>484</v>
      </c>
      <c r="B54" s="79">
        <v>46031</v>
      </c>
      <c r="C54" s="89">
        <v>120</v>
      </c>
      <c r="D54" s="75"/>
      <c r="E54" s="75"/>
      <c r="F54" s="75">
        <v>10504</v>
      </c>
      <c r="G54" s="76" t="str">
        <f>VLOOKUP(Tabelle2[[#This Row],[Kunden Nr.]],KUNDEN!A:B,2,0)</f>
        <v>CARRALEVA 1</v>
      </c>
      <c r="H54" s="75">
        <v>35109</v>
      </c>
      <c r="I54" s="76" t="str">
        <f>VLOOKUP(Tabelle2[[#This Row],[Artikel]],Produkte!A:B,2,0)</f>
        <v>M-ONE Sanitar Silikon</v>
      </c>
      <c r="J54" s="75">
        <v>24</v>
      </c>
      <c r="K54" s="76" t="str">
        <f>VLOOKUP(Tabelle2[[#This Row],[Kunden Nr.]],KUNDEN!A:G,7)</f>
        <v>Qerimi</v>
      </c>
      <c r="L54" s="76">
        <f>VLOOKUP(Tabelle2[[#This Row],[Artikel]],Produkte!A:H,8)</f>
        <v>0.17</v>
      </c>
    </row>
    <row r="55" spans="1:12" x14ac:dyDescent="0.2">
      <c r="A55" s="75" t="s">
        <v>484</v>
      </c>
      <c r="B55" s="79">
        <v>46031</v>
      </c>
      <c r="C55" s="75"/>
      <c r="D55" s="75"/>
      <c r="E55" s="75"/>
      <c r="F55" s="75">
        <v>10504</v>
      </c>
      <c r="G55" s="76" t="str">
        <f>VLOOKUP(Tabelle2[[#This Row],[Kunden Nr.]],KUNDEN!A:B,2,0)</f>
        <v>CARRALEVA 1</v>
      </c>
      <c r="H55" s="75">
        <v>51612</v>
      </c>
      <c r="I55" s="76" t="str">
        <f>VLOOKUP(Tabelle2[[#This Row],[Artikel]],Produkte!A:B,2,0)</f>
        <v>struktural akryl</v>
      </c>
      <c r="J55" s="75">
        <v>12</v>
      </c>
      <c r="K55" s="76" t="str">
        <f>VLOOKUP(Tabelle2[[#This Row],[Kunden Nr.]],KUNDEN!A:G,7)</f>
        <v>Qerimi</v>
      </c>
      <c r="L55" s="76">
        <f>VLOOKUP(Tabelle2[[#This Row],[Artikel]],Produkte!A:H,8)</f>
        <v>0.06</v>
      </c>
    </row>
    <row r="56" spans="1:12" x14ac:dyDescent="0.2">
      <c r="A56" s="75" t="s">
        <v>487</v>
      </c>
      <c r="B56" s="79">
        <v>46031</v>
      </c>
      <c r="C56" s="89">
        <v>92.4</v>
      </c>
      <c r="D56" s="75"/>
      <c r="E56" s="75"/>
      <c r="F56" s="75">
        <v>10507</v>
      </c>
      <c r="G56" s="76" t="str">
        <f>VLOOKUP(Tabelle2[[#This Row],[Kunden Nr.]],KUNDEN!A:B,2,0)</f>
        <v>REAL COLOR 2</v>
      </c>
      <c r="H56" s="75">
        <v>35112</v>
      </c>
      <c r="I56" s="76" t="str">
        <f>VLOOKUP(Tabelle2[[#This Row],[Artikel]],Produkte!A:B,2,0)</f>
        <v>M-ONE Sanitar Silikon</v>
      </c>
      <c r="J56" s="75">
        <v>12</v>
      </c>
      <c r="K56" s="76" t="str">
        <f>VLOOKUP(Tabelle2[[#This Row],[Kunden Nr.]],KUNDEN!A:G,7)</f>
        <v>Qerimi</v>
      </c>
      <c r="L56" s="76">
        <f>VLOOKUP(Tabelle2[[#This Row],[Artikel]],Produkte!A:H,8)</f>
        <v>0.17</v>
      </c>
    </row>
    <row r="57" spans="1:12" x14ac:dyDescent="0.2">
      <c r="A57" s="75" t="s">
        <v>487</v>
      </c>
      <c r="B57" s="79">
        <v>46031</v>
      </c>
      <c r="C57" s="75"/>
      <c r="D57" s="75"/>
      <c r="E57" s="75"/>
      <c r="F57" s="75">
        <v>10507</v>
      </c>
      <c r="G57" s="76" t="str">
        <f>VLOOKUP(Tabelle2[[#This Row],[Kunden Nr.]],KUNDEN!A:B,2,0)</f>
        <v>REAL COLOR 2</v>
      </c>
      <c r="H57" s="75">
        <v>35113</v>
      </c>
      <c r="I57" s="76" t="str">
        <f>VLOOKUP(Tabelle2[[#This Row],[Artikel]],Produkte!A:B,2,0)</f>
        <v>M-ONE Sanitar Silikon</v>
      </c>
      <c r="J57" s="75">
        <v>12</v>
      </c>
      <c r="K57" s="76" t="str">
        <f>VLOOKUP(Tabelle2[[#This Row],[Kunden Nr.]],KUNDEN!A:G,7)</f>
        <v>Qerimi</v>
      </c>
      <c r="L57" s="76">
        <f>VLOOKUP(Tabelle2[[#This Row],[Artikel]],Produkte!A:H,8)</f>
        <v>0.17</v>
      </c>
    </row>
    <row r="58" spans="1:12" x14ac:dyDescent="0.2">
      <c r="A58" s="75" t="s">
        <v>666</v>
      </c>
      <c r="B58" s="79">
        <v>46031</v>
      </c>
      <c r="C58" s="89">
        <v>99.5</v>
      </c>
      <c r="D58" s="75"/>
      <c r="E58" s="75"/>
      <c r="F58" s="75">
        <v>10529</v>
      </c>
      <c r="G58" s="76" t="str">
        <f>VLOOKUP(Tabelle2[[#This Row],[Kunden Nr.]],KUNDEN!A:B,2,0)</f>
        <v>ARDI LIPJAN</v>
      </c>
      <c r="H58" s="75">
        <v>50912</v>
      </c>
      <c r="I58" s="76" t="str">
        <f>VLOOKUP(Tabelle2[[#This Row],[Artikel]],Produkte!A:B,2,0)</f>
        <v>DICHTUNG</v>
      </c>
      <c r="J58" s="75">
        <v>10</v>
      </c>
      <c r="K58" s="76" t="str">
        <f>VLOOKUP(Tabelle2[[#This Row],[Kunden Nr.]],KUNDEN!A:G,7)</f>
        <v>Qerimi</v>
      </c>
      <c r="L58" s="76">
        <f>VLOOKUP(Tabelle2[[#This Row],[Artikel]],Produkte!A:H,8)</f>
        <v>0.2</v>
      </c>
    </row>
    <row r="59" spans="1:12" x14ac:dyDescent="0.2">
      <c r="A59" s="75" t="s">
        <v>666</v>
      </c>
      <c r="B59" s="79">
        <v>46031</v>
      </c>
      <c r="C59" s="75"/>
      <c r="D59" s="75"/>
      <c r="E59" s="75"/>
      <c r="F59" s="75">
        <v>10529</v>
      </c>
      <c r="G59" s="76" t="str">
        <f>VLOOKUP(Tabelle2[[#This Row],[Kunden Nr.]],KUNDEN!A:B,2,0)</f>
        <v>ARDI LIPJAN</v>
      </c>
      <c r="H59" s="75">
        <v>49644</v>
      </c>
      <c r="I59" s="76" t="str">
        <f>VLOOKUP(Tabelle2[[#This Row],[Artikel]],Produkte!A:B,2,0)</f>
        <v>beMAKER Rostlöser</v>
      </c>
      <c r="J59" s="75">
        <v>5</v>
      </c>
      <c r="K59" s="76" t="str">
        <f>VLOOKUP(Tabelle2[[#This Row],[Kunden Nr.]],KUNDEN!A:G,7)</f>
        <v>Qerimi</v>
      </c>
      <c r="L59" s="76">
        <f>VLOOKUP(Tabelle2[[#This Row],[Artikel]],Produkte!A:H,8)</f>
        <v>0.2</v>
      </c>
    </row>
    <row r="60" spans="1:12" x14ac:dyDescent="0.2">
      <c r="A60" s="75" t="s">
        <v>666</v>
      </c>
      <c r="B60" s="79">
        <v>46031</v>
      </c>
      <c r="C60" s="75"/>
      <c r="D60" s="75"/>
      <c r="E60" s="75"/>
      <c r="F60" s="75">
        <v>10529</v>
      </c>
      <c r="G60" s="76" t="str">
        <f>VLOOKUP(Tabelle2[[#This Row],[Kunden Nr.]],KUNDEN!A:B,2,0)</f>
        <v>ARDI LIPJAN</v>
      </c>
      <c r="H60" s="75">
        <v>55718</v>
      </c>
      <c r="I60" s="76" t="str">
        <f>VLOOKUP(Tabelle2[[#This Row],[Artikel]],Produkte!A:B,2,0)</f>
        <v>M ONE MOTORSTART</v>
      </c>
      <c r="J60" s="75">
        <v>5</v>
      </c>
      <c r="K60" s="76" t="str">
        <f>VLOOKUP(Tabelle2[[#This Row],[Kunden Nr.]],KUNDEN!A:G,7)</f>
        <v>Qerimi</v>
      </c>
      <c r="L60" s="76">
        <f>VLOOKUP(Tabelle2[[#This Row],[Artikel]],Produkte!A:H,8)</f>
        <v>0.2</v>
      </c>
    </row>
    <row r="61" spans="1:12" x14ac:dyDescent="0.2">
      <c r="A61" s="75" t="s">
        <v>453</v>
      </c>
      <c r="B61" s="79">
        <v>46031</v>
      </c>
      <c r="C61" s="89">
        <v>162</v>
      </c>
      <c r="D61" s="75"/>
      <c r="E61" s="75"/>
      <c r="F61" s="75">
        <v>20501</v>
      </c>
      <c r="G61" s="76" t="str">
        <f>VLOOKUP(Tabelle2[[#This Row],[Kunden Nr.]],KUNDEN!A:B,2,0)</f>
        <v>RACI</v>
      </c>
      <c r="H61" s="75">
        <v>66701</v>
      </c>
      <c r="I61" s="76" t="str">
        <f>VLOOKUP(Tabelle2[[#This Row],[Artikel]],Produkte!A:B,2,0)</f>
        <v>PROFIMONT EXTREME</v>
      </c>
      <c r="J61" s="75">
        <v>12</v>
      </c>
      <c r="K61" s="76" t="str">
        <f>VLOOKUP(Tabelle2[[#This Row],[Kunden Nr.]],KUNDEN!A:G,7)</f>
        <v>Mensuri</v>
      </c>
      <c r="L61" s="76">
        <f>VLOOKUP(Tabelle2[[#This Row],[Artikel]],Produkte!A:H,8)</f>
        <v>0.2</v>
      </c>
    </row>
    <row r="62" spans="1:12" x14ac:dyDescent="0.2">
      <c r="A62" s="75" t="s">
        <v>453</v>
      </c>
      <c r="B62" s="79">
        <v>46031</v>
      </c>
      <c r="C62" s="75"/>
      <c r="D62" s="75"/>
      <c r="E62" s="75"/>
      <c r="F62" s="75">
        <v>20501</v>
      </c>
      <c r="G62" s="76" t="str">
        <f>VLOOKUP(Tabelle2[[#This Row],[Kunden Nr.]],KUNDEN!A:B,2,0)</f>
        <v>RACI</v>
      </c>
      <c r="H62" s="75">
        <v>35111</v>
      </c>
      <c r="I62" s="76" t="str">
        <f>VLOOKUP(Tabelle2[[#This Row],[Artikel]],Produkte!A:B,2,0)</f>
        <v>M-ONE Sanitar Silikon</v>
      </c>
      <c r="J62" s="75">
        <v>12</v>
      </c>
      <c r="K62" s="76" t="str">
        <f>VLOOKUP(Tabelle2[[#This Row],[Kunden Nr.]],KUNDEN!A:G,7)</f>
        <v>Mensuri</v>
      </c>
      <c r="L62" s="76">
        <f>VLOOKUP(Tabelle2[[#This Row],[Artikel]],Produkte!A:H,8)</f>
        <v>0.17</v>
      </c>
    </row>
    <row r="63" spans="1:12" x14ac:dyDescent="0.2">
      <c r="A63" s="75" t="s">
        <v>453</v>
      </c>
      <c r="B63" s="79">
        <v>46031</v>
      </c>
      <c r="C63" s="75"/>
      <c r="D63" s="75"/>
      <c r="E63" s="75"/>
      <c r="F63" s="75">
        <v>20501</v>
      </c>
      <c r="G63" s="76" t="str">
        <f>VLOOKUP(Tabelle2[[#This Row],[Kunden Nr.]],KUNDEN!A:B,2,0)</f>
        <v>RACI</v>
      </c>
      <c r="H63" s="75">
        <v>35113</v>
      </c>
      <c r="I63" s="76" t="str">
        <f>VLOOKUP(Tabelle2[[#This Row],[Artikel]],Produkte!A:B,2,0)</f>
        <v>M-ONE Sanitar Silikon</v>
      </c>
      <c r="J63" s="75">
        <v>12</v>
      </c>
      <c r="K63" s="76" t="str">
        <f>VLOOKUP(Tabelle2[[#This Row],[Kunden Nr.]],KUNDEN!A:G,7)</f>
        <v>Mensuri</v>
      </c>
      <c r="L63" s="76">
        <f>VLOOKUP(Tabelle2[[#This Row],[Artikel]],Produkte!A:H,8)</f>
        <v>0.17</v>
      </c>
    </row>
    <row r="64" spans="1:12" x14ac:dyDescent="0.2">
      <c r="A64" s="75" t="s">
        <v>454</v>
      </c>
      <c r="B64" s="79">
        <v>46031</v>
      </c>
      <c r="C64" s="89">
        <v>73.8</v>
      </c>
      <c r="D64" s="75"/>
      <c r="E64" s="75"/>
      <c r="F64" s="75">
        <v>20502</v>
      </c>
      <c r="G64" s="76" t="str">
        <f>VLOOKUP(Tabelle2[[#This Row],[Kunden Nr.]],KUNDEN!A:B,2,0)</f>
        <v>HOXHA</v>
      </c>
      <c r="H64" s="75">
        <v>35109</v>
      </c>
      <c r="I64" s="76" t="str">
        <f>VLOOKUP(Tabelle2[[#This Row],[Artikel]],Produkte!A:B,2,0)</f>
        <v>M-ONE Sanitar Silikon</v>
      </c>
      <c r="J64" s="75">
        <v>12</v>
      </c>
      <c r="K64" s="76" t="str">
        <f>VLOOKUP(Tabelle2[[#This Row],[Kunden Nr.]],KUNDEN!A:G,7)</f>
        <v>Mensuri</v>
      </c>
      <c r="L64" s="76">
        <f>VLOOKUP(Tabelle2[[#This Row],[Artikel]],Produkte!A:H,8)</f>
        <v>0.17</v>
      </c>
    </row>
    <row r="65" spans="1:12" x14ac:dyDescent="0.2">
      <c r="A65" s="75" t="s">
        <v>454</v>
      </c>
      <c r="B65" s="79">
        <v>46031</v>
      </c>
      <c r="C65" s="75"/>
      <c r="D65" s="75"/>
      <c r="E65" s="75"/>
      <c r="F65" s="75">
        <v>20502</v>
      </c>
      <c r="G65" s="76" t="str">
        <f>VLOOKUP(Tabelle2[[#This Row],[Kunden Nr.]],KUNDEN!A:B,2,0)</f>
        <v>HOXHA</v>
      </c>
      <c r="H65" s="75">
        <v>51612</v>
      </c>
      <c r="I65" s="76" t="str">
        <f>VLOOKUP(Tabelle2[[#This Row],[Artikel]],Produkte!A:B,2,0)</f>
        <v>struktural akryl</v>
      </c>
      <c r="J65" s="75">
        <v>12</v>
      </c>
      <c r="K65" s="76" t="str">
        <f>VLOOKUP(Tabelle2[[#This Row],[Kunden Nr.]],KUNDEN!A:G,7)</f>
        <v>Mensuri</v>
      </c>
      <c r="L65" s="76">
        <f>VLOOKUP(Tabelle2[[#This Row],[Artikel]],Produkte!A:H,8)</f>
        <v>0.06</v>
      </c>
    </row>
    <row r="66" spans="1:12" x14ac:dyDescent="0.2">
      <c r="A66" s="75" t="s">
        <v>1258</v>
      </c>
      <c r="B66" s="79">
        <v>46031</v>
      </c>
      <c r="C66" s="89">
        <v>92.4</v>
      </c>
      <c r="D66" s="75"/>
      <c r="E66" s="75"/>
      <c r="F66" s="75">
        <v>20511</v>
      </c>
      <c r="G66" s="76" t="str">
        <f>VLOOKUP(Tabelle2[[#This Row],[Kunden Nr.]],KUNDEN!A:B,2,0)</f>
        <v>LIRIDONA KLINE</v>
      </c>
      <c r="H66" s="75">
        <v>35109</v>
      </c>
      <c r="I66" s="76" t="str">
        <f>VLOOKUP(Tabelle2[[#This Row],[Artikel]],Produkte!A:B,2,0)</f>
        <v>M-ONE Sanitar Silikon</v>
      </c>
      <c r="J66" s="75">
        <v>24</v>
      </c>
      <c r="K66" s="76" t="str">
        <f>VLOOKUP(Tabelle2[[#This Row],[Kunden Nr.]],KUNDEN!A:G,7)</f>
        <v>Mensuri</v>
      </c>
      <c r="L66" s="76">
        <f>VLOOKUP(Tabelle2[[#This Row],[Artikel]],Produkte!A:H,8)</f>
        <v>0.17</v>
      </c>
    </row>
    <row r="67" spans="1:12" x14ac:dyDescent="0.2">
      <c r="A67" s="75" t="s">
        <v>461</v>
      </c>
      <c r="B67" s="79">
        <v>46031</v>
      </c>
      <c r="C67" s="89">
        <v>106.4</v>
      </c>
      <c r="D67" s="75"/>
      <c r="E67" s="75"/>
      <c r="F67" s="75">
        <v>20513</v>
      </c>
      <c r="G67" s="76" t="str">
        <f>VLOOKUP(Tabelle2[[#This Row],[Kunden Nr.]],KUNDEN!A:B,2,0)</f>
        <v>BERATI A.P. (1)</v>
      </c>
      <c r="H67" s="75">
        <v>50912</v>
      </c>
      <c r="I67" s="76" t="str">
        <f>VLOOKUP(Tabelle2[[#This Row],[Artikel]],Produkte!A:B,2,0)</f>
        <v>DICHTUNG</v>
      </c>
      <c r="J67" s="75">
        <v>12</v>
      </c>
      <c r="K67" s="76" t="str">
        <f>VLOOKUP(Tabelle2[[#This Row],[Kunden Nr.]],KUNDEN!A:G,7)</f>
        <v>Mensuri</v>
      </c>
      <c r="L67" s="76">
        <f>VLOOKUP(Tabelle2[[#This Row],[Artikel]],Produkte!A:H,8)</f>
        <v>0.2</v>
      </c>
    </row>
    <row r="68" spans="1:12" x14ac:dyDescent="0.2">
      <c r="A68" s="75" t="s">
        <v>461</v>
      </c>
      <c r="B68" s="79">
        <v>46031</v>
      </c>
      <c r="C68" s="75"/>
      <c r="D68" s="75"/>
      <c r="E68" s="75"/>
      <c r="F68" s="75">
        <v>20513</v>
      </c>
      <c r="G68" s="76" t="str">
        <f>VLOOKUP(Tabelle2[[#This Row],[Kunden Nr.]],KUNDEN!A:B,2,0)</f>
        <v>BERATI A.P. (1)</v>
      </c>
      <c r="H68" s="75">
        <v>56117</v>
      </c>
      <c r="I68" s="76" t="str">
        <f>VLOOKUP(Tabelle2[[#This Row],[Artikel]],Produkte!A:B,2,0)</f>
        <v>M ONE UBS</v>
      </c>
      <c r="J68" s="75">
        <v>5</v>
      </c>
      <c r="K68" s="76" t="str">
        <f>VLOOKUP(Tabelle2[[#This Row],[Kunden Nr.]],KUNDEN!A:G,7)</f>
        <v>Mensuri</v>
      </c>
      <c r="L68" s="76">
        <f>VLOOKUP(Tabelle2[[#This Row],[Artikel]],Produkte!A:H,8)</f>
        <v>0.2</v>
      </c>
    </row>
    <row r="69" spans="1:12" x14ac:dyDescent="0.2">
      <c r="A69" s="75" t="s">
        <v>52</v>
      </c>
      <c r="B69" s="79">
        <v>46031</v>
      </c>
      <c r="C69" s="89">
        <v>58</v>
      </c>
      <c r="D69" s="75"/>
      <c r="E69" s="75"/>
      <c r="F69" s="75">
        <v>20409</v>
      </c>
      <c r="G69" s="76" t="str">
        <f>VLOOKUP(Tabelle2[[#This Row],[Kunden Nr.]],KUNDEN!A:B,2,0)</f>
        <v>BENI</v>
      </c>
      <c r="H69" s="75">
        <v>55718</v>
      </c>
      <c r="I69" s="76" t="str">
        <f>VLOOKUP(Tabelle2[[#This Row],[Artikel]],Produkte!A:B,2,0)</f>
        <v>M ONE MOTORSTART</v>
      </c>
      <c r="J69" s="75">
        <v>12</v>
      </c>
      <c r="K69" s="76" t="str">
        <f>VLOOKUP(Tabelle2[[#This Row],[Kunden Nr.]],KUNDEN!A:G,7)</f>
        <v>Mensuri</v>
      </c>
      <c r="L69" s="76">
        <f>VLOOKUP(Tabelle2[[#This Row],[Artikel]],Produkte!A:H,8)</f>
        <v>0.2</v>
      </c>
    </row>
    <row r="70" spans="1:12" x14ac:dyDescent="0.2">
      <c r="A70" s="75" t="s">
        <v>52</v>
      </c>
      <c r="B70" s="79">
        <v>46031</v>
      </c>
      <c r="C70" s="75"/>
      <c r="D70" s="75"/>
      <c r="E70" s="75"/>
      <c r="F70" s="75">
        <v>20409</v>
      </c>
      <c r="G70" s="76" t="str">
        <f>VLOOKUP(Tabelle2[[#This Row],[Kunden Nr.]],KUNDEN!A:B,2,0)</f>
        <v>BENI</v>
      </c>
      <c r="H70" s="75">
        <v>50912</v>
      </c>
      <c r="I70" s="76" t="str">
        <f>VLOOKUP(Tabelle2[[#This Row],[Artikel]],Produkte!A:B,2,0)</f>
        <v>DICHTUNG</v>
      </c>
      <c r="J70" s="75">
        <v>2</v>
      </c>
      <c r="K70" s="76" t="str">
        <f>VLOOKUP(Tabelle2[[#This Row],[Kunden Nr.]],KUNDEN!A:G,7)</f>
        <v>Mensuri</v>
      </c>
      <c r="L70" s="76">
        <f>VLOOKUP(Tabelle2[[#This Row],[Artikel]],Produkte!A:H,8)</f>
        <v>0.2</v>
      </c>
    </row>
    <row r="71" spans="1:12" x14ac:dyDescent="0.2">
      <c r="A71" s="75" t="s">
        <v>59</v>
      </c>
      <c r="B71" s="79">
        <v>46031</v>
      </c>
      <c r="C71" s="89">
        <v>45</v>
      </c>
      <c r="D71" s="75"/>
      <c r="E71" s="75"/>
      <c r="F71" s="75">
        <v>20406</v>
      </c>
      <c r="G71" s="76" t="str">
        <f>VLOOKUP(Tabelle2[[#This Row],[Kunden Nr.]],KUNDEN!A:B,2,0)</f>
        <v>MEGI</v>
      </c>
      <c r="H71" s="75">
        <v>49644</v>
      </c>
      <c r="I71" s="76" t="str">
        <f>VLOOKUP(Tabelle2[[#This Row],[Artikel]],Produkte!A:B,2,0)</f>
        <v>beMAKER Rostlöser</v>
      </c>
      <c r="J71" s="75">
        <v>12</v>
      </c>
      <c r="K71" s="76" t="str">
        <f>VLOOKUP(Tabelle2[[#This Row],[Kunden Nr.]],KUNDEN!A:G,7)</f>
        <v>Mensuri</v>
      </c>
      <c r="L71" s="76">
        <f>VLOOKUP(Tabelle2[[#This Row],[Artikel]],Produkte!A:H,8)</f>
        <v>0.2</v>
      </c>
    </row>
    <row r="72" spans="1:12" x14ac:dyDescent="0.2">
      <c r="A72" s="75" t="s">
        <v>59</v>
      </c>
      <c r="B72" s="79">
        <v>46031</v>
      </c>
      <c r="C72" s="75"/>
      <c r="D72" s="75"/>
      <c r="E72" s="75"/>
      <c r="F72" s="75">
        <v>20406</v>
      </c>
      <c r="G72" s="76" t="str">
        <f>VLOOKUP(Tabelle2[[#This Row],[Kunden Nr.]],KUNDEN!A:B,2,0)</f>
        <v>MEGI</v>
      </c>
      <c r="H72" s="75">
        <v>55718</v>
      </c>
      <c r="I72" s="76" t="str">
        <f>VLOOKUP(Tabelle2[[#This Row],[Artikel]],Produkte!A:B,2,0)</f>
        <v>M ONE MOTORSTART</v>
      </c>
      <c r="J72" s="75">
        <v>6</v>
      </c>
      <c r="K72" s="76" t="str">
        <f>VLOOKUP(Tabelle2[[#This Row],[Kunden Nr.]],KUNDEN!A:G,7)</f>
        <v>Mensuri</v>
      </c>
      <c r="L72" s="76">
        <f>VLOOKUP(Tabelle2[[#This Row],[Artikel]],Produkte!A:H,8)</f>
        <v>0.2</v>
      </c>
    </row>
    <row r="73" spans="1:12" x14ac:dyDescent="0.2">
      <c r="A73" s="75" t="s">
        <v>1230</v>
      </c>
      <c r="B73" s="79">
        <v>46032</v>
      </c>
      <c r="C73" s="89">
        <v>92.4</v>
      </c>
      <c r="D73" s="75"/>
      <c r="E73" s="75"/>
      <c r="F73" s="75">
        <v>10636</v>
      </c>
      <c r="G73" s="76" t="e">
        <f>VLOOKUP(Tabelle2[[#This Row],[Kunden Nr.]],KUNDEN!A:B,2,0)</f>
        <v>#N/A</v>
      </c>
      <c r="H73" s="75">
        <v>35109</v>
      </c>
      <c r="I73" s="76" t="str">
        <f>VLOOKUP(Tabelle2[[#This Row],[Artikel]],Produkte!A:B,2,0)</f>
        <v>M-ONE Sanitar Silikon</v>
      </c>
      <c r="J73" s="75">
        <v>12</v>
      </c>
      <c r="K73" s="76" t="str">
        <f>VLOOKUP(Tabelle2[[#This Row],[Kunden Nr.]],KUNDEN!A:G,7)</f>
        <v>Qerimi</v>
      </c>
      <c r="L73" s="76">
        <f>VLOOKUP(Tabelle2[[#This Row],[Artikel]],Produkte!A:H,8)</f>
        <v>0.17</v>
      </c>
    </row>
    <row r="74" spans="1:12" x14ac:dyDescent="0.2">
      <c r="A74" s="75" t="s">
        <v>1230</v>
      </c>
      <c r="B74" s="79">
        <v>46032</v>
      </c>
      <c r="C74" s="75"/>
      <c r="D74" s="75"/>
      <c r="E74" s="75"/>
      <c r="F74" s="75">
        <v>10636</v>
      </c>
      <c r="G74" s="76" t="e">
        <f>VLOOKUP(Tabelle2[[#This Row],[Kunden Nr.]],KUNDEN!A:B,2,0)</f>
        <v>#N/A</v>
      </c>
      <c r="H74" s="75">
        <v>35110</v>
      </c>
      <c r="I74" s="76" t="str">
        <f>VLOOKUP(Tabelle2[[#This Row],[Artikel]],Produkte!A:B,2,0)</f>
        <v>M-ONE Sanitar Silikon</v>
      </c>
      <c r="J74" s="75">
        <v>12</v>
      </c>
      <c r="K74" s="76" t="str">
        <f>VLOOKUP(Tabelle2[[#This Row],[Kunden Nr.]],KUNDEN!A:G,7)</f>
        <v>Qerimi</v>
      </c>
      <c r="L74" s="76">
        <f>VLOOKUP(Tabelle2[[#This Row],[Artikel]],Produkte!A:H,8)</f>
        <v>0.17</v>
      </c>
    </row>
    <row r="75" spans="1:12" x14ac:dyDescent="0.2">
      <c r="A75" s="75" t="s">
        <v>597</v>
      </c>
      <c r="B75" s="79">
        <v>46032</v>
      </c>
      <c r="C75" s="89">
        <v>31</v>
      </c>
      <c r="D75" s="75"/>
      <c r="E75" s="75"/>
      <c r="F75" s="75">
        <v>10605</v>
      </c>
      <c r="G75" s="76" t="str">
        <f>VLOOKUP(Tabelle2[[#This Row],[Kunden Nr.]],KUNDEN!A:B,2,0)</f>
        <v>SABITI</v>
      </c>
      <c r="H75" s="75">
        <v>54412</v>
      </c>
      <c r="I75" s="76" t="str">
        <f>VLOOKUP(Tabelle2[[#This Row],[Artikel]],Produkte!A:B,2,0)</f>
        <v>beMAKER Bremsen&amp;Teile Reininger</v>
      </c>
      <c r="J75" s="75">
        <v>5</v>
      </c>
      <c r="K75" s="76" t="str">
        <f>VLOOKUP(Tabelle2[[#This Row],[Kunden Nr.]],KUNDEN!A:G,7)</f>
        <v>Qerimi</v>
      </c>
      <c r="L75" s="76">
        <f>VLOOKUP(Tabelle2[[#This Row],[Artikel]],Produkte!A:H,8)</f>
        <v>0.2</v>
      </c>
    </row>
    <row r="76" spans="1:12" x14ac:dyDescent="0.2">
      <c r="A76" s="75" t="s">
        <v>597</v>
      </c>
      <c r="B76" s="79">
        <v>46032</v>
      </c>
      <c r="C76" s="75"/>
      <c r="D76" s="75"/>
      <c r="E76" s="75"/>
      <c r="F76" s="75">
        <v>10605</v>
      </c>
      <c r="G76" s="76" t="str">
        <f>VLOOKUP(Tabelle2[[#This Row],[Kunden Nr.]],KUNDEN!A:B,2,0)</f>
        <v>SABITI</v>
      </c>
      <c r="H76" s="75">
        <v>44001</v>
      </c>
      <c r="I76" s="76" t="str">
        <f>VLOOKUP(Tabelle2[[#This Row],[Artikel]],Produkte!A:B,2,0)</f>
        <v>Fettspray</v>
      </c>
      <c r="J76" s="75">
        <v>6</v>
      </c>
      <c r="K76" s="76" t="str">
        <f>VLOOKUP(Tabelle2[[#This Row],[Kunden Nr.]],KUNDEN!A:G,7)</f>
        <v>Qerimi</v>
      </c>
      <c r="L76" s="76">
        <f>VLOOKUP(Tabelle2[[#This Row],[Artikel]],Produkte!A:H,8)</f>
        <v>0.2</v>
      </c>
    </row>
    <row r="77" spans="1:12" x14ac:dyDescent="0.2">
      <c r="A77" s="75" t="s">
        <v>837</v>
      </c>
      <c r="B77" s="79">
        <v>46032</v>
      </c>
      <c r="C77" s="89">
        <v>138.6</v>
      </c>
      <c r="D77" s="75"/>
      <c r="E77" s="75"/>
      <c r="F77" s="75">
        <v>10625</v>
      </c>
      <c r="G77" s="76" t="str">
        <f>VLOOKUP(Tabelle2[[#This Row],[Kunden Nr.]],KUNDEN!A:B,2,0)</f>
        <v>KUJTA</v>
      </c>
      <c r="H77" s="75">
        <v>35113</v>
      </c>
      <c r="I77" s="76" t="str">
        <f>VLOOKUP(Tabelle2[[#This Row],[Artikel]],Produkte!A:B,2,0)</f>
        <v>M-ONE Sanitar Silikon</v>
      </c>
      <c r="J77" s="75">
        <v>12</v>
      </c>
      <c r="K77" s="76" t="str">
        <f>VLOOKUP(Tabelle2[[#This Row],[Kunden Nr.]],KUNDEN!A:G,7)</f>
        <v>Qerimi</v>
      </c>
      <c r="L77" s="76">
        <f>VLOOKUP(Tabelle2[[#This Row],[Artikel]],Produkte!A:H,8)</f>
        <v>0.17</v>
      </c>
    </row>
    <row r="78" spans="1:12" x14ac:dyDescent="0.2">
      <c r="A78" s="75" t="s">
        <v>837</v>
      </c>
      <c r="B78" s="79">
        <v>46032</v>
      </c>
      <c r="C78" s="75"/>
      <c r="D78" s="75"/>
      <c r="E78" s="75"/>
      <c r="F78" s="75">
        <v>10625</v>
      </c>
      <c r="G78" s="76" t="str">
        <f>VLOOKUP(Tabelle2[[#This Row],[Kunden Nr.]],KUNDEN!A:B,2,0)</f>
        <v>KUJTA</v>
      </c>
      <c r="H78" s="75">
        <v>35121</v>
      </c>
      <c r="I78" s="76" t="str">
        <f>VLOOKUP(Tabelle2[[#This Row],[Artikel]],Produkte!A:B,2,0)</f>
        <v>M-ONE Sanitar Silikon</v>
      </c>
      <c r="J78" s="75">
        <v>12</v>
      </c>
      <c r="K78" s="76" t="str">
        <f>VLOOKUP(Tabelle2[[#This Row],[Kunden Nr.]],KUNDEN!A:G,7)</f>
        <v>Qerimi</v>
      </c>
      <c r="L78" s="76">
        <f>VLOOKUP(Tabelle2[[#This Row],[Artikel]],Produkte!A:H,8)</f>
        <v>0.17</v>
      </c>
    </row>
    <row r="79" spans="1:12" x14ac:dyDescent="0.2">
      <c r="A79" s="75" t="s">
        <v>837</v>
      </c>
      <c r="B79" s="79">
        <v>46032</v>
      </c>
      <c r="C79" s="75"/>
      <c r="D79" s="75"/>
      <c r="E79" s="75"/>
      <c r="F79" s="75">
        <v>10625</v>
      </c>
      <c r="G79" s="76" t="str">
        <f>VLOOKUP(Tabelle2[[#This Row],[Kunden Nr.]],KUNDEN!A:B,2,0)</f>
        <v>KUJTA</v>
      </c>
      <c r="H79" s="75">
        <v>35125</v>
      </c>
      <c r="I79" s="76" t="str">
        <f>VLOOKUP(Tabelle2[[#This Row],[Artikel]],Produkte!A:B,2,0)</f>
        <v>M-ONE Sanitar Silikon</v>
      </c>
      <c r="J79" s="75">
        <v>12</v>
      </c>
      <c r="K79" s="76" t="str">
        <f>VLOOKUP(Tabelle2[[#This Row],[Kunden Nr.]],KUNDEN!A:G,7)</f>
        <v>Qerimi</v>
      </c>
      <c r="L79" s="76">
        <f>VLOOKUP(Tabelle2[[#This Row],[Artikel]],Produkte!A:H,8)</f>
        <v>0.17</v>
      </c>
    </row>
    <row r="80" spans="1:12" x14ac:dyDescent="0.2">
      <c r="A80" s="75" t="s">
        <v>611</v>
      </c>
      <c r="B80" s="79">
        <v>46032</v>
      </c>
      <c r="C80" s="89">
        <v>28.5</v>
      </c>
      <c r="D80" s="75"/>
      <c r="E80" s="75"/>
      <c r="F80" s="75">
        <v>10619</v>
      </c>
      <c r="G80" s="76" t="str">
        <f>VLOOKUP(Tabelle2[[#This Row],[Kunden Nr.]],KUNDEN!A:B,2,0)</f>
        <v>BECOLOR</v>
      </c>
      <c r="H80" s="75">
        <v>56117</v>
      </c>
      <c r="I80" s="76" t="str">
        <f>VLOOKUP(Tabelle2[[#This Row],[Artikel]],Produkte!A:B,2,0)</f>
        <v>M ONE UBS</v>
      </c>
      <c r="J80" s="75">
        <v>3</v>
      </c>
      <c r="K80" s="76" t="str">
        <f>VLOOKUP(Tabelle2[[#This Row],[Kunden Nr.]],KUNDEN!A:G,7)</f>
        <v>Qerimi</v>
      </c>
      <c r="L80" s="76">
        <f>VLOOKUP(Tabelle2[[#This Row],[Artikel]],Produkte!A:H,8)</f>
        <v>0.2</v>
      </c>
    </row>
    <row r="81" spans="1:12" x14ac:dyDescent="0.2">
      <c r="A81" s="75" t="s">
        <v>611</v>
      </c>
      <c r="B81" s="79">
        <v>46032</v>
      </c>
      <c r="C81" s="75"/>
      <c r="D81" s="75"/>
      <c r="E81" s="75"/>
      <c r="F81" s="75">
        <v>10619</v>
      </c>
      <c r="G81" s="76" t="str">
        <f>VLOOKUP(Tabelle2[[#This Row],[Kunden Nr.]],KUNDEN!A:B,2,0)</f>
        <v>BECOLOR</v>
      </c>
      <c r="H81" s="75">
        <v>38136</v>
      </c>
      <c r="I81" s="76" t="str">
        <f>VLOOKUP(Tabelle2[[#This Row],[Artikel]],Produkte!A:B,2,0)</f>
        <v>M ONE KLARLACK</v>
      </c>
      <c r="J81" s="75">
        <v>3</v>
      </c>
      <c r="K81" s="76" t="str">
        <f>VLOOKUP(Tabelle2[[#This Row],[Kunden Nr.]],KUNDEN!A:G,7)</f>
        <v>Qerimi</v>
      </c>
      <c r="L81" s="76">
        <f>VLOOKUP(Tabelle2[[#This Row],[Artikel]],Produkte!A:H,8)</f>
        <v>0.15</v>
      </c>
    </row>
    <row r="82" spans="1:12" x14ac:dyDescent="0.2">
      <c r="A82" s="75" t="s">
        <v>611</v>
      </c>
      <c r="B82" s="79">
        <v>46032</v>
      </c>
      <c r="C82" s="75"/>
      <c r="D82" s="75"/>
      <c r="E82" s="75"/>
      <c r="F82" s="75">
        <v>10619</v>
      </c>
      <c r="G82" s="76" t="str">
        <f>VLOOKUP(Tabelle2[[#This Row],[Kunden Nr.]],KUNDEN!A:B,2,0)</f>
        <v>BECOLOR</v>
      </c>
      <c r="H82" s="75">
        <v>49644</v>
      </c>
      <c r="I82" s="76" t="str">
        <f>VLOOKUP(Tabelle2[[#This Row],[Artikel]],Produkte!A:B,2,0)</f>
        <v>beMAKER Rostlöser</v>
      </c>
      <c r="J82" s="75">
        <v>6</v>
      </c>
      <c r="K82" s="76" t="str">
        <f>VLOOKUP(Tabelle2[[#This Row],[Kunden Nr.]],KUNDEN!A:G,7)</f>
        <v>Qerimi</v>
      </c>
      <c r="L82" s="76">
        <f>VLOOKUP(Tabelle2[[#This Row],[Artikel]],Produkte!A:H,8)</f>
        <v>0.2</v>
      </c>
    </row>
    <row r="83" spans="1:12" x14ac:dyDescent="0.2">
      <c r="A83" s="75" t="s">
        <v>609</v>
      </c>
      <c r="B83" s="79">
        <v>46032</v>
      </c>
      <c r="C83" s="89">
        <v>46.2</v>
      </c>
      <c r="D83" s="75"/>
      <c r="E83" s="75"/>
      <c r="F83" s="75">
        <v>10617</v>
      </c>
      <c r="G83" s="76" t="str">
        <f>VLOOKUP(Tabelle2[[#This Row],[Kunden Nr.]],KUNDEN!A:B,2,0)</f>
        <v>TE LUTA</v>
      </c>
      <c r="H83" s="75">
        <v>35115</v>
      </c>
      <c r="I83" s="76" t="str">
        <f>VLOOKUP(Tabelle2[[#This Row],[Artikel]],Produkte!A:B,2,0)</f>
        <v>M-ONE Sanitar Silikon</v>
      </c>
      <c r="J83" s="75">
        <v>12</v>
      </c>
      <c r="K83" s="76" t="str">
        <f>VLOOKUP(Tabelle2[[#This Row],[Kunden Nr.]],KUNDEN!A:G,7)</f>
        <v>Qerimi</v>
      </c>
      <c r="L83" s="76">
        <f>VLOOKUP(Tabelle2[[#This Row],[Artikel]],Produkte!A:H,8)</f>
        <v>0.17</v>
      </c>
    </row>
    <row r="84" spans="1:12" x14ac:dyDescent="0.2">
      <c r="A84" s="75" t="s">
        <v>430</v>
      </c>
      <c r="B84" s="79">
        <v>46032</v>
      </c>
      <c r="C84" s="89">
        <v>92.4</v>
      </c>
      <c r="D84" s="75"/>
      <c r="E84" s="75"/>
      <c r="F84" s="75">
        <v>20602</v>
      </c>
      <c r="G84" s="76" t="str">
        <f>VLOOKUP(Tabelle2[[#This Row],[Kunden Nr.]],KUNDEN!A:B,2,0)</f>
        <v>AGROLONDI</v>
      </c>
      <c r="H84" s="75">
        <v>35109</v>
      </c>
      <c r="I84" s="76" t="str">
        <f>VLOOKUP(Tabelle2[[#This Row],[Artikel]],Produkte!A:B,2,0)</f>
        <v>M-ONE Sanitar Silikon</v>
      </c>
      <c r="J84" s="75">
        <v>12</v>
      </c>
      <c r="K84" s="76" t="str">
        <f>VLOOKUP(Tabelle2[[#This Row],[Kunden Nr.]],KUNDEN!A:G,7)</f>
        <v>Mensuri</v>
      </c>
      <c r="L84" s="76">
        <f>VLOOKUP(Tabelle2[[#This Row],[Artikel]],Produkte!A:H,8)</f>
        <v>0.17</v>
      </c>
    </row>
    <row r="85" spans="1:12" x14ac:dyDescent="0.2">
      <c r="A85" s="75" t="s">
        <v>430</v>
      </c>
      <c r="B85" s="79">
        <v>46032</v>
      </c>
      <c r="C85" s="75"/>
      <c r="D85" s="75"/>
      <c r="E85" s="75"/>
      <c r="F85" s="75">
        <v>20602</v>
      </c>
      <c r="G85" s="76" t="str">
        <f>VLOOKUP(Tabelle2[[#This Row],[Kunden Nr.]],KUNDEN!A:B,2,0)</f>
        <v>AGROLONDI</v>
      </c>
      <c r="H85" s="75">
        <v>35111</v>
      </c>
      <c r="I85" s="76" t="str">
        <f>VLOOKUP(Tabelle2[[#This Row],[Artikel]],Produkte!A:B,2,0)</f>
        <v>M-ONE Sanitar Silikon</v>
      </c>
      <c r="J85" s="75">
        <v>12</v>
      </c>
      <c r="K85" s="76" t="str">
        <f>VLOOKUP(Tabelle2[[#This Row],[Kunden Nr.]],KUNDEN!A:G,7)</f>
        <v>Mensuri</v>
      </c>
      <c r="L85" s="76">
        <f>VLOOKUP(Tabelle2[[#This Row],[Artikel]],Produkte!A:H,8)</f>
        <v>0.17</v>
      </c>
    </row>
    <row r="86" spans="1:12" x14ac:dyDescent="0.2">
      <c r="A86" s="75" t="s">
        <v>1009</v>
      </c>
      <c r="B86" s="79">
        <v>46032</v>
      </c>
      <c r="C86" s="89">
        <v>92.4</v>
      </c>
      <c r="D86" s="75"/>
      <c r="E86" s="75"/>
      <c r="F86" s="75">
        <v>20623</v>
      </c>
      <c r="G86" s="76" t="str">
        <f>VLOOKUP(Tabelle2[[#This Row],[Kunden Nr.]],KUNDEN!A:B,2,0)</f>
        <v>LTI</v>
      </c>
      <c r="H86" s="75">
        <v>35111</v>
      </c>
      <c r="I86" s="76" t="str">
        <f>VLOOKUP(Tabelle2[[#This Row],[Artikel]],Produkte!A:B,2,0)</f>
        <v>M-ONE Sanitar Silikon</v>
      </c>
      <c r="J86" s="75">
        <v>12</v>
      </c>
      <c r="K86" s="76" t="str">
        <f>VLOOKUP(Tabelle2[[#This Row],[Kunden Nr.]],KUNDEN!A:G,7)</f>
        <v>Mensuri</v>
      </c>
      <c r="L86" s="76">
        <f>VLOOKUP(Tabelle2[[#This Row],[Artikel]],Produkte!A:H,8)</f>
        <v>0.17</v>
      </c>
    </row>
    <row r="87" spans="1:12" x14ac:dyDescent="0.2">
      <c r="A87" s="75" t="s">
        <v>1009</v>
      </c>
      <c r="B87" s="79">
        <v>46032</v>
      </c>
      <c r="C87" s="75"/>
      <c r="D87" s="75"/>
      <c r="E87" s="75"/>
      <c r="F87" s="75">
        <v>20623</v>
      </c>
      <c r="G87" s="76" t="str">
        <f>VLOOKUP(Tabelle2[[#This Row],[Kunden Nr.]],KUNDEN!A:B,2,0)</f>
        <v>LTI</v>
      </c>
      <c r="H87" s="75">
        <v>35121</v>
      </c>
      <c r="I87" s="76" t="str">
        <f>VLOOKUP(Tabelle2[[#This Row],[Artikel]],Produkte!A:B,2,0)</f>
        <v>M-ONE Sanitar Silikon</v>
      </c>
      <c r="J87" s="75">
        <v>12</v>
      </c>
      <c r="K87" s="76" t="str">
        <f>VLOOKUP(Tabelle2[[#This Row],[Kunden Nr.]],KUNDEN!A:G,7)</f>
        <v>Mensuri</v>
      </c>
      <c r="L87" s="76">
        <f>VLOOKUP(Tabelle2[[#This Row],[Artikel]],Produkte!A:H,8)</f>
        <v>0.17</v>
      </c>
    </row>
    <row r="88" spans="1:12" x14ac:dyDescent="0.2">
      <c r="A88" s="75" t="s">
        <v>1305</v>
      </c>
      <c r="B88" s="79">
        <v>46032</v>
      </c>
      <c r="C88" s="89">
        <v>120</v>
      </c>
      <c r="D88" s="75"/>
      <c r="E88" s="75"/>
      <c r="F88" s="75">
        <v>20622</v>
      </c>
      <c r="G88" s="76" t="str">
        <f>VLOOKUP(Tabelle2[[#This Row],[Kunden Nr.]],KUNDEN!A:B,2,0)</f>
        <v>ILIRI QERAMIKA</v>
      </c>
      <c r="H88" s="75">
        <v>35111</v>
      </c>
      <c r="I88" s="76" t="str">
        <f>VLOOKUP(Tabelle2[[#This Row],[Artikel]],Produkte!A:B,2,0)</f>
        <v>M-ONE Sanitar Silikon</v>
      </c>
      <c r="J88" s="75">
        <v>12</v>
      </c>
      <c r="K88" s="76" t="str">
        <f>VLOOKUP(Tabelle2[[#This Row],[Kunden Nr.]],KUNDEN!A:G,7)</f>
        <v>Mensuri</v>
      </c>
      <c r="L88" s="76">
        <f>VLOOKUP(Tabelle2[[#This Row],[Artikel]],Produkte!A:H,8)</f>
        <v>0.17</v>
      </c>
    </row>
    <row r="89" spans="1:12" x14ac:dyDescent="0.2">
      <c r="A89" s="75" t="s">
        <v>1305</v>
      </c>
      <c r="B89" s="79">
        <v>46032</v>
      </c>
      <c r="C89" s="75"/>
      <c r="D89" s="75"/>
      <c r="E89" s="75"/>
      <c r="F89" s="75">
        <v>20622</v>
      </c>
      <c r="G89" s="76" t="str">
        <f>VLOOKUP(Tabelle2[[#This Row],[Kunden Nr.]],KUNDEN!A:B,2,0)</f>
        <v>ILIRI QERAMIKA</v>
      </c>
      <c r="H89" s="75">
        <v>35113</v>
      </c>
      <c r="I89" s="76" t="str">
        <f>VLOOKUP(Tabelle2[[#This Row],[Artikel]],Produkte!A:B,2,0)</f>
        <v>M-ONE Sanitar Silikon</v>
      </c>
      <c r="J89" s="75">
        <v>12</v>
      </c>
      <c r="K89" s="76" t="str">
        <f>VLOOKUP(Tabelle2[[#This Row],[Kunden Nr.]],KUNDEN!A:G,7)</f>
        <v>Mensuri</v>
      </c>
      <c r="L89" s="76">
        <f>VLOOKUP(Tabelle2[[#This Row],[Artikel]],Produkte!A:H,8)</f>
        <v>0.17</v>
      </c>
    </row>
    <row r="90" spans="1:12" x14ac:dyDescent="0.2">
      <c r="A90" s="75" t="s">
        <v>1305</v>
      </c>
      <c r="B90" s="79">
        <v>46032</v>
      </c>
      <c r="C90" s="75"/>
      <c r="D90" s="75"/>
      <c r="E90" s="75"/>
      <c r="F90" s="75">
        <v>20622</v>
      </c>
      <c r="G90" s="76" t="str">
        <f>VLOOKUP(Tabelle2[[#This Row],[Kunden Nr.]],KUNDEN!A:B,2,0)</f>
        <v>ILIRI QERAMIKA</v>
      </c>
      <c r="H90" s="75">
        <v>51612</v>
      </c>
      <c r="I90" s="76" t="str">
        <f>VLOOKUP(Tabelle2[[#This Row],[Artikel]],Produkte!A:B,2,0)</f>
        <v>struktural akryl</v>
      </c>
      <c r="J90" s="75">
        <v>12</v>
      </c>
      <c r="K90" s="76" t="str">
        <f>VLOOKUP(Tabelle2[[#This Row],[Kunden Nr.]],KUNDEN!A:G,7)</f>
        <v>Mensuri</v>
      </c>
      <c r="L90" s="76">
        <f>VLOOKUP(Tabelle2[[#This Row],[Artikel]],Produkte!A:H,8)</f>
        <v>0.06</v>
      </c>
    </row>
    <row r="91" spans="1:12" x14ac:dyDescent="0.2">
      <c r="A91" s="75" t="s">
        <v>1261</v>
      </c>
      <c r="B91" s="79">
        <v>46032</v>
      </c>
      <c r="C91" s="89">
        <v>92.4</v>
      </c>
      <c r="D91" s="75"/>
      <c r="E91" s="75"/>
      <c r="F91" s="75">
        <v>20631</v>
      </c>
      <c r="G91" s="76" t="str">
        <f>VLOOKUP(Tabelle2[[#This Row],[Kunden Nr.]],KUNDEN!A:B,2,0)</f>
        <v>ALMIRI QERAMIKA</v>
      </c>
      <c r="H91" s="75">
        <v>35109</v>
      </c>
      <c r="I91" s="76" t="str">
        <f>VLOOKUP(Tabelle2[[#This Row],[Artikel]],Produkte!A:B,2,0)</f>
        <v>M-ONE Sanitar Silikon</v>
      </c>
      <c r="J91" s="75">
        <v>12</v>
      </c>
      <c r="K91" s="76" t="str">
        <f>VLOOKUP(Tabelle2[[#This Row],[Kunden Nr.]],KUNDEN!A:G,7)</f>
        <v>Mensuri</v>
      </c>
      <c r="L91" s="76">
        <f>VLOOKUP(Tabelle2[[#This Row],[Artikel]],Produkte!A:H,8)</f>
        <v>0.17</v>
      </c>
    </row>
    <row r="92" spans="1:12" x14ac:dyDescent="0.2">
      <c r="A92" s="75" t="s">
        <v>1261</v>
      </c>
      <c r="B92" s="79">
        <v>46032</v>
      </c>
      <c r="C92" s="75"/>
      <c r="D92" s="75"/>
      <c r="E92" s="75"/>
      <c r="F92" s="75">
        <v>20631</v>
      </c>
      <c r="G92" s="76" t="str">
        <f>VLOOKUP(Tabelle2[[#This Row],[Kunden Nr.]],KUNDEN!A:B,2,0)</f>
        <v>ALMIRI QERAMIKA</v>
      </c>
      <c r="H92" s="75">
        <v>35110</v>
      </c>
      <c r="I92" s="76" t="str">
        <f>VLOOKUP(Tabelle2[[#This Row],[Artikel]],Produkte!A:B,2,0)</f>
        <v>M-ONE Sanitar Silikon</v>
      </c>
      <c r="J92" s="75">
        <v>12</v>
      </c>
      <c r="K92" s="76" t="str">
        <f>VLOOKUP(Tabelle2[[#This Row],[Kunden Nr.]],KUNDEN!A:G,7)</f>
        <v>Mensuri</v>
      </c>
      <c r="L92" s="76">
        <f>VLOOKUP(Tabelle2[[#This Row],[Artikel]],Produkte!A:H,8)</f>
        <v>0.17</v>
      </c>
    </row>
    <row r="93" spans="1:12" x14ac:dyDescent="0.2">
      <c r="A93" s="75" t="s">
        <v>1171</v>
      </c>
      <c r="B93" s="79">
        <v>46032</v>
      </c>
      <c r="C93" s="89">
        <v>138.6</v>
      </c>
      <c r="D93" s="75"/>
      <c r="E93" s="75"/>
      <c r="F93" s="75">
        <v>20627</v>
      </c>
      <c r="G93" s="76" t="str">
        <f>VLOOKUP(Tabelle2[[#This Row],[Kunden Nr.]],KUNDEN!A:B,2,0)</f>
        <v>UNIKA</v>
      </c>
      <c r="H93" s="75">
        <v>35112</v>
      </c>
      <c r="I93" s="76" t="str">
        <f>VLOOKUP(Tabelle2[[#This Row],[Artikel]],Produkte!A:B,2,0)</f>
        <v>M-ONE Sanitar Silikon</v>
      </c>
      <c r="J93" s="75">
        <v>12</v>
      </c>
      <c r="K93" s="76" t="str">
        <f>VLOOKUP(Tabelle2[[#This Row],[Kunden Nr.]],KUNDEN!A:G,7)</f>
        <v>Mensuri</v>
      </c>
      <c r="L93" s="76">
        <f>VLOOKUP(Tabelle2[[#This Row],[Artikel]],Produkte!A:H,8)</f>
        <v>0.17</v>
      </c>
    </row>
    <row r="94" spans="1:12" x14ac:dyDescent="0.2">
      <c r="A94" s="75" t="s">
        <v>1171</v>
      </c>
      <c r="B94" s="79">
        <v>46032</v>
      </c>
      <c r="C94" s="75"/>
      <c r="D94" s="75"/>
      <c r="E94" s="75"/>
      <c r="F94" s="75">
        <v>20627</v>
      </c>
      <c r="G94" s="76" t="str">
        <f>VLOOKUP(Tabelle2[[#This Row],[Kunden Nr.]],KUNDEN!A:B,2,0)</f>
        <v>UNIKA</v>
      </c>
      <c r="H94" s="75">
        <v>35113</v>
      </c>
      <c r="I94" s="76" t="str">
        <f>VLOOKUP(Tabelle2[[#This Row],[Artikel]],Produkte!A:B,2,0)</f>
        <v>M-ONE Sanitar Silikon</v>
      </c>
      <c r="J94" s="75">
        <v>12</v>
      </c>
      <c r="K94" s="76" t="str">
        <f>VLOOKUP(Tabelle2[[#This Row],[Kunden Nr.]],KUNDEN!A:G,7)</f>
        <v>Mensuri</v>
      </c>
      <c r="L94" s="76">
        <f>VLOOKUP(Tabelle2[[#This Row],[Artikel]],Produkte!A:H,8)</f>
        <v>0.17</v>
      </c>
    </row>
    <row r="95" spans="1:12" x14ac:dyDescent="0.2">
      <c r="A95" s="75" t="s">
        <v>1171</v>
      </c>
      <c r="B95" s="79">
        <v>46032</v>
      </c>
      <c r="C95" s="75"/>
      <c r="D95" s="75"/>
      <c r="E95" s="75"/>
      <c r="F95" s="75">
        <v>20627</v>
      </c>
      <c r="G95" s="76" t="str">
        <f>VLOOKUP(Tabelle2[[#This Row],[Kunden Nr.]],KUNDEN!A:B,2,0)</f>
        <v>UNIKA</v>
      </c>
      <c r="H95" s="75">
        <v>35115</v>
      </c>
      <c r="I95" s="76" t="str">
        <f>VLOOKUP(Tabelle2[[#This Row],[Artikel]],Produkte!A:B,2,0)</f>
        <v>M-ONE Sanitar Silikon</v>
      </c>
      <c r="J95" s="75">
        <v>12</v>
      </c>
      <c r="K95" s="76" t="str">
        <f>VLOOKUP(Tabelle2[[#This Row],[Kunden Nr.]],KUNDEN!A:G,7)</f>
        <v>Mensuri</v>
      </c>
      <c r="L95" s="76">
        <f>VLOOKUP(Tabelle2[[#This Row],[Artikel]],Produkte!A:H,8)</f>
        <v>0.17</v>
      </c>
    </row>
    <row r="96" spans="1:12" x14ac:dyDescent="0.2">
      <c r="A96" s="75" t="s">
        <v>434</v>
      </c>
      <c r="B96" s="79">
        <v>46032</v>
      </c>
      <c r="C96" s="89">
        <v>121.2</v>
      </c>
      <c r="D96" s="75"/>
      <c r="E96" s="75"/>
      <c r="F96" s="75">
        <v>20606</v>
      </c>
      <c r="G96" s="76" t="str">
        <f>VLOOKUP(Tabelle2[[#This Row],[Kunden Nr.]],KUNDEN!A:B,2,0)</f>
        <v>TE-SYLA</v>
      </c>
      <c r="H96" s="75">
        <v>35113</v>
      </c>
      <c r="I96" s="76" t="str">
        <f>VLOOKUP(Tabelle2[[#This Row],[Artikel]],Produkte!A:B,2,0)</f>
        <v>M-ONE Sanitar Silikon</v>
      </c>
      <c r="J96" s="75">
        <v>12</v>
      </c>
      <c r="K96" s="76" t="str">
        <f>VLOOKUP(Tabelle2[[#This Row],[Kunden Nr.]],KUNDEN!A:G,7)</f>
        <v>Mensuri</v>
      </c>
      <c r="L96" s="76">
        <f>VLOOKUP(Tabelle2[[#This Row],[Artikel]],Produkte!A:H,8)</f>
        <v>0.17</v>
      </c>
    </row>
    <row r="97" spans="1:12" x14ac:dyDescent="0.2">
      <c r="A97" s="75" t="s">
        <v>434</v>
      </c>
      <c r="B97" s="79">
        <v>46032</v>
      </c>
      <c r="C97" s="75"/>
      <c r="D97" s="75"/>
      <c r="E97" s="75"/>
      <c r="F97" s="75">
        <v>20606</v>
      </c>
      <c r="G97" s="76" t="str">
        <f>VLOOKUP(Tabelle2[[#This Row],[Kunden Nr.]],KUNDEN!A:B,2,0)</f>
        <v>TE-SYLA</v>
      </c>
      <c r="H97" s="75">
        <v>50912</v>
      </c>
      <c r="I97" s="76" t="str">
        <f>VLOOKUP(Tabelle2[[#This Row],[Artikel]],Produkte!A:B,2,0)</f>
        <v>DICHTUNG</v>
      </c>
      <c r="J97" s="75">
        <v>6</v>
      </c>
      <c r="K97" s="76" t="str">
        <f>VLOOKUP(Tabelle2[[#This Row],[Kunden Nr.]],KUNDEN!A:G,7)</f>
        <v>Mensuri</v>
      </c>
      <c r="L97" s="76">
        <f>VLOOKUP(Tabelle2[[#This Row],[Artikel]],Produkte!A:H,8)</f>
        <v>0.2</v>
      </c>
    </row>
    <row r="98" spans="1:12" x14ac:dyDescent="0.2">
      <c r="A98" s="75" t="s">
        <v>434</v>
      </c>
      <c r="B98" s="79">
        <v>46032</v>
      </c>
      <c r="C98" s="75"/>
      <c r="D98" s="75"/>
      <c r="E98" s="75"/>
      <c r="F98" s="75">
        <v>20606</v>
      </c>
      <c r="G98" s="76" t="str">
        <f>VLOOKUP(Tabelle2[[#This Row],[Kunden Nr.]],KUNDEN!A:B,2,0)</f>
        <v>TE-SYLA</v>
      </c>
      <c r="H98" s="75">
        <v>55718</v>
      </c>
      <c r="I98" s="76" t="str">
        <f>VLOOKUP(Tabelle2[[#This Row],[Artikel]],Produkte!A:B,2,0)</f>
        <v>M ONE MOTORSTART</v>
      </c>
      <c r="J98" s="75">
        <v>6</v>
      </c>
      <c r="K98" s="76" t="str">
        <f>VLOOKUP(Tabelle2[[#This Row],[Kunden Nr.]],KUNDEN!A:G,7)</f>
        <v>Mensuri</v>
      </c>
      <c r="L98" s="76">
        <f>VLOOKUP(Tabelle2[[#This Row],[Artikel]],Produkte!A:H,8)</f>
        <v>0.2</v>
      </c>
    </row>
    <row r="99" spans="1:12" x14ac:dyDescent="0.2">
      <c r="A99" s="75" t="s">
        <v>434</v>
      </c>
      <c r="B99" s="79">
        <v>46032</v>
      </c>
      <c r="C99" s="75"/>
      <c r="D99" s="75"/>
      <c r="E99" s="75"/>
      <c r="F99" s="75">
        <v>20606</v>
      </c>
      <c r="G99" s="76" t="str">
        <f>VLOOKUP(Tabelle2[[#This Row],[Kunden Nr.]],KUNDEN!A:B,2,0)</f>
        <v>TE-SYLA</v>
      </c>
      <c r="H99" s="75">
        <v>31903</v>
      </c>
      <c r="I99" s="76" t="str">
        <f>VLOOKUP(Tabelle2[[#This Row],[Artikel]],Produkte!A:B,2,0)</f>
        <v>M ONE CHROM SPRAY</v>
      </c>
      <c r="J99" s="75">
        <v>6</v>
      </c>
      <c r="K99" s="76" t="str">
        <f>VLOOKUP(Tabelle2[[#This Row],[Kunden Nr.]],KUNDEN!A:G,7)</f>
        <v>Mensuri</v>
      </c>
      <c r="L99" s="76">
        <f>VLOOKUP(Tabelle2[[#This Row],[Artikel]],Produkte!A:H,8)</f>
        <v>0.15</v>
      </c>
    </row>
    <row r="100" spans="1:12" x14ac:dyDescent="0.2">
      <c r="A100" s="75" t="s">
        <v>676</v>
      </c>
      <c r="B100" s="79">
        <v>46032</v>
      </c>
      <c r="C100" s="89">
        <v>154.6</v>
      </c>
      <c r="D100" s="75"/>
      <c r="E100" s="75"/>
      <c r="F100" s="75">
        <v>20607</v>
      </c>
      <c r="G100" s="76" t="str">
        <f>VLOOKUP(Tabelle2[[#This Row],[Kunden Nr.]],KUNDEN!A:B,2,0)</f>
        <v xml:space="preserve">F.V. SH.P.K. </v>
      </c>
      <c r="H100" s="75">
        <v>35113</v>
      </c>
      <c r="I100" s="76" t="str">
        <f>VLOOKUP(Tabelle2[[#This Row],[Artikel]],Produkte!A:B,2,0)</f>
        <v>M-ONE Sanitar Silikon</v>
      </c>
      <c r="J100" s="75">
        <v>12</v>
      </c>
      <c r="K100" s="76" t="str">
        <f>VLOOKUP(Tabelle2[[#This Row],[Kunden Nr.]],KUNDEN!A:G,7)</f>
        <v>Mensuri</v>
      </c>
      <c r="L100" s="76">
        <f>VLOOKUP(Tabelle2[[#This Row],[Artikel]],Produkte!A:H,8)</f>
        <v>0.17</v>
      </c>
    </row>
    <row r="101" spans="1:12" x14ac:dyDescent="0.2">
      <c r="A101" s="75" t="s">
        <v>676</v>
      </c>
      <c r="B101" s="79">
        <v>46032</v>
      </c>
      <c r="C101" s="75"/>
      <c r="D101" s="75"/>
      <c r="E101" s="75"/>
      <c r="F101" s="75">
        <v>20607</v>
      </c>
      <c r="G101" s="76" t="str">
        <f>VLOOKUP(Tabelle2[[#This Row],[Kunden Nr.]],KUNDEN!A:B,2,0)</f>
        <v xml:space="preserve">F.V. SH.P.K. </v>
      </c>
      <c r="H101" s="75">
        <v>35115</v>
      </c>
      <c r="I101" s="76" t="str">
        <f>VLOOKUP(Tabelle2[[#This Row],[Artikel]],Produkte!A:B,2,0)</f>
        <v>M-ONE Sanitar Silikon</v>
      </c>
      <c r="J101" s="75">
        <v>12</v>
      </c>
      <c r="K101" s="76" t="str">
        <f>VLOOKUP(Tabelle2[[#This Row],[Kunden Nr.]],KUNDEN!A:G,7)</f>
        <v>Mensuri</v>
      </c>
      <c r="L101" s="76">
        <f>VLOOKUP(Tabelle2[[#This Row],[Artikel]],Produkte!A:H,8)</f>
        <v>0.17</v>
      </c>
    </row>
    <row r="102" spans="1:12" x14ac:dyDescent="0.2">
      <c r="A102" s="75" t="s">
        <v>676</v>
      </c>
      <c r="B102" s="79">
        <v>46032</v>
      </c>
      <c r="C102" s="75"/>
      <c r="D102" s="75"/>
      <c r="E102" s="75"/>
      <c r="F102" s="75">
        <v>20607</v>
      </c>
      <c r="G102" s="76" t="str">
        <f>VLOOKUP(Tabelle2[[#This Row],[Kunden Nr.]],KUNDEN!A:B,2,0)</f>
        <v xml:space="preserve">F.V. SH.P.K. </v>
      </c>
      <c r="H102" s="75">
        <v>35121</v>
      </c>
      <c r="I102" s="76" t="str">
        <f>VLOOKUP(Tabelle2[[#This Row],[Artikel]],Produkte!A:B,2,0)</f>
        <v>M-ONE Sanitar Silikon</v>
      </c>
      <c r="J102" s="75">
        <v>12</v>
      </c>
      <c r="K102" s="76" t="str">
        <f>VLOOKUP(Tabelle2[[#This Row],[Kunden Nr.]],KUNDEN!A:G,7)</f>
        <v>Mensuri</v>
      </c>
      <c r="L102" s="76">
        <f>VLOOKUP(Tabelle2[[#This Row],[Artikel]],Produkte!A:H,8)</f>
        <v>0.17</v>
      </c>
    </row>
    <row r="103" spans="1:12" x14ac:dyDescent="0.2">
      <c r="A103" s="75" t="s">
        <v>676</v>
      </c>
      <c r="B103" s="79">
        <v>46032</v>
      </c>
      <c r="C103" s="75"/>
      <c r="D103" s="75"/>
      <c r="E103" s="75"/>
      <c r="F103" s="75">
        <v>20607</v>
      </c>
      <c r="G103" s="76" t="str">
        <f>VLOOKUP(Tabelle2[[#This Row],[Kunden Nr.]],KUNDEN!A:B,2,0)</f>
        <v xml:space="preserve">F.V. SH.P.K. </v>
      </c>
      <c r="H103" s="75">
        <v>49644</v>
      </c>
      <c r="I103" s="76" t="str">
        <f>VLOOKUP(Tabelle2[[#This Row],[Artikel]],Produkte!A:B,2,0)</f>
        <v>beMAKER Rostlöser</v>
      </c>
      <c r="J103" s="75">
        <v>8</v>
      </c>
      <c r="K103" s="76" t="str">
        <f>VLOOKUP(Tabelle2[[#This Row],[Kunden Nr.]],KUNDEN!A:G,7)</f>
        <v>Mensuri</v>
      </c>
      <c r="L103" s="76">
        <f>VLOOKUP(Tabelle2[[#This Row],[Artikel]],Produkte!A:H,8)</f>
        <v>0.2</v>
      </c>
    </row>
    <row r="104" spans="1:12" x14ac:dyDescent="0.2">
      <c r="A104" s="75" t="s">
        <v>435</v>
      </c>
      <c r="B104" s="79">
        <v>46032</v>
      </c>
      <c r="C104" s="89">
        <v>92.4</v>
      </c>
      <c r="D104" s="75"/>
      <c r="E104" s="75"/>
      <c r="F104" s="75">
        <v>20608</v>
      </c>
      <c r="G104" s="76" t="str">
        <f>VLOOKUP(Tabelle2[[#This Row],[Kunden Nr.]],KUNDEN!A:B,2,0)</f>
        <v>LONI</v>
      </c>
      <c r="H104" s="75">
        <v>35115</v>
      </c>
      <c r="I104" s="76" t="str">
        <f>VLOOKUP(Tabelle2[[#This Row],[Artikel]],Produkte!A:B,2,0)</f>
        <v>M-ONE Sanitar Silikon</v>
      </c>
      <c r="J104" s="75">
        <v>12</v>
      </c>
      <c r="K104" s="76" t="str">
        <f>VLOOKUP(Tabelle2[[#This Row],[Kunden Nr.]],KUNDEN!A:G,7)</f>
        <v>Mensuri</v>
      </c>
      <c r="L104" s="76">
        <f>VLOOKUP(Tabelle2[[#This Row],[Artikel]],Produkte!A:H,8)</f>
        <v>0.17</v>
      </c>
    </row>
    <row r="105" spans="1:12" x14ac:dyDescent="0.2">
      <c r="A105" s="75" t="s">
        <v>435</v>
      </c>
      <c r="B105" s="79">
        <v>46032</v>
      </c>
      <c r="C105" s="75"/>
      <c r="D105" s="75"/>
      <c r="E105" s="75"/>
      <c r="F105" s="75">
        <v>20608</v>
      </c>
      <c r="G105" s="76" t="str">
        <f>VLOOKUP(Tabelle2[[#This Row],[Kunden Nr.]],KUNDEN!A:B,2,0)</f>
        <v>LONI</v>
      </c>
      <c r="H105" s="75">
        <v>35121</v>
      </c>
      <c r="I105" s="76" t="str">
        <f>VLOOKUP(Tabelle2[[#This Row],[Artikel]],Produkte!A:B,2,0)</f>
        <v>M-ONE Sanitar Silikon</v>
      </c>
      <c r="J105" s="75">
        <v>12</v>
      </c>
      <c r="K105" s="76" t="str">
        <f>VLOOKUP(Tabelle2[[#This Row],[Kunden Nr.]],KUNDEN!A:G,7)</f>
        <v>Mensuri</v>
      </c>
      <c r="L105" s="76">
        <f>VLOOKUP(Tabelle2[[#This Row],[Artikel]],Produkte!A:H,8)</f>
        <v>0.17</v>
      </c>
    </row>
    <row r="106" spans="1:12" x14ac:dyDescent="0.2">
      <c r="A106" s="75" t="s">
        <v>968</v>
      </c>
      <c r="B106" s="79">
        <v>46032</v>
      </c>
      <c r="C106" s="89">
        <v>92.4</v>
      </c>
      <c r="D106" s="75"/>
      <c r="E106" s="75"/>
      <c r="F106" s="75">
        <v>20624</v>
      </c>
      <c r="G106" s="76" t="str">
        <f>VLOOKUP(Tabelle2[[#This Row],[Kunden Nr.]],KUNDEN!A:B,2,0)</f>
        <v>BULONI - SH</v>
      </c>
      <c r="H106" s="75">
        <v>35109</v>
      </c>
      <c r="I106" s="76" t="str">
        <f>VLOOKUP(Tabelle2[[#This Row],[Artikel]],Produkte!A:B,2,0)</f>
        <v>M-ONE Sanitar Silikon</v>
      </c>
      <c r="J106" s="75">
        <v>12</v>
      </c>
      <c r="K106" s="76" t="str">
        <f>VLOOKUP(Tabelle2[[#This Row],[Kunden Nr.]],KUNDEN!A:G,7)</f>
        <v>Mensuri</v>
      </c>
      <c r="L106" s="76">
        <f>VLOOKUP(Tabelle2[[#This Row],[Artikel]],Produkte!A:H,8)</f>
        <v>0.17</v>
      </c>
    </row>
    <row r="107" spans="1:12" x14ac:dyDescent="0.2">
      <c r="A107" s="75" t="s">
        <v>968</v>
      </c>
      <c r="B107" s="79">
        <v>46032</v>
      </c>
      <c r="C107" s="75"/>
      <c r="D107" s="75"/>
      <c r="E107" s="75"/>
      <c r="F107" s="75">
        <v>20624</v>
      </c>
      <c r="G107" s="76" t="str">
        <f>VLOOKUP(Tabelle2[[#This Row],[Kunden Nr.]],KUNDEN!A:B,2,0)</f>
        <v>BULONI - SH</v>
      </c>
      <c r="H107" s="75">
        <v>35125</v>
      </c>
      <c r="I107" s="76" t="str">
        <f>VLOOKUP(Tabelle2[[#This Row],[Artikel]],Produkte!A:B,2,0)</f>
        <v>M-ONE Sanitar Silikon</v>
      </c>
      <c r="J107" s="75">
        <v>12</v>
      </c>
      <c r="K107" s="76" t="str">
        <f>VLOOKUP(Tabelle2[[#This Row],[Kunden Nr.]],KUNDEN!A:G,7)</f>
        <v>Mensuri</v>
      </c>
      <c r="L107" s="76">
        <f>VLOOKUP(Tabelle2[[#This Row],[Artikel]],Produkte!A:H,8)</f>
        <v>0.17</v>
      </c>
    </row>
    <row r="108" spans="1:12" x14ac:dyDescent="0.2">
      <c r="A108" s="75" t="s">
        <v>567</v>
      </c>
      <c r="B108" s="79">
        <v>46034</v>
      </c>
      <c r="C108" s="89">
        <v>46.2</v>
      </c>
      <c r="D108" s="75"/>
      <c r="E108" s="75"/>
      <c r="F108" s="75">
        <v>10105</v>
      </c>
      <c r="G108" s="76" t="str">
        <f>VLOOKUP(Tabelle2[[#This Row],[Kunden Nr.]],KUNDEN!A:B,2,0)</f>
        <v>ARSIM</v>
      </c>
      <c r="H108" s="75">
        <v>35125</v>
      </c>
      <c r="I108" s="76" t="str">
        <f>VLOOKUP(Tabelle2[[#This Row],[Artikel]],Produkte!A:B,2,0)</f>
        <v>M-ONE Sanitar Silikon</v>
      </c>
      <c r="J108" s="75">
        <v>12</v>
      </c>
      <c r="K108" s="76" t="str">
        <f>VLOOKUP(Tabelle2[[#This Row],[Kunden Nr.]],KUNDEN!A:G,7)</f>
        <v>Qerimi</v>
      </c>
      <c r="L108" s="76">
        <f>VLOOKUP(Tabelle2[[#This Row],[Artikel]],Produkte!A:H,8)</f>
        <v>0.17</v>
      </c>
    </row>
    <row r="109" spans="1:12" x14ac:dyDescent="0.2">
      <c r="A109" s="75" t="s">
        <v>573</v>
      </c>
      <c r="B109" s="79">
        <v>46034</v>
      </c>
      <c r="C109" s="89">
        <v>117.4</v>
      </c>
      <c r="D109" s="75"/>
      <c r="E109" s="75"/>
      <c r="F109" s="75">
        <v>10111</v>
      </c>
      <c r="G109" s="76" t="str">
        <f>VLOOKUP(Tabelle2[[#This Row],[Kunden Nr.]],KUNDEN!A:B,2,0)</f>
        <v>KADIJOLLET</v>
      </c>
      <c r="H109" s="75">
        <v>35110</v>
      </c>
      <c r="I109" s="76" t="str">
        <f>VLOOKUP(Tabelle2[[#This Row],[Artikel]],Produkte!A:B,2,0)</f>
        <v>M-ONE Sanitar Silikon</v>
      </c>
      <c r="J109" s="75">
        <v>12</v>
      </c>
      <c r="K109" s="76" t="str">
        <f>VLOOKUP(Tabelle2[[#This Row],[Kunden Nr.]],KUNDEN!A:G,7)</f>
        <v>Qerimi</v>
      </c>
      <c r="L109" s="76">
        <f>VLOOKUP(Tabelle2[[#This Row],[Artikel]],Produkte!A:H,8)</f>
        <v>0.17</v>
      </c>
    </row>
    <row r="110" spans="1:12" x14ac:dyDescent="0.2">
      <c r="A110" s="75" t="s">
        <v>573</v>
      </c>
      <c r="B110" s="79">
        <v>46034</v>
      </c>
      <c r="C110" s="75"/>
      <c r="D110" s="75"/>
      <c r="E110" s="75"/>
      <c r="F110" s="75">
        <v>10111</v>
      </c>
      <c r="G110" s="76" t="str">
        <f>VLOOKUP(Tabelle2[[#This Row],[Kunden Nr.]],KUNDEN!A:B,2,0)</f>
        <v>KADIJOLLET</v>
      </c>
      <c r="H110" s="75">
        <v>35111</v>
      </c>
      <c r="I110" s="76" t="str">
        <f>VLOOKUP(Tabelle2[[#This Row],[Artikel]],Produkte!A:B,2,0)</f>
        <v>M-ONE Sanitar Silikon</v>
      </c>
      <c r="J110" s="75">
        <v>12</v>
      </c>
      <c r="K110" s="76" t="str">
        <f>VLOOKUP(Tabelle2[[#This Row],[Kunden Nr.]],KUNDEN!A:G,7)</f>
        <v>Qerimi</v>
      </c>
      <c r="L110" s="76">
        <f>VLOOKUP(Tabelle2[[#This Row],[Artikel]],Produkte!A:H,8)</f>
        <v>0.17</v>
      </c>
    </row>
    <row r="111" spans="1:12" x14ac:dyDescent="0.2">
      <c r="A111" s="75" t="s">
        <v>573</v>
      </c>
      <c r="B111" s="79">
        <v>46034</v>
      </c>
      <c r="C111" s="75"/>
      <c r="D111" s="75"/>
      <c r="E111" s="75"/>
      <c r="F111" s="75">
        <v>10111</v>
      </c>
      <c r="G111" s="76" t="str">
        <f>VLOOKUP(Tabelle2[[#This Row],[Kunden Nr.]],KUNDEN!A:B,2,0)</f>
        <v>KADIJOLLET</v>
      </c>
      <c r="H111" s="75">
        <v>51611</v>
      </c>
      <c r="I111" s="76" t="str">
        <f>VLOOKUP(Tabelle2[[#This Row],[Artikel]],Produkte!A:B,2,0)</f>
        <v>universal akryl</v>
      </c>
      <c r="J111" s="75">
        <v>12</v>
      </c>
      <c r="K111" s="76" t="str">
        <f>VLOOKUP(Tabelle2[[#This Row],[Kunden Nr.]],KUNDEN!A:G,7)</f>
        <v>Qerimi</v>
      </c>
      <c r="L111" s="76">
        <f>VLOOKUP(Tabelle2[[#This Row],[Artikel]],Produkte!A:H,8)</f>
        <v>0.06</v>
      </c>
    </row>
    <row r="112" spans="1:12" x14ac:dyDescent="0.2">
      <c r="A112" s="75" t="s">
        <v>573</v>
      </c>
      <c r="B112" s="79">
        <v>46034</v>
      </c>
      <c r="C112" s="75"/>
      <c r="D112" s="75"/>
      <c r="E112" s="75"/>
      <c r="F112" s="75">
        <v>10111</v>
      </c>
      <c r="G112" s="76" t="str">
        <f>VLOOKUP(Tabelle2[[#This Row],[Kunden Nr.]],KUNDEN!A:B,2,0)</f>
        <v>KADIJOLLET</v>
      </c>
      <c r="H112" s="75">
        <v>26736</v>
      </c>
      <c r="I112" s="76" t="str">
        <f>VLOOKUP(Tabelle2[[#This Row],[Artikel]],Produkte!A:B,2,0)</f>
        <v>M ONE HAFTGRUND</v>
      </c>
      <c r="J112" s="75">
        <v>5</v>
      </c>
      <c r="K112" s="76" t="str">
        <f>VLOOKUP(Tabelle2[[#This Row],[Kunden Nr.]],KUNDEN!A:G,7)</f>
        <v>Qerimi</v>
      </c>
      <c r="L112" s="76">
        <f>VLOOKUP(Tabelle2[[#This Row],[Artikel]],Produkte!A:H,8)</f>
        <v>0.15</v>
      </c>
    </row>
    <row r="113" spans="1:12" x14ac:dyDescent="0.2">
      <c r="A113" s="75" t="s">
        <v>576</v>
      </c>
      <c r="B113" s="79">
        <v>46034</v>
      </c>
      <c r="C113" s="89">
        <v>43.9</v>
      </c>
      <c r="D113" s="75"/>
      <c r="E113" s="75"/>
      <c r="F113" s="75">
        <v>10114</v>
      </c>
      <c r="G113" s="76" t="str">
        <f>VLOOKUP(Tabelle2[[#This Row],[Kunden Nr.]],KUNDEN!A:B,2,0)</f>
        <v>QELA</v>
      </c>
      <c r="H113" s="75">
        <v>50912</v>
      </c>
      <c r="I113" s="76" t="str">
        <f>VLOOKUP(Tabelle2[[#This Row],[Artikel]],Produkte!A:B,2,0)</f>
        <v>DICHTUNG</v>
      </c>
      <c r="J113" s="75">
        <v>2</v>
      </c>
      <c r="K113" s="76" t="str">
        <f>VLOOKUP(Tabelle2[[#This Row],[Kunden Nr.]],KUNDEN!A:G,7)</f>
        <v>Qerimi</v>
      </c>
      <c r="L113" s="76">
        <f>VLOOKUP(Tabelle2[[#This Row],[Artikel]],Produkte!A:H,8)</f>
        <v>0.2</v>
      </c>
    </row>
    <row r="114" spans="1:12" x14ac:dyDescent="0.2">
      <c r="A114" s="75" t="s">
        <v>576</v>
      </c>
      <c r="B114" s="79">
        <v>46034</v>
      </c>
      <c r="C114" s="75"/>
      <c r="D114" s="75"/>
      <c r="E114" s="75"/>
      <c r="F114" s="75">
        <v>10114</v>
      </c>
      <c r="G114" s="76" t="str">
        <f>VLOOKUP(Tabelle2[[#This Row],[Kunden Nr.]],KUNDEN!A:B,2,0)</f>
        <v>QELA</v>
      </c>
      <c r="H114" s="75">
        <v>55718</v>
      </c>
      <c r="I114" s="76" t="str">
        <f>VLOOKUP(Tabelle2[[#This Row],[Artikel]],Produkte!A:B,2,0)</f>
        <v>M ONE MOTORSTART</v>
      </c>
      <c r="J114" s="75">
        <v>5</v>
      </c>
      <c r="K114" s="76" t="str">
        <f>VLOOKUP(Tabelle2[[#This Row],[Kunden Nr.]],KUNDEN!A:G,7)</f>
        <v>Qerimi</v>
      </c>
      <c r="L114" s="76">
        <f>VLOOKUP(Tabelle2[[#This Row],[Artikel]],Produkte!A:H,8)</f>
        <v>0.2</v>
      </c>
    </row>
    <row r="115" spans="1:12" x14ac:dyDescent="0.2">
      <c r="A115" s="75" t="s">
        <v>576</v>
      </c>
      <c r="B115" s="79">
        <v>46034</v>
      </c>
      <c r="C115" s="75"/>
      <c r="D115" s="75"/>
      <c r="E115" s="75"/>
      <c r="F115" s="75">
        <v>10114</v>
      </c>
      <c r="G115" s="76" t="str">
        <f>VLOOKUP(Tabelle2[[#This Row],[Kunden Nr.]],KUNDEN!A:B,2,0)</f>
        <v>QELA</v>
      </c>
      <c r="H115" s="75">
        <v>49644</v>
      </c>
      <c r="I115" s="76" t="str">
        <f>VLOOKUP(Tabelle2[[#This Row],[Artikel]],Produkte!A:B,2,0)</f>
        <v>beMAKER Rostlöser</v>
      </c>
      <c r="J115" s="75">
        <v>6</v>
      </c>
      <c r="K115" s="76" t="str">
        <f>VLOOKUP(Tabelle2[[#This Row],[Kunden Nr.]],KUNDEN!A:G,7)</f>
        <v>Qerimi</v>
      </c>
      <c r="L115" s="76">
        <f>VLOOKUP(Tabelle2[[#This Row],[Artikel]],Produkte!A:H,8)</f>
        <v>0.2</v>
      </c>
    </row>
    <row r="116" spans="1:12" x14ac:dyDescent="0.2">
      <c r="A116" s="75" t="s">
        <v>565</v>
      </c>
      <c r="B116" s="79">
        <v>46034</v>
      </c>
      <c r="C116" s="89">
        <v>92.4</v>
      </c>
      <c r="D116" s="75"/>
      <c r="E116" s="75"/>
      <c r="F116" s="75">
        <v>10103</v>
      </c>
      <c r="G116" s="76" t="str">
        <f>VLOOKUP(Tabelle2[[#This Row],[Kunden Nr.]],KUNDEN!A:B,2,0)</f>
        <v>BESI COM</v>
      </c>
      <c r="H116" s="75">
        <v>35119</v>
      </c>
      <c r="I116" s="76" t="str">
        <f>VLOOKUP(Tabelle2[[#This Row],[Artikel]],Produkte!A:B,2,0)</f>
        <v>M-ONE Sanitar Silikon</v>
      </c>
      <c r="J116" s="75">
        <v>12</v>
      </c>
      <c r="K116" s="76" t="str">
        <f>VLOOKUP(Tabelle2[[#This Row],[Kunden Nr.]],KUNDEN!A:G,7)</f>
        <v>Qerimi</v>
      </c>
      <c r="L116" s="76">
        <f>VLOOKUP(Tabelle2[[#This Row],[Artikel]],Produkte!A:H,8)</f>
        <v>0.17</v>
      </c>
    </row>
    <row r="117" spans="1:12" x14ac:dyDescent="0.2">
      <c r="A117" s="75" t="s">
        <v>565</v>
      </c>
      <c r="B117" s="79">
        <v>46034</v>
      </c>
      <c r="C117" s="75"/>
      <c r="D117" s="75"/>
      <c r="E117" s="75"/>
      <c r="F117" s="75">
        <v>10103</v>
      </c>
      <c r="G117" s="76" t="str">
        <f>VLOOKUP(Tabelle2[[#This Row],[Kunden Nr.]],KUNDEN!A:B,2,0)</f>
        <v>BESI COM</v>
      </c>
      <c r="H117" s="75">
        <v>35109</v>
      </c>
      <c r="I117" s="76" t="str">
        <f>VLOOKUP(Tabelle2[[#This Row],[Artikel]],Produkte!A:B,2,0)</f>
        <v>M-ONE Sanitar Silikon</v>
      </c>
      <c r="J117" s="75">
        <v>12</v>
      </c>
      <c r="K117" s="76" t="str">
        <f>VLOOKUP(Tabelle2[[#This Row],[Kunden Nr.]],KUNDEN!A:G,7)</f>
        <v>Qerimi</v>
      </c>
      <c r="L117" s="76">
        <f>VLOOKUP(Tabelle2[[#This Row],[Artikel]],Produkte!A:H,8)</f>
        <v>0.17</v>
      </c>
    </row>
    <row r="118" spans="1:12" x14ac:dyDescent="0.2">
      <c r="A118" s="75" t="s">
        <v>474</v>
      </c>
      <c r="B118" s="79">
        <v>46034</v>
      </c>
      <c r="C118" s="89">
        <v>107.4</v>
      </c>
      <c r="D118" s="75"/>
      <c r="E118" s="75"/>
      <c r="F118" s="75">
        <v>20109</v>
      </c>
      <c r="G118" s="76" t="str">
        <f>VLOOKUP(Tabelle2[[#This Row],[Kunden Nr.]],KUNDEN!A:B,2,0)</f>
        <v>KENA COMERC</v>
      </c>
      <c r="H118" s="75">
        <v>35113</v>
      </c>
      <c r="I118" s="76" t="str">
        <f>VLOOKUP(Tabelle2[[#This Row],[Artikel]],Produkte!A:B,2,0)</f>
        <v>M-ONE Sanitar Silikon</v>
      </c>
      <c r="J118" s="75">
        <v>12</v>
      </c>
      <c r="K118" s="76" t="str">
        <f>VLOOKUP(Tabelle2[[#This Row],[Kunden Nr.]],KUNDEN!A:G,7)</f>
        <v>Mensuri</v>
      </c>
      <c r="L118" s="76">
        <f>VLOOKUP(Tabelle2[[#This Row],[Artikel]],Produkte!A:H,8)</f>
        <v>0.17</v>
      </c>
    </row>
    <row r="119" spans="1:12" x14ac:dyDescent="0.2">
      <c r="A119" s="75" t="s">
        <v>474</v>
      </c>
      <c r="B119" s="79">
        <v>46034</v>
      </c>
      <c r="C119" s="75"/>
      <c r="D119" s="75"/>
      <c r="E119" s="75"/>
      <c r="F119" s="75">
        <v>20109</v>
      </c>
      <c r="G119" s="76" t="str">
        <f>VLOOKUP(Tabelle2[[#This Row],[Kunden Nr.]],KUNDEN!A:B,2,0)</f>
        <v>KENA COMERC</v>
      </c>
      <c r="H119" s="75">
        <v>35128</v>
      </c>
      <c r="I119" s="76" t="str">
        <f>VLOOKUP(Tabelle2[[#This Row],[Artikel]],Produkte!A:B,2,0)</f>
        <v>M-ONE Sanitar Silikon</v>
      </c>
      <c r="J119" s="75">
        <v>12</v>
      </c>
      <c r="K119" s="76" t="str">
        <f>VLOOKUP(Tabelle2[[#This Row],[Kunden Nr.]],KUNDEN!A:G,7)</f>
        <v>Mensuri</v>
      </c>
      <c r="L119" s="76">
        <f>VLOOKUP(Tabelle2[[#This Row],[Artikel]],Produkte!A:H,8)</f>
        <v>0.17</v>
      </c>
    </row>
    <row r="120" spans="1:12" x14ac:dyDescent="0.2">
      <c r="A120" s="75" t="s">
        <v>474</v>
      </c>
      <c r="B120" s="79">
        <v>46034</v>
      </c>
      <c r="C120" s="75"/>
      <c r="D120" s="75"/>
      <c r="E120" s="75"/>
      <c r="F120" s="75">
        <v>20109</v>
      </c>
      <c r="G120" s="76" t="str">
        <f>VLOOKUP(Tabelle2[[#This Row],[Kunden Nr.]],KUNDEN!A:B,2,0)</f>
        <v>KENA COMERC</v>
      </c>
      <c r="H120" s="75">
        <v>51611</v>
      </c>
      <c r="I120" s="76" t="str">
        <f>VLOOKUP(Tabelle2[[#This Row],[Artikel]],Produkte!A:B,2,0)</f>
        <v>universal akryl</v>
      </c>
      <c r="J120" s="75">
        <v>12</v>
      </c>
      <c r="K120" s="76" t="str">
        <f>VLOOKUP(Tabelle2[[#This Row],[Kunden Nr.]],KUNDEN!A:G,7)</f>
        <v>Mensuri</v>
      </c>
      <c r="L120" s="76">
        <f>VLOOKUP(Tabelle2[[#This Row],[Artikel]],Produkte!A:H,8)</f>
        <v>0.06</v>
      </c>
    </row>
    <row r="121" spans="1:12" x14ac:dyDescent="0.2">
      <c r="A121" s="75" t="s">
        <v>476</v>
      </c>
      <c r="B121" s="79">
        <v>46034</v>
      </c>
      <c r="C121" s="89">
        <v>38</v>
      </c>
      <c r="D121" s="75"/>
      <c r="E121" s="75"/>
      <c r="F121" s="75">
        <v>20111</v>
      </c>
      <c r="G121" s="76" t="str">
        <f>VLOOKUP(Tabelle2[[#This Row],[Kunden Nr.]],KUNDEN!A:B,2,0)</f>
        <v>TECOL 2</v>
      </c>
      <c r="H121" s="75">
        <v>38136</v>
      </c>
      <c r="I121" s="76" t="str">
        <f>VLOOKUP(Tabelle2[[#This Row],[Artikel]],Produkte!A:B,2,0)</f>
        <v>M ONE KLARLACK</v>
      </c>
      <c r="J121" s="75">
        <v>12</v>
      </c>
      <c r="K121" s="76" t="str">
        <f>VLOOKUP(Tabelle2[[#This Row],[Kunden Nr.]],KUNDEN!A:G,7)</f>
        <v>Mensuri</v>
      </c>
      <c r="L121" s="76">
        <f>VLOOKUP(Tabelle2[[#This Row],[Artikel]],Produkte!A:H,8)</f>
        <v>0.15</v>
      </c>
    </row>
    <row r="122" spans="1:12" x14ac:dyDescent="0.2">
      <c r="A122" s="75" t="s">
        <v>476</v>
      </c>
      <c r="B122" s="79">
        <v>46034</v>
      </c>
      <c r="C122" s="75"/>
      <c r="D122" s="75"/>
      <c r="E122" s="75"/>
      <c r="F122" s="75">
        <v>20111</v>
      </c>
      <c r="G122" s="76" t="str">
        <f>VLOOKUP(Tabelle2[[#This Row],[Kunden Nr.]],KUNDEN!A:B,2,0)</f>
        <v>TECOL 2</v>
      </c>
      <c r="H122" s="75">
        <v>54412</v>
      </c>
      <c r="I122" s="76" t="str">
        <f>VLOOKUP(Tabelle2[[#This Row],[Artikel]],Produkte!A:B,2,0)</f>
        <v>beMAKER Bremsen&amp;Teile Reininger</v>
      </c>
      <c r="J122" s="75">
        <v>7</v>
      </c>
      <c r="K122" s="76" t="str">
        <f>VLOOKUP(Tabelle2[[#This Row],[Kunden Nr.]],KUNDEN!A:G,7)</f>
        <v>Mensuri</v>
      </c>
      <c r="L122" s="76">
        <f>VLOOKUP(Tabelle2[[#This Row],[Artikel]],Produkte!A:H,8)</f>
        <v>0.2</v>
      </c>
    </row>
    <row r="123" spans="1:12" x14ac:dyDescent="0.2">
      <c r="A123" s="75" t="s">
        <v>476</v>
      </c>
      <c r="B123" s="79">
        <v>46034</v>
      </c>
      <c r="C123" s="75"/>
      <c r="D123" s="75"/>
      <c r="E123" s="75"/>
      <c r="F123" s="75">
        <v>20111</v>
      </c>
      <c r="G123" s="76" t="str">
        <f>VLOOKUP(Tabelle2[[#This Row],[Kunden Nr.]],KUNDEN!A:B,2,0)</f>
        <v>TECOL 2</v>
      </c>
      <c r="H123" s="75">
        <v>39505</v>
      </c>
      <c r="I123" s="76" t="str">
        <f>VLOOKUP(Tabelle2[[#This Row],[Artikel]],Produkte!A:B,2,0)</f>
        <v>M ONE SILIKON SPRAY</v>
      </c>
      <c r="J123" s="75">
        <v>2</v>
      </c>
      <c r="K123" s="76" t="str">
        <f>VLOOKUP(Tabelle2[[#This Row],[Kunden Nr.]],KUNDEN!A:G,7)</f>
        <v>Mensuri</v>
      </c>
      <c r="L123" s="76">
        <f>VLOOKUP(Tabelle2[[#This Row],[Artikel]],Produkte!A:H,8)</f>
        <v>0.2</v>
      </c>
    </row>
    <row r="124" spans="1:12" x14ac:dyDescent="0.2">
      <c r="A124" s="75" t="s">
        <v>1180</v>
      </c>
      <c r="B124" s="79">
        <v>46034</v>
      </c>
      <c r="C124" s="89">
        <v>184.8</v>
      </c>
      <c r="D124" s="75"/>
      <c r="E124" s="75"/>
      <c r="F124" s="75">
        <v>20126</v>
      </c>
      <c r="G124" s="76" t="str">
        <f>VLOOKUP(Tabelle2[[#This Row],[Kunden Nr.]],KUNDEN!A:B,2,0)</f>
        <v>LULI-C</v>
      </c>
      <c r="H124" s="75">
        <v>35109</v>
      </c>
      <c r="I124" s="76" t="str">
        <f>VLOOKUP(Tabelle2[[#This Row],[Artikel]],Produkte!A:B,2,0)</f>
        <v>M-ONE Sanitar Silikon</v>
      </c>
      <c r="J124" s="75">
        <v>12</v>
      </c>
      <c r="K124" s="76" t="str">
        <f>VLOOKUP(Tabelle2[[#This Row],[Kunden Nr.]],KUNDEN!A:G,7)</f>
        <v>Mensuri</v>
      </c>
      <c r="L124" s="76">
        <f>VLOOKUP(Tabelle2[[#This Row],[Artikel]],Produkte!A:H,8)</f>
        <v>0.17</v>
      </c>
    </row>
    <row r="125" spans="1:12" x14ac:dyDescent="0.2">
      <c r="A125" s="75" t="s">
        <v>1180</v>
      </c>
      <c r="B125" s="79">
        <v>46034</v>
      </c>
      <c r="C125" s="75"/>
      <c r="D125" s="75"/>
      <c r="E125" s="75"/>
      <c r="F125" s="75">
        <v>20126</v>
      </c>
      <c r="G125" s="76" t="str">
        <f>VLOOKUP(Tabelle2[[#This Row],[Kunden Nr.]],KUNDEN!A:B,2,0)</f>
        <v>LULI-C</v>
      </c>
      <c r="H125" s="75">
        <v>35110</v>
      </c>
      <c r="I125" s="76" t="str">
        <f>VLOOKUP(Tabelle2[[#This Row],[Artikel]],Produkte!A:B,2,0)</f>
        <v>M-ONE Sanitar Silikon</v>
      </c>
      <c r="J125" s="75">
        <v>12</v>
      </c>
      <c r="K125" s="76" t="str">
        <f>VLOOKUP(Tabelle2[[#This Row],[Kunden Nr.]],KUNDEN!A:G,7)</f>
        <v>Mensuri</v>
      </c>
      <c r="L125" s="76">
        <f>VLOOKUP(Tabelle2[[#This Row],[Artikel]],Produkte!A:H,8)</f>
        <v>0.17</v>
      </c>
    </row>
    <row r="126" spans="1:12" x14ac:dyDescent="0.2">
      <c r="A126" s="75" t="s">
        <v>1180</v>
      </c>
      <c r="B126" s="79">
        <v>46034</v>
      </c>
      <c r="C126" s="75"/>
      <c r="D126" s="75"/>
      <c r="E126" s="75"/>
      <c r="F126" s="75">
        <v>20126</v>
      </c>
      <c r="G126" s="76" t="str">
        <f>VLOOKUP(Tabelle2[[#This Row],[Kunden Nr.]],KUNDEN!A:B,2,0)</f>
        <v>LULI-C</v>
      </c>
      <c r="H126" s="75">
        <v>35111</v>
      </c>
      <c r="I126" s="76" t="str">
        <f>VLOOKUP(Tabelle2[[#This Row],[Artikel]],Produkte!A:B,2,0)</f>
        <v>M-ONE Sanitar Silikon</v>
      </c>
      <c r="J126" s="75">
        <v>12</v>
      </c>
      <c r="K126" s="76" t="str">
        <f>VLOOKUP(Tabelle2[[#This Row],[Kunden Nr.]],KUNDEN!A:G,7)</f>
        <v>Mensuri</v>
      </c>
      <c r="L126" s="76">
        <f>VLOOKUP(Tabelle2[[#This Row],[Artikel]],Produkte!A:H,8)</f>
        <v>0.17</v>
      </c>
    </row>
    <row r="127" spans="1:12" x14ac:dyDescent="0.2">
      <c r="A127" s="75" t="s">
        <v>1180</v>
      </c>
      <c r="B127" s="79">
        <v>46034</v>
      </c>
      <c r="C127" s="75"/>
      <c r="D127" s="75"/>
      <c r="E127" s="75"/>
      <c r="F127" s="75">
        <v>20126</v>
      </c>
      <c r="G127" s="76" t="str">
        <f>VLOOKUP(Tabelle2[[#This Row],[Kunden Nr.]],KUNDEN!A:B,2,0)</f>
        <v>LULI-C</v>
      </c>
      <c r="H127" s="75">
        <v>35125</v>
      </c>
      <c r="I127" s="76" t="str">
        <f>VLOOKUP(Tabelle2[[#This Row],[Artikel]],Produkte!A:B,2,0)</f>
        <v>M-ONE Sanitar Silikon</v>
      </c>
      <c r="J127" s="75">
        <v>12</v>
      </c>
      <c r="K127" s="76" t="str">
        <f>VLOOKUP(Tabelle2[[#This Row],[Kunden Nr.]],KUNDEN!A:G,7)</f>
        <v>Mensuri</v>
      </c>
      <c r="L127" s="76">
        <f>VLOOKUP(Tabelle2[[#This Row],[Artikel]],Produkte!A:H,8)</f>
        <v>0.17</v>
      </c>
    </row>
    <row r="128" spans="1:12" x14ac:dyDescent="0.2">
      <c r="A128" s="75" t="s">
        <v>1163</v>
      </c>
      <c r="B128" s="79">
        <v>46034</v>
      </c>
      <c r="C128" s="89">
        <v>162</v>
      </c>
      <c r="D128" s="75"/>
      <c r="E128" s="75"/>
      <c r="F128" s="75">
        <v>20121</v>
      </c>
      <c r="G128" s="76" t="str">
        <f>VLOOKUP(Tabelle2[[#This Row],[Kunden Nr.]],KUNDEN!A:B,2,0)</f>
        <v>CAMA BAU</v>
      </c>
      <c r="H128" s="75">
        <v>66701</v>
      </c>
      <c r="I128" s="76" t="str">
        <f>VLOOKUP(Tabelle2[[#This Row],[Artikel]],Produkte!A:B,2,0)</f>
        <v>PROFIMONT EXTREME</v>
      </c>
      <c r="J128" s="75">
        <v>12</v>
      </c>
      <c r="K128" s="76" t="str">
        <f>VLOOKUP(Tabelle2[[#This Row],[Kunden Nr.]],KUNDEN!A:G,7)</f>
        <v>Mensuri</v>
      </c>
      <c r="L128" s="76">
        <f>VLOOKUP(Tabelle2[[#This Row],[Artikel]],Produkte!A:H,8)</f>
        <v>0.2</v>
      </c>
    </row>
    <row r="129" spans="1:12" x14ac:dyDescent="0.2">
      <c r="A129" s="75" t="s">
        <v>1163</v>
      </c>
      <c r="B129" s="79">
        <v>46034</v>
      </c>
      <c r="C129" s="75"/>
      <c r="D129" s="75"/>
      <c r="E129" s="75"/>
      <c r="F129" s="75">
        <v>20121</v>
      </c>
      <c r="G129" s="76" t="str">
        <f>VLOOKUP(Tabelle2[[#This Row],[Kunden Nr.]],KUNDEN!A:B,2,0)</f>
        <v>CAMA BAU</v>
      </c>
      <c r="H129" s="75">
        <v>35108</v>
      </c>
      <c r="I129" s="76" t="str">
        <f>VLOOKUP(Tabelle2[[#This Row],[Artikel]],Produkte!A:B,2,0)</f>
        <v>M-ONE Sanitar Silikon</v>
      </c>
      <c r="J129" s="75">
        <v>12</v>
      </c>
      <c r="K129" s="76" t="str">
        <f>VLOOKUP(Tabelle2[[#This Row],[Kunden Nr.]],KUNDEN!A:G,7)</f>
        <v>Mensuri</v>
      </c>
      <c r="L129" s="76">
        <f>VLOOKUP(Tabelle2[[#This Row],[Artikel]],Produkte!A:H,8)</f>
        <v>0.17</v>
      </c>
    </row>
    <row r="130" spans="1:12" x14ac:dyDescent="0.2">
      <c r="A130" s="75" t="s">
        <v>1163</v>
      </c>
      <c r="B130" s="79">
        <v>46034</v>
      </c>
      <c r="C130" s="75"/>
      <c r="D130" s="75"/>
      <c r="E130" s="75"/>
      <c r="F130" s="75">
        <v>20121</v>
      </c>
      <c r="G130" s="76" t="str">
        <f>VLOOKUP(Tabelle2[[#This Row],[Kunden Nr.]],KUNDEN!A:B,2,0)</f>
        <v>CAMA BAU</v>
      </c>
      <c r="H130" s="75">
        <v>35113</v>
      </c>
      <c r="I130" s="76" t="str">
        <f>VLOOKUP(Tabelle2[[#This Row],[Artikel]],Produkte!A:B,2,0)</f>
        <v>M-ONE Sanitar Silikon</v>
      </c>
      <c r="J130" s="75">
        <v>12</v>
      </c>
      <c r="K130" s="76" t="str">
        <f>VLOOKUP(Tabelle2[[#This Row],[Kunden Nr.]],KUNDEN!A:G,7)</f>
        <v>Mensuri</v>
      </c>
      <c r="L130" s="76">
        <f>VLOOKUP(Tabelle2[[#This Row],[Artikel]],Produkte!A:H,8)</f>
        <v>0.17</v>
      </c>
    </row>
    <row r="131" spans="1:12" x14ac:dyDescent="0.2">
      <c r="A131" s="75" t="s">
        <v>1129</v>
      </c>
      <c r="B131" s="79">
        <v>46034</v>
      </c>
      <c r="C131" s="89">
        <v>92.4</v>
      </c>
      <c r="D131" s="75"/>
      <c r="E131" s="75"/>
      <c r="F131" s="75">
        <v>20127</v>
      </c>
      <c r="G131" s="76" t="str">
        <f>VLOOKUP(Tabelle2[[#This Row],[Kunden Nr.]],KUNDEN!A:B,2,0)</f>
        <v>TERMO PROJEKT</v>
      </c>
      <c r="H131" s="75">
        <v>35110</v>
      </c>
      <c r="I131" s="76" t="str">
        <f>VLOOKUP(Tabelle2[[#This Row],[Artikel]],Produkte!A:B,2,0)</f>
        <v>M-ONE Sanitar Silikon</v>
      </c>
      <c r="J131" s="75">
        <v>24</v>
      </c>
      <c r="K131" s="76" t="str">
        <f>VLOOKUP(Tabelle2[[#This Row],[Kunden Nr.]],KUNDEN!A:G,7)</f>
        <v>Mensuri</v>
      </c>
      <c r="L131" s="76">
        <f>VLOOKUP(Tabelle2[[#This Row],[Artikel]],Produkte!A:H,8)</f>
        <v>0.17</v>
      </c>
    </row>
    <row r="132" spans="1:12" x14ac:dyDescent="0.2">
      <c r="A132" s="75" t="s">
        <v>471</v>
      </c>
      <c r="B132" s="79">
        <v>46034</v>
      </c>
      <c r="C132" s="89">
        <v>92.4</v>
      </c>
      <c r="D132" s="75"/>
      <c r="E132" s="75"/>
      <c r="F132" s="75">
        <v>20104</v>
      </c>
      <c r="G132" s="76" t="str">
        <f>VLOOKUP(Tabelle2[[#This Row],[Kunden Nr.]],KUNDEN!A:B,2,0)</f>
        <v>KTHIMI</v>
      </c>
      <c r="H132" s="75">
        <v>35113</v>
      </c>
      <c r="I132" s="76" t="str">
        <f>VLOOKUP(Tabelle2[[#This Row],[Artikel]],Produkte!A:B,2,0)</f>
        <v>M-ONE Sanitar Silikon</v>
      </c>
      <c r="J132" s="75">
        <v>24</v>
      </c>
      <c r="K132" s="76" t="str">
        <f>VLOOKUP(Tabelle2[[#This Row],[Kunden Nr.]],KUNDEN!A:G,7)</f>
        <v>Mensuri</v>
      </c>
      <c r="L132" s="76">
        <f>VLOOKUP(Tabelle2[[#This Row],[Artikel]],Produkte!A:H,8)</f>
        <v>0.17</v>
      </c>
    </row>
    <row r="133" spans="1:12" x14ac:dyDescent="0.2">
      <c r="A133" s="75" t="s">
        <v>769</v>
      </c>
      <c r="B133" s="79">
        <v>46034</v>
      </c>
      <c r="C133" s="89">
        <v>26.5</v>
      </c>
      <c r="D133" s="75"/>
      <c r="E133" s="75"/>
      <c r="F133" s="75">
        <v>40002</v>
      </c>
      <c r="G133" s="76" t="str">
        <f>VLOOKUP(Tabelle2[[#This Row],[Kunden Nr.]],KUNDEN!A:B,2,0)</f>
        <v>FORD BASHKIMI</v>
      </c>
      <c r="H133" s="75">
        <v>54412</v>
      </c>
      <c r="I133" s="76" t="str">
        <f>VLOOKUP(Tabelle2[[#This Row],[Artikel]],Produkte!A:B,2,0)</f>
        <v>beMAKER Bremsen&amp;Teile Reininger</v>
      </c>
      <c r="J133" s="75">
        <v>12</v>
      </c>
      <c r="K133" s="76">
        <f>VLOOKUP(Tabelle2[[#This Row],[Kunden Nr.]],KUNDEN!A:G,7)</f>
        <v>0</v>
      </c>
      <c r="L133" s="76">
        <f>VLOOKUP(Tabelle2[[#This Row],[Artikel]],Produkte!A:H,8)</f>
        <v>0.2</v>
      </c>
    </row>
    <row r="134" spans="1:12" x14ac:dyDescent="0.2">
      <c r="A134" s="75" t="s">
        <v>769</v>
      </c>
      <c r="B134" s="79">
        <v>46034</v>
      </c>
      <c r="C134" s="75"/>
      <c r="D134" s="75"/>
      <c r="E134" s="75"/>
      <c r="F134" s="75">
        <v>40002</v>
      </c>
      <c r="G134" s="76" t="str">
        <f>VLOOKUP(Tabelle2[[#This Row],[Kunden Nr.]],KUNDEN!A:B,2,0)</f>
        <v>FORD BASHKIMI</v>
      </c>
      <c r="H134" s="75">
        <v>49644</v>
      </c>
      <c r="I134" s="76" t="str">
        <f>VLOOKUP(Tabelle2[[#This Row],[Artikel]],Produkte!A:B,2,0)</f>
        <v>beMAKER Rostlöser</v>
      </c>
      <c r="J134" s="75">
        <v>1</v>
      </c>
      <c r="K134" s="76">
        <f>VLOOKUP(Tabelle2[[#This Row],[Kunden Nr.]],KUNDEN!A:G,7)</f>
        <v>0</v>
      </c>
      <c r="L134" s="76">
        <f>VLOOKUP(Tabelle2[[#This Row],[Artikel]],Produkte!A:H,8)</f>
        <v>0.2</v>
      </c>
    </row>
    <row r="135" spans="1:12" x14ac:dyDescent="0.2">
      <c r="A135" s="75" t="s">
        <v>1299</v>
      </c>
      <c r="B135" s="79">
        <v>46035</v>
      </c>
      <c r="C135" s="89">
        <v>184.8</v>
      </c>
      <c r="D135" s="75"/>
      <c r="E135" s="75"/>
      <c r="F135" s="75">
        <v>10258</v>
      </c>
      <c r="G135" s="76" t="str">
        <f>VLOOKUP(Tabelle2[[#This Row],[Kunden Nr.]],KUNDEN!A:B,2,0)</f>
        <v>ARSIMI</v>
      </c>
      <c r="H135" s="75">
        <v>35109</v>
      </c>
      <c r="I135" s="76" t="str">
        <f>VLOOKUP(Tabelle2[[#This Row],[Artikel]],Produkte!A:B,2,0)</f>
        <v>M-ONE Sanitar Silikon</v>
      </c>
      <c r="J135" s="75">
        <v>48</v>
      </c>
      <c r="K135" s="76" t="str">
        <f>VLOOKUP(Tabelle2[[#This Row],[Kunden Nr.]],KUNDEN!A:G,7)</f>
        <v>Qerimi</v>
      </c>
      <c r="L135" s="76">
        <f>VLOOKUP(Tabelle2[[#This Row],[Artikel]],Produkte!A:H,8)</f>
        <v>0.17</v>
      </c>
    </row>
    <row r="136" spans="1:12" x14ac:dyDescent="0.2">
      <c r="A136" s="75" t="s">
        <v>520</v>
      </c>
      <c r="B136" s="79">
        <v>46035</v>
      </c>
      <c r="C136" s="89">
        <v>92.4</v>
      </c>
      <c r="D136" s="75"/>
      <c r="E136" s="75"/>
      <c r="F136" s="75">
        <v>10210</v>
      </c>
      <c r="G136" s="76" t="str">
        <f>VLOOKUP(Tabelle2[[#This Row],[Kunden Nr.]],KUNDEN!A:B,2,0)</f>
        <v>MONI 2</v>
      </c>
      <c r="H136" s="75">
        <v>35115</v>
      </c>
      <c r="I136" s="76" t="str">
        <f>VLOOKUP(Tabelle2[[#This Row],[Artikel]],Produkte!A:B,2,0)</f>
        <v>M-ONE Sanitar Silikon</v>
      </c>
      <c r="J136" s="75">
        <v>12</v>
      </c>
      <c r="K136" s="76" t="str">
        <f>VLOOKUP(Tabelle2[[#This Row],[Kunden Nr.]],KUNDEN!A:G,7)</f>
        <v>Qerimi</v>
      </c>
      <c r="L136" s="76">
        <f>VLOOKUP(Tabelle2[[#This Row],[Artikel]],Produkte!A:H,8)</f>
        <v>0.17</v>
      </c>
    </row>
    <row r="137" spans="1:12" x14ac:dyDescent="0.2">
      <c r="A137" s="75" t="s">
        <v>520</v>
      </c>
      <c r="B137" s="79">
        <v>46035</v>
      </c>
      <c r="C137" s="75"/>
      <c r="D137" s="75"/>
      <c r="E137" s="75"/>
      <c r="F137" s="75">
        <v>10210</v>
      </c>
      <c r="G137" s="76" t="str">
        <f>VLOOKUP(Tabelle2[[#This Row],[Kunden Nr.]],KUNDEN!A:B,2,0)</f>
        <v>MONI 2</v>
      </c>
      <c r="H137" s="75">
        <v>35121</v>
      </c>
      <c r="I137" s="76" t="str">
        <f>VLOOKUP(Tabelle2[[#This Row],[Artikel]],Produkte!A:B,2,0)</f>
        <v>M-ONE Sanitar Silikon</v>
      </c>
      <c r="J137" s="75">
        <v>12</v>
      </c>
      <c r="K137" s="76" t="str">
        <f>VLOOKUP(Tabelle2[[#This Row],[Kunden Nr.]],KUNDEN!A:G,7)</f>
        <v>Qerimi</v>
      </c>
      <c r="L137" s="76">
        <f>VLOOKUP(Tabelle2[[#This Row],[Artikel]],Produkte!A:H,8)</f>
        <v>0.17</v>
      </c>
    </row>
    <row r="138" spans="1:12" x14ac:dyDescent="0.2">
      <c r="A138" s="75" t="s">
        <v>515</v>
      </c>
      <c r="B138" s="79">
        <v>46035</v>
      </c>
      <c r="C138" s="89">
        <v>73.8</v>
      </c>
      <c r="D138" s="75"/>
      <c r="E138" s="75"/>
      <c r="F138" s="75">
        <v>10205</v>
      </c>
      <c r="G138" s="76" t="str">
        <f>VLOOKUP(Tabelle2[[#This Row],[Kunden Nr.]],KUNDEN!A:B,2,0)</f>
        <v>XHAFA</v>
      </c>
      <c r="H138" s="75">
        <v>35111</v>
      </c>
      <c r="I138" s="76" t="str">
        <f>VLOOKUP(Tabelle2[[#This Row],[Artikel]],Produkte!A:B,2,0)</f>
        <v>M-ONE Sanitar Silikon</v>
      </c>
      <c r="J138" s="75">
        <v>12</v>
      </c>
      <c r="K138" s="76" t="str">
        <f>VLOOKUP(Tabelle2[[#This Row],[Kunden Nr.]],KUNDEN!A:G,7)</f>
        <v>Qerimi</v>
      </c>
      <c r="L138" s="76">
        <f>VLOOKUP(Tabelle2[[#This Row],[Artikel]],Produkte!A:H,8)</f>
        <v>0.17</v>
      </c>
    </row>
    <row r="139" spans="1:12" x14ac:dyDescent="0.2">
      <c r="A139" s="75" t="s">
        <v>515</v>
      </c>
      <c r="B139" s="79">
        <v>46035</v>
      </c>
      <c r="C139" s="75"/>
      <c r="D139" s="75"/>
      <c r="E139" s="75"/>
      <c r="F139" s="75">
        <v>10205</v>
      </c>
      <c r="G139" s="76" t="str">
        <f>VLOOKUP(Tabelle2[[#This Row],[Kunden Nr.]],KUNDEN!A:B,2,0)</f>
        <v>XHAFA</v>
      </c>
      <c r="H139" s="75">
        <v>51612</v>
      </c>
      <c r="I139" s="76" t="str">
        <f>VLOOKUP(Tabelle2[[#This Row],[Artikel]],Produkte!A:B,2,0)</f>
        <v>struktural akryl</v>
      </c>
      <c r="J139" s="75">
        <v>12</v>
      </c>
      <c r="K139" s="76" t="str">
        <f>VLOOKUP(Tabelle2[[#This Row],[Kunden Nr.]],KUNDEN!A:G,7)</f>
        <v>Qerimi</v>
      </c>
      <c r="L139" s="76">
        <f>VLOOKUP(Tabelle2[[#This Row],[Artikel]],Produkte!A:H,8)</f>
        <v>0.06</v>
      </c>
    </row>
    <row r="140" spans="1:12" x14ac:dyDescent="0.2">
      <c r="A140" s="75" t="s">
        <v>1204</v>
      </c>
      <c r="B140" s="79">
        <v>46035</v>
      </c>
      <c r="C140" s="89">
        <v>184.8</v>
      </c>
      <c r="D140" s="75"/>
      <c r="E140" s="75"/>
      <c r="F140" s="75">
        <v>10245</v>
      </c>
      <c r="G140" s="76" t="str">
        <f>VLOOKUP(Tabelle2[[#This Row],[Kunden Nr.]],KUNDEN!A:B,2,0)</f>
        <v>BEK TRADE</v>
      </c>
      <c r="H140" s="75">
        <v>35109</v>
      </c>
      <c r="I140" s="76" t="str">
        <f>VLOOKUP(Tabelle2[[#This Row],[Artikel]],Produkte!A:B,2,0)</f>
        <v>M-ONE Sanitar Silikon</v>
      </c>
      <c r="J140" s="75">
        <v>24</v>
      </c>
      <c r="K140" s="76" t="str">
        <f>VLOOKUP(Tabelle2[[#This Row],[Kunden Nr.]],KUNDEN!A:G,7)</f>
        <v>Qerimi</v>
      </c>
      <c r="L140" s="76">
        <f>VLOOKUP(Tabelle2[[#This Row],[Artikel]],Produkte!A:H,8)</f>
        <v>0.17</v>
      </c>
    </row>
    <row r="141" spans="1:12" x14ac:dyDescent="0.2">
      <c r="A141" s="75" t="s">
        <v>1204</v>
      </c>
      <c r="B141" s="79">
        <v>46035</v>
      </c>
      <c r="C141" s="75"/>
      <c r="D141" s="75"/>
      <c r="E141" s="75"/>
      <c r="F141" s="75">
        <v>10245</v>
      </c>
      <c r="G141" s="76" t="str">
        <f>VLOOKUP(Tabelle2[[#This Row],[Kunden Nr.]],KUNDEN!A:B,2,0)</f>
        <v>BEK TRADE</v>
      </c>
      <c r="H141" s="75">
        <v>35115</v>
      </c>
      <c r="I141" s="76" t="str">
        <f>VLOOKUP(Tabelle2[[#This Row],[Artikel]],Produkte!A:B,2,0)</f>
        <v>M-ONE Sanitar Silikon</v>
      </c>
      <c r="J141" s="75">
        <v>24</v>
      </c>
      <c r="K141" s="76" t="str">
        <f>VLOOKUP(Tabelle2[[#This Row],[Kunden Nr.]],KUNDEN!A:G,7)</f>
        <v>Qerimi</v>
      </c>
      <c r="L141" s="76">
        <f>VLOOKUP(Tabelle2[[#This Row],[Artikel]],Produkte!A:H,8)</f>
        <v>0.17</v>
      </c>
    </row>
    <row r="142" spans="1:12" x14ac:dyDescent="0.2">
      <c r="A142" s="75" t="s">
        <v>1038</v>
      </c>
      <c r="B142" s="79">
        <v>46035</v>
      </c>
      <c r="C142" s="89">
        <v>27.6</v>
      </c>
      <c r="D142" s="75"/>
      <c r="E142" s="75"/>
      <c r="F142" s="75">
        <v>10241</v>
      </c>
      <c r="G142" s="76" t="str">
        <f>VLOOKUP(Tabelle2[[#This Row],[Kunden Nr.]],KUNDEN!A:B,2,0)</f>
        <v>AB SHPK</v>
      </c>
      <c r="H142" s="75">
        <v>51612</v>
      </c>
      <c r="I142" s="76" t="str">
        <f>VLOOKUP(Tabelle2[[#This Row],[Artikel]],Produkte!A:B,2,0)</f>
        <v>struktural akryl</v>
      </c>
      <c r="J142" s="75">
        <v>12</v>
      </c>
      <c r="K142" s="76" t="str">
        <f>VLOOKUP(Tabelle2[[#This Row],[Kunden Nr.]],KUNDEN!A:G,7)</f>
        <v>Qerimi</v>
      </c>
      <c r="L142" s="76">
        <f>VLOOKUP(Tabelle2[[#This Row],[Artikel]],Produkte!A:H,8)</f>
        <v>0.06</v>
      </c>
    </row>
    <row r="143" spans="1:12" x14ac:dyDescent="0.2">
      <c r="A143" s="75" t="s">
        <v>1201</v>
      </c>
      <c r="B143" s="79">
        <v>46035</v>
      </c>
      <c r="C143" s="89">
        <v>120</v>
      </c>
      <c r="D143" s="75"/>
      <c r="E143" s="75"/>
      <c r="F143" s="75">
        <v>10240</v>
      </c>
      <c r="G143" s="76" t="str">
        <f>VLOOKUP(Tabelle2[[#This Row],[Kunden Nr.]],KUNDEN!A:B,2,0)</f>
        <v>ARPO</v>
      </c>
      <c r="H143" s="75">
        <v>35110</v>
      </c>
      <c r="I143" s="76" t="str">
        <f>VLOOKUP(Tabelle2[[#This Row],[Artikel]],Produkte!A:B,2,0)</f>
        <v>M-ONE Sanitar Silikon</v>
      </c>
      <c r="J143" s="75">
        <v>12</v>
      </c>
      <c r="K143" s="76" t="str">
        <f>VLOOKUP(Tabelle2[[#This Row],[Kunden Nr.]],KUNDEN!A:G,7)</f>
        <v>Qerimi</v>
      </c>
      <c r="L143" s="76">
        <f>VLOOKUP(Tabelle2[[#This Row],[Artikel]],Produkte!A:H,8)</f>
        <v>0.17</v>
      </c>
    </row>
    <row r="144" spans="1:12" x14ac:dyDescent="0.2">
      <c r="A144" s="75" t="s">
        <v>1201</v>
      </c>
      <c r="B144" s="79">
        <v>46035</v>
      </c>
      <c r="C144" s="75"/>
      <c r="D144" s="75"/>
      <c r="E144" s="75"/>
      <c r="F144" s="75">
        <v>10240</v>
      </c>
      <c r="G144" s="76" t="str">
        <f>VLOOKUP(Tabelle2[[#This Row],[Kunden Nr.]],KUNDEN!A:B,2,0)</f>
        <v>ARPO</v>
      </c>
      <c r="H144" s="75">
        <v>35113</v>
      </c>
      <c r="I144" s="76" t="str">
        <f>VLOOKUP(Tabelle2[[#This Row],[Artikel]],Produkte!A:B,2,0)</f>
        <v>M-ONE Sanitar Silikon</v>
      </c>
      <c r="J144" s="75">
        <v>12</v>
      </c>
      <c r="K144" s="76" t="str">
        <f>VLOOKUP(Tabelle2[[#This Row],[Kunden Nr.]],KUNDEN!A:G,7)</f>
        <v>Qerimi</v>
      </c>
      <c r="L144" s="76">
        <f>VLOOKUP(Tabelle2[[#This Row],[Artikel]],Produkte!A:H,8)</f>
        <v>0.17</v>
      </c>
    </row>
    <row r="145" spans="1:12" x14ac:dyDescent="0.2">
      <c r="A145" s="75" t="s">
        <v>1201</v>
      </c>
      <c r="B145" s="79">
        <v>46035</v>
      </c>
      <c r="C145" s="75"/>
      <c r="D145" s="75"/>
      <c r="E145" s="75"/>
      <c r="F145" s="75">
        <v>10240</v>
      </c>
      <c r="G145" s="76" t="str">
        <f>VLOOKUP(Tabelle2[[#This Row],[Kunden Nr.]],KUNDEN!A:B,2,0)</f>
        <v>ARPO</v>
      </c>
      <c r="H145" s="75">
        <v>51612</v>
      </c>
      <c r="I145" s="76" t="str">
        <f>VLOOKUP(Tabelle2[[#This Row],[Artikel]],Produkte!A:B,2,0)</f>
        <v>struktural akryl</v>
      </c>
      <c r="J145" s="75">
        <v>12</v>
      </c>
      <c r="K145" s="76" t="str">
        <f>VLOOKUP(Tabelle2[[#This Row],[Kunden Nr.]],KUNDEN!A:G,7)</f>
        <v>Qerimi</v>
      </c>
      <c r="L145" s="76">
        <f>VLOOKUP(Tabelle2[[#This Row],[Artikel]],Produkte!A:H,8)</f>
        <v>0.06</v>
      </c>
    </row>
    <row r="146" spans="1:12" x14ac:dyDescent="0.2">
      <c r="A146" s="75" t="s">
        <v>509</v>
      </c>
      <c r="B146" s="79">
        <v>46035</v>
      </c>
      <c r="C146" s="89">
        <v>46.2</v>
      </c>
      <c r="D146" s="75"/>
      <c r="E146" s="75"/>
      <c r="F146" s="75">
        <v>10201</v>
      </c>
      <c r="G146" s="76" t="str">
        <f>VLOOKUP(Tabelle2[[#This Row],[Kunden Nr.]],KUNDEN!A:B,2,0)</f>
        <v>TE BESNIKU</v>
      </c>
      <c r="H146" s="75">
        <v>35114</v>
      </c>
      <c r="I146" s="76" t="str">
        <f>VLOOKUP(Tabelle2[[#This Row],[Artikel]],Produkte!A:B,2,0)</f>
        <v>M-ONE Sanitar Silikon</v>
      </c>
      <c r="J146" s="75">
        <v>12</v>
      </c>
      <c r="K146" s="76" t="str">
        <f>VLOOKUP(Tabelle2[[#This Row],[Kunden Nr.]],KUNDEN!A:G,7)</f>
        <v>Qerimi</v>
      </c>
      <c r="L146" s="76">
        <f>VLOOKUP(Tabelle2[[#This Row],[Artikel]],Produkte!A:H,8)</f>
        <v>0.17</v>
      </c>
    </row>
    <row r="147" spans="1:12" x14ac:dyDescent="0.2">
      <c r="A147" s="75" t="s">
        <v>643</v>
      </c>
      <c r="B147" s="79">
        <v>46035</v>
      </c>
      <c r="C147" s="89">
        <v>92.4</v>
      </c>
      <c r="D147" s="75"/>
      <c r="E147" s="75"/>
      <c r="F147" s="75">
        <v>20224</v>
      </c>
      <c r="G147" s="76" t="str">
        <f>VLOOKUP(Tabelle2[[#This Row],[Kunden Nr.]],KUNDEN!A:B,2,0)</f>
        <v>TANI</v>
      </c>
      <c r="H147" s="75">
        <v>35110</v>
      </c>
      <c r="I147" s="76" t="str">
        <f>VLOOKUP(Tabelle2[[#This Row],[Artikel]],Produkte!A:B,2,0)</f>
        <v>M-ONE Sanitar Silikon</v>
      </c>
      <c r="J147" s="75">
        <v>12</v>
      </c>
      <c r="K147" s="76" t="str">
        <f>VLOOKUP(Tabelle2[[#This Row],[Kunden Nr.]],KUNDEN!A:G,7)</f>
        <v>Mensuri</v>
      </c>
      <c r="L147" s="76">
        <f>VLOOKUP(Tabelle2[[#This Row],[Artikel]],Produkte!A:H,8)</f>
        <v>0.17</v>
      </c>
    </row>
    <row r="148" spans="1:12" x14ac:dyDescent="0.2">
      <c r="A148" s="75" t="s">
        <v>643</v>
      </c>
      <c r="B148" s="79">
        <v>46035</v>
      </c>
      <c r="C148" s="75"/>
      <c r="D148" s="75"/>
      <c r="E148" s="75"/>
      <c r="F148" s="75">
        <v>20224</v>
      </c>
      <c r="G148" s="76" t="str">
        <f>VLOOKUP(Tabelle2[[#This Row],[Kunden Nr.]],KUNDEN!A:B,2,0)</f>
        <v>TANI</v>
      </c>
      <c r="H148" s="75">
        <v>35111</v>
      </c>
      <c r="I148" s="76" t="str">
        <f>VLOOKUP(Tabelle2[[#This Row],[Artikel]],Produkte!A:B,2,0)</f>
        <v>M-ONE Sanitar Silikon</v>
      </c>
      <c r="J148" s="75">
        <v>12</v>
      </c>
      <c r="K148" s="76" t="str">
        <f>VLOOKUP(Tabelle2[[#This Row],[Kunden Nr.]],KUNDEN!A:G,7)</f>
        <v>Mensuri</v>
      </c>
      <c r="L148" s="76">
        <f>VLOOKUP(Tabelle2[[#This Row],[Artikel]],Produkte!A:H,8)</f>
        <v>0.17</v>
      </c>
    </row>
    <row r="149" spans="1:12" x14ac:dyDescent="0.2">
      <c r="A149" s="75" t="s">
        <v>422</v>
      </c>
      <c r="B149" s="79">
        <v>46035</v>
      </c>
      <c r="C149" s="89">
        <v>138.6</v>
      </c>
      <c r="D149" s="75"/>
      <c r="E149" s="75"/>
      <c r="F149" s="75">
        <v>20209</v>
      </c>
      <c r="G149" s="76" t="str">
        <f>VLOOKUP(Tabelle2[[#This Row],[Kunden Nr.]],KUNDEN!A:B,2,0)</f>
        <v>LETAJ</v>
      </c>
      <c r="H149" s="75">
        <v>35109</v>
      </c>
      <c r="I149" s="76" t="str">
        <f>VLOOKUP(Tabelle2[[#This Row],[Artikel]],Produkte!A:B,2,0)</f>
        <v>M-ONE Sanitar Silikon</v>
      </c>
      <c r="J149" s="75">
        <v>12</v>
      </c>
      <c r="K149" s="76" t="str">
        <f>VLOOKUP(Tabelle2[[#This Row],[Kunden Nr.]],KUNDEN!A:G,7)</f>
        <v>Mensuri</v>
      </c>
      <c r="L149" s="76">
        <f>VLOOKUP(Tabelle2[[#This Row],[Artikel]],Produkte!A:H,8)</f>
        <v>0.17</v>
      </c>
    </row>
    <row r="150" spans="1:12" x14ac:dyDescent="0.2">
      <c r="A150" s="75" t="s">
        <v>422</v>
      </c>
      <c r="B150" s="79">
        <v>46035</v>
      </c>
      <c r="C150" s="75"/>
      <c r="D150" s="75"/>
      <c r="E150" s="75"/>
      <c r="F150" s="75">
        <v>20209</v>
      </c>
      <c r="G150" s="76" t="str">
        <f>VLOOKUP(Tabelle2[[#This Row],[Kunden Nr.]],KUNDEN!A:B,2,0)</f>
        <v>LETAJ</v>
      </c>
      <c r="H150" s="75">
        <v>35110</v>
      </c>
      <c r="I150" s="76" t="str">
        <f>VLOOKUP(Tabelle2[[#This Row],[Artikel]],Produkte!A:B,2,0)</f>
        <v>M-ONE Sanitar Silikon</v>
      </c>
      <c r="J150" s="75">
        <v>12</v>
      </c>
      <c r="K150" s="76" t="str">
        <f>VLOOKUP(Tabelle2[[#This Row],[Kunden Nr.]],KUNDEN!A:G,7)</f>
        <v>Mensuri</v>
      </c>
      <c r="L150" s="76">
        <f>VLOOKUP(Tabelle2[[#This Row],[Artikel]],Produkte!A:H,8)</f>
        <v>0.17</v>
      </c>
    </row>
    <row r="151" spans="1:12" x14ac:dyDescent="0.2">
      <c r="A151" s="75" t="s">
        <v>422</v>
      </c>
      <c r="B151" s="79">
        <v>46035</v>
      </c>
      <c r="C151" s="75"/>
      <c r="D151" s="75"/>
      <c r="E151" s="75"/>
      <c r="F151" s="75">
        <v>20209</v>
      </c>
      <c r="G151" s="76" t="str">
        <f>VLOOKUP(Tabelle2[[#This Row],[Kunden Nr.]],KUNDEN!A:B,2,0)</f>
        <v>LETAJ</v>
      </c>
      <c r="H151" s="75">
        <v>35112</v>
      </c>
      <c r="I151" s="76" t="str">
        <f>VLOOKUP(Tabelle2[[#This Row],[Artikel]],Produkte!A:B,2,0)</f>
        <v>M-ONE Sanitar Silikon</v>
      </c>
      <c r="J151" s="75">
        <v>12</v>
      </c>
      <c r="K151" s="76" t="str">
        <f>VLOOKUP(Tabelle2[[#This Row],[Kunden Nr.]],KUNDEN!A:G,7)</f>
        <v>Mensuri</v>
      </c>
      <c r="L151" s="76">
        <f>VLOOKUP(Tabelle2[[#This Row],[Artikel]],Produkte!A:H,8)</f>
        <v>0.17</v>
      </c>
    </row>
    <row r="152" spans="1:12" x14ac:dyDescent="0.2">
      <c r="A152" s="75" t="s">
        <v>424</v>
      </c>
      <c r="B152" s="79">
        <v>46035</v>
      </c>
      <c r="C152" s="89">
        <v>73.8</v>
      </c>
      <c r="D152" s="75"/>
      <c r="E152" s="75"/>
      <c r="F152" s="75">
        <v>20211</v>
      </c>
      <c r="G152" s="76" t="str">
        <f>VLOOKUP(Tabelle2[[#This Row],[Kunden Nr.]],KUNDEN!A:B,2,0)</f>
        <v>INOX 1</v>
      </c>
      <c r="H152" s="75">
        <v>35109</v>
      </c>
      <c r="I152" s="76" t="str">
        <f>VLOOKUP(Tabelle2[[#This Row],[Artikel]],Produkte!A:B,2,0)</f>
        <v>M-ONE Sanitar Silikon</v>
      </c>
      <c r="J152" s="75">
        <v>12</v>
      </c>
      <c r="K152" s="76" t="str">
        <f>VLOOKUP(Tabelle2[[#This Row],[Kunden Nr.]],KUNDEN!A:G,7)</f>
        <v>Mensuri</v>
      </c>
      <c r="L152" s="76">
        <f>VLOOKUP(Tabelle2[[#This Row],[Artikel]],Produkte!A:H,8)</f>
        <v>0.17</v>
      </c>
    </row>
    <row r="153" spans="1:12" x14ac:dyDescent="0.2">
      <c r="A153" s="75" t="s">
        <v>424</v>
      </c>
      <c r="B153" s="79">
        <v>46035</v>
      </c>
      <c r="C153" s="75"/>
      <c r="D153" s="75"/>
      <c r="E153" s="75"/>
      <c r="F153" s="75">
        <v>20211</v>
      </c>
      <c r="G153" s="76" t="str">
        <f>VLOOKUP(Tabelle2[[#This Row],[Kunden Nr.]],KUNDEN!A:B,2,0)</f>
        <v>INOX 1</v>
      </c>
      <c r="H153" s="75">
        <v>51612</v>
      </c>
      <c r="I153" s="76" t="str">
        <f>VLOOKUP(Tabelle2[[#This Row],[Artikel]],Produkte!A:B,2,0)</f>
        <v>struktural akryl</v>
      </c>
      <c r="J153" s="75">
        <v>12</v>
      </c>
      <c r="K153" s="76" t="str">
        <f>VLOOKUP(Tabelle2[[#This Row],[Kunden Nr.]],KUNDEN!A:G,7)</f>
        <v>Mensuri</v>
      </c>
      <c r="L153" s="76">
        <f>VLOOKUP(Tabelle2[[#This Row],[Artikel]],Produkte!A:H,8)</f>
        <v>0.06</v>
      </c>
    </row>
    <row r="154" spans="1:12" x14ac:dyDescent="0.2">
      <c r="A154" s="75" t="s">
        <v>418</v>
      </c>
      <c r="B154" s="79">
        <v>46035</v>
      </c>
      <c r="C154" s="89">
        <v>138.6</v>
      </c>
      <c r="D154" s="75"/>
      <c r="E154" s="75"/>
      <c r="F154" s="75">
        <v>20203</v>
      </c>
      <c r="G154" s="76" t="str">
        <f>VLOOKUP(Tabelle2[[#This Row],[Kunden Nr.]],KUNDEN!A:B,2,0)</f>
        <v>AFRIMI-AG</v>
      </c>
      <c r="H154" s="75">
        <v>35111</v>
      </c>
      <c r="I154" s="76" t="str">
        <f>VLOOKUP(Tabelle2[[#This Row],[Artikel]],Produkte!A:B,2,0)</f>
        <v>M-ONE Sanitar Silikon</v>
      </c>
      <c r="J154" s="75">
        <v>12</v>
      </c>
      <c r="K154" s="76" t="str">
        <f>VLOOKUP(Tabelle2[[#This Row],[Kunden Nr.]],KUNDEN!A:G,7)</f>
        <v>Mensuri</v>
      </c>
      <c r="L154" s="76">
        <f>VLOOKUP(Tabelle2[[#This Row],[Artikel]],Produkte!A:H,8)</f>
        <v>0.17</v>
      </c>
    </row>
    <row r="155" spans="1:12" x14ac:dyDescent="0.2">
      <c r="A155" s="75" t="s">
        <v>418</v>
      </c>
      <c r="B155" s="79">
        <v>46035</v>
      </c>
      <c r="C155" s="75"/>
      <c r="D155" s="75"/>
      <c r="E155" s="75"/>
      <c r="F155" s="75">
        <v>20203</v>
      </c>
      <c r="G155" s="76" t="str">
        <f>VLOOKUP(Tabelle2[[#This Row],[Kunden Nr.]],KUNDEN!A:B,2,0)</f>
        <v>AFRIMI-AG</v>
      </c>
      <c r="H155" s="75">
        <v>35113</v>
      </c>
      <c r="I155" s="76" t="str">
        <f>VLOOKUP(Tabelle2[[#This Row],[Artikel]],Produkte!A:B,2,0)</f>
        <v>M-ONE Sanitar Silikon</v>
      </c>
      <c r="J155" s="75">
        <v>12</v>
      </c>
      <c r="K155" s="76" t="str">
        <f>VLOOKUP(Tabelle2[[#This Row],[Kunden Nr.]],KUNDEN!A:G,7)</f>
        <v>Mensuri</v>
      </c>
      <c r="L155" s="76">
        <f>VLOOKUP(Tabelle2[[#This Row],[Artikel]],Produkte!A:H,8)</f>
        <v>0.17</v>
      </c>
    </row>
    <row r="156" spans="1:12" x14ac:dyDescent="0.2">
      <c r="A156" s="75" t="s">
        <v>418</v>
      </c>
      <c r="B156" s="79">
        <v>46035</v>
      </c>
      <c r="C156" s="75"/>
      <c r="D156" s="75"/>
      <c r="E156" s="75"/>
      <c r="F156" s="75">
        <v>20203</v>
      </c>
      <c r="G156" s="76" t="str">
        <f>VLOOKUP(Tabelle2[[#This Row],[Kunden Nr.]],KUNDEN!A:B,2,0)</f>
        <v>AFRIMI-AG</v>
      </c>
      <c r="H156" s="75">
        <v>35125</v>
      </c>
      <c r="I156" s="76" t="str">
        <f>VLOOKUP(Tabelle2[[#This Row],[Artikel]],Produkte!A:B,2,0)</f>
        <v>M-ONE Sanitar Silikon</v>
      </c>
      <c r="J156" s="75">
        <v>12</v>
      </c>
      <c r="K156" s="76" t="str">
        <f>VLOOKUP(Tabelle2[[#This Row],[Kunden Nr.]],KUNDEN!A:G,7)</f>
        <v>Mensuri</v>
      </c>
      <c r="L156" s="76">
        <f>VLOOKUP(Tabelle2[[#This Row],[Artikel]],Produkte!A:H,8)</f>
        <v>0.17</v>
      </c>
    </row>
    <row r="157" spans="1:12" x14ac:dyDescent="0.2">
      <c r="A157" s="75" t="s">
        <v>963</v>
      </c>
      <c r="B157" s="79">
        <v>46035</v>
      </c>
      <c r="C157" s="89">
        <v>169.6</v>
      </c>
      <c r="D157" s="75"/>
      <c r="E157" s="75"/>
      <c r="F157" s="75">
        <v>20201</v>
      </c>
      <c r="G157" s="76" t="str">
        <f>VLOOKUP(Tabelle2[[#This Row],[Kunden Nr.]],KUNDEN!A:B,2,0)</f>
        <v>TE BESIMI</v>
      </c>
      <c r="H157" s="75">
        <v>35109</v>
      </c>
      <c r="I157" s="76" t="str">
        <f>VLOOKUP(Tabelle2[[#This Row],[Artikel]],Produkte!A:B,2,0)</f>
        <v>M-ONE Sanitar Silikon</v>
      </c>
      <c r="J157" s="75">
        <v>12</v>
      </c>
      <c r="K157" s="76" t="str">
        <f>VLOOKUP(Tabelle2[[#This Row],[Kunden Nr.]],KUNDEN!A:G,7)</f>
        <v>Mensuri</v>
      </c>
      <c r="L157" s="76">
        <f>VLOOKUP(Tabelle2[[#This Row],[Artikel]],Produkte!A:H,8)</f>
        <v>0.17</v>
      </c>
    </row>
    <row r="158" spans="1:12" x14ac:dyDescent="0.2">
      <c r="A158" s="75" t="s">
        <v>963</v>
      </c>
      <c r="B158" s="79">
        <v>46035</v>
      </c>
      <c r="C158" s="75"/>
      <c r="D158" s="75"/>
      <c r="E158" s="75"/>
      <c r="F158" s="75">
        <v>20201</v>
      </c>
      <c r="G158" s="76" t="str">
        <f>VLOOKUP(Tabelle2[[#This Row],[Kunden Nr.]],KUNDEN!A:B,2,0)</f>
        <v>TE BESIMI</v>
      </c>
      <c r="H158" s="75">
        <v>35110</v>
      </c>
      <c r="I158" s="76" t="str">
        <f>VLOOKUP(Tabelle2[[#This Row],[Artikel]],Produkte!A:B,2,0)</f>
        <v>M-ONE Sanitar Silikon</v>
      </c>
      <c r="J158" s="75">
        <v>12</v>
      </c>
      <c r="K158" s="76" t="str">
        <f>VLOOKUP(Tabelle2[[#This Row],[Kunden Nr.]],KUNDEN!A:G,7)</f>
        <v>Mensuri</v>
      </c>
      <c r="L158" s="76">
        <f>VLOOKUP(Tabelle2[[#This Row],[Artikel]],Produkte!A:H,8)</f>
        <v>0.17</v>
      </c>
    </row>
    <row r="159" spans="1:12" x14ac:dyDescent="0.2">
      <c r="A159" s="75" t="s">
        <v>963</v>
      </c>
      <c r="B159" s="79">
        <v>46035</v>
      </c>
      <c r="C159" s="75"/>
      <c r="D159" s="75"/>
      <c r="E159" s="75"/>
      <c r="F159" s="75">
        <v>20201</v>
      </c>
      <c r="G159" s="76" t="str">
        <f>VLOOKUP(Tabelle2[[#This Row],[Kunden Nr.]],KUNDEN!A:B,2,0)</f>
        <v>TE BESIMI</v>
      </c>
      <c r="H159" s="75">
        <v>35111</v>
      </c>
      <c r="I159" s="76" t="str">
        <f>VLOOKUP(Tabelle2[[#This Row],[Artikel]],Produkte!A:B,2,0)</f>
        <v>M-ONE Sanitar Silikon</v>
      </c>
      <c r="J159" s="75">
        <v>12</v>
      </c>
      <c r="K159" s="76" t="str">
        <f>VLOOKUP(Tabelle2[[#This Row],[Kunden Nr.]],KUNDEN!A:G,7)</f>
        <v>Mensuri</v>
      </c>
      <c r="L159" s="76">
        <f>VLOOKUP(Tabelle2[[#This Row],[Artikel]],Produkte!A:H,8)</f>
        <v>0.17</v>
      </c>
    </row>
    <row r="160" spans="1:12" x14ac:dyDescent="0.2">
      <c r="A160" s="75" t="s">
        <v>963</v>
      </c>
      <c r="B160" s="79">
        <v>46035</v>
      </c>
      <c r="C160" s="75"/>
      <c r="D160" s="75"/>
      <c r="E160" s="75"/>
      <c r="F160" s="75">
        <v>20201</v>
      </c>
      <c r="G160" s="76" t="str">
        <f>VLOOKUP(Tabelle2[[#This Row],[Kunden Nr.]],KUNDEN!A:B,2,0)</f>
        <v>TE BESIMI</v>
      </c>
      <c r="H160" s="75">
        <v>51611</v>
      </c>
      <c r="I160" s="76" t="str">
        <f>VLOOKUP(Tabelle2[[#This Row],[Artikel]],Produkte!A:B,2,0)</f>
        <v>universal akryl</v>
      </c>
      <c r="J160" s="75">
        <v>12</v>
      </c>
      <c r="K160" s="76" t="str">
        <f>VLOOKUP(Tabelle2[[#This Row],[Kunden Nr.]],KUNDEN!A:G,7)</f>
        <v>Mensuri</v>
      </c>
      <c r="L160" s="76">
        <f>VLOOKUP(Tabelle2[[#This Row],[Artikel]],Produkte!A:H,8)</f>
        <v>0.06</v>
      </c>
    </row>
    <row r="161" spans="1:12" x14ac:dyDescent="0.2">
      <c r="A161" s="75" t="s">
        <v>963</v>
      </c>
      <c r="B161" s="79">
        <v>46035</v>
      </c>
      <c r="C161" s="75"/>
      <c r="D161" s="75"/>
      <c r="E161" s="75"/>
      <c r="F161" s="75">
        <v>20201</v>
      </c>
      <c r="G161" s="76" t="str">
        <f>VLOOKUP(Tabelle2[[#This Row],[Kunden Nr.]],KUNDEN!A:B,2,0)</f>
        <v>TE BESIMI</v>
      </c>
      <c r="H161" s="75">
        <v>50912</v>
      </c>
      <c r="I161" s="76" t="str">
        <f>VLOOKUP(Tabelle2[[#This Row],[Artikel]],Produkte!A:B,2,0)</f>
        <v>DICHTUNG</v>
      </c>
      <c r="J161" s="75">
        <v>2</v>
      </c>
      <c r="K161" s="76" t="str">
        <f>VLOOKUP(Tabelle2[[#This Row],[Kunden Nr.]],KUNDEN!A:G,7)</f>
        <v>Mensuri</v>
      </c>
      <c r="L161" s="76">
        <f>VLOOKUP(Tabelle2[[#This Row],[Artikel]],Produkte!A:H,8)</f>
        <v>0.2</v>
      </c>
    </row>
    <row r="162" spans="1:12" x14ac:dyDescent="0.2">
      <c r="A162" s="75" t="s">
        <v>1180</v>
      </c>
      <c r="B162" s="79">
        <v>46035</v>
      </c>
      <c r="C162" s="89">
        <v>45</v>
      </c>
      <c r="D162" s="75"/>
      <c r="E162" s="75"/>
      <c r="F162" s="75">
        <v>20126</v>
      </c>
      <c r="G162" s="76" t="str">
        <f>VLOOKUP(Tabelle2[[#This Row],[Kunden Nr.]],KUNDEN!A:B,2,0)</f>
        <v>LULI-C</v>
      </c>
      <c r="H162" s="75">
        <v>39505</v>
      </c>
      <c r="I162" s="76" t="str">
        <f>VLOOKUP(Tabelle2[[#This Row],[Artikel]],Produkte!A:B,2,0)</f>
        <v>M ONE SILIKON SPRAY</v>
      </c>
      <c r="J162" s="75">
        <v>15</v>
      </c>
      <c r="K162" s="76" t="str">
        <f>VLOOKUP(Tabelle2[[#This Row],[Kunden Nr.]],KUNDEN!A:G,7)</f>
        <v>Mensuri</v>
      </c>
      <c r="L162" s="76">
        <f>VLOOKUP(Tabelle2[[#This Row],[Artikel]],Produkte!A:H,8)</f>
        <v>0.2</v>
      </c>
    </row>
    <row r="163" spans="1:12" x14ac:dyDescent="0.2">
      <c r="A163" s="75" t="s">
        <v>1163</v>
      </c>
      <c r="B163" s="79">
        <v>46035</v>
      </c>
      <c r="C163" s="89">
        <v>47.5</v>
      </c>
      <c r="D163" s="75"/>
      <c r="E163" s="75"/>
      <c r="F163" s="75">
        <v>20121</v>
      </c>
      <c r="G163" s="76" t="str">
        <f>VLOOKUP(Tabelle2[[#This Row],[Kunden Nr.]],KUNDEN!A:B,2,0)</f>
        <v>CAMA BAU</v>
      </c>
      <c r="H163" s="75">
        <v>12000</v>
      </c>
      <c r="I163" s="76" t="str">
        <f>VLOOKUP(Tabelle2[[#This Row],[Artikel]],Produkte!A:B,2,0)</f>
        <v>BAU CLEAN</v>
      </c>
      <c r="J163" s="75">
        <v>5</v>
      </c>
      <c r="K163" s="76" t="str">
        <f>VLOOKUP(Tabelle2[[#This Row],[Kunden Nr.]],KUNDEN!A:G,7)</f>
        <v>Mensuri</v>
      </c>
      <c r="L163" s="76">
        <f>VLOOKUP(Tabelle2[[#This Row],[Artikel]],Produkte!A:H,8)</f>
        <v>0.5</v>
      </c>
    </row>
    <row r="164" spans="1:12" x14ac:dyDescent="0.2">
      <c r="A164" s="75" t="s">
        <v>1163</v>
      </c>
      <c r="B164" s="79">
        <v>46035</v>
      </c>
      <c r="C164" s="75"/>
      <c r="D164" s="75"/>
      <c r="E164" s="75"/>
      <c r="F164" s="75">
        <v>20121</v>
      </c>
      <c r="G164" s="76" t="str">
        <f>VLOOKUP(Tabelle2[[#This Row],[Kunden Nr.]],KUNDEN!A:B,2,0)</f>
        <v>CAMA BAU</v>
      </c>
      <c r="H164" s="75">
        <v>12001</v>
      </c>
      <c r="I164" s="76" t="str">
        <f>VLOOKUP(Tabelle2[[#This Row],[Artikel]],Produkte!A:B,2,0)</f>
        <v>BAU CLEAN</v>
      </c>
      <c r="J164" s="75">
        <v>5</v>
      </c>
      <c r="K164" s="76" t="str">
        <f>VLOOKUP(Tabelle2[[#This Row],[Kunden Nr.]],KUNDEN!A:G,7)</f>
        <v>Mensuri</v>
      </c>
      <c r="L164" s="76">
        <f>VLOOKUP(Tabelle2[[#This Row],[Artikel]],Produkte!A:H,8)</f>
        <v>0.3</v>
      </c>
    </row>
    <row r="165" spans="1:12" x14ac:dyDescent="0.2">
      <c r="A165" s="75" t="s">
        <v>770</v>
      </c>
      <c r="B165" s="79">
        <v>46035</v>
      </c>
      <c r="C165" s="89">
        <v>249</v>
      </c>
      <c r="D165" s="75"/>
      <c r="E165" s="75"/>
      <c r="F165" s="75">
        <v>40003</v>
      </c>
      <c r="G165" s="76" t="str">
        <f>VLOOKUP(Tabelle2[[#This Row],[Kunden Nr.]],KUNDEN!A:B,2,0)</f>
        <v>ARBENI BIOBLIC</v>
      </c>
      <c r="H165" s="75">
        <v>20001</v>
      </c>
      <c r="I165" s="76" t="str">
        <f>VLOOKUP(Tabelle2[[#This Row],[Artikel]],Produkte!A:B,2,0)</f>
        <v>BioBlic Universalreiniger</v>
      </c>
      <c r="J165" s="75">
        <v>140</v>
      </c>
      <c r="K165" s="76">
        <f>VLOOKUP(Tabelle2[[#This Row],[Kunden Nr.]],KUNDEN!A:G,7)</f>
        <v>0</v>
      </c>
      <c r="L165" s="76">
        <f>VLOOKUP(Tabelle2[[#This Row],[Artikel]],Produkte!A:H,8)</f>
        <v>0.30000000000000004</v>
      </c>
    </row>
    <row r="166" spans="1:12" x14ac:dyDescent="0.2">
      <c r="A166" s="75" t="s">
        <v>770</v>
      </c>
      <c r="B166" s="79">
        <v>46035</v>
      </c>
      <c r="C166" s="75"/>
      <c r="D166" s="75"/>
      <c r="E166" s="75"/>
      <c r="F166" s="75">
        <v>40003</v>
      </c>
      <c r="G166" s="76" t="str">
        <f>VLOOKUP(Tabelle2[[#This Row],[Kunden Nr.]],KUNDEN!A:B,2,0)</f>
        <v>ARBENI BIOBLIC</v>
      </c>
      <c r="H166" s="75">
        <v>30275</v>
      </c>
      <c r="I166" s="76" t="str">
        <f>VLOOKUP(Tabelle2[[#This Row],[Artikel]],Produkte!A:B,2,0)</f>
        <v>Blic Blic Sanitärreiniger</v>
      </c>
      <c r="J166" s="75">
        <v>60</v>
      </c>
      <c r="K166" s="76">
        <f>VLOOKUP(Tabelle2[[#This Row],[Kunden Nr.]],KUNDEN!A:G,7)</f>
        <v>0</v>
      </c>
      <c r="L166" s="76">
        <f>VLOOKUP(Tabelle2[[#This Row],[Artikel]],Produkte!A:H,8)</f>
        <v>0.30000000000000004</v>
      </c>
    </row>
    <row r="167" spans="1:12" x14ac:dyDescent="0.2">
      <c r="A167" s="75" t="s">
        <v>12</v>
      </c>
      <c r="B167" s="79">
        <v>46036</v>
      </c>
      <c r="C167" s="89">
        <v>46.2</v>
      </c>
      <c r="D167" s="75"/>
      <c r="E167" s="75"/>
      <c r="F167" s="75">
        <v>10308</v>
      </c>
      <c r="G167" s="76" t="str">
        <f>VLOOKUP(Tabelle2[[#This Row],[Kunden Nr.]],KUNDEN!A:B,2,0)</f>
        <v>ERALP</v>
      </c>
      <c r="H167" s="75">
        <v>35121</v>
      </c>
      <c r="I167" s="76" t="str">
        <f>VLOOKUP(Tabelle2[[#This Row],[Artikel]],Produkte!A:B,2,0)</f>
        <v>M-ONE Sanitar Silikon</v>
      </c>
      <c r="J167" s="75">
        <v>12</v>
      </c>
      <c r="K167" s="76" t="str">
        <f>VLOOKUP(Tabelle2[[#This Row],[Kunden Nr.]],KUNDEN!A:G,7)</f>
        <v>Qerimi</v>
      </c>
      <c r="L167" s="76">
        <f>VLOOKUP(Tabelle2[[#This Row],[Artikel]],Produkte!A:H,8)</f>
        <v>0.17</v>
      </c>
    </row>
    <row r="168" spans="1:12" x14ac:dyDescent="0.2">
      <c r="A168" s="75" t="s">
        <v>30</v>
      </c>
      <c r="B168" s="79">
        <v>46036</v>
      </c>
      <c r="C168" s="89">
        <v>36</v>
      </c>
      <c r="D168" s="75"/>
      <c r="E168" s="75"/>
      <c r="F168" s="75">
        <v>10323</v>
      </c>
      <c r="G168" s="76" t="str">
        <f>VLOOKUP(Tabelle2[[#This Row],[Kunden Nr.]],KUNDEN!A:B,2,0)</f>
        <v>BEKA-3</v>
      </c>
      <c r="H168" s="75">
        <v>50912</v>
      </c>
      <c r="I168" s="76" t="str">
        <f>VLOOKUP(Tabelle2[[#This Row],[Artikel]],Produkte!A:B,2,0)</f>
        <v>DICHTUNG</v>
      </c>
      <c r="J168" s="75">
        <v>5</v>
      </c>
      <c r="K168" s="76" t="str">
        <f>VLOOKUP(Tabelle2[[#This Row],[Kunden Nr.]],KUNDEN!A:G,7)</f>
        <v>Qerimi</v>
      </c>
      <c r="L168" s="76">
        <f>VLOOKUP(Tabelle2[[#This Row],[Artikel]],Produkte!A:H,8)</f>
        <v>0.2</v>
      </c>
    </row>
    <row r="169" spans="1:12" x14ac:dyDescent="0.2">
      <c r="A169" s="75" t="s">
        <v>1253</v>
      </c>
      <c r="B169" s="79">
        <v>46036</v>
      </c>
      <c r="C169" s="89">
        <v>46.2</v>
      </c>
      <c r="D169" s="75"/>
      <c r="E169" s="75"/>
      <c r="F169" s="75">
        <v>10357</v>
      </c>
      <c r="G169" s="76" t="str">
        <f>VLOOKUP(Tabelle2[[#This Row],[Kunden Nr.]],KUNDEN!A:B,2,0)</f>
        <v>GLOBAL NT</v>
      </c>
      <c r="H169" s="75">
        <v>35113</v>
      </c>
      <c r="I169" s="76" t="str">
        <f>VLOOKUP(Tabelle2[[#This Row],[Artikel]],Produkte!A:B,2,0)</f>
        <v>M-ONE Sanitar Silikon</v>
      </c>
      <c r="J169" s="75">
        <v>12</v>
      </c>
      <c r="K169" s="76" t="str">
        <f>VLOOKUP(Tabelle2[[#This Row],[Kunden Nr.]],KUNDEN!A:G,7)</f>
        <v>Qerimi</v>
      </c>
      <c r="L169" s="76">
        <f>VLOOKUP(Tabelle2[[#This Row],[Artikel]],Produkte!A:H,8)</f>
        <v>0.17</v>
      </c>
    </row>
    <row r="170" spans="1:12" x14ac:dyDescent="0.2">
      <c r="A170" s="75" t="s">
        <v>1153</v>
      </c>
      <c r="B170" s="79">
        <v>46036</v>
      </c>
      <c r="C170" s="89">
        <v>46.2</v>
      </c>
      <c r="D170" s="75"/>
      <c r="E170" s="75"/>
      <c r="F170" s="75">
        <v>10340</v>
      </c>
      <c r="G170" s="76" t="str">
        <f>VLOOKUP(Tabelle2[[#This Row],[Kunden Nr.]],KUNDEN!A:B,2,0)</f>
        <v>IBAK</v>
      </c>
      <c r="H170" s="75">
        <v>35128</v>
      </c>
      <c r="I170" s="76" t="str">
        <f>VLOOKUP(Tabelle2[[#This Row],[Artikel]],Produkte!A:B,2,0)</f>
        <v>M-ONE Sanitar Silikon</v>
      </c>
      <c r="J170" s="75">
        <v>12</v>
      </c>
      <c r="K170" s="76" t="str">
        <f>VLOOKUP(Tabelle2[[#This Row],[Kunden Nr.]],KUNDEN!A:G,7)</f>
        <v>Qerimi</v>
      </c>
      <c r="L170" s="76">
        <f>VLOOKUP(Tabelle2[[#This Row],[Artikel]],Produkte!A:H,8)</f>
        <v>0.17</v>
      </c>
    </row>
    <row r="171" spans="1:12" x14ac:dyDescent="0.2">
      <c r="A171" s="75" t="s">
        <v>1304</v>
      </c>
      <c r="B171" s="79">
        <v>46036</v>
      </c>
      <c r="C171" s="89">
        <v>184.8</v>
      </c>
      <c r="D171" s="75"/>
      <c r="E171" s="75"/>
      <c r="F171" s="75">
        <v>10366</v>
      </c>
      <c r="G171" s="76" t="str">
        <f>VLOOKUP(Tabelle2[[#This Row],[Kunden Nr.]],KUNDEN!A:B,2,0)</f>
        <v>MIRSADI</v>
      </c>
      <c r="H171" s="75">
        <v>35109</v>
      </c>
      <c r="I171" s="76" t="str">
        <f>VLOOKUP(Tabelle2[[#This Row],[Artikel]],Produkte!A:B,2,0)</f>
        <v>M-ONE Sanitar Silikon</v>
      </c>
      <c r="J171" s="75">
        <v>12</v>
      </c>
      <c r="K171" s="76" t="str">
        <f>VLOOKUP(Tabelle2[[#This Row],[Kunden Nr.]],KUNDEN!A:G,7)</f>
        <v>Qerimi</v>
      </c>
      <c r="L171" s="76">
        <f>VLOOKUP(Tabelle2[[#This Row],[Artikel]],Produkte!A:H,8)</f>
        <v>0.17</v>
      </c>
    </row>
    <row r="172" spans="1:12" x14ac:dyDescent="0.2">
      <c r="A172" s="75" t="s">
        <v>1304</v>
      </c>
      <c r="B172" s="79">
        <v>46036</v>
      </c>
      <c r="C172" s="75"/>
      <c r="D172" s="75"/>
      <c r="E172" s="75"/>
      <c r="F172" s="75">
        <v>10366</v>
      </c>
      <c r="G172" s="76" t="str">
        <f>VLOOKUP(Tabelle2[[#This Row],[Kunden Nr.]],KUNDEN!A:B,2,0)</f>
        <v>MIRSADI</v>
      </c>
      <c r="H172" s="75">
        <v>35112</v>
      </c>
      <c r="I172" s="76" t="str">
        <f>VLOOKUP(Tabelle2[[#This Row],[Artikel]],Produkte!A:B,2,0)</f>
        <v>M-ONE Sanitar Silikon</v>
      </c>
      <c r="J172" s="75">
        <v>12</v>
      </c>
      <c r="K172" s="76" t="str">
        <f>VLOOKUP(Tabelle2[[#This Row],[Kunden Nr.]],KUNDEN!A:G,7)</f>
        <v>Qerimi</v>
      </c>
      <c r="L172" s="76">
        <f>VLOOKUP(Tabelle2[[#This Row],[Artikel]],Produkte!A:H,8)</f>
        <v>0.17</v>
      </c>
    </row>
    <row r="173" spans="1:12" x14ac:dyDescent="0.2">
      <c r="A173" s="75" t="s">
        <v>1304</v>
      </c>
      <c r="B173" s="79">
        <v>46036</v>
      </c>
      <c r="C173" s="75"/>
      <c r="D173" s="75"/>
      <c r="E173" s="75"/>
      <c r="F173" s="75">
        <v>10366</v>
      </c>
      <c r="G173" s="76" t="str">
        <f>VLOOKUP(Tabelle2[[#This Row],[Kunden Nr.]],KUNDEN!A:B,2,0)</f>
        <v>MIRSADI</v>
      </c>
      <c r="H173" s="75">
        <v>35121</v>
      </c>
      <c r="I173" s="76" t="str">
        <f>VLOOKUP(Tabelle2[[#This Row],[Artikel]],Produkte!A:B,2,0)</f>
        <v>M-ONE Sanitar Silikon</v>
      </c>
      <c r="J173" s="75">
        <v>24</v>
      </c>
      <c r="K173" s="76" t="str">
        <f>VLOOKUP(Tabelle2[[#This Row],[Kunden Nr.]],KUNDEN!A:G,7)</f>
        <v>Qerimi</v>
      </c>
      <c r="L173" s="76">
        <f>VLOOKUP(Tabelle2[[#This Row],[Artikel]],Produkte!A:H,8)</f>
        <v>0.17</v>
      </c>
    </row>
    <row r="174" spans="1:12" x14ac:dyDescent="0.2">
      <c r="A174" s="75" t="s">
        <v>1253</v>
      </c>
      <c r="B174" s="79">
        <v>46036</v>
      </c>
      <c r="C174" s="89">
        <v>135</v>
      </c>
      <c r="D174" s="75"/>
      <c r="E174" s="75"/>
      <c r="F174" s="75">
        <v>10360</v>
      </c>
      <c r="G174" s="76" t="e">
        <f>VLOOKUP(Tabelle2[[#This Row],[Kunden Nr.]],KUNDEN!A:B,2,0)</f>
        <v>#N/A</v>
      </c>
      <c r="H174" s="75">
        <v>35110</v>
      </c>
      <c r="I174" s="76" t="str">
        <f>VLOOKUP(Tabelle2[[#This Row],[Artikel]],Produkte!A:B,2,0)</f>
        <v>M-ONE Sanitar Silikon</v>
      </c>
      <c r="J174" s="75">
        <v>12</v>
      </c>
      <c r="K174" s="76" t="str">
        <f>VLOOKUP(Tabelle2[[#This Row],[Kunden Nr.]],KUNDEN!A:G,7)</f>
        <v>Qerimi</v>
      </c>
      <c r="L174" s="76">
        <f>VLOOKUP(Tabelle2[[#This Row],[Artikel]],Produkte!A:H,8)</f>
        <v>0.17</v>
      </c>
    </row>
    <row r="175" spans="1:12" x14ac:dyDescent="0.2">
      <c r="A175" s="75" t="s">
        <v>1253</v>
      </c>
      <c r="B175" s="79">
        <v>46036</v>
      </c>
      <c r="C175" s="75"/>
      <c r="D175" s="75"/>
      <c r="E175" s="75"/>
      <c r="F175" s="75">
        <v>10360</v>
      </c>
      <c r="G175" s="76" t="e">
        <f>VLOOKUP(Tabelle2[[#This Row],[Kunden Nr.]],KUNDEN!A:B,2,0)</f>
        <v>#N/A</v>
      </c>
      <c r="H175" s="75">
        <v>35125</v>
      </c>
      <c r="I175" s="76" t="str">
        <f>VLOOKUP(Tabelle2[[#This Row],[Artikel]],Produkte!A:B,2,0)</f>
        <v>M-ONE Sanitar Silikon</v>
      </c>
      <c r="J175" s="75">
        <v>12</v>
      </c>
      <c r="K175" s="76" t="str">
        <f>VLOOKUP(Tabelle2[[#This Row],[Kunden Nr.]],KUNDEN!A:G,7)</f>
        <v>Qerimi</v>
      </c>
      <c r="L175" s="76">
        <f>VLOOKUP(Tabelle2[[#This Row],[Artikel]],Produkte!A:H,8)</f>
        <v>0.17</v>
      </c>
    </row>
    <row r="176" spans="1:12" x14ac:dyDescent="0.2">
      <c r="A176" s="75" t="s">
        <v>1253</v>
      </c>
      <c r="B176" s="79">
        <v>46036</v>
      </c>
      <c r="C176" s="75"/>
      <c r="D176" s="75"/>
      <c r="E176" s="75"/>
      <c r="F176" s="75">
        <v>10360</v>
      </c>
      <c r="G176" s="76" t="e">
        <f>VLOOKUP(Tabelle2[[#This Row],[Kunden Nr.]],KUNDEN!A:B,2,0)</f>
        <v>#N/A</v>
      </c>
      <c r="H176" s="75">
        <v>51612</v>
      </c>
      <c r="I176" s="76" t="str">
        <f>VLOOKUP(Tabelle2[[#This Row],[Artikel]],Produkte!A:B,2,0)</f>
        <v>struktural akryl</v>
      </c>
      <c r="J176" s="75">
        <v>12</v>
      </c>
      <c r="K176" s="76" t="str">
        <f>VLOOKUP(Tabelle2[[#This Row],[Kunden Nr.]],KUNDEN!A:G,7)</f>
        <v>Qerimi</v>
      </c>
      <c r="L176" s="76">
        <f>VLOOKUP(Tabelle2[[#This Row],[Artikel]],Produkte!A:H,8)</f>
        <v>0.06</v>
      </c>
    </row>
    <row r="177" spans="1:12" x14ac:dyDescent="0.2">
      <c r="A177" s="75" t="s">
        <v>1253</v>
      </c>
      <c r="B177" s="79">
        <v>46036</v>
      </c>
      <c r="C177" s="75"/>
      <c r="D177" s="75"/>
      <c r="E177" s="75"/>
      <c r="F177" s="75">
        <v>10360</v>
      </c>
      <c r="G177" s="76" t="e">
        <f>VLOOKUP(Tabelle2[[#This Row],[Kunden Nr.]],KUNDEN!A:B,2,0)</f>
        <v>#N/A</v>
      </c>
      <c r="H177" s="75">
        <v>51611</v>
      </c>
      <c r="I177" s="76" t="str">
        <f>VLOOKUP(Tabelle2[[#This Row],[Artikel]],Produkte!A:B,2,0)</f>
        <v>universal akryl</v>
      </c>
      <c r="J177" s="75">
        <v>12</v>
      </c>
      <c r="K177" s="76" t="str">
        <f>VLOOKUP(Tabelle2[[#This Row],[Kunden Nr.]],KUNDEN!A:G,7)</f>
        <v>Qerimi</v>
      </c>
      <c r="L177" s="76">
        <f>VLOOKUP(Tabelle2[[#This Row],[Artikel]],Produkte!A:H,8)</f>
        <v>0.06</v>
      </c>
    </row>
    <row r="178" spans="1:12" x14ac:dyDescent="0.2">
      <c r="A178" s="75" t="s">
        <v>415</v>
      </c>
      <c r="B178" s="79">
        <v>46036</v>
      </c>
      <c r="C178" s="89">
        <v>46.2</v>
      </c>
      <c r="D178" s="75"/>
      <c r="E178" s="75"/>
      <c r="F178" s="75">
        <v>10352</v>
      </c>
      <c r="G178" s="76" t="str">
        <f>VLOOKUP(Tabelle2[[#This Row],[Kunden Nr.]],KUNDEN!A:B,2,0)</f>
        <v>SMIRA</v>
      </c>
      <c r="H178" s="75">
        <v>35109</v>
      </c>
      <c r="I178" s="76" t="str">
        <f>VLOOKUP(Tabelle2[[#This Row],[Artikel]],Produkte!A:B,2,0)</f>
        <v>M-ONE Sanitar Silikon</v>
      </c>
      <c r="J178" s="75">
        <v>12</v>
      </c>
      <c r="K178" s="76" t="str">
        <f>VLOOKUP(Tabelle2[[#This Row],[Kunden Nr.]],KUNDEN!A:G,7)</f>
        <v>Qerimi</v>
      </c>
      <c r="L178" s="76">
        <f>VLOOKUP(Tabelle2[[#This Row],[Artikel]],Produkte!A:H,8)</f>
        <v>0.17</v>
      </c>
    </row>
    <row r="179" spans="1:12" x14ac:dyDescent="0.2">
      <c r="A179" s="75" t="s">
        <v>7</v>
      </c>
      <c r="B179" s="79">
        <v>46036</v>
      </c>
      <c r="C179" s="89">
        <v>16</v>
      </c>
      <c r="D179" s="75"/>
      <c r="E179" s="75"/>
      <c r="F179" s="75">
        <v>10303</v>
      </c>
      <c r="G179" s="76" t="str">
        <f>VLOOKUP(Tabelle2[[#This Row],[Kunden Nr.]],KUNDEN!A:B,2,0)</f>
        <v>BEKA-1</v>
      </c>
      <c r="H179" s="75">
        <v>56117</v>
      </c>
      <c r="I179" s="76" t="str">
        <f>VLOOKUP(Tabelle2[[#This Row],[Artikel]],Produkte!A:B,2,0)</f>
        <v>M ONE UBS</v>
      </c>
      <c r="J179" s="75">
        <v>4</v>
      </c>
      <c r="K179" s="76" t="str">
        <f>VLOOKUP(Tabelle2[[#This Row],[Kunden Nr.]],KUNDEN!A:G,7)</f>
        <v>Qerimi</v>
      </c>
      <c r="L179" s="76">
        <f>VLOOKUP(Tabelle2[[#This Row],[Artikel]],Produkte!A:H,8)</f>
        <v>0.2</v>
      </c>
    </row>
    <row r="180" spans="1:12" x14ac:dyDescent="0.2">
      <c r="A180" s="75" t="s">
        <v>43</v>
      </c>
      <c r="B180" s="79">
        <v>46036</v>
      </c>
      <c r="C180" s="89">
        <v>46.2</v>
      </c>
      <c r="D180" s="75"/>
      <c r="E180" s="75"/>
      <c r="F180" s="75">
        <v>10332</v>
      </c>
      <c r="G180" s="76" t="str">
        <f>VLOOKUP(Tabelle2[[#This Row],[Kunden Nr.]],KUNDEN!A:B,2,0)</f>
        <v>DARDANIA</v>
      </c>
      <c r="H180" s="75">
        <v>35125</v>
      </c>
      <c r="I180" s="76" t="str">
        <f>VLOOKUP(Tabelle2[[#This Row],[Artikel]],Produkte!A:B,2,0)</f>
        <v>M-ONE Sanitar Silikon</v>
      </c>
      <c r="J180" s="75">
        <v>12</v>
      </c>
      <c r="K180" s="76" t="str">
        <f>VLOOKUP(Tabelle2[[#This Row],[Kunden Nr.]],KUNDEN!A:G,7)</f>
        <v>Qerimi</v>
      </c>
      <c r="L180" s="76">
        <f>VLOOKUP(Tabelle2[[#This Row],[Artikel]],Produkte!A:H,8)</f>
        <v>0.17</v>
      </c>
    </row>
    <row r="181" spans="1:12" x14ac:dyDescent="0.2">
      <c r="A181" s="75" t="s">
        <v>1057</v>
      </c>
      <c r="B181" s="79">
        <v>46036</v>
      </c>
      <c r="C181" s="89">
        <v>46.2</v>
      </c>
      <c r="D181" s="75"/>
      <c r="E181" s="75"/>
      <c r="F181" s="75">
        <v>20324</v>
      </c>
      <c r="G181" s="76" t="str">
        <f>VLOOKUP(Tabelle2[[#This Row],[Kunden Nr.]],KUNDEN!A:B,2,0)</f>
        <v>BAU HOME</v>
      </c>
      <c r="H181" s="75">
        <v>35110</v>
      </c>
      <c r="I181" s="76" t="str">
        <f>VLOOKUP(Tabelle2[[#This Row],[Artikel]],Produkte!A:B,2,0)</f>
        <v>M-ONE Sanitar Silikon</v>
      </c>
      <c r="J181" s="75">
        <v>12</v>
      </c>
      <c r="K181" s="76" t="str">
        <f>VLOOKUP(Tabelle2[[#This Row],[Kunden Nr.]],KUNDEN!A:G,7)</f>
        <v>Mensuri</v>
      </c>
      <c r="L181" s="76">
        <f>VLOOKUP(Tabelle2[[#This Row],[Artikel]],Produkte!A:H,8)</f>
        <v>0.17</v>
      </c>
    </row>
    <row r="182" spans="1:12" x14ac:dyDescent="0.2">
      <c r="A182" s="75" t="s">
        <v>618</v>
      </c>
      <c r="B182" s="79">
        <v>46036</v>
      </c>
      <c r="C182" s="89">
        <v>299</v>
      </c>
      <c r="D182" s="75"/>
      <c r="E182" s="75"/>
      <c r="F182" s="75">
        <v>20307</v>
      </c>
      <c r="G182" s="76" t="str">
        <f>VLOOKUP(Tabelle2[[#This Row],[Kunden Nr.]],KUNDEN!A:B,2,0)</f>
        <v>CONDOR</v>
      </c>
      <c r="H182" s="75">
        <v>35111</v>
      </c>
      <c r="I182" s="76" t="str">
        <f>VLOOKUP(Tabelle2[[#This Row],[Artikel]],Produkte!A:B,2,0)</f>
        <v>M-ONE Sanitar Silikon</v>
      </c>
      <c r="J182" s="75">
        <v>24</v>
      </c>
      <c r="K182" s="76" t="str">
        <f>VLOOKUP(Tabelle2[[#This Row],[Kunden Nr.]],KUNDEN!A:G,7)</f>
        <v>Mensuri</v>
      </c>
      <c r="L182" s="76">
        <f>VLOOKUP(Tabelle2[[#This Row],[Artikel]],Produkte!A:H,8)</f>
        <v>0.17</v>
      </c>
    </row>
    <row r="183" spans="1:12" x14ac:dyDescent="0.2">
      <c r="A183" s="75" t="s">
        <v>618</v>
      </c>
      <c r="B183" s="79">
        <v>46036</v>
      </c>
      <c r="C183" s="75"/>
      <c r="D183" s="75"/>
      <c r="E183" s="75"/>
      <c r="F183" s="75">
        <v>20307</v>
      </c>
      <c r="G183" s="76" t="str">
        <f>VLOOKUP(Tabelle2[[#This Row],[Kunden Nr.]],KUNDEN!A:B,2,0)</f>
        <v>CONDOR</v>
      </c>
      <c r="H183" s="75">
        <v>35112</v>
      </c>
      <c r="I183" s="76" t="str">
        <f>VLOOKUP(Tabelle2[[#This Row],[Artikel]],Produkte!A:B,2,0)</f>
        <v>M-ONE Sanitar Silikon</v>
      </c>
      <c r="J183" s="75">
        <v>12</v>
      </c>
      <c r="K183" s="76" t="str">
        <f>VLOOKUP(Tabelle2[[#This Row],[Kunden Nr.]],KUNDEN!A:G,7)</f>
        <v>Mensuri</v>
      </c>
      <c r="L183" s="76">
        <f>VLOOKUP(Tabelle2[[#This Row],[Artikel]],Produkte!A:H,8)</f>
        <v>0.17</v>
      </c>
    </row>
    <row r="184" spans="1:12" x14ac:dyDescent="0.2">
      <c r="A184" s="75" t="s">
        <v>618</v>
      </c>
      <c r="B184" s="79">
        <v>46036</v>
      </c>
      <c r="C184" s="75"/>
      <c r="D184" s="75"/>
      <c r="E184" s="75"/>
      <c r="F184" s="75">
        <v>20307</v>
      </c>
      <c r="G184" s="76" t="str">
        <f>VLOOKUP(Tabelle2[[#This Row],[Kunden Nr.]],KUNDEN!A:B,2,0)</f>
        <v>CONDOR</v>
      </c>
      <c r="H184" s="75">
        <v>66701</v>
      </c>
      <c r="I184" s="76" t="str">
        <f>VLOOKUP(Tabelle2[[#This Row],[Artikel]],Produkte!A:B,2,0)</f>
        <v>PROFIMONT EXTREME</v>
      </c>
      <c r="J184" s="75">
        <v>12</v>
      </c>
      <c r="K184" s="76" t="str">
        <f>VLOOKUP(Tabelle2[[#This Row],[Kunden Nr.]],KUNDEN!A:G,7)</f>
        <v>Mensuri</v>
      </c>
      <c r="L184" s="76">
        <f>VLOOKUP(Tabelle2[[#This Row],[Artikel]],Produkte!A:H,8)</f>
        <v>0.2</v>
      </c>
    </row>
    <row r="185" spans="1:12" x14ac:dyDescent="0.2">
      <c r="A185" s="75" t="s">
        <v>618</v>
      </c>
      <c r="B185" s="79">
        <v>46036</v>
      </c>
      <c r="C185" s="75"/>
      <c r="D185" s="75"/>
      <c r="E185" s="75"/>
      <c r="F185" s="75">
        <v>20307</v>
      </c>
      <c r="G185" s="76" t="str">
        <f>VLOOKUP(Tabelle2[[#This Row],[Kunden Nr.]],KUNDEN!A:B,2,0)</f>
        <v>CONDOR</v>
      </c>
      <c r="H185" s="75">
        <v>51612</v>
      </c>
      <c r="I185" s="76" t="str">
        <f>VLOOKUP(Tabelle2[[#This Row],[Artikel]],Produkte!A:B,2,0)</f>
        <v>struktural akryl</v>
      </c>
      <c r="J185" s="75">
        <v>36</v>
      </c>
      <c r="K185" s="76" t="str">
        <f>VLOOKUP(Tabelle2[[#This Row],[Kunden Nr.]],KUNDEN!A:G,7)</f>
        <v>Mensuri</v>
      </c>
      <c r="L185" s="76">
        <f>VLOOKUP(Tabelle2[[#This Row],[Artikel]],Produkte!A:H,8)</f>
        <v>0.06</v>
      </c>
    </row>
    <row r="186" spans="1:12" x14ac:dyDescent="0.2">
      <c r="A186" s="75" t="s">
        <v>618</v>
      </c>
      <c r="B186" s="79">
        <v>46036</v>
      </c>
      <c r="C186" s="75"/>
      <c r="D186" s="75"/>
      <c r="E186" s="75"/>
      <c r="F186" s="75">
        <v>20307</v>
      </c>
      <c r="G186" s="76" t="str">
        <f>VLOOKUP(Tabelle2[[#This Row],[Kunden Nr.]],KUNDEN!A:B,2,0)</f>
        <v>CONDOR</v>
      </c>
      <c r="H186" s="75">
        <v>49644</v>
      </c>
      <c r="I186" s="76" t="str">
        <f>VLOOKUP(Tabelle2[[#This Row],[Artikel]],Produkte!A:B,2,0)</f>
        <v>beMAKER Rostlöser</v>
      </c>
      <c r="J186" s="75">
        <v>4</v>
      </c>
      <c r="K186" s="76" t="str">
        <f>VLOOKUP(Tabelle2[[#This Row],[Kunden Nr.]],KUNDEN!A:G,7)</f>
        <v>Mensuri</v>
      </c>
      <c r="L186" s="76">
        <f>VLOOKUP(Tabelle2[[#This Row],[Artikel]],Produkte!A:H,8)</f>
        <v>0.2</v>
      </c>
    </row>
    <row r="187" spans="1:12" x14ac:dyDescent="0.2">
      <c r="A187" s="75" t="s">
        <v>614</v>
      </c>
      <c r="B187" s="79">
        <v>46036</v>
      </c>
      <c r="C187" s="89">
        <v>73.8</v>
      </c>
      <c r="D187" s="75"/>
      <c r="E187" s="75"/>
      <c r="F187" s="75">
        <v>20301</v>
      </c>
      <c r="G187" s="76" t="str">
        <f>VLOOKUP(Tabelle2[[#This Row],[Kunden Nr.]],KUNDEN!A:B,2,0)</f>
        <v>HAZROLLI</v>
      </c>
      <c r="H187" s="75">
        <v>35112</v>
      </c>
      <c r="I187" s="76" t="str">
        <f>VLOOKUP(Tabelle2[[#This Row],[Artikel]],Produkte!A:B,2,0)</f>
        <v>M-ONE Sanitar Silikon</v>
      </c>
      <c r="J187" s="75">
        <v>12</v>
      </c>
      <c r="K187" s="76" t="str">
        <f>VLOOKUP(Tabelle2[[#This Row],[Kunden Nr.]],KUNDEN!A:G,7)</f>
        <v>Mensuri</v>
      </c>
      <c r="L187" s="76">
        <f>VLOOKUP(Tabelle2[[#This Row],[Artikel]],Produkte!A:H,8)</f>
        <v>0.17</v>
      </c>
    </row>
    <row r="188" spans="1:12" x14ac:dyDescent="0.2">
      <c r="A188" s="75" t="s">
        <v>614</v>
      </c>
      <c r="B188" s="79">
        <v>46036</v>
      </c>
      <c r="C188" s="75"/>
      <c r="D188" s="75"/>
      <c r="E188" s="75"/>
      <c r="F188" s="75">
        <v>20301</v>
      </c>
      <c r="G188" s="76" t="str">
        <f>VLOOKUP(Tabelle2[[#This Row],[Kunden Nr.]],KUNDEN!A:B,2,0)</f>
        <v>HAZROLLI</v>
      </c>
      <c r="H188" s="75">
        <v>51612</v>
      </c>
      <c r="I188" s="76" t="str">
        <f>VLOOKUP(Tabelle2[[#This Row],[Artikel]],Produkte!A:B,2,0)</f>
        <v>struktural akryl</v>
      </c>
      <c r="J188" s="75">
        <v>12</v>
      </c>
      <c r="K188" s="76" t="str">
        <f>VLOOKUP(Tabelle2[[#This Row],[Kunden Nr.]],KUNDEN!A:G,7)</f>
        <v>Mensuri</v>
      </c>
      <c r="L188" s="76">
        <f>VLOOKUP(Tabelle2[[#This Row],[Artikel]],Produkte!A:H,8)</f>
        <v>0.06</v>
      </c>
    </row>
    <row r="189" spans="1:12" x14ac:dyDescent="0.2">
      <c r="A189" s="75" t="s">
        <v>1252</v>
      </c>
      <c r="B189" s="79">
        <v>46036</v>
      </c>
      <c r="C189" s="89">
        <v>277.2</v>
      </c>
      <c r="D189" s="75"/>
      <c r="E189" s="75"/>
      <c r="F189" s="75">
        <v>20331</v>
      </c>
      <c r="G189" s="76" t="str">
        <f>VLOOKUP(Tabelle2[[#This Row],[Kunden Nr.]],KUNDEN!A:B,2,0)</f>
        <v>BARDHI-M</v>
      </c>
      <c r="H189" s="75">
        <v>35121</v>
      </c>
      <c r="I189" s="76" t="str">
        <f>VLOOKUP(Tabelle2[[#This Row],[Artikel]],Produkte!A:B,2,0)</f>
        <v>M-ONE Sanitar Silikon</v>
      </c>
      <c r="J189" s="75">
        <v>24</v>
      </c>
      <c r="K189" s="76" t="str">
        <f>VLOOKUP(Tabelle2[[#This Row],[Kunden Nr.]],KUNDEN!A:G,7)</f>
        <v>Mensuri</v>
      </c>
      <c r="L189" s="76">
        <f>VLOOKUP(Tabelle2[[#This Row],[Artikel]],Produkte!A:H,8)</f>
        <v>0.17</v>
      </c>
    </row>
    <row r="190" spans="1:12" x14ac:dyDescent="0.2">
      <c r="A190" s="75" t="s">
        <v>1252</v>
      </c>
      <c r="B190" s="79">
        <v>46036</v>
      </c>
      <c r="C190" s="75"/>
      <c r="D190" s="75"/>
      <c r="E190" s="75"/>
      <c r="F190" s="75">
        <v>20331</v>
      </c>
      <c r="G190" s="76" t="str">
        <f>VLOOKUP(Tabelle2[[#This Row],[Kunden Nr.]],KUNDEN!A:B,2,0)</f>
        <v>BARDHI-M</v>
      </c>
      <c r="H190" s="75">
        <v>35110</v>
      </c>
      <c r="I190" s="76" t="str">
        <f>VLOOKUP(Tabelle2[[#This Row],[Artikel]],Produkte!A:B,2,0)</f>
        <v>M-ONE Sanitar Silikon</v>
      </c>
      <c r="J190" s="75">
        <v>12</v>
      </c>
      <c r="K190" s="76" t="str">
        <f>VLOOKUP(Tabelle2[[#This Row],[Kunden Nr.]],KUNDEN!A:G,7)</f>
        <v>Mensuri</v>
      </c>
      <c r="L190" s="76">
        <f>VLOOKUP(Tabelle2[[#This Row],[Artikel]],Produkte!A:H,8)</f>
        <v>0.17</v>
      </c>
    </row>
    <row r="191" spans="1:12" x14ac:dyDescent="0.2">
      <c r="A191" s="75" t="s">
        <v>1252</v>
      </c>
      <c r="B191" s="79">
        <v>46036</v>
      </c>
      <c r="C191" s="75"/>
      <c r="D191" s="75"/>
      <c r="E191" s="75"/>
      <c r="F191" s="75">
        <v>20331</v>
      </c>
      <c r="G191" s="76" t="str">
        <f>VLOOKUP(Tabelle2[[#This Row],[Kunden Nr.]],KUNDEN!A:B,2,0)</f>
        <v>BARDHI-M</v>
      </c>
      <c r="H191" s="75">
        <v>35111</v>
      </c>
      <c r="I191" s="76" t="str">
        <f>VLOOKUP(Tabelle2[[#This Row],[Artikel]],Produkte!A:B,2,0)</f>
        <v>M-ONE Sanitar Silikon</v>
      </c>
      <c r="J191" s="75">
        <v>12</v>
      </c>
      <c r="K191" s="76" t="str">
        <f>VLOOKUP(Tabelle2[[#This Row],[Kunden Nr.]],KUNDEN!A:G,7)</f>
        <v>Mensuri</v>
      </c>
      <c r="L191" s="76">
        <f>VLOOKUP(Tabelle2[[#This Row],[Artikel]],Produkte!A:H,8)</f>
        <v>0.17</v>
      </c>
    </row>
    <row r="192" spans="1:12" x14ac:dyDescent="0.2">
      <c r="A192" s="75" t="s">
        <v>1252</v>
      </c>
      <c r="B192" s="79">
        <v>46036</v>
      </c>
      <c r="C192" s="75"/>
      <c r="D192" s="75"/>
      <c r="E192" s="75"/>
      <c r="F192" s="75">
        <v>20331</v>
      </c>
      <c r="G192" s="76" t="str">
        <f>VLOOKUP(Tabelle2[[#This Row],[Kunden Nr.]],KUNDEN!A:B,2,0)</f>
        <v>BARDHI-M</v>
      </c>
      <c r="H192" s="75">
        <v>35113</v>
      </c>
      <c r="I192" s="76" t="str">
        <f>VLOOKUP(Tabelle2[[#This Row],[Artikel]],Produkte!A:B,2,0)</f>
        <v>M-ONE Sanitar Silikon</v>
      </c>
      <c r="J192" s="75">
        <v>12</v>
      </c>
      <c r="K192" s="76" t="str">
        <f>VLOOKUP(Tabelle2[[#This Row],[Kunden Nr.]],KUNDEN!A:G,7)</f>
        <v>Mensuri</v>
      </c>
      <c r="L192" s="76">
        <f>VLOOKUP(Tabelle2[[#This Row],[Artikel]],Produkte!A:H,8)</f>
        <v>0.17</v>
      </c>
    </row>
    <row r="193" spans="1:12" x14ac:dyDescent="0.2">
      <c r="A193" s="75" t="s">
        <v>1252</v>
      </c>
      <c r="B193" s="79">
        <v>46036</v>
      </c>
      <c r="C193" s="75"/>
      <c r="D193" s="75"/>
      <c r="E193" s="75"/>
      <c r="F193" s="75">
        <v>20331</v>
      </c>
      <c r="G193" s="76" t="str">
        <f>VLOOKUP(Tabelle2[[#This Row],[Kunden Nr.]],KUNDEN!A:B,2,0)</f>
        <v>BARDHI-M</v>
      </c>
      <c r="H193" s="75">
        <v>35115</v>
      </c>
      <c r="I193" s="76" t="str">
        <f>VLOOKUP(Tabelle2[[#This Row],[Artikel]],Produkte!A:B,2,0)</f>
        <v>M-ONE Sanitar Silikon</v>
      </c>
      <c r="J193" s="75">
        <v>12</v>
      </c>
      <c r="K193" s="76" t="str">
        <f>VLOOKUP(Tabelle2[[#This Row],[Kunden Nr.]],KUNDEN!A:G,7)</f>
        <v>Mensuri</v>
      </c>
      <c r="L193" s="76">
        <f>VLOOKUP(Tabelle2[[#This Row],[Artikel]],Produkte!A:H,8)</f>
        <v>0.17</v>
      </c>
    </row>
    <row r="194" spans="1:12" x14ac:dyDescent="0.2">
      <c r="A194" s="75" t="s">
        <v>1307</v>
      </c>
      <c r="B194" s="79">
        <v>46036</v>
      </c>
      <c r="C194" s="89">
        <v>138.6</v>
      </c>
      <c r="D194" s="75"/>
      <c r="E194" s="75"/>
      <c r="F194" s="75">
        <v>20321</v>
      </c>
      <c r="G194" s="76" t="str">
        <f>VLOOKUP(Tabelle2[[#This Row],[Kunden Nr.]],KUNDEN!A:B,2,0)</f>
        <v>BEREQETI</v>
      </c>
      <c r="H194" s="75">
        <v>35109</v>
      </c>
      <c r="I194" s="76" t="str">
        <f>VLOOKUP(Tabelle2[[#This Row],[Artikel]],Produkte!A:B,2,0)</f>
        <v>M-ONE Sanitar Silikon</v>
      </c>
      <c r="J194" s="75">
        <v>12</v>
      </c>
      <c r="K194" s="76" t="str">
        <f>VLOOKUP(Tabelle2[[#This Row],[Kunden Nr.]],KUNDEN!A:G,7)</f>
        <v>Mensuri</v>
      </c>
      <c r="L194" s="76">
        <f>VLOOKUP(Tabelle2[[#This Row],[Artikel]],Produkte!A:H,8)</f>
        <v>0.17</v>
      </c>
    </row>
    <row r="195" spans="1:12" x14ac:dyDescent="0.2">
      <c r="A195" s="75" t="s">
        <v>1307</v>
      </c>
      <c r="B195" s="79">
        <v>46036</v>
      </c>
      <c r="C195" s="75"/>
      <c r="D195" s="75"/>
      <c r="E195" s="75"/>
      <c r="F195" s="75">
        <v>20321</v>
      </c>
      <c r="G195" s="76" t="str">
        <f>VLOOKUP(Tabelle2[[#This Row],[Kunden Nr.]],KUNDEN!A:B,2,0)</f>
        <v>BEREQETI</v>
      </c>
      <c r="H195" s="75">
        <v>35121</v>
      </c>
      <c r="I195" s="76" t="str">
        <f>VLOOKUP(Tabelle2[[#This Row],[Artikel]],Produkte!A:B,2,0)</f>
        <v>M-ONE Sanitar Silikon</v>
      </c>
      <c r="J195" s="75">
        <v>24</v>
      </c>
      <c r="K195" s="76" t="str">
        <f>VLOOKUP(Tabelle2[[#This Row],[Kunden Nr.]],KUNDEN!A:G,7)</f>
        <v>Mensuri</v>
      </c>
      <c r="L195" s="76">
        <f>VLOOKUP(Tabelle2[[#This Row],[Artikel]],Produkte!A:H,8)</f>
        <v>0.17</v>
      </c>
    </row>
    <row r="196" spans="1:12" x14ac:dyDescent="0.2">
      <c r="A196" s="75" t="s">
        <v>615</v>
      </c>
      <c r="B196" s="79">
        <v>46036</v>
      </c>
      <c r="C196" s="89">
        <v>136</v>
      </c>
      <c r="D196" s="75"/>
      <c r="E196" s="75"/>
      <c r="F196" s="75">
        <v>20304</v>
      </c>
      <c r="G196" s="76" t="str">
        <f>VLOOKUP(Tabelle2[[#This Row],[Kunden Nr.]],KUNDEN!A:B,2,0)</f>
        <v>AGRO-FARM</v>
      </c>
      <c r="H196" s="75">
        <v>37112</v>
      </c>
      <c r="I196" s="76" t="str">
        <f>VLOOKUP(Tabelle2[[#This Row],[Artikel]],Produkte!A:B,2,0)</f>
        <v>M ONE BLACK</v>
      </c>
      <c r="J196" s="75">
        <v>240</v>
      </c>
      <c r="K196" s="76" t="str">
        <f>VLOOKUP(Tabelle2[[#This Row],[Kunden Nr.]],KUNDEN!A:G,7)</f>
        <v>Mensuri</v>
      </c>
      <c r="L196" s="76">
        <f>VLOOKUP(Tabelle2[[#This Row],[Artikel]],Produkte!A:H,8)</f>
        <v>0.05</v>
      </c>
    </row>
    <row r="197" spans="1:12" x14ac:dyDescent="0.2">
      <c r="A197" s="75" t="s">
        <v>615</v>
      </c>
      <c r="B197" s="79">
        <v>46036</v>
      </c>
      <c r="C197" s="75"/>
      <c r="D197" s="75"/>
      <c r="E197" s="75"/>
      <c r="F197" s="75">
        <v>20304</v>
      </c>
      <c r="G197" s="76" t="str">
        <f>VLOOKUP(Tabelle2[[#This Row],[Kunden Nr.]],KUNDEN!A:B,2,0)</f>
        <v>AGRO-FARM</v>
      </c>
      <c r="H197" s="75">
        <v>50912</v>
      </c>
      <c r="I197" s="76" t="str">
        <f>VLOOKUP(Tabelle2[[#This Row],[Artikel]],Produkte!A:B,2,0)</f>
        <v>DICHTUNG</v>
      </c>
      <c r="J197" s="75">
        <v>5</v>
      </c>
      <c r="K197" s="76" t="str">
        <f>VLOOKUP(Tabelle2[[#This Row],[Kunden Nr.]],KUNDEN!A:G,7)</f>
        <v>Mensuri</v>
      </c>
      <c r="L197" s="76">
        <f>VLOOKUP(Tabelle2[[#This Row],[Artikel]],Produkte!A:H,8)</f>
        <v>0.2</v>
      </c>
    </row>
    <row r="198" spans="1:12" x14ac:dyDescent="0.2">
      <c r="A198" s="75" t="s">
        <v>623</v>
      </c>
      <c r="B198" s="79">
        <v>46036</v>
      </c>
      <c r="C198" s="89">
        <v>42.6</v>
      </c>
      <c r="D198" s="75"/>
      <c r="E198" s="75"/>
      <c r="F198" s="75">
        <v>20313</v>
      </c>
      <c r="G198" s="76" t="str">
        <f>VLOOKUP(Tabelle2[[#This Row],[Kunden Nr.]],KUNDEN!A:B,2,0)</f>
        <v>DURGUTI 3</v>
      </c>
      <c r="H198" s="75">
        <v>51611</v>
      </c>
      <c r="I198" s="76" t="str">
        <f>VLOOKUP(Tabelle2[[#This Row],[Artikel]],Produkte!A:B,2,0)</f>
        <v>universal akryl</v>
      </c>
      <c r="J198" s="75">
        <v>12</v>
      </c>
      <c r="K198" s="76" t="str">
        <f>VLOOKUP(Tabelle2[[#This Row],[Kunden Nr.]],KUNDEN!A:G,7)</f>
        <v>Mensuri</v>
      </c>
      <c r="L198" s="76">
        <f>VLOOKUP(Tabelle2[[#This Row],[Artikel]],Produkte!A:H,8)</f>
        <v>0.06</v>
      </c>
    </row>
    <row r="199" spans="1:12" x14ac:dyDescent="0.2">
      <c r="A199" s="75" t="s">
        <v>623</v>
      </c>
      <c r="B199" s="79">
        <v>46036</v>
      </c>
      <c r="C199" s="75"/>
      <c r="D199" s="75"/>
      <c r="E199" s="75"/>
      <c r="F199" s="75">
        <v>20313</v>
      </c>
      <c r="G199" s="76" t="str">
        <f>VLOOKUP(Tabelle2[[#This Row],[Kunden Nr.]],KUNDEN!A:B,2,0)</f>
        <v>DURGUTI 3</v>
      </c>
      <c r="H199" s="75">
        <v>51612</v>
      </c>
      <c r="I199" s="76" t="str">
        <f>VLOOKUP(Tabelle2[[#This Row],[Artikel]],Produkte!A:B,2,0)</f>
        <v>struktural akryl</v>
      </c>
      <c r="J199" s="75">
        <v>12</v>
      </c>
      <c r="K199" s="76" t="str">
        <f>VLOOKUP(Tabelle2[[#This Row],[Kunden Nr.]],KUNDEN!A:G,7)</f>
        <v>Mensuri</v>
      </c>
      <c r="L199" s="76">
        <f>VLOOKUP(Tabelle2[[#This Row],[Artikel]],Produkte!A:H,8)</f>
        <v>0.06</v>
      </c>
    </row>
    <row r="200" spans="1:12" x14ac:dyDescent="0.2">
      <c r="A200" s="75" t="s">
        <v>626</v>
      </c>
      <c r="B200" s="79">
        <v>46036</v>
      </c>
      <c r="C200" s="89">
        <v>26.5</v>
      </c>
      <c r="D200" s="75"/>
      <c r="E200" s="75"/>
      <c r="F200" s="75">
        <v>20317</v>
      </c>
      <c r="G200" s="76" t="str">
        <f>VLOOKUP(Tabelle2[[#This Row],[Kunden Nr.]],KUNDEN!A:B,2,0)</f>
        <v>SHEHU-A</v>
      </c>
      <c r="H200" s="75">
        <v>39505</v>
      </c>
      <c r="I200" s="76" t="str">
        <f>VLOOKUP(Tabelle2[[#This Row],[Artikel]],Produkte!A:B,2,0)</f>
        <v>M ONE SILIKON SPRAY</v>
      </c>
      <c r="J200" s="75">
        <v>3</v>
      </c>
      <c r="K200" s="76" t="str">
        <f>VLOOKUP(Tabelle2[[#This Row],[Kunden Nr.]],KUNDEN!A:G,7)</f>
        <v>Mensuri</v>
      </c>
      <c r="L200" s="76">
        <f>VLOOKUP(Tabelle2[[#This Row],[Artikel]],Produkte!A:H,8)</f>
        <v>0.2</v>
      </c>
    </row>
    <row r="201" spans="1:12" x14ac:dyDescent="0.2">
      <c r="A201" s="75" t="s">
        <v>626</v>
      </c>
      <c r="B201" s="79">
        <v>46036</v>
      </c>
      <c r="C201" s="75"/>
      <c r="D201" s="75"/>
      <c r="E201" s="75"/>
      <c r="F201" s="75">
        <v>20317</v>
      </c>
      <c r="G201" s="76" t="str">
        <f>VLOOKUP(Tabelle2[[#This Row],[Kunden Nr.]],KUNDEN!A:B,2,0)</f>
        <v>SHEHU-A</v>
      </c>
      <c r="H201" s="75">
        <v>44001</v>
      </c>
      <c r="I201" s="76" t="str">
        <f>VLOOKUP(Tabelle2[[#This Row],[Artikel]],Produkte!A:B,2,0)</f>
        <v>Fettspray</v>
      </c>
      <c r="J201" s="75">
        <v>5</v>
      </c>
      <c r="K201" s="76" t="str">
        <f>VLOOKUP(Tabelle2[[#This Row],[Kunden Nr.]],KUNDEN!A:G,7)</f>
        <v>Mensuri</v>
      </c>
      <c r="L201" s="76">
        <f>VLOOKUP(Tabelle2[[#This Row],[Artikel]],Produkte!A:H,8)</f>
        <v>0.2</v>
      </c>
    </row>
    <row r="202" spans="1:12" x14ac:dyDescent="0.2">
      <c r="A202" s="75" t="s">
        <v>624</v>
      </c>
      <c r="B202" s="79">
        <v>46036</v>
      </c>
      <c r="C202" s="89">
        <v>107.4</v>
      </c>
      <c r="D202" s="75"/>
      <c r="E202" s="75"/>
      <c r="F202" s="75">
        <v>20314</v>
      </c>
      <c r="G202" s="76" t="str">
        <f>VLOOKUP(Tabelle2[[#This Row],[Kunden Nr.]],KUNDEN!A:B,2,0)</f>
        <v>URA</v>
      </c>
      <c r="H202" s="75">
        <v>35110</v>
      </c>
      <c r="I202" s="76" t="str">
        <f>VLOOKUP(Tabelle2[[#This Row],[Artikel]],Produkte!A:B,2,0)</f>
        <v>M-ONE Sanitar Silikon</v>
      </c>
      <c r="J202" s="75">
        <v>24</v>
      </c>
      <c r="K202" s="76" t="str">
        <f>VLOOKUP(Tabelle2[[#This Row],[Kunden Nr.]],KUNDEN!A:G,7)</f>
        <v>Mensuri</v>
      </c>
      <c r="L202" s="76">
        <f>VLOOKUP(Tabelle2[[#This Row],[Artikel]],Produkte!A:H,8)</f>
        <v>0.17</v>
      </c>
    </row>
    <row r="203" spans="1:12" x14ac:dyDescent="0.2">
      <c r="A203" s="75" t="s">
        <v>624</v>
      </c>
      <c r="B203" s="79">
        <v>46036</v>
      </c>
      <c r="C203" s="75"/>
      <c r="D203" s="75"/>
      <c r="E203" s="75"/>
      <c r="F203" s="75">
        <v>20314</v>
      </c>
      <c r="G203" s="76" t="str">
        <f>VLOOKUP(Tabelle2[[#This Row],[Kunden Nr.]],KUNDEN!A:B,2,0)</f>
        <v>URA</v>
      </c>
      <c r="H203" s="75">
        <v>51611</v>
      </c>
      <c r="I203" s="76" t="str">
        <f>VLOOKUP(Tabelle2[[#This Row],[Artikel]],Produkte!A:B,2,0)</f>
        <v>universal akryl</v>
      </c>
      <c r="J203" s="75">
        <v>12</v>
      </c>
      <c r="K203" s="76" t="str">
        <f>VLOOKUP(Tabelle2[[#This Row],[Kunden Nr.]],KUNDEN!A:G,7)</f>
        <v>Mensuri</v>
      </c>
      <c r="L203" s="76">
        <f>VLOOKUP(Tabelle2[[#This Row],[Artikel]],Produkte!A:H,8)</f>
        <v>0.06</v>
      </c>
    </row>
    <row r="204" spans="1:12" x14ac:dyDescent="0.2">
      <c r="A204" s="75" t="s">
        <v>770</v>
      </c>
      <c r="B204" s="79">
        <v>46036</v>
      </c>
      <c r="C204" s="89">
        <v>158</v>
      </c>
      <c r="D204" s="75"/>
      <c r="E204" s="75"/>
      <c r="F204" s="75">
        <v>40003</v>
      </c>
      <c r="G204" s="76" t="str">
        <f>VLOOKUP(Tabelle2[[#This Row],[Kunden Nr.]],KUNDEN!A:B,2,0)</f>
        <v>ARBENI BIOBLIC</v>
      </c>
      <c r="H204" s="75">
        <v>20001</v>
      </c>
      <c r="I204" s="76" t="str">
        <f>VLOOKUP(Tabelle2[[#This Row],[Artikel]],Produkte!A:B,2,0)</f>
        <v>BioBlic Universalreiniger</v>
      </c>
      <c r="J204" s="75">
        <v>80</v>
      </c>
      <c r="K204" s="76">
        <f>VLOOKUP(Tabelle2[[#This Row],[Kunden Nr.]],KUNDEN!A:G,7)</f>
        <v>0</v>
      </c>
      <c r="L204" s="76">
        <f>VLOOKUP(Tabelle2[[#This Row],[Artikel]],Produkte!A:H,8)</f>
        <v>0.30000000000000004</v>
      </c>
    </row>
    <row r="205" spans="1:12" x14ac:dyDescent="0.2">
      <c r="A205" s="75" t="s">
        <v>770</v>
      </c>
      <c r="B205" s="79">
        <v>46036</v>
      </c>
      <c r="C205" s="75"/>
      <c r="D205" s="75"/>
      <c r="E205" s="75"/>
      <c r="F205" s="75">
        <v>40003</v>
      </c>
      <c r="G205" s="76" t="str">
        <f>VLOOKUP(Tabelle2[[#This Row],[Kunden Nr.]],KUNDEN!A:B,2,0)</f>
        <v>ARBENI BIOBLIC</v>
      </c>
      <c r="H205" s="75">
        <v>30275</v>
      </c>
      <c r="I205" s="76" t="str">
        <f>VLOOKUP(Tabelle2[[#This Row],[Artikel]],Produkte!A:B,2,0)</f>
        <v>Blic Blic Sanitärreiniger</v>
      </c>
      <c r="J205" s="75">
        <v>50</v>
      </c>
      <c r="K205" s="76">
        <f>VLOOKUP(Tabelle2[[#This Row],[Kunden Nr.]],KUNDEN!A:G,7)</f>
        <v>0</v>
      </c>
      <c r="L205" s="76">
        <f>VLOOKUP(Tabelle2[[#This Row],[Artikel]],Produkte!A:H,8)</f>
        <v>0.30000000000000004</v>
      </c>
    </row>
    <row r="206" spans="1:12" x14ac:dyDescent="0.2">
      <c r="A206" s="75" t="s">
        <v>558</v>
      </c>
      <c r="B206" s="79">
        <v>46037</v>
      </c>
      <c r="C206" s="89">
        <v>231</v>
      </c>
      <c r="D206" s="75"/>
      <c r="E206" s="75"/>
      <c r="F206" s="75">
        <v>10418</v>
      </c>
      <c r="G206" s="76" t="str">
        <f>VLOOKUP(Tabelle2[[#This Row],[Kunden Nr.]],KUNDEN!A:B,2,0)</f>
        <v>NDRIQIMI</v>
      </c>
      <c r="H206" s="75">
        <v>35110</v>
      </c>
      <c r="I206" s="76" t="str">
        <f>VLOOKUP(Tabelle2[[#This Row],[Artikel]],Produkte!A:B,2,0)</f>
        <v>M-ONE Sanitar Silikon</v>
      </c>
      <c r="J206" s="75">
        <v>48</v>
      </c>
      <c r="K206" s="76" t="str">
        <f>VLOOKUP(Tabelle2[[#This Row],[Kunden Nr.]],KUNDEN!A:G,7)</f>
        <v>Qerimi</v>
      </c>
      <c r="L206" s="76">
        <f>VLOOKUP(Tabelle2[[#This Row],[Artikel]],Produkte!A:H,8)</f>
        <v>0.17</v>
      </c>
    </row>
    <row r="207" spans="1:12" x14ac:dyDescent="0.2">
      <c r="A207" s="75" t="s">
        <v>558</v>
      </c>
      <c r="B207" s="79">
        <v>46037</v>
      </c>
      <c r="C207" s="75"/>
      <c r="D207" s="75"/>
      <c r="E207" s="75"/>
      <c r="F207" s="75">
        <v>10418</v>
      </c>
      <c r="G207" s="76" t="str">
        <f>VLOOKUP(Tabelle2[[#This Row],[Kunden Nr.]],KUNDEN!A:B,2,0)</f>
        <v>NDRIQIMI</v>
      </c>
      <c r="H207" s="75">
        <v>35111</v>
      </c>
      <c r="I207" s="76" t="str">
        <f>VLOOKUP(Tabelle2[[#This Row],[Artikel]],Produkte!A:B,2,0)</f>
        <v>M-ONE Sanitar Silikon</v>
      </c>
      <c r="J207" s="75">
        <v>12</v>
      </c>
      <c r="K207" s="76" t="str">
        <f>VLOOKUP(Tabelle2[[#This Row],[Kunden Nr.]],KUNDEN!A:G,7)</f>
        <v>Qerimi</v>
      </c>
      <c r="L207" s="76">
        <f>VLOOKUP(Tabelle2[[#This Row],[Artikel]],Produkte!A:H,8)</f>
        <v>0.17</v>
      </c>
    </row>
    <row r="208" spans="1:12" x14ac:dyDescent="0.2">
      <c r="A208" s="75" t="s">
        <v>550</v>
      </c>
      <c r="B208" s="79">
        <v>46037</v>
      </c>
      <c r="C208" s="89">
        <v>92.4</v>
      </c>
      <c r="D208" s="75"/>
      <c r="E208" s="75"/>
      <c r="F208" s="75">
        <v>10410</v>
      </c>
      <c r="G208" s="76" t="str">
        <f>VLOOKUP(Tabelle2[[#This Row],[Kunden Nr.]],KUNDEN!A:B,2,0)</f>
        <v>GRANITI</v>
      </c>
      <c r="H208" s="75">
        <v>35112</v>
      </c>
      <c r="I208" s="76" t="str">
        <f>VLOOKUP(Tabelle2[[#This Row],[Artikel]],Produkte!A:B,2,0)</f>
        <v>M-ONE Sanitar Silikon</v>
      </c>
      <c r="J208" s="75">
        <v>12</v>
      </c>
      <c r="K208" s="76" t="str">
        <f>VLOOKUP(Tabelle2[[#This Row],[Kunden Nr.]],KUNDEN!A:G,7)</f>
        <v>Qerimi</v>
      </c>
      <c r="L208" s="76">
        <f>VLOOKUP(Tabelle2[[#This Row],[Artikel]],Produkte!A:H,8)</f>
        <v>0.17</v>
      </c>
    </row>
    <row r="209" spans="1:12" x14ac:dyDescent="0.2">
      <c r="A209" s="75" t="s">
        <v>550</v>
      </c>
      <c r="B209" s="79">
        <v>46037</v>
      </c>
      <c r="C209" s="75"/>
      <c r="D209" s="75"/>
      <c r="E209" s="75"/>
      <c r="F209" s="75">
        <v>10410</v>
      </c>
      <c r="G209" s="76" t="str">
        <f>VLOOKUP(Tabelle2[[#This Row],[Kunden Nr.]],KUNDEN!A:B,2,0)</f>
        <v>GRANITI</v>
      </c>
      <c r="H209" s="75">
        <v>35113</v>
      </c>
      <c r="I209" s="76" t="str">
        <f>VLOOKUP(Tabelle2[[#This Row],[Artikel]],Produkte!A:B,2,0)</f>
        <v>M-ONE Sanitar Silikon</v>
      </c>
      <c r="J209" s="75">
        <v>12</v>
      </c>
      <c r="K209" s="76" t="str">
        <f>VLOOKUP(Tabelle2[[#This Row],[Kunden Nr.]],KUNDEN!A:G,7)</f>
        <v>Qerimi</v>
      </c>
      <c r="L209" s="76">
        <f>VLOOKUP(Tabelle2[[#This Row],[Artikel]],Produkte!A:H,8)</f>
        <v>0.17</v>
      </c>
    </row>
    <row r="210" spans="1:12" x14ac:dyDescent="0.2">
      <c r="A210" s="75" t="s">
        <v>546</v>
      </c>
      <c r="B210" s="79">
        <v>46037</v>
      </c>
      <c r="C210" s="89">
        <v>51.1</v>
      </c>
      <c r="D210" s="75"/>
      <c r="E210" s="75"/>
      <c r="F210" s="75">
        <v>10406</v>
      </c>
      <c r="G210" s="76" t="str">
        <f>VLOOKUP(Tabelle2[[#This Row],[Kunden Nr.]],KUNDEN!A:B,2,0)</f>
        <v>AGRONI</v>
      </c>
      <c r="H210" s="75">
        <v>55718</v>
      </c>
      <c r="I210" s="76" t="str">
        <f>VLOOKUP(Tabelle2[[#This Row],[Artikel]],Produkte!A:B,2,0)</f>
        <v>M ONE MOTORSTART</v>
      </c>
      <c r="J210" s="75">
        <v>3</v>
      </c>
      <c r="K210" s="76" t="str">
        <f>VLOOKUP(Tabelle2[[#This Row],[Kunden Nr.]],KUNDEN!A:G,7)</f>
        <v>Qerimi</v>
      </c>
      <c r="L210" s="76">
        <f>VLOOKUP(Tabelle2[[#This Row],[Artikel]],Produkte!A:H,8)</f>
        <v>0.2</v>
      </c>
    </row>
    <row r="211" spans="1:12" x14ac:dyDescent="0.2">
      <c r="A211" s="75" t="s">
        <v>546</v>
      </c>
      <c r="B211" s="79">
        <v>46037</v>
      </c>
      <c r="C211" s="75"/>
      <c r="D211" s="75"/>
      <c r="E211" s="75"/>
      <c r="F211" s="75">
        <v>10406</v>
      </c>
      <c r="G211" s="76" t="str">
        <f>VLOOKUP(Tabelle2[[#This Row],[Kunden Nr.]],KUNDEN!A:B,2,0)</f>
        <v>AGRONI</v>
      </c>
      <c r="H211" s="75">
        <v>50912</v>
      </c>
      <c r="I211" s="76" t="str">
        <f>VLOOKUP(Tabelle2[[#This Row],[Artikel]],Produkte!A:B,2,0)</f>
        <v>DICHTUNG</v>
      </c>
      <c r="J211" s="75">
        <v>3</v>
      </c>
      <c r="K211" s="76" t="str">
        <f>VLOOKUP(Tabelle2[[#This Row],[Kunden Nr.]],KUNDEN!A:G,7)</f>
        <v>Qerimi</v>
      </c>
      <c r="L211" s="76">
        <f>VLOOKUP(Tabelle2[[#This Row],[Artikel]],Produkte!A:H,8)</f>
        <v>0.2</v>
      </c>
    </row>
    <row r="212" spans="1:12" x14ac:dyDescent="0.2">
      <c r="A212" s="75" t="s">
        <v>546</v>
      </c>
      <c r="B212" s="79">
        <v>46037</v>
      </c>
      <c r="C212" s="75"/>
      <c r="D212" s="75"/>
      <c r="E212" s="75"/>
      <c r="F212" s="75">
        <v>10406</v>
      </c>
      <c r="G212" s="76" t="str">
        <f>VLOOKUP(Tabelle2[[#This Row],[Kunden Nr.]],KUNDEN!A:B,2,0)</f>
        <v>AGRONI</v>
      </c>
      <c r="H212" s="75">
        <v>56117</v>
      </c>
      <c r="I212" s="76" t="str">
        <f>VLOOKUP(Tabelle2[[#This Row],[Artikel]],Produkte!A:B,2,0)</f>
        <v>M ONE UBS</v>
      </c>
      <c r="J212" s="75">
        <v>3</v>
      </c>
      <c r="K212" s="76" t="str">
        <f>VLOOKUP(Tabelle2[[#This Row],[Kunden Nr.]],KUNDEN!A:G,7)</f>
        <v>Qerimi</v>
      </c>
      <c r="L212" s="76">
        <f>VLOOKUP(Tabelle2[[#This Row],[Artikel]],Produkte!A:H,8)</f>
        <v>0.2</v>
      </c>
    </row>
    <row r="213" spans="1:12" x14ac:dyDescent="0.2">
      <c r="A213" s="75" t="s">
        <v>546</v>
      </c>
      <c r="B213" s="79">
        <v>46037</v>
      </c>
      <c r="C213" s="75"/>
      <c r="D213" s="75"/>
      <c r="E213" s="75"/>
      <c r="F213" s="75">
        <v>10406</v>
      </c>
      <c r="G213" s="76" t="str">
        <f>VLOOKUP(Tabelle2[[#This Row],[Kunden Nr.]],KUNDEN!A:B,2,0)</f>
        <v>AGRONI</v>
      </c>
      <c r="H213" s="75">
        <v>44001</v>
      </c>
      <c r="I213" s="76" t="str">
        <f>VLOOKUP(Tabelle2[[#This Row],[Artikel]],Produkte!A:B,2,0)</f>
        <v>Fettspray</v>
      </c>
      <c r="J213" s="75">
        <v>2</v>
      </c>
      <c r="K213" s="76" t="str">
        <f>VLOOKUP(Tabelle2[[#This Row],[Kunden Nr.]],KUNDEN!A:G,7)</f>
        <v>Qerimi</v>
      </c>
      <c r="L213" s="76">
        <f>VLOOKUP(Tabelle2[[#This Row],[Artikel]],Produkte!A:H,8)</f>
        <v>0.2</v>
      </c>
    </row>
    <row r="214" spans="1:12" x14ac:dyDescent="0.2">
      <c r="A214" s="75" t="s">
        <v>553</v>
      </c>
      <c r="B214" s="79">
        <v>46037</v>
      </c>
      <c r="C214" s="89">
        <v>92.4</v>
      </c>
      <c r="D214" s="75"/>
      <c r="E214" s="75"/>
      <c r="F214" s="75">
        <v>10413</v>
      </c>
      <c r="G214" s="76" t="str">
        <f>VLOOKUP(Tabelle2[[#This Row],[Kunden Nr.]],KUNDEN!A:B,2,0)</f>
        <v>UNIVERZAL</v>
      </c>
      <c r="H214" s="75">
        <v>35112</v>
      </c>
      <c r="I214" s="76" t="str">
        <f>VLOOKUP(Tabelle2[[#This Row],[Artikel]],Produkte!A:B,2,0)</f>
        <v>M-ONE Sanitar Silikon</v>
      </c>
      <c r="J214" s="75">
        <v>12</v>
      </c>
      <c r="K214" s="76" t="str">
        <f>VLOOKUP(Tabelle2[[#This Row],[Kunden Nr.]],KUNDEN!A:G,7)</f>
        <v>Qerimi</v>
      </c>
      <c r="L214" s="76">
        <f>VLOOKUP(Tabelle2[[#This Row],[Artikel]],Produkte!A:H,8)</f>
        <v>0.17</v>
      </c>
    </row>
    <row r="215" spans="1:12" x14ac:dyDescent="0.2">
      <c r="A215" s="75" t="s">
        <v>553</v>
      </c>
      <c r="B215" s="79">
        <v>46037</v>
      </c>
      <c r="C215" s="75"/>
      <c r="D215" s="75"/>
      <c r="E215" s="75"/>
      <c r="F215" s="75">
        <v>10413</v>
      </c>
      <c r="G215" s="76" t="str">
        <f>VLOOKUP(Tabelle2[[#This Row],[Kunden Nr.]],KUNDEN!A:B,2,0)</f>
        <v>UNIVERZAL</v>
      </c>
      <c r="H215" s="75">
        <v>35121</v>
      </c>
      <c r="I215" s="76" t="str">
        <f>VLOOKUP(Tabelle2[[#This Row],[Artikel]],Produkte!A:B,2,0)</f>
        <v>M-ONE Sanitar Silikon</v>
      </c>
      <c r="J215" s="75">
        <v>12</v>
      </c>
      <c r="K215" s="76" t="str">
        <f>VLOOKUP(Tabelle2[[#This Row],[Kunden Nr.]],KUNDEN!A:G,7)</f>
        <v>Qerimi</v>
      </c>
      <c r="L215" s="76">
        <f>VLOOKUP(Tabelle2[[#This Row],[Artikel]],Produkte!A:H,8)</f>
        <v>0.17</v>
      </c>
    </row>
    <row r="216" spans="1:12" x14ac:dyDescent="0.2">
      <c r="A216" s="75" t="s">
        <v>38</v>
      </c>
      <c r="B216" s="79">
        <v>46038</v>
      </c>
      <c r="C216" s="89">
        <v>46.2</v>
      </c>
      <c r="D216" s="75"/>
      <c r="E216" s="75"/>
      <c r="F216" s="75">
        <v>10539</v>
      </c>
      <c r="G216" s="76" t="str">
        <f>VLOOKUP(Tabelle2[[#This Row],[Kunden Nr.]],KUNDEN!A:B,2,0)</f>
        <v>BEKA</v>
      </c>
      <c r="H216" s="75">
        <v>35110</v>
      </c>
      <c r="I216" s="76" t="str">
        <f>VLOOKUP(Tabelle2[[#This Row],[Artikel]],Produkte!A:B,2,0)</f>
        <v>M-ONE Sanitar Silikon</v>
      </c>
      <c r="J216" s="75">
        <v>12</v>
      </c>
      <c r="K216" s="76" t="str">
        <f>VLOOKUP(Tabelle2[[#This Row],[Kunden Nr.]],KUNDEN!A:G,7)</f>
        <v>Qerimi</v>
      </c>
      <c r="L216" s="76">
        <f>VLOOKUP(Tabelle2[[#This Row],[Artikel]],Produkte!A:H,8)</f>
        <v>0.17</v>
      </c>
    </row>
    <row r="217" spans="1:12" x14ac:dyDescent="0.2">
      <c r="A217" s="75" t="s">
        <v>484</v>
      </c>
      <c r="B217" s="79">
        <v>46038</v>
      </c>
      <c r="C217" s="89">
        <v>92.4</v>
      </c>
      <c r="D217" s="75"/>
      <c r="E217" s="75"/>
      <c r="F217" s="75">
        <v>10504</v>
      </c>
      <c r="G217" s="76" t="str">
        <f>VLOOKUP(Tabelle2[[#This Row],[Kunden Nr.]],KUNDEN!A:B,2,0)</f>
        <v>CARRALEVA 1</v>
      </c>
      <c r="H217" s="75">
        <v>35112</v>
      </c>
      <c r="I217" s="76" t="str">
        <f>VLOOKUP(Tabelle2[[#This Row],[Artikel]],Produkte!A:B,2,0)</f>
        <v>M-ONE Sanitar Silikon</v>
      </c>
      <c r="J217" s="75">
        <v>12</v>
      </c>
      <c r="K217" s="76" t="str">
        <f>VLOOKUP(Tabelle2[[#This Row],[Kunden Nr.]],KUNDEN!A:G,7)</f>
        <v>Qerimi</v>
      </c>
      <c r="L217" s="76">
        <f>VLOOKUP(Tabelle2[[#This Row],[Artikel]],Produkte!A:H,8)</f>
        <v>0.17</v>
      </c>
    </row>
    <row r="218" spans="1:12" x14ac:dyDescent="0.2">
      <c r="A218" s="75" t="s">
        <v>484</v>
      </c>
      <c r="B218" s="79">
        <v>46038</v>
      </c>
      <c r="C218" s="75"/>
      <c r="D218" s="75"/>
      <c r="E218" s="75"/>
      <c r="F218" s="75">
        <v>10504</v>
      </c>
      <c r="G218" s="76" t="str">
        <f>VLOOKUP(Tabelle2[[#This Row],[Kunden Nr.]],KUNDEN!A:B,2,0)</f>
        <v>CARRALEVA 1</v>
      </c>
      <c r="H218" s="75">
        <v>35128</v>
      </c>
      <c r="I218" s="76" t="str">
        <f>VLOOKUP(Tabelle2[[#This Row],[Artikel]],Produkte!A:B,2,0)</f>
        <v>M-ONE Sanitar Silikon</v>
      </c>
      <c r="J218" s="75">
        <v>12</v>
      </c>
      <c r="K218" s="76" t="str">
        <f>VLOOKUP(Tabelle2[[#This Row],[Kunden Nr.]],KUNDEN!A:G,7)</f>
        <v>Qerimi</v>
      </c>
      <c r="L218" s="76">
        <f>VLOOKUP(Tabelle2[[#This Row],[Artikel]],Produkte!A:H,8)</f>
        <v>0.17</v>
      </c>
    </row>
    <row r="219" spans="1:12" x14ac:dyDescent="0.2">
      <c r="A219" s="75" t="s">
        <v>435</v>
      </c>
      <c r="B219" s="79">
        <v>46038</v>
      </c>
      <c r="C219" s="89">
        <v>86.4</v>
      </c>
      <c r="D219" s="75"/>
      <c r="E219" s="75"/>
      <c r="F219" s="75">
        <v>10509</v>
      </c>
      <c r="G219" s="76" t="str">
        <f>VLOOKUP(Tabelle2[[#This Row],[Kunden Nr.]],KUNDEN!A:B,2,0)</f>
        <v>LONI</v>
      </c>
      <c r="H219" s="75">
        <v>50912</v>
      </c>
      <c r="I219" s="76" t="str">
        <f>VLOOKUP(Tabelle2[[#This Row],[Artikel]],Produkte!A:B,2,0)</f>
        <v>DICHTUNG</v>
      </c>
      <c r="J219" s="75">
        <v>12</v>
      </c>
      <c r="K219" s="76" t="str">
        <f>VLOOKUP(Tabelle2[[#This Row],[Kunden Nr.]],KUNDEN!A:G,7)</f>
        <v>Qerimi</v>
      </c>
      <c r="L219" s="76">
        <f>VLOOKUP(Tabelle2[[#This Row],[Artikel]],Produkte!A:H,8)</f>
        <v>0.2</v>
      </c>
    </row>
    <row r="220" spans="1:12" x14ac:dyDescent="0.2">
      <c r="A220" s="75" t="s">
        <v>1170</v>
      </c>
      <c r="B220" s="79">
        <v>46038</v>
      </c>
      <c r="C220" s="89">
        <v>46.2</v>
      </c>
      <c r="D220" s="75"/>
      <c r="E220" s="75"/>
      <c r="F220" s="75">
        <v>10542</v>
      </c>
      <c r="G220" s="76" t="str">
        <f>VLOOKUP(Tabelle2[[#This Row],[Kunden Nr.]],KUNDEN!A:B,2,0)</f>
        <v>LITA</v>
      </c>
      <c r="H220" s="75">
        <v>35111</v>
      </c>
      <c r="I220" s="76" t="str">
        <f>VLOOKUP(Tabelle2[[#This Row],[Artikel]],Produkte!A:B,2,0)</f>
        <v>M-ONE Sanitar Silikon</v>
      </c>
      <c r="J220" s="75">
        <v>12</v>
      </c>
      <c r="K220" s="76" t="str">
        <f>VLOOKUP(Tabelle2[[#This Row],[Kunden Nr.]],KUNDEN!A:G,7)</f>
        <v>Qerimi</v>
      </c>
      <c r="L220" s="76">
        <f>VLOOKUP(Tabelle2[[#This Row],[Artikel]],Produkte!A:H,8)</f>
        <v>0.17</v>
      </c>
    </row>
    <row r="221" spans="1:12" x14ac:dyDescent="0.2">
      <c r="A221" s="75" t="s">
        <v>487</v>
      </c>
      <c r="B221" s="79">
        <v>46038</v>
      </c>
      <c r="C221" s="89">
        <v>138.6</v>
      </c>
      <c r="D221" s="75"/>
      <c r="E221" s="75"/>
      <c r="F221" s="75">
        <v>10507</v>
      </c>
      <c r="G221" s="76" t="str">
        <f>VLOOKUP(Tabelle2[[#This Row],[Kunden Nr.]],KUNDEN!A:B,2,0)</f>
        <v>REAL COLOR 2</v>
      </c>
      <c r="H221" s="75">
        <v>35115</v>
      </c>
      <c r="I221" s="76" t="str">
        <f>VLOOKUP(Tabelle2[[#This Row],[Artikel]],Produkte!A:B,2,0)</f>
        <v>M-ONE Sanitar Silikon</v>
      </c>
      <c r="J221" s="75">
        <v>12</v>
      </c>
      <c r="K221" s="76" t="str">
        <f>VLOOKUP(Tabelle2[[#This Row],[Kunden Nr.]],KUNDEN!A:G,7)</f>
        <v>Qerimi</v>
      </c>
      <c r="L221" s="76">
        <f>VLOOKUP(Tabelle2[[#This Row],[Artikel]],Produkte!A:H,8)</f>
        <v>0.17</v>
      </c>
    </row>
    <row r="222" spans="1:12" x14ac:dyDescent="0.2">
      <c r="A222" s="75" t="s">
        <v>487</v>
      </c>
      <c r="B222" s="79">
        <v>46038</v>
      </c>
      <c r="C222" s="75"/>
      <c r="D222" s="75"/>
      <c r="E222" s="75"/>
      <c r="F222" s="75">
        <v>10507</v>
      </c>
      <c r="G222" s="76" t="str">
        <f>VLOOKUP(Tabelle2[[#This Row],[Kunden Nr.]],KUNDEN!A:B,2,0)</f>
        <v>REAL COLOR 2</v>
      </c>
      <c r="H222" s="75">
        <v>35108</v>
      </c>
      <c r="I222" s="76" t="str">
        <f>VLOOKUP(Tabelle2[[#This Row],[Artikel]],Produkte!A:B,2,0)</f>
        <v>M-ONE Sanitar Silikon</v>
      </c>
      <c r="J222" s="75">
        <v>12</v>
      </c>
      <c r="K222" s="76" t="str">
        <f>VLOOKUP(Tabelle2[[#This Row],[Kunden Nr.]],KUNDEN!A:G,7)</f>
        <v>Qerimi</v>
      </c>
      <c r="L222" s="76">
        <f>VLOOKUP(Tabelle2[[#This Row],[Artikel]],Produkte!A:H,8)</f>
        <v>0.17</v>
      </c>
    </row>
    <row r="223" spans="1:12" x14ac:dyDescent="0.2">
      <c r="A223" s="75" t="s">
        <v>487</v>
      </c>
      <c r="B223" s="79">
        <v>46038</v>
      </c>
      <c r="C223" s="75"/>
      <c r="D223" s="75"/>
      <c r="E223" s="75"/>
      <c r="F223" s="75">
        <v>10507</v>
      </c>
      <c r="G223" s="76" t="str">
        <f>VLOOKUP(Tabelle2[[#This Row],[Kunden Nr.]],KUNDEN!A:B,2,0)</f>
        <v>REAL COLOR 2</v>
      </c>
      <c r="H223" s="75">
        <v>35121</v>
      </c>
      <c r="I223" s="76" t="str">
        <f>VLOOKUP(Tabelle2[[#This Row],[Artikel]],Produkte!A:B,2,0)</f>
        <v>M-ONE Sanitar Silikon</v>
      </c>
      <c r="J223" s="75">
        <v>12</v>
      </c>
      <c r="K223" s="76" t="str">
        <f>VLOOKUP(Tabelle2[[#This Row],[Kunden Nr.]],KUNDEN!A:G,7)</f>
        <v>Qerimi</v>
      </c>
      <c r="L223" s="76">
        <f>VLOOKUP(Tabelle2[[#This Row],[Artikel]],Produkte!A:H,8)</f>
        <v>0.17</v>
      </c>
    </row>
    <row r="224" spans="1:12" x14ac:dyDescent="0.2">
      <c r="A224" s="75" t="s">
        <v>491</v>
      </c>
      <c r="B224" s="79">
        <v>46038</v>
      </c>
      <c r="C224" s="89">
        <v>92.4</v>
      </c>
      <c r="D224" s="75"/>
      <c r="E224" s="75"/>
      <c r="F224" s="75">
        <v>10508</v>
      </c>
      <c r="G224" s="76" t="str">
        <f>VLOOKUP(Tabelle2[[#This Row],[Kunden Nr.]],KUNDEN!A:B,2,0)</f>
        <v>CARRALEVA 2</v>
      </c>
      <c r="H224" s="75">
        <v>35110</v>
      </c>
      <c r="I224" s="76" t="str">
        <f>VLOOKUP(Tabelle2[[#This Row],[Artikel]],Produkte!A:B,2,0)</f>
        <v>M-ONE Sanitar Silikon</v>
      </c>
      <c r="J224" s="75">
        <v>12</v>
      </c>
      <c r="K224" s="76" t="str">
        <f>VLOOKUP(Tabelle2[[#This Row],[Kunden Nr.]],KUNDEN!A:G,7)</f>
        <v>Qerimi</v>
      </c>
      <c r="L224" s="76">
        <f>VLOOKUP(Tabelle2[[#This Row],[Artikel]],Produkte!A:H,8)</f>
        <v>0.17</v>
      </c>
    </row>
    <row r="225" spans="1:12" x14ac:dyDescent="0.2">
      <c r="A225" s="75" t="s">
        <v>491</v>
      </c>
      <c r="B225" s="79">
        <v>46038</v>
      </c>
      <c r="C225" s="75"/>
      <c r="D225" s="75"/>
      <c r="E225" s="75"/>
      <c r="F225" s="75">
        <v>10508</v>
      </c>
      <c r="G225" s="76" t="str">
        <f>VLOOKUP(Tabelle2[[#This Row],[Kunden Nr.]],KUNDEN!A:B,2,0)</f>
        <v>CARRALEVA 2</v>
      </c>
      <c r="H225" s="75">
        <v>35114</v>
      </c>
      <c r="I225" s="76" t="str">
        <f>VLOOKUP(Tabelle2[[#This Row],[Artikel]],Produkte!A:B,2,0)</f>
        <v>M-ONE Sanitar Silikon</v>
      </c>
      <c r="J225" s="75">
        <v>12</v>
      </c>
      <c r="K225" s="76" t="str">
        <f>VLOOKUP(Tabelle2[[#This Row],[Kunden Nr.]],KUNDEN!A:G,7)</f>
        <v>Qerimi</v>
      </c>
      <c r="L225" s="76">
        <f>VLOOKUP(Tabelle2[[#This Row],[Artikel]],Produkte!A:H,8)</f>
        <v>0.17</v>
      </c>
    </row>
    <row r="226" spans="1:12" x14ac:dyDescent="0.2">
      <c r="A226" s="75" t="s">
        <v>1230</v>
      </c>
      <c r="B226" s="79">
        <v>46039</v>
      </c>
      <c r="C226" s="89">
        <v>46.2</v>
      </c>
      <c r="D226" s="75"/>
      <c r="E226" s="75"/>
      <c r="F226" s="75">
        <v>10635</v>
      </c>
      <c r="G226" s="76" t="e">
        <f>VLOOKUP(Tabelle2[[#This Row],[Kunden Nr.]],KUNDEN!A:B,2,0)</f>
        <v>#N/A</v>
      </c>
      <c r="H226" s="75">
        <v>35113</v>
      </c>
      <c r="I226" s="76" t="str">
        <f>VLOOKUP(Tabelle2[[#This Row],[Artikel]],Produkte!A:B,2,0)</f>
        <v>M-ONE Sanitar Silikon</v>
      </c>
      <c r="J226" s="75">
        <v>12</v>
      </c>
      <c r="K226" s="76" t="str">
        <f>VLOOKUP(Tabelle2[[#This Row],[Kunden Nr.]],KUNDEN!A:G,7)</f>
        <v>Qerimi</v>
      </c>
      <c r="L226" s="76">
        <f>VLOOKUP(Tabelle2[[#This Row],[Artikel]],Produkte!A:H,8)</f>
        <v>0.17</v>
      </c>
    </row>
    <row r="227" spans="1:12" x14ac:dyDescent="0.2">
      <c r="A227" s="75" t="s">
        <v>1230</v>
      </c>
      <c r="B227" s="79">
        <v>46039</v>
      </c>
      <c r="C227" s="75"/>
      <c r="D227" s="75"/>
      <c r="E227" s="75"/>
      <c r="F227" s="75">
        <v>10636</v>
      </c>
      <c r="G227" s="76" t="e">
        <f>VLOOKUP(Tabelle2[[#This Row],[Kunden Nr.]],KUNDEN!A:B,2,0)</f>
        <v>#N/A</v>
      </c>
      <c r="H227" s="75">
        <v>35110</v>
      </c>
      <c r="I227" s="76" t="str">
        <f>VLOOKUP(Tabelle2[[#This Row],[Artikel]],Produkte!A:B,2,0)</f>
        <v>M-ONE Sanitar Silikon</v>
      </c>
      <c r="J227" s="75">
        <v>12</v>
      </c>
      <c r="K227" s="76" t="str">
        <f>VLOOKUP(Tabelle2[[#This Row],[Kunden Nr.]],KUNDEN!A:G,7)</f>
        <v>Qerimi</v>
      </c>
      <c r="L227" s="76">
        <f>VLOOKUP(Tabelle2[[#This Row],[Artikel]],Produkte!A:H,8)</f>
        <v>0.17</v>
      </c>
    </row>
    <row r="228" spans="1:12" x14ac:dyDescent="0.2">
      <c r="A228" s="75" t="s">
        <v>1230</v>
      </c>
      <c r="B228" s="79">
        <v>46039</v>
      </c>
      <c r="C228" s="75"/>
      <c r="D228" s="75"/>
      <c r="E228" s="75"/>
      <c r="F228" s="75">
        <v>10636</v>
      </c>
      <c r="G228" s="76" t="e">
        <f>VLOOKUP(Tabelle2[[#This Row],[Kunden Nr.]],KUNDEN!A:B,2,0)</f>
        <v>#N/A</v>
      </c>
      <c r="H228" s="75">
        <v>35111</v>
      </c>
      <c r="I228" s="76" t="str">
        <f>VLOOKUP(Tabelle2[[#This Row],[Artikel]],Produkte!A:B,2,0)</f>
        <v>M-ONE Sanitar Silikon</v>
      </c>
      <c r="J228" s="75">
        <v>12</v>
      </c>
      <c r="K228" s="76" t="str">
        <f>VLOOKUP(Tabelle2[[#This Row],[Kunden Nr.]],KUNDEN!A:G,7)</f>
        <v>Qerimi</v>
      </c>
      <c r="L228" s="76">
        <f>VLOOKUP(Tabelle2[[#This Row],[Artikel]],Produkte!A:H,8)</f>
        <v>0.17</v>
      </c>
    </row>
    <row r="229" spans="1:12" x14ac:dyDescent="0.2">
      <c r="A229" s="75" t="s">
        <v>837</v>
      </c>
      <c r="B229" s="79">
        <v>46039</v>
      </c>
      <c r="C229" s="89">
        <v>138.6</v>
      </c>
      <c r="D229" s="75"/>
      <c r="E229" s="75"/>
      <c r="F229" s="75">
        <v>10625</v>
      </c>
      <c r="G229" s="76" t="str">
        <f>VLOOKUP(Tabelle2[[#This Row],[Kunden Nr.]],KUNDEN!A:B,2,0)</f>
        <v>KUJTA</v>
      </c>
      <c r="H229" s="75">
        <v>35115</v>
      </c>
      <c r="I229" s="76" t="str">
        <f>VLOOKUP(Tabelle2[[#This Row],[Artikel]],Produkte!A:B,2,0)</f>
        <v>M-ONE Sanitar Silikon</v>
      </c>
      <c r="J229" s="75">
        <v>12</v>
      </c>
      <c r="K229" s="76" t="str">
        <f>VLOOKUP(Tabelle2[[#This Row],[Kunden Nr.]],KUNDEN!A:G,7)</f>
        <v>Qerimi</v>
      </c>
      <c r="L229" s="76">
        <f>VLOOKUP(Tabelle2[[#This Row],[Artikel]],Produkte!A:H,8)</f>
        <v>0.17</v>
      </c>
    </row>
    <row r="230" spans="1:12" x14ac:dyDescent="0.2">
      <c r="A230" s="75" t="s">
        <v>837</v>
      </c>
      <c r="B230" s="79">
        <v>46039</v>
      </c>
      <c r="C230" s="75"/>
      <c r="D230" s="75"/>
      <c r="E230" s="75"/>
      <c r="F230" s="75">
        <v>10625</v>
      </c>
      <c r="G230" s="76" t="str">
        <f>VLOOKUP(Tabelle2[[#This Row],[Kunden Nr.]],KUNDEN!A:B,2,0)</f>
        <v>KUJTA</v>
      </c>
      <c r="H230" s="75">
        <v>35128</v>
      </c>
      <c r="I230" s="76" t="str">
        <f>VLOOKUP(Tabelle2[[#This Row],[Artikel]],Produkte!A:B,2,0)</f>
        <v>M-ONE Sanitar Silikon</v>
      </c>
      <c r="J230" s="75">
        <v>12</v>
      </c>
      <c r="K230" s="76" t="str">
        <f>VLOOKUP(Tabelle2[[#This Row],[Kunden Nr.]],KUNDEN!A:G,7)</f>
        <v>Qerimi</v>
      </c>
      <c r="L230" s="76">
        <f>VLOOKUP(Tabelle2[[#This Row],[Artikel]],Produkte!A:H,8)</f>
        <v>0.17</v>
      </c>
    </row>
    <row r="231" spans="1:12" x14ac:dyDescent="0.2">
      <c r="A231" s="75" t="s">
        <v>837</v>
      </c>
      <c r="B231" s="79">
        <v>46039</v>
      </c>
      <c r="C231" s="75"/>
      <c r="D231" s="75"/>
      <c r="E231" s="75"/>
      <c r="F231" s="75">
        <v>10625</v>
      </c>
      <c r="G231" s="76" t="str">
        <f>VLOOKUP(Tabelle2[[#This Row],[Kunden Nr.]],KUNDEN!A:B,2,0)</f>
        <v>KUJTA</v>
      </c>
      <c r="H231" s="75">
        <v>35114</v>
      </c>
      <c r="I231" s="76" t="str">
        <f>VLOOKUP(Tabelle2[[#This Row],[Artikel]],Produkte!A:B,2,0)</f>
        <v>M-ONE Sanitar Silikon</v>
      </c>
      <c r="J231" s="75">
        <v>12</v>
      </c>
      <c r="K231" s="76" t="str">
        <f>VLOOKUP(Tabelle2[[#This Row],[Kunden Nr.]],KUNDEN!A:G,7)</f>
        <v>Qerimi</v>
      </c>
      <c r="L231" s="76">
        <f>VLOOKUP(Tabelle2[[#This Row],[Artikel]],Produkte!A:H,8)</f>
        <v>0.17</v>
      </c>
    </row>
    <row r="232" spans="1:12" x14ac:dyDescent="0.2">
      <c r="A232" s="75" t="s">
        <v>597</v>
      </c>
      <c r="B232" s="79">
        <v>46039</v>
      </c>
      <c r="C232" s="89">
        <v>60</v>
      </c>
      <c r="D232" s="75"/>
      <c r="E232" s="75"/>
      <c r="F232" s="75">
        <v>10605</v>
      </c>
      <c r="G232" s="76" t="str">
        <f>VLOOKUP(Tabelle2[[#This Row],[Kunden Nr.]],KUNDEN!A:B,2,0)</f>
        <v>SABITI</v>
      </c>
      <c r="H232" s="75">
        <v>54412</v>
      </c>
      <c r="I232" s="76" t="str">
        <f>VLOOKUP(Tabelle2[[#This Row],[Artikel]],Produkte!A:B,2,0)</f>
        <v>beMAKER Bremsen&amp;Teile Reininger</v>
      </c>
      <c r="J232" s="75">
        <v>12</v>
      </c>
      <c r="K232" s="76" t="str">
        <f>VLOOKUP(Tabelle2[[#This Row],[Kunden Nr.]],KUNDEN!A:G,7)</f>
        <v>Qerimi</v>
      </c>
      <c r="L232" s="76">
        <f>VLOOKUP(Tabelle2[[#This Row],[Artikel]],Produkte!A:H,8)</f>
        <v>0.2</v>
      </c>
    </row>
    <row r="233" spans="1:12" x14ac:dyDescent="0.2">
      <c r="A233" s="75" t="s">
        <v>597</v>
      </c>
      <c r="B233" s="79">
        <v>46039</v>
      </c>
      <c r="C233" s="75"/>
      <c r="D233" s="75"/>
      <c r="E233" s="75"/>
      <c r="F233" s="75">
        <v>10605</v>
      </c>
      <c r="G233" s="76" t="str">
        <f>VLOOKUP(Tabelle2[[#This Row],[Kunden Nr.]],KUNDEN!A:B,2,0)</f>
        <v>SABITI</v>
      </c>
      <c r="H233" s="75">
        <v>50912</v>
      </c>
      <c r="I233" s="76" t="str">
        <f>VLOOKUP(Tabelle2[[#This Row],[Artikel]],Produkte!A:B,2,0)</f>
        <v>DICHTUNG</v>
      </c>
      <c r="J233" s="75">
        <v>5</v>
      </c>
      <c r="K233" s="76" t="str">
        <f>VLOOKUP(Tabelle2[[#This Row],[Kunden Nr.]],KUNDEN!A:G,7)</f>
        <v>Qerimi</v>
      </c>
      <c r="L233" s="76">
        <f>VLOOKUP(Tabelle2[[#This Row],[Artikel]],Produkte!A:H,8)</f>
        <v>0.2</v>
      </c>
    </row>
    <row r="234" spans="1:12" x14ac:dyDescent="0.2">
      <c r="A234" s="75" t="s">
        <v>608</v>
      </c>
      <c r="B234" s="79">
        <v>46039</v>
      </c>
      <c r="C234" s="89">
        <v>46.2</v>
      </c>
      <c r="D234" s="75"/>
      <c r="E234" s="75"/>
      <c r="F234" s="75">
        <v>10616</v>
      </c>
      <c r="G234" s="76" t="str">
        <f>VLOOKUP(Tabelle2[[#This Row],[Kunden Nr.]],KUNDEN!A:B,2,0)</f>
        <v>TE ZENA</v>
      </c>
      <c r="H234" s="75">
        <v>35121</v>
      </c>
      <c r="I234" s="76" t="str">
        <f>VLOOKUP(Tabelle2[[#This Row],[Artikel]],Produkte!A:B,2,0)</f>
        <v>M-ONE Sanitar Silikon</v>
      </c>
      <c r="J234" s="75">
        <v>12</v>
      </c>
      <c r="K234" s="76" t="str">
        <f>VLOOKUP(Tabelle2[[#This Row],[Kunden Nr.]],KUNDEN!A:G,7)</f>
        <v>Qerimi</v>
      </c>
      <c r="L234" s="76">
        <f>VLOOKUP(Tabelle2[[#This Row],[Artikel]],Produkte!A:H,8)</f>
        <v>0.17</v>
      </c>
    </row>
    <row r="235" spans="1:12" x14ac:dyDescent="0.2">
      <c r="A235" s="75" t="s">
        <v>770</v>
      </c>
      <c r="B235" s="79">
        <v>46039</v>
      </c>
      <c r="C235" s="89">
        <v>151.5</v>
      </c>
      <c r="D235" s="75"/>
      <c r="E235" s="75"/>
      <c r="F235" s="75">
        <v>40003</v>
      </c>
      <c r="G235" s="76" t="str">
        <f>VLOOKUP(Tabelle2[[#This Row],[Kunden Nr.]],KUNDEN!A:B,2,0)</f>
        <v>ARBENI BIOBLIC</v>
      </c>
      <c r="H235" s="75">
        <v>20001</v>
      </c>
      <c r="I235" s="76" t="str">
        <f>VLOOKUP(Tabelle2[[#This Row],[Artikel]],Produkte!A:B,2,0)</f>
        <v>BioBlic Universalreiniger</v>
      </c>
      <c r="J235" s="75">
        <v>90</v>
      </c>
      <c r="K235" s="76">
        <f>VLOOKUP(Tabelle2[[#This Row],[Kunden Nr.]],KUNDEN!A:G,7)</f>
        <v>0</v>
      </c>
      <c r="L235" s="76">
        <f>VLOOKUP(Tabelle2[[#This Row],[Artikel]],Produkte!A:H,8)</f>
        <v>0.30000000000000004</v>
      </c>
    </row>
    <row r="236" spans="1:12" x14ac:dyDescent="0.2">
      <c r="A236" s="75" t="s">
        <v>770</v>
      </c>
      <c r="B236" s="79">
        <v>46039</v>
      </c>
      <c r="C236" s="75"/>
      <c r="D236" s="75"/>
      <c r="E236" s="75"/>
      <c r="F236" s="75">
        <v>40003</v>
      </c>
      <c r="G236" s="76" t="str">
        <f>VLOOKUP(Tabelle2[[#This Row],[Kunden Nr.]],KUNDEN!A:B,2,0)</f>
        <v>ARBENI BIOBLIC</v>
      </c>
      <c r="H236" s="75">
        <v>30275</v>
      </c>
      <c r="I236" s="76" t="str">
        <f>VLOOKUP(Tabelle2[[#This Row],[Artikel]],Produkte!A:B,2,0)</f>
        <v>Blic Blic Sanitärreiniger</v>
      </c>
      <c r="J236" s="75">
        <v>40</v>
      </c>
      <c r="K236" s="76">
        <f>VLOOKUP(Tabelle2[[#This Row],[Kunden Nr.]],KUNDEN!A:G,7)</f>
        <v>0</v>
      </c>
      <c r="L236" s="76">
        <f>VLOOKUP(Tabelle2[[#This Row],[Artikel]],Produkte!A:H,8)</f>
        <v>0.30000000000000004</v>
      </c>
    </row>
    <row r="237" spans="1:12" x14ac:dyDescent="0.2">
      <c r="A237" s="75" t="s">
        <v>1188</v>
      </c>
      <c r="B237" s="79">
        <v>46041</v>
      </c>
      <c r="C237" s="89">
        <v>46.2</v>
      </c>
      <c r="D237" s="75"/>
      <c r="E237" s="75"/>
      <c r="F237" s="75">
        <v>10133</v>
      </c>
      <c r="G237" s="76" t="str">
        <f>VLOOKUP(Tabelle2[[#This Row],[Kunden Nr.]],KUNDEN!A:B,2,0)</f>
        <v>HIDROELDI</v>
      </c>
      <c r="H237" s="75">
        <v>35114</v>
      </c>
      <c r="I237" s="76" t="str">
        <f>VLOOKUP(Tabelle2[[#This Row],[Artikel]],Produkte!A:B,2,0)</f>
        <v>M-ONE Sanitar Silikon</v>
      </c>
      <c r="J237" s="75">
        <v>12</v>
      </c>
      <c r="K237" s="76" t="str">
        <f>VLOOKUP(Tabelle2[[#This Row],[Kunden Nr.]],KUNDEN!A:G,7)</f>
        <v>Qerimi</v>
      </c>
      <c r="L237" s="76">
        <f>VLOOKUP(Tabelle2[[#This Row],[Artikel]],Produkte!A:H,8)</f>
        <v>0.17</v>
      </c>
    </row>
    <row r="238" spans="1:12" x14ac:dyDescent="0.2">
      <c r="A238" s="75" t="s">
        <v>573</v>
      </c>
      <c r="B238" s="79">
        <v>46041</v>
      </c>
      <c r="C238" s="89">
        <v>138.6</v>
      </c>
      <c r="D238" s="75"/>
      <c r="E238" s="75"/>
      <c r="F238" s="75">
        <v>10111</v>
      </c>
      <c r="G238" s="76" t="str">
        <f>VLOOKUP(Tabelle2[[#This Row],[Kunden Nr.]],KUNDEN!A:B,2,0)</f>
        <v>KADIJOLLET</v>
      </c>
      <c r="H238" s="75">
        <v>35108</v>
      </c>
      <c r="I238" s="76" t="str">
        <f>VLOOKUP(Tabelle2[[#This Row],[Artikel]],Produkte!A:B,2,0)</f>
        <v>M-ONE Sanitar Silikon</v>
      </c>
      <c r="J238" s="75">
        <v>12</v>
      </c>
      <c r="K238" s="76" t="str">
        <f>VLOOKUP(Tabelle2[[#This Row],[Kunden Nr.]],KUNDEN!A:G,7)</f>
        <v>Qerimi</v>
      </c>
      <c r="L238" s="76">
        <f>VLOOKUP(Tabelle2[[#This Row],[Artikel]],Produkte!A:H,8)</f>
        <v>0.17</v>
      </c>
    </row>
    <row r="239" spans="1:12" x14ac:dyDescent="0.2">
      <c r="A239" s="75" t="s">
        <v>573</v>
      </c>
      <c r="B239" s="79">
        <v>46041</v>
      </c>
      <c r="C239" s="75"/>
      <c r="D239" s="75"/>
      <c r="E239" s="75"/>
      <c r="F239" s="75">
        <v>10111</v>
      </c>
      <c r="G239" s="76" t="str">
        <f>VLOOKUP(Tabelle2[[#This Row],[Kunden Nr.]],KUNDEN!A:B,2,0)</f>
        <v>KADIJOLLET</v>
      </c>
      <c r="H239" s="75">
        <v>35109</v>
      </c>
      <c r="I239" s="76" t="str">
        <f>VLOOKUP(Tabelle2[[#This Row],[Artikel]],Produkte!A:B,2,0)</f>
        <v>M-ONE Sanitar Silikon</v>
      </c>
      <c r="J239" s="75">
        <v>12</v>
      </c>
      <c r="K239" s="76" t="str">
        <f>VLOOKUP(Tabelle2[[#This Row],[Kunden Nr.]],KUNDEN!A:G,7)</f>
        <v>Qerimi</v>
      </c>
      <c r="L239" s="76">
        <f>VLOOKUP(Tabelle2[[#This Row],[Artikel]],Produkte!A:H,8)</f>
        <v>0.17</v>
      </c>
    </row>
    <row r="240" spans="1:12" x14ac:dyDescent="0.2">
      <c r="A240" s="75" t="s">
        <v>573</v>
      </c>
      <c r="B240" s="79">
        <v>46041</v>
      </c>
      <c r="C240" s="75"/>
      <c r="D240" s="75"/>
      <c r="E240" s="75"/>
      <c r="F240" s="75">
        <v>10111</v>
      </c>
      <c r="G240" s="76" t="str">
        <f>VLOOKUP(Tabelle2[[#This Row],[Kunden Nr.]],KUNDEN!A:B,2,0)</f>
        <v>KADIJOLLET</v>
      </c>
      <c r="H240" s="75">
        <v>35112</v>
      </c>
      <c r="I240" s="76" t="str">
        <f>VLOOKUP(Tabelle2[[#This Row],[Artikel]],Produkte!A:B,2,0)</f>
        <v>M-ONE Sanitar Silikon</v>
      </c>
      <c r="J240" s="75">
        <v>12</v>
      </c>
      <c r="K240" s="76" t="str">
        <f>VLOOKUP(Tabelle2[[#This Row],[Kunden Nr.]],KUNDEN!A:G,7)</f>
        <v>Qerimi</v>
      </c>
      <c r="L240" s="76">
        <f>VLOOKUP(Tabelle2[[#This Row],[Artikel]],Produkte!A:H,8)</f>
        <v>0.17</v>
      </c>
    </row>
    <row r="241" spans="1:12" x14ac:dyDescent="0.2">
      <c r="A241" s="75" t="s">
        <v>576</v>
      </c>
      <c r="B241" s="79">
        <v>46041</v>
      </c>
      <c r="C241" s="89">
        <v>17.5</v>
      </c>
      <c r="D241" s="75"/>
      <c r="E241" s="75"/>
      <c r="F241" s="75">
        <v>10114</v>
      </c>
      <c r="G241" s="76" t="str">
        <f>VLOOKUP(Tabelle2[[#This Row],[Kunden Nr.]],KUNDEN!A:B,2,0)</f>
        <v>QELA</v>
      </c>
      <c r="H241" s="75">
        <v>55718</v>
      </c>
      <c r="I241" s="76" t="str">
        <f>VLOOKUP(Tabelle2[[#This Row],[Artikel]],Produkte!A:B,2,0)</f>
        <v>M ONE MOTORSTART</v>
      </c>
      <c r="J241" s="75">
        <v>5</v>
      </c>
      <c r="K241" s="76" t="str">
        <f>VLOOKUP(Tabelle2[[#This Row],[Kunden Nr.]],KUNDEN!A:G,7)</f>
        <v>Qerimi</v>
      </c>
      <c r="L241" s="76">
        <f>VLOOKUP(Tabelle2[[#This Row],[Artikel]],Produkte!A:H,8)</f>
        <v>0.2</v>
      </c>
    </row>
    <row r="242" spans="1:12" x14ac:dyDescent="0.2">
      <c r="A242" s="75" t="s">
        <v>1189</v>
      </c>
      <c r="B242" s="79">
        <v>46041</v>
      </c>
      <c r="C242" s="89">
        <v>69.599999999999994</v>
      </c>
      <c r="D242" s="75"/>
      <c r="E242" s="75"/>
      <c r="F242" s="75">
        <v>10134</v>
      </c>
      <c r="G242" s="76" t="str">
        <f>VLOOKUP(Tabelle2[[#This Row],[Kunden Nr.]],KUNDEN!A:B,2,0)</f>
        <v>EURO COLORS</v>
      </c>
      <c r="H242" s="75">
        <v>66701</v>
      </c>
      <c r="I242" s="76" t="str">
        <f>VLOOKUP(Tabelle2[[#This Row],[Artikel]],Produkte!A:B,2,0)</f>
        <v>PROFIMONT EXTREME</v>
      </c>
      <c r="J242" s="75">
        <v>12</v>
      </c>
      <c r="K242" s="76" t="str">
        <f>VLOOKUP(Tabelle2[[#This Row],[Kunden Nr.]],KUNDEN!A:G,7)</f>
        <v>Qerimi</v>
      </c>
      <c r="L242" s="76">
        <f>VLOOKUP(Tabelle2[[#This Row],[Artikel]],Produkte!A:H,8)</f>
        <v>0.2</v>
      </c>
    </row>
    <row r="243" spans="1:12" x14ac:dyDescent="0.2">
      <c r="A243" s="75" t="s">
        <v>566</v>
      </c>
      <c r="B243" s="79">
        <v>46041</v>
      </c>
      <c r="C243" s="89">
        <v>46.2</v>
      </c>
      <c r="D243" s="75"/>
      <c r="E243" s="75"/>
      <c r="F243" s="75">
        <v>10104</v>
      </c>
      <c r="G243" s="76" t="str">
        <f>VLOOKUP(Tabelle2[[#This Row],[Kunden Nr.]],KUNDEN!A:B,2,0)</f>
        <v>JETARI</v>
      </c>
      <c r="H243" s="75">
        <v>35128</v>
      </c>
      <c r="I243" s="76" t="str">
        <f>VLOOKUP(Tabelle2[[#This Row],[Artikel]],Produkte!A:B,2,0)</f>
        <v>M-ONE Sanitar Silikon</v>
      </c>
      <c r="J243" s="75">
        <v>12</v>
      </c>
      <c r="K243" s="76" t="str">
        <f>VLOOKUP(Tabelle2[[#This Row],[Kunden Nr.]],KUNDEN!A:G,7)</f>
        <v>Qerimi</v>
      </c>
      <c r="L243" s="76">
        <f>VLOOKUP(Tabelle2[[#This Row],[Artikel]],Produkte!A:H,8)</f>
        <v>0.17</v>
      </c>
    </row>
    <row r="244" spans="1:12" x14ac:dyDescent="0.2">
      <c r="A244" s="75" t="s">
        <v>1163</v>
      </c>
      <c r="B244" s="79">
        <v>46041</v>
      </c>
      <c r="C244" s="89">
        <v>720</v>
      </c>
      <c r="D244" s="75"/>
      <c r="E244" s="75"/>
      <c r="F244" s="75">
        <v>20121</v>
      </c>
      <c r="G244" s="76" t="str">
        <f>VLOOKUP(Tabelle2[[#This Row],[Kunden Nr.]],KUNDEN!A:B,2,0)</f>
        <v>CAMA BAU</v>
      </c>
      <c r="H244" s="75">
        <v>35108</v>
      </c>
      <c r="I244" s="76" t="str">
        <f>VLOOKUP(Tabelle2[[#This Row],[Artikel]],Produkte!A:B,2,0)</f>
        <v>M-ONE Sanitar Silikon</v>
      </c>
      <c r="J244" s="75">
        <v>12</v>
      </c>
      <c r="K244" s="76" t="str">
        <f>VLOOKUP(Tabelle2[[#This Row],[Kunden Nr.]],KUNDEN!A:G,7)</f>
        <v>Mensuri</v>
      </c>
      <c r="L244" s="76">
        <f>VLOOKUP(Tabelle2[[#This Row],[Artikel]],Produkte!A:H,8)</f>
        <v>0.17</v>
      </c>
    </row>
    <row r="245" spans="1:12" x14ac:dyDescent="0.2">
      <c r="A245" s="75" t="s">
        <v>1163</v>
      </c>
      <c r="B245" s="79">
        <v>46041</v>
      </c>
      <c r="C245" s="75"/>
      <c r="D245" s="75"/>
      <c r="E245" s="75"/>
      <c r="F245" s="75">
        <v>20121</v>
      </c>
      <c r="G245" s="76" t="str">
        <f>VLOOKUP(Tabelle2[[#This Row],[Kunden Nr.]],KUNDEN!A:B,2,0)</f>
        <v>CAMA BAU</v>
      </c>
      <c r="H245" s="75">
        <v>35109</v>
      </c>
      <c r="I245" s="76" t="str">
        <f>VLOOKUP(Tabelle2[[#This Row],[Artikel]],Produkte!A:B,2,0)</f>
        <v>M-ONE Sanitar Silikon</v>
      </c>
      <c r="J245" s="75">
        <v>12</v>
      </c>
      <c r="K245" s="76" t="str">
        <f>VLOOKUP(Tabelle2[[#This Row],[Kunden Nr.]],KUNDEN!A:G,7)</f>
        <v>Mensuri</v>
      </c>
      <c r="L245" s="76">
        <f>VLOOKUP(Tabelle2[[#This Row],[Artikel]],Produkte!A:H,8)</f>
        <v>0.17</v>
      </c>
    </row>
    <row r="246" spans="1:12" x14ac:dyDescent="0.2">
      <c r="A246" s="75" t="s">
        <v>1163</v>
      </c>
      <c r="B246" s="79">
        <v>46041</v>
      </c>
      <c r="C246" s="75"/>
      <c r="D246" s="75"/>
      <c r="E246" s="75"/>
      <c r="F246" s="75">
        <v>20121</v>
      </c>
      <c r="G246" s="76" t="str">
        <f>VLOOKUP(Tabelle2[[#This Row],[Kunden Nr.]],KUNDEN!A:B,2,0)</f>
        <v>CAMA BAU</v>
      </c>
      <c r="H246" s="75">
        <v>35110</v>
      </c>
      <c r="I246" s="76" t="str">
        <f>VLOOKUP(Tabelle2[[#This Row],[Artikel]],Produkte!A:B,2,0)</f>
        <v>M-ONE Sanitar Silikon</v>
      </c>
      <c r="J246" s="75">
        <v>12</v>
      </c>
      <c r="K246" s="76" t="str">
        <f>VLOOKUP(Tabelle2[[#This Row],[Kunden Nr.]],KUNDEN!A:G,7)</f>
        <v>Mensuri</v>
      </c>
      <c r="L246" s="76">
        <f>VLOOKUP(Tabelle2[[#This Row],[Artikel]],Produkte!A:H,8)</f>
        <v>0.17</v>
      </c>
    </row>
    <row r="247" spans="1:12" x14ac:dyDescent="0.2">
      <c r="A247" s="75" t="s">
        <v>1163</v>
      </c>
      <c r="B247" s="79">
        <v>46041</v>
      </c>
      <c r="C247" s="75"/>
      <c r="D247" s="75"/>
      <c r="E247" s="75"/>
      <c r="F247" s="75">
        <v>20121</v>
      </c>
      <c r="G247" s="76" t="str">
        <f>VLOOKUP(Tabelle2[[#This Row],[Kunden Nr.]],KUNDEN!A:B,2,0)</f>
        <v>CAMA BAU</v>
      </c>
      <c r="H247" s="75">
        <v>35111</v>
      </c>
      <c r="I247" s="76" t="str">
        <f>VLOOKUP(Tabelle2[[#This Row],[Artikel]],Produkte!A:B,2,0)</f>
        <v>M-ONE Sanitar Silikon</v>
      </c>
      <c r="J247" s="75">
        <v>12</v>
      </c>
      <c r="K247" s="76" t="str">
        <f>VLOOKUP(Tabelle2[[#This Row],[Kunden Nr.]],KUNDEN!A:G,7)</f>
        <v>Mensuri</v>
      </c>
      <c r="L247" s="76">
        <f>VLOOKUP(Tabelle2[[#This Row],[Artikel]],Produkte!A:H,8)</f>
        <v>0.17</v>
      </c>
    </row>
    <row r="248" spans="1:12" x14ac:dyDescent="0.2">
      <c r="A248" s="75" t="s">
        <v>1163</v>
      </c>
      <c r="B248" s="79">
        <v>46041</v>
      </c>
      <c r="C248" s="75"/>
      <c r="D248" s="75"/>
      <c r="E248" s="75"/>
      <c r="F248" s="75">
        <v>20121</v>
      </c>
      <c r="G248" s="76" t="str">
        <f>VLOOKUP(Tabelle2[[#This Row],[Kunden Nr.]],KUNDEN!A:B,2,0)</f>
        <v>CAMA BAU</v>
      </c>
      <c r="H248" s="75">
        <v>35112</v>
      </c>
      <c r="I248" s="76" t="str">
        <f>VLOOKUP(Tabelle2[[#This Row],[Artikel]],Produkte!A:B,2,0)</f>
        <v>M-ONE Sanitar Silikon</v>
      </c>
      <c r="J248" s="75">
        <v>12</v>
      </c>
      <c r="K248" s="76" t="str">
        <f>VLOOKUP(Tabelle2[[#This Row],[Kunden Nr.]],KUNDEN!A:G,7)</f>
        <v>Mensuri</v>
      </c>
      <c r="L248" s="76">
        <f>VLOOKUP(Tabelle2[[#This Row],[Artikel]],Produkte!A:H,8)</f>
        <v>0.17</v>
      </c>
    </row>
    <row r="249" spans="1:12" x14ac:dyDescent="0.2">
      <c r="A249" s="75" t="s">
        <v>1163</v>
      </c>
      <c r="B249" s="79">
        <v>46041</v>
      </c>
      <c r="C249" s="75"/>
      <c r="D249" s="75"/>
      <c r="E249" s="75"/>
      <c r="F249" s="75">
        <v>20121</v>
      </c>
      <c r="G249" s="76" t="str">
        <f>VLOOKUP(Tabelle2[[#This Row],[Kunden Nr.]],KUNDEN!A:B,2,0)</f>
        <v>CAMA BAU</v>
      </c>
      <c r="H249" s="75">
        <v>35113</v>
      </c>
      <c r="I249" s="76" t="str">
        <f>VLOOKUP(Tabelle2[[#This Row],[Artikel]],Produkte!A:B,2,0)</f>
        <v>M-ONE Sanitar Silikon</v>
      </c>
      <c r="J249" s="75">
        <v>12</v>
      </c>
      <c r="K249" s="76" t="str">
        <f>VLOOKUP(Tabelle2[[#This Row],[Kunden Nr.]],KUNDEN!A:G,7)</f>
        <v>Mensuri</v>
      </c>
      <c r="L249" s="76">
        <f>VLOOKUP(Tabelle2[[#This Row],[Artikel]],Produkte!A:H,8)</f>
        <v>0.17</v>
      </c>
    </row>
    <row r="250" spans="1:12" x14ac:dyDescent="0.2">
      <c r="A250" s="75" t="s">
        <v>1163</v>
      </c>
      <c r="B250" s="79">
        <v>46041</v>
      </c>
      <c r="C250" s="75"/>
      <c r="D250" s="75"/>
      <c r="E250" s="75"/>
      <c r="F250" s="75">
        <v>20121</v>
      </c>
      <c r="G250" s="76" t="str">
        <f>VLOOKUP(Tabelle2[[#This Row],[Kunden Nr.]],KUNDEN!A:B,2,0)</f>
        <v>CAMA BAU</v>
      </c>
      <c r="H250" s="75">
        <v>35114</v>
      </c>
      <c r="I250" s="76" t="str">
        <f>VLOOKUP(Tabelle2[[#This Row],[Artikel]],Produkte!A:B,2,0)</f>
        <v>M-ONE Sanitar Silikon</v>
      </c>
      <c r="J250" s="75">
        <v>12</v>
      </c>
      <c r="K250" s="76" t="str">
        <f>VLOOKUP(Tabelle2[[#This Row],[Kunden Nr.]],KUNDEN!A:G,7)</f>
        <v>Mensuri</v>
      </c>
      <c r="L250" s="76">
        <f>VLOOKUP(Tabelle2[[#This Row],[Artikel]],Produkte!A:H,8)</f>
        <v>0.17</v>
      </c>
    </row>
    <row r="251" spans="1:12" x14ac:dyDescent="0.2">
      <c r="A251" s="75" t="s">
        <v>1163</v>
      </c>
      <c r="B251" s="79">
        <v>46041</v>
      </c>
      <c r="C251" s="75"/>
      <c r="D251" s="75"/>
      <c r="E251" s="75"/>
      <c r="F251" s="75">
        <v>20121</v>
      </c>
      <c r="G251" s="76" t="str">
        <f>VLOOKUP(Tabelle2[[#This Row],[Kunden Nr.]],KUNDEN!A:B,2,0)</f>
        <v>CAMA BAU</v>
      </c>
      <c r="H251" s="75">
        <v>35115</v>
      </c>
      <c r="I251" s="76" t="str">
        <f>VLOOKUP(Tabelle2[[#This Row],[Artikel]],Produkte!A:B,2,0)</f>
        <v>M-ONE Sanitar Silikon</v>
      </c>
      <c r="J251" s="75">
        <v>12</v>
      </c>
      <c r="K251" s="76" t="str">
        <f>VLOOKUP(Tabelle2[[#This Row],[Kunden Nr.]],KUNDEN!A:G,7)</f>
        <v>Mensuri</v>
      </c>
      <c r="L251" s="76">
        <f>VLOOKUP(Tabelle2[[#This Row],[Artikel]],Produkte!A:H,8)</f>
        <v>0.17</v>
      </c>
    </row>
    <row r="252" spans="1:12" x14ac:dyDescent="0.2">
      <c r="A252" s="75" t="s">
        <v>1163</v>
      </c>
      <c r="B252" s="79">
        <v>46041</v>
      </c>
      <c r="C252" s="75"/>
      <c r="D252" s="75"/>
      <c r="E252" s="75"/>
      <c r="F252" s="75">
        <v>20121</v>
      </c>
      <c r="G252" s="76" t="str">
        <f>VLOOKUP(Tabelle2[[#This Row],[Kunden Nr.]],KUNDEN!A:B,2,0)</f>
        <v>CAMA BAU</v>
      </c>
      <c r="H252" s="75">
        <v>35119</v>
      </c>
      <c r="I252" s="76" t="str">
        <f>VLOOKUP(Tabelle2[[#This Row],[Artikel]],Produkte!A:B,2,0)</f>
        <v>M-ONE Sanitar Silikon</v>
      </c>
      <c r="J252" s="75">
        <v>12</v>
      </c>
      <c r="K252" s="76" t="str">
        <f>VLOOKUP(Tabelle2[[#This Row],[Kunden Nr.]],KUNDEN!A:G,7)</f>
        <v>Mensuri</v>
      </c>
      <c r="L252" s="76">
        <f>VLOOKUP(Tabelle2[[#This Row],[Artikel]],Produkte!A:H,8)</f>
        <v>0.17</v>
      </c>
    </row>
    <row r="253" spans="1:12" x14ac:dyDescent="0.2">
      <c r="A253" s="75" t="s">
        <v>1163</v>
      </c>
      <c r="B253" s="79">
        <v>46041</v>
      </c>
      <c r="C253" s="75"/>
      <c r="D253" s="75"/>
      <c r="E253" s="75"/>
      <c r="F253" s="75">
        <v>20121</v>
      </c>
      <c r="G253" s="76" t="str">
        <f>VLOOKUP(Tabelle2[[#This Row],[Kunden Nr.]],KUNDEN!A:B,2,0)</f>
        <v>CAMA BAU</v>
      </c>
      <c r="H253" s="75">
        <v>35121</v>
      </c>
      <c r="I253" s="76" t="str">
        <f>VLOOKUP(Tabelle2[[#This Row],[Artikel]],Produkte!A:B,2,0)</f>
        <v>M-ONE Sanitar Silikon</v>
      </c>
      <c r="J253" s="75">
        <v>12</v>
      </c>
      <c r="K253" s="76" t="str">
        <f>VLOOKUP(Tabelle2[[#This Row],[Kunden Nr.]],KUNDEN!A:G,7)</f>
        <v>Mensuri</v>
      </c>
      <c r="L253" s="76">
        <f>VLOOKUP(Tabelle2[[#This Row],[Artikel]],Produkte!A:H,8)</f>
        <v>0.17</v>
      </c>
    </row>
    <row r="254" spans="1:12" x14ac:dyDescent="0.2">
      <c r="A254" s="75" t="s">
        <v>1163</v>
      </c>
      <c r="B254" s="79">
        <v>46041</v>
      </c>
      <c r="C254" s="75"/>
      <c r="D254" s="75"/>
      <c r="E254" s="75"/>
      <c r="F254" s="75">
        <v>20121</v>
      </c>
      <c r="G254" s="76" t="str">
        <f>VLOOKUP(Tabelle2[[#This Row],[Kunden Nr.]],KUNDEN!A:B,2,0)</f>
        <v>CAMA BAU</v>
      </c>
      <c r="H254" s="75">
        <v>35125</v>
      </c>
      <c r="I254" s="76" t="str">
        <f>VLOOKUP(Tabelle2[[#This Row],[Artikel]],Produkte!A:B,2,0)</f>
        <v>M-ONE Sanitar Silikon</v>
      </c>
      <c r="J254" s="75">
        <v>12</v>
      </c>
      <c r="K254" s="76" t="str">
        <f>VLOOKUP(Tabelle2[[#This Row],[Kunden Nr.]],KUNDEN!A:G,7)</f>
        <v>Mensuri</v>
      </c>
      <c r="L254" s="76">
        <f>VLOOKUP(Tabelle2[[#This Row],[Artikel]],Produkte!A:H,8)</f>
        <v>0.17</v>
      </c>
    </row>
    <row r="255" spans="1:12" x14ac:dyDescent="0.2">
      <c r="A255" s="75" t="s">
        <v>1163</v>
      </c>
      <c r="B255" s="79">
        <v>46041</v>
      </c>
      <c r="C255" s="75"/>
      <c r="D255" s="75"/>
      <c r="E255" s="75"/>
      <c r="F255" s="75">
        <v>20121</v>
      </c>
      <c r="G255" s="76" t="str">
        <f>VLOOKUP(Tabelle2[[#This Row],[Kunden Nr.]],KUNDEN!A:B,2,0)</f>
        <v>CAMA BAU</v>
      </c>
      <c r="H255" s="75">
        <v>35128</v>
      </c>
      <c r="I255" s="76" t="str">
        <f>VLOOKUP(Tabelle2[[#This Row],[Artikel]],Produkte!A:B,2,0)</f>
        <v>M-ONE Sanitar Silikon</v>
      </c>
      <c r="J255" s="75">
        <v>12</v>
      </c>
      <c r="K255" s="76" t="str">
        <f>VLOOKUP(Tabelle2[[#This Row],[Kunden Nr.]],KUNDEN!A:G,7)</f>
        <v>Mensuri</v>
      </c>
      <c r="L255" s="76">
        <f>VLOOKUP(Tabelle2[[#This Row],[Artikel]],Produkte!A:H,8)</f>
        <v>0.17</v>
      </c>
    </row>
    <row r="256" spans="1:12" x14ac:dyDescent="0.2">
      <c r="A256" s="75" t="s">
        <v>1163</v>
      </c>
      <c r="B256" s="79">
        <v>46041</v>
      </c>
      <c r="C256" s="75"/>
      <c r="D256" s="75"/>
      <c r="E256" s="75"/>
      <c r="F256" s="75">
        <v>20121</v>
      </c>
      <c r="G256" s="76" t="str">
        <f>VLOOKUP(Tabelle2[[#This Row],[Kunden Nr.]],KUNDEN!A:B,2,0)</f>
        <v>CAMA BAU</v>
      </c>
      <c r="H256" s="75">
        <v>66701</v>
      </c>
      <c r="I256" s="76" t="str">
        <f>VLOOKUP(Tabelle2[[#This Row],[Artikel]],Produkte!A:B,2,0)</f>
        <v>PROFIMONT EXTREME</v>
      </c>
      <c r="J256" s="75">
        <v>12</v>
      </c>
      <c r="K256" s="76" t="str">
        <f>VLOOKUP(Tabelle2[[#This Row],[Kunden Nr.]],KUNDEN!A:G,7)</f>
        <v>Mensuri</v>
      </c>
      <c r="L256" s="76">
        <f>VLOOKUP(Tabelle2[[#This Row],[Artikel]],Produkte!A:H,8)</f>
        <v>0.2</v>
      </c>
    </row>
    <row r="257" spans="1:12" x14ac:dyDescent="0.2">
      <c r="A257" s="75" t="s">
        <v>1163</v>
      </c>
      <c r="B257" s="79">
        <v>46041</v>
      </c>
      <c r="C257" s="75"/>
      <c r="D257" s="75"/>
      <c r="E257" s="75"/>
      <c r="F257" s="75">
        <v>20121</v>
      </c>
      <c r="G257" s="76" t="str">
        <f>VLOOKUP(Tabelle2[[#This Row],[Kunden Nr.]],KUNDEN!A:B,2,0)</f>
        <v>CAMA BAU</v>
      </c>
      <c r="H257" s="75">
        <v>50912</v>
      </c>
      <c r="I257" s="76" t="str">
        <f>VLOOKUP(Tabelle2[[#This Row],[Artikel]],Produkte!A:B,2,0)</f>
        <v>DICHTUNG</v>
      </c>
      <c r="J257" s="75">
        <v>12</v>
      </c>
      <c r="K257" s="76" t="str">
        <f>VLOOKUP(Tabelle2[[#This Row],[Kunden Nr.]],KUNDEN!A:G,7)</f>
        <v>Mensuri</v>
      </c>
      <c r="L257" s="76">
        <f>VLOOKUP(Tabelle2[[#This Row],[Artikel]],Produkte!A:H,8)</f>
        <v>0.2</v>
      </c>
    </row>
    <row r="258" spans="1:12" x14ac:dyDescent="0.2">
      <c r="A258" s="75" t="s">
        <v>474</v>
      </c>
      <c r="B258" s="79">
        <v>46041</v>
      </c>
      <c r="C258" s="89">
        <v>137.4</v>
      </c>
      <c r="D258" s="75"/>
      <c r="E258" s="75"/>
      <c r="F258" s="75">
        <v>20109</v>
      </c>
      <c r="G258" s="76" t="str">
        <f>VLOOKUP(Tabelle2[[#This Row],[Kunden Nr.]],KUNDEN!A:B,2,0)</f>
        <v>KENA COMERC</v>
      </c>
      <c r="H258" s="75">
        <v>35110</v>
      </c>
      <c r="I258" s="76" t="str">
        <f>VLOOKUP(Tabelle2[[#This Row],[Artikel]],Produkte!A:B,2,0)</f>
        <v>M-ONE Sanitar Silikon</v>
      </c>
      <c r="J258" s="75">
        <v>12</v>
      </c>
      <c r="K258" s="76" t="str">
        <f>VLOOKUP(Tabelle2[[#This Row],[Kunden Nr.]],KUNDEN!A:G,7)</f>
        <v>Mensuri</v>
      </c>
      <c r="L258" s="76">
        <f>VLOOKUP(Tabelle2[[#This Row],[Artikel]],Produkte!A:H,8)</f>
        <v>0.17</v>
      </c>
    </row>
    <row r="259" spans="1:12" x14ac:dyDescent="0.2">
      <c r="A259" s="75" t="s">
        <v>474</v>
      </c>
      <c r="B259" s="79">
        <v>46041</v>
      </c>
      <c r="C259" s="75"/>
      <c r="D259" s="75"/>
      <c r="E259" s="75"/>
      <c r="F259" s="75">
        <v>20109</v>
      </c>
      <c r="G259" s="76" t="str">
        <f>VLOOKUP(Tabelle2[[#This Row],[Kunden Nr.]],KUNDEN!A:B,2,0)</f>
        <v>KENA COMERC</v>
      </c>
      <c r="H259" s="75">
        <v>35111</v>
      </c>
      <c r="I259" s="76" t="str">
        <f>VLOOKUP(Tabelle2[[#This Row],[Artikel]],Produkte!A:B,2,0)</f>
        <v>M-ONE Sanitar Silikon</v>
      </c>
      <c r="J259" s="75">
        <v>12</v>
      </c>
      <c r="K259" s="76" t="str">
        <f>VLOOKUP(Tabelle2[[#This Row],[Kunden Nr.]],KUNDEN!A:G,7)</f>
        <v>Mensuri</v>
      </c>
      <c r="L259" s="76">
        <f>VLOOKUP(Tabelle2[[#This Row],[Artikel]],Produkte!A:H,8)</f>
        <v>0.17</v>
      </c>
    </row>
    <row r="260" spans="1:12" x14ac:dyDescent="0.2">
      <c r="A260" s="75" t="s">
        <v>474</v>
      </c>
      <c r="B260" s="79">
        <v>46041</v>
      </c>
      <c r="C260" s="75"/>
      <c r="D260" s="75"/>
      <c r="E260" s="75"/>
      <c r="F260" s="75">
        <v>20109</v>
      </c>
      <c r="G260" s="76" t="str">
        <f>VLOOKUP(Tabelle2[[#This Row],[Kunden Nr.]],KUNDEN!A:B,2,0)</f>
        <v>KENA COMERC</v>
      </c>
      <c r="H260" s="75">
        <v>51611</v>
      </c>
      <c r="I260" s="76" t="str">
        <f>VLOOKUP(Tabelle2[[#This Row],[Artikel]],Produkte!A:B,2,0)</f>
        <v>universal akryl</v>
      </c>
      <c r="J260" s="75">
        <v>36</v>
      </c>
      <c r="K260" s="76" t="str">
        <f>VLOOKUP(Tabelle2[[#This Row],[Kunden Nr.]],KUNDEN!A:G,7)</f>
        <v>Mensuri</v>
      </c>
      <c r="L260" s="76">
        <f>VLOOKUP(Tabelle2[[#This Row],[Artikel]],Produkte!A:H,8)</f>
        <v>0.06</v>
      </c>
    </row>
    <row r="261" spans="1:12" x14ac:dyDescent="0.2">
      <c r="A261" s="75" t="s">
        <v>476</v>
      </c>
      <c r="B261" s="79">
        <v>46041</v>
      </c>
      <c r="C261" s="89">
        <v>44.5</v>
      </c>
      <c r="D261" s="75"/>
      <c r="E261" s="75"/>
      <c r="F261" s="75">
        <v>20111</v>
      </c>
      <c r="G261" s="76" t="str">
        <f>VLOOKUP(Tabelle2[[#This Row],[Kunden Nr.]],KUNDEN!A:B,2,0)</f>
        <v>TECOL 2</v>
      </c>
      <c r="H261" s="75">
        <v>38136</v>
      </c>
      <c r="I261" s="76" t="str">
        <f>VLOOKUP(Tabelle2[[#This Row],[Artikel]],Produkte!A:B,2,0)</f>
        <v>M ONE KLARLACK</v>
      </c>
      <c r="J261" s="75">
        <v>12</v>
      </c>
      <c r="K261" s="76" t="str">
        <f>VLOOKUP(Tabelle2[[#This Row],[Kunden Nr.]],KUNDEN!A:G,7)</f>
        <v>Mensuri</v>
      </c>
      <c r="L261" s="76">
        <f>VLOOKUP(Tabelle2[[#This Row],[Artikel]],Produkte!A:H,8)</f>
        <v>0.15</v>
      </c>
    </row>
    <row r="262" spans="1:12" x14ac:dyDescent="0.2">
      <c r="A262" s="75" t="s">
        <v>476</v>
      </c>
      <c r="B262" s="79">
        <v>46041</v>
      </c>
      <c r="C262" s="75"/>
      <c r="D262" s="75"/>
      <c r="E262" s="75"/>
      <c r="F262" s="75">
        <v>20111</v>
      </c>
      <c r="G262" s="76" t="str">
        <f>VLOOKUP(Tabelle2[[#This Row],[Kunden Nr.]],KUNDEN!A:B,2,0)</f>
        <v>TECOL 2</v>
      </c>
      <c r="H262" s="75">
        <v>31818</v>
      </c>
      <c r="I262" s="76" t="str">
        <f>VLOOKUP(Tabelle2[[#This Row],[Artikel]],Produkte!A:B,2,0)</f>
        <v>M ONE ANTHRAZIT</v>
      </c>
      <c r="J262" s="75">
        <v>7</v>
      </c>
      <c r="K262" s="76" t="str">
        <f>VLOOKUP(Tabelle2[[#This Row],[Kunden Nr.]],KUNDEN!A:G,7)</f>
        <v>Mensuri</v>
      </c>
      <c r="L262" s="76">
        <f>VLOOKUP(Tabelle2[[#This Row],[Artikel]],Produkte!A:H,8)</f>
        <v>0.15</v>
      </c>
    </row>
    <row r="263" spans="1:12" x14ac:dyDescent="0.2">
      <c r="A263" s="75" t="s">
        <v>476</v>
      </c>
      <c r="B263" s="79">
        <v>46041</v>
      </c>
      <c r="C263" s="75"/>
      <c r="D263" s="75"/>
      <c r="E263" s="75"/>
      <c r="F263" s="75">
        <v>20111</v>
      </c>
      <c r="G263" s="76" t="str">
        <f>VLOOKUP(Tabelle2[[#This Row],[Kunden Nr.]],KUNDEN!A:B,2,0)</f>
        <v>TECOL 2</v>
      </c>
      <c r="H263" s="75">
        <v>56117</v>
      </c>
      <c r="I263" s="76" t="str">
        <f>VLOOKUP(Tabelle2[[#This Row],[Artikel]],Produkte!A:B,2,0)</f>
        <v>M ONE UBS</v>
      </c>
      <c r="J263" s="75">
        <v>4</v>
      </c>
      <c r="K263" s="76" t="str">
        <f>VLOOKUP(Tabelle2[[#This Row],[Kunden Nr.]],KUNDEN!A:G,7)</f>
        <v>Mensuri</v>
      </c>
      <c r="L263" s="76">
        <f>VLOOKUP(Tabelle2[[#This Row],[Artikel]],Produkte!A:H,8)</f>
        <v>0.2</v>
      </c>
    </row>
    <row r="264" spans="1:12" x14ac:dyDescent="0.2">
      <c r="A264" s="75" t="s">
        <v>1180</v>
      </c>
      <c r="B264" s="79">
        <v>46041</v>
      </c>
      <c r="C264" s="89">
        <v>107.4</v>
      </c>
      <c r="D264" s="75"/>
      <c r="E264" s="75"/>
      <c r="F264" s="75">
        <v>20126</v>
      </c>
      <c r="G264" s="76" t="str">
        <f>VLOOKUP(Tabelle2[[#This Row],[Kunden Nr.]],KUNDEN!A:B,2,0)</f>
        <v>LULI-C</v>
      </c>
      <c r="H264" s="75">
        <v>35112</v>
      </c>
      <c r="I264" s="76" t="str">
        <f>VLOOKUP(Tabelle2[[#This Row],[Artikel]],Produkte!A:B,2,0)</f>
        <v>M-ONE Sanitar Silikon</v>
      </c>
      <c r="J264" s="75">
        <v>12</v>
      </c>
      <c r="K264" s="76" t="str">
        <f>VLOOKUP(Tabelle2[[#This Row],[Kunden Nr.]],KUNDEN!A:G,7)</f>
        <v>Mensuri</v>
      </c>
      <c r="L264" s="76">
        <f>VLOOKUP(Tabelle2[[#This Row],[Artikel]],Produkte!A:H,8)</f>
        <v>0.17</v>
      </c>
    </row>
    <row r="265" spans="1:12" x14ac:dyDescent="0.2">
      <c r="A265" s="75" t="s">
        <v>1180</v>
      </c>
      <c r="B265" s="79">
        <v>46041</v>
      </c>
      <c r="C265" s="75"/>
      <c r="D265" s="75"/>
      <c r="E265" s="75"/>
      <c r="F265" s="75">
        <v>20126</v>
      </c>
      <c r="G265" s="76" t="str">
        <f>VLOOKUP(Tabelle2[[#This Row],[Kunden Nr.]],KUNDEN!A:B,2,0)</f>
        <v>LULI-C</v>
      </c>
      <c r="H265" s="75">
        <v>35128</v>
      </c>
      <c r="I265" s="76" t="str">
        <f>VLOOKUP(Tabelle2[[#This Row],[Artikel]],Produkte!A:B,2,0)</f>
        <v>M-ONE Sanitar Silikon</v>
      </c>
      <c r="J265" s="75">
        <v>12</v>
      </c>
      <c r="K265" s="76" t="str">
        <f>VLOOKUP(Tabelle2[[#This Row],[Kunden Nr.]],KUNDEN!A:G,7)</f>
        <v>Mensuri</v>
      </c>
      <c r="L265" s="76">
        <f>VLOOKUP(Tabelle2[[#This Row],[Artikel]],Produkte!A:H,8)</f>
        <v>0.17</v>
      </c>
    </row>
    <row r="266" spans="1:12" x14ac:dyDescent="0.2">
      <c r="A266" s="75" t="s">
        <v>1180</v>
      </c>
      <c r="B266" s="79">
        <v>46041</v>
      </c>
      <c r="C266" s="75"/>
      <c r="D266" s="75"/>
      <c r="E266" s="75"/>
      <c r="F266" s="75">
        <v>20126</v>
      </c>
      <c r="G266" s="76" t="str">
        <f>VLOOKUP(Tabelle2[[#This Row],[Kunden Nr.]],KUNDEN!A:B,2,0)</f>
        <v>LULI-C</v>
      </c>
      <c r="H266" s="75">
        <v>51611</v>
      </c>
      <c r="I266" s="76" t="str">
        <f>VLOOKUP(Tabelle2[[#This Row],[Artikel]],Produkte!A:B,2,0)</f>
        <v>universal akryl</v>
      </c>
      <c r="J266" s="75">
        <v>12</v>
      </c>
      <c r="K266" s="76" t="str">
        <f>VLOOKUP(Tabelle2[[#This Row],[Kunden Nr.]],KUNDEN!A:G,7)</f>
        <v>Mensuri</v>
      </c>
      <c r="L266" s="76">
        <f>VLOOKUP(Tabelle2[[#This Row],[Artikel]],Produkte!A:H,8)</f>
        <v>0.06</v>
      </c>
    </row>
    <row r="267" spans="1:12" x14ac:dyDescent="0.2">
      <c r="A267" s="75" t="s">
        <v>1129</v>
      </c>
      <c r="B267" s="79">
        <v>46041</v>
      </c>
      <c r="C267" s="89">
        <v>102.4</v>
      </c>
      <c r="D267" s="75"/>
      <c r="E267" s="75"/>
      <c r="F267" s="75">
        <v>20127</v>
      </c>
      <c r="G267" s="76" t="str">
        <f>VLOOKUP(Tabelle2[[#This Row],[Kunden Nr.]],KUNDEN!A:B,2,0)</f>
        <v>TERMO PROJEKT</v>
      </c>
      <c r="H267" s="75">
        <v>35109</v>
      </c>
      <c r="I267" s="76" t="str">
        <f>VLOOKUP(Tabelle2[[#This Row],[Artikel]],Produkte!A:B,2,0)</f>
        <v>M-ONE Sanitar Silikon</v>
      </c>
      <c r="J267" s="75">
        <v>12</v>
      </c>
      <c r="K267" s="76" t="str">
        <f>VLOOKUP(Tabelle2[[#This Row],[Kunden Nr.]],KUNDEN!A:G,7)</f>
        <v>Mensuri</v>
      </c>
      <c r="L267" s="76">
        <f>VLOOKUP(Tabelle2[[#This Row],[Artikel]],Produkte!A:H,8)</f>
        <v>0.17</v>
      </c>
    </row>
    <row r="268" spans="1:12" x14ac:dyDescent="0.2">
      <c r="A268" s="75" t="s">
        <v>1129</v>
      </c>
      <c r="B268" s="79">
        <v>46041</v>
      </c>
      <c r="C268" s="75"/>
      <c r="D268" s="75"/>
      <c r="E268" s="75"/>
      <c r="F268" s="75">
        <v>20127</v>
      </c>
      <c r="G268" s="76" t="str">
        <f>VLOOKUP(Tabelle2[[#This Row],[Kunden Nr.]],KUNDEN!A:B,2,0)</f>
        <v>TERMO PROJEKT</v>
      </c>
      <c r="H268" s="75">
        <v>35111</v>
      </c>
      <c r="I268" s="76" t="str">
        <f>VLOOKUP(Tabelle2[[#This Row],[Artikel]],Produkte!A:B,2,0)</f>
        <v>M-ONE Sanitar Silikon</v>
      </c>
      <c r="J268" s="75">
        <v>12</v>
      </c>
      <c r="K268" s="76" t="str">
        <f>VLOOKUP(Tabelle2[[#This Row],[Kunden Nr.]],KUNDEN!A:G,7)</f>
        <v>Mensuri</v>
      </c>
      <c r="L268" s="76">
        <f>VLOOKUP(Tabelle2[[#This Row],[Artikel]],Produkte!A:H,8)</f>
        <v>0.17</v>
      </c>
    </row>
    <row r="269" spans="1:12" x14ac:dyDescent="0.2">
      <c r="A269" s="75" t="s">
        <v>1129</v>
      </c>
      <c r="B269" s="79">
        <v>46041</v>
      </c>
      <c r="C269" s="75"/>
      <c r="D269" s="75"/>
      <c r="E269" s="75"/>
      <c r="F269" s="75">
        <v>20127</v>
      </c>
      <c r="G269" s="76" t="str">
        <f>VLOOKUP(Tabelle2[[#This Row],[Kunden Nr.]],KUNDEN!A:B,2,0)</f>
        <v>TERMO PROJEKT</v>
      </c>
      <c r="H269" s="75">
        <v>49644</v>
      </c>
      <c r="I269" s="76" t="str">
        <f>VLOOKUP(Tabelle2[[#This Row],[Artikel]],Produkte!A:B,2,0)</f>
        <v>beMAKER Rostlöser</v>
      </c>
      <c r="J269" s="75">
        <v>5</v>
      </c>
      <c r="K269" s="76" t="str">
        <f>VLOOKUP(Tabelle2[[#This Row],[Kunden Nr.]],KUNDEN!A:G,7)</f>
        <v>Mensuri</v>
      </c>
      <c r="L269" s="76">
        <f>VLOOKUP(Tabelle2[[#This Row],[Artikel]],Produkte!A:H,8)</f>
        <v>0.2</v>
      </c>
    </row>
    <row r="270" spans="1:12" x14ac:dyDescent="0.2">
      <c r="A270" s="75" t="s">
        <v>1315</v>
      </c>
      <c r="B270" s="79">
        <v>46041</v>
      </c>
      <c r="C270" s="89">
        <v>46.2</v>
      </c>
      <c r="D270" s="75"/>
      <c r="E270" s="75"/>
      <c r="F270" s="75">
        <v>20130</v>
      </c>
      <c r="G270" s="76" t="str">
        <f>VLOOKUP(Tabelle2[[#This Row],[Kunden Nr.]],KUNDEN!A:B,2,0)</f>
        <v>ENESI</v>
      </c>
      <c r="H270" s="75">
        <v>35119</v>
      </c>
      <c r="I270" s="76" t="str">
        <f>VLOOKUP(Tabelle2[[#This Row],[Artikel]],Produkte!A:B,2,0)</f>
        <v>M-ONE Sanitar Silikon</v>
      </c>
      <c r="J270" s="75">
        <v>12</v>
      </c>
      <c r="K270" s="76" t="str">
        <f>VLOOKUP(Tabelle2[[#This Row],[Kunden Nr.]],KUNDEN!A:G,7)</f>
        <v>Mensuri</v>
      </c>
      <c r="L270" s="76">
        <f>VLOOKUP(Tabelle2[[#This Row],[Artikel]],Produkte!A:H,8)</f>
        <v>0.17</v>
      </c>
    </row>
    <row r="271" spans="1:12" x14ac:dyDescent="0.2">
      <c r="A271" s="75" t="s">
        <v>769</v>
      </c>
      <c r="B271" s="79">
        <v>46042</v>
      </c>
      <c r="C271" s="89">
        <v>24</v>
      </c>
      <c r="D271" s="75"/>
      <c r="E271" s="75"/>
      <c r="F271" s="75">
        <v>40002</v>
      </c>
      <c r="G271" s="76" t="str">
        <f>VLOOKUP(Tabelle2[[#This Row],[Kunden Nr.]],KUNDEN!A:B,2,0)</f>
        <v>FORD BASHKIMI</v>
      </c>
      <c r="H271" s="75">
        <v>54412</v>
      </c>
      <c r="I271" s="76" t="str">
        <f>VLOOKUP(Tabelle2[[#This Row],[Artikel]],Produkte!A:B,2,0)</f>
        <v>beMAKER Bremsen&amp;Teile Reininger</v>
      </c>
      <c r="J271" s="75">
        <v>12</v>
      </c>
      <c r="K271" s="76">
        <f>VLOOKUP(Tabelle2[[#This Row],[Kunden Nr.]],KUNDEN!A:G,7)</f>
        <v>0</v>
      </c>
      <c r="L271" s="76">
        <f>VLOOKUP(Tabelle2[[#This Row],[Artikel]],Produkte!A:H,8)</f>
        <v>0.2</v>
      </c>
    </row>
    <row r="272" spans="1:12" x14ac:dyDescent="0.2">
      <c r="A272" s="75" t="s">
        <v>646</v>
      </c>
      <c r="B272" s="79">
        <v>46042</v>
      </c>
      <c r="C272" s="89">
        <v>138.6</v>
      </c>
      <c r="D272" s="75"/>
      <c r="E272" s="75"/>
      <c r="F272" s="75">
        <v>10250</v>
      </c>
      <c r="G272" s="76" t="e">
        <f>VLOOKUP(Tabelle2[[#This Row],[Kunden Nr.]],KUNDEN!A:B,2,0)</f>
        <v>#N/A</v>
      </c>
      <c r="H272" s="75">
        <v>35108</v>
      </c>
      <c r="I272" s="76" t="str">
        <f>VLOOKUP(Tabelle2[[#This Row],[Artikel]],Produkte!A:B,2,0)</f>
        <v>M-ONE Sanitar Silikon</v>
      </c>
      <c r="J272" s="75">
        <v>12</v>
      </c>
      <c r="K272" s="76" t="str">
        <f>VLOOKUP(Tabelle2[[#This Row],[Kunden Nr.]],KUNDEN!A:G,7)</f>
        <v>Qerimi</v>
      </c>
      <c r="L272" s="76">
        <f>VLOOKUP(Tabelle2[[#This Row],[Artikel]],Produkte!A:H,8)</f>
        <v>0.17</v>
      </c>
    </row>
    <row r="273" spans="1:12" x14ac:dyDescent="0.2">
      <c r="A273" s="75" t="s">
        <v>646</v>
      </c>
      <c r="B273" s="79">
        <v>46042</v>
      </c>
      <c r="C273" s="75"/>
      <c r="D273" s="75"/>
      <c r="E273" s="75"/>
      <c r="F273" s="75">
        <v>10250</v>
      </c>
      <c r="G273" s="76" t="e">
        <f>VLOOKUP(Tabelle2[[#This Row],[Kunden Nr.]],KUNDEN!A:B,2,0)</f>
        <v>#N/A</v>
      </c>
      <c r="H273" s="75">
        <v>35125</v>
      </c>
      <c r="I273" s="76" t="str">
        <f>VLOOKUP(Tabelle2[[#This Row],[Artikel]],Produkte!A:B,2,0)</f>
        <v>M-ONE Sanitar Silikon</v>
      </c>
      <c r="J273" s="75">
        <v>24</v>
      </c>
      <c r="K273" s="76" t="str">
        <f>VLOOKUP(Tabelle2[[#This Row],[Kunden Nr.]],KUNDEN!A:G,7)</f>
        <v>Qerimi</v>
      </c>
      <c r="L273" s="76">
        <f>VLOOKUP(Tabelle2[[#This Row],[Artikel]],Produkte!A:H,8)</f>
        <v>0.17</v>
      </c>
    </row>
    <row r="274" spans="1:12" x14ac:dyDescent="0.2">
      <c r="A274" s="75" t="s">
        <v>509</v>
      </c>
      <c r="B274" s="79">
        <v>46042</v>
      </c>
      <c r="C274" s="89">
        <v>46.2</v>
      </c>
      <c r="D274" s="75"/>
      <c r="E274" s="75"/>
      <c r="F274" s="75">
        <v>10201</v>
      </c>
      <c r="G274" s="76" t="str">
        <f>VLOOKUP(Tabelle2[[#This Row],[Kunden Nr.]],KUNDEN!A:B,2,0)</f>
        <v>TE BESNIKU</v>
      </c>
      <c r="H274" s="75">
        <v>35108</v>
      </c>
      <c r="I274" s="76" t="str">
        <f>VLOOKUP(Tabelle2[[#This Row],[Artikel]],Produkte!A:B,2,0)</f>
        <v>M-ONE Sanitar Silikon</v>
      </c>
      <c r="J274" s="75">
        <v>12</v>
      </c>
      <c r="K274" s="76" t="str">
        <f>VLOOKUP(Tabelle2[[#This Row],[Kunden Nr.]],KUNDEN!A:G,7)</f>
        <v>Qerimi</v>
      </c>
      <c r="L274" s="76">
        <f>VLOOKUP(Tabelle2[[#This Row],[Artikel]],Produkte!A:H,8)</f>
        <v>0.17</v>
      </c>
    </row>
    <row r="275" spans="1:12" x14ac:dyDescent="0.2">
      <c r="A275" s="75" t="s">
        <v>1201</v>
      </c>
      <c r="B275" s="79">
        <v>46042</v>
      </c>
      <c r="C275" s="89">
        <v>231</v>
      </c>
      <c r="D275" s="75"/>
      <c r="E275" s="75"/>
      <c r="F275" s="75">
        <v>10240</v>
      </c>
      <c r="G275" s="76" t="str">
        <f>VLOOKUP(Tabelle2[[#This Row],[Kunden Nr.]],KUNDEN!A:B,2,0)</f>
        <v>ARPO</v>
      </c>
      <c r="H275" s="75">
        <v>35109</v>
      </c>
      <c r="I275" s="76" t="str">
        <f>VLOOKUP(Tabelle2[[#This Row],[Artikel]],Produkte!A:B,2,0)</f>
        <v>M-ONE Sanitar Silikon</v>
      </c>
      <c r="J275" s="75">
        <v>24</v>
      </c>
      <c r="K275" s="76" t="str">
        <f>VLOOKUP(Tabelle2[[#This Row],[Kunden Nr.]],KUNDEN!A:G,7)</f>
        <v>Qerimi</v>
      </c>
      <c r="L275" s="76">
        <f>VLOOKUP(Tabelle2[[#This Row],[Artikel]],Produkte!A:H,8)</f>
        <v>0.17</v>
      </c>
    </row>
    <row r="276" spans="1:12" x14ac:dyDescent="0.2">
      <c r="A276" s="75" t="s">
        <v>1201</v>
      </c>
      <c r="B276" s="79">
        <v>46042</v>
      </c>
      <c r="C276" s="75"/>
      <c r="D276" s="75"/>
      <c r="E276" s="75"/>
      <c r="F276" s="75">
        <v>10240</v>
      </c>
      <c r="G276" s="76" t="str">
        <f>VLOOKUP(Tabelle2[[#This Row],[Kunden Nr.]],KUNDEN!A:B,2,0)</f>
        <v>ARPO</v>
      </c>
      <c r="H276" s="75">
        <v>35121</v>
      </c>
      <c r="I276" s="76" t="str">
        <f>VLOOKUP(Tabelle2[[#This Row],[Artikel]],Produkte!A:B,2,0)</f>
        <v>M-ONE Sanitar Silikon</v>
      </c>
      <c r="J276" s="75">
        <v>24</v>
      </c>
      <c r="K276" s="76" t="str">
        <f>VLOOKUP(Tabelle2[[#This Row],[Kunden Nr.]],KUNDEN!A:G,7)</f>
        <v>Qerimi</v>
      </c>
      <c r="L276" s="76">
        <f>VLOOKUP(Tabelle2[[#This Row],[Artikel]],Produkte!A:H,8)</f>
        <v>0.17</v>
      </c>
    </row>
    <row r="277" spans="1:12" x14ac:dyDescent="0.2">
      <c r="A277" s="75" t="s">
        <v>1201</v>
      </c>
      <c r="B277" s="79">
        <v>46042</v>
      </c>
      <c r="C277" s="75"/>
      <c r="D277" s="75"/>
      <c r="E277" s="75"/>
      <c r="F277" s="75">
        <v>10240</v>
      </c>
      <c r="G277" s="76" t="str">
        <f>VLOOKUP(Tabelle2[[#This Row],[Kunden Nr.]],KUNDEN!A:B,2,0)</f>
        <v>ARPO</v>
      </c>
      <c r="H277" s="75">
        <v>35115</v>
      </c>
      <c r="I277" s="76" t="str">
        <f>VLOOKUP(Tabelle2[[#This Row],[Artikel]],Produkte!A:B,2,0)</f>
        <v>M-ONE Sanitar Silikon</v>
      </c>
      <c r="J277" s="75">
        <v>12</v>
      </c>
      <c r="K277" s="76" t="str">
        <f>VLOOKUP(Tabelle2[[#This Row],[Kunden Nr.]],KUNDEN!A:G,7)</f>
        <v>Qerimi</v>
      </c>
      <c r="L277" s="76">
        <f>VLOOKUP(Tabelle2[[#This Row],[Artikel]],Produkte!A:H,8)</f>
        <v>0.17</v>
      </c>
    </row>
    <row r="278" spans="1:12" x14ac:dyDescent="0.2">
      <c r="A278" s="75" t="s">
        <v>1321</v>
      </c>
      <c r="B278" s="79">
        <v>46042</v>
      </c>
      <c r="C278" s="89">
        <v>138.6</v>
      </c>
      <c r="D278" s="75"/>
      <c r="E278" s="75"/>
      <c r="F278" s="75">
        <v>10262</v>
      </c>
      <c r="G278" s="76" t="str">
        <f>VLOOKUP(Tabelle2[[#This Row],[Kunden Nr.]],KUNDEN!A:B,2,0)</f>
        <v>BESO KERAMIK</v>
      </c>
      <c r="H278" s="75">
        <v>35115</v>
      </c>
      <c r="I278" s="76" t="str">
        <f>VLOOKUP(Tabelle2[[#This Row],[Artikel]],Produkte!A:B,2,0)</f>
        <v>M-ONE Sanitar Silikon</v>
      </c>
      <c r="J278" s="75">
        <v>12</v>
      </c>
      <c r="K278" s="76" t="str">
        <f>VLOOKUP(Tabelle2[[#This Row],[Kunden Nr.]],KUNDEN!A:G,7)</f>
        <v>Qerimi</v>
      </c>
      <c r="L278" s="76">
        <f>VLOOKUP(Tabelle2[[#This Row],[Artikel]],Produkte!A:H,8)</f>
        <v>0.17</v>
      </c>
    </row>
    <row r="279" spans="1:12" x14ac:dyDescent="0.2">
      <c r="A279" s="75" t="s">
        <v>1321</v>
      </c>
      <c r="B279" s="79">
        <v>46042</v>
      </c>
      <c r="C279" s="75"/>
      <c r="D279" s="75"/>
      <c r="E279" s="75"/>
      <c r="F279" s="75">
        <v>10262</v>
      </c>
      <c r="G279" s="76" t="str">
        <f>VLOOKUP(Tabelle2[[#This Row],[Kunden Nr.]],KUNDEN!A:B,2,0)</f>
        <v>BESO KERAMIK</v>
      </c>
      <c r="H279" s="75">
        <v>35121</v>
      </c>
      <c r="I279" s="76" t="str">
        <f>VLOOKUP(Tabelle2[[#This Row],[Artikel]],Produkte!A:B,2,0)</f>
        <v>M-ONE Sanitar Silikon</v>
      </c>
      <c r="J279" s="75">
        <v>24</v>
      </c>
      <c r="K279" s="76" t="str">
        <f>VLOOKUP(Tabelle2[[#This Row],[Kunden Nr.]],KUNDEN!A:G,7)</f>
        <v>Qerimi</v>
      </c>
      <c r="L279" s="76">
        <f>VLOOKUP(Tabelle2[[#This Row],[Artikel]],Produkte!A:H,8)</f>
        <v>0.17</v>
      </c>
    </row>
    <row r="280" spans="1:12" x14ac:dyDescent="0.2">
      <c r="A280" s="75" t="s">
        <v>1038</v>
      </c>
      <c r="B280" s="79">
        <v>46042</v>
      </c>
      <c r="C280" s="89">
        <v>27.6</v>
      </c>
      <c r="D280" s="75"/>
      <c r="E280" s="75"/>
      <c r="F280" s="75">
        <v>10241</v>
      </c>
      <c r="G280" s="76" t="str">
        <f>VLOOKUP(Tabelle2[[#This Row],[Kunden Nr.]],KUNDEN!A:B,2,0)</f>
        <v>AB SHPK</v>
      </c>
      <c r="H280" s="75">
        <v>51612</v>
      </c>
      <c r="I280" s="76" t="str">
        <f>VLOOKUP(Tabelle2[[#This Row],[Artikel]],Produkte!A:B,2,0)</f>
        <v>struktural akryl</v>
      </c>
      <c r="J280" s="75">
        <v>12</v>
      </c>
      <c r="K280" s="76" t="str">
        <f>VLOOKUP(Tabelle2[[#This Row],[Kunden Nr.]],KUNDEN!A:G,7)</f>
        <v>Qerimi</v>
      </c>
      <c r="L280" s="76">
        <f>VLOOKUP(Tabelle2[[#This Row],[Artikel]],Produkte!A:H,8)</f>
        <v>0.06</v>
      </c>
    </row>
    <row r="281" spans="1:12" x14ac:dyDescent="0.2">
      <c r="A281" s="75" t="s">
        <v>1179</v>
      </c>
      <c r="B281" s="79">
        <v>46042</v>
      </c>
      <c r="C281" s="89">
        <v>92.4</v>
      </c>
      <c r="D281" s="75"/>
      <c r="E281" s="75"/>
      <c r="F281" s="75">
        <v>40019</v>
      </c>
      <c r="G281" s="76" t="str">
        <f>VLOOKUP(Tabelle2[[#This Row],[Kunden Nr.]],KUNDEN!A:B,2,0)</f>
        <v>TEMAJ</v>
      </c>
      <c r="H281" s="75">
        <v>35109</v>
      </c>
      <c r="I281" s="76" t="str">
        <f>VLOOKUP(Tabelle2[[#This Row],[Artikel]],Produkte!A:B,2,0)</f>
        <v>M-ONE Sanitar Silikon</v>
      </c>
      <c r="J281" s="75">
        <v>24</v>
      </c>
      <c r="K281" s="76">
        <f>VLOOKUP(Tabelle2[[#This Row],[Kunden Nr.]],KUNDEN!A:G,7)</f>
        <v>0</v>
      </c>
      <c r="L281" s="76">
        <f>VLOOKUP(Tabelle2[[#This Row],[Artikel]],Produkte!A:H,8)</f>
        <v>0.17</v>
      </c>
    </row>
    <row r="282" spans="1:12" x14ac:dyDescent="0.2">
      <c r="A282" s="75" t="s">
        <v>454</v>
      </c>
      <c r="B282" s="79">
        <v>46042</v>
      </c>
      <c r="C282" s="89">
        <v>73.8</v>
      </c>
      <c r="D282" s="75"/>
      <c r="E282" s="75"/>
      <c r="F282" s="75">
        <v>20502</v>
      </c>
      <c r="G282" s="76" t="str">
        <f>VLOOKUP(Tabelle2[[#This Row],[Kunden Nr.]],KUNDEN!A:B,2,0)</f>
        <v>HOXHA</v>
      </c>
      <c r="H282" s="75">
        <v>35111</v>
      </c>
      <c r="I282" s="76" t="str">
        <f>VLOOKUP(Tabelle2[[#This Row],[Artikel]],Produkte!A:B,2,0)</f>
        <v>M-ONE Sanitar Silikon</v>
      </c>
      <c r="J282" s="75">
        <v>12</v>
      </c>
      <c r="K282" s="76" t="str">
        <f>VLOOKUP(Tabelle2[[#This Row],[Kunden Nr.]],KUNDEN!A:G,7)</f>
        <v>Mensuri</v>
      </c>
      <c r="L282" s="76">
        <f>VLOOKUP(Tabelle2[[#This Row],[Artikel]],Produkte!A:H,8)</f>
        <v>0.17</v>
      </c>
    </row>
    <row r="283" spans="1:12" x14ac:dyDescent="0.2">
      <c r="A283" s="75" t="s">
        <v>454</v>
      </c>
      <c r="B283" s="79">
        <v>46042</v>
      </c>
      <c r="C283" s="75"/>
      <c r="D283" s="75"/>
      <c r="E283" s="75"/>
      <c r="F283" s="75">
        <v>20502</v>
      </c>
      <c r="G283" s="76" t="str">
        <f>VLOOKUP(Tabelle2[[#This Row],[Kunden Nr.]],KUNDEN!A:B,2,0)</f>
        <v>HOXHA</v>
      </c>
      <c r="H283" s="75">
        <v>51612</v>
      </c>
      <c r="I283" s="76" t="str">
        <f>VLOOKUP(Tabelle2[[#This Row],[Artikel]],Produkte!A:B,2,0)</f>
        <v>struktural akryl</v>
      </c>
      <c r="J283" s="75">
        <v>12</v>
      </c>
      <c r="K283" s="76" t="str">
        <f>VLOOKUP(Tabelle2[[#This Row],[Kunden Nr.]],KUNDEN!A:G,7)</f>
        <v>Mensuri</v>
      </c>
      <c r="L283" s="76">
        <f>VLOOKUP(Tabelle2[[#This Row],[Artikel]],Produkte!A:H,8)</f>
        <v>0.06</v>
      </c>
    </row>
    <row r="284" spans="1:12" x14ac:dyDescent="0.2">
      <c r="A284" s="75" t="s">
        <v>670</v>
      </c>
      <c r="B284" s="79">
        <v>46042</v>
      </c>
      <c r="C284" s="89">
        <v>73.8</v>
      </c>
      <c r="D284" s="75"/>
      <c r="E284" s="75"/>
      <c r="F284" s="75">
        <v>20206</v>
      </c>
      <c r="G284" s="76" t="str">
        <f>VLOOKUP(Tabelle2[[#This Row],[Kunden Nr.]],KUNDEN!A:B,2,0)</f>
        <v>ERENIKU</v>
      </c>
      <c r="H284" s="75">
        <v>35111</v>
      </c>
      <c r="I284" s="76" t="str">
        <f>VLOOKUP(Tabelle2[[#This Row],[Artikel]],Produkte!A:B,2,0)</f>
        <v>M-ONE Sanitar Silikon</v>
      </c>
      <c r="J284" s="75">
        <v>12</v>
      </c>
      <c r="K284" s="76" t="str">
        <f>VLOOKUP(Tabelle2[[#This Row],[Kunden Nr.]],KUNDEN!A:G,7)</f>
        <v>Mensuri</v>
      </c>
      <c r="L284" s="76">
        <f>VLOOKUP(Tabelle2[[#This Row],[Artikel]],Produkte!A:H,8)</f>
        <v>0.17</v>
      </c>
    </row>
    <row r="285" spans="1:12" x14ac:dyDescent="0.2">
      <c r="A285" s="75" t="s">
        <v>670</v>
      </c>
      <c r="B285" s="79">
        <v>46042</v>
      </c>
      <c r="C285" s="75"/>
      <c r="D285" s="75"/>
      <c r="E285" s="75"/>
      <c r="F285" s="75">
        <v>20206</v>
      </c>
      <c r="G285" s="76" t="str">
        <f>VLOOKUP(Tabelle2[[#This Row],[Kunden Nr.]],KUNDEN!A:B,2,0)</f>
        <v>ERENIKU</v>
      </c>
      <c r="H285" s="75">
        <v>51612</v>
      </c>
      <c r="I285" s="76" t="str">
        <f>VLOOKUP(Tabelle2[[#This Row],[Artikel]],Produkte!A:B,2,0)</f>
        <v>struktural akryl</v>
      </c>
      <c r="J285" s="75">
        <v>12</v>
      </c>
      <c r="K285" s="76" t="str">
        <f>VLOOKUP(Tabelle2[[#This Row],[Kunden Nr.]],KUNDEN!A:G,7)</f>
        <v>Mensuri</v>
      </c>
      <c r="L285" s="76">
        <f>VLOOKUP(Tabelle2[[#This Row],[Artikel]],Produkte!A:H,8)</f>
        <v>0.06</v>
      </c>
    </row>
    <row r="286" spans="1:12" x14ac:dyDescent="0.2">
      <c r="A286" s="75" t="s">
        <v>425</v>
      </c>
      <c r="B286" s="79">
        <v>46042</v>
      </c>
      <c r="C286" s="89">
        <v>115.8</v>
      </c>
      <c r="D286" s="75"/>
      <c r="E286" s="75"/>
      <c r="F286" s="75">
        <v>20212</v>
      </c>
      <c r="G286" s="76" t="str">
        <f>VLOOKUP(Tabelle2[[#This Row],[Kunden Nr.]],KUNDEN!A:B,2,0)</f>
        <v>INOX 2</v>
      </c>
      <c r="H286" s="75">
        <v>35110</v>
      </c>
      <c r="I286" s="76" t="str">
        <f>VLOOKUP(Tabelle2[[#This Row],[Artikel]],Produkte!A:B,2,0)</f>
        <v>M-ONE Sanitar Silikon</v>
      </c>
      <c r="J286" s="75">
        <v>12</v>
      </c>
      <c r="K286" s="76" t="str">
        <f>VLOOKUP(Tabelle2[[#This Row],[Kunden Nr.]],KUNDEN!A:G,7)</f>
        <v>Mensuri</v>
      </c>
      <c r="L286" s="76">
        <f>VLOOKUP(Tabelle2[[#This Row],[Artikel]],Produkte!A:H,8)</f>
        <v>0.17</v>
      </c>
    </row>
    <row r="287" spans="1:12" x14ac:dyDescent="0.2">
      <c r="A287" s="75" t="s">
        <v>425</v>
      </c>
      <c r="B287" s="79">
        <v>46042</v>
      </c>
      <c r="C287" s="75"/>
      <c r="D287" s="75"/>
      <c r="E287" s="75"/>
      <c r="F287" s="75">
        <v>20212</v>
      </c>
      <c r="G287" s="76" t="str">
        <f>VLOOKUP(Tabelle2[[#This Row],[Kunden Nr.]],KUNDEN!A:B,2,0)</f>
        <v>INOX 2</v>
      </c>
      <c r="H287" s="75">
        <v>66701</v>
      </c>
      <c r="I287" s="76" t="str">
        <f>VLOOKUP(Tabelle2[[#This Row],[Artikel]],Produkte!A:B,2,0)</f>
        <v>PROFIMONT EXTREME</v>
      </c>
      <c r="J287" s="75">
        <v>12</v>
      </c>
      <c r="K287" s="76" t="str">
        <f>VLOOKUP(Tabelle2[[#This Row],[Kunden Nr.]],KUNDEN!A:G,7)</f>
        <v>Mensuri</v>
      </c>
      <c r="L287" s="76">
        <f>VLOOKUP(Tabelle2[[#This Row],[Artikel]],Produkte!A:H,8)</f>
        <v>0.2</v>
      </c>
    </row>
    <row r="288" spans="1:12" x14ac:dyDescent="0.2">
      <c r="A288" s="75" t="s">
        <v>1041</v>
      </c>
      <c r="B288" s="79">
        <v>46042</v>
      </c>
      <c r="C288" s="89">
        <v>115.8</v>
      </c>
      <c r="D288" s="75"/>
      <c r="E288" s="75"/>
      <c r="F288" s="75">
        <v>20223</v>
      </c>
      <c r="G288" s="76" t="str">
        <f>VLOOKUP(Tabelle2[[#This Row],[Kunden Nr.]],KUNDEN!A:B,2,0)</f>
        <v>GER COLORS</v>
      </c>
      <c r="H288" s="75">
        <v>35109</v>
      </c>
      <c r="I288" s="76" t="str">
        <f>VLOOKUP(Tabelle2[[#This Row],[Artikel]],Produkte!A:B,2,0)</f>
        <v>M-ONE Sanitar Silikon</v>
      </c>
      <c r="J288" s="75">
        <v>12</v>
      </c>
      <c r="K288" s="76" t="str">
        <f>VLOOKUP(Tabelle2[[#This Row],[Kunden Nr.]],KUNDEN!A:G,7)</f>
        <v>Mensuri</v>
      </c>
      <c r="L288" s="76">
        <f>VLOOKUP(Tabelle2[[#This Row],[Artikel]],Produkte!A:H,8)</f>
        <v>0.17</v>
      </c>
    </row>
    <row r="289" spans="1:12" x14ac:dyDescent="0.2">
      <c r="A289" s="75" t="s">
        <v>1041</v>
      </c>
      <c r="B289" s="79">
        <v>46042</v>
      </c>
      <c r="C289" s="75"/>
      <c r="D289" s="75"/>
      <c r="E289" s="75"/>
      <c r="F289" s="75">
        <v>20223</v>
      </c>
      <c r="G289" s="76" t="str">
        <f>VLOOKUP(Tabelle2[[#This Row],[Kunden Nr.]],KUNDEN!A:B,2,0)</f>
        <v>GER COLORS</v>
      </c>
      <c r="H289" s="75">
        <v>66701</v>
      </c>
      <c r="I289" s="76" t="str">
        <f>VLOOKUP(Tabelle2[[#This Row],[Artikel]],Produkte!A:B,2,0)</f>
        <v>PROFIMONT EXTREME</v>
      </c>
      <c r="J289" s="75">
        <v>12</v>
      </c>
      <c r="K289" s="76" t="str">
        <f>VLOOKUP(Tabelle2[[#This Row],[Kunden Nr.]],KUNDEN!A:G,7)</f>
        <v>Mensuri</v>
      </c>
      <c r="L289" s="76">
        <f>VLOOKUP(Tabelle2[[#This Row],[Artikel]],Produkte!A:H,8)</f>
        <v>0.2</v>
      </c>
    </row>
    <row r="290" spans="1:12" x14ac:dyDescent="0.2">
      <c r="A290" s="75" t="s">
        <v>1302</v>
      </c>
      <c r="B290" s="79">
        <v>46042</v>
      </c>
      <c r="C290" s="89">
        <v>139.19999999999999</v>
      </c>
      <c r="D290" s="75"/>
      <c r="E290" s="75"/>
      <c r="F290" s="75">
        <v>20228</v>
      </c>
      <c r="G290" s="76" t="str">
        <f>VLOOKUP(Tabelle2[[#This Row],[Kunden Nr.]],KUNDEN!A:B,2,0)</f>
        <v>HB-DECOR</v>
      </c>
      <c r="H290" s="75">
        <v>66702</v>
      </c>
      <c r="I290" s="76" t="str">
        <f>VLOOKUP(Tabelle2[[#This Row],[Artikel]],Produkte!A:B,2,0)</f>
        <v>M ONE SCHRAUBENSICHERUNG</v>
      </c>
      <c r="J290" s="75">
        <v>24</v>
      </c>
      <c r="K290" s="76" t="str">
        <f>VLOOKUP(Tabelle2[[#This Row],[Kunden Nr.]],KUNDEN!A:G,7)</f>
        <v>Mensuri</v>
      </c>
      <c r="L290" s="76">
        <f>VLOOKUP(Tabelle2[[#This Row],[Artikel]],Produkte!A:H,8)</f>
        <v>0.5</v>
      </c>
    </row>
    <row r="291" spans="1:12" x14ac:dyDescent="0.2">
      <c r="A291" s="75" t="s">
        <v>1291</v>
      </c>
      <c r="B291" s="79">
        <v>46042</v>
      </c>
      <c r="C291" s="89">
        <v>92.4</v>
      </c>
      <c r="D291" s="75"/>
      <c r="E291" s="75"/>
      <c r="F291" s="75">
        <v>20227</v>
      </c>
      <c r="G291" s="76" t="str">
        <f>VLOOKUP(Tabelle2[[#This Row],[Kunden Nr.]],KUNDEN!A:B,2,0)</f>
        <v>DIKI BAU SHPK</v>
      </c>
      <c r="H291" s="75">
        <v>35121</v>
      </c>
      <c r="I291" s="76" t="str">
        <f>VLOOKUP(Tabelle2[[#This Row],[Artikel]],Produkte!A:B,2,0)</f>
        <v>M-ONE Sanitar Silikon</v>
      </c>
      <c r="J291" s="75">
        <v>12</v>
      </c>
      <c r="K291" s="76" t="str">
        <f>VLOOKUP(Tabelle2[[#This Row],[Kunden Nr.]],KUNDEN!A:G,7)</f>
        <v>Mensuri</v>
      </c>
      <c r="L291" s="76">
        <f>VLOOKUP(Tabelle2[[#This Row],[Artikel]],Produkte!A:H,8)</f>
        <v>0.17</v>
      </c>
    </row>
    <row r="292" spans="1:12" x14ac:dyDescent="0.2">
      <c r="A292" s="75" t="s">
        <v>1291</v>
      </c>
      <c r="B292" s="79">
        <v>46042</v>
      </c>
      <c r="C292" s="75"/>
      <c r="D292" s="75"/>
      <c r="E292" s="75"/>
      <c r="F292" s="75">
        <v>20227</v>
      </c>
      <c r="G292" s="76" t="str">
        <f>VLOOKUP(Tabelle2[[#This Row],[Kunden Nr.]],KUNDEN!A:B,2,0)</f>
        <v>DIKI BAU SHPK</v>
      </c>
      <c r="H292" s="75">
        <v>35125</v>
      </c>
      <c r="I292" s="76" t="str">
        <f>VLOOKUP(Tabelle2[[#This Row],[Artikel]],Produkte!A:B,2,0)</f>
        <v>M-ONE Sanitar Silikon</v>
      </c>
      <c r="J292" s="75">
        <v>12</v>
      </c>
      <c r="K292" s="76" t="str">
        <f>VLOOKUP(Tabelle2[[#This Row],[Kunden Nr.]],KUNDEN!A:G,7)</f>
        <v>Mensuri</v>
      </c>
      <c r="L292" s="76">
        <f>VLOOKUP(Tabelle2[[#This Row],[Artikel]],Produkte!A:H,8)</f>
        <v>0.17</v>
      </c>
    </row>
    <row r="293" spans="1:12" x14ac:dyDescent="0.2">
      <c r="A293" s="75" t="s">
        <v>963</v>
      </c>
      <c r="B293" s="79">
        <v>46042</v>
      </c>
      <c r="C293" s="89">
        <v>61.2</v>
      </c>
      <c r="D293" s="75"/>
      <c r="E293" s="75"/>
      <c r="F293" s="75">
        <v>20201</v>
      </c>
      <c r="G293" s="76" t="str">
        <f>VLOOKUP(Tabelle2[[#This Row],[Kunden Nr.]],KUNDEN!A:B,2,0)</f>
        <v>TE BESIMI</v>
      </c>
      <c r="H293" s="75">
        <v>50912</v>
      </c>
      <c r="I293" s="76" t="str">
        <f>VLOOKUP(Tabelle2[[#This Row],[Artikel]],Produkte!A:B,2,0)</f>
        <v>DICHTUNG</v>
      </c>
      <c r="J293" s="75">
        <v>6</v>
      </c>
      <c r="K293" s="76" t="str">
        <f>VLOOKUP(Tabelle2[[#This Row],[Kunden Nr.]],KUNDEN!A:G,7)</f>
        <v>Mensuri</v>
      </c>
      <c r="L293" s="76">
        <f>VLOOKUP(Tabelle2[[#This Row],[Artikel]],Produkte!A:H,8)</f>
        <v>0.2</v>
      </c>
    </row>
    <row r="294" spans="1:12" x14ac:dyDescent="0.2">
      <c r="A294" s="75" t="s">
        <v>963</v>
      </c>
      <c r="B294" s="79">
        <v>46042</v>
      </c>
      <c r="C294" s="75"/>
      <c r="D294" s="75"/>
      <c r="E294" s="75"/>
      <c r="F294" s="75">
        <v>20201</v>
      </c>
      <c r="G294" s="76" t="str">
        <f>VLOOKUP(Tabelle2[[#This Row],[Kunden Nr.]],KUNDEN!A:B,2,0)</f>
        <v>TE BESIMI</v>
      </c>
      <c r="H294" s="75">
        <v>26736</v>
      </c>
      <c r="I294" s="76" t="str">
        <f>VLOOKUP(Tabelle2[[#This Row],[Artikel]],Produkte!A:B,2,0)</f>
        <v>M ONE HAFTGRUND</v>
      </c>
      <c r="J294" s="75">
        <v>12</v>
      </c>
      <c r="K294" s="76" t="str">
        <f>VLOOKUP(Tabelle2[[#This Row],[Kunden Nr.]],KUNDEN!A:G,7)</f>
        <v>Mensuri</v>
      </c>
      <c r="L294" s="76">
        <f>VLOOKUP(Tabelle2[[#This Row],[Artikel]],Produkte!A:H,8)</f>
        <v>0.15</v>
      </c>
    </row>
    <row r="295" spans="1:12" x14ac:dyDescent="0.2">
      <c r="A295" s="75" t="s">
        <v>1005</v>
      </c>
      <c r="B295" s="79">
        <v>46043</v>
      </c>
      <c r="C295" s="89">
        <v>92.4</v>
      </c>
      <c r="D295" s="75"/>
      <c r="E295" s="75"/>
      <c r="F295" s="75">
        <v>10343</v>
      </c>
      <c r="G295" s="76" t="str">
        <f>VLOOKUP(Tabelle2[[#This Row],[Kunden Nr.]],KUNDEN!A:B,2,0)</f>
        <v>INTERCOM NTP</v>
      </c>
      <c r="H295" s="75">
        <v>35113</v>
      </c>
      <c r="I295" s="76" t="str">
        <f>VLOOKUP(Tabelle2[[#This Row],[Artikel]],Produkte!A:B,2,0)</f>
        <v>M-ONE Sanitar Silikon</v>
      </c>
      <c r="J295" s="75">
        <v>24</v>
      </c>
      <c r="K295" s="76" t="str">
        <f>VLOOKUP(Tabelle2[[#This Row],[Kunden Nr.]],KUNDEN!A:G,7)</f>
        <v>Qerimi</v>
      </c>
      <c r="L295" s="76">
        <f>VLOOKUP(Tabelle2[[#This Row],[Artikel]],Produkte!A:H,8)</f>
        <v>0.17</v>
      </c>
    </row>
    <row r="296" spans="1:12" x14ac:dyDescent="0.2">
      <c r="A296" s="75" t="s">
        <v>1153</v>
      </c>
      <c r="B296" s="79">
        <v>46043</v>
      </c>
      <c r="C296" s="89">
        <v>46.2</v>
      </c>
      <c r="D296" s="75"/>
      <c r="E296" s="75"/>
      <c r="F296" s="75">
        <v>10340</v>
      </c>
      <c r="G296" s="76" t="str">
        <f>VLOOKUP(Tabelle2[[#This Row],[Kunden Nr.]],KUNDEN!A:B,2,0)</f>
        <v>IBAK</v>
      </c>
      <c r="H296" s="75">
        <v>35112</v>
      </c>
      <c r="I296" s="76" t="str">
        <f>VLOOKUP(Tabelle2[[#This Row],[Artikel]],Produkte!A:B,2,0)</f>
        <v>M-ONE Sanitar Silikon</v>
      </c>
      <c r="J296" s="75">
        <v>12</v>
      </c>
      <c r="K296" s="76" t="str">
        <f>VLOOKUP(Tabelle2[[#This Row],[Kunden Nr.]],KUNDEN!A:G,7)</f>
        <v>Qerimi</v>
      </c>
      <c r="L296" s="76">
        <f>VLOOKUP(Tabelle2[[#This Row],[Artikel]],Produkte!A:H,8)</f>
        <v>0.17</v>
      </c>
    </row>
    <row r="297" spans="1:12" x14ac:dyDescent="0.2">
      <c r="A297" s="75" t="s">
        <v>30</v>
      </c>
      <c r="B297" s="79">
        <v>46043</v>
      </c>
      <c r="C297" s="89">
        <v>86.4</v>
      </c>
      <c r="D297" s="75"/>
      <c r="E297" s="75"/>
      <c r="F297" s="75">
        <v>10323</v>
      </c>
      <c r="G297" s="76" t="str">
        <f>VLOOKUP(Tabelle2[[#This Row],[Kunden Nr.]],KUNDEN!A:B,2,0)</f>
        <v>BEKA-3</v>
      </c>
      <c r="H297" s="75">
        <v>50912</v>
      </c>
      <c r="I297" s="76" t="str">
        <f>VLOOKUP(Tabelle2[[#This Row],[Artikel]],Produkte!A:B,2,0)</f>
        <v>DICHTUNG</v>
      </c>
      <c r="J297" s="75">
        <v>12</v>
      </c>
      <c r="K297" s="76" t="str">
        <f>VLOOKUP(Tabelle2[[#This Row],[Kunden Nr.]],KUNDEN!A:G,7)</f>
        <v>Qerimi</v>
      </c>
      <c r="L297" s="76">
        <f>VLOOKUP(Tabelle2[[#This Row],[Artikel]],Produkte!A:H,8)</f>
        <v>0.2</v>
      </c>
    </row>
    <row r="298" spans="1:12" x14ac:dyDescent="0.2">
      <c r="A298" s="75" t="s">
        <v>5</v>
      </c>
      <c r="B298" s="79">
        <v>46043</v>
      </c>
      <c r="C298" s="89">
        <v>231</v>
      </c>
      <c r="D298" s="75"/>
      <c r="E298" s="75"/>
      <c r="F298" s="75">
        <v>10301</v>
      </c>
      <c r="G298" s="76" t="str">
        <f>VLOOKUP(Tabelle2[[#This Row],[Kunden Nr.]],KUNDEN!A:B,2,0)</f>
        <v>FUNDAMETI</v>
      </c>
      <c r="H298" s="75">
        <v>35121</v>
      </c>
      <c r="I298" s="76" t="str">
        <f>VLOOKUP(Tabelle2[[#This Row],[Artikel]],Produkte!A:B,2,0)</f>
        <v>M-ONE Sanitar Silikon</v>
      </c>
      <c r="J298" s="75">
        <v>24</v>
      </c>
      <c r="K298" s="76" t="str">
        <f>VLOOKUP(Tabelle2[[#This Row],[Kunden Nr.]],KUNDEN!A:G,7)</f>
        <v>Qerimi</v>
      </c>
      <c r="L298" s="76">
        <f>VLOOKUP(Tabelle2[[#This Row],[Artikel]],Produkte!A:H,8)</f>
        <v>0.17</v>
      </c>
    </row>
    <row r="299" spans="1:12" x14ac:dyDescent="0.2">
      <c r="A299" s="75" t="s">
        <v>5</v>
      </c>
      <c r="B299" s="79">
        <v>46043</v>
      </c>
      <c r="C299" s="75"/>
      <c r="D299" s="75"/>
      <c r="E299" s="75"/>
      <c r="F299" s="75">
        <v>10301</v>
      </c>
      <c r="G299" s="76" t="str">
        <f>VLOOKUP(Tabelle2[[#This Row],[Kunden Nr.]],KUNDEN!A:B,2,0)</f>
        <v>FUNDAMETI</v>
      </c>
      <c r="H299" s="75">
        <v>35111</v>
      </c>
      <c r="I299" s="76" t="str">
        <f>VLOOKUP(Tabelle2[[#This Row],[Artikel]],Produkte!A:B,2,0)</f>
        <v>M-ONE Sanitar Silikon</v>
      </c>
      <c r="J299" s="75">
        <v>12</v>
      </c>
      <c r="K299" s="76" t="str">
        <f>VLOOKUP(Tabelle2[[#This Row],[Kunden Nr.]],KUNDEN!A:G,7)</f>
        <v>Qerimi</v>
      </c>
      <c r="L299" s="76">
        <f>VLOOKUP(Tabelle2[[#This Row],[Artikel]],Produkte!A:H,8)</f>
        <v>0.17</v>
      </c>
    </row>
    <row r="300" spans="1:12" x14ac:dyDescent="0.2">
      <c r="A300" s="75" t="s">
        <v>5</v>
      </c>
      <c r="B300" s="79">
        <v>46043</v>
      </c>
      <c r="C300" s="75"/>
      <c r="D300" s="75"/>
      <c r="E300" s="75"/>
      <c r="F300" s="75">
        <v>10301</v>
      </c>
      <c r="G300" s="76" t="str">
        <f>VLOOKUP(Tabelle2[[#This Row],[Kunden Nr.]],KUNDEN!A:B,2,0)</f>
        <v>FUNDAMETI</v>
      </c>
      <c r="H300" s="75">
        <v>35112</v>
      </c>
      <c r="I300" s="76" t="str">
        <f>VLOOKUP(Tabelle2[[#This Row],[Artikel]],Produkte!A:B,2,0)</f>
        <v>M-ONE Sanitar Silikon</v>
      </c>
      <c r="J300" s="75">
        <v>12</v>
      </c>
      <c r="K300" s="76" t="str">
        <f>VLOOKUP(Tabelle2[[#This Row],[Kunden Nr.]],KUNDEN!A:G,7)</f>
        <v>Qerimi</v>
      </c>
      <c r="L300" s="76">
        <f>VLOOKUP(Tabelle2[[#This Row],[Artikel]],Produkte!A:H,8)</f>
        <v>0.17</v>
      </c>
    </row>
    <row r="301" spans="1:12" x14ac:dyDescent="0.2">
      <c r="A301" s="75" t="s">
        <v>5</v>
      </c>
      <c r="B301" s="79">
        <v>46043</v>
      </c>
      <c r="C301" s="75"/>
      <c r="D301" s="75"/>
      <c r="E301" s="75"/>
      <c r="F301" s="75">
        <v>10301</v>
      </c>
      <c r="G301" s="76" t="str">
        <f>VLOOKUP(Tabelle2[[#This Row],[Kunden Nr.]],KUNDEN!A:B,2,0)</f>
        <v>FUNDAMETI</v>
      </c>
      <c r="H301" s="75">
        <v>35119</v>
      </c>
      <c r="I301" s="76" t="str">
        <f>VLOOKUP(Tabelle2[[#This Row],[Artikel]],Produkte!A:B,2,0)</f>
        <v>M-ONE Sanitar Silikon</v>
      </c>
      <c r="J301" s="75">
        <v>12</v>
      </c>
      <c r="K301" s="76" t="str">
        <f>VLOOKUP(Tabelle2[[#This Row],[Kunden Nr.]],KUNDEN!A:G,7)</f>
        <v>Qerimi</v>
      </c>
      <c r="L301" s="76">
        <f>VLOOKUP(Tabelle2[[#This Row],[Artikel]],Produkte!A:H,8)</f>
        <v>0.17</v>
      </c>
    </row>
    <row r="302" spans="1:12" x14ac:dyDescent="0.2">
      <c r="A302" s="75" t="s">
        <v>10</v>
      </c>
      <c r="B302" s="79">
        <v>46043</v>
      </c>
      <c r="C302" s="89">
        <v>46.2</v>
      </c>
      <c r="D302" s="75"/>
      <c r="E302" s="75"/>
      <c r="F302" s="75">
        <v>10306</v>
      </c>
      <c r="G302" s="76" t="str">
        <f>VLOOKUP(Tabelle2[[#This Row],[Kunden Nr.]],KUNDEN!A:B,2,0)</f>
        <v>ELIONI-1</v>
      </c>
      <c r="H302" s="75">
        <v>35112</v>
      </c>
      <c r="I302" s="76" t="str">
        <f>VLOOKUP(Tabelle2[[#This Row],[Artikel]],Produkte!A:B,2,0)</f>
        <v>M-ONE Sanitar Silikon</v>
      </c>
      <c r="J302" s="75">
        <v>12</v>
      </c>
      <c r="K302" s="76" t="str">
        <f>VLOOKUP(Tabelle2[[#This Row],[Kunden Nr.]],KUNDEN!A:G,7)</f>
        <v>Qerimi</v>
      </c>
      <c r="L302" s="76">
        <f>VLOOKUP(Tabelle2[[#This Row],[Artikel]],Produkte!A:H,8)</f>
        <v>0.17</v>
      </c>
    </row>
    <row r="303" spans="1:12" x14ac:dyDescent="0.2">
      <c r="A303" s="75" t="s">
        <v>413</v>
      </c>
      <c r="B303" s="79">
        <v>46043</v>
      </c>
      <c r="C303" s="89">
        <v>92.4</v>
      </c>
      <c r="D303" s="75"/>
      <c r="E303" s="75"/>
      <c r="F303" s="75">
        <v>10350</v>
      </c>
      <c r="G303" s="76" t="str">
        <f>VLOOKUP(Tabelle2[[#This Row],[Kunden Nr.]],KUNDEN!A:B,2,0)</f>
        <v>BALLKANI</v>
      </c>
      <c r="H303" s="75">
        <v>35113</v>
      </c>
      <c r="I303" s="76" t="str">
        <f>VLOOKUP(Tabelle2[[#This Row],[Artikel]],Produkte!A:B,2,0)</f>
        <v>M-ONE Sanitar Silikon</v>
      </c>
      <c r="J303" s="75">
        <v>12</v>
      </c>
      <c r="K303" s="76" t="str">
        <f>VLOOKUP(Tabelle2[[#This Row],[Kunden Nr.]],KUNDEN!A:G,7)</f>
        <v>Qerimi</v>
      </c>
      <c r="L303" s="76">
        <f>VLOOKUP(Tabelle2[[#This Row],[Artikel]],Produkte!A:H,8)</f>
        <v>0.17</v>
      </c>
    </row>
    <row r="304" spans="1:12" x14ac:dyDescent="0.2">
      <c r="A304" s="75" t="s">
        <v>413</v>
      </c>
      <c r="B304" s="79">
        <v>46043</v>
      </c>
      <c r="C304" s="75"/>
      <c r="D304" s="75"/>
      <c r="E304" s="75"/>
      <c r="F304" s="75">
        <v>10350</v>
      </c>
      <c r="G304" s="76" t="str">
        <f>VLOOKUP(Tabelle2[[#This Row],[Kunden Nr.]],KUNDEN!A:B,2,0)</f>
        <v>BALLKANI</v>
      </c>
      <c r="H304" s="75">
        <v>35121</v>
      </c>
      <c r="I304" s="76" t="str">
        <f>VLOOKUP(Tabelle2[[#This Row],[Artikel]],Produkte!A:B,2,0)</f>
        <v>M-ONE Sanitar Silikon</v>
      </c>
      <c r="J304" s="75">
        <v>12</v>
      </c>
      <c r="K304" s="76" t="str">
        <f>VLOOKUP(Tabelle2[[#This Row],[Kunden Nr.]],KUNDEN!A:G,7)</f>
        <v>Qerimi</v>
      </c>
      <c r="L304" s="76">
        <f>VLOOKUP(Tabelle2[[#This Row],[Artikel]],Produkte!A:H,8)</f>
        <v>0.17</v>
      </c>
    </row>
    <row r="305" spans="1:12" x14ac:dyDescent="0.2">
      <c r="A305" s="75" t="s">
        <v>12</v>
      </c>
      <c r="B305" s="79">
        <v>46043</v>
      </c>
      <c r="C305" s="89">
        <v>46.2</v>
      </c>
      <c r="D305" s="75"/>
      <c r="E305" s="75"/>
      <c r="F305" s="75">
        <v>10308</v>
      </c>
      <c r="G305" s="76" t="str">
        <f>VLOOKUP(Tabelle2[[#This Row],[Kunden Nr.]],KUNDEN!A:B,2,0)</f>
        <v>ERALP</v>
      </c>
      <c r="H305" s="75">
        <v>35112</v>
      </c>
      <c r="I305" s="76" t="str">
        <f>VLOOKUP(Tabelle2[[#This Row],[Artikel]],Produkte!A:B,2,0)</f>
        <v>M-ONE Sanitar Silikon</v>
      </c>
      <c r="J305" s="75">
        <v>12</v>
      </c>
      <c r="K305" s="76" t="str">
        <f>VLOOKUP(Tabelle2[[#This Row],[Kunden Nr.]],KUNDEN!A:G,7)</f>
        <v>Qerimi</v>
      </c>
      <c r="L305" s="76">
        <f>VLOOKUP(Tabelle2[[#This Row],[Artikel]],Produkte!A:H,8)</f>
        <v>0.17</v>
      </c>
    </row>
    <row r="306" spans="1:12" x14ac:dyDescent="0.2">
      <c r="A306" s="75" t="s">
        <v>618</v>
      </c>
      <c r="B306" s="79">
        <v>46043</v>
      </c>
      <c r="C306" s="89">
        <v>127.2</v>
      </c>
      <c r="D306" s="75"/>
      <c r="E306" s="75"/>
      <c r="F306" s="75">
        <v>20307</v>
      </c>
      <c r="G306" s="76" t="str">
        <f>VLOOKUP(Tabelle2[[#This Row],[Kunden Nr.]],KUNDEN!A:B,2,0)</f>
        <v>CONDOR</v>
      </c>
      <c r="H306" s="75">
        <v>35109</v>
      </c>
      <c r="I306" s="76" t="str">
        <f>VLOOKUP(Tabelle2[[#This Row],[Artikel]],Produkte!A:B,2,0)</f>
        <v>M-ONE Sanitar Silikon</v>
      </c>
      <c r="J306" s="75">
        <v>12</v>
      </c>
      <c r="K306" s="76" t="str">
        <f>VLOOKUP(Tabelle2[[#This Row],[Kunden Nr.]],KUNDEN!A:G,7)</f>
        <v>Mensuri</v>
      </c>
      <c r="L306" s="76">
        <f>VLOOKUP(Tabelle2[[#This Row],[Artikel]],Produkte!A:H,8)</f>
        <v>0.17</v>
      </c>
    </row>
    <row r="307" spans="1:12" x14ac:dyDescent="0.2">
      <c r="A307" s="75" t="s">
        <v>618</v>
      </c>
      <c r="B307" s="79">
        <v>46043</v>
      </c>
      <c r="C307" s="75"/>
      <c r="D307" s="75"/>
      <c r="E307" s="75"/>
      <c r="F307" s="75">
        <v>20307</v>
      </c>
      <c r="G307" s="76" t="str">
        <f>VLOOKUP(Tabelle2[[#This Row],[Kunden Nr.]],KUNDEN!A:B,2,0)</f>
        <v>CONDOR</v>
      </c>
      <c r="H307" s="75">
        <v>51611</v>
      </c>
      <c r="I307" s="76" t="str">
        <f>VLOOKUP(Tabelle2[[#This Row],[Artikel]],Produkte!A:B,2,0)</f>
        <v>universal akryl</v>
      </c>
      <c r="J307" s="75">
        <v>36</v>
      </c>
      <c r="K307" s="76" t="str">
        <f>VLOOKUP(Tabelle2[[#This Row],[Kunden Nr.]],KUNDEN!A:G,7)</f>
        <v>Mensuri</v>
      </c>
      <c r="L307" s="76">
        <f>VLOOKUP(Tabelle2[[#This Row],[Artikel]],Produkte!A:H,8)</f>
        <v>0.06</v>
      </c>
    </row>
    <row r="308" spans="1:12" x14ac:dyDescent="0.2">
      <c r="A308" s="75" t="s">
        <v>618</v>
      </c>
      <c r="B308" s="79">
        <v>46043</v>
      </c>
      <c r="C308" s="75"/>
      <c r="D308" s="75"/>
      <c r="E308" s="75"/>
      <c r="F308" s="75">
        <v>20307</v>
      </c>
      <c r="G308" s="76" t="str">
        <f>VLOOKUP(Tabelle2[[#This Row],[Kunden Nr.]],KUNDEN!A:B,2,0)</f>
        <v>CONDOR</v>
      </c>
      <c r="H308" s="75">
        <v>50912</v>
      </c>
      <c r="I308" s="76" t="str">
        <f>VLOOKUP(Tabelle2[[#This Row],[Artikel]],Produkte!A:B,2,0)</f>
        <v>DICHTUNG</v>
      </c>
      <c r="J308" s="75">
        <v>4</v>
      </c>
      <c r="K308" s="76" t="str">
        <f>VLOOKUP(Tabelle2[[#This Row],[Kunden Nr.]],KUNDEN!A:G,7)</f>
        <v>Mensuri</v>
      </c>
      <c r="L308" s="76">
        <f>VLOOKUP(Tabelle2[[#This Row],[Artikel]],Produkte!A:H,8)</f>
        <v>0.2</v>
      </c>
    </row>
    <row r="309" spans="1:12" x14ac:dyDescent="0.2">
      <c r="A309" s="75" t="s">
        <v>618</v>
      </c>
      <c r="B309" s="79">
        <v>46043</v>
      </c>
      <c r="C309" s="75"/>
      <c r="D309" s="75"/>
      <c r="E309" s="75"/>
      <c r="F309" s="75">
        <v>20307</v>
      </c>
      <c r="G309" s="76" t="str">
        <f>VLOOKUP(Tabelle2[[#This Row],[Kunden Nr.]],KUNDEN!A:B,2,0)</f>
        <v>CONDOR</v>
      </c>
      <c r="H309" s="75">
        <v>49644</v>
      </c>
      <c r="I309" s="76" t="str">
        <f>VLOOKUP(Tabelle2[[#This Row],[Artikel]],Produkte!A:B,2,0)</f>
        <v>beMAKER Rostlöser</v>
      </c>
      <c r="J309" s="75">
        <v>2</v>
      </c>
      <c r="K309" s="76" t="str">
        <f>VLOOKUP(Tabelle2[[#This Row],[Kunden Nr.]],KUNDEN!A:G,7)</f>
        <v>Mensuri</v>
      </c>
      <c r="L309" s="76">
        <f>VLOOKUP(Tabelle2[[#This Row],[Artikel]],Produkte!A:H,8)</f>
        <v>0.2</v>
      </c>
    </row>
    <row r="310" spans="1:12" x14ac:dyDescent="0.2">
      <c r="A310" s="75" t="s">
        <v>1252</v>
      </c>
      <c r="B310" s="79">
        <v>46043</v>
      </c>
      <c r="C310" s="89">
        <v>92.4</v>
      </c>
      <c r="D310" s="75"/>
      <c r="E310" s="75"/>
      <c r="F310" s="75">
        <v>20331</v>
      </c>
      <c r="G310" s="76" t="str">
        <f>VLOOKUP(Tabelle2[[#This Row],[Kunden Nr.]],KUNDEN!A:B,2,0)</f>
        <v>BARDHI-M</v>
      </c>
      <c r="H310" s="75">
        <v>35109</v>
      </c>
      <c r="I310" s="76" t="str">
        <f>VLOOKUP(Tabelle2[[#This Row],[Artikel]],Produkte!A:B,2,0)</f>
        <v>M-ONE Sanitar Silikon</v>
      </c>
      <c r="J310" s="75">
        <v>12</v>
      </c>
      <c r="K310" s="76" t="str">
        <f>VLOOKUP(Tabelle2[[#This Row],[Kunden Nr.]],KUNDEN!A:G,7)</f>
        <v>Mensuri</v>
      </c>
      <c r="L310" s="76">
        <f>VLOOKUP(Tabelle2[[#This Row],[Artikel]],Produkte!A:H,8)</f>
        <v>0.17</v>
      </c>
    </row>
    <row r="311" spans="1:12" x14ac:dyDescent="0.2">
      <c r="A311" s="75" t="s">
        <v>1252</v>
      </c>
      <c r="B311" s="79">
        <v>46043</v>
      </c>
      <c r="C311" s="75"/>
      <c r="D311" s="75"/>
      <c r="E311" s="75"/>
      <c r="F311" s="75">
        <v>20331</v>
      </c>
      <c r="G311" s="76" t="str">
        <f>VLOOKUP(Tabelle2[[#This Row],[Kunden Nr.]],KUNDEN!A:B,2,0)</f>
        <v>BARDHI-M</v>
      </c>
      <c r="H311" s="75">
        <v>35121</v>
      </c>
      <c r="I311" s="76" t="str">
        <f>VLOOKUP(Tabelle2[[#This Row],[Artikel]],Produkte!A:B,2,0)</f>
        <v>M-ONE Sanitar Silikon</v>
      </c>
      <c r="J311" s="75">
        <v>12</v>
      </c>
      <c r="K311" s="76" t="str">
        <f>VLOOKUP(Tabelle2[[#This Row],[Kunden Nr.]],KUNDEN!A:G,7)</f>
        <v>Mensuri</v>
      </c>
      <c r="L311" s="76">
        <f>VLOOKUP(Tabelle2[[#This Row],[Artikel]],Produkte!A:H,8)</f>
        <v>0.17</v>
      </c>
    </row>
    <row r="312" spans="1:12" x14ac:dyDescent="0.2">
      <c r="A312" s="75" t="s">
        <v>1307</v>
      </c>
      <c r="B312" s="79">
        <v>46043</v>
      </c>
      <c r="C312" s="89">
        <v>138.6</v>
      </c>
      <c r="D312" s="75"/>
      <c r="E312" s="75"/>
      <c r="F312" s="75">
        <v>20321</v>
      </c>
      <c r="G312" s="76" t="str">
        <f>VLOOKUP(Tabelle2[[#This Row],[Kunden Nr.]],KUNDEN!A:B,2,0)</f>
        <v>BEREQETI</v>
      </c>
      <c r="H312" s="75">
        <v>35109</v>
      </c>
      <c r="I312" s="76" t="str">
        <f>VLOOKUP(Tabelle2[[#This Row],[Artikel]],Produkte!A:B,2,0)</f>
        <v>M-ONE Sanitar Silikon</v>
      </c>
      <c r="J312" s="75">
        <v>12</v>
      </c>
      <c r="K312" s="76" t="str">
        <f>VLOOKUP(Tabelle2[[#This Row],[Kunden Nr.]],KUNDEN!A:G,7)</f>
        <v>Mensuri</v>
      </c>
      <c r="L312" s="76">
        <f>VLOOKUP(Tabelle2[[#This Row],[Artikel]],Produkte!A:H,8)</f>
        <v>0.17</v>
      </c>
    </row>
    <row r="313" spans="1:12" x14ac:dyDescent="0.2">
      <c r="A313" s="75" t="s">
        <v>1307</v>
      </c>
      <c r="B313" s="79">
        <v>46043</v>
      </c>
      <c r="C313" s="75"/>
      <c r="D313" s="75"/>
      <c r="E313" s="75"/>
      <c r="F313" s="75">
        <v>20321</v>
      </c>
      <c r="G313" s="76" t="str">
        <f>VLOOKUP(Tabelle2[[#This Row],[Kunden Nr.]],KUNDEN!A:B,2,0)</f>
        <v>BEREQETI</v>
      </c>
      <c r="H313" s="75">
        <v>35121</v>
      </c>
      <c r="I313" s="76" t="str">
        <f>VLOOKUP(Tabelle2[[#This Row],[Artikel]],Produkte!A:B,2,0)</f>
        <v>M-ONE Sanitar Silikon</v>
      </c>
      <c r="J313" s="75">
        <v>24</v>
      </c>
      <c r="K313" s="76" t="str">
        <f>VLOOKUP(Tabelle2[[#This Row],[Kunden Nr.]],KUNDEN!A:G,7)</f>
        <v>Mensuri</v>
      </c>
      <c r="L313" s="76">
        <f>VLOOKUP(Tabelle2[[#This Row],[Artikel]],Produkte!A:H,8)</f>
        <v>0.17</v>
      </c>
    </row>
    <row r="314" spans="1:12" x14ac:dyDescent="0.2">
      <c r="A314" s="75" t="s">
        <v>617</v>
      </c>
      <c r="B314" s="79">
        <v>46043</v>
      </c>
      <c r="C314" s="89">
        <v>101.4</v>
      </c>
      <c r="D314" s="75"/>
      <c r="E314" s="75"/>
      <c r="F314" s="75">
        <v>20306</v>
      </c>
      <c r="G314" s="76" t="str">
        <f>VLOOKUP(Tabelle2[[#This Row],[Kunden Nr.]],KUNDEN!A:B,2,0)</f>
        <v>FITIMI</v>
      </c>
      <c r="H314" s="75">
        <v>35111</v>
      </c>
      <c r="I314" s="76" t="str">
        <f>VLOOKUP(Tabelle2[[#This Row],[Artikel]],Produkte!A:B,2,0)</f>
        <v>M-ONE Sanitar Silikon</v>
      </c>
      <c r="J314" s="75">
        <v>12</v>
      </c>
      <c r="K314" s="76" t="str">
        <f>VLOOKUP(Tabelle2[[#This Row],[Kunden Nr.]],KUNDEN!A:G,7)</f>
        <v>Mensuri</v>
      </c>
      <c r="L314" s="76">
        <f>VLOOKUP(Tabelle2[[#This Row],[Artikel]],Produkte!A:H,8)</f>
        <v>0.17</v>
      </c>
    </row>
    <row r="315" spans="1:12" x14ac:dyDescent="0.2">
      <c r="A315" s="75" t="s">
        <v>617</v>
      </c>
      <c r="B315" s="79">
        <v>46043</v>
      </c>
      <c r="C315" s="75"/>
      <c r="D315" s="75"/>
      <c r="E315" s="75"/>
      <c r="F315" s="75">
        <v>20306</v>
      </c>
      <c r="G315" s="76" t="str">
        <f>VLOOKUP(Tabelle2[[#This Row],[Kunden Nr.]],KUNDEN!A:B,2,0)</f>
        <v>FITIMI</v>
      </c>
      <c r="H315" s="75">
        <v>51612</v>
      </c>
      <c r="I315" s="76" t="str">
        <f>VLOOKUP(Tabelle2[[#This Row],[Artikel]],Produkte!A:B,2,0)</f>
        <v>struktural akryl</v>
      </c>
      <c r="J315" s="75">
        <v>24</v>
      </c>
      <c r="K315" s="76" t="str">
        <f>VLOOKUP(Tabelle2[[#This Row],[Kunden Nr.]],KUNDEN!A:G,7)</f>
        <v>Mensuri</v>
      </c>
      <c r="L315" s="76">
        <f>VLOOKUP(Tabelle2[[#This Row],[Artikel]],Produkte!A:H,8)</f>
        <v>0.06</v>
      </c>
    </row>
    <row r="316" spans="1:12" x14ac:dyDescent="0.2">
      <c r="A316" s="75" t="s">
        <v>949</v>
      </c>
      <c r="B316" s="79">
        <v>46043</v>
      </c>
      <c r="C316" s="89">
        <v>92.4</v>
      </c>
      <c r="D316" s="75"/>
      <c r="E316" s="75"/>
      <c r="F316" s="75">
        <v>20311</v>
      </c>
      <c r="G316" s="76" t="str">
        <f>VLOOKUP(Tabelle2[[#This Row],[Kunden Nr.]],KUNDEN!A:B,2,0)</f>
        <v>SOPAJ</v>
      </c>
      <c r="H316" s="75">
        <v>35110</v>
      </c>
      <c r="I316" s="76" t="str">
        <f>VLOOKUP(Tabelle2[[#This Row],[Artikel]],Produkte!A:B,2,0)</f>
        <v>M-ONE Sanitar Silikon</v>
      </c>
      <c r="J316" s="75">
        <v>12</v>
      </c>
      <c r="K316" s="76" t="str">
        <f>VLOOKUP(Tabelle2[[#This Row],[Kunden Nr.]],KUNDEN!A:G,7)</f>
        <v>Mensuri</v>
      </c>
      <c r="L316" s="76">
        <f>VLOOKUP(Tabelle2[[#This Row],[Artikel]],Produkte!A:H,8)</f>
        <v>0.17</v>
      </c>
    </row>
    <row r="317" spans="1:12" x14ac:dyDescent="0.2">
      <c r="A317" s="75" t="s">
        <v>949</v>
      </c>
      <c r="B317" s="79">
        <v>46043</v>
      </c>
      <c r="C317" s="75"/>
      <c r="D317" s="75"/>
      <c r="E317" s="75"/>
      <c r="F317" s="75">
        <v>20311</v>
      </c>
      <c r="G317" s="76" t="str">
        <f>VLOOKUP(Tabelle2[[#This Row],[Kunden Nr.]],KUNDEN!A:B,2,0)</f>
        <v>SOPAJ</v>
      </c>
      <c r="H317" s="75">
        <v>35111</v>
      </c>
      <c r="I317" s="76" t="str">
        <f>VLOOKUP(Tabelle2[[#This Row],[Artikel]],Produkte!A:B,2,0)</f>
        <v>M-ONE Sanitar Silikon</v>
      </c>
      <c r="J317" s="75">
        <v>12</v>
      </c>
      <c r="K317" s="76" t="str">
        <f>VLOOKUP(Tabelle2[[#This Row],[Kunden Nr.]],KUNDEN!A:G,7)</f>
        <v>Mensuri</v>
      </c>
      <c r="L317" s="76">
        <f>VLOOKUP(Tabelle2[[#This Row],[Artikel]],Produkte!A:H,8)</f>
        <v>0.17</v>
      </c>
    </row>
    <row r="318" spans="1:12" x14ac:dyDescent="0.2">
      <c r="A318" s="75" t="s">
        <v>1310</v>
      </c>
      <c r="B318" s="79">
        <v>46043</v>
      </c>
      <c r="C318" s="89">
        <v>131.4</v>
      </c>
      <c r="D318" s="75"/>
      <c r="E318" s="75"/>
      <c r="F318" s="75">
        <v>20332</v>
      </c>
      <c r="G318" s="76" t="str">
        <f>VLOOKUP(Tabelle2[[#This Row],[Kunden Nr.]],KUNDEN!A:B,2,0)</f>
        <v>AGRO TEC</v>
      </c>
      <c r="H318" s="75">
        <v>39505</v>
      </c>
      <c r="I318" s="76" t="str">
        <f>VLOOKUP(Tabelle2[[#This Row],[Artikel]],Produkte!A:B,2,0)</f>
        <v>M ONE SILIKON SPRAY</v>
      </c>
      <c r="J318" s="75">
        <v>1</v>
      </c>
      <c r="K318" s="76" t="str">
        <f>VLOOKUP(Tabelle2[[#This Row],[Kunden Nr.]],KUNDEN!A:G,7)</f>
        <v>Mensuri</v>
      </c>
      <c r="L318" s="76">
        <f>VLOOKUP(Tabelle2[[#This Row],[Artikel]],Produkte!A:H,8)</f>
        <v>0.2</v>
      </c>
    </row>
    <row r="319" spans="1:12" x14ac:dyDescent="0.2">
      <c r="A319" s="75" t="s">
        <v>1310</v>
      </c>
      <c r="B319" s="79">
        <v>46043</v>
      </c>
      <c r="C319" s="75"/>
      <c r="D319" s="75"/>
      <c r="E319" s="75"/>
      <c r="F319" s="75">
        <v>20332</v>
      </c>
      <c r="G319" s="76" t="str">
        <f>VLOOKUP(Tabelle2[[#This Row],[Kunden Nr.]],KUNDEN!A:B,2,0)</f>
        <v>AGRO TEC</v>
      </c>
      <c r="H319" s="75">
        <v>49644</v>
      </c>
      <c r="I319" s="76" t="str">
        <f>VLOOKUP(Tabelle2[[#This Row],[Artikel]],Produkte!A:B,2,0)</f>
        <v>beMAKER Rostlöser</v>
      </c>
      <c r="J319" s="75">
        <v>3</v>
      </c>
      <c r="K319" s="76" t="str">
        <f>VLOOKUP(Tabelle2[[#This Row],[Kunden Nr.]],KUNDEN!A:G,7)</f>
        <v>Mensuri</v>
      </c>
      <c r="L319" s="76">
        <f>VLOOKUP(Tabelle2[[#This Row],[Artikel]],Produkte!A:H,8)</f>
        <v>0.2</v>
      </c>
    </row>
    <row r="320" spans="1:12" x14ac:dyDescent="0.2">
      <c r="A320" s="75" t="s">
        <v>1310</v>
      </c>
      <c r="B320" s="79">
        <v>46043</v>
      </c>
      <c r="C320" s="75"/>
      <c r="D320" s="75"/>
      <c r="E320" s="75"/>
      <c r="F320" s="75">
        <v>20332</v>
      </c>
      <c r="G320" s="76" t="str">
        <f>VLOOKUP(Tabelle2[[#This Row],[Kunden Nr.]],KUNDEN!A:B,2,0)</f>
        <v>AGRO TEC</v>
      </c>
      <c r="H320" s="75">
        <v>50912</v>
      </c>
      <c r="I320" s="76" t="str">
        <f>VLOOKUP(Tabelle2[[#This Row],[Artikel]],Produkte!A:B,2,0)</f>
        <v>DICHTUNG</v>
      </c>
      <c r="J320" s="75">
        <v>17</v>
      </c>
      <c r="K320" s="76" t="str">
        <f>VLOOKUP(Tabelle2[[#This Row],[Kunden Nr.]],KUNDEN!A:G,7)</f>
        <v>Mensuri</v>
      </c>
      <c r="L320" s="76">
        <f>VLOOKUP(Tabelle2[[#This Row],[Artikel]],Produkte!A:H,8)</f>
        <v>0.2</v>
      </c>
    </row>
    <row r="321" spans="1:12" x14ac:dyDescent="0.2">
      <c r="A321" s="75" t="s">
        <v>558</v>
      </c>
      <c r="B321" s="79">
        <v>46044</v>
      </c>
      <c r="C321" s="89">
        <v>92.4</v>
      </c>
      <c r="D321" s="75"/>
      <c r="E321" s="75"/>
      <c r="F321" s="75">
        <v>10418</v>
      </c>
      <c r="G321" s="76" t="str">
        <f>VLOOKUP(Tabelle2[[#This Row],[Kunden Nr.]],KUNDEN!A:B,2,0)</f>
        <v>NDRIQIMI</v>
      </c>
      <c r="H321" s="75">
        <v>35112</v>
      </c>
      <c r="I321" s="76" t="str">
        <f>VLOOKUP(Tabelle2[[#This Row],[Artikel]],Produkte!A:B,2,0)</f>
        <v>M-ONE Sanitar Silikon</v>
      </c>
      <c r="J321" s="75">
        <v>24</v>
      </c>
      <c r="K321" s="76" t="str">
        <f>VLOOKUP(Tabelle2[[#This Row],[Kunden Nr.]],KUNDEN!A:G,7)</f>
        <v>Qerimi</v>
      </c>
      <c r="L321" s="76">
        <f>VLOOKUP(Tabelle2[[#This Row],[Artikel]],Produkte!A:H,8)</f>
        <v>0.17</v>
      </c>
    </row>
    <row r="322" spans="1:12" x14ac:dyDescent="0.2">
      <c r="A322" s="75" t="s">
        <v>552</v>
      </c>
      <c r="B322" s="79">
        <v>46044</v>
      </c>
      <c r="C322" s="89">
        <v>46.2</v>
      </c>
      <c r="D322" s="75"/>
      <c r="E322" s="75"/>
      <c r="F322" s="75">
        <v>10412</v>
      </c>
      <c r="G322" s="76" t="str">
        <f>VLOOKUP(Tabelle2[[#This Row],[Kunden Nr.]],KUNDEN!A:B,2,0)</f>
        <v>VISARI HH</v>
      </c>
      <c r="H322" s="75">
        <v>35121</v>
      </c>
      <c r="I322" s="76" t="str">
        <f>VLOOKUP(Tabelle2[[#This Row],[Artikel]],Produkte!A:B,2,0)</f>
        <v>M-ONE Sanitar Silikon</v>
      </c>
      <c r="J322" s="75">
        <v>12</v>
      </c>
      <c r="K322" s="76" t="str">
        <f>VLOOKUP(Tabelle2[[#This Row],[Kunden Nr.]],KUNDEN!A:G,7)</f>
        <v>Qerimi</v>
      </c>
      <c r="L322" s="76">
        <f>VLOOKUP(Tabelle2[[#This Row],[Artikel]],Produkte!A:H,8)</f>
        <v>0.17</v>
      </c>
    </row>
    <row r="323" spans="1:12" x14ac:dyDescent="0.2">
      <c r="A323" s="75" t="s">
        <v>553</v>
      </c>
      <c r="B323" s="79">
        <v>46044</v>
      </c>
      <c r="C323" s="89">
        <v>92.4</v>
      </c>
      <c r="D323" s="75"/>
      <c r="E323" s="75"/>
      <c r="F323" s="75">
        <v>10413</v>
      </c>
      <c r="G323" s="76" t="str">
        <f>VLOOKUP(Tabelle2[[#This Row],[Kunden Nr.]],KUNDEN!A:B,2,0)</f>
        <v>UNIVERZAL</v>
      </c>
      <c r="H323" s="75">
        <v>35113</v>
      </c>
      <c r="I323" s="76" t="str">
        <f>VLOOKUP(Tabelle2[[#This Row],[Artikel]],Produkte!A:B,2,0)</f>
        <v>M-ONE Sanitar Silikon</v>
      </c>
      <c r="J323" s="75">
        <v>12</v>
      </c>
      <c r="K323" s="76" t="str">
        <f>VLOOKUP(Tabelle2[[#This Row],[Kunden Nr.]],KUNDEN!A:G,7)</f>
        <v>Qerimi</v>
      </c>
      <c r="L323" s="76">
        <f>VLOOKUP(Tabelle2[[#This Row],[Artikel]],Produkte!A:H,8)</f>
        <v>0.17</v>
      </c>
    </row>
    <row r="324" spans="1:12" x14ac:dyDescent="0.2">
      <c r="A324" s="75" t="s">
        <v>553</v>
      </c>
      <c r="B324" s="79">
        <v>46044</v>
      </c>
      <c r="C324" s="75"/>
      <c r="D324" s="75"/>
      <c r="E324" s="75"/>
      <c r="F324" s="75">
        <v>10413</v>
      </c>
      <c r="G324" s="76" t="str">
        <f>VLOOKUP(Tabelle2[[#This Row],[Kunden Nr.]],KUNDEN!A:B,2,0)</f>
        <v>UNIVERZAL</v>
      </c>
      <c r="H324" s="75">
        <v>35121</v>
      </c>
      <c r="I324" s="76" t="str">
        <f>VLOOKUP(Tabelle2[[#This Row],[Artikel]],Produkte!A:B,2,0)</f>
        <v>M-ONE Sanitar Silikon</v>
      </c>
      <c r="J324" s="75">
        <v>12</v>
      </c>
      <c r="K324" s="76" t="str">
        <f>VLOOKUP(Tabelle2[[#This Row],[Kunden Nr.]],KUNDEN!A:G,7)</f>
        <v>Qerimi</v>
      </c>
      <c r="L324" s="76">
        <f>VLOOKUP(Tabelle2[[#This Row],[Artikel]],Produkte!A:H,8)</f>
        <v>0.17</v>
      </c>
    </row>
    <row r="325" spans="1:12" x14ac:dyDescent="0.2">
      <c r="A325" s="75" t="s">
        <v>546</v>
      </c>
      <c r="B325" s="79">
        <v>46044</v>
      </c>
      <c r="C325" s="89">
        <v>53.5</v>
      </c>
      <c r="D325" s="75"/>
      <c r="E325" s="75"/>
      <c r="F325" s="75">
        <v>10406</v>
      </c>
      <c r="G325" s="76" t="str">
        <f>VLOOKUP(Tabelle2[[#This Row],[Kunden Nr.]],KUNDEN!A:B,2,0)</f>
        <v>AGRONI</v>
      </c>
      <c r="H325" s="75">
        <v>50912</v>
      </c>
      <c r="I325" s="76" t="str">
        <f>VLOOKUP(Tabelle2[[#This Row],[Artikel]],Produkte!A:B,2,0)</f>
        <v>DICHTUNG</v>
      </c>
      <c r="J325" s="75">
        <v>5</v>
      </c>
      <c r="K325" s="76" t="str">
        <f>VLOOKUP(Tabelle2[[#This Row],[Kunden Nr.]],KUNDEN!A:G,7)</f>
        <v>Qerimi</v>
      </c>
      <c r="L325" s="76">
        <f>VLOOKUP(Tabelle2[[#This Row],[Artikel]],Produkte!A:H,8)</f>
        <v>0.2</v>
      </c>
    </row>
    <row r="326" spans="1:12" x14ac:dyDescent="0.2">
      <c r="A326" s="75" t="s">
        <v>546</v>
      </c>
      <c r="B326" s="79">
        <v>46044</v>
      </c>
      <c r="C326" s="75"/>
      <c r="D326" s="75"/>
      <c r="E326" s="75"/>
      <c r="F326" s="75">
        <v>10406</v>
      </c>
      <c r="G326" s="76" t="str">
        <f>VLOOKUP(Tabelle2[[#This Row],[Kunden Nr.]],KUNDEN!A:B,2,0)</f>
        <v>AGRONI</v>
      </c>
      <c r="H326" s="75">
        <v>55718</v>
      </c>
      <c r="I326" s="76" t="str">
        <f>VLOOKUP(Tabelle2[[#This Row],[Artikel]],Produkte!A:B,2,0)</f>
        <v>M ONE MOTORSTART</v>
      </c>
      <c r="J326" s="75">
        <v>5</v>
      </c>
      <c r="K326" s="76" t="str">
        <f>VLOOKUP(Tabelle2[[#This Row],[Kunden Nr.]],KUNDEN!A:G,7)</f>
        <v>Qerimi</v>
      </c>
      <c r="L326" s="76">
        <f>VLOOKUP(Tabelle2[[#This Row],[Artikel]],Produkte!A:H,8)</f>
        <v>0.2</v>
      </c>
    </row>
    <row r="327" spans="1:12" x14ac:dyDescent="0.2">
      <c r="A327" s="75" t="s">
        <v>1215</v>
      </c>
      <c r="B327" s="79">
        <v>46044</v>
      </c>
      <c r="C327" s="89">
        <v>46.2</v>
      </c>
      <c r="D327" s="75"/>
      <c r="E327" s="75"/>
      <c r="F327" s="75">
        <v>10429</v>
      </c>
      <c r="G327" s="76" t="str">
        <f>VLOOKUP(Tabelle2[[#This Row],[Kunden Nr.]],KUNDEN!A:B,2,0)</f>
        <v>SAN KOS</v>
      </c>
      <c r="H327" s="75">
        <v>35109</v>
      </c>
      <c r="I327" s="76" t="str">
        <f>VLOOKUP(Tabelle2[[#This Row],[Artikel]],Produkte!A:B,2,0)</f>
        <v>M-ONE Sanitar Silikon</v>
      </c>
      <c r="J327" s="75">
        <v>12</v>
      </c>
      <c r="K327" s="76" t="str">
        <f>VLOOKUP(Tabelle2[[#This Row],[Kunden Nr.]],KUNDEN!A:G,7)</f>
        <v>Qerimi</v>
      </c>
      <c r="L327" s="76">
        <f>VLOOKUP(Tabelle2[[#This Row],[Artikel]],Produkte!A:H,8)</f>
        <v>0.17</v>
      </c>
    </row>
    <row r="328" spans="1:12" x14ac:dyDescent="0.2">
      <c r="A328" s="75" t="s">
        <v>486</v>
      </c>
      <c r="B328" s="79">
        <v>46045</v>
      </c>
      <c r="C328" s="89">
        <v>92.4</v>
      </c>
      <c r="D328" s="75"/>
      <c r="E328" s="75"/>
      <c r="F328" s="75">
        <v>10506</v>
      </c>
      <c r="G328" s="76" t="str">
        <f>VLOOKUP(Tabelle2[[#This Row],[Kunden Nr.]],KUNDEN!A:B,2,0)</f>
        <v>ARBERI</v>
      </c>
      <c r="H328" s="75">
        <v>35110</v>
      </c>
      <c r="I328" s="76" t="str">
        <f>VLOOKUP(Tabelle2[[#This Row],[Artikel]],Produkte!A:B,2,0)</f>
        <v>M-ONE Sanitar Silikon</v>
      </c>
      <c r="J328" s="75">
        <v>12</v>
      </c>
      <c r="K328" s="76" t="str">
        <f>VLOOKUP(Tabelle2[[#This Row],[Kunden Nr.]],KUNDEN!A:G,7)</f>
        <v>Qerimi</v>
      </c>
      <c r="L328" s="76">
        <f>VLOOKUP(Tabelle2[[#This Row],[Artikel]],Produkte!A:H,8)</f>
        <v>0.17</v>
      </c>
    </row>
    <row r="329" spans="1:12" x14ac:dyDescent="0.2">
      <c r="A329" s="75" t="s">
        <v>486</v>
      </c>
      <c r="B329" s="79">
        <v>46045</v>
      </c>
      <c r="C329" s="75"/>
      <c r="D329" s="75"/>
      <c r="E329" s="75"/>
      <c r="F329" s="75">
        <v>10506</v>
      </c>
      <c r="G329" s="76" t="str">
        <f>VLOOKUP(Tabelle2[[#This Row],[Kunden Nr.]],KUNDEN!A:B,2,0)</f>
        <v>ARBERI</v>
      </c>
      <c r="H329" s="75">
        <v>35115</v>
      </c>
      <c r="I329" s="76" t="str">
        <f>VLOOKUP(Tabelle2[[#This Row],[Artikel]],Produkte!A:B,2,0)</f>
        <v>M-ONE Sanitar Silikon</v>
      </c>
      <c r="J329" s="75">
        <v>12</v>
      </c>
      <c r="K329" s="76" t="str">
        <f>VLOOKUP(Tabelle2[[#This Row],[Kunden Nr.]],KUNDEN!A:G,7)</f>
        <v>Qerimi</v>
      </c>
      <c r="L329" s="76">
        <f>VLOOKUP(Tabelle2[[#This Row],[Artikel]],Produkte!A:H,8)</f>
        <v>0.17</v>
      </c>
    </row>
    <row r="330" spans="1:12" x14ac:dyDescent="0.2">
      <c r="A330" s="75" t="s">
        <v>491</v>
      </c>
      <c r="B330" s="79">
        <v>46045</v>
      </c>
      <c r="C330" s="89">
        <v>46.2</v>
      </c>
      <c r="D330" s="75"/>
      <c r="E330" s="75"/>
      <c r="F330" s="75">
        <v>10508</v>
      </c>
      <c r="G330" s="76" t="str">
        <f>VLOOKUP(Tabelle2[[#This Row],[Kunden Nr.]],KUNDEN!A:B,2,0)</f>
        <v>CARRALEVA 2</v>
      </c>
      <c r="H330" s="75">
        <v>35110</v>
      </c>
      <c r="I330" s="76" t="str">
        <f>VLOOKUP(Tabelle2[[#This Row],[Artikel]],Produkte!A:B,2,0)</f>
        <v>M-ONE Sanitar Silikon</v>
      </c>
      <c r="J330" s="75">
        <v>12</v>
      </c>
      <c r="K330" s="76" t="str">
        <f>VLOOKUP(Tabelle2[[#This Row],[Kunden Nr.]],KUNDEN!A:G,7)</f>
        <v>Qerimi</v>
      </c>
      <c r="L330" s="76">
        <f>VLOOKUP(Tabelle2[[#This Row],[Artikel]],Produkte!A:H,8)</f>
        <v>0.17</v>
      </c>
    </row>
    <row r="331" spans="1:12" x14ac:dyDescent="0.2">
      <c r="A331" s="75" t="s">
        <v>435</v>
      </c>
      <c r="B331" s="79">
        <v>46045</v>
      </c>
      <c r="C331" s="89">
        <v>39.1</v>
      </c>
      <c r="D331" s="75"/>
      <c r="E331" s="75"/>
      <c r="F331" s="75">
        <v>10509</v>
      </c>
      <c r="G331" s="76" t="str">
        <f>VLOOKUP(Tabelle2[[#This Row],[Kunden Nr.]],KUNDEN!A:B,2,0)</f>
        <v>LONI</v>
      </c>
      <c r="H331" s="75">
        <v>50912</v>
      </c>
      <c r="I331" s="76" t="str">
        <f>VLOOKUP(Tabelle2[[#This Row],[Artikel]],Produkte!A:B,2,0)</f>
        <v>DICHTUNG</v>
      </c>
      <c r="J331" s="75">
        <v>3</v>
      </c>
      <c r="K331" s="76" t="str">
        <f>VLOOKUP(Tabelle2[[#This Row],[Kunden Nr.]],KUNDEN!A:G,7)</f>
        <v>Qerimi</v>
      </c>
      <c r="L331" s="76">
        <f>VLOOKUP(Tabelle2[[#This Row],[Artikel]],Produkte!A:H,8)</f>
        <v>0.2</v>
      </c>
    </row>
    <row r="332" spans="1:12" x14ac:dyDescent="0.2">
      <c r="A332" s="75" t="s">
        <v>435</v>
      </c>
      <c r="B332" s="79">
        <v>46045</v>
      </c>
      <c r="C332" s="75"/>
      <c r="D332" s="75"/>
      <c r="E332" s="75"/>
      <c r="F332" s="75">
        <v>10509</v>
      </c>
      <c r="G332" s="76" t="str">
        <f>VLOOKUP(Tabelle2[[#This Row],[Kunden Nr.]],KUNDEN!A:B,2,0)</f>
        <v>LONI</v>
      </c>
      <c r="H332" s="75">
        <v>44001</v>
      </c>
      <c r="I332" s="76" t="str">
        <f>VLOOKUP(Tabelle2[[#This Row],[Artikel]],Produkte!A:B,2,0)</f>
        <v>Fettspray</v>
      </c>
      <c r="J332" s="75">
        <v>5</v>
      </c>
      <c r="K332" s="76" t="str">
        <f>VLOOKUP(Tabelle2[[#This Row],[Kunden Nr.]],KUNDEN!A:G,7)</f>
        <v>Qerimi</v>
      </c>
      <c r="L332" s="76">
        <f>VLOOKUP(Tabelle2[[#This Row],[Artikel]],Produkte!A:H,8)</f>
        <v>0.2</v>
      </c>
    </row>
    <row r="333" spans="1:12" x14ac:dyDescent="0.2">
      <c r="A333" s="75" t="s">
        <v>487</v>
      </c>
      <c r="B333" s="79">
        <v>46045</v>
      </c>
      <c r="C333" s="89">
        <v>92.4</v>
      </c>
      <c r="D333" s="75"/>
      <c r="E333" s="75"/>
      <c r="F333" s="75">
        <v>10507</v>
      </c>
      <c r="G333" s="76" t="str">
        <f>VLOOKUP(Tabelle2[[#This Row],[Kunden Nr.]],KUNDEN!A:B,2,0)</f>
        <v>REAL COLOR 2</v>
      </c>
      <c r="H333" s="75">
        <v>35112</v>
      </c>
      <c r="I333" s="76" t="str">
        <f>VLOOKUP(Tabelle2[[#This Row],[Artikel]],Produkte!A:B,2,0)</f>
        <v>M-ONE Sanitar Silikon</v>
      </c>
      <c r="J333" s="75">
        <v>12</v>
      </c>
      <c r="K333" s="76" t="str">
        <f>VLOOKUP(Tabelle2[[#This Row],[Kunden Nr.]],KUNDEN!A:G,7)</f>
        <v>Qerimi</v>
      </c>
      <c r="L333" s="76">
        <f>VLOOKUP(Tabelle2[[#This Row],[Artikel]],Produkte!A:H,8)</f>
        <v>0.17</v>
      </c>
    </row>
    <row r="334" spans="1:12" x14ac:dyDescent="0.2">
      <c r="A334" s="75" t="s">
        <v>487</v>
      </c>
      <c r="B334" s="79">
        <v>46045</v>
      </c>
      <c r="C334" s="75"/>
      <c r="D334" s="75"/>
      <c r="E334" s="75"/>
      <c r="F334" s="75">
        <v>10507</v>
      </c>
      <c r="G334" s="76" t="str">
        <f>VLOOKUP(Tabelle2[[#This Row],[Kunden Nr.]],KUNDEN!A:B,2,0)</f>
        <v>REAL COLOR 2</v>
      </c>
      <c r="H334" s="75">
        <v>35125</v>
      </c>
      <c r="I334" s="76" t="str">
        <f>VLOOKUP(Tabelle2[[#This Row],[Artikel]],Produkte!A:B,2,0)</f>
        <v>M-ONE Sanitar Silikon</v>
      </c>
      <c r="J334" s="75">
        <v>12</v>
      </c>
      <c r="K334" s="76" t="str">
        <f>VLOOKUP(Tabelle2[[#This Row],[Kunden Nr.]],KUNDEN!A:G,7)</f>
        <v>Qerimi</v>
      </c>
      <c r="L334" s="76">
        <f>VLOOKUP(Tabelle2[[#This Row],[Artikel]],Produkte!A:H,8)</f>
        <v>0.17</v>
      </c>
    </row>
    <row r="335" spans="1:12" x14ac:dyDescent="0.2">
      <c r="A335" s="75" t="s">
        <v>483</v>
      </c>
      <c r="B335" s="79">
        <v>46045</v>
      </c>
      <c r="C335" s="89">
        <v>46.2</v>
      </c>
      <c r="D335" s="75"/>
      <c r="E335" s="75"/>
      <c r="F335" s="75">
        <v>10503</v>
      </c>
      <c r="G335" s="76" t="str">
        <f>VLOOKUP(Tabelle2[[#This Row],[Kunden Nr.]],KUNDEN!A:B,2,0)</f>
        <v>REAL COLOR 1</v>
      </c>
      <c r="H335" s="75">
        <v>35115</v>
      </c>
      <c r="I335" s="76" t="str">
        <f>VLOOKUP(Tabelle2[[#This Row],[Artikel]],Produkte!A:B,2,0)</f>
        <v>M-ONE Sanitar Silikon</v>
      </c>
      <c r="J335" s="75">
        <v>12</v>
      </c>
      <c r="K335" s="76" t="str">
        <f>VLOOKUP(Tabelle2[[#This Row],[Kunden Nr.]],KUNDEN!A:G,7)</f>
        <v>Qerimi</v>
      </c>
      <c r="L335" s="76">
        <f>VLOOKUP(Tabelle2[[#This Row],[Artikel]],Produkte!A:H,8)</f>
        <v>0.17</v>
      </c>
    </row>
    <row r="336" spans="1:12" x14ac:dyDescent="0.2">
      <c r="A336" s="75" t="s">
        <v>484</v>
      </c>
      <c r="B336" s="79">
        <v>46045</v>
      </c>
      <c r="C336" s="89">
        <v>138.6</v>
      </c>
      <c r="D336" s="75"/>
      <c r="E336" s="75"/>
      <c r="F336" s="75">
        <v>10504</v>
      </c>
      <c r="G336" s="76" t="str">
        <f>VLOOKUP(Tabelle2[[#This Row],[Kunden Nr.]],KUNDEN!A:B,2,0)</f>
        <v>CARRALEVA 1</v>
      </c>
      <c r="H336" s="75">
        <v>35109</v>
      </c>
      <c r="I336" s="76" t="str">
        <f>VLOOKUP(Tabelle2[[#This Row],[Artikel]],Produkte!A:B,2,0)</f>
        <v>M-ONE Sanitar Silikon</v>
      </c>
      <c r="J336" s="75">
        <v>12</v>
      </c>
      <c r="K336" s="76" t="str">
        <f>VLOOKUP(Tabelle2[[#This Row],[Kunden Nr.]],KUNDEN!A:G,7)</f>
        <v>Qerimi</v>
      </c>
      <c r="L336" s="76">
        <f>VLOOKUP(Tabelle2[[#This Row],[Artikel]],Produkte!A:H,8)</f>
        <v>0.17</v>
      </c>
    </row>
    <row r="337" spans="1:12" x14ac:dyDescent="0.2">
      <c r="A337" s="75" t="s">
        <v>484</v>
      </c>
      <c r="B337" s="79">
        <v>46045</v>
      </c>
      <c r="C337" s="75"/>
      <c r="D337" s="75"/>
      <c r="E337" s="75"/>
      <c r="F337" s="75">
        <v>10504</v>
      </c>
      <c r="G337" s="76" t="str">
        <f>VLOOKUP(Tabelle2[[#This Row],[Kunden Nr.]],KUNDEN!A:B,2,0)</f>
        <v>CARRALEVA 1</v>
      </c>
      <c r="H337" s="75">
        <v>35113</v>
      </c>
      <c r="I337" s="76" t="str">
        <f>VLOOKUP(Tabelle2[[#This Row],[Artikel]],Produkte!A:B,2,0)</f>
        <v>M-ONE Sanitar Silikon</v>
      </c>
      <c r="J337" s="75">
        <v>12</v>
      </c>
      <c r="K337" s="76" t="str">
        <f>VLOOKUP(Tabelle2[[#This Row],[Kunden Nr.]],KUNDEN!A:G,7)</f>
        <v>Qerimi</v>
      </c>
      <c r="L337" s="76">
        <f>VLOOKUP(Tabelle2[[#This Row],[Artikel]],Produkte!A:H,8)</f>
        <v>0.17</v>
      </c>
    </row>
    <row r="338" spans="1:12" x14ac:dyDescent="0.2">
      <c r="A338" s="75" t="s">
        <v>484</v>
      </c>
      <c r="B338" s="79">
        <v>46045</v>
      </c>
      <c r="C338" s="75"/>
      <c r="D338" s="75"/>
      <c r="E338" s="75"/>
      <c r="F338" s="75">
        <v>10504</v>
      </c>
      <c r="G338" s="76" t="str">
        <f>VLOOKUP(Tabelle2[[#This Row],[Kunden Nr.]],KUNDEN!A:B,2,0)</f>
        <v>CARRALEVA 1</v>
      </c>
      <c r="H338" s="75">
        <v>35125</v>
      </c>
      <c r="I338" s="76" t="str">
        <f>VLOOKUP(Tabelle2[[#This Row],[Artikel]],Produkte!A:B,2,0)</f>
        <v>M-ONE Sanitar Silikon</v>
      </c>
      <c r="J338" s="75">
        <v>12</v>
      </c>
      <c r="K338" s="76" t="str">
        <f>VLOOKUP(Tabelle2[[#This Row],[Kunden Nr.]],KUNDEN!A:G,7)</f>
        <v>Qerimi</v>
      </c>
      <c r="L338" s="76">
        <f>VLOOKUP(Tabelle2[[#This Row],[Artikel]],Produkte!A:H,8)</f>
        <v>0.17</v>
      </c>
    </row>
    <row r="339" spans="1:12" x14ac:dyDescent="0.2">
      <c r="A339" s="75" t="s">
        <v>453</v>
      </c>
      <c r="B339" s="79">
        <v>46045</v>
      </c>
      <c r="C339" s="89">
        <v>208.2</v>
      </c>
      <c r="D339" s="75"/>
      <c r="E339" s="75"/>
      <c r="F339" s="75">
        <v>20501</v>
      </c>
      <c r="G339" s="76" t="str">
        <f>VLOOKUP(Tabelle2[[#This Row],[Kunden Nr.]],KUNDEN!A:B,2,0)</f>
        <v>RACI</v>
      </c>
      <c r="H339" s="75">
        <v>35113</v>
      </c>
      <c r="I339" s="76" t="str">
        <f>VLOOKUP(Tabelle2[[#This Row],[Artikel]],Produkte!A:B,2,0)</f>
        <v>M-ONE Sanitar Silikon</v>
      </c>
      <c r="J339" s="75">
        <v>12</v>
      </c>
      <c r="K339" s="76" t="str">
        <f>VLOOKUP(Tabelle2[[#This Row],[Kunden Nr.]],KUNDEN!A:G,7)</f>
        <v>Mensuri</v>
      </c>
      <c r="L339" s="76">
        <f>VLOOKUP(Tabelle2[[#This Row],[Artikel]],Produkte!A:H,8)</f>
        <v>0.17</v>
      </c>
    </row>
    <row r="340" spans="1:12" x14ac:dyDescent="0.2">
      <c r="A340" s="75" t="s">
        <v>453</v>
      </c>
      <c r="B340" s="79">
        <v>46045</v>
      </c>
      <c r="C340" s="75"/>
      <c r="D340" s="75"/>
      <c r="E340" s="75"/>
      <c r="F340" s="75">
        <v>20501</v>
      </c>
      <c r="G340" s="76" t="str">
        <f>VLOOKUP(Tabelle2[[#This Row],[Kunden Nr.]],KUNDEN!A:B,2,0)</f>
        <v>RACI</v>
      </c>
      <c r="H340" s="75">
        <v>66701</v>
      </c>
      <c r="I340" s="76" t="str">
        <f>VLOOKUP(Tabelle2[[#This Row],[Artikel]],Produkte!A:B,2,0)</f>
        <v>PROFIMONT EXTREME</v>
      </c>
      <c r="J340" s="75">
        <v>12</v>
      </c>
      <c r="K340" s="76" t="str">
        <f>VLOOKUP(Tabelle2[[#This Row],[Kunden Nr.]],KUNDEN!A:G,7)</f>
        <v>Mensuri</v>
      </c>
      <c r="L340" s="76">
        <f>VLOOKUP(Tabelle2[[#This Row],[Artikel]],Produkte!A:H,8)</f>
        <v>0.2</v>
      </c>
    </row>
    <row r="341" spans="1:12" x14ac:dyDescent="0.2">
      <c r="A341" s="75" t="s">
        <v>453</v>
      </c>
      <c r="B341" s="79">
        <v>46045</v>
      </c>
      <c r="C341" s="75"/>
      <c r="D341" s="75"/>
      <c r="E341" s="75"/>
      <c r="F341" s="75">
        <v>20501</v>
      </c>
      <c r="G341" s="76" t="str">
        <f>VLOOKUP(Tabelle2[[#This Row],[Kunden Nr.]],KUNDEN!A:B,2,0)</f>
        <v>RACI</v>
      </c>
      <c r="H341" s="75">
        <v>35121</v>
      </c>
      <c r="I341" s="76" t="str">
        <f>VLOOKUP(Tabelle2[[#This Row],[Artikel]],Produkte!A:B,2,0)</f>
        <v>M-ONE Sanitar Silikon</v>
      </c>
      <c r="J341" s="75">
        <v>12</v>
      </c>
      <c r="K341" s="76" t="str">
        <f>VLOOKUP(Tabelle2[[#This Row],[Kunden Nr.]],KUNDEN!A:G,7)</f>
        <v>Mensuri</v>
      </c>
      <c r="L341" s="76">
        <f>VLOOKUP(Tabelle2[[#This Row],[Artikel]],Produkte!A:H,8)</f>
        <v>0.17</v>
      </c>
    </row>
    <row r="342" spans="1:12" x14ac:dyDescent="0.2">
      <c r="A342" s="75" t="s">
        <v>453</v>
      </c>
      <c r="B342" s="79">
        <v>46045</v>
      </c>
      <c r="C342" s="75"/>
      <c r="D342" s="75"/>
      <c r="E342" s="75"/>
      <c r="F342" s="75">
        <v>20501</v>
      </c>
      <c r="G342" s="76" t="str">
        <f>VLOOKUP(Tabelle2[[#This Row],[Kunden Nr.]],KUNDEN!A:B,2,0)</f>
        <v>RACI</v>
      </c>
      <c r="H342" s="75">
        <v>35125</v>
      </c>
      <c r="I342" s="76" t="str">
        <f>VLOOKUP(Tabelle2[[#This Row],[Artikel]],Produkte!A:B,2,0)</f>
        <v>M-ONE Sanitar Silikon</v>
      </c>
      <c r="J342" s="75">
        <v>12</v>
      </c>
      <c r="K342" s="76" t="str">
        <f>VLOOKUP(Tabelle2[[#This Row],[Kunden Nr.]],KUNDEN!A:G,7)</f>
        <v>Mensuri</v>
      </c>
      <c r="L342" s="76">
        <f>VLOOKUP(Tabelle2[[#This Row],[Artikel]],Produkte!A:H,8)</f>
        <v>0.17</v>
      </c>
    </row>
    <row r="343" spans="1:12" x14ac:dyDescent="0.2">
      <c r="A343" s="75" t="s">
        <v>1259</v>
      </c>
      <c r="B343" s="79">
        <v>46045</v>
      </c>
      <c r="C343" s="89">
        <v>45</v>
      </c>
      <c r="D343" s="75"/>
      <c r="E343" s="75"/>
      <c r="F343" s="75">
        <v>20519</v>
      </c>
      <c r="G343" s="76" t="str">
        <f>VLOOKUP(Tabelle2[[#This Row],[Kunden Nr.]],KUNDEN!A:B,2,0)</f>
        <v>JONI</v>
      </c>
      <c r="H343" s="75">
        <v>51611</v>
      </c>
      <c r="I343" s="76" t="str">
        <f>VLOOKUP(Tabelle2[[#This Row],[Artikel]],Produkte!A:B,2,0)</f>
        <v>universal akryl</v>
      </c>
      <c r="J343" s="75">
        <v>36</v>
      </c>
      <c r="K343" s="76" t="str">
        <f>VLOOKUP(Tabelle2[[#This Row],[Kunden Nr.]],KUNDEN!A:G,7)</f>
        <v>Mensuri</v>
      </c>
      <c r="L343" s="76">
        <f>VLOOKUP(Tabelle2[[#This Row],[Artikel]],Produkte!A:H,8)</f>
        <v>0.06</v>
      </c>
    </row>
    <row r="344" spans="1:12" x14ac:dyDescent="0.2">
      <c r="A344" s="75" t="s">
        <v>454</v>
      </c>
      <c r="B344" s="79">
        <v>46045</v>
      </c>
      <c r="C344" s="89">
        <v>61.2</v>
      </c>
      <c r="D344" s="75"/>
      <c r="E344" s="75"/>
      <c r="F344" s="75">
        <v>20502</v>
      </c>
      <c r="G344" s="76" t="str">
        <f>VLOOKUP(Tabelle2[[#This Row],[Kunden Nr.]],KUNDEN!A:B,2,0)</f>
        <v>HOXHA</v>
      </c>
      <c r="H344" s="75">
        <v>35111</v>
      </c>
      <c r="I344" s="76" t="str">
        <f>VLOOKUP(Tabelle2[[#This Row],[Artikel]],Produkte!A:B,2,0)</f>
        <v>M-ONE Sanitar Silikon</v>
      </c>
      <c r="J344" s="75">
        <v>12</v>
      </c>
      <c r="K344" s="76" t="str">
        <f>VLOOKUP(Tabelle2[[#This Row],[Kunden Nr.]],KUNDEN!A:G,7)</f>
        <v>Mensuri</v>
      </c>
      <c r="L344" s="76">
        <f>VLOOKUP(Tabelle2[[#This Row],[Artikel]],Produkte!A:H,8)</f>
        <v>0.17</v>
      </c>
    </row>
    <row r="345" spans="1:12" x14ac:dyDescent="0.2">
      <c r="A345" s="75" t="s">
        <v>454</v>
      </c>
      <c r="B345" s="79">
        <v>46045</v>
      </c>
      <c r="C345" s="75"/>
      <c r="D345" s="75"/>
      <c r="E345" s="75"/>
      <c r="F345" s="75">
        <v>20502</v>
      </c>
      <c r="G345" s="76" t="str">
        <f>VLOOKUP(Tabelle2[[#This Row],[Kunden Nr.]],KUNDEN!A:B,2,0)</f>
        <v>HOXHA</v>
      </c>
      <c r="H345" s="75">
        <v>51611</v>
      </c>
      <c r="I345" s="76" t="str">
        <f>VLOOKUP(Tabelle2[[#This Row],[Artikel]],Produkte!A:B,2,0)</f>
        <v>universal akryl</v>
      </c>
      <c r="J345" s="75">
        <v>12</v>
      </c>
      <c r="K345" s="76" t="str">
        <f>VLOOKUP(Tabelle2[[#This Row],[Kunden Nr.]],KUNDEN!A:G,7)</f>
        <v>Mensuri</v>
      </c>
      <c r="L345" s="76">
        <f>VLOOKUP(Tabelle2[[#This Row],[Artikel]],Produkte!A:H,8)</f>
        <v>0.06</v>
      </c>
    </row>
    <row r="346" spans="1:12" x14ac:dyDescent="0.2">
      <c r="A346" s="75" t="s">
        <v>461</v>
      </c>
      <c r="B346" s="79">
        <v>46045</v>
      </c>
      <c r="C346" s="89">
        <v>67</v>
      </c>
      <c r="D346" s="75"/>
      <c r="E346" s="75"/>
      <c r="F346" s="75">
        <v>20513</v>
      </c>
      <c r="G346" s="76" t="str">
        <f>VLOOKUP(Tabelle2[[#This Row],[Kunden Nr.]],KUNDEN!A:B,2,0)</f>
        <v>BERATI A.P. (1)</v>
      </c>
      <c r="H346" s="75">
        <v>44001</v>
      </c>
      <c r="I346" s="76" t="str">
        <f>VLOOKUP(Tabelle2[[#This Row],[Artikel]],Produkte!A:B,2,0)</f>
        <v>Fettspray</v>
      </c>
      <c r="J346" s="75">
        <v>9</v>
      </c>
      <c r="K346" s="76" t="str">
        <f>VLOOKUP(Tabelle2[[#This Row],[Kunden Nr.]],KUNDEN!A:G,7)</f>
        <v>Mensuri</v>
      </c>
      <c r="L346" s="76">
        <f>VLOOKUP(Tabelle2[[#This Row],[Artikel]],Produkte!A:H,8)</f>
        <v>0.2</v>
      </c>
    </row>
    <row r="347" spans="1:12" x14ac:dyDescent="0.2">
      <c r="A347" s="75" t="s">
        <v>461</v>
      </c>
      <c r="B347" s="79">
        <v>46045</v>
      </c>
      <c r="C347" s="75"/>
      <c r="D347" s="75"/>
      <c r="E347" s="75"/>
      <c r="F347" s="75">
        <v>20513</v>
      </c>
      <c r="G347" s="76" t="str">
        <f>VLOOKUP(Tabelle2[[#This Row],[Kunden Nr.]],KUNDEN!A:B,2,0)</f>
        <v>BERATI A.P. (1)</v>
      </c>
      <c r="H347" s="75">
        <v>50912</v>
      </c>
      <c r="I347" s="76" t="str">
        <f>VLOOKUP(Tabelle2[[#This Row],[Artikel]],Produkte!A:B,2,0)</f>
        <v>DICHTUNG</v>
      </c>
      <c r="J347" s="75">
        <v>3</v>
      </c>
      <c r="K347" s="76" t="str">
        <f>VLOOKUP(Tabelle2[[#This Row],[Kunden Nr.]],KUNDEN!A:G,7)</f>
        <v>Mensuri</v>
      </c>
      <c r="L347" s="76">
        <f>VLOOKUP(Tabelle2[[#This Row],[Artikel]],Produkte!A:H,8)</f>
        <v>0.2</v>
      </c>
    </row>
    <row r="348" spans="1:12" x14ac:dyDescent="0.2">
      <c r="A348" s="75" t="s">
        <v>461</v>
      </c>
      <c r="B348" s="79">
        <v>46045</v>
      </c>
      <c r="C348" s="75"/>
      <c r="D348" s="75"/>
      <c r="E348" s="75"/>
      <c r="F348" s="75">
        <v>20513</v>
      </c>
      <c r="G348" s="76" t="str">
        <f>VLOOKUP(Tabelle2[[#This Row],[Kunden Nr.]],KUNDEN!A:B,2,0)</f>
        <v>BERATI A.P. (1)</v>
      </c>
      <c r="H348" s="75">
        <v>56117</v>
      </c>
      <c r="I348" s="76" t="str">
        <f>VLOOKUP(Tabelle2[[#This Row],[Artikel]],Produkte!A:B,2,0)</f>
        <v>M ONE UBS</v>
      </c>
      <c r="J348" s="75">
        <v>5</v>
      </c>
      <c r="K348" s="76" t="str">
        <f>VLOOKUP(Tabelle2[[#This Row],[Kunden Nr.]],KUNDEN!A:G,7)</f>
        <v>Mensuri</v>
      </c>
      <c r="L348" s="76">
        <f>VLOOKUP(Tabelle2[[#This Row],[Artikel]],Produkte!A:H,8)</f>
        <v>0.2</v>
      </c>
    </row>
    <row r="349" spans="1:12" x14ac:dyDescent="0.2">
      <c r="A349" s="75" t="s">
        <v>463</v>
      </c>
      <c r="B349" s="79">
        <v>46045</v>
      </c>
      <c r="C349" s="89">
        <v>92.4</v>
      </c>
      <c r="D349" s="75"/>
      <c r="E349" s="75"/>
      <c r="F349" s="75">
        <v>20515</v>
      </c>
      <c r="G349" s="76" t="str">
        <f>VLOOKUP(Tabelle2[[#This Row],[Kunden Nr.]],KUNDEN!A:B,2,0)</f>
        <v>LIRIDONA-A</v>
      </c>
      <c r="H349" s="75">
        <v>35110</v>
      </c>
      <c r="I349" s="76" t="str">
        <f>VLOOKUP(Tabelle2[[#This Row],[Artikel]],Produkte!A:B,2,0)</f>
        <v>M-ONE Sanitar Silikon</v>
      </c>
      <c r="J349" s="75">
        <v>24</v>
      </c>
      <c r="K349" s="76" t="str">
        <f>VLOOKUP(Tabelle2[[#This Row],[Kunden Nr.]],KUNDEN!A:G,7)</f>
        <v>Mensuri</v>
      </c>
      <c r="L349" s="76">
        <f>VLOOKUP(Tabelle2[[#This Row],[Artikel]],Produkte!A:H,8)</f>
        <v>0.17</v>
      </c>
    </row>
    <row r="350" spans="1:12" x14ac:dyDescent="0.2">
      <c r="A350" s="75" t="s">
        <v>674</v>
      </c>
      <c r="B350" s="79">
        <v>46045</v>
      </c>
      <c r="C350" s="89">
        <v>92.4</v>
      </c>
      <c r="D350" s="75"/>
      <c r="E350" s="75"/>
      <c r="F350" s="75">
        <v>20508</v>
      </c>
      <c r="G350" s="76" t="str">
        <f>VLOOKUP(Tabelle2[[#This Row],[Kunden Nr.]],KUNDEN!A:B,2,0)</f>
        <v>LIRIDONA HOME</v>
      </c>
      <c r="H350" s="75">
        <v>35114</v>
      </c>
      <c r="I350" s="76" t="str">
        <f>VLOOKUP(Tabelle2[[#This Row],[Artikel]],Produkte!A:B,2,0)</f>
        <v>M-ONE Sanitar Silikon</v>
      </c>
      <c r="J350" s="75">
        <v>12</v>
      </c>
      <c r="K350" s="76" t="str">
        <f>VLOOKUP(Tabelle2[[#This Row],[Kunden Nr.]],KUNDEN!A:G,7)</f>
        <v>Mensuri</v>
      </c>
      <c r="L350" s="76">
        <f>VLOOKUP(Tabelle2[[#This Row],[Artikel]],Produkte!A:H,8)</f>
        <v>0.17</v>
      </c>
    </row>
    <row r="351" spans="1:12" x14ac:dyDescent="0.2">
      <c r="A351" s="75" t="s">
        <v>674</v>
      </c>
      <c r="B351" s="79">
        <v>46045</v>
      </c>
      <c r="C351" s="75"/>
      <c r="D351" s="75"/>
      <c r="E351" s="75"/>
      <c r="F351" s="75">
        <v>20508</v>
      </c>
      <c r="G351" s="76" t="str">
        <f>VLOOKUP(Tabelle2[[#This Row],[Kunden Nr.]],KUNDEN!A:B,2,0)</f>
        <v>LIRIDONA HOME</v>
      </c>
      <c r="H351" s="75">
        <v>35119</v>
      </c>
      <c r="I351" s="76" t="str">
        <f>VLOOKUP(Tabelle2[[#This Row],[Artikel]],Produkte!A:B,2,0)</f>
        <v>M-ONE Sanitar Silikon</v>
      </c>
      <c r="J351" s="75">
        <v>12</v>
      </c>
      <c r="K351" s="76" t="str">
        <f>VLOOKUP(Tabelle2[[#This Row],[Kunden Nr.]],KUNDEN!A:G,7)</f>
        <v>Mensuri</v>
      </c>
      <c r="L351" s="76">
        <f>VLOOKUP(Tabelle2[[#This Row],[Artikel]],Produkte!A:H,8)</f>
        <v>0.17</v>
      </c>
    </row>
    <row r="352" spans="1:12" x14ac:dyDescent="0.2">
      <c r="A352" s="75" t="s">
        <v>53</v>
      </c>
      <c r="B352" s="79">
        <v>46045</v>
      </c>
      <c r="C352" s="89">
        <v>277</v>
      </c>
      <c r="D352" s="75"/>
      <c r="E352" s="75"/>
      <c r="F352" s="75">
        <v>20407</v>
      </c>
      <c r="G352" s="76" t="str">
        <f>VLOOKUP(Tabelle2[[#This Row],[Kunden Nr.]],KUNDEN!A:B,2,0)</f>
        <v>TE BENI</v>
      </c>
      <c r="H352" s="75">
        <v>35121</v>
      </c>
      <c r="I352" s="76" t="str">
        <f>VLOOKUP(Tabelle2[[#This Row],[Artikel]],Produkte!A:B,2,0)</f>
        <v>M-ONE Sanitar Silikon</v>
      </c>
      <c r="J352" s="75">
        <v>36</v>
      </c>
      <c r="K352" s="76" t="str">
        <f>VLOOKUP(Tabelle2[[#This Row],[Kunden Nr.]],KUNDEN!A:G,7)</f>
        <v>Mensuri</v>
      </c>
      <c r="L352" s="76">
        <f>VLOOKUP(Tabelle2[[#This Row],[Artikel]],Produkte!A:H,8)</f>
        <v>0.17</v>
      </c>
    </row>
    <row r="353" spans="1:12" x14ac:dyDescent="0.2">
      <c r="A353" s="75" t="s">
        <v>53</v>
      </c>
      <c r="B353" s="79">
        <v>46045</v>
      </c>
      <c r="C353" s="75"/>
      <c r="D353" s="75"/>
      <c r="E353" s="75"/>
      <c r="F353" s="75">
        <v>20407</v>
      </c>
      <c r="G353" s="76" t="str">
        <f>VLOOKUP(Tabelle2[[#This Row],[Kunden Nr.]],KUNDEN!A:B,2,0)</f>
        <v>TE BENI</v>
      </c>
      <c r="H353" s="75">
        <v>35113</v>
      </c>
      <c r="I353" s="76" t="str">
        <f>VLOOKUP(Tabelle2[[#This Row],[Artikel]],Produkte!A:B,2,0)</f>
        <v>M-ONE Sanitar Silikon</v>
      </c>
      <c r="J353" s="75">
        <v>12</v>
      </c>
      <c r="K353" s="76" t="str">
        <f>VLOOKUP(Tabelle2[[#This Row],[Kunden Nr.]],KUNDEN!A:G,7)</f>
        <v>Mensuri</v>
      </c>
      <c r="L353" s="76">
        <f>VLOOKUP(Tabelle2[[#This Row],[Artikel]],Produkte!A:H,8)</f>
        <v>0.17</v>
      </c>
    </row>
    <row r="354" spans="1:12" x14ac:dyDescent="0.2">
      <c r="A354" s="75" t="s">
        <v>53</v>
      </c>
      <c r="B354" s="79">
        <v>46045</v>
      </c>
      <c r="C354" s="75"/>
      <c r="D354" s="75"/>
      <c r="E354" s="75"/>
      <c r="F354" s="75">
        <v>20407</v>
      </c>
      <c r="G354" s="76" t="str">
        <f>VLOOKUP(Tabelle2[[#This Row],[Kunden Nr.]],KUNDEN!A:B,2,0)</f>
        <v>TE BENI</v>
      </c>
      <c r="H354" s="75">
        <v>35114</v>
      </c>
      <c r="I354" s="76" t="str">
        <f>VLOOKUP(Tabelle2[[#This Row],[Artikel]],Produkte!A:B,2,0)</f>
        <v>M-ONE Sanitar Silikon</v>
      </c>
      <c r="J354" s="75">
        <v>12</v>
      </c>
      <c r="K354" s="76" t="str">
        <f>VLOOKUP(Tabelle2[[#This Row],[Kunden Nr.]],KUNDEN!A:G,7)</f>
        <v>Mensuri</v>
      </c>
      <c r="L354" s="76">
        <f>VLOOKUP(Tabelle2[[#This Row],[Artikel]],Produkte!A:H,8)</f>
        <v>0.17</v>
      </c>
    </row>
    <row r="355" spans="1:12" x14ac:dyDescent="0.2">
      <c r="A355" s="75" t="s">
        <v>53</v>
      </c>
      <c r="B355" s="79">
        <v>46045</v>
      </c>
      <c r="C355" s="75"/>
      <c r="D355" s="75"/>
      <c r="E355" s="75"/>
      <c r="F355" s="75">
        <v>20407</v>
      </c>
      <c r="G355" s="76" t="str">
        <f>VLOOKUP(Tabelle2[[#This Row],[Kunden Nr.]],KUNDEN!A:B,2,0)</f>
        <v>TE BENI</v>
      </c>
      <c r="H355" s="75">
        <v>35111</v>
      </c>
      <c r="I355" s="76" t="str">
        <f>VLOOKUP(Tabelle2[[#This Row],[Artikel]],Produkte!A:B,2,0)</f>
        <v>M-ONE Sanitar Silikon</v>
      </c>
      <c r="J355" s="75">
        <v>12</v>
      </c>
      <c r="K355" s="76" t="str">
        <f>VLOOKUP(Tabelle2[[#This Row],[Kunden Nr.]],KUNDEN!A:G,7)</f>
        <v>Mensuri</v>
      </c>
      <c r="L355" s="76">
        <f>VLOOKUP(Tabelle2[[#This Row],[Artikel]],Produkte!A:H,8)</f>
        <v>0.17</v>
      </c>
    </row>
    <row r="356" spans="1:12" x14ac:dyDescent="0.2">
      <c r="A356" s="75" t="s">
        <v>52</v>
      </c>
      <c r="B356" s="79">
        <v>46045</v>
      </c>
      <c r="C356" s="89">
        <v>72</v>
      </c>
      <c r="D356" s="75"/>
      <c r="E356" s="75"/>
      <c r="F356" s="75">
        <v>20409</v>
      </c>
      <c r="G356" s="76" t="str">
        <f>VLOOKUP(Tabelle2[[#This Row],[Kunden Nr.]],KUNDEN!A:B,2,0)</f>
        <v>BENI</v>
      </c>
      <c r="H356" s="75">
        <v>39505</v>
      </c>
      <c r="I356" s="76" t="str">
        <f>VLOOKUP(Tabelle2[[#This Row],[Artikel]],Produkte!A:B,2,0)</f>
        <v>M ONE SILIKON SPRAY</v>
      </c>
      <c r="J356" s="75">
        <v>12</v>
      </c>
      <c r="K356" s="76" t="str">
        <f>VLOOKUP(Tabelle2[[#This Row],[Kunden Nr.]],KUNDEN!A:G,7)</f>
        <v>Mensuri</v>
      </c>
      <c r="L356" s="76">
        <f>VLOOKUP(Tabelle2[[#This Row],[Artikel]],Produkte!A:H,8)</f>
        <v>0.2</v>
      </c>
    </row>
    <row r="357" spans="1:12" x14ac:dyDescent="0.2">
      <c r="A357" s="75" t="s">
        <v>52</v>
      </c>
      <c r="B357" s="79">
        <v>46045</v>
      </c>
      <c r="C357" s="75"/>
      <c r="D357" s="75"/>
      <c r="E357" s="75"/>
      <c r="F357" s="75">
        <v>20409</v>
      </c>
      <c r="G357" s="76" t="str">
        <f>VLOOKUP(Tabelle2[[#This Row],[Kunden Nr.]],KUNDEN!A:B,2,0)</f>
        <v>BENI</v>
      </c>
      <c r="H357" s="75">
        <v>55718</v>
      </c>
      <c r="I357" s="76" t="str">
        <f>VLOOKUP(Tabelle2[[#This Row],[Artikel]],Produkte!A:B,2,0)</f>
        <v>M ONE MOTORSTART</v>
      </c>
      <c r="J357" s="75">
        <v>4</v>
      </c>
      <c r="K357" s="76" t="str">
        <f>VLOOKUP(Tabelle2[[#This Row],[Kunden Nr.]],KUNDEN!A:G,7)</f>
        <v>Mensuri</v>
      </c>
      <c r="L357" s="76">
        <f>VLOOKUP(Tabelle2[[#This Row],[Artikel]],Produkte!A:H,8)</f>
        <v>0.2</v>
      </c>
    </row>
    <row r="358" spans="1:12" x14ac:dyDescent="0.2">
      <c r="A358" s="75" t="s">
        <v>52</v>
      </c>
      <c r="B358" s="79">
        <v>46045</v>
      </c>
      <c r="C358" s="75"/>
      <c r="D358" s="75"/>
      <c r="E358" s="75"/>
      <c r="F358" s="75">
        <v>20409</v>
      </c>
      <c r="G358" s="76" t="str">
        <f>VLOOKUP(Tabelle2[[#This Row],[Kunden Nr.]],KUNDEN!A:B,2,0)</f>
        <v>BENI</v>
      </c>
      <c r="H358" s="75">
        <v>49644</v>
      </c>
      <c r="I358" s="76" t="str">
        <f>VLOOKUP(Tabelle2[[#This Row],[Artikel]],Produkte!A:B,2,0)</f>
        <v>beMAKER Rostlöser</v>
      </c>
      <c r="J358" s="75">
        <v>5</v>
      </c>
      <c r="K358" s="76" t="str">
        <f>VLOOKUP(Tabelle2[[#This Row],[Kunden Nr.]],KUNDEN!A:G,7)</f>
        <v>Mensuri</v>
      </c>
      <c r="L358" s="76">
        <f>VLOOKUP(Tabelle2[[#This Row],[Artikel]],Produkte!A:H,8)</f>
        <v>0.2</v>
      </c>
    </row>
    <row r="359" spans="1:12" x14ac:dyDescent="0.2">
      <c r="A359" s="75" t="s">
        <v>52</v>
      </c>
      <c r="B359" s="79">
        <v>46045</v>
      </c>
      <c r="C359" s="75"/>
      <c r="D359" s="75"/>
      <c r="E359" s="75"/>
      <c r="F359" s="75">
        <v>20409</v>
      </c>
      <c r="G359" s="76" t="str">
        <f>VLOOKUP(Tabelle2[[#This Row],[Kunden Nr.]],KUNDEN!A:B,2,0)</f>
        <v>BENI</v>
      </c>
      <c r="H359" s="75">
        <v>54412</v>
      </c>
      <c r="I359" s="76" t="str">
        <f>VLOOKUP(Tabelle2[[#This Row],[Artikel]],Produkte!A:B,2,0)</f>
        <v>beMAKER Bremsen&amp;Teile Reininger</v>
      </c>
      <c r="J359" s="75">
        <v>6</v>
      </c>
      <c r="K359" s="76" t="str">
        <f>VLOOKUP(Tabelle2[[#This Row],[Kunden Nr.]],KUNDEN!A:G,7)</f>
        <v>Mensuri</v>
      </c>
      <c r="L359" s="76">
        <f>VLOOKUP(Tabelle2[[#This Row],[Artikel]],Produkte!A:H,8)</f>
        <v>0.2</v>
      </c>
    </row>
    <row r="360" spans="1:12" x14ac:dyDescent="0.2">
      <c r="A360" s="75" t="s">
        <v>47</v>
      </c>
      <c r="B360" s="79">
        <v>46045</v>
      </c>
      <c r="C360" s="89">
        <v>92.4</v>
      </c>
      <c r="D360" s="75"/>
      <c r="E360" s="75"/>
      <c r="F360" s="75">
        <v>20403</v>
      </c>
      <c r="G360" s="76" t="str">
        <f>VLOOKUP(Tabelle2[[#This Row],[Kunden Nr.]],KUNDEN!A:B,2,0)</f>
        <v>TERMIKA</v>
      </c>
      <c r="H360" s="75">
        <v>35110</v>
      </c>
      <c r="I360" s="76" t="str">
        <f>VLOOKUP(Tabelle2[[#This Row],[Artikel]],Produkte!A:B,2,0)</f>
        <v>M-ONE Sanitar Silikon</v>
      </c>
      <c r="J360" s="75">
        <v>12</v>
      </c>
      <c r="K360" s="76" t="str">
        <f>VLOOKUP(Tabelle2[[#This Row],[Kunden Nr.]],KUNDEN!A:G,7)</f>
        <v>Mensuri</v>
      </c>
      <c r="L360" s="76">
        <f>VLOOKUP(Tabelle2[[#This Row],[Artikel]],Produkte!A:H,8)</f>
        <v>0.17</v>
      </c>
    </row>
    <row r="361" spans="1:12" x14ac:dyDescent="0.2">
      <c r="A361" s="75" t="s">
        <v>47</v>
      </c>
      <c r="B361" s="79">
        <v>46045</v>
      </c>
      <c r="C361" s="75"/>
      <c r="D361" s="75"/>
      <c r="E361" s="75"/>
      <c r="F361" s="75">
        <v>20403</v>
      </c>
      <c r="G361" s="76" t="str">
        <f>VLOOKUP(Tabelle2[[#This Row],[Kunden Nr.]],KUNDEN!A:B,2,0)</f>
        <v>TERMIKA</v>
      </c>
      <c r="H361" s="75">
        <v>35111</v>
      </c>
      <c r="I361" s="76" t="str">
        <f>VLOOKUP(Tabelle2[[#This Row],[Artikel]],Produkte!A:B,2,0)</f>
        <v>M-ONE Sanitar Silikon</v>
      </c>
      <c r="J361" s="75">
        <v>12</v>
      </c>
      <c r="K361" s="76" t="str">
        <f>VLOOKUP(Tabelle2[[#This Row],[Kunden Nr.]],KUNDEN!A:G,7)</f>
        <v>Mensuri</v>
      </c>
      <c r="L361" s="76">
        <f>VLOOKUP(Tabelle2[[#This Row],[Artikel]],Produkte!A:H,8)</f>
        <v>0.17</v>
      </c>
    </row>
    <row r="362" spans="1:12" x14ac:dyDescent="0.2">
      <c r="A362" s="75" t="s">
        <v>48</v>
      </c>
      <c r="B362" s="79">
        <v>46045</v>
      </c>
      <c r="C362" s="89">
        <v>46.2</v>
      </c>
      <c r="D362" s="75"/>
      <c r="E362" s="75"/>
      <c r="F362" s="75">
        <v>20404</v>
      </c>
      <c r="G362" s="76" t="str">
        <f>VLOOKUP(Tabelle2[[#This Row],[Kunden Nr.]],KUNDEN!A:B,2,0)</f>
        <v>TE MENTORI</v>
      </c>
      <c r="H362" s="75">
        <v>35113</v>
      </c>
      <c r="I362" s="76" t="str">
        <f>VLOOKUP(Tabelle2[[#This Row],[Artikel]],Produkte!A:B,2,0)</f>
        <v>M-ONE Sanitar Silikon</v>
      </c>
      <c r="J362" s="75">
        <v>12</v>
      </c>
      <c r="K362" s="76" t="str">
        <f>VLOOKUP(Tabelle2[[#This Row],[Kunden Nr.]],KUNDEN!A:G,7)</f>
        <v>Mensuri</v>
      </c>
      <c r="L362" s="76">
        <f>VLOOKUP(Tabelle2[[#This Row],[Artikel]],Produkte!A:H,8)</f>
        <v>0.17</v>
      </c>
    </row>
    <row r="363" spans="1:12" x14ac:dyDescent="0.2">
      <c r="A363" s="75" t="s">
        <v>1293</v>
      </c>
      <c r="B363" s="79">
        <v>46046</v>
      </c>
      <c r="C363" s="89">
        <v>28.5</v>
      </c>
      <c r="D363" s="75"/>
      <c r="E363" s="75"/>
      <c r="F363" s="75">
        <v>40033</v>
      </c>
      <c r="G363" s="76" t="str">
        <f>VLOOKUP(Tabelle2[[#This Row],[Kunden Nr.]],KUNDEN!A:B,2,0)</f>
        <v>G FETAHU QERAMIK SH.P.K.</v>
      </c>
      <c r="H363" s="75">
        <v>35128</v>
      </c>
      <c r="I363" s="76" t="str">
        <f>VLOOKUP(Tabelle2[[#This Row],[Artikel]],Produkte!A:B,2,0)</f>
        <v>M-ONE Sanitar Silikon</v>
      </c>
      <c r="J363" s="75">
        <v>1</v>
      </c>
      <c r="K363" s="76">
        <f>VLOOKUP(Tabelle2[[#This Row],[Kunden Nr.]],KUNDEN!A:G,7)</f>
        <v>0</v>
      </c>
      <c r="L363" s="76">
        <f>VLOOKUP(Tabelle2[[#This Row],[Artikel]],Produkte!A:H,8)</f>
        <v>0.17</v>
      </c>
    </row>
    <row r="364" spans="1:12" x14ac:dyDescent="0.2">
      <c r="A364" s="75" t="s">
        <v>1293</v>
      </c>
      <c r="B364" s="79">
        <v>46046</v>
      </c>
      <c r="C364" s="75"/>
      <c r="D364" s="75"/>
      <c r="E364" s="75"/>
      <c r="F364" s="75">
        <v>40033</v>
      </c>
      <c r="G364" s="76" t="str">
        <f>VLOOKUP(Tabelle2[[#This Row],[Kunden Nr.]],KUNDEN!A:B,2,0)</f>
        <v>G FETAHU QERAMIK SH.P.K.</v>
      </c>
      <c r="H364" s="75">
        <v>35113</v>
      </c>
      <c r="I364" s="76" t="str">
        <f>VLOOKUP(Tabelle2[[#This Row],[Artikel]],Produkte!A:B,2,0)</f>
        <v>M-ONE Sanitar Silikon</v>
      </c>
      <c r="J364" s="75">
        <v>3</v>
      </c>
      <c r="K364" s="76">
        <f>VLOOKUP(Tabelle2[[#This Row],[Kunden Nr.]],KUNDEN!A:G,7)</f>
        <v>0</v>
      </c>
      <c r="L364" s="76">
        <f>VLOOKUP(Tabelle2[[#This Row],[Artikel]],Produkte!A:H,8)</f>
        <v>0.17</v>
      </c>
    </row>
    <row r="365" spans="1:12" x14ac:dyDescent="0.2">
      <c r="A365" s="75" t="s">
        <v>1293</v>
      </c>
      <c r="B365" s="79">
        <v>46046</v>
      </c>
      <c r="C365" s="75"/>
      <c r="D365" s="75"/>
      <c r="E365" s="75"/>
      <c r="F365" s="75">
        <v>40033</v>
      </c>
      <c r="G365" s="76" t="str">
        <f>VLOOKUP(Tabelle2[[#This Row],[Kunden Nr.]],KUNDEN!A:B,2,0)</f>
        <v>G FETAHU QERAMIK SH.P.K.</v>
      </c>
      <c r="H365" s="75">
        <v>35109</v>
      </c>
      <c r="I365" s="76" t="str">
        <f>VLOOKUP(Tabelle2[[#This Row],[Artikel]],Produkte!A:B,2,0)</f>
        <v>M-ONE Sanitar Silikon</v>
      </c>
      <c r="J365" s="75">
        <v>2</v>
      </c>
      <c r="K365" s="76">
        <f>VLOOKUP(Tabelle2[[#This Row],[Kunden Nr.]],KUNDEN!A:G,7)</f>
        <v>0</v>
      </c>
      <c r="L365" s="76">
        <f>VLOOKUP(Tabelle2[[#This Row],[Artikel]],Produkte!A:H,8)</f>
        <v>0.17</v>
      </c>
    </row>
    <row r="366" spans="1:12" x14ac:dyDescent="0.2">
      <c r="A366" s="75" t="s">
        <v>1293</v>
      </c>
      <c r="B366" s="79">
        <v>46046</v>
      </c>
      <c r="C366" s="75"/>
      <c r="D366" s="75"/>
      <c r="E366" s="75"/>
      <c r="F366" s="75">
        <v>40033</v>
      </c>
      <c r="G366" s="76" t="str">
        <f>VLOOKUP(Tabelle2[[#This Row],[Kunden Nr.]],KUNDEN!A:B,2,0)</f>
        <v>G FETAHU QERAMIK SH.P.K.</v>
      </c>
      <c r="H366" s="75">
        <v>51611</v>
      </c>
      <c r="I366" s="76" t="str">
        <f>VLOOKUP(Tabelle2[[#This Row],[Artikel]],Produkte!A:B,2,0)</f>
        <v>universal akryl</v>
      </c>
      <c r="J366" s="75">
        <v>3</v>
      </c>
      <c r="K366" s="76">
        <f>VLOOKUP(Tabelle2[[#This Row],[Kunden Nr.]],KUNDEN!A:G,7)</f>
        <v>0</v>
      </c>
      <c r="L366" s="76">
        <f>VLOOKUP(Tabelle2[[#This Row],[Artikel]],Produkte!A:H,8)</f>
        <v>0.06</v>
      </c>
    </row>
    <row r="367" spans="1:12" x14ac:dyDescent="0.2">
      <c r="A367" s="75" t="s">
        <v>770</v>
      </c>
      <c r="B367" s="79">
        <v>46046</v>
      </c>
      <c r="C367" s="89">
        <v>185</v>
      </c>
      <c r="D367" s="75"/>
      <c r="E367" s="75"/>
      <c r="F367" s="75">
        <v>40003</v>
      </c>
      <c r="G367" s="76" t="str">
        <f>VLOOKUP(Tabelle2[[#This Row],[Kunden Nr.]],KUNDEN!A:B,2,0)</f>
        <v>ARBENI BIOBLIC</v>
      </c>
      <c r="H367" s="75">
        <v>20001</v>
      </c>
      <c r="I367" s="76" t="str">
        <f>VLOOKUP(Tabelle2[[#This Row],[Artikel]],Produkte!A:B,2,0)</f>
        <v>BioBlic Universalreiniger</v>
      </c>
      <c r="J367" s="75">
        <v>80</v>
      </c>
      <c r="K367" s="76">
        <f>VLOOKUP(Tabelle2[[#This Row],[Kunden Nr.]],KUNDEN!A:G,7)</f>
        <v>0</v>
      </c>
      <c r="L367" s="76">
        <f>VLOOKUP(Tabelle2[[#This Row],[Artikel]],Produkte!A:H,8)</f>
        <v>0.30000000000000004</v>
      </c>
    </row>
    <row r="368" spans="1:12" x14ac:dyDescent="0.2">
      <c r="A368" s="75" t="s">
        <v>770</v>
      </c>
      <c r="B368" s="79">
        <v>46046</v>
      </c>
      <c r="C368" s="75"/>
      <c r="D368" s="75"/>
      <c r="E368" s="75"/>
      <c r="F368" s="75">
        <v>40003</v>
      </c>
      <c r="G368" s="76" t="str">
        <f>VLOOKUP(Tabelle2[[#This Row],[Kunden Nr.]],KUNDEN!A:B,2,0)</f>
        <v>ARBENI BIOBLIC</v>
      </c>
      <c r="H368" s="75">
        <v>30275</v>
      </c>
      <c r="I368" s="76" t="str">
        <f>VLOOKUP(Tabelle2[[#This Row],[Artikel]],Produkte!A:B,2,0)</f>
        <v>Blic Blic Sanitärreiniger</v>
      </c>
      <c r="J368" s="75">
        <v>50</v>
      </c>
      <c r="K368" s="76">
        <f>VLOOKUP(Tabelle2[[#This Row],[Kunden Nr.]],KUNDEN!A:G,7)</f>
        <v>0</v>
      </c>
      <c r="L368" s="76">
        <f>VLOOKUP(Tabelle2[[#This Row],[Artikel]],Produkte!A:H,8)</f>
        <v>0.30000000000000004</v>
      </c>
    </row>
    <row r="369" spans="1:12" x14ac:dyDescent="0.2">
      <c r="A369" s="75" t="s">
        <v>770</v>
      </c>
      <c r="B369" s="79">
        <v>46046</v>
      </c>
      <c r="C369" s="75"/>
      <c r="D369" s="75"/>
      <c r="E369" s="75"/>
      <c r="F369" s="75">
        <v>40003</v>
      </c>
      <c r="G369" s="76" t="str">
        <f>VLOOKUP(Tabelle2[[#This Row],[Kunden Nr.]],KUNDEN!A:B,2,0)</f>
        <v>ARBENI BIOBLIC</v>
      </c>
      <c r="H369" s="75">
        <v>20000</v>
      </c>
      <c r="I369" s="76" t="str">
        <f>VLOOKUP(Tabelle2[[#This Row],[Artikel]],Produkte!A:B,2,0)</f>
        <v>BioBlic AutoInnenreiniger</v>
      </c>
      <c r="J369" s="75">
        <v>20</v>
      </c>
      <c r="K369" s="76">
        <f>VLOOKUP(Tabelle2[[#This Row],[Kunden Nr.]],KUNDEN!A:G,7)</f>
        <v>0</v>
      </c>
      <c r="L369" s="76">
        <f>VLOOKUP(Tabelle2[[#This Row],[Artikel]],Produkte!A:H,8)</f>
        <v>0.30000000000000004</v>
      </c>
    </row>
    <row r="370" spans="1:12" x14ac:dyDescent="0.2">
      <c r="A370" s="75" t="s">
        <v>608</v>
      </c>
      <c r="B370" s="79">
        <v>46046</v>
      </c>
      <c r="C370" s="89">
        <v>138.6</v>
      </c>
      <c r="D370" s="75"/>
      <c r="E370" s="75"/>
      <c r="F370" s="75">
        <v>10616</v>
      </c>
      <c r="G370" s="76" t="str">
        <f>VLOOKUP(Tabelle2[[#This Row],[Kunden Nr.]],KUNDEN!A:B,2,0)</f>
        <v>TE ZENA</v>
      </c>
      <c r="H370" s="75">
        <v>35113</v>
      </c>
      <c r="I370" s="76" t="str">
        <f>VLOOKUP(Tabelle2[[#This Row],[Artikel]],Produkte!A:B,2,0)</f>
        <v>M-ONE Sanitar Silikon</v>
      </c>
      <c r="J370" s="75">
        <v>12</v>
      </c>
      <c r="K370" s="76" t="str">
        <f>VLOOKUP(Tabelle2[[#This Row],[Kunden Nr.]],KUNDEN!A:G,7)</f>
        <v>Qerimi</v>
      </c>
      <c r="L370" s="76">
        <f>VLOOKUP(Tabelle2[[#This Row],[Artikel]],Produkte!A:H,8)</f>
        <v>0.17</v>
      </c>
    </row>
    <row r="371" spans="1:12" x14ac:dyDescent="0.2">
      <c r="A371" s="75" t="s">
        <v>608</v>
      </c>
      <c r="B371" s="79">
        <v>46046</v>
      </c>
      <c r="C371" s="75"/>
      <c r="D371" s="75"/>
      <c r="E371" s="75"/>
      <c r="F371" s="75">
        <v>10616</v>
      </c>
      <c r="G371" s="76" t="str">
        <f>VLOOKUP(Tabelle2[[#This Row],[Kunden Nr.]],KUNDEN!A:B,2,0)</f>
        <v>TE ZENA</v>
      </c>
      <c r="H371" s="75">
        <v>35119</v>
      </c>
      <c r="I371" s="76" t="str">
        <f>VLOOKUP(Tabelle2[[#This Row],[Artikel]],Produkte!A:B,2,0)</f>
        <v>M-ONE Sanitar Silikon</v>
      </c>
      <c r="J371" s="75">
        <v>12</v>
      </c>
      <c r="K371" s="76" t="str">
        <f>VLOOKUP(Tabelle2[[#This Row],[Kunden Nr.]],KUNDEN!A:G,7)</f>
        <v>Qerimi</v>
      </c>
      <c r="L371" s="76">
        <f>VLOOKUP(Tabelle2[[#This Row],[Artikel]],Produkte!A:H,8)</f>
        <v>0.17</v>
      </c>
    </row>
    <row r="372" spans="1:12" x14ac:dyDescent="0.2">
      <c r="A372" s="75" t="s">
        <v>608</v>
      </c>
      <c r="B372" s="79">
        <v>46046</v>
      </c>
      <c r="C372" s="75"/>
      <c r="D372" s="75"/>
      <c r="E372" s="75"/>
      <c r="F372" s="75">
        <v>10616</v>
      </c>
      <c r="G372" s="76" t="str">
        <f>VLOOKUP(Tabelle2[[#This Row],[Kunden Nr.]],KUNDEN!A:B,2,0)</f>
        <v>TE ZENA</v>
      </c>
      <c r="H372" s="75">
        <v>35121</v>
      </c>
      <c r="I372" s="76" t="str">
        <f>VLOOKUP(Tabelle2[[#This Row],[Artikel]],Produkte!A:B,2,0)</f>
        <v>M-ONE Sanitar Silikon</v>
      </c>
      <c r="J372" s="75">
        <v>12</v>
      </c>
      <c r="K372" s="76" t="str">
        <f>VLOOKUP(Tabelle2[[#This Row],[Kunden Nr.]],KUNDEN!A:G,7)</f>
        <v>Qerimi</v>
      </c>
      <c r="L372" s="76">
        <f>VLOOKUP(Tabelle2[[#This Row],[Artikel]],Produkte!A:H,8)</f>
        <v>0.17</v>
      </c>
    </row>
    <row r="373" spans="1:12" x14ac:dyDescent="0.2">
      <c r="A373" s="75" t="s">
        <v>1230</v>
      </c>
      <c r="B373" s="79">
        <v>46046</v>
      </c>
      <c r="C373" s="89">
        <v>46.2</v>
      </c>
      <c r="D373" s="75"/>
      <c r="E373" s="75"/>
      <c r="F373" s="75">
        <v>10635</v>
      </c>
      <c r="G373" s="76" t="e">
        <f>VLOOKUP(Tabelle2[[#This Row],[Kunden Nr.]],KUNDEN!A:B,2,0)</f>
        <v>#N/A</v>
      </c>
      <c r="H373" s="75">
        <v>35115</v>
      </c>
      <c r="I373" s="76" t="str">
        <f>VLOOKUP(Tabelle2[[#This Row],[Artikel]],Produkte!A:B,2,0)</f>
        <v>M-ONE Sanitar Silikon</v>
      </c>
      <c r="J373" s="75">
        <v>12</v>
      </c>
      <c r="K373" s="76" t="str">
        <f>VLOOKUP(Tabelle2[[#This Row],[Kunden Nr.]],KUNDEN!A:G,7)</f>
        <v>Qerimi</v>
      </c>
      <c r="L373" s="76">
        <f>VLOOKUP(Tabelle2[[#This Row],[Artikel]],Produkte!A:H,8)</f>
        <v>0.17</v>
      </c>
    </row>
    <row r="374" spans="1:12" x14ac:dyDescent="0.2">
      <c r="A374" s="75" t="s">
        <v>1230</v>
      </c>
      <c r="B374" s="79">
        <v>46046</v>
      </c>
      <c r="C374" s="75"/>
      <c r="D374" s="75"/>
      <c r="E374" s="75"/>
      <c r="F374" s="75">
        <v>10637</v>
      </c>
      <c r="G374" s="76" t="e">
        <f>VLOOKUP(Tabelle2[[#This Row],[Kunden Nr.]],KUNDEN!A:B,2,0)</f>
        <v>#N/A</v>
      </c>
      <c r="H374" s="75">
        <v>50912</v>
      </c>
      <c r="I374" s="76" t="str">
        <f>VLOOKUP(Tabelle2[[#This Row],[Artikel]],Produkte!A:B,2,0)</f>
        <v>DICHTUNG</v>
      </c>
      <c r="J374" s="75">
        <v>5</v>
      </c>
      <c r="K374" s="76" t="str">
        <f>VLOOKUP(Tabelle2[[#This Row],[Kunden Nr.]],KUNDEN!A:G,7)</f>
        <v>Qerimi</v>
      </c>
      <c r="L374" s="76">
        <f>VLOOKUP(Tabelle2[[#This Row],[Artikel]],Produkte!A:H,8)</f>
        <v>0.2</v>
      </c>
    </row>
    <row r="375" spans="1:12" x14ac:dyDescent="0.2">
      <c r="A375" s="75" t="s">
        <v>1230</v>
      </c>
      <c r="B375" s="79">
        <v>46046</v>
      </c>
      <c r="C375" s="75"/>
      <c r="D375" s="75"/>
      <c r="E375" s="75"/>
      <c r="F375" s="75">
        <v>10637</v>
      </c>
      <c r="G375" s="76" t="e">
        <f>VLOOKUP(Tabelle2[[#This Row],[Kunden Nr.]],KUNDEN!A:B,2,0)</f>
        <v>#N/A</v>
      </c>
      <c r="H375" s="75">
        <v>55718</v>
      </c>
      <c r="I375" s="76" t="str">
        <f>VLOOKUP(Tabelle2[[#This Row],[Artikel]],Produkte!A:B,2,0)</f>
        <v>M ONE MOTORSTART</v>
      </c>
      <c r="J375" s="75">
        <v>5</v>
      </c>
      <c r="K375" s="76" t="str">
        <f>VLOOKUP(Tabelle2[[#This Row],[Kunden Nr.]],KUNDEN!A:G,7)</f>
        <v>Qerimi</v>
      </c>
      <c r="L375" s="76">
        <f>VLOOKUP(Tabelle2[[#This Row],[Artikel]],Produkte!A:H,8)</f>
        <v>0.2</v>
      </c>
    </row>
    <row r="376" spans="1:12" x14ac:dyDescent="0.2">
      <c r="A376" s="75" t="s">
        <v>837</v>
      </c>
      <c r="B376" s="79">
        <v>46046</v>
      </c>
      <c r="C376" s="89">
        <v>138.6</v>
      </c>
      <c r="D376" s="75"/>
      <c r="E376" s="75"/>
      <c r="F376" s="75">
        <v>10625</v>
      </c>
      <c r="G376" s="76" t="str">
        <f>VLOOKUP(Tabelle2[[#This Row],[Kunden Nr.]],KUNDEN!A:B,2,0)</f>
        <v>KUJTA</v>
      </c>
      <c r="H376" s="75">
        <v>35115</v>
      </c>
      <c r="I376" s="76" t="str">
        <f>VLOOKUP(Tabelle2[[#This Row],[Artikel]],Produkte!A:B,2,0)</f>
        <v>M-ONE Sanitar Silikon</v>
      </c>
      <c r="J376" s="75">
        <v>12</v>
      </c>
      <c r="K376" s="76" t="str">
        <f>VLOOKUP(Tabelle2[[#This Row],[Kunden Nr.]],KUNDEN!A:G,7)</f>
        <v>Qerimi</v>
      </c>
      <c r="L376" s="76">
        <f>VLOOKUP(Tabelle2[[#This Row],[Artikel]],Produkte!A:H,8)</f>
        <v>0.17</v>
      </c>
    </row>
    <row r="377" spans="1:12" x14ac:dyDescent="0.2">
      <c r="A377" s="75" t="s">
        <v>837</v>
      </c>
      <c r="B377" s="79">
        <v>46046</v>
      </c>
      <c r="C377" s="75"/>
      <c r="D377" s="75"/>
      <c r="E377" s="75"/>
      <c r="F377" s="75">
        <v>10625</v>
      </c>
      <c r="G377" s="76" t="str">
        <f>VLOOKUP(Tabelle2[[#This Row],[Kunden Nr.]],KUNDEN!A:B,2,0)</f>
        <v>KUJTA</v>
      </c>
      <c r="H377" s="75">
        <v>35114</v>
      </c>
      <c r="I377" s="76" t="str">
        <f>VLOOKUP(Tabelle2[[#This Row],[Artikel]],Produkte!A:B,2,0)</f>
        <v>M-ONE Sanitar Silikon</v>
      </c>
      <c r="J377" s="75">
        <v>12</v>
      </c>
      <c r="K377" s="76" t="str">
        <f>VLOOKUP(Tabelle2[[#This Row],[Kunden Nr.]],KUNDEN!A:G,7)</f>
        <v>Qerimi</v>
      </c>
      <c r="L377" s="76">
        <f>VLOOKUP(Tabelle2[[#This Row],[Artikel]],Produkte!A:H,8)</f>
        <v>0.17</v>
      </c>
    </row>
    <row r="378" spans="1:12" x14ac:dyDescent="0.2">
      <c r="A378" s="75" t="s">
        <v>837</v>
      </c>
      <c r="B378" s="79">
        <v>46046</v>
      </c>
      <c r="C378" s="75"/>
      <c r="D378" s="75"/>
      <c r="E378" s="75"/>
      <c r="F378" s="75">
        <v>10625</v>
      </c>
      <c r="G378" s="76" t="str">
        <f>VLOOKUP(Tabelle2[[#This Row],[Kunden Nr.]],KUNDEN!A:B,2,0)</f>
        <v>KUJTA</v>
      </c>
      <c r="H378" s="75">
        <v>35125</v>
      </c>
      <c r="I378" s="76" t="str">
        <f>VLOOKUP(Tabelle2[[#This Row],[Artikel]],Produkte!A:B,2,0)</f>
        <v>M-ONE Sanitar Silikon</v>
      </c>
      <c r="J378" s="75">
        <v>12</v>
      </c>
      <c r="K378" s="76" t="str">
        <f>VLOOKUP(Tabelle2[[#This Row],[Kunden Nr.]],KUNDEN!A:G,7)</f>
        <v>Qerimi</v>
      </c>
      <c r="L378" s="76">
        <f>VLOOKUP(Tabelle2[[#This Row],[Artikel]],Produkte!A:H,8)</f>
        <v>0.17</v>
      </c>
    </row>
    <row r="379" spans="1:12" x14ac:dyDescent="0.2">
      <c r="A379" s="75" t="s">
        <v>430</v>
      </c>
      <c r="B379" s="79">
        <v>46046</v>
      </c>
      <c r="C379" s="89">
        <v>63.2</v>
      </c>
      <c r="D379" s="75"/>
      <c r="E379" s="75"/>
      <c r="F379" s="75">
        <v>20602</v>
      </c>
      <c r="G379" s="76" t="str">
        <f>VLOOKUP(Tabelle2[[#This Row],[Kunden Nr.]],KUNDEN!A:B,2,0)</f>
        <v>AGROLONDI</v>
      </c>
      <c r="H379" s="75">
        <v>35110</v>
      </c>
      <c r="I379" s="76" t="str">
        <f>VLOOKUP(Tabelle2[[#This Row],[Artikel]],Produkte!A:B,2,0)</f>
        <v>M-ONE Sanitar Silikon</v>
      </c>
      <c r="J379" s="75">
        <v>12</v>
      </c>
      <c r="K379" s="76" t="str">
        <f>VLOOKUP(Tabelle2[[#This Row],[Kunden Nr.]],KUNDEN!A:G,7)</f>
        <v>Mensuri</v>
      </c>
      <c r="L379" s="76">
        <f>VLOOKUP(Tabelle2[[#This Row],[Artikel]],Produkte!A:H,8)</f>
        <v>0.17</v>
      </c>
    </row>
    <row r="380" spans="1:12" x14ac:dyDescent="0.2">
      <c r="A380" s="75" t="s">
        <v>430</v>
      </c>
      <c r="B380" s="79">
        <v>46046</v>
      </c>
      <c r="C380" s="75"/>
      <c r="D380" s="75"/>
      <c r="E380" s="75"/>
      <c r="F380" s="75">
        <v>20602</v>
      </c>
      <c r="G380" s="76" t="str">
        <f>VLOOKUP(Tabelle2[[#This Row],[Kunden Nr.]],KUNDEN!A:B,2,0)</f>
        <v>AGROLONDI</v>
      </c>
      <c r="H380" s="75">
        <v>51611</v>
      </c>
      <c r="I380" s="76" t="str">
        <f>VLOOKUP(Tabelle2[[#This Row],[Artikel]],Produkte!A:B,2,0)</f>
        <v>universal akryl</v>
      </c>
      <c r="J380" s="75">
        <v>12</v>
      </c>
      <c r="K380" s="76" t="str">
        <f>VLOOKUP(Tabelle2[[#This Row],[Kunden Nr.]],KUNDEN!A:G,7)</f>
        <v>Mensuri</v>
      </c>
      <c r="L380" s="76">
        <f>VLOOKUP(Tabelle2[[#This Row],[Artikel]],Produkte!A:H,8)</f>
        <v>0.06</v>
      </c>
    </row>
    <row r="381" spans="1:12" x14ac:dyDescent="0.2">
      <c r="A381" s="75" t="s">
        <v>430</v>
      </c>
      <c r="B381" s="79">
        <v>46046</v>
      </c>
      <c r="C381" s="75"/>
      <c r="D381" s="75"/>
      <c r="E381" s="75"/>
      <c r="F381" s="75">
        <v>20602</v>
      </c>
      <c r="G381" s="76" t="str">
        <f>VLOOKUP(Tabelle2[[#This Row],[Kunden Nr.]],KUNDEN!A:B,2,0)</f>
        <v>AGROLONDI</v>
      </c>
      <c r="H381" s="75">
        <v>49644</v>
      </c>
      <c r="I381" s="76" t="str">
        <f>VLOOKUP(Tabelle2[[#This Row],[Artikel]],Produkte!A:B,2,0)</f>
        <v>beMAKER Rostlöser</v>
      </c>
      <c r="J381" s="75">
        <v>1</v>
      </c>
      <c r="K381" s="76" t="str">
        <f>VLOOKUP(Tabelle2[[#This Row],[Kunden Nr.]],KUNDEN!A:G,7)</f>
        <v>Mensuri</v>
      </c>
      <c r="L381" s="76">
        <f>VLOOKUP(Tabelle2[[#This Row],[Artikel]],Produkte!A:H,8)</f>
        <v>0.2</v>
      </c>
    </row>
    <row r="382" spans="1:12" x14ac:dyDescent="0.2">
      <c r="A382" s="75" t="s">
        <v>1009</v>
      </c>
      <c r="B382" s="79">
        <v>46046</v>
      </c>
      <c r="C382" s="89">
        <v>212.4</v>
      </c>
      <c r="D382" s="75"/>
      <c r="E382" s="75"/>
      <c r="F382" s="75">
        <v>20623</v>
      </c>
      <c r="G382" s="76" t="str">
        <f>VLOOKUP(Tabelle2[[#This Row],[Kunden Nr.]],KUNDEN!A:B,2,0)</f>
        <v>LTI</v>
      </c>
      <c r="H382" s="75">
        <v>35109</v>
      </c>
      <c r="I382" s="76" t="str">
        <f>VLOOKUP(Tabelle2[[#This Row],[Artikel]],Produkte!A:B,2,0)</f>
        <v>M-ONE Sanitar Silikon</v>
      </c>
      <c r="J382" s="75">
        <v>12</v>
      </c>
      <c r="K382" s="76" t="str">
        <f>VLOOKUP(Tabelle2[[#This Row],[Kunden Nr.]],KUNDEN!A:G,7)</f>
        <v>Mensuri</v>
      </c>
      <c r="L382" s="76">
        <f>VLOOKUP(Tabelle2[[#This Row],[Artikel]],Produkte!A:H,8)</f>
        <v>0.17</v>
      </c>
    </row>
    <row r="383" spans="1:12" x14ac:dyDescent="0.2">
      <c r="A383" s="75" t="s">
        <v>1009</v>
      </c>
      <c r="B383" s="79">
        <v>46046</v>
      </c>
      <c r="C383" s="75"/>
      <c r="D383" s="75"/>
      <c r="E383" s="75"/>
      <c r="F383" s="75">
        <v>20623</v>
      </c>
      <c r="G383" s="76" t="str">
        <f>VLOOKUP(Tabelle2[[#This Row],[Kunden Nr.]],KUNDEN!A:B,2,0)</f>
        <v>LTI</v>
      </c>
      <c r="H383" s="75">
        <v>35110</v>
      </c>
      <c r="I383" s="76" t="str">
        <f>VLOOKUP(Tabelle2[[#This Row],[Artikel]],Produkte!A:B,2,0)</f>
        <v>M-ONE Sanitar Silikon</v>
      </c>
      <c r="J383" s="75">
        <v>24</v>
      </c>
      <c r="K383" s="76" t="str">
        <f>VLOOKUP(Tabelle2[[#This Row],[Kunden Nr.]],KUNDEN!A:G,7)</f>
        <v>Mensuri</v>
      </c>
      <c r="L383" s="76">
        <f>VLOOKUP(Tabelle2[[#This Row],[Artikel]],Produkte!A:H,8)</f>
        <v>0.17</v>
      </c>
    </row>
    <row r="384" spans="1:12" x14ac:dyDescent="0.2">
      <c r="A384" s="75" t="s">
        <v>1009</v>
      </c>
      <c r="B384" s="79">
        <v>46046</v>
      </c>
      <c r="C384" s="75"/>
      <c r="D384" s="75"/>
      <c r="E384" s="75"/>
      <c r="F384" s="75">
        <v>20623</v>
      </c>
      <c r="G384" s="76" t="str">
        <f>VLOOKUP(Tabelle2[[#This Row],[Kunden Nr.]],KUNDEN!A:B,2,0)</f>
        <v>LTI</v>
      </c>
      <c r="H384" s="75">
        <v>35111</v>
      </c>
      <c r="I384" s="76" t="str">
        <f>VLOOKUP(Tabelle2[[#This Row],[Artikel]],Produkte!A:B,2,0)</f>
        <v>M-ONE Sanitar Silikon</v>
      </c>
      <c r="J384" s="75">
        <v>12</v>
      </c>
      <c r="K384" s="76" t="str">
        <f>VLOOKUP(Tabelle2[[#This Row],[Kunden Nr.]],KUNDEN!A:G,7)</f>
        <v>Mensuri</v>
      </c>
      <c r="L384" s="76">
        <f>VLOOKUP(Tabelle2[[#This Row],[Artikel]],Produkte!A:H,8)</f>
        <v>0.17</v>
      </c>
    </row>
    <row r="385" spans="1:12" x14ac:dyDescent="0.2">
      <c r="A385" s="75" t="s">
        <v>1009</v>
      </c>
      <c r="B385" s="79">
        <v>46046</v>
      </c>
      <c r="C385" s="75"/>
      <c r="D385" s="75"/>
      <c r="E385" s="75"/>
      <c r="F385" s="75">
        <v>20623</v>
      </c>
      <c r="G385" s="76" t="str">
        <f>VLOOKUP(Tabelle2[[#This Row],[Kunden Nr.]],KUNDEN!A:B,2,0)</f>
        <v>LTI</v>
      </c>
      <c r="H385" s="75">
        <v>35112</v>
      </c>
      <c r="I385" s="76" t="str">
        <f>VLOOKUP(Tabelle2[[#This Row],[Artikel]],Produkte!A:B,2,0)</f>
        <v>M-ONE Sanitar Silikon</v>
      </c>
      <c r="J385" s="75">
        <v>12</v>
      </c>
      <c r="K385" s="76" t="str">
        <f>VLOOKUP(Tabelle2[[#This Row],[Kunden Nr.]],KUNDEN!A:G,7)</f>
        <v>Mensuri</v>
      </c>
      <c r="L385" s="76">
        <f>VLOOKUP(Tabelle2[[#This Row],[Artikel]],Produkte!A:H,8)</f>
        <v>0.17</v>
      </c>
    </row>
    <row r="386" spans="1:12" x14ac:dyDescent="0.2">
      <c r="A386" s="75" t="s">
        <v>1009</v>
      </c>
      <c r="B386" s="79">
        <v>46046</v>
      </c>
      <c r="C386" s="75"/>
      <c r="D386" s="75"/>
      <c r="E386" s="75"/>
      <c r="F386" s="75">
        <v>20623</v>
      </c>
      <c r="G386" s="76" t="str">
        <f>VLOOKUP(Tabelle2[[#This Row],[Kunden Nr.]],KUNDEN!A:B,2,0)</f>
        <v>LTI</v>
      </c>
      <c r="H386" s="75">
        <v>51612</v>
      </c>
      <c r="I386" s="76" t="str">
        <f>VLOOKUP(Tabelle2[[#This Row],[Artikel]],Produkte!A:B,2,0)</f>
        <v>struktural akryl</v>
      </c>
      <c r="J386" s="75">
        <v>12</v>
      </c>
      <c r="K386" s="76" t="str">
        <f>VLOOKUP(Tabelle2[[#This Row],[Kunden Nr.]],KUNDEN!A:G,7)</f>
        <v>Mensuri</v>
      </c>
      <c r="L386" s="76">
        <f>VLOOKUP(Tabelle2[[#This Row],[Artikel]],Produkte!A:H,8)</f>
        <v>0.06</v>
      </c>
    </row>
    <row r="387" spans="1:12" x14ac:dyDescent="0.2">
      <c r="A387" s="75" t="s">
        <v>1185</v>
      </c>
      <c r="B387" s="79">
        <v>46046</v>
      </c>
      <c r="C387" s="89">
        <v>92.4</v>
      </c>
      <c r="D387" s="75"/>
      <c r="E387" s="75"/>
      <c r="F387" s="75">
        <v>20628</v>
      </c>
      <c r="G387" s="76" t="str">
        <f>VLOOKUP(Tabelle2[[#This Row],[Kunden Nr.]],KUNDEN!A:B,2,0)</f>
        <v>DIVA QERAMIKA</v>
      </c>
      <c r="H387" s="75">
        <v>35109</v>
      </c>
      <c r="I387" s="76" t="str">
        <f>VLOOKUP(Tabelle2[[#This Row],[Artikel]],Produkte!A:B,2,0)</f>
        <v>M-ONE Sanitar Silikon</v>
      </c>
      <c r="J387" s="75">
        <v>24</v>
      </c>
      <c r="K387" s="76" t="str">
        <f>VLOOKUP(Tabelle2[[#This Row],[Kunden Nr.]],KUNDEN!A:G,7)</f>
        <v>Mensuri</v>
      </c>
      <c r="L387" s="76">
        <f>VLOOKUP(Tabelle2[[#This Row],[Artikel]],Produkte!A:H,8)</f>
        <v>0.17</v>
      </c>
    </row>
    <row r="388" spans="1:12" x14ac:dyDescent="0.2">
      <c r="A388" s="75" t="s">
        <v>1232</v>
      </c>
      <c r="B388" s="79">
        <v>46046</v>
      </c>
      <c r="C388" s="89">
        <v>61.2</v>
      </c>
      <c r="D388" s="75"/>
      <c r="E388" s="75"/>
      <c r="F388" s="75">
        <v>20630</v>
      </c>
      <c r="G388" s="76" t="str">
        <f>VLOOKUP(Tabelle2[[#This Row],[Kunden Nr.]],KUNDEN!A:B,2,0)</f>
        <v>HIDRO DANI</v>
      </c>
      <c r="H388" s="75">
        <v>35113</v>
      </c>
      <c r="I388" s="76" t="str">
        <f>VLOOKUP(Tabelle2[[#This Row],[Artikel]],Produkte!A:B,2,0)</f>
        <v>M-ONE Sanitar Silikon</v>
      </c>
      <c r="J388" s="75">
        <v>12</v>
      </c>
      <c r="K388" s="76" t="str">
        <f>VLOOKUP(Tabelle2[[#This Row],[Kunden Nr.]],KUNDEN!A:G,7)</f>
        <v>Mensuri</v>
      </c>
      <c r="L388" s="76">
        <f>VLOOKUP(Tabelle2[[#This Row],[Artikel]],Produkte!A:H,8)</f>
        <v>0.17</v>
      </c>
    </row>
    <row r="389" spans="1:12" x14ac:dyDescent="0.2">
      <c r="A389" s="75" t="s">
        <v>1232</v>
      </c>
      <c r="B389" s="79">
        <v>46046</v>
      </c>
      <c r="C389" s="75"/>
      <c r="D389" s="75"/>
      <c r="E389" s="75"/>
      <c r="F389" s="75">
        <v>20630</v>
      </c>
      <c r="G389" s="76" t="str">
        <f>VLOOKUP(Tabelle2[[#This Row],[Kunden Nr.]],KUNDEN!A:B,2,0)</f>
        <v>HIDRO DANI</v>
      </c>
      <c r="H389" s="75">
        <v>51611</v>
      </c>
      <c r="I389" s="76" t="str">
        <f>VLOOKUP(Tabelle2[[#This Row],[Artikel]],Produkte!A:B,2,0)</f>
        <v>universal akryl</v>
      </c>
      <c r="J389" s="75">
        <v>12</v>
      </c>
      <c r="K389" s="76" t="str">
        <f>VLOOKUP(Tabelle2[[#This Row],[Kunden Nr.]],KUNDEN!A:G,7)</f>
        <v>Mensuri</v>
      </c>
      <c r="L389" s="76">
        <f>VLOOKUP(Tabelle2[[#This Row],[Artikel]],Produkte!A:H,8)</f>
        <v>0.06</v>
      </c>
    </row>
    <row r="390" spans="1:12" x14ac:dyDescent="0.2">
      <c r="A390" s="75" t="s">
        <v>438</v>
      </c>
      <c r="B390" s="79">
        <v>46046</v>
      </c>
      <c r="C390" s="89">
        <v>184.8</v>
      </c>
      <c r="D390" s="75"/>
      <c r="E390" s="75"/>
      <c r="F390" s="75">
        <v>20610</v>
      </c>
      <c r="G390" s="76" t="str">
        <f>VLOOKUP(Tabelle2[[#This Row],[Kunden Nr.]],KUNDEN!A:B,2,0)</f>
        <v>AGRO-XHETI</v>
      </c>
      <c r="H390" s="75">
        <v>35110</v>
      </c>
      <c r="I390" s="76" t="str">
        <f>VLOOKUP(Tabelle2[[#This Row],[Artikel]],Produkte!A:B,2,0)</f>
        <v>M-ONE Sanitar Silikon</v>
      </c>
      <c r="J390" s="75">
        <v>12</v>
      </c>
      <c r="K390" s="76" t="str">
        <f>VLOOKUP(Tabelle2[[#This Row],[Kunden Nr.]],KUNDEN!A:G,7)</f>
        <v>Mensuri</v>
      </c>
      <c r="L390" s="76">
        <f>VLOOKUP(Tabelle2[[#This Row],[Artikel]],Produkte!A:H,8)</f>
        <v>0.17</v>
      </c>
    </row>
    <row r="391" spans="1:12" x14ac:dyDescent="0.2">
      <c r="A391" s="75" t="s">
        <v>438</v>
      </c>
      <c r="B391" s="79">
        <v>46046</v>
      </c>
      <c r="C391" s="75"/>
      <c r="D391" s="75"/>
      <c r="E391" s="75"/>
      <c r="F391" s="75">
        <v>20610</v>
      </c>
      <c r="G391" s="76" t="str">
        <f>VLOOKUP(Tabelle2[[#This Row],[Kunden Nr.]],KUNDEN!A:B,2,0)</f>
        <v>AGRO-XHETI</v>
      </c>
      <c r="H391" s="75">
        <v>35111</v>
      </c>
      <c r="I391" s="76" t="str">
        <f>VLOOKUP(Tabelle2[[#This Row],[Artikel]],Produkte!A:B,2,0)</f>
        <v>M-ONE Sanitar Silikon</v>
      </c>
      <c r="J391" s="75">
        <v>12</v>
      </c>
      <c r="K391" s="76" t="str">
        <f>VLOOKUP(Tabelle2[[#This Row],[Kunden Nr.]],KUNDEN!A:G,7)</f>
        <v>Mensuri</v>
      </c>
      <c r="L391" s="76">
        <f>VLOOKUP(Tabelle2[[#This Row],[Artikel]],Produkte!A:H,8)</f>
        <v>0.17</v>
      </c>
    </row>
    <row r="392" spans="1:12" x14ac:dyDescent="0.2">
      <c r="A392" s="75" t="s">
        <v>438</v>
      </c>
      <c r="B392" s="79">
        <v>46046</v>
      </c>
      <c r="C392" s="75"/>
      <c r="D392" s="75"/>
      <c r="E392" s="75"/>
      <c r="F392" s="75">
        <v>20610</v>
      </c>
      <c r="G392" s="76" t="str">
        <f>VLOOKUP(Tabelle2[[#This Row],[Kunden Nr.]],KUNDEN!A:B,2,0)</f>
        <v>AGRO-XHETI</v>
      </c>
      <c r="H392" s="75">
        <v>35112</v>
      </c>
      <c r="I392" s="76" t="str">
        <f>VLOOKUP(Tabelle2[[#This Row],[Artikel]],Produkte!A:B,2,0)</f>
        <v>M-ONE Sanitar Silikon</v>
      </c>
      <c r="J392" s="75">
        <v>12</v>
      </c>
      <c r="K392" s="76" t="str">
        <f>VLOOKUP(Tabelle2[[#This Row],[Kunden Nr.]],KUNDEN!A:G,7)</f>
        <v>Mensuri</v>
      </c>
      <c r="L392" s="76">
        <f>VLOOKUP(Tabelle2[[#This Row],[Artikel]],Produkte!A:H,8)</f>
        <v>0.17</v>
      </c>
    </row>
    <row r="393" spans="1:12" x14ac:dyDescent="0.2">
      <c r="A393" s="75" t="s">
        <v>438</v>
      </c>
      <c r="B393" s="79">
        <v>46046</v>
      </c>
      <c r="C393" s="75"/>
      <c r="D393" s="75"/>
      <c r="E393" s="75"/>
      <c r="F393" s="75">
        <v>20610</v>
      </c>
      <c r="G393" s="76" t="str">
        <f>VLOOKUP(Tabelle2[[#This Row],[Kunden Nr.]],KUNDEN!A:B,2,0)</f>
        <v>AGRO-XHETI</v>
      </c>
      <c r="H393" s="75">
        <v>35113</v>
      </c>
      <c r="I393" s="76" t="str">
        <f>VLOOKUP(Tabelle2[[#This Row],[Artikel]],Produkte!A:B,2,0)</f>
        <v>M-ONE Sanitar Silikon</v>
      </c>
      <c r="J393" s="75">
        <v>12</v>
      </c>
      <c r="K393" s="76" t="str">
        <f>VLOOKUP(Tabelle2[[#This Row],[Kunden Nr.]],KUNDEN!A:G,7)</f>
        <v>Mensuri</v>
      </c>
      <c r="L393" s="76">
        <f>VLOOKUP(Tabelle2[[#This Row],[Artikel]],Produkte!A:H,8)</f>
        <v>0.17</v>
      </c>
    </row>
    <row r="394" spans="1:12" x14ac:dyDescent="0.2">
      <c r="A394" s="75" t="s">
        <v>1171</v>
      </c>
      <c r="B394" s="79">
        <v>46046</v>
      </c>
      <c r="C394" s="89">
        <v>166.2</v>
      </c>
      <c r="D394" s="75"/>
      <c r="E394" s="75"/>
      <c r="F394" s="75">
        <v>20627</v>
      </c>
      <c r="G394" s="76" t="str">
        <f>VLOOKUP(Tabelle2[[#This Row],[Kunden Nr.]],KUNDEN!A:B,2,0)</f>
        <v>UNIKA</v>
      </c>
      <c r="H394" s="75">
        <v>35109</v>
      </c>
      <c r="I394" s="76" t="str">
        <f>VLOOKUP(Tabelle2[[#This Row],[Artikel]],Produkte!A:B,2,0)</f>
        <v>M-ONE Sanitar Silikon</v>
      </c>
      <c r="J394" s="75">
        <v>12</v>
      </c>
      <c r="K394" s="76" t="str">
        <f>VLOOKUP(Tabelle2[[#This Row],[Kunden Nr.]],KUNDEN!A:G,7)</f>
        <v>Mensuri</v>
      </c>
      <c r="L394" s="76">
        <f>VLOOKUP(Tabelle2[[#This Row],[Artikel]],Produkte!A:H,8)</f>
        <v>0.17</v>
      </c>
    </row>
    <row r="395" spans="1:12" x14ac:dyDescent="0.2">
      <c r="A395" s="75" t="s">
        <v>1171</v>
      </c>
      <c r="B395" s="79">
        <v>46046</v>
      </c>
      <c r="C395" s="75"/>
      <c r="D395" s="75"/>
      <c r="E395" s="75"/>
      <c r="F395" s="75">
        <v>20627</v>
      </c>
      <c r="G395" s="76" t="str">
        <f>VLOOKUP(Tabelle2[[#This Row],[Kunden Nr.]],KUNDEN!A:B,2,0)</f>
        <v>UNIKA</v>
      </c>
      <c r="H395" s="75">
        <v>35111</v>
      </c>
      <c r="I395" s="76" t="str">
        <f>VLOOKUP(Tabelle2[[#This Row],[Artikel]],Produkte!A:B,2,0)</f>
        <v>M-ONE Sanitar Silikon</v>
      </c>
      <c r="J395" s="75">
        <v>12</v>
      </c>
      <c r="K395" s="76" t="str">
        <f>VLOOKUP(Tabelle2[[#This Row],[Kunden Nr.]],KUNDEN!A:G,7)</f>
        <v>Mensuri</v>
      </c>
      <c r="L395" s="76">
        <f>VLOOKUP(Tabelle2[[#This Row],[Artikel]],Produkte!A:H,8)</f>
        <v>0.17</v>
      </c>
    </row>
    <row r="396" spans="1:12" x14ac:dyDescent="0.2">
      <c r="A396" s="75" t="s">
        <v>1171</v>
      </c>
      <c r="B396" s="79">
        <v>46046</v>
      </c>
      <c r="C396" s="75"/>
      <c r="D396" s="75"/>
      <c r="E396" s="75"/>
      <c r="F396" s="75">
        <v>20627</v>
      </c>
      <c r="G396" s="76" t="str">
        <f>VLOOKUP(Tabelle2[[#This Row],[Kunden Nr.]],KUNDEN!A:B,2,0)</f>
        <v>UNIKA</v>
      </c>
      <c r="H396" s="75">
        <v>35115</v>
      </c>
      <c r="I396" s="76" t="str">
        <f>VLOOKUP(Tabelle2[[#This Row],[Artikel]],Produkte!A:B,2,0)</f>
        <v>M-ONE Sanitar Silikon</v>
      </c>
      <c r="J396" s="75">
        <v>12</v>
      </c>
      <c r="K396" s="76" t="str">
        <f>VLOOKUP(Tabelle2[[#This Row],[Kunden Nr.]],KUNDEN!A:G,7)</f>
        <v>Mensuri</v>
      </c>
      <c r="L396" s="76">
        <f>VLOOKUP(Tabelle2[[#This Row],[Artikel]],Produkte!A:H,8)</f>
        <v>0.17</v>
      </c>
    </row>
    <row r="397" spans="1:12" x14ac:dyDescent="0.2">
      <c r="A397" s="75" t="s">
        <v>1171</v>
      </c>
      <c r="B397" s="79">
        <v>46046</v>
      </c>
      <c r="C397" s="75"/>
      <c r="D397" s="75"/>
      <c r="E397" s="75"/>
      <c r="F397" s="75">
        <v>20627</v>
      </c>
      <c r="G397" s="76" t="str">
        <f>VLOOKUP(Tabelle2[[#This Row],[Kunden Nr.]],KUNDEN!A:B,2,0)</f>
        <v>UNIKA</v>
      </c>
      <c r="H397" s="75">
        <v>51612</v>
      </c>
      <c r="I397" s="76" t="str">
        <f>VLOOKUP(Tabelle2[[#This Row],[Artikel]],Produkte!A:B,2,0)</f>
        <v>struktural akryl</v>
      </c>
      <c r="J397" s="75">
        <v>12</v>
      </c>
      <c r="K397" s="76" t="str">
        <f>VLOOKUP(Tabelle2[[#This Row],[Kunden Nr.]],KUNDEN!A:G,7)</f>
        <v>Mensuri</v>
      </c>
      <c r="L397" s="76">
        <f>VLOOKUP(Tabelle2[[#This Row],[Artikel]],Produkte!A:H,8)</f>
        <v>0.06</v>
      </c>
    </row>
    <row r="398" spans="1:12" x14ac:dyDescent="0.2">
      <c r="A398" s="75" t="s">
        <v>432</v>
      </c>
      <c r="B398" s="79">
        <v>46046</v>
      </c>
      <c r="C398" s="89">
        <v>166.2</v>
      </c>
      <c r="D398" s="75"/>
      <c r="E398" s="75"/>
      <c r="F398" s="75">
        <v>20604</v>
      </c>
      <c r="G398" s="76" t="str">
        <f>VLOOKUP(Tabelle2[[#This Row],[Kunden Nr.]],KUNDEN!A:B,2,0)</f>
        <v>ALFA-QERAMIKA</v>
      </c>
      <c r="H398" s="75">
        <v>35110</v>
      </c>
      <c r="I398" s="76" t="str">
        <f>VLOOKUP(Tabelle2[[#This Row],[Artikel]],Produkte!A:B,2,0)</f>
        <v>M-ONE Sanitar Silikon</v>
      </c>
      <c r="J398" s="75">
        <v>12</v>
      </c>
      <c r="K398" s="76" t="str">
        <f>VLOOKUP(Tabelle2[[#This Row],[Kunden Nr.]],KUNDEN!A:G,7)</f>
        <v>Mensuri</v>
      </c>
      <c r="L398" s="76">
        <f>VLOOKUP(Tabelle2[[#This Row],[Artikel]],Produkte!A:H,8)</f>
        <v>0.17</v>
      </c>
    </row>
    <row r="399" spans="1:12" x14ac:dyDescent="0.2">
      <c r="A399" s="75" t="s">
        <v>432</v>
      </c>
      <c r="B399" s="79">
        <v>46046</v>
      </c>
      <c r="C399" s="75"/>
      <c r="D399" s="75"/>
      <c r="E399" s="75"/>
      <c r="F399" s="75">
        <v>20604</v>
      </c>
      <c r="G399" s="76" t="str">
        <f>VLOOKUP(Tabelle2[[#This Row],[Kunden Nr.]],KUNDEN!A:B,2,0)</f>
        <v>ALFA-QERAMIKA</v>
      </c>
      <c r="H399" s="75">
        <v>35121</v>
      </c>
      <c r="I399" s="76" t="str">
        <f>VLOOKUP(Tabelle2[[#This Row],[Artikel]],Produkte!A:B,2,0)</f>
        <v>M-ONE Sanitar Silikon</v>
      </c>
      <c r="J399" s="75">
        <v>12</v>
      </c>
      <c r="K399" s="76" t="str">
        <f>VLOOKUP(Tabelle2[[#This Row],[Kunden Nr.]],KUNDEN!A:G,7)</f>
        <v>Mensuri</v>
      </c>
      <c r="L399" s="76">
        <f>VLOOKUP(Tabelle2[[#This Row],[Artikel]],Produkte!A:H,8)</f>
        <v>0.17</v>
      </c>
    </row>
    <row r="400" spans="1:12" x14ac:dyDescent="0.2">
      <c r="A400" s="75" t="s">
        <v>432</v>
      </c>
      <c r="B400" s="79">
        <v>46046</v>
      </c>
      <c r="C400" s="75"/>
      <c r="D400" s="75"/>
      <c r="E400" s="75"/>
      <c r="F400" s="75">
        <v>20604</v>
      </c>
      <c r="G400" s="76" t="str">
        <f>VLOOKUP(Tabelle2[[#This Row],[Kunden Nr.]],KUNDEN!A:B,2,0)</f>
        <v>ALFA-QERAMIKA</v>
      </c>
      <c r="H400" s="75">
        <v>35125</v>
      </c>
      <c r="I400" s="76" t="str">
        <f>VLOOKUP(Tabelle2[[#This Row],[Artikel]],Produkte!A:B,2,0)</f>
        <v>M-ONE Sanitar Silikon</v>
      </c>
      <c r="J400" s="75">
        <v>12</v>
      </c>
      <c r="K400" s="76" t="str">
        <f>VLOOKUP(Tabelle2[[#This Row],[Kunden Nr.]],KUNDEN!A:G,7)</f>
        <v>Mensuri</v>
      </c>
      <c r="L400" s="76">
        <f>VLOOKUP(Tabelle2[[#This Row],[Artikel]],Produkte!A:H,8)</f>
        <v>0.17</v>
      </c>
    </row>
    <row r="401" spans="1:12" x14ac:dyDescent="0.2">
      <c r="A401" s="75" t="s">
        <v>432</v>
      </c>
      <c r="B401" s="79">
        <v>46046</v>
      </c>
      <c r="C401" s="75"/>
      <c r="D401" s="75"/>
      <c r="E401" s="75"/>
      <c r="F401" s="75">
        <v>20604</v>
      </c>
      <c r="G401" s="76" t="str">
        <f>VLOOKUP(Tabelle2[[#This Row],[Kunden Nr.]],KUNDEN!A:B,2,0)</f>
        <v>ALFA-QERAMIKA</v>
      </c>
      <c r="H401" s="75">
        <v>51612</v>
      </c>
      <c r="I401" s="76" t="str">
        <f>VLOOKUP(Tabelle2[[#This Row],[Artikel]],Produkte!A:B,2,0)</f>
        <v>struktural akryl</v>
      </c>
      <c r="J401" s="75">
        <v>12</v>
      </c>
      <c r="K401" s="76" t="str">
        <f>VLOOKUP(Tabelle2[[#This Row],[Kunden Nr.]],KUNDEN!A:G,7)</f>
        <v>Mensuri</v>
      </c>
      <c r="L401" s="76">
        <f>VLOOKUP(Tabelle2[[#This Row],[Artikel]],Produkte!A:H,8)</f>
        <v>0.06</v>
      </c>
    </row>
    <row r="402" spans="1:12" x14ac:dyDescent="0.2">
      <c r="A402" s="75" t="s">
        <v>434</v>
      </c>
      <c r="B402" s="79">
        <v>46046</v>
      </c>
      <c r="C402" s="89">
        <v>138.6</v>
      </c>
      <c r="D402" s="75"/>
      <c r="E402" s="75"/>
      <c r="F402" s="75">
        <v>20606</v>
      </c>
      <c r="G402" s="76" t="str">
        <f>VLOOKUP(Tabelle2[[#This Row],[Kunden Nr.]],KUNDEN!A:B,2,0)</f>
        <v>TE-SYLA</v>
      </c>
      <c r="H402" s="75">
        <v>35109</v>
      </c>
      <c r="I402" s="76" t="str">
        <f>VLOOKUP(Tabelle2[[#This Row],[Artikel]],Produkte!A:B,2,0)</f>
        <v>M-ONE Sanitar Silikon</v>
      </c>
      <c r="J402" s="75">
        <v>12</v>
      </c>
      <c r="K402" s="76" t="str">
        <f>VLOOKUP(Tabelle2[[#This Row],[Kunden Nr.]],KUNDEN!A:G,7)</f>
        <v>Mensuri</v>
      </c>
      <c r="L402" s="76">
        <f>VLOOKUP(Tabelle2[[#This Row],[Artikel]],Produkte!A:H,8)</f>
        <v>0.17</v>
      </c>
    </row>
    <row r="403" spans="1:12" x14ac:dyDescent="0.2">
      <c r="A403" s="75" t="s">
        <v>434</v>
      </c>
      <c r="B403" s="79">
        <v>46046</v>
      </c>
      <c r="C403" s="75"/>
      <c r="D403" s="75"/>
      <c r="E403" s="75"/>
      <c r="F403" s="75">
        <v>20606</v>
      </c>
      <c r="G403" s="76" t="str">
        <f>VLOOKUP(Tabelle2[[#This Row],[Kunden Nr.]],KUNDEN!A:B,2,0)</f>
        <v>TE-SYLA</v>
      </c>
      <c r="H403" s="75">
        <v>35111</v>
      </c>
      <c r="I403" s="76" t="str">
        <f>VLOOKUP(Tabelle2[[#This Row],[Artikel]],Produkte!A:B,2,0)</f>
        <v>M-ONE Sanitar Silikon</v>
      </c>
      <c r="J403" s="75">
        <v>12</v>
      </c>
      <c r="K403" s="76" t="str">
        <f>VLOOKUP(Tabelle2[[#This Row],[Kunden Nr.]],KUNDEN!A:G,7)</f>
        <v>Mensuri</v>
      </c>
      <c r="L403" s="76">
        <f>VLOOKUP(Tabelle2[[#This Row],[Artikel]],Produkte!A:H,8)</f>
        <v>0.17</v>
      </c>
    </row>
    <row r="404" spans="1:12" x14ac:dyDescent="0.2">
      <c r="A404" s="75" t="s">
        <v>434</v>
      </c>
      <c r="B404" s="79">
        <v>46046</v>
      </c>
      <c r="C404" s="75"/>
      <c r="D404" s="75"/>
      <c r="E404" s="75"/>
      <c r="F404" s="75">
        <v>20606</v>
      </c>
      <c r="G404" s="76" t="str">
        <f>VLOOKUP(Tabelle2[[#This Row],[Kunden Nr.]],KUNDEN!A:B,2,0)</f>
        <v>TE-SYLA</v>
      </c>
      <c r="H404" s="75">
        <v>35112</v>
      </c>
      <c r="I404" s="76" t="str">
        <f>VLOOKUP(Tabelle2[[#This Row],[Artikel]],Produkte!A:B,2,0)</f>
        <v>M-ONE Sanitar Silikon</v>
      </c>
      <c r="J404" s="75">
        <v>12</v>
      </c>
      <c r="K404" s="76" t="str">
        <f>VLOOKUP(Tabelle2[[#This Row],[Kunden Nr.]],KUNDEN!A:G,7)</f>
        <v>Mensuri</v>
      </c>
      <c r="L404" s="76">
        <f>VLOOKUP(Tabelle2[[#This Row],[Artikel]],Produkte!A:H,8)</f>
        <v>0.17</v>
      </c>
    </row>
    <row r="405" spans="1:12" x14ac:dyDescent="0.2">
      <c r="A405" s="75" t="s">
        <v>676</v>
      </c>
      <c r="B405" s="79">
        <v>46046</v>
      </c>
      <c r="C405" s="89">
        <v>107.4</v>
      </c>
      <c r="D405" s="75"/>
      <c r="E405" s="75"/>
      <c r="F405" s="75">
        <v>20607</v>
      </c>
      <c r="G405" s="76" t="str">
        <f>VLOOKUP(Tabelle2[[#This Row],[Kunden Nr.]],KUNDEN!A:B,2,0)</f>
        <v xml:space="preserve">F.V. SH.P.K. </v>
      </c>
      <c r="H405" s="75">
        <v>35115</v>
      </c>
      <c r="I405" s="76" t="str">
        <f>VLOOKUP(Tabelle2[[#This Row],[Artikel]],Produkte!A:B,2,0)</f>
        <v>M-ONE Sanitar Silikon</v>
      </c>
      <c r="J405" s="75">
        <v>12</v>
      </c>
      <c r="K405" s="76" t="str">
        <f>VLOOKUP(Tabelle2[[#This Row],[Kunden Nr.]],KUNDEN!A:G,7)</f>
        <v>Mensuri</v>
      </c>
      <c r="L405" s="76">
        <f>VLOOKUP(Tabelle2[[#This Row],[Artikel]],Produkte!A:H,8)</f>
        <v>0.17</v>
      </c>
    </row>
    <row r="406" spans="1:12" x14ac:dyDescent="0.2">
      <c r="A406" s="75" t="s">
        <v>676</v>
      </c>
      <c r="B406" s="79">
        <v>46046</v>
      </c>
      <c r="C406" s="75"/>
      <c r="D406" s="75"/>
      <c r="E406" s="75"/>
      <c r="F406" s="75">
        <v>20607</v>
      </c>
      <c r="G406" s="76" t="str">
        <f>VLOOKUP(Tabelle2[[#This Row],[Kunden Nr.]],KUNDEN!A:B,2,0)</f>
        <v xml:space="preserve">F.V. SH.P.K. </v>
      </c>
      <c r="H406" s="75">
        <v>35112</v>
      </c>
      <c r="I406" s="76" t="str">
        <f>VLOOKUP(Tabelle2[[#This Row],[Artikel]],Produkte!A:B,2,0)</f>
        <v>M-ONE Sanitar Silikon</v>
      </c>
      <c r="J406" s="75">
        <v>12</v>
      </c>
      <c r="K406" s="76" t="str">
        <f>VLOOKUP(Tabelle2[[#This Row],[Kunden Nr.]],KUNDEN!A:G,7)</f>
        <v>Mensuri</v>
      </c>
      <c r="L406" s="76">
        <f>VLOOKUP(Tabelle2[[#This Row],[Artikel]],Produkte!A:H,8)</f>
        <v>0.17</v>
      </c>
    </row>
    <row r="407" spans="1:12" x14ac:dyDescent="0.2">
      <c r="A407" s="75" t="s">
        <v>676</v>
      </c>
      <c r="B407" s="79">
        <v>46046</v>
      </c>
      <c r="C407" s="75"/>
      <c r="D407" s="75"/>
      <c r="E407" s="75"/>
      <c r="F407" s="75">
        <v>20607</v>
      </c>
      <c r="G407" s="76" t="str">
        <f>VLOOKUP(Tabelle2[[#This Row],[Kunden Nr.]],KUNDEN!A:B,2,0)</f>
        <v xml:space="preserve">F.V. SH.P.K. </v>
      </c>
      <c r="H407" s="75">
        <v>51611</v>
      </c>
      <c r="I407" s="76" t="str">
        <f>VLOOKUP(Tabelle2[[#This Row],[Artikel]],Produkte!A:B,2,0)</f>
        <v>universal akryl</v>
      </c>
      <c r="J407" s="75">
        <v>12</v>
      </c>
      <c r="K407" s="76" t="str">
        <f>VLOOKUP(Tabelle2[[#This Row],[Kunden Nr.]],KUNDEN!A:G,7)</f>
        <v>Mensuri</v>
      </c>
      <c r="L407" s="76">
        <f>VLOOKUP(Tabelle2[[#This Row],[Artikel]],Produkte!A:H,8)</f>
        <v>0.06</v>
      </c>
    </row>
    <row r="408" spans="1:12" x14ac:dyDescent="0.2">
      <c r="A408" s="75" t="s">
        <v>1263</v>
      </c>
      <c r="B408" s="79">
        <v>46046</v>
      </c>
      <c r="C408" s="89">
        <v>92.4</v>
      </c>
      <c r="D408" s="75"/>
      <c r="E408" s="75"/>
      <c r="F408" s="75">
        <v>20609</v>
      </c>
      <c r="G408" s="76" t="str">
        <f>VLOOKUP(Tabelle2[[#This Row],[Kunden Nr.]],KUNDEN!A:B,2,0)</f>
        <v>BUJARI Q - BESII</v>
      </c>
      <c r="H408" s="75">
        <v>35109</v>
      </c>
      <c r="I408" s="76" t="str">
        <f>VLOOKUP(Tabelle2[[#This Row],[Artikel]],Produkte!A:B,2,0)</f>
        <v>M-ONE Sanitar Silikon</v>
      </c>
      <c r="J408" s="75">
        <v>24</v>
      </c>
      <c r="K408" s="76" t="str">
        <f>VLOOKUP(Tabelle2[[#This Row],[Kunden Nr.]],KUNDEN!A:G,7)</f>
        <v>Mensuri</v>
      </c>
      <c r="L408" s="76">
        <f>VLOOKUP(Tabelle2[[#This Row],[Artikel]],Produkte!A:H,8)</f>
        <v>0.17</v>
      </c>
    </row>
    <row r="409" spans="1:12" x14ac:dyDescent="0.2">
      <c r="A409" s="75" t="s">
        <v>438</v>
      </c>
      <c r="B409" s="79">
        <v>46046</v>
      </c>
      <c r="C409" s="89">
        <v>199.8</v>
      </c>
      <c r="D409" s="75"/>
      <c r="E409" s="75"/>
      <c r="F409" s="75">
        <v>20610</v>
      </c>
      <c r="G409" s="76" t="str">
        <f>VLOOKUP(Tabelle2[[#This Row],[Kunden Nr.]],KUNDEN!A:B,2,0)</f>
        <v>AGRO-XHETI</v>
      </c>
      <c r="H409" s="75">
        <v>35125</v>
      </c>
      <c r="I409" s="76" t="str">
        <f>VLOOKUP(Tabelle2[[#This Row],[Artikel]],Produkte!A:B,2,0)</f>
        <v>M-ONE Sanitar Silikon</v>
      </c>
      <c r="J409" s="75">
        <v>24</v>
      </c>
      <c r="K409" s="76" t="str">
        <f>VLOOKUP(Tabelle2[[#This Row],[Kunden Nr.]],KUNDEN!A:G,7)</f>
        <v>Mensuri</v>
      </c>
      <c r="L409" s="76">
        <f>VLOOKUP(Tabelle2[[#This Row],[Artikel]],Produkte!A:H,8)</f>
        <v>0.17</v>
      </c>
    </row>
    <row r="410" spans="1:12" x14ac:dyDescent="0.2">
      <c r="A410" s="75" t="s">
        <v>438</v>
      </c>
      <c r="B410" s="79">
        <v>46046</v>
      </c>
      <c r="C410" s="75"/>
      <c r="D410" s="75"/>
      <c r="E410" s="75"/>
      <c r="F410" s="75">
        <v>20610</v>
      </c>
      <c r="G410" s="76" t="str">
        <f>VLOOKUP(Tabelle2[[#This Row],[Kunden Nr.]],KUNDEN!A:B,2,0)</f>
        <v>AGRO-XHETI</v>
      </c>
      <c r="H410" s="75">
        <v>35128</v>
      </c>
      <c r="I410" s="76" t="str">
        <f>VLOOKUP(Tabelle2[[#This Row],[Artikel]],Produkte!A:B,2,0)</f>
        <v>M-ONE Sanitar Silikon</v>
      </c>
      <c r="J410" s="75">
        <v>24</v>
      </c>
      <c r="K410" s="76" t="str">
        <f>VLOOKUP(Tabelle2[[#This Row],[Kunden Nr.]],KUNDEN!A:G,7)</f>
        <v>Mensuri</v>
      </c>
      <c r="L410" s="76">
        <f>VLOOKUP(Tabelle2[[#This Row],[Artikel]],Produkte!A:H,8)</f>
        <v>0.17</v>
      </c>
    </row>
    <row r="411" spans="1:12" x14ac:dyDescent="0.2">
      <c r="A411" s="75" t="s">
        <v>438</v>
      </c>
      <c r="B411" s="79">
        <v>46046</v>
      </c>
      <c r="C411" s="75"/>
      <c r="D411" s="75"/>
      <c r="E411" s="75"/>
      <c r="F411" s="75">
        <v>20610</v>
      </c>
      <c r="G411" s="76" t="str">
        <f>VLOOKUP(Tabelle2[[#This Row],[Kunden Nr.]],KUNDEN!A:B,2,0)</f>
        <v>AGRO-XHETI</v>
      </c>
      <c r="H411" s="75">
        <v>51611</v>
      </c>
      <c r="I411" s="76" t="str">
        <f>VLOOKUP(Tabelle2[[#This Row],[Artikel]],Produkte!A:B,2,0)</f>
        <v>universal akryl</v>
      </c>
      <c r="J411" s="75">
        <v>12</v>
      </c>
      <c r="K411" s="76" t="str">
        <f>VLOOKUP(Tabelle2[[#This Row],[Kunden Nr.]],KUNDEN!A:G,7)</f>
        <v>Mensuri</v>
      </c>
      <c r="L411" s="76">
        <f>VLOOKUP(Tabelle2[[#This Row],[Artikel]],Produkte!A:H,8)</f>
        <v>0.06</v>
      </c>
    </row>
    <row r="412" spans="1:12" x14ac:dyDescent="0.2">
      <c r="A412" s="75" t="s">
        <v>967</v>
      </c>
      <c r="B412" s="79">
        <v>46046</v>
      </c>
      <c r="C412" s="89">
        <v>138.6</v>
      </c>
      <c r="D412" s="75"/>
      <c r="E412" s="75"/>
      <c r="F412" s="75">
        <v>20603</v>
      </c>
      <c r="G412" s="76" t="str">
        <f>VLOOKUP(Tabelle2[[#This Row],[Kunden Nr.]],KUNDEN!A:B,2,0)</f>
        <v>PROMOIN</v>
      </c>
      <c r="H412" s="75">
        <v>35110</v>
      </c>
      <c r="I412" s="76" t="str">
        <f>VLOOKUP(Tabelle2[[#This Row],[Artikel]],Produkte!A:B,2,0)</f>
        <v>M-ONE Sanitar Silikon</v>
      </c>
      <c r="J412" s="75">
        <v>24</v>
      </c>
      <c r="K412" s="76" t="str">
        <f>VLOOKUP(Tabelle2[[#This Row],[Kunden Nr.]],KUNDEN!A:G,7)</f>
        <v>Mensuri</v>
      </c>
      <c r="L412" s="76">
        <f>VLOOKUP(Tabelle2[[#This Row],[Artikel]],Produkte!A:H,8)</f>
        <v>0.17</v>
      </c>
    </row>
    <row r="413" spans="1:12" x14ac:dyDescent="0.2">
      <c r="A413" s="75" t="s">
        <v>967</v>
      </c>
      <c r="B413" s="79">
        <v>46046</v>
      </c>
      <c r="C413" s="75"/>
      <c r="D413" s="75"/>
      <c r="E413" s="75"/>
      <c r="F413" s="75">
        <v>20603</v>
      </c>
      <c r="G413" s="76" t="str">
        <f>VLOOKUP(Tabelle2[[#This Row],[Kunden Nr.]],KUNDEN!A:B,2,0)</f>
        <v>PROMOIN</v>
      </c>
      <c r="H413" s="75">
        <v>35121</v>
      </c>
      <c r="I413" s="76" t="str">
        <f>VLOOKUP(Tabelle2[[#This Row],[Artikel]],Produkte!A:B,2,0)</f>
        <v>M-ONE Sanitar Silikon</v>
      </c>
      <c r="J413" s="75">
        <v>12</v>
      </c>
      <c r="K413" s="76" t="str">
        <f>VLOOKUP(Tabelle2[[#This Row],[Kunden Nr.]],KUNDEN!A:G,7)</f>
        <v>Mensuri</v>
      </c>
      <c r="L413" s="76">
        <f>VLOOKUP(Tabelle2[[#This Row],[Artikel]],Produkte!A:H,8)</f>
        <v>0.17</v>
      </c>
    </row>
    <row r="414" spans="1:12" x14ac:dyDescent="0.2">
      <c r="A414" s="75" t="s">
        <v>566</v>
      </c>
      <c r="B414" s="79">
        <v>46048</v>
      </c>
      <c r="C414" s="89">
        <v>46.2</v>
      </c>
      <c r="D414" s="75"/>
      <c r="E414" s="75"/>
      <c r="F414" s="75">
        <v>10104</v>
      </c>
      <c r="G414" s="76" t="str">
        <f>VLOOKUP(Tabelle2[[#This Row],[Kunden Nr.]],KUNDEN!A:B,2,0)</f>
        <v>JETARI</v>
      </c>
      <c r="H414" s="75">
        <v>35121</v>
      </c>
      <c r="I414" s="76" t="str">
        <f>VLOOKUP(Tabelle2[[#This Row],[Artikel]],Produkte!A:B,2,0)</f>
        <v>M-ONE Sanitar Silikon</v>
      </c>
      <c r="J414" s="75">
        <v>12</v>
      </c>
      <c r="K414" s="76" t="str">
        <f>VLOOKUP(Tabelle2[[#This Row],[Kunden Nr.]],KUNDEN!A:G,7)</f>
        <v>Qerimi</v>
      </c>
      <c r="L414" s="76">
        <f>VLOOKUP(Tabelle2[[#This Row],[Artikel]],Produkte!A:H,8)</f>
        <v>0.17</v>
      </c>
    </row>
    <row r="415" spans="1:12" x14ac:dyDescent="0.2">
      <c r="A415" s="75" t="s">
        <v>573</v>
      </c>
      <c r="B415" s="79">
        <v>46048</v>
      </c>
      <c r="C415" s="89">
        <v>167.6</v>
      </c>
      <c r="D415" s="75"/>
      <c r="E415" s="75"/>
      <c r="F415" s="75">
        <v>10111</v>
      </c>
      <c r="G415" s="76" t="str">
        <f>VLOOKUP(Tabelle2[[#This Row],[Kunden Nr.]],KUNDEN!A:B,2,0)</f>
        <v>KADIJOLLET</v>
      </c>
      <c r="H415" s="75">
        <v>35114</v>
      </c>
      <c r="I415" s="76" t="str">
        <f>VLOOKUP(Tabelle2[[#This Row],[Artikel]],Produkte!A:B,2,0)</f>
        <v>M-ONE Sanitar Silikon</v>
      </c>
      <c r="J415" s="75">
        <v>12</v>
      </c>
      <c r="K415" s="76" t="str">
        <f>VLOOKUP(Tabelle2[[#This Row],[Kunden Nr.]],KUNDEN!A:G,7)</f>
        <v>Qerimi</v>
      </c>
      <c r="L415" s="76">
        <f>VLOOKUP(Tabelle2[[#This Row],[Artikel]],Produkte!A:H,8)</f>
        <v>0.17</v>
      </c>
    </row>
    <row r="416" spans="1:12" x14ac:dyDescent="0.2">
      <c r="A416" s="75" t="s">
        <v>573</v>
      </c>
      <c r="B416" s="79">
        <v>46048</v>
      </c>
      <c r="C416" s="75"/>
      <c r="D416" s="75"/>
      <c r="E416" s="75"/>
      <c r="F416" s="75">
        <v>10111</v>
      </c>
      <c r="G416" s="76" t="str">
        <f>VLOOKUP(Tabelle2[[#This Row],[Kunden Nr.]],KUNDEN!A:B,2,0)</f>
        <v>KADIJOLLET</v>
      </c>
      <c r="H416" s="75">
        <v>35113</v>
      </c>
      <c r="I416" s="76" t="str">
        <f>VLOOKUP(Tabelle2[[#This Row],[Artikel]],Produkte!A:B,2,0)</f>
        <v>M-ONE Sanitar Silikon</v>
      </c>
      <c r="J416" s="75">
        <v>12</v>
      </c>
      <c r="K416" s="76" t="str">
        <f>VLOOKUP(Tabelle2[[#This Row],[Kunden Nr.]],KUNDEN!A:G,7)</f>
        <v>Qerimi</v>
      </c>
      <c r="L416" s="76">
        <f>VLOOKUP(Tabelle2[[#This Row],[Artikel]],Produkte!A:H,8)</f>
        <v>0.17</v>
      </c>
    </row>
    <row r="417" spans="1:12" x14ac:dyDescent="0.2">
      <c r="A417" s="75" t="s">
        <v>573</v>
      </c>
      <c r="B417" s="79">
        <v>46048</v>
      </c>
      <c r="C417" s="75"/>
      <c r="D417" s="75"/>
      <c r="E417" s="75"/>
      <c r="F417" s="75">
        <v>10111</v>
      </c>
      <c r="G417" s="76" t="str">
        <f>VLOOKUP(Tabelle2[[#This Row],[Kunden Nr.]],KUNDEN!A:B,2,0)</f>
        <v>KADIJOLLET</v>
      </c>
      <c r="H417" s="75">
        <v>51612</v>
      </c>
      <c r="I417" s="76" t="str">
        <f>VLOOKUP(Tabelle2[[#This Row],[Artikel]],Produkte!A:B,2,0)</f>
        <v>struktural akryl</v>
      </c>
      <c r="J417" s="75">
        <v>24</v>
      </c>
      <c r="K417" s="76" t="str">
        <f>VLOOKUP(Tabelle2[[#This Row],[Kunden Nr.]],KUNDEN!A:G,7)</f>
        <v>Qerimi</v>
      </c>
      <c r="L417" s="76">
        <f>VLOOKUP(Tabelle2[[#This Row],[Artikel]],Produkte!A:H,8)</f>
        <v>0.06</v>
      </c>
    </row>
    <row r="418" spans="1:12" x14ac:dyDescent="0.2">
      <c r="A418" s="75" t="s">
        <v>573</v>
      </c>
      <c r="B418" s="79">
        <v>46048</v>
      </c>
      <c r="C418" s="75"/>
      <c r="D418" s="75"/>
      <c r="E418" s="75"/>
      <c r="F418" s="75">
        <v>10111</v>
      </c>
      <c r="G418" s="76" t="str">
        <f>VLOOKUP(Tabelle2[[#This Row],[Kunden Nr.]],KUNDEN!A:B,2,0)</f>
        <v>KADIJOLLET</v>
      </c>
      <c r="H418" s="75">
        <v>49644</v>
      </c>
      <c r="I418" s="76" t="str">
        <f>VLOOKUP(Tabelle2[[#This Row],[Artikel]],Produkte!A:B,2,0)</f>
        <v>beMAKER Rostlöser</v>
      </c>
      <c r="J418" s="75">
        <v>5</v>
      </c>
      <c r="K418" s="76" t="str">
        <f>VLOOKUP(Tabelle2[[#This Row],[Kunden Nr.]],KUNDEN!A:G,7)</f>
        <v>Qerimi</v>
      </c>
      <c r="L418" s="76">
        <f>VLOOKUP(Tabelle2[[#This Row],[Artikel]],Produkte!A:H,8)</f>
        <v>0.2</v>
      </c>
    </row>
    <row r="419" spans="1:12" x14ac:dyDescent="0.2">
      <c r="A419" s="75" t="s">
        <v>573</v>
      </c>
      <c r="B419" s="79">
        <v>46048</v>
      </c>
      <c r="C419" s="75"/>
      <c r="D419" s="75"/>
      <c r="E419" s="75"/>
      <c r="F419" s="75">
        <v>10111</v>
      </c>
      <c r="G419" s="76" t="str">
        <f>VLOOKUP(Tabelle2[[#This Row],[Kunden Nr.]],KUNDEN!A:B,2,0)</f>
        <v>KADIJOLLET</v>
      </c>
      <c r="H419" s="75">
        <v>54412</v>
      </c>
      <c r="I419" s="76" t="str">
        <f>VLOOKUP(Tabelle2[[#This Row],[Artikel]],Produkte!A:B,2,0)</f>
        <v>beMAKER Bremsen&amp;Teile Reininger</v>
      </c>
      <c r="J419" s="75">
        <v>5</v>
      </c>
      <c r="K419" s="76" t="str">
        <f>VLOOKUP(Tabelle2[[#This Row],[Kunden Nr.]],KUNDEN!A:G,7)</f>
        <v>Qerimi</v>
      </c>
      <c r="L419" s="76">
        <f>VLOOKUP(Tabelle2[[#This Row],[Artikel]],Produkte!A:H,8)</f>
        <v>0.2</v>
      </c>
    </row>
    <row r="420" spans="1:12" x14ac:dyDescent="0.2">
      <c r="A420" s="75" t="s">
        <v>576</v>
      </c>
      <c r="B420" s="79">
        <v>46048</v>
      </c>
      <c r="C420" s="89">
        <v>50</v>
      </c>
      <c r="D420" s="75"/>
      <c r="E420" s="75"/>
      <c r="F420" s="75">
        <v>10114</v>
      </c>
      <c r="G420" s="76" t="str">
        <f>VLOOKUP(Tabelle2[[#This Row],[Kunden Nr.]],KUNDEN!A:B,2,0)</f>
        <v>QELA</v>
      </c>
      <c r="H420" s="75">
        <v>50912</v>
      </c>
      <c r="I420" s="76" t="str">
        <f>VLOOKUP(Tabelle2[[#This Row],[Artikel]],Produkte!A:B,2,0)</f>
        <v>DICHTUNG</v>
      </c>
      <c r="J420" s="75">
        <v>5</v>
      </c>
      <c r="K420" s="76" t="str">
        <f>VLOOKUP(Tabelle2[[#This Row],[Kunden Nr.]],KUNDEN!A:G,7)</f>
        <v>Qerimi</v>
      </c>
      <c r="L420" s="76">
        <f>VLOOKUP(Tabelle2[[#This Row],[Artikel]],Produkte!A:H,8)</f>
        <v>0.2</v>
      </c>
    </row>
    <row r="421" spans="1:12" x14ac:dyDescent="0.2">
      <c r="A421" s="75" t="s">
        <v>576</v>
      </c>
      <c r="B421" s="79">
        <v>46048</v>
      </c>
      <c r="C421" s="75"/>
      <c r="D421" s="75"/>
      <c r="E421" s="75"/>
      <c r="F421" s="75">
        <v>10114</v>
      </c>
      <c r="G421" s="76" t="str">
        <f>VLOOKUP(Tabelle2[[#This Row],[Kunden Nr.]],KUNDEN!A:B,2,0)</f>
        <v>QELA</v>
      </c>
      <c r="H421" s="75">
        <v>54412</v>
      </c>
      <c r="I421" s="76" t="str">
        <f>VLOOKUP(Tabelle2[[#This Row],[Artikel]],Produkte!A:B,2,0)</f>
        <v>beMAKER Bremsen&amp;Teile Reininger</v>
      </c>
      <c r="J421" s="75">
        <v>7</v>
      </c>
      <c r="K421" s="76" t="str">
        <f>VLOOKUP(Tabelle2[[#This Row],[Kunden Nr.]],KUNDEN!A:G,7)</f>
        <v>Qerimi</v>
      </c>
      <c r="L421" s="76">
        <f>VLOOKUP(Tabelle2[[#This Row],[Artikel]],Produkte!A:H,8)</f>
        <v>0.2</v>
      </c>
    </row>
    <row r="422" spans="1:12" x14ac:dyDescent="0.2">
      <c r="A422" s="75" t="s">
        <v>565</v>
      </c>
      <c r="B422" s="79">
        <v>46048</v>
      </c>
      <c r="C422" s="89">
        <v>120</v>
      </c>
      <c r="D422" s="75"/>
      <c r="E422" s="75"/>
      <c r="F422" s="75">
        <v>10103</v>
      </c>
      <c r="G422" s="76" t="str">
        <f>VLOOKUP(Tabelle2[[#This Row],[Kunden Nr.]],KUNDEN!A:B,2,0)</f>
        <v>BESI COM</v>
      </c>
      <c r="H422" s="75">
        <v>51612</v>
      </c>
      <c r="I422" s="76" t="str">
        <f>VLOOKUP(Tabelle2[[#This Row],[Artikel]],Produkte!A:B,2,0)</f>
        <v>struktural akryl</v>
      </c>
      <c r="J422" s="75">
        <v>12</v>
      </c>
      <c r="K422" s="76" t="str">
        <f>VLOOKUP(Tabelle2[[#This Row],[Kunden Nr.]],KUNDEN!A:G,7)</f>
        <v>Qerimi</v>
      </c>
      <c r="L422" s="76">
        <f>VLOOKUP(Tabelle2[[#This Row],[Artikel]],Produkte!A:H,8)</f>
        <v>0.06</v>
      </c>
    </row>
    <row r="423" spans="1:12" x14ac:dyDescent="0.2">
      <c r="A423" s="75" t="s">
        <v>565</v>
      </c>
      <c r="B423" s="79">
        <v>46048</v>
      </c>
      <c r="C423" s="75"/>
      <c r="D423" s="75"/>
      <c r="E423" s="75"/>
      <c r="F423" s="75">
        <v>10103</v>
      </c>
      <c r="G423" s="76" t="str">
        <f>VLOOKUP(Tabelle2[[#This Row],[Kunden Nr.]],KUNDEN!A:B,2,0)</f>
        <v>BESI COM</v>
      </c>
      <c r="H423" s="75">
        <v>35110</v>
      </c>
      <c r="I423" s="76" t="str">
        <f>VLOOKUP(Tabelle2[[#This Row],[Artikel]],Produkte!A:B,2,0)</f>
        <v>M-ONE Sanitar Silikon</v>
      </c>
      <c r="J423" s="75">
        <v>12</v>
      </c>
      <c r="K423" s="76" t="str">
        <f>VLOOKUP(Tabelle2[[#This Row],[Kunden Nr.]],KUNDEN!A:G,7)</f>
        <v>Qerimi</v>
      </c>
      <c r="L423" s="76">
        <f>VLOOKUP(Tabelle2[[#This Row],[Artikel]],Produkte!A:H,8)</f>
        <v>0.17</v>
      </c>
    </row>
    <row r="424" spans="1:12" x14ac:dyDescent="0.2">
      <c r="A424" s="75" t="s">
        <v>565</v>
      </c>
      <c r="B424" s="79">
        <v>46048</v>
      </c>
      <c r="C424" s="75"/>
      <c r="D424" s="75"/>
      <c r="E424" s="75"/>
      <c r="F424" s="75">
        <v>10103</v>
      </c>
      <c r="G424" s="76" t="str">
        <f>VLOOKUP(Tabelle2[[#This Row],[Kunden Nr.]],KUNDEN!A:B,2,0)</f>
        <v>BESI COM</v>
      </c>
      <c r="H424" s="75">
        <v>35111</v>
      </c>
      <c r="I424" s="76" t="str">
        <f>VLOOKUP(Tabelle2[[#This Row],[Artikel]],Produkte!A:B,2,0)</f>
        <v>M-ONE Sanitar Silikon</v>
      </c>
      <c r="J424" s="75">
        <v>12</v>
      </c>
      <c r="K424" s="76" t="str">
        <f>VLOOKUP(Tabelle2[[#This Row],[Kunden Nr.]],KUNDEN!A:G,7)</f>
        <v>Qerimi</v>
      </c>
      <c r="L424" s="76">
        <f>VLOOKUP(Tabelle2[[#This Row],[Artikel]],Produkte!A:H,8)</f>
        <v>0.17</v>
      </c>
    </row>
    <row r="425" spans="1:12" x14ac:dyDescent="0.2">
      <c r="A425" s="75" t="s">
        <v>474</v>
      </c>
      <c r="B425" s="79">
        <v>46048</v>
      </c>
      <c r="C425" s="89">
        <v>231</v>
      </c>
      <c r="D425" s="75"/>
      <c r="E425" s="75"/>
      <c r="F425" s="75">
        <v>20109</v>
      </c>
      <c r="G425" s="76" t="str">
        <f>VLOOKUP(Tabelle2[[#This Row],[Kunden Nr.]],KUNDEN!A:B,2,0)</f>
        <v>KENA COMERC</v>
      </c>
      <c r="H425" s="75">
        <v>35110</v>
      </c>
      <c r="I425" s="76" t="str">
        <f>VLOOKUP(Tabelle2[[#This Row],[Artikel]],Produkte!A:B,2,0)</f>
        <v>M-ONE Sanitar Silikon</v>
      </c>
      <c r="J425" s="75">
        <v>12</v>
      </c>
      <c r="K425" s="76" t="str">
        <f>VLOOKUP(Tabelle2[[#This Row],[Kunden Nr.]],KUNDEN!A:G,7)</f>
        <v>Mensuri</v>
      </c>
      <c r="L425" s="76">
        <f>VLOOKUP(Tabelle2[[#This Row],[Artikel]],Produkte!A:H,8)</f>
        <v>0.17</v>
      </c>
    </row>
    <row r="426" spans="1:12" x14ac:dyDescent="0.2">
      <c r="A426" s="75" t="s">
        <v>474</v>
      </c>
      <c r="B426" s="79">
        <v>46048</v>
      </c>
      <c r="C426" s="75"/>
      <c r="D426" s="75"/>
      <c r="E426" s="75"/>
      <c r="F426" s="75">
        <v>20109</v>
      </c>
      <c r="G426" s="76" t="str">
        <f>VLOOKUP(Tabelle2[[#This Row],[Kunden Nr.]],KUNDEN!A:B,2,0)</f>
        <v>KENA COMERC</v>
      </c>
      <c r="H426" s="75">
        <v>35111</v>
      </c>
      <c r="I426" s="76" t="str">
        <f>VLOOKUP(Tabelle2[[#This Row],[Artikel]],Produkte!A:B,2,0)</f>
        <v>M-ONE Sanitar Silikon</v>
      </c>
      <c r="J426" s="75">
        <v>12</v>
      </c>
      <c r="K426" s="76" t="str">
        <f>VLOOKUP(Tabelle2[[#This Row],[Kunden Nr.]],KUNDEN!A:G,7)</f>
        <v>Mensuri</v>
      </c>
      <c r="L426" s="76">
        <f>VLOOKUP(Tabelle2[[#This Row],[Artikel]],Produkte!A:H,8)</f>
        <v>0.17</v>
      </c>
    </row>
    <row r="427" spans="1:12" x14ac:dyDescent="0.2">
      <c r="A427" s="75" t="s">
        <v>474</v>
      </c>
      <c r="B427" s="79">
        <v>46048</v>
      </c>
      <c r="C427" s="75"/>
      <c r="D427" s="75"/>
      <c r="E427" s="75"/>
      <c r="F427" s="75">
        <v>20109</v>
      </c>
      <c r="G427" s="76" t="str">
        <f>VLOOKUP(Tabelle2[[#This Row],[Kunden Nr.]],KUNDEN!A:B,2,0)</f>
        <v>KENA COMERC</v>
      </c>
      <c r="H427" s="75">
        <v>35112</v>
      </c>
      <c r="I427" s="76" t="str">
        <f>VLOOKUP(Tabelle2[[#This Row],[Artikel]],Produkte!A:B,2,0)</f>
        <v>M-ONE Sanitar Silikon</v>
      </c>
      <c r="J427" s="75">
        <v>24</v>
      </c>
      <c r="K427" s="76" t="str">
        <f>VLOOKUP(Tabelle2[[#This Row],[Kunden Nr.]],KUNDEN!A:G,7)</f>
        <v>Mensuri</v>
      </c>
      <c r="L427" s="76">
        <f>VLOOKUP(Tabelle2[[#This Row],[Artikel]],Produkte!A:H,8)</f>
        <v>0.17</v>
      </c>
    </row>
    <row r="428" spans="1:12" x14ac:dyDescent="0.2">
      <c r="A428" s="75" t="s">
        <v>474</v>
      </c>
      <c r="B428" s="79">
        <v>46048</v>
      </c>
      <c r="C428" s="75"/>
      <c r="D428" s="75"/>
      <c r="E428" s="75"/>
      <c r="F428" s="75">
        <v>20109</v>
      </c>
      <c r="G428" s="76" t="str">
        <f>VLOOKUP(Tabelle2[[#This Row],[Kunden Nr.]],KUNDEN!A:B,2,0)</f>
        <v>KENA COMERC</v>
      </c>
      <c r="H428" s="75">
        <v>35125</v>
      </c>
      <c r="I428" s="76" t="str">
        <f>VLOOKUP(Tabelle2[[#This Row],[Artikel]],Produkte!A:B,2,0)</f>
        <v>M-ONE Sanitar Silikon</v>
      </c>
      <c r="J428" s="75">
        <v>12</v>
      </c>
      <c r="K428" s="76" t="str">
        <f>VLOOKUP(Tabelle2[[#This Row],[Kunden Nr.]],KUNDEN!A:G,7)</f>
        <v>Mensuri</v>
      </c>
      <c r="L428" s="76">
        <f>VLOOKUP(Tabelle2[[#This Row],[Artikel]],Produkte!A:H,8)</f>
        <v>0.17</v>
      </c>
    </row>
    <row r="429" spans="1:12" x14ac:dyDescent="0.2">
      <c r="A429" s="75" t="s">
        <v>1315</v>
      </c>
      <c r="B429" s="79">
        <v>46048</v>
      </c>
      <c r="C429" s="89">
        <v>46.2</v>
      </c>
      <c r="D429" s="75"/>
      <c r="E429" s="75"/>
      <c r="F429" s="75">
        <v>20130</v>
      </c>
      <c r="G429" s="76" t="str">
        <f>VLOOKUP(Tabelle2[[#This Row],[Kunden Nr.]],KUNDEN!A:B,2,0)</f>
        <v>ENESI</v>
      </c>
      <c r="H429" s="75">
        <v>35110</v>
      </c>
      <c r="I429" s="76" t="str">
        <f>VLOOKUP(Tabelle2[[#This Row],[Artikel]],Produkte!A:B,2,0)</f>
        <v>M-ONE Sanitar Silikon</v>
      </c>
      <c r="J429" s="75">
        <v>12</v>
      </c>
      <c r="K429" s="76" t="str">
        <f>VLOOKUP(Tabelle2[[#This Row],[Kunden Nr.]],KUNDEN!A:G,7)</f>
        <v>Mensuri</v>
      </c>
      <c r="L429" s="76">
        <f>VLOOKUP(Tabelle2[[#This Row],[Artikel]],Produkte!A:H,8)</f>
        <v>0.17</v>
      </c>
    </row>
    <row r="430" spans="1:12" x14ac:dyDescent="0.2">
      <c r="A430" s="75" t="s">
        <v>395</v>
      </c>
      <c r="B430" s="79">
        <v>46048</v>
      </c>
      <c r="C430" s="89">
        <v>46.2</v>
      </c>
      <c r="D430" s="75"/>
      <c r="E430" s="75"/>
      <c r="F430" s="75">
        <v>20122</v>
      </c>
      <c r="G430" s="76" t="str">
        <f>VLOOKUP(Tabelle2[[#This Row],[Kunden Nr.]],KUNDEN!A:B,2,0)</f>
        <v>GLOBI TERM</v>
      </c>
      <c r="H430" s="75">
        <v>35110</v>
      </c>
      <c r="I430" s="76" t="str">
        <f>VLOOKUP(Tabelle2[[#This Row],[Artikel]],Produkte!A:B,2,0)</f>
        <v>M-ONE Sanitar Silikon</v>
      </c>
      <c r="J430" s="75">
        <v>12</v>
      </c>
      <c r="K430" s="76" t="str">
        <f>VLOOKUP(Tabelle2[[#This Row],[Kunden Nr.]],KUNDEN!A:G,7)</f>
        <v>Mensuri</v>
      </c>
      <c r="L430" s="76">
        <f>VLOOKUP(Tabelle2[[#This Row],[Artikel]],Produkte!A:H,8)</f>
        <v>0.17</v>
      </c>
    </row>
    <row r="431" spans="1:12" x14ac:dyDescent="0.2">
      <c r="A431" s="75" t="s">
        <v>1180</v>
      </c>
      <c r="B431" s="79">
        <v>46048</v>
      </c>
      <c r="C431" s="89">
        <v>127.2</v>
      </c>
      <c r="D431" s="75"/>
      <c r="E431" s="75"/>
      <c r="F431" s="75">
        <v>20126</v>
      </c>
      <c r="G431" s="76" t="str">
        <f>VLOOKUP(Tabelle2[[#This Row],[Kunden Nr.]],KUNDEN!A:B,2,0)</f>
        <v>LULI-C</v>
      </c>
      <c r="H431" s="75">
        <v>35110</v>
      </c>
      <c r="I431" s="76" t="str">
        <f>VLOOKUP(Tabelle2[[#This Row],[Artikel]],Produkte!A:B,2,0)</f>
        <v>M-ONE Sanitar Silikon</v>
      </c>
      <c r="J431" s="75">
        <v>12</v>
      </c>
      <c r="K431" s="76" t="str">
        <f>VLOOKUP(Tabelle2[[#This Row],[Kunden Nr.]],KUNDEN!A:G,7)</f>
        <v>Mensuri</v>
      </c>
      <c r="L431" s="76">
        <f>VLOOKUP(Tabelle2[[#This Row],[Artikel]],Produkte!A:H,8)</f>
        <v>0.17</v>
      </c>
    </row>
    <row r="432" spans="1:12" x14ac:dyDescent="0.2">
      <c r="A432" s="75" t="s">
        <v>1180</v>
      </c>
      <c r="B432" s="79">
        <v>46048</v>
      </c>
      <c r="C432" s="75"/>
      <c r="D432" s="75"/>
      <c r="E432" s="75"/>
      <c r="F432" s="75">
        <v>20126</v>
      </c>
      <c r="G432" s="76" t="str">
        <f>VLOOKUP(Tabelle2[[#This Row],[Kunden Nr.]],KUNDEN!A:B,2,0)</f>
        <v>LULI-C</v>
      </c>
      <c r="H432" s="75">
        <v>35113</v>
      </c>
      <c r="I432" s="76" t="str">
        <f>VLOOKUP(Tabelle2[[#This Row],[Artikel]],Produkte!A:B,2,0)</f>
        <v>M-ONE Sanitar Silikon</v>
      </c>
      <c r="J432" s="75">
        <v>12</v>
      </c>
      <c r="K432" s="76" t="str">
        <f>VLOOKUP(Tabelle2[[#This Row],[Kunden Nr.]],KUNDEN!A:G,7)</f>
        <v>Mensuri</v>
      </c>
      <c r="L432" s="76">
        <f>VLOOKUP(Tabelle2[[#This Row],[Artikel]],Produkte!A:H,8)</f>
        <v>0.17</v>
      </c>
    </row>
    <row r="433" spans="1:12" x14ac:dyDescent="0.2">
      <c r="A433" s="75" t="s">
        <v>1180</v>
      </c>
      <c r="B433" s="79">
        <v>46048</v>
      </c>
      <c r="C433" s="75"/>
      <c r="D433" s="75"/>
      <c r="E433" s="75"/>
      <c r="F433" s="75">
        <v>20126</v>
      </c>
      <c r="G433" s="76" t="str">
        <f>VLOOKUP(Tabelle2[[#This Row],[Kunden Nr.]],KUNDEN!A:B,2,0)</f>
        <v>LULI-C</v>
      </c>
      <c r="H433" s="75">
        <v>66701</v>
      </c>
      <c r="I433" s="76" t="str">
        <f>VLOOKUP(Tabelle2[[#This Row],[Artikel]],Produkte!A:B,2,0)</f>
        <v>PROFIMONT EXTREME</v>
      </c>
      <c r="J433" s="75">
        <v>6</v>
      </c>
      <c r="K433" s="76" t="str">
        <f>VLOOKUP(Tabelle2[[#This Row],[Kunden Nr.]],KUNDEN!A:G,7)</f>
        <v>Mensuri</v>
      </c>
      <c r="L433" s="76">
        <f>VLOOKUP(Tabelle2[[#This Row],[Artikel]],Produkte!A:H,8)</f>
        <v>0.2</v>
      </c>
    </row>
    <row r="434" spans="1:12" x14ac:dyDescent="0.2">
      <c r="A434" s="75" t="s">
        <v>468</v>
      </c>
      <c r="B434" s="79">
        <v>46048</v>
      </c>
      <c r="C434" s="89">
        <v>44</v>
      </c>
      <c r="D434" s="75"/>
      <c r="E434" s="75"/>
      <c r="F434" s="75">
        <v>20101</v>
      </c>
      <c r="G434" s="76" t="str">
        <f>VLOOKUP(Tabelle2[[#This Row],[Kunden Nr.]],KUNDEN!A:B,2,0)</f>
        <v>TE GZIMI</v>
      </c>
      <c r="H434" s="75">
        <v>50912</v>
      </c>
      <c r="I434" s="76" t="str">
        <f>VLOOKUP(Tabelle2[[#This Row],[Artikel]],Produkte!A:B,2,0)</f>
        <v>DICHTUNG</v>
      </c>
      <c r="J434" s="75">
        <v>4</v>
      </c>
      <c r="K434" s="76" t="str">
        <f>VLOOKUP(Tabelle2[[#This Row],[Kunden Nr.]],KUNDEN!A:G,7)</f>
        <v>Mensuri</v>
      </c>
      <c r="L434" s="76">
        <f>VLOOKUP(Tabelle2[[#This Row],[Artikel]],Produkte!A:H,8)</f>
        <v>0.2</v>
      </c>
    </row>
    <row r="435" spans="1:12" x14ac:dyDescent="0.2">
      <c r="A435" s="75" t="s">
        <v>468</v>
      </c>
      <c r="B435" s="79">
        <v>46048</v>
      </c>
      <c r="C435" s="75"/>
      <c r="D435" s="75"/>
      <c r="E435" s="75"/>
      <c r="F435" s="75">
        <v>20101</v>
      </c>
      <c r="G435" s="76" t="str">
        <f>VLOOKUP(Tabelle2[[#This Row],[Kunden Nr.]],KUNDEN!A:B,2,0)</f>
        <v>TE GZIMI</v>
      </c>
      <c r="H435" s="75">
        <v>49644</v>
      </c>
      <c r="I435" s="76" t="str">
        <f>VLOOKUP(Tabelle2[[#This Row],[Artikel]],Produkte!A:B,2,0)</f>
        <v>beMAKER Rostlöser</v>
      </c>
      <c r="J435" s="75">
        <v>3</v>
      </c>
      <c r="K435" s="76" t="str">
        <f>VLOOKUP(Tabelle2[[#This Row],[Kunden Nr.]],KUNDEN!A:G,7)</f>
        <v>Mensuri</v>
      </c>
      <c r="L435" s="76">
        <f>VLOOKUP(Tabelle2[[#This Row],[Artikel]],Produkte!A:H,8)</f>
        <v>0.2</v>
      </c>
    </row>
    <row r="436" spans="1:12" x14ac:dyDescent="0.2">
      <c r="A436" s="75" t="s">
        <v>468</v>
      </c>
      <c r="B436" s="79">
        <v>46048</v>
      </c>
      <c r="C436" s="75"/>
      <c r="D436" s="75"/>
      <c r="E436" s="75"/>
      <c r="F436" s="75">
        <v>20101</v>
      </c>
      <c r="G436" s="76" t="str">
        <f>VLOOKUP(Tabelle2[[#This Row],[Kunden Nr.]],KUNDEN!A:B,2,0)</f>
        <v>TE GZIMI</v>
      </c>
      <c r="H436" s="75">
        <v>54412</v>
      </c>
      <c r="I436" s="76" t="str">
        <f>VLOOKUP(Tabelle2[[#This Row],[Artikel]],Produkte!A:B,2,0)</f>
        <v>beMAKER Bremsen&amp;Teile Reininger</v>
      </c>
      <c r="J436" s="75">
        <v>3</v>
      </c>
      <c r="K436" s="76" t="str">
        <f>VLOOKUP(Tabelle2[[#This Row],[Kunden Nr.]],KUNDEN!A:G,7)</f>
        <v>Mensuri</v>
      </c>
      <c r="L436" s="76">
        <f>VLOOKUP(Tabelle2[[#This Row],[Artikel]],Produkte!A:H,8)</f>
        <v>0.2</v>
      </c>
    </row>
    <row r="437" spans="1:12" x14ac:dyDescent="0.2">
      <c r="A437" s="75" t="s">
        <v>469</v>
      </c>
      <c r="B437" s="79">
        <v>46048</v>
      </c>
      <c r="C437" s="89">
        <v>30</v>
      </c>
      <c r="D437" s="75"/>
      <c r="E437" s="75"/>
      <c r="F437" s="75">
        <v>20102</v>
      </c>
      <c r="G437" s="76" t="str">
        <f>VLOOKUP(Tabelle2[[#This Row],[Kunden Nr.]],KUNDEN!A:B,2,0)</f>
        <v>KUQI-LKW</v>
      </c>
      <c r="H437" s="75">
        <v>49644</v>
      </c>
      <c r="I437" s="76" t="str">
        <f>VLOOKUP(Tabelle2[[#This Row],[Artikel]],Produkte!A:B,2,0)</f>
        <v>beMAKER Rostlöser</v>
      </c>
      <c r="J437" s="75">
        <v>8</v>
      </c>
      <c r="K437" s="76" t="str">
        <f>VLOOKUP(Tabelle2[[#This Row],[Kunden Nr.]],KUNDEN!A:G,7)</f>
        <v>Mensuri</v>
      </c>
      <c r="L437" s="76">
        <f>VLOOKUP(Tabelle2[[#This Row],[Artikel]],Produkte!A:H,8)</f>
        <v>0.2</v>
      </c>
    </row>
    <row r="438" spans="1:12" x14ac:dyDescent="0.2">
      <c r="A438" s="75" t="s">
        <v>469</v>
      </c>
      <c r="B438" s="79">
        <v>46048</v>
      </c>
      <c r="C438" s="75"/>
      <c r="D438" s="75"/>
      <c r="E438" s="75"/>
      <c r="F438" s="75">
        <v>20102</v>
      </c>
      <c r="G438" s="76" t="str">
        <f>VLOOKUP(Tabelle2[[#This Row],[Kunden Nr.]],KUNDEN!A:B,2,0)</f>
        <v>KUQI-LKW</v>
      </c>
      <c r="H438" s="75">
        <v>55718</v>
      </c>
      <c r="I438" s="76" t="str">
        <f>VLOOKUP(Tabelle2[[#This Row],[Artikel]],Produkte!A:B,2,0)</f>
        <v>M ONE MOTORSTART</v>
      </c>
      <c r="J438" s="75">
        <v>4</v>
      </c>
      <c r="K438" s="76" t="str">
        <f>VLOOKUP(Tabelle2[[#This Row],[Kunden Nr.]],KUNDEN!A:G,7)</f>
        <v>Mensuri</v>
      </c>
      <c r="L438" s="76">
        <f>VLOOKUP(Tabelle2[[#This Row],[Artikel]],Produkte!A:H,8)</f>
        <v>0.2</v>
      </c>
    </row>
    <row r="439" spans="1:12" x14ac:dyDescent="0.2">
      <c r="A439" s="75" t="s">
        <v>471</v>
      </c>
      <c r="B439" s="79">
        <v>46048</v>
      </c>
      <c r="C439" s="89">
        <v>92.4</v>
      </c>
      <c r="D439" s="75"/>
      <c r="E439" s="75"/>
      <c r="F439" s="75">
        <v>20104</v>
      </c>
      <c r="G439" s="76" t="str">
        <f>VLOOKUP(Tabelle2[[#This Row],[Kunden Nr.]],KUNDEN!A:B,2,0)</f>
        <v>KTHIMI</v>
      </c>
      <c r="H439" s="75">
        <v>35110</v>
      </c>
      <c r="I439" s="76" t="str">
        <f>VLOOKUP(Tabelle2[[#This Row],[Artikel]],Produkte!A:B,2,0)</f>
        <v>M-ONE Sanitar Silikon</v>
      </c>
      <c r="J439" s="75">
        <v>24</v>
      </c>
      <c r="K439" s="76" t="str">
        <f>VLOOKUP(Tabelle2[[#This Row],[Kunden Nr.]],KUNDEN!A:G,7)</f>
        <v>Mensuri</v>
      </c>
      <c r="L439" s="76">
        <f>VLOOKUP(Tabelle2[[#This Row],[Artikel]],Produkte!A:H,8)</f>
        <v>0.17</v>
      </c>
    </row>
    <row r="440" spans="1:12" x14ac:dyDescent="0.2">
      <c r="A440" s="75" t="s">
        <v>520</v>
      </c>
      <c r="B440" s="79">
        <v>46049</v>
      </c>
      <c r="C440" s="89">
        <v>27.6</v>
      </c>
      <c r="D440" s="75"/>
      <c r="E440" s="75"/>
      <c r="F440" s="75">
        <v>10210</v>
      </c>
      <c r="G440" s="76" t="str">
        <f>VLOOKUP(Tabelle2[[#This Row],[Kunden Nr.]],KUNDEN!A:B,2,0)</f>
        <v>MONI 2</v>
      </c>
      <c r="H440" s="75">
        <v>51612</v>
      </c>
      <c r="I440" s="76" t="str">
        <f>VLOOKUP(Tabelle2[[#This Row],[Artikel]],Produkte!A:B,2,0)</f>
        <v>struktural akryl</v>
      </c>
      <c r="J440" s="75">
        <v>12</v>
      </c>
      <c r="K440" s="76" t="str">
        <f>VLOOKUP(Tabelle2[[#This Row],[Kunden Nr.]],KUNDEN!A:G,7)</f>
        <v>Qerimi</v>
      </c>
      <c r="L440" s="76">
        <f>VLOOKUP(Tabelle2[[#This Row],[Artikel]],Produkte!A:H,8)</f>
        <v>0.06</v>
      </c>
    </row>
    <row r="441" spans="1:12" x14ac:dyDescent="0.2">
      <c r="A441" s="75" t="s">
        <v>520</v>
      </c>
      <c r="B441" s="79">
        <v>46049</v>
      </c>
      <c r="C441" s="75"/>
      <c r="D441" s="75"/>
      <c r="E441" s="75"/>
      <c r="F441" s="75">
        <v>10210</v>
      </c>
      <c r="G441" s="76" t="str">
        <f>VLOOKUP(Tabelle2[[#This Row],[Kunden Nr.]],KUNDEN!A:B,2,0)</f>
        <v>MONI 2</v>
      </c>
      <c r="H441" s="75">
        <v>35108</v>
      </c>
      <c r="I441" s="76" t="str">
        <f>VLOOKUP(Tabelle2[[#This Row],[Artikel]],Produkte!A:B,2,0)</f>
        <v>M-ONE Sanitar Silikon</v>
      </c>
      <c r="J441" s="75">
        <v>36</v>
      </c>
      <c r="K441" s="76" t="str">
        <f>VLOOKUP(Tabelle2[[#This Row],[Kunden Nr.]],KUNDEN!A:G,7)</f>
        <v>Qerimi</v>
      </c>
      <c r="L441" s="76">
        <f>VLOOKUP(Tabelle2[[#This Row],[Artikel]],Produkte!A:H,8)</f>
        <v>0.17</v>
      </c>
    </row>
    <row r="442" spans="1:12" x14ac:dyDescent="0.2">
      <c r="A442" s="75" t="s">
        <v>520</v>
      </c>
      <c r="B442" s="79">
        <v>46049</v>
      </c>
      <c r="C442" s="75"/>
      <c r="D442" s="75"/>
      <c r="E442" s="75"/>
      <c r="F442" s="75">
        <v>10210</v>
      </c>
      <c r="G442" s="76" t="str">
        <f>VLOOKUP(Tabelle2[[#This Row],[Kunden Nr.]],KUNDEN!A:B,2,0)</f>
        <v>MONI 2</v>
      </c>
      <c r="H442" s="75">
        <v>35121</v>
      </c>
      <c r="I442" s="76" t="str">
        <f>VLOOKUP(Tabelle2[[#This Row],[Artikel]],Produkte!A:B,2,0)</f>
        <v>M-ONE Sanitar Silikon</v>
      </c>
      <c r="J442" s="75">
        <v>36</v>
      </c>
      <c r="K442" s="76" t="str">
        <f>VLOOKUP(Tabelle2[[#This Row],[Kunden Nr.]],KUNDEN!A:G,7)</f>
        <v>Qerimi</v>
      </c>
      <c r="L442" s="76">
        <f>VLOOKUP(Tabelle2[[#This Row],[Artikel]],Produkte!A:H,8)</f>
        <v>0.17</v>
      </c>
    </row>
    <row r="443" spans="1:12" x14ac:dyDescent="0.2">
      <c r="A443" s="75" t="s">
        <v>515</v>
      </c>
      <c r="B443" s="79">
        <v>46049</v>
      </c>
      <c r="C443" s="89">
        <v>258.60000000000002</v>
      </c>
      <c r="D443" s="75"/>
      <c r="E443" s="75"/>
      <c r="F443" s="75">
        <v>10205</v>
      </c>
      <c r="G443" s="76" t="str">
        <f>VLOOKUP(Tabelle2[[#This Row],[Kunden Nr.]],KUNDEN!A:B,2,0)</f>
        <v>XHAFA</v>
      </c>
      <c r="H443" s="75">
        <v>35110</v>
      </c>
      <c r="I443" s="76" t="str">
        <f>VLOOKUP(Tabelle2[[#This Row],[Artikel]],Produkte!A:B,2,0)</f>
        <v>M-ONE Sanitar Silikon</v>
      </c>
      <c r="J443" s="75">
        <v>12</v>
      </c>
      <c r="K443" s="76" t="str">
        <f>VLOOKUP(Tabelle2[[#This Row],[Kunden Nr.]],KUNDEN!A:G,7)</f>
        <v>Qerimi</v>
      </c>
      <c r="L443" s="76">
        <f>VLOOKUP(Tabelle2[[#This Row],[Artikel]],Produkte!A:H,8)</f>
        <v>0.17</v>
      </c>
    </row>
    <row r="444" spans="1:12" x14ac:dyDescent="0.2">
      <c r="A444" s="75" t="s">
        <v>515</v>
      </c>
      <c r="B444" s="79">
        <v>46049</v>
      </c>
      <c r="C444" s="75"/>
      <c r="D444" s="75"/>
      <c r="E444" s="75"/>
      <c r="F444" s="75">
        <v>10205</v>
      </c>
      <c r="G444" s="76" t="str">
        <f>VLOOKUP(Tabelle2[[#This Row],[Kunden Nr.]],KUNDEN!A:B,2,0)</f>
        <v>XHAFA</v>
      </c>
      <c r="H444" s="75">
        <v>35111</v>
      </c>
      <c r="I444" s="76" t="str">
        <f>VLOOKUP(Tabelle2[[#This Row],[Artikel]],Produkte!A:B,2,0)</f>
        <v>M-ONE Sanitar Silikon</v>
      </c>
      <c r="J444" s="75">
        <v>12</v>
      </c>
      <c r="K444" s="76" t="str">
        <f>VLOOKUP(Tabelle2[[#This Row],[Kunden Nr.]],KUNDEN!A:G,7)</f>
        <v>Qerimi</v>
      </c>
      <c r="L444" s="76">
        <f>VLOOKUP(Tabelle2[[#This Row],[Artikel]],Produkte!A:H,8)</f>
        <v>0.17</v>
      </c>
    </row>
    <row r="445" spans="1:12" x14ac:dyDescent="0.2">
      <c r="A445" s="75" t="s">
        <v>515</v>
      </c>
      <c r="B445" s="79">
        <v>46049</v>
      </c>
      <c r="C445" s="75"/>
      <c r="D445" s="75"/>
      <c r="E445" s="75"/>
      <c r="F445" s="75">
        <v>10205</v>
      </c>
      <c r="G445" s="76" t="str">
        <f>VLOOKUP(Tabelle2[[#This Row],[Kunden Nr.]],KUNDEN!A:B,2,0)</f>
        <v>XHAFA</v>
      </c>
      <c r="H445" s="75">
        <v>35113</v>
      </c>
      <c r="I445" s="76" t="str">
        <f>VLOOKUP(Tabelle2[[#This Row],[Artikel]],Produkte!A:B,2,0)</f>
        <v>M-ONE Sanitar Silikon</v>
      </c>
      <c r="J445" s="75">
        <v>12</v>
      </c>
      <c r="K445" s="76" t="str">
        <f>VLOOKUP(Tabelle2[[#This Row],[Kunden Nr.]],KUNDEN!A:G,7)</f>
        <v>Qerimi</v>
      </c>
      <c r="L445" s="76">
        <f>VLOOKUP(Tabelle2[[#This Row],[Artikel]],Produkte!A:H,8)</f>
        <v>0.17</v>
      </c>
    </row>
    <row r="446" spans="1:12" x14ac:dyDescent="0.2">
      <c r="A446" s="75" t="s">
        <v>515</v>
      </c>
      <c r="B446" s="79">
        <v>46049</v>
      </c>
      <c r="C446" s="75"/>
      <c r="D446" s="75"/>
      <c r="E446" s="75"/>
      <c r="F446" s="75">
        <v>10205</v>
      </c>
      <c r="G446" s="76" t="str">
        <f>VLOOKUP(Tabelle2[[#This Row],[Kunden Nr.]],KUNDEN!A:B,2,0)</f>
        <v>XHAFA</v>
      </c>
      <c r="H446" s="75">
        <v>35115</v>
      </c>
      <c r="I446" s="76" t="str">
        <f>VLOOKUP(Tabelle2[[#This Row],[Artikel]],Produkte!A:B,2,0)</f>
        <v>M-ONE Sanitar Silikon</v>
      </c>
      <c r="J446" s="75">
        <v>12</v>
      </c>
      <c r="K446" s="76" t="str">
        <f>VLOOKUP(Tabelle2[[#This Row],[Kunden Nr.]],KUNDEN!A:G,7)</f>
        <v>Qerimi</v>
      </c>
      <c r="L446" s="76">
        <f>VLOOKUP(Tabelle2[[#This Row],[Artikel]],Produkte!A:H,8)</f>
        <v>0.17</v>
      </c>
    </row>
    <row r="447" spans="1:12" x14ac:dyDescent="0.2">
      <c r="A447" s="75" t="s">
        <v>515</v>
      </c>
      <c r="B447" s="79">
        <v>46049</v>
      </c>
      <c r="C447" s="75"/>
      <c r="D447" s="75"/>
      <c r="E447" s="75"/>
      <c r="F447" s="75">
        <v>10205</v>
      </c>
      <c r="G447" s="76" t="str">
        <f>VLOOKUP(Tabelle2[[#This Row],[Kunden Nr.]],KUNDEN!A:B,2,0)</f>
        <v>XHAFA</v>
      </c>
      <c r="H447" s="75">
        <v>35128</v>
      </c>
      <c r="I447" s="76" t="str">
        <f>VLOOKUP(Tabelle2[[#This Row],[Artikel]],Produkte!A:B,2,0)</f>
        <v>M-ONE Sanitar Silikon</v>
      </c>
      <c r="J447" s="75">
        <v>12</v>
      </c>
      <c r="K447" s="76" t="str">
        <f>VLOOKUP(Tabelle2[[#This Row],[Kunden Nr.]],KUNDEN!A:G,7)</f>
        <v>Qerimi</v>
      </c>
      <c r="L447" s="76">
        <f>VLOOKUP(Tabelle2[[#This Row],[Artikel]],Produkte!A:H,8)</f>
        <v>0.17</v>
      </c>
    </row>
    <row r="448" spans="1:12" x14ac:dyDescent="0.2">
      <c r="A448" s="75" t="s">
        <v>515</v>
      </c>
      <c r="B448" s="79">
        <v>46049</v>
      </c>
      <c r="C448" s="75"/>
      <c r="D448" s="75"/>
      <c r="E448" s="75"/>
      <c r="F448" s="75">
        <v>10205</v>
      </c>
      <c r="G448" s="76" t="str">
        <f>VLOOKUP(Tabelle2[[#This Row],[Kunden Nr.]],KUNDEN!A:B,2,0)</f>
        <v>XHAFA</v>
      </c>
      <c r="H448" s="75">
        <v>51612</v>
      </c>
      <c r="I448" s="76" t="str">
        <f>VLOOKUP(Tabelle2[[#This Row],[Artikel]],Produkte!A:B,2,0)</f>
        <v>struktural akryl</v>
      </c>
      <c r="J448" s="75">
        <v>12</v>
      </c>
      <c r="K448" s="76" t="str">
        <f>VLOOKUP(Tabelle2[[#This Row],[Kunden Nr.]],KUNDEN!A:G,7)</f>
        <v>Qerimi</v>
      </c>
      <c r="L448" s="76">
        <f>VLOOKUP(Tabelle2[[#This Row],[Artikel]],Produkte!A:H,8)</f>
        <v>0.06</v>
      </c>
    </row>
    <row r="449" spans="1:12" x14ac:dyDescent="0.2">
      <c r="A449" s="75" t="s">
        <v>1201</v>
      </c>
      <c r="B449" s="79">
        <v>46049</v>
      </c>
      <c r="C449" s="89">
        <v>138.6</v>
      </c>
      <c r="D449" s="75"/>
      <c r="E449" s="75"/>
      <c r="F449" s="75">
        <v>10240</v>
      </c>
      <c r="G449" s="76" t="str">
        <f>VLOOKUP(Tabelle2[[#This Row],[Kunden Nr.]],KUNDEN!A:B,2,0)</f>
        <v>ARPO</v>
      </c>
      <c r="H449" s="75">
        <v>35121</v>
      </c>
      <c r="I449" s="76" t="str">
        <f>VLOOKUP(Tabelle2[[#This Row],[Artikel]],Produkte!A:B,2,0)</f>
        <v>M-ONE Sanitar Silikon</v>
      </c>
      <c r="J449" s="75">
        <v>24</v>
      </c>
      <c r="K449" s="76" t="str">
        <f>VLOOKUP(Tabelle2[[#This Row],[Kunden Nr.]],KUNDEN!A:G,7)</f>
        <v>Qerimi</v>
      </c>
      <c r="L449" s="76">
        <f>VLOOKUP(Tabelle2[[#This Row],[Artikel]],Produkte!A:H,8)</f>
        <v>0.17</v>
      </c>
    </row>
    <row r="450" spans="1:12" x14ac:dyDescent="0.2">
      <c r="A450" s="75" t="s">
        <v>1201</v>
      </c>
      <c r="B450" s="79">
        <v>46049</v>
      </c>
      <c r="C450" s="75"/>
      <c r="D450" s="75"/>
      <c r="E450" s="75"/>
      <c r="F450" s="75">
        <v>10240</v>
      </c>
      <c r="G450" s="76" t="str">
        <f>VLOOKUP(Tabelle2[[#This Row],[Kunden Nr.]],KUNDEN!A:B,2,0)</f>
        <v>ARPO</v>
      </c>
      <c r="H450" s="75">
        <v>35109</v>
      </c>
      <c r="I450" s="76" t="str">
        <f>VLOOKUP(Tabelle2[[#This Row],[Artikel]],Produkte!A:B,2,0)</f>
        <v>M-ONE Sanitar Silikon</v>
      </c>
      <c r="J450" s="75">
        <v>12</v>
      </c>
      <c r="K450" s="76" t="str">
        <f>VLOOKUP(Tabelle2[[#This Row],[Kunden Nr.]],KUNDEN!A:G,7)</f>
        <v>Qerimi</v>
      </c>
      <c r="L450" s="76">
        <f>VLOOKUP(Tabelle2[[#This Row],[Artikel]],Produkte!A:H,8)</f>
        <v>0.17</v>
      </c>
    </row>
    <row r="451" spans="1:12" x14ac:dyDescent="0.2">
      <c r="A451" s="75" t="s">
        <v>422</v>
      </c>
      <c r="B451" s="79">
        <v>46049</v>
      </c>
      <c r="C451" s="89">
        <v>116.4</v>
      </c>
      <c r="D451" s="75"/>
      <c r="E451" s="75"/>
      <c r="F451" s="75">
        <v>20209</v>
      </c>
      <c r="G451" s="76" t="str">
        <f>VLOOKUP(Tabelle2[[#This Row],[Kunden Nr.]],KUNDEN!A:B,2,0)</f>
        <v>LETAJ</v>
      </c>
      <c r="H451" s="75">
        <v>35111</v>
      </c>
      <c r="I451" s="76" t="str">
        <f>VLOOKUP(Tabelle2[[#This Row],[Artikel]],Produkte!A:B,2,0)</f>
        <v>M-ONE Sanitar Silikon</v>
      </c>
      <c r="J451" s="75">
        <v>24</v>
      </c>
      <c r="K451" s="76" t="str">
        <f>VLOOKUP(Tabelle2[[#This Row],[Kunden Nr.]],KUNDEN!A:G,7)</f>
        <v>Mensuri</v>
      </c>
      <c r="L451" s="76">
        <f>VLOOKUP(Tabelle2[[#This Row],[Artikel]],Produkte!A:H,8)</f>
        <v>0.17</v>
      </c>
    </row>
    <row r="452" spans="1:12" x14ac:dyDescent="0.2">
      <c r="A452" s="75" t="s">
        <v>422</v>
      </c>
      <c r="B452" s="79">
        <v>46049</v>
      </c>
      <c r="C452" s="75"/>
      <c r="D452" s="75"/>
      <c r="E452" s="75"/>
      <c r="F452" s="75">
        <v>20209</v>
      </c>
      <c r="G452" s="76" t="str">
        <f>VLOOKUP(Tabelle2[[#This Row],[Kunden Nr.]],KUNDEN!A:B,2,0)</f>
        <v>LETAJ</v>
      </c>
      <c r="H452" s="75">
        <v>49644</v>
      </c>
      <c r="I452" s="76" t="str">
        <f>VLOOKUP(Tabelle2[[#This Row],[Artikel]],Produkte!A:B,2,0)</f>
        <v>beMAKER Rostlöser</v>
      </c>
      <c r="J452" s="75">
        <v>12</v>
      </c>
      <c r="K452" s="76" t="str">
        <f>VLOOKUP(Tabelle2[[#This Row],[Kunden Nr.]],KUNDEN!A:G,7)</f>
        <v>Mensuri</v>
      </c>
      <c r="L452" s="76">
        <f>VLOOKUP(Tabelle2[[#This Row],[Artikel]],Produkte!A:H,8)</f>
        <v>0.2</v>
      </c>
    </row>
    <row r="453" spans="1:12" x14ac:dyDescent="0.2">
      <c r="A453" s="75" t="s">
        <v>1155</v>
      </c>
      <c r="B453" s="79">
        <v>46049</v>
      </c>
      <c r="C453" s="89">
        <v>92.4</v>
      </c>
      <c r="D453" s="75"/>
      <c r="E453" s="75"/>
      <c r="F453" s="75">
        <v>20220</v>
      </c>
      <c r="G453" s="76" t="str">
        <f>VLOOKUP(Tabelle2[[#This Row],[Kunden Nr.]],KUNDEN!A:B,2,0)</f>
        <v>GERMAN FABRE</v>
      </c>
      <c r="H453" s="75">
        <v>35112</v>
      </c>
      <c r="I453" s="76" t="str">
        <f>VLOOKUP(Tabelle2[[#This Row],[Artikel]],Produkte!A:B,2,0)</f>
        <v>M-ONE Sanitar Silikon</v>
      </c>
      <c r="J453" s="75">
        <v>12</v>
      </c>
      <c r="K453" s="76" t="str">
        <f>VLOOKUP(Tabelle2[[#This Row],[Kunden Nr.]],KUNDEN!A:G,7)</f>
        <v>Mensuri</v>
      </c>
      <c r="L453" s="76">
        <f>VLOOKUP(Tabelle2[[#This Row],[Artikel]],Produkte!A:H,8)</f>
        <v>0.17</v>
      </c>
    </row>
    <row r="454" spans="1:12" x14ac:dyDescent="0.2">
      <c r="A454" s="75" t="s">
        <v>1155</v>
      </c>
      <c r="B454" s="79">
        <v>46049</v>
      </c>
      <c r="C454" s="75"/>
      <c r="D454" s="75"/>
      <c r="E454" s="75"/>
      <c r="F454" s="75">
        <v>20220</v>
      </c>
      <c r="G454" s="76" t="str">
        <f>VLOOKUP(Tabelle2[[#This Row],[Kunden Nr.]],KUNDEN!A:B,2,0)</f>
        <v>GERMAN FABRE</v>
      </c>
      <c r="H454" s="75">
        <v>35121</v>
      </c>
      <c r="I454" s="76" t="str">
        <f>VLOOKUP(Tabelle2[[#This Row],[Artikel]],Produkte!A:B,2,0)</f>
        <v>M-ONE Sanitar Silikon</v>
      </c>
      <c r="J454" s="75">
        <v>12</v>
      </c>
      <c r="K454" s="76" t="str">
        <f>VLOOKUP(Tabelle2[[#This Row],[Kunden Nr.]],KUNDEN!A:G,7)</f>
        <v>Mensuri</v>
      </c>
      <c r="L454" s="76">
        <f>VLOOKUP(Tabelle2[[#This Row],[Artikel]],Produkte!A:H,8)</f>
        <v>0.17</v>
      </c>
    </row>
    <row r="455" spans="1:12" x14ac:dyDescent="0.2">
      <c r="A455" s="75" t="s">
        <v>425</v>
      </c>
      <c r="B455" s="79">
        <v>46049</v>
      </c>
      <c r="C455" s="89">
        <v>92.4</v>
      </c>
      <c r="D455" s="75"/>
      <c r="E455" s="75"/>
      <c r="F455" s="75">
        <v>20212</v>
      </c>
      <c r="G455" s="76" t="str">
        <f>VLOOKUP(Tabelle2[[#This Row],[Kunden Nr.]],KUNDEN!A:B,2,0)</f>
        <v>INOX 2</v>
      </c>
      <c r="H455" s="75">
        <v>35119</v>
      </c>
      <c r="I455" s="76" t="str">
        <f>VLOOKUP(Tabelle2[[#This Row],[Artikel]],Produkte!A:B,2,0)</f>
        <v>M-ONE Sanitar Silikon</v>
      </c>
      <c r="J455" s="75">
        <v>24</v>
      </c>
      <c r="K455" s="76" t="str">
        <f>VLOOKUP(Tabelle2[[#This Row],[Kunden Nr.]],KUNDEN!A:G,7)</f>
        <v>Mensuri</v>
      </c>
      <c r="L455" s="76">
        <f>VLOOKUP(Tabelle2[[#This Row],[Artikel]],Produkte!A:H,8)</f>
        <v>0.17</v>
      </c>
    </row>
    <row r="456" spans="1:12" x14ac:dyDescent="0.2">
      <c r="A456" s="75" t="s">
        <v>1041</v>
      </c>
      <c r="B456" s="79">
        <v>46049</v>
      </c>
      <c r="C456" s="89">
        <v>69.599999999999994</v>
      </c>
      <c r="D456" s="75"/>
      <c r="E456" s="75"/>
      <c r="F456" s="75">
        <v>20223</v>
      </c>
      <c r="G456" s="76" t="str">
        <f>VLOOKUP(Tabelle2[[#This Row],[Kunden Nr.]],KUNDEN!A:B,2,0)</f>
        <v>GER COLORS</v>
      </c>
      <c r="H456" s="75">
        <v>66701</v>
      </c>
      <c r="I456" s="76" t="str">
        <f>VLOOKUP(Tabelle2[[#This Row],[Artikel]],Produkte!A:B,2,0)</f>
        <v>PROFIMONT EXTREME</v>
      </c>
      <c r="J456" s="75">
        <v>12</v>
      </c>
      <c r="K456" s="76" t="str">
        <f>VLOOKUP(Tabelle2[[#This Row],[Kunden Nr.]],KUNDEN!A:G,7)</f>
        <v>Mensuri</v>
      </c>
      <c r="L456" s="76">
        <f>VLOOKUP(Tabelle2[[#This Row],[Artikel]],Produkte!A:H,8)</f>
        <v>0.2</v>
      </c>
    </row>
    <row r="457" spans="1:12" x14ac:dyDescent="0.2">
      <c r="A457" s="75" t="s">
        <v>1302</v>
      </c>
      <c r="B457" s="79">
        <v>46049</v>
      </c>
      <c r="C457" s="89">
        <v>69.599999999999994</v>
      </c>
      <c r="D457" s="75"/>
      <c r="E457" s="75"/>
      <c r="F457" s="75">
        <v>20228</v>
      </c>
      <c r="G457" s="76" t="str">
        <f>VLOOKUP(Tabelle2[[#This Row],[Kunden Nr.]],KUNDEN!A:B,2,0)</f>
        <v>HB-DECOR</v>
      </c>
      <c r="H457" s="75">
        <v>66701</v>
      </c>
      <c r="I457" s="76" t="str">
        <f>VLOOKUP(Tabelle2[[#This Row],[Artikel]],Produkte!A:B,2,0)</f>
        <v>PROFIMONT EXTREME</v>
      </c>
      <c r="J457" s="75">
        <v>12</v>
      </c>
      <c r="K457" s="76" t="str">
        <f>VLOOKUP(Tabelle2[[#This Row],[Kunden Nr.]],KUNDEN!A:G,7)</f>
        <v>Mensuri</v>
      </c>
      <c r="L457" s="76">
        <f>VLOOKUP(Tabelle2[[#This Row],[Artikel]],Produkte!A:H,8)</f>
        <v>0.2</v>
      </c>
    </row>
    <row r="458" spans="1:12" x14ac:dyDescent="0.2">
      <c r="A458" s="75" t="s">
        <v>442</v>
      </c>
      <c r="B458" s="79">
        <v>46049</v>
      </c>
      <c r="C458" s="89">
        <v>92.4</v>
      </c>
      <c r="D458" s="75"/>
      <c r="E458" s="75"/>
      <c r="F458" s="75">
        <v>20208</v>
      </c>
      <c r="G458" s="76" t="str">
        <f>VLOOKUP(Tabelle2[[#This Row],[Kunden Nr.]],KUNDEN!A:B,2,0)</f>
        <v>V. GJONAJ</v>
      </c>
      <c r="H458" s="75">
        <v>35114</v>
      </c>
      <c r="I458" s="76" t="str">
        <f>VLOOKUP(Tabelle2[[#This Row],[Artikel]],Produkte!A:B,2,0)</f>
        <v>M-ONE Sanitar Silikon</v>
      </c>
      <c r="J458" s="75">
        <v>24</v>
      </c>
      <c r="K458" s="76" t="str">
        <f>VLOOKUP(Tabelle2[[#This Row],[Kunden Nr.]],KUNDEN!A:G,7)</f>
        <v>Mensuri</v>
      </c>
      <c r="L458" s="76">
        <f>VLOOKUP(Tabelle2[[#This Row],[Artikel]],Produkte!A:H,8)</f>
        <v>0.17</v>
      </c>
    </row>
    <row r="459" spans="1:12" x14ac:dyDescent="0.2">
      <c r="A459" s="75" t="s">
        <v>418</v>
      </c>
      <c r="B459" s="79">
        <v>46049</v>
      </c>
      <c r="C459" s="89">
        <v>138.6</v>
      </c>
      <c r="D459" s="75"/>
      <c r="E459" s="75"/>
      <c r="F459" s="75">
        <v>20203</v>
      </c>
      <c r="G459" s="76" t="str">
        <f>VLOOKUP(Tabelle2[[#This Row],[Kunden Nr.]],KUNDEN!A:B,2,0)</f>
        <v>AFRIMI-AG</v>
      </c>
      <c r="H459" s="75">
        <v>35110</v>
      </c>
      <c r="I459" s="76" t="str">
        <f>VLOOKUP(Tabelle2[[#This Row],[Artikel]],Produkte!A:B,2,0)</f>
        <v>M-ONE Sanitar Silikon</v>
      </c>
      <c r="J459" s="75">
        <v>12</v>
      </c>
      <c r="K459" s="76" t="str">
        <f>VLOOKUP(Tabelle2[[#This Row],[Kunden Nr.]],KUNDEN!A:G,7)</f>
        <v>Mensuri</v>
      </c>
      <c r="L459" s="76">
        <f>VLOOKUP(Tabelle2[[#This Row],[Artikel]],Produkte!A:H,8)</f>
        <v>0.17</v>
      </c>
    </row>
    <row r="460" spans="1:12" x14ac:dyDescent="0.2">
      <c r="A460" s="75" t="s">
        <v>418</v>
      </c>
      <c r="B460" s="79">
        <v>46049</v>
      </c>
      <c r="C460" s="75"/>
      <c r="D460" s="75"/>
      <c r="E460" s="75"/>
      <c r="F460" s="75">
        <v>20203</v>
      </c>
      <c r="G460" s="76" t="str">
        <f>VLOOKUP(Tabelle2[[#This Row],[Kunden Nr.]],KUNDEN!A:B,2,0)</f>
        <v>AFRIMI-AG</v>
      </c>
      <c r="H460" s="75">
        <v>35111</v>
      </c>
      <c r="I460" s="76" t="str">
        <f>VLOOKUP(Tabelle2[[#This Row],[Artikel]],Produkte!A:B,2,0)</f>
        <v>M-ONE Sanitar Silikon</v>
      </c>
      <c r="J460" s="75">
        <v>12</v>
      </c>
      <c r="K460" s="76" t="str">
        <f>VLOOKUP(Tabelle2[[#This Row],[Kunden Nr.]],KUNDEN!A:G,7)</f>
        <v>Mensuri</v>
      </c>
      <c r="L460" s="76">
        <f>VLOOKUP(Tabelle2[[#This Row],[Artikel]],Produkte!A:H,8)</f>
        <v>0.17</v>
      </c>
    </row>
    <row r="461" spans="1:12" x14ac:dyDescent="0.2">
      <c r="A461" s="75" t="s">
        <v>418</v>
      </c>
      <c r="B461" s="79">
        <v>46049</v>
      </c>
      <c r="C461" s="75"/>
      <c r="D461" s="75"/>
      <c r="E461" s="75"/>
      <c r="F461" s="75">
        <v>20203</v>
      </c>
      <c r="G461" s="76" t="str">
        <f>VLOOKUP(Tabelle2[[#This Row],[Kunden Nr.]],KUNDEN!A:B,2,0)</f>
        <v>AFRIMI-AG</v>
      </c>
      <c r="H461" s="75">
        <v>35121</v>
      </c>
      <c r="I461" s="76" t="str">
        <f>VLOOKUP(Tabelle2[[#This Row],[Artikel]],Produkte!A:B,2,0)</f>
        <v>M-ONE Sanitar Silikon</v>
      </c>
      <c r="J461" s="75">
        <v>12</v>
      </c>
      <c r="K461" s="76" t="str">
        <f>VLOOKUP(Tabelle2[[#This Row],[Kunden Nr.]],KUNDEN!A:G,7)</f>
        <v>Mensuri</v>
      </c>
      <c r="L461" s="76">
        <f>VLOOKUP(Tabelle2[[#This Row],[Artikel]],Produkte!A:H,8)</f>
        <v>0.17</v>
      </c>
    </row>
    <row r="462" spans="1:12" x14ac:dyDescent="0.2">
      <c r="A462" s="75" t="s">
        <v>963</v>
      </c>
      <c r="B462" s="79">
        <v>46049</v>
      </c>
      <c r="C462" s="89">
        <v>98.4</v>
      </c>
      <c r="D462" s="75"/>
      <c r="E462" s="75"/>
      <c r="F462" s="75">
        <v>20201</v>
      </c>
      <c r="G462" s="76" t="str">
        <f>VLOOKUP(Tabelle2[[#This Row],[Kunden Nr.]],KUNDEN!A:B,2,0)</f>
        <v>TE BESIMI</v>
      </c>
      <c r="H462" s="75">
        <v>35110</v>
      </c>
      <c r="I462" s="76" t="str">
        <f>VLOOKUP(Tabelle2[[#This Row],[Artikel]],Produkte!A:B,2,0)</f>
        <v>M-ONE Sanitar Silikon</v>
      </c>
      <c r="J462" s="75">
        <v>12</v>
      </c>
      <c r="K462" s="76" t="str">
        <f>VLOOKUP(Tabelle2[[#This Row],[Kunden Nr.]],KUNDEN!A:G,7)</f>
        <v>Mensuri</v>
      </c>
      <c r="L462" s="76">
        <f>VLOOKUP(Tabelle2[[#This Row],[Artikel]],Produkte!A:H,8)</f>
        <v>0.17</v>
      </c>
    </row>
    <row r="463" spans="1:12" x14ac:dyDescent="0.2">
      <c r="A463" s="75" t="s">
        <v>963</v>
      </c>
      <c r="B463" s="79">
        <v>46049</v>
      </c>
      <c r="C463" s="75"/>
      <c r="D463" s="75"/>
      <c r="E463" s="75"/>
      <c r="F463" s="75">
        <v>20201</v>
      </c>
      <c r="G463" s="76" t="str">
        <f>VLOOKUP(Tabelle2[[#This Row],[Kunden Nr.]],KUNDEN!A:B,2,0)</f>
        <v>TE BESIMI</v>
      </c>
      <c r="H463" s="75">
        <v>35125</v>
      </c>
      <c r="I463" s="76" t="str">
        <f>VLOOKUP(Tabelle2[[#This Row],[Artikel]],Produkte!A:B,2,0)</f>
        <v>M-ONE Sanitar Silikon</v>
      </c>
      <c r="J463" s="75">
        <v>12</v>
      </c>
      <c r="K463" s="76" t="str">
        <f>VLOOKUP(Tabelle2[[#This Row],[Kunden Nr.]],KUNDEN!A:G,7)</f>
        <v>Mensuri</v>
      </c>
      <c r="L463" s="76">
        <f>VLOOKUP(Tabelle2[[#This Row],[Artikel]],Produkte!A:H,8)</f>
        <v>0.17</v>
      </c>
    </row>
    <row r="464" spans="1:12" x14ac:dyDescent="0.2">
      <c r="A464" s="75" t="s">
        <v>963</v>
      </c>
      <c r="B464" s="79">
        <v>46049</v>
      </c>
      <c r="C464" s="75"/>
      <c r="D464" s="75"/>
      <c r="E464" s="75"/>
      <c r="F464" s="75">
        <v>20201</v>
      </c>
      <c r="G464" s="76" t="str">
        <f>VLOOKUP(Tabelle2[[#This Row],[Kunden Nr.]],KUNDEN!A:B,2,0)</f>
        <v>TE BESIMI</v>
      </c>
      <c r="H464" s="75">
        <v>49644</v>
      </c>
      <c r="I464" s="76" t="str">
        <f>VLOOKUP(Tabelle2[[#This Row],[Artikel]],Produkte!A:B,2,0)</f>
        <v>beMAKER Rostlöser</v>
      </c>
      <c r="J464" s="75">
        <v>3</v>
      </c>
      <c r="K464" s="76" t="str">
        <f>VLOOKUP(Tabelle2[[#This Row],[Kunden Nr.]],KUNDEN!A:G,7)</f>
        <v>Mensuri</v>
      </c>
      <c r="L464" s="76">
        <f>VLOOKUP(Tabelle2[[#This Row],[Artikel]],Produkte!A:H,8)</f>
        <v>0.2</v>
      </c>
    </row>
    <row r="465" spans="1:12" x14ac:dyDescent="0.2">
      <c r="A465" s="75" t="s">
        <v>1005</v>
      </c>
      <c r="B465" s="79">
        <v>46050</v>
      </c>
      <c r="C465" s="89">
        <v>122.4</v>
      </c>
      <c r="D465" s="75"/>
      <c r="E465" s="75"/>
      <c r="F465" s="75">
        <v>10343</v>
      </c>
      <c r="G465" s="76" t="str">
        <f>VLOOKUP(Tabelle2[[#This Row],[Kunden Nr.]],KUNDEN!A:B,2,0)</f>
        <v>INTERCOM NTP</v>
      </c>
      <c r="H465" s="75">
        <v>35128</v>
      </c>
      <c r="I465" s="76" t="str">
        <f>VLOOKUP(Tabelle2[[#This Row],[Artikel]],Produkte!A:B,2,0)</f>
        <v>M-ONE Sanitar Silikon</v>
      </c>
      <c r="J465" s="75">
        <v>24</v>
      </c>
      <c r="K465" s="76" t="str">
        <f>VLOOKUP(Tabelle2[[#This Row],[Kunden Nr.]],KUNDEN!A:G,7)</f>
        <v>Qerimi</v>
      </c>
      <c r="L465" s="76">
        <f>VLOOKUP(Tabelle2[[#This Row],[Artikel]],Produkte!A:H,8)</f>
        <v>0.17</v>
      </c>
    </row>
    <row r="466" spans="1:12" x14ac:dyDescent="0.2">
      <c r="A466" s="75" t="s">
        <v>1005</v>
      </c>
      <c r="B466" s="79">
        <v>46050</v>
      </c>
      <c r="C466" s="75"/>
      <c r="D466" s="75"/>
      <c r="E466" s="75"/>
      <c r="F466" s="75">
        <v>10343</v>
      </c>
      <c r="G466" s="76" t="str">
        <f>VLOOKUP(Tabelle2[[#This Row],[Kunden Nr.]],KUNDEN!A:B,2,0)</f>
        <v>INTERCOM NTP</v>
      </c>
      <c r="H466" s="75">
        <v>51611</v>
      </c>
      <c r="I466" s="76" t="str">
        <f>VLOOKUP(Tabelle2[[#This Row],[Artikel]],Produkte!A:B,2,0)</f>
        <v>universal akryl</v>
      </c>
      <c r="J466" s="75">
        <v>24</v>
      </c>
      <c r="K466" s="76" t="str">
        <f>VLOOKUP(Tabelle2[[#This Row],[Kunden Nr.]],KUNDEN!A:G,7)</f>
        <v>Qerimi</v>
      </c>
      <c r="L466" s="76">
        <f>VLOOKUP(Tabelle2[[#This Row],[Artikel]],Produkte!A:H,8)</f>
        <v>0.06</v>
      </c>
    </row>
    <row r="467" spans="1:12" x14ac:dyDescent="0.2">
      <c r="A467" s="75" t="s">
        <v>8</v>
      </c>
      <c r="B467" s="79">
        <v>46050</v>
      </c>
      <c r="C467" s="89">
        <v>246</v>
      </c>
      <c r="D467" s="75"/>
      <c r="E467" s="75"/>
      <c r="F467" s="75">
        <v>10304</v>
      </c>
      <c r="G467" s="76" t="str">
        <f>VLOOKUP(Tabelle2[[#This Row],[Kunden Nr.]],KUNDEN!A:B,2,0)</f>
        <v>EUROSAN</v>
      </c>
      <c r="H467" s="75">
        <v>51611</v>
      </c>
      <c r="I467" s="76" t="str">
        <f>VLOOKUP(Tabelle2[[#This Row],[Artikel]],Produkte!A:B,2,0)</f>
        <v>universal akryl</v>
      </c>
      <c r="J467" s="75">
        <v>12</v>
      </c>
      <c r="K467" s="76" t="str">
        <f>VLOOKUP(Tabelle2[[#This Row],[Kunden Nr.]],KUNDEN!A:G,7)</f>
        <v>Qerimi</v>
      </c>
      <c r="L467" s="76">
        <f>VLOOKUP(Tabelle2[[#This Row],[Artikel]],Produkte!A:H,8)</f>
        <v>0.06</v>
      </c>
    </row>
    <row r="468" spans="1:12" x14ac:dyDescent="0.2">
      <c r="A468" s="75" t="s">
        <v>8</v>
      </c>
      <c r="B468" s="79">
        <v>46050</v>
      </c>
      <c r="C468" s="75"/>
      <c r="D468" s="75"/>
      <c r="E468" s="75"/>
      <c r="F468" s="75">
        <v>10304</v>
      </c>
      <c r="G468" s="76" t="str">
        <f>VLOOKUP(Tabelle2[[#This Row],[Kunden Nr.]],KUNDEN!A:B,2,0)</f>
        <v>EUROSAN</v>
      </c>
      <c r="H468" s="75">
        <v>35110</v>
      </c>
      <c r="I468" s="76" t="str">
        <f>VLOOKUP(Tabelle2[[#This Row],[Artikel]],Produkte!A:B,2,0)</f>
        <v>M-ONE Sanitar Silikon</v>
      </c>
      <c r="J468" s="75">
        <v>12</v>
      </c>
      <c r="K468" s="76" t="str">
        <f>VLOOKUP(Tabelle2[[#This Row],[Kunden Nr.]],KUNDEN!A:G,7)</f>
        <v>Qerimi</v>
      </c>
      <c r="L468" s="76">
        <f>VLOOKUP(Tabelle2[[#This Row],[Artikel]],Produkte!A:H,8)</f>
        <v>0.17</v>
      </c>
    </row>
    <row r="469" spans="1:12" x14ac:dyDescent="0.2">
      <c r="A469" s="75" t="s">
        <v>8</v>
      </c>
      <c r="B469" s="79">
        <v>46050</v>
      </c>
      <c r="C469" s="75"/>
      <c r="D469" s="75"/>
      <c r="E469" s="75"/>
      <c r="F469" s="75">
        <v>10304</v>
      </c>
      <c r="G469" s="76" t="str">
        <f>VLOOKUP(Tabelle2[[#This Row],[Kunden Nr.]],KUNDEN!A:B,2,0)</f>
        <v>EUROSAN</v>
      </c>
      <c r="H469" s="75">
        <v>35111</v>
      </c>
      <c r="I469" s="76" t="str">
        <f>VLOOKUP(Tabelle2[[#This Row],[Artikel]],Produkte!A:B,2,0)</f>
        <v>M-ONE Sanitar Silikon</v>
      </c>
      <c r="J469" s="75">
        <v>12</v>
      </c>
      <c r="K469" s="76" t="str">
        <f>VLOOKUP(Tabelle2[[#This Row],[Kunden Nr.]],KUNDEN!A:G,7)</f>
        <v>Qerimi</v>
      </c>
      <c r="L469" s="76">
        <f>VLOOKUP(Tabelle2[[#This Row],[Artikel]],Produkte!A:H,8)</f>
        <v>0.17</v>
      </c>
    </row>
    <row r="470" spans="1:12" x14ac:dyDescent="0.2">
      <c r="A470" s="75" t="s">
        <v>8</v>
      </c>
      <c r="B470" s="79">
        <v>46050</v>
      </c>
      <c r="C470" s="75"/>
      <c r="D470" s="75"/>
      <c r="E470" s="75"/>
      <c r="F470" s="75">
        <v>10304</v>
      </c>
      <c r="G470" s="76" t="str">
        <f>VLOOKUP(Tabelle2[[#This Row],[Kunden Nr.]],KUNDEN!A:B,2,0)</f>
        <v>EUROSAN</v>
      </c>
      <c r="H470" s="75">
        <v>35109</v>
      </c>
      <c r="I470" s="76" t="str">
        <f>VLOOKUP(Tabelle2[[#This Row],[Artikel]],Produkte!A:B,2,0)</f>
        <v>M-ONE Sanitar Silikon</v>
      </c>
      <c r="J470" s="75">
        <v>12</v>
      </c>
      <c r="K470" s="76" t="str">
        <f>VLOOKUP(Tabelle2[[#This Row],[Kunden Nr.]],KUNDEN!A:G,7)</f>
        <v>Qerimi</v>
      </c>
      <c r="L470" s="76">
        <f>VLOOKUP(Tabelle2[[#This Row],[Artikel]],Produkte!A:H,8)</f>
        <v>0.17</v>
      </c>
    </row>
    <row r="471" spans="1:12" x14ac:dyDescent="0.2">
      <c r="A471" s="75" t="s">
        <v>8</v>
      </c>
      <c r="B471" s="79">
        <v>46050</v>
      </c>
      <c r="C471" s="75"/>
      <c r="D471" s="75"/>
      <c r="E471" s="75"/>
      <c r="F471" s="75">
        <v>10304</v>
      </c>
      <c r="G471" s="76" t="str">
        <f>VLOOKUP(Tabelle2[[#This Row],[Kunden Nr.]],KUNDEN!A:B,2,0)</f>
        <v>EUROSAN</v>
      </c>
      <c r="H471" s="75">
        <v>35113</v>
      </c>
      <c r="I471" s="76" t="str">
        <f>VLOOKUP(Tabelle2[[#This Row],[Artikel]],Produkte!A:B,2,0)</f>
        <v>M-ONE Sanitar Silikon</v>
      </c>
      <c r="J471" s="75">
        <v>12</v>
      </c>
      <c r="K471" s="76" t="str">
        <f>VLOOKUP(Tabelle2[[#This Row],[Kunden Nr.]],KUNDEN!A:G,7)</f>
        <v>Qerimi</v>
      </c>
      <c r="L471" s="76">
        <f>VLOOKUP(Tabelle2[[#This Row],[Artikel]],Produkte!A:H,8)</f>
        <v>0.17</v>
      </c>
    </row>
    <row r="472" spans="1:12" x14ac:dyDescent="0.2">
      <c r="A472" s="75" t="s">
        <v>8</v>
      </c>
      <c r="B472" s="79">
        <v>46050</v>
      </c>
      <c r="C472" s="75"/>
      <c r="D472" s="75"/>
      <c r="E472" s="75"/>
      <c r="F472" s="75">
        <v>10304</v>
      </c>
      <c r="G472" s="76" t="str">
        <f>VLOOKUP(Tabelle2[[#This Row],[Kunden Nr.]],KUNDEN!A:B,2,0)</f>
        <v>EUROSAN</v>
      </c>
      <c r="H472" s="75">
        <v>35121</v>
      </c>
      <c r="I472" s="76" t="str">
        <f>VLOOKUP(Tabelle2[[#This Row],[Artikel]],Produkte!A:B,2,0)</f>
        <v>M-ONE Sanitar Silikon</v>
      </c>
      <c r="J472" s="75">
        <v>12</v>
      </c>
      <c r="K472" s="76" t="str">
        <f>VLOOKUP(Tabelle2[[#This Row],[Kunden Nr.]],KUNDEN!A:G,7)</f>
        <v>Qerimi</v>
      </c>
      <c r="L472" s="76">
        <f>VLOOKUP(Tabelle2[[#This Row],[Artikel]],Produkte!A:H,8)</f>
        <v>0.17</v>
      </c>
    </row>
    <row r="473" spans="1:12" x14ac:dyDescent="0.2">
      <c r="A473" s="75" t="s">
        <v>1154</v>
      </c>
      <c r="B473" s="79">
        <v>46050</v>
      </c>
      <c r="C473" s="89">
        <v>92.4</v>
      </c>
      <c r="D473" s="75"/>
      <c r="E473" s="75"/>
      <c r="F473" s="75">
        <v>10344</v>
      </c>
      <c r="G473" s="76" t="str">
        <f>VLOOKUP(Tabelle2[[#This Row],[Kunden Nr.]],KUNDEN!A:B,2,0)</f>
        <v>TINA</v>
      </c>
      <c r="H473" s="75">
        <v>35113</v>
      </c>
      <c r="I473" s="76" t="str">
        <f>VLOOKUP(Tabelle2[[#This Row],[Artikel]],Produkte!A:B,2,0)</f>
        <v>M-ONE Sanitar Silikon</v>
      </c>
      <c r="J473" s="75">
        <v>12</v>
      </c>
      <c r="K473" s="76" t="str">
        <f>VLOOKUP(Tabelle2[[#This Row],[Kunden Nr.]],KUNDEN!A:G,7)</f>
        <v>Qerimi</v>
      </c>
      <c r="L473" s="76">
        <f>VLOOKUP(Tabelle2[[#This Row],[Artikel]],Produkte!A:H,8)</f>
        <v>0.17</v>
      </c>
    </row>
    <row r="474" spans="1:12" x14ac:dyDescent="0.2">
      <c r="A474" s="75" t="s">
        <v>1154</v>
      </c>
      <c r="B474" s="79">
        <v>46050</v>
      </c>
      <c r="C474" s="75"/>
      <c r="D474" s="75"/>
      <c r="E474" s="75"/>
      <c r="F474" s="75">
        <v>10344</v>
      </c>
      <c r="G474" s="76" t="str">
        <f>VLOOKUP(Tabelle2[[#This Row],[Kunden Nr.]],KUNDEN!A:B,2,0)</f>
        <v>TINA</v>
      </c>
      <c r="H474" s="75">
        <v>35115</v>
      </c>
      <c r="I474" s="76" t="str">
        <f>VLOOKUP(Tabelle2[[#This Row],[Artikel]],Produkte!A:B,2,0)</f>
        <v>M-ONE Sanitar Silikon</v>
      </c>
      <c r="J474" s="75">
        <v>12</v>
      </c>
      <c r="K474" s="76" t="str">
        <f>VLOOKUP(Tabelle2[[#This Row],[Kunden Nr.]],KUNDEN!A:G,7)</f>
        <v>Qerimi</v>
      </c>
      <c r="L474" s="76">
        <f>VLOOKUP(Tabelle2[[#This Row],[Artikel]],Produkte!A:H,8)</f>
        <v>0.17</v>
      </c>
    </row>
    <row r="475" spans="1:12" x14ac:dyDescent="0.2">
      <c r="A475" s="75" t="s">
        <v>30</v>
      </c>
      <c r="B475" s="79">
        <v>46050</v>
      </c>
      <c r="C475" s="89">
        <v>27.5</v>
      </c>
      <c r="D475" s="75"/>
      <c r="E475" s="75"/>
      <c r="F475" s="75">
        <v>10323</v>
      </c>
      <c r="G475" s="76" t="str">
        <f>VLOOKUP(Tabelle2[[#This Row],[Kunden Nr.]],KUNDEN!A:B,2,0)</f>
        <v>BEKA-3</v>
      </c>
      <c r="H475" s="75">
        <v>49644</v>
      </c>
      <c r="I475" s="76" t="str">
        <f>VLOOKUP(Tabelle2[[#This Row],[Artikel]],Produkte!A:B,2,0)</f>
        <v>beMAKER Rostlöser</v>
      </c>
      <c r="J475" s="75">
        <v>5</v>
      </c>
      <c r="K475" s="76" t="str">
        <f>VLOOKUP(Tabelle2[[#This Row],[Kunden Nr.]],KUNDEN!A:G,7)</f>
        <v>Qerimi</v>
      </c>
      <c r="L475" s="76">
        <f>VLOOKUP(Tabelle2[[#This Row],[Artikel]],Produkte!A:H,8)</f>
        <v>0.2</v>
      </c>
    </row>
    <row r="476" spans="1:12" x14ac:dyDescent="0.2">
      <c r="A476" s="75" t="s">
        <v>30</v>
      </c>
      <c r="B476" s="79">
        <v>46050</v>
      </c>
      <c r="C476" s="75"/>
      <c r="D476" s="75"/>
      <c r="E476" s="75"/>
      <c r="F476" s="75">
        <v>10323</v>
      </c>
      <c r="G476" s="76" t="str">
        <f>VLOOKUP(Tabelle2[[#This Row],[Kunden Nr.]],KUNDEN!A:B,2,0)</f>
        <v>BEKA-3</v>
      </c>
      <c r="H476" s="75">
        <v>55718</v>
      </c>
      <c r="I476" s="76" t="str">
        <f>VLOOKUP(Tabelle2[[#This Row],[Artikel]],Produkte!A:B,2,0)</f>
        <v>M ONE MOTORSTART</v>
      </c>
      <c r="J476" s="75">
        <v>5</v>
      </c>
      <c r="K476" s="76" t="str">
        <f>VLOOKUP(Tabelle2[[#This Row],[Kunden Nr.]],KUNDEN!A:G,7)</f>
        <v>Qerimi</v>
      </c>
      <c r="L476" s="76">
        <f>VLOOKUP(Tabelle2[[#This Row],[Artikel]],Produkte!A:H,8)</f>
        <v>0.2</v>
      </c>
    </row>
    <row r="477" spans="1:12" x14ac:dyDescent="0.2">
      <c r="A477" s="75" t="s">
        <v>413</v>
      </c>
      <c r="B477" s="79">
        <v>46050</v>
      </c>
      <c r="C477" s="89">
        <v>92.4</v>
      </c>
      <c r="D477" s="75"/>
      <c r="E477" s="75"/>
      <c r="F477" s="75">
        <v>10350</v>
      </c>
      <c r="G477" s="76" t="str">
        <f>VLOOKUP(Tabelle2[[#This Row],[Kunden Nr.]],KUNDEN!A:B,2,0)</f>
        <v>BALLKANI</v>
      </c>
      <c r="H477" s="75">
        <v>35121</v>
      </c>
      <c r="I477" s="76" t="str">
        <f>VLOOKUP(Tabelle2[[#This Row],[Artikel]],Produkte!A:B,2,0)</f>
        <v>M-ONE Sanitar Silikon</v>
      </c>
      <c r="J477" s="75">
        <v>24</v>
      </c>
      <c r="K477" s="76" t="str">
        <f>VLOOKUP(Tabelle2[[#This Row],[Kunden Nr.]],KUNDEN!A:G,7)</f>
        <v>Qerimi</v>
      </c>
      <c r="L477" s="76">
        <f>VLOOKUP(Tabelle2[[#This Row],[Artikel]],Produkte!A:H,8)</f>
        <v>0.17</v>
      </c>
    </row>
    <row r="478" spans="1:12" x14ac:dyDescent="0.2">
      <c r="A478" s="75" t="s">
        <v>34</v>
      </c>
      <c r="B478" s="79">
        <v>46050</v>
      </c>
      <c r="C478" s="89">
        <v>107.4</v>
      </c>
      <c r="D478" s="75"/>
      <c r="E478" s="75"/>
      <c r="F478" s="75">
        <v>10325</v>
      </c>
      <c r="G478" s="76" t="str">
        <f>VLOOKUP(Tabelle2[[#This Row],[Kunden Nr.]],KUNDEN!A:B,2,0)</f>
        <v>PARKETI</v>
      </c>
      <c r="H478" s="75">
        <v>35121</v>
      </c>
      <c r="I478" s="76" t="str">
        <f>VLOOKUP(Tabelle2[[#This Row],[Artikel]],Produkte!A:B,2,0)</f>
        <v>M-ONE Sanitar Silikon</v>
      </c>
      <c r="J478" s="75">
        <v>12</v>
      </c>
      <c r="K478" s="76" t="str">
        <f>VLOOKUP(Tabelle2[[#This Row],[Kunden Nr.]],KUNDEN!A:G,7)</f>
        <v>Qerimi</v>
      </c>
      <c r="L478" s="76">
        <f>VLOOKUP(Tabelle2[[#This Row],[Artikel]],Produkte!A:H,8)</f>
        <v>0.17</v>
      </c>
    </row>
    <row r="479" spans="1:12" x14ac:dyDescent="0.2">
      <c r="A479" s="75" t="s">
        <v>34</v>
      </c>
      <c r="B479" s="79">
        <v>46050</v>
      </c>
      <c r="C479" s="75"/>
      <c r="D479" s="75"/>
      <c r="E479" s="75"/>
      <c r="F479" s="75">
        <v>10325</v>
      </c>
      <c r="G479" s="76" t="str">
        <f>VLOOKUP(Tabelle2[[#This Row],[Kunden Nr.]],KUNDEN!A:B,2,0)</f>
        <v>PARKETI</v>
      </c>
      <c r="H479" s="75">
        <v>35125</v>
      </c>
      <c r="I479" s="76" t="str">
        <f>VLOOKUP(Tabelle2[[#This Row],[Artikel]],Produkte!A:B,2,0)</f>
        <v>M-ONE Sanitar Silikon</v>
      </c>
      <c r="J479" s="75">
        <v>12</v>
      </c>
      <c r="K479" s="76" t="str">
        <f>VLOOKUP(Tabelle2[[#This Row],[Kunden Nr.]],KUNDEN!A:G,7)</f>
        <v>Qerimi</v>
      </c>
      <c r="L479" s="76">
        <f>VLOOKUP(Tabelle2[[#This Row],[Artikel]],Produkte!A:H,8)</f>
        <v>0.17</v>
      </c>
    </row>
    <row r="480" spans="1:12" x14ac:dyDescent="0.2">
      <c r="A480" s="75" t="s">
        <v>34</v>
      </c>
      <c r="B480" s="79">
        <v>46050</v>
      </c>
      <c r="C480" s="75"/>
      <c r="D480" s="75"/>
      <c r="E480" s="75"/>
      <c r="F480" s="75">
        <v>10325</v>
      </c>
      <c r="G480" s="76" t="str">
        <f>VLOOKUP(Tabelle2[[#This Row],[Kunden Nr.]],KUNDEN!A:B,2,0)</f>
        <v>PARKETI</v>
      </c>
      <c r="H480" s="75">
        <v>51611</v>
      </c>
      <c r="I480" s="76" t="str">
        <f>VLOOKUP(Tabelle2[[#This Row],[Artikel]],Produkte!A:B,2,0)</f>
        <v>universal akryl</v>
      </c>
      <c r="J480" s="75">
        <v>12</v>
      </c>
      <c r="K480" s="76" t="str">
        <f>VLOOKUP(Tabelle2[[#This Row],[Kunden Nr.]],KUNDEN!A:G,7)</f>
        <v>Qerimi</v>
      </c>
      <c r="L480" s="76">
        <f>VLOOKUP(Tabelle2[[#This Row],[Artikel]],Produkte!A:H,8)</f>
        <v>0.06</v>
      </c>
    </row>
    <row r="481" spans="1:12" x14ac:dyDescent="0.2">
      <c r="A481" s="75" t="s">
        <v>7</v>
      </c>
      <c r="B481" s="79">
        <v>46050</v>
      </c>
      <c r="C481" s="89">
        <v>17.5</v>
      </c>
      <c r="D481" s="75"/>
      <c r="E481" s="75"/>
      <c r="F481" s="75">
        <v>10303</v>
      </c>
      <c r="G481" s="76" t="str">
        <f>VLOOKUP(Tabelle2[[#This Row],[Kunden Nr.]],KUNDEN!A:B,2,0)</f>
        <v>BEKA-1</v>
      </c>
      <c r="H481" s="75">
        <v>44001</v>
      </c>
      <c r="I481" s="76" t="str">
        <f>VLOOKUP(Tabelle2[[#This Row],[Artikel]],Produkte!A:B,2,0)</f>
        <v>Fettspray</v>
      </c>
      <c r="J481" s="75">
        <v>5</v>
      </c>
      <c r="K481" s="76" t="str">
        <f>VLOOKUP(Tabelle2[[#This Row],[Kunden Nr.]],KUNDEN!A:G,7)</f>
        <v>Qerimi</v>
      </c>
      <c r="L481" s="76">
        <f>VLOOKUP(Tabelle2[[#This Row],[Artikel]],Produkte!A:H,8)</f>
        <v>0.2</v>
      </c>
    </row>
    <row r="482" spans="1:12" x14ac:dyDescent="0.2">
      <c r="A482" s="75" t="s">
        <v>20</v>
      </c>
      <c r="B482" s="79">
        <v>46050</v>
      </c>
      <c r="C482" s="89">
        <v>92.4</v>
      </c>
      <c r="D482" s="75"/>
      <c r="E482" s="75"/>
      <c r="F482" s="75">
        <v>10313</v>
      </c>
      <c r="G482" s="76" t="str">
        <f>VLOOKUP(Tabelle2[[#This Row],[Kunden Nr.]],KUNDEN!A:B,2,0)</f>
        <v>FATMIRI</v>
      </c>
      <c r="H482" s="75">
        <v>35113</v>
      </c>
      <c r="I482" s="76" t="str">
        <f>VLOOKUP(Tabelle2[[#This Row],[Artikel]],Produkte!A:B,2,0)</f>
        <v>M-ONE Sanitar Silikon</v>
      </c>
      <c r="J482" s="75">
        <v>12</v>
      </c>
      <c r="K482" s="76" t="str">
        <f>VLOOKUP(Tabelle2[[#This Row],[Kunden Nr.]],KUNDEN!A:G,7)</f>
        <v>Qerimi</v>
      </c>
      <c r="L482" s="76">
        <f>VLOOKUP(Tabelle2[[#This Row],[Artikel]],Produkte!A:H,8)</f>
        <v>0.17</v>
      </c>
    </row>
    <row r="483" spans="1:12" x14ac:dyDescent="0.2">
      <c r="A483" s="75" t="s">
        <v>20</v>
      </c>
      <c r="B483" s="79">
        <v>46050</v>
      </c>
      <c r="C483" s="75"/>
      <c r="D483" s="75"/>
      <c r="E483" s="75"/>
      <c r="F483" s="75">
        <v>10313</v>
      </c>
      <c r="G483" s="76" t="str">
        <f>VLOOKUP(Tabelle2[[#This Row],[Kunden Nr.]],KUNDEN!A:B,2,0)</f>
        <v>FATMIRI</v>
      </c>
      <c r="H483" s="75">
        <v>35121</v>
      </c>
      <c r="I483" s="76" t="str">
        <f>VLOOKUP(Tabelle2[[#This Row],[Artikel]],Produkte!A:B,2,0)</f>
        <v>M-ONE Sanitar Silikon</v>
      </c>
      <c r="J483" s="75">
        <v>12</v>
      </c>
      <c r="K483" s="76" t="str">
        <f>VLOOKUP(Tabelle2[[#This Row],[Kunden Nr.]],KUNDEN!A:G,7)</f>
        <v>Qerimi</v>
      </c>
      <c r="L483" s="76">
        <f>VLOOKUP(Tabelle2[[#This Row],[Artikel]],Produkte!A:H,8)</f>
        <v>0.17</v>
      </c>
    </row>
    <row r="484" spans="1:12" x14ac:dyDescent="0.2">
      <c r="A484" s="75" t="s">
        <v>618</v>
      </c>
      <c r="B484" s="79">
        <v>46050</v>
      </c>
      <c r="C484" s="89">
        <v>235.8</v>
      </c>
      <c r="D484" s="75"/>
      <c r="E484" s="75"/>
      <c r="F484" s="75">
        <v>20307</v>
      </c>
      <c r="G484" s="76" t="str">
        <f>VLOOKUP(Tabelle2[[#This Row],[Kunden Nr.]],KUNDEN!A:B,2,0)</f>
        <v>CONDOR</v>
      </c>
      <c r="H484" s="75">
        <v>66701</v>
      </c>
      <c r="I484" s="76" t="str">
        <f>VLOOKUP(Tabelle2[[#This Row],[Artikel]],Produkte!A:B,2,0)</f>
        <v>PROFIMONT EXTREME</v>
      </c>
      <c r="J484" s="75">
        <v>12</v>
      </c>
      <c r="K484" s="76" t="str">
        <f>VLOOKUP(Tabelle2[[#This Row],[Kunden Nr.]],KUNDEN!A:G,7)</f>
        <v>Mensuri</v>
      </c>
      <c r="L484" s="76">
        <f>VLOOKUP(Tabelle2[[#This Row],[Artikel]],Produkte!A:H,8)</f>
        <v>0.2</v>
      </c>
    </row>
    <row r="485" spans="1:12" x14ac:dyDescent="0.2">
      <c r="A485" s="75" t="s">
        <v>618</v>
      </c>
      <c r="B485" s="79">
        <v>46050</v>
      </c>
      <c r="C485" s="75"/>
      <c r="D485" s="75"/>
      <c r="E485" s="75"/>
      <c r="F485" s="75">
        <v>20307</v>
      </c>
      <c r="G485" s="76" t="str">
        <f>VLOOKUP(Tabelle2[[#This Row],[Kunden Nr.]],KUNDEN!A:B,2,0)</f>
        <v>CONDOR</v>
      </c>
      <c r="H485" s="75">
        <v>35109</v>
      </c>
      <c r="I485" s="76" t="str">
        <f>VLOOKUP(Tabelle2[[#This Row],[Artikel]],Produkte!A:B,2,0)</f>
        <v>M-ONE Sanitar Silikon</v>
      </c>
      <c r="J485" s="75">
        <v>12</v>
      </c>
      <c r="K485" s="76" t="str">
        <f>VLOOKUP(Tabelle2[[#This Row],[Kunden Nr.]],KUNDEN!A:G,7)</f>
        <v>Mensuri</v>
      </c>
      <c r="L485" s="76">
        <f>VLOOKUP(Tabelle2[[#This Row],[Artikel]],Produkte!A:H,8)</f>
        <v>0.17</v>
      </c>
    </row>
    <row r="486" spans="1:12" x14ac:dyDescent="0.2">
      <c r="A486" s="75" t="s">
        <v>618</v>
      </c>
      <c r="B486" s="79">
        <v>46050</v>
      </c>
      <c r="C486" s="75"/>
      <c r="D486" s="75"/>
      <c r="E486" s="75"/>
      <c r="F486" s="75">
        <v>20307</v>
      </c>
      <c r="G486" s="76" t="str">
        <f>VLOOKUP(Tabelle2[[#This Row],[Kunden Nr.]],KUNDEN!A:B,2,0)</f>
        <v>CONDOR</v>
      </c>
      <c r="H486" s="75">
        <v>35110</v>
      </c>
      <c r="I486" s="76" t="str">
        <f>VLOOKUP(Tabelle2[[#This Row],[Artikel]],Produkte!A:B,2,0)</f>
        <v>M-ONE Sanitar Silikon</v>
      </c>
      <c r="J486" s="75">
        <v>12</v>
      </c>
      <c r="K486" s="76" t="str">
        <f>VLOOKUP(Tabelle2[[#This Row],[Kunden Nr.]],KUNDEN!A:G,7)</f>
        <v>Mensuri</v>
      </c>
      <c r="L486" s="76">
        <f>VLOOKUP(Tabelle2[[#This Row],[Artikel]],Produkte!A:H,8)</f>
        <v>0.17</v>
      </c>
    </row>
    <row r="487" spans="1:12" x14ac:dyDescent="0.2">
      <c r="A487" s="75" t="s">
        <v>618</v>
      </c>
      <c r="B487" s="79">
        <v>46050</v>
      </c>
      <c r="C487" s="75"/>
      <c r="D487" s="75"/>
      <c r="E487" s="75"/>
      <c r="F487" s="75">
        <v>20307</v>
      </c>
      <c r="G487" s="76" t="str">
        <f>VLOOKUP(Tabelle2[[#This Row],[Kunden Nr.]],KUNDEN!A:B,2,0)</f>
        <v>CONDOR</v>
      </c>
      <c r="H487" s="75">
        <v>35110</v>
      </c>
      <c r="I487" s="76" t="str">
        <f>VLOOKUP(Tabelle2[[#This Row],[Artikel]],Produkte!A:B,2,0)</f>
        <v>M-ONE Sanitar Silikon</v>
      </c>
      <c r="J487" s="75">
        <v>12</v>
      </c>
      <c r="K487" s="76" t="str">
        <f>VLOOKUP(Tabelle2[[#This Row],[Kunden Nr.]],KUNDEN!A:G,7)</f>
        <v>Mensuri</v>
      </c>
      <c r="L487" s="76">
        <f>VLOOKUP(Tabelle2[[#This Row],[Artikel]],Produkte!A:H,8)</f>
        <v>0.17</v>
      </c>
    </row>
    <row r="488" spans="1:12" x14ac:dyDescent="0.2">
      <c r="A488" s="75" t="s">
        <v>618</v>
      </c>
      <c r="B488" s="79">
        <v>46050</v>
      </c>
      <c r="C488" s="75"/>
      <c r="D488" s="75"/>
      <c r="E488" s="75"/>
      <c r="F488" s="75">
        <v>20307</v>
      </c>
      <c r="G488" s="76" t="str">
        <f>VLOOKUP(Tabelle2[[#This Row],[Kunden Nr.]],KUNDEN!A:B,2,0)</f>
        <v>CONDOR</v>
      </c>
      <c r="H488" s="75">
        <v>35125</v>
      </c>
      <c r="I488" s="76" t="str">
        <f>VLOOKUP(Tabelle2[[#This Row],[Artikel]],Produkte!A:B,2,0)</f>
        <v>M-ONE Sanitar Silikon</v>
      </c>
      <c r="J488" s="75">
        <v>12</v>
      </c>
      <c r="K488" s="76" t="str">
        <f>VLOOKUP(Tabelle2[[#This Row],[Kunden Nr.]],KUNDEN!A:G,7)</f>
        <v>Mensuri</v>
      </c>
      <c r="L488" s="76">
        <f>VLOOKUP(Tabelle2[[#This Row],[Artikel]],Produkte!A:H,8)</f>
        <v>0.17</v>
      </c>
    </row>
    <row r="489" spans="1:12" x14ac:dyDescent="0.2">
      <c r="A489" s="75" t="s">
        <v>618</v>
      </c>
      <c r="B489" s="79">
        <v>46050</v>
      </c>
      <c r="C489" s="75"/>
      <c r="D489" s="75"/>
      <c r="E489" s="75"/>
      <c r="F489" s="75">
        <v>20307</v>
      </c>
      <c r="G489" s="76" t="str">
        <f>VLOOKUP(Tabelle2[[#This Row],[Kunden Nr.]],KUNDEN!A:B,2,0)</f>
        <v>CONDOR</v>
      </c>
      <c r="H489" s="75">
        <v>51612</v>
      </c>
      <c r="I489" s="76" t="str">
        <f>VLOOKUP(Tabelle2[[#This Row],[Artikel]],Produkte!A:B,2,0)</f>
        <v>struktural akryl</v>
      </c>
      <c r="J489" s="75">
        <v>12</v>
      </c>
      <c r="K489" s="76" t="str">
        <f>VLOOKUP(Tabelle2[[#This Row],[Kunden Nr.]],KUNDEN!A:G,7)</f>
        <v>Mensuri</v>
      </c>
      <c r="L489" s="76">
        <f>VLOOKUP(Tabelle2[[#This Row],[Artikel]],Produkte!A:H,8)</f>
        <v>0.06</v>
      </c>
    </row>
    <row r="490" spans="1:12" x14ac:dyDescent="0.2">
      <c r="A490" s="75" t="s">
        <v>1308</v>
      </c>
      <c r="B490" s="79">
        <v>46050</v>
      </c>
      <c r="C490" s="89">
        <v>46.2</v>
      </c>
      <c r="D490" s="75"/>
      <c r="E490" s="75"/>
      <c r="F490" s="75">
        <v>20326</v>
      </c>
      <c r="G490" s="76" t="str">
        <f>VLOOKUP(Tabelle2[[#This Row],[Kunden Nr.]],KUNDEN!A:B,2,0)</f>
        <v>BERATI</v>
      </c>
      <c r="H490" s="75">
        <v>35110</v>
      </c>
      <c r="I490" s="76" t="str">
        <f>VLOOKUP(Tabelle2[[#This Row],[Artikel]],Produkte!A:B,2,0)</f>
        <v>M-ONE Sanitar Silikon</v>
      </c>
      <c r="J490" s="75">
        <v>12</v>
      </c>
      <c r="K490" s="76" t="str">
        <f>VLOOKUP(Tabelle2[[#This Row],[Kunden Nr.]],KUNDEN!A:G,7)</f>
        <v>Mensuri</v>
      </c>
      <c r="L490" s="76">
        <f>VLOOKUP(Tabelle2[[#This Row],[Artikel]],Produkte!A:H,8)</f>
        <v>0.17</v>
      </c>
    </row>
    <row r="491" spans="1:12" x14ac:dyDescent="0.2">
      <c r="A491" s="75" t="s">
        <v>1252</v>
      </c>
      <c r="B491" s="79">
        <v>46050</v>
      </c>
      <c r="C491" s="89">
        <v>92.4</v>
      </c>
      <c r="D491" s="75"/>
      <c r="E491" s="75"/>
      <c r="F491" s="75">
        <v>20331</v>
      </c>
      <c r="G491" s="76" t="str">
        <f>VLOOKUP(Tabelle2[[#This Row],[Kunden Nr.]],KUNDEN!A:B,2,0)</f>
        <v>BARDHI-M</v>
      </c>
      <c r="H491" s="75">
        <v>35111</v>
      </c>
      <c r="I491" s="76" t="str">
        <f>VLOOKUP(Tabelle2[[#This Row],[Artikel]],Produkte!A:B,2,0)</f>
        <v>M-ONE Sanitar Silikon</v>
      </c>
      <c r="J491" s="75">
        <v>12</v>
      </c>
      <c r="K491" s="76" t="str">
        <f>VLOOKUP(Tabelle2[[#This Row],[Kunden Nr.]],KUNDEN!A:G,7)</f>
        <v>Mensuri</v>
      </c>
      <c r="L491" s="76">
        <f>VLOOKUP(Tabelle2[[#This Row],[Artikel]],Produkte!A:H,8)</f>
        <v>0.17</v>
      </c>
    </row>
    <row r="492" spans="1:12" x14ac:dyDescent="0.2">
      <c r="A492" s="75" t="s">
        <v>1252</v>
      </c>
      <c r="B492" s="79">
        <v>46050</v>
      </c>
      <c r="C492" s="75"/>
      <c r="D492" s="75"/>
      <c r="E492" s="75"/>
      <c r="F492" s="75">
        <v>20331</v>
      </c>
      <c r="G492" s="76" t="str">
        <f>VLOOKUP(Tabelle2[[#This Row],[Kunden Nr.]],KUNDEN!A:B,2,0)</f>
        <v>BARDHI-M</v>
      </c>
      <c r="H492" s="75">
        <v>35121</v>
      </c>
      <c r="I492" s="76" t="str">
        <f>VLOOKUP(Tabelle2[[#This Row],[Artikel]],Produkte!A:B,2,0)</f>
        <v>M-ONE Sanitar Silikon</v>
      </c>
      <c r="J492" s="75">
        <v>12</v>
      </c>
      <c r="K492" s="76" t="str">
        <f>VLOOKUP(Tabelle2[[#This Row],[Kunden Nr.]],KUNDEN!A:G,7)</f>
        <v>Mensuri</v>
      </c>
      <c r="L492" s="76">
        <f>VLOOKUP(Tabelle2[[#This Row],[Artikel]],Produkte!A:H,8)</f>
        <v>0.17</v>
      </c>
    </row>
    <row r="493" spans="1:12" x14ac:dyDescent="0.2">
      <c r="A493" s="75" t="s">
        <v>60</v>
      </c>
      <c r="B493" s="79">
        <v>46050</v>
      </c>
      <c r="C493" s="89">
        <v>120</v>
      </c>
      <c r="D493" s="75"/>
      <c r="E493" s="75"/>
      <c r="F493" s="75">
        <v>20302</v>
      </c>
      <c r="G493" s="76" t="str">
        <f>VLOOKUP(Tabelle2[[#This Row],[Kunden Nr.]],KUNDEN!A:B,2,0)</f>
        <v>NIVELIZIMI-D SH.P.K.</v>
      </c>
      <c r="H493" s="75">
        <v>35110</v>
      </c>
      <c r="I493" s="76" t="str">
        <f>VLOOKUP(Tabelle2[[#This Row],[Artikel]],Produkte!A:B,2,0)</f>
        <v>M-ONE Sanitar Silikon</v>
      </c>
      <c r="J493" s="75">
        <v>12</v>
      </c>
      <c r="K493" s="76" t="str">
        <f>VLOOKUP(Tabelle2[[#This Row],[Kunden Nr.]],KUNDEN!A:G,7)</f>
        <v>Mensuri</v>
      </c>
      <c r="L493" s="76">
        <f>VLOOKUP(Tabelle2[[#This Row],[Artikel]],Produkte!A:H,8)</f>
        <v>0.17</v>
      </c>
    </row>
    <row r="494" spans="1:12" x14ac:dyDescent="0.2">
      <c r="A494" s="75" t="s">
        <v>60</v>
      </c>
      <c r="B494" s="79">
        <v>46050</v>
      </c>
      <c r="C494" s="75"/>
      <c r="D494" s="75"/>
      <c r="E494" s="75"/>
      <c r="F494" s="75">
        <v>20302</v>
      </c>
      <c r="G494" s="76" t="str">
        <f>VLOOKUP(Tabelle2[[#This Row],[Kunden Nr.]],KUNDEN!A:B,2,0)</f>
        <v>NIVELIZIMI-D SH.P.K.</v>
      </c>
      <c r="H494" s="75">
        <v>35121</v>
      </c>
      <c r="I494" s="76" t="str">
        <f>VLOOKUP(Tabelle2[[#This Row],[Artikel]],Produkte!A:B,2,0)</f>
        <v>M-ONE Sanitar Silikon</v>
      </c>
      <c r="J494" s="75">
        <v>12</v>
      </c>
      <c r="K494" s="76" t="str">
        <f>VLOOKUP(Tabelle2[[#This Row],[Kunden Nr.]],KUNDEN!A:G,7)</f>
        <v>Mensuri</v>
      </c>
      <c r="L494" s="76">
        <f>VLOOKUP(Tabelle2[[#This Row],[Artikel]],Produkte!A:H,8)</f>
        <v>0.17</v>
      </c>
    </row>
    <row r="495" spans="1:12" x14ac:dyDescent="0.2">
      <c r="A495" s="75" t="s">
        <v>60</v>
      </c>
      <c r="B495" s="79">
        <v>46050</v>
      </c>
      <c r="C495" s="75"/>
      <c r="D495" s="75"/>
      <c r="E495" s="75"/>
      <c r="F495" s="75">
        <v>20302</v>
      </c>
      <c r="G495" s="76" t="str">
        <f>VLOOKUP(Tabelle2[[#This Row],[Kunden Nr.]],KUNDEN!A:B,2,0)</f>
        <v>NIVELIZIMI-D SH.P.K.</v>
      </c>
      <c r="H495" s="75">
        <v>51612</v>
      </c>
      <c r="I495" s="76" t="str">
        <f>VLOOKUP(Tabelle2[[#This Row],[Artikel]],Produkte!A:B,2,0)</f>
        <v>struktural akryl</v>
      </c>
      <c r="J495" s="75">
        <v>12</v>
      </c>
      <c r="K495" s="76" t="str">
        <f>VLOOKUP(Tabelle2[[#This Row],[Kunden Nr.]],KUNDEN!A:G,7)</f>
        <v>Mensuri</v>
      </c>
      <c r="L495" s="76">
        <f>VLOOKUP(Tabelle2[[#This Row],[Artikel]],Produkte!A:H,8)</f>
        <v>0.06</v>
      </c>
    </row>
    <row r="496" spans="1:12" x14ac:dyDescent="0.2">
      <c r="A496" s="75" t="s">
        <v>615</v>
      </c>
      <c r="B496" s="79">
        <v>46050</v>
      </c>
      <c r="C496" s="89">
        <v>53</v>
      </c>
      <c r="D496" s="75"/>
      <c r="E496" s="75"/>
      <c r="F496" s="75">
        <v>20304</v>
      </c>
      <c r="G496" s="76" t="str">
        <f>VLOOKUP(Tabelle2[[#This Row],[Kunden Nr.]],KUNDEN!A:B,2,0)</f>
        <v>AGRO-FARM</v>
      </c>
      <c r="H496" s="75">
        <v>56117</v>
      </c>
      <c r="I496" s="76" t="str">
        <f>VLOOKUP(Tabelle2[[#This Row],[Artikel]],Produkte!A:B,2,0)</f>
        <v>M ONE UBS</v>
      </c>
      <c r="J496" s="75">
        <v>5</v>
      </c>
      <c r="K496" s="76" t="str">
        <f>VLOOKUP(Tabelle2[[#This Row],[Kunden Nr.]],KUNDEN!A:G,7)</f>
        <v>Mensuri</v>
      </c>
      <c r="L496" s="76">
        <f>VLOOKUP(Tabelle2[[#This Row],[Artikel]],Produkte!A:H,8)</f>
        <v>0.2</v>
      </c>
    </row>
    <row r="497" spans="1:12" x14ac:dyDescent="0.2">
      <c r="A497" s="75" t="s">
        <v>615</v>
      </c>
      <c r="B497" s="79">
        <v>46050</v>
      </c>
      <c r="C497" s="75"/>
      <c r="D497" s="75"/>
      <c r="E497" s="75"/>
      <c r="F497" s="75">
        <v>20304</v>
      </c>
      <c r="G497" s="76" t="str">
        <f>VLOOKUP(Tabelle2[[#This Row],[Kunden Nr.]],KUNDEN!A:B,2,0)</f>
        <v>AGRO-FARM</v>
      </c>
      <c r="H497" s="75">
        <v>44001</v>
      </c>
      <c r="I497" s="76" t="str">
        <f>VLOOKUP(Tabelle2[[#This Row],[Artikel]],Produkte!A:B,2,0)</f>
        <v>Fettspray</v>
      </c>
      <c r="J497" s="75">
        <v>6</v>
      </c>
      <c r="K497" s="76" t="str">
        <f>VLOOKUP(Tabelle2[[#This Row],[Kunden Nr.]],KUNDEN!A:G,7)</f>
        <v>Mensuri</v>
      </c>
      <c r="L497" s="76">
        <f>VLOOKUP(Tabelle2[[#This Row],[Artikel]],Produkte!A:H,8)</f>
        <v>0.2</v>
      </c>
    </row>
    <row r="498" spans="1:12" x14ac:dyDescent="0.2">
      <c r="A498" s="75" t="s">
        <v>615</v>
      </c>
      <c r="B498" s="79">
        <v>46050</v>
      </c>
      <c r="C498" s="75"/>
      <c r="D498" s="75"/>
      <c r="E498" s="75"/>
      <c r="F498" s="75">
        <v>20304</v>
      </c>
      <c r="G498" s="76" t="str">
        <f>VLOOKUP(Tabelle2[[#This Row],[Kunden Nr.]],KUNDEN!A:B,2,0)</f>
        <v>AGRO-FARM</v>
      </c>
      <c r="H498" s="75">
        <v>49644</v>
      </c>
      <c r="I498" s="76" t="str">
        <f>VLOOKUP(Tabelle2[[#This Row],[Artikel]],Produkte!A:B,2,0)</f>
        <v>beMAKER Rostlöser</v>
      </c>
      <c r="J498" s="75">
        <v>6</v>
      </c>
      <c r="K498" s="76" t="str">
        <f>VLOOKUP(Tabelle2[[#This Row],[Kunden Nr.]],KUNDEN!A:G,7)</f>
        <v>Mensuri</v>
      </c>
      <c r="L498" s="76">
        <f>VLOOKUP(Tabelle2[[#This Row],[Artikel]],Produkte!A:H,8)</f>
        <v>0.2</v>
      </c>
    </row>
    <row r="499" spans="1:12" x14ac:dyDescent="0.2">
      <c r="A499" s="75" t="s">
        <v>895</v>
      </c>
      <c r="B499" s="79">
        <v>46050</v>
      </c>
      <c r="C499" s="89">
        <v>46.2</v>
      </c>
      <c r="D499" s="75"/>
      <c r="E499" s="75"/>
      <c r="F499" s="75">
        <v>20303</v>
      </c>
      <c r="G499" s="76" t="str">
        <f>VLOOKUP(Tabelle2[[#This Row],[Kunden Nr.]],KUNDEN!A:B,2,0)</f>
        <v>NITA 3</v>
      </c>
      <c r="H499" s="75">
        <v>35121</v>
      </c>
      <c r="I499" s="76" t="str">
        <f>VLOOKUP(Tabelle2[[#This Row],[Artikel]],Produkte!A:B,2,0)</f>
        <v>M-ONE Sanitar Silikon</v>
      </c>
      <c r="J499" s="75">
        <v>12</v>
      </c>
      <c r="K499" s="76" t="str">
        <f>VLOOKUP(Tabelle2[[#This Row],[Kunden Nr.]],KUNDEN!A:G,7)</f>
        <v>Mensuri</v>
      </c>
      <c r="L499" s="76">
        <f>VLOOKUP(Tabelle2[[#This Row],[Artikel]],Produkte!A:H,8)</f>
        <v>0.17</v>
      </c>
    </row>
    <row r="500" spans="1:12" x14ac:dyDescent="0.2">
      <c r="A500" s="75" t="s">
        <v>949</v>
      </c>
      <c r="B500" s="79">
        <v>46050</v>
      </c>
      <c r="C500" s="89">
        <v>92.4</v>
      </c>
      <c r="D500" s="75"/>
      <c r="E500" s="75"/>
      <c r="F500" s="75">
        <v>20311</v>
      </c>
      <c r="G500" s="76" t="str">
        <f>VLOOKUP(Tabelle2[[#This Row],[Kunden Nr.]],KUNDEN!A:B,2,0)</f>
        <v>SOPAJ</v>
      </c>
      <c r="H500" s="75">
        <v>35109</v>
      </c>
      <c r="I500" s="76" t="str">
        <f>VLOOKUP(Tabelle2[[#This Row],[Artikel]],Produkte!A:B,2,0)</f>
        <v>M-ONE Sanitar Silikon</v>
      </c>
      <c r="J500" s="75">
        <v>12</v>
      </c>
      <c r="K500" s="76" t="str">
        <f>VLOOKUP(Tabelle2[[#This Row],[Kunden Nr.]],KUNDEN!A:G,7)</f>
        <v>Mensuri</v>
      </c>
      <c r="L500" s="76">
        <f>VLOOKUP(Tabelle2[[#This Row],[Artikel]],Produkte!A:H,8)</f>
        <v>0.17</v>
      </c>
    </row>
    <row r="501" spans="1:12" x14ac:dyDescent="0.2">
      <c r="A501" s="75" t="s">
        <v>949</v>
      </c>
      <c r="B501" s="79">
        <v>46050</v>
      </c>
      <c r="C501" s="75"/>
      <c r="D501" s="75"/>
      <c r="E501" s="75"/>
      <c r="F501" s="75">
        <v>20311</v>
      </c>
      <c r="G501" s="76" t="str">
        <f>VLOOKUP(Tabelle2[[#This Row],[Kunden Nr.]],KUNDEN!A:B,2,0)</f>
        <v>SOPAJ</v>
      </c>
      <c r="H501" s="75">
        <v>35115</v>
      </c>
      <c r="I501" s="76" t="str">
        <f>VLOOKUP(Tabelle2[[#This Row],[Artikel]],Produkte!A:B,2,0)</f>
        <v>M-ONE Sanitar Silikon</v>
      </c>
      <c r="J501" s="75">
        <v>12</v>
      </c>
      <c r="K501" s="76" t="str">
        <f>VLOOKUP(Tabelle2[[#This Row],[Kunden Nr.]],KUNDEN!A:G,7)</f>
        <v>Mensuri</v>
      </c>
      <c r="L501" s="76">
        <f>VLOOKUP(Tabelle2[[#This Row],[Artikel]],Produkte!A:H,8)</f>
        <v>0.17</v>
      </c>
    </row>
    <row r="502" spans="1:12" x14ac:dyDescent="0.2">
      <c r="A502" s="75" t="s">
        <v>622</v>
      </c>
      <c r="B502" s="79">
        <v>46050</v>
      </c>
      <c r="C502" s="89">
        <v>55.5</v>
      </c>
      <c r="D502" s="75"/>
      <c r="E502" s="75"/>
      <c r="F502" s="75">
        <v>20312</v>
      </c>
      <c r="G502" s="76" t="str">
        <f>VLOOKUP(Tabelle2[[#This Row],[Kunden Nr.]],KUNDEN!A:B,2,0)</f>
        <v>A.P. SHPENDI</v>
      </c>
      <c r="H502" s="75">
        <v>50912</v>
      </c>
      <c r="I502" s="76" t="str">
        <f>VLOOKUP(Tabelle2[[#This Row],[Artikel]],Produkte!A:B,2,0)</f>
        <v>DICHTUNG</v>
      </c>
      <c r="J502" s="75">
        <v>3</v>
      </c>
      <c r="K502" s="76" t="str">
        <f>VLOOKUP(Tabelle2[[#This Row],[Kunden Nr.]],KUNDEN!A:G,7)</f>
        <v>Mensuri</v>
      </c>
      <c r="L502" s="76">
        <f>VLOOKUP(Tabelle2[[#This Row],[Artikel]],Produkte!A:H,8)</f>
        <v>0.2</v>
      </c>
    </row>
    <row r="503" spans="1:12" x14ac:dyDescent="0.2">
      <c r="A503" s="75" t="s">
        <v>622</v>
      </c>
      <c r="B503" s="79">
        <v>46050</v>
      </c>
      <c r="C503" s="75"/>
      <c r="D503" s="75"/>
      <c r="E503" s="75"/>
      <c r="F503" s="75">
        <v>20312</v>
      </c>
      <c r="G503" s="76" t="str">
        <f>VLOOKUP(Tabelle2[[#This Row],[Kunden Nr.]],KUNDEN!A:B,2,0)</f>
        <v>A.P. SHPENDI</v>
      </c>
      <c r="H503" s="75">
        <v>55718</v>
      </c>
      <c r="I503" s="76" t="str">
        <f>VLOOKUP(Tabelle2[[#This Row],[Artikel]],Produkte!A:B,2,0)</f>
        <v>M ONE MOTORSTART</v>
      </c>
      <c r="J503" s="75">
        <v>4</v>
      </c>
      <c r="K503" s="76" t="str">
        <f>VLOOKUP(Tabelle2[[#This Row],[Kunden Nr.]],KUNDEN!A:G,7)</f>
        <v>Mensuri</v>
      </c>
      <c r="L503" s="76">
        <f>VLOOKUP(Tabelle2[[#This Row],[Artikel]],Produkte!A:H,8)</f>
        <v>0.2</v>
      </c>
    </row>
    <row r="504" spans="1:12" x14ac:dyDescent="0.2">
      <c r="A504" s="75" t="s">
        <v>622</v>
      </c>
      <c r="B504" s="79">
        <v>46050</v>
      </c>
      <c r="C504" s="75"/>
      <c r="D504" s="75"/>
      <c r="E504" s="75"/>
      <c r="F504" s="75">
        <v>20312</v>
      </c>
      <c r="G504" s="76" t="str">
        <f>VLOOKUP(Tabelle2[[#This Row],[Kunden Nr.]],KUNDEN!A:B,2,0)</f>
        <v>A.P. SHPENDI</v>
      </c>
      <c r="H504" s="75">
        <v>49644</v>
      </c>
      <c r="I504" s="76" t="str">
        <f>VLOOKUP(Tabelle2[[#This Row],[Artikel]],Produkte!A:B,2,0)</f>
        <v>beMAKER Rostlöser</v>
      </c>
      <c r="J504" s="75">
        <v>6</v>
      </c>
      <c r="K504" s="76" t="str">
        <f>VLOOKUP(Tabelle2[[#This Row],[Kunden Nr.]],KUNDEN!A:G,7)</f>
        <v>Mensuri</v>
      </c>
      <c r="L504" s="76">
        <f>VLOOKUP(Tabelle2[[#This Row],[Artikel]],Produkte!A:H,8)</f>
        <v>0.2</v>
      </c>
    </row>
    <row r="505" spans="1:12" x14ac:dyDescent="0.2">
      <c r="A505" s="75" t="s">
        <v>622</v>
      </c>
      <c r="B505" s="79">
        <v>46050</v>
      </c>
      <c r="C505" s="75"/>
      <c r="D505" s="75"/>
      <c r="E505" s="75"/>
      <c r="F505" s="75">
        <v>20312</v>
      </c>
      <c r="G505" s="76" t="str">
        <f>VLOOKUP(Tabelle2[[#This Row],[Kunden Nr.]],KUNDEN!A:B,2,0)</f>
        <v>A.P. SHPENDI</v>
      </c>
      <c r="H505" s="75">
        <v>44001</v>
      </c>
      <c r="I505" s="76" t="str">
        <f>VLOOKUP(Tabelle2[[#This Row],[Artikel]],Produkte!A:B,2,0)</f>
        <v>Fettspray</v>
      </c>
      <c r="J505" s="75">
        <v>2</v>
      </c>
      <c r="K505" s="76" t="str">
        <f>VLOOKUP(Tabelle2[[#This Row],[Kunden Nr.]],KUNDEN!A:G,7)</f>
        <v>Mensuri</v>
      </c>
      <c r="L505" s="76">
        <f>VLOOKUP(Tabelle2[[#This Row],[Artikel]],Produkte!A:H,8)</f>
        <v>0.2</v>
      </c>
    </row>
    <row r="506" spans="1:12" x14ac:dyDescent="0.2">
      <c r="A506" s="75" t="s">
        <v>770</v>
      </c>
      <c r="B506" s="79">
        <v>46051</v>
      </c>
      <c r="C506" s="89">
        <v>228</v>
      </c>
      <c r="D506" s="75"/>
      <c r="E506" s="75"/>
      <c r="F506" s="75">
        <v>40003</v>
      </c>
      <c r="G506" s="76" t="str">
        <f>VLOOKUP(Tabelle2[[#This Row],[Kunden Nr.]],KUNDEN!A:B,2,0)</f>
        <v>ARBENI BIOBLIC</v>
      </c>
      <c r="H506" s="75">
        <v>20001</v>
      </c>
      <c r="I506" s="76" t="str">
        <f>VLOOKUP(Tabelle2[[#This Row],[Artikel]],Produkte!A:B,2,0)</f>
        <v>BioBlic Universalreiniger</v>
      </c>
      <c r="J506" s="75">
        <v>130</v>
      </c>
      <c r="K506" s="76">
        <f>VLOOKUP(Tabelle2[[#This Row],[Kunden Nr.]],KUNDEN!A:G,7)</f>
        <v>0</v>
      </c>
      <c r="L506" s="76">
        <f>VLOOKUP(Tabelle2[[#This Row],[Artikel]],Produkte!A:H,8)</f>
        <v>0.30000000000000004</v>
      </c>
    </row>
    <row r="507" spans="1:12" x14ac:dyDescent="0.2">
      <c r="A507" s="75" t="s">
        <v>770</v>
      </c>
      <c r="B507" s="79">
        <v>46051</v>
      </c>
      <c r="C507" s="75"/>
      <c r="D507" s="75"/>
      <c r="E507" s="75"/>
      <c r="F507" s="75">
        <v>40003</v>
      </c>
      <c r="G507" s="76" t="str">
        <f>VLOOKUP(Tabelle2[[#This Row],[Kunden Nr.]],KUNDEN!A:B,2,0)</f>
        <v>ARBENI BIOBLIC</v>
      </c>
      <c r="H507" s="75">
        <v>30275</v>
      </c>
      <c r="I507" s="76" t="str">
        <f>VLOOKUP(Tabelle2[[#This Row],[Artikel]],Produkte!A:B,2,0)</f>
        <v>Blic Blic Sanitärreiniger</v>
      </c>
      <c r="J507" s="75">
        <v>40</v>
      </c>
      <c r="K507" s="76">
        <f>VLOOKUP(Tabelle2[[#This Row],[Kunden Nr.]],KUNDEN!A:G,7)</f>
        <v>0</v>
      </c>
      <c r="L507" s="76">
        <f>VLOOKUP(Tabelle2[[#This Row],[Artikel]],Produkte!A:H,8)</f>
        <v>0.30000000000000004</v>
      </c>
    </row>
    <row r="508" spans="1:12" x14ac:dyDescent="0.2">
      <c r="A508" s="75" t="s">
        <v>770</v>
      </c>
      <c r="B508" s="79">
        <v>46051</v>
      </c>
      <c r="C508" s="75"/>
      <c r="D508" s="75"/>
      <c r="E508" s="75"/>
      <c r="F508" s="75">
        <v>40003</v>
      </c>
      <c r="G508" s="76" t="str">
        <f>VLOOKUP(Tabelle2[[#This Row],[Kunden Nr.]],KUNDEN!A:B,2,0)</f>
        <v>ARBENI BIOBLIC</v>
      </c>
      <c r="H508" s="75">
        <v>49644</v>
      </c>
      <c r="I508" s="76" t="str">
        <f>VLOOKUP(Tabelle2[[#This Row],[Artikel]],Produkte!A:B,2,0)</f>
        <v>beMAKER Rostlöser</v>
      </c>
      <c r="J508" s="75">
        <v>5</v>
      </c>
      <c r="K508" s="76">
        <f>VLOOKUP(Tabelle2[[#This Row],[Kunden Nr.]],KUNDEN!A:G,7)</f>
        <v>0</v>
      </c>
      <c r="L508" s="76">
        <f>VLOOKUP(Tabelle2[[#This Row],[Artikel]],Produkte!A:H,8)</f>
        <v>0.2</v>
      </c>
    </row>
    <row r="509" spans="1:12" x14ac:dyDescent="0.2">
      <c r="A509" s="75" t="s">
        <v>770</v>
      </c>
      <c r="B509" s="79">
        <v>46051</v>
      </c>
      <c r="C509" s="75"/>
      <c r="D509" s="75"/>
      <c r="E509" s="75"/>
      <c r="F509" s="75">
        <v>40003</v>
      </c>
      <c r="G509" s="76" t="str">
        <f>VLOOKUP(Tabelle2[[#This Row],[Kunden Nr.]],KUNDEN!A:B,2,0)</f>
        <v>ARBENI BIOBLIC</v>
      </c>
      <c r="H509" s="75">
        <v>39505</v>
      </c>
      <c r="I509" s="76" t="str">
        <f>VLOOKUP(Tabelle2[[#This Row],[Artikel]],Produkte!A:B,2,0)</f>
        <v>M ONE SILIKON SPRAY</v>
      </c>
      <c r="J509" s="75">
        <v>1</v>
      </c>
      <c r="K509" s="76">
        <f>VLOOKUP(Tabelle2[[#This Row],[Kunden Nr.]],KUNDEN!A:G,7)</f>
        <v>0</v>
      </c>
      <c r="L509" s="76">
        <f>VLOOKUP(Tabelle2[[#This Row],[Artikel]],Produkte!A:H,8)</f>
        <v>0.2</v>
      </c>
    </row>
    <row r="510" spans="1:12" x14ac:dyDescent="0.2">
      <c r="A510" s="75" t="s">
        <v>769</v>
      </c>
      <c r="B510" s="79">
        <v>46051</v>
      </c>
      <c r="C510" s="89">
        <v>24</v>
      </c>
      <c r="D510" s="75"/>
      <c r="E510" s="75"/>
      <c r="F510" s="75">
        <v>40002</v>
      </c>
      <c r="G510" s="76" t="str">
        <f>VLOOKUP(Tabelle2[[#This Row],[Kunden Nr.]],KUNDEN!A:B,2,0)</f>
        <v>FORD BASHKIMI</v>
      </c>
      <c r="H510" s="75">
        <v>54412</v>
      </c>
      <c r="I510" s="76" t="str">
        <f>VLOOKUP(Tabelle2[[#This Row],[Artikel]],Produkte!A:B,2,0)</f>
        <v>beMAKER Bremsen&amp;Teile Reininger</v>
      </c>
      <c r="J510" s="75">
        <v>12</v>
      </c>
      <c r="K510" s="76">
        <f>VLOOKUP(Tabelle2[[#This Row],[Kunden Nr.]],KUNDEN!A:G,7)</f>
        <v>0</v>
      </c>
      <c r="L510" s="76">
        <f>VLOOKUP(Tabelle2[[#This Row],[Artikel]],Produkte!A:H,8)</f>
        <v>0.2</v>
      </c>
    </row>
    <row r="511" spans="1:12" x14ac:dyDescent="0.2">
      <c r="A511" s="75" t="s">
        <v>558</v>
      </c>
      <c r="B511" s="79">
        <v>46051</v>
      </c>
      <c r="C511" s="89">
        <v>231</v>
      </c>
      <c r="D511" s="75"/>
      <c r="E511" s="75"/>
      <c r="F511" s="75">
        <v>10418</v>
      </c>
      <c r="G511" s="76" t="str">
        <f>VLOOKUP(Tabelle2[[#This Row],[Kunden Nr.]],KUNDEN!A:B,2,0)</f>
        <v>NDRIQIMI</v>
      </c>
      <c r="H511" s="75">
        <v>35110</v>
      </c>
      <c r="I511" s="76" t="str">
        <f>VLOOKUP(Tabelle2[[#This Row],[Artikel]],Produkte!A:B,2,0)</f>
        <v>M-ONE Sanitar Silikon</v>
      </c>
      <c r="J511" s="75">
        <v>60</v>
      </c>
      <c r="K511" s="76" t="str">
        <f>VLOOKUP(Tabelle2[[#This Row],[Kunden Nr.]],KUNDEN!A:G,7)</f>
        <v>Qerimi</v>
      </c>
      <c r="L511" s="76">
        <f>VLOOKUP(Tabelle2[[#This Row],[Artikel]],Produkte!A:H,8)</f>
        <v>0.17</v>
      </c>
    </row>
    <row r="512" spans="1:12" x14ac:dyDescent="0.2">
      <c r="A512" s="75" t="s">
        <v>553</v>
      </c>
      <c r="B512" s="79">
        <v>46051</v>
      </c>
      <c r="C512" s="89">
        <v>138.6</v>
      </c>
      <c r="D512" s="75"/>
      <c r="E512" s="75"/>
      <c r="F512" s="75">
        <v>10413</v>
      </c>
      <c r="G512" s="76" t="str">
        <f>VLOOKUP(Tabelle2[[#This Row],[Kunden Nr.]],KUNDEN!A:B,2,0)</f>
        <v>UNIVERZAL</v>
      </c>
      <c r="H512" s="75">
        <v>35113</v>
      </c>
      <c r="I512" s="76" t="str">
        <f>VLOOKUP(Tabelle2[[#This Row],[Artikel]],Produkte!A:B,2,0)</f>
        <v>M-ONE Sanitar Silikon</v>
      </c>
      <c r="J512" s="75">
        <v>12</v>
      </c>
      <c r="K512" s="76" t="str">
        <f>VLOOKUP(Tabelle2[[#This Row],[Kunden Nr.]],KUNDEN!A:G,7)</f>
        <v>Qerimi</v>
      </c>
      <c r="L512" s="76">
        <f>VLOOKUP(Tabelle2[[#This Row],[Artikel]],Produkte!A:H,8)</f>
        <v>0.17</v>
      </c>
    </row>
    <row r="513" spans="1:12" x14ac:dyDescent="0.2">
      <c r="A513" s="75" t="s">
        <v>553</v>
      </c>
      <c r="B513" s="79">
        <v>46051</v>
      </c>
      <c r="C513" s="75"/>
      <c r="D513" s="75"/>
      <c r="E513" s="75"/>
      <c r="F513" s="75">
        <v>10413</v>
      </c>
      <c r="G513" s="76" t="str">
        <f>VLOOKUP(Tabelle2[[#This Row],[Kunden Nr.]],KUNDEN!A:B,2,0)</f>
        <v>UNIVERZAL</v>
      </c>
      <c r="H513" s="75">
        <v>35121</v>
      </c>
      <c r="I513" s="76" t="str">
        <f>VLOOKUP(Tabelle2[[#This Row],[Artikel]],Produkte!A:B,2,0)</f>
        <v>M-ONE Sanitar Silikon</v>
      </c>
      <c r="J513" s="75">
        <v>12</v>
      </c>
      <c r="K513" s="76" t="str">
        <f>VLOOKUP(Tabelle2[[#This Row],[Kunden Nr.]],KUNDEN!A:G,7)</f>
        <v>Qerimi</v>
      </c>
      <c r="L513" s="76">
        <f>VLOOKUP(Tabelle2[[#This Row],[Artikel]],Produkte!A:H,8)</f>
        <v>0.17</v>
      </c>
    </row>
    <row r="514" spans="1:12" x14ac:dyDescent="0.2">
      <c r="A514" s="75" t="s">
        <v>553</v>
      </c>
      <c r="B514" s="79">
        <v>46051</v>
      </c>
      <c r="C514" s="75"/>
      <c r="D514" s="75"/>
      <c r="E514" s="75"/>
      <c r="F514" s="75">
        <v>10413</v>
      </c>
      <c r="G514" s="76" t="str">
        <f>VLOOKUP(Tabelle2[[#This Row],[Kunden Nr.]],KUNDEN!A:B,2,0)</f>
        <v>UNIVERZAL</v>
      </c>
      <c r="H514" s="75">
        <v>35128</v>
      </c>
      <c r="I514" s="76" t="str">
        <f>VLOOKUP(Tabelle2[[#This Row],[Artikel]],Produkte!A:B,2,0)</f>
        <v>M-ONE Sanitar Silikon</v>
      </c>
      <c r="J514" s="75">
        <v>12</v>
      </c>
      <c r="K514" s="76" t="str">
        <f>VLOOKUP(Tabelle2[[#This Row],[Kunden Nr.]],KUNDEN!A:G,7)</f>
        <v>Qerimi</v>
      </c>
      <c r="L514" s="76">
        <f>VLOOKUP(Tabelle2[[#This Row],[Artikel]],Produkte!A:H,8)</f>
        <v>0.17</v>
      </c>
    </row>
    <row r="515" spans="1:12" x14ac:dyDescent="0.2">
      <c r="A515" s="75" t="s">
        <v>550</v>
      </c>
      <c r="B515" s="79">
        <v>46051</v>
      </c>
      <c r="C515" s="89">
        <v>92.4</v>
      </c>
      <c r="D515" s="75"/>
      <c r="E515" s="75"/>
      <c r="F515" s="75">
        <v>10410</v>
      </c>
      <c r="G515" s="76" t="str">
        <f>VLOOKUP(Tabelle2[[#This Row],[Kunden Nr.]],KUNDEN!A:B,2,0)</f>
        <v>GRANITI</v>
      </c>
      <c r="H515" s="75">
        <v>35112</v>
      </c>
      <c r="I515" s="76" t="str">
        <f>VLOOKUP(Tabelle2[[#This Row],[Artikel]],Produkte!A:B,2,0)</f>
        <v>M-ONE Sanitar Silikon</v>
      </c>
      <c r="J515" s="75">
        <v>12</v>
      </c>
      <c r="K515" s="76" t="str">
        <f>VLOOKUP(Tabelle2[[#This Row],[Kunden Nr.]],KUNDEN!A:G,7)</f>
        <v>Qerimi</v>
      </c>
      <c r="L515" s="76">
        <f>VLOOKUP(Tabelle2[[#This Row],[Artikel]],Produkte!A:H,8)</f>
        <v>0.17</v>
      </c>
    </row>
    <row r="516" spans="1:12" x14ac:dyDescent="0.2">
      <c r="A516" s="75" t="s">
        <v>550</v>
      </c>
      <c r="B516" s="79">
        <v>46051</v>
      </c>
      <c r="C516" s="75"/>
      <c r="D516" s="75"/>
      <c r="E516" s="75"/>
      <c r="F516" s="75">
        <v>10410</v>
      </c>
      <c r="G516" s="76" t="str">
        <f>VLOOKUP(Tabelle2[[#This Row],[Kunden Nr.]],KUNDEN!A:B,2,0)</f>
        <v>GRANITI</v>
      </c>
      <c r="H516" s="75">
        <v>35113</v>
      </c>
      <c r="I516" s="76" t="str">
        <f>VLOOKUP(Tabelle2[[#This Row],[Artikel]],Produkte!A:B,2,0)</f>
        <v>M-ONE Sanitar Silikon</v>
      </c>
      <c r="J516" s="75">
        <v>12</v>
      </c>
      <c r="K516" s="76" t="str">
        <f>VLOOKUP(Tabelle2[[#This Row],[Kunden Nr.]],KUNDEN!A:G,7)</f>
        <v>Qerimi</v>
      </c>
      <c r="L516" s="76">
        <f>VLOOKUP(Tabelle2[[#This Row],[Artikel]],Produkte!A:H,8)</f>
        <v>0.17</v>
      </c>
    </row>
    <row r="517" spans="1:12" x14ac:dyDescent="0.2">
      <c r="A517" s="75" t="s">
        <v>546</v>
      </c>
      <c r="B517" s="79">
        <v>46051</v>
      </c>
      <c r="C517" s="89">
        <v>40</v>
      </c>
      <c r="D517" s="75"/>
      <c r="E517" s="75"/>
      <c r="F517" s="75">
        <v>10406</v>
      </c>
      <c r="G517" s="76" t="str">
        <f>VLOOKUP(Tabelle2[[#This Row],[Kunden Nr.]],KUNDEN!A:B,2,0)</f>
        <v>AGRONI</v>
      </c>
      <c r="H517" s="75">
        <v>49644</v>
      </c>
      <c r="I517" s="76" t="str">
        <f>VLOOKUP(Tabelle2[[#This Row],[Artikel]],Produkte!A:B,2,0)</f>
        <v>beMAKER Rostlöser</v>
      </c>
      <c r="J517" s="75">
        <v>5</v>
      </c>
      <c r="K517" s="76" t="str">
        <f>VLOOKUP(Tabelle2[[#This Row],[Kunden Nr.]],KUNDEN!A:G,7)</f>
        <v>Qerimi</v>
      </c>
      <c r="L517" s="76">
        <f>VLOOKUP(Tabelle2[[#This Row],[Artikel]],Produkte!A:H,8)</f>
        <v>0.2</v>
      </c>
    </row>
    <row r="518" spans="1:12" x14ac:dyDescent="0.2">
      <c r="A518" s="75" t="s">
        <v>546</v>
      </c>
      <c r="B518" s="79">
        <v>46051</v>
      </c>
      <c r="C518" s="75"/>
      <c r="D518" s="75"/>
      <c r="E518" s="75"/>
      <c r="F518" s="75">
        <v>10406</v>
      </c>
      <c r="G518" s="76" t="str">
        <f>VLOOKUP(Tabelle2[[#This Row],[Kunden Nr.]],KUNDEN!A:B,2,0)</f>
        <v>AGRONI</v>
      </c>
      <c r="H518" s="75">
        <v>55718</v>
      </c>
      <c r="I518" s="76" t="str">
        <f>VLOOKUP(Tabelle2[[#This Row],[Artikel]],Produkte!A:B,2,0)</f>
        <v>M ONE MOTORSTART</v>
      </c>
      <c r="J518" s="75">
        <v>2</v>
      </c>
      <c r="K518" s="76" t="str">
        <f>VLOOKUP(Tabelle2[[#This Row],[Kunden Nr.]],KUNDEN!A:G,7)</f>
        <v>Qerimi</v>
      </c>
      <c r="L518" s="76">
        <f>VLOOKUP(Tabelle2[[#This Row],[Artikel]],Produkte!A:H,8)</f>
        <v>0.2</v>
      </c>
    </row>
    <row r="519" spans="1:12" x14ac:dyDescent="0.2">
      <c r="A519" s="75" t="s">
        <v>546</v>
      </c>
      <c r="B519" s="79">
        <v>46051</v>
      </c>
      <c r="C519" s="75"/>
      <c r="D519" s="75"/>
      <c r="E519" s="75"/>
      <c r="F519" s="75">
        <v>10406</v>
      </c>
      <c r="G519" s="76" t="str">
        <f>VLOOKUP(Tabelle2[[#This Row],[Kunden Nr.]],KUNDEN!A:B,2,0)</f>
        <v>AGRONI</v>
      </c>
      <c r="H519" s="75">
        <v>44001</v>
      </c>
      <c r="I519" s="76" t="str">
        <f>VLOOKUP(Tabelle2[[#This Row],[Artikel]],Produkte!A:B,2,0)</f>
        <v>Fettspray</v>
      </c>
      <c r="J519" s="75">
        <v>2</v>
      </c>
      <c r="K519" s="76" t="str">
        <f>VLOOKUP(Tabelle2[[#This Row],[Kunden Nr.]],KUNDEN!A:G,7)</f>
        <v>Qerimi</v>
      </c>
      <c r="L519" s="76">
        <f>VLOOKUP(Tabelle2[[#This Row],[Artikel]],Produkte!A:H,8)</f>
        <v>0.2</v>
      </c>
    </row>
    <row r="520" spans="1:12" x14ac:dyDescent="0.2">
      <c r="A520" s="75" t="s">
        <v>546</v>
      </c>
      <c r="B520" s="79">
        <v>46051</v>
      </c>
      <c r="C520" s="75"/>
      <c r="D520" s="75"/>
      <c r="E520" s="75"/>
      <c r="F520" s="75">
        <v>10406</v>
      </c>
      <c r="G520" s="76" t="str">
        <f>VLOOKUP(Tabelle2[[#This Row],[Kunden Nr.]],KUNDEN!A:B,2,0)</f>
        <v>AGRONI</v>
      </c>
      <c r="H520" s="75">
        <v>39505</v>
      </c>
      <c r="I520" s="76" t="str">
        <f>VLOOKUP(Tabelle2[[#This Row],[Artikel]],Produkte!A:B,2,0)</f>
        <v>M ONE SILIKON SPRAY</v>
      </c>
      <c r="J520" s="75">
        <v>2</v>
      </c>
      <c r="K520" s="76" t="str">
        <f>VLOOKUP(Tabelle2[[#This Row],[Kunden Nr.]],KUNDEN!A:G,7)</f>
        <v>Qerimi</v>
      </c>
      <c r="L520" s="76">
        <f>VLOOKUP(Tabelle2[[#This Row],[Artikel]],Produkte!A:H,8)</f>
        <v>0.2</v>
      </c>
    </row>
    <row r="521" spans="1:12" x14ac:dyDescent="0.2">
      <c r="A521" s="75" t="s">
        <v>546</v>
      </c>
      <c r="B521" s="79">
        <v>46051</v>
      </c>
      <c r="C521" s="75"/>
      <c r="D521" s="75"/>
      <c r="E521" s="75"/>
      <c r="F521" s="75">
        <v>10406</v>
      </c>
      <c r="G521" s="76" t="str">
        <f>VLOOKUP(Tabelle2[[#This Row],[Kunden Nr.]],KUNDEN!A:B,2,0)</f>
        <v>AGRONI</v>
      </c>
      <c r="H521" s="75">
        <v>54412</v>
      </c>
      <c r="I521" s="76" t="str">
        <f>VLOOKUP(Tabelle2[[#This Row],[Artikel]],Produkte!A:B,2,0)</f>
        <v>beMAKER Bremsen&amp;Teile Reininger</v>
      </c>
      <c r="J521" s="75">
        <v>5</v>
      </c>
      <c r="K521" s="76" t="str">
        <f>VLOOKUP(Tabelle2[[#This Row],[Kunden Nr.]],KUNDEN!A:G,7)</f>
        <v>Qerimi</v>
      </c>
      <c r="L521" s="76">
        <f>VLOOKUP(Tabelle2[[#This Row],[Artikel]],Produkte!A:H,8)</f>
        <v>0.2</v>
      </c>
    </row>
    <row r="522" spans="1:12" x14ac:dyDescent="0.2">
      <c r="A522" s="75" t="s">
        <v>1177</v>
      </c>
      <c r="B522" s="79">
        <v>46051</v>
      </c>
      <c r="C522" s="89">
        <v>48</v>
      </c>
      <c r="D522" s="75"/>
      <c r="E522" s="75"/>
      <c r="F522" s="75">
        <v>40017</v>
      </c>
      <c r="G522" s="76" t="str">
        <f>VLOOKUP(Tabelle2[[#This Row],[Kunden Nr.]],KUNDEN!A:B,2,0)</f>
        <v>YLLI CONSTRUCION</v>
      </c>
      <c r="H522" s="75">
        <v>35128</v>
      </c>
      <c r="I522" s="76" t="str">
        <f>VLOOKUP(Tabelle2[[#This Row],[Artikel]],Produkte!A:B,2,0)</f>
        <v>M-ONE Sanitar Silikon</v>
      </c>
      <c r="J522" s="75">
        <v>3</v>
      </c>
      <c r="K522" s="76">
        <f>VLOOKUP(Tabelle2[[#This Row],[Kunden Nr.]],KUNDEN!A:G,7)</f>
        <v>0</v>
      </c>
      <c r="L522" s="76">
        <f>VLOOKUP(Tabelle2[[#This Row],[Artikel]],Produkte!A:H,8)</f>
        <v>0.17</v>
      </c>
    </row>
    <row r="523" spans="1:12" x14ac:dyDescent="0.2">
      <c r="A523" s="75" t="s">
        <v>1177</v>
      </c>
      <c r="B523" s="79">
        <v>46051</v>
      </c>
      <c r="C523" s="75"/>
      <c r="D523" s="75"/>
      <c r="E523" s="75"/>
      <c r="F523" s="75">
        <v>40017</v>
      </c>
      <c r="G523" s="76" t="str">
        <f>VLOOKUP(Tabelle2[[#This Row],[Kunden Nr.]],KUNDEN!A:B,2,0)</f>
        <v>YLLI CONSTRUCION</v>
      </c>
      <c r="H523" s="75">
        <v>35109</v>
      </c>
      <c r="I523" s="76" t="str">
        <f>VLOOKUP(Tabelle2[[#This Row],[Artikel]],Produkte!A:B,2,0)</f>
        <v>M-ONE Sanitar Silikon</v>
      </c>
      <c r="J523" s="75">
        <v>5</v>
      </c>
      <c r="K523" s="76">
        <f>VLOOKUP(Tabelle2[[#This Row],[Kunden Nr.]],KUNDEN!A:G,7)</f>
        <v>0</v>
      </c>
      <c r="L523" s="76">
        <f>VLOOKUP(Tabelle2[[#This Row],[Artikel]],Produkte!A:H,8)</f>
        <v>0.17</v>
      </c>
    </row>
    <row r="524" spans="1:12" x14ac:dyDescent="0.2">
      <c r="A524" s="75" t="s">
        <v>1177</v>
      </c>
      <c r="B524" s="79">
        <v>46051</v>
      </c>
      <c r="C524" s="75"/>
      <c r="D524" s="75"/>
      <c r="E524" s="75"/>
      <c r="F524" s="75">
        <v>40017</v>
      </c>
      <c r="G524" s="76" t="str">
        <f>VLOOKUP(Tabelle2[[#This Row],[Kunden Nr.]],KUNDEN!A:B,2,0)</f>
        <v>YLLI CONSTRUCION</v>
      </c>
      <c r="H524" s="75">
        <v>35113</v>
      </c>
      <c r="I524" s="76" t="str">
        <f>VLOOKUP(Tabelle2[[#This Row],[Artikel]],Produkte!A:B,2,0)</f>
        <v>M-ONE Sanitar Silikon</v>
      </c>
      <c r="J524" s="75">
        <v>4</v>
      </c>
      <c r="K524" s="76">
        <f>VLOOKUP(Tabelle2[[#This Row],[Kunden Nr.]],KUNDEN!A:G,7)</f>
        <v>0</v>
      </c>
      <c r="L524" s="76">
        <f>VLOOKUP(Tabelle2[[#This Row],[Artikel]],Produkte!A:H,8)</f>
        <v>0.17</v>
      </c>
    </row>
    <row r="525" spans="1:12" x14ac:dyDescent="0.2">
      <c r="A525" s="75" t="s">
        <v>1235</v>
      </c>
      <c r="B525" s="79">
        <v>46052</v>
      </c>
      <c r="C525" s="89">
        <v>46.2</v>
      </c>
      <c r="D525" s="75"/>
      <c r="E525" s="75"/>
      <c r="F525" s="75">
        <v>10547</v>
      </c>
      <c r="G525" s="76" t="e">
        <f>VLOOKUP(Tabelle2[[#This Row],[Kunden Nr.]],KUNDEN!A:B,2,0)</f>
        <v>#N/A</v>
      </c>
      <c r="H525" s="75">
        <v>35125</v>
      </c>
      <c r="I525" s="76" t="str">
        <f>VLOOKUP(Tabelle2[[#This Row],[Artikel]],Produkte!A:B,2,0)</f>
        <v>M-ONE Sanitar Silikon</v>
      </c>
      <c r="J525" s="75">
        <v>12</v>
      </c>
      <c r="K525" s="76" t="str">
        <f>VLOOKUP(Tabelle2[[#This Row],[Kunden Nr.]],KUNDEN!A:G,7)</f>
        <v>Qerimi</v>
      </c>
      <c r="L525" s="76">
        <f>VLOOKUP(Tabelle2[[#This Row],[Artikel]],Produkte!A:H,8)</f>
        <v>0.17</v>
      </c>
    </row>
    <row r="526" spans="1:12" x14ac:dyDescent="0.2">
      <c r="A526" s="75" t="s">
        <v>484</v>
      </c>
      <c r="B526" s="79">
        <v>46052</v>
      </c>
      <c r="C526" s="89">
        <v>92.4</v>
      </c>
      <c r="D526" s="75"/>
      <c r="E526" s="75"/>
      <c r="F526" s="75">
        <v>10504</v>
      </c>
      <c r="G526" s="76" t="str">
        <f>VLOOKUP(Tabelle2[[#This Row],[Kunden Nr.]],KUNDEN!A:B,2,0)</f>
        <v>CARRALEVA 1</v>
      </c>
      <c r="H526" s="75">
        <v>35108</v>
      </c>
      <c r="I526" s="76" t="str">
        <f>VLOOKUP(Tabelle2[[#This Row],[Artikel]],Produkte!A:B,2,0)</f>
        <v>M-ONE Sanitar Silikon</v>
      </c>
      <c r="J526" s="75">
        <v>12</v>
      </c>
      <c r="K526" s="76" t="str">
        <f>VLOOKUP(Tabelle2[[#This Row],[Kunden Nr.]],KUNDEN!A:G,7)</f>
        <v>Qerimi</v>
      </c>
      <c r="L526" s="76">
        <f>VLOOKUP(Tabelle2[[#This Row],[Artikel]],Produkte!A:H,8)</f>
        <v>0.17</v>
      </c>
    </row>
    <row r="527" spans="1:12" x14ac:dyDescent="0.2">
      <c r="A527" s="75" t="s">
        <v>484</v>
      </c>
      <c r="B527" s="79">
        <v>46052</v>
      </c>
      <c r="C527" s="75"/>
      <c r="D527" s="75"/>
      <c r="E527" s="75"/>
      <c r="F527" s="75">
        <v>10504</v>
      </c>
      <c r="G527" s="76" t="str">
        <f>VLOOKUP(Tabelle2[[#This Row],[Kunden Nr.]],KUNDEN!A:B,2,0)</f>
        <v>CARRALEVA 1</v>
      </c>
      <c r="H527" s="75">
        <v>35110</v>
      </c>
      <c r="I527" s="76" t="str">
        <f>VLOOKUP(Tabelle2[[#This Row],[Artikel]],Produkte!A:B,2,0)</f>
        <v>M-ONE Sanitar Silikon</v>
      </c>
      <c r="J527" s="75">
        <v>12</v>
      </c>
      <c r="K527" s="76" t="str">
        <f>VLOOKUP(Tabelle2[[#This Row],[Kunden Nr.]],KUNDEN!A:G,7)</f>
        <v>Qerimi</v>
      </c>
      <c r="L527" s="76">
        <f>VLOOKUP(Tabelle2[[#This Row],[Artikel]],Produkte!A:H,8)</f>
        <v>0.17</v>
      </c>
    </row>
    <row r="528" spans="1:12" x14ac:dyDescent="0.2">
      <c r="A528" s="75" t="s">
        <v>435</v>
      </c>
      <c r="B528" s="79">
        <v>46052</v>
      </c>
      <c r="C528" s="89">
        <v>55.2</v>
      </c>
      <c r="D528" s="75"/>
      <c r="E528" s="75"/>
      <c r="F528" s="75">
        <v>10509</v>
      </c>
      <c r="G528" s="76" t="str">
        <f>VLOOKUP(Tabelle2[[#This Row],[Kunden Nr.]],KUNDEN!A:B,2,0)</f>
        <v>LONI</v>
      </c>
      <c r="H528" s="75">
        <v>50912</v>
      </c>
      <c r="I528" s="76" t="str">
        <f>VLOOKUP(Tabelle2[[#This Row],[Artikel]],Produkte!A:B,2,0)</f>
        <v>DICHTUNG</v>
      </c>
      <c r="J528" s="75">
        <v>6</v>
      </c>
      <c r="K528" s="76" t="str">
        <f>VLOOKUP(Tabelle2[[#This Row],[Kunden Nr.]],KUNDEN!A:G,7)</f>
        <v>Qerimi</v>
      </c>
      <c r="L528" s="76">
        <f>VLOOKUP(Tabelle2[[#This Row],[Artikel]],Produkte!A:H,8)</f>
        <v>0.2</v>
      </c>
    </row>
    <row r="529" spans="1:12" x14ac:dyDescent="0.2">
      <c r="A529" s="75" t="s">
        <v>435</v>
      </c>
      <c r="B529" s="79">
        <v>46052</v>
      </c>
      <c r="C529" s="75"/>
      <c r="D529" s="75"/>
      <c r="E529" s="75"/>
      <c r="F529" s="75">
        <v>10509</v>
      </c>
      <c r="G529" s="76" t="str">
        <f>VLOOKUP(Tabelle2[[#This Row],[Kunden Nr.]],KUNDEN!A:B,2,0)</f>
        <v>LONI</v>
      </c>
      <c r="H529" s="75">
        <v>49644</v>
      </c>
      <c r="I529" s="76" t="str">
        <f>VLOOKUP(Tabelle2[[#This Row],[Artikel]],Produkte!A:B,2,0)</f>
        <v>beMAKER Rostlöser</v>
      </c>
      <c r="J529" s="75">
        <v>6</v>
      </c>
      <c r="K529" s="76" t="str">
        <f>VLOOKUP(Tabelle2[[#This Row],[Kunden Nr.]],KUNDEN!A:G,7)</f>
        <v>Qerimi</v>
      </c>
      <c r="L529" s="76">
        <f>VLOOKUP(Tabelle2[[#This Row],[Artikel]],Produkte!A:H,8)</f>
        <v>0.2</v>
      </c>
    </row>
    <row r="530" spans="1:12" x14ac:dyDescent="0.2">
      <c r="A530" s="75" t="s">
        <v>487</v>
      </c>
      <c r="B530" s="79">
        <v>46052</v>
      </c>
      <c r="C530" s="89">
        <v>138.6</v>
      </c>
      <c r="D530" s="75"/>
      <c r="E530" s="75"/>
      <c r="F530" s="75">
        <v>10507</v>
      </c>
      <c r="G530" s="76" t="str">
        <f>VLOOKUP(Tabelle2[[#This Row],[Kunden Nr.]],KUNDEN!A:B,2,0)</f>
        <v>REAL COLOR 2</v>
      </c>
      <c r="H530" s="75">
        <v>35113</v>
      </c>
      <c r="I530" s="76" t="str">
        <f>VLOOKUP(Tabelle2[[#This Row],[Artikel]],Produkte!A:B,2,0)</f>
        <v>M-ONE Sanitar Silikon</v>
      </c>
      <c r="J530" s="75">
        <v>12</v>
      </c>
      <c r="K530" s="76" t="str">
        <f>VLOOKUP(Tabelle2[[#This Row],[Kunden Nr.]],KUNDEN!A:G,7)</f>
        <v>Qerimi</v>
      </c>
      <c r="L530" s="76">
        <f>VLOOKUP(Tabelle2[[#This Row],[Artikel]],Produkte!A:H,8)</f>
        <v>0.17</v>
      </c>
    </row>
    <row r="531" spans="1:12" x14ac:dyDescent="0.2">
      <c r="A531" s="75" t="s">
        <v>487</v>
      </c>
      <c r="B531" s="79">
        <v>46052</v>
      </c>
      <c r="C531" s="75"/>
      <c r="D531" s="75"/>
      <c r="E531" s="75"/>
      <c r="F531" s="75">
        <v>10507</v>
      </c>
      <c r="G531" s="76" t="str">
        <f>VLOOKUP(Tabelle2[[#This Row],[Kunden Nr.]],KUNDEN!A:B,2,0)</f>
        <v>REAL COLOR 2</v>
      </c>
      <c r="H531" s="75">
        <v>35115</v>
      </c>
      <c r="I531" s="76" t="str">
        <f>VLOOKUP(Tabelle2[[#This Row],[Artikel]],Produkte!A:B,2,0)</f>
        <v>M-ONE Sanitar Silikon</v>
      </c>
      <c r="J531" s="75">
        <v>12</v>
      </c>
      <c r="K531" s="76" t="str">
        <f>VLOOKUP(Tabelle2[[#This Row],[Kunden Nr.]],KUNDEN!A:G,7)</f>
        <v>Qerimi</v>
      </c>
      <c r="L531" s="76">
        <f>VLOOKUP(Tabelle2[[#This Row],[Artikel]],Produkte!A:H,8)</f>
        <v>0.17</v>
      </c>
    </row>
    <row r="532" spans="1:12" x14ac:dyDescent="0.2">
      <c r="A532" s="75" t="s">
        <v>487</v>
      </c>
      <c r="B532" s="79">
        <v>46052</v>
      </c>
      <c r="C532" s="75"/>
      <c r="D532" s="75"/>
      <c r="E532" s="75"/>
      <c r="F532" s="75">
        <v>10507</v>
      </c>
      <c r="G532" s="76" t="str">
        <f>VLOOKUP(Tabelle2[[#This Row],[Kunden Nr.]],KUNDEN!A:B,2,0)</f>
        <v>REAL COLOR 2</v>
      </c>
      <c r="H532" s="75">
        <v>35128</v>
      </c>
      <c r="I532" s="76" t="str">
        <f>VLOOKUP(Tabelle2[[#This Row],[Artikel]],Produkte!A:B,2,0)</f>
        <v>M-ONE Sanitar Silikon</v>
      </c>
      <c r="J532" s="75">
        <v>12</v>
      </c>
      <c r="K532" s="76" t="str">
        <f>VLOOKUP(Tabelle2[[#This Row],[Kunden Nr.]],KUNDEN!A:G,7)</f>
        <v>Qerimi</v>
      </c>
      <c r="L532" s="76">
        <f>VLOOKUP(Tabelle2[[#This Row],[Artikel]],Produkte!A:H,8)</f>
        <v>0.17</v>
      </c>
    </row>
    <row r="533" spans="1:12" x14ac:dyDescent="0.2">
      <c r="A533" s="75" t="s">
        <v>486</v>
      </c>
      <c r="B533" s="79">
        <v>46052</v>
      </c>
      <c r="C533" s="89">
        <v>92.4</v>
      </c>
      <c r="D533" s="75"/>
      <c r="E533" s="75"/>
      <c r="F533" s="75">
        <v>10506</v>
      </c>
      <c r="G533" s="76" t="str">
        <f>VLOOKUP(Tabelle2[[#This Row],[Kunden Nr.]],KUNDEN!A:B,2,0)</f>
        <v>ARBERI</v>
      </c>
      <c r="H533" s="75">
        <v>35109</v>
      </c>
      <c r="I533" s="76" t="str">
        <f>VLOOKUP(Tabelle2[[#This Row],[Artikel]],Produkte!A:B,2,0)</f>
        <v>M-ONE Sanitar Silikon</v>
      </c>
      <c r="J533" s="75">
        <v>12</v>
      </c>
      <c r="K533" s="76" t="str">
        <f>VLOOKUP(Tabelle2[[#This Row],[Kunden Nr.]],KUNDEN!A:G,7)</f>
        <v>Qerimi</v>
      </c>
      <c r="L533" s="76">
        <f>VLOOKUP(Tabelle2[[#This Row],[Artikel]],Produkte!A:H,8)</f>
        <v>0.17</v>
      </c>
    </row>
    <row r="534" spans="1:12" x14ac:dyDescent="0.2">
      <c r="A534" s="75" t="s">
        <v>486</v>
      </c>
      <c r="B534" s="79">
        <v>46052</v>
      </c>
      <c r="C534" s="75"/>
      <c r="D534" s="75"/>
      <c r="E534" s="75"/>
      <c r="F534" s="75">
        <v>10506</v>
      </c>
      <c r="G534" s="76" t="str">
        <f>VLOOKUP(Tabelle2[[#This Row],[Kunden Nr.]],KUNDEN!A:B,2,0)</f>
        <v>ARBERI</v>
      </c>
      <c r="H534" s="75">
        <v>35119</v>
      </c>
      <c r="I534" s="76" t="str">
        <f>VLOOKUP(Tabelle2[[#This Row],[Artikel]],Produkte!A:B,2,0)</f>
        <v>M-ONE Sanitar Silikon</v>
      </c>
      <c r="J534" s="75">
        <v>12</v>
      </c>
      <c r="K534" s="76" t="str">
        <f>VLOOKUP(Tabelle2[[#This Row],[Kunden Nr.]],KUNDEN!A:G,7)</f>
        <v>Qerimi</v>
      </c>
      <c r="L534" s="76">
        <f>VLOOKUP(Tabelle2[[#This Row],[Artikel]],Produkte!A:H,8)</f>
        <v>0.17</v>
      </c>
    </row>
    <row r="535" spans="1:12" x14ac:dyDescent="0.2">
      <c r="A535" s="75" t="s">
        <v>666</v>
      </c>
      <c r="B535" s="79">
        <v>46052</v>
      </c>
      <c r="C535" s="89">
        <v>142.9</v>
      </c>
      <c r="D535" s="75"/>
      <c r="E535" s="75"/>
      <c r="F535" s="75">
        <v>10529</v>
      </c>
      <c r="G535" s="76" t="str">
        <f>VLOOKUP(Tabelle2[[#This Row],[Kunden Nr.]],KUNDEN!A:B,2,0)</f>
        <v>ARDI LIPJAN</v>
      </c>
      <c r="H535" s="75">
        <v>50912</v>
      </c>
      <c r="I535" s="76" t="str">
        <f>VLOOKUP(Tabelle2[[#This Row],[Artikel]],Produkte!A:B,2,0)</f>
        <v>DICHTUNG</v>
      </c>
      <c r="J535" s="75">
        <v>12</v>
      </c>
      <c r="K535" s="76" t="str">
        <f>VLOOKUP(Tabelle2[[#This Row],[Kunden Nr.]],KUNDEN!A:G,7)</f>
        <v>Qerimi</v>
      </c>
      <c r="L535" s="76">
        <f>VLOOKUP(Tabelle2[[#This Row],[Artikel]],Produkte!A:H,8)</f>
        <v>0.2</v>
      </c>
    </row>
    <row r="536" spans="1:12" x14ac:dyDescent="0.2">
      <c r="A536" s="75" t="s">
        <v>666</v>
      </c>
      <c r="B536" s="79">
        <v>46052</v>
      </c>
      <c r="C536" s="75"/>
      <c r="D536" s="75"/>
      <c r="E536" s="75"/>
      <c r="F536" s="75">
        <v>10529</v>
      </c>
      <c r="G536" s="76" t="str">
        <f>VLOOKUP(Tabelle2[[#This Row],[Kunden Nr.]],KUNDEN!A:B,2,0)</f>
        <v>ARDI LIPJAN</v>
      </c>
      <c r="H536" s="75">
        <v>55718</v>
      </c>
      <c r="I536" s="76" t="str">
        <f>VLOOKUP(Tabelle2[[#This Row],[Artikel]],Produkte!A:B,2,0)</f>
        <v>M ONE MOTORSTART</v>
      </c>
      <c r="J536" s="75">
        <v>2</v>
      </c>
      <c r="K536" s="76" t="str">
        <f>VLOOKUP(Tabelle2[[#This Row],[Kunden Nr.]],KUNDEN!A:G,7)</f>
        <v>Qerimi</v>
      </c>
      <c r="L536" s="76">
        <f>VLOOKUP(Tabelle2[[#This Row],[Artikel]],Produkte!A:H,8)</f>
        <v>0.2</v>
      </c>
    </row>
    <row r="537" spans="1:12" x14ac:dyDescent="0.2">
      <c r="A537" s="75" t="s">
        <v>666</v>
      </c>
      <c r="B537" s="79">
        <v>46052</v>
      </c>
      <c r="C537" s="75"/>
      <c r="D537" s="75"/>
      <c r="E537" s="75"/>
      <c r="F537" s="75">
        <v>10529</v>
      </c>
      <c r="G537" s="76" t="str">
        <f>VLOOKUP(Tabelle2[[#This Row],[Kunden Nr.]],KUNDEN!A:B,2,0)</f>
        <v>ARDI LIPJAN</v>
      </c>
      <c r="H537" s="75">
        <v>38136</v>
      </c>
      <c r="I537" s="76" t="str">
        <f>VLOOKUP(Tabelle2[[#This Row],[Artikel]],Produkte!A:B,2,0)</f>
        <v>M ONE KLARLACK</v>
      </c>
      <c r="J537" s="75">
        <v>9</v>
      </c>
      <c r="K537" s="76" t="str">
        <f>VLOOKUP(Tabelle2[[#This Row],[Kunden Nr.]],KUNDEN!A:G,7)</f>
        <v>Qerimi</v>
      </c>
      <c r="L537" s="76">
        <f>VLOOKUP(Tabelle2[[#This Row],[Artikel]],Produkte!A:H,8)</f>
        <v>0.15</v>
      </c>
    </row>
    <row r="538" spans="1:12" x14ac:dyDescent="0.2">
      <c r="A538" s="75" t="s">
        <v>666</v>
      </c>
      <c r="B538" s="79">
        <v>46052</v>
      </c>
      <c r="C538" s="75"/>
      <c r="D538" s="75"/>
      <c r="E538" s="75"/>
      <c r="F538" s="75">
        <v>10529</v>
      </c>
      <c r="G538" s="76" t="str">
        <f>VLOOKUP(Tabelle2[[#This Row],[Kunden Nr.]],KUNDEN!A:B,2,0)</f>
        <v>ARDI LIPJAN</v>
      </c>
      <c r="H538" s="75">
        <v>49644</v>
      </c>
      <c r="I538" s="76" t="str">
        <f>VLOOKUP(Tabelle2[[#This Row],[Artikel]],Produkte!A:B,2,0)</f>
        <v>beMAKER Rostlöser</v>
      </c>
      <c r="J538" s="75">
        <v>6</v>
      </c>
      <c r="K538" s="76" t="str">
        <f>VLOOKUP(Tabelle2[[#This Row],[Kunden Nr.]],KUNDEN!A:G,7)</f>
        <v>Qerimi</v>
      </c>
      <c r="L538" s="76">
        <f>VLOOKUP(Tabelle2[[#This Row],[Artikel]],Produkte!A:H,8)</f>
        <v>0.2</v>
      </c>
    </row>
    <row r="539" spans="1:12" x14ac:dyDescent="0.2">
      <c r="A539" s="75" t="s">
        <v>666</v>
      </c>
      <c r="B539" s="79">
        <v>46052</v>
      </c>
      <c r="C539" s="75"/>
      <c r="D539" s="75"/>
      <c r="E539" s="75"/>
      <c r="F539" s="75">
        <v>10529</v>
      </c>
      <c r="G539" s="76" t="str">
        <f>VLOOKUP(Tabelle2[[#This Row],[Kunden Nr.]],KUNDEN!A:B,2,0)</f>
        <v>ARDI LIPJAN</v>
      </c>
      <c r="H539" s="75">
        <v>56117</v>
      </c>
      <c r="I539" s="76" t="str">
        <f>VLOOKUP(Tabelle2[[#This Row],[Artikel]],Produkte!A:B,2,0)</f>
        <v>M ONE UBS</v>
      </c>
      <c r="J539" s="75">
        <v>6</v>
      </c>
      <c r="K539" s="76" t="str">
        <f>VLOOKUP(Tabelle2[[#This Row],[Kunden Nr.]],KUNDEN!A:G,7)</f>
        <v>Qerimi</v>
      </c>
      <c r="L539" s="76">
        <f>VLOOKUP(Tabelle2[[#This Row],[Artikel]],Produkte!A:H,8)</f>
        <v>0.2</v>
      </c>
    </row>
    <row r="540" spans="1:12" x14ac:dyDescent="0.2">
      <c r="A540" s="75" t="s">
        <v>1258</v>
      </c>
      <c r="B540" s="79">
        <v>46052</v>
      </c>
      <c r="C540" s="89">
        <v>138.6</v>
      </c>
      <c r="D540" s="75"/>
      <c r="E540" s="75"/>
      <c r="F540" s="75">
        <v>20511</v>
      </c>
      <c r="G540" s="76" t="str">
        <f>VLOOKUP(Tabelle2[[#This Row],[Kunden Nr.]],KUNDEN!A:B,2,0)</f>
        <v>LIRIDONA KLINE</v>
      </c>
      <c r="H540" s="75">
        <v>35111</v>
      </c>
      <c r="I540" s="76" t="str">
        <f>VLOOKUP(Tabelle2[[#This Row],[Artikel]],Produkte!A:B,2,0)</f>
        <v>M-ONE Sanitar Silikon</v>
      </c>
      <c r="J540" s="75">
        <v>12</v>
      </c>
      <c r="K540" s="76" t="str">
        <f>VLOOKUP(Tabelle2[[#This Row],[Kunden Nr.]],KUNDEN!A:G,7)</f>
        <v>Mensuri</v>
      </c>
      <c r="L540" s="76">
        <f>VLOOKUP(Tabelle2[[#This Row],[Artikel]],Produkte!A:H,8)</f>
        <v>0.17</v>
      </c>
    </row>
    <row r="541" spans="1:12" x14ac:dyDescent="0.2">
      <c r="A541" s="75" t="s">
        <v>1258</v>
      </c>
      <c r="B541" s="79">
        <v>46052</v>
      </c>
      <c r="C541" s="75"/>
      <c r="D541" s="75"/>
      <c r="E541" s="75"/>
      <c r="F541" s="75">
        <v>20511</v>
      </c>
      <c r="G541" s="76" t="str">
        <f>VLOOKUP(Tabelle2[[#This Row],[Kunden Nr.]],KUNDEN!A:B,2,0)</f>
        <v>LIRIDONA KLINE</v>
      </c>
      <c r="H541" s="75">
        <v>35113</v>
      </c>
      <c r="I541" s="76" t="str">
        <f>VLOOKUP(Tabelle2[[#This Row],[Artikel]],Produkte!A:B,2,0)</f>
        <v>M-ONE Sanitar Silikon</v>
      </c>
      <c r="J541" s="75">
        <v>12</v>
      </c>
      <c r="K541" s="76" t="str">
        <f>VLOOKUP(Tabelle2[[#This Row],[Kunden Nr.]],KUNDEN!A:G,7)</f>
        <v>Mensuri</v>
      </c>
      <c r="L541" s="76">
        <f>VLOOKUP(Tabelle2[[#This Row],[Artikel]],Produkte!A:H,8)</f>
        <v>0.17</v>
      </c>
    </row>
    <row r="542" spans="1:12" x14ac:dyDescent="0.2">
      <c r="A542" s="75" t="s">
        <v>1258</v>
      </c>
      <c r="B542" s="79">
        <v>46052</v>
      </c>
      <c r="C542" s="75"/>
      <c r="D542" s="75"/>
      <c r="E542" s="75"/>
      <c r="F542" s="75">
        <v>20511</v>
      </c>
      <c r="G542" s="76" t="str">
        <f>VLOOKUP(Tabelle2[[#This Row],[Kunden Nr.]],KUNDEN!A:B,2,0)</f>
        <v>LIRIDONA KLINE</v>
      </c>
      <c r="H542" s="75">
        <v>35114</v>
      </c>
      <c r="I542" s="76" t="str">
        <f>VLOOKUP(Tabelle2[[#This Row],[Artikel]],Produkte!A:B,2,0)</f>
        <v>M-ONE Sanitar Silikon</v>
      </c>
      <c r="J542" s="75">
        <v>12</v>
      </c>
      <c r="K542" s="76" t="str">
        <f>VLOOKUP(Tabelle2[[#This Row],[Kunden Nr.]],KUNDEN!A:G,7)</f>
        <v>Mensuri</v>
      </c>
      <c r="L542" s="76">
        <f>VLOOKUP(Tabelle2[[#This Row],[Artikel]],Produkte!A:H,8)</f>
        <v>0.17</v>
      </c>
    </row>
    <row r="543" spans="1:12" x14ac:dyDescent="0.2">
      <c r="A543" s="75" t="s">
        <v>674</v>
      </c>
      <c r="B543" s="79">
        <v>46052</v>
      </c>
      <c r="C543" s="89">
        <v>120</v>
      </c>
      <c r="D543" s="75"/>
      <c r="E543" s="75"/>
      <c r="F543" s="75">
        <v>20508</v>
      </c>
      <c r="G543" s="76" t="str">
        <f>VLOOKUP(Tabelle2[[#This Row],[Kunden Nr.]],KUNDEN!A:B,2,0)</f>
        <v>LIRIDONA HOME</v>
      </c>
      <c r="H543" s="75">
        <v>35109</v>
      </c>
      <c r="I543" s="76" t="str">
        <f>VLOOKUP(Tabelle2[[#This Row],[Artikel]],Produkte!A:B,2,0)</f>
        <v>M-ONE Sanitar Silikon</v>
      </c>
      <c r="J543" s="75">
        <v>12</v>
      </c>
      <c r="K543" s="76" t="str">
        <f>VLOOKUP(Tabelle2[[#This Row],[Kunden Nr.]],KUNDEN!A:G,7)</f>
        <v>Mensuri</v>
      </c>
      <c r="L543" s="76">
        <f>VLOOKUP(Tabelle2[[#This Row],[Artikel]],Produkte!A:H,8)</f>
        <v>0.17</v>
      </c>
    </row>
    <row r="544" spans="1:12" x14ac:dyDescent="0.2">
      <c r="A544" s="75" t="s">
        <v>674</v>
      </c>
      <c r="B544" s="79">
        <v>46052</v>
      </c>
      <c r="C544" s="75"/>
      <c r="D544" s="75"/>
      <c r="E544" s="75"/>
      <c r="F544" s="75">
        <v>20508</v>
      </c>
      <c r="G544" s="76" t="str">
        <f>VLOOKUP(Tabelle2[[#This Row],[Kunden Nr.]],KUNDEN!A:B,2,0)</f>
        <v>LIRIDONA HOME</v>
      </c>
      <c r="H544" s="75">
        <v>35111</v>
      </c>
      <c r="I544" s="76" t="str">
        <f>VLOOKUP(Tabelle2[[#This Row],[Artikel]],Produkte!A:B,2,0)</f>
        <v>M-ONE Sanitar Silikon</v>
      </c>
      <c r="J544" s="75">
        <v>12</v>
      </c>
      <c r="K544" s="76" t="str">
        <f>VLOOKUP(Tabelle2[[#This Row],[Kunden Nr.]],KUNDEN!A:G,7)</f>
        <v>Mensuri</v>
      </c>
      <c r="L544" s="76">
        <f>VLOOKUP(Tabelle2[[#This Row],[Artikel]],Produkte!A:H,8)</f>
        <v>0.17</v>
      </c>
    </row>
    <row r="545" spans="1:12" x14ac:dyDescent="0.2">
      <c r="A545" s="75" t="s">
        <v>674</v>
      </c>
      <c r="B545" s="79">
        <v>46052</v>
      </c>
      <c r="C545" s="75"/>
      <c r="D545" s="75"/>
      <c r="E545" s="75"/>
      <c r="F545" s="75">
        <v>20508</v>
      </c>
      <c r="G545" s="76" t="str">
        <f>VLOOKUP(Tabelle2[[#This Row],[Kunden Nr.]],KUNDEN!A:B,2,0)</f>
        <v>LIRIDONA HOME</v>
      </c>
      <c r="H545" s="75">
        <v>51612</v>
      </c>
      <c r="I545" s="76" t="str">
        <f>VLOOKUP(Tabelle2[[#This Row],[Artikel]],Produkte!A:B,2,0)</f>
        <v>struktural akryl</v>
      </c>
      <c r="J545" s="75">
        <v>12</v>
      </c>
      <c r="K545" s="76" t="str">
        <f>VLOOKUP(Tabelle2[[#This Row],[Kunden Nr.]],KUNDEN!A:G,7)</f>
        <v>Mensuri</v>
      </c>
      <c r="L545" s="76">
        <f>VLOOKUP(Tabelle2[[#This Row],[Artikel]],Produkte!A:H,8)</f>
        <v>0.06</v>
      </c>
    </row>
    <row r="546" spans="1:12" x14ac:dyDescent="0.2">
      <c r="A546" s="75" t="s">
        <v>461</v>
      </c>
      <c r="B546" s="79">
        <v>46052</v>
      </c>
      <c r="C546" s="89">
        <v>53</v>
      </c>
      <c r="D546" s="75"/>
      <c r="E546" s="75"/>
      <c r="F546" s="75">
        <v>20513</v>
      </c>
      <c r="G546" s="76" t="str">
        <f>VLOOKUP(Tabelle2[[#This Row],[Kunden Nr.]],KUNDEN!A:B,2,0)</f>
        <v>BERATI A.P. (1)</v>
      </c>
      <c r="H546" s="75">
        <v>49644</v>
      </c>
      <c r="I546" s="76" t="str">
        <f>VLOOKUP(Tabelle2[[#This Row],[Artikel]],Produkte!A:B,2,0)</f>
        <v>beMAKER Rostlöser</v>
      </c>
      <c r="J546" s="75">
        <v>12</v>
      </c>
      <c r="K546" s="76" t="str">
        <f>VLOOKUP(Tabelle2[[#This Row],[Kunden Nr.]],KUNDEN!A:G,7)</f>
        <v>Mensuri</v>
      </c>
      <c r="L546" s="76">
        <f>VLOOKUP(Tabelle2[[#This Row],[Artikel]],Produkte!A:H,8)</f>
        <v>0.2</v>
      </c>
    </row>
    <row r="547" spans="1:12" x14ac:dyDescent="0.2">
      <c r="A547" s="75" t="s">
        <v>461</v>
      </c>
      <c r="B547" s="79">
        <v>46052</v>
      </c>
      <c r="C547" s="75"/>
      <c r="D547" s="75"/>
      <c r="E547" s="75"/>
      <c r="F547" s="75">
        <v>20513</v>
      </c>
      <c r="G547" s="76" t="str">
        <f>VLOOKUP(Tabelle2[[#This Row],[Kunden Nr.]],KUNDEN!A:B,2,0)</f>
        <v>BERATI A.P. (1)</v>
      </c>
      <c r="H547" s="75">
        <v>50912</v>
      </c>
      <c r="I547" s="76" t="str">
        <f>VLOOKUP(Tabelle2[[#This Row],[Artikel]],Produkte!A:B,2,0)</f>
        <v>DICHTUNG</v>
      </c>
      <c r="J547" s="75">
        <v>3</v>
      </c>
      <c r="K547" s="76" t="str">
        <f>VLOOKUP(Tabelle2[[#This Row],[Kunden Nr.]],KUNDEN!A:G,7)</f>
        <v>Mensuri</v>
      </c>
      <c r="L547" s="76">
        <f>VLOOKUP(Tabelle2[[#This Row],[Artikel]],Produkte!A:H,8)</f>
        <v>0.2</v>
      </c>
    </row>
    <row r="548" spans="1:12" x14ac:dyDescent="0.2">
      <c r="A548" s="75" t="s">
        <v>461</v>
      </c>
      <c r="B548" s="79">
        <v>46052</v>
      </c>
      <c r="C548" s="75"/>
      <c r="D548" s="75"/>
      <c r="E548" s="75"/>
      <c r="F548" s="75">
        <v>20513</v>
      </c>
      <c r="G548" s="76" t="str">
        <f>VLOOKUP(Tabelle2[[#This Row],[Kunden Nr.]],KUNDEN!A:B,2,0)</f>
        <v>BERATI A.P. (1)</v>
      </c>
      <c r="H548" s="75">
        <v>29802</v>
      </c>
      <c r="I548" s="76" t="str">
        <f>VLOOKUP(Tabelle2[[#This Row],[Artikel]],Produkte!A:B,2,0)</f>
        <v>beMaker Handwaschpaste</v>
      </c>
      <c r="J548" s="75">
        <v>4</v>
      </c>
      <c r="K548" s="76" t="str">
        <f>VLOOKUP(Tabelle2[[#This Row],[Kunden Nr.]],KUNDEN!A:G,7)</f>
        <v>Mensuri</v>
      </c>
      <c r="L548" s="76">
        <f>VLOOKUP(Tabelle2[[#This Row],[Artikel]],Produkte!A:H,8)</f>
        <v>0.1</v>
      </c>
    </row>
    <row r="549" spans="1:12" x14ac:dyDescent="0.2">
      <c r="A549" s="75" t="s">
        <v>463</v>
      </c>
      <c r="B549" s="79">
        <v>46052</v>
      </c>
      <c r="C549" s="89">
        <v>84.6</v>
      </c>
      <c r="D549" s="75"/>
      <c r="E549" s="75"/>
      <c r="F549" s="75">
        <v>20515</v>
      </c>
      <c r="G549" s="76" t="str">
        <f>VLOOKUP(Tabelle2[[#This Row],[Kunden Nr.]],KUNDEN!A:B,2,0)</f>
        <v>LIRIDONA-A</v>
      </c>
      <c r="H549" s="75">
        <v>51611</v>
      </c>
      <c r="I549" s="76" t="str">
        <f>VLOOKUP(Tabelle2[[#This Row],[Artikel]],Produkte!A:B,2,0)</f>
        <v>universal akryl</v>
      </c>
      <c r="J549" s="75">
        <v>12</v>
      </c>
      <c r="K549" s="76" t="str">
        <f>VLOOKUP(Tabelle2[[#This Row],[Kunden Nr.]],KUNDEN!A:G,7)</f>
        <v>Mensuri</v>
      </c>
      <c r="L549" s="76">
        <f>VLOOKUP(Tabelle2[[#This Row],[Artikel]],Produkte!A:H,8)</f>
        <v>0.06</v>
      </c>
    </row>
    <row r="550" spans="1:12" x14ac:dyDescent="0.2">
      <c r="A550" s="75" t="s">
        <v>463</v>
      </c>
      <c r="B550" s="79">
        <v>46052</v>
      </c>
      <c r="C550" s="75"/>
      <c r="D550" s="75"/>
      <c r="E550" s="75"/>
      <c r="F550" s="75">
        <v>20515</v>
      </c>
      <c r="G550" s="76" t="str">
        <f>VLOOKUP(Tabelle2[[#This Row],[Kunden Nr.]],KUNDEN!A:B,2,0)</f>
        <v>LIRIDONA-A</v>
      </c>
      <c r="H550" s="75">
        <v>66701</v>
      </c>
      <c r="I550" s="76" t="str">
        <f>VLOOKUP(Tabelle2[[#This Row],[Artikel]],Produkte!A:B,2,0)</f>
        <v>PROFIMONT EXTREME</v>
      </c>
      <c r="J550" s="75">
        <v>12</v>
      </c>
      <c r="K550" s="76" t="str">
        <f>VLOOKUP(Tabelle2[[#This Row],[Kunden Nr.]],KUNDEN!A:G,7)</f>
        <v>Mensuri</v>
      </c>
      <c r="L550" s="76">
        <f>VLOOKUP(Tabelle2[[#This Row],[Artikel]],Produkte!A:H,8)</f>
        <v>0.2</v>
      </c>
    </row>
    <row r="551" spans="1:12" x14ac:dyDescent="0.2">
      <c r="A551" s="75" t="s">
        <v>53</v>
      </c>
      <c r="B551" s="79">
        <v>46052</v>
      </c>
      <c r="C551" s="89">
        <v>92.4</v>
      </c>
      <c r="D551" s="75"/>
      <c r="E551" s="75"/>
      <c r="F551" s="75">
        <v>20407</v>
      </c>
      <c r="G551" s="76" t="str">
        <f>VLOOKUP(Tabelle2[[#This Row],[Kunden Nr.]],KUNDEN!A:B,2,0)</f>
        <v>TE BENI</v>
      </c>
      <c r="H551" s="75">
        <v>35111</v>
      </c>
      <c r="I551" s="76" t="str">
        <f>VLOOKUP(Tabelle2[[#This Row],[Artikel]],Produkte!A:B,2,0)</f>
        <v>M-ONE Sanitar Silikon</v>
      </c>
      <c r="J551" s="75">
        <v>12</v>
      </c>
      <c r="K551" s="76" t="str">
        <f>VLOOKUP(Tabelle2[[#This Row],[Kunden Nr.]],KUNDEN!A:G,7)</f>
        <v>Mensuri</v>
      </c>
      <c r="L551" s="76">
        <f>VLOOKUP(Tabelle2[[#This Row],[Artikel]],Produkte!A:H,8)</f>
        <v>0.17</v>
      </c>
    </row>
    <row r="552" spans="1:12" x14ac:dyDescent="0.2">
      <c r="A552" s="75" t="s">
        <v>53</v>
      </c>
      <c r="B552" s="79">
        <v>46052</v>
      </c>
      <c r="C552" s="75"/>
      <c r="D552" s="75"/>
      <c r="E552" s="75"/>
      <c r="F552" s="75">
        <v>20407</v>
      </c>
      <c r="G552" s="76" t="str">
        <f>VLOOKUP(Tabelle2[[#This Row],[Kunden Nr.]],KUNDEN!A:B,2,0)</f>
        <v>TE BENI</v>
      </c>
      <c r="H552" s="75">
        <v>35114</v>
      </c>
      <c r="I552" s="76" t="str">
        <f>VLOOKUP(Tabelle2[[#This Row],[Artikel]],Produkte!A:B,2,0)</f>
        <v>M-ONE Sanitar Silikon</v>
      </c>
      <c r="J552" s="75">
        <v>12</v>
      </c>
      <c r="K552" s="76" t="str">
        <f>VLOOKUP(Tabelle2[[#This Row],[Kunden Nr.]],KUNDEN!A:G,7)</f>
        <v>Mensuri</v>
      </c>
      <c r="L552" s="76">
        <f>VLOOKUP(Tabelle2[[#This Row],[Artikel]],Produkte!A:H,8)</f>
        <v>0.17</v>
      </c>
    </row>
    <row r="553" spans="1:12" x14ac:dyDescent="0.2">
      <c r="A553" s="75" t="s">
        <v>48</v>
      </c>
      <c r="B553" s="79">
        <v>46052</v>
      </c>
      <c r="C553" s="89">
        <v>138.6</v>
      </c>
      <c r="D553" s="75"/>
      <c r="E553" s="75"/>
      <c r="F553" s="75">
        <v>20404</v>
      </c>
      <c r="G553" s="76" t="str">
        <f>VLOOKUP(Tabelle2[[#This Row],[Kunden Nr.]],KUNDEN!A:B,2,0)</f>
        <v>TE MENTORI</v>
      </c>
      <c r="H553" s="75">
        <v>35113</v>
      </c>
      <c r="I553" s="76" t="str">
        <f>VLOOKUP(Tabelle2[[#This Row],[Artikel]],Produkte!A:B,2,0)</f>
        <v>M-ONE Sanitar Silikon</v>
      </c>
      <c r="J553" s="75">
        <v>12</v>
      </c>
      <c r="K553" s="76" t="str">
        <f>VLOOKUP(Tabelle2[[#This Row],[Kunden Nr.]],KUNDEN!A:G,7)</f>
        <v>Mensuri</v>
      </c>
      <c r="L553" s="76">
        <f>VLOOKUP(Tabelle2[[#This Row],[Artikel]],Produkte!A:H,8)</f>
        <v>0.17</v>
      </c>
    </row>
    <row r="554" spans="1:12" x14ac:dyDescent="0.2">
      <c r="A554" s="75" t="s">
        <v>48</v>
      </c>
      <c r="B554" s="79">
        <v>46052</v>
      </c>
      <c r="C554" s="75"/>
      <c r="D554" s="75"/>
      <c r="E554" s="75"/>
      <c r="F554" s="75">
        <v>20404</v>
      </c>
      <c r="G554" s="76" t="str">
        <f>VLOOKUP(Tabelle2[[#This Row],[Kunden Nr.]],KUNDEN!A:B,2,0)</f>
        <v>TE MENTORI</v>
      </c>
      <c r="H554" s="75">
        <v>35114</v>
      </c>
      <c r="I554" s="76" t="str">
        <f>VLOOKUP(Tabelle2[[#This Row],[Artikel]],Produkte!A:B,2,0)</f>
        <v>M-ONE Sanitar Silikon</v>
      </c>
      <c r="J554" s="75">
        <v>12</v>
      </c>
      <c r="K554" s="76" t="str">
        <f>VLOOKUP(Tabelle2[[#This Row],[Kunden Nr.]],KUNDEN!A:G,7)</f>
        <v>Mensuri</v>
      </c>
      <c r="L554" s="76">
        <f>VLOOKUP(Tabelle2[[#This Row],[Artikel]],Produkte!A:H,8)</f>
        <v>0.17</v>
      </c>
    </row>
    <row r="555" spans="1:12" x14ac:dyDescent="0.2">
      <c r="A555" s="75" t="s">
        <v>48</v>
      </c>
      <c r="B555" s="79">
        <v>46052</v>
      </c>
      <c r="C555" s="75"/>
      <c r="D555" s="75"/>
      <c r="E555" s="75"/>
      <c r="F555" s="75">
        <v>20404</v>
      </c>
      <c r="G555" s="76" t="str">
        <f>VLOOKUP(Tabelle2[[#This Row],[Kunden Nr.]],KUNDEN!A:B,2,0)</f>
        <v>TE MENTORI</v>
      </c>
      <c r="H555" s="75">
        <v>35125</v>
      </c>
      <c r="I555" s="76" t="str">
        <f>VLOOKUP(Tabelle2[[#This Row],[Artikel]],Produkte!A:B,2,0)</f>
        <v>M-ONE Sanitar Silikon</v>
      </c>
      <c r="J555" s="75">
        <v>12</v>
      </c>
      <c r="K555" s="76" t="str">
        <f>VLOOKUP(Tabelle2[[#This Row],[Kunden Nr.]],KUNDEN!A:G,7)</f>
        <v>Mensuri</v>
      </c>
      <c r="L555" s="76">
        <f>VLOOKUP(Tabelle2[[#This Row],[Artikel]],Produkte!A:H,8)</f>
        <v>0.17</v>
      </c>
    </row>
    <row r="556" spans="1:12" x14ac:dyDescent="0.2">
      <c r="A556" s="75" t="s">
        <v>1230</v>
      </c>
      <c r="B556" s="79">
        <v>46053</v>
      </c>
      <c r="C556" s="89">
        <v>46.2</v>
      </c>
      <c r="D556" s="75"/>
      <c r="E556" s="75"/>
      <c r="F556" s="75">
        <v>10635</v>
      </c>
      <c r="G556" s="76" t="e">
        <f>VLOOKUP(Tabelle2[[#This Row],[Kunden Nr.]],KUNDEN!A:B,2,0)</f>
        <v>#N/A</v>
      </c>
      <c r="H556" s="75">
        <v>35109</v>
      </c>
      <c r="I556" s="76" t="str">
        <f>VLOOKUP(Tabelle2[[#This Row],[Artikel]],Produkte!A:B,2,0)</f>
        <v>M-ONE Sanitar Silikon</v>
      </c>
      <c r="J556" s="75">
        <v>12</v>
      </c>
      <c r="K556" s="76" t="str">
        <f>VLOOKUP(Tabelle2[[#This Row],[Kunden Nr.]],KUNDEN!A:G,7)</f>
        <v>Qerimi</v>
      </c>
      <c r="L556" s="76">
        <f>VLOOKUP(Tabelle2[[#This Row],[Artikel]],Produkte!A:H,8)</f>
        <v>0.17</v>
      </c>
    </row>
    <row r="557" spans="1:12" x14ac:dyDescent="0.2">
      <c r="A557" s="75" t="s">
        <v>611</v>
      </c>
      <c r="B557" s="79">
        <v>46053</v>
      </c>
      <c r="C557" s="89">
        <v>27</v>
      </c>
      <c r="D557" s="75"/>
      <c r="E557" s="75"/>
      <c r="F557" s="75">
        <v>10619</v>
      </c>
      <c r="G557" s="76" t="str">
        <f>VLOOKUP(Tabelle2[[#This Row],[Kunden Nr.]],KUNDEN!A:B,2,0)</f>
        <v>BECOLOR</v>
      </c>
      <c r="H557" s="75">
        <v>31818</v>
      </c>
      <c r="I557" s="76" t="str">
        <f>VLOOKUP(Tabelle2[[#This Row],[Artikel]],Produkte!A:B,2,0)</f>
        <v>M ONE ANTHRAZIT</v>
      </c>
      <c r="J557" s="75">
        <v>6</v>
      </c>
      <c r="K557" s="76" t="str">
        <f>VLOOKUP(Tabelle2[[#This Row],[Kunden Nr.]],KUNDEN!A:G,7)</f>
        <v>Qerimi</v>
      </c>
      <c r="L557" s="76">
        <f>VLOOKUP(Tabelle2[[#This Row],[Artikel]],Produkte!A:H,8)</f>
        <v>0.15</v>
      </c>
    </row>
    <row r="558" spans="1:12" x14ac:dyDescent="0.2">
      <c r="A558" s="75" t="s">
        <v>611</v>
      </c>
      <c r="B558" s="79">
        <v>46053</v>
      </c>
      <c r="C558" s="75"/>
      <c r="D558" s="75"/>
      <c r="E558" s="75"/>
      <c r="F558" s="75">
        <v>10619</v>
      </c>
      <c r="G558" s="76" t="str">
        <f>VLOOKUP(Tabelle2[[#This Row],[Kunden Nr.]],KUNDEN!A:B,2,0)</f>
        <v>BECOLOR</v>
      </c>
      <c r="H558" s="75">
        <v>51611</v>
      </c>
      <c r="I558" s="76" t="str">
        <f>VLOOKUP(Tabelle2[[#This Row],[Artikel]],Produkte!A:B,2,0)</f>
        <v>universal akryl</v>
      </c>
      <c r="J558" s="75">
        <v>12</v>
      </c>
      <c r="K558" s="76" t="str">
        <f>VLOOKUP(Tabelle2[[#This Row],[Kunden Nr.]],KUNDEN!A:G,7)</f>
        <v>Qerimi</v>
      </c>
      <c r="L558" s="76">
        <f>VLOOKUP(Tabelle2[[#This Row],[Artikel]],Produkte!A:H,8)</f>
        <v>0.06</v>
      </c>
    </row>
    <row r="559" spans="1:12" x14ac:dyDescent="0.2">
      <c r="A559" s="75" t="s">
        <v>1230</v>
      </c>
      <c r="B559" s="79">
        <v>46053</v>
      </c>
      <c r="C559" s="89">
        <v>117.9</v>
      </c>
      <c r="D559" s="75"/>
      <c r="E559" s="75"/>
      <c r="F559" s="75">
        <v>10637</v>
      </c>
      <c r="G559" s="76" t="e">
        <f>VLOOKUP(Tabelle2[[#This Row],[Kunden Nr.]],KUNDEN!A:B,2,0)</f>
        <v>#N/A</v>
      </c>
      <c r="H559" s="75">
        <v>50912</v>
      </c>
      <c r="I559" s="76" t="str">
        <f>VLOOKUP(Tabelle2[[#This Row],[Artikel]],Produkte!A:B,2,0)</f>
        <v>DICHTUNG</v>
      </c>
      <c r="J559" s="75">
        <v>12</v>
      </c>
      <c r="K559" s="76" t="str">
        <f>VLOOKUP(Tabelle2[[#This Row],[Kunden Nr.]],KUNDEN!A:G,7)</f>
        <v>Qerimi</v>
      </c>
      <c r="L559" s="76">
        <f>VLOOKUP(Tabelle2[[#This Row],[Artikel]],Produkte!A:H,8)</f>
        <v>0.2</v>
      </c>
    </row>
    <row r="560" spans="1:12" x14ac:dyDescent="0.2">
      <c r="A560" s="75" t="s">
        <v>1230</v>
      </c>
      <c r="B560" s="79">
        <v>46053</v>
      </c>
      <c r="C560" s="75"/>
      <c r="D560" s="75"/>
      <c r="E560" s="75"/>
      <c r="F560" s="75">
        <v>10637</v>
      </c>
      <c r="G560" s="76" t="e">
        <f>VLOOKUP(Tabelle2[[#This Row],[Kunden Nr.]],KUNDEN!A:B,2,0)</f>
        <v>#N/A</v>
      </c>
      <c r="H560" s="75">
        <v>44001</v>
      </c>
      <c r="I560" s="76" t="str">
        <f>VLOOKUP(Tabelle2[[#This Row],[Artikel]],Produkte!A:B,2,0)</f>
        <v>Fettspray</v>
      </c>
      <c r="J560" s="75">
        <v>4</v>
      </c>
      <c r="K560" s="76" t="str">
        <f>VLOOKUP(Tabelle2[[#This Row],[Kunden Nr.]],KUNDEN!A:G,7)</f>
        <v>Qerimi</v>
      </c>
      <c r="L560" s="76">
        <f>VLOOKUP(Tabelle2[[#This Row],[Artikel]],Produkte!A:H,8)</f>
        <v>0.2</v>
      </c>
    </row>
    <row r="561" spans="1:12" x14ac:dyDescent="0.2">
      <c r="A561" s="75" t="s">
        <v>1230</v>
      </c>
      <c r="B561" s="79">
        <v>46053</v>
      </c>
      <c r="C561" s="75"/>
      <c r="D561" s="75"/>
      <c r="E561" s="75"/>
      <c r="F561" s="75">
        <v>10637</v>
      </c>
      <c r="G561" s="76" t="e">
        <f>VLOOKUP(Tabelle2[[#This Row],[Kunden Nr.]],KUNDEN!A:B,2,0)</f>
        <v>#N/A</v>
      </c>
      <c r="H561" s="75">
        <v>55718</v>
      </c>
      <c r="I561" s="76" t="str">
        <f>VLOOKUP(Tabelle2[[#This Row],[Artikel]],Produkte!A:B,2,0)</f>
        <v>M ONE MOTORSTART</v>
      </c>
      <c r="J561" s="75">
        <v>5</v>
      </c>
      <c r="K561" s="76" t="str">
        <f>VLOOKUP(Tabelle2[[#This Row],[Kunden Nr.]],KUNDEN!A:G,7)</f>
        <v>Qerimi</v>
      </c>
      <c r="L561" s="76">
        <f>VLOOKUP(Tabelle2[[#This Row],[Artikel]],Produkte!A:H,8)</f>
        <v>0.2</v>
      </c>
    </row>
    <row r="562" spans="1:12" x14ac:dyDescent="0.2">
      <c r="A562" s="75" t="s">
        <v>596</v>
      </c>
      <c r="B562" s="79">
        <v>46053</v>
      </c>
      <c r="C562" s="89">
        <v>27.5</v>
      </c>
      <c r="D562" s="75"/>
      <c r="E562" s="75"/>
      <c r="F562" s="75">
        <v>10604</v>
      </c>
      <c r="G562" s="76" t="str">
        <f>VLOOKUP(Tabelle2[[#This Row],[Kunden Nr.]],KUNDEN!A:B,2,0)</f>
        <v>KUSHA</v>
      </c>
      <c r="H562" s="75">
        <v>54412</v>
      </c>
      <c r="I562" s="76" t="str">
        <f>VLOOKUP(Tabelle2[[#This Row],[Artikel]],Produkte!A:B,2,0)</f>
        <v>beMAKER Bremsen&amp;Teile Reininger</v>
      </c>
      <c r="J562" s="75">
        <v>6</v>
      </c>
      <c r="K562" s="76" t="str">
        <f>VLOOKUP(Tabelle2[[#This Row],[Kunden Nr.]],KUNDEN!A:G,7)</f>
        <v>Qerimi</v>
      </c>
      <c r="L562" s="76">
        <f>VLOOKUP(Tabelle2[[#This Row],[Artikel]],Produkte!A:H,8)</f>
        <v>0.2</v>
      </c>
    </row>
    <row r="563" spans="1:12" x14ac:dyDescent="0.2">
      <c r="A563" s="75" t="s">
        <v>596</v>
      </c>
      <c r="B563" s="79">
        <v>46053</v>
      </c>
      <c r="C563" s="75"/>
      <c r="D563" s="75"/>
      <c r="E563" s="75"/>
      <c r="F563" s="75">
        <v>10604</v>
      </c>
      <c r="G563" s="76" t="str">
        <f>VLOOKUP(Tabelle2[[#This Row],[Kunden Nr.]],KUNDEN!A:B,2,0)</f>
        <v>KUSHA</v>
      </c>
      <c r="H563" s="75">
        <v>49644</v>
      </c>
      <c r="I563" s="76" t="str">
        <f>VLOOKUP(Tabelle2[[#This Row],[Artikel]],Produkte!A:B,2,0)</f>
        <v>beMAKER Rostlöser</v>
      </c>
      <c r="J563" s="75">
        <v>6</v>
      </c>
      <c r="K563" s="76" t="str">
        <f>VLOOKUP(Tabelle2[[#This Row],[Kunden Nr.]],KUNDEN!A:G,7)</f>
        <v>Qerimi</v>
      </c>
      <c r="L563" s="76">
        <f>VLOOKUP(Tabelle2[[#This Row],[Artikel]],Produkte!A:H,8)</f>
        <v>0.2</v>
      </c>
    </row>
    <row r="564" spans="1:12" x14ac:dyDescent="0.2">
      <c r="A564" s="75" t="s">
        <v>596</v>
      </c>
      <c r="B564" s="79">
        <v>46053</v>
      </c>
      <c r="C564" s="75"/>
      <c r="D564" s="75"/>
      <c r="E564" s="75"/>
      <c r="F564" s="75">
        <v>10604</v>
      </c>
      <c r="G564" s="76" t="str">
        <f>VLOOKUP(Tabelle2[[#This Row],[Kunden Nr.]],KUNDEN!A:B,2,0)</f>
        <v>KUSHA</v>
      </c>
      <c r="H564" s="75">
        <v>44001</v>
      </c>
      <c r="I564" s="76" t="str">
        <f>VLOOKUP(Tabelle2[[#This Row],[Artikel]],Produkte!A:B,2,0)</f>
        <v>Fettspray</v>
      </c>
      <c r="J564" s="75">
        <v>1</v>
      </c>
      <c r="K564" s="76" t="str">
        <f>VLOOKUP(Tabelle2[[#This Row],[Kunden Nr.]],KUNDEN!A:G,7)</f>
        <v>Qerimi</v>
      </c>
      <c r="L564" s="76">
        <f>VLOOKUP(Tabelle2[[#This Row],[Artikel]],Produkte!A:H,8)</f>
        <v>0.2</v>
      </c>
    </row>
    <row r="565" spans="1:12" x14ac:dyDescent="0.2">
      <c r="A565" s="75" t="s">
        <v>837</v>
      </c>
      <c r="B565" s="79">
        <v>46053</v>
      </c>
      <c r="C565" s="89">
        <v>92.4</v>
      </c>
      <c r="D565" s="75"/>
      <c r="E565" s="75"/>
      <c r="F565" s="75">
        <v>10625</v>
      </c>
      <c r="G565" s="76" t="str">
        <f>VLOOKUP(Tabelle2[[#This Row],[Kunden Nr.]],KUNDEN!A:B,2,0)</f>
        <v>KUJTA</v>
      </c>
      <c r="H565" s="75">
        <v>35115</v>
      </c>
      <c r="I565" s="76" t="str">
        <f>VLOOKUP(Tabelle2[[#This Row],[Artikel]],Produkte!A:B,2,0)</f>
        <v>M-ONE Sanitar Silikon</v>
      </c>
      <c r="J565" s="75">
        <v>12</v>
      </c>
      <c r="K565" s="76" t="str">
        <f>VLOOKUP(Tabelle2[[#This Row],[Kunden Nr.]],KUNDEN!A:G,7)</f>
        <v>Qerimi</v>
      </c>
      <c r="L565" s="76">
        <f>VLOOKUP(Tabelle2[[#This Row],[Artikel]],Produkte!A:H,8)</f>
        <v>0.17</v>
      </c>
    </row>
    <row r="566" spans="1:12" x14ac:dyDescent="0.2">
      <c r="A566" s="75" t="s">
        <v>837</v>
      </c>
      <c r="B566" s="79">
        <v>46053</v>
      </c>
      <c r="C566" s="75"/>
      <c r="D566" s="75"/>
      <c r="E566" s="75"/>
      <c r="F566" s="75">
        <v>10625</v>
      </c>
      <c r="G566" s="76" t="str">
        <f>VLOOKUP(Tabelle2[[#This Row],[Kunden Nr.]],KUNDEN!A:B,2,0)</f>
        <v>KUJTA</v>
      </c>
      <c r="H566" s="75">
        <v>35121</v>
      </c>
      <c r="I566" s="76" t="str">
        <f>VLOOKUP(Tabelle2[[#This Row],[Artikel]],Produkte!A:B,2,0)</f>
        <v>M-ONE Sanitar Silikon</v>
      </c>
      <c r="J566" s="75">
        <v>12</v>
      </c>
      <c r="K566" s="76" t="str">
        <f>VLOOKUP(Tabelle2[[#This Row],[Kunden Nr.]],KUNDEN!A:G,7)</f>
        <v>Qerimi</v>
      </c>
      <c r="L566" s="76">
        <f>VLOOKUP(Tabelle2[[#This Row],[Artikel]],Produkte!A:H,8)</f>
        <v>0.17</v>
      </c>
    </row>
    <row r="567" spans="1:12" x14ac:dyDescent="0.2">
      <c r="A567" s="75" t="s">
        <v>1185</v>
      </c>
      <c r="B567" s="79">
        <v>46053</v>
      </c>
      <c r="C567" s="89">
        <v>92.4</v>
      </c>
      <c r="D567" s="75"/>
      <c r="E567" s="75"/>
      <c r="F567" s="75">
        <v>20628</v>
      </c>
      <c r="G567" s="76" t="str">
        <f>VLOOKUP(Tabelle2[[#This Row],[Kunden Nr.]],KUNDEN!A:B,2,0)</f>
        <v>DIVA QERAMIKA</v>
      </c>
      <c r="H567" s="75">
        <v>35113</v>
      </c>
      <c r="I567" s="76" t="str">
        <f>VLOOKUP(Tabelle2[[#This Row],[Artikel]],Produkte!A:B,2,0)</f>
        <v>M-ONE Sanitar Silikon</v>
      </c>
      <c r="J567" s="75">
        <v>12</v>
      </c>
      <c r="K567" s="76" t="str">
        <f>VLOOKUP(Tabelle2[[#This Row],[Kunden Nr.]],KUNDEN!A:G,7)</f>
        <v>Mensuri</v>
      </c>
      <c r="L567" s="76">
        <f>VLOOKUP(Tabelle2[[#This Row],[Artikel]],Produkte!A:H,8)</f>
        <v>0.17</v>
      </c>
    </row>
    <row r="568" spans="1:12" x14ac:dyDescent="0.2">
      <c r="A568" s="75" t="s">
        <v>1185</v>
      </c>
      <c r="B568" s="79">
        <v>46053</v>
      </c>
      <c r="C568" s="75"/>
      <c r="D568" s="75"/>
      <c r="E568" s="75"/>
      <c r="F568" s="75">
        <v>20628</v>
      </c>
      <c r="G568" s="76" t="str">
        <f>VLOOKUP(Tabelle2[[#This Row],[Kunden Nr.]],KUNDEN!A:B,2,0)</f>
        <v>DIVA QERAMIKA</v>
      </c>
      <c r="H568" s="75">
        <v>35125</v>
      </c>
      <c r="I568" s="76" t="str">
        <f>VLOOKUP(Tabelle2[[#This Row],[Artikel]],Produkte!A:B,2,0)</f>
        <v>M-ONE Sanitar Silikon</v>
      </c>
      <c r="J568" s="75">
        <v>12</v>
      </c>
      <c r="K568" s="76" t="str">
        <f>VLOOKUP(Tabelle2[[#This Row],[Kunden Nr.]],KUNDEN!A:G,7)</f>
        <v>Mensuri</v>
      </c>
      <c r="L568" s="76">
        <f>VLOOKUP(Tabelle2[[#This Row],[Artikel]],Produkte!A:H,8)</f>
        <v>0.17</v>
      </c>
    </row>
    <row r="569" spans="1:12" x14ac:dyDescent="0.2">
      <c r="A569" s="75" t="s">
        <v>1171</v>
      </c>
      <c r="B569" s="79">
        <v>46053</v>
      </c>
      <c r="C569" s="89">
        <v>92.4</v>
      </c>
      <c r="D569" s="75"/>
      <c r="E569" s="75"/>
      <c r="F569" s="75">
        <v>20627</v>
      </c>
      <c r="G569" s="76" t="str">
        <f>VLOOKUP(Tabelle2[[#This Row],[Kunden Nr.]],KUNDEN!A:B,2,0)</f>
        <v>UNIKA</v>
      </c>
      <c r="H569" s="75">
        <v>35109</v>
      </c>
      <c r="I569" s="76" t="str">
        <f>VLOOKUP(Tabelle2[[#This Row],[Artikel]],Produkte!A:B,2,0)</f>
        <v>M-ONE Sanitar Silikon</v>
      </c>
      <c r="J569" s="75">
        <v>12</v>
      </c>
      <c r="K569" s="76" t="str">
        <f>VLOOKUP(Tabelle2[[#This Row],[Kunden Nr.]],KUNDEN!A:G,7)</f>
        <v>Mensuri</v>
      </c>
      <c r="L569" s="76">
        <f>VLOOKUP(Tabelle2[[#This Row],[Artikel]],Produkte!A:H,8)</f>
        <v>0.17</v>
      </c>
    </row>
    <row r="570" spans="1:12" x14ac:dyDescent="0.2">
      <c r="A570" s="75" t="s">
        <v>1171</v>
      </c>
      <c r="B570" s="79">
        <v>46053</v>
      </c>
      <c r="C570" s="75"/>
      <c r="D570" s="75"/>
      <c r="E570" s="75"/>
      <c r="F570" s="75">
        <v>20627</v>
      </c>
      <c r="G570" s="76" t="str">
        <f>VLOOKUP(Tabelle2[[#This Row],[Kunden Nr.]],KUNDEN!A:B,2,0)</f>
        <v>UNIKA</v>
      </c>
      <c r="H570" s="75">
        <v>35113</v>
      </c>
      <c r="I570" s="76" t="str">
        <f>VLOOKUP(Tabelle2[[#This Row],[Artikel]],Produkte!A:B,2,0)</f>
        <v>M-ONE Sanitar Silikon</v>
      </c>
      <c r="J570" s="75">
        <v>12</v>
      </c>
      <c r="K570" s="76" t="str">
        <f>VLOOKUP(Tabelle2[[#This Row],[Kunden Nr.]],KUNDEN!A:G,7)</f>
        <v>Mensuri</v>
      </c>
      <c r="L570" s="76">
        <f>VLOOKUP(Tabelle2[[#This Row],[Artikel]],Produkte!A:H,8)</f>
        <v>0.17</v>
      </c>
    </row>
    <row r="571" spans="1:12" x14ac:dyDescent="0.2">
      <c r="A571" s="75" t="s">
        <v>434</v>
      </c>
      <c r="B571" s="79">
        <v>46053</v>
      </c>
      <c r="C571" s="89">
        <v>141.6</v>
      </c>
      <c r="D571" s="75"/>
      <c r="E571" s="75"/>
      <c r="F571" s="75">
        <v>20606</v>
      </c>
      <c r="G571" s="76" t="str">
        <f>VLOOKUP(Tabelle2[[#This Row],[Kunden Nr.]],KUNDEN!A:B,2,0)</f>
        <v>TE-SYLA</v>
      </c>
      <c r="H571" s="75">
        <v>35125</v>
      </c>
      <c r="I571" s="76" t="str">
        <f>VLOOKUP(Tabelle2[[#This Row],[Artikel]],Produkte!A:B,2,0)</f>
        <v>M-ONE Sanitar Silikon</v>
      </c>
      <c r="J571" s="75">
        <v>12</v>
      </c>
      <c r="K571" s="76" t="str">
        <f>VLOOKUP(Tabelle2[[#This Row],[Kunden Nr.]],KUNDEN!A:G,7)</f>
        <v>Mensuri</v>
      </c>
      <c r="L571" s="76">
        <f>VLOOKUP(Tabelle2[[#This Row],[Artikel]],Produkte!A:H,8)</f>
        <v>0.17</v>
      </c>
    </row>
    <row r="572" spans="1:12" x14ac:dyDescent="0.2">
      <c r="A572" s="75" t="s">
        <v>434</v>
      </c>
      <c r="B572" s="79">
        <v>46053</v>
      </c>
      <c r="C572" s="75"/>
      <c r="D572" s="75"/>
      <c r="E572" s="75"/>
      <c r="F572" s="75">
        <v>20606</v>
      </c>
      <c r="G572" s="76" t="str">
        <f>VLOOKUP(Tabelle2[[#This Row],[Kunden Nr.]],KUNDEN!A:B,2,0)</f>
        <v>TE-SYLA</v>
      </c>
      <c r="H572" s="75">
        <v>50912</v>
      </c>
      <c r="I572" s="76" t="str">
        <f>VLOOKUP(Tabelle2[[#This Row],[Artikel]],Produkte!A:B,2,0)</f>
        <v>DICHTUNG</v>
      </c>
      <c r="J572" s="75">
        <v>12</v>
      </c>
      <c r="K572" s="76" t="str">
        <f>VLOOKUP(Tabelle2[[#This Row],[Kunden Nr.]],KUNDEN!A:G,7)</f>
        <v>Mensuri</v>
      </c>
      <c r="L572" s="76">
        <f>VLOOKUP(Tabelle2[[#This Row],[Artikel]],Produkte!A:H,8)</f>
        <v>0.2</v>
      </c>
    </row>
    <row r="573" spans="1:12" x14ac:dyDescent="0.2">
      <c r="A573" s="75" t="s">
        <v>434</v>
      </c>
      <c r="B573" s="79">
        <v>46053</v>
      </c>
      <c r="C573" s="75"/>
      <c r="D573" s="75"/>
      <c r="E573" s="75"/>
      <c r="F573" s="75">
        <v>20606</v>
      </c>
      <c r="G573" s="76" t="str">
        <f>VLOOKUP(Tabelle2[[#This Row],[Kunden Nr.]],KUNDEN!A:B,2,0)</f>
        <v>TE-SYLA</v>
      </c>
      <c r="H573" s="75">
        <v>26736</v>
      </c>
      <c r="I573" s="76" t="str">
        <f>VLOOKUP(Tabelle2[[#This Row],[Artikel]],Produkte!A:B,2,0)</f>
        <v>M ONE HAFTGRUND</v>
      </c>
      <c r="J573" s="75">
        <v>6</v>
      </c>
      <c r="K573" s="76" t="str">
        <f>VLOOKUP(Tabelle2[[#This Row],[Kunden Nr.]],KUNDEN!A:G,7)</f>
        <v>Mensuri</v>
      </c>
      <c r="L573" s="76">
        <f>VLOOKUP(Tabelle2[[#This Row],[Artikel]],Produkte!A:H,8)</f>
        <v>0.15</v>
      </c>
    </row>
    <row r="574" spans="1:12" x14ac:dyDescent="0.2">
      <c r="A574" s="75" t="s">
        <v>435</v>
      </c>
      <c r="B574" s="79">
        <v>46053</v>
      </c>
      <c r="C574" s="89">
        <v>92.4</v>
      </c>
      <c r="D574" s="75"/>
      <c r="E574" s="75"/>
      <c r="F574" s="75">
        <v>20608</v>
      </c>
      <c r="G574" s="76" t="str">
        <f>VLOOKUP(Tabelle2[[#This Row],[Kunden Nr.]],KUNDEN!A:B,2,0)</f>
        <v>LONI</v>
      </c>
      <c r="H574" s="75">
        <v>35113</v>
      </c>
      <c r="I574" s="76" t="str">
        <f>VLOOKUP(Tabelle2[[#This Row],[Artikel]],Produkte!A:B,2,0)</f>
        <v>M-ONE Sanitar Silikon</v>
      </c>
      <c r="J574" s="75">
        <v>12</v>
      </c>
      <c r="K574" s="76" t="str">
        <f>VLOOKUP(Tabelle2[[#This Row],[Kunden Nr.]],KUNDEN!A:G,7)</f>
        <v>Mensuri</v>
      </c>
      <c r="L574" s="76">
        <f>VLOOKUP(Tabelle2[[#This Row],[Artikel]],Produkte!A:H,8)</f>
        <v>0.17</v>
      </c>
    </row>
    <row r="575" spans="1:12" x14ac:dyDescent="0.2">
      <c r="A575" s="75" t="s">
        <v>435</v>
      </c>
      <c r="B575" s="79">
        <v>46053</v>
      </c>
      <c r="C575" s="75"/>
      <c r="D575" s="75"/>
      <c r="E575" s="75"/>
      <c r="F575" s="75">
        <v>20608</v>
      </c>
      <c r="G575" s="76" t="str">
        <f>VLOOKUP(Tabelle2[[#This Row],[Kunden Nr.]],KUNDEN!A:B,2,0)</f>
        <v>LONI</v>
      </c>
      <c r="H575" s="75">
        <v>35121</v>
      </c>
      <c r="I575" s="76" t="str">
        <f>VLOOKUP(Tabelle2[[#This Row],[Artikel]],Produkte!A:B,2,0)</f>
        <v>M-ONE Sanitar Silikon</v>
      </c>
      <c r="J575" s="75">
        <v>12</v>
      </c>
      <c r="K575" s="76" t="str">
        <f>VLOOKUP(Tabelle2[[#This Row],[Kunden Nr.]],KUNDEN!A:G,7)</f>
        <v>Mensuri</v>
      </c>
      <c r="L575" s="76">
        <f>VLOOKUP(Tabelle2[[#This Row],[Artikel]],Produkte!A:H,8)</f>
        <v>0.17</v>
      </c>
    </row>
    <row r="576" spans="1:12" x14ac:dyDescent="0.2">
      <c r="A576" s="75" t="s">
        <v>440</v>
      </c>
      <c r="B576" s="79">
        <v>46053</v>
      </c>
      <c r="C576" s="89">
        <v>333.9</v>
      </c>
      <c r="D576" s="75"/>
      <c r="E576" s="75"/>
      <c r="F576" s="75">
        <v>20611</v>
      </c>
      <c r="G576" s="76" t="str">
        <f>VLOOKUP(Tabelle2[[#This Row],[Kunden Nr.]],KUNDEN!A:B,2,0)</f>
        <v>TE-LUTA</v>
      </c>
      <c r="H576" s="75">
        <v>35109</v>
      </c>
      <c r="I576" s="76" t="str">
        <f>VLOOKUP(Tabelle2[[#This Row],[Artikel]],Produkte!A:B,2,0)</f>
        <v>M-ONE Sanitar Silikon</v>
      </c>
      <c r="J576" s="75">
        <v>24</v>
      </c>
      <c r="K576" s="76" t="str">
        <f>VLOOKUP(Tabelle2[[#This Row],[Kunden Nr.]],KUNDEN!A:G,7)</f>
        <v>Mensuri</v>
      </c>
      <c r="L576" s="76">
        <f>VLOOKUP(Tabelle2[[#This Row],[Artikel]],Produkte!A:H,8)</f>
        <v>0.17</v>
      </c>
    </row>
    <row r="577" spans="1:12" x14ac:dyDescent="0.2">
      <c r="A577" s="75" t="s">
        <v>440</v>
      </c>
      <c r="B577" s="79">
        <v>46053</v>
      </c>
      <c r="C577" s="75"/>
      <c r="D577" s="75"/>
      <c r="E577" s="75"/>
      <c r="F577" s="75">
        <v>20611</v>
      </c>
      <c r="G577" s="76" t="str">
        <f>VLOOKUP(Tabelle2[[#This Row],[Kunden Nr.]],KUNDEN!A:B,2,0)</f>
        <v>TE-LUTA</v>
      </c>
      <c r="H577" s="75">
        <v>35128</v>
      </c>
      <c r="I577" s="76" t="str">
        <f>VLOOKUP(Tabelle2[[#This Row],[Artikel]],Produkte!A:B,2,0)</f>
        <v>M-ONE Sanitar Silikon</v>
      </c>
      <c r="J577" s="75">
        <v>24</v>
      </c>
      <c r="K577" s="76" t="str">
        <f>VLOOKUP(Tabelle2[[#This Row],[Kunden Nr.]],KUNDEN!A:G,7)</f>
        <v>Mensuri</v>
      </c>
      <c r="L577" s="76">
        <f>VLOOKUP(Tabelle2[[#This Row],[Artikel]],Produkte!A:H,8)</f>
        <v>0.17</v>
      </c>
    </row>
    <row r="578" spans="1:12" x14ac:dyDescent="0.2">
      <c r="A578" s="75" t="s">
        <v>440</v>
      </c>
      <c r="B578" s="79">
        <v>46053</v>
      </c>
      <c r="C578" s="75"/>
      <c r="D578" s="75"/>
      <c r="E578" s="75"/>
      <c r="F578" s="75">
        <v>20611</v>
      </c>
      <c r="G578" s="76" t="str">
        <f>VLOOKUP(Tabelle2[[#This Row],[Kunden Nr.]],KUNDEN!A:B,2,0)</f>
        <v>TE-LUTA</v>
      </c>
      <c r="H578" s="75">
        <v>35110</v>
      </c>
      <c r="I578" s="76" t="str">
        <f>VLOOKUP(Tabelle2[[#This Row],[Artikel]],Produkte!A:B,2,0)</f>
        <v>M-ONE Sanitar Silikon</v>
      </c>
      <c r="J578" s="75">
        <v>12</v>
      </c>
      <c r="K578" s="76" t="str">
        <f>VLOOKUP(Tabelle2[[#This Row],[Kunden Nr.]],KUNDEN!A:G,7)</f>
        <v>Mensuri</v>
      </c>
      <c r="L578" s="76">
        <f>VLOOKUP(Tabelle2[[#This Row],[Artikel]],Produkte!A:H,8)</f>
        <v>0.17</v>
      </c>
    </row>
    <row r="579" spans="1:12" x14ac:dyDescent="0.2">
      <c r="A579" s="75" t="s">
        <v>440</v>
      </c>
      <c r="B579" s="79">
        <v>46053</v>
      </c>
      <c r="C579" s="75"/>
      <c r="D579" s="75"/>
      <c r="E579" s="75"/>
      <c r="F579" s="75">
        <v>20611</v>
      </c>
      <c r="G579" s="76" t="str">
        <f>VLOOKUP(Tabelle2[[#This Row],[Kunden Nr.]],KUNDEN!A:B,2,0)</f>
        <v>TE-LUTA</v>
      </c>
      <c r="H579" s="75">
        <v>35111</v>
      </c>
      <c r="I579" s="76" t="str">
        <f>VLOOKUP(Tabelle2[[#This Row],[Artikel]],Produkte!A:B,2,0)</f>
        <v>M-ONE Sanitar Silikon</v>
      </c>
      <c r="J579" s="75">
        <v>12</v>
      </c>
      <c r="K579" s="76" t="str">
        <f>VLOOKUP(Tabelle2[[#This Row],[Kunden Nr.]],KUNDEN!A:G,7)</f>
        <v>Mensuri</v>
      </c>
      <c r="L579" s="76">
        <f>VLOOKUP(Tabelle2[[#This Row],[Artikel]],Produkte!A:H,8)</f>
        <v>0.17</v>
      </c>
    </row>
    <row r="580" spans="1:12" x14ac:dyDescent="0.2">
      <c r="A580" s="75" t="s">
        <v>440</v>
      </c>
      <c r="B580" s="79">
        <v>46053</v>
      </c>
      <c r="C580" s="75"/>
      <c r="D580" s="75"/>
      <c r="E580" s="75"/>
      <c r="F580" s="75">
        <v>20611</v>
      </c>
      <c r="G580" s="76" t="str">
        <f>VLOOKUP(Tabelle2[[#This Row],[Kunden Nr.]],KUNDEN!A:B,2,0)</f>
        <v>TE-LUTA</v>
      </c>
      <c r="H580" s="75">
        <v>35113</v>
      </c>
      <c r="I580" s="76" t="str">
        <f>VLOOKUP(Tabelle2[[#This Row],[Artikel]],Produkte!A:B,2,0)</f>
        <v>M-ONE Sanitar Silikon</v>
      </c>
      <c r="J580" s="75">
        <v>12</v>
      </c>
      <c r="K580" s="76" t="str">
        <f>VLOOKUP(Tabelle2[[#This Row],[Kunden Nr.]],KUNDEN!A:G,7)</f>
        <v>Mensuri</v>
      </c>
      <c r="L580" s="76">
        <f>VLOOKUP(Tabelle2[[#This Row],[Artikel]],Produkte!A:H,8)</f>
        <v>0.17</v>
      </c>
    </row>
    <row r="581" spans="1:12" x14ac:dyDescent="0.2">
      <c r="A581" s="75" t="s">
        <v>440</v>
      </c>
      <c r="B581" s="79">
        <v>46053</v>
      </c>
      <c r="C581" s="75"/>
      <c r="D581" s="75"/>
      <c r="E581" s="75"/>
      <c r="F581" s="75">
        <v>20611</v>
      </c>
      <c r="G581" s="76" t="str">
        <f>VLOOKUP(Tabelle2[[#This Row],[Kunden Nr.]],KUNDEN!A:B,2,0)</f>
        <v>TE-LUTA</v>
      </c>
      <c r="H581" s="75">
        <v>55718</v>
      </c>
      <c r="I581" s="76" t="str">
        <f>VLOOKUP(Tabelle2[[#This Row],[Artikel]],Produkte!A:B,2,0)</f>
        <v>M ONE MOTORSTART</v>
      </c>
      <c r="J581" s="75">
        <v>3</v>
      </c>
      <c r="K581" s="76" t="str">
        <f>VLOOKUP(Tabelle2[[#This Row],[Kunden Nr.]],KUNDEN!A:G,7)</f>
        <v>Mensuri</v>
      </c>
      <c r="L581" s="76">
        <f>VLOOKUP(Tabelle2[[#This Row],[Artikel]],Produkte!A:H,8)</f>
        <v>0.2</v>
      </c>
    </row>
    <row r="582" spans="1:12" x14ac:dyDescent="0.2">
      <c r="A582" s="75" t="s">
        <v>446</v>
      </c>
      <c r="B582" s="79">
        <v>46053</v>
      </c>
      <c r="C582" s="89">
        <v>103.8</v>
      </c>
      <c r="D582" s="75"/>
      <c r="E582" s="75"/>
      <c r="F582" s="75">
        <v>20615</v>
      </c>
      <c r="G582" s="76" t="str">
        <f>VLOOKUP(Tabelle2[[#This Row],[Kunden Nr.]],KUNDEN!A:B,2,0)</f>
        <v>MIX-B</v>
      </c>
      <c r="H582" s="75">
        <v>35121</v>
      </c>
      <c r="I582" s="76" t="str">
        <f>VLOOKUP(Tabelle2[[#This Row],[Artikel]],Produkte!A:B,2,0)</f>
        <v>M-ONE Sanitar Silikon</v>
      </c>
      <c r="J582" s="75">
        <v>12</v>
      </c>
      <c r="K582" s="76" t="str">
        <f>VLOOKUP(Tabelle2[[#This Row],[Kunden Nr.]],KUNDEN!A:G,7)</f>
        <v>Mensuri</v>
      </c>
      <c r="L582" s="76">
        <f>VLOOKUP(Tabelle2[[#This Row],[Artikel]],Produkte!A:H,8)</f>
        <v>0.17</v>
      </c>
    </row>
    <row r="583" spans="1:12" x14ac:dyDescent="0.2">
      <c r="A583" s="75" t="s">
        <v>446</v>
      </c>
      <c r="B583" s="79">
        <v>46053</v>
      </c>
      <c r="C583" s="75"/>
      <c r="D583" s="75"/>
      <c r="E583" s="75"/>
      <c r="F583" s="75">
        <v>20615</v>
      </c>
      <c r="G583" s="76" t="str">
        <f>VLOOKUP(Tabelle2[[#This Row],[Kunden Nr.]],KUNDEN!A:B,2,0)</f>
        <v>MIX-B</v>
      </c>
      <c r="H583" s="75">
        <v>51611</v>
      </c>
      <c r="I583" s="76" t="str">
        <f>VLOOKUP(Tabelle2[[#This Row],[Artikel]],Produkte!A:B,2,0)</f>
        <v>universal akryl</v>
      </c>
      <c r="J583" s="75">
        <v>24</v>
      </c>
      <c r="K583" s="76" t="str">
        <f>VLOOKUP(Tabelle2[[#This Row],[Kunden Nr.]],KUNDEN!A:G,7)</f>
        <v>Mensuri</v>
      </c>
      <c r="L583" s="76">
        <f>VLOOKUP(Tabelle2[[#This Row],[Artikel]],Produkte!A:H,8)</f>
        <v>0.06</v>
      </c>
    </row>
    <row r="584" spans="1:12" x14ac:dyDescent="0.2">
      <c r="A584" s="75" t="s">
        <v>446</v>
      </c>
      <c r="B584" s="79">
        <v>46053</v>
      </c>
      <c r="C584" s="75"/>
      <c r="D584" s="75"/>
      <c r="E584" s="75"/>
      <c r="F584" s="75">
        <v>20615</v>
      </c>
      <c r="G584" s="76" t="str">
        <f>VLOOKUP(Tabelle2[[#This Row],[Kunden Nr.]],KUNDEN!A:B,2,0)</f>
        <v>MIX-B</v>
      </c>
      <c r="H584" s="75">
        <v>51612</v>
      </c>
      <c r="I584" s="76" t="str">
        <f>VLOOKUP(Tabelle2[[#This Row],[Artikel]],Produkte!A:B,2,0)</f>
        <v>struktural akryl</v>
      </c>
      <c r="J584" s="75">
        <v>12</v>
      </c>
      <c r="K584" s="76" t="str">
        <f>VLOOKUP(Tabelle2[[#This Row],[Kunden Nr.]],KUNDEN!A:G,7)</f>
        <v>Mensuri</v>
      </c>
      <c r="L584" s="76">
        <f>VLOOKUP(Tabelle2[[#This Row],[Artikel]],Produkte!A:H,8)</f>
        <v>0.06</v>
      </c>
    </row>
    <row r="585" spans="1:12" x14ac:dyDescent="0.2">
      <c r="A585" s="75" t="s">
        <v>1188</v>
      </c>
      <c r="B585" s="79">
        <v>46055</v>
      </c>
      <c r="C585" s="89">
        <v>46.2</v>
      </c>
      <c r="D585" s="75"/>
      <c r="E585" s="75"/>
      <c r="F585" s="75">
        <v>10133</v>
      </c>
      <c r="G585" s="76" t="str">
        <f>VLOOKUP(Tabelle2[[#This Row],[Kunden Nr.]],KUNDEN!A:B,2,0)</f>
        <v>HIDROELDI</v>
      </c>
      <c r="H585" s="75">
        <v>35113</v>
      </c>
      <c r="I585" s="76" t="str">
        <f>VLOOKUP(Tabelle2[[#This Row],[Artikel]],Produkte!A:B,2,0)</f>
        <v>M-ONE Sanitar Silikon</v>
      </c>
      <c r="J585" s="75">
        <v>12</v>
      </c>
      <c r="K585" s="76" t="str">
        <f>VLOOKUP(Tabelle2[[#This Row],[Kunden Nr.]],KUNDEN!A:G,7)</f>
        <v>Qerimi</v>
      </c>
      <c r="L585" s="76">
        <f>VLOOKUP(Tabelle2[[#This Row],[Artikel]],Produkte!A:H,8)</f>
        <v>0.17</v>
      </c>
    </row>
    <row r="586" spans="1:12" x14ac:dyDescent="0.2">
      <c r="A586" s="75" t="s">
        <v>576</v>
      </c>
      <c r="B586" s="79">
        <v>46055</v>
      </c>
      <c r="C586" s="89">
        <v>64.2</v>
      </c>
      <c r="D586" s="75"/>
      <c r="E586" s="75"/>
      <c r="F586" s="75">
        <v>10114</v>
      </c>
      <c r="G586" s="76" t="str">
        <f>VLOOKUP(Tabelle2[[#This Row],[Kunden Nr.]],KUNDEN!A:B,2,0)</f>
        <v>QELA</v>
      </c>
      <c r="H586" s="75">
        <v>50912</v>
      </c>
      <c r="I586" s="76" t="str">
        <f>VLOOKUP(Tabelle2[[#This Row],[Artikel]],Produkte!A:B,2,0)</f>
        <v>DICHTUNG</v>
      </c>
      <c r="J586" s="75">
        <v>6</v>
      </c>
      <c r="K586" s="76" t="str">
        <f>VLOOKUP(Tabelle2[[#This Row],[Kunden Nr.]],KUNDEN!A:G,7)</f>
        <v>Qerimi</v>
      </c>
      <c r="L586" s="76">
        <f>VLOOKUP(Tabelle2[[#This Row],[Artikel]],Produkte!A:H,8)</f>
        <v>0.2</v>
      </c>
    </row>
    <row r="587" spans="1:12" x14ac:dyDescent="0.2">
      <c r="A587" s="75" t="s">
        <v>576</v>
      </c>
      <c r="B587" s="79">
        <v>46055</v>
      </c>
      <c r="C587" s="75"/>
      <c r="D587" s="75"/>
      <c r="E587" s="75"/>
      <c r="F587" s="75">
        <v>10114</v>
      </c>
      <c r="G587" s="76" t="str">
        <f>VLOOKUP(Tabelle2[[#This Row],[Kunden Nr.]],KUNDEN!A:B,2,0)</f>
        <v>QELA</v>
      </c>
      <c r="H587" s="75">
        <v>44001</v>
      </c>
      <c r="I587" s="76" t="str">
        <f>VLOOKUP(Tabelle2[[#This Row],[Artikel]],Produkte!A:B,2,0)</f>
        <v>Fettspray</v>
      </c>
      <c r="J587" s="75">
        <v>6</v>
      </c>
      <c r="K587" s="76" t="str">
        <f>VLOOKUP(Tabelle2[[#This Row],[Kunden Nr.]],KUNDEN!A:G,7)</f>
        <v>Qerimi</v>
      </c>
      <c r="L587" s="76">
        <f>VLOOKUP(Tabelle2[[#This Row],[Artikel]],Produkte!A:H,8)</f>
        <v>0.2</v>
      </c>
    </row>
    <row r="588" spans="1:12" x14ac:dyDescent="0.2">
      <c r="A588" s="75" t="s">
        <v>573</v>
      </c>
      <c r="B588" s="79">
        <v>46055</v>
      </c>
      <c r="C588" s="89">
        <v>87.7</v>
      </c>
      <c r="D588" s="75"/>
      <c r="E588" s="75"/>
      <c r="F588" s="75">
        <v>10111</v>
      </c>
      <c r="G588" s="76" t="str">
        <f>VLOOKUP(Tabelle2[[#This Row],[Kunden Nr.]],KUNDEN!A:B,2,0)</f>
        <v>KADIJOLLET</v>
      </c>
      <c r="H588" s="75">
        <v>35111</v>
      </c>
      <c r="I588" s="76" t="str">
        <f>VLOOKUP(Tabelle2[[#This Row],[Artikel]],Produkte!A:B,2,0)</f>
        <v>M-ONE Sanitar Silikon</v>
      </c>
      <c r="J588" s="75">
        <v>12</v>
      </c>
      <c r="K588" s="76" t="str">
        <f>VLOOKUP(Tabelle2[[#This Row],[Kunden Nr.]],KUNDEN!A:G,7)</f>
        <v>Qerimi</v>
      </c>
      <c r="L588" s="76">
        <f>VLOOKUP(Tabelle2[[#This Row],[Artikel]],Produkte!A:H,8)</f>
        <v>0.17</v>
      </c>
    </row>
    <row r="589" spans="1:12" x14ac:dyDescent="0.2">
      <c r="A589" s="75" t="s">
        <v>573</v>
      </c>
      <c r="B589" s="79">
        <v>46055</v>
      </c>
      <c r="C589" s="75"/>
      <c r="D589" s="75"/>
      <c r="E589" s="75"/>
      <c r="F589" s="75">
        <v>10111</v>
      </c>
      <c r="G589" s="76" t="str">
        <f>VLOOKUP(Tabelle2[[#This Row],[Kunden Nr.]],KUNDEN!A:B,2,0)</f>
        <v>KADIJOLLET</v>
      </c>
      <c r="H589" s="75">
        <v>50912</v>
      </c>
      <c r="I589" s="76" t="str">
        <f>VLOOKUP(Tabelle2[[#This Row],[Artikel]],Produkte!A:B,2,0)</f>
        <v>DICHTUNG</v>
      </c>
      <c r="J589" s="75">
        <v>2</v>
      </c>
      <c r="K589" s="76" t="str">
        <f>VLOOKUP(Tabelle2[[#This Row],[Kunden Nr.]],KUNDEN!A:G,7)</f>
        <v>Qerimi</v>
      </c>
      <c r="L589" s="76">
        <f>VLOOKUP(Tabelle2[[#This Row],[Artikel]],Produkte!A:H,8)</f>
        <v>0.2</v>
      </c>
    </row>
    <row r="590" spans="1:12" x14ac:dyDescent="0.2">
      <c r="A590" s="75" t="s">
        <v>573</v>
      </c>
      <c r="B590" s="79">
        <v>46055</v>
      </c>
      <c r="C590" s="75"/>
      <c r="D590" s="75"/>
      <c r="E590" s="75"/>
      <c r="F590" s="75">
        <v>10111</v>
      </c>
      <c r="G590" s="76" t="str">
        <f>VLOOKUP(Tabelle2[[#This Row],[Kunden Nr.]],KUNDEN!A:B,2,0)</f>
        <v>KADIJOLLET</v>
      </c>
      <c r="H590" s="75">
        <v>54412</v>
      </c>
      <c r="I590" s="76" t="str">
        <f>VLOOKUP(Tabelle2[[#This Row],[Artikel]],Produkte!A:B,2,0)</f>
        <v>beMAKER Bremsen&amp;Teile Reininger</v>
      </c>
      <c r="J590" s="75">
        <v>5</v>
      </c>
      <c r="K590" s="76" t="str">
        <f>VLOOKUP(Tabelle2[[#This Row],[Kunden Nr.]],KUNDEN!A:G,7)</f>
        <v>Qerimi</v>
      </c>
      <c r="L590" s="76">
        <f>VLOOKUP(Tabelle2[[#This Row],[Artikel]],Produkte!A:H,8)</f>
        <v>0.2</v>
      </c>
    </row>
    <row r="591" spans="1:12" x14ac:dyDescent="0.2">
      <c r="A591" s="75" t="s">
        <v>573</v>
      </c>
      <c r="B591" s="79">
        <v>46055</v>
      </c>
      <c r="C591" s="75"/>
      <c r="D591" s="75"/>
      <c r="E591" s="75"/>
      <c r="F591" s="75">
        <v>10111</v>
      </c>
      <c r="G591" s="76" t="str">
        <f>VLOOKUP(Tabelle2[[#This Row],[Kunden Nr.]],KUNDEN!A:B,2,0)</f>
        <v>KADIJOLLET</v>
      </c>
      <c r="H591" s="75">
        <v>49644</v>
      </c>
      <c r="I591" s="76" t="str">
        <f>VLOOKUP(Tabelle2[[#This Row],[Artikel]],Produkte!A:B,2,0)</f>
        <v>beMAKER Rostlöser</v>
      </c>
      <c r="J591" s="75">
        <v>5</v>
      </c>
      <c r="K591" s="76" t="str">
        <f>VLOOKUP(Tabelle2[[#This Row],[Kunden Nr.]],KUNDEN!A:G,7)</f>
        <v>Qerimi</v>
      </c>
      <c r="L591" s="76">
        <f>VLOOKUP(Tabelle2[[#This Row],[Artikel]],Produkte!A:H,8)</f>
        <v>0.2</v>
      </c>
    </row>
    <row r="592" spans="1:12" x14ac:dyDescent="0.2">
      <c r="A592" s="75" t="s">
        <v>573</v>
      </c>
      <c r="B592" s="79">
        <v>46055</v>
      </c>
      <c r="C592" s="75"/>
      <c r="D592" s="75"/>
      <c r="E592" s="75"/>
      <c r="F592" s="75">
        <v>10111</v>
      </c>
      <c r="G592" s="76" t="str">
        <f>VLOOKUP(Tabelle2[[#This Row],[Kunden Nr.]],KUNDEN!A:B,2,0)</f>
        <v>KADIJOLLET</v>
      </c>
      <c r="H592" s="75">
        <v>55718</v>
      </c>
      <c r="I592" s="76" t="str">
        <f>VLOOKUP(Tabelle2[[#This Row],[Artikel]],Produkte!A:B,2,0)</f>
        <v>M ONE MOTORSTART</v>
      </c>
      <c r="J592" s="75">
        <v>2</v>
      </c>
      <c r="K592" s="76" t="str">
        <f>VLOOKUP(Tabelle2[[#This Row],[Kunden Nr.]],KUNDEN!A:G,7)</f>
        <v>Qerimi</v>
      </c>
      <c r="L592" s="76">
        <f>VLOOKUP(Tabelle2[[#This Row],[Artikel]],Produkte!A:H,8)</f>
        <v>0.2</v>
      </c>
    </row>
    <row r="593" spans="1:12" x14ac:dyDescent="0.2">
      <c r="A593" s="75" t="s">
        <v>566</v>
      </c>
      <c r="B593" s="79">
        <v>46055</v>
      </c>
      <c r="C593" s="89">
        <v>92.4</v>
      </c>
      <c r="D593" s="75"/>
      <c r="E593" s="75"/>
      <c r="F593" s="75">
        <v>10104</v>
      </c>
      <c r="G593" s="76" t="str">
        <f>VLOOKUP(Tabelle2[[#This Row],[Kunden Nr.]],KUNDEN!A:B,2,0)</f>
        <v>JETARI</v>
      </c>
      <c r="H593" s="75">
        <v>35113</v>
      </c>
      <c r="I593" s="76" t="str">
        <f>VLOOKUP(Tabelle2[[#This Row],[Artikel]],Produkte!A:B,2,0)</f>
        <v>M-ONE Sanitar Silikon</v>
      </c>
      <c r="J593" s="75">
        <v>12</v>
      </c>
      <c r="K593" s="76" t="str">
        <f>VLOOKUP(Tabelle2[[#This Row],[Kunden Nr.]],KUNDEN!A:G,7)</f>
        <v>Qerimi</v>
      </c>
      <c r="L593" s="76">
        <f>VLOOKUP(Tabelle2[[#This Row],[Artikel]],Produkte!A:H,8)</f>
        <v>0.17</v>
      </c>
    </row>
    <row r="594" spans="1:12" x14ac:dyDescent="0.2">
      <c r="A594" s="75" t="s">
        <v>566</v>
      </c>
      <c r="B594" s="79">
        <v>46055</v>
      </c>
      <c r="C594" s="75"/>
      <c r="D594" s="75"/>
      <c r="E594" s="75"/>
      <c r="F594" s="75">
        <v>10104</v>
      </c>
      <c r="G594" s="76" t="str">
        <f>VLOOKUP(Tabelle2[[#This Row],[Kunden Nr.]],KUNDEN!A:B,2,0)</f>
        <v>JETARI</v>
      </c>
      <c r="H594" s="75">
        <v>35125</v>
      </c>
      <c r="I594" s="76" t="str">
        <f>VLOOKUP(Tabelle2[[#This Row],[Artikel]],Produkte!A:B,2,0)</f>
        <v>M-ONE Sanitar Silikon</v>
      </c>
      <c r="J594" s="75">
        <v>12</v>
      </c>
      <c r="K594" s="76" t="str">
        <f>VLOOKUP(Tabelle2[[#This Row],[Kunden Nr.]],KUNDEN!A:G,7)</f>
        <v>Qerimi</v>
      </c>
      <c r="L594" s="76">
        <f>VLOOKUP(Tabelle2[[#This Row],[Artikel]],Produkte!A:H,8)</f>
        <v>0.17</v>
      </c>
    </row>
    <row r="595" spans="1:12" x14ac:dyDescent="0.2">
      <c r="A595" s="75" t="s">
        <v>821</v>
      </c>
      <c r="B595" s="79">
        <v>46055</v>
      </c>
      <c r="C595" s="89">
        <v>10</v>
      </c>
      <c r="D595" s="75"/>
      <c r="E595" s="75"/>
      <c r="F595" s="75">
        <v>10627</v>
      </c>
      <c r="G595" s="76" t="str">
        <f>VLOOKUP(Tabelle2[[#This Row],[Kunden Nr.]],KUNDEN!A:B,2,0)</f>
        <v>AP PETRITI</v>
      </c>
      <c r="H595" s="75">
        <v>54412</v>
      </c>
      <c r="I595" s="76" t="str">
        <f>VLOOKUP(Tabelle2[[#This Row],[Artikel]],Produkte!A:B,2,0)</f>
        <v>beMAKER Bremsen&amp;Teile Reininger</v>
      </c>
      <c r="J595" s="75">
        <v>5</v>
      </c>
      <c r="K595" s="76" t="str">
        <f>VLOOKUP(Tabelle2[[#This Row],[Kunden Nr.]],KUNDEN!A:G,7)</f>
        <v>Qerimi</v>
      </c>
      <c r="L595" s="76">
        <f>VLOOKUP(Tabelle2[[#This Row],[Artikel]],Produkte!A:H,8)</f>
        <v>0.2</v>
      </c>
    </row>
    <row r="596" spans="1:12" x14ac:dyDescent="0.2">
      <c r="A596" s="75" t="s">
        <v>1298</v>
      </c>
      <c r="B596" s="79">
        <v>46056</v>
      </c>
      <c r="C596" s="89">
        <v>208.8</v>
      </c>
      <c r="D596" s="75"/>
      <c r="E596" s="75"/>
      <c r="F596" s="75">
        <v>10255</v>
      </c>
      <c r="G596" s="76" t="str">
        <f>VLOOKUP(Tabelle2[[#This Row],[Kunden Nr.]],KUNDEN!A:B,2,0)</f>
        <v>QEMA</v>
      </c>
      <c r="H596" s="75">
        <v>66701</v>
      </c>
      <c r="I596" s="76" t="str">
        <f>VLOOKUP(Tabelle2[[#This Row],[Artikel]],Produkte!A:B,2,0)</f>
        <v>PROFIMONT EXTREME</v>
      </c>
      <c r="J596" s="75">
        <v>36</v>
      </c>
      <c r="K596" s="76" t="str">
        <f>VLOOKUP(Tabelle2[[#This Row],[Kunden Nr.]],KUNDEN!A:G,7)</f>
        <v>Qerimi</v>
      </c>
      <c r="L596" s="76">
        <f>VLOOKUP(Tabelle2[[#This Row],[Artikel]],Produkte!A:H,8)</f>
        <v>0.2</v>
      </c>
    </row>
    <row r="597" spans="1:12" x14ac:dyDescent="0.2">
      <c r="A597" s="75" t="s">
        <v>1299</v>
      </c>
      <c r="B597" s="79">
        <v>46056</v>
      </c>
      <c r="C597" s="89">
        <v>92.4</v>
      </c>
      <c r="D597" s="75"/>
      <c r="E597" s="75"/>
      <c r="F597" s="75">
        <v>10258</v>
      </c>
      <c r="G597" s="76" t="str">
        <f>VLOOKUP(Tabelle2[[#This Row],[Kunden Nr.]],KUNDEN!A:B,2,0)</f>
        <v>ARSIMI</v>
      </c>
      <c r="H597" s="75">
        <v>35111</v>
      </c>
      <c r="I597" s="76" t="str">
        <f>VLOOKUP(Tabelle2[[#This Row],[Artikel]],Produkte!A:B,2,0)</f>
        <v>M-ONE Sanitar Silikon</v>
      </c>
      <c r="J597" s="75">
        <v>24</v>
      </c>
      <c r="K597" s="76" t="str">
        <f>VLOOKUP(Tabelle2[[#This Row],[Kunden Nr.]],KUNDEN!A:G,7)</f>
        <v>Qerimi</v>
      </c>
      <c r="L597" s="76">
        <f>VLOOKUP(Tabelle2[[#This Row],[Artikel]],Produkte!A:H,8)</f>
        <v>0.17</v>
      </c>
    </row>
    <row r="598" spans="1:12" x14ac:dyDescent="0.2">
      <c r="A598" s="75" t="s">
        <v>520</v>
      </c>
      <c r="B598" s="79">
        <v>46056</v>
      </c>
      <c r="C598" s="89">
        <v>92.4</v>
      </c>
      <c r="D598" s="75"/>
      <c r="E598" s="75"/>
      <c r="F598" s="75">
        <v>10210</v>
      </c>
      <c r="G598" s="76" t="str">
        <f>VLOOKUP(Tabelle2[[#This Row],[Kunden Nr.]],KUNDEN!A:B,2,0)</f>
        <v>MONI 2</v>
      </c>
      <c r="H598" s="75">
        <v>35112</v>
      </c>
      <c r="I598" s="76" t="str">
        <f>VLOOKUP(Tabelle2[[#This Row],[Artikel]],Produkte!A:B,2,0)</f>
        <v>M-ONE Sanitar Silikon</v>
      </c>
      <c r="J598" s="75">
        <v>12</v>
      </c>
      <c r="K598" s="76" t="str">
        <f>VLOOKUP(Tabelle2[[#This Row],[Kunden Nr.]],KUNDEN!A:G,7)</f>
        <v>Qerimi</v>
      </c>
      <c r="L598" s="76">
        <f>VLOOKUP(Tabelle2[[#This Row],[Artikel]],Produkte!A:H,8)</f>
        <v>0.17</v>
      </c>
    </row>
    <row r="599" spans="1:12" x14ac:dyDescent="0.2">
      <c r="A599" s="75" t="s">
        <v>520</v>
      </c>
      <c r="B599" s="79">
        <v>46056</v>
      </c>
      <c r="C599" s="75"/>
      <c r="D599" s="75"/>
      <c r="E599" s="75"/>
      <c r="F599" s="75">
        <v>10210</v>
      </c>
      <c r="G599" s="76" t="str">
        <f>VLOOKUP(Tabelle2[[#This Row],[Kunden Nr.]],KUNDEN!A:B,2,0)</f>
        <v>MONI 2</v>
      </c>
      <c r="H599" s="75">
        <v>35119</v>
      </c>
      <c r="I599" s="76" t="str">
        <f>VLOOKUP(Tabelle2[[#This Row],[Artikel]],Produkte!A:B,2,0)</f>
        <v>M-ONE Sanitar Silikon</v>
      </c>
      <c r="J599" s="75">
        <v>12</v>
      </c>
      <c r="K599" s="76" t="str">
        <f>VLOOKUP(Tabelle2[[#This Row],[Kunden Nr.]],KUNDEN!A:G,7)</f>
        <v>Qerimi</v>
      </c>
      <c r="L599" s="76">
        <f>VLOOKUP(Tabelle2[[#This Row],[Artikel]],Produkte!A:H,8)</f>
        <v>0.17</v>
      </c>
    </row>
    <row r="600" spans="1:12" x14ac:dyDescent="0.2">
      <c r="A600" s="75" t="s">
        <v>1201</v>
      </c>
      <c r="B600" s="79">
        <v>46056</v>
      </c>
      <c r="C600" s="89">
        <v>184.8</v>
      </c>
      <c r="D600" s="75"/>
      <c r="E600" s="75"/>
      <c r="F600" s="75">
        <v>10240</v>
      </c>
      <c r="G600" s="76" t="str">
        <f>VLOOKUP(Tabelle2[[#This Row],[Kunden Nr.]],KUNDEN!A:B,2,0)</f>
        <v>ARPO</v>
      </c>
      <c r="H600" s="75">
        <v>35108</v>
      </c>
      <c r="I600" s="76" t="str">
        <f>VLOOKUP(Tabelle2[[#This Row],[Artikel]],Produkte!A:B,2,0)</f>
        <v>M-ONE Sanitar Silikon</v>
      </c>
      <c r="J600" s="75">
        <v>12</v>
      </c>
      <c r="K600" s="76" t="str">
        <f>VLOOKUP(Tabelle2[[#This Row],[Kunden Nr.]],KUNDEN!A:G,7)</f>
        <v>Qerimi</v>
      </c>
      <c r="L600" s="76">
        <f>VLOOKUP(Tabelle2[[#This Row],[Artikel]],Produkte!A:H,8)</f>
        <v>0.17</v>
      </c>
    </row>
    <row r="601" spans="1:12" x14ac:dyDescent="0.2">
      <c r="A601" s="75" t="s">
        <v>1201</v>
      </c>
      <c r="B601" s="79">
        <v>46056</v>
      </c>
      <c r="C601" s="75"/>
      <c r="D601" s="75"/>
      <c r="E601" s="75"/>
      <c r="F601" s="75">
        <v>10240</v>
      </c>
      <c r="G601" s="76" t="str">
        <f>VLOOKUP(Tabelle2[[#This Row],[Kunden Nr.]],KUNDEN!A:B,2,0)</f>
        <v>ARPO</v>
      </c>
      <c r="H601" s="75">
        <v>35121</v>
      </c>
      <c r="I601" s="76" t="str">
        <f>VLOOKUP(Tabelle2[[#This Row],[Artikel]],Produkte!A:B,2,0)</f>
        <v>M-ONE Sanitar Silikon</v>
      </c>
      <c r="J601" s="75">
        <v>12</v>
      </c>
      <c r="K601" s="76" t="str">
        <f>VLOOKUP(Tabelle2[[#This Row],[Kunden Nr.]],KUNDEN!A:G,7)</f>
        <v>Qerimi</v>
      </c>
      <c r="L601" s="76">
        <f>VLOOKUP(Tabelle2[[#This Row],[Artikel]],Produkte!A:H,8)</f>
        <v>0.17</v>
      </c>
    </row>
    <row r="602" spans="1:12" x14ac:dyDescent="0.2">
      <c r="A602" s="75" t="s">
        <v>1201</v>
      </c>
      <c r="B602" s="79">
        <v>46056</v>
      </c>
      <c r="C602" s="75"/>
      <c r="D602" s="75"/>
      <c r="E602" s="75"/>
      <c r="F602" s="75">
        <v>10240</v>
      </c>
      <c r="G602" s="76" t="str">
        <f>VLOOKUP(Tabelle2[[#This Row],[Kunden Nr.]],KUNDEN!A:B,2,0)</f>
        <v>ARPO</v>
      </c>
      <c r="H602" s="75">
        <v>35109</v>
      </c>
      <c r="I602" s="76" t="str">
        <f>VLOOKUP(Tabelle2[[#This Row],[Artikel]],Produkte!A:B,2,0)</f>
        <v>M-ONE Sanitar Silikon</v>
      </c>
      <c r="J602" s="75">
        <v>24</v>
      </c>
      <c r="K602" s="76" t="str">
        <f>VLOOKUP(Tabelle2[[#This Row],[Kunden Nr.]],KUNDEN!A:G,7)</f>
        <v>Qerimi</v>
      </c>
      <c r="L602" s="76">
        <f>VLOOKUP(Tabelle2[[#This Row],[Artikel]],Produkte!A:H,8)</f>
        <v>0.17</v>
      </c>
    </row>
    <row r="603" spans="1:12" x14ac:dyDescent="0.2">
      <c r="A603" s="75" t="s">
        <v>515</v>
      </c>
      <c r="B603" s="79">
        <v>46056</v>
      </c>
      <c r="C603" s="89">
        <v>46.2</v>
      </c>
      <c r="D603" s="75"/>
      <c r="E603" s="75"/>
      <c r="F603" s="75">
        <v>10205</v>
      </c>
      <c r="G603" s="76" t="str">
        <f>VLOOKUP(Tabelle2[[#This Row],[Kunden Nr.]],KUNDEN!A:B,2,0)</f>
        <v>XHAFA</v>
      </c>
      <c r="H603" s="75">
        <v>35108</v>
      </c>
      <c r="I603" s="76" t="str">
        <f>VLOOKUP(Tabelle2[[#This Row],[Artikel]],Produkte!A:B,2,0)</f>
        <v>M-ONE Sanitar Silikon</v>
      </c>
      <c r="J603" s="75">
        <v>12</v>
      </c>
      <c r="K603" s="76" t="str">
        <f>VLOOKUP(Tabelle2[[#This Row],[Kunden Nr.]],KUNDEN!A:G,7)</f>
        <v>Qerimi</v>
      </c>
      <c r="L603" s="76">
        <f>VLOOKUP(Tabelle2[[#This Row],[Artikel]],Produkte!A:H,8)</f>
        <v>0.17</v>
      </c>
    </row>
    <row r="604" spans="1:12" x14ac:dyDescent="0.2">
      <c r="A604" s="75" t="s">
        <v>646</v>
      </c>
      <c r="B604" s="79">
        <v>46056</v>
      </c>
      <c r="C604" s="89">
        <v>92.4</v>
      </c>
      <c r="D604" s="75"/>
      <c r="E604" s="75"/>
      <c r="F604" s="75">
        <v>10251</v>
      </c>
      <c r="G604" s="76" t="e">
        <f>VLOOKUP(Tabelle2[[#This Row],[Kunden Nr.]],KUNDEN!A:B,2,0)</f>
        <v>#N/A</v>
      </c>
      <c r="H604" s="75">
        <v>35109</v>
      </c>
      <c r="I604" s="76" t="str">
        <f>VLOOKUP(Tabelle2[[#This Row],[Artikel]],Produkte!A:B,2,0)</f>
        <v>M-ONE Sanitar Silikon</v>
      </c>
      <c r="J604" s="75">
        <v>12</v>
      </c>
      <c r="K604" s="76" t="str">
        <f>VLOOKUP(Tabelle2[[#This Row],[Kunden Nr.]],KUNDEN!A:G,7)</f>
        <v>Qerimi</v>
      </c>
      <c r="L604" s="76">
        <f>VLOOKUP(Tabelle2[[#This Row],[Artikel]],Produkte!A:H,8)</f>
        <v>0.17</v>
      </c>
    </row>
    <row r="605" spans="1:12" x14ac:dyDescent="0.2">
      <c r="A605" s="75" t="s">
        <v>646</v>
      </c>
      <c r="B605" s="79">
        <v>46056</v>
      </c>
      <c r="C605" s="75"/>
      <c r="D605" s="75"/>
      <c r="E605" s="75"/>
      <c r="F605" s="75">
        <v>10251</v>
      </c>
      <c r="G605" s="76" t="e">
        <f>VLOOKUP(Tabelle2[[#This Row],[Kunden Nr.]],KUNDEN!A:B,2,0)</f>
        <v>#N/A</v>
      </c>
      <c r="H605" s="75">
        <v>35115</v>
      </c>
      <c r="I605" s="76" t="str">
        <f>VLOOKUP(Tabelle2[[#This Row],[Artikel]],Produkte!A:B,2,0)</f>
        <v>M-ONE Sanitar Silikon</v>
      </c>
      <c r="J605" s="75">
        <v>12</v>
      </c>
      <c r="K605" s="76" t="str">
        <f>VLOOKUP(Tabelle2[[#This Row],[Kunden Nr.]],KUNDEN!A:G,7)</f>
        <v>Qerimi</v>
      </c>
      <c r="L605" s="76">
        <f>VLOOKUP(Tabelle2[[#This Row],[Artikel]],Produkte!A:H,8)</f>
        <v>0.17</v>
      </c>
    </row>
    <row r="606" spans="1:12" x14ac:dyDescent="0.2">
      <c r="A606" s="75" t="s">
        <v>1179</v>
      </c>
      <c r="B606" s="79">
        <v>46056</v>
      </c>
      <c r="C606" s="89">
        <v>92.4</v>
      </c>
      <c r="D606" s="75"/>
      <c r="E606" s="75"/>
      <c r="F606" s="75">
        <v>40019</v>
      </c>
      <c r="G606" s="76" t="str">
        <f>VLOOKUP(Tabelle2[[#This Row],[Kunden Nr.]],KUNDEN!A:B,2,0)</f>
        <v>TEMAJ</v>
      </c>
      <c r="H606" s="75">
        <v>35110</v>
      </c>
      <c r="I606" s="76" t="str">
        <f>VLOOKUP(Tabelle2[[#This Row],[Artikel]],Produkte!A:B,2,0)</f>
        <v>M-ONE Sanitar Silikon</v>
      </c>
      <c r="J606" s="75">
        <v>24</v>
      </c>
      <c r="K606" s="76">
        <f>VLOOKUP(Tabelle2[[#This Row],[Kunden Nr.]],KUNDEN!A:G,7)</f>
        <v>0</v>
      </c>
      <c r="L606" s="76">
        <f>VLOOKUP(Tabelle2[[#This Row],[Artikel]],Produkte!A:H,8)</f>
        <v>0.17</v>
      </c>
    </row>
    <row r="607" spans="1:12" x14ac:dyDescent="0.2">
      <c r="A607" s="75" t="s">
        <v>1129</v>
      </c>
      <c r="B607" s="79">
        <v>46056</v>
      </c>
      <c r="C607" s="89">
        <v>208.8</v>
      </c>
      <c r="D607" s="75"/>
      <c r="E607" s="75"/>
      <c r="F607" s="75">
        <v>20127</v>
      </c>
      <c r="G607" s="76" t="str">
        <f>VLOOKUP(Tabelle2[[#This Row],[Kunden Nr.]],KUNDEN!A:B,2,0)</f>
        <v>TERMO PROJEKT</v>
      </c>
      <c r="H607" s="75">
        <v>66701</v>
      </c>
      <c r="I607" s="76" t="str">
        <f>VLOOKUP(Tabelle2[[#This Row],[Artikel]],Produkte!A:B,2,0)</f>
        <v>PROFIMONT EXTREME</v>
      </c>
      <c r="J607" s="75">
        <v>36</v>
      </c>
      <c r="K607" s="76" t="str">
        <f>VLOOKUP(Tabelle2[[#This Row],[Kunden Nr.]],KUNDEN!A:G,7)</f>
        <v>Mensuri</v>
      </c>
      <c r="L607" s="76">
        <f>VLOOKUP(Tabelle2[[#This Row],[Artikel]],Produkte!A:H,8)</f>
        <v>0.2</v>
      </c>
    </row>
    <row r="608" spans="1:12" x14ac:dyDescent="0.2">
      <c r="A608" s="75" t="s">
        <v>442</v>
      </c>
      <c r="B608" s="79">
        <v>46056</v>
      </c>
      <c r="C608" s="89">
        <v>30</v>
      </c>
      <c r="D608" s="75"/>
      <c r="E608" s="75"/>
      <c r="F608" s="75">
        <v>20208</v>
      </c>
      <c r="G608" s="76" t="str">
        <f>VLOOKUP(Tabelle2[[#This Row],[Kunden Nr.]],KUNDEN!A:B,2,0)</f>
        <v>V. GJONAJ</v>
      </c>
      <c r="H608" s="75">
        <v>51611</v>
      </c>
      <c r="I608" s="76" t="str">
        <f>VLOOKUP(Tabelle2[[#This Row],[Artikel]],Produkte!A:B,2,0)</f>
        <v>universal akryl</v>
      </c>
      <c r="J608" s="75">
        <v>24</v>
      </c>
      <c r="K608" s="76" t="str">
        <f>VLOOKUP(Tabelle2[[#This Row],[Kunden Nr.]],KUNDEN!A:G,7)</f>
        <v>Mensuri</v>
      </c>
      <c r="L608" s="76">
        <f>VLOOKUP(Tabelle2[[#This Row],[Artikel]],Produkte!A:H,8)</f>
        <v>0.06</v>
      </c>
    </row>
    <row r="609" spans="1:12" x14ac:dyDescent="0.2">
      <c r="A609" s="75" t="s">
        <v>422</v>
      </c>
      <c r="B609" s="79">
        <v>46056</v>
      </c>
      <c r="C609" s="89">
        <v>208.2</v>
      </c>
      <c r="D609" s="75"/>
      <c r="E609" s="75"/>
      <c r="F609" s="75">
        <v>20209</v>
      </c>
      <c r="G609" s="76" t="str">
        <f>VLOOKUP(Tabelle2[[#This Row],[Kunden Nr.]],KUNDEN!A:B,2,0)</f>
        <v>LETAJ</v>
      </c>
      <c r="H609" s="75">
        <v>35110</v>
      </c>
      <c r="I609" s="76" t="str">
        <f>VLOOKUP(Tabelle2[[#This Row],[Artikel]],Produkte!A:B,2,0)</f>
        <v>M-ONE Sanitar Silikon</v>
      </c>
      <c r="J609" s="75">
        <v>12</v>
      </c>
      <c r="K609" s="76" t="str">
        <f>VLOOKUP(Tabelle2[[#This Row],[Kunden Nr.]],KUNDEN!A:G,7)</f>
        <v>Mensuri</v>
      </c>
      <c r="L609" s="76">
        <f>VLOOKUP(Tabelle2[[#This Row],[Artikel]],Produkte!A:H,8)</f>
        <v>0.17</v>
      </c>
    </row>
    <row r="610" spans="1:12" x14ac:dyDescent="0.2">
      <c r="A610" s="75" t="s">
        <v>422</v>
      </c>
      <c r="B610" s="79">
        <v>46056</v>
      </c>
      <c r="C610" s="75"/>
      <c r="D610" s="75"/>
      <c r="E610" s="75"/>
      <c r="F610" s="75">
        <v>20209</v>
      </c>
      <c r="G610" s="76" t="str">
        <f>VLOOKUP(Tabelle2[[#This Row],[Kunden Nr.]],KUNDEN!A:B,2,0)</f>
        <v>LETAJ</v>
      </c>
      <c r="H610" s="75">
        <v>66701</v>
      </c>
      <c r="I610" s="76" t="str">
        <f>VLOOKUP(Tabelle2[[#This Row],[Artikel]],Produkte!A:B,2,0)</f>
        <v>PROFIMONT EXTREME</v>
      </c>
      <c r="J610" s="75">
        <v>12</v>
      </c>
      <c r="K610" s="76" t="str">
        <f>VLOOKUP(Tabelle2[[#This Row],[Kunden Nr.]],KUNDEN!A:G,7)</f>
        <v>Mensuri</v>
      </c>
      <c r="L610" s="76">
        <f>VLOOKUP(Tabelle2[[#This Row],[Artikel]],Produkte!A:H,8)</f>
        <v>0.2</v>
      </c>
    </row>
    <row r="611" spans="1:12" x14ac:dyDescent="0.2">
      <c r="A611" s="75" t="s">
        <v>422</v>
      </c>
      <c r="B611" s="79">
        <v>46056</v>
      </c>
      <c r="C611" s="75"/>
      <c r="D611" s="75"/>
      <c r="E611" s="75"/>
      <c r="F611" s="75">
        <v>20209</v>
      </c>
      <c r="G611" s="76" t="str">
        <f>VLOOKUP(Tabelle2[[#This Row],[Kunden Nr.]],KUNDEN!A:B,2,0)</f>
        <v>LETAJ</v>
      </c>
      <c r="H611" s="75">
        <v>35115</v>
      </c>
      <c r="I611" s="76" t="str">
        <f>VLOOKUP(Tabelle2[[#This Row],[Artikel]],Produkte!A:B,2,0)</f>
        <v>M-ONE Sanitar Silikon</v>
      </c>
      <c r="J611" s="75">
        <v>12</v>
      </c>
      <c r="K611" s="76" t="str">
        <f>VLOOKUP(Tabelle2[[#This Row],[Kunden Nr.]],KUNDEN!A:G,7)</f>
        <v>Mensuri</v>
      </c>
      <c r="L611" s="76">
        <f>VLOOKUP(Tabelle2[[#This Row],[Artikel]],Produkte!A:H,8)</f>
        <v>0.17</v>
      </c>
    </row>
    <row r="612" spans="1:12" x14ac:dyDescent="0.2">
      <c r="A612" s="75" t="s">
        <v>422</v>
      </c>
      <c r="B612" s="79">
        <v>46056</v>
      </c>
      <c r="C612" s="75"/>
      <c r="D612" s="75"/>
      <c r="E612" s="75"/>
      <c r="F612" s="75">
        <v>20209</v>
      </c>
      <c r="G612" s="76" t="str">
        <f>VLOOKUP(Tabelle2[[#This Row],[Kunden Nr.]],KUNDEN!A:B,2,0)</f>
        <v>LETAJ</v>
      </c>
      <c r="H612" s="75">
        <v>35121</v>
      </c>
      <c r="I612" s="76" t="str">
        <f>VLOOKUP(Tabelle2[[#This Row],[Artikel]],Produkte!A:B,2,0)</f>
        <v>M-ONE Sanitar Silikon</v>
      </c>
      <c r="J612" s="75">
        <v>12</v>
      </c>
      <c r="K612" s="76" t="str">
        <f>VLOOKUP(Tabelle2[[#This Row],[Kunden Nr.]],KUNDEN!A:G,7)</f>
        <v>Mensuri</v>
      </c>
      <c r="L612" s="76">
        <f>VLOOKUP(Tabelle2[[#This Row],[Artikel]],Produkte!A:H,8)</f>
        <v>0.17</v>
      </c>
    </row>
    <row r="613" spans="1:12" x14ac:dyDescent="0.2">
      <c r="A613" s="75" t="s">
        <v>474</v>
      </c>
      <c r="B613" s="79">
        <v>46056</v>
      </c>
      <c r="C613" s="89">
        <v>76.2</v>
      </c>
      <c r="D613" s="75"/>
      <c r="E613" s="75"/>
      <c r="F613" s="75">
        <v>20109</v>
      </c>
      <c r="G613" s="76" t="str">
        <f>VLOOKUP(Tabelle2[[#This Row],[Kunden Nr.]],KUNDEN!A:B,2,0)</f>
        <v>KENA COMERC</v>
      </c>
      <c r="H613" s="75">
        <v>35114</v>
      </c>
      <c r="I613" s="76" t="str">
        <f>VLOOKUP(Tabelle2[[#This Row],[Artikel]],Produkte!A:B,2,0)</f>
        <v>M-ONE Sanitar Silikon</v>
      </c>
      <c r="J613" s="75">
        <v>12</v>
      </c>
      <c r="K613" s="76" t="str">
        <f>VLOOKUP(Tabelle2[[#This Row],[Kunden Nr.]],KUNDEN!A:G,7)</f>
        <v>Mensuri</v>
      </c>
      <c r="L613" s="76">
        <f>VLOOKUP(Tabelle2[[#This Row],[Artikel]],Produkte!A:H,8)</f>
        <v>0.17</v>
      </c>
    </row>
    <row r="614" spans="1:12" x14ac:dyDescent="0.2">
      <c r="A614" s="75" t="s">
        <v>474</v>
      </c>
      <c r="B614" s="79">
        <v>46056</v>
      </c>
      <c r="C614" s="75"/>
      <c r="D614" s="75"/>
      <c r="E614" s="75"/>
      <c r="F614" s="75">
        <v>20109</v>
      </c>
      <c r="G614" s="76" t="str">
        <f>VLOOKUP(Tabelle2[[#This Row],[Kunden Nr.]],KUNDEN!A:B,2,0)</f>
        <v>KENA COMERC</v>
      </c>
      <c r="H614" s="75">
        <v>51611</v>
      </c>
      <c r="I614" s="76" t="str">
        <f>VLOOKUP(Tabelle2[[#This Row],[Artikel]],Produkte!A:B,2,0)</f>
        <v>universal akryl</v>
      </c>
      <c r="J614" s="75">
        <v>24</v>
      </c>
      <c r="K614" s="76" t="str">
        <f>VLOOKUP(Tabelle2[[#This Row],[Kunden Nr.]],KUNDEN!A:G,7)</f>
        <v>Mensuri</v>
      </c>
      <c r="L614" s="76">
        <f>VLOOKUP(Tabelle2[[#This Row],[Artikel]],Produkte!A:H,8)</f>
        <v>0.06</v>
      </c>
    </row>
    <row r="615" spans="1:12" x14ac:dyDescent="0.2">
      <c r="A615" s="75" t="s">
        <v>425</v>
      </c>
      <c r="B615" s="79">
        <v>46056</v>
      </c>
      <c r="C615" s="89">
        <v>112.2</v>
      </c>
      <c r="D615" s="75"/>
      <c r="E615" s="75"/>
      <c r="F615" s="75">
        <v>20212</v>
      </c>
      <c r="G615" s="76" t="str">
        <f>VLOOKUP(Tabelle2[[#This Row],[Kunden Nr.]],KUNDEN!A:B,2,0)</f>
        <v>INOX 2</v>
      </c>
      <c r="H615" s="75">
        <v>66701</v>
      </c>
      <c r="I615" s="76" t="str">
        <f>VLOOKUP(Tabelle2[[#This Row],[Artikel]],Produkte!A:B,2,0)</f>
        <v>PROFIMONT EXTREME</v>
      </c>
      <c r="J615" s="75">
        <v>12</v>
      </c>
      <c r="K615" s="76" t="str">
        <f>VLOOKUP(Tabelle2[[#This Row],[Kunden Nr.]],KUNDEN!A:G,7)</f>
        <v>Mensuri</v>
      </c>
      <c r="L615" s="76">
        <f>VLOOKUP(Tabelle2[[#This Row],[Artikel]],Produkte!A:H,8)</f>
        <v>0.2</v>
      </c>
    </row>
    <row r="616" spans="1:12" x14ac:dyDescent="0.2">
      <c r="A616" s="75" t="s">
        <v>425</v>
      </c>
      <c r="B616" s="79">
        <v>46056</v>
      </c>
      <c r="C616" s="75"/>
      <c r="D616" s="75"/>
      <c r="E616" s="75"/>
      <c r="F616" s="75">
        <v>20212</v>
      </c>
      <c r="G616" s="76" t="str">
        <f>VLOOKUP(Tabelle2[[#This Row],[Kunden Nr.]],KUNDEN!A:B,2,0)</f>
        <v>INOX 2</v>
      </c>
      <c r="H616" s="75">
        <v>51611</v>
      </c>
      <c r="I616" s="76" t="str">
        <f>VLOOKUP(Tabelle2[[#This Row],[Artikel]],Produkte!A:B,2,0)</f>
        <v>universal akryl</v>
      </c>
      <c r="J616" s="75">
        <v>12</v>
      </c>
      <c r="K616" s="76" t="str">
        <f>VLOOKUP(Tabelle2[[#This Row],[Kunden Nr.]],KUNDEN!A:G,7)</f>
        <v>Mensuri</v>
      </c>
      <c r="L616" s="76">
        <f>VLOOKUP(Tabelle2[[#This Row],[Artikel]],Produkte!A:H,8)</f>
        <v>0.06</v>
      </c>
    </row>
    <row r="617" spans="1:12" x14ac:dyDescent="0.2">
      <c r="A617" s="75" t="s">
        <v>425</v>
      </c>
      <c r="B617" s="79">
        <v>46056</v>
      </c>
      <c r="C617" s="75"/>
      <c r="D617" s="75"/>
      <c r="E617" s="75"/>
      <c r="F617" s="75">
        <v>20212</v>
      </c>
      <c r="G617" s="76" t="str">
        <f>VLOOKUP(Tabelle2[[#This Row],[Kunden Nr.]],KUNDEN!A:B,2,0)</f>
        <v>INOX 2</v>
      </c>
      <c r="H617" s="75">
        <v>51612</v>
      </c>
      <c r="I617" s="76" t="str">
        <f>VLOOKUP(Tabelle2[[#This Row],[Artikel]],Produkte!A:B,2,0)</f>
        <v>struktural akryl</v>
      </c>
      <c r="J617" s="75">
        <v>12</v>
      </c>
      <c r="K617" s="76" t="str">
        <f>VLOOKUP(Tabelle2[[#This Row],[Kunden Nr.]],KUNDEN!A:G,7)</f>
        <v>Mensuri</v>
      </c>
      <c r="L617" s="76">
        <f>VLOOKUP(Tabelle2[[#This Row],[Artikel]],Produkte!A:H,8)</f>
        <v>0.06</v>
      </c>
    </row>
    <row r="618" spans="1:12" x14ac:dyDescent="0.2">
      <c r="A618" s="75" t="s">
        <v>963</v>
      </c>
      <c r="B618" s="79">
        <v>46056</v>
      </c>
      <c r="C618" s="89">
        <v>92.4</v>
      </c>
      <c r="D618" s="75"/>
      <c r="E618" s="75"/>
      <c r="F618" s="75">
        <v>20201</v>
      </c>
      <c r="G618" s="76" t="str">
        <f>VLOOKUP(Tabelle2[[#This Row],[Kunden Nr.]],KUNDEN!A:B,2,0)</f>
        <v>TE BESIMI</v>
      </c>
      <c r="H618" s="75">
        <v>35111</v>
      </c>
      <c r="I618" s="76" t="str">
        <f>VLOOKUP(Tabelle2[[#This Row],[Artikel]],Produkte!A:B,2,0)</f>
        <v>M-ONE Sanitar Silikon</v>
      </c>
      <c r="J618" s="75">
        <v>12</v>
      </c>
      <c r="K618" s="76" t="str">
        <f>VLOOKUP(Tabelle2[[#This Row],[Kunden Nr.]],KUNDEN!A:G,7)</f>
        <v>Mensuri</v>
      </c>
      <c r="L618" s="76">
        <f>VLOOKUP(Tabelle2[[#This Row],[Artikel]],Produkte!A:H,8)</f>
        <v>0.17</v>
      </c>
    </row>
    <row r="619" spans="1:12" x14ac:dyDescent="0.2">
      <c r="A619" s="75" t="s">
        <v>963</v>
      </c>
      <c r="B619" s="79">
        <v>46056</v>
      </c>
      <c r="C619" s="75"/>
      <c r="D619" s="75"/>
      <c r="E619" s="75"/>
      <c r="F619" s="75">
        <v>20201</v>
      </c>
      <c r="G619" s="76" t="str">
        <f>VLOOKUP(Tabelle2[[#This Row],[Kunden Nr.]],KUNDEN!A:B,2,0)</f>
        <v>TE BESIMI</v>
      </c>
      <c r="H619" s="75">
        <v>35125</v>
      </c>
      <c r="I619" s="76" t="str">
        <f>VLOOKUP(Tabelle2[[#This Row],[Artikel]],Produkte!A:B,2,0)</f>
        <v>M-ONE Sanitar Silikon</v>
      </c>
      <c r="J619" s="75">
        <v>12</v>
      </c>
      <c r="K619" s="76" t="str">
        <f>VLOOKUP(Tabelle2[[#This Row],[Kunden Nr.]],KUNDEN!A:G,7)</f>
        <v>Mensuri</v>
      </c>
      <c r="L619" s="76">
        <f>VLOOKUP(Tabelle2[[#This Row],[Artikel]],Produkte!A:H,8)</f>
        <v>0.17</v>
      </c>
    </row>
    <row r="620" spans="1:12" x14ac:dyDescent="0.2">
      <c r="A620" s="75" t="s">
        <v>469</v>
      </c>
      <c r="B620" s="79">
        <v>46056</v>
      </c>
      <c r="C620" s="89">
        <v>100.4</v>
      </c>
      <c r="D620" s="75"/>
      <c r="E620" s="75"/>
      <c r="F620" s="75">
        <v>20102</v>
      </c>
      <c r="G620" s="76" t="str">
        <f>VLOOKUP(Tabelle2[[#This Row],[Kunden Nr.]],KUNDEN!A:B,2,0)</f>
        <v>KUQI-LKW</v>
      </c>
      <c r="H620" s="75">
        <v>50912</v>
      </c>
      <c r="I620" s="76" t="str">
        <f>VLOOKUP(Tabelle2[[#This Row],[Artikel]],Produkte!A:B,2,0)</f>
        <v>DICHTUNG</v>
      </c>
      <c r="J620" s="75">
        <v>12</v>
      </c>
      <c r="K620" s="76" t="str">
        <f>VLOOKUP(Tabelle2[[#This Row],[Kunden Nr.]],KUNDEN!A:G,7)</f>
        <v>Mensuri</v>
      </c>
      <c r="L620" s="76">
        <f>VLOOKUP(Tabelle2[[#This Row],[Artikel]],Produkte!A:H,8)</f>
        <v>0.2</v>
      </c>
    </row>
    <row r="621" spans="1:12" x14ac:dyDescent="0.2">
      <c r="A621" s="75" t="s">
        <v>469</v>
      </c>
      <c r="B621" s="79">
        <v>46056</v>
      </c>
      <c r="C621" s="75"/>
      <c r="D621" s="75"/>
      <c r="E621" s="75"/>
      <c r="F621" s="75">
        <v>20102</v>
      </c>
      <c r="G621" s="76" t="str">
        <f>VLOOKUP(Tabelle2[[#This Row],[Kunden Nr.]],KUNDEN!A:B,2,0)</f>
        <v>KUQI-LKW</v>
      </c>
      <c r="H621" s="75">
        <v>55718</v>
      </c>
      <c r="I621" s="76" t="str">
        <f>VLOOKUP(Tabelle2[[#This Row],[Artikel]],Produkte!A:B,2,0)</f>
        <v>M ONE MOTORSTART</v>
      </c>
      <c r="J621" s="75">
        <v>4</v>
      </c>
      <c r="K621" s="76" t="str">
        <f>VLOOKUP(Tabelle2[[#This Row],[Kunden Nr.]],KUNDEN!A:G,7)</f>
        <v>Mensuri</v>
      </c>
      <c r="L621" s="76">
        <f>VLOOKUP(Tabelle2[[#This Row],[Artikel]],Produkte!A:H,8)</f>
        <v>0.2</v>
      </c>
    </row>
    <row r="622" spans="1:12" x14ac:dyDescent="0.2">
      <c r="A622" s="75" t="s">
        <v>770</v>
      </c>
      <c r="B622" s="79">
        <v>46056</v>
      </c>
      <c r="C622" s="89">
        <v>228</v>
      </c>
      <c r="D622" s="75"/>
      <c r="E622" s="75"/>
      <c r="F622" s="75">
        <v>40003</v>
      </c>
      <c r="G622" s="76" t="str">
        <f>VLOOKUP(Tabelle2[[#This Row],[Kunden Nr.]],KUNDEN!A:B,2,0)</f>
        <v>ARBENI BIOBLIC</v>
      </c>
      <c r="H622" s="75">
        <v>20000</v>
      </c>
      <c r="I622" s="76" t="str">
        <f>VLOOKUP(Tabelle2[[#This Row],[Artikel]],Produkte!A:B,2,0)</f>
        <v>BioBlic AutoInnenreiniger</v>
      </c>
      <c r="J622" s="75">
        <v>10</v>
      </c>
      <c r="K622" s="76">
        <f>VLOOKUP(Tabelle2[[#This Row],[Kunden Nr.]],KUNDEN!A:G,7)</f>
        <v>0</v>
      </c>
      <c r="L622" s="76">
        <f>VLOOKUP(Tabelle2[[#This Row],[Artikel]],Produkte!A:H,8)</f>
        <v>0.30000000000000004</v>
      </c>
    </row>
    <row r="623" spans="1:12" x14ac:dyDescent="0.2">
      <c r="A623" s="75" t="s">
        <v>770</v>
      </c>
      <c r="B623" s="79">
        <v>46056</v>
      </c>
      <c r="C623" s="75"/>
      <c r="D623" s="75"/>
      <c r="E623" s="75"/>
      <c r="F623" s="75">
        <v>40003</v>
      </c>
      <c r="G623" s="76" t="str">
        <f>VLOOKUP(Tabelle2[[#This Row],[Kunden Nr.]],KUNDEN!A:B,2,0)</f>
        <v>ARBENI BIOBLIC</v>
      </c>
      <c r="H623" s="75">
        <v>20001</v>
      </c>
      <c r="I623" s="76" t="str">
        <f>VLOOKUP(Tabelle2[[#This Row],[Artikel]],Produkte!A:B,2,0)</f>
        <v>BioBlic Universalreiniger</v>
      </c>
      <c r="J623" s="75">
        <v>110</v>
      </c>
      <c r="K623" s="76">
        <f>VLOOKUP(Tabelle2[[#This Row],[Kunden Nr.]],KUNDEN!A:G,7)</f>
        <v>0</v>
      </c>
      <c r="L623" s="76">
        <f>VLOOKUP(Tabelle2[[#This Row],[Artikel]],Produkte!A:H,8)</f>
        <v>0.30000000000000004</v>
      </c>
    </row>
    <row r="624" spans="1:12" x14ac:dyDescent="0.2">
      <c r="A624" s="75" t="s">
        <v>770</v>
      </c>
      <c r="B624" s="79">
        <v>46056</v>
      </c>
      <c r="C624" s="75"/>
      <c r="D624" s="75"/>
      <c r="E624" s="75"/>
      <c r="F624" s="75">
        <v>40003</v>
      </c>
      <c r="G624" s="76" t="str">
        <f>VLOOKUP(Tabelle2[[#This Row],[Kunden Nr.]],KUNDEN!A:B,2,0)</f>
        <v>ARBENI BIOBLIC</v>
      </c>
      <c r="H624" s="75">
        <v>30275</v>
      </c>
      <c r="I624" s="76" t="str">
        <f>VLOOKUP(Tabelle2[[#This Row],[Artikel]],Produkte!A:B,2,0)</f>
        <v>Blic Blic Sanitärreiniger</v>
      </c>
      <c r="J624" s="75">
        <v>40</v>
      </c>
      <c r="K624" s="76">
        <f>VLOOKUP(Tabelle2[[#This Row],[Kunden Nr.]],KUNDEN!A:G,7)</f>
        <v>0</v>
      </c>
      <c r="L624" s="76">
        <f>VLOOKUP(Tabelle2[[#This Row],[Artikel]],Produkte!A:H,8)</f>
        <v>0.30000000000000004</v>
      </c>
    </row>
    <row r="625" spans="1:12" x14ac:dyDescent="0.2">
      <c r="A625" s="75" t="s">
        <v>770</v>
      </c>
      <c r="B625" s="79">
        <v>46056</v>
      </c>
      <c r="C625" s="75"/>
      <c r="D625" s="75"/>
      <c r="E625" s="75"/>
      <c r="F625" s="75">
        <v>40003</v>
      </c>
      <c r="G625" s="76" t="str">
        <f>VLOOKUP(Tabelle2[[#This Row],[Kunden Nr.]],KUNDEN!A:B,2,0)</f>
        <v>ARBENI BIOBLIC</v>
      </c>
      <c r="H625" s="75">
        <v>39505</v>
      </c>
      <c r="I625" s="76" t="str">
        <f>VLOOKUP(Tabelle2[[#This Row],[Artikel]],Produkte!A:B,2,0)</f>
        <v>M ONE SILIKON SPRAY</v>
      </c>
      <c r="J625" s="75">
        <v>6</v>
      </c>
      <c r="K625" s="76">
        <f>VLOOKUP(Tabelle2[[#This Row],[Kunden Nr.]],KUNDEN!A:G,7)</f>
        <v>0</v>
      </c>
      <c r="L625" s="76">
        <f>VLOOKUP(Tabelle2[[#This Row],[Artikel]],Produkte!A:H,8)</f>
        <v>0.2</v>
      </c>
    </row>
    <row r="626" spans="1:12" x14ac:dyDescent="0.2">
      <c r="A626" s="75" t="s">
        <v>770</v>
      </c>
      <c r="B626" s="79">
        <v>46056</v>
      </c>
      <c r="C626" s="75"/>
      <c r="D626" s="75"/>
      <c r="E626" s="75"/>
      <c r="F626" s="75">
        <v>40003</v>
      </c>
      <c r="G626" s="76" t="str">
        <f>VLOOKUP(Tabelle2[[#This Row],[Kunden Nr.]],KUNDEN!A:B,2,0)</f>
        <v>ARBENI BIOBLIC</v>
      </c>
      <c r="H626" s="75">
        <v>50912</v>
      </c>
      <c r="I626" s="76" t="str">
        <f>VLOOKUP(Tabelle2[[#This Row],[Artikel]],Produkte!A:B,2,0)</f>
        <v>DICHTUNG</v>
      </c>
      <c r="J626" s="75">
        <v>1</v>
      </c>
      <c r="K626" s="76">
        <f>VLOOKUP(Tabelle2[[#This Row],[Kunden Nr.]],KUNDEN!A:G,7)</f>
        <v>0</v>
      </c>
      <c r="L626" s="76">
        <f>VLOOKUP(Tabelle2[[#This Row],[Artikel]],Produkte!A:H,8)</f>
        <v>0.2</v>
      </c>
    </row>
    <row r="627" spans="1:12" x14ac:dyDescent="0.2">
      <c r="A627" s="75" t="s">
        <v>5</v>
      </c>
      <c r="B627" s="79">
        <v>46057</v>
      </c>
      <c r="C627" s="89">
        <v>98.4</v>
      </c>
      <c r="D627" s="75"/>
      <c r="E627" s="75"/>
      <c r="F627" s="75">
        <v>10301</v>
      </c>
      <c r="G627" s="76" t="str">
        <f>VLOOKUP(Tabelle2[[#This Row],[Kunden Nr.]],KUNDEN!A:B,2,0)</f>
        <v>FUNDAMETI</v>
      </c>
      <c r="H627" s="75">
        <v>35121</v>
      </c>
      <c r="I627" s="76" t="str">
        <f>VLOOKUP(Tabelle2[[#This Row],[Artikel]],Produkte!A:B,2,0)</f>
        <v>M-ONE Sanitar Silikon</v>
      </c>
      <c r="J627" s="75">
        <v>24</v>
      </c>
      <c r="K627" s="76" t="str">
        <f>VLOOKUP(Tabelle2[[#This Row],[Kunden Nr.]],KUNDEN!A:G,7)</f>
        <v>Qerimi</v>
      </c>
      <c r="L627" s="76">
        <f>VLOOKUP(Tabelle2[[#This Row],[Artikel]],Produkte!A:H,8)</f>
        <v>0.17</v>
      </c>
    </row>
    <row r="628" spans="1:12" x14ac:dyDescent="0.2">
      <c r="A628" s="75" t="s">
        <v>5</v>
      </c>
      <c r="B628" s="79">
        <v>46057</v>
      </c>
      <c r="C628" s="75"/>
      <c r="D628" s="75"/>
      <c r="E628" s="75"/>
      <c r="F628" s="75">
        <v>10301</v>
      </c>
      <c r="G628" s="76" t="str">
        <f>VLOOKUP(Tabelle2[[#This Row],[Kunden Nr.]],KUNDEN!A:B,2,0)</f>
        <v>FUNDAMETI</v>
      </c>
      <c r="H628" s="75">
        <v>39505</v>
      </c>
      <c r="I628" s="76" t="str">
        <f>VLOOKUP(Tabelle2[[#This Row],[Artikel]],Produkte!A:B,2,0)</f>
        <v>M ONE SILIKON SPRAY</v>
      </c>
      <c r="J628" s="75">
        <v>2</v>
      </c>
      <c r="K628" s="76" t="str">
        <f>VLOOKUP(Tabelle2[[#This Row],[Kunden Nr.]],KUNDEN!A:G,7)</f>
        <v>Qerimi</v>
      </c>
      <c r="L628" s="76">
        <f>VLOOKUP(Tabelle2[[#This Row],[Artikel]],Produkte!A:H,8)</f>
        <v>0.2</v>
      </c>
    </row>
    <row r="629" spans="1:12" x14ac:dyDescent="0.2">
      <c r="A629" s="75" t="s">
        <v>413</v>
      </c>
      <c r="B629" s="79">
        <v>46057</v>
      </c>
      <c r="C629" s="89">
        <v>92.4</v>
      </c>
      <c r="D629" s="75"/>
      <c r="E629" s="75"/>
      <c r="F629" s="75">
        <v>10350</v>
      </c>
      <c r="G629" s="76" t="str">
        <f>VLOOKUP(Tabelle2[[#This Row],[Kunden Nr.]],KUNDEN!A:B,2,0)</f>
        <v>BALLKANI</v>
      </c>
      <c r="H629" s="75">
        <v>35121</v>
      </c>
      <c r="I629" s="76" t="str">
        <f>VLOOKUP(Tabelle2[[#This Row],[Artikel]],Produkte!A:B,2,0)</f>
        <v>M-ONE Sanitar Silikon</v>
      </c>
      <c r="J629" s="75">
        <v>12</v>
      </c>
      <c r="K629" s="76" t="str">
        <f>VLOOKUP(Tabelle2[[#This Row],[Kunden Nr.]],KUNDEN!A:G,7)</f>
        <v>Qerimi</v>
      </c>
      <c r="L629" s="76">
        <f>VLOOKUP(Tabelle2[[#This Row],[Artikel]],Produkte!A:H,8)</f>
        <v>0.17</v>
      </c>
    </row>
    <row r="630" spans="1:12" x14ac:dyDescent="0.2">
      <c r="A630" s="75" t="s">
        <v>413</v>
      </c>
      <c r="B630" s="79">
        <v>46057</v>
      </c>
      <c r="C630" s="75"/>
      <c r="D630" s="75"/>
      <c r="E630" s="75"/>
      <c r="F630" s="75">
        <v>10350</v>
      </c>
      <c r="G630" s="76" t="str">
        <f>VLOOKUP(Tabelle2[[#This Row],[Kunden Nr.]],KUNDEN!A:B,2,0)</f>
        <v>BALLKANI</v>
      </c>
      <c r="H630" s="75">
        <v>35119</v>
      </c>
      <c r="I630" s="76" t="str">
        <f>VLOOKUP(Tabelle2[[#This Row],[Artikel]],Produkte!A:B,2,0)</f>
        <v>M-ONE Sanitar Silikon</v>
      </c>
      <c r="J630" s="75">
        <v>12</v>
      </c>
      <c r="K630" s="76" t="str">
        <f>VLOOKUP(Tabelle2[[#This Row],[Kunden Nr.]],KUNDEN!A:G,7)</f>
        <v>Qerimi</v>
      </c>
      <c r="L630" s="76">
        <f>VLOOKUP(Tabelle2[[#This Row],[Artikel]],Produkte!A:H,8)</f>
        <v>0.17</v>
      </c>
    </row>
    <row r="631" spans="1:12" x14ac:dyDescent="0.2">
      <c r="A631" s="75" t="s">
        <v>415</v>
      </c>
      <c r="B631" s="79">
        <v>46057</v>
      </c>
      <c r="C631" s="89">
        <v>138.6</v>
      </c>
      <c r="D631" s="75"/>
      <c r="E631" s="75"/>
      <c r="F631" s="75">
        <v>10352</v>
      </c>
      <c r="G631" s="76" t="str">
        <f>VLOOKUP(Tabelle2[[#This Row],[Kunden Nr.]],KUNDEN!A:B,2,0)</f>
        <v>SMIRA</v>
      </c>
      <c r="H631" s="75">
        <v>35109</v>
      </c>
      <c r="I631" s="76" t="str">
        <f>VLOOKUP(Tabelle2[[#This Row],[Artikel]],Produkte!A:B,2,0)</f>
        <v>M-ONE Sanitar Silikon</v>
      </c>
      <c r="J631" s="75">
        <v>12</v>
      </c>
      <c r="K631" s="76" t="str">
        <f>VLOOKUP(Tabelle2[[#This Row],[Kunden Nr.]],KUNDEN!A:G,7)</f>
        <v>Qerimi</v>
      </c>
      <c r="L631" s="76">
        <f>VLOOKUP(Tabelle2[[#This Row],[Artikel]],Produkte!A:H,8)</f>
        <v>0.17</v>
      </c>
    </row>
    <row r="632" spans="1:12" x14ac:dyDescent="0.2">
      <c r="A632" s="75" t="s">
        <v>415</v>
      </c>
      <c r="B632" s="79">
        <v>46057</v>
      </c>
      <c r="C632" s="75"/>
      <c r="D632" s="75"/>
      <c r="E632" s="75"/>
      <c r="F632" s="75">
        <v>10352</v>
      </c>
      <c r="G632" s="76" t="str">
        <f>VLOOKUP(Tabelle2[[#This Row],[Kunden Nr.]],KUNDEN!A:B,2,0)</f>
        <v>SMIRA</v>
      </c>
      <c r="H632" s="75">
        <v>35113</v>
      </c>
      <c r="I632" s="76" t="str">
        <f>VLOOKUP(Tabelle2[[#This Row],[Artikel]],Produkte!A:B,2,0)</f>
        <v>M-ONE Sanitar Silikon</v>
      </c>
      <c r="J632" s="75">
        <v>12</v>
      </c>
      <c r="K632" s="76" t="str">
        <f>VLOOKUP(Tabelle2[[#This Row],[Kunden Nr.]],KUNDEN!A:G,7)</f>
        <v>Qerimi</v>
      </c>
      <c r="L632" s="76">
        <f>VLOOKUP(Tabelle2[[#This Row],[Artikel]],Produkte!A:H,8)</f>
        <v>0.17</v>
      </c>
    </row>
    <row r="633" spans="1:12" x14ac:dyDescent="0.2">
      <c r="A633" s="75" t="s">
        <v>415</v>
      </c>
      <c r="B633" s="79">
        <v>46057</v>
      </c>
      <c r="C633" s="75"/>
      <c r="D633" s="75"/>
      <c r="E633" s="75"/>
      <c r="F633" s="75">
        <v>10352</v>
      </c>
      <c r="G633" s="76" t="str">
        <f>VLOOKUP(Tabelle2[[#This Row],[Kunden Nr.]],KUNDEN!A:B,2,0)</f>
        <v>SMIRA</v>
      </c>
      <c r="H633" s="75">
        <v>35128</v>
      </c>
      <c r="I633" s="76" t="str">
        <f>VLOOKUP(Tabelle2[[#This Row],[Artikel]],Produkte!A:B,2,0)</f>
        <v>M-ONE Sanitar Silikon</v>
      </c>
      <c r="J633" s="75">
        <v>12</v>
      </c>
      <c r="K633" s="76" t="str">
        <f>VLOOKUP(Tabelle2[[#This Row],[Kunden Nr.]],KUNDEN!A:G,7)</f>
        <v>Qerimi</v>
      </c>
      <c r="L633" s="76">
        <f>VLOOKUP(Tabelle2[[#This Row],[Artikel]],Produkte!A:H,8)</f>
        <v>0.17</v>
      </c>
    </row>
    <row r="634" spans="1:12" x14ac:dyDescent="0.2">
      <c r="A634" s="75" t="s">
        <v>30</v>
      </c>
      <c r="B634" s="79">
        <v>46057</v>
      </c>
      <c r="C634" s="89">
        <v>86.4</v>
      </c>
      <c r="D634" s="75"/>
      <c r="E634" s="75"/>
      <c r="F634" s="75">
        <v>10323</v>
      </c>
      <c r="G634" s="76" t="str">
        <f>VLOOKUP(Tabelle2[[#This Row],[Kunden Nr.]],KUNDEN!A:B,2,0)</f>
        <v>BEKA-3</v>
      </c>
      <c r="H634" s="75">
        <v>50912</v>
      </c>
      <c r="I634" s="76" t="str">
        <f>VLOOKUP(Tabelle2[[#This Row],[Artikel]],Produkte!A:B,2,0)</f>
        <v>DICHTUNG</v>
      </c>
      <c r="J634" s="75">
        <v>12</v>
      </c>
      <c r="K634" s="76" t="str">
        <f>VLOOKUP(Tabelle2[[#This Row],[Kunden Nr.]],KUNDEN!A:G,7)</f>
        <v>Qerimi</v>
      </c>
      <c r="L634" s="76">
        <f>VLOOKUP(Tabelle2[[#This Row],[Artikel]],Produkte!A:H,8)</f>
        <v>0.2</v>
      </c>
    </row>
    <row r="635" spans="1:12" x14ac:dyDescent="0.2">
      <c r="A635" s="75" t="s">
        <v>5</v>
      </c>
      <c r="B635" s="79">
        <v>46057</v>
      </c>
      <c r="C635" s="89">
        <v>184.8</v>
      </c>
      <c r="D635" s="75"/>
      <c r="E635" s="75"/>
      <c r="F635" s="75">
        <v>10301</v>
      </c>
      <c r="G635" s="76" t="str">
        <f>VLOOKUP(Tabelle2[[#This Row],[Kunden Nr.]],KUNDEN!A:B,2,0)</f>
        <v>FUNDAMETI</v>
      </c>
      <c r="H635" s="75">
        <v>35113</v>
      </c>
      <c r="I635" s="76" t="str">
        <f>VLOOKUP(Tabelle2[[#This Row],[Artikel]],Produkte!A:B,2,0)</f>
        <v>M-ONE Sanitar Silikon</v>
      </c>
      <c r="J635" s="75">
        <v>24</v>
      </c>
      <c r="K635" s="76" t="str">
        <f>VLOOKUP(Tabelle2[[#This Row],[Kunden Nr.]],KUNDEN!A:G,7)</f>
        <v>Qerimi</v>
      </c>
      <c r="L635" s="76">
        <f>VLOOKUP(Tabelle2[[#This Row],[Artikel]],Produkte!A:H,8)</f>
        <v>0.17</v>
      </c>
    </row>
    <row r="636" spans="1:12" x14ac:dyDescent="0.2">
      <c r="A636" s="75" t="s">
        <v>5</v>
      </c>
      <c r="B636" s="79">
        <v>46057</v>
      </c>
      <c r="C636" s="75"/>
      <c r="D636" s="75"/>
      <c r="E636" s="75"/>
      <c r="F636" s="75">
        <v>10301</v>
      </c>
      <c r="G636" s="76" t="str">
        <f>VLOOKUP(Tabelle2[[#This Row],[Kunden Nr.]],KUNDEN!A:B,2,0)</f>
        <v>FUNDAMETI</v>
      </c>
      <c r="H636" s="75">
        <v>35121</v>
      </c>
      <c r="I636" s="76" t="str">
        <f>VLOOKUP(Tabelle2[[#This Row],[Artikel]],Produkte!A:B,2,0)</f>
        <v>M-ONE Sanitar Silikon</v>
      </c>
      <c r="J636" s="75">
        <v>24</v>
      </c>
      <c r="K636" s="76" t="str">
        <f>VLOOKUP(Tabelle2[[#This Row],[Kunden Nr.]],KUNDEN!A:G,7)</f>
        <v>Qerimi</v>
      </c>
      <c r="L636" s="76">
        <f>VLOOKUP(Tabelle2[[#This Row],[Artikel]],Produkte!A:H,8)</f>
        <v>0.17</v>
      </c>
    </row>
    <row r="637" spans="1:12" x14ac:dyDescent="0.2">
      <c r="A637" s="75" t="s">
        <v>20</v>
      </c>
      <c r="B637" s="79">
        <v>46057</v>
      </c>
      <c r="C637" s="89">
        <v>138.6</v>
      </c>
      <c r="D637" s="75"/>
      <c r="E637" s="75"/>
      <c r="F637" s="75">
        <v>10313</v>
      </c>
      <c r="G637" s="76" t="str">
        <f>VLOOKUP(Tabelle2[[#This Row],[Kunden Nr.]],KUNDEN!A:B,2,0)</f>
        <v>FATMIRI</v>
      </c>
      <c r="H637" s="75">
        <v>35121</v>
      </c>
      <c r="I637" s="76" t="str">
        <f>VLOOKUP(Tabelle2[[#This Row],[Artikel]],Produkte!A:B,2,0)</f>
        <v>M-ONE Sanitar Silikon</v>
      </c>
      <c r="J637" s="75">
        <v>24</v>
      </c>
      <c r="K637" s="76" t="str">
        <f>VLOOKUP(Tabelle2[[#This Row],[Kunden Nr.]],KUNDEN!A:G,7)</f>
        <v>Qerimi</v>
      </c>
      <c r="L637" s="76">
        <f>VLOOKUP(Tabelle2[[#This Row],[Artikel]],Produkte!A:H,8)</f>
        <v>0.17</v>
      </c>
    </row>
    <row r="638" spans="1:12" x14ac:dyDescent="0.2">
      <c r="A638" s="75" t="s">
        <v>20</v>
      </c>
      <c r="B638" s="79">
        <v>46057</v>
      </c>
      <c r="C638" s="75"/>
      <c r="D638" s="75"/>
      <c r="E638" s="75"/>
      <c r="F638" s="75">
        <v>10313</v>
      </c>
      <c r="G638" s="76" t="str">
        <f>VLOOKUP(Tabelle2[[#This Row],[Kunden Nr.]],KUNDEN!A:B,2,0)</f>
        <v>FATMIRI</v>
      </c>
      <c r="H638" s="75">
        <v>35109</v>
      </c>
      <c r="I638" s="76" t="str">
        <f>VLOOKUP(Tabelle2[[#This Row],[Artikel]],Produkte!A:B,2,0)</f>
        <v>M-ONE Sanitar Silikon</v>
      </c>
      <c r="J638" s="75">
        <v>12</v>
      </c>
      <c r="K638" s="76" t="str">
        <f>VLOOKUP(Tabelle2[[#This Row],[Kunden Nr.]],KUNDEN!A:G,7)</f>
        <v>Qerimi</v>
      </c>
      <c r="L638" s="76">
        <f>VLOOKUP(Tabelle2[[#This Row],[Artikel]],Produkte!A:H,8)</f>
        <v>0.17</v>
      </c>
    </row>
    <row r="639" spans="1:12" x14ac:dyDescent="0.2">
      <c r="A639" s="75" t="s">
        <v>1179</v>
      </c>
      <c r="B639" s="79">
        <v>46057</v>
      </c>
      <c r="C639" s="89">
        <v>92.4</v>
      </c>
      <c r="D639" s="75"/>
      <c r="E639" s="75"/>
      <c r="F639" s="75">
        <v>40019</v>
      </c>
      <c r="G639" s="76" t="str">
        <f>VLOOKUP(Tabelle2[[#This Row],[Kunden Nr.]],KUNDEN!A:B,2,0)</f>
        <v>TEMAJ</v>
      </c>
      <c r="H639" s="75">
        <v>35110</v>
      </c>
      <c r="I639" s="76" t="str">
        <f>VLOOKUP(Tabelle2[[#This Row],[Artikel]],Produkte!A:B,2,0)</f>
        <v>M-ONE Sanitar Silikon</v>
      </c>
      <c r="J639" s="75">
        <v>12</v>
      </c>
      <c r="K639" s="76">
        <f>VLOOKUP(Tabelle2[[#This Row],[Kunden Nr.]],KUNDEN!A:G,7)</f>
        <v>0</v>
      </c>
      <c r="L639" s="76">
        <f>VLOOKUP(Tabelle2[[#This Row],[Artikel]],Produkte!A:H,8)</f>
        <v>0.17</v>
      </c>
    </row>
    <row r="640" spans="1:12" x14ac:dyDescent="0.2">
      <c r="A640" s="75" t="s">
        <v>1179</v>
      </c>
      <c r="B640" s="79">
        <v>46057</v>
      </c>
      <c r="C640" s="75"/>
      <c r="D640" s="75"/>
      <c r="E640" s="75"/>
      <c r="F640" s="75">
        <v>40019</v>
      </c>
      <c r="G640" s="76" t="str">
        <f>VLOOKUP(Tabelle2[[#This Row],[Kunden Nr.]],KUNDEN!A:B,2,0)</f>
        <v>TEMAJ</v>
      </c>
      <c r="H640" s="75">
        <v>35111</v>
      </c>
      <c r="I640" s="76" t="str">
        <f>VLOOKUP(Tabelle2[[#This Row],[Artikel]],Produkte!A:B,2,0)</f>
        <v>M-ONE Sanitar Silikon</v>
      </c>
      <c r="J640" s="75">
        <v>12</v>
      </c>
      <c r="K640" s="76">
        <f>VLOOKUP(Tabelle2[[#This Row],[Kunden Nr.]],KUNDEN!A:G,7)</f>
        <v>0</v>
      </c>
      <c r="L640" s="76">
        <f>VLOOKUP(Tabelle2[[#This Row],[Artikel]],Produkte!A:H,8)</f>
        <v>0.17</v>
      </c>
    </row>
    <row r="641" spans="1:12" x14ac:dyDescent="0.2">
      <c r="A641" s="75" t="s">
        <v>614</v>
      </c>
      <c r="B641" s="79">
        <v>46057</v>
      </c>
      <c r="C641" s="89">
        <v>92.4</v>
      </c>
      <c r="D641" s="75"/>
      <c r="E641" s="75"/>
      <c r="F641" s="75">
        <v>20301</v>
      </c>
      <c r="G641" s="76" t="str">
        <f>VLOOKUP(Tabelle2[[#This Row],[Kunden Nr.]],KUNDEN!A:B,2,0)</f>
        <v>HAZROLLI</v>
      </c>
      <c r="H641" s="75">
        <v>35113</v>
      </c>
      <c r="I641" s="76" t="str">
        <f>VLOOKUP(Tabelle2[[#This Row],[Artikel]],Produkte!A:B,2,0)</f>
        <v>M-ONE Sanitar Silikon</v>
      </c>
      <c r="J641" s="75">
        <v>24</v>
      </c>
      <c r="K641" s="76" t="str">
        <f>VLOOKUP(Tabelle2[[#This Row],[Kunden Nr.]],KUNDEN!A:G,7)</f>
        <v>Mensuri</v>
      </c>
      <c r="L641" s="76">
        <f>VLOOKUP(Tabelle2[[#This Row],[Artikel]],Produkte!A:H,8)</f>
        <v>0.17</v>
      </c>
    </row>
    <row r="642" spans="1:12" x14ac:dyDescent="0.2">
      <c r="A642" s="75" t="s">
        <v>623</v>
      </c>
      <c r="B642" s="79">
        <v>46057</v>
      </c>
      <c r="C642" s="89">
        <v>120</v>
      </c>
      <c r="D642" s="75"/>
      <c r="E642" s="75"/>
      <c r="F642" s="75">
        <v>20313</v>
      </c>
      <c r="G642" s="76" t="str">
        <f>VLOOKUP(Tabelle2[[#This Row],[Kunden Nr.]],KUNDEN!A:B,2,0)</f>
        <v>DURGUTI 3</v>
      </c>
      <c r="H642" s="75">
        <v>35110</v>
      </c>
      <c r="I642" s="76" t="str">
        <f>VLOOKUP(Tabelle2[[#This Row],[Artikel]],Produkte!A:B,2,0)</f>
        <v>M-ONE Sanitar Silikon</v>
      </c>
      <c r="J642" s="75">
        <v>12</v>
      </c>
      <c r="K642" s="76" t="str">
        <f>VLOOKUP(Tabelle2[[#This Row],[Kunden Nr.]],KUNDEN!A:G,7)</f>
        <v>Mensuri</v>
      </c>
      <c r="L642" s="76">
        <f>VLOOKUP(Tabelle2[[#This Row],[Artikel]],Produkte!A:H,8)</f>
        <v>0.17</v>
      </c>
    </row>
    <row r="643" spans="1:12" x14ac:dyDescent="0.2">
      <c r="A643" s="75" t="s">
        <v>623</v>
      </c>
      <c r="B643" s="79">
        <v>46057</v>
      </c>
      <c r="C643" s="75"/>
      <c r="D643" s="75"/>
      <c r="E643" s="75"/>
      <c r="F643" s="75">
        <v>20313</v>
      </c>
      <c r="G643" s="76" t="str">
        <f>VLOOKUP(Tabelle2[[#This Row],[Kunden Nr.]],KUNDEN!A:B,2,0)</f>
        <v>DURGUTI 3</v>
      </c>
      <c r="H643" s="75">
        <v>35111</v>
      </c>
      <c r="I643" s="76" t="str">
        <f>VLOOKUP(Tabelle2[[#This Row],[Artikel]],Produkte!A:B,2,0)</f>
        <v>M-ONE Sanitar Silikon</v>
      </c>
      <c r="J643" s="75">
        <v>12</v>
      </c>
      <c r="K643" s="76" t="str">
        <f>VLOOKUP(Tabelle2[[#This Row],[Kunden Nr.]],KUNDEN!A:G,7)</f>
        <v>Mensuri</v>
      </c>
      <c r="L643" s="76">
        <f>VLOOKUP(Tabelle2[[#This Row],[Artikel]],Produkte!A:H,8)</f>
        <v>0.17</v>
      </c>
    </row>
    <row r="644" spans="1:12" x14ac:dyDescent="0.2">
      <c r="A644" s="75" t="s">
        <v>623</v>
      </c>
      <c r="B644" s="79">
        <v>46057</v>
      </c>
      <c r="C644" s="75"/>
      <c r="D644" s="75"/>
      <c r="E644" s="75"/>
      <c r="F644" s="75">
        <v>20313</v>
      </c>
      <c r="G644" s="76" t="str">
        <f>VLOOKUP(Tabelle2[[#This Row],[Kunden Nr.]],KUNDEN!A:B,2,0)</f>
        <v>DURGUTI 3</v>
      </c>
      <c r="H644" s="75">
        <v>51612</v>
      </c>
      <c r="I644" s="76" t="str">
        <f>VLOOKUP(Tabelle2[[#This Row],[Artikel]],Produkte!A:B,2,0)</f>
        <v>struktural akryl</v>
      </c>
      <c r="J644" s="75">
        <v>12</v>
      </c>
      <c r="K644" s="76" t="str">
        <f>VLOOKUP(Tabelle2[[#This Row],[Kunden Nr.]],KUNDEN!A:G,7)</f>
        <v>Mensuri</v>
      </c>
      <c r="L644" s="76">
        <f>VLOOKUP(Tabelle2[[#This Row],[Artikel]],Produkte!A:H,8)</f>
        <v>0.06</v>
      </c>
    </row>
    <row r="645" spans="1:12" x14ac:dyDescent="0.2">
      <c r="A645" s="75" t="s">
        <v>618</v>
      </c>
      <c r="B645" s="79">
        <v>46057</v>
      </c>
      <c r="C645" s="89">
        <v>205.8</v>
      </c>
      <c r="D645" s="75"/>
      <c r="E645" s="75"/>
      <c r="F645" s="75">
        <v>20307</v>
      </c>
      <c r="G645" s="76" t="str">
        <f>VLOOKUP(Tabelle2[[#This Row],[Kunden Nr.]],KUNDEN!A:B,2,0)</f>
        <v>CONDOR</v>
      </c>
      <c r="H645" s="75">
        <v>35111</v>
      </c>
      <c r="I645" s="76" t="str">
        <f>VLOOKUP(Tabelle2[[#This Row],[Artikel]],Produkte!A:B,2,0)</f>
        <v>M-ONE Sanitar Silikon</v>
      </c>
      <c r="J645" s="75">
        <v>12</v>
      </c>
      <c r="K645" s="76" t="str">
        <f>VLOOKUP(Tabelle2[[#This Row],[Kunden Nr.]],KUNDEN!A:G,7)</f>
        <v>Mensuri</v>
      </c>
      <c r="L645" s="76">
        <f>VLOOKUP(Tabelle2[[#This Row],[Artikel]],Produkte!A:H,8)</f>
        <v>0.17</v>
      </c>
    </row>
    <row r="646" spans="1:12" x14ac:dyDescent="0.2">
      <c r="A646" s="75" t="s">
        <v>618</v>
      </c>
      <c r="B646" s="79">
        <v>46057</v>
      </c>
      <c r="C646" s="75"/>
      <c r="D646" s="75"/>
      <c r="E646" s="75"/>
      <c r="F646" s="75">
        <v>20307</v>
      </c>
      <c r="G646" s="76" t="str">
        <f>VLOOKUP(Tabelle2[[#This Row],[Kunden Nr.]],KUNDEN!A:B,2,0)</f>
        <v>CONDOR</v>
      </c>
      <c r="H646" s="75">
        <v>35115</v>
      </c>
      <c r="I646" s="76" t="str">
        <f>VLOOKUP(Tabelle2[[#This Row],[Artikel]],Produkte!A:B,2,0)</f>
        <v>M-ONE Sanitar Silikon</v>
      </c>
      <c r="J646" s="75">
        <v>12</v>
      </c>
      <c r="K646" s="76" t="str">
        <f>VLOOKUP(Tabelle2[[#This Row],[Kunden Nr.]],KUNDEN!A:G,7)</f>
        <v>Mensuri</v>
      </c>
      <c r="L646" s="76">
        <f>VLOOKUP(Tabelle2[[#This Row],[Artikel]],Produkte!A:H,8)</f>
        <v>0.17</v>
      </c>
    </row>
    <row r="647" spans="1:12" x14ac:dyDescent="0.2">
      <c r="A647" s="75" t="s">
        <v>618</v>
      </c>
      <c r="B647" s="79">
        <v>46057</v>
      </c>
      <c r="C647" s="75"/>
      <c r="D647" s="75"/>
      <c r="E647" s="75"/>
      <c r="F647" s="75">
        <v>20307</v>
      </c>
      <c r="G647" s="76" t="str">
        <f>VLOOKUP(Tabelle2[[#This Row],[Kunden Nr.]],KUNDEN!A:B,2,0)</f>
        <v>CONDOR</v>
      </c>
      <c r="H647" s="75">
        <v>35128</v>
      </c>
      <c r="I647" s="76" t="str">
        <f>VLOOKUP(Tabelle2[[#This Row],[Artikel]],Produkte!A:B,2,0)</f>
        <v>M-ONE Sanitar Silikon</v>
      </c>
      <c r="J647" s="75">
        <v>12</v>
      </c>
      <c r="K647" s="76" t="str">
        <f>VLOOKUP(Tabelle2[[#This Row],[Kunden Nr.]],KUNDEN!A:G,7)</f>
        <v>Mensuri</v>
      </c>
      <c r="L647" s="76">
        <f>VLOOKUP(Tabelle2[[#This Row],[Artikel]],Produkte!A:H,8)</f>
        <v>0.17</v>
      </c>
    </row>
    <row r="648" spans="1:12" x14ac:dyDescent="0.2">
      <c r="A648" s="75" t="s">
        <v>618</v>
      </c>
      <c r="B648" s="79">
        <v>46057</v>
      </c>
      <c r="C648" s="75"/>
      <c r="D648" s="75"/>
      <c r="E648" s="75"/>
      <c r="F648" s="75">
        <v>20307</v>
      </c>
      <c r="G648" s="76" t="str">
        <f>VLOOKUP(Tabelle2[[#This Row],[Kunden Nr.]],KUNDEN!A:B,2,0)</f>
        <v>CONDOR</v>
      </c>
      <c r="H648" s="75">
        <v>51612</v>
      </c>
      <c r="I648" s="76" t="str">
        <f>VLOOKUP(Tabelle2[[#This Row],[Artikel]],Produkte!A:B,2,0)</f>
        <v>struktural akryl</v>
      </c>
      <c r="J648" s="75">
        <v>24</v>
      </c>
      <c r="K648" s="76" t="str">
        <f>VLOOKUP(Tabelle2[[#This Row],[Kunden Nr.]],KUNDEN!A:G,7)</f>
        <v>Mensuri</v>
      </c>
      <c r="L648" s="76">
        <f>VLOOKUP(Tabelle2[[#This Row],[Artikel]],Produkte!A:H,8)</f>
        <v>0.06</v>
      </c>
    </row>
    <row r="649" spans="1:12" x14ac:dyDescent="0.2">
      <c r="A649" s="75" t="s">
        <v>618</v>
      </c>
      <c r="B649" s="79">
        <v>46057</v>
      </c>
      <c r="C649" s="75"/>
      <c r="D649" s="75"/>
      <c r="E649" s="75"/>
      <c r="F649" s="75">
        <v>20307</v>
      </c>
      <c r="G649" s="76" t="str">
        <f>VLOOKUP(Tabelle2[[#This Row],[Kunden Nr.]],KUNDEN!A:B,2,0)</f>
        <v>CONDOR</v>
      </c>
      <c r="H649" s="75">
        <v>49644</v>
      </c>
      <c r="I649" s="76" t="str">
        <f>VLOOKUP(Tabelle2[[#This Row],[Artikel]],Produkte!A:B,2,0)</f>
        <v>beMAKER Rostlöser</v>
      </c>
      <c r="J649" s="75">
        <v>6</v>
      </c>
      <c r="K649" s="76" t="str">
        <f>VLOOKUP(Tabelle2[[#This Row],[Kunden Nr.]],KUNDEN!A:G,7)</f>
        <v>Mensuri</v>
      </c>
      <c r="L649" s="76">
        <f>VLOOKUP(Tabelle2[[#This Row],[Artikel]],Produkte!A:H,8)</f>
        <v>0.2</v>
      </c>
    </row>
    <row r="650" spans="1:12" x14ac:dyDescent="0.2">
      <c r="A650" s="75" t="s">
        <v>615</v>
      </c>
      <c r="B650" s="79">
        <v>46057</v>
      </c>
      <c r="C650" s="89">
        <v>116.4</v>
      </c>
      <c r="D650" s="75"/>
      <c r="E650" s="75"/>
      <c r="F650" s="75">
        <v>20304</v>
      </c>
      <c r="G650" s="76" t="str">
        <f>VLOOKUP(Tabelle2[[#This Row],[Kunden Nr.]],KUNDEN!A:B,2,0)</f>
        <v>AGRO-FARM</v>
      </c>
      <c r="H650" s="75">
        <v>35110</v>
      </c>
      <c r="I650" s="76" t="str">
        <f>VLOOKUP(Tabelle2[[#This Row],[Artikel]],Produkte!A:B,2,0)</f>
        <v>M-ONE Sanitar Silikon</v>
      </c>
      <c r="J650" s="75">
        <v>12</v>
      </c>
      <c r="K650" s="76" t="str">
        <f>VLOOKUP(Tabelle2[[#This Row],[Kunden Nr.]],KUNDEN!A:G,7)</f>
        <v>Mensuri</v>
      </c>
      <c r="L650" s="76">
        <f>VLOOKUP(Tabelle2[[#This Row],[Artikel]],Produkte!A:H,8)</f>
        <v>0.17</v>
      </c>
    </row>
    <row r="651" spans="1:12" x14ac:dyDescent="0.2">
      <c r="A651" s="75" t="s">
        <v>615</v>
      </c>
      <c r="B651" s="79">
        <v>46057</v>
      </c>
      <c r="C651" s="75"/>
      <c r="D651" s="75"/>
      <c r="E651" s="75"/>
      <c r="F651" s="75">
        <v>20304</v>
      </c>
      <c r="G651" s="76" t="str">
        <f>VLOOKUP(Tabelle2[[#This Row],[Kunden Nr.]],KUNDEN!A:B,2,0)</f>
        <v>AGRO-FARM</v>
      </c>
      <c r="H651" s="75">
        <v>35111</v>
      </c>
      <c r="I651" s="76" t="str">
        <f>VLOOKUP(Tabelle2[[#This Row],[Artikel]],Produkte!A:B,2,0)</f>
        <v>M-ONE Sanitar Silikon</v>
      </c>
      <c r="J651" s="75">
        <v>12</v>
      </c>
      <c r="K651" s="76" t="str">
        <f>VLOOKUP(Tabelle2[[#This Row],[Kunden Nr.]],KUNDEN!A:G,7)</f>
        <v>Mensuri</v>
      </c>
      <c r="L651" s="76">
        <f>VLOOKUP(Tabelle2[[#This Row],[Artikel]],Produkte!A:H,8)</f>
        <v>0.17</v>
      </c>
    </row>
    <row r="652" spans="1:12" x14ac:dyDescent="0.2">
      <c r="A652" s="75" t="s">
        <v>615</v>
      </c>
      <c r="B652" s="79">
        <v>46057</v>
      </c>
      <c r="C652" s="75"/>
      <c r="D652" s="75"/>
      <c r="E652" s="75"/>
      <c r="F652" s="75">
        <v>20304</v>
      </c>
      <c r="G652" s="76" t="str">
        <f>VLOOKUP(Tabelle2[[#This Row],[Kunden Nr.]],KUNDEN!A:B,2,0)</f>
        <v>AGRO-FARM</v>
      </c>
      <c r="H652" s="75">
        <v>37112</v>
      </c>
      <c r="I652" s="76" t="str">
        <f>VLOOKUP(Tabelle2[[#This Row],[Artikel]],Produkte!A:B,2,0)</f>
        <v>M ONE BLACK</v>
      </c>
      <c r="J652" s="75">
        <v>60</v>
      </c>
      <c r="K652" s="76" t="str">
        <f>VLOOKUP(Tabelle2[[#This Row],[Kunden Nr.]],KUNDEN!A:G,7)</f>
        <v>Mensuri</v>
      </c>
      <c r="L652" s="76">
        <f>VLOOKUP(Tabelle2[[#This Row],[Artikel]],Produkte!A:H,8)</f>
        <v>0.05</v>
      </c>
    </row>
    <row r="653" spans="1:12" x14ac:dyDescent="0.2">
      <c r="A653" s="75" t="s">
        <v>626</v>
      </c>
      <c r="B653" s="79">
        <v>46057</v>
      </c>
      <c r="C653" s="89">
        <v>98.4</v>
      </c>
      <c r="D653" s="75"/>
      <c r="E653" s="75"/>
      <c r="F653" s="75">
        <v>20317</v>
      </c>
      <c r="G653" s="76" t="str">
        <f>VLOOKUP(Tabelle2[[#This Row],[Kunden Nr.]],KUNDEN!A:B,2,0)</f>
        <v>SHEHU-A</v>
      </c>
      <c r="H653" s="75">
        <v>50912</v>
      </c>
      <c r="I653" s="76" t="str">
        <f>VLOOKUP(Tabelle2[[#This Row],[Artikel]],Produkte!A:B,2,0)</f>
        <v>DICHTUNG</v>
      </c>
      <c r="J653" s="75">
        <v>12</v>
      </c>
      <c r="K653" s="76" t="str">
        <f>VLOOKUP(Tabelle2[[#This Row],[Kunden Nr.]],KUNDEN!A:G,7)</f>
        <v>Mensuri</v>
      </c>
      <c r="L653" s="76">
        <f>VLOOKUP(Tabelle2[[#This Row],[Artikel]],Produkte!A:H,8)</f>
        <v>0.2</v>
      </c>
    </row>
    <row r="654" spans="1:12" x14ac:dyDescent="0.2">
      <c r="A654" s="75" t="s">
        <v>626</v>
      </c>
      <c r="B654" s="79">
        <v>46057</v>
      </c>
      <c r="C654" s="75"/>
      <c r="D654" s="75"/>
      <c r="E654" s="75"/>
      <c r="F654" s="75">
        <v>20317</v>
      </c>
      <c r="G654" s="76" t="str">
        <f>VLOOKUP(Tabelle2[[#This Row],[Kunden Nr.]],KUNDEN!A:B,2,0)</f>
        <v>SHEHU-A</v>
      </c>
      <c r="H654" s="75">
        <v>49644</v>
      </c>
      <c r="I654" s="76" t="str">
        <f>VLOOKUP(Tabelle2[[#This Row],[Artikel]],Produkte!A:B,2,0)</f>
        <v>beMAKER Rostlöser</v>
      </c>
      <c r="J654" s="75">
        <v>6</v>
      </c>
      <c r="K654" s="76" t="str">
        <f>VLOOKUP(Tabelle2[[#This Row],[Kunden Nr.]],KUNDEN!A:G,7)</f>
        <v>Mensuri</v>
      </c>
      <c r="L654" s="76">
        <f>VLOOKUP(Tabelle2[[#This Row],[Artikel]],Produkte!A:H,8)</f>
        <v>0.2</v>
      </c>
    </row>
    <row r="655" spans="1:12" x14ac:dyDescent="0.2">
      <c r="A655" s="75" t="s">
        <v>949</v>
      </c>
      <c r="B655" s="79">
        <v>46057</v>
      </c>
      <c r="C655" s="89">
        <v>84.6</v>
      </c>
      <c r="D655" s="75"/>
      <c r="E655" s="75"/>
      <c r="F655" s="75">
        <v>20311</v>
      </c>
      <c r="G655" s="76" t="str">
        <f>VLOOKUP(Tabelle2[[#This Row],[Kunden Nr.]],KUNDEN!A:B,2,0)</f>
        <v>SOPAJ</v>
      </c>
      <c r="H655" s="75">
        <v>66701</v>
      </c>
      <c r="I655" s="76" t="str">
        <f>VLOOKUP(Tabelle2[[#This Row],[Artikel]],Produkte!A:B,2,0)</f>
        <v>PROFIMONT EXTREME</v>
      </c>
      <c r="J655" s="75">
        <v>12</v>
      </c>
      <c r="K655" s="76" t="str">
        <f>VLOOKUP(Tabelle2[[#This Row],[Kunden Nr.]],KUNDEN!A:G,7)</f>
        <v>Mensuri</v>
      </c>
      <c r="L655" s="76">
        <f>VLOOKUP(Tabelle2[[#This Row],[Artikel]],Produkte!A:H,8)</f>
        <v>0.2</v>
      </c>
    </row>
    <row r="656" spans="1:12" x14ac:dyDescent="0.2">
      <c r="A656" s="75" t="s">
        <v>949</v>
      </c>
      <c r="B656" s="79">
        <v>46057</v>
      </c>
      <c r="C656" s="75"/>
      <c r="D656" s="75"/>
      <c r="E656" s="75"/>
      <c r="F656" s="75">
        <v>20311</v>
      </c>
      <c r="G656" s="76" t="str">
        <f>VLOOKUP(Tabelle2[[#This Row],[Kunden Nr.]],KUNDEN!A:B,2,0)</f>
        <v>SOPAJ</v>
      </c>
      <c r="H656" s="75">
        <v>51611</v>
      </c>
      <c r="I656" s="76" t="str">
        <f>VLOOKUP(Tabelle2[[#This Row],[Artikel]],Produkte!A:B,2,0)</f>
        <v>universal akryl</v>
      </c>
      <c r="J656" s="75">
        <v>12</v>
      </c>
      <c r="K656" s="76" t="str">
        <f>VLOOKUP(Tabelle2[[#This Row],[Kunden Nr.]],KUNDEN!A:G,7)</f>
        <v>Mensuri</v>
      </c>
      <c r="L656" s="76">
        <f>VLOOKUP(Tabelle2[[#This Row],[Artikel]],Produkte!A:H,8)</f>
        <v>0.06</v>
      </c>
    </row>
    <row r="657" spans="1:12" x14ac:dyDescent="0.2">
      <c r="A657" s="75" t="s">
        <v>1184</v>
      </c>
      <c r="B657" s="79">
        <v>46057</v>
      </c>
      <c r="C657" s="89">
        <v>91.2</v>
      </c>
      <c r="D657" s="75"/>
      <c r="E657" s="75"/>
      <c r="F657" s="75">
        <v>20330</v>
      </c>
      <c r="G657" s="76" t="str">
        <f>VLOOKUP(Tabelle2[[#This Row],[Kunden Nr.]],KUNDEN!A:B,2,0)</f>
        <v>GASHI</v>
      </c>
      <c r="H657" s="75">
        <v>35110</v>
      </c>
      <c r="I657" s="76" t="str">
        <f>VLOOKUP(Tabelle2[[#This Row],[Artikel]],Produkte!A:B,2,0)</f>
        <v>M-ONE Sanitar Silikon</v>
      </c>
      <c r="J657" s="75">
        <v>12</v>
      </c>
      <c r="K657" s="76" t="str">
        <f>VLOOKUP(Tabelle2[[#This Row],[Kunden Nr.]],KUNDEN!A:G,7)</f>
        <v>Mensuri</v>
      </c>
      <c r="L657" s="76">
        <f>VLOOKUP(Tabelle2[[#This Row],[Artikel]],Produkte!A:H,8)</f>
        <v>0.17</v>
      </c>
    </row>
    <row r="658" spans="1:12" x14ac:dyDescent="0.2">
      <c r="A658" s="75" t="s">
        <v>1184</v>
      </c>
      <c r="B658" s="79">
        <v>46057</v>
      </c>
      <c r="C658" s="75"/>
      <c r="D658" s="75"/>
      <c r="E658" s="75"/>
      <c r="F658" s="75">
        <v>20330</v>
      </c>
      <c r="G658" s="76" t="str">
        <f>VLOOKUP(Tabelle2[[#This Row],[Kunden Nr.]],KUNDEN!A:B,2,0)</f>
        <v>GASHI</v>
      </c>
      <c r="H658" s="75">
        <v>51611</v>
      </c>
      <c r="I658" s="76" t="str">
        <f>VLOOKUP(Tabelle2[[#This Row],[Artikel]],Produkte!A:B,2,0)</f>
        <v>universal akryl</v>
      </c>
      <c r="J658" s="75">
        <v>36</v>
      </c>
      <c r="K658" s="76" t="str">
        <f>VLOOKUP(Tabelle2[[#This Row],[Kunden Nr.]],KUNDEN!A:G,7)</f>
        <v>Mensuri</v>
      </c>
      <c r="L658" s="76">
        <f>VLOOKUP(Tabelle2[[#This Row],[Artikel]],Produkte!A:H,8)</f>
        <v>0.06</v>
      </c>
    </row>
    <row r="659" spans="1:12" x14ac:dyDescent="0.2">
      <c r="A659" s="75" t="s">
        <v>903</v>
      </c>
      <c r="B659" s="79">
        <v>46058</v>
      </c>
      <c r="C659" s="89">
        <v>92.4</v>
      </c>
      <c r="D659" s="75"/>
      <c r="E659" s="75"/>
      <c r="F659" s="75">
        <v>10428</v>
      </c>
      <c r="G659" s="76" t="str">
        <f>VLOOKUP(Tabelle2[[#This Row],[Kunden Nr.]],KUNDEN!A:B,2,0)</f>
        <v>ENISI - H</v>
      </c>
      <c r="H659" s="75">
        <v>35111</v>
      </c>
      <c r="I659" s="76" t="str">
        <f>VLOOKUP(Tabelle2[[#This Row],[Artikel]],Produkte!A:B,2,0)</f>
        <v>M-ONE Sanitar Silikon</v>
      </c>
      <c r="J659" s="75">
        <v>12</v>
      </c>
      <c r="K659" s="76" t="str">
        <f>VLOOKUP(Tabelle2[[#This Row],[Kunden Nr.]],KUNDEN!A:G,7)</f>
        <v>Qerimi</v>
      </c>
      <c r="L659" s="76">
        <f>VLOOKUP(Tabelle2[[#This Row],[Artikel]],Produkte!A:H,8)</f>
        <v>0.17</v>
      </c>
    </row>
    <row r="660" spans="1:12" x14ac:dyDescent="0.2">
      <c r="A660" s="75" t="s">
        <v>903</v>
      </c>
      <c r="B660" s="79">
        <v>46058</v>
      </c>
      <c r="C660" s="75"/>
      <c r="D660" s="75"/>
      <c r="E660" s="75"/>
      <c r="F660" s="75">
        <v>10428</v>
      </c>
      <c r="G660" s="76" t="str">
        <f>VLOOKUP(Tabelle2[[#This Row],[Kunden Nr.]],KUNDEN!A:B,2,0)</f>
        <v>ENISI - H</v>
      </c>
      <c r="H660" s="75">
        <v>35112</v>
      </c>
      <c r="I660" s="76" t="str">
        <f>VLOOKUP(Tabelle2[[#This Row],[Artikel]],Produkte!A:B,2,0)</f>
        <v>M-ONE Sanitar Silikon</v>
      </c>
      <c r="J660" s="75">
        <v>12</v>
      </c>
      <c r="K660" s="76" t="str">
        <f>VLOOKUP(Tabelle2[[#This Row],[Kunden Nr.]],KUNDEN!A:G,7)</f>
        <v>Qerimi</v>
      </c>
      <c r="L660" s="76">
        <f>VLOOKUP(Tabelle2[[#This Row],[Artikel]],Produkte!A:H,8)</f>
        <v>0.17</v>
      </c>
    </row>
    <row r="661" spans="1:12" x14ac:dyDescent="0.2">
      <c r="A661" s="75" t="s">
        <v>550</v>
      </c>
      <c r="B661" s="79">
        <v>46058</v>
      </c>
      <c r="C661" s="89">
        <v>46.2</v>
      </c>
      <c r="D661" s="75"/>
      <c r="E661" s="75"/>
      <c r="F661" s="75">
        <v>10410</v>
      </c>
      <c r="G661" s="76" t="str">
        <f>VLOOKUP(Tabelle2[[#This Row],[Kunden Nr.]],KUNDEN!A:B,2,0)</f>
        <v>GRANITI</v>
      </c>
      <c r="H661" s="75">
        <v>35109</v>
      </c>
      <c r="I661" s="76" t="str">
        <f>VLOOKUP(Tabelle2[[#This Row],[Artikel]],Produkte!A:B,2,0)</f>
        <v>M-ONE Sanitar Silikon</v>
      </c>
      <c r="J661" s="75">
        <v>12</v>
      </c>
      <c r="K661" s="76" t="str">
        <f>VLOOKUP(Tabelle2[[#This Row],[Kunden Nr.]],KUNDEN!A:G,7)</f>
        <v>Qerimi</v>
      </c>
      <c r="L661" s="76">
        <f>VLOOKUP(Tabelle2[[#This Row],[Artikel]],Produkte!A:H,8)</f>
        <v>0.17</v>
      </c>
    </row>
    <row r="662" spans="1:12" x14ac:dyDescent="0.2">
      <c r="A662" s="75" t="s">
        <v>553</v>
      </c>
      <c r="B662" s="79">
        <v>46058</v>
      </c>
      <c r="C662" s="89">
        <v>102.4</v>
      </c>
      <c r="D662" s="75"/>
      <c r="E662" s="75"/>
      <c r="F662" s="75">
        <v>10413</v>
      </c>
      <c r="G662" s="76" t="str">
        <f>VLOOKUP(Tabelle2[[#This Row],[Kunden Nr.]],KUNDEN!A:B,2,0)</f>
        <v>UNIVERZAL</v>
      </c>
      <c r="H662" s="75">
        <v>35110</v>
      </c>
      <c r="I662" s="76" t="str">
        <f>VLOOKUP(Tabelle2[[#This Row],[Artikel]],Produkte!A:B,2,0)</f>
        <v>M-ONE Sanitar Silikon</v>
      </c>
      <c r="J662" s="75">
        <v>12</v>
      </c>
      <c r="K662" s="76" t="str">
        <f>VLOOKUP(Tabelle2[[#This Row],[Kunden Nr.]],KUNDEN!A:G,7)</f>
        <v>Qerimi</v>
      </c>
      <c r="L662" s="76">
        <f>VLOOKUP(Tabelle2[[#This Row],[Artikel]],Produkte!A:H,8)</f>
        <v>0.17</v>
      </c>
    </row>
    <row r="663" spans="1:12" x14ac:dyDescent="0.2">
      <c r="A663" s="75" t="s">
        <v>553</v>
      </c>
      <c r="B663" s="79">
        <v>46058</v>
      </c>
      <c r="C663" s="75"/>
      <c r="D663" s="75"/>
      <c r="E663" s="75"/>
      <c r="F663" s="75">
        <v>10413</v>
      </c>
      <c r="G663" s="76" t="str">
        <f>VLOOKUP(Tabelle2[[#This Row],[Kunden Nr.]],KUNDEN!A:B,2,0)</f>
        <v>UNIVERZAL</v>
      </c>
      <c r="H663" s="75">
        <v>35115</v>
      </c>
      <c r="I663" s="76" t="str">
        <f>VLOOKUP(Tabelle2[[#This Row],[Artikel]],Produkte!A:B,2,0)</f>
        <v>M-ONE Sanitar Silikon</v>
      </c>
      <c r="J663" s="75">
        <v>12</v>
      </c>
      <c r="K663" s="76" t="str">
        <f>VLOOKUP(Tabelle2[[#This Row],[Kunden Nr.]],KUNDEN!A:G,7)</f>
        <v>Qerimi</v>
      </c>
      <c r="L663" s="76">
        <f>VLOOKUP(Tabelle2[[#This Row],[Artikel]],Produkte!A:H,8)</f>
        <v>0.17</v>
      </c>
    </row>
    <row r="664" spans="1:12" x14ac:dyDescent="0.2">
      <c r="A664" s="75" t="s">
        <v>553</v>
      </c>
      <c r="B664" s="79">
        <v>46058</v>
      </c>
      <c r="C664" s="75"/>
      <c r="D664" s="75"/>
      <c r="E664" s="75"/>
      <c r="F664" s="75">
        <v>10413</v>
      </c>
      <c r="G664" s="76" t="str">
        <f>VLOOKUP(Tabelle2[[#This Row],[Kunden Nr.]],KUNDEN!A:B,2,0)</f>
        <v>UNIVERZAL</v>
      </c>
      <c r="H664" s="75">
        <v>54412</v>
      </c>
      <c r="I664" s="76" t="str">
        <f>VLOOKUP(Tabelle2[[#This Row],[Artikel]],Produkte!A:B,2,0)</f>
        <v>beMAKER Bremsen&amp;Teile Reininger</v>
      </c>
      <c r="J664" s="75">
        <v>5</v>
      </c>
      <c r="K664" s="76" t="str">
        <f>VLOOKUP(Tabelle2[[#This Row],[Kunden Nr.]],KUNDEN!A:G,7)</f>
        <v>Qerimi</v>
      </c>
      <c r="L664" s="76">
        <f>VLOOKUP(Tabelle2[[#This Row],[Artikel]],Produkte!A:H,8)</f>
        <v>0.2</v>
      </c>
    </row>
    <row r="665" spans="1:12" x14ac:dyDescent="0.2">
      <c r="A665" s="75" t="s">
        <v>558</v>
      </c>
      <c r="B665" s="79">
        <v>46058</v>
      </c>
      <c r="C665" s="89">
        <v>138.6</v>
      </c>
      <c r="D665" s="75"/>
      <c r="E665" s="75"/>
      <c r="F665" s="75">
        <v>10418</v>
      </c>
      <c r="G665" s="76" t="str">
        <f>VLOOKUP(Tabelle2[[#This Row],[Kunden Nr.]],KUNDEN!A:B,2,0)</f>
        <v>NDRIQIMI</v>
      </c>
      <c r="H665" s="75">
        <v>35128</v>
      </c>
      <c r="I665" s="76" t="str">
        <f>VLOOKUP(Tabelle2[[#This Row],[Artikel]],Produkte!A:B,2,0)</f>
        <v>M-ONE Sanitar Silikon</v>
      </c>
      <c r="J665" s="75">
        <v>12</v>
      </c>
      <c r="K665" s="76" t="str">
        <f>VLOOKUP(Tabelle2[[#This Row],[Kunden Nr.]],KUNDEN!A:G,7)</f>
        <v>Qerimi</v>
      </c>
      <c r="L665" s="76">
        <f>VLOOKUP(Tabelle2[[#This Row],[Artikel]],Produkte!A:H,8)</f>
        <v>0.17</v>
      </c>
    </row>
    <row r="666" spans="1:12" x14ac:dyDescent="0.2">
      <c r="A666" s="75" t="s">
        <v>558</v>
      </c>
      <c r="B666" s="79">
        <v>46058</v>
      </c>
      <c r="C666" s="75"/>
      <c r="D666" s="75"/>
      <c r="E666" s="75"/>
      <c r="F666" s="75">
        <v>10418</v>
      </c>
      <c r="G666" s="76" t="str">
        <f>VLOOKUP(Tabelle2[[#This Row],[Kunden Nr.]],KUNDEN!A:B,2,0)</f>
        <v>NDRIQIMI</v>
      </c>
      <c r="H666" s="75">
        <v>35113</v>
      </c>
      <c r="I666" s="76" t="str">
        <f>VLOOKUP(Tabelle2[[#This Row],[Artikel]],Produkte!A:B,2,0)</f>
        <v>M-ONE Sanitar Silikon</v>
      </c>
      <c r="J666" s="75">
        <v>12</v>
      </c>
      <c r="K666" s="76" t="str">
        <f>VLOOKUP(Tabelle2[[#This Row],[Kunden Nr.]],KUNDEN!A:G,7)</f>
        <v>Qerimi</v>
      </c>
      <c r="L666" s="76">
        <f>VLOOKUP(Tabelle2[[#This Row],[Artikel]],Produkte!A:H,8)</f>
        <v>0.17</v>
      </c>
    </row>
    <row r="667" spans="1:12" x14ac:dyDescent="0.2">
      <c r="A667" s="75" t="s">
        <v>558</v>
      </c>
      <c r="B667" s="79">
        <v>46058</v>
      </c>
      <c r="C667" s="75"/>
      <c r="D667" s="75"/>
      <c r="E667" s="75"/>
      <c r="F667" s="75">
        <v>10418</v>
      </c>
      <c r="G667" s="76" t="str">
        <f>VLOOKUP(Tabelle2[[#This Row],[Kunden Nr.]],KUNDEN!A:B,2,0)</f>
        <v>NDRIQIMI</v>
      </c>
      <c r="H667" s="75">
        <v>35115</v>
      </c>
      <c r="I667" s="76" t="str">
        <f>VLOOKUP(Tabelle2[[#This Row],[Artikel]],Produkte!A:B,2,0)</f>
        <v>M-ONE Sanitar Silikon</v>
      </c>
      <c r="J667" s="75">
        <v>12</v>
      </c>
      <c r="K667" s="76" t="str">
        <f>VLOOKUP(Tabelle2[[#This Row],[Kunden Nr.]],KUNDEN!A:G,7)</f>
        <v>Qerimi</v>
      </c>
      <c r="L667" s="76">
        <f>VLOOKUP(Tabelle2[[#This Row],[Artikel]],Produkte!A:H,8)</f>
        <v>0.17</v>
      </c>
    </row>
    <row r="668" spans="1:12" x14ac:dyDescent="0.2">
      <c r="A668" s="75" t="s">
        <v>1177</v>
      </c>
      <c r="B668" s="79">
        <v>46059</v>
      </c>
      <c r="C668" s="89">
        <v>96</v>
      </c>
      <c r="D668" s="75"/>
      <c r="E668" s="75"/>
      <c r="F668" s="75">
        <v>40017</v>
      </c>
      <c r="G668" s="76" t="str">
        <f>VLOOKUP(Tabelle2[[#This Row],[Kunden Nr.]],KUNDEN!A:B,2,0)</f>
        <v>YLLI CONSTRUCION</v>
      </c>
      <c r="H668" s="75">
        <v>35115</v>
      </c>
      <c r="I668" s="76" t="str">
        <f>VLOOKUP(Tabelle2[[#This Row],[Artikel]],Produkte!A:B,2,0)</f>
        <v>M-ONE Sanitar Silikon</v>
      </c>
      <c r="J668" s="75">
        <v>17</v>
      </c>
      <c r="K668" s="76">
        <f>VLOOKUP(Tabelle2[[#This Row],[Kunden Nr.]],KUNDEN!A:G,7)</f>
        <v>0</v>
      </c>
      <c r="L668" s="76">
        <f>VLOOKUP(Tabelle2[[#This Row],[Artikel]],Produkte!A:H,8)</f>
        <v>0.17</v>
      </c>
    </row>
    <row r="669" spans="1:12" x14ac:dyDescent="0.2">
      <c r="A669" s="75" t="s">
        <v>1177</v>
      </c>
      <c r="B669" s="79">
        <v>46059</v>
      </c>
      <c r="C669" s="75"/>
      <c r="D669" s="75"/>
      <c r="E669" s="75"/>
      <c r="F669" s="75">
        <v>40017</v>
      </c>
      <c r="G669" s="76" t="str">
        <f>VLOOKUP(Tabelle2[[#This Row],[Kunden Nr.]],KUNDEN!A:B,2,0)</f>
        <v>YLLI CONSTRUCION</v>
      </c>
      <c r="H669" s="75">
        <v>35109</v>
      </c>
      <c r="I669" s="76" t="str">
        <f>VLOOKUP(Tabelle2[[#This Row],[Artikel]],Produkte!A:B,2,0)</f>
        <v>M-ONE Sanitar Silikon</v>
      </c>
      <c r="J669" s="75">
        <v>5</v>
      </c>
      <c r="K669" s="76">
        <f>VLOOKUP(Tabelle2[[#This Row],[Kunden Nr.]],KUNDEN!A:G,7)</f>
        <v>0</v>
      </c>
      <c r="L669" s="76">
        <f>VLOOKUP(Tabelle2[[#This Row],[Artikel]],Produkte!A:H,8)</f>
        <v>0.17</v>
      </c>
    </row>
    <row r="670" spans="1:12" x14ac:dyDescent="0.2">
      <c r="A670" s="75" t="s">
        <v>1177</v>
      </c>
      <c r="B670" s="79">
        <v>46059</v>
      </c>
      <c r="C670" s="75"/>
      <c r="D670" s="75"/>
      <c r="E670" s="75"/>
      <c r="F670" s="75">
        <v>40017</v>
      </c>
      <c r="G670" s="76" t="str">
        <f>VLOOKUP(Tabelle2[[#This Row],[Kunden Nr.]],KUNDEN!A:B,2,0)</f>
        <v>YLLI CONSTRUCION</v>
      </c>
      <c r="H670" s="75">
        <v>35113</v>
      </c>
      <c r="I670" s="76" t="str">
        <f>VLOOKUP(Tabelle2[[#This Row],[Artikel]],Produkte!A:B,2,0)</f>
        <v>M-ONE Sanitar Silikon</v>
      </c>
      <c r="J670" s="75">
        <v>2</v>
      </c>
      <c r="K670" s="76">
        <f>VLOOKUP(Tabelle2[[#This Row],[Kunden Nr.]],KUNDEN!A:G,7)</f>
        <v>0</v>
      </c>
      <c r="L670" s="76">
        <f>VLOOKUP(Tabelle2[[#This Row],[Artikel]],Produkte!A:H,8)</f>
        <v>0.17</v>
      </c>
    </row>
    <row r="671" spans="1:12" x14ac:dyDescent="0.2">
      <c r="A671" s="75" t="s">
        <v>770</v>
      </c>
      <c r="B671" s="79">
        <v>46059</v>
      </c>
      <c r="C671" s="89">
        <v>227.5</v>
      </c>
      <c r="D671" s="75"/>
      <c r="E671" s="75"/>
      <c r="F671" s="75">
        <v>40003</v>
      </c>
      <c r="G671" s="76" t="str">
        <f>VLOOKUP(Tabelle2[[#This Row],[Kunden Nr.]],KUNDEN!A:B,2,0)</f>
        <v>ARBENI BIOBLIC</v>
      </c>
      <c r="H671" s="75">
        <v>20001</v>
      </c>
      <c r="I671" s="76" t="str">
        <f>VLOOKUP(Tabelle2[[#This Row],[Artikel]],Produkte!A:B,2,0)</f>
        <v>BioBlic Universalreiniger</v>
      </c>
      <c r="J671" s="75">
        <v>130</v>
      </c>
      <c r="K671" s="76">
        <f>VLOOKUP(Tabelle2[[#This Row],[Kunden Nr.]],KUNDEN!A:G,7)</f>
        <v>0</v>
      </c>
      <c r="L671" s="76">
        <f>VLOOKUP(Tabelle2[[#This Row],[Artikel]],Produkte!A:H,8)</f>
        <v>0.30000000000000004</v>
      </c>
    </row>
    <row r="672" spans="1:12" x14ac:dyDescent="0.2">
      <c r="A672" s="75" t="s">
        <v>770</v>
      </c>
      <c r="B672" s="79">
        <v>46059</v>
      </c>
      <c r="C672" s="75"/>
      <c r="D672" s="75"/>
      <c r="E672" s="75"/>
      <c r="F672" s="75">
        <v>40003</v>
      </c>
      <c r="G672" s="76" t="str">
        <f>VLOOKUP(Tabelle2[[#This Row],[Kunden Nr.]],KUNDEN!A:B,2,0)</f>
        <v>ARBENI BIOBLIC</v>
      </c>
      <c r="H672" s="75">
        <v>30275</v>
      </c>
      <c r="I672" s="76" t="str">
        <f>VLOOKUP(Tabelle2[[#This Row],[Artikel]],Produkte!A:B,2,0)</f>
        <v>Blic Blic Sanitärreiniger</v>
      </c>
      <c r="J672" s="75">
        <v>40</v>
      </c>
      <c r="K672" s="76">
        <f>VLOOKUP(Tabelle2[[#This Row],[Kunden Nr.]],KUNDEN!A:G,7)</f>
        <v>0</v>
      </c>
      <c r="L672" s="76">
        <f>VLOOKUP(Tabelle2[[#This Row],[Artikel]],Produkte!A:H,8)</f>
        <v>0.30000000000000004</v>
      </c>
    </row>
    <row r="673" spans="1:12" x14ac:dyDescent="0.2">
      <c r="A673" s="75" t="s">
        <v>770</v>
      </c>
      <c r="B673" s="79">
        <v>46059</v>
      </c>
      <c r="C673" s="75"/>
      <c r="D673" s="75"/>
      <c r="E673" s="75"/>
      <c r="F673" s="75">
        <v>40003</v>
      </c>
      <c r="G673" s="76" t="str">
        <f>VLOOKUP(Tabelle2[[#This Row],[Kunden Nr.]],KUNDEN!A:B,2,0)</f>
        <v>ARBENI BIOBLIC</v>
      </c>
      <c r="H673" s="75">
        <v>39505</v>
      </c>
      <c r="I673" s="76" t="str">
        <f>VLOOKUP(Tabelle2[[#This Row],[Artikel]],Produkte!A:B,2,0)</f>
        <v>M ONE SILIKON SPRAY</v>
      </c>
      <c r="J673" s="75">
        <v>4</v>
      </c>
      <c r="K673" s="76">
        <f>VLOOKUP(Tabelle2[[#This Row],[Kunden Nr.]],KUNDEN!A:G,7)</f>
        <v>0</v>
      </c>
      <c r="L673" s="76">
        <f>VLOOKUP(Tabelle2[[#This Row],[Artikel]],Produkte!A:H,8)</f>
        <v>0.2</v>
      </c>
    </row>
    <row r="674" spans="1:12" x14ac:dyDescent="0.2">
      <c r="A674" s="75" t="s">
        <v>486</v>
      </c>
      <c r="B674" s="79">
        <v>46059</v>
      </c>
      <c r="C674" s="89">
        <v>46.2</v>
      </c>
      <c r="D674" s="75"/>
      <c r="E674" s="75"/>
      <c r="F674" s="75">
        <v>10506</v>
      </c>
      <c r="G674" s="76" t="str">
        <f>VLOOKUP(Tabelle2[[#This Row],[Kunden Nr.]],KUNDEN!A:B,2,0)</f>
        <v>ARBERI</v>
      </c>
      <c r="H674" s="75">
        <v>35128</v>
      </c>
      <c r="I674" s="76" t="str">
        <f>VLOOKUP(Tabelle2[[#This Row],[Artikel]],Produkte!A:B,2,0)</f>
        <v>M-ONE Sanitar Silikon</v>
      </c>
      <c r="J674" s="75">
        <v>12</v>
      </c>
      <c r="K674" s="76" t="str">
        <f>VLOOKUP(Tabelle2[[#This Row],[Kunden Nr.]],KUNDEN!A:G,7)</f>
        <v>Qerimi</v>
      </c>
      <c r="L674" s="76">
        <f>VLOOKUP(Tabelle2[[#This Row],[Artikel]],Produkte!A:H,8)</f>
        <v>0.17</v>
      </c>
    </row>
    <row r="675" spans="1:12" x14ac:dyDescent="0.2">
      <c r="A675" s="75" t="s">
        <v>484</v>
      </c>
      <c r="B675" s="79">
        <v>46059</v>
      </c>
      <c r="C675" s="89">
        <v>92.4</v>
      </c>
      <c r="D675" s="75"/>
      <c r="E675" s="75"/>
      <c r="F675" s="75">
        <v>10504</v>
      </c>
      <c r="G675" s="76" t="str">
        <f>VLOOKUP(Tabelle2[[#This Row],[Kunden Nr.]],KUNDEN!A:B,2,0)</f>
        <v>CARRALEVA 1</v>
      </c>
      <c r="H675" s="75">
        <v>35121</v>
      </c>
      <c r="I675" s="76" t="str">
        <f>VLOOKUP(Tabelle2[[#This Row],[Artikel]],Produkte!A:B,2,0)</f>
        <v>M-ONE Sanitar Silikon</v>
      </c>
      <c r="J675" s="75">
        <v>12</v>
      </c>
      <c r="K675" s="76" t="str">
        <f>VLOOKUP(Tabelle2[[#This Row],[Kunden Nr.]],KUNDEN!A:G,7)</f>
        <v>Qerimi</v>
      </c>
      <c r="L675" s="76">
        <f>VLOOKUP(Tabelle2[[#This Row],[Artikel]],Produkte!A:H,8)</f>
        <v>0.17</v>
      </c>
    </row>
    <row r="676" spans="1:12" x14ac:dyDescent="0.2">
      <c r="A676" s="75" t="s">
        <v>484</v>
      </c>
      <c r="B676" s="79">
        <v>46059</v>
      </c>
      <c r="C676" s="75"/>
      <c r="D676" s="75"/>
      <c r="E676" s="75"/>
      <c r="F676" s="75">
        <v>10504</v>
      </c>
      <c r="G676" s="76" t="str">
        <f>VLOOKUP(Tabelle2[[#This Row],[Kunden Nr.]],KUNDEN!A:B,2,0)</f>
        <v>CARRALEVA 1</v>
      </c>
      <c r="H676" s="75">
        <v>35128</v>
      </c>
      <c r="I676" s="76" t="str">
        <f>VLOOKUP(Tabelle2[[#This Row],[Artikel]],Produkte!A:B,2,0)</f>
        <v>M-ONE Sanitar Silikon</v>
      </c>
      <c r="J676" s="75">
        <v>12</v>
      </c>
      <c r="K676" s="76" t="str">
        <f>VLOOKUP(Tabelle2[[#This Row],[Kunden Nr.]],KUNDEN!A:G,7)</f>
        <v>Qerimi</v>
      </c>
      <c r="L676" s="76">
        <f>VLOOKUP(Tabelle2[[#This Row],[Artikel]],Produkte!A:H,8)</f>
        <v>0.17</v>
      </c>
    </row>
    <row r="677" spans="1:12" x14ac:dyDescent="0.2">
      <c r="A677" s="75" t="s">
        <v>435</v>
      </c>
      <c r="B677" s="79">
        <v>46059</v>
      </c>
      <c r="C677" s="89">
        <v>53.2</v>
      </c>
      <c r="D677" s="75"/>
      <c r="E677" s="75"/>
      <c r="F677" s="75">
        <v>10509</v>
      </c>
      <c r="G677" s="76" t="str">
        <f>VLOOKUP(Tabelle2[[#This Row],[Kunden Nr.]],KUNDEN!A:B,2,0)</f>
        <v>LONI</v>
      </c>
      <c r="H677" s="75">
        <v>50912</v>
      </c>
      <c r="I677" s="76" t="str">
        <f>VLOOKUP(Tabelle2[[#This Row],[Artikel]],Produkte!A:B,2,0)</f>
        <v>DICHTUNG</v>
      </c>
      <c r="J677" s="75">
        <v>6</v>
      </c>
      <c r="K677" s="76" t="str">
        <f>VLOOKUP(Tabelle2[[#This Row],[Kunden Nr.]],KUNDEN!A:G,7)</f>
        <v>Qerimi</v>
      </c>
      <c r="L677" s="76">
        <f>VLOOKUP(Tabelle2[[#This Row],[Artikel]],Produkte!A:H,8)</f>
        <v>0.2</v>
      </c>
    </row>
    <row r="678" spans="1:12" x14ac:dyDescent="0.2">
      <c r="A678" s="75" t="s">
        <v>435</v>
      </c>
      <c r="B678" s="79">
        <v>46059</v>
      </c>
      <c r="C678" s="75"/>
      <c r="D678" s="75"/>
      <c r="E678" s="75"/>
      <c r="F678" s="75">
        <v>10509</v>
      </c>
      <c r="G678" s="76" t="str">
        <f>VLOOKUP(Tabelle2[[#This Row],[Kunden Nr.]],KUNDEN!A:B,2,0)</f>
        <v>LONI</v>
      </c>
      <c r="H678" s="75">
        <v>49644</v>
      </c>
      <c r="I678" s="76" t="str">
        <f>VLOOKUP(Tabelle2[[#This Row],[Artikel]],Produkte!A:B,2,0)</f>
        <v>beMAKER Rostlöser</v>
      </c>
      <c r="J678" s="75">
        <v>5</v>
      </c>
      <c r="K678" s="76" t="str">
        <f>VLOOKUP(Tabelle2[[#This Row],[Kunden Nr.]],KUNDEN!A:G,7)</f>
        <v>Qerimi</v>
      </c>
      <c r="L678" s="76">
        <f>VLOOKUP(Tabelle2[[#This Row],[Artikel]],Produkte!A:H,8)</f>
        <v>0.2</v>
      </c>
    </row>
    <row r="679" spans="1:12" x14ac:dyDescent="0.2">
      <c r="A679" s="75" t="s">
        <v>487</v>
      </c>
      <c r="B679" s="79">
        <v>46059</v>
      </c>
      <c r="C679" s="89">
        <v>231</v>
      </c>
      <c r="D679" s="75"/>
      <c r="E679" s="75"/>
      <c r="F679" s="75">
        <v>10507</v>
      </c>
      <c r="G679" s="76" t="str">
        <f>VLOOKUP(Tabelle2[[#This Row],[Kunden Nr.]],KUNDEN!A:B,2,0)</f>
        <v>REAL COLOR 2</v>
      </c>
      <c r="H679" s="75">
        <v>35110</v>
      </c>
      <c r="I679" s="76" t="str">
        <f>VLOOKUP(Tabelle2[[#This Row],[Artikel]],Produkte!A:B,2,0)</f>
        <v>M-ONE Sanitar Silikon</v>
      </c>
      <c r="J679" s="75">
        <v>12</v>
      </c>
      <c r="K679" s="76" t="str">
        <f>VLOOKUP(Tabelle2[[#This Row],[Kunden Nr.]],KUNDEN!A:G,7)</f>
        <v>Qerimi</v>
      </c>
      <c r="L679" s="76">
        <f>VLOOKUP(Tabelle2[[#This Row],[Artikel]],Produkte!A:H,8)</f>
        <v>0.17</v>
      </c>
    </row>
    <row r="680" spans="1:12" x14ac:dyDescent="0.2">
      <c r="A680" s="75" t="s">
        <v>487</v>
      </c>
      <c r="B680" s="79">
        <v>46059</v>
      </c>
      <c r="C680" s="75"/>
      <c r="D680" s="75"/>
      <c r="E680" s="75"/>
      <c r="F680" s="75">
        <v>10507</v>
      </c>
      <c r="G680" s="76" t="str">
        <f>VLOOKUP(Tabelle2[[#This Row],[Kunden Nr.]],KUNDEN!A:B,2,0)</f>
        <v>REAL COLOR 2</v>
      </c>
      <c r="H680" s="75">
        <v>35111</v>
      </c>
      <c r="I680" s="76" t="str">
        <f>VLOOKUP(Tabelle2[[#This Row],[Artikel]],Produkte!A:B,2,0)</f>
        <v>M-ONE Sanitar Silikon</v>
      </c>
      <c r="J680" s="75">
        <v>12</v>
      </c>
      <c r="K680" s="76" t="str">
        <f>VLOOKUP(Tabelle2[[#This Row],[Kunden Nr.]],KUNDEN!A:G,7)</f>
        <v>Qerimi</v>
      </c>
      <c r="L680" s="76">
        <f>VLOOKUP(Tabelle2[[#This Row],[Artikel]],Produkte!A:H,8)</f>
        <v>0.17</v>
      </c>
    </row>
    <row r="681" spans="1:12" x14ac:dyDescent="0.2">
      <c r="A681" s="75" t="s">
        <v>487</v>
      </c>
      <c r="B681" s="79">
        <v>46059</v>
      </c>
      <c r="C681" s="75"/>
      <c r="D681" s="75"/>
      <c r="E681" s="75"/>
      <c r="F681" s="75">
        <v>10507</v>
      </c>
      <c r="G681" s="76" t="str">
        <f>VLOOKUP(Tabelle2[[#This Row],[Kunden Nr.]],KUNDEN!A:B,2,0)</f>
        <v>REAL COLOR 2</v>
      </c>
      <c r="H681" s="75">
        <v>35113</v>
      </c>
      <c r="I681" s="76" t="str">
        <f>VLOOKUP(Tabelle2[[#This Row],[Artikel]],Produkte!A:B,2,0)</f>
        <v>M-ONE Sanitar Silikon</v>
      </c>
      <c r="J681" s="75">
        <v>12</v>
      </c>
      <c r="K681" s="76" t="str">
        <f>VLOOKUP(Tabelle2[[#This Row],[Kunden Nr.]],KUNDEN!A:G,7)</f>
        <v>Qerimi</v>
      </c>
      <c r="L681" s="76">
        <f>VLOOKUP(Tabelle2[[#This Row],[Artikel]],Produkte!A:H,8)</f>
        <v>0.17</v>
      </c>
    </row>
    <row r="682" spans="1:12" x14ac:dyDescent="0.2">
      <c r="A682" s="75" t="s">
        <v>487</v>
      </c>
      <c r="B682" s="79">
        <v>46059</v>
      </c>
      <c r="C682" s="75"/>
      <c r="D682" s="75"/>
      <c r="E682" s="75"/>
      <c r="F682" s="75">
        <v>10507</v>
      </c>
      <c r="G682" s="76" t="str">
        <f>VLOOKUP(Tabelle2[[#This Row],[Kunden Nr.]],KUNDEN!A:B,2,0)</f>
        <v>REAL COLOR 2</v>
      </c>
      <c r="H682" s="75">
        <v>35128</v>
      </c>
      <c r="I682" s="76" t="str">
        <f>VLOOKUP(Tabelle2[[#This Row],[Artikel]],Produkte!A:B,2,0)</f>
        <v>M-ONE Sanitar Silikon</v>
      </c>
      <c r="J682" s="75">
        <v>12</v>
      </c>
      <c r="K682" s="76" t="str">
        <f>VLOOKUP(Tabelle2[[#This Row],[Kunden Nr.]],KUNDEN!A:G,7)</f>
        <v>Qerimi</v>
      </c>
      <c r="L682" s="76">
        <f>VLOOKUP(Tabelle2[[#This Row],[Artikel]],Produkte!A:H,8)</f>
        <v>0.17</v>
      </c>
    </row>
    <row r="683" spans="1:12" x14ac:dyDescent="0.2">
      <c r="A683" s="75" t="s">
        <v>487</v>
      </c>
      <c r="B683" s="79">
        <v>46059</v>
      </c>
      <c r="C683" s="75"/>
      <c r="D683" s="75"/>
      <c r="E683" s="75"/>
      <c r="F683" s="75">
        <v>10507</v>
      </c>
      <c r="G683" s="76" t="str">
        <f>VLOOKUP(Tabelle2[[#This Row],[Kunden Nr.]],KUNDEN!A:B,2,0)</f>
        <v>REAL COLOR 2</v>
      </c>
      <c r="H683" s="75">
        <v>35109</v>
      </c>
      <c r="I683" s="76" t="str">
        <f>VLOOKUP(Tabelle2[[#This Row],[Artikel]],Produkte!A:B,2,0)</f>
        <v>M-ONE Sanitar Silikon</v>
      </c>
      <c r="J683" s="75">
        <v>12</v>
      </c>
      <c r="K683" s="76" t="str">
        <f>VLOOKUP(Tabelle2[[#This Row],[Kunden Nr.]],KUNDEN!A:G,7)</f>
        <v>Qerimi</v>
      </c>
      <c r="L683" s="76">
        <f>VLOOKUP(Tabelle2[[#This Row],[Artikel]],Produkte!A:H,8)</f>
        <v>0.17</v>
      </c>
    </row>
    <row r="684" spans="1:12" x14ac:dyDescent="0.2">
      <c r="A684" s="75" t="s">
        <v>482</v>
      </c>
      <c r="B684" s="79">
        <v>46059</v>
      </c>
      <c r="C684" s="89">
        <v>92.4</v>
      </c>
      <c r="D684" s="75"/>
      <c r="E684" s="75"/>
      <c r="F684" s="75">
        <v>10502</v>
      </c>
      <c r="G684" s="76" t="str">
        <f>VLOOKUP(Tabelle2[[#This Row],[Kunden Nr.]],KUNDEN!A:B,2,0)</f>
        <v>PROCOM</v>
      </c>
      <c r="H684" s="75">
        <v>35111</v>
      </c>
      <c r="I684" s="76" t="str">
        <f>VLOOKUP(Tabelle2[[#This Row],[Artikel]],Produkte!A:B,2,0)</f>
        <v>M-ONE Sanitar Silikon</v>
      </c>
      <c r="J684" s="75">
        <v>12</v>
      </c>
      <c r="K684" s="76" t="str">
        <f>VLOOKUP(Tabelle2[[#This Row],[Kunden Nr.]],KUNDEN!A:G,7)</f>
        <v>Qerimi</v>
      </c>
      <c r="L684" s="76">
        <f>VLOOKUP(Tabelle2[[#This Row],[Artikel]],Produkte!A:H,8)</f>
        <v>0.17</v>
      </c>
    </row>
    <row r="685" spans="1:12" x14ac:dyDescent="0.2">
      <c r="A685" s="75" t="s">
        <v>482</v>
      </c>
      <c r="B685" s="79">
        <v>46059</v>
      </c>
      <c r="C685" s="75"/>
      <c r="D685" s="75"/>
      <c r="E685" s="75"/>
      <c r="F685" s="75">
        <v>10502</v>
      </c>
      <c r="G685" s="76" t="str">
        <f>VLOOKUP(Tabelle2[[#This Row],[Kunden Nr.]],KUNDEN!A:B,2,0)</f>
        <v>PROCOM</v>
      </c>
      <c r="H685" s="75">
        <v>35113</v>
      </c>
      <c r="I685" s="76" t="str">
        <f>VLOOKUP(Tabelle2[[#This Row],[Artikel]],Produkte!A:B,2,0)</f>
        <v>M-ONE Sanitar Silikon</v>
      </c>
      <c r="J685" s="75">
        <v>12</v>
      </c>
      <c r="K685" s="76" t="str">
        <f>VLOOKUP(Tabelle2[[#This Row],[Kunden Nr.]],KUNDEN!A:G,7)</f>
        <v>Qerimi</v>
      </c>
      <c r="L685" s="76">
        <f>VLOOKUP(Tabelle2[[#This Row],[Artikel]],Produkte!A:H,8)</f>
        <v>0.17</v>
      </c>
    </row>
    <row r="686" spans="1:12" x14ac:dyDescent="0.2">
      <c r="A686" s="75" t="s">
        <v>453</v>
      </c>
      <c r="B686" s="79">
        <v>46059</v>
      </c>
      <c r="C686" s="89">
        <v>162</v>
      </c>
      <c r="D686" s="75"/>
      <c r="E686" s="75"/>
      <c r="F686" s="75">
        <v>20501</v>
      </c>
      <c r="G686" s="76" t="str">
        <f>VLOOKUP(Tabelle2[[#This Row],[Kunden Nr.]],KUNDEN!A:B,2,0)</f>
        <v>RACI</v>
      </c>
      <c r="H686" s="75">
        <v>66701</v>
      </c>
      <c r="I686" s="76" t="str">
        <f>VLOOKUP(Tabelle2[[#This Row],[Artikel]],Produkte!A:B,2,0)</f>
        <v>PROFIMONT EXTREME</v>
      </c>
      <c r="J686" s="75">
        <v>12</v>
      </c>
      <c r="K686" s="76" t="str">
        <f>VLOOKUP(Tabelle2[[#This Row],[Kunden Nr.]],KUNDEN!A:G,7)</f>
        <v>Mensuri</v>
      </c>
      <c r="L686" s="76">
        <f>VLOOKUP(Tabelle2[[#This Row],[Artikel]],Produkte!A:H,8)</f>
        <v>0.2</v>
      </c>
    </row>
    <row r="687" spans="1:12" x14ac:dyDescent="0.2">
      <c r="A687" s="75" t="s">
        <v>453</v>
      </c>
      <c r="B687" s="79">
        <v>46059</v>
      </c>
      <c r="C687" s="75"/>
      <c r="D687" s="75"/>
      <c r="E687" s="75"/>
      <c r="F687" s="75">
        <v>20501</v>
      </c>
      <c r="G687" s="76" t="str">
        <f>VLOOKUP(Tabelle2[[#This Row],[Kunden Nr.]],KUNDEN!A:B,2,0)</f>
        <v>RACI</v>
      </c>
      <c r="H687" s="75">
        <v>35110</v>
      </c>
      <c r="I687" s="76" t="str">
        <f>VLOOKUP(Tabelle2[[#This Row],[Artikel]],Produkte!A:B,2,0)</f>
        <v>M-ONE Sanitar Silikon</v>
      </c>
      <c r="J687" s="75">
        <v>12</v>
      </c>
      <c r="K687" s="76" t="str">
        <f>VLOOKUP(Tabelle2[[#This Row],[Kunden Nr.]],KUNDEN!A:G,7)</f>
        <v>Mensuri</v>
      </c>
      <c r="L687" s="76">
        <f>VLOOKUP(Tabelle2[[#This Row],[Artikel]],Produkte!A:H,8)</f>
        <v>0.17</v>
      </c>
    </row>
    <row r="688" spans="1:12" x14ac:dyDescent="0.2">
      <c r="A688" s="75" t="s">
        <v>453</v>
      </c>
      <c r="B688" s="79">
        <v>46059</v>
      </c>
      <c r="C688" s="75"/>
      <c r="D688" s="75"/>
      <c r="E688" s="75"/>
      <c r="F688" s="75">
        <v>20501</v>
      </c>
      <c r="G688" s="76" t="str">
        <f>VLOOKUP(Tabelle2[[#This Row],[Kunden Nr.]],KUNDEN!A:B,2,0)</f>
        <v>RACI</v>
      </c>
      <c r="H688" s="75">
        <v>35115</v>
      </c>
      <c r="I688" s="76" t="str">
        <f>VLOOKUP(Tabelle2[[#This Row],[Artikel]],Produkte!A:B,2,0)</f>
        <v>M-ONE Sanitar Silikon</v>
      </c>
      <c r="J688" s="75">
        <v>12</v>
      </c>
      <c r="K688" s="76" t="str">
        <f>VLOOKUP(Tabelle2[[#This Row],[Kunden Nr.]],KUNDEN!A:G,7)</f>
        <v>Mensuri</v>
      </c>
      <c r="L688" s="76">
        <f>VLOOKUP(Tabelle2[[#This Row],[Artikel]],Produkte!A:H,8)</f>
        <v>0.17</v>
      </c>
    </row>
    <row r="689" spans="1:12" x14ac:dyDescent="0.2">
      <c r="A689" s="75" t="s">
        <v>1258</v>
      </c>
      <c r="B689" s="79">
        <v>46059</v>
      </c>
      <c r="C689" s="89">
        <v>122.4</v>
      </c>
      <c r="D689" s="75"/>
      <c r="E689" s="75"/>
      <c r="F689" s="75">
        <v>20511</v>
      </c>
      <c r="G689" s="76" t="str">
        <f>VLOOKUP(Tabelle2[[#This Row],[Kunden Nr.]],KUNDEN!A:B,2,0)</f>
        <v>LIRIDONA KLINE</v>
      </c>
      <c r="H689" s="75">
        <v>35111</v>
      </c>
      <c r="I689" s="76" t="str">
        <f>VLOOKUP(Tabelle2[[#This Row],[Artikel]],Produkte!A:B,2,0)</f>
        <v>M-ONE Sanitar Silikon</v>
      </c>
      <c r="J689" s="75">
        <v>12</v>
      </c>
      <c r="K689" s="76" t="str">
        <f>VLOOKUP(Tabelle2[[#This Row],[Kunden Nr.]],KUNDEN!A:G,7)</f>
        <v>Mensuri</v>
      </c>
      <c r="L689" s="76">
        <f>VLOOKUP(Tabelle2[[#This Row],[Artikel]],Produkte!A:H,8)</f>
        <v>0.17</v>
      </c>
    </row>
    <row r="690" spans="1:12" x14ac:dyDescent="0.2">
      <c r="A690" s="75" t="s">
        <v>1258</v>
      </c>
      <c r="B690" s="79">
        <v>46059</v>
      </c>
      <c r="C690" s="75"/>
      <c r="D690" s="75"/>
      <c r="E690" s="75"/>
      <c r="F690" s="75">
        <v>20511</v>
      </c>
      <c r="G690" s="76" t="str">
        <f>VLOOKUP(Tabelle2[[#This Row],[Kunden Nr.]],KUNDEN!A:B,2,0)</f>
        <v>LIRIDONA KLINE</v>
      </c>
      <c r="H690" s="75">
        <v>35113</v>
      </c>
      <c r="I690" s="76" t="str">
        <f>VLOOKUP(Tabelle2[[#This Row],[Artikel]],Produkte!A:B,2,0)</f>
        <v>M-ONE Sanitar Silikon</v>
      </c>
      <c r="J690" s="75">
        <v>12</v>
      </c>
      <c r="K690" s="76" t="str">
        <f>VLOOKUP(Tabelle2[[#This Row],[Kunden Nr.]],KUNDEN!A:G,7)</f>
        <v>Mensuri</v>
      </c>
      <c r="L690" s="76">
        <f>VLOOKUP(Tabelle2[[#This Row],[Artikel]],Produkte!A:H,8)</f>
        <v>0.17</v>
      </c>
    </row>
    <row r="691" spans="1:12" x14ac:dyDescent="0.2">
      <c r="A691" s="75" t="s">
        <v>1258</v>
      </c>
      <c r="B691" s="79">
        <v>46059</v>
      </c>
      <c r="C691" s="75"/>
      <c r="D691" s="75"/>
      <c r="E691" s="75"/>
      <c r="F691" s="75">
        <v>20511</v>
      </c>
      <c r="G691" s="76" t="str">
        <f>VLOOKUP(Tabelle2[[#This Row],[Kunden Nr.]],KUNDEN!A:B,2,0)</f>
        <v>LIRIDONA KLINE</v>
      </c>
      <c r="H691" s="75">
        <v>51611</v>
      </c>
      <c r="I691" s="76" t="str">
        <f>VLOOKUP(Tabelle2[[#This Row],[Artikel]],Produkte!A:B,2,0)</f>
        <v>universal akryl</v>
      </c>
      <c r="J691" s="75">
        <v>24</v>
      </c>
      <c r="K691" s="76" t="str">
        <f>VLOOKUP(Tabelle2[[#This Row],[Kunden Nr.]],KUNDEN!A:G,7)</f>
        <v>Mensuri</v>
      </c>
      <c r="L691" s="76">
        <f>VLOOKUP(Tabelle2[[#This Row],[Artikel]],Produkte!A:H,8)</f>
        <v>0.06</v>
      </c>
    </row>
    <row r="692" spans="1:12" x14ac:dyDescent="0.2">
      <c r="A692" s="75" t="s">
        <v>454</v>
      </c>
      <c r="B692" s="79">
        <v>46059</v>
      </c>
      <c r="C692" s="89">
        <v>46.2</v>
      </c>
      <c r="D692" s="75"/>
      <c r="E692" s="75"/>
      <c r="F692" s="75">
        <v>20502</v>
      </c>
      <c r="G692" s="76" t="str">
        <f>VLOOKUP(Tabelle2[[#This Row],[Kunden Nr.]],KUNDEN!A:B,2,0)</f>
        <v>HOXHA</v>
      </c>
      <c r="H692" s="75">
        <v>35110</v>
      </c>
      <c r="I692" s="76" t="str">
        <f>VLOOKUP(Tabelle2[[#This Row],[Artikel]],Produkte!A:B,2,0)</f>
        <v>M-ONE Sanitar Silikon</v>
      </c>
      <c r="J692" s="75">
        <v>12</v>
      </c>
      <c r="K692" s="76" t="str">
        <f>VLOOKUP(Tabelle2[[#This Row],[Kunden Nr.]],KUNDEN!A:G,7)</f>
        <v>Mensuri</v>
      </c>
      <c r="L692" s="76">
        <f>VLOOKUP(Tabelle2[[#This Row],[Artikel]],Produkte!A:H,8)</f>
        <v>0.17</v>
      </c>
    </row>
    <row r="693" spans="1:12" x14ac:dyDescent="0.2">
      <c r="A693" s="75" t="s">
        <v>463</v>
      </c>
      <c r="B693" s="79">
        <v>46059</v>
      </c>
      <c r="C693" s="89">
        <v>46.2</v>
      </c>
      <c r="D693" s="75"/>
      <c r="E693" s="75"/>
      <c r="F693" s="75">
        <v>20515</v>
      </c>
      <c r="G693" s="76" t="str">
        <f>VLOOKUP(Tabelle2[[#This Row],[Kunden Nr.]],KUNDEN!A:B,2,0)</f>
        <v>LIRIDONA-A</v>
      </c>
      <c r="H693" s="75">
        <v>35113</v>
      </c>
      <c r="I693" s="76" t="str">
        <f>VLOOKUP(Tabelle2[[#This Row],[Artikel]],Produkte!A:B,2,0)</f>
        <v>M-ONE Sanitar Silikon</v>
      </c>
      <c r="J693" s="75">
        <v>12</v>
      </c>
      <c r="K693" s="76" t="str">
        <f>VLOOKUP(Tabelle2[[#This Row],[Kunden Nr.]],KUNDEN!A:G,7)</f>
        <v>Mensuri</v>
      </c>
      <c r="L693" s="76">
        <f>VLOOKUP(Tabelle2[[#This Row],[Artikel]],Produkte!A:H,8)</f>
        <v>0.17</v>
      </c>
    </row>
    <row r="694" spans="1:12" x14ac:dyDescent="0.2">
      <c r="A694" s="75" t="s">
        <v>51</v>
      </c>
      <c r="B694" s="79">
        <v>46059</v>
      </c>
      <c r="C694" s="89">
        <v>41</v>
      </c>
      <c r="D694" s="75"/>
      <c r="E694" s="75"/>
      <c r="F694" s="75">
        <v>20408</v>
      </c>
      <c r="G694" s="76" t="str">
        <f>VLOOKUP(Tabelle2[[#This Row],[Kunden Nr.]],KUNDEN!A:B,2,0)</f>
        <v>A.P. HOTI</v>
      </c>
      <c r="H694" s="75">
        <v>56117</v>
      </c>
      <c r="I694" s="76" t="str">
        <f>VLOOKUP(Tabelle2[[#This Row],[Artikel]],Produkte!A:B,2,0)</f>
        <v>M ONE UBS</v>
      </c>
      <c r="J694" s="75">
        <v>5</v>
      </c>
      <c r="K694" s="76" t="str">
        <f>VLOOKUP(Tabelle2[[#This Row],[Kunden Nr.]],KUNDEN!A:G,7)</f>
        <v>Mensuri</v>
      </c>
      <c r="L694" s="76">
        <f>VLOOKUP(Tabelle2[[#This Row],[Artikel]],Produkte!A:H,8)</f>
        <v>0.2</v>
      </c>
    </row>
    <row r="695" spans="1:12" x14ac:dyDescent="0.2">
      <c r="A695" s="75" t="s">
        <v>51</v>
      </c>
      <c r="B695" s="79">
        <v>46059</v>
      </c>
      <c r="C695" s="75"/>
      <c r="D695" s="75"/>
      <c r="E695" s="75"/>
      <c r="F695" s="75">
        <v>20408</v>
      </c>
      <c r="G695" s="76" t="str">
        <f>VLOOKUP(Tabelle2[[#This Row],[Kunden Nr.]],KUNDEN!A:B,2,0)</f>
        <v>A.P. HOTI</v>
      </c>
      <c r="H695" s="75">
        <v>44001</v>
      </c>
      <c r="I695" s="76" t="str">
        <f>VLOOKUP(Tabelle2[[#This Row],[Artikel]],Produkte!A:B,2,0)</f>
        <v>Fettspray</v>
      </c>
      <c r="J695" s="75">
        <v>4</v>
      </c>
      <c r="K695" s="76" t="str">
        <f>VLOOKUP(Tabelle2[[#This Row],[Kunden Nr.]],KUNDEN!A:G,7)</f>
        <v>Mensuri</v>
      </c>
      <c r="L695" s="76">
        <f>VLOOKUP(Tabelle2[[#This Row],[Artikel]],Produkte!A:H,8)</f>
        <v>0.2</v>
      </c>
    </row>
    <row r="696" spans="1:12" x14ac:dyDescent="0.2">
      <c r="A696" s="75" t="s">
        <v>51</v>
      </c>
      <c r="B696" s="79">
        <v>46059</v>
      </c>
      <c r="C696" s="75"/>
      <c r="D696" s="75"/>
      <c r="E696" s="75"/>
      <c r="F696" s="75">
        <v>20408</v>
      </c>
      <c r="G696" s="76" t="str">
        <f>VLOOKUP(Tabelle2[[#This Row],[Kunden Nr.]],KUNDEN!A:B,2,0)</f>
        <v>A.P. HOTI</v>
      </c>
      <c r="H696" s="75">
        <v>55718</v>
      </c>
      <c r="I696" s="76" t="str">
        <f>VLOOKUP(Tabelle2[[#This Row],[Artikel]],Produkte!A:B,2,0)</f>
        <v>M ONE MOTORSTART</v>
      </c>
      <c r="J696" s="75">
        <v>2</v>
      </c>
      <c r="K696" s="76" t="str">
        <f>VLOOKUP(Tabelle2[[#This Row],[Kunden Nr.]],KUNDEN!A:G,7)</f>
        <v>Mensuri</v>
      </c>
      <c r="L696" s="76">
        <f>VLOOKUP(Tabelle2[[#This Row],[Artikel]],Produkte!A:H,8)</f>
        <v>0.2</v>
      </c>
    </row>
    <row r="697" spans="1:12" x14ac:dyDescent="0.2">
      <c r="A697" s="75" t="s">
        <v>53</v>
      </c>
      <c r="B697" s="79">
        <v>46059</v>
      </c>
      <c r="C697" s="89">
        <v>138.6</v>
      </c>
      <c r="D697" s="75"/>
      <c r="E697" s="75"/>
      <c r="F697" s="75">
        <v>20407</v>
      </c>
      <c r="G697" s="76" t="str">
        <f>VLOOKUP(Tabelle2[[#This Row],[Kunden Nr.]],KUNDEN!A:B,2,0)</f>
        <v>TE BENI</v>
      </c>
      <c r="H697" s="75">
        <v>35111</v>
      </c>
      <c r="I697" s="76" t="str">
        <f>VLOOKUP(Tabelle2[[#This Row],[Artikel]],Produkte!A:B,2,0)</f>
        <v>M-ONE Sanitar Silikon</v>
      </c>
      <c r="J697" s="75">
        <v>12</v>
      </c>
      <c r="K697" s="76" t="str">
        <f>VLOOKUP(Tabelle2[[#This Row],[Kunden Nr.]],KUNDEN!A:G,7)</f>
        <v>Mensuri</v>
      </c>
      <c r="L697" s="76">
        <f>VLOOKUP(Tabelle2[[#This Row],[Artikel]],Produkte!A:H,8)</f>
        <v>0.17</v>
      </c>
    </row>
    <row r="698" spans="1:12" x14ac:dyDescent="0.2">
      <c r="A698" s="75" t="s">
        <v>53</v>
      </c>
      <c r="B698" s="79">
        <v>46059</v>
      </c>
      <c r="C698" s="75"/>
      <c r="D698" s="75"/>
      <c r="E698" s="75"/>
      <c r="F698" s="75">
        <v>20407</v>
      </c>
      <c r="G698" s="76" t="str">
        <f>VLOOKUP(Tabelle2[[#This Row],[Kunden Nr.]],KUNDEN!A:B,2,0)</f>
        <v>TE BENI</v>
      </c>
      <c r="H698" s="75">
        <v>35121</v>
      </c>
      <c r="I698" s="76" t="str">
        <f>VLOOKUP(Tabelle2[[#This Row],[Artikel]],Produkte!A:B,2,0)</f>
        <v>M-ONE Sanitar Silikon</v>
      </c>
      <c r="J698" s="75">
        <v>24</v>
      </c>
      <c r="K698" s="76" t="str">
        <f>VLOOKUP(Tabelle2[[#This Row],[Kunden Nr.]],KUNDEN!A:G,7)</f>
        <v>Mensuri</v>
      </c>
      <c r="L698" s="76">
        <f>VLOOKUP(Tabelle2[[#This Row],[Artikel]],Produkte!A:H,8)</f>
        <v>0.17</v>
      </c>
    </row>
    <row r="699" spans="1:12" x14ac:dyDescent="0.2">
      <c r="A699" s="75" t="s">
        <v>59</v>
      </c>
      <c r="B699" s="79">
        <v>46059</v>
      </c>
      <c r="C699" s="89">
        <v>124.9</v>
      </c>
      <c r="D699" s="75"/>
      <c r="E699" s="75"/>
      <c r="F699" s="75">
        <v>20406</v>
      </c>
      <c r="G699" s="76" t="str">
        <f>VLOOKUP(Tabelle2[[#This Row],[Kunden Nr.]],KUNDEN!A:B,2,0)</f>
        <v>MEGI</v>
      </c>
      <c r="H699" s="75">
        <v>50912</v>
      </c>
      <c r="I699" s="76" t="str">
        <f>VLOOKUP(Tabelle2[[#This Row],[Artikel]],Produkte!A:B,2,0)</f>
        <v>DICHTUNG</v>
      </c>
      <c r="J699" s="75">
        <v>12</v>
      </c>
      <c r="K699" s="76" t="str">
        <f>VLOOKUP(Tabelle2[[#This Row],[Kunden Nr.]],KUNDEN!A:G,7)</f>
        <v>Mensuri</v>
      </c>
      <c r="L699" s="76">
        <f>VLOOKUP(Tabelle2[[#This Row],[Artikel]],Produkte!A:H,8)</f>
        <v>0.2</v>
      </c>
    </row>
    <row r="700" spans="1:12" x14ac:dyDescent="0.2">
      <c r="A700" s="75" t="s">
        <v>59</v>
      </c>
      <c r="B700" s="79">
        <v>46059</v>
      </c>
      <c r="C700" s="75"/>
      <c r="D700" s="75"/>
      <c r="E700" s="75"/>
      <c r="F700" s="75">
        <v>20406</v>
      </c>
      <c r="G700" s="76" t="str">
        <f>VLOOKUP(Tabelle2[[#This Row],[Kunden Nr.]],KUNDEN!A:B,2,0)</f>
        <v>MEGI</v>
      </c>
      <c r="H700" s="75">
        <v>55718</v>
      </c>
      <c r="I700" s="76" t="str">
        <f>VLOOKUP(Tabelle2[[#This Row],[Artikel]],Produkte!A:B,2,0)</f>
        <v>M ONE MOTORSTART</v>
      </c>
      <c r="J700" s="75">
        <v>11</v>
      </c>
      <c r="K700" s="76" t="str">
        <f>VLOOKUP(Tabelle2[[#This Row],[Kunden Nr.]],KUNDEN!A:G,7)</f>
        <v>Mensuri</v>
      </c>
      <c r="L700" s="76">
        <f>VLOOKUP(Tabelle2[[#This Row],[Artikel]],Produkte!A:H,8)</f>
        <v>0.2</v>
      </c>
    </row>
    <row r="701" spans="1:12" x14ac:dyDescent="0.2">
      <c r="A701" s="75" t="s">
        <v>608</v>
      </c>
      <c r="B701" s="79">
        <v>46060</v>
      </c>
      <c r="C701" s="89">
        <v>46.2</v>
      </c>
      <c r="D701" s="75"/>
      <c r="E701" s="75"/>
      <c r="F701" s="75">
        <v>10616</v>
      </c>
      <c r="G701" s="76" t="str">
        <f>VLOOKUP(Tabelle2[[#This Row],[Kunden Nr.]],KUNDEN!A:B,2,0)</f>
        <v>TE ZENA</v>
      </c>
      <c r="H701" s="75">
        <v>35119</v>
      </c>
      <c r="I701" s="76" t="str">
        <f>VLOOKUP(Tabelle2[[#This Row],[Artikel]],Produkte!A:B,2,0)</f>
        <v>M-ONE Sanitar Silikon</v>
      </c>
      <c r="J701" s="75">
        <v>12</v>
      </c>
      <c r="K701" s="76" t="str">
        <f>VLOOKUP(Tabelle2[[#This Row],[Kunden Nr.]],KUNDEN!A:G,7)</f>
        <v>Qerimi</v>
      </c>
      <c r="L701" s="76">
        <f>VLOOKUP(Tabelle2[[#This Row],[Artikel]],Produkte!A:H,8)</f>
        <v>0.17</v>
      </c>
    </row>
    <row r="702" spans="1:12" x14ac:dyDescent="0.2">
      <c r="A702" s="75" t="s">
        <v>837</v>
      </c>
      <c r="B702" s="79">
        <v>46060</v>
      </c>
      <c r="C702" s="89">
        <v>128.4</v>
      </c>
      <c r="D702" s="75"/>
      <c r="E702" s="75"/>
      <c r="F702" s="75">
        <v>10625</v>
      </c>
      <c r="G702" s="76" t="str">
        <f>VLOOKUP(Tabelle2[[#This Row],[Kunden Nr.]],KUNDEN!A:B,2,0)</f>
        <v>KUJTA</v>
      </c>
      <c r="H702" s="75">
        <v>35109</v>
      </c>
      <c r="I702" s="76" t="str">
        <f>VLOOKUP(Tabelle2[[#This Row],[Artikel]],Produkte!A:B,2,0)</f>
        <v>M-ONE Sanitar Silikon</v>
      </c>
      <c r="J702" s="75">
        <v>12</v>
      </c>
      <c r="K702" s="76" t="str">
        <f>VLOOKUP(Tabelle2[[#This Row],[Kunden Nr.]],KUNDEN!A:G,7)</f>
        <v>Qerimi</v>
      </c>
      <c r="L702" s="76">
        <f>VLOOKUP(Tabelle2[[#This Row],[Artikel]],Produkte!A:H,8)</f>
        <v>0.17</v>
      </c>
    </row>
    <row r="703" spans="1:12" x14ac:dyDescent="0.2">
      <c r="A703" s="75" t="s">
        <v>837</v>
      </c>
      <c r="B703" s="79">
        <v>46060</v>
      </c>
      <c r="C703" s="75"/>
      <c r="D703" s="75"/>
      <c r="E703" s="75"/>
      <c r="F703" s="75">
        <v>10625</v>
      </c>
      <c r="G703" s="76" t="str">
        <f>VLOOKUP(Tabelle2[[#This Row],[Kunden Nr.]],KUNDEN!A:B,2,0)</f>
        <v>KUJTA</v>
      </c>
      <c r="H703" s="75">
        <v>35128</v>
      </c>
      <c r="I703" s="76" t="str">
        <f>VLOOKUP(Tabelle2[[#This Row],[Artikel]],Produkte!A:B,2,0)</f>
        <v>M-ONE Sanitar Silikon</v>
      </c>
      <c r="J703" s="75">
        <v>12</v>
      </c>
      <c r="K703" s="76" t="str">
        <f>VLOOKUP(Tabelle2[[#This Row],[Kunden Nr.]],KUNDEN!A:G,7)</f>
        <v>Qerimi</v>
      </c>
      <c r="L703" s="76">
        <f>VLOOKUP(Tabelle2[[#This Row],[Artikel]],Produkte!A:H,8)</f>
        <v>0.17</v>
      </c>
    </row>
    <row r="704" spans="1:12" x14ac:dyDescent="0.2">
      <c r="A704" s="75" t="s">
        <v>837</v>
      </c>
      <c r="B704" s="79">
        <v>46060</v>
      </c>
      <c r="C704" s="75"/>
      <c r="D704" s="75"/>
      <c r="E704" s="75"/>
      <c r="F704" s="75">
        <v>10625</v>
      </c>
      <c r="G704" s="76" t="str">
        <f>VLOOKUP(Tabelle2[[#This Row],[Kunden Nr.]],KUNDEN!A:B,2,0)</f>
        <v>KUJTA</v>
      </c>
      <c r="H704" s="75">
        <v>50912</v>
      </c>
      <c r="I704" s="76" t="str">
        <f>VLOOKUP(Tabelle2[[#This Row],[Artikel]],Produkte!A:B,2,0)</f>
        <v>DICHTUNG</v>
      </c>
      <c r="J704" s="75">
        <v>5</v>
      </c>
      <c r="K704" s="76" t="str">
        <f>VLOOKUP(Tabelle2[[#This Row],[Kunden Nr.]],KUNDEN!A:G,7)</f>
        <v>Qerimi</v>
      </c>
      <c r="L704" s="76">
        <f>VLOOKUP(Tabelle2[[#This Row],[Artikel]],Produkte!A:H,8)</f>
        <v>0.2</v>
      </c>
    </row>
    <row r="705" spans="1:12" x14ac:dyDescent="0.2">
      <c r="A705" s="75" t="s">
        <v>1230</v>
      </c>
      <c r="B705" s="79">
        <v>46060</v>
      </c>
      <c r="C705" s="89">
        <v>35</v>
      </c>
      <c r="D705" s="75"/>
      <c r="E705" s="75"/>
      <c r="F705" s="75">
        <v>10637</v>
      </c>
      <c r="G705" s="76" t="e">
        <f>VLOOKUP(Tabelle2[[#This Row],[Kunden Nr.]],KUNDEN!A:B,2,0)</f>
        <v>#N/A</v>
      </c>
      <c r="H705" s="75">
        <v>55718</v>
      </c>
      <c r="I705" s="76" t="str">
        <f>VLOOKUP(Tabelle2[[#This Row],[Artikel]],Produkte!A:B,2,0)</f>
        <v>M ONE MOTORSTART</v>
      </c>
      <c r="J705" s="75">
        <v>5</v>
      </c>
      <c r="K705" s="76" t="str">
        <f>VLOOKUP(Tabelle2[[#This Row],[Kunden Nr.]],KUNDEN!A:G,7)</f>
        <v>Qerimi</v>
      </c>
      <c r="L705" s="76">
        <f>VLOOKUP(Tabelle2[[#This Row],[Artikel]],Produkte!A:H,8)</f>
        <v>0.2</v>
      </c>
    </row>
    <row r="706" spans="1:12" x14ac:dyDescent="0.2">
      <c r="A706" s="75" t="s">
        <v>1230</v>
      </c>
      <c r="B706" s="79">
        <v>46060</v>
      </c>
      <c r="C706" s="75"/>
      <c r="D706" s="75"/>
      <c r="E706" s="75"/>
      <c r="F706" s="75">
        <v>10637</v>
      </c>
      <c r="G706" s="76" t="e">
        <f>VLOOKUP(Tabelle2[[#This Row],[Kunden Nr.]],KUNDEN!A:B,2,0)</f>
        <v>#N/A</v>
      </c>
      <c r="H706" s="75">
        <v>44001</v>
      </c>
      <c r="I706" s="76" t="str">
        <f>VLOOKUP(Tabelle2[[#This Row],[Artikel]],Produkte!A:B,2,0)</f>
        <v>Fettspray</v>
      </c>
      <c r="J706" s="75">
        <v>5</v>
      </c>
      <c r="K706" s="76" t="str">
        <f>VLOOKUP(Tabelle2[[#This Row],[Kunden Nr.]],KUNDEN!A:G,7)</f>
        <v>Qerimi</v>
      </c>
      <c r="L706" s="76">
        <f>VLOOKUP(Tabelle2[[#This Row],[Artikel]],Produkte!A:H,8)</f>
        <v>0.2</v>
      </c>
    </row>
    <row r="707" spans="1:12" x14ac:dyDescent="0.2">
      <c r="A707" s="75" t="s">
        <v>1230</v>
      </c>
      <c r="B707" s="79">
        <v>46060</v>
      </c>
      <c r="C707" s="75"/>
      <c r="D707" s="75"/>
      <c r="E707" s="75"/>
      <c r="F707" s="75">
        <v>10636</v>
      </c>
      <c r="G707" s="76" t="e">
        <f>VLOOKUP(Tabelle2[[#This Row],[Kunden Nr.]],KUNDEN!A:B,2,0)</f>
        <v>#N/A</v>
      </c>
      <c r="H707" s="75">
        <v>35125</v>
      </c>
      <c r="I707" s="76" t="str">
        <f>VLOOKUP(Tabelle2[[#This Row],[Artikel]],Produkte!A:B,2,0)</f>
        <v>M-ONE Sanitar Silikon</v>
      </c>
      <c r="J707" s="75">
        <v>12</v>
      </c>
      <c r="K707" s="76" t="str">
        <f>VLOOKUP(Tabelle2[[#This Row],[Kunden Nr.]],KUNDEN!A:G,7)</f>
        <v>Qerimi</v>
      </c>
      <c r="L707" s="76">
        <f>VLOOKUP(Tabelle2[[#This Row],[Artikel]],Produkte!A:H,8)</f>
        <v>0.17</v>
      </c>
    </row>
    <row r="708" spans="1:12" x14ac:dyDescent="0.2">
      <c r="A708" s="75" t="s">
        <v>1230</v>
      </c>
      <c r="B708" s="79">
        <v>46060</v>
      </c>
      <c r="C708" s="75"/>
      <c r="D708" s="75"/>
      <c r="E708" s="75"/>
      <c r="F708" s="75">
        <v>10636</v>
      </c>
      <c r="G708" s="76" t="e">
        <f>VLOOKUP(Tabelle2[[#This Row],[Kunden Nr.]],KUNDEN!A:B,2,0)</f>
        <v>#N/A</v>
      </c>
      <c r="H708" s="75">
        <v>35121</v>
      </c>
      <c r="I708" s="76" t="str">
        <f>VLOOKUP(Tabelle2[[#This Row],[Artikel]],Produkte!A:B,2,0)</f>
        <v>M-ONE Sanitar Silikon</v>
      </c>
      <c r="J708" s="75">
        <v>12</v>
      </c>
      <c r="K708" s="76" t="str">
        <f>VLOOKUP(Tabelle2[[#This Row],[Kunden Nr.]],KUNDEN!A:G,7)</f>
        <v>Qerimi</v>
      </c>
      <c r="L708" s="76">
        <f>VLOOKUP(Tabelle2[[#This Row],[Artikel]],Produkte!A:H,8)</f>
        <v>0.17</v>
      </c>
    </row>
    <row r="709" spans="1:12" x14ac:dyDescent="0.2">
      <c r="A709" s="75" t="s">
        <v>430</v>
      </c>
      <c r="B709" s="79">
        <v>46060</v>
      </c>
      <c r="C709" s="89">
        <v>138.6</v>
      </c>
      <c r="D709" s="75"/>
      <c r="E709" s="75"/>
      <c r="F709" s="75">
        <v>20602</v>
      </c>
      <c r="G709" s="76" t="str">
        <f>VLOOKUP(Tabelle2[[#This Row],[Kunden Nr.]],KUNDEN!A:B,2,0)</f>
        <v>AGROLONDI</v>
      </c>
      <c r="H709" s="75">
        <v>35121</v>
      </c>
      <c r="I709" s="76" t="str">
        <f>VLOOKUP(Tabelle2[[#This Row],[Artikel]],Produkte!A:B,2,0)</f>
        <v>M-ONE Sanitar Silikon</v>
      </c>
      <c r="J709" s="75">
        <v>24</v>
      </c>
      <c r="K709" s="76" t="str">
        <f>VLOOKUP(Tabelle2[[#This Row],[Kunden Nr.]],KUNDEN!A:G,7)</f>
        <v>Mensuri</v>
      </c>
      <c r="L709" s="76">
        <f>VLOOKUP(Tabelle2[[#This Row],[Artikel]],Produkte!A:H,8)</f>
        <v>0.17</v>
      </c>
    </row>
    <row r="710" spans="1:12" x14ac:dyDescent="0.2">
      <c r="A710" s="75" t="s">
        <v>430</v>
      </c>
      <c r="B710" s="79">
        <v>46060</v>
      </c>
      <c r="C710" s="75"/>
      <c r="D710" s="75"/>
      <c r="E710" s="75"/>
      <c r="F710" s="75">
        <v>20602</v>
      </c>
      <c r="G710" s="76" t="str">
        <f>VLOOKUP(Tabelle2[[#This Row],[Kunden Nr.]],KUNDEN!A:B,2,0)</f>
        <v>AGROLONDI</v>
      </c>
      <c r="H710" s="75">
        <v>35110</v>
      </c>
      <c r="I710" s="76" t="str">
        <f>VLOOKUP(Tabelle2[[#This Row],[Artikel]],Produkte!A:B,2,0)</f>
        <v>M-ONE Sanitar Silikon</v>
      </c>
      <c r="J710" s="75">
        <v>12</v>
      </c>
      <c r="K710" s="76" t="str">
        <f>VLOOKUP(Tabelle2[[#This Row],[Kunden Nr.]],KUNDEN!A:G,7)</f>
        <v>Mensuri</v>
      </c>
      <c r="L710" s="76">
        <f>VLOOKUP(Tabelle2[[#This Row],[Artikel]],Produkte!A:H,8)</f>
        <v>0.17</v>
      </c>
    </row>
    <row r="711" spans="1:12" x14ac:dyDescent="0.2">
      <c r="A711" s="75" t="s">
        <v>1305</v>
      </c>
      <c r="B711" s="79">
        <v>46060</v>
      </c>
      <c r="C711" s="89">
        <v>153.6</v>
      </c>
      <c r="D711" s="75"/>
      <c r="E711" s="75"/>
      <c r="F711" s="75">
        <v>20622</v>
      </c>
      <c r="G711" s="76" t="str">
        <f>VLOOKUP(Tabelle2[[#This Row],[Kunden Nr.]],KUNDEN!A:B,2,0)</f>
        <v>ILIRI QERAMIKA</v>
      </c>
      <c r="H711" s="75">
        <v>35109</v>
      </c>
      <c r="I711" s="76" t="str">
        <f>VLOOKUP(Tabelle2[[#This Row],[Artikel]],Produkte!A:B,2,0)</f>
        <v>M-ONE Sanitar Silikon</v>
      </c>
      <c r="J711" s="75">
        <v>12</v>
      </c>
      <c r="K711" s="76" t="str">
        <f>VLOOKUP(Tabelle2[[#This Row],[Kunden Nr.]],KUNDEN!A:G,7)</f>
        <v>Mensuri</v>
      </c>
      <c r="L711" s="76">
        <f>VLOOKUP(Tabelle2[[#This Row],[Artikel]],Produkte!A:H,8)</f>
        <v>0.17</v>
      </c>
    </row>
    <row r="712" spans="1:12" x14ac:dyDescent="0.2">
      <c r="A712" s="75" t="s">
        <v>1305</v>
      </c>
      <c r="B712" s="79">
        <v>46060</v>
      </c>
      <c r="C712" s="75"/>
      <c r="D712" s="75"/>
      <c r="E712" s="75"/>
      <c r="F712" s="75">
        <v>20622</v>
      </c>
      <c r="G712" s="76" t="str">
        <f>VLOOKUP(Tabelle2[[#This Row],[Kunden Nr.]],KUNDEN!A:B,2,0)</f>
        <v>ILIRI QERAMIKA</v>
      </c>
      <c r="H712" s="75">
        <v>35110</v>
      </c>
      <c r="I712" s="76" t="str">
        <f>VLOOKUP(Tabelle2[[#This Row],[Artikel]],Produkte!A:B,2,0)</f>
        <v>M-ONE Sanitar Silikon</v>
      </c>
      <c r="J712" s="75">
        <v>12</v>
      </c>
      <c r="K712" s="76" t="str">
        <f>VLOOKUP(Tabelle2[[#This Row],[Kunden Nr.]],KUNDEN!A:G,7)</f>
        <v>Mensuri</v>
      </c>
      <c r="L712" s="76">
        <f>VLOOKUP(Tabelle2[[#This Row],[Artikel]],Produkte!A:H,8)</f>
        <v>0.17</v>
      </c>
    </row>
    <row r="713" spans="1:12" x14ac:dyDescent="0.2">
      <c r="A713" s="75" t="s">
        <v>1305</v>
      </c>
      <c r="B713" s="79">
        <v>46060</v>
      </c>
      <c r="C713" s="75"/>
      <c r="D713" s="75"/>
      <c r="E713" s="75"/>
      <c r="F713" s="75">
        <v>20622</v>
      </c>
      <c r="G713" s="76" t="str">
        <f>VLOOKUP(Tabelle2[[#This Row],[Kunden Nr.]],KUNDEN!A:B,2,0)</f>
        <v>ILIRI QERAMIKA</v>
      </c>
      <c r="H713" s="75">
        <v>35121</v>
      </c>
      <c r="I713" s="76" t="str">
        <f>VLOOKUP(Tabelle2[[#This Row],[Artikel]],Produkte!A:B,2,0)</f>
        <v>M-ONE Sanitar Silikon</v>
      </c>
      <c r="J713" s="75">
        <v>12</v>
      </c>
      <c r="K713" s="76" t="str">
        <f>VLOOKUP(Tabelle2[[#This Row],[Kunden Nr.]],KUNDEN!A:G,7)</f>
        <v>Mensuri</v>
      </c>
      <c r="L713" s="76">
        <f>VLOOKUP(Tabelle2[[#This Row],[Artikel]],Produkte!A:H,8)</f>
        <v>0.17</v>
      </c>
    </row>
    <row r="714" spans="1:12" x14ac:dyDescent="0.2">
      <c r="A714" s="75" t="s">
        <v>1305</v>
      </c>
      <c r="B714" s="79">
        <v>46060</v>
      </c>
      <c r="C714" s="75"/>
      <c r="D714" s="75"/>
      <c r="E714" s="75"/>
      <c r="F714" s="75">
        <v>20622</v>
      </c>
      <c r="G714" s="76" t="str">
        <f>VLOOKUP(Tabelle2[[#This Row],[Kunden Nr.]],KUNDEN!A:B,2,0)</f>
        <v>ILIRI QERAMIKA</v>
      </c>
      <c r="H714" s="75">
        <v>51611</v>
      </c>
      <c r="I714" s="76" t="str">
        <f>VLOOKUP(Tabelle2[[#This Row],[Artikel]],Produkte!A:B,2,0)</f>
        <v>universal akryl</v>
      </c>
      <c r="J714" s="75">
        <v>12</v>
      </c>
      <c r="K714" s="76" t="str">
        <f>VLOOKUP(Tabelle2[[#This Row],[Kunden Nr.]],KUNDEN!A:G,7)</f>
        <v>Mensuri</v>
      </c>
      <c r="L714" s="76">
        <f>VLOOKUP(Tabelle2[[#This Row],[Artikel]],Produkte!A:H,8)</f>
        <v>0.06</v>
      </c>
    </row>
    <row r="715" spans="1:12" x14ac:dyDescent="0.2">
      <c r="A715" s="75" t="s">
        <v>1171</v>
      </c>
      <c r="B715" s="79">
        <v>46060</v>
      </c>
      <c r="C715" s="89">
        <v>100.4</v>
      </c>
      <c r="D715" s="75"/>
      <c r="E715" s="75"/>
      <c r="F715" s="75">
        <v>20627</v>
      </c>
      <c r="G715" s="76" t="str">
        <f>VLOOKUP(Tabelle2[[#This Row],[Kunden Nr.]],KUNDEN!A:B,2,0)</f>
        <v>UNIKA</v>
      </c>
      <c r="H715" s="75">
        <v>35113</v>
      </c>
      <c r="I715" s="76" t="str">
        <f>VLOOKUP(Tabelle2[[#This Row],[Artikel]],Produkte!A:B,2,0)</f>
        <v>M-ONE Sanitar Silikon</v>
      </c>
      <c r="J715" s="75">
        <v>12</v>
      </c>
      <c r="K715" s="76" t="str">
        <f>VLOOKUP(Tabelle2[[#This Row],[Kunden Nr.]],KUNDEN!A:G,7)</f>
        <v>Mensuri</v>
      </c>
      <c r="L715" s="76">
        <f>VLOOKUP(Tabelle2[[#This Row],[Artikel]],Produkte!A:H,8)</f>
        <v>0.17</v>
      </c>
    </row>
    <row r="716" spans="1:12" x14ac:dyDescent="0.2">
      <c r="A716" s="75" t="s">
        <v>1171</v>
      </c>
      <c r="B716" s="79">
        <v>46060</v>
      </c>
      <c r="C716" s="75"/>
      <c r="D716" s="75"/>
      <c r="E716" s="75"/>
      <c r="F716" s="75">
        <v>20627</v>
      </c>
      <c r="G716" s="76" t="str">
        <f>VLOOKUP(Tabelle2[[#This Row],[Kunden Nr.]],KUNDEN!A:B,2,0)</f>
        <v>UNIKA</v>
      </c>
      <c r="H716" s="75">
        <v>35121</v>
      </c>
      <c r="I716" s="76" t="str">
        <f>VLOOKUP(Tabelle2[[#This Row],[Artikel]],Produkte!A:B,2,0)</f>
        <v>M-ONE Sanitar Silikon</v>
      </c>
      <c r="J716" s="75">
        <v>12</v>
      </c>
      <c r="K716" s="76" t="str">
        <f>VLOOKUP(Tabelle2[[#This Row],[Kunden Nr.]],KUNDEN!A:G,7)</f>
        <v>Mensuri</v>
      </c>
      <c r="L716" s="76">
        <f>VLOOKUP(Tabelle2[[#This Row],[Artikel]],Produkte!A:H,8)</f>
        <v>0.17</v>
      </c>
    </row>
    <row r="717" spans="1:12" x14ac:dyDescent="0.2">
      <c r="A717" s="75" t="s">
        <v>1171</v>
      </c>
      <c r="B717" s="79">
        <v>46060</v>
      </c>
      <c r="C717" s="75"/>
      <c r="D717" s="75"/>
      <c r="E717" s="75"/>
      <c r="F717" s="75">
        <v>20627</v>
      </c>
      <c r="G717" s="76" t="str">
        <f>VLOOKUP(Tabelle2[[#This Row],[Kunden Nr.]],KUNDEN!A:B,2,0)</f>
        <v>UNIKA</v>
      </c>
      <c r="H717" s="75">
        <v>56117</v>
      </c>
      <c r="I717" s="76" t="str">
        <f>VLOOKUP(Tabelle2[[#This Row],[Artikel]],Produkte!A:B,2,0)</f>
        <v>M ONE UBS</v>
      </c>
      <c r="J717" s="75">
        <v>2</v>
      </c>
      <c r="K717" s="76" t="str">
        <f>VLOOKUP(Tabelle2[[#This Row],[Kunden Nr.]],KUNDEN!A:G,7)</f>
        <v>Mensuri</v>
      </c>
      <c r="L717" s="76">
        <f>VLOOKUP(Tabelle2[[#This Row],[Artikel]],Produkte!A:H,8)</f>
        <v>0.2</v>
      </c>
    </row>
    <row r="718" spans="1:12" x14ac:dyDescent="0.2">
      <c r="A718" s="75" t="s">
        <v>435</v>
      </c>
      <c r="B718" s="79">
        <v>46060</v>
      </c>
      <c r="C718" s="89">
        <v>153.6</v>
      </c>
      <c r="D718" s="75"/>
      <c r="E718" s="75"/>
      <c r="F718" s="75">
        <v>20608</v>
      </c>
      <c r="G718" s="76" t="str">
        <f>VLOOKUP(Tabelle2[[#This Row],[Kunden Nr.]],KUNDEN!A:B,2,0)</f>
        <v>LONI</v>
      </c>
      <c r="H718" s="75">
        <v>35110</v>
      </c>
      <c r="I718" s="76" t="str">
        <f>VLOOKUP(Tabelle2[[#This Row],[Artikel]],Produkte!A:B,2,0)</f>
        <v>M-ONE Sanitar Silikon</v>
      </c>
      <c r="J718" s="75">
        <v>12</v>
      </c>
      <c r="K718" s="76" t="str">
        <f>VLOOKUP(Tabelle2[[#This Row],[Kunden Nr.]],KUNDEN!A:G,7)</f>
        <v>Mensuri</v>
      </c>
      <c r="L718" s="76">
        <f>VLOOKUP(Tabelle2[[#This Row],[Artikel]],Produkte!A:H,8)</f>
        <v>0.17</v>
      </c>
    </row>
    <row r="719" spans="1:12" x14ac:dyDescent="0.2">
      <c r="A719" s="75" t="s">
        <v>435</v>
      </c>
      <c r="B719" s="79">
        <v>46060</v>
      </c>
      <c r="C719" s="75"/>
      <c r="D719" s="75"/>
      <c r="E719" s="75"/>
      <c r="F719" s="75">
        <v>20608</v>
      </c>
      <c r="G719" s="76" t="str">
        <f>VLOOKUP(Tabelle2[[#This Row],[Kunden Nr.]],KUNDEN!A:B,2,0)</f>
        <v>LONI</v>
      </c>
      <c r="H719" s="75">
        <v>35115</v>
      </c>
      <c r="I719" s="76" t="str">
        <f>VLOOKUP(Tabelle2[[#This Row],[Artikel]],Produkte!A:B,2,0)</f>
        <v>M-ONE Sanitar Silikon</v>
      </c>
      <c r="J719" s="75">
        <v>12</v>
      </c>
      <c r="K719" s="76" t="str">
        <f>VLOOKUP(Tabelle2[[#This Row],[Kunden Nr.]],KUNDEN!A:G,7)</f>
        <v>Mensuri</v>
      </c>
      <c r="L719" s="76">
        <f>VLOOKUP(Tabelle2[[#This Row],[Artikel]],Produkte!A:H,8)</f>
        <v>0.17</v>
      </c>
    </row>
    <row r="720" spans="1:12" x14ac:dyDescent="0.2">
      <c r="A720" s="75" t="s">
        <v>435</v>
      </c>
      <c r="B720" s="79">
        <v>46060</v>
      </c>
      <c r="C720" s="75"/>
      <c r="D720" s="75"/>
      <c r="E720" s="75"/>
      <c r="F720" s="75">
        <v>20608</v>
      </c>
      <c r="G720" s="76" t="str">
        <f>VLOOKUP(Tabelle2[[#This Row],[Kunden Nr.]],KUNDEN!A:B,2,0)</f>
        <v>LONI</v>
      </c>
      <c r="H720" s="75">
        <v>35121</v>
      </c>
      <c r="I720" s="76" t="str">
        <f>VLOOKUP(Tabelle2[[#This Row],[Artikel]],Produkte!A:B,2,0)</f>
        <v>M-ONE Sanitar Silikon</v>
      </c>
      <c r="J720" s="75">
        <v>12</v>
      </c>
      <c r="K720" s="76" t="str">
        <f>VLOOKUP(Tabelle2[[#This Row],[Kunden Nr.]],KUNDEN!A:G,7)</f>
        <v>Mensuri</v>
      </c>
      <c r="L720" s="76">
        <f>VLOOKUP(Tabelle2[[#This Row],[Artikel]],Produkte!A:H,8)</f>
        <v>0.17</v>
      </c>
    </row>
    <row r="721" spans="1:12" x14ac:dyDescent="0.2">
      <c r="A721" s="75" t="s">
        <v>435</v>
      </c>
      <c r="B721" s="79">
        <v>46060</v>
      </c>
      <c r="C721" s="75"/>
      <c r="D721" s="75"/>
      <c r="E721" s="75"/>
      <c r="F721" s="75">
        <v>20608</v>
      </c>
      <c r="G721" s="76" t="str">
        <f>VLOOKUP(Tabelle2[[#This Row],[Kunden Nr.]],KUNDEN!A:B,2,0)</f>
        <v>LONI</v>
      </c>
      <c r="H721" s="75">
        <v>51611</v>
      </c>
      <c r="I721" s="76" t="str">
        <f>VLOOKUP(Tabelle2[[#This Row],[Artikel]],Produkte!A:B,2,0)</f>
        <v>universal akryl</v>
      </c>
      <c r="J721" s="75">
        <v>12</v>
      </c>
      <c r="K721" s="76" t="str">
        <f>VLOOKUP(Tabelle2[[#This Row],[Kunden Nr.]],KUNDEN!A:G,7)</f>
        <v>Mensuri</v>
      </c>
      <c r="L721" s="76">
        <f>VLOOKUP(Tabelle2[[#This Row],[Artikel]],Produkte!A:H,8)</f>
        <v>0.06</v>
      </c>
    </row>
    <row r="722" spans="1:12" x14ac:dyDescent="0.2">
      <c r="A722" s="75" t="s">
        <v>676</v>
      </c>
      <c r="B722" s="79">
        <v>46060</v>
      </c>
      <c r="C722" s="89">
        <v>138.6</v>
      </c>
      <c r="D722" s="75"/>
      <c r="E722" s="75"/>
      <c r="F722" s="75">
        <v>20607</v>
      </c>
      <c r="G722" s="76" t="str">
        <f>VLOOKUP(Tabelle2[[#This Row],[Kunden Nr.]],KUNDEN!A:B,2,0)</f>
        <v xml:space="preserve">F.V. SH.P.K. </v>
      </c>
      <c r="H722" s="75">
        <v>35109</v>
      </c>
      <c r="I722" s="76" t="str">
        <f>VLOOKUP(Tabelle2[[#This Row],[Artikel]],Produkte!A:B,2,0)</f>
        <v>M-ONE Sanitar Silikon</v>
      </c>
      <c r="J722" s="75">
        <v>12</v>
      </c>
      <c r="K722" s="76" t="str">
        <f>VLOOKUP(Tabelle2[[#This Row],[Kunden Nr.]],KUNDEN!A:G,7)</f>
        <v>Mensuri</v>
      </c>
      <c r="L722" s="76">
        <f>VLOOKUP(Tabelle2[[#This Row],[Artikel]],Produkte!A:H,8)</f>
        <v>0.17</v>
      </c>
    </row>
    <row r="723" spans="1:12" x14ac:dyDescent="0.2">
      <c r="A723" s="75" t="s">
        <v>676</v>
      </c>
      <c r="B723" s="79">
        <v>46060</v>
      </c>
      <c r="C723" s="75"/>
      <c r="D723" s="75"/>
      <c r="E723" s="75"/>
      <c r="F723" s="75">
        <v>20607</v>
      </c>
      <c r="G723" s="76" t="str">
        <f>VLOOKUP(Tabelle2[[#This Row],[Kunden Nr.]],KUNDEN!A:B,2,0)</f>
        <v xml:space="preserve">F.V. SH.P.K. </v>
      </c>
      <c r="H723" s="75">
        <v>35119</v>
      </c>
      <c r="I723" s="76" t="str">
        <f>VLOOKUP(Tabelle2[[#This Row],[Artikel]],Produkte!A:B,2,0)</f>
        <v>M-ONE Sanitar Silikon</v>
      </c>
      <c r="J723" s="75">
        <v>12</v>
      </c>
      <c r="K723" s="76" t="str">
        <f>VLOOKUP(Tabelle2[[#This Row],[Kunden Nr.]],KUNDEN!A:G,7)</f>
        <v>Mensuri</v>
      </c>
      <c r="L723" s="76">
        <f>VLOOKUP(Tabelle2[[#This Row],[Artikel]],Produkte!A:H,8)</f>
        <v>0.17</v>
      </c>
    </row>
    <row r="724" spans="1:12" x14ac:dyDescent="0.2">
      <c r="A724" s="75" t="s">
        <v>676</v>
      </c>
      <c r="B724" s="79">
        <v>46060</v>
      </c>
      <c r="C724" s="75"/>
      <c r="D724" s="75"/>
      <c r="E724" s="75"/>
      <c r="F724" s="75">
        <v>20607</v>
      </c>
      <c r="G724" s="76" t="str">
        <f>VLOOKUP(Tabelle2[[#This Row],[Kunden Nr.]],KUNDEN!A:B,2,0)</f>
        <v xml:space="preserve">F.V. SH.P.K. </v>
      </c>
      <c r="H724" s="75">
        <v>35121</v>
      </c>
      <c r="I724" s="76" t="str">
        <f>VLOOKUP(Tabelle2[[#This Row],[Artikel]],Produkte!A:B,2,0)</f>
        <v>M-ONE Sanitar Silikon</v>
      </c>
      <c r="J724" s="75">
        <v>12</v>
      </c>
      <c r="K724" s="76" t="str">
        <f>VLOOKUP(Tabelle2[[#This Row],[Kunden Nr.]],KUNDEN!A:G,7)</f>
        <v>Mensuri</v>
      </c>
      <c r="L724" s="76">
        <f>VLOOKUP(Tabelle2[[#This Row],[Artikel]],Produkte!A:H,8)</f>
        <v>0.17</v>
      </c>
    </row>
    <row r="725" spans="1:12" x14ac:dyDescent="0.2">
      <c r="A725" s="75" t="s">
        <v>438</v>
      </c>
      <c r="B725" s="79">
        <v>46060</v>
      </c>
      <c r="C725" s="89">
        <v>462</v>
      </c>
      <c r="D725" s="75"/>
      <c r="E725" s="75"/>
      <c r="F725" s="75">
        <v>20610</v>
      </c>
      <c r="G725" s="76" t="str">
        <f>VLOOKUP(Tabelle2[[#This Row],[Kunden Nr.]],KUNDEN!A:B,2,0)</f>
        <v>AGRO-XHETI</v>
      </c>
      <c r="H725" s="75">
        <v>35125</v>
      </c>
      <c r="I725" s="76" t="str">
        <f>VLOOKUP(Tabelle2[[#This Row],[Artikel]],Produkte!A:B,2,0)</f>
        <v>M-ONE Sanitar Silikon</v>
      </c>
      <c r="J725" s="75">
        <v>12</v>
      </c>
      <c r="K725" s="76" t="str">
        <f>VLOOKUP(Tabelle2[[#This Row],[Kunden Nr.]],KUNDEN!A:G,7)</f>
        <v>Mensuri</v>
      </c>
      <c r="L725" s="76">
        <f>VLOOKUP(Tabelle2[[#This Row],[Artikel]],Produkte!A:H,8)</f>
        <v>0.17</v>
      </c>
    </row>
    <row r="726" spans="1:12" x14ac:dyDescent="0.2">
      <c r="A726" s="75" t="s">
        <v>438</v>
      </c>
      <c r="B726" s="79">
        <v>46060</v>
      </c>
      <c r="C726" s="75"/>
      <c r="D726" s="75"/>
      <c r="E726" s="75"/>
      <c r="F726" s="75">
        <v>20610</v>
      </c>
      <c r="G726" s="76" t="str">
        <f>VLOOKUP(Tabelle2[[#This Row],[Kunden Nr.]],KUNDEN!A:B,2,0)</f>
        <v>AGRO-XHETI</v>
      </c>
      <c r="H726" s="75">
        <v>35110</v>
      </c>
      <c r="I726" s="76" t="str">
        <f>VLOOKUP(Tabelle2[[#This Row],[Artikel]],Produkte!A:B,2,0)</f>
        <v>M-ONE Sanitar Silikon</v>
      </c>
      <c r="J726" s="75">
        <v>24</v>
      </c>
      <c r="K726" s="76" t="str">
        <f>VLOOKUP(Tabelle2[[#This Row],[Kunden Nr.]],KUNDEN!A:G,7)</f>
        <v>Mensuri</v>
      </c>
      <c r="L726" s="76">
        <f>VLOOKUP(Tabelle2[[#This Row],[Artikel]],Produkte!A:H,8)</f>
        <v>0.17</v>
      </c>
    </row>
    <row r="727" spans="1:12" x14ac:dyDescent="0.2">
      <c r="A727" s="75" t="s">
        <v>438</v>
      </c>
      <c r="B727" s="79">
        <v>46060</v>
      </c>
      <c r="C727" s="75"/>
      <c r="D727" s="75"/>
      <c r="E727" s="75"/>
      <c r="F727" s="75">
        <v>20610</v>
      </c>
      <c r="G727" s="76" t="str">
        <f>VLOOKUP(Tabelle2[[#This Row],[Kunden Nr.]],KUNDEN!A:B,2,0)</f>
        <v>AGRO-XHETI</v>
      </c>
      <c r="H727" s="75">
        <v>35111</v>
      </c>
      <c r="I727" s="76" t="str">
        <f>VLOOKUP(Tabelle2[[#This Row],[Artikel]],Produkte!A:B,2,0)</f>
        <v>M-ONE Sanitar Silikon</v>
      </c>
      <c r="J727" s="75">
        <v>24</v>
      </c>
      <c r="K727" s="76" t="str">
        <f>VLOOKUP(Tabelle2[[#This Row],[Kunden Nr.]],KUNDEN!A:G,7)</f>
        <v>Mensuri</v>
      </c>
      <c r="L727" s="76">
        <f>VLOOKUP(Tabelle2[[#This Row],[Artikel]],Produkte!A:H,8)</f>
        <v>0.17</v>
      </c>
    </row>
    <row r="728" spans="1:12" x14ac:dyDescent="0.2">
      <c r="A728" s="75" t="s">
        <v>438</v>
      </c>
      <c r="B728" s="79">
        <v>46060</v>
      </c>
      <c r="C728" s="75"/>
      <c r="D728" s="75"/>
      <c r="E728" s="75"/>
      <c r="F728" s="75">
        <v>20610</v>
      </c>
      <c r="G728" s="76" t="str">
        <f>VLOOKUP(Tabelle2[[#This Row],[Kunden Nr.]],KUNDEN!A:B,2,0)</f>
        <v>AGRO-XHETI</v>
      </c>
      <c r="H728" s="75">
        <v>35128</v>
      </c>
      <c r="I728" s="76" t="str">
        <f>VLOOKUP(Tabelle2[[#This Row],[Artikel]],Produkte!A:B,2,0)</f>
        <v>M-ONE Sanitar Silikon</v>
      </c>
      <c r="J728" s="75">
        <v>24</v>
      </c>
      <c r="K728" s="76" t="str">
        <f>VLOOKUP(Tabelle2[[#This Row],[Kunden Nr.]],KUNDEN!A:G,7)</f>
        <v>Mensuri</v>
      </c>
      <c r="L728" s="76">
        <f>VLOOKUP(Tabelle2[[#This Row],[Artikel]],Produkte!A:H,8)</f>
        <v>0.17</v>
      </c>
    </row>
    <row r="729" spans="1:12" x14ac:dyDescent="0.2">
      <c r="A729" s="75" t="s">
        <v>438</v>
      </c>
      <c r="B729" s="79">
        <v>46060</v>
      </c>
      <c r="C729" s="75"/>
      <c r="D729" s="75"/>
      <c r="E729" s="75"/>
      <c r="F729" s="75">
        <v>20610</v>
      </c>
      <c r="G729" s="76" t="str">
        <f>VLOOKUP(Tabelle2[[#This Row],[Kunden Nr.]],KUNDEN!A:B,2,0)</f>
        <v>AGRO-XHETI</v>
      </c>
      <c r="H729" s="75">
        <v>35119</v>
      </c>
      <c r="I729" s="76" t="str">
        <f>VLOOKUP(Tabelle2[[#This Row],[Artikel]],Produkte!A:B,2,0)</f>
        <v>M-ONE Sanitar Silikon</v>
      </c>
      <c r="J729" s="75">
        <v>12</v>
      </c>
      <c r="K729" s="76" t="str">
        <f>VLOOKUP(Tabelle2[[#This Row],[Kunden Nr.]],KUNDEN!A:G,7)</f>
        <v>Mensuri</v>
      </c>
      <c r="L729" s="76">
        <f>VLOOKUP(Tabelle2[[#This Row],[Artikel]],Produkte!A:H,8)</f>
        <v>0.17</v>
      </c>
    </row>
    <row r="730" spans="1:12" x14ac:dyDescent="0.2">
      <c r="A730" s="75" t="s">
        <v>438</v>
      </c>
      <c r="B730" s="79">
        <v>46060</v>
      </c>
      <c r="C730" s="75"/>
      <c r="D730" s="75"/>
      <c r="E730" s="75"/>
      <c r="F730" s="75">
        <v>20610</v>
      </c>
      <c r="G730" s="76" t="str">
        <f>VLOOKUP(Tabelle2[[#This Row],[Kunden Nr.]],KUNDEN!A:B,2,0)</f>
        <v>AGRO-XHETI</v>
      </c>
      <c r="H730" s="75">
        <v>35115</v>
      </c>
      <c r="I730" s="76" t="str">
        <f>VLOOKUP(Tabelle2[[#This Row],[Artikel]],Produkte!A:B,2,0)</f>
        <v>M-ONE Sanitar Silikon</v>
      </c>
      <c r="J730" s="75">
        <v>12</v>
      </c>
      <c r="K730" s="76" t="str">
        <f>VLOOKUP(Tabelle2[[#This Row],[Kunden Nr.]],KUNDEN!A:G,7)</f>
        <v>Mensuri</v>
      </c>
      <c r="L730" s="76">
        <f>VLOOKUP(Tabelle2[[#This Row],[Artikel]],Produkte!A:H,8)</f>
        <v>0.17</v>
      </c>
    </row>
    <row r="731" spans="1:12" x14ac:dyDescent="0.2">
      <c r="A731" s="75" t="s">
        <v>438</v>
      </c>
      <c r="B731" s="79">
        <v>46060</v>
      </c>
      <c r="C731" s="75"/>
      <c r="D731" s="75"/>
      <c r="E731" s="75"/>
      <c r="F731" s="75">
        <v>20610</v>
      </c>
      <c r="G731" s="76" t="str">
        <f>VLOOKUP(Tabelle2[[#This Row],[Kunden Nr.]],KUNDEN!A:B,2,0)</f>
        <v>AGRO-XHETI</v>
      </c>
      <c r="H731" s="75">
        <v>35114</v>
      </c>
      <c r="I731" s="76" t="str">
        <f>VLOOKUP(Tabelle2[[#This Row],[Artikel]],Produkte!A:B,2,0)</f>
        <v>M-ONE Sanitar Silikon</v>
      </c>
      <c r="J731" s="75">
        <v>12</v>
      </c>
      <c r="K731" s="76" t="str">
        <f>VLOOKUP(Tabelle2[[#This Row],[Kunden Nr.]],KUNDEN!A:G,7)</f>
        <v>Mensuri</v>
      </c>
      <c r="L731" s="76">
        <f>VLOOKUP(Tabelle2[[#This Row],[Artikel]],Produkte!A:H,8)</f>
        <v>0.17</v>
      </c>
    </row>
    <row r="732" spans="1:12" x14ac:dyDescent="0.2">
      <c r="A732" s="75" t="s">
        <v>1257</v>
      </c>
      <c r="B732" s="79">
        <v>46060</v>
      </c>
      <c r="C732" s="89">
        <v>138.6</v>
      </c>
      <c r="D732" s="75"/>
      <c r="E732" s="75"/>
      <c r="F732" s="75">
        <v>20632</v>
      </c>
      <c r="G732" s="76" t="str">
        <f>VLOOKUP(Tabelle2[[#This Row],[Kunden Nr.]],KUNDEN!A:B,2,0)</f>
        <v>GLOBAL TOOLS</v>
      </c>
      <c r="H732" s="75">
        <v>35125</v>
      </c>
      <c r="I732" s="76" t="str">
        <f>VLOOKUP(Tabelle2[[#This Row],[Artikel]],Produkte!A:B,2,0)</f>
        <v>M-ONE Sanitar Silikon</v>
      </c>
      <c r="J732" s="75">
        <v>24</v>
      </c>
      <c r="K732" s="76" t="str">
        <f>VLOOKUP(Tabelle2[[#This Row],[Kunden Nr.]],KUNDEN!A:G,7)</f>
        <v>Mensuri</v>
      </c>
      <c r="L732" s="76">
        <f>VLOOKUP(Tabelle2[[#This Row],[Artikel]],Produkte!A:H,8)</f>
        <v>0.17</v>
      </c>
    </row>
    <row r="733" spans="1:12" x14ac:dyDescent="0.2">
      <c r="A733" s="75" t="s">
        <v>1257</v>
      </c>
      <c r="B733" s="79">
        <v>46060</v>
      </c>
      <c r="C733" s="75"/>
      <c r="D733" s="75"/>
      <c r="E733" s="75"/>
      <c r="F733" s="75">
        <v>20632</v>
      </c>
      <c r="G733" s="76" t="str">
        <f>VLOOKUP(Tabelle2[[#This Row],[Kunden Nr.]],KUNDEN!A:B,2,0)</f>
        <v>GLOBAL TOOLS</v>
      </c>
      <c r="H733" s="75">
        <v>35115</v>
      </c>
      <c r="I733" s="76" t="str">
        <f>VLOOKUP(Tabelle2[[#This Row],[Artikel]],Produkte!A:B,2,0)</f>
        <v>M-ONE Sanitar Silikon</v>
      </c>
      <c r="J733" s="75">
        <v>12</v>
      </c>
      <c r="K733" s="76" t="str">
        <f>VLOOKUP(Tabelle2[[#This Row],[Kunden Nr.]],KUNDEN!A:G,7)</f>
        <v>Mensuri</v>
      </c>
      <c r="L733" s="76">
        <f>VLOOKUP(Tabelle2[[#This Row],[Artikel]],Produkte!A:H,8)</f>
        <v>0.17</v>
      </c>
    </row>
    <row r="734" spans="1:12" x14ac:dyDescent="0.2">
      <c r="A734" s="75" t="s">
        <v>1232</v>
      </c>
      <c r="B734" s="79">
        <v>46060</v>
      </c>
      <c r="C734" s="89">
        <v>144</v>
      </c>
      <c r="D734" s="75"/>
      <c r="E734" s="75"/>
      <c r="F734" s="75">
        <v>20630</v>
      </c>
      <c r="G734" s="76" t="str">
        <f>VLOOKUP(Tabelle2[[#This Row],[Kunden Nr.]],KUNDEN!A:B,2,0)</f>
        <v>HIDRO DANI</v>
      </c>
      <c r="H734" s="75">
        <v>35109</v>
      </c>
      <c r="I734" s="76" t="str">
        <f>VLOOKUP(Tabelle2[[#This Row],[Artikel]],Produkte!A:B,2,0)</f>
        <v>M-ONE Sanitar Silikon</v>
      </c>
      <c r="J734" s="75">
        <v>12</v>
      </c>
      <c r="K734" s="76" t="str">
        <f>VLOOKUP(Tabelle2[[#This Row],[Kunden Nr.]],KUNDEN!A:G,7)</f>
        <v>Mensuri</v>
      </c>
      <c r="L734" s="76">
        <f>VLOOKUP(Tabelle2[[#This Row],[Artikel]],Produkte!A:H,8)</f>
        <v>0.17</v>
      </c>
    </row>
    <row r="735" spans="1:12" x14ac:dyDescent="0.2">
      <c r="A735" s="75" t="s">
        <v>1232</v>
      </c>
      <c r="B735" s="79">
        <v>46060</v>
      </c>
      <c r="C735" s="75"/>
      <c r="D735" s="75"/>
      <c r="E735" s="75"/>
      <c r="F735" s="75">
        <v>20630</v>
      </c>
      <c r="G735" s="76" t="str">
        <f>VLOOKUP(Tabelle2[[#This Row],[Kunden Nr.]],KUNDEN!A:B,2,0)</f>
        <v>HIDRO DANI</v>
      </c>
      <c r="H735" s="75">
        <v>35111</v>
      </c>
      <c r="I735" s="76" t="str">
        <f>VLOOKUP(Tabelle2[[#This Row],[Artikel]],Produkte!A:B,2,0)</f>
        <v>M-ONE Sanitar Silikon</v>
      </c>
      <c r="J735" s="75">
        <v>12</v>
      </c>
      <c r="K735" s="76" t="str">
        <f>VLOOKUP(Tabelle2[[#This Row],[Kunden Nr.]],KUNDEN!A:G,7)</f>
        <v>Mensuri</v>
      </c>
      <c r="L735" s="76">
        <f>VLOOKUP(Tabelle2[[#This Row],[Artikel]],Produkte!A:H,8)</f>
        <v>0.17</v>
      </c>
    </row>
    <row r="736" spans="1:12" x14ac:dyDescent="0.2">
      <c r="A736" s="75" t="s">
        <v>1232</v>
      </c>
      <c r="B736" s="79">
        <v>46060</v>
      </c>
      <c r="C736" s="75"/>
      <c r="D736" s="75"/>
      <c r="E736" s="75"/>
      <c r="F736" s="75">
        <v>20630</v>
      </c>
      <c r="G736" s="76" t="str">
        <f>VLOOKUP(Tabelle2[[#This Row],[Kunden Nr.]],KUNDEN!A:B,2,0)</f>
        <v>HIDRO DANI</v>
      </c>
      <c r="H736" s="75">
        <v>51612</v>
      </c>
      <c r="I736" s="76" t="str">
        <f>VLOOKUP(Tabelle2[[#This Row],[Artikel]],Produkte!A:B,2,0)</f>
        <v>struktural akryl</v>
      </c>
      <c r="J736" s="75">
        <v>12</v>
      </c>
      <c r="K736" s="76" t="str">
        <f>VLOOKUP(Tabelle2[[#This Row],[Kunden Nr.]],KUNDEN!A:G,7)</f>
        <v>Mensuri</v>
      </c>
      <c r="L736" s="76">
        <f>VLOOKUP(Tabelle2[[#This Row],[Artikel]],Produkte!A:H,8)</f>
        <v>0.06</v>
      </c>
    </row>
    <row r="737" spans="1:12" x14ac:dyDescent="0.2">
      <c r="A737" s="75" t="s">
        <v>1232</v>
      </c>
      <c r="B737" s="79">
        <v>46060</v>
      </c>
      <c r="C737" s="75"/>
      <c r="D737" s="75"/>
      <c r="E737" s="75"/>
      <c r="F737" s="75">
        <v>20630</v>
      </c>
      <c r="G737" s="76" t="str">
        <f>VLOOKUP(Tabelle2[[#This Row],[Kunden Nr.]],KUNDEN!A:B,2,0)</f>
        <v>HIDRO DANI</v>
      </c>
      <c r="H737" s="75">
        <v>49644</v>
      </c>
      <c r="I737" s="76" t="str">
        <f>VLOOKUP(Tabelle2[[#This Row],[Artikel]],Produkte!A:B,2,0)</f>
        <v>beMAKER Rostlöser</v>
      </c>
      <c r="J737" s="75">
        <v>12</v>
      </c>
      <c r="K737" s="76" t="str">
        <f>VLOOKUP(Tabelle2[[#This Row],[Kunden Nr.]],KUNDEN!A:G,7)</f>
        <v>Mensuri</v>
      </c>
      <c r="L737" s="76">
        <f>VLOOKUP(Tabelle2[[#This Row],[Artikel]],Produkte!A:H,8)</f>
        <v>0.2</v>
      </c>
    </row>
    <row r="738" spans="1:12" x14ac:dyDescent="0.2">
      <c r="A738" s="75" t="s">
        <v>967</v>
      </c>
      <c r="B738" s="79">
        <v>46060</v>
      </c>
      <c r="C738" s="89">
        <v>138.6</v>
      </c>
      <c r="D738" s="75"/>
      <c r="E738" s="75"/>
      <c r="F738" s="75">
        <v>20603</v>
      </c>
      <c r="G738" s="76" t="str">
        <f>VLOOKUP(Tabelle2[[#This Row],[Kunden Nr.]],KUNDEN!A:B,2,0)</f>
        <v>PROMOIN</v>
      </c>
      <c r="H738" s="75">
        <v>35109</v>
      </c>
      <c r="I738" s="76" t="str">
        <f>VLOOKUP(Tabelle2[[#This Row],[Artikel]],Produkte!A:B,2,0)</f>
        <v>M-ONE Sanitar Silikon</v>
      </c>
      <c r="J738" s="75">
        <v>12</v>
      </c>
      <c r="K738" s="76" t="str">
        <f>VLOOKUP(Tabelle2[[#This Row],[Kunden Nr.]],KUNDEN!A:G,7)</f>
        <v>Mensuri</v>
      </c>
      <c r="L738" s="76">
        <f>VLOOKUP(Tabelle2[[#This Row],[Artikel]],Produkte!A:H,8)</f>
        <v>0.17</v>
      </c>
    </row>
    <row r="739" spans="1:12" x14ac:dyDescent="0.2">
      <c r="A739" s="75" t="s">
        <v>967</v>
      </c>
      <c r="B739" s="79">
        <v>46060</v>
      </c>
      <c r="C739" s="75"/>
      <c r="D739" s="75"/>
      <c r="E739" s="75"/>
      <c r="F739" s="75">
        <v>20603</v>
      </c>
      <c r="G739" s="76" t="str">
        <f>VLOOKUP(Tabelle2[[#This Row],[Kunden Nr.]],KUNDEN!A:B,2,0)</f>
        <v>PROMOIN</v>
      </c>
      <c r="H739" s="75">
        <v>35113</v>
      </c>
      <c r="I739" s="76" t="str">
        <f>VLOOKUP(Tabelle2[[#This Row],[Artikel]],Produkte!A:B,2,0)</f>
        <v>M-ONE Sanitar Silikon</v>
      </c>
      <c r="J739" s="75">
        <v>12</v>
      </c>
      <c r="K739" s="76" t="str">
        <f>VLOOKUP(Tabelle2[[#This Row],[Kunden Nr.]],KUNDEN!A:G,7)</f>
        <v>Mensuri</v>
      </c>
      <c r="L739" s="76">
        <f>VLOOKUP(Tabelle2[[#This Row],[Artikel]],Produkte!A:H,8)</f>
        <v>0.17</v>
      </c>
    </row>
    <row r="740" spans="1:12" x14ac:dyDescent="0.2">
      <c r="A740" s="75" t="s">
        <v>967</v>
      </c>
      <c r="B740" s="79">
        <v>46060</v>
      </c>
      <c r="C740" s="75"/>
      <c r="D740" s="75"/>
      <c r="E740" s="75"/>
      <c r="F740" s="75">
        <v>20603</v>
      </c>
      <c r="G740" s="76" t="str">
        <f>VLOOKUP(Tabelle2[[#This Row],[Kunden Nr.]],KUNDEN!A:B,2,0)</f>
        <v>PROMOIN</v>
      </c>
      <c r="H740" s="75">
        <v>35128</v>
      </c>
      <c r="I740" s="76" t="str">
        <f>VLOOKUP(Tabelle2[[#This Row],[Artikel]],Produkte!A:B,2,0)</f>
        <v>M-ONE Sanitar Silikon</v>
      </c>
      <c r="J740" s="75">
        <v>12</v>
      </c>
      <c r="K740" s="76" t="str">
        <f>VLOOKUP(Tabelle2[[#This Row],[Kunden Nr.]],KUNDEN!A:G,7)</f>
        <v>Mensuri</v>
      </c>
      <c r="L740" s="76">
        <f>VLOOKUP(Tabelle2[[#This Row],[Artikel]],Produkte!A:H,8)</f>
        <v>0.17</v>
      </c>
    </row>
    <row r="741" spans="1:12" x14ac:dyDescent="0.2">
      <c r="A741" s="75" t="s">
        <v>1190</v>
      </c>
      <c r="B741" s="79">
        <v>46062</v>
      </c>
      <c r="C741" s="89">
        <v>46.2</v>
      </c>
      <c r="D741" s="75"/>
      <c r="E741" s="75"/>
      <c r="F741" s="75">
        <v>10135</v>
      </c>
      <c r="G741" s="76" t="str">
        <f>VLOOKUP(Tabelle2[[#This Row],[Kunden Nr.]],KUNDEN!A:B,2,0)</f>
        <v>TONI COLORS</v>
      </c>
      <c r="H741" s="75">
        <v>35109</v>
      </c>
      <c r="I741" s="76" t="str">
        <f>VLOOKUP(Tabelle2[[#This Row],[Artikel]],Produkte!A:B,2,0)</f>
        <v>M-ONE Sanitar Silikon</v>
      </c>
      <c r="J741" s="75">
        <v>12</v>
      </c>
      <c r="K741" s="76" t="str">
        <f>VLOOKUP(Tabelle2[[#This Row],[Kunden Nr.]],KUNDEN!A:G,7)</f>
        <v>Qerimi</v>
      </c>
      <c r="L741" s="76">
        <f>VLOOKUP(Tabelle2[[#This Row],[Artikel]],Produkte!A:H,8)</f>
        <v>0.17</v>
      </c>
    </row>
    <row r="742" spans="1:12" x14ac:dyDescent="0.2">
      <c r="A742" s="75" t="s">
        <v>576</v>
      </c>
      <c r="B742" s="79">
        <v>46062</v>
      </c>
      <c r="C742" s="89">
        <v>48.8</v>
      </c>
      <c r="D742" s="75"/>
      <c r="E742" s="75"/>
      <c r="F742" s="75">
        <v>10114</v>
      </c>
      <c r="G742" s="76" t="str">
        <f>VLOOKUP(Tabelle2[[#This Row],[Kunden Nr.]],KUNDEN!A:B,2,0)</f>
        <v>QELA</v>
      </c>
      <c r="H742" s="75">
        <v>54412</v>
      </c>
      <c r="I742" s="76" t="str">
        <f>VLOOKUP(Tabelle2[[#This Row],[Artikel]],Produkte!A:B,2,0)</f>
        <v>beMAKER Bremsen&amp;Teile Reininger</v>
      </c>
      <c r="J742" s="75">
        <v>6</v>
      </c>
      <c r="K742" s="76" t="str">
        <f>VLOOKUP(Tabelle2[[#This Row],[Kunden Nr.]],KUNDEN!A:G,7)</f>
        <v>Qerimi</v>
      </c>
      <c r="L742" s="76">
        <f>VLOOKUP(Tabelle2[[#This Row],[Artikel]],Produkte!A:H,8)</f>
        <v>0.2</v>
      </c>
    </row>
    <row r="743" spans="1:12" x14ac:dyDescent="0.2">
      <c r="A743" s="75" t="s">
        <v>576</v>
      </c>
      <c r="B743" s="79">
        <v>46062</v>
      </c>
      <c r="C743" s="75"/>
      <c r="D743" s="75"/>
      <c r="E743" s="75"/>
      <c r="F743" s="75">
        <v>10114</v>
      </c>
      <c r="G743" s="76" t="str">
        <f>VLOOKUP(Tabelle2[[#This Row],[Kunden Nr.]],KUNDEN!A:B,2,0)</f>
        <v>QELA</v>
      </c>
      <c r="H743" s="75">
        <v>50912</v>
      </c>
      <c r="I743" s="76" t="str">
        <f>VLOOKUP(Tabelle2[[#This Row],[Artikel]],Produkte!A:B,2,0)</f>
        <v>DICHTUNG</v>
      </c>
      <c r="J743" s="75">
        <v>4</v>
      </c>
      <c r="K743" s="76" t="str">
        <f>VLOOKUP(Tabelle2[[#This Row],[Kunden Nr.]],KUNDEN!A:G,7)</f>
        <v>Qerimi</v>
      </c>
      <c r="L743" s="76">
        <f>VLOOKUP(Tabelle2[[#This Row],[Artikel]],Produkte!A:H,8)</f>
        <v>0.2</v>
      </c>
    </row>
    <row r="744" spans="1:12" x14ac:dyDescent="0.2">
      <c r="A744" s="75" t="s">
        <v>576</v>
      </c>
      <c r="B744" s="79">
        <v>46062</v>
      </c>
      <c r="C744" s="75"/>
      <c r="D744" s="75"/>
      <c r="E744" s="75"/>
      <c r="F744" s="75">
        <v>10114</v>
      </c>
      <c r="G744" s="76" t="str">
        <f>VLOOKUP(Tabelle2[[#This Row],[Kunden Nr.]],KUNDEN!A:B,2,0)</f>
        <v>QELA</v>
      </c>
      <c r="H744" s="75">
        <v>49644</v>
      </c>
      <c r="I744" s="76" t="str">
        <f>VLOOKUP(Tabelle2[[#This Row],[Artikel]],Produkte!A:B,2,0)</f>
        <v>beMAKER Rostlöser</v>
      </c>
      <c r="J744" s="75">
        <v>4</v>
      </c>
      <c r="K744" s="76" t="str">
        <f>VLOOKUP(Tabelle2[[#This Row],[Kunden Nr.]],KUNDEN!A:G,7)</f>
        <v>Qerimi</v>
      </c>
      <c r="L744" s="76">
        <f>VLOOKUP(Tabelle2[[#This Row],[Artikel]],Produkte!A:H,8)</f>
        <v>0.2</v>
      </c>
    </row>
    <row r="745" spans="1:12" x14ac:dyDescent="0.2">
      <c r="A745" s="75" t="s">
        <v>573</v>
      </c>
      <c r="B745" s="79">
        <v>46062</v>
      </c>
      <c r="C745" s="89">
        <v>138.4</v>
      </c>
      <c r="D745" s="75"/>
      <c r="E745" s="75"/>
      <c r="F745" s="75">
        <v>10111</v>
      </c>
      <c r="G745" s="76" t="str">
        <f>VLOOKUP(Tabelle2[[#This Row],[Kunden Nr.]],KUNDEN!A:B,2,0)</f>
        <v>KADIJOLLET</v>
      </c>
      <c r="H745" s="75">
        <v>35112</v>
      </c>
      <c r="I745" s="76" t="str">
        <f>VLOOKUP(Tabelle2[[#This Row],[Artikel]],Produkte!A:B,2,0)</f>
        <v>M-ONE Sanitar Silikon</v>
      </c>
      <c r="J745" s="75">
        <v>12</v>
      </c>
      <c r="K745" s="76" t="str">
        <f>VLOOKUP(Tabelle2[[#This Row],[Kunden Nr.]],KUNDEN!A:G,7)</f>
        <v>Qerimi</v>
      </c>
      <c r="L745" s="76">
        <f>VLOOKUP(Tabelle2[[#This Row],[Artikel]],Produkte!A:H,8)</f>
        <v>0.17</v>
      </c>
    </row>
    <row r="746" spans="1:12" x14ac:dyDescent="0.2">
      <c r="A746" s="75" t="s">
        <v>573</v>
      </c>
      <c r="B746" s="79">
        <v>46062</v>
      </c>
      <c r="C746" s="75"/>
      <c r="D746" s="75"/>
      <c r="E746" s="75"/>
      <c r="F746" s="75">
        <v>10111</v>
      </c>
      <c r="G746" s="76" t="str">
        <f>VLOOKUP(Tabelle2[[#This Row],[Kunden Nr.]],KUNDEN!A:B,2,0)</f>
        <v>KADIJOLLET</v>
      </c>
      <c r="H746" s="75">
        <v>35109</v>
      </c>
      <c r="I746" s="76" t="str">
        <f>VLOOKUP(Tabelle2[[#This Row],[Artikel]],Produkte!A:B,2,0)</f>
        <v>M-ONE Sanitar Silikon</v>
      </c>
      <c r="J746" s="75">
        <v>12</v>
      </c>
      <c r="K746" s="76" t="str">
        <f>VLOOKUP(Tabelle2[[#This Row],[Kunden Nr.]],KUNDEN!A:G,7)</f>
        <v>Qerimi</v>
      </c>
      <c r="L746" s="76">
        <f>VLOOKUP(Tabelle2[[#This Row],[Artikel]],Produkte!A:H,8)</f>
        <v>0.17</v>
      </c>
    </row>
    <row r="747" spans="1:12" x14ac:dyDescent="0.2">
      <c r="A747" s="75" t="s">
        <v>573</v>
      </c>
      <c r="B747" s="79">
        <v>46062</v>
      </c>
      <c r="C747" s="75"/>
      <c r="D747" s="75"/>
      <c r="E747" s="75"/>
      <c r="F747" s="75">
        <v>10111</v>
      </c>
      <c r="G747" s="76" t="str">
        <f>VLOOKUP(Tabelle2[[#This Row],[Kunden Nr.]],KUNDEN!A:B,2,0)</f>
        <v>KADIJOLLET</v>
      </c>
      <c r="H747" s="75">
        <v>50912</v>
      </c>
      <c r="I747" s="76" t="str">
        <f>VLOOKUP(Tabelle2[[#This Row],[Artikel]],Produkte!A:B,2,0)</f>
        <v>DICHTUNG</v>
      </c>
      <c r="J747" s="75">
        <v>5</v>
      </c>
      <c r="K747" s="76" t="str">
        <f>VLOOKUP(Tabelle2[[#This Row],[Kunden Nr.]],KUNDEN!A:G,7)</f>
        <v>Qerimi</v>
      </c>
      <c r="L747" s="76">
        <f>VLOOKUP(Tabelle2[[#This Row],[Artikel]],Produkte!A:H,8)</f>
        <v>0.2</v>
      </c>
    </row>
    <row r="748" spans="1:12" x14ac:dyDescent="0.2">
      <c r="A748" s="75" t="s">
        <v>573</v>
      </c>
      <c r="B748" s="79">
        <v>46062</v>
      </c>
      <c r="C748" s="75"/>
      <c r="D748" s="75"/>
      <c r="E748" s="75"/>
      <c r="F748" s="75">
        <v>10111</v>
      </c>
      <c r="G748" s="76" t="str">
        <f>VLOOKUP(Tabelle2[[#This Row],[Kunden Nr.]],KUNDEN!A:B,2,0)</f>
        <v>KADIJOLLET</v>
      </c>
      <c r="H748" s="75">
        <v>26736</v>
      </c>
      <c r="I748" s="76" t="str">
        <f>VLOOKUP(Tabelle2[[#This Row],[Artikel]],Produkte!A:B,2,0)</f>
        <v>M ONE HAFTGRUND</v>
      </c>
      <c r="J748" s="75">
        <v>5</v>
      </c>
      <c r="K748" s="76" t="str">
        <f>VLOOKUP(Tabelle2[[#This Row],[Kunden Nr.]],KUNDEN!A:G,7)</f>
        <v>Qerimi</v>
      </c>
      <c r="L748" s="76">
        <f>VLOOKUP(Tabelle2[[#This Row],[Artikel]],Produkte!A:H,8)</f>
        <v>0.15</v>
      </c>
    </row>
    <row r="749" spans="1:12" x14ac:dyDescent="0.2">
      <c r="A749" s="75" t="s">
        <v>566</v>
      </c>
      <c r="B749" s="79">
        <v>46062</v>
      </c>
      <c r="C749" s="89">
        <v>92.4</v>
      </c>
      <c r="D749" s="75"/>
      <c r="E749" s="75"/>
      <c r="F749" s="75">
        <v>10104</v>
      </c>
      <c r="G749" s="76" t="str">
        <f>VLOOKUP(Tabelle2[[#This Row],[Kunden Nr.]],KUNDEN!A:B,2,0)</f>
        <v>JETARI</v>
      </c>
      <c r="H749" s="75">
        <v>35110</v>
      </c>
      <c r="I749" s="76" t="str">
        <f>VLOOKUP(Tabelle2[[#This Row],[Artikel]],Produkte!A:B,2,0)</f>
        <v>M-ONE Sanitar Silikon</v>
      </c>
      <c r="J749" s="75">
        <v>12</v>
      </c>
      <c r="K749" s="76" t="str">
        <f>VLOOKUP(Tabelle2[[#This Row],[Kunden Nr.]],KUNDEN!A:G,7)</f>
        <v>Qerimi</v>
      </c>
      <c r="L749" s="76">
        <f>VLOOKUP(Tabelle2[[#This Row],[Artikel]],Produkte!A:H,8)</f>
        <v>0.17</v>
      </c>
    </row>
    <row r="750" spans="1:12" x14ac:dyDescent="0.2">
      <c r="A750" s="75" t="s">
        <v>566</v>
      </c>
      <c r="B750" s="79">
        <v>46062</v>
      </c>
      <c r="C750" s="75"/>
      <c r="D750" s="75"/>
      <c r="E750" s="75"/>
      <c r="F750" s="75">
        <v>10104</v>
      </c>
      <c r="G750" s="76" t="str">
        <f>VLOOKUP(Tabelle2[[#This Row],[Kunden Nr.]],KUNDEN!A:B,2,0)</f>
        <v>JETARI</v>
      </c>
      <c r="H750" s="75">
        <v>35125</v>
      </c>
      <c r="I750" s="76" t="str">
        <f>VLOOKUP(Tabelle2[[#This Row],[Artikel]],Produkte!A:B,2,0)</f>
        <v>M-ONE Sanitar Silikon</v>
      </c>
      <c r="J750" s="75">
        <v>12</v>
      </c>
      <c r="K750" s="76" t="str">
        <f>VLOOKUP(Tabelle2[[#This Row],[Kunden Nr.]],KUNDEN!A:G,7)</f>
        <v>Qerimi</v>
      </c>
      <c r="L750" s="76">
        <f>VLOOKUP(Tabelle2[[#This Row],[Artikel]],Produkte!A:H,8)</f>
        <v>0.17</v>
      </c>
    </row>
    <row r="751" spans="1:12" x14ac:dyDescent="0.2">
      <c r="A751" s="75" t="s">
        <v>1179</v>
      </c>
      <c r="B751" s="79">
        <v>46062</v>
      </c>
      <c r="C751" s="89">
        <v>92.4</v>
      </c>
      <c r="D751" s="75"/>
      <c r="E751" s="75"/>
      <c r="F751" s="75">
        <v>40019</v>
      </c>
      <c r="G751" s="76" t="str">
        <f>VLOOKUP(Tabelle2[[#This Row],[Kunden Nr.]],KUNDEN!A:B,2,0)</f>
        <v>TEMAJ</v>
      </c>
      <c r="H751" s="75">
        <v>35110</v>
      </c>
      <c r="I751" s="76" t="str">
        <f>VLOOKUP(Tabelle2[[#This Row],[Artikel]],Produkte!A:B,2,0)</f>
        <v>M-ONE Sanitar Silikon</v>
      </c>
      <c r="J751" s="75">
        <v>12</v>
      </c>
      <c r="K751" s="76">
        <f>VLOOKUP(Tabelle2[[#This Row],[Kunden Nr.]],KUNDEN!A:G,7)</f>
        <v>0</v>
      </c>
      <c r="L751" s="76">
        <f>VLOOKUP(Tabelle2[[#This Row],[Artikel]],Produkte!A:H,8)</f>
        <v>0.17</v>
      </c>
    </row>
    <row r="752" spans="1:12" x14ac:dyDescent="0.2">
      <c r="A752" s="75" t="s">
        <v>1179</v>
      </c>
      <c r="B752" s="79">
        <v>46062</v>
      </c>
      <c r="C752" s="75"/>
      <c r="D752" s="75"/>
      <c r="E752" s="75"/>
      <c r="F752" s="75">
        <v>40019</v>
      </c>
      <c r="G752" s="76" t="str">
        <f>VLOOKUP(Tabelle2[[#This Row],[Kunden Nr.]],KUNDEN!A:B,2,0)</f>
        <v>TEMAJ</v>
      </c>
      <c r="H752" s="75">
        <v>35111</v>
      </c>
      <c r="I752" s="76" t="str">
        <f>VLOOKUP(Tabelle2[[#This Row],[Artikel]],Produkte!A:B,2,0)</f>
        <v>M-ONE Sanitar Silikon</v>
      </c>
      <c r="J752" s="75">
        <v>12</v>
      </c>
      <c r="K752" s="76">
        <f>VLOOKUP(Tabelle2[[#This Row],[Kunden Nr.]],KUNDEN!A:G,7)</f>
        <v>0</v>
      </c>
      <c r="L752" s="76">
        <f>VLOOKUP(Tabelle2[[#This Row],[Artikel]],Produkte!A:H,8)</f>
        <v>0.17</v>
      </c>
    </row>
    <row r="753" spans="1:12" x14ac:dyDescent="0.2">
      <c r="A753" s="75" t="s">
        <v>474</v>
      </c>
      <c r="B753" s="79">
        <v>46062</v>
      </c>
      <c r="C753" s="89">
        <v>138.6</v>
      </c>
      <c r="D753" s="75"/>
      <c r="E753" s="75"/>
      <c r="F753" s="75">
        <v>20109</v>
      </c>
      <c r="G753" s="76" t="str">
        <f>VLOOKUP(Tabelle2[[#This Row],[Kunden Nr.]],KUNDEN!A:B,2,0)</f>
        <v>KENA COMERC</v>
      </c>
      <c r="H753" s="75">
        <v>35109</v>
      </c>
      <c r="I753" s="76" t="str">
        <f>VLOOKUP(Tabelle2[[#This Row],[Artikel]],Produkte!A:B,2,0)</f>
        <v>M-ONE Sanitar Silikon</v>
      </c>
      <c r="J753" s="75">
        <v>12</v>
      </c>
      <c r="K753" s="76" t="str">
        <f>VLOOKUP(Tabelle2[[#This Row],[Kunden Nr.]],KUNDEN!A:G,7)</f>
        <v>Mensuri</v>
      </c>
      <c r="L753" s="76">
        <f>VLOOKUP(Tabelle2[[#This Row],[Artikel]],Produkte!A:H,8)</f>
        <v>0.17</v>
      </c>
    </row>
    <row r="754" spans="1:12" x14ac:dyDescent="0.2">
      <c r="A754" s="75" t="s">
        <v>474</v>
      </c>
      <c r="B754" s="79">
        <v>46062</v>
      </c>
      <c r="C754" s="75"/>
      <c r="D754" s="75"/>
      <c r="E754" s="75"/>
      <c r="F754" s="75">
        <v>20109</v>
      </c>
      <c r="G754" s="76" t="str">
        <f>VLOOKUP(Tabelle2[[#This Row],[Kunden Nr.]],KUNDEN!A:B,2,0)</f>
        <v>KENA COMERC</v>
      </c>
      <c r="H754" s="75">
        <v>35111</v>
      </c>
      <c r="I754" s="76" t="str">
        <f>VLOOKUP(Tabelle2[[#This Row],[Artikel]],Produkte!A:B,2,0)</f>
        <v>M-ONE Sanitar Silikon</v>
      </c>
      <c r="J754" s="75">
        <v>12</v>
      </c>
      <c r="K754" s="76" t="str">
        <f>VLOOKUP(Tabelle2[[#This Row],[Kunden Nr.]],KUNDEN!A:G,7)</f>
        <v>Mensuri</v>
      </c>
      <c r="L754" s="76">
        <f>VLOOKUP(Tabelle2[[#This Row],[Artikel]],Produkte!A:H,8)</f>
        <v>0.17</v>
      </c>
    </row>
    <row r="755" spans="1:12" x14ac:dyDescent="0.2">
      <c r="A755" s="75" t="s">
        <v>474</v>
      </c>
      <c r="B755" s="79">
        <v>46062</v>
      </c>
      <c r="C755" s="75"/>
      <c r="D755" s="75"/>
      <c r="E755" s="75"/>
      <c r="F755" s="75">
        <v>20109</v>
      </c>
      <c r="G755" s="76" t="str">
        <f>VLOOKUP(Tabelle2[[#This Row],[Kunden Nr.]],KUNDEN!A:B,2,0)</f>
        <v>KENA COMERC</v>
      </c>
      <c r="H755" s="75">
        <v>35128</v>
      </c>
      <c r="I755" s="76" t="str">
        <f>VLOOKUP(Tabelle2[[#This Row],[Artikel]],Produkte!A:B,2,0)</f>
        <v>M-ONE Sanitar Silikon</v>
      </c>
      <c r="J755" s="75">
        <v>12</v>
      </c>
      <c r="K755" s="76" t="str">
        <f>VLOOKUP(Tabelle2[[#This Row],[Kunden Nr.]],KUNDEN!A:G,7)</f>
        <v>Mensuri</v>
      </c>
      <c r="L755" s="76">
        <f>VLOOKUP(Tabelle2[[#This Row],[Artikel]],Produkte!A:H,8)</f>
        <v>0.17</v>
      </c>
    </row>
    <row r="756" spans="1:12" x14ac:dyDescent="0.2">
      <c r="A756" s="75" t="s">
        <v>469</v>
      </c>
      <c r="B756" s="79">
        <v>46062</v>
      </c>
      <c r="C756" s="89">
        <v>47.2</v>
      </c>
      <c r="D756" s="75"/>
      <c r="E756" s="75"/>
      <c r="F756" s="75">
        <v>20102</v>
      </c>
      <c r="G756" s="76" t="str">
        <f>VLOOKUP(Tabelle2[[#This Row],[Kunden Nr.]],KUNDEN!A:B,2,0)</f>
        <v>KUQI-LKW</v>
      </c>
      <c r="H756" s="75">
        <v>50912</v>
      </c>
      <c r="I756" s="76" t="str">
        <f>VLOOKUP(Tabelle2[[#This Row],[Artikel]],Produkte!A:B,2,0)</f>
        <v>DICHTUNG</v>
      </c>
      <c r="J756" s="75">
        <v>6</v>
      </c>
      <c r="K756" s="76" t="str">
        <f>VLOOKUP(Tabelle2[[#This Row],[Kunden Nr.]],KUNDEN!A:G,7)</f>
        <v>Mensuri</v>
      </c>
      <c r="L756" s="76">
        <f>VLOOKUP(Tabelle2[[#This Row],[Artikel]],Produkte!A:H,8)</f>
        <v>0.2</v>
      </c>
    </row>
    <row r="757" spans="1:12" x14ac:dyDescent="0.2">
      <c r="A757" s="75" t="s">
        <v>469</v>
      </c>
      <c r="B757" s="79">
        <v>46062</v>
      </c>
      <c r="C757" s="75"/>
      <c r="D757" s="75"/>
      <c r="E757" s="75"/>
      <c r="F757" s="75">
        <v>20102</v>
      </c>
      <c r="G757" s="76" t="str">
        <f>VLOOKUP(Tabelle2[[#This Row],[Kunden Nr.]],KUNDEN!A:B,2,0)</f>
        <v>KUQI-LKW</v>
      </c>
      <c r="H757" s="75">
        <v>49644</v>
      </c>
      <c r="I757" s="76" t="str">
        <f>VLOOKUP(Tabelle2[[#This Row],[Artikel]],Produkte!A:B,2,0)</f>
        <v>beMAKER Rostlöser</v>
      </c>
      <c r="J757" s="75">
        <v>2</v>
      </c>
      <c r="K757" s="76" t="str">
        <f>VLOOKUP(Tabelle2[[#This Row],[Kunden Nr.]],KUNDEN!A:G,7)</f>
        <v>Mensuri</v>
      </c>
      <c r="L757" s="76">
        <f>VLOOKUP(Tabelle2[[#This Row],[Artikel]],Produkte!A:H,8)</f>
        <v>0.2</v>
      </c>
    </row>
    <row r="758" spans="1:12" x14ac:dyDescent="0.2">
      <c r="A758" s="75" t="s">
        <v>468</v>
      </c>
      <c r="B758" s="79">
        <v>46062</v>
      </c>
      <c r="C758" s="89">
        <v>28.5</v>
      </c>
      <c r="D758" s="75"/>
      <c r="E758" s="75"/>
      <c r="F758" s="75">
        <v>20101</v>
      </c>
      <c r="G758" s="76" t="str">
        <f>VLOOKUP(Tabelle2[[#This Row],[Kunden Nr.]],KUNDEN!A:B,2,0)</f>
        <v>TE GZIMI</v>
      </c>
      <c r="H758" s="75">
        <v>49644</v>
      </c>
      <c r="I758" s="76" t="str">
        <f>VLOOKUP(Tabelle2[[#This Row],[Artikel]],Produkte!A:B,2,0)</f>
        <v>beMAKER Rostlöser</v>
      </c>
      <c r="J758" s="75">
        <v>5</v>
      </c>
      <c r="K758" s="76" t="str">
        <f>VLOOKUP(Tabelle2[[#This Row],[Kunden Nr.]],KUNDEN!A:G,7)</f>
        <v>Mensuri</v>
      </c>
      <c r="L758" s="76">
        <f>VLOOKUP(Tabelle2[[#This Row],[Artikel]],Produkte!A:H,8)</f>
        <v>0.2</v>
      </c>
    </row>
    <row r="759" spans="1:12" x14ac:dyDescent="0.2">
      <c r="A759" s="75" t="s">
        <v>468</v>
      </c>
      <c r="B759" s="79">
        <v>46062</v>
      </c>
      <c r="C759" s="75"/>
      <c r="D759" s="75"/>
      <c r="E759" s="75"/>
      <c r="F759" s="75">
        <v>20101</v>
      </c>
      <c r="G759" s="76" t="str">
        <f>VLOOKUP(Tabelle2[[#This Row],[Kunden Nr.]],KUNDEN!A:B,2,0)</f>
        <v>TE GZIMI</v>
      </c>
      <c r="H759" s="75">
        <v>54412</v>
      </c>
      <c r="I759" s="76" t="str">
        <f>VLOOKUP(Tabelle2[[#This Row],[Artikel]],Produkte!A:B,2,0)</f>
        <v>beMAKER Bremsen&amp;Teile Reininger</v>
      </c>
      <c r="J759" s="75">
        <v>4</v>
      </c>
      <c r="K759" s="76" t="str">
        <f>VLOOKUP(Tabelle2[[#This Row],[Kunden Nr.]],KUNDEN!A:G,7)</f>
        <v>Mensuri</v>
      </c>
      <c r="L759" s="76">
        <f>VLOOKUP(Tabelle2[[#This Row],[Artikel]],Produkte!A:H,8)</f>
        <v>0.2</v>
      </c>
    </row>
    <row r="760" spans="1:12" x14ac:dyDescent="0.2">
      <c r="A760" s="75" t="s">
        <v>468</v>
      </c>
      <c r="B760" s="79">
        <v>46062</v>
      </c>
      <c r="C760" s="75"/>
      <c r="D760" s="75"/>
      <c r="E760" s="75"/>
      <c r="F760" s="75">
        <v>20101</v>
      </c>
      <c r="G760" s="76" t="str">
        <f>VLOOKUP(Tabelle2[[#This Row],[Kunden Nr.]],KUNDEN!A:B,2,0)</f>
        <v>TE GZIMI</v>
      </c>
      <c r="H760" s="75">
        <v>55718</v>
      </c>
      <c r="I760" s="76" t="str">
        <f>VLOOKUP(Tabelle2[[#This Row],[Artikel]],Produkte!A:B,2,0)</f>
        <v>M ONE MOTORSTART</v>
      </c>
      <c r="J760" s="75">
        <v>3</v>
      </c>
      <c r="K760" s="76" t="str">
        <f>VLOOKUP(Tabelle2[[#This Row],[Kunden Nr.]],KUNDEN!A:G,7)</f>
        <v>Mensuri</v>
      </c>
      <c r="L760" s="76">
        <f>VLOOKUP(Tabelle2[[#This Row],[Artikel]],Produkte!A:H,8)</f>
        <v>0.2</v>
      </c>
    </row>
    <row r="761" spans="1:12" x14ac:dyDescent="0.2">
      <c r="A761" s="75" t="s">
        <v>471</v>
      </c>
      <c r="B761" s="79">
        <v>46062</v>
      </c>
      <c r="C761" s="89">
        <v>138.6</v>
      </c>
      <c r="D761" s="75"/>
      <c r="E761" s="75"/>
      <c r="F761" s="75">
        <v>20104</v>
      </c>
      <c r="G761" s="76" t="str">
        <f>VLOOKUP(Tabelle2[[#This Row],[Kunden Nr.]],KUNDEN!A:B,2,0)</f>
        <v>KTHIMI</v>
      </c>
      <c r="H761" s="75">
        <v>35108</v>
      </c>
      <c r="I761" s="76" t="str">
        <f>VLOOKUP(Tabelle2[[#This Row],[Artikel]],Produkte!A:B,2,0)</f>
        <v>M-ONE Sanitar Silikon</v>
      </c>
      <c r="J761" s="75">
        <v>24</v>
      </c>
      <c r="K761" s="76" t="str">
        <f>VLOOKUP(Tabelle2[[#This Row],[Kunden Nr.]],KUNDEN!A:G,7)</f>
        <v>Mensuri</v>
      </c>
      <c r="L761" s="76">
        <f>VLOOKUP(Tabelle2[[#This Row],[Artikel]],Produkte!A:H,8)</f>
        <v>0.17</v>
      </c>
    </row>
    <row r="762" spans="1:12" x14ac:dyDescent="0.2">
      <c r="A762" s="75" t="s">
        <v>471</v>
      </c>
      <c r="B762" s="79">
        <v>46062</v>
      </c>
      <c r="C762" s="75"/>
      <c r="D762" s="75"/>
      <c r="E762" s="75"/>
      <c r="F762" s="75">
        <v>20104</v>
      </c>
      <c r="G762" s="76" t="str">
        <f>VLOOKUP(Tabelle2[[#This Row],[Kunden Nr.]],KUNDEN!A:B,2,0)</f>
        <v>KTHIMI</v>
      </c>
      <c r="H762" s="75">
        <v>35119</v>
      </c>
      <c r="I762" s="76" t="str">
        <f>VLOOKUP(Tabelle2[[#This Row],[Artikel]],Produkte!A:B,2,0)</f>
        <v>M-ONE Sanitar Silikon</v>
      </c>
      <c r="J762" s="75">
        <v>12</v>
      </c>
      <c r="K762" s="76" t="str">
        <f>VLOOKUP(Tabelle2[[#This Row],[Kunden Nr.]],KUNDEN!A:G,7)</f>
        <v>Mensuri</v>
      </c>
      <c r="L762" s="76">
        <f>VLOOKUP(Tabelle2[[#This Row],[Artikel]],Produkte!A:H,8)</f>
        <v>0.17</v>
      </c>
    </row>
    <row r="763" spans="1:12" x14ac:dyDescent="0.2">
      <c r="A763" s="75" t="s">
        <v>1180</v>
      </c>
      <c r="B763" s="79">
        <v>46062</v>
      </c>
      <c r="C763" s="89">
        <v>92.4</v>
      </c>
      <c r="D763" s="75"/>
      <c r="E763" s="75"/>
      <c r="F763" s="75">
        <v>20126</v>
      </c>
      <c r="G763" s="76" t="str">
        <f>VLOOKUP(Tabelle2[[#This Row],[Kunden Nr.]],KUNDEN!A:B,2,0)</f>
        <v>LULI-C</v>
      </c>
      <c r="H763" s="75">
        <v>35112</v>
      </c>
      <c r="I763" s="76" t="str">
        <f>VLOOKUP(Tabelle2[[#This Row],[Artikel]],Produkte!A:B,2,0)</f>
        <v>M-ONE Sanitar Silikon</v>
      </c>
      <c r="J763" s="75">
        <v>24</v>
      </c>
      <c r="K763" s="76" t="str">
        <f>VLOOKUP(Tabelle2[[#This Row],[Kunden Nr.]],KUNDEN!A:G,7)</f>
        <v>Mensuri</v>
      </c>
      <c r="L763" s="76">
        <f>VLOOKUP(Tabelle2[[#This Row],[Artikel]],Produkte!A:H,8)</f>
        <v>0.17</v>
      </c>
    </row>
    <row r="764" spans="1:12" x14ac:dyDescent="0.2">
      <c r="A764" s="75" t="s">
        <v>1306</v>
      </c>
      <c r="B764" s="79">
        <v>46062</v>
      </c>
      <c r="C764" s="89">
        <v>92.4</v>
      </c>
      <c r="D764" s="75"/>
      <c r="E764" s="75"/>
      <c r="F764" s="75">
        <v>20129</v>
      </c>
      <c r="G764" s="76" t="str">
        <f>VLOOKUP(Tabelle2[[#This Row],[Kunden Nr.]],KUNDEN!A:B,2,0)</f>
        <v>LNI SHPK</v>
      </c>
      <c r="H764" s="75">
        <v>35125</v>
      </c>
      <c r="I764" s="76" t="str">
        <f>VLOOKUP(Tabelle2[[#This Row],[Artikel]],Produkte!A:B,2,0)</f>
        <v>M-ONE Sanitar Silikon</v>
      </c>
      <c r="J764" s="75">
        <v>24</v>
      </c>
      <c r="K764" s="76" t="str">
        <f>VLOOKUP(Tabelle2[[#This Row],[Kunden Nr.]],KUNDEN!A:G,7)</f>
        <v>Mensuri</v>
      </c>
      <c r="L764" s="76">
        <f>VLOOKUP(Tabelle2[[#This Row],[Artikel]],Produkte!A:H,8)</f>
        <v>0.17</v>
      </c>
    </row>
    <row r="765" spans="1:12" x14ac:dyDescent="0.2">
      <c r="A765" s="75" t="s">
        <v>1322</v>
      </c>
      <c r="B765" s="79">
        <v>46063</v>
      </c>
      <c r="C765" s="89">
        <v>785.4</v>
      </c>
      <c r="D765" s="75"/>
      <c r="E765" s="75"/>
      <c r="F765" s="75">
        <v>20634</v>
      </c>
      <c r="G765" s="76" t="str">
        <f>VLOOKUP(Tabelle2[[#This Row],[Kunden Nr.]],KUNDEN!A:B,2,0)</f>
        <v>SALIHU CORPORATION</v>
      </c>
      <c r="H765" s="75">
        <v>35109</v>
      </c>
      <c r="I765" s="76" t="str">
        <f>VLOOKUP(Tabelle2[[#This Row],[Artikel]],Produkte!A:B,2,0)</f>
        <v>M-ONE Sanitar Silikon</v>
      </c>
      <c r="J765" s="75">
        <v>120</v>
      </c>
      <c r="K765" s="76" t="str">
        <f>VLOOKUP(Tabelle2[[#This Row],[Kunden Nr.]],KUNDEN!A:G,7)</f>
        <v>Mensuri</v>
      </c>
      <c r="L765" s="76">
        <f>VLOOKUP(Tabelle2[[#This Row],[Artikel]],Produkte!A:H,8)</f>
        <v>0.17</v>
      </c>
    </row>
    <row r="766" spans="1:12" x14ac:dyDescent="0.2">
      <c r="A766" s="75" t="s">
        <v>1322</v>
      </c>
      <c r="B766" s="79">
        <v>46063</v>
      </c>
      <c r="C766" s="75"/>
      <c r="D766" s="75"/>
      <c r="E766" s="75"/>
      <c r="F766" s="75">
        <v>20634</v>
      </c>
      <c r="G766" s="76" t="str">
        <f>VLOOKUP(Tabelle2[[#This Row],[Kunden Nr.]],KUNDEN!A:B,2,0)</f>
        <v>SALIHU CORPORATION</v>
      </c>
      <c r="H766" s="75">
        <v>35110</v>
      </c>
      <c r="I766" s="76" t="str">
        <f>VLOOKUP(Tabelle2[[#This Row],[Artikel]],Produkte!A:B,2,0)</f>
        <v>M-ONE Sanitar Silikon</v>
      </c>
      <c r="J766" s="75">
        <v>36</v>
      </c>
      <c r="K766" s="76" t="str">
        <f>VLOOKUP(Tabelle2[[#This Row],[Kunden Nr.]],KUNDEN!A:G,7)</f>
        <v>Mensuri</v>
      </c>
      <c r="L766" s="76">
        <f>VLOOKUP(Tabelle2[[#This Row],[Artikel]],Produkte!A:H,8)</f>
        <v>0.17</v>
      </c>
    </row>
    <row r="767" spans="1:12" x14ac:dyDescent="0.2">
      <c r="A767" s="75" t="s">
        <v>1322</v>
      </c>
      <c r="B767" s="79">
        <v>46063</v>
      </c>
      <c r="C767" s="75"/>
      <c r="D767" s="75"/>
      <c r="E767" s="75"/>
      <c r="F767" s="75">
        <v>20634</v>
      </c>
      <c r="G767" s="76" t="str">
        <f>VLOOKUP(Tabelle2[[#This Row],[Kunden Nr.]],KUNDEN!A:B,2,0)</f>
        <v>SALIHU CORPORATION</v>
      </c>
      <c r="H767" s="75">
        <v>35113</v>
      </c>
      <c r="I767" s="76" t="str">
        <f>VLOOKUP(Tabelle2[[#This Row],[Artikel]],Produkte!A:B,2,0)</f>
        <v>M-ONE Sanitar Silikon</v>
      </c>
      <c r="J767" s="75">
        <v>48</v>
      </c>
      <c r="K767" s="76" t="str">
        <f>VLOOKUP(Tabelle2[[#This Row],[Kunden Nr.]],KUNDEN!A:G,7)</f>
        <v>Mensuri</v>
      </c>
      <c r="L767" s="76">
        <f>VLOOKUP(Tabelle2[[#This Row],[Artikel]],Produkte!A:H,8)</f>
        <v>0.17</v>
      </c>
    </row>
    <row r="768" spans="1:12" x14ac:dyDescent="0.2">
      <c r="A768" s="75" t="s">
        <v>515</v>
      </c>
      <c r="B768" s="79">
        <v>46063</v>
      </c>
      <c r="C768" s="89">
        <v>231</v>
      </c>
      <c r="D768" s="75"/>
      <c r="E768" s="75"/>
      <c r="F768" s="75">
        <v>10205</v>
      </c>
      <c r="G768" s="76" t="str">
        <f>VLOOKUP(Tabelle2[[#This Row],[Kunden Nr.]],KUNDEN!A:B,2,0)</f>
        <v>XHAFA</v>
      </c>
      <c r="H768" s="75">
        <v>35110</v>
      </c>
      <c r="I768" s="76" t="str">
        <f>VLOOKUP(Tabelle2[[#This Row],[Artikel]],Produkte!A:B,2,0)</f>
        <v>M-ONE Sanitar Silikon</v>
      </c>
      <c r="J768" s="75">
        <v>12</v>
      </c>
      <c r="K768" s="76" t="str">
        <f>VLOOKUP(Tabelle2[[#This Row],[Kunden Nr.]],KUNDEN!A:G,7)</f>
        <v>Qerimi</v>
      </c>
      <c r="L768" s="76">
        <f>VLOOKUP(Tabelle2[[#This Row],[Artikel]],Produkte!A:H,8)</f>
        <v>0.17</v>
      </c>
    </row>
    <row r="769" spans="1:12" x14ac:dyDescent="0.2">
      <c r="A769" s="75" t="s">
        <v>515</v>
      </c>
      <c r="B769" s="79">
        <v>46063</v>
      </c>
      <c r="C769" s="75"/>
      <c r="D769" s="75"/>
      <c r="E769" s="75"/>
      <c r="F769" s="75">
        <v>10205</v>
      </c>
      <c r="G769" s="76" t="str">
        <f>VLOOKUP(Tabelle2[[#This Row],[Kunden Nr.]],KUNDEN!A:B,2,0)</f>
        <v>XHAFA</v>
      </c>
      <c r="H769" s="75">
        <v>35115</v>
      </c>
      <c r="I769" s="76" t="str">
        <f>VLOOKUP(Tabelle2[[#This Row],[Artikel]],Produkte!A:B,2,0)</f>
        <v>M-ONE Sanitar Silikon</v>
      </c>
      <c r="J769" s="75">
        <v>12</v>
      </c>
      <c r="K769" s="76" t="str">
        <f>VLOOKUP(Tabelle2[[#This Row],[Kunden Nr.]],KUNDEN!A:G,7)</f>
        <v>Qerimi</v>
      </c>
      <c r="L769" s="76">
        <f>VLOOKUP(Tabelle2[[#This Row],[Artikel]],Produkte!A:H,8)</f>
        <v>0.17</v>
      </c>
    </row>
    <row r="770" spans="1:12" x14ac:dyDescent="0.2">
      <c r="A770" s="75" t="s">
        <v>515</v>
      </c>
      <c r="B770" s="79">
        <v>46063</v>
      </c>
      <c r="C770" s="75"/>
      <c r="D770" s="75"/>
      <c r="E770" s="75"/>
      <c r="F770" s="75">
        <v>10205</v>
      </c>
      <c r="G770" s="76" t="str">
        <f>VLOOKUP(Tabelle2[[#This Row],[Kunden Nr.]],KUNDEN!A:B,2,0)</f>
        <v>XHAFA</v>
      </c>
      <c r="H770" s="75">
        <v>35125</v>
      </c>
      <c r="I770" s="76" t="str">
        <f>VLOOKUP(Tabelle2[[#This Row],[Artikel]],Produkte!A:B,2,0)</f>
        <v>M-ONE Sanitar Silikon</v>
      </c>
      <c r="J770" s="75">
        <v>36</v>
      </c>
      <c r="K770" s="76" t="str">
        <f>VLOOKUP(Tabelle2[[#This Row],[Kunden Nr.]],KUNDEN!A:G,7)</f>
        <v>Qerimi</v>
      </c>
      <c r="L770" s="76">
        <f>VLOOKUP(Tabelle2[[#This Row],[Artikel]],Produkte!A:H,8)</f>
        <v>0.17</v>
      </c>
    </row>
    <row r="771" spans="1:12" x14ac:dyDescent="0.2">
      <c r="A771" s="75" t="s">
        <v>520</v>
      </c>
      <c r="B771" s="79">
        <v>46063</v>
      </c>
      <c r="C771" s="89">
        <v>92.4</v>
      </c>
      <c r="D771" s="75"/>
      <c r="E771" s="75"/>
      <c r="F771" s="75">
        <v>10210</v>
      </c>
      <c r="G771" s="76" t="str">
        <f>VLOOKUP(Tabelle2[[#This Row],[Kunden Nr.]],KUNDEN!A:B,2,0)</f>
        <v>MONI 2</v>
      </c>
      <c r="H771" s="75">
        <v>35115</v>
      </c>
      <c r="I771" s="76" t="str">
        <f>VLOOKUP(Tabelle2[[#This Row],[Artikel]],Produkte!A:B,2,0)</f>
        <v>M-ONE Sanitar Silikon</v>
      </c>
      <c r="J771" s="75">
        <v>12</v>
      </c>
      <c r="K771" s="76" t="str">
        <f>VLOOKUP(Tabelle2[[#This Row],[Kunden Nr.]],KUNDEN!A:G,7)</f>
        <v>Qerimi</v>
      </c>
      <c r="L771" s="76">
        <f>VLOOKUP(Tabelle2[[#This Row],[Artikel]],Produkte!A:H,8)</f>
        <v>0.17</v>
      </c>
    </row>
    <row r="772" spans="1:12" x14ac:dyDescent="0.2">
      <c r="A772" s="75" t="s">
        <v>520</v>
      </c>
      <c r="B772" s="79">
        <v>46063</v>
      </c>
      <c r="C772" s="75"/>
      <c r="D772" s="75"/>
      <c r="E772" s="75"/>
      <c r="F772" s="75">
        <v>10210</v>
      </c>
      <c r="G772" s="76" t="str">
        <f>VLOOKUP(Tabelle2[[#This Row],[Kunden Nr.]],KUNDEN!A:B,2,0)</f>
        <v>MONI 2</v>
      </c>
      <c r="H772" s="75">
        <v>35128</v>
      </c>
      <c r="I772" s="76" t="str">
        <f>VLOOKUP(Tabelle2[[#This Row],[Artikel]],Produkte!A:B,2,0)</f>
        <v>M-ONE Sanitar Silikon</v>
      </c>
      <c r="J772" s="75">
        <v>12</v>
      </c>
      <c r="K772" s="76" t="str">
        <f>VLOOKUP(Tabelle2[[#This Row],[Kunden Nr.]],KUNDEN!A:G,7)</f>
        <v>Qerimi</v>
      </c>
      <c r="L772" s="76">
        <f>VLOOKUP(Tabelle2[[#This Row],[Artikel]],Produkte!A:H,8)</f>
        <v>0.17</v>
      </c>
    </row>
    <row r="773" spans="1:12" x14ac:dyDescent="0.2">
      <c r="A773" s="75" t="s">
        <v>1201</v>
      </c>
      <c r="B773" s="79">
        <v>46063</v>
      </c>
      <c r="C773" s="89">
        <v>231</v>
      </c>
      <c r="D773" s="75"/>
      <c r="E773" s="75"/>
      <c r="F773" s="75">
        <v>10240</v>
      </c>
      <c r="G773" s="76" t="str">
        <f>VLOOKUP(Tabelle2[[#This Row],[Kunden Nr.]],KUNDEN!A:B,2,0)</f>
        <v>ARPO</v>
      </c>
      <c r="H773" s="75">
        <v>35110</v>
      </c>
      <c r="I773" s="76" t="str">
        <f>VLOOKUP(Tabelle2[[#This Row],[Artikel]],Produkte!A:B,2,0)</f>
        <v>M-ONE Sanitar Silikon</v>
      </c>
      <c r="J773" s="75">
        <v>12</v>
      </c>
      <c r="K773" s="76" t="str">
        <f>VLOOKUP(Tabelle2[[#This Row],[Kunden Nr.]],KUNDEN!A:G,7)</f>
        <v>Qerimi</v>
      </c>
      <c r="L773" s="76">
        <f>VLOOKUP(Tabelle2[[#This Row],[Artikel]],Produkte!A:H,8)</f>
        <v>0.17</v>
      </c>
    </row>
    <row r="774" spans="1:12" x14ac:dyDescent="0.2">
      <c r="A774" s="75" t="s">
        <v>1201</v>
      </c>
      <c r="B774" s="79">
        <v>46063</v>
      </c>
      <c r="C774" s="75"/>
      <c r="D774" s="75"/>
      <c r="E774" s="75"/>
      <c r="F774" s="75">
        <v>10240</v>
      </c>
      <c r="G774" s="76" t="str">
        <f>VLOOKUP(Tabelle2[[#This Row],[Kunden Nr.]],KUNDEN!A:B,2,0)</f>
        <v>ARPO</v>
      </c>
      <c r="H774" s="75">
        <v>35108</v>
      </c>
      <c r="I774" s="76" t="str">
        <f>VLOOKUP(Tabelle2[[#This Row],[Artikel]],Produkte!A:B,2,0)</f>
        <v>M-ONE Sanitar Silikon</v>
      </c>
      <c r="J774" s="75">
        <v>24</v>
      </c>
      <c r="K774" s="76" t="str">
        <f>VLOOKUP(Tabelle2[[#This Row],[Kunden Nr.]],KUNDEN!A:G,7)</f>
        <v>Qerimi</v>
      </c>
      <c r="L774" s="76">
        <f>VLOOKUP(Tabelle2[[#This Row],[Artikel]],Produkte!A:H,8)</f>
        <v>0.17</v>
      </c>
    </row>
    <row r="775" spans="1:12" x14ac:dyDescent="0.2">
      <c r="A775" s="75" t="s">
        <v>1201</v>
      </c>
      <c r="B775" s="79">
        <v>46063</v>
      </c>
      <c r="C775" s="75"/>
      <c r="D775" s="75"/>
      <c r="E775" s="75"/>
      <c r="F775" s="75">
        <v>10240</v>
      </c>
      <c r="G775" s="76" t="str">
        <f>VLOOKUP(Tabelle2[[#This Row],[Kunden Nr.]],KUNDEN!A:B,2,0)</f>
        <v>ARPO</v>
      </c>
      <c r="H775" s="75">
        <v>35113</v>
      </c>
      <c r="I775" s="76" t="str">
        <f>VLOOKUP(Tabelle2[[#This Row],[Artikel]],Produkte!A:B,2,0)</f>
        <v>M-ONE Sanitar Silikon</v>
      </c>
      <c r="J775" s="75">
        <v>24</v>
      </c>
      <c r="K775" s="76" t="str">
        <f>VLOOKUP(Tabelle2[[#This Row],[Kunden Nr.]],KUNDEN!A:G,7)</f>
        <v>Qerimi</v>
      </c>
      <c r="L775" s="76">
        <f>VLOOKUP(Tabelle2[[#This Row],[Artikel]],Produkte!A:H,8)</f>
        <v>0.17</v>
      </c>
    </row>
    <row r="776" spans="1:12" x14ac:dyDescent="0.2">
      <c r="A776" s="75" t="s">
        <v>509</v>
      </c>
      <c r="B776" s="79">
        <v>46063</v>
      </c>
      <c r="C776" s="89">
        <v>80.8</v>
      </c>
      <c r="D776" s="75"/>
      <c r="E776" s="75"/>
      <c r="F776" s="75">
        <v>10201</v>
      </c>
      <c r="G776" s="76" t="str">
        <f>VLOOKUP(Tabelle2[[#This Row],[Kunden Nr.]],KUNDEN!A:B,2,0)</f>
        <v>TE BESNIKU</v>
      </c>
      <c r="H776" s="75">
        <v>35112</v>
      </c>
      <c r="I776" s="76" t="str">
        <f>VLOOKUP(Tabelle2[[#This Row],[Artikel]],Produkte!A:B,2,0)</f>
        <v>M-ONE Sanitar Silikon</v>
      </c>
      <c r="J776" s="75">
        <v>9</v>
      </c>
      <c r="K776" s="76" t="str">
        <f>VLOOKUP(Tabelle2[[#This Row],[Kunden Nr.]],KUNDEN!A:G,7)</f>
        <v>Qerimi</v>
      </c>
      <c r="L776" s="76">
        <f>VLOOKUP(Tabelle2[[#This Row],[Artikel]],Produkte!A:H,8)</f>
        <v>0.17</v>
      </c>
    </row>
    <row r="777" spans="1:12" x14ac:dyDescent="0.2">
      <c r="A777" s="75" t="s">
        <v>509</v>
      </c>
      <c r="B777" s="79">
        <v>46063</v>
      </c>
      <c r="C777" s="75"/>
      <c r="D777" s="75"/>
      <c r="E777" s="75"/>
      <c r="F777" s="75">
        <v>10201</v>
      </c>
      <c r="G777" s="76" t="str">
        <f>VLOOKUP(Tabelle2[[#This Row],[Kunden Nr.]],KUNDEN!A:B,2,0)</f>
        <v>TE BESNIKU</v>
      </c>
      <c r="H777" s="75">
        <v>35125</v>
      </c>
      <c r="I777" s="76" t="str">
        <f>VLOOKUP(Tabelle2[[#This Row],[Artikel]],Produkte!A:B,2,0)</f>
        <v>M-ONE Sanitar Silikon</v>
      </c>
      <c r="J777" s="75">
        <v>12</v>
      </c>
      <c r="K777" s="76" t="str">
        <f>VLOOKUP(Tabelle2[[#This Row],[Kunden Nr.]],KUNDEN!A:G,7)</f>
        <v>Qerimi</v>
      </c>
      <c r="L777" s="76">
        <f>VLOOKUP(Tabelle2[[#This Row],[Artikel]],Produkte!A:H,8)</f>
        <v>0.17</v>
      </c>
    </row>
    <row r="778" spans="1:12" x14ac:dyDescent="0.2">
      <c r="A778" s="75" t="s">
        <v>1179</v>
      </c>
      <c r="B778" s="79">
        <v>46063</v>
      </c>
      <c r="C778" s="89">
        <v>184.8</v>
      </c>
      <c r="D778" s="75"/>
      <c r="E778" s="75"/>
      <c r="F778" s="75">
        <v>40019</v>
      </c>
      <c r="G778" s="76" t="str">
        <f>VLOOKUP(Tabelle2[[#This Row],[Kunden Nr.]],KUNDEN!A:B,2,0)</f>
        <v>TEMAJ</v>
      </c>
      <c r="H778" s="75">
        <v>35109</v>
      </c>
      <c r="I778" s="76" t="str">
        <f>VLOOKUP(Tabelle2[[#This Row],[Artikel]],Produkte!A:B,2,0)</f>
        <v>M-ONE Sanitar Silikon</v>
      </c>
      <c r="J778" s="75">
        <v>36</v>
      </c>
      <c r="K778" s="76">
        <f>VLOOKUP(Tabelle2[[#This Row],[Kunden Nr.]],KUNDEN!A:G,7)</f>
        <v>0</v>
      </c>
      <c r="L778" s="76">
        <f>VLOOKUP(Tabelle2[[#This Row],[Artikel]],Produkte!A:H,8)</f>
        <v>0.17</v>
      </c>
    </row>
    <row r="779" spans="1:12" x14ac:dyDescent="0.2">
      <c r="A779" s="75" t="s">
        <v>1179</v>
      </c>
      <c r="B779" s="79">
        <v>46063</v>
      </c>
      <c r="C779" s="75"/>
      <c r="D779" s="75"/>
      <c r="E779" s="75"/>
      <c r="F779" s="75">
        <v>40019</v>
      </c>
      <c r="G779" s="76" t="str">
        <f>VLOOKUP(Tabelle2[[#This Row],[Kunden Nr.]],KUNDEN!A:B,2,0)</f>
        <v>TEMAJ</v>
      </c>
      <c r="H779" s="75">
        <v>35111</v>
      </c>
      <c r="I779" s="76" t="str">
        <f>VLOOKUP(Tabelle2[[#This Row],[Artikel]],Produkte!A:B,2,0)</f>
        <v>M-ONE Sanitar Silikon</v>
      </c>
      <c r="J779" s="75">
        <v>12</v>
      </c>
      <c r="K779" s="76">
        <f>VLOOKUP(Tabelle2[[#This Row],[Kunden Nr.]],KUNDEN!A:G,7)</f>
        <v>0</v>
      </c>
      <c r="L779" s="76">
        <f>VLOOKUP(Tabelle2[[#This Row],[Artikel]],Produkte!A:H,8)</f>
        <v>0.17</v>
      </c>
    </row>
    <row r="780" spans="1:12" x14ac:dyDescent="0.2">
      <c r="A780" s="75" t="s">
        <v>425</v>
      </c>
      <c r="B780" s="79">
        <v>46063</v>
      </c>
      <c r="C780" s="89">
        <v>92.4</v>
      </c>
      <c r="D780" s="75"/>
      <c r="E780" s="75"/>
      <c r="F780" s="75">
        <v>20212</v>
      </c>
      <c r="G780" s="76" t="str">
        <f>VLOOKUP(Tabelle2[[#This Row],[Kunden Nr.]],KUNDEN!A:B,2,0)</f>
        <v>INOX 2</v>
      </c>
      <c r="H780" s="75">
        <v>35109</v>
      </c>
      <c r="I780" s="76" t="str">
        <f>VLOOKUP(Tabelle2[[#This Row],[Artikel]],Produkte!A:B,2,0)</f>
        <v>M-ONE Sanitar Silikon</v>
      </c>
      <c r="J780" s="75">
        <v>12</v>
      </c>
      <c r="K780" s="76" t="str">
        <f>VLOOKUP(Tabelle2[[#This Row],[Kunden Nr.]],KUNDEN!A:G,7)</f>
        <v>Mensuri</v>
      </c>
      <c r="L780" s="76">
        <f>VLOOKUP(Tabelle2[[#This Row],[Artikel]],Produkte!A:H,8)</f>
        <v>0.17</v>
      </c>
    </row>
    <row r="781" spans="1:12" x14ac:dyDescent="0.2">
      <c r="A781" s="75" t="s">
        <v>425</v>
      </c>
      <c r="B781" s="79">
        <v>46063</v>
      </c>
      <c r="C781" s="75"/>
      <c r="D781" s="75"/>
      <c r="E781" s="75"/>
      <c r="F781" s="75">
        <v>20212</v>
      </c>
      <c r="G781" s="76" t="str">
        <f>VLOOKUP(Tabelle2[[#This Row],[Kunden Nr.]],KUNDEN!A:B,2,0)</f>
        <v>INOX 2</v>
      </c>
      <c r="H781" s="75">
        <v>35111</v>
      </c>
      <c r="I781" s="76" t="str">
        <f>VLOOKUP(Tabelle2[[#This Row],[Artikel]],Produkte!A:B,2,0)</f>
        <v>M-ONE Sanitar Silikon</v>
      </c>
      <c r="J781" s="75">
        <v>12</v>
      </c>
      <c r="K781" s="76" t="str">
        <f>VLOOKUP(Tabelle2[[#This Row],[Kunden Nr.]],KUNDEN!A:G,7)</f>
        <v>Mensuri</v>
      </c>
      <c r="L781" s="76">
        <f>VLOOKUP(Tabelle2[[#This Row],[Artikel]],Produkte!A:H,8)</f>
        <v>0.17</v>
      </c>
    </row>
    <row r="782" spans="1:12" x14ac:dyDescent="0.2">
      <c r="A782" s="75" t="s">
        <v>1041</v>
      </c>
      <c r="B782" s="79">
        <v>46063</v>
      </c>
      <c r="C782" s="89">
        <v>130.80000000000001</v>
      </c>
      <c r="D782" s="75"/>
      <c r="E782" s="75"/>
      <c r="F782" s="75">
        <v>20223</v>
      </c>
      <c r="G782" s="76" t="str">
        <f>VLOOKUP(Tabelle2[[#This Row],[Kunden Nr.]],KUNDEN!A:B,2,0)</f>
        <v>GER COLORS</v>
      </c>
      <c r="H782" s="75">
        <v>51611</v>
      </c>
      <c r="I782" s="76" t="str">
        <f>VLOOKUP(Tabelle2[[#This Row],[Artikel]],Produkte!A:B,2,0)</f>
        <v>universal akryl</v>
      </c>
      <c r="J782" s="75">
        <v>12</v>
      </c>
      <c r="K782" s="76" t="str">
        <f>VLOOKUP(Tabelle2[[#This Row],[Kunden Nr.]],KUNDEN!A:G,7)</f>
        <v>Mensuri</v>
      </c>
      <c r="L782" s="76">
        <f>VLOOKUP(Tabelle2[[#This Row],[Artikel]],Produkte!A:H,8)</f>
        <v>0.06</v>
      </c>
    </row>
    <row r="783" spans="1:12" x14ac:dyDescent="0.2">
      <c r="A783" s="75" t="s">
        <v>1041</v>
      </c>
      <c r="B783" s="79">
        <v>46063</v>
      </c>
      <c r="C783" s="75"/>
      <c r="D783" s="75"/>
      <c r="E783" s="75"/>
      <c r="F783" s="75">
        <v>20223</v>
      </c>
      <c r="G783" s="76" t="str">
        <f>VLOOKUP(Tabelle2[[#This Row],[Kunden Nr.]],KUNDEN!A:B,2,0)</f>
        <v>GER COLORS</v>
      </c>
      <c r="H783" s="75">
        <v>66701</v>
      </c>
      <c r="I783" s="76" t="str">
        <f>VLOOKUP(Tabelle2[[#This Row],[Artikel]],Produkte!A:B,2,0)</f>
        <v>PROFIMONT EXTREME</v>
      </c>
      <c r="J783" s="75">
        <v>12</v>
      </c>
      <c r="K783" s="76" t="str">
        <f>VLOOKUP(Tabelle2[[#This Row],[Kunden Nr.]],KUNDEN!A:G,7)</f>
        <v>Mensuri</v>
      </c>
      <c r="L783" s="76">
        <f>VLOOKUP(Tabelle2[[#This Row],[Artikel]],Produkte!A:H,8)</f>
        <v>0.2</v>
      </c>
    </row>
    <row r="784" spans="1:12" x14ac:dyDescent="0.2">
      <c r="A784" s="75" t="s">
        <v>1041</v>
      </c>
      <c r="B784" s="79">
        <v>46063</v>
      </c>
      <c r="C784" s="75"/>
      <c r="D784" s="75"/>
      <c r="E784" s="75"/>
      <c r="F784" s="75">
        <v>20223</v>
      </c>
      <c r="G784" s="76" t="str">
        <f>VLOOKUP(Tabelle2[[#This Row],[Kunden Nr.]],KUNDEN!A:B,2,0)</f>
        <v>GER COLORS</v>
      </c>
      <c r="H784" s="75">
        <v>35128</v>
      </c>
      <c r="I784" s="76" t="str">
        <f>VLOOKUP(Tabelle2[[#This Row],[Artikel]],Produkte!A:B,2,0)</f>
        <v>M-ONE Sanitar Silikon</v>
      </c>
      <c r="J784" s="75">
        <v>12</v>
      </c>
      <c r="K784" s="76" t="str">
        <f>VLOOKUP(Tabelle2[[#This Row],[Kunden Nr.]],KUNDEN!A:G,7)</f>
        <v>Mensuri</v>
      </c>
      <c r="L784" s="76">
        <f>VLOOKUP(Tabelle2[[#This Row],[Artikel]],Produkte!A:H,8)</f>
        <v>0.17</v>
      </c>
    </row>
    <row r="785" spans="1:12" x14ac:dyDescent="0.2">
      <c r="A785" s="75" t="s">
        <v>1302</v>
      </c>
      <c r="B785" s="79">
        <v>46063</v>
      </c>
      <c r="C785" s="89">
        <v>69.599999999999994</v>
      </c>
      <c r="D785" s="75"/>
      <c r="E785" s="75"/>
      <c r="F785" s="75">
        <v>20228</v>
      </c>
      <c r="G785" s="76" t="str">
        <f>VLOOKUP(Tabelle2[[#This Row],[Kunden Nr.]],KUNDEN!A:B,2,0)</f>
        <v>HB-DECOR</v>
      </c>
      <c r="H785" s="75">
        <v>66701</v>
      </c>
      <c r="I785" s="76" t="str">
        <f>VLOOKUP(Tabelle2[[#This Row],[Artikel]],Produkte!A:B,2,0)</f>
        <v>PROFIMONT EXTREME</v>
      </c>
      <c r="J785" s="75">
        <v>12</v>
      </c>
      <c r="K785" s="76" t="str">
        <f>VLOOKUP(Tabelle2[[#This Row],[Kunden Nr.]],KUNDEN!A:G,7)</f>
        <v>Mensuri</v>
      </c>
      <c r="L785" s="76">
        <f>VLOOKUP(Tabelle2[[#This Row],[Artikel]],Produkte!A:H,8)</f>
        <v>0.2</v>
      </c>
    </row>
    <row r="786" spans="1:12" x14ac:dyDescent="0.2">
      <c r="A786" s="75" t="s">
        <v>670</v>
      </c>
      <c r="B786" s="79">
        <v>46063</v>
      </c>
      <c r="C786" s="89">
        <v>92.4</v>
      </c>
      <c r="D786" s="75"/>
      <c r="E786" s="75"/>
      <c r="F786" s="75">
        <v>20206</v>
      </c>
      <c r="G786" s="76" t="str">
        <f>VLOOKUP(Tabelle2[[#This Row],[Kunden Nr.]],KUNDEN!A:B,2,0)</f>
        <v>ERENIKU</v>
      </c>
      <c r="H786" s="75">
        <v>35110</v>
      </c>
      <c r="I786" s="76" t="str">
        <f>VLOOKUP(Tabelle2[[#This Row],[Artikel]],Produkte!A:B,2,0)</f>
        <v>M-ONE Sanitar Silikon</v>
      </c>
      <c r="J786" s="75">
        <v>24</v>
      </c>
      <c r="K786" s="76" t="str">
        <f>VLOOKUP(Tabelle2[[#This Row],[Kunden Nr.]],KUNDEN!A:G,7)</f>
        <v>Mensuri</v>
      </c>
      <c r="L786" s="76">
        <f>VLOOKUP(Tabelle2[[#This Row],[Artikel]],Produkte!A:H,8)</f>
        <v>0.17</v>
      </c>
    </row>
    <row r="787" spans="1:12" x14ac:dyDescent="0.2">
      <c r="A787" s="75" t="s">
        <v>418</v>
      </c>
      <c r="B787" s="79">
        <v>46063</v>
      </c>
      <c r="C787" s="89">
        <v>162</v>
      </c>
      <c r="D787" s="75"/>
      <c r="E787" s="75"/>
      <c r="F787" s="75">
        <v>20203</v>
      </c>
      <c r="G787" s="76" t="str">
        <f>VLOOKUP(Tabelle2[[#This Row],[Kunden Nr.]],KUNDEN!A:B,2,0)</f>
        <v>AFRIMI-AG</v>
      </c>
      <c r="H787" s="75">
        <v>66701</v>
      </c>
      <c r="I787" s="76" t="str">
        <f>VLOOKUP(Tabelle2[[#This Row],[Artikel]],Produkte!A:B,2,0)</f>
        <v>PROFIMONT EXTREME</v>
      </c>
      <c r="J787" s="75">
        <v>12</v>
      </c>
      <c r="K787" s="76" t="str">
        <f>VLOOKUP(Tabelle2[[#This Row],[Kunden Nr.]],KUNDEN!A:G,7)</f>
        <v>Mensuri</v>
      </c>
      <c r="L787" s="76">
        <f>VLOOKUP(Tabelle2[[#This Row],[Artikel]],Produkte!A:H,8)</f>
        <v>0.2</v>
      </c>
    </row>
    <row r="788" spans="1:12" x14ac:dyDescent="0.2">
      <c r="A788" s="75" t="s">
        <v>418</v>
      </c>
      <c r="B788" s="79">
        <v>46063</v>
      </c>
      <c r="C788" s="75"/>
      <c r="D788" s="75"/>
      <c r="E788" s="75"/>
      <c r="F788" s="75">
        <v>20203</v>
      </c>
      <c r="G788" s="76" t="str">
        <f>VLOOKUP(Tabelle2[[#This Row],[Kunden Nr.]],KUNDEN!A:B,2,0)</f>
        <v>AFRIMI-AG</v>
      </c>
      <c r="H788" s="75">
        <v>35108</v>
      </c>
      <c r="I788" s="76" t="str">
        <f>VLOOKUP(Tabelle2[[#This Row],[Artikel]],Produkte!A:B,2,0)</f>
        <v>M-ONE Sanitar Silikon</v>
      </c>
      <c r="J788" s="75">
        <v>12</v>
      </c>
      <c r="K788" s="76" t="str">
        <f>VLOOKUP(Tabelle2[[#This Row],[Kunden Nr.]],KUNDEN!A:G,7)</f>
        <v>Mensuri</v>
      </c>
      <c r="L788" s="76">
        <f>VLOOKUP(Tabelle2[[#This Row],[Artikel]],Produkte!A:H,8)</f>
        <v>0.17</v>
      </c>
    </row>
    <row r="789" spans="1:12" x14ac:dyDescent="0.2">
      <c r="A789" s="75" t="s">
        <v>418</v>
      </c>
      <c r="B789" s="79">
        <v>46063</v>
      </c>
      <c r="C789" s="75"/>
      <c r="D789" s="75"/>
      <c r="E789" s="75"/>
      <c r="F789" s="75">
        <v>20203</v>
      </c>
      <c r="G789" s="76" t="str">
        <f>VLOOKUP(Tabelle2[[#This Row],[Kunden Nr.]],KUNDEN!A:B,2,0)</f>
        <v>AFRIMI-AG</v>
      </c>
      <c r="H789" s="75">
        <v>35113</v>
      </c>
      <c r="I789" s="76" t="str">
        <f>VLOOKUP(Tabelle2[[#This Row],[Artikel]],Produkte!A:B,2,0)</f>
        <v>M-ONE Sanitar Silikon</v>
      </c>
      <c r="J789" s="75">
        <v>12</v>
      </c>
      <c r="K789" s="76" t="str">
        <f>VLOOKUP(Tabelle2[[#This Row],[Kunden Nr.]],KUNDEN!A:G,7)</f>
        <v>Mensuri</v>
      </c>
      <c r="L789" s="76">
        <f>VLOOKUP(Tabelle2[[#This Row],[Artikel]],Produkte!A:H,8)</f>
        <v>0.17</v>
      </c>
    </row>
    <row r="790" spans="1:12" x14ac:dyDescent="0.2">
      <c r="A790" s="75" t="s">
        <v>963</v>
      </c>
      <c r="B790" s="79">
        <v>46063</v>
      </c>
      <c r="C790" s="89">
        <v>109.2</v>
      </c>
      <c r="D790" s="75"/>
      <c r="E790" s="75"/>
      <c r="F790" s="75">
        <v>20201</v>
      </c>
      <c r="G790" s="76" t="str">
        <f>VLOOKUP(Tabelle2[[#This Row],[Kunden Nr.]],KUNDEN!A:B,2,0)</f>
        <v>TE BESIMI</v>
      </c>
      <c r="H790" s="75">
        <v>51611</v>
      </c>
      <c r="I790" s="76" t="str">
        <f>VLOOKUP(Tabelle2[[#This Row],[Artikel]],Produkte!A:B,2,0)</f>
        <v>universal akryl</v>
      </c>
      <c r="J790" s="75">
        <v>24</v>
      </c>
      <c r="K790" s="76" t="str">
        <f>VLOOKUP(Tabelle2[[#This Row],[Kunden Nr.]],KUNDEN!A:G,7)</f>
        <v>Mensuri</v>
      </c>
      <c r="L790" s="76">
        <f>VLOOKUP(Tabelle2[[#This Row],[Artikel]],Produkte!A:H,8)</f>
        <v>0.06</v>
      </c>
    </row>
    <row r="791" spans="1:12" x14ac:dyDescent="0.2">
      <c r="A791" s="75" t="s">
        <v>963</v>
      </c>
      <c r="B791" s="79">
        <v>46063</v>
      </c>
      <c r="C791" s="75"/>
      <c r="D791" s="75"/>
      <c r="E791" s="75"/>
      <c r="F791" s="75">
        <v>20201</v>
      </c>
      <c r="G791" s="76" t="str">
        <f>VLOOKUP(Tabelle2[[#This Row],[Kunden Nr.]],KUNDEN!A:B,2,0)</f>
        <v>TE BESIMI</v>
      </c>
      <c r="H791" s="75">
        <v>51612</v>
      </c>
      <c r="I791" s="76" t="str">
        <f>VLOOKUP(Tabelle2[[#This Row],[Artikel]],Produkte!A:B,2,0)</f>
        <v>struktural akryl</v>
      </c>
      <c r="J791" s="75">
        <v>24</v>
      </c>
      <c r="K791" s="76" t="str">
        <f>VLOOKUP(Tabelle2[[#This Row],[Kunden Nr.]],KUNDEN!A:G,7)</f>
        <v>Mensuri</v>
      </c>
      <c r="L791" s="76">
        <f>VLOOKUP(Tabelle2[[#This Row],[Artikel]],Produkte!A:H,8)</f>
        <v>0.06</v>
      </c>
    </row>
    <row r="792" spans="1:12" x14ac:dyDescent="0.2">
      <c r="A792" s="75" t="s">
        <v>963</v>
      </c>
      <c r="B792" s="79">
        <v>46063</v>
      </c>
      <c r="C792" s="75"/>
      <c r="D792" s="75"/>
      <c r="E792" s="75"/>
      <c r="F792" s="75">
        <v>20201</v>
      </c>
      <c r="G792" s="76" t="str">
        <f>VLOOKUP(Tabelle2[[#This Row],[Kunden Nr.]],KUNDEN!A:B,2,0)</f>
        <v>TE BESIMI</v>
      </c>
      <c r="H792" s="75">
        <v>50912</v>
      </c>
      <c r="I792" s="76" t="str">
        <f>VLOOKUP(Tabelle2[[#This Row],[Artikel]],Produkte!A:B,2,0)</f>
        <v>DICHTUNG</v>
      </c>
      <c r="J792" s="75">
        <v>3</v>
      </c>
      <c r="K792" s="76" t="str">
        <f>VLOOKUP(Tabelle2[[#This Row],[Kunden Nr.]],KUNDEN!A:G,7)</f>
        <v>Mensuri</v>
      </c>
      <c r="L792" s="76">
        <f>VLOOKUP(Tabelle2[[#This Row],[Artikel]],Produkte!A:H,8)</f>
        <v>0.2</v>
      </c>
    </row>
    <row r="793" spans="1:12" x14ac:dyDescent="0.2">
      <c r="A793" s="75" t="s">
        <v>1005</v>
      </c>
      <c r="B793" s="79">
        <v>46064</v>
      </c>
      <c r="C793" s="89">
        <v>166.2</v>
      </c>
      <c r="D793" s="75"/>
      <c r="E793" s="75"/>
      <c r="F793" s="75">
        <v>10343</v>
      </c>
      <c r="G793" s="76" t="str">
        <f>VLOOKUP(Tabelle2[[#This Row],[Kunden Nr.]],KUNDEN!A:B,2,0)</f>
        <v>INTERCOM NTP</v>
      </c>
      <c r="H793" s="75">
        <v>35110</v>
      </c>
      <c r="I793" s="76" t="str">
        <f>VLOOKUP(Tabelle2[[#This Row],[Artikel]],Produkte!A:B,2,0)</f>
        <v>M-ONE Sanitar Silikon</v>
      </c>
      <c r="J793" s="75">
        <v>36</v>
      </c>
      <c r="K793" s="76" t="str">
        <f>VLOOKUP(Tabelle2[[#This Row],[Kunden Nr.]],KUNDEN!A:G,7)</f>
        <v>Qerimi</v>
      </c>
      <c r="L793" s="76">
        <f>VLOOKUP(Tabelle2[[#This Row],[Artikel]],Produkte!A:H,8)</f>
        <v>0.17</v>
      </c>
    </row>
    <row r="794" spans="1:12" x14ac:dyDescent="0.2">
      <c r="A794" s="75" t="s">
        <v>1005</v>
      </c>
      <c r="B794" s="79">
        <v>46064</v>
      </c>
      <c r="C794" s="75"/>
      <c r="D794" s="75"/>
      <c r="E794" s="75"/>
      <c r="F794" s="75">
        <v>10343</v>
      </c>
      <c r="G794" s="76" t="str">
        <f>VLOOKUP(Tabelle2[[#This Row],[Kunden Nr.]],KUNDEN!A:B,2,0)</f>
        <v>INTERCOM NTP</v>
      </c>
      <c r="H794" s="75">
        <v>51612</v>
      </c>
      <c r="I794" s="76" t="str">
        <f>VLOOKUP(Tabelle2[[#This Row],[Artikel]],Produkte!A:B,2,0)</f>
        <v>struktural akryl</v>
      </c>
      <c r="J794" s="75">
        <v>12</v>
      </c>
      <c r="K794" s="76" t="str">
        <f>VLOOKUP(Tabelle2[[#This Row],[Kunden Nr.]],KUNDEN!A:G,7)</f>
        <v>Qerimi</v>
      </c>
      <c r="L794" s="76">
        <f>VLOOKUP(Tabelle2[[#This Row],[Artikel]],Produkte!A:H,8)</f>
        <v>0.06</v>
      </c>
    </row>
    <row r="795" spans="1:12" x14ac:dyDescent="0.2">
      <c r="A795" s="75" t="s">
        <v>43</v>
      </c>
      <c r="B795" s="79">
        <v>46064</v>
      </c>
      <c r="C795" s="89">
        <v>46.2</v>
      </c>
      <c r="D795" s="75"/>
      <c r="E795" s="75"/>
      <c r="F795" s="75">
        <v>10332</v>
      </c>
      <c r="G795" s="76" t="str">
        <f>VLOOKUP(Tabelle2[[#This Row],[Kunden Nr.]],KUNDEN!A:B,2,0)</f>
        <v>DARDANIA</v>
      </c>
      <c r="H795" s="75">
        <v>35114</v>
      </c>
      <c r="I795" s="76" t="str">
        <f>VLOOKUP(Tabelle2[[#This Row],[Artikel]],Produkte!A:B,2,0)</f>
        <v>M-ONE Sanitar Silikon</v>
      </c>
      <c r="J795" s="75">
        <v>12</v>
      </c>
      <c r="K795" s="76" t="str">
        <f>VLOOKUP(Tabelle2[[#This Row],[Kunden Nr.]],KUNDEN!A:G,7)</f>
        <v>Qerimi</v>
      </c>
      <c r="L795" s="76">
        <f>VLOOKUP(Tabelle2[[#This Row],[Artikel]],Produkte!A:H,8)</f>
        <v>0.17</v>
      </c>
    </row>
    <row r="796" spans="1:12" x14ac:dyDescent="0.2">
      <c r="A796" s="75" t="s">
        <v>413</v>
      </c>
      <c r="B796" s="79">
        <v>46064</v>
      </c>
      <c r="C796" s="89">
        <v>231</v>
      </c>
      <c r="D796" s="75"/>
      <c r="E796" s="75"/>
      <c r="F796" s="75">
        <v>10350</v>
      </c>
      <c r="G796" s="76" t="str">
        <f>VLOOKUP(Tabelle2[[#This Row],[Kunden Nr.]],KUNDEN!A:B,2,0)</f>
        <v>BALLKANI</v>
      </c>
      <c r="H796" s="75">
        <v>35110</v>
      </c>
      <c r="I796" s="76" t="str">
        <f>VLOOKUP(Tabelle2[[#This Row],[Artikel]],Produkte!A:B,2,0)</f>
        <v>M-ONE Sanitar Silikon</v>
      </c>
      <c r="J796" s="75">
        <v>12</v>
      </c>
      <c r="K796" s="76" t="str">
        <f>VLOOKUP(Tabelle2[[#This Row],[Kunden Nr.]],KUNDEN!A:G,7)</f>
        <v>Qerimi</v>
      </c>
      <c r="L796" s="76">
        <f>VLOOKUP(Tabelle2[[#This Row],[Artikel]],Produkte!A:H,8)</f>
        <v>0.17</v>
      </c>
    </row>
    <row r="797" spans="1:12" x14ac:dyDescent="0.2">
      <c r="A797" s="75" t="s">
        <v>413</v>
      </c>
      <c r="B797" s="79">
        <v>46064</v>
      </c>
      <c r="C797" s="75"/>
      <c r="D797" s="75"/>
      <c r="E797" s="75"/>
      <c r="F797" s="75">
        <v>10350</v>
      </c>
      <c r="G797" s="76" t="str">
        <f>VLOOKUP(Tabelle2[[#This Row],[Kunden Nr.]],KUNDEN!A:B,2,0)</f>
        <v>BALLKANI</v>
      </c>
      <c r="H797" s="75">
        <v>35113</v>
      </c>
      <c r="I797" s="76" t="str">
        <f>VLOOKUP(Tabelle2[[#This Row],[Artikel]],Produkte!A:B,2,0)</f>
        <v>M-ONE Sanitar Silikon</v>
      </c>
      <c r="J797" s="75">
        <v>24</v>
      </c>
      <c r="K797" s="76" t="str">
        <f>VLOOKUP(Tabelle2[[#This Row],[Kunden Nr.]],KUNDEN!A:G,7)</f>
        <v>Qerimi</v>
      </c>
      <c r="L797" s="76">
        <f>VLOOKUP(Tabelle2[[#This Row],[Artikel]],Produkte!A:H,8)</f>
        <v>0.17</v>
      </c>
    </row>
    <row r="798" spans="1:12" x14ac:dyDescent="0.2">
      <c r="A798" s="75" t="s">
        <v>413</v>
      </c>
      <c r="B798" s="79">
        <v>46064</v>
      </c>
      <c r="C798" s="75"/>
      <c r="D798" s="75"/>
      <c r="E798" s="75"/>
      <c r="F798" s="75">
        <v>10350</v>
      </c>
      <c r="G798" s="76" t="str">
        <f>VLOOKUP(Tabelle2[[#This Row],[Kunden Nr.]],KUNDEN!A:B,2,0)</f>
        <v>BALLKANI</v>
      </c>
      <c r="H798" s="75">
        <v>35121</v>
      </c>
      <c r="I798" s="76" t="str">
        <f>VLOOKUP(Tabelle2[[#This Row],[Artikel]],Produkte!A:B,2,0)</f>
        <v>M-ONE Sanitar Silikon</v>
      </c>
      <c r="J798" s="75">
        <v>24</v>
      </c>
      <c r="K798" s="76" t="str">
        <f>VLOOKUP(Tabelle2[[#This Row],[Kunden Nr.]],KUNDEN!A:G,7)</f>
        <v>Qerimi</v>
      </c>
      <c r="L798" s="76">
        <f>VLOOKUP(Tabelle2[[#This Row],[Artikel]],Produkte!A:H,8)</f>
        <v>0.17</v>
      </c>
    </row>
    <row r="799" spans="1:12" x14ac:dyDescent="0.2">
      <c r="A799" s="75" t="s">
        <v>8</v>
      </c>
      <c r="B799" s="79">
        <v>46064</v>
      </c>
      <c r="C799" s="89">
        <v>61.2</v>
      </c>
      <c r="D799" s="75"/>
      <c r="E799" s="75"/>
      <c r="F799" s="75">
        <v>10304</v>
      </c>
      <c r="G799" s="76" t="str">
        <f>VLOOKUP(Tabelle2[[#This Row],[Kunden Nr.]],KUNDEN!A:B,2,0)</f>
        <v>EUROSAN</v>
      </c>
      <c r="H799" s="75">
        <v>35110</v>
      </c>
      <c r="I799" s="76" t="str">
        <f>VLOOKUP(Tabelle2[[#This Row],[Artikel]],Produkte!A:B,2,0)</f>
        <v>M-ONE Sanitar Silikon</v>
      </c>
      <c r="J799" s="75">
        <v>12</v>
      </c>
      <c r="K799" s="76" t="str">
        <f>VLOOKUP(Tabelle2[[#This Row],[Kunden Nr.]],KUNDEN!A:G,7)</f>
        <v>Qerimi</v>
      </c>
      <c r="L799" s="76">
        <f>VLOOKUP(Tabelle2[[#This Row],[Artikel]],Produkte!A:H,8)</f>
        <v>0.17</v>
      </c>
    </row>
    <row r="800" spans="1:12" x14ac:dyDescent="0.2">
      <c r="A800" s="75" t="s">
        <v>8</v>
      </c>
      <c r="B800" s="79">
        <v>46064</v>
      </c>
      <c r="C800" s="75"/>
      <c r="D800" s="75"/>
      <c r="E800" s="75"/>
      <c r="F800" s="75">
        <v>10304</v>
      </c>
      <c r="G800" s="76" t="str">
        <f>VLOOKUP(Tabelle2[[#This Row],[Kunden Nr.]],KUNDEN!A:B,2,0)</f>
        <v>EUROSAN</v>
      </c>
      <c r="H800" s="75">
        <v>51611</v>
      </c>
      <c r="I800" s="76" t="str">
        <f>VLOOKUP(Tabelle2[[#This Row],[Artikel]],Produkte!A:B,2,0)</f>
        <v>universal akryl</v>
      </c>
      <c r="J800" s="75">
        <v>12</v>
      </c>
      <c r="K800" s="76" t="str">
        <f>VLOOKUP(Tabelle2[[#This Row],[Kunden Nr.]],KUNDEN!A:G,7)</f>
        <v>Qerimi</v>
      </c>
      <c r="L800" s="76">
        <f>VLOOKUP(Tabelle2[[#This Row],[Artikel]],Produkte!A:H,8)</f>
        <v>0.06</v>
      </c>
    </row>
    <row r="801" spans="1:12" x14ac:dyDescent="0.2">
      <c r="A801" s="75" t="s">
        <v>1153</v>
      </c>
      <c r="B801" s="79">
        <v>46064</v>
      </c>
      <c r="C801" s="89">
        <v>46.2</v>
      </c>
      <c r="D801" s="75"/>
      <c r="E801" s="75"/>
      <c r="F801" s="75">
        <v>10340</v>
      </c>
      <c r="G801" s="76" t="str">
        <f>VLOOKUP(Tabelle2[[#This Row],[Kunden Nr.]],KUNDEN!A:B,2,0)</f>
        <v>IBAK</v>
      </c>
      <c r="H801" s="75">
        <v>35109</v>
      </c>
      <c r="I801" s="76" t="str">
        <f>VLOOKUP(Tabelle2[[#This Row],[Artikel]],Produkte!A:B,2,0)</f>
        <v>M-ONE Sanitar Silikon</v>
      </c>
      <c r="J801" s="75">
        <v>12</v>
      </c>
      <c r="K801" s="76" t="str">
        <f>VLOOKUP(Tabelle2[[#This Row],[Kunden Nr.]],KUNDEN!A:G,7)</f>
        <v>Qerimi</v>
      </c>
      <c r="L801" s="76">
        <f>VLOOKUP(Tabelle2[[#This Row],[Artikel]],Produkte!A:H,8)</f>
        <v>0.17</v>
      </c>
    </row>
    <row r="802" spans="1:12" x14ac:dyDescent="0.2">
      <c r="A802" s="75" t="s">
        <v>10</v>
      </c>
      <c r="B802" s="79">
        <v>46064</v>
      </c>
      <c r="C802" s="89">
        <v>92.4</v>
      </c>
      <c r="D802" s="75"/>
      <c r="E802" s="75"/>
      <c r="F802" s="75">
        <v>10306</v>
      </c>
      <c r="G802" s="76" t="str">
        <f>VLOOKUP(Tabelle2[[#This Row],[Kunden Nr.]],KUNDEN!A:B,2,0)</f>
        <v>ELIONI-1</v>
      </c>
      <c r="H802" s="75">
        <v>35110</v>
      </c>
      <c r="I802" s="76" t="str">
        <f>VLOOKUP(Tabelle2[[#This Row],[Artikel]],Produkte!A:B,2,0)</f>
        <v>M-ONE Sanitar Silikon</v>
      </c>
      <c r="J802" s="75">
        <v>12</v>
      </c>
      <c r="K802" s="76" t="str">
        <f>VLOOKUP(Tabelle2[[#This Row],[Kunden Nr.]],KUNDEN!A:G,7)</f>
        <v>Qerimi</v>
      </c>
      <c r="L802" s="76">
        <f>VLOOKUP(Tabelle2[[#This Row],[Artikel]],Produkte!A:H,8)</f>
        <v>0.17</v>
      </c>
    </row>
    <row r="803" spans="1:12" x14ac:dyDescent="0.2">
      <c r="A803" s="75" t="s">
        <v>10</v>
      </c>
      <c r="B803" s="79">
        <v>46064</v>
      </c>
      <c r="C803" s="75"/>
      <c r="D803" s="75"/>
      <c r="E803" s="75"/>
      <c r="F803" s="75">
        <v>10306</v>
      </c>
      <c r="G803" s="76" t="str">
        <f>VLOOKUP(Tabelle2[[#This Row],[Kunden Nr.]],KUNDEN!A:B,2,0)</f>
        <v>ELIONI-1</v>
      </c>
      <c r="H803" s="75">
        <v>35128</v>
      </c>
      <c r="I803" s="76" t="str">
        <f>VLOOKUP(Tabelle2[[#This Row],[Artikel]],Produkte!A:B,2,0)</f>
        <v>M-ONE Sanitar Silikon</v>
      </c>
      <c r="J803" s="75">
        <v>12</v>
      </c>
      <c r="K803" s="76" t="str">
        <f>VLOOKUP(Tabelle2[[#This Row],[Kunden Nr.]],KUNDEN!A:G,7)</f>
        <v>Qerimi</v>
      </c>
      <c r="L803" s="76">
        <f>VLOOKUP(Tabelle2[[#This Row],[Artikel]],Produkte!A:H,8)</f>
        <v>0.17</v>
      </c>
    </row>
    <row r="804" spans="1:12" x14ac:dyDescent="0.2">
      <c r="A804" s="75" t="s">
        <v>30</v>
      </c>
      <c r="B804" s="79">
        <v>46064</v>
      </c>
      <c r="C804" s="89">
        <v>86.4</v>
      </c>
      <c r="D804" s="75"/>
      <c r="E804" s="75"/>
      <c r="F804" s="75">
        <v>10323</v>
      </c>
      <c r="G804" s="76" t="str">
        <f>VLOOKUP(Tabelle2[[#This Row],[Kunden Nr.]],KUNDEN!A:B,2,0)</f>
        <v>BEKA-3</v>
      </c>
      <c r="H804" s="75">
        <v>50912</v>
      </c>
      <c r="I804" s="76" t="str">
        <f>VLOOKUP(Tabelle2[[#This Row],[Artikel]],Produkte!A:B,2,0)</f>
        <v>DICHTUNG</v>
      </c>
      <c r="J804" s="75">
        <v>12</v>
      </c>
      <c r="K804" s="76" t="str">
        <f>VLOOKUP(Tabelle2[[#This Row],[Kunden Nr.]],KUNDEN!A:G,7)</f>
        <v>Qerimi</v>
      </c>
      <c r="L804" s="76">
        <f>VLOOKUP(Tabelle2[[#This Row],[Artikel]],Produkte!A:H,8)</f>
        <v>0.2</v>
      </c>
    </row>
    <row r="805" spans="1:12" x14ac:dyDescent="0.2">
      <c r="A805" s="75" t="s">
        <v>27</v>
      </c>
      <c r="B805" s="79">
        <v>46064</v>
      </c>
      <c r="C805" s="89">
        <v>46.2</v>
      </c>
      <c r="D805" s="75"/>
      <c r="E805" s="75"/>
      <c r="F805" s="75">
        <v>10320</v>
      </c>
      <c r="G805" s="76" t="str">
        <f>VLOOKUP(Tabelle2[[#This Row],[Kunden Nr.]],KUNDEN!A:B,2,0)</f>
        <v>DANI-COM</v>
      </c>
      <c r="H805" s="75">
        <v>35128</v>
      </c>
      <c r="I805" s="76" t="str">
        <f>VLOOKUP(Tabelle2[[#This Row],[Artikel]],Produkte!A:B,2,0)</f>
        <v>M-ONE Sanitar Silikon</v>
      </c>
      <c r="J805" s="75">
        <v>12</v>
      </c>
      <c r="K805" s="76" t="str">
        <f>VLOOKUP(Tabelle2[[#This Row],[Kunden Nr.]],KUNDEN!A:G,7)</f>
        <v>Qerimi</v>
      </c>
      <c r="L805" s="76">
        <f>VLOOKUP(Tabelle2[[#This Row],[Artikel]],Produkte!A:H,8)</f>
        <v>0.17</v>
      </c>
    </row>
    <row r="806" spans="1:12" x14ac:dyDescent="0.2">
      <c r="A806" s="75" t="s">
        <v>1057</v>
      </c>
      <c r="B806" s="79">
        <v>46064</v>
      </c>
      <c r="C806" s="89">
        <v>92.4</v>
      </c>
      <c r="D806" s="75"/>
      <c r="E806" s="75"/>
      <c r="F806" s="75">
        <v>20324</v>
      </c>
      <c r="G806" s="76" t="str">
        <f>VLOOKUP(Tabelle2[[#This Row],[Kunden Nr.]],KUNDEN!A:B,2,0)</f>
        <v>BAU HOME</v>
      </c>
      <c r="H806" s="75">
        <v>35110</v>
      </c>
      <c r="I806" s="76" t="str">
        <f>VLOOKUP(Tabelle2[[#This Row],[Artikel]],Produkte!A:B,2,0)</f>
        <v>M-ONE Sanitar Silikon</v>
      </c>
      <c r="J806" s="75">
        <v>12</v>
      </c>
      <c r="K806" s="76" t="str">
        <f>VLOOKUP(Tabelle2[[#This Row],[Kunden Nr.]],KUNDEN!A:G,7)</f>
        <v>Mensuri</v>
      </c>
      <c r="L806" s="76">
        <f>VLOOKUP(Tabelle2[[#This Row],[Artikel]],Produkte!A:H,8)</f>
        <v>0.17</v>
      </c>
    </row>
    <row r="807" spans="1:12" x14ac:dyDescent="0.2">
      <c r="A807" s="75" t="s">
        <v>1057</v>
      </c>
      <c r="B807" s="79">
        <v>46064</v>
      </c>
      <c r="C807" s="75"/>
      <c r="D807" s="75"/>
      <c r="E807" s="75"/>
      <c r="F807" s="75">
        <v>20324</v>
      </c>
      <c r="G807" s="76" t="str">
        <f>VLOOKUP(Tabelle2[[#This Row],[Kunden Nr.]],KUNDEN!A:B,2,0)</f>
        <v>BAU HOME</v>
      </c>
      <c r="H807" s="75">
        <v>35128</v>
      </c>
      <c r="I807" s="76" t="str">
        <f>VLOOKUP(Tabelle2[[#This Row],[Artikel]],Produkte!A:B,2,0)</f>
        <v>M-ONE Sanitar Silikon</v>
      </c>
      <c r="J807" s="75">
        <v>12</v>
      </c>
      <c r="K807" s="76" t="str">
        <f>VLOOKUP(Tabelle2[[#This Row],[Kunden Nr.]],KUNDEN!A:G,7)</f>
        <v>Mensuri</v>
      </c>
      <c r="L807" s="76">
        <f>VLOOKUP(Tabelle2[[#This Row],[Artikel]],Produkte!A:H,8)</f>
        <v>0.17</v>
      </c>
    </row>
    <row r="808" spans="1:12" x14ac:dyDescent="0.2">
      <c r="A808" s="75" t="s">
        <v>618</v>
      </c>
      <c r="B808" s="79">
        <v>46064</v>
      </c>
      <c r="C808" s="89">
        <v>347.4</v>
      </c>
      <c r="D808" s="75"/>
      <c r="E808" s="75"/>
      <c r="F808" s="75">
        <v>20307</v>
      </c>
      <c r="G808" s="76" t="str">
        <f>VLOOKUP(Tabelle2[[#This Row],[Kunden Nr.]],KUNDEN!A:B,2,0)</f>
        <v>CONDOR</v>
      </c>
      <c r="H808" s="75">
        <v>35109</v>
      </c>
      <c r="I808" s="76" t="str">
        <f>VLOOKUP(Tabelle2[[#This Row],[Artikel]],Produkte!A:B,2,0)</f>
        <v>M-ONE Sanitar Silikon</v>
      </c>
      <c r="J808" s="75">
        <v>24</v>
      </c>
      <c r="K808" s="76" t="str">
        <f>VLOOKUP(Tabelle2[[#This Row],[Kunden Nr.]],KUNDEN!A:G,7)</f>
        <v>Mensuri</v>
      </c>
      <c r="L808" s="76">
        <f>VLOOKUP(Tabelle2[[#This Row],[Artikel]],Produkte!A:H,8)</f>
        <v>0.17</v>
      </c>
    </row>
    <row r="809" spans="1:12" x14ac:dyDescent="0.2">
      <c r="A809" s="75" t="s">
        <v>618</v>
      </c>
      <c r="B809" s="79">
        <v>46064</v>
      </c>
      <c r="C809" s="75"/>
      <c r="D809" s="75"/>
      <c r="E809" s="75"/>
      <c r="F809" s="75">
        <v>20307</v>
      </c>
      <c r="G809" s="76" t="str">
        <f>VLOOKUP(Tabelle2[[#This Row],[Kunden Nr.]],KUNDEN!A:B,2,0)</f>
        <v>CONDOR</v>
      </c>
      <c r="H809" s="75">
        <v>35110</v>
      </c>
      <c r="I809" s="76" t="str">
        <f>VLOOKUP(Tabelle2[[#This Row],[Artikel]],Produkte!A:B,2,0)</f>
        <v>M-ONE Sanitar Silikon</v>
      </c>
      <c r="J809" s="75">
        <v>24</v>
      </c>
      <c r="K809" s="76" t="str">
        <f>VLOOKUP(Tabelle2[[#This Row],[Kunden Nr.]],KUNDEN!A:G,7)</f>
        <v>Mensuri</v>
      </c>
      <c r="L809" s="76">
        <f>VLOOKUP(Tabelle2[[#This Row],[Artikel]],Produkte!A:H,8)</f>
        <v>0.17</v>
      </c>
    </row>
    <row r="810" spans="1:12" x14ac:dyDescent="0.2">
      <c r="A810" s="75" t="s">
        <v>618</v>
      </c>
      <c r="B810" s="79">
        <v>46064</v>
      </c>
      <c r="C810" s="75"/>
      <c r="D810" s="75"/>
      <c r="E810" s="75"/>
      <c r="F810" s="75">
        <v>20307</v>
      </c>
      <c r="G810" s="76" t="str">
        <f>VLOOKUP(Tabelle2[[#This Row],[Kunden Nr.]],KUNDEN!A:B,2,0)</f>
        <v>CONDOR</v>
      </c>
      <c r="H810" s="75">
        <v>35121</v>
      </c>
      <c r="I810" s="76" t="str">
        <f>VLOOKUP(Tabelle2[[#This Row],[Artikel]],Produkte!A:B,2,0)</f>
        <v>M-ONE Sanitar Silikon</v>
      </c>
      <c r="J810" s="75">
        <v>12</v>
      </c>
      <c r="K810" s="76" t="str">
        <f>VLOOKUP(Tabelle2[[#This Row],[Kunden Nr.]],KUNDEN!A:G,7)</f>
        <v>Mensuri</v>
      </c>
      <c r="L810" s="76">
        <f>VLOOKUP(Tabelle2[[#This Row],[Artikel]],Produkte!A:H,8)</f>
        <v>0.17</v>
      </c>
    </row>
    <row r="811" spans="1:12" x14ac:dyDescent="0.2">
      <c r="A811" s="75" t="s">
        <v>618</v>
      </c>
      <c r="B811" s="79">
        <v>46064</v>
      </c>
      <c r="C811" s="75"/>
      <c r="D811" s="75"/>
      <c r="E811" s="75"/>
      <c r="F811" s="75">
        <v>20307</v>
      </c>
      <c r="G811" s="76" t="str">
        <f>VLOOKUP(Tabelle2[[#This Row],[Kunden Nr.]],KUNDEN!A:B,2,0)</f>
        <v>CONDOR</v>
      </c>
      <c r="H811" s="75">
        <v>35125</v>
      </c>
      <c r="I811" s="76" t="str">
        <f>VLOOKUP(Tabelle2[[#This Row],[Artikel]],Produkte!A:B,2,0)</f>
        <v>M-ONE Sanitar Silikon</v>
      </c>
      <c r="J811" s="75">
        <v>12</v>
      </c>
      <c r="K811" s="76" t="str">
        <f>VLOOKUP(Tabelle2[[#This Row],[Kunden Nr.]],KUNDEN!A:G,7)</f>
        <v>Mensuri</v>
      </c>
      <c r="L811" s="76">
        <f>VLOOKUP(Tabelle2[[#This Row],[Artikel]],Produkte!A:H,8)</f>
        <v>0.17</v>
      </c>
    </row>
    <row r="812" spans="1:12" x14ac:dyDescent="0.2">
      <c r="A812" s="75" t="s">
        <v>618</v>
      </c>
      <c r="B812" s="79">
        <v>46064</v>
      </c>
      <c r="C812" s="75"/>
      <c r="D812" s="75"/>
      <c r="E812" s="75"/>
      <c r="F812" s="75">
        <v>20307</v>
      </c>
      <c r="G812" s="76" t="str">
        <f>VLOOKUP(Tabelle2[[#This Row],[Kunden Nr.]],KUNDEN!A:B,2,0)</f>
        <v>CONDOR</v>
      </c>
      <c r="H812" s="75">
        <v>51611</v>
      </c>
      <c r="I812" s="76" t="str">
        <f>VLOOKUP(Tabelle2[[#This Row],[Artikel]],Produkte!A:B,2,0)</f>
        <v>universal akryl</v>
      </c>
      <c r="J812" s="75">
        <v>12</v>
      </c>
      <c r="K812" s="76" t="str">
        <f>VLOOKUP(Tabelle2[[#This Row],[Kunden Nr.]],KUNDEN!A:G,7)</f>
        <v>Mensuri</v>
      </c>
      <c r="L812" s="76">
        <f>VLOOKUP(Tabelle2[[#This Row],[Artikel]],Produkte!A:H,8)</f>
        <v>0.06</v>
      </c>
    </row>
    <row r="813" spans="1:12" x14ac:dyDescent="0.2">
      <c r="A813" s="75" t="s">
        <v>618</v>
      </c>
      <c r="B813" s="79">
        <v>46064</v>
      </c>
      <c r="C813" s="75"/>
      <c r="D813" s="75"/>
      <c r="E813" s="75"/>
      <c r="F813" s="75">
        <v>20307</v>
      </c>
      <c r="G813" s="76" t="str">
        <f>VLOOKUP(Tabelle2[[#This Row],[Kunden Nr.]],KUNDEN!A:B,2,0)</f>
        <v>CONDOR</v>
      </c>
      <c r="H813" s="75">
        <v>51612</v>
      </c>
      <c r="I813" s="76" t="str">
        <f>VLOOKUP(Tabelle2[[#This Row],[Artikel]],Produkte!A:B,2,0)</f>
        <v>struktural akryl</v>
      </c>
      <c r="J813" s="75">
        <v>24</v>
      </c>
      <c r="K813" s="76" t="str">
        <f>VLOOKUP(Tabelle2[[#This Row],[Kunden Nr.]],KUNDEN!A:G,7)</f>
        <v>Mensuri</v>
      </c>
      <c r="L813" s="76">
        <f>VLOOKUP(Tabelle2[[#This Row],[Artikel]],Produkte!A:H,8)</f>
        <v>0.06</v>
      </c>
    </row>
    <row r="814" spans="1:12" x14ac:dyDescent="0.2">
      <c r="A814" s="75" t="s">
        <v>1252</v>
      </c>
      <c r="B814" s="79">
        <v>46064</v>
      </c>
      <c r="C814" s="89">
        <v>92.4</v>
      </c>
      <c r="D814" s="75"/>
      <c r="E814" s="75"/>
      <c r="F814" s="75">
        <v>20331</v>
      </c>
      <c r="G814" s="76" t="str">
        <f>VLOOKUP(Tabelle2[[#This Row],[Kunden Nr.]],KUNDEN!A:B,2,0)</f>
        <v>BARDHI-M</v>
      </c>
      <c r="H814" s="75">
        <v>35110</v>
      </c>
      <c r="I814" s="76" t="str">
        <f>VLOOKUP(Tabelle2[[#This Row],[Artikel]],Produkte!A:B,2,0)</f>
        <v>M-ONE Sanitar Silikon</v>
      </c>
      <c r="J814" s="75">
        <v>12</v>
      </c>
      <c r="K814" s="76" t="str">
        <f>VLOOKUP(Tabelle2[[#This Row],[Kunden Nr.]],KUNDEN!A:G,7)</f>
        <v>Mensuri</v>
      </c>
      <c r="L814" s="76">
        <f>VLOOKUP(Tabelle2[[#This Row],[Artikel]],Produkte!A:H,8)</f>
        <v>0.17</v>
      </c>
    </row>
    <row r="815" spans="1:12" x14ac:dyDescent="0.2">
      <c r="A815" s="75" t="s">
        <v>1252</v>
      </c>
      <c r="B815" s="79">
        <v>46064</v>
      </c>
      <c r="C815" s="75"/>
      <c r="D815" s="75"/>
      <c r="E815" s="75"/>
      <c r="F815" s="75">
        <v>20331</v>
      </c>
      <c r="G815" s="76" t="str">
        <f>VLOOKUP(Tabelle2[[#This Row],[Kunden Nr.]],KUNDEN!A:B,2,0)</f>
        <v>BARDHI-M</v>
      </c>
      <c r="H815" s="75">
        <v>35121</v>
      </c>
      <c r="I815" s="76" t="str">
        <f>VLOOKUP(Tabelle2[[#This Row],[Artikel]],Produkte!A:B,2,0)</f>
        <v>M-ONE Sanitar Silikon</v>
      </c>
      <c r="J815" s="75">
        <v>12</v>
      </c>
      <c r="K815" s="76" t="str">
        <f>VLOOKUP(Tabelle2[[#This Row],[Kunden Nr.]],KUNDEN!A:G,7)</f>
        <v>Mensuri</v>
      </c>
      <c r="L815" s="76">
        <f>VLOOKUP(Tabelle2[[#This Row],[Artikel]],Produkte!A:H,8)</f>
        <v>0.17</v>
      </c>
    </row>
    <row r="816" spans="1:12" x14ac:dyDescent="0.2">
      <c r="A816" s="75" t="s">
        <v>1307</v>
      </c>
      <c r="B816" s="79">
        <v>46064</v>
      </c>
      <c r="C816" s="89">
        <v>73.8</v>
      </c>
      <c r="D816" s="75"/>
      <c r="E816" s="75"/>
      <c r="F816" s="75">
        <v>20321</v>
      </c>
      <c r="G816" s="76" t="str">
        <f>VLOOKUP(Tabelle2[[#This Row],[Kunden Nr.]],KUNDEN!A:B,2,0)</f>
        <v>BEREQETI</v>
      </c>
      <c r="H816" s="75">
        <v>35121</v>
      </c>
      <c r="I816" s="76" t="str">
        <f>VLOOKUP(Tabelle2[[#This Row],[Artikel]],Produkte!A:B,2,0)</f>
        <v>M-ONE Sanitar Silikon</v>
      </c>
      <c r="J816" s="75">
        <v>12</v>
      </c>
      <c r="K816" s="76" t="str">
        <f>VLOOKUP(Tabelle2[[#This Row],[Kunden Nr.]],KUNDEN!A:G,7)</f>
        <v>Mensuri</v>
      </c>
      <c r="L816" s="76">
        <f>VLOOKUP(Tabelle2[[#This Row],[Artikel]],Produkte!A:H,8)</f>
        <v>0.17</v>
      </c>
    </row>
    <row r="817" spans="1:12" x14ac:dyDescent="0.2">
      <c r="A817" s="75" t="s">
        <v>1307</v>
      </c>
      <c r="B817" s="79">
        <v>46064</v>
      </c>
      <c r="C817" s="75"/>
      <c r="D817" s="75"/>
      <c r="E817" s="75"/>
      <c r="F817" s="75">
        <v>20321</v>
      </c>
      <c r="G817" s="76" t="str">
        <f>VLOOKUP(Tabelle2[[#This Row],[Kunden Nr.]],KUNDEN!A:B,2,0)</f>
        <v>BEREQETI</v>
      </c>
      <c r="H817" s="75">
        <v>51612</v>
      </c>
      <c r="I817" s="76" t="str">
        <f>VLOOKUP(Tabelle2[[#This Row],[Artikel]],Produkte!A:B,2,0)</f>
        <v>struktural akryl</v>
      </c>
      <c r="J817" s="75">
        <v>12</v>
      </c>
      <c r="K817" s="76" t="str">
        <f>VLOOKUP(Tabelle2[[#This Row],[Kunden Nr.]],KUNDEN!A:G,7)</f>
        <v>Mensuri</v>
      </c>
      <c r="L817" s="76">
        <f>VLOOKUP(Tabelle2[[#This Row],[Artikel]],Produkte!A:H,8)</f>
        <v>0.06</v>
      </c>
    </row>
    <row r="818" spans="1:12" x14ac:dyDescent="0.2">
      <c r="A818" s="75" t="s">
        <v>615</v>
      </c>
      <c r="B818" s="79">
        <v>46064</v>
      </c>
      <c r="C818" s="89">
        <v>61.2</v>
      </c>
      <c r="D818" s="75"/>
      <c r="E818" s="75"/>
      <c r="F818" s="75">
        <v>20304</v>
      </c>
      <c r="G818" s="76" t="str">
        <f>VLOOKUP(Tabelle2[[#This Row],[Kunden Nr.]],KUNDEN!A:B,2,0)</f>
        <v>AGRO-FARM</v>
      </c>
      <c r="H818" s="75">
        <v>35121</v>
      </c>
      <c r="I818" s="76" t="str">
        <f>VLOOKUP(Tabelle2[[#This Row],[Artikel]],Produkte!A:B,2,0)</f>
        <v>M-ONE Sanitar Silikon</v>
      </c>
      <c r="J818" s="75">
        <v>12</v>
      </c>
      <c r="K818" s="76" t="str">
        <f>VLOOKUP(Tabelle2[[#This Row],[Kunden Nr.]],KUNDEN!A:G,7)</f>
        <v>Mensuri</v>
      </c>
      <c r="L818" s="76">
        <f>VLOOKUP(Tabelle2[[#This Row],[Artikel]],Produkte!A:H,8)</f>
        <v>0.17</v>
      </c>
    </row>
    <row r="819" spans="1:12" x14ac:dyDescent="0.2">
      <c r="A819" s="75" t="s">
        <v>615</v>
      </c>
      <c r="B819" s="79">
        <v>46064</v>
      </c>
      <c r="C819" s="75"/>
      <c r="D819" s="75"/>
      <c r="E819" s="75"/>
      <c r="F819" s="75">
        <v>20304</v>
      </c>
      <c r="G819" s="76" t="str">
        <f>VLOOKUP(Tabelle2[[#This Row],[Kunden Nr.]],KUNDEN!A:B,2,0)</f>
        <v>AGRO-FARM</v>
      </c>
      <c r="H819" s="75">
        <v>51611</v>
      </c>
      <c r="I819" s="76" t="str">
        <f>VLOOKUP(Tabelle2[[#This Row],[Artikel]],Produkte!A:B,2,0)</f>
        <v>universal akryl</v>
      </c>
      <c r="J819" s="75">
        <v>12</v>
      </c>
      <c r="K819" s="76" t="str">
        <f>VLOOKUP(Tabelle2[[#This Row],[Kunden Nr.]],KUNDEN!A:G,7)</f>
        <v>Mensuri</v>
      </c>
      <c r="L819" s="76">
        <f>VLOOKUP(Tabelle2[[#This Row],[Artikel]],Produkte!A:H,8)</f>
        <v>0.06</v>
      </c>
    </row>
    <row r="820" spans="1:12" x14ac:dyDescent="0.2">
      <c r="A820" s="75" t="s">
        <v>623</v>
      </c>
      <c r="B820" s="79">
        <v>46064</v>
      </c>
      <c r="C820" s="89">
        <v>92.4</v>
      </c>
      <c r="D820" s="75"/>
      <c r="E820" s="75"/>
      <c r="F820" s="75">
        <v>20313</v>
      </c>
      <c r="G820" s="76" t="str">
        <f>VLOOKUP(Tabelle2[[#This Row],[Kunden Nr.]],KUNDEN!A:B,2,0)</f>
        <v>DURGUTI 3</v>
      </c>
      <c r="H820" s="75">
        <v>35110</v>
      </c>
      <c r="I820" s="76" t="str">
        <f>VLOOKUP(Tabelle2[[#This Row],[Artikel]],Produkte!A:B,2,0)</f>
        <v>M-ONE Sanitar Silikon</v>
      </c>
      <c r="J820" s="75">
        <v>12</v>
      </c>
      <c r="K820" s="76" t="str">
        <f>VLOOKUP(Tabelle2[[#This Row],[Kunden Nr.]],KUNDEN!A:G,7)</f>
        <v>Mensuri</v>
      </c>
      <c r="L820" s="76">
        <f>VLOOKUP(Tabelle2[[#This Row],[Artikel]],Produkte!A:H,8)</f>
        <v>0.17</v>
      </c>
    </row>
    <row r="821" spans="1:12" x14ac:dyDescent="0.2">
      <c r="A821" s="75" t="s">
        <v>623</v>
      </c>
      <c r="B821" s="79">
        <v>46064</v>
      </c>
      <c r="C821" s="75"/>
      <c r="D821" s="75"/>
      <c r="E821" s="75"/>
      <c r="F821" s="75">
        <v>20313</v>
      </c>
      <c r="G821" s="76" t="str">
        <f>VLOOKUP(Tabelle2[[#This Row],[Kunden Nr.]],KUNDEN!A:B,2,0)</f>
        <v>DURGUTI 3</v>
      </c>
      <c r="H821" s="75">
        <v>35128</v>
      </c>
      <c r="I821" s="76" t="str">
        <f>VLOOKUP(Tabelle2[[#This Row],[Artikel]],Produkte!A:B,2,0)</f>
        <v>M-ONE Sanitar Silikon</v>
      </c>
      <c r="J821" s="75">
        <v>12</v>
      </c>
      <c r="K821" s="76" t="str">
        <f>VLOOKUP(Tabelle2[[#This Row],[Kunden Nr.]],KUNDEN!A:G,7)</f>
        <v>Mensuri</v>
      </c>
      <c r="L821" s="76">
        <f>VLOOKUP(Tabelle2[[#This Row],[Artikel]],Produkte!A:H,8)</f>
        <v>0.17</v>
      </c>
    </row>
    <row r="822" spans="1:12" x14ac:dyDescent="0.2">
      <c r="A822" s="75" t="s">
        <v>626</v>
      </c>
      <c r="B822" s="79">
        <v>46064</v>
      </c>
      <c r="C822" s="89">
        <v>26</v>
      </c>
      <c r="D822" s="75"/>
      <c r="E822" s="75"/>
      <c r="F822" s="75">
        <v>20317</v>
      </c>
      <c r="G822" s="76" t="str">
        <f>VLOOKUP(Tabelle2[[#This Row],[Kunden Nr.]],KUNDEN!A:B,2,0)</f>
        <v>SHEHU-A</v>
      </c>
      <c r="H822" s="75">
        <v>49644</v>
      </c>
      <c r="I822" s="76" t="str">
        <f>VLOOKUP(Tabelle2[[#This Row],[Artikel]],Produkte!A:B,2,0)</f>
        <v>beMAKER Rostlöser</v>
      </c>
      <c r="J822" s="75">
        <v>6</v>
      </c>
      <c r="K822" s="76" t="str">
        <f>VLOOKUP(Tabelle2[[#This Row],[Kunden Nr.]],KUNDEN!A:G,7)</f>
        <v>Mensuri</v>
      </c>
      <c r="L822" s="76">
        <f>VLOOKUP(Tabelle2[[#This Row],[Artikel]],Produkte!A:H,8)</f>
        <v>0.2</v>
      </c>
    </row>
    <row r="823" spans="1:12" x14ac:dyDescent="0.2">
      <c r="A823" s="75" t="s">
        <v>626</v>
      </c>
      <c r="B823" s="79">
        <v>46064</v>
      </c>
      <c r="C823" s="75"/>
      <c r="D823" s="75"/>
      <c r="E823" s="75"/>
      <c r="F823" s="75">
        <v>20317</v>
      </c>
      <c r="G823" s="76" t="str">
        <f>VLOOKUP(Tabelle2[[#This Row],[Kunden Nr.]],KUNDEN!A:B,2,0)</f>
        <v>SHEHU-A</v>
      </c>
      <c r="H823" s="75">
        <v>44001</v>
      </c>
      <c r="I823" s="76" t="str">
        <f>VLOOKUP(Tabelle2[[#This Row],[Artikel]],Produkte!A:B,2,0)</f>
        <v>Fettspray</v>
      </c>
      <c r="J823" s="75">
        <v>4</v>
      </c>
      <c r="K823" s="76" t="str">
        <f>VLOOKUP(Tabelle2[[#This Row],[Kunden Nr.]],KUNDEN!A:G,7)</f>
        <v>Mensuri</v>
      </c>
      <c r="L823" s="76">
        <f>VLOOKUP(Tabelle2[[#This Row],[Artikel]],Produkte!A:H,8)</f>
        <v>0.2</v>
      </c>
    </row>
    <row r="824" spans="1:12" x14ac:dyDescent="0.2">
      <c r="A824" s="75" t="s">
        <v>949</v>
      </c>
      <c r="B824" s="79">
        <v>46064</v>
      </c>
      <c r="C824" s="89">
        <v>46.2</v>
      </c>
      <c r="D824" s="75"/>
      <c r="E824" s="75"/>
      <c r="F824" s="75">
        <v>20311</v>
      </c>
      <c r="G824" s="76" t="str">
        <f>VLOOKUP(Tabelle2[[#This Row],[Kunden Nr.]],KUNDEN!A:B,2,0)</f>
        <v>SOPAJ</v>
      </c>
      <c r="H824" s="75">
        <v>35109</v>
      </c>
      <c r="I824" s="76" t="str">
        <f>VLOOKUP(Tabelle2[[#This Row],[Artikel]],Produkte!A:B,2,0)</f>
        <v>M-ONE Sanitar Silikon</v>
      </c>
      <c r="J824" s="75">
        <v>12</v>
      </c>
      <c r="K824" s="76" t="str">
        <f>VLOOKUP(Tabelle2[[#This Row],[Kunden Nr.]],KUNDEN!A:G,7)</f>
        <v>Mensuri</v>
      </c>
      <c r="L824" s="76">
        <f>VLOOKUP(Tabelle2[[#This Row],[Artikel]],Produkte!A:H,8)</f>
        <v>0.17</v>
      </c>
    </row>
    <row r="825" spans="1:12" x14ac:dyDescent="0.2">
      <c r="A825" s="75" t="s">
        <v>770</v>
      </c>
      <c r="B825" s="79">
        <v>46065</v>
      </c>
      <c r="C825" s="89">
        <v>175</v>
      </c>
      <c r="D825" s="75"/>
      <c r="E825" s="75"/>
      <c r="F825" s="75">
        <v>40003</v>
      </c>
      <c r="G825" s="76" t="str">
        <f>VLOOKUP(Tabelle2[[#This Row],[Kunden Nr.]],KUNDEN!A:B,2,0)</f>
        <v>ARBENI BIOBLIC</v>
      </c>
      <c r="H825" s="75">
        <v>20001</v>
      </c>
      <c r="I825" s="76" t="str">
        <f>VLOOKUP(Tabelle2[[#This Row],[Artikel]],Produkte!A:B,2,0)</f>
        <v>BioBlic Universalreiniger</v>
      </c>
      <c r="J825" s="75">
        <v>100</v>
      </c>
      <c r="K825" s="76">
        <f>VLOOKUP(Tabelle2[[#This Row],[Kunden Nr.]],KUNDEN!A:G,7)</f>
        <v>0</v>
      </c>
      <c r="L825" s="76">
        <f>VLOOKUP(Tabelle2[[#This Row],[Artikel]],Produkte!A:H,8)</f>
        <v>0.30000000000000004</v>
      </c>
    </row>
    <row r="826" spans="1:12" x14ac:dyDescent="0.2">
      <c r="A826" s="75" t="s">
        <v>770</v>
      </c>
      <c r="B826" s="79">
        <v>46065</v>
      </c>
      <c r="C826" s="75"/>
      <c r="D826" s="75"/>
      <c r="E826" s="75"/>
      <c r="F826" s="75">
        <v>40003</v>
      </c>
      <c r="G826" s="76" t="str">
        <f>VLOOKUP(Tabelle2[[#This Row],[Kunden Nr.]],KUNDEN!A:B,2,0)</f>
        <v>ARBENI BIOBLIC</v>
      </c>
      <c r="H826" s="75">
        <v>30275</v>
      </c>
      <c r="I826" s="76" t="str">
        <f>VLOOKUP(Tabelle2[[#This Row],[Artikel]],Produkte!A:B,2,0)</f>
        <v>Blic Blic Sanitärreiniger</v>
      </c>
      <c r="J826" s="75">
        <v>40</v>
      </c>
      <c r="K826" s="76">
        <f>VLOOKUP(Tabelle2[[#This Row],[Kunden Nr.]],KUNDEN!A:G,7)</f>
        <v>0</v>
      </c>
      <c r="L826" s="76">
        <f>VLOOKUP(Tabelle2[[#This Row],[Artikel]],Produkte!A:H,8)</f>
        <v>0.30000000000000004</v>
      </c>
    </row>
    <row r="827" spans="1:12" x14ac:dyDescent="0.2">
      <c r="A827" s="75" t="s">
        <v>1293</v>
      </c>
      <c r="B827" s="79">
        <v>46065</v>
      </c>
      <c r="C827" s="89">
        <v>48</v>
      </c>
      <c r="D827" s="75"/>
      <c r="E827" s="75"/>
      <c r="F827" s="75">
        <v>40033</v>
      </c>
      <c r="G827" s="76" t="str">
        <f>VLOOKUP(Tabelle2[[#This Row],[Kunden Nr.]],KUNDEN!A:B,2,0)</f>
        <v>G FETAHU QERAMIK SH.P.K.</v>
      </c>
      <c r="H827" s="75">
        <v>35128</v>
      </c>
      <c r="I827" s="76" t="str">
        <f>VLOOKUP(Tabelle2[[#This Row],[Artikel]],Produkte!A:B,2,0)</f>
        <v>M-ONE Sanitar Silikon</v>
      </c>
      <c r="J827" s="75">
        <v>7</v>
      </c>
      <c r="K827" s="76">
        <f>VLOOKUP(Tabelle2[[#This Row],[Kunden Nr.]],KUNDEN!A:G,7)</f>
        <v>0</v>
      </c>
      <c r="L827" s="76">
        <f>VLOOKUP(Tabelle2[[#This Row],[Artikel]],Produkte!A:H,8)</f>
        <v>0.17</v>
      </c>
    </row>
    <row r="828" spans="1:12" x14ac:dyDescent="0.2">
      <c r="A828" s="75" t="s">
        <v>1293</v>
      </c>
      <c r="B828" s="79">
        <v>46065</v>
      </c>
      <c r="C828" s="75"/>
      <c r="D828" s="75"/>
      <c r="E828" s="75"/>
      <c r="F828" s="75">
        <v>40033</v>
      </c>
      <c r="G828" s="76" t="str">
        <f>VLOOKUP(Tabelle2[[#This Row],[Kunden Nr.]],KUNDEN!A:B,2,0)</f>
        <v>G FETAHU QERAMIK SH.P.K.</v>
      </c>
      <c r="H828" s="75">
        <v>35109</v>
      </c>
      <c r="I828" s="76" t="str">
        <f>VLOOKUP(Tabelle2[[#This Row],[Artikel]],Produkte!A:B,2,0)</f>
        <v>M-ONE Sanitar Silikon</v>
      </c>
      <c r="J828" s="75">
        <v>3</v>
      </c>
      <c r="K828" s="76">
        <f>VLOOKUP(Tabelle2[[#This Row],[Kunden Nr.]],KUNDEN!A:G,7)</f>
        <v>0</v>
      </c>
      <c r="L828" s="76">
        <f>VLOOKUP(Tabelle2[[#This Row],[Artikel]],Produkte!A:H,8)</f>
        <v>0.17</v>
      </c>
    </row>
    <row r="829" spans="1:12" x14ac:dyDescent="0.2">
      <c r="A829" s="75" t="s">
        <v>1293</v>
      </c>
      <c r="B829" s="79">
        <v>46065</v>
      </c>
      <c r="C829" s="75"/>
      <c r="D829" s="75"/>
      <c r="E829" s="75"/>
      <c r="F829" s="75">
        <v>40033</v>
      </c>
      <c r="G829" s="76" t="str">
        <f>VLOOKUP(Tabelle2[[#This Row],[Kunden Nr.]],KUNDEN!A:B,2,0)</f>
        <v>G FETAHU QERAMIK SH.P.K.</v>
      </c>
      <c r="H829" s="75">
        <v>35113</v>
      </c>
      <c r="I829" s="76" t="str">
        <f>VLOOKUP(Tabelle2[[#This Row],[Artikel]],Produkte!A:B,2,0)</f>
        <v>M-ONE Sanitar Silikon</v>
      </c>
      <c r="J829" s="75">
        <v>2</v>
      </c>
      <c r="K829" s="76">
        <f>VLOOKUP(Tabelle2[[#This Row],[Kunden Nr.]],KUNDEN!A:G,7)</f>
        <v>0</v>
      </c>
      <c r="L829" s="76">
        <f>VLOOKUP(Tabelle2[[#This Row],[Artikel]],Produkte!A:H,8)</f>
        <v>0.17</v>
      </c>
    </row>
    <row r="830" spans="1:12" x14ac:dyDescent="0.2">
      <c r="A830" s="75" t="s">
        <v>558</v>
      </c>
      <c r="B830" s="79">
        <v>46065</v>
      </c>
      <c r="C830" s="89">
        <v>184.8</v>
      </c>
      <c r="D830" s="75"/>
      <c r="E830" s="75"/>
      <c r="F830" s="75">
        <v>10418</v>
      </c>
      <c r="G830" s="76" t="str">
        <f>VLOOKUP(Tabelle2[[#This Row],[Kunden Nr.]],KUNDEN!A:B,2,0)</f>
        <v>NDRIQIMI</v>
      </c>
      <c r="H830" s="75">
        <v>35110</v>
      </c>
      <c r="I830" s="76" t="str">
        <f>VLOOKUP(Tabelle2[[#This Row],[Artikel]],Produkte!A:B,2,0)</f>
        <v>M-ONE Sanitar Silikon</v>
      </c>
      <c r="J830" s="75">
        <v>24</v>
      </c>
      <c r="K830" s="76" t="str">
        <f>VLOOKUP(Tabelle2[[#This Row],[Kunden Nr.]],KUNDEN!A:G,7)</f>
        <v>Qerimi</v>
      </c>
      <c r="L830" s="76">
        <f>VLOOKUP(Tabelle2[[#This Row],[Artikel]],Produkte!A:H,8)</f>
        <v>0.17</v>
      </c>
    </row>
    <row r="831" spans="1:12" x14ac:dyDescent="0.2">
      <c r="A831" s="75" t="s">
        <v>558</v>
      </c>
      <c r="B831" s="79">
        <v>46065</v>
      </c>
      <c r="C831" s="75"/>
      <c r="D831" s="75"/>
      <c r="E831" s="75"/>
      <c r="F831" s="75">
        <v>10418</v>
      </c>
      <c r="G831" s="76" t="str">
        <f>VLOOKUP(Tabelle2[[#This Row],[Kunden Nr.]],KUNDEN!A:B,2,0)</f>
        <v>NDRIQIMI</v>
      </c>
      <c r="H831" s="75">
        <v>35111</v>
      </c>
      <c r="I831" s="76" t="str">
        <f>VLOOKUP(Tabelle2[[#This Row],[Artikel]],Produkte!A:B,2,0)</f>
        <v>M-ONE Sanitar Silikon</v>
      </c>
      <c r="J831" s="75">
        <v>12</v>
      </c>
      <c r="K831" s="76" t="str">
        <f>VLOOKUP(Tabelle2[[#This Row],[Kunden Nr.]],KUNDEN!A:G,7)</f>
        <v>Qerimi</v>
      </c>
      <c r="L831" s="76">
        <f>VLOOKUP(Tabelle2[[#This Row],[Artikel]],Produkte!A:H,8)</f>
        <v>0.17</v>
      </c>
    </row>
    <row r="832" spans="1:12" x14ac:dyDescent="0.2">
      <c r="A832" s="75" t="s">
        <v>558</v>
      </c>
      <c r="B832" s="79">
        <v>46065</v>
      </c>
      <c r="C832" s="75"/>
      <c r="D832" s="75"/>
      <c r="E832" s="75"/>
      <c r="F832" s="75">
        <v>10418</v>
      </c>
      <c r="G832" s="76" t="str">
        <f>VLOOKUP(Tabelle2[[#This Row],[Kunden Nr.]],KUNDEN!A:B,2,0)</f>
        <v>NDRIQIMI</v>
      </c>
      <c r="H832" s="75">
        <v>35115</v>
      </c>
      <c r="I832" s="76" t="str">
        <f>VLOOKUP(Tabelle2[[#This Row],[Artikel]],Produkte!A:B,2,0)</f>
        <v>M-ONE Sanitar Silikon</v>
      </c>
      <c r="J832" s="75">
        <v>12</v>
      </c>
      <c r="K832" s="76" t="str">
        <f>VLOOKUP(Tabelle2[[#This Row],[Kunden Nr.]],KUNDEN!A:G,7)</f>
        <v>Qerimi</v>
      </c>
      <c r="L832" s="76">
        <f>VLOOKUP(Tabelle2[[#This Row],[Artikel]],Produkte!A:H,8)</f>
        <v>0.17</v>
      </c>
    </row>
    <row r="833" spans="1:12" x14ac:dyDescent="0.2">
      <c r="A833" s="75" t="s">
        <v>553</v>
      </c>
      <c r="B833" s="79">
        <v>46065</v>
      </c>
      <c r="C833" s="89">
        <v>92.4</v>
      </c>
      <c r="D833" s="75"/>
      <c r="E833" s="75"/>
      <c r="F833" s="75">
        <v>10413</v>
      </c>
      <c r="G833" s="76" t="str">
        <f>VLOOKUP(Tabelle2[[#This Row],[Kunden Nr.]],KUNDEN!A:B,2,0)</f>
        <v>UNIVERZAL</v>
      </c>
      <c r="H833" s="75">
        <v>35109</v>
      </c>
      <c r="I833" s="76" t="str">
        <f>VLOOKUP(Tabelle2[[#This Row],[Artikel]],Produkte!A:B,2,0)</f>
        <v>M-ONE Sanitar Silikon</v>
      </c>
      <c r="J833" s="75">
        <v>12</v>
      </c>
      <c r="K833" s="76" t="str">
        <f>VLOOKUP(Tabelle2[[#This Row],[Kunden Nr.]],KUNDEN!A:G,7)</f>
        <v>Qerimi</v>
      </c>
      <c r="L833" s="76">
        <f>VLOOKUP(Tabelle2[[#This Row],[Artikel]],Produkte!A:H,8)</f>
        <v>0.17</v>
      </c>
    </row>
    <row r="834" spans="1:12" x14ac:dyDescent="0.2">
      <c r="A834" s="75" t="s">
        <v>553</v>
      </c>
      <c r="B834" s="79">
        <v>46065</v>
      </c>
      <c r="C834" s="75"/>
      <c r="D834" s="75"/>
      <c r="E834" s="75"/>
      <c r="F834" s="75">
        <v>10413</v>
      </c>
      <c r="G834" s="76" t="str">
        <f>VLOOKUP(Tabelle2[[#This Row],[Kunden Nr.]],KUNDEN!A:B,2,0)</f>
        <v>UNIVERZAL</v>
      </c>
      <c r="H834" s="75">
        <v>35128</v>
      </c>
      <c r="I834" s="76" t="str">
        <f>VLOOKUP(Tabelle2[[#This Row],[Artikel]],Produkte!A:B,2,0)</f>
        <v>M-ONE Sanitar Silikon</v>
      </c>
      <c r="J834" s="75">
        <v>12</v>
      </c>
      <c r="K834" s="76" t="str">
        <f>VLOOKUP(Tabelle2[[#This Row],[Kunden Nr.]],KUNDEN!A:G,7)</f>
        <v>Qerimi</v>
      </c>
      <c r="L834" s="76">
        <f>VLOOKUP(Tabelle2[[#This Row],[Artikel]],Produkte!A:H,8)</f>
        <v>0.17</v>
      </c>
    </row>
    <row r="835" spans="1:12" x14ac:dyDescent="0.2">
      <c r="A835" s="75" t="s">
        <v>546</v>
      </c>
      <c r="B835" s="79">
        <v>46065</v>
      </c>
      <c r="C835" s="89">
        <v>30</v>
      </c>
      <c r="D835" s="75"/>
      <c r="E835" s="75"/>
      <c r="F835" s="75">
        <v>10406</v>
      </c>
      <c r="G835" s="76" t="str">
        <f>VLOOKUP(Tabelle2[[#This Row],[Kunden Nr.]],KUNDEN!A:B,2,0)</f>
        <v>AGRONI</v>
      </c>
      <c r="H835" s="75">
        <v>56117</v>
      </c>
      <c r="I835" s="76" t="str">
        <f>VLOOKUP(Tabelle2[[#This Row],[Artikel]],Produkte!A:B,2,0)</f>
        <v>M ONE UBS</v>
      </c>
      <c r="J835" s="75">
        <v>5</v>
      </c>
      <c r="K835" s="76" t="str">
        <f>VLOOKUP(Tabelle2[[#This Row],[Kunden Nr.]],KUNDEN!A:G,7)</f>
        <v>Qerimi</v>
      </c>
      <c r="L835" s="76">
        <f>VLOOKUP(Tabelle2[[#This Row],[Artikel]],Produkte!A:H,8)</f>
        <v>0.2</v>
      </c>
    </row>
    <row r="836" spans="1:12" x14ac:dyDescent="0.2">
      <c r="A836" s="75" t="s">
        <v>546</v>
      </c>
      <c r="B836" s="79">
        <v>46065</v>
      </c>
      <c r="C836" s="75"/>
      <c r="D836" s="75"/>
      <c r="E836" s="75"/>
      <c r="F836" s="75">
        <v>10406</v>
      </c>
      <c r="G836" s="76" t="str">
        <f>VLOOKUP(Tabelle2[[#This Row],[Kunden Nr.]],KUNDEN!A:B,2,0)</f>
        <v>AGRONI</v>
      </c>
      <c r="H836" s="75">
        <v>49644</v>
      </c>
      <c r="I836" s="76" t="str">
        <f>VLOOKUP(Tabelle2[[#This Row],[Artikel]],Produkte!A:B,2,0)</f>
        <v>beMAKER Rostlöser</v>
      </c>
      <c r="J836" s="75">
        <v>5</v>
      </c>
      <c r="K836" s="76" t="str">
        <f>VLOOKUP(Tabelle2[[#This Row],[Kunden Nr.]],KUNDEN!A:G,7)</f>
        <v>Qerimi</v>
      </c>
      <c r="L836" s="76">
        <f>VLOOKUP(Tabelle2[[#This Row],[Artikel]],Produkte!A:H,8)</f>
        <v>0.2</v>
      </c>
    </row>
    <row r="837" spans="1:12" x14ac:dyDescent="0.2">
      <c r="A837" s="75" t="s">
        <v>550</v>
      </c>
      <c r="B837" s="79">
        <v>46065</v>
      </c>
      <c r="C837" s="89">
        <v>92.4</v>
      </c>
      <c r="D837" s="75"/>
      <c r="E837" s="75"/>
      <c r="F837" s="75">
        <v>10410</v>
      </c>
      <c r="G837" s="76" t="str">
        <f>VLOOKUP(Tabelle2[[#This Row],[Kunden Nr.]],KUNDEN!A:B,2,0)</f>
        <v>GRANITI</v>
      </c>
      <c r="H837" s="75">
        <v>35110</v>
      </c>
      <c r="I837" s="76" t="str">
        <f>VLOOKUP(Tabelle2[[#This Row],[Artikel]],Produkte!A:B,2,0)</f>
        <v>M-ONE Sanitar Silikon</v>
      </c>
      <c r="J837" s="75">
        <v>12</v>
      </c>
      <c r="K837" s="76" t="str">
        <f>VLOOKUP(Tabelle2[[#This Row],[Kunden Nr.]],KUNDEN!A:G,7)</f>
        <v>Qerimi</v>
      </c>
      <c r="L837" s="76">
        <f>VLOOKUP(Tabelle2[[#This Row],[Artikel]],Produkte!A:H,8)</f>
        <v>0.17</v>
      </c>
    </row>
    <row r="838" spans="1:12" x14ac:dyDescent="0.2">
      <c r="A838" s="75" t="s">
        <v>550</v>
      </c>
      <c r="B838" s="79">
        <v>46065</v>
      </c>
      <c r="C838" s="75"/>
      <c r="D838" s="75"/>
      <c r="E838" s="75"/>
      <c r="F838" s="75">
        <v>10410</v>
      </c>
      <c r="G838" s="76" t="str">
        <f>VLOOKUP(Tabelle2[[#This Row],[Kunden Nr.]],KUNDEN!A:B,2,0)</f>
        <v>GRANITI</v>
      </c>
      <c r="H838" s="75">
        <v>35113</v>
      </c>
      <c r="I838" s="76" t="str">
        <f>VLOOKUP(Tabelle2[[#This Row],[Artikel]],Produkte!A:B,2,0)</f>
        <v>M-ONE Sanitar Silikon</v>
      </c>
      <c r="J838" s="75">
        <v>12</v>
      </c>
      <c r="K838" s="76" t="str">
        <f>VLOOKUP(Tabelle2[[#This Row],[Kunden Nr.]],KUNDEN!A:G,7)</f>
        <v>Qerimi</v>
      </c>
      <c r="L838" s="76">
        <f>VLOOKUP(Tabelle2[[#This Row],[Artikel]],Produkte!A:H,8)</f>
        <v>0.17</v>
      </c>
    </row>
    <row r="839" spans="1:12" x14ac:dyDescent="0.2">
      <c r="A839" s="75" t="s">
        <v>879</v>
      </c>
      <c r="B839" s="79">
        <v>46065</v>
      </c>
      <c r="C839" s="89">
        <v>92.4</v>
      </c>
      <c r="D839" s="75"/>
      <c r="E839" s="75"/>
      <c r="F839" s="75">
        <v>10430</v>
      </c>
      <c r="G839" s="76" t="str">
        <f>VLOOKUP(Tabelle2[[#This Row],[Kunden Nr.]],KUNDEN!A:B,2,0)</f>
        <v>EURO COM</v>
      </c>
      <c r="H839" s="75">
        <v>35113</v>
      </c>
      <c r="I839" s="76" t="str">
        <f>VLOOKUP(Tabelle2[[#This Row],[Artikel]],Produkte!A:B,2,0)</f>
        <v>M-ONE Sanitar Silikon</v>
      </c>
      <c r="J839" s="75">
        <v>12</v>
      </c>
      <c r="K839" s="76" t="str">
        <f>VLOOKUP(Tabelle2[[#This Row],[Kunden Nr.]],KUNDEN!A:G,7)</f>
        <v>Qerimi</v>
      </c>
      <c r="L839" s="76">
        <f>VLOOKUP(Tabelle2[[#This Row],[Artikel]],Produkte!A:H,8)</f>
        <v>0.17</v>
      </c>
    </row>
    <row r="840" spans="1:12" x14ac:dyDescent="0.2">
      <c r="A840" s="75" t="s">
        <v>879</v>
      </c>
      <c r="B840" s="79">
        <v>46065</v>
      </c>
      <c r="C840" s="75"/>
      <c r="D840" s="75"/>
      <c r="E840" s="75"/>
      <c r="F840" s="75">
        <v>10430</v>
      </c>
      <c r="G840" s="76" t="str">
        <f>VLOOKUP(Tabelle2[[#This Row],[Kunden Nr.]],KUNDEN!A:B,2,0)</f>
        <v>EURO COM</v>
      </c>
      <c r="H840" s="75">
        <v>35109</v>
      </c>
      <c r="I840" s="76" t="str">
        <f>VLOOKUP(Tabelle2[[#This Row],[Artikel]],Produkte!A:B,2,0)</f>
        <v>M-ONE Sanitar Silikon</v>
      </c>
      <c r="J840" s="75">
        <v>12</v>
      </c>
      <c r="K840" s="76" t="str">
        <f>VLOOKUP(Tabelle2[[#This Row],[Kunden Nr.]],KUNDEN!A:G,7)</f>
        <v>Qerimi</v>
      </c>
      <c r="L840" s="76">
        <f>VLOOKUP(Tabelle2[[#This Row],[Artikel]],Produkte!A:H,8)</f>
        <v>0.17</v>
      </c>
    </row>
    <row r="841" spans="1:12" x14ac:dyDescent="0.2">
      <c r="A841" s="75" t="s">
        <v>1265</v>
      </c>
      <c r="B841" s="79">
        <v>46066</v>
      </c>
      <c r="C841" s="89">
        <v>323.39999999999998</v>
      </c>
      <c r="D841" s="75"/>
      <c r="E841" s="75"/>
      <c r="F841" s="75">
        <v>10145</v>
      </c>
      <c r="G841" s="76" t="str">
        <f>VLOOKUP(Tabelle2[[#This Row],[Kunden Nr.]],KUNDEN!A:B,2,0)</f>
        <v>KRRABAJ</v>
      </c>
      <c r="H841" s="75">
        <v>35108</v>
      </c>
      <c r="I841" s="76" t="str">
        <f>VLOOKUP(Tabelle2[[#This Row],[Artikel]],Produkte!A:B,2,0)</f>
        <v>M-ONE Sanitar Silikon</v>
      </c>
      <c r="J841" s="75">
        <v>12</v>
      </c>
      <c r="K841" s="76" t="str">
        <f>VLOOKUP(Tabelle2[[#This Row],[Kunden Nr.]],KUNDEN!A:G,7)</f>
        <v>Qerimi</v>
      </c>
      <c r="L841" s="76">
        <f>VLOOKUP(Tabelle2[[#This Row],[Artikel]],Produkte!A:H,8)</f>
        <v>0.17</v>
      </c>
    </row>
    <row r="842" spans="1:12" x14ac:dyDescent="0.2">
      <c r="A842" s="75" t="s">
        <v>1265</v>
      </c>
      <c r="B842" s="79">
        <v>46066</v>
      </c>
      <c r="C842" s="75"/>
      <c r="D842" s="75"/>
      <c r="E842" s="75"/>
      <c r="F842" s="75">
        <v>10145</v>
      </c>
      <c r="G842" s="76" t="str">
        <f>VLOOKUP(Tabelle2[[#This Row],[Kunden Nr.]],KUNDEN!A:B,2,0)</f>
        <v>KRRABAJ</v>
      </c>
      <c r="H842" s="75">
        <v>35109</v>
      </c>
      <c r="I842" s="76" t="str">
        <f>VLOOKUP(Tabelle2[[#This Row],[Artikel]],Produkte!A:B,2,0)</f>
        <v>M-ONE Sanitar Silikon</v>
      </c>
      <c r="J842" s="75">
        <v>12</v>
      </c>
      <c r="K842" s="76" t="str">
        <f>VLOOKUP(Tabelle2[[#This Row],[Kunden Nr.]],KUNDEN!A:G,7)</f>
        <v>Qerimi</v>
      </c>
      <c r="L842" s="76">
        <f>VLOOKUP(Tabelle2[[#This Row],[Artikel]],Produkte!A:H,8)</f>
        <v>0.17</v>
      </c>
    </row>
    <row r="843" spans="1:12" x14ac:dyDescent="0.2">
      <c r="A843" s="75" t="s">
        <v>1265</v>
      </c>
      <c r="B843" s="79">
        <v>46066</v>
      </c>
      <c r="C843" s="75"/>
      <c r="D843" s="75"/>
      <c r="E843" s="75"/>
      <c r="F843" s="75">
        <v>10145</v>
      </c>
      <c r="G843" s="76" t="str">
        <f>VLOOKUP(Tabelle2[[#This Row],[Kunden Nr.]],KUNDEN!A:B,2,0)</f>
        <v>KRRABAJ</v>
      </c>
      <c r="H843" s="75">
        <v>35113</v>
      </c>
      <c r="I843" s="76" t="str">
        <f>VLOOKUP(Tabelle2[[#This Row],[Artikel]],Produkte!A:B,2,0)</f>
        <v>M-ONE Sanitar Silikon</v>
      </c>
      <c r="J843" s="75">
        <v>12</v>
      </c>
      <c r="K843" s="76" t="str">
        <f>VLOOKUP(Tabelle2[[#This Row],[Kunden Nr.]],KUNDEN!A:G,7)</f>
        <v>Qerimi</v>
      </c>
      <c r="L843" s="76">
        <f>VLOOKUP(Tabelle2[[#This Row],[Artikel]],Produkte!A:H,8)</f>
        <v>0.17</v>
      </c>
    </row>
    <row r="844" spans="1:12" x14ac:dyDescent="0.2">
      <c r="A844" s="75" t="s">
        <v>1265</v>
      </c>
      <c r="B844" s="79">
        <v>46066</v>
      </c>
      <c r="C844" s="75"/>
      <c r="D844" s="75"/>
      <c r="E844" s="75"/>
      <c r="F844" s="75">
        <v>10145</v>
      </c>
      <c r="G844" s="76" t="str">
        <f>VLOOKUP(Tabelle2[[#This Row],[Kunden Nr.]],KUNDEN!A:B,2,0)</f>
        <v>KRRABAJ</v>
      </c>
      <c r="H844" s="75">
        <v>35125</v>
      </c>
      <c r="I844" s="76" t="str">
        <f>VLOOKUP(Tabelle2[[#This Row],[Artikel]],Produkte!A:B,2,0)</f>
        <v>M-ONE Sanitar Silikon</v>
      </c>
      <c r="J844" s="75">
        <v>12</v>
      </c>
      <c r="K844" s="76" t="str">
        <f>VLOOKUP(Tabelle2[[#This Row],[Kunden Nr.]],KUNDEN!A:G,7)</f>
        <v>Qerimi</v>
      </c>
      <c r="L844" s="76">
        <f>VLOOKUP(Tabelle2[[#This Row],[Artikel]],Produkte!A:H,8)</f>
        <v>0.17</v>
      </c>
    </row>
    <row r="845" spans="1:12" x14ac:dyDescent="0.2">
      <c r="A845" s="75" t="s">
        <v>1265</v>
      </c>
      <c r="B845" s="79">
        <v>46066</v>
      </c>
      <c r="C845" s="75"/>
      <c r="D845" s="75"/>
      <c r="E845" s="75"/>
      <c r="F845" s="75">
        <v>10145</v>
      </c>
      <c r="G845" s="76" t="str">
        <f>VLOOKUP(Tabelle2[[#This Row],[Kunden Nr.]],KUNDEN!A:B,2,0)</f>
        <v>KRRABAJ</v>
      </c>
      <c r="H845" s="75">
        <v>35128</v>
      </c>
      <c r="I845" s="76" t="str">
        <f>VLOOKUP(Tabelle2[[#This Row],[Artikel]],Produkte!A:B,2,0)</f>
        <v>M-ONE Sanitar Silikon</v>
      </c>
      <c r="J845" s="75">
        <v>12</v>
      </c>
      <c r="K845" s="76" t="str">
        <f>VLOOKUP(Tabelle2[[#This Row],[Kunden Nr.]],KUNDEN!A:G,7)</f>
        <v>Qerimi</v>
      </c>
      <c r="L845" s="76">
        <f>VLOOKUP(Tabelle2[[#This Row],[Artikel]],Produkte!A:H,8)</f>
        <v>0.17</v>
      </c>
    </row>
    <row r="846" spans="1:12" x14ac:dyDescent="0.2">
      <c r="A846" s="75" t="s">
        <v>1265</v>
      </c>
      <c r="B846" s="79">
        <v>46066</v>
      </c>
      <c r="C846" s="75"/>
      <c r="D846" s="75"/>
      <c r="E846" s="75"/>
      <c r="F846" s="75">
        <v>10145</v>
      </c>
      <c r="G846" s="76" t="str">
        <f>VLOOKUP(Tabelle2[[#This Row],[Kunden Nr.]],KUNDEN!A:B,2,0)</f>
        <v>KRRABAJ</v>
      </c>
      <c r="H846" s="75">
        <v>35121</v>
      </c>
      <c r="I846" s="76" t="str">
        <f>VLOOKUP(Tabelle2[[#This Row],[Artikel]],Produkte!A:B,2,0)</f>
        <v>M-ONE Sanitar Silikon</v>
      </c>
      <c r="J846" s="75">
        <v>12</v>
      </c>
      <c r="K846" s="76" t="str">
        <f>VLOOKUP(Tabelle2[[#This Row],[Kunden Nr.]],KUNDEN!A:G,7)</f>
        <v>Qerimi</v>
      </c>
      <c r="L846" s="76">
        <f>VLOOKUP(Tabelle2[[#This Row],[Artikel]],Produkte!A:H,8)</f>
        <v>0.17</v>
      </c>
    </row>
    <row r="847" spans="1:12" x14ac:dyDescent="0.2">
      <c r="A847" s="75" t="s">
        <v>1265</v>
      </c>
      <c r="B847" s="79">
        <v>46066</v>
      </c>
      <c r="C847" s="75"/>
      <c r="D847" s="75"/>
      <c r="E847" s="75"/>
      <c r="F847" s="75">
        <v>10145</v>
      </c>
      <c r="G847" s="76" t="str">
        <f>VLOOKUP(Tabelle2[[#This Row],[Kunden Nr.]],KUNDEN!A:B,2,0)</f>
        <v>KRRABAJ</v>
      </c>
      <c r="H847" s="75">
        <v>35115</v>
      </c>
      <c r="I847" s="76" t="str">
        <f>VLOOKUP(Tabelle2[[#This Row],[Artikel]],Produkte!A:B,2,0)</f>
        <v>M-ONE Sanitar Silikon</v>
      </c>
      <c r="J847" s="75">
        <v>12</v>
      </c>
      <c r="K847" s="76" t="str">
        <f>VLOOKUP(Tabelle2[[#This Row],[Kunden Nr.]],KUNDEN!A:G,7)</f>
        <v>Qerimi</v>
      </c>
      <c r="L847" s="76">
        <f>VLOOKUP(Tabelle2[[#This Row],[Artikel]],Produkte!A:H,8)</f>
        <v>0.17</v>
      </c>
    </row>
    <row r="848" spans="1:12" x14ac:dyDescent="0.2">
      <c r="A848" s="75" t="s">
        <v>1282</v>
      </c>
      <c r="B848" s="79">
        <v>46066</v>
      </c>
      <c r="C848" s="89">
        <v>1134</v>
      </c>
      <c r="D848" s="75"/>
      <c r="E848" s="75"/>
      <c r="F848" s="75">
        <v>40028</v>
      </c>
      <c r="G848" s="76" t="str">
        <f>VLOOKUP(Tabelle2[[#This Row],[Kunden Nr.]],KUNDEN!A:B,2,0)</f>
        <v>MARIGONA HILL SH.P.K.</v>
      </c>
      <c r="H848" s="75">
        <v>35119</v>
      </c>
      <c r="I848" s="76" t="str">
        <f>VLOOKUP(Tabelle2[[#This Row],[Artikel]],Produkte!A:B,2,0)</f>
        <v>M-ONE Sanitar Silikon</v>
      </c>
      <c r="J848" s="75">
        <v>72</v>
      </c>
      <c r="K848" s="76">
        <f>VLOOKUP(Tabelle2[[#This Row],[Kunden Nr.]],KUNDEN!A:G,7)</f>
        <v>0</v>
      </c>
      <c r="L848" s="76">
        <f>VLOOKUP(Tabelle2[[#This Row],[Artikel]],Produkte!A:H,8)</f>
        <v>0.17</v>
      </c>
    </row>
    <row r="849" spans="1:12" x14ac:dyDescent="0.2">
      <c r="A849" s="75" t="s">
        <v>1282</v>
      </c>
      <c r="B849" s="79">
        <v>46066</v>
      </c>
      <c r="C849" s="75"/>
      <c r="D849" s="75"/>
      <c r="E849" s="75"/>
      <c r="F849" s="75">
        <v>40028</v>
      </c>
      <c r="G849" s="76" t="str">
        <f>VLOOKUP(Tabelle2[[#This Row],[Kunden Nr.]],KUNDEN!A:B,2,0)</f>
        <v>MARIGONA HILL SH.P.K.</v>
      </c>
      <c r="H849" s="75">
        <v>35128</v>
      </c>
      <c r="I849" s="76" t="str">
        <f>VLOOKUP(Tabelle2[[#This Row],[Artikel]],Produkte!A:B,2,0)</f>
        <v>M-ONE Sanitar Silikon</v>
      </c>
      <c r="J849" s="75">
        <v>36</v>
      </c>
      <c r="K849" s="76">
        <f>VLOOKUP(Tabelle2[[#This Row],[Kunden Nr.]],KUNDEN!A:G,7)</f>
        <v>0</v>
      </c>
      <c r="L849" s="76">
        <f>VLOOKUP(Tabelle2[[#This Row],[Artikel]],Produkte!A:H,8)</f>
        <v>0.17</v>
      </c>
    </row>
    <row r="850" spans="1:12" x14ac:dyDescent="0.2">
      <c r="A850" s="75" t="s">
        <v>1282</v>
      </c>
      <c r="B850" s="79">
        <v>46066</v>
      </c>
      <c r="C850" s="75"/>
      <c r="D850" s="75"/>
      <c r="E850" s="75"/>
      <c r="F850" s="75">
        <v>40028</v>
      </c>
      <c r="G850" s="76" t="str">
        <f>VLOOKUP(Tabelle2[[#This Row],[Kunden Nr.]],KUNDEN!A:B,2,0)</f>
        <v>MARIGONA HILL SH.P.K.</v>
      </c>
      <c r="H850" s="75">
        <v>35115</v>
      </c>
      <c r="I850" s="76" t="str">
        <f>VLOOKUP(Tabelle2[[#This Row],[Artikel]],Produkte!A:B,2,0)</f>
        <v>M-ONE Sanitar Silikon</v>
      </c>
      <c r="J850" s="75">
        <v>36</v>
      </c>
      <c r="K850" s="76">
        <f>VLOOKUP(Tabelle2[[#This Row],[Kunden Nr.]],KUNDEN!A:G,7)</f>
        <v>0</v>
      </c>
      <c r="L850" s="76">
        <f>VLOOKUP(Tabelle2[[#This Row],[Artikel]],Produkte!A:H,8)</f>
        <v>0.17</v>
      </c>
    </row>
    <row r="851" spans="1:12" x14ac:dyDescent="0.2">
      <c r="A851" s="75" t="s">
        <v>1282</v>
      </c>
      <c r="B851" s="79">
        <v>46066</v>
      </c>
      <c r="C851" s="75"/>
      <c r="D851" s="75"/>
      <c r="E851" s="75"/>
      <c r="F851" s="75">
        <v>40028</v>
      </c>
      <c r="G851" s="76" t="str">
        <f>VLOOKUP(Tabelle2[[#This Row],[Kunden Nr.]],KUNDEN!A:B,2,0)</f>
        <v>MARIGONA HILL SH.P.K.</v>
      </c>
      <c r="H851" s="75">
        <v>35108</v>
      </c>
      <c r="I851" s="76" t="str">
        <f>VLOOKUP(Tabelle2[[#This Row],[Artikel]],Produkte!A:B,2,0)</f>
        <v>M-ONE Sanitar Silikon</v>
      </c>
      <c r="J851" s="75">
        <v>36</v>
      </c>
      <c r="K851" s="76">
        <f>VLOOKUP(Tabelle2[[#This Row],[Kunden Nr.]],KUNDEN!A:G,7)</f>
        <v>0</v>
      </c>
      <c r="L851" s="76">
        <f>VLOOKUP(Tabelle2[[#This Row],[Artikel]],Produkte!A:H,8)</f>
        <v>0.17</v>
      </c>
    </row>
    <row r="852" spans="1:12" x14ac:dyDescent="0.2">
      <c r="A852" s="75" t="s">
        <v>1282</v>
      </c>
      <c r="B852" s="79">
        <v>46066</v>
      </c>
      <c r="C852" s="75"/>
      <c r="D852" s="75"/>
      <c r="E852" s="75"/>
      <c r="F852" s="75">
        <v>40028</v>
      </c>
      <c r="G852" s="76" t="str">
        <f>VLOOKUP(Tabelle2[[#This Row],[Kunden Nr.]],KUNDEN!A:B,2,0)</f>
        <v>MARIGONA HILL SH.P.K.</v>
      </c>
      <c r="H852" s="75">
        <v>35113</v>
      </c>
      <c r="I852" s="76" t="str">
        <f>VLOOKUP(Tabelle2[[#This Row],[Artikel]],Produkte!A:B,2,0)</f>
        <v>M-ONE Sanitar Silikon</v>
      </c>
      <c r="J852" s="75">
        <v>36</v>
      </c>
      <c r="K852" s="76">
        <f>VLOOKUP(Tabelle2[[#This Row],[Kunden Nr.]],KUNDEN!A:G,7)</f>
        <v>0</v>
      </c>
      <c r="L852" s="76">
        <f>VLOOKUP(Tabelle2[[#This Row],[Artikel]],Produkte!A:H,8)</f>
        <v>0.17</v>
      </c>
    </row>
    <row r="853" spans="1:12" x14ac:dyDescent="0.2">
      <c r="A853" s="75" t="s">
        <v>1282</v>
      </c>
      <c r="B853" s="79">
        <v>46066</v>
      </c>
      <c r="C853" s="75"/>
      <c r="D853" s="75"/>
      <c r="E853" s="75"/>
      <c r="F853" s="75">
        <v>40028</v>
      </c>
      <c r="G853" s="76" t="str">
        <f>VLOOKUP(Tabelle2[[#This Row],[Kunden Nr.]],KUNDEN!A:B,2,0)</f>
        <v>MARIGONA HILL SH.P.K.</v>
      </c>
      <c r="H853" s="75">
        <v>35121</v>
      </c>
      <c r="I853" s="76" t="str">
        <f>VLOOKUP(Tabelle2[[#This Row],[Artikel]],Produkte!A:B,2,0)</f>
        <v>M-ONE Sanitar Silikon</v>
      </c>
      <c r="J853" s="75">
        <v>36</v>
      </c>
      <c r="K853" s="76">
        <f>VLOOKUP(Tabelle2[[#This Row],[Kunden Nr.]],KUNDEN!A:G,7)</f>
        <v>0</v>
      </c>
      <c r="L853" s="76">
        <f>VLOOKUP(Tabelle2[[#This Row],[Artikel]],Produkte!A:H,8)</f>
        <v>0.17</v>
      </c>
    </row>
    <row r="854" spans="1:12" x14ac:dyDescent="0.2">
      <c r="A854" s="75" t="s">
        <v>484</v>
      </c>
      <c r="B854" s="79">
        <v>46066</v>
      </c>
      <c r="C854" s="89">
        <v>107.4</v>
      </c>
      <c r="D854" s="75"/>
      <c r="E854" s="75"/>
      <c r="F854" s="75">
        <v>10504</v>
      </c>
      <c r="G854" s="76" t="str">
        <f>VLOOKUP(Tabelle2[[#This Row],[Kunden Nr.]],KUNDEN!A:B,2,0)</f>
        <v>CARRALEVA 1</v>
      </c>
      <c r="H854" s="75">
        <v>35109</v>
      </c>
      <c r="I854" s="76" t="str">
        <f>VLOOKUP(Tabelle2[[#This Row],[Artikel]],Produkte!A:B,2,0)</f>
        <v>M-ONE Sanitar Silikon</v>
      </c>
      <c r="J854" s="75">
        <v>12</v>
      </c>
      <c r="K854" s="76" t="str">
        <f>VLOOKUP(Tabelle2[[#This Row],[Kunden Nr.]],KUNDEN!A:G,7)</f>
        <v>Qerimi</v>
      </c>
      <c r="L854" s="76">
        <f>VLOOKUP(Tabelle2[[#This Row],[Artikel]],Produkte!A:H,8)</f>
        <v>0.17</v>
      </c>
    </row>
    <row r="855" spans="1:12" x14ac:dyDescent="0.2">
      <c r="A855" s="75" t="s">
        <v>484</v>
      </c>
      <c r="B855" s="79">
        <v>46066</v>
      </c>
      <c r="C855" s="75"/>
      <c r="D855" s="75"/>
      <c r="E855" s="75"/>
      <c r="F855" s="75">
        <v>10504</v>
      </c>
      <c r="G855" s="76" t="str">
        <f>VLOOKUP(Tabelle2[[#This Row],[Kunden Nr.]],KUNDEN!A:B,2,0)</f>
        <v>CARRALEVA 1</v>
      </c>
      <c r="H855" s="75">
        <v>35110</v>
      </c>
      <c r="I855" s="76" t="str">
        <f>VLOOKUP(Tabelle2[[#This Row],[Artikel]],Produkte!A:B,2,0)</f>
        <v>M-ONE Sanitar Silikon</v>
      </c>
      <c r="J855" s="75">
        <v>12</v>
      </c>
      <c r="K855" s="76" t="str">
        <f>VLOOKUP(Tabelle2[[#This Row],[Kunden Nr.]],KUNDEN!A:G,7)</f>
        <v>Qerimi</v>
      </c>
      <c r="L855" s="76">
        <f>VLOOKUP(Tabelle2[[#This Row],[Artikel]],Produkte!A:H,8)</f>
        <v>0.17</v>
      </c>
    </row>
    <row r="856" spans="1:12" x14ac:dyDescent="0.2">
      <c r="A856" s="75" t="s">
        <v>484</v>
      </c>
      <c r="B856" s="79">
        <v>46066</v>
      </c>
      <c r="C856" s="75"/>
      <c r="D856" s="75"/>
      <c r="E856" s="75"/>
      <c r="F856" s="75">
        <v>10504</v>
      </c>
      <c r="G856" s="76" t="str">
        <f>VLOOKUP(Tabelle2[[#This Row],[Kunden Nr.]],KUNDEN!A:B,2,0)</f>
        <v>CARRALEVA 1</v>
      </c>
      <c r="H856" s="75">
        <v>51611</v>
      </c>
      <c r="I856" s="76" t="str">
        <f>VLOOKUP(Tabelle2[[#This Row],[Artikel]],Produkte!A:B,2,0)</f>
        <v>universal akryl</v>
      </c>
      <c r="J856" s="75">
        <v>12</v>
      </c>
      <c r="K856" s="76" t="str">
        <f>VLOOKUP(Tabelle2[[#This Row],[Kunden Nr.]],KUNDEN!A:G,7)</f>
        <v>Qerimi</v>
      </c>
      <c r="L856" s="76">
        <f>VLOOKUP(Tabelle2[[#This Row],[Artikel]],Produkte!A:H,8)</f>
        <v>0.06</v>
      </c>
    </row>
    <row r="857" spans="1:12" x14ac:dyDescent="0.2">
      <c r="A857" s="75" t="s">
        <v>413</v>
      </c>
      <c r="B857" s="79">
        <v>46066</v>
      </c>
      <c r="C857" s="89">
        <v>231</v>
      </c>
      <c r="D857" s="75"/>
      <c r="E857" s="75"/>
      <c r="F857" s="75">
        <v>10350</v>
      </c>
      <c r="G857" s="76" t="str">
        <f>VLOOKUP(Tabelle2[[#This Row],[Kunden Nr.]],KUNDEN!A:B,2,0)</f>
        <v>BALLKANI</v>
      </c>
      <c r="H857" s="75">
        <v>35121</v>
      </c>
      <c r="I857" s="76" t="str">
        <f>VLOOKUP(Tabelle2[[#This Row],[Artikel]],Produkte!A:B,2,0)</f>
        <v>M-ONE Sanitar Silikon</v>
      </c>
      <c r="J857" s="75">
        <v>60</v>
      </c>
      <c r="K857" s="76" t="str">
        <f>VLOOKUP(Tabelle2[[#This Row],[Kunden Nr.]],KUNDEN!A:G,7)</f>
        <v>Qerimi</v>
      </c>
      <c r="L857" s="76">
        <f>VLOOKUP(Tabelle2[[#This Row],[Artikel]],Produkte!A:H,8)</f>
        <v>0.17</v>
      </c>
    </row>
    <row r="858" spans="1:12" x14ac:dyDescent="0.2">
      <c r="A858" s="75" t="s">
        <v>491</v>
      </c>
      <c r="B858" s="79">
        <v>46066</v>
      </c>
      <c r="C858" s="89">
        <v>46.2</v>
      </c>
      <c r="D858" s="75"/>
      <c r="E858" s="75"/>
      <c r="F858" s="75">
        <v>10508</v>
      </c>
      <c r="G858" s="76" t="str">
        <f>VLOOKUP(Tabelle2[[#This Row],[Kunden Nr.]],KUNDEN!A:B,2,0)</f>
        <v>CARRALEVA 2</v>
      </c>
      <c r="H858" s="75">
        <v>35111</v>
      </c>
      <c r="I858" s="76" t="str">
        <f>VLOOKUP(Tabelle2[[#This Row],[Artikel]],Produkte!A:B,2,0)</f>
        <v>M-ONE Sanitar Silikon</v>
      </c>
      <c r="J858" s="75">
        <v>12</v>
      </c>
      <c r="K858" s="76" t="str">
        <f>VLOOKUP(Tabelle2[[#This Row],[Kunden Nr.]],KUNDEN!A:G,7)</f>
        <v>Qerimi</v>
      </c>
      <c r="L858" s="76">
        <f>VLOOKUP(Tabelle2[[#This Row],[Artikel]],Produkte!A:H,8)</f>
        <v>0.17</v>
      </c>
    </row>
    <row r="859" spans="1:12" x14ac:dyDescent="0.2">
      <c r="A859" s="75" t="s">
        <v>666</v>
      </c>
      <c r="B859" s="79">
        <v>46066</v>
      </c>
      <c r="C859" s="89">
        <v>50.4</v>
      </c>
      <c r="D859" s="75"/>
      <c r="E859" s="75"/>
      <c r="F859" s="75">
        <v>10529</v>
      </c>
      <c r="G859" s="76" t="str">
        <f>VLOOKUP(Tabelle2[[#This Row],[Kunden Nr.]],KUNDEN!A:B,2,0)</f>
        <v>ARDI LIPJAN</v>
      </c>
      <c r="H859" s="75">
        <v>50912</v>
      </c>
      <c r="I859" s="76" t="str">
        <f>VLOOKUP(Tabelle2[[#This Row],[Artikel]],Produkte!A:B,2,0)</f>
        <v>DICHTUNG</v>
      </c>
      <c r="J859" s="75">
        <v>7</v>
      </c>
      <c r="K859" s="76" t="str">
        <f>VLOOKUP(Tabelle2[[#This Row],[Kunden Nr.]],KUNDEN!A:G,7)</f>
        <v>Qerimi</v>
      </c>
      <c r="L859" s="76">
        <f>VLOOKUP(Tabelle2[[#This Row],[Artikel]],Produkte!A:H,8)</f>
        <v>0.2</v>
      </c>
    </row>
    <row r="860" spans="1:12" x14ac:dyDescent="0.2">
      <c r="A860" s="75" t="s">
        <v>487</v>
      </c>
      <c r="B860" s="79">
        <v>46066</v>
      </c>
      <c r="C860" s="89">
        <v>92.4</v>
      </c>
      <c r="D860" s="75"/>
      <c r="E860" s="75"/>
      <c r="F860" s="75">
        <v>10507</v>
      </c>
      <c r="G860" s="76" t="str">
        <f>VLOOKUP(Tabelle2[[#This Row],[Kunden Nr.]],KUNDEN!A:B,2,0)</f>
        <v>REAL COLOR 2</v>
      </c>
      <c r="H860" s="75">
        <v>35121</v>
      </c>
      <c r="I860" s="76" t="str">
        <f>VLOOKUP(Tabelle2[[#This Row],[Artikel]],Produkte!A:B,2,0)</f>
        <v>M-ONE Sanitar Silikon</v>
      </c>
      <c r="J860" s="75">
        <v>12</v>
      </c>
      <c r="K860" s="76" t="str">
        <f>VLOOKUP(Tabelle2[[#This Row],[Kunden Nr.]],KUNDEN!A:G,7)</f>
        <v>Qerimi</v>
      </c>
      <c r="L860" s="76">
        <f>VLOOKUP(Tabelle2[[#This Row],[Artikel]],Produkte!A:H,8)</f>
        <v>0.17</v>
      </c>
    </row>
    <row r="861" spans="1:12" x14ac:dyDescent="0.2">
      <c r="A861" s="75" t="s">
        <v>487</v>
      </c>
      <c r="B861" s="79">
        <v>46066</v>
      </c>
      <c r="C861" s="75"/>
      <c r="D861" s="75"/>
      <c r="E861" s="75"/>
      <c r="F861" s="75">
        <v>10507</v>
      </c>
      <c r="G861" s="76" t="str">
        <f>VLOOKUP(Tabelle2[[#This Row],[Kunden Nr.]],KUNDEN!A:B,2,0)</f>
        <v>REAL COLOR 2</v>
      </c>
      <c r="H861" s="75">
        <v>35109</v>
      </c>
      <c r="I861" s="76" t="str">
        <f>VLOOKUP(Tabelle2[[#This Row],[Artikel]],Produkte!A:B,2,0)</f>
        <v>M-ONE Sanitar Silikon</v>
      </c>
      <c r="J861" s="75">
        <v>12</v>
      </c>
      <c r="K861" s="76" t="str">
        <f>VLOOKUP(Tabelle2[[#This Row],[Kunden Nr.]],KUNDEN!A:G,7)</f>
        <v>Qerimi</v>
      </c>
      <c r="L861" s="76">
        <f>VLOOKUP(Tabelle2[[#This Row],[Artikel]],Produkte!A:H,8)</f>
        <v>0.17</v>
      </c>
    </row>
    <row r="862" spans="1:12" x14ac:dyDescent="0.2">
      <c r="A862" s="75" t="s">
        <v>1230</v>
      </c>
      <c r="B862" s="79">
        <v>46067</v>
      </c>
      <c r="C862" s="89">
        <v>46.2</v>
      </c>
      <c r="D862" s="75"/>
      <c r="E862" s="75"/>
      <c r="F862" s="75">
        <v>10635</v>
      </c>
      <c r="G862" s="76" t="e">
        <f>VLOOKUP(Tabelle2[[#This Row],[Kunden Nr.]],KUNDEN!A:B,2,0)</f>
        <v>#N/A</v>
      </c>
      <c r="H862" s="75">
        <v>35109</v>
      </c>
      <c r="I862" s="76" t="str">
        <f>VLOOKUP(Tabelle2[[#This Row],[Artikel]],Produkte!A:B,2,0)</f>
        <v>M-ONE Sanitar Silikon</v>
      </c>
      <c r="J862" s="75">
        <v>12</v>
      </c>
      <c r="K862" s="76" t="str">
        <f>VLOOKUP(Tabelle2[[#This Row],[Kunden Nr.]],KUNDEN!A:G,7)</f>
        <v>Qerimi</v>
      </c>
      <c r="L862" s="76">
        <f>VLOOKUP(Tabelle2[[#This Row],[Artikel]],Produkte!A:H,8)</f>
        <v>0.17</v>
      </c>
    </row>
    <row r="863" spans="1:12" x14ac:dyDescent="0.2">
      <c r="A863" s="75" t="s">
        <v>837</v>
      </c>
      <c r="B863" s="79">
        <v>46067</v>
      </c>
      <c r="C863" s="89">
        <v>92.4</v>
      </c>
      <c r="D863" s="75"/>
      <c r="E863" s="75"/>
      <c r="F863" s="75">
        <v>10625</v>
      </c>
      <c r="G863" s="76" t="str">
        <f>VLOOKUP(Tabelle2[[#This Row],[Kunden Nr.]],KUNDEN!A:B,2,0)</f>
        <v>KUJTA</v>
      </c>
      <c r="H863" s="75">
        <v>35121</v>
      </c>
      <c r="I863" s="76" t="str">
        <f>VLOOKUP(Tabelle2[[#This Row],[Artikel]],Produkte!A:B,2,0)</f>
        <v>M-ONE Sanitar Silikon</v>
      </c>
      <c r="J863" s="75">
        <v>12</v>
      </c>
      <c r="K863" s="76" t="str">
        <f>VLOOKUP(Tabelle2[[#This Row],[Kunden Nr.]],KUNDEN!A:G,7)</f>
        <v>Qerimi</v>
      </c>
      <c r="L863" s="76">
        <f>VLOOKUP(Tabelle2[[#This Row],[Artikel]],Produkte!A:H,8)</f>
        <v>0.17</v>
      </c>
    </row>
    <row r="864" spans="1:12" x14ac:dyDescent="0.2">
      <c r="A864" s="75" t="s">
        <v>837</v>
      </c>
      <c r="B864" s="79">
        <v>46067</v>
      </c>
      <c r="C864" s="75"/>
      <c r="D864" s="75"/>
      <c r="E864" s="75"/>
      <c r="F864" s="75">
        <v>10625</v>
      </c>
      <c r="G864" s="76" t="str">
        <f>VLOOKUP(Tabelle2[[#This Row],[Kunden Nr.]],KUNDEN!A:B,2,0)</f>
        <v>KUJTA</v>
      </c>
      <c r="H864" s="75">
        <v>35128</v>
      </c>
      <c r="I864" s="76" t="str">
        <f>VLOOKUP(Tabelle2[[#This Row],[Artikel]],Produkte!A:B,2,0)</f>
        <v>M-ONE Sanitar Silikon</v>
      </c>
      <c r="J864" s="75">
        <v>12</v>
      </c>
      <c r="K864" s="76" t="str">
        <f>VLOOKUP(Tabelle2[[#This Row],[Kunden Nr.]],KUNDEN!A:G,7)</f>
        <v>Qerimi</v>
      </c>
      <c r="L864" s="76">
        <f>VLOOKUP(Tabelle2[[#This Row],[Artikel]],Produkte!A:H,8)</f>
        <v>0.17</v>
      </c>
    </row>
    <row r="865" spans="1:12" x14ac:dyDescent="0.2">
      <c r="A865" s="75" t="s">
        <v>611</v>
      </c>
      <c r="B865" s="79">
        <v>46067</v>
      </c>
      <c r="C865" s="89">
        <v>14</v>
      </c>
      <c r="D865" s="75"/>
      <c r="E865" s="75"/>
      <c r="F865" s="75">
        <v>10619</v>
      </c>
      <c r="G865" s="76" t="str">
        <f>VLOOKUP(Tabelle2[[#This Row],[Kunden Nr.]],KUNDEN!A:B,2,0)</f>
        <v>BECOLOR</v>
      </c>
      <c r="H865" s="75">
        <v>16936</v>
      </c>
      <c r="I865" s="76" t="str">
        <f>VLOOKUP(Tabelle2[[#This Row],[Artikel]],Produkte!A:B,2,0)</f>
        <v>M ONE FELGENSILBER</v>
      </c>
      <c r="J865" s="75">
        <v>5</v>
      </c>
      <c r="K865" s="76" t="str">
        <f>VLOOKUP(Tabelle2[[#This Row],[Kunden Nr.]],KUNDEN!A:G,7)</f>
        <v>Qerimi</v>
      </c>
      <c r="L865" s="76">
        <f>VLOOKUP(Tabelle2[[#This Row],[Artikel]],Produkte!A:H,8)</f>
        <v>0.15</v>
      </c>
    </row>
    <row r="866" spans="1:12" x14ac:dyDescent="0.2">
      <c r="A866" s="75" t="s">
        <v>611</v>
      </c>
      <c r="B866" s="79">
        <v>46067</v>
      </c>
      <c r="C866" s="75"/>
      <c r="D866" s="75"/>
      <c r="E866" s="75"/>
      <c r="F866" s="75">
        <v>10619</v>
      </c>
      <c r="G866" s="76" t="str">
        <f>VLOOKUP(Tabelle2[[#This Row],[Kunden Nr.]],KUNDEN!A:B,2,0)</f>
        <v>BECOLOR</v>
      </c>
      <c r="H866" s="75">
        <v>31827</v>
      </c>
      <c r="I866" s="76" t="str">
        <f>VLOOKUP(Tabelle2[[#This Row],[Artikel]],Produkte!A:B,2,0)</f>
        <v>M ONE LACK GRUN</v>
      </c>
      <c r="J866" s="75">
        <v>2</v>
      </c>
      <c r="K866" s="76" t="str">
        <f>VLOOKUP(Tabelle2[[#This Row],[Kunden Nr.]],KUNDEN!A:G,7)</f>
        <v>Qerimi</v>
      </c>
      <c r="L866" s="76">
        <f>VLOOKUP(Tabelle2[[#This Row],[Artikel]],Produkte!A:H,8)</f>
        <v>0.15</v>
      </c>
    </row>
    <row r="867" spans="1:12" x14ac:dyDescent="0.2">
      <c r="A867" s="75" t="s">
        <v>1230</v>
      </c>
      <c r="B867" s="79">
        <v>46067</v>
      </c>
      <c r="C867" s="89">
        <v>92.4</v>
      </c>
      <c r="D867" s="75"/>
      <c r="E867" s="75"/>
      <c r="F867" s="75">
        <v>10636</v>
      </c>
      <c r="G867" s="76" t="e">
        <f>VLOOKUP(Tabelle2[[#This Row],[Kunden Nr.]],KUNDEN!A:B,2,0)</f>
        <v>#N/A</v>
      </c>
      <c r="H867" s="75">
        <v>35109</v>
      </c>
      <c r="I867" s="76" t="str">
        <f>VLOOKUP(Tabelle2[[#This Row],[Artikel]],Produkte!A:B,2,0)</f>
        <v>M-ONE Sanitar Silikon</v>
      </c>
      <c r="J867" s="75">
        <v>12</v>
      </c>
      <c r="K867" s="76" t="str">
        <f>VLOOKUP(Tabelle2[[#This Row],[Kunden Nr.]],KUNDEN!A:G,7)</f>
        <v>Qerimi</v>
      </c>
      <c r="L867" s="76">
        <f>VLOOKUP(Tabelle2[[#This Row],[Artikel]],Produkte!A:H,8)</f>
        <v>0.17</v>
      </c>
    </row>
    <row r="868" spans="1:12" x14ac:dyDescent="0.2">
      <c r="A868" s="75" t="s">
        <v>1230</v>
      </c>
      <c r="B868" s="79">
        <v>46067</v>
      </c>
      <c r="C868" s="75"/>
      <c r="D868" s="75"/>
      <c r="E868" s="75"/>
      <c r="F868" s="75">
        <v>10636</v>
      </c>
      <c r="G868" s="76" t="e">
        <f>VLOOKUP(Tabelle2[[#This Row],[Kunden Nr.]],KUNDEN!A:B,2,0)</f>
        <v>#N/A</v>
      </c>
      <c r="H868" s="75">
        <v>35111</v>
      </c>
      <c r="I868" s="76" t="str">
        <f>VLOOKUP(Tabelle2[[#This Row],[Artikel]],Produkte!A:B,2,0)</f>
        <v>M-ONE Sanitar Silikon</v>
      </c>
      <c r="J868" s="75">
        <v>12</v>
      </c>
      <c r="K868" s="76" t="str">
        <f>VLOOKUP(Tabelle2[[#This Row],[Kunden Nr.]],KUNDEN!A:G,7)</f>
        <v>Qerimi</v>
      </c>
      <c r="L868" s="76">
        <f>VLOOKUP(Tabelle2[[#This Row],[Artikel]],Produkte!A:H,8)</f>
        <v>0.17</v>
      </c>
    </row>
    <row r="869" spans="1:12" x14ac:dyDescent="0.2">
      <c r="A869" s="75" t="s">
        <v>606</v>
      </c>
      <c r="B869" s="79">
        <v>46067</v>
      </c>
      <c r="C869" s="89">
        <v>20</v>
      </c>
      <c r="D869" s="75"/>
      <c r="E869" s="75"/>
      <c r="F869" s="75">
        <v>10614</v>
      </c>
      <c r="G869" s="76" t="str">
        <f>VLOOKUP(Tabelle2[[#This Row],[Kunden Nr.]],KUNDEN!A:B,2,0)</f>
        <v>MERIS</v>
      </c>
      <c r="H869" s="75">
        <v>49644</v>
      </c>
      <c r="I869" s="76" t="str">
        <f>VLOOKUP(Tabelle2[[#This Row],[Artikel]],Produkte!A:B,2,0)</f>
        <v>beMAKER Rostlöser</v>
      </c>
      <c r="J869" s="75">
        <v>10</v>
      </c>
      <c r="K869" s="76" t="str">
        <f>VLOOKUP(Tabelle2[[#This Row],[Kunden Nr.]],KUNDEN!A:G,7)</f>
        <v>Qerimi</v>
      </c>
      <c r="L869" s="76">
        <f>VLOOKUP(Tabelle2[[#This Row],[Artikel]],Produkte!A:H,8)</f>
        <v>0.2</v>
      </c>
    </row>
    <row r="870" spans="1:12" x14ac:dyDescent="0.2">
      <c r="A870" s="75" t="s">
        <v>608</v>
      </c>
      <c r="B870" s="79">
        <v>46067</v>
      </c>
      <c r="C870" s="89">
        <v>46.2</v>
      </c>
      <c r="D870" s="75"/>
      <c r="E870" s="75"/>
      <c r="F870" s="75">
        <v>10616</v>
      </c>
      <c r="G870" s="76" t="str">
        <f>VLOOKUP(Tabelle2[[#This Row],[Kunden Nr.]],KUNDEN!A:B,2,0)</f>
        <v>TE ZENA</v>
      </c>
      <c r="H870" s="75">
        <v>35128</v>
      </c>
      <c r="I870" s="76" t="str">
        <f>VLOOKUP(Tabelle2[[#This Row],[Artikel]],Produkte!A:B,2,0)</f>
        <v>M-ONE Sanitar Silikon</v>
      </c>
      <c r="J870" s="75">
        <v>12</v>
      </c>
      <c r="K870" s="76" t="str">
        <f>VLOOKUP(Tabelle2[[#This Row],[Kunden Nr.]],KUNDEN!A:G,7)</f>
        <v>Qerimi</v>
      </c>
      <c r="L870" s="76">
        <f>VLOOKUP(Tabelle2[[#This Row],[Artikel]],Produkte!A:H,8)</f>
        <v>0.17</v>
      </c>
    </row>
    <row r="871" spans="1:12" x14ac:dyDescent="0.2">
      <c r="A871" s="75" t="s">
        <v>1177</v>
      </c>
      <c r="B871" s="79">
        <v>46069</v>
      </c>
      <c r="C871" s="89">
        <v>96</v>
      </c>
      <c r="D871" s="75"/>
      <c r="E871" s="75"/>
      <c r="F871" s="75">
        <v>40017</v>
      </c>
      <c r="G871" s="76" t="str">
        <f>VLOOKUP(Tabelle2[[#This Row],[Kunden Nr.]],KUNDEN!A:B,2,0)</f>
        <v>YLLI CONSTRUCION</v>
      </c>
      <c r="H871" s="75">
        <v>35109</v>
      </c>
      <c r="I871" s="76" t="str">
        <f>VLOOKUP(Tabelle2[[#This Row],[Artikel]],Produkte!A:B,2,0)</f>
        <v>M-ONE Sanitar Silikon</v>
      </c>
      <c r="J871" s="75">
        <v>12</v>
      </c>
      <c r="K871" s="76">
        <f>VLOOKUP(Tabelle2[[#This Row],[Kunden Nr.]],KUNDEN!A:G,7)</f>
        <v>0</v>
      </c>
      <c r="L871" s="76">
        <f>VLOOKUP(Tabelle2[[#This Row],[Artikel]],Produkte!A:H,8)</f>
        <v>0.17</v>
      </c>
    </row>
    <row r="872" spans="1:12" x14ac:dyDescent="0.2">
      <c r="A872" s="75" t="s">
        <v>1177</v>
      </c>
      <c r="B872" s="79">
        <v>46069</v>
      </c>
      <c r="C872" s="75"/>
      <c r="D872" s="75"/>
      <c r="E872" s="75"/>
      <c r="F872" s="75">
        <v>40017</v>
      </c>
      <c r="G872" s="76" t="str">
        <f>VLOOKUP(Tabelle2[[#This Row],[Kunden Nr.]],KUNDEN!A:B,2,0)</f>
        <v>YLLI CONSTRUCION</v>
      </c>
      <c r="H872" s="75">
        <v>35128</v>
      </c>
      <c r="I872" s="76" t="str">
        <f>VLOOKUP(Tabelle2[[#This Row],[Artikel]],Produkte!A:B,2,0)</f>
        <v>M-ONE Sanitar Silikon</v>
      </c>
      <c r="J872" s="75">
        <v>3</v>
      </c>
      <c r="K872" s="76">
        <f>VLOOKUP(Tabelle2[[#This Row],[Kunden Nr.]],KUNDEN!A:G,7)</f>
        <v>0</v>
      </c>
      <c r="L872" s="76">
        <f>VLOOKUP(Tabelle2[[#This Row],[Artikel]],Produkte!A:H,8)</f>
        <v>0.17</v>
      </c>
    </row>
    <row r="873" spans="1:12" x14ac:dyDescent="0.2">
      <c r="A873" s="75" t="s">
        <v>1177</v>
      </c>
      <c r="B873" s="79">
        <v>46069</v>
      </c>
      <c r="C873" s="75"/>
      <c r="D873" s="75"/>
      <c r="E873" s="75"/>
      <c r="F873" s="75">
        <v>40017</v>
      </c>
      <c r="G873" s="76" t="str">
        <f>VLOOKUP(Tabelle2[[#This Row],[Kunden Nr.]],KUNDEN!A:B,2,0)</f>
        <v>YLLI CONSTRUCION</v>
      </c>
      <c r="H873" s="75">
        <v>35113</v>
      </c>
      <c r="I873" s="76" t="str">
        <f>VLOOKUP(Tabelle2[[#This Row],[Artikel]],Produkte!A:B,2,0)</f>
        <v>M-ONE Sanitar Silikon</v>
      </c>
      <c r="J873" s="75">
        <v>3</v>
      </c>
      <c r="K873" s="76">
        <f>VLOOKUP(Tabelle2[[#This Row],[Kunden Nr.]],KUNDEN!A:G,7)</f>
        <v>0</v>
      </c>
      <c r="L873" s="76">
        <f>VLOOKUP(Tabelle2[[#This Row],[Artikel]],Produkte!A:H,8)</f>
        <v>0.17</v>
      </c>
    </row>
    <row r="874" spans="1:12" x14ac:dyDescent="0.2">
      <c r="A874" s="75" t="s">
        <v>1177</v>
      </c>
      <c r="B874" s="79">
        <v>46069</v>
      </c>
      <c r="C874" s="75"/>
      <c r="D874" s="75"/>
      <c r="E874" s="75"/>
      <c r="F874" s="75">
        <v>40017</v>
      </c>
      <c r="G874" s="76" t="str">
        <f>VLOOKUP(Tabelle2[[#This Row],[Kunden Nr.]],KUNDEN!A:B,2,0)</f>
        <v>YLLI CONSTRUCION</v>
      </c>
      <c r="H874" s="75">
        <v>35121</v>
      </c>
      <c r="I874" s="76" t="str">
        <f>VLOOKUP(Tabelle2[[#This Row],[Artikel]],Produkte!A:B,2,0)</f>
        <v>M-ONE Sanitar Silikon</v>
      </c>
      <c r="J874" s="75">
        <v>6</v>
      </c>
      <c r="K874" s="76">
        <f>VLOOKUP(Tabelle2[[#This Row],[Kunden Nr.]],KUNDEN!A:G,7)</f>
        <v>0</v>
      </c>
      <c r="L874" s="76">
        <f>VLOOKUP(Tabelle2[[#This Row],[Artikel]],Produkte!A:H,8)</f>
        <v>0.17</v>
      </c>
    </row>
    <row r="875" spans="1:12" x14ac:dyDescent="0.2">
      <c r="A875" s="75" t="s">
        <v>1290</v>
      </c>
      <c r="B875" s="79">
        <v>46069</v>
      </c>
      <c r="C875" s="89">
        <v>46</v>
      </c>
      <c r="D875" s="75"/>
      <c r="E875" s="75"/>
      <c r="F875" s="75">
        <v>40032</v>
      </c>
      <c r="G875" s="76" t="str">
        <f>VLOOKUP(Tabelle2[[#This Row],[Kunden Nr.]],KUNDEN!A:B,2,0)</f>
        <v>ECM ENGINEERING SH.P.K</v>
      </c>
      <c r="H875" s="75">
        <v>35121</v>
      </c>
      <c r="I875" s="76" t="str">
        <f>VLOOKUP(Tabelle2[[#This Row],[Artikel]],Produkte!A:B,2,0)</f>
        <v>M-ONE Sanitar Silikon</v>
      </c>
      <c r="J875" s="75">
        <v>10</v>
      </c>
      <c r="K875" s="76">
        <f>VLOOKUP(Tabelle2[[#This Row],[Kunden Nr.]],KUNDEN!A:G,7)</f>
        <v>0</v>
      </c>
      <c r="L875" s="76">
        <f>VLOOKUP(Tabelle2[[#This Row],[Artikel]],Produkte!A:H,8)</f>
        <v>0.17</v>
      </c>
    </row>
    <row r="876" spans="1:12" x14ac:dyDescent="0.2">
      <c r="A876" s="75" t="s">
        <v>1195</v>
      </c>
      <c r="B876" s="79">
        <v>46069</v>
      </c>
      <c r="C876" s="89">
        <v>40</v>
      </c>
      <c r="D876" s="75"/>
      <c r="E876" s="75"/>
      <c r="F876" s="75">
        <v>10141</v>
      </c>
      <c r="G876" s="76" t="str">
        <f>VLOOKUP(Tabelle2[[#This Row],[Kunden Nr.]],KUNDEN!A:B,2,0)</f>
        <v>CHE BAR LOUNGE BAR</v>
      </c>
      <c r="H876" s="75">
        <v>20001</v>
      </c>
      <c r="I876" s="76" t="str">
        <f>VLOOKUP(Tabelle2[[#This Row],[Artikel]],Produkte!A:B,2,0)</f>
        <v>BioBlic Universalreiniger</v>
      </c>
      <c r="J876" s="75">
        <v>20</v>
      </c>
      <c r="K876" s="76" t="str">
        <f>VLOOKUP(Tabelle2[[#This Row],[Kunden Nr.]],KUNDEN!A:G,7)</f>
        <v>Qerimi</v>
      </c>
      <c r="L876" s="76">
        <f>VLOOKUP(Tabelle2[[#This Row],[Artikel]],Produkte!A:H,8)</f>
        <v>0.30000000000000004</v>
      </c>
    </row>
    <row r="877" spans="1:12" x14ac:dyDescent="0.2">
      <c r="A877" s="75" t="s">
        <v>1188</v>
      </c>
      <c r="B877" s="79">
        <v>46069</v>
      </c>
      <c r="C877" s="89">
        <v>92.4</v>
      </c>
      <c r="D877" s="75"/>
      <c r="E877" s="75"/>
      <c r="F877" s="75">
        <v>10133</v>
      </c>
      <c r="G877" s="76" t="str">
        <f>VLOOKUP(Tabelle2[[#This Row],[Kunden Nr.]],KUNDEN!A:B,2,0)</f>
        <v>HIDROELDI</v>
      </c>
      <c r="H877" s="75">
        <v>35109</v>
      </c>
      <c r="I877" s="76" t="str">
        <f>VLOOKUP(Tabelle2[[#This Row],[Artikel]],Produkte!A:B,2,0)</f>
        <v>M-ONE Sanitar Silikon</v>
      </c>
      <c r="J877" s="75">
        <v>12</v>
      </c>
      <c r="K877" s="76" t="str">
        <f>VLOOKUP(Tabelle2[[#This Row],[Kunden Nr.]],KUNDEN!A:G,7)</f>
        <v>Qerimi</v>
      </c>
      <c r="L877" s="76">
        <f>VLOOKUP(Tabelle2[[#This Row],[Artikel]],Produkte!A:H,8)</f>
        <v>0.17</v>
      </c>
    </row>
    <row r="878" spans="1:12" x14ac:dyDescent="0.2">
      <c r="A878" s="75" t="s">
        <v>1188</v>
      </c>
      <c r="B878" s="79">
        <v>46069</v>
      </c>
      <c r="C878" s="75"/>
      <c r="D878" s="75"/>
      <c r="E878" s="75"/>
      <c r="F878" s="75">
        <v>10133</v>
      </c>
      <c r="G878" s="76" t="str">
        <f>VLOOKUP(Tabelle2[[#This Row],[Kunden Nr.]],KUNDEN!A:B,2,0)</f>
        <v>HIDROELDI</v>
      </c>
      <c r="H878" s="75">
        <v>35125</v>
      </c>
      <c r="I878" s="76" t="str">
        <f>VLOOKUP(Tabelle2[[#This Row],[Artikel]],Produkte!A:B,2,0)</f>
        <v>M-ONE Sanitar Silikon</v>
      </c>
      <c r="J878" s="75">
        <v>12</v>
      </c>
      <c r="K878" s="76" t="str">
        <f>VLOOKUP(Tabelle2[[#This Row],[Kunden Nr.]],KUNDEN!A:G,7)</f>
        <v>Qerimi</v>
      </c>
      <c r="L878" s="76">
        <f>VLOOKUP(Tabelle2[[#This Row],[Artikel]],Produkte!A:H,8)</f>
        <v>0.17</v>
      </c>
    </row>
    <row r="879" spans="1:12" x14ac:dyDescent="0.2">
      <c r="A879" s="75" t="s">
        <v>567</v>
      </c>
      <c r="B879" s="79">
        <v>46069</v>
      </c>
      <c r="C879" s="89">
        <v>46.2</v>
      </c>
      <c r="D879" s="75"/>
      <c r="E879" s="75"/>
      <c r="F879" s="75">
        <v>10105</v>
      </c>
      <c r="G879" s="76" t="str">
        <f>VLOOKUP(Tabelle2[[#This Row],[Kunden Nr.]],KUNDEN!A:B,2,0)</f>
        <v>ARSIM</v>
      </c>
      <c r="H879" s="75">
        <v>35125</v>
      </c>
      <c r="I879" s="76" t="str">
        <f>VLOOKUP(Tabelle2[[#This Row],[Artikel]],Produkte!A:B,2,0)</f>
        <v>M-ONE Sanitar Silikon</v>
      </c>
      <c r="J879" s="75">
        <v>12</v>
      </c>
      <c r="K879" s="76" t="str">
        <f>VLOOKUP(Tabelle2[[#This Row],[Kunden Nr.]],KUNDEN!A:G,7)</f>
        <v>Qerimi</v>
      </c>
      <c r="L879" s="76">
        <f>VLOOKUP(Tabelle2[[#This Row],[Artikel]],Produkte!A:H,8)</f>
        <v>0.17</v>
      </c>
    </row>
    <row r="880" spans="1:12" x14ac:dyDescent="0.2">
      <c r="A880" s="75" t="s">
        <v>573</v>
      </c>
      <c r="B880" s="79">
        <v>46069</v>
      </c>
      <c r="C880" s="89">
        <v>85.2</v>
      </c>
      <c r="D880" s="75"/>
      <c r="E880" s="75"/>
      <c r="F880" s="75">
        <v>10111</v>
      </c>
      <c r="G880" s="76" t="str">
        <f>VLOOKUP(Tabelle2[[#This Row],[Kunden Nr.]],KUNDEN!A:B,2,0)</f>
        <v>KADIJOLLET</v>
      </c>
      <c r="H880" s="75">
        <v>35110</v>
      </c>
      <c r="I880" s="76" t="str">
        <f>VLOOKUP(Tabelle2[[#This Row],[Artikel]],Produkte!A:B,2,0)</f>
        <v>M-ONE Sanitar Silikon</v>
      </c>
      <c r="J880" s="75">
        <v>12</v>
      </c>
      <c r="K880" s="76" t="str">
        <f>VLOOKUP(Tabelle2[[#This Row],[Kunden Nr.]],KUNDEN!A:G,7)</f>
        <v>Qerimi</v>
      </c>
      <c r="L880" s="76">
        <f>VLOOKUP(Tabelle2[[#This Row],[Artikel]],Produkte!A:H,8)</f>
        <v>0.17</v>
      </c>
    </row>
    <row r="881" spans="1:12" x14ac:dyDescent="0.2">
      <c r="A881" s="75" t="s">
        <v>573</v>
      </c>
      <c r="B881" s="79">
        <v>46069</v>
      </c>
      <c r="C881" s="75"/>
      <c r="D881" s="75"/>
      <c r="E881" s="75"/>
      <c r="F881" s="75">
        <v>10111</v>
      </c>
      <c r="G881" s="76" t="str">
        <f>VLOOKUP(Tabelle2[[#This Row],[Kunden Nr.]],KUNDEN!A:B,2,0)</f>
        <v>KADIJOLLET</v>
      </c>
      <c r="H881" s="75">
        <v>51611</v>
      </c>
      <c r="I881" s="76" t="str">
        <f>VLOOKUP(Tabelle2[[#This Row],[Artikel]],Produkte!A:B,2,0)</f>
        <v>universal akryl</v>
      </c>
      <c r="J881" s="75">
        <v>12</v>
      </c>
      <c r="K881" s="76" t="str">
        <f>VLOOKUP(Tabelle2[[#This Row],[Kunden Nr.]],KUNDEN!A:G,7)</f>
        <v>Qerimi</v>
      </c>
      <c r="L881" s="76">
        <f>VLOOKUP(Tabelle2[[#This Row],[Artikel]],Produkte!A:H,8)</f>
        <v>0.06</v>
      </c>
    </row>
    <row r="882" spans="1:12" x14ac:dyDescent="0.2">
      <c r="A882" s="75" t="s">
        <v>573</v>
      </c>
      <c r="B882" s="79">
        <v>46069</v>
      </c>
      <c r="C882" s="75"/>
      <c r="D882" s="75"/>
      <c r="E882" s="75"/>
      <c r="F882" s="75">
        <v>10111</v>
      </c>
      <c r="G882" s="76" t="str">
        <f>VLOOKUP(Tabelle2[[#This Row],[Kunden Nr.]],KUNDEN!A:B,2,0)</f>
        <v>KADIJOLLET</v>
      </c>
      <c r="H882" s="75">
        <v>54412</v>
      </c>
      <c r="I882" s="76" t="str">
        <f>VLOOKUP(Tabelle2[[#This Row],[Artikel]],Produkte!A:B,2,0)</f>
        <v>beMAKER Bremsen&amp;Teile Reininger</v>
      </c>
      <c r="J882" s="75">
        <v>12</v>
      </c>
      <c r="K882" s="76" t="str">
        <f>VLOOKUP(Tabelle2[[#This Row],[Kunden Nr.]],KUNDEN!A:G,7)</f>
        <v>Qerimi</v>
      </c>
      <c r="L882" s="76">
        <f>VLOOKUP(Tabelle2[[#This Row],[Artikel]],Produkte!A:H,8)</f>
        <v>0.2</v>
      </c>
    </row>
    <row r="883" spans="1:12" x14ac:dyDescent="0.2">
      <c r="A883" s="75" t="s">
        <v>565</v>
      </c>
      <c r="B883" s="79">
        <v>46069</v>
      </c>
      <c r="C883" s="89">
        <v>67.2</v>
      </c>
      <c r="D883" s="75"/>
      <c r="E883" s="75"/>
      <c r="F883" s="75">
        <v>10103</v>
      </c>
      <c r="G883" s="76" t="str">
        <f>VLOOKUP(Tabelle2[[#This Row],[Kunden Nr.]],KUNDEN!A:B,2,0)</f>
        <v>BESI COM</v>
      </c>
      <c r="H883" s="75">
        <v>35121</v>
      </c>
      <c r="I883" s="76" t="str">
        <f>VLOOKUP(Tabelle2[[#This Row],[Artikel]],Produkte!A:B,2,0)</f>
        <v>M-ONE Sanitar Silikon</v>
      </c>
      <c r="J883" s="75">
        <v>12</v>
      </c>
      <c r="K883" s="76" t="str">
        <f>VLOOKUP(Tabelle2[[#This Row],[Kunden Nr.]],KUNDEN!A:G,7)</f>
        <v>Qerimi</v>
      </c>
      <c r="L883" s="76">
        <f>VLOOKUP(Tabelle2[[#This Row],[Artikel]],Produkte!A:H,8)</f>
        <v>0.17</v>
      </c>
    </row>
    <row r="884" spans="1:12" x14ac:dyDescent="0.2">
      <c r="A884" s="75" t="s">
        <v>565</v>
      </c>
      <c r="B884" s="79">
        <v>46069</v>
      </c>
      <c r="C884" s="75"/>
      <c r="D884" s="75"/>
      <c r="E884" s="75"/>
      <c r="F884" s="75">
        <v>10103</v>
      </c>
      <c r="G884" s="76" t="str">
        <f>VLOOKUP(Tabelle2[[#This Row],[Kunden Nr.]],KUNDEN!A:B,2,0)</f>
        <v>BESI COM</v>
      </c>
      <c r="H884" s="75">
        <v>44001</v>
      </c>
      <c r="I884" s="76" t="str">
        <f>VLOOKUP(Tabelle2[[#This Row],[Artikel]],Produkte!A:B,2,0)</f>
        <v>Fettspray</v>
      </c>
      <c r="J884" s="75">
        <v>6</v>
      </c>
      <c r="K884" s="76" t="str">
        <f>VLOOKUP(Tabelle2[[#This Row],[Kunden Nr.]],KUNDEN!A:G,7)</f>
        <v>Qerimi</v>
      </c>
      <c r="L884" s="76">
        <f>VLOOKUP(Tabelle2[[#This Row],[Artikel]],Produkte!A:H,8)</f>
        <v>0.2</v>
      </c>
    </row>
    <row r="885" spans="1:12" x14ac:dyDescent="0.2">
      <c r="A885" s="75" t="s">
        <v>576</v>
      </c>
      <c r="B885" s="79">
        <v>46069</v>
      </c>
      <c r="C885" s="89">
        <v>92.4</v>
      </c>
      <c r="D885" s="75"/>
      <c r="E885" s="75"/>
      <c r="F885" s="75">
        <v>10114</v>
      </c>
      <c r="G885" s="76" t="str">
        <f>VLOOKUP(Tabelle2[[#This Row],[Kunden Nr.]],KUNDEN!A:B,2,0)</f>
        <v>QELA</v>
      </c>
      <c r="H885" s="75">
        <v>35108</v>
      </c>
      <c r="I885" s="76" t="str">
        <f>VLOOKUP(Tabelle2[[#This Row],[Artikel]],Produkte!A:B,2,0)</f>
        <v>M-ONE Sanitar Silikon</v>
      </c>
      <c r="J885" s="75">
        <v>12</v>
      </c>
      <c r="K885" s="76" t="str">
        <f>VLOOKUP(Tabelle2[[#This Row],[Kunden Nr.]],KUNDEN!A:G,7)</f>
        <v>Qerimi</v>
      </c>
      <c r="L885" s="76">
        <f>VLOOKUP(Tabelle2[[#This Row],[Artikel]],Produkte!A:H,8)</f>
        <v>0.17</v>
      </c>
    </row>
    <row r="886" spans="1:12" x14ac:dyDescent="0.2">
      <c r="A886" s="75" t="s">
        <v>576</v>
      </c>
      <c r="B886" s="79">
        <v>46069</v>
      </c>
      <c r="C886" s="75"/>
      <c r="D886" s="75"/>
      <c r="E886" s="75"/>
      <c r="F886" s="75">
        <v>10114</v>
      </c>
      <c r="G886" s="76" t="str">
        <f>VLOOKUP(Tabelle2[[#This Row],[Kunden Nr.]],KUNDEN!A:B,2,0)</f>
        <v>QELA</v>
      </c>
      <c r="H886" s="75">
        <v>35113</v>
      </c>
      <c r="I886" s="76" t="str">
        <f>VLOOKUP(Tabelle2[[#This Row],[Artikel]],Produkte!A:B,2,0)</f>
        <v>M-ONE Sanitar Silikon</v>
      </c>
      <c r="J886" s="75">
        <v>12</v>
      </c>
      <c r="K886" s="76" t="str">
        <f>VLOOKUP(Tabelle2[[#This Row],[Kunden Nr.]],KUNDEN!A:G,7)</f>
        <v>Qerimi</v>
      </c>
      <c r="L886" s="76">
        <f>VLOOKUP(Tabelle2[[#This Row],[Artikel]],Produkte!A:H,8)</f>
        <v>0.17</v>
      </c>
    </row>
    <row r="887" spans="1:12" x14ac:dyDescent="0.2">
      <c r="A887" s="75" t="s">
        <v>770</v>
      </c>
      <c r="B887" s="79">
        <v>46069</v>
      </c>
      <c r="C887" s="89">
        <v>239</v>
      </c>
      <c r="D887" s="75"/>
      <c r="E887" s="75"/>
      <c r="F887" s="75">
        <v>40003</v>
      </c>
      <c r="G887" s="76" t="str">
        <f>VLOOKUP(Tabelle2[[#This Row],[Kunden Nr.]],KUNDEN!A:B,2,0)</f>
        <v>ARBENI BIOBLIC</v>
      </c>
      <c r="H887" s="75">
        <v>20001</v>
      </c>
      <c r="I887" s="76" t="str">
        <f>VLOOKUP(Tabelle2[[#This Row],[Artikel]],Produkte!A:B,2,0)</f>
        <v>BioBlic Universalreiniger</v>
      </c>
      <c r="J887" s="75">
        <v>140</v>
      </c>
      <c r="K887" s="76">
        <f>VLOOKUP(Tabelle2[[#This Row],[Kunden Nr.]],KUNDEN!A:G,7)</f>
        <v>0</v>
      </c>
      <c r="L887" s="76">
        <f>VLOOKUP(Tabelle2[[#This Row],[Artikel]],Produkte!A:H,8)</f>
        <v>0.30000000000000004</v>
      </c>
    </row>
    <row r="888" spans="1:12" x14ac:dyDescent="0.2">
      <c r="A888" s="75" t="s">
        <v>770</v>
      </c>
      <c r="B888" s="79">
        <v>46069</v>
      </c>
      <c r="C888" s="75"/>
      <c r="D888" s="75"/>
      <c r="E888" s="75"/>
      <c r="F888" s="75">
        <v>40003</v>
      </c>
      <c r="G888" s="76" t="str">
        <f>VLOOKUP(Tabelle2[[#This Row],[Kunden Nr.]],KUNDEN!A:B,2,0)</f>
        <v>ARBENI BIOBLIC</v>
      </c>
      <c r="H888" s="75">
        <v>30275</v>
      </c>
      <c r="I888" s="76" t="str">
        <f>VLOOKUP(Tabelle2[[#This Row],[Artikel]],Produkte!A:B,2,0)</f>
        <v>Blic Blic Sanitärreiniger</v>
      </c>
      <c r="J888" s="75">
        <v>40</v>
      </c>
      <c r="K888" s="76">
        <f>VLOOKUP(Tabelle2[[#This Row],[Kunden Nr.]],KUNDEN!A:G,7)</f>
        <v>0</v>
      </c>
      <c r="L888" s="76">
        <f>VLOOKUP(Tabelle2[[#This Row],[Artikel]],Produkte!A:H,8)</f>
        <v>0.30000000000000004</v>
      </c>
    </row>
    <row r="889" spans="1:12" x14ac:dyDescent="0.2">
      <c r="A889" s="75" t="s">
        <v>1005</v>
      </c>
      <c r="B889" s="79">
        <v>46071</v>
      </c>
      <c r="C889" s="89">
        <v>183.6</v>
      </c>
      <c r="D889" s="75"/>
      <c r="E889" s="75"/>
      <c r="F889" s="75">
        <v>10343</v>
      </c>
      <c r="G889" s="76" t="str">
        <f>VLOOKUP(Tabelle2[[#This Row],[Kunden Nr.]],KUNDEN!A:B,2,0)</f>
        <v>INTERCOM NTP</v>
      </c>
      <c r="H889" s="75">
        <v>35121</v>
      </c>
      <c r="I889" s="76" t="str">
        <f>VLOOKUP(Tabelle2[[#This Row],[Artikel]],Produkte!A:B,2,0)</f>
        <v>M-ONE Sanitar Silikon</v>
      </c>
      <c r="J889" s="75">
        <v>36</v>
      </c>
      <c r="K889" s="76" t="str">
        <f>VLOOKUP(Tabelle2[[#This Row],[Kunden Nr.]],KUNDEN!A:G,7)</f>
        <v>Qerimi</v>
      </c>
      <c r="L889" s="76">
        <f>VLOOKUP(Tabelle2[[#This Row],[Artikel]],Produkte!A:H,8)</f>
        <v>0.17</v>
      </c>
    </row>
    <row r="890" spans="1:12" x14ac:dyDescent="0.2">
      <c r="A890" s="75" t="s">
        <v>1005</v>
      </c>
      <c r="B890" s="79">
        <v>46071</v>
      </c>
      <c r="C890" s="75"/>
      <c r="D890" s="75"/>
      <c r="E890" s="75"/>
      <c r="F890" s="75">
        <v>10343</v>
      </c>
      <c r="G890" s="76" t="str">
        <f>VLOOKUP(Tabelle2[[#This Row],[Kunden Nr.]],KUNDEN!A:B,2,0)</f>
        <v>INTERCOM NTP</v>
      </c>
      <c r="H890" s="75">
        <v>51611</v>
      </c>
      <c r="I890" s="76" t="str">
        <f>VLOOKUP(Tabelle2[[#This Row],[Artikel]],Produkte!A:B,2,0)</f>
        <v>universal akryl</v>
      </c>
      <c r="J890" s="75">
        <v>36</v>
      </c>
      <c r="K890" s="76" t="str">
        <f>VLOOKUP(Tabelle2[[#This Row],[Kunden Nr.]],KUNDEN!A:G,7)</f>
        <v>Qerimi</v>
      </c>
      <c r="L890" s="76">
        <f>VLOOKUP(Tabelle2[[#This Row],[Artikel]],Produkte!A:H,8)</f>
        <v>0.06</v>
      </c>
    </row>
    <row r="891" spans="1:12" x14ac:dyDescent="0.2">
      <c r="A891" s="75" t="s">
        <v>1253</v>
      </c>
      <c r="B891" s="79">
        <v>46071</v>
      </c>
      <c r="C891" s="89">
        <v>153.6</v>
      </c>
      <c r="D891" s="75"/>
      <c r="E891" s="75"/>
      <c r="F891" s="75">
        <v>10360</v>
      </c>
      <c r="G891" s="76" t="e">
        <f>VLOOKUP(Tabelle2[[#This Row],[Kunden Nr.]],KUNDEN!A:B,2,0)</f>
        <v>#N/A</v>
      </c>
      <c r="H891" s="75">
        <v>35108</v>
      </c>
      <c r="I891" s="76" t="str">
        <f>VLOOKUP(Tabelle2[[#This Row],[Artikel]],Produkte!A:B,2,0)</f>
        <v>M-ONE Sanitar Silikon</v>
      </c>
      <c r="J891" s="75">
        <v>12</v>
      </c>
      <c r="K891" s="76" t="str">
        <f>VLOOKUP(Tabelle2[[#This Row],[Kunden Nr.]],KUNDEN!A:G,7)</f>
        <v>Qerimi</v>
      </c>
      <c r="L891" s="76">
        <f>VLOOKUP(Tabelle2[[#This Row],[Artikel]],Produkte!A:H,8)</f>
        <v>0.17</v>
      </c>
    </row>
    <row r="892" spans="1:12" x14ac:dyDescent="0.2">
      <c r="A892" s="75" t="s">
        <v>1253</v>
      </c>
      <c r="B892" s="79">
        <v>46071</v>
      </c>
      <c r="C892" s="75"/>
      <c r="D892" s="75"/>
      <c r="E892" s="75"/>
      <c r="F892" s="75">
        <v>10360</v>
      </c>
      <c r="G892" s="76" t="e">
        <f>VLOOKUP(Tabelle2[[#This Row],[Kunden Nr.]],KUNDEN!A:B,2,0)</f>
        <v>#N/A</v>
      </c>
      <c r="H892" s="75">
        <v>35109</v>
      </c>
      <c r="I892" s="76" t="str">
        <f>VLOOKUP(Tabelle2[[#This Row],[Artikel]],Produkte!A:B,2,0)</f>
        <v>M-ONE Sanitar Silikon</v>
      </c>
      <c r="J892" s="75">
        <v>12</v>
      </c>
      <c r="K892" s="76" t="str">
        <f>VLOOKUP(Tabelle2[[#This Row],[Kunden Nr.]],KUNDEN!A:G,7)</f>
        <v>Qerimi</v>
      </c>
      <c r="L892" s="76">
        <f>VLOOKUP(Tabelle2[[#This Row],[Artikel]],Produkte!A:H,8)</f>
        <v>0.17</v>
      </c>
    </row>
    <row r="893" spans="1:12" x14ac:dyDescent="0.2">
      <c r="A893" s="75" t="s">
        <v>1253</v>
      </c>
      <c r="B893" s="79">
        <v>46071</v>
      </c>
      <c r="C893" s="75"/>
      <c r="D893" s="75"/>
      <c r="E893" s="75"/>
      <c r="F893" s="75">
        <v>10360</v>
      </c>
      <c r="G893" s="76" t="e">
        <f>VLOOKUP(Tabelle2[[#This Row],[Kunden Nr.]],KUNDEN!A:B,2,0)</f>
        <v>#N/A</v>
      </c>
      <c r="H893" s="75">
        <v>35111</v>
      </c>
      <c r="I893" s="76" t="str">
        <f>VLOOKUP(Tabelle2[[#This Row],[Artikel]],Produkte!A:B,2,0)</f>
        <v>M-ONE Sanitar Silikon</v>
      </c>
      <c r="J893" s="75">
        <v>12</v>
      </c>
      <c r="K893" s="76" t="str">
        <f>VLOOKUP(Tabelle2[[#This Row],[Kunden Nr.]],KUNDEN!A:G,7)</f>
        <v>Qerimi</v>
      </c>
      <c r="L893" s="76">
        <f>VLOOKUP(Tabelle2[[#This Row],[Artikel]],Produkte!A:H,8)</f>
        <v>0.17</v>
      </c>
    </row>
    <row r="894" spans="1:12" x14ac:dyDescent="0.2">
      <c r="A894" s="75" t="s">
        <v>1253</v>
      </c>
      <c r="B894" s="79">
        <v>46071</v>
      </c>
      <c r="C894" s="75"/>
      <c r="D894" s="75"/>
      <c r="E894" s="75"/>
      <c r="F894" s="75">
        <v>10360</v>
      </c>
      <c r="G894" s="76" t="e">
        <f>VLOOKUP(Tabelle2[[#This Row],[Kunden Nr.]],KUNDEN!A:B,2,0)</f>
        <v>#N/A</v>
      </c>
      <c r="H894" s="75">
        <v>51611</v>
      </c>
      <c r="I894" s="76" t="str">
        <f>VLOOKUP(Tabelle2[[#This Row],[Artikel]],Produkte!A:B,2,0)</f>
        <v>universal akryl</v>
      </c>
      <c r="J894" s="75">
        <v>12</v>
      </c>
      <c r="K894" s="76" t="str">
        <f>VLOOKUP(Tabelle2[[#This Row],[Kunden Nr.]],KUNDEN!A:G,7)</f>
        <v>Qerimi</v>
      </c>
      <c r="L894" s="76">
        <f>VLOOKUP(Tabelle2[[#This Row],[Artikel]],Produkte!A:H,8)</f>
        <v>0.06</v>
      </c>
    </row>
    <row r="895" spans="1:12" x14ac:dyDescent="0.2">
      <c r="A895" s="75" t="s">
        <v>41</v>
      </c>
      <c r="B895" s="79">
        <v>46071</v>
      </c>
      <c r="C895" s="89">
        <v>138.6</v>
      </c>
      <c r="D895" s="75"/>
      <c r="E895" s="75"/>
      <c r="F895" s="75">
        <v>10330</v>
      </c>
      <c r="G895" s="76" t="str">
        <f>VLOOKUP(Tabelle2[[#This Row],[Kunden Nr.]],KUNDEN!A:B,2,0)</f>
        <v>BURIMI</v>
      </c>
      <c r="H895" s="75">
        <v>35111</v>
      </c>
      <c r="I895" s="76" t="str">
        <f>VLOOKUP(Tabelle2[[#This Row],[Artikel]],Produkte!A:B,2,0)</f>
        <v>M-ONE Sanitar Silikon</v>
      </c>
      <c r="J895" s="75">
        <v>12</v>
      </c>
      <c r="K895" s="76" t="str">
        <f>VLOOKUP(Tabelle2[[#This Row],[Kunden Nr.]],KUNDEN!A:G,7)</f>
        <v>Qerimi</v>
      </c>
      <c r="L895" s="76">
        <f>VLOOKUP(Tabelle2[[#This Row],[Artikel]],Produkte!A:H,8)</f>
        <v>0.17</v>
      </c>
    </row>
    <row r="896" spans="1:12" x14ac:dyDescent="0.2">
      <c r="A896" s="75" t="s">
        <v>41</v>
      </c>
      <c r="B896" s="79">
        <v>46071</v>
      </c>
      <c r="C896" s="75"/>
      <c r="D896" s="75"/>
      <c r="E896" s="75"/>
      <c r="F896" s="75">
        <v>10330</v>
      </c>
      <c r="G896" s="76" t="str">
        <f>VLOOKUP(Tabelle2[[#This Row],[Kunden Nr.]],KUNDEN!A:B,2,0)</f>
        <v>BURIMI</v>
      </c>
      <c r="H896" s="75">
        <v>35113</v>
      </c>
      <c r="I896" s="76" t="str">
        <f>VLOOKUP(Tabelle2[[#This Row],[Artikel]],Produkte!A:B,2,0)</f>
        <v>M-ONE Sanitar Silikon</v>
      </c>
      <c r="J896" s="75">
        <v>12</v>
      </c>
      <c r="K896" s="76" t="str">
        <f>VLOOKUP(Tabelle2[[#This Row],[Kunden Nr.]],KUNDEN!A:G,7)</f>
        <v>Qerimi</v>
      </c>
      <c r="L896" s="76">
        <f>VLOOKUP(Tabelle2[[#This Row],[Artikel]],Produkte!A:H,8)</f>
        <v>0.17</v>
      </c>
    </row>
    <row r="897" spans="1:12" x14ac:dyDescent="0.2">
      <c r="A897" s="75" t="s">
        <v>41</v>
      </c>
      <c r="B897" s="79">
        <v>46071</v>
      </c>
      <c r="C897" s="75"/>
      <c r="D897" s="75"/>
      <c r="E897" s="75"/>
      <c r="F897" s="75">
        <v>10330</v>
      </c>
      <c r="G897" s="76" t="str">
        <f>VLOOKUP(Tabelle2[[#This Row],[Kunden Nr.]],KUNDEN!A:B,2,0)</f>
        <v>BURIMI</v>
      </c>
      <c r="H897" s="75">
        <v>35121</v>
      </c>
      <c r="I897" s="76" t="str">
        <f>VLOOKUP(Tabelle2[[#This Row],[Artikel]],Produkte!A:B,2,0)</f>
        <v>M-ONE Sanitar Silikon</v>
      </c>
      <c r="J897" s="75">
        <v>12</v>
      </c>
      <c r="K897" s="76" t="str">
        <f>VLOOKUP(Tabelle2[[#This Row],[Kunden Nr.]],KUNDEN!A:G,7)</f>
        <v>Qerimi</v>
      </c>
      <c r="L897" s="76">
        <f>VLOOKUP(Tabelle2[[#This Row],[Artikel]],Produkte!A:H,8)</f>
        <v>0.17</v>
      </c>
    </row>
    <row r="898" spans="1:12" x14ac:dyDescent="0.2">
      <c r="A898" s="75" t="s">
        <v>415</v>
      </c>
      <c r="B898" s="79">
        <v>46071</v>
      </c>
      <c r="C898" s="89">
        <v>46.2</v>
      </c>
      <c r="D898" s="75"/>
      <c r="E898" s="75"/>
      <c r="F898" s="75">
        <v>10352</v>
      </c>
      <c r="G898" s="76" t="str">
        <f>VLOOKUP(Tabelle2[[#This Row],[Kunden Nr.]],KUNDEN!A:B,2,0)</f>
        <v>SMIRA</v>
      </c>
      <c r="H898" s="75">
        <v>35109</v>
      </c>
      <c r="I898" s="76" t="str">
        <f>VLOOKUP(Tabelle2[[#This Row],[Artikel]],Produkte!A:B,2,0)</f>
        <v>M-ONE Sanitar Silikon</v>
      </c>
      <c r="J898" s="75">
        <v>12</v>
      </c>
      <c r="K898" s="76" t="str">
        <f>VLOOKUP(Tabelle2[[#This Row],[Kunden Nr.]],KUNDEN!A:G,7)</f>
        <v>Qerimi</v>
      </c>
      <c r="L898" s="76">
        <f>VLOOKUP(Tabelle2[[#This Row],[Artikel]],Produkte!A:H,8)</f>
        <v>0.17</v>
      </c>
    </row>
    <row r="899" spans="1:12" x14ac:dyDescent="0.2">
      <c r="A899" s="75" t="s">
        <v>43</v>
      </c>
      <c r="B899" s="79">
        <v>46071</v>
      </c>
      <c r="C899" s="89">
        <v>92.4</v>
      </c>
      <c r="D899" s="75"/>
      <c r="E899" s="75"/>
      <c r="F899" s="75">
        <v>10332</v>
      </c>
      <c r="G899" s="76" t="str">
        <f>VLOOKUP(Tabelle2[[#This Row],[Kunden Nr.]],KUNDEN!A:B,2,0)</f>
        <v>DARDANIA</v>
      </c>
      <c r="H899" s="75">
        <v>35110</v>
      </c>
      <c r="I899" s="76" t="str">
        <f>VLOOKUP(Tabelle2[[#This Row],[Artikel]],Produkte!A:B,2,0)</f>
        <v>M-ONE Sanitar Silikon</v>
      </c>
      <c r="J899" s="75">
        <v>12</v>
      </c>
      <c r="K899" s="76" t="str">
        <f>VLOOKUP(Tabelle2[[#This Row],[Kunden Nr.]],KUNDEN!A:G,7)</f>
        <v>Qerimi</v>
      </c>
      <c r="L899" s="76">
        <f>VLOOKUP(Tabelle2[[#This Row],[Artikel]],Produkte!A:H,8)</f>
        <v>0.17</v>
      </c>
    </row>
    <row r="900" spans="1:12" x14ac:dyDescent="0.2">
      <c r="A900" s="75" t="s">
        <v>43</v>
      </c>
      <c r="B900" s="79">
        <v>46071</v>
      </c>
      <c r="C900" s="75"/>
      <c r="D900" s="75"/>
      <c r="E900" s="75"/>
      <c r="F900" s="75">
        <v>10332</v>
      </c>
      <c r="G900" s="76" t="str">
        <f>VLOOKUP(Tabelle2[[#This Row],[Kunden Nr.]],KUNDEN!A:B,2,0)</f>
        <v>DARDANIA</v>
      </c>
      <c r="H900" s="75">
        <v>35125</v>
      </c>
      <c r="I900" s="76" t="str">
        <f>VLOOKUP(Tabelle2[[#This Row],[Artikel]],Produkte!A:B,2,0)</f>
        <v>M-ONE Sanitar Silikon</v>
      </c>
      <c r="J900" s="75">
        <v>12</v>
      </c>
      <c r="K900" s="76" t="str">
        <f>VLOOKUP(Tabelle2[[#This Row],[Kunden Nr.]],KUNDEN!A:G,7)</f>
        <v>Qerimi</v>
      </c>
      <c r="L900" s="76">
        <f>VLOOKUP(Tabelle2[[#This Row],[Artikel]],Produkte!A:H,8)</f>
        <v>0.17</v>
      </c>
    </row>
    <row r="901" spans="1:12" x14ac:dyDescent="0.2">
      <c r="A901" s="75" t="s">
        <v>30</v>
      </c>
      <c r="B901" s="79">
        <v>46071</v>
      </c>
      <c r="C901" s="89">
        <v>86.4</v>
      </c>
      <c r="D901" s="75"/>
      <c r="E901" s="75"/>
      <c r="F901" s="75">
        <v>10323</v>
      </c>
      <c r="G901" s="76" t="str">
        <f>VLOOKUP(Tabelle2[[#This Row],[Kunden Nr.]],KUNDEN!A:B,2,0)</f>
        <v>BEKA-3</v>
      </c>
      <c r="H901" s="75">
        <v>50912</v>
      </c>
      <c r="I901" s="76" t="str">
        <f>VLOOKUP(Tabelle2[[#This Row],[Artikel]],Produkte!A:B,2,0)</f>
        <v>DICHTUNG</v>
      </c>
      <c r="J901" s="75">
        <v>12</v>
      </c>
      <c r="K901" s="76" t="str">
        <f>VLOOKUP(Tabelle2[[#This Row],[Kunden Nr.]],KUNDEN!A:G,7)</f>
        <v>Qerimi</v>
      </c>
      <c r="L901" s="76">
        <f>VLOOKUP(Tabelle2[[#This Row],[Artikel]],Produkte!A:H,8)</f>
        <v>0.2</v>
      </c>
    </row>
    <row r="902" spans="1:12" x14ac:dyDescent="0.2">
      <c r="A902" s="75" t="s">
        <v>8</v>
      </c>
      <c r="B902" s="79">
        <v>46071</v>
      </c>
      <c r="C902" s="89">
        <v>15</v>
      </c>
      <c r="D902" s="75"/>
      <c r="E902" s="75"/>
      <c r="F902" s="75">
        <v>10304</v>
      </c>
      <c r="G902" s="76" t="str">
        <f>VLOOKUP(Tabelle2[[#This Row],[Kunden Nr.]],KUNDEN!A:B,2,0)</f>
        <v>EUROSAN</v>
      </c>
      <c r="H902" s="75">
        <v>51611</v>
      </c>
      <c r="I902" s="76" t="str">
        <f>VLOOKUP(Tabelle2[[#This Row],[Artikel]],Produkte!A:B,2,0)</f>
        <v>universal akryl</v>
      </c>
      <c r="J902" s="75">
        <v>12</v>
      </c>
      <c r="K902" s="76" t="str">
        <f>VLOOKUP(Tabelle2[[#This Row],[Kunden Nr.]],KUNDEN!A:G,7)</f>
        <v>Qerimi</v>
      </c>
      <c r="L902" s="76">
        <f>VLOOKUP(Tabelle2[[#This Row],[Artikel]],Produkte!A:H,8)</f>
        <v>0.06</v>
      </c>
    </row>
    <row r="903" spans="1:12" x14ac:dyDescent="0.2">
      <c r="A903" s="75" t="s">
        <v>12</v>
      </c>
      <c r="B903" s="79">
        <v>46071</v>
      </c>
      <c r="C903" s="89">
        <v>46.2</v>
      </c>
      <c r="D903" s="75"/>
      <c r="E903" s="75"/>
      <c r="F903" s="75">
        <v>10308</v>
      </c>
      <c r="G903" s="76" t="str">
        <f>VLOOKUP(Tabelle2[[#This Row],[Kunden Nr.]],KUNDEN!A:B,2,0)</f>
        <v>ERALP</v>
      </c>
      <c r="H903" s="75">
        <v>35125</v>
      </c>
      <c r="I903" s="76" t="str">
        <f>VLOOKUP(Tabelle2[[#This Row],[Artikel]],Produkte!A:B,2,0)</f>
        <v>M-ONE Sanitar Silikon</v>
      </c>
      <c r="J903" s="75">
        <v>12</v>
      </c>
      <c r="K903" s="76" t="str">
        <f>VLOOKUP(Tabelle2[[#This Row],[Kunden Nr.]],KUNDEN!A:G,7)</f>
        <v>Qerimi</v>
      </c>
      <c r="L903" s="76">
        <f>VLOOKUP(Tabelle2[[#This Row],[Artikel]],Produkte!A:H,8)</f>
        <v>0.17</v>
      </c>
    </row>
    <row r="904" spans="1:12" x14ac:dyDescent="0.2">
      <c r="A904" s="75" t="s">
        <v>1299</v>
      </c>
      <c r="B904" s="79">
        <v>46071</v>
      </c>
      <c r="C904" s="89">
        <v>138.6</v>
      </c>
      <c r="D904" s="75"/>
      <c r="E904" s="75"/>
      <c r="F904" s="75">
        <v>10258</v>
      </c>
      <c r="G904" s="76" t="str">
        <f>VLOOKUP(Tabelle2[[#This Row],[Kunden Nr.]],KUNDEN!A:B,2,0)</f>
        <v>ARSIMI</v>
      </c>
      <c r="H904" s="75">
        <v>35128</v>
      </c>
      <c r="I904" s="76" t="str">
        <f>VLOOKUP(Tabelle2[[#This Row],[Artikel]],Produkte!A:B,2,0)</f>
        <v>M-ONE Sanitar Silikon</v>
      </c>
      <c r="J904" s="75">
        <v>36</v>
      </c>
      <c r="K904" s="76" t="str">
        <f>VLOOKUP(Tabelle2[[#This Row],[Kunden Nr.]],KUNDEN!A:G,7)</f>
        <v>Qerimi</v>
      </c>
      <c r="L904" s="76">
        <f>VLOOKUP(Tabelle2[[#This Row],[Artikel]],Produkte!A:H,8)</f>
        <v>0.17</v>
      </c>
    </row>
    <row r="905" spans="1:12" x14ac:dyDescent="0.2">
      <c r="A905" s="75" t="s">
        <v>769</v>
      </c>
      <c r="B905" s="79">
        <v>46071</v>
      </c>
      <c r="C905" s="89">
        <v>24</v>
      </c>
      <c r="D905" s="75"/>
      <c r="E905" s="75"/>
      <c r="F905" s="75">
        <v>40002</v>
      </c>
      <c r="G905" s="76" t="str">
        <f>VLOOKUP(Tabelle2[[#This Row],[Kunden Nr.]],KUNDEN!A:B,2,0)</f>
        <v>FORD BASHKIMI</v>
      </c>
      <c r="H905" s="75">
        <v>54412</v>
      </c>
      <c r="I905" s="76" t="str">
        <f>VLOOKUP(Tabelle2[[#This Row],[Artikel]],Produkte!A:B,2,0)</f>
        <v>beMAKER Bremsen&amp;Teile Reininger</v>
      </c>
      <c r="J905" s="75">
        <v>12</v>
      </c>
      <c r="K905" s="76">
        <f>VLOOKUP(Tabelle2[[#This Row],[Kunden Nr.]],KUNDEN!A:G,7)</f>
        <v>0</v>
      </c>
      <c r="L905" s="76">
        <f>VLOOKUP(Tabelle2[[#This Row],[Artikel]],Produkte!A:H,8)</f>
        <v>0.2</v>
      </c>
    </row>
    <row r="906" spans="1:12" x14ac:dyDescent="0.2">
      <c r="A906" s="75" t="s">
        <v>1177</v>
      </c>
      <c r="B906" s="79">
        <v>46071</v>
      </c>
      <c r="C906" s="89">
        <v>32</v>
      </c>
      <c r="D906" s="75"/>
      <c r="E906" s="75"/>
      <c r="F906" s="75">
        <v>40017</v>
      </c>
      <c r="G906" s="76" t="str">
        <f>VLOOKUP(Tabelle2[[#This Row],[Kunden Nr.]],KUNDEN!A:B,2,0)</f>
        <v>YLLI CONSTRUCION</v>
      </c>
      <c r="H906" s="75">
        <v>35128</v>
      </c>
      <c r="I906" s="76" t="str">
        <f>VLOOKUP(Tabelle2[[#This Row],[Artikel]],Produkte!A:B,2,0)</f>
        <v>M-ONE Sanitar Silikon</v>
      </c>
      <c r="J906" s="75">
        <v>5</v>
      </c>
      <c r="K906" s="76">
        <f>VLOOKUP(Tabelle2[[#This Row],[Kunden Nr.]],KUNDEN!A:G,7)</f>
        <v>0</v>
      </c>
      <c r="L906" s="76">
        <f>VLOOKUP(Tabelle2[[#This Row],[Artikel]],Produkte!A:H,8)</f>
        <v>0.17</v>
      </c>
    </row>
    <row r="907" spans="1:12" x14ac:dyDescent="0.2">
      <c r="A907" s="75" t="s">
        <v>1177</v>
      </c>
      <c r="B907" s="79">
        <v>46071</v>
      </c>
      <c r="C907" s="75"/>
      <c r="D907" s="75"/>
      <c r="E907" s="75"/>
      <c r="F907" s="75">
        <v>40017</v>
      </c>
      <c r="G907" s="76" t="str">
        <f>VLOOKUP(Tabelle2[[#This Row],[Kunden Nr.]],KUNDEN!A:B,2,0)</f>
        <v>YLLI CONSTRUCION</v>
      </c>
      <c r="H907" s="75">
        <v>35115</v>
      </c>
      <c r="I907" s="76" t="str">
        <f>VLOOKUP(Tabelle2[[#This Row],[Artikel]],Produkte!A:B,2,0)</f>
        <v>M-ONE Sanitar Silikon</v>
      </c>
      <c r="J907" s="75">
        <v>3</v>
      </c>
      <c r="K907" s="76">
        <f>VLOOKUP(Tabelle2[[#This Row],[Kunden Nr.]],KUNDEN!A:G,7)</f>
        <v>0</v>
      </c>
      <c r="L907" s="76">
        <f>VLOOKUP(Tabelle2[[#This Row],[Artikel]],Produkte!A:H,8)</f>
        <v>0.17</v>
      </c>
    </row>
    <row r="908" spans="1:12" x14ac:dyDescent="0.2">
      <c r="A908" s="75" t="s">
        <v>770</v>
      </c>
      <c r="B908" s="79">
        <v>46071</v>
      </c>
      <c r="C908" s="89">
        <v>158</v>
      </c>
      <c r="D908" s="75"/>
      <c r="E908" s="75"/>
      <c r="F908" s="75">
        <v>40003</v>
      </c>
      <c r="G908" s="76" t="str">
        <f>VLOOKUP(Tabelle2[[#This Row],[Kunden Nr.]],KUNDEN!A:B,2,0)</f>
        <v>ARBENI BIOBLIC</v>
      </c>
      <c r="H908" s="75">
        <v>20001</v>
      </c>
      <c r="I908" s="76" t="str">
        <f>VLOOKUP(Tabelle2[[#This Row],[Artikel]],Produkte!A:B,2,0)</f>
        <v>BioBlic Universalreiniger</v>
      </c>
      <c r="J908" s="75">
        <v>80</v>
      </c>
      <c r="K908" s="76">
        <f>VLOOKUP(Tabelle2[[#This Row],[Kunden Nr.]],KUNDEN!A:G,7)</f>
        <v>0</v>
      </c>
      <c r="L908" s="76">
        <f>VLOOKUP(Tabelle2[[#This Row],[Artikel]],Produkte!A:H,8)</f>
        <v>0.30000000000000004</v>
      </c>
    </row>
    <row r="909" spans="1:12" x14ac:dyDescent="0.2">
      <c r="A909" s="75" t="s">
        <v>770</v>
      </c>
      <c r="B909" s="79">
        <v>46071</v>
      </c>
      <c r="C909" s="75"/>
      <c r="D909" s="75"/>
      <c r="E909" s="75"/>
      <c r="F909" s="75">
        <v>40003</v>
      </c>
      <c r="G909" s="76" t="str">
        <f>VLOOKUP(Tabelle2[[#This Row],[Kunden Nr.]],KUNDEN!A:B,2,0)</f>
        <v>ARBENI BIOBLIC</v>
      </c>
      <c r="H909" s="75">
        <v>30275</v>
      </c>
      <c r="I909" s="76" t="str">
        <f>VLOOKUP(Tabelle2[[#This Row],[Artikel]],Produkte!A:B,2,0)</f>
        <v>Blic Blic Sanitärreiniger</v>
      </c>
      <c r="J909" s="75">
        <v>50</v>
      </c>
      <c r="K909" s="76">
        <f>VLOOKUP(Tabelle2[[#This Row],[Kunden Nr.]],KUNDEN!A:G,7)</f>
        <v>0</v>
      </c>
      <c r="L909" s="76">
        <f>VLOOKUP(Tabelle2[[#This Row],[Artikel]],Produkte!A:H,8)</f>
        <v>0.30000000000000004</v>
      </c>
    </row>
    <row r="910" spans="1:12" x14ac:dyDescent="0.2">
      <c r="A910" s="75" t="s">
        <v>1263</v>
      </c>
      <c r="B910" s="79">
        <v>46072</v>
      </c>
      <c r="C910" s="89">
        <v>92.4</v>
      </c>
      <c r="D910" s="75"/>
      <c r="E910" s="75"/>
      <c r="F910" s="75">
        <v>20609</v>
      </c>
      <c r="G910" s="76" t="str">
        <f>VLOOKUP(Tabelle2[[#This Row],[Kunden Nr.]],KUNDEN!A:B,2,0)</f>
        <v>BUJARI Q - BESII</v>
      </c>
      <c r="H910" s="75">
        <v>35109</v>
      </c>
      <c r="I910" s="76" t="str">
        <f>VLOOKUP(Tabelle2[[#This Row],[Artikel]],Produkte!A:B,2,0)</f>
        <v>M-ONE Sanitar Silikon</v>
      </c>
      <c r="J910" s="75">
        <v>24</v>
      </c>
      <c r="K910" s="76" t="str">
        <f>VLOOKUP(Tabelle2[[#This Row],[Kunden Nr.]],KUNDEN!A:G,7)</f>
        <v>Mensuri</v>
      </c>
      <c r="L910" s="76">
        <f>VLOOKUP(Tabelle2[[#This Row],[Artikel]],Produkte!A:H,8)</f>
        <v>0.17</v>
      </c>
    </row>
    <row r="911" spans="1:12" x14ac:dyDescent="0.2">
      <c r="A911" s="75" t="s">
        <v>430</v>
      </c>
      <c r="B911" s="79">
        <v>46072</v>
      </c>
      <c r="C911" s="89">
        <v>304.8</v>
      </c>
      <c r="D911" s="75"/>
      <c r="E911" s="75"/>
      <c r="F911" s="75">
        <v>20602</v>
      </c>
      <c r="G911" s="76" t="str">
        <f>VLOOKUP(Tabelle2[[#This Row],[Kunden Nr.]],KUNDEN!A:B,2,0)</f>
        <v>AGROLONDI</v>
      </c>
      <c r="H911" s="75">
        <v>35121</v>
      </c>
      <c r="I911" s="76" t="str">
        <f>VLOOKUP(Tabelle2[[#This Row],[Artikel]],Produkte!A:B,2,0)</f>
        <v>M-ONE Sanitar Silikon</v>
      </c>
      <c r="J911" s="75">
        <v>60</v>
      </c>
      <c r="K911" s="76" t="str">
        <f>VLOOKUP(Tabelle2[[#This Row],[Kunden Nr.]],KUNDEN!A:G,7)</f>
        <v>Mensuri</v>
      </c>
      <c r="L911" s="76">
        <f>VLOOKUP(Tabelle2[[#This Row],[Artikel]],Produkte!A:H,8)</f>
        <v>0.17</v>
      </c>
    </row>
    <row r="912" spans="1:12" x14ac:dyDescent="0.2">
      <c r="A912" s="75" t="s">
        <v>430</v>
      </c>
      <c r="B912" s="79">
        <v>46072</v>
      </c>
      <c r="C912" s="75"/>
      <c r="D912" s="75"/>
      <c r="E912" s="75"/>
      <c r="F912" s="75">
        <v>20602</v>
      </c>
      <c r="G912" s="76" t="str">
        <f>VLOOKUP(Tabelle2[[#This Row],[Kunden Nr.]],KUNDEN!A:B,2,0)</f>
        <v>AGROLONDI</v>
      </c>
      <c r="H912" s="75">
        <v>35110</v>
      </c>
      <c r="I912" s="76" t="str">
        <f>VLOOKUP(Tabelle2[[#This Row],[Artikel]],Produkte!A:B,2,0)</f>
        <v>M-ONE Sanitar Silikon</v>
      </c>
      <c r="J912" s="75">
        <v>12</v>
      </c>
      <c r="K912" s="76" t="str">
        <f>VLOOKUP(Tabelle2[[#This Row],[Kunden Nr.]],KUNDEN!A:G,7)</f>
        <v>Mensuri</v>
      </c>
      <c r="L912" s="76">
        <f>VLOOKUP(Tabelle2[[#This Row],[Artikel]],Produkte!A:H,8)</f>
        <v>0.17</v>
      </c>
    </row>
    <row r="913" spans="1:12" x14ac:dyDescent="0.2">
      <c r="A913" s="75" t="s">
        <v>430</v>
      </c>
      <c r="B913" s="79">
        <v>46072</v>
      </c>
      <c r="C913" s="75"/>
      <c r="D913" s="75"/>
      <c r="E913" s="75"/>
      <c r="F913" s="75">
        <v>20602</v>
      </c>
      <c r="G913" s="76" t="str">
        <f>VLOOKUP(Tabelle2[[#This Row],[Kunden Nr.]],KUNDEN!A:B,2,0)</f>
        <v>AGROLONDI</v>
      </c>
      <c r="H913" s="75">
        <v>51612</v>
      </c>
      <c r="I913" s="76" t="str">
        <f>VLOOKUP(Tabelle2[[#This Row],[Artikel]],Produkte!A:B,2,0)</f>
        <v>struktural akryl</v>
      </c>
      <c r="J913" s="75">
        <v>12</v>
      </c>
      <c r="K913" s="76" t="str">
        <f>VLOOKUP(Tabelle2[[#This Row],[Kunden Nr.]],KUNDEN!A:G,7)</f>
        <v>Mensuri</v>
      </c>
      <c r="L913" s="76">
        <f>VLOOKUP(Tabelle2[[#This Row],[Artikel]],Produkte!A:H,8)</f>
        <v>0.06</v>
      </c>
    </row>
    <row r="914" spans="1:12" x14ac:dyDescent="0.2">
      <c r="A914" s="75" t="s">
        <v>1305</v>
      </c>
      <c r="B914" s="79">
        <v>46072</v>
      </c>
      <c r="C914" s="89">
        <v>61.2</v>
      </c>
      <c r="D914" s="75"/>
      <c r="E914" s="75"/>
      <c r="F914" s="75">
        <v>20622</v>
      </c>
      <c r="G914" s="76" t="str">
        <f>VLOOKUP(Tabelle2[[#This Row],[Kunden Nr.]],KUNDEN!A:B,2,0)</f>
        <v>ILIRI QERAMIKA</v>
      </c>
      <c r="H914" s="75">
        <v>35109</v>
      </c>
      <c r="I914" s="76" t="str">
        <f>VLOOKUP(Tabelle2[[#This Row],[Artikel]],Produkte!A:B,2,0)</f>
        <v>M-ONE Sanitar Silikon</v>
      </c>
      <c r="J914" s="75">
        <v>12</v>
      </c>
      <c r="K914" s="76" t="str">
        <f>VLOOKUP(Tabelle2[[#This Row],[Kunden Nr.]],KUNDEN!A:G,7)</f>
        <v>Mensuri</v>
      </c>
      <c r="L914" s="76">
        <f>VLOOKUP(Tabelle2[[#This Row],[Artikel]],Produkte!A:H,8)</f>
        <v>0.17</v>
      </c>
    </row>
    <row r="915" spans="1:12" x14ac:dyDescent="0.2">
      <c r="A915" s="75" t="s">
        <v>1305</v>
      </c>
      <c r="B915" s="79">
        <v>46072</v>
      </c>
      <c r="C915" s="75"/>
      <c r="D915" s="75"/>
      <c r="E915" s="75"/>
      <c r="F915" s="75">
        <v>20622</v>
      </c>
      <c r="G915" s="76" t="str">
        <f>VLOOKUP(Tabelle2[[#This Row],[Kunden Nr.]],KUNDEN!A:B,2,0)</f>
        <v>ILIRI QERAMIKA</v>
      </c>
      <c r="H915" s="75">
        <v>51611</v>
      </c>
      <c r="I915" s="76" t="str">
        <f>VLOOKUP(Tabelle2[[#This Row],[Artikel]],Produkte!A:B,2,0)</f>
        <v>universal akryl</v>
      </c>
      <c r="J915" s="75">
        <v>12</v>
      </c>
      <c r="K915" s="76" t="str">
        <f>VLOOKUP(Tabelle2[[#This Row],[Kunden Nr.]],KUNDEN!A:G,7)</f>
        <v>Mensuri</v>
      </c>
      <c r="L915" s="76">
        <f>VLOOKUP(Tabelle2[[#This Row],[Artikel]],Produkte!A:H,8)</f>
        <v>0.06</v>
      </c>
    </row>
    <row r="916" spans="1:12" x14ac:dyDescent="0.2">
      <c r="A916" s="75" t="s">
        <v>1185</v>
      </c>
      <c r="B916" s="79">
        <v>46072</v>
      </c>
      <c r="C916" s="89">
        <v>107.4</v>
      </c>
      <c r="D916" s="75"/>
      <c r="E916" s="75"/>
      <c r="F916" s="75">
        <v>20628</v>
      </c>
      <c r="G916" s="76" t="str">
        <f>VLOOKUP(Tabelle2[[#This Row],[Kunden Nr.]],KUNDEN!A:B,2,0)</f>
        <v>DIVA QERAMIKA</v>
      </c>
      <c r="H916" s="75">
        <v>35110</v>
      </c>
      <c r="I916" s="76" t="str">
        <f>VLOOKUP(Tabelle2[[#This Row],[Artikel]],Produkte!A:B,2,0)</f>
        <v>M-ONE Sanitar Silikon</v>
      </c>
      <c r="J916" s="75">
        <v>12</v>
      </c>
      <c r="K916" s="76" t="str">
        <f>VLOOKUP(Tabelle2[[#This Row],[Kunden Nr.]],KUNDEN!A:G,7)</f>
        <v>Mensuri</v>
      </c>
      <c r="L916" s="76">
        <f>VLOOKUP(Tabelle2[[#This Row],[Artikel]],Produkte!A:H,8)</f>
        <v>0.17</v>
      </c>
    </row>
    <row r="917" spans="1:12" x14ac:dyDescent="0.2">
      <c r="A917" s="75" t="s">
        <v>1185</v>
      </c>
      <c r="B917" s="79">
        <v>46072</v>
      </c>
      <c r="C917" s="75"/>
      <c r="D917" s="75"/>
      <c r="E917" s="75"/>
      <c r="F917" s="75">
        <v>20628</v>
      </c>
      <c r="G917" s="76" t="str">
        <f>VLOOKUP(Tabelle2[[#This Row],[Kunden Nr.]],KUNDEN!A:B,2,0)</f>
        <v>DIVA QERAMIKA</v>
      </c>
      <c r="H917" s="75">
        <v>35111</v>
      </c>
      <c r="I917" s="76" t="str">
        <f>VLOOKUP(Tabelle2[[#This Row],[Artikel]],Produkte!A:B,2,0)</f>
        <v>M-ONE Sanitar Silikon</v>
      </c>
      <c r="J917" s="75">
        <v>12</v>
      </c>
      <c r="K917" s="76" t="str">
        <f>VLOOKUP(Tabelle2[[#This Row],[Kunden Nr.]],KUNDEN!A:G,7)</f>
        <v>Mensuri</v>
      </c>
      <c r="L917" s="76">
        <f>VLOOKUP(Tabelle2[[#This Row],[Artikel]],Produkte!A:H,8)</f>
        <v>0.17</v>
      </c>
    </row>
    <row r="918" spans="1:12" x14ac:dyDescent="0.2">
      <c r="A918" s="75" t="s">
        <v>1185</v>
      </c>
      <c r="B918" s="79">
        <v>46072</v>
      </c>
      <c r="C918" s="75"/>
      <c r="D918" s="75"/>
      <c r="E918" s="75"/>
      <c r="F918" s="75">
        <v>20628</v>
      </c>
      <c r="G918" s="76" t="str">
        <f>VLOOKUP(Tabelle2[[#This Row],[Kunden Nr.]],KUNDEN!A:B,2,0)</f>
        <v>DIVA QERAMIKA</v>
      </c>
      <c r="H918" s="75">
        <v>51611</v>
      </c>
      <c r="I918" s="76" t="str">
        <f>VLOOKUP(Tabelle2[[#This Row],[Artikel]],Produkte!A:B,2,0)</f>
        <v>universal akryl</v>
      </c>
      <c r="J918" s="75">
        <v>12</v>
      </c>
      <c r="K918" s="76" t="str">
        <f>VLOOKUP(Tabelle2[[#This Row],[Kunden Nr.]],KUNDEN!A:G,7)</f>
        <v>Mensuri</v>
      </c>
      <c r="L918" s="76">
        <f>VLOOKUP(Tabelle2[[#This Row],[Artikel]],Produkte!A:H,8)</f>
        <v>0.06</v>
      </c>
    </row>
    <row r="919" spans="1:12" x14ac:dyDescent="0.2">
      <c r="A919" s="75" t="s">
        <v>1171</v>
      </c>
      <c r="B919" s="79">
        <v>46072</v>
      </c>
      <c r="C919" s="89">
        <v>162</v>
      </c>
      <c r="D919" s="75"/>
      <c r="E919" s="75"/>
      <c r="F919" s="75">
        <v>20627</v>
      </c>
      <c r="G919" s="76" t="str">
        <f>VLOOKUP(Tabelle2[[#This Row],[Kunden Nr.]],KUNDEN!A:B,2,0)</f>
        <v>UNIKA</v>
      </c>
      <c r="H919" s="75">
        <v>35108</v>
      </c>
      <c r="I919" s="76" t="str">
        <f>VLOOKUP(Tabelle2[[#This Row],[Artikel]],Produkte!A:B,2,0)</f>
        <v>M-ONE Sanitar Silikon</v>
      </c>
      <c r="J919" s="75">
        <v>12</v>
      </c>
      <c r="K919" s="76" t="str">
        <f>VLOOKUP(Tabelle2[[#This Row],[Kunden Nr.]],KUNDEN!A:G,7)</f>
        <v>Mensuri</v>
      </c>
      <c r="L919" s="76">
        <f>VLOOKUP(Tabelle2[[#This Row],[Artikel]],Produkte!A:H,8)</f>
        <v>0.17</v>
      </c>
    </row>
    <row r="920" spans="1:12" x14ac:dyDescent="0.2">
      <c r="A920" s="75" t="s">
        <v>1171</v>
      </c>
      <c r="B920" s="79">
        <v>46072</v>
      </c>
      <c r="C920" s="75"/>
      <c r="D920" s="75"/>
      <c r="E920" s="75"/>
      <c r="F920" s="75">
        <v>20627</v>
      </c>
      <c r="G920" s="76" t="str">
        <f>VLOOKUP(Tabelle2[[#This Row],[Kunden Nr.]],KUNDEN!A:B,2,0)</f>
        <v>UNIKA</v>
      </c>
      <c r="H920" s="75">
        <v>35115</v>
      </c>
      <c r="I920" s="76" t="str">
        <f>VLOOKUP(Tabelle2[[#This Row],[Artikel]],Produkte!A:B,2,0)</f>
        <v>M-ONE Sanitar Silikon</v>
      </c>
      <c r="J920" s="75">
        <v>12</v>
      </c>
      <c r="K920" s="76" t="str">
        <f>VLOOKUP(Tabelle2[[#This Row],[Kunden Nr.]],KUNDEN!A:G,7)</f>
        <v>Mensuri</v>
      </c>
      <c r="L920" s="76">
        <f>VLOOKUP(Tabelle2[[#This Row],[Artikel]],Produkte!A:H,8)</f>
        <v>0.17</v>
      </c>
    </row>
    <row r="921" spans="1:12" x14ac:dyDescent="0.2">
      <c r="A921" s="75" t="s">
        <v>1171</v>
      </c>
      <c r="B921" s="79">
        <v>46072</v>
      </c>
      <c r="C921" s="75"/>
      <c r="D921" s="75"/>
      <c r="E921" s="75"/>
      <c r="F921" s="75">
        <v>20627</v>
      </c>
      <c r="G921" s="76" t="str">
        <f>VLOOKUP(Tabelle2[[#This Row],[Kunden Nr.]],KUNDEN!A:B,2,0)</f>
        <v>UNIKA</v>
      </c>
      <c r="H921" s="75">
        <v>66701</v>
      </c>
      <c r="I921" s="76" t="str">
        <f>VLOOKUP(Tabelle2[[#This Row],[Artikel]],Produkte!A:B,2,0)</f>
        <v>PROFIMONT EXTREME</v>
      </c>
      <c r="J921" s="75">
        <v>12</v>
      </c>
      <c r="K921" s="76" t="str">
        <f>VLOOKUP(Tabelle2[[#This Row],[Kunden Nr.]],KUNDEN!A:G,7)</f>
        <v>Mensuri</v>
      </c>
      <c r="L921" s="76">
        <f>VLOOKUP(Tabelle2[[#This Row],[Artikel]],Produkte!A:H,8)</f>
        <v>0.2</v>
      </c>
    </row>
    <row r="922" spans="1:12" x14ac:dyDescent="0.2">
      <c r="A922" s="75" t="s">
        <v>434</v>
      </c>
      <c r="B922" s="79">
        <v>46072</v>
      </c>
      <c r="C922" s="89">
        <v>16</v>
      </c>
      <c r="D922" s="75"/>
      <c r="E922" s="75"/>
      <c r="F922" s="75">
        <v>20606</v>
      </c>
      <c r="G922" s="76" t="str">
        <f>VLOOKUP(Tabelle2[[#This Row],[Kunden Nr.]],KUNDEN!A:B,2,0)</f>
        <v>TE-SYLA</v>
      </c>
      <c r="H922" s="75">
        <v>50912</v>
      </c>
      <c r="I922" s="76" t="str">
        <f>VLOOKUP(Tabelle2[[#This Row],[Artikel]],Produkte!A:B,2,0)</f>
        <v>DICHTUNG</v>
      </c>
      <c r="J922" s="75">
        <v>2</v>
      </c>
      <c r="K922" s="76" t="str">
        <f>VLOOKUP(Tabelle2[[#This Row],[Kunden Nr.]],KUNDEN!A:G,7)</f>
        <v>Mensuri</v>
      </c>
      <c r="L922" s="76">
        <f>VLOOKUP(Tabelle2[[#This Row],[Artikel]],Produkte!A:H,8)</f>
        <v>0.2</v>
      </c>
    </row>
    <row r="923" spans="1:12" x14ac:dyDescent="0.2">
      <c r="A923" s="75" t="s">
        <v>1215</v>
      </c>
      <c r="B923" s="79">
        <v>46072</v>
      </c>
      <c r="C923" s="89">
        <v>92.4</v>
      </c>
      <c r="D923" s="75"/>
      <c r="E923" s="75"/>
      <c r="F923" s="75">
        <v>10429</v>
      </c>
      <c r="G923" s="76" t="str">
        <f>VLOOKUP(Tabelle2[[#This Row],[Kunden Nr.]],KUNDEN!A:B,2,0)</f>
        <v>SAN KOS</v>
      </c>
      <c r="H923" s="75">
        <v>35109</v>
      </c>
      <c r="I923" s="76" t="str">
        <f>VLOOKUP(Tabelle2[[#This Row],[Artikel]],Produkte!A:B,2,0)</f>
        <v>M-ONE Sanitar Silikon</v>
      </c>
      <c r="J923" s="75">
        <v>12</v>
      </c>
      <c r="K923" s="76" t="str">
        <f>VLOOKUP(Tabelle2[[#This Row],[Kunden Nr.]],KUNDEN!A:G,7)</f>
        <v>Qerimi</v>
      </c>
      <c r="L923" s="76">
        <f>VLOOKUP(Tabelle2[[#This Row],[Artikel]],Produkte!A:H,8)</f>
        <v>0.17</v>
      </c>
    </row>
    <row r="924" spans="1:12" x14ac:dyDescent="0.2">
      <c r="A924" s="75" t="s">
        <v>1215</v>
      </c>
      <c r="B924" s="79">
        <v>46072</v>
      </c>
      <c r="C924" s="75"/>
      <c r="D924" s="75"/>
      <c r="E924" s="75"/>
      <c r="F924" s="75">
        <v>10429</v>
      </c>
      <c r="G924" s="76" t="str">
        <f>VLOOKUP(Tabelle2[[#This Row],[Kunden Nr.]],KUNDEN!A:B,2,0)</f>
        <v>SAN KOS</v>
      </c>
      <c r="H924" s="75">
        <v>35128</v>
      </c>
      <c r="I924" s="76" t="str">
        <f>VLOOKUP(Tabelle2[[#This Row],[Artikel]],Produkte!A:B,2,0)</f>
        <v>M-ONE Sanitar Silikon</v>
      </c>
      <c r="J924" s="75">
        <v>12</v>
      </c>
      <c r="K924" s="76" t="str">
        <f>VLOOKUP(Tabelle2[[#This Row],[Kunden Nr.]],KUNDEN!A:G,7)</f>
        <v>Qerimi</v>
      </c>
      <c r="L924" s="76">
        <f>VLOOKUP(Tabelle2[[#This Row],[Artikel]],Produkte!A:H,8)</f>
        <v>0.17</v>
      </c>
    </row>
    <row r="925" spans="1:12" x14ac:dyDescent="0.2">
      <c r="A925" s="75" t="s">
        <v>550</v>
      </c>
      <c r="B925" s="79">
        <v>46072</v>
      </c>
      <c r="C925" s="89">
        <v>184.8</v>
      </c>
      <c r="D925" s="75"/>
      <c r="E925" s="75"/>
      <c r="F925" s="75">
        <v>10410</v>
      </c>
      <c r="G925" s="76" t="str">
        <f>VLOOKUP(Tabelle2[[#This Row],[Kunden Nr.]],KUNDEN!A:B,2,0)</f>
        <v>GRANITI</v>
      </c>
      <c r="H925" s="75">
        <v>35109</v>
      </c>
      <c r="I925" s="76" t="str">
        <f>VLOOKUP(Tabelle2[[#This Row],[Artikel]],Produkte!A:B,2,0)</f>
        <v>M-ONE Sanitar Silikon</v>
      </c>
      <c r="J925" s="75">
        <v>12</v>
      </c>
      <c r="K925" s="76" t="str">
        <f>VLOOKUP(Tabelle2[[#This Row],[Kunden Nr.]],KUNDEN!A:G,7)</f>
        <v>Qerimi</v>
      </c>
      <c r="L925" s="76">
        <f>VLOOKUP(Tabelle2[[#This Row],[Artikel]],Produkte!A:H,8)</f>
        <v>0.17</v>
      </c>
    </row>
    <row r="926" spans="1:12" x14ac:dyDescent="0.2">
      <c r="A926" s="75" t="s">
        <v>550</v>
      </c>
      <c r="B926" s="79">
        <v>46072</v>
      </c>
      <c r="C926" s="75"/>
      <c r="D926" s="75"/>
      <c r="E926" s="75"/>
      <c r="F926" s="75">
        <v>10410</v>
      </c>
      <c r="G926" s="76" t="str">
        <f>VLOOKUP(Tabelle2[[#This Row],[Kunden Nr.]],KUNDEN!A:B,2,0)</f>
        <v>GRANITI</v>
      </c>
      <c r="H926" s="75">
        <v>35110</v>
      </c>
      <c r="I926" s="76" t="str">
        <f>VLOOKUP(Tabelle2[[#This Row],[Artikel]],Produkte!A:B,2,0)</f>
        <v>M-ONE Sanitar Silikon</v>
      </c>
      <c r="J926" s="75">
        <v>12</v>
      </c>
      <c r="K926" s="76" t="str">
        <f>VLOOKUP(Tabelle2[[#This Row],[Kunden Nr.]],KUNDEN!A:G,7)</f>
        <v>Qerimi</v>
      </c>
      <c r="L926" s="76">
        <f>VLOOKUP(Tabelle2[[#This Row],[Artikel]],Produkte!A:H,8)</f>
        <v>0.17</v>
      </c>
    </row>
    <row r="927" spans="1:12" x14ac:dyDescent="0.2">
      <c r="A927" s="75" t="s">
        <v>550</v>
      </c>
      <c r="B927" s="79">
        <v>46072</v>
      </c>
      <c r="C927" s="75"/>
      <c r="D927" s="75"/>
      <c r="E927" s="75"/>
      <c r="F927" s="75">
        <v>10410</v>
      </c>
      <c r="G927" s="76" t="str">
        <f>VLOOKUP(Tabelle2[[#This Row],[Kunden Nr.]],KUNDEN!A:B,2,0)</f>
        <v>GRANITI</v>
      </c>
      <c r="H927" s="75">
        <v>35125</v>
      </c>
      <c r="I927" s="76" t="str">
        <f>VLOOKUP(Tabelle2[[#This Row],[Artikel]],Produkte!A:B,2,0)</f>
        <v>M-ONE Sanitar Silikon</v>
      </c>
      <c r="J927" s="75">
        <v>12</v>
      </c>
      <c r="K927" s="76" t="str">
        <f>VLOOKUP(Tabelle2[[#This Row],[Kunden Nr.]],KUNDEN!A:G,7)</f>
        <v>Qerimi</v>
      </c>
      <c r="L927" s="76">
        <f>VLOOKUP(Tabelle2[[#This Row],[Artikel]],Produkte!A:H,8)</f>
        <v>0.17</v>
      </c>
    </row>
    <row r="928" spans="1:12" x14ac:dyDescent="0.2">
      <c r="A928" s="75" t="s">
        <v>550</v>
      </c>
      <c r="B928" s="79">
        <v>46072</v>
      </c>
      <c r="C928" s="75"/>
      <c r="D928" s="75"/>
      <c r="E928" s="75"/>
      <c r="F928" s="75">
        <v>10410</v>
      </c>
      <c r="G928" s="76" t="str">
        <f>VLOOKUP(Tabelle2[[#This Row],[Kunden Nr.]],KUNDEN!A:B,2,0)</f>
        <v>GRANITI</v>
      </c>
      <c r="H928" s="75">
        <v>35128</v>
      </c>
      <c r="I928" s="76" t="str">
        <f>VLOOKUP(Tabelle2[[#This Row],[Artikel]],Produkte!A:B,2,0)</f>
        <v>M-ONE Sanitar Silikon</v>
      </c>
      <c r="J928" s="75">
        <v>12</v>
      </c>
      <c r="K928" s="76" t="str">
        <f>VLOOKUP(Tabelle2[[#This Row],[Kunden Nr.]],KUNDEN!A:G,7)</f>
        <v>Qerimi</v>
      </c>
      <c r="L928" s="76">
        <f>VLOOKUP(Tabelle2[[#This Row],[Artikel]],Produkte!A:H,8)</f>
        <v>0.17</v>
      </c>
    </row>
    <row r="929" spans="1:12" x14ac:dyDescent="0.2">
      <c r="A929" s="75" t="s">
        <v>553</v>
      </c>
      <c r="B929" s="79">
        <v>46072</v>
      </c>
      <c r="C929" s="89">
        <v>92.4</v>
      </c>
      <c r="D929" s="75"/>
      <c r="E929" s="75"/>
      <c r="F929" s="75">
        <v>10413</v>
      </c>
      <c r="G929" s="76" t="str">
        <f>VLOOKUP(Tabelle2[[#This Row],[Kunden Nr.]],KUNDEN!A:B,2,0)</f>
        <v>UNIVERZAL</v>
      </c>
      <c r="H929" s="75">
        <v>35110</v>
      </c>
      <c r="I929" s="76" t="str">
        <f>VLOOKUP(Tabelle2[[#This Row],[Artikel]],Produkte!A:B,2,0)</f>
        <v>M-ONE Sanitar Silikon</v>
      </c>
      <c r="J929" s="75">
        <v>12</v>
      </c>
      <c r="K929" s="76" t="str">
        <f>VLOOKUP(Tabelle2[[#This Row],[Kunden Nr.]],KUNDEN!A:G,7)</f>
        <v>Qerimi</v>
      </c>
      <c r="L929" s="76">
        <f>VLOOKUP(Tabelle2[[#This Row],[Artikel]],Produkte!A:H,8)</f>
        <v>0.17</v>
      </c>
    </row>
    <row r="930" spans="1:12" x14ac:dyDescent="0.2">
      <c r="A930" s="75" t="s">
        <v>553</v>
      </c>
      <c r="B930" s="79">
        <v>46072</v>
      </c>
      <c r="C930" s="75"/>
      <c r="D930" s="75"/>
      <c r="E930" s="75"/>
      <c r="F930" s="75">
        <v>10413</v>
      </c>
      <c r="G930" s="76" t="str">
        <f>VLOOKUP(Tabelle2[[#This Row],[Kunden Nr.]],KUNDEN!A:B,2,0)</f>
        <v>UNIVERZAL</v>
      </c>
      <c r="H930" s="75">
        <v>35113</v>
      </c>
      <c r="I930" s="76" t="str">
        <f>VLOOKUP(Tabelle2[[#This Row],[Artikel]],Produkte!A:B,2,0)</f>
        <v>M-ONE Sanitar Silikon</v>
      </c>
      <c r="J930" s="75">
        <v>12</v>
      </c>
      <c r="K930" s="76" t="str">
        <f>VLOOKUP(Tabelle2[[#This Row],[Kunden Nr.]],KUNDEN!A:G,7)</f>
        <v>Qerimi</v>
      </c>
      <c r="L930" s="76">
        <f>VLOOKUP(Tabelle2[[#This Row],[Artikel]],Produkte!A:H,8)</f>
        <v>0.17</v>
      </c>
    </row>
    <row r="931" spans="1:12" x14ac:dyDescent="0.2">
      <c r="A931" s="75" t="s">
        <v>550</v>
      </c>
      <c r="B931" s="79">
        <v>46072</v>
      </c>
      <c r="C931" s="89">
        <v>92.4</v>
      </c>
      <c r="D931" s="75"/>
      <c r="E931" s="75"/>
      <c r="F931" s="75">
        <v>10410</v>
      </c>
      <c r="G931" s="76" t="str">
        <f>VLOOKUP(Tabelle2[[#This Row],[Kunden Nr.]],KUNDEN!A:B,2,0)</f>
        <v>GRANITI</v>
      </c>
      <c r="H931" s="75">
        <v>35125</v>
      </c>
      <c r="I931" s="76" t="str">
        <f>VLOOKUP(Tabelle2[[#This Row],[Artikel]],Produkte!A:B,2,0)</f>
        <v>M-ONE Sanitar Silikon</v>
      </c>
      <c r="J931" s="75">
        <v>24</v>
      </c>
      <c r="K931" s="76" t="str">
        <f>VLOOKUP(Tabelle2[[#This Row],[Kunden Nr.]],KUNDEN!A:G,7)</f>
        <v>Qerimi</v>
      </c>
      <c r="L931" s="76">
        <f>VLOOKUP(Tabelle2[[#This Row],[Artikel]],Produkte!A:H,8)</f>
        <v>0.17</v>
      </c>
    </row>
    <row r="932" spans="1:12" x14ac:dyDescent="0.2">
      <c r="A932" s="75" t="s">
        <v>38</v>
      </c>
      <c r="B932" s="79">
        <v>46073</v>
      </c>
      <c r="C932" s="89">
        <v>46.2</v>
      </c>
      <c r="D932" s="75"/>
      <c r="E932" s="75"/>
      <c r="F932" s="75">
        <v>10539</v>
      </c>
      <c r="G932" s="76" t="str">
        <f>VLOOKUP(Tabelle2[[#This Row],[Kunden Nr.]],KUNDEN!A:B,2,0)</f>
        <v>BEKA</v>
      </c>
      <c r="H932" s="75">
        <v>35111</v>
      </c>
      <c r="I932" s="76" t="str">
        <f>VLOOKUP(Tabelle2[[#This Row],[Artikel]],Produkte!A:B,2,0)</f>
        <v>M-ONE Sanitar Silikon</v>
      </c>
      <c r="J932" s="75">
        <v>12</v>
      </c>
      <c r="K932" s="76" t="str">
        <f>VLOOKUP(Tabelle2[[#This Row],[Kunden Nr.]],KUNDEN!A:G,7)</f>
        <v>Qerimi</v>
      </c>
      <c r="L932" s="76">
        <f>VLOOKUP(Tabelle2[[#This Row],[Artikel]],Produkte!A:H,8)</f>
        <v>0.17</v>
      </c>
    </row>
    <row r="933" spans="1:12" x14ac:dyDescent="0.2">
      <c r="A933" s="75" t="s">
        <v>487</v>
      </c>
      <c r="B933" s="79">
        <v>46073</v>
      </c>
      <c r="C933" s="89">
        <v>113.4</v>
      </c>
      <c r="D933" s="75"/>
      <c r="E933" s="75"/>
      <c r="F933" s="75">
        <v>10507</v>
      </c>
      <c r="G933" s="76" t="str">
        <f>VLOOKUP(Tabelle2[[#This Row],[Kunden Nr.]],KUNDEN!A:B,2,0)</f>
        <v>REAL COLOR 2</v>
      </c>
      <c r="H933" s="75">
        <v>44001</v>
      </c>
      <c r="I933" s="76" t="str">
        <f>VLOOKUP(Tabelle2[[#This Row],[Artikel]],Produkte!A:B,2,0)</f>
        <v>Fettspray</v>
      </c>
      <c r="J933" s="75">
        <v>6</v>
      </c>
      <c r="K933" s="76" t="str">
        <f>VLOOKUP(Tabelle2[[#This Row],[Kunden Nr.]],KUNDEN!A:G,7)</f>
        <v>Qerimi</v>
      </c>
      <c r="L933" s="76">
        <f>VLOOKUP(Tabelle2[[#This Row],[Artikel]],Produkte!A:H,8)</f>
        <v>0.2</v>
      </c>
    </row>
    <row r="934" spans="1:12" x14ac:dyDescent="0.2">
      <c r="A934" s="75" t="s">
        <v>487</v>
      </c>
      <c r="B934" s="79">
        <v>46073</v>
      </c>
      <c r="C934" s="75"/>
      <c r="D934" s="75"/>
      <c r="E934" s="75"/>
      <c r="F934" s="75">
        <v>10507</v>
      </c>
      <c r="G934" s="76" t="str">
        <f>VLOOKUP(Tabelle2[[#This Row],[Kunden Nr.]],KUNDEN!A:B,2,0)</f>
        <v>REAL COLOR 2</v>
      </c>
      <c r="H934" s="75">
        <v>35115</v>
      </c>
      <c r="I934" s="76" t="str">
        <f>VLOOKUP(Tabelle2[[#This Row],[Artikel]],Produkte!A:B,2,0)</f>
        <v>M-ONE Sanitar Silikon</v>
      </c>
      <c r="J934" s="75">
        <v>12</v>
      </c>
      <c r="K934" s="76" t="str">
        <f>VLOOKUP(Tabelle2[[#This Row],[Kunden Nr.]],KUNDEN!A:G,7)</f>
        <v>Qerimi</v>
      </c>
      <c r="L934" s="76">
        <f>VLOOKUP(Tabelle2[[#This Row],[Artikel]],Produkte!A:H,8)</f>
        <v>0.17</v>
      </c>
    </row>
    <row r="935" spans="1:12" x14ac:dyDescent="0.2">
      <c r="A935" s="75" t="s">
        <v>487</v>
      </c>
      <c r="B935" s="79">
        <v>46073</v>
      </c>
      <c r="C935" s="75"/>
      <c r="D935" s="75"/>
      <c r="E935" s="75"/>
      <c r="F935" s="75">
        <v>10507</v>
      </c>
      <c r="G935" s="76" t="str">
        <f>VLOOKUP(Tabelle2[[#This Row],[Kunden Nr.]],KUNDEN!A:B,2,0)</f>
        <v>REAL COLOR 2</v>
      </c>
      <c r="H935" s="75">
        <v>35125</v>
      </c>
      <c r="I935" s="76" t="str">
        <f>VLOOKUP(Tabelle2[[#This Row],[Artikel]],Produkte!A:B,2,0)</f>
        <v>M-ONE Sanitar Silikon</v>
      </c>
      <c r="J935" s="75">
        <v>12</v>
      </c>
      <c r="K935" s="76" t="str">
        <f>VLOOKUP(Tabelle2[[#This Row],[Kunden Nr.]],KUNDEN!A:G,7)</f>
        <v>Qerimi</v>
      </c>
      <c r="L935" s="76">
        <f>VLOOKUP(Tabelle2[[#This Row],[Artikel]],Produkte!A:H,8)</f>
        <v>0.17</v>
      </c>
    </row>
    <row r="936" spans="1:12" x14ac:dyDescent="0.2">
      <c r="A936" s="75" t="s">
        <v>1235</v>
      </c>
      <c r="B936" s="79">
        <v>46073</v>
      </c>
      <c r="C936" s="89">
        <v>46.2</v>
      </c>
      <c r="D936" s="75"/>
      <c r="E936" s="75"/>
      <c r="F936" s="75">
        <v>10547</v>
      </c>
      <c r="G936" s="76" t="e">
        <f>VLOOKUP(Tabelle2[[#This Row],[Kunden Nr.]],KUNDEN!A:B,2,0)</f>
        <v>#N/A</v>
      </c>
      <c r="H936" s="75">
        <v>35128</v>
      </c>
      <c r="I936" s="76" t="str">
        <f>VLOOKUP(Tabelle2[[#This Row],[Artikel]],Produkte!A:B,2,0)</f>
        <v>M-ONE Sanitar Silikon</v>
      </c>
      <c r="J936" s="75">
        <v>12</v>
      </c>
      <c r="K936" s="76" t="str">
        <f>VLOOKUP(Tabelle2[[#This Row],[Kunden Nr.]],KUNDEN!A:G,7)</f>
        <v>Qerimi</v>
      </c>
      <c r="L936" s="76">
        <f>VLOOKUP(Tabelle2[[#This Row],[Artikel]],Produkte!A:H,8)</f>
        <v>0.17</v>
      </c>
    </row>
    <row r="937" spans="1:12" x14ac:dyDescent="0.2">
      <c r="A937" s="75" t="s">
        <v>484</v>
      </c>
      <c r="B937" s="79">
        <v>46073</v>
      </c>
      <c r="C937" s="89">
        <v>138.6</v>
      </c>
      <c r="D937" s="75"/>
      <c r="E937" s="75"/>
      <c r="F937" s="75">
        <v>10504</v>
      </c>
      <c r="G937" s="76" t="str">
        <f>VLOOKUP(Tabelle2[[#This Row],[Kunden Nr.]],KUNDEN!A:B,2,0)</f>
        <v>CARRALEVA 1</v>
      </c>
      <c r="H937" s="75">
        <v>35109</v>
      </c>
      <c r="I937" s="76" t="str">
        <f>VLOOKUP(Tabelle2[[#This Row],[Artikel]],Produkte!A:B,2,0)</f>
        <v>M-ONE Sanitar Silikon</v>
      </c>
      <c r="J937" s="75">
        <v>12</v>
      </c>
      <c r="K937" s="76" t="str">
        <f>VLOOKUP(Tabelle2[[#This Row],[Kunden Nr.]],KUNDEN!A:G,7)</f>
        <v>Qerimi</v>
      </c>
      <c r="L937" s="76">
        <f>VLOOKUP(Tabelle2[[#This Row],[Artikel]],Produkte!A:H,8)</f>
        <v>0.17</v>
      </c>
    </row>
    <row r="938" spans="1:12" x14ac:dyDescent="0.2">
      <c r="A938" s="75" t="s">
        <v>484</v>
      </c>
      <c r="B938" s="79">
        <v>46073</v>
      </c>
      <c r="C938" s="75"/>
      <c r="D938" s="75"/>
      <c r="E938" s="75"/>
      <c r="F938" s="75">
        <v>10504</v>
      </c>
      <c r="G938" s="76" t="str">
        <f>VLOOKUP(Tabelle2[[#This Row],[Kunden Nr.]],KUNDEN!A:B,2,0)</f>
        <v>CARRALEVA 1</v>
      </c>
      <c r="H938" s="75">
        <v>35110</v>
      </c>
      <c r="I938" s="76" t="str">
        <f>VLOOKUP(Tabelle2[[#This Row],[Artikel]],Produkte!A:B,2,0)</f>
        <v>M-ONE Sanitar Silikon</v>
      </c>
      <c r="J938" s="75">
        <v>12</v>
      </c>
      <c r="K938" s="76" t="str">
        <f>VLOOKUP(Tabelle2[[#This Row],[Kunden Nr.]],KUNDEN!A:G,7)</f>
        <v>Qerimi</v>
      </c>
      <c r="L938" s="76">
        <f>VLOOKUP(Tabelle2[[#This Row],[Artikel]],Produkte!A:H,8)</f>
        <v>0.17</v>
      </c>
    </row>
    <row r="939" spans="1:12" x14ac:dyDescent="0.2">
      <c r="A939" s="75" t="s">
        <v>484</v>
      </c>
      <c r="B939" s="79">
        <v>46073</v>
      </c>
      <c r="C939" s="75"/>
      <c r="D939" s="75"/>
      <c r="E939" s="75"/>
      <c r="F939" s="75">
        <v>10504</v>
      </c>
      <c r="G939" s="76" t="str">
        <f>VLOOKUP(Tabelle2[[#This Row],[Kunden Nr.]],KUNDEN!A:B,2,0)</f>
        <v>CARRALEVA 1</v>
      </c>
      <c r="H939" s="75">
        <v>35113</v>
      </c>
      <c r="I939" s="76" t="str">
        <f>VLOOKUP(Tabelle2[[#This Row],[Artikel]],Produkte!A:B,2,0)</f>
        <v>M-ONE Sanitar Silikon</v>
      </c>
      <c r="J939" s="75">
        <v>12</v>
      </c>
      <c r="K939" s="76" t="str">
        <f>VLOOKUP(Tabelle2[[#This Row],[Kunden Nr.]],KUNDEN!A:G,7)</f>
        <v>Qerimi</v>
      </c>
      <c r="L939" s="76">
        <f>VLOOKUP(Tabelle2[[#This Row],[Artikel]],Produkte!A:H,8)</f>
        <v>0.17</v>
      </c>
    </row>
    <row r="940" spans="1:12" x14ac:dyDescent="0.2">
      <c r="A940" s="75" t="s">
        <v>487</v>
      </c>
      <c r="B940" s="79">
        <v>46073</v>
      </c>
      <c r="C940" s="89">
        <v>46.2</v>
      </c>
      <c r="D940" s="75"/>
      <c r="E940" s="75"/>
      <c r="F940" s="75">
        <v>10507</v>
      </c>
      <c r="G940" s="76" t="str">
        <f>VLOOKUP(Tabelle2[[#This Row],[Kunden Nr.]],KUNDEN!A:B,2,0)</f>
        <v>REAL COLOR 2</v>
      </c>
      <c r="H940" s="75">
        <v>35110</v>
      </c>
      <c r="I940" s="76" t="str">
        <f>VLOOKUP(Tabelle2[[#This Row],[Artikel]],Produkte!A:B,2,0)</f>
        <v>M-ONE Sanitar Silikon</v>
      </c>
      <c r="J940" s="75">
        <v>12</v>
      </c>
      <c r="K940" s="76" t="str">
        <f>VLOOKUP(Tabelle2[[#This Row],[Kunden Nr.]],KUNDEN!A:G,7)</f>
        <v>Qerimi</v>
      </c>
      <c r="L940" s="76">
        <f>VLOOKUP(Tabelle2[[#This Row],[Artikel]],Produkte!A:H,8)</f>
        <v>0.17</v>
      </c>
    </row>
    <row r="941" spans="1:12" x14ac:dyDescent="0.2">
      <c r="A941" s="75" t="s">
        <v>482</v>
      </c>
      <c r="B941" s="79">
        <v>46073</v>
      </c>
      <c r="C941" s="89">
        <v>92.4</v>
      </c>
      <c r="D941" s="75"/>
      <c r="E941" s="75"/>
      <c r="F941" s="75">
        <v>10502</v>
      </c>
      <c r="G941" s="76" t="str">
        <f>VLOOKUP(Tabelle2[[#This Row],[Kunden Nr.]],KUNDEN!A:B,2,0)</f>
        <v>PROCOM</v>
      </c>
      <c r="H941" s="75">
        <v>35121</v>
      </c>
      <c r="I941" s="76" t="str">
        <f>VLOOKUP(Tabelle2[[#This Row],[Artikel]],Produkte!A:B,2,0)</f>
        <v>M-ONE Sanitar Silikon</v>
      </c>
      <c r="J941" s="75">
        <v>12</v>
      </c>
      <c r="K941" s="76" t="str">
        <f>VLOOKUP(Tabelle2[[#This Row],[Kunden Nr.]],KUNDEN!A:G,7)</f>
        <v>Qerimi</v>
      </c>
      <c r="L941" s="76">
        <f>VLOOKUP(Tabelle2[[#This Row],[Artikel]],Produkte!A:H,8)</f>
        <v>0.17</v>
      </c>
    </row>
    <row r="942" spans="1:12" x14ac:dyDescent="0.2">
      <c r="A942" s="75" t="s">
        <v>482</v>
      </c>
      <c r="B942" s="79">
        <v>46073</v>
      </c>
      <c r="C942" s="75"/>
      <c r="D942" s="75"/>
      <c r="E942" s="75"/>
      <c r="F942" s="75">
        <v>10502</v>
      </c>
      <c r="G942" s="76" t="str">
        <f>VLOOKUP(Tabelle2[[#This Row],[Kunden Nr.]],KUNDEN!A:B,2,0)</f>
        <v>PROCOM</v>
      </c>
      <c r="H942" s="75">
        <v>35113</v>
      </c>
      <c r="I942" s="76" t="str">
        <f>VLOOKUP(Tabelle2[[#This Row],[Artikel]],Produkte!A:B,2,0)</f>
        <v>M-ONE Sanitar Silikon</v>
      </c>
      <c r="J942" s="75">
        <v>12</v>
      </c>
      <c r="K942" s="76" t="str">
        <f>VLOOKUP(Tabelle2[[#This Row],[Kunden Nr.]],KUNDEN!A:G,7)</f>
        <v>Qerimi</v>
      </c>
      <c r="L942" s="76">
        <f>VLOOKUP(Tabelle2[[#This Row],[Artikel]],Produkte!A:H,8)</f>
        <v>0.17</v>
      </c>
    </row>
    <row r="943" spans="1:12" x14ac:dyDescent="0.2">
      <c r="A943" s="75" t="s">
        <v>453</v>
      </c>
      <c r="B943" s="79">
        <v>46073</v>
      </c>
      <c r="C943" s="89">
        <v>138.6</v>
      </c>
      <c r="D943" s="75"/>
      <c r="E943" s="75"/>
      <c r="F943" s="75">
        <v>20501</v>
      </c>
      <c r="G943" s="76" t="str">
        <f>VLOOKUP(Tabelle2[[#This Row],[Kunden Nr.]],KUNDEN!A:B,2,0)</f>
        <v>RACI</v>
      </c>
      <c r="H943" s="75">
        <v>35111</v>
      </c>
      <c r="I943" s="76" t="str">
        <f>VLOOKUP(Tabelle2[[#This Row],[Artikel]],Produkte!A:B,2,0)</f>
        <v>M-ONE Sanitar Silikon</v>
      </c>
      <c r="J943" s="75">
        <v>12</v>
      </c>
      <c r="K943" s="76" t="str">
        <f>VLOOKUP(Tabelle2[[#This Row],[Kunden Nr.]],KUNDEN!A:G,7)</f>
        <v>Mensuri</v>
      </c>
      <c r="L943" s="76">
        <f>VLOOKUP(Tabelle2[[#This Row],[Artikel]],Produkte!A:H,8)</f>
        <v>0.17</v>
      </c>
    </row>
    <row r="944" spans="1:12" x14ac:dyDescent="0.2">
      <c r="A944" s="75" t="s">
        <v>453</v>
      </c>
      <c r="B944" s="79">
        <v>46073</v>
      </c>
      <c r="C944" s="75"/>
      <c r="D944" s="75"/>
      <c r="E944" s="75"/>
      <c r="F944" s="75">
        <v>20501</v>
      </c>
      <c r="G944" s="76" t="str">
        <f>VLOOKUP(Tabelle2[[#This Row],[Kunden Nr.]],KUNDEN!A:B,2,0)</f>
        <v>RACI</v>
      </c>
      <c r="H944" s="75">
        <v>35121</v>
      </c>
      <c r="I944" s="76" t="str">
        <f>VLOOKUP(Tabelle2[[#This Row],[Artikel]],Produkte!A:B,2,0)</f>
        <v>M-ONE Sanitar Silikon</v>
      </c>
      <c r="J944" s="75">
        <v>12</v>
      </c>
      <c r="K944" s="76" t="str">
        <f>VLOOKUP(Tabelle2[[#This Row],[Kunden Nr.]],KUNDEN!A:G,7)</f>
        <v>Mensuri</v>
      </c>
      <c r="L944" s="76">
        <f>VLOOKUP(Tabelle2[[#This Row],[Artikel]],Produkte!A:H,8)</f>
        <v>0.17</v>
      </c>
    </row>
    <row r="945" spans="1:12" x14ac:dyDescent="0.2">
      <c r="A945" s="75" t="s">
        <v>453</v>
      </c>
      <c r="B945" s="79">
        <v>46073</v>
      </c>
      <c r="C945" s="75"/>
      <c r="D945" s="75"/>
      <c r="E945" s="75"/>
      <c r="F945" s="75">
        <v>20501</v>
      </c>
      <c r="G945" s="76" t="str">
        <f>VLOOKUP(Tabelle2[[#This Row],[Kunden Nr.]],KUNDEN!A:B,2,0)</f>
        <v>RACI</v>
      </c>
      <c r="H945" s="75">
        <v>35128</v>
      </c>
      <c r="I945" s="76" t="str">
        <f>VLOOKUP(Tabelle2[[#This Row],[Artikel]],Produkte!A:B,2,0)</f>
        <v>M-ONE Sanitar Silikon</v>
      </c>
      <c r="J945" s="75">
        <v>12</v>
      </c>
      <c r="K945" s="76" t="str">
        <f>VLOOKUP(Tabelle2[[#This Row],[Kunden Nr.]],KUNDEN!A:G,7)</f>
        <v>Mensuri</v>
      </c>
      <c r="L945" s="76">
        <f>VLOOKUP(Tabelle2[[#This Row],[Artikel]],Produkte!A:H,8)</f>
        <v>0.17</v>
      </c>
    </row>
    <row r="946" spans="1:12" x14ac:dyDescent="0.2">
      <c r="A946" s="75" t="s">
        <v>1258</v>
      </c>
      <c r="B946" s="79">
        <v>46073</v>
      </c>
      <c r="C946" s="89">
        <v>184.8</v>
      </c>
      <c r="D946" s="75"/>
      <c r="E946" s="75"/>
      <c r="F946" s="75">
        <v>20511</v>
      </c>
      <c r="G946" s="76" t="str">
        <f>VLOOKUP(Tabelle2[[#This Row],[Kunden Nr.]],KUNDEN!A:B,2,0)</f>
        <v>LIRIDONA KLINE</v>
      </c>
      <c r="H946" s="75">
        <v>35109</v>
      </c>
      <c r="I946" s="76" t="str">
        <f>VLOOKUP(Tabelle2[[#This Row],[Artikel]],Produkte!A:B,2,0)</f>
        <v>M-ONE Sanitar Silikon</v>
      </c>
      <c r="J946" s="75">
        <v>12</v>
      </c>
      <c r="K946" s="76" t="str">
        <f>VLOOKUP(Tabelle2[[#This Row],[Kunden Nr.]],KUNDEN!A:G,7)</f>
        <v>Mensuri</v>
      </c>
      <c r="L946" s="76">
        <f>VLOOKUP(Tabelle2[[#This Row],[Artikel]],Produkte!A:H,8)</f>
        <v>0.17</v>
      </c>
    </row>
    <row r="947" spans="1:12" x14ac:dyDescent="0.2">
      <c r="A947" s="75" t="s">
        <v>1258</v>
      </c>
      <c r="B947" s="79">
        <v>46073</v>
      </c>
      <c r="C947" s="75"/>
      <c r="D947" s="75"/>
      <c r="E947" s="75"/>
      <c r="F947" s="75">
        <v>20511</v>
      </c>
      <c r="G947" s="76" t="str">
        <f>VLOOKUP(Tabelle2[[#This Row],[Kunden Nr.]],KUNDEN!A:B,2,0)</f>
        <v>LIRIDONA KLINE</v>
      </c>
      <c r="H947" s="75">
        <v>35110</v>
      </c>
      <c r="I947" s="76" t="str">
        <f>VLOOKUP(Tabelle2[[#This Row],[Artikel]],Produkte!A:B,2,0)</f>
        <v>M-ONE Sanitar Silikon</v>
      </c>
      <c r="J947" s="75">
        <v>24</v>
      </c>
      <c r="K947" s="76" t="str">
        <f>VLOOKUP(Tabelle2[[#This Row],[Kunden Nr.]],KUNDEN!A:G,7)</f>
        <v>Mensuri</v>
      </c>
      <c r="L947" s="76">
        <f>VLOOKUP(Tabelle2[[#This Row],[Artikel]],Produkte!A:H,8)</f>
        <v>0.17</v>
      </c>
    </row>
    <row r="948" spans="1:12" x14ac:dyDescent="0.2">
      <c r="A948" s="75" t="s">
        <v>1258</v>
      </c>
      <c r="B948" s="79">
        <v>46073</v>
      </c>
      <c r="C948" s="75"/>
      <c r="D948" s="75"/>
      <c r="E948" s="75"/>
      <c r="F948" s="75">
        <v>20511</v>
      </c>
      <c r="G948" s="76" t="str">
        <f>VLOOKUP(Tabelle2[[#This Row],[Kunden Nr.]],KUNDEN!A:B,2,0)</f>
        <v>LIRIDONA KLINE</v>
      </c>
      <c r="H948" s="75">
        <v>35128</v>
      </c>
      <c r="I948" s="76" t="str">
        <f>VLOOKUP(Tabelle2[[#This Row],[Artikel]],Produkte!A:B,2,0)</f>
        <v>M-ONE Sanitar Silikon</v>
      </c>
      <c r="J948" s="75">
        <v>12</v>
      </c>
      <c r="K948" s="76" t="str">
        <f>VLOOKUP(Tabelle2[[#This Row],[Kunden Nr.]],KUNDEN!A:G,7)</f>
        <v>Mensuri</v>
      </c>
      <c r="L948" s="76">
        <f>VLOOKUP(Tabelle2[[#This Row],[Artikel]],Produkte!A:H,8)</f>
        <v>0.17</v>
      </c>
    </row>
    <row r="949" spans="1:12" x14ac:dyDescent="0.2">
      <c r="A949" s="75" t="s">
        <v>674</v>
      </c>
      <c r="B949" s="79">
        <v>46073</v>
      </c>
      <c r="C949" s="89">
        <v>92.4</v>
      </c>
      <c r="D949" s="75"/>
      <c r="E949" s="75"/>
      <c r="F949" s="75">
        <v>20508</v>
      </c>
      <c r="G949" s="76" t="str">
        <f>VLOOKUP(Tabelle2[[#This Row],[Kunden Nr.]],KUNDEN!A:B,2,0)</f>
        <v>LIRIDONA HOME</v>
      </c>
      <c r="H949" s="75">
        <v>35110</v>
      </c>
      <c r="I949" s="76" t="str">
        <f>VLOOKUP(Tabelle2[[#This Row],[Artikel]],Produkte!A:B,2,0)</f>
        <v>M-ONE Sanitar Silikon</v>
      </c>
      <c r="J949" s="75">
        <v>12</v>
      </c>
      <c r="K949" s="76" t="str">
        <f>VLOOKUP(Tabelle2[[#This Row],[Kunden Nr.]],KUNDEN!A:G,7)</f>
        <v>Mensuri</v>
      </c>
      <c r="L949" s="76">
        <f>VLOOKUP(Tabelle2[[#This Row],[Artikel]],Produkte!A:H,8)</f>
        <v>0.17</v>
      </c>
    </row>
    <row r="950" spans="1:12" x14ac:dyDescent="0.2">
      <c r="A950" s="75" t="s">
        <v>674</v>
      </c>
      <c r="B950" s="79">
        <v>46073</v>
      </c>
      <c r="C950" s="75"/>
      <c r="D950" s="75"/>
      <c r="E950" s="75"/>
      <c r="F950" s="75">
        <v>20508</v>
      </c>
      <c r="G950" s="76" t="str">
        <f>VLOOKUP(Tabelle2[[#This Row],[Kunden Nr.]],KUNDEN!A:B,2,0)</f>
        <v>LIRIDONA HOME</v>
      </c>
      <c r="H950" s="75">
        <v>35113</v>
      </c>
      <c r="I950" s="76" t="str">
        <f>VLOOKUP(Tabelle2[[#This Row],[Artikel]],Produkte!A:B,2,0)</f>
        <v>M-ONE Sanitar Silikon</v>
      </c>
      <c r="J950" s="75">
        <v>12</v>
      </c>
      <c r="K950" s="76" t="str">
        <f>VLOOKUP(Tabelle2[[#This Row],[Kunden Nr.]],KUNDEN!A:G,7)</f>
        <v>Mensuri</v>
      </c>
      <c r="L950" s="76">
        <f>VLOOKUP(Tabelle2[[#This Row],[Artikel]],Produkte!A:H,8)</f>
        <v>0.17</v>
      </c>
    </row>
    <row r="951" spans="1:12" x14ac:dyDescent="0.2">
      <c r="A951" s="75" t="s">
        <v>461</v>
      </c>
      <c r="B951" s="79">
        <v>46073</v>
      </c>
      <c r="C951" s="89">
        <v>40</v>
      </c>
      <c r="D951" s="75"/>
      <c r="E951" s="75"/>
      <c r="F951" s="75">
        <v>20513</v>
      </c>
      <c r="G951" s="76" t="str">
        <f>VLOOKUP(Tabelle2[[#This Row],[Kunden Nr.]],KUNDEN!A:B,2,0)</f>
        <v>BERATI A.P. (1)</v>
      </c>
      <c r="H951" s="75">
        <v>50912</v>
      </c>
      <c r="I951" s="76" t="str">
        <f>VLOOKUP(Tabelle2[[#This Row],[Artikel]],Produkte!A:B,2,0)</f>
        <v>DICHTUNG</v>
      </c>
      <c r="J951" s="75">
        <v>5</v>
      </c>
      <c r="K951" s="76" t="str">
        <f>VLOOKUP(Tabelle2[[#This Row],[Kunden Nr.]],KUNDEN!A:G,7)</f>
        <v>Mensuri</v>
      </c>
      <c r="L951" s="76">
        <f>VLOOKUP(Tabelle2[[#This Row],[Artikel]],Produkte!A:H,8)</f>
        <v>0.2</v>
      </c>
    </row>
    <row r="952" spans="1:12" x14ac:dyDescent="0.2">
      <c r="A952" s="75" t="s">
        <v>675</v>
      </c>
      <c r="B952" s="79">
        <v>46073</v>
      </c>
      <c r="C952" s="89">
        <v>129.6</v>
      </c>
      <c r="D952" s="75"/>
      <c r="E952" s="75"/>
      <c r="F952" s="75">
        <v>20510</v>
      </c>
      <c r="G952" s="76" t="str">
        <f>VLOOKUP(Tabelle2[[#This Row],[Kunden Nr.]],KUNDEN!A:B,2,0)</f>
        <v>BYTYQI-V</v>
      </c>
      <c r="H952" s="75">
        <v>66701</v>
      </c>
      <c r="I952" s="76" t="str">
        <f>VLOOKUP(Tabelle2[[#This Row],[Artikel]],Produkte!A:B,2,0)</f>
        <v>PROFIMONT EXTREME</v>
      </c>
      <c r="J952" s="75">
        <v>12</v>
      </c>
      <c r="K952" s="76" t="str">
        <f>VLOOKUP(Tabelle2[[#This Row],[Kunden Nr.]],KUNDEN!A:G,7)</f>
        <v>Mensuri</v>
      </c>
      <c r="L952" s="76">
        <f>VLOOKUP(Tabelle2[[#This Row],[Artikel]],Produkte!A:H,8)</f>
        <v>0.2</v>
      </c>
    </row>
    <row r="953" spans="1:12" x14ac:dyDescent="0.2">
      <c r="A953" s="75" t="s">
        <v>675</v>
      </c>
      <c r="B953" s="79">
        <v>46073</v>
      </c>
      <c r="C953" s="75"/>
      <c r="D953" s="75"/>
      <c r="E953" s="75"/>
      <c r="F953" s="75">
        <v>20510</v>
      </c>
      <c r="G953" s="76" t="str">
        <f>VLOOKUP(Tabelle2[[#This Row],[Kunden Nr.]],KUNDEN!A:B,2,0)</f>
        <v>BYTYQI-V</v>
      </c>
      <c r="H953" s="75">
        <v>51611</v>
      </c>
      <c r="I953" s="76" t="str">
        <f>VLOOKUP(Tabelle2[[#This Row],[Artikel]],Produkte!A:B,2,0)</f>
        <v>universal akryl</v>
      </c>
      <c r="J953" s="75">
        <v>48</v>
      </c>
      <c r="K953" s="76" t="str">
        <f>VLOOKUP(Tabelle2[[#This Row],[Kunden Nr.]],KUNDEN!A:G,7)</f>
        <v>Mensuri</v>
      </c>
      <c r="L953" s="76">
        <f>VLOOKUP(Tabelle2[[#This Row],[Artikel]],Produkte!A:H,8)</f>
        <v>0.06</v>
      </c>
    </row>
    <row r="954" spans="1:12" x14ac:dyDescent="0.2">
      <c r="A954" s="75" t="s">
        <v>53</v>
      </c>
      <c r="B954" s="79">
        <v>46073</v>
      </c>
      <c r="C954" s="89">
        <v>231</v>
      </c>
      <c r="D954" s="75"/>
      <c r="E954" s="75"/>
      <c r="F954" s="75">
        <v>20407</v>
      </c>
      <c r="G954" s="76" t="str">
        <f>VLOOKUP(Tabelle2[[#This Row],[Kunden Nr.]],KUNDEN!A:B,2,0)</f>
        <v>TE BENI</v>
      </c>
      <c r="H954" s="75">
        <v>35110</v>
      </c>
      <c r="I954" s="76" t="str">
        <f>VLOOKUP(Tabelle2[[#This Row],[Artikel]],Produkte!A:B,2,0)</f>
        <v>M-ONE Sanitar Silikon</v>
      </c>
      <c r="J954" s="75">
        <v>12</v>
      </c>
      <c r="K954" s="76" t="str">
        <f>VLOOKUP(Tabelle2[[#This Row],[Kunden Nr.]],KUNDEN!A:G,7)</f>
        <v>Mensuri</v>
      </c>
      <c r="L954" s="76">
        <f>VLOOKUP(Tabelle2[[#This Row],[Artikel]],Produkte!A:H,8)</f>
        <v>0.17</v>
      </c>
    </row>
    <row r="955" spans="1:12" x14ac:dyDescent="0.2">
      <c r="A955" s="75" t="s">
        <v>53</v>
      </c>
      <c r="B955" s="79">
        <v>46073</v>
      </c>
      <c r="C955" s="75"/>
      <c r="D955" s="75"/>
      <c r="E955" s="75"/>
      <c r="F955" s="75">
        <v>20407</v>
      </c>
      <c r="G955" s="76" t="str">
        <f>VLOOKUP(Tabelle2[[#This Row],[Kunden Nr.]],KUNDEN!A:B,2,0)</f>
        <v>TE BENI</v>
      </c>
      <c r="H955" s="75">
        <v>35111</v>
      </c>
      <c r="I955" s="76" t="str">
        <f>VLOOKUP(Tabelle2[[#This Row],[Artikel]],Produkte!A:B,2,0)</f>
        <v>M-ONE Sanitar Silikon</v>
      </c>
      <c r="J955" s="75">
        <v>12</v>
      </c>
      <c r="K955" s="76" t="str">
        <f>VLOOKUP(Tabelle2[[#This Row],[Kunden Nr.]],KUNDEN!A:G,7)</f>
        <v>Mensuri</v>
      </c>
      <c r="L955" s="76">
        <f>VLOOKUP(Tabelle2[[#This Row],[Artikel]],Produkte!A:H,8)</f>
        <v>0.17</v>
      </c>
    </row>
    <row r="956" spans="1:12" x14ac:dyDescent="0.2">
      <c r="A956" s="75" t="s">
        <v>53</v>
      </c>
      <c r="B956" s="79">
        <v>46073</v>
      </c>
      <c r="C956" s="75"/>
      <c r="D956" s="75"/>
      <c r="E956" s="75"/>
      <c r="F956" s="75">
        <v>20407</v>
      </c>
      <c r="G956" s="76" t="str">
        <f>VLOOKUP(Tabelle2[[#This Row],[Kunden Nr.]],KUNDEN!A:B,2,0)</f>
        <v>TE BENI</v>
      </c>
      <c r="H956" s="75">
        <v>35114</v>
      </c>
      <c r="I956" s="76" t="str">
        <f>VLOOKUP(Tabelle2[[#This Row],[Artikel]],Produkte!A:B,2,0)</f>
        <v>M-ONE Sanitar Silikon</v>
      </c>
      <c r="J956" s="75">
        <v>12</v>
      </c>
      <c r="K956" s="76" t="str">
        <f>VLOOKUP(Tabelle2[[#This Row],[Kunden Nr.]],KUNDEN!A:G,7)</f>
        <v>Mensuri</v>
      </c>
      <c r="L956" s="76">
        <f>VLOOKUP(Tabelle2[[#This Row],[Artikel]],Produkte!A:H,8)</f>
        <v>0.17</v>
      </c>
    </row>
    <row r="957" spans="1:12" x14ac:dyDescent="0.2">
      <c r="A957" s="75" t="s">
        <v>53</v>
      </c>
      <c r="B957" s="79">
        <v>46073</v>
      </c>
      <c r="C957" s="75"/>
      <c r="D957" s="75"/>
      <c r="E957" s="75"/>
      <c r="F957" s="75">
        <v>20407</v>
      </c>
      <c r="G957" s="76" t="str">
        <f>VLOOKUP(Tabelle2[[#This Row],[Kunden Nr.]],KUNDEN!A:B,2,0)</f>
        <v>TE BENI</v>
      </c>
      <c r="H957" s="75">
        <v>35121</v>
      </c>
      <c r="I957" s="76" t="str">
        <f>VLOOKUP(Tabelle2[[#This Row],[Artikel]],Produkte!A:B,2,0)</f>
        <v>M-ONE Sanitar Silikon</v>
      </c>
      <c r="J957" s="75">
        <v>12</v>
      </c>
      <c r="K957" s="76" t="str">
        <f>VLOOKUP(Tabelle2[[#This Row],[Kunden Nr.]],KUNDEN!A:G,7)</f>
        <v>Mensuri</v>
      </c>
      <c r="L957" s="76">
        <f>VLOOKUP(Tabelle2[[#This Row],[Artikel]],Produkte!A:H,8)</f>
        <v>0.17</v>
      </c>
    </row>
    <row r="958" spans="1:12" x14ac:dyDescent="0.2">
      <c r="A958" s="75" t="s">
        <v>53</v>
      </c>
      <c r="B958" s="79">
        <v>46073</v>
      </c>
      <c r="C958" s="75"/>
      <c r="D958" s="75"/>
      <c r="E958" s="75"/>
      <c r="F958" s="75">
        <v>20407</v>
      </c>
      <c r="G958" s="76" t="str">
        <f>VLOOKUP(Tabelle2[[#This Row],[Kunden Nr.]],KUNDEN!A:B,2,0)</f>
        <v>TE BENI</v>
      </c>
      <c r="H958" s="75">
        <v>35125</v>
      </c>
      <c r="I958" s="76" t="str">
        <f>VLOOKUP(Tabelle2[[#This Row],[Artikel]],Produkte!A:B,2,0)</f>
        <v>M-ONE Sanitar Silikon</v>
      </c>
      <c r="J958" s="75">
        <v>12</v>
      </c>
      <c r="K958" s="76" t="str">
        <f>VLOOKUP(Tabelle2[[#This Row],[Kunden Nr.]],KUNDEN!A:G,7)</f>
        <v>Mensuri</v>
      </c>
      <c r="L958" s="76">
        <f>VLOOKUP(Tabelle2[[#This Row],[Artikel]],Produkte!A:H,8)</f>
        <v>0.17</v>
      </c>
    </row>
    <row r="959" spans="1:12" x14ac:dyDescent="0.2">
      <c r="A959" s="75" t="s">
        <v>59</v>
      </c>
      <c r="B959" s="79">
        <v>46073</v>
      </c>
      <c r="C959" s="89">
        <v>28.8</v>
      </c>
      <c r="D959" s="75"/>
      <c r="E959" s="75"/>
      <c r="F959" s="75">
        <v>20406</v>
      </c>
      <c r="G959" s="76" t="str">
        <f>VLOOKUP(Tabelle2[[#This Row],[Kunden Nr.]],KUNDEN!A:B,2,0)</f>
        <v>MEGI</v>
      </c>
      <c r="H959" s="75">
        <v>29802</v>
      </c>
      <c r="I959" s="76" t="str">
        <f>VLOOKUP(Tabelle2[[#This Row],[Artikel]],Produkte!A:B,2,0)</f>
        <v>beMaker Handwaschpaste</v>
      </c>
      <c r="J959" s="75">
        <v>4</v>
      </c>
      <c r="K959" s="76" t="str">
        <f>VLOOKUP(Tabelle2[[#This Row],[Kunden Nr.]],KUNDEN!A:G,7)</f>
        <v>Mensuri</v>
      </c>
      <c r="L959" s="76">
        <f>VLOOKUP(Tabelle2[[#This Row],[Artikel]],Produkte!A:H,8)</f>
        <v>0.1</v>
      </c>
    </row>
    <row r="960" spans="1:12" x14ac:dyDescent="0.2">
      <c r="A960" s="75" t="s">
        <v>59</v>
      </c>
      <c r="B960" s="79">
        <v>46073</v>
      </c>
      <c r="C960" s="75"/>
      <c r="D960" s="75"/>
      <c r="E960" s="75"/>
      <c r="F960" s="75">
        <v>20406</v>
      </c>
      <c r="G960" s="76" t="str">
        <f>VLOOKUP(Tabelle2[[#This Row],[Kunden Nr.]],KUNDEN!A:B,2,0)</f>
        <v>MEGI</v>
      </c>
      <c r="H960" s="75">
        <v>49644</v>
      </c>
      <c r="I960" s="76" t="str">
        <f>VLOOKUP(Tabelle2[[#This Row],[Artikel]],Produkte!A:B,2,0)</f>
        <v>beMAKER Rostlöser</v>
      </c>
      <c r="J960" s="75">
        <v>11</v>
      </c>
      <c r="K960" s="76" t="str">
        <f>VLOOKUP(Tabelle2[[#This Row],[Kunden Nr.]],KUNDEN!A:G,7)</f>
        <v>Mensuri</v>
      </c>
      <c r="L960" s="76">
        <f>VLOOKUP(Tabelle2[[#This Row],[Artikel]],Produkte!A:H,8)</f>
        <v>0.2</v>
      </c>
    </row>
    <row r="961" spans="1:12" x14ac:dyDescent="0.2">
      <c r="A961" s="75" t="s">
        <v>430</v>
      </c>
      <c r="B961" s="79">
        <v>46074</v>
      </c>
      <c r="C961" s="89">
        <v>92.4</v>
      </c>
      <c r="D961" s="75"/>
      <c r="E961" s="75"/>
      <c r="F961" s="75">
        <v>20602</v>
      </c>
      <c r="G961" s="76" t="str">
        <f>VLOOKUP(Tabelle2[[#This Row],[Kunden Nr.]],KUNDEN!A:B,2,0)</f>
        <v>AGROLONDI</v>
      </c>
      <c r="H961" s="75">
        <v>35110</v>
      </c>
      <c r="I961" s="76" t="str">
        <f>VLOOKUP(Tabelle2[[#This Row],[Artikel]],Produkte!A:B,2,0)</f>
        <v>M-ONE Sanitar Silikon</v>
      </c>
      <c r="J961" s="75">
        <v>24</v>
      </c>
      <c r="K961" s="76" t="str">
        <f>VLOOKUP(Tabelle2[[#This Row],[Kunden Nr.]],KUNDEN!A:G,7)</f>
        <v>Mensuri</v>
      </c>
      <c r="L961" s="76">
        <f>VLOOKUP(Tabelle2[[#This Row],[Artikel]],Produkte!A:H,8)</f>
        <v>0.17</v>
      </c>
    </row>
    <row r="962" spans="1:12" x14ac:dyDescent="0.2">
      <c r="A962" s="75" t="s">
        <v>1232</v>
      </c>
      <c r="B962" s="79">
        <v>46074</v>
      </c>
      <c r="C962" s="89">
        <v>115</v>
      </c>
      <c r="D962" s="75"/>
      <c r="E962" s="75"/>
      <c r="F962" s="75">
        <v>20630</v>
      </c>
      <c r="G962" s="76" t="str">
        <f>VLOOKUP(Tabelle2[[#This Row],[Kunden Nr.]],KUNDEN!A:B,2,0)</f>
        <v>HIDRO DANI</v>
      </c>
      <c r="H962" s="75">
        <v>35110</v>
      </c>
      <c r="I962" s="76" t="str">
        <f>VLOOKUP(Tabelle2[[#This Row],[Artikel]],Produkte!A:B,2,0)</f>
        <v>M-ONE Sanitar Silikon</v>
      </c>
      <c r="J962" s="75">
        <v>12</v>
      </c>
      <c r="K962" s="76" t="str">
        <f>VLOOKUP(Tabelle2[[#This Row],[Kunden Nr.]],KUNDEN!A:G,7)</f>
        <v>Mensuri</v>
      </c>
      <c r="L962" s="76">
        <f>VLOOKUP(Tabelle2[[#This Row],[Artikel]],Produkte!A:H,8)</f>
        <v>0.17</v>
      </c>
    </row>
    <row r="963" spans="1:12" x14ac:dyDescent="0.2">
      <c r="A963" s="75" t="s">
        <v>1232</v>
      </c>
      <c r="B963" s="79">
        <v>46074</v>
      </c>
      <c r="C963" s="75"/>
      <c r="D963" s="75"/>
      <c r="E963" s="75"/>
      <c r="F963" s="75">
        <v>20630</v>
      </c>
      <c r="G963" s="76" t="str">
        <f>VLOOKUP(Tabelle2[[#This Row],[Kunden Nr.]],KUNDEN!A:B,2,0)</f>
        <v>HIDRO DANI</v>
      </c>
      <c r="H963" s="75">
        <v>66701</v>
      </c>
      <c r="I963" s="76" t="str">
        <f>VLOOKUP(Tabelle2[[#This Row],[Artikel]],Produkte!A:B,2,0)</f>
        <v>PROFIMONT EXTREME</v>
      </c>
      <c r="J963" s="75">
        <v>12</v>
      </c>
      <c r="K963" s="76" t="str">
        <f>VLOOKUP(Tabelle2[[#This Row],[Kunden Nr.]],KUNDEN!A:G,7)</f>
        <v>Mensuri</v>
      </c>
      <c r="L963" s="76">
        <f>VLOOKUP(Tabelle2[[#This Row],[Artikel]],Produkte!A:H,8)</f>
        <v>0.2</v>
      </c>
    </row>
    <row r="964" spans="1:12" x14ac:dyDescent="0.2">
      <c r="A964" s="75" t="s">
        <v>432</v>
      </c>
      <c r="B964" s="79">
        <v>46074</v>
      </c>
      <c r="C964" s="89">
        <v>92.4</v>
      </c>
      <c r="D964" s="75"/>
      <c r="E964" s="75"/>
      <c r="F964" s="75">
        <v>20604</v>
      </c>
      <c r="G964" s="76" t="str">
        <f>VLOOKUP(Tabelle2[[#This Row],[Kunden Nr.]],KUNDEN!A:B,2,0)</f>
        <v>ALFA-QERAMIKA</v>
      </c>
      <c r="H964" s="75">
        <v>35113</v>
      </c>
      <c r="I964" s="76" t="str">
        <f>VLOOKUP(Tabelle2[[#This Row],[Artikel]],Produkte!A:B,2,0)</f>
        <v>M-ONE Sanitar Silikon</v>
      </c>
      <c r="J964" s="75">
        <v>12</v>
      </c>
      <c r="K964" s="76" t="str">
        <f>VLOOKUP(Tabelle2[[#This Row],[Kunden Nr.]],KUNDEN!A:G,7)</f>
        <v>Mensuri</v>
      </c>
      <c r="L964" s="76">
        <f>VLOOKUP(Tabelle2[[#This Row],[Artikel]],Produkte!A:H,8)</f>
        <v>0.17</v>
      </c>
    </row>
    <row r="965" spans="1:12" x14ac:dyDescent="0.2">
      <c r="A965" s="75" t="s">
        <v>432</v>
      </c>
      <c r="B965" s="79">
        <v>46074</v>
      </c>
      <c r="C965" s="75"/>
      <c r="D965" s="75"/>
      <c r="E965" s="75"/>
      <c r="F965" s="75">
        <v>20604</v>
      </c>
      <c r="G965" s="76" t="str">
        <f>VLOOKUP(Tabelle2[[#This Row],[Kunden Nr.]],KUNDEN!A:B,2,0)</f>
        <v>ALFA-QERAMIKA</v>
      </c>
      <c r="H965" s="75">
        <v>35121</v>
      </c>
      <c r="I965" s="76" t="str">
        <f>VLOOKUP(Tabelle2[[#This Row],[Artikel]],Produkte!A:B,2,0)</f>
        <v>M-ONE Sanitar Silikon</v>
      </c>
      <c r="J965" s="75">
        <v>12</v>
      </c>
      <c r="K965" s="76" t="str">
        <f>VLOOKUP(Tabelle2[[#This Row],[Kunden Nr.]],KUNDEN!A:G,7)</f>
        <v>Mensuri</v>
      </c>
      <c r="L965" s="76">
        <f>VLOOKUP(Tabelle2[[#This Row],[Artikel]],Produkte!A:H,8)</f>
        <v>0.17</v>
      </c>
    </row>
    <row r="966" spans="1:12" x14ac:dyDescent="0.2">
      <c r="A966" s="75" t="s">
        <v>435</v>
      </c>
      <c r="B966" s="79">
        <v>46074</v>
      </c>
      <c r="C966" s="89">
        <v>138.6</v>
      </c>
      <c r="D966" s="75"/>
      <c r="E966" s="75"/>
      <c r="F966" s="75">
        <v>20608</v>
      </c>
      <c r="G966" s="76" t="str">
        <f>VLOOKUP(Tabelle2[[#This Row],[Kunden Nr.]],KUNDEN!A:B,2,0)</f>
        <v>LONI</v>
      </c>
      <c r="H966" s="75">
        <v>35111</v>
      </c>
      <c r="I966" s="76" t="str">
        <f>VLOOKUP(Tabelle2[[#This Row],[Artikel]],Produkte!A:B,2,0)</f>
        <v>M-ONE Sanitar Silikon</v>
      </c>
      <c r="J966" s="75">
        <v>12</v>
      </c>
      <c r="K966" s="76" t="str">
        <f>VLOOKUP(Tabelle2[[#This Row],[Kunden Nr.]],KUNDEN!A:G,7)</f>
        <v>Mensuri</v>
      </c>
      <c r="L966" s="76">
        <f>VLOOKUP(Tabelle2[[#This Row],[Artikel]],Produkte!A:H,8)</f>
        <v>0.17</v>
      </c>
    </row>
    <row r="967" spans="1:12" x14ac:dyDescent="0.2">
      <c r="A967" s="75" t="s">
        <v>435</v>
      </c>
      <c r="B967" s="79">
        <v>46074</v>
      </c>
      <c r="C967" s="75"/>
      <c r="D967" s="75"/>
      <c r="E967" s="75"/>
      <c r="F967" s="75">
        <v>20608</v>
      </c>
      <c r="G967" s="76" t="str">
        <f>VLOOKUP(Tabelle2[[#This Row],[Kunden Nr.]],KUNDEN!A:B,2,0)</f>
        <v>LONI</v>
      </c>
      <c r="H967" s="75">
        <v>35115</v>
      </c>
      <c r="I967" s="76" t="str">
        <f>VLOOKUP(Tabelle2[[#This Row],[Artikel]],Produkte!A:B,2,0)</f>
        <v>M-ONE Sanitar Silikon</v>
      </c>
      <c r="J967" s="75">
        <v>12</v>
      </c>
      <c r="K967" s="76" t="str">
        <f>VLOOKUP(Tabelle2[[#This Row],[Kunden Nr.]],KUNDEN!A:G,7)</f>
        <v>Mensuri</v>
      </c>
      <c r="L967" s="76">
        <f>VLOOKUP(Tabelle2[[#This Row],[Artikel]],Produkte!A:H,8)</f>
        <v>0.17</v>
      </c>
    </row>
    <row r="968" spans="1:12" x14ac:dyDescent="0.2">
      <c r="A968" s="75" t="s">
        <v>435</v>
      </c>
      <c r="B968" s="79">
        <v>46074</v>
      </c>
      <c r="C968" s="75"/>
      <c r="D968" s="75"/>
      <c r="E968" s="75"/>
      <c r="F968" s="75">
        <v>20608</v>
      </c>
      <c r="G968" s="76" t="str">
        <f>VLOOKUP(Tabelle2[[#This Row],[Kunden Nr.]],KUNDEN!A:B,2,0)</f>
        <v>LONI</v>
      </c>
      <c r="H968" s="75">
        <v>35121</v>
      </c>
      <c r="I968" s="76" t="str">
        <f>VLOOKUP(Tabelle2[[#This Row],[Artikel]],Produkte!A:B,2,0)</f>
        <v>M-ONE Sanitar Silikon</v>
      </c>
      <c r="J968" s="75">
        <v>12</v>
      </c>
      <c r="K968" s="76" t="str">
        <f>VLOOKUP(Tabelle2[[#This Row],[Kunden Nr.]],KUNDEN!A:G,7)</f>
        <v>Mensuri</v>
      </c>
      <c r="L968" s="76">
        <f>VLOOKUP(Tabelle2[[#This Row],[Artikel]],Produkte!A:H,8)</f>
        <v>0.17</v>
      </c>
    </row>
    <row r="969" spans="1:12" x14ac:dyDescent="0.2">
      <c r="A969" s="75" t="s">
        <v>440</v>
      </c>
      <c r="B969" s="79">
        <v>46074</v>
      </c>
      <c r="C969" s="89">
        <v>92.4</v>
      </c>
      <c r="D969" s="75"/>
      <c r="E969" s="75"/>
      <c r="F969" s="75">
        <v>20611</v>
      </c>
      <c r="G969" s="76" t="str">
        <f>VLOOKUP(Tabelle2[[#This Row],[Kunden Nr.]],KUNDEN!A:B,2,0)</f>
        <v>TE-LUTA</v>
      </c>
      <c r="H969" s="75">
        <v>35109</v>
      </c>
      <c r="I969" s="76" t="str">
        <f>VLOOKUP(Tabelle2[[#This Row],[Artikel]],Produkte!A:B,2,0)</f>
        <v>M-ONE Sanitar Silikon</v>
      </c>
      <c r="J969" s="75">
        <v>12</v>
      </c>
      <c r="K969" s="76" t="str">
        <f>VLOOKUP(Tabelle2[[#This Row],[Kunden Nr.]],KUNDEN!A:G,7)</f>
        <v>Mensuri</v>
      </c>
      <c r="L969" s="76">
        <f>VLOOKUP(Tabelle2[[#This Row],[Artikel]],Produkte!A:H,8)</f>
        <v>0.17</v>
      </c>
    </row>
    <row r="970" spans="1:12" x14ac:dyDescent="0.2">
      <c r="A970" s="75" t="s">
        <v>440</v>
      </c>
      <c r="B970" s="79">
        <v>46074</v>
      </c>
      <c r="C970" s="75"/>
      <c r="D970" s="75"/>
      <c r="E970" s="75"/>
      <c r="F970" s="75">
        <v>20611</v>
      </c>
      <c r="G970" s="76" t="str">
        <f>VLOOKUP(Tabelle2[[#This Row],[Kunden Nr.]],KUNDEN!A:B,2,0)</f>
        <v>TE-LUTA</v>
      </c>
      <c r="H970" s="75">
        <v>35128</v>
      </c>
      <c r="I970" s="76" t="str">
        <f>VLOOKUP(Tabelle2[[#This Row],[Artikel]],Produkte!A:B,2,0)</f>
        <v>M-ONE Sanitar Silikon</v>
      </c>
      <c r="J970" s="75">
        <v>12</v>
      </c>
      <c r="K970" s="76" t="str">
        <f>VLOOKUP(Tabelle2[[#This Row],[Kunden Nr.]],KUNDEN!A:G,7)</f>
        <v>Mensuri</v>
      </c>
      <c r="L970" s="76">
        <f>VLOOKUP(Tabelle2[[#This Row],[Artikel]],Produkte!A:H,8)</f>
        <v>0.17</v>
      </c>
    </row>
    <row r="971" spans="1:12" x14ac:dyDescent="0.2">
      <c r="A971" s="75" t="s">
        <v>676</v>
      </c>
      <c r="B971" s="79">
        <v>46074</v>
      </c>
      <c r="C971" s="89">
        <v>162.30000000000001</v>
      </c>
      <c r="D971" s="75"/>
      <c r="E971" s="75"/>
      <c r="F971" s="75">
        <v>20607</v>
      </c>
      <c r="G971" s="76" t="str">
        <f>VLOOKUP(Tabelle2[[#This Row],[Kunden Nr.]],KUNDEN!A:B,2,0)</f>
        <v xml:space="preserve">F.V. SH.P.K. </v>
      </c>
      <c r="H971" s="75">
        <v>35109</v>
      </c>
      <c r="I971" s="76" t="str">
        <f>VLOOKUP(Tabelle2[[#This Row],[Artikel]],Produkte!A:B,2,0)</f>
        <v>M-ONE Sanitar Silikon</v>
      </c>
      <c r="J971" s="75">
        <v>12</v>
      </c>
      <c r="K971" s="76" t="str">
        <f>VLOOKUP(Tabelle2[[#This Row],[Kunden Nr.]],KUNDEN!A:G,7)</f>
        <v>Mensuri</v>
      </c>
      <c r="L971" s="76">
        <f>VLOOKUP(Tabelle2[[#This Row],[Artikel]],Produkte!A:H,8)</f>
        <v>0.17</v>
      </c>
    </row>
    <row r="972" spans="1:12" x14ac:dyDescent="0.2">
      <c r="A972" s="75" t="s">
        <v>676</v>
      </c>
      <c r="B972" s="79">
        <v>46074</v>
      </c>
      <c r="C972" s="75"/>
      <c r="D972" s="75"/>
      <c r="E972" s="75"/>
      <c r="F972" s="75">
        <v>20607</v>
      </c>
      <c r="G972" s="76" t="str">
        <f>VLOOKUP(Tabelle2[[#This Row],[Kunden Nr.]],KUNDEN!A:B,2,0)</f>
        <v xml:space="preserve">F.V. SH.P.K. </v>
      </c>
      <c r="H972" s="75">
        <v>35121</v>
      </c>
      <c r="I972" s="76" t="str">
        <f>VLOOKUP(Tabelle2[[#This Row],[Artikel]],Produkte!A:B,2,0)</f>
        <v>M-ONE Sanitar Silikon</v>
      </c>
      <c r="J972" s="75">
        <v>12</v>
      </c>
      <c r="K972" s="76" t="str">
        <f>VLOOKUP(Tabelle2[[#This Row],[Kunden Nr.]],KUNDEN!A:G,7)</f>
        <v>Mensuri</v>
      </c>
      <c r="L972" s="76">
        <f>VLOOKUP(Tabelle2[[#This Row],[Artikel]],Produkte!A:H,8)</f>
        <v>0.17</v>
      </c>
    </row>
    <row r="973" spans="1:12" x14ac:dyDescent="0.2">
      <c r="A973" s="75" t="s">
        <v>676</v>
      </c>
      <c r="B973" s="79">
        <v>46074</v>
      </c>
      <c r="C973" s="75"/>
      <c r="D973" s="75"/>
      <c r="E973" s="75"/>
      <c r="F973" s="75">
        <v>20607</v>
      </c>
      <c r="G973" s="76" t="str">
        <f>VLOOKUP(Tabelle2[[#This Row],[Kunden Nr.]],KUNDEN!A:B,2,0)</f>
        <v xml:space="preserve">F.V. SH.P.K. </v>
      </c>
      <c r="H973" s="75">
        <v>26736</v>
      </c>
      <c r="I973" s="76" t="str">
        <f>VLOOKUP(Tabelle2[[#This Row],[Artikel]],Produkte!A:B,2,0)</f>
        <v>M ONE HAFTGRUND</v>
      </c>
      <c r="J973" s="75">
        <v>6</v>
      </c>
      <c r="K973" s="76" t="str">
        <f>VLOOKUP(Tabelle2[[#This Row],[Kunden Nr.]],KUNDEN!A:G,7)</f>
        <v>Mensuri</v>
      </c>
      <c r="L973" s="76">
        <f>VLOOKUP(Tabelle2[[#This Row],[Artikel]],Produkte!A:H,8)</f>
        <v>0.15</v>
      </c>
    </row>
    <row r="974" spans="1:12" x14ac:dyDescent="0.2">
      <c r="A974" s="75" t="s">
        <v>676</v>
      </c>
      <c r="B974" s="79">
        <v>46074</v>
      </c>
      <c r="C974" s="75"/>
      <c r="D974" s="75"/>
      <c r="E974" s="75"/>
      <c r="F974" s="75">
        <v>20607</v>
      </c>
      <c r="G974" s="76" t="str">
        <f>VLOOKUP(Tabelle2[[#This Row],[Kunden Nr.]],KUNDEN!A:B,2,0)</f>
        <v xml:space="preserve">F.V. SH.P.K. </v>
      </c>
      <c r="H974" s="75">
        <v>50912</v>
      </c>
      <c r="I974" s="76" t="str">
        <f>VLOOKUP(Tabelle2[[#This Row],[Artikel]],Produkte!A:B,2,0)</f>
        <v>DICHTUNG</v>
      </c>
      <c r="J974" s="75">
        <v>7</v>
      </c>
      <c r="K974" s="76" t="str">
        <f>VLOOKUP(Tabelle2[[#This Row],[Kunden Nr.]],KUNDEN!A:G,7)</f>
        <v>Mensuri</v>
      </c>
      <c r="L974" s="76">
        <f>VLOOKUP(Tabelle2[[#This Row],[Artikel]],Produkte!A:H,8)</f>
        <v>0.2</v>
      </c>
    </row>
    <row r="975" spans="1:12" x14ac:dyDescent="0.2">
      <c r="A975" s="75" t="s">
        <v>676</v>
      </c>
      <c r="B975" s="79">
        <v>46074</v>
      </c>
      <c r="C975" s="75"/>
      <c r="D975" s="75"/>
      <c r="E975" s="75"/>
      <c r="F975" s="75">
        <v>20607</v>
      </c>
      <c r="G975" s="76" t="str">
        <f>VLOOKUP(Tabelle2[[#This Row],[Kunden Nr.]],KUNDEN!A:B,2,0)</f>
        <v xml:space="preserve">F.V. SH.P.K. </v>
      </c>
      <c r="H975" s="75">
        <v>55718</v>
      </c>
      <c r="I975" s="76" t="str">
        <f>VLOOKUP(Tabelle2[[#This Row],[Artikel]],Produkte!A:B,2,0)</f>
        <v>M ONE MOTORSTART</v>
      </c>
      <c r="J975" s="75">
        <v>3</v>
      </c>
      <c r="K975" s="76" t="str">
        <f>VLOOKUP(Tabelle2[[#This Row],[Kunden Nr.]],KUNDEN!A:G,7)</f>
        <v>Mensuri</v>
      </c>
      <c r="L975" s="76">
        <f>VLOOKUP(Tabelle2[[#This Row],[Artikel]],Produkte!A:H,8)</f>
        <v>0.2</v>
      </c>
    </row>
    <row r="976" spans="1:12" x14ac:dyDescent="0.2">
      <c r="A976" s="75" t="s">
        <v>974</v>
      </c>
      <c r="B976" s="79">
        <v>46074</v>
      </c>
      <c r="C976" s="89">
        <v>554.4</v>
      </c>
      <c r="D976" s="75"/>
      <c r="E976" s="75"/>
      <c r="F976" s="75">
        <v>20614</v>
      </c>
      <c r="G976" s="76" t="str">
        <f>VLOOKUP(Tabelle2[[#This Row],[Kunden Nr.]],KUNDEN!A:B,2,0)</f>
        <v>AS QERAMIKA</v>
      </c>
      <c r="H976" s="75">
        <v>35113</v>
      </c>
      <c r="I976" s="76" t="str">
        <f>VLOOKUP(Tabelle2[[#This Row],[Artikel]],Produkte!A:B,2,0)</f>
        <v>M-ONE Sanitar Silikon</v>
      </c>
      <c r="J976" s="75">
        <v>96</v>
      </c>
      <c r="K976" s="76" t="str">
        <f>VLOOKUP(Tabelle2[[#This Row],[Kunden Nr.]],KUNDEN!A:G,7)</f>
        <v>Mensuri</v>
      </c>
      <c r="L976" s="76">
        <f>VLOOKUP(Tabelle2[[#This Row],[Artikel]],Produkte!A:H,8)</f>
        <v>0.17</v>
      </c>
    </row>
    <row r="977" spans="1:12" x14ac:dyDescent="0.2">
      <c r="A977" s="75" t="s">
        <v>974</v>
      </c>
      <c r="B977" s="79">
        <v>46074</v>
      </c>
      <c r="C977" s="75"/>
      <c r="D977" s="75"/>
      <c r="E977" s="75"/>
      <c r="F977" s="75">
        <v>20614</v>
      </c>
      <c r="G977" s="76" t="str">
        <f>VLOOKUP(Tabelle2[[#This Row],[Kunden Nr.]],KUNDEN!A:B,2,0)</f>
        <v>AS QERAMIKA</v>
      </c>
      <c r="H977" s="75">
        <v>35128</v>
      </c>
      <c r="I977" s="76" t="str">
        <f>VLOOKUP(Tabelle2[[#This Row],[Artikel]],Produkte!A:B,2,0)</f>
        <v>M-ONE Sanitar Silikon</v>
      </c>
      <c r="J977" s="75">
        <v>48</v>
      </c>
      <c r="K977" s="76" t="str">
        <f>VLOOKUP(Tabelle2[[#This Row],[Kunden Nr.]],KUNDEN!A:G,7)</f>
        <v>Mensuri</v>
      </c>
      <c r="L977" s="76">
        <f>VLOOKUP(Tabelle2[[#This Row],[Artikel]],Produkte!A:H,8)</f>
        <v>0.17</v>
      </c>
    </row>
    <row r="978" spans="1:12" x14ac:dyDescent="0.2">
      <c r="A978" s="75" t="s">
        <v>968</v>
      </c>
      <c r="B978" s="79">
        <v>46074</v>
      </c>
      <c r="C978" s="89">
        <v>110.4</v>
      </c>
      <c r="D978" s="75"/>
      <c r="E978" s="75"/>
      <c r="F978" s="75">
        <v>20624</v>
      </c>
      <c r="G978" s="76" t="str">
        <f>VLOOKUP(Tabelle2[[#This Row],[Kunden Nr.]],KUNDEN!A:B,2,0)</f>
        <v>BULONI - SH</v>
      </c>
      <c r="H978" s="75">
        <v>35110</v>
      </c>
      <c r="I978" s="76" t="str">
        <f>VLOOKUP(Tabelle2[[#This Row],[Artikel]],Produkte!A:B,2,0)</f>
        <v>M-ONE Sanitar Silikon</v>
      </c>
      <c r="J978" s="75">
        <v>12</v>
      </c>
      <c r="K978" s="76" t="str">
        <f>VLOOKUP(Tabelle2[[#This Row],[Kunden Nr.]],KUNDEN!A:G,7)</f>
        <v>Mensuri</v>
      </c>
      <c r="L978" s="76">
        <f>VLOOKUP(Tabelle2[[#This Row],[Artikel]],Produkte!A:H,8)</f>
        <v>0.17</v>
      </c>
    </row>
    <row r="979" spans="1:12" x14ac:dyDescent="0.2">
      <c r="A979" s="75" t="s">
        <v>968</v>
      </c>
      <c r="B979" s="79">
        <v>46074</v>
      </c>
      <c r="C979" s="75"/>
      <c r="D979" s="75"/>
      <c r="E979" s="75"/>
      <c r="F979" s="75">
        <v>20624</v>
      </c>
      <c r="G979" s="76" t="str">
        <f>VLOOKUP(Tabelle2[[#This Row],[Kunden Nr.]],KUNDEN!A:B,2,0)</f>
        <v>BULONI - SH</v>
      </c>
      <c r="H979" s="75">
        <v>35128</v>
      </c>
      <c r="I979" s="76" t="str">
        <f>VLOOKUP(Tabelle2[[#This Row],[Artikel]],Produkte!A:B,2,0)</f>
        <v>M-ONE Sanitar Silikon</v>
      </c>
      <c r="J979" s="75">
        <v>12</v>
      </c>
      <c r="K979" s="76" t="str">
        <f>VLOOKUP(Tabelle2[[#This Row],[Kunden Nr.]],KUNDEN!A:G,7)</f>
        <v>Mensuri</v>
      </c>
      <c r="L979" s="76">
        <f>VLOOKUP(Tabelle2[[#This Row],[Artikel]],Produkte!A:H,8)</f>
        <v>0.17</v>
      </c>
    </row>
    <row r="980" spans="1:12" x14ac:dyDescent="0.2">
      <c r="A980" s="75" t="s">
        <v>968</v>
      </c>
      <c r="B980" s="79">
        <v>46074</v>
      </c>
      <c r="C980" s="75"/>
      <c r="D980" s="75"/>
      <c r="E980" s="75"/>
      <c r="F980" s="75">
        <v>20624</v>
      </c>
      <c r="G980" s="76" t="str">
        <f>VLOOKUP(Tabelle2[[#This Row],[Kunden Nr.]],KUNDEN!A:B,2,0)</f>
        <v>BULONI - SH</v>
      </c>
      <c r="H980" s="75">
        <v>31822</v>
      </c>
      <c r="I980" s="76" t="str">
        <f>VLOOKUP(Tabelle2[[#This Row],[Artikel]],Produkte!A:B,2,0)</f>
        <v>M ONE GOLD SPRAY</v>
      </c>
      <c r="J980" s="75">
        <v>12</v>
      </c>
      <c r="K980" s="76" t="str">
        <f>VLOOKUP(Tabelle2[[#This Row],[Kunden Nr.]],KUNDEN!A:G,7)</f>
        <v>Mensuri</v>
      </c>
      <c r="L980" s="76">
        <f>VLOOKUP(Tabelle2[[#This Row],[Artikel]],Produkte!A:H,8)</f>
        <v>0.15</v>
      </c>
    </row>
    <row r="981" spans="1:12" x14ac:dyDescent="0.2">
      <c r="A981" s="75" t="s">
        <v>608</v>
      </c>
      <c r="B981" s="79">
        <v>46074</v>
      </c>
      <c r="C981" s="89">
        <v>46.2</v>
      </c>
      <c r="D981" s="75"/>
      <c r="E981" s="75"/>
      <c r="F981" s="75">
        <v>10616</v>
      </c>
      <c r="G981" s="76" t="str">
        <f>VLOOKUP(Tabelle2[[#This Row],[Kunden Nr.]],KUNDEN!A:B,2,0)</f>
        <v>TE ZENA</v>
      </c>
      <c r="H981" s="75">
        <v>35121</v>
      </c>
      <c r="I981" s="76" t="str">
        <f>VLOOKUP(Tabelle2[[#This Row],[Artikel]],Produkte!A:B,2,0)</f>
        <v>M-ONE Sanitar Silikon</v>
      </c>
      <c r="J981" s="75">
        <v>12</v>
      </c>
      <c r="K981" s="76" t="str">
        <f>VLOOKUP(Tabelle2[[#This Row],[Kunden Nr.]],KUNDEN!A:G,7)</f>
        <v>Qerimi</v>
      </c>
      <c r="L981" s="76">
        <f>VLOOKUP(Tabelle2[[#This Row],[Artikel]],Produkte!A:H,8)</f>
        <v>0.17</v>
      </c>
    </row>
    <row r="982" spans="1:12" x14ac:dyDescent="0.2">
      <c r="A982" s="75" t="s">
        <v>1230</v>
      </c>
      <c r="B982" s="79">
        <v>46074</v>
      </c>
      <c r="C982" s="89">
        <v>21</v>
      </c>
      <c r="D982" s="75"/>
      <c r="E982" s="75"/>
      <c r="F982" s="75">
        <v>10637</v>
      </c>
      <c r="G982" s="76" t="e">
        <f>VLOOKUP(Tabelle2[[#This Row],[Kunden Nr.]],KUNDEN!A:B,2,0)</f>
        <v>#N/A</v>
      </c>
      <c r="H982" s="75">
        <v>44001</v>
      </c>
      <c r="I982" s="76" t="str">
        <f>VLOOKUP(Tabelle2[[#This Row],[Artikel]],Produkte!A:B,2,0)</f>
        <v>Fettspray</v>
      </c>
      <c r="J982" s="75">
        <v>6</v>
      </c>
      <c r="K982" s="76" t="str">
        <f>VLOOKUP(Tabelle2[[#This Row],[Kunden Nr.]],KUNDEN!A:G,7)</f>
        <v>Qerimi</v>
      </c>
      <c r="L982" s="76">
        <f>VLOOKUP(Tabelle2[[#This Row],[Artikel]],Produkte!A:H,8)</f>
        <v>0.2</v>
      </c>
    </row>
    <row r="983" spans="1:12" x14ac:dyDescent="0.2">
      <c r="A983" s="75" t="s">
        <v>1230</v>
      </c>
      <c r="B983" s="79">
        <v>46074</v>
      </c>
      <c r="C983" s="75"/>
      <c r="D983" s="75"/>
      <c r="E983" s="75"/>
      <c r="F983" s="75">
        <v>10635</v>
      </c>
      <c r="G983" s="76" t="e">
        <f>VLOOKUP(Tabelle2[[#This Row],[Kunden Nr.]],KUNDEN!A:B,2,0)</f>
        <v>#N/A</v>
      </c>
      <c r="H983" s="75">
        <v>35128</v>
      </c>
      <c r="I983" s="76" t="str">
        <f>VLOOKUP(Tabelle2[[#This Row],[Artikel]],Produkte!A:B,2,0)</f>
        <v>M-ONE Sanitar Silikon</v>
      </c>
      <c r="J983" s="75">
        <v>12</v>
      </c>
      <c r="K983" s="76" t="str">
        <f>VLOOKUP(Tabelle2[[#This Row],[Kunden Nr.]],KUNDEN!A:G,7)</f>
        <v>Qerimi</v>
      </c>
      <c r="L983" s="76">
        <f>VLOOKUP(Tabelle2[[#This Row],[Artikel]],Produkte!A:H,8)</f>
        <v>0.17</v>
      </c>
    </row>
    <row r="984" spans="1:12" x14ac:dyDescent="0.2">
      <c r="A984" s="75" t="s">
        <v>1230</v>
      </c>
      <c r="B984" s="79">
        <v>46074</v>
      </c>
      <c r="C984" s="75"/>
      <c r="D984" s="75"/>
      <c r="E984" s="75"/>
      <c r="F984" s="75">
        <v>10635</v>
      </c>
      <c r="G984" s="76" t="e">
        <f>VLOOKUP(Tabelle2[[#This Row],[Kunden Nr.]],KUNDEN!A:B,2,0)</f>
        <v>#N/A</v>
      </c>
      <c r="H984" s="75">
        <v>35109</v>
      </c>
      <c r="I984" s="76" t="str">
        <f>VLOOKUP(Tabelle2[[#This Row],[Artikel]],Produkte!A:B,2,0)</f>
        <v>M-ONE Sanitar Silikon</v>
      </c>
      <c r="J984" s="75">
        <v>12</v>
      </c>
      <c r="K984" s="76" t="str">
        <f>VLOOKUP(Tabelle2[[#This Row],[Kunden Nr.]],KUNDEN!A:G,7)</f>
        <v>Qerimi</v>
      </c>
      <c r="L984" s="76">
        <f>VLOOKUP(Tabelle2[[#This Row],[Artikel]],Produkte!A:H,8)</f>
        <v>0.17</v>
      </c>
    </row>
    <row r="985" spans="1:12" x14ac:dyDescent="0.2">
      <c r="A985" s="75" t="s">
        <v>605</v>
      </c>
      <c r="B985" s="79">
        <v>46074</v>
      </c>
      <c r="C985" s="89">
        <v>46</v>
      </c>
      <c r="D985" s="75"/>
      <c r="E985" s="75"/>
      <c r="F985" s="75">
        <v>10613</v>
      </c>
      <c r="G985" s="76" t="str">
        <f>VLOOKUP(Tabelle2[[#This Row],[Kunden Nr.]],KUNDEN!A:B,2,0)</f>
        <v>TE KELA</v>
      </c>
      <c r="H985" s="75">
        <v>50912</v>
      </c>
      <c r="I985" s="76" t="str">
        <f>VLOOKUP(Tabelle2[[#This Row],[Artikel]],Produkte!A:B,2,0)</f>
        <v>DICHTUNG</v>
      </c>
      <c r="J985" s="75">
        <v>5</v>
      </c>
      <c r="K985" s="76" t="str">
        <f>VLOOKUP(Tabelle2[[#This Row],[Kunden Nr.]],KUNDEN!A:G,7)</f>
        <v>Qerimi</v>
      </c>
      <c r="L985" s="76">
        <f>VLOOKUP(Tabelle2[[#This Row],[Artikel]],Produkte!A:H,8)</f>
        <v>0.2</v>
      </c>
    </row>
    <row r="986" spans="1:12" x14ac:dyDescent="0.2">
      <c r="A986" s="75" t="s">
        <v>605</v>
      </c>
      <c r="B986" s="79">
        <v>46074</v>
      </c>
      <c r="C986" s="75"/>
      <c r="D986" s="75"/>
      <c r="E986" s="75"/>
      <c r="F986" s="75">
        <v>10613</v>
      </c>
      <c r="G986" s="76" t="str">
        <f>VLOOKUP(Tabelle2[[#This Row],[Kunden Nr.]],KUNDEN!A:B,2,0)</f>
        <v>TE KELA</v>
      </c>
      <c r="H986" s="75">
        <v>49644</v>
      </c>
      <c r="I986" s="76" t="str">
        <f>VLOOKUP(Tabelle2[[#This Row],[Artikel]],Produkte!A:B,2,0)</f>
        <v>beMAKER Rostlöser</v>
      </c>
      <c r="J986" s="75">
        <v>5</v>
      </c>
      <c r="K986" s="76" t="str">
        <f>VLOOKUP(Tabelle2[[#This Row],[Kunden Nr.]],KUNDEN!A:G,7)</f>
        <v>Qerimi</v>
      </c>
      <c r="L986" s="76">
        <f>VLOOKUP(Tabelle2[[#This Row],[Artikel]],Produkte!A:H,8)</f>
        <v>0.2</v>
      </c>
    </row>
    <row r="987" spans="1:12" x14ac:dyDescent="0.2">
      <c r="A987" s="75" t="s">
        <v>1230</v>
      </c>
      <c r="B987" s="79">
        <v>46074</v>
      </c>
      <c r="C987" s="89">
        <v>92.4</v>
      </c>
      <c r="D987" s="75"/>
      <c r="E987" s="75"/>
      <c r="F987" s="75">
        <v>10636</v>
      </c>
      <c r="G987" s="76" t="e">
        <f>VLOOKUP(Tabelle2[[#This Row],[Kunden Nr.]],KUNDEN!A:B,2,0)</f>
        <v>#N/A</v>
      </c>
      <c r="H987" s="75">
        <v>35110</v>
      </c>
      <c r="I987" s="76" t="str">
        <f>VLOOKUP(Tabelle2[[#This Row],[Artikel]],Produkte!A:B,2,0)</f>
        <v>M-ONE Sanitar Silikon</v>
      </c>
      <c r="J987" s="75">
        <v>12</v>
      </c>
      <c r="K987" s="76" t="str">
        <f>VLOOKUP(Tabelle2[[#This Row],[Kunden Nr.]],KUNDEN!A:G,7)</f>
        <v>Qerimi</v>
      </c>
      <c r="L987" s="76">
        <f>VLOOKUP(Tabelle2[[#This Row],[Artikel]],Produkte!A:H,8)</f>
        <v>0.17</v>
      </c>
    </row>
    <row r="988" spans="1:12" x14ac:dyDescent="0.2">
      <c r="A988" s="75" t="s">
        <v>1230</v>
      </c>
      <c r="B988" s="79">
        <v>46074</v>
      </c>
      <c r="C988" s="75"/>
      <c r="D988" s="75"/>
      <c r="E988" s="75"/>
      <c r="F988" s="75">
        <v>10636</v>
      </c>
      <c r="G988" s="76" t="e">
        <f>VLOOKUP(Tabelle2[[#This Row],[Kunden Nr.]],KUNDEN!A:B,2,0)</f>
        <v>#N/A</v>
      </c>
      <c r="H988" s="75">
        <v>35125</v>
      </c>
      <c r="I988" s="76" t="str">
        <f>VLOOKUP(Tabelle2[[#This Row],[Artikel]],Produkte!A:B,2,0)</f>
        <v>M-ONE Sanitar Silikon</v>
      </c>
      <c r="J988" s="75">
        <v>12</v>
      </c>
      <c r="K988" s="76" t="str">
        <f>VLOOKUP(Tabelle2[[#This Row],[Kunden Nr.]],KUNDEN!A:G,7)</f>
        <v>Qerimi</v>
      </c>
      <c r="L988" s="76">
        <f>VLOOKUP(Tabelle2[[#This Row],[Artikel]],Produkte!A:H,8)</f>
        <v>0.17</v>
      </c>
    </row>
    <row r="989" spans="1:12" x14ac:dyDescent="0.2">
      <c r="A989" s="75" t="s">
        <v>837</v>
      </c>
      <c r="B989" s="79">
        <v>46074</v>
      </c>
      <c r="C989" s="89">
        <v>46.2</v>
      </c>
      <c r="D989" s="75"/>
      <c r="E989" s="75"/>
      <c r="F989" s="75">
        <v>10625</v>
      </c>
      <c r="G989" s="76" t="str">
        <f>VLOOKUP(Tabelle2[[#This Row],[Kunden Nr.]],KUNDEN!A:B,2,0)</f>
        <v>KUJTA</v>
      </c>
      <c r="H989" s="75">
        <v>35108</v>
      </c>
      <c r="I989" s="76" t="str">
        <f>VLOOKUP(Tabelle2[[#This Row],[Artikel]],Produkte!A:B,2,0)</f>
        <v>M-ONE Sanitar Silikon</v>
      </c>
      <c r="J989" s="75">
        <v>12</v>
      </c>
      <c r="K989" s="76" t="str">
        <f>VLOOKUP(Tabelle2[[#This Row],[Kunden Nr.]],KUNDEN!A:G,7)</f>
        <v>Qerimi</v>
      </c>
      <c r="L989" s="76">
        <f>VLOOKUP(Tabelle2[[#This Row],[Artikel]],Produkte!A:H,8)</f>
        <v>0.17</v>
      </c>
    </row>
    <row r="990" spans="1:12" x14ac:dyDescent="0.2">
      <c r="A990" s="75" t="s">
        <v>1188</v>
      </c>
      <c r="B990" s="79">
        <v>46076</v>
      </c>
      <c r="C990" s="89">
        <v>92.4</v>
      </c>
      <c r="D990" s="75"/>
      <c r="E990" s="75"/>
      <c r="F990" s="75">
        <v>10133</v>
      </c>
      <c r="G990" s="76" t="str">
        <f>VLOOKUP(Tabelle2[[#This Row],[Kunden Nr.]],KUNDEN!A:B,2,0)</f>
        <v>HIDROELDI</v>
      </c>
      <c r="H990" s="75">
        <v>35109</v>
      </c>
      <c r="I990" s="76" t="str">
        <f>VLOOKUP(Tabelle2[[#This Row],[Artikel]],Produkte!A:B,2,0)</f>
        <v>M-ONE Sanitar Silikon</v>
      </c>
      <c r="J990" s="75">
        <v>12</v>
      </c>
      <c r="K990" s="76" t="str">
        <f>VLOOKUP(Tabelle2[[#This Row],[Kunden Nr.]],KUNDEN!A:G,7)</f>
        <v>Qerimi</v>
      </c>
      <c r="L990" s="76">
        <f>VLOOKUP(Tabelle2[[#This Row],[Artikel]],Produkte!A:H,8)</f>
        <v>0.17</v>
      </c>
    </row>
    <row r="991" spans="1:12" x14ac:dyDescent="0.2">
      <c r="A991" s="75" t="s">
        <v>1188</v>
      </c>
      <c r="B991" s="79">
        <v>46076</v>
      </c>
      <c r="C991" s="75"/>
      <c r="D991" s="75"/>
      <c r="E991" s="75"/>
      <c r="F991" s="75">
        <v>10133</v>
      </c>
      <c r="G991" s="76" t="str">
        <f>VLOOKUP(Tabelle2[[#This Row],[Kunden Nr.]],KUNDEN!A:B,2,0)</f>
        <v>HIDROELDI</v>
      </c>
      <c r="H991" s="75">
        <v>35113</v>
      </c>
      <c r="I991" s="76" t="str">
        <f>VLOOKUP(Tabelle2[[#This Row],[Artikel]],Produkte!A:B,2,0)</f>
        <v>M-ONE Sanitar Silikon</v>
      </c>
      <c r="J991" s="75">
        <v>12</v>
      </c>
      <c r="K991" s="76" t="str">
        <f>VLOOKUP(Tabelle2[[#This Row],[Kunden Nr.]],KUNDEN!A:G,7)</f>
        <v>Qerimi</v>
      </c>
      <c r="L991" s="76">
        <f>VLOOKUP(Tabelle2[[#This Row],[Artikel]],Produkte!A:H,8)</f>
        <v>0.17</v>
      </c>
    </row>
    <row r="992" spans="1:12" x14ac:dyDescent="0.2">
      <c r="A992" s="75" t="s">
        <v>566</v>
      </c>
      <c r="B992" s="79">
        <v>46076</v>
      </c>
      <c r="C992" s="89">
        <v>46.2</v>
      </c>
      <c r="D992" s="75"/>
      <c r="E992" s="75"/>
      <c r="F992" s="75">
        <v>10104</v>
      </c>
      <c r="G992" s="76" t="str">
        <f>VLOOKUP(Tabelle2[[#This Row],[Kunden Nr.]],KUNDEN!A:B,2,0)</f>
        <v>JETARI</v>
      </c>
      <c r="H992" s="75">
        <v>35110</v>
      </c>
      <c r="I992" s="76" t="str">
        <f>VLOOKUP(Tabelle2[[#This Row],[Artikel]],Produkte!A:B,2,0)</f>
        <v>M-ONE Sanitar Silikon</v>
      </c>
      <c r="J992" s="75">
        <v>12</v>
      </c>
      <c r="K992" s="76" t="str">
        <f>VLOOKUP(Tabelle2[[#This Row],[Kunden Nr.]],KUNDEN!A:G,7)</f>
        <v>Qerimi</v>
      </c>
      <c r="L992" s="76">
        <f>VLOOKUP(Tabelle2[[#This Row],[Artikel]],Produkte!A:H,8)</f>
        <v>0.17</v>
      </c>
    </row>
    <row r="993" spans="1:12" x14ac:dyDescent="0.2">
      <c r="A993" s="75" t="s">
        <v>573</v>
      </c>
      <c r="B993" s="79">
        <v>46076</v>
      </c>
      <c r="C993" s="89">
        <v>138.6</v>
      </c>
      <c r="D993" s="75"/>
      <c r="E993" s="75"/>
      <c r="F993" s="75">
        <v>10111</v>
      </c>
      <c r="G993" s="76" t="str">
        <f>VLOOKUP(Tabelle2[[#This Row],[Kunden Nr.]],KUNDEN!A:B,2,0)</f>
        <v>KADIJOLLET</v>
      </c>
      <c r="H993" s="75">
        <v>35128</v>
      </c>
      <c r="I993" s="76" t="str">
        <f>VLOOKUP(Tabelle2[[#This Row],[Artikel]],Produkte!A:B,2,0)</f>
        <v>M-ONE Sanitar Silikon</v>
      </c>
      <c r="J993" s="75">
        <v>12</v>
      </c>
      <c r="K993" s="76" t="str">
        <f>VLOOKUP(Tabelle2[[#This Row],[Kunden Nr.]],KUNDEN!A:G,7)</f>
        <v>Qerimi</v>
      </c>
      <c r="L993" s="76">
        <f>VLOOKUP(Tabelle2[[#This Row],[Artikel]],Produkte!A:H,8)</f>
        <v>0.17</v>
      </c>
    </row>
    <row r="994" spans="1:12" x14ac:dyDescent="0.2">
      <c r="A994" s="75" t="s">
        <v>573</v>
      </c>
      <c r="B994" s="79">
        <v>46076</v>
      </c>
      <c r="C994" s="75"/>
      <c r="D994" s="75"/>
      <c r="E994" s="75"/>
      <c r="F994" s="75">
        <v>10111</v>
      </c>
      <c r="G994" s="76" t="str">
        <f>VLOOKUP(Tabelle2[[#This Row],[Kunden Nr.]],KUNDEN!A:B,2,0)</f>
        <v>KADIJOLLET</v>
      </c>
      <c r="H994" s="75">
        <v>35121</v>
      </c>
      <c r="I994" s="76" t="str">
        <f>VLOOKUP(Tabelle2[[#This Row],[Artikel]],Produkte!A:B,2,0)</f>
        <v>M-ONE Sanitar Silikon</v>
      </c>
      <c r="J994" s="75">
        <v>12</v>
      </c>
      <c r="K994" s="76" t="str">
        <f>VLOOKUP(Tabelle2[[#This Row],[Kunden Nr.]],KUNDEN!A:G,7)</f>
        <v>Qerimi</v>
      </c>
      <c r="L994" s="76">
        <f>VLOOKUP(Tabelle2[[#This Row],[Artikel]],Produkte!A:H,8)</f>
        <v>0.17</v>
      </c>
    </row>
    <row r="995" spans="1:12" x14ac:dyDescent="0.2">
      <c r="A995" s="75" t="s">
        <v>573</v>
      </c>
      <c r="B995" s="79">
        <v>46076</v>
      </c>
      <c r="C995" s="75"/>
      <c r="D995" s="75"/>
      <c r="E995" s="75"/>
      <c r="F995" s="75">
        <v>10111</v>
      </c>
      <c r="G995" s="76" t="str">
        <f>VLOOKUP(Tabelle2[[#This Row],[Kunden Nr.]],KUNDEN!A:B,2,0)</f>
        <v>KADIJOLLET</v>
      </c>
      <c r="H995" s="75">
        <v>35125</v>
      </c>
      <c r="I995" s="76" t="str">
        <f>VLOOKUP(Tabelle2[[#This Row],[Artikel]],Produkte!A:B,2,0)</f>
        <v>M-ONE Sanitar Silikon</v>
      </c>
      <c r="J995" s="75">
        <v>12</v>
      </c>
      <c r="K995" s="76" t="str">
        <f>VLOOKUP(Tabelle2[[#This Row],[Kunden Nr.]],KUNDEN!A:G,7)</f>
        <v>Qerimi</v>
      </c>
      <c r="L995" s="76">
        <f>VLOOKUP(Tabelle2[[#This Row],[Artikel]],Produkte!A:H,8)</f>
        <v>0.17</v>
      </c>
    </row>
    <row r="996" spans="1:12" x14ac:dyDescent="0.2">
      <c r="A996" s="75" t="s">
        <v>576</v>
      </c>
      <c r="B996" s="79">
        <v>46076</v>
      </c>
      <c r="C996" s="89">
        <v>39.5</v>
      </c>
      <c r="D996" s="75"/>
      <c r="E996" s="75"/>
      <c r="F996" s="75">
        <v>10114</v>
      </c>
      <c r="G996" s="76" t="str">
        <f>VLOOKUP(Tabelle2[[#This Row],[Kunden Nr.]],KUNDEN!A:B,2,0)</f>
        <v>QELA</v>
      </c>
      <c r="H996" s="75">
        <v>49644</v>
      </c>
      <c r="I996" s="76" t="str">
        <f>VLOOKUP(Tabelle2[[#This Row],[Artikel]],Produkte!A:B,2,0)</f>
        <v>beMAKER Rostlöser</v>
      </c>
      <c r="J996" s="75">
        <v>4</v>
      </c>
      <c r="K996" s="76" t="str">
        <f>VLOOKUP(Tabelle2[[#This Row],[Kunden Nr.]],KUNDEN!A:G,7)</f>
        <v>Qerimi</v>
      </c>
      <c r="L996" s="76">
        <f>VLOOKUP(Tabelle2[[#This Row],[Artikel]],Produkte!A:H,8)</f>
        <v>0.2</v>
      </c>
    </row>
    <row r="997" spans="1:12" x14ac:dyDescent="0.2">
      <c r="A997" s="75" t="s">
        <v>576</v>
      </c>
      <c r="B997" s="79">
        <v>46076</v>
      </c>
      <c r="C997" s="75"/>
      <c r="D997" s="75"/>
      <c r="E997" s="75"/>
      <c r="F997" s="75">
        <v>10114</v>
      </c>
      <c r="G997" s="76" t="str">
        <f>VLOOKUP(Tabelle2[[#This Row],[Kunden Nr.]],KUNDEN!A:B,2,0)</f>
        <v>QELA</v>
      </c>
      <c r="H997" s="75">
        <v>44001</v>
      </c>
      <c r="I997" s="76" t="str">
        <f>VLOOKUP(Tabelle2[[#This Row],[Artikel]],Produkte!A:B,2,0)</f>
        <v>Fettspray</v>
      </c>
      <c r="J997" s="75">
        <v>2</v>
      </c>
      <c r="K997" s="76" t="str">
        <f>VLOOKUP(Tabelle2[[#This Row],[Kunden Nr.]],KUNDEN!A:G,7)</f>
        <v>Qerimi</v>
      </c>
      <c r="L997" s="76">
        <f>VLOOKUP(Tabelle2[[#This Row],[Artikel]],Produkte!A:H,8)</f>
        <v>0.2</v>
      </c>
    </row>
    <row r="998" spans="1:12" x14ac:dyDescent="0.2">
      <c r="A998" s="75" t="s">
        <v>576</v>
      </c>
      <c r="B998" s="79">
        <v>46076</v>
      </c>
      <c r="C998" s="75"/>
      <c r="D998" s="75"/>
      <c r="E998" s="75"/>
      <c r="F998" s="75">
        <v>10114</v>
      </c>
      <c r="G998" s="76" t="str">
        <f>VLOOKUP(Tabelle2[[#This Row],[Kunden Nr.]],KUNDEN!A:B,2,0)</f>
        <v>QELA</v>
      </c>
      <c r="H998" s="75">
        <v>55718</v>
      </c>
      <c r="I998" s="76" t="str">
        <f>VLOOKUP(Tabelle2[[#This Row],[Artikel]],Produkte!A:B,2,0)</f>
        <v>M ONE MOTORSTART</v>
      </c>
      <c r="J998" s="75">
        <v>7</v>
      </c>
      <c r="K998" s="76" t="str">
        <f>VLOOKUP(Tabelle2[[#This Row],[Kunden Nr.]],KUNDEN!A:G,7)</f>
        <v>Qerimi</v>
      </c>
      <c r="L998" s="76">
        <f>VLOOKUP(Tabelle2[[#This Row],[Artikel]],Produkte!A:H,8)</f>
        <v>0.2</v>
      </c>
    </row>
    <row r="999" spans="1:12" x14ac:dyDescent="0.2">
      <c r="A999" s="75" t="s">
        <v>565</v>
      </c>
      <c r="B999" s="79">
        <v>46076</v>
      </c>
      <c r="C999" s="89">
        <v>46.2</v>
      </c>
      <c r="D999" s="75"/>
      <c r="E999" s="75"/>
      <c r="F999" s="75">
        <v>10103</v>
      </c>
      <c r="G999" s="76" t="str">
        <f>VLOOKUP(Tabelle2[[#This Row],[Kunden Nr.]],KUNDEN!A:B,2,0)</f>
        <v>BESI COM</v>
      </c>
      <c r="H999" s="75">
        <v>35119</v>
      </c>
      <c r="I999" s="76" t="str">
        <f>VLOOKUP(Tabelle2[[#This Row],[Artikel]],Produkte!A:B,2,0)</f>
        <v>M-ONE Sanitar Silikon</v>
      </c>
      <c r="J999" s="75">
        <v>12</v>
      </c>
      <c r="K999" s="76" t="str">
        <f>VLOOKUP(Tabelle2[[#This Row],[Kunden Nr.]],KUNDEN!A:G,7)</f>
        <v>Qerimi</v>
      </c>
      <c r="L999" s="76">
        <f>VLOOKUP(Tabelle2[[#This Row],[Artikel]],Produkte!A:H,8)</f>
        <v>0.17</v>
      </c>
    </row>
    <row r="1000" spans="1:12" x14ac:dyDescent="0.2">
      <c r="A1000" s="75" t="s">
        <v>474</v>
      </c>
      <c r="B1000" s="79">
        <v>46076</v>
      </c>
      <c r="C1000" s="89">
        <v>184.8</v>
      </c>
      <c r="D1000" s="75"/>
      <c r="E1000" s="75"/>
      <c r="F1000" s="75">
        <v>20109</v>
      </c>
      <c r="G1000" s="76" t="str">
        <f>VLOOKUP(Tabelle2[[#This Row],[Kunden Nr.]],KUNDEN!A:B,2,0)</f>
        <v>KENA COMERC</v>
      </c>
      <c r="H1000" s="75">
        <v>35111</v>
      </c>
      <c r="I1000" s="76" t="str">
        <f>VLOOKUP(Tabelle2[[#This Row],[Artikel]],Produkte!A:B,2,0)</f>
        <v>M-ONE Sanitar Silikon</v>
      </c>
      <c r="J1000" s="75">
        <v>24</v>
      </c>
      <c r="K1000" s="76" t="str">
        <f>VLOOKUP(Tabelle2[[#This Row],[Kunden Nr.]],KUNDEN!A:G,7)</f>
        <v>Mensuri</v>
      </c>
      <c r="L1000" s="76">
        <f>VLOOKUP(Tabelle2[[#This Row],[Artikel]],Produkte!A:H,8)</f>
        <v>0.17</v>
      </c>
    </row>
    <row r="1001" spans="1:12" x14ac:dyDescent="0.2">
      <c r="A1001" s="75" t="s">
        <v>474</v>
      </c>
      <c r="B1001" s="79">
        <v>46076</v>
      </c>
      <c r="C1001" s="75"/>
      <c r="D1001" s="75"/>
      <c r="E1001" s="75"/>
      <c r="F1001" s="75">
        <v>20109</v>
      </c>
      <c r="G1001" s="76" t="str">
        <f>VLOOKUP(Tabelle2[[#This Row],[Kunden Nr.]],KUNDEN!A:B,2,0)</f>
        <v>KENA COMERC</v>
      </c>
      <c r="H1001" s="75">
        <v>35115</v>
      </c>
      <c r="I1001" s="76" t="str">
        <f>VLOOKUP(Tabelle2[[#This Row],[Artikel]],Produkte!A:B,2,0)</f>
        <v>M-ONE Sanitar Silikon</v>
      </c>
      <c r="J1001" s="75">
        <v>12</v>
      </c>
      <c r="K1001" s="76" t="str">
        <f>VLOOKUP(Tabelle2[[#This Row],[Kunden Nr.]],KUNDEN!A:G,7)</f>
        <v>Mensuri</v>
      </c>
      <c r="L1001" s="76">
        <f>VLOOKUP(Tabelle2[[#This Row],[Artikel]],Produkte!A:H,8)</f>
        <v>0.17</v>
      </c>
    </row>
    <row r="1002" spans="1:12" x14ac:dyDescent="0.2">
      <c r="A1002" s="75" t="s">
        <v>474</v>
      </c>
      <c r="B1002" s="79">
        <v>46076</v>
      </c>
      <c r="C1002" s="75"/>
      <c r="D1002" s="75"/>
      <c r="E1002" s="75"/>
      <c r="F1002" s="75">
        <v>20109</v>
      </c>
      <c r="G1002" s="76" t="str">
        <f>VLOOKUP(Tabelle2[[#This Row],[Kunden Nr.]],KUNDEN!A:B,2,0)</f>
        <v>KENA COMERC</v>
      </c>
      <c r="H1002" s="75">
        <v>35110</v>
      </c>
      <c r="I1002" s="76" t="str">
        <f>VLOOKUP(Tabelle2[[#This Row],[Artikel]],Produkte!A:B,2,0)</f>
        <v>M-ONE Sanitar Silikon</v>
      </c>
      <c r="J1002" s="75">
        <v>12</v>
      </c>
      <c r="K1002" s="76" t="str">
        <f>VLOOKUP(Tabelle2[[#This Row],[Kunden Nr.]],KUNDEN!A:G,7)</f>
        <v>Mensuri</v>
      </c>
      <c r="L1002" s="76">
        <f>VLOOKUP(Tabelle2[[#This Row],[Artikel]],Produkte!A:H,8)</f>
        <v>0.17</v>
      </c>
    </row>
    <row r="1003" spans="1:12" x14ac:dyDescent="0.2">
      <c r="A1003" s="75" t="s">
        <v>469</v>
      </c>
      <c r="B1003" s="79">
        <v>46076</v>
      </c>
      <c r="C1003" s="89">
        <v>89.4</v>
      </c>
      <c r="D1003" s="75"/>
      <c r="E1003" s="75"/>
      <c r="F1003" s="75">
        <v>20102</v>
      </c>
      <c r="G1003" s="76" t="str">
        <f>VLOOKUP(Tabelle2[[#This Row],[Kunden Nr.]],KUNDEN!A:B,2,0)</f>
        <v>KUQI-LKW</v>
      </c>
      <c r="H1003" s="75">
        <v>50912</v>
      </c>
      <c r="I1003" s="76" t="str">
        <f>VLOOKUP(Tabelle2[[#This Row],[Artikel]],Produkte!A:B,2,0)</f>
        <v>DICHTUNG</v>
      </c>
      <c r="J1003" s="75">
        <v>7</v>
      </c>
      <c r="K1003" s="76" t="str">
        <f>VLOOKUP(Tabelle2[[#This Row],[Kunden Nr.]],KUNDEN!A:G,7)</f>
        <v>Mensuri</v>
      </c>
      <c r="L1003" s="76">
        <f>VLOOKUP(Tabelle2[[#This Row],[Artikel]],Produkte!A:H,8)</f>
        <v>0.2</v>
      </c>
    </row>
    <row r="1004" spans="1:12" x14ac:dyDescent="0.2">
      <c r="A1004" s="75" t="s">
        <v>469</v>
      </c>
      <c r="B1004" s="79">
        <v>46076</v>
      </c>
      <c r="C1004" s="75"/>
      <c r="D1004" s="75"/>
      <c r="E1004" s="75"/>
      <c r="F1004" s="75">
        <v>20102</v>
      </c>
      <c r="G1004" s="76" t="str">
        <f>VLOOKUP(Tabelle2[[#This Row],[Kunden Nr.]],KUNDEN!A:B,2,0)</f>
        <v>KUQI-LKW</v>
      </c>
      <c r="H1004" s="75">
        <v>55718</v>
      </c>
      <c r="I1004" s="76" t="str">
        <f>VLOOKUP(Tabelle2[[#This Row],[Artikel]],Produkte!A:B,2,0)</f>
        <v>M ONE MOTORSTART</v>
      </c>
      <c r="J1004" s="75">
        <v>6</v>
      </c>
      <c r="K1004" s="76" t="str">
        <f>VLOOKUP(Tabelle2[[#This Row],[Kunden Nr.]],KUNDEN!A:G,7)</f>
        <v>Mensuri</v>
      </c>
      <c r="L1004" s="76">
        <f>VLOOKUP(Tabelle2[[#This Row],[Artikel]],Produkte!A:H,8)</f>
        <v>0.2</v>
      </c>
    </row>
    <row r="1005" spans="1:12" x14ac:dyDescent="0.2">
      <c r="A1005" s="75" t="s">
        <v>469</v>
      </c>
      <c r="B1005" s="79">
        <v>46076</v>
      </c>
      <c r="C1005" s="75"/>
      <c r="D1005" s="75"/>
      <c r="E1005" s="75"/>
      <c r="F1005" s="75">
        <v>20102</v>
      </c>
      <c r="G1005" s="76" t="str">
        <f>VLOOKUP(Tabelle2[[#This Row],[Kunden Nr.]],KUNDEN!A:B,2,0)</f>
        <v>KUQI-LKW</v>
      </c>
      <c r="H1005" s="75">
        <v>49644</v>
      </c>
      <c r="I1005" s="76" t="str">
        <f>VLOOKUP(Tabelle2[[#This Row],[Artikel]],Produkte!A:B,2,0)</f>
        <v>beMAKER Rostlöser</v>
      </c>
      <c r="J1005" s="75">
        <v>9</v>
      </c>
      <c r="K1005" s="76" t="str">
        <f>VLOOKUP(Tabelle2[[#This Row],[Kunden Nr.]],KUNDEN!A:G,7)</f>
        <v>Mensuri</v>
      </c>
      <c r="L1005" s="76">
        <f>VLOOKUP(Tabelle2[[#This Row],[Artikel]],Produkte!A:H,8)</f>
        <v>0.2</v>
      </c>
    </row>
    <row r="1006" spans="1:12" x14ac:dyDescent="0.2">
      <c r="A1006" s="75" t="s">
        <v>1129</v>
      </c>
      <c r="B1006" s="79">
        <v>46076</v>
      </c>
      <c r="C1006" s="89">
        <v>69.599999999999994</v>
      </c>
      <c r="D1006" s="75"/>
      <c r="E1006" s="75"/>
      <c r="F1006" s="75">
        <v>20127</v>
      </c>
      <c r="G1006" s="76" t="str">
        <f>VLOOKUP(Tabelle2[[#This Row],[Kunden Nr.]],KUNDEN!A:B,2,0)</f>
        <v>TERMO PROJEKT</v>
      </c>
      <c r="H1006" s="75">
        <v>66701</v>
      </c>
      <c r="I1006" s="76" t="str">
        <f>VLOOKUP(Tabelle2[[#This Row],[Artikel]],Produkte!A:B,2,0)</f>
        <v>PROFIMONT EXTREME</v>
      </c>
      <c r="J1006" s="75">
        <v>12</v>
      </c>
      <c r="K1006" s="76" t="str">
        <f>VLOOKUP(Tabelle2[[#This Row],[Kunden Nr.]],KUNDEN!A:G,7)</f>
        <v>Mensuri</v>
      </c>
      <c r="L1006" s="76">
        <f>VLOOKUP(Tabelle2[[#This Row],[Artikel]],Produkte!A:H,8)</f>
        <v>0.2</v>
      </c>
    </row>
    <row r="1007" spans="1:12" x14ac:dyDescent="0.2">
      <c r="A1007" s="75" t="s">
        <v>1180</v>
      </c>
      <c r="B1007" s="79">
        <v>46076</v>
      </c>
      <c r="C1007" s="89">
        <v>254.4</v>
      </c>
      <c r="D1007" s="75"/>
      <c r="E1007" s="75"/>
      <c r="F1007" s="75">
        <v>20126</v>
      </c>
      <c r="G1007" s="76" t="str">
        <f>VLOOKUP(Tabelle2[[#This Row],[Kunden Nr.]],KUNDEN!A:B,2,0)</f>
        <v>LULI-C</v>
      </c>
      <c r="H1007" s="75">
        <v>35109</v>
      </c>
      <c r="I1007" s="76" t="str">
        <f>VLOOKUP(Tabelle2[[#This Row],[Artikel]],Produkte!A:B,2,0)</f>
        <v>M-ONE Sanitar Silikon</v>
      </c>
      <c r="J1007" s="75">
        <v>12</v>
      </c>
      <c r="K1007" s="76" t="str">
        <f>VLOOKUP(Tabelle2[[#This Row],[Kunden Nr.]],KUNDEN!A:G,7)</f>
        <v>Mensuri</v>
      </c>
      <c r="L1007" s="76">
        <f>VLOOKUP(Tabelle2[[#This Row],[Artikel]],Produkte!A:H,8)</f>
        <v>0.17</v>
      </c>
    </row>
    <row r="1008" spans="1:12" x14ac:dyDescent="0.2">
      <c r="A1008" s="75" t="s">
        <v>1180</v>
      </c>
      <c r="B1008" s="79">
        <v>46076</v>
      </c>
      <c r="C1008" s="75"/>
      <c r="D1008" s="75"/>
      <c r="E1008" s="75"/>
      <c r="F1008" s="75">
        <v>20126</v>
      </c>
      <c r="G1008" s="76" t="str">
        <f>VLOOKUP(Tabelle2[[#This Row],[Kunden Nr.]],KUNDEN!A:B,2,0)</f>
        <v>LULI-C</v>
      </c>
      <c r="H1008" s="75">
        <v>35113</v>
      </c>
      <c r="I1008" s="76" t="str">
        <f>VLOOKUP(Tabelle2[[#This Row],[Artikel]],Produkte!A:B,2,0)</f>
        <v>M-ONE Sanitar Silikon</v>
      </c>
      <c r="J1008" s="75">
        <v>12</v>
      </c>
      <c r="K1008" s="76" t="str">
        <f>VLOOKUP(Tabelle2[[#This Row],[Kunden Nr.]],KUNDEN!A:G,7)</f>
        <v>Mensuri</v>
      </c>
      <c r="L1008" s="76">
        <f>VLOOKUP(Tabelle2[[#This Row],[Artikel]],Produkte!A:H,8)</f>
        <v>0.17</v>
      </c>
    </row>
    <row r="1009" spans="1:12" x14ac:dyDescent="0.2">
      <c r="A1009" s="75" t="s">
        <v>1180</v>
      </c>
      <c r="B1009" s="79">
        <v>46076</v>
      </c>
      <c r="C1009" s="75"/>
      <c r="D1009" s="75"/>
      <c r="E1009" s="75"/>
      <c r="F1009" s="75">
        <v>20126</v>
      </c>
      <c r="G1009" s="76" t="str">
        <f>VLOOKUP(Tabelle2[[#This Row],[Kunden Nr.]],KUNDEN!A:B,2,0)</f>
        <v>LULI-C</v>
      </c>
      <c r="H1009" s="75">
        <v>35114</v>
      </c>
      <c r="I1009" s="76" t="str">
        <f>VLOOKUP(Tabelle2[[#This Row],[Artikel]],Produkte!A:B,2,0)</f>
        <v>M-ONE Sanitar Silikon</v>
      </c>
      <c r="J1009" s="75">
        <v>12</v>
      </c>
      <c r="K1009" s="76" t="str">
        <f>VLOOKUP(Tabelle2[[#This Row],[Kunden Nr.]],KUNDEN!A:G,7)</f>
        <v>Mensuri</v>
      </c>
      <c r="L1009" s="76">
        <f>VLOOKUP(Tabelle2[[#This Row],[Artikel]],Produkte!A:H,8)</f>
        <v>0.17</v>
      </c>
    </row>
    <row r="1010" spans="1:12" x14ac:dyDescent="0.2">
      <c r="A1010" s="75" t="s">
        <v>1180</v>
      </c>
      <c r="B1010" s="79">
        <v>46076</v>
      </c>
      <c r="C1010" s="75"/>
      <c r="D1010" s="75"/>
      <c r="E1010" s="75"/>
      <c r="F1010" s="75">
        <v>20126</v>
      </c>
      <c r="G1010" s="76" t="str">
        <f>VLOOKUP(Tabelle2[[#This Row],[Kunden Nr.]],KUNDEN!A:B,2,0)</f>
        <v>LULI-C</v>
      </c>
      <c r="H1010" s="75">
        <v>35121</v>
      </c>
      <c r="I1010" s="76" t="str">
        <f>VLOOKUP(Tabelle2[[#This Row],[Artikel]],Produkte!A:B,2,0)</f>
        <v>M-ONE Sanitar Silikon</v>
      </c>
      <c r="J1010" s="75">
        <v>12</v>
      </c>
      <c r="K1010" s="76" t="str">
        <f>VLOOKUP(Tabelle2[[#This Row],[Kunden Nr.]],KUNDEN!A:G,7)</f>
        <v>Mensuri</v>
      </c>
      <c r="L1010" s="76">
        <f>VLOOKUP(Tabelle2[[#This Row],[Artikel]],Produkte!A:H,8)</f>
        <v>0.17</v>
      </c>
    </row>
    <row r="1011" spans="1:12" x14ac:dyDescent="0.2">
      <c r="A1011" s="75" t="s">
        <v>1180</v>
      </c>
      <c r="B1011" s="79">
        <v>46076</v>
      </c>
      <c r="C1011" s="75"/>
      <c r="D1011" s="75"/>
      <c r="E1011" s="75"/>
      <c r="F1011" s="75">
        <v>20126</v>
      </c>
      <c r="G1011" s="76" t="str">
        <f>VLOOKUP(Tabelle2[[#This Row],[Kunden Nr.]],KUNDEN!A:B,2,0)</f>
        <v>LULI-C</v>
      </c>
      <c r="H1011" s="75">
        <v>66701</v>
      </c>
      <c r="I1011" s="76" t="str">
        <f>VLOOKUP(Tabelle2[[#This Row],[Artikel]],Produkte!A:B,2,0)</f>
        <v>PROFIMONT EXTREME</v>
      </c>
      <c r="J1011" s="75">
        <v>12</v>
      </c>
      <c r="K1011" s="76" t="str">
        <f>VLOOKUP(Tabelle2[[#This Row],[Kunden Nr.]],KUNDEN!A:G,7)</f>
        <v>Mensuri</v>
      </c>
      <c r="L1011" s="76">
        <f>VLOOKUP(Tabelle2[[#This Row],[Artikel]],Produkte!A:H,8)</f>
        <v>0.2</v>
      </c>
    </row>
    <row r="1012" spans="1:12" x14ac:dyDescent="0.2">
      <c r="A1012" s="75" t="s">
        <v>1163</v>
      </c>
      <c r="B1012" s="79">
        <v>46076</v>
      </c>
      <c r="C1012" s="89">
        <v>138.6</v>
      </c>
      <c r="D1012" s="75"/>
      <c r="E1012" s="75"/>
      <c r="F1012" s="75">
        <v>20121</v>
      </c>
      <c r="G1012" s="76" t="str">
        <f>VLOOKUP(Tabelle2[[#This Row],[Kunden Nr.]],KUNDEN!A:B,2,0)</f>
        <v>CAMA BAU</v>
      </c>
      <c r="H1012" s="75">
        <v>35109</v>
      </c>
      <c r="I1012" s="76" t="str">
        <f>VLOOKUP(Tabelle2[[#This Row],[Artikel]],Produkte!A:B,2,0)</f>
        <v>M-ONE Sanitar Silikon</v>
      </c>
      <c r="J1012" s="75">
        <v>12</v>
      </c>
      <c r="K1012" s="76" t="str">
        <f>VLOOKUP(Tabelle2[[#This Row],[Kunden Nr.]],KUNDEN!A:G,7)</f>
        <v>Mensuri</v>
      </c>
      <c r="L1012" s="76">
        <f>VLOOKUP(Tabelle2[[#This Row],[Artikel]],Produkte!A:H,8)</f>
        <v>0.17</v>
      </c>
    </row>
    <row r="1013" spans="1:12" x14ac:dyDescent="0.2">
      <c r="A1013" s="75" t="s">
        <v>1163</v>
      </c>
      <c r="B1013" s="79">
        <v>46076</v>
      </c>
      <c r="C1013" s="75"/>
      <c r="D1013" s="75"/>
      <c r="E1013" s="75"/>
      <c r="F1013" s="75">
        <v>20121</v>
      </c>
      <c r="G1013" s="76" t="str">
        <f>VLOOKUP(Tabelle2[[#This Row],[Kunden Nr.]],KUNDEN!A:B,2,0)</f>
        <v>CAMA BAU</v>
      </c>
      <c r="H1013" s="75">
        <v>35119</v>
      </c>
      <c r="I1013" s="76" t="str">
        <f>VLOOKUP(Tabelle2[[#This Row],[Artikel]],Produkte!A:B,2,0)</f>
        <v>M-ONE Sanitar Silikon</v>
      </c>
      <c r="J1013" s="75">
        <v>12</v>
      </c>
      <c r="K1013" s="76" t="str">
        <f>VLOOKUP(Tabelle2[[#This Row],[Kunden Nr.]],KUNDEN!A:G,7)</f>
        <v>Mensuri</v>
      </c>
      <c r="L1013" s="76">
        <f>VLOOKUP(Tabelle2[[#This Row],[Artikel]],Produkte!A:H,8)</f>
        <v>0.17</v>
      </c>
    </row>
    <row r="1014" spans="1:12" x14ac:dyDescent="0.2">
      <c r="A1014" s="75" t="s">
        <v>1163</v>
      </c>
      <c r="B1014" s="79">
        <v>46076</v>
      </c>
      <c r="C1014" s="75"/>
      <c r="D1014" s="75"/>
      <c r="E1014" s="75"/>
      <c r="F1014" s="75">
        <v>20121</v>
      </c>
      <c r="G1014" s="76" t="str">
        <f>VLOOKUP(Tabelle2[[#This Row],[Kunden Nr.]],KUNDEN!A:B,2,0)</f>
        <v>CAMA BAU</v>
      </c>
      <c r="H1014" s="75">
        <v>35121</v>
      </c>
      <c r="I1014" s="76" t="str">
        <f>VLOOKUP(Tabelle2[[#This Row],[Artikel]],Produkte!A:B,2,0)</f>
        <v>M-ONE Sanitar Silikon</v>
      </c>
      <c r="J1014" s="75">
        <v>12</v>
      </c>
      <c r="K1014" s="76" t="str">
        <f>VLOOKUP(Tabelle2[[#This Row],[Kunden Nr.]],KUNDEN!A:G,7)</f>
        <v>Mensuri</v>
      </c>
      <c r="L1014" s="76">
        <f>VLOOKUP(Tabelle2[[#This Row],[Artikel]],Produkte!A:H,8)</f>
        <v>0.17</v>
      </c>
    </row>
    <row r="1015" spans="1:12" x14ac:dyDescent="0.2">
      <c r="A1015" s="75" t="s">
        <v>471</v>
      </c>
      <c r="B1015" s="79">
        <v>46076</v>
      </c>
      <c r="C1015" s="89">
        <v>138.6</v>
      </c>
      <c r="D1015" s="75"/>
      <c r="E1015" s="75"/>
      <c r="F1015" s="75">
        <v>20104</v>
      </c>
      <c r="G1015" s="76" t="str">
        <f>VLOOKUP(Tabelle2[[#This Row],[Kunden Nr.]],KUNDEN!A:B,2,0)</f>
        <v>KTHIMI</v>
      </c>
      <c r="H1015" s="75">
        <v>35113</v>
      </c>
      <c r="I1015" s="76" t="str">
        <f>VLOOKUP(Tabelle2[[#This Row],[Artikel]],Produkte!A:B,2,0)</f>
        <v>M-ONE Sanitar Silikon</v>
      </c>
      <c r="J1015" s="75">
        <v>24</v>
      </c>
      <c r="K1015" s="76" t="str">
        <f>VLOOKUP(Tabelle2[[#This Row],[Kunden Nr.]],KUNDEN!A:G,7)</f>
        <v>Mensuri</v>
      </c>
      <c r="L1015" s="76">
        <f>VLOOKUP(Tabelle2[[#This Row],[Artikel]],Produkte!A:H,8)</f>
        <v>0.17</v>
      </c>
    </row>
    <row r="1016" spans="1:12" x14ac:dyDescent="0.2">
      <c r="A1016" s="75" t="s">
        <v>471</v>
      </c>
      <c r="B1016" s="79">
        <v>46076</v>
      </c>
      <c r="C1016" s="75"/>
      <c r="D1016" s="75"/>
      <c r="E1016" s="75"/>
      <c r="F1016" s="75">
        <v>20104</v>
      </c>
      <c r="G1016" s="76" t="str">
        <f>VLOOKUP(Tabelle2[[#This Row],[Kunden Nr.]],KUNDEN!A:B,2,0)</f>
        <v>KTHIMI</v>
      </c>
      <c r="H1016" s="75">
        <v>35108</v>
      </c>
      <c r="I1016" s="76" t="str">
        <f>VLOOKUP(Tabelle2[[#This Row],[Artikel]],Produkte!A:B,2,0)</f>
        <v>M-ONE Sanitar Silikon</v>
      </c>
      <c r="J1016" s="75">
        <v>12</v>
      </c>
      <c r="K1016" s="76" t="str">
        <f>VLOOKUP(Tabelle2[[#This Row],[Kunden Nr.]],KUNDEN!A:G,7)</f>
        <v>Mensuri</v>
      </c>
      <c r="L1016" s="76">
        <f>VLOOKUP(Tabelle2[[#This Row],[Artikel]],Produkte!A:H,8)</f>
        <v>0.17</v>
      </c>
    </row>
    <row r="1017" spans="1:12" x14ac:dyDescent="0.2">
      <c r="A1017" s="75" t="s">
        <v>1315</v>
      </c>
      <c r="B1017" s="79">
        <v>46076</v>
      </c>
      <c r="C1017" s="89">
        <v>92.4</v>
      </c>
      <c r="D1017" s="75"/>
      <c r="E1017" s="75"/>
      <c r="F1017" s="75">
        <v>20130</v>
      </c>
      <c r="G1017" s="76" t="str">
        <f>VLOOKUP(Tabelle2[[#This Row],[Kunden Nr.]],KUNDEN!A:B,2,0)</f>
        <v>ENESI</v>
      </c>
      <c r="H1017" s="75">
        <v>35110</v>
      </c>
      <c r="I1017" s="76" t="str">
        <f>VLOOKUP(Tabelle2[[#This Row],[Artikel]],Produkte!A:B,2,0)</f>
        <v>M-ONE Sanitar Silikon</v>
      </c>
      <c r="J1017" s="75">
        <v>12</v>
      </c>
      <c r="K1017" s="76" t="str">
        <f>VLOOKUP(Tabelle2[[#This Row],[Kunden Nr.]],KUNDEN!A:G,7)</f>
        <v>Mensuri</v>
      </c>
      <c r="L1017" s="76">
        <f>VLOOKUP(Tabelle2[[#This Row],[Artikel]],Produkte!A:H,8)</f>
        <v>0.17</v>
      </c>
    </row>
    <row r="1018" spans="1:12" x14ac:dyDescent="0.2">
      <c r="A1018" s="75" t="s">
        <v>1315</v>
      </c>
      <c r="B1018" s="79">
        <v>46076</v>
      </c>
      <c r="C1018" s="75"/>
      <c r="D1018" s="75"/>
      <c r="E1018" s="75"/>
      <c r="F1018" s="75">
        <v>20130</v>
      </c>
      <c r="G1018" s="76" t="str">
        <f>VLOOKUP(Tabelle2[[#This Row],[Kunden Nr.]],KUNDEN!A:B,2,0)</f>
        <v>ENESI</v>
      </c>
      <c r="H1018" s="75">
        <v>35128</v>
      </c>
      <c r="I1018" s="76" t="str">
        <f>VLOOKUP(Tabelle2[[#This Row],[Artikel]],Produkte!A:B,2,0)</f>
        <v>M-ONE Sanitar Silikon</v>
      </c>
      <c r="J1018" s="75">
        <v>12</v>
      </c>
      <c r="K1018" s="76" t="str">
        <f>VLOOKUP(Tabelle2[[#This Row],[Kunden Nr.]],KUNDEN!A:G,7)</f>
        <v>Mensuri</v>
      </c>
      <c r="L1018" s="76">
        <f>VLOOKUP(Tabelle2[[#This Row],[Artikel]],Produkte!A:H,8)</f>
        <v>0.17</v>
      </c>
    </row>
    <row r="1019" spans="1:12" x14ac:dyDescent="0.2">
      <c r="A1019" s="75" t="s">
        <v>1177</v>
      </c>
      <c r="B1019" s="79">
        <v>46076</v>
      </c>
      <c r="C1019" s="89">
        <v>52</v>
      </c>
      <c r="D1019" s="75"/>
      <c r="E1019" s="75"/>
      <c r="F1019" s="75">
        <v>40017</v>
      </c>
      <c r="G1019" s="76" t="str">
        <f>VLOOKUP(Tabelle2[[#This Row],[Kunden Nr.]],KUNDEN!A:B,2,0)</f>
        <v>YLLI CONSTRUCION</v>
      </c>
      <c r="H1019" s="75">
        <v>35109</v>
      </c>
      <c r="I1019" s="76" t="str">
        <f>VLOOKUP(Tabelle2[[#This Row],[Artikel]],Produkte!A:B,2,0)</f>
        <v>M-ONE Sanitar Silikon</v>
      </c>
      <c r="J1019" s="75">
        <v>12</v>
      </c>
      <c r="K1019" s="76">
        <f>VLOOKUP(Tabelle2[[#This Row],[Kunden Nr.]],KUNDEN!A:G,7)</f>
        <v>0</v>
      </c>
      <c r="L1019" s="76">
        <f>VLOOKUP(Tabelle2[[#This Row],[Artikel]],Produkte!A:H,8)</f>
        <v>0.17</v>
      </c>
    </row>
    <row r="1020" spans="1:12" x14ac:dyDescent="0.2">
      <c r="A1020" s="75" t="s">
        <v>1177</v>
      </c>
      <c r="B1020" s="79">
        <v>46076</v>
      </c>
      <c r="C1020" s="75"/>
      <c r="D1020" s="75"/>
      <c r="E1020" s="75"/>
      <c r="F1020" s="75">
        <v>40017</v>
      </c>
      <c r="G1020" s="76" t="str">
        <f>VLOOKUP(Tabelle2[[#This Row],[Kunden Nr.]],KUNDEN!A:B,2,0)</f>
        <v>YLLI CONSTRUCION</v>
      </c>
      <c r="H1020" s="75">
        <v>35115</v>
      </c>
      <c r="I1020" s="76" t="str">
        <f>VLOOKUP(Tabelle2[[#This Row],[Artikel]],Produkte!A:B,2,0)</f>
        <v>M-ONE Sanitar Silikon</v>
      </c>
      <c r="J1020" s="75">
        <v>1</v>
      </c>
      <c r="K1020" s="76">
        <f>VLOOKUP(Tabelle2[[#This Row],[Kunden Nr.]],KUNDEN!A:G,7)</f>
        <v>0</v>
      </c>
      <c r="L1020" s="76">
        <f>VLOOKUP(Tabelle2[[#This Row],[Artikel]],Produkte!A:H,8)</f>
        <v>0.17</v>
      </c>
    </row>
    <row r="1021" spans="1:12" x14ac:dyDescent="0.2">
      <c r="A1021" s="75" t="s">
        <v>770</v>
      </c>
      <c r="B1021" s="79">
        <v>46076</v>
      </c>
      <c r="C1021" s="89">
        <v>252.5</v>
      </c>
      <c r="D1021" s="75"/>
      <c r="E1021" s="75"/>
      <c r="F1021" s="75">
        <v>40003</v>
      </c>
      <c r="G1021" s="76" t="str">
        <f>VLOOKUP(Tabelle2[[#This Row],[Kunden Nr.]],KUNDEN!A:B,2,0)</f>
        <v>ARBENI BIOBLIC</v>
      </c>
      <c r="H1021" s="75">
        <v>20001</v>
      </c>
      <c r="I1021" s="76" t="str">
        <f>VLOOKUP(Tabelle2[[#This Row],[Artikel]],Produkte!A:B,2,0)</f>
        <v>BioBlic Universalreiniger</v>
      </c>
      <c r="J1021" s="75">
        <v>150</v>
      </c>
      <c r="K1021" s="76">
        <f>VLOOKUP(Tabelle2[[#This Row],[Kunden Nr.]],KUNDEN!A:G,7)</f>
        <v>0</v>
      </c>
      <c r="L1021" s="76">
        <f>VLOOKUP(Tabelle2[[#This Row],[Artikel]],Produkte!A:H,8)</f>
        <v>0.30000000000000004</v>
      </c>
    </row>
    <row r="1022" spans="1:12" x14ac:dyDescent="0.2">
      <c r="A1022" s="75" t="s">
        <v>770</v>
      </c>
      <c r="B1022" s="79">
        <v>46076</v>
      </c>
      <c r="C1022" s="75"/>
      <c r="D1022" s="75"/>
      <c r="E1022" s="75"/>
      <c r="F1022" s="75">
        <v>40003</v>
      </c>
      <c r="G1022" s="76" t="str">
        <f>VLOOKUP(Tabelle2[[#This Row],[Kunden Nr.]],KUNDEN!A:B,2,0)</f>
        <v>ARBENI BIOBLIC</v>
      </c>
      <c r="H1022" s="75">
        <v>30275</v>
      </c>
      <c r="I1022" s="76" t="str">
        <f>VLOOKUP(Tabelle2[[#This Row],[Artikel]],Produkte!A:B,2,0)</f>
        <v>Blic Blic Sanitärreiniger</v>
      </c>
      <c r="J1022" s="75">
        <v>40</v>
      </c>
      <c r="K1022" s="76">
        <f>VLOOKUP(Tabelle2[[#This Row],[Kunden Nr.]],KUNDEN!A:G,7)</f>
        <v>0</v>
      </c>
      <c r="L1022" s="76">
        <f>VLOOKUP(Tabelle2[[#This Row],[Artikel]],Produkte!A:H,8)</f>
        <v>0.30000000000000004</v>
      </c>
    </row>
    <row r="1023" spans="1:12" x14ac:dyDescent="0.2">
      <c r="A1023" s="75" t="s">
        <v>770</v>
      </c>
      <c r="B1023" s="79">
        <v>46076</v>
      </c>
      <c r="C1023" s="75"/>
      <c r="D1023" s="75"/>
      <c r="E1023" s="75"/>
      <c r="F1023" s="75">
        <v>40003</v>
      </c>
      <c r="G1023" s="76" t="str">
        <f>VLOOKUP(Tabelle2[[#This Row],[Kunden Nr.]],KUNDEN!A:B,2,0)</f>
        <v>ARBENI BIOBLIC</v>
      </c>
      <c r="H1023" s="75">
        <v>39505</v>
      </c>
      <c r="I1023" s="76" t="str">
        <f>VLOOKUP(Tabelle2[[#This Row],[Artikel]],Produkte!A:B,2,0)</f>
        <v>M ONE SILIKON SPRAY</v>
      </c>
      <c r="J1023" s="75">
        <v>5</v>
      </c>
      <c r="K1023" s="76">
        <f>VLOOKUP(Tabelle2[[#This Row],[Kunden Nr.]],KUNDEN!A:G,7)</f>
        <v>0</v>
      </c>
      <c r="L1023" s="76">
        <f>VLOOKUP(Tabelle2[[#This Row],[Artikel]],Produkte!A:H,8)</f>
        <v>0.2</v>
      </c>
    </row>
    <row r="1024" spans="1:12" x14ac:dyDescent="0.2">
      <c r="A1024" s="75" t="s">
        <v>769</v>
      </c>
      <c r="B1024" s="79">
        <v>46076</v>
      </c>
      <c r="C1024" s="89">
        <v>8.5</v>
      </c>
      <c r="D1024" s="75"/>
      <c r="E1024" s="75"/>
      <c r="F1024" s="75">
        <v>40002</v>
      </c>
      <c r="G1024" s="76" t="str">
        <f>VLOOKUP(Tabelle2[[#This Row],[Kunden Nr.]],KUNDEN!A:B,2,0)</f>
        <v>FORD BASHKIMI</v>
      </c>
      <c r="H1024" s="75">
        <v>50912</v>
      </c>
      <c r="I1024" s="76" t="str">
        <f>VLOOKUP(Tabelle2[[#This Row],[Artikel]],Produkte!A:B,2,0)</f>
        <v>DICHTUNG</v>
      </c>
      <c r="J1024" s="75">
        <v>1</v>
      </c>
      <c r="K1024" s="76">
        <f>VLOOKUP(Tabelle2[[#This Row],[Kunden Nr.]],KUNDEN!A:G,7)</f>
        <v>0</v>
      </c>
      <c r="L1024" s="76">
        <f>VLOOKUP(Tabelle2[[#This Row],[Artikel]],Produkte!A:H,8)</f>
        <v>0.2</v>
      </c>
    </row>
    <row r="1025" spans="1:12" x14ac:dyDescent="0.2">
      <c r="A1025" s="75" t="s">
        <v>646</v>
      </c>
      <c r="B1025" s="79">
        <v>46077</v>
      </c>
      <c r="C1025" s="89">
        <v>92.4</v>
      </c>
      <c r="D1025" s="75"/>
      <c r="E1025" s="75"/>
      <c r="F1025" s="75">
        <v>10250</v>
      </c>
      <c r="G1025" s="76" t="e">
        <f>VLOOKUP(Tabelle2[[#This Row],[Kunden Nr.]],KUNDEN!A:B,2,0)</f>
        <v>#N/A</v>
      </c>
      <c r="H1025" s="75">
        <v>35108</v>
      </c>
      <c r="I1025" s="76" t="str">
        <f>VLOOKUP(Tabelle2[[#This Row],[Artikel]],Produkte!A:B,2,0)</f>
        <v>M-ONE Sanitar Silikon</v>
      </c>
      <c r="J1025" s="75">
        <v>24</v>
      </c>
      <c r="K1025" s="76" t="str">
        <f>VLOOKUP(Tabelle2[[#This Row],[Kunden Nr.]],KUNDEN!A:G,7)</f>
        <v>Qerimi</v>
      </c>
      <c r="L1025" s="76">
        <f>VLOOKUP(Tabelle2[[#This Row],[Artikel]],Produkte!A:H,8)</f>
        <v>0.17</v>
      </c>
    </row>
    <row r="1026" spans="1:12" x14ac:dyDescent="0.2">
      <c r="A1026" s="75" t="s">
        <v>939</v>
      </c>
      <c r="B1026" s="79">
        <v>46077</v>
      </c>
      <c r="C1026" s="89">
        <v>46.2</v>
      </c>
      <c r="D1026" s="75"/>
      <c r="E1026" s="75"/>
      <c r="F1026" s="75">
        <v>10230</v>
      </c>
      <c r="G1026" s="76" t="str">
        <f>VLOOKUP(Tabelle2[[#This Row],[Kunden Nr.]],KUNDEN!A:B,2,0)</f>
        <v>JETA DUHEL</v>
      </c>
      <c r="H1026" s="75">
        <v>35121</v>
      </c>
      <c r="I1026" s="76" t="str">
        <f>VLOOKUP(Tabelle2[[#This Row],[Artikel]],Produkte!A:B,2,0)</f>
        <v>M-ONE Sanitar Silikon</v>
      </c>
      <c r="J1026" s="75">
        <v>12</v>
      </c>
      <c r="K1026" s="76" t="str">
        <f>VLOOKUP(Tabelle2[[#This Row],[Kunden Nr.]],KUNDEN!A:G,7)</f>
        <v>Qerimi</v>
      </c>
      <c r="L1026" s="76">
        <f>VLOOKUP(Tabelle2[[#This Row],[Artikel]],Produkte!A:H,8)</f>
        <v>0.17</v>
      </c>
    </row>
    <row r="1027" spans="1:12" x14ac:dyDescent="0.2">
      <c r="A1027" s="75" t="s">
        <v>515</v>
      </c>
      <c r="B1027" s="79">
        <v>46077</v>
      </c>
      <c r="C1027" s="89">
        <v>206.4</v>
      </c>
      <c r="D1027" s="75"/>
      <c r="E1027" s="75"/>
      <c r="F1027" s="75">
        <v>10205</v>
      </c>
      <c r="G1027" s="76" t="str">
        <f>VLOOKUP(Tabelle2[[#This Row],[Kunden Nr.]],KUNDEN!A:B,2,0)</f>
        <v>XHAFA</v>
      </c>
      <c r="H1027" s="75">
        <v>35109</v>
      </c>
      <c r="I1027" s="76" t="str">
        <f>VLOOKUP(Tabelle2[[#This Row],[Artikel]],Produkte!A:B,2,0)</f>
        <v>M-ONE Sanitar Silikon</v>
      </c>
      <c r="J1027" s="75">
        <v>12</v>
      </c>
      <c r="K1027" s="76" t="str">
        <f>VLOOKUP(Tabelle2[[#This Row],[Kunden Nr.]],KUNDEN!A:G,7)</f>
        <v>Qerimi</v>
      </c>
      <c r="L1027" s="76">
        <f>VLOOKUP(Tabelle2[[#This Row],[Artikel]],Produkte!A:H,8)</f>
        <v>0.17</v>
      </c>
    </row>
    <row r="1028" spans="1:12" x14ac:dyDescent="0.2">
      <c r="A1028" s="75" t="s">
        <v>515</v>
      </c>
      <c r="B1028" s="79">
        <v>46077</v>
      </c>
      <c r="C1028" s="75"/>
      <c r="D1028" s="75"/>
      <c r="E1028" s="75"/>
      <c r="F1028" s="75">
        <v>10205</v>
      </c>
      <c r="G1028" s="76" t="str">
        <f>VLOOKUP(Tabelle2[[#This Row],[Kunden Nr.]],KUNDEN!A:B,2,0)</f>
        <v>XHAFA</v>
      </c>
      <c r="H1028" s="75">
        <v>35121</v>
      </c>
      <c r="I1028" s="76" t="str">
        <f>VLOOKUP(Tabelle2[[#This Row],[Artikel]],Produkte!A:B,2,0)</f>
        <v>M-ONE Sanitar Silikon</v>
      </c>
      <c r="J1028" s="75">
        <v>12</v>
      </c>
      <c r="K1028" s="76" t="str">
        <f>VLOOKUP(Tabelle2[[#This Row],[Kunden Nr.]],KUNDEN!A:G,7)</f>
        <v>Qerimi</v>
      </c>
      <c r="L1028" s="76">
        <f>VLOOKUP(Tabelle2[[#This Row],[Artikel]],Produkte!A:H,8)</f>
        <v>0.17</v>
      </c>
    </row>
    <row r="1029" spans="1:12" x14ac:dyDescent="0.2">
      <c r="A1029" s="75" t="s">
        <v>515</v>
      </c>
      <c r="B1029" s="79">
        <v>46077</v>
      </c>
      <c r="C1029" s="75"/>
      <c r="D1029" s="75"/>
      <c r="E1029" s="75"/>
      <c r="F1029" s="75">
        <v>10205</v>
      </c>
      <c r="G1029" s="76" t="str">
        <f>VLOOKUP(Tabelle2[[#This Row],[Kunden Nr.]],KUNDEN!A:B,2,0)</f>
        <v>XHAFA</v>
      </c>
      <c r="H1029" s="75">
        <v>35113</v>
      </c>
      <c r="I1029" s="76" t="str">
        <f>VLOOKUP(Tabelle2[[#This Row],[Artikel]],Produkte!A:B,2,0)</f>
        <v>M-ONE Sanitar Silikon</v>
      </c>
      <c r="J1029" s="75">
        <v>12</v>
      </c>
      <c r="K1029" s="76" t="str">
        <f>VLOOKUP(Tabelle2[[#This Row],[Kunden Nr.]],KUNDEN!A:G,7)</f>
        <v>Qerimi</v>
      </c>
      <c r="L1029" s="76">
        <f>VLOOKUP(Tabelle2[[#This Row],[Artikel]],Produkte!A:H,8)</f>
        <v>0.17</v>
      </c>
    </row>
    <row r="1030" spans="1:12" x14ac:dyDescent="0.2">
      <c r="A1030" s="75" t="s">
        <v>515</v>
      </c>
      <c r="B1030" s="79">
        <v>46077</v>
      </c>
      <c r="C1030" s="75"/>
      <c r="D1030" s="75"/>
      <c r="E1030" s="75"/>
      <c r="F1030" s="75">
        <v>10205</v>
      </c>
      <c r="G1030" s="76" t="str">
        <f>VLOOKUP(Tabelle2[[#This Row],[Kunden Nr.]],KUNDEN!A:B,2,0)</f>
        <v>XHAFA</v>
      </c>
      <c r="H1030" s="75">
        <v>35128</v>
      </c>
      <c r="I1030" s="76" t="str">
        <f>VLOOKUP(Tabelle2[[#This Row],[Artikel]],Produkte!A:B,2,0)</f>
        <v>M-ONE Sanitar Silikon</v>
      </c>
      <c r="J1030" s="75">
        <v>12</v>
      </c>
      <c r="K1030" s="76" t="str">
        <f>VLOOKUP(Tabelle2[[#This Row],[Kunden Nr.]],KUNDEN!A:G,7)</f>
        <v>Qerimi</v>
      </c>
      <c r="L1030" s="76">
        <f>VLOOKUP(Tabelle2[[#This Row],[Artikel]],Produkte!A:H,8)</f>
        <v>0.17</v>
      </c>
    </row>
    <row r="1031" spans="1:12" x14ac:dyDescent="0.2">
      <c r="A1031" s="75" t="s">
        <v>515</v>
      </c>
      <c r="B1031" s="79">
        <v>46077</v>
      </c>
      <c r="C1031" s="75"/>
      <c r="D1031" s="75"/>
      <c r="E1031" s="75"/>
      <c r="F1031" s="75">
        <v>10205</v>
      </c>
      <c r="G1031" s="76" t="str">
        <f>VLOOKUP(Tabelle2[[#This Row],[Kunden Nr.]],KUNDEN!A:B,2,0)</f>
        <v>XHAFA</v>
      </c>
      <c r="H1031" s="75">
        <v>50912</v>
      </c>
      <c r="I1031" s="76" t="str">
        <f>VLOOKUP(Tabelle2[[#This Row],[Artikel]],Produkte!A:B,2,0)</f>
        <v>DICHTUNG</v>
      </c>
      <c r="J1031" s="75">
        <v>3</v>
      </c>
      <c r="K1031" s="76" t="str">
        <f>VLOOKUP(Tabelle2[[#This Row],[Kunden Nr.]],KUNDEN!A:G,7)</f>
        <v>Qerimi</v>
      </c>
      <c r="L1031" s="76">
        <f>VLOOKUP(Tabelle2[[#This Row],[Artikel]],Produkte!A:H,8)</f>
        <v>0.2</v>
      </c>
    </row>
    <row r="1032" spans="1:12" x14ac:dyDescent="0.2">
      <c r="A1032" s="75" t="s">
        <v>509</v>
      </c>
      <c r="B1032" s="79">
        <v>46077</v>
      </c>
      <c r="C1032" s="89">
        <v>106</v>
      </c>
      <c r="D1032" s="75"/>
      <c r="E1032" s="75"/>
      <c r="F1032" s="75">
        <v>10201</v>
      </c>
      <c r="G1032" s="76" t="str">
        <f>VLOOKUP(Tabelle2[[#This Row],[Kunden Nr.]],KUNDEN!A:B,2,0)</f>
        <v>TE BESNIKU</v>
      </c>
      <c r="H1032" s="75">
        <v>29802</v>
      </c>
      <c r="I1032" s="76" t="str">
        <f>VLOOKUP(Tabelle2[[#This Row],[Artikel]],Produkte!A:B,2,0)</f>
        <v>beMaker Handwaschpaste</v>
      </c>
      <c r="J1032" s="75">
        <v>8</v>
      </c>
      <c r="K1032" s="76" t="str">
        <f>VLOOKUP(Tabelle2[[#This Row],[Kunden Nr.]],KUNDEN!A:G,7)</f>
        <v>Qerimi</v>
      </c>
      <c r="L1032" s="76">
        <f>VLOOKUP(Tabelle2[[#This Row],[Artikel]],Produkte!A:H,8)</f>
        <v>0.1</v>
      </c>
    </row>
    <row r="1033" spans="1:12" x14ac:dyDescent="0.2">
      <c r="A1033" s="75" t="s">
        <v>509</v>
      </c>
      <c r="B1033" s="79">
        <v>46077</v>
      </c>
      <c r="C1033" s="75"/>
      <c r="D1033" s="75"/>
      <c r="E1033" s="75"/>
      <c r="F1033" s="75">
        <v>10201</v>
      </c>
      <c r="G1033" s="76" t="str">
        <f>VLOOKUP(Tabelle2[[#This Row],[Kunden Nr.]],KUNDEN!A:B,2,0)</f>
        <v>TE BESNIKU</v>
      </c>
      <c r="H1033" s="75">
        <v>35121</v>
      </c>
      <c r="I1033" s="76" t="str">
        <f>VLOOKUP(Tabelle2[[#This Row],[Artikel]],Produkte!A:B,2,0)</f>
        <v>M-ONE Sanitar Silikon</v>
      </c>
      <c r="J1033" s="75">
        <v>24</v>
      </c>
      <c r="K1033" s="76" t="str">
        <f>VLOOKUP(Tabelle2[[#This Row],[Kunden Nr.]],KUNDEN!A:G,7)</f>
        <v>Qerimi</v>
      </c>
      <c r="L1033" s="76">
        <f>VLOOKUP(Tabelle2[[#This Row],[Artikel]],Produkte!A:H,8)</f>
        <v>0.17</v>
      </c>
    </row>
    <row r="1034" spans="1:12" x14ac:dyDescent="0.2">
      <c r="A1034" s="75" t="s">
        <v>1201</v>
      </c>
      <c r="B1034" s="79">
        <v>46077</v>
      </c>
      <c r="C1034" s="89">
        <v>277.2</v>
      </c>
      <c r="D1034" s="75"/>
      <c r="E1034" s="75"/>
      <c r="F1034" s="75">
        <v>10240</v>
      </c>
      <c r="G1034" s="76" t="str">
        <f>VLOOKUP(Tabelle2[[#This Row],[Kunden Nr.]],KUNDEN!A:B,2,0)</f>
        <v>ARPO</v>
      </c>
      <c r="H1034" s="75">
        <v>35110</v>
      </c>
      <c r="I1034" s="76" t="str">
        <f>VLOOKUP(Tabelle2[[#This Row],[Artikel]],Produkte!A:B,2,0)</f>
        <v>M-ONE Sanitar Silikon</v>
      </c>
      <c r="J1034" s="75">
        <v>12</v>
      </c>
      <c r="K1034" s="76" t="str">
        <f>VLOOKUP(Tabelle2[[#This Row],[Kunden Nr.]],KUNDEN!A:G,7)</f>
        <v>Qerimi</v>
      </c>
      <c r="L1034" s="76">
        <f>VLOOKUP(Tabelle2[[#This Row],[Artikel]],Produkte!A:H,8)</f>
        <v>0.17</v>
      </c>
    </row>
    <row r="1035" spans="1:12" x14ac:dyDescent="0.2">
      <c r="A1035" s="75" t="s">
        <v>1201</v>
      </c>
      <c r="B1035" s="79">
        <v>46077</v>
      </c>
      <c r="C1035" s="75"/>
      <c r="D1035" s="75"/>
      <c r="E1035" s="75"/>
      <c r="F1035" s="75">
        <v>10240</v>
      </c>
      <c r="G1035" s="76" t="str">
        <f>VLOOKUP(Tabelle2[[#This Row],[Kunden Nr.]],KUNDEN!A:B,2,0)</f>
        <v>ARPO</v>
      </c>
      <c r="H1035" s="75">
        <v>35111</v>
      </c>
      <c r="I1035" s="76" t="str">
        <f>VLOOKUP(Tabelle2[[#This Row],[Artikel]],Produkte!A:B,2,0)</f>
        <v>M-ONE Sanitar Silikon</v>
      </c>
      <c r="J1035" s="75">
        <v>12</v>
      </c>
      <c r="K1035" s="76" t="str">
        <f>VLOOKUP(Tabelle2[[#This Row],[Kunden Nr.]],KUNDEN!A:G,7)</f>
        <v>Qerimi</v>
      </c>
      <c r="L1035" s="76">
        <f>VLOOKUP(Tabelle2[[#This Row],[Artikel]],Produkte!A:H,8)</f>
        <v>0.17</v>
      </c>
    </row>
    <row r="1036" spans="1:12" x14ac:dyDescent="0.2">
      <c r="A1036" s="75" t="s">
        <v>1201</v>
      </c>
      <c r="B1036" s="79">
        <v>46077</v>
      </c>
      <c r="C1036" s="75"/>
      <c r="D1036" s="75"/>
      <c r="E1036" s="75"/>
      <c r="F1036" s="75">
        <v>10240</v>
      </c>
      <c r="G1036" s="76" t="str">
        <f>VLOOKUP(Tabelle2[[#This Row],[Kunden Nr.]],KUNDEN!A:B,2,0)</f>
        <v>ARPO</v>
      </c>
      <c r="H1036" s="75">
        <v>35113</v>
      </c>
      <c r="I1036" s="76" t="str">
        <f>VLOOKUP(Tabelle2[[#This Row],[Artikel]],Produkte!A:B,2,0)</f>
        <v>M-ONE Sanitar Silikon</v>
      </c>
      <c r="J1036" s="75">
        <v>12</v>
      </c>
      <c r="K1036" s="76" t="str">
        <f>VLOOKUP(Tabelle2[[#This Row],[Kunden Nr.]],KUNDEN!A:G,7)</f>
        <v>Qerimi</v>
      </c>
      <c r="L1036" s="76">
        <f>VLOOKUP(Tabelle2[[#This Row],[Artikel]],Produkte!A:H,8)</f>
        <v>0.17</v>
      </c>
    </row>
    <row r="1037" spans="1:12" x14ac:dyDescent="0.2">
      <c r="A1037" s="75" t="s">
        <v>1201</v>
      </c>
      <c r="B1037" s="79">
        <v>46077</v>
      </c>
      <c r="C1037" s="75"/>
      <c r="D1037" s="75"/>
      <c r="E1037" s="75"/>
      <c r="F1037" s="75">
        <v>10240</v>
      </c>
      <c r="G1037" s="76" t="str">
        <f>VLOOKUP(Tabelle2[[#This Row],[Kunden Nr.]],KUNDEN!A:B,2,0)</f>
        <v>ARPO</v>
      </c>
      <c r="H1037" s="75">
        <v>35115</v>
      </c>
      <c r="I1037" s="76" t="str">
        <f>VLOOKUP(Tabelle2[[#This Row],[Artikel]],Produkte!A:B,2,0)</f>
        <v>M-ONE Sanitar Silikon</v>
      </c>
      <c r="J1037" s="75">
        <v>12</v>
      </c>
      <c r="K1037" s="76" t="str">
        <f>VLOOKUP(Tabelle2[[#This Row],[Kunden Nr.]],KUNDEN!A:G,7)</f>
        <v>Qerimi</v>
      </c>
      <c r="L1037" s="76">
        <f>VLOOKUP(Tabelle2[[#This Row],[Artikel]],Produkte!A:H,8)</f>
        <v>0.17</v>
      </c>
    </row>
    <row r="1038" spans="1:12" x14ac:dyDescent="0.2">
      <c r="A1038" s="75" t="s">
        <v>1201</v>
      </c>
      <c r="B1038" s="79">
        <v>46077</v>
      </c>
      <c r="C1038" s="75"/>
      <c r="D1038" s="75"/>
      <c r="E1038" s="75"/>
      <c r="F1038" s="75">
        <v>10240</v>
      </c>
      <c r="G1038" s="76" t="str">
        <f>VLOOKUP(Tabelle2[[#This Row],[Kunden Nr.]],KUNDEN!A:B,2,0)</f>
        <v>ARPO</v>
      </c>
      <c r="H1038" s="75">
        <v>35121</v>
      </c>
      <c r="I1038" s="76" t="str">
        <f>VLOOKUP(Tabelle2[[#This Row],[Artikel]],Produkte!A:B,2,0)</f>
        <v>M-ONE Sanitar Silikon</v>
      </c>
      <c r="J1038" s="75">
        <v>12</v>
      </c>
      <c r="K1038" s="76" t="str">
        <f>VLOOKUP(Tabelle2[[#This Row],[Kunden Nr.]],KUNDEN!A:G,7)</f>
        <v>Qerimi</v>
      </c>
      <c r="L1038" s="76">
        <f>VLOOKUP(Tabelle2[[#This Row],[Artikel]],Produkte!A:H,8)</f>
        <v>0.17</v>
      </c>
    </row>
    <row r="1039" spans="1:12" x14ac:dyDescent="0.2">
      <c r="A1039" s="75" t="s">
        <v>1201</v>
      </c>
      <c r="B1039" s="79">
        <v>46077</v>
      </c>
      <c r="C1039" s="75"/>
      <c r="D1039" s="75"/>
      <c r="E1039" s="75"/>
      <c r="F1039" s="75">
        <v>10240</v>
      </c>
      <c r="G1039" s="76" t="str">
        <f>VLOOKUP(Tabelle2[[#This Row],[Kunden Nr.]],KUNDEN!A:B,2,0)</f>
        <v>ARPO</v>
      </c>
      <c r="H1039" s="75">
        <v>35125</v>
      </c>
      <c r="I1039" s="76" t="str">
        <f>VLOOKUP(Tabelle2[[#This Row],[Artikel]],Produkte!A:B,2,0)</f>
        <v>M-ONE Sanitar Silikon</v>
      </c>
      <c r="J1039" s="75">
        <v>12</v>
      </c>
      <c r="K1039" s="76" t="str">
        <f>VLOOKUP(Tabelle2[[#This Row],[Kunden Nr.]],KUNDEN!A:G,7)</f>
        <v>Qerimi</v>
      </c>
      <c r="L1039" s="76">
        <f>VLOOKUP(Tabelle2[[#This Row],[Artikel]],Produkte!A:H,8)</f>
        <v>0.17</v>
      </c>
    </row>
    <row r="1040" spans="1:12" x14ac:dyDescent="0.2">
      <c r="A1040" s="75" t="s">
        <v>1201</v>
      </c>
      <c r="B1040" s="79">
        <v>46077</v>
      </c>
      <c r="C1040" s="75"/>
      <c r="D1040" s="75"/>
      <c r="E1040" s="75"/>
      <c r="F1040" s="75">
        <v>10240</v>
      </c>
      <c r="G1040" s="76" t="str">
        <f>VLOOKUP(Tabelle2[[#This Row],[Kunden Nr.]],KUNDEN!A:B,2,0)</f>
        <v>ARPO</v>
      </c>
      <c r="H1040" s="75">
        <v>51611</v>
      </c>
      <c r="I1040" s="76" t="str">
        <f>VLOOKUP(Tabelle2[[#This Row],[Artikel]],Produkte!A:B,2,0)</f>
        <v>universal akryl</v>
      </c>
      <c r="J1040" s="75">
        <v>24</v>
      </c>
      <c r="K1040" s="76" t="str">
        <f>VLOOKUP(Tabelle2[[#This Row],[Kunden Nr.]],KUNDEN!A:G,7)</f>
        <v>Qerimi</v>
      </c>
      <c r="L1040" s="76">
        <f>VLOOKUP(Tabelle2[[#This Row],[Artikel]],Produkte!A:H,8)</f>
        <v>0.06</v>
      </c>
    </row>
    <row r="1041" spans="1:12" x14ac:dyDescent="0.2">
      <c r="A1041" s="75" t="s">
        <v>1179</v>
      </c>
      <c r="B1041" s="79">
        <v>46077</v>
      </c>
      <c r="C1041" s="89">
        <v>92.4</v>
      </c>
      <c r="D1041" s="75"/>
      <c r="E1041" s="75"/>
      <c r="F1041" s="75">
        <v>40019</v>
      </c>
      <c r="G1041" s="76" t="str">
        <f>VLOOKUP(Tabelle2[[#This Row],[Kunden Nr.]],KUNDEN!A:B,2,0)</f>
        <v>TEMAJ</v>
      </c>
      <c r="H1041" s="75">
        <v>35113</v>
      </c>
      <c r="I1041" s="76" t="str">
        <f>VLOOKUP(Tabelle2[[#This Row],[Artikel]],Produkte!A:B,2,0)</f>
        <v>M-ONE Sanitar Silikon</v>
      </c>
      <c r="J1041" s="75">
        <v>24</v>
      </c>
      <c r="K1041" s="76">
        <f>VLOOKUP(Tabelle2[[#This Row],[Kunden Nr.]],KUNDEN!A:G,7)</f>
        <v>0</v>
      </c>
      <c r="L1041" s="76">
        <f>VLOOKUP(Tabelle2[[#This Row],[Artikel]],Produkte!A:H,8)</f>
        <v>0.17</v>
      </c>
    </row>
    <row r="1042" spans="1:12" x14ac:dyDescent="0.2">
      <c r="A1042" s="75" t="s">
        <v>1298</v>
      </c>
      <c r="B1042" s="79">
        <v>46077</v>
      </c>
      <c r="C1042" s="89">
        <v>348</v>
      </c>
      <c r="D1042" s="75"/>
      <c r="E1042" s="75"/>
      <c r="F1042" s="75">
        <v>10255</v>
      </c>
      <c r="G1042" s="76" t="str">
        <f>VLOOKUP(Tabelle2[[#This Row],[Kunden Nr.]],KUNDEN!A:B,2,0)</f>
        <v>QEMA</v>
      </c>
      <c r="H1042" s="75">
        <v>66701</v>
      </c>
      <c r="I1042" s="76" t="str">
        <f>VLOOKUP(Tabelle2[[#This Row],[Artikel]],Produkte!A:B,2,0)</f>
        <v>PROFIMONT EXTREME</v>
      </c>
      <c r="J1042" s="75">
        <v>60</v>
      </c>
      <c r="K1042" s="76" t="str">
        <f>VLOOKUP(Tabelle2[[#This Row],[Kunden Nr.]],KUNDEN!A:G,7)</f>
        <v>Qerimi</v>
      </c>
      <c r="L1042" s="76">
        <f>VLOOKUP(Tabelle2[[#This Row],[Artikel]],Produkte!A:H,8)</f>
        <v>0.2</v>
      </c>
    </row>
    <row r="1043" spans="1:12" x14ac:dyDescent="0.2">
      <c r="A1043" s="75" t="s">
        <v>423</v>
      </c>
      <c r="B1043" s="79">
        <v>46077</v>
      </c>
      <c r="C1043" s="89">
        <v>92.4</v>
      </c>
      <c r="D1043" s="75"/>
      <c r="E1043" s="75"/>
      <c r="F1043" s="75">
        <v>20210</v>
      </c>
      <c r="G1043" s="76" t="str">
        <f>VLOOKUP(Tabelle2[[#This Row],[Kunden Nr.]],KUNDEN!A:B,2,0)</f>
        <v>PROSAN</v>
      </c>
      <c r="H1043" s="75">
        <v>35110</v>
      </c>
      <c r="I1043" s="76" t="str">
        <f>VLOOKUP(Tabelle2[[#This Row],[Artikel]],Produkte!A:B,2,0)</f>
        <v>M-ONE Sanitar Silikon</v>
      </c>
      <c r="J1043" s="75">
        <v>24</v>
      </c>
      <c r="K1043" s="76" t="str">
        <f>VLOOKUP(Tabelle2[[#This Row],[Kunden Nr.]],KUNDEN!A:G,7)</f>
        <v>Mensuri</v>
      </c>
      <c r="L1043" s="76">
        <f>VLOOKUP(Tabelle2[[#This Row],[Artikel]],Produkte!A:H,8)</f>
        <v>0.17</v>
      </c>
    </row>
    <row r="1044" spans="1:12" x14ac:dyDescent="0.2">
      <c r="A1044" s="75" t="s">
        <v>1041</v>
      </c>
      <c r="B1044" s="79">
        <v>46077</v>
      </c>
      <c r="C1044" s="89">
        <v>80</v>
      </c>
      <c r="D1044" s="75"/>
      <c r="E1044" s="75"/>
      <c r="F1044" s="75">
        <v>20223</v>
      </c>
      <c r="G1044" s="76" t="str">
        <f>VLOOKUP(Tabelle2[[#This Row],[Kunden Nr.]],KUNDEN!A:B,2,0)</f>
        <v>GER COLORS</v>
      </c>
      <c r="H1044" s="75">
        <v>12000</v>
      </c>
      <c r="I1044" s="76" t="str">
        <f>VLOOKUP(Tabelle2[[#This Row],[Artikel]],Produkte!A:B,2,0)</f>
        <v>BAU CLEAN</v>
      </c>
      <c r="J1044" s="75">
        <v>10</v>
      </c>
      <c r="K1044" s="76" t="str">
        <f>VLOOKUP(Tabelle2[[#This Row],[Kunden Nr.]],KUNDEN!A:G,7)</f>
        <v>Mensuri</v>
      </c>
      <c r="L1044" s="76">
        <f>VLOOKUP(Tabelle2[[#This Row],[Artikel]],Produkte!A:H,8)</f>
        <v>0.5</v>
      </c>
    </row>
    <row r="1045" spans="1:12" x14ac:dyDescent="0.2">
      <c r="A1045" s="75" t="s">
        <v>422</v>
      </c>
      <c r="B1045" s="79">
        <v>46077</v>
      </c>
      <c r="C1045" s="89">
        <v>190.2</v>
      </c>
      <c r="D1045" s="75"/>
      <c r="E1045" s="75"/>
      <c r="F1045" s="75">
        <v>20209</v>
      </c>
      <c r="G1045" s="76" t="str">
        <f>VLOOKUP(Tabelle2[[#This Row],[Kunden Nr.]],KUNDEN!A:B,2,0)</f>
        <v>LETAJ</v>
      </c>
      <c r="H1045" s="75">
        <v>35110</v>
      </c>
      <c r="I1045" s="76" t="str">
        <f>VLOOKUP(Tabelle2[[#This Row],[Artikel]],Produkte!A:B,2,0)</f>
        <v>M-ONE Sanitar Silikon</v>
      </c>
      <c r="J1045" s="75">
        <v>12</v>
      </c>
      <c r="K1045" s="76" t="str">
        <f>VLOOKUP(Tabelle2[[#This Row],[Kunden Nr.]],KUNDEN!A:G,7)</f>
        <v>Mensuri</v>
      </c>
      <c r="L1045" s="76">
        <f>VLOOKUP(Tabelle2[[#This Row],[Artikel]],Produkte!A:H,8)</f>
        <v>0.17</v>
      </c>
    </row>
    <row r="1046" spans="1:12" x14ac:dyDescent="0.2">
      <c r="A1046" s="75" t="s">
        <v>422</v>
      </c>
      <c r="B1046" s="79">
        <v>46077</v>
      </c>
      <c r="C1046" s="75"/>
      <c r="D1046" s="75"/>
      <c r="E1046" s="75"/>
      <c r="F1046" s="75">
        <v>20209</v>
      </c>
      <c r="G1046" s="76" t="str">
        <f>VLOOKUP(Tabelle2[[#This Row],[Kunden Nr.]],KUNDEN!A:B,2,0)</f>
        <v>LETAJ</v>
      </c>
      <c r="H1046" s="75">
        <v>35111</v>
      </c>
      <c r="I1046" s="76" t="str">
        <f>VLOOKUP(Tabelle2[[#This Row],[Artikel]],Produkte!A:B,2,0)</f>
        <v>M-ONE Sanitar Silikon</v>
      </c>
      <c r="J1046" s="75">
        <v>12</v>
      </c>
      <c r="K1046" s="76" t="str">
        <f>VLOOKUP(Tabelle2[[#This Row],[Kunden Nr.]],KUNDEN!A:G,7)</f>
        <v>Mensuri</v>
      </c>
      <c r="L1046" s="76">
        <f>VLOOKUP(Tabelle2[[#This Row],[Artikel]],Produkte!A:H,8)</f>
        <v>0.17</v>
      </c>
    </row>
    <row r="1047" spans="1:12" x14ac:dyDescent="0.2">
      <c r="A1047" s="75" t="s">
        <v>422</v>
      </c>
      <c r="B1047" s="79">
        <v>46077</v>
      </c>
      <c r="C1047" s="75"/>
      <c r="D1047" s="75"/>
      <c r="E1047" s="75"/>
      <c r="F1047" s="75">
        <v>20209</v>
      </c>
      <c r="G1047" s="76" t="str">
        <f>VLOOKUP(Tabelle2[[#This Row],[Kunden Nr.]],KUNDEN!A:B,2,0)</f>
        <v>LETAJ</v>
      </c>
      <c r="H1047" s="75">
        <v>35114</v>
      </c>
      <c r="I1047" s="76" t="str">
        <f>VLOOKUP(Tabelle2[[#This Row],[Artikel]],Produkte!A:B,2,0)</f>
        <v>M-ONE Sanitar Silikon</v>
      </c>
      <c r="J1047" s="75">
        <v>12</v>
      </c>
      <c r="K1047" s="76" t="str">
        <f>VLOOKUP(Tabelle2[[#This Row],[Kunden Nr.]],KUNDEN!A:G,7)</f>
        <v>Mensuri</v>
      </c>
      <c r="L1047" s="76">
        <f>VLOOKUP(Tabelle2[[#This Row],[Artikel]],Produkte!A:H,8)</f>
        <v>0.17</v>
      </c>
    </row>
    <row r="1048" spans="1:12" x14ac:dyDescent="0.2">
      <c r="A1048" s="75" t="s">
        <v>422</v>
      </c>
      <c r="B1048" s="79">
        <v>46077</v>
      </c>
      <c r="C1048" s="75"/>
      <c r="D1048" s="75"/>
      <c r="E1048" s="75"/>
      <c r="F1048" s="75">
        <v>20209</v>
      </c>
      <c r="G1048" s="76" t="str">
        <f>VLOOKUP(Tabelle2[[#This Row],[Kunden Nr.]],KUNDEN!A:B,2,0)</f>
        <v>LETAJ</v>
      </c>
      <c r="H1048" s="75">
        <v>49644</v>
      </c>
      <c r="I1048" s="76" t="str">
        <f>VLOOKUP(Tabelle2[[#This Row],[Artikel]],Produkte!A:B,2,0)</f>
        <v>beMAKER Rostlöser</v>
      </c>
      <c r="J1048" s="75">
        <v>12</v>
      </c>
      <c r="K1048" s="76" t="str">
        <f>VLOOKUP(Tabelle2[[#This Row],[Kunden Nr.]],KUNDEN!A:G,7)</f>
        <v>Mensuri</v>
      </c>
      <c r="L1048" s="76">
        <f>VLOOKUP(Tabelle2[[#This Row],[Artikel]],Produkte!A:H,8)</f>
        <v>0.2</v>
      </c>
    </row>
    <row r="1049" spans="1:12" x14ac:dyDescent="0.2">
      <c r="A1049" s="75" t="s">
        <v>422</v>
      </c>
      <c r="B1049" s="79">
        <v>46077</v>
      </c>
      <c r="C1049" s="75"/>
      <c r="D1049" s="75"/>
      <c r="E1049" s="75"/>
      <c r="F1049" s="75">
        <v>20209</v>
      </c>
      <c r="G1049" s="76" t="str">
        <f>VLOOKUP(Tabelle2[[#This Row],[Kunden Nr.]],KUNDEN!A:B,2,0)</f>
        <v>LETAJ</v>
      </c>
      <c r="H1049" s="75">
        <v>51612</v>
      </c>
      <c r="I1049" s="76" t="str">
        <f>VLOOKUP(Tabelle2[[#This Row],[Artikel]],Produkte!A:B,2,0)</f>
        <v>struktural akryl</v>
      </c>
      <c r="J1049" s="75">
        <v>12</v>
      </c>
      <c r="K1049" s="76" t="str">
        <f>VLOOKUP(Tabelle2[[#This Row],[Kunden Nr.]],KUNDEN!A:G,7)</f>
        <v>Mensuri</v>
      </c>
      <c r="L1049" s="76">
        <f>VLOOKUP(Tabelle2[[#This Row],[Artikel]],Produkte!A:H,8)</f>
        <v>0.06</v>
      </c>
    </row>
    <row r="1050" spans="1:12" x14ac:dyDescent="0.2">
      <c r="A1050" s="75" t="s">
        <v>1041</v>
      </c>
      <c r="B1050" s="79">
        <v>46077</v>
      </c>
      <c r="C1050" s="89">
        <v>208.2</v>
      </c>
      <c r="D1050" s="75"/>
      <c r="E1050" s="75"/>
      <c r="F1050" s="75">
        <v>20223</v>
      </c>
      <c r="G1050" s="76" t="str">
        <f>VLOOKUP(Tabelle2[[#This Row],[Kunden Nr.]],KUNDEN!A:B,2,0)</f>
        <v>GER COLORS</v>
      </c>
      <c r="H1050" s="75">
        <v>66701</v>
      </c>
      <c r="I1050" s="76" t="str">
        <f>VLOOKUP(Tabelle2[[#This Row],[Artikel]],Produkte!A:B,2,0)</f>
        <v>PROFIMONT EXTREME</v>
      </c>
      <c r="J1050" s="75">
        <v>12</v>
      </c>
      <c r="K1050" s="76" t="str">
        <f>VLOOKUP(Tabelle2[[#This Row],[Kunden Nr.]],KUNDEN!A:G,7)</f>
        <v>Mensuri</v>
      </c>
      <c r="L1050" s="76">
        <f>VLOOKUP(Tabelle2[[#This Row],[Artikel]],Produkte!A:H,8)</f>
        <v>0.2</v>
      </c>
    </row>
    <row r="1051" spans="1:12" x14ac:dyDescent="0.2">
      <c r="A1051" s="75" t="s">
        <v>1041</v>
      </c>
      <c r="B1051" s="79">
        <v>46077</v>
      </c>
      <c r="C1051" s="75"/>
      <c r="D1051" s="75"/>
      <c r="E1051" s="75"/>
      <c r="F1051" s="75">
        <v>20223</v>
      </c>
      <c r="G1051" s="76" t="str">
        <f>VLOOKUP(Tabelle2[[#This Row],[Kunden Nr.]],KUNDEN!A:B,2,0)</f>
        <v>GER COLORS</v>
      </c>
      <c r="H1051" s="75">
        <v>35108</v>
      </c>
      <c r="I1051" s="76" t="str">
        <f>VLOOKUP(Tabelle2[[#This Row],[Artikel]],Produkte!A:B,2,0)</f>
        <v>M-ONE Sanitar Silikon</v>
      </c>
      <c r="J1051" s="75">
        <v>12</v>
      </c>
      <c r="K1051" s="76" t="str">
        <f>VLOOKUP(Tabelle2[[#This Row],[Kunden Nr.]],KUNDEN!A:G,7)</f>
        <v>Mensuri</v>
      </c>
      <c r="L1051" s="76">
        <f>VLOOKUP(Tabelle2[[#This Row],[Artikel]],Produkte!A:H,8)</f>
        <v>0.17</v>
      </c>
    </row>
    <row r="1052" spans="1:12" x14ac:dyDescent="0.2">
      <c r="A1052" s="75" t="s">
        <v>1041</v>
      </c>
      <c r="B1052" s="79">
        <v>46077</v>
      </c>
      <c r="C1052" s="75"/>
      <c r="D1052" s="75"/>
      <c r="E1052" s="75"/>
      <c r="F1052" s="75">
        <v>20223</v>
      </c>
      <c r="G1052" s="76" t="str">
        <f>VLOOKUP(Tabelle2[[#This Row],[Kunden Nr.]],KUNDEN!A:B,2,0)</f>
        <v>GER COLORS</v>
      </c>
      <c r="H1052" s="75">
        <v>35121</v>
      </c>
      <c r="I1052" s="76" t="str">
        <f>VLOOKUP(Tabelle2[[#This Row],[Artikel]],Produkte!A:B,2,0)</f>
        <v>M-ONE Sanitar Silikon</v>
      </c>
      <c r="J1052" s="75">
        <v>12</v>
      </c>
      <c r="K1052" s="76" t="str">
        <f>VLOOKUP(Tabelle2[[#This Row],[Kunden Nr.]],KUNDEN!A:G,7)</f>
        <v>Mensuri</v>
      </c>
      <c r="L1052" s="76">
        <f>VLOOKUP(Tabelle2[[#This Row],[Artikel]],Produkte!A:H,8)</f>
        <v>0.17</v>
      </c>
    </row>
    <row r="1053" spans="1:12" x14ac:dyDescent="0.2">
      <c r="A1053" s="75" t="s">
        <v>1041</v>
      </c>
      <c r="B1053" s="79">
        <v>46077</v>
      </c>
      <c r="C1053" s="75"/>
      <c r="D1053" s="75"/>
      <c r="E1053" s="75"/>
      <c r="F1053" s="75">
        <v>20223</v>
      </c>
      <c r="G1053" s="76" t="str">
        <f>VLOOKUP(Tabelle2[[#This Row],[Kunden Nr.]],KUNDEN!A:B,2,0)</f>
        <v>GER COLORS</v>
      </c>
      <c r="H1053" s="75">
        <v>35125</v>
      </c>
      <c r="I1053" s="76" t="str">
        <f>VLOOKUP(Tabelle2[[#This Row],[Artikel]],Produkte!A:B,2,0)</f>
        <v>M-ONE Sanitar Silikon</v>
      </c>
      <c r="J1053" s="75">
        <v>12</v>
      </c>
      <c r="K1053" s="76" t="str">
        <f>VLOOKUP(Tabelle2[[#This Row],[Kunden Nr.]],KUNDEN!A:G,7)</f>
        <v>Mensuri</v>
      </c>
      <c r="L1053" s="76">
        <f>VLOOKUP(Tabelle2[[#This Row],[Artikel]],Produkte!A:H,8)</f>
        <v>0.17</v>
      </c>
    </row>
    <row r="1054" spans="1:12" x14ac:dyDescent="0.2">
      <c r="A1054" s="75" t="s">
        <v>425</v>
      </c>
      <c r="B1054" s="79">
        <v>46077</v>
      </c>
      <c r="C1054" s="89">
        <v>138.6</v>
      </c>
      <c r="D1054" s="75"/>
      <c r="E1054" s="75"/>
      <c r="F1054" s="75">
        <v>20212</v>
      </c>
      <c r="G1054" s="76" t="str">
        <f>VLOOKUP(Tabelle2[[#This Row],[Kunden Nr.]],KUNDEN!A:B,2,0)</f>
        <v>INOX 2</v>
      </c>
      <c r="H1054" s="75">
        <v>35108</v>
      </c>
      <c r="I1054" s="76" t="str">
        <f>VLOOKUP(Tabelle2[[#This Row],[Artikel]],Produkte!A:B,2,0)</f>
        <v>M-ONE Sanitar Silikon</v>
      </c>
      <c r="J1054" s="75">
        <v>12</v>
      </c>
      <c r="K1054" s="76" t="str">
        <f>VLOOKUP(Tabelle2[[#This Row],[Kunden Nr.]],KUNDEN!A:G,7)</f>
        <v>Mensuri</v>
      </c>
      <c r="L1054" s="76">
        <f>VLOOKUP(Tabelle2[[#This Row],[Artikel]],Produkte!A:H,8)</f>
        <v>0.17</v>
      </c>
    </row>
    <row r="1055" spans="1:12" x14ac:dyDescent="0.2">
      <c r="A1055" s="75" t="s">
        <v>425</v>
      </c>
      <c r="B1055" s="79">
        <v>46077</v>
      </c>
      <c r="C1055" s="75"/>
      <c r="D1055" s="75"/>
      <c r="E1055" s="75"/>
      <c r="F1055" s="75">
        <v>20212</v>
      </c>
      <c r="G1055" s="76" t="str">
        <f>VLOOKUP(Tabelle2[[#This Row],[Kunden Nr.]],KUNDEN!A:B,2,0)</f>
        <v>INOX 2</v>
      </c>
      <c r="H1055" s="75">
        <v>35109</v>
      </c>
      <c r="I1055" s="76" t="str">
        <f>VLOOKUP(Tabelle2[[#This Row],[Artikel]],Produkte!A:B,2,0)</f>
        <v>M-ONE Sanitar Silikon</v>
      </c>
      <c r="J1055" s="75">
        <v>12</v>
      </c>
      <c r="K1055" s="76" t="str">
        <f>VLOOKUP(Tabelle2[[#This Row],[Kunden Nr.]],KUNDEN!A:G,7)</f>
        <v>Mensuri</v>
      </c>
      <c r="L1055" s="76">
        <f>VLOOKUP(Tabelle2[[#This Row],[Artikel]],Produkte!A:H,8)</f>
        <v>0.17</v>
      </c>
    </row>
    <row r="1056" spans="1:12" x14ac:dyDescent="0.2">
      <c r="A1056" s="75" t="s">
        <v>425</v>
      </c>
      <c r="B1056" s="79">
        <v>46077</v>
      </c>
      <c r="C1056" s="75"/>
      <c r="D1056" s="75"/>
      <c r="E1056" s="75"/>
      <c r="F1056" s="75">
        <v>20212</v>
      </c>
      <c r="G1056" s="76" t="str">
        <f>VLOOKUP(Tabelle2[[#This Row],[Kunden Nr.]],KUNDEN!A:B,2,0)</f>
        <v>INOX 2</v>
      </c>
      <c r="H1056" s="75">
        <v>35121</v>
      </c>
      <c r="I1056" s="76" t="str">
        <f>VLOOKUP(Tabelle2[[#This Row],[Artikel]],Produkte!A:B,2,0)</f>
        <v>M-ONE Sanitar Silikon</v>
      </c>
      <c r="J1056" s="75">
        <v>12</v>
      </c>
      <c r="K1056" s="76" t="str">
        <f>VLOOKUP(Tabelle2[[#This Row],[Kunden Nr.]],KUNDEN!A:G,7)</f>
        <v>Mensuri</v>
      </c>
      <c r="L1056" s="76">
        <f>VLOOKUP(Tabelle2[[#This Row],[Artikel]],Produkte!A:H,8)</f>
        <v>0.17</v>
      </c>
    </row>
    <row r="1057" spans="1:12" x14ac:dyDescent="0.2">
      <c r="A1057" s="75" t="s">
        <v>442</v>
      </c>
      <c r="B1057" s="79">
        <v>46077</v>
      </c>
      <c r="C1057" s="89">
        <v>115.8</v>
      </c>
      <c r="D1057" s="75"/>
      <c r="E1057" s="75"/>
      <c r="F1057" s="75">
        <v>20208</v>
      </c>
      <c r="G1057" s="76" t="str">
        <f>VLOOKUP(Tabelle2[[#This Row],[Kunden Nr.]],KUNDEN!A:B,2,0)</f>
        <v>V. GJONAJ</v>
      </c>
      <c r="H1057" s="75">
        <v>35113</v>
      </c>
      <c r="I1057" s="76" t="str">
        <f>VLOOKUP(Tabelle2[[#This Row],[Artikel]],Produkte!A:B,2,0)</f>
        <v>M-ONE Sanitar Silikon</v>
      </c>
      <c r="J1057" s="75">
        <v>12</v>
      </c>
      <c r="K1057" s="76" t="str">
        <f>VLOOKUP(Tabelle2[[#This Row],[Kunden Nr.]],KUNDEN!A:G,7)</f>
        <v>Mensuri</v>
      </c>
      <c r="L1057" s="76">
        <f>VLOOKUP(Tabelle2[[#This Row],[Artikel]],Produkte!A:H,8)</f>
        <v>0.17</v>
      </c>
    </row>
    <row r="1058" spans="1:12" x14ac:dyDescent="0.2">
      <c r="A1058" s="75" t="s">
        <v>442</v>
      </c>
      <c r="B1058" s="79">
        <v>46077</v>
      </c>
      <c r="C1058" s="75"/>
      <c r="D1058" s="75"/>
      <c r="E1058" s="75"/>
      <c r="F1058" s="75">
        <v>20208</v>
      </c>
      <c r="G1058" s="76" t="str">
        <f>VLOOKUP(Tabelle2[[#This Row],[Kunden Nr.]],KUNDEN!A:B,2,0)</f>
        <v>V. GJONAJ</v>
      </c>
      <c r="H1058" s="75">
        <v>66701</v>
      </c>
      <c r="I1058" s="76" t="str">
        <f>VLOOKUP(Tabelle2[[#This Row],[Artikel]],Produkte!A:B,2,0)</f>
        <v>PROFIMONT EXTREME</v>
      </c>
      <c r="J1058" s="75">
        <v>12</v>
      </c>
      <c r="K1058" s="76" t="str">
        <f>VLOOKUP(Tabelle2[[#This Row],[Kunden Nr.]],KUNDEN!A:G,7)</f>
        <v>Mensuri</v>
      </c>
      <c r="L1058" s="76">
        <f>VLOOKUP(Tabelle2[[#This Row],[Artikel]],Produkte!A:H,8)</f>
        <v>0.2</v>
      </c>
    </row>
    <row r="1059" spans="1:12" x14ac:dyDescent="0.2">
      <c r="A1059" s="75" t="s">
        <v>418</v>
      </c>
      <c r="B1059" s="79">
        <v>46077</v>
      </c>
      <c r="C1059" s="89">
        <v>232.8</v>
      </c>
      <c r="D1059" s="75"/>
      <c r="E1059" s="75"/>
      <c r="F1059" s="75">
        <v>20203</v>
      </c>
      <c r="G1059" s="76" t="str">
        <f>VLOOKUP(Tabelle2[[#This Row],[Kunden Nr.]],KUNDEN!A:B,2,0)</f>
        <v>AFRIMI-AG</v>
      </c>
      <c r="H1059" s="75">
        <v>35110</v>
      </c>
      <c r="I1059" s="76" t="str">
        <f>VLOOKUP(Tabelle2[[#This Row],[Artikel]],Produkte!A:B,2,0)</f>
        <v>M-ONE Sanitar Silikon</v>
      </c>
      <c r="J1059" s="75">
        <v>12</v>
      </c>
      <c r="K1059" s="76" t="str">
        <f>VLOOKUP(Tabelle2[[#This Row],[Kunden Nr.]],KUNDEN!A:G,7)</f>
        <v>Mensuri</v>
      </c>
      <c r="L1059" s="76">
        <f>VLOOKUP(Tabelle2[[#This Row],[Artikel]],Produkte!A:H,8)</f>
        <v>0.17</v>
      </c>
    </row>
    <row r="1060" spans="1:12" x14ac:dyDescent="0.2">
      <c r="A1060" s="75" t="s">
        <v>418</v>
      </c>
      <c r="B1060" s="79">
        <v>46077</v>
      </c>
      <c r="C1060" s="75"/>
      <c r="D1060" s="75"/>
      <c r="E1060" s="75"/>
      <c r="F1060" s="75">
        <v>20203</v>
      </c>
      <c r="G1060" s="76" t="str">
        <f>VLOOKUP(Tabelle2[[#This Row],[Kunden Nr.]],KUNDEN!A:B,2,0)</f>
        <v>AFRIMI-AG</v>
      </c>
      <c r="H1060" s="75">
        <v>35111</v>
      </c>
      <c r="I1060" s="76" t="str">
        <f>VLOOKUP(Tabelle2[[#This Row],[Artikel]],Produkte!A:B,2,0)</f>
        <v>M-ONE Sanitar Silikon</v>
      </c>
      <c r="J1060" s="75">
        <v>12</v>
      </c>
      <c r="K1060" s="76" t="str">
        <f>VLOOKUP(Tabelle2[[#This Row],[Kunden Nr.]],KUNDEN!A:G,7)</f>
        <v>Mensuri</v>
      </c>
      <c r="L1060" s="76">
        <f>VLOOKUP(Tabelle2[[#This Row],[Artikel]],Produkte!A:H,8)</f>
        <v>0.17</v>
      </c>
    </row>
    <row r="1061" spans="1:12" x14ac:dyDescent="0.2">
      <c r="A1061" s="75" t="s">
        <v>418</v>
      </c>
      <c r="B1061" s="79">
        <v>46077</v>
      </c>
      <c r="C1061" s="75"/>
      <c r="D1061" s="75"/>
      <c r="E1061" s="75"/>
      <c r="F1061" s="75">
        <v>20203</v>
      </c>
      <c r="G1061" s="76" t="str">
        <f>VLOOKUP(Tabelle2[[#This Row],[Kunden Nr.]],KUNDEN!A:B,2,0)</f>
        <v>AFRIMI-AG</v>
      </c>
      <c r="H1061" s="75">
        <v>35113</v>
      </c>
      <c r="I1061" s="76" t="str">
        <f>VLOOKUP(Tabelle2[[#This Row],[Artikel]],Produkte!A:B,2,0)</f>
        <v>M-ONE Sanitar Silikon</v>
      </c>
      <c r="J1061" s="75">
        <v>12</v>
      </c>
      <c r="K1061" s="76" t="str">
        <f>VLOOKUP(Tabelle2[[#This Row],[Kunden Nr.]],KUNDEN!A:G,7)</f>
        <v>Mensuri</v>
      </c>
      <c r="L1061" s="76">
        <f>VLOOKUP(Tabelle2[[#This Row],[Artikel]],Produkte!A:H,8)</f>
        <v>0.17</v>
      </c>
    </row>
    <row r="1062" spans="1:12" x14ac:dyDescent="0.2">
      <c r="A1062" s="75" t="s">
        <v>418</v>
      </c>
      <c r="B1062" s="79">
        <v>46077</v>
      </c>
      <c r="C1062" s="75"/>
      <c r="D1062" s="75"/>
      <c r="E1062" s="75"/>
      <c r="F1062" s="75">
        <v>20203</v>
      </c>
      <c r="G1062" s="76" t="str">
        <f>VLOOKUP(Tabelle2[[#This Row],[Kunden Nr.]],KUNDEN!A:B,2,0)</f>
        <v>AFRIMI-AG</v>
      </c>
      <c r="H1062" s="75">
        <v>35128</v>
      </c>
      <c r="I1062" s="76" t="str">
        <f>VLOOKUP(Tabelle2[[#This Row],[Artikel]],Produkte!A:B,2,0)</f>
        <v>M-ONE Sanitar Silikon</v>
      </c>
      <c r="J1062" s="75">
        <v>12</v>
      </c>
      <c r="K1062" s="76" t="str">
        <f>VLOOKUP(Tabelle2[[#This Row],[Kunden Nr.]],KUNDEN!A:G,7)</f>
        <v>Mensuri</v>
      </c>
      <c r="L1062" s="76">
        <f>VLOOKUP(Tabelle2[[#This Row],[Artikel]],Produkte!A:H,8)</f>
        <v>0.17</v>
      </c>
    </row>
    <row r="1063" spans="1:12" x14ac:dyDescent="0.2">
      <c r="A1063" s="75" t="s">
        <v>418</v>
      </c>
      <c r="B1063" s="79">
        <v>46077</v>
      </c>
      <c r="C1063" s="75"/>
      <c r="D1063" s="75"/>
      <c r="E1063" s="75"/>
      <c r="F1063" s="75">
        <v>20203</v>
      </c>
      <c r="G1063" s="76" t="str">
        <f>VLOOKUP(Tabelle2[[#This Row],[Kunden Nr.]],KUNDEN!A:B,2,0)</f>
        <v>AFRIMI-AG</v>
      </c>
      <c r="H1063" s="75">
        <v>56117</v>
      </c>
      <c r="I1063" s="76" t="str">
        <f>VLOOKUP(Tabelle2[[#This Row],[Artikel]],Produkte!A:B,2,0)</f>
        <v>M ONE UBS</v>
      </c>
      <c r="J1063" s="75">
        <v>12</v>
      </c>
      <c r="K1063" s="76" t="str">
        <f>VLOOKUP(Tabelle2[[#This Row],[Kunden Nr.]],KUNDEN!A:G,7)</f>
        <v>Mensuri</v>
      </c>
      <c r="L1063" s="76">
        <f>VLOOKUP(Tabelle2[[#This Row],[Artikel]],Produkte!A:H,8)</f>
        <v>0.2</v>
      </c>
    </row>
    <row r="1064" spans="1:12" x14ac:dyDescent="0.2">
      <c r="A1064" s="75" t="s">
        <v>963</v>
      </c>
      <c r="B1064" s="79">
        <v>46077</v>
      </c>
      <c r="C1064" s="89">
        <v>154.6</v>
      </c>
      <c r="D1064" s="75"/>
      <c r="E1064" s="75"/>
      <c r="F1064" s="75">
        <v>20201</v>
      </c>
      <c r="G1064" s="76" t="str">
        <f>VLOOKUP(Tabelle2[[#This Row],[Kunden Nr.]],KUNDEN!A:B,2,0)</f>
        <v>TE BESIMI</v>
      </c>
      <c r="H1064" s="75">
        <v>35110</v>
      </c>
      <c r="I1064" s="76" t="str">
        <f>VLOOKUP(Tabelle2[[#This Row],[Artikel]],Produkte!A:B,2,0)</f>
        <v>M-ONE Sanitar Silikon</v>
      </c>
      <c r="J1064" s="75">
        <v>12</v>
      </c>
      <c r="K1064" s="76" t="str">
        <f>VLOOKUP(Tabelle2[[#This Row],[Kunden Nr.]],KUNDEN!A:G,7)</f>
        <v>Mensuri</v>
      </c>
      <c r="L1064" s="76">
        <f>VLOOKUP(Tabelle2[[#This Row],[Artikel]],Produkte!A:H,8)</f>
        <v>0.17</v>
      </c>
    </row>
    <row r="1065" spans="1:12" x14ac:dyDescent="0.2">
      <c r="A1065" s="75" t="s">
        <v>963</v>
      </c>
      <c r="B1065" s="79">
        <v>46077</v>
      </c>
      <c r="C1065" s="75"/>
      <c r="D1065" s="75"/>
      <c r="E1065" s="75"/>
      <c r="F1065" s="75">
        <v>20201</v>
      </c>
      <c r="G1065" s="76" t="str">
        <f>VLOOKUP(Tabelle2[[#This Row],[Kunden Nr.]],KUNDEN!A:B,2,0)</f>
        <v>TE BESIMI</v>
      </c>
      <c r="H1065" s="75">
        <v>35111</v>
      </c>
      <c r="I1065" s="76" t="str">
        <f>VLOOKUP(Tabelle2[[#This Row],[Artikel]],Produkte!A:B,2,0)</f>
        <v>M-ONE Sanitar Silikon</v>
      </c>
      <c r="J1065" s="75">
        <v>12</v>
      </c>
      <c r="K1065" s="76" t="str">
        <f>VLOOKUP(Tabelle2[[#This Row],[Kunden Nr.]],KUNDEN!A:G,7)</f>
        <v>Mensuri</v>
      </c>
      <c r="L1065" s="76">
        <f>VLOOKUP(Tabelle2[[#This Row],[Artikel]],Produkte!A:H,8)</f>
        <v>0.17</v>
      </c>
    </row>
    <row r="1066" spans="1:12" x14ac:dyDescent="0.2">
      <c r="A1066" s="75" t="s">
        <v>963</v>
      </c>
      <c r="B1066" s="79">
        <v>46077</v>
      </c>
      <c r="C1066" s="75"/>
      <c r="D1066" s="75"/>
      <c r="E1066" s="75"/>
      <c r="F1066" s="75">
        <v>20201</v>
      </c>
      <c r="G1066" s="76" t="str">
        <f>VLOOKUP(Tabelle2[[#This Row],[Kunden Nr.]],KUNDEN!A:B,2,0)</f>
        <v>TE BESIMI</v>
      </c>
      <c r="H1066" s="75">
        <v>35115</v>
      </c>
      <c r="I1066" s="76" t="str">
        <f>VLOOKUP(Tabelle2[[#This Row],[Artikel]],Produkte!A:B,2,0)</f>
        <v>M-ONE Sanitar Silikon</v>
      </c>
      <c r="J1066" s="75">
        <v>12</v>
      </c>
      <c r="K1066" s="76" t="str">
        <f>VLOOKUP(Tabelle2[[#This Row],[Kunden Nr.]],KUNDEN!A:G,7)</f>
        <v>Mensuri</v>
      </c>
      <c r="L1066" s="76">
        <f>VLOOKUP(Tabelle2[[#This Row],[Artikel]],Produkte!A:H,8)</f>
        <v>0.17</v>
      </c>
    </row>
    <row r="1067" spans="1:12" x14ac:dyDescent="0.2">
      <c r="A1067" s="75" t="s">
        <v>963</v>
      </c>
      <c r="B1067" s="79">
        <v>46077</v>
      </c>
      <c r="C1067" s="75"/>
      <c r="D1067" s="75"/>
      <c r="E1067" s="75"/>
      <c r="F1067" s="75">
        <v>20201</v>
      </c>
      <c r="G1067" s="76" t="str">
        <f>VLOOKUP(Tabelle2[[#This Row],[Kunden Nr.]],KUNDEN!A:B,2,0)</f>
        <v>TE BESIMI</v>
      </c>
      <c r="H1067" s="75">
        <v>50912</v>
      </c>
      <c r="I1067" s="76" t="str">
        <f>VLOOKUP(Tabelle2[[#This Row],[Artikel]],Produkte!A:B,2,0)</f>
        <v>DICHTUNG</v>
      </c>
      <c r="J1067" s="75">
        <v>2</v>
      </c>
      <c r="K1067" s="76" t="str">
        <f>VLOOKUP(Tabelle2[[#This Row],[Kunden Nr.]],KUNDEN!A:G,7)</f>
        <v>Mensuri</v>
      </c>
      <c r="L1067" s="76">
        <f>VLOOKUP(Tabelle2[[#This Row],[Artikel]],Produkte!A:H,8)</f>
        <v>0.2</v>
      </c>
    </row>
    <row r="1068" spans="1:12" x14ac:dyDescent="0.2">
      <c r="A1068" s="75" t="s">
        <v>670</v>
      </c>
      <c r="B1068" s="79">
        <v>46077</v>
      </c>
      <c r="C1068" s="89">
        <v>92.4</v>
      </c>
      <c r="D1068" s="75"/>
      <c r="E1068" s="75"/>
      <c r="F1068" s="75">
        <v>20206</v>
      </c>
      <c r="G1068" s="76" t="str">
        <f>VLOOKUP(Tabelle2[[#This Row],[Kunden Nr.]],KUNDEN!A:B,2,0)</f>
        <v>ERENIKU</v>
      </c>
      <c r="H1068" s="75">
        <v>35109</v>
      </c>
      <c r="I1068" s="76" t="str">
        <f>VLOOKUP(Tabelle2[[#This Row],[Artikel]],Produkte!A:B,2,0)</f>
        <v>M-ONE Sanitar Silikon</v>
      </c>
      <c r="J1068" s="75">
        <v>12</v>
      </c>
      <c r="K1068" s="76" t="str">
        <f>VLOOKUP(Tabelle2[[#This Row],[Kunden Nr.]],KUNDEN!A:G,7)</f>
        <v>Mensuri</v>
      </c>
      <c r="L1068" s="76">
        <f>VLOOKUP(Tabelle2[[#This Row],[Artikel]],Produkte!A:H,8)</f>
        <v>0.17</v>
      </c>
    </row>
    <row r="1069" spans="1:12" x14ac:dyDescent="0.2">
      <c r="A1069" s="75" t="s">
        <v>670</v>
      </c>
      <c r="B1069" s="79">
        <v>46077</v>
      </c>
      <c r="C1069" s="75"/>
      <c r="D1069" s="75"/>
      <c r="E1069" s="75"/>
      <c r="F1069" s="75">
        <v>20206</v>
      </c>
      <c r="G1069" s="76" t="str">
        <f>VLOOKUP(Tabelle2[[#This Row],[Kunden Nr.]],KUNDEN!A:B,2,0)</f>
        <v>ERENIKU</v>
      </c>
      <c r="H1069" s="75">
        <v>35125</v>
      </c>
      <c r="I1069" s="76" t="str">
        <f>VLOOKUP(Tabelle2[[#This Row],[Artikel]],Produkte!A:B,2,0)</f>
        <v>M-ONE Sanitar Silikon</v>
      </c>
      <c r="J1069" s="75">
        <v>12</v>
      </c>
      <c r="K1069" s="76" t="str">
        <f>VLOOKUP(Tabelle2[[#This Row],[Kunden Nr.]],KUNDEN!A:G,7)</f>
        <v>Mensuri</v>
      </c>
      <c r="L1069" s="76">
        <f>VLOOKUP(Tabelle2[[#This Row],[Artikel]],Produkte!A:H,8)</f>
        <v>0.17</v>
      </c>
    </row>
    <row r="1070" spans="1:12" x14ac:dyDescent="0.2">
      <c r="A1070" s="75" t="s">
        <v>8</v>
      </c>
      <c r="B1070" s="79">
        <v>46078</v>
      </c>
      <c r="C1070" s="89">
        <v>36</v>
      </c>
      <c r="D1070" s="75"/>
      <c r="E1070" s="75"/>
      <c r="F1070" s="75">
        <v>10304</v>
      </c>
      <c r="G1070" s="76" t="str">
        <f>VLOOKUP(Tabelle2[[#This Row],[Kunden Nr.]],KUNDEN!A:B,2,0)</f>
        <v>EUROSAN</v>
      </c>
      <c r="H1070" s="75">
        <v>20001</v>
      </c>
      <c r="I1070" s="76" t="str">
        <f>VLOOKUP(Tabelle2[[#This Row],[Artikel]],Produkte!A:B,2,0)</f>
        <v>BioBlic Universalreiniger</v>
      </c>
      <c r="J1070" s="75">
        <v>10</v>
      </c>
      <c r="K1070" s="76" t="str">
        <f>VLOOKUP(Tabelle2[[#This Row],[Kunden Nr.]],KUNDEN!A:G,7)</f>
        <v>Qerimi</v>
      </c>
      <c r="L1070" s="76">
        <f>VLOOKUP(Tabelle2[[#This Row],[Artikel]],Produkte!A:H,8)</f>
        <v>0.30000000000000004</v>
      </c>
    </row>
    <row r="1071" spans="1:12" x14ac:dyDescent="0.2">
      <c r="A1071" s="75" t="s">
        <v>8</v>
      </c>
      <c r="B1071" s="79">
        <v>46078</v>
      </c>
      <c r="C1071" s="75"/>
      <c r="D1071" s="75"/>
      <c r="E1071" s="75"/>
      <c r="F1071" s="75">
        <v>10304</v>
      </c>
      <c r="G1071" s="76" t="str">
        <f>VLOOKUP(Tabelle2[[#This Row],[Kunden Nr.]],KUNDEN!A:B,2,0)</f>
        <v>EUROSAN</v>
      </c>
      <c r="H1071" s="75">
        <v>30276</v>
      </c>
      <c r="I1071" s="76" t="str">
        <f>VLOOKUP(Tabelle2[[#This Row],[Artikel]],Produkte!A:B,2,0)</f>
        <v>Bio Blic Antikalk</v>
      </c>
      <c r="J1071" s="75">
        <v>10</v>
      </c>
      <c r="K1071" s="76" t="str">
        <f>VLOOKUP(Tabelle2[[#This Row],[Kunden Nr.]],KUNDEN!A:G,7)</f>
        <v>Qerimi</v>
      </c>
      <c r="L1071" s="76">
        <f>VLOOKUP(Tabelle2[[#This Row],[Artikel]],Produkte!A:H,8)</f>
        <v>0.30000000000000004</v>
      </c>
    </row>
    <row r="1072" spans="1:12" x14ac:dyDescent="0.2">
      <c r="A1072" s="75" t="s">
        <v>41</v>
      </c>
      <c r="B1072" s="79">
        <v>46078</v>
      </c>
      <c r="C1072" s="89">
        <v>46.2</v>
      </c>
      <c r="D1072" s="75"/>
      <c r="E1072" s="75"/>
      <c r="F1072" s="75">
        <v>10330</v>
      </c>
      <c r="G1072" s="76" t="str">
        <f>VLOOKUP(Tabelle2[[#This Row],[Kunden Nr.]],KUNDEN!A:B,2,0)</f>
        <v>BURIMI</v>
      </c>
      <c r="H1072" s="75">
        <v>35110</v>
      </c>
      <c r="I1072" s="76" t="str">
        <f>VLOOKUP(Tabelle2[[#This Row],[Artikel]],Produkte!A:B,2,0)</f>
        <v>M-ONE Sanitar Silikon</v>
      </c>
      <c r="J1072" s="75">
        <v>12</v>
      </c>
      <c r="K1072" s="76" t="str">
        <f>VLOOKUP(Tabelle2[[#This Row],[Kunden Nr.]],KUNDEN!A:G,7)</f>
        <v>Qerimi</v>
      </c>
      <c r="L1072" s="76">
        <f>VLOOKUP(Tabelle2[[#This Row],[Artikel]],Produkte!A:H,8)</f>
        <v>0.17</v>
      </c>
    </row>
    <row r="1073" spans="1:12" x14ac:dyDescent="0.2">
      <c r="A1073" s="75" t="s">
        <v>43</v>
      </c>
      <c r="B1073" s="79">
        <v>46078</v>
      </c>
      <c r="C1073" s="89">
        <v>92.4</v>
      </c>
      <c r="D1073" s="75"/>
      <c r="E1073" s="75"/>
      <c r="F1073" s="75">
        <v>10332</v>
      </c>
      <c r="G1073" s="76" t="str">
        <f>VLOOKUP(Tabelle2[[#This Row],[Kunden Nr.]],KUNDEN!A:B,2,0)</f>
        <v>DARDANIA</v>
      </c>
      <c r="H1073" s="75">
        <v>35113</v>
      </c>
      <c r="I1073" s="76" t="str">
        <f>VLOOKUP(Tabelle2[[#This Row],[Artikel]],Produkte!A:B,2,0)</f>
        <v>M-ONE Sanitar Silikon</v>
      </c>
      <c r="J1073" s="75">
        <v>12</v>
      </c>
      <c r="K1073" s="76" t="str">
        <f>VLOOKUP(Tabelle2[[#This Row],[Kunden Nr.]],KUNDEN!A:G,7)</f>
        <v>Qerimi</v>
      </c>
      <c r="L1073" s="76">
        <f>VLOOKUP(Tabelle2[[#This Row],[Artikel]],Produkte!A:H,8)</f>
        <v>0.17</v>
      </c>
    </row>
    <row r="1074" spans="1:12" x14ac:dyDescent="0.2">
      <c r="A1074" s="75" t="s">
        <v>43</v>
      </c>
      <c r="B1074" s="79">
        <v>46078</v>
      </c>
      <c r="C1074" s="75"/>
      <c r="D1074" s="75"/>
      <c r="E1074" s="75"/>
      <c r="F1074" s="75">
        <v>10332</v>
      </c>
      <c r="G1074" s="76" t="str">
        <f>VLOOKUP(Tabelle2[[#This Row],[Kunden Nr.]],KUNDEN!A:B,2,0)</f>
        <v>DARDANIA</v>
      </c>
      <c r="H1074" s="75">
        <v>35121</v>
      </c>
      <c r="I1074" s="76" t="str">
        <f>VLOOKUP(Tabelle2[[#This Row],[Artikel]],Produkte!A:B,2,0)</f>
        <v>M-ONE Sanitar Silikon</v>
      </c>
      <c r="J1074" s="75">
        <v>12</v>
      </c>
      <c r="K1074" s="76" t="str">
        <f>VLOOKUP(Tabelle2[[#This Row],[Kunden Nr.]],KUNDEN!A:G,7)</f>
        <v>Qerimi</v>
      </c>
      <c r="L1074" s="76">
        <f>VLOOKUP(Tabelle2[[#This Row],[Artikel]],Produkte!A:H,8)</f>
        <v>0.17</v>
      </c>
    </row>
    <row r="1075" spans="1:12" x14ac:dyDescent="0.2">
      <c r="A1075" s="75" t="s">
        <v>5</v>
      </c>
      <c r="B1075" s="79">
        <v>46078</v>
      </c>
      <c r="C1075" s="89">
        <v>46.2</v>
      </c>
      <c r="D1075" s="75"/>
      <c r="E1075" s="75"/>
      <c r="F1075" s="75">
        <v>10301</v>
      </c>
      <c r="G1075" s="76" t="str">
        <f>VLOOKUP(Tabelle2[[#This Row],[Kunden Nr.]],KUNDEN!A:B,2,0)</f>
        <v>FUNDAMETI</v>
      </c>
      <c r="H1075" s="75">
        <v>35113</v>
      </c>
      <c r="I1075" s="76" t="str">
        <f>VLOOKUP(Tabelle2[[#This Row],[Artikel]],Produkte!A:B,2,0)</f>
        <v>M-ONE Sanitar Silikon</v>
      </c>
      <c r="J1075" s="75">
        <v>12</v>
      </c>
      <c r="K1075" s="76" t="str">
        <f>VLOOKUP(Tabelle2[[#This Row],[Kunden Nr.]],KUNDEN!A:G,7)</f>
        <v>Qerimi</v>
      </c>
      <c r="L1075" s="76">
        <f>VLOOKUP(Tabelle2[[#This Row],[Artikel]],Produkte!A:H,8)</f>
        <v>0.17</v>
      </c>
    </row>
    <row r="1076" spans="1:12" x14ac:dyDescent="0.2">
      <c r="A1076" s="75" t="s">
        <v>413</v>
      </c>
      <c r="B1076" s="79">
        <v>46078</v>
      </c>
      <c r="C1076" s="89">
        <v>138.6</v>
      </c>
      <c r="D1076" s="75"/>
      <c r="E1076" s="75"/>
      <c r="F1076" s="75">
        <v>10350</v>
      </c>
      <c r="G1076" s="76" t="str">
        <f>VLOOKUP(Tabelle2[[#This Row],[Kunden Nr.]],KUNDEN!A:B,2,0)</f>
        <v>BALLKANI</v>
      </c>
      <c r="H1076" s="75">
        <v>35121</v>
      </c>
      <c r="I1076" s="76" t="str">
        <f>VLOOKUP(Tabelle2[[#This Row],[Artikel]],Produkte!A:B,2,0)</f>
        <v>M-ONE Sanitar Silikon</v>
      </c>
      <c r="J1076" s="75">
        <v>24</v>
      </c>
      <c r="K1076" s="76" t="str">
        <f>VLOOKUP(Tabelle2[[#This Row],[Kunden Nr.]],KUNDEN!A:G,7)</f>
        <v>Qerimi</v>
      </c>
      <c r="L1076" s="76">
        <f>VLOOKUP(Tabelle2[[#This Row],[Artikel]],Produkte!A:H,8)</f>
        <v>0.17</v>
      </c>
    </row>
    <row r="1077" spans="1:12" x14ac:dyDescent="0.2">
      <c r="A1077" s="75" t="s">
        <v>413</v>
      </c>
      <c r="B1077" s="79">
        <v>46078</v>
      </c>
      <c r="C1077" s="75"/>
      <c r="D1077" s="75"/>
      <c r="E1077" s="75"/>
      <c r="F1077" s="75">
        <v>10350</v>
      </c>
      <c r="G1077" s="76" t="str">
        <f>VLOOKUP(Tabelle2[[#This Row],[Kunden Nr.]],KUNDEN!A:B,2,0)</f>
        <v>BALLKANI</v>
      </c>
      <c r="H1077" s="75">
        <v>35128</v>
      </c>
      <c r="I1077" s="76" t="str">
        <f>VLOOKUP(Tabelle2[[#This Row],[Artikel]],Produkte!A:B,2,0)</f>
        <v>M-ONE Sanitar Silikon</v>
      </c>
      <c r="J1077" s="75">
        <v>12</v>
      </c>
      <c r="K1077" s="76" t="str">
        <f>VLOOKUP(Tabelle2[[#This Row],[Kunden Nr.]],KUNDEN!A:G,7)</f>
        <v>Qerimi</v>
      </c>
      <c r="L1077" s="76">
        <f>VLOOKUP(Tabelle2[[#This Row],[Artikel]],Produkte!A:H,8)</f>
        <v>0.17</v>
      </c>
    </row>
    <row r="1078" spans="1:12" x14ac:dyDescent="0.2">
      <c r="A1078" s="75" t="s">
        <v>415</v>
      </c>
      <c r="B1078" s="79">
        <v>46078</v>
      </c>
      <c r="C1078" s="89">
        <v>92.4</v>
      </c>
      <c r="D1078" s="75"/>
      <c r="E1078" s="75"/>
      <c r="F1078" s="75">
        <v>10352</v>
      </c>
      <c r="G1078" s="76" t="str">
        <f>VLOOKUP(Tabelle2[[#This Row],[Kunden Nr.]],KUNDEN!A:B,2,0)</f>
        <v>SMIRA</v>
      </c>
      <c r="H1078" s="75">
        <v>35109</v>
      </c>
      <c r="I1078" s="76" t="str">
        <f>VLOOKUP(Tabelle2[[#This Row],[Artikel]],Produkte!A:B,2,0)</f>
        <v>M-ONE Sanitar Silikon</v>
      </c>
      <c r="J1078" s="75">
        <v>12</v>
      </c>
      <c r="K1078" s="76" t="str">
        <f>VLOOKUP(Tabelle2[[#This Row],[Kunden Nr.]],KUNDEN!A:G,7)</f>
        <v>Qerimi</v>
      </c>
      <c r="L1078" s="76">
        <f>VLOOKUP(Tabelle2[[#This Row],[Artikel]],Produkte!A:H,8)</f>
        <v>0.17</v>
      </c>
    </row>
    <row r="1079" spans="1:12" x14ac:dyDescent="0.2">
      <c r="A1079" s="75" t="s">
        <v>415</v>
      </c>
      <c r="B1079" s="79">
        <v>46078</v>
      </c>
      <c r="C1079" s="75"/>
      <c r="D1079" s="75"/>
      <c r="E1079" s="75"/>
      <c r="F1079" s="75">
        <v>10352</v>
      </c>
      <c r="G1079" s="76" t="str">
        <f>VLOOKUP(Tabelle2[[#This Row],[Kunden Nr.]],KUNDEN!A:B,2,0)</f>
        <v>SMIRA</v>
      </c>
      <c r="H1079" s="75">
        <v>35110</v>
      </c>
      <c r="I1079" s="76" t="str">
        <f>VLOOKUP(Tabelle2[[#This Row],[Artikel]],Produkte!A:B,2,0)</f>
        <v>M-ONE Sanitar Silikon</v>
      </c>
      <c r="J1079" s="75">
        <v>12</v>
      </c>
      <c r="K1079" s="76" t="str">
        <f>VLOOKUP(Tabelle2[[#This Row],[Kunden Nr.]],KUNDEN!A:G,7)</f>
        <v>Qerimi</v>
      </c>
      <c r="L1079" s="76">
        <f>VLOOKUP(Tabelle2[[#This Row],[Artikel]],Produkte!A:H,8)</f>
        <v>0.17</v>
      </c>
    </row>
    <row r="1080" spans="1:12" x14ac:dyDescent="0.2">
      <c r="A1080" s="75" t="s">
        <v>23</v>
      </c>
      <c r="B1080" s="79">
        <v>46078</v>
      </c>
      <c r="C1080" s="89">
        <v>46</v>
      </c>
      <c r="D1080" s="75"/>
      <c r="E1080" s="75"/>
      <c r="F1080" s="75">
        <v>10317</v>
      </c>
      <c r="G1080" s="76" t="str">
        <f>VLOOKUP(Tabelle2[[#This Row],[Kunden Nr.]],KUNDEN!A:B,2,0)</f>
        <v>BEKA-2</v>
      </c>
      <c r="H1080" s="75">
        <v>50912</v>
      </c>
      <c r="I1080" s="76" t="str">
        <f>VLOOKUP(Tabelle2[[#This Row],[Artikel]],Produkte!A:B,2,0)</f>
        <v>DICHTUNG</v>
      </c>
      <c r="J1080" s="75">
        <v>5</v>
      </c>
      <c r="K1080" s="76" t="str">
        <f>VLOOKUP(Tabelle2[[#This Row],[Kunden Nr.]],KUNDEN!A:G,7)</f>
        <v>Qerimi</v>
      </c>
      <c r="L1080" s="76">
        <f>VLOOKUP(Tabelle2[[#This Row],[Artikel]],Produkte!A:H,8)</f>
        <v>0.2</v>
      </c>
    </row>
    <row r="1081" spans="1:12" x14ac:dyDescent="0.2">
      <c r="A1081" s="75" t="s">
        <v>23</v>
      </c>
      <c r="B1081" s="79">
        <v>46078</v>
      </c>
      <c r="C1081" s="75"/>
      <c r="D1081" s="75"/>
      <c r="E1081" s="75"/>
      <c r="F1081" s="75">
        <v>10317</v>
      </c>
      <c r="G1081" s="76" t="str">
        <f>VLOOKUP(Tabelle2[[#This Row],[Kunden Nr.]],KUNDEN!A:B,2,0)</f>
        <v>BEKA-2</v>
      </c>
      <c r="H1081" s="75">
        <v>49644</v>
      </c>
      <c r="I1081" s="76" t="str">
        <f>VLOOKUP(Tabelle2[[#This Row],[Artikel]],Produkte!A:B,2,0)</f>
        <v>beMAKER Rostlöser</v>
      </c>
      <c r="J1081" s="75">
        <v>5</v>
      </c>
      <c r="K1081" s="76" t="str">
        <f>VLOOKUP(Tabelle2[[#This Row],[Kunden Nr.]],KUNDEN!A:G,7)</f>
        <v>Qerimi</v>
      </c>
      <c r="L1081" s="76">
        <f>VLOOKUP(Tabelle2[[#This Row],[Artikel]],Produkte!A:H,8)</f>
        <v>0.2</v>
      </c>
    </row>
    <row r="1082" spans="1:12" x14ac:dyDescent="0.2">
      <c r="A1082" s="75" t="s">
        <v>1154</v>
      </c>
      <c r="B1082" s="79">
        <v>46078</v>
      </c>
      <c r="C1082" s="89">
        <v>92.4</v>
      </c>
      <c r="D1082" s="75"/>
      <c r="E1082" s="75"/>
      <c r="F1082" s="75">
        <v>10344</v>
      </c>
      <c r="G1082" s="76" t="str">
        <f>VLOOKUP(Tabelle2[[#This Row],[Kunden Nr.]],KUNDEN!A:B,2,0)</f>
        <v>TINA</v>
      </c>
      <c r="H1082" s="75">
        <v>35108</v>
      </c>
      <c r="I1082" s="76" t="str">
        <f>VLOOKUP(Tabelle2[[#This Row],[Artikel]],Produkte!A:B,2,0)</f>
        <v>M-ONE Sanitar Silikon</v>
      </c>
      <c r="J1082" s="75">
        <v>12</v>
      </c>
      <c r="K1082" s="76" t="str">
        <f>VLOOKUP(Tabelle2[[#This Row],[Kunden Nr.]],KUNDEN!A:G,7)</f>
        <v>Qerimi</v>
      </c>
      <c r="L1082" s="76">
        <f>VLOOKUP(Tabelle2[[#This Row],[Artikel]],Produkte!A:H,8)</f>
        <v>0.17</v>
      </c>
    </row>
    <row r="1083" spans="1:12" x14ac:dyDescent="0.2">
      <c r="A1083" s="75" t="s">
        <v>1154</v>
      </c>
      <c r="B1083" s="79">
        <v>46078</v>
      </c>
      <c r="C1083" s="75"/>
      <c r="D1083" s="75"/>
      <c r="E1083" s="75"/>
      <c r="F1083" s="75">
        <v>10344</v>
      </c>
      <c r="G1083" s="76" t="str">
        <f>VLOOKUP(Tabelle2[[#This Row],[Kunden Nr.]],KUNDEN!A:B,2,0)</f>
        <v>TINA</v>
      </c>
      <c r="H1083" s="75">
        <v>35113</v>
      </c>
      <c r="I1083" s="76" t="str">
        <f>VLOOKUP(Tabelle2[[#This Row],[Artikel]],Produkte!A:B,2,0)</f>
        <v>M-ONE Sanitar Silikon</v>
      </c>
      <c r="J1083" s="75">
        <v>12</v>
      </c>
      <c r="K1083" s="76" t="str">
        <f>VLOOKUP(Tabelle2[[#This Row],[Kunden Nr.]],KUNDEN!A:G,7)</f>
        <v>Qerimi</v>
      </c>
      <c r="L1083" s="76">
        <f>VLOOKUP(Tabelle2[[#This Row],[Artikel]],Produkte!A:H,8)</f>
        <v>0.17</v>
      </c>
    </row>
    <row r="1084" spans="1:12" x14ac:dyDescent="0.2">
      <c r="A1084" s="75" t="s">
        <v>12</v>
      </c>
      <c r="B1084" s="79">
        <v>46078</v>
      </c>
      <c r="C1084" s="89">
        <v>46.2</v>
      </c>
      <c r="D1084" s="75"/>
      <c r="E1084" s="75"/>
      <c r="F1084" s="75">
        <v>10308</v>
      </c>
      <c r="G1084" s="76" t="str">
        <f>VLOOKUP(Tabelle2[[#This Row],[Kunden Nr.]],KUNDEN!A:B,2,0)</f>
        <v>ERALP</v>
      </c>
      <c r="H1084" s="75">
        <v>35121</v>
      </c>
      <c r="I1084" s="76" t="str">
        <f>VLOOKUP(Tabelle2[[#This Row],[Artikel]],Produkte!A:B,2,0)</f>
        <v>M-ONE Sanitar Silikon</v>
      </c>
      <c r="J1084" s="75">
        <v>12</v>
      </c>
      <c r="K1084" s="76" t="str">
        <f>VLOOKUP(Tabelle2[[#This Row],[Kunden Nr.]],KUNDEN!A:G,7)</f>
        <v>Qerimi</v>
      </c>
      <c r="L1084" s="76">
        <f>VLOOKUP(Tabelle2[[#This Row],[Artikel]],Produkte!A:H,8)</f>
        <v>0.17</v>
      </c>
    </row>
    <row r="1085" spans="1:12" x14ac:dyDescent="0.2">
      <c r="A1085" s="75" t="s">
        <v>1303</v>
      </c>
      <c r="B1085" s="79">
        <v>46078</v>
      </c>
      <c r="C1085" s="89">
        <v>92.4</v>
      </c>
      <c r="D1085" s="75"/>
      <c r="E1085" s="75"/>
      <c r="F1085" s="75">
        <v>10365</v>
      </c>
      <c r="G1085" s="76" t="str">
        <f>VLOOKUP(Tabelle2[[#This Row],[Kunden Nr.]],KUNDEN!A:B,2,0)</f>
        <v>KETI VEE SHPK</v>
      </c>
      <c r="H1085" s="75">
        <v>35125</v>
      </c>
      <c r="I1085" s="76" t="str">
        <f>VLOOKUP(Tabelle2[[#This Row],[Artikel]],Produkte!A:B,2,0)</f>
        <v>M-ONE Sanitar Silikon</v>
      </c>
      <c r="J1085" s="75">
        <v>24</v>
      </c>
      <c r="K1085" s="76" t="str">
        <f>VLOOKUP(Tabelle2[[#This Row],[Kunden Nr.]],KUNDEN!A:G,7)</f>
        <v>Qerimi</v>
      </c>
      <c r="L1085" s="76">
        <f>VLOOKUP(Tabelle2[[#This Row],[Artikel]],Produkte!A:H,8)</f>
        <v>0.17</v>
      </c>
    </row>
    <row r="1086" spans="1:12" x14ac:dyDescent="0.2">
      <c r="A1086" s="75" t="s">
        <v>614</v>
      </c>
      <c r="B1086" s="79">
        <v>46078</v>
      </c>
      <c r="C1086" s="89">
        <v>162</v>
      </c>
      <c r="D1086" s="75"/>
      <c r="E1086" s="75"/>
      <c r="F1086" s="75">
        <v>20301</v>
      </c>
      <c r="G1086" s="76" t="str">
        <f>VLOOKUP(Tabelle2[[#This Row],[Kunden Nr.]],KUNDEN!A:B,2,0)</f>
        <v>HAZROLLI</v>
      </c>
      <c r="H1086" s="75">
        <v>35110</v>
      </c>
      <c r="I1086" s="76" t="str">
        <f>VLOOKUP(Tabelle2[[#This Row],[Artikel]],Produkte!A:B,2,0)</f>
        <v>M-ONE Sanitar Silikon</v>
      </c>
      <c r="J1086" s="75">
        <v>24</v>
      </c>
      <c r="K1086" s="76" t="str">
        <f>VLOOKUP(Tabelle2[[#This Row],[Kunden Nr.]],KUNDEN!A:G,7)</f>
        <v>Mensuri</v>
      </c>
      <c r="L1086" s="76">
        <f>VLOOKUP(Tabelle2[[#This Row],[Artikel]],Produkte!A:H,8)</f>
        <v>0.17</v>
      </c>
    </row>
    <row r="1087" spans="1:12" x14ac:dyDescent="0.2">
      <c r="A1087" s="75" t="s">
        <v>614</v>
      </c>
      <c r="B1087" s="79">
        <v>46078</v>
      </c>
      <c r="C1087" s="75"/>
      <c r="D1087" s="75"/>
      <c r="E1087" s="75"/>
      <c r="F1087" s="75">
        <v>20301</v>
      </c>
      <c r="G1087" s="76" t="str">
        <f>VLOOKUP(Tabelle2[[#This Row],[Kunden Nr.]],KUNDEN!A:B,2,0)</f>
        <v>HAZROLLI</v>
      </c>
      <c r="H1087" s="75">
        <v>66701</v>
      </c>
      <c r="I1087" s="76" t="str">
        <f>VLOOKUP(Tabelle2[[#This Row],[Artikel]],Produkte!A:B,2,0)</f>
        <v>PROFIMONT EXTREME</v>
      </c>
      <c r="J1087" s="75">
        <v>12</v>
      </c>
      <c r="K1087" s="76" t="str">
        <f>VLOOKUP(Tabelle2[[#This Row],[Kunden Nr.]],KUNDEN!A:G,7)</f>
        <v>Mensuri</v>
      </c>
      <c r="L1087" s="76">
        <f>VLOOKUP(Tabelle2[[#This Row],[Artikel]],Produkte!A:H,8)</f>
        <v>0.2</v>
      </c>
    </row>
    <row r="1088" spans="1:12" x14ac:dyDescent="0.2">
      <c r="A1088" s="75" t="s">
        <v>618</v>
      </c>
      <c r="B1088" s="79">
        <v>46078</v>
      </c>
      <c r="C1088" s="89">
        <v>402</v>
      </c>
      <c r="D1088" s="75"/>
      <c r="E1088" s="75"/>
      <c r="F1088" s="75">
        <v>20307</v>
      </c>
      <c r="G1088" s="76" t="str">
        <f>VLOOKUP(Tabelle2[[#This Row],[Kunden Nr.]],KUNDEN!A:B,2,0)</f>
        <v>CONDOR</v>
      </c>
      <c r="H1088" s="75">
        <v>35109</v>
      </c>
      <c r="I1088" s="76" t="str">
        <f>VLOOKUP(Tabelle2[[#This Row],[Artikel]],Produkte!A:B,2,0)</f>
        <v>M-ONE Sanitar Silikon</v>
      </c>
      <c r="J1088" s="75">
        <v>24</v>
      </c>
      <c r="K1088" s="76" t="str">
        <f>VLOOKUP(Tabelle2[[#This Row],[Kunden Nr.]],KUNDEN!A:G,7)</f>
        <v>Mensuri</v>
      </c>
      <c r="L1088" s="76">
        <f>VLOOKUP(Tabelle2[[#This Row],[Artikel]],Produkte!A:H,8)</f>
        <v>0.17</v>
      </c>
    </row>
    <row r="1089" spans="1:12" x14ac:dyDescent="0.2">
      <c r="A1089" s="75" t="s">
        <v>618</v>
      </c>
      <c r="B1089" s="79">
        <v>46078</v>
      </c>
      <c r="C1089" s="75"/>
      <c r="D1089" s="75"/>
      <c r="E1089" s="75"/>
      <c r="F1089" s="75">
        <v>20307</v>
      </c>
      <c r="G1089" s="76" t="str">
        <f>VLOOKUP(Tabelle2[[#This Row],[Kunden Nr.]],KUNDEN!A:B,2,0)</f>
        <v>CONDOR</v>
      </c>
      <c r="H1089" s="75">
        <v>35110</v>
      </c>
      <c r="I1089" s="76" t="str">
        <f>VLOOKUP(Tabelle2[[#This Row],[Artikel]],Produkte!A:B,2,0)</f>
        <v>M-ONE Sanitar Silikon</v>
      </c>
      <c r="J1089" s="75">
        <v>24</v>
      </c>
      <c r="K1089" s="76" t="str">
        <f>VLOOKUP(Tabelle2[[#This Row],[Kunden Nr.]],KUNDEN!A:G,7)</f>
        <v>Mensuri</v>
      </c>
      <c r="L1089" s="76">
        <f>VLOOKUP(Tabelle2[[#This Row],[Artikel]],Produkte!A:H,8)</f>
        <v>0.17</v>
      </c>
    </row>
    <row r="1090" spans="1:12" x14ac:dyDescent="0.2">
      <c r="A1090" s="75" t="s">
        <v>618</v>
      </c>
      <c r="B1090" s="79">
        <v>46078</v>
      </c>
      <c r="C1090" s="75"/>
      <c r="D1090" s="75"/>
      <c r="E1090" s="75"/>
      <c r="F1090" s="75">
        <v>20307</v>
      </c>
      <c r="G1090" s="76" t="str">
        <f>VLOOKUP(Tabelle2[[#This Row],[Kunden Nr.]],KUNDEN!A:B,2,0)</f>
        <v>CONDOR</v>
      </c>
      <c r="H1090" s="75">
        <v>35113</v>
      </c>
      <c r="I1090" s="76" t="str">
        <f>VLOOKUP(Tabelle2[[#This Row],[Artikel]],Produkte!A:B,2,0)</f>
        <v>M-ONE Sanitar Silikon</v>
      </c>
      <c r="J1090" s="75">
        <v>12</v>
      </c>
      <c r="K1090" s="76" t="str">
        <f>VLOOKUP(Tabelle2[[#This Row],[Kunden Nr.]],KUNDEN!A:G,7)</f>
        <v>Mensuri</v>
      </c>
      <c r="L1090" s="76">
        <f>VLOOKUP(Tabelle2[[#This Row],[Artikel]],Produkte!A:H,8)</f>
        <v>0.17</v>
      </c>
    </row>
    <row r="1091" spans="1:12" x14ac:dyDescent="0.2">
      <c r="A1091" s="75" t="s">
        <v>618</v>
      </c>
      <c r="B1091" s="79">
        <v>46078</v>
      </c>
      <c r="C1091" s="75"/>
      <c r="D1091" s="75"/>
      <c r="E1091" s="75"/>
      <c r="F1091" s="75">
        <v>20307</v>
      </c>
      <c r="G1091" s="76" t="str">
        <f>VLOOKUP(Tabelle2[[#This Row],[Kunden Nr.]],KUNDEN!A:B,2,0)</f>
        <v>CONDOR</v>
      </c>
      <c r="H1091" s="75">
        <v>35128</v>
      </c>
      <c r="I1091" s="76" t="str">
        <f>VLOOKUP(Tabelle2[[#This Row],[Artikel]],Produkte!A:B,2,0)</f>
        <v>M-ONE Sanitar Silikon</v>
      </c>
      <c r="J1091" s="75">
        <v>12</v>
      </c>
      <c r="K1091" s="76" t="str">
        <f>VLOOKUP(Tabelle2[[#This Row],[Kunden Nr.]],KUNDEN!A:G,7)</f>
        <v>Mensuri</v>
      </c>
      <c r="L1091" s="76">
        <f>VLOOKUP(Tabelle2[[#This Row],[Artikel]],Produkte!A:H,8)</f>
        <v>0.17</v>
      </c>
    </row>
    <row r="1092" spans="1:12" x14ac:dyDescent="0.2">
      <c r="A1092" s="75" t="s">
        <v>618</v>
      </c>
      <c r="B1092" s="79">
        <v>46078</v>
      </c>
      <c r="C1092" s="75"/>
      <c r="D1092" s="75"/>
      <c r="E1092" s="75"/>
      <c r="F1092" s="75">
        <v>20307</v>
      </c>
      <c r="G1092" s="76" t="str">
        <f>VLOOKUP(Tabelle2[[#This Row],[Kunden Nr.]],KUNDEN!A:B,2,0)</f>
        <v>CONDOR</v>
      </c>
      <c r="H1092" s="75">
        <v>51612</v>
      </c>
      <c r="I1092" s="76" t="str">
        <f>VLOOKUP(Tabelle2[[#This Row],[Artikel]],Produkte!A:B,2,0)</f>
        <v>struktural akryl</v>
      </c>
      <c r="J1092" s="75">
        <v>24</v>
      </c>
      <c r="K1092" s="76" t="str">
        <f>VLOOKUP(Tabelle2[[#This Row],[Kunden Nr.]],KUNDEN!A:G,7)</f>
        <v>Mensuri</v>
      </c>
      <c r="L1092" s="76">
        <f>VLOOKUP(Tabelle2[[#This Row],[Artikel]],Produkte!A:H,8)</f>
        <v>0.06</v>
      </c>
    </row>
    <row r="1093" spans="1:12" x14ac:dyDescent="0.2">
      <c r="A1093" s="75" t="s">
        <v>618</v>
      </c>
      <c r="B1093" s="79">
        <v>46078</v>
      </c>
      <c r="C1093" s="75"/>
      <c r="D1093" s="75"/>
      <c r="E1093" s="75"/>
      <c r="F1093" s="75">
        <v>20307</v>
      </c>
      <c r="G1093" s="76" t="str">
        <f>VLOOKUP(Tabelle2[[#This Row],[Kunden Nr.]],KUNDEN!A:B,2,0)</f>
        <v>CONDOR</v>
      </c>
      <c r="H1093" s="75">
        <v>66701</v>
      </c>
      <c r="I1093" s="76" t="str">
        <f>VLOOKUP(Tabelle2[[#This Row],[Artikel]],Produkte!A:B,2,0)</f>
        <v>PROFIMONT EXTREME</v>
      </c>
      <c r="J1093" s="75">
        <v>12</v>
      </c>
      <c r="K1093" s="76" t="str">
        <f>VLOOKUP(Tabelle2[[#This Row],[Kunden Nr.]],KUNDEN!A:G,7)</f>
        <v>Mensuri</v>
      </c>
      <c r="L1093" s="76">
        <f>VLOOKUP(Tabelle2[[#This Row],[Artikel]],Produkte!A:H,8)</f>
        <v>0.2</v>
      </c>
    </row>
    <row r="1094" spans="1:12" x14ac:dyDescent="0.2">
      <c r="A1094" s="75" t="s">
        <v>1252</v>
      </c>
      <c r="B1094" s="79">
        <v>46078</v>
      </c>
      <c r="C1094" s="89">
        <v>92.4</v>
      </c>
      <c r="D1094" s="75"/>
      <c r="E1094" s="75"/>
      <c r="F1094" s="75">
        <v>20331</v>
      </c>
      <c r="G1094" s="76" t="str">
        <f>VLOOKUP(Tabelle2[[#This Row],[Kunden Nr.]],KUNDEN!A:B,2,0)</f>
        <v>BARDHI-M</v>
      </c>
      <c r="H1094" s="75">
        <v>35111</v>
      </c>
      <c r="I1094" s="76" t="str">
        <f>VLOOKUP(Tabelle2[[#This Row],[Artikel]],Produkte!A:B,2,0)</f>
        <v>M-ONE Sanitar Silikon</v>
      </c>
      <c r="J1094" s="75">
        <v>12</v>
      </c>
      <c r="K1094" s="76" t="str">
        <f>VLOOKUP(Tabelle2[[#This Row],[Kunden Nr.]],KUNDEN!A:G,7)</f>
        <v>Mensuri</v>
      </c>
      <c r="L1094" s="76">
        <f>VLOOKUP(Tabelle2[[#This Row],[Artikel]],Produkte!A:H,8)</f>
        <v>0.17</v>
      </c>
    </row>
    <row r="1095" spans="1:12" x14ac:dyDescent="0.2">
      <c r="A1095" s="75" t="s">
        <v>1252</v>
      </c>
      <c r="B1095" s="79">
        <v>46078</v>
      </c>
      <c r="C1095" s="75"/>
      <c r="D1095" s="75"/>
      <c r="E1095" s="75"/>
      <c r="F1095" s="75">
        <v>20331</v>
      </c>
      <c r="G1095" s="76" t="str">
        <f>VLOOKUP(Tabelle2[[#This Row],[Kunden Nr.]],KUNDEN!A:B,2,0)</f>
        <v>BARDHI-M</v>
      </c>
      <c r="H1095" s="75">
        <v>35121</v>
      </c>
      <c r="I1095" s="76" t="str">
        <f>VLOOKUP(Tabelle2[[#This Row],[Artikel]],Produkte!A:B,2,0)</f>
        <v>M-ONE Sanitar Silikon</v>
      </c>
      <c r="J1095" s="75">
        <v>12</v>
      </c>
      <c r="K1095" s="76" t="str">
        <f>VLOOKUP(Tabelle2[[#This Row],[Kunden Nr.]],KUNDEN!A:G,7)</f>
        <v>Mensuri</v>
      </c>
      <c r="L1095" s="76">
        <f>VLOOKUP(Tabelle2[[#This Row],[Artikel]],Produkte!A:H,8)</f>
        <v>0.17</v>
      </c>
    </row>
    <row r="1096" spans="1:12" x14ac:dyDescent="0.2">
      <c r="A1096" s="75" t="s">
        <v>617</v>
      </c>
      <c r="B1096" s="79">
        <v>46078</v>
      </c>
      <c r="C1096" s="89">
        <v>138.6</v>
      </c>
      <c r="D1096" s="75"/>
      <c r="E1096" s="75"/>
      <c r="F1096" s="75">
        <v>20306</v>
      </c>
      <c r="G1096" s="76" t="str">
        <f>VLOOKUP(Tabelle2[[#This Row],[Kunden Nr.]],KUNDEN!A:B,2,0)</f>
        <v>FITIMI</v>
      </c>
      <c r="H1096" s="75">
        <v>35110</v>
      </c>
      <c r="I1096" s="76" t="str">
        <f>VLOOKUP(Tabelle2[[#This Row],[Artikel]],Produkte!A:B,2,0)</f>
        <v>M-ONE Sanitar Silikon</v>
      </c>
      <c r="J1096" s="75">
        <v>12</v>
      </c>
      <c r="K1096" s="76" t="str">
        <f>VLOOKUP(Tabelle2[[#This Row],[Kunden Nr.]],KUNDEN!A:G,7)</f>
        <v>Mensuri</v>
      </c>
      <c r="L1096" s="76">
        <f>VLOOKUP(Tabelle2[[#This Row],[Artikel]],Produkte!A:H,8)</f>
        <v>0.17</v>
      </c>
    </row>
    <row r="1097" spans="1:12" x14ac:dyDescent="0.2">
      <c r="A1097" s="75" t="s">
        <v>617</v>
      </c>
      <c r="B1097" s="79">
        <v>46078</v>
      </c>
      <c r="C1097" s="75"/>
      <c r="D1097" s="75"/>
      <c r="E1097" s="75"/>
      <c r="F1097" s="75">
        <v>20306</v>
      </c>
      <c r="G1097" s="76" t="str">
        <f>VLOOKUP(Tabelle2[[#This Row],[Kunden Nr.]],KUNDEN!A:B,2,0)</f>
        <v>FITIMI</v>
      </c>
      <c r="H1097" s="75">
        <v>35115</v>
      </c>
      <c r="I1097" s="76" t="str">
        <f>VLOOKUP(Tabelle2[[#This Row],[Artikel]],Produkte!A:B,2,0)</f>
        <v>M-ONE Sanitar Silikon</v>
      </c>
      <c r="J1097" s="75">
        <v>12</v>
      </c>
      <c r="K1097" s="76" t="str">
        <f>VLOOKUP(Tabelle2[[#This Row],[Kunden Nr.]],KUNDEN!A:G,7)</f>
        <v>Mensuri</v>
      </c>
      <c r="L1097" s="76">
        <f>VLOOKUP(Tabelle2[[#This Row],[Artikel]],Produkte!A:H,8)</f>
        <v>0.17</v>
      </c>
    </row>
    <row r="1098" spans="1:12" x14ac:dyDescent="0.2">
      <c r="A1098" s="75" t="s">
        <v>617</v>
      </c>
      <c r="B1098" s="79">
        <v>46078</v>
      </c>
      <c r="C1098" s="75"/>
      <c r="D1098" s="75"/>
      <c r="E1098" s="75"/>
      <c r="F1098" s="75">
        <v>20306</v>
      </c>
      <c r="G1098" s="76" t="str">
        <f>VLOOKUP(Tabelle2[[#This Row],[Kunden Nr.]],KUNDEN!A:B,2,0)</f>
        <v>FITIMI</v>
      </c>
      <c r="H1098" s="75">
        <v>35121</v>
      </c>
      <c r="I1098" s="76" t="str">
        <f>VLOOKUP(Tabelle2[[#This Row],[Artikel]],Produkte!A:B,2,0)</f>
        <v>M-ONE Sanitar Silikon</v>
      </c>
      <c r="J1098" s="75">
        <v>12</v>
      </c>
      <c r="K1098" s="76" t="str">
        <f>VLOOKUP(Tabelle2[[#This Row],[Kunden Nr.]],KUNDEN!A:G,7)</f>
        <v>Mensuri</v>
      </c>
      <c r="L1098" s="76">
        <f>VLOOKUP(Tabelle2[[#This Row],[Artikel]],Produkte!A:H,8)</f>
        <v>0.17</v>
      </c>
    </row>
    <row r="1099" spans="1:12" x14ac:dyDescent="0.2">
      <c r="A1099" s="75" t="s">
        <v>623</v>
      </c>
      <c r="B1099" s="79">
        <v>46078</v>
      </c>
      <c r="C1099" s="89">
        <v>92.4</v>
      </c>
      <c r="D1099" s="75"/>
      <c r="E1099" s="75"/>
      <c r="F1099" s="75">
        <v>20313</v>
      </c>
      <c r="G1099" s="76" t="str">
        <f>VLOOKUP(Tabelle2[[#This Row],[Kunden Nr.]],KUNDEN!A:B,2,0)</f>
        <v>DURGUTI 3</v>
      </c>
      <c r="H1099" s="75">
        <v>35109</v>
      </c>
      <c r="I1099" s="76" t="str">
        <f>VLOOKUP(Tabelle2[[#This Row],[Artikel]],Produkte!A:B,2,0)</f>
        <v>M-ONE Sanitar Silikon</v>
      </c>
      <c r="J1099" s="75">
        <v>12</v>
      </c>
      <c r="K1099" s="76" t="str">
        <f>VLOOKUP(Tabelle2[[#This Row],[Kunden Nr.]],KUNDEN!A:G,7)</f>
        <v>Mensuri</v>
      </c>
      <c r="L1099" s="76">
        <f>VLOOKUP(Tabelle2[[#This Row],[Artikel]],Produkte!A:H,8)</f>
        <v>0.17</v>
      </c>
    </row>
    <row r="1100" spans="1:12" x14ac:dyDescent="0.2">
      <c r="A1100" s="75" t="s">
        <v>623</v>
      </c>
      <c r="B1100" s="79">
        <v>46078</v>
      </c>
      <c r="C1100" s="75"/>
      <c r="D1100" s="75"/>
      <c r="E1100" s="75"/>
      <c r="F1100" s="75">
        <v>20313</v>
      </c>
      <c r="G1100" s="76" t="str">
        <f>VLOOKUP(Tabelle2[[#This Row],[Kunden Nr.]],KUNDEN!A:B,2,0)</f>
        <v>DURGUTI 3</v>
      </c>
      <c r="H1100" s="75">
        <v>35121</v>
      </c>
      <c r="I1100" s="76" t="str">
        <f>VLOOKUP(Tabelle2[[#This Row],[Artikel]],Produkte!A:B,2,0)</f>
        <v>M-ONE Sanitar Silikon</v>
      </c>
      <c r="J1100" s="75">
        <v>12</v>
      </c>
      <c r="K1100" s="76" t="str">
        <f>VLOOKUP(Tabelle2[[#This Row],[Kunden Nr.]],KUNDEN!A:G,7)</f>
        <v>Mensuri</v>
      </c>
      <c r="L1100" s="76">
        <f>VLOOKUP(Tabelle2[[#This Row],[Artikel]],Produkte!A:H,8)</f>
        <v>0.17</v>
      </c>
    </row>
    <row r="1101" spans="1:12" x14ac:dyDescent="0.2">
      <c r="A1101" s="75" t="s">
        <v>626</v>
      </c>
      <c r="B1101" s="79">
        <v>46078</v>
      </c>
      <c r="C1101" s="89">
        <v>86.4</v>
      </c>
      <c r="D1101" s="75"/>
      <c r="E1101" s="75"/>
      <c r="F1101" s="75">
        <v>20317</v>
      </c>
      <c r="G1101" s="76" t="str">
        <f>VLOOKUP(Tabelle2[[#This Row],[Kunden Nr.]],KUNDEN!A:B,2,0)</f>
        <v>SHEHU-A</v>
      </c>
      <c r="H1101" s="75">
        <v>50912</v>
      </c>
      <c r="I1101" s="76" t="str">
        <f>VLOOKUP(Tabelle2[[#This Row],[Artikel]],Produkte!A:B,2,0)</f>
        <v>DICHTUNG</v>
      </c>
      <c r="J1101" s="75">
        <v>12</v>
      </c>
      <c r="K1101" s="76" t="str">
        <f>VLOOKUP(Tabelle2[[#This Row],[Kunden Nr.]],KUNDEN!A:G,7)</f>
        <v>Mensuri</v>
      </c>
      <c r="L1101" s="76">
        <f>VLOOKUP(Tabelle2[[#This Row],[Artikel]],Produkte!A:H,8)</f>
        <v>0.2</v>
      </c>
    </row>
    <row r="1102" spans="1:12" x14ac:dyDescent="0.2">
      <c r="A1102" s="75" t="s">
        <v>1182</v>
      </c>
      <c r="B1102" s="79">
        <v>46078</v>
      </c>
      <c r="C1102" s="89">
        <v>110.4</v>
      </c>
      <c r="D1102" s="75"/>
      <c r="E1102" s="75"/>
      <c r="F1102" s="75">
        <v>20328</v>
      </c>
      <c r="G1102" s="76" t="str">
        <f>VLOOKUP(Tabelle2[[#This Row],[Kunden Nr.]],KUNDEN!A:B,2,0)</f>
        <v>ARTURI</v>
      </c>
      <c r="H1102" s="75">
        <v>35109</v>
      </c>
      <c r="I1102" s="76" t="str">
        <f>VLOOKUP(Tabelle2[[#This Row],[Artikel]],Produkte!A:B,2,0)</f>
        <v>M-ONE Sanitar Silikon</v>
      </c>
      <c r="J1102" s="75">
        <v>12</v>
      </c>
      <c r="K1102" s="76" t="str">
        <f>VLOOKUP(Tabelle2[[#This Row],[Kunden Nr.]],KUNDEN!A:G,7)</f>
        <v>Mensuri</v>
      </c>
      <c r="L1102" s="76">
        <f>VLOOKUP(Tabelle2[[#This Row],[Artikel]],Produkte!A:H,8)</f>
        <v>0.17</v>
      </c>
    </row>
    <row r="1103" spans="1:12" x14ac:dyDescent="0.2">
      <c r="A1103" s="75" t="s">
        <v>1182</v>
      </c>
      <c r="B1103" s="79">
        <v>46078</v>
      </c>
      <c r="C1103" s="75"/>
      <c r="D1103" s="75"/>
      <c r="E1103" s="75"/>
      <c r="F1103" s="75">
        <v>20328</v>
      </c>
      <c r="G1103" s="76" t="str">
        <f>VLOOKUP(Tabelle2[[#This Row],[Kunden Nr.]],KUNDEN!A:B,2,0)</f>
        <v>ARTURI</v>
      </c>
      <c r="H1103" s="75">
        <v>35110</v>
      </c>
      <c r="I1103" s="76" t="str">
        <f>VLOOKUP(Tabelle2[[#This Row],[Artikel]],Produkte!A:B,2,0)</f>
        <v>M-ONE Sanitar Silikon</v>
      </c>
      <c r="J1103" s="75">
        <v>12</v>
      </c>
      <c r="K1103" s="76" t="str">
        <f>VLOOKUP(Tabelle2[[#This Row],[Kunden Nr.]],KUNDEN!A:G,7)</f>
        <v>Mensuri</v>
      </c>
      <c r="L1103" s="76">
        <f>VLOOKUP(Tabelle2[[#This Row],[Artikel]],Produkte!A:H,8)</f>
        <v>0.17</v>
      </c>
    </row>
    <row r="1104" spans="1:12" x14ac:dyDescent="0.2">
      <c r="A1104" s="75" t="s">
        <v>1182</v>
      </c>
      <c r="B1104" s="79">
        <v>46078</v>
      </c>
      <c r="C1104" s="75"/>
      <c r="D1104" s="75"/>
      <c r="E1104" s="75"/>
      <c r="F1104" s="75">
        <v>20328</v>
      </c>
      <c r="G1104" s="76" t="str">
        <f>VLOOKUP(Tabelle2[[#This Row],[Kunden Nr.]],KUNDEN!A:B,2,0)</f>
        <v>ARTURI</v>
      </c>
      <c r="H1104" s="75">
        <v>31818</v>
      </c>
      <c r="I1104" s="76" t="str">
        <f>VLOOKUP(Tabelle2[[#This Row],[Artikel]],Produkte!A:B,2,0)</f>
        <v>M ONE ANTHRAZIT</v>
      </c>
      <c r="J1104" s="75">
        <v>12</v>
      </c>
      <c r="K1104" s="76" t="str">
        <f>VLOOKUP(Tabelle2[[#This Row],[Kunden Nr.]],KUNDEN!A:G,7)</f>
        <v>Mensuri</v>
      </c>
      <c r="L1104" s="76">
        <f>VLOOKUP(Tabelle2[[#This Row],[Artikel]],Produkte!A:H,8)</f>
        <v>0.15</v>
      </c>
    </row>
    <row r="1105" spans="1:12" x14ac:dyDescent="0.2">
      <c r="A1105" s="75" t="s">
        <v>558</v>
      </c>
      <c r="B1105" s="79">
        <v>46079</v>
      </c>
      <c r="C1105" s="89">
        <v>92.4</v>
      </c>
      <c r="D1105" s="75"/>
      <c r="E1105" s="75"/>
      <c r="F1105" s="75">
        <v>10418</v>
      </c>
      <c r="G1105" s="76" t="str">
        <f>VLOOKUP(Tabelle2[[#This Row],[Kunden Nr.]],KUNDEN!A:B,2,0)</f>
        <v>NDRIQIMI</v>
      </c>
      <c r="H1105" s="75">
        <v>35109</v>
      </c>
      <c r="I1105" s="76" t="str">
        <f>VLOOKUP(Tabelle2[[#This Row],[Artikel]],Produkte!A:B,2,0)</f>
        <v>M-ONE Sanitar Silikon</v>
      </c>
      <c r="J1105" s="75">
        <v>12</v>
      </c>
      <c r="K1105" s="76" t="str">
        <f>VLOOKUP(Tabelle2[[#This Row],[Kunden Nr.]],KUNDEN!A:G,7)</f>
        <v>Qerimi</v>
      </c>
      <c r="L1105" s="76">
        <f>VLOOKUP(Tabelle2[[#This Row],[Artikel]],Produkte!A:H,8)</f>
        <v>0.17</v>
      </c>
    </row>
    <row r="1106" spans="1:12" x14ac:dyDescent="0.2">
      <c r="A1106" s="75" t="s">
        <v>558</v>
      </c>
      <c r="B1106" s="79">
        <v>46079</v>
      </c>
      <c r="C1106" s="75"/>
      <c r="D1106" s="75"/>
      <c r="E1106" s="75"/>
      <c r="F1106" s="75">
        <v>10418</v>
      </c>
      <c r="G1106" s="76" t="str">
        <f>VLOOKUP(Tabelle2[[#This Row],[Kunden Nr.]],KUNDEN!A:B,2,0)</f>
        <v>NDRIQIMI</v>
      </c>
      <c r="H1106" s="75">
        <v>35113</v>
      </c>
      <c r="I1106" s="76" t="str">
        <f>VLOOKUP(Tabelle2[[#This Row],[Artikel]],Produkte!A:B,2,0)</f>
        <v>M-ONE Sanitar Silikon</v>
      </c>
      <c r="J1106" s="75">
        <v>12</v>
      </c>
      <c r="K1106" s="76" t="str">
        <f>VLOOKUP(Tabelle2[[#This Row],[Kunden Nr.]],KUNDEN!A:G,7)</f>
        <v>Qerimi</v>
      </c>
      <c r="L1106" s="76">
        <f>VLOOKUP(Tabelle2[[#This Row],[Artikel]],Produkte!A:H,8)</f>
        <v>0.17</v>
      </c>
    </row>
    <row r="1107" spans="1:12" x14ac:dyDescent="0.2">
      <c r="A1107" s="75" t="s">
        <v>546</v>
      </c>
      <c r="B1107" s="79">
        <v>46079</v>
      </c>
      <c r="C1107" s="89">
        <v>18</v>
      </c>
      <c r="D1107" s="75"/>
      <c r="E1107" s="75"/>
      <c r="F1107" s="75">
        <v>10406</v>
      </c>
      <c r="G1107" s="76" t="str">
        <f>VLOOKUP(Tabelle2[[#This Row],[Kunden Nr.]],KUNDEN!A:B,2,0)</f>
        <v>AGRONI</v>
      </c>
      <c r="H1107" s="75">
        <v>39505</v>
      </c>
      <c r="I1107" s="76" t="str">
        <f>VLOOKUP(Tabelle2[[#This Row],[Artikel]],Produkte!A:B,2,0)</f>
        <v>M ONE SILIKON SPRAY</v>
      </c>
      <c r="J1107" s="75">
        <v>2</v>
      </c>
      <c r="K1107" s="76" t="str">
        <f>VLOOKUP(Tabelle2[[#This Row],[Kunden Nr.]],KUNDEN!A:G,7)</f>
        <v>Qerimi</v>
      </c>
      <c r="L1107" s="76">
        <f>VLOOKUP(Tabelle2[[#This Row],[Artikel]],Produkte!A:H,8)</f>
        <v>0.2</v>
      </c>
    </row>
    <row r="1108" spans="1:12" x14ac:dyDescent="0.2">
      <c r="A1108" s="75" t="s">
        <v>546</v>
      </c>
      <c r="B1108" s="79">
        <v>46079</v>
      </c>
      <c r="C1108" s="75"/>
      <c r="D1108" s="75"/>
      <c r="E1108" s="75"/>
      <c r="F1108" s="75">
        <v>10406</v>
      </c>
      <c r="G1108" s="76" t="str">
        <f>VLOOKUP(Tabelle2[[#This Row],[Kunden Nr.]],KUNDEN!A:B,2,0)</f>
        <v>AGRONI</v>
      </c>
      <c r="H1108" s="75">
        <v>49644</v>
      </c>
      <c r="I1108" s="76" t="str">
        <f>VLOOKUP(Tabelle2[[#This Row],[Artikel]],Produkte!A:B,2,0)</f>
        <v>beMAKER Rostlöser</v>
      </c>
      <c r="J1108" s="75">
        <v>6</v>
      </c>
      <c r="K1108" s="76" t="str">
        <f>VLOOKUP(Tabelle2[[#This Row],[Kunden Nr.]],KUNDEN!A:G,7)</f>
        <v>Qerimi</v>
      </c>
      <c r="L1108" s="76">
        <f>VLOOKUP(Tabelle2[[#This Row],[Artikel]],Produkte!A:H,8)</f>
        <v>0.2</v>
      </c>
    </row>
    <row r="1109" spans="1:12" x14ac:dyDescent="0.2">
      <c r="A1109" s="75" t="s">
        <v>550</v>
      </c>
      <c r="B1109" s="79">
        <v>46079</v>
      </c>
      <c r="C1109" s="89">
        <v>277.2</v>
      </c>
      <c r="D1109" s="75"/>
      <c r="E1109" s="75"/>
      <c r="F1109" s="75">
        <v>10410</v>
      </c>
      <c r="G1109" s="76" t="str">
        <f>VLOOKUP(Tabelle2[[#This Row],[Kunden Nr.]],KUNDEN!A:B,2,0)</f>
        <v>GRANITI</v>
      </c>
      <c r="H1109" s="75">
        <v>35125</v>
      </c>
      <c r="I1109" s="76" t="str">
        <f>VLOOKUP(Tabelle2[[#This Row],[Artikel]],Produkte!A:B,2,0)</f>
        <v>M-ONE Sanitar Silikon</v>
      </c>
      <c r="J1109" s="75">
        <v>24</v>
      </c>
      <c r="K1109" s="76" t="str">
        <f>VLOOKUP(Tabelle2[[#This Row],[Kunden Nr.]],KUNDEN!A:G,7)</f>
        <v>Qerimi</v>
      </c>
      <c r="L1109" s="76">
        <f>VLOOKUP(Tabelle2[[#This Row],[Artikel]],Produkte!A:H,8)</f>
        <v>0.17</v>
      </c>
    </row>
    <row r="1110" spans="1:12" x14ac:dyDescent="0.2">
      <c r="A1110" s="75" t="s">
        <v>550</v>
      </c>
      <c r="B1110" s="79">
        <v>46079</v>
      </c>
      <c r="C1110" s="75"/>
      <c r="D1110" s="75"/>
      <c r="E1110" s="75"/>
      <c r="F1110" s="75">
        <v>10410</v>
      </c>
      <c r="G1110" s="76" t="str">
        <f>VLOOKUP(Tabelle2[[#This Row],[Kunden Nr.]],KUNDEN!A:B,2,0)</f>
        <v>GRANITI</v>
      </c>
      <c r="H1110" s="75">
        <v>35109</v>
      </c>
      <c r="I1110" s="76" t="str">
        <f>VLOOKUP(Tabelle2[[#This Row],[Artikel]],Produkte!A:B,2,0)</f>
        <v>M-ONE Sanitar Silikon</v>
      </c>
      <c r="J1110" s="75">
        <v>12</v>
      </c>
      <c r="K1110" s="76" t="str">
        <f>VLOOKUP(Tabelle2[[#This Row],[Kunden Nr.]],KUNDEN!A:G,7)</f>
        <v>Qerimi</v>
      </c>
      <c r="L1110" s="76">
        <f>VLOOKUP(Tabelle2[[#This Row],[Artikel]],Produkte!A:H,8)</f>
        <v>0.17</v>
      </c>
    </row>
    <row r="1111" spans="1:12" x14ac:dyDescent="0.2">
      <c r="A1111" s="75" t="s">
        <v>550</v>
      </c>
      <c r="B1111" s="79">
        <v>46079</v>
      </c>
      <c r="C1111" s="75"/>
      <c r="D1111" s="75"/>
      <c r="E1111" s="75"/>
      <c r="F1111" s="75">
        <v>10410</v>
      </c>
      <c r="G1111" s="76" t="str">
        <f>VLOOKUP(Tabelle2[[#This Row],[Kunden Nr.]],KUNDEN!A:B,2,0)</f>
        <v>GRANITI</v>
      </c>
      <c r="H1111" s="75">
        <v>35111</v>
      </c>
      <c r="I1111" s="76" t="str">
        <f>VLOOKUP(Tabelle2[[#This Row],[Artikel]],Produkte!A:B,2,0)</f>
        <v>M-ONE Sanitar Silikon</v>
      </c>
      <c r="J1111" s="75">
        <v>12</v>
      </c>
      <c r="K1111" s="76" t="str">
        <f>VLOOKUP(Tabelle2[[#This Row],[Kunden Nr.]],KUNDEN!A:G,7)</f>
        <v>Qerimi</v>
      </c>
      <c r="L1111" s="76">
        <f>VLOOKUP(Tabelle2[[#This Row],[Artikel]],Produkte!A:H,8)</f>
        <v>0.17</v>
      </c>
    </row>
    <row r="1112" spans="1:12" x14ac:dyDescent="0.2">
      <c r="A1112" s="75" t="s">
        <v>550</v>
      </c>
      <c r="B1112" s="79">
        <v>46079</v>
      </c>
      <c r="C1112" s="75"/>
      <c r="D1112" s="75"/>
      <c r="E1112" s="75"/>
      <c r="F1112" s="75">
        <v>10410</v>
      </c>
      <c r="G1112" s="76" t="str">
        <f>VLOOKUP(Tabelle2[[#This Row],[Kunden Nr.]],KUNDEN!A:B,2,0)</f>
        <v>GRANITI</v>
      </c>
      <c r="H1112" s="75">
        <v>35115</v>
      </c>
      <c r="I1112" s="76" t="str">
        <f>VLOOKUP(Tabelle2[[#This Row],[Artikel]],Produkte!A:B,2,0)</f>
        <v>M-ONE Sanitar Silikon</v>
      </c>
      <c r="J1112" s="75">
        <v>12</v>
      </c>
      <c r="K1112" s="76" t="str">
        <f>VLOOKUP(Tabelle2[[#This Row],[Kunden Nr.]],KUNDEN!A:G,7)</f>
        <v>Qerimi</v>
      </c>
      <c r="L1112" s="76">
        <f>VLOOKUP(Tabelle2[[#This Row],[Artikel]],Produkte!A:H,8)</f>
        <v>0.17</v>
      </c>
    </row>
    <row r="1113" spans="1:12" x14ac:dyDescent="0.2">
      <c r="A1113" s="75" t="s">
        <v>550</v>
      </c>
      <c r="B1113" s="79">
        <v>46079</v>
      </c>
      <c r="C1113" s="75"/>
      <c r="D1113" s="75"/>
      <c r="E1113" s="75"/>
      <c r="F1113" s="75">
        <v>10410</v>
      </c>
      <c r="G1113" s="76" t="str">
        <f>VLOOKUP(Tabelle2[[#This Row],[Kunden Nr.]],KUNDEN!A:B,2,0)</f>
        <v>GRANITI</v>
      </c>
      <c r="H1113" s="75">
        <v>35119</v>
      </c>
      <c r="I1113" s="76" t="str">
        <f>VLOOKUP(Tabelle2[[#This Row],[Artikel]],Produkte!A:B,2,0)</f>
        <v>M-ONE Sanitar Silikon</v>
      </c>
      <c r="J1113" s="75">
        <v>12</v>
      </c>
      <c r="K1113" s="76" t="str">
        <f>VLOOKUP(Tabelle2[[#This Row],[Kunden Nr.]],KUNDEN!A:G,7)</f>
        <v>Qerimi</v>
      </c>
      <c r="L1113" s="76">
        <f>VLOOKUP(Tabelle2[[#This Row],[Artikel]],Produkte!A:H,8)</f>
        <v>0.17</v>
      </c>
    </row>
    <row r="1114" spans="1:12" x14ac:dyDescent="0.2">
      <c r="A1114" s="75" t="s">
        <v>540</v>
      </c>
      <c r="B1114" s="79">
        <v>46079</v>
      </c>
      <c r="C1114" s="89">
        <v>46.2</v>
      </c>
      <c r="D1114" s="75"/>
      <c r="E1114" s="75"/>
      <c r="F1114" s="75">
        <v>10401</v>
      </c>
      <c r="G1114" s="76" t="str">
        <f>VLOOKUP(Tabelle2[[#This Row],[Kunden Nr.]],KUNDEN!A:B,2,0)</f>
        <v>DRCOR</v>
      </c>
      <c r="H1114" s="75">
        <v>35115</v>
      </c>
      <c r="I1114" s="76" t="str">
        <f>VLOOKUP(Tabelle2[[#This Row],[Artikel]],Produkte!A:B,2,0)</f>
        <v>M-ONE Sanitar Silikon</v>
      </c>
      <c r="J1114" s="75">
        <v>12</v>
      </c>
      <c r="K1114" s="76" t="str">
        <f>VLOOKUP(Tabelle2[[#This Row],[Kunden Nr.]],KUNDEN!A:G,7)</f>
        <v>Qerimi</v>
      </c>
      <c r="L1114" s="76">
        <f>VLOOKUP(Tabelle2[[#This Row],[Artikel]],Produkte!A:H,8)</f>
        <v>0.17</v>
      </c>
    </row>
    <row r="1115" spans="1:12" x14ac:dyDescent="0.2">
      <c r="A1115" s="75" t="s">
        <v>1177</v>
      </c>
      <c r="B1115" s="79">
        <v>46080</v>
      </c>
      <c r="C1115" s="89">
        <v>20</v>
      </c>
      <c r="D1115" s="75"/>
      <c r="E1115" s="75"/>
      <c r="F1115" s="75">
        <v>40017</v>
      </c>
      <c r="G1115" s="76" t="str">
        <f>VLOOKUP(Tabelle2[[#This Row],[Kunden Nr.]],KUNDEN!A:B,2,0)</f>
        <v>YLLI CONSTRUCION</v>
      </c>
      <c r="H1115" s="75">
        <v>35121</v>
      </c>
      <c r="I1115" s="76" t="str">
        <f>VLOOKUP(Tabelle2[[#This Row],[Artikel]],Produkte!A:B,2,0)</f>
        <v>M-ONE Sanitar Silikon</v>
      </c>
      <c r="J1115" s="75">
        <v>5</v>
      </c>
      <c r="K1115" s="76">
        <f>VLOOKUP(Tabelle2[[#This Row],[Kunden Nr.]],KUNDEN!A:G,7)</f>
        <v>0</v>
      </c>
      <c r="L1115" s="76">
        <f>VLOOKUP(Tabelle2[[#This Row],[Artikel]],Produkte!A:H,8)</f>
        <v>0.17</v>
      </c>
    </row>
    <row r="1116" spans="1:12" x14ac:dyDescent="0.2">
      <c r="A1116" s="75" t="s">
        <v>482</v>
      </c>
      <c r="B1116" s="79">
        <v>46080</v>
      </c>
      <c r="C1116" s="89">
        <v>46.2</v>
      </c>
      <c r="D1116" s="75"/>
      <c r="E1116" s="75"/>
      <c r="F1116" s="75">
        <v>10502</v>
      </c>
      <c r="G1116" s="76" t="str">
        <f>VLOOKUP(Tabelle2[[#This Row],[Kunden Nr.]],KUNDEN!A:B,2,0)</f>
        <v>PROCOM</v>
      </c>
      <c r="H1116" s="75">
        <v>35110</v>
      </c>
      <c r="I1116" s="76" t="str">
        <f>VLOOKUP(Tabelle2[[#This Row],[Artikel]],Produkte!A:B,2,0)</f>
        <v>M-ONE Sanitar Silikon</v>
      </c>
      <c r="J1116" s="75">
        <v>12</v>
      </c>
      <c r="K1116" s="76" t="str">
        <f>VLOOKUP(Tabelle2[[#This Row],[Kunden Nr.]],KUNDEN!A:G,7)</f>
        <v>Qerimi</v>
      </c>
      <c r="L1116" s="76">
        <f>VLOOKUP(Tabelle2[[#This Row],[Artikel]],Produkte!A:H,8)</f>
        <v>0.17</v>
      </c>
    </row>
    <row r="1117" spans="1:12" x14ac:dyDescent="0.2">
      <c r="A1117" s="75" t="s">
        <v>484</v>
      </c>
      <c r="B1117" s="79">
        <v>46080</v>
      </c>
      <c r="C1117" s="89">
        <v>184.8</v>
      </c>
      <c r="D1117" s="75"/>
      <c r="E1117" s="75"/>
      <c r="F1117" s="75">
        <v>10504</v>
      </c>
      <c r="G1117" s="76" t="str">
        <f>VLOOKUP(Tabelle2[[#This Row],[Kunden Nr.]],KUNDEN!A:B,2,0)</f>
        <v>CARRALEVA 1</v>
      </c>
      <c r="H1117" s="75">
        <v>35121</v>
      </c>
      <c r="I1117" s="76" t="str">
        <f>VLOOKUP(Tabelle2[[#This Row],[Artikel]],Produkte!A:B,2,0)</f>
        <v>M-ONE Sanitar Silikon</v>
      </c>
      <c r="J1117" s="75">
        <v>12</v>
      </c>
      <c r="K1117" s="76" t="str">
        <f>VLOOKUP(Tabelle2[[#This Row],[Kunden Nr.]],KUNDEN!A:G,7)</f>
        <v>Qerimi</v>
      </c>
      <c r="L1117" s="76">
        <f>VLOOKUP(Tabelle2[[#This Row],[Artikel]],Produkte!A:H,8)</f>
        <v>0.17</v>
      </c>
    </row>
    <row r="1118" spans="1:12" x14ac:dyDescent="0.2">
      <c r="A1118" s="75" t="s">
        <v>484</v>
      </c>
      <c r="B1118" s="79">
        <v>46080</v>
      </c>
      <c r="C1118" s="75"/>
      <c r="D1118" s="75"/>
      <c r="E1118" s="75"/>
      <c r="F1118" s="75">
        <v>10504</v>
      </c>
      <c r="G1118" s="76" t="str">
        <f>VLOOKUP(Tabelle2[[#This Row],[Kunden Nr.]],KUNDEN!A:B,2,0)</f>
        <v>CARRALEVA 1</v>
      </c>
      <c r="H1118" s="75">
        <v>35110</v>
      </c>
      <c r="I1118" s="76" t="str">
        <f>VLOOKUP(Tabelle2[[#This Row],[Artikel]],Produkte!A:B,2,0)</f>
        <v>M-ONE Sanitar Silikon</v>
      </c>
      <c r="J1118" s="75">
        <v>12</v>
      </c>
      <c r="K1118" s="76" t="str">
        <f>VLOOKUP(Tabelle2[[#This Row],[Kunden Nr.]],KUNDEN!A:G,7)</f>
        <v>Qerimi</v>
      </c>
      <c r="L1118" s="76">
        <f>VLOOKUP(Tabelle2[[#This Row],[Artikel]],Produkte!A:H,8)</f>
        <v>0.17</v>
      </c>
    </row>
    <row r="1119" spans="1:12" x14ac:dyDescent="0.2">
      <c r="A1119" s="75" t="s">
        <v>484</v>
      </c>
      <c r="B1119" s="79">
        <v>46080</v>
      </c>
      <c r="C1119" s="75"/>
      <c r="D1119" s="75"/>
      <c r="E1119" s="75"/>
      <c r="F1119" s="75">
        <v>10504</v>
      </c>
      <c r="G1119" s="76" t="str">
        <f>VLOOKUP(Tabelle2[[#This Row],[Kunden Nr.]],KUNDEN!A:B,2,0)</f>
        <v>CARRALEVA 1</v>
      </c>
      <c r="H1119" s="75">
        <v>35115</v>
      </c>
      <c r="I1119" s="76" t="str">
        <f>VLOOKUP(Tabelle2[[#This Row],[Artikel]],Produkte!A:B,2,0)</f>
        <v>M-ONE Sanitar Silikon</v>
      </c>
      <c r="J1119" s="75">
        <v>24</v>
      </c>
      <c r="K1119" s="76" t="str">
        <f>VLOOKUP(Tabelle2[[#This Row],[Kunden Nr.]],KUNDEN!A:G,7)</f>
        <v>Qerimi</v>
      </c>
      <c r="L1119" s="76">
        <f>VLOOKUP(Tabelle2[[#This Row],[Artikel]],Produkte!A:H,8)</f>
        <v>0.17</v>
      </c>
    </row>
    <row r="1120" spans="1:12" x14ac:dyDescent="0.2">
      <c r="A1120" s="75" t="s">
        <v>489</v>
      </c>
      <c r="B1120" s="79">
        <v>46080</v>
      </c>
      <c r="C1120" s="89">
        <v>92.4</v>
      </c>
      <c r="D1120" s="75"/>
      <c r="E1120" s="75"/>
      <c r="F1120" s="75">
        <v>10511</v>
      </c>
      <c r="G1120" s="76" t="str">
        <f>VLOOKUP(Tabelle2[[#This Row],[Kunden Nr.]],KUNDEN!A:B,2,0)</f>
        <v>MULI</v>
      </c>
      <c r="H1120" s="75">
        <v>35108</v>
      </c>
      <c r="I1120" s="76" t="str">
        <f>VLOOKUP(Tabelle2[[#This Row],[Artikel]],Produkte!A:B,2,0)</f>
        <v>M-ONE Sanitar Silikon</v>
      </c>
      <c r="J1120" s="75">
        <v>12</v>
      </c>
      <c r="K1120" s="76" t="str">
        <f>VLOOKUP(Tabelle2[[#This Row],[Kunden Nr.]],KUNDEN!A:G,7)</f>
        <v>Qerimi</v>
      </c>
      <c r="L1120" s="76">
        <f>VLOOKUP(Tabelle2[[#This Row],[Artikel]],Produkte!A:H,8)</f>
        <v>0.17</v>
      </c>
    </row>
    <row r="1121" spans="1:12" x14ac:dyDescent="0.2">
      <c r="A1121" s="75" t="s">
        <v>489</v>
      </c>
      <c r="B1121" s="79">
        <v>46080</v>
      </c>
      <c r="C1121" s="75"/>
      <c r="D1121" s="75"/>
      <c r="E1121" s="75"/>
      <c r="F1121" s="75">
        <v>10511</v>
      </c>
      <c r="G1121" s="76" t="str">
        <f>VLOOKUP(Tabelle2[[#This Row],[Kunden Nr.]],KUNDEN!A:B,2,0)</f>
        <v>MULI</v>
      </c>
      <c r="H1121" s="75">
        <v>35121</v>
      </c>
      <c r="I1121" s="76" t="str">
        <f>VLOOKUP(Tabelle2[[#This Row],[Artikel]],Produkte!A:B,2,0)</f>
        <v>M-ONE Sanitar Silikon</v>
      </c>
      <c r="J1121" s="75">
        <v>12</v>
      </c>
      <c r="K1121" s="76" t="str">
        <f>VLOOKUP(Tabelle2[[#This Row],[Kunden Nr.]],KUNDEN!A:G,7)</f>
        <v>Qerimi</v>
      </c>
      <c r="L1121" s="76">
        <f>VLOOKUP(Tabelle2[[#This Row],[Artikel]],Produkte!A:H,8)</f>
        <v>0.17</v>
      </c>
    </row>
    <row r="1122" spans="1:12" x14ac:dyDescent="0.2">
      <c r="A1122" s="75" t="s">
        <v>413</v>
      </c>
      <c r="B1122" s="79">
        <v>46080</v>
      </c>
      <c r="C1122" s="89">
        <v>46.2</v>
      </c>
      <c r="D1122" s="75"/>
      <c r="E1122" s="75"/>
      <c r="F1122" s="75">
        <v>10350</v>
      </c>
      <c r="G1122" s="76" t="str">
        <f>VLOOKUP(Tabelle2[[#This Row],[Kunden Nr.]],KUNDEN!A:B,2,0)</f>
        <v>BALLKANI</v>
      </c>
      <c r="H1122" s="75">
        <v>35128</v>
      </c>
      <c r="I1122" s="76" t="str">
        <f>VLOOKUP(Tabelle2[[#This Row],[Artikel]],Produkte!A:B,2,0)</f>
        <v>M-ONE Sanitar Silikon</v>
      </c>
      <c r="J1122" s="75">
        <v>24</v>
      </c>
      <c r="K1122" s="76" t="str">
        <f>VLOOKUP(Tabelle2[[#This Row],[Kunden Nr.]],KUNDEN!A:G,7)</f>
        <v>Qerimi</v>
      </c>
      <c r="L1122" s="76">
        <f>VLOOKUP(Tabelle2[[#This Row],[Artikel]],Produkte!A:H,8)</f>
        <v>0.17</v>
      </c>
    </row>
    <row r="1123" spans="1:12" x14ac:dyDescent="0.2">
      <c r="A1123" s="75" t="s">
        <v>666</v>
      </c>
      <c r="B1123" s="79">
        <v>46080</v>
      </c>
      <c r="C1123" s="89">
        <v>106.4</v>
      </c>
      <c r="D1123" s="75"/>
      <c r="E1123" s="75"/>
      <c r="F1123" s="75">
        <v>10529</v>
      </c>
      <c r="G1123" s="76" t="str">
        <f>VLOOKUP(Tabelle2[[#This Row],[Kunden Nr.]],KUNDEN!A:B,2,0)</f>
        <v>ARDI LIPJAN</v>
      </c>
      <c r="H1123" s="75">
        <v>50912</v>
      </c>
      <c r="I1123" s="76" t="str">
        <f>VLOOKUP(Tabelle2[[#This Row],[Artikel]],Produkte!A:B,2,0)</f>
        <v>DICHTUNG</v>
      </c>
      <c r="J1123" s="75">
        <v>12</v>
      </c>
      <c r="K1123" s="76" t="str">
        <f>VLOOKUP(Tabelle2[[#This Row],[Kunden Nr.]],KUNDEN!A:G,7)</f>
        <v>Qerimi</v>
      </c>
      <c r="L1123" s="76">
        <f>VLOOKUP(Tabelle2[[#This Row],[Artikel]],Produkte!A:H,8)</f>
        <v>0.2</v>
      </c>
    </row>
    <row r="1124" spans="1:12" x14ac:dyDescent="0.2">
      <c r="A1124" s="75" t="s">
        <v>666</v>
      </c>
      <c r="B1124" s="79">
        <v>46080</v>
      </c>
      <c r="C1124" s="75"/>
      <c r="D1124" s="75"/>
      <c r="E1124" s="75"/>
      <c r="F1124" s="75">
        <v>10529</v>
      </c>
      <c r="G1124" s="76" t="str">
        <f>VLOOKUP(Tabelle2[[#This Row],[Kunden Nr.]],KUNDEN!A:B,2,0)</f>
        <v>ARDI LIPJAN</v>
      </c>
      <c r="H1124" s="75">
        <v>55718</v>
      </c>
      <c r="I1124" s="76" t="str">
        <f>VLOOKUP(Tabelle2[[#This Row],[Artikel]],Produkte!A:B,2,0)</f>
        <v>M ONE MOTORSTART</v>
      </c>
      <c r="J1124" s="75">
        <v>4</v>
      </c>
      <c r="K1124" s="76" t="str">
        <f>VLOOKUP(Tabelle2[[#This Row],[Kunden Nr.]],KUNDEN!A:G,7)</f>
        <v>Qerimi</v>
      </c>
      <c r="L1124" s="76">
        <f>VLOOKUP(Tabelle2[[#This Row],[Artikel]],Produkte!A:H,8)</f>
        <v>0.2</v>
      </c>
    </row>
    <row r="1125" spans="1:12" x14ac:dyDescent="0.2">
      <c r="A1125" s="75" t="s">
        <v>666</v>
      </c>
      <c r="B1125" s="79">
        <v>46080</v>
      </c>
      <c r="C1125" s="75"/>
      <c r="D1125" s="75"/>
      <c r="E1125" s="75"/>
      <c r="F1125" s="75">
        <v>10529</v>
      </c>
      <c r="G1125" s="76" t="str">
        <f>VLOOKUP(Tabelle2[[#This Row],[Kunden Nr.]],KUNDEN!A:B,2,0)</f>
        <v>ARDI LIPJAN</v>
      </c>
      <c r="H1125" s="75">
        <v>16936</v>
      </c>
      <c r="I1125" s="76" t="str">
        <f>VLOOKUP(Tabelle2[[#This Row],[Artikel]],Produkte!A:B,2,0)</f>
        <v>M ONE FELGENSILBER</v>
      </c>
      <c r="J1125" s="75">
        <v>3</v>
      </c>
      <c r="K1125" s="76" t="str">
        <f>VLOOKUP(Tabelle2[[#This Row],[Kunden Nr.]],KUNDEN!A:G,7)</f>
        <v>Qerimi</v>
      </c>
      <c r="L1125" s="76">
        <f>VLOOKUP(Tabelle2[[#This Row],[Artikel]],Produkte!A:H,8)</f>
        <v>0.15</v>
      </c>
    </row>
    <row r="1126" spans="1:12" x14ac:dyDescent="0.2">
      <c r="A1126" s="75" t="s">
        <v>487</v>
      </c>
      <c r="B1126" s="79">
        <v>46080</v>
      </c>
      <c r="C1126" s="89">
        <v>92.4</v>
      </c>
      <c r="D1126" s="75"/>
      <c r="E1126" s="75"/>
      <c r="F1126" s="75">
        <v>10507</v>
      </c>
      <c r="G1126" s="76" t="str">
        <f>VLOOKUP(Tabelle2[[#This Row],[Kunden Nr.]],KUNDEN!A:B,2,0)</f>
        <v>REAL COLOR 2</v>
      </c>
      <c r="H1126" s="75">
        <v>35110</v>
      </c>
      <c r="I1126" s="76" t="str">
        <f>VLOOKUP(Tabelle2[[#This Row],[Artikel]],Produkte!A:B,2,0)</f>
        <v>M-ONE Sanitar Silikon</v>
      </c>
      <c r="J1126" s="75">
        <v>12</v>
      </c>
      <c r="K1126" s="76" t="str">
        <f>VLOOKUP(Tabelle2[[#This Row],[Kunden Nr.]],KUNDEN!A:G,7)</f>
        <v>Qerimi</v>
      </c>
      <c r="L1126" s="76">
        <f>VLOOKUP(Tabelle2[[#This Row],[Artikel]],Produkte!A:H,8)</f>
        <v>0.17</v>
      </c>
    </row>
    <row r="1127" spans="1:12" x14ac:dyDescent="0.2">
      <c r="A1127" s="75" t="s">
        <v>487</v>
      </c>
      <c r="B1127" s="79">
        <v>46080</v>
      </c>
      <c r="C1127" s="75"/>
      <c r="D1127" s="75"/>
      <c r="E1127" s="75"/>
      <c r="F1127" s="75">
        <v>10507</v>
      </c>
      <c r="G1127" s="76" t="str">
        <f>VLOOKUP(Tabelle2[[#This Row],[Kunden Nr.]],KUNDEN!A:B,2,0)</f>
        <v>REAL COLOR 2</v>
      </c>
      <c r="H1127" s="75">
        <v>35128</v>
      </c>
      <c r="I1127" s="76" t="str">
        <f>VLOOKUP(Tabelle2[[#This Row],[Artikel]],Produkte!A:B,2,0)</f>
        <v>M-ONE Sanitar Silikon</v>
      </c>
      <c r="J1127" s="75">
        <v>12</v>
      </c>
      <c r="K1127" s="76" t="str">
        <f>VLOOKUP(Tabelle2[[#This Row],[Kunden Nr.]],KUNDEN!A:G,7)</f>
        <v>Qerimi</v>
      </c>
      <c r="L1127" s="76">
        <f>VLOOKUP(Tabelle2[[#This Row],[Artikel]],Produkte!A:H,8)</f>
        <v>0.17</v>
      </c>
    </row>
    <row r="1128" spans="1:12" x14ac:dyDescent="0.2">
      <c r="A1128" s="75" t="s">
        <v>482</v>
      </c>
      <c r="B1128" s="79">
        <v>46080</v>
      </c>
      <c r="C1128" s="89">
        <v>46.2</v>
      </c>
      <c r="D1128" s="75"/>
      <c r="E1128" s="75"/>
      <c r="F1128" s="75">
        <v>10502</v>
      </c>
      <c r="G1128" s="76" t="str">
        <f>VLOOKUP(Tabelle2[[#This Row],[Kunden Nr.]],KUNDEN!A:B,2,0)</f>
        <v>PROCOM</v>
      </c>
      <c r="H1128" s="75">
        <v>35113</v>
      </c>
      <c r="I1128" s="76" t="str">
        <f>VLOOKUP(Tabelle2[[#This Row],[Artikel]],Produkte!A:B,2,0)</f>
        <v>M-ONE Sanitar Silikon</v>
      </c>
      <c r="J1128" s="75">
        <v>12</v>
      </c>
      <c r="K1128" s="76" t="str">
        <f>VLOOKUP(Tabelle2[[#This Row],[Kunden Nr.]],KUNDEN!A:G,7)</f>
        <v>Qerimi</v>
      </c>
      <c r="L1128" s="76">
        <f>VLOOKUP(Tabelle2[[#This Row],[Artikel]],Produkte!A:H,8)</f>
        <v>0.17</v>
      </c>
    </row>
    <row r="1129" spans="1:12" x14ac:dyDescent="0.2">
      <c r="A1129" s="75" t="s">
        <v>435</v>
      </c>
      <c r="B1129" s="79">
        <v>46080</v>
      </c>
      <c r="C1129" s="89">
        <v>36</v>
      </c>
      <c r="D1129" s="75"/>
      <c r="E1129" s="75"/>
      <c r="F1129" s="75">
        <v>10509</v>
      </c>
      <c r="G1129" s="76" t="str">
        <f>VLOOKUP(Tabelle2[[#This Row],[Kunden Nr.]],KUNDEN!A:B,2,0)</f>
        <v>LONI</v>
      </c>
      <c r="H1129" s="75">
        <v>50912</v>
      </c>
      <c r="I1129" s="76" t="str">
        <f>VLOOKUP(Tabelle2[[#This Row],[Artikel]],Produkte!A:B,2,0)</f>
        <v>DICHTUNG</v>
      </c>
      <c r="J1129" s="75">
        <v>5</v>
      </c>
      <c r="K1129" s="76" t="str">
        <f>VLOOKUP(Tabelle2[[#This Row],[Kunden Nr.]],KUNDEN!A:G,7)</f>
        <v>Qerimi</v>
      </c>
      <c r="L1129" s="76">
        <f>VLOOKUP(Tabelle2[[#This Row],[Artikel]],Produkte!A:H,8)</f>
        <v>0.2</v>
      </c>
    </row>
    <row r="1130" spans="1:12" x14ac:dyDescent="0.2">
      <c r="A1130" s="75" t="s">
        <v>453</v>
      </c>
      <c r="B1130" s="79">
        <v>46080</v>
      </c>
      <c r="C1130" s="89">
        <v>69.599999999999994</v>
      </c>
      <c r="D1130" s="75"/>
      <c r="E1130" s="75"/>
      <c r="F1130" s="75">
        <v>20501</v>
      </c>
      <c r="G1130" s="76" t="str">
        <f>VLOOKUP(Tabelle2[[#This Row],[Kunden Nr.]],KUNDEN!A:B,2,0)</f>
        <v>RACI</v>
      </c>
      <c r="H1130" s="75">
        <v>66701</v>
      </c>
      <c r="I1130" s="76" t="str">
        <f>VLOOKUP(Tabelle2[[#This Row],[Artikel]],Produkte!A:B,2,0)</f>
        <v>PROFIMONT EXTREME</v>
      </c>
      <c r="J1130" s="75">
        <v>12</v>
      </c>
      <c r="K1130" s="76" t="str">
        <f>VLOOKUP(Tabelle2[[#This Row],[Kunden Nr.]],KUNDEN!A:G,7)</f>
        <v>Mensuri</v>
      </c>
      <c r="L1130" s="76">
        <f>VLOOKUP(Tabelle2[[#This Row],[Artikel]],Produkte!A:H,8)</f>
        <v>0.2</v>
      </c>
    </row>
    <row r="1131" spans="1:12" x14ac:dyDescent="0.2">
      <c r="A1131" s="75" t="s">
        <v>1258</v>
      </c>
      <c r="B1131" s="79">
        <v>46080</v>
      </c>
      <c r="C1131" s="89">
        <v>92.4</v>
      </c>
      <c r="D1131" s="75"/>
      <c r="E1131" s="75"/>
      <c r="F1131" s="75">
        <v>20511</v>
      </c>
      <c r="G1131" s="76" t="str">
        <f>VLOOKUP(Tabelle2[[#This Row],[Kunden Nr.]],KUNDEN!A:B,2,0)</f>
        <v>LIRIDONA KLINE</v>
      </c>
      <c r="H1131" s="75">
        <v>35121</v>
      </c>
      <c r="I1131" s="76" t="str">
        <f>VLOOKUP(Tabelle2[[#This Row],[Artikel]],Produkte!A:B,2,0)</f>
        <v>M-ONE Sanitar Silikon</v>
      </c>
      <c r="J1131" s="75">
        <v>24</v>
      </c>
      <c r="K1131" s="76" t="str">
        <f>VLOOKUP(Tabelle2[[#This Row],[Kunden Nr.]],KUNDEN!A:G,7)</f>
        <v>Mensuri</v>
      </c>
      <c r="L1131" s="76">
        <f>VLOOKUP(Tabelle2[[#This Row],[Artikel]],Produkte!A:H,8)</f>
        <v>0.17</v>
      </c>
    </row>
    <row r="1132" spans="1:12" x14ac:dyDescent="0.2">
      <c r="A1132" s="75" t="s">
        <v>674</v>
      </c>
      <c r="B1132" s="79">
        <v>46080</v>
      </c>
      <c r="C1132" s="89">
        <v>115.8</v>
      </c>
      <c r="D1132" s="75"/>
      <c r="E1132" s="75"/>
      <c r="F1132" s="75">
        <v>20508</v>
      </c>
      <c r="G1132" s="76" t="str">
        <f>VLOOKUP(Tabelle2[[#This Row],[Kunden Nr.]],KUNDEN!A:B,2,0)</f>
        <v>LIRIDONA HOME</v>
      </c>
      <c r="H1132" s="75">
        <v>35115</v>
      </c>
      <c r="I1132" s="76" t="str">
        <f>VLOOKUP(Tabelle2[[#This Row],[Artikel]],Produkte!A:B,2,0)</f>
        <v>M-ONE Sanitar Silikon</v>
      </c>
      <c r="J1132" s="75">
        <v>12</v>
      </c>
      <c r="K1132" s="76" t="str">
        <f>VLOOKUP(Tabelle2[[#This Row],[Kunden Nr.]],KUNDEN!A:G,7)</f>
        <v>Mensuri</v>
      </c>
      <c r="L1132" s="76">
        <f>VLOOKUP(Tabelle2[[#This Row],[Artikel]],Produkte!A:H,8)</f>
        <v>0.17</v>
      </c>
    </row>
    <row r="1133" spans="1:12" x14ac:dyDescent="0.2">
      <c r="A1133" s="75" t="s">
        <v>674</v>
      </c>
      <c r="B1133" s="79">
        <v>46080</v>
      </c>
      <c r="C1133" s="75"/>
      <c r="D1133" s="75"/>
      <c r="E1133" s="75"/>
      <c r="F1133" s="75">
        <v>20508</v>
      </c>
      <c r="G1133" s="76" t="str">
        <f>VLOOKUP(Tabelle2[[#This Row],[Kunden Nr.]],KUNDEN!A:B,2,0)</f>
        <v>LIRIDONA HOME</v>
      </c>
      <c r="H1133" s="75">
        <v>66701</v>
      </c>
      <c r="I1133" s="76" t="str">
        <f>VLOOKUP(Tabelle2[[#This Row],[Artikel]],Produkte!A:B,2,0)</f>
        <v>PROFIMONT EXTREME</v>
      </c>
      <c r="J1133" s="75">
        <v>12</v>
      </c>
      <c r="K1133" s="76" t="str">
        <f>VLOOKUP(Tabelle2[[#This Row],[Kunden Nr.]],KUNDEN!A:G,7)</f>
        <v>Mensuri</v>
      </c>
      <c r="L1133" s="76">
        <f>VLOOKUP(Tabelle2[[#This Row],[Artikel]],Produkte!A:H,8)</f>
        <v>0.2</v>
      </c>
    </row>
    <row r="1134" spans="1:12" x14ac:dyDescent="0.2">
      <c r="A1134" s="75" t="s">
        <v>675</v>
      </c>
      <c r="B1134" s="79">
        <v>46080</v>
      </c>
      <c r="C1134" s="89">
        <v>101.4</v>
      </c>
      <c r="D1134" s="75"/>
      <c r="E1134" s="75"/>
      <c r="F1134" s="75">
        <v>20510</v>
      </c>
      <c r="G1134" s="76" t="str">
        <f>VLOOKUP(Tabelle2[[#This Row],[Kunden Nr.]],KUNDEN!A:B,2,0)</f>
        <v>BYTYQI-V</v>
      </c>
      <c r="H1134" s="75">
        <v>35128</v>
      </c>
      <c r="I1134" s="76" t="str">
        <f>VLOOKUP(Tabelle2[[#This Row],[Artikel]],Produkte!A:B,2,0)</f>
        <v>M-ONE Sanitar Silikon</v>
      </c>
      <c r="J1134" s="75">
        <v>12</v>
      </c>
      <c r="K1134" s="76" t="str">
        <f>VLOOKUP(Tabelle2[[#This Row],[Kunden Nr.]],KUNDEN!A:G,7)</f>
        <v>Mensuri</v>
      </c>
      <c r="L1134" s="76">
        <f>VLOOKUP(Tabelle2[[#This Row],[Artikel]],Produkte!A:H,8)</f>
        <v>0.17</v>
      </c>
    </row>
    <row r="1135" spans="1:12" x14ac:dyDescent="0.2">
      <c r="A1135" s="75" t="s">
        <v>675</v>
      </c>
      <c r="B1135" s="79">
        <v>46080</v>
      </c>
      <c r="C1135" s="75"/>
      <c r="D1135" s="75"/>
      <c r="E1135" s="75"/>
      <c r="F1135" s="75">
        <v>20510</v>
      </c>
      <c r="G1135" s="76" t="str">
        <f>VLOOKUP(Tabelle2[[#This Row],[Kunden Nr.]],KUNDEN!A:B,2,0)</f>
        <v>BYTYQI-V</v>
      </c>
      <c r="H1135" s="75">
        <v>51612</v>
      </c>
      <c r="I1135" s="76" t="str">
        <f>VLOOKUP(Tabelle2[[#This Row],[Artikel]],Produkte!A:B,2,0)</f>
        <v>struktural akryl</v>
      </c>
      <c r="J1135" s="75">
        <v>24</v>
      </c>
      <c r="K1135" s="76" t="str">
        <f>VLOOKUP(Tabelle2[[#This Row],[Kunden Nr.]],KUNDEN!A:G,7)</f>
        <v>Mensuri</v>
      </c>
      <c r="L1135" s="76">
        <f>VLOOKUP(Tabelle2[[#This Row],[Artikel]],Produkte!A:H,8)</f>
        <v>0.06</v>
      </c>
    </row>
    <row r="1136" spans="1:12" x14ac:dyDescent="0.2">
      <c r="A1136" s="75" t="s">
        <v>463</v>
      </c>
      <c r="B1136" s="79">
        <v>46080</v>
      </c>
      <c r="C1136" s="89">
        <v>138.6</v>
      </c>
      <c r="D1136" s="75"/>
      <c r="E1136" s="75"/>
      <c r="F1136" s="75">
        <v>20515</v>
      </c>
      <c r="G1136" s="76" t="str">
        <f>VLOOKUP(Tabelle2[[#This Row],[Kunden Nr.]],KUNDEN!A:B,2,0)</f>
        <v>LIRIDONA-A</v>
      </c>
      <c r="H1136" s="75">
        <v>35108</v>
      </c>
      <c r="I1136" s="76" t="str">
        <f>VLOOKUP(Tabelle2[[#This Row],[Artikel]],Produkte!A:B,2,0)</f>
        <v>M-ONE Sanitar Silikon</v>
      </c>
      <c r="J1136" s="75">
        <v>12</v>
      </c>
      <c r="K1136" s="76" t="str">
        <f>VLOOKUP(Tabelle2[[#This Row],[Kunden Nr.]],KUNDEN!A:G,7)</f>
        <v>Mensuri</v>
      </c>
      <c r="L1136" s="76">
        <f>VLOOKUP(Tabelle2[[#This Row],[Artikel]],Produkte!A:H,8)</f>
        <v>0.17</v>
      </c>
    </row>
    <row r="1137" spans="1:12" x14ac:dyDescent="0.2">
      <c r="A1137" s="75" t="s">
        <v>463</v>
      </c>
      <c r="B1137" s="79">
        <v>46080</v>
      </c>
      <c r="C1137" s="75"/>
      <c r="D1137" s="75"/>
      <c r="E1137" s="75"/>
      <c r="F1137" s="75">
        <v>20515</v>
      </c>
      <c r="G1137" s="76" t="str">
        <f>VLOOKUP(Tabelle2[[#This Row],[Kunden Nr.]],KUNDEN!A:B,2,0)</f>
        <v>LIRIDONA-A</v>
      </c>
      <c r="H1137" s="75">
        <v>35111</v>
      </c>
      <c r="I1137" s="76" t="str">
        <f>VLOOKUP(Tabelle2[[#This Row],[Artikel]],Produkte!A:B,2,0)</f>
        <v>M-ONE Sanitar Silikon</v>
      </c>
      <c r="J1137" s="75">
        <v>12</v>
      </c>
      <c r="K1137" s="76" t="str">
        <f>VLOOKUP(Tabelle2[[#This Row],[Kunden Nr.]],KUNDEN!A:G,7)</f>
        <v>Mensuri</v>
      </c>
      <c r="L1137" s="76">
        <f>VLOOKUP(Tabelle2[[#This Row],[Artikel]],Produkte!A:H,8)</f>
        <v>0.17</v>
      </c>
    </row>
    <row r="1138" spans="1:12" x14ac:dyDescent="0.2">
      <c r="A1138" s="75" t="s">
        <v>463</v>
      </c>
      <c r="B1138" s="79">
        <v>46080</v>
      </c>
      <c r="C1138" s="75"/>
      <c r="D1138" s="75"/>
      <c r="E1138" s="75"/>
      <c r="F1138" s="75">
        <v>20515</v>
      </c>
      <c r="G1138" s="76" t="str">
        <f>VLOOKUP(Tabelle2[[#This Row],[Kunden Nr.]],KUNDEN!A:B,2,0)</f>
        <v>LIRIDONA-A</v>
      </c>
      <c r="H1138" s="75">
        <v>35125</v>
      </c>
      <c r="I1138" s="76" t="str">
        <f>VLOOKUP(Tabelle2[[#This Row],[Artikel]],Produkte!A:B,2,0)</f>
        <v>M-ONE Sanitar Silikon</v>
      </c>
      <c r="J1138" s="75">
        <v>12</v>
      </c>
      <c r="K1138" s="76" t="str">
        <f>VLOOKUP(Tabelle2[[#This Row],[Kunden Nr.]],KUNDEN!A:G,7)</f>
        <v>Mensuri</v>
      </c>
      <c r="L1138" s="76">
        <f>VLOOKUP(Tabelle2[[#This Row],[Artikel]],Produkte!A:H,8)</f>
        <v>0.17</v>
      </c>
    </row>
    <row r="1139" spans="1:12" x14ac:dyDescent="0.2">
      <c r="A1139" s="75" t="s">
        <v>53</v>
      </c>
      <c r="B1139" s="79">
        <v>46080</v>
      </c>
      <c r="C1139" s="89">
        <v>138.6</v>
      </c>
      <c r="D1139" s="75"/>
      <c r="E1139" s="75"/>
      <c r="F1139" s="75">
        <v>20407</v>
      </c>
      <c r="G1139" s="76" t="str">
        <f>VLOOKUP(Tabelle2[[#This Row],[Kunden Nr.]],KUNDEN!A:B,2,0)</f>
        <v>TE BENI</v>
      </c>
      <c r="H1139" s="75">
        <v>35108</v>
      </c>
      <c r="I1139" s="76" t="str">
        <f>VLOOKUP(Tabelle2[[#This Row],[Artikel]],Produkte!A:B,2,0)</f>
        <v>M-ONE Sanitar Silikon</v>
      </c>
      <c r="J1139" s="75">
        <v>12</v>
      </c>
      <c r="K1139" s="76" t="str">
        <f>VLOOKUP(Tabelle2[[#This Row],[Kunden Nr.]],KUNDEN!A:G,7)</f>
        <v>Mensuri</v>
      </c>
      <c r="L1139" s="76">
        <f>VLOOKUP(Tabelle2[[#This Row],[Artikel]],Produkte!A:H,8)</f>
        <v>0.17</v>
      </c>
    </row>
    <row r="1140" spans="1:12" x14ac:dyDescent="0.2">
      <c r="A1140" s="75" t="s">
        <v>53</v>
      </c>
      <c r="B1140" s="79">
        <v>46080</v>
      </c>
      <c r="C1140" s="75"/>
      <c r="D1140" s="75"/>
      <c r="E1140" s="75"/>
      <c r="F1140" s="75">
        <v>20407</v>
      </c>
      <c r="G1140" s="76" t="str">
        <f>VLOOKUP(Tabelle2[[#This Row],[Kunden Nr.]],KUNDEN!A:B,2,0)</f>
        <v>TE BENI</v>
      </c>
      <c r="H1140" s="75">
        <v>35121</v>
      </c>
      <c r="I1140" s="76" t="str">
        <f>VLOOKUP(Tabelle2[[#This Row],[Artikel]],Produkte!A:B,2,0)</f>
        <v>M-ONE Sanitar Silikon</v>
      </c>
      <c r="J1140" s="75">
        <v>12</v>
      </c>
      <c r="K1140" s="76" t="str">
        <f>VLOOKUP(Tabelle2[[#This Row],[Kunden Nr.]],KUNDEN!A:G,7)</f>
        <v>Mensuri</v>
      </c>
      <c r="L1140" s="76">
        <f>VLOOKUP(Tabelle2[[#This Row],[Artikel]],Produkte!A:H,8)</f>
        <v>0.17</v>
      </c>
    </row>
    <row r="1141" spans="1:12" x14ac:dyDescent="0.2">
      <c r="A1141" s="75" t="s">
        <v>53</v>
      </c>
      <c r="B1141" s="79">
        <v>46080</v>
      </c>
      <c r="C1141" s="75"/>
      <c r="D1141" s="75"/>
      <c r="E1141" s="75"/>
      <c r="F1141" s="75">
        <v>20407</v>
      </c>
      <c r="G1141" s="76" t="str">
        <f>VLOOKUP(Tabelle2[[#This Row],[Kunden Nr.]],KUNDEN!A:B,2,0)</f>
        <v>TE BENI</v>
      </c>
      <c r="H1141" s="75">
        <v>35115</v>
      </c>
      <c r="I1141" s="76" t="str">
        <f>VLOOKUP(Tabelle2[[#This Row],[Artikel]],Produkte!A:B,2,0)</f>
        <v>M-ONE Sanitar Silikon</v>
      </c>
      <c r="J1141" s="75">
        <v>12</v>
      </c>
      <c r="K1141" s="76" t="str">
        <f>VLOOKUP(Tabelle2[[#This Row],[Kunden Nr.]],KUNDEN!A:G,7)</f>
        <v>Mensuri</v>
      </c>
      <c r="L1141" s="76">
        <f>VLOOKUP(Tabelle2[[#This Row],[Artikel]],Produkte!A:H,8)</f>
        <v>0.17</v>
      </c>
    </row>
    <row r="1142" spans="1:12" x14ac:dyDescent="0.2">
      <c r="A1142" s="75" t="s">
        <v>59</v>
      </c>
      <c r="B1142" s="79">
        <v>46080</v>
      </c>
      <c r="C1142" s="89">
        <v>107.4</v>
      </c>
      <c r="D1142" s="75"/>
      <c r="E1142" s="75"/>
      <c r="F1142" s="75">
        <v>20406</v>
      </c>
      <c r="G1142" s="76" t="str">
        <f>VLOOKUP(Tabelle2[[#This Row],[Kunden Nr.]],KUNDEN!A:B,2,0)</f>
        <v>MEGI</v>
      </c>
      <c r="H1142" s="75">
        <v>50912</v>
      </c>
      <c r="I1142" s="76" t="str">
        <f>VLOOKUP(Tabelle2[[#This Row],[Artikel]],Produkte!A:B,2,0)</f>
        <v>DICHTUNG</v>
      </c>
      <c r="J1142" s="75">
        <v>12</v>
      </c>
      <c r="K1142" s="76" t="str">
        <f>VLOOKUP(Tabelle2[[#This Row],[Kunden Nr.]],KUNDEN!A:G,7)</f>
        <v>Mensuri</v>
      </c>
      <c r="L1142" s="76">
        <f>VLOOKUP(Tabelle2[[#This Row],[Artikel]],Produkte!A:H,8)</f>
        <v>0.2</v>
      </c>
    </row>
    <row r="1143" spans="1:12" x14ac:dyDescent="0.2">
      <c r="A1143" s="75" t="s">
        <v>59</v>
      </c>
      <c r="B1143" s="79">
        <v>46080</v>
      </c>
      <c r="C1143" s="75"/>
      <c r="D1143" s="75"/>
      <c r="E1143" s="75"/>
      <c r="F1143" s="75">
        <v>20406</v>
      </c>
      <c r="G1143" s="76" t="str">
        <f>VLOOKUP(Tabelle2[[#This Row],[Kunden Nr.]],KUNDEN!A:B,2,0)</f>
        <v>MEGI</v>
      </c>
      <c r="H1143" s="75">
        <v>55718</v>
      </c>
      <c r="I1143" s="76" t="str">
        <f>VLOOKUP(Tabelle2[[#This Row],[Artikel]],Produkte!A:B,2,0)</f>
        <v>M ONE MOTORSTART</v>
      </c>
      <c r="J1143" s="75">
        <v>6</v>
      </c>
      <c r="K1143" s="76" t="str">
        <f>VLOOKUP(Tabelle2[[#This Row],[Kunden Nr.]],KUNDEN!A:G,7)</f>
        <v>Mensuri</v>
      </c>
      <c r="L1143" s="76">
        <f>VLOOKUP(Tabelle2[[#This Row],[Artikel]],Produkte!A:H,8)</f>
        <v>0.2</v>
      </c>
    </row>
    <row r="1144" spans="1:12" x14ac:dyDescent="0.2">
      <c r="A1144" s="75" t="s">
        <v>51</v>
      </c>
      <c r="B1144" s="79">
        <v>46080</v>
      </c>
      <c r="C1144" s="89">
        <v>81.400000000000006</v>
      </c>
      <c r="D1144" s="75"/>
      <c r="E1144" s="75"/>
      <c r="F1144" s="75">
        <v>20408</v>
      </c>
      <c r="G1144" s="76" t="str">
        <f>VLOOKUP(Tabelle2[[#This Row],[Kunden Nr.]],KUNDEN!A:B,2,0)</f>
        <v>A.P. HOTI</v>
      </c>
      <c r="H1144" s="75">
        <v>50912</v>
      </c>
      <c r="I1144" s="76" t="str">
        <f>VLOOKUP(Tabelle2[[#This Row],[Artikel]],Produkte!A:B,2,0)</f>
        <v>DICHTUNG</v>
      </c>
      <c r="J1144" s="75">
        <v>7</v>
      </c>
      <c r="K1144" s="76" t="str">
        <f>VLOOKUP(Tabelle2[[#This Row],[Kunden Nr.]],KUNDEN!A:G,7)</f>
        <v>Mensuri</v>
      </c>
      <c r="L1144" s="76">
        <f>VLOOKUP(Tabelle2[[#This Row],[Artikel]],Produkte!A:H,8)</f>
        <v>0.2</v>
      </c>
    </row>
    <row r="1145" spans="1:12" x14ac:dyDescent="0.2">
      <c r="A1145" s="75" t="s">
        <v>51</v>
      </c>
      <c r="B1145" s="79">
        <v>46080</v>
      </c>
      <c r="C1145" s="75"/>
      <c r="D1145" s="75"/>
      <c r="E1145" s="75"/>
      <c r="F1145" s="75">
        <v>20408</v>
      </c>
      <c r="G1145" s="76" t="str">
        <f>VLOOKUP(Tabelle2[[#This Row],[Kunden Nr.]],KUNDEN!A:B,2,0)</f>
        <v>A.P. HOTI</v>
      </c>
      <c r="H1145" s="75">
        <v>44001</v>
      </c>
      <c r="I1145" s="76" t="str">
        <f>VLOOKUP(Tabelle2[[#This Row],[Artikel]],Produkte!A:B,2,0)</f>
        <v>Fettspray</v>
      </c>
      <c r="J1145" s="75">
        <v>6</v>
      </c>
      <c r="K1145" s="76" t="str">
        <f>VLOOKUP(Tabelle2[[#This Row],[Kunden Nr.]],KUNDEN!A:G,7)</f>
        <v>Mensuri</v>
      </c>
      <c r="L1145" s="76">
        <f>VLOOKUP(Tabelle2[[#This Row],[Artikel]],Produkte!A:H,8)</f>
        <v>0.2</v>
      </c>
    </row>
    <row r="1146" spans="1:12" x14ac:dyDescent="0.2">
      <c r="A1146" s="75" t="s">
        <v>51</v>
      </c>
      <c r="B1146" s="79">
        <v>46080</v>
      </c>
      <c r="C1146" s="75"/>
      <c r="D1146" s="75"/>
      <c r="E1146" s="75"/>
      <c r="F1146" s="75">
        <v>20408</v>
      </c>
      <c r="G1146" s="76" t="str">
        <f>VLOOKUP(Tabelle2[[#This Row],[Kunden Nr.]],KUNDEN!A:B,2,0)</f>
        <v>A.P. HOTI</v>
      </c>
      <c r="H1146" s="75">
        <v>49644</v>
      </c>
      <c r="I1146" s="76" t="str">
        <f>VLOOKUP(Tabelle2[[#This Row],[Artikel]],Produkte!A:B,2,0)</f>
        <v>beMAKER Rostlöser</v>
      </c>
      <c r="J1146" s="75">
        <v>5</v>
      </c>
      <c r="K1146" s="76" t="str">
        <f>VLOOKUP(Tabelle2[[#This Row],[Kunden Nr.]],KUNDEN!A:G,7)</f>
        <v>Mensuri</v>
      </c>
      <c r="L1146" s="76">
        <f>VLOOKUP(Tabelle2[[#This Row],[Artikel]],Produkte!A:H,8)</f>
        <v>0.2</v>
      </c>
    </row>
    <row r="1147" spans="1:12" x14ac:dyDescent="0.2">
      <c r="A1147" s="75" t="s">
        <v>47</v>
      </c>
      <c r="B1147" s="79">
        <v>46080</v>
      </c>
      <c r="C1147" s="89">
        <v>99.4</v>
      </c>
      <c r="D1147" s="75"/>
      <c r="E1147" s="75"/>
      <c r="F1147" s="75">
        <v>20403</v>
      </c>
      <c r="G1147" s="76" t="str">
        <f>VLOOKUP(Tabelle2[[#This Row],[Kunden Nr.]],KUNDEN!A:B,2,0)</f>
        <v>TERMIKA</v>
      </c>
      <c r="H1147" s="75">
        <v>35109</v>
      </c>
      <c r="I1147" s="76" t="str">
        <f>VLOOKUP(Tabelle2[[#This Row],[Artikel]],Produkte!A:B,2,0)</f>
        <v>M-ONE Sanitar Silikon</v>
      </c>
      <c r="J1147" s="75">
        <v>12</v>
      </c>
      <c r="K1147" s="76" t="str">
        <f>VLOOKUP(Tabelle2[[#This Row],[Kunden Nr.]],KUNDEN!A:G,7)</f>
        <v>Mensuri</v>
      </c>
      <c r="L1147" s="76">
        <f>VLOOKUP(Tabelle2[[#This Row],[Artikel]],Produkte!A:H,8)</f>
        <v>0.17</v>
      </c>
    </row>
    <row r="1148" spans="1:12" x14ac:dyDescent="0.2">
      <c r="A1148" s="75" t="s">
        <v>47</v>
      </c>
      <c r="B1148" s="79">
        <v>46080</v>
      </c>
      <c r="C1148" s="75"/>
      <c r="D1148" s="75"/>
      <c r="E1148" s="75"/>
      <c r="F1148" s="75">
        <v>20403</v>
      </c>
      <c r="G1148" s="76" t="str">
        <f>VLOOKUP(Tabelle2[[#This Row],[Kunden Nr.]],KUNDEN!A:B,2,0)</f>
        <v>TERMIKA</v>
      </c>
      <c r="H1148" s="75">
        <v>35113</v>
      </c>
      <c r="I1148" s="76" t="str">
        <f>VLOOKUP(Tabelle2[[#This Row],[Artikel]],Produkte!A:B,2,0)</f>
        <v>M-ONE Sanitar Silikon</v>
      </c>
      <c r="J1148" s="75">
        <v>12</v>
      </c>
      <c r="K1148" s="76" t="str">
        <f>VLOOKUP(Tabelle2[[#This Row],[Kunden Nr.]],KUNDEN!A:G,7)</f>
        <v>Mensuri</v>
      </c>
      <c r="L1148" s="76">
        <f>VLOOKUP(Tabelle2[[#This Row],[Artikel]],Produkte!A:H,8)</f>
        <v>0.17</v>
      </c>
    </row>
    <row r="1149" spans="1:12" x14ac:dyDescent="0.2">
      <c r="A1149" s="75" t="s">
        <v>47</v>
      </c>
      <c r="B1149" s="79">
        <v>46080</v>
      </c>
      <c r="C1149" s="75"/>
      <c r="D1149" s="75"/>
      <c r="E1149" s="75"/>
      <c r="F1149" s="75">
        <v>20403</v>
      </c>
      <c r="G1149" s="76" t="str">
        <f>VLOOKUP(Tabelle2[[#This Row],[Kunden Nr.]],KUNDEN!A:B,2,0)</f>
        <v>TERMIKA</v>
      </c>
      <c r="H1149" s="75">
        <v>44001</v>
      </c>
      <c r="I1149" s="76" t="str">
        <f>VLOOKUP(Tabelle2[[#This Row],[Artikel]],Produkte!A:B,2,0)</f>
        <v>Fettspray</v>
      </c>
      <c r="J1149" s="75">
        <v>2</v>
      </c>
      <c r="K1149" s="76" t="str">
        <f>VLOOKUP(Tabelle2[[#This Row],[Kunden Nr.]],KUNDEN!A:G,7)</f>
        <v>Mensuri</v>
      </c>
      <c r="L1149" s="76">
        <f>VLOOKUP(Tabelle2[[#This Row],[Artikel]],Produkte!A:H,8)</f>
        <v>0.2</v>
      </c>
    </row>
    <row r="1150" spans="1:12" x14ac:dyDescent="0.2">
      <c r="A1150" s="75" t="s">
        <v>1230</v>
      </c>
      <c r="B1150" s="79">
        <v>46081</v>
      </c>
      <c r="C1150" s="89">
        <v>46.2</v>
      </c>
      <c r="D1150" s="75"/>
      <c r="E1150" s="75"/>
      <c r="F1150" s="75">
        <v>10636</v>
      </c>
      <c r="G1150" s="76" t="e">
        <f>VLOOKUP(Tabelle2[[#This Row],[Kunden Nr.]],KUNDEN!A:B,2,0)</f>
        <v>#N/A</v>
      </c>
      <c r="H1150" s="75">
        <v>35121</v>
      </c>
      <c r="I1150" s="76" t="str">
        <f>VLOOKUP(Tabelle2[[#This Row],[Artikel]],Produkte!A:B,2,0)</f>
        <v>M-ONE Sanitar Silikon</v>
      </c>
      <c r="J1150" s="75">
        <v>12</v>
      </c>
      <c r="K1150" s="76" t="str">
        <f>VLOOKUP(Tabelle2[[#This Row],[Kunden Nr.]],KUNDEN!A:G,7)</f>
        <v>Qerimi</v>
      </c>
      <c r="L1150" s="76">
        <f>VLOOKUP(Tabelle2[[#This Row],[Artikel]],Produkte!A:H,8)</f>
        <v>0.17</v>
      </c>
    </row>
    <row r="1151" spans="1:12" x14ac:dyDescent="0.2">
      <c r="A1151" s="75" t="s">
        <v>454</v>
      </c>
      <c r="B1151" s="79">
        <v>46081</v>
      </c>
      <c r="C1151" s="89">
        <v>40</v>
      </c>
      <c r="D1151" s="75"/>
      <c r="E1151" s="75"/>
      <c r="F1151" s="75">
        <v>10622</v>
      </c>
      <c r="G1151" s="76" t="str">
        <f>VLOOKUP(Tabelle2[[#This Row],[Kunden Nr.]],KUNDEN!A:B,2,0)</f>
        <v>HOXHA</v>
      </c>
      <c r="H1151" s="75">
        <v>54412</v>
      </c>
      <c r="I1151" s="76" t="str">
        <f>VLOOKUP(Tabelle2[[#This Row],[Artikel]],Produkte!A:B,2,0)</f>
        <v>beMAKER Bremsen&amp;Teile Reininger</v>
      </c>
      <c r="J1151" s="75">
        <v>16</v>
      </c>
      <c r="K1151" s="76" t="str">
        <f>VLOOKUP(Tabelle2[[#This Row],[Kunden Nr.]],KUNDEN!A:G,7)</f>
        <v>Qerimi</v>
      </c>
      <c r="L1151" s="76">
        <f>VLOOKUP(Tabelle2[[#This Row],[Artikel]],Produkte!A:H,8)</f>
        <v>0.2</v>
      </c>
    </row>
    <row r="1152" spans="1:12" x14ac:dyDescent="0.2">
      <c r="A1152" s="75" t="s">
        <v>454</v>
      </c>
      <c r="B1152" s="79">
        <v>46081</v>
      </c>
      <c r="C1152" s="75"/>
      <c r="D1152" s="75"/>
      <c r="E1152" s="75"/>
      <c r="F1152" s="75">
        <v>10622</v>
      </c>
      <c r="G1152" s="76" t="str">
        <f>VLOOKUP(Tabelle2[[#This Row],[Kunden Nr.]],KUNDEN!A:B,2,0)</f>
        <v>HOXHA</v>
      </c>
      <c r="H1152" s="75">
        <v>49644</v>
      </c>
      <c r="I1152" s="76" t="str">
        <f>VLOOKUP(Tabelle2[[#This Row],[Artikel]],Produkte!A:B,2,0)</f>
        <v>beMAKER Rostlöser</v>
      </c>
      <c r="J1152" s="75">
        <v>4</v>
      </c>
      <c r="K1152" s="76" t="str">
        <f>VLOOKUP(Tabelle2[[#This Row],[Kunden Nr.]],KUNDEN!A:G,7)</f>
        <v>Qerimi</v>
      </c>
      <c r="L1152" s="76">
        <f>VLOOKUP(Tabelle2[[#This Row],[Artikel]],Produkte!A:H,8)</f>
        <v>0.2</v>
      </c>
    </row>
    <row r="1153" spans="1:12" x14ac:dyDescent="0.2">
      <c r="A1153" s="75" t="s">
        <v>1230</v>
      </c>
      <c r="B1153" s="79">
        <v>46081</v>
      </c>
      <c r="C1153" s="89">
        <v>46.2</v>
      </c>
      <c r="D1153" s="75"/>
      <c r="E1153" s="75"/>
      <c r="F1153" s="75">
        <v>10635</v>
      </c>
      <c r="G1153" s="76" t="e">
        <f>VLOOKUP(Tabelle2[[#This Row],[Kunden Nr.]],KUNDEN!A:B,2,0)</f>
        <v>#N/A</v>
      </c>
      <c r="H1153" s="75">
        <v>35109</v>
      </c>
      <c r="I1153" s="76" t="str">
        <f>VLOOKUP(Tabelle2[[#This Row],[Artikel]],Produkte!A:B,2,0)</f>
        <v>M-ONE Sanitar Silikon</v>
      </c>
      <c r="J1153" s="75">
        <v>12</v>
      </c>
      <c r="K1153" s="76" t="str">
        <f>VLOOKUP(Tabelle2[[#This Row],[Kunden Nr.]],KUNDEN!A:G,7)</f>
        <v>Qerimi</v>
      </c>
      <c r="L1153" s="76">
        <f>VLOOKUP(Tabelle2[[#This Row],[Artikel]],Produkte!A:H,8)</f>
        <v>0.17</v>
      </c>
    </row>
    <row r="1154" spans="1:12" x14ac:dyDescent="0.2">
      <c r="A1154" s="75" t="s">
        <v>1230</v>
      </c>
      <c r="B1154" s="79">
        <v>46081</v>
      </c>
      <c r="C1154" s="75"/>
      <c r="D1154" s="75"/>
      <c r="E1154" s="75"/>
      <c r="F1154" s="75">
        <v>10637</v>
      </c>
      <c r="G1154" s="76" t="e">
        <f>VLOOKUP(Tabelle2[[#This Row],[Kunden Nr.]],KUNDEN!A:B,2,0)</f>
        <v>#N/A</v>
      </c>
      <c r="H1154" s="75">
        <v>50912</v>
      </c>
      <c r="I1154" s="76" t="str">
        <f>VLOOKUP(Tabelle2[[#This Row],[Artikel]],Produkte!A:B,2,0)</f>
        <v>DICHTUNG</v>
      </c>
      <c r="J1154" s="75">
        <v>12</v>
      </c>
      <c r="K1154" s="76" t="str">
        <f>VLOOKUP(Tabelle2[[#This Row],[Kunden Nr.]],KUNDEN!A:G,7)</f>
        <v>Qerimi</v>
      </c>
      <c r="L1154" s="76">
        <f>VLOOKUP(Tabelle2[[#This Row],[Artikel]],Produkte!A:H,8)</f>
        <v>0.2</v>
      </c>
    </row>
    <row r="1155" spans="1:12" x14ac:dyDescent="0.2">
      <c r="A1155" s="75" t="s">
        <v>837</v>
      </c>
      <c r="B1155" s="79">
        <v>46081</v>
      </c>
      <c r="C1155" s="89">
        <v>184.8</v>
      </c>
      <c r="D1155" s="75"/>
      <c r="E1155" s="75"/>
      <c r="F1155" s="75">
        <v>10625</v>
      </c>
      <c r="G1155" s="76" t="str">
        <f>VLOOKUP(Tabelle2[[#This Row],[Kunden Nr.]],KUNDEN!A:B,2,0)</f>
        <v>KUJTA</v>
      </c>
      <c r="H1155" s="75">
        <v>35113</v>
      </c>
      <c r="I1155" s="76" t="str">
        <f>VLOOKUP(Tabelle2[[#This Row],[Artikel]],Produkte!A:B,2,0)</f>
        <v>M-ONE Sanitar Silikon</v>
      </c>
      <c r="J1155" s="75">
        <v>12</v>
      </c>
      <c r="K1155" s="76" t="str">
        <f>VLOOKUP(Tabelle2[[#This Row],[Kunden Nr.]],KUNDEN!A:G,7)</f>
        <v>Qerimi</v>
      </c>
      <c r="L1155" s="76">
        <f>VLOOKUP(Tabelle2[[#This Row],[Artikel]],Produkte!A:H,8)</f>
        <v>0.17</v>
      </c>
    </row>
    <row r="1156" spans="1:12" x14ac:dyDescent="0.2">
      <c r="A1156" s="75" t="s">
        <v>837</v>
      </c>
      <c r="B1156" s="79">
        <v>46081</v>
      </c>
      <c r="C1156" s="75"/>
      <c r="D1156" s="75"/>
      <c r="E1156" s="75"/>
      <c r="F1156" s="75">
        <v>10625</v>
      </c>
      <c r="G1156" s="76" t="str">
        <f>VLOOKUP(Tabelle2[[#This Row],[Kunden Nr.]],KUNDEN!A:B,2,0)</f>
        <v>KUJTA</v>
      </c>
      <c r="H1156" s="75">
        <v>35114</v>
      </c>
      <c r="I1156" s="76" t="str">
        <f>VLOOKUP(Tabelle2[[#This Row],[Artikel]],Produkte!A:B,2,0)</f>
        <v>M-ONE Sanitar Silikon</v>
      </c>
      <c r="J1156" s="75">
        <v>12</v>
      </c>
      <c r="K1156" s="76" t="str">
        <f>VLOOKUP(Tabelle2[[#This Row],[Kunden Nr.]],KUNDEN!A:G,7)</f>
        <v>Qerimi</v>
      </c>
      <c r="L1156" s="76">
        <f>VLOOKUP(Tabelle2[[#This Row],[Artikel]],Produkte!A:H,8)</f>
        <v>0.17</v>
      </c>
    </row>
    <row r="1157" spans="1:12" x14ac:dyDescent="0.2">
      <c r="A1157" s="75" t="s">
        <v>837</v>
      </c>
      <c r="B1157" s="79">
        <v>46081</v>
      </c>
      <c r="C1157" s="75"/>
      <c r="D1157" s="75"/>
      <c r="E1157" s="75"/>
      <c r="F1157" s="75">
        <v>10625</v>
      </c>
      <c r="G1157" s="76" t="str">
        <f>VLOOKUP(Tabelle2[[#This Row],[Kunden Nr.]],KUNDEN!A:B,2,0)</f>
        <v>KUJTA</v>
      </c>
      <c r="H1157" s="75">
        <v>35115</v>
      </c>
      <c r="I1157" s="76" t="str">
        <f>VLOOKUP(Tabelle2[[#This Row],[Artikel]],Produkte!A:B,2,0)</f>
        <v>M-ONE Sanitar Silikon</v>
      </c>
      <c r="J1157" s="75">
        <v>12</v>
      </c>
      <c r="K1157" s="76" t="str">
        <f>VLOOKUP(Tabelle2[[#This Row],[Kunden Nr.]],KUNDEN!A:G,7)</f>
        <v>Qerimi</v>
      </c>
      <c r="L1157" s="76">
        <f>VLOOKUP(Tabelle2[[#This Row],[Artikel]],Produkte!A:H,8)</f>
        <v>0.17</v>
      </c>
    </row>
    <row r="1158" spans="1:12" x14ac:dyDescent="0.2">
      <c r="A1158" s="75" t="s">
        <v>837</v>
      </c>
      <c r="B1158" s="79">
        <v>46081</v>
      </c>
      <c r="C1158" s="75"/>
      <c r="D1158" s="75"/>
      <c r="E1158" s="75"/>
      <c r="F1158" s="75">
        <v>10625</v>
      </c>
      <c r="G1158" s="76" t="str">
        <f>VLOOKUP(Tabelle2[[#This Row],[Kunden Nr.]],KUNDEN!A:B,2,0)</f>
        <v>KUJTA</v>
      </c>
      <c r="H1158" s="75">
        <v>35125</v>
      </c>
      <c r="I1158" s="76" t="str">
        <f>VLOOKUP(Tabelle2[[#This Row],[Artikel]],Produkte!A:B,2,0)</f>
        <v>M-ONE Sanitar Silikon</v>
      </c>
      <c r="J1158" s="75">
        <v>12</v>
      </c>
      <c r="K1158" s="76" t="str">
        <f>VLOOKUP(Tabelle2[[#This Row],[Kunden Nr.]],KUNDEN!A:G,7)</f>
        <v>Qerimi</v>
      </c>
      <c r="L1158" s="76">
        <f>VLOOKUP(Tabelle2[[#This Row],[Artikel]],Produkte!A:H,8)</f>
        <v>0.17</v>
      </c>
    </row>
    <row r="1159" spans="1:12" x14ac:dyDescent="0.2">
      <c r="A1159" s="75" t="s">
        <v>967</v>
      </c>
      <c r="B1159" s="79">
        <v>46081</v>
      </c>
      <c r="C1159" s="89">
        <v>126</v>
      </c>
      <c r="D1159" s="75"/>
      <c r="E1159" s="75"/>
      <c r="F1159" s="75">
        <v>20603</v>
      </c>
      <c r="G1159" s="76" t="str">
        <f>VLOOKUP(Tabelle2[[#This Row],[Kunden Nr.]],KUNDEN!A:B,2,0)</f>
        <v>PROMOIN</v>
      </c>
      <c r="H1159" s="75">
        <v>35114</v>
      </c>
      <c r="I1159" s="76" t="str">
        <f>VLOOKUP(Tabelle2[[#This Row],[Artikel]],Produkte!A:B,2,0)</f>
        <v>M-ONE Sanitar Silikon</v>
      </c>
      <c r="J1159" s="75">
        <v>24</v>
      </c>
      <c r="K1159" s="76" t="str">
        <f>VLOOKUP(Tabelle2[[#This Row],[Kunden Nr.]],KUNDEN!A:G,7)</f>
        <v>Mensuri</v>
      </c>
      <c r="L1159" s="76">
        <f>VLOOKUP(Tabelle2[[#This Row],[Artikel]],Produkte!A:H,8)</f>
        <v>0.17</v>
      </c>
    </row>
    <row r="1160" spans="1:12" x14ac:dyDescent="0.2">
      <c r="A1160" s="75" t="s">
        <v>967</v>
      </c>
      <c r="B1160" s="79">
        <v>46081</v>
      </c>
      <c r="C1160" s="75"/>
      <c r="D1160" s="75"/>
      <c r="E1160" s="75"/>
      <c r="F1160" s="75">
        <v>20603</v>
      </c>
      <c r="G1160" s="76" t="str">
        <f>VLOOKUP(Tabelle2[[#This Row],[Kunden Nr.]],KUNDEN!A:B,2,0)</f>
        <v>PROMOIN</v>
      </c>
      <c r="H1160" s="75">
        <v>51612</v>
      </c>
      <c r="I1160" s="76" t="str">
        <f>VLOOKUP(Tabelle2[[#This Row],[Artikel]],Produkte!A:B,2,0)</f>
        <v>struktural akryl</v>
      </c>
      <c r="J1160" s="75">
        <v>12</v>
      </c>
      <c r="K1160" s="76" t="str">
        <f>VLOOKUP(Tabelle2[[#This Row],[Kunden Nr.]],KUNDEN!A:G,7)</f>
        <v>Mensuri</v>
      </c>
      <c r="L1160" s="76">
        <f>VLOOKUP(Tabelle2[[#This Row],[Artikel]],Produkte!A:H,8)</f>
        <v>0.06</v>
      </c>
    </row>
    <row r="1161" spans="1:12" x14ac:dyDescent="0.2">
      <c r="A1161" s="75" t="s">
        <v>967</v>
      </c>
      <c r="B1161" s="79">
        <v>46081</v>
      </c>
      <c r="C1161" s="75"/>
      <c r="D1161" s="75"/>
      <c r="E1161" s="75"/>
      <c r="F1161" s="75">
        <v>20603</v>
      </c>
      <c r="G1161" s="76" t="str">
        <f>VLOOKUP(Tabelle2[[#This Row],[Kunden Nr.]],KUNDEN!A:B,2,0)</f>
        <v>PROMOIN</v>
      </c>
      <c r="H1161" s="75">
        <v>49644</v>
      </c>
      <c r="I1161" s="76" t="str">
        <f>VLOOKUP(Tabelle2[[#This Row],[Artikel]],Produkte!A:B,2,0)</f>
        <v>beMAKER Rostlöser</v>
      </c>
      <c r="J1161" s="75">
        <v>3</v>
      </c>
      <c r="K1161" s="76" t="str">
        <f>VLOOKUP(Tabelle2[[#This Row],[Kunden Nr.]],KUNDEN!A:G,7)</f>
        <v>Mensuri</v>
      </c>
      <c r="L1161" s="76">
        <f>VLOOKUP(Tabelle2[[#This Row],[Artikel]],Produkte!A:H,8)</f>
        <v>0.2</v>
      </c>
    </row>
    <row r="1162" spans="1:12" x14ac:dyDescent="0.2">
      <c r="A1162" s="75" t="s">
        <v>1305</v>
      </c>
      <c r="B1162" s="79">
        <v>46081</v>
      </c>
      <c r="C1162" s="89">
        <v>184.8</v>
      </c>
      <c r="D1162" s="75"/>
      <c r="E1162" s="75"/>
      <c r="F1162" s="75">
        <v>20622</v>
      </c>
      <c r="G1162" s="76" t="str">
        <f>VLOOKUP(Tabelle2[[#This Row],[Kunden Nr.]],KUNDEN!A:B,2,0)</f>
        <v>ILIRI QERAMIKA</v>
      </c>
      <c r="H1162" s="75">
        <v>35109</v>
      </c>
      <c r="I1162" s="76" t="str">
        <f>VLOOKUP(Tabelle2[[#This Row],[Artikel]],Produkte!A:B,2,0)</f>
        <v>M-ONE Sanitar Silikon</v>
      </c>
      <c r="J1162" s="75">
        <v>12</v>
      </c>
      <c r="K1162" s="76" t="str">
        <f>VLOOKUP(Tabelle2[[#This Row],[Kunden Nr.]],KUNDEN!A:G,7)</f>
        <v>Mensuri</v>
      </c>
      <c r="L1162" s="76">
        <f>VLOOKUP(Tabelle2[[#This Row],[Artikel]],Produkte!A:H,8)</f>
        <v>0.17</v>
      </c>
    </row>
    <row r="1163" spans="1:12" x14ac:dyDescent="0.2">
      <c r="A1163" s="75" t="s">
        <v>1305</v>
      </c>
      <c r="B1163" s="79">
        <v>46081</v>
      </c>
      <c r="C1163" s="75"/>
      <c r="D1163" s="75"/>
      <c r="E1163" s="75"/>
      <c r="F1163" s="75">
        <v>20622</v>
      </c>
      <c r="G1163" s="76" t="str">
        <f>VLOOKUP(Tabelle2[[#This Row],[Kunden Nr.]],KUNDEN!A:B,2,0)</f>
        <v>ILIRI QERAMIKA</v>
      </c>
      <c r="H1163" s="75">
        <v>35113</v>
      </c>
      <c r="I1163" s="76" t="str">
        <f>VLOOKUP(Tabelle2[[#This Row],[Artikel]],Produkte!A:B,2,0)</f>
        <v>M-ONE Sanitar Silikon</v>
      </c>
      <c r="J1163" s="75">
        <v>12</v>
      </c>
      <c r="K1163" s="76" t="str">
        <f>VLOOKUP(Tabelle2[[#This Row],[Kunden Nr.]],KUNDEN!A:G,7)</f>
        <v>Mensuri</v>
      </c>
      <c r="L1163" s="76">
        <f>VLOOKUP(Tabelle2[[#This Row],[Artikel]],Produkte!A:H,8)</f>
        <v>0.17</v>
      </c>
    </row>
    <row r="1164" spans="1:12" x14ac:dyDescent="0.2">
      <c r="A1164" s="75" t="s">
        <v>1305</v>
      </c>
      <c r="B1164" s="79">
        <v>46081</v>
      </c>
      <c r="C1164" s="75"/>
      <c r="D1164" s="75"/>
      <c r="E1164" s="75"/>
      <c r="F1164" s="75">
        <v>20622</v>
      </c>
      <c r="G1164" s="76" t="str">
        <f>VLOOKUP(Tabelle2[[#This Row],[Kunden Nr.]],KUNDEN!A:B,2,0)</f>
        <v>ILIRI QERAMIKA</v>
      </c>
      <c r="H1164" s="75">
        <v>35121</v>
      </c>
      <c r="I1164" s="76" t="str">
        <f>VLOOKUP(Tabelle2[[#This Row],[Artikel]],Produkte!A:B,2,0)</f>
        <v>M-ONE Sanitar Silikon</v>
      </c>
      <c r="J1164" s="75">
        <v>24</v>
      </c>
      <c r="K1164" s="76" t="str">
        <f>VLOOKUP(Tabelle2[[#This Row],[Kunden Nr.]],KUNDEN!A:G,7)</f>
        <v>Mensuri</v>
      </c>
      <c r="L1164" s="76">
        <f>VLOOKUP(Tabelle2[[#This Row],[Artikel]],Produkte!A:H,8)</f>
        <v>0.17</v>
      </c>
    </row>
    <row r="1165" spans="1:12" x14ac:dyDescent="0.2">
      <c r="A1165" s="75" t="s">
        <v>1171</v>
      </c>
      <c r="B1165" s="79">
        <v>46081</v>
      </c>
      <c r="C1165" s="89">
        <v>138.6</v>
      </c>
      <c r="D1165" s="75"/>
      <c r="E1165" s="75"/>
      <c r="F1165" s="75">
        <v>20627</v>
      </c>
      <c r="G1165" s="76" t="str">
        <f>VLOOKUP(Tabelle2[[#This Row],[Kunden Nr.]],KUNDEN!A:B,2,0)</f>
        <v>UNIKA</v>
      </c>
      <c r="H1165" s="75">
        <v>35111</v>
      </c>
      <c r="I1165" s="76" t="str">
        <f>VLOOKUP(Tabelle2[[#This Row],[Artikel]],Produkte!A:B,2,0)</f>
        <v>M-ONE Sanitar Silikon</v>
      </c>
      <c r="J1165" s="75">
        <v>12</v>
      </c>
      <c r="K1165" s="76" t="str">
        <f>VLOOKUP(Tabelle2[[#This Row],[Kunden Nr.]],KUNDEN!A:G,7)</f>
        <v>Mensuri</v>
      </c>
      <c r="L1165" s="76">
        <f>VLOOKUP(Tabelle2[[#This Row],[Artikel]],Produkte!A:H,8)</f>
        <v>0.17</v>
      </c>
    </row>
    <row r="1166" spans="1:12" x14ac:dyDescent="0.2">
      <c r="A1166" s="75" t="s">
        <v>1171</v>
      </c>
      <c r="B1166" s="79">
        <v>46081</v>
      </c>
      <c r="C1166" s="75"/>
      <c r="D1166" s="75"/>
      <c r="E1166" s="75"/>
      <c r="F1166" s="75">
        <v>20627</v>
      </c>
      <c r="G1166" s="76" t="str">
        <f>VLOOKUP(Tabelle2[[#This Row],[Kunden Nr.]],KUNDEN!A:B,2,0)</f>
        <v>UNIKA</v>
      </c>
      <c r="H1166" s="75">
        <v>35113</v>
      </c>
      <c r="I1166" s="76" t="str">
        <f>VLOOKUP(Tabelle2[[#This Row],[Artikel]],Produkte!A:B,2,0)</f>
        <v>M-ONE Sanitar Silikon</v>
      </c>
      <c r="J1166" s="75">
        <v>12</v>
      </c>
      <c r="K1166" s="76" t="str">
        <f>VLOOKUP(Tabelle2[[#This Row],[Kunden Nr.]],KUNDEN!A:G,7)</f>
        <v>Mensuri</v>
      </c>
      <c r="L1166" s="76">
        <f>VLOOKUP(Tabelle2[[#This Row],[Artikel]],Produkte!A:H,8)</f>
        <v>0.17</v>
      </c>
    </row>
    <row r="1167" spans="1:12" x14ac:dyDescent="0.2">
      <c r="A1167" s="75" t="s">
        <v>1171</v>
      </c>
      <c r="B1167" s="79">
        <v>46081</v>
      </c>
      <c r="C1167" s="75"/>
      <c r="D1167" s="75"/>
      <c r="E1167" s="75"/>
      <c r="F1167" s="75">
        <v>20627</v>
      </c>
      <c r="G1167" s="76" t="str">
        <f>VLOOKUP(Tabelle2[[#This Row],[Kunden Nr.]],KUNDEN!A:B,2,0)</f>
        <v>UNIKA</v>
      </c>
      <c r="H1167" s="75">
        <v>35121</v>
      </c>
      <c r="I1167" s="76" t="str">
        <f>VLOOKUP(Tabelle2[[#This Row],[Artikel]],Produkte!A:B,2,0)</f>
        <v>M-ONE Sanitar Silikon</v>
      </c>
      <c r="J1167" s="75">
        <v>12</v>
      </c>
      <c r="K1167" s="76" t="str">
        <f>VLOOKUP(Tabelle2[[#This Row],[Kunden Nr.]],KUNDEN!A:G,7)</f>
        <v>Mensuri</v>
      </c>
      <c r="L1167" s="76">
        <f>VLOOKUP(Tabelle2[[#This Row],[Artikel]],Produkte!A:H,8)</f>
        <v>0.17</v>
      </c>
    </row>
    <row r="1168" spans="1:12" x14ac:dyDescent="0.2">
      <c r="A1168" s="75" t="s">
        <v>432</v>
      </c>
      <c r="B1168" s="79">
        <v>46081</v>
      </c>
      <c r="C1168" s="89">
        <v>184.8</v>
      </c>
      <c r="D1168" s="75"/>
      <c r="E1168" s="75"/>
      <c r="F1168" s="75">
        <v>20604</v>
      </c>
      <c r="G1168" s="76" t="str">
        <f>VLOOKUP(Tabelle2[[#This Row],[Kunden Nr.]],KUNDEN!A:B,2,0)</f>
        <v>ALFA-QERAMIKA</v>
      </c>
      <c r="H1168" s="75">
        <v>35110</v>
      </c>
      <c r="I1168" s="76" t="str">
        <f>VLOOKUP(Tabelle2[[#This Row],[Artikel]],Produkte!A:B,2,0)</f>
        <v>M-ONE Sanitar Silikon</v>
      </c>
      <c r="J1168" s="75">
        <v>12</v>
      </c>
      <c r="K1168" s="76" t="str">
        <f>VLOOKUP(Tabelle2[[#This Row],[Kunden Nr.]],KUNDEN!A:G,7)</f>
        <v>Mensuri</v>
      </c>
      <c r="L1168" s="76">
        <f>VLOOKUP(Tabelle2[[#This Row],[Artikel]],Produkte!A:H,8)</f>
        <v>0.17</v>
      </c>
    </row>
    <row r="1169" spans="1:12" x14ac:dyDescent="0.2">
      <c r="A1169" s="75" t="s">
        <v>432</v>
      </c>
      <c r="B1169" s="79">
        <v>46081</v>
      </c>
      <c r="C1169" s="75"/>
      <c r="D1169" s="75"/>
      <c r="E1169" s="75"/>
      <c r="F1169" s="75">
        <v>20604</v>
      </c>
      <c r="G1169" s="76" t="str">
        <f>VLOOKUP(Tabelle2[[#This Row],[Kunden Nr.]],KUNDEN!A:B,2,0)</f>
        <v>ALFA-QERAMIKA</v>
      </c>
      <c r="H1169" s="75">
        <v>35111</v>
      </c>
      <c r="I1169" s="76" t="str">
        <f>VLOOKUP(Tabelle2[[#This Row],[Artikel]],Produkte!A:B,2,0)</f>
        <v>M-ONE Sanitar Silikon</v>
      </c>
      <c r="J1169" s="75">
        <v>24</v>
      </c>
      <c r="K1169" s="76" t="str">
        <f>VLOOKUP(Tabelle2[[#This Row],[Kunden Nr.]],KUNDEN!A:G,7)</f>
        <v>Mensuri</v>
      </c>
      <c r="L1169" s="76">
        <f>VLOOKUP(Tabelle2[[#This Row],[Artikel]],Produkte!A:H,8)</f>
        <v>0.17</v>
      </c>
    </row>
    <row r="1170" spans="1:12" x14ac:dyDescent="0.2">
      <c r="A1170" s="75" t="s">
        <v>432</v>
      </c>
      <c r="B1170" s="79">
        <v>46081</v>
      </c>
      <c r="C1170" s="75"/>
      <c r="D1170" s="75"/>
      <c r="E1170" s="75"/>
      <c r="F1170" s="75">
        <v>20604</v>
      </c>
      <c r="G1170" s="76" t="str">
        <f>VLOOKUP(Tabelle2[[#This Row],[Kunden Nr.]],KUNDEN!A:B,2,0)</f>
        <v>ALFA-QERAMIKA</v>
      </c>
      <c r="H1170" s="75">
        <v>35121</v>
      </c>
      <c r="I1170" s="76" t="str">
        <f>VLOOKUP(Tabelle2[[#This Row],[Artikel]],Produkte!A:B,2,0)</f>
        <v>M-ONE Sanitar Silikon</v>
      </c>
      <c r="J1170" s="75">
        <v>12</v>
      </c>
      <c r="K1170" s="76" t="str">
        <f>VLOOKUP(Tabelle2[[#This Row],[Kunden Nr.]],KUNDEN!A:G,7)</f>
        <v>Mensuri</v>
      </c>
      <c r="L1170" s="76">
        <f>VLOOKUP(Tabelle2[[#This Row],[Artikel]],Produkte!A:H,8)</f>
        <v>0.17</v>
      </c>
    </row>
    <row r="1171" spans="1:12" x14ac:dyDescent="0.2">
      <c r="A1171" s="75" t="s">
        <v>438</v>
      </c>
      <c r="B1171" s="79">
        <v>46081</v>
      </c>
      <c r="C1171" s="89">
        <v>401.6</v>
      </c>
      <c r="D1171" s="75"/>
      <c r="E1171" s="75"/>
      <c r="F1171" s="75">
        <v>20610</v>
      </c>
      <c r="G1171" s="76" t="str">
        <f>VLOOKUP(Tabelle2[[#This Row],[Kunden Nr.]],KUNDEN!A:B,2,0)</f>
        <v>AGRO-XHETI</v>
      </c>
      <c r="H1171" s="75">
        <v>35125</v>
      </c>
      <c r="I1171" s="76" t="str">
        <f>VLOOKUP(Tabelle2[[#This Row],[Artikel]],Produkte!A:B,2,0)</f>
        <v>M-ONE Sanitar Silikon</v>
      </c>
      <c r="J1171" s="75">
        <v>12</v>
      </c>
      <c r="K1171" s="76" t="str">
        <f>VLOOKUP(Tabelle2[[#This Row],[Kunden Nr.]],KUNDEN!A:G,7)</f>
        <v>Mensuri</v>
      </c>
      <c r="L1171" s="76">
        <f>VLOOKUP(Tabelle2[[#This Row],[Artikel]],Produkte!A:H,8)</f>
        <v>0.17</v>
      </c>
    </row>
    <row r="1172" spans="1:12" x14ac:dyDescent="0.2">
      <c r="A1172" s="75" t="s">
        <v>438</v>
      </c>
      <c r="B1172" s="79">
        <v>46081</v>
      </c>
      <c r="C1172" s="75"/>
      <c r="D1172" s="75"/>
      <c r="E1172" s="75"/>
      <c r="F1172" s="75">
        <v>20610</v>
      </c>
      <c r="G1172" s="76" t="str">
        <f>VLOOKUP(Tabelle2[[#This Row],[Kunden Nr.]],KUNDEN!A:B,2,0)</f>
        <v>AGRO-XHETI</v>
      </c>
      <c r="H1172" s="75">
        <v>35128</v>
      </c>
      <c r="I1172" s="76" t="str">
        <f>VLOOKUP(Tabelle2[[#This Row],[Artikel]],Produkte!A:B,2,0)</f>
        <v>M-ONE Sanitar Silikon</v>
      </c>
      <c r="J1172" s="75">
        <v>12</v>
      </c>
      <c r="K1172" s="76" t="str">
        <f>VLOOKUP(Tabelle2[[#This Row],[Kunden Nr.]],KUNDEN!A:G,7)</f>
        <v>Mensuri</v>
      </c>
      <c r="L1172" s="76">
        <f>VLOOKUP(Tabelle2[[#This Row],[Artikel]],Produkte!A:H,8)</f>
        <v>0.17</v>
      </c>
    </row>
    <row r="1173" spans="1:12" x14ac:dyDescent="0.2">
      <c r="A1173" s="75" t="s">
        <v>438</v>
      </c>
      <c r="B1173" s="79">
        <v>46081</v>
      </c>
      <c r="C1173" s="75"/>
      <c r="D1173" s="75"/>
      <c r="E1173" s="75"/>
      <c r="F1173" s="75">
        <v>20610</v>
      </c>
      <c r="G1173" s="76" t="str">
        <f>VLOOKUP(Tabelle2[[#This Row],[Kunden Nr.]],KUNDEN!A:B,2,0)</f>
        <v>AGRO-XHETI</v>
      </c>
      <c r="H1173" s="75">
        <v>35119</v>
      </c>
      <c r="I1173" s="76" t="str">
        <f>VLOOKUP(Tabelle2[[#This Row],[Artikel]],Produkte!A:B,2,0)</f>
        <v>M-ONE Sanitar Silikon</v>
      </c>
      <c r="J1173" s="75">
        <v>12</v>
      </c>
      <c r="K1173" s="76" t="str">
        <f>VLOOKUP(Tabelle2[[#This Row],[Kunden Nr.]],KUNDEN!A:G,7)</f>
        <v>Mensuri</v>
      </c>
      <c r="L1173" s="76">
        <f>VLOOKUP(Tabelle2[[#This Row],[Artikel]],Produkte!A:H,8)</f>
        <v>0.17</v>
      </c>
    </row>
    <row r="1174" spans="1:12" x14ac:dyDescent="0.2">
      <c r="A1174" s="75" t="s">
        <v>438</v>
      </c>
      <c r="B1174" s="79">
        <v>46081</v>
      </c>
      <c r="C1174" s="75"/>
      <c r="D1174" s="75"/>
      <c r="E1174" s="75"/>
      <c r="F1174" s="75">
        <v>20610</v>
      </c>
      <c r="G1174" s="76" t="str">
        <f>VLOOKUP(Tabelle2[[#This Row],[Kunden Nr.]],KUNDEN!A:B,2,0)</f>
        <v>AGRO-XHETI</v>
      </c>
      <c r="H1174" s="75">
        <v>35114</v>
      </c>
      <c r="I1174" s="76" t="str">
        <f>VLOOKUP(Tabelle2[[#This Row],[Artikel]],Produkte!A:B,2,0)</f>
        <v>M-ONE Sanitar Silikon</v>
      </c>
      <c r="J1174" s="75">
        <v>24</v>
      </c>
      <c r="K1174" s="76" t="str">
        <f>VLOOKUP(Tabelle2[[#This Row],[Kunden Nr.]],KUNDEN!A:G,7)</f>
        <v>Mensuri</v>
      </c>
      <c r="L1174" s="76">
        <f>VLOOKUP(Tabelle2[[#This Row],[Artikel]],Produkte!A:H,8)</f>
        <v>0.17</v>
      </c>
    </row>
    <row r="1175" spans="1:12" x14ac:dyDescent="0.2">
      <c r="A1175" s="75" t="s">
        <v>438</v>
      </c>
      <c r="B1175" s="79">
        <v>46081</v>
      </c>
      <c r="C1175" s="75"/>
      <c r="D1175" s="75"/>
      <c r="E1175" s="75"/>
      <c r="F1175" s="75">
        <v>20610</v>
      </c>
      <c r="G1175" s="76" t="str">
        <f>VLOOKUP(Tabelle2[[#This Row],[Kunden Nr.]],KUNDEN!A:B,2,0)</f>
        <v>AGRO-XHETI</v>
      </c>
      <c r="H1175" s="75">
        <v>35121</v>
      </c>
      <c r="I1175" s="76" t="str">
        <f>VLOOKUP(Tabelle2[[#This Row],[Artikel]],Produkte!A:B,2,0)</f>
        <v>M-ONE Sanitar Silikon</v>
      </c>
      <c r="J1175" s="75">
        <v>12</v>
      </c>
      <c r="K1175" s="76" t="str">
        <f>VLOOKUP(Tabelle2[[#This Row],[Kunden Nr.]],KUNDEN!A:G,7)</f>
        <v>Mensuri</v>
      </c>
      <c r="L1175" s="76">
        <f>VLOOKUP(Tabelle2[[#This Row],[Artikel]],Produkte!A:H,8)</f>
        <v>0.17</v>
      </c>
    </row>
    <row r="1176" spans="1:12" x14ac:dyDescent="0.2">
      <c r="A1176" s="75" t="s">
        <v>438</v>
      </c>
      <c r="B1176" s="79">
        <v>46081</v>
      </c>
      <c r="C1176" s="75"/>
      <c r="D1176" s="75"/>
      <c r="E1176" s="75"/>
      <c r="F1176" s="75">
        <v>20610</v>
      </c>
      <c r="G1176" s="76" t="str">
        <f>VLOOKUP(Tabelle2[[#This Row],[Kunden Nr.]],KUNDEN!A:B,2,0)</f>
        <v>AGRO-XHETI</v>
      </c>
      <c r="H1176" s="75">
        <v>35113</v>
      </c>
      <c r="I1176" s="76" t="str">
        <f>VLOOKUP(Tabelle2[[#This Row],[Artikel]],Produkte!A:B,2,0)</f>
        <v>M-ONE Sanitar Silikon</v>
      </c>
      <c r="J1176" s="75">
        <v>12</v>
      </c>
      <c r="K1176" s="76" t="str">
        <f>VLOOKUP(Tabelle2[[#This Row],[Kunden Nr.]],KUNDEN!A:G,7)</f>
        <v>Mensuri</v>
      </c>
      <c r="L1176" s="76">
        <f>VLOOKUP(Tabelle2[[#This Row],[Artikel]],Produkte!A:H,8)</f>
        <v>0.17</v>
      </c>
    </row>
    <row r="1177" spans="1:12" x14ac:dyDescent="0.2">
      <c r="A1177" s="75" t="s">
        <v>438</v>
      </c>
      <c r="B1177" s="79">
        <v>46081</v>
      </c>
      <c r="C1177" s="75"/>
      <c r="D1177" s="75"/>
      <c r="E1177" s="75"/>
      <c r="F1177" s="75">
        <v>20610</v>
      </c>
      <c r="G1177" s="76" t="str">
        <f>VLOOKUP(Tabelle2[[#This Row],[Kunden Nr.]],KUNDEN!A:B,2,0)</f>
        <v>AGRO-XHETI</v>
      </c>
      <c r="H1177" s="75">
        <v>35109</v>
      </c>
      <c r="I1177" s="76" t="str">
        <f>VLOOKUP(Tabelle2[[#This Row],[Artikel]],Produkte!A:B,2,0)</f>
        <v>M-ONE Sanitar Silikon</v>
      </c>
      <c r="J1177" s="75">
        <v>12</v>
      </c>
      <c r="K1177" s="76" t="str">
        <f>VLOOKUP(Tabelle2[[#This Row],[Kunden Nr.]],KUNDEN!A:G,7)</f>
        <v>Mensuri</v>
      </c>
      <c r="L1177" s="76">
        <f>VLOOKUP(Tabelle2[[#This Row],[Artikel]],Produkte!A:H,8)</f>
        <v>0.17</v>
      </c>
    </row>
    <row r="1178" spans="1:12" x14ac:dyDescent="0.2">
      <c r="A1178" s="75" t="s">
        <v>438</v>
      </c>
      <c r="B1178" s="79">
        <v>46081</v>
      </c>
      <c r="C1178" s="75"/>
      <c r="D1178" s="75"/>
      <c r="E1178" s="75"/>
      <c r="F1178" s="75">
        <v>20610</v>
      </c>
      <c r="G1178" s="76" t="str">
        <f>VLOOKUP(Tabelle2[[#This Row],[Kunden Nr.]],KUNDEN!A:B,2,0)</f>
        <v>AGRO-XHETI</v>
      </c>
      <c r="H1178" s="75">
        <v>35111</v>
      </c>
      <c r="I1178" s="76" t="str">
        <f>VLOOKUP(Tabelle2[[#This Row],[Artikel]],Produkte!A:B,2,0)</f>
        <v>M-ONE Sanitar Silikon</v>
      </c>
      <c r="J1178" s="75">
        <v>12</v>
      </c>
      <c r="K1178" s="76" t="str">
        <f>VLOOKUP(Tabelle2[[#This Row],[Kunden Nr.]],KUNDEN!A:G,7)</f>
        <v>Mensuri</v>
      </c>
      <c r="L1178" s="76">
        <f>VLOOKUP(Tabelle2[[#This Row],[Artikel]],Produkte!A:H,8)</f>
        <v>0.17</v>
      </c>
    </row>
    <row r="1179" spans="1:12" x14ac:dyDescent="0.2">
      <c r="A1179" s="75" t="s">
        <v>438</v>
      </c>
      <c r="B1179" s="79">
        <v>46081</v>
      </c>
      <c r="C1179" s="75"/>
      <c r="D1179" s="75"/>
      <c r="E1179" s="75"/>
      <c r="F1179" s="75">
        <v>20610</v>
      </c>
      <c r="G1179" s="76" t="str">
        <f>VLOOKUP(Tabelle2[[#This Row],[Kunden Nr.]],KUNDEN!A:B,2,0)</f>
        <v>AGRO-XHETI</v>
      </c>
      <c r="H1179" s="75">
        <v>50912</v>
      </c>
      <c r="I1179" s="76" t="str">
        <f>VLOOKUP(Tabelle2[[#This Row],[Artikel]],Produkte!A:B,2,0)</f>
        <v>DICHTUNG</v>
      </c>
      <c r="J1179" s="75">
        <v>4</v>
      </c>
      <c r="K1179" s="76" t="str">
        <f>VLOOKUP(Tabelle2[[#This Row],[Kunden Nr.]],KUNDEN!A:G,7)</f>
        <v>Mensuri</v>
      </c>
      <c r="L1179" s="76">
        <f>VLOOKUP(Tabelle2[[#This Row],[Artikel]],Produkte!A:H,8)</f>
        <v>0.2</v>
      </c>
    </row>
    <row r="1180" spans="1:12" x14ac:dyDescent="0.2">
      <c r="A1180" s="75" t="s">
        <v>1257</v>
      </c>
      <c r="B1180" s="79">
        <v>46081</v>
      </c>
      <c r="C1180" s="89">
        <v>600.6</v>
      </c>
      <c r="D1180" s="75"/>
      <c r="E1180" s="75"/>
      <c r="F1180" s="75">
        <v>20632</v>
      </c>
      <c r="G1180" s="76" t="str">
        <f>VLOOKUP(Tabelle2[[#This Row],[Kunden Nr.]],KUNDEN!A:B,2,0)</f>
        <v>GLOBAL TOOLS</v>
      </c>
      <c r="H1180" s="75">
        <v>35125</v>
      </c>
      <c r="I1180" s="76" t="str">
        <f>VLOOKUP(Tabelle2[[#This Row],[Artikel]],Produkte!A:B,2,0)</f>
        <v>M-ONE Sanitar Silikon</v>
      </c>
      <c r="J1180" s="75">
        <v>36</v>
      </c>
      <c r="K1180" s="76" t="str">
        <f>VLOOKUP(Tabelle2[[#This Row],[Kunden Nr.]],KUNDEN!A:G,7)</f>
        <v>Mensuri</v>
      </c>
      <c r="L1180" s="76">
        <f>VLOOKUP(Tabelle2[[#This Row],[Artikel]],Produkte!A:H,8)</f>
        <v>0.17</v>
      </c>
    </row>
    <row r="1181" spans="1:12" x14ac:dyDescent="0.2">
      <c r="A1181" s="75" t="s">
        <v>1257</v>
      </c>
      <c r="B1181" s="79">
        <v>46081</v>
      </c>
      <c r="C1181" s="75"/>
      <c r="D1181" s="75"/>
      <c r="E1181" s="75"/>
      <c r="F1181" s="75">
        <v>20632</v>
      </c>
      <c r="G1181" s="76" t="str">
        <f>VLOOKUP(Tabelle2[[#This Row],[Kunden Nr.]],KUNDEN!A:B,2,0)</f>
        <v>GLOBAL TOOLS</v>
      </c>
      <c r="H1181" s="75">
        <v>35113</v>
      </c>
      <c r="I1181" s="76" t="str">
        <f>VLOOKUP(Tabelle2[[#This Row],[Artikel]],Produkte!A:B,2,0)</f>
        <v>M-ONE Sanitar Silikon</v>
      </c>
      <c r="J1181" s="75">
        <v>24</v>
      </c>
      <c r="K1181" s="76" t="str">
        <f>VLOOKUP(Tabelle2[[#This Row],[Kunden Nr.]],KUNDEN!A:G,7)</f>
        <v>Mensuri</v>
      </c>
      <c r="L1181" s="76">
        <f>VLOOKUP(Tabelle2[[#This Row],[Artikel]],Produkte!A:H,8)</f>
        <v>0.17</v>
      </c>
    </row>
    <row r="1182" spans="1:12" x14ac:dyDescent="0.2">
      <c r="A1182" s="75" t="s">
        <v>1257</v>
      </c>
      <c r="B1182" s="79">
        <v>46081</v>
      </c>
      <c r="C1182" s="75"/>
      <c r="D1182" s="75"/>
      <c r="E1182" s="75"/>
      <c r="F1182" s="75">
        <v>20632</v>
      </c>
      <c r="G1182" s="76" t="str">
        <f>VLOOKUP(Tabelle2[[#This Row],[Kunden Nr.]],KUNDEN!A:B,2,0)</f>
        <v>GLOBAL TOOLS</v>
      </c>
      <c r="H1182" s="75">
        <v>35109</v>
      </c>
      <c r="I1182" s="76" t="str">
        <f>VLOOKUP(Tabelle2[[#This Row],[Artikel]],Produkte!A:B,2,0)</f>
        <v>M-ONE Sanitar Silikon</v>
      </c>
      <c r="J1182" s="75">
        <v>24</v>
      </c>
      <c r="K1182" s="76" t="str">
        <f>VLOOKUP(Tabelle2[[#This Row],[Kunden Nr.]],KUNDEN!A:G,7)</f>
        <v>Mensuri</v>
      </c>
      <c r="L1182" s="76">
        <f>VLOOKUP(Tabelle2[[#This Row],[Artikel]],Produkte!A:H,8)</f>
        <v>0.17</v>
      </c>
    </row>
    <row r="1183" spans="1:12" x14ac:dyDescent="0.2">
      <c r="A1183" s="75" t="s">
        <v>1257</v>
      </c>
      <c r="B1183" s="79">
        <v>46081</v>
      </c>
      <c r="C1183" s="75"/>
      <c r="D1183" s="75"/>
      <c r="E1183" s="75"/>
      <c r="F1183" s="75">
        <v>20632</v>
      </c>
      <c r="G1183" s="76" t="str">
        <f>VLOOKUP(Tabelle2[[#This Row],[Kunden Nr.]],KUNDEN!A:B,2,0)</f>
        <v>GLOBAL TOOLS</v>
      </c>
      <c r="H1183" s="75">
        <v>35111</v>
      </c>
      <c r="I1183" s="76" t="str">
        <f>VLOOKUP(Tabelle2[[#This Row],[Artikel]],Produkte!A:B,2,0)</f>
        <v>M-ONE Sanitar Silikon</v>
      </c>
      <c r="J1183" s="75">
        <v>24</v>
      </c>
      <c r="K1183" s="76" t="str">
        <f>VLOOKUP(Tabelle2[[#This Row],[Kunden Nr.]],KUNDEN!A:G,7)</f>
        <v>Mensuri</v>
      </c>
      <c r="L1183" s="76">
        <f>VLOOKUP(Tabelle2[[#This Row],[Artikel]],Produkte!A:H,8)</f>
        <v>0.17</v>
      </c>
    </row>
    <row r="1184" spans="1:12" x14ac:dyDescent="0.2">
      <c r="A1184" s="75" t="s">
        <v>1257</v>
      </c>
      <c r="B1184" s="79">
        <v>46081</v>
      </c>
      <c r="C1184" s="75"/>
      <c r="D1184" s="75"/>
      <c r="E1184" s="75"/>
      <c r="F1184" s="75">
        <v>20632</v>
      </c>
      <c r="G1184" s="76" t="str">
        <f>VLOOKUP(Tabelle2[[#This Row],[Kunden Nr.]],KUNDEN!A:B,2,0)</f>
        <v>GLOBAL TOOLS</v>
      </c>
      <c r="H1184" s="75">
        <v>35128</v>
      </c>
      <c r="I1184" s="76" t="str">
        <f>VLOOKUP(Tabelle2[[#This Row],[Artikel]],Produkte!A:B,2,0)</f>
        <v>M-ONE Sanitar Silikon</v>
      </c>
      <c r="J1184" s="75">
        <v>24</v>
      </c>
      <c r="K1184" s="76" t="str">
        <f>VLOOKUP(Tabelle2[[#This Row],[Kunden Nr.]],KUNDEN!A:G,7)</f>
        <v>Mensuri</v>
      </c>
      <c r="L1184" s="76">
        <f>VLOOKUP(Tabelle2[[#This Row],[Artikel]],Produkte!A:H,8)</f>
        <v>0.17</v>
      </c>
    </row>
    <row r="1185" spans="1:12" x14ac:dyDescent="0.2">
      <c r="A1185" s="75" t="s">
        <v>1257</v>
      </c>
      <c r="B1185" s="79">
        <v>46081</v>
      </c>
      <c r="C1185" s="75"/>
      <c r="D1185" s="75"/>
      <c r="E1185" s="75"/>
      <c r="F1185" s="75">
        <v>20632</v>
      </c>
      <c r="G1185" s="76" t="str">
        <f>VLOOKUP(Tabelle2[[#This Row],[Kunden Nr.]],KUNDEN!A:B,2,0)</f>
        <v>GLOBAL TOOLS</v>
      </c>
      <c r="H1185" s="75">
        <v>35115</v>
      </c>
      <c r="I1185" s="76" t="str">
        <f>VLOOKUP(Tabelle2[[#This Row],[Artikel]],Produkte!A:B,2,0)</f>
        <v>M-ONE Sanitar Silikon</v>
      </c>
      <c r="J1185" s="75">
        <v>12</v>
      </c>
      <c r="K1185" s="76" t="str">
        <f>VLOOKUP(Tabelle2[[#This Row],[Kunden Nr.]],KUNDEN!A:G,7)</f>
        <v>Mensuri</v>
      </c>
      <c r="L1185" s="76">
        <f>VLOOKUP(Tabelle2[[#This Row],[Artikel]],Produkte!A:H,8)</f>
        <v>0.17</v>
      </c>
    </row>
    <row r="1186" spans="1:12" x14ac:dyDescent="0.2">
      <c r="A1186" s="75" t="s">
        <v>1257</v>
      </c>
      <c r="B1186" s="79">
        <v>46081</v>
      </c>
      <c r="C1186" s="75"/>
      <c r="D1186" s="75"/>
      <c r="E1186" s="75"/>
      <c r="F1186" s="75">
        <v>20632</v>
      </c>
      <c r="G1186" s="76" t="str">
        <f>VLOOKUP(Tabelle2[[#This Row],[Kunden Nr.]],KUNDEN!A:B,2,0)</f>
        <v>GLOBAL TOOLS</v>
      </c>
      <c r="H1186" s="75">
        <v>35121</v>
      </c>
      <c r="I1186" s="76" t="str">
        <f>VLOOKUP(Tabelle2[[#This Row],[Artikel]],Produkte!A:B,2,0)</f>
        <v>M-ONE Sanitar Silikon</v>
      </c>
      <c r="J1186" s="75">
        <v>12</v>
      </c>
      <c r="K1186" s="76" t="str">
        <f>VLOOKUP(Tabelle2[[#This Row],[Kunden Nr.]],KUNDEN!A:G,7)</f>
        <v>Mensuri</v>
      </c>
      <c r="L1186" s="76">
        <f>VLOOKUP(Tabelle2[[#This Row],[Artikel]],Produkte!A:H,8)</f>
        <v>0.17</v>
      </c>
    </row>
    <row r="1187" spans="1:12" x14ac:dyDescent="0.2">
      <c r="A1187" s="75" t="s">
        <v>434</v>
      </c>
      <c r="B1187" s="79">
        <v>46081</v>
      </c>
      <c r="C1187" s="89">
        <v>100.4</v>
      </c>
      <c r="D1187" s="75"/>
      <c r="E1187" s="75"/>
      <c r="F1187" s="75">
        <v>20606</v>
      </c>
      <c r="G1187" s="76" t="str">
        <f>VLOOKUP(Tabelle2[[#This Row],[Kunden Nr.]],KUNDEN!A:B,2,0)</f>
        <v>TE-SYLA</v>
      </c>
      <c r="H1187" s="75">
        <v>35110</v>
      </c>
      <c r="I1187" s="76" t="str">
        <f>VLOOKUP(Tabelle2[[#This Row],[Artikel]],Produkte!A:B,2,0)</f>
        <v>M-ONE Sanitar Silikon</v>
      </c>
      <c r="J1187" s="75">
        <v>12</v>
      </c>
      <c r="K1187" s="76" t="str">
        <f>VLOOKUP(Tabelle2[[#This Row],[Kunden Nr.]],KUNDEN!A:G,7)</f>
        <v>Mensuri</v>
      </c>
      <c r="L1187" s="76">
        <f>VLOOKUP(Tabelle2[[#This Row],[Artikel]],Produkte!A:H,8)</f>
        <v>0.17</v>
      </c>
    </row>
    <row r="1188" spans="1:12" x14ac:dyDescent="0.2">
      <c r="A1188" s="75" t="s">
        <v>434</v>
      </c>
      <c r="B1188" s="79">
        <v>46081</v>
      </c>
      <c r="C1188" s="75"/>
      <c r="D1188" s="75"/>
      <c r="E1188" s="75"/>
      <c r="F1188" s="75">
        <v>20606</v>
      </c>
      <c r="G1188" s="76" t="str">
        <f>VLOOKUP(Tabelle2[[#This Row],[Kunden Nr.]],KUNDEN!A:B,2,0)</f>
        <v>TE-SYLA</v>
      </c>
      <c r="H1188" s="75">
        <v>35111</v>
      </c>
      <c r="I1188" s="76" t="str">
        <f>VLOOKUP(Tabelle2[[#This Row],[Artikel]],Produkte!A:B,2,0)</f>
        <v>M-ONE Sanitar Silikon</v>
      </c>
      <c r="J1188" s="75">
        <v>12</v>
      </c>
      <c r="K1188" s="76" t="str">
        <f>VLOOKUP(Tabelle2[[#This Row],[Kunden Nr.]],KUNDEN!A:G,7)</f>
        <v>Mensuri</v>
      </c>
      <c r="L1188" s="76">
        <f>VLOOKUP(Tabelle2[[#This Row],[Artikel]],Produkte!A:H,8)</f>
        <v>0.17</v>
      </c>
    </row>
    <row r="1189" spans="1:12" x14ac:dyDescent="0.2">
      <c r="A1189" s="75" t="s">
        <v>434</v>
      </c>
      <c r="B1189" s="79">
        <v>46081</v>
      </c>
      <c r="C1189" s="75"/>
      <c r="D1189" s="75"/>
      <c r="E1189" s="75"/>
      <c r="F1189" s="75">
        <v>20606</v>
      </c>
      <c r="G1189" s="76" t="str">
        <f>VLOOKUP(Tabelle2[[#This Row],[Kunden Nr.]],KUNDEN!A:B,2,0)</f>
        <v>TE-SYLA</v>
      </c>
      <c r="H1189" s="75">
        <v>56117</v>
      </c>
      <c r="I1189" s="76" t="str">
        <f>VLOOKUP(Tabelle2[[#This Row],[Artikel]],Produkte!A:B,2,0)</f>
        <v>M ONE UBS</v>
      </c>
      <c r="J1189" s="75">
        <v>2</v>
      </c>
      <c r="K1189" s="76" t="str">
        <f>VLOOKUP(Tabelle2[[#This Row],[Kunden Nr.]],KUNDEN!A:G,7)</f>
        <v>Mensuri</v>
      </c>
      <c r="L1189" s="76">
        <f>VLOOKUP(Tabelle2[[#This Row],[Artikel]],Produkte!A:H,8)</f>
        <v>0.2</v>
      </c>
    </row>
    <row r="1190" spans="1:12" x14ac:dyDescent="0.2">
      <c r="A1190" s="75" t="s">
        <v>968</v>
      </c>
      <c r="B1190" s="79">
        <v>46081</v>
      </c>
      <c r="C1190" s="89">
        <v>138.6</v>
      </c>
      <c r="D1190" s="75"/>
      <c r="E1190" s="75"/>
      <c r="F1190" s="75">
        <v>20624</v>
      </c>
      <c r="G1190" s="76" t="str">
        <f>VLOOKUP(Tabelle2[[#This Row],[Kunden Nr.]],KUNDEN!A:B,2,0)</f>
        <v>BULONI - SH</v>
      </c>
      <c r="H1190" s="75">
        <v>35115</v>
      </c>
      <c r="I1190" s="76" t="str">
        <f>VLOOKUP(Tabelle2[[#This Row],[Artikel]],Produkte!A:B,2,0)</f>
        <v>M-ONE Sanitar Silikon</v>
      </c>
      <c r="J1190" s="75">
        <v>24</v>
      </c>
      <c r="K1190" s="76" t="str">
        <f>VLOOKUP(Tabelle2[[#This Row],[Kunden Nr.]],KUNDEN!A:G,7)</f>
        <v>Mensuri</v>
      </c>
      <c r="L1190" s="76">
        <f>VLOOKUP(Tabelle2[[#This Row],[Artikel]],Produkte!A:H,8)</f>
        <v>0.17</v>
      </c>
    </row>
    <row r="1191" spans="1:12" x14ac:dyDescent="0.2">
      <c r="A1191" s="75" t="s">
        <v>968</v>
      </c>
      <c r="B1191" s="79">
        <v>46081</v>
      </c>
      <c r="C1191" s="75"/>
      <c r="D1191" s="75"/>
      <c r="E1191" s="75"/>
      <c r="F1191" s="75">
        <v>20624</v>
      </c>
      <c r="G1191" s="76" t="str">
        <f>VLOOKUP(Tabelle2[[#This Row],[Kunden Nr.]],KUNDEN!A:B,2,0)</f>
        <v>BULONI - SH</v>
      </c>
      <c r="H1191" s="75">
        <v>35119</v>
      </c>
      <c r="I1191" s="76" t="str">
        <f>VLOOKUP(Tabelle2[[#This Row],[Artikel]],Produkte!A:B,2,0)</f>
        <v>M-ONE Sanitar Silikon</v>
      </c>
      <c r="J1191" s="75">
        <v>12</v>
      </c>
      <c r="K1191" s="76" t="str">
        <f>VLOOKUP(Tabelle2[[#This Row],[Kunden Nr.]],KUNDEN!A:G,7)</f>
        <v>Mensuri</v>
      </c>
      <c r="L1191" s="76">
        <f>VLOOKUP(Tabelle2[[#This Row],[Artikel]],Produkte!A:H,8)</f>
        <v>0.17</v>
      </c>
    </row>
    <row r="1192" spans="1:12" x14ac:dyDescent="0.2">
      <c r="A1192" s="75" t="s">
        <v>446</v>
      </c>
      <c r="B1192" s="79">
        <v>46081</v>
      </c>
      <c r="C1192" s="89">
        <v>166.2</v>
      </c>
      <c r="D1192" s="75"/>
      <c r="E1192" s="75"/>
      <c r="F1192" s="75">
        <v>20615</v>
      </c>
      <c r="G1192" s="76" t="str">
        <f>VLOOKUP(Tabelle2[[#This Row],[Kunden Nr.]],KUNDEN!A:B,2,0)</f>
        <v>MIX-B</v>
      </c>
      <c r="H1192" s="75">
        <v>35110</v>
      </c>
      <c r="I1192" s="76" t="str">
        <f>VLOOKUP(Tabelle2[[#This Row],[Artikel]],Produkte!A:B,2,0)</f>
        <v>M-ONE Sanitar Silikon</v>
      </c>
      <c r="J1192" s="75">
        <v>12</v>
      </c>
      <c r="K1192" s="76" t="str">
        <f>VLOOKUP(Tabelle2[[#This Row],[Kunden Nr.]],KUNDEN!A:G,7)</f>
        <v>Mensuri</v>
      </c>
      <c r="L1192" s="76">
        <f>VLOOKUP(Tabelle2[[#This Row],[Artikel]],Produkte!A:H,8)</f>
        <v>0.17</v>
      </c>
    </row>
    <row r="1193" spans="1:12" x14ac:dyDescent="0.2">
      <c r="A1193" s="75" t="s">
        <v>446</v>
      </c>
      <c r="B1193" s="79">
        <v>46081</v>
      </c>
      <c r="C1193" s="75"/>
      <c r="D1193" s="75"/>
      <c r="E1193" s="75"/>
      <c r="F1193" s="75">
        <v>20615</v>
      </c>
      <c r="G1193" s="76" t="str">
        <f>VLOOKUP(Tabelle2[[#This Row],[Kunden Nr.]],KUNDEN!A:B,2,0)</f>
        <v>MIX-B</v>
      </c>
      <c r="H1193" s="75">
        <v>35115</v>
      </c>
      <c r="I1193" s="76" t="str">
        <f>VLOOKUP(Tabelle2[[#This Row],[Artikel]],Produkte!A:B,2,0)</f>
        <v>M-ONE Sanitar Silikon</v>
      </c>
      <c r="J1193" s="75">
        <v>12</v>
      </c>
      <c r="K1193" s="76" t="str">
        <f>VLOOKUP(Tabelle2[[#This Row],[Kunden Nr.]],KUNDEN!A:G,7)</f>
        <v>Mensuri</v>
      </c>
      <c r="L1193" s="76">
        <f>VLOOKUP(Tabelle2[[#This Row],[Artikel]],Produkte!A:H,8)</f>
        <v>0.17</v>
      </c>
    </row>
    <row r="1194" spans="1:12" x14ac:dyDescent="0.2">
      <c r="A1194" s="75" t="s">
        <v>446</v>
      </c>
      <c r="B1194" s="79">
        <v>46081</v>
      </c>
      <c r="C1194" s="75"/>
      <c r="D1194" s="75"/>
      <c r="E1194" s="75"/>
      <c r="F1194" s="75">
        <v>20615</v>
      </c>
      <c r="G1194" s="76" t="str">
        <f>VLOOKUP(Tabelle2[[#This Row],[Kunden Nr.]],KUNDEN!A:B,2,0)</f>
        <v>MIX-B</v>
      </c>
      <c r="H1194" s="75">
        <v>35121</v>
      </c>
      <c r="I1194" s="76" t="str">
        <f>VLOOKUP(Tabelle2[[#This Row],[Artikel]],Produkte!A:B,2,0)</f>
        <v>M-ONE Sanitar Silikon</v>
      </c>
      <c r="J1194" s="75">
        <v>12</v>
      </c>
      <c r="K1194" s="76" t="str">
        <f>VLOOKUP(Tabelle2[[#This Row],[Kunden Nr.]],KUNDEN!A:G,7)</f>
        <v>Mensuri</v>
      </c>
      <c r="L1194" s="76">
        <f>VLOOKUP(Tabelle2[[#This Row],[Artikel]],Produkte!A:H,8)</f>
        <v>0.17</v>
      </c>
    </row>
    <row r="1195" spans="1:12" x14ac:dyDescent="0.2">
      <c r="A1195" s="75" t="s">
        <v>446</v>
      </c>
      <c r="B1195" s="79">
        <v>46081</v>
      </c>
      <c r="C1195" s="75"/>
      <c r="D1195" s="75"/>
      <c r="E1195" s="75"/>
      <c r="F1195" s="75">
        <v>20615</v>
      </c>
      <c r="G1195" s="76" t="str">
        <f>VLOOKUP(Tabelle2[[#This Row],[Kunden Nr.]],KUNDEN!A:B,2,0)</f>
        <v>MIX-B</v>
      </c>
      <c r="H1195" s="75">
        <v>51612</v>
      </c>
      <c r="I1195" s="76" t="str">
        <f>VLOOKUP(Tabelle2[[#This Row],[Artikel]],Produkte!A:B,2,0)</f>
        <v>struktural akryl</v>
      </c>
      <c r="J1195" s="75">
        <v>12</v>
      </c>
      <c r="K1195" s="76" t="str">
        <f>VLOOKUP(Tabelle2[[#This Row],[Kunden Nr.]],KUNDEN!A:G,7)</f>
        <v>Mensuri</v>
      </c>
      <c r="L1195" s="76">
        <f>VLOOKUP(Tabelle2[[#This Row],[Artikel]],Produkte!A:H,8)</f>
        <v>0.06</v>
      </c>
    </row>
    <row r="1196" spans="1:12" x14ac:dyDescent="0.2">
      <c r="A1196" s="75" t="s">
        <v>1176</v>
      </c>
      <c r="B1196" s="79">
        <v>46083</v>
      </c>
      <c r="C1196" s="89">
        <v>35</v>
      </c>
      <c r="D1196" s="75"/>
      <c r="E1196" s="75"/>
      <c r="F1196" s="75" t="s">
        <v>1323</v>
      </c>
      <c r="G1196" s="76" t="str">
        <f>VLOOKUP(Tabelle2[[#This Row],[Kunden Nr.]],KUNDEN!A:B,2,0)</f>
        <v>M ONE</v>
      </c>
      <c r="H1196" s="75">
        <v>35108</v>
      </c>
      <c r="I1196" s="76" t="str">
        <f>VLOOKUP(Tabelle2[[#This Row],[Artikel]],Produkte!A:B,2,0)</f>
        <v>M-ONE Sanitar Silikon</v>
      </c>
      <c r="J1196" s="75">
        <v>7</v>
      </c>
      <c r="K1196" s="76" t="str">
        <f>VLOOKUP(Tabelle2[[#This Row],[Kunden Nr.]],KUNDEN!A:G,7)</f>
        <v>KIM TEC</v>
      </c>
      <c r="L1196" s="76">
        <f>VLOOKUP(Tabelle2[[#This Row],[Artikel]],Produkte!A:H,8)</f>
        <v>0.17</v>
      </c>
    </row>
    <row r="1197" spans="1:12" x14ac:dyDescent="0.2">
      <c r="A1197" s="75" t="s">
        <v>1188</v>
      </c>
      <c r="B1197" s="79">
        <v>46083</v>
      </c>
      <c r="C1197" s="89">
        <v>46.2</v>
      </c>
      <c r="D1197" s="75"/>
      <c r="E1197" s="75"/>
      <c r="F1197" s="75">
        <v>10133</v>
      </c>
      <c r="G1197" s="76" t="str">
        <f>VLOOKUP(Tabelle2[[#This Row],[Kunden Nr.]],KUNDEN!A:B,2,0)</f>
        <v>HIDROELDI</v>
      </c>
      <c r="H1197" s="75">
        <v>35109</v>
      </c>
      <c r="I1197" s="76" t="str">
        <f>VLOOKUP(Tabelle2[[#This Row],[Artikel]],Produkte!A:B,2,0)</f>
        <v>M-ONE Sanitar Silikon</v>
      </c>
      <c r="J1197" s="75">
        <v>12</v>
      </c>
      <c r="K1197" s="76" t="str">
        <f>VLOOKUP(Tabelle2[[#This Row],[Kunden Nr.]],KUNDEN!A:G,7)</f>
        <v>Qerimi</v>
      </c>
      <c r="L1197" s="76">
        <f>VLOOKUP(Tabelle2[[#This Row],[Artikel]],Produkte!A:H,8)</f>
        <v>0.17</v>
      </c>
    </row>
    <row r="1198" spans="1:12" x14ac:dyDescent="0.2">
      <c r="A1198" s="75" t="s">
        <v>576</v>
      </c>
      <c r="B1198" s="79">
        <v>46083</v>
      </c>
      <c r="C1198" s="89">
        <v>47.2</v>
      </c>
      <c r="D1198" s="75"/>
      <c r="E1198" s="75"/>
      <c r="F1198" s="75">
        <v>10114</v>
      </c>
      <c r="G1198" s="76" t="str">
        <f>VLOOKUP(Tabelle2[[#This Row],[Kunden Nr.]],KUNDEN!A:B,2,0)</f>
        <v>QELA</v>
      </c>
      <c r="H1198" s="75">
        <v>50912</v>
      </c>
      <c r="I1198" s="76" t="str">
        <f>VLOOKUP(Tabelle2[[#This Row],[Artikel]],Produkte!A:B,2,0)</f>
        <v>DICHTUNG</v>
      </c>
      <c r="J1198" s="75">
        <v>6</v>
      </c>
      <c r="K1198" s="76" t="str">
        <f>VLOOKUP(Tabelle2[[#This Row],[Kunden Nr.]],KUNDEN!A:G,7)</f>
        <v>Qerimi</v>
      </c>
      <c r="L1198" s="76">
        <f>VLOOKUP(Tabelle2[[#This Row],[Artikel]],Produkte!A:H,8)</f>
        <v>0.2</v>
      </c>
    </row>
    <row r="1199" spans="1:12" x14ac:dyDescent="0.2">
      <c r="A1199" s="75" t="s">
        <v>576</v>
      </c>
      <c r="B1199" s="79">
        <v>46083</v>
      </c>
      <c r="C1199" s="75"/>
      <c r="D1199" s="75"/>
      <c r="E1199" s="75"/>
      <c r="F1199" s="75">
        <v>10114</v>
      </c>
      <c r="G1199" s="76" t="str">
        <f>VLOOKUP(Tabelle2[[#This Row],[Kunden Nr.]],KUNDEN!A:B,2,0)</f>
        <v>QELA</v>
      </c>
      <c r="H1199" s="75">
        <v>49644</v>
      </c>
      <c r="I1199" s="76" t="str">
        <f>VLOOKUP(Tabelle2[[#This Row],[Artikel]],Produkte!A:B,2,0)</f>
        <v>beMAKER Rostlöser</v>
      </c>
      <c r="J1199" s="75">
        <v>2</v>
      </c>
      <c r="K1199" s="76" t="str">
        <f>VLOOKUP(Tabelle2[[#This Row],[Kunden Nr.]],KUNDEN!A:G,7)</f>
        <v>Qerimi</v>
      </c>
      <c r="L1199" s="76">
        <f>VLOOKUP(Tabelle2[[#This Row],[Artikel]],Produkte!A:H,8)</f>
        <v>0.2</v>
      </c>
    </row>
    <row r="1200" spans="1:12" x14ac:dyDescent="0.2">
      <c r="A1200" s="75" t="s">
        <v>573</v>
      </c>
      <c r="B1200" s="79">
        <v>46083</v>
      </c>
      <c r="C1200" s="89">
        <v>138.6</v>
      </c>
      <c r="D1200" s="75"/>
      <c r="E1200" s="75"/>
      <c r="F1200" s="75">
        <v>10111</v>
      </c>
      <c r="G1200" s="76" t="str">
        <f>VLOOKUP(Tabelle2[[#This Row],[Kunden Nr.]],KUNDEN!A:B,2,0)</f>
        <v>KADIJOLLET</v>
      </c>
      <c r="H1200" s="75">
        <v>35110</v>
      </c>
      <c r="I1200" s="76" t="str">
        <f>VLOOKUP(Tabelle2[[#This Row],[Artikel]],Produkte!A:B,2,0)</f>
        <v>M-ONE Sanitar Silikon</v>
      </c>
      <c r="J1200" s="75">
        <v>12</v>
      </c>
      <c r="K1200" s="76" t="str">
        <f>VLOOKUP(Tabelle2[[#This Row],[Kunden Nr.]],KUNDEN!A:G,7)</f>
        <v>Qerimi</v>
      </c>
      <c r="L1200" s="76">
        <f>VLOOKUP(Tabelle2[[#This Row],[Artikel]],Produkte!A:H,8)</f>
        <v>0.17</v>
      </c>
    </row>
    <row r="1201" spans="1:12" x14ac:dyDescent="0.2">
      <c r="A1201" s="75" t="s">
        <v>573</v>
      </c>
      <c r="B1201" s="79">
        <v>46083</v>
      </c>
      <c r="C1201" s="75"/>
      <c r="D1201" s="75"/>
      <c r="E1201" s="75"/>
      <c r="F1201" s="75">
        <v>10111</v>
      </c>
      <c r="G1201" s="76" t="str">
        <f>VLOOKUP(Tabelle2[[#This Row],[Kunden Nr.]],KUNDEN!A:B,2,0)</f>
        <v>KADIJOLLET</v>
      </c>
      <c r="H1201" s="75">
        <v>35111</v>
      </c>
      <c r="I1201" s="76" t="str">
        <f>VLOOKUP(Tabelle2[[#This Row],[Artikel]],Produkte!A:B,2,0)</f>
        <v>M-ONE Sanitar Silikon</v>
      </c>
      <c r="J1201" s="75">
        <v>12</v>
      </c>
      <c r="K1201" s="76" t="str">
        <f>VLOOKUP(Tabelle2[[#This Row],[Kunden Nr.]],KUNDEN!A:G,7)</f>
        <v>Qerimi</v>
      </c>
      <c r="L1201" s="76">
        <f>VLOOKUP(Tabelle2[[#This Row],[Artikel]],Produkte!A:H,8)</f>
        <v>0.17</v>
      </c>
    </row>
    <row r="1202" spans="1:12" x14ac:dyDescent="0.2">
      <c r="A1202" s="75" t="s">
        <v>573</v>
      </c>
      <c r="B1202" s="79">
        <v>46083</v>
      </c>
      <c r="C1202" s="75"/>
      <c r="D1202" s="75"/>
      <c r="E1202" s="75"/>
      <c r="F1202" s="75">
        <v>10111</v>
      </c>
      <c r="G1202" s="76" t="str">
        <f>VLOOKUP(Tabelle2[[#This Row],[Kunden Nr.]],KUNDEN!A:B,2,0)</f>
        <v>KADIJOLLET</v>
      </c>
      <c r="H1202" s="75">
        <v>35121</v>
      </c>
      <c r="I1202" s="76" t="str">
        <f>VLOOKUP(Tabelle2[[#This Row],[Artikel]],Produkte!A:B,2,0)</f>
        <v>M-ONE Sanitar Silikon</v>
      </c>
      <c r="J1202" s="75">
        <v>12</v>
      </c>
      <c r="K1202" s="76" t="str">
        <f>VLOOKUP(Tabelle2[[#This Row],[Kunden Nr.]],KUNDEN!A:G,7)</f>
        <v>Qerimi</v>
      </c>
      <c r="L1202" s="76">
        <f>VLOOKUP(Tabelle2[[#This Row],[Artikel]],Produkte!A:H,8)</f>
        <v>0.17</v>
      </c>
    </row>
    <row r="1203" spans="1:12" x14ac:dyDescent="0.2">
      <c r="A1203" s="75" t="s">
        <v>565</v>
      </c>
      <c r="B1203" s="79">
        <v>46083</v>
      </c>
      <c r="C1203" s="89">
        <v>92.4</v>
      </c>
      <c r="D1203" s="75"/>
      <c r="E1203" s="75"/>
      <c r="F1203" s="75">
        <v>10103</v>
      </c>
      <c r="G1203" s="76" t="str">
        <f>VLOOKUP(Tabelle2[[#This Row],[Kunden Nr.]],KUNDEN!A:B,2,0)</f>
        <v>BESI COM</v>
      </c>
      <c r="H1203" s="75">
        <v>35113</v>
      </c>
      <c r="I1203" s="76" t="str">
        <f>VLOOKUP(Tabelle2[[#This Row],[Artikel]],Produkte!A:B,2,0)</f>
        <v>M-ONE Sanitar Silikon</v>
      </c>
      <c r="J1203" s="75">
        <v>12</v>
      </c>
      <c r="K1203" s="76" t="str">
        <f>VLOOKUP(Tabelle2[[#This Row],[Kunden Nr.]],KUNDEN!A:G,7)</f>
        <v>Qerimi</v>
      </c>
      <c r="L1203" s="76">
        <f>VLOOKUP(Tabelle2[[#This Row],[Artikel]],Produkte!A:H,8)</f>
        <v>0.17</v>
      </c>
    </row>
    <row r="1204" spans="1:12" x14ac:dyDescent="0.2">
      <c r="A1204" s="75" t="s">
        <v>565</v>
      </c>
      <c r="B1204" s="79">
        <v>46083</v>
      </c>
      <c r="C1204" s="75"/>
      <c r="D1204" s="75"/>
      <c r="E1204" s="75"/>
      <c r="F1204" s="75">
        <v>10103</v>
      </c>
      <c r="G1204" s="76" t="str">
        <f>VLOOKUP(Tabelle2[[#This Row],[Kunden Nr.]],KUNDEN!A:B,2,0)</f>
        <v>BESI COM</v>
      </c>
      <c r="H1204" s="75">
        <v>35115</v>
      </c>
      <c r="I1204" s="76" t="str">
        <f>VLOOKUP(Tabelle2[[#This Row],[Artikel]],Produkte!A:B,2,0)</f>
        <v>M-ONE Sanitar Silikon</v>
      </c>
      <c r="J1204" s="75">
        <v>12</v>
      </c>
      <c r="K1204" s="76" t="str">
        <f>VLOOKUP(Tabelle2[[#This Row],[Kunden Nr.]],KUNDEN!A:G,7)</f>
        <v>Qerimi</v>
      </c>
      <c r="L1204" s="76">
        <f>VLOOKUP(Tabelle2[[#This Row],[Artikel]],Produkte!A:H,8)</f>
        <v>0.17</v>
      </c>
    </row>
    <row r="1205" spans="1:12" x14ac:dyDescent="0.2">
      <c r="A1205" s="75" t="s">
        <v>566</v>
      </c>
      <c r="B1205" s="79">
        <v>46083</v>
      </c>
      <c r="C1205" s="89">
        <v>60.2</v>
      </c>
      <c r="D1205" s="75"/>
      <c r="E1205" s="75"/>
      <c r="F1205" s="75">
        <v>10104</v>
      </c>
      <c r="G1205" s="76" t="str">
        <f>VLOOKUP(Tabelle2[[#This Row],[Kunden Nr.]],KUNDEN!A:B,2,0)</f>
        <v>JETARI</v>
      </c>
      <c r="H1205" s="75">
        <v>35109</v>
      </c>
      <c r="I1205" s="76" t="str">
        <f>VLOOKUP(Tabelle2[[#This Row],[Artikel]],Produkte!A:B,2,0)</f>
        <v>M-ONE Sanitar Silikon</v>
      </c>
      <c r="J1205" s="75">
        <v>12</v>
      </c>
      <c r="K1205" s="76" t="str">
        <f>VLOOKUP(Tabelle2[[#This Row],[Kunden Nr.]],KUNDEN!A:G,7)</f>
        <v>Qerimi</v>
      </c>
      <c r="L1205" s="76">
        <f>VLOOKUP(Tabelle2[[#This Row],[Artikel]],Produkte!A:H,8)</f>
        <v>0.17</v>
      </c>
    </row>
    <row r="1206" spans="1:12" x14ac:dyDescent="0.2">
      <c r="A1206" s="75" t="s">
        <v>566</v>
      </c>
      <c r="B1206" s="79">
        <v>46083</v>
      </c>
      <c r="C1206" s="75"/>
      <c r="D1206" s="75"/>
      <c r="E1206" s="75"/>
      <c r="F1206" s="75">
        <v>10104</v>
      </c>
      <c r="G1206" s="76" t="str">
        <f>VLOOKUP(Tabelle2[[#This Row],[Kunden Nr.]],KUNDEN!A:B,2,0)</f>
        <v>JETARI</v>
      </c>
      <c r="H1206" s="75">
        <v>44001</v>
      </c>
      <c r="I1206" s="76" t="str">
        <f>VLOOKUP(Tabelle2[[#This Row],[Artikel]],Produkte!A:B,2,0)</f>
        <v>Fettspray</v>
      </c>
      <c r="J1206" s="75">
        <v>4</v>
      </c>
      <c r="K1206" s="76" t="str">
        <f>VLOOKUP(Tabelle2[[#This Row],[Kunden Nr.]],KUNDEN!A:G,7)</f>
        <v>Qerimi</v>
      </c>
      <c r="L1206" s="76">
        <f>VLOOKUP(Tabelle2[[#This Row],[Artikel]],Produkte!A:H,8)</f>
        <v>0.2</v>
      </c>
    </row>
    <row r="1207" spans="1:12" x14ac:dyDescent="0.2">
      <c r="A1207" s="75" t="s">
        <v>573</v>
      </c>
      <c r="B1207" s="79">
        <v>46083</v>
      </c>
      <c r="C1207" s="89">
        <v>21.6</v>
      </c>
      <c r="D1207" s="75"/>
      <c r="E1207" s="75"/>
      <c r="F1207" s="75">
        <v>10111</v>
      </c>
      <c r="G1207" s="76" t="str">
        <f>VLOOKUP(Tabelle2[[#This Row],[Kunden Nr.]],KUNDEN!A:B,2,0)</f>
        <v>KADIJOLLET</v>
      </c>
      <c r="H1207" s="75">
        <v>50912</v>
      </c>
      <c r="I1207" s="76" t="str">
        <f>VLOOKUP(Tabelle2[[#This Row],[Artikel]],Produkte!A:B,2,0)</f>
        <v>DICHTUNG</v>
      </c>
      <c r="J1207" s="75">
        <v>3</v>
      </c>
      <c r="K1207" s="76" t="str">
        <f>VLOOKUP(Tabelle2[[#This Row],[Kunden Nr.]],KUNDEN!A:G,7)</f>
        <v>Qerimi</v>
      </c>
      <c r="L1207" s="76">
        <f>VLOOKUP(Tabelle2[[#This Row],[Artikel]],Produkte!A:H,8)</f>
        <v>0.2</v>
      </c>
    </row>
    <row r="1208" spans="1:12" x14ac:dyDescent="0.2">
      <c r="A1208" s="75" t="s">
        <v>646</v>
      </c>
      <c r="B1208" s="79">
        <v>46084</v>
      </c>
      <c r="C1208" s="89">
        <v>277.2</v>
      </c>
      <c r="D1208" s="75"/>
      <c r="E1208" s="75"/>
      <c r="F1208" s="75">
        <v>10250</v>
      </c>
      <c r="G1208" s="76" t="e">
        <f>VLOOKUP(Tabelle2[[#This Row],[Kunden Nr.]],KUNDEN!A:B,2,0)</f>
        <v>#N/A</v>
      </c>
      <c r="H1208" s="75">
        <v>35108</v>
      </c>
      <c r="I1208" s="76" t="str">
        <f>VLOOKUP(Tabelle2[[#This Row],[Artikel]],Produkte!A:B,2,0)</f>
        <v>M-ONE Sanitar Silikon</v>
      </c>
      <c r="J1208" s="75">
        <v>72</v>
      </c>
      <c r="K1208" s="76" t="str">
        <f>VLOOKUP(Tabelle2[[#This Row],[Kunden Nr.]],KUNDEN!A:G,7)</f>
        <v>Qerimi</v>
      </c>
      <c r="L1208" s="76">
        <f>VLOOKUP(Tabelle2[[#This Row],[Artikel]],Produkte!A:H,8)</f>
        <v>0.17</v>
      </c>
    </row>
    <row r="1209" spans="1:12" x14ac:dyDescent="0.2">
      <c r="A1209" s="75" t="s">
        <v>1038</v>
      </c>
      <c r="B1209" s="79">
        <v>46084</v>
      </c>
      <c r="C1209" s="89">
        <v>55.2</v>
      </c>
      <c r="D1209" s="75"/>
      <c r="E1209" s="75"/>
      <c r="F1209" s="75">
        <v>10241</v>
      </c>
      <c r="G1209" s="76" t="str">
        <f>VLOOKUP(Tabelle2[[#This Row],[Kunden Nr.]],KUNDEN!A:B,2,0)</f>
        <v>AB SHPK</v>
      </c>
      <c r="H1209" s="75">
        <v>51612</v>
      </c>
      <c r="I1209" s="76" t="str">
        <f>VLOOKUP(Tabelle2[[#This Row],[Artikel]],Produkte!A:B,2,0)</f>
        <v>struktural akryl</v>
      </c>
      <c r="J1209" s="75">
        <v>24</v>
      </c>
      <c r="K1209" s="76" t="str">
        <f>VLOOKUP(Tabelle2[[#This Row],[Kunden Nr.]],KUNDEN!A:G,7)</f>
        <v>Qerimi</v>
      </c>
      <c r="L1209" s="76">
        <f>VLOOKUP(Tabelle2[[#This Row],[Artikel]],Produkte!A:H,8)</f>
        <v>0.06</v>
      </c>
    </row>
    <row r="1210" spans="1:12" x14ac:dyDescent="0.2">
      <c r="A1210" s="75" t="s">
        <v>1204</v>
      </c>
      <c r="B1210" s="79">
        <v>46084</v>
      </c>
      <c r="C1210" s="89">
        <v>138.6</v>
      </c>
      <c r="D1210" s="75"/>
      <c r="E1210" s="75"/>
      <c r="F1210" s="75">
        <v>10245</v>
      </c>
      <c r="G1210" s="76" t="str">
        <f>VLOOKUP(Tabelle2[[#This Row],[Kunden Nr.]],KUNDEN!A:B,2,0)</f>
        <v>BEK TRADE</v>
      </c>
      <c r="H1210" s="75">
        <v>35109</v>
      </c>
      <c r="I1210" s="76" t="str">
        <f>VLOOKUP(Tabelle2[[#This Row],[Artikel]],Produkte!A:B,2,0)</f>
        <v>M-ONE Sanitar Silikon</v>
      </c>
      <c r="J1210" s="75">
        <v>24</v>
      </c>
      <c r="K1210" s="76" t="str">
        <f>VLOOKUP(Tabelle2[[#This Row],[Kunden Nr.]],KUNDEN!A:G,7)</f>
        <v>Qerimi</v>
      </c>
      <c r="L1210" s="76">
        <f>VLOOKUP(Tabelle2[[#This Row],[Artikel]],Produkte!A:H,8)</f>
        <v>0.17</v>
      </c>
    </row>
    <row r="1211" spans="1:12" x14ac:dyDescent="0.2">
      <c r="A1211" s="75" t="s">
        <v>1204</v>
      </c>
      <c r="B1211" s="79">
        <v>46084</v>
      </c>
      <c r="C1211" s="75"/>
      <c r="D1211" s="75"/>
      <c r="E1211" s="75"/>
      <c r="F1211" s="75">
        <v>10245</v>
      </c>
      <c r="G1211" s="76" t="str">
        <f>VLOOKUP(Tabelle2[[#This Row],[Kunden Nr.]],KUNDEN!A:B,2,0)</f>
        <v>BEK TRADE</v>
      </c>
      <c r="H1211" s="75">
        <v>35121</v>
      </c>
      <c r="I1211" s="76" t="str">
        <f>VLOOKUP(Tabelle2[[#This Row],[Artikel]],Produkte!A:B,2,0)</f>
        <v>M-ONE Sanitar Silikon</v>
      </c>
      <c r="J1211" s="75">
        <v>12</v>
      </c>
      <c r="K1211" s="76" t="str">
        <f>VLOOKUP(Tabelle2[[#This Row],[Kunden Nr.]],KUNDEN!A:G,7)</f>
        <v>Qerimi</v>
      </c>
      <c r="L1211" s="76">
        <f>VLOOKUP(Tabelle2[[#This Row],[Artikel]],Produkte!A:H,8)</f>
        <v>0.17</v>
      </c>
    </row>
    <row r="1212" spans="1:12" x14ac:dyDescent="0.2">
      <c r="A1212" s="75" t="s">
        <v>1201</v>
      </c>
      <c r="B1212" s="79">
        <v>46084</v>
      </c>
      <c r="C1212" s="89">
        <v>277.2</v>
      </c>
      <c r="D1212" s="75"/>
      <c r="E1212" s="75"/>
      <c r="F1212" s="75">
        <v>10240</v>
      </c>
      <c r="G1212" s="76" t="str">
        <f>VLOOKUP(Tabelle2[[#This Row],[Kunden Nr.]],KUNDEN!A:B,2,0)</f>
        <v>ARPO</v>
      </c>
      <c r="H1212" s="75">
        <v>35109</v>
      </c>
      <c r="I1212" s="76" t="str">
        <f>VLOOKUP(Tabelle2[[#This Row],[Artikel]],Produkte!A:B,2,0)</f>
        <v>M-ONE Sanitar Silikon</v>
      </c>
      <c r="J1212" s="75">
        <v>36</v>
      </c>
      <c r="K1212" s="76" t="str">
        <f>VLOOKUP(Tabelle2[[#This Row],[Kunden Nr.]],KUNDEN!A:G,7)</f>
        <v>Qerimi</v>
      </c>
      <c r="L1212" s="76">
        <f>VLOOKUP(Tabelle2[[#This Row],[Artikel]],Produkte!A:H,8)</f>
        <v>0.17</v>
      </c>
    </row>
    <row r="1213" spans="1:12" x14ac:dyDescent="0.2">
      <c r="A1213" s="75" t="s">
        <v>1201</v>
      </c>
      <c r="B1213" s="79">
        <v>46084</v>
      </c>
      <c r="C1213" s="75"/>
      <c r="D1213" s="75"/>
      <c r="E1213" s="75"/>
      <c r="F1213" s="75">
        <v>10240</v>
      </c>
      <c r="G1213" s="76" t="str">
        <f>VLOOKUP(Tabelle2[[#This Row],[Kunden Nr.]],KUNDEN!A:B,2,0)</f>
        <v>ARPO</v>
      </c>
      <c r="H1213" s="75">
        <v>35110</v>
      </c>
      <c r="I1213" s="76" t="str">
        <f>VLOOKUP(Tabelle2[[#This Row],[Artikel]],Produkte!A:B,2,0)</f>
        <v>M-ONE Sanitar Silikon</v>
      </c>
      <c r="J1213" s="75">
        <v>12</v>
      </c>
      <c r="K1213" s="76" t="str">
        <f>VLOOKUP(Tabelle2[[#This Row],[Kunden Nr.]],KUNDEN!A:G,7)</f>
        <v>Qerimi</v>
      </c>
      <c r="L1213" s="76">
        <f>VLOOKUP(Tabelle2[[#This Row],[Artikel]],Produkte!A:H,8)</f>
        <v>0.17</v>
      </c>
    </row>
    <row r="1214" spans="1:12" x14ac:dyDescent="0.2">
      <c r="A1214" s="75" t="s">
        <v>1201</v>
      </c>
      <c r="B1214" s="79">
        <v>46084</v>
      </c>
      <c r="C1214" s="75"/>
      <c r="D1214" s="75"/>
      <c r="E1214" s="75"/>
      <c r="F1214" s="75">
        <v>10240</v>
      </c>
      <c r="G1214" s="76" t="str">
        <f>VLOOKUP(Tabelle2[[#This Row],[Kunden Nr.]],KUNDEN!A:B,2,0)</f>
        <v>ARPO</v>
      </c>
      <c r="H1214" s="75">
        <v>35128</v>
      </c>
      <c r="I1214" s="76" t="str">
        <f>VLOOKUP(Tabelle2[[#This Row],[Artikel]],Produkte!A:B,2,0)</f>
        <v>M-ONE Sanitar Silikon</v>
      </c>
      <c r="J1214" s="75">
        <v>12</v>
      </c>
      <c r="K1214" s="76" t="str">
        <f>VLOOKUP(Tabelle2[[#This Row],[Kunden Nr.]],KUNDEN!A:G,7)</f>
        <v>Qerimi</v>
      </c>
      <c r="L1214" s="76">
        <f>VLOOKUP(Tabelle2[[#This Row],[Artikel]],Produkte!A:H,8)</f>
        <v>0.17</v>
      </c>
    </row>
    <row r="1215" spans="1:12" x14ac:dyDescent="0.2">
      <c r="A1215" s="75" t="s">
        <v>1201</v>
      </c>
      <c r="B1215" s="79">
        <v>46084</v>
      </c>
      <c r="C1215" s="75"/>
      <c r="D1215" s="75"/>
      <c r="E1215" s="75"/>
      <c r="F1215" s="75">
        <v>10240</v>
      </c>
      <c r="G1215" s="76" t="str">
        <f>VLOOKUP(Tabelle2[[#This Row],[Kunden Nr.]],KUNDEN!A:B,2,0)</f>
        <v>ARPO</v>
      </c>
      <c r="H1215" s="75">
        <v>35108</v>
      </c>
      <c r="I1215" s="76" t="str">
        <f>VLOOKUP(Tabelle2[[#This Row],[Artikel]],Produkte!A:B,2,0)</f>
        <v>M-ONE Sanitar Silikon</v>
      </c>
      <c r="J1215" s="75">
        <v>12</v>
      </c>
      <c r="K1215" s="76" t="str">
        <f>VLOOKUP(Tabelle2[[#This Row],[Kunden Nr.]],KUNDEN!A:G,7)</f>
        <v>Qerimi</v>
      </c>
      <c r="L1215" s="76">
        <f>VLOOKUP(Tabelle2[[#This Row],[Artikel]],Produkte!A:H,8)</f>
        <v>0.17</v>
      </c>
    </row>
    <row r="1216" spans="1:12" x14ac:dyDescent="0.2">
      <c r="A1216" s="75" t="s">
        <v>515</v>
      </c>
      <c r="B1216" s="79">
        <v>46084</v>
      </c>
      <c r="C1216" s="89">
        <v>92.4</v>
      </c>
      <c r="D1216" s="75"/>
      <c r="E1216" s="75"/>
      <c r="F1216" s="75">
        <v>10205</v>
      </c>
      <c r="G1216" s="76" t="str">
        <f>VLOOKUP(Tabelle2[[#This Row],[Kunden Nr.]],KUNDEN!A:B,2,0)</f>
        <v>XHAFA</v>
      </c>
      <c r="H1216" s="75">
        <v>35109</v>
      </c>
      <c r="I1216" s="76" t="str">
        <f>VLOOKUP(Tabelle2[[#This Row],[Artikel]],Produkte!A:B,2,0)</f>
        <v>M-ONE Sanitar Silikon</v>
      </c>
      <c r="J1216" s="75">
        <v>12</v>
      </c>
      <c r="K1216" s="76" t="str">
        <f>VLOOKUP(Tabelle2[[#This Row],[Kunden Nr.]],KUNDEN!A:G,7)</f>
        <v>Qerimi</v>
      </c>
      <c r="L1216" s="76">
        <f>VLOOKUP(Tabelle2[[#This Row],[Artikel]],Produkte!A:H,8)</f>
        <v>0.17</v>
      </c>
    </row>
    <row r="1217" spans="1:12" x14ac:dyDescent="0.2">
      <c r="A1217" s="75" t="s">
        <v>515</v>
      </c>
      <c r="B1217" s="79">
        <v>46084</v>
      </c>
      <c r="C1217" s="75"/>
      <c r="D1217" s="75"/>
      <c r="E1217" s="75"/>
      <c r="F1217" s="75">
        <v>10205</v>
      </c>
      <c r="G1217" s="76" t="str">
        <f>VLOOKUP(Tabelle2[[#This Row],[Kunden Nr.]],KUNDEN!A:B,2,0)</f>
        <v>XHAFA</v>
      </c>
      <c r="H1217" s="75">
        <v>35113</v>
      </c>
      <c r="I1217" s="76" t="str">
        <f>VLOOKUP(Tabelle2[[#This Row],[Artikel]],Produkte!A:B,2,0)</f>
        <v>M-ONE Sanitar Silikon</v>
      </c>
      <c r="J1217" s="75">
        <v>12</v>
      </c>
      <c r="K1217" s="76" t="str">
        <f>VLOOKUP(Tabelle2[[#This Row],[Kunden Nr.]],KUNDEN!A:G,7)</f>
        <v>Qerimi</v>
      </c>
      <c r="L1217" s="76">
        <f>VLOOKUP(Tabelle2[[#This Row],[Artikel]],Produkte!A:H,8)</f>
        <v>0.17</v>
      </c>
    </row>
    <row r="1218" spans="1:12" x14ac:dyDescent="0.2">
      <c r="A1218" s="75" t="s">
        <v>939</v>
      </c>
      <c r="B1218" s="79">
        <v>46084</v>
      </c>
      <c r="C1218" s="89">
        <v>92.4</v>
      </c>
      <c r="D1218" s="75"/>
      <c r="E1218" s="75"/>
      <c r="F1218" s="75">
        <v>10230</v>
      </c>
      <c r="G1218" s="76" t="str">
        <f>VLOOKUP(Tabelle2[[#This Row],[Kunden Nr.]],KUNDEN!A:B,2,0)</f>
        <v>JETA DUHEL</v>
      </c>
      <c r="H1218" s="75">
        <v>35121</v>
      </c>
      <c r="I1218" s="76" t="str">
        <f>VLOOKUP(Tabelle2[[#This Row],[Artikel]],Produkte!A:B,2,0)</f>
        <v>M-ONE Sanitar Silikon</v>
      </c>
      <c r="J1218" s="75">
        <v>12</v>
      </c>
      <c r="K1218" s="76" t="str">
        <f>VLOOKUP(Tabelle2[[#This Row],[Kunden Nr.]],KUNDEN!A:G,7)</f>
        <v>Qerimi</v>
      </c>
      <c r="L1218" s="76">
        <f>VLOOKUP(Tabelle2[[#This Row],[Artikel]],Produkte!A:H,8)</f>
        <v>0.17</v>
      </c>
    </row>
    <row r="1219" spans="1:12" x14ac:dyDescent="0.2">
      <c r="A1219" s="75" t="s">
        <v>939</v>
      </c>
      <c r="B1219" s="79">
        <v>46084</v>
      </c>
      <c r="C1219" s="75"/>
      <c r="D1219" s="75"/>
      <c r="E1219" s="75"/>
      <c r="F1219" s="75">
        <v>10230</v>
      </c>
      <c r="G1219" s="76" t="str">
        <f>VLOOKUP(Tabelle2[[#This Row],[Kunden Nr.]],KUNDEN!A:B,2,0)</f>
        <v>JETA DUHEL</v>
      </c>
      <c r="H1219" s="75">
        <v>35109</v>
      </c>
      <c r="I1219" s="76" t="str">
        <f>VLOOKUP(Tabelle2[[#This Row],[Artikel]],Produkte!A:B,2,0)</f>
        <v>M-ONE Sanitar Silikon</v>
      </c>
      <c r="J1219" s="75">
        <v>12</v>
      </c>
      <c r="K1219" s="76" t="str">
        <f>VLOOKUP(Tabelle2[[#This Row],[Kunden Nr.]],KUNDEN!A:G,7)</f>
        <v>Qerimi</v>
      </c>
      <c r="L1219" s="76">
        <f>VLOOKUP(Tabelle2[[#This Row],[Artikel]],Produkte!A:H,8)</f>
        <v>0.17</v>
      </c>
    </row>
    <row r="1220" spans="1:12" x14ac:dyDescent="0.2">
      <c r="A1220" s="75" t="s">
        <v>1179</v>
      </c>
      <c r="B1220" s="79">
        <v>46084</v>
      </c>
      <c r="C1220" s="89">
        <v>138</v>
      </c>
      <c r="D1220" s="75"/>
      <c r="E1220" s="75"/>
      <c r="F1220" s="75">
        <v>40019</v>
      </c>
      <c r="G1220" s="76" t="str">
        <f>VLOOKUP(Tabelle2[[#This Row],[Kunden Nr.]],KUNDEN!A:B,2,0)</f>
        <v>TEMAJ</v>
      </c>
      <c r="H1220" s="75">
        <v>35108</v>
      </c>
      <c r="I1220" s="76" t="str">
        <f>VLOOKUP(Tabelle2[[#This Row],[Artikel]],Produkte!A:B,2,0)</f>
        <v>M-ONE Sanitar Silikon</v>
      </c>
      <c r="J1220" s="75">
        <v>12</v>
      </c>
      <c r="K1220" s="76">
        <f>VLOOKUP(Tabelle2[[#This Row],[Kunden Nr.]],KUNDEN!A:G,7)</f>
        <v>0</v>
      </c>
      <c r="L1220" s="76">
        <f>VLOOKUP(Tabelle2[[#This Row],[Artikel]],Produkte!A:H,8)</f>
        <v>0.17</v>
      </c>
    </row>
    <row r="1221" spans="1:12" x14ac:dyDescent="0.2">
      <c r="A1221" s="75" t="s">
        <v>1179</v>
      </c>
      <c r="B1221" s="79">
        <v>46084</v>
      </c>
      <c r="C1221" s="75"/>
      <c r="D1221" s="75"/>
      <c r="E1221" s="75"/>
      <c r="F1221" s="75">
        <v>40019</v>
      </c>
      <c r="G1221" s="76" t="str">
        <f>VLOOKUP(Tabelle2[[#This Row],[Kunden Nr.]],KUNDEN!A:B,2,0)</f>
        <v>TEMAJ</v>
      </c>
      <c r="H1221" s="75">
        <v>35109</v>
      </c>
      <c r="I1221" s="76" t="str">
        <f>VLOOKUP(Tabelle2[[#This Row],[Artikel]],Produkte!A:B,2,0)</f>
        <v>M-ONE Sanitar Silikon</v>
      </c>
      <c r="J1221" s="75">
        <v>12</v>
      </c>
      <c r="K1221" s="76">
        <f>VLOOKUP(Tabelle2[[#This Row],[Kunden Nr.]],KUNDEN!A:G,7)</f>
        <v>0</v>
      </c>
      <c r="L1221" s="76">
        <f>VLOOKUP(Tabelle2[[#This Row],[Artikel]],Produkte!A:H,8)</f>
        <v>0.17</v>
      </c>
    </row>
    <row r="1222" spans="1:12" x14ac:dyDescent="0.2">
      <c r="A1222" s="75" t="s">
        <v>1179</v>
      </c>
      <c r="B1222" s="79">
        <v>46084</v>
      </c>
      <c r="C1222" s="75"/>
      <c r="D1222" s="75"/>
      <c r="E1222" s="75"/>
      <c r="F1222" s="75">
        <v>40019</v>
      </c>
      <c r="G1222" s="76" t="str">
        <f>VLOOKUP(Tabelle2[[#This Row],[Kunden Nr.]],KUNDEN!A:B,2,0)</f>
        <v>TEMAJ</v>
      </c>
      <c r="H1222" s="75">
        <v>35119</v>
      </c>
      <c r="I1222" s="76" t="str">
        <f>VLOOKUP(Tabelle2[[#This Row],[Artikel]],Produkte!A:B,2,0)</f>
        <v>M-ONE Sanitar Silikon</v>
      </c>
      <c r="J1222" s="75">
        <v>12</v>
      </c>
      <c r="K1222" s="76">
        <f>VLOOKUP(Tabelle2[[#This Row],[Kunden Nr.]],KUNDEN!A:G,7)</f>
        <v>0</v>
      </c>
      <c r="L1222" s="76">
        <f>VLOOKUP(Tabelle2[[#This Row],[Artikel]],Produkte!A:H,8)</f>
        <v>0.17</v>
      </c>
    </row>
    <row r="1223" spans="1:12" x14ac:dyDescent="0.2">
      <c r="A1223" s="75" t="s">
        <v>420</v>
      </c>
      <c r="B1223" s="79">
        <v>46084</v>
      </c>
      <c r="C1223" s="89">
        <v>344.8</v>
      </c>
      <c r="D1223" s="75"/>
      <c r="E1223" s="75"/>
      <c r="F1223" s="75">
        <v>20205</v>
      </c>
      <c r="G1223" s="76" t="str">
        <f>VLOOKUP(Tabelle2[[#This Row],[Kunden Nr.]],KUNDEN!A:B,2,0)</f>
        <v>GACAFERI-RG</v>
      </c>
      <c r="H1223" s="75">
        <v>35109</v>
      </c>
      <c r="I1223" s="76" t="str">
        <f>VLOOKUP(Tabelle2[[#This Row],[Artikel]],Produkte!A:B,2,0)</f>
        <v>M-ONE Sanitar Silikon</v>
      </c>
      <c r="J1223" s="75">
        <v>12</v>
      </c>
      <c r="K1223" s="76" t="str">
        <f>VLOOKUP(Tabelle2[[#This Row],[Kunden Nr.]],KUNDEN!A:G,7)</f>
        <v>Mensuri</v>
      </c>
      <c r="L1223" s="76">
        <f>VLOOKUP(Tabelle2[[#This Row],[Artikel]],Produkte!A:H,8)</f>
        <v>0.17</v>
      </c>
    </row>
    <row r="1224" spans="1:12" x14ac:dyDescent="0.2">
      <c r="A1224" s="75" t="s">
        <v>420</v>
      </c>
      <c r="B1224" s="79">
        <v>46084</v>
      </c>
      <c r="C1224" s="75"/>
      <c r="D1224" s="75"/>
      <c r="E1224" s="75"/>
      <c r="F1224" s="75">
        <v>20205</v>
      </c>
      <c r="G1224" s="76" t="str">
        <f>VLOOKUP(Tabelle2[[#This Row],[Kunden Nr.]],KUNDEN!A:B,2,0)</f>
        <v>GACAFERI-RG</v>
      </c>
      <c r="H1224" s="75">
        <v>35110</v>
      </c>
      <c r="I1224" s="76" t="str">
        <f>VLOOKUP(Tabelle2[[#This Row],[Artikel]],Produkte!A:B,2,0)</f>
        <v>M-ONE Sanitar Silikon</v>
      </c>
      <c r="J1224" s="75">
        <v>12</v>
      </c>
      <c r="K1224" s="76" t="str">
        <f>VLOOKUP(Tabelle2[[#This Row],[Kunden Nr.]],KUNDEN!A:G,7)</f>
        <v>Mensuri</v>
      </c>
      <c r="L1224" s="76">
        <f>VLOOKUP(Tabelle2[[#This Row],[Artikel]],Produkte!A:H,8)</f>
        <v>0.17</v>
      </c>
    </row>
    <row r="1225" spans="1:12" x14ac:dyDescent="0.2">
      <c r="A1225" s="75" t="s">
        <v>420</v>
      </c>
      <c r="B1225" s="79">
        <v>46084</v>
      </c>
      <c r="C1225" s="75"/>
      <c r="D1225" s="75"/>
      <c r="E1225" s="75"/>
      <c r="F1225" s="75">
        <v>20205</v>
      </c>
      <c r="G1225" s="76" t="str">
        <f>VLOOKUP(Tabelle2[[#This Row],[Kunden Nr.]],KUNDEN!A:B,2,0)</f>
        <v>GACAFERI-RG</v>
      </c>
      <c r="H1225" s="75">
        <v>35111</v>
      </c>
      <c r="I1225" s="76" t="str">
        <f>VLOOKUP(Tabelle2[[#This Row],[Artikel]],Produkte!A:B,2,0)</f>
        <v>M-ONE Sanitar Silikon</v>
      </c>
      <c r="J1225" s="75">
        <v>12</v>
      </c>
      <c r="K1225" s="76" t="str">
        <f>VLOOKUP(Tabelle2[[#This Row],[Kunden Nr.]],KUNDEN!A:G,7)</f>
        <v>Mensuri</v>
      </c>
      <c r="L1225" s="76">
        <f>VLOOKUP(Tabelle2[[#This Row],[Artikel]],Produkte!A:H,8)</f>
        <v>0.17</v>
      </c>
    </row>
    <row r="1226" spans="1:12" x14ac:dyDescent="0.2">
      <c r="A1226" s="75" t="s">
        <v>420</v>
      </c>
      <c r="B1226" s="79">
        <v>46084</v>
      </c>
      <c r="C1226" s="75"/>
      <c r="D1226" s="75"/>
      <c r="E1226" s="75"/>
      <c r="F1226" s="75">
        <v>20205</v>
      </c>
      <c r="G1226" s="76" t="str">
        <f>VLOOKUP(Tabelle2[[#This Row],[Kunden Nr.]],KUNDEN!A:B,2,0)</f>
        <v>GACAFERI-RG</v>
      </c>
      <c r="H1226" s="75">
        <v>35113</v>
      </c>
      <c r="I1226" s="76" t="str">
        <f>VLOOKUP(Tabelle2[[#This Row],[Artikel]],Produkte!A:B,2,0)</f>
        <v>M-ONE Sanitar Silikon</v>
      </c>
      <c r="J1226" s="75">
        <v>12</v>
      </c>
      <c r="K1226" s="76" t="str">
        <f>VLOOKUP(Tabelle2[[#This Row],[Kunden Nr.]],KUNDEN!A:G,7)</f>
        <v>Mensuri</v>
      </c>
      <c r="L1226" s="76">
        <f>VLOOKUP(Tabelle2[[#This Row],[Artikel]],Produkte!A:H,8)</f>
        <v>0.17</v>
      </c>
    </row>
    <row r="1227" spans="1:12" x14ac:dyDescent="0.2">
      <c r="A1227" s="75" t="s">
        <v>420</v>
      </c>
      <c r="B1227" s="79">
        <v>46084</v>
      </c>
      <c r="C1227" s="75"/>
      <c r="D1227" s="75"/>
      <c r="E1227" s="75"/>
      <c r="F1227" s="75">
        <v>20205</v>
      </c>
      <c r="G1227" s="76" t="str">
        <f>VLOOKUP(Tabelle2[[#This Row],[Kunden Nr.]],KUNDEN!A:B,2,0)</f>
        <v>GACAFERI-RG</v>
      </c>
      <c r="H1227" s="75">
        <v>35115</v>
      </c>
      <c r="I1227" s="76" t="str">
        <f>VLOOKUP(Tabelle2[[#This Row],[Artikel]],Produkte!A:B,2,0)</f>
        <v>M-ONE Sanitar Silikon</v>
      </c>
      <c r="J1227" s="75">
        <v>12</v>
      </c>
      <c r="K1227" s="76" t="str">
        <f>VLOOKUP(Tabelle2[[#This Row],[Kunden Nr.]],KUNDEN!A:G,7)</f>
        <v>Mensuri</v>
      </c>
      <c r="L1227" s="76">
        <f>VLOOKUP(Tabelle2[[#This Row],[Artikel]],Produkte!A:H,8)</f>
        <v>0.17</v>
      </c>
    </row>
    <row r="1228" spans="1:12" x14ac:dyDescent="0.2">
      <c r="A1228" s="75" t="s">
        <v>420</v>
      </c>
      <c r="B1228" s="79">
        <v>46084</v>
      </c>
      <c r="C1228" s="75"/>
      <c r="D1228" s="75"/>
      <c r="E1228" s="75"/>
      <c r="F1228" s="75">
        <v>20205</v>
      </c>
      <c r="G1228" s="76" t="str">
        <f>VLOOKUP(Tabelle2[[#This Row],[Kunden Nr.]],KUNDEN!A:B,2,0)</f>
        <v>GACAFERI-RG</v>
      </c>
      <c r="H1228" s="75">
        <v>35125</v>
      </c>
      <c r="I1228" s="76" t="str">
        <f>VLOOKUP(Tabelle2[[#This Row],[Artikel]],Produkte!A:B,2,0)</f>
        <v>M-ONE Sanitar Silikon</v>
      </c>
      <c r="J1228" s="75">
        <v>12</v>
      </c>
      <c r="K1228" s="76" t="str">
        <f>VLOOKUP(Tabelle2[[#This Row],[Kunden Nr.]],KUNDEN!A:G,7)</f>
        <v>Mensuri</v>
      </c>
      <c r="L1228" s="76">
        <f>VLOOKUP(Tabelle2[[#This Row],[Artikel]],Produkte!A:H,8)</f>
        <v>0.17</v>
      </c>
    </row>
    <row r="1229" spans="1:12" x14ac:dyDescent="0.2">
      <c r="A1229" s="75" t="s">
        <v>420</v>
      </c>
      <c r="B1229" s="79">
        <v>46084</v>
      </c>
      <c r="C1229" s="75"/>
      <c r="D1229" s="75"/>
      <c r="E1229" s="75"/>
      <c r="F1229" s="75">
        <v>20205</v>
      </c>
      <c r="G1229" s="76" t="str">
        <f>VLOOKUP(Tabelle2[[#This Row],[Kunden Nr.]],KUNDEN!A:B,2,0)</f>
        <v>GACAFERI-RG</v>
      </c>
      <c r="H1229" s="75">
        <v>51612</v>
      </c>
      <c r="I1229" s="76" t="str">
        <f>VLOOKUP(Tabelle2[[#This Row],[Artikel]],Produkte!A:B,2,0)</f>
        <v>struktural akryl</v>
      </c>
      <c r="J1229" s="75">
        <v>12</v>
      </c>
      <c r="K1229" s="76" t="str">
        <f>VLOOKUP(Tabelle2[[#This Row],[Kunden Nr.]],KUNDEN!A:G,7)</f>
        <v>Mensuri</v>
      </c>
      <c r="L1229" s="76">
        <f>VLOOKUP(Tabelle2[[#This Row],[Artikel]],Produkte!A:H,8)</f>
        <v>0.06</v>
      </c>
    </row>
    <row r="1230" spans="1:12" x14ac:dyDescent="0.2">
      <c r="A1230" s="75" t="s">
        <v>420</v>
      </c>
      <c r="B1230" s="79">
        <v>46084</v>
      </c>
      <c r="C1230" s="75"/>
      <c r="D1230" s="75"/>
      <c r="E1230" s="75"/>
      <c r="F1230" s="75">
        <v>20205</v>
      </c>
      <c r="G1230" s="76" t="str">
        <f>VLOOKUP(Tabelle2[[#This Row],[Kunden Nr.]],KUNDEN!A:B,2,0)</f>
        <v>GACAFERI-RG</v>
      </c>
      <c r="H1230" s="75">
        <v>56117</v>
      </c>
      <c r="I1230" s="76" t="str">
        <f>VLOOKUP(Tabelle2[[#This Row],[Artikel]],Produkte!A:B,2,0)</f>
        <v>M ONE UBS</v>
      </c>
      <c r="J1230" s="75">
        <v>6</v>
      </c>
      <c r="K1230" s="76" t="str">
        <f>VLOOKUP(Tabelle2[[#This Row],[Kunden Nr.]],KUNDEN!A:G,7)</f>
        <v>Mensuri</v>
      </c>
      <c r="L1230" s="76">
        <f>VLOOKUP(Tabelle2[[#This Row],[Artikel]],Produkte!A:H,8)</f>
        <v>0.2</v>
      </c>
    </row>
    <row r="1231" spans="1:12" x14ac:dyDescent="0.2">
      <c r="A1231" s="75" t="s">
        <v>420</v>
      </c>
      <c r="B1231" s="79">
        <v>46084</v>
      </c>
      <c r="C1231" s="75"/>
      <c r="D1231" s="75"/>
      <c r="E1231" s="75"/>
      <c r="F1231" s="75">
        <v>20205</v>
      </c>
      <c r="G1231" s="76" t="str">
        <f>VLOOKUP(Tabelle2[[#This Row],[Kunden Nr.]],KUNDEN!A:B,2,0)</f>
        <v>GACAFERI-RG</v>
      </c>
      <c r="H1231" s="75">
        <v>50912</v>
      </c>
      <c r="I1231" s="76" t="str">
        <f>VLOOKUP(Tabelle2[[#This Row],[Artikel]],Produkte!A:B,2,0)</f>
        <v>DICHTUNG</v>
      </c>
      <c r="J1231" s="75">
        <v>2</v>
      </c>
      <c r="K1231" s="76" t="str">
        <f>VLOOKUP(Tabelle2[[#This Row],[Kunden Nr.]],KUNDEN!A:G,7)</f>
        <v>Mensuri</v>
      </c>
      <c r="L1231" s="76">
        <f>VLOOKUP(Tabelle2[[#This Row],[Artikel]],Produkte!A:H,8)</f>
        <v>0.2</v>
      </c>
    </row>
    <row r="1232" spans="1:12" x14ac:dyDescent="0.2">
      <c r="A1232" s="75" t="s">
        <v>422</v>
      </c>
      <c r="B1232" s="79">
        <v>46084</v>
      </c>
      <c r="C1232" s="89">
        <v>184.8</v>
      </c>
      <c r="D1232" s="75"/>
      <c r="E1232" s="75"/>
      <c r="F1232" s="75">
        <v>20209</v>
      </c>
      <c r="G1232" s="76" t="str">
        <f>VLOOKUP(Tabelle2[[#This Row],[Kunden Nr.]],KUNDEN!A:B,2,0)</f>
        <v>LETAJ</v>
      </c>
      <c r="H1232" s="75">
        <v>35108</v>
      </c>
      <c r="I1232" s="76" t="str">
        <f>VLOOKUP(Tabelle2[[#This Row],[Artikel]],Produkte!A:B,2,0)</f>
        <v>M-ONE Sanitar Silikon</v>
      </c>
      <c r="J1232" s="75">
        <v>24</v>
      </c>
      <c r="K1232" s="76" t="str">
        <f>VLOOKUP(Tabelle2[[#This Row],[Kunden Nr.]],KUNDEN!A:G,7)</f>
        <v>Mensuri</v>
      </c>
      <c r="L1232" s="76">
        <f>VLOOKUP(Tabelle2[[#This Row],[Artikel]],Produkte!A:H,8)</f>
        <v>0.17</v>
      </c>
    </row>
    <row r="1233" spans="1:12" x14ac:dyDescent="0.2">
      <c r="A1233" s="75" t="s">
        <v>422</v>
      </c>
      <c r="B1233" s="79">
        <v>46084</v>
      </c>
      <c r="C1233" s="75"/>
      <c r="D1233" s="75"/>
      <c r="E1233" s="75"/>
      <c r="F1233" s="75">
        <v>20209</v>
      </c>
      <c r="G1233" s="76" t="str">
        <f>VLOOKUP(Tabelle2[[#This Row],[Kunden Nr.]],KUNDEN!A:B,2,0)</f>
        <v>LETAJ</v>
      </c>
      <c r="H1233" s="75">
        <v>35109</v>
      </c>
      <c r="I1233" s="76" t="str">
        <f>VLOOKUP(Tabelle2[[#This Row],[Artikel]],Produkte!A:B,2,0)</f>
        <v>M-ONE Sanitar Silikon</v>
      </c>
      <c r="J1233" s="75">
        <v>12</v>
      </c>
      <c r="K1233" s="76" t="str">
        <f>VLOOKUP(Tabelle2[[#This Row],[Kunden Nr.]],KUNDEN!A:G,7)</f>
        <v>Mensuri</v>
      </c>
      <c r="L1233" s="76">
        <f>VLOOKUP(Tabelle2[[#This Row],[Artikel]],Produkte!A:H,8)</f>
        <v>0.17</v>
      </c>
    </row>
    <row r="1234" spans="1:12" x14ac:dyDescent="0.2">
      <c r="A1234" s="75" t="s">
        <v>422</v>
      </c>
      <c r="B1234" s="79">
        <v>46084</v>
      </c>
      <c r="C1234" s="75"/>
      <c r="D1234" s="75"/>
      <c r="E1234" s="75"/>
      <c r="F1234" s="75">
        <v>20209</v>
      </c>
      <c r="G1234" s="76" t="str">
        <f>VLOOKUP(Tabelle2[[#This Row],[Kunden Nr.]],KUNDEN!A:B,2,0)</f>
        <v>LETAJ</v>
      </c>
      <c r="H1234" s="75">
        <v>35128</v>
      </c>
      <c r="I1234" s="76" t="str">
        <f>VLOOKUP(Tabelle2[[#This Row],[Artikel]],Produkte!A:B,2,0)</f>
        <v>M-ONE Sanitar Silikon</v>
      </c>
      <c r="J1234" s="75">
        <v>12</v>
      </c>
      <c r="K1234" s="76" t="str">
        <f>VLOOKUP(Tabelle2[[#This Row],[Kunden Nr.]],KUNDEN!A:G,7)</f>
        <v>Mensuri</v>
      </c>
      <c r="L1234" s="76">
        <f>VLOOKUP(Tabelle2[[#This Row],[Artikel]],Produkte!A:H,8)</f>
        <v>0.17</v>
      </c>
    </row>
    <row r="1235" spans="1:12" x14ac:dyDescent="0.2">
      <c r="A1235" s="75" t="s">
        <v>425</v>
      </c>
      <c r="B1235" s="79">
        <v>46084</v>
      </c>
      <c r="C1235" s="89">
        <v>139.19999999999999</v>
      </c>
      <c r="D1235" s="75"/>
      <c r="E1235" s="75"/>
      <c r="F1235" s="75">
        <v>20212</v>
      </c>
      <c r="G1235" s="76" t="str">
        <f>VLOOKUP(Tabelle2[[#This Row],[Kunden Nr.]],KUNDEN!A:B,2,0)</f>
        <v>INOX 2</v>
      </c>
      <c r="H1235" s="75">
        <v>66701</v>
      </c>
      <c r="I1235" s="76" t="str">
        <f>VLOOKUP(Tabelle2[[#This Row],[Artikel]],Produkte!A:B,2,0)</f>
        <v>PROFIMONT EXTREME</v>
      </c>
      <c r="J1235" s="75">
        <v>24</v>
      </c>
      <c r="K1235" s="76" t="str">
        <f>VLOOKUP(Tabelle2[[#This Row],[Kunden Nr.]],KUNDEN!A:G,7)</f>
        <v>Mensuri</v>
      </c>
      <c r="L1235" s="76">
        <f>VLOOKUP(Tabelle2[[#This Row],[Artikel]],Produkte!A:H,8)</f>
        <v>0.2</v>
      </c>
    </row>
    <row r="1236" spans="1:12" x14ac:dyDescent="0.2">
      <c r="A1236" s="75" t="s">
        <v>1041</v>
      </c>
      <c r="B1236" s="79">
        <v>46084</v>
      </c>
      <c r="C1236" s="89">
        <v>138.6</v>
      </c>
      <c r="D1236" s="75"/>
      <c r="E1236" s="75"/>
      <c r="F1236" s="75">
        <v>20223</v>
      </c>
      <c r="G1236" s="76" t="str">
        <f>VLOOKUP(Tabelle2[[#This Row],[Kunden Nr.]],KUNDEN!A:B,2,0)</f>
        <v>GER COLORS</v>
      </c>
      <c r="H1236" s="75">
        <v>35110</v>
      </c>
      <c r="I1236" s="76" t="str">
        <f>VLOOKUP(Tabelle2[[#This Row],[Artikel]],Produkte!A:B,2,0)</f>
        <v>M-ONE Sanitar Silikon</v>
      </c>
      <c r="J1236" s="75">
        <v>12</v>
      </c>
      <c r="K1236" s="76" t="str">
        <f>VLOOKUP(Tabelle2[[#This Row],[Kunden Nr.]],KUNDEN!A:G,7)</f>
        <v>Mensuri</v>
      </c>
      <c r="L1236" s="76">
        <f>VLOOKUP(Tabelle2[[#This Row],[Artikel]],Produkte!A:H,8)</f>
        <v>0.17</v>
      </c>
    </row>
    <row r="1237" spans="1:12" x14ac:dyDescent="0.2">
      <c r="A1237" s="75" t="s">
        <v>1041</v>
      </c>
      <c r="B1237" s="79">
        <v>46084</v>
      </c>
      <c r="C1237" s="75"/>
      <c r="D1237" s="75"/>
      <c r="E1237" s="75"/>
      <c r="F1237" s="75">
        <v>20223</v>
      </c>
      <c r="G1237" s="76" t="str">
        <f>VLOOKUP(Tabelle2[[#This Row],[Kunden Nr.]],KUNDEN!A:B,2,0)</f>
        <v>GER COLORS</v>
      </c>
      <c r="H1237" s="75">
        <v>35111</v>
      </c>
      <c r="I1237" s="76" t="str">
        <f>VLOOKUP(Tabelle2[[#This Row],[Artikel]],Produkte!A:B,2,0)</f>
        <v>M-ONE Sanitar Silikon</v>
      </c>
      <c r="J1237" s="75">
        <v>12</v>
      </c>
      <c r="K1237" s="76" t="str">
        <f>VLOOKUP(Tabelle2[[#This Row],[Kunden Nr.]],KUNDEN!A:G,7)</f>
        <v>Mensuri</v>
      </c>
      <c r="L1237" s="76">
        <f>VLOOKUP(Tabelle2[[#This Row],[Artikel]],Produkte!A:H,8)</f>
        <v>0.17</v>
      </c>
    </row>
    <row r="1238" spans="1:12" x14ac:dyDescent="0.2">
      <c r="A1238" s="75" t="s">
        <v>1041</v>
      </c>
      <c r="B1238" s="79">
        <v>46084</v>
      </c>
      <c r="C1238" s="75"/>
      <c r="D1238" s="75"/>
      <c r="E1238" s="75"/>
      <c r="F1238" s="75">
        <v>20223</v>
      </c>
      <c r="G1238" s="76" t="str">
        <f>VLOOKUP(Tabelle2[[#This Row],[Kunden Nr.]],KUNDEN!A:B,2,0)</f>
        <v>GER COLORS</v>
      </c>
      <c r="H1238" s="75">
        <v>35121</v>
      </c>
      <c r="I1238" s="76" t="str">
        <f>VLOOKUP(Tabelle2[[#This Row],[Artikel]],Produkte!A:B,2,0)</f>
        <v>M-ONE Sanitar Silikon</v>
      </c>
      <c r="J1238" s="75">
        <v>12</v>
      </c>
      <c r="K1238" s="76" t="str">
        <f>VLOOKUP(Tabelle2[[#This Row],[Kunden Nr.]],KUNDEN!A:G,7)</f>
        <v>Mensuri</v>
      </c>
      <c r="L1238" s="76">
        <f>VLOOKUP(Tabelle2[[#This Row],[Artikel]],Produkte!A:H,8)</f>
        <v>0.17</v>
      </c>
    </row>
    <row r="1239" spans="1:12" x14ac:dyDescent="0.2">
      <c r="A1239" s="75" t="s">
        <v>1302</v>
      </c>
      <c r="B1239" s="79">
        <v>46084</v>
      </c>
      <c r="C1239" s="89">
        <v>139.19999999999999</v>
      </c>
      <c r="D1239" s="75"/>
      <c r="E1239" s="75"/>
      <c r="F1239" s="75">
        <v>20228</v>
      </c>
      <c r="G1239" s="76" t="str">
        <f>VLOOKUP(Tabelle2[[#This Row],[Kunden Nr.]],KUNDEN!A:B,2,0)</f>
        <v>HB-DECOR</v>
      </c>
      <c r="H1239" s="75">
        <v>66701</v>
      </c>
      <c r="I1239" s="76" t="str">
        <f>VLOOKUP(Tabelle2[[#This Row],[Artikel]],Produkte!A:B,2,0)</f>
        <v>PROFIMONT EXTREME</v>
      </c>
      <c r="J1239" s="75">
        <v>24</v>
      </c>
      <c r="K1239" s="76" t="str">
        <f>VLOOKUP(Tabelle2[[#This Row],[Kunden Nr.]],KUNDEN!A:G,7)</f>
        <v>Mensuri</v>
      </c>
      <c r="L1239" s="76">
        <f>VLOOKUP(Tabelle2[[#This Row],[Artikel]],Produkte!A:H,8)</f>
        <v>0.2</v>
      </c>
    </row>
    <row r="1240" spans="1:12" x14ac:dyDescent="0.2">
      <c r="A1240" s="75" t="s">
        <v>424</v>
      </c>
      <c r="B1240" s="79">
        <v>46084</v>
      </c>
      <c r="C1240" s="89">
        <v>92.4</v>
      </c>
      <c r="D1240" s="75"/>
      <c r="E1240" s="75"/>
      <c r="F1240" s="75">
        <v>20211</v>
      </c>
      <c r="G1240" s="76" t="str">
        <f>VLOOKUP(Tabelle2[[#This Row],[Kunden Nr.]],KUNDEN!A:B,2,0)</f>
        <v>INOX 1</v>
      </c>
      <c r="H1240" s="75">
        <v>35108</v>
      </c>
      <c r="I1240" s="76" t="str">
        <f>VLOOKUP(Tabelle2[[#This Row],[Artikel]],Produkte!A:B,2,0)</f>
        <v>M-ONE Sanitar Silikon</v>
      </c>
      <c r="J1240" s="75">
        <v>12</v>
      </c>
      <c r="K1240" s="76" t="str">
        <f>VLOOKUP(Tabelle2[[#This Row],[Kunden Nr.]],KUNDEN!A:G,7)</f>
        <v>Mensuri</v>
      </c>
      <c r="L1240" s="76">
        <f>VLOOKUP(Tabelle2[[#This Row],[Artikel]],Produkte!A:H,8)</f>
        <v>0.17</v>
      </c>
    </row>
    <row r="1241" spans="1:12" x14ac:dyDescent="0.2">
      <c r="A1241" s="75" t="s">
        <v>424</v>
      </c>
      <c r="B1241" s="79">
        <v>46084</v>
      </c>
      <c r="C1241" s="75"/>
      <c r="D1241" s="75"/>
      <c r="E1241" s="75"/>
      <c r="F1241" s="75">
        <v>20211</v>
      </c>
      <c r="G1241" s="76" t="str">
        <f>VLOOKUP(Tabelle2[[#This Row],[Kunden Nr.]],KUNDEN!A:B,2,0)</f>
        <v>INOX 1</v>
      </c>
      <c r="H1241" s="75">
        <v>35109</v>
      </c>
      <c r="I1241" s="76" t="str">
        <f>VLOOKUP(Tabelle2[[#This Row],[Artikel]],Produkte!A:B,2,0)</f>
        <v>M-ONE Sanitar Silikon</v>
      </c>
      <c r="J1241" s="75">
        <v>12</v>
      </c>
      <c r="K1241" s="76" t="str">
        <f>VLOOKUP(Tabelle2[[#This Row],[Kunden Nr.]],KUNDEN!A:G,7)</f>
        <v>Mensuri</v>
      </c>
      <c r="L1241" s="76">
        <f>VLOOKUP(Tabelle2[[#This Row],[Artikel]],Produkte!A:H,8)</f>
        <v>0.17</v>
      </c>
    </row>
    <row r="1242" spans="1:12" x14ac:dyDescent="0.2">
      <c r="A1242" s="75" t="s">
        <v>442</v>
      </c>
      <c r="B1242" s="79">
        <v>46084</v>
      </c>
      <c r="C1242" s="89">
        <v>92.4</v>
      </c>
      <c r="D1242" s="75"/>
      <c r="E1242" s="75"/>
      <c r="F1242" s="75">
        <v>20208</v>
      </c>
      <c r="G1242" s="76" t="str">
        <f>VLOOKUP(Tabelle2[[#This Row],[Kunden Nr.]],KUNDEN!A:B,2,0)</f>
        <v>V. GJONAJ</v>
      </c>
      <c r="H1242" s="75">
        <v>35110</v>
      </c>
      <c r="I1242" s="76" t="str">
        <f>VLOOKUP(Tabelle2[[#This Row],[Artikel]],Produkte!A:B,2,0)</f>
        <v>M-ONE Sanitar Silikon</v>
      </c>
      <c r="J1242" s="75">
        <v>12</v>
      </c>
      <c r="K1242" s="76" t="str">
        <f>VLOOKUP(Tabelle2[[#This Row],[Kunden Nr.]],KUNDEN!A:G,7)</f>
        <v>Mensuri</v>
      </c>
      <c r="L1242" s="76">
        <f>VLOOKUP(Tabelle2[[#This Row],[Artikel]],Produkte!A:H,8)</f>
        <v>0.17</v>
      </c>
    </row>
    <row r="1243" spans="1:12" x14ac:dyDescent="0.2">
      <c r="A1243" s="75" t="s">
        <v>442</v>
      </c>
      <c r="B1243" s="79">
        <v>46084</v>
      </c>
      <c r="C1243" s="75"/>
      <c r="D1243" s="75"/>
      <c r="E1243" s="75"/>
      <c r="F1243" s="75">
        <v>20208</v>
      </c>
      <c r="G1243" s="76" t="str">
        <f>VLOOKUP(Tabelle2[[#This Row],[Kunden Nr.]],KUNDEN!A:B,2,0)</f>
        <v>V. GJONAJ</v>
      </c>
      <c r="H1243" s="75">
        <v>35111</v>
      </c>
      <c r="I1243" s="76" t="str">
        <f>VLOOKUP(Tabelle2[[#This Row],[Artikel]],Produkte!A:B,2,0)</f>
        <v>M-ONE Sanitar Silikon</v>
      </c>
      <c r="J1243" s="75">
        <v>12</v>
      </c>
      <c r="K1243" s="76" t="str">
        <f>VLOOKUP(Tabelle2[[#This Row],[Kunden Nr.]],KUNDEN!A:G,7)</f>
        <v>Mensuri</v>
      </c>
      <c r="L1243" s="76">
        <f>VLOOKUP(Tabelle2[[#This Row],[Artikel]],Produkte!A:H,8)</f>
        <v>0.17</v>
      </c>
    </row>
    <row r="1244" spans="1:12" x14ac:dyDescent="0.2">
      <c r="A1244" s="75" t="s">
        <v>670</v>
      </c>
      <c r="B1244" s="79">
        <v>46084</v>
      </c>
      <c r="C1244" s="89">
        <v>120</v>
      </c>
      <c r="D1244" s="75"/>
      <c r="E1244" s="75"/>
      <c r="F1244" s="75">
        <v>20206</v>
      </c>
      <c r="G1244" s="76" t="str">
        <f>VLOOKUP(Tabelle2[[#This Row],[Kunden Nr.]],KUNDEN!A:B,2,0)</f>
        <v>ERENIKU</v>
      </c>
      <c r="H1244" s="75">
        <v>35109</v>
      </c>
      <c r="I1244" s="76" t="str">
        <f>VLOOKUP(Tabelle2[[#This Row],[Artikel]],Produkte!A:B,2,0)</f>
        <v>M-ONE Sanitar Silikon</v>
      </c>
      <c r="J1244" s="75">
        <v>12</v>
      </c>
      <c r="K1244" s="76" t="str">
        <f>VLOOKUP(Tabelle2[[#This Row],[Kunden Nr.]],KUNDEN!A:G,7)</f>
        <v>Mensuri</v>
      </c>
      <c r="L1244" s="76">
        <f>VLOOKUP(Tabelle2[[#This Row],[Artikel]],Produkte!A:H,8)</f>
        <v>0.17</v>
      </c>
    </row>
    <row r="1245" spans="1:12" x14ac:dyDescent="0.2">
      <c r="A1245" s="75" t="s">
        <v>670</v>
      </c>
      <c r="B1245" s="79">
        <v>46084</v>
      </c>
      <c r="C1245" s="75"/>
      <c r="D1245" s="75"/>
      <c r="E1245" s="75"/>
      <c r="F1245" s="75">
        <v>20206</v>
      </c>
      <c r="G1245" s="76" t="str">
        <f>VLOOKUP(Tabelle2[[#This Row],[Kunden Nr.]],KUNDEN!A:B,2,0)</f>
        <v>ERENIKU</v>
      </c>
      <c r="H1245" s="75">
        <v>35113</v>
      </c>
      <c r="I1245" s="76" t="str">
        <f>VLOOKUP(Tabelle2[[#This Row],[Artikel]],Produkte!A:B,2,0)</f>
        <v>M-ONE Sanitar Silikon</v>
      </c>
      <c r="J1245" s="75">
        <v>12</v>
      </c>
      <c r="K1245" s="76" t="str">
        <f>VLOOKUP(Tabelle2[[#This Row],[Kunden Nr.]],KUNDEN!A:G,7)</f>
        <v>Mensuri</v>
      </c>
      <c r="L1245" s="76">
        <f>VLOOKUP(Tabelle2[[#This Row],[Artikel]],Produkte!A:H,8)</f>
        <v>0.17</v>
      </c>
    </row>
    <row r="1246" spans="1:12" x14ac:dyDescent="0.2">
      <c r="A1246" s="75" t="s">
        <v>670</v>
      </c>
      <c r="B1246" s="79">
        <v>46084</v>
      </c>
      <c r="C1246" s="75"/>
      <c r="D1246" s="75"/>
      <c r="E1246" s="75"/>
      <c r="F1246" s="75">
        <v>20206</v>
      </c>
      <c r="G1246" s="76" t="str">
        <f>VLOOKUP(Tabelle2[[#This Row],[Kunden Nr.]],KUNDEN!A:B,2,0)</f>
        <v>ERENIKU</v>
      </c>
      <c r="H1246" s="75">
        <v>51612</v>
      </c>
      <c r="I1246" s="76" t="str">
        <f>VLOOKUP(Tabelle2[[#This Row],[Artikel]],Produkte!A:B,2,0)</f>
        <v>struktural akryl</v>
      </c>
      <c r="J1246" s="75">
        <v>12</v>
      </c>
      <c r="K1246" s="76" t="str">
        <f>VLOOKUP(Tabelle2[[#This Row],[Kunden Nr.]],KUNDEN!A:G,7)</f>
        <v>Mensuri</v>
      </c>
      <c r="L1246" s="76">
        <f>VLOOKUP(Tabelle2[[#This Row],[Artikel]],Produkte!A:H,8)</f>
        <v>0.06</v>
      </c>
    </row>
    <row r="1247" spans="1:12" x14ac:dyDescent="0.2">
      <c r="A1247" s="75" t="s">
        <v>474</v>
      </c>
      <c r="B1247" s="79">
        <v>46084</v>
      </c>
      <c r="C1247" s="89">
        <v>139.19999999999999</v>
      </c>
      <c r="D1247" s="75"/>
      <c r="E1247" s="75"/>
      <c r="F1247" s="75">
        <v>20109</v>
      </c>
      <c r="G1247" s="76" t="str">
        <f>VLOOKUP(Tabelle2[[#This Row],[Kunden Nr.]],KUNDEN!A:B,2,0)</f>
        <v>KENA COMERC</v>
      </c>
      <c r="H1247" s="75">
        <v>66701</v>
      </c>
      <c r="I1247" s="76" t="str">
        <f>VLOOKUP(Tabelle2[[#This Row],[Artikel]],Produkte!A:B,2,0)</f>
        <v>PROFIMONT EXTREME</v>
      </c>
      <c r="J1247" s="75">
        <v>24</v>
      </c>
      <c r="K1247" s="76" t="str">
        <f>VLOOKUP(Tabelle2[[#This Row],[Kunden Nr.]],KUNDEN!A:G,7)</f>
        <v>Mensuri</v>
      </c>
      <c r="L1247" s="76">
        <f>VLOOKUP(Tabelle2[[#This Row],[Artikel]],Produkte!A:H,8)</f>
        <v>0.2</v>
      </c>
    </row>
    <row r="1248" spans="1:12" x14ac:dyDescent="0.2">
      <c r="A1248" s="75" t="s">
        <v>474</v>
      </c>
      <c r="B1248" s="79">
        <v>46084</v>
      </c>
      <c r="C1248" s="75"/>
      <c r="D1248" s="75"/>
      <c r="E1248" s="75"/>
      <c r="F1248" s="75">
        <v>20109</v>
      </c>
      <c r="G1248" s="76" t="str">
        <f>VLOOKUP(Tabelle2[[#This Row],[Kunden Nr.]],KUNDEN!A:B,2,0)</f>
        <v>KENA COMERC</v>
      </c>
      <c r="H1248" s="75">
        <v>35114</v>
      </c>
      <c r="I1248" s="76" t="str">
        <f>VLOOKUP(Tabelle2[[#This Row],[Artikel]],Produkte!A:B,2,0)</f>
        <v>M-ONE Sanitar Silikon</v>
      </c>
      <c r="J1248" s="75">
        <v>12</v>
      </c>
      <c r="K1248" s="76" t="str">
        <f>VLOOKUP(Tabelle2[[#This Row],[Kunden Nr.]],KUNDEN!A:G,7)</f>
        <v>Mensuri</v>
      </c>
      <c r="L1248" s="76">
        <f>VLOOKUP(Tabelle2[[#This Row],[Artikel]],Produkte!A:H,8)</f>
        <v>0.17</v>
      </c>
    </row>
    <row r="1249" spans="1:12" x14ac:dyDescent="0.2">
      <c r="A1249" s="75" t="s">
        <v>474</v>
      </c>
      <c r="B1249" s="79">
        <v>46084</v>
      </c>
      <c r="C1249" s="75"/>
      <c r="D1249" s="75"/>
      <c r="E1249" s="75"/>
      <c r="F1249" s="75">
        <v>20109</v>
      </c>
      <c r="G1249" s="76" t="str">
        <f>VLOOKUP(Tabelle2[[#This Row],[Kunden Nr.]],KUNDEN!A:B,2,0)</f>
        <v>KENA COMERC</v>
      </c>
      <c r="H1249" s="75">
        <v>35125</v>
      </c>
      <c r="I1249" s="76" t="str">
        <f>VLOOKUP(Tabelle2[[#This Row],[Artikel]],Produkte!A:B,2,0)</f>
        <v>M-ONE Sanitar Silikon</v>
      </c>
      <c r="J1249" s="75">
        <v>12</v>
      </c>
      <c r="K1249" s="76" t="str">
        <f>VLOOKUP(Tabelle2[[#This Row],[Kunden Nr.]],KUNDEN!A:G,7)</f>
        <v>Mensuri</v>
      </c>
      <c r="L1249" s="76">
        <f>VLOOKUP(Tabelle2[[#This Row],[Artikel]],Produkte!A:H,8)</f>
        <v>0.17</v>
      </c>
    </row>
    <row r="1250" spans="1:12" x14ac:dyDescent="0.2">
      <c r="A1250" s="75" t="s">
        <v>468</v>
      </c>
      <c r="B1250" s="79">
        <v>46084</v>
      </c>
      <c r="C1250" s="89">
        <v>37</v>
      </c>
      <c r="D1250" s="75"/>
      <c r="E1250" s="75"/>
      <c r="F1250" s="75">
        <v>20101</v>
      </c>
      <c r="G1250" s="76" t="str">
        <f>VLOOKUP(Tabelle2[[#This Row],[Kunden Nr.]],KUNDEN!A:B,2,0)</f>
        <v>TE GZIMI</v>
      </c>
      <c r="H1250" s="75">
        <v>49644</v>
      </c>
      <c r="I1250" s="76" t="str">
        <f>VLOOKUP(Tabelle2[[#This Row],[Artikel]],Produkte!A:B,2,0)</f>
        <v>beMAKER Rostlöser</v>
      </c>
      <c r="J1250" s="75">
        <v>7</v>
      </c>
      <c r="K1250" s="76" t="str">
        <f>VLOOKUP(Tabelle2[[#This Row],[Kunden Nr.]],KUNDEN!A:G,7)</f>
        <v>Mensuri</v>
      </c>
      <c r="L1250" s="76">
        <f>VLOOKUP(Tabelle2[[#This Row],[Artikel]],Produkte!A:H,8)</f>
        <v>0.2</v>
      </c>
    </row>
    <row r="1251" spans="1:12" x14ac:dyDescent="0.2">
      <c r="A1251" s="75" t="s">
        <v>468</v>
      </c>
      <c r="B1251" s="79">
        <v>46084</v>
      </c>
      <c r="C1251" s="75"/>
      <c r="D1251" s="75"/>
      <c r="E1251" s="75"/>
      <c r="F1251" s="75">
        <v>20101</v>
      </c>
      <c r="G1251" s="76" t="str">
        <f>VLOOKUP(Tabelle2[[#This Row],[Kunden Nr.]],KUNDEN!A:B,2,0)</f>
        <v>TE GZIMI</v>
      </c>
      <c r="H1251" s="75">
        <v>50912</v>
      </c>
      <c r="I1251" s="76" t="str">
        <f>VLOOKUP(Tabelle2[[#This Row],[Artikel]],Produkte!A:B,2,0)</f>
        <v>DICHTUNG</v>
      </c>
      <c r="J1251" s="75">
        <v>2</v>
      </c>
      <c r="K1251" s="76" t="str">
        <f>VLOOKUP(Tabelle2[[#This Row],[Kunden Nr.]],KUNDEN!A:G,7)</f>
        <v>Mensuri</v>
      </c>
      <c r="L1251" s="76">
        <f>VLOOKUP(Tabelle2[[#This Row],[Artikel]],Produkte!A:H,8)</f>
        <v>0.2</v>
      </c>
    </row>
    <row r="1252" spans="1:12" x14ac:dyDescent="0.2">
      <c r="A1252" s="75" t="s">
        <v>468</v>
      </c>
      <c r="B1252" s="79">
        <v>46084</v>
      </c>
      <c r="C1252" s="75"/>
      <c r="D1252" s="75"/>
      <c r="E1252" s="75"/>
      <c r="F1252" s="75">
        <v>20101</v>
      </c>
      <c r="G1252" s="76" t="str">
        <f>VLOOKUP(Tabelle2[[#This Row],[Kunden Nr.]],KUNDEN!A:B,2,0)</f>
        <v>TE GZIMI</v>
      </c>
      <c r="H1252" s="75">
        <v>44001</v>
      </c>
      <c r="I1252" s="76" t="str">
        <f>VLOOKUP(Tabelle2[[#This Row],[Artikel]],Produkte!A:B,2,0)</f>
        <v>Fettspray</v>
      </c>
      <c r="J1252" s="75">
        <v>2</v>
      </c>
      <c r="K1252" s="76" t="str">
        <f>VLOOKUP(Tabelle2[[#This Row],[Kunden Nr.]],KUNDEN!A:G,7)</f>
        <v>Mensuri</v>
      </c>
      <c r="L1252" s="76">
        <f>VLOOKUP(Tabelle2[[#This Row],[Artikel]],Produkte!A:H,8)</f>
        <v>0.2</v>
      </c>
    </row>
    <row r="1253" spans="1:12" x14ac:dyDescent="0.2">
      <c r="A1253" s="75" t="s">
        <v>1180</v>
      </c>
      <c r="B1253" s="79">
        <v>46084</v>
      </c>
      <c r="C1253" s="89">
        <v>184.8</v>
      </c>
      <c r="D1253" s="75"/>
      <c r="E1253" s="75"/>
      <c r="F1253" s="75">
        <v>20126</v>
      </c>
      <c r="G1253" s="76" t="str">
        <f>VLOOKUP(Tabelle2[[#This Row],[Kunden Nr.]],KUNDEN!A:B,2,0)</f>
        <v>LULI-C</v>
      </c>
      <c r="H1253" s="75">
        <v>35108</v>
      </c>
      <c r="I1253" s="76" t="str">
        <f>VLOOKUP(Tabelle2[[#This Row],[Artikel]],Produkte!A:B,2,0)</f>
        <v>M-ONE Sanitar Silikon</v>
      </c>
      <c r="J1253" s="75">
        <v>12</v>
      </c>
      <c r="K1253" s="76" t="str">
        <f>VLOOKUP(Tabelle2[[#This Row],[Kunden Nr.]],KUNDEN!A:G,7)</f>
        <v>Mensuri</v>
      </c>
      <c r="L1253" s="76">
        <f>VLOOKUP(Tabelle2[[#This Row],[Artikel]],Produkte!A:H,8)</f>
        <v>0.17</v>
      </c>
    </row>
    <row r="1254" spans="1:12" x14ac:dyDescent="0.2">
      <c r="A1254" s="75" t="s">
        <v>1180</v>
      </c>
      <c r="B1254" s="79">
        <v>46084</v>
      </c>
      <c r="C1254" s="75"/>
      <c r="D1254" s="75"/>
      <c r="E1254" s="75"/>
      <c r="F1254" s="75">
        <v>20126</v>
      </c>
      <c r="G1254" s="76" t="str">
        <f>VLOOKUP(Tabelle2[[#This Row],[Kunden Nr.]],KUNDEN!A:B,2,0)</f>
        <v>LULI-C</v>
      </c>
      <c r="H1254" s="75">
        <v>35110</v>
      </c>
      <c r="I1254" s="76" t="str">
        <f>VLOOKUP(Tabelle2[[#This Row],[Artikel]],Produkte!A:B,2,0)</f>
        <v>M-ONE Sanitar Silikon</v>
      </c>
      <c r="J1254" s="75">
        <v>12</v>
      </c>
      <c r="K1254" s="76" t="str">
        <f>VLOOKUP(Tabelle2[[#This Row],[Kunden Nr.]],KUNDEN!A:G,7)</f>
        <v>Mensuri</v>
      </c>
      <c r="L1254" s="76">
        <f>VLOOKUP(Tabelle2[[#This Row],[Artikel]],Produkte!A:H,8)</f>
        <v>0.17</v>
      </c>
    </row>
    <row r="1255" spans="1:12" x14ac:dyDescent="0.2">
      <c r="A1255" s="75" t="s">
        <v>1180</v>
      </c>
      <c r="B1255" s="79">
        <v>46084</v>
      </c>
      <c r="C1255" s="75"/>
      <c r="D1255" s="75"/>
      <c r="E1255" s="75"/>
      <c r="F1255" s="75">
        <v>20126</v>
      </c>
      <c r="G1255" s="76" t="str">
        <f>VLOOKUP(Tabelle2[[#This Row],[Kunden Nr.]],KUNDEN!A:B,2,0)</f>
        <v>LULI-C</v>
      </c>
      <c r="H1255" s="75">
        <v>35111</v>
      </c>
      <c r="I1255" s="76" t="str">
        <f>VLOOKUP(Tabelle2[[#This Row],[Artikel]],Produkte!A:B,2,0)</f>
        <v>M-ONE Sanitar Silikon</v>
      </c>
      <c r="J1255" s="75">
        <v>12</v>
      </c>
      <c r="K1255" s="76" t="str">
        <f>VLOOKUP(Tabelle2[[#This Row],[Kunden Nr.]],KUNDEN!A:G,7)</f>
        <v>Mensuri</v>
      </c>
      <c r="L1255" s="76">
        <f>VLOOKUP(Tabelle2[[#This Row],[Artikel]],Produkte!A:H,8)</f>
        <v>0.17</v>
      </c>
    </row>
    <row r="1256" spans="1:12" x14ac:dyDescent="0.2">
      <c r="A1256" s="75" t="s">
        <v>1180</v>
      </c>
      <c r="B1256" s="79">
        <v>46084</v>
      </c>
      <c r="C1256" s="75"/>
      <c r="D1256" s="75"/>
      <c r="E1256" s="75"/>
      <c r="F1256" s="75">
        <v>20126</v>
      </c>
      <c r="G1256" s="76" t="str">
        <f>VLOOKUP(Tabelle2[[#This Row],[Kunden Nr.]],KUNDEN!A:B,2,0)</f>
        <v>LULI-C</v>
      </c>
      <c r="H1256" s="75">
        <v>35125</v>
      </c>
      <c r="I1256" s="76" t="str">
        <f>VLOOKUP(Tabelle2[[#This Row],[Artikel]],Produkte!A:B,2,0)</f>
        <v>M-ONE Sanitar Silikon</v>
      </c>
      <c r="J1256" s="75">
        <v>12</v>
      </c>
      <c r="K1256" s="76" t="str">
        <f>VLOOKUP(Tabelle2[[#This Row],[Kunden Nr.]],KUNDEN!A:G,7)</f>
        <v>Mensuri</v>
      </c>
      <c r="L1256" s="76">
        <f>VLOOKUP(Tabelle2[[#This Row],[Artikel]],Produkte!A:H,8)</f>
        <v>0.17</v>
      </c>
    </row>
    <row r="1257" spans="1:12" x14ac:dyDescent="0.2">
      <c r="A1257" s="75" t="s">
        <v>770</v>
      </c>
      <c r="B1257" s="79">
        <v>46084</v>
      </c>
      <c r="C1257" s="89">
        <v>249</v>
      </c>
      <c r="D1257" s="75"/>
      <c r="E1257" s="75"/>
      <c r="F1257" s="75">
        <v>40003</v>
      </c>
      <c r="G1257" s="76" t="str">
        <f>VLOOKUP(Tabelle2[[#This Row],[Kunden Nr.]],KUNDEN!A:B,2,0)</f>
        <v>ARBENI BIOBLIC</v>
      </c>
      <c r="H1257" s="75">
        <v>20001</v>
      </c>
      <c r="I1257" s="76" t="str">
        <f>VLOOKUP(Tabelle2[[#This Row],[Artikel]],Produkte!A:B,2,0)</f>
        <v>BioBlic Universalreiniger</v>
      </c>
      <c r="J1257" s="75">
        <v>140</v>
      </c>
      <c r="K1257" s="76">
        <f>VLOOKUP(Tabelle2[[#This Row],[Kunden Nr.]],KUNDEN!A:G,7)</f>
        <v>0</v>
      </c>
      <c r="L1257" s="76">
        <f>VLOOKUP(Tabelle2[[#This Row],[Artikel]],Produkte!A:H,8)</f>
        <v>0.30000000000000004</v>
      </c>
    </row>
    <row r="1258" spans="1:12" x14ac:dyDescent="0.2">
      <c r="A1258" s="75" t="s">
        <v>770</v>
      </c>
      <c r="B1258" s="79">
        <v>46084</v>
      </c>
      <c r="C1258" s="75"/>
      <c r="D1258" s="75"/>
      <c r="E1258" s="75"/>
      <c r="F1258" s="75">
        <v>40003</v>
      </c>
      <c r="G1258" s="76" t="str">
        <f>VLOOKUP(Tabelle2[[#This Row],[Kunden Nr.]],KUNDEN!A:B,2,0)</f>
        <v>ARBENI BIOBLIC</v>
      </c>
      <c r="H1258" s="75">
        <v>30275</v>
      </c>
      <c r="I1258" s="76" t="str">
        <f>VLOOKUP(Tabelle2[[#This Row],[Artikel]],Produkte!A:B,2,0)</f>
        <v>Blic Blic Sanitärreiniger</v>
      </c>
      <c r="J1258" s="75">
        <v>60</v>
      </c>
      <c r="K1258" s="76">
        <f>VLOOKUP(Tabelle2[[#This Row],[Kunden Nr.]],KUNDEN!A:G,7)</f>
        <v>0</v>
      </c>
      <c r="L1258" s="76">
        <f>VLOOKUP(Tabelle2[[#This Row],[Artikel]],Produkte!A:H,8)</f>
        <v>0.30000000000000004</v>
      </c>
    </row>
    <row r="1259" spans="1:12" x14ac:dyDescent="0.2">
      <c r="A1259" s="75" t="s">
        <v>1176</v>
      </c>
      <c r="B1259" s="79">
        <v>46085</v>
      </c>
      <c r="C1259" s="89">
        <v>9</v>
      </c>
      <c r="D1259" s="75"/>
      <c r="E1259" s="75"/>
      <c r="F1259" s="75" t="s">
        <v>1323</v>
      </c>
      <c r="G1259" s="76" t="str">
        <f>VLOOKUP(Tabelle2[[#This Row],[Kunden Nr.]],KUNDEN!A:B,2,0)</f>
        <v>M ONE</v>
      </c>
      <c r="H1259" s="75">
        <v>66701</v>
      </c>
      <c r="I1259" s="76" t="str">
        <f>VLOOKUP(Tabelle2[[#This Row],[Artikel]],Produkte!A:B,2,0)</f>
        <v>PROFIMONT EXTREME</v>
      </c>
      <c r="J1259" s="75">
        <v>1</v>
      </c>
      <c r="K1259" s="76" t="str">
        <f>VLOOKUP(Tabelle2[[#This Row],[Kunden Nr.]],KUNDEN!A:G,7)</f>
        <v>KIM TEC</v>
      </c>
      <c r="L1259" s="76">
        <f>VLOOKUP(Tabelle2[[#This Row],[Artikel]],Produkte!A:H,8)</f>
        <v>0.2</v>
      </c>
    </row>
    <row r="1260" spans="1:12" x14ac:dyDescent="0.2">
      <c r="A1260" s="75" t="s">
        <v>769</v>
      </c>
      <c r="B1260" s="79">
        <v>46085</v>
      </c>
      <c r="C1260" s="89">
        <v>24</v>
      </c>
      <c r="D1260" s="75"/>
      <c r="E1260" s="75"/>
      <c r="F1260" s="75">
        <v>40002</v>
      </c>
      <c r="G1260" s="76" t="str">
        <f>VLOOKUP(Tabelle2[[#This Row],[Kunden Nr.]],KUNDEN!A:B,2,0)</f>
        <v>FORD BASHKIMI</v>
      </c>
      <c r="H1260" s="75">
        <v>54412</v>
      </c>
      <c r="I1260" s="76" t="str">
        <f>VLOOKUP(Tabelle2[[#This Row],[Artikel]],Produkte!A:B,2,0)</f>
        <v>beMAKER Bremsen&amp;Teile Reininger</v>
      </c>
      <c r="J1260" s="75">
        <v>12</v>
      </c>
      <c r="K1260" s="76">
        <f>VLOOKUP(Tabelle2[[#This Row],[Kunden Nr.]],KUNDEN!A:G,7)</f>
        <v>0</v>
      </c>
      <c r="L1260" s="76">
        <f>VLOOKUP(Tabelle2[[#This Row],[Artikel]],Produkte!A:H,8)</f>
        <v>0.2</v>
      </c>
    </row>
    <row r="1261" spans="1:12" x14ac:dyDescent="0.2">
      <c r="A1261" s="75" t="s">
        <v>1005</v>
      </c>
      <c r="B1261" s="79">
        <v>46085</v>
      </c>
      <c r="C1261" s="89">
        <v>138.6</v>
      </c>
      <c r="D1261" s="75"/>
      <c r="E1261" s="75"/>
      <c r="F1261" s="75">
        <v>10343</v>
      </c>
      <c r="G1261" s="76" t="str">
        <f>VLOOKUP(Tabelle2[[#This Row],[Kunden Nr.]],KUNDEN!A:B,2,0)</f>
        <v>INTERCOM NTP</v>
      </c>
      <c r="H1261" s="75">
        <v>35109</v>
      </c>
      <c r="I1261" s="76" t="str">
        <f>VLOOKUP(Tabelle2[[#This Row],[Artikel]],Produkte!A:B,2,0)</f>
        <v>M-ONE Sanitar Silikon</v>
      </c>
      <c r="J1261" s="75">
        <v>24</v>
      </c>
      <c r="K1261" s="76" t="str">
        <f>VLOOKUP(Tabelle2[[#This Row],[Kunden Nr.]],KUNDEN!A:G,7)</f>
        <v>Qerimi</v>
      </c>
      <c r="L1261" s="76">
        <f>VLOOKUP(Tabelle2[[#This Row],[Artikel]],Produkte!A:H,8)</f>
        <v>0.17</v>
      </c>
    </row>
    <row r="1262" spans="1:12" x14ac:dyDescent="0.2">
      <c r="A1262" s="75" t="s">
        <v>1005</v>
      </c>
      <c r="B1262" s="79">
        <v>46085</v>
      </c>
      <c r="C1262" s="75"/>
      <c r="D1262" s="75"/>
      <c r="E1262" s="75"/>
      <c r="F1262" s="75">
        <v>10343</v>
      </c>
      <c r="G1262" s="76" t="str">
        <f>VLOOKUP(Tabelle2[[#This Row],[Kunden Nr.]],KUNDEN!A:B,2,0)</f>
        <v>INTERCOM NTP</v>
      </c>
      <c r="H1262" s="75">
        <v>35113</v>
      </c>
      <c r="I1262" s="76" t="str">
        <f>VLOOKUP(Tabelle2[[#This Row],[Artikel]],Produkte!A:B,2,0)</f>
        <v>M-ONE Sanitar Silikon</v>
      </c>
      <c r="J1262" s="75">
        <v>12</v>
      </c>
      <c r="K1262" s="76" t="str">
        <f>VLOOKUP(Tabelle2[[#This Row],[Kunden Nr.]],KUNDEN!A:G,7)</f>
        <v>Qerimi</v>
      </c>
      <c r="L1262" s="76">
        <f>VLOOKUP(Tabelle2[[#This Row],[Artikel]],Produkte!A:H,8)</f>
        <v>0.17</v>
      </c>
    </row>
    <row r="1263" spans="1:12" x14ac:dyDescent="0.2">
      <c r="A1263" s="75" t="s">
        <v>413</v>
      </c>
      <c r="B1263" s="79">
        <v>46085</v>
      </c>
      <c r="C1263" s="89">
        <v>184.8</v>
      </c>
      <c r="D1263" s="75"/>
      <c r="E1263" s="75"/>
      <c r="F1263" s="75">
        <v>10350</v>
      </c>
      <c r="G1263" s="76" t="str">
        <f>VLOOKUP(Tabelle2[[#This Row],[Kunden Nr.]],KUNDEN!A:B,2,0)</f>
        <v>BALLKANI</v>
      </c>
      <c r="H1263" s="75">
        <v>35121</v>
      </c>
      <c r="I1263" s="76" t="str">
        <f>VLOOKUP(Tabelle2[[#This Row],[Artikel]],Produkte!A:B,2,0)</f>
        <v>M-ONE Sanitar Silikon</v>
      </c>
      <c r="J1263" s="75">
        <v>24</v>
      </c>
      <c r="K1263" s="76" t="str">
        <f>VLOOKUP(Tabelle2[[#This Row],[Kunden Nr.]],KUNDEN!A:G,7)</f>
        <v>Qerimi</v>
      </c>
      <c r="L1263" s="76">
        <f>VLOOKUP(Tabelle2[[#This Row],[Artikel]],Produkte!A:H,8)</f>
        <v>0.17</v>
      </c>
    </row>
    <row r="1264" spans="1:12" x14ac:dyDescent="0.2">
      <c r="A1264" s="75" t="s">
        <v>413</v>
      </c>
      <c r="B1264" s="79">
        <v>46085</v>
      </c>
      <c r="C1264" s="75"/>
      <c r="D1264" s="75"/>
      <c r="E1264" s="75"/>
      <c r="F1264" s="75">
        <v>10350</v>
      </c>
      <c r="G1264" s="76" t="str">
        <f>VLOOKUP(Tabelle2[[#This Row],[Kunden Nr.]],KUNDEN!A:B,2,0)</f>
        <v>BALLKANI</v>
      </c>
      <c r="H1264" s="75">
        <v>35113</v>
      </c>
      <c r="I1264" s="76" t="str">
        <f>VLOOKUP(Tabelle2[[#This Row],[Artikel]],Produkte!A:B,2,0)</f>
        <v>M-ONE Sanitar Silikon</v>
      </c>
      <c r="J1264" s="75">
        <v>12</v>
      </c>
      <c r="K1264" s="76" t="str">
        <f>VLOOKUP(Tabelle2[[#This Row],[Kunden Nr.]],KUNDEN!A:G,7)</f>
        <v>Qerimi</v>
      </c>
      <c r="L1264" s="76">
        <f>VLOOKUP(Tabelle2[[#This Row],[Artikel]],Produkte!A:H,8)</f>
        <v>0.17</v>
      </c>
    </row>
    <row r="1265" spans="1:12" x14ac:dyDescent="0.2">
      <c r="A1265" s="75" t="s">
        <v>413</v>
      </c>
      <c r="B1265" s="79">
        <v>46085</v>
      </c>
      <c r="C1265" s="75"/>
      <c r="D1265" s="75"/>
      <c r="E1265" s="75"/>
      <c r="F1265" s="75">
        <v>10350</v>
      </c>
      <c r="G1265" s="76" t="str">
        <f>VLOOKUP(Tabelle2[[#This Row],[Kunden Nr.]],KUNDEN!A:B,2,0)</f>
        <v>BALLKANI</v>
      </c>
      <c r="H1265" s="75">
        <v>35115</v>
      </c>
      <c r="I1265" s="76" t="str">
        <f>VLOOKUP(Tabelle2[[#This Row],[Artikel]],Produkte!A:B,2,0)</f>
        <v>M-ONE Sanitar Silikon</v>
      </c>
      <c r="J1265" s="75">
        <v>12</v>
      </c>
      <c r="K1265" s="76" t="str">
        <f>VLOOKUP(Tabelle2[[#This Row],[Kunden Nr.]],KUNDEN!A:G,7)</f>
        <v>Qerimi</v>
      </c>
      <c r="L1265" s="76">
        <f>VLOOKUP(Tabelle2[[#This Row],[Artikel]],Produkte!A:H,8)</f>
        <v>0.17</v>
      </c>
    </row>
    <row r="1266" spans="1:12" x14ac:dyDescent="0.2">
      <c r="A1266" s="75" t="s">
        <v>995</v>
      </c>
      <c r="B1266" s="79">
        <v>46085</v>
      </c>
      <c r="C1266" s="89">
        <v>46.2</v>
      </c>
      <c r="D1266" s="75"/>
      <c r="E1266" s="75"/>
      <c r="F1266" s="75">
        <v>10353</v>
      </c>
      <c r="G1266" s="76" t="str">
        <f>VLOOKUP(Tabelle2[[#This Row],[Kunden Nr.]],KUNDEN!A:B,2,0)</f>
        <v>TREND CERAMIKA</v>
      </c>
      <c r="H1266" s="75">
        <v>35109</v>
      </c>
      <c r="I1266" s="76" t="str">
        <f>VLOOKUP(Tabelle2[[#This Row],[Artikel]],Produkte!A:B,2,0)</f>
        <v>M-ONE Sanitar Silikon</v>
      </c>
      <c r="J1266" s="75">
        <v>12</v>
      </c>
      <c r="K1266" s="76" t="str">
        <f>VLOOKUP(Tabelle2[[#This Row],[Kunden Nr.]],KUNDEN!A:G,7)</f>
        <v>Qerimi</v>
      </c>
      <c r="L1266" s="76">
        <f>VLOOKUP(Tabelle2[[#This Row],[Artikel]],Produkte!A:H,8)</f>
        <v>0.17</v>
      </c>
    </row>
    <row r="1267" spans="1:12" x14ac:dyDescent="0.2">
      <c r="A1267" s="75" t="s">
        <v>30</v>
      </c>
      <c r="B1267" s="79">
        <v>46085</v>
      </c>
      <c r="C1267" s="89">
        <v>46</v>
      </c>
      <c r="D1267" s="75"/>
      <c r="E1267" s="75"/>
      <c r="F1267" s="75">
        <v>10323</v>
      </c>
      <c r="G1267" s="76" t="str">
        <f>VLOOKUP(Tabelle2[[#This Row],[Kunden Nr.]],KUNDEN!A:B,2,0)</f>
        <v>BEKA-3</v>
      </c>
      <c r="H1267" s="75">
        <v>50912</v>
      </c>
      <c r="I1267" s="76" t="str">
        <f>VLOOKUP(Tabelle2[[#This Row],[Artikel]],Produkte!A:B,2,0)</f>
        <v>DICHTUNG</v>
      </c>
      <c r="J1267" s="75">
        <v>5</v>
      </c>
      <c r="K1267" s="76" t="str">
        <f>VLOOKUP(Tabelle2[[#This Row],[Kunden Nr.]],KUNDEN!A:G,7)</f>
        <v>Qerimi</v>
      </c>
      <c r="L1267" s="76">
        <f>VLOOKUP(Tabelle2[[#This Row],[Artikel]],Produkte!A:H,8)</f>
        <v>0.2</v>
      </c>
    </row>
    <row r="1268" spans="1:12" x14ac:dyDescent="0.2">
      <c r="A1268" s="75" t="s">
        <v>30</v>
      </c>
      <c r="B1268" s="79">
        <v>46085</v>
      </c>
      <c r="C1268" s="75"/>
      <c r="D1268" s="75"/>
      <c r="E1268" s="75"/>
      <c r="F1268" s="75">
        <v>10323</v>
      </c>
      <c r="G1268" s="76" t="str">
        <f>VLOOKUP(Tabelle2[[#This Row],[Kunden Nr.]],KUNDEN!A:B,2,0)</f>
        <v>BEKA-3</v>
      </c>
      <c r="H1268" s="75">
        <v>49644</v>
      </c>
      <c r="I1268" s="76" t="str">
        <f>VLOOKUP(Tabelle2[[#This Row],[Artikel]],Produkte!A:B,2,0)</f>
        <v>beMAKER Rostlöser</v>
      </c>
      <c r="J1268" s="75">
        <v>5</v>
      </c>
      <c r="K1268" s="76" t="str">
        <f>VLOOKUP(Tabelle2[[#This Row],[Kunden Nr.]],KUNDEN!A:G,7)</f>
        <v>Qerimi</v>
      </c>
      <c r="L1268" s="76">
        <f>VLOOKUP(Tabelle2[[#This Row],[Artikel]],Produkte!A:H,8)</f>
        <v>0.2</v>
      </c>
    </row>
    <row r="1269" spans="1:12" x14ac:dyDescent="0.2">
      <c r="A1269" s="75" t="s">
        <v>43</v>
      </c>
      <c r="B1269" s="79">
        <v>46085</v>
      </c>
      <c r="C1269" s="89">
        <v>92.4</v>
      </c>
      <c r="D1269" s="75"/>
      <c r="E1269" s="75"/>
      <c r="F1269" s="75">
        <v>10332</v>
      </c>
      <c r="G1269" s="76" t="str">
        <f>VLOOKUP(Tabelle2[[#This Row],[Kunden Nr.]],KUNDEN!A:B,2,0)</f>
        <v>DARDANIA</v>
      </c>
      <c r="H1269" s="75">
        <v>35125</v>
      </c>
      <c r="I1269" s="76" t="str">
        <f>VLOOKUP(Tabelle2[[#This Row],[Artikel]],Produkte!A:B,2,0)</f>
        <v>M-ONE Sanitar Silikon</v>
      </c>
      <c r="J1269" s="75">
        <v>12</v>
      </c>
      <c r="K1269" s="76" t="str">
        <f>VLOOKUP(Tabelle2[[#This Row],[Kunden Nr.]],KUNDEN!A:G,7)</f>
        <v>Qerimi</v>
      </c>
      <c r="L1269" s="76">
        <f>VLOOKUP(Tabelle2[[#This Row],[Artikel]],Produkte!A:H,8)</f>
        <v>0.17</v>
      </c>
    </row>
    <row r="1270" spans="1:12" x14ac:dyDescent="0.2">
      <c r="A1270" s="75" t="s">
        <v>43</v>
      </c>
      <c r="B1270" s="79">
        <v>46085</v>
      </c>
      <c r="C1270" s="75"/>
      <c r="D1270" s="75"/>
      <c r="E1270" s="75"/>
      <c r="F1270" s="75">
        <v>10332</v>
      </c>
      <c r="G1270" s="76" t="str">
        <f>VLOOKUP(Tabelle2[[#This Row],[Kunden Nr.]],KUNDEN!A:B,2,0)</f>
        <v>DARDANIA</v>
      </c>
      <c r="H1270" s="75">
        <v>35121</v>
      </c>
      <c r="I1270" s="76" t="str">
        <f>VLOOKUP(Tabelle2[[#This Row],[Artikel]],Produkte!A:B,2,0)</f>
        <v>M-ONE Sanitar Silikon</v>
      </c>
      <c r="J1270" s="75">
        <v>12</v>
      </c>
      <c r="K1270" s="76" t="str">
        <f>VLOOKUP(Tabelle2[[#This Row],[Kunden Nr.]],KUNDEN!A:G,7)</f>
        <v>Qerimi</v>
      </c>
      <c r="L1270" s="76">
        <f>VLOOKUP(Tabelle2[[#This Row],[Artikel]],Produkte!A:H,8)</f>
        <v>0.17</v>
      </c>
    </row>
    <row r="1271" spans="1:12" x14ac:dyDescent="0.2">
      <c r="A1271" s="75" t="s">
        <v>10</v>
      </c>
      <c r="B1271" s="79">
        <v>46085</v>
      </c>
      <c r="C1271" s="89">
        <v>138.6</v>
      </c>
      <c r="D1271" s="75"/>
      <c r="E1271" s="75"/>
      <c r="F1271" s="75">
        <v>10306</v>
      </c>
      <c r="G1271" s="76" t="str">
        <f>VLOOKUP(Tabelle2[[#This Row],[Kunden Nr.]],KUNDEN!A:B,2,0)</f>
        <v>ELIONI-1</v>
      </c>
      <c r="H1271" s="75">
        <v>35125</v>
      </c>
      <c r="I1271" s="76" t="str">
        <f>VLOOKUP(Tabelle2[[#This Row],[Artikel]],Produkte!A:B,2,0)</f>
        <v>M-ONE Sanitar Silikon</v>
      </c>
      <c r="J1271" s="75">
        <v>12</v>
      </c>
      <c r="K1271" s="76" t="str">
        <f>VLOOKUP(Tabelle2[[#This Row],[Kunden Nr.]],KUNDEN!A:G,7)</f>
        <v>Qerimi</v>
      </c>
      <c r="L1271" s="76">
        <f>VLOOKUP(Tabelle2[[#This Row],[Artikel]],Produkte!A:H,8)</f>
        <v>0.17</v>
      </c>
    </row>
    <row r="1272" spans="1:12" x14ac:dyDescent="0.2">
      <c r="A1272" s="75" t="s">
        <v>10</v>
      </c>
      <c r="B1272" s="79">
        <v>46085</v>
      </c>
      <c r="C1272" s="75"/>
      <c r="D1272" s="75"/>
      <c r="E1272" s="75"/>
      <c r="F1272" s="75">
        <v>10306</v>
      </c>
      <c r="G1272" s="76" t="str">
        <f>VLOOKUP(Tabelle2[[#This Row],[Kunden Nr.]],KUNDEN!A:B,2,0)</f>
        <v>ELIONI-1</v>
      </c>
      <c r="H1272" s="75">
        <v>35111</v>
      </c>
      <c r="I1272" s="76" t="str">
        <f>VLOOKUP(Tabelle2[[#This Row],[Artikel]],Produkte!A:B,2,0)</f>
        <v>M-ONE Sanitar Silikon</v>
      </c>
      <c r="J1272" s="75">
        <v>12</v>
      </c>
      <c r="K1272" s="76" t="str">
        <f>VLOOKUP(Tabelle2[[#This Row],[Kunden Nr.]],KUNDEN!A:G,7)</f>
        <v>Qerimi</v>
      </c>
      <c r="L1272" s="76">
        <f>VLOOKUP(Tabelle2[[#This Row],[Artikel]],Produkte!A:H,8)</f>
        <v>0.17</v>
      </c>
    </row>
    <row r="1273" spans="1:12" x14ac:dyDescent="0.2">
      <c r="A1273" s="75" t="s">
        <v>10</v>
      </c>
      <c r="B1273" s="79">
        <v>46085</v>
      </c>
      <c r="C1273" s="75"/>
      <c r="D1273" s="75"/>
      <c r="E1273" s="75"/>
      <c r="F1273" s="75">
        <v>10306</v>
      </c>
      <c r="G1273" s="76" t="str">
        <f>VLOOKUP(Tabelle2[[#This Row],[Kunden Nr.]],KUNDEN!A:B,2,0)</f>
        <v>ELIONI-1</v>
      </c>
      <c r="H1273" s="75">
        <v>35113</v>
      </c>
      <c r="I1273" s="76" t="str">
        <f>VLOOKUP(Tabelle2[[#This Row],[Artikel]],Produkte!A:B,2,0)</f>
        <v>M-ONE Sanitar Silikon</v>
      </c>
      <c r="J1273" s="75">
        <v>12</v>
      </c>
      <c r="K1273" s="76" t="str">
        <f>VLOOKUP(Tabelle2[[#This Row],[Kunden Nr.]],KUNDEN!A:G,7)</f>
        <v>Qerimi</v>
      </c>
      <c r="L1273" s="76">
        <f>VLOOKUP(Tabelle2[[#This Row],[Artikel]],Produkte!A:H,8)</f>
        <v>0.17</v>
      </c>
    </row>
    <row r="1274" spans="1:12" x14ac:dyDescent="0.2">
      <c r="A1274" s="75" t="s">
        <v>8</v>
      </c>
      <c r="B1274" s="79">
        <v>46085</v>
      </c>
      <c r="C1274" s="89">
        <v>92.4</v>
      </c>
      <c r="D1274" s="75"/>
      <c r="E1274" s="75"/>
      <c r="F1274" s="75">
        <v>10304</v>
      </c>
      <c r="G1274" s="76" t="str">
        <f>VLOOKUP(Tabelle2[[#This Row],[Kunden Nr.]],KUNDEN!A:B,2,0)</f>
        <v>EUROSAN</v>
      </c>
      <c r="H1274" s="75">
        <v>35109</v>
      </c>
      <c r="I1274" s="76" t="str">
        <f>VLOOKUP(Tabelle2[[#This Row],[Artikel]],Produkte!A:B,2,0)</f>
        <v>M-ONE Sanitar Silikon</v>
      </c>
      <c r="J1274" s="75">
        <v>12</v>
      </c>
      <c r="K1274" s="76" t="str">
        <f>VLOOKUP(Tabelle2[[#This Row],[Kunden Nr.]],KUNDEN!A:G,7)</f>
        <v>Qerimi</v>
      </c>
      <c r="L1274" s="76">
        <f>VLOOKUP(Tabelle2[[#This Row],[Artikel]],Produkte!A:H,8)</f>
        <v>0.17</v>
      </c>
    </row>
    <row r="1275" spans="1:12" x14ac:dyDescent="0.2">
      <c r="A1275" s="75" t="s">
        <v>8</v>
      </c>
      <c r="B1275" s="79">
        <v>46085</v>
      </c>
      <c r="C1275" s="75"/>
      <c r="D1275" s="75"/>
      <c r="E1275" s="75"/>
      <c r="F1275" s="75">
        <v>10304</v>
      </c>
      <c r="G1275" s="76" t="str">
        <f>VLOOKUP(Tabelle2[[#This Row],[Kunden Nr.]],KUNDEN!A:B,2,0)</f>
        <v>EUROSAN</v>
      </c>
      <c r="H1275" s="75">
        <v>35111</v>
      </c>
      <c r="I1275" s="76" t="str">
        <f>VLOOKUP(Tabelle2[[#This Row],[Artikel]],Produkte!A:B,2,0)</f>
        <v>M-ONE Sanitar Silikon</v>
      </c>
      <c r="J1275" s="75">
        <v>12</v>
      </c>
      <c r="K1275" s="76" t="str">
        <f>VLOOKUP(Tabelle2[[#This Row],[Kunden Nr.]],KUNDEN!A:G,7)</f>
        <v>Qerimi</v>
      </c>
      <c r="L1275" s="76">
        <f>VLOOKUP(Tabelle2[[#This Row],[Artikel]],Produkte!A:H,8)</f>
        <v>0.17</v>
      </c>
    </row>
    <row r="1276" spans="1:12" x14ac:dyDescent="0.2">
      <c r="A1276" s="75" t="s">
        <v>614</v>
      </c>
      <c r="B1276" s="79">
        <v>46085</v>
      </c>
      <c r="C1276" s="89">
        <v>56.4</v>
      </c>
      <c r="D1276" s="75"/>
      <c r="E1276" s="75"/>
      <c r="F1276" s="75">
        <v>20301</v>
      </c>
      <c r="G1276" s="76" t="str">
        <f>VLOOKUP(Tabelle2[[#This Row],[Kunden Nr.]],KUNDEN!A:B,2,0)</f>
        <v>HAZROLLI</v>
      </c>
      <c r="H1276" s="75">
        <v>30276</v>
      </c>
      <c r="I1276" s="76" t="str">
        <f>VLOOKUP(Tabelle2[[#This Row],[Artikel]],Produkte!A:B,2,0)</f>
        <v>Bio Blic Antikalk</v>
      </c>
      <c r="J1276" s="75">
        <v>20</v>
      </c>
      <c r="K1276" s="76" t="str">
        <f>VLOOKUP(Tabelle2[[#This Row],[Kunden Nr.]],KUNDEN!A:G,7)</f>
        <v>Mensuri</v>
      </c>
      <c r="L1276" s="76">
        <f>VLOOKUP(Tabelle2[[#This Row],[Artikel]],Produkte!A:H,8)</f>
        <v>0.30000000000000004</v>
      </c>
    </row>
    <row r="1277" spans="1:12" x14ac:dyDescent="0.2">
      <c r="A1277" s="75" t="s">
        <v>614</v>
      </c>
      <c r="B1277" s="79">
        <v>46085</v>
      </c>
      <c r="C1277" s="75"/>
      <c r="D1277" s="75"/>
      <c r="E1277" s="75"/>
      <c r="F1277" s="75">
        <v>20301</v>
      </c>
      <c r="G1277" s="76" t="str">
        <f>VLOOKUP(Tabelle2[[#This Row],[Kunden Nr.]],KUNDEN!A:B,2,0)</f>
        <v>HAZROLLI</v>
      </c>
      <c r="H1277" s="75">
        <v>29802</v>
      </c>
      <c r="I1277" s="76" t="str">
        <f>VLOOKUP(Tabelle2[[#This Row],[Artikel]],Produkte!A:B,2,0)</f>
        <v>beMaker Handwaschpaste</v>
      </c>
      <c r="J1277" s="75">
        <v>12</v>
      </c>
      <c r="K1277" s="76" t="str">
        <f>VLOOKUP(Tabelle2[[#This Row],[Kunden Nr.]],KUNDEN!A:G,7)</f>
        <v>Mensuri</v>
      </c>
      <c r="L1277" s="76">
        <f>VLOOKUP(Tabelle2[[#This Row],[Artikel]],Produkte!A:H,8)</f>
        <v>0.1</v>
      </c>
    </row>
    <row r="1278" spans="1:12" x14ac:dyDescent="0.2">
      <c r="A1278" s="75" t="s">
        <v>618</v>
      </c>
      <c r="B1278" s="79">
        <v>46085</v>
      </c>
      <c r="C1278" s="89">
        <v>245.6</v>
      </c>
      <c r="D1278" s="75"/>
      <c r="E1278" s="75"/>
      <c r="F1278" s="75">
        <v>20307</v>
      </c>
      <c r="G1278" s="76" t="str">
        <f>VLOOKUP(Tabelle2[[#This Row],[Kunden Nr.]],KUNDEN!A:B,2,0)</f>
        <v>CONDOR</v>
      </c>
      <c r="H1278" s="75">
        <v>66701</v>
      </c>
      <c r="I1278" s="76" t="str">
        <f>VLOOKUP(Tabelle2[[#This Row],[Artikel]],Produkte!A:B,2,0)</f>
        <v>PROFIMONT EXTREME</v>
      </c>
      <c r="J1278" s="75">
        <v>12</v>
      </c>
      <c r="K1278" s="76" t="str">
        <f>VLOOKUP(Tabelle2[[#This Row],[Kunden Nr.]],KUNDEN!A:G,7)</f>
        <v>Mensuri</v>
      </c>
      <c r="L1278" s="76">
        <f>VLOOKUP(Tabelle2[[#This Row],[Artikel]],Produkte!A:H,8)</f>
        <v>0.2</v>
      </c>
    </row>
    <row r="1279" spans="1:12" x14ac:dyDescent="0.2">
      <c r="A1279" s="75" t="s">
        <v>618</v>
      </c>
      <c r="B1279" s="79">
        <v>46085</v>
      </c>
      <c r="C1279" s="75"/>
      <c r="D1279" s="75"/>
      <c r="E1279" s="75"/>
      <c r="F1279" s="75">
        <v>20307</v>
      </c>
      <c r="G1279" s="76" t="str">
        <f>VLOOKUP(Tabelle2[[#This Row],[Kunden Nr.]],KUNDEN!A:B,2,0)</f>
        <v>CONDOR</v>
      </c>
      <c r="H1279" s="75">
        <v>35119</v>
      </c>
      <c r="I1279" s="76" t="str">
        <f>VLOOKUP(Tabelle2[[#This Row],[Artikel]],Produkte!A:B,2,0)</f>
        <v>M-ONE Sanitar Silikon</v>
      </c>
      <c r="J1279" s="75">
        <v>12</v>
      </c>
      <c r="K1279" s="76" t="str">
        <f>VLOOKUP(Tabelle2[[#This Row],[Kunden Nr.]],KUNDEN!A:G,7)</f>
        <v>Mensuri</v>
      </c>
      <c r="L1279" s="76">
        <f>VLOOKUP(Tabelle2[[#This Row],[Artikel]],Produkte!A:H,8)</f>
        <v>0.17</v>
      </c>
    </row>
    <row r="1280" spans="1:12" x14ac:dyDescent="0.2">
      <c r="A1280" s="75" t="s">
        <v>618</v>
      </c>
      <c r="B1280" s="79">
        <v>46085</v>
      </c>
      <c r="C1280" s="75"/>
      <c r="D1280" s="75"/>
      <c r="E1280" s="75"/>
      <c r="F1280" s="75">
        <v>20307</v>
      </c>
      <c r="G1280" s="76" t="str">
        <f>VLOOKUP(Tabelle2[[#This Row],[Kunden Nr.]],KUNDEN!A:B,2,0)</f>
        <v>CONDOR</v>
      </c>
      <c r="H1280" s="75">
        <v>35115</v>
      </c>
      <c r="I1280" s="76" t="str">
        <f>VLOOKUP(Tabelle2[[#This Row],[Artikel]],Produkte!A:B,2,0)</f>
        <v>M-ONE Sanitar Silikon</v>
      </c>
      <c r="J1280" s="75">
        <v>12</v>
      </c>
      <c r="K1280" s="76" t="str">
        <f>VLOOKUP(Tabelle2[[#This Row],[Kunden Nr.]],KUNDEN!A:G,7)</f>
        <v>Mensuri</v>
      </c>
      <c r="L1280" s="76">
        <f>VLOOKUP(Tabelle2[[#This Row],[Artikel]],Produkte!A:H,8)</f>
        <v>0.17</v>
      </c>
    </row>
    <row r="1281" spans="1:12" x14ac:dyDescent="0.2">
      <c r="A1281" s="75" t="s">
        <v>618</v>
      </c>
      <c r="B1281" s="79">
        <v>46085</v>
      </c>
      <c r="C1281" s="75"/>
      <c r="D1281" s="75"/>
      <c r="E1281" s="75"/>
      <c r="F1281" s="75">
        <v>20307</v>
      </c>
      <c r="G1281" s="76" t="str">
        <f>VLOOKUP(Tabelle2[[#This Row],[Kunden Nr.]],KUNDEN!A:B,2,0)</f>
        <v>CONDOR</v>
      </c>
      <c r="H1281" s="75">
        <v>51612</v>
      </c>
      <c r="I1281" s="76" t="str">
        <f>VLOOKUP(Tabelle2[[#This Row],[Artikel]],Produkte!A:B,2,0)</f>
        <v>struktural akryl</v>
      </c>
      <c r="J1281" s="75">
        <v>12</v>
      </c>
      <c r="K1281" s="76" t="str">
        <f>VLOOKUP(Tabelle2[[#This Row],[Kunden Nr.]],KUNDEN!A:G,7)</f>
        <v>Mensuri</v>
      </c>
      <c r="L1281" s="76">
        <f>VLOOKUP(Tabelle2[[#This Row],[Artikel]],Produkte!A:H,8)</f>
        <v>0.06</v>
      </c>
    </row>
    <row r="1282" spans="1:12" x14ac:dyDescent="0.2">
      <c r="A1282" s="75" t="s">
        <v>618</v>
      </c>
      <c r="B1282" s="79">
        <v>46085</v>
      </c>
      <c r="C1282" s="75"/>
      <c r="D1282" s="75"/>
      <c r="E1282" s="75"/>
      <c r="F1282" s="75">
        <v>20307</v>
      </c>
      <c r="G1282" s="76" t="str">
        <f>VLOOKUP(Tabelle2[[#This Row],[Kunden Nr.]],KUNDEN!A:B,2,0)</f>
        <v>CONDOR</v>
      </c>
      <c r="H1282" s="75">
        <v>54412</v>
      </c>
      <c r="I1282" s="76" t="str">
        <f>VLOOKUP(Tabelle2[[#This Row],[Artikel]],Produkte!A:B,2,0)</f>
        <v>beMAKER Bremsen&amp;Teile Reininger</v>
      </c>
      <c r="J1282" s="75">
        <v>12</v>
      </c>
      <c r="K1282" s="76" t="str">
        <f>VLOOKUP(Tabelle2[[#This Row],[Kunden Nr.]],KUNDEN!A:G,7)</f>
        <v>Mensuri</v>
      </c>
      <c r="L1282" s="76">
        <f>VLOOKUP(Tabelle2[[#This Row],[Artikel]],Produkte!A:H,8)</f>
        <v>0.2</v>
      </c>
    </row>
    <row r="1283" spans="1:12" x14ac:dyDescent="0.2">
      <c r="A1283" s="75" t="s">
        <v>618</v>
      </c>
      <c r="B1283" s="79">
        <v>46085</v>
      </c>
      <c r="C1283" s="75"/>
      <c r="D1283" s="75"/>
      <c r="E1283" s="75"/>
      <c r="F1283" s="75">
        <v>20307</v>
      </c>
      <c r="G1283" s="76" t="str">
        <f>VLOOKUP(Tabelle2[[#This Row],[Kunden Nr.]],KUNDEN!A:B,2,0)</f>
        <v>CONDOR</v>
      </c>
      <c r="H1283" s="75">
        <v>50912</v>
      </c>
      <c r="I1283" s="76" t="str">
        <f>VLOOKUP(Tabelle2[[#This Row],[Artikel]],Produkte!A:B,2,0)</f>
        <v>DICHTUNG</v>
      </c>
      <c r="J1283" s="75">
        <v>4</v>
      </c>
      <c r="K1283" s="76" t="str">
        <f>VLOOKUP(Tabelle2[[#This Row],[Kunden Nr.]],KUNDEN!A:G,7)</f>
        <v>Mensuri</v>
      </c>
      <c r="L1283" s="76">
        <f>VLOOKUP(Tabelle2[[#This Row],[Artikel]],Produkte!A:H,8)</f>
        <v>0.2</v>
      </c>
    </row>
    <row r="1284" spans="1:12" x14ac:dyDescent="0.2">
      <c r="A1284" s="75" t="s">
        <v>1252</v>
      </c>
      <c r="B1284" s="79">
        <v>46085</v>
      </c>
      <c r="C1284" s="89">
        <v>231</v>
      </c>
      <c r="D1284" s="75"/>
      <c r="E1284" s="75"/>
      <c r="F1284" s="75">
        <v>20331</v>
      </c>
      <c r="G1284" s="76" t="str">
        <f>VLOOKUP(Tabelle2[[#This Row],[Kunden Nr.]],KUNDEN!A:B,2,0)</f>
        <v>BARDHI-M</v>
      </c>
      <c r="H1284" s="75">
        <v>35121</v>
      </c>
      <c r="I1284" s="76" t="str">
        <f>VLOOKUP(Tabelle2[[#This Row],[Artikel]],Produkte!A:B,2,0)</f>
        <v>M-ONE Sanitar Silikon</v>
      </c>
      <c r="J1284" s="75">
        <v>24</v>
      </c>
      <c r="K1284" s="76" t="str">
        <f>VLOOKUP(Tabelle2[[#This Row],[Kunden Nr.]],KUNDEN!A:G,7)</f>
        <v>Mensuri</v>
      </c>
      <c r="L1284" s="76">
        <f>VLOOKUP(Tabelle2[[#This Row],[Artikel]],Produkte!A:H,8)</f>
        <v>0.17</v>
      </c>
    </row>
    <row r="1285" spans="1:12" x14ac:dyDescent="0.2">
      <c r="A1285" s="75" t="s">
        <v>1252</v>
      </c>
      <c r="B1285" s="79">
        <v>46085</v>
      </c>
      <c r="C1285" s="75"/>
      <c r="D1285" s="75"/>
      <c r="E1285" s="75"/>
      <c r="F1285" s="75">
        <v>20331</v>
      </c>
      <c r="G1285" s="76" t="str">
        <f>VLOOKUP(Tabelle2[[#This Row],[Kunden Nr.]],KUNDEN!A:B,2,0)</f>
        <v>BARDHI-M</v>
      </c>
      <c r="H1285" s="75">
        <v>35108</v>
      </c>
      <c r="I1285" s="76" t="str">
        <f>VLOOKUP(Tabelle2[[#This Row],[Artikel]],Produkte!A:B,2,0)</f>
        <v>M-ONE Sanitar Silikon</v>
      </c>
      <c r="J1285" s="75">
        <v>12</v>
      </c>
      <c r="K1285" s="76" t="str">
        <f>VLOOKUP(Tabelle2[[#This Row],[Kunden Nr.]],KUNDEN!A:G,7)</f>
        <v>Mensuri</v>
      </c>
      <c r="L1285" s="76">
        <f>VLOOKUP(Tabelle2[[#This Row],[Artikel]],Produkte!A:H,8)</f>
        <v>0.17</v>
      </c>
    </row>
    <row r="1286" spans="1:12" x14ac:dyDescent="0.2">
      <c r="A1286" s="75" t="s">
        <v>1252</v>
      </c>
      <c r="B1286" s="79">
        <v>46085</v>
      </c>
      <c r="C1286" s="75"/>
      <c r="D1286" s="75"/>
      <c r="E1286" s="75"/>
      <c r="F1286" s="75">
        <v>20331</v>
      </c>
      <c r="G1286" s="76" t="str">
        <f>VLOOKUP(Tabelle2[[#This Row],[Kunden Nr.]],KUNDEN!A:B,2,0)</f>
        <v>BARDHI-M</v>
      </c>
      <c r="H1286" s="75">
        <v>35109</v>
      </c>
      <c r="I1286" s="76" t="str">
        <f>VLOOKUP(Tabelle2[[#This Row],[Artikel]],Produkte!A:B,2,0)</f>
        <v>M-ONE Sanitar Silikon</v>
      </c>
      <c r="J1286" s="75">
        <v>12</v>
      </c>
      <c r="K1286" s="76" t="str">
        <f>VLOOKUP(Tabelle2[[#This Row],[Kunden Nr.]],KUNDEN!A:G,7)</f>
        <v>Mensuri</v>
      </c>
      <c r="L1286" s="76">
        <f>VLOOKUP(Tabelle2[[#This Row],[Artikel]],Produkte!A:H,8)</f>
        <v>0.17</v>
      </c>
    </row>
    <row r="1287" spans="1:12" x14ac:dyDescent="0.2">
      <c r="A1287" s="75" t="s">
        <v>1252</v>
      </c>
      <c r="B1287" s="79">
        <v>46085</v>
      </c>
      <c r="C1287" s="75"/>
      <c r="D1287" s="75"/>
      <c r="E1287" s="75"/>
      <c r="F1287" s="75">
        <v>20331</v>
      </c>
      <c r="G1287" s="76" t="str">
        <f>VLOOKUP(Tabelle2[[#This Row],[Kunden Nr.]],KUNDEN!A:B,2,0)</f>
        <v>BARDHI-M</v>
      </c>
      <c r="H1287" s="75">
        <v>35115</v>
      </c>
      <c r="I1287" s="76" t="str">
        <f>VLOOKUP(Tabelle2[[#This Row],[Artikel]],Produkte!A:B,2,0)</f>
        <v>M-ONE Sanitar Silikon</v>
      </c>
      <c r="J1287" s="75">
        <v>12</v>
      </c>
      <c r="K1287" s="76" t="str">
        <f>VLOOKUP(Tabelle2[[#This Row],[Kunden Nr.]],KUNDEN!A:G,7)</f>
        <v>Mensuri</v>
      </c>
      <c r="L1287" s="76">
        <f>VLOOKUP(Tabelle2[[#This Row],[Artikel]],Produkte!A:H,8)</f>
        <v>0.17</v>
      </c>
    </row>
    <row r="1288" spans="1:12" x14ac:dyDescent="0.2">
      <c r="A1288" s="75" t="s">
        <v>1307</v>
      </c>
      <c r="B1288" s="79">
        <v>46085</v>
      </c>
      <c r="C1288" s="89">
        <v>147.6</v>
      </c>
      <c r="D1288" s="75"/>
      <c r="E1288" s="75"/>
      <c r="F1288" s="75">
        <v>20321</v>
      </c>
      <c r="G1288" s="76" t="str">
        <f>VLOOKUP(Tabelle2[[#This Row],[Kunden Nr.]],KUNDEN!A:B,2,0)</f>
        <v>BEREQETI</v>
      </c>
      <c r="H1288" s="75">
        <v>35121</v>
      </c>
      <c r="I1288" s="76" t="str">
        <f>VLOOKUP(Tabelle2[[#This Row],[Artikel]],Produkte!A:B,2,0)</f>
        <v>M-ONE Sanitar Silikon</v>
      </c>
      <c r="J1288" s="75">
        <v>24</v>
      </c>
      <c r="K1288" s="76" t="str">
        <f>VLOOKUP(Tabelle2[[#This Row],[Kunden Nr.]],KUNDEN!A:G,7)</f>
        <v>Mensuri</v>
      </c>
      <c r="L1288" s="76">
        <f>VLOOKUP(Tabelle2[[#This Row],[Artikel]],Produkte!A:H,8)</f>
        <v>0.17</v>
      </c>
    </row>
    <row r="1289" spans="1:12" x14ac:dyDescent="0.2">
      <c r="A1289" s="75" t="s">
        <v>1307</v>
      </c>
      <c r="B1289" s="79">
        <v>46085</v>
      </c>
      <c r="C1289" s="75"/>
      <c r="D1289" s="75"/>
      <c r="E1289" s="75"/>
      <c r="F1289" s="75">
        <v>20321</v>
      </c>
      <c r="G1289" s="76" t="str">
        <f>VLOOKUP(Tabelle2[[#This Row],[Kunden Nr.]],KUNDEN!A:B,2,0)</f>
        <v>BEREQETI</v>
      </c>
      <c r="H1289" s="75">
        <v>51612</v>
      </c>
      <c r="I1289" s="76" t="str">
        <f>VLOOKUP(Tabelle2[[#This Row],[Artikel]],Produkte!A:B,2,0)</f>
        <v>struktural akryl</v>
      </c>
      <c r="J1289" s="75">
        <v>24</v>
      </c>
      <c r="K1289" s="76" t="str">
        <f>VLOOKUP(Tabelle2[[#This Row],[Kunden Nr.]],KUNDEN!A:G,7)</f>
        <v>Mensuri</v>
      </c>
      <c r="L1289" s="76">
        <f>VLOOKUP(Tabelle2[[#This Row],[Artikel]],Produkte!A:H,8)</f>
        <v>0.06</v>
      </c>
    </row>
    <row r="1290" spans="1:12" x14ac:dyDescent="0.2">
      <c r="A1290" s="75" t="s">
        <v>907</v>
      </c>
      <c r="B1290" s="79">
        <v>46085</v>
      </c>
      <c r="C1290" s="89">
        <v>193.8</v>
      </c>
      <c r="D1290" s="75"/>
      <c r="E1290" s="75"/>
      <c r="F1290" s="75">
        <v>20322</v>
      </c>
      <c r="G1290" s="76" t="str">
        <f>VLOOKUP(Tabelle2[[#This Row],[Kunden Nr.]],KUNDEN!A:B,2,0)</f>
        <v>HYSENAJ</v>
      </c>
      <c r="H1290" s="75">
        <v>35109</v>
      </c>
      <c r="I1290" s="76" t="str">
        <f>VLOOKUP(Tabelle2[[#This Row],[Artikel]],Produkte!A:B,2,0)</f>
        <v>M-ONE Sanitar Silikon</v>
      </c>
      <c r="J1290" s="75">
        <v>24</v>
      </c>
      <c r="K1290" s="76" t="str">
        <f>VLOOKUP(Tabelle2[[#This Row],[Kunden Nr.]],KUNDEN!A:G,7)</f>
        <v>Mensuri</v>
      </c>
      <c r="L1290" s="76">
        <f>VLOOKUP(Tabelle2[[#This Row],[Artikel]],Produkte!A:H,8)</f>
        <v>0.17</v>
      </c>
    </row>
    <row r="1291" spans="1:12" x14ac:dyDescent="0.2">
      <c r="A1291" s="75" t="s">
        <v>907</v>
      </c>
      <c r="B1291" s="79">
        <v>46085</v>
      </c>
      <c r="C1291" s="75"/>
      <c r="D1291" s="75"/>
      <c r="E1291" s="75"/>
      <c r="F1291" s="75">
        <v>20322</v>
      </c>
      <c r="G1291" s="76" t="str">
        <f>VLOOKUP(Tabelle2[[#This Row],[Kunden Nr.]],KUNDEN!A:B,2,0)</f>
        <v>HYSENAJ</v>
      </c>
      <c r="H1291" s="75">
        <v>35111</v>
      </c>
      <c r="I1291" s="76" t="str">
        <f>VLOOKUP(Tabelle2[[#This Row],[Artikel]],Produkte!A:B,2,0)</f>
        <v>M-ONE Sanitar Silikon</v>
      </c>
      <c r="J1291" s="75">
        <v>12</v>
      </c>
      <c r="K1291" s="76" t="str">
        <f>VLOOKUP(Tabelle2[[#This Row],[Kunden Nr.]],KUNDEN!A:G,7)</f>
        <v>Mensuri</v>
      </c>
      <c r="L1291" s="76">
        <f>VLOOKUP(Tabelle2[[#This Row],[Artikel]],Produkte!A:H,8)</f>
        <v>0.17</v>
      </c>
    </row>
    <row r="1292" spans="1:12" x14ac:dyDescent="0.2">
      <c r="A1292" s="75" t="s">
        <v>907</v>
      </c>
      <c r="B1292" s="79">
        <v>46085</v>
      </c>
      <c r="C1292" s="75"/>
      <c r="D1292" s="75"/>
      <c r="E1292" s="75"/>
      <c r="F1292" s="75">
        <v>20322</v>
      </c>
      <c r="G1292" s="76" t="str">
        <f>VLOOKUP(Tabelle2[[#This Row],[Kunden Nr.]],KUNDEN!A:B,2,0)</f>
        <v>HYSENAJ</v>
      </c>
      <c r="H1292" s="75">
        <v>51612</v>
      </c>
      <c r="I1292" s="76" t="str">
        <f>VLOOKUP(Tabelle2[[#This Row],[Artikel]],Produkte!A:B,2,0)</f>
        <v>struktural akryl</v>
      </c>
      <c r="J1292" s="75">
        <v>24</v>
      </c>
      <c r="K1292" s="76" t="str">
        <f>VLOOKUP(Tabelle2[[#This Row],[Kunden Nr.]],KUNDEN!A:G,7)</f>
        <v>Mensuri</v>
      </c>
      <c r="L1292" s="76">
        <f>VLOOKUP(Tabelle2[[#This Row],[Artikel]],Produkte!A:H,8)</f>
        <v>0.06</v>
      </c>
    </row>
    <row r="1293" spans="1:12" x14ac:dyDescent="0.2">
      <c r="A1293" s="75" t="s">
        <v>558</v>
      </c>
      <c r="B1293" s="79">
        <v>46086</v>
      </c>
      <c r="C1293" s="89">
        <v>184.8</v>
      </c>
      <c r="D1293" s="75"/>
      <c r="E1293" s="75"/>
      <c r="F1293" s="75">
        <v>10418</v>
      </c>
      <c r="G1293" s="76" t="str">
        <f>VLOOKUP(Tabelle2[[#This Row],[Kunden Nr.]],KUNDEN!A:B,2,0)</f>
        <v>NDRIQIMI</v>
      </c>
      <c r="H1293" s="75">
        <v>35110</v>
      </c>
      <c r="I1293" s="76" t="str">
        <f>VLOOKUP(Tabelle2[[#This Row],[Artikel]],Produkte!A:B,2,0)</f>
        <v>M-ONE Sanitar Silikon</v>
      </c>
      <c r="J1293" s="75">
        <v>24</v>
      </c>
      <c r="K1293" s="76" t="str">
        <f>VLOOKUP(Tabelle2[[#This Row],[Kunden Nr.]],KUNDEN!A:G,7)</f>
        <v>Qerimi</v>
      </c>
      <c r="L1293" s="76">
        <f>VLOOKUP(Tabelle2[[#This Row],[Artikel]],Produkte!A:H,8)</f>
        <v>0.17</v>
      </c>
    </row>
    <row r="1294" spans="1:12" x14ac:dyDescent="0.2">
      <c r="A1294" s="75" t="s">
        <v>558</v>
      </c>
      <c r="B1294" s="79">
        <v>46086</v>
      </c>
      <c r="C1294" s="75"/>
      <c r="D1294" s="75"/>
      <c r="E1294" s="75"/>
      <c r="F1294" s="75">
        <v>10418</v>
      </c>
      <c r="G1294" s="76" t="str">
        <f>VLOOKUP(Tabelle2[[#This Row],[Kunden Nr.]],KUNDEN!A:B,2,0)</f>
        <v>NDRIQIMI</v>
      </c>
      <c r="H1294" s="75">
        <v>35128</v>
      </c>
      <c r="I1294" s="76" t="str">
        <f>VLOOKUP(Tabelle2[[#This Row],[Artikel]],Produkte!A:B,2,0)</f>
        <v>M-ONE Sanitar Silikon</v>
      </c>
      <c r="J1294" s="75">
        <v>24</v>
      </c>
      <c r="K1294" s="76" t="str">
        <f>VLOOKUP(Tabelle2[[#This Row],[Kunden Nr.]],KUNDEN!A:G,7)</f>
        <v>Qerimi</v>
      </c>
      <c r="L1294" s="76">
        <f>VLOOKUP(Tabelle2[[#This Row],[Artikel]],Produkte!A:H,8)</f>
        <v>0.17</v>
      </c>
    </row>
    <row r="1295" spans="1:12" x14ac:dyDescent="0.2">
      <c r="A1295" s="75" t="s">
        <v>553</v>
      </c>
      <c r="B1295" s="79">
        <v>46086</v>
      </c>
      <c r="C1295" s="89">
        <v>67.2</v>
      </c>
      <c r="D1295" s="75"/>
      <c r="E1295" s="75"/>
      <c r="F1295" s="75">
        <v>10413</v>
      </c>
      <c r="G1295" s="76" t="str">
        <f>VLOOKUP(Tabelle2[[#This Row],[Kunden Nr.]],KUNDEN!A:B,2,0)</f>
        <v>UNIVERZAL</v>
      </c>
      <c r="H1295" s="75">
        <v>35115</v>
      </c>
      <c r="I1295" s="76" t="str">
        <f>VLOOKUP(Tabelle2[[#This Row],[Artikel]],Produkte!A:B,2,0)</f>
        <v>M-ONE Sanitar Silikon</v>
      </c>
      <c r="J1295" s="75">
        <v>12</v>
      </c>
      <c r="K1295" s="76" t="str">
        <f>VLOOKUP(Tabelle2[[#This Row],[Kunden Nr.]],KUNDEN!A:G,7)</f>
        <v>Qerimi</v>
      </c>
      <c r="L1295" s="76">
        <f>VLOOKUP(Tabelle2[[#This Row],[Artikel]],Produkte!A:H,8)</f>
        <v>0.17</v>
      </c>
    </row>
    <row r="1296" spans="1:12" x14ac:dyDescent="0.2">
      <c r="A1296" s="75" t="s">
        <v>553</v>
      </c>
      <c r="B1296" s="79">
        <v>46086</v>
      </c>
      <c r="C1296" s="75"/>
      <c r="D1296" s="75"/>
      <c r="E1296" s="75"/>
      <c r="F1296" s="75">
        <v>10413</v>
      </c>
      <c r="G1296" s="76" t="str">
        <f>VLOOKUP(Tabelle2[[#This Row],[Kunden Nr.]],KUNDEN!A:B,2,0)</f>
        <v>UNIVERZAL</v>
      </c>
      <c r="H1296" s="75">
        <v>44001</v>
      </c>
      <c r="I1296" s="76" t="str">
        <f>VLOOKUP(Tabelle2[[#This Row],[Artikel]],Produkte!A:B,2,0)</f>
        <v>Fettspray</v>
      </c>
      <c r="J1296" s="75">
        <v>6</v>
      </c>
      <c r="K1296" s="76" t="str">
        <f>VLOOKUP(Tabelle2[[#This Row],[Kunden Nr.]],KUNDEN!A:G,7)</f>
        <v>Qerimi</v>
      </c>
      <c r="L1296" s="76">
        <f>VLOOKUP(Tabelle2[[#This Row],[Artikel]],Produkte!A:H,8)</f>
        <v>0.2</v>
      </c>
    </row>
    <row r="1297" spans="1:12" x14ac:dyDescent="0.2">
      <c r="A1297" s="75" t="s">
        <v>550</v>
      </c>
      <c r="B1297" s="79">
        <v>46086</v>
      </c>
      <c r="C1297" s="89">
        <v>184.8</v>
      </c>
      <c r="D1297" s="75"/>
      <c r="E1297" s="75"/>
      <c r="F1297" s="75">
        <v>10410</v>
      </c>
      <c r="G1297" s="76" t="str">
        <f>VLOOKUP(Tabelle2[[#This Row],[Kunden Nr.]],KUNDEN!A:B,2,0)</f>
        <v>GRANITI</v>
      </c>
      <c r="H1297" s="75">
        <v>35114</v>
      </c>
      <c r="I1297" s="76" t="str">
        <f>VLOOKUP(Tabelle2[[#This Row],[Artikel]],Produkte!A:B,2,0)</f>
        <v>M-ONE Sanitar Silikon</v>
      </c>
      <c r="J1297" s="75">
        <v>12</v>
      </c>
      <c r="K1297" s="76" t="str">
        <f>VLOOKUP(Tabelle2[[#This Row],[Kunden Nr.]],KUNDEN!A:G,7)</f>
        <v>Qerimi</v>
      </c>
      <c r="L1297" s="76">
        <f>VLOOKUP(Tabelle2[[#This Row],[Artikel]],Produkte!A:H,8)</f>
        <v>0.17</v>
      </c>
    </row>
    <row r="1298" spans="1:12" x14ac:dyDescent="0.2">
      <c r="A1298" s="75" t="s">
        <v>550</v>
      </c>
      <c r="B1298" s="79">
        <v>46086</v>
      </c>
      <c r="C1298" s="75"/>
      <c r="D1298" s="75"/>
      <c r="E1298" s="75"/>
      <c r="F1298" s="75">
        <v>10410</v>
      </c>
      <c r="G1298" s="76" t="str">
        <f>VLOOKUP(Tabelle2[[#This Row],[Kunden Nr.]],KUNDEN!A:B,2,0)</f>
        <v>GRANITI</v>
      </c>
      <c r="H1298" s="75">
        <v>35115</v>
      </c>
      <c r="I1298" s="76" t="str">
        <f>VLOOKUP(Tabelle2[[#This Row],[Artikel]],Produkte!A:B,2,0)</f>
        <v>M-ONE Sanitar Silikon</v>
      </c>
      <c r="J1298" s="75">
        <v>12</v>
      </c>
      <c r="K1298" s="76" t="str">
        <f>VLOOKUP(Tabelle2[[#This Row],[Kunden Nr.]],KUNDEN!A:G,7)</f>
        <v>Qerimi</v>
      </c>
      <c r="L1298" s="76">
        <f>VLOOKUP(Tabelle2[[#This Row],[Artikel]],Produkte!A:H,8)</f>
        <v>0.17</v>
      </c>
    </row>
    <row r="1299" spans="1:12" x14ac:dyDescent="0.2">
      <c r="A1299" s="75" t="s">
        <v>550</v>
      </c>
      <c r="B1299" s="79">
        <v>46086</v>
      </c>
      <c r="C1299" s="75"/>
      <c r="D1299" s="75"/>
      <c r="E1299" s="75"/>
      <c r="F1299" s="75">
        <v>10410</v>
      </c>
      <c r="G1299" s="76" t="str">
        <f>VLOOKUP(Tabelle2[[#This Row],[Kunden Nr.]],KUNDEN!A:B,2,0)</f>
        <v>GRANITI</v>
      </c>
      <c r="H1299" s="75">
        <v>35121</v>
      </c>
      <c r="I1299" s="76" t="str">
        <f>VLOOKUP(Tabelle2[[#This Row],[Artikel]],Produkte!A:B,2,0)</f>
        <v>M-ONE Sanitar Silikon</v>
      </c>
      <c r="J1299" s="75">
        <v>12</v>
      </c>
      <c r="K1299" s="76" t="str">
        <f>VLOOKUP(Tabelle2[[#This Row],[Kunden Nr.]],KUNDEN!A:G,7)</f>
        <v>Qerimi</v>
      </c>
      <c r="L1299" s="76">
        <f>VLOOKUP(Tabelle2[[#This Row],[Artikel]],Produkte!A:H,8)</f>
        <v>0.17</v>
      </c>
    </row>
    <row r="1300" spans="1:12" x14ac:dyDescent="0.2">
      <c r="A1300" s="75" t="s">
        <v>550</v>
      </c>
      <c r="B1300" s="79">
        <v>46086</v>
      </c>
      <c r="C1300" s="75"/>
      <c r="D1300" s="75"/>
      <c r="E1300" s="75"/>
      <c r="F1300" s="75">
        <v>10410</v>
      </c>
      <c r="G1300" s="76" t="str">
        <f>VLOOKUP(Tabelle2[[#This Row],[Kunden Nr.]],KUNDEN!A:B,2,0)</f>
        <v>GRANITI</v>
      </c>
      <c r="H1300" s="75">
        <v>35128</v>
      </c>
      <c r="I1300" s="76" t="str">
        <f>VLOOKUP(Tabelle2[[#This Row],[Artikel]],Produkte!A:B,2,0)</f>
        <v>M-ONE Sanitar Silikon</v>
      </c>
      <c r="J1300" s="75">
        <v>12</v>
      </c>
      <c r="K1300" s="76" t="str">
        <f>VLOOKUP(Tabelle2[[#This Row],[Kunden Nr.]],KUNDEN!A:G,7)</f>
        <v>Qerimi</v>
      </c>
      <c r="L1300" s="76">
        <f>VLOOKUP(Tabelle2[[#This Row],[Artikel]],Produkte!A:H,8)</f>
        <v>0.17</v>
      </c>
    </row>
    <row r="1301" spans="1:12" x14ac:dyDescent="0.2">
      <c r="A1301" s="75" t="s">
        <v>903</v>
      </c>
      <c r="B1301" s="79">
        <v>46086</v>
      </c>
      <c r="C1301" s="89">
        <v>92.4</v>
      </c>
      <c r="D1301" s="75"/>
      <c r="E1301" s="75"/>
      <c r="F1301" s="75">
        <v>10428</v>
      </c>
      <c r="G1301" s="76" t="str">
        <f>VLOOKUP(Tabelle2[[#This Row],[Kunden Nr.]],KUNDEN!A:B,2,0)</f>
        <v>ENISI - H</v>
      </c>
      <c r="H1301" s="75">
        <v>35111</v>
      </c>
      <c r="I1301" s="76" t="str">
        <f>VLOOKUP(Tabelle2[[#This Row],[Artikel]],Produkte!A:B,2,0)</f>
        <v>M-ONE Sanitar Silikon</v>
      </c>
      <c r="J1301" s="75">
        <v>12</v>
      </c>
      <c r="K1301" s="76" t="str">
        <f>VLOOKUP(Tabelle2[[#This Row],[Kunden Nr.]],KUNDEN!A:G,7)</f>
        <v>Qerimi</v>
      </c>
      <c r="L1301" s="76">
        <f>VLOOKUP(Tabelle2[[#This Row],[Artikel]],Produkte!A:H,8)</f>
        <v>0.17</v>
      </c>
    </row>
    <row r="1302" spans="1:12" x14ac:dyDescent="0.2">
      <c r="A1302" s="75" t="s">
        <v>903</v>
      </c>
      <c r="B1302" s="79">
        <v>46086</v>
      </c>
      <c r="C1302" s="75"/>
      <c r="D1302" s="75"/>
      <c r="E1302" s="75"/>
      <c r="F1302" s="75">
        <v>10428</v>
      </c>
      <c r="G1302" s="76" t="str">
        <f>VLOOKUP(Tabelle2[[#This Row],[Kunden Nr.]],KUNDEN!A:B,2,0)</f>
        <v>ENISI - H</v>
      </c>
      <c r="H1302" s="75">
        <v>35128</v>
      </c>
      <c r="I1302" s="76" t="str">
        <f>VLOOKUP(Tabelle2[[#This Row],[Artikel]],Produkte!A:B,2,0)</f>
        <v>M-ONE Sanitar Silikon</v>
      </c>
      <c r="J1302" s="75">
        <v>12</v>
      </c>
      <c r="K1302" s="76" t="str">
        <f>VLOOKUP(Tabelle2[[#This Row],[Kunden Nr.]],KUNDEN!A:G,7)</f>
        <v>Qerimi</v>
      </c>
      <c r="L1302" s="76">
        <f>VLOOKUP(Tabelle2[[#This Row],[Artikel]],Produkte!A:H,8)</f>
        <v>0.17</v>
      </c>
    </row>
    <row r="1303" spans="1:12" x14ac:dyDescent="0.2">
      <c r="A1303" s="75" t="s">
        <v>1215</v>
      </c>
      <c r="B1303" s="79">
        <v>46086</v>
      </c>
      <c r="C1303" s="89">
        <v>46.2</v>
      </c>
      <c r="D1303" s="75"/>
      <c r="E1303" s="75"/>
      <c r="F1303" s="75">
        <v>10429</v>
      </c>
      <c r="G1303" s="76" t="str">
        <f>VLOOKUP(Tabelle2[[#This Row],[Kunden Nr.]],KUNDEN!A:B,2,0)</f>
        <v>SAN KOS</v>
      </c>
      <c r="H1303" s="75">
        <v>35109</v>
      </c>
      <c r="I1303" s="76" t="str">
        <f>VLOOKUP(Tabelle2[[#This Row],[Artikel]],Produkte!A:B,2,0)</f>
        <v>M-ONE Sanitar Silikon</v>
      </c>
      <c r="J1303" s="75">
        <v>12</v>
      </c>
      <c r="K1303" s="76" t="str">
        <f>VLOOKUP(Tabelle2[[#This Row],[Kunden Nr.]],KUNDEN!A:G,7)</f>
        <v>Qerimi</v>
      </c>
      <c r="L1303" s="76">
        <f>VLOOKUP(Tabelle2[[#This Row],[Artikel]],Produkte!A:H,8)</f>
        <v>0.17</v>
      </c>
    </row>
    <row r="1304" spans="1:12" x14ac:dyDescent="0.2">
      <c r="A1304" s="75" t="s">
        <v>486</v>
      </c>
      <c r="B1304" s="79">
        <v>46087</v>
      </c>
      <c r="C1304" s="89">
        <v>46.2</v>
      </c>
      <c r="D1304" s="75"/>
      <c r="E1304" s="75"/>
      <c r="F1304" s="75">
        <v>10506</v>
      </c>
      <c r="G1304" s="76" t="str">
        <f>VLOOKUP(Tabelle2[[#This Row],[Kunden Nr.]],KUNDEN!A:B,2,0)</f>
        <v>ARBERI</v>
      </c>
      <c r="H1304" s="75">
        <v>35109</v>
      </c>
      <c r="I1304" s="76" t="str">
        <f>VLOOKUP(Tabelle2[[#This Row],[Artikel]],Produkte!A:B,2,0)</f>
        <v>M-ONE Sanitar Silikon</v>
      </c>
      <c r="J1304" s="75">
        <v>12</v>
      </c>
      <c r="K1304" s="76" t="str">
        <f>VLOOKUP(Tabelle2[[#This Row],[Kunden Nr.]],KUNDEN!A:G,7)</f>
        <v>Qerimi</v>
      </c>
      <c r="L1304" s="76">
        <f>VLOOKUP(Tabelle2[[#This Row],[Artikel]],Produkte!A:H,8)</f>
        <v>0.17</v>
      </c>
    </row>
    <row r="1305" spans="1:12" x14ac:dyDescent="0.2">
      <c r="A1305" s="75" t="s">
        <v>484</v>
      </c>
      <c r="B1305" s="79">
        <v>46087</v>
      </c>
      <c r="C1305" s="89">
        <v>92.4</v>
      </c>
      <c r="D1305" s="75"/>
      <c r="E1305" s="75"/>
      <c r="F1305" s="75">
        <v>10504</v>
      </c>
      <c r="G1305" s="76" t="str">
        <f>VLOOKUP(Tabelle2[[#This Row],[Kunden Nr.]],KUNDEN!A:B,2,0)</f>
        <v>CARRALEVA 1</v>
      </c>
      <c r="H1305" s="75">
        <v>35113</v>
      </c>
      <c r="I1305" s="76" t="str">
        <f>VLOOKUP(Tabelle2[[#This Row],[Artikel]],Produkte!A:B,2,0)</f>
        <v>M-ONE Sanitar Silikon</v>
      </c>
      <c r="J1305" s="75">
        <v>12</v>
      </c>
      <c r="K1305" s="76" t="str">
        <f>VLOOKUP(Tabelle2[[#This Row],[Kunden Nr.]],KUNDEN!A:G,7)</f>
        <v>Qerimi</v>
      </c>
      <c r="L1305" s="76">
        <f>VLOOKUP(Tabelle2[[#This Row],[Artikel]],Produkte!A:H,8)</f>
        <v>0.17</v>
      </c>
    </row>
    <row r="1306" spans="1:12" x14ac:dyDescent="0.2">
      <c r="A1306" s="75" t="s">
        <v>484</v>
      </c>
      <c r="B1306" s="79">
        <v>46087</v>
      </c>
      <c r="C1306" s="75"/>
      <c r="D1306" s="75"/>
      <c r="E1306" s="75"/>
      <c r="F1306" s="75">
        <v>10504</v>
      </c>
      <c r="G1306" s="76" t="str">
        <f>VLOOKUP(Tabelle2[[#This Row],[Kunden Nr.]],KUNDEN!A:B,2,0)</f>
        <v>CARRALEVA 1</v>
      </c>
      <c r="H1306" s="75">
        <v>35128</v>
      </c>
      <c r="I1306" s="76" t="str">
        <f>VLOOKUP(Tabelle2[[#This Row],[Artikel]],Produkte!A:B,2,0)</f>
        <v>M-ONE Sanitar Silikon</v>
      </c>
      <c r="J1306" s="75">
        <v>12</v>
      </c>
      <c r="K1306" s="76" t="str">
        <f>VLOOKUP(Tabelle2[[#This Row],[Kunden Nr.]],KUNDEN!A:G,7)</f>
        <v>Qerimi</v>
      </c>
      <c r="L1306" s="76">
        <f>VLOOKUP(Tabelle2[[#This Row],[Artikel]],Produkte!A:H,8)</f>
        <v>0.17</v>
      </c>
    </row>
    <row r="1307" spans="1:12" x14ac:dyDescent="0.2">
      <c r="A1307" s="75" t="s">
        <v>1170</v>
      </c>
      <c r="B1307" s="79">
        <v>46087</v>
      </c>
      <c r="C1307" s="89">
        <v>46.2</v>
      </c>
      <c r="D1307" s="75"/>
      <c r="E1307" s="75"/>
      <c r="F1307" s="75">
        <v>10542</v>
      </c>
      <c r="G1307" s="76" t="str">
        <f>VLOOKUP(Tabelle2[[#This Row],[Kunden Nr.]],KUNDEN!A:B,2,0)</f>
        <v>LITA</v>
      </c>
      <c r="H1307" s="75">
        <v>35108</v>
      </c>
      <c r="I1307" s="76" t="str">
        <f>VLOOKUP(Tabelle2[[#This Row],[Artikel]],Produkte!A:B,2,0)</f>
        <v>M-ONE Sanitar Silikon</v>
      </c>
      <c r="J1307" s="75">
        <v>12</v>
      </c>
      <c r="K1307" s="76" t="str">
        <f>VLOOKUP(Tabelle2[[#This Row],[Kunden Nr.]],KUNDEN!A:G,7)</f>
        <v>Qerimi</v>
      </c>
      <c r="L1307" s="76">
        <f>VLOOKUP(Tabelle2[[#This Row],[Artikel]],Produkte!A:H,8)</f>
        <v>0.17</v>
      </c>
    </row>
    <row r="1308" spans="1:12" x14ac:dyDescent="0.2">
      <c r="A1308" s="75" t="s">
        <v>413</v>
      </c>
      <c r="B1308" s="79">
        <v>46087</v>
      </c>
      <c r="C1308" s="89">
        <v>184.8</v>
      </c>
      <c r="D1308" s="75"/>
      <c r="E1308" s="75"/>
      <c r="F1308" s="75">
        <v>10350</v>
      </c>
      <c r="G1308" s="76" t="str">
        <f>VLOOKUP(Tabelle2[[#This Row],[Kunden Nr.]],KUNDEN!A:B,2,0)</f>
        <v>BALLKANI</v>
      </c>
      <c r="H1308" s="75">
        <v>35113</v>
      </c>
      <c r="I1308" s="76" t="str">
        <f>VLOOKUP(Tabelle2[[#This Row],[Artikel]],Produkte!A:B,2,0)</f>
        <v>M-ONE Sanitar Silikon</v>
      </c>
      <c r="J1308" s="75">
        <v>24</v>
      </c>
      <c r="K1308" s="76" t="str">
        <f>VLOOKUP(Tabelle2[[#This Row],[Kunden Nr.]],KUNDEN!A:G,7)</f>
        <v>Qerimi</v>
      </c>
      <c r="L1308" s="76">
        <f>VLOOKUP(Tabelle2[[#This Row],[Artikel]],Produkte!A:H,8)</f>
        <v>0.17</v>
      </c>
    </row>
    <row r="1309" spans="1:12" x14ac:dyDescent="0.2">
      <c r="A1309" s="75" t="s">
        <v>413</v>
      </c>
      <c r="B1309" s="79">
        <v>46087</v>
      </c>
      <c r="C1309" s="75"/>
      <c r="D1309" s="75"/>
      <c r="E1309" s="75"/>
      <c r="F1309" s="75">
        <v>10350</v>
      </c>
      <c r="G1309" s="76" t="str">
        <f>VLOOKUP(Tabelle2[[#This Row],[Kunden Nr.]],KUNDEN!A:B,2,0)</f>
        <v>BALLKANI</v>
      </c>
      <c r="H1309" s="75">
        <v>35121</v>
      </c>
      <c r="I1309" s="76" t="str">
        <f>VLOOKUP(Tabelle2[[#This Row],[Artikel]],Produkte!A:B,2,0)</f>
        <v>M-ONE Sanitar Silikon</v>
      </c>
      <c r="J1309" s="75">
        <v>24</v>
      </c>
      <c r="K1309" s="76" t="str">
        <f>VLOOKUP(Tabelle2[[#This Row],[Kunden Nr.]],KUNDEN!A:G,7)</f>
        <v>Qerimi</v>
      </c>
      <c r="L1309" s="76">
        <f>VLOOKUP(Tabelle2[[#This Row],[Artikel]],Produkte!A:H,8)</f>
        <v>0.17</v>
      </c>
    </row>
    <row r="1310" spans="1:12" x14ac:dyDescent="0.2">
      <c r="A1310" s="75" t="s">
        <v>435</v>
      </c>
      <c r="B1310" s="79">
        <v>46087</v>
      </c>
      <c r="C1310" s="89">
        <v>50</v>
      </c>
      <c r="D1310" s="75"/>
      <c r="E1310" s="75"/>
      <c r="F1310" s="75">
        <v>10509</v>
      </c>
      <c r="G1310" s="76" t="str">
        <f>VLOOKUP(Tabelle2[[#This Row],[Kunden Nr.]],KUNDEN!A:B,2,0)</f>
        <v>LONI</v>
      </c>
      <c r="H1310" s="75">
        <v>50912</v>
      </c>
      <c r="I1310" s="76" t="str">
        <f>VLOOKUP(Tabelle2[[#This Row],[Artikel]],Produkte!A:B,2,0)</f>
        <v>DICHTUNG</v>
      </c>
      <c r="J1310" s="75">
        <v>5</v>
      </c>
      <c r="K1310" s="76" t="str">
        <f>VLOOKUP(Tabelle2[[#This Row],[Kunden Nr.]],KUNDEN!A:G,7)</f>
        <v>Qerimi</v>
      </c>
      <c r="L1310" s="76">
        <f>VLOOKUP(Tabelle2[[#This Row],[Artikel]],Produkte!A:H,8)</f>
        <v>0.2</v>
      </c>
    </row>
    <row r="1311" spans="1:12" x14ac:dyDescent="0.2">
      <c r="A1311" s="75" t="s">
        <v>435</v>
      </c>
      <c r="B1311" s="79">
        <v>46087</v>
      </c>
      <c r="C1311" s="75"/>
      <c r="D1311" s="75"/>
      <c r="E1311" s="75"/>
      <c r="F1311" s="75">
        <v>10509</v>
      </c>
      <c r="G1311" s="76" t="str">
        <f>VLOOKUP(Tabelle2[[#This Row],[Kunden Nr.]],KUNDEN!A:B,2,0)</f>
        <v>LONI</v>
      </c>
      <c r="H1311" s="75">
        <v>55718</v>
      </c>
      <c r="I1311" s="76" t="str">
        <f>VLOOKUP(Tabelle2[[#This Row],[Artikel]],Produkte!A:B,2,0)</f>
        <v>M ONE MOTORSTART</v>
      </c>
      <c r="J1311" s="75">
        <v>2</v>
      </c>
      <c r="K1311" s="76" t="str">
        <f>VLOOKUP(Tabelle2[[#This Row],[Kunden Nr.]],KUNDEN!A:G,7)</f>
        <v>Qerimi</v>
      </c>
      <c r="L1311" s="76">
        <f>VLOOKUP(Tabelle2[[#This Row],[Artikel]],Produkte!A:H,8)</f>
        <v>0.2</v>
      </c>
    </row>
    <row r="1312" spans="1:12" x14ac:dyDescent="0.2">
      <c r="A1312" s="75" t="s">
        <v>435</v>
      </c>
      <c r="B1312" s="79">
        <v>46087</v>
      </c>
      <c r="C1312" s="75"/>
      <c r="D1312" s="75"/>
      <c r="E1312" s="75"/>
      <c r="F1312" s="75">
        <v>10509</v>
      </c>
      <c r="G1312" s="76" t="str">
        <f>VLOOKUP(Tabelle2[[#This Row],[Kunden Nr.]],KUNDEN!A:B,2,0)</f>
        <v>LONI</v>
      </c>
      <c r="H1312" s="75">
        <v>44001</v>
      </c>
      <c r="I1312" s="76" t="str">
        <f>VLOOKUP(Tabelle2[[#This Row],[Artikel]],Produkte!A:B,2,0)</f>
        <v>Fettspray</v>
      </c>
      <c r="J1312" s="75">
        <v>2</v>
      </c>
      <c r="K1312" s="76" t="str">
        <f>VLOOKUP(Tabelle2[[#This Row],[Kunden Nr.]],KUNDEN!A:G,7)</f>
        <v>Qerimi</v>
      </c>
      <c r="L1312" s="76">
        <f>VLOOKUP(Tabelle2[[#This Row],[Artikel]],Produkte!A:H,8)</f>
        <v>0.2</v>
      </c>
    </row>
    <row r="1313" spans="1:12" x14ac:dyDescent="0.2">
      <c r="A1313" s="75" t="s">
        <v>487</v>
      </c>
      <c r="B1313" s="79">
        <v>46087</v>
      </c>
      <c r="C1313" s="89">
        <v>138.6</v>
      </c>
      <c r="D1313" s="75"/>
      <c r="E1313" s="75"/>
      <c r="F1313" s="75">
        <v>10507</v>
      </c>
      <c r="G1313" s="76" t="str">
        <f>VLOOKUP(Tabelle2[[#This Row],[Kunden Nr.]],KUNDEN!A:B,2,0)</f>
        <v>REAL COLOR 2</v>
      </c>
      <c r="H1313" s="75">
        <v>35113</v>
      </c>
      <c r="I1313" s="76" t="str">
        <f>VLOOKUP(Tabelle2[[#This Row],[Artikel]],Produkte!A:B,2,0)</f>
        <v>M-ONE Sanitar Silikon</v>
      </c>
      <c r="J1313" s="75">
        <v>12</v>
      </c>
      <c r="K1313" s="76" t="str">
        <f>VLOOKUP(Tabelle2[[#This Row],[Kunden Nr.]],KUNDEN!A:G,7)</f>
        <v>Qerimi</v>
      </c>
      <c r="L1313" s="76">
        <f>VLOOKUP(Tabelle2[[#This Row],[Artikel]],Produkte!A:H,8)</f>
        <v>0.17</v>
      </c>
    </row>
    <row r="1314" spans="1:12" x14ac:dyDescent="0.2">
      <c r="A1314" s="75" t="s">
        <v>487</v>
      </c>
      <c r="B1314" s="79">
        <v>46087</v>
      </c>
      <c r="C1314" s="75"/>
      <c r="D1314" s="75"/>
      <c r="E1314" s="75"/>
      <c r="F1314" s="75">
        <v>10507</v>
      </c>
      <c r="G1314" s="76" t="str">
        <f>VLOOKUP(Tabelle2[[#This Row],[Kunden Nr.]],KUNDEN!A:B,2,0)</f>
        <v>REAL COLOR 2</v>
      </c>
      <c r="H1314" s="75">
        <v>35115</v>
      </c>
      <c r="I1314" s="76" t="str">
        <f>VLOOKUP(Tabelle2[[#This Row],[Artikel]],Produkte!A:B,2,0)</f>
        <v>M-ONE Sanitar Silikon</v>
      </c>
      <c r="J1314" s="75">
        <v>12</v>
      </c>
      <c r="K1314" s="76" t="str">
        <f>VLOOKUP(Tabelle2[[#This Row],[Kunden Nr.]],KUNDEN!A:G,7)</f>
        <v>Qerimi</v>
      </c>
      <c r="L1314" s="76">
        <f>VLOOKUP(Tabelle2[[#This Row],[Artikel]],Produkte!A:H,8)</f>
        <v>0.17</v>
      </c>
    </row>
    <row r="1315" spans="1:12" x14ac:dyDescent="0.2">
      <c r="A1315" s="75" t="s">
        <v>487</v>
      </c>
      <c r="B1315" s="79">
        <v>46087</v>
      </c>
      <c r="C1315" s="75"/>
      <c r="D1315" s="75"/>
      <c r="E1315" s="75"/>
      <c r="F1315" s="75">
        <v>10507</v>
      </c>
      <c r="G1315" s="76" t="str">
        <f>VLOOKUP(Tabelle2[[#This Row],[Kunden Nr.]],KUNDEN!A:B,2,0)</f>
        <v>REAL COLOR 2</v>
      </c>
      <c r="H1315" s="75">
        <v>35121</v>
      </c>
      <c r="I1315" s="76" t="str">
        <f>VLOOKUP(Tabelle2[[#This Row],[Artikel]],Produkte!A:B,2,0)</f>
        <v>M-ONE Sanitar Silikon</v>
      </c>
      <c r="J1315" s="75">
        <v>12</v>
      </c>
      <c r="K1315" s="76" t="str">
        <f>VLOOKUP(Tabelle2[[#This Row],[Kunden Nr.]],KUNDEN!A:G,7)</f>
        <v>Qerimi</v>
      </c>
      <c r="L1315" s="76">
        <f>VLOOKUP(Tabelle2[[#This Row],[Artikel]],Produkte!A:H,8)</f>
        <v>0.17</v>
      </c>
    </row>
    <row r="1316" spans="1:12" x14ac:dyDescent="0.2">
      <c r="A1316" s="75" t="s">
        <v>453</v>
      </c>
      <c r="B1316" s="79">
        <v>46087</v>
      </c>
      <c r="C1316" s="89">
        <v>92.4</v>
      </c>
      <c r="D1316" s="75"/>
      <c r="E1316" s="75"/>
      <c r="F1316" s="75">
        <v>20501</v>
      </c>
      <c r="G1316" s="76" t="str">
        <f>VLOOKUP(Tabelle2[[#This Row],[Kunden Nr.]],KUNDEN!A:B,2,0)</f>
        <v>RACI</v>
      </c>
      <c r="H1316" s="75">
        <v>35110</v>
      </c>
      <c r="I1316" s="76" t="str">
        <f>VLOOKUP(Tabelle2[[#This Row],[Artikel]],Produkte!A:B,2,0)</f>
        <v>M-ONE Sanitar Silikon</v>
      </c>
      <c r="J1316" s="75">
        <v>12</v>
      </c>
      <c r="K1316" s="76" t="str">
        <f>VLOOKUP(Tabelle2[[#This Row],[Kunden Nr.]],KUNDEN!A:G,7)</f>
        <v>Mensuri</v>
      </c>
      <c r="L1316" s="76">
        <f>VLOOKUP(Tabelle2[[#This Row],[Artikel]],Produkte!A:H,8)</f>
        <v>0.17</v>
      </c>
    </row>
    <row r="1317" spans="1:12" x14ac:dyDescent="0.2">
      <c r="A1317" s="75" t="s">
        <v>453</v>
      </c>
      <c r="B1317" s="79">
        <v>46087</v>
      </c>
      <c r="C1317" s="75"/>
      <c r="D1317" s="75"/>
      <c r="E1317" s="75"/>
      <c r="F1317" s="75">
        <v>20501</v>
      </c>
      <c r="G1317" s="76" t="str">
        <f>VLOOKUP(Tabelle2[[#This Row],[Kunden Nr.]],KUNDEN!A:B,2,0)</f>
        <v>RACI</v>
      </c>
      <c r="H1317" s="75">
        <v>35113</v>
      </c>
      <c r="I1317" s="76" t="str">
        <f>VLOOKUP(Tabelle2[[#This Row],[Artikel]],Produkte!A:B,2,0)</f>
        <v>M-ONE Sanitar Silikon</v>
      </c>
      <c r="J1317" s="75">
        <v>12</v>
      </c>
      <c r="K1317" s="76" t="str">
        <f>VLOOKUP(Tabelle2[[#This Row],[Kunden Nr.]],KUNDEN!A:G,7)</f>
        <v>Mensuri</v>
      </c>
      <c r="L1317" s="76">
        <f>VLOOKUP(Tabelle2[[#This Row],[Artikel]],Produkte!A:H,8)</f>
        <v>0.17</v>
      </c>
    </row>
    <row r="1318" spans="1:12" x14ac:dyDescent="0.2">
      <c r="A1318" s="75" t="s">
        <v>1258</v>
      </c>
      <c r="B1318" s="79">
        <v>46087</v>
      </c>
      <c r="C1318" s="89">
        <v>120</v>
      </c>
      <c r="D1318" s="75"/>
      <c r="E1318" s="75"/>
      <c r="F1318" s="75">
        <v>20511</v>
      </c>
      <c r="G1318" s="76" t="str">
        <f>VLOOKUP(Tabelle2[[#This Row],[Kunden Nr.]],KUNDEN!A:B,2,0)</f>
        <v>LIRIDONA KLINE</v>
      </c>
      <c r="H1318" s="75">
        <v>35111</v>
      </c>
      <c r="I1318" s="76" t="str">
        <f>VLOOKUP(Tabelle2[[#This Row],[Artikel]],Produkte!A:B,2,0)</f>
        <v>M-ONE Sanitar Silikon</v>
      </c>
      <c r="J1318" s="75">
        <v>12</v>
      </c>
      <c r="K1318" s="76" t="str">
        <f>VLOOKUP(Tabelle2[[#This Row],[Kunden Nr.]],KUNDEN!A:G,7)</f>
        <v>Mensuri</v>
      </c>
      <c r="L1318" s="76">
        <f>VLOOKUP(Tabelle2[[#This Row],[Artikel]],Produkte!A:H,8)</f>
        <v>0.17</v>
      </c>
    </row>
    <row r="1319" spans="1:12" x14ac:dyDescent="0.2">
      <c r="A1319" s="75" t="s">
        <v>1258</v>
      </c>
      <c r="B1319" s="79">
        <v>46087</v>
      </c>
      <c r="C1319" s="75"/>
      <c r="D1319" s="75"/>
      <c r="E1319" s="75"/>
      <c r="F1319" s="75">
        <v>20511</v>
      </c>
      <c r="G1319" s="76" t="str">
        <f>VLOOKUP(Tabelle2[[#This Row],[Kunden Nr.]],KUNDEN!A:B,2,0)</f>
        <v>LIRIDONA KLINE</v>
      </c>
      <c r="H1319" s="75">
        <v>35119</v>
      </c>
      <c r="I1319" s="76" t="str">
        <f>VLOOKUP(Tabelle2[[#This Row],[Artikel]],Produkte!A:B,2,0)</f>
        <v>M-ONE Sanitar Silikon</v>
      </c>
      <c r="J1319" s="75">
        <v>12</v>
      </c>
      <c r="K1319" s="76" t="str">
        <f>VLOOKUP(Tabelle2[[#This Row],[Kunden Nr.]],KUNDEN!A:G,7)</f>
        <v>Mensuri</v>
      </c>
      <c r="L1319" s="76">
        <f>VLOOKUP(Tabelle2[[#This Row],[Artikel]],Produkte!A:H,8)</f>
        <v>0.17</v>
      </c>
    </row>
    <row r="1320" spans="1:12" x14ac:dyDescent="0.2">
      <c r="A1320" s="75" t="s">
        <v>1258</v>
      </c>
      <c r="B1320" s="79">
        <v>46087</v>
      </c>
      <c r="C1320" s="75"/>
      <c r="D1320" s="75"/>
      <c r="E1320" s="75"/>
      <c r="F1320" s="75">
        <v>20511</v>
      </c>
      <c r="G1320" s="76" t="str">
        <f>VLOOKUP(Tabelle2[[#This Row],[Kunden Nr.]],KUNDEN!A:B,2,0)</f>
        <v>LIRIDONA KLINE</v>
      </c>
      <c r="H1320" s="75">
        <v>51612</v>
      </c>
      <c r="I1320" s="76" t="str">
        <f>VLOOKUP(Tabelle2[[#This Row],[Artikel]],Produkte!A:B,2,0)</f>
        <v>struktural akryl</v>
      </c>
      <c r="J1320" s="75">
        <v>12</v>
      </c>
      <c r="K1320" s="76" t="str">
        <f>VLOOKUP(Tabelle2[[#This Row],[Kunden Nr.]],KUNDEN!A:G,7)</f>
        <v>Mensuri</v>
      </c>
      <c r="L1320" s="76">
        <f>VLOOKUP(Tabelle2[[#This Row],[Artikel]],Produkte!A:H,8)</f>
        <v>0.06</v>
      </c>
    </row>
    <row r="1321" spans="1:12" x14ac:dyDescent="0.2">
      <c r="A1321" s="75" t="s">
        <v>674</v>
      </c>
      <c r="B1321" s="79">
        <v>46087</v>
      </c>
      <c r="C1321" s="89">
        <v>138.6</v>
      </c>
      <c r="D1321" s="75"/>
      <c r="E1321" s="75"/>
      <c r="F1321" s="75">
        <v>20508</v>
      </c>
      <c r="G1321" s="76" t="str">
        <f>VLOOKUP(Tabelle2[[#This Row],[Kunden Nr.]],KUNDEN!A:B,2,0)</f>
        <v>LIRIDONA HOME</v>
      </c>
      <c r="H1321" s="75">
        <v>35110</v>
      </c>
      <c r="I1321" s="76" t="str">
        <f>VLOOKUP(Tabelle2[[#This Row],[Artikel]],Produkte!A:B,2,0)</f>
        <v>M-ONE Sanitar Silikon</v>
      </c>
      <c r="J1321" s="75">
        <v>12</v>
      </c>
      <c r="K1321" s="76" t="str">
        <f>VLOOKUP(Tabelle2[[#This Row],[Kunden Nr.]],KUNDEN!A:G,7)</f>
        <v>Mensuri</v>
      </c>
      <c r="L1321" s="76">
        <f>VLOOKUP(Tabelle2[[#This Row],[Artikel]],Produkte!A:H,8)</f>
        <v>0.17</v>
      </c>
    </row>
    <row r="1322" spans="1:12" x14ac:dyDescent="0.2">
      <c r="A1322" s="75" t="s">
        <v>674</v>
      </c>
      <c r="B1322" s="79">
        <v>46087</v>
      </c>
      <c r="C1322" s="75"/>
      <c r="D1322" s="75"/>
      <c r="E1322" s="75"/>
      <c r="F1322" s="75">
        <v>20508</v>
      </c>
      <c r="G1322" s="76" t="str">
        <f>VLOOKUP(Tabelle2[[#This Row],[Kunden Nr.]],KUNDEN!A:B,2,0)</f>
        <v>LIRIDONA HOME</v>
      </c>
      <c r="H1322" s="75">
        <v>35113</v>
      </c>
      <c r="I1322" s="76" t="str">
        <f>VLOOKUP(Tabelle2[[#This Row],[Artikel]],Produkte!A:B,2,0)</f>
        <v>M-ONE Sanitar Silikon</v>
      </c>
      <c r="J1322" s="75">
        <v>12</v>
      </c>
      <c r="K1322" s="76" t="str">
        <f>VLOOKUP(Tabelle2[[#This Row],[Kunden Nr.]],KUNDEN!A:G,7)</f>
        <v>Mensuri</v>
      </c>
      <c r="L1322" s="76">
        <f>VLOOKUP(Tabelle2[[#This Row],[Artikel]],Produkte!A:H,8)</f>
        <v>0.17</v>
      </c>
    </row>
    <row r="1323" spans="1:12" x14ac:dyDescent="0.2">
      <c r="A1323" s="75" t="s">
        <v>674</v>
      </c>
      <c r="B1323" s="79">
        <v>46087</v>
      </c>
      <c r="C1323" s="75"/>
      <c r="D1323" s="75"/>
      <c r="E1323" s="75"/>
      <c r="F1323" s="75">
        <v>20508</v>
      </c>
      <c r="G1323" s="76" t="str">
        <f>VLOOKUP(Tabelle2[[#This Row],[Kunden Nr.]],KUNDEN!A:B,2,0)</f>
        <v>LIRIDONA HOME</v>
      </c>
      <c r="H1323" s="75">
        <v>35115</v>
      </c>
      <c r="I1323" s="76" t="str">
        <f>VLOOKUP(Tabelle2[[#This Row],[Artikel]],Produkte!A:B,2,0)</f>
        <v>M-ONE Sanitar Silikon</v>
      </c>
      <c r="J1323" s="75">
        <v>12</v>
      </c>
      <c r="K1323" s="76" t="str">
        <f>VLOOKUP(Tabelle2[[#This Row],[Kunden Nr.]],KUNDEN!A:G,7)</f>
        <v>Mensuri</v>
      </c>
      <c r="L1323" s="76">
        <f>VLOOKUP(Tabelle2[[#This Row],[Artikel]],Produkte!A:H,8)</f>
        <v>0.17</v>
      </c>
    </row>
    <row r="1324" spans="1:12" x14ac:dyDescent="0.2">
      <c r="A1324" s="75" t="s">
        <v>461</v>
      </c>
      <c r="B1324" s="79">
        <v>46087</v>
      </c>
      <c r="C1324" s="89">
        <v>102.5</v>
      </c>
      <c r="D1324" s="75"/>
      <c r="E1324" s="75"/>
      <c r="F1324" s="75">
        <v>20513</v>
      </c>
      <c r="G1324" s="76" t="str">
        <f>VLOOKUP(Tabelle2[[#This Row],[Kunden Nr.]],KUNDEN!A:B,2,0)</f>
        <v>BERATI A.P. (1)</v>
      </c>
      <c r="H1324" s="75">
        <v>44001</v>
      </c>
      <c r="I1324" s="76" t="str">
        <f>VLOOKUP(Tabelle2[[#This Row],[Artikel]],Produkte!A:B,2,0)</f>
        <v>Fettspray</v>
      </c>
      <c r="J1324" s="75">
        <v>8</v>
      </c>
      <c r="K1324" s="76" t="str">
        <f>VLOOKUP(Tabelle2[[#This Row],[Kunden Nr.]],KUNDEN!A:G,7)</f>
        <v>Mensuri</v>
      </c>
      <c r="L1324" s="76">
        <f>VLOOKUP(Tabelle2[[#This Row],[Artikel]],Produkte!A:H,8)</f>
        <v>0.2</v>
      </c>
    </row>
    <row r="1325" spans="1:12" x14ac:dyDescent="0.2">
      <c r="A1325" s="75" t="s">
        <v>461</v>
      </c>
      <c r="B1325" s="79">
        <v>46087</v>
      </c>
      <c r="C1325" s="75"/>
      <c r="D1325" s="75"/>
      <c r="E1325" s="75"/>
      <c r="F1325" s="75">
        <v>20513</v>
      </c>
      <c r="G1325" s="76" t="str">
        <f>VLOOKUP(Tabelle2[[#This Row],[Kunden Nr.]],KUNDEN!A:B,2,0)</f>
        <v>BERATI A.P. (1)</v>
      </c>
      <c r="H1325" s="75">
        <v>50912</v>
      </c>
      <c r="I1325" s="76" t="str">
        <f>VLOOKUP(Tabelle2[[#This Row],[Artikel]],Produkte!A:B,2,0)</f>
        <v>DICHTUNG</v>
      </c>
      <c r="J1325" s="75">
        <v>9</v>
      </c>
      <c r="K1325" s="76" t="str">
        <f>VLOOKUP(Tabelle2[[#This Row],[Kunden Nr.]],KUNDEN!A:G,7)</f>
        <v>Mensuri</v>
      </c>
      <c r="L1325" s="76">
        <f>VLOOKUP(Tabelle2[[#This Row],[Artikel]],Produkte!A:H,8)</f>
        <v>0.2</v>
      </c>
    </row>
    <row r="1326" spans="1:12" x14ac:dyDescent="0.2">
      <c r="A1326" s="75" t="s">
        <v>461</v>
      </c>
      <c r="B1326" s="79">
        <v>46087</v>
      </c>
      <c r="C1326" s="75"/>
      <c r="D1326" s="75"/>
      <c r="E1326" s="75"/>
      <c r="F1326" s="75">
        <v>20513</v>
      </c>
      <c r="G1326" s="76" t="str">
        <f>VLOOKUP(Tabelle2[[#This Row],[Kunden Nr.]],KUNDEN!A:B,2,0)</f>
        <v>BERATI A.P. (1)</v>
      </c>
      <c r="H1326" s="75">
        <v>49644</v>
      </c>
      <c r="I1326" s="76" t="str">
        <f>VLOOKUP(Tabelle2[[#This Row],[Artikel]],Produkte!A:B,2,0)</f>
        <v>beMAKER Rostlöser</v>
      </c>
      <c r="J1326" s="75">
        <v>5</v>
      </c>
      <c r="K1326" s="76" t="str">
        <f>VLOOKUP(Tabelle2[[#This Row],[Kunden Nr.]],KUNDEN!A:G,7)</f>
        <v>Mensuri</v>
      </c>
      <c r="L1326" s="76">
        <f>VLOOKUP(Tabelle2[[#This Row],[Artikel]],Produkte!A:H,8)</f>
        <v>0.2</v>
      </c>
    </row>
    <row r="1327" spans="1:12" x14ac:dyDescent="0.2">
      <c r="A1327" s="75" t="s">
        <v>463</v>
      </c>
      <c r="B1327" s="79">
        <v>46087</v>
      </c>
      <c r="C1327" s="89">
        <v>120</v>
      </c>
      <c r="D1327" s="75"/>
      <c r="E1327" s="75"/>
      <c r="F1327" s="75">
        <v>20515</v>
      </c>
      <c r="G1327" s="76" t="str">
        <f>VLOOKUP(Tabelle2[[#This Row],[Kunden Nr.]],KUNDEN!A:B,2,0)</f>
        <v>LIRIDONA-A</v>
      </c>
      <c r="H1327" s="75">
        <v>35111</v>
      </c>
      <c r="I1327" s="76" t="str">
        <f>VLOOKUP(Tabelle2[[#This Row],[Artikel]],Produkte!A:B,2,0)</f>
        <v>M-ONE Sanitar Silikon</v>
      </c>
      <c r="J1327" s="75">
        <v>12</v>
      </c>
      <c r="K1327" s="76" t="str">
        <f>VLOOKUP(Tabelle2[[#This Row],[Kunden Nr.]],KUNDEN!A:G,7)</f>
        <v>Mensuri</v>
      </c>
      <c r="L1327" s="76">
        <f>VLOOKUP(Tabelle2[[#This Row],[Artikel]],Produkte!A:H,8)</f>
        <v>0.17</v>
      </c>
    </row>
    <row r="1328" spans="1:12" x14ac:dyDescent="0.2">
      <c r="A1328" s="75" t="s">
        <v>463</v>
      </c>
      <c r="B1328" s="79">
        <v>46087</v>
      </c>
      <c r="C1328" s="75"/>
      <c r="D1328" s="75"/>
      <c r="E1328" s="75"/>
      <c r="F1328" s="75">
        <v>20515</v>
      </c>
      <c r="G1328" s="76" t="str">
        <f>VLOOKUP(Tabelle2[[#This Row],[Kunden Nr.]],KUNDEN!A:B,2,0)</f>
        <v>LIRIDONA-A</v>
      </c>
      <c r="H1328" s="75">
        <v>35115</v>
      </c>
      <c r="I1328" s="76" t="str">
        <f>VLOOKUP(Tabelle2[[#This Row],[Artikel]],Produkte!A:B,2,0)</f>
        <v>M-ONE Sanitar Silikon</v>
      </c>
      <c r="J1328" s="75">
        <v>12</v>
      </c>
      <c r="K1328" s="76" t="str">
        <f>VLOOKUP(Tabelle2[[#This Row],[Kunden Nr.]],KUNDEN!A:G,7)</f>
        <v>Mensuri</v>
      </c>
      <c r="L1328" s="76">
        <f>VLOOKUP(Tabelle2[[#This Row],[Artikel]],Produkte!A:H,8)</f>
        <v>0.17</v>
      </c>
    </row>
    <row r="1329" spans="1:12" x14ac:dyDescent="0.2">
      <c r="A1329" s="75" t="s">
        <v>463</v>
      </c>
      <c r="B1329" s="79">
        <v>46087</v>
      </c>
      <c r="C1329" s="75"/>
      <c r="D1329" s="75"/>
      <c r="E1329" s="75"/>
      <c r="F1329" s="75">
        <v>20515</v>
      </c>
      <c r="G1329" s="76" t="str">
        <f>VLOOKUP(Tabelle2[[#This Row],[Kunden Nr.]],KUNDEN!A:B,2,0)</f>
        <v>LIRIDONA-A</v>
      </c>
      <c r="H1329" s="75">
        <v>51612</v>
      </c>
      <c r="I1329" s="76" t="str">
        <f>VLOOKUP(Tabelle2[[#This Row],[Artikel]],Produkte!A:B,2,0)</f>
        <v>struktural akryl</v>
      </c>
      <c r="J1329" s="75">
        <v>12</v>
      </c>
      <c r="K1329" s="76" t="str">
        <f>VLOOKUP(Tabelle2[[#This Row],[Kunden Nr.]],KUNDEN!A:G,7)</f>
        <v>Mensuri</v>
      </c>
      <c r="L1329" s="76">
        <f>VLOOKUP(Tabelle2[[#This Row],[Artikel]],Produkte!A:H,8)</f>
        <v>0.06</v>
      </c>
    </row>
    <row r="1330" spans="1:12" x14ac:dyDescent="0.2">
      <c r="A1330" s="75" t="s">
        <v>53</v>
      </c>
      <c r="B1330" s="79">
        <v>46087</v>
      </c>
      <c r="C1330" s="89">
        <v>184.8</v>
      </c>
      <c r="D1330" s="75"/>
      <c r="E1330" s="75"/>
      <c r="F1330" s="75">
        <v>20407</v>
      </c>
      <c r="G1330" s="76" t="str">
        <f>VLOOKUP(Tabelle2[[#This Row],[Kunden Nr.]],KUNDEN!A:B,2,0)</f>
        <v>TE BENI</v>
      </c>
      <c r="H1330" s="75">
        <v>35109</v>
      </c>
      <c r="I1330" s="76" t="str">
        <f>VLOOKUP(Tabelle2[[#This Row],[Artikel]],Produkte!A:B,2,0)</f>
        <v>M-ONE Sanitar Silikon</v>
      </c>
      <c r="J1330" s="75">
        <v>12</v>
      </c>
      <c r="K1330" s="76" t="str">
        <f>VLOOKUP(Tabelle2[[#This Row],[Kunden Nr.]],KUNDEN!A:G,7)</f>
        <v>Mensuri</v>
      </c>
      <c r="L1330" s="76">
        <f>VLOOKUP(Tabelle2[[#This Row],[Artikel]],Produkte!A:H,8)</f>
        <v>0.17</v>
      </c>
    </row>
    <row r="1331" spans="1:12" x14ac:dyDescent="0.2">
      <c r="A1331" s="75" t="s">
        <v>53</v>
      </c>
      <c r="B1331" s="79">
        <v>46087</v>
      </c>
      <c r="C1331" s="75"/>
      <c r="D1331" s="75"/>
      <c r="E1331" s="75"/>
      <c r="F1331" s="75">
        <v>20407</v>
      </c>
      <c r="G1331" s="76" t="str">
        <f>VLOOKUP(Tabelle2[[#This Row],[Kunden Nr.]],KUNDEN!A:B,2,0)</f>
        <v>TE BENI</v>
      </c>
      <c r="H1331" s="75">
        <v>35110</v>
      </c>
      <c r="I1331" s="76" t="str">
        <f>VLOOKUP(Tabelle2[[#This Row],[Artikel]],Produkte!A:B,2,0)</f>
        <v>M-ONE Sanitar Silikon</v>
      </c>
      <c r="J1331" s="75">
        <v>12</v>
      </c>
      <c r="K1331" s="76" t="str">
        <f>VLOOKUP(Tabelle2[[#This Row],[Kunden Nr.]],KUNDEN!A:G,7)</f>
        <v>Mensuri</v>
      </c>
      <c r="L1331" s="76">
        <f>VLOOKUP(Tabelle2[[#This Row],[Artikel]],Produkte!A:H,8)</f>
        <v>0.17</v>
      </c>
    </row>
    <row r="1332" spans="1:12" x14ac:dyDescent="0.2">
      <c r="A1332" s="75" t="s">
        <v>53</v>
      </c>
      <c r="B1332" s="79">
        <v>46087</v>
      </c>
      <c r="C1332" s="75"/>
      <c r="D1332" s="75"/>
      <c r="E1332" s="75"/>
      <c r="F1332" s="75">
        <v>20407</v>
      </c>
      <c r="G1332" s="76" t="str">
        <f>VLOOKUP(Tabelle2[[#This Row],[Kunden Nr.]],KUNDEN!A:B,2,0)</f>
        <v>TE BENI</v>
      </c>
      <c r="H1332" s="75">
        <v>35111</v>
      </c>
      <c r="I1332" s="76" t="str">
        <f>VLOOKUP(Tabelle2[[#This Row],[Artikel]],Produkte!A:B,2,0)</f>
        <v>M-ONE Sanitar Silikon</v>
      </c>
      <c r="J1332" s="75">
        <v>12</v>
      </c>
      <c r="K1332" s="76" t="str">
        <f>VLOOKUP(Tabelle2[[#This Row],[Kunden Nr.]],KUNDEN!A:G,7)</f>
        <v>Mensuri</v>
      </c>
      <c r="L1332" s="76">
        <f>VLOOKUP(Tabelle2[[#This Row],[Artikel]],Produkte!A:H,8)</f>
        <v>0.17</v>
      </c>
    </row>
    <row r="1333" spans="1:12" x14ac:dyDescent="0.2">
      <c r="A1333" s="75" t="s">
        <v>53</v>
      </c>
      <c r="B1333" s="79">
        <v>46087</v>
      </c>
      <c r="C1333" s="75"/>
      <c r="D1333" s="75"/>
      <c r="E1333" s="75"/>
      <c r="F1333" s="75">
        <v>20407</v>
      </c>
      <c r="G1333" s="76" t="str">
        <f>VLOOKUP(Tabelle2[[#This Row],[Kunden Nr.]],KUNDEN!A:B,2,0)</f>
        <v>TE BENI</v>
      </c>
      <c r="H1333" s="75">
        <v>35115</v>
      </c>
      <c r="I1333" s="76" t="str">
        <f>VLOOKUP(Tabelle2[[#This Row],[Artikel]],Produkte!A:B,2,0)</f>
        <v>M-ONE Sanitar Silikon</v>
      </c>
      <c r="J1333" s="75">
        <v>12</v>
      </c>
      <c r="K1333" s="76" t="str">
        <f>VLOOKUP(Tabelle2[[#This Row],[Kunden Nr.]],KUNDEN!A:G,7)</f>
        <v>Mensuri</v>
      </c>
      <c r="L1333" s="76">
        <f>VLOOKUP(Tabelle2[[#This Row],[Artikel]],Produkte!A:H,8)</f>
        <v>0.17</v>
      </c>
    </row>
    <row r="1334" spans="1:12" x14ac:dyDescent="0.2">
      <c r="A1334" s="75" t="s">
        <v>770</v>
      </c>
      <c r="B1334" s="79">
        <v>46087</v>
      </c>
      <c r="C1334" s="89">
        <v>185</v>
      </c>
      <c r="D1334" s="75"/>
      <c r="E1334" s="75"/>
      <c r="F1334" s="75">
        <v>40003</v>
      </c>
      <c r="G1334" s="76" t="str">
        <f>VLOOKUP(Tabelle2[[#This Row],[Kunden Nr.]],KUNDEN!A:B,2,0)</f>
        <v>ARBENI BIOBLIC</v>
      </c>
      <c r="H1334" s="75">
        <v>20001</v>
      </c>
      <c r="I1334" s="76" t="str">
        <f>VLOOKUP(Tabelle2[[#This Row],[Artikel]],Produkte!A:B,2,0)</f>
        <v>BioBlic Universalreiniger</v>
      </c>
      <c r="J1334" s="75">
        <v>100</v>
      </c>
      <c r="K1334" s="76">
        <f>VLOOKUP(Tabelle2[[#This Row],[Kunden Nr.]],KUNDEN!A:G,7)</f>
        <v>0</v>
      </c>
      <c r="L1334" s="76">
        <f>VLOOKUP(Tabelle2[[#This Row],[Artikel]],Produkte!A:H,8)</f>
        <v>0.30000000000000004</v>
      </c>
    </row>
    <row r="1335" spans="1:12" x14ac:dyDescent="0.2">
      <c r="A1335" s="75" t="s">
        <v>770</v>
      </c>
      <c r="B1335" s="79">
        <v>46087</v>
      </c>
      <c r="C1335" s="75"/>
      <c r="D1335" s="75"/>
      <c r="E1335" s="75"/>
      <c r="F1335" s="75">
        <v>40003</v>
      </c>
      <c r="G1335" s="76" t="str">
        <f>VLOOKUP(Tabelle2[[#This Row],[Kunden Nr.]],KUNDEN!A:B,2,0)</f>
        <v>ARBENI BIOBLIC</v>
      </c>
      <c r="H1335" s="75">
        <v>30275</v>
      </c>
      <c r="I1335" s="76" t="str">
        <f>VLOOKUP(Tabelle2[[#This Row],[Artikel]],Produkte!A:B,2,0)</f>
        <v>Blic Blic Sanitärreiniger</v>
      </c>
      <c r="J1335" s="75">
        <v>50</v>
      </c>
      <c r="K1335" s="76">
        <f>VLOOKUP(Tabelle2[[#This Row],[Kunden Nr.]],KUNDEN!A:G,7)</f>
        <v>0</v>
      </c>
      <c r="L1335" s="76">
        <f>VLOOKUP(Tabelle2[[#This Row],[Artikel]],Produkte!A:H,8)</f>
        <v>0.30000000000000004</v>
      </c>
    </row>
    <row r="1336" spans="1:12" x14ac:dyDescent="0.2">
      <c r="A1336" s="75" t="s">
        <v>1230</v>
      </c>
      <c r="B1336" s="79">
        <v>46088</v>
      </c>
      <c r="C1336" s="89">
        <v>92.4</v>
      </c>
      <c r="D1336" s="75"/>
      <c r="E1336" s="75"/>
      <c r="F1336" s="75">
        <v>10635</v>
      </c>
      <c r="G1336" s="76" t="e">
        <f>VLOOKUP(Tabelle2[[#This Row],[Kunden Nr.]],KUNDEN!A:B,2,0)</f>
        <v>#N/A</v>
      </c>
      <c r="H1336" s="75">
        <v>35113</v>
      </c>
      <c r="I1336" s="76" t="str">
        <f>VLOOKUP(Tabelle2[[#This Row],[Artikel]],Produkte!A:B,2,0)</f>
        <v>M-ONE Sanitar Silikon</v>
      </c>
      <c r="J1336" s="75">
        <v>12</v>
      </c>
      <c r="K1336" s="76" t="str">
        <f>VLOOKUP(Tabelle2[[#This Row],[Kunden Nr.]],KUNDEN!A:G,7)</f>
        <v>Qerimi</v>
      </c>
      <c r="L1336" s="76">
        <f>VLOOKUP(Tabelle2[[#This Row],[Artikel]],Produkte!A:H,8)</f>
        <v>0.17</v>
      </c>
    </row>
    <row r="1337" spans="1:12" x14ac:dyDescent="0.2">
      <c r="A1337" s="75" t="s">
        <v>1230</v>
      </c>
      <c r="B1337" s="79">
        <v>46088</v>
      </c>
      <c r="C1337" s="75"/>
      <c r="D1337" s="75"/>
      <c r="E1337" s="75"/>
      <c r="F1337" s="75">
        <v>10635</v>
      </c>
      <c r="G1337" s="76" t="e">
        <f>VLOOKUP(Tabelle2[[#This Row],[Kunden Nr.]],KUNDEN!A:B,2,0)</f>
        <v>#N/A</v>
      </c>
      <c r="H1337" s="75">
        <v>35121</v>
      </c>
      <c r="I1337" s="76" t="str">
        <f>VLOOKUP(Tabelle2[[#This Row],[Artikel]],Produkte!A:B,2,0)</f>
        <v>M-ONE Sanitar Silikon</v>
      </c>
      <c r="J1337" s="75">
        <v>12</v>
      </c>
      <c r="K1337" s="76" t="str">
        <f>VLOOKUP(Tabelle2[[#This Row],[Kunden Nr.]],KUNDEN!A:G,7)</f>
        <v>Qerimi</v>
      </c>
      <c r="L1337" s="76">
        <f>VLOOKUP(Tabelle2[[#This Row],[Artikel]],Produkte!A:H,8)</f>
        <v>0.17</v>
      </c>
    </row>
    <row r="1338" spans="1:12" x14ac:dyDescent="0.2">
      <c r="A1338" s="75" t="s">
        <v>605</v>
      </c>
      <c r="B1338" s="79">
        <v>46088</v>
      </c>
      <c r="C1338" s="89">
        <v>54.7</v>
      </c>
      <c r="D1338" s="75"/>
      <c r="E1338" s="75"/>
      <c r="F1338" s="75">
        <v>10613</v>
      </c>
      <c r="G1338" s="76" t="str">
        <f>VLOOKUP(Tabelle2[[#This Row],[Kunden Nr.]],KUNDEN!A:B,2,0)</f>
        <v>TE KELA</v>
      </c>
      <c r="H1338" s="75">
        <v>50912</v>
      </c>
      <c r="I1338" s="76" t="str">
        <f>VLOOKUP(Tabelle2[[#This Row],[Artikel]],Produkte!A:B,2,0)</f>
        <v>DICHTUNG</v>
      </c>
      <c r="J1338" s="75">
        <v>6</v>
      </c>
      <c r="K1338" s="76" t="str">
        <f>VLOOKUP(Tabelle2[[#This Row],[Kunden Nr.]],KUNDEN!A:G,7)</f>
        <v>Qerimi</v>
      </c>
      <c r="L1338" s="76">
        <f>VLOOKUP(Tabelle2[[#This Row],[Artikel]],Produkte!A:H,8)</f>
        <v>0.2</v>
      </c>
    </row>
    <row r="1339" spans="1:12" x14ac:dyDescent="0.2">
      <c r="A1339" s="75" t="s">
        <v>605</v>
      </c>
      <c r="B1339" s="79">
        <v>46088</v>
      </c>
      <c r="C1339" s="75"/>
      <c r="D1339" s="75"/>
      <c r="E1339" s="75"/>
      <c r="F1339" s="75">
        <v>10613</v>
      </c>
      <c r="G1339" s="76" t="str">
        <f>VLOOKUP(Tabelle2[[#This Row],[Kunden Nr.]],KUNDEN!A:B,2,0)</f>
        <v>TE KELA</v>
      </c>
      <c r="H1339" s="75">
        <v>49644</v>
      </c>
      <c r="I1339" s="76" t="str">
        <f>VLOOKUP(Tabelle2[[#This Row],[Artikel]],Produkte!A:B,2,0)</f>
        <v>beMAKER Rostlöser</v>
      </c>
      <c r="J1339" s="75">
        <v>4</v>
      </c>
      <c r="K1339" s="76" t="str">
        <f>VLOOKUP(Tabelle2[[#This Row],[Kunden Nr.]],KUNDEN!A:G,7)</f>
        <v>Qerimi</v>
      </c>
      <c r="L1339" s="76">
        <f>VLOOKUP(Tabelle2[[#This Row],[Artikel]],Produkte!A:H,8)</f>
        <v>0.2</v>
      </c>
    </row>
    <row r="1340" spans="1:12" x14ac:dyDescent="0.2">
      <c r="A1340" s="75" t="s">
        <v>605</v>
      </c>
      <c r="B1340" s="79">
        <v>46088</v>
      </c>
      <c r="C1340" s="75"/>
      <c r="D1340" s="75"/>
      <c r="E1340" s="75"/>
      <c r="F1340" s="75">
        <v>10613</v>
      </c>
      <c r="G1340" s="76" t="str">
        <f>VLOOKUP(Tabelle2[[#This Row],[Kunden Nr.]],KUNDEN!A:B,2,0)</f>
        <v>TE KELA</v>
      </c>
      <c r="H1340" s="75">
        <v>44001</v>
      </c>
      <c r="I1340" s="76" t="str">
        <f>VLOOKUP(Tabelle2[[#This Row],[Artikel]],Produkte!A:B,2,0)</f>
        <v>Fettspray</v>
      </c>
      <c r="J1340" s="75">
        <v>1</v>
      </c>
      <c r="K1340" s="76" t="str">
        <f>VLOOKUP(Tabelle2[[#This Row],[Kunden Nr.]],KUNDEN!A:G,7)</f>
        <v>Qerimi</v>
      </c>
      <c r="L1340" s="76">
        <f>VLOOKUP(Tabelle2[[#This Row],[Artikel]],Produkte!A:H,8)</f>
        <v>0.2</v>
      </c>
    </row>
    <row r="1341" spans="1:12" x14ac:dyDescent="0.2">
      <c r="A1341" s="75" t="s">
        <v>837</v>
      </c>
      <c r="B1341" s="79">
        <v>46088</v>
      </c>
      <c r="C1341" s="89">
        <v>138.6</v>
      </c>
      <c r="D1341" s="75"/>
      <c r="E1341" s="75"/>
      <c r="F1341" s="75">
        <v>10625</v>
      </c>
      <c r="G1341" s="76" t="str">
        <f>VLOOKUP(Tabelle2[[#This Row],[Kunden Nr.]],KUNDEN!A:B,2,0)</f>
        <v>KUJTA</v>
      </c>
      <c r="H1341" s="75">
        <v>35121</v>
      </c>
      <c r="I1341" s="76" t="str">
        <f>VLOOKUP(Tabelle2[[#This Row],[Artikel]],Produkte!A:B,2,0)</f>
        <v>M-ONE Sanitar Silikon</v>
      </c>
      <c r="J1341" s="75">
        <v>12</v>
      </c>
      <c r="K1341" s="76" t="str">
        <f>VLOOKUP(Tabelle2[[#This Row],[Kunden Nr.]],KUNDEN!A:G,7)</f>
        <v>Qerimi</v>
      </c>
      <c r="L1341" s="76">
        <f>VLOOKUP(Tabelle2[[#This Row],[Artikel]],Produkte!A:H,8)</f>
        <v>0.17</v>
      </c>
    </row>
    <row r="1342" spans="1:12" x14ac:dyDescent="0.2">
      <c r="A1342" s="75" t="s">
        <v>837</v>
      </c>
      <c r="B1342" s="79">
        <v>46088</v>
      </c>
      <c r="C1342" s="75"/>
      <c r="D1342" s="75"/>
      <c r="E1342" s="75"/>
      <c r="F1342" s="75">
        <v>10625</v>
      </c>
      <c r="G1342" s="76" t="str">
        <f>VLOOKUP(Tabelle2[[#This Row],[Kunden Nr.]],KUNDEN!A:B,2,0)</f>
        <v>KUJTA</v>
      </c>
      <c r="H1342" s="75">
        <v>35128</v>
      </c>
      <c r="I1342" s="76" t="str">
        <f>VLOOKUP(Tabelle2[[#This Row],[Artikel]],Produkte!A:B,2,0)</f>
        <v>M-ONE Sanitar Silikon</v>
      </c>
      <c r="J1342" s="75">
        <v>12</v>
      </c>
      <c r="K1342" s="76" t="str">
        <f>VLOOKUP(Tabelle2[[#This Row],[Kunden Nr.]],KUNDEN!A:G,7)</f>
        <v>Qerimi</v>
      </c>
      <c r="L1342" s="76">
        <f>VLOOKUP(Tabelle2[[#This Row],[Artikel]],Produkte!A:H,8)</f>
        <v>0.17</v>
      </c>
    </row>
    <row r="1343" spans="1:12" x14ac:dyDescent="0.2">
      <c r="A1343" s="75" t="s">
        <v>837</v>
      </c>
      <c r="B1343" s="79">
        <v>46088</v>
      </c>
      <c r="C1343" s="75"/>
      <c r="D1343" s="75"/>
      <c r="E1343" s="75"/>
      <c r="F1343" s="75">
        <v>10625</v>
      </c>
      <c r="G1343" s="76" t="str">
        <f>VLOOKUP(Tabelle2[[#This Row],[Kunden Nr.]],KUNDEN!A:B,2,0)</f>
        <v>KUJTA</v>
      </c>
      <c r="H1343" s="75">
        <v>35113</v>
      </c>
      <c r="I1343" s="76" t="str">
        <f>VLOOKUP(Tabelle2[[#This Row],[Artikel]],Produkte!A:B,2,0)</f>
        <v>M-ONE Sanitar Silikon</v>
      </c>
      <c r="J1343" s="75">
        <v>12</v>
      </c>
      <c r="K1343" s="76" t="str">
        <f>VLOOKUP(Tabelle2[[#This Row],[Kunden Nr.]],KUNDEN!A:G,7)</f>
        <v>Qerimi</v>
      </c>
      <c r="L1343" s="76">
        <f>VLOOKUP(Tabelle2[[#This Row],[Artikel]],Produkte!A:H,8)</f>
        <v>0.17</v>
      </c>
    </row>
    <row r="1344" spans="1:12" x14ac:dyDescent="0.2">
      <c r="A1344" s="75" t="s">
        <v>596</v>
      </c>
      <c r="B1344" s="79">
        <v>46088</v>
      </c>
      <c r="C1344" s="89">
        <v>10</v>
      </c>
      <c r="D1344" s="75"/>
      <c r="E1344" s="75"/>
      <c r="F1344" s="75">
        <v>10604</v>
      </c>
      <c r="G1344" s="76" t="str">
        <f>VLOOKUP(Tabelle2[[#This Row],[Kunden Nr.]],KUNDEN!A:B,2,0)</f>
        <v>KUSHA</v>
      </c>
      <c r="H1344" s="75">
        <v>54412</v>
      </c>
      <c r="I1344" s="76" t="str">
        <f>VLOOKUP(Tabelle2[[#This Row],[Artikel]],Produkte!A:B,2,0)</f>
        <v>beMAKER Bremsen&amp;Teile Reininger</v>
      </c>
      <c r="J1344" s="75">
        <v>5</v>
      </c>
      <c r="K1344" s="76" t="str">
        <f>VLOOKUP(Tabelle2[[#This Row],[Kunden Nr.]],KUNDEN!A:G,7)</f>
        <v>Qerimi</v>
      </c>
      <c r="L1344" s="76">
        <f>VLOOKUP(Tabelle2[[#This Row],[Artikel]],Produkte!A:H,8)</f>
        <v>0.2</v>
      </c>
    </row>
    <row r="1345" spans="1:12" x14ac:dyDescent="0.2">
      <c r="A1345" s="75" t="s">
        <v>829</v>
      </c>
      <c r="B1345" s="79">
        <v>46088</v>
      </c>
      <c r="C1345" s="89">
        <v>46</v>
      </c>
      <c r="D1345" s="75"/>
      <c r="E1345" s="75"/>
      <c r="F1345" s="75">
        <v>10626</v>
      </c>
      <c r="G1345" s="76" t="str">
        <f>VLOOKUP(Tabelle2[[#This Row],[Kunden Nr.]],KUNDEN!A:B,2,0)</f>
        <v>DRITONI</v>
      </c>
      <c r="H1345" s="75">
        <v>50912</v>
      </c>
      <c r="I1345" s="76" t="str">
        <f>VLOOKUP(Tabelle2[[#This Row],[Artikel]],Produkte!A:B,2,0)</f>
        <v>DICHTUNG</v>
      </c>
      <c r="J1345" s="75">
        <v>5</v>
      </c>
      <c r="K1345" s="76" t="str">
        <f>VLOOKUP(Tabelle2[[#This Row],[Kunden Nr.]],KUNDEN!A:G,7)</f>
        <v>Qerimi</v>
      </c>
      <c r="L1345" s="76">
        <f>VLOOKUP(Tabelle2[[#This Row],[Artikel]],Produkte!A:H,8)</f>
        <v>0.2</v>
      </c>
    </row>
    <row r="1346" spans="1:12" x14ac:dyDescent="0.2">
      <c r="A1346" s="75" t="s">
        <v>829</v>
      </c>
      <c r="B1346" s="79">
        <v>46088</v>
      </c>
      <c r="C1346" s="75"/>
      <c r="D1346" s="75"/>
      <c r="E1346" s="75"/>
      <c r="F1346" s="75">
        <v>10626</v>
      </c>
      <c r="G1346" s="76" t="str">
        <f>VLOOKUP(Tabelle2[[#This Row],[Kunden Nr.]],KUNDEN!A:B,2,0)</f>
        <v>DRITONI</v>
      </c>
      <c r="H1346" s="75">
        <v>49644</v>
      </c>
      <c r="I1346" s="76" t="str">
        <f>VLOOKUP(Tabelle2[[#This Row],[Artikel]],Produkte!A:B,2,0)</f>
        <v>beMAKER Rostlöser</v>
      </c>
      <c r="J1346" s="75">
        <v>5</v>
      </c>
      <c r="K1346" s="76" t="str">
        <f>VLOOKUP(Tabelle2[[#This Row],[Kunden Nr.]],KUNDEN!A:G,7)</f>
        <v>Qerimi</v>
      </c>
      <c r="L1346" s="76">
        <f>VLOOKUP(Tabelle2[[#This Row],[Artikel]],Produkte!A:H,8)</f>
        <v>0.2</v>
      </c>
    </row>
    <row r="1347" spans="1:12" x14ac:dyDescent="0.2">
      <c r="A1347" s="75" t="s">
        <v>1263</v>
      </c>
      <c r="B1347" s="79">
        <v>46088</v>
      </c>
      <c r="C1347" s="89">
        <v>92.4</v>
      </c>
      <c r="D1347" s="75"/>
      <c r="E1347" s="75"/>
      <c r="F1347" s="75">
        <v>20609</v>
      </c>
      <c r="G1347" s="76" t="str">
        <f>VLOOKUP(Tabelle2[[#This Row],[Kunden Nr.]],KUNDEN!A:B,2,0)</f>
        <v>BUJARI Q - BESII</v>
      </c>
      <c r="H1347" s="75">
        <v>35121</v>
      </c>
      <c r="I1347" s="76" t="str">
        <f>VLOOKUP(Tabelle2[[#This Row],[Artikel]],Produkte!A:B,2,0)</f>
        <v>M-ONE Sanitar Silikon</v>
      </c>
      <c r="J1347" s="75">
        <v>24</v>
      </c>
      <c r="K1347" s="76" t="str">
        <f>VLOOKUP(Tabelle2[[#This Row],[Kunden Nr.]],KUNDEN!A:G,7)</f>
        <v>Mensuri</v>
      </c>
      <c r="L1347" s="76">
        <f>VLOOKUP(Tabelle2[[#This Row],[Artikel]],Produkte!A:H,8)</f>
        <v>0.17</v>
      </c>
    </row>
    <row r="1348" spans="1:12" x14ac:dyDescent="0.2">
      <c r="A1348" s="75" t="s">
        <v>430</v>
      </c>
      <c r="B1348" s="79">
        <v>46088</v>
      </c>
      <c r="C1348" s="89">
        <v>138.6</v>
      </c>
      <c r="D1348" s="75"/>
      <c r="E1348" s="75"/>
      <c r="F1348" s="75">
        <v>20602</v>
      </c>
      <c r="G1348" s="76" t="str">
        <f>VLOOKUP(Tabelle2[[#This Row],[Kunden Nr.]],KUNDEN!A:B,2,0)</f>
        <v>AGROLONDI</v>
      </c>
      <c r="H1348" s="75">
        <v>35109</v>
      </c>
      <c r="I1348" s="76" t="str">
        <f>VLOOKUP(Tabelle2[[#This Row],[Artikel]],Produkte!A:B,2,0)</f>
        <v>M-ONE Sanitar Silikon</v>
      </c>
      <c r="J1348" s="75">
        <v>12</v>
      </c>
      <c r="K1348" s="76" t="str">
        <f>VLOOKUP(Tabelle2[[#This Row],[Kunden Nr.]],KUNDEN!A:G,7)</f>
        <v>Mensuri</v>
      </c>
      <c r="L1348" s="76">
        <f>VLOOKUP(Tabelle2[[#This Row],[Artikel]],Produkte!A:H,8)</f>
        <v>0.17</v>
      </c>
    </row>
    <row r="1349" spans="1:12" x14ac:dyDescent="0.2">
      <c r="A1349" s="75" t="s">
        <v>430</v>
      </c>
      <c r="B1349" s="79">
        <v>46088</v>
      </c>
      <c r="C1349" s="75"/>
      <c r="D1349" s="75"/>
      <c r="E1349" s="75"/>
      <c r="F1349" s="75">
        <v>20602</v>
      </c>
      <c r="G1349" s="76" t="str">
        <f>VLOOKUP(Tabelle2[[#This Row],[Kunden Nr.]],KUNDEN!A:B,2,0)</f>
        <v>AGROLONDI</v>
      </c>
      <c r="H1349" s="75">
        <v>35110</v>
      </c>
      <c r="I1349" s="76" t="str">
        <f>VLOOKUP(Tabelle2[[#This Row],[Artikel]],Produkte!A:B,2,0)</f>
        <v>M-ONE Sanitar Silikon</v>
      </c>
      <c r="J1349" s="75">
        <v>12</v>
      </c>
      <c r="K1349" s="76" t="str">
        <f>VLOOKUP(Tabelle2[[#This Row],[Kunden Nr.]],KUNDEN!A:G,7)</f>
        <v>Mensuri</v>
      </c>
      <c r="L1349" s="76">
        <f>VLOOKUP(Tabelle2[[#This Row],[Artikel]],Produkte!A:H,8)</f>
        <v>0.17</v>
      </c>
    </row>
    <row r="1350" spans="1:12" x14ac:dyDescent="0.2">
      <c r="A1350" s="75" t="s">
        <v>430</v>
      </c>
      <c r="B1350" s="79">
        <v>46088</v>
      </c>
      <c r="C1350" s="75"/>
      <c r="D1350" s="75"/>
      <c r="E1350" s="75"/>
      <c r="F1350" s="75">
        <v>20602</v>
      </c>
      <c r="G1350" s="76" t="str">
        <f>VLOOKUP(Tabelle2[[#This Row],[Kunden Nr.]],KUNDEN!A:B,2,0)</f>
        <v>AGROLONDI</v>
      </c>
      <c r="H1350" s="75">
        <v>35115</v>
      </c>
      <c r="I1350" s="76" t="str">
        <f>VLOOKUP(Tabelle2[[#This Row],[Artikel]],Produkte!A:B,2,0)</f>
        <v>M-ONE Sanitar Silikon</v>
      </c>
      <c r="J1350" s="75">
        <v>12</v>
      </c>
      <c r="K1350" s="76" t="str">
        <f>VLOOKUP(Tabelle2[[#This Row],[Kunden Nr.]],KUNDEN!A:G,7)</f>
        <v>Mensuri</v>
      </c>
      <c r="L1350" s="76">
        <f>VLOOKUP(Tabelle2[[#This Row],[Artikel]],Produkte!A:H,8)</f>
        <v>0.17</v>
      </c>
    </row>
    <row r="1351" spans="1:12" x14ac:dyDescent="0.2">
      <c r="A1351" s="75" t="s">
        <v>1322</v>
      </c>
      <c r="B1351" s="79">
        <v>46088</v>
      </c>
      <c r="C1351" s="89">
        <v>138.6</v>
      </c>
      <c r="D1351" s="75"/>
      <c r="E1351" s="75"/>
      <c r="F1351" s="75">
        <v>20635</v>
      </c>
      <c r="G1351" s="76" t="e">
        <f>VLOOKUP(Tabelle2[[#This Row],[Kunden Nr.]],KUNDEN!A:B,2,0)</f>
        <v>#N/A</v>
      </c>
      <c r="H1351" s="75">
        <v>35109</v>
      </c>
      <c r="I1351" s="76" t="str">
        <f>VLOOKUP(Tabelle2[[#This Row],[Artikel]],Produkte!A:B,2,0)</f>
        <v>M-ONE Sanitar Silikon</v>
      </c>
      <c r="J1351" s="75">
        <v>12</v>
      </c>
      <c r="K1351" s="76" t="str">
        <f>VLOOKUP(Tabelle2[[#This Row],[Kunden Nr.]],KUNDEN!A:G,7)</f>
        <v>Mensuri</v>
      </c>
      <c r="L1351" s="76">
        <f>VLOOKUP(Tabelle2[[#This Row],[Artikel]],Produkte!A:H,8)</f>
        <v>0.17</v>
      </c>
    </row>
    <row r="1352" spans="1:12" x14ac:dyDescent="0.2">
      <c r="A1352" s="75" t="s">
        <v>1322</v>
      </c>
      <c r="B1352" s="79">
        <v>46088</v>
      </c>
      <c r="C1352" s="75"/>
      <c r="D1352" s="75"/>
      <c r="E1352" s="75"/>
      <c r="F1352" s="75">
        <v>20635</v>
      </c>
      <c r="G1352" s="76" t="e">
        <f>VLOOKUP(Tabelle2[[#This Row],[Kunden Nr.]],KUNDEN!A:B,2,0)</f>
        <v>#N/A</v>
      </c>
      <c r="H1352" s="75">
        <v>35110</v>
      </c>
      <c r="I1352" s="76" t="str">
        <f>VLOOKUP(Tabelle2[[#This Row],[Artikel]],Produkte!A:B,2,0)</f>
        <v>M-ONE Sanitar Silikon</v>
      </c>
      <c r="J1352" s="75">
        <v>12</v>
      </c>
      <c r="K1352" s="76" t="str">
        <f>VLOOKUP(Tabelle2[[#This Row],[Kunden Nr.]],KUNDEN!A:G,7)</f>
        <v>Mensuri</v>
      </c>
      <c r="L1352" s="76">
        <f>VLOOKUP(Tabelle2[[#This Row],[Artikel]],Produkte!A:H,8)</f>
        <v>0.17</v>
      </c>
    </row>
    <row r="1353" spans="1:12" x14ac:dyDescent="0.2">
      <c r="A1353" s="75" t="s">
        <v>1322</v>
      </c>
      <c r="B1353" s="79">
        <v>46088</v>
      </c>
      <c r="C1353" s="75"/>
      <c r="D1353" s="75"/>
      <c r="E1353" s="75"/>
      <c r="F1353" s="75">
        <v>20635</v>
      </c>
      <c r="G1353" s="76" t="e">
        <f>VLOOKUP(Tabelle2[[#This Row],[Kunden Nr.]],KUNDEN!A:B,2,0)</f>
        <v>#N/A</v>
      </c>
      <c r="H1353" s="75">
        <v>35111</v>
      </c>
      <c r="I1353" s="76" t="str">
        <f>VLOOKUP(Tabelle2[[#This Row],[Artikel]],Produkte!A:B,2,0)</f>
        <v>M-ONE Sanitar Silikon</v>
      </c>
      <c r="J1353" s="75">
        <v>12</v>
      </c>
      <c r="K1353" s="76" t="str">
        <f>VLOOKUP(Tabelle2[[#This Row],[Kunden Nr.]],KUNDEN!A:G,7)</f>
        <v>Mensuri</v>
      </c>
      <c r="L1353" s="76">
        <f>VLOOKUP(Tabelle2[[#This Row],[Artikel]],Produkte!A:H,8)</f>
        <v>0.17</v>
      </c>
    </row>
    <row r="1354" spans="1:12" x14ac:dyDescent="0.2">
      <c r="A1354" s="75" t="s">
        <v>1305</v>
      </c>
      <c r="B1354" s="79">
        <v>46088</v>
      </c>
      <c r="C1354" s="89">
        <v>92.4</v>
      </c>
      <c r="D1354" s="75"/>
      <c r="E1354" s="75"/>
      <c r="F1354" s="75">
        <v>20622</v>
      </c>
      <c r="G1354" s="76" t="str">
        <f>VLOOKUP(Tabelle2[[#This Row],[Kunden Nr.]],KUNDEN!A:B,2,0)</f>
        <v>ILIRI QERAMIKA</v>
      </c>
      <c r="H1354" s="75">
        <v>35109</v>
      </c>
      <c r="I1354" s="76" t="str">
        <f>VLOOKUP(Tabelle2[[#This Row],[Artikel]],Produkte!A:B,2,0)</f>
        <v>M-ONE Sanitar Silikon</v>
      </c>
      <c r="J1354" s="75">
        <v>12</v>
      </c>
      <c r="K1354" s="76" t="str">
        <f>VLOOKUP(Tabelle2[[#This Row],[Kunden Nr.]],KUNDEN!A:G,7)</f>
        <v>Mensuri</v>
      </c>
      <c r="L1354" s="76">
        <f>VLOOKUP(Tabelle2[[#This Row],[Artikel]],Produkte!A:H,8)</f>
        <v>0.17</v>
      </c>
    </row>
    <row r="1355" spans="1:12" x14ac:dyDescent="0.2">
      <c r="A1355" s="75" t="s">
        <v>1305</v>
      </c>
      <c r="B1355" s="79">
        <v>46088</v>
      </c>
      <c r="C1355" s="75"/>
      <c r="D1355" s="75"/>
      <c r="E1355" s="75"/>
      <c r="F1355" s="75">
        <v>20622</v>
      </c>
      <c r="G1355" s="76" t="str">
        <f>VLOOKUP(Tabelle2[[#This Row],[Kunden Nr.]],KUNDEN!A:B,2,0)</f>
        <v>ILIRI QERAMIKA</v>
      </c>
      <c r="H1355" s="75">
        <v>35110</v>
      </c>
      <c r="I1355" s="76" t="str">
        <f>VLOOKUP(Tabelle2[[#This Row],[Artikel]],Produkte!A:B,2,0)</f>
        <v>M-ONE Sanitar Silikon</v>
      </c>
      <c r="J1355" s="75">
        <v>12</v>
      </c>
      <c r="K1355" s="76" t="str">
        <f>VLOOKUP(Tabelle2[[#This Row],[Kunden Nr.]],KUNDEN!A:G,7)</f>
        <v>Mensuri</v>
      </c>
      <c r="L1355" s="76">
        <f>VLOOKUP(Tabelle2[[#This Row],[Artikel]],Produkte!A:H,8)</f>
        <v>0.17</v>
      </c>
    </row>
    <row r="1356" spans="1:12" x14ac:dyDescent="0.2">
      <c r="A1356" s="75" t="s">
        <v>432</v>
      </c>
      <c r="B1356" s="79">
        <v>46088</v>
      </c>
      <c r="C1356" s="89">
        <v>184.8</v>
      </c>
      <c r="D1356" s="75"/>
      <c r="E1356" s="75"/>
      <c r="F1356" s="75">
        <v>20604</v>
      </c>
      <c r="G1356" s="76" t="str">
        <f>VLOOKUP(Tabelle2[[#This Row],[Kunden Nr.]],KUNDEN!A:B,2,0)</f>
        <v>ALFA-QERAMIKA</v>
      </c>
      <c r="H1356" s="75">
        <v>35113</v>
      </c>
      <c r="I1356" s="76" t="str">
        <f>VLOOKUP(Tabelle2[[#This Row],[Artikel]],Produkte!A:B,2,0)</f>
        <v>M-ONE Sanitar Silikon</v>
      </c>
      <c r="J1356" s="75">
        <v>24</v>
      </c>
      <c r="K1356" s="76" t="str">
        <f>VLOOKUP(Tabelle2[[#This Row],[Kunden Nr.]],KUNDEN!A:G,7)</f>
        <v>Mensuri</v>
      </c>
      <c r="L1356" s="76">
        <f>VLOOKUP(Tabelle2[[#This Row],[Artikel]],Produkte!A:H,8)</f>
        <v>0.17</v>
      </c>
    </row>
    <row r="1357" spans="1:12" x14ac:dyDescent="0.2">
      <c r="A1357" s="75" t="s">
        <v>432</v>
      </c>
      <c r="B1357" s="79">
        <v>46088</v>
      </c>
      <c r="C1357" s="75"/>
      <c r="D1357" s="75"/>
      <c r="E1357" s="75"/>
      <c r="F1357" s="75">
        <v>20604</v>
      </c>
      <c r="G1357" s="76" t="str">
        <f>VLOOKUP(Tabelle2[[#This Row],[Kunden Nr.]],KUNDEN!A:B,2,0)</f>
        <v>ALFA-QERAMIKA</v>
      </c>
      <c r="H1357" s="75">
        <v>35119</v>
      </c>
      <c r="I1357" s="76" t="str">
        <f>VLOOKUP(Tabelle2[[#This Row],[Artikel]],Produkte!A:B,2,0)</f>
        <v>M-ONE Sanitar Silikon</v>
      </c>
      <c r="J1357" s="75">
        <v>12</v>
      </c>
      <c r="K1357" s="76" t="str">
        <f>VLOOKUP(Tabelle2[[#This Row],[Kunden Nr.]],KUNDEN!A:G,7)</f>
        <v>Mensuri</v>
      </c>
      <c r="L1357" s="76">
        <f>VLOOKUP(Tabelle2[[#This Row],[Artikel]],Produkte!A:H,8)</f>
        <v>0.17</v>
      </c>
    </row>
    <row r="1358" spans="1:12" x14ac:dyDescent="0.2">
      <c r="A1358" s="75" t="s">
        <v>432</v>
      </c>
      <c r="B1358" s="79">
        <v>46088</v>
      </c>
      <c r="C1358" s="75"/>
      <c r="D1358" s="75"/>
      <c r="E1358" s="75"/>
      <c r="F1358" s="75">
        <v>20604</v>
      </c>
      <c r="G1358" s="76" t="str">
        <f>VLOOKUP(Tabelle2[[#This Row],[Kunden Nr.]],KUNDEN!A:B,2,0)</f>
        <v>ALFA-QERAMIKA</v>
      </c>
      <c r="H1358" s="75">
        <v>35121</v>
      </c>
      <c r="I1358" s="76" t="str">
        <f>VLOOKUP(Tabelle2[[#This Row],[Artikel]],Produkte!A:B,2,0)</f>
        <v>M-ONE Sanitar Silikon</v>
      </c>
      <c r="J1358" s="75">
        <v>12</v>
      </c>
      <c r="K1358" s="76" t="str">
        <f>VLOOKUP(Tabelle2[[#This Row],[Kunden Nr.]],KUNDEN!A:G,7)</f>
        <v>Mensuri</v>
      </c>
      <c r="L1358" s="76">
        <f>VLOOKUP(Tabelle2[[#This Row],[Artikel]],Produkte!A:H,8)</f>
        <v>0.17</v>
      </c>
    </row>
    <row r="1359" spans="1:12" x14ac:dyDescent="0.2">
      <c r="A1359" s="75" t="s">
        <v>1171</v>
      </c>
      <c r="B1359" s="79">
        <v>46088</v>
      </c>
      <c r="C1359" s="89">
        <v>92.4</v>
      </c>
      <c r="D1359" s="75"/>
      <c r="E1359" s="75"/>
      <c r="F1359" s="75">
        <v>20627</v>
      </c>
      <c r="G1359" s="76" t="str">
        <f>VLOOKUP(Tabelle2[[#This Row],[Kunden Nr.]],KUNDEN!A:B,2,0)</f>
        <v>UNIKA</v>
      </c>
      <c r="H1359" s="75">
        <v>35109</v>
      </c>
      <c r="I1359" s="76" t="str">
        <f>VLOOKUP(Tabelle2[[#This Row],[Artikel]],Produkte!A:B,2,0)</f>
        <v>M-ONE Sanitar Silikon</v>
      </c>
      <c r="J1359" s="75">
        <v>12</v>
      </c>
      <c r="K1359" s="76" t="str">
        <f>VLOOKUP(Tabelle2[[#This Row],[Kunden Nr.]],KUNDEN!A:G,7)</f>
        <v>Mensuri</v>
      </c>
      <c r="L1359" s="76">
        <f>VLOOKUP(Tabelle2[[#This Row],[Artikel]],Produkte!A:H,8)</f>
        <v>0.17</v>
      </c>
    </row>
    <row r="1360" spans="1:12" x14ac:dyDescent="0.2">
      <c r="A1360" s="75" t="s">
        <v>1171</v>
      </c>
      <c r="B1360" s="79">
        <v>46088</v>
      </c>
      <c r="C1360" s="75"/>
      <c r="D1360" s="75"/>
      <c r="E1360" s="75"/>
      <c r="F1360" s="75">
        <v>20627</v>
      </c>
      <c r="G1360" s="76" t="str">
        <f>VLOOKUP(Tabelle2[[#This Row],[Kunden Nr.]],KUNDEN!A:B,2,0)</f>
        <v>UNIKA</v>
      </c>
      <c r="H1360" s="75">
        <v>35110</v>
      </c>
      <c r="I1360" s="76" t="str">
        <f>VLOOKUP(Tabelle2[[#This Row],[Artikel]],Produkte!A:B,2,0)</f>
        <v>M-ONE Sanitar Silikon</v>
      </c>
      <c r="J1360" s="75">
        <v>12</v>
      </c>
      <c r="K1360" s="76" t="str">
        <f>VLOOKUP(Tabelle2[[#This Row],[Kunden Nr.]],KUNDEN!A:G,7)</f>
        <v>Mensuri</v>
      </c>
      <c r="L1360" s="76">
        <f>VLOOKUP(Tabelle2[[#This Row],[Artikel]],Produkte!A:H,8)</f>
        <v>0.17</v>
      </c>
    </row>
    <row r="1361" spans="1:12" x14ac:dyDescent="0.2">
      <c r="A1361" s="75" t="s">
        <v>434</v>
      </c>
      <c r="B1361" s="79">
        <v>46088</v>
      </c>
      <c r="C1361" s="89">
        <v>92.4</v>
      </c>
      <c r="D1361" s="75"/>
      <c r="E1361" s="75"/>
      <c r="F1361" s="75">
        <v>20606</v>
      </c>
      <c r="G1361" s="76" t="str">
        <f>VLOOKUP(Tabelle2[[#This Row],[Kunden Nr.]],KUNDEN!A:B,2,0)</f>
        <v>TE-SYLA</v>
      </c>
      <c r="H1361" s="75">
        <v>35113</v>
      </c>
      <c r="I1361" s="76" t="str">
        <f>VLOOKUP(Tabelle2[[#This Row],[Artikel]],Produkte!A:B,2,0)</f>
        <v>M-ONE Sanitar Silikon</v>
      </c>
      <c r="J1361" s="75">
        <v>12</v>
      </c>
      <c r="K1361" s="76" t="str">
        <f>VLOOKUP(Tabelle2[[#This Row],[Kunden Nr.]],KUNDEN!A:G,7)</f>
        <v>Mensuri</v>
      </c>
      <c r="L1361" s="76">
        <f>VLOOKUP(Tabelle2[[#This Row],[Artikel]],Produkte!A:H,8)</f>
        <v>0.17</v>
      </c>
    </row>
    <row r="1362" spans="1:12" x14ac:dyDescent="0.2">
      <c r="A1362" s="75" t="s">
        <v>434</v>
      </c>
      <c r="B1362" s="79">
        <v>46088</v>
      </c>
      <c r="C1362" s="75"/>
      <c r="D1362" s="75"/>
      <c r="E1362" s="75"/>
      <c r="F1362" s="75">
        <v>20606</v>
      </c>
      <c r="G1362" s="76" t="str">
        <f>VLOOKUP(Tabelle2[[#This Row],[Kunden Nr.]],KUNDEN!A:B,2,0)</f>
        <v>TE-SYLA</v>
      </c>
      <c r="H1362" s="75">
        <v>35128</v>
      </c>
      <c r="I1362" s="76" t="str">
        <f>VLOOKUP(Tabelle2[[#This Row],[Artikel]],Produkte!A:B,2,0)</f>
        <v>M-ONE Sanitar Silikon</v>
      </c>
      <c r="J1362" s="75">
        <v>12</v>
      </c>
      <c r="K1362" s="76" t="str">
        <f>VLOOKUP(Tabelle2[[#This Row],[Kunden Nr.]],KUNDEN!A:G,7)</f>
        <v>Mensuri</v>
      </c>
      <c r="L1362" s="76">
        <f>VLOOKUP(Tabelle2[[#This Row],[Artikel]],Produkte!A:H,8)</f>
        <v>0.17</v>
      </c>
    </row>
    <row r="1363" spans="1:12" x14ac:dyDescent="0.2">
      <c r="A1363" s="75" t="s">
        <v>676</v>
      </c>
      <c r="B1363" s="79">
        <v>46088</v>
      </c>
      <c r="C1363" s="89">
        <v>173.6</v>
      </c>
      <c r="D1363" s="75"/>
      <c r="E1363" s="75"/>
      <c r="F1363" s="75">
        <v>20607</v>
      </c>
      <c r="G1363" s="76" t="str">
        <f>VLOOKUP(Tabelle2[[#This Row],[Kunden Nr.]],KUNDEN!A:B,2,0)</f>
        <v xml:space="preserve">F.V. SH.P.K. </v>
      </c>
      <c r="H1363" s="75">
        <v>35113</v>
      </c>
      <c r="I1363" s="76" t="str">
        <f>VLOOKUP(Tabelle2[[#This Row],[Artikel]],Produkte!A:B,2,0)</f>
        <v>M-ONE Sanitar Silikon</v>
      </c>
      <c r="J1363" s="75">
        <v>12</v>
      </c>
      <c r="K1363" s="76" t="str">
        <f>VLOOKUP(Tabelle2[[#This Row],[Kunden Nr.]],KUNDEN!A:G,7)</f>
        <v>Mensuri</v>
      </c>
      <c r="L1363" s="76">
        <f>VLOOKUP(Tabelle2[[#This Row],[Artikel]],Produkte!A:H,8)</f>
        <v>0.17</v>
      </c>
    </row>
    <row r="1364" spans="1:12" x14ac:dyDescent="0.2">
      <c r="A1364" s="75" t="s">
        <v>676</v>
      </c>
      <c r="B1364" s="79">
        <v>46088</v>
      </c>
      <c r="C1364" s="75"/>
      <c r="D1364" s="75"/>
      <c r="E1364" s="75"/>
      <c r="F1364" s="75">
        <v>20607</v>
      </c>
      <c r="G1364" s="76" t="str">
        <f>VLOOKUP(Tabelle2[[#This Row],[Kunden Nr.]],KUNDEN!A:B,2,0)</f>
        <v xml:space="preserve">F.V. SH.P.K. </v>
      </c>
      <c r="H1364" s="75">
        <v>35115</v>
      </c>
      <c r="I1364" s="76" t="str">
        <f>VLOOKUP(Tabelle2[[#This Row],[Artikel]],Produkte!A:B,2,0)</f>
        <v>M-ONE Sanitar Silikon</v>
      </c>
      <c r="J1364" s="75">
        <v>12</v>
      </c>
      <c r="K1364" s="76" t="str">
        <f>VLOOKUP(Tabelle2[[#This Row],[Kunden Nr.]],KUNDEN!A:G,7)</f>
        <v>Mensuri</v>
      </c>
      <c r="L1364" s="76">
        <f>VLOOKUP(Tabelle2[[#This Row],[Artikel]],Produkte!A:H,8)</f>
        <v>0.17</v>
      </c>
    </row>
    <row r="1365" spans="1:12" x14ac:dyDescent="0.2">
      <c r="A1365" s="75" t="s">
        <v>676</v>
      </c>
      <c r="B1365" s="79">
        <v>46088</v>
      </c>
      <c r="C1365" s="75"/>
      <c r="D1365" s="75"/>
      <c r="E1365" s="75"/>
      <c r="F1365" s="75">
        <v>20607</v>
      </c>
      <c r="G1365" s="76" t="str">
        <f>VLOOKUP(Tabelle2[[#This Row],[Kunden Nr.]],KUNDEN!A:B,2,0)</f>
        <v xml:space="preserve">F.V. SH.P.K. </v>
      </c>
      <c r="H1365" s="75">
        <v>35128</v>
      </c>
      <c r="I1365" s="76" t="str">
        <f>VLOOKUP(Tabelle2[[#This Row],[Artikel]],Produkte!A:B,2,0)</f>
        <v>M-ONE Sanitar Silikon</v>
      </c>
      <c r="J1365" s="75">
        <v>12</v>
      </c>
      <c r="K1365" s="76" t="str">
        <f>VLOOKUP(Tabelle2[[#This Row],[Kunden Nr.]],KUNDEN!A:G,7)</f>
        <v>Mensuri</v>
      </c>
      <c r="L1365" s="76">
        <f>VLOOKUP(Tabelle2[[#This Row],[Artikel]],Produkte!A:H,8)</f>
        <v>0.17</v>
      </c>
    </row>
    <row r="1366" spans="1:12" x14ac:dyDescent="0.2">
      <c r="A1366" s="75" t="s">
        <v>676</v>
      </c>
      <c r="B1366" s="79">
        <v>46088</v>
      </c>
      <c r="C1366" s="75"/>
      <c r="D1366" s="75"/>
      <c r="E1366" s="75"/>
      <c r="F1366" s="75">
        <v>20607</v>
      </c>
      <c r="G1366" s="76" t="str">
        <f>VLOOKUP(Tabelle2[[#This Row],[Kunden Nr.]],KUNDEN!A:B,2,0)</f>
        <v xml:space="preserve">F.V. SH.P.K. </v>
      </c>
      <c r="H1366" s="75">
        <v>44001</v>
      </c>
      <c r="I1366" s="76" t="str">
        <f>VLOOKUP(Tabelle2[[#This Row],[Artikel]],Produkte!A:B,2,0)</f>
        <v>Fettspray</v>
      </c>
      <c r="J1366" s="75">
        <v>6</v>
      </c>
      <c r="K1366" s="76" t="str">
        <f>VLOOKUP(Tabelle2[[#This Row],[Kunden Nr.]],KUNDEN!A:G,7)</f>
        <v>Mensuri</v>
      </c>
      <c r="L1366" s="76">
        <f>VLOOKUP(Tabelle2[[#This Row],[Artikel]],Produkte!A:H,8)</f>
        <v>0.2</v>
      </c>
    </row>
    <row r="1367" spans="1:12" x14ac:dyDescent="0.2">
      <c r="A1367" s="75" t="s">
        <v>676</v>
      </c>
      <c r="B1367" s="79">
        <v>46088</v>
      </c>
      <c r="C1367" s="75"/>
      <c r="D1367" s="75"/>
      <c r="E1367" s="75"/>
      <c r="F1367" s="75">
        <v>20607</v>
      </c>
      <c r="G1367" s="76" t="str">
        <f>VLOOKUP(Tabelle2[[#This Row],[Kunden Nr.]],KUNDEN!A:B,2,0)</f>
        <v xml:space="preserve">F.V. SH.P.K. </v>
      </c>
      <c r="H1367" s="75">
        <v>55718</v>
      </c>
      <c r="I1367" s="76" t="str">
        <f>VLOOKUP(Tabelle2[[#This Row],[Artikel]],Produkte!A:B,2,0)</f>
        <v>M ONE MOTORSTART</v>
      </c>
      <c r="J1367" s="75">
        <v>4</v>
      </c>
      <c r="K1367" s="76" t="str">
        <f>VLOOKUP(Tabelle2[[#This Row],[Kunden Nr.]],KUNDEN!A:G,7)</f>
        <v>Mensuri</v>
      </c>
      <c r="L1367" s="76">
        <f>VLOOKUP(Tabelle2[[#This Row],[Artikel]],Produkte!A:H,8)</f>
        <v>0.2</v>
      </c>
    </row>
    <row r="1368" spans="1:12" x14ac:dyDescent="0.2">
      <c r="A1368" s="75" t="s">
        <v>1264</v>
      </c>
      <c r="B1368" s="79">
        <v>46088</v>
      </c>
      <c r="C1368" s="89">
        <v>184.8</v>
      </c>
      <c r="D1368" s="75"/>
      <c r="E1368" s="75"/>
      <c r="F1368" s="75">
        <v>20633</v>
      </c>
      <c r="G1368" s="76" t="str">
        <f>VLOOKUP(Tabelle2[[#This Row],[Kunden Nr.]],KUNDEN!A:B,2,0)</f>
        <v>ORCA</v>
      </c>
      <c r="H1368" s="75">
        <v>35109</v>
      </c>
      <c r="I1368" s="76" t="str">
        <f>VLOOKUP(Tabelle2[[#This Row],[Artikel]],Produkte!A:B,2,0)</f>
        <v>M-ONE Sanitar Silikon</v>
      </c>
      <c r="J1368" s="75">
        <v>12</v>
      </c>
      <c r="K1368" s="76" t="str">
        <f>VLOOKUP(Tabelle2[[#This Row],[Kunden Nr.]],KUNDEN!A:G,7)</f>
        <v>Mensuri</v>
      </c>
      <c r="L1368" s="76">
        <f>VLOOKUP(Tabelle2[[#This Row],[Artikel]],Produkte!A:H,8)</f>
        <v>0.17</v>
      </c>
    </row>
    <row r="1369" spans="1:12" x14ac:dyDescent="0.2">
      <c r="A1369" s="75" t="s">
        <v>1264</v>
      </c>
      <c r="B1369" s="79">
        <v>46088</v>
      </c>
      <c r="C1369" s="75"/>
      <c r="D1369" s="75"/>
      <c r="E1369" s="75"/>
      <c r="F1369" s="75">
        <v>20633</v>
      </c>
      <c r="G1369" s="76" t="str">
        <f>VLOOKUP(Tabelle2[[#This Row],[Kunden Nr.]],KUNDEN!A:B,2,0)</f>
        <v>ORCA</v>
      </c>
      <c r="H1369" s="75">
        <v>35110</v>
      </c>
      <c r="I1369" s="76" t="str">
        <f>VLOOKUP(Tabelle2[[#This Row],[Artikel]],Produkte!A:B,2,0)</f>
        <v>M-ONE Sanitar Silikon</v>
      </c>
      <c r="J1369" s="75">
        <v>12</v>
      </c>
      <c r="K1369" s="76" t="str">
        <f>VLOOKUP(Tabelle2[[#This Row],[Kunden Nr.]],KUNDEN!A:G,7)</f>
        <v>Mensuri</v>
      </c>
      <c r="L1369" s="76">
        <f>VLOOKUP(Tabelle2[[#This Row],[Artikel]],Produkte!A:H,8)</f>
        <v>0.17</v>
      </c>
    </row>
    <row r="1370" spans="1:12" x14ac:dyDescent="0.2">
      <c r="A1370" s="75" t="s">
        <v>1264</v>
      </c>
      <c r="B1370" s="79">
        <v>46088</v>
      </c>
      <c r="C1370" s="75"/>
      <c r="D1370" s="75"/>
      <c r="E1370" s="75"/>
      <c r="F1370" s="75">
        <v>20633</v>
      </c>
      <c r="G1370" s="76" t="str">
        <f>VLOOKUP(Tabelle2[[#This Row],[Kunden Nr.]],KUNDEN!A:B,2,0)</f>
        <v>ORCA</v>
      </c>
      <c r="H1370" s="75">
        <v>35111</v>
      </c>
      <c r="I1370" s="76" t="str">
        <f>VLOOKUP(Tabelle2[[#This Row],[Artikel]],Produkte!A:B,2,0)</f>
        <v>M-ONE Sanitar Silikon</v>
      </c>
      <c r="J1370" s="75">
        <v>12</v>
      </c>
      <c r="K1370" s="76" t="str">
        <f>VLOOKUP(Tabelle2[[#This Row],[Kunden Nr.]],KUNDEN!A:G,7)</f>
        <v>Mensuri</v>
      </c>
      <c r="L1370" s="76">
        <f>VLOOKUP(Tabelle2[[#This Row],[Artikel]],Produkte!A:H,8)</f>
        <v>0.17</v>
      </c>
    </row>
    <row r="1371" spans="1:12" x14ac:dyDescent="0.2">
      <c r="A1371" s="75" t="s">
        <v>1264</v>
      </c>
      <c r="B1371" s="79">
        <v>46088</v>
      </c>
      <c r="C1371" s="75"/>
      <c r="D1371" s="75"/>
      <c r="E1371" s="75"/>
      <c r="F1371" s="75">
        <v>20633</v>
      </c>
      <c r="G1371" s="76" t="str">
        <f>VLOOKUP(Tabelle2[[#This Row],[Kunden Nr.]],KUNDEN!A:B,2,0)</f>
        <v>ORCA</v>
      </c>
      <c r="H1371" s="75">
        <v>35113</v>
      </c>
      <c r="I1371" s="76" t="str">
        <f>VLOOKUP(Tabelle2[[#This Row],[Artikel]],Produkte!A:B,2,0)</f>
        <v>M-ONE Sanitar Silikon</v>
      </c>
      <c r="J1371" s="75">
        <v>12</v>
      </c>
      <c r="K1371" s="76" t="str">
        <f>VLOOKUP(Tabelle2[[#This Row],[Kunden Nr.]],KUNDEN!A:G,7)</f>
        <v>Mensuri</v>
      </c>
      <c r="L1371" s="76">
        <f>VLOOKUP(Tabelle2[[#This Row],[Artikel]],Produkte!A:H,8)</f>
        <v>0.17</v>
      </c>
    </row>
    <row r="1372" spans="1:12" x14ac:dyDescent="0.2">
      <c r="A1372" s="75" t="s">
        <v>1188</v>
      </c>
      <c r="B1372" s="79">
        <v>46090</v>
      </c>
      <c r="C1372" s="89">
        <v>46.2</v>
      </c>
      <c r="D1372" s="75"/>
      <c r="E1372" s="75"/>
      <c r="F1372" s="75">
        <v>10133</v>
      </c>
      <c r="G1372" s="76" t="str">
        <f>VLOOKUP(Tabelle2[[#This Row],[Kunden Nr.]],KUNDEN!A:B,2,0)</f>
        <v>HIDROELDI</v>
      </c>
      <c r="H1372" s="75">
        <v>35109</v>
      </c>
      <c r="I1372" s="76" t="str">
        <f>VLOOKUP(Tabelle2[[#This Row],[Artikel]],Produkte!A:B,2,0)</f>
        <v>M-ONE Sanitar Silikon</v>
      </c>
      <c r="J1372" s="75">
        <v>12</v>
      </c>
      <c r="K1372" s="76" t="str">
        <f>VLOOKUP(Tabelle2[[#This Row],[Kunden Nr.]],KUNDEN!A:G,7)</f>
        <v>Qerimi</v>
      </c>
      <c r="L1372" s="76">
        <f>VLOOKUP(Tabelle2[[#This Row],[Artikel]],Produkte!A:H,8)</f>
        <v>0.17</v>
      </c>
    </row>
    <row r="1373" spans="1:12" x14ac:dyDescent="0.2">
      <c r="A1373" s="75" t="s">
        <v>573</v>
      </c>
      <c r="B1373" s="79">
        <v>46090</v>
      </c>
      <c r="C1373" s="89">
        <v>150.6</v>
      </c>
      <c r="D1373" s="75"/>
      <c r="E1373" s="75"/>
      <c r="F1373" s="75">
        <v>10111</v>
      </c>
      <c r="G1373" s="76" t="str">
        <f>VLOOKUP(Tabelle2[[#This Row],[Kunden Nr.]],KUNDEN!A:B,2,0)</f>
        <v>KADIJOLLET</v>
      </c>
      <c r="H1373" s="75">
        <v>35115</v>
      </c>
      <c r="I1373" s="76" t="str">
        <f>VLOOKUP(Tabelle2[[#This Row],[Artikel]],Produkte!A:B,2,0)</f>
        <v>M-ONE Sanitar Silikon</v>
      </c>
      <c r="J1373" s="75">
        <v>12</v>
      </c>
      <c r="K1373" s="76" t="str">
        <f>VLOOKUP(Tabelle2[[#This Row],[Kunden Nr.]],KUNDEN!A:G,7)</f>
        <v>Qerimi</v>
      </c>
      <c r="L1373" s="76">
        <f>VLOOKUP(Tabelle2[[#This Row],[Artikel]],Produkte!A:H,8)</f>
        <v>0.17</v>
      </c>
    </row>
    <row r="1374" spans="1:12" x14ac:dyDescent="0.2">
      <c r="A1374" s="75" t="s">
        <v>573</v>
      </c>
      <c r="B1374" s="79">
        <v>46090</v>
      </c>
      <c r="C1374" s="75"/>
      <c r="D1374" s="75"/>
      <c r="E1374" s="75"/>
      <c r="F1374" s="75">
        <v>10111</v>
      </c>
      <c r="G1374" s="76" t="str">
        <f>VLOOKUP(Tabelle2[[#This Row],[Kunden Nr.]],KUNDEN!A:B,2,0)</f>
        <v>KADIJOLLET</v>
      </c>
      <c r="H1374" s="75">
        <v>35113</v>
      </c>
      <c r="I1374" s="76" t="str">
        <f>VLOOKUP(Tabelle2[[#This Row],[Artikel]],Produkte!A:B,2,0)</f>
        <v>M-ONE Sanitar Silikon</v>
      </c>
      <c r="J1374" s="75">
        <v>12</v>
      </c>
      <c r="K1374" s="76" t="str">
        <f>VLOOKUP(Tabelle2[[#This Row],[Kunden Nr.]],KUNDEN!A:G,7)</f>
        <v>Qerimi</v>
      </c>
      <c r="L1374" s="76">
        <f>VLOOKUP(Tabelle2[[#This Row],[Artikel]],Produkte!A:H,8)</f>
        <v>0.17</v>
      </c>
    </row>
    <row r="1375" spans="1:12" x14ac:dyDescent="0.2">
      <c r="A1375" s="75" t="s">
        <v>573</v>
      </c>
      <c r="B1375" s="79">
        <v>46090</v>
      </c>
      <c r="C1375" s="75"/>
      <c r="D1375" s="75"/>
      <c r="E1375" s="75"/>
      <c r="F1375" s="75">
        <v>10111</v>
      </c>
      <c r="G1375" s="76" t="str">
        <f>VLOOKUP(Tabelle2[[#This Row],[Kunden Nr.]],KUNDEN!A:B,2,0)</f>
        <v>KADIJOLLET</v>
      </c>
      <c r="H1375" s="75">
        <v>35119</v>
      </c>
      <c r="I1375" s="76" t="str">
        <f>VLOOKUP(Tabelle2[[#This Row],[Artikel]],Produkte!A:B,2,0)</f>
        <v>M-ONE Sanitar Silikon</v>
      </c>
      <c r="J1375" s="75">
        <v>12</v>
      </c>
      <c r="K1375" s="76" t="str">
        <f>VLOOKUP(Tabelle2[[#This Row],[Kunden Nr.]],KUNDEN!A:G,7)</f>
        <v>Qerimi</v>
      </c>
      <c r="L1375" s="76">
        <f>VLOOKUP(Tabelle2[[#This Row],[Artikel]],Produkte!A:H,8)</f>
        <v>0.17</v>
      </c>
    </row>
    <row r="1376" spans="1:12" x14ac:dyDescent="0.2">
      <c r="A1376" s="75" t="s">
        <v>573</v>
      </c>
      <c r="B1376" s="79">
        <v>46090</v>
      </c>
      <c r="C1376" s="75"/>
      <c r="D1376" s="75"/>
      <c r="E1376" s="75"/>
      <c r="F1376" s="75">
        <v>10111</v>
      </c>
      <c r="G1376" s="76" t="str">
        <f>VLOOKUP(Tabelle2[[#This Row],[Kunden Nr.]],KUNDEN!A:B,2,0)</f>
        <v>KADIJOLLET</v>
      </c>
      <c r="H1376" s="75">
        <v>49644</v>
      </c>
      <c r="I1376" s="76" t="str">
        <f>VLOOKUP(Tabelle2[[#This Row],[Artikel]],Produkte!A:B,2,0)</f>
        <v>beMAKER Rostlöser</v>
      </c>
      <c r="J1376" s="75">
        <v>6</v>
      </c>
      <c r="K1376" s="76" t="str">
        <f>VLOOKUP(Tabelle2[[#This Row],[Kunden Nr.]],KUNDEN!A:G,7)</f>
        <v>Qerimi</v>
      </c>
      <c r="L1376" s="76">
        <f>VLOOKUP(Tabelle2[[#This Row],[Artikel]],Produkte!A:H,8)</f>
        <v>0.2</v>
      </c>
    </row>
    <row r="1377" spans="1:12" x14ac:dyDescent="0.2">
      <c r="A1377" s="75" t="s">
        <v>588</v>
      </c>
      <c r="B1377" s="79">
        <v>46090</v>
      </c>
      <c r="C1377" s="89">
        <v>21.5</v>
      </c>
      <c r="D1377" s="75"/>
      <c r="E1377" s="75"/>
      <c r="F1377" s="75">
        <v>10126</v>
      </c>
      <c r="G1377" s="76" t="str">
        <f>VLOOKUP(Tabelle2[[#This Row],[Kunden Nr.]],KUNDEN!A:B,2,0)</f>
        <v>BOSCH</v>
      </c>
      <c r="H1377" s="75">
        <v>16936</v>
      </c>
      <c r="I1377" s="76" t="str">
        <f>VLOOKUP(Tabelle2[[#This Row],[Artikel]],Produkte!A:B,2,0)</f>
        <v>M ONE FELGENSILBER</v>
      </c>
      <c r="J1377" s="75">
        <v>2</v>
      </c>
      <c r="K1377" s="76" t="str">
        <f>VLOOKUP(Tabelle2[[#This Row],[Kunden Nr.]],KUNDEN!A:G,7)</f>
        <v>Qerimi</v>
      </c>
      <c r="L1377" s="76">
        <f>VLOOKUP(Tabelle2[[#This Row],[Artikel]],Produkte!A:H,8)</f>
        <v>0.15</v>
      </c>
    </row>
    <row r="1378" spans="1:12" x14ac:dyDescent="0.2">
      <c r="A1378" s="75" t="s">
        <v>588</v>
      </c>
      <c r="B1378" s="79">
        <v>46090</v>
      </c>
      <c r="C1378" s="75"/>
      <c r="D1378" s="75"/>
      <c r="E1378" s="75"/>
      <c r="F1378" s="75">
        <v>10126</v>
      </c>
      <c r="G1378" s="76" t="str">
        <f>VLOOKUP(Tabelle2[[#This Row],[Kunden Nr.]],KUNDEN!A:B,2,0)</f>
        <v>BOSCH</v>
      </c>
      <c r="H1378" s="75">
        <v>55718</v>
      </c>
      <c r="I1378" s="76" t="str">
        <f>VLOOKUP(Tabelle2[[#This Row],[Artikel]],Produkte!A:B,2,0)</f>
        <v>M ONE MOTORSTART</v>
      </c>
      <c r="J1378" s="75">
        <v>5</v>
      </c>
      <c r="K1378" s="76" t="str">
        <f>VLOOKUP(Tabelle2[[#This Row],[Kunden Nr.]],KUNDEN!A:G,7)</f>
        <v>Qerimi</v>
      </c>
      <c r="L1378" s="76">
        <f>VLOOKUP(Tabelle2[[#This Row],[Artikel]],Produkte!A:H,8)</f>
        <v>0.2</v>
      </c>
    </row>
    <row r="1379" spans="1:12" x14ac:dyDescent="0.2">
      <c r="A1379" s="75" t="s">
        <v>576</v>
      </c>
      <c r="B1379" s="79">
        <v>46090</v>
      </c>
      <c r="C1379" s="89">
        <v>92.4</v>
      </c>
      <c r="D1379" s="75"/>
      <c r="E1379" s="75"/>
      <c r="F1379" s="75">
        <v>10114</v>
      </c>
      <c r="G1379" s="76" t="str">
        <f>VLOOKUP(Tabelle2[[#This Row],[Kunden Nr.]],KUNDEN!A:B,2,0)</f>
        <v>QELA</v>
      </c>
      <c r="H1379" s="75">
        <v>35111</v>
      </c>
      <c r="I1379" s="76" t="str">
        <f>VLOOKUP(Tabelle2[[#This Row],[Artikel]],Produkte!A:B,2,0)</f>
        <v>M-ONE Sanitar Silikon</v>
      </c>
      <c r="J1379" s="75">
        <v>12</v>
      </c>
      <c r="K1379" s="76" t="str">
        <f>VLOOKUP(Tabelle2[[#This Row],[Kunden Nr.]],KUNDEN!A:G,7)</f>
        <v>Qerimi</v>
      </c>
      <c r="L1379" s="76">
        <f>VLOOKUP(Tabelle2[[#This Row],[Artikel]],Produkte!A:H,8)</f>
        <v>0.17</v>
      </c>
    </row>
    <row r="1380" spans="1:12" x14ac:dyDescent="0.2">
      <c r="A1380" s="75" t="s">
        <v>576</v>
      </c>
      <c r="B1380" s="79">
        <v>46090</v>
      </c>
      <c r="C1380" s="75"/>
      <c r="D1380" s="75"/>
      <c r="E1380" s="75"/>
      <c r="F1380" s="75">
        <v>10114</v>
      </c>
      <c r="G1380" s="76" t="str">
        <f>VLOOKUP(Tabelle2[[#This Row],[Kunden Nr.]],KUNDEN!A:B,2,0)</f>
        <v>QELA</v>
      </c>
      <c r="H1380" s="75">
        <v>35119</v>
      </c>
      <c r="I1380" s="76" t="str">
        <f>VLOOKUP(Tabelle2[[#This Row],[Artikel]],Produkte!A:B,2,0)</f>
        <v>M-ONE Sanitar Silikon</v>
      </c>
      <c r="J1380" s="75">
        <v>12</v>
      </c>
      <c r="K1380" s="76" t="str">
        <f>VLOOKUP(Tabelle2[[#This Row],[Kunden Nr.]],KUNDEN!A:G,7)</f>
        <v>Qerimi</v>
      </c>
      <c r="L1380" s="76">
        <f>VLOOKUP(Tabelle2[[#This Row],[Artikel]],Produkte!A:H,8)</f>
        <v>0.17</v>
      </c>
    </row>
    <row r="1381" spans="1:12" x14ac:dyDescent="0.2">
      <c r="A1381" s="75" t="s">
        <v>566</v>
      </c>
      <c r="B1381" s="79">
        <v>46090</v>
      </c>
      <c r="C1381" s="89">
        <v>46.2</v>
      </c>
      <c r="D1381" s="75"/>
      <c r="E1381" s="75"/>
      <c r="F1381" s="75">
        <v>10104</v>
      </c>
      <c r="G1381" s="76" t="str">
        <f>VLOOKUP(Tabelle2[[#This Row],[Kunden Nr.]],KUNDEN!A:B,2,0)</f>
        <v>JETARI</v>
      </c>
      <c r="H1381" s="75">
        <v>35115</v>
      </c>
      <c r="I1381" s="76" t="str">
        <f>VLOOKUP(Tabelle2[[#This Row],[Artikel]],Produkte!A:B,2,0)</f>
        <v>M-ONE Sanitar Silikon</v>
      </c>
      <c r="J1381" s="75">
        <v>12</v>
      </c>
      <c r="K1381" s="76" t="str">
        <f>VLOOKUP(Tabelle2[[#This Row],[Kunden Nr.]],KUNDEN!A:G,7)</f>
        <v>Qerimi</v>
      </c>
      <c r="L1381" s="76">
        <f>VLOOKUP(Tabelle2[[#This Row],[Artikel]],Produkte!A:H,8)</f>
        <v>0.17</v>
      </c>
    </row>
    <row r="1382" spans="1:12" x14ac:dyDescent="0.2">
      <c r="A1382" s="75" t="s">
        <v>565</v>
      </c>
      <c r="B1382" s="79">
        <v>46090</v>
      </c>
      <c r="C1382" s="89">
        <v>46.2</v>
      </c>
      <c r="D1382" s="75"/>
      <c r="E1382" s="75"/>
      <c r="F1382" s="75">
        <v>10103</v>
      </c>
      <c r="G1382" s="76" t="str">
        <f>VLOOKUP(Tabelle2[[#This Row],[Kunden Nr.]],KUNDEN!A:B,2,0)</f>
        <v>BESI COM</v>
      </c>
      <c r="H1382" s="75">
        <v>35113</v>
      </c>
      <c r="I1382" s="76" t="str">
        <f>VLOOKUP(Tabelle2[[#This Row],[Artikel]],Produkte!A:B,2,0)</f>
        <v>M-ONE Sanitar Silikon</v>
      </c>
      <c r="J1382" s="75">
        <v>12</v>
      </c>
      <c r="K1382" s="76" t="str">
        <f>VLOOKUP(Tabelle2[[#This Row],[Kunden Nr.]],KUNDEN!A:G,7)</f>
        <v>Qerimi</v>
      </c>
      <c r="L1382" s="76">
        <f>VLOOKUP(Tabelle2[[#This Row],[Artikel]],Produkte!A:H,8)</f>
        <v>0.17</v>
      </c>
    </row>
    <row r="1383" spans="1:12" x14ac:dyDescent="0.2">
      <c r="A1383" s="75" t="s">
        <v>474</v>
      </c>
      <c r="B1383" s="79">
        <v>46090</v>
      </c>
      <c r="C1383" s="89">
        <v>92.4</v>
      </c>
      <c r="D1383" s="75"/>
      <c r="E1383" s="75"/>
      <c r="F1383" s="75">
        <v>20109</v>
      </c>
      <c r="G1383" s="76" t="str">
        <f>VLOOKUP(Tabelle2[[#This Row],[Kunden Nr.]],KUNDEN!A:B,2,0)</f>
        <v>KENA COMERC</v>
      </c>
      <c r="H1383" s="75">
        <v>35113</v>
      </c>
      <c r="I1383" s="76" t="str">
        <f>VLOOKUP(Tabelle2[[#This Row],[Artikel]],Produkte!A:B,2,0)</f>
        <v>M-ONE Sanitar Silikon</v>
      </c>
      <c r="J1383" s="75">
        <v>12</v>
      </c>
      <c r="K1383" s="76" t="str">
        <f>VLOOKUP(Tabelle2[[#This Row],[Kunden Nr.]],KUNDEN!A:G,7)</f>
        <v>Mensuri</v>
      </c>
      <c r="L1383" s="76">
        <f>VLOOKUP(Tabelle2[[#This Row],[Artikel]],Produkte!A:H,8)</f>
        <v>0.17</v>
      </c>
    </row>
    <row r="1384" spans="1:12" x14ac:dyDescent="0.2">
      <c r="A1384" s="75" t="s">
        <v>474</v>
      </c>
      <c r="B1384" s="79">
        <v>46090</v>
      </c>
      <c r="C1384" s="75"/>
      <c r="D1384" s="75"/>
      <c r="E1384" s="75"/>
      <c r="F1384" s="75">
        <v>20109</v>
      </c>
      <c r="G1384" s="76" t="str">
        <f>VLOOKUP(Tabelle2[[#This Row],[Kunden Nr.]],KUNDEN!A:B,2,0)</f>
        <v>KENA COMERC</v>
      </c>
      <c r="H1384" s="75">
        <v>35121</v>
      </c>
      <c r="I1384" s="76" t="str">
        <f>VLOOKUP(Tabelle2[[#This Row],[Artikel]],Produkte!A:B,2,0)</f>
        <v>M-ONE Sanitar Silikon</v>
      </c>
      <c r="J1384" s="75">
        <v>12</v>
      </c>
      <c r="K1384" s="76" t="str">
        <f>VLOOKUP(Tabelle2[[#This Row],[Kunden Nr.]],KUNDEN!A:G,7)</f>
        <v>Mensuri</v>
      </c>
      <c r="L1384" s="76">
        <f>VLOOKUP(Tabelle2[[#This Row],[Artikel]],Produkte!A:H,8)</f>
        <v>0.17</v>
      </c>
    </row>
    <row r="1385" spans="1:12" x14ac:dyDescent="0.2">
      <c r="A1385" s="75" t="s">
        <v>959</v>
      </c>
      <c r="B1385" s="79">
        <v>46090</v>
      </c>
      <c r="C1385" s="89">
        <v>200.8</v>
      </c>
      <c r="D1385" s="75"/>
      <c r="E1385" s="75"/>
      <c r="F1385" s="75">
        <v>20108</v>
      </c>
      <c r="G1385" s="76" t="str">
        <f>VLOOKUP(Tabelle2[[#This Row],[Kunden Nr.]],KUNDEN!A:B,2,0)</f>
        <v>ING PROJEKT</v>
      </c>
      <c r="H1385" s="75">
        <v>35108</v>
      </c>
      <c r="I1385" s="76" t="str">
        <f>VLOOKUP(Tabelle2[[#This Row],[Artikel]],Produkte!A:B,2,0)</f>
        <v>M-ONE Sanitar Silikon</v>
      </c>
      <c r="J1385" s="75">
        <v>12</v>
      </c>
      <c r="K1385" s="76" t="str">
        <f>VLOOKUP(Tabelle2[[#This Row],[Kunden Nr.]],KUNDEN!A:G,7)</f>
        <v>Mensuri</v>
      </c>
      <c r="L1385" s="76">
        <f>VLOOKUP(Tabelle2[[#This Row],[Artikel]],Produkte!A:H,8)</f>
        <v>0.17</v>
      </c>
    </row>
    <row r="1386" spans="1:12" x14ac:dyDescent="0.2">
      <c r="A1386" s="75" t="s">
        <v>959</v>
      </c>
      <c r="B1386" s="79">
        <v>46090</v>
      </c>
      <c r="C1386" s="75"/>
      <c r="D1386" s="75"/>
      <c r="E1386" s="75"/>
      <c r="F1386" s="75">
        <v>20108</v>
      </c>
      <c r="G1386" s="76" t="str">
        <f>VLOOKUP(Tabelle2[[#This Row],[Kunden Nr.]],KUNDEN!A:B,2,0)</f>
        <v>ING PROJEKT</v>
      </c>
      <c r="H1386" s="75">
        <v>35110</v>
      </c>
      <c r="I1386" s="76" t="str">
        <f>VLOOKUP(Tabelle2[[#This Row],[Artikel]],Produkte!A:B,2,0)</f>
        <v>M-ONE Sanitar Silikon</v>
      </c>
      <c r="J1386" s="75">
        <v>12</v>
      </c>
      <c r="K1386" s="76" t="str">
        <f>VLOOKUP(Tabelle2[[#This Row],[Kunden Nr.]],KUNDEN!A:G,7)</f>
        <v>Mensuri</v>
      </c>
      <c r="L1386" s="76">
        <f>VLOOKUP(Tabelle2[[#This Row],[Artikel]],Produkte!A:H,8)</f>
        <v>0.17</v>
      </c>
    </row>
    <row r="1387" spans="1:12" x14ac:dyDescent="0.2">
      <c r="A1387" s="75" t="s">
        <v>959</v>
      </c>
      <c r="B1387" s="79">
        <v>46090</v>
      </c>
      <c r="C1387" s="75"/>
      <c r="D1387" s="75"/>
      <c r="E1387" s="75"/>
      <c r="F1387" s="75">
        <v>20108</v>
      </c>
      <c r="G1387" s="76" t="str">
        <f>VLOOKUP(Tabelle2[[#This Row],[Kunden Nr.]],KUNDEN!A:B,2,0)</f>
        <v>ING PROJEKT</v>
      </c>
      <c r="H1387" s="75">
        <v>35113</v>
      </c>
      <c r="I1387" s="76" t="str">
        <f>VLOOKUP(Tabelle2[[#This Row],[Artikel]],Produkte!A:B,2,0)</f>
        <v>M-ONE Sanitar Silikon</v>
      </c>
      <c r="J1387" s="75">
        <v>12</v>
      </c>
      <c r="K1387" s="76" t="str">
        <f>VLOOKUP(Tabelle2[[#This Row],[Kunden Nr.]],KUNDEN!A:G,7)</f>
        <v>Mensuri</v>
      </c>
      <c r="L1387" s="76">
        <f>VLOOKUP(Tabelle2[[#This Row],[Artikel]],Produkte!A:H,8)</f>
        <v>0.17</v>
      </c>
    </row>
    <row r="1388" spans="1:12" x14ac:dyDescent="0.2">
      <c r="A1388" s="75" t="s">
        <v>959</v>
      </c>
      <c r="B1388" s="79">
        <v>46090</v>
      </c>
      <c r="C1388" s="75"/>
      <c r="D1388" s="75"/>
      <c r="E1388" s="75"/>
      <c r="F1388" s="75">
        <v>20108</v>
      </c>
      <c r="G1388" s="76" t="str">
        <f>VLOOKUP(Tabelle2[[#This Row],[Kunden Nr.]],KUNDEN!A:B,2,0)</f>
        <v>ING PROJEKT</v>
      </c>
      <c r="H1388" s="75">
        <v>35125</v>
      </c>
      <c r="I1388" s="76" t="str">
        <f>VLOOKUP(Tabelle2[[#This Row],[Artikel]],Produkte!A:B,2,0)</f>
        <v>M-ONE Sanitar Silikon</v>
      </c>
      <c r="J1388" s="75">
        <v>12</v>
      </c>
      <c r="K1388" s="76" t="str">
        <f>VLOOKUP(Tabelle2[[#This Row],[Kunden Nr.]],KUNDEN!A:G,7)</f>
        <v>Mensuri</v>
      </c>
      <c r="L1388" s="76">
        <f>VLOOKUP(Tabelle2[[#This Row],[Artikel]],Produkte!A:H,8)</f>
        <v>0.17</v>
      </c>
    </row>
    <row r="1389" spans="1:12" x14ac:dyDescent="0.2">
      <c r="A1389" s="75" t="s">
        <v>959</v>
      </c>
      <c r="B1389" s="79">
        <v>46090</v>
      </c>
      <c r="C1389" s="75"/>
      <c r="D1389" s="75"/>
      <c r="E1389" s="75"/>
      <c r="F1389" s="75">
        <v>20108</v>
      </c>
      <c r="G1389" s="76" t="str">
        <f>VLOOKUP(Tabelle2[[#This Row],[Kunden Nr.]],KUNDEN!A:B,2,0)</f>
        <v>ING PROJEKT</v>
      </c>
      <c r="H1389" s="75">
        <v>49644</v>
      </c>
      <c r="I1389" s="76" t="str">
        <f>VLOOKUP(Tabelle2[[#This Row],[Artikel]],Produkte!A:B,2,0)</f>
        <v>beMAKER Rostlöser</v>
      </c>
      <c r="J1389" s="75">
        <v>8</v>
      </c>
      <c r="K1389" s="76" t="str">
        <f>VLOOKUP(Tabelle2[[#This Row],[Kunden Nr.]],KUNDEN!A:G,7)</f>
        <v>Mensuri</v>
      </c>
      <c r="L1389" s="76">
        <f>VLOOKUP(Tabelle2[[#This Row],[Artikel]],Produkte!A:H,8)</f>
        <v>0.2</v>
      </c>
    </row>
    <row r="1390" spans="1:12" x14ac:dyDescent="0.2">
      <c r="A1390" s="75" t="s">
        <v>1306</v>
      </c>
      <c r="B1390" s="79">
        <v>46090</v>
      </c>
      <c r="C1390" s="89">
        <v>138.6</v>
      </c>
      <c r="D1390" s="75"/>
      <c r="E1390" s="75"/>
      <c r="F1390" s="75">
        <v>20129</v>
      </c>
      <c r="G1390" s="76" t="str">
        <f>VLOOKUP(Tabelle2[[#This Row],[Kunden Nr.]],KUNDEN!A:B,2,0)</f>
        <v>LNI SHPK</v>
      </c>
      <c r="H1390" s="75">
        <v>35111</v>
      </c>
      <c r="I1390" s="76" t="str">
        <f>VLOOKUP(Tabelle2[[#This Row],[Artikel]],Produkte!A:B,2,0)</f>
        <v>M-ONE Sanitar Silikon</v>
      </c>
      <c r="J1390" s="75">
        <v>12</v>
      </c>
      <c r="K1390" s="76" t="str">
        <f>VLOOKUP(Tabelle2[[#This Row],[Kunden Nr.]],KUNDEN!A:G,7)</f>
        <v>Mensuri</v>
      </c>
      <c r="L1390" s="76">
        <f>VLOOKUP(Tabelle2[[#This Row],[Artikel]],Produkte!A:H,8)</f>
        <v>0.17</v>
      </c>
    </row>
    <row r="1391" spans="1:12" x14ac:dyDescent="0.2">
      <c r="A1391" s="75" t="s">
        <v>1306</v>
      </c>
      <c r="B1391" s="79">
        <v>46090</v>
      </c>
      <c r="C1391" s="75"/>
      <c r="D1391" s="75"/>
      <c r="E1391" s="75"/>
      <c r="F1391" s="75">
        <v>20129</v>
      </c>
      <c r="G1391" s="76" t="str">
        <f>VLOOKUP(Tabelle2[[#This Row],[Kunden Nr.]],KUNDEN!A:B,2,0)</f>
        <v>LNI SHPK</v>
      </c>
      <c r="H1391" s="75">
        <v>35115</v>
      </c>
      <c r="I1391" s="76" t="str">
        <f>VLOOKUP(Tabelle2[[#This Row],[Artikel]],Produkte!A:B,2,0)</f>
        <v>M-ONE Sanitar Silikon</v>
      </c>
      <c r="J1391" s="75">
        <v>12</v>
      </c>
      <c r="K1391" s="76" t="str">
        <f>VLOOKUP(Tabelle2[[#This Row],[Kunden Nr.]],KUNDEN!A:G,7)</f>
        <v>Mensuri</v>
      </c>
      <c r="L1391" s="76">
        <f>VLOOKUP(Tabelle2[[#This Row],[Artikel]],Produkte!A:H,8)</f>
        <v>0.17</v>
      </c>
    </row>
    <row r="1392" spans="1:12" x14ac:dyDescent="0.2">
      <c r="A1392" s="75" t="s">
        <v>1306</v>
      </c>
      <c r="B1392" s="79">
        <v>46090</v>
      </c>
      <c r="C1392" s="75"/>
      <c r="D1392" s="75"/>
      <c r="E1392" s="75"/>
      <c r="F1392" s="75">
        <v>20129</v>
      </c>
      <c r="G1392" s="76" t="str">
        <f>VLOOKUP(Tabelle2[[#This Row],[Kunden Nr.]],KUNDEN!A:B,2,0)</f>
        <v>LNI SHPK</v>
      </c>
      <c r="H1392" s="75">
        <v>35113</v>
      </c>
      <c r="I1392" s="76" t="str">
        <f>VLOOKUP(Tabelle2[[#This Row],[Artikel]],Produkte!A:B,2,0)</f>
        <v>M-ONE Sanitar Silikon</v>
      </c>
      <c r="J1392" s="75">
        <v>12</v>
      </c>
      <c r="K1392" s="76" t="str">
        <f>VLOOKUP(Tabelle2[[#This Row],[Kunden Nr.]],KUNDEN!A:G,7)</f>
        <v>Mensuri</v>
      </c>
      <c r="L1392" s="76">
        <f>VLOOKUP(Tabelle2[[#This Row],[Artikel]],Produkte!A:H,8)</f>
        <v>0.17</v>
      </c>
    </row>
    <row r="1393" spans="1:12" x14ac:dyDescent="0.2">
      <c r="A1393" s="75" t="s">
        <v>469</v>
      </c>
      <c r="B1393" s="79">
        <v>46090</v>
      </c>
      <c r="C1393" s="89">
        <v>54.5</v>
      </c>
      <c r="D1393" s="75"/>
      <c r="E1393" s="75"/>
      <c r="F1393" s="75">
        <v>20102</v>
      </c>
      <c r="G1393" s="76" t="str">
        <f>VLOOKUP(Tabelle2[[#This Row],[Kunden Nr.]],KUNDEN!A:B,2,0)</f>
        <v>KUQI-LKW</v>
      </c>
      <c r="H1393" s="75">
        <v>50912</v>
      </c>
      <c r="I1393" s="76" t="str">
        <f>VLOOKUP(Tabelle2[[#This Row],[Artikel]],Produkte!A:B,2,0)</f>
        <v>DICHTUNG</v>
      </c>
      <c r="J1393" s="75">
        <v>5</v>
      </c>
      <c r="K1393" s="76" t="str">
        <f>VLOOKUP(Tabelle2[[#This Row],[Kunden Nr.]],KUNDEN!A:G,7)</f>
        <v>Mensuri</v>
      </c>
      <c r="L1393" s="76">
        <f>VLOOKUP(Tabelle2[[#This Row],[Artikel]],Produkte!A:H,8)</f>
        <v>0.2</v>
      </c>
    </row>
    <row r="1394" spans="1:12" x14ac:dyDescent="0.2">
      <c r="A1394" s="75" t="s">
        <v>469</v>
      </c>
      <c r="B1394" s="79">
        <v>46090</v>
      </c>
      <c r="C1394" s="75"/>
      <c r="D1394" s="75"/>
      <c r="E1394" s="75"/>
      <c r="F1394" s="75">
        <v>20102</v>
      </c>
      <c r="G1394" s="76" t="str">
        <f>VLOOKUP(Tabelle2[[#This Row],[Kunden Nr.]],KUNDEN!A:B,2,0)</f>
        <v>KUQI-LKW</v>
      </c>
      <c r="H1394" s="75">
        <v>55718</v>
      </c>
      <c r="I1394" s="76" t="str">
        <f>VLOOKUP(Tabelle2[[#This Row],[Artikel]],Produkte!A:B,2,0)</f>
        <v>M ONE MOTORSTART</v>
      </c>
      <c r="J1394" s="75">
        <v>2</v>
      </c>
      <c r="K1394" s="76" t="str">
        <f>VLOOKUP(Tabelle2[[#This Row],[Kunden Nr.]],KUNDEN!A:G,7)</f>
        <v>Mensuri</v>
      </c>
      <c r="L1394" s="76">
        <f>VLOOKUP(Tabelle2[[#This Row],[Artikel]],Produkte!A:H,8)</f>
        <v>0.2</v>
      </c>
    </row>
    <row r="1395" spans="1:12" x14ac:dyDescent="0.2">
      <c r="A1395" s="75" t="s">
        <v>469</v>
      </c>
      <c r="B1395" s="79">
        <v>46090</v>
      </c>
      <c r="C1395" s="75"/>
      <c r="D1395" s="75"/>
      <c r="E1395" s="75"/>
      <c r="F1395" s="75">
        <v>20102</v>
      </c>
      <c r="G1395" s="76" t="str">
        <f>VLOOKUP(Tabelle2[[#This Row],[Kunden Nr.]],KUNDEN!A:B,2,0)</f>
        <v>KUQI-LKW</v>
      </c>
      <c r="H1395" s="75">
        <v>44001</v>
      </c>
      <c r="I1395" s="76" t="str">
        <f>VLOOKUP(Tabelle2[[#This Row],[Artikel]],Produkte!A:B,2,0)</f>
        <v>Fettspray</v>
      </c>
      <c r="J1395" s="75">
        <v>2</v>
      </c>
      <c r="K1395" s="76" t="str">
        <f>VLOOKUP(Tabelle2[[#This Row],[Kunden Nr.]],KUNDEN!A:G,7)</f>
        <v>Mensuri</v>
      </c>
      <c r="L1395" s="76">
        <f>VLOOKUP(Tabelle2[[#This Row],[Artikel]],Produkte!A:H,8)</f>
        <v>0.2</v>
      </c>
    </row>
    <row r="1396" spans="1:12" x14ac:dyDescent="0.2">
      <c r="A1396" s="75" t="s">
        <v>469</v>
      </c>
      <c r="B1396" s="79">
        <v>46090</v>
      </c>
      <c r="C1396" s="75"/>
      <c r="D1396" s="75"/>
      <c r="E1396" s="75"/>
      <c r="F1396" s="75">
        <v>20102</v>
      </c>
      <c r="G1396" s="76" t="str">
        <f>VLOOKUP(Tabelle2[[#This Row],[Kunden Nr.]],KUNDEN!A:B,2,0)</f>
        <v>KUQI-LKW</v>
      </c>
      <c r="H1396" s="75">
        <v>31815</v>
      </c>
      <c r="I1396" s="76" t="str">
        <f>VLOOKUP(Tabelle2[[#This Row],[Artikel]],Produkte!A:B,2,0)</f>
        <v>M ONE LACK HELLGRAU</v>
      </c>
      <c r="J1396" s="75">
        <v>1</v>
      </c>
      <c r="K1396" s="76" t="str">
        <f>VLOOKUP(Tabelle2[[#This Row],[Kunden Nr.]],KUNDEN!A:G,7)</f>
        <v>Mensuri</v>
      </c>
      <c r="L1396" s="76">
        <f>VLOOKUP(Tabelle2[[#This Row],[Artikel]],Produkte!A:H,8)</f>
        <v>0.15</v>
      </c>
    </row>
    <row r="1397" spans="1:12" x14ac:dyDescent="0.2">
      <c r="A1397" s="75" t="s">
        <v>469</v>
      </c>
      <c r="B1397" s="79">
        <v>46090</v>
      </c>
      <c r="C1397" s="75"/>
      <c r="D1397" s="75"/>
      <c r="E1397" s="75"/>
      <c r="F1397" s="75">
        <v>20102</v>
      </c>
      <c r="G1397" s="76" t="str">
        <f>VLOOKUP(Tabelle2[[#This Row],[Kunden Nr.]],KUNDEN!A:B,2,0)</f>
        <v>KUQI-LKW</v>
      </c>
      <c r="H1397" s="75">
        <v>31827</v>
      </c>
      <c r="I1397" s="76" t="str">
        <f>VLOOKUP(Tabelle2[[#This Row],[Artikel]],Produkte!A:B,2,0)</f>
        <v>M ONE LACK GRUN</v>
      </c>
      <c r="J1397" s="75">
        <v>1</v>
      </c>
      <c r="K1397" s="76" t="str">
        <f>VLOOKUP(Tabelle2[[#This Row],[Kunden Nr.]],KUNDEN!A:G,7)</f>
        <v>Mensuri</v>
      </c>
      <c r="L1397" s="76">
        <f>VLOOKUP(Tabelle2[[#This Row],[Artikel]],Produkte!A:H,8)</f>
        <v>0.15</v>
      </c>
    </row>
    <row r="1398" spans="1:12" x14ac:dyDescent="0.2">
      <c r="A1398" s="75" t="s">
        <v>469</v>
      </c>
      <c r="B1398" s="79">
        <v>46090</v>
      </c>
      <c r="C1398" s="75"/>
      <c r="D1398" s="75"/>
      <c r="E1398" s="75"/>
      <c r="F1398" s="75">
        <v>20102</v>
      </c>
      <c r="G1398" s="76" t="str">
        <f>VLOOKUP(Tabelle2[[#This Row],[Kunden Nr.]],KUNDEN!A:B,2,0)</f>
        <v>KUQI-LKW</v>
      </c>
      <c r="H1398" s="75">
        <v>31812</v>
      </c>
      <c r="I1398" s="76" t="str">
        <f>VLOOKUP(Tabelle2[[#This Row],[Artikel]],Produkte!A:B,2,0)</f>
        <v>M ONE LACK GELB</v>
      </c>
      <c r="J1398" s="75">
        <v>1</v>
      </c>
      <c r="K1398" s="76" t="str">
        <f>VLOOKUP(Tabelle2[[#This Row],[Kunden Nr.]],KUNDEN!A:G,7)</f>
        <v>Mensuri</v>
      </c>
      <c r="L1398" s="76">
        <f>VLOOKUP(Tabelle2[[#This Row],[Artikel]],Produkte!A:H,8)</f>
        <v>0.15</v>
      </c>
    </row>
    <row r="1399" spans="1:12" x14ac:dyDescent="0.2">
      <c r="A1399" s="75" t="s">
        <v>468</v>
      </c>
      <c r="B1399" s="79">
        <v>46090</v>
      </c>
      <c r="C1399" s="89">
        <v>30</v>
      </c>
      <c r="D1399" s="75"/>
      <c r="E1399" s="75"/>
      <c r="F1399" s="75">
        <v>20101</v>
      </c>
      <c r="G1399" s="76" t="str">
        <f>VLOOKUP(Tabelle2[[#This Row],[Kunden Nr.]],KUNDEN!A:B,2,0)</f>
        <v>TE GZIMI</v>
      </c>
      <c r="H1399" s="75">
        <v>49644</v>
      </c>
      <c r="I1399" s="76" t="str">
        <f>VLOOKUP(Tabelle2[[#This Row],[Artikel]],Produkte!A:B,2,0)</f>
        <v>beMAKER Rostlöser</v>
      </c>
      <c r="J1399" s="75">
        <v>11</v>
      </c>
      <c r="K1399" s="76" t="str">
        <f>VLOOKUP(Tabelle2[[#This Row],[Kunden Nr.]],KUNDEN!A:G,7)</f>
        <v>Mensuri</v>
      </c>
      <c r="L1399" s="76">
        <f>VLOOKUP(Tabelle2[[#This Row],[Artikel]],Produkte!A:H,8)</f>
        <v>0.2</v>
      </c>
    </row>
    <row r="1400" spans="1:12" x14ac:dyDescent="0.2">
      <c r="A1400" s="75" t="s">
        <v>468</v>
      </c>
      <c r="B1400" s="79">
        <v>46090</v>
      </c>
      <c r="C1400" s="75"/>
      <c r="D1400" s="75"/>
      <c r="E1400" s="75"/>
      <c r="F1400" s="75">
        <v>20101</v>
      </c>
      <c r="G1400" s="76" t="str">
        <f>VLOOKUP(Tabelle2[[#This Row],[Kunden Nr.]],KUNDEN!A:B,2,0)</f>
        <v>TE GZIMI</v>
      </c>
      <c r="H1400" s="75">
        <v>54412</v>
      </c>
      <c r="I1400" s="76" t="str">
        <f>VLOOKUP(Tabelle2[[#This Row],[Artikel]],Produkte!A:B,2,0)</f>
        <v>beMAKER Bremsen&amp;Teile Reininger</v>
      </c>
      <c r="J1400" s="75">
        <v>4</v>
      </c>
      <c r="K1400" s="76" t="str">
        <f>VLOOKUP(Tabelle2[[#This Row],[Kunden Nr.]],KUNDEN!A:G,7)</f>
        <v>Mensuri</v>
      </c>
      <c r="L1400" s="76">
        <f>VLOOKUP(Tabelle2[[#This Row],[Artikel]],Produkte!A:H,8)</f>
        <v>0.2</v>
      </c>
    </row>
    <row r="1401" spans="1:12" x14ac:dyDescent="0.2">
      <c r="A1401" s="75" t="s">
        <v>1129</v>
      </c>
      <c r="B1401" s="79">
        <v>46090</v>
      </c>
      <c r="C1401" s="89">
        <v>138.6</v>
      </c>
      <c r="D1401" s="75"/>
      <c r="E1401" s="75"/>
      <c r="F1401" s="75">
        <v>20127</v>
      </c>
      <c r="G1401" s="76" t="str">
        <f>VLOOKUP(Tabelle2[[#This Row],[Kunden Nr.]],KUNDEN!A:B,2,0)</f>
        <v>TERMO PROJEKT</v>
      </c>
      <c r="H1401" s="75">
        <v>35108</v>
      </c>
      <c r="I1401" s="76" t="str">
        <f>VLOOKUP(Tabelle2[[#This Row],[Artikel]],Produkte!A:B,2,0)</f>
        <v>M-ONE Sanitar Silikon</v>
      </c>
      <c r="J1401" s="75">
        <v>12</v>
      </c>
      <c r="K1401" s="76" t="str">
        <f>VLOOKUP(Tabelle2[[#This Row],[Kunden Nr.]],KUNDEN!A:G,7)</f>
        <v>Mensuri</v>
      </c>
      <c r="L1401" s="76">
        <f>VLOOKUP(Tabelle2[[#This Row],[Artikel]],Produkte!A:H,8)</f>
        <v>0.17</v>
      </c>
    </row>
    <row r="1402" spans="1:12" x14ac:dyDescent="0.2">
      <c r="A1402" s="75" t="s">
        <v>1129</v>
      </c>
      <c r="B1402" s="79">
        <v>46090</v>
      </c>
      <c r="C1402" s="75"/>
      <c r="D1402" s="75"/>
      <c r="E1402" s="75"/>
      <c r="F1402" s="75">
        <v>20127</v>
      </c>
      <c r="G1402" s="76" t="str">
        <f>VLOOKUP(Tabelle2[[#This Row],[Kunden Nr.]],KUNDEN!A:B,2,0)</f>
        <v>TERMO PROJEKT</v>
      </c>
      <c r="H1402" s="75">
        <v>35110</v>
      </c>
      <c r="I1402" s="76" t="str">
        <f>VLOOKUP(Tabelle2[[#This Row],[Artikel]],Produkte!A:B,2,0)</f>
        <v>M-ONE Sanitar Silikon</v>
      </c>
      <c r="J1402" s="75">
        <v>12</v>
      </c>
      <c r="K1402" s="76" t="str">
        <f>VLOOKUP(Tabelle2[[#This Row],[Kunden Nr.]],KUNDEN!A:G,7)</f>
        <v>Mensuri</v>
      </c>
      <c r="L1402" s="76">
        <f>VLOOKUP(Tabelle2[[#This Row],[Artikel]],Produkte!A:H,8)</f>
        <v>0.17</v>
      </c>
    </row>
    <row r="1403" spans="1:12" x14ac:dyDescent="0.2">
      <c r="A1403" s="75" t="s">
        <v>1129</v>
      </c>
      <c r="B1403" s="79">
        <v>46090</v>
      </c>
      <c r="C1403" s="75"/>
      <c r="D1403" s="75"/>
      <c r="E1403" s="75"/>
      <c r="F1403" s="75">
        <v>20127</v>
      </c>
      <c r="G1403" s="76" t="str">
        <f>VLOOKUP(Tabelle2[[#This Row],[Kunden Nr.]],KUNDEN!A:B,2,0)</f>
        <v>TERMO PROJEKT</v>
      </c>
      <c r="H1403" s="75">
        <v>35114</v>
      </c>
      <c r="I1403" s="76" t="str">
        <f>VLOOKUP(Tabelle2[[#This Row],[Artikel]],Produkte!A:B,2,0)</f>
        <v>M-ONE Sanitar Silikon</v>
      </c>
      <c r="J1403" s="75">
        <v>12</v>
      </c>
      <c r="K1403" s="76" t="str">
        <f>VLOOKUP(Tabelle2[[#This Row],[Kunden Nr.]],KUNDEN!A:G,7)</f>
        <v>Mensuri</v>
      </c>
      <c r="L1403" s="76">
        <f>VLOOKUP(Tabelle2[[#This Row],[Artikel]],Produkte!A:H,8)</f>
        <v>0.17</v>
      </c>
    </row>
    <row r="1404" spans="1:12" x14ac:dyDescent="0.2">
      <c r="A1404" s="75" t="s">
        <v>471</v>
      </c>
      <c r="B1404" s="79">
        <v>46090</v>
      </c>
      <c r="C1404" s="89">
        <v>120</v>
      </c>
      <c r="D1404" s="75"/>
      <c r="E1404" s="75"/>
      <c r="F1404" s="75">
        <v>20104</v>
      </c>
      <c r="G1404" s="76" t="str">
        <f>VLOOKUP(Tabelle2[[#This Row],[Kunden Nr.]],KUNDEN!A:B,2,0)</f>
        <v>KTHIMI</v>
      </c>
      <c r="H1404" s="75">
        <v>35108</v>
      </c>
      <c r="I1404" s="76" t="str">
        <f>VLOOKUP(Tabelle2[[#This Row],[Artikel]],Produkte!A:B,2,0)</f>
        <v>M-ONE Sanitar Silikon</v>
      </c>
      <c r="J1404" s="75">
        <v>12</v>
      </c>
      <c r="K1404" s="76" t="str">
        <f>VLOOKUP(Tabelle2[[#This Row],[Kunden Nr.]],KUNDEN!A:G,7)</f>
        <v>Mensuri</v>
      </c>
      <c r="L1404" s="76">
        <f>VLOOKUP(Tabelle2[[#This Row],[Artikel]],Produkte!A:H,8)</f>
        <v>0.17</v>
      </c>
    </row>
    <row r="1405" spans="1:12" x14ac:dyDescent="0.2">
      <c r="A1405" s="75" t="s">
        <v>471</v>
      </c>
      <c r="B1405" s="79">
        <v>46090</v>
      </c>
      <c r="C1405" s="75"/>
      <c r="D1405" s="75"/>
      <c r="E1405" s="75"/>
      <c r="F1405" s="75">
        <v>20104</v>
      </c>
      <c r="G1405" s="76" t="str">
        <f>VLOOKUP(Tabelle2[[#This Row],[Kunden Nr.]],KUNDEN!A:B,2,0)</f>
        <v>KTHIMI</v>
      </c>
      <c r="H1405" s="75">
        <v>35109</v>
      </c>
      <c r="I1405" s="76" t="str">
        <f>VLOOKUP(Tabelle2[[#This Row],[Artikel]],Produkte!A:B,2,0)</f>
        <v>M-ONE Sanitar Silikon</v>
      </c>
      <c r="J1405" s="75">
        <v>12</v>
      </c>
      <c r="K1405" s="76" t="str">
        <f>VLOOKUP(Tabelle2[[#This Row],[Kunden Nr.]],KUNDEN!A:G,7)</f>
        <v>Mensuri</v>
      </c>
      <c r="L1405" s="76">
        <f>VLOOKUP(Tabelle2[[#This Row],[Artikel]],Produkte!A:H,8)</f>
        <v>0.17</v>
      </c>
    </row>
    <row r="1406" spans="1:12" x14ac:dyDescent="0.2">
      <c r="A1406" s="75" t="s">
        <v>471</v>
      </c>
      <c r="B1406" s="79">
        <v>46090</v>
      </c>
      <c r="C1406" s="75"/>
      <c r="D1406" s="75"/>
      <c r="E1406" s="75"/>
      <c r="F1406" s="75">
        <v>20104</v>
      </c>
      <c r="G1406" s="76" t="str">
        <f>VLOOKUP(Tabelle2[[#This Row],[Kunden Nr.]],KUNDEN!A:B,2,0)</f>
        <v>KTHIMI</v>
      </c>
      <c r="H1406" s="75">
        <v>51612</v>
      </c>
      <c r="I1406" s="76" t="str">
        <f>VLOOKUP(Tabelle2[[#This Row],[Artikel]],Produkte!A:B,2,0)</f>
        <v>struktural akryl</v>
      </c>
      <c r="J1406" s="75">
        <v>12</v>
      </c>
      <c r="K1406" s="76" t="str">
        <f>VLOOKUP(Tabelle2[[#This Row],[Kunden Nr.]],KUNDEN!A:G,7)</f>
        <v>Mensuri</v>
      </c>
      <c r="L1406" s="76">
        <f>VLOOKUP(Tabelle2[[#This Row],[Artikel]],Produkte!A:H,8)</f>
        <v>0.06</v>
      </c>
    </row>
    <row r="1407" spans="1:12" x14ac:dyDescent="0.2">
      <c r="A1407" s="75" t="s">
        <v>1180</v>
      </c>
      <c r="B1407" s="79">
        <v>46090</v>
      </c>
      <c r="C1407" s="89">
        <v>73.8</v>
      </c>
      <c r="D1407" s="75"/>
      <c r="E1407" s="75"/>
      <c r="F1407" s="75">
        <v>20126</v>
      </c>
      <c r="G1407" s="76" t="str">
        <f>VLOOKUP(Tabelle2[[#This Row],[Kunden Nr.]],KUNDEN!A:B,2,0)</f>
        <v>LULI-C</v>
      </c>
      <c r="H1407" s="75">
        <v>35128</v>
      </c>
      <c r="I1407" s="76" t="str">
        <f>VLOOKUP(Tabelle2[[#This Row],[Artikel]],Produkte!A:B,2,0)</f>
        <v>M-ONE Sanitar Silikon</v>
      </c>
      <c r="J1407" s="75">
        <v>12</v>
      </c>
      <c r="K1407" s="76" t="str">
        <f>VLOOKUP(Tabelle2[[#This Row],[Kunden Nr.]],KUNDEN!A:G,7)</f>
        <v>Mensuri</v>
      </c>
      <c r="L1407" s="76">
        <f>VLOOKUP(Tabelle2[[#This Row],[Artikel]],Produkte!A:H,8)</f>
        <v>0.17</v>
      </c>
    </row>
    <row r="1408" spans="1:12" x14ac:dyDescent="0.2">
      <c r="A1408" s="75" t="s">
        <v>1180</v>
      </c>
      <c r="B1408" s="79">
        <v>46090</v>
      </c>
      <c r="C1408" s="75"/>
      <c r="D1408" s="75"/>
      <c r="E1408" s="75"/>
      <c r="F1408" s="75">
        <v>20126</v>
      </c>
      <c r="G1408" s="76" t="str">
        <f>VLOOKUP(Tabelle2[[#This Row],[Kunden Nr.]],KUNDEN!A:B,2,0)</f>
        <v>LULI-C</v>
      </c>
      <c r="H1408" s="75">
        <v>51612</v>
      </c>
      <c r="I1408" s="76" t="str">
        <f>VLOOKUP(Tabelle2[[#This Row],[Artikel]],Produkte!A:B,2,0)</f>
        <v>struktural akryl</v>
      </c>
      <c r="J1408" s="75">
        <v>12</v>
      </c>
      <c r="K1408" s="76" t="str">
        <f>VLOOKUP(Tabelle2[[#This Row],[Kunden Nr.]],KUNDEN!A:G,7)</f>
        <v>Mensuri</v>
      </c>
      <c r="L1408" s="76">
        <f>VLOOKUP(Tabelle2[[#This Row],[Artikel]],Produkte!A:H,8)</f>
        <v>0.06</v>
      </c>
    </row>
    <row r="1409" spans="1:12" x14ac:dyDescent="0.2">
      <c r="A1409" s="75" t="s">
        <v>1163</v>
      </c>
      <c r="B1409" s="79">
        <v>46090</v>
      </c>
      <c r="C1409" s="89">
        <v>138.6</v>
      </c>
      <c r="D1409" s="75"/>
      <c r="E1409" s="75"/>
      <c r="F1409" s="75">
        <v>20121</v>
      </c>
      <c r="G1409" s="76" t="str">
        <f>VLOOKUP(Tabelle2[[#This Row],[Kunden Nr.]],KUNDEN!A:B,2,0)</f>
        <v>CAMA BAU</v>
      </c>
      <c r="H1409" s="75">
        <v>35119</v>
      </c>
      <c r="I1409" s="76" t="str">
        <f>VLOOKUP(Tabelle2[[#This Row],[Artikel]],Produkte!A:B,2,0)</f>
        <v>M-ONE Sanitar Silikon</v>
      </c>
      <c r="J1409" s="75">
        <v>12</v>
      </c>
      <c r="K1409" s="76" t="str">
        <f>VLOOKUP(Tabelle2[[#This Row],[Kunden Nr.]],KUNDEN!A:G,7)</f>
        <v>Mensuri</v>
      </c>
      <c r="L1409" s="76">
        <f>VLOOKUP(Tabelle2[[#This Row],[Artikel]],Produkte!A:H,8)</f>
        <v>0.17</v>
      </c>
    </row>
    <row r="1410" spans="1:12" x14ac:dyDescent="0.2">
      <c r="A1410" s="75" t="s">
        <v>1163</v>
      </c>
      <c r="B1410" s="79">
        <v>46090</v>
      </c>
      <c r="C1410" s="75"/>
      <c r="D1410" s="75"/>
      <c r="E1410" s="75"/>
      <c r="F1410" s="75">
        <v>20121</v>
      </c>
      <c r="G1410" s="76" t="str">
        <f>VLOOKUP(Tabelle2[[#This Row],[Kunden Nr.]],KUNDEN!A:B,2,0)</f>
        <v>CAMA BAU</v>
      </c>
      <c r="H1410" s="75">
        <v>35125</v>
      </c>
      <c r="I1410" s="76" t="str">
        <f>VLOOKUP(Tabelle2[[#This Row],[Artikel]],Produkte!A:B,2,0)</f>
        <v>M-ONE Sanitar Silikon</v>
      </c>
      <c r="J1410" s="75">
        <v>12</v>
      </c>
      <c r="K1410" s="76" t="str">
        <f>VLOOKUP(Tabelle2[[#This Row],[Kunden Nr.]],KUNDEN!A:G,7)</f>
        <v>Mensuri</v>
      </c>
      <c r="L1410" s="76">
        <f>VLOOKUP(Tabelle2[[#This Row],[Artikel]],Produkte!A:H,8)</f>
        <v>0.17</v>
      </c>
    </row>
    <row r="1411" spans="1:12" x14ac:dyDescent="0.2">
      <c r="A1411" s="75" t="s">
        <v>1163</v>
      </c>
      <c r="B1411" s="79">
        <v>46090</v>
      </c>
      <c r="C1411" s="75"/>
      <c r="D1411" s="75"/>
      <c r="E1411" s="75"/>
      <c r="F1411" s="75">
        <v>20121</v>
      </c>
      <c r="G1411" s="76" t="str">
        <f>VLOOKUP(Tabelle2[[#This Row],[Kunden Nr.]],KUNDEN!A:B,2,0)</f>
        <v>CAMA BAU</v>
      </c>
      <c r="H1411" s="75">
        <v>35128</v>
      </c>
      <c r="I1411" s="76" t="str">
        <f>VLOOKUP(Tabelle2[[#This Row],[Artikel]],Produkte!A:B,2,0)</f>
        <v>M-ONE Sanitar Silikon</v>
      </c>
      <c r="J1411" s="75">
        <v>12</v>
      </c>
      <c r="K1411" s="76" t="str">
        <f>VLOOKUP(Tabelle2[[#This Row],[Kunden Nr.]],KUNDEN!A:G,7)</f>
        <v>Mensuri</v>
      </c>
      <c r="L1411" s="76">
        <f>VLOOKUP(Tabelle2[[#This Row],[Artikel]],Produkte!A:H,8)</f>
        <v>0.17</v>
      </c>
    </row>
    <row r="1412" spans="1:12" x14ac:dyDescent="0.2">
      <c r="A1412" s="75" t="s">
        <v>1177</v>
      </c>
      <c r="B1412" s="79">
        <v>46091</v>
      </c>
      <c r="C1412" s="89">
        <v>20</v>
      </c>
      <c r="D1412" s="75"/>
      <c r="E1412" s="75"/>
      <c r="F1412" s="75">
        <v>40017</v>
      </c>
      <c r="G1412" s="76" t="str">
        <f>VLOOKUP(Tabelle2[[#This Row],[Kunden Nr.]],KUNDEN!A:B,2,0)</f>
        <v>YLLI CONSTRUCION</v>
      </c>
      <c r="H1412" s="75">
        <v>35113</v>
      </c>
      <c r="I1412" s="76" t="str">
        <f>VLOOKUP(Tabelle2[[#This Row],[Artikel]],Produkte!A:B,2,0)</f>
        <v>M-ONE Sanitar Silikon</v>
      </c>
      <c r="J1412" s="75">
        <v>5</v>
      </c>
      <c r="K1412" s="76">
        <f>VLOOKUP(Tabelle2[[#This Row],[Kunden Nr.]],KUNDEN!A:G,7)</f>
        <v>0</v>
      </c>
      <c r="L1412" s="76">
        <f>VLOOKUP(Tabelle2[[#This Row],[Artikel]],Produkte!A:H,8)</f>
        <v>0.17</v>
      </c>
    </row>
    <row r="1413" spans="1:12" x14ac:dyDescent="0.2">
      <c r="A1413" s="75" t="s">
        <v>1298</v>
      </c>
      <c r="B1413" s="79">
        <v>46091</v>
      </c>
      <c r="C1413" s="89">
        <v>208.8</v>
      </c>
      <c r="D1413" s="75"/>
      <c r="E1413" s="75"/>
      <c r="F1413" s="75">
        <v>10255</v>
      </c>
      <c r="G1413" s="76" t="str">
        <f>VLOOKUP(Tabelle2[[#This Row],[Kunden Nr.]],KUNDEN!A:B,2,0)</f>
        <v>QEMA</v>
      </c>
      <c r="H1413" s="75">
        <v>66701</v>
      </c>
      <c r="I1413" s="76" t="str">
        <f>VLOOKUP(Tabelle2[[#This Row],[Artikel]],Produkte!A:B,2,0)</f>
        <v>PROFIMONT EXTREME</v>
      </c>
      <c r="J1413" s="75">
        <v>36</v>
      </c>
      <c r="K1413" s="76" t="str">
        <f>VLOOKUP(Tabelle2[[#This Row],[Kunden Nr.]],KUNDEN!A:G,7)</f>
        <v>Qerimi</v>
      </c>
      <c r="L1413" s="76">
        <f>VLOOKUP(Tabelle2[[#This Row],[Artikel]],Produkte!A:H,8)</f>
        <v>0.2</v>
      </c>
    </row>
    <row r="1414" spans="1:12" x14ac:dyDescent="0.2">
      <c r="A1414" s="75" t="s">
        <v>939</v>
      </c>
      <c r="B1414" s="79">
        <v>46091</v>
      </c>
      <c r="C1414" s="89">
        <v>92.4</v>
      </c>
      <c r="D1414" s="75"/>
      <c r="E1414" s="75"/>
      <c r="F1414" s="75">
        <v>10230</v>
      </c>
      <c r="G1414" s="76" t="str">
        <f>VLOOKUP(Tabelle2[[#This Row],[Kunden Nr.]],KUNDEN!A:B,2,0)</f>
        <v>JETA DUHEL</v>
      </c>
      <c r="H1414" s="75">
        <v>35121</v>
      </c>
      <c r="I1414" s="76" t="str">
        <f>VLOOKUP(Tabelle2[[#This Row],[Artikel]],Produkte!A:B,2,0)</f>
        <v>M-ONE Sanitar Silikon</v>
      </c>
      <c r="J1414" s="75">
        <v>12</v>
      </c>
      <c r="K1414" s="76" t="str">
        <f>VLOOKUP(Tabelle2[[#This Row],[Kunden Nr.]],KUNDEN!A:G,7)</f>
        <v>Qerimi</v>
      </c>
      <c r="L1414" s="76">
        <f>VLOOKUP(Tabelle2[[#This Row],[Artikel]],Produkte!A:H,8)</f>
        <v>0.17</v>
      </c>
    </row>
    <row r="1415" spans="1:12" x14ac:dyDescent="0.2">
      <c r="A1415" s="75" t="s">
        <v>939</v>
      </c>
      <c r="B1415" s="79">
        <v>46091</v>
      </c>
      <c r="C1415" s="75"/>
      <c r="D1415" s="75"/>
      <c r="E1415" s="75"/>
      <c r="F1415" s="75">
        <v>10230</v>
      </c>
      <c r="G1415" s="76" t="str">
        <f>VLOOKUP(Tabelle2[[#This Row],[Kunden Nr.]],KUNDEN!A:B,2,0)</f>
        <v>JETA DUHEL</v>
      </c>
      <c r="H1415" s="75">
        <v>35128</v>
      </c>
      <c r="I1415" s="76" t="str">
        <f>VLOOKUP(Tabelle2[[#This Row],[Artikel]],Produkte!A:B,2,0)</f>
        <v>M-ONE Sanitar Silikon</v>
      </c>
      <c r="J1415" s="75">
        <v>12</v>
      </c>
      <c r="K1415" s="76" t="str">
        <f>VLOOKUP(Tabelle2[[#This Row],[Kunden Nr.]],KUNDEN!A:G,7)</f>
        <v>Qerimi</v>
      </c>
      <c r="L1415" s="76">
        <f>VLOOKUP(Tabelle2[[#This Row],[Artikel]],Produkte!A:H,8)</f>
        <v>0.17</v>
      </c>
    </row>
    <row r="1416" spans="1:12" x14ac:dyDescent="0.2">
      <c r="A1416" s="75" t="s">
        <v>515</v>
      </c>
      <c r="B1416" s="79">
        <v>46091</v>
      </c>
      <c r="C1416" s="89">
        <v>199.2</v>
      </c>
      <c r="D1416" s="75"/>
      <c r="E1416" s="75"/>
      <c r="F1416" s="75">
        <v>10205</v>
      </c>
      <c r="G1416" s="76" t="str">
        <f>VLOOKUP(Tabelle2[[#This Row],[Kunden Nr.]],KUNDEN!A:B,2,0)</f>
        <v>XHAFA</v>
      </c>
      <c r="H1416" s="75">
        <v>35109</v>
      </c>
      <c r="I1416" s="76" t="str">
        <f>VLOOKUP(Tabelle2[[#This Row],[Artikel]],Produkte!A:B,2,0)</f>
        <v>M-ONE Sanitar Silikon</v>
      </c>
      <c r="J1416" s="75">
        <v>12</v>
      </c>
      <c r="K1416" s="76" t="str">
        <f>VLOOKUP(Tabelle2[[#This Row],[Kunden Nr.]],KUNDEN!A:G,7)</f>
        <v>Qerimi</v>
      </c>
      <c r="L1416" s="76">
        <f>VLOOKUP(Tabelle2[[#This Row],[Artikel]],Produkte!A:H,8)</f>
        <v>0.17</v>
      </c>
    </row>
    <row r="1417" spans="1:12" x14ac:dyDescent="0.2">
      <c r="A1417" s="75" t="s">
        <v>515</v>
      </c>
      <c r="B1417" s="79">
        <v>46091</v>
      </c>
      <c r="C1417" s="75"/>
      <c r="D1417" s="75"/>
      <c r="E1417" s="75"/>
      <c r="F1417" s="75">
        <v>10205</v>
      </c>
      <c r="G1417" s="76" t="str">
        <f>VLOOKUP(Tabelle2[[#This Row],[Kunden Nr.]],KUNDEN!A:B,2,0)</f>
        <v>XHAFA</v>
      </c>
      <c r="H1417" s="75">
        <v>35115</v>
      </c>
      <c r="I1417" s="76" t="str">
        <f>VLOOKUP(Tabelle2[[#This Row],[Artikel]],Produkte!A:B,2,0)</f>
        <v>M-ONE Sanitar Silikon</v>
      </c>
      <c r="J1417" s="75">
        <v>12</v>
      </c>
      <c r="K1417" s="76" t="str">
        <f>VLOOKUP(Tabelle2[[#This Row],[Kunden Nr.]],KUNDEN!A:G,7)</f>
        <v>Qerimi</v>
      </c>
      <c r="L1417" s="76">
        <f>VLOOKUP(Tabelle2[[#This Row],[Artikel]],Produkte!A:H,8)</f>
        <v>0.17</v>
      </c>
    </row>
    <row r="1418" spans="1:12" x14ac:dyDescent="0.2">
      <c r="A1418" s="75" t="s">
        <v>515</v>
      </c>
      <c r="B1418" s="79">
        <v>46091</v>
      </c>
      <c r="C1418" s="75"/>
      <c r="D1418" s="75"/>
      <c r="E1418" s="75"/>
      <c r="F1418" s="75">
        <v>10205</v>
      </c>
      <c r="G1418" s="76" t="str">
        <f>VLOOKUP(Tabelle2[[#This Row],[Kunden Nr.]],KUNDEN!A:B,2,0)</f>
        <v>XHAFA</v>
      </c>
      <c r="H1418" s="75">
        <v>35121</v>
      </c>
      <c r="I1418" s="76" t="str">
        <f>VLOOKUP(Tabelle2[[#This Row],[Artikel]],Produkte!A:B,2,0)</f>
        <v>M-ONE Sanitar Silikon</v>
      </c>
      <c r="J1418" s="75">
        <v>12</v>
      </c>
      <c r="K1418" s="76" t="str">
        <f>VLOOKUP(Tabelle2[[#This Row],[Kunden Nr.]],KUNDEN!A:G,7)</f>
        <v>Qerimi</v>
      </c>
      <c r="L1418" s="76">
        <f>VLOOKUP(Tabelle2[[#This Row],[Artikel]],Produkte!A:H,8)</f>
        <v>0.17</v>
      </c>
    </row>
    <row r="1419" spans="1:12" x14ac:dyDescent="0.2">
      <c r="A1419" s="75" t="s">
        <v>515</v>
      </c>
      <c r="B1419" s="79">
        <v>46091</v>
      </c>
      <c r="C1419" s="75"/>
      <c r="D1419" s="75"/>
      <c r="E1419" s="75"/>
      <c r="F1419" s="75">
        <v>10205</v>
      </c>
      <c r="G1419" s="76" t="str">
        <f>VLOOKUP(Tabelle2[[#This Row],[Kunden Nr.]],KUNDEN!A:B,2,0)</f>
        <v>XHAFA</v>
      </c>
      <c r="H1419" s="75">
        <v>35108</v>
      </c>
      <c r="I1419" s="76" t="str">
        <f>VLOOKUP(Tabelle2[[#This Row],[Artikel]],Produkte!A:B,2,0)</f>
        <v>M-ONE Sanitar Silikon</v>
      </c>
      <c r="J1419" s="75">
        <v>12</v>
      </c>
      <c r="K1419" s="76" t="str">
        <f>VLOOKUP(Tabelle2[[#This Row],[Kunden Nr.]],KUNDEN!A:G,7)</f>
        <v>Qerimi</v>
      </c>
      <c r="L1419" s="76">
        <f>VLOOKUP(Tabelle2[[#This Row],[Artikel]],Produkte!A:H,8)</f>
        <v>0.17</v>
      </c>
    </row>
    <row r="1420" spans="1:12" x14ac:dyDescent="0.2">
      <c r="A1420" s="75" t="s">
        <v>515</v>
      </c>
      <c r="B1420" s="79">
        <v>46091</v>
      </c>
      <c r="C1420" s="75"/>
      <c r="D1420" s="75"/>
      <c r="E1420" s="75"/>
      <c r="F1420" s="75">
        <v>10205</v>
      </c>
      <c r="G1420" s="76" t="str">
        <f>VLOOKUP(Tabelle2[[#This Row],[Kunden Nr.]],KUNDEN!A:B,2,0)</f>
        <v>XHAFA</v>
      </c>
      <c r="H1420" s="75">
        <v>50912</v>
      </c>
      <c r="I1420" s="76" t="str">
        <f>VLOOKUP(Tabelle2[[#This Row],[Artikel]],Produkte!A:B,2,0)</f>
        <v>DICHTUNG</v>
      </c>
      <c r="J1420" s="75">
        <v>2</v>
      </c>
      <c r="K1420" s="76" t="str">
        <f>VLOOKUP(Tabelle2[[#This Row],[Kunden Nr.]],KUNDEN!A:G,7)</f>
        <v>Qerimi</v>
      </c>
      <c r="L1420" s="76">
        <f>VLOOKUP(Tabelle2[[#This Row],[Artikel]],Produkte!A:H,8)</f>
        <v>0.2</v>
      </c>
    </row>
    <row r="1421" spans="1:12" x14ac:dyDescent="0.2">
      <c r="A1421" s="75" t="s">
        <v>1201</v>
      </c>
      <c r="B1421" s="79">
        <v>46091</v>
      </c>
      <c r="C1421" s="89">
        <v>92.4</v>
      </c>
      <c r="D1421" s="75"/>
      <c r="E1421" s="75"/>
      <c r="F1421" s="75">
        <v>10240</v>
      </c>
      <c r="G1421" s="76" t="str">
        <f>VLOOKUP(Tabelle2[[#This Row],[Kunden Nr.]],KUNDEN!A:B,2,0)</f>
        <v>ARPO</v>
      </c>
      <c r="H1421" s="75">
        <v>35109</v>
      </c>
      <c r="I1421" s="76" t="str">
        <f>VLOOKUP(Tabelle2[[#This Row],[Artikel]],Produkte!A:B,2,0)</f>
        <v>M-ONE Sanitar Silikon</v>
      </c>
      <c r="J1421" s="75">
        <v>12</v>
      </c>
      <c r="K1421" s="76" t="str">
        <f>VLOOKUP(Tabelle2[[#This Row],[Kunden Nr.]],KUNDEN!A:G,7)</f>
        <v>Qerimi</v>
      </c>
      <c r="L1421" s="76">
        <f>VLOOKUP(Tabelle2[[#This Row],[Artikel]],Produkte!A:H,8)</f>
        <v>0.17</v>
      </c>
    </row>
    <row r="1422" spans="1:12" x14ac:dyDescent="0.2">
      <c r="A1422" s="75" t="s">
        <v>1201</v>
      </c>
      <c r="B1422" s="79">
        <v>46091</v>
      </c>
      <c r="C1422" s="75"/>
      <c r="D1422" s="75"/>
      <c r="E1422" s="75"/>
      <c r="F1422" s="75">
        <v>10240</v>
      </c>
      <c r="G1422" s="76" t="str">
        <f>VLOOKUP(Tabelle2[[#This Row],[Kunden Nr.]],KUNDEN!A:B,2,0)</f>
        <v>ARPO</v>
      </c>
      <c r="H1422" s="75">
        <v>35115</v>
      </c>
      <c r="I1422" s="76" t="str">
        <f>VLOOKUP(Tabelle2[[#This Row],[Artikel]],Produkte!A:B,2,0)</f>
        <v>M-ONE Sanitar Silikon</v>
      </c>
      <c r="J1422" s="75">
        <v>12</v>
      </c>
      <c r="K1422" s="76" t="str">
        <f>VLOOKUP(Tabelle2[[#This Row],[Kunden Nr.]],KUNDEN!A:G,7)</f>
        <v>Qerimi</v>
      </c>
      <c r="L1422" s="76">
        <f>VLOOKUP(Tabelle2[[#This Row],[Artikel]],Produkte!A:H,8)</f>
        <v>0.17</v>
      </c>
    </row>
    <row r="1423" spans="1:12" x14ac:dyDescent="0.2">
      <c r="A1423" s="75" t="s">
        <v>1204</v>
      </c>
      <c r="B1423" s="79">
        <v>46091</v>
      </c>
      <c r="C1423" s="89">
        <v>138.6</v>
      </c>
      <c r="D1423" s="75"/>
      <c r="E1423" s="75"/>
      <c r="F1423" s="75">
        <v>10245</v>
      </c>
      <c r="G1423" s="76" t="str">
        <f>VLOOKUP(Tabelle2[[#This Row],[Kunden Nr.]],KUNDEN!A:B,2,0)</f>
        <v>BEK TRADE</v>
      </c>
      <c r="H1423" s="75">
        <v>35108</v>
      </c>
      <c r="I1423" s="76" t="str">
        <f>VLOOKUP(Tabelle2[[#This Row],[Artikel]],Produkte!A:B,2,0)</f>
        <v>M-ONE Sanitar Silikon</v>
      </c>
      <c r="J1423" s="75">
        <v>12</v>
      </c>
      <c r="K1423" s="76" t="str">
        <f>VLOOKUP(Tabelle2[[#This Row],[Kunden Nr.]],KUNDEN!A:G,7)</f>
        <v>Qerimi</v>
      </c>
      <c r="L1423" s="76">
        <f>VLOOKUP(Tabelle2[[#This Row],[Artikel]],Produkte!A:H,8)</f>
        <v>0.17</v>
      </c>
    </row>
    <row r="1424" spans="1:12" x14ac:dyDescent="0.2">
      <c r="A1424" s="75" t="s">
        <v>1204</v>
      </c>
      <c r="B1424" s="79">
        <v>46091</v>
      </c>
      <c r="C1424" s="75"/>
      <c r="D1424" s="75"/>
      <c r="E1424" s="75"/>
      <c r="F1424" s="75">
        <v>10245</v>
      </c>
      <c r="G1424" s="76" t="str">
        <f>VLOOKUP(Tabelle2[[#This Row],[Kunden Nr.]],KUNDEN!A:B,2,0)</f>
        <v>BEK TRADE</v>
      </c>
      <c r="H1424" s="75">
        <v>35113</v>
      </c>
      <c r="I1424" s="76" t="str">
        <f>VLOOKUP(Tabelle2[[#This Row],[Artikel]],Produkte!A:B,2,0)</f>
        <v>M-ONE Sanitar Silikon</v>
      </c>
      <c r="J1424" s="75">
        <v>12</v>
      </c>
      <c r="K1424" s="76" t="str">
        <f>VLOOKUP(Tabelle2[[#This Row],[Kunden Nr.]],KUNDEN!A:G,7)</f>
        <v>Qerimi</v>
      </c>
      <c r="L1424" s="76">
        <f>VLOOKUP(Tabelle2[[#This Row],[Artikel]],Produkte!A:H,8)</f>
        <v>0.17</v>
      </c>
    </row>
    <row r="1425" spans="1:12" x14ac:dyDescent="0.2">
      <c r="A1425" s="75" t="s">
        <v>1204</v>
      </c>
      <c r="B1425" s="79">
        <v>46091</v>
      </c>
      <c r="C1425" s="75"/>
      <c r="D1425" s="75"/>
      <c r="E1425" s="75"/>
      <c r="F1425" s="75">
        <v>10245</v>
      </c>
      <c r="G1425" s="76" t="str">
        <f>VLOOKUP(Tabelle2[[#This Row],[Kunden Nr.]],KUNDEN!A:B,2,0)</f>
        <v>BEK TRADE</v>
      </c>
      <c r="H1425" s="75">
        <v>35128</v>
      </c>
      <c r="I1425" s="76" t="str">
        <f>VLOOKUP(Tabelle2[[#This Row],[Artikel]],Produkte!A:B,2,0)</f>
        <v>M-ONE Sanitar Silikon</v>
      </c>
      <c r="J1425" s="75">
        <v>12</v>
      </c>
      <c r="K1425" s="76" t="str">
        <f>VLOOKUP(Tabelle2[[#This Row],[Kunden Nr.]],KUNDEN!A:G,7)</f>
        <v>Qerimi</v>
      </c>
      <c r="L1425" s="76">
        <f>VLOOKUP(Tabelle2[[#This Row],[Artikel]],Produkte!A:H,8)</f>
        <v>0.17</v>
      </c>
    </row>
    <row r="1426" spans="1:12" x14ac:dyDescent="0.2">
      <c r="A1426" s="75" t="s">
        <v>1298</v>
      </c>
      <c r="B1426" s="79">
        <v>46091</v>
      </c>
      <c r="C1426" s="89">
        <v>46.2</v>
      </c>
      <c r="D1426" s="75"/>
      <c r="E1426" s="75"/>
      <c r="F1426" s="75">
        <v>10256</v>
      </c>
      <c r="G1426" s="76" t="e">
        <f>VLOOKUP(Tabelle2[[#This Row],[Kunden Nr.]],KUNDEN!A:B,2,0)</f>
        <v>#N/A</v>
      </c>
      <c r="H1426" s="75">
        <v>35121</v>
      </c>
      <c r="I1426" s="76" t="str">
        <f>VLOOKUP(Tabelle2[[#This Row],[Artikel]],Produkte!A:B,2,0)</f>
        <v>M-ONE Sanitar Silikon</v>
      </c>
      <c r="J1426" s="75">
        <v>12</v>
      </c>
      <c r="K1426" s="76" t="str">
        <f>VLOOKUP(Tabelle2[[#This Row],[Kunden Nr.]],KUNDEN!A:G,7)</f>
        <v>Qerimi</v>
      </c>
      <c r="L1426" s="76">
        <f>VLOOKUP(Tabelle2[[#This Row],[Artikel]],Produkte!A:H,8)</f>
        <v>0.17</v>
      </c>
    </row>
    <row r="1427" spans="1:12" x14ac:dyDescent="0.2">
      <c r="A1427" s="75" t="s">
        <v>1179</v>
      </c>
      <c r="B1427" s="79">
        <v>46091</v>
      </c>
      <c r="C1427" s="89">
        <v>138.6</v>
      </c>
      <c r="D1427" s="75"/>
      <c r="E1427" s="75"/>
      <c r="F1427" s="75">
        <v>40019</v>
      </c>
      <c r="G1427" s="76" t="str">
        <f>VLOOKUP(Tabelle2[[#This Row],[Kunden Nr.]],KUNDEN!A:B,2,0)</f>
        <v>TEMAJ</v>
      </c>
      <c r="H1427" s="75">
        <v>35108</v>
      </c>
      <c r="I1427" s="76" t="str">
        <f>VLOOKUP(Tabelle2[[#This Row],[Artikel]],Produkte!A:B,2,0)</f>
        <v>M-ONE Sanitar Silikon</v>
      </c>
      <c r="J1427" s="75">
        <v>12</v>
      </c>
      <c r="K1427" s="76">
        <f>VLOOKUP(Tabelle2[[#This Row],[Kunden Nr.]],KUNDEN!A:G,7)</f>
        <v>0</v>
      </c>
      <c r="L1427" s="76">
        <f>VLOOKUP(Tabelle2[[#This Row],[Artikel]],Produkte!A:H,8)</f>
        <v>0.17</v>
      </c>
    </row>
    <row r="1428" spans="1:12" x14ac:dyDescent="0.2">
      <c r="A1428" s="75" t="s">
        <v>1179</v>
      </c>
      <c r="B1428" s="79">
        <v>46091</v>
      </c>
      <c r="C1428" s="75"/>
      <c r="D1428" s="75"/>
      <c r="E1428" s="75"/>
      <c r="F1428" s="75">
        <v>40019</v>
      </c>
      <c r="G1428" s="76" t="str">
        <f>VLOOKUP(Tabelle2[[#This Row],[Kunden Nr.]],KUNDEN!A:B,2,0)</f>
        <v>TEMAJ</v>
      </c>
      <c r="H1428" s="75">
        <v>35113</v>
      </c>
      <c r="I1428" s="76" t="str">
        <f>VLOOKUP(Tabelle2[[#This Row],[Artikel]],Produkte!A:B,2,0)</f>
        <v>M-ONE Sanitar Silikon</v>
      </c>
      <c r="J1428" s="75">
        <v>12</v>
      </c>
      <c r="K1428" s="76">
        <f>VLOOKUP(Tabelle2[[#This Row],[Kunden Nr.]],KUNDEN!A:G,7)</f>
        <v>0</v>
      </c>
      <c r="L1428" s="76">
        <f>VLOOKUP(Tabelle2[[#This Row],[Artikel]],Produkte!A:H,8)</f>
        <v>0.17</v>
      </c>
    </row>
    <row r="1429" spans="1:12" x14ac:dyDescent="0.2">
      <c r="A1429" s="75" t="s">
        <v>1179</v>
      </c>
      <c r="B1429" s="79">
        <v>46091</v>
      </c>
      <c r="C1429" s="75"/>
      <c r="D1429" s="75"/>
      <c r="E1429" s="75"/>
      <c r="F1429" s="75">
        <v>40019</v>
      </c>
      <c r="G1429" s="76" t="str">
        <f>VLOOKUP(Tabelle2[[#This Row],[Kunden Nr.]],KUNDEN!A:B,2,0)</f>
        <v>TEMAJ</v>
      </c>
      <c r="H1429" s="75">
        <v>35110</v>
      </c>
      <c r="I1429" s="76" t="str">
        <f>VLOOKUP(Tabelle2[[#This Row],[Artikel]],Produkte!A:B,2,0)</f>
        <v>M-ONE Sanitar Silikon</v>
      </c>
      <c r="J1429" s="75">
        <v>12</v>
      </c>
      <c r="K1429" s="76">
        <f>VLOOKUP(Tabelle2[[#This Row],[Kunden Nr.]],KUNDEN!A:G,7)</f>
        <v>0</v>
      </c>
      <c r="L1429" s="76">
        <f>VLOOKUP(Tabelle2[[#This Row],[Artikel]],Produkte!A:H,8)</f>
        <v>0.17</v>
      </c>
    </row>
    <row r="1430" spans="1:12" x14ac:dyDescent="0.2">
      <c r="A1430" s="75" t="s">
        <v>422</v>
      </c>
      <c r="B1430" s="79">
        <v>46091</v>
      </c>
      <c r="C1430" s="89">
        <v>277.2</v>
      </c>
      <c r="D1430" s="75"/>
      <c r="E1430" s="75"/>
      <c r="F1430" s="75">
        <v>20209</v>
      </c>
      <c r="G1430" s="76" t="str">
        <f>VLOOKUP(Tabelle2[[#This Row],[Kunden Nr.]],KUNDEN!A:B,2,0)</f>
        <v>LETAJ</v>
      </c>
      <c r="H1430" s="75">
        <v>35110</v>
      </c>
      <c r="I1430" s="76" t="str">
        <f>VLOOKUP(Tabelle2[[#This Row],[Artikel]],Produkte!A:B,2,0)</f>
        <v>M-ONE Sanitar Silikon</v>
      </c>
      <c r="J1430" s="75">
        <v>24</v>
      </c>
      <c r="K1430" s="76" t="str">
        <f>VLOOKUP(Tabelle2[[#This Row],[Kunden Nr.]],KUNDEN!A:G,7)</f>
        <v>Mensuri</v>
      </c>
      <c r="L1430" s="76">
        <f>VLOOKUP(Tabelle2[[#This Row],[Artikel]],Produkte!A:H,8)</f>
        <v>0.17</v>
      </c>
    </row>
    <row r="1431" spans="1:12" x14ac:dyDescent="0.2">
      <c r="A1431" s="75" t="s">
        <v>422</v>
      </c>
      <c r="B1431" s="79">
        <v>46091</v>
      </c>
      <c r="C1431" s="75"/>
      <c r="D1431" s="75"/>
      <c r="E1431" s="75"/>
      <c r="F1431" s="75">
        <v>20209</v>
      </c>
      <c r="G1431" s="76" t="str">
        <f>VLOOKUP(Tabelle2[[#This Row],[Kunden Nr.]],KUNDEN!A:B,2,0)</f>
        <v>LETAJ</v>
      </c>
      <c r="H1431" s="75">
        <v>35114</v>
      </c>
      <c r="I1431" s="76" t="str">
        <f>VLOOKUP(Tabelle2[[#This Row],[Artikel]],Produkte!A:B,2,0)</f>
        <v>M-ONE Sanitar Silikon</v>
      </c>
      <c r="J1431" s="75">
        <v>12</v>
      </c>
      <c r="K1431" s="76" t="str">
        <f>VLOOKUP(Tabelle2[[#This Row],[Kunden Nr.]],KUNDEN!A:G,7)</f>
        <v>Mensuri</v>
      </c>
      <c r="L1431" s="76">
        <f>VLOOKUP(Tabelle2[[#This Row],[Artikel]],Produkte!A:H,8)</f>
        <v>0.17</v>
      </c>
    </row>
    <row r="1432" spans="1:12" x14ac:dyDescent="0.2">
      <c r="A1432" s="75" t="s">
        <v>422</v>
      </c>
      <c r="B1432" s="79">
        <v>46091</v>
      </c>
      <c r="C1432" s="75"/>
      <c r="D1432" s="75"/>
      <c r="E1432" s="75"/>
      <c r="F1432" s="75">
        <v>20209</v>
      </c>
      <c r="G1432" s="76" t="str">
        <f>VLOOKUP(Tabelle2[[#This Row],[Kunden Nr.]],KUNDEN!A:B,2,0)</f>
        <v>LETAJ</v>
      </c>
      <c r="H1432" s="75">
        <v>35119</v>
      </c>
      <c r="I1432" s="76" t="str">
        <f>VLOOKUP(Tabelle2[[#This Row],[Artikel]],Produkte!A:B,2,0)</f>
        <v>M-ONE Sanitar Silikon</v>
      </c>
      <c r="J1432" s="75">
        <v>12</v>
      </c>
      <c r="K1432" s="76" t="str">
        <f>VLOOKUP(Tabelle2[[#This Row],[Kunden Nr.]],KUNDEN!A:G,7)</f>
        <v>Mensuri</v>
      </c>
      <c r="L1432" s="76">
        <f>VLOOKUP(Tabelle2[[#This Row],[Artikel]],Produkte!A:H,8)</f>
        <v>0.17</v>
      </c>
    </row>
    <row r="1433" spans="1:12" x14ac:dyDescent="0.2">
      <c r="A1433" s="75" t="s">
        <v>422</v>
      </c>
      <c r="B1433" s="79">
        <v>46091</v>
      </c>
      <c r="C1433" s="75"/>
      <c r="D1433" s="75"/>
      <c r="E1433" s="75"/>
      <c r="F1433" s="75">
        <v>20209</v>
      </c>
      <c r="G1433" s="76" t="str">
        <f>VLOOKUP(Tabelle2[[#This Row],[Kunden Nr.]],KUNDEN!A:B,2,0)</f>
        <v>LETAJ</v>
      </c>
      <c r="H1433" s="75">
        <v>35115</v>
      </c>
      <c r="I1433" s="76" t="str">
        <f>VLOOKUP(Tabelle2[[#This Row],[Artikel]],Produkte!A:B,2,0)</f>
        <v>M-ONE Sanitar Silikon</v>
      </c>
      <c r="J1433" s="75">
        <v>12</v>
      </c>
      <c r="K1433" s="76" t="str">
        <f>VLOOKUP(Tabelle2[[#This Row],[Kunden Nr.]],KUNDEN!A:G,7)</f>
        <v>Mensuri</v>
      </c>
      <c r="L1433" s="76">
        <f>VLOOKUP(Tabelle2[[#This Row],[Artikel]],Produkte!A:H,8)</f>
        <v>0.17</v>
      </c>
    </row>
    <row r="1434" spans="1:12" x14ac:dyDescent="0.2">
      <c r="A1434" s="75" t="s">
        <v>422</v>
      </c>
      <c r="B1434" s="79">
        <v>46091</v>
      </c>
      <c r="C1434" s="75"/>
      <c r="D1434" s="75"/>
      <c r="E1434" s="75"/>
      <c r="F1434" s="75">
        <v>20209</v>
      </c>
      <c r="G1434" s="76" t="str">
        <f>VLOOKUP(Tabelle2[[#This Row],[Kunden Nr.]],KUNDEN!A:B,2,0)</f>
        <v>LETAJ</v>
      </c>
      <c r="H1434" s="75">
        <v>35121</v>
      </c>
      <c r="I1434" s="76" t="str">
        <f>VLOOKUP(Tabelle2[[#This Row],[Artikel]],Produkte!A:B,2,0)</f>
        <v>M-ONE Sanitar Silikon</v>
      </c>
      <c r="J1434" s="75">
        <v>12</v>
      </c>
      <c r="K1434" s="76" t="str">
        <f>VLOOKUP(Tabelle2[[#This Row],[Kunden Nr.]],KUNDEN!A:G,7)</f>
        <v>Mensuri</v>
      </c>
      <c r="L1434" s="76">
        <f>VLOOKUP(Tabelle2[[#This Row],[Artikel]],Produkte!A:H,8)</f>
        <v>0.17</v>
      </c>
    </row>
    <row r="1435" spans="1:12" x14ac:dyDescent="0.2">
      <c r="A1435" s="75" t="s">
        <v>1155</v>
      </c>
      <c r="B1435" s="79">
        <v>46091</v>
      </c>
      <c r="C1435" s="89">
        <v>92.4</v>
      </c>
      <c r="D1435" s="75"/>
      <c r="E1435" s="75"/>
      <c r="F1435" s="75">
        <v>20220</v>
      </c>
      <c r="G1435" s="76" t="str">
        <f>VLOOKUP(Tabelle2[[#This Row],[Kunden Nr.]],KUNDEN!A:B,2,0)</f>
        <v>GERMAN FABRE</v>
      </c>
      <c r="H1435" s="75">
        <v>35110</v>
      </c>
      <c r="I1435" s="76" t="str">
        <f>VLOOKUP(Tabelle2[[#This Row],[Artikel]],Produkte!A:B,2,0)</f>
        <v>M-ONE Sanitar Silikon</v>
      </c>
      <c r="J1435" s="75">
        <v>12</v>
      </c>
      <c r="K1435" s="76" t="str">
        <f>VLOOKUP(Tabelle2[[#This Row],[Kunden Nr.]],KUNDEN!A:G,7)</f>
        <v>Mensuri</v>
      </c>
      <c r="L1435" s="76">
        <f>VLOOKUP(Tabelle2[[#This Row],[Artikel]],Produkte!A:H,8)</f>
        <v>0.17</v>
      </c>
    </row>
    <row r="1436" spans="1:12" x14ac:dyDescent="0.2">
      <c r="A1436" s="75" t="s">
        <v>1155</v>
      </c>
      <c r="B1436" s="79">
        <v>46091</v>
      </c>
      <c r="C1436" s="75"/>
      <c r="D1436" s="75"/>
      <c r="E1436" s="75"/>
      <c r="F1436" s="75">
        <v>20220</v>
      </c>
      <c r="G1436" s="76" t="str">
        <f>VLOOKUP(Tabelle2[[#This Row],[Kunden Nr.]],KUNDEN!A:B,2,0)</f>
        <v>GERMAN FABRE</v>
      </c>
      <c r="H1436" s="75">
        <v>35128</v>
      </c>
      <c r="I1436" s="76" t="str">
        <f>VLOOKUP(Tabelle2[[#This Row],[Artikel]],Produkte!A:B,2,0)</f>
        <v>M-ONE Sanitar Silikon</v>
      </c>
      <c r="J1436" s="75">
        <v>12</v>
      </c>
      <c r="K1436" s="76" t="str">
        <f>VLOOKUP(Tabelle2[[#This Row],[Kunden Nr.]],KUNDEN!A:G,7)</f>
        <v>Mensuri</v>
      </c>
      <c r="L1436" s="76">
        <f>VLOOKUP(Tabelle2[[#This Row],[Artikel]],Produkte!A:H,8)</f>
        <v>0.17</v>
      </c>
    </row>
    <row r="1437" spans="1:12" x14ac:dyDescent="0.2">
      <c r="A1437" s="75" t="s">
        <v>425</v>
      </c>
      <c r="B1437" s="79">
        <v>46091</v>
      </c>
      <c r="C1437" s="89">
        <v>92.4</v>
      </c>
      <c r="D1437" s="75"/>
      <c r="E1437" s="75"/>
      <c r="F1437" s="75">
        <v>20212</v>
      </c>
      <c r="G1437" s="76" t="str">
        <f>VLOOKUP(Tabelle2[[#This Row],[Kunden Nr.]],KUNDEN!A:B,2,0)</f>
        <v>INOX 2</v>
      </c>
      <c r="H1437" s="75">
        <v>35108</v>
      </c>
      <c r="I1437" s="76" t="str">
        <f>VLOOKUP(Tabelle2[[#This Row],[Artikel]],Produkte!A:B,2,0)</f>
        <v>M-ONE Sanitar Silikon</v>
      </c>
      <c r="J1437" s="75">
        <v>12</v>
      </c>
      <c r="K1437" s="76" t="str">
        <f>VLOOKUP(Tabelle2[[#This Row],[Kunden Nr.]],KUNDEN!A:G,7)</f>
        <v>Mensuri</v>
      </c>
      <c r="L1437" s="76">
        <f>VLOOKUP(Tabelle2[[#This Row],[Artikel]],Produkte!A:H,8)</f>
        <v>0.17</v>
      </c>
    </row>
    <row r="1438" spans="1:12" x14ac:dyDescent="0.2">
      <c r="A1438" s="75" t="s">
        <v>425</v>
      </c>
      <c r="B1438" s="79">
        <v>46091</v>
      </c>
      <c r="C1438" s="75"/>
      <c r="D1438" s="75"/>
      <c r="E1438" s="75"/>
      <c r="F1438" s="75">
        <v>20212</v>
      </c>
      <c r="G1438" s="76" t="str">
        <f>VLOOKUP(Tabelle2[[#This Row],[Kunden Nr.]],KUNDEN!A:B,2,0)</f>
        <v>INOX 2</v>
      </c>
      <c r="H1438" s="75">
        <v>35115</v>
      </c>
      <c r="I1438" s="76" t="str">
        <f>VLOOKUP(Tabelle2[[#This Row],[Artikel]],Produkte!A:B,2,0)</f>
        <v>M-ONE Sanitar Silikon</v>
      </c>
      <c r="J1438" s="75">
        <v>12</v>
      </c>
      <c r="K1438" s="76" t="str">
        <f>VLOOKUP(Tabelle2[[#This Row],[Kunden Nr.]],KUNDEN!A:G,7)</f>
        <v>Mensuri</v>
      </c>
      <c r="L1438" s="76">
        <f>VLOOKUP(Tabelle2[[#This Row],[Artikel]],Produkte!A:H,8)</f>
        <v>0.17</v>
      </c>
    </row>
    <row r="1439" spans="1:12" x14ac:dyDescent="0.2">
      <c r="A1439" s="75" t="s">
        <v>1041</v>
      </c>
      <c r="B1439" s="79">
        <v>46091</v>
      </c>
      <c r="C1439" s="89">
        <v>139.19999999999999</v>
      </c>
      <c r="D1439" s="75"/>
      <c r="E1439" s="75"/>
      <c r="F1439" s="75">
        <v>20223</v>
      </c>
      <c r="G1439" s="76" t="str">
        <f>VLOOKUP(Tabelle2[[#This Row],[Kunden Nr.]],KUNDEN!A:B,2,0)</f>
        <v>GER COLORS</v>
      </c>
      <c r="H1439" s="75">
        <v>66701</v>
      </c>
      <c r="I1439" s="76" t="str">
        <f>VLOOKUP(Tabelle2[[#This Row],[Artikel]],Produkte!A:B,2,0)</f>
        <v>PROFIMONT EXTREME</v>
      </c>
      <c r="J1439" s="75">
        <v>24</v>
      </c>
      <c r="K1439" s="76" t="str">
        <f>VLOOKUP(Tabelle2[[#This Row],[Kunden Nr.]],KUNDEN!A:G,7)</f>
        <v>Mensuri</v>
      </c>
      <c r="L1439" s="76">
        <f>VLOOKUP(Tabelle2[[#This Row],[Artikel]],Produkte!A:H,8)</f>
        <v>0.2</v>
      </c>
    </row>
    <row r="1440" spans="1:12" x14ac:dyDescent="0.2">
      <c r="A1440" s="75" t="s">
        <v>1302</v>
      </c>
      <c r="B1440" s="79">
        <v>46091</v>
      </c>
      <c r="C1440" s="89">
        <v>69.599999999999994</v>
      </c>
      <c r="D1440" s="75"/>
      <c r="E1440" s="75"/>
      <c r="F1440" s="75">
        <v>20228</v>
      </c>
      <c r="G1440" s="76" t="str">
        <f>VLOOKUP(Tabelle2[[#This Row],[Kunden Nr.]],KUNDEN!A:B,2,0)</f>
        <v>HB-DECOR</v>
      </c>
      <c r="H1440" s="75">
        <v>66701</v>
      </c>
      <c r="I1440" s="76" t="str">
        <f>VLOOKUP(Tabelle2[[#This Row],[Artikel]],Produkte!A:B,2,0)</f>
        <v>PROFIMONT EXTREME</v>
      </c>
      <c r="J1440" s="75">
        <v>12</v>
      </c>
      <c r="K1440" s="76" t="str">
        <f>VLOOKUP(Tabelle2[[#This Row],[Kunden Nr.]],KUNDEN!A:G,7)</f>
        <v>Mensuri</v>
      </c>
      <c r="L1440" s="76">
        <f>VLOOKUP(Tabelle2[[#This Row],[Artikel]],Produkte!A:H,8)</f>
        <v>0.2</v>
      </c>
    </row>
    <row r="1441" spans="1:12" x14ac:dyDescent="0.2">
      <c r="A1441" s="75" t="s">
        <v>670</v>
      </c>
      <c r="B1441" s="79">
        <v>46091</v>
      </c>
      <c r="C1441" s="89">
        <v>120</v>
      </c>
      <c r="D1441" s="75"/>
      <c r="E1441" s="75"/>
      <c r="F1441" s="75">
        <v>20206</v>
      </c>
      <c r="G1441" s="76" t="str">
        <f>VLOOKUP(Tabelle2[[#This Row],[Kunden Nr.]],KUNDEN!A:B,2,0)</f>
        <v>ERENIKU</v>
      </c>
      <c r="H1441" s="75">
        <v>35110</v>
      </c>
      <c r="I1441" s="76" t="str">
        <f>VLOOKUP(Tabelle2[[#This Row],[Artikel]],Produkte!A:B,2,0)</f>
        <v>M-ONE Sanitar Silikon</v>
      </c>
      <c r="J1441" s="75">
        <v>12</v>
      </c>
      <c r="K1441" s="76" t="str">
        <f>VLOOKUP(Tabelle2[[#This Row],[Kunden Nr.]],KUNDEN!A:G,7)</f>
        <v>Mensuri</v>
      </c>
      <c r="L1441" s="76">
        <f>VLOOKUP(Tabelle2[[#This Row],[Artikel]],Produkte!A:H,8)</f>
        <v>0.17</v>
      </c>
    </row>
    <row r="1442" spans="1:12" x14ac:dyDescent="0.2">
      <c r="A1442" s="75" t="s">
        <v>670</v>
      </c>
      <c r="B1442" s="79">
        <v>46091</v>
      </c>
      <c r="C1442" s="75"/>
      <c r="D1442" s="75"/>
      <c r="E1442" s="75"/>
      <c r="F1442" s="75">
        <v>20206</v>
      </c>
      <c r="G1442" s="76" t="str">
        <f>VLOOKUP(Tabelle2[[#This Row],[Kunden Nr.]],KUNDEN!A:B,2,0)</f>
        <v>ERENIKU</v>
      </c>
      <c r="H1442" s="75">
        <v>35115</v>
      </c>
      <c r="I1442" s="76" t="str">
        <f>VLOOKUP(Tabelle2[[#This Row],[Artikel]],Produkte!A:B,2,0)</f>
        <v>M-ONE Sanitar Silikon</v>
      </c>
      <c r="J1442" s="75">
        <v>12</v>
      </c>
      <c r="K1442" s="76" t="str">
        <f>VLOOKUP(Tabelle2[[#This Row],[Kunden Nr.]],KUNDEN!A:G,7)</f>
        <v>Mensuri</v>
      </c>
      <c r="L1442" s="76">
        <f>VLOOKUP(Tabelle2[[#This Row],[Artikel]],Produkte!A:H,8)</f>
        <v>0.17</v>
      </c>
    </row>
    <row r="1443" spans="1:12" x14ac:dyDescent="0.2">
      <c r="A1443" s="75" t="s">
        <v>670</v>
      </c>
      <c r="B1443" s="79">
        <v>46091</v>
      </c>
      <c r="C1443" s="75"/>
      <c r="D1443" s="75"/>
      <c r="E1443" s="75"/>
      <c r="F1443" s="75">
        <v>20206</v>
      </c>
      <c r="G1443" s="76" t="str">
        <f>VLOOKUP(Tabelle2[[#This Row],[Kunden Nr.]],KUNDEN!A:B,2,0)</f>
        <v>ERENIKU</v>
      </c>
      <c r="H1443" s="75">
        <v>51612</v>
      </c>
      <c r="I1443" s="76" t="str">
        <f>VLOOKUP(Tabelle2[[#This Row],[Artikel]],Produkte!A:B,2,0)</f>
        <v>struktural akryl</v>
      </c>
      <c r="J1443" s="75">
        <v>12</v>
      </c>
      <c r="K1443" s="76" t="str">
        <f>VLOOKUP(Tabelle2[[#This Row],[Kunden Nr.]],KUNDEN!A:G,7)</f>
        <v>Mensuri</v>
      </c>
      <c r="L1443" s="76">
        <f>VLOOKUP(Tabelle2[[#This Row],[Artikel]],Produkte!A:H,8)</f>
        <v>0.06</v>
      </c>
    </row>
    <row r="1444" spans="1:12" x14ac:dyDescent="0.2">
      <c r="A1444" s="75" t="s">
        <v>418</v>
      </c>
      <c r="B1444" s="79">
        <v>46091</v>
      </c>
      <c r="C1444" s="89">
        <v>208.2</v>
      </c>
      <c r="D1444" s="75"/>
      <c r="E1444" s="75"/>
      <c r="F1444" s="75">
        <v>20203</v>
      </c>
      <c r="G1444" s="76" t="str">
        <f>VLOOKUP(Tabelle2[[#This Row],[Kunden Nr.]],KUNDEN!A:B,2,0)</f>
        <v>AFRIMI-AG</v>
      </c>
      <c r="H1444" s="75">
        <v>35114</v>
      </c>
      <c r="I1444" s="76" t="str">
        <f>VLOOKUP(Tabelle2[[#This Row],[Artikel]],Produkte!A:B,2,0)</f>
        <v>M-ONE Sanitar Silikon</v>
      </c>
      <c r="J1444" s="75">
        <v>12</v>
      </c>
      <c r="K1444" s="76" t="str">
        <f>VLOOKUP(Tabelle2[[#This Row],[Kunden Nr.]],KUNDEN!A:G,7)</f>
        <v>Mensuri</v>
      </c>
      <c r="L1444" s="76">
        <f>VLOOKUP(Tabelle2[[#This Row],[Artikel]],Produkte!A:H,8)</f>
        <v>0.17</v>
      </c>
    </row>
    <row r="1445" spans="1:12" x14ac:dyDescent="0.2">
      <c r="A1445" s="75" t="s">
        <v>418</v>
      </c>
      <c r="B1445" s="79">
        <v>46091</v>
      </c>
      <c r="C1445" s="75"/>
      <c r="D1445" s="75"/>
      <c r="E1445" s="75"/>
      <c r="F1445" s="75">
        <v>20203</v>
      </c>
      <c r="G1445" s="76" t="str">
        <f>VLOOKUP(Tabelle2[[#This Row],[Kunden Nr.]],KUNDEN!A:B,2,0)</f>
        <v>AFRIMI-AG</v>
      </c>
      <c r="H1445" s="75">
        <v>66701</v>
      </c>
      <c r="I1445" s="76" t="str">
        <f>VLOOKUP(Tabelle2[[#This Row],[Artikel]],Produkte!A:B,2,0)</f>
        <v>PROFIMONT EXTREME</v>
      </c>
      <c r="J1445" s="75">
        <v>12</v>
      </c>
      <c r="K1445" s="76" t="str">
        <f>VLOOKUP(Tabelle2[[#This Row],[Kunden Nr.]],KUNDEN!A:G,7)</f>
        <v>Mensuri</v>
      </c>
      <c r="L1445" s="76">
        <f>VLOOKUP(Tabelle2[[#This Row],[Artikel]],Produkte!A:H,8)</f>
        <v>0.2</v>
      </c>
    </row>
    <row r="1446" spans="1:12" x14ac:dyDescent="0.2">
      <c r="A1446" s="75" t="s">
        <v>418</v>
      </c>
      <c r="B1446" s="79">
        <v>46091</v>
      </c>
      <c r="C1446" s="75"/>
      <c r="D1446" s="75"/>
      <c r="E1446" s="75"/>
      <c r="F1446" s="75">
        <v>20203</v>
      </c>
      <c r="G1446" s="76" t="str">
        <f>VLOOKUP(Tabelle2[[#This Row],[Kunden Nr.]],KUNDEN!A:B,2,0)</f>
        <v>AFRIMI-AG</v>
      </c>
      <c r="H1446" s="75">
        <v>35108</v>
      </c>
      <c r="I1446" s="76" t="str">
        <f>VLOOKUP(Tabelle2[[#This Row],[Artikel]],Produkte!A:B,2,0)</f>
        <v>M-ONE Sanitar Silikon</v>
      </c>
      <c r="J1446" s="75">
        <v>12</v>
      </c>
      <c r="K1446" s="76" t="str">
        <f>VLOOKUP(Tabelle2[[#This Row],[Kunden Nr.]],KUNDEN!A:G,7)</f>
        <v>Mensuri</v>
      </c>
      <c r="L1446" s="76">
        <f>VLOOKUP(Tabelle2[[#This Row],[Artikel]],Produkte!A:H,8)</f>
        <v>0.17</v>
      </c>
    </row>
    <row r="1447" spans="1:12" x14ac:dyDescent="0.2">
      <c r="A1447" s="75" t="s">
        <v>418</v>
      </c>
      <c r="B1447" s="79">
        <v>46091</v>
      </c>
      <c r="C1447" s="75"/>
      <c r="D1447" s="75"/>
      <c r="E1447" s="75"/>
      <c r="F1447" s="75">
        <v>20203</v>
      </c>
      <c r="G1447" s="76" t="str">
        <f>VLOOKUP(Tabelle2[[#This Row],[Kunden Nr.]],KUNDEN!A:B,2,0)</f>
        <v>AFRIMI-AG</v>
      </c>
      <c r="H1447" s="75">
        <v>35111</v>
      </c>
      <c r="I1447" s="76" t="str">
        <f>VLOOKUP(Tabelle2[[#This Row],[Artikel]],Produkte!A:B,2,0)</f>
        <v>M-ONE Sanitar Silikon</v>
      </c>
      <c r="J1447" s="75">
        <v>12</v>
      </c>
      <c r="K1447" s="76" t="str">
        <f>VLOOKUP(Tabelle2[[#This Row],[Kunden Nr.]],KUNDEN!A:G,7)</f>
        <v>Mensuri</v>
      </c>
      <c r="L1447" s="76">
        <f>VLOOKUP(Tabelle2[[#This Row],[Artikel]],Produkte!A:H,8)</f>
        <v>0.17</v>
      </c>
    </row>
    <row r="1448" spans="1:12" x14ac:dyDescent="0.2">
      <c r="A1448" s="75" t="s">
        <v>963</v>
      </c>
      <c r="B1448" s="79">
        <v>46091</v>
      </c>
      <c r="C1448" s="89">
        <v>73.8</v>
      </c>
      <c r="D1448" s="75"/>
      <c r="E1448" s="75"/>
      <c r="F1448" s="75">
        <v>20201</v>
      </c>
      <c r="G1448" s="76" t="str">
        <f>VLOOKUP(Tabelle2[[#This Row],[Kunden Nr.]],KUNDEN!A:B,2,0)</f>
        <v>TE BESIMI</v>
      </c>
      <c r="H1448" s="75">
        <v>35108</v>
      </c>
      <c r="I1448" s="76" t="str">
        <f>VLOOKUP(Tabelle2[[#This Row],[Artikel]],Produkte!A:B,2,0)</f>
        <v>M-ONE Sanitar Silikon</v>
      </c>
      <c r="J1448" s="75">
        <v>12</v>
      </c>
      <c r="K1448" s="76" t="str">
        <f>VLOOKUP(Tabelle2[[#This Row],[Kunden Nr.]],KUNDEN!A:G,7)</f>
        <v>Mensuri</v>
      </c>
      <c r="L1448" s="76">
        <f>VLOOKUP(Tabelle2[[#This Row],[Artikel]],Produkte!A:H,8)</f>
        <v>0.17</v>
      </c>
    </row>
    <row r="1449" spans="1:12" x14ac:dyDescent="0.2">
      <c r="A1449" s="75" t="s">
        <v>963</v>
      </c>
      <c r="B1449" s="79">
        <v>46091</v>
      </c>
      <c r="C1449" s="75"/>
      <c r="D1449" s="75"/>
      <c r="E1449" s="75"/>
      <c r="F1449" s="75">
        <v>20201</v>
      </c>
      <c r="G1449" s="76" t="str">
        <f>VLOOKUP(Tabelle2[[#This Row],[Kunden Nr.]],KUNDEN!A:B,2,0)</f>
        <v>TE BESIMI</v>
      </c>
      <c r="H1449" s="75">
        <v>51612</v>
      </c>
      <c r="I1449" s="76" t="str">
        <f>VLOOKUP(Tabelle2[[#This Row],[Artikel]],Produkte!A:B,2,0)</f>
        <v>struktural akryl</v>
      </c>
      <c r="J1449" s="75">
        <v>12</v>
      </c>
      <c r="K1449" s="76" t="str">
        <f>VLOOKUP(Tabelle2[[#This Row],[Kunden Nr.]],KUNDEN!A:G,7)</f>
        <v>Mensuri</v>
      </c>
      <c r="L1449" s="76">
        <f>VLOOKUP(Tabelle2[[#This Row],[Artikel]],Produkte!A:H,8)</f>
        <v>0.06</v>
      </c>
    </row>
    <row r="1450" spans="1:12" x14ac:dyDescent="0.2">
      <c r="A1450" s="75" t="s">
        <v>823</v>
      </c>
      <c r="B1450" s="79">
        <v>46091</v>
      </c>
      <c r="C1450" s="89">
        <v>125.1</v>
      </c>
      <c r="D1450" s="75"/>
      <c r="E1450" s="75"/>
      <c r="F1450" s="75">
        <v>20118</v>
      </c>
      <c r="G1450" s="76" t="str">
        <f>VLOOKUP(Tabelle2[[#This Row],[Kunden Nr.]],KUNDEN!A:B,2,0)</f>
        <v>AP WOLF</v>
      </c>
      <c r="H1450" s="75">
        <v>56117</v>
      </c>
      <c r="I1450" s="76" t="str">
        <f>VLOOKUP(Tabelle2[[#This Row],[Artikel]],Produkte!A:B,2,0)</f>
        <v>M ONE UBS</v>
      </c>
      <c r="J1450" s="75">
        <v>5</v>
      </c>
      <c r="K1450" s="76" t="str">
        <f>VLOOKUP(Tabelle2[[#This Row],[Kunden Nr.]],KUNDEN!A:G,7)</f>
        <v>Mensuri</v>
      </c>
      <c r="L1450" s="76">
        <f>VLOOKUP(Tabelle2[[#This Row],[Artikel]],Produkte!A:H,8)</f>
        <v>0.2</v>
      </c>
    </row>
    <row r="1451" spans="1:12" x14ac:dyDescent="0.2">
      <c r="A1451" s="75" t="s">
        <v>823</v>
      </c>
      <c r="B1451" s="79">
        <v>46091</v>
      </c>
      <c r="C1451" s="75"/>
      <c r="D1451" s="75"/>
      <c r="E1451" s="75"/>
      <c r="F1451" s="75">
        <v>20118</v>
      </c>
      <c r="G1451" s="76" t="str">
        <f>VLOOKUP(Tabelle2[[#This Row],[Kunden Nr.]],KUNDEN!A:B,2,0)</f>
        <v>AP WOLF</v>
      </c>
      <c r="H1451" s="75">
        <v>26736</v>
      </c>
      <c r="I1451" s="76" t="str">
        <f>VLOOKUP(Tabelle2[[#This Row],[Artikel]],Produkte!A:B,2,0)</f>
        <v>M ONE HAFTGRUND</v>
      </c>
      <c r="J1451" s="75">
        <v>5</v>
      </c>
      <c r="K1451" s="76" t="str">
        <f>VLOOKUP(Tabelle2[[#This Row],[Kunden Nr.]],KUNDEN!A:G,7)</f>
        <v>Mensuri</v>
      </c>
      <c r="L1451" s="76">
        <f>VLOOKUP(Tabelle2[[#This Row],[Artikel]],Produkte!A:H,8)</f>
        <v>0.15</v>
      </c>
    </row>
    <row r="1452" spans="1:12" x14ac:dyDescent="0.2">
      <c r="A1452" s="75" t="s">
        <v>823</v>
      </c>
      <c r="B1452" s="79">
        <v>46091</v>
      </c>
      <c r="C1452" s="75"/>
      <c r="D1452" s="75"/>
      <c r="E1452" s="75"/>
      <c r="F1452" s="75">
        <v>20118</v>
      </c>
      <c r="G1452" s="76" t="str">
        <f>VLOOKUP(Tabelle2[[#This Row],[Kunden Nr.]],KUNDEN!A:B,2,0)</f>
        <v>AP WOLF</v>
      </c>
      <c r="H1452" s="75">
        <v>49644</v>
      </c>
      <c r="I1452" s="76" t="str">
        <f>VLOOKUP(Tabelle2[[#This Row],[Artikel]],Produkte!A:B,2,0)</f>
        <v>beMAKER Rostlöser</v>
      </c>
      <c r="J1452" s="75">
        <v>5</v>
      </c>
      <c r="K1452" s="76" t="str">
        <f>VLOOKUP(Tabelle2[[#This Row],[Kunden Nr.]],KUNDEN!A:G,7)</f>
        <v>Mensuri</v>
      </c>
      <c r="L1452" s="76">
        <f>VLOOKUP(Tabelle2[[#This Row],[Artikel]],Produkte!A:H,8)</f>
        <v>0.2</v>
      </c>
    </row>
    <row r="1453" spans="1:12" x14ac:dyDescent="0.2">
      <c r="A1453" s="75" t="s">
        <v>823</v>
      </c>
      <c r="B1453" s="79">
        <v>46091</v>
      </c>
      <c r="C1453" s="75"/>
      <c r="D1453" s="75"/>
      <c r="E1453" s="75"/>
      <c r="F1453" s="75">
        <v>20118</v>
      </c>
      <c r="G1453" s="76" t="str">
        <f>VLOOKUP(Tabelle2[[#This Row],[Kunden Nr.]],KUNDEN!A:B,2,0)</f>
        <v>AP WOLF</v>
      </c>
      <c r="H1453" s="75">
        <v>44001</v>
      </c>
      <c r="I1453" s="76" t="str">
        <f>VLOOKUP(Tabelle2[[#This Row],[Artikel]],Produkte!A:B,2,0)</f>
        <v>Fettspray</v>
      </c>
      <c r="J1453" s="75">
        <v>4</v>
      </c>
      <c r="K1453" s="76" t="str">
        <f>VLOOKUP(Tabelle2[[#This Row],[Kunden Nr.]],KUNDEN!A:G,7)</f>
        <v>Mensuri</v>
      </c>
      <c r="L1453" s="76">
        <f>VLOOKUP(Tabelle2[[#This Row],[Artikel]],Produkte!A:H,8)</f>
        <v>0.2</v>
      </c>
    </row>
    <row r="1454" spans="1:12" x14ac:dyDescent="0.2">
      <c r="A1454" s="75" t="s">
        <v>823</v>
      </c>
      <c r="B1454" s="79">
        <v>46091</v>
      </c>
      <c r="C1454" s="75"/>
      <c r="D1454" s="75"/>
      <c r="E1454" s="75"/>
      <c r="F1454" s="75">
        <v>20118</v>
      </c>
      <c r="G1454" s="76" t="str">
        <f>VLOOKUP(Tabelle2[[#This Row],[Kunden Nr.]],KUNDEN!A:B,2,0)</f>
        <v>AP WOLF</v>
      </c>
      <c r="H1454" s="75">
        <v>39505</v>
      </c>
      <c r="I1454" s="76" t="str">
        <f>VLOOKUP(Tabelle2[[#This Row],[Artikel]],Produkte!A:B,2,0)</f>
        <v>M ONE SILIKON SPRAY</v>
      </c>
      <c r="J1454" s="75">
        <v>3</v>
      </c>
      <c r="K1454" s="76" t="str">
        <f>VLOOKUP(Tabelle2[[#This Row],[Kunden Nr.]],KUNDEN!A:G,7)</f>
        <v>Mensuri</v>
      </c>
      <c r="L1454" s="76">
        <f>VLOOKUP(Tabelle2[[#This Row],[Artikel]],Produkte!A:H,8)</f>
        <v>0.2</v>
      </c>
    </row>
    <row r="1455" spans="1:12" x14ac:dyDescent="0.2">
      <c r="A1455" s="75" t="s">
        <v>823</v>
      </c>
      <c r="B1455" s="79">
        <v>46091</v>
      </c>
      <c r="C1455" s="75"/>
      <c r="D1455" s="75"/>
      <c r="E1455" s="75"/>
      <c r="F1455" s="75">
        <v>20118</v>
      </c>
      <c r="G1455" s="76" t="str">
        <f>VLOOKUP(Tabelle2[[#This Row],[Kunden Nr.]],KUNDEN!A:B,2,0)</f>
        <v>AP WOLF</v>
      </c>
      <c r="H1455" s="75">
        <v>50912</v>
      </c>
      <c r="I1455" s="76" t="str">
        <f>VLOOKUP(Tabelle2[[#This Row],[Artikel]],Produkte!A:B,2,0)</f>
        <v>DICHTUNG</v>
      </c>
      <c r="J1455" s="75">
        <v>8</v>
      </c>
      <c r="K1455" s="76" t="str">
        <f>VLOOKUP(Tabelle2[[#This Row],[Kunden Nr.]],KUNDEN!A:G,7)</f>
        <v>Mensuri</v>
      </c>
      <c r="L1455" s="76">
        <f>VLOOKUP(Tabelle2[[#This Row],[Artikel]],Produkte!A:H,8)</f>
        <v>0.2</v>
      </c>
    </row>
    <row r="1456" spans="1:12" x14ac:dyDescent="0.2">
      <c r="A1456" s="75" t="s">
        <v>823</v>
      </c>
      <c r="B1456" s="79">
        <v>46091</v>
      </c>
      <c r="C1456" s="75"/>
      <c r="D1456" s="75"/>
      <c r="E1456" s="75"/>
      <c r="F1456" s="75">
        <v>20118</v>
      </c>
      <c r="G1456" s="76" t="str">
        <f>VLOOKUP(Tabelle2[[#This Row],[Kunden Nr.]],KUNDEN!A:B,2,0)</f>
        <v>AP WOLF</v>
      </c>
      <c r="H1456" s="75">
        <v>55718</v>
      </c>
      <c r="I1456" s="76" t="str">
        <f>VLOOKUP(Tabelle2[[#This Row],[Artikel]],Produkte!A:B,2,0)</f>
        <v>M ONE MOTORSTART</v>
      </c>
      <c r="J1456" s="75">
        <v>2</v>
      </c>
      <c r="K1456" s="76" t="str">
        <f>VLOOKUP(Tabelle2[[#This Row],[Kunden Nr.]],KUNDEN!A:G,7)</f>
        <v>Mensuri</v>
      </c>
      <c r="L1456" s="76">
        <f>VLOOKUP(Tabelle2[[#This Row],[Artikel]],Produkte!A:H,8)</f>
        <v>0.2</v>
      </c>
    </row>
    <row r="1457" spans="1:12" x14ac:dyDescent="0.2">
      <c r="A1457" s="75" t="s">
        <v>770</v>
      </c>
      <c r="B1457" s="79">
        <v>46092</v>
      </c>
      <c r="C1457" s="89">
        <v>255</v>
      </c>
      <c r="D1457" s="75"/>
      <c r="E1457" s="75"/>
      <c r="F1457" s="75">
        <v>40003</v>
      </c>
      <c r="G1457" s="76" t="str">
        <f>VLOOKUP(Tabelle2[[#This Row],[Kunden Nr.]],KUNDEN!A:B,2,0)</f>
        <v>ARBENI BIOBLIC</v>
      </c>
      <c r="H1457" s="75">
        <v>20001</v>
      </c>
      <c r="I1457" s="76" t="str">
        <f>VLOOKUP(Tabelle2[[#This Row],[Artikel]],Produkte!A:B,2,0)</f>
        <v>BioBlic Universalreiniger</v>
      </c>
      <c r="J1457" s="75">
        <v>130</v>
      </c>
      <c r="K1457" s="76">
        <f>VLOOKUP(Tabelle2[[#This Row],[Kunden Nr.]],KUNDEN!A:G,7)</f>
        <v>0</v>
      </c>
      <c r="L1457" s="76">
        <f>VLOOKUP(Tabelle2[[#This Row],[Artikel]],Produkte!A:H,8)</f>
        <v>0.30000000000000004</v>
      </c>
    </row>
    <row r="1458" spans="1:12" x14ac:dyDescent="0.2">
      <c r="A1458" s="75" t="s">
        <v>770</v>
      </c>
      <c r="B1458" s="79">
        <v>46092</v>
      </c>
      <c r="C1458" s="75"/>
      <c r="D1458" s="75"/>
      <c r="E1458" s="75"/>
      <c r="F1458" s="75">
        <v>40003</v>
      </c>
      <c r="G1458" s="76" t="str">
        <f>VLOOKUP(Tabelle2[[#This Row],[Kunden Nr.]],KUNDEN!A:B,2,0)</f>
        <v>ARBENI BIOBLIC</v>
      </c>
      <c r="H1458" s="75">
        <v>30275</v>
      </c>
      <c r="I1458" s="76" t="str">
        <f>VLOOKUP(Tabelle2[[#This Row],[Artikel]],Produkte!A:B,2,0)</f>
        <v>Blic Blic Sanitärreiniger</v>
      </c>
      <c r="J1458" s="75">
        <v>80</v>
      </c>
      <c r="K1458" s="76">
        <f>VLOOKUP(Tabelle2[[#This Row],[Kunden Nr.]],KUNDEN!A:G,7)</f>
        <v>0</v>
      </c>
      <c r="L1458" s="76">
        <f>VLOOKUP(Tabelle2[[#This Row],[Artikel]],Produkte!A:H,8)</f>
        <v>0.30000000000000004</v>
      </c>
    </row>
    <row r="1459" spans="1:12" x14ac:dyDescent="0.2">
      <c r="A1459" s="75" t="s">
        <v>43</v>
      </c>
      <c r="B1459" s="79">
        <v>46092</v>
      </c>
      <c r="C1459" s="89">
        <v>60.6</v>
      </c>
      <c r="D1459" s="75"/>
      <c r="E1459" s="75"/>
      <c r="F1459" s="75">
        <v>10332</v>
      </c>
      <c r="G1459" s="76" t="str">
        <f>VLOOKUP(Tabelle2[[#This Row],[Kunden Nr.]],KUNDEN!A:B,2,0)</f>
        <v>DARDANIA</v>
      </c>
      <c r="H1459" s="75">
        <v>35110</v>
      </c>
      <c r="I1459" s="76" t="str">
        <f>VLOOKUP(Tabelle2[[#This Row],[Artikel]],Produkte!A:B,2,0)</f>
        <v>M-ONE Sanitar Silikon</v>
      </c>
      <c r="J1459" s="75">
        <v>12</v>
      </c>
      <c r="K1459" s="76" t="str">
        <f>VLOOKUP(Tabelle2[[#This Row],[Kunden Nr.]],KUNDEN!A:G,7)</f>
        <v>Qerimi</v>
      </c>
      <c r="L1459" s="76">
        <f>VLOOKUP(Tabelle2[[#This Row],[Artikel]],Produkte!A:H,8)</f>
        <v>0.17</v>
      </c>
    </row>
    <row r="1460" spans="1:12" x14ac:dyDescent="0.2">
      <c r="A1460" s="75" t="s">
        <v>43</v>
      </c>
      <c r="B1460" s="79">
        <v>46092</v>
      </c>
      <c r="C1460" s="75"/>
      <c r="D1460" s="75"/>
      <c r="E1460" s="75"/>
      <c r="F1460" s="75">
        <v>10332</v>
      </c>
      <c r="G1460" s="76" t="str">
        <f>VLOOKUP(Tabelle2[[#This Row],[Kunden Nr.]],KUNDEN!A:B,2,0)</f>
        <v>DARDANIA</v>
      </c>
      <c r="H1460" s="75">
        <v>50912</v>
      </c>
      <c r="I1460" s="76" t="str">
        <f>VLOOKUP(Tabelle2[[#This Row],[Artikel]],Produkte!A:B,2,0)</f>
        <v>DICHTUNG</v>
      </c>
      <c r="J1460" s="75">
        <v>2</v>
      </c>
      <c r="K1460" s="76" t="str">
        <f>VLOOKUP(Tabelle2[[#This Row],[Kunden Nr.]],KUNDEN!A:G,7)</f>
        <v>Qerimi</v>
      </c>
      <c r="L1460" s="76">
        <f>VLOOKUP(Tabelle2[[#This Row],[Artikel]],Produkte!A:H,8)</f>
        <v>0.2</v>
      </c>
    </row>
    <row r="1461" spans="1:12" x14ac:dyDescent="0.2">
      <c r="A1461" s="75" t="s">
        <v>413</v>
      </c>
      <c r="B1461" s="79">
        <v>46092</v>
      </c>
      <c r="C1461" s="89">
        <v>231</v>
      </c>
      <c r="D1461" s="75"/>
      <c r="E1461" s="75"/>
      <c r="F1461" s="75">
        <v>10350</v>
      </c>
      <c r="G1461" s="76" t="str">
        <f>VLOOKUP(Tabelle2[[#This Row],[Kunden Nr.]],KUNDEN!A:B,2,0)</f>
        <v>BALLKANI</v>
      </c>
      <c r="H1461" s="75">
        <v>35113</v>
      </c>
      <c r="I1461" s="76" t="str">
        <f>VLOOKUP(Tabelle2[[#This Row],[Artikel]],Produkte!A:B,2,0)</f>
        <v>M-ONE Sanitar Silikon</v>
      </c>
      <c r="J1461" s="75">
        <v>24</v>
      </c>
      <c r="K1461" s="76" t="str">
        <f>VLOOKUP(Tabelle2[[#This Row],[Kunden Nr.]],KUNDEN!A:G,7)</f>
        <v>Qerimi</v>
      </c>
      <c r="L1461" s="76">
        <f>VLOOKUP(Tabelle2[[#This Row],[Artikel]],Produkte!A:H,8)</f>
        <v>0.17</v>
      </c>
    </row>
    <row r="1462" spans="1:12" x14ac:dyDescent="0.2">
      <c r="A1462" s="75" t="s">
        <v>413</v>
      </c>
      <c r="B1462" s="79">
        <v>46092</v>
      </c>
      <c r="C1462" s="75"/>
      <c r="D1462" s="75"/>
      <c r="E1462" s="75"/>
      <c r="F1462" s="75">
        <v>10350</v>
      </c>
      <c r="G1462" s="76" t="str">
        <f>VLOOKUP(Tabelle2[[#This Row],[Kunden Nr.]],KUNDEN!A:B,2,0)</f>
        <v>BALLKANI</v>
      </c>
      <c r="H1462" s="75">
        <v>35121</v>
      </c>
      <c r="I1462" s="76" t="str">
        <f>VLOOKUP(Tabelle2[[#This Row],[Artikel]],Produkte!A:B,2,0)</f>
        <v>M-ONE Sanitar Silikon</v>
      </c>
      <c r="J1462" s="75">
        <v>36</v>
      </c>
      <c r="K1462" s="76" t="str">
        <f>VLOOKUP(Tabelle2[[#This Row],[Kunden Nr.]],KUNDEN!A:G,7)</f>
        <v>Qerimi</v>
      </c>
      <c r="L1462" s="76">
        <f>VLOOKUP(Tabelle2[[#This Row],[Artikel]],Produkte!A:H,8)</f>
        <v>0.17</v>
      </c>
    </row>
    <row r="1463" spans="1:12" x14ac:dyDescent="0.2">
      <c r="A1463" s="75" t="s">
        <v>30</v>
      </c>
      <c r="B1463" s="79">
        <v>46092</v>
      </c>
      <c r="C1463" s="89">
        <v>72</v>
      </c>
      <c r="D1463" s="75"/>
      <c r="E1463" s="75"/>
      <c r="F1463" s="75">
        <v>10323</v>
      </c>
      <c r="G1463" s="76" t="str">
        <f>VLOOKUP(Tabelle2[[#This Row],[Kunden Nr.]],KUNDEN!A:B,2,0)</f>
        <v>BEKA-3</v>
      </c>
      <c r="H1463" s="75">
        <v>50912</v>
      </c>
      <c r="I1463" s="76" t="str">
        <f>VLOOKUP(Tabelle2[[#This Row],[Artikel]],Produkte!A:B,2,0)</f>
        <v>DICHTUNG</v>
      </c>
      <c r="J1463" s="75">
        <v>10</v>
      </c>
      <c r="K1463" s="76" t="str">
        <f>VLOOKUP(Tabelle2[[#This Row],[Kunden Nr.]],KUNDEN!A:G,7)</f>
        <v>Qerimi</v>
      </c>
      <c r="L1463" s="76">
        <f>VLOOKUP(Tabelle2[[#This Row],[Artikel]],Produkte!A:H,8)</f>
        <v>0.2</v>
      </c>
    </row>
    <row r="1464" spans="1:12" x14ac:dyDescent="0.2">
      <c r="A1464" s="75" t="s">
        <v>20</v>
      </c>
      <c r="B1464" s="79">
        <v>46092</v>
      </c>
      <c r="C1464" s="89">
        <v>323.39999999999998</v>
      </c>
      <c r="D1464" s="75"/>
      <c r="E1464" s="75"/>
      <c r="F1464" s="75">
        <v>10313</v>
      </c>
      <c r="G1464" s="76" t="str">
        <f>VLOOKUP(Tabelle2[[#This Row],[Kunden Nr.]],KUNDEN!A:B,2,0)</f>
        <v>FATMIRI</v>
      </c>
      <c r="H1464" s="75">
        <v>35109</v>
      </c>
      <c r="I1464" s="76" t="str">
        <f>VLOOKUP(Tabelle2[[#This Row],[Artikel]],Produkte!A:B,2,0)</f>
        <v>M-ONE Sanitar Silikon</v>
      </c>
      <c r="J1464" s="75">
        <v>12</v>
      </c>
      <c r="K1464" s="76" t="str">
        <f>VLOOKUP(Tabelle2[[#This Row],[Kunden Nr.]],KUNDEN!A:G,7)</f>
        <v>Qerimi</v>
      </c>
      <c r="L1464" s="76">
        <f>VLOOKUP(Tabelle2[[#This Row],[Artikel]],Produkte!A:H,8)</f>
        <v>0.17</v>
      </c>
    </row>
    <row r="1465" spans="1:12" x14ac:dyDescent="0.2">
      <c r="A1465" s="75" t="s">
        <v>20</v>
      </c>
      <c r="B1465" s="79">
        <v>46092</v>
      </c>
      <c r="C1465" s="75"/>
      <c r="D1465" s="75"/>
      <c r="E1465" s="75"/>
      <c r="F1465" s="75">
        <v>10313</v>
      </c>
      <c r="G1465" s="76" t="str">
        <f>VLOOKUP(Tabelle2[[#This Row],[Kunden Nr.]],KUNDEN!A:B,2,0)</f>
        <v>FATMIRI</v>
      </c>
      <c r="H1465" s="75">
        <v>35111</v>
      </c>
      <c r="I1465" s="76" t="str">
        <f>VLOOKUP(Tabelle2[[#This Row],[Artikel]],Produkte!A:B,2,0)</f>
        <v>M-ONE Sanitar Silikon</v>
      </c>
      <c r="J1465" s="75">
        <v>12</v>
      </c>
      <c r="K1465" s="76" t="str">
        <f>VLOOKUP(Tabelle2[[#This Row],[Kunden Nr.]],KUNDEN!A:G,7)</f>
        <v>Qerimi</v>
      </c>
      <c r="L1465" s="76">
        <f>VLOOKUP(Tabelle2[[#This Row],[Artikel]],Produkte!A:H,8)</f>
        <v>0.17</v>
      </c>
    </row>
    <row r="1466" spans="1:12" x14ac:dyDescent="0.2">
      <c r="A1466" s="75" t="s">
        <v>20</v>
      </c>
      <c r="B1466" s="79">
        <v>46092</v>
      </c>
      <c r="C1466" s="75"/>
      <c r="D1466" s="75"/>
      <c r="E1466" s="75"/>
      <c r="F1466" s="75">
        <v>10313</v>
      </c>
      <c r="G1466" s="76" t="str">
        <f>VLOOKUP(Tabelle2[[#This Row],[Kunden Nr.]],KUNDEN!A:B,2,0)</f>
        <v>FATMIRI</v>
      </c>
      <c r="H1466" s="75">
        <v>35113</v>
      </c>
      <c r="I1466" s="76" t="str">
        <f>VLOOKUP(Tabelle2[[#This Row],[Artikel]],Produkte!A:B,2,0)</f>
        <v>M-ONE Sanitar Silikon</v>
      </c>
      <c r="J1466" s="75">
        <v>12</v>
      </c>
      <c r="K1466" s="76" t="str">
        <f>VLOOKUP(Tabelle2[[#This Row],[Kunden Nr.]],KUNDEN!A:G,7)</f>
        <v>Qerimi</v>
      </c>
      <c r="L1466" s="76">
        <f>VLOOKUP(Tabelle2[[#This Row],[Artikel]],Produkte!A:H,8)</f>
        <v>0.17</v>
      </c>
    </row>
    <row r="1467" spans="1:12" x14ac:dyDescent="0.2">
      <c r="A1467" s="75" t="s">
        <v>20</v>
      </c>
      <c r="B1467" s="79">
        <v>46092</v>
      </c>
      <c r="C1467" s="75"/>
      <c r="D1467" s="75"/>
      <c r="E1467" s="75"/>
      <c r="F1467" s="75">
        <v>10313</v>
      </c>
      <c r="G1467" s="76" t="str">
        <f>VLOOKUP(Tabelle2[[#This Row],[Kunden Nr.]],KUNDEN!A:B,2,0)</f>
        <v>FATMIRI</v>
      </c>
      <c r="H1467" s="75">
        <v>35114</v>
      </c>
      <c r="I1467" s="76" t="str">
        <f>VLOOKUP(Tabelle2[[#This Row],[Artikel]],Produkte!A:B,2,0)</f>
        <v>M-ONE Sanitar Silikon</v>
      </c>
      <c r="J1467" s="75">
        <v>12</v>
      </c>
      <c r="K1467" s="76" t="str">
        <f>VLOOKUP(Tabelle2[[#This Row],[Kunden Nr.]],KUNDEN!A:G,7)</f>
        <v>Qerimi</v>
      </c>
      <c r="L1467" s="76">
        <f>VLOOKUP(Tabelle2[[#This Row],[Artikel]],Produkte!A:H,8)</f>
        <v>0.17</v>
      </c>
    </row>
    <row r="1468" spans="1:12" x14ac:dyDescent="0.2">
      <c r="A1468" s="75" t="s">
        <v>20</v>
      </c>
      <c r="B1468" s="79">
        <v>46092</v>
      </c>
      <c r="C1468" s="75"/>
      <c r="D1468" s="75"/>
      <c r="E1468" s="75"/>
      <c r="F1468" s="75">
        <v>10313</v>
      </c>
      <c r="G1468" s="76" t="str">
        <f>VLOOKUP(Tabelle2[[#This Row],[Kunden Nr.]],KUNDEN!A:B,2,0)</f>
        <v>FATMIRI</v>
      </c>
      <c r="H1468" s="75">
        <v>35121</v>
      </c>
      <c r="I1468" s="76" t="str">
        <f>VLOOKUP(Tabelle2[[#This Row],[Artikel]],Produkte!A:B,2,0)</f>
        <v>M-ONE Sanitar Silikon</v>
      </c>
      <c r="J1468" s="75">
        <v>12</v>
      </c>
      <c r="K1468" s="76" t="str">
        <f>VLOOKUP(Tabelle2[[#This Row],[Kunden Nr.]],KUNDEN!A:G,7)</f>
        <v>Qerimi</v>
      </c>
      <c r="L1468" s="76">
        <f>VLOOKUP(Tabelle2[[#This Row],[Artikel]],Produkte!A:H,8)</f>
        <v>0.17</v>
      </c>
    </row>
    <row r="1469" spans="1:12" x14ac:dyDescent="0.2">
      <c r="A1469" s="75" t="s">
        <v>20</v>
      </c>
      <c r="B1469" s="79">
        <v>46092</v>
      </c>
      <c r="C1469" s="75"/>
      <c r="D1469" s="75"/>
      <c r="E1469" s="75"/>
      <c r="F1469" s="75">
        <v>10313</v>
      </c>
      <c r="G1469" s="76" t="str">
        <f>VLOOKUP(Tabelle2[[#This Row],[Kunden Nr.]],KUNDEN!A:B,2,0)</f>
        <v>FATMIRI</v>
      </c>
      <c r="H1469" s="75">
        <v>35128</v>
      </c>
      <c r="I1469" s="76" t="str">
        <f>VLOOKUP(Tabelle2[[#This Row],[Artikel]],Produkte!A:B,2,0)</f>
        <v>M-ONE Sanitar Silikon</v>
      </c>
      <c r="J1469" s="75">
        <v>12</v>
      </c>
      <c r="K1469" s="76" t="str">
        <f>VLOOKUP(Tabelle2[[#This Row],[Kunden Nr.]],KUNDEN!A:G,7)</f>
        <v>Qerimi</v>
      </c>
      <c r="L1469" s="76">
        <f>VLOOKUP(Tabelle2[[#This Row],[Artikel]],Produkte!A:H,8)</f>
        <v>0.17</v>
      </c>
    </row>
    <row r="1470" spans="1:12" x14ac:dyDescent="0.2">
      <c r="A1470" s="75" t="s">
        <v>20</v>
      </c>
      <c r="B1470" s="79">
        <v>46092</v>
      </c>
      <c r="C1470" s="75"/>
      <c r="D1470" s="75"/>
      <c r="E1470" s="75"/>
      <c r="F1470" s="75">
        <v>10313</v>
      </c>
      <c r="G1470" s="76" t="str">
        <f>VLOOKUP(Tabelle2[[#This Row],[Kunden Nr.]],KUNDEN!A:B,2,0)</f>
        <v>FATMIRI</v>
      </c>
      <c r="H1470" s="75">
        <v>35115</v>
      </c>
      <c r="I1470" s="76" t="str">
        <f>VLOOKUP(Tabelle2[[#This Row],[Artikel]],Produkte!A:B,2,0)</f>
        <v>M-ONE Sanitar Silikon</v>
      </c>
      <c r="J1470" s="75">
        <v>12</v>
      </c>
      <c r="K1470" s="76" t="str">
        <f>VLOOKUP(Tabelle2[[#This Row],[Kunden Nr.]],KUNDEN!A:G,7)</f>
        <v>Qerimi</v>
      </c>
      <c r="L1470" s="76">
        <f>VLOOKUP(Tabelle2[[#This Row],[Artikel]],Produkte!A:H,8)</f>
        <v>0.17</v>
      </c>
    </row>
    <row r="1471" spans="1:12" x14ac:dyDescent="0.2">
      <c r="A1471" s="75" t="s">
        <v>1296</v>
      </c>
      <c r="B1471" s="79">
        <v>46092</v>
      </c>
      <c r="C1471" s="89">
        <v>184.8</v>
      </c>
      <c r="D1471" s="75"/>
      <c r="E1471" s="75"/>
      <c r="F1471" s="75">
        <v>10364</v>
      </c>
      <c r="G1471" s="76" t="str">
        <f>VLOOKUP(Tabelle2[[#This Row],[Kunden Nr.]],KUNDEN!A:B,2,0)</f>
        <v>KOS CERAMIK</v>
      </c>
      <c r="H1471" s="75">
        <v>35109</v>
      </c>
      <c r="I1471" s="76" t="str">
        <f>VLOOKUP(Tabelle2[[#This Row],[Artikel]],Produkte!A:B,2,0)</f>
        <v>M-ONE Sanitar Silikon</v>
      </c>
      <c r="J1471" s="75">
        <v>12</v>
      </c>
      <c r="K1471" s="76" t="str">
        <f>VLOOKUP(Tabelle2[[#This Row],[Kunden Nr.]],KUNDEN!A:G,7)</f>
        <v>Qerimi</v>
      </c>
      <c r="L1471" s="76">
        <f>VLOOKUP(Tabelle2[[#This Row],[Artikel]],Produkte!A:H,8)</f>
        <v>0.17</v>
      </c>
    </row>
    <row r="1472" spans="1:12" x14ac:dyDescent="0.2">
      <c r="A1472" s="75" t="s">
        <v>1296</v>
      </c>
      <c r="B1472" s="79">
        <v>46092</v>
      </c>
      <c r="C1472" s="75"/>
      <c r="D1472" s="75"/>
      <c r="E1472" s="75"/>
      <c r="F1472" s="75">
        <v>10364</v>
      </c>
      <c r="G1472" s="76" t="str">
        <f>VLOOKUP(Tabelle2[[#This Row],[Kunden Nr.]],KUNDEN!A:B,2,0)</f>
        <v>KOS CERAMIK</v>
      </c>
      <c r="H1472" s="75">
        <v>35113</v>
      </c>
      <c r="I1472" s="76" t="str">
        <f>VLOOKUP(Tabelle2[[#This Row],[Artikel]],Produkte!A:B,2,0)</f>
        <v>M-ONE Sanitar Silikon</v>
      </c>
      <c r="J1472" s="75">
        <v>36</v>
      </c>
      <c r="K1472" s="76" t="str">
        <f>VLOOKUP(Tabelle2[[#This Row],[Kunden Nr.]],KUNDEN!A:G,7)</f>
        <v>Qerimi</v>
      </c>
      <c r="L1472" s="76">
        <f>VLOOKUP(Tabelle2[[#This Row],[Artikel]],Produkte!A:H,8)</f>
        <v>0.17</v>
      </c>
    </row>
    <row r="1473" spans="1:12" x14ac:dyDescent="0.2">
      <c r="A1473" s="75" t="s">
        <v>1154</v>
      </c>
      <c r="B1473" s="79">
        <v>46092</v>
      </c>
      <c r="C1473" s="89">
        <v>46.2</v>
      </c>
      <c r="D1473" s="75"/>
      <c r="E1473" s="75"/>
      <c r="F1473" s="75">
        <v>10344</v>
      </c>
      <c r="G1473" s="76" t="str">
        <f>VLOOKUP(Tabelle2[[#This Row],[Kunden Nr.]],KUNDEN!A:B,2,0)</f>
        <v>TINA</v>
      </c>
      <c r="H1473" s="75">
        <v>35121</v>
      </c>
      <c r="I1473" s="76" t="str">
        <f>VLOOKUP(Tabelle2[[#This Row],[Artikel]],Produkte!A:B,2,0)</f>
        <v>M-ONE Sanitar Silikon</v>
      </c>
      <c r="J1473" s="75">
        <v>12</v>
      </c>
      <c r="K1473" s="76" t="str">
        <f>VLOOKUP(Tabelle2[[#This Row],[Kunden Nr.]],KUNDEN!A:G,7)</f>
        <v>Qerimi</v>
      </c>
      <c r="L1473" s="76">
        <f>VLOOKUP(Tabelle2[[#This Row],[Artikel]],Produkte!A:H,8)</f>
        <v>0.17</v>
      </c>
    </row>
    <row r="1474" spans="1:12" x14ac:dyDescent="0.2">
      <c r="A1474" s="75" t="s">
        <v>1253</v>
      </c>
      <c r="B1474" s="79">
        <v>46092</v>
      </c>
      <c r="C1474" s="89">
        <v>92.4</v>
      </c>
      <c r="D1474" s="75"/>
      <c r="E1474" s="75"/>
      <c r="F1474" s="75">
        <v>10360</v>
      </c>
      <c r="G1474" s="76" t="e">
        <f>VLOOKUP(Tabelle2[[#This Row],[Kunden Nr.]],KUNDEN!A:B,2,0)</f>
        <v>#N/A</v>
      </c>
      <c r="H1474" s="75">
        <v>35110</v>
      </c>
      <c r="I1474" s="76" t="str">
        <f>VLOOKUP(Tabelle2[[#This Row],[Artikel]],Produkte!A:B,2,0)</f>
        <v>M-ONE Sanitar Silikon</v>
      </c>
      <c r="J1474" s="75">
        <v>12</v>
      </c>
      <c r="K1474" s="76" t="str">
        <f>VLOOKUP(Tabelle2[[#This Row],[Kunden Nr.]],KUNDEN!A:G,7)</f>
        <v>Qerimi</v>
      </c>
      <c r="L1474" s="76">
        <f>VLOOKUP(Tabelle2[[#This Row],[Artikel]],Produkte!A:H,8)</f>
        <v>0.17</v>
      </c>
    </row>
    <row r="1475" spans="1:12" x14ac:dyDescent="0.2">
      <c r="A1475" s="75" t="s">
        <v>1253</v>
      </c>
      <c r="B1475" s="79">
        <v>46092</v>
      </c>
      <c r="C1475" s="75"/>
      <c r="D1475" s="75"/>
      <c r="E1475" s="75"/>
      <c r="F1475" s="75">
        <v>10360</v>
      </c>
      <c r="G1475" s="76" t="e">
        <f>VLOOKUP(Tabelle2[[#This Row],[Kunden Nr.]],KUNDEN!A:B,2,0)</f>
        <v>#N/A</v>
      </c>
      <c r="H1475" s="75">
        <v>35108</v>
      </c>
      <c r="I1475" s="76" t="str">
        <f>VLOOKUP(Tabelle2[[#This Row],[Artikel]],Produkte!A:B,2,0)</f>
        <v>M-ONE Sanitar Silikon</v>
      </c>
      <c r="J1475" s="75">
        <v>12</v>
      </c>
      <c r="K1475" s="76" t="str">
        <f>VLOOKUP(Tabelle2[[#This Row],[Kunden Nr.]],KUNDEN!A:G,7)</f>
        <v>Qerimi</v>
      </c>
      <c r="L1475" s="76">
        <f>VLOOKUP(Tabelle2[[#This Row],[Artikel]],Produkte!A:H,8)</f>
        <v>0.17</v>
      </c>
    </row>
    <row r="1476" spans="1:12" x14ac:dyDescent="0.2">
      <c r="A1476" s="75" t="s">
        <v>10</v>
      </c>
      <c r="B1476" s="79">
        <v>46092</v>
      </c>
      <c r="C1476" s="89">
        <v>25</v>
      </c>
      <c r="D1476" s="75"/>
      <c r="E1476" s="75"/>
      <c r="F1476" s="75">
        <v>10306</v>
      </c>
      <c r="G1476" s="76" t="str">
        <f>VLOOKUP(Tabelle2[[#This Row],[Kunden Nr.]],KUNDEN!A:B,2,0)</f>
        <v>ELIONI-1</v>
      </c>
      <c r="H1476" s="75">
        <v>30277</v>
      </c>
      <c r="I1476" s="76" t="str">
        <f>VLOOKUP(Tabelle2[[#This Row],[Artikel]],Produkte!A:B,2,0)</f>
        <v>KAMIN CLEANER</v>
      </c>
      <c r="J1476" s="75">
        <v>10</v>
      </c>
      <c r="K1476" s="76" t="str">
        <f>VLOOKUP(Tabelle2[[#This Row],[Kunden Nr.]],KUNDEN!A:G,7)</f>
        <v>Qerimi</v>
      </c>
      <c r="L1476" s="76">
        <f>VLOOKUP(Tabelle2[[#This Row],[Artikel]],Produkte!A:H,8)</f>
        <v>0.5</v>
      </c>
    </row>
    <row r="1477" spans="1:12" x14ac:dyDescent="0.2">
      <c r="A1477" s="75" t="s">
        <v>12</v>
      </c>
      <c r="B1477" s="79">
        <v>46092</v>
      </c>
      <c r="C1477" s="89">
        <v>184.8</v>
      </c>
      <c r="D1477" s="75"/>
      <c r="E1477" s="75"/>
      <c r="F1477" s="75">
        <v>10308</v>
      </c>
      <c r="G1477" s="76" t="str">
        <f>VLOOKUP(Tabelle2[[#This Row],[Kunden Nr.]],KUNDEN!A:B,2,0)</f>
        <v>ERALP</v>
      </c>
      <c r="H1477" s="75">
        <v>35113</v>
      </c>
      <c r="I1477" s="76" t="str">
        <f>VLOOKUP(Tabelle2[[#This Row],[Artikel]],Produkte!A:B,2,0)</f>
        <v>M-ONE Sanitar Silikon</v>
      </c>
      <c r="J1477" s="75">
        <v>12</v>
      </c>
      <c r="K1477" s="76" t="str">
        <f>VLOOKUP(Tabelle2[[#This Row],[Kunden Nr.]],KUNDEN!A:G,7)</f>
        <v>Qerimi</v>
      </c>
      <c r="L1477" s="76">
        <f>VLOOKUP(Tabelle2[[#This Row],[Artikel]],Produkte!A:H,8)</f>
        <v>0.17</v>
      </c>
    </row>
    <row r="1478" spans="1:12" x14ac:dyDescent="0.2">
      <c r="A1478" s="75" t="s">
        <v>12</v>
      </c>
      <c r="B1478" s="79">
        <v>46092</v>
      </c>
      <c r="C1478" s="75"/>
      <c r="D1478" s="75"/>
      <c r="E1478" s="75"/>
      <c r="F1478" s="75">
        <v>10308</v>
      </c>
      <c r="G1478" s="76" t="str">
        <f>VLOOKUP(Tabelle2[[#This Row],[Kunden Nr.]],KUNDEN!A:B,2,0)</f>
        <v>ERALP</v>
      </c>
      <c r="H1478" s="75">
        <v>35115</v>
      </c>
      <c r="I1478" s="76" t="str">
        <f>VLOOKUP(Tabelle2[[#This Row],[Artikel]],Produkte!A:B,2,0)</f>
        <v>M-ONE Sanitar Silikon</v>
      </c>
      <c r="J1478" s="75">
        <v>12</v>
      </c>
      <c r="K1478" s="76" t="str">
        <f>VLOOKUP(Tabelle2[[#This Row],[Kunden Nr.]],KUNDEN!A:G,7)</f>
        <v>Qerimi</v>
      </c>
      <c r="L1478" s="76">
        <f>VLOOKUP(Tabelle2[[#This Row],[Artikel]],Produkte!A:H,8)</f>
        <v>0.17</v>
      </c>
    </row>
    <row r="1479" spans="1:12" x14ac:dyDescent="0.2">
      <c r="A1479" s="75" t="s">
        <v>12</v>
      </c>
      <c r="B1479" s="79">
        <v>46092</v>
      </c>
      <c r="C1479" s="75"/>
      <c r="D1479" s="75"/>
      <c r="E1479" s="75"/>
      <c r="F1479" s="75">
        <v>10308</v>
      </c>
      <c r="G1479" s="76" t="str">
        <f>VLOOKUP(Tabelle2[[#This Row],[Kunden Nr.]],KUNDEN!A:B,2,0)</f>
        <v>ERALP</v>
      </c>
      <c r="H1479" s="75">
        <v>35125</v>
      </c>
      <c r="I1479" s="76" t="str">
        <f>VLOOKUP(Tabelle2[[#This Row],[Artikel]],Produkte!A:B,2,0)</f>
        <v>M-ONE Sanitar Silikon</v>
      </c>
      <c r="J1479" s="75">
        <v>24</v>
      </c>
      <c r="K1479" s="76" t="str">
        <f>VLOOKUP(Tabelle2[[#This Row],[Kunden Nr.]],KUNDEN!A:G,7)</f>
        <v>Qerimi</v>
      </c>
      <c r="L1479" s="76">
        <f>VLOOKUP(Tabelle2[[#This Row],[Artikel]],Produkte!A:H,8)</f>
        <v>0.17</v>
      </c>
    </row>
    <row r="1480" spans="1:12" x14ac:dyDescent="0.2">
      <c r="A1480" s="75" t="s">
        <v>614</v>
      </c>
      <c r="B1480" s="79">
        <v>46092</v>
      </c>
      <c r="C1480" s="89">
        <v>254.4</v>
      </c>
      <c r="D1480" s="75"/>
      <c r="E1480" s="75"/>
      <c r="F1480" s="75">
        <v>20301</v>
      </c>
      <c r="G1480" s="76" t="str">
        <f>VLOOKUP(Tabelle2[[#This Row],[Kunden Nr.]],KUNDEN!A:B,2,0)</f>
        <v>HAZROLLI</v>
      </c>
      <c r="H1480" s="75">
        <v>35109</v>
      </c>
      <c r="I1480" s="76" t="str">
        <f>VLOOKUP(Tabelle2[[#This Row],[Artikel]],Produkte!A:B,2,0)</f>
        <v>M-ONE Sanitar Silikon</v>
      </c>
      <c r="J1480" s="75">
        <v>24</v>
      </c>
      <c r="K1480" s="76" t="str">
        <f>VLOOKUP(Tabelle2[[#This Row],[Kunden Nr.]],KUNDEN!A:G,7)</f>
        <v>Mensuri</v>
      </c>
      <c r="L1480" s="76">
        <f>VLOOKUP(Tabelle2[[#This Row],[Artikel]],Produkte!A:H,8)</f>
        <v>0.17</v>
      </c>
    </row>
    <row r="1481" spans="1:12" x14ac:dyDescent="0.2">
      <c r="A1481" s="75" t="s">
        <v>614</v>
      </c>
      <c r="B1481" s="79">
        <v>46092</v>
      </c>
      <c r="C1481" s="75"/>
      <c r="D1481" s="75"/>
      <c r="E1481" s="75"/>
      <c r="F1481" s="75">
        <v>20301</v>
      </c>
      <c r="G1481" s="76" t="str">
        <f>VLOOKUP(Tabelle2[[#This Row],[Kunden Nr.]],KUNDEN!A:B,2,0)</f>
        <v>HAZROLLI</v>
      </c>
      <c r="H1481" s="75">
        <v>35115</v>
      </c>
      <c r="I1481" s="76" t="str">
        <f>VLOOKUP(Tabelle2[[#This Row],[Artikel]],Produkte!A:B,2,0)</f>
        <v>M-ONE Sanitar Silikon</v>
      </c>
      <c r="J1481" s="75">
        <v>24</v>
      </c>
      <c r="K1481" s="76" t="str">
        <f>VLOOKUP(Tabelle2[[#This Row],[Kunden Nr.]],KUNDEN!A:G,7)</f>
        <v>Mensuri</v>
      </c>
      <c r="L1481" s="76">
        <f>VLOOKUP(Tabelle2[[#This Row],[Artikel]],Produkte!A:H,8)</f>
        <v>0.17</v>
      </c>
    </row>
    <row r="1482" spans="1:12" x14ac:dyDescent="0.2">
      <c r="A1482" s="75" t="s">
        <v>614</v>
      </c>
      <c r="B1482" s="79">
        <v>46092</v>
      </c>
      <c r="C1482" s="75"/>
      <c r="D1482" s="75"/>
      <c r="E1482" s="75"/>
      <c r="F1482" s="75">
        <v>20301</v>
      </c>
      <c r="G1482" s="76" t="str">
        <f>VLOOKUP(Tabelle2[[#This Row],[Kunden Nr.]],KUNDEN!A:B,2,0)</f>
        <v>HAZROLLI</v>
      </c>
      <c r="H1482" s="75">
        <v>66701</v>
      </c>
      <c r="I1482" s="76" t="str">
        <f>VLOOKUP(Tabelle2[[#This Row],[Artikel]],Produkte!A:B,2,0)</f>
        <v>PROFIMONT EXTREME</v>
      </c>
      <c r="J1482" s="75">
        <v>12</v>
      </c>
      <c r="K1482" s="76" t="str">
        <f>VLOOKUP(Tabelle2[[#This Row],[Kunden Nr.]],KUNDEN!A:G,7)</f>
        <v>Mensuri</v>
      </c>
      <c r="L1482" s="76">
        <f>VLOOKUP(Tabelle2[[#This Row],[Artikel]],Produkte!A:H,8)</f>
        <v>0.2</v>
      </c>
    </row>
    <row r="1483" spans="1:12" x14ac:dyDescent="0.2">
      <c r="A1483" s="75" t="s">
        <v>618</v>
      </c>
      <c r="B1483" s="79">
        <v>46092</v>
      </c>
      <c r="C1483" s="89">
        <v>263.39999999999998</v>
      </c>
      <c r="D1483" s="75"/>
      <c r="E1483" s="75"/>
      <c r="F1483" s="75">
        <v>20307</v>
      </c>
      <c r="G1483" s="76" t="str">
        <f>VLOOKUP(Tabelle2[[#This Row],[Kunden Nr.]],KUNDEN!A:B,2,0)</f>
        <v>CONDOR</v>
      </c>
      <c r="H1483" s="75">
        <v>35109</v>
      </c>
      <c r="I1483" s="76" t="str">
        <f>VLOOKUP(Tabelle2[[#This Row],[Artikel]],Produkte!A:B,2,0)</f>
        <v>M-ONE Sanitar Silikon</v>
      </c>
      <c r="J1483" s="75">
        <v>12</v>
      </c>
      <c r="K1483" s="76" t="str">
        <f>VLOOKUP(Tabelle2[[#This Row],[Kunden Nr.]],KUNDEN!A:G,7)</f>
        <v>Mensuri</v>
      </c>
      <c r="L1483" s="76">
        <f>VLOOKUP(Tabelle2[[#This Row],[Artikel]],Produkte!A:H,8)</f>
        <v>0.17</v>
      </c>
    </row>
    <row r="1484" spans="1:12" x14ac:dyDescent="0.2">
      <c r="A1484" s="75" t="s">
        <v>618</v>
      </c>
      <c r="B1484" s="79">
        <v>46092</v>
      </c>
      <c r="C1484" s="75"/>
      <c r="D1484" s="75"/>
      <c r="E1484" s="75"/>
      <c r="F1484" s="75">
        <v>20307</v>
      </c>
      <c r="G1484" s="76" t="str">
        <f>VLOOKUP(Tabelle2[[#This Row],[Kunden Nr.]],KUNDEN!A:B,2,0)</f>
        <v>CONDOR</v>
      </c>
      <c r="H1484" s="75">
        <v>35110</v>
      </c>
      <c r="I1484" s="76" t="str">
        <f>VLOOKUP(Tabelle2[[#This Row],[Artikel]],Produkte!A:B,2,0)</f>
        <v>M-ONE Sanitar Silikon</v>
      </c>
      <c r="J1484" s="75">
        <v>12</v>
      </c>
      <c r="K1484" s="76" t="str">
        <f>VLOOKUP(Tabelle2[[#This Row],[Kunden Nr.]],KUNDEN!A:G,7)</f>
        <v>Mensuri</v>
      </c>
      <c r="L1484" s="76">
        <f>VLOOKUP(Tabelle2[[#This Row],[Artikel]],Produkte!A:H,8)</f>
        <v>0.17</v>
      </c>
    </row>
    <row r="1485" spans="1:12" x14ac:dyDescent="0.2">
      <c r="A1485" s="75" t="s">
        <v>618</v>
      </c>
      <c r="B1485" s="79">
        <v>46092</v>
      </c>
      <c r="C1485" s="75"/>
      <c r="D1485" s="75"/>
      <c r="E1485" s="75"/>
      <c r="F1485" s="75">
        <v>20307</v>
      </c>
      <c r="G1485" s="76" t="str">
        <f>VLOOKUP(Tabelle2[[#This Row],[Kunden Nr.]],KUNDEN!A:B,2,0)</f>
        <v>CONDOR</v>
      </c>
      <c r="H1485" s="75">
        <v>35111</v>
      </c>
      <c r="I1485" s="76" t="str">
        <f>VLOOKUP(Tabelle2[[#This Row],[Artikel]],Produkte!A:B,2,0)</f>
        <v>M-ONE Sanitar Silikon</v>
      </c>
      <c r="J1485" s="75">
        <v>12</v>
      </c>
      <c r="K1485" s="76" t="str">
        <f>VLOOKUP(Tabelle2[[#This Row],[Kunden Nr.]],KUNDEN!A:G,7)</f>
        <v>Mensuri</v>
      </c>
      <c r="L1485" s="76">
        <f>VLOOKUP(Tabelle2[[#This Row],[Artikel]],Produkte!A:H,8)</f>
        <v>0.17</v>
      </c>
    </row>
    <row r="1486" spans="1:12" x14ac:dyDescent="0.2">
      <c r="A1486" s="75" t="s">
        <v>618</v>
      </c>
      <c r="B1486" s="79">
        <v>46092</v>
      </c>
      <c r="C1486" s="75"/>
      <c r="D1486" s="75"/>
      <c r="E1486" s="75"/>
      <c r="F1486" s="75">
        <v>20307</v>
      </c>
      <c r="G1486" s="76" t="str">
        <f>VLOOKUP(Tabelle2[[#This Row],[Kunden Nr.]],KUNDEN!A:B,2,0)</f>
        <v>CONDOR</v>
      </c>
      <c r="H1486" s="75">
        <v>51612</v>
      </c>
      <c r="I1486" s="76" t="str">
        <f>VLOOKUP(Tabelle2[[#This Row],[Artikel]],Produkte!A:B,2,0)</f>
        <v>struktural akryl</v>
      </c>
      <c r="J1486" s="75">
        <v>24</v>
      </c>
      <c r="K1486" s="76" t="str">
        <f>VLOOKUP(Tabelle2[[#This Row],[Kunden Nr.]],KUNDEN!A:G,7)</f>
        <v>Mensuri</v>
      </c>
      <c r="L1486" s="76">
        <f>VLOOKUP(Tabelle2[[#This Row],[Artikel]],Produkte!A:H,8)</f>
        <v>0.06</v>
      </c>
    </row>
    <row r="1487" spans="1:12" x14ac:dyDescent="0.2">
      <c r="A1487" s="75" t="s">
        <v>618</v>
      </c>
      <c r="B1487" s="79">
        <v>46092</v>
      </c>
      <c r="C1487" s="75"/>
      <c r="D1487" s="75"/>
      <c r="E1487" s="75"/>
      <c r="F1487" s="75">
        <v>20307</v>
      </c>
      <c r="G1487" s="76" t="str">
        <f>VLOOKUP(Tabelle2[[#This Row],[Kunden Nr.]],KUNDEN!A:B,2,0)</f>
        <v>CONDOR</v>
      </c>
      <c r="H1487" s="75">
        <v>66701</v>
      </c>
      <c r="I1487" s="76" t="str">
        <f>VLOOKUP(Tabelle2[[#This Row],[Artikel]],Produkte!A:B,2,0)</f>
        <v>PROFIMONT EXTREME</v>
      </c>
      <c r="J1487" s="75">
        <v>12</v>
      </c>
      <c r="K1487" s="76" t="str">
        <f>VLOOKUP(Tabelle2[[#This Row],[Kunden Nr.]],KUNDEN!A:G,7)</f>
        <v>Mensuri</v>
      </c>
      <c r="L1487" s="76">
        <f>VLOOKUP(Tabelle2[[#This Row],[Artikel]],Produkte!A:H,8)</f>
        <v>0.2</v>
      </c>
    </row>
    <row r="1488" spans="1:12" x14ac:dyDescent="0.2">
      <c r="A1488" s="75" t="s">
        <v>1252</v>
      </c>
      <c r="B1488" s="79">
        <v>46092</v>
      </c>
      <c r="C1488" s="89">
        <v>92.4</v>
      </c>
      <c r="D1488" s="75"/>
      <c r="E1488" s="75"/>
      <c r="F1488" s="75">
        <v>20331</v>
      </c>
      <c r="G1488" s="76" t="str">
        <f>VLOOKUP(Tabelle2[[#This Row],[Kunden Nr.]],KUNDEN!A:B,2,0)</f>
        <v>BARDHI-M</v>
      </c>
      <c r="H1488" s="75">
        <v>35110</v>
      </c>
      <c r="I1488" s="76" t="str">
        <f>VLOOKUP(Tabelle2[[#This Row],[Artikel]],Produkte!A:B,2,0)</f>
        <v>M-ONE Sanitar Silikon</v>
      </c>
      <c r="J1488" s="75">
        <v>12</v>
      </c>
      <c r="K1488" s="76" t="str">
        <f>VLOOKUP(Tabelle2[[#This Row],[Kunden Nr.]],KUNDEN!A:G,7)</f>
        <v>Mensuri</v>
      </c>
      <c r="L1488" s="76">
        <f>VLOOKUP(Tabelle2[[#This Row],[Artikel]],Produkte!A:H,8)</f>
        <v>0.17</v>
      </c>
    </row>
    <row r="1489" spans="1:12" x14ac:dyDescent="0.2">
      <c r="A1489" s="75" t="s">
        <v>1252</v>
      </c>
      <c r="B1489" s="79">
        <v>46092</v>
      </c>
      <c r="C1489" s="75"/>
      <c r="D1489" s="75"/>
      <c r="E1489" s="75"/>
      <c r="F1489" s="75">
        <v>20331</v>
      </c>
      <c r="G1489" s="76" t="str">
        <f>VLOOKUP(Tabelle2[[#This Row],[Kunden Nr.]],KUNDEN!A:B,2,0)</f>
        <v>BARDHI-M</v>
      </c>
      <c r="H1489" s="75">
        <v>35115</v>
      </c>
      <c r="I1489" s="76" t="str">
        <f>VLOOKUP(Tabelle2[[#This Row],[Artikel]],Produkte!A:B,2,0)</f>
        <v>M-ONE Sanitar Silikon</v>
      </c>
      <c r="J1489" s="75">
        <v>12</v>
      </c>
      <c r="K1489" s="76" t="str">
        <f>VLOOKUP(Tabelle2[[#This Row],[Kunden Nr.]],KUNDEN!A:G,7)</f>
        <v>Mensuri</v>
      </c>
      <c r="L1489" s="76">
        <f>VLOOKUP(Tabelle2[[#This Row],[Artikel]],Produkte!A:H,8)</f>
        <v>0.17</v>
      </c>
    </row>
    <row r="1490" spans="1:12" x14ac:dyDescent="0.2">
      <c r="A1490" s="75" t="s">
        <v>1307</v>
      </c>
      <c r="B1490" s="79">
        <v>46092</v>
      </c>
      <c r="C1490" s="89">
        <v>138.6</v>
      </c>
      <c r="D1490" s="75"/>
      <c r="E1490" s="75"/>
      <c r="F1490" s="75">
        <v>20321</v>
      </c>
      <c r="G1490" s="76" t="str">
        <f>VLOOKUP(Tabelle2[[#This Row],[Kunden Nr.]],KUNDEN!A:B,2,0)</f>
        <v>BEREQETI</v>
      </c>
      <c r="H1490" s="75">
        <v>35121</v>
      </c>
      <c r="I1490" s="76" t="str">
        <f>VLOOKUP(Tabelle2[[#This Row],[Artikel]],Produkte!A:B,2,0)</f>
        <v>M-ONE Sanitar Silikon</v>
      </c>
      <c r="J1490" s="75">
        <v>24</v>
      </c>
      <c r="K1490" s="76" t="str">
        <f>VLOOKUP(Tabelle2[[#This Row],[Kunden Nr.]],KUNDEN!A:G,7)</f>
        <v>Mensuri</v>
      </c>
      <c r="L1490" s="76">
        <f>VLOOKUP(Tabelle2[[#This Row],[Artikel]],Produkte!A:H,8)</f>
        <v>0.17</v>
      </c>
    </row>
    <row r="1491" spans="1:12" x14ac:dyDescent="0.2">
      <c r="A1491" s="75" t="s">
        <v>1307</v>
      </c>
      <c r="B1491" s="79">
        <v>46092</v>
      </c>
      <c r="C1491" s="75"/>
      <c r="D1491" s="75"/>
      <c r="E1491" s="75"/>
      <c r="F1491" s="75">
        <v>20321</v>
      </c>
      <c r="G1491" s="76" t="str">
        <f>VLOOKUP(Tabelle2[[#This Row],[Kunden Nr.]],KUNDEN!A:B,2,0)</f>
        <v>BEREQETI</v>
      </c>
      <c r="H1491" s="75">
        <v>35113</v>
      </c>
      <c r="I1491" s="76" t="str">
        <f>VLOOKUP(Tabelle2[[#This Row],[Artikel]],Produkte!A:B,2,0)</f>
        <v>M-ONE Sanitar Silikon</v>
      </c>
      <c r="J1491" s="75">
        <v>12</v>
      </c>
      <c r="K1491" s="76" t="str">
        <f>VLOOKUP(Tabelle2[[#This Row],[Kunden Nr.]],KUNDEN!A:G,7)</f>
        <v>Mensuri</v>
      </c>
      <c r="L1491" s="76">
        <f>VLOOKUP(Tabelle2[[#This Row],[Artikel]],Produkte!A:H,8)</f>
        <v>0.17</v>
      </c>
    </row>
    <row r="1492" spans="1:12" x14ac:dyDescent="0.2">
      <c r="A1492" s="75" t="s">
        <v>895</v>
      </c>
      <c r="B1492" s="79">
        <v>46092</v>
      </c>
      <c r="C1492" s="89">
        <v>120</v>
      </c>
      <c r="D1492" s="75"/>
      <c r="E1492" s="75"/>
      <c r="F1492" s="75">
        <v>20303</v>
      </c>
      <c r="G1492" s="76" t="str">
        <f>VLOOKUP(Tabelle2[[#This Row],[Kunden Nr.]],KUNDEN!A:B,2,0)</f>
        <v>NITA 3</v>
      </c>
      <c r="H1492" s="75">
        <v>35115</v>
      </c>
      <c r="I1492" s="76" t="str">
        <f>VLOOKUP(Tabelle2[[#This Row],[Artikel]],Produkte!A:B,2,0)</f>
        <v>M-ONE Sanitar Silikon</v>
      </c>
      <c r="J1492" s="75">
        <v>12</v>
      </c>
      <c r="K1492" s="76" t="str">
        <f>VLOOKUP(Tabelle2[[#This Row],[Kunden Nr.]],KUNDEN!A:G,7)</f>
        <v>Mensuri</v>
      </c>
      <c r="L1492" s="76">
        <f>VLOOKUP(Tabelle2[[#This Row],[Artikel]],Produkte!A:H,8)</f>
        <v>0.17</v>
      </c>
    </row>
    <row r="1493" spans="1:12" x14ac:dyDescent="0.2">
      <c r="A1493" s="75" t="s">
        <v>895</v>
      </c>
      <c r="B1493" s="79">
        <v>46092</v>
      </c>
      <c r="C1493" s="75"/>
      <c r="D1493" s="75"/>
      <c r="E1493" s="75"/>
      <c r="F1493" s="75">
        <v>20303</v>
      </c>
      <c r="G1493" s="76" t="str">
        <f>VLOOKUP(Tabelle2[[#This Row],[Kunden Nr.]],KUNDEN!A:B,2,0)</f>
        <v>NITA 3</v>
      </c>
      <c r="H1493" s="75">
        <v>35111</v>
      </c>
      <c r="I1493" s="76" t="str">
        <f>VLOOKUP(Tabelle2[[#This Row],[Artikel]],Produkte!A:B,2,0)</f>
        <v>M-ONE Sanitar Silikon</v>
      </c>
      <c r="J1493" s="75">
        <v>12</v>
      </c>
      <c r="K1493" s="76" t="str">
        <f>VLOOKUP(Tabelle2[[#This Row],[Kunden Nr.]],KUNDEN!A:G,7)</f>
        <v>Mensuri</v>
      </c>
      <c r="L1493" s="76">
        <f>VLOOKUP(Tabelle2[[#This Row],[Artikel]],Produkte!A:H,8)</f>
        <v>0.17</v>
      </c>
    </row>
    <row r="1494" spans="1:12" x14ac:dyDescent="0.2">
      <c r="A1494" s="75" t="s">
        <v>895</v>
      </c>
      <c r="B1494" s="79">
        <v>46092</v>
      </c>
      <c r="C1494" s="75"/>
      <c r="D1494" s="75"/>
      <c r="E1494" s="75"/>
      <c r="F1494" s="75">
        <v>20303</v>
      </c>
      <c r="G1494" s="76" t="str">
        <f>VLOOKUP(Tabelle2[[#This Row],[Kunden Nr.]],KUNDEN!A:B,2,0)</f>
        <v>NITA 3</v>
      </c>
      <c r="H1494" s="75">
        <v>51612</v>
      </c>
      <c r="I1494" s="76" t="str">
        <f>VLOOKUP(Tabelle2[[#This Row],[Artikel]],Produkte!A:B,2,0)</f>
        <v>struktural akryl</v>
      </c>
      <c r="J1494" s="75">
        <v>12</v>
      </c>
      <c r="K1494" s="76" t="str">
        <f>VLOOKUP(Tabelle2[[#This Row],[Kunden Nr.]],KUNDEN!A:G,7)</f>
        <v>Mensuri</v>
      </c>
      <c r="L1494" s="76">
        <f>VLOOKUP(Tabelle2[[#This Row],[Artikel]],Produkte!A:H,8)</f>
        <v>0.06</v>
      </c>
    </row>
    <row r="1495" spans="1:12" x14ac:dyDescent="0.2">
      <c r="A1495" s="75" t="s">
        <v>623</v>
      </c>
      <c r="B1495" s="79">
        <v>46092</v>
      </c>
      <c r="C1495" s="89">
        <v>147.6</v>
      </c>
      <c r="D1495" s="75"/>
      <c r="E1495" s="75"/>
      <c r="F1495" s="75">
        <v>20313</v>
      </c>
      <c r="G1495" s="76" t="str">
        <f>VLOOKUP(Tabelle2[[#This Row],[Kunden Nr.]],KUNDEN!A:B,2,0)</f>
        <v>DURGUTI 3</v>
      </c>
      <c r="H1495" s="75">
        <v>35110</v>
      </c>
      <c r="I1495" s="76" t="str">
        <f>VLOOKUP(Tabelle2[[#This Row],[Artikel]],Produkte!A:B,2,0)</f>
        <v>M-ONE Sanitar Silikon</v>
      </c>
      <c r="J1495" s="75">
        <v>12</v>
      </c>
      <c r="K1495" s="76" t="str">
        <f>VLOOKUP(Tabelle2[[#This Row],[Kunden Nr.]],KUNDEN!A:G,7)</f>
        <v>Mensuri</v>
      </c>
      <c r="L1495" s="76">
        <f>VLOOKUP(Tabelle2[[#This Row],[Artikel]],Produkte!A:H,8)</f>
        <v>0.17</v>
      </c>
    </row>
    <row r="1496" spans="1:12" x14ac:dyDescent="0.2">
      <c r="A1496" s="75" t="s">
        <v>623</v>
      </c>
      <c r="B1496" s="79">
        <v>46092</v>
      </c>
      <c r="C1496" s="75"/>
      <c r="D1496" s="75"/>
      <c r="E1496" s="75"/>
      <c r="F1496" s="75">
        <v>20313</v>
      </c>
      <c r="G1496" s="76" t="str">
        <f>VLOOKUP(Tabelle2[[#This Row],[Kunden Nr.]],KUNDEN!A:B,2,0)</f>
        <v>DURGUTI 3</v>
      </c>
      <c r="H1496" s="75">
        <v>35119</v>
      </c>
      <c r="I1496" s="76" t="str">
        <f>VLOOKUP(Tabelle2[[#This Row],[Artikel]],Produkte!A:B,2,0)</f>
        <v>M-ONE Sanitar Silikon</v>
      </c>
      <c r="J1496" s="75">
        <v>12</v>
      </c>
      <c r="K1496" s="76" t="str">
        <f>VLOOKUP(Tabelle2[[#This Row],[Kunden Nr.]],KUNDEN!A:G,7)</f>
        <v>Mensuri</v>
      </c>
      <c r="L1496" s="76">
        <f>VLOOKUP(Tabelle2[[#This Row],[Artikel]],Produkte!A:H,8)</f>
        <v>0.17</v>
      </c>
    </row>
    <row r="1497" spans="1:12" x14ac:dyDescent="0.2">
      <c r="A1497" s="75" t="s">
        <v>623</v>
      </c>
      <c r="B1497" s="79">
        <v>46092</v>
      </c>
      <c r="C1497" s="75"/>
      <c r="D1497" s="75"/>
      <c r="E1497" s="75"/>
      <c r="F1497" s="75">
        <v>20313</v>
      </c>
      <c r="G1497" s="76" t="str">
        <f>VLOOKUP(Tabelle2[[#This Row],[Kunden Nr.]],KUNDEN!A:B,2,0)</f>
        <v>DURGUTI 3</v>
      </c>
      <c r="H1497" s="75">
        <v>51612</v>
      </c>
      <c r="I1497" s="76" t="str">
        <f>VLOOKUP(Tabelle2[[#This Row],[Artikel]],Produkte!A:B,2,0)</f>
        <v>struktural akryl</v>
      </c>
      <c r="J1497" s="75">
        <v>24</v>
      </c>
      <c r="K1497" s="76" t="str">
        <f>VLOOKUP(Tabelle2[[#This Row],[Kunden Nr.]],KUNDEN!A:G,7)</f>
        <v>Mensuri</v>
      </c>
      <c r="L1497" s="76">
        <f>VLOOKUP(Tabelle2[[#This Row],[Artikel]],Produkte!A:H,8)</f>
        <v>0.06</v>
      </c>
    </row>
    <row r="1498" spans="1:12" x14ac:dyDescent="0.2">
      <c r="A1498" s="75" t="s">
        <v>626</v>
      </c>
      <c r="B1498" s="79">
        <v>46092</v>
      </c>
      <c r="C1498" s="89">
        <v>31.5</v>
      </c>
      <c r="D1498" s="75"/>
      <c r="E1498" s="75"/>
      <c r="F1498" s="75">
        <v>20317</v>
      </c>
      <c r="G1498" s="76" t="str">
        <f>VLOOKUP(Tabelle2[[#This Row],[Kunden Nr.]],KUNDEN!A:B,2,0)</f>
        <v>SHEHU-A</v>
      </c>
      <c r="H1498" s="75">
        <v>44001</v>
      </c>
      <c r="I1498" s="76" t="str">
        <f>VLOOKUP(Tabelle2[[#This Row],[Artikel]],Produkte!A:B,2,0)</f>
        <v>Fettspray</v>
      </c>
      <c r="J1498" s="75">
        <v>5</v>
      </c>
      <c r="K1498" s="76" t="str">
        <f>VLOOKUP(Tabelle2[[#This Row],[Kunden Nr.]],KUNDEN!A:G,7)</f>
        <v>Mensuri</v>
      </c>
      <c r="L1498" s="76">
        <f>VLOOKUP(Tabelle2[[#This Row],[Artikel]],Produkte!A:H,8)</f>
        <v>0.2</v>
      </c>
    </row>
    <row r="1499" spans="1:12" x14ac:dyDescent="0.2">
      <c r="A1499" s="75" t="s">
        <v>626</v>
      </c>
      <c r="B1499" s="79">
        <v>46092</v>
      </c>
      <c r="C1499" s="75"/>
      <c r="D1499" s="75"/>
      <c r="E1499" s="75"/>
      <c r="F1499" s="75">
        <v>20317</v>
      </c>
      <c r="G1499" s="76" t="str">
        <f>VLOOKUP(Tabelle2[[#This Row],[Kunden Nr.]],KUNDEN!A:B,2,0)</f>
        <v>SHEHU-A</v>
      </c>
      <c r="H1499" s="75">
        <v>49644</v>
      </c>
      <c r="I1499" s="76" t="str">
        <f>VLOOKUP(Tabelle2[[#This Row],[Artikel]],Produkte!A:B,2,0)</f>
        <v>beMAKER Rostlöser</v>
      </c>
      <c r="J1499" s="75">
        <v>7</v>
      </c>
      <c r="K1499" s="76" t="str">
        <f>VLOOKUP(Tabelle2[[#This Row],[Kunden Nr.]],KUNDEN!A:G,7)</f>
        <v>Mensuri</v>
      </c>
      <c r="L1499" s="76">
        <f>VLOOKUP(Tabelle2[[#This Row],[Artikel]],Produkte!A:H,8)</f>
        <v>0.2</v>
      </c>
    </row>
    <row r="1500" spans="1:12" x14ac:dyDescent="0.2">
      <c r="A1500" s="75" t="s">
        <v>949</v>
      </c>
      <c r="B1500" s="79">
        <v>46092</v>
      </c>
      <c r="C1500" s="89">
        <v>46.2</v>
      </c>
      <c r="D1500" s="75"/>
      <c r="E1500" s="75"/>
      <c r="F1500" s="75">
        <v>20311</v>
      </c>
      <c r="G1500" s="76" t="str">
        <f>VLOOKUP(Tabelle2[[#This Row],[Kunden Nr.]],KUNDEN!A:B,2,0)</f>
        <v>SOPAJ</v>
      </c>
      <c r="H1500" s="75">
        <v>35128</v>
      </c>
      <c r="I1500" s="76" t="str">
        <f>VLOOKUP(Tabelle2[[#This Row],[Artikel]],Produkte!A:B,2,0)</f>
        <v>M-ONE Sanitar Silikon</v>
      </c>
      <c r="J1500" s="75">
        <v>12</v>
      </c>
      <c r="K1500" s="76" t="str">
        <f>VLOOKUP(Tabelle2[[#This Row],[Kunden Nr.]],KUNDEN!A:G,7)</f>
        <v>Mensuri</v>
      </c>
      <c r="L1500" s="76">
        <f>VLOOKUP(Tabelle2[[#This Row],[Artikel]],Produkte!A:H,8)</f>
        <v>0.17</v>
      </c>
    </row>
    <row r="1501" spans="1:12" x14ac:dyDescent="0.2">
      <c r="A1501" s="75" t="s">
        <v>1215</v>
      </c>
      <c r="B1501" s="79">
        <v>46093</v>
      </c>
      <c r="C1501" s="89">
        <v>27.6</v>
      </c>
      <c r="D1501" s="75"/>
      <c r="E1501" s="75"/>
      <c r="F1501" s="75">
        <v>10429</v>
      </c>
      <c r="G1501" s="76" t="str">
        <f>VLOOKUP(Tabelle2[[#This Row],[Kunden Nr.]],KUNDEN!A:B,2,0)</f>
        <v>SAN KOS</v>
      </c>
      <c r="H1501" s="75">
        <v>51612</v>
      </c>
      <c r="I1501" s="76" t="str">
        <f>VLOOKUP(Tabelle2[[#This Row],[Artikel]],Produkte!A:B,2,0)</f>
        <v>struktural akryl</v>
      </c>
      <c r="J1501" s="75">
        <v>12</v>
      </c>
      <c r="K1501" s="76" t="str">
        <f>VLOOKUP(Tabelle2[[#This Row],[Kunden Nr.]],KUNDEN!A:G,7)</f>
        <v>Qerimi</v>
      </c>
      <c r="L1501" s="76">
        <f>VLOOKUP(Tabelle2[[#This Row],[Artikel]],Produkte!A:H,8)</f>
        <v>0.06</v>
      </c>
    </row>
    <row r="1502" spans="1:12" x14ac:dyDescent="0.2">
      <c r="A1502" s="75" t="s">
        <v>552</v>
      </c>
      <c r="B1502" s="79">
        <v>46093</v>
      </c>
      <c r="C1502" s="89">
        <v>46.2</v>
      </c>
      <c r="D1502" s="75"/>
      <c r="E1502" s="75"/>
      <c r="F1502" s="75">
        <v>10412</v>
      </c>
      <c r="G1502" s="76" t="str">
        <f>VLOOKUP(Tabelle2[[#This Row],[Kunden Nr.]],KUNDEN!A:B,2,0)</f>
        <v>VISARI HH</v>
      </c>
      <c r="H1502" s="75">
        <v>35110</v>
      </c>
      <c r="I1502" s="76" t="str">
        <f>VLOOKUP(Tabelle2[[#This Row],[Artikel]],Produkte!A:B,2,0)</f>
        <v>M-ONE Sanitar Silikon</v>
      </c>
      <c r="J1502" s="75">
        <v>12</v>
      </c>
      <c r="K1502" s="76" t="str">
        <f>VLOOKUP(Tabelle2[[#This Row],[Kunden Nr.]],KUNDEN!A:G,7)</f>
        <v>Qerimi</v>
      </c>
      <c r="L1502" s="76">
        <f>VLOOKUP(Tabelle2[[#This Row],[Artikel]],Produkte!A:H,8)</f>
        <v>0.17</v>
      </c>
    </row>
    <row r="1503" spans="1:12" x14ac:dyDescent="0.2">
      <c r="A1503" s="75" t="s">
        <v>550</v>
      </c>
      <c r="B1503" s="79">
        <v>46093</v>
      </c>
      <c r="C1503" s="89">
        <v>138.6</v>
      </c>
      <c r="D1503" s="75"/>
      <c r="E1503" s="75"/>
      <c r="F1503" s="75">
        <v>10410</v>
      </c>
      <c r="G1503" s="76" t="str">
        <f>VLOOKUP(Tabelle2[[#This Row],[Kunden Nr.]],KUNDEN!A:B,2,0)</f>
        <v>GRANITI</v>
      </c>
      <c r="H1503" s="75">
        <v>35115</v>
      </c>
      <c r="I1503" s="76" t="str">
        <f>VLOOKUP(Tabelle2[[#This Row],[Artikel]],Produkte!A:B,2,0)</f>
        <v>M-ONE Sanitar Silikon</v>
      </c>
      <c r="J1503" s="75">
        <v>12</v>
      </c>
      <c r="K1503" s="76" t="str">
        <f>VLOOKUP(Tabelle2[[#This Row],[Kunden Nr.]],KUNDEN!A:G,7)</f>
        <v>Qerimi</v>
      </c>
      <c r="L1503" s="76">
        <f>VLOOKUP(Tabelle2[[#This Row],[Artikel]],Produkte!A:H,8)</f>
        <v>0.17</v>
      </c>
    </row>
    <row r="1504" spans="1:12" x14ac:dyDescent="0.2">
      <c r="A1504" s="75" t="s">
        <v>550</v>
      </c>
      <c r="B1504" s="79">
        <v>46093</v>
      </c>
      <c r="C1504" s="75"/>
      <c r="D1504" s="75"/>
      <c r="E1504" s="75"/>
      <c r="F1504" s="75">
        <v>10410</v>
      </c>
      <c r="G1504" s="76" t="str">
        <f>VLOOKUP(Tabelle2[[#This Row],[Kunden Nr.]],KUNDEN!A:B,2,0)</f>
        <v>GRANITI</v>
      </c>
      <c r="H1504" s="75">
        <v>35125</v>
      </c>
      <c r="I1504" s="76" t="str">
        <f>VLOOKUP(Tabelle2[[#This Row],[Artikel]],Produkte!A:B,2,0)</f>
        <v>M-ONE Sanitar Silikon</v>
      </c>
      <c r="J1504" s="75">
        <v>12</v>
      </c>
      <c r="K1504" s="76" t="str">
        <f>VLOOKUP(Tabelle2[[#This Row],[Kunden Nr.]],KUNDEN!A:G,7)</f>
        <v>Qerimi</v>
      </c>
      <c r="L1504" s="76">
        <f>VLOOKUP(Tabelle2[[#This Row],[Artikel]],Produkte!A:H,8)</f>
        <v>0.17</v>
      </c>
    </row>
    <row r="1505" spans="1:12" x14ac:dyDescent="0.2">
      <c r="A1505" s="75" t="s">
        <v>550</v>
      </c>
      <c r="B1505" s="79">
        <v>46093</v>
      </c>
      <c r="C1505" s="75"/>
      <c r="D1505" s="75"/>
      <c r="E1505" s="75"/>
      <c r="F1505" s="75">
        <v>10410</v>
      </c>
      <c r="G1505" s="76" t="str">
        <f>VLOOKUP(Tabelle2[[#This Row],[Kunden Nr.]],KUNDEN!A:B,2,0)</f>
        <v>GRANITI</v>
      </c>
      <c r="H1505" s="75">
        <v>35128</v>
      </c>
      <c r="I1505" s="76" t="str">
        <f>VLOOKUP(Tabelle2[[#This Row],[Artikel]],Produkte!A:B,2,0)</f>
        <v>M-ONE Sanitar Silikon</v>
      </c>
      <c r="J1505" s="75">
        <v>12</v>
      </c>
      <c r="K1505" s="76" t="str">
        <f>VLOOKUP(Tabelle2[[#This Row],[Kunden Nr.]],KUNDEN!A:G,7)</f>
        <v>Qerimi</v>
      </c>
      <c r="L1505" s="76">
        <f>VLOOKUP(Tabelle2[[#This Row],[Artikel]],Produkte!A:H,8)</f>
        <v>0.17</v>
      </c>
    </row>
    <row r="1506" spans="1:12" x14ac:dyDescent="0.2">
      <c r="A1506" s="75" t="s">
        <v>553</v>
      </c>
      <c r="B1506" s="79">
        <v>46093</v>
      </c>
      <c r="C1506" s="89">
        <v>46.2</v>
      </c>
      <c r="D1506" s="75"/>
      <c r="E1506" s="75"/>
      <c r="F1506" s="75">
        <v>10413</v>
      </c>
      <c r="G1506" s="76" t="str">
        <f>VLOOKUP(Tabelle2[[#This Row],[Kunden Nr.]],KUNDEN!A:B,2,0)</f>
        <v>UNIVERZAL</v>
      </c>
      <c r="H1506" s="75">
        <v>35111</v>
      </c>
      <c r="I1506" s="76" t="str">
        <f>VLOOKUP(Tabelle2[[#This Row],[Artikel]],Produkte!A:B,2,0)</f>
        <v>M-ONE Sanitar Silikon</v>
      </c>
      <c r="J1506" s="75">
        <v>12</v>
      </c>
      <c r="K1506" s="76" t="str">
        <f>VLOOKUP(Tabelle2[[#This Row],[Kunden Nr.]],KUNDEN!A:G,7)</f>
        <v>Qerimi</v>
      </c>
      <c r="L1506" s="76">
        <f>VLOOKUP(Tabelle2[[#This Row],[Artikel]],Produkte!A:H,8)</f>
        <v>0.17</v>
      </c>
    </row>
    <row r="1507" spans="1:12" x14ac:dyDescent="0.2">
      <c r="A1507" s="75" t="s">
        <v>546</v>
      </c>
      <c r="B1507" s="79">
        <v>46093</v>
      </c>
      <c r="C1507" s="89">
        <v>90.4</v>
      </c>
      <c r="D1507" s="75"/>
      <c r="E1507" s="75"/>
      <c r="F1507" s="75">
        <v>10406</v>
      </c>
      <c r="G1507" s="76" t="str">
        <f>VLOOKUP(Tabelle2[[#This Row],[Kunden Nr.]],KUNDEN!A:B,2,0)</f>
        <v>AGRONI</v>
      </c>
      <c r="H1507" s="75">
        <v>50912</v>
      </c>
      <c r="I1507" s="76" t="str">
        <f>VLOOKUP(Tabelle2[[#This Row],[Artikel]],Produkte!A:B,2,0)</f>
        <v>DICHTUNG</v>
      </c>
      <c r="J1507" s="75">
        <v>12</v>
      </c>
      <c r="K1507" s="76" t="str">
        <f>VLOOKUP(Tabelle2[[#This Row],[Kunden Nr.]],KUNDEN!A:G,7)</f>
        <v>Qerimi</v>
      </c>
      <c r="L1507" s="76">
        <f>VLOOKUP(Tabelle2[[#This Row],[Artikel]],Produkte!A:H,8)</f>
        <v>0.2</v>
      </c>
    </row>
    <row r="1508" spans="1:12" x14ac:dyDescent="0.2">
      <c r="A1508" s="75" t="s">
        <v>546</v>
      </c>
      <c r="B1508" s="79">
        <v>46093</v>
      </c>
      <c r="C1508" s="75"/>
      <c r="D1508" s="75"/>
      <c r="E1508" s="75"/>
      <c r="F1508" s="75">
        <v>10406</v>
      </c>
      <c r="G1508" s="76" t="str">
        <f>VLOOKUP(Tabelle2[[#This Row],[Kunden Nr.]],KUNDEN!A:B,2,0)</f>
        <v>AGRONI</v>
      </c>
      <c r="H1508" s="75">
        <v>49644</v>
      </c>
      <c r="I1508" s="76" t="str">
        <f>VLOOKUP(Tabelle2[[#This Row],[Artikel]],Produkte!A:B,2,0)</f>
        <v>beMAKER Rostlöser</v>
      </c>
      <c r="J1508" s="75">
        <v>2</v>
      </c>
      <c r="K1508" s="76" t="str">
        <f>VLOOKUP(Tabelle2[[#This Row],[Kunden Nr.]],KUNDEN!A:G,7)</f>
        <v>Qerimi</v>
      </c>
      <c r="L1508" s="76">
        <f>VLOOKUP(Tabelle2[[#This Row],[Artikel]],Produkte!A:H,8)</f>
        <v>0.2</v>
      </c>
    </row>
    <row r="1509" spans="1:12" x14ac:dyDescent="0.2">
      <c r="A1509" s="75" t="s">
        <v>558</v>
      </c>
      <c r="B1509" s="79">
        <v>46093</v>
      </c>
      <c r="C1509" s="89">
        <v>92.4</v>
      </c>
      <c r="D1509" s="75"/>
      <c r="E1509" s="75"/>
      <c r="F1509" s="75">
        <v>10418</v>
      </c>
      <c r="G1509" s="76" t="str">
        <f>VLOOKUP(Tabelle2[[#This Row],[Kunden Nr.]],KUNDEN!A:B,2,0)</f>
        <v>NDRIQIMI</v>
      </c>
      <c r="H1509" s="75">
        <v>35125</v>
      </c>
      <c r="I1509" s="76" t="str">
        <f>VLOOKUP(Tabelle2[[#This Row],[Artikel]],Produkte!A:B,2,0)</f>
        <v>M-ONE Sanitar Silikon</v>
      </c>
      <c r="J1509" s="75">
        <v>12</v>
      </c>
      <c r="K1509" s="76" t="str">
        <f>VLOOKUP(Tabelle2[[#This Row],[Kunden Nr.]],KUNDEN!A:G,7)</f>
        <v>Qerimi</v>
      </c>
      <c r="L1509" s="76">
        <f>VLOOKUP(Tabelle2[[#This Row],[Artikel]],Produkte!A:H,8)</f>
        <v>0.17</v>
      </c>
    </row>
    <row r="1510" spans="1:12" x14ac:dyDescent="0.2">
      <c r="A1510" s="75" t="s">
        <v>558</v>
      </c>
      <c r="B1510" s="79">
        <v>46093</v>
      </c>
      <c r="C1510" s="75"/>
      <c r="D1510" s="75"/>
      <c r="E1510" s="75"/>
      <c r="F1510" s="75">
        <v>10418</v>
      </c>
      <c r="G1510" s="76" t="str">
        <f>VLOOKUP(Tabelle2[[#This Row],[Kunden Nr.]],KUNDEN!A:B,2,0)</f>
        <v>NDRIQIMI</v>
      </c>
      <c r="H1510" s="75">
        <v>35121</v>
      </c>
      <c r="I1510" s="76" t="str">
        <f>VLOOKUP(Tabelle2[[#This Row],[Artikel]],Produkte!A:B,2,0)</f>
        <v>M-ONE Sanitar Silikon</v>
      </c>
      <c r="J1510" s="75">
        <v>12</v>
      </c>
      <c r="K1510" s="76" t="str">
        <f>VLOOKUP(Tabelle2[[#This Row],[Kunden Nr.]],KUNDEN!A:G,7)</f>
        <v>Qerimi</v>
      </c>
      <c r="L1510" s="76">
        <f>VLOOKUP(Tabelle2[[#This Row],[Artikel]],Produkte!A:H,8)</f>
        <v>0.17</v>
      </c>
    </row>
    <row r="1511" spans="1:12" x14ac:dyDescent="0.2">
      <c r="A1511" s="75" t="s">
        <v>770</v>
      </c>
      <c r="B1511" s="79">
        <v>46094</v>
      </c>
      <c r="C1511" s="89">
        <v>188.5</v>
      </c>
      <c r="D1511" s="75"/>
      <c r="E1511" s="75"/>
      <c r="F1511" s="75">
        <v>40003</v>
      </c>
      <c r="G1511" s="76" t="str">
        <f>VLOOKUP(Tabelle2[[#This Row],[Kunden Nr.]],KUNDEN!A:B,2,0)</f>
        <v>ARBENI BIOBLIC</v>
      </c>
      <c r="H1511" s="75">
        <v>20001</v>
      </c>
      <c r="I1511" s="76" t="str">
        <f>VLOOKUP(Tabelle2[[#This Row],[Artikel]],Produkte!A:B,2,0)</f>
        <v>BioBlic Universalreiniger</v>
      </c>
      <c r="J1511" s="75">
        <v>110</v>
      </c>
      <c r="K1511" s="76">
        <f>VLOOKUP(Tabelle2[[#This Row],[Kunden Nr.]],KUNDEN!A:G,7)</f>
        <v>0</v>
      </c>
      <c r="L1511" s="76">
        <f>VLOOKUP(Tabelle2[[#This Row],[Artikel]],Produkte!A:H,8)</f>
        <v>0.30000000000000004</v>
      </c>
    </row>
    <row r="1512" spans="1:12" x14ac:dyDescent="0.2">
      <c r="A1512" s="75" t="s">
        <v>770</v>
      </c>
      <c r="B1512" s="79">
        <v>46094</v>
      </c>
      <c r="C1512" s="75"/>
      <c r="D1512" s="75"/>
      <c r="E1512" s="75"/>
      <c r="F1512" s="75">
        <v>40003</v>
      </c>
      <c r="G1512" s="76" t="str">
        <f>VLOOKUP(Tabelle2[[#This Row],[Kunden Nr.]],KUNDEN!A:B,2,0)</f>
        <v>ARBENI BIOBLIC</v>
      </c>
      <c r="H1512" s="75">
        <v>30275</v>
      </c>
      <c r="I1512" s="76" t="str">
        <f>VLOOKUP(Tabelle2[[#This Row],[Artikel]],Produkte!A:B,2,0)</f>
        <v>Blic Blic Sanitärreiniger</v>
      </c>
      <c r="J1512" s="75">
        <v>40</v>
      </c>
      <c r="K1512" s="76">
        <f>VLOOKUP(Tabelle2[[#This Row],[Kunden Nr.]],KUNDEN!A:G,7)</f>
        <v>0</v>
      </c>
      <c r="L1512" s="76">
        <f>VLOOKUP(Tabelle2[[#This Row],[Artikel]],Produkte!A:H,8)</f>
        <v>0.30000000000000004</v>
      </c>
    </row>
    <row r="1513" spans="1:12" x14ac:dyDescent="0.2">
      <c r="A1513" s="75" t="s">
        <v>484</v>
      </c>
      <c r="B1513" s="79">
        <v>46094</v>
      </c>
      <c r="C1513" s="89">
        <v>120</v>
      </c>
      <c r="D1513" s="75"/>
      <c r="E1513" s="75"/>
      <c r="F1513" s="75">
        <v>10504</v>
      </c>
      <c r="G1513" s="76" t="str">
        <f>VLOOKUP(Tabelle2[[#This Row],[Kunden Nr.]],KUNDEN!A:B,2,0)</f>
        <v>CARRALEVA 1</v>
      </c>
      <c r="H1513" s="75">
        <v>35111</v>
      </c>
      <c r="I1513" s="76" t="str">
        <f>VLOOKUP(Tabelle2[[#This Row],[Artikel]],Produkte!A:B,2,0)</f>
        <v>M-ONE Sanitar Silikon</v>
      </c>
      <c r="J1513" s="75">
        <v>12</v>
      </c>
      <c r="K1513" s="76" t="str">
        <f>VLOOKUP(Tabelle2[[#This Row],[Kunden Nr.]],KUNDEN!A:G,7)</f>
        <v>Qerimi</v>
      </c>
      <c r="L1513" s="76">
        <f>VLOOKUP(Tabelle2[[#This Row],[Artikel]],Produkte!A:H,8)</f>
        <v>0.17</v>
      </c>
    </row>
    <row r="1514" spans="1:12" x14ac:dyDescent="0.2">
      <c r="A1514" s="75" t="s">
        <v>484</v>
      </c>
      <c r="B1514" s="79">
        <v>46094</v>
      </c>
      <c r="C1514" s="75"/>
      <c r="D1514" s="75"/>
      <c r="E1514" s="75"/>
      <c r="F1514" s="75">
        <v>10504</v>
      </c>
      <c r="G1514" s="76" t="str">
        <f>VLOOKUP(Tabelle2[[#This Row],[Kunden Nr.]],KUNDEN!A:B,2,0)</f>
        <v>CARRALEVA 1</v>
      </c>
      <c r="H1514" s="75">
        <v>35108</v>
      </c>
      <c r="I1514" s="76" t="str">
        <f>VLOOKUP(Tabelle2[[#This Row],[Artikel]],Produkte!A:B,2,0)</f>
        <v>M-ONE Sanitar Silikon</v>
      </c>
      <c r="J1514" s="75">
        <v>12</v>
      </c>
      <c r="K1514" s="76" t="str">
        <f>VLOOKUP(Tabelle2[[#This Row],[Kunden Nr.]],KUNDEN!A:G,7)</f>
        <v>Qerimi</v>
      </c>
      <c r="L1514" s="76">
        <f>VLOOKUP(Tabelle2[[#This Row],[Artikel]],Produkte!A:H,8)</f>
        <v>0.17</v>
      </c>
    </row>
    <row r="1515" spans="1:12" x14ac:dyDescent="0.2">
      <c r="A1515" s="75" t="s">
        <v>484</v>
      </c>
      <c r="B1515" s="79">
        <v>46094</v>
      </c>
      <c r="C1515" s="75"/>
      <c r="D1515" s="75"/>
      <c r="E1515" s="75"/>
      <c r="F1515" s="75">
        <v>10504</v>
      </c>
      <c r="G1515" s="76" t="str">
        <f>VLOOKUP(Tabelle2[[#This Row],[Kunden Nr.]],KUNDEN!A:B,2,0)</f>
        <v>CARRALEVA 1</v>
      </c>
      <c r="H1515" s="75">
        <v>51612</v>
      </c>
      <c r="I1515" s="76" t="str">
        <f>VLOOKUP(Tabelle2[[#This Row],[Artikel]],Produkte!A:B,2,0)</f>
        <v>struktural akryl</v>
      </c>
      <c r="J1515" s="75">
        <v>12</v>
      </c>
      <c r="K1515" s="76" t="str">
        <f>VLOOKUP(Tabelle2[[#This Row],[Kunden Nr.]],KUNDEN!A:G,7)</f>
        <v>Qerimi</v>
      </c>
      <c r="L1515" s="76">
        <f>VLOOKUP(Tabelle2[[#This Row],[Artikel]],Produkte!A:H,8)</f>
        <v>0.06</v>
      </c>
    </row>
    <row r="1516" spans="1:12" x14ac:dyDescent="0.2">
      <c r="A1516" s="75" t="s">
        <v>487</v>
      </c>
      <c r="B1516" s="79">
        <v>46094</v>
      </c>
      <c r="C1516" s="89">
        <v>138.6</v>
      </c>
      <c r="D1516" s="75"/>
      <c r="E1516" s="75"/>
      <c r="F1516" s="75">
        <v>10507</v>
      </c>
      <c r="G1516" s="76" t="str">
        <f>VLOOKUP(Tabelle2[[#This Row],[Kunden Nr.]],KUNDEN!A:B,2,0)</f>
        <v>REAL COLOR 2</v>
      </c>
      <c r="H1516" s="75">
        <v>35109</v>
      </c>
      <c r="I1516" s="76" t="str">
        <f>VLOOKUP(Tabelle2[[#This Row],[Artikel]],Produkte!A:B,2,0)</f>
        <v>M-ONE Sanitar Silikon</v>
      </c>
      <c r="J1516" s="75">
        <v>12</v>
      </c>
      <c r="K1516" s="76" t="str">
        <f>VLOOKUP(Tabelle2[[#This Row],[Kunden Nr.]],KUNDEN!A:G,7)</f>
        <v>Qerimi</v>
      </c>
      <c r="L1516" s="76">
        <f>VLOOKUP(Tabelle2[[#This Row],[Artikel]],Produkte!A:H,8)</f>
        <v>0.17</v>
      </c>
    </row>
    <row r="1517" spans="1:12" x14ac:dyDescent="0.2">
      <c r="A1517" s="75" t="s">
        <v>487</v>
      </c>
      <c r="B1517" s="79">
        <v>46094</v>
      </c>
      <c r="C1517" s="75"/>
      <c r="D1517" s="75"/>
      <c r="E1517" s="75"/>
      <c r="F1517" s="75">
        <v>10507</v>
      </c>
      <c r="G1517" s="76" t="str">
        <f>VLOOKUP(Tabelle2[[#This Row],[Kunden Nr.]],KUNDEN!A:B,2,0)</f>
        <v>REAL COLOR 2</v>
      </c>
      <c r="H1517" s="75">
        <v>35110</v>
      </c>
      <c r="I1517" s="76" t="str">
        <f>VLOOKUP(Tabelle2[[#This Row],[Artikel]],Produkte!A:B,2,0)</f>
        <v>M-ONE Sanitar Silikon</v>
      </c>
      <c r="J1517" s="75">
        <v>12</v>
      </c>
      <c r="K1517" s="76" t="str">
        <f>VLOOKUP(Tabelle2[[#This Row],[Kunden Nr.]],KUNDEN!A:G,7)</f>
        <v>Qerimi</v>
      </c>
      <c r="L1517" s="76">
        <f>VLOOKUP(Tabelle2[[#This Row],[Artikel]],Produkte!A:H,8)</f>
        <v>0.17</v>
      </c>
    </row>
    <row r="1518" spans="1:12" x14ac:dyDescent="0.2">
      <c r="A1518" s="75" t="s">
        <v>487</v>
      </c>
      <c r="B1518" s="79">
        <v>46094</v>
      </c>
      <c r="C1518" s="75"/>
      <c r="D1518" s="75"/>
      <c r="E1518" s="75"/>
      <c r="F1518" s="75">
        <v>10507</v>
      </c>
      <c r="G1518" s="76" t="str">
        <f>VLOOKUP(Tabelle2[[#This Row],[Kunden Nr.]],KUNDEN!A:B,2,0)</f>
        <v>REAL COLOR 2</v>
      </c>
      <c r="H1518" s="75">
        <v>35114</v>
      </c>
      <c r="I1518" s="76" t="str">
        <f>VLOOKUP(Tabelle2[[#This Row],[Artikel]],Produkte!A:B,2,0)</f>
        <v>M-ONE Sanitar Silikon</v>
      </c>
      <c r="J1518" s="75">
        <v>12</v>
      </c>
      <c r="K1518" s="76" t="str">
        <f>VLOOKUP(Tabelle2[[#This Row],[Kunden Nr.]],KUNDEN!A:G,7)</f>
        <v>Qerimi</v>
      </c>
      <c r="L1518" s="76">
        <f>VLOOKUP(Tabelle2[[#This Row],[Artikel]],Produkte!A:H,8)</f>
        <v>0.17</v>
      </c>
    </row>
    <row r="1519" spans="1:12" x14ac:dyDescent="0.2">
      <c r="A1519" s="75" t="s">
        <v>415</v>
      </c>
      <c r="B1519" s="79">
        <v>46094</v>
      </c>
      <c r="C1519" s="89">
        <v>138.6</v>
      </c>
      <c r="D1519" s="75"/>
      <c r="E1519" s="75"/>
      <c r="F1519" s="75">
        <v>10352</v>
      </c>
      <c r="G1519" s="76" t="str">
        <f>VLOOKUP(Tabelle2[[#This Row],[Kunden Nr.]],KUNDEN!A:B,2,0)</f>
        <v>SMIRA</v>
      </c>
      <c r="H1519" s="75">
        <v>35109</v>
      </c>
      <c r="I1519" s="76" t="str">
        <f>VLOOKUP(Tabelle2[[#This Row],[Artikel]],Produkte!A:B,2,0)</f>
        <v>M-ONE Sanitar Silikon</v>
      </c>
      <c r="J1519" s="75">
        <v>24</v>
      </c>
      <c r="K1519" s="76" t="str">
        <f>VLOOKUP(Tabelle2[[#This Row],[Kunden Nr.]],KUNDEN!A:G,7)</f>
        <v>Qerimi</v>
      </c>
      <c r="L1519" s="76">
        <f>VLOOKUP(Tabelle2[[#This Row],[Artikel]],Produkte!A:H,8)</f>
        <v>0.17</v>
      </c>
    </row>
    <row r="1520" spans="1:12" x14ac:dyDescent="0.2">
      <c r="A1520" s="75" t="s">
        <v>415</v>
      </c>
      <c r="B1520" s="79">
        <v>46094</v>
      </c>
      <c r="C1520" s="75"/>
      <c r="D1520" s="75"/>
      <c r="E1520" s="75"/>
      <c r="F1520" s="75">
        <v>10352</v>
      </c>
      <c r="G1520" s="76" t="str">
        <f>VLOOKUP(Tabelle2[[#This Row],[Kunden Nr.]],KUNDEN!A:B,2,0)</f>
        <v>SMIRA</v>
      </c>
      <c r="H1520" s="75">
        <v>35111</v>
      </c>
      <c r="I1520" s="76" t="str">
        <f>VLOOKUP(Tabelle2[[#This Row],[Artikel]],Produkte!A:B,2,0)</f>
        <v>M-ONE Sanitar Silikon</v>
      </c>
      <c r="J1520" s="75">
        <v>12</v>
      </c>
      <c r="K1520" s="76" t="str">
        <f>VLOOKUP(Tabelle2[[#This Row],[Kunden Nr.]],KUNDEN!A:G,7)</f>
        <v>Qerimi</v>
      </c>
      <c r="L1520" s="76">
        <f>VLOOKUP(Tabelle2[[#This Row],[Artikel]],Produkte!A:H,8)</f>
        <v>0.17</v>
      </c>
    </row>
    <row r="1521" spans="1:12" x14ac:dyDescent="0.2">
      <c r="A1521" s="75" t="s">
        <v>38</v>
      </c>
      <c r="B1521" s="79">
        <v>46094</v>
      </c>
      <c r="C1521" s="89">
        <v>92.4</v>
      </c>
      <c r="D1521" s="75"/>
      <c r="E1521" s="75"/>
      <c r="F1521" s="75">
        <v>10539</v>
      </c>
      <c r="G1521" s="76" t="str">
        <f>VLOOKUP(Tabelle2[[#This Row],[Kunden Nr.]],KUNDEN!A:B,2,0)</f>
        <v>BEKA</v>
      </c>
      <c r="H1521" s="75">
        <v>35119</v>
      </c>
      <c r="I1521" s="76" t="str">
        <f>VLOOKUP(Tabelle2[[#This Row],[Artikel]],Produkte!A:B,2,0)</f>
        <v>M-ONE Sanitar Silikon</v>
      </c>
      <c r="J1521" s="75">
        <v>12</v>
      </c>
      <c r="K1521" s="76" t="str">
        <f>VLOOKUP(Tabelle2[[#This Row],[Kunden Nr.]],KUNDEN!A:G,7)</f>
        <v>Qerimi</v>
      </c>
      <c r="L1521" s="76">
        <f>VLOOKUP(Tabelle2[[#This Row],[Artikel]],Produkte!A:H,8)</f>
        <v>0.17</v>
      </c>
    </row>
    <row r="1522" spans="1:12" x14ac:dyDescent="0.2">
      <c r="A1522" s="75" t="s">
        <v>38</v>
      </c>
      <c r="B1522" s="79">
        <v>46094</v>
      </c>
      <c r="C1522" s="75"/>
      <c r="D1522" s="75"/>
      <c r="E1522" s="75"/>
      <c r="F1522" s="75">
        <v>10539</v>
      </c>
      <c r="G1522" s="76" t="str">
        <f>VLOOKUP(Tabelle2[[#This Row],[Kunden Nr.]],KUNDEN!A:B,2,0)</f>
        <v>BEKA</v>
      </c>
      <c r="H1522" s="75">
        <v>35115</v>
      </c>
      <c r="I1522" s="76" t="str">
        <f>VLOOKUP(Tabelle2[[#This Row],[Artikel]],Produkte!A:B,2,0)</f>
        <v>M-ONE Sanitar Silikon</v>
      </c>
      <c r="J1522" s="75">
        <v>12</v>
      </c>
      <c r="K1522" s="76" t="str">
        <f>VLOOKUP(Tabelle2[[#This Row],[Kunden Nr.]],KUNDEN!A:G,7)</f>
        <v>Qerimi</v>
      </c>
      <c r="L1522" s="76">
        <f>VLOOKUP(Tabelle2[[#This Row],[Artikel]],Produkte!A:H,8)</f>
        <v>0.17</v>
      </c>
    </row>
    <row r="1523" spans="1:12" x14ac:dyDescent="0.2">
      <c r="A1523" s="75" t="s">
        <v>482</v>
      </c>
      <c r="B1523" s="79">
        <v>46094</v>
      </c>
      <c r="C1523" s="89">
        <v>138.6</v>
      </c>
      <c r="D1523" s="75"/>
      <c r="E1523" s="75"/>
      <c r="F1523" s="75">
        <v>10502</v>
      </c>
      <c r="G1523" s="76" t="str">
        <f>VLOOKUP(Tabelle2[[#This Row],[Kunden Nr.]],KUNDEN!A:B,2,0)</f>
        <v>PROCOM</v>
      </c>
      <c r="H1523" s="75">
        <v>35114</v>
      </c>
      <c r="I1523" s="76" t="str">
        <f>VLOOKUP(Tabelle2[[#This Row],[Artikel]],Produkte!A:B,2,0)</f>
        <v>M-ONE Sanitar Silikon</v>
      </c>
      <c r="J1523" s="75">
        <v>12</v>
      </c>
      <c r="K1523" s="76" t="str">
        <f>VLOOKUP(Tabelle2[[#This Row],[Kunden Nr.]],KUNDEN!A:G,7)</f>
        <v>Qerimi</v>
      </c>
      <c r="L1523" s="76">
        <f>VLOOKUP(Tabelle2[[#This Row],[Artikel]],Produkte!A:H,8)</f>
        <v>0.17</v>
      </c>
    </row>
    <row r="1524" spans="1:12" x14ac:dyDescent="0.2">
      <c r="A1524" s="75" t="s">
        <v>482</v>
      </c>
      <c r="B1524" s="79">
        <v>46094</v>
      </c>
      <c r="C1524" s="75"/>
      <c r="D1524" s="75"/>
      <c r="E1524" s="75"/>
      <c r="F1524" s="75">
        <v>10502</v>
      </c>
      <c r="G1524" s="76" t="str">
        <f>VLOOKUP(Tabelle2[[#This Row],[Kunden Nr.]],KUNDEN!A:B,2,0)</f>
        <v>PROCOM</v>
      </c>
      <c r="H1524" s="75">
        <v>35111</v>
      </c>
      <c r="I1524" s="76" t="str">
        <f>VLOOKUP(Tabelle2[[#This Row],[Artikel]],Produkte!A:B,2,0)</f>
        <v>M-ONE Sanitar Silikon</v>
      </c>
      <c r="J1524" s="75">
        <v>12</v>
      </c>
      <c r="K1524" s="76" t="str">
        <f>VLOOKUP(Tabelle2[[#This Row],[Kunden Nr.]],KUNDEN!A:G,7)</f>
        <v>Qerimi</v>
      </c>
      <c r="L1524" s="76">
        <f>VLOOKUP(Tabelle2[[#This Row],[Artikel]],Produkte!A:H,8)</f>
        <v>0.17</v>
      </c>
    </row>
    <row r="1525" spans="1:12" x14ac:dyDescent="0.2">
      <c r="A1525" s="75" t="s">
        <v>482</v>
      </c>
      <c r="B1525" s="79">
        <v>46094</v>
      </c>
      <c r="C1525" s="75"/>
      <c r="D1525" s="75"/>
      <c r="E1525" s="75"/>
      <c r="F1525" s="75">
        <v>10502</v>
      </c>
      <c r="G1525" s="76" t="str">
        <f>VLOOKUP(Tabelle2[[#This Row],[Kunden Nr.]],KUNDEN!A:B,2,0)</f>
        <v>PROCOM</v>
      </c>
      <c r="H1525" s="75">
        <v>35128</v>
      </c>
      <c r="I1525" s="76" t="str">
        <f>VLOOKUP(Tabelle2[[#This Row],[Artikel]],Produkte!A:B,2,0)</f>
        <v>M-ONE Sanitar Silikon</v>
      </c>
      <c r="J1525" s="75">
        <v>12</v>
      </c>
      <c r="K1525" s="76" t="str">
        <f>VLOOKUP(Tabelle2[[#This Row],[Kunden Nr.]],KUNDEN!A:G,7)</f>
        <v>Qerimi</v>
      </c>
      <c r="L1525" s="76">
        <f>VLOOKUP(Tabelle2[[#This Row],[Artikel]],Produkte!A:H,8)</f>
        <v>0.17</v>
      </c>
    </row>
    <row r="1526" spans="1:12" x14ac:dyDescent="0.2">
      <c r="A1526" s="75" t="s">
        <v>453</v>
      </c>
      <c r="B1526" s="79">
        <v>46094</v>
      </c>
      <c r="C1526" s="89">
        <v>115.8</v>
      </c>
      <c r="D1526" s="75"/>
      <c r="E1526" s="75"/>
      <c r="F1526" s="75">
        <v>20501</v>
      </c>
      <c r="G1526" s="76" t="str">
        <f>VLOOKUP(Tabelle2[[#This Row],[Kunden Nr.]],KUNDEN!A:B,2,0)</f>
        <v>RACI</v>
      </c>
      <c r="H1526" s="75">
        <v>35125</v>
      </c>
      <c r="I1526" s="76" t="str">
        <f>VLOOKUP(Tabelle2[[#This Row],[Artikel]],Produkte!A:B,2,0)</f>
        <v>M-ONE Sanitar Silikon</v>
      </c>
      <c r="J1526" s="75">
        <v>12</v>
      </c>
      <c r="K1526" s="76" t="str">
        <f>VLOOKUP(Tabelle2[[#This Row],[Kunden Nr.]],KUNDEN!A:G,7)</f>
        <v>Mensuri</v>
      </c>
      <c r="L1526" s="76">
        <f>VLOOKUP(Tabelle2[[#This Row],[Artikel]],Produkte!A:H,8)</f>
        <v>0.17</v>
      </c>
    </row>
    <row r="1527" spans="1:12" x14ac:dyDescent="0.2">
      <c r="A1527" s="75" t="s">
        <v>453</v>
      </c>
      <c r="B1527" s="79">
        <v>46094</v>
      </c>
      <c r="C1527" s="75"/>
      <c r="D1527" s="75"/>
      <c r="E1527" s="75"/>
      <c r="F1527" s="75">
        <v>20501</v>
      </c>
      <c r="G1527" s="76" t="str">
        <f>VLOOKUP(Tabelle2[[#This Row],[Kunden Nr.]],KUNDEN!A:B,2,0)</f>
        <v>RACI</v>
      </c>
      <c r="H1527" s="75">
        <v>66701</v>
      </c>
      <c r="I1527" s="76" t="str">
        <f>VLOOKUP(Tabelle2[[#This Row],[Artikel]],Produkte!A:B,2,0)</f>
        <v>PROFIMONT EXTREME</v>
      </c>
      <c r="J1527" s="75">
        <v>12</v>
      </c>
      <c r="K1527" s="76" t="str">
        <f>VLOOKUP(Tabelle2[[#This Row],[Kunden Nr.]],KUNDEN!A:G,7)</f>
        <v>Mensuri</v>
      </c>
      <c r="L1527" s="76">
        <f>VLOOKUP(Tabelle2[[#This Row],[Artikel]],Produkte!A:H,8)</f>
        <v>0.2</v>
      </c>
    </row>
    <row r="1528" spans="1:12" x14ac:dyDescent="0.2">
      <c r="A1528" s="75" t="s">
        <v>1258</v>
      </c>
      <c r="B1528" s="79">
        <v>46094</v>
      </c>
      <c r="C1528" s="89">
        <v>184.8</v>
      </c>
      <c r="D1528" s="75"/>
      <c r="E1528" s="75"/>
      <c r="F1528" s="75">
        <v>20511</v>
      </c>
      <c r="G1528" s="76" t="str">
        <f>VLOOKUP(Tabelle2[[#This Row],[Kunden Nr.]],KUNDEN!A:B,2,0)</f>
        <v>LIRIDONA KLINE</v>
      </c>
      <c r="H1528" s="75">
        <v>35110</v>
      </c>
      <c r="I1528" s="76" t="str">
        <f>VLOOKUP(Tabelle2[[#This Row],[Artikel]],Produkte!A:B,2,0)</f>
        <v>M-ONE Sanitar Silikon</v>
      </c>
      <c r="J1528" s="75">
        <v>12</v>
      </c>
      <c r="K1528" s="76" t="str">
        <f>VLOOKUP(Tabelle2[[#This Row],[Kunden Nr.]],KUNDEN!A:G,7)</f>
        <v>Mensuri</v>
      </c>
      <c r="L1528" s="76">
        <f>VLOOKUP(Tabelle2[[#This Row],[Artikel]],Produkte!A:H,8)</f>
        <v>0.17</v>
      </c>
    </row>
    <row r="1529" spans="1:12" x14ac:dyDescent="0.2">
      <c r="A1529" s="75" t="s">
        <v>1258</v>
      </c>
      <c r="B1529" s="79">
        <v>46094</v>
      </c>
      <c r="C1529" s="75"/>
      <c r="D1529" s="75"/>
      <c r="E1529" s="75"/>
      <c r="F1529" s="75">
        <v>20511</v>
      </c>
      <c r="G1529" s="76" t="str">
        <f>VLOOKUP(Tabelle2[[#This Row],[Kunden Nr.]],KUNDEN!A:B,2,0)</f>
        <v>LIRIDONA KLINE</v>
      </c>
      <c r="H1529" s="75">
        <v>35115</v>
      </c>
      <c r="I1529" s="76" t="str">
        <f>VLOOKUP(Tabelle2[[#This Row],[Artikel]],Produkte!A:B,2,0)</f>
        <v>M-ONE Sanitar Silikon</v>
      </c>
      <c r="J1529" s="75">
        <v>36</v>
      </c>
      <c r="K1529" s="76" t="str">
        <f>VLOOKUP(Tabelle2[[#This Row],[Kunden Nr.]],KUNDEN!A:G,7)</f>
        <v>Mensuri</v>
      </c>
      <c r="L1529" s="76">
        <f>VLOOKUP(Tabelle2[[#This Row],[Artikel]],Produkte!A:H,8)</f>
        <v>0.17</v>
      </c>
    </row>
    <row r="1530" spans="1:12" x14ac:dyDescent="0.2">
      <c r="A1530" s="75" t="s">
        <v>674</v>
      </c>
      <c r="B1530" s="79">
        <v>46094</v>
      </c>
      <c r="C1530" s="89">
        <v>277.2</v>
      </c>
      <c r="D1530" s="75"/>
      <c r="E1530" s="75"/>
      <c r="F1530" s="75">
        <v>20508</v>
      </c>
      <c r="G1530" s="76" t="str">
        <f>VLOOKUP(Tabelle2[[#This Row],[Kunden Nr.]],KUNDEN!A:B,2,0)</f>
        <v>LIRIDONA HOME</v>
      </c>
      <c r="H1530" s="75">
        <v>35113</v>
      </c>
      <c r="I1530" s="76" t="str">
        <f>VLOOKUP(Tabelle2[[#This Row],[Artikel]],Produkte!A:B,2,0)</f>
        <v>M-ONE Sanitar Silikon</v>
      </c>
      <c r="J1530" s="75">
        <v>36</v>
      </c>
      <c r="K1530" s="76" t="str">
        <f>VLOOKUP(Tabelle2[[#This Row],[Kunden Nr.]],KUNDEN!A:G,7)</f>
        <v>Mensuri</v>
      </c>
      <c r="L1530" s="76">
        <f>VLOOKUP(Tabelle2[[#This Row],[Artikel]],Produkte!A:H,8)</f>
        <v>0.17</v>
      </c>
    </row>
    <row r="1531" spans="1:12" x14ac:dyDescent="0.2">
      <c r="A1531" s="75" t="s">
        <v>674</v>
      </c>
      <c r="B1531" s="79">
        <v>46094</v>
      </c>
      <c r="C1531" s="75"/>
      <c r="D1531" s="75"/>
      <c r="E1531" s="75"/>
      <c r="F1531" s="75">
        <v>20508</v>
      </c>
      <c r="G1531" s="76" t="str">
        <f>VLOOKUP(Tabelle2[[#This Row],[Kunden Nr.]],KUNDEN!A:B,2,0)</f>
        <v>LIRIDONA HOME</v>
      </c>
      <c r="H1531" s="75">
        <v>35121</v>
      </c>
      <c r="I1531" s="76" t="str">
        <f>VLOOKUP(Tabelle2[[#This Row],[Artikel]],Produkte!A:B,2,0)</f>
        <v>M-ONE Sanitar Silikon</v>
      </c>
      <c r="J1531" s="75">
        <v>36</v>
      </c>
      <c r="K1531" s="76" t="str">
        <f>VLOOKUP(Tabelle2[[#This Row],[Kunden Nr.]],KUNDEN!A:G,7)</f>
        <v>Mensuri</v>
      </c>
      <c r="L1531" s="76">
        <f>VLOOKUP(Tabelle2[[#This Row],[Artikel]],Produkte!A:H,8)</f>
        <v>0.17</v>
      </c>
    </row>
    <row r="1532" spans="1:12" x14ac:dyDescent="0.2">
      <c r="A1532" s="75" t="s">
        <v>463</v>
      </c>
      <c r="B1532" s="79">
        <v>46094</v>
      </c>
      <c r="C1532" s="89">
        <v>346.8</v>
      </c>
      <c r="D1532" s="75"/>
      <c r="E1532" s="75"/>
      <c r="F1532" s="75">
        <v>20515</v>
      </c>
      <c r="G1532" s="76" t="str">
        <f>VLOOKUP(Tabelle2[[#This Row],[Kunden Nr.]],KUNDEN!A:B,2,0)</f>
        <v>LIRIDONA-A</v>
      </c>
      <c r="H1532" s="75">
        <v>35110</v>
      </c>
      <c r="I1532" s="76" t="str">
        <f>VLOOKUP(Tabelle2[[#This Row],[Artikel]],Produkte!A:B,2,0)</f>
        <v>M-ONE Sanitar Silikon</v>
      </c>
      <c r="J1532" s="75">
        <v>24</v>
      </c>
      <c r="K1532" s="76" t="str">
        <f>VLOOKUP(Tabelle2[[#This Row],[Kunden Nr.]],KUNDEN!A:G,7)</f>
        <v>Mensuri</v>
      </c>
      <c r="L1532" s="76">
        <f>VLOOKUP(Tabelle2[[#This Row],[Artikel]],Produkte!A:H,8)</f>
        <v>0.17</v>
      </c>
    </row>
    <row r="1533" spans="1:12" x14ac:dyDescent="0.2">
      <c r="A1533" s="75" t="s">
        <v>463</v>
      </c>
      <c r="B1533" s="79">
        <v>46094</v>
      </c>
      <c r="C1533" s="75"/>
      <c r="D1533" s="75"/>
      <c r="E1533" s="75"/>
      <c r="F1533" s="75">
        <v>20515</v>
      </c>
      <c r="G1533" s="76" t="str">
        <f>VLOOKUP(Tabelle2[[#This Row],[Kunden Nr.]],KUNDEN!A:B,2,0)</f>
        <v>LIRIDONA-A</v>
      </c>
      <c r="H1533" s="75">
        <v>35121</v>
      </c>
      <c r="I1533" s="76" t="str">
        <f>VLOOKUP(Tabelle2[[#This Row],[Artikel]],Produkte!A:B,2,0)</f>
        <v>M-ONE Sanitar Silikon</v>
      </c>
      <c r="J1533" s="75">
        <v>36</v>
      </c>
      <c r="K1533" s="76" t="str">
        <f>VLOOKUP(Tabelle2[[#This Row],[Kunden Nr.]],KUNDEN!A:G,7)</f>
        <v>Mensuri</v>
      </c>
      <c r="L1533" s="76">
        <f>VLOOKUP(Tabelle2[[#This Row],[Artikel]],Produkte!A:H,8)</f>
        <v>0.17</v>
      </c>
    </row>
    <row r="1534" spans="1:12" x14ac:dyDescent="0.2">
      <c r="A1534" s="75" t="s">
        <v>463</v>
      </c>
      <c r="B1534" s="79">
        <v>46094</v>
      </c>
      <c r="C1534" s="75"/>
      <c r="D1534" s="75"/>
      <c r="E1534" s="75"/>
      <c r="F1534" s="75">
        <v>20515</v>
      </c>
      <c r="G1534" s="76" t="str">
        <f>VLOOKUP(Tabelle2[[#This Row],[Kunden Nr.]],KUNDEN!A:B,2,0)</f>
        <v>LIRIDONA-A</v>
      </c>
      <c r="H1534" s="75">
        <v>35125</v>
      </c>
      <c r="I1534" s="76" t="str">
        <f>VLOOKUP(Tabelle2[[#This Row],[Artikel]],Produkte!A:B,2,0)</f>
        <v>M-ONE Sanitar Silikon</v>
      </c>
      <c r="J1534" s="75">
        <v>12</v>
      </c>
      <c r="K1534" s="76" t="str">
        <f>VLOOKUP(Tabelle2[[#This Row],[Kunden Nr.]],KUNDEN!A:G,7)</f>
        <v>Mensuri</v>
      </c>
      <c r="L1534" s="76">
        <f>VLOOKUP(Tabelle2[[#This Row],[Artikel]],Produkte!A:H,8)</f>
        <v>0.17</v>
      </c>
    </row>
    <row r="1535" spans="1:12" x14ac:dyDescent="0.2">
      <c r="A1535" s="75" t="s">
        <v>463</v>
      </c>
      <c r="B1535" s="79">
        <v>46094</v>
      </c>
      <c r="C1535" s="75"/>
      <c r="D1535" s="75"/>
      <c r="E1535" s="75"/>
      <c r="F1535" s="75">
        <v>20515</v>
      </c>
      <c r="G1535" s="76" t="str">
        <f>VLOOKUP(Tabelle2[[#This Row],[Kunden Nr.]],KUNDEN!A:B,2,0)</f>
        <v>LIRIDONA-A</v>
      </c>
      <c r="H1535" s="75">
        <v>66701</v>
      </c>
      <c r="I1535" s="76" t="str">
        <f>VLOOKUP(Tabelle2[[#This Row],[Artikel]],Produkte!A:B,2,0)</f>
        <v>PROFIMONT EXTREME</v>
      </c>
      <c r="J1535" s="75">
        <v>12</v>
      </c>
      <c r="K1535" s="76" t="str">
        <f>VLOOKUP(Tabelle2[[#This Row],[Kunden Nr.]],KUNDEN!A:G,7)</f>
        <v>Mensuri</v>
      </c>
      <c r="L1535" s="76">
        <f>VLOOKUP(Tabelle2[[#This Row],[Artikel]],Produkte!A:H,8)</f>
        <v>0.2</v>
      </c>
    </row>
    <row r="1536" spans="1:12" x14ac:dyDescent="0.2">
      <c r="A1536" s="75" t="s">
        <v>802</v>
      </c>
      <c r="B1536" s="79">
        <v>46094</v>
      </c>
      <c r="C1536" s="89">
        <v>92.4</v>
      </c>
      <c r="D1536" s="75"/>
      <c r="E1536" s="75"/>
      <c r="F1536" s="75">
        <v>20520</v>
      </c>
      <c r="G1536" s="76" t="str">
        <f>VLOOKUP(Tabelle2[[#This Row],[Kunden Nr.]],KUNDEN!A:B,2,0)</f>
        <v>TE BRAHA</v>
      </c>
      <c r="H1536" s="75">
        <v>35113</v>
      </c>
      <c r="I1536" s="76" t="str">
        <f>VLOOKUP(Tabelle2[[#This Row],[Artikel]],Produkte!A:B,2,0)</f>
        <v>M-ONE Sanitar Silikon</v>
      </c>
      <c r="J1536" s="75">
        <v>12</v>
      </c>
      <c r="K1536" s="76" t="str">
        <f>VLOOKUP(Tabelle2[[#This Row],[Kunden Nr.]],KUNDEN!A:G,7)</f>
        <v>Mensuri</v>
      </c>
      <c r="L1536" s="76">
        <f>VLOOKUP(Tabelle2[[#This Row],[Artikel]],Produkte!A:H,8)</f>
        <v>0.17</v>
      </c>
    </row>
    <row r="1537" spans="1:12" x14ac:dyDescent="0.2">
      <c r="A1537" s="75" t="s">
        <v>802</v>
      </c>
      <c r="B1537" s="79">
        <v>46094</v>
      </c>
      <c r="C1537" s="75"/>
      <c r="D1537" s="75"/>
      <c r="E1537" s="75"/>
      <c r="F1537" s="75">
        <v>20520</v>
      </c>
      <c r="G1537" s="76" t="str">
        <f>VLOOKUP(Tabelle2[[#This Row],[Kunden Nr.]],KUNDEN!A:B,2,0)</f>
        <v>TE BRAHA</v>
      </c>
      <c r="H1537" s="75">
        <v>35121</v>
      </c>
      <c r="I1537" s="76" t="str">
        <f>VLOOKUP(Tabelle2[[#This Row],[Artikel]],Produkte!A:B,2,0)</f>
        <v>M-ONE Sanitar Silikon</v>
      </c>
      <c r="J1537" s="75">
        <v>12</v>
      </c>
      <c r="K1537" s="76" t="str">
        <f>VLOOKUP(Tabelle2[[#This Row],[Kunden Nr.]],KUNDEN!A:G,7)</f>
        <v>Mensuri</v>
      </c>
      <c r="L1537" s="76">
        <f>VLOOKUP(Tabelle2[[#This Row],[Artikel]],Produkte!A:H,8)</f>
        <v>0.17</v>
      </c>
    </row>
    <row r="1538" spans="1:12" x14ac:dyDescent="0.2">
      <c r="A1538" s="75" t="s">
        <v>59</v>
      </c>
      <c r="B1538" s="79">
        <v>46094</v>
      </c>
      <c r="C1538" s="89">
        <v>83.2</v>
      </c>
      <c r="D1538" s="75"/>
      <c r="E1538" s="75"/>
      <c r="F1538" s="75">
        <v>20406</v>
      </c>
      <c r="G1538" s="76" t="str">
        <f>VLOOKUP(Tabelle2[[#This Row],[Kunden Nr.]],KUNDEN!A:B,2,0)</f>
        <v>MEGI</v>
      </c>
      <c r="H1538" s="75">
        <v>54412</v>
      </c>
      <c r="I1538" s="76" t="str">
        <f>VLOOKUP(Tabelle2[[#This Row],[Artikel]],Produkte!A:B,2,0)</f>
        <v>beMAKER Bremsen&amp;Teile Reininger</v>
      </c>
      <c r="J1538" s="75">
        <v>8</v>
      </c>
      <c r="K1538" s="76" t="str">
        <f>VLOOKUP(Tabelle2[[#This Row],[Kunden Nr.]],KUNDEN!A:G,7)</f>
        <v>Mensuri</v>
      </c>
      <c r="L1538" s="76">
        <f>VLOOKUP(Tabelle2[[#This Row],[Artikel]],Produkte!A:H,8)</f>
        <v>0.2</v>
      </c>
    </row>
    <row r="1539" spans="1:12" x14ac:dyDescent="0.2">
      <c r="A1539" s="75" t="s">
        <v>59</v>
      </c>
      <c r="B1539" s="79">
        <v>46094</v>
      </c>
      <c r="C1539" s="75"/>
      <c r="D1539" s="75"/>
      <c r="E1539" s="75"/>
      <c r="F1539" s="75">
        <v>20406</v>
      </c>
      <c r="G1539" s="76" t="str">
        <f>VLOOKUP(Tabelle2[[#This Row],[Kunden Nr.]],KUNDEN!A:B,2,0)</f>
        <v>MEGI</v>
      </c>
      <c r="H1539" s="75">
        <v>49644</v>
      </c>
      <c r="I1539" s="76" t="str">
        <f>VLOOKUP(Tabelle2[[#This Row],[Artikel]],Produkte!A:B,2,0)</f>
        <v>beMAKER Rostlöser</v>
      </c>
      <c r="J1539" s="75">
        <v>12</v>
      </c>
      <c r="K1539" s="76" t="str">
        <f>VLOOKUP(Tabelle2[[#This Row],[Kunden Nr.]],KUNDEN!A:G,7)</f>
        <v>Mensuri</v>
      </c>
      <c r="L1539" s="76">
        <f>VLOOKUP(Tabelle2[[#This Row],[Artikel]],Produkte!A:H,8)</f>
        <v>0.2</v>
      </c>
    </row>
    <row r="1540" spans="1:12" x14ac:dyDescent="0.2">
      <c r="A1540" s="75" t="s">
        <v>59</v>
      </c>
      <c r="B1540" s="79">
        <v>46094</v>
      </c>
      <c r="C1540" s="75"/>
      <c r="D1540" s="75"/>
      <c r="E1540" s="75"/>
      <c r="F1540" s="75">
        <v>20406</v>
      </c>
      <c r="G1540" s="76" t="str">
        <f>VLOOKUP(Tabelle2[[#This Row],[Kunden Nr.]],KUNDEN!A:B,2,0)</f>
        <v>MEGI</v>
      </c>
      <c r="H1540" s="75">
        <v>50912</v>
      </c>
      <c r="I1540" s="76" t="str">
        <f>VLOOKUP(Tabelle2[[#This Row],[Artikel]],Produkte!A:B,2,0)</f>
        <v>DICHTUNG</v>
      </c>
      <c r="J1540" s="75">
        <v>6</v>
      </c>
      <c r="K1540" s="76" t="str">
        <f>VLOOKUP(Tabelle2[[#This Row],[Kunden Nr.]],KUNDEN!A:G,7)</f>
        <v>Mensuri</v>
      </c>
      <c r="L1540" s="76">
        <f>VLOOKUP(Tabelle2[[#This Row],[Artikel]],Produkte!A:H,8)</f>
        <v>0.2</v>
      </c>
    </row>
    <row r="1541" spans="1:12" x14ac:dyDescent="0.2">
      <c r="A1541" s="75" t="s">
        <v>53</v>
      </c>
      <c r="B1541" s="79">
        <v>46094</v>
      </c>
      <c r="C1541" s="89">
        <v>138.6</v>
      </c>
      <c r="D1541" s="75"/>
      <c r="E1541" s="75"/>
      <c r="F1541" s="75">
        <v>20407</v>
      </c>
      <c r="G1541" s="76" t="str">
        <f>VLOOKUP(Tabelle2[[#This Row],[Kunden Nr.]],KUNDEN!A:B,2,0)</f>
        <v>TE BENI</v>
      </c>
      <c r="H1541" s="75">
        <v>35110</v>
      </c>
      <c r="I1541" s="76" t="str">
        <f>VLOOKUP(Tabelle2[[#This Row],[Artikel]],Produkte!A:B,2,0)</f>
        <v>M-ONE Sanitar Silikon</v>
      </c>
      <c r="J1541" s="75">
        <v>12</v>
      </c>
      <c r="K1541" s="76" t="str">
        <f>VLOOKUP(Tabelle2[[#This Row],[Kunden Nr.]],KUNDEN!A:G,7)</f>
        <v>Mensuri</v>
      </c>
      <c r="L1541" s="76">
        <f>VLOOKUP(Tabelle2[[#This Row],[Artikel]],Produkte!A:H,8)</f>
        <v>0.17</v>
      </c>
    </row>
    <row r="1542" spans="1:12" x14ac:dyDescent="0.2">
      <c r="A1542" s="75" t="s">
        <v>53</v>
      </c>
      <c r="B1542" s="79">
        <v>46094</v>
      </c>
      <c r="C1542" s="75"/>
      <c r="D1542" s="75"/>
      <c r="E1542" s="75"/>
      <c r="F1542" s="75">
        <v>20407</v>
      </c>
      <c r="G1542" s="76" t="str">
        <f>VLOOKUP(Tabelle2[[#This Row],[Kunden Nr.]],KUNDEN!A:B,2,0)</f>
        <v>TE BENI</v>
      </c>
      <c r="H1542" s="75">
        <v>35111</v>
      </c>
      <c r="I1542" s="76" t="str">
        <f>VLOOKUP(Tabelle2[[#This Row],[Artikel]],Produkte!A:B,2,0)</f>
        <v>M-ONE Sanitar Silikon</v>
      </c>
      <c r="J1542" s="75">
        <v>12</v>
      </c>
      <c r="K1542" s="76" t="str">
        <f>VLOOKUP(Tabelle2[[#This Row],[Kunden Nr.]],KUNDEN!A:G,7)</f>
        <v>Mensuri</v>
      </c>
      <c r="L1542" s="76">
        <f>VLOOKUP(Tabelle2[[#This Row],[Artikel]],Produkte!A:H,8)</f>
        <v>0.17</v>
      </c>
    </row>
    <row r="1543" spans="1:12" x14ac:dyDescent="0.2">
      <c r="A1543" s="75" t="s">
        <v>53</v>
      </c>
      <c r="B1543" s="79">
        <v>46094</v>
      </c>
      <c r="C1543" s="75"/>
      <c r="D1543" s="75"/>
      <c r="E1543" s="75"/>
      <c r="F1543" s="75">
        <v>20407</v>
      </c>
      <c r="G1543" s="76" t="str">
        <f>VLOOKUP(Tabelle2[[#This Row],[Kunden Nr.]],KUNDEN!A:B,2,0)</f>
        <v>TE BENI</v>
      </c>
      <c r="H1543" s="75">
        <v>35121</v>
      </c>
      <c r="I1543" s="76" t="str">
        <f>VLOOKUP(Tabelle2[[#This Row],[Artikel]],Produkte!A:B,2,0)</f>
        <v>M-ONE Sanitar Silikon</v>
      </c>
      <c r="J1543" s="75">
        <v>12</v>
      </c>
      <c r="K1543" s="76" t="str">
        <f>VLOOKUP(Tabelle2[[#This Row],[Kunden Nr.]],KUNDEN!A:G,7)</f>
        <v>Mensuri</v>
      </c>
      <c r="L1543" s="76">
        <f>VLOOKUP(Tabelle2[[#This Row],[Artikel]],Produkte!A:H,8)</f>
        <v>0.17</v>
      </c>
    </row>
    <row r="1544" spans="1:12" x14ac:dyDescent="0.2">
      <c r="A1544" s="75" t="s">
        <v>575</v>
      </c>
      <c r="B1544" s="79">
        <v>46095</v>
      </c>
      <c r="C1544" s="89">
        <v>31.6</v>
      </c>
      <c r="D1544" s="75"/>
      <c r="E1544" s="75"/>
      <c r="F1544" s="75">
        <v>10113</v>
      </c>
      <c r="G1544" s="76" t="str">
        <f>VLOOKUP(Tabelle2[[#This Row],[Kunden Nr.]],KUNDEN!A:B,2,0)</f>
        <v>MUQIQI</v>
      </c>
      <c r="H1544" s="75">
        <v>50912</v>
      </c>
      <c r="I1544" s="76" t="str">
        <f>VLOOKUP(Tabelle2[[#This Row],[Artikel]],Produkte!A:B,2,0)</f>
        <v>DICHTUNG</v>
      </c>
      <c r="J1544" s="75">
        <v>3</v>
      </c>
      <c r="K1544" s="76" t="str">
        <f>VLOOKUP(Tabelle2[[#This Row],[Kunden Nr.]],KUNDEN!A:G,7)</f>
        <v>Qerimi</v>
      </c>
      <c r="L1544" s="76">
        <f>VLOOKUP(Tabelle2[[#This Row],[Artikel]],Produkte!A:H,8)</f>
        <v>0.2</v>
      </c>
    </row>
    <row r="1545" spans="1:12" x14ac:dyDescent="0.2">
      <c r="A1545" s="75" t="s">
        <v>575</v>
      </c>
      <c r="B1545" s="79">
        <v>46095</v>
      </c>
      <c r="C1545" s="75"/>
      <c r="D1545" s="75"/>
      <c r="E1545" s="75"/>
      <c r="F1545" s="75">
        <v>10113</v>
      </c>
      <c r="G1545" s="76" t="str">
        <f>VLOOKUP(Tabelle2[[#This Row],[Kunden Nr.]],KUNDEN!A:B,2,0)</f>
        <v>MUQIQI</v>
      </c>
      <c r="H1545" s="75">
        <v>54412</v>
      </c>
      <c r="I1545" s="76" t="str">
        <f>VLOOKUP(Tabelle2[[#This Row],[Artikel]],Produkte!A:B,2,0)</f>
        <v>beMAKER Bremsen&amp;Teile Reininger</v>
      </c>
      <c r="J1545" s="75">
        <v>5</v>
      </c>
      <c r="K1545" s="76" t="str">
        <f>VLOOKUP(Tabelle2[[#This Row],[Kunden Nr.]],KUNDEN!A:G,7)</f>
        <v>Qerimi</v>
      </c>
      <c r="L1545" s="76">
        <f>VLOOKUP(Tabelle2[[#This Row],[Artikel]],Produkte!A:H,8)</f>
        <v>0.2</v>
      </c>
    </row>
    <row r="1546" spans="1:12" x14ac:dyDescent="0.2">
      <c r="A1546" s="75" t="s">
        <v>608</v>
      </c>
      <c r="B1546" s="79">
        <v>46095</v>
      </c>
      <c r="C1546" s="89">
        <v>138.6</v>
      </c>
      <c r="D1546" s="75"/>
      <c r="E1546" s="75"/>
      <c r="F1546" s="75">
        <v>10616</v>
      </c>
      <c r="G1546" s="76" t="str">
        <f>VLOOKUP(Tabelle2[[#This Row],[Kunden Nr.]],KUNDEN!A:B,2,0)</f>
        <v>TE ZENA</v>
      </c>
      <c r="H1546" s="75">
        <v>35113</v>
      </c>
      <c r="I1546" s="76" t="str">
        <f>VLOOKUP(Tabelle2[[#This Row],[Artikel]],Produkte!A:B,2,0)</f>
        <v>M-ONE Sanitar Silikon</v>
      </c>
      <c r="J1546" s="75">
        <v>12</v>
      </c>
      <c r="K1546" s="76" t="str">
        <f>VLOOKUP(Tabelle2[[#This Row],[Kunden Nr.]],KUNDEN!A:G,7)</f>
        <v>Qerimi</v>
      </c>
      <c r="L1546" s="76">
        <f>VLOOKUP(Tabelle2[[#This Row],[Artikel]],Produkte!A:H,8)</f>
        <v>0.17</v>
      </c>
    </row>
    <row r="1547" spans="1:12" x14ac:dyDescent="0.2">
      <c r="A1547" s="75" t="s">
        <v>608</v>
      </c>
      <c r="B1547" s="79">
        <v>46095</v>
      </c>
      <c r="C1547" s="75"/>
      <c r="D1547" s="75"/>
      <c r="E1547" s="75"/>
      <c r="F1547" s="75">
        <v>10616</v>
      </c>
      <c r="G1547" s="76" t="str">
        <f>VLOOKUP(Tabelle2[[#This Row],[Kunden Nr.]],KUNDEN!A:B,2,0)</f>
        <v>TE ZENA</v>
      </c>
      <c r="H1547" s="75">
        <v>35119</v>
      </c>
      <c r="I1547" s="76" t="str">
        <f>VLOOKUP(Tabelle2[[#This Row],[Artikel]],Produkte!A:B,2,0)</f>
        <v>M-ONE Sanitar Silikon</v>
      </c>
      <c r="J1547" s="75">
        <v>12</v>
      </c>
      <c r="K1547" s="76" t="str">
        <f>VLOOKUP(Tabelle2[[#This Row],[Kunden Nr.]],KUNDEN!A:G,7)</f>
        <v>Qerimi</v>
      </c>
      <c r="L1547" s="76">
        <f>VLOOKUP(Tabelle2[[#This Row],[Artikel]],Produkte!A:H,8)</f>
        <v>0.17</v>
      </c>
    </row>
    <row r="1548" spans="1:12" x14ac:dyDescent="0.2">
      <c r="A1548" s="75" t="s">
        <v>608</v>
      </c>
      <c r="B1548" s="79">
        <v>46095</v>
      </c>
      <c r="C1548" s="75"/>
      <c r="D1548" s="75"/>
      <c r="E1548" s="75"/>
      <c r="F1548" s="75">
        <v>10616</v>
      </c>
      <c r="G1548" s="76" t="str">
        <f>VLOOKUP(Tabelle2[[#This Row],[Kunden Nr.]],KUNDEN!A:B,2,0)</f>
        <v>TE ZENA</v>
      </c>
      <c r="H1548" s="75">
        <v>35121</v>
      </c>
      <c r="I1548" s="76" t="str">
        <f>VLOOKUP(Tabelle2[[#This Row],[Artikel]],Produkte!A:B,2,0)</f>
        <v>M-ONE Sanitar Silikon</v>
      </c>
      <c r="J1548" s="75">
        <v>12</v>
      </c>
      <c r="K1548" s="76" t="str">
        <f>VLOOKUP(Tabelle2[[#This Row],[Kunden Nr.]],KUNDEN!A:G,7)</f>
        <v>Qerimi</v>
      </c>
      <c r="L1548" s="76">
        <f>VLOOKUP(Tabelle2[[#This Row],[Artikel]],Produkte!A:H,8)</f>
        <v>0.17</v>
      </c>
    </row>
    <row r="1549" spans="1:12" x14ac:dyDescent="0.2">
      <c r="A1549" s="75" t="s">
        <v>837</v>
      </c>
      <c r="B1549" s="79">
        <v>46095</v>
      </c>
      <c r="C1549" s="89">
        <v>121.2</v>
      </c>
      <c r="D1549" s="75"/>
      <c r="E1549" s="75"/>
      <c r="F1549" s="75">
        <v>10625</v>
      </c>
      <c r="G1549" s="76" t="str">
        <f>VLOOKUP(Tabelle2[[#This Row],[Kunden Nr.]],KUNDEN!A:B,2,0)</f>
        <v>KUJTA</v>
      </c>
      <c r="H1549" s="75">
        <v>35115</v>
      </c>
      <c r="I1549" s="76" t="str">
        <f>VLOOKUP(Tabelle2[[#This Row],[Artikel]],Produkte!A:B,2,0)</f>
        <v>M-ONE Sanitar Silikon</v>
      </c>
      <c r="J1549" s="75">
        <v>12</v>
      </c>
      <c r="K1549" s="76" t="str">
        <f>VLOOKUP(Tabelle2[[#This Row],[Kunden Nr.]],KUNDEN!A:G,7)</f>
        <v>Qerimi</v>
      </c>
      <c r="L1549" s="76">
        <f>VLOOKUP(Tabelle2[[#This Row],[Artikel]],Produkte!A:H,8)</f>
        <v>0.17</v>
      </c>
    </row>
    <row r="1550" spans="1:12" x14ac:dyDescent="0.2">
      <c r="A1550" s="75" t="s">
        <v>837</v>
      </c>
      <c r="B1550" s="79">
        <v>46095</v>
      </c>
      <c r="C1550" s="75"/>
      <c r="D1550" s="75"/>
      <c r="E1550" s="75"/>
      <c r="F1550" s="75">
        <v>10625</v>
      </c>
      <c r="G1550" s="76" t="str">
        <f>VLOOKUP(Tabelle2[[#This Row],[Kunden Nr.]],KUNDEN!A:B,2,0)</f>
        <v>KUJTA</v>
      </c>
      <c r="H1550" s="75">
        <v>50912</v>
      </c>
      <c r="I1550" s="76" t="str">
        <f>VLOOKUP(Tabelle2[[#This Row],[Artikel]],Produkte!A:B,2,0)</f>
        <v>DICHTUNG</v>
      </c>
      <c r="J1550" s="75">
        <v>4</v>
      </c>
      <c r="K1550" s="76" t="str">
        <f>VLOOKUP(Tabelle2[[#This Row],[Kunden Nr.]],KUNDEN!A:G,7)</f>
        <v>Qerimi</v>
      </c>
      <c r="L1550" s="76">
        <f>VLOOKUP(Tabelle2[[#This Row],[Artikel]],Produkte!A:H,8)</f>
        <v>0.2</v>
      </c>
    </row>
    <row r="1551" spans="1:12" x14ac:dyDescent="0.2">
      <c r="A1551" s="75" t="s">
        <v>837</v>
      </c>
      <c r="B1551" s="79">
        <v>46095</v>
      </c>
      <c r="C1551" s="75"/>
      <c r="D1551" s="75"/>
      <c r="E1551" s="75"/>
      <c r="F1551" s="75">
        <v>10625</v>
      </c>
      <c r="G1551" s="76" t="str">
        <f>VLOOKUP(Tabelle2[[#This Row],[Kunden Nr.]],KUNDEN!A:B,2,0)</f>
        <v>KUJTA</v>
      </c>
      <c r="H1551" s="75">
        <v>35121</v>
      </c>
      <c r="I1551" s="76" t="str">
        <f>VLOOKUP(Tabelle2[[#This Row],[Artikel]],Produkte!A:B,2,0)</f>
        <v>M-ONE Sanitar Silikon</v>
      </c>
      <c r="J1551" s="75">
        <v>12</v>
      </c>
      <c r="K1551" s="76" t="str">
        <f>VLOOKUP(Tabelle2[[#This Row],[Kunden Nr.]],KUNDEN!A:G,7)</f>
        <v>Qerimi</v>
      </c>
      <c r="L1551" s="76">
        <f>VLOOKUP(Tabelle2[[#This Row],[Artikel]],Produkte!A:H,8)</f>
        <v>0.17</v>
      </c>
    </row>
    <row r="1552" spans="1:12" x14ac:dyDescent="0.2">
      <c r="A1552" s="75" t="s">
        <v>829</v>
      </c>
      <c r="B1552" s="79">
        <v>46095</v>
      </c>
      <c r="C1552" s="89">
        <v>14.4</v>
      </c>
      <c r="D1552" s="75"/>
      <c r="E1552" s="75"/>
      <c r="F1552" s="75">
        <v>10626</v>
      </c>
      <c r="G1552" s="76" t="str">
        <f>VLOOKUP(Tabelle2[[#This Row],[Kunden Nr.]],KUNDEN!A:B,2,0)</f>
        <v>DRITONI</v>
      </c>
      <c r="H1552" s="75">
        <v>50912</v>
      </c>
      <c r="I1552" s="76" t="str">
        <f>VLOOKUP(Tabelle2[[#This Row],[Artikel]],Produkte!A:B,2,0)</f>
        <v>DICHTUNG</v>
      </c>
      <c r="J1552" s="75">
        <v>2</v>
      </c>
      <c r="K1552" s="76" t="str">
        <f>VLOOKUP(Tabelle2[[#This Row],[Kunden Nr.]],KUNDEN!A:G,7)</f>
        <v>Qerimi</v>
      </c>
      <c r="L1552" s="76">
        <f>VLOOKUP(Tabelle2[[#This Row],[Artikel]],Produkte!A:H,8)</f>
        <v>0.2</v>
      </c>
    </row>
    <row r="1553" spans="1:12" x14ac:dyDescent="0.2">
      <c r="A1553" s="75" t="s">
        <v>597</v>
      </c>
      <c r="B1553" s="79">
        <v>46095</v>
      </c>
      <c r="C1553" s="89">
        <v>46</v>
      </c>
      <c r="D1553" s="75"/>
      <c r="E1553" s="75"/>
      <c r="F1553" s="75">
        <v>10605</v>
      </c>
      <c r="G1553" s="76" t="str">
        <f>VLOOKUP(Tabelle2[[#This Row],[Kunden Nr.]],KUNDEN!A:B,2,0)</f>
        <v>SABITI</v>
      </c>
      <c r="H1553" s="75">
        <v>49644</v>
      </c>
      <c r="I1553" s="76" t="str">
        <f>VLOOKUP(Tabelle2[[#This Row],[Artikel]],Produkte!A:B,2,0)</f>
        <v>beMAKER Rostlöser</v>
      </c>
      <c r="J1553" s="75">
        <v>5</v>
      </c>
      <c r="K1553" s="76" t="str">
        <f>VLOOKUP(Tabelle2[[#This Row],[Kunden Nr.]],KUNDEN!A:G,7)</f>
        <v>Qerimi</v>
      </c>
      <c r="L1553" s="76">
        <f>VLOOKUP(Tabelle2[[#This Row],[Artikel]],Produkte!A:H,8)</f>
        <v>0.2</v>
      </c>
    </row>
    <row r="1554" spans="1:12" x14ac:dyDescent="0.2">
      <c r="A1554" s="75" t="s">
        <v>597</v>
      </c>
      <c r="B1554" s="79">
        <v>46095</v>
      </c>
      <c r="C1554" s="75"/>
      <c r="D1554" s="75"/>
      <c r="E1554" s="75"/>
      <c r="F1554" s="75">
        <v>10605</v>
      </c>
      <c r="G1554" s="76" t="str">
        <f>VLOOKUP(Tabelle2[[#This Row],[Kunden Nr.]],KUNDEN!A:B,2,0)</f>
        <v>SABITI</v>
      </c>
      <c r="H1554" s="75">
        <v>50912</v>
      </c>
      <c r="I1554" s="76" t="str">
        <f>VLOOKUP(Tabelle2[[#This Row],[Artikel]],Produkte!A:B,2,0)</f>
        <v>DICHTUNG</v>
      </c>
      <c r="J1554" s="75">
        <v>5</v>
      </c>
      <c r="K1554" s="76" t="str">
        <f>VLOOKUP(Tabelle2[[#This Row],[Kunden Nr.]],KUNDEN!A:G,7)</f>
        <v>Qerimi</v>
      </c>
      <c r="L1554" s="76">
        <f>VLOOKUP(Tabelle2[[#This Row],[Artikel]],Produkte!A:H,8)</f>
        <v>0.2</v>
      </c>
    </row>
    <row r="1555" spans="1:12" x14ac:dyDescent="0.2">
      <c r="A1555" s="75" t="s">
        <v>611</v>
      </c>
      <c r="B1555" s="79">
        <v>46095</v>
      </c>
      <c r="C1555" s="89">
        <v>45.4</v>
      </c>
      <c r="D1555" s="75"/>
      <c r="E1555" s="75"/>
      <c r="F1555" s="75">
        <v>10619</v>
      </c>
      <c r="G1555" s="76" t="str">
        <f>VLOOKUP(Tabelle2[[#This Row],[Kunden Nr.]],KUNDEN!A:B,2,0)</f>
        <v>BECOLOR</v>
      </c>
      <c r="H1555" s="75">
        <v>56117</v>
      </c>
      <c r="I1555" s="76" t="str">
        <f>VLOOKUP(Tabelle2[[#This Row],[Artikel]],Produkte!A:B,2,0)</f>
        <v>M ONE UBS</v>
      </c>
      <c r="J1555" s="75">
        <v>5</v>
      </c>
      <c r="K1555" s="76" t="str">
        <f>VLOOKUP(Tabelle2[[#This Row],[Kunden Nr.]],KUNDEN!A:G,7)</f>
        <v>Qerimi</v>
      </c>
      <c r="L1555" s="76">
        <f>VLOOKUP(Tabelle2[[#This Row],[Artikel]],Produkte!A:H,8)</f>
        <v>0.2</v>
      </c>
    </row>
    <row r="1556" spans="1:12" x14ac:dyDescent="0.2">
      <c r="A1556" s="75" t="s">
        <v>611</v>
      </c>
      <c r="B1556" s="79">
        <v>46095</v>
      </c>
      <c r="C1556" s="75"/>
      <c r="D1556" s="75"/>
      <c r="E1556" s="75"/>
      <c r="F1556" s="75">
        <v>10619</v>
      </c>
      <c r="G1556" s="76" t="str">
        <f>VLOOKUP(Tabelle2[[#This Row],[Kunden Nr.]],KUNDEN!A:B,2,0)</f>
        <v>BECOLOR</v>
      </c>
      <c r="H1556" s="75">
        <v>26736</v>
      </c>
      <c r="I1556" s="76" t="str">
        <f>VLOOKUP(Tabelle2[[#This Row],[Artikel]],Produkte!A:B,2,0)</f>
        <v>M ONE HAFTGRUND</v>
      </c>
      <c r="J1556" s="75">
        <v>1</v>
      </c>
      <c r="K1556" s="76" t="str">
        <f>VLOOKUP(Tabelle2[[#This Row],[Kunden Nr.]],KUNDEN!A:G,7)</f>
        <v>Qerimi</v>
      </c>
      <c r="L1556" s="76">
        <f>VLOOKUP(Tabelle2[[#This Row],[Artikel]],Produkte!A:H,8)</f>
        <v>0.15</v>
      </c>
    </row>
    <row r="1557" spans="1:12" x14ac:dyDescent="0.2">
      <c r="A1557" s="75" t="s">
        <v>611</v>
      </c>
      <c r="B1557" s="79">
        <v>46095</v>
      </c>
      <c r="C1557" s="75"/>
      <c r="D1557" s="75"/>
      <c r="E1557" s="75"/>
      <c r="F1557" s="75">
        <v>10619</v>
      </c>
      <c r="G1557" s="76" t="str">
        <f>VLOOKUP(Tabelle2[[#This Row],[Kunden Nr.]],KUNDEN!A:B,2,0)</f>
        <v>BECOLOR</v>
      </c>
      <c r="H1557" s="75">
        <v>31812</v>
      </c>
      <c r="I1557" s="76" t="str">
        <f>VLOOKUP(Tabelle2[[#This Row],[Artikel]],Produkte!A:B,2,0)</f>
        <v>M ONE LACK GELB</v>
      </c>
      <c r="J1557" s="75">
        <v>1</v>
      </c>
      <c r="K1557" s="76" t="str">
        <f>VLOOKUP(Tabelle2[[#This Row],[Kunden Nr.]],KUNDEN!A:G,7)</f>
        <v>Qerimi</v>
      </c>
      <c r="L1557" s="76">
        <f>VLOOKUP(Tabelle2[[#This Row],[Artikel]],Produkte!A:H,8)</f>
        <v>0.15</v>
      </c>
    </row>
    <row r="1558" spans="1:12" x14ac:dyDescent="0.2">
      <c r="A1558" s="75" t="s">
        <v>611</v>
      </c>
      <c r="B1558" s="79">
        <v>46095</v>
      </c>
      <c r="C1558" s="75"/>
      <c r="D1558" s="75"/>
      <c r="E1558" s="75"/>
      <c r="F1558" s="75">
        <v>10619</v>
      </c>
      <c r="G1558" s="76" t="str">
        <f>VLOOKUP(Tabelle2[[#This Row],[Kunden Nr.]],KUNDEN!A:B,2,0)</f>
        <v>BECOLOR</v>
      </c>
      <c r="H1558" s="75">
        <v>31818</v>
      </c>
      <c r="I1558" s="76" t="str">
        <f>VLOOKUP(Tabelle2[[#This Row],[Artikel]],Produkte!A:B,2,0)</f>
        <v>M ONE ANTHRAZIT</v>
      </c>
      <c r="J1558" s="75">
        <v>1</v>
      </c>
      <c r="K1558" s="76" t="str">
        <f>VLOOKUP(Tabelle2[[#This Row],[Kunden Nr.]],KUNDEN!A:G,7)</f>
        <v>Qerimi</v>
      </c>
      <c r="L1558" s="76">
        <f>VLOOKUP(Tabelle2[[#This Row],[Artikel]],Produkte!A:H,8)</f>
        <v>0.15</v>
      </c>
    </row>
    <row r="1559" spans="1:12" x14ac:dyDescent="0.2">
      <c r="A1559" s="75" t="s">
        <v>611</v>
      </c>
      <c r="B1559" s="79">
        <v>46095</v>
      </c>
      <c r="C1559" s="75"/>
      <c r="D1559" s="75"/>
      <c r="E1559" s="75"/>
      <c r="F1559" s="75">
        <v>10619</v>
      </c>
      <c r="G1559" s="76" t="str">
        <f>VLOOKUP(Tabelle2[[#This Row],[Kunden Nr.]],KUNDEN!A:B,2,0)</f>
        <v>BECOLOR</v>
      </c>
      <c r="H1559" s="75">
        <v>31827</v>
      </c>
      <c r="I1559" s="76" t="str">
        <f>VLOOKUP(Tabelle2[[#This Row],[Artikel]],Produkte!A:B,2,0)</f>
        <v>M ONE LACK GRUN</v>
      </c>
      <c r="J1559" s="75">
        <v>1</v>
      </c>
      <c r="K1559" s="76" t="str">
        <f>VLOOKUP(Tabelle2[[#This Row],[Kunden Nr.]],KUNDEN!A:G,7)</f>
        <v>Qerimi</v>
      </c>
      <c r="L1559" s="76">
        <f>VLOOKUP(Tabelle2[[#This Row],[Artikel]],Produkte!A:H,8)</f>
        <v>0.15</v>
      </c>
    </row>
    <row r="1560" spans="1:12" x14ac:dyDescent="0.2">
      <c r="A1560" s="75" t="s">
        <v>611</v>
      </c>
      <c r="B1560" s="79">
        <v>46095</v>
      </c>
      <c r="C1560" s="75"/>
      <c r="D1560" s="75"/>
      <c r="E1560" s="75"/>
      <c r="F1560" s="75">
        <v>10619</v>
      </c>
      <c r="G1560" s="76" t="str">
        <f>VLOOKUP(Tabelle2[[#This Row],[Kunden Nr.]],KUNDEN!A:B,2,0)</f>
        <v>BECOLOR</v>
      </c>
      <c r="H1560" s="75">
        <v>66701</v>
      </c>
      <c r="I1560" s="76" t="str">
        <f>VLOOKUP(Tabelle2[[#This Row],[Artikel]],Produkte!A:B,2,0)</f>
        <v>PROFIMONT EXTREME</v>
      </c>
      <c r="J1560" s="75">
        <v>3</v>
      </c>
      <c r="K1560" s="76" t="str">
        <f>VLOOKUP(Tabelle2[[#This Row],[Kunden Nr.]],KUNDEN!A:G,7)</f>
        <v>Qerimi</v>
      </c>
      <c r="L1560" s="76">
        <f>VLOOKUP(Tabelle2[[#This Row],[Artikel]],Produkte!A:H,8)</f>
        <v>0.2</v>
      </c>
    </row>
    <row r="1561" spans="1:12" x14ac:dyDescent="0.2">
      <c r="A1561" s="75" t="s">
        <v>1322</v>
      </c>
      <c r="B1561" s="79">
        <v>46095</v>
      </c>
      <c r="C1561" s="89">
        <v>231</v>
      </c>
      <c r="D1561" s="75"/>
      <c r="E1561" s="75"/>
      <c r="F1561" s="75">
        <v>20636</v>
      </c>
      <c r="G1561" s="76" t="e">
        <f>VLOOKUP(Tabelle2[[#This Row],[Kunden Nr.]],KUNDEN!A:B,2,0)</f>
        <v>#N/A</v>
      </c>
      <c r="H1561" s="75">
        <v>35110</v>
      </c>
      <c r="I1561" s="76" t="str">
        <f>VLOOKUP(Tabelle2[[#This Row],[Artikel]],Produkte!A:B,2,0)</f>
        <v>M-ONE Sanitar Silikon</v>
      </c>
      <c r="J1561" s="75">
        <v>12</v>
      </c>
      <c r="K1561" s="76" t="str">
        <f>VLOOKUP(Tabelle2[[#This Row],[Kunden Nr.]],KUNDEN!A:G,7)</f>
        <v>Mensuri</v>
      </c>
      <c r="L1561" s="76">
        <f>VLOOKUP(Tabelle2[[#This Row],[Artikel]],Produkte!A:H,8)</f>
        <v>0.17</v>
      </c>
    </row>
    <row r="1562" spans="1:12" x14ac:dyDescent="0.2">
      <c r="A1562" s="75" t="s">
        <v>1322</v>
      </c>
      <c r="B1562" s="79">
        <v>46095</v>
      </c>
      <c r="C1562" s="75"/>
      <c r="D1562" s="75"/>
      <c r="E1562" s="75"/>
      <c r="F1562" s="75">
        <v>20636</v>
      </c>
      <c r="G1562" s="76" t="e">
        <f>VLOOKUP(Tabelle2[[#This Row],[Kunden Nr.]],KUNDEN!A:B,2,0)</f>
        <v>#N/A</v>
      </c>
      <c r="H1562" s="75">
        <v>35111</v>
      </c>
      <c r="I1562" s="76" t="str">
        <f>VLOOKUP(Tabelle2[[#This Row],[Artikel]],Produkte!A:B,2,0)</f>
        <v>M-ONE Sanitar Silikon</v>
      </c>
      <c r="J1562" s="75">
        <v>12</v>
      </c>
      <c r="K1562" s="76" t="str">
        <f>VLOOKUP(Tabelle2[[#This Row],[Kunden Nr.]],KUNDEN!A:G,7)</f>
        <v>Mensuri</v>
      </c>
      <c r="L1562" s="76">
        <f>VLOOKUP(Tabelle2[[#This Row],[Artikel]],Produkte!A:H,8)</f>
        <v>0.17</v>
      </c>
    </row>
    <row r="1563" spans="1:12" x14ac:dyDescent="0.2">
      <c r="A1563" s="75" t="s">
        <v>1322</v>
      </c>
      <c r="B1563" s="79">
        <v>46095</v>
      </c>
      <c r="C1563" s="75"/>
      <c r="D1563" s="75"/>
      <c r="E1563" s="75"/>
      <c r="F1563" s="75">
        <v>20636</v>
      </c>
      <c r="G1563" s="76" t="e">
        <f>VLOOKUP(Tabelle2[[#This Row],[Kunden Nr.]],KUNDEN!A:B,2,0)</f>
        <v>#N/A</v>
      </c>
      <c r="H1563" s="75">
        <v>35113</v>
      </c>
      <c r="I1563" s="76" t="str">
        <f>VLOOKUP(Tabelle2[[#This Row],[Artikel]],Produkte!A:B,2,0)</f>
        <v>M-ONE Sanitar Silikon</v>
      </c>
      <c r="J1563" s="75">
        <v>12</v>
      </c>
      <c r="K1563" s="76" t="str">
        <f>VLOOKUP(Tabelle2[[#This Row],[Kunden Nr.]],KUNDEN!A:G,7)</f>
        <v>Mensuri</v>
      </c>
      <c r="L1563" s="76">
        <f>VLOOKUP(Tabelle2[[#This Row],[Artikel]],Produkte!A:H,8)</f>
        <v>0.17</v>
      </c>
    </row>
    <row r="1564" spans="1:12" x14ac:dyDescent="0.2">
      <c r="A1564" s="75" t="s">
        <v>1322</v>
      </c>
      <c r="B1564" s="79">
        <v>46095</v>
      </c>
      <c r="C1564" s="75"/>
      <c r="D1564" s="75"/>
      <c r="E1564" s="75"/>
      <c r="F1564" s="75">
        <v>20636</v>
      </c>
      <c r="G1564" s="76" t="e">
        <f>VLOOKUP(Tabelle2[[#This Row],[Kunden Nr.]],KUNDEN!A:B,2,0)</f>
        <v>#N/A</v>
      </c>
      <c r="H1564" s="75">
        <v>35115</v>
      </c>
      <c r="I1564" s="76" t="str">
        <f>VLOOKUP(Tabelle2[[#This Row],[Artikel]],Produkte!A:B,2,0)</f>
        <v>M-ONE Sanitar Silikon</v>
      </c>
      <c r="J1564" s="75">
        <v>12</v>
      </c>
      <c r="K1564" s="76" t="str">
        <f>VLOOKUP(Tabelle2[[#This Row],[Kunden Nr.]],KUNDEN!A:G,7)</f>
        <v>Mensuri</v>
      </c>
      <c r="L1564" s="76">
        <f>VLOOKUP(Tabelle2[[#This Row],[Artikel]],Produkte!A:H,8)</f>
        <v>0.17</v>
      </c>
    </row>
    <row r="1565" spans="1:12" x14ac:dyDescent="0.2">
      <c r="A1565" s="75" t="s">
        <v>1322</v>
      </c>
      <c r="B1565" s="79">
        <v>46095</v>
      </c>
      <c r="C1565" s="75"/>
      <c r="D1565" s="75"/>
      <c r="E1565" s="75"/>
      <c r="F1565" s="75">
        <v>20636</v>
      </c>
      <c r="G1565" s="76" t="e">
        <f>VLOOKUP(Tabelle2[[#This Row],[Kunden Nr.]],KUNDEN!A:B,2,0)</f>
        <v>#N/A</v>
      </c>
      <c r="H1565" s="75">
        <v>35121</v>
      </c>
      <c r="I1565" s="76" t="str">
        <f>VLOOKUP(Tabelle2[[#This Row],[Artikel]],Produkte!A:B,2,0)</f>
        <v>M-ONE Sanitar Silikon</v>
      </c>
      <c r="J1565" s="75">
        <v>12</v>
      </c>
      <c r="K1565" s="76" t="str">
        <f>VLOOKUP(Tabelle2[[#This Row],[Kunden Nr.]],KUNDEN!A:G,7)</f>
        <v>Mensuri</v>
      </c>
      <c r="L1565" s="76">
        <f>VLOOKUP(Tabelle2[[#This Row],[Artikel]],Produkte!A:H,8)</f>
        <v>0.17</v>
      </c>
    </row>
    <row r="1566" spans="1:12" x14ac:dyDescent="0.2">
      <c r="A1566" s="75" t="s">
        <v>1263</v>
      </c>
      <c r="B1566" s="79">
        <v>46095</v>
      </c>
      <c r="C1566" s="89">
        <v>120</v>
      </c>
      <c r="D1566" s="75"/>
      <c r="E1566" s="75"/>
      <c r="F1566" s="75">
        <v>20609</v>
      </c>
      <c r="G1566" s="76" t="str">
        <f>VLOOKUP(Tabelle2[[#This Row],[Kunden Nr.]],KUNDEN!A:B,2,0)</f>
        <v>BUJARI Q - BESII</v>
      </c>
      <c r="H1566" s="75">
        <v>35121</v>
      </c>
      <c r="I1566" s="76" t="str">
        <f>VLOOKUP(Tabelle2[[#This Row],[Artikel]],Produkte!A:B,2,0)</f>
        <v>M-ONE Sanitar Silikon</v>
      </c>
      <c r="J1566" s="75">
        <v>24</v>
      </c>
      <c r="K1566" s="76" t="str">
        <f>VLOOKUP(Tabelle2[[#This Row],[Kunden Nr.]],KUNDEN!A:G,7)</f>
        <v>Mensuri</v>
      </c>
      <c r="L1566" s="76">
        <f>VLOOKUP(Tabelle2[[#This Row],[Artikel]],Produkte!A:H,8)</f>
        <v>0.17</v>
      </c>
    </row>
    <row r="1567" spans="1:12" x14ac:dyDescent="0.2">
      <c r="A1567" s="75" t="s">
        <v>1263</v>
      </c>
      <c r="B1567" s="79">
        <v>46095</v>
      </c>
      <c r="C1567" s="75"/>
      <c r="D1567" s="75"/>
      <c r="E1567" s="75"/>
      <c r="F1567" s="75">
        <v>20609</v>
      </c>
      <c r="G1567" s="76" t="str">
        <f>VLOOKUP(Tabelle2[[#This Row],[Kunden Nr.]],KUNDEN!A:B,2,0)</f>
        <v>BUJARI Q - BESII</v>
      </c>
      <c r="H1567" s="75">
        <v>51612</v>
      </c>
      <c r="I1567" s="76" t="str">
        <f>VLOOKUP(Tabelle2[[#This Row],[Artikel]],Produkte!A:B,2,0)</f>
        <v>struktural akryl</v>
      </c>
      <c r="J1567" s="75">
        <v>12</v>
      </c>
      <c r="K1567" s="76" t="str">
        <f>VLOOKUP(Tabelle2[[#This Row],[Kunden Nr.]],KUNDEN!A:G,7)</f>
        <v>Mensuri</v>
      </c>
      <c r="L1567" s="76">
        <f>VLOOKUP(Tabelle2[[#This Row],[Artikel]],Produkte!A:H,8)</f>
        <v>0.06</v>
      </c>
    </row>
    <row r="1568" spans="1:12" x14ac:dyDescent="0.2">
      <c r="A1568" s="75" t="s">
        <v>968</v>
      </c>
      <c r="B1568" s="79">
        <v>46095</v>
      </c>
      <c r="C1568" s="89">
        <v>104.4</v>
      </c>
      <c r="D1568" s="75"/>
      <c r="E1568" s="75"/>
      <c r="F1568" s="75">
        <v>20624</v>
      </c>
      <c r="G1568" s="76" t="str">
        <f>VLOOKUP(Tabelle2[[#This Row],[Kunden Nr.]],KUNDEN!A:B,2,0)</f>
        <v>BULONI - SH</v>
      </c>
      <c r="H1568" s="75">
        <v>35121</v>
      </c>
      <c r="I1568" s="76" t="str">
        <f>VLOOKUP(Tabelle2[[#This Row],[Artikel]],Produkte!A:B,2,0)</f>
        <v>M-ONE Sanitar Silikon</v>
      </c>
      <c r="J1568" s="75">
        <v>12</v>
      </c>
      <c r="K1568" s="76" t="str">
        <f>VLOOKUP(Tabelle2[[#This Row],[Kunden Nr.]],KUNDEN!A:G,7)</f>
        <v>Mensuri</v>
      </c>
      <c r="L1568" s="76">
        <f>VLOOKUP(Tabelle2[[#This Row],[Artikel]],Produkte!A:H,8)</f>
        <v>0.17</v>
      </c>
    </row>
    <row r="1569" spans="1:12" x14ac:dyDescent="0.2">
      <c r="A1569" s="75" t="s">
        <v>968</v>
      </c>
      <c r="B1569" s="79">
        <v>46095</v>
      </c>
      <c r="C1569" s="75"/>
      <c r="D1569" s="75"/>
      <c r="E1569" s="75"/>
      <c r="F1569" s="75">
        <v>20624</v>
      </c>
      <c r="G1569" s="76" t="str">
        <f>VLOOKUP(Tabelle2[[#This Row],[Kunden Nr.]],KUNDEN!A:B,2,0)</f>
        <v>BULONI - SH</v>
      </c>
      <c r="H1569" s="75">
        <v>35110</v>
      </c>
      <c r="I1569" s="76" t="str">
        <f>VLOOKUP(Tabelle2[[#This Row],[Artikel]],Produkte!A:B,2,0)</f>
        <v>M-ONE Sanitar Silikon</v>
      </c>
      <c r="J1569" s="75">
        <v>12</v>
      </c>
      <c r="K1569" s="76" t="str">
        <f>VLOOKUP(Tabelle2[[#This Row],[Kunden Nr.]],KUNDEN!A:G,7)</f>
        <v>Mensuri</v>
      </c>
      <c r="L1569" s="76">
        <f>VLOOKUP(Tabelle2[[#This Row],[Artikel]],Produkte!A:H,8)</f>
        <v>0.17</v>
      </c>
    </row>
    <row r="1570" spans="1:12" x14ac:dyDescent="0.2">
      <c r="A1570" s="75" t="s">
        <v>968</v>
      </c>
      <c r="B1570" s="79">
        <v>46095</v>
      </c>
      <c r="C1570" s="75"/>
      <c r="D1570" s="75"/>
      <c r="E1570" s="75"/>
      <c r="F1570" s="75">
        <v>20624</v>
      </c>
      <c r="G1570" s="76" t="str">
        <f>VLOOKUP(Tabelle2[[#This Row],[Kunden Nr.]],KUNDEN!A:B,2,0)</f>
        <v>BULONI - SH</v>
      </c>
      <c r="H1570" s="75">
        <v>31822</v>
      </c>
      <c r="I1570" s="76" t="str">
        <f>VLOOKUP(Tabelle2[[#This Row],[Artikel]],Produkte!A:B,2,0)</f>
        <v>M ONE GOLD SPRAY</v>
      </c>
      <c r="J1570" s="75">
        <v>12</v>
      </c>
      <c r="K1570" s="76" t="str">
        <f>VLOOKUP(Tabelle2[[#This Row],[Kunden Nr.]],KUNDEN!A:G,7)</f>
        <v>Mensuri</v>
      </c>
      <c r="L1570" s="76">
        <f>VLOOKUP(Tabelle2[[#This Row],[Artikel]],Produkte!A:H,8)</f>
        <v>0.15</v>
      </c>
    </row>
    <row r="1571" spans="1:12" x14ac:dyDescent="0.2">
      <c r="A1571" s="75" t="s">
        <v>434</v>
      </c>
      <c r="B1571" s="79">
        <v>46095</v>
      </c>
      <c r="C1571" s="89">
        <v>92.4</v>
      </c>
      <c r="D1571" s="75"/>
      <c r="E1571" s="75"/>
      <c r="F1571" s="75">
        <v>20606</v>
      </c>
      <c r="G1571" s="76" t="str">
        <f>VLOOKUP(Tabelle2[[#This Row],[Kunden Nr.]],KUNDEN!A:B,2,0)</f>
        <v>TE-SYLA</v>
      </c>
      <c r="H1571" s="75">
        <v>35110</v>
      </c>
      <c r="I1571" s="76" t="str">
        <f>VLOOKUP(Tabelle2[[#This Row],[Artikel]],Produkte!A:B,2,0)</f>
        <v>M-ONE Sanitar Silikon</v>
      </c>
      <c r="J1571" s="75">
        <v>12</v>
      </c>
      <c r="K1571" s="76" t="str">
        <f>VLOOKUP(Tabelle2[[#This Row],[Kunden Nr.]],KUNDEN!A:G,7)</f>
        <v>Mensuri</v>
      </c>
      <c r="L1571" s="76">
        <f>VLOOKUP(Tabelle2[[#This Row],[Artikel]],Produkte!A:H,8)</f>
        <v>0.17</v>
      </c>
    </row>
    <row r="1572" spans="1:12" x14ac:dyDescent="0.2">
      <c r="A1572" s="75" t="s">
        <v>434</v>
      </c>
      <c r="B1572" s="79">
        <v>46095</v>
      </c>
      <c r="C1572" s="75"/>
      <c r="D1572" s="75"/>
      <c r="E1572" s="75"/>
      <c r="F1572" s="75">
        <v>20606</v>
      </c>
      <c r="G1572" s="76" t="str">
        <f>VLOOKUP(Tabelle2[[#This Row],[Kunden Nr.]],KUNDEN!A:B,2,0)</f>
        <v>TE-SYLA</v>
      </c>
      <c r="H1572" s="75">
        <v>35125</v>
      </c>
      <c r="I1572" s="76" t="str">
        <f>VLOOKUP(Tabelle2[[#This Row],[Artikel]],Produkte!A:B,2,0)</f>
        <v>M-ONE Sanitar Silikon</v>
      </c>
      <c r="J1572" s="75">
        <v>12</v>
      </c>
      <c r="K1572" s="76" t="str">
        <f>VLOOKUP(Tabelle2[[#This Row],[Kunden Nr.]],KUNDEN!A:G,7)</f>
        <v>Mensuri</v>
      </c>
      <c r="L1572" s="76">
        <f>VLOOKUP(Tabelle2[[#This Row],[Artikel]],Produkte!A:H,8)</f>
        <v>0.17</v>
      </c>
    </row>
    <row r="1573" spans="1:12" x14ac:dyDescent="0.2">
      <c r="A1573" s="75" t="s">
        <v>1186</v>
      </c>
      <c r="B1573" s="79">
        <v>46095</v>
      </c>
      <c r="C1573" s="89">
        <v>184.8</v>
      </c>
      <c r="D1573" s="75"/>
      <c r="E1573" s="75"/>
      <c r="F1573" s="75">
        <v>20629</v>
      </c>
      <c r="G1573" s="76" t="str">
        <f>VLOOKUP(Tabelle2[[#This Row],[Kunden Nr.]],KUNDEN!A:B,2,0)</f>
        <v>LUTA QERAMIKA</v>
      </c>
      <c r="H1573" s="75">
        <v>35115</v>
      </c>
      <c r="I1573" s="76" t="str">
        <f>VLOOKUP(Tabelle2[[#This Row],[Artikel]],Produkte!A:B,2,0)</f>
        <v>M-ONE Sanitar Silikon</v>
      </c>
      <c r="J1573" s="75">
        <v>24</v>
      </c>
      <c r="K1573" s="76" t="str">
        <f>VLOOKUP(Tabelle2[[#This Row],[Kunden Nr.]],KUNDEN!A:G,7)</f>
        <v>Mensuri</v>
      </c>
      <c r="L1573" s="76">
        <f>VLOOKUP(Tabelle2[[#This Row],[Artikel]],Produkte!A:H,8)</f>
        <v>0.17</v>
      </c>
    </row>
    <row r="1574" spans="1:12" x14ac:dyDescent="0.2">
      <c r="A1574" s="75" t="s">
        <v>1186</v>
      </c>
      <c r="B1574" s="79">
        <v>46095</v>
      </c>
      <c r="C1574" s="75"/>
      <c r="D1574" s="75"/>
      <c r="E1574" s="75"/>
      <c r="F1574" s="75">
        <v>20629</v>
      </c>
      <c r="G1574" s="76" t="str">
        <f>VLOOKUP(Tabelle2[[#This Row],[Kunden Nr.]],KUNDEN!A:B,2,0)</f>
        <v>LUTA QERAMIKA</v>
      </c>
      <c r="H1574" s="75">
        <v>35121</v>
      </c>
      <c r="I1574" s="76" t="str">
        <f>VLOOKUP(Tabelle2[[#This Row],[Artikel]],Produkte!A:B,2,0)</f>
        <v>M-ONE Sanitar Silikon</v>
      </c>
      <c r="J1574" s="75">
        <v>24</v>
      </c>
      <c r="K1574" s="76" t="str">
        <f>VLOOKUP(Tabelle2[[#This Row],[Kunden Nr.]],KUNDEN!A:G,7)</f>
        <v>Mensuri</v>
      </c>
      <c r="L1574" s="76">
        <f>VLOOKUP(Tabelle2[[#This Row],[Artikel]],Produkte!A:H,8)</f>
        <v>0.17</v>
      </c>
    </row>
    <row r="1575" spans="1:12" x14ac:dyDescent="0.2">
      <c r="A1575" s="75" t="s">
        <v>438</v>
      </c>
      <c r="B1575" s="79">
        <v>46095</v>
      </c>
      <c r="C1575" s="89">
        <v>138.6</v>
      </c>
      <c r="D1575" s="75"/>
      <c r="E1575" s="75"/>
      <c r="F1575" s="75">
        <v>20610</v>
      </c>
      <c r="G1575" s="76" t="str">
        <f>VLOOKUP(Tabelle2[[#This Row],[Kunden Nr.]],KUNDEN!A:B,2,0)</f>
        <v>AGRO-XHETI</v>
      </c>
      <c r="H1575" s="75">
        <v>35110</v>
      </c>
      <c r="I1575" s="76" t="str">
        <f>VLOOKUP(Tabelle2[[#This Row],[Artikel]],Produkte!A:B,2,0)</f>
        <v>M-ONE Sanitar Silikon</v>
      </c>
      <c r="J1575" s="75">
        <v>12</v>
      </c>
      <c r="K1575" s="76" t="str">
        <f>VLOOKUP(Tabelle2[[#This Row],[Kunden Nr.]],KUNDEN!A:G,7)</f>
        <v>Mensuri</v>
      </c>
      <c r="L1575" s="76">
        <f>VLOOKUP(Tabelle2[[#This Row],[Artikel]],Produkte!A:H,8)</f>
        <v>0.17</v>
      </c>
    </row>
    <row r="1576" spans="1:12" x14ac:dyDescent="0.2">
      <c r="A1576" s="75" t="s">
        <v>438</v>
      </c>
      <c r="B1576" s="79">
        <v>46095</v>
      </c>
      <c r="C1576" s="75"/>
      <c r="D1576" s="75"/>
      <c r="E1576" s="75"/>
      <c r="F1576" s="75">
        <v>20610</v>
      </c>
      <c r="G1576" s="76" t="str">
        <f>VLOOKUP(Tabelle2[[#This Row],[Kunden Nr.]],KUNDEN!A:B,2,0)</f>
        <v>AGRO-XHETI</v>
      </c>
      <c r="H1576" s="75">
        <v>35111</v>
      </c>
      <c r="I1576" s="76" t="str">
        <f>VLOOKUP(Tabelle2[[#This Row],[Artikel]],Produkte!A:B,2,0)</f>
        <v>M-ONE Sanitar Silikon</v>
      </c>
      <c r="J1576" s="75">
        <v>12</v>
      </c>
      <c r="K1576" s="76" t="str">
        <f>VLOOKUP(Tabelle2[[#This Row],[Kunden Nr.]],KUNDEN!A:G,7)</f>
        <v>Mensuri</v>
      </c>
      <c r="L1576" s="76">
        <f>VLOOKUP(Tabelle2[[#This Row],[Artikel]],Produkte!A:H,8)</f>
        <v>0.17</v>
      </c>
    </row>
    <row r="1577" spans="1:12" x14ac:dyDescent="0.2">
      <c r="A1577" s="75" t="s">
        <v>438</v>
      </c>
      <c r="B1577" s="79">
        <v>46095</v>
      </c>
      <c r="C1577" s="75"/>
      <c r="D1577" s="75"/>
      <c r="E1577" s="75"/>
      <c r="F1577" s="75">
        <v>20610</v>
      </c>
      <c r="G1577" s="76" t="str">
        <f>VLOOKUP(Tabelle2[[#This Row],[Kunden Nr.]],KUNDEN!A:B,2,0)</f>
        <v>AGRO-XHETI</v>
      </c>
      <c r="H1577" s="75">
        <v>35115</v>
      </c>
      <c r="I1577" s="76" t="str">
        <f>VLOOKUP(Tabelle2[[#This Row],[Artikel]],Produkte!A:B,2,0)</f>
        <v>M-ONE Sanitar Silikon</v>
      </c>
      <c r="J1577" s="75">
        <v>12</v>
      </c>
      <c r="K1577" s="76" t="str">
        <f>VLOOKUP(Tabelle2[[#This Row],[Kunden Nr.]],KUNDEN!A:G,7)</f>
        <v>Mensuri</v>
      </c>
      <c r="L1577" s="76">
        <f>VLOOKUP(Tabelle2[[#This Row],[Artikel]],Produkte!A:H,8)</f>
        <v>0.17</v>
      </c>
    </row>
    <row r="1578" spans="1:12" x14ac:dyDescent="0.2">
      <c r="A1578" s="75" t="s">
        <v>676</v>
      </c>
      <c r="B1578" s="79">
        <v>46095</v>
      </c>
      <c r="C1578" s="89">
        <v>103.8</v>
      </c>
      <c r="D1578" s="75"/>
      <c r="E1578" s="75"/>
      <c r="F1578" s="75">
        <v>20607</v>
      </c>
      <c r="G1578" s="76" t="str">
        <f>VLOOKUP(Tabelle2[[#This Row],[Kunden Nr.]],KUNDEN!A:B,2,0)</f>
        <v xml:space="preserve">F.V. SH.P.K. </v>
      </c>
      <c r="H1578" s="75">
        <v>35115</v>
      </c>
      <c r="I1578" s="76" t="str">
        <f>VLOOKUP(Tabelle2[[#This Row],[Artikel]],Produkte!A:B,2,0)</f>
        <v>M-ONE Sanitar Silikon</v>
      </c>
      <c r="J1578" s="75">
        <v>12</v>
      </c>
      <c r="K1578" s="76" t="str">
        <f>VLOOKUP(Tabelle2[[#This Row],[Kunden Nr.]],KUNDEN!A:G,7)</f>
        <v>Mensuri</v>
      </c>
      <c r="L1578" s="76">
        <f>VLOOKUP(Tabelle2[[#This Row],[Artikel]],Produkte!A:H,8)</f>
        <v>0.17</v>
      </c>
    </row>
    <row r="1579" spans="1:12" x14ac:dyDescent="0.2">
      <c r="A1579" s="75" t="s">
        <v>676</v>
      </c>
      <c r="B1579" s="79">
        <v>46095</v>
      </c>
      <c r="C1579" s="75"/>
      <c r="D1579" s="75"/>
      <c r="E1579" s="75"/>
      <c r="F1579" s="75">
        <v>20607</v>
      </c>
      <c r="G1579" s="76" t="str">
        <f>VLOOKUP(Tabelle2[[#This Row],[Kunden Nr.]],KUNDEN!A:B,2,0)</f>
        <v xml:space="preserve">F.V. SH.P.K. </v>
      </c>
      <c r="H1579" s="75">
        <v>50912</v>
      </c>
      <c r="I1579" s="76" t="str">
        <f>VLOOKUP(Tabelle2[[#This Row],[Artikel]],Produkte!A:B,2,0)</f>
        <v>DICHTUNG</v>
      </c>
      <c r="J1579" s="75">
        <v>8</v>
      </c>
      <c r="K1579" s="76" t="str">
        <f>VLOOKUP(Tabelle2[[#This Row],[Kunden Nr.]],KUNDEN!A:G,7)</f>
        <v>Mensuri</v>
      </c>
      <c r="L1579" s="76">
        <f>VLOOKUP(Tabelle2[[#This Row],[Artikel]],Produkte!A:H,8)</f>
        <v>0.2</v>
      </c>
    </row>
    <row r="1580" spans="1:12" x14ac:dyDescent="0.2">
      <c r="A1580" s="75" t="s">
        <v>1263</v>
      </c>
      <c r="B1580" s="79">
        <v>46095</v>
      </c>
      <c r="C1580" s="89">
        <v>138.6</v>
      </c>
      <c r="D1580" s="75"/>
      <c r="E1580" s="75"/>
      <c r="F1580" s="75">
        <v>20609</v>
      </c>
      <c r="G1580" s="76" t="str">
        <f>VLOOKUP(Tabelle2[[#This Row],[Kunden Nr.]],KUNDEN!A:B,2,0)</f>
        <v>BUJARI Q - BESII</v>
      </c>
      <c r="H1580" s="75">
        <v>35121</v>
      </c>
      <c r="I1580" s="76" t="str">
        <f>VLOOKUP(Tabelle2[[#This Row],[Artikel]],Produkte!A:B,2,0)</f>
        <v>M-ONE Sanitar Silikon</v>
      </c>
      <c r="J1580" s="75">
        <v>24</v>
      </c>
      <c r="K1580" s="76" t="str">
        <f>VLOOKUP(Tabelle2[[#This Row],[Kunden Nr.]],KUNDEN!A:G,7)</f>
        <v>Mensuri</v>
      </c>
      <c r="L1580" s="76">
        <f>VLOOKUP(Tabelle2[[#This Row],[Artikel]],Produkte!A:H,8)</f>
        <v>0.17</v>
      </c>
    </row>
    <row r="1581" spans="1:12" x14ac:dyDescent="0.2">
      <c r="A1581" s="75" t="s">
        <v>1263</v>
      </c>
      <c r="B1581" s="79">
        <v>46095</v>
      </c>
      <c r="C1581" s="75"/>
      <c r="D1581" s="75"/>
      <c r="E1581" s="75"/>
      <c r="F1581" s="75">
        <v>20609</v>
      </c>
      <c r="G1581" s="76" t="str">
        <f>VLOOKUP(Tabelle2[[#This Row],[Kunden Nr.]],KUNDEN!A:B,2,0)</f>
        <v>BUJARI Q - BESII</v>
      </c>
      <c r="H1581" s="75">
        <v>35113</v>
      </c>
      <c r="I1581" s="76" t="str">
        <f>VLOOKUP(Tabelle2[[#This Row],[Artikel]],Produkte!A:B,2,0)</f>
        <v>M-ONE Sanitar Silikon</v>
      </c>
      <c r="J1581" s="75">
        <v>12</v>
      </c>
      <c r="K1581" s="76" t="str">
        <f>VLOOKUP(Tabelle2[[#This Row],[Kunden Nr.]],KUNDEN!A:G,7)</f>
        <v>Mensuri</v>
      </c>
      <c r="L1581" s="76">
        <f>VLOOKUP(Tabelle2[[#This Row],[Artikel]],Produkte!A:H,8)</f>
        <v>0.17</v>
      </c>
    </row>
    <row r="1582" spans="1:12" x14ac:dyDescent="0.2">
      <c r="A1582" s="75" t="s">
        <v>440</v>
      </c>
      <c r="B1582" s="79">
        <v>46095</v>
      </c>
      <c r="C1582" s="89">
        <v>178.8</v>
      </c>
      <c r="D1582" s="75"/>
      <c r="E1582" s="75"/>
      <c r="F1582" s="75">
        <v>20611</v>
      </c>
      <c r="G1582" s="76" t="str">
        <f>VLOOKUP(Tabelle2[[#This Row],[Kunden Nr.]],KUNDEN!A:B,2,0)</f>
        <v>TE-LUTA</v>
      </c>
      <c r="H1582" s="75">
        <v>35113</v>
      </c>
      <c r="I1582" s="76" t="str">
        <f>VLOOKUP(Tabelle2[[#This Row],[Artikel]],Produkte!A:B,2,0)</f>
        <v>M-ONE Sanitar Silikon</v>
      </c>
      <c r="J1582" s="75">
        <v>12</v>
      </c>
      <c r="K1582" s="76" t="str">
        <f>VLOOKUP(Tabelle2[[#This Row],[Kunden Nr.]],KUNDEN!A:G,7)</f>
        <v>Mensuri</v>
      </c>
      <c r="L1582" s="76">
        <f>VLOOKUP(Tabelle2[[#This Row],[Artikel]],Produkte!A:H,8)</f>
        <v>0.17</v>
      </c>
    </row>
    <row r="1583" spans="1:12" x14ac:dyDescent="0.2">
      <c r="A1583" s="75" t="s">
        <v>440</v>
      </c>
      <c r="B1583" s="79">
        <v>46095</v>
      </c>
      <c r="C1583" s="75"/>
      <c r="D1583" s="75"/>
      <c r="E1583" s="75"/>
      <c r="F1583" s="75">
        <v>20611</v>
      </c>
      <c r="G1583" s="76" t="str">
        <f>VLOOKUP(Tabelle2[[#This Row],[Kunden Nr.]],KUNDEN!A:B,2,0)</f>
        <v>TE-LUTA</v>
      </c>
      <c r="H1583" s="75">
        <v>35115</v>
      </c>
      <c r="I1583" s="76" t="str">
        <f>VLOOKUP(Tabelle2[[#This Row],[Artikel]],Produkte!A:B,2,0)</f>
        <v>M-ONE Sanitar Silikon</v>
      </c>
      <c r="J1583" s="75">
        <v>12</v>
      </c>
      <c r="K1583" s="76" t="str">
        <f>VLOOKUP(Tabelle2[[#This Row],[Kunden Nr.]],KUNDEN!A:G,7)</f>
        <v>Mensuri</v>
      </c>
      <c r="L1583" s="76">
        <f>VLOOKUP(Tabelle2[[#This Row],[Artikel]],Produkte!A:H,8)</f>
        <v>0.17</v>
      </c>
    </row>
    <row r="1584" spans="1:12" x14ac:dyDescent="0.2">
      <c r="A1584" s="75" t="s">
        <v>440</v>
      </c>
      <c r="B1584" s="79">
        <v>46095</v>
      </c>
      <c r="C1584" s="75"/>
      <c r="D1584" s="75"/>
      <c r="E1584" s="75"/>
      <c r="F1584" s="75">
        <v>20611</v>
      </c>
      <c r="G1584" s="76" t="str">
        <f>VLOOKUP(Tabelle2[[#This Row],[Kunden Nr.]],KUNDEN!A:B,2,0)</f>
        <v>TE-LUTA</v>
      </c>
      <c r="H1584" s="75">
        <v>50912</v>
      </c>
      <c r="I1584" s="76" t="str">
        <f>VLOOKUP(Tabelle2[[#This Row],[Artikel]],Produkte!A:B,2,0)</f>
        <v>DICHTUNG</v>
      </c>
      <c r="J1584" s="75">
        <v>12</v>
      </c>
      <c r="K1584" s="76" t="str">
        <f>VLOOKUP(Tabelle2[[#This Row],[Kunden Nr.]],KUNDEN!A:G,7)</f>
        <v>Mensuri</v>
      </c>
      <c r="L1584" s="76">
        <f>VLOOKUP(Tabelle2[[#This Row],[Artikel]],Produkte!A:H,8)</f>
        <v>0.2</v>
      </c>
    </row>
    <row r="1585" spans="1:12" x14ac:dyDescent="0.2">
      <c r="A1585" s="75" t="s">
        <v>1177</v>
      </c>
      <c r="B1585" s="79">
        <v>46097</v>
      </c>
      <c r="C1585" s="89">
        <v>96</v>
      </c>
      <c r="D1585" s="75"/>
      <c r="E1585" s="75"/>
      <c r="F1585" s="75">
        <v>40017</v>
      </c>
      <c r="G1585" s="76" t="str">
        <f>VLOOKUP(Tabelle2[[#This Row],[Kunden Nr.]],KUNDEN!A:B,2,0)</f>
        <v>YLLI CONSTRUCION</v>
      </c>
      <c r="H1585" s="75">
        <v>35108</v>
      </c>
      <c r="I1585" s="76" t="str">
        <f>VLOOKUP(Tabelle2[[#This Row],[Artikel]],Produkte!A:B,2,0)</f>
        <v>M-ONE Sanitar Silikon</v>
      </c>
      <c r="J1585" s="75">
        <v>22</v>
      </c>
      <c r="K1585" s="76">
        <f>VLOOKUP(Tabelle2[[#This Row],[Kunden Nr.]],KUNDEN!A:G,7)</f>
        <v>0</v>
      </c>
      <c r="L1585" s="76">
        <f>VLOOKUP(Tabelle2[[#This Row],[Artikel]],Produkte!A:H,8)</f>
        <v>0.17</v>
      </c>
    </row>
    <row r="1586" spans="1:12" x14ac:dyDescent="0.2">
      <c r="A1586" s="75" t="s">
        <v>1177</v>
      </c>
      <c r="B1586" s="79">
        <v>46097</v>
      </c>
      <c r="C1586" s="75"/>
      <c r="D1586" s="75"/>
      <c r="E1586" s="75"/>
      <c r="F1586" s="75">
        <v>40017</v>
      </c>
      <c r="G1586" s="76" t="str">
        <f>VLOOKUP(Tabelle2[[#This Row],[Kunden Nr.]],KUNDEN!A:B,2,0)</f>
        <v>YLLI CONSTRUCION</v>
      </c>
      <c r="H1586" s="75">
        <v>35115</v>
      </c>
      <c r="I1586" s="76" t="str">
        <f>VLOOKUP(Tabelle2[[#This Row],[Artikel]],Produkte!A:B,2,0)</f>
        <v>M-ONE Sanitar Silikon</v>
      </c>
      <c r="J1586" s="75">
        <v>2</v>
      </c>
      <c r="K1586" s="76">
        <f>VLOOKUP(Tabelle2[[#This Row],[Kunden Nr.]],KUNDEN!A:G,7)</f>
        <v>0</v>
      </c>
      <c r="L1586" s="76">
        <f>VLOOKUP(Tabelle2[[#This Row],[Artikel]],Produkte!A:H,8)</f>
        <v>0.17</v>
      </c>
    </row>
    <row r="1587" spans="1:12" x14ac:dyDescent="0.2">
      <c r="A1587" s="75" t="s">
        <v>1188</v>
      </c>
      <c r="B1587" s="79">
        <v>46097</v>
      </c>
      <c r="C1587" s="89">
        <v>46.2</v>
      </c>
      <c r="D1587" s="75"/>
      <c r="E1587" s="75"/>
      <c r="F1587" s="75">
        <v>10133</v>
      </c>
      <c r="G1587" s="76" t="str">
        <f>VLOOKUP(Tabelle2[[#This Row],[Kunden Nr.]],KUNDEN!A:B,2,0)</f>
        <v>HIDROELDI</v>
      </c>
      <c r="H1587" s="75">
        <v>35115</v>
      </c>
      <c r="I1587" s="76" t="str">
        <f>VLOOKUP(Tabelle2[[#This Row],[Artikel]],Produkte!A:B,2,0)</f>
        <v>M-ONE Sanitar Silikon</v>
      </c>
      <c r="J1587" s="75">
        <v>12</v>
      </c>
      <c r="K1587" s="76" t="str">
        <f>VLOOKUP(Tabelle2[[#This Row],[Kunden Nr.]],KUNDEN!A:G,7)</f>
        <v>Qerimi</v>
      </c>
      <c r="L1587" s="76">
        <f>VLOOKUP(Tabelle2[[#This Row],[Artikel]],Produkte!A:H,8)</f>
        <v>0.17</v>
      </c>
    </row>
    <row r="1588" spans="1:12" x14ac:dyDescent="0.2">
      <c r="A1588" s="75" t="s">
        <v>573</v>
      </c>
      <c r="B1588" s="79">
        <v>46097</v>
      </c>
      <c r="C1588" s="89">
        <v>119.9</v>
      </c>
      <c r="D1588" s="75"/>
      <c r="E1588" s="75"/>
      <c r="F1588" s="75">
        <v>10111</v>
      </c>
      <c r="G1588" s="76" t="str">
        <f>VLOOKUP(Tabelle2[[#This Row],[Kunden Nr.]],KUNDEN!A:B,2,0)</f>
        <v>KADIJOLLET</v>
      </c>
      <c r="H1588" s="75">
        <v>35110</v>
      </c>
      <c r="I1588" s="76" t="str">
        <f>VLOOKUP(Tabelle2[[#This Row],[Artikel]],Produkte!A:B,2,0)</f>
        <v>M-ONE Sanitar Silikon</v>
      </c>
      <c r="J1588" s="75">
        <v>12</v>
      </c>
      <c r="K1588" s="76" t="str">
        <f>VLOOKUP(Tabelle2[[#This Row],[Kunden Nr.]],KUNDEN!A:G,7)</f>
        <v>Qerimi</v>
      </c>
      <c r="L1588" s="76">
        <f>VLOOKUP(Tabelle2[[#This Row],[Artikel]],Produkte!A:H,8)</f>
        <v>0.17</v>
      </c>
    </row>
    <row r="1589" spans="1:12" x14ac:dyDescent="0.2">
      <c r="A1589" s="75" t="s">
        <v>573</v>
      </c>
      <c r="B1589" s="79">
        <v>46097</v>
      </c>
      <c r="C1589" s="75"/>
      <c r="D1589" s="75"/>
      <c r="E1589" s="75"/>
      <c r="F1589" s="75">
        <v>10111</v>
      </c>
      <c r="G1589" s="76" t="str">
        <f>VLOOKUP(Tabelle2[[#This Row],[Kunden Nr.]],KUNDEN!A:B,2,0)</f>
        <v>KADIJOLLET</v>
      </c>
      <c r="H1589" s="75">
        <v>35113</v>
      </c>
      <c r="I1589" s="76" t="str">
        <f>VLOOKUP(Tabelle2[[#This Row],[Artikel]],Produkte!A:B,2,0)</f>
        <v>M-ONE Sanitar Silikon</v>
      </c>
      <c r="J1589" s="75">
        <v>12</v>
      </c>
      <c r="K1589" s="76" t="str">
        <f>VLOOKUP(Tabelle2[[#This Row],[Kunden Nr.]],KUNDEN!A:G,7)</f>
        <v>Qerimi</v>
      </c>
      <c r="L1589" s="76">
        <f>VLOOKUP(Tabelle2[[#This Row],[Artikel]],Produkte!A:H,8)</f>
        <v>0.17</v>
      </c>
    </row>
    <row r="1590" spans="1:12" x14ac:dyDescent="0.2">
      <c r="A1590" s="75" t="s">
        <v>573</v>
      </c>
      <c r="B1590" s="79">
        <v>46097</v>
      </c>
      <c r="C1590" s="75"/>
      <c r="D1590" s="75"/>
      <c r="E1590" s="75"/>
      <c r="F1590" s="75">
        <v>10111</v>
      </c>
      <c r="G1590" s="76" t="str">
        <f>VLOOKUP(Tabelle2[[#This Row],[Kunden Nr.]],KUNDEN!A:B,2,0)</f>
        <v>KADIJOLLET</v>
      </c>
      <c r="H1590" s="75">
        <v>26736</v>
      </c>
      <c r="I1590" s="76" t="str">
        <f>VLOOKUP(Tabelle2[[#This Row],[Artikel]],Produkte!A:B,2,0)</f>
        <v>M ONE HAFTGRUND</v>
      </c>
      <c r="J1590" s="75">
        <v>5</v>
      </c>
      <c r="K1590" s="76" t="str">
        <f>VLOOKUP(Tabelle2[[#This Row],[Kunden Nr.]],KUNDEN!A:G,7)</f>
        <v>Qerimi</v>
      </c>
      <c r="L1590" s="76">
        <f>VLOOKUP(Tabelle2[[#This Row],[Artikel]],Produkte!A:H,8)</f>
        <v>0.15</v>
      </c>
    </row>
    <row r="1591" spans="1:12" x14ac:dyDescent="0.2">
      <c r="A1591" s="75" t="s">
        <v>573</v>
      </c>
      <c r="B1591" s="79">
        <v>46097</v>
      </c>
      <c r="C1591" s="75"/>
      <c r="D1591" s="75"/>
      <c r="E1591" s="75"/>
      <c r="F1591" s="75">
        <v>10111</v>
      </c>
      <c r="G1591" s="76" t="str">
        <f>VLOOKUP(Tabelle2[[#This Row],[Kunden Nr.]],KUNDEN!A:B,2,0)</f>
        <v>KADIJOLLET</v>
      </c>
      <c r="H1591" s="75">
        <v>49644</v>
      </c>
      <c r="I1591" s="76" t="str">
        <f>VLOOKUP(Tabelle2[[#This Row],[Artikel]],Produkte!A:B,2,0)</f>
        <v>beMAKER Rostlöser</v>
      </c>
      <c r="J1591" s="75">
        <v>5</v>
      </c>
      <c r="K1591" s="76" t="str">
        <f>VLOOKUP(Tabelle2[[#This Row],[Kunden Nr.]],KUNDEN!A:G,7)</f>
        <v>Qerimi</v>
      </c>
      <c r="L1591" s="76">
        <f>VLOOKUP(Tabelle2[[#This Row],[Artikel]],Produkte!A:H,8)</f>
        <v>0.2</v>
      </c>
    </row>
    <row r="1592" spans="1:12" x14ac:dyDescent="0.2">
      <c r="A1592" s="75" t="s">
        <v>573</v>
      </c>
      <c r="B1592" s="79">
        <v>46097</v>
      </c>
      <c r="C1592" s="75"/>
      <c r="D1592" s="75"/>
      <c r="E1592" s="75"/>
      <c r="F1592" s="75">
        <v>10111</v>
      </c>
      <c r="G1592" s="76" t="str">
        <f>VLOOKUP(Tabelle2[[#This Row],[Kunden Nr.]],KUNDEN!A:B,2,0)</f>
        <v>KADIJOLLET</v>
      </c>
      <c r="H1592" s="75">
        <v>54412</v>
      </c>
      <c r="I1592" s="76" t="str">
        <f>VLOOKUP(Tabelle2[[#This Row],[Artikel]],Produkte!A:B,2,0)</f>
        <v>beMAKER Bremsen&amp;Teile Reininger</v>
      </c>
      <c r="J1592" s="75">
        <v>5</v>
      </c>
      <c r="K1592" s="76" t="str">
        <f>VLOOKUP(Tabelle2[[#This Row],[Kunden Nr.]],KUNDEN!A:G,7)</f>
        <v>Qerimi</v>
      </c>
      <c r="L1592" s="76">
        <f>VLOOKUP(Tabelle2[[#This Row],[Artikel]],Produkte!A:H,8)</f>
        <v>0.2</v>
      </c>
    </row>
    <row r="1593" spans="1:12" x14ac:dyDescent="0.2">
      <c r="A1593" s="75" t="s">
        <v>566</v>
      </c>
      <c r="B1593" s="79">
        <v>46097</v>
      </c>
      <c r="C1593" s="89">
        <v>92.4</v>
      </c>
      <c r="D1593" s="75"/>
      <c r="E1593" s="75"/>
      <c r="F1593" s="75">
        <v>10104</v>
      </c>
      <c r="G1593" s="76" t="str">
        <f>VLOOKUP(Tabelle2[[#This Row],[Kunden Nr.]],KUNDEN!A:B,2,0)</f>
        <v>JETARI</v>
      </c>
      <c r="H1593" s="75">
        <v>35110</v>
      </c>
      <c r="I1593" s="76" t="str">
        <f>VLOOKUP(Tabelle2[[#This Row],[Artikel]],Produkte!A:B,2,0)</f>
        <v>M-ONE Sanitar Silikon</v>
      </c>
      <c r="J1593" s="75">
        <v>12</v>
      </c>
      <c r="K1593" s="76" t="str">
        <f>VLOOKUP(Tabelle2[[#This Row],[Kunden Nr.]],KUNDEN!A:G,7)</f>
        <v>Qerimi</v>
      </c>
      <c r="L1593" s="76">
        <f>VLOOKUP(Tabelle2[[#This Row],[Artikel]],Produkte!A:H,8)</f>
        <v>0.17</v>
      </c>
    </row>
    <row r="1594" spans="1:12" x14ac:dyDescent="0.2">
      <c r="A1594" s="75" t="s">
        <v>566</v>
      </c>
      <c r="B1594" s="79">
        <v>46097</v>
      </c>
      <c r="C1594" s="75"/>
      <c r="D1594" s="75"/>
      <c r="E1594" s="75"/>
      <c r="F1594" s="75">
        <v>10104</v>
      </c>
      <c r="G1594" s="76" t="str">
        <f>VLOOKUP(Tabelle2[[#This Row],[Kunden Nr.]],KUNDEN!A:B,2,0)</f>
        <v>JETARI</v>
      </c>
      <c r="H1594" s="75">
        <v>35108</v>
      </c>
      <c r="I1594" s="76" t="str">
        <f>VLOOKUP(Tabelle2[[#This Row],[Artikel]],Produkte!A:B,2,0)</f>
        <v>M-ONE Sanitar Silikon</v>
      </c>
      <c r="J1594" s="75">
        <v>12</v>
      </c>
      <c r="K1594" s="76" t="str">
        <f>VLOOKUP(Tabelle2[[#This Row],[Kunden Nr.]],KUNDEN!A:G,7)</f>
        <v>Qerimi</v>
      </c>
      <c r="L1594" s="76">
        <f>VLOOKUP(Tabelle2[[#This Row],[Artikel]],Produkte!A:H,8)</f>
        <v>0.17</v>
      </c>
    </row>
    <row r="1595" spans="1:12" x14ac:dyDescent="0.2">
      <c r="A1595" s="75" t="s">
        <v>567</v>
      </c>
      <c r="B1595" s="79">
        <v>46097</v>
      </c>
      <c r="C1595" s="89">
        <v>46.2</v>
      </c>
      <c r="D1595" s="75"/>
      <c r="E1595" s="75"/>
      <c r="F1595" s="75">
        <v>10105</v>
      </c>
      <c r="G1595" s="76" t="str">
        <f>VLOOKUP(Tabelle2[[#This Row],[Kunden Nr.]],KUNDEN!A:B,2,0)</f>
        <v>ARSIM</v>
      </c>
      <c r="H1595" s="75">
        <v>35125</v>
      </c>
      <c r="I1595" s="76" t="str">
        <f>VLOOKUP(Tabelle2[[#This Row],[Artikel]],Produkte!A:B,2,0)</f>
        <v>M-ONE Sanitar Silikon</v>
      </c>
      <c r="J1595" s="75">
        <v>12</v>
      </c>
      <c r="K1595" s="76" t="str">
        <f>VLOOKUP(Tabelle2[[#This Row],[Kunden Nr.]],KUNDEN!A:G,7)</f>
        <v>Qerimi</v>
      </c>
      <c r="L1595" s="76">
        <f>VLOOKUP(Tabelle2[[#This Row],[Artikel]],Produkte!A:H,8)</f>
        <v>0.17</v>
      </c>
    </row>
    <row r="1596" spans="1:12" x14ac:dyDescent="0.2">
      <c r="A1596" s="75" t="s">
        <v>576</v>
      </c>
      <c r="B1596" s="79">
        <v>46097</v>
      </c>
      <c r="C1596" s="89">
        <v>92.4</v>
      </c>
      <c r="D1596" s="75"/>
      <c r="E1596" s="75"/>
      <c r="F1596" s="75">
        <v>10114</v>
      </c>
      <c r="G1596" s="76" t="str">
        <f>VLOOKUP(Tabelle2[[#This Row],[Kunden Nr.]],KUNDEN!A:B,2,0)</f>
        <v>QELA</v>
      </c>
      <c r="H1596" s="75">
        <v>35114</v>
      </c>
      <c r="I1596" s="76" t="str">
        <f>VLOOKUP(Tabelle2[[#This Row],[Artikel]],Produkte!A:B,2,0)</f>
        <v>M-ONE Sanitar Silikon</v>
      </c>
      <c r="J1596" s="75">
        <v>12</v>
      </c>
      <c r="K1596" s="76" t="str">
        <f>VLOOKUP(Tabelle2[[#This Row],[Kunden Nr.]],KUNDEN!A:G,7)</f>
        <v>Qerimi</v>
      </c>
      <c r="L1596" s="76">
        <f>VLOOKUP(Tabelle2[[#This Row],[Artikel]],Produkte!A:H,8)</f>
        <v>0.17</v>
      </c>
    </row>
    <row r="1597" spans="1:12" x14ac:dyDescent="0.2">
      <c r="A1597" s="75" t="s">
        <v>576</v>
      </c>
      <c r="B1597" s="79">
        <v>46097</v>
      </c>
      <c r="C1597" s="75"/>
      <c r="D1597" s="75"/>
      <c r="E1597" s="75"/>
      <c r="F1597" s="75">
        <v>10114</v>
      </c>
      <c r="G1597" s="76" t="str">
        <f>VLOOKUP(Tabelle2[[#This Row],[Kunden Nr.]],KUNDEN!A:B,2,0)</f>
        <v>QELA</v>
      </c>
      <c r="H1597" s="75">
        <v>35128</v>
      </c>
      <c r="I1597" s="76" t="str">
        <f>VLOOKUP(Tabelle2[[#This Row],[Artikel]],Produkte!A:B,2,0)</f>
        <v>M-ONE Sanitar Silikon</v>
      </c>
      <c r="J1597" s="75">
        <v>12</v>
      </c>
      <c r="K1597" s="76" t="str">
        <f>VLOOKUP(Tabelle2[[#This Row],[Kunden Nr.]],KUNDEN!A:G,7)</f>
        <v>Qerimi</v>
      </c>
      <c r="L1597" s="76">
        <f>VLOOKUP(Tabelle2[[#This Row],[Artikel]],Produkte!A:H,8)</f>
        <v>0.17</v>
      </c>
    </row>
    <row r="1598" spans="1:12" x14ac:dyDescent="0.2">
      <c r="A1598" s="75" t="s">
        <v>474</v>
      </c>
      <c r="B1598" s="79">
        <v>46097</v>
      </c>
      <c r="C1598" s="89">
        <v>92.4</v>
      </c>
      <c r="D1598" s="75"/>
      <c r="E1598" s="75"/>
      <c r="F1598" s="75">
        <v>20109</v>
      </c>
      <c r="G1598" s="76" t="str">
        <f>VLOOKUP(Tabelle2[[#This Row],[Kunden Nr.]],KUNDEN!A:B,2,0)</f>
        <v>KENA COMERC</v>
      </c>
      <c r="H1598" s="75">
        <v>35111</v>
      </c>
      <c r="I1598" s="76" t="str">
        <f>VLOOKUP(Tabelle2[[#This Row],[Artikel]],Produkte!A:B,2,0)</f>
        <v>M-ONE Sanitar Silikon</v>
      </c>
      <c r="J1598" s="75">
        <v>12</v>
      </c>
      <c r="K1598" s="76" t="str">
        <f>VLOOKUP(Tabelle2[[#This Row],[Kunden Nr.]],KUNDEN!A:G,7)</f>
        <v>Mensuri</v>
      </c>
      <c r="L1598" s="76">
        <f>VLOOKUP(Tabelle2[[#This Row],[Artikel]],Produkte!A:H,8)</f>
        <v>0.17</v>
      </c>
    </row>
    <row r="1599" spans="1:12" x14ac:dyDescent="0.2">
      <c r="A1599" s="75" t="s">
        <v>474</v>
      </c>
      <c r="B1599" s="79">
        <v>46097</v>
      </c>
      <c r="C1599" s="75"/>
      <c r="D1599" s="75"/>
      <c r="E1599" s="75"/>
      <c r="F1599" s="75">
        <v>20109</v>
      </c>
      <c r="G1599" s="76" t="str">
        <f>VLOOKUP(Tabelle2[[#This Row],[Kunden Nr.]],KUNDEN!A:B,2,0)</f>
        <v>KENA COMERC</v>
      </c>
      <c r="H1599" s="75">
        <v>35128</v>
      </c>
      <c r="I1599" s="76" t="str">
        <f>VLOOKUP(Tabelle2[[#This Row],[Artikel]],Produkte!A:B,2,0)</f>
        <v>M-ONE Sanitar Silikon</v>
      </c>
      <c r="J1599" s="75">
        <v>12</v>
      </c>
      <c r="K1599" s="76" t="str">
        <f>VLOOKUP(Tabelle2[[#This Row],[Kunden Nr.]],KUNDEN!A:G,7)</f>
        <v>Mensuri</v>
      </c>
      <c r="L1599" s="76">
        <f>VLOOKUP(Tabelle2[[#This Row],[Artikel]],Produkte!A:H,8)</f>
        <v>0.17</v>
      </c>
    </row>
    <row r="1600" spans="1:12" x14ac:dyDescent="0.2">
      <c r="A1600" s="75" t="s">
        <v>1180</v>
      </c>
      <c r="B1600" s="79">
        <v>46097</v>
      </c>
      <c r="C1600" s="89">
        <v>138.6</v>
      </c>
      <c r="D1600" s="75"/>
      <c r="E1600" s="75"/>
      <c r="F1600" s="75">
        <v>20126</v>
      </c>
      <c r="G1600" s="76" t="str">
        <f>VLOOKUP(Tabelle2[[#This Row],[Kunden Nr.]],KUNDEN!A:B,2,0)</f>
        <v>LULI-C</v>
      </c>
      <c r="H1600" s="75">
        <v>35113</v>
      </c>
      <c r="I1600" s="76" t="str">
        <f>VLOOKUP(Tabelle2[[#This Row],[Artikel]],Produkte!A:B,2,0)</f>
        <v>M-ONE Sanitar Silikon</v>
      </c>
      <c r="J1600" s="75">
        <v>12</v>
      </c>
      <c r="K1600" s="76" t="str">
        <f>VLOOKUP(Tabelle2[[#This Row],[Kunden Nr.]],KUNDEN!A:G,7)</f>
        <v>Mensuri</v>
      </c>
      <c r="L1600" s="76">
        <f>VLOOKUP(Tabelle2[[#This Row],[Artikel]],Produkte!A:H,8)</f>
        <v>0.17</v>
      </c>
    </row>
    <row r="1601" spans="1:12" x14ac:dyDescent="0.2">
      <c r="A1601" s="75" t="s">
        <v>1180</v>
      </c>
      <c r="B1601" s="79">
        <v>46097</v>
      </c>
      <c r="C1601" s="75"/>
      <c r="D1601" s="75"/>
      <c r="E1601" s="75"/>
      <c r="F1601" s="75">
        <v>20126</v>
      </c>
      <c r="G1601" s="76" t="str">
        <f>VLOOKUP(Tabelle2[[#This Row],[Kunden Nr.]],KUNDEN!A:B,2,0)</f>
        <v>LULI-C</v>
      </c>
      <c r="H1601" s="75">
        <v>35114</v>
      </c>
      <c r="I1601" s="76" t="str">
        <f>VLOOKUP(Tabelle2[[#This Row],[Artikel]],Produkte!A:B,2,0)</f>
        <v>M-ONE Sanitar Silikon</v>
      </c>
      <c r="J1601" s="75">
        <v>12</v>
      </c>
      <c r="K1601" s="76" t="str">
        <f>VLOOKUP(Tabelle2[[#This Row],[Kunden Nr.]],KUNDEN!A:G,7)</f>
        <v>Mensuri</v>
      </c>
      <c r="L1601" s="76">
        <f>VLOOKUP(Tabelle2[[#This Row],[Artikel]],Produkte!A:H,8)</f>
        <v>0.17</v>
      </c>
    </row>
    <row r="1602" spans="1:12" x14ac:dyDescent="0.2">
      <c r="A1602" s="75" t="s">
        <v>1180</v>
      </c>
      <c r="B1602" s="79">
        <v>46097</v>
      </c>
      <c r="C1602" s="75"/>
      <c r="D1602" s="75"/>
      <c r="E1602" s="75"/>
      <c r="F1602" s="75">
        <v>20126</v>
      </c>
      <c r="G1602" s="76" t="str">
        <f>VLOOKUP(Tabelle2[[#This Row],[Kunden Nr.]],KUNDEN!A:B,2,0)</f>
        <v>LULI-C</v>
      </c>
      <c r="H1602" s="75">
        <v>35125</v>
      </c>
      <c r="I1602" s="76" t="str">
        <f>VLOOKUP(Tabelle2[[#This Row],[Artikel]],Produkte!A:B,2,0)</f>
        <v>M-ONE Sanitar Silikon</v>
      </c>
      <c r="J1602" s="75">
        <v>12</v>
      </c>
      <c r="K1602" s="76" t="str">
        <f>VLOOKUP(Tabelle2[[#This Row],[Kunden Nr.]],KUNDEN!A:G,7)</f>
        <v>Mensuri</v>
      </c>
      <c r="L1602" s="76">
        <f>VLOOKUP(Tabelle2[[#This Row],[Artikel]],Produkte!A:H,8)</f>
        <v>0.17</v>
      </c>
    </row>
    <row r="1603" spans="1:12" x14ac:dyDescent="0.2">
      <c r="A1603" s="75" t="s">
        <v>468</v>
      </c>
      <c r="B1603" s="79">
        <v>46097</v>
      </c>
      <c r="C1603" s="89">
        <v>49.6</v>
      </c>
      <c r="D1603" s="75"/>
      <c r="E1603" s="75"/>
      <c r="F1603" s="75">
        <v>20101</v>
      </c>
      <c r="G1603" s="76" t="str">
        <f>VLOOKUP(Tabelle2[[#This Row],[Kunden Nr.]],KUNDEN!A:B,2,0)</f>
        <v>TE GZIMI</v>
      </c>
      <c r="H1603" s="75">
        <v>29802</v>
      </c>
      <c r="I1603" s="76" t="str">
        <f>VLOOKUP(Tabelle2[[#This Row],[Artikel]],Produkte!A:B,2,0)</f>
        <v>beMaker Handwaschpaste</v>
      </c>
      <c r="J1603" s="75">
        <v>8</v>
      </c>
      <c r="K1603" s="76" t="str">
        <f>VLOOKUP(Tabelle2[[#This Row],[Kunden Nr.]],KUNDEN!A:G,7)</f>
        <v>Mensuri</v>
      </c>
      <c r="L1603" s="76">
        <f>VLOOKUP(Tabelle2[[#This Row],[Artikel]],Produkte!A:H,8)</f>
        <v>0.1</v>
      </c>
    </row>
    <row r="1604" spans="1:12" x14ac:dyDescent="0.2">
      <c r="A1604" s="75" t="s">
        <v>468</v>
      </c>
      <c r="B1604" s="79">
        <v>46097</v>
      </c>
      <c r="C1604" s="75"/>
      <c r="D1604" s="75"/>
      <c r="E1604" s="75"/>
      <c r="F1604" s="75">
        <v>20101</v>
      </c>
      <c r="G1604" s="76" t="str">
        <f>VLOOKUP(Tabelle2[[#This Row],[Kunden Nr.]],KUNDEN!A:B,2,0)</f>
        <v>TE GZIMI</v>
      </c>
      <c r="H1604" s="75">
        <v>50912</v>
      </c>
      <c r="I1604" s="76" t="str">
        <f>VLOOKUP(Tabelle2[[#This Row],[Artikel]],Produkte!A:B,2,0)</f>
        <v>DICHTUNG</v>
      </c>
      <c r="J1604" s="75">
        <v>3</v>
      </c>
      <c r="K1604" s="76" t="str">
        <f>VLOOKUP(Tabelle2[[#This Row],[Kunden Nr.]],KUNDEN!A:G,7)</f>
        <v>Mensuri</v>
      </c>
      <c r="L1604" s="76">
        <f>VLOOKUP(Tabelle2[[#This Row],[Artikel]],Produkte!A:H,8)</f>
        <v>0.2</v>
      </c>
    </row>
    <row r="1605" spans="1:12" x14ac:dyDescent="0.2">
      <c r="A1605" s="75" t="s">
        <v>468</v>
      </c>
      <c r="B1605" s="79">
        <v>46097</v>
      </c>
      <c r="C1605" s="75"/>
      <c r="D1605" s="75"/>
      <c r="E1605" s="75"/>
      <c r="F1605" s="75">
        <v>20101</v>
      </c>
      <c r="G1605" s="76" t="str">
        <f>VLOOKUP(Tabelle2[[#This Row],[Kunden Nr.]],KUNDEN!A:B,2,0)</f>
        <v>TE GZIMI</v>
      </c>
      <c r="H1605" s="75">
        <v>16936</v>
      </c>
      <c r="I1605" s="76" t="str">
        <f>VLOOKUP(Tabelle2[[#This Row],[Artikel]],Produkte!A:B,2,0)</f>
        <v>M ONE FELGENSILBER</v>
      </c>
      <c r="J1605" s="75">
        <v>8</v>
      </c>
      <c r="K1605" s="76" t="str">
        <f>VLOOKUP(Tabelle2[[#This Row],[Kunden Nr.]],KUNDEN!A:G,7)</f>
        <v>Mensuri</v>
      </c>
      <c r="L1605" s="76">
        <f>VLOOKUP(Tabelle2[[#This Row],[Artikel]],Produkte!A:H,8)</f>
        <v>0.15</v>
      </c>
    </row>
    <row r="1606" spans="1:12" x14ac:dyDescent="0.2">
      <c r="A1606" s="75" t="s">
        <v>1163</v>
      </c>
      <c r="B1606" s="79">
        <v>46097</v>
      </c>
      <c r="C1606" s="89">
        <v>277.2</v>
      </c>
      <c r="D1606" s="75"/>
      <c r="E1606" s="75"/>
      <c r="F1606" s="75">
        <v>20121</v>
      </c>
      <c r="G1606" s="76" t="str">
        <f>VLOOKUP(Tabelle2[[#This Row],[Kunden Nr.]],KUNDEN!A:B,2,0)</f>
        <v>CAMA BAU</v>
      </c>
      <c r="H1606" s="75">
        <v>35113</v>
      </c>
      <c r="I1606" s="76" t="str">
        <f>VLOOKUP(Tabelle2[[#This Row],[Artikel]],Produkte!A:B,2,0)</f>
        <v>M-ONE Sanitar Silikon</v>
      </c>
      <c r="J1606" s="75">
        <v>24</v>
      </c>
      <c r="K1606" s="76" t="str">
        <f>VLOOKUP(Tabelle2[[#This Row],[Kunden Nr.]],KUNDEN!A:G,7)</f>
        <v>Mensuri</v>
      </c>
      <c r="L1606" s="76">
        <f>VLOOKUP(Tabelle2[[#This Row],[Artikel]],Produkte!A:H,8)</f>
        <v>0.17</v>
      </c>
    </row>
    <row r="1607" spans="1:12" x14ac:dyDescent="0.2">
      <c r="A1607" s="75" t="s">
        <v>1163</v>
      </c>
      <c r="B1607" s="79">
        <v>46097</v>
      </c>
      <c r="C1607" s="75"/>
      <c r="D1607" s="75"/>
      <c r="E1607" s="75"/>
      <c r="F1607" s="75">
        <v>20121</v>
      </c>
      <c r="G1607" s="76" t="str">
        <f>VLOOKUP(Tabelle2[[#This Row],[Kunden Nr.]],KUNDEN!A:B,2,0)</f>
        <v>CAMA BAU</v>
      </c>
      <c r="H1607" s="75">
        <v>35115</v>
      </c>
      <c r="I1607" s="76" t="str">
        <f>VLOOKUP(Tabelle2[[#This Row],[Artikel]],Produkte!A:B,2,0)</f>
        <v>M-ONE Sanitar Silikon</v>
      </c>
      <c r="J1607" s="75">
        <v>24</v>
      </c>
      <c r="K1607" s="76" t="str">
        <f>VLOOKUP(Tabelle2[[#This Row],[Kunden Nr.]],KUNDEN!A:G,7)</f>
        <v>Mensuri</v>
      </c>
      <c r="L1607" s="76">
        <f>VLOOKUP(Tabelle2[[#This Row],[Artikel]],Produkte!A:H,8)</f>
        <v>0.17</v>
      </c>
    </row>
    <row r="1608" spans="1:12" x14ac:dyDescent="0.2">
      <c r="A1608" s="75" t="s">
        <v>1163</v>
      </c>
      <c r="B1608" s="79">
        <v>46097</v>
      </c>
      <c r="C1608" s="75"/>
      <c r="D1608" s="75"/>
      <c r="E1608" s="75"/>
      <c r="F1608" s="75">
        <v>20121</v>
      </c>
      <c r="G1608" s="76" t="str">
        <f>VLOOKUP(Tabelle2[[#This Row],[Kunden Nr.]],KUNDEN!A:B,2,0)</f>
        <v>CAMA BAU</v>
      </c>
      <c r="H1608" s="75">
        <v>35119</v>
      </c>
      <c r="I1608" s="76" t="str">
        <f>VLOOKUP(Tabelle2[[#This Row],[Artikel]],Produkte!A:B,2,0)</f>
        <v>M-ONE Sanitar Silikon</v>
      </c>
      <c r="J1608" s="75">
        <v>12</v>
      </c>
      <c r="K1608" s="76" t="str">
        <f>VLOOKUP(Tabelle2[[#This Row],[Kunden Nr.]],KUNDEN!A:G,7)</f>
        <v>Mensuri</v>
      </c>
      <c r="L1608" s="76">
        <f>VLOOKUP(Tabelle2[[#This Row],[Artikel]],Produkte!A:H,8)</f>
        <v>0.17</v>
      </c>
    </row>
    <row r="1609" spans="1:12" x14ac:dyDescent="0.2">
      <c r="A1609" s="75" t="s">
        <v>1163</v>
      </c>
      <c r="B1609" s="79">
        <v>46097</v>
      </c>
      <c r="C1609" s="75"/>
      <c r="D1609" s="75"/>
      <c r="E1609" s="75"/>
      <c r="F1609" s="75">
        <v>20121</v>
      </c>
      <c r="G1609" s="76" t="str">
        <f>VLOOKUP(Tabelle2[[#This Row],[Kunden Nr.]],KUNDEN!A:B,2,0)</f>
        <v>CAMA BAU</v>
      </c>
      <c r="H1609" s="75">
        <v>35125</v>
      </c>
      <c r="I1609" s="76" t="str">
        <f>VLOOKUP(Tabelle2[[#This Row],[Artikel]],Produkte!A:B,2,0)</f>
        <v>M-ONE Sanitar Silikon</v>
      </c>
      <c r="J1609" s="75">
        <v>12</v>
      </c>
      <c r="K1609" s="76" t="str">
        <f>VLOOKUP(Tabelle2[[#This Row],[Kunden Nr.]],KUNDEN!A:G,7)</f>
        <v>Mensuri</v>
      </c>
      <c r="L1609" s="76">
        <f>VLOOKUP(Tabelle2[[#This Row],[Artikel]],Produkte!A:H,8)</f>
        <v>0.17</v>
      </c>
    </row>
    <row r="1610" spans="1:12" x14ac:dyDescent="0.2">
      <c r="A1610" s="75" t="s">
        <v>1129</v>
      </c>
      <c r="B1610" s="79">
        <v>46097</v>
      </c>
      <c r="C1610" s="89">
        <v>138.6</v>
      </c>
      <c r="D1610" s="75"/>
      <c r="E1610" s="75"/>
      <c r="F1610" s="75">
        <v>20127</v>
      </c>
      <c r="G1610" s="76" t="str">
        <f>VLOOKUP(Tabelle2[[#This Row],[Kunden Nr.]],KUNDEN!A:B,2,0)</f>
        <v>TERMO PROJEKT</v>
      </c>
      <c r="H1610" s="75">
        <v>35128</v>
      </c>
      <c r="I1610" s="76" t="str">
        <f>VLOOKUP(Tabelle2[[#This Row],[Artikel]],Produkte!A:B,2,0)</f>
        <v>M-ONE Sanitar Silikon</v>
      </c>
      <c r="J1610" s="75">
        <v>24</v>
      </c>
      <c r="K1610" s="76" t="str">
        <f>VLOOKUP(Tabelle2[[#This Row],[Kunden Nr.]],KUNDEN!A:G,7)</f>
        <v>Mensuri</v>
      </c>
      <c r="L1610" s="76">
        <f>VLOOKUP(Tabelle2[[#This Row],[Artikel]],Produkte!A:H,8)</f>
        <v>0.17</v>
      </c>
    </row>
    <row r="1611" spans="1:12" x14ac:dyDescent="0.2">
      <c r="A1611" s="75" t="s">
        <v>1129</v>
      </c>
      <c r="B1611" s="79">
        <v>46097</v>
      </c>
      <c r="C1611" s="75"/>
      <c r="D1611" s="75"/>
      <c r="E1611" s="75"/>
      <c r="F1611" s="75">
        <v>20127</v>
      </c>
      <c r="G1611" s="76" t="str">
        <f>VLOOKUP(Tabelle2[[#This Row],[Kunden Nr.]],KUNDEN!A:B,2,0)</f>
        <v>TERMO PROJEKT</v>
      </c>
      <c r="H1611" s="75">
        <v>35114</v>
      </c>
      <c r="I1611" s="76" t="str">
        <f>VLOOKUP(Tabelle2[[#This Row],[Artikel]],Produkte!A:B,2,0)</f>
        <v>M-ONE Sanitar Silikon</v>
      </c>
      <c r="J1611" s="75">
        <v>12</v>
      </c>
      <c r="K1611" s="76" t="str">
        <f>VLOOKUP(Tabelle2[[#This Row],[Kunden Nr.]],KUNDEN!A:G,7)</f>
        <v>Mensuri</v>
      </c>
      <c r="L1611" s="76">
        <f>VLOOKUP(Tabelle2[[#This Row],[Artikel]],Produkte!A:H,8)</f>
        <v>0.17</v>
      </c>
    </row>
    <row r="1612" spans="1:12" x14ac:dyDescent="0.2">
      <c r="A1612" s="75" t="s">
        <v>1306</v>
      </c>
      <c r="B1612" s="79">
        <v>46097</v>
      </c>
      <c r="C1612" s="89">
        <v>92.4</v>
      </c>
      <c r="D1612" s="75"/>
      <c r="E1612" s="75"/>
      <c r="F1612" s="75">
        <v>20129</v>
      </c>
      <c r="G1612" s="76" t="str">
        <f>VLOOKUP(Tabelle2[[#This Row],[Kunden Nr.]],KUNDEN!A:B,2,0)</f>
        <v>LNI SHPK</v>
      </c>
      <c r="H1612" s="75">
        <v>35121</v>
      </c>
      <c r="I1612" s="76" t="str">
        <f>VLOOKUP(Tabelle2[[#This Row],[Artikel]],Produkte!A:B,2,0)</f>
        <v>M-ONE Sanitar Silikon</v>
      </c>
      <c r="J1612" s="75">
        <v>24</v>
      </c>
      <c r="K1612" s="76" t="str">
        <f>VLOOKUP(Tabelle2[[#This Row],[Kunden Nr.]],KUNDEN!A:G,7)</f>
        <v>Mensuri</v>
      </c>
      <c r="L1612" s="76">
        <f>VLOOKUP(Tabelle2[[#This Row],[Artikel]],Produkte!A:H,8)</f>
        <v>0.17</v>
      </c>
    </row>
    <row r="1613" spans="1:12" x14ac:dyDescent="0.2">
      <c r="A1613" s="75" t="s">
        <v>1315</v>
      </c>
      <c r="B1613" s="79">
        <v>46097</v>
      </c>
      <c r="C1613" s="89">
        <v>138.6</v>
      </c>
      <c r="D1613" s="75"/>
      <c r="E1613" s="75"/>
      <c r="F1613" s="75">
        <v>20130</v>
      </c>
      <c r="G1613" s="76" t="str">
        <f>VLOOKUP(Tabelle2[[#This Row],[Kunden Nr.]],KUNDEN!A:B,2,0)</f>
        <v>ENESI</v>
      </c>
      <c r="H1613" s="75">
        <v>35113</v>
      </c>
      <c r="I1613" s="76" t="str">
        <f>VLOOKUP(Tabelle2[[#This Row],[Artikel]],Produkte!A:B,2,0)</f>
        <v>M-ONE Sanitar Silikon</v>
      </c>
      <c r="J1613" s="75">
        <v>12</v>
      </c>
      <c r="K1613" s="76" t="str">
        <f>VLOOKUP(Tabelle2[[#This Row],[Kunden Nr.]],KUNDEN!A:G,7)</f>
        <v>Mensuri</v>
      </c>
      <c r="L1613" s="76">
        <f>VLOOKUP(Tabelle2[[#This Row],[Artikel]],Produkte!A:H,8)</f>
        <v>0.17</v>
      </c>
    </row>
    <row r="1614" spans="1:12" x14ac:dyDescent="0.2">
      <c r="A1614" s="75" t="s">
        <v>1315</v>
      </c>
      <c r="B1614" s="79">
        <v>46097</v>
      </c>
      <c r="C1614" s="75"/>
      <c r="D1614" s="75"/>
      <c r="E1614" s="75"/>
      <c r="F1614" s="75">
        <v>20130</v>
      </c>
      <c r="G1614" s="76" t="str">
        <f>VLOOKUP(Tabelle2[[#This Row],[Kunden Nr.]],KUNDEN!A:B,2,0)</f>
        <v>ENESI</v>
      </c>
      <c r="H1614" s="75">
        <v>35115</v>
      </c>
      <c r="I1614" s="76" t="str">
        <f>VLOOKUP(Tabelle2[[#This Row],[Artikel]],Produkte!A:B,2,0)</f>
        <v>M-ONE Sanitar Silikon</v>
      </c>
      <c r="J1614" s="75">
        <v>12</v>
      </c>
      <c r="K1614" s="76" t="str">
        <f>VLOOKUP(Tabelle2[[#This Row],[Kunden Nr.]],KUNDEN!A:G,7)</f>
        <v>Mensuri</v>
      </c>
      <c r="L1614" s="76">
        <f>VLOOKUP(Tabelle2[[#This Row],[Artikel]],Produkte!A:H,8)</f>
        <v>0.17</v>
      </c>
    </row>
    <row r="1615" spans="1:12" x14ac:dyDescent="0.2">
      <c r="A1615" s="75" t="s">
        <v>1315</v>
      </c>
      <c r="B1615" s="79">
        <v>46097</v>
      </c>
      <c r="C1615" s="75"/>
      <c r="D1615" s="75"/>
      <c r="E1615" s="75"/>
      <c r="F1615" s="75">
        <v>20130</v>
      </c>
      <c r="G1615" s="76" t="str">
        <f>VLOOKUP(Tabelle2[[#This Row],[Kunden Nr.]],KUNDEN!A:B,2,0)</f>
        <v>ENESI</v>
      </c>
      <c r="H1615" s="75">
        <v>35125</v>
      </c>
      <c r="I1615" s="76" t="str">
        <f>VLOOKUP(Tabelle2[[#This Row],[Artikel]],Produkte!A:B,2,0)</f>
        <v>M-ONE Sanitar Silikon</v>
      </c>
      <c r="J1615" s="75">
        <v>12</v>
      </c>
      <c r="K1615" s="76" t="str">
        <f>VLOOKUP(Tabelle2[[#This Row],[Kunden Nr.]],KUNDEN!A:G,7)</f>
        <v>Mensuri</v>
      </c>
      <c r="L1615" s="76">
        <f>VLOOKUP(Tabelle2[[#This Row],[Artikel]],Produkte!A:H,8)</f>
        <v>0.17</v>
      </c>
    </row>
    <row r="1616" spans="1:12" x14ac:dyDescent="0.2">
      <c r="A1616" s="75" t="s">
        <v>1299</v>
      </c>
      <c r="B1616" s="79">
        <v>46098</v>
      </c>
      <c r="C1616" s="89">
        <v>92.4</v>
      </c>
      <c r="D1616" s="75"/>
      <c r="E1616" s="75"/>
      <c r="F1616" s="75">
        <v>10258</v>
      </c>
      <c r="G1616" s="76" t="str">
        <f>VLOOKUP(Tabelle2[[#This Row],[Kunden Nr.]],KUNDEN!A:B,2,0)</f>
        <v>ARSIMI</v>
      </c>
      <c r="H1616" s="75">
        <v>35110</v>
      </c>
      <c r="I1616" s="76" t="str">
        <f>VLOOKUP(Tabelle2[[#This Row],[Artikel]],Produkte!A:B,2,0)</f>
        <v>M-ONE Sanitar Silikon</v>
      </c>
      <c r="J1616" s="75">
        <v>12</v>
      </c>
      <c r="K1616" s="76" t="str">
        <f>VLOOKUP(Tabelle2[[#This Row],[Kunden Nr.]],KUNDEN!A:G,7)</f>
        <v>Qerimi</v>
      </c>
      <c r="L1616" s="76">
        <f>VLOOKUP(Tabelle2[[#This Row],[Artikel]],Produkte!A:H,8)</f>
        <v>0.17</v>
      </c>
    </row>
    <row r="1617" spans="1:12" x14ac:dyDescent="0.2">
      <c r="A1617" s="75" t="s">
        <v>1299</v>
      </c>
      <c r="B1617" s="79">
        <v>46098</v>
      </c>
      <c r="C1617" s="75"/>
      <c r="D1617" s="75"/>
      <c r="E1617" s="75"/>
      <c r="F1617" s="75">
        <v>10258</v>
      </c>
      <c r="G1617" s="76" t="str">
        <f>VLOOKUP(Tabelle2[[#This Row],[Kunden Nr.]],KUNDEN!A:B,2,0)</f>
        <v>ARSIMI</v>
      </c>
      <c r="H1617" s="75">
        <v>35111</v>
      </c>
      <c r="I1617" s="76" t="str">
        <f>VLOOKUP(Tabelle2[[#This Row],[Artikel]],Produkte!A:B,2,0)</f>
        <v>M-ONE Sanitar Silikon</v>
      </c>
      <c r="J1617" s="75">
        <v>12</v>
      </c>
      <c r="K1617" s="76" t="str">
        <f>VLOOKUP(Tabelle2[[#This Row],[Kunden Nr.]],KUNDEN!A:G,7)</f>
        <v>Qerimi</v>
      </c>
      <c r="L1617" s="76">
        <f>VLOOKUP(Tabelle2[[#This Row],[Artikel]],Produkte!A:H,8)</f>
        <v>0.17</v>
      </c>
    </row>
    <row r="1618" spans="1:12" x14ac:dyDescent="0.2">
      <c r="A1618" s="75" t="s">
        <v>520</v>
      </c>
      <c r="B1618" s="79">
        <v>46098</v>
      </c>
      <c r="C1618" s="89">
        <v>231</v>
      </c>
      <c r="D1618" s="75"/>
      <c r="E1618" s="75"/>
      <c r="F1618" s="75">
        <v>10210</v>
      </c>
      <c r="G1618" s="76" t="str">
        <f>VLOOKUP(Tabelle2[[#This Row],[Kunden Nr.]],KUNDEN!A:B,2,0)</f>
        <v>MONI 2</v>
      </c>
      <c r="H1618" s="75">
        <v>35108</v>
      </c>
      <c r="I1618" s="76" t="str">
        <f>VLOOKUP(Tabelle2[[#This Row],[Artikel]],Produkte!A:B,2,0)</f>
        <v>M-ONE Sanitar Silikon</v>
      </c>
      <c r="J1618" s="75">
        <v>12</v>
      </c>
      <c r="K1618" s="76" t="str">
        <f>VLOOKUP(Tabelle2[[#This Row],[Kunden Nr.]],KUNDEN!A:G,7)</f>
        <v>Qerimi</v>
      </c>
      <c r="L1618" s="76">
        <f>VLOOKUP(Tabelle2[[#This Row],[Artikel]],Produkte!A:H,8)</f>
        <v>0.17</v>
      </c>
    </row>
    <row r="1619" spans="1:12" x14ac:dyDescent="0.2">
      <c r="A1619" s="75" t="s">
        <v>520</v>
      </c>
      <c r="B1619" s="79">
        <v>46098</v>
      </c>
      <c r="C1619" s="75"/>
      <c r="D1619" s="75"/>
      <c r="E1619" s="75"/>
      <c r="F1619" s="75">
        <v>10210</v>
      </c>
      <c r="G1619" s="76" t="str">
        <f>VLOOKUP(Tabelle2[[#This Row],[Kunden Nr.]],KUNDEN!A:B,2,0)</f>
        <v>MONI 2</v>
      </c>
      <c r="H1619" s="75">
        <v>35110</v>
      </c>
      <c r="I1619" s="76" t="str">
        <f>VLOOKUP(Tabelle2[[#This Row],[Artikel]],Produkte!A:B,2,0)</f>
        <v>M-ONE Sanitar Silikon</v>
      </c>
      <c r="J1619" s="75">
        <v>12</v>
      </c>
      <c r="K1619" s="76" t="str">
        <f>VLOOKUP(Tabelle2[[#This Row],[Kunden Nr.]],KUNDEN!A:G,7)</f>
        <v>Qerimi</v>
      </c>
      <c r="L1619" s="76">
        <f>VLOOKUP(Tabelle2[[#This Row],[Artikel]],Produkte!A:H,8)</f>
        <v>0.17</v>
      </c>
    </row>
    <row r="1620" spans="1:12" x14ac:dyDescent="0.2">
      <c r="A1620" s="75" t="s">
        <v>520</v>
      </c>
      <c r="B1620" s="79">
        <v>46098</v>
      </c>
      <c r="C1620" s="75"/>
      <c r="D1620" s="75"/>
      <c r="E1620" s="75"/>
      <c r="F1620" s="75">
        <v>10210</v>
      </c>
      <c r="G1620" s="76" t="str">
        <f>VLOOKUP(Tabelle2[[#This Row],[Kunden Nr.]],KUNDEN!A:B,2,0)</f>
        <v>MONI 2</v>
      </c>
      <c r="H1620" s="75">
        <v>35119</v>
      </c>
      <c r="I1620" s="76" t="str">
        <f>VLOOKUP(Tabelle2[[#This Row],[Artikel]],Produkte!A:B,2,0)</f>
        <v>M-ONE Sanitar Silikon</v>
      </c>
      <c r="J1620" s="75">
        <v>12</v>
      </c>
      <c r="K1620" s="76" t="str">
        <f>VLOOKUP(Tabelle2[[#This Row],[Kunden Nr.]],KUNDEN!A:G,7)</f>
        <v>Qerimi</v>
      </c>
      <c r="L1620" s="76">
        <f>VLOOKUP(Tabelle2[[#This Row],[Artikel]],Produkte!A:H,8)</f>
        <v>0.17</v>
      </c>
    </row>
    <row r="1621" spans="1:12" x14ac:dyDescent="0.2">
      <c r="A1621" s="75" t="s">
        <v>520</v>
      </c>
      <c r="B1621" s="79">
        <v>46098</v>
      </c>
      <c r="C1621" s="75"/>
      <c r="D1621" s="75"/>
      <c r="E1621" s="75"/>
      <c r="F1621" s="75">
        <v>10210</v>
      </c>
      <c r="G1621" s="76" t="str">
        <f>VLOOKUP(Tabelle2[[#This Row],[Kunden Nr.]],KUNDEN!A:B,2,0)</f>
        <v>MONI 2</v>
      </c>
      <c r="H1621" s="75">
        <v>35115</v>
      </c>
      <c r="I1621" s="76" t="str">
        <f>VLOOKUP(Tabelle2[[#This Row],[Artikel]],Produkte!A:B,2,0)</f>
        <v>M-ONE Sanitar Silikon</v>
      </c>
      <c r="J1621" s="75">
        <v>12</v>
      </c>
      <c r="K1621" s="76" t="str">
        <f>VLOOKUP(Tabelle2[[#This Row],[Kunden Nr.]],KUNDEN!A:G,7)</f>
        <v>Qerimi</v>
      </c>
      <c r="L1621" s="76">
        <f>VLOOKUP(Tabelle2[[#This Row],[Artikel]],Produkte!A:H,8)</f>
        <v>0.17</v>
      </c>
    </row>
    <row r="1622" spans="1:12" x14ac:dyDescent="0.2">
      <c r="A1622" s="75" t="s">
        <v>520</v>
      </c>
      <c r="B1622" s="79">
        <v>46098</v>
      </c>
      <c r="C1622" s="75"/>
      <c r="D1622" s="75"/>
      <c r="E1622" s="75"/>
      <c r="F1622" s="75">
        <v>10210</v>
      </c>
      <c r="G1622" s="76" t="str">
        <f>VLOOKUP(Tabelle2[[#This Row],[Kunden Nr.]],KUNDEN!A:B,2,0)</f>
        <v>MONI 2</v>
      </c>
      <c r="H1622" s="75">
        <v>35128</v>
      </c>
      <c r="I1622" s="76" t="str">
        <f>VLOOKUP(Tabelle2[[#This Row],[Artikel]],Produkte!A:B,2,0)</f>
        <v>M-ONE Sanitar Silikon</v>
      </c>
      <c r="J1622" s="75">
        <v>12</v>
      </c>
      <c r="K1622" s="76" t="str">
        <f>VLOOKUP(Tabelle2[[#This Row],[Kunden Nr.]],KUNDEN!A:G,7)</f>
        <v>Qerimi</v>
      </c>
      <c r="L1622" s="76">
        <f>VLOOKUP(Tabelle2[[#This Row],[Artikel]],Produkte!A:H,8)</f>
        <v>0.17</v>
      </c>
    </row>
    <row r="1623" spans="1:12" x14ac:dyDescent="0.2">
      <c r="A1623" s="75" t="s">
        <v>1298</v>
      </c>
      <c r="B1623" s="79">
        <v>46098</v>
      </c>
      <c r="C1623" s="89">
        <v>92.4</v>
      </c>
      <c r="D1623" s="75"/>
      <c r="E1623" s="75"/>
      <c r="F1623" s="75">
        <v>10256</v>
      </c>
      <c r="G1623" s="76" t="e">
        <f>VLOOKUP(Tabelle2[[#This Row],[Kunden Nr.]],KUNDEN!A:B,2,0)</f>
        <v>#N/A</v>
      </c>
      <c r="H1623" s="75">
        <v>35121</v>
      </c>
      <c r="I1623" s="76" t="str">
        <f>VLOOKUP(Tabelle2[[#This Row],[Artikel]],Produkte!A:B,2,0)</f>
        <v>M-ONE Sanitar Silikon</v>
      </c>
      <c r="J1623" s="75">
        <v>24</v>
      </c>
      <c r="K1623" s="76" t="str">
        <f>VLOOKUP(Tabelle2[[#This Row],[Kunden Nr.]],KUNDEN!A:G,7)</f>
        <v>Qerimi</v>
      </c>
      <c r="L1623" s="76">
        <f>VLOOKUP(Tabelle2[[#This Row],[Artikel]],Produkte!A:H,8)</f>
        <v>0.17</v>
      </c>
    </row>
    <row r="1624" spans="1:12" x14ac:dyDescent="0.2">
      <c r="A1624" s="75" t="s">
        <v>1201</v>
      </c>
      <c r="B1624" s="79">
        <v>46098</v>
      </c>
      <c r="C1624" s="89">
        <v>184.8</v>
      </c>
      <c r="D1624" s="75"/>
      <c r="E1624" s="75"/>
      <c r="F1624" s="75">
        <v>10240</v>
      </c>
      <c r="G1624" s="76" t="str">
        <f>VLOOKUP(Tabelle2[[#This Row],[Kunden Nr.]],KUNDEN!A:B,2,0)</f>
        <v>ARPO</v>
      </c>
      <c r="H1624" s="75">
        <v>35110</v>
      </c>
      <c r="I1624" s="76" t="str">
        <f>VLOOKUP(Tabelle2[[#This Row],[Artikel]],Produkte!A:B,2,0)</f>
        <v>M-ONE Sanitar Silikon</v>
      </c>
      <c r="J1624" s="75">
        <v>12</v>
      </c>
      <c r="K1624" s="76" t="str">
        <f>VLOOKUP(Tabelle2[[#This Row],[Kunden Nr.]],KUNDEN!A:G,7)</f>
        <v>Qerimi</v>
      </c>
      <c r="L1624" s="76">
        <f>VLOOKUP(Tabelle2[[#This Row],[Artikel]],Produkte!A:H,8)</f>
        <v>0.17</v>
      </c>
    </row>
    <row r="1625" spans="1:12" x14ac:dyDescent="0.2">
      <c r="A1625" s="75" t="s">
        <v>1201</v>
      </c>
      <c r="B1625" s="79">
        <v>46098</v>
      </c>
      <c r="C1625" s="75"/>
      <c r="D1625" s="75"/>
      <c r="E1625" s="75"/>
      <c r="F1625" s="75">
        <v>10240</v>
      </c>
      <c r="G1625" s="76" t="str">
        <f>VLOOKUP(Tabelle2[[#This Row],[Kunden Nr.]],KUNDEN!A:B,2,0)</f>
        <v>ARPO</v>
      </c>
      <c r="H1625" s="75">
        <v>35108</v>
      </c>
      <c r="I1625" s="76" t="str">
        <f>VLOOKUP(Tabelle2[[#This Row],[Artikel]],Produkte!A:B,2,0)</f>
        <v>M-ONE Sanitar Silikon</v>
      </c>
      <c r="J1625" s="75">
        <v>12</v>
      </c>
      <c r="K1625" s="76" t="str">
        <f>VLOOKUP(Tabelle2[[#This Row],[Kunden Nr.]],KUNDEN!A:G,7)</f>
        <v>Qerimi</v>
      </c>
      <c r="L1625" s="76">
        <f>VLOOKUP(Tabelle2[[#This Row],[Artikel]],Produkte!A:H,8)</f>
        <v>0.17</v>
      </c>
    </row>
    <row r="1626" spans="1:12" x14ac:dyDescent="0.2">
      <c r="A1626" s="75" t="s">
        <v>1201</v>
      </c>
      <c r="B1626" s="79">
        <v>46098</v>
      </c>
      <c r="C1626" s="75"/>
      <c r="D1626" s="75"/>
      <c r="E1626" s="75"/>
      <c r="F1626" s="75">
        <v>10240</v>
      </c>
      <c r="G1626" s="76" t="str">
        <f>VLOOKUP(Tabelle2[[#This Row],[Kunden Nr.]],KUNDEN!A:B,2,0)</f>
        <v>ARPO</v>
      </c>
      <c r="H1626" s="75">
        <v>35115</v>
      </c>
      <c r="I1626" s="76" t="str">
        <f>VLOOKUP(Tabelle2[[#This Row],[Artikel]],Produkte!A:B,2,0)</f>
        <v>M-ONE Sanitar Silikon</v>
      </c>
      <c r="J1626" s="75">
        <v>12</v>
      </c>
      <c r="K1626" s="76" t="str">
        <f>VLOOKUP(Tabelle2[[#This Row],[Kunden Nr.]],KUNDEN!A:G,7)</f>
        <v>Qerimi</v>
      </c>
      <c r="L1626" s="76">
        <f>VLOOKUP(Tabelle2[[#This Row],[Artikel]],Produkte!A:H,8)</f>
        <v>0.17</v>
      </c>
    </row>
    <row r="1627" spans="1:12" x14ac:dyDescent="0.2">
      <c r="A1627" s="75" t="s">
        <v>1201</v>
      </c>
      <c r="B1627" s="79">
        <v>46098</v>
      </c>
      <c r="C1627" s="75"/>
      <c r="D1627" s="75"/>
      <c r="E1627" s="75"/>
      <c r="F1627" s="75">
        <v>10240</v>
      </c>
      <c r="G1627" s="76" t="str">
        <f>VLOOKUP(Tabelle2[[#This Row],[Kunden Nr.]],KUNDEN!A:B,2,0)</f>
        <v>ARPO</v>
      </c>
      <c r="H1627" s="75">
        <v>35121</v>
      </c>
      <c r="I1627" s="76" t="str">
        <f>VLOOKUP(Tabelle2[[#This Row],[Artikel]],Produkte!A:B,2,0)</f>
        <v>M-ONE Sanitar Silikon</v>
      </c>
      <c r="J1627" s="75">
        <v>12</v>
      </c>
      <c r="K1627" s="76" t="str">
        <f>VLOOKUP(Tabelle2[[#This Row],[Kunden Nr.]],KUNDEN!A:G,7)</f>
        <v>Qerimi</v>
      </c>
      <c r="L1627" s="76">
        <f>VLOOKUP(Tabelle2[[#This Row],[Artikel]],Produkte!A:H,8)</f>
        <v>0.17</v>
      </c>
    </row>
    <row r="1628" spans="1:12" x14ac:dyDescent="0.2">
      <c r="A1628" s="75" t="s">
        <v>1038</v>
      </c>
      <c r="B1628" s="79">
        <v>46098</v>
      </c>
      <c r="C1628" s="89">
        <v>27.6</v>
      </c>
      <c r="D1628" s="75"/>
      <c r="E1628" s="75"/>
      <c r="F1628" s="75">
        <v>10241</v>
      </c>
      <c r="G1628" s="76" t="str">
        <f>VLOOKUP(Tabelle2[[#This Row],[Kunden Nr.]],KUNDEN!A:B,2,0)</f>
        <v>AB SHPK</v>
      </c>
      <c r="H1628" s="75">
        <v>51612</v>
      </c>
      <c r="I1628" s="76" t="str">
        <f>VLOOKUP(Tabelle2[[#This Row],[Artikel]],Produkte!A:B,2,0)</f>
        <v>struktural akryl</v>
      </c>
      <c r="J1628" s="75">
        <v>12</v>
      </c>
      <c r="K1628" s="76" t="str">
        <f>VLOOKUP(Tabelle2[[#This Row],[Kunden Nr.]],KUNDEN!A:G,7)</f>
        <v>Qerimi</v>
      </c>
      <c r="L1628" s="76">
        <f>VLOOKUP(Tabelle2[[#This Row],[Artikel]],Produkte!A:H,8)</f>
        <v>0.06</v>
      </c>
    </row>
    <row r="1629" spans="1:12" x14ac:dyDescent="0.2">
      <c r="A1629" s="75" t="s">
        <v>515</v>
      </c>
      <c r="B1629" s="79">
        <v>46098</v>
      </c>
      <c r="C1629" s="89">
        <v>106.8</v>
      </c>
      <c r="D1629" s="75"/>
      <c r="E1629" s="75"/>
      <c r="F1629" s="75">
        <v>10205</v>
      </c>
      <c r="G1629" s="76" t="str">
        <f>VLOOKUP(Tabelle2[[#This Row],[Kunden Nr.]],KUNDEN!A:B,2,0)</f>
        <v>XHAFA</v>
      </c>
      <c r="H1629" s="75">
        <v>35110</v>
      </c>
      <c r="I1629" s="76" t="str">
        <f>VLOOKUP(Tabelle2[[#This Row],[Artikel]],Produkte!A:B,2,0)</f>
        <v>M-ONE Sanitar Silikon</v>
      </c>
      <c r="J1629" s="75">
        <v>12</v>
      </c>
      <c r="K1629" s="76" t="str">
        <f>VLOOKUP(Tabelle2[[#This Row],[Kunden Nr.]],KUNDEN!A:G,7)</f>
        <v>Qerimi</v>
      </c>
      <c r="L1629" s="76">
        <f>VLOOKUP(Tabelle2[[#This Row],[Artikel]],Produkte!A:H,8)</f>
        <v>0.17</v>
      </c>
    </row>
    <row r="1630" spans="1:12" x14ac:dyDescent="0.2">
      <c r="A1630" s="75" t="s">
        <v>515</v>
      </c>
      <c r="B1630" s="79">
        <v>46098</v>
      </c>
      <c r="C1630" s="75"/>
      <c r="D1630" s="75"/>
      <c r="E1630" s="75"/>
      <c r="F1630" s="75">
        <v>10205</v>
      </c>
      <c r="G1630" s="76" t="str">
        <f>VLOOKUP(Tabelle2[[#This Row],[Kunden Nr.]],KUNDEN!A:B,2,0)</f>
        <v>XHAFA</v>
      </c>
      <c r="H1630" s="75">
        <v>35121</v>
      </c>
      <c r="I1630" s="76" t="str">
        <f>VLOOKUP(Tabelle2[[#This Row],[Artikel]],Produkte!A:B,2,0)</f>
        <v>M-ONE Sanitar Silikon</v>
      </c>
      <c r="J1630" s="75">
        <v>12</v>
      </c>
      <c r="K1630" s="76" t="str">
        <f>VLOOKUP(Tabelle2[[#This Row],[Kunden Nr.]],KUNDEN!A:G,7)</f>
        <v>Qerimi</v>
      </c>
      <c r="L1630" s="76">
        <f>VLOOKUP(Tabelle2[[#This Row],[Artikel]],Produkte!A:H,8)</f>
        <v>0.17</v>
      </c>
    </row>
    <row r="1631" spans="1:12" x14ac:dyDescent="0.2">
      <c r="A1631" s="75" t="s">
        <v>515</v>
      </c>
      <c r="B1631" s="79">
        <v>46098</v>
      </c>
      <c r="C1631" s="75"/>
      <c r="D1631" s="75"/>
      <c r="E1631" s="75"/>
      <c r="F1631" s="75">
        <v>10205</v>
      </c>
      <c r="G1631" s="76" t="str">
        <f>VLOOKUP(Tabelle2[[#This Row],[Kunden Nr.]],KUNDEN!A:B,2,0)</f>
        <v>XHAFA</v>
      </c>
      <c r="H1631" s="75">
        <v>50912</v>
      </c>
      <c r="I1631" s="76" t="str">
        <f>VLOOKUP(Tabelle2[[#This Row],[Artikel]],Produkte!A:B,2,0)</f>
        <v>DICHTUNG</v>
      </c>
      <c r="J1631" s="75">
        <v>2</v>
      </c>
      <c r="K1631" s="76" t="str">
        <f>VLOOKUP(Tabelle2[[#This Row],[Kunden Nr.]],KUNDEN!A:G,7)</f>
        <v>Qerimi</v>
      </c>
      <c r="L1631" s="76">
        <f>VLOOKUP(Tabelle2[[#This Row],[Artikel]],Produkte!A:H,8)</f>
        <v>0.2</v>
      </c>
    </row>
    <row r="1632" spans="1:12" x14ac:dyDescent="0.2">
      <c r="A1632" s="75" t="s">
        <v>1179</v>
      </c>
      <c r="B1632" s="79">
        <v>46098</v>
      </c>
      <c r="C1632" s="89">
        <v>92.4</v>
      </c>
      <c r="D1632" s="75"/>
      <c r="E1632" s="75"/>
      <c r="F1632" s="75">
        <v>40019</v>
      </c>
      <c r="G1632" s="76" t="str">
        <f>VLOOKUP(Tabelle2[[#This Row],[Kunden Nr.]],KUNDEN!A:B,2,0)</f>
        <v>TEMAJ</v>
      </c>
      <c r="H1632" s="75">
        <v>35108</v>
      </c>
      <c r="I1632" s="76" t="str">
        <f>VLOOKUP(Tabelle2[[#This Row],[Artikel]],Produkte!A:B,2,0)</f>
        <v>M-ONE Sanitar Silikon</v>
      </c>
      <c r="J1632" s="75">
        <v>12</v>
      </c>
      <c r="K1632" s="76">
        <f>VLOOKUP(Tabelle2[[#This Row],[Kunden Nr.]],KUNDEN!A:G,7)</f>
        <v>0</v>
      </c>
      <c r="L1632" s="76">
        <f>VLOOKUP(Tabelle2[[#This Row],[Artikel]],Produkte!A:H,8)</f>
        <v>0.17</v>
      </c>
    </row>
    <row r="1633" spans="1:12" x14ac:dyDescent="0.2">
      <c r="A1633" s="75" t="s">
        <v>1179</v>
      </c>
      <c r="B1633" s="79">
        <v>46098</v>
      </c>
      <c r="C1633" s="75"/>
      <c r="D1633" s="75"/>
      <c r="E1633" s="75"/>
      <c r="F1633" s="75">
        <v>40019</v>
      </c>
      <c r="G1633" s="76" t="str">
        <f>VLOOKUP(Tabelle2[[#This Row],[Kunden Nr.]],KUNDEN!A:B,2,0)</f>
        <v>TEMAJ</v>
      </c>
      <c r="H1633" s="75">
        <v>35121</v>
      </c>
      <c r="I1633" s="76" t="str">
        <f>VLOOKUP(Tabelle2[[#This Row],[Artikel]],Produkte!A:B,2,0)</f>
        <v>M-ONE Sanitar Silikon</v>
      </c>
      <c r="J1633" s="75">
        <v>12</v>
      </c>
      <c r="K1633" s="76">
        <f>VLOOKUP(Tabelle2[[#This Row],[Kunden Nr.]],KUNDEN!A:G,7)</f>
        <v>0</v>
      </c>
      <c r="L1633" s="76">
        <f>VLOOKUP(Tabelle2[[#This Row],[Artikel]],Produkte!A:H,8)</f>
        <v>0.17</v>
      </c>
    </row>
    <row r="1634" spans="1:12" x14ac:dyDescent="0.2">
      <c r="A1634" s="75" t="s">
        <v>422</v>
      </c>
      <c r="B1634" s="79">
        <v>46098</v>
      </c>
      <c r="C1634" s="89">
        <v>138.6</v>
      </c>
      <c r="D1634" s="75"/>
      <c r="E1634" s="75"/>
      <c r="F1634" s="75">
        <v>20209</v>
      </c>
      <c r="G1634" s="76" t="str">
        <f>VLOOKUP(Tabelle2[[#This Row],[Kunden Nr.]],KUNDEN!A:B,2,0)</f>
        <v>LETAJ</v>
      </c>
      <c r="H1634" s="75">
        <v>35110</v>
      </c>
      <c r="I1634" s="76" t="str">
        <f>VLOOKUP(Tabelle2[[#This Row],[Artikel]],Produkte!A:B,2,0)</f>
        <v>M-ONE Sanitar Silikon</v>
      </c>
      <c r="J1634" s="75">
        <v>24</v>
      </c>
      <c r="K1634" s="76" t="str">
        <f>VLOOKUP(Tabelle2[[#This Row],[Kunden Nr.]],KUNDEN!A:G,7)</f>
        <v>Mensuri</v>
      </c>
      <c r="L1634" s="76">
        <f>VLOOKUP(Tabelle2[[#This Row],[Artikel]],Produkte!A:H,8)</f>
        <v>0.17</v>
      </c>
    </row>
    <row r="1635" spans="1:12" x14ac:dyDescent="0.2">
      <c r="A1635" s="75" t="s">
        <v>422</v>
      </c>
      <c r="B1635" s="79">
        <v>46098</v>
      </c>
      <c r="C1635" s="75"/>
      <c r="D1635" s="75"/>
      <c r="E1635" s="75"/>
      <c r="F1635" s="75">
        <v>20209</v>
      </c>
      <c r="G1635" s="76" t="str">
        <f>VLOOKUP(Tabelle2[[#This Row],[Kunden Nr.]],KUNDEN!A:B,2,0)</f>
        <v>LETAJ</v>
      </c>
      <c r="H1635" s="75">
        <v>35111</v>
      </c>
      <c r="I1635" s="76" t="str">
        <f>VLOOKUP(Tabelle2[[#This Row],[Artikel]],Produkte!A:B,2,0)</f>
        <v>M-ONE Sanitar Silikon</v>
      </c>
      <c r="J1635" s="75">
        <v>12</v>
      </c>
      <c r="K1635" s="76" t="str">
        <f>VLOOKUP(Tabelle2[[#This Row],[Kunden Nr.]],KUNDEN!A:G,7)</f>
        <v>Mensuri</v>
      </c>
      <c r="L1635" s="76">
        <f>VLOOKUP(Tabelle2[[#This Row],[Artikel]],Produkte!A:H,8)</f>
        <v>0.17</v>
      </c>
    </row>
    <row r="1636" spans="1:12" x14ac:dyDescent="0.2">
      <c r="A1636" s="75" t="s">
        <v>1155</v>
      </c>
      <c r="B1636" s="79">
        <v>46098</v>
      </c>
      <c r="C1636" s="89">
        <v>36.5</v>
      </c>
      <c r="D1636" s="75"/>
      <c r="E1636" s="75"/>
      <c r="F1636" s="75">
        <v>20220</v>
      </c>
      <c r="G1636" s="76" t="str">
        <f>VLOOKUP(Tabelle2[[#This Row],[Kunden Nr.]],KUNDEN!A:B,2,0)</f>
        <v>GERMAN FABRE</v>
      </c>
      <c r="H1636" s="75">
        <v>12000</v>
      </c>
      <c r="I1636" s="76" t="str">
        <f>VLOOKUP(Tabelle2[[#This Row],[Artikel]],Produkte!A:B,2,0)</f>
        <v>BAU CLEAN</v>
      </c>
      <c r="J1636" s="75">
        <v>3</v>
      </c>
      <c r="K1636" s="76" t="str">
        <f>VLOOKUP(Tabelle2[[#This Row],[Kunden Nr.]],KUNDEN!A:G,7)</f>
        <v>Mensuri</v>
      </c>
      <c r="L1636" s="76">
        <f>VLOOKUP(Tabelle2[[#This Row],[Artikel]],Produkte!A:H,8)</f>
        <v>0.5</v>
      </c>
    </row>
    <row r="1637" spans="1:12" x14ac:dyDescent="0.2">
      <c r="A1637" s="75" t="s">
        <v>1155</v>
      </c>
      <c r="B1637" s="79">
        <v>46098</v>
      </c>
      <c r="C1637" s="75"/>
      <c r="D1637" s="75"/>
      <c r="E1637" s="75"/>
      <c r="F1637" s="75">
        <v>20220</v>
      </c>
      <c r="G1637" s="76" t="str">
        <f>VLOOKUP(Tabelle2[[#This Row],[Kunden Nr.]],KUNDEN!A:B,2,0)</f>
        <v>GERMAN FABRE</v>
      </c>
      <c r="H1637" s="75">
        <v>12001</v>
      </c>
      <c r="I1637" s="76" t="str">
        <f>VLOOKUP(Tabelle2[[#This Row],[Artikel]],Produkte!A:B,2,0)</f>
        <v>BAU CLEAN</v>
      </c>
      <c r="J1637" s="75">
        <v>5</v>
      </c>
      <c r="K1637" s="76" t="str">
        <f>VLOOKUP(Tabelle2[[#This Row],[Kunden Nr.]],KUNDEN!A:G,7)</f>
        <v>Mensuri</v>
      </c>
      <c r="L1637" s="76">
        <f>VLOOKUP(Tabelle2[[#This Row],[Artikel]],Produkte!A:H,8)</f>
        <v>0.3</v>
      </c>
    </row>
    <row r="1638" spans="1:12" x14ac:dyDescent="0.2">
      <c r="A1638" s="75" t="s">
        <v>425</v>
      </c>
      <c r="B1638" s="79">
        <v>46098</v>
      </c>
      <c r="C1638" s="89">
        <v>184.8</v>
      </c>
      <c r="D1638" s="75"/>
      <c r="E1638" s="75"/>
      <c r="F1638" s="75">
        <v>20212</v>
      </c>
      <c r="G1638" s="76" t="str">
        <f>VLOOKUP(Tabelle2[[#This Row],[Kunden Nr.]],KUNDEN!A:B,2,0)</f>
        <v>INOX 2</v>
      </c>
      <c r="H1638" s="75">
        <v>35111</v>
      </c>
      <c r="I1638" s="76" t="str">
        <f>VLOOKUP(Tabelle2[[#This Row],[Artikel]],Produkte!A:B,2,0)</f>
        <v>M-ONE Sanitar Silikon</v>
      </c>
      <c r="J1638" s="75">
        <v>12</v>
      </c>
      <c r="K1638" s="76" t="str">
        <f>VLOOKUP(Tabelle2[[#This Row],[Kunden Nr.]],KUNDEN!A:G,7)</f>
        <v>Mensuri</v>
      </c>
      <c r="L1638" s="76">
        <f>VLOOKUP(Tabelle2[[#This Row],[Artikel]],Produkte!A:H,8)</f>
        <v>0.17</v>
      </c>
    </row>
    <row r="1639" spans="1:12" x14ac:dyDescent="0.2">
      <c r="A1639" s="75" t="s">
        <v>425</v>
      </c>
      <c r="B1639" s="79">
        <v>46098</v>
      </c>
      <c r="C1639" s="75"/>
      <c r="D1639" s="75"/>
      <c r="E1639" s="75"/>
      <c r="F1639" s="75">
        <v>20212</v>
      </c>
      <c r="G1639" s="76" t="str">
        <f>VLOOKUP(Tabelle2[[#This Row],[Kunden Nr.]],KUNDEN!A:B,2,0)</f>
        <v>INOX 2</v>
      </c>
      <c r="H1639" s="75">
        <v>35113</v>
      </c>
      <c r="I1639" s="76" t="str">
        <f>VLOOKUP(Tabelle2[[#This Row],[Artikel]],Produkte!A:B,2,0)</f>
        <v>M-ONE Sanitar Silikon</v>
      </c>
      <c r="J1639" s="75">
        <v>12</v>
      </c>
      <c r="K1639" s="76" t="str">
        <f>VLOOKUP(Tabelle2[[#This Row],[Kunden Nr.]],KUNDEN!A:G,7)</f>
        <v>Mensuri</v>
      </c>
      <c r="L1639" s="76">
        <f>VLOOKUP(Tabelle2[[#This Row],[Artikel]],Produkte!A:H,8)</f>
        <v>0.17</v>
      </c>
    </row>
    <row r="1640" spans="1:12" x14ac:dyDescent="0.2">
      <c r="A1640" s="75" t="s">
        <v>425</v>
      </c>
      <c r="B1640" s="79">
        <v>46098</v>
      </c>
      <c r="C1640" s="75"/>
      <c r="D1640" s="75"/>
      <c r="E1640" s="75"/>
      <c r="F1640" s="75">
        <v>20212</v>
      </c>
      <c r="G1640" s="76" t="str">
        <f>VLOOKUP(Tabelle2[[#This Row],[Kunden Nr.]],KUNDEN!A:B,2,0)</f>
        <v>INOX 2</v>
      </c>
      <c r="H1640" s="75">
        <v>35114</v>
      </c>
      <c r="I1640" s="76" t="str">
        <f>VLOOKUP(Tabelle2[[#This Row],[Artikel]],Produkte!A:B,2,0)</f>
        <v>M-ONE Sanitar Silikon</v>
      </c>
      <c r="J1640" s="75">
        <v>12</v>
      </c>
      <c r="K1640" s="76" t="str">
        <f>VLOOKUP(Tabelle2[[#This Row],[Kunden Nr.]],KUNDEN!A:G,7)</f>
        <v>Mensuri</v>
      </c>
      <c r="L1640" s="76">
        <f>VLOOKUP(Tabelle2[[#This Row],[Artikel]],Produkte!A:H,8)</f>
        <v>0.17</v>
      </c>
    </row>
    <row r="1641" spans="1:12" x14ac:dyDescent="0.2">
      <c r="A1641" s="75" t="s">
        <v>425</v>
      </c>
      <c r="B1641" s="79">
        <v>46098</v>
      </c>
      <c r="C1641" s="75"/>
      <c r="D1641" s="75"/>
      <c r="E1641" s="75"/>
      <c r="F1641" s="75">
        <v>20212</v>
      </c>
      <c r="G1641" s="76" t="str">
        <f>VLOOKUP(Tabelle2[[#This Row],[Kunden Nr.]],KUNDEN!A:B,2,0)</f>
        <v>INOX 2</v>
      </c>
      <c r="H1641" s="75">
        <v>35125</v>
      </c>
      <c r="I1641" s="76" t="str">
        <f>VLOOKUP(Tabelle2[[#This Row],[Artikel]],Produkte!A:B,2,0)</f>
        <v>M-ONE Sanitar Silikon</v>
      </c>
      <c r="J1641" s="75">
        <v>12</v>
      </c>
      <c r="K1641" s="76" t="str">
        <f>VLOOKUP(Tabelle2[[#This Row],[Kunden Nr.]],KUNDEN!A:G,7)</f>
        <v>Mensuri</v>
      </c>
      <c r="L1641" s="76">
        <f>VLOOKUP(Tabelle2[[#This Row],[Artikel]],Produkte!A:H,8)</f>
        <v>0.17</v>
      </c>
    </row>
    <row r="1642" spans="1:12" x14ac:dyDescent="0.2">
      <c r="A1642" s="75" t="s">
        <v>1302</v>
      </c>
      <c r="B1642" s="79">
        <v>46098</v>
      </c>
      <c r="C1642" s="89">
        <v>69.599999999999994</v>
      </c>
      <c r="D1642" s="75"/>
      <c r="E1642" s="75"/>
      <c r="F1642" s="75">
        <v>20228</v>
      </c>
      <c r="G1642" s="76" t="str">
        <f>VLOOKUP(Tabelle2[[#This Row],[Kunden Nr.]],KUNDEN!A:B,2,0)</f>
        <v>HB-DECOR</v>
      </c>
      <c r="H1642" s="75">
        <v>66701</v>
      </c>
      <c r="I1642" s="76" t="str">
        <f>VLOOKUP(Tabelle2[[#This Row],[Artikel]],Produkte!A:B,2,0)</f>
        <v>PROFIMONT EXTREME</v>
      </c>
      <c r="J1642" s="75">
        <v>12</v>
      </c>
      <c r="K1642" s="76" t="str">
        <f>VLOOKUP(Tabelle2[[#This Row],[Kunden Nr.]],KUNDEN!A:G,7)</f>
        <v>Mensuri</v>
      </c>
      <c r="L1642" s="76">
        <f>VLOOKUP(Tabelle2[[#This Row],[Artikel]],Produkte!A:H,8)</f>
        <v>0.2</v>
      </c>
    </row>
    <row r="1643" spans="1:12" x14ac:dyDescent="0.2">
      <c r="A1643" s="75" t="s">
        <v>1041</v>
      </c>
      <c r="B1643" s="79">
        <v>46098</v>
      </c>
      <c r="C1643" s="89">
        <v>92.4</v>
      </c>
      <c r="D1643" s="75"/>
      <c r="E1643" s="75"/>
      <c r="F1643" s="75">
        <v>20223</v>
      </c>
      <c r="G1643" s="76" t="str">
        <f>VLOOKUP(Tabelle2[[#This Row],[Kunden Nr.]],KUNDEN!A:B,2,0)</f>
        <v>GER COLORS</v>
      </c>
      <c r="H1643" s="75">
        <v>35108</v>
      </c>
      <c r="I1643" s="76" t="str">
        <f>VLOOKUP(Tabelle2[[#This Row],[Artikel]],Produkte!A:B,2,0)</f>
        <v>M-ONE Sanitar Silikon</v>
      </c>
      <c r="J1643" s="75">
        <v>12</v>
      </c>
      <c r="K1643" s="76" t="str">
        <f>VLOOKUP(Tabelle2[[#This Row],[Kunden Nr.]],KUNDEN!A:G,7)</f>
        <v>Mensuri</v>
      </c>
      <c r="L1643" s="76">
        <f>VLOOKUP(Tabelle2[[#This Row],[Artikel]],Produkte!A:H,8)</f>
        <v>0.17</v>
      </c>
    </row>
    <row r="1644" spans="1:12" x14ac:dyDescent="0.2">
      <c r="A1644" s="75" t="s">
        <v>1041</v>
      </c>
      <c r="B1644" s="79">
        <v>46098</v>
      </c>
      <c r="C1644" s="75"/>
      <c r="D1644" s="75"/>
      <c r="E1644" s="75"/>
      <c r="F1644" s="75">
        <v>20223</v>
      </c>
      <c r="G1644" s="76" t="str">
        <f>VLOOKUP(Tabelle2[[#This Row],[Kunden Nr.]],KUNDEN!A:B,2,0)</f>
        <v>GER COLORS</v>
      </c>
      <c r="H1644" s="75">
        <v>35111</v>
      </c>
      <c r="I1644" s="76" t="str">
        <f>VLOOKUP(Tabelle2[[#This Row],[Artikel]],Produkte!A:B,2,0)</f>
        <v>M-ONE Sanitar Silikon</v>
      </c>
      <c r="J1644" s="75">
        <v>12</v>
      </c>
      <c r="K1644" s="76" t="str">
        <f>VLOOKUP(Tabelle2[[#This Row],[Kunden Nr.]],KUNDEN!A:G,7)</f>
        <v>Mensuri</v>
      </c>
      <c r="L1644" s="76">
        <f>VLOOKUP(Tabelle2[[#This Row],[Artikel]],Produkte!A:H,8)</f>
        <v>0.17</v>
      </c>
    </row>
    <row r="1645" spans="1:12" x14ac:dyDescent="0.2">
      <c r="A1645" s="75" t="s">
        <v>670</v>
      </c>
      <c r="B1645" s="79">
        <v>46098</v>
      </c>
      <c r="C1645" s="89">
        <v>120</v>
      </c>
      <c r="D1645" s="75"/>
      <c r="E1645" s="75"/>
      <c r="F1645" s="75">
        <v>20206</v>
      </c>
      <c r="G1645" s="76" t="str">
        <f>VLOOKUP(Tabelle2[[#This Row],[Kunden Nr.]],KUNDEN!A:B,2,0)</f>
        <v>ERENIKU</v>
      </c>
      <c r="H1645" s="75">
        <v>35111</v>
      </c>
      <c r="I1645" s="76" t="str">
        <f>VLOOKUP(Tabelle2[[#This Row],[Artikel]],Produkte!A:B,2,0)</f>
        <v>M-ONE Sanitar Silikon</v>
      </c>
      <c r="J1645" s="75">
        <v>12</v>
      </c>
      <c r="K1645" s="76" t="str">
        <f>VLOOKUP(Tabelle2[[#This Row],[Kunden Nr.]],KUNDEN!A:G,7)</f>
        <v>Mensuri</v>
      </c>
      <c r="L1645" s="76">
        <f>VLOOKUP(Tabelle2[[#This Row],[Artikel]],Produkte!A:H,8)</f>
        <v>0.17</v>
      </c>
    </row>
    <row r="1646" spans="1:12" x14ac:dyDescent="0.2">
      <c r="A1646" s="75" t="s">
        <v>670</v>
      </c>
      <c r="B1646" s="79">
        <v>46098</v>
      </c>
      <c r="C1646" s="75"/>
      <c r="D1646" s="75"/>
      <c r="E1646" s="75"/>
      <c r="F1646" s="75">
        <v>20206</v>
      </c>
      <c r="G1646" s="76" t="str">
        <f>VLOOKUP(Tabelle2[[#This Row],[Kunden Nr.]],KUNDEN!A:B,2,0)</f>
        <v>ERENIKU</v>
      </c>
      <c r="H1646" s="75">
        <v>35128</v>
      </c>
      <c r="I1646" s="76" t="str">
        <f>VLOOKUP(Tabelle2[[#This Row],[Artikel]],Produkte!A:B,2,0)</f>
        <v>M-ONE Sanitar Silikon</v>
      </c>
      <c r="J1646" s="75">
        <v>12</v>
      </c>
      <c r="K1646" s="76" t="str">
        <f>VLOOKUP(Tabelle2[[#This Row],[Kunden Nr.]],KUNDEN!A:G,7)</f>
        <v>Mensuri</v>
      </c>
      <c r="L1646" s="76">
        <f>VLOOKUP(Tabelle2[[#This Row],[Artikel]],Produkte!A:H,8)</f>
        <v>0.17</v>
      </c>
    </row>
    <row r="1647" spans="1:12" x14ac:dyDescent="0.2">
      <c r="A1647" s="75" t="s">
        <v>670</v>
      </c>
      <c r="B1647" s="79">
        <v>46098</v>
      </c>
      <c r="C1647" s="75"/>
      <c r="D1647" s="75"/>
      <c r="E1647" s="75"/>
      <c r="F1647" s="75">
        <v>20206</v>
      </c>
      <c r="G1647" s="76" t="str">
        <f>VLOOKUP(Tabelle2[[#This Row],[Kunden Nr.]],KUNDEN!A:B,2,0)</f>
        <v>ERENIKU</v>
      </c>
      <c r="H1647" s="75">
        <v>51612</v>
      </c>
      <c r="I1647" s="76" t="str">
        <f>VLOOKUP(Tabelle2[[#This Row],[Artikel]],Produkte!A:B,2,0)</f>
        <v>struktural akryl</v>
      </c>
      <c r="J1647" s="75">
        <v>12</v>
      </c>
      <c r="K1647" s="76" t="str">
        <f>VLOOKUP(Tabelle2[[#This Row],[Kunden Nr.]],KUNDEN!A:G,7)</f>
        <v>Mensuri</v>
      </c>
      <c r="L1647" s="76">
        <f>VLOOKUP(Tabelle2[[#This Row],[Artikel]],Produkte!A:H,8)</f>
        <v>0.06</v>
      </c>
    </row>
    <row r="1648" spans="1:12" x14ac:dyDescent="0.2">
      <c r="A1648" s="75" t="s">
        <v>418</v>
      </c>
      <c r="B1648" s="79">
        <v>46098</v>
      </c>
      <c r="C1648" s="89">
        <v>92.4</v>
      </c>
      <c r="D1648" s="75"/>
      <c r="E1648" s="75"/>
      <c r="F1648" s="75">
        <v>20203</v>
      </c>
      <c r="G1648" s="76" t="str">
        <f>VLOOKUP(Tabelle2[[#This Row],[Kunden Nr.]],KUNDEN!A:B,2,0)</f>
        <v>AFRIMI-AG</v>
      </c>
      <c r="H1648" s="75">
        <v>35110</v>
      </c>
      <c r="I1648" s="76" t="str">
        <f>VLOOKUP(Tabelle2[[#This Row],[Artikel]],Produkte!A:B,2,0)</f>
        <v>M-ONE Sanitar Silikon</v>
      </c>
      <c r="J1648" s="75">
        <v>12</v>
      </c>
      <c r="K1648" s="76" t="str">
        <f>VLOOKUP(Tabelle2[[#This Row],[Kunden Nr.]],KUNDEN!A:G,7)</f>
        <v>Mensuri</v>
      </c>
      <c r="L1648" s="76">
        <f>VLOOKUP(Tabelle2[[#This Row],[Artikel]],Produkte!A:H,8)</f>
        <v>0.17</v>
      </c>
    </row>
    <row r="1649" spans="1:12" x14ac:dyDescent="0.2">
      <c r="A1649" s="75" t="s">
        <v>418</v>
      </c>
      <c r="B1649" s="79">
        <v>46098</v>
      </c>
      <c r="C1649" s="75"/>
      <c r="D1649" s="75"/>
      <c r="E1649" s="75"/>
      <c r="F1649" s="75">
        <v>20203</v>
      </c>
      <c r="G1649" s="76" t="str">
        <f>VLOOKUP(Tabelle2[[#This Row],[Kunden Nr.]],KUNDEN!A:B,2,0)</f>
        <v>AFRIMI-AG</v>
      </c>
      <c r="H1649" s="75">
        <v>35113</v>
      </c>
      <c r="I1649" s="76" t="str">
        <f>VLOOKUP(Tabelle2[[#This Row],[Artikel]],Produkte!A:B,2,0)</f>
        <v>M-ONE Sanitar Silikon</v>
      </c>
      <c r="J1649" s="75">
        <v>12</v>
      </c>
      <c r="K1649" s="76" t="str">
        <f>VLOOKUP(Tabelle2[[#This Row],[Kunden Nr.]],KUNDEN!A:G,7)</f>
        <v>Mensuri</v>
      </c>
      <c r="L1649" s="76">
        <f>VLOOKUP(Tabelle2[[#This Row],[Artikel]],Produkte!A:H,8)</f>
        <v>0.17</v>
      </c>
    </row>
    <row r="1650" spans="1:12" x14ac:dyDescent="0.2">
      <c r="A1650" s="75" t="s">
        <v>963</v>
      </c>
      <c r="B1650" s="79">
        <v>46098</v>
      </c>
      <c r="C1650" s="89">
        <v>85.2</v>
      </c>
      <c r="D1650" s="75"/>
      <c r="E1650" s="75"/>
      <c r="F1650" s="75">
        <v>20201</v>
      </c>
      <c r="G1650" s="76" t="str">
        <f>VLOOKUP(Tabelle2[[#This Row],[Kunden Nr.]],KUNDEN!A:B,2,0)</f>
        <v>TE BESIMI</v>
      </c>
      <c r="H1650" s="75">
        <v>35128</v>
      </c>
      <c r="I1650" s="76" t="str">
        <f>VLOOKUP(Tabelle2[[#This Row],[Artikel]],Produkte!A:B,2,0)</f>
        <v>M-ONE Sanitar Silikon</v>
      </c>
      <c r="J1650" s="75">
        <v>12</v>
      </c>
      <c r="K1650" s="76" t="str">
        <f>VLOOKUP(Tabelle2[[#This Row],[Kunden Nr.]],KUNDEN!A:G,7)</f>
        <v>Mensuri</v>
      </c>
      <c r="L1650" s="76">
        <f>VLOOKUP(Tabelle2[[#This Row],[Artikel]],Produkte!A:H,8)</f>
        <v>0.17</v>
      </c>
    </row>
    <row r="1651" spans="1:12" x14ac:dyDescent="0.2">
      <c r="A1651" s="75" t="s">
        <v>963</v>
      </c>
      <c r="B1651" s="79">
        <v>46098</v>
      </c>
      <c r="C1651" s="75"/>
      <c r="D1651" s="75"/>
      <c r="E1651" s="75"/>
      <c r="F1651" s="75">
        <v>20201</v>
      </c>
      <c r="G1651" s="76" t="str">
        <f>VLOOKUP(Tabelle2[[#This Row],[Kunden Nr.]],KUNDEN!A:B,2,0)</f>
        <v>TE BESIMI</v>
      </c>
      <c r="H1651" s="75">
        <v>39505</v>
      </c>
      <c r="I1651" s="76" t="str">
        <f>VLOOKUP(Tabelle2[[#This Row],[Artikel]],Produkte!A:B,2,0)</f>
        <v>M ONE SILIKON SPRAY</v>
      </c>
      <c r="J1651" s="75">
        <v>5</v>
      </c>
      <c r="K1651" s="76" t="str">
        <f>VLOOKUP(Tabelle2[[#This Row],[Kunden Nr.]],KUNDEN!A:G,7)</f>
        <v>Mensuri</v>
      </c>
      <c r="L1651" s="76">
        <f>VLOOKUP(Tabelle2[[#This Row],[Artikel]],Produkte!A:H,8)</f>
        <v>0.2</v>
      </c>
    </row>
    <row r="1652" spans="1:12" x14ac:dyDescent="0.2">
      <c r="A1652" s="75" t="s">
        <v>963</v>
      </c>
      <c r="B1652" s="79">
        <v>46098</v>
      </c>
      <c r="C1652" s="75"/>
      <c r="D1652" s="75"/>
      <c r="E1652" s="75"/>
      <c r="F1652" s="75">
        <v>20201</v>
      </c>
      <c r="G1652" s="76" t="str">
        <f>VLOOKUP(Tabelle2[[#This Row],[Kunden Nr.]],KUNDEN!A:B,2,0)</f>
        <v>TE BESIMI</v>
      </c>
      <c r="H1652" s="75">
        <v>54412</v>
      </c>
      <c r="I1652" s="76" t="str">
        <f>VLOOKUP(Tabelle2[[#This Row],[Artikel]],Produkte!A:B,2,0)</f>
        <v>beMAKER Bremsen&amp;Teile Reininger</v>
      </c>
      <c r="J1652" s="75">
        <v>4</v>
      </c>
      <c r="K1652" s="76" t="str">
        <f>VLOOKUP(Tabelle2[[#This Row],[Kunden Nr.]],KUNDEN!A:G,7)</f>
        <v>Mensuri</v>
      </c>
      <c r="L1652" s="76">
        <f>VLOOKUP(Tabelle2[[#This Row],[Artikel]],Produkte!A:H,8)</f>
        <v>0.2</v>
      </c>
    </row>
    <row r="1653" spans="1:12" x14ac:dyDescent="0.2">
      <c r="A1653" s="75" t="s">
        <v>963</v>
      </c>
      <c r="B1653" s="79">
        <v>46098</v>
      </c>
      <c r="C1653" s="75"/>
      <c r="D1653" s="75"/>
      <c r="E1653" s="75"/>
      <c r="F1653" s="75">
        <v>20201</v>
      </c>
      <c r="G1653" s="76" t="str">
        <f>VLOOKUP(Tabelle2[[#This Row],[Kunden Nr.]],KUNDEN!A:B,2,0)</f>
        <v>TE BESIMI</v>
      </c>
      <c r="H1653" s="75">
        <v>50912</v>
      </c>
      <c r="I1653" s="76" t="str">
        <f>VLOOKUP(Tabelle2[[#This Row],[Artikel]],Produkte!A:B,2,0)</f>
        <v>DICHTUNG</v>
      </c>
      <c r="J1653" s="75">
        <v>2</v>
      </c>
      <c r="K1653" s="76" t="str">
        <f>VLOOKUP(Tabelle2[[#This Row],[Kunden Nr.]],KUNDEN!A:G,7)</f>
        <v>Mensuri</v>
      </c>
      <c r="L1653" s="76">
        <f>VLOOKUP(Tabelle2[[#This Row],[Artikel]],Produkte!A:H,8)</f>
        <v>0.2</v>
      </c>
    </row>
    <row r="1654" spans="1:12" x14ac:dyDescent="0.2">
      <c r="A1654" s="75" t="s">
        <v>770</v>
      </c>
      <c r="B1654" s="79">
        <v>46098</v>
      </c>
      <c r="C1654" s="89">
        <v>351.75</v>
      </c>
      <c r="D1654" s="75"/>
      <c r="E1654" s="75"/>
      <c r="F1654" s="75">
        <v>40003</v>
      </c>
      <c r="G1654" s="76" t="str">
        <f>VLOOKUP(Tabelle2[[#This Row],[Kunden Nr.]],KUNDEN!A:B,2,0)</f>
        <v>ARBENI BIOBLIC</v>
      </c>
      <c r="H1654" s="75">
        <v>20001</v>
      </c>
      <c r="I1654" s="76" t="str">
        <f>VLOOKUP(Tabelle2[[#This Row],[Artikel]],Produkte!A:B,2,0)</f>
        <v>BioBlic Universalreiniger</v>
      </c>
      <c r="J1654" s="75">
        <v>165</v>
      </c>
      <c r="K1654" s="76">
        <f>VLOOKUP(Tabelle2[[#This Row],[Kunden Nr.]],KUNDEN!A:G,7)</f>
        <v>0</v>
      </c>
      <c r="L1654" s="76">
        <f>VLOOKUP(Tabelle2[[#This Row],[Artikel]],Produkte!A:H,8)</f>
        <v>0.30000000000000004</v>
      </c>
    </row>
    <row r="1655" spans="1:12" x14ac:dyDescent="0.2">
      <c r="A1655" s="75" t="s">
        <v>770</v>
      </c>
      <c r="B1655" s="79">
        <v>46098</v>
      </c>
      <c r="C1655" s="75"/>
      <c r="D1655" s="75"/>
      <c r="E1655" s="75"/>
      <c r="F1655" s="75">
        <v>40003</v>
      </c>
      <c r="G1655" s="76" t="str">
        <f>VLOOKUP(Tabelle2[[#This Row],[Kunden Nr.]],KUNDEN!A:B,2,0)</f>
        <v>ARBENI BIOBLIC</v>
      </c>
      <c r="H1655" s="75">
        <v>30275</v>
      </c>
      <c r="I1655" s="76" t="str">
        <f>VLOOKUP(Tabelle2[[#This Row],[Artikel]],Produkte!A:B,2,0)</f>
        <v>Blic Blic Sanitärreiniger</v>
      </c>
      <c r="J1655" s="75">
        <v>105</v>
      </c>
      <c r="K1655" s="76">
        <f>VLOOKUP(Tabelle2[[#This Row],[Kunden Nr.]],KUNDEN!A:G,7)</f>
        <v>0</v>
      </c>
      <c r="L1655" s="76">
        <f>VLOOKUP(Tabelle2[[#This Row],[Artikel]],Produkte!A:H,8)</f>
        <v>0.30000000000000004</v>
      </c>
    </row>
    <row r="1656" spans="1:12" x14ac:dyDescent="0.2">
      <c r="A1656" s="75" t="s">
        <v>770</v>
      </c>
      <c r="B1656" s="79">
        <v>46098</v>
      </c>
      <c r="C1656" s="75"/>
      <c r="D1656" s="75"/>
      <c r="E1656" s="75"/>
      <c r="F1656" s="75">
        <v>40003</v>
      </c>
      <c r="G1656" s="76" t="str">
        <f>VLOOKUP(Tabelle2[[#This Row],[Kunden Nr.]],KUNDEN!A:B,2,0)</f>
        <v>ARBENI BIOBLIC</v>
      </c>
      <c r="H1656" s="75">
        <v>39505</v>
      </c>
      <c r="I1656" s="76" t="str">
        <f>VLOOKUP(Tabelle2[[#This Row],[Artikel]],Produkte!A:B,2,0)</f>
        <v>M ONE SILIKON SPRAY</v>
      </c>
      <c r="J1656" s="75">
        <v>8</v>
      </c>
      <c r="K1656" s="76">
        <f>VLOOKUP(Tabelle2[[#This Row],[Kunden Nr.]],KUNDEN!A:G,7)</f>
        <v>0</v>
      </c>
      <c r="L1656" s="76">
        <f>VLOOKUP(Tabelle2[[#This Row],[Artikel]],Produkte!A:H,8)</f>
        <v>0.2</v>
      </c>
    </row>
    <row r="1657" spans="1:12" x14ac:dyDescent="0.2">
      <c r="A1657" s="75" t="s">
        <v>43</v>
      </c>
      <c r="B1657" s="79">
        <v>46099</v>
      </c>
      <c r="C1657" s="89">
        <v>46.2</v>
      </c>
      <c r="D1657" s="75"/>
      <c r="E1657" s="75"/>
      <c r="F1657" s="75">
        <v>10332</v>
      </c>
      <c r="G1657" s="76" t="str">
        <f>VLOOKUP(Tabelle2[[#This Row],[Kunden Nr.]],KUNDEN!A:B,2,0)</f>
        <v>DARDANIA</v>
      </c>
      <c r="H1657" s="75">
        <v>35128</v>
      </c>
      <c r="I1657" s="76" t="str">
        <f>VLOOKUP(Tabelle2[[#This Row],[Artikel]],Produkte!A:B,2,0)</f>
        <v>M-ONE Sanitar Silikon</v>
      </c>
      <c r="J1657" s="75">
        <v>12</v>
      </c>
      <c r="K1657" s="76" t="str">
        <f>VLOOKUP(Tabelle2[[#This Row],[Kunden Nr.]],KUNDEN!A:G,7)</f>
        <v>Qerimi</v>
      </c>
      <c r="L1657" s="76">
        <f>VLOOKUP(Tabelle2[[#This Row],[Artikel]],Produkte!A:H,8)</f>
        <v>0.17</v>
      </c>
    </row>
    <row r="1658" spans="1:12" x14ac:dyDescent="0.2">
      <c r="A1658" s="75" t="s">
        <v>41</v>
      </c>
      <c r="B1658" s="79">
        <v>46099</v>
      </c>
      <c r="C1658" s="89">
        <v>138.6</v>
      </c>
      <c r="D1658" s="75"/>
      <c r="E1658" s="75"/>
      <c r="F1658" s="75">
        <v>10330</v>
      </c>
      <c r="G1658" s="76" t="str">
        <f>VLOOKUP(Tabelle2[[#This Row],[Kunden Nr.]],KUNDEN!A:B,2,0)</f>
        <v>BURIMI</v>
      </c>
      <c r="H1658" s="75">
        <v>35111</v>
      </c>
      <c r="I1658" s="76" t="str">
        <f>VLOOKUP(Tabelle2[[#This Row],[Artikel]],Produkte!A:B,2,0)</f>
        <v>M-ONE Sanitar Silikon</v>
      </c>
      <c r="J1658" s="75">
        <v>12</v>
      </c>
      <c r="K1658" s="76" t="str">
        <f>VLOOKUP(Tabelle2[[#This Row],[Kunden Nr.]],KUNDEN!A:G,7)</f>
        <v>Qerimi</v>
      </c>
      <c r="L1658" s="76">
        <f>VLOOKUP(Tabelle2[[#This Row],[Artikel]],Produkte!A:H,8)</f>
        <v>0.17</v>
      </c>
    </row>
    <row r="1659" spans="1:12" x14ac:dyDescent="0.2">
      <c r="A1659" s="75" t="s">
        <v>41</v>
      </c>
      <c r="B1659" s="79">
        <v>46099</v>
      </c>
      <c r="C1659" s="75"/>
      <c r="D1659" s="75"/>
      <c r="E1659" s="75"/>
      <c r="F1659" s="75">
        <v>10330</v>
      </c>
      <c r="G1659" s="76" t="str">
        <f>VLOOKUP(Tabelle2[[#This Row],[Kunden Nr.]],KUNDEN!A:B,2,0)</f>
        <v>BURIMI</v>
      </c>
      <c r="H1659" s="75">
        <v>35109</v>
      </c>
      <c r="I1659" s="76" t="str">
        <f>VLOOKUP(Tabelle2[[#This Row],[Artikel]],Produkte!A:B,2,0)</f>
        <v>M-ONE Sanitar Silikon</v>
      </c>
      <c r="J1659" s="75">
        <v>12</v>
      </c>
      <c r="K1659" s="76" t="str">
        <f>VLOOKUP(Tabelle2[[#This Row],[Kunden Nr.]],KUNDEN!A:G,7)</f>
        <v>Qerimi</v>
      </c>
      <c r="L1659" s="76">
        <f>VLOOKUP(Tabelle2[[#This Row],[Artikel]],Produkte!A:H,8)</f>
        <v>0.17</v>
      </c>
    </row>
    <row r="1660" spans="1:12" x14ac:dyDescent="0.2">
      <c r="A1660" s="75" t="s">
        <v>41</v>
      </c>
      <c r="B1660" s="79">
        <v>46099</v>
      </c>
      <c r="C1660" s="75"/>
      <c r="D1660" s="75"/>
      <c r="E1660" s="75"/>
      <c r="F1660" s="75">
        <v>10330</v>
      </c>
      <c r="G1660" s="76" t="str">
        <f>VLOOKUP(Tabelle2[[#This Row],[Kunden Nr.]],KUNDEN!A:B,2,0)</f>
        <v>BURIMI</v>
      </c>
      <c r="H1660" s="75">
        <v>35128</v>
      </c>
      <c r="I1660" s="76" t="str">
        <f>VLOOKUP(Tabelle2[[#This Row],[Artikel]],Produkte!A:B,2,0)</f>
        <v>M-ONE Sanitar Silikon</v>
      </c>
      <c r="J1660" s="75">
        <v>12</v>
      </c>
      <c r="K1660" s="76" t="str">
        <f>VLOOKUP(Tabelle2[[#This Row],[Kunden Nr.]],KUNDEN!A:G,7)</f>
        <v>Qerimi</v>
      </c>
      <c r="L1660" s="76">
        <f>VLOOKUP(Tabelle2[[#This Row],[Artikel]],Produkte!A:H,8)</f>
        <v>0.17</v>
      </c>
    </row>
    <row r="1661" spans="1:12" x14ac:dyDescent="0.2">
      <c r="A1661" s="75" t="s">
        <v>413</v>
      </c>
      <c r="B1661" s="79">
        <v>46099</v>
      </c>
      <c r="C1661" s="89">
        <v>184.8</v>
      </c>
      <c r="D1661" s="75"/>
      <c r="E1661" s="75"/>
      <c r="F1661" s="75">
        <v>10350</v>
      </c>
      <c r="G1661" s="76" t="str">
        <f>VLOOKUP(Tabelle2[[#This Row],[Kunden Nr.]],KUNDEN!A:B,2,0)</f>
        <v>BALLKANI</v>
      </c>
      <c r="H1661" s="75">
        <v>35110</v>
      </c>
      <c r="I1661" s="76" t="str">
        <f>VLOOKUP(Tabelle2[[#This Row],[Artikel]],Produkte!A:B,2,0)</f>
        <v>M-ONE Sanitar Silikon</v>
      </c>
      <c r="J1661" s="75">
        <v>12</v>
      </c>
      <c r="K1661" s="76" t="str">
        <f>VLOOKUP(Tabelle2[[#This Row],[Kunden Nr.]],KUNDEN!A:G,7)</f>
        <v>Qerimi</v>
      </c>
      <c r="L1661" s="76">
        <f>VLOOKUP(Tabelle2[[#This Row],[Artikel]],Produkte!A:H,8)</f>
        <v>0.17</v>
      </c>
    </row>
    <row r="1662" spans="1:12" x14ac:dyDescent="0.2">
      <c r="A1662" s="75" t="s">
        <v>413</v>
      </c>
      <c r="B1662" s="79">
        <v>46099</v>
      </c>
      <c r="C1662" s="75"/>
      <c r="D1662" s="75"/>
      <c r="E1662" s="75"/>
      <c r="F1662" s="75">
        <v>10350</v>
      </c>
      <c r="G1662" s="76" t="str">
        <f>VLOOKUP(Tabelle2[[#This Row],[Kunden Nr.]],KUNDEN!A:B,2,0)</f>
        <v>BALLKANI</v>
      </c>
      <c r="H1662" s="75">
        <v>35111</v>
      </c>
      <c r="I1662" s="76" t="str">
        <f>VLOOKUP(Tabelle2[[#This Row],[Artikel]],Produkte!A:B,2,0)</f>
        <v>M-ONE Sanitar Silikon</v>
      </c>
      <c r="J1662" s="75">
        <v>12</v>
      </c>
      <c r="K1662" s="76" t="str">
        <f>VLOOKUP(Tabelle2[[#This Row],[Kunden Nr.]],KUNDEN!A:G,7)</f>
        <v>Qerimi</v>
      </c>
      <c r="L1662" s="76">
        <f>VLOOKUP(Tabelle2[[#This Row],[Artikel]],Produkte!A:H,8)</f>
        <v>0.17</v>
      </c>
    </row>
    <row r="1663" spans="1:12" x14ac:dyDescent="0.2">
      <c r="A1663" s="75" t="s">
        <v>413</v>
      </c>
      <c r="B1663" s="79">
        <v>46099</v>
      </c>
      <c r="C1663" s="75"/>
      <c r="D1663" s="75"/>
      <c r="E1663" s="75"/>
      <c r="F1663" s="75">
        <v>10350</v>
      </c>
      <c r="G1663" s="76" t="str">
        <f>VLOOKUP(Tabelle2[[#This Row],[Kunden Nr.]],KUNDEN!A:B,2,0)</f>
        <v>BALLKANI</v>
      </c>
      <c r="H1663" s="75">
        <v>35121</v>
      </c>
      <c r="I1663" s="76" t="str">
        <f>VLOOKUP(Tabelle2[[#This Row],[Artikel]],Produkte!A:B,2,0)</f>
        <v>M-ONE Sanitar Silikon</v>
      </c>
      <c r="J1663" s="75">
        <v>12</v>
      </c>
      <c r="K1663" s="76" t="str">
        <f>VLOOKUP(Tabelle2[[#This Row],[Kunden Nr.]],KUNDEN!A:G,7)</f>
        <v>Qerimi</v>
      </c>
      <c r="L1663" s="76">
        <f>VLOOKUP(Tabelle2[[#This Row],[Artikel]],Produkte!A:H,8)</f>
        <v>0.17</v>
      </c>
    </row>
    <row r="1664" spans="1:12" x14ac:dyDescent="0.2">
      <c r="A1664" s="75" t="s">
        <v>413</v>
      </c>
      <c r="B1664" s="79">
        <v>46099</v>
      </c>
      <c r="C1664" s="75"/>
      <c r="D1664" s="75"/>
      <c r="E1664" s="75"/>
      <c r="F1664" s="75">
        <v>10350</v>
      </c>
      <c r="G1664" s="76" t="str">
        <f>VLOOKUP(Tabelle2[[#This Row],[Kunden Nr.]],KUNDEN!A:B,2,0)</f>
        <v>BALLKANI</v>
      </c>
      <c r="H1664" s="75">
        <v>35128</v>
      </c>
      <c r="I1664" s="76" t="str">
        <f>VLOOKUP(Tabelle2[[#This Row],[Artikel]],Produkte!A:B,2,0)</f>
        <v>M-ONE Sanitar Silikon</v>
      </c>
      <c r="J1664" s="75">
        <v>12</v>
      </c>
      <c r="K1664" s="76" t="str">
        <f>VLOOKUP(Tabelle2[[#This Row],[Kunden Nr.]],KUNDEN!A:G,7)</f>
        <v>Qerimi</v>
      </c>
      <c r="L1664" s="76">
        <f>VLOOKUP(Tabelle2[[#This Row],[Artikel]],Produkte!A:H,8)</f>
        <v>0.17</v>
      </c>
    </row>
    <row r="1665" spans="1:12" x14ac:dyDescent="0.2">
      <c r="A1665" s="75" t="s">
        <v>23</v>
      </c>
      <c r="B1665" s="79">
        <v>46099</v>
      </c>
      <c r="C1665" s="89">
        <v>46</v>
      </c>
      <c r="D1665" s="75"/>
      <c r="E1665" s="75"/>
      <c r="F1665" s="75">
        <v>10317</v>
      </c>
      <c r="G1665" s="76" t="str">
        <f>VLOOKUP(Tabelle2[[#This Row],[Kunden Nr.]],KUNDEN!A:B,2,0)</f>
        <v>BEKA-2</v>
      </c>
      <c r="H1665" s="75">
        <v>50912</v>
      </c>
      <c r="I1665" s="76" t="str">
        <f>VLOOKUP(Tabelle2[[#This Row],[Artikel]],Produkte!A:B,2,0)</f>
        <v>DICHTUNG</v>
      </c>
      <c r="J1665" s="75">
        <v>5</v>
      </c>
      <c r="K1665" s="76" t="str">
        <f>VLOOKUP(Tabelle2[[#This Row],[Kunden Nr.]],KUNDEN!A:G,7)</f>
        <v>Qerimi</v>
      </c>
      <c r="L1665" s="76">
        <f>VLOOKUP(Tabelle2[[#This Row],[Artikel]],Produkte!A:H,8)</f>
        <v>0.2</v>
      </c>
    </row>
    <row r="1666" spans="1:12" x14ac:dyDescent="0.2">
      <c r="A1666" s="75" t="s">
        <v>23</v>
      </c>
      <c r="B1666" s="79">
        <v>46099</v>
      </c>
      <c r="C1666" s="75"/>
      <c r="D1666" s="75"/>
      <c r="E1666" s="75"/>
      <c r="F1666" s="75">
        <v>10317</v>
      </c>
      <c r="G1666" s="76" t="str">
        <f>VLOOKUP(Tabelle2[[#This Row],[Kunden Nr.]],KUNDEN!A:B,2,0)</f>
        <v>BEKA-2</v>
      </c>
      <c r="H1666" s="75">
        <v>54412</v>
      </c>
      <c r="I1666" s="76" t="str">
        <f>VLOOKUP(Tabelle2[[#This Row],[Artikel]],Produkte!A:B,2,0)</f>
        <v>beMAKER Bremsen&amp;Teile Reininger</v>
      </c>
      <c r="J1666" s="75">
        <v>5</v>
      </c>
      <c r="K1666" s="76" t="str">
        <f>VLOOKUP(Tabelle2[[#This Row],[Kunden Nr.]],KUNDEN!A:G,7)</f>
        <v>Qerimi</v>
      </c>
      <c r="L1666" s="76">
        <f>VLOOKUP(Tabelle2[[#This Row],[Artikel]],Produkte!A:H,8)</f>
        <v>0.2</v>
      </c>
    </row>
    <row r="1667" spans="1:12" x14ac:dyDescent="0.2">
      <c r="A1667" s="75" t="s">
        <v>1154</v>
      </c>
      <c r="B1667" s="79">
        <v>46099</v>
      </c>
      <c r="C1667" s="89">
        <v>92.4</v>
      </c>
      <c r="D1667" s="75"/>
      <c r="E1667" s="75"/>
      <c r="F1667" s="75">
        <v>10344</v>
      </c>
      <c r="G1667" s="76" t="str">
        <f>VLOOKUP(Tabelle2[[#This Row],[Kunden Nr.]],KUNDEN!A:B,2,0)</f>
        <v>TINA</v>
      </c>
      <c r="H1667" s="75">
        <v>35108</v>
      </c>
      <c r="I1667" s="76" t="str">
        <f>VLOOKUP(Tabelle2[[#This Row],[Artikel]],Produkte!A:B,2,0)</f>
        <v>M-ONE Sanitar Silikon</v>
      </c>
      <c r="J1667" s="75">
        <v>24</v>
      </c>
      <c r="K1667" s="76" t="str">
        <f>VLOOKUP(Tabelle2[[#This Row],[Kunden Nr.]],KUNDEN!A:G,7)</f>
        <v>Qerimi</v>
      </c>
      <c r="L1667" s="76">
        <f>VLOOKUP(Tabelle2[[#This Row],[Artikel]],Produkte!A:H,8)</f>
        <v>0.17</v>
      </c>
    </row>
    <row r="1668" spans="1:12" x14ac:dyDescent="0.2">
      <c r="A1668" s="75" t="s">
        <v>10</v>
      </c>
      <c r="B1668" s="79">
        <v>46099</v>
      </c>
      <c r="C1668" s="89">
        <v>138.6</v>
      </c>
      <c r="D1668" s="75"/>
      <c r="E1668" s="75"/>
      <c r="F1668" s="75">
        <v>10306</v>
      </c>
      <c r="G1668" s="76" t="str">
        <f>VLOOKUP(Tabelle2[[#This Row],[Kunden Nr.]],KUNDEN!A:B,2,0)</f>
        <v>ELIONI-1</v>
      </c>
      <c r="H1668" s="75">
        <v>35111</v>
      </c>
      <c r="I1668" s="76" t="str">
        <f>VLOOKUP(Tabelle2[[#This Row],[Artikel]],Produkte!A:B,2,0)</f>
        <v>M-ONE Sanitar Silikon</v>
      </c>
      <c r="J1668" s="75">
        <v>12</v>
      </c>
      <c r="K1668" s="76" t="str">
        <f>VLOOKUP(Tabelle2[[#This Row],[Kunden Nr.]],KUNDEN!A:G,7)</f>
        <v>Qerimi</v>
      </c>
      <c r="L1668" s="76">
        <f>VLOOKUP(Tabelle2[[#This Row],[Artikel]],Produkte!A:H,8)</f>
        <v>0.17</v>
      </c>
    </row>
    <row r="1669" spans="1:12" x14ac:dyDescent="0.2">
      <c r="A1669" s="75" t="s">
        <v>10</v>
      </c>
      <c r="B1669" s="79">
        <v>46099</v>
      </c>
      <c r="C1669" s="75"/>
      <c r="D1669" s="75"/>
      <c r="E1669" s="75"/>
      <c r="F1669" s="75">
        <v>10306</v>
      </c>
      <c r="G1669" s="76" t="str">
        <f>VLOOKUP(Tabelle2[[#This Row],[Kunden Nr.]],KUNDEN!A:B,2,0)</f>
        <v>ELIONI-1</v>
      </c>
      <c r="H1669" s="75">
        <v>35115</v>
      </c>
      <c r="I1669" s="76" t="str">
        <f>VLOOKUP(Tabelle2[[#This Row],[Artikel]],Produkte!A:B,2,0)</f>
        <v>M-ONE Sanitar Silikon</v>
      </c>
      <c r="J1669" s="75">
        <v>12</v>
      </c>
      <c r="K1669" s="76" t="str">
        <f>VLOOKUP(Tabelle2[[#This Row],[Kunden Nr.]],KUNDEN!A:G,7)</f>
        <v>Qerimi</v>
      </c>
      <c r="L1669" s="76">
        <f>VLOOKUP(Tabelle2[[#This Row],[Artikel]],Produkte!A:H,8)</f>
        <v>0.17</v>
      </c>
    </row>
    <row r="1670" spans="1:12" x14ac:dyDescent="0.2">
      <c r="A1670" s="75" t="s">
        <v>10</v>
      </c>
      <c r="B1670" s="79">
        <v>46099</v>
      </c>
      <c r="C1670" s="75"/>
      <c r="D1670" s="75"/>
      <c r="E1670" s="75"/>
      <c r="F1670" s="75">
        <v>10306</v>
      </c>
      <c r="G1670" s="76" t="str">
        <f>VLOOKUP(Tabelle2[[#This Row],[Kunden Nr.]],KUNDEN!A:B,2,0)</f>
        <v>ELIONI-1</v>
      </c>
      <c r="H1670" s="75">
        <v>35125</v>
      </c>
      <c r="I1670" s="76" t="str">
        <f>VLOOKUP(Tabelle2[[#This Row],[Artikel]],Produkte!A:B,2,0)</f>
        <v>M-ONE Sanitar Silikon</v>
      </c>
      <c r="J1670" s="75">
        <v>12</v>
      </c>
      <c r="K1670" s="76" t="str">
        <f>VLOOKUP(Tabelle2[[#This Row],[Kunden Nr.]],KUNDEN!A:G,7)</f>
        <v>Qerimi</v>
      </c>
      <c r="L1670" s="76">
        <f>VLOOKUP(Tabelle2[[#This Row],[Artikel]],Produkte!A:H,8)</f>
        <v>0.17</v>
      </c>
    </row>
    <row r="1671" spans="1:12" x14ac:dyDescent="0.2">
      <c r="A1671" s="75" t="s">
        <v>30</v>
      </c>
      <c r="B1671" s="79">
        <v>46099</v>
      </c>
      <c r="C1671" s="89">
        <v>112.9</v>
      </c>
      <c r="D1671" s="75"/>
      <c r="E1671" s="75"/>
      <c r="F1671" s="75">
        <v>10323</v>
      </c>
      <c r="G1671" s="76" t="str">
        <f>VLOOKUP(Tabelle2[[#This Row],[Kunden Nr.]],KUNDEN!A:B,2,0)</f>
        <v>BEKA-3</v>
      </c>
      <c r="H1671" s="75">
        <v>50912</v>
      </c>
      <c r="I1671" s="76" t="str">
        <f>VLOOKUP(Tabelle2[[#This Row],[Artikel]],Produkte!A:B,2,0)</f>
        <v>DICHTUNG</v>
      </c>
      <c r="J1671" s="75">
        <v>12</v>
      </c>
      <c r="K1671" s="76" t="str">
        <f>VLOOKUP(Tabelle2[[#This Row],[Kunden Nr.]],KUNDEN!A:G,7)</f>
        <v>Qerimi</v>
      </c>
      <c r="L1671" s="76">
        <f>VLOOKUP(Tabelle2[[#This Row],[Artikel]],Produkte!A:H,8)</f>
        <v>0.2</v>
      </c>
    </row>
    <row r="1672" spans="1:12" x14ac:dyDescent="0.2">
      <c r="A1672" s="75" t="s">
        <v>30</v>
      </c>
      <c r="B1672" s="79">
        <v>46099</v>
      </c>
      <c r="C1672" s="75"/>
      <c r="D1672" s="75"/>
      <c r="E1672" s="75"/>
      <c r="F1672" s="75">
        <v>10323</v>
      </c>
      <c r="G1672" s="76" t="str">
        <f>VLOOKUP(Tabelle2[[#This Row],[Kunden Nr.]],KUNDEN!A:B,2,0)</f>
        <v>BEKA-3</v>
      </c>
      <c r="H1672" s="75">
        <v>56117</v>
      </c>
      <c r="I1672" s="76" t="str">
        <f>VLOOKUP(Tabelle2[[#This Row],[Artikel]],Produkte!A:B,2,0)</f>
        <v>M ONE UBS</v>
      </c>
      <c r="J1672" s="75">
        <v>3</v>
      </c>
      <c r="K1672" s="76" t="str">
        <f>VLOOKUP(Tabelle2[[#This Row],[Kunden Nr.]],KUNDEN!A:G,7)</f>
        <v>Qerimi</v>
      </c>
      <c r="L1672" s="76">
        <f>VLOOKUP(Tabelle2[[#This Row],[Artikel]],Produkte!A:H,8)</f>
        <v>0.2</v>
      </c>
    </row>
    <row r="1673" spans="1:12" x14ac:dyDescent="0.2">
      <c r="A1673" s="75" t="s">
        <v>30</v>
      </c>
      <c r="B1673" s="79">
        <v>46099</v>
      </c>
      <c r="C1673" s="75"/>
      <c r="D1673" s="75"/>
      <c r="E1673" s="75"/>
      <c r="F1673" s="75">
        <v>10323</v>
      </c>
      <c r="G1673" s="76" t="str">
        <f>VLOOKUP(Tabelle2[[#This Row],[Kunden Nr.]],KUNDEN!A:B,2,0)</f>
        <v>BEKA-3</v>
      </c>
      <c r="H1673" s="75">
        <v>44001</v>
      </c>
      <c r="I1673" s="76" t="str">
        <f>VLOOKUP(Tabelle2[[#This Row],[Artikel]],Produkte!A:B,2,0)</f>
        <v>Fettspray</v>
      </c>
      <c r="J1673" s="75">
        <v>3</v>
      </c>
      <c r="K1673" s="76" t="str">
        <f>VLOOKUP(Tabelle2[[#This Row],[Kunden Nr.]],KUNDEN!A:G,7)</f>
        <v>Qerimi</v>
      </c>
      <c r="L1673" s="76">
        <f>VLOOKUP(Tabelle2[[#This Row],[Artikel]],Produkte!A:H,8)</f>
        <v>0.2</v>
      </c>
    </row>
    <row r="1674" spans="1:12" x14ac:dyDescent="0.2">
      <c r="A1674" s="75" t="s">
        <v>30</v>
      </c>
      <c r="B1674" s="79">
        <v>46099</v>
      </c>
      <c r="C1674" s="75"/>
      <c r="D1674" s="75"/>
      <c r="E1674" s="75"/>
      <c r="F1674" s="75">
        <v>10323</v>
      </c>
      <c r="G1674" s="76" t="str">
        <f>VLOOKUP(Tabelle2[[#This Row],[Kunden Nr.]],KUNDEN!A:B,2,0)</f>
        <v>BEKA-3</v>
      </c>
      <c r="H1674" s="75">
        <v>49644</v>
      </c>
      <c r="I1674" s="76" t="str">
        <f>VLOOKUP(Tabelle2[[#This Row],[Artikel]],Produkte!A:B,2,0)</f>
        <v>beMAKER Rostlöser</v>
      </c>
      <c r="J1674" s="75">
        <v>2</v>
      </c>
      <c r="K1674" s="76" t="str">
        <f>VLOOKUP(Tabelle2[[#This Row],[Kunden Nr.]],KUNDEN!A:G,7)</f>
        <v>Qerimi</v>
      </c>
      <c r="L1674" s="76">
        <f>VLOOKUP(Tabelle2[[#This Row],[Artikel]],Produkte!A:H,8)</f>
        <v>0.2</v>
      </c>
    </row>
    <row r="1675" spans="1:12" x14ac:dyDescent="0.2">
      <c r="A1675" s="75" t="s">
        <v>19</v>
      </c>
      <c r="B1675" s="79">
        <v>46099</v>
      </c>
      <c r="C1675" s="89">
        <v>21.6</v>
      </c>
      <c r="D1675" s="75"/>
      <c r="E1675" s="75"/>
      <c r="F1675" s="75">
        <v>10347</v>
      </c>
      <c r="G1675" s="76" t="str">
        <f>VLOOKUP(Tabelle2[[#This Row],[Kunden Nr.]],KUNDEN!A:B,2,0)</f>
        <v>BARDHI</v>
      </c>
      <c r="H1675" s="75">
        <v>50912</v>
      </c>
      <c r="I1675" s="76" t="str">
        <f>VLOOKUP(Tabelle2[[#This Row],[Artikel]],Produkte!A:B,2,0)</f>
        <v>DICHTUNG</v>
      </c>
      <c r="J1675" s="75">
        <v>3</v>
      </c>
      <c r="K1675" s="76" t="str">
        <f>VLOOKUP(Tabelle2[[#This Row],[Kunden Nr.]],KUNDEN!A:G,7)</f>
        <v>Qerimi</v>
      </c>
      <c r="L1675" s="76">
        <f>VLOOKUP(Tabelle2[[#This Row],[Artikel]],Produkte!A:H,8)</f>
        <v>0.2</v>
      </c>
    </row>
    <row r="1676" spans="1:12" x14ac:dyDescent="0.2">
      <c r="A1676" s="75" t="s">
        <v>5</v>
      </c>
      <c r="B1676" s="79">
        <v>46099</v>
      </c>
      <c r="C1676" s="89">
        <v>98.4</v>
      </c>
      <c r="D1676" s="75"/>
      <c r="E1676" s="75"/>
      <c r="F1676" s="75">
        <v>10301</v>
      </c>
      <c r="G1676" s="76" t="str">
        <f>VLOOKUP(Tabelle2[[#This Row],[Kunden Nr.]],KUNDEN!A:B,2,0)</f>
        <v>FUNDAMETI</v>
      </c>
      <c r="H1676" s="75">
        <v>35121</v>
      </c>
      <c r="I1676" s="76" t="str">
        <f>VLOOKUP(Tabelle2[[#This Row],[Artikel]],Produkte!A:B,2,0)</f>
        <v>M-ONE Sanitar Silikon</v>
      </c>
      <c r="J1676" s="75">
        <v>24</v>
      </c>
      <c r="K1676" s="76" t="str">
        <f>VLOOKUP(Tabelle2[[#This Row],[Kunden Nr.]],KUNDEN!A:G,7)</f>
        <v>Qerimi</v>
      </c>
      <c r="L1676" s="76">
        <f>VLOOKUP(Tabelle2[[#This Row],[Artikel]],Produkte!A:H,8)</f>
        <v>0.17</v>
      </c>
    </row>
    <row r="1677" spans="1:12" x14ac:dyDescent="0.2">
      <c r="A1677" s="75" t="s">
        <v>5</v>
      </c>
      <c r="B1677" s="79">
        <v>46099</v>
      </c>
      <c r="C1677" s="75"/>
      <c r="D1677" s="75"/>
      <c r="E1677" s="75"/>
      <c r="F1677" s="75">
        <v>10301</v>
      </c>
      <c r="G1677" s="76" t="str">
        <f>VLOOKUP(Tabelle2[[#This Row],[Kunden Nr.]],KUNDEN!A:B,2,0)</f>
        <v>FUNDAMETI</v>
      </c>
      <c r="H1677" s="75">
        <v>39505</v>
      </c>
      <c r="I1677" s="76" t="str">
        <f>VLOOKUP(Tabelle2[[#This Row],[Artikel]],Produkte!A:B,2,0)</f>
        <v>M ONE SILIKON SPRAY</v>
      </c>
      <c r="J1677" s="75">
        <v>2</v>
      </c>
      <c r="K1677" s="76" t="str">
        <f>VLOOKUP(Tabelle2[[#This Row],[Kunden Nr.]],KUNDEN!A:G,7)</f>
        <v>Qerimi</v>
      </c>
      <c r="L1677" s="76">
        <f>VLOOKUP(Tabelle2[[#This Row],[Artikel]],Produkte!A:H,8)</f>
        <v>0.2</v>
      </c>
    </row>
    <row r="1678" spans="1:12" x14ac:dyDescent="0.2">
      <c r="A1678" s="75" t="s">
        <v>8</v>
      </c>
      <c r="B1678" s="79">
        <v>46099</v>
      </c>
      <c r="C1678" s="89">
        <v>27.6</v>
      </c>
      <c r="D1678" s="75"/>
      <c r="E1678" s="75"/>
      <c r="F1678" s="75">
        <v>10304</v>
      </c>
      <c r="G1678" s="76" t="str">
        <f>VLOOKUP(Tabelle2[[#This Row],[Kunden Nr.]],KUNDEN!A:B,2,0)</f>
        <v>EUROSAN</v>
      </c>
      <c r="H1678" s="75">
        <v>51612</v>
      </c>
      <c r="I1678" s="76" t="str">
        <f>VLOOKUP(Tabelle2[[#This Row],[Artikel]],Produkte!A:B,2,0)</f>
        <v>struktural akryl</v>
      </c>
      <c r="J1678" s="75">
        <v>12</v>
      </c>
      <c r="K1678" s="76" t="str">
        <f>VLOOKUP(Tabelle2[[#This Row],[Kunden Nr.]],KUNDEN!A:G,7)</f>
        <v>Qerimi</v>
      </c>
      <c r="L1678" s="76">
        <f>VLOOKUP(Tabelle2[[#This Row],[Artikel]],Produkte!A:H,8)</f>
        <v>0.06</v>
      </c>
    </row>
    <row r="1679" spans="1:12" x14ac:dyDescent="0.2">
      <c r="A1679" s="75" t="s">
        <v>1307</v>
      </c>
      <c r="B1679" s="79">
        <v>46099</v>
      </c>
      <c r="C1679" s="89">
        <v>231</v>
      </c>
      <c r="D1679" s="75"/>
      <c r="E1679" s="75"/>
      <c r="F1679" s="75">
        <v>20321</v>
      </c>
      <c r="G1679" s="76" t="str">
        <f>VLOOKUP(Tabelle2[[#This Row],[Kunden Nr.]],KUNDEN!A:B,2,0)</f>
        <v>BEREQETI</v>
      </c>
      <c r="H1679" s="75">
        <v>35121</v>
      </c>
      <c r="I1679" s="76" t="str">
        <f>VLOOKUP(Tabelle2[[#This Row],[Artikel]],Produkte!A:B,2,0)</f>
        <v>M-ONE Sanitar Silikon</v>
      </c>
      <c r="J1679" s="75">
        <v>48</v>
      </c>
      <c r="K1679" s="76" t="str">
        <f>VLOOKUP(Tabelle2[[#This Row],[Kunden Nr.]],KUNDEN!A:G,7)</f>
        <v>Mensuri</v>
      </c>
      <c r="L1679" s="76">
        <f>VLOOKUP(Tabelle2[[#This Row],[Artikel]],Produkte!A:H,8)</f>
        <v>0.17</v>
      </c>
    </row>
    <row r="1680" spans="1:12" x14ac:dyDescent="0.2">
      <c r="A1680" s="75" t="s">
        <v>1307</v>
      </c>
      <c r="B1680" s="79">
        <v>46099</v>
      </c>
      <c r="C1680" s="75"/>
      <c r="D1680" s="75"/>
      <c r="E1680" s="75"/>
      <c r="F1680" s="75">
        <v>20321</v>
      </c>
      <c r="G1680" s="76" t="str">
        <f>VLOOKUP(Tabelle2[[#This Row],[Kunden Nr.]],KUNDEN!A:B,2,0)</f>
        <v>BEREQETI</v>
      </c>
      <c r="H1680" s="75">
        <v>35128</v>
      </c>
      <c r="I1680" s="76" t="str">
        <f>VLOOKUP(Tabelle2[[#This Row],[Artikel]],Produkte!A:B,2,0)</f>
        <v>M-ONE Sanitar Silikon</v>
      </c>
      <c r="J1680" s="75">
        <v>12</v>
      </c>
      <c r="K1680" s="76" t="str">
        <f>VLOOKUP(Tabelle2[[#This Row],[Kunden Nr.]],KUNDEN!A:G,7)</f>
        <v>Mensuri</v>
      </c>
      <c r="L1680" s="76">
        <f>VLOOKUP(Tabelle2[[#This Row],[Artikel]],Produkte!A:H,8)</f>
        <v>0.17</v>
      </c>
    </row>
    <row r="1681" spans="1:12" x14ac:dyDescent="0.2">
      <c r="A1681" s="75" t="s">
        <v>1252</v>
      </c>
      <c r="B1681" s="79">
        <v>46099</v>
      </c>
      <c r="C1681" s="89">
        <v>138.6</v>
      </c>
      <c r="D1681" s="75"/>
      <c r="E1681" s="75"/>
      <c r="F1681" s="75">
        <v>20331</v>
      </c>
      <c r="G1681" s="76" t="str">
        <f>VLOOKUP(Tabelle2[[#This Row],[Kunden Nr.]],KUNDEN!A:B,2,0)</f>
        <v>BARDHI-M</v>
      </c>
      <c r="H1681" s="75">
        <v>35121</v>
      </c>
      <c r="I1681" s="76" t="str">
        <f>VLOOKUP(Tabelle2[[#This Row],[Artikel]],Produkte!A:B,2,0)</f>
        <v>M-ONE Sanitar Silikon</v>
      </c>
      <c r="J1681" s="75">
        <v>24</v>
      </c>
      <c r="K1681" s="76" t="str">
        <f>VLOOKUP(Tabelle2[[#This Row],[Kunden Nr.]],KUNDEN!A:G,7)</f>
        <v>Mensuri</v>
      </c>
      <c r="L1681" s="76">
        <f>VLOOKUP(Tabelle2[[#This Row],[Artikel]],Produkte!A:H,8)</f>
        <v>0.17</v>
      </c>
    </row>
    <row r="1682" spans="1:12" x14ac:dyDescent="0.2">
      <c r="A1682" s="75" t="s">
        <v>1252</v>
      </c>
      <c r="B1682" s="79">
        <v>46099</v>
      </c>
      <c r="C1682" s="75"/>
      <c r="D1682" s="75"/>
      <c r="E1682" s="75"/>
      <c r="F1682" s="75">
        <v>20331</v>
      </c>
      <c r="G1682" s="76" t="str">
        <f>VLOOKUP(Tabelle2[[#This Row],[Kunden Nr.]],KUNDEN!A:B,2,0)</f>
        <v>BARDHI-M</v>
      </c>
      <c r="H1682" s="75">
        <v>35111</v>
      </c>
      <c r="I1682" s="76" t="str">
        <f>VLOOKUP(Tabelle2[[#This Row],[Artikel]],Produkte!A:B,2,0)</f>
        <v>M-ONE Sanitar Silikon</v>
      </c>
      <c r="J1682" s="75">
        <v>12</v>
      </c>
      <c r="K1682" s="76" t="str">
        <f>VLOOKUP(Tabelle2[[#This Row],[Kunden Nr.]],KUNDEN!A:G,7)</f>
        <v>Mensuri</v>
      </c>
      <c r="L1682" s="76">
        <f>VLOOKUP(Tabelle2[[#This Row],[Artikel]],Produkte!A:H,8)</f>
        <v>0.17</v>
      </c>
    </row>
    <row r="1683" spans="1:12" x14ac:dyDescent="0.2">
      <c r="A1683" s="75" t="s">
        <v>616</v>
      </c>
      <c r="B1683" s="79">
        <v>46099</v>
      </c>
      <c r="C1683" s="89">
        <v>92.4</v>
      </c>
      <c r="D1683" s="75"/>
      <c r="E1683" s="75"/>
      <c r="F1683" s="75">
        <v>20305</v>
      </c>
      <c r="G1683" s="76" t="str">
        <f>VLOOKUP(Tabelle2[[#This Row],[Kunden Nr.]],KUNDEN!A:B,2,0)</f>
        <v>ABA QERAMIK</v>
      </c>
      <c r="H1683" s="75">
        <v>35121</v>
      </c>
      <c r="I1683" s="76" t="str">
        <f>VLOOKUP(Tabelle2[[#This Row],[Artikel]],Produkte!A:B,2,0)</f>
        <v>M-ONE Sanitar Silikon</v>
      </c>
      <c r="J1683" s="75">
        <v>24</v>
      </c>
      <c r="K1683" s="76" t="str">
        <f>VLOOKUP(Tabelle2[[#This Row],[Kunden Nr.]],KUNDEN!A:G,7)</f>
        <v>Mensuri</v>
      </c>
      <c r="L1683" s="76">
        <f>VLOOKUP(Tabelle2[[#This Row],[Artikel]],Produkte!A:H,8)</f>
        <v>0.17</v>
      </c>
    </row>
    <row r="1684" spans="1:12" x14ac:dyDescent="0.2">
      <c r="A1684" s="75" t="s">
        <v>624</v>
      </c>
      <c r="B1684" s="79">
        <v>46099</v>
      </c>
      <c r="C1684" s="89">
        <v>92.4</v>
      </c>
      <c r="D1684" s="75"/>
      <c r="E1684" s="75"/>
      <c r="F1684" s="75">
        <v>20314</v>
      </c>
      <c r="G1684" s="76" t="str">
        <f>VLOOKUP(Tabelle2[[#This Row],[Kunden Nr.]],KUNDEN!A:B,2,0)</f>
        <v>URA</v>
      </c>
      <c r="H1684" s="75">
        <v>35110</v>
      </c>
      <c r="I1684" s="76" t="str">
        <f>VLOOKUP(Tabelle2[[#This Row],[Artikel]],Produkte!A:B,2,0)</f>
        <v>M-ONE Sanitar Silikon</v>
      </c>
      <c r="J1684" s="75">
        <v>12</v>
      </c>
      <c r="K1684" s="76" t="str">
        <f>VLOOKUP(Tabelle2[[#This Row],[Kunden Nr.]],KUNDEN!A:G,7)</f>
        <v>Mensuri</v>
      </c>
      <c r="L1684" s="76">
        <f>VLOOKUP(Tabelle2[[#This Row],[Artikel]],Produkte!A:H,8)</f>
        <v>0.17</v>
      </c>
    </row>
    <row r="1685" spans="1:12" x14ac:dyDescent="0.2">
      <c r="A1685" s="75" t="s">
        <v>624</v>
      </c>
      <c r="B1685" s="79">
        <v>46099</v>
      </c>
      <c r="C1685" s="75"/>
      <c r="D1685" s="75"/>
      <c r="E1685" s="75"/>
      <c r="F1685" s="75">
        <v>20314</v>
      </c>
      <c r="G1685" s="76" t="str">
        <f>VLOOKUP(Tabelle2[[#This Row],[Kunden Nr.]],KUNDEN!A:B,2,0)</f>
        <v>URA</v>
      </c>
      <c r="H1685" s="75">
        <v>35111</v>
      </c>
      <c r="I1685" s="76" t="str">
        <f>VLOOKUP(Tabelle2[[#This Row],[Artikel]],Produkte!A:B,2,0)</f>
        <v>M-ONE Sanitar Silikon</v>
      </c>
      <c r="J1685" s="75">
        <v>12</v>
      </c>
      <c r="K1685" s="76" t="str">
        <f>VLOOKUP(Tabelle2[[#This Row],[Kunden Nr.]],KUNDEN!A:G,7)</f>
        <v>Mensuri</v>
      </c>
      <c r="L1685" s="76">
        <f>VLOOKUP(Tabelle2[[#This Row],[Artikel]],Produkte!A:H,8)</f>
        <v>0.17</v>
      </c>
    </row>
    <row r="1686" spans="1:12" x14ac:dyDescent="0.2">
      <c r="A1686" s="75" t="s">
        <v>949</v>
      </c>
      <c r="B1686" s="79">
        <v>46099</v>
      </c>
      <c r="C1686" s="89">
        <v>92.4</v>
      </c>
      <c r="D1686" s="75"/>
      <c r="E1686" s="75"/>
      <c r="F1686" s="75">
        <v>20311</v>
      </c>
      <c r="G1686" s="76" t="str">
        <f>VLOOKUP(Tabelle2[[#This Row],[Kunden Nr.]],KUNDEN!A:B,2,0)</f>
        <v>SOPAJ</v>
      </c>
      <c r="H1686" s="75">
        <v>35113</v>
      </c>
      <c r="I1686" s="76" t="str">
        <f>VLOOKUP(Tabelle2[[#This Row],[Artikel]],Produkte!A:B,2,0)</f>
        <v>M-ONE Sanitar Silikon</v>
      </c>
      <c r="J1686" s="75">
        <v>24</v>
      </c>
      <c r="K1686" s="76" t="str">
        <f>VLOOKUP(Tabelle2[[#This Row],[Kunden Nr.]],KUNDEN!A:G,7)</f>
        <v>Mensuri</v>
      </c>
      <c r="L1686" s="76">
        <f>VLOOKUP(Tabelle2[[#This Row],[Artikel]],Produkte!A:H,8)</f>
        <v>0.17</v>
      </c>
    </row>
    <row r="1687" spans="1:12" x14ac:dyDescent="0.2">
      <c r="A1687" s="75" t="s">
        <v>1182</v>
      </c>
      <c r="B1687" s="79">
        <v>46099</v>
      </c>
      <c r="C1687" s="89">
        <v>138.6</v>
      </c>
      <c r="D1687" s="75"/>
      <c r="E1687" s="75"/>
      <c r="F1687" s="75">
        <v>20328</v>
      </c>
      <c r="G1687" s="76" t="str">
        <f>VLOOKUP(Tabelle2[[#This Row],[Kunden Nr.]],KUNDEN!A:B,2,0)</f>
        <v>ARTURI</v>
      </c>
      <c r="H1687" s="75">
        <v>35110</v>
      </c>
      <c r="I1687" s="76" t="str">
        <f>VLOOKUP(Tabelle2[[#This Row],[Artikel]],Produkte!A:B,2,0)</f>
        <v>M-ONE Sanitar Silikon</v>
      </c>
      <c r="J1687" s="75">
        <v>12</v>
      </c>
      <c r="K1687" s="76" t="str">
        <f>VLOOKUP(Tabelle2[[#This Row],[Kunden Nr.]],KUNDEN!A:G,7)</f>
        <v>Mensuri</v>
      </c>
      <c r="L1687" s="76">
        <f>VLOOKUP(Tabelle2[[#This Row],[Artikel]],Produkte!A:H,8)</f>
        <v>0.17</v>
      </c>
    </row>
    <row r="1688" spans="1:12" x14ac:dyDescent="0.2">
      <c r="A1688" s="75" t="s">
        <v>1182</v>
      </c>
      <c r="B1688" s="79">
        <v>46099</v>
      </c>
      <c r="C1688" s="75"/>
      <c r="D1688" s="75"/>
      <c r="E1688" s="75"/>
      <c r="F1688" s="75">
        <v>20328</v>
      </c>
      <c r="G1688" s="76" t="str">
        <f>VLOOKUP(Tabelle2[[#This Row],[Kunden Nr.]],KUNDEN!A:B,2,0)</f>
        <v>ARTURI</v>
      </c>
      <c r="H1688" s="75">
        <v>35111</v>
      </c>
      <c r="I1688" s="76" t="str">
        <f>VLOOKUP(Tabelle2[[#This Row],[Artikel]],Produkte!A:B,2,0)</f>
        <v>M-ONE Sanitar Silikon</v>
      </c>
      <c r="J1688" s="75">
        <v>12</v>
      </c>
      <c r="K1688" s="76" t="str">
        <f>VLOOKUP(Tabelle2[[#This Row],[Kunden Nr.]],KUNDEN!A:G,7)</f>
        <v>Mensuri</v>
      </c>
      <c r="L1688" s="76">
        <f>VLOOKUP(Tabelle2[[#This Row],[Artikel]],Produkte!A:H,8)</f>
        <v>0.17</v>
      </c>
    </row>
    <row r="1689" spans="1:12" x14ac:dyDescent="0.2">
      <c r="A1689" s="75" t="s">
        <v>1182</v>
      </c>
      <c r="B1689" s="79">
        <v>46099</v>
      </c>
      <c r="C1689" s="75"/>
      <c r="D1689" s="75"/>
      <c r="E1689" s="75"/>
      <c r="F1689" s="75">
        <v>20328</v>
      </c>
      <c r="G1689" s="76" t="str">
        <f>VLOOKUP(Tabelle2[[#This Row],[Kunden Nr.]],KUNDEN!A:B,2,0)</f>
        <v>ARTURI</v>
      </c>
      <c r="H1689" s="75">
        <v>35121</v>
      </c>
      <c r="I1689" s="76" t="str">
        <f>VLOOKUP(Tabelle2[[#This Row],[Artikel]],Produkte!A:B,2,0)</f>
        <v>M-ONE Sanitar Silikon</v>
      </c>
      <c r="J1689" s="75">
        <v>12</v>
      </c>
      <c r="K1689" s="76" t="str">
        <f>VLOOKUP(Tabelle2[[#This Row],[Kunden Nr.]],KUNDEN!A:G,7)</f>
        <v>Mensuri</v>
      </c>
      <c r="L1689" s="76">
        <f>VLOOKUP(Tabelle2[[#This Row],[Artikel]],Produkte!A:H,8)</f>
        <v>0.17</v>
      </c>
    </row>
    <row r="1690" spans="1:12" x14ac:dyDescent="0.2">
      <c r="A1690" s="75" t="s">
        <v>1299</v>
      </c>
      <c r="B1690" s="79">
        <v>46104</v>
      </c>
      <c r="C1690" s="89">
        <v>693</v>
      </c>
      <c r="D1690" s="75"/>
      <c r="E1690" s="75"/>
      <c r="F1690" s="75">
        <v>10258</v>
      </c>
      <c r="G1690" s="76" t="str">
        <f>VLOOKUP(Tabelle2[[#This Row],[Kunden Nr.]],KUNDEN!A:B,2,0)</f>
        <v>ARSIMI</v>
      </c>
      <c r="H1690" s="75">
        <v>35121</v>
      </c>
      <c r="I1690" s="76" t="str">
        <f>VLOOKUP(Tabelle2[[#This Row],[Artikel]],Produkte!A:B,2,0)</f>
        <v>M-ONE Sanitar Silikon</v>
      </c>
      <c r="J1690" s="75">
        <v>180</v>
      </c>
      <c r="K1690" s="76" t="str">
        <f>VLOOKUP(Tabelle2[[#This Row],[Kunden Nr.]],KUNDEN!A:G,7)</f>
        <v>Qerimi</v>
      </c>
      <c r="L1690" s="76">
        <f>VLOOKUP(Tabelle2[[#This Row],[Artikel]],Produkte!A:H,8)</f>
        <v>0.17</v>
      </c>
    </row>
    <row r="1691" spans="1:12" x14ac:dyDescent="0.2">
      <c r="A1691" s="75" t="s">
        <v>1177</v>
      </c>
      <c r="B1691" s="79">
        <v>46104</v>
      </c>
      <c r="C1691" s="89">
        <v>32</v>
      </c>
      <c r="D1691" s="75"/>
      <c r="E1691" s="75"/>
      <c r="F1691" s="75">
        <v>40017</v>
      </c>
      <c r="G1691" s="76" t="str">
        <f>VLOOKUP(Tabelle2[[#This Row],[Kunden Nr.]],KUNDEN!A:B,2,0)</f>
        <v>YLLI CONSTRUCION</v>
      </c>
      <c r="H1691" s="75">
        <v>35121</v>
      </c>
      <c r="I1691" s="76" t="str">
        <f>VLOOKUP(Tabelle2[[#This Row],[Artikel]],Produkte!A:B,2,0)</f>
        <v>M-ONE Sanitar Silikon</v>
      </c>
      <c r="J1691" s="75">
        <v>8</v>
      </c>
      <c r="K1691" s="76">
        <f>VLOOKUP(Tabelle2[[#This Row],[Kunden Nr.]],KUNDEN!A:G,7)</f>
        <v>0</v>
      </c>
      <c r="L1691" s="76">
        <f>VLOOKUP(Tabelle2[[#This Row],[Artikel]],Produkte!A:H,8)</f>
        <v>0.17</v>
      </c>
    </row>
    <row r="1692" spans="1:12" x14ac:dyDescent="0.2">
      <c r="A1692" s="75" t="s">
        <v>1188</v>
      </c>
      <c r="B1692" s="79">
        <v>46104</v>
      </c>
      <c r="C1692" s="89">
        <v>184.8</v>
      </c>
      <c r="D1692" s="75"/>
      <c r="E1692" s="75"/>
      <c r="F1692" s="75">
        <v>10133</v>
      </c>
      <c r="G1692" s="76" t="str">
        <f>VLOOKUP(Tabelle2[[#This Row],[Kunden Nr.]],KUNDEN!A:B,2,0)</f>
        <v>HIDROELDI</v>
      </c>
      <c r="H1692" s="75">
        <v>35128</v>
      </c>
      <c r="I1692" s="76" t="str">
        <f>VLOOKUP(Tabelle2[[#This Row],[Artikel]],Produkte!A:B,2,0)</f>
        <v>M-ONE Sanitar Silikon</v>
      </c>
      <c r="J1692" s="75">
        <v>48</v>
      </c>
      <c r="K1692" s="76" t="str">
        <f>VLOOKUP(Tabelle2[[#This Row],[Kunden Nr.]],KUNDEN!A:G,7)</f>
        <v>Qerimi</v>
      </c>
      <c r="L1692" s="76">
        <f>VLOOKUP(Tabelle2[[#This Row],[Artikel]],Produkte!A:H,8)</f>
        <v>0.17</v>
      </c>
    </row>
    <row r="1693" spans="1:12" x14ac:dyDescent="0.2">
      <c r="A1693" s="75" t="s">
        <v>573</v>
      </c>
      <c r="B1693" s="79">
        <v>46104</v>
      </c>
      <c r="C1693" s="89">
        <v>92.4</v>
      </c>
      <c r="D1693" s="75"/>
      <c r="E1693" s="75"/>
      <c r="F1693" s="75">
        <v>10111</v>
      </c>
      <c r="G1693" s="76" t="str">
        <f>VLOOKUP(Tabelle2[[#This Row],[Kunden Nr.]],KUNDEN!A:B,2,0)</f>
        <v>KADIJOLLET</v>
      </c>
      <c r="H1693" s="75">
        <v>35111</v>
      </c>
      <c r="I1693" s="76" t="str">
        <f>VLOOKUP(Tabelle2[[#This Row],[Artikel]],Produkte!A:B,2,0)</f>
        <v>M-ONE Sanitar Silikon</v>
      </c>
      <c r="J1693" s="75">
        <v>12</v>
      </c>
      <c r="K1693" s="76" t="str">
        <f>VLOOKUP(Tabelle2[[#This Row],[Kunden Nr.]],KUNDEN!A:G,7)</f>
        <v>Qerimi</v>
      </c>
      <c r="L1693" s="76">
        <f>VLOOKUP(Tabelle2[[#This Row],[Artikel]],Produkte!A:H,8)</f>
        <v>0.17</v>
      </c>
    </row>
    <row r="1694" spans="1:12" x14ac:dyDescent="0.2">
      <c r="A1694" s="75" t="s">
        <v>573</v>
      </c>
      <c r="B1694" s="79">
        <v>46104</v>
      </c>
      <c r="C1694" s="75"/>
      <c r="D1694" s="75"/>
      <c r="E1694" s="75"/>
      <c r="F1694" s="75">
        <v>10111</v>
      </c>
      <c r="G1694" s="76" t="str">
        <f>VLOOKUP(Tabelle2[[#This Row],[Kunden Nr.]],KUNDEN!A:B,2,0)</f>
        <v>KADIJOLLET</v>
      </c>
      <c r="H1694" s="75">
        <v>35115</v>
      </c>
      <c r="I1694" s="76" t="str">
        <f>VLOOKUP(Tabelle2[[#This Row],[Artikel]],Produkte!A:B,2,0)</f>
        <v>M-ONE Sanitar Silikon</v>
      </c>
      <c r="J1694" s="75">
        <v>12</v>
      </c>
      <c r="K1694" s="76" t="str">
        <f>VLOOKUP(Tabelle2[[#This Row],[Kunden Nr.]],KUNDEN!A:G,7)</f>
        <v>Qerimi</v>
      </c>
      <c r="L1694" s="76">
        <f>VLOOKUP(Tabelle2[[#This Row],[Artikel]],Produkte!A:H,8)</f>
        <v>0.17</v>
      </c>
    </row>
    <row r="1695" spans="1:12" x14ac:dyDescent="0.2">
      <c r="A1695" s="75" t="s">
        <v>837</v>
      </c>
      <c r="B1695" s="79">
        <v>46104</v>
      </c>
      <c r="C1695" s="89">
        <v>184.8</v>
      </c>
      <c r="D1695" s="75"/>
      <c r="E1695" s="75"/>
      <c r="F1695" s="75">
        <v>10625</v>
      </c>
      <c r="G1695" s="76" t="str">
        <f>VLOOKUP(Tabelle2[[#This Row],[Kunden Nr.]],KUNDEN!A:B,2,0)</f>
        <v>KUJTA</v>
      </c>
      <c r="H1695" s="75">
        <v>35121</v>
      </c>
      <c r="I1695" s="76" t="str">
        <f>VLOOKUP(Tabelle2[[#This Row],[Artikel]],Produkte!A:B,2,0)</f>
        <v>M-ONE Sanitar Silikon</v>
      </c>
      <c r="J1695" s="75">
        <v>36</v>
      </c>
      <c r="K1695" s="76" t="str">
        <f>VLOOKUP(Tabelle2[[#This Row],[Kunden Nr.]],KUNDEN!A:G,7)</f>
        <v>Qerimi</v>
      </c>
      <c r="L1695" s="76">
        <f>VLOOKUP(Tabelle2[[#This Row],[Artikel]],Produkte!A:H,8)</f>
        <v>0.17</v>
      </c>
    </row>
    <row r="1696" spans="1:12" x14ac:dyDescent="0.2">
      <c r="A1696" s="75" t="s">
        <v>837</v>
      </c>
      <c r="B1696" s="79">
        <v>46104</v>
      </c>
      <c r="C1696" s="75"/>
      <c r="D1696" s="75"/>
      <c r="E1696" s="75"/>
      <c r="F1696" s="75">
        <v>10625</v>
      </c>
      <c r="G1696" s="76" t="str">
        <f>VLOOKUP(Tabelle2[[#This Row],[Kunden Nr.]],KUNDEN!A:B,2,0)</f>
        <v>KUJTA</v>
      </c>
      <c r="H1696" s="75">
        <v>35128</v>
      </c>
      <c r="I1696" s="76" t="str">
        <f>VLOOKUP(Tabelle2[[#This Row],[Artikel]],Produkte!A:B,2,0)</f>
        <v>M-ONE Sanitar Silikon</v>
      </c>
      <c r="J1696" s="75">
        <v>12</v>
      </c>
      <c r="K1696" s="76" t="str">
        <f>VLOOKUP(Tabelle2[[#This Row],[Kunden Nr.]],KUNDEN!A:G,7)</f>
        <v>Qerimi</v>
      </c>
      <c r="L1696" s="76">
        <f>VLOOKUP(Tabelle2[[#This Row],[Artikel]],Produkte!A:H,8)</f>
        <v>0.17</v>
      </c>
    </row>
    <row r="1697" spans="1:12" x14ac:dyDescent="0.2">
      <c r="A1697" s="75" t="s">
        <v>1129</v>
      </c>
      <c r="B1697" s="79">
        <v>46104</v>
      </c>
      <c r="C1697" s="89">
        <v>46.2</v>
      </c>
      <c r="D1697" s="75"/>
      <c r="E1697" s="75"/>
      <c r="F1697" s="75">
        <v>20127</v>
      </c>
      <c r="G1697" s="76" t="str">
        <f>VLOOKUP(Tabelle2[[#This Row],[Kunden Nr.]],KUNDEN!A:B,2,0)</f>
        <v>TERMO PROJEKT</v>
      </c>
      <c r="H1697" s="75">
        <v>35110</v>
      </c>
      <c r="I1697" s="76" t="str">
        <f>VLOOKUP(Tabelle2[[#This Row],[Artikel]],Produkte!A:B,2,0)</f>
        <v>M-ONE Sanitar Silikon</v>
      </c>
      <c r="J1697" s="75">
        <v>12</v>
      </c>
      <c r="K1697" s="76" t="str">
        <f>VLOOKUP(Tabelle2[[#This Row],[Kunden Nr.]],KUNDEN!A:G,7)</f>
        <v>Mensuri</v>
      </c>
      <c r="L1697" s="76">
        <f>VLOOKUP(Tabelle2[[#This Row],[Artikel]],Produkte!A:H,8)</f>
        <v>0.17</v>
      </c>
    </row>
    <row r="1698" spans="1:12" x14ac:dyDescent="0.2">
      <c r="A1698" s="75" t="s">
        <v>1315</v>
      </c>
      <c r="B1698" s="79">
        <v>46104</v>
      </c>
      <c r="C1698" s="89">
        <v>92.4</v>
      </c>
      <c r="D1698" s="75"/>
      <c r="E1698" s="75"/>
      <c r="F1698" s="75">
        <v>20130</v>
      </c>
      <c r="G1698" s="76" t="str">
        <f>VLOOKUP(Tabelle2[[#This Row],[Kunden Nr.]],KUNDEN!A:B,2,0)</f>
        <v>ENESI</v>
      </c>
      <c r="H1698" s="75">
        <v>35108</v>
      </c>
      <c r="I1698" s="76" t="str">
        <f>VLOOKUP(Tabelle2[[#This Row],[Artikel]],Produkte!A:B,2,0)</f>
        <v>M-ONE Sanitar Silikon</v>
      </c>
      <c r="J1698" s="75">
        <v>12</v>
      </c>
      <c r="K1698" s="76" t="str">
        <f>VLOOKUP(Tabelle2[[#This Row],[Kunden Nr.]],KUNDEN!A:G,7)</f>
        <v>Mensuri</v>
      </c>
      <c r="L1698" s="76">
        <f>VLOOKUP(Tabelle2[[#This Row],[Artikel]],Produkte!A:H,8)</f>
        <v>0.17</v>
      </c>
    </row>
    <row r="1699" spans="1:12" x14ac:dyDescent="0.2">
      <c r="A1699" s="75" t="s">
        <v>1315</v>
      </c>
      <c r="B1699" s="79">
        <v>46104</v>
      </c>
      <c r="C1699" s="75"/>
      <c r="D1699" s="75"/>
      <c r="E1699" s="75"/>
      <c r="F1699" s="75">
        <v>20130</v>
      </c>
      <c r="G1699" s="76" t="str">
        <f>VLOOKUP(Tabelle2[[#This Row],[Kunden Nr.]],KUNDEN!A:B,2,0)</f>
        <v>ENESI</v>
      </c>
      <c r="H1699" s="75">
        <v>35110</v>
      </c>
      <c r="I1699" s="76" t="str">
        <f>VLOOKUP(Tabelle2[[#This Row],[Artikel]],Produkte!A:B,2,0)</f>
        <v>M-ONE Sanitar Silikon</v>
      </c>
      <c r="J1699" s="75">
        <v>12</v>
      </c>
      <c r="K1699" s="76" t="str">
        <f>VLOOKUP(Tabelle2[[#This Row],[Kunden Nr.]],KUNDEN!A:G,7)</f>
        <v>Mensuri</v>
      </c>
      <c r="L1699" s="76">
        <f>VLOOKUP(Tabelle2[[#This Row],[Artikel]],Produkte!A:H,8)</f>
        <v>0.17</v>
      </c>
    </row>
    <row r="1700" spans="1:12" x14ac:dyDescent="0.2">
      <c r="A1700" s="75" t="s">
        <v>468</v>
      </c>
      <c r="B1700" s="79">
        <v>46104</v>
      </c>
      <c r="C1700" s="89">
        <v>36</v>
      </c>
      <c r="D1700" s="75"/>
      <c r="E1700" s="75"/>
      <c r="F1700" s="75">
        <v>20101</v>
      </c>
      <c r="G1700" s="76" t="str">
        <f>VLOOKUP(Tabelle2[[#This Row],[Kunden Nr.]],KUNDEN!A:B,2,0)</f>
        <v>TE GZIMI</v>
      </c>
      <c r="H1700" s="75">
        <v>49644</v>
      </c>
      <c r="I1700" s="76" t="str">
        <f>VLOOKUP(Tabelle2[[#This Row],[Artikel]],Produkte!A:B,2,0)</f>
        <v>beMAKER Rostlöser</v>
      </c>
      <c r="J1700" s="75">
        <v>6</v>
      </c>
      <c r="K1700" s="76" t="str">
        <f>VLOOKUP(Tabelle2[[#This Row],[Kunden Nr.]],KUNDEN!A:G,7)</f>
        <v>Mensuri</v>
      </c>
      <c r="L1700" s="76">
        <f>VLOOKUP(Tabelle2[[#This Row],[Artikel]],Produkte!A:H,8)</f>
        <v>0.2</v>
      </c>
    </row>
    <row r="1701" spans="1:12" x14ac:dyDescent="0.2">
      <c r="A1701" s="75" t="s">
        <v>468</v>
      </c>
      <c r="B1701" s="79">
        <v>46104</v>
      </c>
      <c r="C1701" s="75"/>
      <c r="D1701" s="75"/>
      <c r="E1701" s="75"/>
      <c r="F1701" s="75">
        <v>20101</v>
      </c>
      <c r="G1701" s="76" t="str">
        <f>VLOOKUP(Tabelle2[[#This Row],[Kunden Nr.]],KUNDEN!A:B,2,0)</f>
        <v>TE GZIMI</v>
      </c>
      <c r="H1701" s="75">
        <v>54412</v>
      </c>
      <c r="I1701" s="76" t="str">
        <f>VLOOKUP(Tabelle2[[#This Row],[Artikel]],Produkte!A:B,2,0)</f>
        <v>beMAKER Bremsen&amp;Teile Reininger</v>
      </c>
      <c r="J1701" s="75">
        <v>8</v>
      </c>
      <c r="K1701" s="76" t="str">
        <f>VLOOKUP(Tabelle2[[#This Row],[Kunden Nr.]],KUNDEN!A:G,7)</f>
        <v>Mensuri</v>
      </c>
      <c r="L1701" s="76">
        <f>VLOOKUP(Tabelle2[[#This Row],[Artikel]],Produkte!A:H,8)</f>
        <v>0.2</v>
      </c>
    </row>
    <row r="1702" spans="1:12" x14ac:dyDescent="0.2">
      <c r="A1702" s="75" t="s">
        <v>468</v>
      </c>
      <c r="B1702" s="79">
        <v>46104</v>
      </c>
      <c r="C1702" s="75"/>
      <c r="D1702" s="75"/>
      <c r="E1702" s="75"/>
      <c r="F1702" s="75">
        <v>20101</v>
      </c>
      <c r="G1702" s="76" t="str">
        <f>VLOOKUP(Tabelle2[[#This Row],[Kunden Nr.]],KUNDEN!A:B,2,0)</f>
        <v>TE GZIMI</v>
      </c>
      <c r="H1702" s="75">
        <v>50912</v>
      </c>
      <c r="I1702" s="76" t="str">
        <f>VLOOKUP(Tabelle2[[#This Row],[Artikel]],Produkte!A:B,2,0)</f>
        <v>DICHTUNG</v>
      </c>
      <c r="J1702" s="75">
        <v>1</v>
      </c>
      <c r="K1702" s="76" t="str">
        <f>VLOOKUP(Tabelle2[[#This Row],[Kunden Nr.]],KUNDEN!A:G,7)</f>
        <v>Mensuri</v>
      </c>
      <c r="L1702" s="76">
        <f>VLOOKUP(Tabelle2[[#This Row],[Artikel]],Produkte!A:H,8)</f>
        <v>0.2</v>
      </c>
    </row>
    <row r="1703" spans="1:12" x14ac:dyDescent="0.2">
      <c r="A1703" s="75" t="s">
        <v>1180</v>
      </c>
      <c r="B1703" s="79">
        <v>46104</v>
      </c>
      <c r="C1703" s="89">
        <v>64.8</v>
      </c>
      <c r="D1703" s="75"/>
      <c r="E1703" s="75"/>
      <c r="F1703" s="75">
        <v>20126</v>
      </c>
      <c r="G1703" s="76" t="str">
        <f>VLOOKUP(Tabelle2[[#This Row],[Kunden Nr.]],KUNDEN!A:B,2,0)</f>
        <v>LULI-C</v>
      </c>
      <c r="H1703" s="75">
        <v>66701</v>
      </c>
      <c r="I1703" s="76" t="str">
        <f>VLOOKUP(Tabelle2[[#This Row],[Artikel]],Produkte!A:B,2,0)</f>
        <v>PROFIMONT EXTREME</v>
      </c>
      <c r="J1703" s="75">
        <v>9</v>
      </c>
      <c r="K1703" s="76" t="str">
        <f>VLOOKUP(Tabelle2[[#This Row],[Kunden Nr.]],KUNDEN!A:G,7)</f>
        <v>Mensuri</v>
      </c>
      <c r="L1703" s="76">
        <f>VLOOKUP(Tabelle2[[#This Row],[Artikel]],Produkte!A:H,8)</f>
        <v>0.2</v>
      </c>
    </row>
    <row r="1704" spans="1:12" x14ac:dyDescent="0.2">
      <c r="A1704" s="75" t="s">
        <v>1180</v>
      </c>
      <c r="B1704" s="79">
        <v>46104</v>
      </c>
      <c r="C1704" s="75"/>
      <c r="D1704" s="75"/>
      <c r="E1704" s="75"/>
      <c r="F1704" s="75">
        <v>20126</v>
      </c>
      <c r="G1704" s="76" t="str">
        <f>VLOOKUP(Tabelle2[[#This Row],[Kunden Nr.]],KUNDEN!A:B,2,0)</f>
        <v>LULI-C</v>
      </c>
      <c r="H1704" s="75">
        <v>49644</v>
      </c>
      <c r="I1704" s="76" t="str">
        <f>VLOOKUP(Tabelle2[[#This Row],[Artikel]],Produkte!A:B,2,0)</f>
        <v>beMAKER Rostlöser</v>
      </c>
      <c r="J1704" s="75">
        <v>6</v>
      </c>
      <c r="K1704" s="76" t="str">
        <f>VLOOKUP(Tabelle2[[#This Row],[Kunden Nr.]],KUNDEN!A:G,7)</f>
        <v>Mensuri</v>
      </c>
      <c r="L1704" s="76">
        <f>VLOOKUP(Tabelle2[[#This Row],[Artikel]],Produkte!A:H,8)</f>
        <v>0.2</v>
      </c>
    </row>
    <row r="1705" spans="1:12" x14ac:dyDescent="0.2">
      <c r="A1705" s="75" t="s">
        <v>1163</v>
      </c>
      <c r="B1705" s="79">
        <v>46104</v>
      </c>
      <c r="C1705" s="89">
        <v>92.4</v>
      </c>
      <c r="D1705" s="75"/>
      <c r="E1705" s="75"/>
      <c r="F1705" s="75">
        <v>20121</v>
      </c>
      <c r="G1705" s="76" t="str">
        <f>VLOOKUP(Tabelle2[[#This Row],[Kunden Nr.]],KUNDEN!A:B,2,0)</f>
        <v>CAMA BAU</v>
      </c>
      <c r="H1705" s="75">
        <v>35115</v>
      </c>
      <c r="I1705" s="76" t="str">
        <f>VLOOKUP(Tabelle2[[#This Row],[Artikel]],Produkte!A:B,2,0)</f>
        <v>M-ONE Sanitar Silikon</v>
      </c>
      <c r="J1705" s="75">
        <v>12</v>
      </c>
      <c r="K1705" s="76" t="str">
        <f>VLOOKUP(Tabelle2[[#This Row],[Kunden Nr.]],KUNDEN!A:G,7)</f>
        <v>Mensuri</v>
      </c>
      <c r="L1705" s="76">
        <f>VLOOKUP(Tabelle2[[#This Row],[Artikel]],Produkte!A:H,8)</f>
        <v>0.17</v>
      </c>
    </row>
    <row r="1706" spans="1:12" x14ac:dyDescent="0.2">
      <c r="A1706" s="75" t="s">
        <v>1163</v>
      </c>
      <c r="B1706" s="79">
        <v>46104</v>
      </c>
      <c r="C1706" s="75"/>
      <c r="D1706" s="75"/>
      <c r="E1706" s="75"/>
      <c r="F1706" s="75">
        <v>20121</v>
      </c>
      <c r="G1706" s="76" t="str">
        <f>VLOOKUP(Tabelle2[[#This Row],[Kunden Nr.]],KUNDEN!A:B,2,0)</f>
        <v>CAMA BAU</v>
      </c>
      <c r="H1706" s="75">
        <v>35121</v>
      </c>
      <c r="I1706" s="76" t="str">
        <f>VLOOKUP(Tabelle2[[#This Row],[Artikel]],Produkte!A:B,2,0)</f>
        <v>M-ONE Sanitar Silikon</v>
      </c>
      <c r="J1706" s="75">
        <v>12</v>
      </c>
      <c r="K1706" s="76" t="str">
        <f>VLOOKUP(Tabelle2[[#This Row],[Kunden Nr.]],KUNDEN!A:G,7)</f>
        <v>Mensuri</v>
      </c>
      <c r="L1706" s="76">
        <f>VLOOKUP(Tabelle2[[#This Row],[Artikel]],Produkte!A:H,8)</f>
        <v>0.17</v>
      </c>
    </row>
    <row r="1707" spans="1:12" x14ac:dyDescent="0.2">
      <c r="A1707" s="75" t="s">
        <v>509</v>
      </c>
      <c r="B1707" s="79">
        <v>46105</v>
      </c>
      <c r="C1707" s="89">
        <v>92.4</v>
      </c>
      <c r="D1707" s="75"/>
      <c r="E1707" s="75"/>
      <c r="F1707" s="75">
        <v>10201</v>
      </c>
      <c r="G1707" s="76" t="str">
        <f>VLOOKUP(Tabelle2[[#This Row],[Kunden Nr.]],KUNDEN!A:B,2,0)</f>
        <v>TE BESNIKU</v>
      </c>
      <c r="H1707" s="75">
        <v>35108</v>
      </c>
      <c r="I1707" s="76" t="str">
        <f>VLOOKUP(Tabelle2[[#This Row],[Artikel]],Produkte!A:B,2,0)</f>
        <v>M-ONE Sanitar Silikon</v>
      </c>
      <c r="J1707" s="75">
        <v>24</v>
      </c>
      <c r="K1707" s="76" t="str">
        <f>VLOOKUP(Tabelle2[[#This Row],[Kunden Nr.]],KUNDEN!A:G,7)</f>
        <v>Qerimi</v>
      </c>
      <c r="L1707" s="76">
        <f>VLOOKUP(Tabelle2[[#This Row],[Artikel]],Produkte!A:H,8)</f>
        <v>0.17</v>
      </c>
    </row>
    <row r="1708" spans="1:12" x14ac:dyDescent="0.2">
      <c r="A1708" s="75" t="s">
        <v>513</v>
      </c>
      <c r="B1708" s="79">
        <v>46105</v>
      </c>
      <c r="C1708" s="89">
        <v>138.6</v>
      </c>
      <c r="D1708" s="75"/>
      <c r="E1708" s="75"/>
      <c r="F1708" s="75">
        <v>10204</v>
      </c>
      <c r="G1708" s="76" t="str">
        <f>VLOOKUP(Tabelle2[[#This Row],[Kunden Nr.]],KUNDEN!A:B,2,0)</f>
        <v>GIMI</v>
      </c>
      <c r="H1708" s="75">
        <v>35121</v>
      </c>
      <c r="I1708" s="76" t="str">
        <f>VLOOKUP(Tabelle2[[#This Row],[Artikel]],Produkte!A:B,2,0)</f>
        <v>M-ONE Sanitar Silikon</v>
      </c>
      <c r="J1708" s="75">
        <v>36</v>
      </c>
      <c r="K1708" s="76" t="str">
        <f>VLOOKUP(Tabelle2[[#This Row],[Kunden Nr.]],KUNDEN!A:G,7)</f>
        <v>Qerimi</v>
      </c>
      <c r="L1708" s="76">
        <f>VLOOKUP(Tabelle2[[#This Row],[Artikel]],Produkte!A:H,8)</f>
        <v>0.17</v>
      </c>
    </row>
    <row r="1709" spans="1:12" x14ac:dyDescent="0.2">
      <c r="A1709" s="75" t="s">
        <v>509</v>
      </c>
      <c r="B1709" s="79">
        <v>46105</v>
      </c>
      <c r="C1709" s="89">
        <v>46.2</v>
      </c>
      <c r="D1709" s="75"/>
      <c r="E1709" s="75"/>
      <c r="F1709" s="75">
        <v>10201</v>
      </c>
      <c r="G1709" s="76" t="str">
        <f>VLOOKUP(Tabelle2[[#This Row],[Kunden Nr.]],KUNDEN!A:B,2,0)</f>
        <v>TE BESNIKU</v>
      </c>
      <c r="H1709" s="75">
        <v>35111</v>
      </c>
      <c r="I1709" s="76" t="str">
        <f>VLOOKUP(Tabelle2[[#This Row],[Artikel]],Produkte!A:B,2,0)</f>
        <v>M-ONE Sanitar Silikon</v>
      </c>
      <c r="J1709" s="75">
        <v>12</v>
      </c>
      <c r="K1709" s="76" t="str">
        <f>VLOOKUP(Tabelle2[[#This Row],[Kunden Nr.]],KUNDEN!A:G,7)</f>
        <v>Qerimi</v>
      </c>
      <c r="L1709" s="76">
        <f>VLOOKUP(Tabelle2[[#This Row],[Artikel]],Produkte!A:H,8)</f>
        <v>0.17</v>
      </c>
    </row>
    <row r="1710" spans="1:12" x14ac:dyDescent="0.2">
      <c r="A1710" s="75" t="s">
        <v>515</v>
      </c>
      <c r="B1710" s="79">
        <v>46105</v>
      </c>
      <c r="C1710" s="89">
        <v>92.4</v>
      </c>
      <c r="D1710" s="75"/>
      <c r="E1710" s="75"/>
      <c r="F1710" s="75">
        <v>10205</v>
      </c>
      <c r="G1710" s="76" t="str">
        <f>VLOOKUP(Tabelle2[[#This Row],[Kunden Nr.]],KUNDEN!A:B,2,0)</f>
        <v>XHAFA</v>
      </c>
      <c r="H1710" s="75">
        <v>35121</v>
      </c>
      <c r="I1710" s="76" t="str">
        <f>VLOOKUP(Tabelle2[[#This Row],[Artikel]],Produkte!A:B,2,0)</f>
        <v>M-ONE Sanitar Silikon</v>
      </c>
      <c r="J1710" s="75">
        <v>12</v>
      </c>
      <c r="K1710" s="76" t="str">
        <f>VLOOKUP(Tabelle2[[#This Row],[Kunden Nr.]],KUNDEN!A:G,7)</f>
        <v>Qerimi</v>
      </c>
      <c r="L1710" s="76">
        <f>VLOOKUP(Tabelle2[[#This Row],[Artikel]],Produkte!A:H,8)</f>
        <v>0.17</v>
      </c>
    </row>
    <row r="1711" spans="1:12" x14ac:dyDescent="0.2">
      <c r="A1711" s="75" t="s">
        <v>515</v>
      </c>
      <c r="B1711" s="79">
        <v>46105</v>
      </c>
      <c r="C1711" s="75"/>
      <c r="D1711" s="75"/>
      <c r="E1711" s="75"/>
      <c r="F1711" s="75">
        <v>10205</v>
      </c>
      <c r="G1711" s="76" t="str">
        <f>VLOOKUP(Tabelle2[[#This Row],[Kunden Nr.]],KUNDEN!A:B,2,0)</f>
        <v>XHAFA</v>
      </c>
      <c r="H1711" s="75">
        <v>35109</v>
      </c>
      <c r="I1711" s="76" t="str">
        <f>VLOOKUP(Tabelle2[[#This Row],[Artikel]],Produkte!A:B,2,0)</f>
        <v>M-ONE Sanitar Silikon</v>
      </c>
      <c r="J1711" s="75">
        <v>12</v>
      </c>
      <c r="K1711" s="76" t="str">
        <f>VLOOKUP(Tabelle2[[#This Row],[Kunden Nr.]],KUNDEN!A:G,7)</f>
        <v>Qerimi</v>
      </c>
      <c r="L1711" s="76">
        <f>VLOOKUP(Tabelle2[[#This Row],[Artikel]],Produkte!A:H,8)</f>
        <v>0.17</v>
      </c>
    </row>
    <row r="1712" spans="1:12" x14ac:dyDescent="0.2">
      <c r="A1712" s="75" t="s">
        <v>511</v>
      </c>
      <c r="B1712" s="79">
        <v>46105</v>
      </c>
      <c r="C1712" s="89">
        <v>92.4</v>
      </c>
      <c r="D1712" s="75"/>
      <c r="E1712" s="75"/>
      <c r="F1712" s="75">
        <v>10202</v>
      </c>
      <c r="G1712" s="76" t="str">
        <f>VLOOKUP(Tabelle2[[#This Row],[Kunden Nr.]],KUNDEN!A:B,2,0)</f>
        <v>METAL FATI</v>
      </c>
      <c r="H1712" s="75">
        <v>35108</v>
      </c>
      <c r="I1712" s="76" t="str">
        <f>VLOOKUP(Tabelle2[[#This Row],[Artikel]],Produkte!A:B,2,0)</f>
        <v>M-ONE Sanitar Silikon</v>
      </c>
      <c r="J1712" s="75">
        <v>12</v>
      </c>
      <c r="K1712" s="76" t="str">
        <f>VLOOKUP(Tabelle2[[#This Row],[Kunden Nr.]],KUNDEN!A:G,7)</f>
        <v>Qerimi</v>
      </c>
      <c r="L1712" s="76">
        <f>VLOOKUP(Tabelle2[[#This Row],[Artikel]],Produkte!A:H,8)</f>
        <v>0.17</v>
      </c>
    </row>
    <row r="1713" spans="1:12" x14ac:dyDescent="0.2">
      <c r="A1713" s="75" t="s">
        <v>511</v>
      </c>
      <c r="B1713" s="79">
        <v>46105</v>
      </c>
      <c r="C1713" s="75"/>
      <c r="D1713" s="75"/>
      <c r="E1713" s="75"/>
      <c r="F1713" s="75">
        <v>10202</v>
      </c>
      <c r="G1713" s="76" t="str">
        <f>VLOOKUP(Tabelle2[[#This Row],[Kunden Nr.]],KUNDEN!A:B,2,0)</f>
        <v>METAL FATI</v>
      </c>
      <c r="H1713" s="75">
        <v>35128</v>
      </c>
      <c r="I1713" s="76" t="str">
        <f>VLOOKUP(Tabelle2[[#This Row],[Artikel]],Produkte!A:B,2,0)</f>
        <v>M-ONE Sanitar Silikon</v>
      </c>
      <c r="J1713" s="75">
        <v>12</v>
      </c>
      <c r="K1713" s="76" t="str">
        <f>VLOOKUP(Tabelle2[[#This Row],[Kunden Nr.]],KUNDEN!A:G,7)</f>
        <v>Qerimi</v>
      </c>
      <c r="L1713" s="76">
        <f>VLOOKUP(Tabelle2[[#This Row],[Artikel]],Produkte!A:H,8)</f>
        <v>0.17</v>
      </c>
    </row>
    <row r="1714" spans="1:12" x14ac:dyDescent="0.2">
      <c r="A1714" s="75" t="s">
        <v>1201</v>
      </c>
      <c r="B1714" s="79">
        <v>46105</v>
      </c>
      <c r="C1714" s="89">
        <v>293.2</v>
      </c>
      <c r="D1714" s="75"/>
      <c r="E1714" s="75"/>
      <c r="F1714" s="75">
        <v>10240</v>
      </c>
      <c r="G1714" s="76" t="str">
        <f>VLOOKUP(Tabelle2[[#This Row],[Kunden Nr.]],KUNDEN!A:B,2,0)</f>
        <v>ARPO</v>
      </c>
      <c r="H1714" s="75">
        <v>35121</v>
      </c>
      <c r="I1714" s="76" t="str">
        <f>VLOOKUP(Tabelle2[[#This Row],[Artikel]],Produkte!A:B,2,0)</f>
        <v>M-ONE Sanitar Silikon</v>
      </c>
      <c r="J1714" s="75">
        <v>48</v>
      </c>
      <c r="K1714" s="76" t="str">
        <f>VLOOKUP(Tabelle2[[#This Row],[Kunden Nr.]],KUNDEN!A:G,7)</f>
        <v>Qerimi</v>
      </c>
      <c r="L1714" s="76">
        <f>VLOOKUP(Tabelle2[[#This Row],[Artikel]],Produkte!A:H,8)</f>
        <v>0.17</v>
      </c>
    </row>
    <row r="1715" spans="1:12" x14ac:dyDescent="0.2">
      <c r="A1715" s="75" t="s">
        <v>1201</v>
      </c>
      <c r="B1715" s="79">
        <v>46105</v>
      </c>
      <c r="C1715" s="75"/>
      <c r="D1715" s="75"/>
      <c r="E1715" s="75"/>
      <c r="F1715" s="75">
        <v>10240</v>
      </c>
      <c r="G1715" s="76" t="str">
        <f>VLOOKUP(Tabelle2[[#This Row],[Kunden Nr.]],KUNDEN!A:B,2,0)</f>
        <v>ARPO</v>
      </c>
      <c r="H1715" s="75">
        <v>35128</v>
      </c>
      <c r="I1715" s="76" t="str">
        <f>VLOOKUP(Tabelle2[[#This Row],[Artikel]],Produkte!A:B,2,0)</f>
        <v>M-ONE Sanitar Silikon</v>
      </c>
      <c r="J1715" s="75">
        <v>12</v>
      </c>
      <c r="K1715" s="76" t="str">
        <f>VLOOKUP(Tabelle2[[#This Row],[Kunden Nr.]],KUNDEN!A:G,7)</f>
        <v>Qerimi</v>
      </c>
      <c r="L1715" s="76">
        <f>VLOOKUP(Tabelle2[[#This Row],[Artikel]],Produkte!A:H,8)</f>
        <v>0.17</v>
      </c>
    </row>
    <row r="1716" spans="1:12" x14ac:dyDescent="0.2">
      <c r="A1716" s="75" t="s">
        <v>1201</v>
      </c>
      <c r="B1716" s="79">
        <v>46105</v>
      </c>
      <c r="C1716" s="75"/>
      <c r="D1716" s="75"/>
      <c r="E1716" s="75"/>
      <c r="F1716" s="75">
        <v>10240</v>
      </c>
      <c r="G1716" s="76" t="str">
        <f>VLOOKUP(Tabelle2[[#This Row],[Kunden Nr.]],KUNDEN!A:B,2,0)</f>
        <v>ARPO</v>
      </c>
      <c r="H1716" s="75">
        <v>35113</v>
      </c>
      <c r="I1716" s="76" t="str">
        <f>VLOOKUP(Tabelle2[[#This Row],[Artikel]],Produkte!A:B,2,0)</f>
        <v>M-ONE Sanitar Silikon</v>
      </c>
      <c r="J1716" s="75">
        <v>12</v>
      </c>
      <c r="K1716" s="76" t="str">
        <f>VLOOKUP(Tabelle2[[#This Row],[Kunden Nr.]],KUNDEN!A:G,7)</f>
        <v>Qerimi</v>
      </c>
      <c r="L1716" s="76">
        <f>VLOOKUP(Tabelle2[[#This Row],[Artikel]],Produkte!A:H,8)</f>
        <v>0.17</v>
      </c>
    </row>
    <row r="1717" spans="1:12" x14ac:dyDescent="0.2">
      <c r="A1717" s="75" t="s">
        <v>1201</v>
      </c>
      <c r="B1717" s="79">
        <v>46105</v>
      </c>
      <c r="C1717" s="75"/>
      <c r="D1717" s="75"/>
      <c r="E1717" s="75"/>
      <c r="F1717" s="75">
        <v>10240</v>
      </c>
      <c r="G1717" s="76" t="str">
        <f>VLOOKUP(Tabelle2[[#This Row],[Kunden Nr.]],KUNDEN!A:B,2,0)</f>
        <v>ARPO</v>
      </c>
      <c r="H1717" s="75">
        <v>12000</v>
      </c>
      <c r="I1717" s="76" t="str">
        <f>VLOOKUP(Tabelle2[[#This Row],[Artikel]],Produkte!A:B,2,0)</f>
        <v>BAU CLEAN</v>
      </c>
      <c r="J1717" s="75">
        <v>2</v>
      </c>
      <c r="K1717" s="76" t="str">
        <f>VLOOKUP(Tabelle2[[#This Row],[Kunden Nr.]],KUNDEN!A:G,7)</f>
        <v>Qerimi</v>
      </c>
      <c r="L1717" s="76">
        <f>VLOOKUP(Tabelle2[[#This Row],[Artikel]],Produkte!A:H,8)</f>
        <v>0.5</v>
      </c>
    </row>
    <row r="1718" spans="1:12" x14ac:dyDescent="0.2">
      <c r="A1718" s="75" t="s">
        <v>1179</v>
      </c>
      <c r="B1718" s="79">
        <v>46105</v>
      </c>
      <c r="C1718" s="89">
        <v>138.6</v>
      </c>
      <c r="D1718" s="75"/>
      <c r="E1718" s="75"/>
      <c r="F1718" s="75">
        <v>40019</v>
      </c>
      <c r="G1718" s="76" t="str">
        <f>VLOOKUP(Tabelle2[[#This Row],[Kunden Nr.]],KUNDEN!A:B,2,0)</f>
        <v>TEMAJ</v>
      </c>
      <c r="H1718" s="75">
        <v>35108</v>
      </c>
      <c r="I1718" s="76" t="str">
        <f>VLOOKUP(Tabelle2[[#This Row],[Artikel]],Produkte!A:B,2,0)</f>
        <v>M-ONE Sanitar Silikon</v>
      </c>
      <c r="J1718" s="75">
        <v>12</v>
      </c>
      <c r="K1718" s="76">
        <f>VLOOKUP(Tabelle2[[#This Row],[Kunden Nr.]],KUNDEN!A:G,7)</f>
        <v>0</v>
      </c>
      <c r="L1718" s="76">
        <f>VLOOKUP(Tabelle2[[#This Row],[Artikel]],Produkte!A:H,8)</f>
        <v>0.17</v>
      </c>
    </row>
    <row r="1719" spans="1:12" x14ac:dyDescent="0.2">
      <c r="A1719" s="75" t="s">
        <v>1179</v>
      </c>
      <c r="B1719" s="79">
        <v>46105</v>
      </c>
      <c r="C1719" s="75"/>
      <c r="D1719" s="75"/>
      <c r="E1719" s="75"/>
      <c r="F1719" s="75">
        <v>40019</v>
      </c>
      <c r="G1719" s="76" t="str">
        <f>VLOOKUP(Tabelle2[[#This Row],[Kunden Nr.]],KUNDEN!A:B,2,0)</f>
        <v>TEMAJ</v>
      </c>
      <c r="H1719" s="75">
        <v>35121</v>
      </c>
      <c r="I1719" s="76" t="str">
        <f>VLOOKUP(Tabelle2[[#This Row],[Artikel]],Produkte!A:B,2,0)</f>
        <v>M-ONE Sanitar Silikon</v>
      </c>
      <c r="J1719" s="75">
        <v>24</v>
      </c>
      <c r="K1719" s="76">
        <f>VLOOKUP(Tabelle2[[#This Row],[Kunden Nr.]],KUNDEN!A:G,7)</f>
        <v>0</v>
      </c>
      <c r="L1719" s="76">
        <f>VLOOKUP(Tabelle2[[#This Row],[Artikel]],Produkte!A:H,8)</f>
        <v>0.17</v>
      </c>
    </row>
    <row r="1720" spans="1:12" x14ac:dyDescent="0.2">
      <c r="A1720" s="75" t="s">
        <v>425</v>
      </c>
      <c r="B1720" s="79">
        <v>46105</v>
      </c>
      <c r="C1720" s="89">
        <v>92.4</v>
      </c>
      <c r="D1720" s="75"/>
      <c r="E1720" s="75"/>
      <c r="F1720" s="75">
        <v>20212</v>
      </c>
      <c r="G1720" s="76" t="str">
        <f>VLOOKUP(Tabelle2[[#This Row],[Kunden Nr.]],KUNDEN!A:B,2,0)</f>
        <v>INOX 2</v>
      </c>
      <c r="H1720" s="75">
        <v>35108</v>
      </c>
      <c r="I1720" s="76" t="str">
        <f>VLOOKUP(Tabelle2[[#This Row],[Artikel]],Produkte!A:B,2,0)</f>
        <v>M-ONE Sanitar Silikon</v>
      </c>
      <c r="J1720" s="75">
        <v>12</v>
      </c>
      <c r="K1720" s="76" t="str">
        <f>VLOOKUP(Tabelle2[[#This Row],[Kunden Nr.]],KUNDEN!A:G,7)</f>
        <v>Mensuri</v>
      </c>
      <c r="L1720" s="76">
        <f>VLOOKUP(Tabelle2[[#This Row],[Artikel]],Produkte!A:H,8)</f>
        <v>0.17</v>
      </c>
    </row>
    <row r="1721" spans="1:12" x14ac:dyDescent="0.2">
      <c r="A1721" s="75" t="s">
        <v>425</v>
      </c>
      <c r="B1721" s="79">
        <v>46105</v>
      </c>
      <c r="C1721" s="75"/>
      <c r="D1721" s="75"/>
      <c r="E1721" s="75"/>
      <c r="F1721" s="75">
        <v>20212</v>
      </c>
      <c r="G1721" s="76" t="str">
        <f>VLOOKUP(Tabelle2[[#This Row],[Kunden Nr.]],KUNDEN!A:B,2,0)</f>
        <v>INOX 2</v>
      </c>
      <c r="H1721" s="75">
        <v>35110</v>
      </c>
      <c r="I1721" s="76" t="str">
        <f>VLOOKUP(Tabelle2[[#This Row],[Artikel]],Produkte!A:B,2,0)</f>
        <v>M-ONE Sanitar Silikon</v>
      </c>
      <c r="J1721" s="75">
        <v>12</v>
      </c>
      <c r="K1721" s="76" t="str">
        <f>VLOOKUP(Tabelle2[[#This Row],[Kunden Nr.]],KUNDEN!A:G,7)</f>
        <v>Mensuri</v>
      </c>
      <c r="L1721" s="76">
        <f>VLOOKUP(Tabelle2[[#This Row],[Artikel]],Produkte!A:H,8)</f>
        <v>0.17</v>
      </c>
    </row>
    <row r="1722" spans="1:12" x14ac:dyDescent="0.2">
      <c r="A1722" s="75" t="s">
        <v>1041</v>
      </c>
      <c r="B1722" s="79">
        <v>46105</v>
      </c>
      <c r="C1722" s="89">
        <v>92.4</v>
      </c>
      <c r="D1722" s="75"/>
      <c r="E1722" s="75"/>
      <c r="F1722" s="75">
        <v>20223</v>
      </c>
      <c r="G1722" s="76" t="str">
        <f>VLOOKUP(Tabelle2[[#This Row],[Kunden Nr.]],KUNDEN!A:B,2,0)</f>
        <v>GER COLORS</v>
      </c>
      <c r="H1722" s="75">
        <v>35113</v>
      </c>
      <c r="I1722" s="76" t="str">
        <f>VLOOKUP(Tabelle2[[#This Row],[Artikel]],Produkte!A:B,2,0)</f>
        <v>M-ONE Sanitar Silikon</v>
      </c>
      <c r="J1722" s="75">
        <v>12</v>
      </c>
      <c r="K1722" s="76" t="str">
        <f>VLOOKUP(Tabelle2[[#This Row],[Kunden Nr.]],KUNDEN!A:G,7)</f>
        <v>Mensuri</v>
      </c>
      <c r="L1722" s="76">
        <f>VLOOKUP(Tabelle2[[#This Row],[Artikel]],Produkte!A:H,8)</f>
        <v>0.17</v>
      </c>
    </row>
    <row r="1723" spans="1:12" x14ac:dyDescent="0.2">
      <c r="A1723" s="75" t="s">
        <v>1041</v>
      </c>
      <c r="B1723" s="79">
        <v>46105</v>
      </c>
      <c r="C1723" s="75"/>
      <c r="D1723" s="75"/>
      <c r="E1723" s="75"/>
      <c r="F1723" s="75">
        <v>20223</v>
      </c>
      <c r="G1723" s="76" t="str">
        <f>VLOOKUP(Tabelle2[[#This Row],[Kunden Nr.]],KUNDEN!A:B,2,0)</f>
        <v>GER COLORS</v>
      </c>
      <c r="H1723" s="75">
        <v>35119</v>
      </c>
      <c r="I1723" s="76" t="str">
        <f>VLOOKUP(Tabelle2[[#This Row],[Artikel]],Produkte!A:B,2,0)</f>
        <v>M-ONE Sanitar Silikon</v>
      </c>
      <c r="J1723" s="75">
        <v>12</v>
      </c>
      <c r="K1723" s="76" t="str">
        <f>VLOOKUP(Tabelle2[[#This Row],[Kunden Nr.]],KUNDEN!A:G,7)</f>
        <v>Mensuri</v>
      </c>
      <c r="L1723" s="76">
        <f>VLOOKUP(Tabelle2[[#This Row],[Artikel]],Produkte!A:H,8)</f>
        <v>0.17</v>
      </c>
    </row>
    <row r="1724" spans="1:12" x14ac:dyDescent="0.2">
      <c r="A1724" s="75" t="s">
        <v>442</v>
      </c>
      <c r="B1724" s="79">
        <v>46105</v>
      </c>
      <c r="C1724" s="89">
        <v>92.4</v>
      </c>
      <c r="D1724" s="75"/>
      <c r="E1724" s="75"/>
      <c r="F1724" s="75">
        <v>20208</v>
      </c>
      <c r="G1724" s="76" t="str">
        <f>VLOOKUP(Tabelle2[[#This Row],[Kunden Nr.]],KUNDEN!A:B,2,0)</f>
        <v>V. GJONAJ</v>
      </c>
      <c r="H1724" s="75">
        <v>35113</v>
      </c>
      <c r="I1724" s="76" t="str">
        <f>VLOOKUP(Tabelle2[[#This Row],[Artikel]],Produkte!A:B,2,0)</f>
        <v>M-ONE Sanitar Silikon</v>
      </c>
      <c r="J1724" s="75">
        <v>12</v>
      </c>
      <c r="K1724" s="76" t="str">
        <f>VLOOKUP(Tabelle2[[#This Row],[Kunden Nr.]],KUNDEN!A:G,7)</f>
        <v>Mensuri</v>
      </c>
      <c r="L1724" s="76">
        <f>VLOOKUP(Tabelle2[[#This Row],[Artikel]],Produkte!A:H,8)</f>
        <v>0.17</v>
      </c>
    </row>
    <row r="1725" spans="1:12" x14ac:dyDescent="0.2">
      <c r="A1725" s="75" t="s">
        <v>442</v>
      </c>
      <c r="B1725" s="79">
        <v>46105</v>
      </c>
      <c r="C1725" s="75"/>
      <c r="D1725" s="75"/>
      <c r="E1725" s="75"/>
      <c r="F1725" s="75">
        <v>20208</v>
      </c>
      <c r="G1725" s="76" t="str">
        <f>VLOOKUP(Tabelle2[[#This Row],[Kunden Nr.]],KUNDEN!A:B,2,0)</f>
        <v>V. GJONAJ</v>
      </c>
      <c r="H1725" s="75">
        <v>35114</v>
      </c>
      <c r="I1725" s="76" t="str">
        <f>VLOOKUP(Tabelle2[[#This Row],[Artikel]],Produkte!A:B,2,0)</f>
        <v>M-ONE Sanitar Silikon</v>
      </c>
      <c r="J1725" s="75">
        <v>12</v>
      </c>
      <c r="K1725" s="76" t="str">
        <f>VLOOKUP(Tabelle2[[#This Row],[Kunden Nr.]],KUNDEN!A:G,7)</f>
        <v>Mensuri</v>
      </c>
      <c r="L1725" s="76">
        <f>VLOOKUP(Tabelle2[[#This Row],[Artikel]],Produkte!A:H,8)</f>
        <v>0.17</v>
      </c>
    </row>
    <row r="1726" spans="1:12" x14ac:dyDescent="0.2">
      <c r="A1726" s="75" t="s">
        <v>418</v>
      </c>
      <c r="B1726" s="79">
        <v>46105</v>
      </c>
      <c r="C1726" s="89">
        <v>92.4</v>
      </c>
      <c r="D1726" s="75"/>
      <c r="E1726" s="75"/>
      <c r="F1726" s="75">
        <v>20203</v>
      </c>
      <c r="G1726" s="76" t="str">
        <f>VLOOKUP(Tabelle2[[#This Row],[Kunden Nr.]],KUNDEN!A:B,2,0)</f>
        <v>AFRIMI-AG</v>
      </c>
      <c r="H1726" s="75">
        <v>35111</v>
      </c>
      <c r="I1726" s="76" t="str">
        <f>VLOOKUP(Tabelle2[[#This Row],[Artikel]],Produkte!A:B,2,0)</f>
        <v>M-ONE Sanitar Silikon</v>
      </c>
      <c r="J1726" s="75">
        <v>12</v>
      </c>
      <c r="K1726" s="76" t="str">
        <f>VLOOKUP(Tabelle2[[#This Row],[Kunden Nr.]],KUNDEN!A:G,7)</f>
        <v>Mensuri</v>
      </c>
      <c r="L1726" s="76">
        <f>VLOOKUP(Tabelle2[[#This Row],[Artikel]],Produkte!A:H,8)</f>
        <v>0.17</v>
      </c>
    </row>
    <row r="1727" spans="1:12" x14ac:dyDescent="0.2">
      <c r="A1727" s="75" t="s">
        <v>418</v>
      </c>
      <c r="B1727" s="79">
        <v>46105</v>
      </c>
      <c r="C1727" s="75"/>
      <c r="D1727" s="75"/>
      <c r="E1727" s="75"/>
      <c r="F1727" s="75">
        <v>20203</v>
      </c>
      <c r="G1727" s="76" t="str">
        <f>VLOOKUP(Tabelle2[[#This Row],[Kunden Nr.]],KUNDEN!A:B,2,0)</f>
        <v>AFRIMI-AG</v>
      </c>
      <c r="H1727" s="75">
        <v>35128</v>
      </c>
      <c r="I1727" s="76" t="str">
        <f>VLOOKUP(Tabelle2[[#This Row],[Artikel]],Produkte!A:B,2,0)</f>
        <v>M-ONE Sanitar Silikon</v>
      </c>
      <c r="J1727" s="75">
        <v>12</v>
      </c>
      <c r="K1727" s="76" t="str">
        <f>VLOOKUP(Tabelle2[[#This Row],[Kunden Nr.]],KUNDEN!A:G,7)</f>
        <v>Mensuri</v>
      </c>
      <c r="L1727" s="76">
        <f>VLOOKUP(Tabelle2[[#This Row],[Artikel]],Produkte!A:H,8)</f>
        <v>0.17</v>
      </c>
    </row>
    <row r="1728" spans="1:12" x14ac:dyDescent="0.2">
      <c r="A1728" s="75" t="s">
        <v>963</v>
      </c>
      <c r="B1728" s="79">
        <v>46105</v>
      </c>
      <c r="C1728" s="89">
        <v>67.599999999999994</v>
      </c>
      <c r="D1728" s="75"/>
      <c r="E1728" s="75"/>
      <c r="F1728" s="75">
        <v>20201</v>
      </c>
      <c r="G1728" s="76" t="str">
        <f>VLOOKUP(Tabelle2[[#This Row],[Kunden Nr.]],KUNDEN!A:B,2,0)</f>
        <v>TE BESIMI</v>
      </c>
      <c r="H1728" s="75">
        <v>51612</v>
      </c>
      <c r="I1728" s="76" t="str">
        <f>VLOOKUP(Tabelle2[[#This Row],[Artikel]],Produkte!A:B,2,0)</f>
        <v>struktural akryl</v>
      </c>
      <c r="J1728" s="75">
        <v>12</v>
      </c>
      <c r="K1728" s="76" t="str">
        <f>VLOOKUP(Tabelle2[[#This Row],[Kunden Nr.]],KUNDEN!A:G,7)</f>
        <v>Mensuri</v>
      </c>
      <c r="L1728" s="76">
        <f>VLOOKUP(Tabelle2[[#This Row],[Artikel]],Produkte!A:H,8)</f>
        <v>0.06</v>
      </c>
    </row>
    <row r="1729" spans="1:12" x14ac:dyDescent="0.2">
      <c r="A1729" s="75" t="s">
        <v>963</v>
      </c>
      <c r="B1729" s="79">
        <v>46105</v>
      </c>
      <c r="C1729" s="75"/>
      <c r="D1729" s="75"/>
      <c r="E1729" s="75"/>
      <c r="F1729" s="75">
        <v>20201</v>
      </c>
      <c r="G1729" s="76" t="str">
        <f>VLOOKUP(Tabelle2[[#This Row],[Kunden Nr.]],KUNDEN!A:B,2,0)</f>
        <v>TE BESIMI</v>
      </c>
      <c r="H1729" s="75">
        <v>56117</v>
      </c>
      <c r="I1729" s="76" t="str">
        <f>VLOOKUP(Tabelle2[[#This Row],[Artikel]],Produkte!A:B,2,0)</f>
        <v>M ONE UBS</v>
      </c>
      <c r="J1729" s="75">
        <v>7</v>
      </c>
      <c r="K1729" s="76" t="str">
        <f>VLOOKUP(Tabelle2[[#This Row],[Kunden Nr.]],KUNDEN!A:G,7)</f>
        <v>Mensuri</v>
      </c>
      <c r="L1729" s="76">
        <f>VLOOKUP(Tabelle2[[#This Row],[Artikel]],Produkte!A:H,8)</f>
        <v>0.2</v>
      </c>
    </row>
    <row r="1730" spans="1:12" x14ac:dyDescent="0.2">
      <c r="A1730" s="75" t="s">
        <v>963</v>
      </c>
      <c r="B1730" s="79">
        <v>46105</v>
      </c>
      <c r="C1730" s="75"/>
      <c r="D1730" s="75"/>
      <c r="E1730" s="75"/>
      <c r="F1730" s="75">
        <v>20201</v>
      </c>
      <c r="G1730" s="76" t="str">
        <f>VLOOKUP(Tabelle2[[#This Row],[Kunden Nr.]],KUNDEN!A:B,2,0)</f>
        <v>TE BESIMI</v>
      </c>
      <c r="H1730" s="75">
        <v>39505</v>
      </c>
      <c r="I1730" s="76" t="str">
        <f>VLOOKUP(Tabelle2[[#This Row],[Artikel]],Produkte!A:B,2,0)</f>
        <v>M ONE SILIKON SPRAY</v>
      </c>
      <c r="J1730" s="75">
        <v>4</v>
      </c>
      <c r="K1730" s="76" t="str">
        <f>VLOOKUP(Tabelle2[[#This Row],[Kunden Nr.]],KUNDEN!A:G,7)</f>
        <v>Mensuri</v>
      </c>
      <c r="L1730" s="76">
        <f>VLOOKUP(Tabelle2[[#This Row],[Artikel]],Produkte!A:H,8)</f>
        <v>0.2</v>
      </c>
    </row>
    <row r="1731" spans="1:12" x14ac:dyDescent="0.2">
      <c r="A1731" s="75" t="s">
        <v>770</v>
      </c>
      <c r="B1731" s="79">
        <v>46105</v>
      </c>
      <c r="C1731" s="89">
        <v>245.8</v>
      </c>
      <c r="D1731" s="75"/>
      <c r="E1731" s="75"/>
      <c r="F1731" s="75">
        <v>40003</v>
      </c>
      <c r="G1731" s="76" t="str">
        <f>VLOOKUP(Tabelle2[[#This Row],[Kunden Nr.]],KUNDEN!A:B,2,0)</f>
        <v>ARBENI BIOBLIC</v>
      </c>
      <c r="H1731" s="75">
        <v>20001</v>
      </c>
      <c r="I1731" s="76" t="str">
        <f>VLOOKUP(Tabelle2[[#This Row],[Artikel]],Produkte!A:B,2,0)</f>
        <v>BioBlic Universalreiniger</v>
      </c>
      <c r="J1731" s="75">
        <v>150</v>
      </c>
      <c r="K1731" s="76">
        <f>VLOOKUP(Tabelle2[[#This Row],[Kunden Nr.]],KUNDEN!A:G,7)</f>
        <v>0</v>
      </c>
      <c r="L1731" s="76">
        <f>VLOOKUP(Tabelle2[[#This Row],[Artikel]],Produkte!A:H,8)</f>
        <v>0.30000000000000004</v>
      </c>
    </row>
    <row r="1732" spans="1:12" x14ac:dyDescent="0.2">
      <c r="A1732" s="75" t="s">
        <v>770</v>
      </c>
      <c r="B1732" s="79">
        <v>46105</v>
      </c>
      <c r="C1732" s="75"/>
      <c r="D1732" s="75"/>
      <c r="E1732" s="75"/>
      <c r="F1732" s="75">
        <v>40003</v>
      </c>
      <c r="G1732" s="76" t="str">
        <f>VLOOKUP(Tabelle2[[#This Row],[Kunden Nr.]],KUNDEN!A:B,2,0)</f>
        <v>ARBENI BIOBLIC</v>
      </c>
      <c r="H1732" s="75">
        <v>30275</v>
      </c>
      <c r="I1732" s="76" t="str">
        <f>VLOOKUP(Tabelle2[[#This Row],[Artikel]],Produkte!A:B,2,0)</f>
        <v>Blic Blic Sanitärreiniger</v>
      </c>
      <c r="J1732" s="75">
        <v>20</v>
      </c>
      <c r="K1732" s="76">
        <f>VLOOKUP(Tabelle2[[#This Row],[Kunden Nr.]],KUNDEN!A:G,7)</f>
        <v>0</v>
      </c>
      <c r="L1732" s="76">
        <f>VLOOKUP(Tabelle2[[#This Row],[Artikel]],Produkte!A:H,8)</f>
        <v>0.30000000000000004</v>
      </c>
    </row>
    <row r="1733" spans="1:12" x14ac:dyDescent="0.2">
      <c r="A1733" s="75" t="s">
        <v>770</v>
      </c>
      <c r="B1733" s="79">
        <v>46105</v>
      </c>
      <c r="C1733" s="75"/>
      <c r="D1733" s="75"/>
      <c r="E1733" s="75"/>
      <c r="F1733" s="75">
        <v>40003</v>
      </c>
      <c r="G1733" s="76" t="str">
        <f>VLOOKUP(Tabelle2[[#This Row],[Kunden Nr.]],KUNDEN!A:B,2,0)</f>
        <v>ARBENI BIOBLIC</v>
      </c>
      <c r="H1733" s="75">
        <v>39505</v>
      </c>
      <c r="I1733" s="76" t="str">
        <f>VLOOKUP(Tabelle2[[#This Row],[Artikel]],Produkte!A:B,2,0)</f>
        <v>M ONE SILIKON SPRAY</v>
      </c>
      <c r="J1733" s="75">
        <v>5</v>
      </c>
      <c r="K1733" s="76">
        <f>VLOOKUP(Tabelle2[[#This Row],[Kunden Nr.]],KUNDEN!A:G,7)</f>
        <v>0</v>
      </c>
      <c r="L1733" s="76">
        <f>VLOOKUP(Tabelle2[[#This Row],[Artikel]],Produkte!A:H,8)</f>
        <v>0.2</v>
      </c>
    </row>
    <row r="1734" spans="1:12" x14ac:dyDescent="0.2">
      <c r="A1734" s="75" t="s">
        <v>770</v>
      </c>
      <c r="B1734" s="79">
        <v>46105</v>
      </c>
      <c r="C1734" s="75"/>
      <c r="D1734" s="75"/>
      <c r="E1734" s="75"/>
      <c r="F1734" s="75">
        <v>40003</v>
      </c>
      <c r="G1734" s="76" t="str">
        <f>VLOOKUP(Tabelle2[[#This Row],[Kunden Nr.]],KUNDEN!A:B,2,0)</f>
        <v>ARBENI BIOBLIC</v>
      </c>
      <c r="H1734" s="75">
        <v>11000</v>
      </c>
      <c r="I1734" s="76" t="str">
        <f>VLOOKUP(Tabelle2[[#This Row],[Artikel]],Produkte!A:B,2,0)</f>
        <v>Bodenreiniger</v>
      </c>
      <c r="J1734" s="75">
        <v>2</v>
      </c>
      <c r="K1734" s="76">
        <f>VLOOKUP(Tabelle2[[#This Row],[Kunden Nr.]],KUNDEN!A:G,7)</f>
        <v>0</v>
      </c>
      <c r="L1734" s="76">
        <f>VLOOKUP(Tabelle2[[#This Row],[Artikel]],Produkte!A:H,8)</f>
        <v>0.5</v>
      </c>
    </row>
    <row r="1735" spans="1:12" x14ac:dyDescent="0.2">
      <c r="A1735" s="75" t="s">
        <v>43</v>
      </c>
      <c r="B1735" s="79">
        <v>46106</v>
      </c>
      <c r="C1735" s="89">
        <v>46.2</v>
      </c>
      <c r="D1735" s="75"/>
      <c r="E1735" s="75"/>
      <c r="F1735" s="75">
        <v>10332</v>
      </c>
      <c r="G1735" s="76" t="str">
        <f>VLOOKUP(Tabelle2[[#This Row],[Kunden Nr.]],KUNDEN!A:B,2,0)</f>
        <v>DARDANIA</v>
      </c>
      <c r="H1735" s="75">
        <v>35121</v>
      </c>
      <c r="I1735" s="76" t="str">
        <f>VLOOKUP(Tabelle2[[#This Row],[Artikel]],Produkte!A:B,2,0)</f>
        <v>M-ONE Sanitar Silikon</v>
      </c>
      <c r="J1735" s="75">
        <v>12</v>
      </c>
      <c r="K1735" s="76" t="str">
        <f>VLOOKUP(Tabelle2[[#This Row],[Kunden Nr.]],KUNDEN!A:G,7)</f>
        <v>Qerimi</v>
      </c>
      <c r="L1735" s="76">
        <f>VLOOKUP(Tabelle2[[#This Row],[Artikel]],Produkte!A:H,8)</f>
        <v>0.17</v>
      </c>
    </row>
    <row r="1736" spans="1:12" x14ac:dyDescent="0.2">
      <c r="A1736" s="75" t="s">
        <v>413</v>
      </c>
      <c r="B1736" s="79">
        <v>46106</v>
      </c>
      <c r="C1736" s="89">
        <v>323.39999999999998</v>
      </c>
      <c r="D1736" s="75"/>
      <c r="E1736" s="75"/>
      <c r="F1736" s="75">
        <v>10350</v>
      </c>
      <c r="G1736" s="76" t="str">
        <f>VLOOKUP(Tabelle2[[#This Row],[Kunden Nr.]],KUNDEN!A:B,2,0)</f>
        <v>BALLKANI</v>
      </c>
      <c r="H1736" s="75">
        <v>35113</v>
      </c>
      <c r="I1736" s="76" t="str">
        <f>VLOOKUP(Tabelle2[[#This Row],[Artikel]],Produkte!A:B,2,0)</f>
        <v>M-ONE Sanitar Silikon</v>
      </c>
      <c r="J1736" s="75">
        <v>12</v>
      </c>
      <c r="K1736" s="76" t="str">
        <f>VLOOKUP(Tabelle2[[#This Row],[Kunden Nr.]],KUNDEN!A:G,7)</f>
        <v>Qerimi</v>
      </c>
      <c r="L1736" s="76">
        <f>VLOOKUP(Tabelle2[[#This Row],[Artikel]],Produkte!A:H,8)</f>
        <v>0.17</v>
      </c>
    </row>
    <row r="1737" spans="1:12" x14ac:dyDescent="0.2">
      <c r="A1737" s="75" t="s">
        <v>413</v>
      </c>
      <c r="B1737" s="79">
        <v>46106</v>
      </c>
      <c r="C1737" s="75"/>
      <c r="D1737" s="75"/>
      <c r="E1737" s="75"/>
      <c r="F1737" s="75">
        <v>10350</v>
      </c>
      <c r="G1737" s="76" t="str">
        <f>VLOOKUP(Tabelle2[[#This Row],[Kunden Nr.]],KUNDEN!A:B,2,0)</f>
        <v>BALLKANI</v>
      </c>
      <c r="H1737" s="75">
        <v>35128</v>
      </c>
      <c r="I1737" s="76" t="str">
        <f>VLOOKUP(Tabelle2[[#This Row],[Artikel]],Produkte!A:B,2,0)</f>
        <v>M-ONE Sanitar Silikon</v>
      </c>
      <c r="J1737" s="75">
        <v>12</v>
      </c>
      <c r="K1737" s="76" t="str">
        <f>VLOOKUP(Tabelle2[[#This Row],[Kunden Nr.]],KUNDEN!A:G,7)</f>
        <v>Qerimi</v>
      </c>
      <c r="L1737" s="76">
        <f>VLOOKUP(Tabelle2[[#This Row],[Artikel]],Produkte!A:H,8)</f>
        <v>0.17</v>
      </c>
    </row>
    <row r="1738" spans="1:12" x14ac:dyDescent="0.2">
      <c r="A1738" s="75" t="s">
        <v>413</v>
      </c>
      <c r="B1738" s="79">
        <v>46106</v>
      </c>
      <c r="C1738" s="75"/>
      <c r="D1738" s="75"/>
      <c r="E1738" s="75"/>
      <c r="F1738" s="75">
        <v>10350</v>
      </c>
      <c r="G1738" s="76" t="str">
        <f>VLOOKUP(Tabelle2[[#This Row],[Kunden Nr.]],KUNDEN!A:B,2,0)</f>
        <v>BALLKANI</v>
      </c>
      <c r="H1738" s="75">
        <v>35115</v>
      </c>
      <c r="I1738" s="76" t="str">
        <f>VLOOKUP(Tabelle2[[#This Row],[Artikel]],Produkte!A:B,2,0)</f>
        <v>M-ONE Sanitar Silikon</v>
      </c>
      <c r="J1738" s="75">
        <v>12</v>
      </c>
      <c r="K1738" s="76" t="str">
        <f>VLOOKUP(Tabelle2[[#This Row],[Kunden Nr.]],KUNDEN!A:G,7)</f>
        <v>Qerimi</v>
      </c>
      <c r="L1738" s="76">
        <f>VLOOKUP(Tabelle2[[#This Row],[Artikel]],Produkte!A:H,8)</f>
        <v>0.17</v>
      </c>
    </row>
    <row r="1739" spans="1:12" x14ac:dyDescent="0.2">
      <c r="A1739" s="75" t="s">
        <v>413</v>
      </c>
      <c r="B1739" s="79">
        <v>46106</v>
      </c>
      <c r="C1739" s="75"/>
      <c r="D1739" s="75"/>
      <c r="E1739" s="75"/>
      <c r="F1739" s="75">
        <v>10350</v>
      </c>
      <c r="G1739" s="76" t="str">
        <f>VLOOKUP(Tabelle2[[#This Row],[Kunden Nr.]],KUNDEN!A:B,2,0)</f>
        <v>BALLKANI</v>
      </c>
      <c r="H1739" s="75">
        <v>35121</v>
      </c>
      <c r="I1739" s="76" t="str">
        <f>VLOOKUP(Tabelle2[[#This Row],[Artikel]],Produkte!A:B,2,0)</f>
        <v>M-ONE Sanitar Silikon</v>
      </c>
      <c r="J1739" s="75">
        <v>48</v>
      </c>
      <c r="K1739" s="76" t="str">
        <f>VLOOKUP(Tabelle2[[#This Row],[Kunden Nr.]],KUNDEN!A:G,7)</f>
        <v>Qerimi</v>
      </c>
      <c r="L1739" s="76">
        <f>VLOOKUP(Tabelle2[[#This Row],[Artikel]],Produkte!A:H,8)</f>
        <v>0.17</v>
      </c>
    </row>
    <row r="1740" spans="1:12" x14ac:dyDescent="0.2">
      <c r="A1740" s="75" t="s">
        <v>1253</v>
      </c>
      <c r="B1740" s="79">
        <v>46106</v>
      </c>
      <c r="C1740" s="89">
        <v>73.8</v>
      </c>
      <c r="D1740" s="75"/>
      <c r="E1740" s="75"/>
      <c r="F1740" s="75">
        <v>10360</v>
      </c>
      <c r="G1740" s="76" t="e">
        <f>VLOOKUP(Tabelle2[[#This Row],[Kunden Nr.]],KUNDEN!A:B,2,0)</f>
        <v>#N/A</v>
      </c>
      <c r="H1740" s="75">
        <v>35111</v>
      </c>
      <c r="I1740" s="76" t="str">
        <f>VLOOKUP(Tabelle2[[#This Row],[Artikel]],Produkte!A:B,2,0)</f>
        <v>M-ONE Sanitar Silikon</v>
      </c>
      <c r="J1740" s="75">
        <v>12</v>
      </c>
      <c r="K1740" s="76" t="str">
        <f>VLOOKUP(Tabelle2[[#This Row],[Kunden Nr.]],KUNDEN!A:G,7)</f>
        <v>Qerimi</v>
      </c>
      <c r="L1740" s="76">
        <f>VLOOKUP(Tabelle2[[#This Row],[Artikel]],Produkte!A:H,8)</f>
        <v>0.17</v>
      </c>
    </row>
    <row r="1741" spans="1:12" x14ac:dyDescent="0.2">
      <c r="A1741" s="75" t="s">
        <v>1253</v>
      </c>
      <c r="B1741" s="79">
        <v>46106</v>
      </c>
      <c r="C1741" s="75"/>
      <c r="D1741" s="75"/>
      <c r="E1741" s="75"/>
      <c r="F1741" s="75">
        <v>10360</v>
      </c>
      <c r="G1741" s="76" t="e">
        <f>VLOOKUP(Tabelle2[[#This Row],[Kunden Nr.]],KUNDEN!A:B,2,0)</f>
        <v>#N/A</v>
      </c>
      <c r="H1741" s="75">
        <v>51612</v>
      </c>
      <c r="I1741" s="76" t="str">
        <f>VLOOKUP(Tabelle2[[#This Row],[Artikel]],Produkte!A:B,2,0)</f>
        <v>struktural akryl</v>
      </c>
      <c r="J1741" s="75">
        <v>12</v>
      </c>
      <c r="K1741" s="76" t="str">
        <f>VLOOKUP(Tabelle2[[#This Row],[Kunden Nr.]],KUNDEN!A:G,7)</f>
        <v>Qerimi</v>
      </c>
      <c r="L1741" s="76">
        <f>VLOOKUP(Tabelle2[[#This Row],[Artikel]],Produkte!A:H,8)</f>
        <v>0.06</v>
      </c>
    </row>
    <row r="1742" spans="1:12" x14ac:dyDescent="0.2">
      <c r="A1742" s="75" t="s">
        <v>1154</v>
      </c>
      <c r="B1742" s="79">
        <v>46106</v>
      </c>
      <c r="C1742" s="89">
        <v>92.4</v>
      </c>
      <c r="D1742" s="75"/>
      <c r="E1742" s="75"/>
      <c r="F1742" s="75">
        <v>10344</v>
      </c>
      <c r="G1742" s="76" t="str">
        <f>VLOOKUP(Tabelle2[[#This Row],[Kunden Nr.]],KUNDEN!A:B,2,0)</f>
        <v>TINA</v>
      </c>
      <c r="H1742" s="75">
        <v>35128</v>
      </c>
      <c r="I1742" s="76" t="str">
        <f>VLOOKUP(Tabelle2[[#This Row],[Artikel]],Produkte!A:B,2,0)</f>
        <v>M-ONE Sanitar Silikon</v>
      </c>
      <c r="J1742" s="75">
        <v>12</v>
      </c>
      <c r="K1742" s="76" t="str">
        <f>VLOOKUP(Tabelle2[[#This Row],[Kunden Nr.]],KUNDEN!A:G,7)</f>
        <v>Qerimi</v>
      </c>
      <c r="L1742" s="76">
        <f>VLOOKUP(Tabelle2[[#This Row],[Artikel]],Produkte!A:H,8)</f>
        <v>0.17</v>
      </c>
    </row>
    <row r="1743" spans="1:12" x14ac:dyDescent="0.2">
      <c r="A1743" s="75" t="s">
        <v>1154</v>
      </c>
      <c r="B1743" s="79">
        <v>46106</v>
      </c>
      <c r="C1743" s="75"/>
      <c r="D1743" s="75"/>
      <c r="E1743" s="75"/>
      <c r="F1743" s="75">
        <v>10344</v>
      </c>
      <c r="G1743" s="76" t="str">
        <f>VLOOKUP(Tabelle2[[#This Row],[Kunden Nr.]],KUNDEN!A:B,2,0)</f>
        <v>TINA</v>
      </c>
      <c r="H1743" s="75">
        <v>35108</v>
      </c>
      <c r="I1743" s="76" t="str">
        <f>VLOOKUP(Tabelle2[[#This Row],[Artikel]],Produkte!A:B,2,0)</f>
        <v>M-ONE Sanitar Silikon</v>
      </c>
      <c r="J1743" s="75">
        <v>12</v>
      </c>
      <c r="K1743" s="76" t="str">
        <f>VLOOKUP(Tabelle2[[#This Row],[Kunden Nr.]],KUNDEN!A:G,7)</f>
        <v>Qerimi</v>
      </c>
      <c r="L1743" s="76">
        <f>VLOOKUP(Tabelle2[[#This Row],[Artikel]],Produkte!A:H,8)</f>
        <v>0.17</v>
      </c>
    </row>
    <row r="1744" spans="1:12" x14ac:dyDescent="0.2">
      <c r="A1744" s="75" t="s">
        <v>23</v>
      </c>
      <c r="B1744" s="79">
        <v>46106</v>
      </c>
      <c r="C1744" s="89">
        <v>41.6</v>
      </c>
      <c r="D1744" s="75"/>
      <c r="E1744" s="75"/>
      <c r="F1744" s="75">
        <v>10317</v>
      </c>
      <c r="G1744" s="76" t="str">
        <f>VLOOKUP(Tabelle2[[#This Row],[Kunden Nr.]],KUNDEN!A:B,2,0)</f>
        <v>BEKA-2</v>
      </c>
      <c r="H1744" s="75">
        <v>54412</v>
      </c>
      <c r="I1744" s="76" t="str">
        <f>VLOOKUP(Tabelle2[[#This Row],[Artikel]],Produkte!A:B,2,0)</f>
        <v>beMAKER Bremsen&amp;Teile Reininger</v>
      </c>
      <c r="J1744" s="75">
        <v>10</v>
      </c>
      <c r="K1744" s="76" t="str">
        <f>VLOOKUP(Tabelle2[[#This Row],[Kunden Nr.]],KUNDEN!A:G,7)</f>
        <v>Qerimi</v>
      </c>
      <c r="L1744" s="76">
        <f>VLOOKUP(Tabelle2[[#This Row],[Artikel]],Produkte!A:H,8)</f>
        <v>0.2</v>
      </c>
    </row>
    <row r="1745" spans="1:12" x14ac:dyDescent="0.2">
      <c r="A1745" s="75" t="s">
        <v>23</v>
      </c>
      <c r="B1745" s="79">
        <v>46106</v>
      </c>
      <c r="C1745" s="75"/>
      <c r="D1745" s="75"/>
      <c r="E1745" s="75"/>
      <c r="F1745" s="75">
        <v>10317</v>
      </c>
      <c r="G1745" s="76" t="str">
        <f>VLOOKUP(Tabelle2[[#This Row],[Kunden Nr.]],KUNDEN!A:B,2,0)</f>
        <v>BEKA-2</v>
      </c>
      <c r="H1745" s="75">
        <v>50912</v>
      </c>
      <c r="I1745" s="76" t="str">
        <f>VLOOKUP(Tabelle2[[#This Row],[Artikel]],Produkte!A:B,2,0)</f>
        <v>DICHTUNG</v>
      </c>
      <c r="J1745" s="75">
        <v>3</v>
      </c>
      <c r="K1745" s="76" t="str">
        <f>VLOOKUP(Tabelle2[[#This Row],[Kunden Nr.]],KUNDEN!A:G,7)</f>
        <v>Qerimi</v>
      </c>
      <c r="L1745" s="76">
        <f>VLOOKUP(Tabelle2[[#This Row],[Artikel]],Produkte!A:H,8)</f>
        <v>0.2</v>
      </c>
    </row>
    <row r="1746" spans="1:12" x14ac:dyDescent="0.2">
      <c r="A1746" s="75" t="s">
        <v>20</v>
      </c>
      <c r="B1746" s="79">
        <v>46106</v>
      </c>
      <c r="C1746" s="89">
        <v>99.4</v>
      </c>
      <c r="D1746" s="75"/>
      <c r="E1746" s="75"/>
      <c r="F1746" s="75">
        <v>10313</v>
      </c>
      <c r="G1746" s="76" t="str">
        <f>VLOOKUP(Tabelle2[[#This Row],[Kunden Nr.]],KUNDEN!A:B,2,0)</f>
        <v>FATMIRI</v>
      </c>
      <c r="H1746" s="75">
        <v>35121</v>
      </c>
      <c r="I1746" s="76" t="str">
        <f>VLOOKUP(Tabelle2[[#This Row],[Artikel]],Produkte!A:B,2,0)</f>
        <v>M-ONE Sanitar Silikon</v>
      </c>
      <c r="J1746" s="75">
        <v>24</v>
      </c>
      <c r="K1746" s="76" t="str">
        <f>VLOOKUP(Tabelle2[[#This Row],[Kunden Nr.]],KUNDEN!A:G,7)</f>
        <v>Qerimi</v>
      </c>
      <c r="L1746" s="76">
        <f>VLOOKUP(Tabelle2[[#This Row],[Artikel]],Produkte!A:H,8)</f>
        <v>0.17</v>
      </c>
    </row>
    <row r="1747" spans="1:12" x14ac:dyDescent="0.2">
      <c r="A1747" s="75" t="s">
        <v>20</v>
      </c>
      <c r="B1747" s="79">
        <v>46106</v>
      </c>
      <c r="C1747" s="75"/>
      <c r="D1747" s="75"/>
      <c r="E1747" s="75"/>
      <c r="F1747" s="75">
        <v>10313</v>
      </c>
      <c r="G1747" s="76" t="str">
        <f>VLOOKUP(Tabelle2[[#This Row],[Kunden Nr.]],KUNDEN!A:B,2,0)</f>
        <v>FATMIRI</v>
      </c>
      <c r="H1747" s="75">
        <v>44001</v>
      </c>
      <c r="I1747" s="76" t="str">
        <f>VLOOKUP(Tabelle2[[#This Row],[Artikel]],Produkte!A:B,2,0)</f>
        <v>Fettspray</v>
      </c>
      <c r="J1747" s="75">
        <v>2</v>
      </c>
      <c r="K1747" s="76" t="str">
        <f>VLOOKUP(Tabelle2[[#This Row],[Kunden Nr.]],KUNDEN!A:G,7)</f>
        <v>Qerimi</v>
      </c>
      <c r="L1747" s="76">
        <f>VLOOKUP(Tabelle2[[#This Row],[Artikel]],Produkte!A:H,8)</f>
        <v>0.2</v>
      </c>
    </row>
    <row r="1748" spans="1:12" x14ac:dyDescent="0.2">
      <c r="A1748" s="75" t="s">
        <v>7</v>
      </c>
      <c r="B1748" s="79">
        <v>46106</v>
      </c>
      <c r="C1748" s="89">
        <v>40</v>
      </c>
      <c r="D1748" s="75"/>
      <c r="E1748" s="75"/>
      <c r="F1748" s="75">
        <v>10303</v>
      </c>
      <c r="G1748" s="76" t="str">
        <f>VLOOKUP(Tabelle2[[#This Row],[Kunden Nr.]],KUNDEN!A:B,2,0)</f>
        <v>BEKA-1</v>
      </c>
      <c r="H1748" s="75">
        <v>50912</v>
      </c>
      <c r="I1748" s="76" t="str">
        <f>VLOOKUP(Tabelle2[[#This Row],[Artikel]],Produkte!A:B,2,0)</f>
        <v>DICHTUNG</v>
      </c>
      <c r="J1748" s="75">
        <v>5</v>
      </c>
      <c r="K1748" s="76" t="str">
        <f>VLOOKUP(Tabelle2[[#This Row],[Kunden Nr.]],KUNDEN!A:G,7)</f>
        <v>Qerimi</v>
      </c>
      <c r="L1748" s="76">
        <f>VLOOKUP(Tabelle2[[#This Row],[Artikel]],Produkte!A:H,8)</f>
        <v>0.2</v>
      </c>
    </row>
    <row r="1749" spans="1:12" x14ac:dyDescent="0.2">
      <c r="A1749" s="75" t="s">
        <v>7</v>
      </c>
      <c r="B1749" s="79">
        <v>46106</v>
      </c>
      <c r="C1749" s="75"/>
      <c r="D1749" s="75"/>
      <c r="E1749" s="75"/>
      <c r="F1749" s="75">
        <v>10303</v>
      </c>
      <c r="G1749" s="76" t="str">
        <f>VLOOKUP(Tabelle2[[#This Row],[Kunden Nr.]],KUNDEN!A:B,2,0)</f>
        <v>BEKA-1</v>
      </c>
      <c r="H1749" s="75">
        <v>49644</v>
      </c>
      <c r="I1749" s="76" t="str">
        <f>VLOOKUP(Tabelle2[[#This Row],[Artikel]],Produkte!A:B,2,0)</f>
        <v>beMAKER Rostlöser</v>
      </c>
      <c r="J1749" s="75">
        <v>2</v>
      </c>
      <c r="K1749" s="76" t="str">
        <f>VLOOKUP(Tabelle2[[#This Row],[Kunden Nr.]],KUNDEN!A:G,7)</f>
        <v>Qerimi</v>
      </c>
      <c r="L1749" s="76">
        <f>VLOOKUP(Tabelle2[[#This Row],[Artikel]],Produkte!A:H,8)</f>
        <v>0.2</v>
      </c>
    </row>
    <row r="1750" spans="1:12" x14ac:dyDescent="0.2">
      <c r="A1750" s="75" t="s">
        <v>995</v>
      </c>
      <c r="B1750" s="79">
        <v>46106</v>
      </c>
      <c r="C1750" s="89">
        <v>92.4</v>
      </c>
      <c r="D1750" s="75"/>
      <c r="E1750" s="75"/>
      <c r="F1750" s="75">
        <v>10353</v>
      </c>
      <c r="G1750" s="76" t="str">
        <f>VLOOKUP(Tabelle2[[#This Row],[Kunden Nr.]],KUNDEN!A:B,2,0)</f>
        <v>TREND CERAMIKA</v>
      </c>
      <c r="H1750" s="75">
        <v>35121</v>
      </c>
      <c r="I1750" s="76" t="str">
        <f>VLOOKUP(Tabelle2[[#This Row],[Artikel]],Produkte!A:B,2,0)</f>
        <v>M-ONE Sanitar Silikon</v>
      </c>
      <c r="J1750" s="75">
        <v>24</v>
      </c>
      <c r="K1750" s="76" t="str">
        <f>VLOOKUP(Tabelle2[[#This Row],[Kunden Nr.]],KUNDEN!A:G,7)</f>
        <v>Qerimi</v>
      </c>
      <c r="L1750" s="76">
        <f>VLOOKUP(Tabelle2[[#This Row],[Artikel]],Produkte!A:H,8)</f>
        <v>0.17</v>
      </c>
    </row>
    <row r="1751" spans="1:12" x14ac:dyDescent="0.2">
      <c r="A1751" s="75" t="s">
        <v>618</v>
      </c>
      <c r="B1751" s="79">
        <v>46106</v>
      </c>
      <c r="C1751" s="89">
        <v>193.8</v>
      </c>
      <c r="D1751" s="75"/>
      <c r="E1751" s="75"/>
      <c r="F1751" s="75">
        <v>20307</v>
      </c>
      <c r="G1751" s="76" t="str">
        <f>VLOOKUP(Tabelle2[[#This Row],[Kunden Nr.]],KUNDEN!A:B,2,0)</f>
        <v>CONDOR</v>
      </c>
      <c r="H1751" s="75">
        <v>35110</v>
      </c>
      <c r="I1751" s="76" t="str">
        <f>VLOOKUP(Tabelle2[[#This Row],[Artikel]],Produkte!A:B,2,0)</f>
        <v>M-ONE Sanitar Silikon</v>
      </c>
      <c r="J1751" s="75">
        <v>24</v>
      </c>
      <c r="K1751" s="76" t="str">
        <f>VLOOKUP(Tabelle2[[#This Row],[Kunden Nr.]],KUNDEN!A:G,7)</f>
        <v>Mensuri</v>
      </c>
      <c r="L1751" s="76">
        <f>VLOOKUP(Tabelle2[[#This Row],[Artikel]],Produkte!A:H,8)</f>
        <v>0.17</v>
      </c>
    </row>
    <row r="1752" spans="1:12" x14ac:dyDescent="0.2">
      <c r="A1752" s="75" t="s">
        <v>618</v>
      </c>
      <c r="B1752" s="79">
        <v>46106</v>
      </c>
      <c r="C1752" s="75"/>
      <c r="D1752" s="75"/>
      <c r="E1752" s="75"/>
      <c r="F1752" s="75">
        <v>20307</v>
      </c>
      <c r="G1752" s="76" t="str">
        <f>VLOOKUP(Tabelle2[[#This Row],[Kunden Nr.]],KUNDEN!A:B,2,0)</f>
        <v>CONDOR</v>
      </c>
      <c r="H1752" s="75">
        <v>35108</v>
      </c>
      <c r="I1752" s="76" t="str">
        <f>VLOOKUP(Tabelle2[[#This Row],[Artikel]],Produkte!A:B,2,0)</f>
        <v>M-ONE Sanitar Silikon</v>
      </c>
      <c r="J1752" s="75">
        <v>12</v>
      </c>
      <c r="K1752" s="76" t="str">
        <f>VLOOKUP(Tabelle2[[#This Row],[Kunden Nr.]],KUNDEN!A:G,7)</f>
        <v>Mensuri</v>
      </c>
      <c r="L1752" s="76">
        <f>VLOOKUP(Tabelle2[[#This Row],[Artikel]],Produkte!A:H,8)</f>
        <v>0.17</v>
      </c>
    </row>
    <row r="1753" spans="1:12" x14ac:dyDescent="0.2">
      <c r="A1753" s="75" t="s">
        <v>618</v>
      </c>
      <c r="B1753" s="79">
        <v>46106</v>
      </c>
      <c r="C1753" s="75"/>
      <c r="D1753" s="75"/>
      <c r="E1753" s="75"/>
      <c r="F1753" s="75">
        <v>20307</v>
      </c>
      <c r="G1753" s="76" t="str">
        <f>VLOOKUP(Tabelle2[[#This Row],[Kunden Nr.]],KUNDEN!A:B,2,0)</f>
        <v>CONDOR</v>
      </c>
      <c r="H1753" s="75">
        <v>51612</v>
      </c>
      <c r="I1753" s="76" t="str">
        <f>VLOOKUP(Tabelle2[[#This Row],[Artikel]],Produkte!A:B,2,0)</f>
        <v>struktural akryl</v>
      </c>
      <c r="J1753" s="75">
        <v>24</v>
      </c>
      <c r="K1753" s="76" t="str">
        <f>VLOOKUP(Tabelle2[[#This Row],[Kunden Nr.]],KUNDEN!A:G,7)</f>
        <v>Mensuri</v>
      </c>
      <c r="L1753" s="76">
        <f>VLOOKUP(Tabelle2[[#This Row],[Artikel]],Produkte!A:H,8)</f>
        <v>0.06</v>
      </c>
    </row>
    <row r="1754" spans="1:12" x14ac:dyDescent="0.2">
      <c r="A1754" s="75" t="s">
        <v>618</v>
      </c>
      <c r="B1754" s="79">
        <v>46106</v>
      </c>
      <c r="C1754" s="75"/>
      <c r="D1754" s="75"/>
      <c r="E1754" s="75"/>
      <c r="F1754" s="75">
        <v>20307</v>
      </c>
      <c r="G1754" s="76" t="str">
        <f>VLOOKUP(Tabelle2[[#This Row],[Kunden Nr.]],KUNDEN!A:B,2,0)</f>
        <v>CONDOR</v>
      </c>
      <c r="H1754" s="75">
        <v>51936</v>
      </c>
      <c r="I1754" s="76" t="str">
        <f>VLOOKUP(Tabelle2[[#This Row],[Artikel]],Produkte!A:B,2,0)</f>
        <v>M ONE SCHWARZ GLÄNZED</v>
      </c>
      <c r="J1754" s="75">
        <v>12</v>
      </c>
      <c r="K1754" s="76" t="str">
        <f>VLOOKUP(Tabelle2[[#This Row],[Kunden Nr.]],KUNDEN!A:G,7)</f>
        <v>Mensuri</v>
      </c>
      <c r="L1754" s="76">
        <f>VLOOKUP(Tabelle2[[#This Row],[Artikel]],Produkte!A:H,8)</f>
        <v>0.15</v>
      </c>
    </row>
    <row r="1755" spans="1:12" x14ac:dyDescent="0.2">
      <c r="A1755" s="75" t="s">
        <v>618</v>
      </c>
      <c r="B1755" s="79">
        <v>46106</v>
      </c>
      <c r="C1755" s="75"/>
      <c r="D1755" s="75"/>
      <c r="E1755" s="75"/>
      <c r="F1755" s="75">
        <v>20307</v>
      </c>
      <c r="G1755" s="76" t="str">
        <f>VLOOKUP(Tabelle2[[#This Row],[Kunden Nr.]],KUNDEN!A:B,2,0)</f>
        <v>CONDOR</v>
      </c>
      <c r="H1755" s="75">
        <v>51736</v>
      </c>
      <c r="I1755" s="76" t="str">
        <f>VLOOKUP(Tabelle2[[#This Row],[Artikel]],Produkte!A:B,2,0)</f>
        <v>M ONE SCHWARZ MATT</v>
      </c>
      <c r="J1755" s="75">
        <v>12</v>
      </c>
      <c r="K1755" s="76" t="str">
        <f>VLOOKUP(Tabelle2[[#This Row],[Kunden Nr.]],KUNDEN!A:G,7)</f>
        <v>Mensuri</v>
      </c>
      <c r="L1755" s="76">
        <f>VLOOKUP(Tabelle2[[#This Row],[Artikel]],Produkte!A:H,8)</f>
        <v>0.15</v>
      </c>
    </row>
    <row r="1756" spans="1:12" x14ac:dyDescent="0.2">
      <c r="A1756" s="75" t="s">
        <v>618</v>
      </c>
      <c r="B1756" s="79">
        <v>46106</v>
      </c>
      <c r="C1756" s="75"/>
      <c r="D1756" s="75"/>
      <c r="E1756" s="75"/>
      <c r="F1756" s="75">
        <v>20307</v>
      </c>
      <c r="G1756" s="76" t="str">
        <f>VLOOKUP(Tabelle2[[#This Row],[Kunden Nr.]],KUNDEN!A:B,2,0)</f>
        <v>CONDOR</v>
      </c>
      <c r="H1756" s="75">
        <v>31819</v>
      </c>
      <c r="I1756" s="76" t="str">
        <f>VLOOKUP(Tabelle2[[#This Row],[Artikel]],Produkte!A:B,2,0)</f>
        <v>M ONE FUERROT</v>
      </c>
      <c r="J1756" s="75">
        <v>6</v>
      </c>
      <c r="K1756" s="76" t="str">
        <f>VLOOKUP(Tabelle2[[#This Row],[Kunden Nr.]],KUNDEN!A:G,7)</f>
        <v>Mensuri</v>
      </c>
      <c r="L1756" s="76">
        <f>VLOOKUP(Tabelle2[[#This Row],[Artikel]],Produkte!A:H,8)</f>
        <v>0.15</v>
      </c>
    </row>
    <row r="1757" spans="1:12" x14ac:dyDescent="0.2">
      <c r="A1757" s="75" t="s">
        <v>618</v>
      </c>
      <c r="B1757" s="79">
        <v>46106</v>
      </c>
      <c r="C1757" s="75"/>
      <c r="D1757" s="75"/>
      <c r="E1757" s="75"/>
      <c r="F1757" s="75">
        <v>20307</v>
      </c>
      <c r="G1757" s="76" t="str">
        <f>VLOOKUP(Tabelle2[[#This Row],[Kunden Nr.]],KUNDEN!A:B,2,0)</f>
        <v>CONDOR</v>
      </c>
      <c r="H1757" s="75">
        <v>69236</v>
      </c>
      <c r="I1757" s="76" t="str">
        <f>VLOOKUP(Tabelle2[[#This Row],[Artikel]],Produkte!A:B,2,0)</f>
        <v>M ONE WEISS GLÄNZEND</v>
      </c>
      <c r="J1757" s="75">
        <v>6</v>
      </c>
      <c r="K1757" s="76" t="str">
        <f>VLOOKUP(Tabelle2[[#This Row],[Kunden Nr.]],KUNDEN!A:G,7)</f>
        <v>Mensuri</v>
      </c>
      <c r="L1757" s="76">
        <f>VLOOKUP(Tabelle2[[#This Row],[Artikel]],Produkte!A:H,8)</f>
        <v>0.15</v>
      </c>
    </row>
    <row r="1758" spans="1:12" x14ac:dyDescent="0.2">
      <c r="A1758" s="75" t="s">
        <v>618</v>
      </c>
      <c r="B1758" s="79">
        <v>46106</v>
      </c>
      <c r="C1758" s="75"/>
      <c r="D1758" s="75"/>
      <c r="E1758" s="75"/>
      <c r="F1758" s="75">
        <v>20307</v>
      </c>
      <c r="G1758" s="76" t="str">
        <f>VLOOKUP(Tabelle2[[#This Row],[Kunden Nr.]],KUNDEN!A:B,2,0)</f>
        <v>CONDOR</v>
      </c>
      <c r="H1758" s="75">
        <v>49644</v>
      </c>
      <c r="I1758" s="76" t="str">
        <f>VLOOKUP(Tabelle2[[#This Row],[Artikel]],Produkte!A:B,2,0)</f>
        <v>beMAKER Rostlöser</v>
      </c>
      <c r="J1758" s="75">
        <v>12</v>
      </c>
      <c r="K1758" s="76" t="str">
        <f>VLOOKUP(Tabelle2[[#This Row],[Kunden Nr.]],KUNDEN!A:G,7)</f>
        <v>Mensuri</v>
      </c>
      <c r="L1758" s="76">
        <f>VLOOKUP(Tabelle2[[#This Row],[Artikel]],Produkte!A:H,8)</f>
        <v>0.2</v>
      </c>
    </row>
    <row r="1759" spans="1:12" x14ac:dyDescent="0.2">
      <c r="A1759" s="75" t="s">
        <v>1252</v>
      </c>
      <c r="B1759" s="79">
        <v>46106</v>
      </c>
      <c r="C1759" s="89">
        <v>92.4</v>
      </c>
      <c r="D1759" s="75"/>
      <c r="E1759" s="75"/>
      <c r="F1759" s="75">
        <v>20331</v>
      </c>
      <c r="G1759" s="76" t="str">
        <f>VLOOKUP(Tabelle2[[#This Row],[Kunden Nr.]],KUNDEN!A:B,2,0)</f>
        <v>BARDHI-M</v>
      </c>
      <c r="H1759" s="75">
        <v>35110</v>
      </c>
      <c r="I1759" s="76" t="str">
        <f>VLOOKUP(Tabelle2[[#This Row],[Artikel]],Produkte!A:B,2,0)</f>
        <v>M-ONE Sanitar Silikon</v>
      </c>
      <c r="J1759" s="75">
        <v>12</v>
      </c>
      <c r="K1759" s="76" t="str">
        <f>VLOOKUP(Tabelle2[[#This Row],[Kunden Nr.]],KUNDEN!A:G,7)</f>
        <v>Mensuri</v>
      </c>
      <c r="L1759" s="76">
        <f>VLOOKUP(Tabelle2[[#This Row],[Artikel]],Produkte!A:H,8)</f>
        <v>0.17</v>
      </c>
    </row>
    <row r="1760" spans="1:12" x14ac:dyDescent="0.2">
      <c r="A1760" s="75" t="s">
        <v>1252</v>
      </c>
      <c r="B1760" s="79">
        <v>46106</v>
      </c>
      <c r="C1760" s="75"/>
      <c r="D1760" s="75"/>
      <c r="E1760" s="75"/>
      <c r="F1760" s="75">
        <v>20331</v>
      </c>
      <c r="G1760" s="76" t="str">
        <f>VLOOKUP(Tabelle2[[#This Row],[Kunden Nr.]],KUNDEN!A:B,2,0)</f>
        <v>BARDHI-M</v>
      </c>
      <c r="H1760" s="75">
        <v>35121</v>
      </c>
      <c r="I1760" s="76" t="str">
        <f>VLOOKUP(Tabelle2[[#This Row],[Artikel]],Produkte!A:B,2,0)</f>
        <v>M-ONE Sanitar Silikon</v>
      </c>
      <c r="J1760" s="75">
        <v>12</v>
      </c>
      <c r="K1760" s="76" t="str">
        <f>VLOOKUP(Tabelle2[[#This Row],[Kunden Nr.]],KUNDEN!A:G,7)</f>
        <v>Mensuri</v>
      </c>
      <c r="L1760" s="76">
        <f>VLOOKUP(Tabelle2[[#This Row],[Artikel]],Produkte!A:H,8)</f>
        <v>0.17</v>
      </c>
    </row>
    <row r="1761" spans="1:12" x14ac:dyDescent="0.2">
      <c r="A1761" s="75" t="s">
        <v>1307</v>
      </c>
      <c r="B1761" s="79">
        <v>46106</v>
      </c>
      <c r="C1761" s="89">
        <v>147.6</v>
      </c>
      <c r="D1761" s="75"/>
      <c r="E1761" s="75"/>
      <c r="F1761" s="75">
        <v>20321</v>
      </c>
      <c r="G1761" s="76" t="str">
        <f>VLOOKUP(Tabelle2[[#This Row],[Kunden Nr.]],KUNDEN!A:B,2,0)</f>
        <v>BEREQETI</v>
      </c>
      <c r="H1761" s="75">
        <v>35121</v>
      </c>
      <c r="I1761" s="76" t="str">
        <f>VLOOKUP(Tabelle2[[#This Row],[Artikel]],Produkte!A:B,2,0)</f>
        <v>M-ONE Sanitar Silikon</v>
      </c>
      <c r="J1761" s="75">
        <v>24</v>
      </c>
      <c r="K1761" s="76" t="str">
        <f>VLOOKUP(Tabelle2[[#This Row],[Kunden Nr.]],KUNDEN!A:G,7)</f>
        <v>Mensuri</v>
      </c>
      <c r="L1761" s="76">
        <f>VLOOKUP(Tabelle2[[#This Row],[Artikel]],Produkte!A:H,8)</f>
        <v>0.17</v>
      </c>
    </row>
    <row r="1762" spans="1:12" x14ac:dyDescent="0.2">
      <c r="A1762" s="75" t="s">
        <v>1307</v>
      </c>
      <c r="B1762" s="79">
        <v>46106</v>
      </c>
      <c r="C1762" s="75"/>
      <c r="D1762" s="75"/>
      <c r="E1762" s="75"/>
      <c r="F1762" s="75">
        <v>20321</v>
      </c>
      <c r="G1762" s="76" t="str">
        <f>VLOOKUP(Tabelle2[[#This Row],[Kunden Nr.]],KUNDEN!A:B,2,0)</f>
        <v>BEREQETI</v>
      </c>
      <c r="H1762" s="75">
        <v>51612</v>
      </c>
      <c r="I1762" s="76" t="str">
        <f>VLOOKUP(Tabelle2[[#This Row],[Artikel]],Produkte!A:B,2,0)</f>
        <v>struktural akryl</v>
      </c>
      <c r="J1762" s="75">
        <v>24</v>
      </c>
      <c r="K1762" s="76" t="str">
        <f>VLOOKUP(Tabelle2[[#This Row],[Kunden Nr.]],KUNDEN!A:G,7)</f>
        <v>Mensuri</v>
      </c>
      <c r="L1762" s="76">
        <f>VLOOKUP(Tabelle2[[#This Row],[Artikel]],Produkte!A:H,8)</f>
        <v>0.06</v>
      </c>
    </row>
    <row r="1763" spans="1:12" x14ac:dyDescent="0.2">
      <c r="A1763" s="75" t="s">
        <v>615</v>
      </c>
      <c r="B1763" s="79">
        <v>46106</v>
      </c>
      <c r="C1763" s="89">
        <v>70.2</v>
      </c>
      <c r="D1763" s="75"/>
      <c r="E1763" s="75"/>
      <c r="F1763" s="75">
        <v>20304</v>
      </c>
      <c r="G1763" s="76" t="str">
        <f>VLOOKUP(Tabelle2[[#This Row],[Kunden Nr.]],KUNDEN!A:B,2,0)</f>
        <v>AGRO-FARM</v>
      </c>
      <c r="H1763" s="75">
        <v>35111</v>
      </c>
      <c r="I1763" s="76" t="str">
        <f>VLOOKUP(Tabelle2[[#This Row],[Artikel]],Produkte!A:B,2,0)</f>
        <v>M-ONE Sanitar Silikon</v>
      </c>
      <c r="J1763" s="75">
        <v>12</v>
      </c>
      <c r="K1763" s="76" t="str">
        <f>VLOOKUP(Tabelle2[[#This Row],[Kunden Nr.]],KUNDEN!A:G,7)</f>
        <v>Mensuri</v>
      </c>
      <c r="L1763" s="76">
        <f>VLOOKUP(Tabelle2[[#This Row],[Artikel]],Produkte!A:H,8)</f>
        <v>0.17</v>
      </c>
    </row>
    <row r="1764" spans="1:12" x14ac:dyDescent="0.2">
      <c r="A1764" s="75" t="s">
        <v>615</v>
      </c>
      <c r="B1764" s="79">
        <v>46106</v>
      </c>
      <c r="C1764" s="75"/>
      <c r="D1764" s="75"/>
      <c r="E1764" s="75"/>
      <c r="F1764" s="75">
        <v>20304</v>
      </c>
      <c r="G1764" s="76" t="str">
        <f>VLOOKUP(Tabelle2[[#This Row],[Kunden Nr.]],KUNDEN!A:B,2,0)</f>
        <v>AGRO-FARM</v>
      </c>
      <c r="H1764" s="75">
        <v>54412</v>
      </c>
      <c r="I1764" s="76" t="str">
        <f>VLOOKUP(Tabelle2[[#This Row],[Artikel]],Produkte!A:B,2,0)</f>
        <v>beMAKER Bremsen&amp;Teile Reininger</v>
      </c>
      <c r="J1764" s="75">
        <v>12</v>
      </c>
      <c r="K1764" s="76" t="str">
        <f>VLOOKUP(Tabelle2[[#This Row],[Kunden Nr.]],KUNDEN!A:G,7)</f>
        <v>Mensuri</v>
      </c>
      <c r="L1764" s="76">
        <f>VLOOKUP(Tabelle2[[#This Row],[Artikel]],Produkte!A:H,8)</f>
        <v>0.2</v>
      </c>
    </row>
    <row r="1765" spans="1:12" x14ac:dyDescent="0.2">
      <c r="A1765" s="75" t="s">
        <v>616</v>
      </c>
      <c r="B1765" s="79">
        <v>46106</v>
      </c>
      <c r="C1765" s="89">
        <v>92.4</v>
      </c>
      <c r="D1765" s="75"/>
      <c r="E1765" s="75"/>
      <c r="F1765" s="75">
        <v>20305</v>
      </c>
      <c r="G1765" s="76" t="str">
        <f>VLOOKUP(Tabelle2[[#This Row],[Kunden Nr.]],KUNDEN!A:B,2,0)</f>
        <v>ABA QERAMIK</v>
      </c>
      <c r="H1765" s="75">
        <v>35121</v>
      </c>
      <c r="I1765" s="76" t="str">
        <f>VLOOKUP(Tabelle2[[#This Row],[Artikel]],Produkte!A:B,2,0)</f>
        <v>M-ONE Sanitar Silikon</v>
      </c>
      <c r="J1765" s="75">
        <v>24</v>
      </c>
      <c r="K1765" s="76" t="str">
        <f>VLOOKUP(Tabelle2[[#This Row],[Kunden Nr.]],KUNDEN!A:G,7)</f>
        <v>Mensuri</v>
      </c>
      <c r="L1765" s="76">
        <f>VLOOKUP(Tabelle2[[#This Row],[Artikel]],Produkte!A:H,8)</f>
        <v>0.17</v>
      </c>
    </row>
    <row r="1766" spans="1:12" x14ac:dyDescent="0.2">
      <c r="A1766" s="75" t="s">
        <v>623</v>
      </c>
      <c r="B1766" s="79">
        <v>46106</v>
      </c>
      <c r="C1766" s="89">
        <v>92.4</v>
      </c>
      <c r="D1766" s="75"/>
      <c r="E1766" s="75"/>
      <c r="F1766" s="75">
        <v>20313</v>
      </c>
      <c r="G1766" s="76" t="str">
        <f>VLOOKUP(Tabelle2[[#This Row],[Kunden Nr.]],KUNDEN!A:B,2,0)</f>
        <v>DURGUTI 3</v>
      </c>
      <c r="H1766" s="75">
        <v>35108</v>
      </c>
      <c r="I1766" s="76" t="str">
        <f>VLOOKUP(Tabelle2[[#This Row],[Artikel]],Produkte!A:B,2,0)</f>
        <v>M-ONE Sanitar Silikon</v>
      </c>
      <c r="J1766" s="75">
        <v>12</v>
      </c>
      <c r="K1766" s="76" t="str">
        <f>VLOOKUP(Tabelle2[[#This Row],[Kunden Nr.]],KUNDEN!A:G,7)</f>
        <v>Mensuri</v>
      </c>
      <c r="L1766" s="76">
        <f>VLOOKUP(Tabelle2[[#This Row],[Artikel]],Produkte!A:H,8)</f>
        <v>0.17</v>
      </c>
    </row>
    <row r="1767" spans="1:12" x14ac:dyDescent="0.2">
      <c r="A1767" s="75" t="s">
        <v>623</v>
      </c>
      <c r="B1767" s="79">
        <v>46106</v>
      </c>
      <c r="C1767" s="75"/>
      <c r="D1767" s="75"/>
      <c r="E1767" s="75"/>
      <c r="F1767" s="75">
        <v>20313</v>
      </c>
      <c r="G1767" s="76" t="str">
        <f>VLOOKUP(Tabelle2[[#This Row],[Kunden Nr.]],KUNDEN!A:B,2,0)</f>
        <v>DURGUTI 3</v>
      </c>
      <c r="H1767" s="75">
        <v>35128</v>
      </c>
      <c r="I1767" s="76" t="str">
        <f>VLOOKUP(Tabelle2[[#This Row],[Artikel]],Produkte!A:B,2,0)</f>
        <v>M-ONE Sanitar Silikon</v>
      </c>
      <c r="J1767" s="75">
        <v>12</v>
      </c>
      <c r="K1767" s="76" t="str">
        <f>VLOOKUP(Tabelle2[[#This Row],[Kunden Nr.]],KUNDEN!A:G,7)</f>
        <v>Mensuri</v>
      </c>
      <c r="L1767" s="76">
        <f>VLOOKUP(Tabelle2[[#This Row],[Artikel]],Produkte!A:H,8)</f>
        <v>0.17</v>
      </c>
    </row>
    <row r="1768" spans="1:12" x14ac:dyDescent="0.2">
      <c r="A1768" s="75" t="s">
        <v>626</v>
      </c>
      <c r="B1768" s="79">
        <v>46106</v>
      </c>
      <c r="C1768" s="89">
        <v>98.4</v>
      </c>
      <c r="D1768" s="75"/>
      <c r="E1768" s="75"/>
      <c r="F1768" s="75">
        <v>20317</v>
      </c>
      <c r="G1768" s="76" t="str">
        <f>VLOOKUP(Tabelle2[[#This Row],[Kunden Nr.]],KUNDEN!A:B,2,0)</f>
        <v>SHEHU-A</v>
      </c>
      <c r="H1768" s="75">
        <v>50912</v>
      </c>
      <c r="I1768" s="76" t="str">
        <f>VLOOKUP(Tabelle2[[#This Row],[Artikel]],Produkte!A:B,2,0)</f>
        <v>DICHTUNG</v>
      </c>
      <c r="J1768" s="75">
        <v>12</v>
      </c>
      <c r="K1768" s="76" t="str">
        <f>VLOOKUP(Tabelle2[[#This Row],[Kunden Nr.]],KUNDEN!A:G,7)</f>
        <v>Mensuri</v>
      </c>
      <c r="L1768" s="76">
        <f>VLOOKUP(Tabelle2[[#This Row],[Artikel]],Produkte!A:H,8)</f>
        <v>0.2</v>
      </c>
    </row>
    <row r="1769" spans="1:12" x14ac:dyDescent="0.2">
      <c r="A1769" s="75" t="s">
        <v>626</v>
      </c>
      <c r="B1769" s="79">
        <v>46106</v>
      </c>
      <c r="C1769" s="75"/>
      <c r="D1769" s="75"/>
      <c r="E1769" s="75"/>
      <c r="F1769" s="75">
        <v>20317</v>
      </c>
      <c r="G1769" s="76" t="str">
        <f>VLOOKUP(Tabelle2[[#This Row],[Kunden Nr.]],KUNDEN!A:B,2,0)</f>
        <v>SHEHU-A</v>
      </c>
      <c r="H1769" s="75">
        <v>49644</v>
      </c>
      <c r="I1769" s="76" t="str">
        <f>VLOOKUP(Tabelle2[[#This Row],[Artikel]],Produkte!A:B,2,0)</f>
        <v>beMAKER Rostlöser</v>
      </c>
      <c r="J1769" s="75">
        <v>6</v>
      </c>
      <c r="K1769" s="76" t="str">
        <f>VLOOKUP(Tabelle2[[#This Row],[Kunden Nr.]],KUNDEN!A:G,7)</f>
        <v>Mensuri</v>
      </c>
      <c r="L1769" s="76">
        <f>VLOOKUP(Tabelle2[[#This Row],[Artikel]],Produkte!A:H,8)</f>
        <v>0.2</v>
      </c>
    </row>
    <row r="1770" spans="1:12" x14ac:dyDescent="0.2">
      <c r="A1770" s="75" t="s">
        <v>770</v>
      </c>
      <c r="B1770" s="79">
        <v>46106</v>
      </c>
      <c r="C1770" s="89">
        <v>40</v>
      </c>
      <c r="D1770" s="75"/>
      <c r="E1770" s="75"/>
      <c r="F1770" s="75">
        <v>40003</v>
      </c>
      <c r="G1770" s="76" t="str">
        <f>VLOOKUP(Tabelle2[[#This Row],[Kunden Nr.]],KUNDEN!A:B,2,0)</f>
        <v>ARBENI BIOBLIC</v>
      </c>
      <c r="H1770" s="75">
        <v>30275</v>
      </c>
      <c r="I1770" s="76" t="str">
        <f>VLOOKUP(Tabelle2[[#This Row],[Artikel]],Produkte!A:B,2,0)</f>
        <v>Blic Blic Sanitärreiniger</v>
      </c>
      <c r="J1770" s="75">
        <v>40</v>
      </c>
      <c r="K1770" s="76">
        <f>VLOOKUP(Tabelle2[[#This Row],[Kunden Nr.]],KUNDEN!A:G,7)</f>
        <v>0</v>
      </c>
      <c r="L1770" s="76">
        <f>VLOOKUP(Tabelle2[[#This Row],[Artikel]],Produkte!A:H,8)</f>
        <v>0.30000000000000004</v>
      </c>
    </row>
    <row r="1771" spans="1:12" x14ac:dyDescent="0.2">
      <c r="A1771" s="75" t="s">
        <v>1177</v>
      </c>
      <c r="B1771" s="79">
        <v>46107</v>
      </c>
      <c r="C1771" s="89">
        <v>24</v>
      </c>
      <c r="D1771" s="75"/>
      <c r="E1771" s="75"/>
      <c r="F1771" s="75">
        <v>40017</v>
      </c>
      <c r="G1771" s="76" t="str">
        <f>VLOOKUP(Tabelle2[[#This Row],[Kunden Nr.]],KUNDEN!A:B,2,0)</f>
        <v>YLLI CONSTRUCION</v>
      </c>
      <c r="H1771" s="75">
        <v>35121</v>
      </c>
      <c r="I1771" s="76" t="str">
        <f>VLOOKUP(Tabelle2[[#This Row],[Artikel]],Produkte!A:B,2,0)</f>
        <v>M-ONE Sanitar Silikon</v>
      </c>
      <c r="J1771" s="75">
        <v>3</v>
      </c>
      <c r="K1771" s="76">
        <f>VLOOKUP(Tabelle2[[#This Row],[Kunden Nr.]],KUNDEN!A:G,7)</f>
        <v>0</v>
      </c>
      <c r="L1771" s="76">
        <f>VLOOKUP(Tabelle2[[#This Row],[Artikel]],Produkte!A:H,8)</f>
        <v>0.17</v>
      </c>
    </row>
    <row r="1772" spans="1:12" x14ac:dyDescent="0.2">
      <c r="A1772" s="75" t="s">
        <v>1177</v>
      </c>
      <c r="B1772" s="79">
        <v>46107</v>
      </c>
      <c r="C1772" s="75"/>
      <c r="D1772" s="75"/>
      <c r="E1772" s="75"/>
      <c r="F1772" s="75">
        <v>40017</v>
      </c>
      <c r="G1772" s="76" t="str">
        <f>VLOOKUP(Tabelle2[[#This Row],[Kunden Nr.]],KUNDEN!A:B,2,0)</f>
        <v>YLLI CONSTRUCION</v>
      </c>
      <c r="H1772" s="75">
        <v>35113</v>
      </c>
      <c r="I1772" s="76" t="str">
        <f>VLOOKUP(Tabelle2[[#This Row],[Artikel]],Produkte!A:B,2,0)</f>
        <v>M-ONE Sanitar Silikon</v>
      </c>
      <c r="J1772" s="75">
        <v>3</v>
      </c>
      <c r="K1772" s="76">
        <f>VLOOKUP(Tabelle2[[#This Row],[Kunden Nr.]],KUNDEN!A:G,7)</f>
        <v>0</v>
      </c>
      <c r="L1772" s="76">
        <f>VLOOKUP(Tabelle2[[#This Row],[Artikel]],Produkte!A:H,8)</f>
        <v>0.17</v>
      </c>
    </row>
    <row r="1773" spans="1:12" x14ac:dyDescent="0.2">
      <c r="A1773" s="75" t="s">
        <v>770</v>
      </c>
      <c r="B1773" s="79">
        <v>46107</v>
      </c>
      <c r="C1773" s="89">
        <v>204</v>
      </c>
      <c r="D1773" s="75"/>
      <c r="E1773" s="75"/>
      <c r="F1773" s="75">
        <v>40003</v>
      </c>
      <c r="G1773" s="76" t="str">
        <f>VLOOKUP(Tabelle2[[#This Row],[Kunden Nr.]],KUNDEN!A:B,2,0)</f>
        <v>ARBENI BIOBLIC</v>
      </c>
      <c r="H1773" s="75">
        <v>20001</v>
      </c>
      <c r="I1773" s="76" t="str">
        <f>VLOOKUP(Tabelle2[[#This Row],[Artikel]],Produkte!A:B,2,0)</f>
        <v>BioBlic Universalreiniger</v>
      </c>
      <c r="J1773" s="75">
        <v>100</v>
      </c>
      <c r="K1773" s="76">
        <f>VLOOKUP(Tabelle2[[#This Row],[Kunden Nr.]],KUNDEN!A:G,7)</f>
        <v>0</v>
      </c>
      <c r="L1773" s="76">
        <f>VLOOKUP(Tabelle2[[#This Row],[Artikel]],Produkte!A:H,8)</f>
        <v>0.30000000000000004</v>
      </c>
    </row>
    <row r="1774" spans="1:12" x14ac:dyDescent="0.2">
      <c r="A1774" s="75" t="s">
        <v>770</v>
      </c>
      <c r="B1774" s="79">
        <v>46107</v>
      </c>
      <c r="C1774" s="75"/>
      <c r="D1774" s="75"/>
      <c r="E1774" s="75"/>
      <c r="F1774" s="75">
        <v>40003</v>
      </c>
      <c r="G1774" s="76" t="str">
        <f>VLOOKUP(Tabelle2[[#This Row],[Kunden Nr.]],KUNDEN!A:B,2,0)</f>
        <v>ARBENI BIOBLIC</v>
      </c>
      <c r="H1774" s="75">
        <v>30275</v>
      </c>
      <c r="I1774" s="76" t="str">
        <f>VLOOKUP(Tabelle2[[#This Row],[Artikel]],Produkte!A:B,2,0)</f>
        <v>Blic Blic Sanitärreiniger</v>
      </c>
      <c r="J1774" s="75">
        <v>40</v>
      </c>
      <c r="K1774" s="76">
        <f>VLOOKUP(Tabelle2[[#This Row],[Kunden Nr.]],KUNDEN!A:G,7)</f>
        <v>0</v>
      </c>
      <c r="L1774" s="76">
        <f>VLOOKUP(Tabelle2[[#This Row],[Artikel]],Produkte!A:H,8)</f>
        <v>0.30000000000000004</v>
      </c>
    </row>
    <row r="1775" spans="1:12" x14ac:dyDescent="0.2">
      <c r="A1775" s="75" t="s">
        <v>770</v>
      </c>
      <c r="B1775" s="79">
        <v>46107</v>
      </c>
      <c r="C1775" s="75"/>
      <c r="D1775" s="75"/>
      <c r="E1775" s="75"/>
      <c r="F1775" s="75">
        <v>40003</v>
      </c>
      <c r="G1775" s="76" t="str">
        <f>VLOOKUP(Tabelle2[[#This Row],[Kunden Nr.]],KUNDEN!A:B,2,0)</f>
        <v>ARBENI BIOBLIC</v>
      </c>
      <c r="H1775" s="75">
        <v>39505</v>
      </c>
      <c r="I1775" s="76" t="str">
        <f>VLOOKUP(Tabelle2[[#This Row],[Artikel]],Produkte!A:B,2,0)</f>
        <v>M ONE SILIKON SPRAY</v>
      </c>
      <c r="J1775" s="75">
        <v>7</v>
      </c>
      <c r="K1775" s="76">
        <f>VLOOKUP(Tabelle2[[#This Row],[Kunden Nr.]],KUNDEN!A:G,7)</f>
        <v>0</v>
      </c>
      <c r="L1775" s="76">
        <f>VLOOKUP(Tabelle2[[#This Row],[Artikel]],Produkte!A:H,8)</f>
        <v>0.2</v>
      </c>
    </row>
    <row r="1776" spans="1:12" x14ac:dyDescent="0.2">
      <c r="A1776" s="75" t="s">
        <v>770</v>
      </c>
      <c r="B1776" s="79">
        <v>46107</v>
      </c>
      <c r="C1776" s="75"/>
      <c r="D1776" s="75"/>
      <c r="E1776" s="75"/>
      <c r="F1776" s="75">
        <v>40003</v>
      </c>
      <c r="G1776" s="76" t="str">
        <f>VLOOKUP(Tabelle2[[#This Row],[Kunden Nr.]],KUNDEN!A:B,2,0)</f>
        <v>ARBENI BIOBLIC</v>
      </c>
      <c r="H1776" s="75">
        <v>11000</v>
      </c>
      <c r="I1776" s="76" t="str">
        <f>VLOOKUP(Tabelle2[[#This Row],[Artikel]],Produkte!A:B,2,0)</f>
        <v>Bodenreiniger</v>
      </c>
      <c r="J1776" s="75">
        <v>2</v>
      </c>
      <c r="K1776" s="76">
        <f>VLOOKUP(Tabelle2[[#This Row],[Kunden Nr.]],KUNDEN!A:G,7)</f>
        <v>0</v>
      </c>
      <c r="L1776" s="76">
        <f>VLOOKUP(Tabelle2[[#This Row],[Artikel]],Produkte!A:H,8)</f>
        <v>0.5</v>
      </c>
    </row>
    <row r="1777" spans="1:12" x14ac:dyDescent="0.2">
      <c r="A1777" s="75" t="s">
        <v>770</v>
      </c>
      <c r="B1777" s="79">
        <v>46107</v>
      </c>
      <c r="C1777" s="75"/>
      <c r="D1777" s="75"/>
      <c r="E1777" s="75"/>
      <c r="F1777" s="75">
        <v>40003</v>
      </c>
      <c r="G1777" s="76" t="str">
        <f>VLOOKUP(Tabelle2[[#This Row],[Kunden Nr.]],KUNDEN!A:B,2,0)</f>
        <v>ARBENI BIOBLIC</v>
      </c>
      <c r="H1777" s="75">
        <v>31880</v>
      </c>
      <c r="I1777" s="76" t="str">
        <f>VLOOKUP(Tabelle2[[#This Row],[Artikel]],Produkte!A:B,2,0)</f>
        <v>HAT LACK 800</v>
      </c>
      <c r="J1777" s="75">
        <v>1</v>
      </c>
      <c r="K1777" s="76">
        <f>VLOOKUP(Tabelle2[[#This Row],[Kunden Nr.]],KUNDEN!A:G,7)</f>
        <v>0</v>
      </c>
      <c r="L1777" s="76">
        <f>VLOOKUP(Tabelle2[[#This Row],[Artikel]],Produkte!A:H,8)</f>
        <v>0.35</v>
      </c>
    </row>
    <row r="1778" spans="1:12" x14ac:dyDescent="0.2">
      <c r="A1778" s="75" t="s">
        <v>550</v>
      </c>
      <c r="B1778" s="79">
        <v>46107</v>
      </c>
      <c r="C1778" s="89">
        <v>27.6</v>
      </c>
      <c r="D1778" s="75"/>
      <c r="E1778" s="75"/>
      <c r="F1778" s="75">
        <v>10410</v>
      </c>
      <c r="G1778" s="76" t="str">
        <f>VLOOKUP(Tabelle2[[#This Row],[Kunden Nr.]],KUNDEN!A:B,2,0)</f>
        <v>GRANITI</v>
      </c>
      <c r="H1778" s="75">
        <v>51612</v>
      </c>
      <c r="I1778" s="76" t="str">
        <f>VLOOKUP(Tabelle2[[#This Row],[Artikel]],Produkte!A:B,2,0)</f>
        <v>struktural akryl</v>
      </c>
      <c r="J1778" s="75">
        <v>12</v>
      </c>
      <c r="K1778" s="76" t="str">
        <f>VLOOKUP(Tabelle2[[#This Row],[Kunden Nr.]],KUNDEN!A:G,7)</f>
        <v>Qerimi</v>
      </c>
      <c r="L1778" s="76">
        <f>VLOOKUP(Tabelle2[[#This Row],[Artikel]],Produkte!A:H,8)</f>
        <v>0.06</v>
      </c>
    </row>
    <row r="1779" spans="1:12" x14ac:dyDescent="0.2">
      <c r="A1779" s="75" t="s">
        <v>540</v>
      </c>
      <c r="B1779" s="79">
        <v>46107</v>
      </c>
      <c r="C1779" s="89">
        <v>92.4</v>
      </c>
      <c r="D1779" s="75"/>
      <c r="E1779" s="75"/>
      <c r="F1779" s="75">
        <v>10401</v>
      </c>
      <c r="G1779" s="76" t="str">
        <f>VLOOKUP(Tabelle2[[#This Row],[Kunden Nr.]],KUNDEN!A:B,2,0)</f>
        <v>DRCOR</v>
      </c>
      <c r="H1779" s="75">
        <v>35121</v>
      </c>
      <c r="I1779" s="76" t="str">
        <f>VLOOKUP(Tabelle2[[#This Row],[Artikel]],Produkte!A:B,2,0)</f>
        <v>M-ONE Sanitar Silikon</v>
      </c>
      <c r="J1779" s="75">
        <v>24</v>
      </c>
      <c r="K1779" s="76" t="str">
        <f>VLOOKUP(Tabelle2[[#This Row],[Kunden Nr.]],KUNDEN!A:G,7)</f>
        <v>Qerimi</v>
      </c>
      <c r="L1779" s="76">
        <f>VLOOKUP(Tabelle2[[#This Row],[Artikel]],Produkte!A:H,8)</f>
        <v>0.17</v>
      </c>
    </row>
    <row r="1780" spans="1:12" x14ac:dyDescent="0.2">
      <c r="A1780" s="75" t="s">
        <v>553</v>
      </c>
      <c r="B1780" s="79">
        <v>46107</v>
      </c>
      <c r="C1780" s="89">
        <v>91.3</v>
      </c>
      <c r="D1780" s="75"/>
      <c r="E1780" s="75"/>
      <c r="F1780" s="75">
        <v>10413</v>
      </c>
      <c r="G1780" s="76" t="str">
        <f>VLOOKUP(Tabelle2[[#This Row],[Kunden Nr.]],KUNDEN!A:B,2,0)</f>
        <v>UNIVERZAL</v>
      </c>
      <c r="H1780" s="75">
        <v>51612</v>
      </c>
      <c r="I1780" s="76" t="str">
        <f>VLOOKUP(Tabelle2[[#This Row],[Artikel]],Produkte!A:B,2,0)</f>
        <v>struktural akryl</v>
      </c>
      <c r="J1780" s="75">
        <v>12</v>
      </c>
      <c r="K1780" s="76" t="str">
        <f>VLOOKUP(Tabelle2[[#This Row],[Kunden Nr.]],KUNDEN!A:G,7)</f>
        <v>Qerimi</v>
      </c>
      <c r="L1780" s="76">
        <f>VLOOKUP(Tabelle2[[#This Row],[Artikel]],Produkte!A:H,8)</f>
        <v>0.06</v>
      </c>
    </row>
    <row r="1781" spans="1:12" x14ac:dyDescent="0.2">
      <c r="A1781" s="75" t="s">
        <v>553</v>
      </c>
      <c r="B1781" s="79">
        <v>46107</v>
      </c>
      <c r="C1781" s="75"/>
      <c r="D1781" s="75"/>
      <c r="E1781" s="75"/>
      <c r="F1781" s="75">
        <v>10413</v>
      </c>
      <c r="G1781" s="76" t="str">
        <f>VLOOKUP(Tabelle2[[#This Row],[Kunden Nr.]],KUNDEN!A:B,2,0)</f>
        <v>UNIVERZAL</v>
      </c>
      <c r="H1781" s="75">
        <v>35121</v>
      </c>
      <c r="I1781" s="76" t="str">
        <f>VLOOKUP(Tabelle2[[#This Row],[Artikel]],Produkte!A:B,2,0)</f>
        <v>M-ONE Sanitar Silikon</v>
      </c>
      <c r="J1781" s="75">
        <v>12</v>
      </c>
      <c r="K1781" s="76" t="str">
        <f>VLOOKUP(Tabelle2[[#This Row],[Kunden Nr.]],KUNDEN!A:G,7)</f>
        <v>Qerimi</v>
      </c>
      <c r="L1781" s="76">
        <f>VLOOKUP(Tabelle2[[#This Row],[Artikel]],Produkte!A:H,8)</f>
        <v>0.17</v>
      </c>
    </row>
    <row r="1782" spans="1:12" x14ac:dyDescent="0.2">
      <c r="A1782" s="75" t="s">
        <v>553</v>
      </c>
      <c r="B1782" s="79">
        <v>46107</v>
      </c>
      <c r="C1782" s="75"/>
      <c r="D1782" s="75"/>
      <c r="E1782" s="75"/>
      <c r="F1782" s="75">
        <v>10413</v>
      </c>
      <c r="G1782" s="76" t="str">
        <f>VLOOKUP(Tabelle2[[#This Row],[Kunden Nr.]],KUNDEN!A:B,2,0)</f>
        <v>UNIVERZAL</v>
      </c>
      <c r="H1782" s="75">
        <v>44001</v>
      </c>
      <c r="I1782" s="76" t="str">
        <f>VLOOKUP(Tabelle2[[#This Row],[Artikel]],Produkte!A:B,2,0)</f>
        <v>Fettspray</v>
      </c>
      <c r="J1782" s="75">
        <v>5</v>
      </c>
      <c r="K1782" s="76" t="str">
        <f>VLOOKUP(Tabelle2[[#This Row],[Kunden Nr.]],KUNDEN!A:G,7)</f>
        <v>Qerimi</v>
      </c>
      <c r="L1782" s="76">
        <f>VLOOKUP(Tabelle2[[#This Row],[Artikel]],Produkte!A:H,8)</f>
        <v>0.2</v>
      </c>
    </row>
    <row r="1783" spans="1:12" x14ac:dyDescent="0.2">
      <c r="A1783" s="75" t="s">
        <v>1215</v>
      </c>
      <c r="B1783" s="79">
        <v>46107</v>
      </c>
      <c r="C1783" s="89">
        <v>46.2</v>
      </c>
      <c r="D1783" s="75"/>
      <c r="E1783" s="75"/>
      <c r="F1783" s="75">
        <v>10429</v>
      </c>
      <c r="G1783" s="76" t="str">
        <f>VLOOKUP(Tabelle2[[#This Row],[Kunden Nr.]],KUNDEN!A:B,2,0)</f>
        <v>SAN KOS</v>
      </c>
      <c r="H1783" s="75">
        <v>35128</v>
      </c>
      <c r="I1783" s="76" t="str">
        <f>VLOOKUP(Tabelle2[[#This Row],[Artikel]],Produkte!A:B,2,0)</f>
        <v>M-ONE Sanitar Silikon</v>
      </c>
      <c r="J1783" s="75">
        <v>12</v>
      </c>
      <c r="K1783" s="76" t="str">
        <f>VLOOKUP(Tabelle2[[#This Row],[Kunden Nr.]],KUNDEN!A:G,7)</f>
        <v>Qerimi</v>
      </c>
      <c r="L1783" s="76">
        <f>VLOOKUP(Tabelle2[[#This Row],[Artikel]],Produkte!A:H,8)</f>
        <v>0.17</v>
      </c>
    </row>
    <row r="1784" spans="1:12" x14ac:dyDescent="0.2">
      <c r="A1784" s="75" t="s">
        <v>879</v>
      </c>
      <c r="B1784" s="79">
        <v>46107</v>
      </c>
      <c r="C1784" s="89">
        <v>63.7</v>
      </c>
      <c r="D1784" s="75"/>
      <c r="E1784" s="75"/>
      <c r="F1784" s="75">
        <v>10430</v>
      </c>
      <c r="G1784" s="76" t="str">
        <f>VLOOKUP(Tabelle2[[#This Row],[Kunden Nr.]],KUNDEN!A:B,2,0)</f>
        <v>EURO COM</v>
      </c>
      <c r="H1784" s="75">
        <v>44001</v>
      </c>
      <c r="I1784" s="76" t="str">
        <f>VLOOKUP(Tabelle2[[#This Row],[Artikel]],Produkte!A:B,2,0)</f>
        <v>Fettspray</v>
      </c>
      <c r="J1784" s="75">
        <v>5</v>
      </c>
      <c r="K1784" s="76" t="str">
        <f>VLOOKUP(Tabelle2[[#This Row],[Kunden Nr.]],KUNDEN!A:G,7)</f>
        <v>Qerimi</v>
      </c>
      <c r="L1784" s="76">
        <f>VLOOKUP(Tabelle2[[#This Row],[Artikel]],Produkte!A:H,8)</f>
        <v>0.2</v>
      </c>
    </row>
    <row r="1785" spans="1:12" x14ac:dyDescent="0.2">
      <c r="A1785" s="75" t="s">
        <v>879</v>
      </c>
      <c r="B1785" s="79">
        <v>46107</v>
      </c>
      <c r="C1785" s="75"/>
      <c r="D1785" s="75"/>
      <c r="E1785" s="75"/>
      <c r="F1785" s="75">
        <v>10430</v>
      </c>
      <c r="G1785" s="76" t="str">
        <f>VLOOKUP(Tabelle2[[#This Row],[Kunden Nr.]],KUNDEN!A:B,2,0)</f>
        <v>EURO COM</v>
      </c>
      <c r="H1785" s="75">
        <v>35128</v>
      </c>
      <c r="I1785" s="76" t="str">
        <f>VLOOKUP(Tabelle2[[#This Row],[Artikel]],Produkte!A:B,2,0)</f>
        <v>M-ONE Sanitar Silikon</v>
      </c>
      <c r="J1785" s="75">
        <v>12</v>
      </c>
      <c r="K1785" s="76" t="str">
        <f>VLOOKUP(Tabelle2[[#This Row],[Kunden Nr.]],KUNDEN!A:G,7)</f>
        <v>Qerimi</v>
      </c>
      <c r="L1785" s="76">
        <f>VLOOKUP(Tabelle2[[#This Row],[Artikel]],Produkte!A:H,8)</f>
        <v>0.17</v>
      </c>
    </row>
    <row r="1786" spans="1:12" x14ac:dyDescent="0.2">
      <c r="A1786" s="75" t="s">
        <v>546</v>
      </c>
      <c r="B1786" s="79">
        <v>46107</v>
      </c>
      <c r="C1786" s="89">
        <v>76.2</v>
      </c>
      <c r="D1786" s="75"/>
      <c r="E1786" s="75"/>
      <c r="F1786" s="75">
        <v>10406</v>
      </c>
      <c r="G1786" s="76" t="str">
        <f>VLOOKUP(Tabelle2[[#This Row],[Kunden Nr.]],KUNDEN!A:B,2,0)</f>
        <v>AGRONI</v>
      </c>
      <c r="H1786" s="75">
        <v>39505</v>
      </c>
      <c r="I1786" s="76" t="str">
        <f>VLOOKUP(Tabelle2[[#This Row],[Artikel]],Produkte!A:B,2,0)</f>
        <v>M ONE SILIKON SPRAY</v>
      </c>
      <c r="J1786" s="75">
        <v>4</v>
      </c>
      <c r="K1786" s="76" t="str">
        <f>VLOOKUP(Tabelle2[[#This Row],[Kunden Nr.]],KUNDEN!A:G,7)</f>
        <v>Qerimi</v>
      </c>
      <c r="L1786" s="76">
        <f>VLOOKUP(Tabelle2[[#This Row],[Artikel]],Produkte!A:H,8)</f>
        <v>0.2</v>
      </c>
    </row>
    <row r="1787" spans="1:12" x14ac:dyDescent="0.2">
      <c r="A1787" s="75" t="s">
        <v>546</v>
      </c>
      <c r="B1787" s="79">
        <v>46107</v>
      </c>
      <c r="C1787" s="75"/>
      <c r="D1787" s="75"/>
      <c r="E1787" s="75"/>
      <c r="F1787" s="75">
        <v>10406</v>
      </c>
      <c r="G1787" s="76" t="str">
        <f>VLOOKUP(Tabelle2[[#This Row],[Kunden Nr.]],KUNDEN!A:B,2,0)</f>
        <v>AGRONI</v>
      </c>
      <c r="H1787" s="75">
        <v>31819</v>
      </c>
      <c r="I1787" s="76" t="str">
        <f>VLOOKUP(Tabelle2[[#This Row],[Artikel]],Produkte!A:B,2,0)</f>
        <v>M ONE FUERROT</v>
      </c>
      <c r="J1787" s="75">
        <v>4</v>
      </c>
      <c r="K1787" s="76" t="str">
        <f>VLOOKUP(Tabelle2[[#This Row],[Kunden Nr.]],KUNDEN!A:G,7)</f>
        <v>Qerimi</v>
      </c>
      <c r="L1787" s="76">
        <f>VLOOKUP(Tabelle2[[#This Row],[Artikel]],Produkte!A:H,8)</f>
        <v>0.15</v>
      </c>
    </row>
    <row r="1788" spans="1:12" x14ac:dyDescent="0.2">
      <c r="A1788" s="75" t="s">
        <v>546</v>
      </c>
      <c r="B1788" s="79">
        <v>46107</v>
      </c>
      <c r="C1788" s="75"/>
      <c r="D1788" s="75"/>
      <c r="E1788" s="75"/>
      <c r="F1788" s="75">
        <v>10406</v>
      </c>
      <c r="G1788" s="76" t="str">
        <f>VLOOKUP(Tabelle2[[#This Row],[Kunden Nr.]],KUNDEN!A:B,2,0)</f>
        <v>AGRONI</v>
      </c>
      <c r="H1788" s="75">
        <v>51936</v>
      </c>
      <c r="I1788" s="76" t="str">
        <f>VLOOKUP(Tabelle2[[#This Row],[Artikel]],Produkte!A:B,2,0)</f>
        <v>M ONE SCHWARZ GLÄNZED</v>
      </c>
      <c r="J1788" s="75">
        <v>4</v>
      </c>
      <c r="K1788" s="76" t="str">
        <f>VLOOKUP(Tabelle2[[#This Row],[Kunden Nr.]],KUNDEN!A:G,7)</f>
        <v>Qerimi</v>
      </c>
      <c r="L1788" s="76">
        <f>VLOOKUP(Tabelle2[[#This Row],[Artikel]],Produkte!A:H,8)</f>
        <v>0.15</v>
      </c>
    </row>
    <row r="1789" spans="1:12" x14ac:dyDescent="0.2">
      <c r="A1789" s="75" t="s">
        <v>546</v>
      </c>
      <c r="B1789" s="79">
        <v>46107</v>
      </c>
      <c r="C1789" s="75"/>
      <c r="D1789" s="75"/>
      <c r="E1789" s="75"/>
      <c r="F1789" s="75">
        <v>10406</v>
      </c>
      <c r="G1789" s="76" t="str">
        <f>VLOOKUP(Tabelle2[[#This Row],[Kunden Nr.]],KUNDEN!A:B,2,0)</f>
        <v>AGRONI</v>
      </c>
      <c r="H1789" s="75">
        <v>49644</v>
      </c>
      <c r="I1789" s="76" t="str">
        <f>VLOOKUP(Tabelle2[[#This Row],[Artikel]],Produkte!A:B,2,0)</f>
        <v>beMAKER Rostlöser</v>
      </c>
      <c r="J1789" s="75">
        <v>4</v>
      </c>
      <c r="K1789" s="76" t="str">
        <f>VLOOKUP(Tabelle2[[#This Row],[Kunden Nr.]],KUNDEN!A:G,7)</f>
        <v>Qerimi</v>
      </c>
      <c r="L1789" s="76">
        <f>VLOOKUP(Tabelle2[[#This Row],[Artikel]],Produkte!A:H,8)</f>
        <v>0.2</v>
      </c>
    </row>
    <row r="1790" spans="1:12" x14ac:dyDescent="0.2">
      <c r="A1790" s="75" t="s">
        <v>546</v>
      </c>
      <c r="B1790" s="79">
        <v>46107</v>
      </c>
      <c r="C1790" s="75"/>
      <c r="D1790" s="75"/>
      <c r="E1790" s="75"/>
      <c r="F1790" s="75">
        <v>10406</v>
      </c>
      <c r="G1790" s="76" t="str">
        <f>VLOOKUP(Tabelle2[[#This Row],[Kunden Nr.]],KUNDEN!A:B,2,0)</f>
        <v>AGRONI</v>
      </c>
      <c r="H1790" s="75">
        <v>54412</v>
      </c>
      <c r="I1790" s="76" t="str">
        <f>VLOOKUP(Tabelle2[[#This Row],[Artikel]],Produkte!A:B,2,0)</f>
        <v>beMAKER Bremsen&amp;Teile Reininger</v>
      </c>
      <c r="J1790" s="75">
        <v>4</v>
      </c>
      <c r="K1790" s="76" t="str">
        <f>VLOOKUP(Tabelle2[[#This Row],[Kunden Nr.]],KUNDEN!A:G,7)</f>
        <v>Qerimi</v>
      </c>
      <c r="L1790" s="76">
        <f>VLOOKUP(Tabelle2[[#This Row],[Artikel]],Produkte!A:H,8)</f>
        <v>0.2</v>
      </c>
    </row>
    <row r="1791" spans="1:12" x14ac:dyDescent="0.2">
      <c r="A1791" s="75" t="s">
        <v>546</v>
      </c>
      <c r="B1791" s="79">
        <v>46107</v>
      </c>
      <c r="C1791" s="75"/>
      <c r="D1791" s="75"/>
      <c r="E1791" s="75"/>
      <c r="F1791" s="75">
        <v>10406</v>
      </c>
      <c r="G1791" s="76" t="str">
        <f>VLOOKUP(Tabelle2[[#This Row],[Kunden Nr.]],KUNDEN!A:B,2,0)</f>
        <v>AGRONI</v>
      </c>
      <c r="H1791" s="75">
        <v>55718</v>
      </c>
      <c r="I1791" s="76" t="str">
        <f>VLOOKUP(Tabelle2[[#This Row],[Artikel]],Produkte!A:B,2,0)</f>
        <v>M ONE MOTORSTART</v>
      </c>
      <c r="J1791" s="75">
        <v>4</v>
      </c>
      <c r="K1791" s="76" t="str">
        <f>VLOOKUP(Tabelle2[[#This Row],[Kunden Nr.]],KUNDEN!A:G,7)</f>
        <v>Qerimi</v>
      </c>
      <c r="L1791" s="76">
        <f>VLOOKUP(Tabelle2[[#This Row],[Artikel]],Produkte!A:H,8)</f>
        <v>0.2</v>
      </c>
    </row>
    <row r="1792" spans="1:12" x14ac:dyDescent="0.2">
      <c r="A1792" s="75" t="s">
        <v>546</v>
      </c>
      <c r="B1792" s="79">
        <v>46107</v>
      </c>
      <c r="C1792" s="75"/>
      <c r="D1792" s="75"/>
      <c r="E1792" s="75"/>
      <c r="F1792" s="75">
        <v>10406</v>
      </c>
      <c r="G1792" s="76" t="str">
        <f>VLOOKUP(Tabelle2[[#This Row],[Kunden Nr.]],KUNDEN!A:B,2,0)</f>
        <v>AGRONI</v>
      </c>
      <c r="H1792" s="75">
        <v>50912</v>
      </c>
      <c r="I1792" s="76" t="str">
        <f>VLOOKUP(Tabelle2[[#This Row],[Artikel]],Produkte!A:B,2,0)</f>
        <v>DICHTUNG</v>
      </c>
      <c r="J1792" s="75">
        <v>2</v>
      </c>
      <c r="K1792" s="76" t="str">
        <f>VLOOKUP(Tabelle2[[#This Row],[Kunden Nr.]],KUNDEN!A:G,7)</f>
        <v>Qerimi</v>
      </c>
      <c r="L1792" s="76">
        <f>VLOOKUP(Tabelle2[[#This Row],[Artikel]],Produkte!A:H,8)</f>
        <v>0.2</v>
      </c>
    </row>
    <row r="1793" spans="1:12" x14ac:dyDescent="0.2">
      <c r="A1793" s="75" t="s">
        <v>903</v>
      </c>
      <c r="B1793" s="79">
        <v>46107</v>
      </c>
      <c r="C1793" s="89">
        <v>46.2</v>
      </c>
      <c r="D1793" s="75"/>
      <c r="E1793" s="75"/>
      <c r="F1793" s="75">
        <v>10428</v>
      </c>
      <c r="G1793" s="76" t="str">
        <f>VLOOKUP(Tabelle2[[#This Row],[Kunden Nr.]],KUNDEN!A:B,2,0)</f>
        <v>ENISI - H</v>
      </c>
      <c r="H1793" s="75">
        <v>35125</v>
      </c>
      <c r="I1793" s="76" t="str">
        <f>VLOOKUP(Tabelle2[[#This Row],[Artikel]],Produkte!A:B,2,0)</f>
        <v>M-ONE Sanitar Silikon</v>
      </c>
      <c r="J1793" s="75">
        <v>12</v>
      </c>
      <c r="K1793" s="76" t="str">
        <f>VLOOKUP(Tabelle2[[#This Row],[Kunden Nr.]],KUNDEN!A:G,7)</f>
        <v>Qerimi</v>
      </c>
      <c r="L1793" s="76">
        <f>VLOOKUP(Tabelle2[[#This Row],[Artikel]],Produkte!A:H,8)</f>
        <v>0.17</v>
      </c>
    </row>
    <row r="1794" spans="1:12" x14ac:dyDescent="0.2">
      <c r="A1794" s="75" t="s">
        <v>1176</v>
      </c>
      <c r="B1794" s="79">
        <v>46108</v>
      </c>
      <c r="C1794" s="89">
        <v>24</v>
      </c>
      <c r="D1794" s="75"/>
      <c r="E1794" s="75"/>
      <c r="F1794" s="75" t="s">
        <v>1323</v>
      </c>
      <c r="G1794" s="76" t="str">
        <f>VLOOKUP(Tabelle2[[#This Row],[Kunden Nr.]],KUNDEN!A:B,2,0)</f>
        <v>M ONE</v>
      </c>
      <c r="H1794" s="75">
        <v>35119</v>
      </c>
      <c r="I1794" s="76" t="str">
        <f>VLOOKUP(Tabelle2[[#This Row],[Artikel]],Produkte!A:B,2,0)</f>
        <v>M-ONE Sanitar Silikon</v>
      </c>
      <c r="J1794" s="75">
        <v>4</v>
      </c>
      <c r="K1794" s="76" t="str">
        <f>VLOOKUP(Tabelle2[[#This Row],[Kunden Nr.]],KUNDEN!A:G,7)</f>
        <v>KIM TEC</v>
      </c>
      <c r="L1794" s="76">
        <f>VLOOKUP(Tabelle2[[#This Row],[Artikel]],Produkte!A:H,8)</f>
        <v>0.17</v>
      </c>
    </row>
    <row r="1795" spans="1:12" x14ac:dyDescent="0.2">
      <c r="A1795" s="75" t="s">
        <v>1176</v>
      </c>
      <c r="B1795" s="79">
        <v>46108</v>
      </c>
      <c r="C1795" s="75"/>
      <c r="D1795" s="75"/>
      <c r="E1795" s="75"/>
      <c r="F1795" s="75" t="s">
        <v>1323</v>
      </c>
      <c r="G1795" s="76" t="str">
        <f>VLOOKUP(Tabelle2[[#This Row],[Kunden Nr.]],KUNDEN!A:B,2,0)</f>
        <v>M ONE</v>
      </c>
      <c r="H1795" s="75">
        <v>20001</v>
      </c>
      <c r="I1795" s="76" t="str">
        <f>VLOOKUP(Tabelle2[[#This Row],[Artikel]],Produkte!A:B,2,0)</f>
        <v>BioBlic Universalreiniger</v>
      </c>
      <c r="J1795" s="75">
        <v>1</v>
      </c>
      <c r="K1795" s="76" t="str">
        <f>VLOOKUP(Tabelle2[[#This Row],[Kunden Nr.]],KUNDEN!A:G,7)</f>
        <v>KIM TEC</v>
      </c>
      <c r="L1795" s="76">
        <f>VLOOKUP(Tabelle2[[#This Row],[Artikel]],Produkte!A:H,8)</f>
        <v>0.30000000000000004</v>
      </c>
    </row>
    <row r="1796" spans="1:12" x14ac:dyDescent="0.2">
      <c r="A1796" s="75" t="s">
        <v>1176</v>
      </c>
      <c r="B1796" s="79">
        <v>46108</v>
      </c>
      <c r="C1796" s="75"/>
      <c r="D1796" s="75"/>
      <c r="E1796" s="75"/>
      <c r="F1796" s="75" t="s">
        <v>1323</v>
      </c>
      <c r="G1796" s="76" t="str">
        <f>VLOOKUP(Tabelle2[[#This Row],[Kunden Nr.]],KUNDEN!A:B,2,0)</f>
        <v>M ONE</v>
      </c>
      <c r="H1796" s="75">
        <v>20000</v>
      </c>
      <c r="I1796" s="76" t="str">
        <f>VLOOKUP(Tabelle2[[#This Row],[Artikel]],Produkte!A:B,2,0)</f>
        <v>BioBlic AutoInnenreiniger</v>
      </c>
      <c r="J1796" s="75">
        <v>1</v>
      </c>
      <c r="K1796" s="76" t="str">
        <f>VLOOKUP(Tabelle2[[#This Row],[Kunden Nr.]],KUNDEN!A:G,7)</f>
        <v>KIM TEC</v>
      </c>
      <c r="L1796" s="76">
        <f>VLOOKUP(Tabelle2[[#This Row],[Artikel]],Produkte!A:H,8)</f>
        <v>0.30000000000000004</v>
      </c>
    </row>
    <row r="1797" spans="1:12" x14ac:dyDescent="0.2">
      <c r="A1797" s="75" t="s">
        <v>770</v>
      </c>
      <c r="B1797" s="79">
        <v>46108</v>
      </c>
      <c r="C1797" s="89">
        <v>172</v>
      </c>
      <c r="D1797" s="75"/>
      <c r="E1797" s="75"/>
      <c r="F1797" s="75">
        <v>40003</v>
      </c>
      <c r="G1797" s="76" t="str">
        <f>VLOOKUP(Tabelle2[[#This Row],[Kunden Nr.]],KUNDEN!A:B,2,0)</f>
        <v>ARBENI BIOBLIC</v>
      </c>
      <c r="H1797" s="75">
        <v>20001</v>
      </c>
      <c r="I1797" s="76" t="str">
        <f>VLOOKUP(Tabelle2[[#This Row],[Artikel]],Produkte!A:B,2,0)</f>
        <v>BioBlic Universalreiniger</v>
      </c>
      <c r="J1797" s="75">
        <v>120</v>
      </c>
      <c r="K1797" s="76">
        <f>VLOOKUP(Tabelle2[[#This Row],[Kunden Nr.]],KUNDEN!A:G,7)</f>
        <v>0</v>
      </c>
      <c r="L1797" s="76">
        <f>VLOOKUP(Tabelle2[[#This Row],[Artikel]],Produkte!A:H,8)</f>
        <v>0.30000000000000004</v>
      </c>
    </row>
    <row r="1798" spans="1:12" x14ac:dyDescent="0.2">
      <c r="A1798" s="75" t="s">
        <v>770</v>
      </c>
      <c r="B1798" s="79">
        <v>46108</v>
      </c>
      <c r="C1798" s="75"/>
      <c r="D1798" s="75"/>
      <c r="E1798" s="75"/>
      <c r="F1798" s="75">
        <v>40003</v>
      </c>
      <c r="G1798" s="76" t="str">
        <f>VLOOKUP(Tabelle2[[#This Row],[Kunden Nr.]],KUNDEN!A:B,2,0)</f>
        <v>ARBENI BIOBLIC</v>
      </c>
      <c r="H1798" s="75">
        <v>30275</v>
      </c>
      <c r="I1798" s="76" t="str">
        <f>VLOOKUP(Tabelle2[[#This Row],[Artikel]],Produkte!A:B,2,0)</f>
        <v>Blic Blic Sanitärreiniger</v>
      </c>
      <c r="J1798" s="75">
        <v>10</v>
      </c>
      <c r="K1798" s="76">
        <f>VLOOKUP(Tabelle2[[#This Row],[Kunden Nr.]],KUNDEN!A:G,7)</f>
        <v>0</v>
      </c>
      <c r="L1798" s="76">
        <f>VLOOKUP(Tabelle2[[#This Row],[Artikel]],Produkte!A:H,8)</f>
        <v>0.30000000000000004</v>
      </c>
    </row>
    <row r="1799" spans="1:12" x14ac:dyDescent="0.2">
      <c r="A1799" s="75" t="s">
        <v>482</v>
      </c>
      <c r="B1799" s="79">
        <v>46108</v>
      </c>
      <c r="C1799" s="89">
        <v>46.2</v>
      </c>
      <c r="D1799" s="75"/>
      <c r="E1799" s="75"/>
      <c r="F1799" s="75">
        <v>10502</v>
      </c>
      <c r="G1799" s="76" t="str">
        <f>VLOOKUP(Tabelle2[[#This Row],[Kunden Nr.]],KUNDEN!A:B,2,0)</f>
        <v>PROCOM</v>
      </c>
      <c r="H1799" s="75">
        <v>35128</v>
      </c>
      <c r="I1799" s="76" t="str">
        <f>VLOOKUP(Tabelle2[[#This Row],[Artikel]],Produkte!A:B,2,0)</f>
        <v>M-ONE Sanitar Silikon</v>
      </c>
      <c r="J1799" s="75">
        <v>12</v>
      </c>
      <c r="K1799" s="76" t="str">
        <f>VLOOKUP(Tabelle2[[#This Row],[Kunden Nr.]],KUNDEN!A:G,7)</f>
        <v>Qerimi</v>
      </c>
      <c r="L1799" s="76">
        <f>VLOOKUP(Tabelle2[[#This Row],[Artikel]],Produkte!A:H,8)</f>
        <v>0.17</v>
      </c>
    </row>
    <row r="1800" spans="1:12" x14ac:dyDescent="0.2">
      <c r="A1800" s="75" t="s">
        <v>487</v>
      </c>
      <c r="B1800" s="79">
        <v>46108</v>
      </c>
      <c r="C1800" s="89">
        <v>184.8</v>
      </c>
      <c r="D1800" s="75"/>
      <c r="E1800" s="75"/>
      <c r="F1800" s="75">
        <v>10507</v>
      </c>
      <c r="G1800" s="76" t="str">
        <f>VLOOKUP(Tabelle2[[#This Row],[Kunden Nr.]],KUNDEN!A:B,2,0)</f>
        <v>REAL COLOR 2</v>
      </c>
      <c r="H1800" s="75">
        <v>35111</v>
      </c>
      <c r="I1800" s="76" t="str">
        <f>VLOOKUP(Tabelle2[[#This Row],[Artikel]],Produkte!A:B,2,0)</f>
        <v>M-ONE Sanitar Silikon</v>
      </c>
      <c r="J1800" s="75">
        <v>12</v>
      </c>
      <c r="K1800" s="76" t="str">
        <f>VLOOKUP(Tabelle2[[#This Row],[Kunden Nr.]],KUNDEN!A:G,7)</f>
        <v>Qerimi</v>
      </c>
      <c r="L1800" s="76">
        <f>VLOOKUP(Tabelle2[[#This Row],[Artikel]],Produkte!A:H,8)</f>
        <v>0.17</v>
      </c>
    </row>
    <row r="1801" spans="1:12" x14ac:dyDescent="0.2">
      <c r="A1801" s="75" t="s">
        <v>487</v>
      </c>
      <c r="B1801" s="79">
        <v>46108</v>
      </c>
      <c r="C1801" s="75"/>
      <c r="D1801" s="75"/>
      <c r="E1801" s="75"/>
      <c r="F1801" s="75">
        <v>10507</v>
      </c>
      <c r="G1801" s="76" t="str">
        <f>VLOOKUP(Tabelle2[[#This Row],[Kunden Nr.]],KUNDEN!A:B,2,0)</f>
        <v>REAL COLOR 2</v>
      </c>
      <c r="H1801" s="75">
        <v>35115</v>
      </c>
      <c r="I1801" s="76" t="str">
        <f>VLOOKUP(Tabelle2[[#This Row],[Artikel]],Produkte!A:B,2,0)</f>
        <v>M-ONE Sanitar Silikon</v>
      </c>
      <c r="J1801" s="75">
        <v>12</v>
      </c>
      <c r="K1801" s="76" t="str">
        <f>VLOOKUP(Tabelle2[[#This Row],[Kunden Nr.]],KUNDEN!A:G,7)</f>
        <v>Qerimi</v>
      </c>
      <c r="L1801" s="76">
        <f>VLOOKUP(Tabelle2[[#This Row],[Artikel]],Produkte!A:H,8)</f>
        <v>0.17</v>
      </c>
    </row>
    <row r="1802" spans="1:12" x14ac:dyDescent="0.2">
      <c r="A1802" s="75" t="s">
        <v>487</v>
      </c>
      <c r="B1802" s="79">
        <v>46108</v>
      </c>
      <c r="C1802" s="75"/>
      <c r="D1802" s="75"/>
      <c r="E1802" s="75"/>
      <c r="F1802" s="75">
        <v>10507</v>
      </c>
      <c r="G1802" s="76" t="str">
        <f>VLOOKUP(Tabelle2[[#This Row],[Kunden Nr.]],KUNDEN!A:B,2,0)</f>
        <v>REAL COLOR 2</v>
      </c>
      <c r="H1802" s="75">
        <v>35121</v>
      </c>
      <c r="I1802" s="76" t="str">
        <f>VLOOKUP(Tabelle2[[#This Row],[Artikel]],Produkte!A:B,2,0)</f>
        <v>M-ONE Sanitar Silikon</v>
      </c>
      <c r="J1802" s="75">
        <v>12</v>
      </c>
      <c r="K1802" s="76" t="str">
        <f>VLOOKUP(Tabelle2[[#This Row],[Kunden Nr.]],KUNDEN!A:G,7)</f>
        <v>Qerimi</v>
      </c>
      <c r="L1802" s="76">
        <f>VLOOKUP(Tabelle2[[#This Row],[Artikel]],Produkte!A:H,8)</f>
        <v>0.17</v>
      </c>
    </row>
    <row r="1803" spans="1:12" x14ac:dyDescent="0.2">
      <c r="A1803" s="75" t="s">
        <v>487</v>
      </c>
      <c r="B1803" s="79">
        <v>46108</v>
      </c>
      <c r="C1803" s="75"/>
      <c r="D1803" s="75"/>
      <c r="E1803" s="75"/>
      <c r="F1803" s="75">
        <v>10507</v>
      </c>
      <c r="G1803" s="76" t="str">
        <f>VLOOKUP(Tabelle2[[#This Row],[Kunden Nr.]],KUNDEN!A:B,2,0)</f>
        <v>REAL COLOR 2</v>
      </c>
      <c r="H1803" s="75">
        <v>35125</v>
      </c>
      <c r="I1803" s="76" t="str">
        <f>VLOOKUP(Tabelle2[[#This Row],[Artikel]],Produkte!A:B,2,0)</f>
        <v>M-ONE Sanitar Silikon</v>
      </c>
      <c r="J1803" s="75">
        <v>12</v>
      </c>
      <c r="K1803" s="76" t="str">
        <f>VLOOKUP(Tabelle2[[#This Row],[Kunden Nr.]],KUNDEN!A:G,7)</f>
        <v>Qerimi</v>
      </c>
      <c r="L1803" s="76">
        <f>VLOOKUP(Tabelle2[[#This Row],[Artikel]],Produkte!A:H,8)</f>
        <v>0.17</v>
      </c>
    </row>
    <row r="1804" spans="1:12" x14ac:dyDescent="0.2">
      <c r="A1804" s="75" t="s">
        <v>489</v>
      </c>
      <c r="B1804" s="79">
        <v>46108</v>
      </c>
      <c r="C1804" s="89">
        <v>62</v>
      </c>
      <c r="D1804" s="75"/>
      <c r="E1804" s="75"/>
      <c r="F1804" s="75">
        <v>10511</v>
      </c>
      <c r="G1804" s="76" t="str">
        <f>VLOOKUP(Tabelle2[[#This Row],[Kunden Nr.]],KUNDEN!A:B,2,0)</f>
        <v>MULI</v>
      </c>
      <c r="H1804" s="75">
        <v>16936</v>
      </c>
      <c r="I1804" s="76" t="str">
        <f>VLOOKUP(Tabelle2[[#This Row],[Artikel]],Produkte!A:B,2,0)</f>
        <v>M ONE FELGENSILBER</v>
      </c>
      <c r="J1804" s="75">
        <v>10</v>
      </c>
      <c r="K1804" s="76" t="str">
        <f>VLOOKUP(Tabelle2[[#This Row],[Kunden Nr.]],KUNDEN!A:G,7)</f>
        <v>Qerimi</v>
      </c>
      <c r="L1804" s="76">
        <f>VLOOKUP(Tabelle2[[#This Row],[Artikel]],Produkte!A:H,8)</f>
        <v>0.15</v>
      </c>
    </row>
    <row r="1805" spans="1:12" x14ac:dyDescent="0.2">
      <c r="A1805" s="75" t="s">
        <v>489</v>
      </c>
      <c r="B1805" s="79">
        <v>46108</v>
      </c>
      <c r="C1805" s="75"/>
      <c r="D1805" s="75"/>
      <c r="E1805" s="75"/>
      <c r="F1805" s="75">
        <v>10511</v>
      </c>
      <c r="G1805" s="76" t="str">
        <f>VLOOKUP(Tabelle2[[#This Row],[Kunden Nr.]],KUNDEN!A:B,2,0)</f>
        <v>MULI</v>
      </c>
      <c r="H1805" s="75">
        <v>31818</v>
      </c>
      <c r="I1805" s="76" t="str">
        <f>VLOOKUP(Tabelle2[[#This Row],[Artikel]],Produkte!A:B,2,0)</f>
        <v>M ONE ANTHRAZIT</v>
      </c>
      <c r="J1805" s="75">
        <v>4</v>
      </c>
      <c r="K1805" s="76" t="str">
        <f>VLOOKUP(Tabelle2[[#This Row],[Kunden Nr.]],KUNDEN!A:G,7)</f>
        <v>Qerimi</v>
      </c>
      <c r="L1805" s="76">
        <f>VLOOKUP(Tabelle2[[#This Row],[Artikel]],Produkte!A:H,8)</f>
        <v>0.15</v>
      </c>
    </row>
    <row r="1806" spans="1:12" x14ac:dyDescent="0.2">
      <c r="A1806" s="75" t="s">
        <v>489</v>
      </c>
      <c r="B1806" s="79">
        <v>46108</v>
      </c>
      <c r="C1806" s="75"/>
      <c r="D1806" s="75"/>
      <c r="E1806" s="75"/>
      <c r="F1806" s="75">
        <v>10511</v>
      </c>
      <c r="G1806" s="76" t="str">
        <f>VLOOKUP(Tabelle2[[#This Row],[Kunden Nr.]],KUNDEN!A:B,2,0)</f>
        <v>MULI</v>
      </c>
      <c r="H1806" s="75">
        <v>31812</v>
      </c>
      <c r="I1806" s="76" t="str">
        <f>VLOOKUP(Tabelle2[[#This Row],[Artikel]],Produkte!A:B,2,0)</f>
        <v>M ONE LACK GELB</v>
      </c>
      <c r="J1806" s="75">
        <v>10</v>
      </c>
      <c r="K1806" s="76" t="str">
        <f>VLOOKUP(Tabelle2[[#This Row],[Kunden Nr.]],KUNDEN!A:G,7)</f>
        <v>Qerimi</v>
      </c>
      <c r="L1806" s="76">
        <f>VLOOKUP(Tabelle2[[#This Row],[Artikel]],Produkte!A:H,8)</f>
        <v>0.15</v>
      </c>
    </row>
    <row r="1807" spans="1:12" x14ac:dyDescent="0.2">
      <c r="A1807" s="75" t="s">
        <v>489</v>
      </c>
      <c r="B1807" s="79">
        <v>46108</v>
      </c>
      <c r="C1807" s="75"/>
      <c r="D1807" s="75"/>
      <c r="E1807" s="75"/>
      <c r="F1807" s="75">
        <v>10511</v>
      </c>
      <c r="G1807" s="76" t="str">
        <f>VLOOKUP(Tabelle2[[#This Row],[Kunden Nr.]],KUNDEN!A:B,2,0)</f>
        <v>MULI</v>
      </c>
      <c r="H1807" s="75">
        <v>31827</v>
      </c>
      <c r="I1807" s="76" t="str">
        <f>VLOOKUP(Tabelle2[[#This Row],[Artikel]],Produkte!A:B,2,0)</f>
        <v>M ONE LACK GRUN</v>
      </c>
      <c r="J1807" s="75">
        <v>7</v>
      </c>
      <c r="K1807" s="76" t="str">
        <f>VLOOKUP(Tabelle2[[#This Row],[Kunden Nr.]],KUNDEN!A:G,7)</f>
        <v>Qerimi</v>
      </c>
      <c r="L1807" s="76">
        <f>VLOOKUP(Tabelle2[[#This Row],[Artikel]],Produkte!A:H,8)</f>
        <v>0.15</v>
      </c>
    </row>
    <row r="1808" spans="1:12" x14ac:dyDescent="0.2">
      <c r="A1808" s="75" t="s">
        <v>486</v>
      </c>
      <c r="B1808" s="79">
        <v>46108</v>
      </c>
      <c r="C1808" s="89">
        <v>46.2</v>
      </c>
      <c r="D1808" s="75"/>
      <c r="E1808" s="75"/>
      <c r="F1808" s="75">
        <v>10506</v>
      </c>
      <c r="G1808" s="76" t="str">
        <f>VLOOKUP(Tabelle2[[#This Row],[Kunden Nr.]],KUNDEN!A:B,2,0)</f>
        <v>ARBERI</v>
      </c>
      <c r="H1808" s="75">
        <v>35125</v>
      </c>
      <c r="I1808" s="76" t="str">
        <f>VLOOKUP(Tabelle2[[#This Row],[Artikel]],Produkte!A:B,2,0)</f>
        <v>M-ONE Sanitar Silikon</v>
      </c>
      <c r="J1808" s="75">
        <v>12</v>
      </c>
      <c r="K1808" s="76" t="str">
        <f>VLOOKUP(Tabelle2[[#This Row],[Kunden Nr.]],KUNDEN!A:G,7)</f>
        <v>Qerimi</v>
      </c>
      <c r="L1808" s="76">
        <f>VLOOKUP(Tabelle2[[#This Row],[Artikel]],Produkte!A:H,8)</f>
        <v>0.17</v>
      </c>
    </row>
    <row r="1809" spans="1:12" x14ac:dyDescent="0.2">
      <c r="A1809" s="75" t="s">
        <v>666</v>
      </c>
      <c r="B1809" s="79">
        <v>46108</v>
      </c>
      <c r="C1809" s="89">
        <v>37.5</v>
      </c>
      <c r="D1809" s="75"/>
      <c r="E1809" s="75"/>
      <c r="F1809" s="75">
        <v>10529</v>
      </c>
      <c r="G1809" s="76" t="str">
        <f>VLOOKUP(Tabelle2[[#This Row],[Kunden Nr.]],KUNDEN!A:B,2,0)</f>
        <v>ARDI LIPJAN</v>
      </c>
      <c r="H1809" s="75">
        <v>31819</v>
      </c>
      <c r="I1809" s="76" t="str">
        <f>VLOOKUP(Tabelle2[[#This Row],[Artikel]],Produkte!A:B,2,0)</f>
        <v>M ONE FUERROT</v>
      </c>
      <c r="J1809" s="75">
        <v>5</v>
      </c>
      <c r="K1809" s="76" t="str">
        <f>VLOOKUP(Tabelle2[[#This Row],[Kunden Nr.]],KUNDEN!A:G,7)</f>
        <v>Qerimi</v>
      </c>
      <c r="L1809" s="76">
        <f>VLOOKUP(Tabelle2[[#This Row],[Artikel]],Produkte!A:H,8)</f>
        <v>0.15</v>
      </c>
    </row>
    <row r="1810" spans="1:12" x14ac:dyDescent="0.2">
      <c r="A1810" s="75" t="s">
        <v>666</v>
      </c>
      <c r="B1810" s="79">
        <v>46108</v>
      </c>
      <c r="C1810" s="75"/>
      <c r="D1810" s="75"/>
      <c r="E1810" s="75"/>
      <c r="F1810" s="75">
        <v>10529</v>
      </c>
      <c r="G1810" s="76" t="str">
        <f>VLOOKUP(Tabelle2[[#This Row],[Kunden Nr.]],KUNDEN!A:B,2,0)</f>
        <v>ARDI LIPJAN</v>
      </c>
      <c r="H1810" s="75">
        <v>51936</v>
      </c>
      <c r="I1810" s="76" t="str">
        <f>VLOOKUP(Tabelle2[[#This Row],[Artikel]],Produkte!A:B,2,0)</f>
        <v>M ONE SCHWARZ GLÄNZED</v>
      </c>
      <c r="J1810" s="75">
        <v>5</v>
      </c>
      <c r="K1810" s="76" t="str">
        <f>VLOOKUP(Tabelle2[[#This Row],[Kunden Nr.]],KUNDEN!A:G,7)</f>
        <v>Qerimi</v>
      </c>
      <c r="L1810" s="76">
        <f>VLOOKUP(Tabelle2[[#This Row],[Artikel]],Produkte!A:H,8)</f>
        <v>0.15</v>
      </c>
    </row>
    <row r="1811" spans="1:12" x14ac:dyDescent="0.2">
      <c r="A1811" s="75" t="s">
        <v>666</v>
      </c>
      <c r="B1811" s="79">
        <v>46108</v>
      </c>
      <c r="C1811" s="75"/>
      <c r="D1811" s="75"/>
      <c r="E1811" s="75"/>
      <c r="F1811" s="75">
        <v>10529</v>
      </c>
      <c r="G1811" s="76" t="str">
        <f>VLOOKUP(Tabelle2[[#This Row],[Kunden Nr.]],KUNDEN!A:B,2,0)</f>
        <v>ARDI LIPJAN</v>
      </c>
      <c r="H1811" s="75">
        <v>69236</v>
      </c>
      <c r="I1811" s="76" t="str">
        <f>VLOOKUP(Tabelle2[[#This Row],[Artikel]],Produkte!A:B,2,0)</f>
        <v>M ONE WEISS GLÄNZEND</v>
      </c>
      <c r="J1811" s="75">
        <v>5</v>
      </c>
      <c r="K1811" s="76" t="str">
        <f>VLOOKUP(Tabelle2[[#This Row],[Kunden Nr.]],KUNDEN!A:G,7)</f>
        <v>Qerimi</v>
      </c>
      <c r="L1811" s="76">
        <f>VLOOKUP(Tabelle2[[#This Row],[Artikel]],Produkte!A:H,8)</f>
        <v>0.15</v>
      </c>
    </row>
    <row r="1812" spans="1:12" x14ac:dyDescent="0.2">
      <c r="A1812" s="75" t="s">
        <v>38</v>
      </c>
      <c r="B1812" s="79">
        <v>46108</v>
      </c>
      <c r="C1812" s="89">
        <v>46.2</v>
      </c>
      <c r="D1812" s="75"/>
      <c r="E1812" s="75"/>
      <c r="F1812" s="75">
        <v>10539</v>
      </c>
      <c r="G1812" s="76" t="str">
        <f>VLOOKUP(Tabelle2[[#This Row],[Kunden Nr.]],KUNDEN!A:B,2,0)</f>
        <v>BEKA</v>
      </c>
      <c r="H1812" s="75">
        <v>35110</v>
      </c>
      <c r="I1812" s="76" t="str">
        <f>VLOOKUP(Tabelle2[[#This Row],[Artikel]],Produkte!A:B,2,0)</f>
        <v>M-ONE Sanitar Silikon</v>
      </c>
      <c r="J1812" s="75">
        <v>12</v>
      </c>
      <c r="K1812" s="76" t="str">
        <f>VLOOKUP(Tabelle2[[#This Row],[Kunden Nr.]],KUNDEN!A:G,7)</f>
        <v>Qerimi</v>
      </c>
      <c r="L1812" s="76">
        <f>VLOOKUP(Tabelle2[[#This Row],[Artikel]],Produkte!A:H,8)</f>
        <v>0.17</v>
      </c>
    </row>
    <row r="1813" spans="1:12" x14ac:dyDescent="0.2">
      <c r="A1813" s="75" t="s">
        <v>482</v>
      </c>
      <c r="B1813" s="79">
        <v>46108</v>
      </c>
      <c r="C1813" s="89">
        <v>92.4</v>
      </c>
      <c r="D1813" s="75"/>
      <c r="E1813" s="75"/>
      <c r="F1813" s="75">
        <v>10502</v>
      </c>
      <c r="G1813" s="76" t="str">
        <f>VLOOKUP(Tabelle2[[#This Row],[Kunden Nr.]],KUNDEN!A:B,2,0)</f>
        <v>PROCOM</v>
      </c>
      <c r="H1813" s="75">
        <v>35111</v>
      </c>
      <c r="I1813" s="76" t="str">
        <f>VLOOKUP(Tabelle2[[#This Row],[Artikel]],Produkte!A:B,2,0)</f>
        <v>M-ONE Sanitar Silikon</v>
      </c>
      <c r="J1813" s="75">
        <v>12</v>
      </c>
      <c r="K1813" s="76" t="str">
        <f>VLOOKUP(Tabelle2[[#This Row],[Kunden Nr.]],KUNDEN!A:G,7)</f>
        <v>Qerimi</v>
      </c>
      <c r="L1813" s="76">
        <f>VLOOKUP(Tabelle2[[#This Row],[Artikel]],Produkte!A:H,8)</f>
        <v>0.17</v>
      </c>
    </row>
    <row r="1814" spans="1:12" x14ac:dyDescent="0.2">
      <c r="A1814" s="75" t="s">
        <v>482</v>
      </c>
      <c r="B1814" s="79">
        <v>46108</v>
      </c>
      <c r="C1814" s="75"/>
      <c r="D1814" s="75"/>
      <c r="E1814" s="75"/>
      <c r="F1814" s="75">
        <v>10502</v>
      </c>
      <c r="G1814" s="76" t="str">
        <f>VLOOKUP(Tabelle2[[#This Row],[Kunden Nr.]],KUNDEN!A:B,2,0)</f>
        <v>PROCOM</v>
      </c>
      <c r="H1814" s="75">
        <v>35113</v>
      </c>
      <c r="I1814" s="76" t="str">
        <f>VLOOKUP(Tabelle2[[#This Row],[Artikel]],Produkte!A:B,2,0)</f>
        <v>M-ONE Sanitar Silikon</v>
      </c>
      <c r="J1814" s="75">
        <v>12</v>
      </c>
      <c r="K1814" s="76" t="str">
        <f>VLOOKUP(Tabelle2[[#This Row],[Kunden Nr.]],KUNDEN!A:G,7)</f>
        <v>Qerimi</v>
      </c>
      <c r="L1814" s="76">
        <f>VLOOKUP(Tabelle2[[#This Row],[Artikel]],Produkte!A:H,8)</f>
        <v>0.17</v>
      </c>
    </row>
    <row r="1815" spans="1:12" x14ac:dyDescent="0.2">
      <c r="A1815" s="75" t="s">
        <v>435</v>
      </c>
      <c r="B1815" s="79">
        <v>46108</v>
      </c>
      <c r="C1815" s="89">
        <v>86.4</v>
      </c>
      <c r="D1815" s="75"/>
      <c r="E1815" s="75"/>
      <c r="F1815" s="75">
        <v>10509</v>
      </c>
      <c r="G1815" s="76" t="str">
        <f>VLOOKUP(Tabelle2[[#This Row],[Kunden Nr.]],KUNDEN!A:B,2,0)</f>
        <v>LONI</v>
      </c>
      <c r="H1815" s="75">
        <v>50912</v>
      </c>
      <c r="I1815" s="76" t="str">
        <f>VLOOKUP(Tabelle2[[#This Row],[Artikel]],Produkte!A:B,2,0)</f>
        <v>DICHTUNG</v>
      </c>
      <c r="J1815" s="75">
        <v>12</v>
      </c>
      <c r="K1815" s="76" t="str">
        <f>VLOOKUP(Tabelle2[[#This Row],[Kunden Nr.]],KUNDEN!A:G,7)</f>
        <v>Qerimi</v>
      </c>
      <c r="L1815" s="76">
        <f>VLOOKUP(Tabelle2[[#This Row],[Artikel]],Produkte!A:H,8)</f>
        <v>0.2</v>
      </c>
    </row>
    <row r="1816" spans="1:12" x14ac:dyDescent="0.2">
      <c r="A1816" s="75" t="s">
        <v>453</v>
      </c>
      <c r="B1816" s="79">
        <v>46108</v>
      </c>
      <c r="C1816" s="89">
        <v>138.6</v>
      </c>
      <c r="D1816" s="75"/>
      <c r="E1816" s="75"/>
      <c r="F1816" s="75">
        <v>20501</v>
      </c>
      <c r="G1816" s="76" t="str">
        <f>VLOOKUP(Tabelle2[[#This Row],[Kunden Nr.]],KUNDEN!A:B,2,0)</f>
        <v>RACI</v>
      </c>
      <c r="H1816" s="75">
        <v>35108</v>
      </c>
      <c r="I1816" s="76" t="str">
        <f>VLOOKUP(Tabelle2[[#This Row],[Artikel]],Produkte!A:B,2,0)</f>
        <v>M-ONE Sanitar Silikon</v>
      </c>
      <c r="J1816" s="75">
        <v>12</v>
      </c>
      <c r="K1816" s="76" t="str">
        <f>VLOOKUP(Tabelle2[[#This Row],[Kunden Nr.]],KUNDEN!A:G,7)</f>
        <v>Mensuri</v>
      </c>
      <c r="L1816" s="76">
        <f>VLOOKUP(Tabelle2[[#This Row],[Artikel]],Produkte!A:H,8)</f>
        <v>0.17</v>
      </c>
    </row>
    <row r="1817" spans="1:12" x14ac:dyDescent="0.2">
      <c r="A1817" s="75" t="s">
        <v>453</v>
      </c>
      <c r="B1817" s="79">
        <v>46108</v>
      </c>
      <c r="C1817" s="75"/>
      <c r="D1817" s="75"/>
      <c r="E1817" s="75"/>
      <c r="F1817" s="75">
        <v>20501</v>
      </c>
      <c r="G1817" s="76" t="str">
        <f>VLOOKUP(Tabelle2[[#This Row],[Kunden Nr.]],KUNDEN!A:B,2,0)</f>
        <v>RACI</v>
      </c>
      <c r="H1817" s="75">
        <v>35111</v>
      </c>
      <c r="I1817" s="76" t="str">
        <f>VLOOKUP(Tabelle2[[#This Row],[Artikel]],Produkte!A:B,2,0)</f>
        <v>M-ONE Sanitar Silikon</v>
      </c>
      <c r="J1817" s="75">
        <v>12</v>
      </c>
      <c r="K1817" s="76" t="str">
        <f>VLOOKUP(Tabelle2[[#This Row],[Kunden Nr.]],KUNDEN!A:G,7)</f>
        <v>Mensuri</v>
      </c>
      <c r="L1817" s="76">
        <f>VLOOKUP(Tabelle2[[#This Row],[Artikel]],Produkte!A:H,8)</f>
        <v>0.17</v>
      </c>
    </row>
    <row r="1818" spans="1:12" x14ac:dyDescent="0.2">
      <c r="A1818" s="75" t="s">
        <v>453</v>
      </c>
      <c r="B1818" s="79">
        <v>46108</v>
      </c>
      <c r="C1818" s="75"/>
      <c r="D1818" s="75"/>
      <c r="E1818" s="75"/>
      <c r="F1818" s="75">
        <v>20501</v>
      </c>
      <c r="G1818" s="76" t="str">
        <f>VLOOKUP(Tabelle2[[#This Row],[Kunden Nr.]],KUNDEN!A:B,2,0)</f>
        <v>RACI</v>
      </c>
      <c r="H1818" s="75">
        <v>35119</v>
      </c>
      <c r="I1818" s="76" t="str">
        <f>VLOOKUP(Tabelle2[[#This Row],[Artikel]],Produkte!A:B,2,0)</f>
        <v>M-ONE Sanitar Silikon</v>
      </c>
      <c r="J1818" s="75">
        <v>12</v>
      </c>
      <c r="K1818" s="76" t="str">
        <f>VLOOKUP(Tabelle2[[#This Row],[Kunden Nr.]],KUNDEN!A:G,7)</f>
        <v>Mensuri</v>
      </c>
      <c r="L1818" s="76">
        <f>VLOOKUP(Tabelle2[[#This Row],[Artikel]],Produkte!A:H,8)</f>
        <v>0.17</v>
      </c>
    </row>
    <row r="1819" spans="1:12" x14ac:dyDescent="0.2">
      <c r="A1819" s="75" t="s">
        <v>1258</v>
      </c>
      <c r="B1819" s="79">
        <v>46108</v>
      </c>
      <c r="C1819" s="89">
        <v>138.6</v>
      </c>
      <c r="D1819" s="75"/>
      <c r="E1819" s="75"/>
      <c r="F1819" s="75">
        <v>20511</v>
      </c>
      <c r="G1819" s="76" t="str">
        <f>VLOOKUP(Tabelle2[[#This Row],[Kunden Nr.]],KUNDEN!A:B,2,0)</f>
        <v>LIRIDONA KLINE</v>
      </c>
      <c r="H1819" s="75">
        <v>35121</v>
      </c>
      <c r="I1819" s="76" t="str">
        <f>VLOOKUP(Tabelle2[[#This Row],[Artikel]],Produkte!A:B,2,0)</f>
        <v>M-ONE Sanitar Silikon</v>
      </c>
      <c r="J1819" s="75">
        <v>24</v>
      </c>
      <c r="K1819" s="76" t="str">
        <f>VLOOKUP(Tabelle2[[#This Row],[Kunden Nr.]],KUNDEN!A:G,7)</f>
        <v>Mensuri</v>
      </c>
      <c r="L1819" s="76">
        <f>VLOOKUP(Tabelle2[[#This Row],[Artikel]],Produkte!A:H,8)</f>
        <v>0.17</v>
      </c>
    </row>
    <row r="1820" spans="1:12" x14ac:dyDescent="0.2">
      <c r="A1820" s="75" t="s">
        <v>1258</v>
      </c>
      <c r="B1820" s="79">
        <v>46108</v>
      </c>
      <c r="C1820" s="75"/>
      <c r="D1820" s="75"/>
      <c r="E1820" s="75"/>
      <c r="F1820" s="75">
        <v>20511</v>
      </c>
      <c r="G1820" s="76" t="str">
        <f>VLOOKUP(Tabelle2[[#This Row],[Kunden Nr.]],KUNDEN!A:B,2,0)</f>
        <v>LIRIDONA KLINE</v>
      </c>
      <c r="H1820" s="75">
        <v>35111</v>
      </c>
      <c r="I1820" s="76" t="str">
        <f>VLOOKUP(Tabelle2[[#This Row],[Artikel]],Produkte!A:B,2,0)</f>
        <v>M-ONE Sanitar Silikon</v>
      </c>
      <c r="J1820" s="75">
        <v>12</v>
      </c>
      <c r="K1820" s="76" t="str">
        <f>VLOOKUP(Tabelle2[[#This Row],[Kunden Nr.]],KUNDEN!A:G,7)</f>
        <v>Mensuri</v>
      </c>
      <c r="L1820" s="76">
        <f>VLOOKUP(Tabelle2[[#This Row],[Artikel]],Produkte!A:H,8)</f>
        <v>0.17</v>
      </c>
    </row>
    <row r="1821" spans="1:12" x14ac:dyDescent="0.2">
      <c r="A1821" s="75" t="s">
        <v>674</v>
      </c>
      <c r="B1821" s="79">
        <v>46108</v>
      </c>
      <c r="C1821" s="89">
        <v>277.2</v>
      </c>
      <c r="D1821" s="75"/>
      <c r="E1821" s="75"/>
      <c r="F1821" s="75">
        <v>20508</v>
      </c>
      <c r="G1821" s="76" t="str">
        <f>VLOOKUP(Tabelle2[[#This Row],[Kunden Nr.]],KUNDEN!A:B,2,0)</f>
        <v>LIRIDONA HOME</v>
      </c>
      <c r="H1821" s="75">
        <v>35121</v>
      </c>
      <c r="I1821" s="76" t="str">
        <f>VLOOKUP(Tabelle2[[#This Row],[Artikel]],Produkte!A:B,2,0)</f>
        <v>M-ONE Sanitar Silikon</v>
      </c>
      <c r="J1821" s="75">
        <v>60</v>
      </c>
      <c r="K1821" s="76" t="str">
        <f>VLOOKUP(Tabelle2[[#This Row],[Kunden Nr.]],KUNDEN!A:G,7)</f>
        <v>Mensuri</v>
      </c>
      <c r="L1821" s="76">
        <f>VLOOKUP(Tabelle2[[#This Row],[Artikel]],Produkte!A:H,8)</f>
        <v>0.17</v>
      </c>
    </row>
    <row r="1822" spans="1:12" x14ac:dyDescent="0.2">
      <c r="A1822" s="75" t="s">
        <v>674</v>
      </c>
      <c r="B1822" s="79">
        <v>46108</v>
      </c>
      <c r="C1822" s="75"/>
      <c r="D1822" s="75"/>
      <c r="E1822" s="75"/>
      <c r="F1822" s="75">
        <v>20508</v>
      </c>
      <c r="G1822" s="76" t="str">
        <f>VLOOKUP(Tabelle2[[#This Row],[Kunden Nr.]],KUNDEN!A:B,2,0)</f>
        <v>LIRIDONA HOME</v>
      </c>
      <c r="H1822" s="75">
        <v>35110</v>
      </c>
      <c r="I1822" s="76" t="str">
        <f>VLOOKUP(Tabelle2[[#This Row],[Artikel]],Produkte!A:B,2,0)</f>
        <v>M-ONE Sanitar Silikon</v>
      </c>
      <c r="J1822" s="75">
        <v>12</v>
      </c>
      <c r="K1822" s="76" t="str">
        <f>VLOOKUP(Tabelle2[[#This Row],[Kunden Nr.]],KUNDEN!A:G,7)</f>
        <v>Mensuri</v>
      </c>
      <c r="L1822" s="76">
        <f>VLOOKUP(Tabelle2[[#This Row],[Artikel]],Produkte!A:H,8)</f>
        <v>0.17</v>
      </c>
    </row>
    <row r="1823" spans="1:12" x14ac:dyDescent="0.2">
      <c r="A1823" s="75" t="s">
        <v>463</v>
      </c>
      <c r="B1823" s="79">
        <v>46108</v>
      </c>
      <c r="C1823" s="89">
        <v>138.6</v>
      </c>
      <c r="D1823" s="75"/>
      <c r="E1823" s="75"/>
      <c r="F1823" s="75">
        <v>20515</v>
      </c>
      <c r="G1823" s="76" t="str">
        <f>VLOOKUP(Tabelle2[[#This Row],[Kunden Nr.]],KUNDEN!A:B,2,0)</f>
        <v>LIRIDONA-A</v>
      </c>
      <c r="H1823" s="75">
        <v>35121</v>
      </c>
      <c r="I1823" s="76" t="str">
        <f>VLOOKUP(Tabelle2[[#This Row],[Artikel]],Produkte!A:B,2,0)</f>
        <v>M-ONE Sanitar Silikon</v>
      </c>
      <c r="J1823" s="75">
        <v>36</v>
      </c>
      <c r="K1823" s="76" t="str">
        <f>VLOOKUP(Tabelle2[[#This Row],[Kunden Nr.]],KUNDEN!A:G,7)</f>
        <v>Mensuri</v>
      </c>
      <c r="L1823" s="76">
        <f>VLOOKUP(Tabelle2[[#This Row],[Artikel]],Produkte!A:H,8)</f>
        <v>0.17</v>
      </c>
    </row>
    <row r="1824" spans="1:12" x14ac:dyDescent="0.2">
      <c r="A1824" s="75" t="s">
        <v>675</v>
      </c>
      <c r="B1824" s="79">
        <v>46108</v>
      </c>
      <c r="C1824" s="89">
        <v>73.8</v>
      </c>
      <c r="D1824" s="75"/>
      <c r="E1824" s="75"/>
      <c r="F1824" s="75">
        <v>20510</v>
      </c>
      <c r="G1824" s="76" t="str">
        <f>VLOOKUP(Tabelle2[[#This Row],[Kunden Nr.]],KUNDEN!A:B,2,0)</f>
        <v>BYTYQI-V</v>
      </c>
      <c r="H1824" s="75">
        <v>35110</v>
      </c>
      <c r="I1824" s="76" t="str">
        <f>VLOOKUP(Tabelle2[[#This Row],[Artikel]],Produkte!A:B,2,0)</f>
        <v>M-ONE Sanitar Silikon</v>
      </c>
      <c r="J1824" s="75">
        <v>12</v>
      </c>
      <c r="K1824" s="76" t="str">
        <f>VLOOKUP(Tabelle2[[#This Row],[Kunden Nr.]],KUNDEN!A:G,7)</f>
        <v>Mensuri</v>
      </c>
      <c r="L1824" s="76">
        <f>VLOOKUP(Tabelle2[[#This Row],[Artikel]],Produkte!A:H,8)</f>
        <v>0.17</v>
      </c>
    </row>
    <row r="1825" spans="1:12" x14ac:dyDescent="0.2">
      <c r="A1825" s="75" t="s">
        <v>675</v>
      </c>
      <c r="B1825" s="79">
        <v>46108</v>
      </c>
      <c r="C1825" s="75"/>
      <c r="D1825" s="75"/>
      <c r="E1825" s="75"/>
      <c r="F1825" s="75">
        <v>20510</v>
      </c>
      <c r="G1825" s="76" t="str">
        <f>VLOOKUP(Tabelle2[[#This Row],[Kunden Nr.]],KUNDEN!A:B,2,0)</f>
        <v>BYTYQI-V</v>
      </c>
      <c r="H1825" s="75">
        <v>51612</v>
      </c>
      <c r="I1825" s="76" t="str">
        <f>VLOOKUP(Tabelle2[[#This Row],[Artikel]],Produkte!A:B,2,0)</f>
        <v>struktural akryl</v>
      </c>
      <c r="J1825" s="75">
        <v>12</v>
      </c>
      <c r="K1825" s="76" t="str">
        <f>VLOOKUP(Tabelle2[[#This Row],[Kunden Nr.]],KUNDEN!A:G,7)</f>
        <v>Mensuri</v>
      </c>
      <c r="L1825" s="76">
        <f>VLOOKUP(Tabelle2[[#This Row],[Artikel]],Produkte!A:H,8)</f>
        <v>0.06</v>
      </c>
    </row>
    <row r="1826" spans="1:12" x14ac:dyDescent="0.2">
      <c r="A1826" s="75" t="s">
        <v>802</v>
      </c>
      <c r="B1826" s="79">
        <v>46108</v>
      </c>
      <c r="C1826" s="89">
        <v>46.2</v>
      </c>
      <c r="D1826" s="75"/>
      <c r="E1826" s="75"/>
      <c r="F1826" s="75">
        <v>20520</v>
      </c>
      <c r="G1826" s="76" t="str">
        <f>VLOOKUP(Tabelle2[[#This Row],[Kunden Nr.]],KUNDEN!A:B,2,0)</f>
        <v>TE BRAHA</v>
      </c>
      <c r="H1826" s="75">
        <v>35121</v>
      </c>
      <c r="I1826" s="76" t="str">
        <f>VLOOKUP(Tabelle2[[#This Row],[Artikel]],Produkte!A:B,2,0)</f>
        <v>M-ONE Sanitar Silikon</v>
      </c>
      <c r="J1826" s="75">
        <v>12</v>
      </c>
      <c r="K1826" s="76" t="str">
        <f>VLOOKUP(Tabelle2[[#This Row],[Kunden Nr.]],KUNDEN!A:G,7)</f>
        <v>Mensuri</v>
      </c>
      <c r="L1826" s="76">
        <f>VLOOKUP(Tabelle2[[#This Row],[Artikel]],Produkte!A:H,8)</f>
        <v>0.17</v>
      </c>
    </row>
    <row r="1827" spans="1:12" x14ac:dyDescent="0.2">
      <c r="A1827" s="75" t="s">
        <v>51</v>
      </c>
      <c r="B1827" s="79">
        <v>46108</v>
      </c>
      <c r="C1827" s="89">
        <v>47.5</v>
      </c>
      <c r="D1827" s="75"/>
      <c r="E1827" s="75"/>
      <c r="F1827" s="75">
        <v>20408</v>
      </c>
      <c r="G1827" s="76" t="str">
        <f>VLOOKUP(Tabelle2[[#This Row],[Kunden Nr.]],KUNDEN!A:B,2,0)</f>
        <v>A.P. HOTI</v>
      </c>
      <c r="H1827" s="75">
        <v>16936</v>
      </c>
      <c r="I1827" s="76" t="str">
        <f>VLOOKUP(Tabelle2[[#This Row],[Artikel]],Produkte!A:B,2,0)</f>
        <v>M ONE FELGENSILBER</v>
      </c>
      <c r="J1827" s="75">
        <v>5</v>
      </c>
      <c r="K1827" s="76" t="str">
        <f>VLOOKUP(Tabelle2[[#This Row],[Kunden Nr.]],KUNDEN!A:G,7)</f>
        <v>Mensuri</v>
      </c>
      <c r="L1827" s="76">
        <f>VLOOKUP(Tabelle2[[#This Row],[Artikel]],Produkte!A:H,8)</f>
        <v>0.15</v>
      </c>
    </row>
    <row r="1828" spans="1:12" x14ac:dyDescent="0.2">
      <c r="A1828" s="75" t="s">
        <v>51</v>
      </c>
      <c r="B1828" s="79">
        <v>46108</v>
      </c>
      <c r="C1828" s="75"/>
      <c r="D1828" s="75"/>
      <c r="E1828" s="75"/>
      <c r="F1828" s="75">
        <v>20408</v>
      </c>
      <c r="G1828" s="76" t="str">
        <f>VLOOKUP(Tabelle2[[#This Row],[Kunden Nr.]],KUNDEN!A:B,2,0)</f>
        <v>A.P. HOTI</v>
      </c>
      <c r="H1828" s="75">
        <v>31812</v>
      </c>
      <c r="I1828" s="76" t="str">
        <f>VLOOKUP(Tabelle2[[#This Row],[Artikel]],Produkte!A:B,2,0)</f>
        <v>M ONE LACK GELB</v>
      </c>
      <c r="J1828" s="75">
        <v>3</v>
      </c>
      <c r="K1828" s="76" t="str">
        <f>VLOOKUP(Tabelle2[[#This Row],[Kunden Nr.]],KUNDEN!A:G,7)</f>
        <v>Mensuri</v>
      </c>
      <c r="L1828" s="76">
        <f>VLOOKUP(Tabelle2[[#This Row],[Artikel]],Produkte!A:H,8)</f>
        <v>0.15</v>
      </c>
    </row>
    <row r="1829" spans="1:12" x14ac:dyDescent="0.2">
      <c r="A1829" s="75" t="s">
        <v>51</v>
      </c>
      <c r="B1829" s="79">
        <v>46108</v>
      </c>
      <c r="C1829" s="75"/>
      <c r="D1829" s="75"/>
      <c r="E1829" s="75"/>
      <c r="F1829" s="75">
        <v>20408</v>
      </c>
      <c r="G1829" s="76" t="str">
        <f>VLOOKUP(Tabelle2[[#This Row],[Kunden Nr.]],KUNDEN!A:B,2,0)</f>
        <v>A.P. HOTI</v>
      </c>
      <c r="H1829" s="75">
        <v>51936</v>
      </c>
      <c r="I1829" s="76" t="str">
        <f>VLOOKUP(Tabelle2[[#This Row],[Artikel]],Produkte!A:B,2,0)</f>
        <v>M ONE SCHWARZ GLÄNZED</v>
      </c>
      <c r="J1829" s="75">
        <v>3</v>
      </c>
      <c r="K1829" s="76" t="str">
        <f>VLOOKUP(Tabelle2[[#This Row],[Kunden Nr.]],KUNDEN!A:G,7)</f>
        <v>Mensuri</v>
      </c>
      <c r="L1829" s="76">
        <f>VLOOKUP(Tabelle2[[#This Row],[Artikel]],Produkte!A:H,8)</f>
        <v>0.15</v>
      </c>
    </row>
    <row r="1830" spans="1:12" x14ac:dyDescent="0.2">
      <c r="A1830" s="75" t="s">
        <v>51</v>
      </c>
      <c r="B1830" s="79">
        <v>46108</v>
      </c>
      <c r="C1830" s="75"/>
      <c r="D1830" s="75"/>
      <c r="E1830" s="75"/>
      <c r="F1830" s="75">
        <v>20408</v>
      </c>
      <c r="G1830" s="76" t="str">
        <f>VLOOKUP(Tabelle2[[#This Row],[Kunden Nr.]],KUNDEN!A:B,2,0)</f>
        <v>A.P. HOTI</v>
      </c>
      <c r="H1830" s="75">
        <v>31819</v>
      </c>
      <c r="I1830" s="76" t="str">
        <f>VLOOKUP(Tabelle2[[#This Row],[Artikel]],Produkte!A:B,2,0)</f>
        <v>M ONE FUERROT</v>
      </c>
      <c r="J1830" s="75">
        <v>2</v>
      </c>
      <c r="K1830" s="76" t="str">
        <f>VLOOKUP(Tabelle2[[#This Row],[Kunden Nr.]],KUNDEN!A:G,7)</f>
        <v>Mensuri</v>
      </c>
      <c r="L1830" s="76">
        <f>VLOOKUP(Tabelle2[[#This Row],[Artikel]],Produkte!A:H,8)</f>
        <v>0.15</v>
      </c>
    </row>
    <row r="1831" spans="1:12" x14ac:dyDescent="0.2">
      <c r="A1831" s="75" t="s">
        <v>51</v>
      </c>
      <c r="B1831" s="79">
        <v>46108</v>
      </c>
      <c r="C1831" s="75"/>
      <c r="D1831" s="75"/>
      <c r="E1831" s="75"/>
      <c r="F1831" s="75">
        <v>20408</v>
      </c>
      <c r="G1831" s="76" t="str">
        <f>VLOOKUP(Tabelle2[[#This Row],[Kunden Nr.]],KUNDEN!A:B,2,0)</f>
        <v>A.P. HOTI</v>
      </c>
      <c r="H1831" s="75">
        <v>69236</v>
      </c>
      <c r="I1831" s="76" t="str">
        <f>VLOOKUP(Tabelle2[[#This Row],[Artikel]],Produkte!A:B,2,0)</f>
        <v>M ONE WEISS GLÄNZEND</v>
      </c>
      <c r="J1831" s="75">
        <v>5</v>
      </c>
      <c r="K1831" s="76" t="str">
        <f>VLOOKUP(Tabelle2[[#This Row],[Kunden Nr.]],KUNDEN!A:G,7)</f>
        <v>Mensuri</v>
      </c>
      <c r="L1831" s="76">
        <f>VLOOKUP(Tabelle2[[#This Row],[Artikel]],Produkte!A:H,8)</f>
        <v>0.15</v>
      </c>
    </row>
    <row r="1832" spans="1:12" x14ac:dyDescent="0.2">
      <c r="A1832" s="75" t="s">
        <v>51</v>
      </c>
      <c r="B1832" s="79">
        <v>46108</v>
      </c>
      <c r="C1832" s="75"/>
      <c r="D1832" s="75"/>
      <c r="E1832" s="75"/>
      <c r="F1832" s="75">
        <v>20408</v>
      </c>
      <c r="G1832" s="76" t="str">
        <f>VLOOKUP(Tabelle2[[#This Row],[Kunden Nr.]],KUNDEN!A:B,2,0)</f>
        <v>A.P. HOTI</v>
      </c>
      <c r="H1832" s="75">
        <v>31827</v>
      </c>
      <c r="I1832" s="76" t="str">
        <f>VLOOKUP(Tabelle2[[#This Row],[Artikel]],Produkte!A:B,2,0)</f>
        <v>M ONE LACK GRUN</v>
      </c>
      <c r="J1832" s="75">
        <v>3</v>
      </c>
      <c r="K1832" s="76" t="str">
        <f>VLOOKUP(Tabelle2[[#This Row],[Kunden Nr.]],KUNDEN!A:G,7)</f>
        <v>Mensuri</v>
      </c>
      <c r="L1832" s="76">
        <f>VLOOKUP(Tabelle2[[#This Row],[Artikel]],Produkte!A:H,8)</f>
        <v>0.15</v>
      </c>
    </row>
    <row r="1833" spans="1:12" x14ac:dyDescent="0.2">
      <c r="A1833" s="75" t="s">
        <v>53</v>
      </c>
      <c r="B1833" s="79">
        <v>46108</v>
      </c>
      <c r="C1833" s="89">
        <v>138.6</v>
      </c>
      <c r="D1833" s="75"/>
      <c r="E1833" s="75"/>
      <c r="F1833" s="75">
        <v>20407</v>
      </c>
      <c r="G1833" s="76" t="str">
        <f>VLOOKUP(Tabelle2[[#This Row],[Kunden Nr.]],KUNDEN!A:B,2,0)</f>
        <v>TE BENI</v>
      </c>
      <c r="H1833" s="75">
        <v>35110</v>
      </c>
      <c r="I1833" s="76" t="str">
        <f>VLOOKUP(Tabelle2[[#This Row],[Artikel]],Produkte!A:B,2,0)</f>
        <v>M-ONE Sanitar Silikon</v>
      </c>
      <c r="J1833" s="75">
        <v>12</v>
      </c>
      <c r="K1833" s="76" t="str">
        <f>VLOOKUP(Tabelle2[[#This Row],[Kunden Nr.]],KUNDEN!A:G,7)</f>
        <v>Mensuri</v>
      </c>
      <c r="L1833" s="76">
        <f>VLOOKUP(Tabelle2[[#This Row],[Artikel]],Produkte!A:H,8)</f>
        <v>0.17</v>
      </c>
    </row>
    <row r="1834" spans="1:12" x14ac:dyDescent="0.2">
      <c r="A1834" s="75" t="s">
        <v>53</v>
      </c>
      <c r="B1834" s="79">
        <v>46108</v>
      </c>
      <c r="C1834" s="75"/>
      <c r="D1834" s="75"/>
      <c r="E1834" s="75"/>
      <c r="F1834" s="75">
        <v>20407</v>
      </c>
      <c r="G1834" s="76" t="str">
        <f>VLOOKUP(Tabelle2[[#This Row],[Kunden Nr.]],KUNDEN!A:B,2,0)</f>
        <v>TE BENI</v>
      </c>
      <c r="H1834" s="75">
        <v>35115</v>
      </c>
      <c r="I1834" s="76" t="str">
        <f>VLOOKUP(Tabelle2[[#This Row],[Artikel]],Produkte!A:B,2,0)</f>
        <v>M-ONE Sanitar Silikon</v>
      </c>
      <c r="J1834" s="75">
        <v>24</v>
      </c>
      <c r="K1834" s="76" t="str">
        <f>VLOOKUP(Tabelle2[[#This Row],[Kunden Nr.]],KUNDEN!A:G,7)</f>
        <v>Mensuri</v>
      </c>
      <c r="L1834" s="76">
        <f>VLOOKUP(Tabelle2[[#This Row],[Artikel]],Produkte!A:H,8)</f>
        <v>0.17</v>
      </c>
    </row>
    <row r="1835" spans="1:12" x14ac:dyDescent="0.2">
      <c r="A1835" s="75" t="s">
        <v>52</v>
      </c>
      <c r="B1835" s="79">
        <v>46108</v>
      </c>
      <c r="C1835" s="89">
        <v>86</v>
      </c>
      <c r="D1835" s="75"/>
      <c r="E1835" s="75"/>
      <c r="F1835" s="75">
        <v>20409</v>
      </c>
      <c r="G1835" s="76" t="str">
        <f>VLOOKUP(Tabelle2[[#This Row],[Kunden Nr.]],KUNDEN!A:B,2,0)</f>
        <v>BENI</v>
      </c>
      <c r="H1835" s="75">
        <v>49644</v>
      </c>
      <c r="I1835" s="76" t="str">
        <f>VLOOKUP(Tabelle2[[#This Row],[Artikel]],Produkte!A:B,2,0)</f>
        <v>beMAKER Rostlöser</v>
      </c>
      <c r="J1835" s="75">
        <v>12</v>
      </c>
      <c r="K1835" s="76" t="str">
        <f>VLOOKUP(Tabelle2[[#This Row],[Kunden Nr.]],KUNDEN!A:G,7)</f>
        <v>Mensuri</v>
      </c>
      <c r="L1835" s="76">
        <f>VLOOKUP(Tabelle2[[#This Row],[Artikel]],Produkte!A:H,8)</f>
        <v>0.2</v>
      </c>
    </row>
    <row r="1836" spans="1:12" x14ac:dyDescent="0.2">
      <c r="A1836" s="75" t="s">
        <v>52</v>
      </c>
      <c r="B1836" s="79">
        <v>46108</v>
      </c>
      <c r="C1836" s="75"/>
      <c r="D1836" s="75"/>
      <c r="E1836" s="75"/>
      <c r="F1836" s="75">
        <v>20409</v>
      </c>
      <c r="G1836" s="76" t="str">
        <f>VLOOKUP(Tabelle2[[#This Row],[Kunden Nr.]],KUNDEN!A:B,2,0)</f>
        <v>BENI</v>
      </c>
      <c r="H1836" s="75">
        <v>51936</v>
      </c>
      <c r="I1836" s="76" t="str">
        <f>VLOOKUP(Tabelle2[[#This Row],[Artikel]],Produkte!A:B,2,0)</f>
        <v>M ONE SCHWARZ GLÄNZED</v>
      </c>
      <c r="J1836" s="75">
        <v>5</v>
      </c>
      <c r="K1836" s="76" t="str">
        <f>VLOOKUP(Tabelle2[[#This Row],[Kunden Nr.]],KUNDEN!A:G,7)</f>
        <v>Mensuri</v>
      </c>
      <c r="L1836" s="76">
        <f>VLOOKUP(Tabelle2[[#This Row],[Artikel]],Produkte!A:H,8)</f>
        <v>0.15</v>
      </c>
    </row>
    <row r="1837" spans="1:12" x14ac:dyDescent="0.2">
      <c r="A1837" s="75" t="s">
        <v>52</v>
      </c>
      <c r="B1837" s="79">
        <v>46108</v>
      </c>
      <c r="C1837" s="75"/>
      <c r="D1837" s="75"/>
      <c r="E1837" s="75"/>
      <c r="F1837" s="75">
        <v>20409</v>
      </c>
      <c r="G1837" s="76" t="str">
        <f>VLOOKUP(Tabelle2[[#This Row],[Kunden Nr.]],KUNDEN!A:B,2,0)</f>
        <v>BENI</v>
      </c>
      <c r="H1837" s="75">
        <v>69236</v>
      </c>
      <c r="I1837" s="76" t="str">
        <f>VLOOKUP(Tabelle2[[#This Row],[Artikel]],Produkte!A:B,2,0)</f>
        <v>M ONE WEISS GLÄNZEND</v>
      </c>
      <c r="J1837" s="75">
        <v>5</v>
      </c>
      <c r="K1837" s="76" t="str">
        <f>VLOOKUP(Tabelle2[[#This Row],[Kunden Nr.]],KUNDEN!A:G,7)</f>
        <v>Mensuri</v>
      </c>
      <c r="L1837" s="76">
        <f>VLOOKUP(Tabelle2[[#This Row],[Artikel]],Produkte!A:H,8)</f>
        <v>0.15</v>
      </c>
    </row>
    <row r="1838" spans="1:12" x14ac:dyDescent="0.2">
      <c r="A1838" s="75" t="s">
        <v>52</v>
      </c>
      <c r="B1838" s="79">
        <v>46108</v>
      </c>
      <c r="C1838" s="75"/>
      <c r="D1838" s="75"/>
      <c r="E1838" s="75"/>
      <c r="F1838" s="75">
        <v>20409</v>
      </c>
      <c r="G1838" s="76" t="str">
        <f>VLOOKUP(Tabelle2[[#This Row],[Kunden Nr.]],KUNDEN!A:B,2,0)</f>
        <v>BENI</v>
      </c>
      <c r="H1838" s="75">
        <v>51736</v>
      </c>
      <c r="I1838" s="76" t="str">
        <f>VLOOKUP(Tabelle2[[#This Row],[Artikel]],Produkte!A:B,2,0)</f>
        <v>M ONE SCHWARZ MATT</v>
      </c>
      <c r="J1838" s="75">
        <v>5</v>
      </c>
      <c r="K1838" s="76" t="str">
        <f>VLOOKUP(Tabelle2[[#This Row],[Kunden Nr.]],KUNDEN!A:G,7)</f>
        <v>Mensuri</v>
      </c>
      <c r="L1838" s="76">
        <f>VLOOKUP(Tabelle2[[#This Row],[Artikel]],Produkte!A:H,8)</f>
        <v>0.15</v>
      </c>
    </row>
    <row r="1839" spans="1:12" x14ac:dyDescent="0.2">
      <c r="A1839" s="75" t="s">
        <v>52</v>
      </c>
      <c r="B1839" s="79">
        <v>46108</v>
      </c>
      <c r="C1839" s="75"/>
      <c r="D1839" s="75"/>
      <c r="E1839" s="75"/>
      <c r="F1839" s="75">
        <v>20409</v>
      </c>
      <c r="G1839" s="76" t="str">
        <f>VLOOKUP(Tabelle2[[#This Row],[Kunden Nr.]],KUNDEN!A:B,2,0)</f>
        <v>BENI</v>
      </c>
      <c r="H1839" s="75">
        <v>31819</v>
      </c>
      <c r="I1839" s="76" t="str">
        <f>VLOOKUP(Tabelle2[[#This Row],[Artikel]],Produkte!A:B,2,0)</f>
        <v>M ONE FUERROT</v>
      </c>
      <c r="J1839" s="75">
        <v>5</v>
      </c>
      <c r="K1839" s="76" t="str">
        <f>VLOOKUP(Tabelle2[[#This Row],[Kunden Nr.]],KUNDEN!A:G,7)</f>
        <v>Mensuri</v>
      </c>
      <c r="L1839" s="76">
        <f>VLOOKUP(Tabelle2[[#This Row],[Artikel]],Produkte!A:H,8)</f>
        <v>0.15</v>
      </c>
    </row>
    <row r="1840" spans="1:12" x14ac:dyDescent="0.2">
      <c r="A1840" s="75" t="s">
        <v>52</v>
      </c>
      <c r="B1840" s="79">
        <v>46108</v>
      </c>
      <c r="C1840" s="75"/>
      <c r="D1840" s="75"/>
      <c r="E1840" s="75"/>
      <c r="F1840" s="75">
        <v>20409</v>
      </c>
      <c r="G1840" s="76" t="str">
        <f>VLOOKUP(Tabelle2[[#This Row],[Kunden Nr.]],KUNDEN!A:B,2,0)</f>
        <v>BENI</v>
      </c>
      <c r="H1840" s="75">
        <v>56117</v>
      </c>
      <c r="I1840" s="76" t="str">
        <f>VLOOKUP(Tabelle2[[#This Row],[Artikel]],Produkte!A:B,2,0)</f>
        <v>M ONE UBS</v>
      </c>
      <c r="J1840" s="75">
        <v>3</v>
      </c>
      <c r="K1840" s="76" t="str">
        <f>VLOOKUP(Tabelle2[[#This Row],[Kunden Nr.]],KUNDEN!A:G,7)</f>
        <v>Mensuri</v>
      </c>
      <c r="L1840" s="76">
        <f>VLOOKUP(Tabelle2[[#This Row],[Artikel]],Produkte!A:H,8)</f>
        <v>0.2</v>
      </c>
    </row>
    <row r="1841" spans="1:12" x14ac:dyDescent="0.2">
      <c r="A1841" s="75" t="s">
        <v>59</v>
      </c>
      <c r="B1841" s="79">
        <v>46108</v>
      </c>
      <c r="C1841" s="89">
        <v>159.5</v>
      </c>
      <c r="D1841" s="75"/>
      <c r="E1841" s="75"/>
      <c r="F1841" s="75">
        <v>20406</v>
      </c>
      <c r="G1841" s="76" t="str">
        <f>VLOOKUP(Tabelle2[[#This Row],[Kunden Nr.]],KUNDEN!A:B,2,0)</f>
        <v>MEGI</v>
      </c>
      <c r="H1841" s="75">
        <v>50912</v>
      </c>
      <c r="I1841" s="76" t="str">
        <f>VLOOKUP(Tabelle2[[#This Row],[Artikel]],Produkte!A:B,2,0)</f>
        <v>DICHTUNG</v>
      </c>
      <c r="J1841" s="75">
        <v>20</v>
      </c>
      <c r="K1841" s="76" t="str">
        <f>VLOOKUP(Tabelle2[[#This Row],[Kunden Nr.]],KUNDEN!A:G,7)</f>
        <v>Mensuri</v>
      </c>
      <c r="L1841" s="76">
        <f>VLOOKUP(Tabelle2[[#This Row],[Artikel]],Produkte!A:H,8)</f>
        <v>0.2</v>
      </c>
    </row>
    <row r="1842" spans="1:12" x14ac:dyDescent="0.2">
      <c r="A1842" s="75" t="s">
        <v>59</v>
      </c>
      <c r="B1842" s="79">
        <v>46108</v>
      </c>
      <c r="C1842" s="75"/>
      <c r="D1842" s="75"/>
      <c r="E1842" s="75"/>
      <c r="F1842" s="75">
        <v>20406</v>
      </c>
      <c r="G1842" s="76" t="str">
        <f>VLOOKUP(Tabelle2[[#This Row],[Kunden Nr.]],KUNDEN!A:B,2,0)</f>
        <v>MEGI</v>
      </c>
      <c r="H1842" s="75">
        <v>49644</v>
      </c>
      <c r="I1842" s="76" t="str">
        <f>VLOOKUP(Tabelle2[[#This Row],[Artikel]],Produkte!A:B,2,0)</f>
        <v>beMAKER Rostlöser</v>
      </c>
      <c r="J1842" s="75">
        <v>6</v>
      </c>
      <c r="K1842" s="76" t="str">
        <f>VLOOKUP(Tabelle2[[#This Row],[Kunden Nr.]],KUNDEN!A:G,7)</f>
        <v>Mensuri</v>
      </c>
      <c r="L1842" s="76">
        <f>VLOOKUP(Tabelle2[[#This Row],[Artikel]],Produkte!A:H,8)</f>
        <v>0.2</v>
      </c>
    </row>
    <row r="1843" spans="1:12" x14ac:dyDescent="0.2">
      <c r="A1843" s="75" t="s">
        <v>59</v>
      </c>
      <c r="B1843" s="79">
        <v>46108</v>
      </c>
      <c r="C1843" s="75"/>
      <c r="D1843" s="75"/>
      <c r="E1843" s="75"/>
      <c r="F1843" s="75">
        <v>20406</v>
      </c>
      <c r="G1843" s="76" t="str">
        <f>VLOOKUP(Tabelle2[[#This Row],[Kunden Nr.]],KUNDEN!A:B,2,0)</f>
        <v>MEGI</v>
      </c>
      <c r="H1843" s="75">
        <v>44001</v>
      </c>
      <c r="I1843" s="76" t="str">
        <f>VLOOKUP(Tabelle2[[#This Row],[Artikel]],Produkte!A:B,2,0)</f>
        <v>Fettspray</v>
      </c>
      <c r="J1843" s="75">
        <v>1</v>
      </c>
      <c r="K1843" s="76" t="str">
        <f>VLOOKUP(Tabelle2[[#This Row],[Kunden Nr.]],KUNDEN!A:G,7)</f>
        <v>Mensuri</v>
      </c>
      <c r="L1843" s="76">
        <f>VLOOKUP(Tabelle2[[#This Row],[Artikel]],Produkte!A:H,8)</f>
        <v>0.2</v>
      </c>
    </row>
    <row r="1844" spans="1:12" x14ac:dyDescent="0.2">
      <c r="A1844" s="75" t="s">
        <v>48</v>
      </c>
      <c r="B1844" s="79">
        <v>46108</v>
      </c>
      <c r="C1844" s="89">
        <v>92.4</v>
      </c>
      <c r="D1844" s="75"/>
      <c r="E1844" s="75"/>
      <c r="F1844" s="75">
        <v>20404</v>
      </c>
      <c r="G1844" s="76" t="str">
        <f>VLOOKUP(Tabelle2[[#This Row],[Kunden Nr.]],KUNDEN!A:B,2,0)</f>
        <v>TE MENTORI</v>
      </c>
      <c r="H1844" s="75">
        <v>35125</v>
      </c>
      <c r="I1844" s="76" t="str">
        <f>VLOOKUP(Tabelle2[[#This Row],[Artikel]],Produkte!A:B,2,0)</f>
        <v>M-ONE Sanitar Silikon</v>
      </c>
      <c r="J1844" s="75">
        <v>12</v>
      </c>
      <c r="K1844" s="76" t="str">
        <f>VLOOKUP(Tabelle2[[#This Row],[Kunden Nr.]],KUNDEN!A:G,7)</f>
        <v>Mensuri</v>
      </c>
      <c r="L1844" s="76">
        <f>VLOOKUP(Tabelle2[[#This Row],[Artikel]],Produkte!A:H,8)</f>
        <v>0.17</v>
      </c>
    </row>
    <row r="1845" spans="1:12" x14ac:dyDescent="0.2">
      <c r="A1845" s="75" t="s">
        <v>48</v>
      </c>
      <c r="B1845" s="79">
        <v>46108</v>
      </c>
      <c r="C1845" s="75"/>
      <c r="D1845" s="75"/>
      <c r="E1845" s="75"/>
      <c r="F1845" s="75">
        <v>20404</v>
      </c>
      <c r="G1845" s="76" t="str">
        <f>VLOOKUP(Tabelle2[[#This Row],[Kunden Nr.]],KUNDEN!A:B,2,0)</f>
        <v>TE MENTORI</v>
      </c>
      <c r="H1845" s="75">
        <v>35128</v>
      </c>
      <c r="I1845" s="76" t="str">
        <f>VLOOKUP(Tabelle2[[#This Row],[Artikel]],Produkte!A:B,2,0)</f>
        <v>M-ONE Sanitar Silikon</v>
      </c>
      <c r="J1845" s="75">
        <v>12</v>
      </c>
      <c r="K1845" s="76" t="str">
        <f>VLOOKUP(Tabelle2[[#This Row],[Kunden Nr.]],KUNDEN!A:G,7)</f>
        <v>Mensuri</v>
      </c>
      <c r="L1845" s="76">
        <f>VLOOKUP(Tabelle2[[#This Row],[Artikel]],Produkte!A:H,8)</f>
        <v>0.17</v>
      </c>
    </row>
    <row r="1846" spans="1:12" x14ac:dyDescent="0.2">
      <c r="A1846" s="75" t="s">
        <v>608</v>
      </c>
      <c r="B1846" s="79">
        <v>46109</v>
      </c>
      <c r="C1846" s="89">
        <v>92.4</v>
      </c>
      <c r="D1846" s="75"/>
      <c r="E1846" s="75"/>
      <c r="F1846" s="75">
        <v>10616</v>
      </c>
      <c r="G1846" s="76" t="str">
        <f>VLOOKUP(Tabelle2[[#This Row],[Kunden Nr.]],KUNDEN!A:B,2,0)</f>
        <v>TE ZENA</v>
      </c>
      <c r="H1846" s="75">
        <v>35121</v>
      </c>
      <c r="I1846" s="76" t="str">
        <f>VLOOKUP(Tabelle2[[#This Row],[Artikel]],Produkte!A:B,2,0)</f>
        <v>M-ONE Sanitar Silikon</v>
      </c>
      <c r="J1846" s="75">
        <v>24</v>
      </c>
      <c r="K1846" s="76" t="str">
        <f>VLOOKUP(Tabelle2[[#This Row],[Kunden Nr.]],KUNDEN!A:G,7)</f>
        <v>Qerimi</v>
      </c>
      <c r="L1846" s="76">
        <f>VLOOKUP(Tabelle2[[#This Row],[Artikel]],Produkte!A:H,8)</f>
        <v>0.17</v>
      </c>
    </row>
    <row r="1847" spans="1:12" x14ac:dyDescent="0.2">
      <c r="A1847" s="75" t="s">
        <v>611</v>
      </c>
      <c r="B1847" s="79">
        <v>46109</v>
      </c>
      <c r="C1847" s="89">
        <v>25</v>
      </c>
      <c r="D1847" s="75"/>
      <c r="E1847" s="75"/>
      <c r="F1847" s="75">
        <v>10619</v>
      </c>
      <c r="G1847" s="76" t="str">
        <f>VLOOKUP(Tabelle2[[#This Row],[Kunden Nr.]],KUNDEN!A:B,2,0)</f>
        <v>BECOLOR</v>
      </c>
      <c r="H1847" s="75">
        <v>31818</v>
      </c>
      <c r="I1847" s="76" t="str">
        <f>VLOOKUP(Tabelle2[[#This Row],[Artikel]],Produkte!A:B,2,0)</f>
        <v>M ONE ANTHRAZIT</v>
      </c>
      <c r="J1847" s="75">
        <v>5</v>
      </c>
      <c r="K1847" s="76" t="str">
        <f>VLOOKUP(Tabelle2[[#This Row],[Kunden Nr.]],KUNDEN!A:G,7)</f>
        <v>Qerimi</v>
      </c>
      <c r="L1847" s="76">
        <f>VLOOKUP(Tabelle2[[#This Row],[Artikel]],Produkte!A:H,8)</f>
        <v>0.15</v>
      </c>
    </row>
    <row r="1848" spans="1:12" x14ac:dyDescent="0.2">
      <c r="A1848" s="75" t="s">
        <v>611</v>
      </c>
      <c r="B1848" s="79">
        <v>46109</v>
      </c>
      <c r="C1848" s="75"/>
      <c r="D1848" s="75"/>
      <c r="E1848" s="75"/>
      <c r="F1848" s="75">
        <v>10619</v>
      </c>
      <c r="G1848" s="76" t="str">
        <f>VLOOKUP(Tabelle2[[#This Row],[Kunden Nr.]],KUNDEN!A:B,2,0)</f>
        <v>BECOLOR</v>
      </c>
      <c r="H1848" s="75">
        <v>31819</v>
      </c>
      <c r="I1848" s="76" t="str">
        <f>VLOOKUP(Tabelle2[[#This Row],[Artikel]],Produkte!A:B,2,0)</f>
        <v>M ONE FUERROT</v>
      </c>
      <c r="J1848" s="75">
        <v>5</v>
      </c>
      <c r="K1848" s="76" t="str">
        <f>VLOOKUP(Tabelle2[[#This Row],[Kunden Nr.]],KUNDEN!A:G,7)</f>
        <v>Qerimi</v>
      </c>
      <c r="L1848" s="76">
        <f>VLOOKUP(Tabelle2[[#This Row],[Artikel]],Produkte!A:H,8)</f>
        <v>0.15</v>
      </c>
    </row>
    <row r="1849" spans="1:12" x14ac:dyDescent="0.2">
      <c r="A1849" s="75" t="s">
        <v>605</v>
      </c>
      <c r="B1849" s="79">
        <v>46109</v>
      </c>
      <c r="C1849" s="89">
        <v>20</v>
      </c>
      <c r="D1849" s="75"/>
      <c r="E1849" s="75"/>
      <c r="F1849" s="75">
        <v>10613</v>
      </c>
      <c r="G1849" s="76" t="str">
        <f>VLOOKUP(Tabelle2[[#This Row],[Kunden Nr.]],KUNDEN!A:B,2,0)</f>
        <v>TE KELA</v>
      </c>
      <c r="H1849" s="75">
        <v>49644</v>
      </c>
      <c r="I1849" s="76" t="str">
        <f>VLOOKUP(Tabelle2[[#This Row],[Artikel]],Produkte!A:B,2,0)</f>
        <v>beMAKER Rostlöser</v>
      </c>
      <c r="J1849" s="75">
        <v>5</v>
      </c>
      <c r="K1849" s="76" t="str">
        <f>VLOOKUP(Tabelle2[[#This Row],[Kunden Nr.]],KUNDEN!A:G,7)</f>
        <v>Qerimi</v>
      </c>
      <c r="L1849" s="76">
        <f>VLOOKUP(Tabelle2[[#This Row],[Artikel]],Produkte!A:H,8)</f>
        <v>0.2</v>
      </c>
    </row>
    <row r="1850" spans="1:12" x14ac:dyDescent="0.2">
      <c r="A1850" s="75" t="s">
        <v>605</v>
      </c>
      <c r="B1850" s="79">
        <v>46109</v>
      </c>
      <c r="C1850" s="75"/>
      <c r="D1850" s="75"/>
      <c r="E1850" s="75"/>
      <c r="F1850" s="75">
        <v>10613</v>
      </c>
      <c r="G1850" s="76" t="str">
        <f>VLOOKUP(Tabelle2[[#This Row],[Kunden Nr.]],KUNDEN!A:B,2,0)</f>
        <v>TE KELA</v>
      </c>
      <c r="H1850" s="75">
        <v>54412</v>
      </c>
      <c r="I1850" s="76" t="str">
        <f>VLOOKUP(Tabelle2[[#This Row],[Artikel]],Produkte!A:B,2,0)</f>
        <v>beMAKER Bremsen&amp;Teile Reininger</v>
      </c>
      <c r="J1850" s="75">
        <v>5</v>
      </c>
      <c r="K1850" s="76" t="str">
        <f>VLOOKUP(Tabelle2[[#This Row],[Kunden Nr.]],KUNDEN!A:G,7)</f>
        <v>Qerimi</v>
      </c>
      <c r="L1850" s="76">
        <f>VLOOKUP(Tabelle2[[#This Row],[Artikel]],Produkte!A:H,8)</f>
        <v>0.2</v>
      </c>
    </row>
    <row r="1851" spans="1:12" x14ac:dyDescent="0.2">
      <c r="A1851" s="75" t="s">
        <v>837</v>
      </c>
      <c r="B1851" s="79">
        <v>46109</v>
      </c>
      <c r="C1851" s="89">
        <v>36</v>
      </c>
      <c r="D1851" s="75"/>
      <c r="E1851" s="75"/>
      <c r="F1851" s="75">
        <v>10625</v>
      </c>
      <c r="G1851" s="76" t="str">
        <f>VLOOKUP(Tabelle2[[#This Row],[Kunden Nr.]],KUNDEN!A:B,2,0)</f>
        <v>KUJTA</v>
      </c>
      <c r="H1851" s="75">
        <v>50912</v>
      </c>
      <c r="I1851" s="76" t="str">
        <f>VLOOKUP(Tabelle2[[#This Row],[Artikel]],Produkte!A:B,2,0)</f>
        <v>DICHTUNG</v>
      </c>
      <c r="J1851" s="75">
        <v>5</v>
      </c>
      <c r="K1851" s="76" t="str">
        <f>VLOOKUP(Tabelle2[[#This Row],[Kunden Nr.]],KUNDEN!A:G,7)</f>
        <v>Qerimi</v>
      </c>
      <c r="L1851" s="76">
        <f>VLOOKUP(Tabelle2[[#This Row],[Artikel]],Produkte!A:H,8)</f>
        <v>0.2</v>
      </c>
    </row>
    <row r="1852" spans="1:12" x14ac:dyDescent="0.2">
      <c r="A1852" s="75" t="s">
        <v>837</v>
      </c>
      <c r="B1852" s="79">
        <v>46109</v>
      </c>
      <c r="C1852" s="75"/>
      <c r="D1852" s="75"/>
      <c r="E1852" s="75"/>
      <c r="F1852" s="75">
        <v>10625</v>
      </c>
      <c r="G1852" s="76" t="str">
        <f>VLOOKUP(Tabelle2[[#This Row],[Kunden Nr.]],KUNDEN!A:B,2,0)</f>
        <v>KUJTA</v>
      </c>
      <c r="H1852" s="75">
        <v>35121</v>
      </c>
      <c r="I1852" s="76" t="str">
        <f>VLOOKUP(Tabelle2[[#This Row],[Artikel]],Produkte!A:B,2,0)</f>
        <v>M-ONE Sanitar Silikon</v>
      </c>
      <c r="J1852" s="75">
        <v>60</v>
      </c>
      <c r="K1852" s="76" t="str">
        <f>VLOOKUP(Tabelle2[[#This Row],[Kunden Nr.]],KUNDEN!A:G,7)</f>
        <v>Qerimi</v>
      </c>
      <c r="L1852" s="76">
        <f>VLOOKUP(Tabelle2[[#This Row],[Artikel]],Produkte!A:H,8)</f>
        <v>0.17</v>
      </c>
    </row>
    <row r="1853" spans="1:12" x14ac:dyDescent="0.2">
      <c r="A1853" s="75" t="s">
        <v>430</v>
      </c>
      <c r="B1853" s="79">
        <v>46109</v>
      </c>
      <c r="C1853" s="89">
        <v>231</v>
      </c>
      <c r="D1853" s="75"/>
      <c r="E1853" s="75"/>
      <c r="F1853" s="75">
        <v>20602</v>
      </c>
      <c r="G1853" s="76" t="str">
        <f>VLOOKUP(Tabelle2[[#This Row],[Kunden Nr.]],KUNDEN!A:B,2,0)</f>
        <v>AGROLONDI</v>
      </c>
      <c r="H1853" s="75">
        <v>35125</v>
      </c>
      <c r="I1853" s="76" t="str">
        <f>VLOOKUP(Tabelle2[[#This Row],[Artikel]],Produkte!A:B,2,0)</f>
        <v>M-ONE Sanitar Silikon</v>
      </c>
      <c r="J1853" s="75">
        <v>24</v>
      </c>
      <c r="K1853" s="76" t="str">
        <f>VLOOKUP(Tabelle2[[#This Row],[Kunden Nr.]],KUNDEN!A:G,7)</f>
        <v>Mensuri</v>
      </c>
      <c r="L1853" s="76">
        <f>VLOOKUP(Tabelle2[[#This Row],[Artikel]],Produkte!A:H,8)</f>
        <v>0.17</v>
      </c>
    </row>
    <row r="1854" spans="1:12" x14ac:dyDescent="0.2">
      <c r="A1854" s="75" t="s">
        <v>430</v>
      </c>
      <c r="B1854" s="79">
        <v>46109</v>
      </c>
      <c r="C1854" s="75"/>
      <c r="D1854" s="75"/>
      <c r="E1854" s="75"/>
      <c r="F1854" s="75">
        <v>20602</v>
      </c>
      <c r="G1854" s="76" t="str">
        <f>VLOOKUP(Tabelle2[[#This Row],[Kunden Nr.]],KUNDEN!A:B,2,0)</f>
        <v>AGROLONDI</v>
      </c>
      <c r="H1854" s="75">
        <v>35115</v>
      </c>
      <c r="I1854" s="76" t="str">
        <f>VLOOKUP(Tabelle2[[#This Row],[Artikel]],Produkte!A:B,2,0)</f>
        <v>M-ONE Sanitar Silikon</v>
      </c>
      <c r="J1854" s="75">
        <v>24</v>
      </c>
      <c r="K1854" s="76" t="str">
        <f>VLOOKUP(Tabelle2[[#This Row],[Kunden Nr.]],KUNDEN!A:G,7)</f>
        <v>Mensuri</v>
      </c>
      <c r="L1854" s="76">
        <f>VLOOKUP(Tabelle2[[#This Row],[Artikel]],Produkte!A:H,8)</f>
        <v>0.17</v>
      </c>
    </row>
    <row r="1855" spans="1:12" x14ac:dyDescent="0.2">
      <c r="A1855" s="75" t="s">
        <v>430</v>
      </c>
      <c r="B1855" s="79">
        <v>46109</v>
      </c>
      <c r="C1855" s="75"/>
      <c r="D1855" s="75"/>
      <c r="E1855" s="75"/>
      <c r="F1855" s="75">
        <v>20602</v>
      </c>
      <c r="G1855" s="76" t="str">
        <f>VLOOKUP(Tabelle2[[#This Row],[Kunden Nr.]],KUNDEN!A:B,2,0)</f>
        <v>AGROLONDI</v>
      </c>
      <c r="H1855" s="75">
        <v>35110</v>
      </c>
      <c r="I1855" s="76" t="str">
        <f>VLOOKUP(Tabelle2[[#This Row],[Artikel]],Produkte!A:B,2,0)</f>
        <v>M-ONE Sanitar Silikon</v>
      </c>
      <c r="J1855" s="75">
        <v>12</v>
      </c>
      <c r="K1855" s="76" t="str">
        <f>VLOOKUP(Tabelle2[[#This Row],[Kunden Nr.]],KUNDEN!A:G,7)</f>
        <v>Mensuri</v>
      </c>
      <c r="L1855" s="76">
        <f>VLOOKUP(Tabelle2[[#This Row],[Artikel]],Produkte!A:H,8)</f>
        <v>0.17</v>
      </c>
    </row>
    <row r="1856" spans="1:12" x14ac:dyDescent="0.2">
      <c r="A1856" s="75" t="s">
        <v>1305</v>
      </c>
      <c r="B1856" s="79">
        <v>46109</v>
      </c>
      <c r="C1856" s="89">
        <v>92.4</v>
      </c>
      <c r="D1856" s="75"/>
      <c r="E1856" s="75"/>
      <c r="F1856" s="75">
        <v>20622</v>
      </c>
      <c r="G1856" s="76" t="str">
        <f>VLOOKUP(Tabelle2[[#This Row],[Kunden Nr.]],KUNDEN!A:B,2,0)</f>
        <v>ILIRI QERAMIKA</v>
      </c>
      <c r="H1856" s="75">
        <v>35111</v>
      </c>
      <c r="I1856" s="76" t="str">
        <f>VLOOKUP(Tabelle2[[#This Row],[Artikel]],Produkte!A:B,2,0)</f>
        <v>M-ONE Sanitar Silikon</v>
      </c>
      <c r="J1856" s="75">
        <v>12</v>
      </c>
      <c r="K1856" s="76" t="str">
        <f>VLOOKUP(Tabelle2[[#This Row],[Kunden Nr.]],KUNDEN!A:G,7)</f>
        <v>Mensuri</v>
      </c>
      <c r="L1856" s="76">
        <f>VLOOKUP(Tabelle2[[#This Row],[Artikel]],Produkte!A:H,8)</f>
        <v>0.17</v>
      </c>
    </row>
    <row r="1857" spans="1:12" x14ac:dyDescent="0.2">
      <c r="A1857" s="75" t="s">
        <v>1305</v>
      </c>
      <c r="B1857" s="79">
        <v>46109</v>
      </c>
      <c r="C1857" s="75"/>
      <c r="D1857" s="75"/>
      <c r="E1857" s="75"/>
      <c r="F1857" s="75">
        <v>20622</v>
      </c>
      <c r="G1857" s="76" t="str">
        <f>VLOOKUP(Tabelle2[[#This Row],[Kunden Nr.]],KUNDEN!A:B,2,0)</f>
        <v>ILIRI QERAMIKA</v>
      </c>
      <c r="H1857" s="75">
        <v>35121</v>
      </c>
      <c r="I1857" s="76" t="str">
        <f>VLOOKUP(Tabelle2[[#This Row],[Artikel]],Produkte!A:B,2,0)</f>
        <v>M-ONE Sanitar Silikon</v>
      </c>
      <c r="J1857" s="75">
        <v>12</v>
      </c>
      <c r="K1857" s="76" t="str">
        <f>VLOOKUP(Tabelle2[[#This Row],[Kunden Nr.]],KUNDEN!A:G,7)</f>
        <v>Mensuri</v>
      </c>
      <c r="L1857" s="76">
        <f>VLOOKUP(Tabelle2[[#This Row],[Artikel]],Produkte!A:H,8)</f>
        <v>0.17</v>
      </c>
    </row>
    <row r="1858" spans="1:12" x14ac:dyDescent="0.2">
      <c r="A1858" s="75" t="s">
        <v>434</v>
      </c>
      <c r="B1858" s="79">
        <v>46109</v>
      </c>
      <c r="C1858" s="89">
        <v>135.4</v>
      </c>
      <c r="D1858" s="75"/>
      <c r="E1858" s="75"/>
      <c r="F1858" s="75">
        <v>20606</v>
      </c>
      <c r="G1858" s="76" t="str">
        <f>VLOOKUP(Tabelle2[[#This Row],[Kunden Nr.]],KUNDEN!A:B,2,0)</f>
        <v>TE-SYLA</v>
      </c>
      <c r="H1858" s="75">
        <v>35115</v>
      </c>
      <c r="I1858" s="76" t="str">
        <f>VLOOKUP(Tabelle2[[#This Row],[Artikel]],Produkte!A:B,2,0)</f>
        <v>M-ONE Sanitar Silikon</v>
      </c>
      <c r="J1858" s="75">
        <v>12</v>
      </c>
      <c r="K1858" s="76" t="str">
        <f>VLOOKUP(Tabelle2[[#This Row],[Kunden Nr.]],KUNDEN!A:G,7)</f>
        <v>Mensuri</v>
      </c>
      <c r="L1858" s="76">
        <f>VLOOKUP(Tabelle2[[#This Row],[Artikel]],Produkte!A:H,8)</f>
        <v>0.17</v>
      </c>
    </row>
    <row r="1859" spans="1:12" x14ac:dyDescent="0.2">
      <c r="A1859" s="75" t="s">
        <v>434</v>
      </c>
      <c r="B1859" s="79">
        <v>46109</v>
      </c>
      <c r="C1859" s="75"/>
      <c r="D1859" s="75"/>
      <c r="E1859" s="75"/>
      <c r="F1859" s="75">
        <v>20606</v>
      </c>
      <c r="G1859" s="76" t="str">
        <f>VLOOKUP(Tabelle2[[#This Row],[Kunden Nr.]],KUNDEN!A:B,2,0)</f>
        <v>TE-SYLA</v>
      </c>
      <c r="H1859" s="75">
        <v>35121</v>
      </c>
      <c r="I1859" s="76" t="str">
        <f>VLOOKUP(Tabelle2[[#This Row],[Artikel]],Produkte!A:B,2,0)</f>
        <v>M-ONE Sanitar Silikon</v>
      </c>
      <c r="J1859" s="75">
        <v>12</v>
      </c>
      <c r="K1859" s="76" t="str">
        <f>VLOOKUP(Tabelle2[[#This Row],[Kunden Nr.]],KUNDEN!A:G,7)</f>
        <v>Mensuri</v>
      </c>
      <c r="L1859" s="76">
        <f>VLOOKUP(Tabelle2[[#This Row],[Artikel]],Produkte!A:H,8)</f>
        <v>0.17</v>
      </c>
    </row>
    <row r="1860" spans="1:12" x14ac:dyDescent="0.2">
      <c r="A1860" s="75" t="s">
        <v>434</v>
      </c>
      <c r="B1860" s="79">
        <v>46109</v>
      </c>
      <c r="C1860" s="75"/>
      <c r="D1860" s="75"/>
      <c r="E1860" s="75"/>
      <c r="F1860" s="75">
        <v>20606</v>
      </c>
      <c r="G1860" s="76" t="str">
        <f>VLOOKUP(Tabelle2[[#This Row],[Kunden Nr.]],KUNDEN!A:B,2,0)</f>
        <v>TE-SYLA</v>
      </c>
      <c r="H1860" s="75">
        <v>44001</v>
      </c>
      <c r="I1860" s="76" t="str">
        <f>VLOOKUP(Tabelle2[[#This Row],[Artikel]],Produkte!A:B,2,0)</f>
        <v>Fettspray</v>
      </c>
      <c r="J1860" s="75">
        <v>3</v>
      </c>
      <c r="K1860" s="76" t="str">
        <f>VLOOKUP(Tabelle2[[#This Row],[Kunden Nr.]],KUNDEN!A:G,7)</f>
        <v>Mensuri</v>
      </c>
      <c r="L1860" s="76">
        <f>VLOOKUP(Tabelle2[[#This Row],[Artikel]],Produkte!A:H,8)</f>
        <v>0.2</v>
      </c>
    </row>
    <row r="1861" spans="1:12" x14ac:dyDescent="0.2">
      <c r="A1861" s="75" t="s">
        <v>434</v>
      </c>
      <c r="B1861" s="79">
        <v>46109</v>
      </c>
      <c r="C1861" s="75"/>
      <c r="D1861" s="75"/>
      <c r="E1861" s="75"/>
      <c r="F1861" s="75">
        <v>20606</v>
      </c>
      <c r="G1861" s="76" t="str">
        <f>VLOOKUP(Tabelle2[[#This Row],[Kunden Nr.]],KUNDEN!A:B,2,0)</f>
        <v>TE-SYLA</v>
      </c>
      <c r="H1861" s="75">
        <v>39505</v>
      </c>
      <c r="I1861" s="76" t="str">
        <f>VLOOKUP(Tabelle2[[#This Row],[Artikel]],Produkte!A:B,2,0)</f>
        <v>M ONE SILIKON SPRAY</v>
      </c>
      <c r="J1861" s="75">
        <v>3</v>
      </c>
      <c r="K1861" s="76" t="str">
        <f>VLOOKUP(Tabelle2[[#This Row],[Kunden Nr.]],KUNDEN!A:G,7)</f>
        <v>Mensuri</v>
      </c>
      <c r="L1861" s="76">
        <f>VLOOKUP(Tabelle2[[#This Row],[Artikel]],Produkte!A:H,8)</f>
        <v>0.2</v>
      </c>
    </row>
    <row r="1862" spans="1:12" x14ac:dyDescent="0.2">
      <c r="A1862" s="75" t="s">
        <v>434</v>
      </c>
      <c r="B1862" s="79">
        <v>46109</v>
      </c>
      <c r="C1862" s="75"/>
      <c r="D1862" s="75"/>
      <c r="E1862" s="75"/>
      <c r="F1862" s="75">
        <v>20606</v>
      </c>
      <c r="G1862" s="76" t="str">
        <f>VLOOKUP(Tabelle2[[#This Row],[Kunden Nr.]],KUNDEN!A:B,2,0)</f>
        <v>TE-SYLA</v>
      </c>
      <c r="H1862" s="75">
        <v>55718</v>
      </c>
      <c r="I1862" s="76" t="str">
        <f>VLOOKUP(Tabelle2[[#This Row],[Artikel]],Produkte!A:B,2,0)</f>
        <v>M ONE MOTORSTART</v>
      </c>
      <c r="J1862" s="75">
        <v>3</v>
      </c>
      <c r="K1862" s="76" t="str">
        <f>VLOOKUP(Tabelle2[[#This Row],[Kunden Nr.]],KUNDEN!A:G,7)</f>
        <v>Mensuri</v>
      </c>
      <c r="L1862" s="76">
        <f>VLOOKUP(Tabelle2[[#This Row],[Artikel]],Produkte!A:H,8)</f>
        <v>0.2</v>
      </c>
    </row>
    <row r="1863" spans="1:12" x14ac:dyDescent="0.2">
      <c r="A1863" s="75" t="s">
        <v>434</v>
      </c>
      <c r="B1863" s="79">
        <v>46109</v>
      </c>
      <c r="C1863" s="75"/>
      <c r="D1863" s="75"/>
      <c r="E1863" s="75"/>
      <c r="F1863" s="75">
        <v>20606</v>
      </c>
      <c r="G1863" s="76" t="str">
        <f>VLOOKUP(Tabelle2[[#This Row],[Kunden Nr.]],KUNDEN!A:B,2,0)</f>
        <v>TE-SYLA</v>
      </c>
      <c r="H1863" s="75">
        <v>50912</v>
      </c>
      <c r="I1863" s="76" t="str">
        <f>VLOOKUP(Tabelle2[[#This Row],[Artikel]],Produkte!A:B,2,0)</f>
        <v>DICHTUNG</v>
      </c>
      <c r="J1863" s="75">
        <v>2</v>
      </c>
      <c r="K1863" s="76" t="str">
        <f>VLOOKUP(Tabelle2[[#This Row],[Kunden Nr.]],KUNDEN!A:G,7)</f>
        <v>Mensuri</v>
      </c>
      <c r="L1863" s="76">
        <f>VLOOKUP(Tabelle2[[#This Row],[Artikel]],Produkte!A:H,8)</f>
        <v>0.2</v>
      </c>
    </row>
    <row r="1864" spans="1:12" x14ac:dyDescent="0.2">
      <c r="A1864" s="75" t="s">
        <v>440</v>
      </c>
      <c r="B1864" s="79">
        <v>46109</v>
      </c>
      <c r="C1864" s="89">
        <v>323.39999999999998</v>
      </c>
      <c r="D1864" s="75"/>
      <c r="E1864" s="75"/>
      <c r="F1864" s="75">
        <v>20611</v>
      </c>
      <c r="G1864" s="76" t="str">
        <f>VLOOKUP(Tabelle2[[#This Row],[Kunden Nr.]],KUNDEN!A:B,2,0)</f>
        <v>TE-LUTA</v>
      </c>
      <c r="H1864" s="75">
        <v>35121</v>
      </c>
      <c r="I1864" s="76" t="str">
        <f>VLOOKUP(Tabelle2[[#This Row],[Artikel]],Produkte!A:B,2,0)</f>
        <v>M-ONE Sanitar Silikon</v>
      </c>
      <c r="J1864" s="75">
        <v>24</v>
      </c>
      <c r="K1864" s="76" t="str">
        <f>VLOOKUP(Tabelle2[[#This Row],[Kunden Nr.]],KUNDEN!A:G,7)</f>
        <v>Mensuri</v>
      </c>
      <c r="L1864" s="76">
        <f>VLOOKUP(Tabelle2[[#This Row],[Artikel]],Produkte!A:H,8)</f>
        <v>0.17</v>
      </c>
    </row>
    <row r="1865" spans="1:12" x14ac:dyDescent="0.2">
      <c r="A1865" s="75" t="s">
        <v>440</v>
      </c>
      <c r="B1865" s="79">
        <v>46109</v>
      </c>
      <c r="C1865" s="75"/>
      <c r="D1865" s="75"/>
      <c r="E1865" s="75"/>
      <c r="F1865" s="75">
        <v>20611</v>
      </c>
      <c r="G1865" s="76" t="str">
        <f>VLOOKUP(Tabelle2[[#This Row],[Kunden Nr.]],KUNDEN!A:B,2,0)</f>
        <v>TE-LUTA</v>
      </c>
      <c r="H1865" s="75">
        <v>35114</v>
      </c>
      <c r="I1865" s="76" t="str">
        <f>VLOOKUP(Tabelle2[[#This Row],[Artikel]],Produkte!A:B,2,0)</f>
        <v>M-ONE Sanitar Silikon</v>
      </c>
      <c r="J1865" s="75">
        <v>12</v>
      </c>
      <c r="K1865" s="76" t="str">
        <f>VLOOKUP(Tabelle2[[#This Row],[Kunden Nr.]],KUNDEN!A:G,7)</f>
        <v>Mensuri</v>
      </c>
      <c r="L1865" s="76">
        <f>VLOOKUP(Tabelle2[[#This Row],[Artikel]],Produkte!A:H,8)</f>
        <v>0.17</v>
      </c>
    </row>
    <row r="1866" spans="1:12" x14ac:dyDescent="0.2">
      <c r="A1866" s="75" t="s">
        <v>440</v>
      </c>
      <c r="B1866" s="79">
        <v>46109</v>
      </c>
      <c r="C1866" s="75"/>
      <c r="D1866" s="75"/>
      <c r="E1866" s="75"/>
      <c r="F1866" s="75">
        <v>20611</v>
      </c>
      <c r="G1866" s="76" t="str">
        <f>VLOOKUP(Tabelle2[[#This Row],[Kunden Nr.]],KUNDEN!A:B,2,0)</f>
        <v>TE-LUTA</v>
      </c>
      <c r="H1866" s="75">
        <v>35113</v>
      </c>
      <c r="I1866" s="76" t="str">
        <f>VLOOKUP(Tabelle2[[#This Row],[Artikel]],Produkte!A:B,2,0)</f>
        <v>M-ONE Sanitar Silikon</v>
      </c>
      <c r="J1866" s="75">
        <v>24</v>
      </c>
      <c r="K1866" s="76" t="str">
        <f>VLOOKUP(Tabelle2[[#This Row],[Kunden Nr.]],KUNDEN!A:G,7)</f>
        <v>Mensuri</v>
      </c>
      <c r="L1866" s="76">
        <f>VLOOKUP(Tabelle2[[#This Row],[Artikel]],Produkte!A:H,8)</f>
        <v>0.17</v>
      </c>
    </row>
    <row r="1867" spans="1:12" x14ac:dyDescent="0.2">
      <c r="A1867" s="75" t="s">
        <v>440</v>
      </c>
      <c r="B1867" s="79">
        <v>46109</v>
      </c>
      <c r="C1867" s="75"/>
      <c r="D1867" s="75"/>
      <c r="E1867" s="75"/>
      <c r="F1867" s="75">
        <v>20611</v>
      </c>
      <c r="G1867" s="76" t="str">
        <f>VLOOKUP(Tabelle2[[#This Row],[Kunden Nr.]],KUNDEN!A:B,2,0)</f>
        <v>TE-LUTA</v>
      </c>
      <c r="H1867" s="75">
        <v>35125</v>
      </c>
      <c r="I1867" s="76" t="str">
        <f>VLOOKUP(Tabelle2[[#This Row],[Artikel]],Produkte!A:B,2,0)</f>
        <v>M-ONE Sanitar Silikon</v>
      </c>
      <c r="J1867" s="75">
        <v>12</v>
      </c>
      <c r="K1867" s="76" t="str">
        <f>VLOOKUP(Tabelle2[[#This Row],[Kunden Nr.]],KUNDEN!A:G,7)</f>
        <v>Mensuri</v>
      </c>
      <c r="L1867" s="76">
        <f>VLOOKUP(Tabelle2[[#This Row],[Artikel]],Produkte!A:H,8)</f>
        <v>0.17</v>
      </c>
    </row>
    <row r="1868" spans="1:12" x14ac:dyDescent="0.2">
      <c r="A1868" s="75" t="s">
        <v>440</v>
      </c>
      <c r="B1868" s="79">
        <v>46109</v>
      </c>
      <c r="C1868" s="75"/>
      <c r="D1868" s="75"/>
      <c r="E1868" s="75"/>
      <c r="F1868" s="75">
        <v>20611</v>
      </c>
      <c r="G1868" s="76" t="str">
        <f>VLOOKUP(Tabelle2[[#This Row],[Kunden Nr.]],KUNDEN!A:B,2,0)</f>
        <v>TE-LUTA</v>
      </c>
      <c r="H1868" s="75">
        <v>35128</v>
      </c>
      <c r="I1868" s="76" t="str">
        <f>VLOOKUP(Tabelle2[[#This Row],[Artikel]],Produkte!A:B,2,0)</f>
        <v>M-ONE Sanitar Silikon</v>
      </c>
      <c r="J1868" s="75">
        <v>12</v>
      </c>
      <c r="K1868" s="76" t="str">
        <f>VLOOKUP(Tabelle2[[#This Row],[Kunden Nr.]],KUNDEN!A:G,7)</f>
        <v>Mensuri</v>
      </c>
      <c r="L1868" s="76">
        <f>VLOOKUP(Tabelle2[[#This Row],[Artikel]],Produkte!A:H,8)</f>
        <v>0.17</v>
      </c>
    </row>
    <row r="1869" spans="1:12" x14ac:dyDescent="0.2">
      <c r="A1869" s="75" t="s">
        <v>446</v>
      </c>
      <c r="B1869" s="79">
        <v>46109</v>
      </c>
      <c r="C1869" s="89">
        <v>166.2</v>
      </c>
      <c r="D1869" s="75"/>
      <c r="E1869" s="75"/>
      <c r="F1869" s="75">
        <v>20615</v>
      </c>
      <c r="G1869" s="76" t="str">
        <f>VLOOKUP(Tabelle2[[#This Row],[Kunden Nr.]],KUNDEN!A:B,2,0)</f>
        <v>MIX-B</v>
      </c>
      <c r="H1869" s="75">
        <v>35110</v>
      </c>
      <c r="I1869" s="76" t="str">
        <f>VLOOKUP(Tabelle2[[#This Row],[Artikel]],Produkte!A:B,2,0)</f>
        <v>M-ONE Sanitar Silikon</v>
      </c>
      <c r="J1869" s="75">
        <v>12</v>
      </c>
      <c r="K1869" s="76" t="str">
        <f>VLOOKUP(Tabelle2[[#This Row],[Kunden Nr.]],KUNDEN!A:G,7)</f>
        <v>Mensuri</v>
      </c>
      <c r="L1869" s="76">
        <f>VLOOKUP(Tabelle2[[#This Row],[Artikel]],Produkte!A:H,8)</f>
        <v>0.17</v>
      </c>
    </row>
    <row r="1870" spans="1:12" x14ac:dyDescent="0.2">
      <c r="A1870" s="75" t="s">
        <v>446</v>
      </c>
      <c r="B1870" s="79">
        <v>46109</v>
      </c>
      <c r="C1870" s="75"/>
      <c r="D1870" s="75"/>
      <c r="E1870" s="75"/>
      <c r="F1870" s="75">
        <v>20615</v>
      </c>
      <c r="G1870" s="76" t="str">
        <f>VLOOKUP(Tabelle2[[#This Row],[Kunden Nr.]],KUNDEN!A:B,2,0)</f>
        <v>MIX-B</v>
      </c>
      <c r="H1870" s="75">
        <v>35111</v>
      </c>
      <c r="I1870" s="76" t="str">
        <f>VLOOKUP(Tabelle2[[#This Row],[Artikel]],Produkte!A:B,2,0)</f>
        <v>M-ONE Sanitar Silikon</v>
      </c>
      <c r="J1870" s="75">
        <v>12</v>
      </c>
      <c r="K1870" s="76" t="str">
        <f>VLOOKUP(Tabelle2[[#This Row],[Kunden Nr.]],KUNDEN!A:G,7)</f>
        <v>Mensuri</v>
      </c>
      <c r="L1870" s="76">
        <f>VLOOKUP(Tabelle2[[#This Row],[Artikel]],Produkte!A:H,8)</f>
        <v>0.17</v>
      </c>
    </row>
    <row r="1871" spans="1:12" x14ac:dyDescent="0.2">
      <c r="A1871" s="75" t="s">
        <v>446</v>
      </c>
      <c r="B1871" s="79">
        <v>46109</v>
      </c>
      <c r="C1871" s="75"/>
      <c r="D1871" s="75"/>
      <c r="E1871" s="75"/>
      <c r="F1871" s="75">
        <v>20615</v>
      </c>
      <c r="G1871" s="76" t="str">
        <f>VLOOKUP(Tabelle2[[#This Row],[Kunden Nr.]],KUNDEN!A:B,2,0)</f>
        <v>MIX-B</v>
      </c>
      <c r="H1871" s="75">
        <v>35121</v>
      </c>
      <c r="I1871" s="76" t="str">
        <f>VLOOKUP(Tabelle2[[#This Row],[Artikel]],Produkte!A:B,2,0)</f>
        <v>M-ONE Sanitar Silikon</v>
      </c>
      <c r="J1871" s="75">
        <v>12</v>
      </c>
      <c r="K1871" s="76" t="str">
        <f>VLOOKUP(Tabelle2[[#This Row],[Kunden Nr.]],KUNDEN!A:G,7)</f>
        <v>Mensuri</v>
      </c>
      <c r="L1871" s="76">
        <f>VLOOKUP(Tabelle2[[#This Row],[Artikel]],Produkte!A:H,8)</f>
        <v>0.17</v>
      </c>
    </row>
    <row r="1872" spans="1:12" x14ac:dyDescent="0.2">
      <c r="A1872" s="75" t="s">
        <v>446</v>
      </c>
      <c r="B1872" s="79">
        <v>46109</v>
      </c>
      <c r="C1872" s="75"/>
      <c r="D1872" s="75"/>
      <c r="E1872" s="75"/>
      <c r="F1872" s="75">
        <v>20615</v>
      </c>
      <c r="G1872" s="76" t="str">
        <f>VLOOKUP(Tabelle2[[#This Row],[Kunden Nr.]],KUNDEN!A:B,2,0)</f>
        <v>MIX-B</v>
      </c>
      <c r="H1872" s="75">
        <v>51612</v>
      </c>
      <c r="I1872" s="76" t="str">
        <f>VLOOKUP(Tabelle2[[#This Row],[Artikel]],Produkte!A:B,2,0)</f>
        <v>struktural akryl</v>
      </c>
      <c r="J1872" s="75">
        <v>12</v>
      </c>
      <c r="K1872" s="76" t="str">
        <f>VLOOKUP(Tabelle2[[#This Row],[Kunden Nr.]],KUNDEN!A:G,7)</f>
        <v>Mensuri</v>
      </c>
      <c r="L1872" s="76">
        <f>VLOOKUP(Tabelle2[[#This Row],[Artikel]],Produkte!A:H,8)</f>
        <v>0.06</v>
      </c>
    </row>
    <row r="1873" spans="1:12" x14ac:dyDescent="0.2">
      <c r="A1873" s="75" t="s">
        <v>967</v>
      </c>
      <c r="B1873" s="79">
        <v>46109</v>
      </c>
      <c r="C1873" s="89">
        <v>92.4</v>
      </c>
      <c r="D1873" s="75"/>
      <c r="E1873" s="75"/>
      <c r="F1873" s="75">
        <v>20603</v>
      </c>
      <c r="G1873" s="76" t="str">
        <f>VLOOKUP(Tabelle2[[#This Row],[Kunden Nr.]],KUNDEN!A:B,2,0)</f>
        <v>PROMOIN</v>
      </c>
      <c r="H1873" s="75">
        <v>35110</v>
      </c>
      <c r="I1873" s="76" t="str">
        <f>VLOOKUP(Tabelle2[[#This Row],[Artikel]],Produkte!A:B,2,0)</f>
        <v>M-ONE Sanitar Silikon</v>
      </c>
      <c r="J1873" s="75">
        <v>24</v>
      </c>
      <c r="K1873" s="76" t="str">
        <f>VLOOKUP(Tabelle2[[#This Row],[Kunden Nr.]],KUNDEN!A:G,7)</f>
        <v>Mensuri</v>
      </c>
      <c r="L1873" s="76">
        <f>VLOOKUP(Tabelle2[[#This Row],[Artikel]],Produkte!A:H,8)</f>
        <v>0.17</v>
      </c>
    </row>
    <row r="1874" spans="1:12" x14ac:dyDescent="0.2">
      <c r="A1874" s="75" t="s">
        <v>1263</v>
      </c>
      <c r="B1874" s="79">
        <v>46109</v>
      </c>
      <c r="C1874" s="89">
        <v>231</v>
      </c>
      <c r="D1874" s="75"/>
      <c r="E1874" s="75"/>
      <c r="F1874" s="75">
        <v>20609</v>
      </c>
      <c r="G1874" s="76" t="str">
        <f>VLOOKUP(Tabelle2[[#This Row],[Kunden Nr.]],KUNDEN!A:B,2,0)</f>
        <v>BUJARI Q - BESII</v>
      </c>
      <c r="H1874" s="75">
        <v>35121</v>
      </c>
      <c r="I1874" s="76" t="str">
        <f>VLOOKUP(Tabelle2[[#This Row],[Artikel]],Produkte!A:B,2,0)</f>
        <v>M-ONE Sanitar Silikon</v>
      </c>
      <c r="J1874" s="75">
        <v>48</v>
      </c>
      <c r="K1874" s="76" t="str">
        <f>VLOOKUP(Tabelle2[[#This Row],[Kunden Nr.]],KUNDEN!A:G,7)</f>
        <v>Mensuri</v>
      </c>
      <c r="L1874" s="76">
        <f>VLOOKUP(Tabelle2[[#This Row],[Artikel]],Produkte!A:H,8)</f>
        <v>0.17</v>
      </c>
    </row>
    <row r="1875" spans="1:12" x14ac:dyDescent="0.2">
      <c r="A1875" s="75" t="s">
        <v>1263</v>
      </c>
      <c r="B1875" s="79">
        <v>46109</v>
      </c>
      <c r="C1875" s="75"/>
      <c r="D1875" s="75"/>
      <c r="E1875" s="75"/>
      <c r="F1875" s="75">
        <v>20609</v>
      </c>
      <c r="G1875" s="76" t="str">
        <f>VLOOKUP(Tabelle2[[#This Row],[Kunden Nr.]],KUNDEN!A:B,2,0)</f>
        <v>BUJARI Q - BESII</v>
      </c>
      <c r="H1875" s="75">
        <v>35113</v>
      </c>
      <c r="I1875" s="76" t="str">
        <f>VLOOKUP(Tabelle2[[#This Row],[Artikel]],Produkte!A:B,2,0)</f>
        <v>M-ONE Sanitar Silikon</v>
      </c>
      <c r="J1875" s="75">
        <v>12</v>
      </c>
      <c r="K1875" s="76" t="str">
        <f>VLOOKUP(Tabelle2[[#This Row],[Kunden Nr.]],KUNDEN!A:G,7)</f>
        <v>Mensuri</v>
      </c>
      <c r="L1875" s="76">
        <f>VLOOKUP(Tabelle2[[#This Row],[Artikel]],Produkte!A:H,8)</f>
        <v>0.17</v>
      </c>
    </row>
    <row r="1876" spans="1:12" x14ac:dyDescent="0.2">
      <c r="A1876" s="75" t="s">
        <v>676</v>
      </c>
      <c r="B1876" s="79">
        <v>46109</v>
      </c>
      <c r="C1876" s="89">
        <v>66.599999999999994</v>
      </c>
      <c r="D1876" s="75"/>
      <c r="E1876" s="75"/>
      <c r="F1876" s="75">
        <v>20607</v>
      </c>
      <c r="G1876" s="76" t="str">
        <f>VLOOKUP(Tabelle2[[#This Row],[Kunden Nr.]],KUNDEN!A:B,2,0)</f>
        <v xml:space="preserve">F.V. SH.P.K. </v>
      </c>
      <c r="H1876" s="75">
        <v>51612</v>
      </c>
      <c r="I1876" s="76" t="str">
        <f>VLOOKUP(Tabelle2[[#This Row],[Artikel]],Produkte!A:B,2,0)</f>
        <v>struktural akryl</v>
      </c>
      <c r="J1876" s="75">
        <v>12</v>
      </c>
      <c r="K1876" s="76" t="str">
        <f>VLOOKUP(Tabelle2[[#This Row],[Kunden Nr.]],KUNDEN!A:G,7)</f>
        <v>Mensuri</v>
      </c>
      <c r="L1876" s="76">
        <f>VLOOKUP(Tabelle2[[#This Row],[Artikel]],Produkte!A:H,8)</f>
        <v>0.06</v>
      </c>
    </row>
    <row r="1877" spans="1:12" x14ac:dyDescent="0.2">
      <c r="A1877" s="75" t="s">
        <v>676</v>
      </c>
      <c r="B1877" s="79">
        <v>46109</v>
      </c>
      <c r="C1877" s="75"/>
      <c r="D1877" s="75"/>
      <c r="E1877" s="75"/>
      <c r="F1877" s="75">
        <v>20607</v>
      </c>
      <c r="G1877" s="76" t="str">
        <f>VLOOKUP(Tabelle2[[#This Row],[Kunden Nr.]],KUNDEN!A:B,2,0)</f>
        <v xml:space="preserve">F.V. SH.P.K. </v>
      </c>
      <c r="H1877" s="75">
        <v>26736</v>
      </c>
      <c r="I1877" s="76" t="str">
        <f>VLOOKUP(Tabelle2[[#This Row],[Artikel]],Produkte!A:B,2,0)</f>
        <v>M ONE HAFTGRUND</v>
      </c>
      <c r="J1877" s="75">
        <v>7</v>
      </c>
      <c r="K1877" s="76" t="str">
        <f>VLOOKUP(Tabelle2[[#This Row],[Kunden Nr.]],KUNDEN!A:G,7)</f>
        <v>Mensuri</v>
      </c>
      <c r="L1877" s="76">
        <f>VLOOKUP(Tabelle2[[#This Row],[Artikel]],Produkte!A:H,8)</f>
        <v>0.15</v>
      </c>
    </row>
    <row r="1878" spans="1:12" x14ac:dyDescent="0.2">
      <c r="A1878" s="75" t="s">
        <v>676</v>
      </c>
      <c r="B1878" s="79">
        <v>46109</v>
      </c>
      <c r="C1878" s="75"/>
      <c r="D1878" s="75"/>
      <c r="E1878" s="75"/>
      <c r="F1878" s="75">
        <v>20607</v>
      </c>
      <c r="G1878" s="76" t="str">
        <f>VLOOKUP(Tabelle2[[#This Row],[Kunden Nr.]],KUNDEN!A:B,2,0)</f>
        <v xml:space="preserve">F.V. SH.P.K. </v>
      </c>
      <c r="H1878" s="75">
        <v>51736</v>
      </c>
      <c r="I1878" s="76" t="str">
        <f>VLOOKUP(Tabelle2[[#This Row],[Artikel]],Produkte!A:B,2,0)</f>
        <v>M ONE SCHWARZ MATT</v>
      </c>
      <c r="J1878" s="75">
        <v>5</v>
      </c>
      <c r="K1878" s="76" t="str">
        <f>VLOOKUP(Tabelle2[[#This Row],[Kunden Nr.]],KUNDEN!A:G,7)</f>
        <v>Mensuri</v>
      </c>
      <c r="L1878" s="76">
        <f>VLOOKUP(Tabelle2[[#This Row],[Artikel]],Produkte!A:H,8)</f>
        <v>0.15</v>
      </c>
    </row>
    <row r="1879" spans="1:12" x14ac:dyDescent="0.2">
      <c r="A1879" s="75" t="s">
        <v>676</v>
      </c>
      <c r="B1879" s="79">
        <v>46109</v>
      </c>
      <c r="C1879" s="75"/>
      <c r="D1879" s="75"/>
      <c r="E1879" s="75"/>
      <c r="F1879" s="75">
        <v>20607</v>
      </c>
      <c r="G1879" s="76" t="str">
        <f>VLOOKUP(Tabelle2[[#This Row],[Kunden Nr.]],KUNDEN!A:B,2,0)</f>
        <v xml:space="preserve">F.V. SH.P.K. </v>
      </c>
      <c r="H1879" s="75">
        <v>39505</v>
      </c>
      <c r="I1879" s="76" t="str">
        <f>VLOOKUP(Tabelle2[[#This Row],[Artikel]],Produkte!A:B,2,0)</f>
        <v>M ONE SILIKON SPRAY</v>
      </c>
      <c r="J1879" s="75">
        <v>3</v>
      </c>
      <c r="K1879" s="76" t="str">
        <f>VLOOKUP(Tabelle2[[#This Row],[Kunden Nr.]],KUNDEN!A:G,7)</f>
        <v>Mensuri</v>
      </c>
      <c r="L1879" s="76">
        <f>VLOOKUP(Tabelle2[[#This Row],[Artikel]],Produkte!A:H,8)</f>
        <v>0.2</v>
      </c>
    </row>
    <row r="1880" spans="1:12" x14ac:dyDescent="0.2">
      <c r="A1880" s="75" t="s">
        <v>676</v>
      </c>
      <c r="B1880" s="79">
        <v>46109</v>
      </c>
      <c r="C1880" s="75"/>
      <c r="D1880" s="75"/>
      <c r="E1880" s="75"/>
      <c r="F1880" s="75">
        <v>20607</v>
      </c>
      <c r="G1880" s="76" t="str">
        <f>VLOOKUP(Tabelle2[[#This Row],[Kunden Nr.]],KUNDEN!A:B,2,0)</f>
        <v xml:space="preserve">F.V. SH.P.K. </v>
      </c>
      <c r="H1880" s="75">
        <v>16936</v>
      </c>
      <c r="I1880" s="76" t="str">
        <f>VLOOKUP(Tabelle2[[#This Row],[Artikel]],Produkte!A:B,2,0)</f>
        <v>M ONE FELGENSILBER</v>
      </c>
      <c r="J1880" s="75">
        <v>4</v>
      </c>
      <c r="K1880" s="76" t="str">
        <f>VLOOKUP(Tabelle2[[#This Row],[Kunden Nr.]],KUNDEN!A:G,7)</f>
        <v>Mensuri</v>
      </c>
      <c r="L1880" s="76">
        <f>VLOOKUP(Tabelle2[[#This Row],[Artikel]],Produkte!A:H,8)</f>
        <v>0.15</v>
      </c>
    </row>
    <row r="1881" spans="1:12" x14ac:dyDescent="0.2">
      <c r="A1881" s="75" t="s">
        <v>1171</v>
      </c>
      <c r="B1881" s="79">
        <v>46109</v>
      </c>
      <c r="C1881" s="89">
        <v>184.8</v>
      </c>
      <c r="D1881" s="75"/>
      <c r="E1881" s="75"/>
      <c r="F1881" s="75">
        <v>20627</v>
      </c>
      <c r="G1881" s="76" t="str">
        <f>VLOOKUP(Tabelle2[[#This Row],[Kunden Nr.]],KUNDEN!A:B,2,0)</f>
        <v>UNIKA</v>
      </c>
      <c r="H1881" s="75">
        <v>35108</v>
      </c>
      <c r="I1881" s="76" t="str">
        <f>VLOOKUP(Tabelle2[[#This Row],[Artikel]],Produkte!A:B,2,0)</f>
        <v>M-ONE Sanitar Silikon</v>
      </c>
      <c r="J1881" s="75">
        <v>12</v>
      </c>
      <c r="K1881" s="76" t="str">
        <f>VLOOKUP(Tabelle2[[#This Row],[Kunden Nr.]],KUNDEN!A:G,7)</f>
        <v>Mensuri</v>
      </c>
      <c r="L1881" s="76">
        <f>VLOOKUP(Tabelle2[[#This Row],[Artikel]],Produkte!A:H,8)</f>
        <v>0.17</v>
      </c>
    </row>
    <row r="1882" spans="1:12" x14ac:dyDescent="0.2">
      <c r="A1882" s="75" t="s">
        <v>1171</v>
      </c>
      <c r="B1882" s="79">
        <v>46109</v>
      </c>
      <c r="C1882" s="75"/>
      <c r="D1882" s="75"/>
      <c r="E1882" s="75"/>
      <c r="F1882" s="75">
        <v>20627</v>
      </c>
      <c r="G1882" s="76" t="str">
        <f>VLOOKUP(Tabelle2[[#This Row],[Kunden Nr.]],KUNDEN!A:B,2,0)</f>
        <v>UNIKA</v>
      </c>
      <c r="H1882" s="75">
        <v>35128</v>
      </c>
      <c r="I1882" s="76" t="str">
        <f>VLOOKUP(Tabelle2[[#This Row],[Artikel]],Produkte!A:B,2,0)</f>
        <v>M-ONE Sanitar Silikon</v>
      </c>
      <c r="J1882" s="75">
        <v>12</v>
      </c>
      <c r="K1882" s="76" t="str">
        <f>VLOOKUP(Tabelle2[[#This Row],[Kunden Nr.]],KUNDEN!A:G,7)</f>
        <v>Mensuri</v>
      </c>
      <c r="L1882" s="76">
        <f>VLOOKUP(Tabelle2[[#This Row],[Artikel]],Produkte!A:H,8)</f>
        <v>0.17</v>
      </c>
    </row>
    <row r="1883" spans="1:12" x14ac:dyDescent="0.2">
      <c r="A1883" s="75" t="s">
        <v>1171</v>
      </c>
      <c r="B1883" s="79">
        <v>46109</v>
      </c>
      <c r="C1883" s="75"/>
      <c r="D1883" s="75"/>
      <c r="E1883" s="75"/>
      <c r="F1883" s="75">
        <v>20627</v>
      </c>
      <c r="G1883" s="76" t="str">
        <f>VLOOKUP(Tabelle2[[#This Row],[Kunden Nr.]],KUNDEN!A:B,2,0)</f>
        <v>UNIKA</v>
      </c>
      <c r="H1883" s="75">
        <v>35125</v>
      </c>
      <c r="I1883" s="76" t="str">
        <f>VLOOKUP(Tabelle2[[#This Row],[Artikel]],Produkte!A:B,2,0)</f>
        <v>M-ONE Sanitar Silikon</v>
      </c>
      <c r="J1883" s="75">
        <v>12</v>
      </c>
      <c r="K1883" s="76" t="str">
        <f>VLOOKUP(Tabelle2[[#This Row],[Kunden Nr.]],KUNDEN!A:G,7)</f>
        <v>Mensuri</v>
      </c>
      <c r="L1883" s="76">
        <f>VLOOKUP(Tabelle2[[#This Row],[Artikel]],Produkte!A:H,8)</f>
        <v>0.17</v>
      </c>
    </row>
    <row r="1884" spans="1:12" x14ac:dyDescent="0.2">
      <c r="A1884" s="75" t="s">
        <v>1171</v>
      </c>
      <c r="B1884" s="79">
        <v>46109</v>
      </c>
      <c r="C1884" s="75"/>
      <c r="D1884" s="75"/>
      <c r="E1884" s="75"/>
      <c r="F1884" s="75">
        <v>20627</v>
      </c>
      <c r="G1884" s="76" t="str">
        <f>VLOOKUP(Tabelle2[[#This Row],[Kunden Nr.]],KUNDEN!A:B,2,0)</f>
        <v>UNIKA</v>
      </c>
      <c r="H1884" s="75">
        <v>35110</v>
      </c>
      <c r="I1884" s="76" t="str">
        <f>VLOOKUP(Tabelle2[[#This Row],[Artikel]],Produkte!A:B,2,0)</f>
        <v>M-ONE Sanitar Silikon</v>
      </c>
      <c r="J1884" s="75">
        <v>12</v>
      </c>
      <c r="K1884" s="76" t="str">
        <f>VLOOKUP(Tabelle2[[#This Row],[Kunden Nr.]],KUNDEN!A:G,7)</f>
        <v>Mensuri</v>
      </c>
      <c r="L1884" s="76">
        <f>VLOOKUP(Tabelle2[[#This Row],[Artikel]],Produkte!A:H,8)</f>
        <v>0.17</v>
      </c>
    </row>
    <row r="1885" spans="1:12" x14ac:dyDescent="0.2">
      <c r="A1885" s="75" t="s">
        <v>1195</v>
      </c>
      <c r="B1885" s="79">
        <v>46111</v>
      </c>
      <c r="C1885" s="89">
        <v>40</v>
      </c>
      <c r="D1885" s="75"/>
      <c r="E1885" s="75"/>
      <c r="F1885" s="75">
        <v>10141</v>
      </c>
      <c r="G1885" s="76" t="str">
        <f>VLOOKUP(Tabelle2[[#This Row],[Kunden Nr.]],KUNDEN!A:B,2,0)</f>
        <v>CHE BAR LOUNGE BAR</v>
      </c>
      <c r="H1885" s="75">
        <v>20001</v>
      </c>
      <c r="I1885" s="76" t="str">
        <f>VLOOKUP(Tabelle2[[#This Row],[Artikel]],Produkte!A:B,2,0)</f>
        <v>BioBlic Universalreiniger</v>
      </c>
      <c r="J1885" s="75">
        <v>20</v>
      </c>
      <c r="K1885" s="76" t="str">
        <f>VLOOKUP(Tabelle2[[#This Row],[Kunden Nr.]],KUNDEN!A:G,7)</f>
        <v>Qerimi</v>
      </c>
      <c r="L1885" s="76">
        <f>VLOOKUP(Tabelle2[[#This Row],[Artikel]],Produkte!A:H,8)</f>
        <v>0.30000000000000004</v>
      </c>
    </row>
    <row r="1886" spans="1:12" x14ac:dyDescent="0.2">
      <c r="A1886" s="75" t="s">
        <v>566</v>
      </c>
      <c r="B1886" s="79">
        <v>46111</v>
      </c>
      <c r="C1886" s="89">
        <v>46.2</v>
      </c>
      <c r="D1886" s="75"/>
      <c r="E1886" s="75"/>
      <c r="F1886" s="75">
        <v>10104</v>
      </c>
      <c r="G1886" s="76" t="str">
        <f>VLOOKUP(Tabelle2[[#This Row],[Kunden Nr.]],KUNDEN!A:B,2,0)</f>
        <v>JETARI</v>
      </c>
      <c r="H1886" s="75">
        <v>35110</v>
      </c>
      <c r="I1886" s="76" t="str">
        <f>VLOOKUP(Tabelle2[[#This Row],[Artikel]],Produkte!A:B,2,0)</f>
        <v>M-ONE Sanitar Silikon</v>
      </c>
      <c r="J1886" s="75">
        <v>12</v>
      </c>
      <c r="K1886" s="76" t="str">
        <f>VLOOKUP(Tabelle2[[#This Row],[Kunden Nr.]],KUNDEN!A:G,7)</f>
        <v>Qerimi</v>
      </c>
      <c r="L1886" s="76">
        <f>VLOOKUP(Tabelle2[[#This Row],[Artikel]],Produkte!A:H,8)</f>
        <v>0.17</v>
      </c>
    </row>
    <row r="1887" spans="1:12" x14ac:dyDescent="0.2">
      <c r="A1887" s="75" t="s">
        <v>573</v>
      </c>
      <c r="B1887" s="79">
        <v>46111</v>
      </c>
      <c r="C1887" s="89">
        <v>108.7</v>
      </c>
      <c r="D1887" s="75"/>
      <c r="E1887" s="75"/>
      <c r="F1887" s="75">
        <v>10111</v>
      </c>
      <c r="G1887" s="76" t="str">
        <f>VLOOKUP(Tabelle2[[#This Row],[Kunden Nr.]],KUNDEN!A:B,2,0)</f>
        <v>KADIJOLLET</v>
      </c>
      <c r="H1887" s="75">
        <v>29801</v>
      </c>
      <c r="I1887" s="76" t="str">
        <f>VLOOKUP(Tabelle2[[#This Row],[Artikel]],Produkte!A:B,2,0)</f>
        <v>beMaker Handwaschpaste</v>
      </c>
      <c r="J1887" s="75">
        <v>1</v>
      </c>
      <c r="K1887" s="76" t="str">
        <f>VLOOKUP(Tabelle2[[#This Row],[Kunden Nr.]],KUNDEN!A:G,7)</f>
        <v>Qerimi</v>
      </c>
      <c r="L1887" s="76">
        <f>VLOOKUP(Tabelle2[[#This Row],[Artikel]],Produkte!A:H,8)</f>
        <v>0.5</v>
      </c>
    </row>
    <row r="1888" spans="1:12" x14ac:dyDescent="0.2">
      <c r="A1888" s="75" t="s">
        <v>573</v>
      </c>
      <c r="B1888" s="79">
        <v>46111</v>
      </c>
      <c r="C1888" s="75"/>
      <c r="D1888" s="75"/>
      <c r="E1888" s="75"/>
      <c r="F1888" s="75">
        <v>10111</v>
      </c>
      <c r="G1888" s="76" t="str">
        <f>VLOOKUP(Tabelle2[[#This Row],[Kunden Nr.]],KUNDEN!A:B,2,0)</f>
        <v>KADIJOLLET</v>
      </c>
      <c r="H1888" s="75">
        <v>54412</v>
      </c>
      <c r="I1888" s="76" t="str">
        <f>VLOOKUP(Tabelle2[[#This Row],[Artikel]],Produkte!A:B,2,0)</f>
        <v>beMAKER Bremsen&amp;Teile Reininger</v>
      </c>
      <c r="J1888" s="75">
        <v>5</v>
      </c>
      <c r="K1888" s="76" t="str">
        <f>VLOOKUP(Tabelle2[[#This Row],[Kunden Nr.]],KUNDEN!A:G,7)</f>
        <v>Qerimi</v>
      </c>
      <c r="L1888" s="76">
        <f>VLOOKUP(Tabelle2[[#This Row],[Artikel]],Produkte!A:H,8)</f>
        <v>0.2</v>
      </c>
    </row>
    <row r="1889" spans="1:12" x14ac:dyDescent="0.2">
      <c r="A1889" s="75" t="s">
        <v>573</v>
      </c>
      <c r="B1889" s="79">
        <v>46111</v>
      </c>
      <c r="C1889" s="75"/>
      <c r="D1889" s="75"/>
      <c r="E1889" s="75"/>
      <c r="F1889" s="75">
        <v>10111</v>
      </c>
      <c r="G1889" s="76" t="str">
        <f>VLOOKUP(Tabelle2[[#This Row],[Kunden Nr.]],KUNDEN!A:B,2,0)</f>
        <v>KADIJOLLET</v>
      </c>
      <c r="H1889" s="75">
        <v>49644</v>
      </c>
      <c r="I1889" s="76" t="str">
        <f>VLOOKUP(Tabelle2[[#This Row],[Artikel]],Produkte!A:B,2,0)</f>
        <v>beMAKER Rostlöser</v>
      </c>
      <c r="J1889" s="75">
        <v>5</v>
      </c>
      <c r="K1889" s="76" t="str">
        <f>VLOOKUP(Tabelle2[[#This Row],[Kunden Nr.]],KUNDEN!A:G,7)</f>
        <v>Qerimi</v>
      </c>
      <c r="L1889" s="76">
        <f>VLOOKUP(Tabelle2[[#This Row],[Artikel]],Produkte!A:H,8)</f>
        <v>0.2</v>
      </c>
    </row>
    <row r="1890" spans="1:12" x14ac:dyDescent="0.2">
      <c r="A1890" s="75" t="s">
        <v>573</v>
      </c>
      <c r="B1890" s="79">
        <v>46111</v>
      </c>
      <c r="C1890" s="75"/>
      <c r="D1890" s="75"/>
      <c r="E1890" s="75"/>
      <c r="F1890" s="75">
        <v>10111</v>
      </c>
      <c r="G1890" s="76" t="str">
        <f>VLOOKUP(Tabelle2[[#This Row],[Kunden Nr.]],KUNDEN!A:B,2,0)</f>
        <v>KADIJOLLET</v>
      </c>
      <c r="H1890" s="75">
        <v>55718</v>
      </c>
      <c r="I1890" s="76" t="str">
        <f>VLOOKUP(Tabelle2[[#This Row],[Artikel]],Produkte!A:B,2,0)</f>
        <v>M ONE MOTORSTART</v>
      </c>
      <c r="J1890" s="75">
        <v>5</v>
      </c>
      <c r="K1890" s="76" t="str">
        <f>VLOOKUP(Tabelle2[[#This Row],[Kunden Nr.]],KUNDEN!A:G,7)</f>
        <v>Qerimi</v>
      </c>
      <c r="L1890" s="76">
        <f>VLOOKUP(Tabelle2[[#This Row],[Artikel]],Produkte!A:H,8)</f>
        <v>0.2</v>
      </c>
    </row>
    <row r="1891" spans="1:12" x14ac:dyDescent="0.2">
      <c r="A1891" s="75" t="s">
        <v>573</v>
      </c>
      <c r="B1891" s="79">
        <v>46111</v>
      </c>
      <c r="C1891" s="75"/>
      <c r="D1891" s="75"/>
      <c r="E1891" s="75"/>
      <c r="F1891" s="75">
        <v>10111</v>
      </c>
      <c r="G1891" s="76" t="str">
        <f>VLOOKUP(Tabelle2[[#This Row],[Kunden Nr.]],KUNDEN!A:B,2,0)</f>
        <v>KADIJOLLET</v>
      </c>
      <c r="H1891" s="75">
        <v>35115</v>
      </c>
      <c r="I1891" s="76" t="str">
        <f>VLOOKUP(Tabelle2[[#This Row],[Artikel]],Produkte!A:B,2,0)</f>
        <v>M-ONE Sanitar Silikon</v>
      </c>
      <c r="J1891" s="75">
        <v>12</v>
      </c>
      <c r="K1891" s="76" t="str">
        <f>VLOOKUP(Tabelle2[[#This Row],[Kunden Nr.]],KUNDEN!A:G,7)</f>
        <v>Qerimi</v>
      </c>
      <c r="L1891" s="76">
        <f>VLOOKUP(Tabelle2[[#This Row],[Artikel]],Produkte!A:H,8)</f>
        <v>0.17</v>
      </c>
    </row>
    <row r="1892" spans="1:12" x14ac:dyDescent="0.2">
      <c r="A1892" s="75" t="s">
        <v>565</v>
      </c>
      <c r="B1892" s="79">
        <v>46111</v>
      </c>
      <c r="C1892" s="89">
        <v>46.2</v>
      </c>
      <c r="D1892" s="75"/>
      <c r="E1892" s="75"/>
      <c r="F1892" s="75">
        <v>10103</v>
      </c>
      <c r="G1892" s="76" t="str">
        <f>VLOOKUP(Tabelle2[[#This Row],[Kunden Nr.]],KUNDEN!A:B,2,0)</f>
        <v>BESI COM</v>
      </c>
      <c r="H1892" s="75">
        <v>35121</v>
      </c>
      <c r="I1892" s="76" t="str">
        <f>VLOOKUP(Tabelle2[[#This Row],[Artikel]],Produkte!A:B,2,0)</f>
        <v>M-ONE Sanitar Silikon</v>
      </c>
      <c r="J1892" s="75">
        <v>12</v>
      </c>
      <c r="K1892" s="76" t="str">
        <f>VLOOKUP(Tabelle2[[#This Row],[Kunden Nr.]],KUNDEN!A:G,7)</f>
        <v>Qerimi</v>
      </c>
      <c r="L1892" s="76">
        <f>VLOOKUP(Tabelle2[[#This Row],[Artikel]],Produkte!A:H,8)</f>
        <v>0.17</v>
      </c>
    </row>
    <row r="1893" spans="1:12" x14ac:dyDescent="0.2">
      <c r="A1893" s="75" t="s">
        <v>576</v>
      </c>
      <c r="B1893" s="79">
        <v>46111</v>
      </c>
      <c r="C1893" s="89">
        <v>119.9</v>
      </c>
      <c r="D1893" s="75"/>
      <c r="E1893" s="75"/>
      <c r="F1893" s="75">
        <v>10114</v>
      </c>
      <c r="G1893" s="76" t="str">
        <f>VLOOKUP(Tabelle2[[#This Row],[Kunden Nr.]],KUNDEN!A:B,2,0)</f>
        <v>QELA</v>
      </c>
      <c r="H1893" s="75">
        <v>35110</v>
      </c>
      <c r="I1893" s="76" t="str">
        <f>VLOOKUP(Tabelle2[[#This Row],[Artikel]],Produkte!A:B,2,0)</f>
        <v>M-ONE Sanitar Silikon</v>
      </c>
      <c r="J1893" s="75">
        <v>12</v>
      </c>
      <c r="K1893" s="76" t="str">
        <f>VLOOKUP(Tabelle2[[#This Row],[Kunden Nr.]],KUNDEN!A:G,7)</f>
        <v>Qerimi</v>
      </c>
      <c r="L1893" s="76">
        <f>VLOOKUP(Tabelle2[[#This Row],[Artikel]],Produkte!A:H,8)</f>
        <v>0.17</v>
      </c>
    </row>
    <row r="1894" spans="1:12" x14ac:dyDescent="0.2">
      <c r="A1894" s="75" t="s">
        <v>576</v>
      </c>
      <c r="B1894" s="79">
        <v>46111</v>
      </c>
      <c r="C1894" s="75"/>
      <c r="D1894" s="75"/>
      <c r="E1894" s="75"/>
      <c r="F1894" s="75">
        <v>10114</v>
      </c>
      <c r="G1894" s="76" t="str">
        <f>VLOOKUP(Tabelle2[[#This Row],[Kunden Nr.]],KUNDEN!A:B,2,0)</f>
        <v>QELA</v>
      </c>
      <c r="H1894" s="75">
        <v>35111</v>
      </c>
      <c r="I1894" s="76" t="str">
        <f>VLOOKUP(Tabelle2[[#This Row],[Artikel]],Produkte!A:B,2,0)</f>
        <v>M-ONE Sanitar Silikon</v>
      </c>
      <c r="J1894" s="75">
        <v>12</v>
      </c>
      <c r="K1894" s="76" t="str">
        <f>VLOOKUP(Tabelle2[[#This Row],[Kunden Nr.]],KUNDEN!A:G,7)</f>
        <v>Qerimi</v>
      </c>
      <c r="L1894" s="76">
        <f>VLOOKUP(Tabelle2[[#This Row],[Artikel]],Produkte!A:H,8)</f>
        <v>0.17</v>
      </c>
    </row>
    <row r="1895" spans="1:12" x14ac:dyDescent="0.2">
      <c r="A1895" s="75" t="s">
        <v>576</v>
      </c>
      <c r="B1895" s="79">
        <v>46111</v>
      </c>
      <c r="C1895" s="75"/>
      <c r="D1895" s="75"/>
      <c r="E1895" s="75"/>
      <c r="F1895" s="75">
        <v>10114</v>
      </c>
      <c r="G1895" s="76" t="str">
        <f>VLOOKUP(Tabelle2[[#This Row],[Kunden Nr.]],KUNDEN!A:B,2,0)</f>
        <v>QELA</v>
      </c>
      <c r="H1895" s="75">
        <v>49644</v>
      </c>
      <c r="I1895" s="76" t="str">
        <f>VLOOKUP(Tabelle2[[#This Row],[Artikel]],Produkte!A:B,2,0)</f>
        <v>beMAKER Rostlöser</v>
      </c>
      <c r="J1895" s="75">
        <v>5</v>
      </c>
      <c r="K1895" s="76" t="str">
        <f>VLOOKUP(Tabelle2[[#This Row],[Kunden Nr.]],KUNDEN!A:G,7)</f>
        <v>Qerimi</v>
      </c>
      <c r="L1895" s="76">
        <f>VLOOKUP(Tabelle2[[#This Row],[Artikel]],Produkte!A:H,8)</f>
        <v>0.2</v>
      </c>
    </row>
    <row r="1896" spans="1:12" x14ac:dyDescent="0.2">
      <c r="A1896" s="75" t="s">
        <v>576</v>
      </c>
      <c r="B1896" s="79">
        <v>46111</v>
      </c>
      <c r="C1896" s="75"/>
      <c r="D1896" s="75"/>
      <c r="E1896" s="75"/>
      <c r="F1896" s="75">
        <v>10114</v>
      </c>
      <c r="G1896" s="76" t="str">
        <f>VLOOKUP(Tabelle2[[#This Row],[Kunden Nr.]],KUNDEN!A:B,2,0)</f>
        <v>QELA</v>
      </c>
      <c r="H1896" s="75">
        <v>44001</v>
      </c>
      <c r="I1896" s="76" t="str">
        <f>VLOOKUP(Tabelle2[[#This Row],[Artikel]],Produkte!A:B,2,0)</f>
        <v>Fettspray</v>
      </c>
      <c r="J1896" s="75">
        <v>5</v>
      </c>
      <c r="K1896" s="76" t="str">
        <f>VLOOKUP(Tabelle2[[#This Row],[Kunden Nr.]],KUNDEN!A:G,7)</f>
        <v>Qerimi</v>
      </c>
      <c r="L1896" s="76">
        <f>VLOOKUP(Tabelle2[[#This Row],[Artikel]],Produkte!A:H,8)</f>
        <v>0.2</v>
      </c>
    </row>
    <row r="1897" spans="1:12" x14ac:dyDescent="0.2">
      <c r="A1897" s="75" t="s">
        <v>1188</v>
      </c>
      <c r="B1897" s="79">
        <v>46111</v>
      </c>
      <c r="C1897" s="89">
        <v>46.2</v>
      </c>
      <c r="D1897" s="75"/>
      <c r="E1897" s="75"/>
      <c r="F1897" s="75">
        <v>10133</v>
      </c>
      <c r="G1897" s="76" t="str">
        <f>VLOOKUP(Tabelle2[[#This Row],[Kunden Nr.]],KUNDEN!A:B,2,0)</f>
        <v>HIDROELDI</v>
      </c>
      <c r="H1897" s="75">
        <v>35128</v>
      </c>
      <c r="I1897" s="76" t="str">
        <f>VLOOKUP(Tabelle2[[#This Row],[Artikel]],Produkte!A:B,2,0)</f>
        <v>M-ONE Sanitar Silikon</v>
      </c>
      <c r="J1897" s="75">
        <v>12</v>
      </c>
      <c r="K1897" s="76" t="str">
        <f>VLOOKUP(Tabelle2[[#This Row],[Kunden Nr.]],KUNDEN!A:G,7)</f>
        <v>Qerimi</v>
      </c>
      <c r="L1897" s="76">
        <f>VLOOKUP(Tabelle2[[#This Row],[Artikel]],Produkte!A:H,8)</f>
        <v>0.17</v>
      </c>
    </row>
    <row r="1898" spans="1:12" x14ac:dyDescent="0.2">
      <c r="A1898" s="75" t="s">
        <v>567</v>
      </c>
      <c r="B1898" s="79">
        <v>46111</v>
      </c>
      <c r="C1898" s="89">
        <v>46.2</v>
      </c>
      <c r="D1898" s="75"/>
      <c r="E1898" s="75"/>
      <c r="F1898" s="75">
        <v>10105</v>
      </c>
      <c r="G1898" s="76" t="str">
        <f>VLOOKUP(Tabelle2[[#This Row],[Kunden Nr.]],KUNDEN!A:B,2,0)</f>
        <v>ARSIM</v>
      </c>
      <c r="H1898" s="75">
        <v>35115</v>
      </c>
      <c r="I1898" s="76" t="str">
        <f>VLOOKUP(Tabelle2[[#This Row],[Artikel]],Produkte!A:B,2,0)</f>
        <v>M-ONE Sanitar Silikon</v>
      </c>
      <c r="J1898" s="75">
        <v>12</v>
      </c>
      <c r="K1898" s="76" t="str">
        <f>VLOOKUP(Tabelle2[[#This Row],[Kunden Nr.]],KUNDEN!A:G,7)</f>
        <v>Qerimi</v>
      </c>
      <c r="L1898" s="76">
        <f>VLOOKUP(Tabelle2[[#This Row],[Artikel]],Produkte!A:H,8)</f>
        <v>0.17</v>
      </c>
    </row>
    <row r="1899" spans="1:12" x14ac:dyDescent="0.2">
      <c r="A1899" s="75" t="s">
        <v>476</v>
      </c>
      <c r="B1899" s="79">
        <v>46111</v>
      </c>
      <c r="C1899" s="89">
        <v>70.2</v>
      </c>
      <c r="D1899" s="75"/>
      <c r="E1899" s="75"/>
      <c r="F1899" s="75">
        <v>20111</v>
      </c>
      <c r="G1899" s="76" t="str">
        <f>VLOOKUP(Tabelle2[[#This Row],[Kunden Nr.]],KUNDEN!A:B,2,0)</f>
        <v>TECOL 2</v>
      </c>
      <c r="H1899" s="75">
        <v>35108</v>
      </c>
      <c r="I1899" s="76" t="str">
        <f>VLOOKUP(Tabelle2[[#This Row],[Artikel]],Produkte!A:B,2,0)</f>
        <v>M-ONE Sanitar Silikon</v>
      </c>
      <c r="J1899" s="75">
        <v>12</v>
      </c>
      <c r="K1899" s="76" t="str">
        <f>VLOOKUP(Tabelle2[[#This Row],[Kunden Nr.]],KUNDEN!A:G,7)</f>
        <v>Mensuri</v>
      </c>
      <c r="L1899" s="76">
        <f>VLOOKUP(Tabelle2[[#This Row],[Artikel]],Produkte!A:H,8)</f>
        <v>0.17</v>
      </c>
    </row>
    <row r="1900" spans="1:12" x14ac:dyDescent="0.2">
      <c r="A1900" s="75" t="s">
        <v>476</v>
      </c>
      <c r="B1900" s="79">
        <v>46111</v>
      </c>
      <c r="C1900" s="75"/>
      <c r="D1900" s="75"/>
      <c r="E1900" s="75"/>
      <c r="F1900" s="75">
        <v>20111</v>
      </c>
      <c r="G1900" s="76" t="str">
        <f>VLOOKUP(Tabelle2[[#This Row],[Kunden Nr.]],KUNDEN!A:B,2,0)</f>
        <v>TECOL 2</v>
      </c>
      <c r="H1900" s="75">
        <v>31880</v>
      </c>
      <c r="I1900" s="76" t="str">
        <f>VLOOKUP(Tabelle2[[#This Row],[Artikel]],Produkte!A:B,2,0)</f>
        <v>HAT LACK 800</v>
      </c>
      <c r="J1900" s="75">
        <v>6</v>
      </c>
      <c r="K1900" s="76" t="str">
        <f>VLOOKUP(Tabelle2[[#This Row],[Kunden Nr.]],KUNDEN!A:G,7)</f>
        <v>Mensuri</v>
      </c>
      <c r="L1900" s="76">
        <f>VLOOKUP(Tabelle2[[#This Row],[Artikel]],Produkte!A:H,8)</f>
        <v>0.35</v>
      </c>
    </row>
    <row r="1901" spans="1:12" x14ac:dyDescent="0.2">
      <c r="A1901" s="75" t="s">
        <v>1306</v>
      </c>
      <c r="B1901" s="79">
        <v>46111</v>
      </c>
      <c r="C1901" s="89">
        <v>92.4</v>
      </c>
      <c r="D1901" s="75"/>
      <c r="E1901" s="75"/>
      <c r="F1901" s="75">
        <v>20129</v>
      </c>
      <c r="G1901" s="76" t="str">
        <f>VLOOKUP(Tabelle2[[#This Row],[Kunden Nr.]],KUNDEN!A:B,2,0)</f>
        <v>LNI SHPK</v>
      </c>
      <c r="H1901" s="75">
        <v>35110</v>
      </c>
      <c r="I1901" s="76" t="str">
        <f>VLOOKUP(Tabelle2[[#This Row],[Artikel]],Produkte!A:B,2,0)</f>
        <v>M-ONE Sanitar Silikon</v>
      </c>
      <c r="J1901" s="75">
        <v>12</v>
      </c>
      <c r="K1901" s="76" t="str">
        <f>VLOOKUP(Tabelle2[[#This Row],[Kunden Nr.]],KUNDEN!A:G,7)</f>
        <v>Mensuri</v>
      </c>
      <c r="L1901" s="76">
        <f>VLOOKUP(Tabelle2[[#This Row],[Artikel]],Produkte!A:H,8)</f>
        <v>0.17</v>
      </c>
    </row>
    <row r="1902" spans="1:12" x14ac:dyDescent="0.2">
      <c r="A1902" s="75" t="s">
        <v>1306</v>
      </c>
      <c r="B1902" s="79">
        <v>46111</v>
      </c>
      <c r="C1902" s="75"/>
      <c r="D1902" s="75"/>
      <c r="E1902" s="75"/>
      <c r="F1902" s="75">
        <v>20129</v>
      </c>
      <c r="G1902" s="76" t="str">
        <f>VLOOKUP(Tabelle2[[#This Row],[Kunden Nr.]],KUNDEN!A:B,2,0)</f>
        <v>LNI SHPK</v>
      </c>
      <c r="H1902" s="75">
        <v>35113</v>
      </c>
      <c r="I1902" s="76" t="str">
        <f>VLOOKUP(Tabelle2[[#This Row],[Artikel]],Produkte!A:B,2,0)</f>
        <v>M-ONE Sanitar Silikon</v>
      </c>
      <c r="J1902" s="75">
        <v>12</v>
      </c>
      <c r="K1902" s="76" t="str">
        <f>VLOOKUP(Tabelle2[[#This Row],[Kunden Nr.]],KUNDEN!A:G,7)</f>
        <v>Mensuri</v>
      </c>
      <c r="L1902" s="76">
        <f>VLOOKUP(Tabelle2[[#This Row],[Artikel]],Produkte!A:H,8)</f>
        <v>0.17</v>
      </c>
    </row>
    <row r="1903" spans="1:12" x14ac:dyDescent="0.2">
      <c r="A1903" s="75" t="s">
        <v>1129</v>
      </c>
      <c r="B1903" s="79">
        <v>46111</v>
      </c>
      <c r="C1903" s="89">
        <v>138.6</v>
      </c>
      <c r="D1903" s="75"/>
      <c r="E1903" s="75"/>
      <c r="F1903" s="75">
        <v>20127</v>
      </c>
      <c r="G1903" s="76" t="str">
        <f>VLOOKUP(Tabelle2[[#This Row],[Kunden Nr.]],KUNDEN!A:B,2,0)</f>
        <v>TERMO PROJEKT</v>
      </c>
      <c r="H1903" s="75">
        <v>35114</v>
      </c>
      <c r="I1903" s="76" t="str">
        <f>VLOOKUP(Tabelle2[[#This Row],[Artikel]],Produkte!A:B,2,0)</f>
        <v>M-ONE Sanitar Silikon</v>
      </c>
      <c r="J1903" s="75">
        <v>12</v>
      </c>
      <c r="K1903" s="76" t="str">
        <f>VLOOKUP(Tabelle2[[#This Row],[Kunden Nr.]],KUNDEN!A:G,7)</f>
        <v>Mensuri</v>
      </c>
      <c r="L1903" s="76">
        <f>VLOOKUP(Tabelle2[[#This Row],[Artikel]],Produkte!A:H,8)</f>
        <v>0.17</v>
      </c>
    </row>
    <row r="1904" spans="1:12" x14ac:dyDescent="0.2">
      <c r="A1904" s="75" t="s">
        <v>1129</v>
      </c>
      <c r="B1904" s="79">
        <v>46111</v>
      </c>
      <c r="C1904" s="75"/>
      <c r="D1904" s="75"/>
      <c r="E1904" s="75"/>
      <c r="F1904" s="75">
        <v>20127</v>
      </c>
      <c r="G1904" s="76" t="str">
        <f>VLOOKUP(Tabelle2[[#This Row],[Kunden Nr.]],KUNDEN!A:B,2,0)</f>
        <v>TERMO PROJEKT</v>
      </c>
      <c r="H1904" s="75">
        <v>35115</v>
      </c>
      <c r="I1904" s="76" t="str">
        <f>VLOOKUP(Tabelle2[[#This Row],[Artikel]],Produkte!A:B,2,0)</f>
        <v>M-ONE Sanitar Silikon</v>
      </c>
      <c r="J1904" s="75">
        <v>12</v>
      </c>
      <c r="K1904" s="76" t="str">
        <f>VLOOKUP(Tabelle2[[#This Row],[Kunden Nr.]],KUNDEN!A:G,7)</f>
        <v>Mensuri</v>
      </c>
      <c r="L1904" s="76">
        <f>VLOOKUP(Tabelle2[[#This Row],[Artikel]],Produkte!A:H,8)</f>
        <v>0.17</v>
      </c>
    </row>
    <row r="1905" spans="1:12" x14ac:dyDescent="0.2">
      <c r="A1905" s="75" t="s">
        <v>1129</v>
      </c>
      <c r="B1905" s="79">
        <v>46111</v>
      </c>
      <c r="C1905" s="75"/>
      <c r="D1905" s="75"/>
      <c r="E1905" s="75"/>
      <c r="F1905" s="75">
        <v>20127</v>
      </c>
      <c r="G1905" s="76" t="str">
        <f>VLOOKUP(Tabelle2[[#This Row],[Kunden Nr.]],KUNDEN!A:B,2,0)</f>
        <v>TERMO PROJEKT</v>
      </c>
      <c r="H1905" s="75">
        <v>35128</v>
      </c>
      <c r="I1905" s="76" t="str">
        <f>VLOOKUP(Tabelle2[[#This Row],[Artikel]],Produkte!A:B,2,0)</f>
        <v>M-ONE Sanitar Silikon</v>
      </c>
      <c r="J1905" s="75">
        <v>12</v>
      </c>
      <c r="K1905" s="76" t="str">
        <f>VLOOKUP(Tabelle2[[#This Row],[Kunden Nr.]],KUNDEN!A:G,7)</f>
        <v>Mensuri</v>
      </c>
      <c r="L1905" s="76">
        <f>VLOOKUP(Tabelle2[[#This Row],[Artikel]],Produkte!A:H,8)</f>
        <v>0.17</v>
      </c>
    </row>
    <row r="1906" spans="1:12" x14ac:dyDescent="0.2">
      <c r="A1906" s="75" t="s">
        <v>1315</v>
      </c>
      <c r="B1906" s="79">
        <v>46111</v>
      </c>
      <c r="C1906" s="89">
        <v>25</v>
      </c>
      <c r="D1906" s="75"/>
      <c r="E1906" s="75"/>
      <c r="F1906" s="75">
        <v>20130</v>
      </c>
      <c r="G1906" s="76" t="str">
        <f>VLOOKUP(Tabelle2[[#This Row],[Kunden Nr.]],KUNDEN!A:B,2,0)</f>
        <v>ENESI</v>
      </c>
      <c r="H1906" s="75">
        <v>51936</v>
      </c>
      <c r="I1906" s="76" t="str">
        <f>VLOOKUP(Tabelle2[[#This Row],[Artikel]],Produkte!A:B,2,0)</f>
        <v>M ONE SCHWARZ GLÄNZED</v>
      </c>
      <c r="J1906" s="75">
        <v>6</v>
      </c>
      <c r="K1906" s="76" t="str">
        <f>VLOOKUP(Tabelle2[[#This Row],[Kunden Nr.]],KUNDEN!A:G,7)</f>
        <v>Mensuri</v>
      </c>
      <c r="L1906" s="76">
        <f>VLOOKUP(Tabelle2[[#This Row],[Artikel]],Produkte!A:H,8)</f>
        <v>0.15</v>
      </c>
    </row>
    <row r="1907" spans="1:12" x14ac:dyDescent="0.2">
      <c r="A1907" s="75" t="s">
        <v>1315</v>
      </c>
      <c r="B1907" s="79">
        <v>46111</v>
      </c>
      <c r="C1907" s="75"/>
      <c r="D1907" s="75"/>
      <c r="E1907" s="75"/>
      <c r="F1907" s="75">
        <v>20130</v>
      </c>
      <c r="G1907" s="76" t="str">
        <f>VLOOKUP(Tabelle2[[#This Row],[Kunden Nr.]],KUNDEN!A:B,2,0)</f>
        <v>ENESI</v>
      </c>
      <c r="H1907" s="75">
        <v>16936</v>
      </c>
      <c r="I1907" s="76" t="str">
        <f>VLOOKUP(Tabelle2[[#This Row],[Artikel]],Produkte!A:B,2,0)</f>
        <v>M ONE FELGENSILBER</v>
      </c>
      <c r="J1907" s="75">
        <v>2</v>
      </c>
      <c r="K1907" s="76" t="str">
        <f>VLOOKUP(Tabelle2[[#This Row],[Kunden Nr.]],KUNDEN!A:G,7)</f>
        <v>Mensuri</v>
      </c>
      <c r="L1907" s="76">
        <f>VLOOKUP(Tabelle2[[#This Row],[Artikel]],Produkte!A:H,8)</f>
        <v>0.15</v>
      </c>
    </row>
    <row r="1908" spans="1:12" x14ac:dyDescent="0.2">
      <c r="A1908" s="75" t="s">
        <v>1315</v>
      </c>
      <c r="B1908" s="79">
        <v>46111</v>
      </c>
      <c r="C1908" s="75"/>
      <c r="D1908" s="75"/>
      <c r="E1908" s="75"/>
      <c r="F1908" s="75">
        <v>20130</v>
      </c>
      <c r="G1908" s="76" t="str">
        <f>VLOOKUP(Tabelle2[[#This Row],[Kunden Nr.]],KUNDEN!A:B,2,0)</f>
        <v>ENESI</v>
      </c>
      <c r="H1908" s="75">
        <v>69236</v>
      </c>
      <c r="I1908" s="76" t="str">
        <f>VLOOKUP(Tabelle2[[#This Row],[Artikel]],Produkte!A:B,2,0)</f>
        <v>M ONE WEISS GLÄNZEND</v>
      </c>
      <c r="J1908" s="75">
        <v>2</v>
      </c>
      <c r="K1908" s="76" t="str">
        <f>VLOOKUP(Tabelle2[[#This Row],[Kunden Nr.]],KUNDEN!A:G,7)</f>
        <v>Mensuri</v>
      </c>
      <c r="L1908" s="76">
        <f>VLOOKUP(Tabelle2[[#This Row],[Artikel]],Produkte!A:H,8)</f>
        <v>0.15</v>
      </c>
    </row>
    <row r="1909" spans="1:12" x14ac:dyDescent="0.2">
      <c r="A1909" s="75" t="s">
        <v>469</v>
      </c>
      <c r="B1909" s="79">
        <v>46111</v>
      </c>
      <c r="C1909" s="89">
        <v>101.4</v>
      </c>
      <c r="D1909" s="75"/>
      <c r="E1909" s="75"/>
      <c r="F1909" s="75">
        <v>20102</v>
      </c>
      <c r="G1909" s="76" t="str">
        <f>VLOOKUP(Tabelle2[[#This Row],[Kunden Nr.]],KUNDEN!A:B,2,0)</f>
        <v>KUQI-LKW</v>
      </c>
      <c r="H1909" s="75">
        <v>50912</v>
      </c>
      <c r="I1909" s="76" t="str">
        <f>VLOOKUP(Tabelle2[[#This Row],[Artikel]],Produkte!A:B,2,0)</f>
        <v>DICHTUNG</v>
      </c>
      <c r="J1909" s="75">
        <v>12</v>
      </c>
      <c r="K1909" s="76" t="str">
        <f>VLOOKUP(Tabelle2[[#This Row],[Kunden Nr.]],KUNDEN!A:G,7)</f>
        <v>Mensuri</v>
      </c>
      <c r="L1909" s="76">
        <f>VLOOKUP(Tabelle2[[#This Row],[Artikel]],Produkte!A:H,8)</f>
        <v>0.2</v>
      </c>
    </row>
    <row r="1910" spans="1:12" x14ac:dyDescent="0.2">
      <c r="A1910" s="75" t="s">
        <v>469</v>
      </c>
      <c r="B1910" s="79">
        <v>46111</v>
      </c>
      <c r="C1910" s="75"/>
      <c r="D1910" s="75"/>
      <c r="E1910" s="75"/>
      <c r="F1910" s="75">
        <v>20102</v>
      </c>
      <c r="G1910" s="76" t="str">
        <f>VLOOKUP(Tabelle2[[#This Row],[Kunden Nr.]],KUNDEN!A:B,2,0)</f>
        <v>KUQI-LKW</v>
      </c>
      <c r="H1910" s="75">
        <v>51936</v>
      </c>
      <c r="I1910" s="76" t="str">
        <f>VLOOKUP(Tabelle2[[#This Row],[Artikel]],Produkte!A:B,2,0)</f>
        <v>M ONE SCHWARZ GLÄNZED</v>
      </c>
      <c r="J1910" s="75">
        <v>2</v>
      </c>
      <c r="K1910" s="76" t="str">
        <f>VLOOKUP(Tabelle2[[#This Row],[Kunden Nr.]],KUNDEN!A:G,7)</f>
        <v>Mensuri</v>
      </c>
      <c r="L1910" s="76">
        <f>VLOOKUP(Tabelle2[[#This Row],[Artikel]],Produkte!A:H,8)</f>
        <v>0.15</v>
      </c>
    </row>
    <row r="1911" spans="1:12" x14ac:dyDescent="0.2">
      <c r="A1911" s="75" t="s">
        <v>469</v>
      </c>
      <c r="B1911" s="79">
        <v>46111</v>
      </c>
      <c r="C1911" s="75"/>
      <c r="D1911" s="75"/>
      <c r="E1911" s="75"/>
      <c r="F1911" s="75">
        <v>20102</v>
      </c>
      <c r="G1911" s="76" t="str">
        <f>VLOOKUP(Tabelle2[[#This Row],[Kunden Nr.]],KUNDEN!A:B,2,0)</f>
        <v>KUQI-LKW</v>
      </c>
      <c r="H1911" s="75">
        <v>49644</v>
      </c>
      <c r="I1911" s="76" t="str">
        <f>VLOOKUP(Tabelle2[[#This Row],[Artikel]],Produkte!A:B,2,0)</f>
        <v>beMAKER Rostlöser</v>
      </c>
      <c r="J1911" s="75">
        <v>5</v>
      </c>
      <c r="K1911" s="76" t="str">
        <f>VLOOKUP(Tabelle2[[#This Row],[Kunden Nr.]],KUNDEN!A:G,7)</f>
        <v>Mensuri</v>
      </c>
      <c r="L1911" s="76">
        <f>VLOOKUP(Tabelle2[[#This Row],[Artikel]],Produkte!A:H,8)</f>
        <v>0.2</v>
      </c>
    </row>
    <row r="1912" spans="1:12" x14ac:dyDescent="0.2">
      <c r="A1912" s="75" t="s">
        <v>468</v>
      </c>
      <c r="B1912" s="79">
        <v>46111</v>
      </c>
      <c r="C1912" s="89">
        <v>37.5</v>
      </c>
      <c r="D1912" s="75"/>
      <c r="E1912" s="75"/>
      <c r="F1912" s="75">
        <v>20101</v>
      </c>
      <c r="G1912" s="76" t="str">
        <f>VLOOKUP(Tabelle2[[#This Row],[Kunden Nr.]],KUNDEN!A:B,2,0)</f>
        <v>TE GZIMI</v>
      </c>
      <c r="H1912" s="75">
        <v>49644</v>
      </c>
      <c r="I1912" s="76" t="str">
        <f>VLOOKUP(Tabelle2[[#This Row],[Artikel]],Produkte!A:B,2,0)</f>
        <v>beMAKER Rostlöser</v>
      </c>
      <c r="J1912" s="75">
        <v>6</v>
      </c>
      <c r="K1912" s="76" t="str">
        <f>VLOOKUP(Tabelle2[[#This Row],[Kunden Nr.]],KUNDEN!A:G,7)</f>
        <v>Mensuri</v>
      </c>
      <c r="L1912" s="76">
        <f>VLOOKUP(Tabelle2[[#This Row],[Artikel]],Produkte!A:H,8)</f>
        <v>0.2</v>
      </c>
    </row>
    <row r="1913" spans="1:12" x14ac:dyDescent="0.2">
      <c r="A1913" s="75" t="s">
        <v>468</v>
      </c>
      <c r="B1913" s="79">
        <v>46111</v>
      </c>
      <c r="C1913" s="75"/>
      <c r="D1913" s="75"/>
      <c r="E1913" s="75"/>
      <c r="F1913" s="75">
        <v>20101</v>
      </c>
      <c r="G1913" s="76" t="str">
        <f>VLOOKUP(Tabelle2[[#This Row],[Kunden Nr.]],KUNDEN!A:B,2,0)</f>
        <v>TE GZIMI</v>
      </c>
      <c r="H1913" s="75">
        <v>55718</v>
      </c>
      <c r="I1913" s="76" t="str">
        <f>VLOOKUP(Tabelle2[[#This Row],[Artikel]],Produkte!A:B,2,0)</f>
        <v>M ONE MOTORSTART</v>
      </c>
      <c r="J1913" s="75">
        <v>5</v>
      </c>
      <c r="K1913" s="76" t="str">
        <f>VLOOKUP(Tabelle2[[#This Row],[Kunden Nr.]],KUNDEN!A:G,7)</f>
        <v>Mensuri</v>
      </c>
      <c r="L1913" s="76">
        <f>VLOOKUP(Tabelle2[[#This Row],[Artikel]],Produkte!A:H,8)</f>
        <v>0.2</v>
      </c>
    </row>
    <row r="1914" spans="1:12" x14ac:dyDescent="0.2">
      <c r="A1914" s="75" t="s">
        <v>468</v>
      </c>
      <c r="B1914" s="79">
        <v>46111</v>
      </c>
      <c r="C1914" s="75"/>
      <c r="D1914" s="75"/>
      <c r="E1914" s="75"/>
      <c r="F1914" s="75">
        <v>20101</v>
      </c>
      <c r="G1914" s="76" t="str">
        <f>VLOOKUP(Tabelle2[[#This Row],[Kunden Nr.]],KUNDEN!A:B,2,0)</f>
        <v>TE GZIMI</v>
      </c>
      <c r="H1914" s="75">
        <v>54412</v>
      </c>
      <c r="I1914" s="76" t="str">
        <f>VLOOKUP(Tabelle2[[#This Row],[Artikel]],Produkte!A:B,2,0)</f>
        <v>beMAKER Bremsen&amp;Teile Reininger</v>
      </c>
      <c r="J1914" s="75">
        <v>4</v>
      </c>
      <c r="K1914" s="76" t="str">
        <f>VLOOKUP(Tabelle2[[#This Row],[Kunden Nr.]],KUNDEN!A:G,7)</f>
        <v>Mensuri</v>
      </c>
      <c r="L1914" s="76">
        <f>VLOOKUP(Tabelle2[[#This Row],[Artikel]],Produkte!A:H,8)</f>
        <v>0.2</v>
      </c>
    </row>
    <row r="1915" spans="1:12" x14ac:dyDescent="0.2">
      <c r="A1915" s="75" t="s">
        <v>1163</v>
      </c>
      <c r="B1915" s="79">
        <v>46111</v>
      </c>
      <c r="C1915" s="89">
        <v>231</v>
      </c>
      <c r="D1915" s="75"/>
      <c r="E1915" s="75"/>
      <c r="F1915" s="75">
        <v>20121</v>
      </c>
      <c r="G1915" s="76" t="str">
        <f>VLOOKUP(Tabelle2[[#This Row],[Kunden Nr.]],KUNDEN!A:B,2,0)</f>
        <v>CAMA BAU</v>
      </c>
      <c r="H1915" s="75">
        <v>35108</v>
      </c>
      <c r="I1915" s="76" t="str">
        <f>VLOOKUP(Tabelle2[[#This Row],[Artikel]],Produkte!A:B,2,0)</f>
        <v>M-ONE Sanitar Silikon</v>
      </c>
      <c r="J1915" s="75">
        <v>24</v>
      </c>
      <c r="K1915" s="76" t="str">
        <f>VLOOKUP(Tabelle2[[#This Row],[Kunden Nr.]],KUNDEN!A:G,7)</f>
        <v>Mensuri</v>
      </c>
      <c r="L1915" s="76">
        <f>VLOOKUP(Tabelle2[[#This Row],[Artikel]],Produkte!A:H,8)</f>
        <v>0.17</v>
      </c>
    </row>
    <row r="1916" spans="1:12" x14ac:dyDescent="0.2">
      <c r="A1916" s="75" t="s">
        <v>1163</v>
      </c>
      <c r="B1916" s="79">
        <v>46111</v>
      </c>
      <c r="C1916" s="75"/>
      <c r="D1916" s="75"/>
      <c r="E1916" s="75"/>
      <c r="F1916" s="75">
        <v>20121</v>
      </c>
      <c r="G1916" s="76" t="str">
        <f>VLOOKUP(Tabelle2[[#This Row],[Kunden Nr.]],KUNDEN!A:B,2,0)</f>
        <v>CAMA BAU</v>
      </c>
      <c r="H1916" s="75">
        <v>35114</v>
      </c>
      <c r="I1916" s="76" t="str">
        <f>VLOOKUP(Tabelle2[[#This Row],[Artikel]],Produkte!A:B,2,0)</f>
        <v>M-ONE Sanitar Silikon</v>
      </c>
      <c r="J1916" s="75">
        <v>12</v>
      </c>
      <c r="K1916" s="76" t="str">
        <f>VLOOKUP(Tabelle2[[#This Row],[Kunden Nr.]],KUNDEN!A:G,7)</f>
        <v>Mensuri</v>
      </c>
      <c r="L1916" s="76">
        <f>VLOOKUP(Tabelle2[[#This Row],[Artikel]],Produkte!A:H,8)</f>
        <v>0.17</v>
      </c>
    </row>
    <row r="1917" spans="1:12" x14ac:dyDescent="0.2">
      <c r="A1917" s="75" t="s">
        <v>1163</v>
      </c>
      <c r="B1917" s="79">
        <v>46111</v>
      </c>
      <c r="C1917" s="75"/>
      <c r="D1917" s="75"/>
      <c r="E1917" s="75"/>
      <c r="F1917" s="75">
        <v>20121</v>
      </c>
      <c r="G1917" s="76" t="str">
        <f>VLOOKUP(Tabelle2[[#This Row],[Kunden Nr.]],KUNDEN!A:B,2,0)</f>
        <v>CAMA BAU</v>
      </c>
      <c r="H1917" s="75">
        <v>35113</v>
      </c>
      <c r="I1917" s="76" t="str">
        <f>VLOOKUP(Tabelle2[[#This Row],[Artikel]],Produkte!A:B,2,0)</f>
        <v>M-ONE Sanitar Silikon</v>
      </c>
      <c r="J1917" s="75">
        <v>12</v>
      </c>
      <c r="K1917" s="76" t="str">
        <f>VLOOKUP(Tabelle2[[#This Row],[Kunden Nr.]],KUNDEN!A:G,7)</f>
        <v>Mensuri</v>
      </c>
      <c r="L1917" s="76">
        <f>VLOOKUP(Tabelle2[[#This Row],[Artikel]],Produkte!A:H,8)</f>
        <v>0.17</v>
      </c>
    </row>
    <row r="1918" spans="1:12" x14ac:dyDescent="0.2">
      <c r="A1918" s="75" t="s">
        <v>1163</v>
      </c>
      <c r="B1918" s="79">
        <v>46111</v>
      </c>
      <c r="C1918" s="75"/>
      <c r="D1918" s="75"/>
      <c r="E1918" s="75"/>
      <c r="F1918" s="75">
        <v>20121</v>
      </c>
      <c r="G1918" s="76" t="str">
        <f>VLOOKUP(Tabelle2[[#This Row],[Kunden Nr.]],KUNDEN!A:B,2,0)</f>
        <v>CAMA BAU</v>
      </c>
      <c r="H1918" s="75">
        <v>35121</v>
      </c>
      <c r="I1918" s="76" t="str">
        <f>VLOOKUP(Tabelle2[[#This Row],[Artikel]],Produkte!A:B,2,0)</f>
        <v>M-ONE Sanitar Silikon</v>
      </c>
      <c r="J1918" s="75">
        <v>12</v>
      </c>
      <c r="K1918" s="76" t="str">
        <f>VLOOKUP(Tabelle2[[#This Row],[Kunden Nr.]],KUNDEN!A:G,7)</f>
        <v>Mensuri</v>
      </c>
      <c r="L1918" s="76">
        <f>VLOOKUP(Tabelle2[[#This Row],[Artikel]],Produkte!A:H,8)</f>
        <v>0.17</v>
      </c>
    </row>
    <row r="1919" spans="1:12" x14ac:dyDescent="0.2">
      <c r="A1919" s="75" t="s">
        <v>1177</v>
      </c>
      <c r="B1919" s="79">
        <v>46111</v>
      </c>
      <c r="C1919" s="89">
        <v>48</v>
      </c>
      <c r="D1919" s="75"/>
      <c r="E1919" s="75"/>
      <c r="F1919" s="75">
        <v>40017</v>
      </c>
      <c r="G1919" s="76" t="str">
        <f>VLOOKUP(Tabelle2[[#This Row],[Kunden Nr.]],KUNDEN!A:B,2,0)</f>
        <v>YLLI CONSTRUCION</v>
      </c>
      <c r="H1919" s="75">
        <v>35128</v>
      </c>
      <c r="I1919" s="76" t="str">
        <f>VLOOKUP(Tabelle2[[#This Row],[Artikel]],Produkte!A:B,2,0)</f>
        <v>M-ONE Sanitar Silikon</v>
      </c>
      <c r="J1919" s="75">
        <v>12</v>
      </c>
      <c r="K1919" s="76">
        <f>VLOOKUP(Tabelle2[[#This Row],[Kunden Nr.]],KUNDEN!A:G,7)</f>
        <v>0</v>
      </c>
      <c r="L1919" s="76">
        <f>VLOOKUP(Tabelle2[[#This Row],[Artikel]],Produkte!A:H,8)</f>
        <v>0.17</v>
      </c>
    </row>
    <row r="1920" spans="1:12" x14ac:dyDescent="0.2">
      <c r="A1920" s="75" t="s">
        <v>515</v>
      </c>
      <c r="B1920" s="79">
        <v>46112</v>
      </c>
      <c r="C1920" s="89">
        <v>50.4</v>
      </c>
      <c r="D1920" s="75"/>
      <c r="E1920" s="75"/>
      <c r="F1920" s="75">
        <v>10205</v>
      </c>
      <c r="G1920" s="76" t="str">
        <f>VLOOKUP(Tabelle2[[#This Row],[Kunden Nr.]],KUNDEN!A:B,2,0)</f>
        <v>XHAFA</v>
      </c>
      <c r="H1920" s="75">
        <v>72101</v>
      </c>
      <c r="I1920" s="76" t="str">
        <f>VLOOKUP(Tabelle2[[#This Row],[Artikel]],Produkte!A:B,2,0)</f>
        <v>Zink Spray Hell</v>
      </c>
      <c r="J1920" s="75">
        <v>12</v>
      </c>
      <c r="K1920" s="76" t="str">
        <f>VLOOKUP(Tabelle2[[#This Row],[Kunden Nr.]],KUNDEN!A:G,7)</f>
        <v>Qerimi</v>
      </c>
      <c r="L1920" s="76">
        <f>VLOOKUP(Tabelle2[[#This Row],[Artikel]],Produkte!A:H,8)</f>
        <v>0.2</v>
      </c>
    </row>
    <row r="1921" spans="1:12" x14ac:dyDescent="0.2">
      <c r="A1921" s="75" t="s">
        <v>520</v>
      </c>
      <c r="B1921" s="79">
        <v>46112</v>
      </c>
      <c r="C1921" s="89">
        <v>92.4</v>
      </c>
      <c r="D1921" s="75"/>
      <c r="E1921" s="75"/>
      <c r="F1921" s="75">
        <v>10210</v>
      </c>
      <c r="G1921" s="76" t="str">
        <f>VLOOKUP(Tabelle2[[#This Row],[Kunden Nr.]],KUNDEN!A:B,2,0)</f>
        <v>MONI 2</v>
      </c>
      <c r="H1921" s="75">
        <v>35121</v>
      </c>
      <c r="I1921" s="76" t="str">
        <f>VLOOKUP(Tabelle2[[#This Row],[Artikel]],Produkte!A:B,2,0)</f>
        <v>M-ONE Sanitar Silikon</v>
      </c>
      <c r="J1921" s="75">
        <v>24</v>
      </c>
      <c r="K1921" s="76" t="str">
        <f>VLOOKUP(Tabelle2[[#This Row],[Kunden Nr.]],KUNDEN!A:G,7)</f>
        <v>Qerimi</v>
      </c>
      <c r="L1921" s="76">
        <f>VLOOKUP(Tabelle2[[#This Row],[Artikel]],Produkte!A:H,8)</f>
        <v>0.17</v>
      </c>
    </row>
    <row r="1922" spans="1:12" x14ac:dyDescent="0.2">
      <c r="A1922" s="75" t="s">
        <v>515</v>
      </c>
      <c r="B1922" s="79">
        <v>46112</v>
      </c>
      <c r="C1922" s="89">
        <v>67.8</v>
      </c>
      <c r="D1922" s="75"/>
      <c r="E1922" s="75"/>
      <c r="F1922" s="75">
        <v>10205</v>
      </c>
      <c r="G1922" s="76" t="str">
        <f>VLOOKUP(Tabelle2[[#This Row],[Kunden Nr.]],KUNDEN!A:B,2,0)</f>
        <v>XHAFA</v>
      </c>
      <c r="H1922" s="75">
        <v>50912</v>
      </c>
      <c r="I1922" s="76" t="str">
        <f>VLOOKUP(Tabelle2[[#This Row],[Artikel]],Produkte!A:B,2,0)</f>
        <v>DICHTUNG</v>
      </c>
      <c r="J1922" s="75">
        <v>3</v>
      </c>
      <c r="K1922" s="76" t="str">
        <f>VLOOKUP(Tabelle2[[#This Row],[Kunden Nr.]],KUNDEN!A:G,7)</f>
        <v>Qerimi</v>
      </c>
      <c r="L1922" s="76">
        <f>VLOOKUP(Tabelle2[[#This Row],[Artikel]],Produkte!A:H,8)</f>
        <v>0.2</v>
      </c>
    </row>
    <row r="1923" spans="1:12" x14ac:dyDescent="0.2">
      <c r="A1923" s="75" t="s">
        <v>515</v>
      </c>
      <c r="B1923" s="79">
        <v>46112</v>
      </c>
      <c r="C1923" s="75"/>
      <c r="D1923" s="75"/>
      <c r="E1923" s="75"/>
      <c r="F1923" s="75">
        <v>10205</v>
      </c>
      <c r="G1923" s="76" t="str">
        <f>VLOOKUP(Tabelle2[[#This Row],[Kunden Nr.]],KUNDEN!A:B,2,0)</f>
        <v>XHAFA</v>
      </c>
      <c r="H1923" s="75">
        <v>35128</v>
      </c>
      <c r="I1923" s="76" t="str">
        <f>VLOOKUP(Tabelle2[[#This Row],[Artikel]],Produkte!A:B,2,0)</f>
        <v>M-ONE Sanitar Silikon</v>
      </c>
      <c r="J1923" s="75">
        <v>12</v>
      </c>
      <c r="K1923" s="76" t="str">
        <f>VLOOKUP(Tabelle2[[#This Row],[Kunden Nr.]],KUNDEN!A:G,7)</f>
        <v>Qerimi</v>
      </c>
      <c r="L1923" s="76">
        <f>VLOOKUP(Tabelle2[[#This Row],[Artikel]],Produkte!A:H,8)</f>
        <v>0.17</v>
      </c>
    </row>
    <row r="1924" spans="1:12" x14ac:dyDescent="0.2">
      <c r="A1924" s="75" t="s">
        <v>1265</v>
      </c>
      <c r="B1924" s="79">
        <v>46112</v>
      </c>
      <c r="C1924" s="89">
        <v>86.4</v>
      </c>
      <c r="D1924" s="75"/>
      <c r="E1924" s="75"/>
      <c r="F1924" s="75">
        <v>10146</v>
      </c>
      <c r="G1924" s="76" t="e">
        <f>VLOOKUP(Tabelle2[[#This Row],[Kunden Nr.]],KUNDEN!A:B,2,0)</f>
        <v>#N/A</v>
      </c>
      <c r="H1924" s="75">
        <v>50912</v>
      </c>
      <c r="I1924" s="76" t="str">
        <f>VLOOKUP(Tabelle2[[#This Row],[Artikel]],Produkte!A:B,2,0)</f>
        <v>DICHTUNG</v>
      </c>
      <c r="J1924" s="75">
        <v>12</v>
      </c>
      <c r="K1924" s="76" t="str">
        <f>VLOOKUP(Tabelle2[[#This Row],[Kunden Nr.]],KUNDEN!A:G,7)</f>
        <v>Qerimi</v>
      </c>
      <c r="L1924" s="76">
        <f>VLOOKUP(Tabelle2[[#This Row],[Artikel]],Produkte!A:H,8)</f>
        <v>0.2</v>
      </c>
    </row>
    <row r="1925" spans="1:12" x14ac:dyDescent="0.2">
      <c r="A1925" s="75" t="s">
        <v>509</v>
      </c>
      <c r="B1925" s="79">
        <v>46112</v>
      </c>
      <c r="C1925" s="89">
        <v>92.4</v>
      </c>
      <c r="D1925" s="75"/>
      <c r="E1925" s="75"/>
      <c r="F1925" s="75">
        <v>10201</v>
      </c>
      <c r="G1925" s="76" t="str">
        <f>VLOOKUP(Tabelle2[[#This Row],[Kunden Nr.]],KUNDEN!A:B,2,0)</f>
        <v>TE BESNIKU</v>
      </c>
      <c r="H1925" s="75">
        <v>35108</v>
      </c>
      <c r="I1925" s="76" t="str">
        <f>VLOOKUP(Tabelle2[[#This Row],[Artikel]],Produkte!A:B,2,0)</f>
        <v>M-ONE Sanitar Silikon</v>
      </c>
      <c r="J1925" s="75">
        <v>12</v>
      </c>
      <c r="K1925" s="76" t="str">
        <f>VLOOKUP(Tabelle2[[#This Row],[Kunden Nr.]],KUNDEN!A:G,7)</f>
        <v>Qerimi</v>
      </c>
      <c r="L1925" s="76">
        <f>VLOOKUP(Tabelle2[[#This Row],[Artikel]],Produkte!A:H,8)</f>
        <v>0.17</v>
      </c>
    </row>
    <row r="1926" spans="1:12" x14ac:dyDescent="0.2">
      <c r="A1926" s="75" t="s">
        <v>509</v>
      </c>
      <c r="B1926" s="79">
        <v>46112</v>
      </c>
      <c r="C1926" s="75"/>
      <c r="D1926" s="75"/>
      <c r="E1926" s="75"/>
      <c r="F1926" s="75">
        <v>10201</v>
      </c>
      <c r="G1926" s="76" t="str">
        <f>VLOOKUP(Tabelle2[[#This Row],[Kunden Nr.]],KUNDEN!A:B,2,0)</f>
        <v>TE BESNIKU</v>
      </c>
      <c r="H1926" s="75">
        <v>35125</v>
      </c>
      <c r="I1926" s="76" t="str">
        <f>VLOOKUP(Tabelle2[[#This Row],[Artikel]],Produkte!A:B,2,0)</f>
        <v>M-ONE Sanitar Silikon</v>
      </c>
      <c r="J1926" s="75">
        <v>12</v>
      </c>
      <c r="K1926" s="76" t="str">
        <f>VLOOKUP(Tabelle2[[#This Row],[Kunden Nr.]],KUNDEN!A:G,7)</f>
        <v>Qerimi</v>
      </c>
      <c r="L1926" s="76">
        <f>VLOOKUP(Tabelle2[[#This Row],[Artikel]],Produkte!A:H,8)</f>
        <v>0.17</v>
      </c>
    </row>
    <row r="1927" spans="1:12" x14ac:dyDescent="0.2">
      <c r="A1927" s="75" t="s">
        <v>1201</v>
      </c>
      <c r="B1927" s="79">
        <v>46112</v>
      </c>
      <c r="C1927" s="89">
        <v>138.6</v>
      </c>
      <c r="D1927" s="75"/>
      <c r="E1927" s="75"/>
      <c r="F1927" s="75">
        <v>10240</v>
      </c>
      <c r="G1927" s="76" t="str">
        <f>VLOOKUP(Tabelle2[[#This Row],[Kunden Nr.]],KUNDEN!A:B,2,0)</f>
        <v>ARPO</v>
      </c>
      <c r="H1927" s="75">
        <v>35111</v>
      </c>
      <c r="I1927" s="76" t="str">
        <f>VLOOKUP(Tabelle2[[#This Row],[Artikel]],Produkte!A:B,2,0)</f>
        <v>M-ONE Sanitar Silikon</v>
      </c>
      <c r="J1927" s="75">
        <v>12</v>
      </c>
      <c r="K1927" s="76" t="str">
        <f>VLOOKUP(Tabelle2[[#This Row],[Kunden Nr.]],KUNDEN!A:G,7)</f>
        <v>Qerimi</v>
      </c>
      <c r="L1927" s="76">
        <f>VLOOKUP(Tabelle2[[#This Row],[Artikel]],Produkte!A:H,8)</f>
        <v>0.17</v>
      </c>
    </row>
    <row r="1928" spans="1:12" x14ac:dyDescent="0.2">
      <c r="A1928" s="75" t="s">
        <v>1201</v>
      </c>
      <c r="B1928" s="79">
        <v>46112</v>
      </c>
      <c r="C1928" s="75"/>
      <c r="D1928" s="75"/>
      <c r="E1928" s="75"/>
      <c r="F1928" s="75">
        <v>10240</v>
      </c>
      <c r="G1928" s="76" t="str">
        <f>VLOOKUP(Tabelle2[[#This Row],[Kunden Nr.]],KUNDEN!A:B,2,0)</f>
        <v>ARPO</v>
      </c>
      <c r="H1928" s="75">
        <v>35113</v>
      </c>
      <c r="I1928" s="76" t="str">
        <f>VLOOKUP(Tabelle2[[#This Row],[Artikel]],Produkte!A:B,2,0)</f>
        <v>M-ONE Sanitar Silikon</v>
      </c>
      <c r="J1928" s="75">
        <v>12</v>
      </c>
      <c r="K1928" s="76" t="str">
        <f>VLOOKUP(Tabelle2[[#This Row],[Kunden Nr.]],KUNDEN!A:G,7)</f>
        <v>Qerimi</v>
      </c>
      <c r="L1928" s="76">
        <f>VLOOKUP(Tabelle2[[#This Row],[Artikel]],Produkte!A:H,8)</f>
        <v>0.17</v>
      </c>
    </row>
    <row r="1929" spans="1:12" x14ac:dyDescent="0.2">
      <c r="A1929" s="75" t="s">
        <v>1201</v>
      </c>
      <c r="B1929" s="79">
        <v>46112</v>
      </c>
      <c r="C1929" s="75"/>
      <c r="D1929" s="75"/>
      <c r="E1929" s="75"/>
      <c r="F1929" s="75">
        <v>10240</v>
      </c>
      <c r="G1929" s="76" t="str">
        <f>VLOOKUP(Tabelle2[[#This Row],[Kunden Nr.]],KUNDEN!A:B,2,0)</f>
        <v>ARPO</v>
      </c>
      <c r="H1929" s="75">
        <v>35119</v>
      </c>
      <c r="I1929" s="76" t="str">
        <f>VLOOKUP(Tabelle2[[#This Row],[Artikel]],Produkte!A:B,2,0)</f>
        <v>M-ONE Sanitar Silikon</v>
      </c>
      <c r="J1929" s="75">
        <v>12</v>
      </c>
      <c r="K1929" s="76" t="str">
        <f>VLOOKUP(Tabelle2[[#This Row],[Kunden Nr.]],KUNDEN!A:G,7)</f>
        <v>Qerimi</v>
      </c>
      <c r="L1929" s="76">
        <f>VLOOKUP(Tabelle2[[#This Row],[Artikel]],Produkte!A:H,8)</f>
        <v>0.17</v>
      </c>
    </row>
    <row r="1930" spans="1:12" x14ac:dyDescent="0.2">
      <c r="A1930" s="75" t="s">
        <v>1038</v>
      </c>
      <c r="B1930" s="79">
        <v>46112</v>
      </c>
      <c r="C1930" s="89">
        <v>46.2</v>
      </c>
      <c r="D1930" s="75"/>
      <c r="E1930" s="75"/>
      <c r="F1930" s="75">
        <v>10241</v>
      </c>
      <c r="G1930" s="76" t="str">
        <f>VLOOKUP(Tabelle2[[#This Row],[Kunden Nr.]],KUNDEN!A:B,2,0)</f>
        <v>AB SHPK</v>
      </c>
      <c r="H1930" s="75">
        <v>35128</v>
      </c>
      <c r="I1930" s="76" t="str">
        <f>VLOOKUP(Tabelle2[[#This Row],[Artikel]],Produkte!A:B,2,0)</f>
        <v>M-ONE Sanitar Silikon</v>
      </c>
      <c r="J1930" s="75">
        <v>12</v>
      </c>
      <c r="K1930" s="76" t="str">
        <f>VLOOKUP(Tabelle2[[#This Row],[Kunden Nr.]],KUNDEN!A:G,7)</f>
        <v>Qerimi</v>
      </c>
      <c r="L1930" s="76">
        <f>VLOOKUP(Tabelle2[[#This Row],[Artikel]],Produkte!A:H,8)</f>
        <v>0.17</v>
      </c>
    </row>
    <row r="1931" spans="1:12" x14ac:dyDescent="0.2">
      <c r="A1931" s="75" t="s">
        <v>939</v>
      </c>
      <c r="B1931" s="79">
        <v>46112</v>
      </c>
      <c r="C1931" s="89">
        <v>92.4</v>
      </c>
      <c r="D1931" s="75"/>
      <c r="E1931" s="75"/>
      <c r="F1931" s="75">
        <v>10230</v>
      </c>
      <c r="G1931" s="76" t="str">
        <f>VLOOKUP(Tabelle2[[#This Row],[Kunden Nr.]],KUNDEN!A:B,2,0)</f>
        <v>JETA DUHEL</v>
      </c>
      <c r="H1931" s="75">
        <v>35110</v>
      </c>
      <c r="I1931" s="76" t="str">
        <f>VLOOKUP(Tabelle2[[#This Row],[Artikel]],Produkte!A:B,2,0)</f>
        <v>M-ONE Sanitar Silikon</v>
      </c>
      <c r="J1931" s="75">
        <v>12</v>
      </c>
      <c r="K1931" s="76" t="str">
        <f>VLOOKUP(Tabelle2[[#This Row],[Kunden Nr.]],KUNDEN!A:G,7)</f>
        <v>Qerimi</v>
      </c>
      <c r="L1931" s="76">
        <f>VLOOKUP(Tabelle2[[#This Row],[Artikel]],Produkte!A:H,8)</f>
        <v>0.17</v>
      </c>
    </row>
    <row r="1932" spans="1:12" x14ac:dyDescent="0.2">
      <c r="A1932" s="75" t="s">
        <v>939</v>
      </c>
      <c r="B1932" s="79">
        <v>46112</v>
      </c>
      <c r="C1932" s="75"/>
      <c r="D1932" s="75"/>
      <c r="E1932" s="75"/>
      <c r="F1932" s="75">
        <v>10230</v>
      </c>
      <c r="G1932" s="76" t="str">
        <f>VLOOKUP(Tabelle2[[#This Row],[Kunden Nr.]],KUNDEN!A:B,2,0)</f>
        <v>JETA DUHEL</v>
      </c>
      <c r="H1932" s="75">
        <v>35121</v>
      </c>
      <c r="I1932" s="76" t="str">
        <f>VLOOKUP(Tabelle2[[#This Row],[Artikel]],Produkte!A:B,2,0)</f>
        <v>M-ONE Sanitar Silikon</v>
      </c>
      <c r="J1932" s="75">
        <v>12</v>
      </c>
      <c r="K1932" s="76" t="str">
        <f>VLOOKUP(Tabelle2[[#This Row],[Kunden Nr.]],KUNDEN!A:G,7)</f>
        <v>Qerimi</v>
      </c>
      <c r="L1932" s="76">
        <f>VLOOKUP(Tabelle2[[#This Row],[Artikel]],Produkte!A:H,8)</f>
        <v>0.17</v>
      </c>
    </row>
    <row r="1933" spans="1:12" x14ac:dyDescent="0.2">
      <c r="A1933" s="75" t="s">
        <v>1204</v>
      </c>
      <c r="B1933" s="79">
        <v>46112</v>
      </c>
      <c r="C1933" s="89">
        <v>46.2</v>
      </c>
      <c r="D1933" s="75"/>
      <c r="E1933" s="75"/>
      <c r="F1933" s="75">
        <v>10245</v>
      </c>
      <c r="G1933" s="76" t="str">
        <f>VLOOKUP(Tabelle2[[#This Row],[Kunden Nr.]],KUNDEN!A:B,2,0)</f>
        <v>BEK TRADE</v>
      </c>
      <c r="H1933" s="75">
        <v>35108</v>
      </c>
      <c r="I1933" s="76" t="str">
        <f>VLOOKUP(Tabelle2[[#This Row],[Artikel]],Produkte!A:B,2,0)</f>
        <v>M-ONE Sanitar Silikon</v>
      </c>
      <c r="J1933" s="75">
        <v>12</v>
      </c>
      <c r="K1933" s="76" t="str">
        <f>VLOOKUP(Tabelle2[[#This Row],[Kunden Nr.]],KUNDEN!A:G,7)</f>
        <v>Qerimi</v>
      </c>
      <c r="L1933" s="76">
        <f>VLOOKUP(Tabelle2[[#This Row],[Artikel]],Produkte!A:H,8)</f>
        <v>0.17</v>
      </c>
    </row>
    <row r="1934" spans="1:12" x14ac:dyDescent="0.2">
      <c r="A1934" s="75" t="s">
        <v>532</v>
      </c>
      <c r="B1934" s="79">
        <v>46112</v>
      </c>
      <c r="C1934" s="89">
        <v>43.5</v>
      </c>
      <c r="D1934" s="75"/>
      <c r="E1934" s="75"/>
      <c r="F1934" s="75">
        <v>10223</v>
      </c>
      <c r="G1934" s="76" t="str">
        <f>VLOOKUP(Tabelle2[[#This Row],[Kunden Nr.]],KUNDEN!A:B,2,0)</f>
        <v>MURIQI 1</v>
      </c>
      <c r="H1934" s="75">
        <v>31880</v>
      </c>
      <c r="I1934" s="76" t="str">
        <f>VLOOKUP(Tabelle2[[#This Row],[Artikel]],Produkte!A:B,2,0)</f>
        <v>HAT LACK 800</v>
      </c>
      <c r="J1934" s="75">
        <v>6</v>
      </c>
      <c r="K1934" s="76" t="str">
        <f>VLOOKUP(Tabelle2[[#This Row],[Kunden Nr.]],KUNDEN!A:G,7)</f>
        <v>Qerimi</v>
      </c>
      <c r="L1934" s="76">
        <f>VLOOKUP(Tabelle2[[#This Row],[Artikel]],Produkte!A:H,8)</f>
        <v>0.35</v>
      </c>
    </row>
    <row r="1935" spans="1:12" x14ac:dyDescent="0.2">
      <c r="A1935" s="75" t="s">
        <v>532</v>
      </c>
      <c r="B1935" s="79">
        <v>46112</v>
      </c>
      <c r="C1935" s="75"/>
      <c r="D1935" s="75"/>
      <c r="E1935" s="75"/>
      <c r="F1935" s="75">
        <v>10223</v>
      </c>
      <c r="G1935" s="76" t="str">
        <f>VLOOKUP(Tabelle2[[#This Row],[Kunden Nr.]],KUNDEN!A:B,2,0)</f>
        <v>MURIQI 1</v>
      </c>
      <c r="H1935" s="75">
        <v>39505</v>
      </c>
      <c r="I1935" s="76" t="str">
        <f>VLOOKUP(Tabelle2[[#This Row],[Artikel]],Produkte!A:B,2,0)</f>
        <v>M ONE SILIKON SPRAY</v>
      </c>
      <c r="J1935" s="75">
        <v>4</v>
      </c>
      <c r="K1935" s="76" t="str">
        <f>VLOOKUP(Tabelle2[[#This Row],[Kunden Nr.]],KUNDEN!A:G,7)</f>
        <v>Qerimi</v>
      </c>
      <c r="L1935" s="76">
        <f>VLOOKUP(Tabelle2[[#This Row],[Artikel]],Produkte!A:H,8)</f>
        <v>0.2</v>
      </c>
    </row>
    <row r="1936" spans="1:12" x14ac:dyDescent="0.2">
      <c r="A1936" s="75" t="s">
        <v>532</v>
      </c>
      <c r="B1936" s="79">
        <v>46112</v>
      </c>
      <c r="C1936" s="75"/>
      <c r="D1936" s="75"/>
      <c r="E1936" s="75"/>
      <c r="F1936" s="75">
        <v>10223</v>
      </c>
      <c r="G1936" s="76" t="str">
        <f>VLOOKUP(Tabelle2[[#This Row],[Kunden Nr.]],KUNDEN!A:B,2,0)</f>
        <v>MURIQI 1</v>
      </c>
      <c r="H1936" s="75">
        <v>51936</v>
      </c>
      <c r="I1936" s="76" t="str">
        <f>VLOOKUP(Tabelle2[[#This Row],[Artikel]],Produkte!A:B,2,0)</f>
        <v>M ONE SCHWARZ GLÄNZED</v>
      </c>
      <c r="J1936" s="75">
        <v>3</v>
      </c>
      <c r="K1936" s="76" t="str">
        <f>VLOOKUP(Tabelle2[[#This Row],[Kunden Nr.]],KUNDEN!A:G,7)</f>
        <v>Qerimi</v>
      </c>
      <c r="L1936" s="76">
        <f>VLOOKUP(Tabelle2[[#This Row],[Artikel]],Produkte!A:H,8)</f>
        <v>0.15</v>
      </c>
    </row>
    <row r="1937" spans="1:12" x14ac:dyDescent="0.2">
      <c r="A1937" s="75" t="s">
        <v>1179</v>
      </c>
      <c r="B1937" s="79">
        <v>46112</v>
      </c>
      <c r="C1937" s="89">
        <v>138.6</v>
      </c>
      <c r="D1937" s="75"/>
      <c r="E1937" s="75"/>
      <c r="F1937" s="75">
        <v>40019</v>
      </c>
      <c r="G1937" s="76" t="str">
        <f>VLOOKUP(Tabelle2[[#This Row],[Kunden Nr.]],KUNDEN!A:B,2,0)</f>
        <v>TEMAJ</v>
      </c>
      <c r="H1937" s="75">
        <v>35108</v>
      </c>
      <c r="I1937" s="76" t="str">
        <f>VLOOKUP(Tabelle2[[#This Row],[Artikel]],Produkte!A:B,2,0)</f>
        <v>M-ONE Sanitar Silikon</v>
      </c>
      <c r="J1937" s="75">
        <v>12</v>
      </c>
      <c r="K1937" s="76">
        <f>VLOOKUP(Tabelle2[[#This Row],[Kunden Nr.]],KUNDEN!A:G,7)</f>
        <v>0</v>
      </c>
      <c r="L1937" s="76">
        <f>VLOOKUP(Tabelle2[[#This Row],[Artikel]],Produkte!A:H,8)</f>
        <v>0.17</v>
      </c>
    </row>
    <row r="1938" spans="1:12" x14ac:dyDescent="0.2">
      <c r="A1938" s="75" t="s">
        <v>1179</v>
      </c>
      <c r="B1938" s="79">
        <v>46112</v>
      </c>
      <c r="C1938" s="75"/>
      <c r="D1938" s="75"/>
      <c r="E1938" s="75"/>
      <c r="F1938" s="75">
        <v>40019</v>
      </c>
      <c r="G1938" s="76" t="str">
        <f>VLOOKUP(Tabelle2[[#This Row],[Kunden Nr.]],KUNDEN!A:B,2,0)</f>
        <v>TEMAJ</v>
      </c>
      <c r="H1938" s="75">
        <v>35119</v>
      </c>
      <c r="I1938" s="76" t="str">
        <f>VLOOKUP(Tabelle2[[#This Row],[Artikel]],Produkte!A:B,2,0)</f>
        <v>M-ONE Sanitar Silikon</v>
      </c>
      <c r="J1938" s="75">
        <v>12</v>
      </c>
      <c r="K1938" s="76">
        <f>VLOOKUP(Tabelle2[[#This Row],[Kunden Nr.]],KUNDEN!A:G,7)</f>
        <v>0</v>
      </c>
      <c r="L1938" s="76">
        <f>VLOOKUP(Tabelle2[[#This Row],[Artikel]],Produkte!A:H,8)</f>
        <v>0.17</v>
      </c>
    </row>
    <row r="1939" spans="1:12" x14ac:dyDescent="0.2">
      <c r="A1939" s="75" t="s">
        <v>1179</v>
      </c>
      <c r="B1939" s="79">
        <v>46112</v>
      </c>
      <c r="C1939" s="75"/>
      <c r="D1939" s="75"/>
      <c r="E1939" s="75"/>
      <c r="F1939" s="75">
        <v>40019</v>
      </c>
      <c r="G1939" s="76" t="str">
        <f>VLOOKUP(Tabelle2[[#This Row],[Kunden Nr.]],KUNDEN!A:B,2,0)</f>
        <v>TEMAJ</v>
      </c>
      <c r="H1939" s="75">
        <v>35128</v>
      </c>
      <c r="I1939" s="76" t="str">
        <f>VLOOKUP(Tabelle2[[#This Row],[Artikel]],Produkte!A:B,2,0)</f>
        <v>M-ONE Sanitar Silikon</v>
      </c>
      <c r="J1939" s="75">
        <v>12</v>
      </c>
      <c r="K1939" s="76">
        <f>VLOOKUP(Tabelle2[[#This Row],[Kunden Nr.]],KUNDEN!A:G,7)</f>
        <v>0</v>
      </c>
      <c r="L1939" s="76">
        <f>VLOOKUP(Tabelle2[[#This Row],[Artikel]],Produkte!A:H,8)</f>
        <v>0.17</v>
      </c>
    </row>
    <row r="1940" spans="1:12" x14ac:dyDescent="0.2">
      <c r="A1940" s="75" t="s">
        <v>1314</v>
      </c>
      <c r="B1940" s="79">
        <v>46112</v>
      </c>
      <c r="C1940" s="89">
        <v>277.2</v>
      </c>
      <c r="D1940" s="75"/>
      <c r="E1940" s="75"/>
      <c r="F1940" s="75">
        <v>20229</v>
      </c>
      <c r="G1940" s="76" t="str">
        <f>VLOOKUP(Tabelle2[[#This Row],[Kunden Nr.]],KUNDEN!A:B,2,0)</f>
        <v xml:space="preserve">LIRA </v>
      </c>
      <c r="H1940" s="75">
        <v>35108</v>
      </c>
      <c r="I1940" s="76" t="str">
        <f>VLOOKUP(Tabelle2[[#This Row],[Artikel]],Produkte!A:B,2,0)</f>
        <v>M-ONE Sanitar Silikon</v>
      </c>
      <c r="J1940" s="75">
        <v>24</v>
      </c>
      <c r="K1940" s="76" t="str">
        <f>VLOOKUP(Tabelle2[[#This Row],[Kunden Nr.]],KUNDEN!A:G,7)</f>
        <v>Mensuri</v>
      </c>
      <c r="L1940" s="76">
        <f>VLOOKUP(Tabelle2[[#This Row],[Artikel]],Produkte!A:H,8)</f>
        <v>0.17</v>
      </c>
    </row>
    <row r="1941" spans="1:12" x14ac:dyDescent="0.2">
      <c r="A1941" s="75" t="s">
        <v>1314</v>
      </c>
      <c r="B1941" s="79">
        <v>46112</v>
      </c>
      <c r="C1941" s="75"/>
      <c r="D1941" s="75"/>
      <c r="E1941" s="75"/>
      <c r="F1941" s="75">
        <v>20229</v>
      </c>
      <c r="G1941" s="76" t="str">
        <f>VLOOKUP(Tabelle2[[#This Row],[Kunden Nr.]],KUNDEN!A:B,2,0)</f>
        <v xml:space="preserve">LIRA </v>
      </c>
      <c r="H1941" s="75">
        <v>35115</v>
      </c>
      <c r="I1941" s="76" t="str">
        <f>VLOOKUP(Tabelle2[[#This Row],[Artikel]],Produkte!A:B,2,0)</f>
        <v>M-ONE Sanitar Silikon</v>
      </c>
      <c r="J1941" s="75">
        <v>24</v>
      </c>
      <c r="K1941" s="76" t="str">
        <f>VLOOKUP(Tabelle2[[#This Row],[Kunden Nr.]],KUNDEN!A:G,7)</f>
        <v>Mensuri</v>
      </c>
      <c r="L1941" s="76">
        <f>VLOOKUP(Tabelle2[[#This Row],[Artikel]],Produkte!A:H,8)</f>
        <v>0.17</v>
      </c>
    </row>
    <row r="1942" spans="1:12" x14ac:dyDescent="0.2">
      <c r="A1942" s="75" t="s">
        <v>1314</v>
      </c>
      <c r="B1942" s="79">
        <v>46112</v>
      </c>
      <c r="C1942" s="75"/>
      <c r="D1942" s="75"/>
      <c r="E1942" s="75"/>
      <c r="F1942" s="75">
        <v>20229</v>
      </c>
      <c r="G1942" s="76" t="str">
        <f>VLOOKUP(Tabelle2[[#This Row],[Kunden Nr.]],KUNDEN!A:B,2,0)</f>
        <v xml:space="preserve">LIRA </v>
      </c>
      <c r="H1942" s="75">
        <v>35128</v>
      </c>
      <c r="I1942" s="76" t="str">
        <f>VLOOKUP(Tabelle2[[#This Row],[Artikel]],Produkte!A:B,2,0)</f>
        <v>M-ONE Sanitar Silikon</v>
      </c>
      <c r="J1942" s="75">
        <v>24</v>
      </c>
      <c r="K1942" s="76" t="str">
        <f>VLOOKUP(Tabelle2[[#This Row],[Kunden Nr.]],KUNDEN!A:G,7)</f>
        <v>Mensuri</v>
      </c>
      <c r="L1942" s="76">
        <f>VLOOKUP(Tabelle2[[#This Row],[Artikel]],Produkte!A:H,8)</f>
        <v>0.17</v>
      </c>
    </row>
    <row r="1943" spans="1:12" x14ac:dyDescent="0.2">
      <c r="A1943" s="75" t="s">
        <v>422</v>
      </c>
      <c r="B1943" s="79">
        <v>46112</v>
      </c>
      <c r="C1943" s="89">
        <v>103.2</v>
      </c>
      <c r="D1943" s="75"/>
      <c r="E1943" s="75"/>
      <c r="F1943" s="75">
        <v>20209</v>
      </c>
      <c r="G1943" s="76" t="str">
        <f>VLOOKUP(Tabelle2[[#This Row],[Kunden Nr.]],KUNDEN!A:B,2,0)</f>
        <v>LETAJ</v>
      </c>
      <c r="H1943" s="75">
        <v>51612</v>
      </c>
      <c r="I1943" s="76" t="str">
        <f>VLOOKUP(Tabelle2[[#This Row],[Artikel]],Produkte!A:B,2,0)</f>
        <v>struktural akryl</v>
      </c>
      <c r="J1943" s="75">
        <v>24</v>
      </c>
      <c r="K1943" s="76" t="str">
        <f>VLOOKUP(Tabelle2[[#This Row],[Kunden Nr.]],KUNDEN!A:G,7)</f>
        <v>Mensuri</v>
      </c>
      <c r="L1943" s="76">
        <f>VLOOKUP(Tabelle2[[#This Row],[Artikel]],Produkte!A:H,8)</f>
        <v>0.06</v>
      </c>
    </row>
    <row r="1944" spans="1:12" x14ac:dyDescent="0.2">
      <c r="A1944" s="75" t="s">
        <v>422</v>
      </c>
      <c r="B1944" s="79">
        <v>46112</v>
      </c>
      <c r="C1944" s="75"/>
      <c r="D1944" s="75"/>
      <c r="E1944" s="75"/>
      <c r="F1944" s="75">
        <v>20209</v>
      </c>
      <c r="G1944" s="76" t="str">
        <f>VLOOKUP(Tabelle2[[#This Row],[Kunden Nr.]],KUNDEN!A:B,2,0)</f>
        <v>LETAJ</v>
      </c>
      <c r="H1944" s="75">
        <v>56117</v>
      </c>
      <c r="I1944" s="76" t="str">
        <f>VLOOKUP(Tabelle2[[#This Row],[Artikel]],Produkte!A:B,2,0)</f>
        <v>M ONE UBS</v>
      </c>
      <c r="J1944" s="75">
        <v>6</v>
      </c>
      <c r="K1944" s="76" t="str">
        <f>VLOOKUP(Tabelle2[[#This Row],[Kunden Nr.]],KUNDEN!A:G,7)</f>
        <v>Mensuri</v>
      </c>
      <c r="L1944" s="76">
        <f>VLOOKUP(Tabelle2[[#This Row],[Artikel]],Produkte!A:H,8)</f>
        <v>0.2</v>
      </c>
    </row>
    <row r="1945" spans="1:12" x14ac:dyDescent="0.2">
      <c r="A1945" s="75" t="s">
        <v>422</v>
      </c>
      <c r="B1945" s="79">
        <v>46112</v>
      </c>
      <c r="C1945" s="75"/>
      <c r="D1945" s="75"/>
      <c r="E1945" s="75"/>
      <c r="F1945" s="75">
        <v>20209</v>
      </c>
      <c r="G1945" s="76" t="str">
        <f>VLOOKUP(Tabelle2[[#This Row],[Kunden Nr.]],KUNDEN!A:B,2,0)</f>
        <v>LETAJ</v>
      </c>
      <c r="H1945" s="75">
        <v>49644</v>
      </c>
      <c r="I1945" s="76" t="str">
        <f>VLOOKUP(Tabelle2[[#This Row],[Artikel]],Produkte!A:B,2,0)</f>
        <v>beMAKER Rostlöser</v>
      </c>
      <c r="J1945" s="75">
        <v>12</v>
      </c>
      <c r="K1945" s="76" t="str">
        <f>VLOOKUP(Tabelle2[[#This Row],[Kunden Nr.]],KUNDEN!A:G,7)</f>
        <v>Mensuri</v>
      </c>
      <c r="L1945" s="76">
        <f>VLOOKUP(Tabelle2[[#This Row],[Artikel]],Produkte!A:H,8)</f>
        <v>0.2</v>
      </c>
    </row>
    <row r="1946" spans="1:12" x14ac:dyDescent="0.2">
      <c r="A1946" s="75" t="s">
        <v>420</v>
      </c>
      <c r="B1946" s="79">
        <v>46112</v>
      </c>
      <c r="C1946" s="89">
        <v>19</v>
      </c>
      <c r="D1946" s="75"/>
      <c r="E1946" s="75"/>
      <c r="F1946" s="75">
        <v>20205</v>
      </c>
      <c r="G1946" s="76" t="str">
        <f>VLOOKUP(Tabelle2[[#This Row],[Kunden Nr.]],KUNDEN!A:B,2,0)</f>
        <v>GACAFERI-RG</v>
      </c>
      <c r="H1946" s="75">
        <v>56117</v>
      </c>
      <c r="I1946" s="76" t="str">
        <f>VLOOKUP(Tabelle2[[#This Row],[Artikel]],Produkte!A:B,2,0)</f>
        <v>M ONE UBS</v>
      </c>
      <c r="J1946" s="75">
        <v>3</v>
      </c>
      <c r="K1946" s="76" t="str">
        <f>VLOOKUP(Tabelle2[[#This Row],[Kunden Nr.]],KUNDEN!A:G,7)</f>
        <v>Mensuri</v>
      </c>
      <c r="L1946" s="76">
        <f>VLOOKUP(Tabelle2[[#This Row],[Artikel]],Produkte!A:H,8)</f>
        <v>0.2</v>
      </c>
    </row>
    <row r="1947" spans="1:12" x14ac:dyDescent="0.2">
      <c r="A1947" s="75" t="s">
        <v>420</v>
      </c>
      <c r="B1947" s="79">
        <v>46112</v>
      </c>
      <c r="C1947" s="75"/>
      <c r="D1947" s="75"/>
      <c r="E1947" s="75"/>
      <c r="F1947" s="75">
        <v>20205</v>
      </c>
      <c r="G1947" s="76" t="str">
        <f>VLOOKUP(Tabelle2[[#This Row],[Kunden Nr.]],KUNDEN!A:B,2,0)</f>
        <v>GACAFERI-RG</v>
      </c>
      <c r="H1947" s="75">
        <v>44001</v>
      </c>
      <c r="I1947" s="76" t="str">
        <f>VLOOKUP(Tabelle2[[#This Row],[Artikel]],Produkte!A:B,2,0)</f>
        <v>Fettspray</v>
      </c>
      <c r="J1947" s="75">
        <v>2</v>
      </c>
      <c r="K1947" s="76" t="str">
        <f>VLOOKUP(Tabelle2[[#This Row],[Kunden Nr.]],KUNDEN!A:G,7)</f>
        <v>Mensuri</v>
      </c>
      <c r="L1947" s="76">
        <f>VLOOKUP(Tabelle2[[#This Row],[Artikel]],Produkte!A:H,8)</f>
        <v>0.2</v>
      </c>
    </row>
    <row r="1948" spans="1:12" x14ac:dyDescent="0.2">
      <c r="A1948" s="75" t="s">
        <v>425</v>
      </c>
      <c r="B1948" s="79">
        <v>46112</v>
      </c>
      <c r="C1948" s="89">
        <v>92.4</v>
      </c>
      <c r="D1948" s="75"/>
      <c r="E1948" s="75"/>
      <c r="F1948" s="75">
        <v>20212</v>
      </c>
      <c r="G1948" s="76" t="str">
        <f>VLOOKUP(Tabelle2[[#This Row],[Kunden Nr.]],KUNDEN!A:B,2,0)</f>
        <v>INOX 2</v>
      </c>
      <c r="H1948" s="75">
        <v>35121</v>
      </c>
      <c r="I1948" s="76" t="str">
        <f>VLOOKUP(Tabelle2[[#This Row],[Artikel]],Produkte!A:B,2,0)</f>
        <v>M-ONE Sanitar Silikon</v>
      </c>
      <c r="J1948" s="75">
        <v>12</v>
      </c>
      <c r="K1948" s="76" t="str">
        <f>VLOOKUP(Tabelle2[[#This Row],[Kunden Nr.]],KUNDEN!A:G,7)</f>
        <v>Mensuri</v>
      </c>
      <c r="L1948" s="76">
        <f>VLOOKUP(Tabelle2[[#This Row],[Artikel]],Produkte!A:H,8)</f>
        <v>0.17</v>
      </c>
    </row>
    <row r="1949" spans="1:12" x14ac:dyDescent="0.2">
      <c r="A1949" s="75" t="s">
        <v>425</v>
      </c>
      <c r="B1949" s="79">
        <v>46112</v>
      </c>
      <c r="C1949" s="75"/>
      <c r="D1949" s="75"/>
      <c r="E1949" s="75"/>
      <c r="F1949" s="75">
        <v>20212</v>
      </c>
      <c r="G1949" s="76" t="str">
        <f>VLOOKUP(Tabelle2[[#This Row],[Kunden Nr.]],KUNDEN!A:B,2,0)</f>
        <v>INOX 2</v>
      </c>
      <c r="H1949" s="75">
        <v>35128</v>
      </c>
      <c r="I1949" s="76" t="str">
        <f>VLOOKUP(Tabelle2[[#This Row],[Artikel]],Produkte!A:B,2,0)</f>
        <v>M-ONE Sanitar Silikon</v>
      </c>
      <c r="J1949" s="75">
        <v>12</v>
      </c>
      <c r="K1949" s="76" t="str">
        <f>VLOOKUP(Tabelle2[[#This Row],[Kunden Nr.]],KUNDEN!A:G,7)</f>
        <v>Mensuri</v>
      </c>
      <c r="L1949" s="76">
        <f>VLOOKUP(Tabelle2[[#This Row],[Artikel]],Produkte!A:H,8)</f>
        <v>0.17</v>
      </c>
    </row>
    <row r="1950" spans="1:12" x14ac:dyDescent="0.2">
      <c r="A1950" s="75" t="s">
        <v>418</v>
      </c>
      <c r="B1950" s="79">
        <v>46112</v>
      </c>
      <c r="C1950" s="89">
        <v>184.8</v>
      </c>
      <c r="D1950" s="75"/>
      <c r="E1950" s="75"/>
      <c r="F1950" s="75">
        <v>20203</v>
      </c>
      <c r="G1950" s="76" t="str">
        <f>VLOOKUP(Tabelle2[[#This Row],[Kunden Nr.]],KUNDEN!A:B,2,0)</f>
        <v>AFRIMI-AG</v>
      </c>
      <c r="H1950" s="75">
        <v>35108</v>
      </c>
      <c r="I1950" s="76" t="str">
        <f>VLOOKUP(Tabelle2[[#This Row],[Artikel]],Produkte!A:B,2,0)</f>
        <v>M-ONE Sanitar Silikon</v>
      </c>
      <c r="J1950" s="75">
        <v>12</v>
      </c>
      <c r="K1950" s="76" t="str">
        <f>VLOOKUP(Tabelle2[[#This Row],[Kunden Nr.]],KUNDEN!A:G,7)</f>
        <v>Mensuri</v>
      </c>
      <c r="L1950" s="76">
        <f>VLOOKUP(Tabelle2[[#This Row],[Artikel]],Produkte!A:H,8)</f>
        <v>0.17</v>
      </c>
    </row>
    <row r="1951" spans="1:12" x14ac:dyDescent="0.2">
      <c r="A1951" s="75" t="s">
        <v>418</v>
      </c>
      <c r="B1951" s="79">
        <v>46112</v>
      </c>
      <c r="C1951" s="75"/>
      <c r="D1951" s="75"/>
      <c r="E1951" s="75"/>
      <c r="F1951" s="75">
        <v>20203</v>
      </c>
      <c r="G1951" s="76" t="str">
        <f>VLOOKUP(Tabelle2[[#This Row],[Kunden Nr.]],KUNDEN!A:B,2,0)</f>
        <v>AFRIMI-AG</v>
      </c>
      <c r="H1951" s="75">
        <v>35113</v>
      </c>
      <c r="I1951" s="76" t="str">
        <f>VLOOKUP(Tabelle2[[#This Row],[Artikel]],Produkte!A:B,2,0)</f>
        <v>M-ONE Sanitar Silikon</v>
      </c>
      <c r="J1951" s="75">
        <v>24</v>
      </c>
      <c r="K1951" s="76" t="str">
        <f>VLOOKUP(Tabelle2[[#This Row],[Kunden Nr.]],KUNDEN!A:G,7)</f>
        <v>Mensuri</v>
      </c>
      <c r="L1951" s="76">
        <f>VLOOKUP(Tabelle2[[#This Row],[Artikel]],Produkte!A:H,8)</f>
        <v>0.17</v>
      </c>
    </row>
    <row r="1952" spans="1:12" x14ac:dyDescent="0.2">
      <c r="A1952" s="75" t="s">
        <v>418</v>
      </c>
      <c r="B1952" s="79">
        <v>46112</v>
      </c>
      <c r="C1952" s="75"/>
      <c r="D1952" s="75"/>
      <c r="E1952" s="75"/>
      <c r="F1952" s="75">
        <v>20203</v>
      </c>
      <c r="G1952" s="76" t="str">
        <f>VLOOKUP(Tabelle2[[#This Row],[Kunden Nr.]],KUNDEN!A:B,2,0)</f>
        <v>AFRIMI-AG</v>
      </c>
      <c r="H1952" s="75">
        <v>35125</v>
      </c>
      <c r="I1952" s="76" t="str">
        <f>VLOOKUP(Tabelle2[[#This Row],[Artikel]],Produkte!A:B,2,0)</f>
        <v>M-ONE Sanitar Silikon</v>
      </c>
      <c r="J1952" s="75">
        <v>12</v>
      </c>
      <c r="K1952" s="76" t="str">
        <f>VLOOKUP(Tabelle2[[#This Row],[Kunden Nr.]],KUNDEN!A:G,7)</f>
        <v>Mensuri</v>
      </c>
      <c r="L1952" s="76">
        <f>VLOOKUP(Tabelle2[[#This Row],[Artikel]],Produkte!A:H,8)</f>
        <v>0.17</v>
      </c>
    </row>
    <row r="1953" spans="1:12" x14ac:dyDescent="0.2">
      <c r="A1953" s="75" t="s">
        <v>963</v>
      </c>
      <c r="B1953" s="79">
        <v>46112</v>
      </c>
      <c r="C1953" s="89">
        <v>102.4</v>
      </c>
      <c r="D1953" s="75"/>
      <c r="E1953" s="75"/>
      <c r="F1953" s="75">
        <v>20201</v>
      </c>
      <c r="G1953" s="76" t="str">
        <f>VLOOKUP(Tabelle2[[#This Row],[Kunden Nr.]],KUNDEN!A:B,2,0)</f>
        <v>TE BESIMI</v>
      </c>
      <c r="H1953" s="75">
        <v>35110</v>
      </c>
      <c r="I1953" s="76" t="str">
        <f>VLOOKUP(Tabelle2[[#This Row],[Artikel]],Produkte!A:B,2,0)</f>
        <v>M-ONE Sanitar Silikon</v>
      </c>
      <c r="J1953" s="75">
        <v>12</v>
      </c>
      <c r="K1953" s="76" t="str">
        <f>VLOOKUP(Tabelle2[[#This Row],[Kunden Nr.]],KUNDEN!A:G,7)</f>
        <v>Mensuri</v>
      </c>
      <c r="L1953" s="76">
        <f>VLOOKUP(Tabelle2[[#This Row],[Artikel]],Produkte!A:H,8)</f>
        <v>0.17</v>
      </c>
    </row>
    <row r="1954" spans="1:12" x14ac:dyDescent="0.2">
      <c r="A1954" s="75" t="s">
        <v>963</v>
      </c>
      <c r="B1954" s="79">
        <v>46112</v>
      </c>
      <c r="C1954" s="75"/>
      <c r="D1954" s="75"/>
      <c r="E1954" s="75"/>
      <c r="F1954" s="75">
        <v>20201</v>
      </c>
      <c r="G1954" s="76" t="str">
        <f>VLOOKUP(Tabelle2[[#This Row],[Kunden Nr.]],KUNDEN!A:B,2,0)</f>
        <v>TE BESIMI</v>
      </c>
      <c r="H1954" s="75">
        <v>35128</v>
      </c>
      <c r="I1954" s="76" t="str">
        <f>VLOOKUP(Tabelle2[[#This Row],[Artikel]],Produkte!A:B,2,0)</f>
        <v>M-ONE Sanitar Silikon</v>
      </c>
      <c r="J1954" s="75">
        <v>12</v>
      </c>
      <c r="K1954" s="76" t="str">
        <f>VLOOKUP(Tabelle2[[#This Row],[Kunden Nr.]],KUNDEN!A:G,7)</f>
        <v>Mensuri</v>
      </c>
      <c r="L1954" s="76">
        <f>VLOOKUP(Tabelle2[[#This Row],[Artikel]],Produkte!A:H,8)</f>
        <v>0.17</v>
      </c>
    </row>
    <row r="1955" spans="1:12" x14ac:dyDescent="0.2">
      <c r="A1955" s="75" t="s">
        <v>963</v>
      </c>
      <c r="B1955" s="79">
        <v>46112</v>
      </c>
      <c r="C1955" s="75"/>
      <c r="D1955" s="75"/>
      <c r="E1955" s="75"/>
      <c r="F1955" s="75">
        <v>20201</v>
      </c>
      <c r="G1955" s="76" t="str">
        <f>VLOOKUP(Tabelle2[[#This Row],[Kunden Nr.]],KUNDEN!A:B,2,0)</f>
        <v>TE BESIMI</v>
      </c>
      <c r="H1955" s="75">
        <v>54412</v>
      </c>
      <c r="I1955" s="76" t="str">
        <f>VLOOKUP(Tabelle2[[#This Row],[Artikel]],Produkte!A:B,2,0)</f>
        <v>beMAKER Bremsen&amp;Teile Reininger</v>
      </c>
      <c r="J1955" s="75">
        <v>5</v>
      </c>
      <c r="K1955" s="76" t="str">
        <f>VLOOKUP(Tabelle2[[#This Row],[Kunden Nr.]],KUNDEN!A:G,7)</f>
        <v>Mensuri</v>
      </c>
      <c r="L1955" s="76">
        <f>VLOOKUP(Tabelle2[[#This Row],[Artikel]],Produkte!A:H,8)</f>
        <v>0.2</v>
      </c>
    </row>
    <row r="1956" spans="1:12" x14ac:dyDescent="0.2">
      <c r="A1956" s="75" t="s">
        <v>770</v>
      </c>
      <c r="B1956" s="79">
        <v>46112</v>
      </c>
      <c r="C1956" s="89">
        <v>175</v>
      </c>
      <c r="D1956" s="75"/>
      <c r="E1956" s="75"/>
      <c r="F1956" s="75">
        <v>40003</v>
      </c>
      <c r="G1956" s="76" t="str">
        <f>VLOOKUP(Tabelle2[[#This Row],[Kunden Nr.]],KUNDEN!A:B,2,0)</f>
        <v>ARBENI BIOBLIC</v>
      </c>
      <c r="H1956" s="75">
        <v>20001</v>
      </c>
      <c r="I1956" s="76" t="str">
        <f>VLOOKUP(Tabelle2[[#This Row],[Artikel]],Produkte!A:B,2,0)</f>
        <v>BioBlic Universalreiniger</v>
      </c>
      <c r="J1956" s="75">
        <v>100</v>
      </c>
      <c r="K1956" s="76">
        <f>VLOOKUP(Tabelle2[[#This Row],[Kunden Nr.]],KUNDEN!A:G,7)</f>
        <v>0</v>
      </c>
      <c r="L1956" s="76">
        <f>VLOOKUP(Tabelle2[[#This Row],[Artikel]],Produkte!A:H,8)</f>
        <v>0.30000000000000004</v>
      </c>
    </row>
    <row r="1957" spans="1:12" x14ac:dyDescent="0.2">
      <c r="A1957" s="75" t="s">
        <v>770</v>
      </c>
      <c r="B1957" s="79">
        <v>46112</v>
      </c>
      <c r="C1957" s="75"/>
      <c r="D1957" s="75"/>
      <c r="E1957" s="75"/>
      <c r="F1957" s="75">
        <v>40003</v>
      </c>
      <c r="G1957" s="76" t="str">
        <f>VLOOKUP(Tabelle2[[#This Row],[Kunden Nr.]],KUNDEN!A:B,2,0)</f>
        <v>ARBENI BIOBLIC</v>
      </c>
      <c r="H1957" s="75">
        <v>30275</v>
      </c>
      <c r="I1957" s="76" t="str">
        <f>VLOOKUP(Tabelle2[[#This Row],[Artikel]],Produkte!A:B,2,0)</f>
        <v>Blic Blic Sanitärreiniger</v>
      </c>
      <c r="J1957" s="75">
        <v>40</v>
      </c>
      <c r="K1957" s="76">
        <f>VLOOKUP(Tabelle2[[#This Row],[Kunden Nr.]],KUNDEN!A:G,7)</f>
        <v>0</v>
      </c>
      <c r="L1957" s="76">
        <f>VLOOKUP(Tabelle2[[#This Row],[Artikel]],Produkte!A:H,8)</f>
        <v>0.30000000000000004</v>
      </c>
    </row>
    <row r="1958" spans="1:12" x14ac:dyDescent="0.2">
      <c r="A1958" s="75" t="s">
        <v>1265</v>
      </c>
      <c r="B1958" s="79">
        <v>46113</v>
      </c>
      <c r="C1958" s="89">
        <v>96</v>
      </c>
      <c r="D1958" s="75"/>
      <c r="E1958" s="75"/>
      <c r="F1958" s="75">
        <v>10147</v>
      </c>
      <c r="G1958" s="76" t="e">
        <f>VLOOKUP(Tabelle2[[#This Row],[Kunden Nr.]],KUNDEN!A:B,2,0)</f>
        <v>#N/A</v>
      </c>
      <c r="H1958" s="75">
        <v>50912</v>
      </c>
      <c r="I1958" s="76" t="str">
        <f>VLOOKUP(Tabelle2[[#This Row],[Artikel]],Produkte!A:B,2,0)</f>
        <v>DICHTUNG</v>
      </c>
      <c r="J1958" s="75">
        <v>12</v>
      </c>
      <c r="K1958" s="76" t="str">
        <f>VLOOKUP(Tabelle2[[#This Row],[Kunden Nr.]],KUNDEN!A:G,7)</f>
        <v>Qerimi</v>
      </c>
      <c r="L1958" s="76">
        <f>VLOOKUP(Tabelle2[[#This Row],[Artikel]],Produkte!A:H,8)</f>
        <v>0.2</v>
      </c>
    </row>
    <row r="1959" spans="1:12" x14ac:dyDescent="0.2">
      <c r="A1959" s="75" t="s">
        <v>1153</v>
      </c>
      <c r="B1959" s="79">
        <v>46113</v>
      </c>
      <c r="C1959" s="89">
        <v>92.4</v>
      </c>
      <c r="D1959" s="75"/>
      <c r="E1959" s="75"/>
      <c r="F1959" s="75">
        <v>10340</v>
      </c>
      <c r="G1959" s="76" t="str">
        <f>VLOOKUP(Tabelle2[[#This Row],[Kunden Nr.]],KUNDEN!A:B,2,0)</f>
        <v>IBAK</v>
      </c>
      <c r="H1959" s="75">
        <v>35109</v>
      </c>
      <c r="I1959" s="76" t="str">
        <f>VLOOKUP(Tabelle2[[#This Row],[Artikel]],Produkte!A:B,2,0)</f>
        <v>M-ONE Sanitar Silikon</v>
      </c>
      <c r="J1959" s="75">
        <v>24</v>
      </c>
      <c r="K1959" s="76" t="str">
        <f>VLOOKUP(Tabelle2[[#This Row],[Kunden Nr.]],KUNDEN!A:G,7)</f>
        <v>Qerimi</v>
      </c>
      <c r="L1959" s="76">
        <f>VLOOKUP(Tabelle2[[#This Row],[Artikel]],Produkte!A:H,8)</f>
        <v>0.17</v>
      </c>
    </row>
    <row r="1960" spans="1:12" x14ac:dyDescent="0.2">
      <c r="A1960" s="75" t="s">
        <v>1154</v>
      </c>
      <c r="B1960" s="79">
        <v>46113</v>
      </c>
      <c r="C1960" s="89">
        <v>138.6</v>
      </c>
      <c r="D1960" s="75"/>
      <c r="E1960" s="75"/>
      <c r="F1960" s="75">
        <v>10344</v>
      </c>
      <c r="G1960" s="76" t="str">
        <f>VLOOKUP(Tabelle2[[#This Row],[Kunden Nr.]],KUNDEN!A:B,2,0)</f>
        <v>TINA</v>
      </c>
      <c r="H1960" s="75">
        <v>35112</v>
      </c>
      <c r="I1960" s="76" t="str">
        <f>VLOOKUP(Tabelle2[[#This Row],[Artikel]],Produkte!A:B,2,0)</f>
        <v>M-ONE Sanitar Silikon</v>
      </c>
      <c r="J1960" s="75">
        <v>12</v>
      </c>
      <c r="K1960" s="76" t="str">
        <f>VLOOKUP(Tabelle2[[#This Row],[Kunden Nr.]],KUNDEN!A:G,7)</f>
        <v>Qerimi</v>
      </c>
      <c r="L1960" s="76">
        <f>VLOOKUP(Tabelle2[[#This Row],[Artikel]],Produkte!A:H,8)</f>
        <v>0.17</v>
      </c>
    </row>
    <row r="1961" spans="1:12" x14ac:dyDescent="0.2">
      <c r="A1961" s="75" t="s">
        <v>1154</v>
      </c>
      <c r="B1961" s="79">
        <v>46113</v>
      </c>
      <c r="C1961" s="75"/>
      <c r="D1961" s="75"/>
      <c r="E1961" s="75"/>
      <c r="F1961" s="75">
        <v>10344</v>
      </c>
      <c r="G1961" s="76" t="str">
        <f>VLOOKUP(Tabelle2[[#This Row],[Kunden Nr.]],KUNDEN!A:B,2,0)</f>
        <v>TINA</v>
      </c>
      <c r="H1961" s="75">
        <v>35113</v>
      </c>
      <c r="I1961" s="76" t="str">
        <f>VLOOKUP(Tabelle2[[#This Row],[Artikel]],Produkte!A:B,2,0)</f>
        <v>M-ONE Sanitar Silikon</v>
      </c>
      <c r="J1961" s="75">
        <v>12</v>
      </c>
      <c r="K1961" s="76" t="str">
        <f>VLOOKUP(Tabelle2[[#This Row],[Kunden Nr.]],KUNDEN!A:G,7)</f>
        <v>Qerimi</v>
      </c>
      <c r="L1961" s="76">
        <f>VLOOKUP(Tabelle2[[#This Row],[Artikel]],Produkte!A:H,8)</f>
        <v>0.17</v>
      </c>
    </row>
    <row r="1962" spans="1:12" x14ac:dyDescent="0.2">
      <c r="A1962" s="75" t="s">
        <v>1154</v>
      </c>
      <c r="B1962" s="79">
        <v>46113</v>
      </c>
      <c r="C1962" s="75"/>
      <c r="D1962" s="75"/>
      <c r="E1962" s="75"/>
      <c r="F1962" s="75">
        <v>10344</v>
      </c>
      <c r="G1962" s="76" t="str">
        <f>VLOOKUP(Tabelle2[[#This Row],[Kunden Nr.]],KUNDEN!A:B,2,0)</f>
        <v>TINA</v>
      </c>
      <c r="H1962" s="75">
        <v>35108</v>
      </c>
      <c r="I1962" s="76" t="str">
        <f>VLOOKUP(Tabelle2[[#This Row],[Artikel]],Produkte!A:B,2,0)</f>
        <v>M-ONE Sanitar Silikon</v>
      </c>
      <c r="J1962" s="75">
        <v>12</v>
      </c>
      <c r="K1962" s="76" t="str">
        <f>VLOOKUP(Tabelle2[[#This Row],[Kunden Nr.]],KUNDEN!A:G,7)</f>
        <v>Qerimi</v>
      </c>
      <c r="L1962" s="76">
        <f>VLOOKUP(Tabelle2[[#This Row],[Artikel]],Produkte!A:H,8)</f>
        <v>0.17</v>
      </c>
    </row>
    <row r="1963" spans="1:12" x14ac:dyDescent="0.2">
      <c r="A1963" s="75" t="s">
        <v>663</v>
      </c>
      <c r="B1963" s="79">
        <v>46113</v>
      </c>
      <c r="C1963" s="89">
        <v>30</v>
      </c>
      <c r="D1963" s="75"/>
      <c r="E1963" s="75"/>
      <c r="F1963" s="75">
        <v>10333</v>
      </c>
      <c r="G1963" s="76" t="str">
        <f>VLOOKUP(Tabelle2[[#This Row],[Kunden Nr.]],KUNDEN!A:B,2,0)</f>
        <v>FUGA MONT</v>
      </c>
      <c r="H1963" s="75">
        <v>51611</v>
      </c>
      <c r="I1963" s="76" t="str">
        <f>VLOOKUP(Tabelle2[[#This Row],[Artikel]],Produkte!A:B,2,0)</f>
        <v>universal akryl</v>
      </c>
      <c r="J1963" s="75">
        <v>24</v>
      </c>
      <c r="K1963" s="76" t="str">
        <f>VLOOKUP(Tabelle2[[#This Row],[Kunden Nr.]],KUNDEN!A:G,7)</f>
        <v>Qerimi</v>
      </c>
      <c r="L1963" s="76">
        <f>VLOOKUP(Tabelle2[[#This Row],[Artikel]],Produkte!A:H,8)</f>
        <v>0.06</v>
      </c>
    </row>
    <row r="1964" spans="1:12" x14ac:dyDescent="0.2">
      <c r="A1964" s="75" t="s">
        <v>1316</v>
      </c>
      <c r="B1964" s="79">
        <v>46113</v>
      </c>
      <c r="C1964" s="89">
        <v>92.4</v>
      </c>
      <c r="D1964" s="75"/>
      <c r="E1964" s="75"/>
      <c r="F1964" s="75">
        <v>10367</v>
      </c>
      <c r="G1964" s="76" t="str">
        <f>VLOOKUP(Tabelle2[[#This Row],[Kunden Nr.]],KUNDEN!A:B,2,0)</f>
        <v>SMIRA COLOR</v>
      </c>
      <c r="H1964" s="75">
        <v>35113</v>
      </c>
      <c r="I1964" s="76" t="str">
        <f>VLOOKUP(Tabelle2[[#This Row],[Artikel]],Produkte!A:B,2,0)</f>
        <v>M-ONE Sanitar Silikon</v>
      </c>
      <c r="J1964" s="75">
        <v>12</v>
      </c>
      <c r="K1964" s="76" t="str">
        <f>VLOOKUP(Tabelle2[[#This Row],[Kunden Nr.]],KUNDEN!A:G,7)</f>
        <v>Qerimi</v>
      </c>
      <c r="L1964" s="76">
        <f>VLOOKUP(Tabelle2[[#This Row],[Artikel]],Produkte!A:H,8)</f>
        <v>0.17</v>
      </c>
    </row>
    <row r="1965" spans="1:12" x14ac:dyDescent="0.2">
      <c r="A1965" s="75" t="s">
        <v>1316</v>
      </c>
      <c r="B1965" s="79">
        <v>46113</v>
      </c>
      <c r="C1965" s="75"/>
      <c r="D1965" s="75"/>
      <c r="E1965" s="75"/>
      <c r="F1965" s="75">
        <v>10367</v>
      </c>
      <c r="G1965" s="76" t="str">
        <f>VLOOKUP(Tabelle2[[#This Row],[Kunden Nr.]],KUNDEN!A:B,2,0)</f>
        <v>SMIRA COLOR</v>
      </c>
      <c r="H1965" s="75">
        <v>35121</v>
      </c>
      <c r="I1965" s="76" t="str">
        <f>VLOOKUP(Tabelle2[[#This Row],[Artikel]],Produkte!A:B,2,0)</f>
        <v>M-ONE Sanitar Silikon</v>
      </c>
      <c r="J1965" s="75">
        <v>12</v>
      </c>
      <c r="K1965" s="76" t="str">
        <f>VLOOKUP(Tabelle2[[#This Row],[Kunden Nr.]],KUNDEN!A:G,7)</f>
        <v>Qerimi</v>
      </c>
      <c r="L1965" s="76">
        <f>VLOOKUP(Tabelle2[[#This Row],[Artikel]],Produkte!A:H,8)</f>
        <v>0.17</v>
      </c>
    </row>
    <row r="1966" spans="1:12" x14ac:dyDescent="0.2">
      <c r="A1966" s="75" t="s">
        <v>413</v>
      </c>
      <c r="B1966" s="79">
        <v>46113</v>
      </c>
      <c r="C1966" s="89">
        <v>184.8</v>
      </c>
      <c r="D1966" s="75"/>
      <c r="E1966" s="75"/>
      <c r="F1966" s="75">
        <v>10350</v>
      </c>
      <c r="G1966" s="76" t="str">
        <f>VLOOKUP(Tabelle2[[#This Row],[Kunden Nr.]],KUNDEN!A:B,2,0)</f>
        <v>BALLKANI</v>
      </c>
      <c r="H1966" s="75">
        <v>35110</v>
      </c>
      <c r="I1966" s="76" t="str">
        <f>VLOOKUP(Tabelle2[[#This Row],[Artikel]],Produkte!A:B,2,0)</f>
        <v>M-ONE Sanitar Silikon</v>
      </c>
      <c r="J1966" s="75">
        <v>12</v>
      </c>
      <c r="K1966" s="76" t="str">
        <f>VLOOKUP(Tabelle2[[#This Row],[Kunden Nr.]],KUNDEN!A:G,7)</f>
        <v>Qerimi</v>
      </c>
      <c r="L1966" s="76">
        <f>VLOOKUP(Tabelle2[[#This Row],[Artikel]],Produkte!A:H,8)</f>
        <v>0.17</v>
      </c>
    </row>
    <row r="1967" spans="1:12" x14ac:dyDescent="0.2">
      <c r="A1967" s="75" t="s">
        <v>413</v>
      </c>
      <c r="B1967" s="79">
        <v>46113</v>
      </c>
      <c r="C1967" s="75"/>
      <c r="D1967" s="75"/>
      <c r="E1967" s="75"/>
      <c r="F1967" s="75">
        <v>10350</v>
      </c>
      <c r="G1967" s="76" t="str">
        <f>VLOOKUP(Tabelle2[[#This Row],[Kunden Nr.]],KUNDEN!A:B,2,0)</f>
        <v>BALLKANI</v>
      </c>
      <c r="H1967" s="75">
        <v>35121</v>
      </c>
      <c r="I1967" s="76" t="str">
        <f>VLOOKUP(Tabelle2[[#This Row],[Artikel]],Produkte!A:B,2,0)</f>
        <v>M-ONE Sanitar Silikon</v>
      </c>
      <c r="J1967" s="75">
        <v>36</v>
      </c>
      <c r="K1967" s="76" t="str">
        <f>VLOOKUP(Tabelle2[[#This Row],[Kunden Nr.]],KUNDEN!A:G,7)</f>
        <v>Qerimi</v>
      </c>
      <c r="L1967" s="76">
        <f>VLOOKUP(Tabelle2[[#This Row],[Artikel]],Produkte!A:H,8)</f>
        <v>0.17</v>
      </c>
    </row>
    <row r="1968" spans="1:12" x14ac:dyDescent="0.2">
      <c r="A1968" s="75" t="s">
        <v>43</v>
      </c>
      <c r="B1968" s="79">
        <v>46113</v>
      </c>
      <c r="C1968" s="89">
        <v>107.4</v>
      </c>
      <c r="D1968" s="75"/>
      <c r="E1968" s="75"/>
      <c r="F1968" s="75">
        <v>10332</v>
      </c>
      <c r="G1968" s="76" t="str">
        <f>VLOOKUP(Tabelle2[[#This Row],[Kunden Nr.]],KUNDEN!A:B,2,0)</f>
        <v>DARDANIA</v>
      </c>
      <c r="H1968" s="75">
        <v>35121</v>
      </c>
      <c r="I1968" s="76" t="str">
        <f>VLOOKUP(Tabelle2[[#This Row],[Artikel]],Produkte!A:B,2,0)</f>
        <v>M-ONE Sanitar Silikon</v>
      </c>
      <c r="J1968" s="75">
        <v>24</v>
      </c>
      <c r="K1968" s="76" t="str">
        <f>VLOOKUP(Tabelle2[[#This Row],[Kunden Nr.]],KUNDEN!A:G,7)</f>
        <v>Qerimi</v>
      </c>
      <c r="L1968" s="76">
        <f>VLOOKUP(Tabelle2[[#This Row],[Artikel]],Produkte!A:H,8)</f>
        <v>0.17</v>
      </c>
    </row>
    <row r="1969" spans="1:12" x14ac:dyDescent="0.2">
      <c r="A1969" s="75" t="s">
        <v>43</v>
      </c>
      <c r="B1969" s="79">
        <v>46113</v>
      </c>
      <c r="C1969" s="75"/>
      <c r="D1969" s="75"/>
      <c r="E1969" s="75"/>
      <c r="F1969" s="75">
        <v>10332</v>
      </c>
      <c r="G1969" s="76" t="str">
        <f>VLOOKUP(Tabelle2[[#This Row],[Kunden Nr.]],KUNDEN!A:B,2,0)</f>
        <v>DARDANIA</v>
      </c>
      <c r="H1969" s="75">
        <v>51611</v>
      </c>
      <c r="I1969" s="76" t="str">
        <f>VLOOKUP(Tabelle2[[#This Row],[Artikel]],Produkte!A:B,2,0)</f>
        <v>universal akryl</v>
      </c>
      <c r="J1969" s="75">
        <v>12</v>
      </c>
      <c r="K1969" s="76" t="str">
        <f>VLOOKUP(Tabelle2[[#This Row],[Kunden Nr.]],KUNDEN!A:G,7)</f>
        <v>Qerimi</v>
      </c>
      <c r="L1969" s="76">
        <f>VLOOKUP(Tabelle2[[#This Row],[Artikel]],Produkte!A:H,8)</f>
        <v>0.06</v>
      </c>
    </row>
    <row r="1970" spans="1:12" x14ac:dyDescent="0.2">
      <c r="A1970" s="75" t="s">
        <v>8</v>
      </c>
      <c r="B1970" s="79">
        <v>46113</v>
      </c>
      <c r="C1970" s="89">
        <v>15</v>
      </c>
      <c r="D1970" s="75"/>
      <c r="E1970" s="75"/>
      <c r="F1970" s="75">
        <v>10304</v>
      </c>
      <c r="G1970" s="76" t="str">
        <f>VLOOKUP(Tabelle2[[#This Row],[Kunden Nr.]],KUNDEN!A:B,2,0)</f>
        <v>EUROSAN</v>
      </c>
      <c r="H1970" s="75">
        <v>51611</v>
      </c>
      <c r="I1970" s="76" t="str">
        <f>VLOOKUP(Tabelle2[[#This Row],[Artikel]],Produkte!A:B,2,0)</f>
        <v>universal akryl</v>
      </c>
      <c r="J1970" s="75">
        <v>12</v>
      </c>
      <c r="K1970" s="76" t="str">
        <f>VLOOKUP(Tabelle2[[#This Row],[Kunden Nr.]],KUNDEN!A:G,7)</f>
        <v>Qerimi</v>
      </c>
      <c r="L1970" s="76">
        <f>VLOOKUP(Tabelle2[[#This Row],[Artikel]],Produkte!A:H,8)</f>
        <v>0.06</v>
      </c>
    </row>
    <row r="1971" spans="1:12" x14ac:dyDescent="0.2">
      <c r="A1971" s="75" t="s">
        <v>12</v>
      </c>
      <c r="B1971" s="79">
        <v>46113</v>
      </c>
      <c r="C1971" s="89">
        <v>277.2</v>
      </c>
      <c r="D1971" s="75"/>
      <c r="E1971" s="75"/>
      <c r="F1971" s="75">
        <v>10308</v>
      </c>
      <c r="G1971" s="76" t="str">
        <f>VLOOKUP(Tabelle2[[#This Row],[Kunden Nr.]],KUNDEN!A:B,2,0)</f>
        <v>ERALP</v>
      </c>
      <c r="H1971" s="75">
        <v>35112</v>
      </c>
      <c r="I1971" s="76" t="str">
        <f>VLOOKUP(Tabelle2[[#This Row],[Artikel]],Produkte!A:B,2,0)</f>
        <v>M-ONE Sanitar Silikon</v>
      </c>
      <c r="J1971" s="75">
        <v>24</v>
      </c>
      <c r="K1971" s="76" t="str">
        <f>VLOOKUP(Tabelle2[[#This Row],[Kunden Nr.]],KUNDEN!A:G,7)</f>
        <v>Qerimi</v>
      </c>
      <c r="L1971" s="76">
        <f>VLOOKUP(Tabelle2[[#This Row],[Artikel]],Produkte!A:H,8)</f>
        <v>0.17</v>
      </c>
    </row>
    <row r="1972" spans="1:12" x14ac:dyDescent="0.2">
      <c r="A1972" s="75" t="s">
        <v>12</v>
      </c>
      <c r="B1972" s="79">
        <v>46113</v>
      </c>
      <c r="C1972" s="75"/>
      <c r="D1972" s="75"/>
      <c r="E1972" s="75"/>
      <c r="F1972" s="75">
        <v>10308</v>
      </c>
      <c r="G1972" s="76" t="str">
        <f>VLOOKUP(Tabelle2[[#This Row],[Kunden Nr.]],KUNDEN!A:B,2,0)</f>
        <v>ERALP</v>
      </c>
      <c r="H1972" s="75">
        <v>35128</v>
      </c>
      <c r="I1972" s="76" t="str">
        <f>VLOOKUP(Tabelle2[[#This Row],[Artikel]],Produkte!A:B,2,0)</f>
        <v>M-ONE Sanitar Silikon</v>
      </c>
      <c r="J1972" s="75">
        <v>24</v>
      </c>
      <c r="K1972" s="76" t="str">
        <f>VLOOKUP(Tabelle2[[#This Row],[Kunden Nr.]],KUNDEN!A:G,7)</f>
        <v>Qerimi</v>
      </c>
      <c r="L1972" s="76">
        <f>VLOOKUP(Tabelle2[[#This Row],[Artikel]],Produkte!A:H,8)</f>
        <v>0.17</v>
      </c>
    </row>
    <row r="1973" spans="1:12" x14ac:dyDescent="0.2">
      <c r="A1973" s="75" t="s">
        <v>12</v>
      </c>
      <c r="B1973" s="79">
        <v>46113</v>
      </c>
      <c r="C1973" s="75"/>
      <c r="D1973" s="75"/>
      <c r="E1973" s="75"/>
      <c r="F1973" s="75">
        <v>10308</v>
      </c>
      <c r="G1973" s="76" t="str">
        <f>VLOOKUP(Tabelle2[[#This Row],[Kunden Nr.]],KUNDEN!A:B,2,0)</f>
        <v>ERALP</v>
      </c>
      <c r="H1973" s="75">
        <v>35125</v>
      </c>
      <c r="I1973" s="76" t="str">
        <f>VLOOKUP(Tabelle2[[#This Row],[Artikel]],Produkte!A:B,2,0)</f>
        <v>M-ONE Sanitar Silikon</v>
      </c>
      <c r="J1973" s="75">
        <v>12</v>
      </c>
      <c r="K1973" s="76" t="str">
        <f>VLOOKUP(Tabelle2[[#This Row],[Kunden Nr.]],KUNDEN!A:G,7)</f>
        <v>Qerimi</v>
      </c>
      <c r="L1973" s="76">
        <f>VLOOKUP(Tabelle2[[#This Row],[Artikel]],Produkte!A:H,8)</f>
        <v>0.17</v>
      </c>
    </row>
    <row r="1974" spans="1:12" x14ac:dyDescent="0.2">
      <c r="A1974" s="75" t="s">
        <v>12</v>
      </c>
      <c r="B1974" s="79">
        <v>46113</v>
      </c>
      <c r="C1974" s="75"/>
      <c r="D1974" s="75"/>
      <c r="E1974" s="75"/>
      <c r="F1974" s="75">
        <v>10308</v>
      </c>
      <c r="G1974" s="76" t="str">
        <f>VLOOKUP(Tabelle2[[#This Row],[Kunden Nr.]],KUNDEN!A:B,2,0)</f>
        <v>ERALP</v>
      </c>
      <c r="H1974" s="75">
        <v>35121</v>
      </c>
      <c r="I1974" s="76" t="str">
        <f>VLOOKUP(Tabelle2[[#This Row],[Artikel]],Produkte!A:B,2,0)</f>
        <v>M-ONE Sanitar Silikon</v>
      </c>
      <c r="J1974" s="75">
        <v>12</v>
      </c>
      <c r="K1974" s="76" t="str">
        <f>VLOOKUP(Tabelle2[[#This Row],[Kunden Nr.]],KUNDEN!A:G,7)</f>
        <v>Qerimi</v>
      </c>
      <c r="L1974" s="76">
        <f>VLOOKUP(Tabelle2[[#This Row],[Artikel]],Produkte!A:H,8)</f>
        <v>0.17</v>
      </c>
    </row>
    <row r="1975" spans="1:12" x14ac:dyDescent="0.2">
      <c r="A1975" s="75" t="s">
        <v>995</v>
      </c>
      <c r="B1975" s="79">
        <v>46113</v>
      </c>
      <c r="C1975" s="89">
        <v>61.2</v>
      </c>
      <c r="D1975" s="75"/>
      <c r="E1975" s="75"/>
      <c r="F1975" s="75">
        <v>10353</v>
      </c>
      <c r="G1975" s="76" t="str">
        <f>VLOOKUP(Tabelle2[[#This Row],[Kunden Nr.]],KUNDEN!A:B,2,0)</f>
        <v>TREND CERAMIKA</v>
      </c>
      <c r="H1975" s="75">
        <v>35121</v>
      </c>
      <c r="I1975" s="76" t="str">
        <f>VLOOKUP(Tabelle2[[#This Row],[Artikel]],Produkte!A:B,2,0)</f>
        <v>M-ONE Sanitar Silikon</v>
      </c>
      <c r="J1975" s="75">
        <v>12</v>
      </c>
      <c r="K1975" s="76" t="str">
        <f>VLOOKUP(Tabelle2[[#This Row],[Kunden Nr.]],KUNDEN!A:G,7)</f>
        <v>Qerimi</v>
      </c>
      <c r="L1975" s="76">
        <f>VLOOKUP(Tabelle2[[#This Row],[Artikel]],Produkte!A:H,8)</f>
        <v>0.17</v>
      </c>
    </row>
    <row r="1976" spans="1:12" x14ac:dyDescent="0.2">
      <c r="A1976" s="75" t="s">
        <v>995</v>
      </c>
      <c r="B1976" s="79">
        <v>46113</v>
      </c>
      <c r="C1976" s="75"/>
      <c r="D1976" s="75"/>
      <c r="E1976" s="75"/>
      <c r="F1976" s="75">
        <v>10353</v>
      </c>
      <c r="G1976" s="76" t="str">
        <f>VLOOKUP(Tabelle2[[#This Row],[Kunden Nr.]],KUNDEN!A:B,2,0)</f>
        <v>TREND CERAMIKA</v>
      </c>
      <c r="H1976" s="75">
        <v>51611</v>
      </c>
      <c r="I1976" s="76" t="str">
        <f>VLOOKUP(Tabelle2[[#This Row],[Artikel]],Produkte!A:B,2,0)</f>
        <v>universal akryl</v>
      </c>
      <c r="J1976" s="75">
        <v>12</v>
      </c>
      <c r="K1976" s="76" t="str">
        <f>VLOOKUP(Tabelle2[[#This Row],[Kunden Nr.]],KUNDEN!A:G,7)</f>
        <v>Qerimi</v>
      </c>
      <c r="L1976" s="76">
        <f>VLOOKUP(Tabelle2[[#This Row],[Artikel]],Produkte!A:H,8)</f>
        <v>0.06</v>
      </c>
    </row>
    <row r="1977" spans="1:12" x14ac:dyDescent="0.2">
      <c r="A1977" s="75" t="s">
        <v>558</v>
      </c>
      <c r="B1977" s="79">
        <v>46114</v>
      </c>
      <c r="C1977" s="89">
        <v>76.2</v>
      </c>
      <c r="D1977" s="75"/>
      <c r="E1977" s="75"/>
      <c r="F1977" s="75">
        <v>10418</v>
      </c>
      <c r="G1977" s="76" t="str">
        <f>VLOOKUP(Tabelle2[[#This Row],[Kunden Nr.]],KUNDEN!A:B,2,0)</f>
        <v>NDRIQIMI</v>
      </c>
      <c r="H1977" s="75">
        <v>35115</v>
      </c>
      <c r="I1977" s="76" t="str">
        <f>VLOOKUP(Tabelle2[[#This Row],[Artikel]],Produkte!A:B,2,0)</f>
        <v>M-ONE Sanitar Silikon</v>
      </c>
      <c r="J1977" s="75">
        <v>12</v>
      </c>
      <c r="K1977" s="76" t="str">
        <f>VLOOKUP(Tabelle2[[#This Row],[Kunden Nr.]],KUNDEN!A:G,7)</f>
        <v>Qerimi</v>
      </c>
      <c r="L1977" s="76">
        <f>VLOOKUP(Tabelle2[[#This Row],[Artikel]],Produkte!A:H,8)</f>
        <v>0.17</v>
      </c>
    </row>
    <row r="1978" spans="1:12" x14ac:dyDescent="0.2">
      <c r="A1978" s="75" t="s">
        <v>558</v>
      </c>
      <c r="B1978" s="79">
        <v>46114</v>
      </c>
      <c r="C1978" s="75"/>
      <c r="D1978" s="75"/>
      <c r="E1978" s="75"/>
      <c r="F1978" s="75">
        <v>10418</v>
      </c>
      <c r="G1978" s="76" t="str">
        <f>VLOOKUP(Tabelle2[[#This Row],[Kunden Nr.]],KUNDEN!A:B,2,0)</f>
        <v>NDRIQIMI</v>
      </c>
      <c r="H1978" s="75">
        <v>51611</v>
      </c>
      <c r="I1978" s="76" t="str">
        <f>VLOOKUP(Tabelle2[[#This Row],[Artikel]],Produkte!A:B,2,0)</f>
        <v>universal akryl</v>
      </c>
      <c r="J1978" s="75">
        <v>24</v>
      </c>
      <c r="K1978" s="76" t="str">
        <f>VLOOKUP(Tabelle2[[#This Row],[Kunden Nr.]],KUNDEN!A:G,7)</f>
        <v>Qerimi</v>
      </c>
      <c r="L1978" s="76">
        <f>VLOOKUP(Tabelle2[[#This Row],[Artikel]],Produkte!A:H,8)</f>
        <v>0.06</v>
      </c>
    </row>
    <row r="1979" spans="1:12" x14ac:dyDescent="0.2">
      <c r="A1979" s="75" t="s">
        <v>1230</v>
      </c>
      <c r="B1979" s="79">
        <v>46114</v>
      </c>
      <c r="C1979" s="89">
        <v>270</v>
      </c>
      <c r="D1979" s="75"/>
      <c r="E1979" s="75"/>
      <c r="F1979" s="75">
        <v>10638</v>
      </c>
      <c r="G1979" s="76" t="e">
        <f>VLOOKUP(Tabelle2[[#This Row],[Kunden Nr.]],KUNDEN!A:B,2,0)</f>
        <v>#N/A</v>
      </c>
      <c r="H1979" s="75">
        <v>35121</v>
      </c>
      <c r="I1979" s="76" t="str">
        <f>VLOOKUP(Tabelle2[[#This Row],[Artikel]],Produkte!A:B,2,0)</f>
        <v>M-ONE Sanitar Silikon</v>
      </c>
      <c r="J1979" s="75">
        <v>60</v>
      </c>
      <c r="K1979" s="76" t="str">
        <f>VLOOKUP(Tabelle2[[#This Row],[Kunden Nr.]],KUNDEN!A:G,7)</f>
        <v>Qerimi</v>
      </c>
      <c r="L1979" s="76">
        <f>VLOOKUP(Tabelle2[[#This Row],[Artikel]],Produkte!A:H,8)</f>
        <v>0.17</v>
      </c>
    </row>
    <row r="1980" spans="1:12" x14ac:dyDescent="0.2">
      <c r="A1980" s="75" t="s">
        <v>1230</v>
      </c>
      <c r="B1980" s="79">
        <v>46114</v>
      </c>
      <c r="C1980" s="75"/>
      <c r="D1980" s="75"/>
      <c r="E1980" s="75"/>
      <c r="F1980" s="75">
        <v>10638</v>
      </c>
      <c r="G1980" s="76" t="e">
        <f>VLOOKUP(Tabelle2[[#This Row],[Kunden Nr.]],KUNDEN!A:B,2,0)</f>
        <v>#N/A</v>
      </c>
      <c r="H1980" s="75">
        <v>35121</v>
      </c>
      <c r="I1980" s="76" t="str">
        <f>VLOOKUP(Tabelle2[[#This Row],[Artikel]],Produkte!A:B,2,0)</f>
        <v>M-ONE Sanitar Silikon</v>
      </c>
      <c r="J1980" s="75">
        <v>60</v>
      </c>
      <c r="K1980" s="76" t="str">
        <f>VLOOKUP(Tabelle2[[#This Row],[Kunden Nr.]],KUNDEN!A:G,7)</f>
        <v>Qerimi</v>
      </c>
      <c r="L1980" s="76">
        <f>VLOOKUP(Tabelle2[[#This Row],[Artikel]],Produkte!A:H,8)</f>
        <v>0.17</v>
      </c>
    </row>
    <row r="1981" spans="1:12" x14ac:dyDescent="0.2">
      <c r="A1981" s="75" t="s">
        <v>550</v>
      </c>
      <c r="B1981" s="79">
        <v>46114</v>
      </c>
      <c r="C1981" s="89">
        <v>92.4</v>
      </c>
      <c r="D1981" s="75"/>
      <c r="E1981" s="75"/>
      <c r="F1981" s="75">
        <v>10410</v>
      </c>
      <c r="G1981" s="76" t="str">
        <f>VLOOKUP(Tabelle2[[#This Row],[Kunden Nr.]],KUNDEN!A:B,2,0)</f>
        <v>GRANITI</v>
      </c>
      <c r="H1981" s="75">
        <v>35110</v>
      </c>
      <c r="I1981" s="76" t="str">
        <f>VLOOKUP(Tabelle2[[#This Row],[Artikel]],Produkte!A:B,2,0)</f>
        <v>M-ONE Sanitar Silikon</v>
      </c>
      <c r="J1981" s="75">
        <v>12</v>
      </c>
      <c r="K1981" s="76" t="str">
        <f>VLOOKUP(Tabelle2[[#This Row],[Kunden Nr.]],KUNDEN!A:G,7)</f>
        <v>Qerimi</v>
      </c>
      <c r="L1981" s="76">
        <f>VLOOKUP(Tabelle2[[#This Row],[Artikel]],Produkte!A:H,8)</f>
        <v>0.17</v>
      </c>
    </row>
    <row r="1982" spans="1:12" x14ac:dyDescent="0.2">
      <c r="A1982" s="75" t="s">
        <v>550</v>
      </c>
      <c r="B1982" s="79">
        <v>46114</v>
      </c>
      <c r="C1982" s="75"/>
      <c r="D1982" s="75"/>
      <c r="E1982" s="75"/>
      <c r="F1982" s="75">
        <v>10410</v>
      </c>
      <c r="G1982" s="76" t="str">
        <f>VLOOKUP(Tabelle2[[#This Row],[Kunden Nr.]],KUNDEN!A:B,2,0)</f>
        <v>GRANITI</v>
      </c>
      <c r="H1982" s="75">
        <v>35112</v>
      </c>
      <c r="I1982" s="76" t="str">
        <f>VLOOKUP(Tabelle2[[#This Row],[Artikel]],Produkte!A:B,2,0)</f>
        <v>M-ONE Sanitar Silikon</v>
      </c>
      <c r="J1982" s="75">
        <v>12</v>
      </c>
      <c r="K1982" s="76" t="str">
        <f>VLOOKUP(Tabelle2[[#This Row],[Kunden Nr.]],KUNDEN!A:G,7)</f>
        <v>Qerimi</v>
      </c>
      <c r="L1982" s="76">
        <f>VLOOKUP(Tabelle2[[#This Row],[Artikel]],Produkte!A:H,8)</f>
        <v>0.17</v>
      </c>
    </row>
    <row r="1983" spans="1:12" x14ac:dyDescent="0.2">
      <c r="A1983" s="75" t="s">
        <v>553</v>
      </c>
      <c r="B1983" s="79">
        <v>46114</v>
      </c>
      <c r="C1983" s="89">
        <v>61.2</v>
      </c>
      <c r="D1983" s="75"/>
      <c r="E1983" s="75"/>
      <c r="F1983" s="75">
        <v>10413</v>
      </c>
      <c r="G1983" s="76" t="str">
        <f>VLOOKUP(Tabelle2[[#This Row],[Kunden Nr.]],KUNDEN!A:B,2,0)</f>
        <v>UNIVERZAL</v>
      </c>
      <c r="H1983" s="75">
        <v>35112</v>
      </c>
      <c r="I1983" s="76" t="str">
        <f>VLOOKUP(Tabelle2[[#This Row],[Artikel]],Produkte!A:B,2,0)</f>
        <v>M-ONE Sanitar Silikon</v>
      </c>
      <c r="J1983" s="75">
        <v>12</v>
      </c>
      <c r="K1983" s="76" t="str">
        <f>VLOOKUP(Tabelle2[[#This Row],[Kunden Nr.]],KUNDEN!A:G,7)</f>
        <v>Qerimi</v>
      </c>
      <c r="L1983" s="76">
        <f>VLOOKUP(Tabelle2[[#This Row],[Artikel]],Produkte!A:H,8)</f>
        <v>0.17</v>
      </c>
    </row>
    <row r="1984" spans="1:12" x14ac:dyDescent="0.2">
      <c r="A1984" s="75" t="s">
        <v>553</v>
      </c>
      <c r="B1984" s="79">
        <v>46114</v>
      </c>
      <c r="C1984" s="75"/>
      <c r="D1984" s="75"/>
      <c r="E1984" s="75"/>
      <c r="F1984" s="75">
        <v>10413</v>
      </c>
      <c r="G1984" s="76" t="str">
        <f>VLOOKUP(Tabelle2[[#This Row],[Kunden Nr.]],KUNDEN!A:B,2,0)</f>
        <v>UNIVERZAL</v>
      </c>
      <c r="H1984" s="75">
        <v>51611</v>
      </c>
      <c r="I1984" s="76" t="str">
        <f>VLOOKUP(Tabelle2[[#This Row],[Artikel]],Produkte!A:B,2,0)</f>
        <v>universal akryl</v>
      </c>
      <c r="J1984" s="75">
        <v>12</v>
      </c>
      <c r="K1984" s="76" t="str">
        <f>VLOOKUP(Tabelle2[[#This Row],[Kunden Nr.]],KUNDEN!A:G,7)</f>
        <v>Qerimi</v>
      </c>
      <c r="L1984" s="76">
        <f>VLOOKUP(Tabelle2[[#This Row],[Artikel]],Produkte!A:H,8)</f>
        <v>0.06</v>
      </c>
    </row>
    <row r="1985" spans="1:12" x14ac:dyDescent="0.2">
      <c r="A1985" s="75" t="s">
        <v>546</v>
      </c>
      <c r="B1985" s="79">
        <v>46114</v>
      </c>
      <c r="C1985" s="89">
        <v>86.4</v>
      </c>
      <c r="D1985" s="75"/>
      <c r="E1985" s="75"/>
      <c r="F1985" s="75">
        <v>10406</v>
      </c>
      <c r="G1985" s="76" t="str">
        <f>VLOOKUP(Tabelle2[[#This Row],[Kunden Nr.]],KUNDEN!A:B,2,0)</f>
        <v>AGRONI</v>
      </c>
      <c r="H1985" s="75">
        <v>50912</v>
      </c>
      <c r="I1985" s="76" t="str">
        <f>VLOOKUP(Tabelle2[[#This Row],[Artikel]],Produkte!A:B,2,0)</f>
        <v>DICHTUNG</v>
      </c>
      <c r="J1985" s="75">
        <v>12</v>
      </c>
      <c r="K1985" s="76" t="str">
        <f>VLOOKUP(Tabelle2[[#This Row],[Kunden Nr.]],KUNDEN!A:G,7)</f>
        <v>Qerimi</v>
      </c>
      <c r="L1985" s="76">
        <f>VLOOKUP(Tabelle2[[#This Row],[Artikel]],Produkte!A:H,8)</f>
        <v>0.2</v>
      </c>
    </row>
    <row r="1986" spans="1:12" x14ac:dyDescent="0.2">
      <c r="A1986" s="75" t="s">
        <v>903</v>
      </c>
      <c r="B1986" s="79">
        <v>46114</v>
      </c>
      <c r="C1986" s="89">
        <v>61.2</v>
      </c>
      <c r="D1986" s="75"/>
      <c r="E1986" s="75"/>
      <c r="F1986" s="75">
        <v>10428</v>
      </c>
      <c r="G1986" s="76" t="str">
        <f>VLOOKUP(Tabelle2[[#This Row],[Kunden Nr.]],KUNDEN!A:B,2,0)</f>
        <v>ENISI - H</v>
      </c>
      <c r="H1986" s="75">
        <v>35112</v>
      </c>
      <c r="I1986" s="76" t="str">
        <f>VLOOKUP(Tabelle2[[#This Row],[Artikel]],Produkte!A:B,2,0)</f>
        <v>M-ONE Sanitar Silikon</v>
      </c>
      <c r="J1986" s="75">
        <v>12</v>
      </c>
      <c r="K1986" s="76" t="str">
        <f>VLOOKUP(Tabelle2[[#This Row],[Kunden Nr.]],KUNDEN!A:G,7)</f>
        <v>Qerimi</v>
      </c>
      <c r="L1986" s="76">
        <f>VLOOKUP(Tabelle2[[#This Row],[Artikel]],Produkte!A:H,8)</f>
        <v>0.17</v>
      </c>
    </row>
    <row r="1987" spans="1:12" x14ac:dyDescent="0.2">
      <c r="A1987" s="75" t="s">
        <v>903</v>
      </c>
      <c r="B1987" s="79">
        <v>46114</v>
      </c>
      <c r="C1987" s="75"/>
      <c r="D1987" s="75"/>
      <c r="E1987" s="75"/>
      <c r="F1987" s="75">
        <v>10428</v>
      </c>
      <c r="G1987" s="76" t="str">
        <f>VLOOKUP(Tabelle2[[#This Row],[Kunden Nr.]],KUNDEN!A:B,2,0)</f>
        <v>ENISI - H</v>
      </c>
      <c r="H1987" s="75">
        <v>51612</v>
      </c>
      <c r="I1987" s="76" t="str">
        <f>VLOOKUP(Tabelle2[[#This Row],[Artikel]],Produkte!A:B,2,0)</f>
        <v>struktural akryl</v>
      </c>
      <c r="J1987" s="75">
        <v>12</v>
      </c>
      <c r="K1987" s="76" t="str">
        <f>VLOOKUP(Tabelle2[[#This Row],[Kunden Nr.]],KUNDEN!A:G,7)</f>
        <v>Qerimi</v>
      </c>
      <c r="L1987" s="76">
        <f>VLOOKUP(Tabelle2[[#This Row],[Artikel]],Produkte!A:H,8)</f>
        <v>0.06</v>
      </c>
    </row>
    <row r="1988" spans="1:12" x14ac:dyDescent="0.2">
      <c r="A1988" s="75" t="s">
        <v>540</v>
      </c>
      <c r="B1988" s="79">
        <v>46114</v>
      </c>
      <c r="C1988" s="89">
        <v>92.4</v>
      </c>
      <c r="D1988" s="75"/>
      <c r="E1988" s="75"/>
      <c r="F1988" s="75">
        <v>10401</v>
      </c>
      <c r="G1988" s="76" t="str">
        <f>VLOOKUP(Tabelle2[[#This Row],[Kunden Nr.]],KUNDEN!A:B,2,0)</f>
        <v>DRCOR</v>
      </c>
      <c r="H1988" s="75">
        <v>35108</v>
      </c>
      <c r="I1988" s="76" t="str">
        <f>VLOOKUP(Tabelle2[[#This Row],[Artikel]],Produkte!A:B,2,0)</f>
        <v>M-ONE Sanitar Silikon</v>
      </c>
      <c r="J1988" s="75">
        <v>12</v>
      </c>
      <c r="K1988" s="76" t="str">
        <f>VLOOKUP(Tabelle2[[#This Row],[Kunden Nr.]],KUNDEN!A:G,7)</f>
        <v>Qerimi</v>
      </c>
      <c r="L1988" s="76">
        <f>VLOOKUP(Tabelle2[[#This Row],[Artikel]],Produkte!A:H,8)</f>
        <v>0.17</v>
      </c>
    </row>
    <row r="1989" spans="1:12" x14ac:dyDescent="0.2">
      <c r="A1989" s="75" t="s">
        <v>540</v>
      </c>
      <c r="B1989" s="79">
        <v>46114</v>
      </c>
      <c r="C1989" s="75"/>
      <c r="D1989" s="75"/>
      <c r="E1989" s="75"/>
      <c r="F1989" s="75">
        <v>10401</v>
      </c>
      <c r="G1989" s="76" t="str">
        <f>VLOOKUP(Tabelle2[[#This Row],[Kunden Nr.]],KUNDEN!A:B,2,0)</f>
        <v>DRCOR</v>
      </c>
      <c r="H1989" s="75">
        <v>35125</v>
      </c>
      <c r="I1989" s="76" t="str">
        <f>VLOOKUP(Tabelle2[[#This Row],[Artikel]],Produkte!A:B,2,0)</f>
        <v>M-ONE Sanitar Silikon</v>
      </c>
      <c r="J1989" s="75">
        <v>12</v>
      </c>
      <c r="K1989" s="76" t="str">
        <f>VLOOKUP(Tabelle2[[#This Row],[Kunden Nr.]],KUNDEN!A:G,7)</f>
        <v>Qerimi</v>
      </c>
      <c r="L1989" s="76">
        <f>VLOOKUP(Tabelle2[[#This Row],[Artikel]],Produkte!A:H,8)</f>
        <v>0.17</v>
      </c>
    </row>
    <row r="1990" spans="1:12" x14ac:dyDescent="0.2">
      <c r="A1990" s="75" t="s">
        <v>1057</v>
      </c>
      <c r="B1990" s="79">
        <v>46114</v>
      </c>
      <c r="C1990" s="89">
        <v>46.2</v>
      </c>
      <c r="D1990" s="75"/>
      <c r="E1990" s="75"/>
      <c r="F1990" s="75">
        <v>20324</v>
      </c>
      <c r="G1990" s="76" t="str">
        <f>VLOOKUP(Tabelle2[[#This Row],[Kunden Nr.]],KUNDEN!A:B,2,0)</f>
        <v>BAU HOME</v>
      </c>
      <c r="H1990" s="75">
        <v>35113</v>
      </c>
      <c r="I1990" s="76" t="str">
        <f>VLOOKUP(Tabelle2[[#This Row],[Artikel]],Produkte!A:B,2,0)</f>
        <v>M-ONE Sanitar Silikon</v>
      </c>
      <c r="J1990" s="75">
        <v>12</v>
      </c>
      <c r="K1990" s="76" t="str">
        <f>VLOOKUP(Tabelle2[[#This Row],[Kunden Nr.]],KUNDEN!A:G,7)</f>
        <v>Mensuri</v>
      </c>
      <c r="L1990" s="76">
        <f>VLOOKUP(Tabelle2[[#This Row],[Artikel]],Produkte!A:H,8)</f>
        <v>0.17</v>
      </c>
    </row>
    <row r="1991" spans="1:12" x14ac:dyDescent="0.2">
      <c r="A1991" s="75" t="s">
        <v>618</v>
      </c>
      <c r="B1991" s="79">
        <v>46114</v>
      </c>
      <c r="C1991" s="89">
        <v>231</v>
      </c>
      <c r="D1991" s="75"/>
      <c r="E1991" s="75"/>
      <c r="F1991" s="75">
        <v>20307</v>
      </c>
      <c r="G1991" s="76" t="str">
        <f>VLOOKUP(Tabelle2[[#This Row],[Kunden Nr.]],KUNDEN!A:B,2,0)</f>
        <v>CONDOR</v>
      </c>
      <c r="H1991" s="75">
        <v>35108</v>
      </c>
      <c r="I1991" s="76" t="str">
        <f>VLOOKUP(Tabelle2[[#This Row],[Artikel]],Produkte!A:B,2,0)</f>
        <v>M-ONE Sanitar Silikon</v>
      </c>
      <c r="J1991" s="75">
        <v>12</v>
      </c>
      <c r="K1991" s="76" t="str">
        <f>VLOOKUP(Tabelle2[[#This Row],[Kunden Nr.]],KUNDEN!A:G,7)</f>
        <v>Mensuri</v>
      </c>
      <c r="L1991" s="76">
        <f>VLOOKUP(Tabelle2[[#This Row],[Artikel]],Produkte!A:H,8)</f>
        <v>0.17</v>
      </c>
    </row>
    <row r="1992" spans="1:12" x14ac:dyDescent="0.2">
      <c r="A1992" s="75" t="s">
        <v>618</v>
      </c>
      <c r="B1992" s="79">
        <v>46114</v>
      </c>
      <c r="C1992" s="75"/>
      <c r="D1992" s="75"/>
      <c r="E1992" s="75"/>
      <c r="F1992" s="75">
        <v>20307</v>
      </c>
      <c r="G1992" s="76" t="str">
        <f>VLOOKUP(Tabelle2[[#This Row],[Kunden Nr.]],KUNDEN!A:B,2,0)</f>
        <v>CONDOR</v>
      </c>
      <c r="H1992" s="75">
        <v>35112</v>
      </c>
      <c r="I1992" s="76" t="str">
        <f>VLOOKUP(Tabelle2[[#This Row],[Artikel]],Produkte!A:B,2,0)</f>
        <v>M-ONE Sanitar Silikon</v>
      </c>
      <c r="J1992" s="75">
        <v>12</v>
      </c>
      <c r="K1992" s="76" t="str">
        <f>VLOOKUP(Tabelle2[[#This Row],[Kunden Nr.]],KUNDEN!A:G,7)</f>
        <v>Mensuri</v>
      </c>
      <c r="L1992" s="76">
        <f>VLOOKUP(Tabelle2[[#This Row],[Artikel]],Produkte!A:H,8)</f>
        <v>0.17</v>
      </c>
    </row>
    <row r="1993" spans="1:12" x14ac:dyDescent="0.2">
      <c r="A1993" s="75" t="s">
        <v>618</v>
      </c>
      <c r="B1993" s="79">
        <v>46114</v>
      </c>
      <c r="C1993" s="75"/>
      <c r="D1993" s="75"/>
      <c r="E1993" s="75"/>
      <c r="F1993" s="75">
        <v>20307</v>
      </c>
      <c r="G1993" s="76" t="str">
        <f>VLOOKUP(Tabelle2[[#This Row],[Kunden Nr.]],KUNDEN!A:B,2,0)</f>
        <v>CONDOR</v>
      </c>
      <c r="H1993" s="75">
        <v>35115</v>
      </c>
      <c r="I1993" s="76" t="str">
        <f>VLOOKUP(Tabelle2[[#This Row],[Artikel]],Produkte!A:B,2,0)</f>
        <v>M-ONE Sanitar Silikon</v>
      </c>
      <c r="J1993" s="75">
        <v>12</v>
      </c>
      <c r="K1993" s="76" t="str">
        <f>VLOOKUP(Tabelle2[[#This Row],[Kunden Nr.]],KUNDEN!A:G,7)</f>
        <v>Mensuri</v>
      </c>
      <c r="L1993" s="76">
        <f>VLOOKUP(Tabelle2[[#This Row],[Artikel]],Produkte!A:H,8)</f>
        <v>0.17</v>
      </c>
    </row>
    <row r="1994" spans="1:12" x14ac:dyDescent="0.2">
      <c r="A1994" s="75" t="s">
        <v>618</v>
      </c>
      <c r="B1994" s="79">
        <v>46114</v>
      </c>
      <c r="C1994" s="75"/>
      <c r="D1994" s="75"/>
      <c r="E1994" s="75"/>
      <c r="F1994" s="75">
        <v>20307</v>
      </c>
      <c r="G1994" s="76" t="str">
        <f>VLOOKUP(Tabelle2[[#This Row],[Kunden Nr.]],KUNDEN!A:B,2,0)</f>
        <v>CONDOR</v>
      </c>
      <c r="H1994" s="75">
        <v>35121</v>
      </c>
      <c r="I1994" s="76" t="str">
        <f>VLOOKUP(Tabelle2[[#This Row],[Artikel]],Produkte!A:B,2,0)</f>
        <v>M-ONE Sanitar Silikon</v>
      </c>
      <c r="J1994" s="75">
        <v>12</v>
      </c>
      <c r="K1994" s="76" t="str">
        <f>VLOOKUP(Tabelle2[[#This Row],[Kunden Nr.]],KUNDEN!A:G,7)</f>
        <v>Mensuri</v>
      </c>
      <c r="L1994" s="76">
        <f>VLOOKUP(Tabelle2[[#This Row],[Artikel]],Produkte!A:H,8)</f>
        <v>0.17</v>
      </c>
    </row>
    <row r="1995" spans="1:12" x14ac:dyDescent="0.2">
      <c r="A1995" s="75" t="s">
        <v>618</v>
      </c>
      <c r="B1995" s="79">
        <v>46114</v>
      </c>
      <c r="C1995" s="75"/>
      <c r="D1995" s="75"/>
      <c r="E1995" s="75"/>
      <c r="F1995" s="75">
        <v>20307</v>
      </c>
      <c r="G1995" s="76" t="str">
        <f>VLOOKUP(Tabelle2[[#This Row],[Kunden Nr.]],KUNDEN!A:B,2,0)</f>
        <v>CONDOR</v>
      </c>
      <c r="H1995" s="75">
        <v>35128</v>
      </c>
      <c r="I1995" s="76" t="str">
        <f>VLOOKUP(Tabelle2[[#This Row],[Artikel]],Produkte!A:B,2,0)</f>
        <v>M-ONE Sanitar Silikon</v>
      </c>
      <c r="J1995" s="75">
        <v>12</v>
      </c>
      <c r="K1995" s="76" t="str">
        <f>VLOOKUP(Tabelle2[[#This Row],[Kunden Nr.]],KUNDEN!A:G,7)</f>
        <v>Mensuri</v>
      </c>
      <c r="L1995" s="76">
        <f>VLOOKUP(Tabelle2[[#This Row],[Artikel]],Produkte!A:H,8)</f>
        <v>0.17</v>
      </c>
    </row>
    <row r="1996" spans="1:12" x14ac:dyDescent="0.2">
      <c r="A1996" s="75" t="s">
        <v>618</v>
      </c>
      <c r="B1996" s="79">
        <v>46114</v>
      </c>
      <c r="C1996" s="75"/>
      <c r="D1996" s="75"/>
      <c r="E1996" s="75"/>
      <c r="F1996" s="75">
        <v>20307</v>
      </c>
      <c r="G1996" s="76" t="str">
        <f>VLOOKUP(Tabelle2[[#This Row],[Kunden Nr.]],KUNDEN!A:B,2,0)</f>
        <v>CONDOR</v>
      </c>
      <c r="H1996" s="75">
        <v>66701</v>
      </c>
      <c r="I1996" s="76" t="str">
        <f>VLOOKUP(Tabelle2[[#This Row],[Artikel]],Produkte!A:B,2,0)</f>
        <v>PROFIMONT EXTREME</v>
      </c>
      <c r="J1996" s="75">
        <v>12</v>
      </c>
      <c r="K1996" s="76" t="str">
        <f>VLOOKUP(Tabelle2[[#This Row],[Kunden Nr.]],KUNDEN!A:G,7)</f>
        <v>Mensuri</v>
      </c>
      <c r="L1996" s="76">
        <f>VLOOKUP(Tabelle2[[#This Row],[Artikel]],Produkte!A:H,8)</f>
        <v>0.2</v>
      </c>
    </row>
    <row r="1997" spans="1:12" x14ac:dyDescent="0.2">
      <c r="A1997" s="75" t="s">
        <v>618</v>
      </c>
      <c r="B1997" s="79">
        <v>46114</v>
      </c>
      <c r="C1997" s="75"/>
      <c r="D1997" s="75"/>
      <c r="E1997" s="75"/>
      <c r="F1997" s="75">
        <v>20307</v>
      </c>
      <c r="G1997" s="76" t="str">
        <f>VLOOKUP(Tabelle2[[#This Row],[Kunden Nr.]],KUNDEN!A:B,2,0)</f>
        <v>CONDOR</v>
      </c>
      <c r="H1997" s="75">
        <v>51611</v>
      </c>
      <c r="I1997" s="76" t="str">
        <f>VLOOKUP(Tabelle2[[#This Row],[Artikel]],Produkte!A:B,2,0)</f>
        <v>universal akryl</v>
      </c>
      <c r="J1997" s="75">
        <v>36</v>
      </c>
      <c r="K1997" s="76" t="str">
        <f>VLOOKUP(Tabelle2[[#This Row],[Kunden Nr.]],KUNDEN!A:G,7)</f>
        <v>Mensuri</v>
      </c>
      <c r="L1997" s="76">
        <f>VLOOKUP(Tabelle2[[#This Row],[Artikel]],Produkte!A:H,8)</f>
        <v>0.06</v>
      </c>
    </row>
    <row r="1998" spans="1:12" x14ac:dyDescent="0.2">
      <c r="A1998" s="75" t="s">
        <v>623</v>
      </c>
      <c r="B1998" s="79">
        <v>46114</v>
      </c>
      <c r="C1998" s="89">
        <v>162</v>
      </c>
      <c r="D1998" s="75"/>
      <c r="E1998" s="75"/>
      <c r="F1998" s="75">
        <v>20313</v>
      </c>
      <c r="G1998" s="76" t="str">
        <f>VLOOKUP(Tabelle2[[#This Row],[Kunden Nr.]],KUNDEN!A:B,2,0)</f>
        <v>DURGUTI 3</v>
      </c>
      <c r="H1998" s="75">
        <v>66701</v>
      </c>
      <c r="I1998" s="76" t="str">
        <f>VLOOKUP(Tabelle2[[#This Row],[Artikel]],Produkte!A:B,2,0)</f>
        <v>PROFIMONT EXTREME</v>
      </c>
      <c r="J1998" s="75">
        <v>12</v>
      </c>
      <c r="K1998" s="76" t="str">
        <f>VLOOKUP(Tabelle2[[#This Row],[Kunden Nr.]],KUNDEN!A:G,7)</f>
        <v>Mensuri</v>
      </c>
      <c r="L1998" s="76">
        <f>VLOOKUP(Tabelle2[[#This Row],[Artikel]],Produkte!A:H,8)</f>
        <v>0.2</v>
      </c>
    </row>
    <row r="1999" spans="1:12" x14ac:dyDescent="0.2">
      <c r="A1999" s="75" t="s">
        <v>623</v>
      </c>
      <c r="B1999" s="79">
        <v>46114</v>
      </c>
      <c r="C1999" s="75"/>
      <c r="D1999" s="75"/>
      <c r="E1999" s="75"/>
      <c r="F1999" s="75">
        <v>20313</v>
      </c>
      <c r="G1999" s="76" t="str">
        <f>VLOOKUP(Tabelle2[[#This Row],[Kunden Nr.]],KUNDEN!A:B,2,0)</f>
        <v>DURGUTI 3</v>
      </c>
      <c r="H1999" s="75">
        <v>35112</v>
      </c>
      <c r="I1999" s="76" t="str">
        <f>VLOOKUP(Tabelle2[[#This Row],[Artikel]],Produkte!A:B,2,0)</f>
        <v>M-ONE Sanitar Silikon</v>
      </c>
      <c r="J1999" s="75">
        <v>12</v>
      </c>
      <c r="K1999" s="76" t="str">
        <f>VLOOKUP(Tabelle2[[#This Row],[Kunden Nr.]],KUNDEN!A:G,7)</f>
        <v>Mensuri</v>
      </c>
      <c r="L1999" s="76">
        <f>VLOOKUP(Tabelle2[[#This Row],[Artikel]],Produkte!A:H,8)</f>
        <v>0.17</v>
      </c>
    </row>
    <row r="2000" spans="1:12" x14ac:dyDescent="0.2">
      <c r="A2000" s="75" t="s">
        <v>623</v>
      </c>
      <c r="B2000" s="79">
        <v>46114</v>
      </c>
      <c r="C2000" s="75"/>
      <c r="D2000" s="75"/>
      <c r="E2000" s="75"/>
      <c r="F2000" s="75">
        <v>20313</v>
      </c>
      <c r="G2000" s="76" t="str">
        <f>VLOOKUP(Tabelle2[[#This Row],[Kunden Nr.]],KUNDEN!A:B,2,0)</f>
        <v>DURGUTI 3</v>
      </c>
      <c r="H2000" s="75">
        <v>35109</v>
      </c>
      <c r="I2000" s="76" t="str">
        <f>VLOOKUP(Tabelle2[[#This Row],[Artikel]],Produkte!A:B,2,0)</f>
        <v>M-ONE Sanitar Silikon</v>
      </c>
      <c r="J2000" s="75">
        <v>12</v>
      </c>
      <c r="K2000" s="76" t="str">
        <f>VLOOKUP(Tabelle2[[#This Row],[Kunden Nr.]],KUNDEN!A:G,7)</f>
        <v>Mensuri</v>
      </c>
      <c r="L2000" s="76">
        <f>VLOOKUP(Tabelle2[[#This Row],[Artikel]],Produkte!A:H,8)</f>
        <v>0.17</v>
      </c>
    </row>
    <row r="2001" spans="1:12" x14ac:dyDescent="0.2">
      <c r="A2001" s="75" t="s">
        <v>1252</v>
      </c>
      <c r="B2001" s="79">
        <v>46114</v>
      </c>
      <c r="C2001" s="89">
        <v>138.6</v>
      </c>
      <c r="D2001" s="75"/>
      <c r="E2001" s="75"/>
      <c r="F2001" s="75">
        <v>20331</v>
      </c>
      <c r="G2001" s="76" t="str">
        <f>VLOOKUP(Tabelle2[[#This Row],[Kunden Nr.]],KUNDEN!A:B,2,0)</f>
        <v>BARDHI-M</v>
      </c>
      <c r="H2001" s="75">
        <v>35112</v>
      </c>
      <c r="I2001" s="76" t="str">
        <f>VLOOKUP(Tabelle2[[#This Row],[Artikel]],Produkte!A:B,2,0)</f>
        <v>M-ONE Sanitar Silikon</v>
      </c>
      <c r="J2001" s="75">
        <v>12</v>
      </c>
      <c r="K2001" s="76" t="str">
        <f>VLOOKUP(Tabelle2[[#This Row],[Kunden Nr.]],KUNDEN!A:G,7)</f>
        <v>Mensuri</v>
      </c>
      <c r="L2001" s="76">
        <f>VLOOKUP(Tabelle2[[#This Row],[Artikel]],Produkte!A:H,8)</f>
        <v>0.17</v>
      </c>
    </row>
    <row r="2002" spans="1:12" x14ac:dyDescent="0.2">
      <c r="A2002" s="75" t="s">
        <v>1252</v>
      </c>
      <c r="B2002" s="79">
        <v>46114</v>
      </c>
      <c r="C2002" s="75"/>
      <c r="D2002" s="75"/>
      <c r="E2002" s="75"/>
      <c r="F2002" s="75">
        <v>20331</v>
      </c>
      <c r="G2002" s="76" t="str">
        <f>VLOOKUP(Tabelle2[[#This Row],[Kunden Nr.]],KUNDEN!A:B,2,0)</f>
        <v>BARDHI-M</v>
      </c>
      <c r="H2002" s="75">
        <v>35121</v>
      </c>
      <c r="I2002" s="76" t="str">
        <f>VLOOKUP(Tabelle2[[#This Row],[Artikel]],Produkte!A:B,2,0)</f>
        <v>M-ONE Sanitar Silikon</v>
      </c>
      <c r="J2002" s="75">
        <v>12</v>
      </c>
      <c r="K2002" s="76" t="str">
        <f>VLOOKUP(Tabelle2[[#This Row],[Kunden Nr.]],KUNDEN!A:G,7)</f>
        <v>Mensuri</v>
      </c>
      <c r="L2002" s="76">
        <f>VLOOKUP(Tabelle2[[#This Row],[Artikel]],Produkte!A:H,8)</f>
        <v>0.17</v>
      </c>
    </row>
    <row r="2003" spans="1:12" x14ac:dyDescent="0.2">
      <c r="A2003" s="75" t="s">
        <v>1252</v>
      </c>
      <c r="B2003" s="79">
        <v>46114</v>
      </c>
      <c r="C2003" s="75"/>
      <c r="D2003" s="75"/>
      <c r="E2003" s="75"/>
      <c r="F2003" s="75">
        <v>20331</v>
      </c>
      <c r="G2003" s="76" t="str">
        <f>VLOOKUP(Tabelle2[[#This Row],[Kunden Nr.]],KUNDEN!A:B,2,0)</f>
        <v>BARDHI-M</v>
      </c>
      <c r="H2003" s="75">
        <v>35128</v>
      </c>
      <c r="I2003" s="76" t="str">
        <f>VLOOKUP(Tabelle2[[#This Row],[Artikel]],Produkte!A:B,2,0)</f>
        <v>M-ONE Sanitar Silikon</v>
      </c>
      <c r="J2003" s="75">
        <v>12</v>
      </c>
      <c r="K2003" s="76" t="str">
        <f>VLOOKUP(Tabelle2[[#This Row],[Kunden Nr.]],KUNDEN!A:G,7)</f>
        <v>Mensuri</v>
      </c>
      <c r="L2003" s="76">
        <f>VLOOKUP(Tabelle2[[#This Row],[Artikel]],Produkte!A:H,8)</f>
        <v>0.17</v>
      </c>
    </row>
    <row r="2004" spans="1:12" x14ac:dyDescent="0.2">
      <c r="A2004" s="75" t="s">
        <v>617</v>
      </c>
      <c r="B2004" s="79">
        <v>46114</v>
      </c>
      <c r="C2004" s="89">
        <v>138.6</v>
      </c>
      <c r="D2004" s="75"/>
      <c r="E2004" s="75"/>
      <c r="F2004" s="75">
        <v>20306</v>
      </c>
      <c r="G2004" s="76" t="str">
        <f>VLOOKUP(Tabelle2[[#This Row],[Kunden Nr.]],KUNDEN!A:B,2,0)</f>
        <v>FITIMI</v>
      </c>
      <c r="H2004" s="75">
        <v>35109</v>
      </c>
      <c r="I2004" s="76" t="str">
        <f>VLOOKUP(Tabelle2[[#This Row],[Artikel]],Produkte!A:B,2,0)</f>
        <v>M-ONE Sanitar Silikon</v>
      </c>
      <c r="J2004" s="75">
        <v>12</v>
      </c>
      <c r="K2004" s="76" t="str">
        <f>VLOOKUP(Tabelle2[[#This Row],[Kunden Nr.]],KUNDEN!A:G,7)</f>
        <v>Mensuri</v>
      </c>
      <c r="L2004" s="76">
        <f>VLOOKUP(Tabelle2[[#This Row],[Artikel]],Produkte!A:H,8)</f>
        <v>0.17</v>
      </c>
    </row>
    <row r="2005" spans="1:12" x14ac:dyDescent="0.2">
      <c r="A2005" s="75" t="s">
        <v>617</v>
      </c>
      <c r="B2005" s="79">
        <v>46114</v>
      </c>
      <c r="C2005" s="75"/>
      <c r="D2005" s="75"/>
      <c r="E2005" s="75"/>
      <c r="F2005" s="75">
        <v>20306</v>
      </c>
      <c r="G2005" s="76" t="str">
        <f>VLOOKUP(Tabelle2[[#This Row],[Kunden Nr.]],KUNDEN!A:B,2,0)</f>
        <v>FITIMI</v>
      </c>
      <c r="H2005" s="75">
        <v>35125</v>
      </c>
      <c r="I2005" s="76" t="str">
        <f>VLOOKUP(Tabelle2[[#This Row],[Artikel]],Produkte!A:B,2,0)</f>
        <v>M-ONE Sanitar Silikon</v>
      </c>
      <c r="J2005" s="75">
        <v>12</v>
      </c>
      <c r="K2005" s="76" t="str">
        <f>VLOOKUP(Tabelle2[[#This Row],[Kunden Nr.]],KUNDEN!A:G,7)</f>
        <v>Mensuri</v>
      </c>
      <c r="L2005" s="76">
        <f>VLOOKUP(Tabelle2[[#This Row],[Artikel]],Produkte!A:H,8)</f>
        <v>0.17</v>
      </c>
    </row>
    <row r="2006" spans="1:12" x14ac:dyDescent="0.2">
      <c r="A2006" s="75" t="s">
        <v>617</v>
      </c>
      <c r="B2006" s="79">
        <v>46114</v>
      </c>
      <c r="C2006" s="75"/>
      <c r="D2006" s="75"/>
      <c r="E2006" s="75"/>
      <c r="F2006" s="75">
        <v>20306</v>
      </c>
      <c r="G2006" s="76" t="str">
        <f>VLOOKUP(Tabelle2[[#This Row],[Kunden Nr.]],KUNDEN!A:B,2,0)</f>
        <v>FITIMI</v>
      </c>
      <c r="H2006" s="75">
        <v>35128</v>
      </c>
      <c r="I2006" s="76" t="str">
        <f>VLOOKUP(Tabelle2[[#This Row],[Artikel]],Produkte!A:B,2,0)</f>
        <v>M-ONE Sanitar Silikon</v>
      </c>
      <c r="J2006" s="75">
        <v>12</v>
      </c>
      <c r="K2006" s="76" t="str">
        <f>VLOOKUP(Tabelle2[[#This Row],[Kunden Nr.]],KUNDEN!A:G,7)</f>
        <v>Mensuri</v>
      </c>
      <c r="L2006" s="76">
        <f>VLOOKUP(Tabelle2[[#This Row],[Artikel]],Produkte!A:H,8)</f>
        <v>0.17</v>
      </c>
    </row>
    <row r="2007" spans="1:12" x14ac:dyDescent="0.2">
      <c r="A2007" s="75" t="s">
        <v>1183</v>
      </c>
      <c r="B2007" s="79">
        <v>46114</v>
      </c>
      <c r="C2007" s="89">
        <v>92.4</v>
      </c>
      <c r="D2007" s="75"/>
      <c r="E2007" s="75"/>
      <c r="F2007" s="75">
        <v>20329</v>
      </c>
      <c r="G2007" s="76" t="str">
        <f>VLOOKUP(Tabelle2[[#This Row],[Kunden Nr.]],KUNDEN!A:B,2,0)</f>
        <v>TERMOT</v>
      </c>
      <c r="H2007" s="75">
        <v>35109</v>
      </c>
      <c r="I2007" s="76" t="str">
        <f>VLOOKUP(Tabelle2[[#This Row],[Artikel]],Produkte!A:B,2,0)</f>
        <v>M-ONE Sanitar Silikon</v>
      </c>
      <c r="J2007" s="75">
        <v>12</v>
      </c>
      <c r="K2007" s="76" t="str">
        <f>VLOOKUP(Tabelle2[[#This Row],[Kunden Nr.]],KUNDEN!A:G,7)</f>
        <v>Mensuri</v>
      </c>
      <c r="L2007" s="76">
        <f>VLOOKUP(Tabelle2[[#This Row],[Artikel]],Produkte!A:H,8)</f>
        <v>0.17</v>
      </c>
    </row>
    <row r="2008" spans="1:12" x14ac:dyDescent="0.2">
      <c r="A2008" s="75" t="s">
        <v>1183</v>
      </c>
      <c r="B2008" s="79">
        <v>46114</v>
      </c>
      <c r="C2008" s="75"/>
      <c r="D2008" s="75"/>
      <c r="E2008" s="75"/>
      <c r="F2008" s="75">
        <v>20329</v>
      </c>
      <c r="G2008" s="76" t="str">
        <f>VLOOKUP(Tabelle2[[#This Row],[Kunden Nr.]],KUNDEN!A:B,2,0)</f>
        <v>TERMOT</v>
      </c>
      <c r="H2008" s="75">
        <v>35111</v>
      </c>
      <c r="I2008" s="76" t="str">
        <f>VLOOKUP(Tabelle2[[#This Row],[Artikel]],Produkte!A:B,2,0)</f>
        <v>M-ONE Sanitar Silikon</v>
      </c>
      <c r="J2008" s="75">
        <v>12</v>
      </c>
      <c r="K2008" s="76" t="str">
        <f>VLOOKUP(Tabelle2[[#This Row],[Kunden Nr.]],KUNDEN!A:G,7)</f>
        <v>Mensuri</v>
      </c>
      <c r="L2008" s="76">
        <f>VLOOKUP(Tabelle2[[#This Row],[Artikel]],Produkte!A:H,8)</f>
        <v>0.17</v>
      </c>
    </row>
    <row r="2009" spans="1:12" x14ac:dyDescent="0.2">
      <c r="A2009" s="75" t="s">
        <v>1182</v>
      </c>
      <c r="B2009" s="79">
        <v>46114</v>
      </c>
      <c r="C2009" s="89">
        <v>138.6</v>
      </c>
      <c r="D2009" s="75"/>
      <c r="E2009" s="75"/>
      <c r="F2009" s="75">
        <v>20328</v>
      </c>
      <c r="G2009" s="76" t="str">
        <f>VLOOKUP(Tabelle2[[#This Row],[Kunden Nr.]],KUNDEN!A:B,2,0)</f>
        <v>ARTURI</v>
      </c>
      <c r="H2009" s="75">
        <v>35108</v>
      </c>
      <c r="I2009" s="76" t="str">
        <f>VLOOKUP(Tabelle2[[#This Row],[Artikel]],Produkte!A:B,2,0)</f>
        <v>M-ONE Sanitar Silikon</v>
      </c>
      <c r="J2009" s="75">
        <v>12</v>
      </c>
      <c r="K2009" s="76" t="str">
        <f>VLOOKUP(Tabelle2[[#This Row],[Kunden Nr.]],KUNDEN!A:G,7)</f>
        <v>Mensuri</v>
      </c>
      <c r="L2009" s="76">
        <f>VLOOKUP(Tabelle2[[#This Row],[Artikel]],Produkte!A:H,8)</f>
        <v>0.17</v>
      </c>
    </row>
    <row r="2010" spans="1:12" x14ac:dyDescent="0.2">
      <c r="A2010" s="75" t="s">
        <v>1182</v>
      </c>
      <c r="B2010" s="79">
        <v>46114</v>
      </c>
      <c r="C2010" s="75"/>
      <c r="D2010" s="75"/>
      <c r="E2010" s="75"/>
      <c r="F2010" s="75">
        <v>20328</v>
      </c>
      <c r="G2010" s="76" t="str">
        <f>VLOOKUP(Tabelle2[[#This Row],[Kunden Nr.]],KUNDEN!A:B,2,0)</f>
        <v>ARTURI</v>
      </c>
      <c r="H2010" s="75">
        <v>35112</v>
      </c>
      <c r="I2010" s="76" t="str">
        <f>VLOOKUP(Tabelle2[[#This Row],[Artikel]],Produkte!A:B,2,0)</f>
        <v>M-ONE Sanitar Silikon</v>
      </c>
      <c r="J2010" s="75">
        <v>12</v>
      </c>
      <c r="K2010" s="76" t="str">
        <f>VLOOKUP(Tabelle2[[#This Row],[Kunden Nr.]],KUNDEN!A:G,7)</f>
        <v>Mensuri</v>
      </c>
      <c r="L2010" s="76">
        <f>VLOOKUP(Tabelle2[[#This Row],[Artikel]],Produkte!A:H,8)</f>
        <v>0.17</v>
      </c>
    </row>
    <row r="2011" spans="1:12" x14ac:dyDescent="0.2">
      <c r="A2011" s="75" t="s">
        <v>1182</v>
      </c>
      <c r="B2011" s="79">
        <v>46114</v>
      </c>
      <c r="C2011" s="75"/>
      <c r="D2011" s="75"/>
      <c r="E2011" s="75"/>
      <c r="F2011" s="75">
        <v>20328</v>
      </c>
      <c r="G2011" s="76" t="str">
        <f>VLOOKUP(Tabelle2[[#This Row],[Kunden Nr.]],KUNDEN!A:B,2,0)</f>
        <v>ARTURI</v>
      </c>
      <c r="H2011" s="75">
        <v>35115</v>
      </c>
      <c r="I2011" s="76" t="str">
        <f>VLOOKUP(Tabelle2[[#This Row],[Artikel]],Produkte!A:B,2,0)</f>
        <v>M-ONE Sanitar Silikon</v>
      </c>
      <c r="J2011" s="75">
        <v>12</v>
      </c>
      <c r="K2011" s="76" t="str">
        <f>VLOOKUP(Tabelle2[[#This Row],[Kunden Nr.]],KUNDEN!A:G,7)</f>
        <v>Mensuri</v>
      </c>
      <c r="L2011" s="76">
        <f>VLOOKUP(Tabelle2[[#This Row],[Artikel]],Produkte!A:H,8)</f>
        <v>0.17</v>
      </c>
    </row>
    <row r="2012" spans="1:12" x14ac:dyDescent="0.2">
      <c r="A2012" s="75" t="s">
        <v>949</v>
      </c>
      <c r="B2012" s="79">
        <v>46114</v>
      </c>
      <c r="C2012" s="89">
        <v>92.4</v>
      </c>
      <c r="D2012" s="75"/>
      <c r="E2012" s="75"/>
      <c r="F2012" s="75">
        <v>20311</v>
      </c>
      <c r="G2012" s="76" t="str">
        <f>VLOOKUP(Tabelle2[[#This Row],[Kunden Nr.]],KUNDEN!A:B,2,0)</f>
        <v>SOPAJ</v>
      </c>
      <c r="H2012" s="75">
        <v>35109</v>
      </c>
      <c r="I2012" s="76" t="str">
        <f>VLOOKUP(Tabelle2[[#This Row],[Artikel]],Produkte!A:B,2,0)</f>
        <v>M-ONE Sanitar Silikon</v>
      </c>
      <c r="J2012" s="75">
        <v>12</v>
      </c>
      <c r="K2012" s="76" t="str">
        <f>VLOOKUP(Tabelle2[[#This Row],[Kunden Nr.]],KUNDEN!A:G,7)</f>
        <v>Mensuri</v>
      </c>
      <c r="L2012" s="76">
        <f>VLOOKUP(Tabelle2[[#This Row],[Artikel]],Produkte!A:H,8)</f>
        <v>0.17</v>
      </c>
    </row>
    <row r="2013" spans="1:12" x14ac:dyDescent="0.2">
      <c r="A2013" s="75" t="s">
        <v>949</v>
      </c>
      <c r="B2013" s="79">
        <v>46114</v>
      </c>
      <c r="C2013" s="75"/>
      <c r="D2013" s="75"/>
      <c r="E2013" s="75"/>
      <c r="F2013" s="75">
        <v>20311</v>
      </c>
      <c r="G2013" s="76" t="str">
        <f>VLOOKUP(Tabelle2[[#This Row],[Kunden Nr.]],KUNDEN!A:B,2,0)</f>
        <v>SOPAJ</v>
      </c>
      <c r="H2013" s="75">
        <v>35110</v>
      </c>
      <c r="I2013" s="76" t="str">
        <f>VLOOKUP(Tabelle2[[#This Row],[Artikel]],Produkte!A:B,2,0)</f>
        <v>M-ONE Sanitar Silikon</v>
      </c>
      <c r="J2013" s="75">
        <v>12</v>
      </c>
      <c r="K2013" s="76" t="str">
        <f>VLOOKUP(Tabelle2[[#This Row],[Kunden Nr.]],KUNDEN!A:G,7)</f>
        <v>Mensuri</v>
      </c>
      <c r="L2013" s="76">
        <f>VLOOKUP(Tabelle2[[#This Row],[Artikel]],Produkte!A:H,8)</f>
        <v>0.17</v>
      </c>
    </row>
    <row r="2014" spans="1:12" x14ac:dyDescent="0.2">
      <c r="A2014" s="75" t="s">
        <v>624</v>
      </c>
      <c r="B2014" s="79">
        <v>46114</v>
      </c>
      <c r="C2014" s="89">
        <v>92.4</v>
      </c>
      <c r="D2014" s="75"/>
      <c r="E2014" s="75"/>
      <c r="F2014" s="75">
        <v>20314</v>
      </c>
      <c r="G2014" s="76" t="str">
        <f>VLOOKUP(Tabelle2[[#This Row],[Kunden Nr.]],KUNDEN!A:B,2,0)</f>
        <v>URA</v>
      </c>
      <c r="H2014" s="75">
        <v>35110</v>
      </c>
      <c r="I2014" s="76" t="str">
        <f>VLOOKUP(Tabelle2[[#This Row],[Artikel]],Produkte!A:B,2,0)</f>
        <v>M-ONE Sanitar Silikon</v>
      </c>
      <c r="J2014" s="75">
        <v>12</v>
      </c>
      <c r="K2014" s="76" t="str">
        <f>VLOOKUP(Tabelle2[[#This Row],[Kunden Nr.]],KUNDEN!A:G,7)</f>
        <v>Mensuri</v>
      </c>
      <c r="L2014" s="76">
        <f>VLOOKUP(Tabelle2[[#This Row],[Artikel]],Produkte!A:H,8)</f>
        <v>0.17</v>
      </c>
    </row>
    <row r="2015" spans="1:12" x14ac:dyDescent="0.2">
      <c r="A2015" s="75" t="s">
        <v>624</v>
      </c>
      <c r="B2015" s="79">
        <v>46114</v>
      </c>
      <c r="C2015" s="75"/>
      <c r="D2015" s="75"/>
      <c r="E2015" s="75"/>
      <c r="F2015" s="75">
        <v>20314</v>
      </c>
      <c r="G2015" s="76" t="str">
        <f>VLOOKUP(Tabelle2[[#This Row],[Kunden Nr.]],KUNDEN!A:B,2,0)</f>
        <v>URA</v>
      </c>
      <c r="H2015" s="75">
        <v>35113</v>
      </c>
      <c r="I2015" s="76" t="str">
        <f>VLOOKUP(Tabelle2[[#This Row],[Artikel]],Produkte!A:B,2,0)</f>
        <v>M-ONE Sanitar Silikon</v>
      </c>
      <c r="J2015" s="75">
        <v>12</v>
      </c>
      <c r="K2015" s="76" t="str">
        <f>VLOOKUP(Tabelle2[[#This Row],[Kunden Nr.]],KUNDEN!A:G,7)</f>
        <v>Mensuri</v>
      </c>
      <c r="L2015" s="76">
        <f>VLOOKUP(Tabelle2[[#This Row],[Artikel]],Produkte!A:H,8)</f>
        <v>0.17</v>
      </c>
    </row>
    <row r="2016" spans="1:12" x14ac:dyDescent="0.2">
      <c r="A2016" s="75" t="s">
        <v>1302</v>
      </c>
      <c r="B2016" s="79">
        <v>46114</v>
      </c>
      <c r="C2016" s="89">
        <v>208.8</v>
      </c>
      <c r="D2016" s="75"/>
      <c r="E2016" s="75"/>
      <c r="F2016" s="75">
        <v>20228</v>
      </c>
      <c r="G2016" s="76" t="str">
        <f>VLOOKUP(Tabelle2[[#This Row],[Kunden Nr.]],KUNDEN!A:B,2,0)</f>
        <v>HB-DECOR</v>
      </c>
      <c r="H2016" s="75">
        <v>66701</v>
      </c>
      <c r="I2016" s="76" t="str">
        <f>VLOOKUP(Tabelle2[[#This Row],[Artikel]],Produkte!A:B,2,0)</f>
        <v>PROFIMONT EXTREME</v>
      </c>
      <c r="J2016" s="75">
        <v>36</v>
      </c>
      <c r="K2016" s="76" t="str">
        <f>VLOOKUP(Tabelle2[[#This Row],[Kunden Nr.]],KUNDEN!A:G,7)</f>
        <v>Mensuri</v>
      </c>
      <c r="L2016" s="76">
        <f>VLOOKUP(Tabelle2[[#This Row],[Artikel]],Produkte!A:H,8)</f>
        <v>0.2</v>
      </c>
    </row>
    <row r="2017" spans="1:12" x14ac:dyDescent="0.2">
      <c r="A2017" s="75" t="s">
        <v>482</v>
      </c>
      <c r="B2017" s="79">
        <v>46115</v>
      </c>
      <c r="C2017" s="89">
        <v>34</v>
      </c>
      <c r="D2017" s="75"/>
      <c r="E2017" s="75"/>
      <c r="F2017" s="75">
        <v>10502</v>
      </c>
      <c r="G2017" s="76" t="str">
        <f>VLOOKUP(Tabelle2[[#This Row],[Kunden Nr.]],KUNDEN!A:B,2,0)</f>
        <v>PROCOM</v>
      </c>
      <c r="H2017" s="75">
        <v>44001</v>
      </c>
      <c r="I2017" s="76" t="str">
        <f>VLOOKUP(Tabelle2[[#This Row],[Artikel]],Produkte!A:B,2,0)</f>
        <v>Fettspray</v>
      </c>
      <c r="J2017" s="75">
        <v>8</v>
      </c>
      <c r="K2017" s="76" t="str">
        <f>VLOOKUP(Tabelle2[[#This Row],[Kunden Nr.]],KUNDEN!A:G,7)</f>
        <v>Qerimi</v>
      </c>
      <c r="L2017" s="76">
        <f>VLOOKUP(Tabelle2[[#This Row],[Artikel]],Produkte!A:H,8)</f>
        <v>0.2</v>
      </c>
    </row>
    <row r="2018" spans="1:12" x14ac:dyDescent="0.2">
      <c r="A2018" s="75" t="s">
        <v>482</v>
      </c>
      <c r="B2018" s="79">
        <v>46115</v>
      </c>
      <c r="C2018" s="75"/>
      <c r="D2018" s="75"/>
      <c r="E2018" s="75"/>
      <c r="F2018" s="75">
        <v>10502</v>
      </c>
      <c r="G2018" s="76" t="str">
        <f>VLOOKUP(Tabelle2[[#This Row],[Kunden Nr.]],KUNDEN!A:B,2,0)</f>
        <v>PROCOM</v>
      </c>
      <c r="H2018" s="75">
        <v>39505</v>
      </c>
      <c r="I2018" s="76" t="str">
        <f>VLOOKUP(Tabelle2[[#This Row],[Artikel]],Produkte!A:B,2,0)</f>
        <v>M ONE SILIKON SPRAY</v>
      </c>
      <c r="J2018" s="75">
        <v>2</v>
      </c>
      <c r="K2018" s="76" t="str">
        <f>VLOOKUP(Tabelle2[[#This Row],[Kunden Nr.]],KUNDEN!A:G,7)</f>
        <v>Qerimi</v>
      </c>
      <c r="L2018" s="76">
        <f>VLOOKUP(Tabelle2[[#This Row],[Artikel]],Produkte!A:H,8)</f>
        <v>0.2</v>
      </c>
    </row>
    <row r="2019" spans="1:12" x14ac:dyDescent="0.2">
      <c r="A2019" s="75" t="s">
        <v>487</v>
      </c>
      <c r="B2019" s="79">
        <v>46115</v>
      </c>
      <c r="C2019" s="89">
        <v>138.6</v>
      </c>
      <c r="D2019" s="75"/>
      <c r="E2019" s="75"/>
      <c r="F2019" s="75">
        <v>10507</v>
      </c>
      <c r="G2019" s="76" t="str">
        <f>VLOOKUP(Tabelle2[[#This Row],[Kunden Nr.]],KUNDEN!A:B,2,0)</f>
        <v>REAL COLOR 2</v>
      </c>
      <c r="H2019" s="75">
        <v>35112</v>
      </c>
      <c r="I2019" s="76" t="str">
        <f>VLOOKUP(Tabelle2[[#This Row],[Artikel]],Produkte!A:B,2,0)</f>
        <v>M-ONE Sanitar Silikon</v>
      </c>
      <c r="J2019" s="75">
        <v>12</v>
      </c>
      <c r="K2019" s="76" t="str">
        <f>VLOOKUP(Tabelle2[[#This Row],[Kunden Nr.]],KUNDEN!A:G,7)</f>
        <v>Qerimi</v>
      </c>
      <c r="L2019" s="76">
        <f>VLOOKUP(Tabelle2[[#This Row],[Artikel]],Produkte!A:H,8)</f>
        <v>0.17</v>
      </c>
    </row>
    <row r="2020" spans="1:12" x14ac:dyDescent="0.2">
      <c r="A2020" s="75" t="s">
        <v>487</v>
      </c>
      <c r="B2020" s="79">
        <v>46115</v>
      </c>
      <c r="C2020" s="75"/>
      <c r="D2020" s="75"/>
      <c r="E2020" s="75"/>
      <c r="F2020" s="75">
        <v>10507</v>
      </c>
      <c r="G2020" s="76" t="str">
        <f>VLOOKUP(Tabelle2[[#This Row],[Kunden Nr.]],KUNDEN!A:B,2,0)</f>
        <v>REAL COLOR 2</v>
      </c>
      <c r="H2020" s="75">
        <v>35113</v>
      </c>
      <c r="I2020" s="76" t="str">
        <f>VLOOKUP(Tabelle2[[#This Row],[Artikel]],Produkte!A:B,2,0)</f>
        <v>M-ONE Sanitar Silikon</v>
      </c>
      <c r="J2020" s="75">
        <v>12</v>
      </c>
      <c r="K2020" s="76" t="str">
        <f>VLOOKUP(Tabelle2[[#This Row],[Kunden Nr.]],KUNDEN!A:G,7)</f>
        <v>Qerimi</v>
      </c>
      <c r="L2020" s="76">
        <f>VLOOKUP(Tabelle2[[#This Row],[Artikel]],Produkte!A:H,8)</f>
        <v>0.17</v>
      </c>
    </row>
    <row r="2021" spans="1:12" x14ac:dyDescent="0.2">
      <c r="A2021" s="75" t="s">
        <v>487</v>
      </c>
      <c r="B2021" s="79">
        <v>46115</v>
      </c>
      <c r="C2021" s="75"/>
      <c r="D2021" s="75"/>
      <c r="E2021" s="75"/>
      <c r="F2021" s="75">
        <v>10507</v>
      </c>
      <c r="G2021" s="76" t="str">
        <f>VLOOKUP(Tabelle2[[#This Row],[Kunden Nr.]],KUNDEN!A:B,2,0)</f>
        <v>REAL COLOR 2</v>
      </c>
      <c r="H2021" s="75">
        <v>35114</v>
      </c>
      <c r="I2021" s="76" t="str">
        <f>VLOOKUP(Tabelle2[[#This Row],[Artikel]],Produkte!A:B,2,0)</f>
        <v>M-ONE Sanitar Silikon</v>
      </c>
      <c r="J2021" s="75">
        <v>12</v>
      </c>
      <c r="K2021" s="76" t="str">
        <f>VLOOKUP(Tabelle2[[#This Row],[Kunden Nr.]],KUNDEN!A:G,7)</f>
        <v>Qerimi</v>
      </c>
      <c r="L2021" s="76">
        <f>VLOOKUP(Tabelle2[[#This Row],[Artikel]],Produkte!A:H,8)</f>
        <v>0.17</v>
      </c>
    </row>
    <row r="2022" spans="1:12" x14ac:dyDescent="0.2">
      <c r="A2022" s="75" t="s">
        <v>435</v>
      </c>
      <c r="B2022" s="79">
        <v>46115</v>
      </c>
      <c r="C2022" s="89">
        <v>106.4</v>
      </c>
      <c r="D2022" s="75"/>
      <c r="E2022" s="75"/>
      <c r="F2022" s="75">
        <v>10509</v>
      </c>
      <c r="G2022" s="76" t="str">
        <f>VLOOKUP(Tabelle2[[#This Row],[Kunden Nr.]],KUNDEN!A:B,2,0)</f>
        <v>LONI</v>
      </c>
      <c r="H2022" s="75">
        <v>50912</v>
      </c>
      <c r="I2022" s="76" t="str">
        <f>VLOOKUP(Tabelle2[[#This Row],[Artikel]],Produkte!A:B,2,0)</f>
        <v>DICHTUNG</v>
      </c>
      <c r="J2022" s="75">
        <v>12</v>
      </c>
      <c r="K2022" s="76" t="str">
        <f>VLOOKUP(Tabelle2[[#This Row],[Kunden Nr.]],KUNDEN!A:G,7)</f>
        <v>Qerimi</v>
      </c>
      <c r="L2022" s="76">
        <f>VLOOKUP(Tabelle2[[#This Row],[Artikel]],Produkte!A:H,8)</f>
        <v>0.2</v>
      </c>
    </row>
    <row r="2023" spans="1:12" x14ac:dyDescent="0.2">
      <c r="A2023" s="75" t="s">
        <v>435</v>
      </c>
      <c r="B2023" s="79">
        <v>46115</v>
      </c>
      <c r="C2023" s="75"/>
      <c r="D2023" s="75"/>
      <c r="E2023" s="75"/>
      <c r="F2023" s="75">
        <v>10509</v>
      </c>
      <c r="G2023" s="76" t="str">
        <f>VLOOKUP(Tabelle2[[#This Row],[Kunden Nr.]],KUNDEN!A:B,2,0)</f>
        <v>LONI</v>
      </c>
      <c r="H2023" s="75">
        <v>56117</v>
      </c>
      <c r="I2023" s="76" t="str">
        <f>VLOOKUP(Tabelle2[[#This Row],[Artikel]],Produkte!A:B,2,0)</f>
        <v>M ONE UBS</v>
      </c>
      <c r="J2023" s="75">
        <v>5</v>
      </c>
      <c r="K2023" s="76" t="str">
        <f>VLOOKUP(Tabelle2[[#This Row],[Kunden Nr.]],KUNDEN!A:G,7)</f>
        <v>Qerimi</v>
      </c>
      <c r="L2023" s="76">
        <f>VLOOKUP(Tabelle2[[#This Row],[Artikel]],Produkte!A:H,8)</f>
        <v>0.2</v>
      </c>
    </row>
    <row r="2024" spans="1:12" x14ac:dyDescent="0.2">
      <c r="A2024" s="75" t="s">
        <v>413</v>
      </c>
      <c r="B2024" s="79">
        <v>46115</v>
      </c>
      <c r="C2024" s="89">
        <v>184.8</v>
      </c>
      <c r="D2024" s="75"/>
      <c r="E2024" s="75"/>
      <c r="F2024" s="75">
        <v>10350</v>
      </c>
      <c r="G2024" s="76" t="str">
        <f>VLOOKUP(Tabelle2[[#This Row],[Kunden Nr.]],KUNDEN!A:B,2,0)</f>
        <v>BALLKANI</v>
      </c>
      <c r="H2024" s="75">
        <v>35121</v>
      </c>
      <c r="I2024" s="76" t="str">
        <f>VLOOKUP(Tabelle2[[#This Row],[Artikel]],Produkte!A:B,2,0)</f>
        <v>M-ONE Sanitar Silikon</v>
      </c>
      <c r="J2024" s="75">
        <v>48</v>
      </c>
      <c r="K2024" s="76" t="str">
        <f>VLOOKUP(Tabelle2[[#This Row],[Kunden Nr.]],KUNDEN!A:G,7)</f>
        <v>Qerimi</v>
      </c>
      <c r="L2024" s="76">
        <f>VLOOKUP(Tabelle2[[#This Row],[Artikel]],Produkte!A:H,8)</f>
        <v>0.17</v>
      </c>
    </row>
    <row r="2025" spans="1:12" x14ac:dyDescent="0.2">
      <c r="A2025" s="75" t="s">
        <v>1170</v>
      </c>
      <c r="B2025" s="79">
        <v>46115</v>
      </c>
      <c r="C2025" s="89">
        <v>46.2</v>
      </c>
      <c r="D2025" s="75"/>
      <c r="E2025" s="75"/>
      <c r="F2025" s="75">
        <v>10542</v>
      </c>
      <c r="G2025" s="76" t="str">
        <f>VLOOKUP(Tabelle2[[#This Row],[Kunden Nr.]],KUNDEN!A:B,2,0)</f>
        <v>LITA</v>
      </c>
      <c r="H2025" s="75">
        <v>35110</v>
      </c>
      <c r="I2025" s="76" t="str">
        <f>VLOOKUP(Tabelle2[[#This Row],[Artikel]],Produkte!A:B,2,0)</f>
        <v>M-ONE Sanitar Silikon</v>
      </c>
      <c r="J2025" s="75">
        <v>12</v>
      </c>
      <c r="K2025" s="76" t="str">
        <f>VLOOKUP(Tabelle2[[#This Row],[Kunden Nr.]],KUNDEN!A:G,7)</f>
        <v>Qerimi</v>
      </c>
      <c r="L2025" s="76">
        <f>VLOOKUP(Tabelle2[[#This Row],[Artikel]],Produkte!A:H,8)</f>
        <v>0.17</v>
      </c>
    </row>
    <row r="2026" spans="1:12" x14ac:dyDescent="0.2">
      <c r="A2026" s="75" t="s">
        <v>486</v>
      </c>
      <c r="B2026" s="79">
        <v>46115</v>
      </c>
      <c r="C2026" s="89">
        <v>56.2</v>
      </c>
      <c r="D2026" s="75"/>
      <c r="E2026" s="75"/>
      <c r="F2026" s="75">
        <v>10506</v>
      </c>
      <c r="G2026" s="76" t="str">
        <f>VLOOKUP(Tabelle2[[#This Row],[Kunden Nr.]],KUNDEN!A:B,2,0)</f>
        <v>ARBERI</v>
      </c>
      <c r="H2026" s="75">
        <v>49644</v>
      </c>
      <c r="I2026" s="76" t="str">
        <f>VLOOKUP(Tabelle2[[#This Row],[Artikel]],Produkte!A:B,2,0)</f>
        <v>beMAKER Rostlöser</v>
      </c>
      <c r="J2026" s="75">
        <v>5</v>
      </c>
      <c r="K2026" s="76" t="str">
        <f>VLOOKUP(Tabelle2[[#This Row],[Kunden Nr.]],KUNDEN!A:G,7)</f>
        <v>Qerimi</v>
      </c>
      <c r="L2026" s="76">
        <f>VLOOKUP(Tabelle2[[#This Row],[Artikel]],Produkte!A:H,8)</f>
        <v>0.2</v>
      </c>
    </row>
    <row r="2027" spans="1:12" x14ac:dyDescent="0.2">
      <c r="A2027" s="75" t="s">
        <v>486</v>
      </c>
      <c r="B2027" s="79">
        <v>46115</v>
      </c>
      <c r="C2027" s="75"/>
      <c r="D2027" s="75"/>
      <c r="E2027" s="75"/>
      <c r="F2027" s="75">
        <v>10506</v>
      </c>
      <c r="G2027" s="76" t="str">
        <f>VLOOKUP(Tabelle2[[#This Row],[Kunden Nr.]],KUNDEN!A:B,2,0)</f>
        <v>ARBERI</v>
      </c>
      <c r="H2027" s="75">
        <v>35111</v>
      </c>
      <c r="I2027" s="76" t="str">
        <f>VLOOKUP(Tabelle2[[#This Row],[Artikel]],Produkte!A:B,2,0)</f>
        <v>M-ONE Sanitar Silikon</v>
      </c>
      <c r="J2027" s="75">
        <v>12</v>
      </c>
      <c r="K2027" s="76" t="str">
        <f>VLOOKUP(Tabelle2[[#This Row],[Kunden Nr.]],KUNDEN!A:G,7)</f>
        <v>Qerimi</v>
      </c>
      <c r="L2027" s="76">
        <f>VLOOKUP(Tabelle2[[#This Row],[Artikel]],Produkte!A:H,8)</f>
        <v>0.17</v>
      </c>
    </row>
    <row r="2028" spans="1:12" x14ac:dyDescent="0.2">
      <c r="A2028" s="75" t="s">
        <v>666</v>
      </c>
      <c r="B2028" s="79">
        <v>46115</v>
      </c>
      <c r="C2028" s="89">
        <v>49.2</v>
      </c>
      <c r="D2028" s="75"/>
      <c r="E2028" s="75"/>
      <c r="F2028" s="75">
        <v>10529</v>
      </c>
      <c r="G2028" s="76" t="str">
        <f>VLOOKUP(Tabelle2[[#This Row],[Kunden Nr.]],KUNDEN!A:B,2,0)</f>
        <v>ARDI LIPJAN</v>
      </c>
      <c r="H2028" s="75">
        <v>50912</v>
      </c>
      <c r="I2028" s="76" t="str">
        <f>VLOOKUP(Tabelle2[[#This Row],[Artikel]],Produkte!A:B,2,0)</f>
        <v>DICHTUNG</v>
      </c>
      <c r="J2028" s="75">
        <v>6</v>
      </c>
      <c r="K2028" s="76" t="str">
        <f>VLOOKUP(Tabelle2[[#This Row],[Kunden Nr.]],KUNDEN!A:G,7)</f>
        <v>Qerimi</v>
      </c>
      <c r="L2028" s="76">
        <f>VLOOKUP(Tabelle2[[#This Row],[Artikel]],Produkte!A:H,8)</f>
        <v>0.2</v>
      </c>
    </row>
    <row r="2029" spans="1:12" x14ac:dyDescent="0.2">
      <c r="A2029" s="75" t="s">
        <v>666</v>
      </c>
      <c r="B2029" s="79">
        <v>46115</v>
      </c>
      <c r="C2029" s="75"/>
      <c r="D2029" s="75"/>
      <c r="E2029" s="75"/>
      <c r="F2029" s="75">
        <v>10529</v>
      </c>
      <c r="G2029" s="76" t="str">
        <f>VLOOKUP(Tabelle2[[#This Row],[Kunden Nr.]],KUNDEN!A:B,2,0)</f>
        <v>ARDI LIPJAN</v>
      </c>
      <c r="H2029" s="75">
        <v>49644</v>
      </c>
      <c r="I2029" s="76" t="str">
        <f>VLOOKUP(Tabelle2[[#This Row],[Artikel]],Produkte!A:B,2,0)</f>
        <v>beMAKER Rostlöser</v>
      </c>
      <c r="J2029" s="75">
        <v>3</v>
      </c>
      <c r="K2029" s="76" t="str">
        <f>VLOOKUP(Tabelle2[[#This Row],[Kunden Nr.]],KUNDEN!A:G,7)</f>
        <v>Qerimi</v>
      </c>
      <c r="L2029" s="76">
        <f>VLOOKUP(Tabelle2[[#This Row],[Artikel]],Produkte!A:H,8)</f>
        <v>0.2</v>
      </c>
    </row>
    <row r="2030" spans="1:12" x14ac:dyDescent="0.2">
      <c r="A2030" s="75" t="s">
        <v>453</v>
      </c>
      <c r="B2030" s="79">
        <v>46115</v>
      </c>
      <c r="C2030" s="89">
        <v>208.2</v>
      </c>
      <c r="D2030" s="75"/>
      <c r="E2030" s="75"/>
      <c r="F2030" s="75">
        <v>20501</v>
      </c>
      <c r="G2030" s="76" t="str">
        <f>VLOOKUP(Tabelle2[[#This Row],[Kunden Nr.]],KUNDEN!A:B,2,0)</f>
        <v>RACI</v>
      </c>
      <c r="H2030" s="75">
        <v>35108</v>
      </c>
      <c r="I2030" s="76" t="str">
        <f>VLOOKUP(Tabelle2[[#This Row],[Artikel]],Produkte!A:B,2,0)</f>
        <v>M-ONE Sanitar Silikon</v>
      </c>
      <c r="J2030" s="75">
        <v>12</v>
      </c>
      <c r="K2030" s="76" t="str">
        <f>VLOOKUP(Tabelle2[[#This Row],[Kunden Nr.]],KUNDEN!A:G,7)</f>
        <v>Mensuri</v>
      </c>
      <c r="L2030" s="76">
        <f>VLOOKUP(Tabelle2[[#This Row],[Artikel]],Produkte!A:H,8)</f>
        <v>0.17</v>
      </c>
    </row>
    <row r="2031" spans="1:12" x14ac:dyDescent="0.2">
      <c r="A2031" s="75" t="s">
        <v>453</v>
      </c>
      <c r="B2031" s="79">
        <v>46115</v>
      </c>
      <c r="C2031" s="75"/>
      <c r="D2031" s="75"/>
      <c r="E2031" s="75"/>
      <c r="F2031" s="75">
        <v>20501</v>
      </c>
      <c r="G2031" s="76" t="str">
        <f>VLOOKUP(Tabelle2[[#This Row],[Kunden Nr.]],KUNDEN!A:B,2,0)</f>
        <v>RACI</v>
      </c>
      <c r="H2031" s="75">
        <v>35109</v>
      </c>
      <c r="I2031" s="76" t="str">
        <f>VLOOKUP(Tabelle2[[#This Row],[Artikel]],Produkte!A:B,2,0)</f>
        <v>M-ONE Sanitar Silikon</v>
      </c>
      <c r="J2031" s="75">
        <v>12</v>
      </c>
      <c r="K2031" s="76" t="str">
        <f>VLOOKUP(Tabelle2[[#This Row],[Kunden Nr.]],KUNDEN!A:G,7)</f>
        <v>Mensuri</v>
      </c>
      <c r="L2031" s="76">
        <f>VLOOKUP(Tabelle2[[#This Row],[Artikel]],Produkte!A:H,8)</f>
        <v>0.17</v>
      </c>
    </row>
    <row r="2032" spans="1:12" x14ac:dyDescent="0.2">
      <c r="A2032" s="75" t="s">
        <v>453</v>
      </c>
      <c r="B2032" s="79">
        <v>46115</v>
      </c>
      <c r="C2032" s="75"/>
      <c r="D2032" s="75"/>
      <c r="E2032" s="75"/>
      <c r="F2032" s="75">
        <v>20501</v>
      </c>
      <c r="G2032" s="76" t="str">
        <f>VLOOKUP(Tabelle2[[#This Row],[Kunden Nr.]],KUNDEN!A:B,2,0)</f>
        <v>RACI</v>
      </c>
      <c r="H2032" s="75">
        <v>35128</v>
      </c>
      <c r="I2032" s="76" t="str">
        <f>VLOOKUP(Tabelle2[[#This Row],[Artikel]],Produkte!A:B,2,0)</f>
        <v>M-ONE Sanitar Silikon</v>
      </c>
      <c r="J2032" s="75">
        <v>12</v>
      </c>
      <c r="K2032" s="76" t="str">
        <f>VLOOKUP(Tabelle2[[#This Row],[Kunden Nr.]],KUNDEN!A:G,7)</f>
        <v>Mensuri</v>
      </c>
      <c r="L2032" s="76">
        <f>VLOOKUP(Tabelle2[[#This Row],[Artikel]],Produkte!A:H,8)</f>
        <v>0.17</v>
      </c>
    </row>
    <row r="2033" spans="1:12" x14ac:dyDescent="0.2">
      <c r="A2033" s="75" t="s">
        <v>453</v>
      </c>
      <c r="B2033" s="79">
        <v>46115</v>
      </c>
      <c r="C2033" s="75"/>
      <c r="D2033" s="75"/>
      <c r="E2033" s="75"/>
      <c r="F2033" s="75">
        <v>20501</v>
      </c>
      <c r="G2033" s="76" t="str">
        <f>VLOOKUP(Tabelle2[[#This Row],[Kunden Nr.]],KUNDEN!A:B,2,0)</f>
        <v>RACI</v>
      </c>
      <c r="H2033" s="75">
        <v>66701</v>
      </c>
      <c r="I2033" s="76" t="str">
        <f>VLOOKUP(Tabelle2[[#This Row],[Artikel]],Produkte!A:B,2,0)</f>
        <v>PROFIMONT EXTREME</v>
      </c>
      <c r="J2033" s="75">
        <v>12</v>
      </c>
      <c r="K2033" s="76" t="str">
        <f>VLOOKUP(Tabelle2[[#This Row],[Kunden Nr.]],KUNDEN!A:G,7)</f>
        <v>Mensuri</v>
      </c>
      <c r="L2033" s="76">
        <f>VLOOKUP(Tabelle2[[#This Row],[Artikel]],Produkte!A:H,8)</f>
        <v>0.2</v>
      </c>
    </row>
    <row r="2034" spans="1:12" x14ac:dyDescent="0.2">
      <c r="A2034" s="75" t="s">
        <v>454</v>
      </c>
      <c r="B2034" s="79">
        <v>46115</v>
      </c>
      <c r="C2034" s="89">
        <v>120</v>
      </c>
      <c r="D2034" s="75"/>
      <c r="E2034" s="75"/>
      <c r="F2034" s="75">
        <v>20502</v>
      </c>
      <c r="G2034" s="76" t="str">
        <f>VLOOKUP(Tabelle2[[#This Row],[Kunden Nr.]],KUNDEN!A:B,2,0)</f>
        <v>HOXHA</v>
      </c>
      <c r="H2034" s="75">
        <v>35111</v>
      </c>
      <c r="I2034" s="76" t="str">
        <f>VLOOKUP(Tabelle2[[#This Row],[Artikel]],Produkte!A:B,2,0)</f>
        <v>M-ONE Sanitar Silikon</v>
      </c>
      <c r="J2034" s="75">
        <v>12</v>
      </c>
      <c r="K2034" s="76" t="str">
        <f>VLOOKUP(Tabelle2[[#This Row],[Kunden Nr.]],KUNDEN!A:G,7)</f>
        <v>Mensuri</v>
      </c>
      <c r="L2034" s="76">
        <f>VLOOKUP(Tabelle2[[#This Row],[Artikel]],Produkte!A:H,8)</f>
        <v>0.17</v>
      </c>
    </row>
    <row r="2035" spans="1:12" x14ac:dyDescent="0.2">
      <c r="A2035" s="75" t="s">
        <v>454</v>
      </c>
      <c r="B2035" s="79">
        <v>46115</v>
      </c>
      <c r="C2035" s="75"/>
      <c r="D2035" s="75"/>
      <c r="E2035" s="75"/>
      <c r="F2035" s="75">
        <v>20502</v>
      </c>
      <c r="G2035" s="76" t="str">
        <f>VLOOKUP(Tabelle2[[#This Row],[Kunden Nr.]],KUNDEN!A:B,2,0)</f>
        <v>HOXHA</v>
      </c>
      <c r="H2035" s="75">
        <v>35112</v>
      </c>
      <c r="I2035" s="76" t="str">
        <f>VLOOKUP(Tabelle2[[#This Row],[Artikel]],Produkte!A:B,2,0)</f>
        <v>M-ONE Sanitar Silikon</v>
      </c>
      <c r="J2035" s="75">
        <v>12</v>
      </c>
      <c r="K2035" s="76" t="str">
        <f>VLOOKUP(Tabelle2[[#This Row],[Kunden Nr.]],KUNDEN!A:G,7)</f>
        <v>Mensuri</v>
      </c>
      <c r="L2035" s="76">
        <f>VLOOKUP(Tabelle2[[#This Row],[Artikel]],Produkte!A:H,8)</f>
        <v>0.17</v>
      </c>
    </row>
    <row r="2036" spans="1:12" x14ac:dyDescent="0.2">
      <c r="A2036" s="75" t="s">
        <v>454</v>
      </c>
      <c r="B2036" s="79">
        <v>46115</v>
      </c>
      <c r="C2036" s="75"/>
      <c r="D2036" s="75"/>
      <c r="E2036" s="75"/>
      <c r="F2036" s="75">
        <v>20502</v>
      </c>
      <c r="G2036" s="76" t="str">
        <f>VLOOKUP(Tabelle2[[#This Row],[Kunden Nr.]],KUNDEN!A:B,2,0)</f>
        <v>HOXHA</v>
      </c>
      <c r="H2036" s="75">
        <v>51612</v>
      </c>
      <c r="I2036" s="76" t="str">
        <f>VLOOKUP(Tabelle2[[#This Row],[Artikel]],Produkte!A:B,2,0)</f>
        <v>struktural akryl</v>
      </c>
      <c r="J2036" s="75">
        <v>12</v>
      </c>
      <c r="K2036" s="76" t="str">
        <f>VLOOKUP(Tabelle2[[#This Row],[Kunden Nr.]],KUNDEN!A:G,7)</f>
        <v>Mensuri</v>
      </c>
      <c r="L2036" s="76">
        <f>VLOOKUP(Tabelle2[[#This Row],[Artikel]],Produkte!A:H,8)</f>
        <v>0.06</v>
      </c>
    </row>
    <row r="2037" spans="1:12" x14ac:dyDescent="0.2">
      <c r="A2037" s="75" t="s">
        <v>1258</v>
      </c>
      <c r="B2037" s="79">
        <v>46115</v>
      </c>
      <c r="C2037" s="89">
        <v>122.4</v>
      </c>
      <c r="D2037" s="75"/>
      <c r="E2037" s="75"/>
      <c r="F2037" s="75">
        <v>20511</v>
      </c>
      <c r="G2037" s="76" t="str">
        <f>VLOOKUP(Tabelle2[[#This Row],[Kunden Nr.]],KUNDEN!A:B,2,0)</f>
        <v>LIRIDONA KLINE</v>
      </c>
      <c r="H2037" s="75">
        <v>35109</v>
      </c>
      <c r="I2037" s="76" t="str">
        <f>VLOOKUP(Tabelle2[[#This Row],[Artikel]],Produkte!A:B,2,0)</f>
        <v>M-ONE Sanitar Silikon</v>
      </c>
      <c r="J2037" s="75">
        <v>24</v>
      </c>
      <c r="K2037" s="76" t="str">
        <f>VLOOKUP(Tabelle2[[#This Row],[Kunden Nr.]],KUNDEN!A:G,7)</f>
        <v>Mensuri</v>
      </c>
      <c r="L2037" s="76">
        <f>VLOOKUP(Tabelle2[[#This Row],[Artikel]],Produkte!A:H,8)</f>
        <v>0.17</v>
      </c>
    </row>
    <row r="2038" spans="1:12" x14ac:dyDescent="0.2">
      <c r="A2038" s="75" t="s">
        <v>1258</v>
      </c>
      <c r="B2038" s="79">
        <v>46115</v>
      </c>
      <c r="C2038" s="75"/>
      <c r="D2038" s="75"/>
      <c r="E2038" s="75"/>
      <c r="F2038" s="75">
        <v>20511</v>
      </c>
      <c r="G2038" s="76" t="str">
        <f>VLOOKUP(Tabelle2[[#This Row],[Kunden Nr.]],KUNDEN!A:B,2,0)</f>
        <v>LIRIDONA KLINE</v>
      </c>
      <c r="H2038" s="75">
        <v>51611</v>
      </c>
      <c r="I2038" s="76" t="str">
        <f>VLOOKUP(Tabelle2[[#This Row],[Artikel]],Produkte!A:B,2,0)</f>
        <v>universal akryl</v>
      </c>
      <c r="J2038" s="75">
        <v>24</v>
      </c>
      <c r="K2038" s="76" t="str">
        <f>VLOOKUP(Tabelle2[[#This Row],[Kunden Nr.]],KUNDEN!A:G,7)</f>
        <v>Mensuri</v>
      </c>
      <c r="L2038" s="76">
        <f>VLOOKUP(Tabelle2[[#This Row],[Artikel]],Produkte!A:H,8)</f>
        <v>0.06</v>
      </c>
    </row>
    <row r="2039" spans="1:12" x14ac:dyDescent="0.2">
      <c r="A2039" s="75" t="s">
        <v>674</v>
      </c>
      <c r="B2039" s="79">
        <v>46115</v>
      </c>
      <c r="C2039" s="89">
        <v>208.2</v>
      </c>
      <c r="D2039" s="75"/>
      <c r="E2039" s="75"/>
      <c r="F2039" s="75">
        <v>20508</v>
      </c>
      <c r="G2039" s="76" t="str">
        <f>VLOOKUP(Tabelle2[[#This Row],[Kunden Nr.]],KUNDEN!A:B,2,0)</f>
        <v>LIRIDONA HOME</v>
      </c>
      <c r="H2039" s="75">
        <v>35109</v>
      </c>
      <c r="I2039" s="76" t="str">
        <f>VLOOKUP(Tabelle2[[#This Row],[Artikel]],Produkte!A:B,2,0)</f>
        <v>M-ONE Sanitar Silikon</v>
      </c>
      <c r="J2039" s="75">
        <v>36</v>
      </c>
      <c r="K2039" s="76" t="str">
        <f>VLOOKUP(Tabelle2[[#This Row],[Kunden Nr.]],KUNDEN!A:G,7)</f>
        <v>Mensuri</v>
      </c>
      <c r="L2039" s="76">
        <f>VLOOKUP(Tabelle2[[#This Row],[Artikel]],Produkte!A:H,8)</f>
        <v>0.17</v>
      </c>
    </row>
    <row r="2040" spans="1:12" x14ac:dyDescent="0.2">
      <c r="A2040" s="75" t="s">
        <v>674</v>
      </c>
      <c r="B2040" s="79">
        <v>46115</v>
      </c>
      <c r="C2040" s="75"/>
      <c r="D2040" s="75"/>
      <c r="E2040" s="75"/>
      <c r="F2040" s="75">
        <v>20508</v>
      </c>
      <c r="G2040" s="76" t="str">
        <f>VLOOKUP(Tabelle2[[#This Row],[Kunden Nr.]],KUNDEN!A:B,2,0)</f>
        <v>LIRIDONA HOME</v>
      </c>
      <c r="H2040" s="75">
        <v>66701</v>
      </c>
      <c r="I2040" s="76" t="str">
        <f>VLOOKUP(Tabelle2[[#This Row],[Artikel]],Produkte!A:B,2,0)</f>
        <v>PROFIMONT EXTREME</v>
      </c>
      <c r="J2040" s="75">
        <v>12</v>
      </c>
      <c r="K2040" s="76" t="str">
        <f>VLOOKUP(Tabelle2[[#This Row],[Kunden Nr.]],KUNDEN!A:G,7)</f>
        <v>Mensuri</v>
      </c>
      <c r="L2040" s="76">
        <f>VLOOKUP(Tabelle2[[#This Row],[Artikel]],Produkte!A:H,8)</f>
        <v>0.2</v>
      </c>
    </row>
    <row r="2041" spans="1:12" x14ac:dyDescent="0.2">
      <c r="A2041" s="75" t="s">
        <v>461</v>
      </c>
      <c r="B2041" s="79">
        <v>46115</v>
      </c>
      <c r="C2041" s="89">
        <v>32.5</v>
      </c>
      <c r="D2041" s="75"/>
      <c r="E2041" s="75"/>
      <c r="F2041" s="75">
        <v>20513</v>
      </c>
      <c r="G2041" s="76" t="str">
        <f>VLOOKUP(Tabelle2[[#This Row],[Kunden Nr.]],KUNDEN!A:B,2,0)</f>
        <v>BERATI A.P. (1)</v>
      </c>
      <c r="H2041" s="75">
        <v>55718</v>
      </c>
      <c r="I2041" s="76" t="str">
        <f>VLOOKUP(Tabelle2[[#This Row],[Artikel]],Produkte!A:B,2,0)</f>
        <v>M ONE MOTORSTART</v>
      </c>
      <c r="J2041" s="75">
        <v>6</v>
      </c>
      <c r="K2041" s="76" t="str">
        <f>VLOOKUP(Tabelle2[[#This Row],[Kunden Nr.]],KUNDEN!A:G,7)</f>
        <v>Mensuri</v>
      </c>
      <c r="L2041" s="76">
        <f>VLOOKUP(Tabelle2[[#This Row],[Artikel]],Produkte!A:H,8)</f>
        <v>0.2</v>
      </c>
    </row>
    <row r="2042" spans="1:12" x14ac:dyDescent="0.2">
      <c r="A2042" s="75" t="s">
        <v>461</v>
      </c>
      <c r="B2042" s="79">
        <v>46115</v>
      </c>
      <c r="C2042" s="75"/>
      <c r="D2042" s="75"/>
      <c r="E2042" s="75"/>
      <c r="F2042" s="75">
        <v>20513</v>
      </c>
      <c r="G2042" s="76" t="str">
        <f>VLOOKUP(Tabelle2[[#This Row],[Kunden Nr.]],KUNDEN!A:B,2,0)</f>
        <v>BERATI A.P. (1)</v>
      </c>
      <c r="H2042" s="75">
        <v>56117</v>
      </c>
      <c r="I2042" s="76" t="str">
        <f>VLOOKUP(Tabelle2[[#This Row],[Artikel]],Produkte!A:B,2,0)</f>
        <v>M ONE UBS</v>
      </c>
      <c r="J2042" s="75">
        <v>2</v>
      </c>
      <c r="K2042" s="76" t="str">
        <f>VLOOKUP(Tabelle2[[#This Row],[Kunden Nr.]],KUNDEN!A:G,7)</f>
        <v>Mensuri</v>
      </c>
      <c r="L2042" s="76">
        <f>VLOOKUP(Tabelle2[[#This Row],[Artikel]],Produkte!A:H,8)</f>
        <v>0.2</v>
      </c>
    </row>
    <row r="2043" spans="1:12" x14ac:dyDescent="0.2">
      <c r="A2043" s="75" t="s">
        <v>461</v>
      </c>
      <c r="B2043" s="79">
        <v>46115</v>
      </c>
      <c r="C2043" s="75"/>
      <c r="D2043" s="75"/>
      <c r="E2043" s="75"/>
      <c r="F2043" s="75">
        <v>20513</v>
      </c>
      <c r="G2043" s="76" t="str">
        <f>VLOOKUP(Tabelle2[[#This Row],[Kunden Nr.]],KUNDEN!A:B,2,0)</f>
        <v>BERATI A.P. (1)</v>
      </c>
      <c r="H2043" s="75">
        <v>44001</v>
      </c>
      <c r="I2043" s="76" t="str">
        <f>VLOOKUP(Tabelle2[[#This Row],[Artikel]],Produkte!A:B,2,0)</f>
        <v>Fettspray</v>
      </c>
      <c r="J2043" s="75">
        <v>1</v>
      </c>
      <c r="K2043" s="76" t="str">
        <f>VLOOKUP(Tabelle2[[#This Row],[Kunden Nr.]],KUNDEN!A:G,7)</f>
        <v>Mensuri</v>
      </c>
      <c r="L2043" s="76">
        <f>VLOOKUP(Tabelle2[[#This Row],[Artikel]],Produkte!A:H,8)</f>
        <v>0.2</v>
      </c>
    </row>
    <row r="2044" spans="1:12" x14ac:dyDescent="0.2">
      <c r="A2044" s="75" t="s">
        <v>463</v>
      </c>
      <c r="B2044" s="79">
        <v>46115</v>
      </c>
      <c r="C2044" s="89">
        <v>246.6</v>
      </c>
      <c r="D2044" s="75"/>
      <c r="E2044" s="75"/>
      <c r="F2044" s="75">
        <v>20515</v>
      </c>
      <c r="G2044" s="76" t="str">
        <f>VLOOKUP(Tabelle2[[#This Row],[Kunden Nr.]],KUNDEN!A:B,2,0)</f>
        <v>LIRIDONA-A</v>
      </c>
      <c r="H2044" s="75">
        <v>35111</v>
      </c>
      <c r="I2044" s="76" t="str">
        <f>VLOOKUP(Tabelle2[[#This Row],[Artikel]],Produkte!A:B,2,0)</f>
        <v>M-ONE Sanitar Silikon</v>
      </c>
      <c r="J2044" s="75">
        <v>12</v>
      </c>
      <c r="K2044" s="76" t="str">
        <f>VLOOKUP(Tabelle2[[#This Row],[Kunden Nr.]],KUNDEN!A:G,7)</f>
        <v>Mensuri</v>
      </c>
      <c r="L2044" s="76">
        <f>VLOOKUP(Tabelle2[[#This Row],[Artikel]],Produkte!A:H,8)</f>
        <v>0.17</v>
      </c>
    </row>
    <row r="2045" spans="1:12" x14ac:dyDescent="0.2">
      <c r="A2045" s="75" t="s">
        <v>463</v>
      </c>
      <c r="B2045" s="79">
        <v>46115</v>
      </c>
      <c r="C2045" s="75"/>
      <c r="D2045" s="75"/>
      <c r="E2045" s="75"/>
      <c r="F2045" s="75">
        <v>20515</v>
      </c>
      <c r="G2045" s="76" t="str">
        <f>VLOOKUP(Tabelle2[[#This Row],[Kunden Nr.]],KUNDEN!A:B,2,0)</f>
        <v>LIRIDONA-A</v>
      </c>
      <c r="H2045" s="75">
        <v>35112</v>
      </c>
      <c r="I2045" s="76" t="str">
        <f>VLOOKUP(Tabelle2[[#This Row],[Artikel]],Produkte!A:B,2,0)</f>
        <v>M-ONE Sanitar Silikon</v>
      </c>
      <c r="J2045" s="75">
        <v>12</v>
      </c>
      <c r="K2045" s="76" t="str">
        <f>VLOOKUP(Tabelle2[[#This Row],[Kunden Nr.]],KUNDEN!A:G,7)</f>
        <v>Mensuri</v>
      </c>
      <c r="L2045" s="76">
        <f>VLOOKUP(Tabelle2[[#This Row],[Artikel]],Produkte!A:H,8)</f>
        <v>0.17</v>
      </c>
    </row>
    <row r="2046" spans="1:12" x14ac:dyDescent="0.2">
      <c r="A2046" s="75" t="s">
        <v>463</v>
      </c>
      <c r="B2046" s="79">
        <v>46115</v>
      </c>
      <c r="C2046" s="75"/>
      <c r="D2046" s="75"/>
      <c r="E2046" s="75"/>
      <c r="F2046" s="75">
        <v>20515</v>
      </c>
      <c r="G2046" s="76" t="str">
        <f>VLOOKUP(Tabelle2[[#This Row],[Kunden Nr.]],KUNDEN!A:B,2,0)</f>
        <v>LIRIDONA-A</v>
      </c>
      <c r="H2046" s="75">
        <v>51611</v>
      </c>
      <c r="I2046" s="76" t="str">
        <f>VLOOKUP(Tabelle2[[#This Row],[Artikel]],Produkte!A:B,2,0)</f>
        <v>universal akryl</v>
      </c>
      <c r="J2046" s="75">
        <v>12</v>
      </c>
      <c r="K2046" s="76" t="str">
        <f>VLOOKUP(Tabelle2[[#This Row],[Kunden Nr.]],KUNDEN!A:G,7)</f>
        <v>Mensuri</v>
      </c>
      <c r="L2046" s="76">
        <f>VLOOKUP(Tabelle2[[#This Row],[Artikel]],Produkte!A:H,8)</f>
        <v>0.06</v>
      </c>
    </row>
    <row r="2047" spans="1:12" x14ac:dyDescent="0.2">
      <c r="A2047" s="75" t="s">
        <v>463</v>
      </c>
      <c r="B2047" s="79">
        <v>46115</v>
      </c>
      <c r="C2047" s="75"/>
      <c r="D2047" s="75"/>
      <c r="E2047" s="75"/>
      <c r="F2047" s="75">
        <v>20515</v>
      </c>
      <c r="G2047" s="76" t="str">
        <f>VLOOKUP(Tabelle2[[#This Row],[Kunden Nr.]],KUNDEN!A:B,2,0)</f>
        <v>LIRIDONA-A</v>
      </c>
      <c r="H2047" s="75">
        <v>66701</v>
      </c>
      <c r="I2047" s="76" t="str">
        <f>VLOOKUP(Tabelle2[[#This Row],[Artikel]],Produkte!A:B,2,0)</f>
        <v>PROFIMONT EXTREME</v>
      </c>
      <c r="J2047" s="75">
        <v>24</v>
      </c>
      <c r="K2047" s="76" t="str">
        <f>VLOOKUP(Tabelle2[[#This Row],[Kunden Nr.]],KUNDEN!A:G,7)</f>
        <v>Mensuri</v>
      </c>
      <c r="L2047" s="76">
        <f>VLOOKUP(Tabelle2[[#This Row],[Artikel]],Produkte!A:H,8)</f>
        <v>0.2</v>
      </c>
    </row>
    <row r="2048" spans="1:12" x14ac:dyDescent="0.2">
      <c r="A2048" s="75" t="s">
        <v>51</v>
      </c>
      <c r="B2048" s="79">
        <v>46115</v>
      </c>
      <c r="C2048" s="89">
        <v>40.5</v>
      </c>
      <c r="D2048" s="75"/>
      <c r="E2048" s="75"/>
      <c r="F2048" s="75">
        <v>20408</v>
      </c>
      <c r="G2048" s="76" t="str">
        <f>VLOOKUP(Tabelle2[[#This Row],[Kunden Nr.]],KUNDEN!A:B,2,0)</f>
        <v>A.P. HOTI</v>
      </c>
      <c r="H2048" s="75">
        <v>55718</v>
      </c>
      <c r="I2048" s="76" t="str">
        <f>VLOOKUP(Tabelle2[[#This Row],[Artikel]],Produkte!A:B,2,0)</f>
        <v>M ONE MOTORSTART</v>
      </c>
      <c r="J2048" s="75">
        <v>2</v>
      </c>
      <c r="K2048" s="76" t="str">
        <f>VLOOKUP(Tabelle2[[#This Row],[Kunden Nr.]],KUNDEN!A:G,7)</f>
        <v>Mensuri</v>
      </c>
      <c r="L2048" s="76">
        <f>VLOOKUP(Tabelle2[[#This Row],[Artikel]],Produkte!A:H,8)</f>
        <v>0.2</v>
      </c>
    </row>
    <row r="2049" spans="1:12" x14ac:dyDescent="0.2">
      <c r="A2049" s="75" t="s">
        <v>51</v>
      </c>
      <c r="B2049" s="79">
        <v>46115</v>
      </c>
      <c r="C2049" s="75"/>
      <c r="D2049" s="75"/>
      <c r="E2049" s="75"/>
      <c r="F2049" s="75">
        <v>20408</v>
      </c>
      <c r="G2049" s="76" t="str">
        <f>VLOOKUP(Tabelle2[[#This Row],[Kunden Nr.]],KUNDEN!A:B,2,0)</f>
        <v>A.P. HOTI</v>
      </c>
      <c r="H2049" s="75">
        <v>51936</v>
      </c>
      <c r="I2049" s="76" t="str">
        <f>VLOOKUP(Tabelle2[[#This Row],[Artikel]],Produkte!A:B,2,0)</f>
        <v>M ONE SCHWARZ GLÄNZED</v>
      </c>
      <c r="J2049" s="75">
        <v>2</v>
      </c>
      <c r="K2049" s="76" t="str">
        <f>VLOOKUP(Tabelle2[[#This Row],[Kunden Nr.]],KUNDEN!A:G,7)</f>
        <v>Mensuri</v>
      </c>
      <c r="L2049" s="76">
        <f>VLOOKUP(Tabelle2[[#This Row],[Artikel]],Produkte!A:H,8)</f>
        <v>0.15</v>
      </c>
    </row>
    <row r="2050" spans="1:12" x14ac:dyDescent="0.2">
      <c r="A2050" s="75" t="s">
        <v>51</v>
      </c>
      <c r="B2050" s="79">
        <v>46115</v>
      </c>
      <c r="C2050" s="75"/>
      <c r="D2050" s="75"/>
      <c r="E2050" s="75"/>
      <c r="F2050" s="75">
        <v>20408</v>
      </c>
      <c r="G2050" s="76" t="str">
        <f>VLOOKUP(Tabelle2[[#This Row],[Kunden Nr.]],KUNDEN!A:B,2,0)</f>
        <v>A.P. HOTI</v>
      </c>
      <c r="H2050" s="75">
        <v>51736</v>
      </c>
      <c r="I2050" s="76" t="str">
        <f>VLOOKUP(Tabelle2[[#This Row],[Artikel]],Produkte!A:B,2,0)</f>
        <v>M ONE SCHWARZ MATT</v>
      </c>
      <c r="J2050" s="75">
        <v>2</v>
      </c>
      <c r="K2050" s="76" t="str">
        <f>VLOOKUP(Tabelle2[[#This Row],[Kunden Nr.]],KUNDEN!A:G,7)</f>
        <v>Mensuri</v>
      </c>
      <c r="L2050" s="76">
        <f>VLOOKUP(Tabelle2[[#This Row],[Artikel]],Produkte!A:H,8)</f>
        <v>0.15</v>
      </c>
    </row>
    <row r="2051" spans="1:12" x14ac:dyDescent="0.2">
      <c r="A2051" s="75" t="s">
        <v>51</v>
      </c>
      <c r="B2051" s="79">
        <v>46115</v>
      </c>
      <c r="C2051" s="75"/>
      <c r="D2051" s="75"/>
      <c r="E2051" s="75"/>
      <c r="F2051" s="75">
        <v>20408</v>
      </c>
      <c r="G2051" s="76" t="str">
        <f>VLOOKUP(Tabelle2[[#This Row],[Kunden Nr.]],KUNDEN!A:B,2,0)</f>
        <v>A.P. HOTI</v>
      </c>
      <c r="H2051" s="75">
        <v>69236</v>
      </c>
      <c r="I2051" s="76" t="str">
        <f>VLOOKUP(Tabelle2[[#This Row],[Artikel]],Produkte!A:B,2,0)</f>
        <v>M ONE WEISS GLÄNZEND</v>
      </c>
      <c r="J2051" s="75">
        <v>3</v>
      </c>
      <c r="K2051" s="76" t="str">
        <f>VLOOKUP(Tabelle2[[#This Row],[Kunden Nr.]],KUNDEN!A:G,7)</f>
        <v>Mensuri</v>
      </c>
      <c r="L2051" s="76">
        <f>VLOOKUP(Tabelle2[[#This Row],[Artikel]],Produkte!A:H,8)</f>
        <v>0.15</v>
      </c>
    </row>
    <row r="2052" spans="1:12" x14ac:dyDescent="0.2">
      <c r="A2052" s="75" t="s">
        <v>51</v>
      </c>
      <c r="B2052" s="79">
        <v>46115</v>
      </c>
      <c r="C2052" s="75"/>
      <c r="D2052" s="75"/>
      <c r="E2052" s="75"/>
      <c r="F2052" s="75">
        <v>20408</v>
      </c>
      <c r="G2052" s="76" t="str">
        <f>VLOOKUP(Tabelle2[[#This Row],[Kunden Nr.]],KUNDEN!A:B,2,0)</f>
        <v>A.P. HOTI</v>
      </c>
      <c r="H2052" s="75">
        <v>56117</v>
      </c>
      <c r="I2052" s="76" t="str">
        <f>VLOOKUP(Tabelle2[[#This Row],[Artikel]],Produkte!A:B,2,0)</f>
        <v>M ONE UBS</v>
      </c>
      <c r="J2052" s="75">
        <v>4</v>
      </c>
      <c r="K2052" s="76" t="str">
        <f>VLOOKUP(Tabelle2[[#This Row],[Kunden Nr.]],KUNDEN!A:G,7)</f>
        <v>Mensuri</v>
      </c>
      <c r="L2052" s="76">
        <f>VLOOKUP(Tabelle2[[#This Row],[Artikel]],Produkte!A:H,8)</f>
        <v>0.2</v>
      </c>
    </row>
    <row r="2053" spans="1:12" x14ac:dyDescent="0.2">
      <c r="A2053" s="75" t="s">
        <v>53</v>
      </c>
      <c r="B2053" s="79">
        <v>46115</v>
      </c>
      <c r="C2053" s="89">
        <v>277.2</v>
      </c>
      <c r="D2053" s="75"/>
      <c r="E2053" s="75"/>
      <c r="F2053" s="75">
        <v>20407</v>
      </c>
      <c r="G2053" s="76" t="str">
        <f>VLOOKUP(Tabelle2[[#This Row],[Kunden Nr.]],KUNDEN!A:B,2,0)</f>
        <v>TE BENI</v>
      </c>
      <c r="H2053" s="75">
        <v>35112</v>
      </c>
      <c r="I2053" s="76" t="str">
        <f>VLOOKUP(Tabelle2[[#This Row],[Artikel]],Produkte!A:B,2,0)</f>
        <v>M-ONE Sanitar Silikon</v>
      </c>
      <c r="J2053" s="75">
        <v>12</v>
      </c>
      <c r="K2053" s="76" t="str">
        <f>VLOOKUP(Tabelle2[[#This Row],[Kunden Nr.]],KUNDEN!A:G,7)</f>
        <v>Mensuri</v>
      </c>
      <c r="L2053" s="76">
        <f>VLOOKUP(Tabelle2[[#This Row],[Artikel]],Produkte!A:H,8)</f>
        <v>0.17</v>
      </c>
    </row>
    <row r="2054" spans="1:12" x14ac:dyDescent="0.2">
      <c r="A2054" s="75" t="s">
        <v>53</v>
      </c>
      <c r="B2054" s="79">
        <v>46115</v>
      </c>
      <c r="C2054" s="75"/>
      <c r="D2054" s="75"/>
      <c r="E2054" s="75"/>
      <c r="F2054" s="75">
        <v>20407</v>
      </c>
      <c r="G2054" s="76" t="str">
        <f>VLOOKUP(Tabelle2[[#This Row],[Kunden Nr.]],KUNDEN!A:B,2,0)</f>
        <v>TE BENI</v>
      </c>
      <c r="H2054" s="75">
        <v>35121</v>
      </c>
      <c r="I2054" s="76" t="str">
        <f>VLOOKUP(Tabelle2[[#This Row],[Artikel]],Produkte!A:B,2,0)</f>
        <v>M-ONE Sanitar Silikon</v>
      </c>
      <c r="J2054" s="75">
        <v>12</v>
      </c>
      <c r="K2054" s="76" t="str">
        <f>VLOOKUP(Tabelle2[[#This Row],[Kunden Nr.]],KUNDEN!A:G,7)</f>
        <v>Mensuri</v>
      </c>
      <c r="L2054" s="76">
        <f>VLOOKUP(Tabelle2[[#This Row],[Artikel]],Produkte!A:H,8)</f>
        <v>0.17</v>
      </c>
    </row>
    <row r="2055" spans="1:12" x14ac:dyDescent="0.2">
      <c r="A2055" s="75" t="s">
        <v>53</v>
      </c>
      <c r="B2055" s="79">
        <v>46115</v>
      </c>
      <c r="C2055" s="75"/>
      <c r="D2055" s="75"/>
      <c r="E2055" s="75"/>
      <c r="F2055" s="75">
        <v>20407</v>
      </c>
      <c r="G2055" s="76" t="str">
        <f>VLOOKUP(Tabelle2[[#This Row],[Kunden Nr.]],KUNDEN!A:B,2,0)</f>
        <v>TE BENI</v>
      </c>
      <c r="H2055" s="75">
        <v>35115</v>
      </c>
      <c r="I2055" s="76" t="str">
        <f>VLOOKUP(Tabelle2[[#This Row],[Artikel]],Produkte!A:B,2,0)</f>
        <v>M-ONE Sanitar Silikon</v>
      </c>
      <c r="J2055" s="75">
        <v>12</v>
      </c>
      <c r="K2055" s="76" t="str">
        <f>VLOOKUP(Tabelle2[[#This Row],[Kunden Nr.]],KUNDEN!A:G,7)</f>
        <v>Mensuri</v>
      </c>
      <c r="L2055" s="76">
        <f>VLOOKUP(Tabelle2[[#This Row],[Artikel]],Produkte!A:H,8)</f>
        <v>0.17</v>
      </c>
    </row>
    <row r="2056" spans="1:12" x14ac:dyDescent="0.2">
      <c r="A2056" s="75" t="s">
        <v>53</v>
      </c>
      <c r="B2056" s="79">
        <v>46115</v>
      </c>
      <c r="C2056" s="75"/>
      <c r="D2056" s="75"/>
      <c r="E2056" s="75"/>
      <c r="F2056" s="75">
        <v>20407</v>
      </c>
      <c r="G2056" s="76" t="str">
        <f>VLOOKUP(Tabelle2[[#This Row],[Kunden Nr.]],KUNDEN!A:B,2,0)</f>
        <v>TE BENI</v>
      </c>
      <c r="H2056" s="75">
        <v>35111</v>
      </c>
      <c r="I2056" s="76" t="str">
        <f>VLOOKUP(Tabelle2[[#This Row],[Artikel]],Produkte!A:B,2,0)</f>
        <v>M-ONE Sanitar Silikon</v>
      </c>
      <c r="J2056" s="75">
        <v>12</v>
      </c>
      <c r="K2056" s="76" t="str">
        <f>VLOOKUP(Tabelle2[[#This Row],[Kunden Nr.]],KUNDEN!A:G,7)</f>
        <v>Mensuri</v>
      </c>
      <c r="L2056" s="76">
        <f>VLOOKUP(Tabelle2[[#This Row],[Artikel]],Produkte!A:H,8)</f>
        <v>0.17</v>
      </c>
    </row>
    <row r="2057" spans="1:12" x14ac:dyDescent="0.2">
      <c r="A2057" s="75" t="s">
        <v>53</v>
      </c>
      <c r="B2057" s="79">
        <v>46115</v>
      </c>
      <c r="C2057" s="75"/>
      <c r="D2057" s="75"/>
      <c r="E2057" s="75"/>
      <c r="F2057" s="75">
        <v>20407</v>
      </c>
      <c r="G2057" s="76" t="str">
        <f>VLOOKUP(Tabelle2[[#This Row],[Kunden Nr.]],KUNDEN!A:B,2,0)</f>
        <v>TE BENI</v>
      </c>
      <c r="H2057" s="75">
        <v>35110</v>
      </c>
      <c r="I2057" s="76" t="str">
        <f>VLOOKUP(Tabelle2[[#This Row],[Artikel]],Produkte!A:B,2,0)</f>
        <v>M-ONE Sanitar Silikon</v>
      </c>
      <c r="J2057" s="75">
        <v>12</v>
      </c>
      <c r="K2057" s="76" t="str">
        <f>VLOOKUP(Tabelle2[[#This Row],[Kunden Nr.]],KUNDEN!A:G,7)</f>
        <v>Mensuri</v>
      </c>
      <c r="L2057" s="76">
        <f>VLOOKUP(Tabelle2[[#This Row],[Artikel]],Produkte!A:H,8)</f>
        <v>0.17</v>
      </c>
    </row>
    <row r="2058" spans="1:12" x14ac:dyDescent="0.2">
      <c r="A2058" s="75" t="s">
        <v>53</v>
      </c>
      <c r="B2058" s="79">
        <v>46115</v>
      </c>
      <c r="C2058" s="75"/>
      <c r="D2058" s="75"/>
      <c r="E2058" s="75"/>
      <c r="F2058" s="75">
        <v>20407</v>
      </c>
      <c r="G2058" s="76" t="str">
        <f>VLOOKUP(Tabelle2[[#This Row],[Kunden Nr.]],KUNDEN!A:B,2,0)</f>
        <v>TE BENI</v>
      </c>
      <c r="H2058" s="75">
        <v>35109</v>
      </c>
      <c r="I2058" s="76" t="str">
        <f>VLOOKUP(Tabelle2[[#This Row],[Artikel]],Produkte!A:B,2,0)</f>
        <v>M-ONE Sanitar Silikon</v>
      </c>
      <c r="J2058" s="75">
        <v>12</v>
      </c>
      <c r="K2058" s="76" t="str">
        <f>VLOOKUP(Tabelle2[[#This Row],[Kunden Nr.]],KUNDEN!A:G,7)</f>
        <v>Mensuri</v>
      </c>
      <c r="L2058" s="76">
        <f>VLOOKUP(Tabelle2[[#This Row],[Artikel]],Produkte!A:H,8)</f>
        <v>0.17</v>
      </c>
    </row>
    <row r="2059" spans="1:12" x14ac:dyDescent="0.2">
      <c r="A2059" s="75" t="s">
        <v>59</v>
      </c>
      <c r="B2059" s="79">
        <v>46115</v>
      </c>
      <c r="C2059" s="89">
        <v>40</v>
      </c>
      <c r="D2059" s="75"/>
      <c r="E2059" s="75"/>
      <c r="F2059" s="75">
        <v>20406</v>
      </c>
      <c r="G2059" s="76" t="str">
        <f>VLOOKUP(Tabelle2[[#This Row],[Kunden Nr.]],KUNDEN!A:B,2,0)</f>
        <v>MEGI</v>
      </c>
      <c r="H2059" s="75">
        <v>49644</v>
      </c>
      <c r="I2059" s="76" t="str">
        <f>VLOOKUP(Tabelle2[[#This Row],[Artikel]],Produkte!A:B,2,0)</f>
        <v>beMAKER Rostlöser</v>
      </c>
      <c r="J2059" s="75">
        <v>13</v>
      </c>
      <c r="K2059" s="76" t="str">
        <f>VLOOKUP(Tabelle2[[#This Row],[Kunden Nr.]],KUNDEN!A:G,7)</f>
        <v>Mensuri</v>
      </c>
      <c r="L2059" s="76">
        <f>VLOOKUP(Tabelle2[[#This Row],[Artikel]],Produkte!A:H,8)</f>
        <v>0.2</v>
      </c>
    </row>
    <row r="2060" spans="1:12" x14ac:dyDescent="0.2">
      <c r="A2060" s="75" t="s">
        <v>59</v>
      </c>
      <c r="B2060" s="79">
        <v>46115</v>
      </c>
      <c r="C2060" s="75"/>
      <c r="D2060" s="75"/>
      <c r="E2060" s="75"/>
      <c r="F2060" s="75">
        <v>20406</v>
      </c>
      <c r="G2060" s="76" t="str">
        <f>VLOOKUP(Tabelle2[[#This Row],[Kunden Nr.]],KUNDEN!A:B,2,0)</f>
        <v>MEGI</v>
      </c>
      <c r="H2060" s="75">
        <v>55718</v>
      </c>
      <c r="I2060" s="76" t="str">
        <f>VLOOKUP(Tabelle2[[#This Row],[Artikel]],Produkte!A:B,2,0)</f>
        <v>M ONE MOTORSTART</v>
      </c>
      <c r="J2060" s="75">
        <v>4</v>
      </c>
      <c r="K2060" s="76" t="str">
        <f>VLOOKUP(Tabelle2[[#This Row],[Kunden Nr.]],KUNDEN!A:G,7)</f>
        <v>Mensuri</v>
      </c>
      <c r="L2060" s="76">
        <f>VLOOKUP(Tabelle2[[#This Row],[Artikel]],Produkte!A:H,8)</f>
        <v>0.2</v>
      </c>
    </row>
    <row r="2061" spans="1:12" x14ac:dyDescent="0.2">
      <c r="A2061" s="75" t="s">
        <v>48</v>
      </c>
      <c r="B2061" s="79">
        <v>46115</v>
      </c>
      <c r="C2061" s="89">
        <v>92.4</v>
      </c>
      <c r="D2061" s="75"/>
      <c r="E2061" s="75"/>
      <c r="F2061" s="75">
        <v>20404</v>
      </c>
      <c r="G2061" s="76" t="str">
        <f>VLOOKUP(Tabelle2[[#This Row],[Kunden Nr.]],KUNDEN!A:B,2,0)</f>
        <v>TE MENTORI</v>
      </c>
      <c r="H2061" s="75">
        <v>35112</v>
      </c>
      <c r="I2061" s="76" t="str">
        <f>VLOOKUP(Tabelle2[[#This Row],[Artikel]],Produkte!A:B,2,0)</f>
        <v>M-ONE Sanitar Silikon</v>
      </c>
      <c r="J2061" s="75">
        <v>12</v>
      </c>
      <c r="K2061" s="76" t="str">
        <f>VLOOKUP(Tabelle2[[#This Row],[Kunden Nr.]],KUNDEN!A:G,7)</f>
        <v>Mensuri</v>
      </c>
      <c r="L2061" s="76">
        <f>VLOOKUP(Tabelle2[[#This Row],[Artikel]],Produkte!A:H,8)</f>
        <v>0.17</v>
      </c>
    </row>
    <row r="2062" spans="1:12" x14ac:dyDescent="0.2">
      <c r="A2062" s="75" t="s">
        <v>48</v>
      </c>
      <c r="B2062" s="79">
        <v>46115</v>
      </c>
      <c r="C2062" s="75"/>
      <c r="D2062" s="75"/>
      <c r="E2062" s="75"/>
      <c r="F2062" s="75">
        <v>20404</v>
      </c>
      <c r="G2062" s="76" t="str">
        <f>VLOOKUP(Tabelle2[[#This Row],[Kunden Nr.]],KUNDEN!A:B,2,0)</f>
        <v>TE MENTORI</v>
      </c>
      <c r="H2062" s="75">
        <v>35128</v>
      </c>
      <c r="I2062" s="76" t="str">
        <f>VLOOKUP(Tabelle2[[#This Row],[Artikel]],Produkte!A:B,2,0)</f>
        <v>M-ONE Sanitar Silikon</v>
      </c>
      <c r="J2062" s="75">
        <v>12</v>
      </c>
      <c r="K2062" s="76" t="str">
        <f>VLOOKUP(Tabelle2[[#This Row],[Kunden Nr.]],KUNDEN!A:G,7)</f>
        <v>Mensuri</v>
      </c>
      <c r="L2062" s="76">
        <f>VLOOKUP(Tabelle2[[#This Row],[Artikel]],Produkte!A:H,8)</f>
        <v>0.17</v>
      </c>
    </row>
    <row r="2063" spans="1:12" x14ac:dyDescent="0.2">
      <c r="A2063" s="75" t="s">
        <v>47</v>
      </c>
      <c r="B2063" s="79">
        <v>46115</v>
      </c>
      <c r="C2063" s="89">
        <v>92.4</v>
      </c>
      <c r="D2063" s="75"/>
      <c r="E2063" s="75"/>
      <c r="F2063" s="75">
        <v>20403</v>
      </c>
      <c r="G2063" s="76" t="str">
        <f>VLOOKUP(Tabelle2[[#This Row],[Kunden Nr.]],KUNDEN!A:B,2,0)</f>
        <v>TERMIKA</v>
      </c>
      <c r="H2063" s="75">
        <v>35110</v>
      </c>
      <c r="I2063" s="76" t="str">
        <f>VLOOKUP(Tabelle2[[#This Row],[Artikel]],Produkte!A:B,2,0)</f>
        <v>M-ONE Sanitar Silikon</v>
      </c>
      <c r="J2063" s="75">
        <v>12</v>
      </c>
      <c r="K2063" s="76" t="str">
        <f>VLOOKUP(Tabelle2[[#This Row],[Kunden Nr.]],KUNDEN!A:G,7)</f>
        <v>Mensuri</v>
      </c>
      <c r="L2063" s="76">
        <f>VLOOKUP(Tabelle2[[#This Row],[Artikel]],Produkte!A:H,8)</f>
        <v>0.17</v>
      </c>
    </row>
    <row r="2064" spans="1:12" x14ac:dyDescent="0.2">
      <c r="A2064" s="75" t="s">
        <v>47</v>
      </c>
      <c r="B2064" s="79">
        <v>46115</v>
      </c>
      <c r="C2064" s="75"/>
      <c r="D2064" s="75"/>
      <c r="E2064" s="75"/>
      <c r="F2064" s="75">
        <v>20403</v>
      </c>
      <c r="G2064" s="76" t="str">
        <f>VLOOKUP(Tabelle2[[#This Row],[Kunden Nr.]],KUNDEN!A:B,2,0)</f>
        <v>TERMIKA</v>
      </c>
      <c r="H2064" s="75">
        <v>35111</v>
      </c>
      <c r="I2064" s="76" t="str">
        <f>VLOOKUP(Tabelle2[[#This Row],[Artikel]],Produkte!A:B,2,0)</f>
        <v>M-ONE Sanitar Silikon</v>
      </c>
      <c r="J2064" s="75">
        <v>12</v>
      </c>
      <c r="K2064" s="76" t="str">
        <f>VLOOKUP(Tabelle2[[#This Row],[Kunden Nr.]],KUNDEN!A:G,7)</f>
        <v>Mensuri</v>
      </c>
      <c r="L2064" s="76">
        <f>VLOOKUP(Tabelle2[[#This Row],[Artikel]],Produkte!A:H,8)</f>
        <v>0.17</v>
      </c>
    </row>
    <row r="2065" spans="1:12" x14ac:dyDescent="0.2">
      <c r="A2065" s="75" t="s">
        <v>1230</v>
      </c>
      <c r="B2065" s="79">
        <v>46116</v>
      </c>
      <c r="C2065" s="89">
        <v>46.2</v>
      </c>
      <c r="D2065" s="75"/>
      <c r="E2065" s="75"/>
      <c r="F2065" s="75">
        <v>10635</v>
      </c>
      <c r="G2065" s="76" t="e">
        <f>VLOOKUP(Tabelle2[[#This Row],[Kunden Nr.]],KUNDEN!A:B,2,0)</f>
        <v>#N/A</v>
      </c>
      <c r="H2065" s="75">
        <v>35114</v>
      </c>
      <c r="I2065" s="76" t="str">
        <f>VLOOKUP(Tabelle2[[#This Row],[Artikel]],Produkte!A:B,2,0)</f>
        <v>M-ONE Sanitar Silikon</v>
      </c>
      <c r="J2065" s="75">
        <v>12</v>
      </c>
      <c r="K2065" s="76" t="str">
        <f>VLOOKUP(Tabelle2[[#This Row],[Kunden Nr.]],KUNDEN!A:G,7)</f>
        <v>Qerimi</v>
      </c>
      <c r="L2065" s="76">
        <f>VLOOKUP(Tabelle2[[#This Row],[Artikel]],Produkte!A:H,8)</f>
        <v>0.17</v>
      </c>
    </row>
    <row r="2066" spans="1:12" x14ac:dyDescent="0.2">
      <c r="A2066" s="75" t="s">
        <v>837</v>
      </c>
      <c r="B2066" s="79">
        <v>46116</v>
      </c>
      <c r="C2066" s="89">
        <v>138.6</v>
      </c>
      <c r="D2066" s="75"/>
      <c r="E2066" s="75"/>
      <c r="F2066" s="75">
        <v>10625</v>
      </c>
      <c r="G2066" s="76" t="str">
        <f>VLOOKUP(Tabelle2[[#This Row],[Kunden Nr.]],KUNDEN!A:B,2,0)</f>
        <v>KUJTA</v>
      </c>
      <c r="H2066" s="75">
        <v>35121</v>
      </c>
      <c r="I2066" s="76" t="str">
        <f>VLOOKUP(Tabelle2[[#This Row],[Artikel]],Produkte!A:B,2,0)</f>
        <v>M-ONE Sanitar Silikon</v>
      </c>
      <c r="J2066" s="75">
        <v>12</v>
      </c>
      <c r="K2066" s="76" t="str">
        <f>VLOOKUP(Tabelle2[[#This Row],[Kunden Nr.]],KUNDEN!A:G,7)</f>
        <v>Qerimi</v>
      </c>
      <c r="L2066" s="76">
        <f>VLOOKUP(Tabelle2[[#This Row],[Artikel]],Produkte!A:H,8)</f>
        <v>0.17</v>
      </c>
    </row>
    <row r="2067" spans="1:12" x14ac:dyDescent="0.2">
      <c r="A2067" s="75" t="s">
        <v>837</v>
      </c>
      <c r="B2067" s="79">
        <v>46116</v>
      </c>
      <c r="C2067" s="75"/>
      <c r="D2067" s="75"/>
      <c r="E2067" s="75"/>
      <c r="F2067" s="75">
        <v>10625</v>
      </c>
      <c r="G2067" s="76" t="str">
        <f>VLOOKUP(Tabelle2[[#This Row],[Kunden Nr.]],KUNDEN!A:B,2,0)</f>
        <v>KUJTA</v>
      </c>
      <c r="H2067" s="75">
        <v>35115</v>
      </c>
      <c r="I2067" s="76" t="str">
        <f>VLOOKUP(Tabelle2[[#This Row],[Artikel]],Produkte!A:B,2,0)</f>
        <v>M-ONE Sanitar Silikon</v>
      </c>
      <c r="J2067" s="75">
        <v>12</v>
      </c>
      <c r="K2067" s="76" t="str">
        <f>VLOOKUP(Tabelle2[[#This Row],[Kunden Nr.]],KUNDEN!A:G,7)</f>
        <v>Qerimi</v>
      </c>
      <c r="L2067" s="76">
        <f>VLOOKUP(Tabelle2[[#This Row],[Artikel]],Produkte!A:H,8)</f>
        <v>0.17</v>
      </c>
    </row>
    <row r="2068" spans="1:12" x14ac:dyDescent="0.2">
      <c r="A2068" s="75" t="s">
        <v>837</v>
      </c>
      <c r="B2068" s="79">
        <v>46116</v>
      </c>
      <c r="C2068" s="75"/>
      <c r="D2068" s="75"/>
      <c r="E2068" s="75"/>
      <c r="F2068" s="75">
        <v>10625</v>
      </c>
      <c r="G2068" s="76" t="str">
        <f>VLOOKUP(Tabelle2[[#This Row],[Kunden Nr.]],KUNDEN!A:B,2,0)</f>
        <v>KUJTA</v>
      </c>
      <c r="H2068" s="75">
        <v>35125</v>
      </c>
      <c r="I2068" s="76" t="str">
        <f>VLOOKUP(Tabelle2[[#This Row],[Artikel]],Produkte!A:B,2,0)</f>
        <v>M-ONE Sanitar Silikon</v>
      </c>
      <c r="J2068" s="75">
        <v>12</v>
      </c>
      <c r="K2068" s="76" t="str">
        <f>VLOOKUP(Tabelle2[[#This Row],[Kunden Nr.]],KUNDEN!A:G,7)</f>
        <v>Qerimi</v>
      </c>
      <c r="L2068" s="76">
        <f>VLOOKUP(Tabelle2[[#This Row],[Artikel]],Produkte!A:H,8)</f>
        <v>0.17</v>
      </c>
    </row>
    <row r="2069" spans="1:12" x14ac:dyDescent="0.2">
      <c r="A2069" s="75" t="s">
        <v>596</v>
      </c>
      <c r="B2069" s="79">
        <v>46116</v>
      </c>
      <c r="C2069" s="89">
        <v>20</v>
      </c>
      <c r="D2069" s="75"/>
      <c r="E2069" s="75"/>
      <c r="F2069" s="75">
        <v>10604</v>
      </c>
      <c r="G2069" s="76" t="str">
        <f>VLOOKUP(Tabelle2[[#This Row],[Kunden Nr.]],KUNDEN!A:B,2,0)</f>
        <v>KUSHA</v>
      </c>
      <c r="H2069" s="75">
        <v>54412</v>
      </c>
      <c r="I2069" s="76" t="str">
        <f>VLOOKUP(Tabelle2[[#This Row],[Artikel]],Produkte!A:B,2,0)</f>
        <v>beMAKER Bremsen&amp;Teile Reininger</v>
      </c>
      <c r="J2069" s="75">
        <v>5</v>
      </c>
      <c r="K2069" s="76" t="str">
        <f>VLOOKUP(Tabelle2[[#This Row],[Kunden Nr.]],KUNDEN!A:G,7)</f>
        <v>Qerimi</v>
      </c>
      <c r="L2069" s="76">
        <f>VLOOKUP(Tabelle2[[#This Row],[Artikel]],Produkte!A:H,8)</f>
        <v>0.2</v>
      </c>
    </row>
    <row r="2070" spans="1:12" x14ac:dyDescent="0.2">
      <c r="A2070" s="75" t="s">
        <v>596</v>
      </c>
      <c r="B2070" s="79">
        <v>46116</v>
      </c>
      <c r="C2070" s="75"/>
      <c r="D2070" s="75"/>
      <c r="E2070" s="75"/>
      <c r="F2070" s="75">
        <v>10604</v>
      </c>
      <c r="G2070" s="76" t="str">
        <f>VLOOKUP(Tabelle2[[#This Row],[Kunden Nr.]],KUNDEN!A:B,2,0)</f>
        <v>KUSHA</v>
      </c>
      <c r="H2070" s="75">
        <v>49644</v>
      </c>
      <c r="I2070" s="76" t="str">
        <f>VLOOKUP(Tabelle2[[#This Row],[Artikel]],Produkte!A:B,2,0)</f>
        <v>beMAKER Rostlöser</v>
      </c>
      <c r="J2070" s="75">
        <v>5</v>
      </c>
      <c r="K2070" s="76" t="str">
        <f>VLOOKUP(Tabelle2[[#This Row],[Kunden Nr.]],KUNDEN!A:G,7)</f>
        <v>Qerimi</v>
      </c>
      <c r="L2070" s="76">
        <f>VLOOKUP(Tabelle2[[#This Row],[Artikel]],Produkte!A:H,8)</f>
        <v>0.2</v>
      </c>
    </row>
    <row r="2071" spans="1:12" x14ac:dyDescent="0.2">
      <c r="A2071" s="75" t="s">
        <v>605</v>
      </c>
      <c r="B2071" s="79">
        <v>46116</v>
      </c>
      <c r="C2071" s="89">
        <v>56</v>
      </c>
      <c r="D2071" s="75"/>
      <c r="E2071" s="75"/>
      <c r="F2071" s="75">
        <v>10613</v>
      </c>
      <c r="G2071" s="76" t="str">
        <f>VLOOKUP(Tabelle2[[#This Row],[Kunden Nr.]],KUNDEN!A:B,2,0)</f>
        <v>TE KELA</v>
      </c>
      <c r="H2071" s="75">
        <v>49644</v>
      </c>
      <c r="I2071" s="76" t="str">
        <f>VLOOKUP(Tabelle2[[#This Row],[Artikel]],Produkte!A:B,2,0)</f>
        <v>beMAKER Rostlöser</v>
      </c>
      <c r="J2071" s="75">
        <v>10</v>
      </c>
      <c r="K2071" s="76" t="str">
        <f>VLOOKUP(Tabelle2[[#This Row],[Kunden Nr.]],KUNDEN!A:G,7)</f>
        <v>Qerimi</v>
      </c>
      <c r="L2071" s="76">
        <f>VLOOKUP(Tabelle2[[#This Row],[Artikel]],Produkte!A:H,8)</f>
        <v>0.2</v>
      </c>
    </row>
    <row r="2072" spans="1:12" x14ac:dyDescent="0.2">
      <c r="A2072" s="75" t="s">
        <v>605</v>
      </c>
      <c r="B2072" s="79">
        <v>46116</v>
      </c>
      <c r="C2072" s="75"/>
      <c r="D2072" s="75"/>
      <c r="E2072" s="75"/>
      <c r="F2072" s="75">
        <v>10613</v>
      </c>
      <c r="G2072" s="76" t="str">
        <f>VLOOKUP(Tabelle2[[#This Row],[Kunden Nr.]],KUNDEN!A:B,2,0)</f>
        <v>TE KELA</v>
      </c>
      <c r="H2072" s="75">
        <v>50912</v>
      </c>
      <c r="I2072" s="76" t="str">
        <f>VLOOKUP(Tabelle2[[#This Row],[Artikel]],Produkte!A:B,2,0)</f>
        <v>DICHTUNG</v>
      </c>
      <c r="J2072" s="75">
        <v>5</v>
      </c>
      <c r="K2072" s="76" t="str">
        <f>VLOOKUP(Tabelle2[[#This Row],[Kunden Nr.]],KUNDEN!A:G,7)</f>
        <v>Qerimi</v>
      </c>
      <c r="L2072" s="76">
        <f>VLOOKUP(Tabelle2[[#This Row],[Artikel]],Produkte!A:H,8)</f>
        <v>0.2</v>
      </c>
    </row>
    <row r="2073" spans="1:12" x14ac:dyDescent="0.2">
      <c r="A2073" s="75" t="s">
        <v>1230</v>
      </c>
      <c r="B2073" s="79">
        <v>46116</v>
      </c>
      <c r="C2073" s="89">
        <v>46.2</v>
      </c>
      <c r="D2073" s="75"/>
      <c r="E2073" s="75"/>
      <c r="F2073" s="75">
        <v>10636</v>
      </c>
      <c r="G2073" s="76" t="e">
        <f>VLOOKUP(Tabelle2[[#This Row],[Kunden Nr.]],KUNDEN!A:B,2,0)</f>
        <v>#N/A</v>
      </c>
      <c r="H2073" s="75">
        <v>35110</v>
      </c>
      <c r="I2073" s="76" t="str">
        <f>VLOOKUP(Tabelle2[[#This Row],[Artikel]],Produkte!A:B,2,0)</f>
        <v>M-ONE Sanitar Silikon</v>
      </c>
      <c r="J2073" s="75">
        <v>12</v>
      </c>
      <c r="K2073" s="76" t="str">
        <f>VLOOKUP(Tabelle2[[#This Row],[Kunden Nr.]],KUNDEN!A:G,7)</f>
        <v>Qerimi</v>
      </c>
      <c r="L2073" s="76">
        <f>VLOOKUP(Tabelle2[[#This Row],[Artikel]],Produkte!A:H,8)</f>
        <v>0.17</v>
      </c>
    </row>
    <row r="2074" spans="1:12" x14ac:dyDescent="0.2">
      <c r="A2074" s="75" t="s">
        <v>608</v>
      </c>
      <c r="B2074" s="79">
        <v>46116</v>
      </c>
      <c r="C2074" s="89">
        <v>92.4</v>
      </c>
      <c r="D2074" s="75"/>
      <c r="E2074" s="75"/>
      <c r="F2074" s="75">
        <v>10616</v>
      </c>
      <c r="G2074" s="76" t="str">
        <f>VLOOKUP(Tabelle2[[#This Row],[Kunden Nr.]],KUNDEN!A:B,2,0)</f>
        <v>TE ZENA</v>
      </c>
      <c r="H2074" s="75">
        <v>35113</v>
      </c>
      <c r="I2074" s="76" t="str">
        <f>VLOOKUP(Tabelle2[[#This Row],[Artikel]],Produkte!A:B,2,0)</f>
        <v>M-ONE Sanitar Silikon</v>
      </c>
      <c r="J2074" s="75">
        <v>12</v>
      </c>
      <c r="K2074" s="76" t="str">
        <f>VLOOKUP(Tabelle2[[#This Row],[Kunden Nr.]],KUNDEN!A:G,7)</f>
        <v>Qerimi</v>
      </c>
      <c r="L2074" s="76">
        <f>VLOOKUP(Tabelle2[[#This Row],[Artikel]],Produkte!A:H,8)</f>
        <v>0.17</v>
      </c>
    </row>
    <row r="2075" spans="1:12" x14ac:dyDescent="0.2">
      <c r="A2075" s="75" t="s">
        <v>608</v>
      </c>
      <c r="B2075" s="79">
        <v>46116</v>
      </c>
      <c r="C2075" s="75"/>
      <c r="D2075" s="75"/>
      <c r="E2075" s="75"/>
      <c r="F2075" s="75">
        <v>10616</v>
      </c>
      <c r="G2075" s="76" t="str">
        <f>VLOOKUP(Tabelle2[[#This Row],[Kunden Nr.]],KUNDEN!A:B,2,0)</f>
        <v>TE ZENA</v>
      </c>
      <c r="H2075" s="75">
        <v>35119</v>
      </c>
      <c r="I2075" s="76" t="str">
        <f>VLOOKUP(Tabelle2[[#This Row],[Artikel]],Produkte!A:B,2,0)</f>
        <v>M-ONE Sanitar Silikon</v>
      </c>
      <c r="J2075" s="75">
        <v>12</v>
      </c>
      <c r="K2075" s="76" t="str">
        <f>VLOOKUP(Tabelle2[[#This Row],[Kunden Nr.]],KUNDEN!A:G,7)</f>
        <v>Qerimi</v>
      </c>
      <c r="L2075" s="76">
        <f>VLOOKUP(Tabelle2[[#This Row],[Artikel]],Produkte!A:H,8)</f>
        <v>0.17</v>
      </c>
    </row>
    <row r="2076" spans="1:12" x14ac:dyDescent="0.2">
      <c r="A2076" s="75" t="s">
        <v>438</v>
      </c>
      <c r="B2076" s="79">
        <v>46116</v>
      </c>
      <c r="C2076" s="89">
        <v>508.2</v>
      </c>
      <c r="D2076" s="75"/>
      <c r="E2076" s="75"/>
      <c r="F2076" s="75">
        <v>20610</v>
      </c>
      <c r="G2076" s="76" t="str">
        <f>VLOOKUP(Tabelle2[[#This Row],[Kunden Nr.]],KUNDEN!A:B,2,0)</f>
        <v>AGRO-XHETI</v>
      </c>
      <c r="H2076" s="75">
        <v>35125</v>
      </c>
      <c r="I2076" s="76" t="str">
        <f>VLOOKUP(Tabelle2[[#This Row],[Artikel]],Produkte!A:B,2,0)</f>
        <v>M-ONE Sanitar Silikon</v>
      </c>
      <c r="J2076" s="75">
        <v>36</v>
      </c>
      <c r="K2076" s="76" t="str">
        <f>VLOOKUP(Tabelle2[[#This Row],[Kunden Nr.]],KUNDEN!A:G,7)</f>
        <v>Mensuri</v>
      </c>
      <c r="L2076" s="76">
        <f>VLOOKUP(Tabelle2[[#This Row],[Artikel]],Produkte!A:H,8)</f>
        <v>0.17</v>
      </c>
    </row>
    <row r="2077" spans="1:12" x14ac:dyDescent="0.2">
      <c r="A2077" s="75" t="s">
        <v>438</v>
      </c>
      <c r="B2077" s="79">
        <v>46116</v>
      </c>
      <c r="C2077" s="75"/>
      <c r="D2077" s="75"/>
      <c r="E2077" s="75"/>
      <c r="F2077" s="75">
        <v>20610</v>
      </c>
      <c r="G2077" s="76" t="str">
        <f>VLOOKUP(Tabelle2[[#This Row],[Kunden Nr.]],KUNDEN!A:B,2,0)</f>
        <v>AGRO-XHETI</v>
      </c>
      <c r="H2077" s="75">
        <v>35128</v>
      </c>
      <c r="I2077" s="76" t="str">
        <f>VLOOKUP(Tabelle2[[#This Row],[Artikel]],Produkte!A:B,2,0)</f>
        <v>M-ONE Sanitar Silikon</v>
      </c>
      <c r="J2077" s="75">
        <v>12</v>
      </c>
      <c r="K2077" s="76" t="str">
        <f>VLOOKUP(Tabelle2[[#This Row],[Kunden Nr.]],KUNDEN!A:G,7)</f>
        <v>Mensuri</v>
      </c>
      <c r="L2077" s="76">
        <f>VLOOKUP(Tabelle2[[#This Row],[Artikel]],Produkte!A:H,8)</f>
        <v>0.17</v>
      </c>
    </row>
    <row r="2078" spans="1:12" x14ac:dyDescent="0.2">
      <c r="A2078" s="75" t="s">
        <v>438</v>
      </c>
      <c r="B2078" s="79">
        <v>46116</v>
      </c>
      <c r="C2078" s="75"/>
      <c r="D2078" s="75"/>
      <c r="E2078" s="75"/>
      <c r="F2078" s="75">
        <v>20610</v>
      </c>
      <c r="G2078" s="76" t="str">
        <f>VLOOKUP(Tabelle2[[#This Row],[Kunden Nr.]],KUNDEN!A:B,2,0)</f>
        <v>AGRO-XHETI</v>
      </c>
      <c r="H2078" s="75">
        <v>35121</v>
      </c>
      <c r="I2078" s="76" t="str">
        <f>VLOOKUP(Tabelle2[[#This Row],[Artikel]],Produkte!A:B,2,0)</f>
        <v>M-ONE Sanitar Silikon</v>
      </c>
      <c r="J2078" s="75">
        <v>24</v>
      </c>
      <c r="K2078" s="76" t="str">
        <f>VLOOKUP(Tabelle2[[#This Row],[Kunden Nr.]],KUNDEN!A:G,7)</f>
        <v>Mensuri</v>
      </c>
      <c r="L2078" s="76">
        <f>VLOOKUP(Tabelle2[[#This Row],[Artikel]],Produkte!A:H,8)</f>
        <v>0.17</v>
      </c>
    </row>
    <row r="2079" spans="1:12" x14ac:dyDescent="0.2">
      <c r="A2079" s="75" t="s">
        <v>438</v>
      </c>
      <c r="B2079" s="79">
        <v>46116</v>
      </c>
      <c r="C2079" s="75"/>
      <c r="D2079" s="75"/>
      <c r="E2079" s="75"/>
      <c r="F2079" s="75">
        <v>20610</v>
      </c>
      <c r="G2079" s="76" t="str">
        <f>VLOOKUP(Tabelle2[[#This Row],[Kunden Nr.]],KUNDEN!A:B,2,0)</f>
        <v>AGRO-XHETI</v>
      </c>
      <c r="H2079" s="75">
        <v>35112</v>
      </c>
      <c r="I2079" s="76" t="str">
        <f>VLOOKUP(Tabelle2[[#This Row],[Artikel]],Produkte!A:B,2,0)</f>
        <v>M-ONE Sanitar Silikon</v>
      </c>
      <c r="J2079" s="75">
        <v>24</v>
      </c>
      <c r="K2079" s="76" t="str">
        <f>VLOOKUP(Tabelle2[[#This Row],[Kunden Nr.]],KUNDEN!A:G,7)</f>
        <v>Mensuri</v>
      </c>
      <c r="L2079" s="76">
        <f>VLOOKUP(Tabelle2[[#This Row],[Artikel]],Produkte!A:H,8)</f>
        <v>0.17</v>
      </c>
    </row>
    <row r="2080" spans="1:12" x14ac:dyDescent="0.2">
      <c r="A2080" s="75" t="s">
        <v>438</v>
      </c>
      <c r="B2080" s="79">
        <v>46116</v>
      </c>
      <c r="C2080" s="75"/>
      <c r="D2080" s="75"/>
      <c r="E2080" s="75"/>
      <c r="F2080" s="75">
        <v>20610</v>
      </c>
      <c r="G2080" s="76" t="str">
        <f>VLOOKUP(Tabelle2[[#This Row],[Kunden Nr.]],KUNDEN!A:B,2,0)</f>
        <v>AGRO-XHETI</v>
      </c>
      <c r="H2080" s="75">
        <v>35109</v>
      </c>
      <c r="I2080" s="76" t="str">
        <f>VLOOKUP(Tabelle2[[#This Row],[Artikel]],Produkte!A:B,2,0)</f>
        <v>M-ONE Sanitar Silikon</v>
      </c>
      <c r="J2080" s="75">
        <v>24</v>
      </c>
      <c r="K2080" s="76" t="str">
        <f>VLOOKUP(Tabelle2[[#This Row],[Kunden Nr.]],KUNDEN!A:G,7)</f>
        <v>Mensuri</v>
      </c>
      <c r="L2080" s="76">
        <f>VLOOKUP(Tabelle2[[#This Row],[Artikel]],Produkte!A:H,8)</f>
        <v>0.17</v>
      </c>
    </row>
    <row r="2081" spans="1:12" x14ac:dyDescent="0.2">
      <c r="A2081" s="75" t="s">
        <v>438</v>
      </c>
      <c r="B2081" s="79">
        <v>46116</v>
      </c>
      <c r="C2081" s="75"/>
      <c r="D2081" s="75"/>
      <c r="E2081" s="75"/>
      <c r="F2081" s="75">
        <v>20610</v>
      </c>
      <c r="G2081" s="76" t="str">
        <f>VLOOKUP(Tabelle2[[#This Row],[Kunden Nr.]],KUNDEN!A:B,2,0)</f>
        <v>AGRO-XHETI</v>
      </c>
      <c r="H2081" s="75">
        <v>35115</v>
      </c>
      <c r="I2081" s="76" t="str">
        <f>VLOOKUP(Tabelle2[[#This Row],[Artikel]],Produkte!A:B,2,0)</f>
        <v>M-ONE Sanitar Silikon</v>
      </c>
      <c r="J2081" s="75">
        <v>12</v>
      </c>
      <c r="K2081" s="76" t="str">
        <f>VLOOKUP(Tabelle2[[#This Row],[Kunden Nr.]],KUNDEN!A:G,7)</f>
        <v>Mensuri</v>
      </c>
      <c r="L2081" s="76">
        <f>VLOOKUP(Tabelle2[[#This Row],[Artikel]],Produkte!A:H,8)</f>
        <v>0.17</v>
      </c>
    </row>
    <row r="2082" spans="1:12" x14ac:dyDescent="0.2">
      <c r="A2082" s="75" t="s">
        <v>1322</v>
      </c>
      <c r="B2082" s="79">
        <v>46116</v>
      </c>
      <c r="C2082" s="89">
        <v>231</v>
      </c>
      <c r="D2082" s="75"/>
      <c r="E2082" s="75"/>
      <c r="F2082" s="75">
        <v>20635</v>
      </c>
      <c r="G2082" s="76" t="e">
        <f>VLOOKUP(Tabelle2[[#This Row],[Kunden Nr.]],KUNDEN!A:B,2,0)</f>
        <v>#N/A</v>
      </c>
      <c r="H2082" s="75">
        <v>35109</v>
      </c>
      <c r="I2082" s="76" t="str">
        <f>VLOOKUP(Tabelle2[[#This Row],[Artikel]],Produkte!A:B,2,0)</f>
        <v>M-ONE Sanitar Silikon</v>
      </c>
      <c r="J2082" s="75">
        <v>36</v>
      </c>
      <c r="K2082" s="76" t="str">
        <f>VLOOKUP(Tabelle2[[#This Row],[Kunden Nr.]],KUNDEN!A:G,7)</f>
        <v>Mensuri</v>
      </c>
      <c r="L2082" s="76">
        <f>VLOOKUP(Tabelle2[[#This Row],[Artikel]],Produkte!A:H,8)</f>
        <v>0.17</v>
      </c>
    </row>
    <row r="2083" spans="1:12" x14ac:dyDescent="0.2">
      <c r="A2083" s="75" t="s">
        <v>1322</v>
      </c>
      <c r="B2083" s="79">
        <v>46116</v>
      </c>
      <c r="C2083" s="75"/>
      <c r="D2083" s="75"/>
      <c r="E2083" s="75"/>
      <c r="F2083" s="75">
        <v>20635</v>
      </c>
      <c r="G2083" s="76" t="e">
        <f>VLOOKUP(Tabelle2[[#This Row],[Kunden Nr.]],KUNDEN!A:B,2,0)</f>
        <v>#N/A</v>
      </c>
      <c r="H2083" s="75">
        <v>35110</v>
      </c>
      <c r="I2083" s="76" t="str">
        <f>VLOOKUP(Tabelle2[[#This Row],[Artikel]],Produkte!A:B,2,0)</f>
        <v>M-ONE Sanitar Silikon</v>
      </c>
      <c r="J2083" s="75">
        <v>12</v>
      </c>
      <c r="K2083" s="76" t="str">
        <f>VLOOKUP(Tabelle2[[#This Row],[Kunden Nr.]],KUNDEN!A:G,7)</f>
        <v>Mensuri</v>
      </c>
      <c r="L2083" s="76">
        <f>VLOOKUP(Tabelle2[[#This Row],[Artikel]],Produkte!A:H,8)</f>
        <v>0.17</v>
      </c>
    </row>
    <row r="2084" spans="1:12" x14ac:dyDescent="0.2">
      <c r="A2084" s="75" t="s">
        <v>1322</v>
      </c>
      <c r="B2084" s="79">
        <v>46116</v>
      </c>
      <c r="C2084" s="75"/>
      <c r="D2084" s="75"/>
      <c r="E2084" s="75"/>
      <c r="F2084" s="75">
        <v>20635</v>
      </c>
      <c r="G2084" s="76" t="e">
        <f>VLOOKUP(Tabelle2[[#This Row],[Kunden Nr.]],KUNDEN!A:B,2,0)</f>
        <v>#N/A</v>
      </c>
      <c r="H2084" s="75">
        <v>35113</v>
      </c>
      <c r="I2084" s="76" t="str">
        <f>VLOOKUP(Tabelle2[[#This Row],[Artikel]],Produkte!A:B,2,0)</f>
        <v>M-ONE Sanitar Silikon</v>
      </c>
      <c r="J2084" s="75">
        <v>12</v>
      </c>
      <c r="K2084" s="76" t="str">
        <f>VLOOKUP(Tabelle2[[#This Row],[Kunden Nr.]],KUNDEN!A:G,7)</f>
        <v>Mensuri</v>
      </c>
      <c r="L2084" s="76">
        <f>VLOOKUP(Tabelle2[[#This Row],[Artikel]],Produkte!A:H,8)</f>
        <v>0.17</v>
      </c>
    </row>
    <row r="2085" spans="1:12" x14ac:dyDescent="0.2">
      <c r="A2085" s="75" t="s">
        <v>1257</v>
      </c>
      <c r="B2085" s="79">
        <v>46116</v>
      </c>
      <c r="C2085" s="89">
        <v>353.4</v>
      </c>
      <c r="D2085" s="75"/>
      <c r="E2085" s="75"/>
      <c r="F2085" s="75">
        <v>20632</v>
      </c>
      <c r="G2085" s="76" t="str">
        <f>VLOOKUP(Tabelle2[[#This Row],[Kunden Nr.]],KUNDEN!A:B,2,0)</f>
        <v>GLOBAL TOOLS</v>
      </c>
      <c r="H2085" s="75">
        <v>35112</v>
      </c>
      <c r="I2085" s="76" t="str">
        <f>VLOOKUP(Tabelle2[[#This Row],[Artikel]],Produkte!A:B,2,0)</f>
        <v>M-ONE Sanitar Silikon</v>
      </c>
      <c r="J2085" s="75">
        <v>24</v>
      </c>
      <c r="K2085" s="76" t="str">
        <f>VLOOKUP(Tabelle2[[#This Row],[Kunden Nr.]],KUNDEN!A:G,7)</f>
        <v>Mensuri</v>
      </c>
      <c r="L2085" s="76">
        <f>VLOOKUP(Tabelle2[[#This Row],[Artikel]],Produkte!A:H,8)</f>
        <v>0.17</v>
      </c>
    </row>
    <row r="2086" spans="1:12" x14ac:dyDescent="0.2">
      <c r="A2086" s="75" t="s">
        <v>1257</v>
      </c>
      <c r="B2086" s="79">
        <v>46116</v>
      </c>
      <c r="C2086" s="75"/>
      <c r="D2086" s="75"/>
      <c r="E2086" s="75"/>
      <c r="F2086" s="75">
        <v>20632</v>
      </c>
      <c r="G2086" s="76" t="str">
        <f>VLOOKUP(Tabelle2[[#This Row],[Kunden Nr.]],KUNDEN!A:B,2,0)</f>
        <v>GLOBAL TOOLS</v>
      </c>
      <c r="H2086" s="75">
        <v>35125</v>
      </c>
      <c r="I2086" s="76" t="str">
        <f>VLOOKUP(Tabelle2[[#This Row],[Artikel]],Produkte!A:B,2,0)</f>
        <v>M-ONE Sanitar Silikon</v>
      </c>
      <c r="J2086" s="75">
        <v>24</v>
      </c>
      <c r="K2086" s="76" t="str">
        <f>VLOOKUP(Tabelle2[[#This Row],[Kunden Nr.]],KUNDEN!A:G,7)</f>
        <v>Mensuri</v>
      </c>
      <c r="L2086" s="76">
        <f>VLOOKUP(Tabelle2[[#This Row],[Artikel]],Produkte!A:H,8)</f>
        <v>0.17</v>
      </c>
    </row>
    <row r="2087" spans="1:12" x14ac:dyDescent="0.2">
      <c r="A2087" s="75" t="s">
        <v>1257</v>
      </c>
      <c r="B2087" s="79">
        <v>46116</v>
      </c>
      <c r="C2087" s="75"/>
      <c r="D2087" s="75"/>
      <c r="E2087" s="75"/>
      <c r="F2087" s="75">
        <v>20632</v>
      </c>
      <c r="G2087" s="76" t="str">
        <f>VLOOKUP(Tabelle2[[#This Row],[Kunden Nr.]],KUNDEN!A:B,2,0)</f>
        <v>GLOBAL TOOLS</v>
      </c>
      <c r="H2087" s="75">
        <v>35113</v>
      </c>
      <c r="I2087" s="76" t="str">
        <f>VLOOKUP(Tabelle2[[#This Row],[Artikel]],Produkte!A:B,2,0)</f>
        <v>M-ONE Sanitar Silikon</v>
      </c>
      <c r="J2087" s="75">
        <v>12</v>
      </c>
      <c r="K2087" s="76" t="str">
        <f>VLOOKUP(Tabelle2[[#This Row],[Kunden Nr.]],KUNDEN!A:G,7)</f>
        <v>Mensuri</v>
      </c>
      <c r="L2087" s="76">
        <f>VLOOKUP(Tabelle2[[#This Row],[Artikel]],Produkte!A:H,8)</f>
        <v>0.17</v>
      </c>
    </row>
    <row r="2088" spans="1:12" x14ac:dyDescent="0.2">
      <c r="A2088" s="75" t="s">
        <v>1257</v>
      </c>
      <c r="B2088" s="79">
        <v>46116</v>
      </c>
      <c r="C2088" s="75"/>
      <c r="D2088" s="75"/>
      <c r="E2088" s="75"/>
      <c r="F2088" s="75">
        <v>20632</v>
      </c>
      <c r="G2088" s="76" t="str">
        <f>VLOOKUP(Tabelle2[[#This Row],[Kunden Nr.]],KUNDEN!A:B,2,0)</f>
        <v>GLOBAL TOOLS</v>
      </c>
      <c r="H2088" s="75">
        <v>35109</v>
      </c>
      <c r="I2088" s="76" t="str">
        <f>VLOOKUP(Tabelle2[[#This Row],[Artikel]],Produkte!A:B,2,0)</f>
        <v>M-ONE Sanitar Silikon</v>
      </c>
      <c r="J2088" s="75">
        <v>12</v>
      </c>
      <c r="K2088" s="76" t="str">
        <f>VLOOKUP(Tabelle2[[#This Row],[Kunden Nr.]],KUNDEN!A:G,7)</f>
        <v>Mensuri</v>
      </c>
      <c r="L2088" s="76">
        <f>VLOOKUP(Tabelle2[[#This Row],[Artikel]],Produkte!A:H,8)</f>
        <v>0.17</v>
      </c>
    </row>
    <row r="2089" spans="1:12" x14ac:dyDescent="0.2">
      <c r="A2089" s="75" t="s">
        <v>1257</v>
      </c>
      <c r="B2089" s="79">
        <v>46116</v>
      </c>
      <c r="C2089" s="75"/>
      <c r="D2089" s="75"/>
      <c r="E2089" s="75"/>
      <c r="F2089" s="75">
        <v>20632</v>
      </c>
      <c r="G2089" s="76" t="str">
        <f>VLOOKUP(Tabelle2[[#This Row],[Kunden Nr.]],KUNDEN!A:B,2,0)</f>
        <v>GLOBAL TOOLS</v>
      </c>
      <c r="H2089" s="75">
        <v>35121</v>
      </c>
      <c r="I2089" s="76" t="str">
        <f>VLOOKUP(Tabelle2[[#This Row],[Artikel]],Produkte!A:B,2,0)</f>
        <v>M-ONE Sanitar Silikon</v>
      </c>
      <c r="J2089" s="75">
        <v>12</v>
      </c>
      <c r="K2089" s="76" t="str">
        <f>VLOOKUP(Tabelle2[[#This Row],[Kunden Nr.]],KUNDEN!A:G,7)</f>
        <v>Mensuri</v>
      </c>
      <c r="L2089" s="76">
        <f>VLOOKUP(Tabelle2[[#This Row],[Artikel]],Produkte!A:H,8)</f>
        <v>0.17</v>
      </c>
    </row>
    <row r="2090" spans="1:12" x14ac:dyDescent="0.2">
      <c r="A2090" s="75" t="s">
        <v>1257</v>
      </c>
      <c r="B2090" s="79">
        <v>46116</v>
      </c>
      <c r="C2090" s="75"/>
      <c r="D2090" s="75"/>
      <c r="E2090" s="75"/>
      <c r="F2090" s="75">
        <v>20632</v>
      </c>
      <c r="G2090" s="76" t="str">
        <f>VLOOKUP(Tabelle2[[#This Row],[Kunden Nr.]],KUNDEN!A:B,2,0)</f>
        <v>GLOBAL TOOLS</v>
      </c>
      <c r="H2090" s="75">
        <v>51611</v>
      </c>
      <c r="I2090" s="76" t="str">
        <f>VLOOKUP(Tabelle2[[#This Row],[Artikel]],Produkte!A:B,2,0)</f>
        <v>universal akryl</v>
      </c>
      <c r="J2090" s="75">
        <v>24</v>
      </c>
      <c r="K2090" s="76" t="str">
        <f>VLOOKUP(Tabelle2[[#This Row],[Kunden Nr.]],KUNDEN!A:G,7)</f>
        <v>Mensuri</v>
      </c>
      <c r="L2090" s="76">
        <f>VLOOKUP(Tabelle2[[#This Row],[Artikel]],Produkte!A:H,8)</f>
        <v>0.06</v>
      </c>
    </row>
    <row r="2091" spans="1:12" x14ac:dyDescent="0.2">
      <c r="A2091" s="75" t="s">
        <v>1263</v>
      </c>
      <c r="B2091" s="79">
        <v>46116</v>
      </c>
      <c r="C2091" s="89">
        <v>153.6</v>
      </c>
      <c r="D2091" s="75"/>
      <c r="E2091" s="75"/>
      <c r="F2091" s="75">
        <v>20609</v>
      </c>
      <c r="G2091" s="76" t="str">
        <f>VLOOKUP(Tabelle2[[#This Row],[Kunden Nr.]],KUNDEN!A:B,2,0)</f>
        <v>BUJARI Q - BESII</v>
      </c>
      <c r="H2091" s="75">
        <v>35109</v>
      </c>
      <c r="I2091" s="76" t="str">
        <f>VLOOKUP(Tabelle2[[#This Row],[Artikel]],Produkte!A:B,2,0)</f>
        <v>M-ONE Sanitar Silikon</v>
      </c>
      <c r="J2091" s="75">
        <v>36</v>
      </c>
      <c r="K2091" s="76" t="str">
        <f>VLOOKUP(Tabelle2[[#This Row],[Kunden Nr.]],KUNDEN!A:G,7)</f>
        <v>Mensuri</v>
      </c>
      <c r="L2091" s="76">
        <f>VLOOKUP(Tabelle2[[#This Row],[Artikel]],Produkte!A:H,8)</f>
        <v>0.17</v>
      </c>
    </row>
    <row r="2092" spans="1:12" x14ac:dyDescent="0.2">
      <c r="A2092" s="75" t="s">
        <v>1263</v>
      </c>
      <c r="B2092" s="79">
        <v>46116</v>
      </c>
      <c r="C2092" s="75"/>
      <c r="D2092" s="75"/>
      <c r="E2092" s="75"/>
      <c r="F2092" s="75">
        <v>20609</v>
      </c>
      <c r="G2092" s="76" t="str">
        <f>VLOOKUP(Tabelle2[[#This Row],[Kunden Nr.]],KUNDEN!A:B,2,0)</f>
        <v>BUJARI Q - BESII</v>
      </c>
      <c r="H2092" s="75">
        <v>51611</v>
      </c>
      <c r="I2092" s="76" t="str">
        <f>VLOOKUP(Tabelle2[[#This Row],[Artikel]],Produkte!A:B,2,0)</f>
        <v>universal akryl</v>
      </c>
      <c r="J2092" s="75">
        <v>12</v>
      </c>
      <c r="K2092" s="76" t="str">
        <f>VLOOKUP(Tabelle2[[#This Row],[Kunden Nr.]],KUNDEN!A:G,7)</f>
        <v>Mensuri</v>
      </c>
      <c r="L2092" s="76">
        <f>VLOOKUP(Tabelle2[[#This Row],[Artikel]],Produkte!A:H,8)</f>
        <v>0.06</v>
      </c>
    </row>
    <row r="2093" spans="1:12" x14ac:dyDescent="0.2">
      <c r="A2093" s="75" t="s">
        <v>430</v>
      </c>
      <c r="B2093" s="79">
        <v>46116</v>
      </c>
      <c r="C2093" s="89">
        <v>292.2</v>
      </c>
      <c r="D2093" s="75"/>
      <c r="E2093" s="75"/>
      <c r="F2093" s="75">
        <v>20602</v>
      </c>
      <c r="G2093" s="76" t="str">
        <f>VLOOKUP(Tabelle2[[#This Row],[Kunden Nr.]],KUNDEN!A:B,2,0)</f>
        <v>AGROLONDI</v>
      </c>
      <c r="H2093" s="75">
        <v>35109</v>
      </c>
      <c r="I2093" s="76" t="str">
        <f>VLOOKUP(Tabelle2[[#This Row],[Artikel]],Produkte!A:B,2,0)</f>
        <v>M-ONE Sanitar Silikon</v>
      </c>
      <c r="J2093" s="75">
        <v>24</v>
      </c>
      <c r="K2093" s="76" t="str">
        <f>VLOOKUP(Tabelle2[[#This Row],[Kunden Nr.]],KUNDEN!A:G,7)</f>
        <v>Mensuri</v>
      </c>
      <c r="L2093" s="76">
        <f>VLOOKUP(Tabelle2[[#This Row],[Artikel]],Produkte!A:H,8)</f>
        <v>0.17</v>
      </c>
    </row>
    <row r="2094" spans="1:12" x14ac:dyDescent="0.2">
      <c r="A2094" s="75" t="s">
        <v>430</v>
      </c>
      <c r="B2094" s="79">
        <v>46116</v>
      </c>
      <c r="C2094" s="75"/>
      <c r="D2094" s="75"/>
      <c r="E2094" s="75"/>
      <c r="F2094" s="75">
        <v>20602</v>
      </c>
      <c r="G2094" s="76" t="str">
        <f>VLOOKUP(Tabelle2[[#This Row],[Kunden Nr.]],KUNDEN!A:B,2,0)</f>
        <v>AGROLONDI</v>
      </c>
      <c r="H2094" s="75">
        <v>35121</v>
      </c>
      <c r="I2094" s="76" t="str">
        <f>VLOOKUP(Tabelle2[[#This Row],[Artikel]],Produkte!A:B,2,0)</f>
        <v>M-ONE Sanitar Silikon</v>
      </c>
      <c r="J2094" s="75">
        <v>24</v>
      </c>
      <c r="K2094" s="76" t="str">
        <f>VLOOKUP(Tabelle2[[#This Row],[Kunden Nr.]],KUNDEN!A:G,7)</f>
        <v>Mensuri</v>
      </c>
      <c r="L2094" s="76">
        <f>VLOOKUP(Tabelle2[[#This Row],[Artikel]],Produkte!A:H,8)</f>
        <v>0.17</v>
      </c>
    </row>
    <row r="2095" spans="1:12" x14ac:dyDescent="0.2">
      <c r="A2095" s="75" t="s">
        <v>430</v>
      </c>
      <c r="B2095" s="79">
        <v>46116</v>
      </c>
      <c r="C2095" s="75"/>
      <c r="D2095" s="75"/>
      <c r="E2095" s="75"/>
      <c r="F2095" s="75">
        <v>20602</v>
      </c>
      <c r="G2095" s="76" t="str">
        <f>VLOOKUP(Tabelle2[[#This Row],[Kunden Nr.]],KUNDEN!A:B,2,0)</f>
        <v>AGROLONDI</v>
      </c>
      <c r="H2095" s="75">
        <v>35110</v>
      </c>
      <c r="I2095" s="76" t="str">
        <f>VLOOKUP(Tabelle2[[#This Row],[Artikel]],Produkte!A:B,2,0)</f>
        <v>M-ONE Sanitar Silikon</v>
      </c>
      <c r="J2095" s="75">
        <v>24</v>
      </c>
      <c r="K2095" s="76" t="str">
        <f>VLOOKUP(Tabelle2[[#This Row],[Kunden Nr.]],KUNDEN!A:G,7)</f>
        <v>Mensuri</v>
      </c>
      <c r="L2095" s="76">
        <f>VLOOKUP(Tabelle2[[#This Row],[Artikel]],Produkte!A:H,8)</f>
        <v>0.17</v>
      </c>
    </row>
    <row r="2096" spans="1:12" x14ac:dyDescent="0.2">
      <c r="A2096" s="75" t="s">
        <v>430</v>
      </c>
      <c r="B2096" s="79">
        <v>46116</v>
      </c>
      <c r="C2096" s="75"/>
      <c r="D2096" s="75"/>
      <c r="E2096" s="75"/>
      <c r="F2096" s="75">
        <v>20602</v>
      </c>
      <c r="G2096" s="76" t="str">
        <f>VLOOKUP(Tabelle2[[#This Row],[Kunden Nr.]],KUNDEN!A:B,2,0)</f>
        <v>AGROLONDI</v>
      </c>
      <c r="H2096" s="75">
        <v>51611</v>
      </c>
      <c r="I2096" s="76" t="str">
        <f>VLOOKUP(Tabelle2[[#This Row],[Artikel]],Produkte!A:B,2,0)</f>
        <v>universal akryl</v>
      </c>
      <c r="J2096" s="75">
        <v>12</v>
      </c>
      <c r="K2096" s="76" t="str">
        <f>VLOOKUP(Tabelle2[[#This Row],[Kunden Nr.]],KUNDEN!A:G,7)</f>
        <v>Mensuri</v>
      </c>
      <c r="L2096" s="76">
        <f>VLOOKUP(Tabelle2[[#This Row],[Artikel]],Produkte!A:H,8)</f>
        <v>0.06</v>
      </c>
    </row>
    <row r="2097" spans="1:12" x14ac:dyDescent="0.2">
      <c r="A2097" s="75" t="s">
        <v>1009</v>
      </c>
      <c r="B2097" s="79">
        <v>46116</v>
      </c>
      <c r="C2097" s="89">
        <v>254.4</v>
      </c>
      <c r="D2097" s="75"/>
      <c r="E2097" s="75"/>
      <c r="F2097" s="75">
        <v>20623</v>
      </c>
      <c r="G2097" s="76" t="str">
        <f>VLOOKUP(Tabelle2[[#This Row],[Kunden Nr.]],KUNDEN!A:B,2,0)</f>
        <v>LTI</v>
      </c>
      <c r="H2097" s="75">
        <v>66701</v>
      </c>
      <c r="I2097" s="76" t="str">
        <f>VLOOKUP(Tabelle2[[#This Row],[Artikel]],Produkte!A:B,2,0)</f>
        <v>PROFIMONT EXTREME</v>
      </c>
      <c r="J2097" s="75">
        <v>12</v>
      </c>
      <c r="K2097" s="76" t="str">
        <f>VLOOKUP(Tabelle2[[#This Row],[Kunden Nr.]],KUNDEN!A:G,7)</f>
        <v>Mensuri</v>
      </c>
      <c r="L2097" s="76">
        <f>VLOOKUP(Tabelle2[[#This Row],[Artikel]],Produkte!A:H,8)</f>
        <v>0.2</v>
      </c>
    </row>
    <row r="2098" spans="1:12" x14ac:dyDescent="0.2">
      <c r="A2098" s="75" t="s">
        <v>1009</v>
      </c>
      <c r="B2098" s="79">
        <v>46116</v>
      </c>
      <c r="C2098" s="75"/>
      <c r="D2098" s="75"/>
      <c r="E2098" s="75"/>
      <c r="F2098" s="75">
        <v>20623</v>
      </c>
      <c r="G2098" s="76" t="str">
        <f>VLOOKUP(Tabelle2[[#This Row],[Kunden Nr.]],KUNDEN!A:B,2,0)</f>
        <v>LTI</v>
      </c>
      <c r="H2098" s="75">
        <v>35109</v>
      </c>
      <c r="I2098" s="76" t="str">
        <f>VLOOKUP(Tabelle2[[#This Row],[Artikel]],Produkte!A:B,2,0)</f>
        <v>M-ONE Sanitar Silikon</v>
      </c>
      <c r="J2098" s="75">
        <v>12</v>
      </c>
      <c r="K2098" s="76" t="str">
        <f>VLOOKUP(Tabelle2[[#This Row],[Kunden Nr.]],KUNDEN!A:G,7)</f>
        <v>Mensuri</v>
      </c>
      <c r="L2098" s="76">
        <f>VLOOKUP(Tabelle2[[#This Row],[Artikel]],Produkte!A:H,8)</f>
        <v>0.17</v>
      </c>
    </row>
    <row r="2099" spans="1:12" x14ac:dyDescent="0.2">
      <c r="A2099" s="75" t="s">
        <v>1009</v>
      </c>
      <c r="B2099" s="79">
        <v>46116</v>
      </c>
      <c r="C2099" s="75"/>
      <c r="D2099" s="75"/>
      <c r="E2099" s="75"/>
      <c r="F2099" s="75">
        <v>20623</v>
      </c>
      <c r="G2099" s="76" t="str">
        <f>VLOOKUP(Tabelle2[[#This Row],[Kunden Nr.]],KUNDEN!A:B,2,0)</f>
        <v>LTI</v>
      </c>
      <c r="H2099" s="75">
        <v>35113</v>
      </c>
      <c r="I2099" s="76" t="str">
        <f>VLOOKUP(Tabelle2[[#This Row],[Artikel]],Produkte!A:B,2,0)</f>
        <v>M-ONE Sanitar Silikon</v>
      </c>
      <c r="J2099" s="75">
        <v>12</v>
      </c>
      <c r="K2099" s="76" t="str">
        <f>VLOOKUP(Tabelle2[[#This Row],[Kunden Nr.]],KUNDEN!A:G,7)</f>
        <v>Mensuri</v>
      </c>
      <c r="L2099" s="76">
        <f>VLOOKUP(Tabelle2[[#This Row],[Artikel]],Produkte!A:H,8)</f>
        <v>0.17</v>
      </c>
    </row>
    <row r="2100" spans="1:12" x14ac:dyDescent="0.2">
      <c r="A2100" s="75" t="s">
        <v>1009</v>
      </c>
      <c r="B2100" s="79">
        <v>46116</v>
      </c>
      <c r="C2100" s="75"/>
      <c r="D2100" s="75"/>
      <c r="E2100" s="75"/>
      <c r="F2100" s="75">
        <v>20623</v>
      </c>
      <c r="G2100" s="76" t="str">
        <f>VLOOKUP(Tabelle2[[#This Row],[Kunden Nr.]],KUNDEN!A:B,2,0)</f>
        <v>LTI</v>
      </c>
      <c r="H2100" s="75">
        <v>35112</v>
      </c>
      <c r="I2100" s="76" t="str">
        <f>VLOOKUP(Tabelle2[[#This Row],[Artikel]],Produkte!A:B,2,0)</f>
        <v>M-ONE Sanitar Silikon</v>
      </c>
      <c r="J2100" s="75">
        <v>12</v>
      </c>
      <c r="K2100" s="76" t="str">
        <f>VLOOKUP(Tabelle2[[#This Row],[Kunden Nr.]],KUNDEN!A:G,7)</f>
        <v>Mensuri</v>
      </c>
      <c r="L2100" s="76">
        <f>VLOOKUP(Tabelle2[[#This Row],[Artikel]],Produkte!A:H,8)</f>
        <v>0.17</v>
      </c>
    </row>
    <row r="2101" spans="1:12" x14ac:dyDescent="0.2">
      <c r="A2101" s="75" t="s">
        <v>1009</v>
      </c>
      <c r="B2101" s="79">
        <v>46116</v>
      </c>
      <c r="C2101" s="75"/>
      <c r="D2101" s="75"/>
      <c r="E2101" s="75"/>
      <c r="F2101" s="75">
        <v>20623</v>
      </c>
      <c r="G2101" s="76" t="str">
        <f>VLOOKUP(Tabelle2[[#This Row],[Kunden Nr.]],KUNDEN!A:B,2,0)</f>
        <v>LTI</v>
      </c>
      <c r="H2101" s="75">
        <v>35110</v>
      </c>
      <c r="I2101" s="76" t="str">
        <f>VLOOKUP(Tabelle2[[#This Row],[Artikel]],Produkte!A:B,2,0)</f>
        <v>M-ONE Sanitar Silikon</v>
      </c>
      <c r="J2101" s="75">
        <v>12</v>
      </c>
      <c r="K2101" s="76" t="str">
        <f>VLOOKUP(Tabelle2[[#This Row],[Kunden Nr.]],KUNDEN!A:G,7)</f>
        <v>Mensuri</v>
      </c>
      <c r="L2101" s="76">
        <f>VLOOKUP(Tabelle2[[#This Row],[Artikel]],Produkte!A:H,8)</f>
        <v>0.17</v>
      </c>
    </row>
    <row r="2102" spans="1:12" x14ac:dyDescent="0.2">
      <c r="A2102" s="75" t="s">
        <v>974</v>
      </c>
      <c r="B2102" s="79">
        <v>46116</v>
      </c>
      <c r="C2102" s="89">
        <v>369.6</v>
      </c>
      <c r="D2102" s="75"/>
      <c r="E2102" s="75"/>
      <c r="F2102" s="75">
        <v>20614</v>
      </c>
      <c r="G2102" s="76" t="str">
        <f>VLOOKUP(Tabelle2[[#This Row],[Kunden Nr.]],KUNDEN!A:B,2,0)</f>
        <v>AS QERAMIKA</v>
      </c>
      <c r="H2102" s="75">
        <v>35109</v>
      </c>
      <c r="I2102" s="76" t="str">
        <f>VLOOKUP(Tabelle2[[#This Row],[Artikel]],Produkte!A:B,2,0)</f>
        <v>M-ONE Sanitar Silikon</v>
      </c>
      <c r="J2102" s="75">
        <v>60</v>
      </c>
      <c r="K2102" s="76" t="str">
        <f>VLOOKUP(Tabelle2[[#This Row],[Kunden Nr.]],KUNDEN!A:G,7)</f>
        <v>Mensuri</v>
      </c>
      <c r="L2102" s="76">
        <f>VLOOKUP(Tabelle2[[#This Row],[Artikel]],Produkte!A:H,8)</f>
        <v>0.17</v>
      </c>
    </row>
    <row r="2103" spans="1:12" x14ac:dyDescent="0.2">
      <c r="A2103" s="75" t="s">
        <v>974</v>
      </c>
      <c r="B2103" s="79">
        <v>46116</v>
      </c>
      <c r="C2103" s="75"/>
      <c r="D2103" s="75"/>
      <c r="E2103" s="75"/>
      <c r="F2103" s="75">
        <v>20614</v>
      </c>
      <c r="G2103" s="76" t="str">
        <f>VLOOKUP(Tabelle2[[#This Row],[Kunden Nr.]],KUNDEN!A:B,2,0)</f>
        <v>AS QERAMIKA</v>
      </c>
      <c r="H2103" s="75">
        <v>35110</v>
      </c>
      <c r="I2103" s="76" t="str">
        <f>VLOOKUP(Tabelle2[[#This Row],[Artikel]],Produkte!A:B,2,0)</f>
        <v>M-ONE Sanitar Silikon</v>
      </c>
      <c r="J2103" s="75">
        <v>36</v>
      </c>
      <c r="K2103" s="76" t="str">
        <f>VLOOKUP(Tabelle2[[#This Row],[Kunden Nr.]],KUNDEN!A:G,7)</f>
        <v>Mensuri</v>
      </c>
      <c r="L2103" s="76">
        <f>VLOOKUP(Tabelle2[[#This Row],[Artikel]],Produkte!A:H,8)</f>
        <v>0.17</v>
      </c>
    </row>
    <row r="2104" spans="1:12" x14ac:dyDescent="0.2">
      <c r="A2104" s="75" t="s">
        <v>1232</v>
      </c>
      <c r="B2104" s="79">
        <v>46116</v>
      </c>
      <c r="C2104" s="89">
        <v>222.4</v>
      </c>
      <c r="D2104" s="75"/>
      <c r="E2104" s="75"/>
      <c r="F2104" s="75">
        <v>20630</v>
      </c>
      <c r="G2104" s="76" t="str">
        <f>VLOOKUP(Tabelle2[[#This Row],[Kunden Nr.]],KUNDEN!A:B,2,0)</f>
        <v>HIDRO DANI</v>
      </c>
      <c r="H2104" s="75">
        <v>35110</v>
      </c>
      <c r="I2104" s="76" t="str">
        <f>VLOOKUP(Tabelle2[[#This Row],[Artikel]],Produkte!A:B,2,0)</f>
        <v>M-ONE Sanitar Silikon</v>
      </c>
      <c r="J2104" s="75">
        <v>12</v>
      </c>
      <c r="K2104" s="76" t="str">
        <f>VLOOKUP(Tabelle2[[#This Row],[Kunden Nr.]],KUNDEN!A:G,7)</f>
        <v>Mensuri</v>
      </c>
      <c r="L2104" s="76">
        <f>VLOOKUP(Tabelle2[[#This Row],[Artikel]],Produkte!A:H,8)</f>
        <v>0.17</v>
      </c>
    </row>
    <row r="2105" spans="1:12" x14ac:dyDescent="0.2">
      <c r="A2105" s="75" t="s">
        <v>1232</v>
      </c>
      <c r="B2105" s="79">
        <v>46116</v>
      </c>
      <c r="C2105" s="75"/>
      <c r="D2105" s="75"/>
      <c r="E2105" s="75"/>
      <c r="F2105" s="75">
        <v>20630</v>
      </c>
      <c r="G2105" s="76" t="str">
        <f>VLOOKUP(Tabelle2[[#This Row],[Kunden Nr.]],KUNDEN!A:B,2,0)</f>
        <v>HIDRO DANI</v>
      </c>
      <c r="H2105" s="75">
        <v>35112</v>
      </c>
      <c r="I2105" s="76" t="str">
        <f>VLOOKUP(Tabelle2[[#This Row],[Artikel]],Produkte!A:B,2,0)</f>
        <v>M-ONE Sanitar Silikon</v>
      </c>
      <c r="J2105" s="75">
        <v>12</v>
      </c>
      <c r="K2105" s="76" t="str">
        <f>VLOOKUP(Tabelle2[[#This Row],[Kunden Nr.]],KUNDEN!A:G,7)</f>
        <v>Mensuri</v>
      </c>
      <c r="L2105" s="76">
        <f>VLOOKUP(Tabelle2[[#This Row],[Artikel]],Produkte!A:H,8)</f>
        <v>0.17</v>
      </c>
    </row>
    <row r="2106" spans="1:12" x14ac:dyDescent="0.2">
      <c r="A2106" s="75" t="s">
        <v>1232</v>
      </c>
      <c r="B2106" s="79">
        <v>46116</v>
      </c>
      <c r="C2106" s="75"/>
      <c r="D2106" s="75"/>
      <c r="E2106" s="75"/>
      <c r="F2106" s="75">
        <v>20630</v>
      </c>
      <c r="G2106" s="76" t="str">
        <f>VLOOKUP(Tabelle2[[#This Row],[Kunden Nr.]],KUNDEN!A:B,2,0)</f>
        <v>HIDRO DANI</v>
      </c>
      <c r="H2106" s="75">
        <v>35111</v>
      </c>
      <c r="I2106" s="76" t="str">
        <f>VLOOKUP(Tabelle2[[#This Row],[Artikel]],Produkte!A:B,2,0)</f>
        <v>M-ONE Sanitar Silikon</v>
      </c>
      <c r="J2106" s="75">
        <v>12</v>
      </c>
      <c r="K2106" s="76" t="str">
        <f>VLOOKUP(Tabelle2[[#This Row],[Kunden Nr.]],KUNDEN!A:G,7)</f>
        <v>Mensuri</v>
      </c>
      <c r="L2106" s="76">
        <f>VLOOKUP(Tabelle2[[#This Row],[Artikel]],Produkte!A:H,8)</f>
        <v>0.17</v>
      </c>
    </row>
    <row r="2107" spans="1:12" x14ac:dyDescent="0.2">
      <c r="A2107" s="75" t="s">
        <v>1232</v>
      </c>
      <c r="B2107" s="79">
        <v>46116</v>
      </c>
      <c r="C2107" s="75"/>
      <c r="D2107" s="75"/>
      <c r="E2107" s="75"/>
      <c r="F2107" s="75">
        <v>20630</v>
      </c>
      <c r="G2107" s="76" t="str">
        <f>VLOOKUP(Tabelle2[[#This Row],[Kunden Nr.]],KUNDEN!A:B,2,0)</f>
        <v>HIDRO DANI</v>
      </c>
      <c r="H2107" s="75">
        <v>35109</v>
      </c>
      <c r="I2107" s="76" t="str">
        <f>VLOOKUP(Tabelle2[[#This Row],[Artikel]],Produkte!A:B,2,0)</f>
        <v>M-ONE Sanitar Silikon</v>
      </c>
      <c r="J2107" s="75">
        <v>12</v>
      </c>
      <c r="K2107" s="76" t="str">
        <f>VLOOKUP(Tabelle2[[#This Row],[Kunden Nr.]],KUNDEN!A:G,7)</f>
        <v>Mensuri</v>
      </c>
      <c r="L2107" s="76">
        <f>VLOOKUP(Tabelle2[[#This Row],[Artikel]],Produkte!A:H,8)</f>
        <v>0.17</v>
      </c>
    </row>
    <row r="2108" spans="1:12" x14ac:dyDescent="0.2">
      <c r="A2108" s="75" t="s">
        <v>1232</v>
      </c>
      <c r="B2108" s="79">
        <v>46116</v>
      </c>
      <c r="C2108" s="75"/>
      <c r="D2108" s="75"/>
      <c r="E2108" s="75"/>
      <c r="F2108" s="75">
        <v>20630</v>
      </c>
      <c r="G2108" s="76" t="str">
        <f>VLOOKUP(Tabelle2[[#This Row],[Kunden Nr.]],KUNDEN!A:B,2,0)</f>
        <v>HIDRO DANI</v>
      </c>
      <c r="H2108" s="75">
        <v>51612</v>
      </c>
      <c r="I2108" s="76" t="str">
        <f>VLOOKUP(Tabelle2[[#This Row],[Artikel]],Produkte!A:B,2,0)</f>
        <v>struktural akryl</v>
      </c>
      <c r="J2108" s="75">
        <v>12</v>
      </c>
      <c r="K2108" s="76" t="str">
        <f>VLOOKUP(Tabelle2[[#This Row],[Kunden Nr.]],KUNDEN!A:G,7)</f>
        <v>Mensuri</v>
      </c>
      <c r="L2108" s="76">
        <f>VLOOKUP(Tabelle2[[#This Row],[Artikel]],Produkte!A:H,8)</f>
        <v>0.06</v>
      </c>
    </row>
    <row r="2109" spans="1:12" x14ac:dyDescent="0.2">
      <c r="A2109" s="75" t="s">
        <v>1232</v>
      </c>
      <c r="B2109" s="79">
        <v>46116</v>
      </c>
      <c r="C2109" s="75"/>
      <c r="D2109" s="75"/>
      <c r="E2109" s="75"/>
      <c r="F2109" s="75">
        <v>20630</v>
      </c>
      <c r="G2109" s="76" t="str">
        <f>VLOOKUP(Tabelle2[[#This Row],[Kunden Nr.]],KUNDEN!A:B,2,0)</f>
        <v>HIDRO DANI</v>
      </c>
      <c r="H2109" s="75">
        <v>16936</v>
      </c>
      <c r="I2109" s="76" t="str">
        <f>VLOOKUP(Tabelle2[[#This Row],[Artikel]],Produkte!A:B,2,0)</f>
        <v>M ONE FELGENSILBER</v>
      </c>
      <c r="J2109" s="75">
        <v>4</v>
      </c>
      <c r="K2109" s="76" t="str">
        <f>VLOOKUP(Tabelle2[[#This Row],[Kunden Nr.]],KUNDEN!A:G,7)</f>
        <v>Mensuri</v>
      </c>
      <c r="L2109" s="76">
        <f>VLOOKUP(Tabelle2[[#This Row],[Artikel]],Produkte!A:H,8)</f>
        <v>0.15</v>
      </c>
    </row>
    <row r="2110" spans="1:12" x14ac:dyDescent="0.2">
      <c r="A2110" s="75" t="s">
        <v>1171</v>
      </c>
      <c r="B2110" s="79">
        <v>46116</v>
      </c>
      <c r="C2110" s="89">
        <v>162</v>
      </c>
      <c r="D2110" s="75"/>
      <c r="E2110" s="75"/>
      <c r="F2110" s="75">
        <v>20627</v>
      </c>
      <c r="G2110" s="76" t="str">
        <f>VLOOKUP(Tabelle2[[#This Row],[Kunden Nr.]],KUNDEN!A:B,2,0)</f>
        <v>UNIKA</v>
      </c>
      <c r="H2110" s="75">
        <v>35109</v>
      </c>
      <c r="I2110" s="76" t="str">
        <f>VLOOKUP(Tabelle2[[#This Row],[Artikel]],Produkte!A:B,2,0)</f>
        <v>M-ONE Sanitar Silikon</v>
      </c>
      <c r="J2110" s="75">
        <v>12</v>
      </c>
      <c r="K2110" s="76" t="str">
        <f>VLOOKUP(Tabelle2[[#This Row],[Kunden Nr.]],KUNDEN!A:G,7)</f>
        <v>Mensuri</v>
      </c>
      <c r="L2110" s="76">
        <f>VLOOKUP(Tabelle2[[#This Row],[Artikel]],Produkte!A:H,8)</f>
        <v>0.17</v>
      </c>
    </row>
    <row r="2111" spans="1:12" x14ac:dyDescent="0.2">
      <c r="A2111" s="75" t="s">
        <v>1171</v>
      </c>
      <c r="B2111" s="79">
        <v>46116</v>
      </c>
      <c r="C2111" s="75"/>
      <c r="D2111" s="75"/>
      <c r="E2111" s="75"/>
      <c r="F2111" s="75">
        <v>20627</v>
      </c>
      <c r="G2111" s="76" t="str">
        <f>VLOOKUP(Tabelle2[[#This Row],[Kunden Nr.]],KUNDEN!A:B,2,0)</f>
        <v>UNIKA</v>
      </c>
      <c r="H2111" s="75">
        <v>35113</v>
      </c>
      <c r="I2111" s="76" t="str">
        <f>VLOOKUP(Tabelle2[[#This Row],[Artikel]],Produkte!A:B,2,0)</f>
        <v>M-ONE Sanitar Silikon</v>
      </c>
      <c r="J2111" s="75">
        <v>12</v>
      </c>
      <c r="K2111" s="76" t="str">
        <f>VLOOKUP(Tabelle2[[#This Row],[Kunden Nr.]],KUNDEN!A:G,7)</f>
        <v>Mensuri</v>
      </c>
      <c r="L2111" s="76">
        <f>VLOOKUP(Tabelle2[[#This Row],[Artikel]],Produkte!A:H,8)</f>
        <v>0.17</v>
      </c>
    </row>
    <row r="2112" spans="1:12" x14ac:dyDescent="0.2">
      <c r="A2112" s="75" t="s">
        <v>1171</v>
      </c>
      <c r="B2112" s="79">
        <v>46116</v>
      </c>
      <c r="C2112" s="75"/>
      <c r="D2112" s="75"/>
      <c r="E2112" s="75"/>
      <c r="F2112" s="75">
        <v>20627</v>
      </c>
      <c r="G2112" s="76" t="str">
        <f>VLOOKUP(Tabelle2[[#This Row],[Kunden Nr.]],KUNDEN!A:B,2,0)</f>
        <v>UNIKA</v>
      </c>
      <c r="H2112" s="75">
        <v>66701</v>
      </c>
      <c r="I2112" s="76" t="str">
        <f>VLOOKUP(Tabelle2[[#This Row],[Artikel]],Produkte!A:B,2,0)</f>
        <v>PROFIMONT EXTREME</v>
      </c>
      <c r="J2112" s="75">
        <v>12</v>
      </c>
      <c r="K2112" s="76" t="str">
        <f>VLOOKUP(Tabelle2[[#This Row],[Kunden Nr.]],KUNDEN!A:G,7)</f>
        <v>Mensuri</v>
      </c>
      <c r="L2112" s="76">
        <f>VLOOKUP(Tabelle2[[#This Row],[Artikel]],Produkte!A:H,8)</f>
        <v>0.2</v>
      </c>
    </row>
    <row r="2113" spans="1:12" x14ac:dyDescent="0.2">
      <c r="A2113" s="75" t="s">
        <v>428</v>
      </c>
      <c r="B2113" s="79">
        <v>46116</v>
      </c>
      <c r="C2113" s="89">
        <v>79.2</v>
      </c>
      <c r="D2113" s="75"/>
      <c r="E2113" s="75"/>
      <c r="F2113" s="75">
        <v>20601</v>
      </c>
      <c r="G2113" s="76" t="str">
        <f>VLOOKUP(Tabelle2[[#This Row],[Kunden Nr.]],KUNDEN!A:B,2,0)</f>
        <v>ELEKTROMONT</v>
      </c>
      <c r="H2113" s="75">
        <v>35110</v>
      </c>
      <c r="I2113" s="76" t="str">
        <f>VLOOKUP(Tabelle2[[#This Row],[Artikel]],Produkte!A:B,2,0)</f>
        <v>M-ONE Sanitar Silikon</v>
      </c>
      <c r="J2113" s="75">
        <v>12</v>
      </c>
      <c r="K2113" s="76" t="str">
        <f>VLOOKUP(Tabelle2[[#This Row],[Kunden Nr.]],KUNDEN!A:G,7)</f>
        <v>Mensuri</v>
      </c>
      <c r="L2113" s="76">
        <f>VLOOKUP(Tabelle2[[#This Row],[Artikel]],Produkte!A:H,8)</f>
        <v>0.17</v>
      </c>
    </row>
    <row r="2114" spans="1:12" x14ac:dyDescent="0.2">
      <c r="A2114" s="75" t="s">
        <v>428</v>
      </c>
      <c r="B2114" s="79">
        <v>46116</v>
      </c>
      <c r="C2114" s="75"/>
      <c r="D2114" s="75"/>
      <c r="E2114" s="75"/>
      <c r="F2114" s="75">
        <v>20601</v>
      </c>
      <c r="G2114" s="76" t="str">
        <f>VLOOKUP(Tabelle2[[#This Row],[Kunden Nr.]],KUNDEN!A:B,2,0)</f>
        <v>ELEKTROMONT</v>
      </c>
      <c r="H2114" s="75">
        <v>26736</v>
      </c>
      <c r="I2114" s="76" t="str">
        <f>VLOOKUP(Tabelle2[[#This Row],[Artikel]],Produkte!A:B,2,0)</f>
        <v>M ONE HAFTGRUND</v>
      </c>
      <c r="J2114" s="75">
        <v>6</v>
      </c>
      <c r="K2114" s="76" t="str">
        <f>VLOOKUP(Tabelle2[[#This Row],[Kunden Nr.]],KUNDEN!A:G,7)</f>
        <v>Mensuri</v>
      </c>
      <c r="L2114" s="76">
        <f>VLOOKUP(Tabelle2[[#This Row],[Artikel]],Produkte!A:H,8)</f>
        <v>0.15</v>
      </c>
    </row>
    <row r="2115" spans="1:12" x14ac:dyDescent="0.2">
      <c r="A2115" s="75" t="s">
        <v>428</v>
      </c>
      <c r="B2115" s="79">
        <v>46116</v>
      </c>
      <c r="C2115" s="75"/>
      <c r="D2115" s="75"/>
      <c r="E2115" s="75"/>
      <c r="F2115" s="75">
        <v>20601</v>
      </c>
      <c r="G2115" s="76" t="str">
        <f>VLOOKUP(Tabelle2[[#This Row],[Kunden Nr.]],KUNDEN!A:B,2,0)</f>
        <v>ELEKTROMONT</v>
      </c>
      <c r="H2115" s="75">
        <v>49644</v>
      </c>
      <c r="I2115" s="76" t="str">
        <f>VLOOKUP(Tabelle2[[#This Row],[Artikel]],Produkte!A:B,2,0)</f>
        <v>beMAKER Rostlöser</v>
      </c>
      <c r="J2115" s="75">
        <v>6</v>
      </c>
      <c r="K2115" s="76" t="str">
        <f>VLOOKUP(Tabelle2[[#This Row],[Kunden Nr.]],KUNDEN!A:G,7)</f>
        <v>Mensuri</v>
      </c>
      <c r="L2115" s="76">
        <f>VLOOKUP(Tabelle2[[#This Row],[Artikel]],Produkte!A:H,8)</f>
        <v>0.2</v>
      </c>
    </row>
    <row r="2116" spans="1:12" x14ac:dyDescent="0.2">
      <c r="A2116" s="75" t="s">
        <v>428</v>
      </c>
      <c r="B2116" s="79">
        <v>46116</v>
      </c>
      <c r="C2116" s="75"/>
      <c r="D2116" s="75"/>
      <c r="E2116" s="75"/>
      <c r="F2116" s="75">
        <v>20601</v>
      </c>
      <c r="G2116" s="76" t="str">
        <f>VLOOKUP(Tabelle2[[#This Row],[Kunden Nr.]],KUNDEN!A:B,2,0)</f>
        <v>ELEKTROMONT</v>
      </c>
      <c r="H2116" s="75">
        <v>54412</v>
      </c>
      <c r="I2116" s="76" t="str">
        <f>VLOOKUP(Tabelle2[[#This Row],[Artikel]],Produkte!A:B,2,0)</f>
        <v>beMAKER Bremsen&amp;Teile Reininger</v>
      </c>
      <c r="J2116" s="75">
        <v>3</v>
      </c>
      <c r="K2116" s="76" t="str">
        <f>VLOOKUP(Tabelle2[[#This Row],[Kunden Nr.]],KUNDEN!A:G,7)</f>
        <v>Mensuri</v>
      </c>
      <c r="L2116" s="76">
        <f>VLOOKUP(Tabelle2[[#This Row],[Artikel]],Produkte!A:H,8)</f>
        <v>0.2</v>
      </c>
    </row>
    <row r="2117" spans="1:12" x14ac:dyDescent="0.2">
      <c r="A2117" s="75" t="s">
        <v>428</v>
      </c>
      <c r="B2117" s="79">
        <v>46116</v>
      </c>
      <c r="C2117" s="75"/>
      <c r="D2117" s="75"/>
      <c r="E2117" s="75"/>
      <c r="F2117" s="75">
        <v>20601</v>
      </c>
      <c r="G2117" s="76" t="str">
        <f>VLOOKUP(Tabelle2[[#This Row],[Kunden Nr.]],KUNDEN!A:B,2,0)</f>
        <v>ELEKTROMONT</v>
      </c>
      <c r="H2117" s="75">
        <v>55718</v>
      </c>
      <c r="I2117" s="76" t="str">
        <f>VLOOKUP(Tabelle2[[#This Row],[Artikel]],Produkte!A:B,2,0)</f>
        <v>M ONE MOTORSTART</v>
      </c>
      <c r="J2117" s="75">
        <v>2</v>
      </c>
      <c r="K2117" s="76" t="str">
        <f>VLOOKUP(Tabelle2[[#This Row],[Kunden Nr.]],KUNDEN!A:G,7)</f>
        <v>Mensuri</v>
      </c>
      <c r="L2117" s="76">
        <f>VLOOKUP(Tabelle2[[#This Row],[Artikel]],Produkte!A:H,8)</f>
        <v>0.2</v>
      </c>
    </row>
    <row r="2118" spans="1:12" x14ac:dyDescent="0.2">
      <c r="A2118" s="75" t="s">
        <v>968</v>
      </c>
      <c r="B2118" s="79">
        <v>46116</v>
      </c>
      <c r="C2118" s="89">
        <v>122.4</v>
      </c>
      <c r="D2118" s="75"/>
      <c r="E2118" s="75"/>
      <c r="F2118" s="75">
        <v>20624</v>
      </c>
      <c r="G2118" s="76" t="str">
        <f>VLOOKUP(Tabelle2[[#This Row],[Kunden Nr.]],KUNDEN!A:B,2,0)</f>
        <v>BULONI - SH</v>
      </c>
      <c r="H2118" s="75">
        <v>35121</v>
      </c>
      <c r="I2118" s="76" t="str">
        <f>VLOOKUP(Tabelle2[[#This Row],[Artikel]],Produkte!A:B,2,0)</f>
        <v>M-ONE Sanitar Silikon</v>
      </c>
      <c r="J2118" s="75">
        <v>12</v>
      </c>
      <c r="K2118" s="76" t="str">
        <f>VLOOKUP(Tabelle2[[#This Row],[Kunden Nr.]],KUNDEN!A:G,7)</f>
        <v>Mensuri</v>
      </c>
      <c r="L2118" s="76">
        <f>VLOOKUP(Tabelle2[[#This Row],[Artikel]],Produkte!A:H,8)</f>
        <v>0.17</v>
      </c>
    </row>
    <row r="2119" spans="1:12" x14ac:dyDescent="0.2">
      <c r="A2119" s="75" t="s">
        <v>968</v>
      </c>
      <c r="B2119" s="79">
        <v>46116</v>
      </c>
      <c r="C2119" s="75"/>
      <c r="D2119" s="75"/>
      <c r="E2119" s="75"/>
      <c r="F2119" s="75">
        <v>20624</v>
      </c>
      <c r="G2119" s="76" t="str">
        <f>VLOOKUP(Tabelle2[[#This Row],[Kunden Nr.]],KUNDEN!A:B,2,0)</f>
        <v>BULONI - SH</v>
      </c>
      <c r="H2119" s="75">
        <v>35109</v>
      </c>
      <c r="I2119" s="76" t="str">
        <f>VLOOKUP(Tabelle2[[#This Row],[Artikel]],Produkte!A:B,2,0)</f>
        <v>M-ONE Sanitar Silikon</v>
      </c>
      <c r="J2119" s="75">
        <v>12</v>
      </c>
      <c r="K2119" s="76" t="str">
        <f>VLOOKUP(Tabelle2[[#This Row],[Kunden Nr.]],KUNDEN!A:G,7)</f>
        <v>Mensuri</v>
      </c>
      <c r="L2119" s="76">
        <f>VLOOKUP(Tabelle2[[#This Row],[Artikel]],Produkte!A:H,8)</f>
        <v>0.17</v>
      </c>
    </row>
    <row r="2120" spans="1:12" x14ac:dyDescent="0.2">
      <c r="A2120" s="75" t="s">
        <v>968</v>
      </c>
      <c r="B2120" s="79">
        <v>46116</v>
      </c>
      <c r="C2120" s="75"/>
      <c r="D2120" s="75"/>
      <c r="E2120" s="75"/>
      <c r="F2120" s="75">
        <v>20624</v>
      </c>
      <c r="G2120" s="76" t="str">
        <f>VLOOKUP(Tabelle2[[#This Row],[Kunden Nr.]],KUNDEN!A:B,2,0)</f>
        <v>BULONI - SH</v>
      </c>
      <c r="H2120" s="75">
        <v>51611</v>
      </c>
      <c r="I2120" s="76" t="str">
        <f>VLOOKUP(Tabelle2[[#This Row],[Artikel]],Produkte!A:B,2,0)</f>
        <v>universal akryl</v>
      </c>
      <c r="J2120" s="75">
        <v>24</v>
      </c>
      <c r="K2120" s="76" t="str">
        <f>VLOOKUP(Tabelle2[[#This Row],[Kunden Nr.]],KUNDEN!A:G,7)</f>
        <v>Mensuri</v>
      </c>
      <c r="L2120" s="76">
        <f>VLOOKUP(Tabelle2[[#This Row],[Artikel]],Produkte!A:H,8)</f>
        <v>0.06</v>
      </c>
    </row>
    <row r="2121" spans="1:12" x14ac:dyDescent="0.2">
      <c r="A2121" s="75" t="s">
        <v>1185</v>
      </c>
      <c r="B2121" s="79">
        <v>46116</v>
      </c>
      <c r="C2121" s="89">
        <v>184.8</v>
      </c>
      <c r="D2121" s="75"/>
      <c r="E2121" s="75"/>
      <c r="F2121" s="75">
        <v>20628</v>
      </c>
      <c r="G2121" s="76" t="str">
        <f>VLOOKUP(Tabelle2[[#This Row],[Kunden Nr.]],KUNDEN!A:B,2,0)</f>
        <v>DIVA QERAMIKA</v>
      </c>
      <c r="H2121" s="75">
        <v>35109</v>
      </c>
      <c r="I2121" s="76" t="str">
        <f>VLOOKUP(Tabelle2[[#This Row],[Artikel]],Produkte!A:B,2,0)</f>
        <v>M-ONE Sanitar Silikon</v>
      </c>
      <c r="J2121" s="75">
        <v>12</v>
      </c>
      <c r="K2121" s="76" t="str">
        <f>VLOOKUP(Tabelle2[[#This Row],[Kunden Nr.]],KUNDEN!A:G,7)</f>
        <v>Mensuri</v>
      </c>
      <c r="L2121" s="76">
        <f>VLOOKUP(Tabelle2[[#This Row],[Artikel]],Produkte!A:H,8)</f>
        <v>0.17</v>
      </c>
    </row>
    <row r="2122" spans="1:12" x14ac:dyDescent="0.2">
      <c r="A2122" s="75" t="s">
        <v>1185</v>
      </c>
      <c r="B2122" s="79">
        <v>46116</v>
      </c>
      <c r="C2122" s="75"/>
      <c r="D2122" s="75"/>
      <c r="E2122" s="75"/>
      <c r="F2122" s="75">
        <v>20628</v>
      </c>
      <c r="G2122" s="76" t="str">
        <f>VLOOKUP(Tabelle2[[#This Row],[Kunden Nr.]],KUNDEN!A:B,2,0)</f>
        <v>DIVA QERAMIKA</v>
      </c>
      <c r="H2122" s="75">
        <v>35111</v>
      </c>
      <c r="I2122" s="76" t="str">
        <f>VLOOKUP(Tabelle2[[#This Row],[Artikel]],Produkte!A:B,2,0)</f>
        <v>M-ONE Sanitar Silikon</v>
      </c>
      <c r="J2122" s="75">
        <v>12</v>
      </c>
      <c r="K2122" s="76" t="str">
        <f>VLOOKUP(Tabelle2[[#This Row],[Kunden Nr.]],KUNDEN!A:G,7)</f>
        <v>Mensuri</v>
      </c>
      <c r="L2122" s="76">
        <f>VLOOKUP(Tabelle2[[#This Row],[Artikel]],Produkte!A:H,8)</f>
        <v>0.17</v>
      </c>
    </row>
    <row r="2123" spans="1:12" x14ac:dyDescent="0.2">
      <c r="A2123" s="75" t="s">
        <v>1185</v>
      </c>
      <c r="B2123" s="79">
        <v>46116</v>
      </c>
      <c r="C2123" s="75"/>
      <c r="D2123" s="75"/>
      <c r="E2123" s="75"/>
      <c r="F2123" s="75">
        <v>20628</v>
      </c>
      <c r="G2123" s="76" t="str">
        <f>VLOOKUP(Tabelle2[[#This Row],[Kunden Nr.]],KUNDEN!A:B,2,0)</f>
        <v>DIVA QERAMIKA</v>
      </c>
      <c r="H2123" s="75">
        <v>35112</v>
      </c>
      <c r="I2123" s="76" t="str">
        <f>VLOOKUP(Tabelle2[[#This Row],[Artikel]],Produkte!A:B,2,0)</f>
        <v>M-ONE Sanitar Silikon</v>
      </c>
      <c r="J2123" s="75">
        <v>12</v>
      </c>
      <c r="K2123" s="76" t="str">
        <f>VLOOKUP(Tabelle2[[#This Row],[Kunden Nr.]],KUNDEN!A:G,7)</f>
        <v>Mensuri</v>
      </c>
      <c r="L2123" s="76">
        <f>VLOOKUP(Tabelle2[[#This Row],[Artikel]],Produkte!A:H,8)</f>
        <v>0.17</v>
      </c>
    </row>
    <row r="2124" spans="1:12" x14ac:dyDescent="0.2">
      <c r="A2124" s="75" t="s">
        <v>1185</v>
      </c>
      <c r="B2124" s="79">
        <v>46116</v>
      </c>
      <c r="C2124" s="75"/>
      <c r="D2124" s="75"/>
      <c r="E2124" s="75"/>
      <c r="F2124" s="75">
        <v>20628</v>
      </c>
      <c r="G2124" s="76" t="str">
        <f>VLOOKUP(Tabelle2[[#This Row],[Kunden Nr.]],KUNDEN!A:B,2,0)</f>
        <v>DIVA QERAMIKA</v>
      </c>
      <c r="H2124" s="75">
        <v>35121</v>
      </c>
      <c r="I2124" s="76" t="str">
        <f>VLOOKUP(Tabelle2[[#This Row],[Artikel]],Produkte!A:B,2,0)</f>
        <v>M-ONE Sanitar Silikon</v>
      </c>
      <c r="J2124" s="75">
        <v>12</v>
      </c>
      <c r="K2124" s="76" t="str">
        <f>VLOOKUP(Tabelle2[[#This Row],[Kunden Nr.]],KUNDEN!A:G,7)</f>
        <v>Mensuri</v>
      </c>
      <c r="L2124" s="76">
        <f>VLOOKUP(Tabelle2[[#This Row],[Artikel]],Produkte!A:H,8)</f>
        <v>0.17</v>
      </c>
    </row>
    <row r="2125" spans="1:12" x14ac:dyDescent="0.2">
      <c r="A2125" s="75" t="s">
        <v>1188</v>
      </c>
      <c r="B2125" s="79">
        <v>46118</v>
      </c>
      <c r="C2125" s="89">
        <v>46.2</v>
      </c>
      <c r="D2125" s="75"/>
      <c r="E2125" s="75"/>
      <c r="F2125" s="75">
        <v>10133</v>
      </c>
      <c r="G2125" s="76" t="str">
        <f>VLOOKUP(Tabelle2[[#This Row],[Kunden Nr.]],KUNDEN!A:B,2,0)</f>
        <v>HIDROELDI</v>
      </c>
      <c r="H2125" s="75">
        <v>35113</v>
      </c>
      <c r="I2125" s="76" t="str">
        <f>VLOOKUP(Tabelle2[[#This Row],[Artikel]],Produkte!A:B,2,0)</f>
        <v>M-ONE Sanitar Silikon</v>
      </c>
      <c r="J2125" s="75">
        <v>12</v>
      </c>
      <c r="K2125" s="76" t="str">
        <f>VLOOKUP(Tabelle2[[#This Row],[Kunden Nr.]],KUNDEN!A:G,7)</f>
        <v>Qerimi</v>
      </c>
      <c r="L2125" s="76">
        <f>VLOOKUP(Tabelle2[[#This Row],[Artikel]],Produkte!A:H,8)</f>
        <v>0.17</v>
      </c>
    </row>
    <row r="2126" spans="1:12" x14ac:dyDescent="0.2">
      <c r="A2126" s="75" t="s">
        <v>572</v>
      </c>
      <c r="B2126" s="79">
        <v>46118</v>
      </c>
      <c r="C2126" s="89">
        <v>92.4</v>
      </c>
      <c r="D2126" s="75"/>
      <c r="E2126" s="75"/>
      <c r="F2126" s="75">
        <v>10110</v>
      </c>
      <c r="G2126" s="76" t="str">
        <f>VLOOKUP(Tabelle2[[#This Row],[Kunden Nr.]],KUNDEN!A:B,2,0)</f>
        <v>AFRIMI</v>
      </c>
      <c r="H2126" s="75">
        <v>35112</v>
      </c>
      <c r="I2126" s="76" t="str">
        <f>VLOOKUP(Tabelle2[[#This Row],[Artikel]],Produkte!A:B,2,0)</f>
        <v>M-ONE Sanitar Silikon</v>
      </c>
      <c r="J2126" s="75">
        <v>24</v>
      </c>
      <c r="K2126" s="76" t="str">
        <f>VLOOKUP(Tabelle2[[#This Row],[Kunden Nr.]],KUNDEN!A:G,7)</f>
        <v>Qerimi</v>
      </c>
      <c r="L2126" s="76">
        <f>VLOOKUP(Tabelle2[[#This Row],[Artikel]],Produkte!A:H,8)</f>
        <v>0.17</v>
      </c>
    </row>
    <row r="2127" spans="1:12" x14ac:dyDescent="0.2">
      <c r="A2127" s="75" t="s">
        <v>573</v>
      </c>
      <c r="B2127" s="79">
        <v>46118</v>
      </c>
      <c r="C2127" s="89">
        <v>103.8</v>
      </c>
      <c r="D2127" s="75"/>
      <c r="E2127" s="75"/>
      <c r="F2127" s="75">
        <v>10111</v>
      </c>
      <c r="G2127" s="76" t="str">
        <f>VLOOKUP(Tabelle2[[#This Row],[Kunden Nr.]],KUNDEN!A:B,2,0)</f>
        <v>KADIJOLLET</v>
      </c>
      <c r="H2127" s="75">
        <v>50912</v>
      </c>
      <c r="I2127" s="76" t="str">
        <f>VLOOKUP(Tabelle2[[#This Row],[Artikel]],Produkte!A:B,2,0)</f>
        <v>DICHTUNG</v>
      </c>
      <c r="J2127" s="75">
        <v>3</v>
      </c>
      <c r="K2127" s="76" t="str">
        <f>VLOOKUP(Tabelle2[[#This Row],[Kunden Nr.]],KUNDEN!A:G,7)</f>
        <v>Qerimi</v>
      </c>
      <c r="L2127" s="76">
        <f>VLOOKUP(Tabelle2[[#This Row],[Artikel]],Produkte!A:H,8)</f>
        <v>0.2</v>
      </c>
    </row>
    <row r="2128" spans="1:12" x14ac:dyDescent="0.2">
      <c r="A2128" s="75" t="s">
        <v>573</v>
      </c>
      <c r="B2128" s="79">
        <v>46118</v>
      </c>
      <c r="C2128" s="75"/>
      <c r="D2128" s="75"/>
      <c r="E2128" s="75"/>
      <c r="F2128" s="75">
        <v>10111</v>
      </c>
      <c r="G2128" s="76" t="str">
        <f>VLOOKUP(Tabelle2[[#This Row],[Kunden Nr.]],KUNDEN!A:B,2,0)</f>
        <v>KADIJOLLET</v>
      </c>
      <c r="H2128" s="75">
        <v>51611</v>
      </c>
      <c r="I2128" s="76" t="str">
        <f>VLOOKUP(Tabelle2[[#This Row],[Artikel]],Produkte!A:B,2,0)</f>
        <v>universal akryl</v>
      </c>
      <c r="J2128" s="75">
        <v>12</v>
      </c>
      <c r="K2128" s="76" t="str">
        <f>VLOOKUP(Tabelle2[[#This Row],[Kunden Nr.]],KUNDEN!A:G,7)</f>
        <v>Qerimi</v>
      </c>
      <c r="L2128" s="76">
        <f>VLOOKUP(Tabelle2[[#This Row],[Artikel]],Produkte!A:H,8)</f>
        <v>0.06</v>
      </c>
    </row>
    <row r="2129" spans="1:12" x14ac:dyDescent="0.2">
      <c r="A2129" s="75" t="s">
        <v>573</v>
      </c>
      <c r="B2129" s="79">
        <v>46118</v>
      </c>
      <c r="C2129" s="75"/>
      <c r="D2129" s="75"/>
      <c r="E2129" s="75"/>
      <c r="F2129" s="75">
        <v>10111</v>
      </c>
      <c r="G2129" s="76" t="str">
        <f>VLOOKUP(Tabelle2[[#This Row],[Kunden Nr.]],KUNDEN!A:B,2,0)</f>
        <v>KADIJOLLET</v>
      </c>
      <c r="H2129" s="75">
        <v>44001</v>
      </c>
      <c r="I2129" s="76" t="str">
        <f>VLOOKUP(Tabelle2[[#This Row],[Artikel]],Produkte!A:B,2,0)</f>
        <v>Fettspray</v>
      </c>
      <c r="J2129" s="75">
        <v>6</v>
      </c>
      <c r="K2129" s="76" t="str">
        <f>VLOOKUP(Tabelle2[[#This Row],[Kunden Nr.]],KUNDEN!A:G,7)</f>
        <v>Qerimi</v>
      </c>
      <c r="L2129" s="76">
        <f>VLOOKUP(Tabelle2[[#This Row],[Artikel]],Produkte!A:H,8)</f>
        <v>0.2</v>
      </c>
    </row>
    <row r="2130" spans="1:12" x14ac:dyDescent="0.2">
      <c r="A2130" s="75" t="s">
        <v>573</v>
      </c>
      <c r="B2130" s="79">
        <v>46118</v>
      </c>
      <c r="C2130" s="75"/>
      <c r="D2130" s="75"/>
      <c r="E2130" s="75"/>
      <c r="F2130" s="75">
        <v>10111</v>
      </c>
      <c r="G2130" s="76" t="str">
        <f>VLOOKUP(Tabelle2[[#This Row],[Kunden Nr.]],KUNDEN!A:B,2,0)</f>
        <v>KADIJOLLET</v>
      </c>
      <c r="H2130" s="75">
        <v>35111</v>
      </c>
      <c r="I2130" s="76" t="str">
        <f>VLOOKUP(Tabelle2[[#This Row],[Artikel]],Produkte!A:B,2,0)</f>
        <v>M-ONE Sanitar Silikon</v>
      </c>
      <c r="J2130" s="75">
        <v>12</v>
      </c>
      <c r="K2130" s="76" t="str">
        <f>VLOOKUP(Tabelle2[[#This Row],[Kunden Nr.]],KUNDEN!A:G,7)</f>
        <v>Qerimi</v>
      </c>
      <c r="L2130" s="76">
        <f>VLOOKUP(Tabelle2[[#This Row],[Artikel]],Produkte!A:H,8)</f>
        <v>0.17</v>
      </c>
    </row>
    <row r="2131" spans="1:12" x14ac:dyDescent="0.2">
      <c r="A2131" s="75" t="s">
        <v>576</v>
      </c>
      <c r="B2131" s="79">
        <v>46118</v>
      </c>
      <c r="C2131" s="89">
        <v>92.4</v>
      </c>
      <c r="D2131" s="75"/>
      <c r="E2131" s="75"/>
      <c r="F2131" s="75">
        <v>10114</v>
      </c>
      <c r="G2131" s="76" t="str">
        <f>VLOOKUP(Tabelle2[[#This Row],[Kunden Nr.]],KUNDEN!A:B,2,0)</f>
        <v>QELA</v>
      </c>
      <c r="H2131" s="75">
        <v>35128</v>
      </c>
      <c r="I2131" s="76" t="str">
        <f>VLOOKUP(Tabelle2[[#This Row],[Artikel]],Produkte!A:B,2,0)</f>
        <v>M-ONE Sanitar Silikon</v>
      </c>
      <c r="J2131" s="75">
        <v>12</v>
      </c>
      <c r="K2131" s="76" t="str">
        <f>VLOOKUP(Tabelle2[[#This Row],[Kunden Nr.]],KUNDEN!A:G,7)</f>
        <v>Qerimi</v>
      </c>
      <c r="L2131" s="76">
        <f>VLOOKUP(Tabelle2[[#This Row],[Artikel]],Produkte!A:H,8)</f>
        <v>0.17</v>
      </c>
    </row>
    <row r="2132" spans="1:12" x14ac:dyDescent="0.2">
      <c r="A2132" s="75" t="s">
        <v>576</v>
      </c>
      <c r="B2132" s="79">
        <v>46118</v>
      </c>
      <c r="C2132" s="75"/>
      <c r="D2132" s="75"/>
      <c r="E2132" s="75"/>
      <c r="F2132" s="75">
        <v>10114</v>
      </c>
      <c r="G2132" s="76" t="str">
        <f>VLOOKUP(Tabelle2[[#This Row],[Kunden Nr.]],KUNDEN!A:B,2,0)</f>
        <v>QELA</v>
      </c>
      <c r="H2132" s="75">
        <v>35109</v>
      </c>
      <c r="I2132" s="76" t="str">
        <f>VLOOKUP(Tabelle2[[#This Row],[Artikel]],Produkte!A:B,2,0)</f>
        <v>M-ONE Sanitar Silikon</v>
      </c>
      <c r="J2132" s="75">
        <v>12</v>
      </c>
      <c r="K2132" s="76" t="str">
        <f>VLOOKUP(Tabelle2[[#This Row],[Kunden Nr.]],KUNDEN!A:G,7)</f>
        <v>Qerimi</v>
      </c>
      <c r="L2132" s="76">
        <f>VLOOKUP(Tabelle2[[#This Row],[Artikel]],Produkte!A:H,8)</f>
        <v>0.17</v>
      </c>
    </row>
    <row r="2133" spans="1:12" x14ac:dyDescent="0.2">
      <c r="A2133" s="75" t="s">
        <v>566</v>
      </c>
      <c r="B2133" s="79">
        <v>46118</v>
      </c>
      <c r="C2133" s="89">
        <v>46.2</v>
      </c>
      <c r="D2133" s="75"/>
      <c r="E2133" s="75"/>
      <c r="F2133" s="75">
        <v>10104</v>
      </c>
      <c r="G2133" s="76" t="str">
        <f>VLOOKUP(Tabelle2[[#This Row],[Kunden Nr.]],KUNDEN!A:B,2,0)</f>
        <v>JETARI</v>
      </c>
      <c r="H2133" s="75">
        <v>35114</v>
      </c>
      <c r="I2133" s="76" t="str">
        <f>VLOOKUP(Tabelle2[[#This Row],[Artikel]],Produkte!A:B,2,0)</f>
        <v>M-ONE Sanitar Silikon</v>
      </c>
      <c r="J2133" s="75">
        <v>12</v>
      </c>
      <c r="K2133" s="76" t="str">
        <f>VLOOKUP(Tabelle2[[#This Row],[Kunden Nr.]],KUNDEN!A:G,7)</f>
        <v>Qerimi</v>
      </c>
      <c r="L2133" s="76">
        <f>VLOOKUP(Tabelle2[[#This Row],[Artikel]],Produkte!A:H,8)</f>
        <v>0.17</v>
      </c>
    </row>
    <row r="2134" spans="1:12" x14ac:dyDescent="0.2">
      <c r="A2134" s="75" t="s">
        <v>579</v>
      </c>
      <c r="B2134" s="79">
        <v>46118</v>
      </c>
      <c r="C2134" s="89">
        <v>50</v>
      </c>
      <c r="D2134" s="75"/>
      <c r="E2134" s="75"/>
      <c r="F2134" s="75">
        <v>10117</v>
      </c>
      <c r="G2134" s="76" t="str">
        <f>VLOOKUP(Tabelle2[[#This Row],[Kunden Nr.]],KUNDEN!A:B,2,0)</f>
        <v>BEGU</v>
      </c>
      <c r="H2134" s="75">
        <v>44001</v>
      </c>
      <c r="I2134" s="76" t="str">
        <f>VLOOKUP(Tabelle2[[#This Row],[Artikel]],Produkte!A:B,2,0)</f>
        <v>Fettspray</v>
      </c>
      <c r="J2134" s="75">
        <v>4</v>
      </c>
      <c r="K2134" s="76" t="str">
        <f>VLOOKUP(Tabelle2[[#This Row],[Kunden Nr.]],KUNDEN!A:G,7)</f>
        <v>Qerimi</v>
      </c>
      <c r="L2134" s="76">
        <f>VLOOKUP(Tabelle2[[#This Row],[Artikel]],Produkte!A:H,8)</f>
        <v>0.2</v>
      </c>
    </row>
    <row r="2135" spans="1:12" x14ac:dyDescent="0.2">
      <c r="A2135" s="75" t="s">
        <v>579</v>
      </c>
      <c r="B2135" s="79">
        <v>46118</v>
      </c>
      <c r="C2135" s="75"/>
      <c r="D2135" s="75"/>
      <c r="E2135" s="75"/>
      <c r="F2135" s="75">
        <v>10117</v>
      </c>
      <c r="G2135" s="76" t="str">
        <f>VLOOKUP(Tabelle2[[#This Row],[Kunden Nr.]],KUNDEN!A:B,2,0)</f>
        <v>BEGU</v>
      </c>
      <c r="H2135" s="75">
        <v>50912</v>
      </c>
      <c r="I2135" s="76" t="str">
        <f>VLOOKUP(Tabelle2[[#This Row],[Artikel]],Produkte!A:B,2,0)</f>
        <v>DICHTUNG</v>
      </c>
      <c r="J2135" s="75">
        <v>5</v>
      </c>
      <c r="K2135" s="76" t="str">
        <f>VLOOKUP(Tabelle2[[#This Row],[Kunden Nr.]],KUNDEN!A:G,7)</f>
        <v>Qerimi</v>
      </c>
      <c r="L2135" s="76">
        <f>VLOOKUP(Tabelle2[[#This Row],[Artikel]],Produkte!A:H,8)</f>
        <v>0.2</v>
      </c>
    </row>
    <row r="2136" spans="1:12" x14ac:dyDescent="0.2">
      <c r="A2136" s="75" t="s">
        <v>474</v>
      </c>
      <c r="B2136" s="79">
        <v>46118</v>
      </c>
      <c r="C2136" s="89">
        <v>152.4</v>
      </c>
      <c r="D2136" s="75"/>
      <c r="E2136" s="75"/>
      <c r="F2136" s="75">
        <v>20109</v>
      </c>
      <c r="G2136" s="76" t="str">
        <f>VLOOKUP(Tabelle2[[#This Row],[Kunden Nr.]],KUNDEN!A:B,2,0)</f>
        <v>KENA COMERC</v>
      </c>
      <c r="H2136" s="75">
        <v>35109</v>
      </c>
      <c r="I2136" s="76" t="str">
        <f>VLOOKUP(Tabelle2[[#This Row],[Artikel]],Produkte!A:B,2,0)</f>
        <v>M-ONE Sanitar Silikon</v>
      </c>
      <c r="J2136" s="75">
        <v>12</v>
      </c>
      <c r="K2136" s="76" t="str">
        <f>VLOOKUP(Tabelle2[[#This Row],[Kunden Nr.]],KUNDEN!A:G,7)</f>
        <v>Mensuri</v>
      </c>
      <c r="L2136" s="76">
        <f>VLOOKUP(Tabelle2[[#This Row],[Artikel]],Produkte!A:H,8)</f>
        <v>0.17</v>
      </c>
    </row>
    <row r="2137" spans="1:12" x14ac:dyDescent="0.2">
      <c r="A2137" s="75" t="s">
        <v>474</v>
      </c>
      <c r="B2137" s="79">
        <v>46118</v>
      </c>
      <c r="C2137" s="75"/>
      <c r="D2137" s="75"/>
      <c r="E2137" s="75"/>
      <c r="F2137" s="75">
        <v>20109</v>
      </c>
      <c r="G2137" s="76" t="str">
        <f>VLOOKUP(Tabelle2[[#This Row],[Kunden Nr.]],KUNDEN!A:B,2,0)</f>
        <v>KENA COMERC</v>
      </c>
      <c r="H2137" s="75">
        <v>35112</v>
      </c>
      <c r="I2137" s="76" t="str">
        <f>VLOOKUP(Tabelle2[[#This Row],[Artikel]],Produkte!A:B,2,0)</f>
        <v>M-ONE Sanitar Silikon</v>
      </c>
      <c r="J2137" s="75">
        <v>12</v>
      </c>
      <c r="K2137" s="76" t="str">
        <f>VLOOKUP(Tabelle2[[#This Row],[Kunden Nr.]],KUNDEN!A:G,7)</f>
        <v>Mensuri</v>
      </c>
      <c r="L2137" s="76">
        <f>VLOOKUP(Tabelle2[[#This Row],[Artikel]],Produkte!A:H,8)</f>
        <v>0.17</v>
      </c>
    </row>
    <row r="2138" spans="1:12" x14ac:dyDescent="0.2">
      <c r="A2138" s="75" t="s">
        <v>474</v>
      </c>
      <c r="B2138" s="79">
        <v>46118</v>
      </c>
      <c r="C2138" s="75"/>
      <c r="D2138" s="75"/>
      <c r="E2138" s="75"/>
      <c r="F2138" s="75">
        <v>20109</v>
      </c>
      <c r="G2138" s="76" t="str">
        <f>VLOOKUP(Tabelle2[[#This Row],[Kunden Nr.]],KUNDEN!A:B,2,0)</f>
        <v>KENA COMERC</v>
      </c>
      <c r="H2138" s="75">
        <v>51611</v>
      </c>
      <c r="I2138" s="76" t="str">
        <f>VLOOKUP(Tabelle2[[#This Row],[Artikel]],Produkte!A:B,2,0)</f>
        <v>universal akryl</v>
      </c>
      <c r="J2138" s="75">
        <v>48</v>
      </c>
      <c r="K2138" s="76" t="str">
        <f>VLOOKUP(Tabelle2[[#This Row],[Kunden Nr.]],KUNDEN!A:G,7)</f>
        <v>Mensuri</v>
      </c>
      <c r="L2138" s="76">
        <f>VLOOKUP(Tabelle2[[#This Row],[Artikel]],Produkte!A:H,8)</f>
        <v>0.06</v>
      </c>
    </row>
    <row r="2139" spans="1:12" x14ac:dyDescent="0.2">
      <c r="A2139" s="75" t="s">
        <v>476</v>
      </c>
      <c r="B2139" s="79">
        <v>46118</v>
      </c>
      <c r="C2139" s="89">
        <v>83</v>
      </c>
      <c r="D2139" s="75"/>
      <c r="E2139" s="75"/>
      <c r="F2139" s="75">
        <v>20111</v>
      </c>
      <c r="G2139" s="76" t="str">
        <f>VLOOKUP(Tabelle2[[#This Row],[Kunden Nr.]],KUNDEN!A:B,2,0)</f>
        <v>TECOL 2</v>
      </c>
      <c r="H2139" s="75">
        <v>51611</v>
      </c>
      <c r="I2139" s="76" t="str">
        <f>VLOOKUP(Tabelle2[[#This Row],[Artikel]],Produkte!A:B,2,0)</f>
        <v>universal akryl</v>
      </c>
      <c r="J2139" s="75">
        <v>12</v>
      </c>
      <c r="K2139" s="76" t="str">
        <f>VLOOKUP(Tabelle2[[#This Row],[Kunden Nr.]],KUNDEN!A:G,7)</f>
        <v>Mensuri</v>
      </c>
      <c r="L2139" s="76">
        <f>VLOOKUP(Tabelle2[[#This Row],[Artikel]],Produkte!A:H,8)</f>
        <v>0.06</v>
      </c>
    </row>
    <row r="2140" spans="1:12" x14ac:dyDescent="0.2">
      <c r="A2140" s="75" t="s">
        <v>476</v>
      </c>
      <c r="B2140" s="79">
        <v>46118</v>
      </c>
      <c r="C2140" s="75"/>
      <c r="D2140" s="75"/>
      <c r="E2140" s="75"/>
      <c r="F2140" s="75">
        <v>20111</v>
      </c>
      <c r="G2140" s="76" t="str">
        <f>VLOOKUP(Tabelle2[[#This Row],[Kunden Nr.]],KUNDEN!A:B,2,0)</f>
        <v>TECOL 2</v>
      </c>
      <c r="H2140" s="75">
        <v>72101</v>
      </c>
      <c r="I2140" s="76" t="str">
        <f>VLOOKUP(Tabelle2[[#This Row],[Artikel]],Produkte!A:B,2,0)</f>
        <v>Zink Spray Hell</v>
      </c>
      <c r="J2140" s="75">
        <v>4</v>
      </c>
      <c r="K2140" s="76" t="str">
        <f>VLOOKUP(Tabelle2[[#This Row],[Kunden Nr.]],KUNDEN!A:G,7)</f>
        <v>Mensuri</v>
      </c>
      <c r="L2140" s="76">
        <f>VLOOKUP(Tabelle2[[#This Row],[Artikel]],Produkte!A:H,8)</f>
        <v>0.2</v>
      </c>
    </row>
    <row r="2141" spans="1:12" x14ac:dyDescent="0.2">
      <c r="A2141" s="75" t="s">
        <v>476</v>
      </c>
      <c r="B2141" s="79">
        <v>46118</v>
      </c>
      <c r="C2141" s="75"/>
      <c r="D2141" s="75"/>
      <c r="E2141" s="75"/>
      <c r="F2141" s="75">
        <v>20111</v>
      </c>
      <c r="G2141" s="76" t="str">
        <f>VLOOKUP(Tabelle2[[#This Row],[Kunden Nr.]],KUNDEN!A:B,2,0)</f>
        <v>TECOL 2</v>
      </c>
      <c r="H2141" s="75">
        <v>31822</v>
      </c>
      <c r="I2141" s="76" t="str">
        <f>VLOOKUP(Tabelle2[[#This Row],[Artikel]],Produkte!A:B,2,0)</f>
        <v>M ONE GOLD SPRAY</v>
      </c>
      <c r="J2141" s="75">
        <v>4</v>
      </c>
      <c r="K2141" s="76" t="str">
        <f>VLOOKUP(Tabelle2[[#This Row],[Kunden Nr.]],KUNDEN!A:G,7)</f>
        <v>Mensuri</v>
      </c>
      <c r="L2141" s="76">
        <f>VLOOKUP(Tabelle2[[#This Row],[Artikel]],Produkte!A:H,8)</f>
        <v>0.15</v>
      </c>
    </row>
    <row r="2142" spans="1:12" x14ac:dyDescent="0.2">
      <c r="A2142" s="75" t="s">
        <v>476</v>
      </c>
      <c r="B2142" s="79">
        <v>46118</v>
      </c>
      <c r="C2142" s="75"/>
      <c r="D2142" s="75"/>
      <c r="E2142" s="75"/>
      <c r="F2142" s="75">
        <v>20111</v>
      </c>
      <c r="G2142" s="76" t="str">
        <f>VLOOKUP(Tabelle2[[#This Row],[Kunden Nr.]],KUNDEN!A:B,2,0)</f>
        <v>TECOL 2</v>
      </c>
      <c r="H2142" s="75">
        <v>51936</v>
      </c>
      <c r="I2142" s="76" t="str">
        <f>VLOOKUP(Tabelle2[[#This Row],[Artikel]],Produkte!A:B,2,0)</f>
        <v>M ONE SCHWARZ GLÄNZED</v>
      </c>
      <c r="J2142" s="75">
        <v>4</v>
      </c>
      <c r="K2142" s="76" t="str">
        <f>VLOOKUP(Tabelle2[[#This Row],[Kunden Nr.]],KUNDEN!A:G,7)</f>
        <v>Mensuri</v>
      </c>
      <c r="L2142" s="76">
        <f>VLOOKUP(Tabelle2[[#This Row],[Artikel]],Produkte!A:H,8)</f>
        <v>0.15</v>
      </c>
    </row>
    <row r="2143" spans="1:12" x14ac:dyDescent="0.2">
      <c r="A2143" s="75" t="s">
        <v>476</v>
      </c>
      <c r="B2143" s="79">
        <v>46118</v>
      </c>
      <c r="C2143" s="75"/>
      <c r="D2143" s="75"/>
      <c r="E2143" s="75"/>
      <c r="F2143" s="75">
        <v>20111</v>
      </c>
      <c r="G2143" s="76" t="str">
        <f>VLOOKUP(Tabelle2[[#This Row],[Kunden Nr.]],KUNDEN!A:B,2,0)</f>
        <v>TECOL 2</v>
      </c>
      <c r="H2143" s="75">
        <v>54412</v>
      </c>
      <c r="I2143" s="76" t="str">
        <f>VLOOKUP(Tabelle2[[#This Row],[Artikel]],Produkte!A:B,2,0)</f>
        <v>beMAKER Bremsen&amp;Teile Reininger</v>
      </c>
      <c r="J2143" s="75">
        <v>4</v>
      </c>
      <c r="K2143" s="76" t="str">
        <f>VLOOKUP(Tabelle2[[#This Row],[Kunden Nr.]],KUNDEN!A:G,7)</f>
        <v>Mensuri</v>
      </c>
      <c r="L2143" s="76">
        <f>VLOOKUP(Tabelle2[[#This Row],[Artikel]],Produkte!A:H,8)</f>
        <v>0.2</v>
      </c>
    </row>
    <row r="2144" spans="1:12" x14ac:dyDescent="0.2">
      <c r="A2144" s="75" t="s">
        <v>476</v>
      </c>
      <c r="B2144" s="79">
        <v>46118</v>
      </c>
      <c r="C2144" s="75"/>
      <c r="D2144" s="75"/>
      <c r="E2144" s="75"/>
      <c r="F2144" s="75">
        <v>20111</v>
      </c>
      <c r="G2144" s="76" t="str">
        <f>VLOOKUP(Tabelle2[[#This Row],[Kunden Nr.]],KUNDEN!A:B,2,0)</f>
        <v>TECOL 2</v>
      </c>
      <c r="H2144" s="75">
        <v>39505</v>
      </c>
      <c r="I2144" s="76" t="str">
        <f>VLOOKUP(Tabelle2[[#This Row],[Artikel]],Produkte!A:B,2,0)</f>
        <v>M ONE SILIKON SPRAY</v>
      </c>
      <c r="J2144" s="75">
        <v>2</v>
      </c>
      <c r="K2144" s="76" t="str">
        <f>VLOOKUP(Tabelle2[[#This Row],[Kunden Nr.]],KUNDEN!A:G,7)</f>
        <v>Mensuri</v>
      </c>
      <c r="L2144" s="76">
        <f>VLOOKUP(Tabelle2[[#This Row],[Artikel]],Produkte!A:H,8)</f>
        <v>0.2</v>
      </c>
    </row>
    <row r="2145" spans="1:12" x14ac:dyDescent="0.2">
      <c r="A2145" s="75" t="s">
        <v>476</v>
      </c>
      <c r="B2145" s="79">
        <v>46118</v>
      </c>
      <c r="C2145" s="75"/>
      <c r="D2145" s="75"/>
      <c r="E2145" s="75"/>
      <c r="F2145" s="75">
        <v>20111</v>
      </c>
      <c r="G2145" s="76" t="str">
        <f>VLOOKUP(Tabelle2[[#This Row],[Kunden Nr.]],KUNDEN!A:B,2,0)</f>
        <v>TECOL 2</v>
      </c>
      <c r="H2145" s="75">
        <v>31880</v>
      </c>
      <c r="I2145" s="76" t="str">
        <f>VLOOKUP(Tabelle2[[#This Row],[Artikel]],Produkte!A:B,2,0)</f>
        <v>HAT LACK 800</v>
      </c>
      <c r="J2145" s="75">
        <v>6</v>
      </c>
      <c r="K2145" s="76" t="str">
        <f>VLOOKUP(Tabelle2[[#This Row],[Kunden Nr.]],KUNDEN!A:G,7)</f>
        <v>Mensuri</v>
      </c>
      <c r="L2145" s="76">
        <f>VLOOKUP(Tabelle2[[#This Row],[Artikel]],Produkte!A:H,8)</f>
        <v>0.35</v>
      </c>
    </row>
    <row r="2146" spans="1:12" x14ac:dyDescent="0.2">
      <c r="A2146" s="75" t="s">
        <v>471</v>
      </c>
      <c r="B2146" s="79">
        <v>46118</v>
      </c>
      <c r="C2146" s="89">
        <v>208.2</v>
      </c>
      <c r="D2146" s="75"/>
      <c r="E2146" s="75"/>
      <c r="F2146" s="75">
        <v>20104</v>
      </c>
      <c r="G2146" s="76" t="str">
        <f>VLOOKUP(Tabelle2[[#This Row],[Kunden Nr.]],KUNDEN!A:B,2,0)</f>
        <v>KTHIMI</v>
      </c>
      <c r="H2146" s="75">
        <v>35108</v>
      </c>
      <c r="I2146" s="76" t="str">
        <f>VLOOKUP(Tabelle2[[#This Row],[Artikel]],Produkte!A:B,2,0)</f>
        <v>M-ONE Sanitar Silikon</v>
      </c>
      <c r="J2146" s="75">
        <v>12</v>
      </c>
      <c r="K2146" s="76" t="str">
        <f>VLOOKUP(Tabelle2[[#This Row],[Kunden Nr.]],KUNDEN!A:G,7)</f>
        <v>Mensuri</v>
      </c>
      <c r="L2146" s="76">
        <f>VLOOKUP(Tabelle2[[#This Row],[Artikel]],Produkte!A:H,8)</f>
        <v>0.17</v>
      </c>
    </row>
    <row r="2147" spans="1:12" x14ac:dyDescent="0.2">
      <c r="A2147" s="75" t="s">
        <v>471</v>
      </c>
      <c r="B2147" s="79">
        <v>46118</v>
      </c>
      <c r="C2147" s="75"/>
      <c r="D2147" s="75"/>
      <c r="E2147" s="75"/>
      <c r="F2147" s="75">
        <v>20104</v>
      </c>
      <c r="G2147" s="76" t="str">
        <f>VLOOKUP(Tabelle2[[#This Row],[Kunden Nr.]],KUNDEN!A:B,2,0)</f>
        <v>KTHIMI</v>
      </c>
      <c r="H2147" s="75">
        <v>35112</v>
      </c>
      <c r="I2147" s="76" t="str">
        <f>VLOOKUP(Tabelle2[[#This Row],[Artikel]],Produkte!A:B,2,0)</f>
        <v>M-ONE Sanitar Silikon</v>
      </c>
      <c r="J2147" s="75">
        <v>12</v>
      </c>
      <c r="K2147" s="76" t="str">
        <f>VLOOKUP(Tabelle2[[#This Row],[Kunden Nr.]],KUNDEN!A:G,7)</f>
        <v>Mensuri</v>
      </c>
      <c r="L2147" s="76">
        <f>VLOOKUP(Tabelle2[[#This Row],[Artikel]],Produkte!A:H,8)</f>
        <v>0.17</v>
      </c>
    </row>
    <row r="2148" spans="1:12" x14ac:dyDescent="0.2">
      <c r="A2148" s="75" t="s">
        <v>471</v>
      </c>
      <c r="B2148" s="79">
        <v>46118</v>
      </c>
      <c r="C2148" s="75"/>
      <c r="D2148" s="75"/>
      <c r="E2148" s="75"/>
      <c r="F2148" s="75">
        <v>20104</v>
      </c>
      <c r="G2148" s="76" t="str">
        <f>VLOOKUP(Tabelle2[[#This Row],[Kunden Nr.]],KUNDEN!A:B,2,0)</f>
        <v>KTHIMI</v>
      </c>
      <c r="H2148" s="75">
        <v>35121</v>
      </c>
      <c r="I2148" s="76" t="str">
        <f>VLOOKUP(Tabelle2[[#This Row],[Artikel]],Produkte!A:B,2,0)</f>
        <v>M-ONE Sanitar Silikon</v>
      </c>
      <c r="J2148" s="75">
        <v>12</v>
      </c>
      <c r="K2148" s="76" t="str">
        <f>VLOOKUP(Tabelle2[[#This Row],[Kunden Nr.]],KUNDEN!A:G,7)</f>
        <v>Mensuri</v>
      </c>
      <c r="L2148" s="76">
        <f>VLOOKUP(Tabelle2[[#This Row],[Artikel]],Produkte!A:H,8)</f>
        <v>0.17</v>
      </c>
    </row>
    <row r="2149" spans="1:12" x14ac:dyDescent="0.2">
      <c r="A2149" s="75" t="s">
        <v>471</v>
      </c>
      <c r="B2149" s="79">
        <v>46118</v>
      </c>
      <c r="C2149" s="75"/>
      <c r="D2149" s="75"/>
      <c r="E2149" s="75"/>
      <c r="F2149" s="75">
        <v>20104</v>
      </c>
      <c r="G2149" s="76" t="str">
        <f>VLOOKUP(Tabelle2[[#This Row],[Kunden Nr.]],KUNDEN!A:B,2,0)</f>
        <v>KTHIMI</v>
      </c>
      <c r="H2149" s="75">
        <v>66701</v>
      </c>
      <c r="I2149" s="76" t="str">
        <f>VLOOKUP(Tabelle2[[#This Row],[Artikel]],Produkte!A:B,2,0)</f>
        <v>PROFIMONT EXTREME</v>
      </c>
      <c r="J2149" s="75">
        <v>12</v>
      </c>
      <c r="K2149" s="76" t="str">
        <f>VLOOKUP(Tabelle2[[#This Row],[Kunden Nr.]],KUNDEN!A:G,7)</f>
        <v>Mensuri</v>
      </c>
      <c r="L2149" s="76">
        <f>VLOOKUP(Tabelle2[[#This Row],[Artikel]],Produkte!A:H,8)</f>
        <v>0.2</v>
      </c>
    </row>
    <row r="2150" spans="1:12" x14ac:dyDescent="0.2">
      <c r="A2150" s="75" t="s">
        <v>395</v>
      </c>
      <c r="B2150" s="79">
        <v>46118</v>
      </c>
      <c r="C2150" s="89">
        <v>92.4</v>
      </c>
      <c r="D2150" s="75"/>
      <c r="E2150" s="75"/>
      <c r="F2150" s="75">
        <v>20122</v>
      </c>
      <c r="G2150" s="76" t="str">
        <f>VLOOKUP(Tabelle2[[#This Row],[Kunden Nr.]],KUNDEN!A:B,2,0)</f>
        <v>GLOBI TERM</v>
      </c>
      <c r="H2150" s="75">
        <v>35110</v>
      </c>
      <c r="I2150" s="76" t="str">
        <f>VLOOKUP(Tabelle2[[#This Row],[Artikel]],Produkte!A:B,2,0)</f>
        <v>M-ONE Sanitar Silikon</v>
      </c>
      <c r="J2150" s="75">
        <v>24</v>
      </c>
      <c r="K2150" s="76" t="str">
        <f>VLOOKUP(Tabelle2[[#This Row],[Kunden Nr.]],KUNDEN!A:G,7)</f>
        <v>Mensuri</v>
      </c>
      <c r="L2150" s="76">
        <f>VLOOKUP(Tabelle2[[#This Row],[Artikel]],Produkte!A:H,8)</f>
        <v>0.17</v>
      </c>
    </row>
    <row r="2151" spans="1:12" x14ac:dyDescent="0.2">
      <c r="A2151" s="75" t="s">
        <v>1129</v>
      </c>
      <c r="B2151" s="79">
        <v>46118</v>
      </c>
      <c r="C2151" s="89">
        <v>162</v>
      </c>
      <c r="D2151" s="75"/>
      <c r="E2151" s="75"/>
      <c r="F2151" s="75">
        <v>20127</v>
      </c>
      <c r="G2151" s="76" t="str">
        <f>VLOOKUP(Tabelle2[[#This Row],[Kunden Nr.]],KUNDEN!A:B,2,0)</f>
        <v>TERMO PROJEKT</v>
      </c>
      <c r="H2151" s="75">
        <v>66701</v>
      </c>
      <c r="I2151" s="76" t="str">
        <f>VLOOKUP(Tabelle2[[#This Row],[Artikel]],Produkte!A:B,2,0)</f>
        <v>PROFIMONT EXTREME</v>
      </c>
      <c r="J2151" s="75">
        <v>12</v>
      </c>
      <c r="K2151" s="76" t="str">
        <f>VLOOKUP(Tabelle2[[#This Row],[Kunden Nr.]],KUNDEN!A:G,7)</f>
        <v>Mensuri</v>
      </c>
      <c r="L2151" s="76">
        <f>VLOOKUP(Tabelle2[[#This Row],[Artikel]],Produkte!A:H,8)</f>
        <v>0.2</v>
      </c>
    </row>
    <row r="2152" spans="1:12" x14ac:dyDescent="0.2">
      <c r="A2152" s="75" t="s">
        <v>1129</v>
      </c>
      <c r="B2152" s="79">
        <v>46118</v>
      </c>
      <c r="C2152" s="75"/>
      <c r="D2152" s="75"/>
      <c r="E2152" s="75"/>
      <c r="F2152" s="75">
        <v>20127</v>
      </c>
      <c r="G2152" s="76" t="str">
        <f>VLOOKUP(Tabelle2[[#This Row],[Kunden Nr.]],KUNDEN!A:B,2,0)</f>
        <v>TERMO PROJEKT</v>
      </c>
      <c r="H2152" s="75">
        <v>35113</v>
      </c>
      <c r="I2152" s="76" t="str">
        <f>VLOOKUP(Tabelle2[[#This Row],[Artikel]],Produkte!A:B,2,0)</f>
        <v>M-ONE Sanitar Silikon</v>
      </c>
      <c r="J2152" s="75">
        <v>12</v>
      </c>
      <c r="K2152" s="76" t="str">
        <f>VLOOKUP(Tabelle2[[#This Row],[Kunden Nr.]],KUNDEN!A:G,7)</f>
        <v>Mensuri</v>
      </c>
      <c r="L2152" s="76">
        <f>VLOOKUP(Tabelle2[[#This Row],[Artikel]],Produkte!A:H,8)</f>
        <v>0.17</v>
      </c>
    </row>
    <row r="2153" spans="1:12" x14ac:dyDescent="0.2">
      <c r="A2153" s="75" t="s">
        <v>1129</v>
      </c>
      <c r="B2153" s="79">
        <v>46118</v>
      </c>
      <c r="C2153" s="75"/>
      <c r="D2153" s="75"/>
      <c r="E2153" s="75"/>
      <c r="F2153" s="75">
        <v>20127</v>
      </c>
      <c r="G2153" s="76" t="str">
        <f>VLOOKUP(Tabelle2[[#This Row],[Kunden Nr.]],KUNDEN!A:B,2,0)</f>
        <v>TERMO PROJEKT</v>
      </c>
      <c r="H2153" s="75">
        <v>35115</v>
      </c>
      <c r="I2153" s="76" t="str">
        <f>VLOOKUP(Tabelle2[[#This Row],[Artikel]],Produkte!A:B,2,0)</f>
        <v>M-ONE Sanitar Silikon</v>
      </c>
      <c r="J2153" s="75">
        <v>12</v>
      </c>
      <c r="K2153" s="76" t="str">
        <f>VLOOKUP(Tabelle2[[#This Row],[Kunden Nr.]],KUNDEN!A:G,7)</f>
        <v>Mensuri</v>
      </c>
      <c r="L2153" s="76">
        <f>VLOOKUP(Tabelle2[[#This Row],[Artikel]],Produkte!A:H,8)</f>
        <v>0.17</v>
      </c>
    </row>
    <row r="2154" spans="1:12" x14ac:dyDescent="0.2">
      <c r="A2154" s="75" t="s">
        <v>1315</v>
      </c>
      <c r="B2154" s="79">
        <v>46118</v>
      </c>
      <c r="C2154" s="89">
        <v>58.2</v>
      </c>
      <c r="D2154" s="75"/>
      <c r="E2154" s="75"/>
      <c r="F2154" s="75">
        <v>20130</v>
      </c>
      <c r="G2154" s="76" t="str">
        <f>VLOOKUP(Tabelle2[[#This Row],[Kunden Nr.]],KUNDEN!A:B,2,0)</f>
        <v>ENESI</v>
      </c>
      <c r="H2154" s="75">
        <v>35113</v>
      </c>
      <c r="I2154" s="76" t="str">
        <f>VLOOKUP(Tabelle2[[#This Row],[Artikel]],Produkte!A:B,2,0)</f>
        <v>M-ONE Sanitar Silikon</v>
      </c>
      <c r="J2154" s="75">
        <v>12</v>
      </c>
      <c r="K2154" s="76" t="str">
        <f>VLOOKUP(Tabelle2[[#This Row],[Kunden Nr.]],KUNDEN!A:G,7)</f>
        <v>Mensuri</v>
      </c>
      <c r="L2154" s="76">
        <f>VLOOKUP(Tabelle2[[#This Row],[Artikel]],Produkte!A:H,8)</f>
        <v>0.17</v>
      </c>
    </row>
    <row r="2155" spans="1:12" x14ac:dyDescent="0.2">
      <c r="A2155" s="75" t="s">
        <v>1315</v>
      </c>
      <c r="B2155" s="79">
        <v>46118</v>
      </c>
      <c r="C2155" s="75"/>
      <c r="D2155" s="75"/>
      <c r="E2155" s="75"/>
      <c r="F2155" s="75">
        <v>20130</v>
      </c>
      <c r="G2155" s="76" t="str">
        <f>VLOOKUP(Tabelle2[[#This Row],[Kunden Nr.]],KUNDEN!A:B,2,0)</f>
        <v>ENESI</v>
      </c>
      <c r="H2155" s="75">
        <v>54412</v>
      </c>
      <c r="I2155" s="76" t="str">
        <f>VLOOKUP(Tabelle2[[#This Row],[Artikel]],Produkte!A:B,2,0)</f>
        <v>beMAKER Bremsen&amp;Teile Reininger</v>
      </c>
      <c r="J2155" s="75">
        <v>6</v>
      </c>
      <c r="K2155" s="76" t="str">
        <f>VLOOKUP(Tabelle2[[#This Row],[Kunden Nr.]],KUNDEN!A:G,7)</f>
        <v>Mensuri</v>
      </c>
      <c r="L2155" s="76">
        <f>VLOOKUP(Tabelle2[[#This Row],[Artikel]],Produkte!A:H,8)</f>
        <v>0.2</v>
      </c>
    </row>
    <row r="2156" spans="1:12" x14ac:dyDescent="0.2">
      <c r="A2156" s="75" t="s">
        <v>1306</v>
      </c>
      <c r="B2156" s="79">
        <v>46118</v>
      </c>
      <c r="C2156" s="89">
        <v>92.4</v>
      </c>
      <c r="D2156" s="75"/>
      <c r="E2156" s="75"/>
      <c r="F2156" s="75">
        <v>20129</v>
      </c>
      <c r="G2156" s="76" t="str">
        <f>VLOOKUP(Tabelle2[[#This Row],[Kunden Nr.]],KUNDEN!A:B,2,0)</f>
        <v>LNI SHPK</v>
      </c>
      <c r="H2156" s="75">
        <v>35109</v>
      </c>
      <c r="I2156" s="76" t="str">
        <f>VLOOKUP(Tabelle2[[#This Row],[Artikel]],Produkte!A:B,2,0)</f>
        <v>M-ONE Sanitar Silikon</v>
      </c>
      <c r="J2156" s="75">
        <v>24</v>
      </c>
      <c r="K2156" s="76" t="str">
        <f>VLOOKUP(Tabelle2[[#This Row],[Kunden Nr.]],KUNDEN!A:G,7)</f>
        <v>Mensuri</v>
      </c>
      <c r="L2156" s="76">
        <f>VLOOKUP(Tabelle2[[#This Row],[Artikel]],Produkte!A:H,8)</f>
        <v>0.17</v>
      </c>
    </row>
    <row r="2157" spans="1:12" x14ac:dyDescent="0.2">
      <c r="A2157" s="75" t="s">
        <v>1180</v>
      </c>
      <c r="B2157" s="79">
        <v>46118</v>
      </c>
      <c r="C2157" s="89">
        <v>167.6</v>
      </c>
      <c r="D2157" s="75"/>
      <c r="E2157" s="75"/>
      <c r="F2157" s="75">
        <v>20126</v>
      </c>
      <c r="G2157" s="76" t="str">
        <f>VLOOKUP(Tabelle2[[#This Row],[Kunden Nr.]],KUNDEN!A:B,2,0)</f>
        <v>LULI-C</v>
      </c>
      <c r="H2157" s="75">
        <v>35111</v>
      </c>
      <c r="I2157" s="76" t="str">
        <f>VLOOKUP(Tabelle2[[#This Row],[Artikel]],Produkte!A:B,2,0)</f>
        <v>M-ONE Sanitar Silikon</v>
      </c>
      <c r="J2157" s="75">
        <v>12</v>
      </c>
      <c r="K2157" s="76" t="str">
        <f>VLOOKUP(Tabelle2[[#This Row],[Kunden Nr.]],KUNDEN!A:G,7)</f>
        <v>Mensuri</v>
      </c>
      <c r="L2157" s="76">
        <f>VLOOKUP(Tabelle2[[#This Row],[Artikel]],Produkte!A:H,8)</f>
        <v>0.17</v>
      </c>
    </row>
    <row r="2158" spans="1:12" x14ac:dyDescent="0.2">
      <c r="A2158" s="75" t="s">
        <v>1180</v>
      </c>
      <c r="B2158" s="79">
        <v>46118</v>
      </c>
      <c r="C2158" s="75"/>
      <c r="D2158" s="75"/>
      <c r="E2158" s="75"/>
      <c r="F2158" s="75">
        <v>20126</v>
      </c>
      <c r="G2158" s="76" t="str">
        <f>VLOOKUP(Tabelle2[[#This Row],[Kunden Nr.]],KUNDEN!A:B,2,0)</f>
        <v>LULI-C</v>
      </c>
      <c r="H2158" s="75">
        <v>35112</v>
      </c>
      <c r="I2158" s="76" t="str">
        <f>VLOOKUP(Tabelle2[[#This Row],[Artikel]],Produkte!A:B,2,0)</f>
        <v>M-ONE Sanitar Silikon</v>
      </c>
      <c r="J2158" s="75">
        <v>12</v>
      </c>
      <c r="K2158" s="76" t="str">
        <f>VLOOKUP(Tabelle2[[#This Row],[Kunden Nr.]],KUNDEN!A:G,7)</f>
        <v>Mensuri</v>
      </c>
      <c r="L2158" s="76">
        <f>VLOOKUP(Tabelle2[[#This Row],[Artikel]],Produkte!A:H,8)</f>
        <v>0.17</v>
      </c>
    </row>
    <row r="2159" spans="1:12" x14ac:dyDescent="0.2">
      <c r="A2159" s="75" t="s">
        <v>1180</v>
      </c>
      <c r="B2159" s="79">
        <v>46118</v>
      </c>
      <c r="C2159" s="75"/>
      <c r="D2159" s="75"/>
      <c r="E2159" s="75"/>
      <c r="F2159" s="75">
        <v>20126</v>
      </c>
      <c r="G2159" s="76" t="str">
        <f>VLOOKUP(Tabelle2[[#This Row],[Kunden Nr.]],KUNDEN!A:B,2,0)</f>
        <v>LULI-C</v>
      </c>
      <c r="H2159" s="75">
        <v>35113</v>
      </c>
      <c r="I2159" s="76" t="str">
        <f>VLOOKUP(Tabelle2[[#This Row],[Artikel]],Produkte!A:B,2,0)</f>
        <v>M-ONE Sanitar Silikon</v>
      </c>
      <c r="J2159" s="75">
        <v>12</v>
      </c>
      <c r="K2159" s="76" t="str">
        <f>VLOOKUP(Tabelle2[[#This Row],[Kunden Nr.]],KUNDEN!A:G,7)</f>
        <v>Mensuri</v>
      </c>
      <c r="L2159" s="76">
        <f>VLOOKUP(Tabelle2[[#This Row],[Artikel]],Produkte!A:H,8)</f>
        <v>0.17</v>
      </c>
    </row>
    <row r="2160" spans="1:12" x14ac:dyDescent="0.2">
      <c r="A2160" s="75" t="s">
        <v>1180</v>
      </c>
      <c r="B2160" s="79">
        <v>46118</v>
      </c>
      <c r="C2160" s="75"/>
      <c r="D2160" s="75"/>
      <c r="E2160" s="75"/>
      <c r="F2160" s="75">
        <v>20126</v>
      </c>
      <c r="G2160" s="76" t="str">
        <f>VLOOKUP(Tabelle2[[#This Row],[Kunden Nr.]],KUNDEN!A:B,2,0)</f>
        <v>LULI-C</v>
      </c>
      <c r="H2160" s="75">
        <v>16936</v>
      </c>
      <c r="I2160" s="76" t="str">
        <f>VLOOKUP(Tabelle2[[#This Row],[Artikel]],Produkte!A:B,2,0)</f>
        <v>M ONE FELGENSILBER</v>
      </c>
      <c r="J2160" s="75">
        <v>6</v>
      </c>
      <c r="K2160" s="76" t="str">
        <f>VLOOKUP(Tabelle2[[#This Row],[Kunden Nr.]],KUNDEN!A:G,7)</f>
        <v>Mensuri</v>
      </c>
      <c r="L2160" s="76">
        <f>VLOOKUP(Tabelle2[[#This Row],[Artikel]],Produkte!A:H,8)</f>
        <v>0.15</v>
      </c>
    </row>
    <row r="2161" spans="1:12" x14ac:dyDescent="0.2">
      <c r="A2161" s="75" t="s">
        <v>1180</v>
      </c>
      <c r="B2161" s="79">
        <v>46118</v>
      </c>
      <c r="C2161" s="75"/>
      <c r="D2161" s="75"/>
      <c r="E2161" s="75"/>
      <c r="F2161" s="75">
        <v>20126</v>
      </c>
      <c r="G2161" s="76" t="str">
        <f>VLOOKUP(Tabelle2[[#This Row],[Kunden Nr.]],KUNDEN!A:B,2,0)</f>
        <v>LULI-C</v>
      </c>
      <c r="H2161" s="75">
        <v>44001</v>
      </c>
      <c r="I2161" s="76" t="str">
        <f>VLOOKUP(Tabelle2[[#This Row],[Artikel]],Produkte!A:B,2,0)</f>
        <v>Fettspray</v>
      </c>
      <c r="J2161" s="75">
        <v>2</v>
      </c>
      <c r="K2161" s="76" t="str">
        <f>VLOOKUP(Tabelle2[[#This Row],[Kunden Nr.]],KUNDEN!A:G,7)</f>
        <v>Mensuri</v>
      </c>
      <c r="L2161" s="76">
        <f>VLOOKUP(Tabelle2[[#This Row],[Artikel]],Produkte!A:H,8)</f>
        <v>0.2</v>
      </c>
    </row>
    <row r="2162" spans="1:12" x14ac:dyDescent="0.2">
      <c r="A2162" s="75" t="s">
        <v>1180</v>
      </c>
      <c r="B2162" s="79">
        <v>46118</v>
      </c>
      <c r="C2162" s="75"/>
      <c r="D2162" s="75"/>
      <c r="E2162" s="75"/>
      <c r="F2162" s="75">
        <v>20126</v>
      </c>
      <c r="G2162" s="76" t="str">
        <f>VLOOKUP(Tabelle2[[#This Row],[Kunden Nr.]],KUNDEN!A:B,2,0)</f>
        <v>LULI-C</v>
      </c>
      <c r="H2162" s="75">
        <v>55718</v>
      </c>
      <c r="I2162" s="76" t="str">
        <f>VLOOKUP(Tabelle2[[#This Row],[Artikel]],Produkte!A:B,2,0)</f>
        <v>M ONE MOTORSTART</v>
      </c>
      <c r="J2162" s="75">
        <v>2</v>
      </c>
      <c r="K2162" s="76" t="str">
        <f>VLOOKUP(Tabelle2[[#This Row],[Kunden Nr.]],KUNDEN!A:G,7)</f>
        <v>Mensuri</v>
      </c>
      <c r="L2162" s="76">
        <f>VLOOKUP(Tabelle2[[#This Row],[Artikel]],Produkte!A:H,8)</f>
        <v>0.2</v>
      </c>
    </row>
    <row r="2163" spans="1:12" x14ac:dyDescent="0.2">
      <c r="A2163" s="75" t="s">
        <v>1163</v>
      </c>
      <c r="B2163" s="79">
        <v>46118</v>
      </c>
      <c r="C2163" s="89">
        <v>208.2</v>
      </c>
      <c r="D2163" s="75"/>
      <c r="E2163" s="75"/>
      <c r="F2163" s="75">
        <v>20121</v>
      </c>
      <c r="G2163" s="76" t="str">
        <f>VLOOKUP(Tabelle2[[#This Row],[Kunden Nr.]],KUNDEN!A:B,2,0)</f>
        <v>CAMA BAU</v>
      </c>
      <c r="H2163" s="75">
        <v>35109</v>
      </c>
      <c r="I2163" s="76" t="str">
        <f>VLOOKUP(Tabelle2[[#This Row],[Artikel]],Produkte!A:B,2,0)</f>
        <v>M-ONE Sanitar Silikon</v>
      </c>
      <c r="J2163" s="75">
        <v>24</v>
      </c>
      <c r="K2163" s="76" t="str">
        <f>VLOOKUP(Tabelle2[[#This Row],[Kunden Nr.]],KUNDEN!A:G,7)</f>
        <v>Mensuri</v>
      </c>
      <c r="L2163" s="76">
        <f>VLOOKUP(Tabelle2[[#This Row],[Artikel]],Produkte!A:H,8)</f>
        <v>0.17</v>
      </c>
    </row>
    <row r="2164" spans="1:12" x14ac:dyDescent="0.2">
      <c r="A2164" s="75" t="s">
        <v>1163</v>
      </c>
      <c r="B2164" s="79">
        <v>46118</v>
      </c>
      <c r="C2164" s="75"/>
      <c r="D2164" s="75"/>
      <c r="E2164" s="75"/>
      <c r="F2164" s="75">
        <v>20121</v>
      </c>
      <c r="G2164" s="76" t="str">
        <f>VLOOKUP(Tabelle2[[#This Row],[Kunden Nr.]],KUNDEN!A:B,2,0)</f>
        <v>CAMA BAU</v>
      </c>
      <c r="H2164" s="75">
        <v>35113</v>
      </c>
      <c r="I2164" s="76" t="str">
        <f>VLOOKUP(Tabelle2[[#This Row],[Artikel]],Produkte!A:B,2,0)</f>
        <v>M-ONE Sanitar Silikon</v>
      </c>
      <c r="J2164" s="75">
        <v>12</v>
      </c>
      <c r="K2164" s="76" t="str">
        <f>VLOOKUP(Tabelle2[[#This Row],[Kunden Nr.]],KUNDEN!A:G,7)</f>
        <v>Mensuri</v>
      </c>
      <c r="L2164" s="76">
        <f>VLOOKUP(Tabelle2[[#This Row],[Artikel]],Produkte!A:H,8)</f>
        <v>0.17</v>
      </c>
    </row>
    <row r="2165" spans="1:12" x14ac:dyDescent="0.2">
      <c r="A2165" s="75" t="s">
        <v>1163</v>
      </c>
      <c r="B2165" s="79">
        <v>46118</v>
      </c>
      <c r="C2165" s="75"/>
      <c r="D2165" s="75"/>
      <c r="E2165" s="75"/>
      <c r="F2165" s="75">
        <v>20121</v>
      </c>
      <c r="G2165" s="76" t="str">
        <f>VLOOKUP(Tabelle2[[#This Row],[Kunden Nr.]],KUNDEN!A:B,2,0)</f>
        <v>CAMA BAU</v>
      </c>
      <c r="H2165" s="75">
        <v>66701</v>
      </c>
      <c r="I2165" s="76" t="str">
        <f>VLOOKUP(Tabelle2[[#This Row],[Artikel]],Produkte!A:B,2,0)</f>
        <v>PROFIMONT EXTREME</v>
      </c>
      <c r="J2165" s="75">
        <v>12</v>
      </c>
      <c r="K2165" s="76" t="str">
        <f>VLOOKUP(Tabelle2[[#This Row],[Kunden Nr.]],KUNDEN!A:G,7)</f>
        <v>Mensuri</v>
      </c>
      <c r="L2165" s="76">
        <f>VLOOKUP(Tabelle2[[#This Row],[Artikel]],Produkte!A:H,8)</f>
        <v>0.2</v>
      </c>
    </row>
    <row r="2166" spans="1:12" x14ac:dyDescent="0.2">
      <c r="A2166" s="75" t="s">
        <v>823</v>
      </c>
      <c r="B2166" s="79">
        <v>46118</v>
      </c>
      <c r="C2166" s="89">
        <v>44.5</v>
      </c>
      <c r="D2166" s="75"/>
      <c r="E2166" s="75"/>
      <c r="F2166" s="75">
        <v>20118</v>
      </c>
      <c r="G2166" s="76" t="str">
        <f>VLOOKUP(Tabelle2[[#This Row],[Kunden Nr.]],KUNDEN!A:B,2,0)</f>
        <v>AP WOLF</v>
      </c>
      <c r="H2166" s="75">
        <v>51936</v>
      </c>
      <c r="I2166" s="76" t="str">
        <f>VLOOKUP(Tabelle2[[#This Row],[Artikel]],Produkte!A:B,2,0)</f>
        <v>M ONE SCHWARZ GLÄNZED</v>
      </c>
      <c r="J2166" s="75">
        <v>4</v>
      </c>
      <c r="K2166" s="76" t="str">
        <f>VLOOKUP(Tabelle2[[#This Row],[Kunden Nr.]],KUNDEN!A:G,7)</f>
        <v>Mensuri</v>
      </c>
      <c r="L2166" s="76">
        <f>VLOOKUP(Tabelle2[[#This Row],[Artikel]],Produkte!A:H,8)</f>
        <v>0.15</v>
      </c>
    </row>
    <row r="2167" spans="1:12" x14ac:dyDescent="0.2">
      <c r="A2167" s="75" t="s">
        <v>823</v>
      </c>
      <c r="B2167" s="79">
        <v>46118</v>
      </c>
      <c r="C2167" s="75"/>
      <c r="D2167" s="75"/>
      <c r="E2167" s="75"/>
      <c r="F2167" s="75">
        <v>20118</v>
      </c>
      <c r="G2167" s="76" t="str">
        <f>VLOOKUP(Tabelle2[[#This Row],[Kunden Nr.]],KUNDEN!A:B,2,0)</f>
        <v>AP WOLF</v>
      </c>
      <c r="H2167" s="75">
        <v>51736</v>
      </c>
      <c r="I2167" s="76" t="str">
        <f>VLOOKUP(Tabelle2[[#This Row],[Artikel]],Produkte!A:B,2,0)</f>
        <v>M ONE SCHWARZ MATT</v>
      </c>
      <c r="J2167" s="75">
        <v>4</v>
      </c>
      <c r="K2167" s="76" t="str">
        <f>VLOOKUP(Tabelle2[[#This Row],[Kunden Nr.]],KUNDEN!A:G,7)</f>
        <v>Mensuri</v>
      </c>
      <c r="L2167" s="76">
        <f>VLOOKUP(Tabelle2[[#This Row],[Artikel]],Produkte!A:H,8)</f>
        <v>0.15</v>
      </c>
    </row>
    <row r="2168" spans="1:12" x14ac:dyDescent="0.2">
      <c r="A2168" s="75" t="s">
        <v>823</v>
      </c>
      <c r="B2168" s="79">
        <v>46118</v>
      </c>
      <c r="C2168" s="75"/>
      <c r="D2168" s="75"/>
      <c r="E2168" s="75"/>
      <c r="F2168" s="75">
        <v>20118</v>
      </c>
      <c r="G2168" s="76" t="str">
        <f>VLOOKUP(Tabelle2[[#This Row],[Kunden Nr.]],KUNDEN!A:B,2,0)</f>
        <v>AP WOLF</v>
      </c>
      <c r="H2168" s="75">
        <v>16936</v>
      </c>
      <c r="I2168" s="76" t="str">
        <f>VLOOKUP(Tabelle2[[#This Row],[Artikel]],Produkte!A:B,2,0)</f>
        <v>M ONE FELGENSILBER</v>
      </c>
      <c r="J2168" s="75">
        <v>3</v>
      </c>
      <c r="K2168" s="76" t="str">
        <f>VLOOKUP(Tabelle2[[#This Row],[Kunden Nr.]],KUNDEN!A:G,7)</f>
        <v>Mensuri</v>
      </c>
      <c r="L2168" s="76">
        <f>VLOOKUP(Tabelle2[[#This Row],[Artikel]],Produkte!A:H,8)</f>
        <v>0.15</v>
      </c>
    </row>
    <row r="2169" spans="1:12" x14ac:dyDescent="0.2">
      <c r="A2169" s="75" t="s">
        <v>823</v>
      </c>
      <c r="B2169" s="79">
        <v>46118</v>
      </c>
      <c r="C2169" s="75"/>
      <c r="D2169" s="75"/>
      <c r="E2169" s="75"/>
      <c r="F2169" s="75">
        <v>20118</v>
      </c>
      <c r="G2169" s="76" t="str">
        <f>VLOOKUP(Tabelle2[[#This Row],[Kunden Nr.]],KUNDEN!A:B,2,0)</f>
        <v>AP WOLF</v>
      </c>
      <c r="H2169" s="75">
        <v>31819</v>
      </c>
      <c r="I2169" s="76" t="str">
        <f>VLOOKUP(Tabelle2[[#This Row],[Artikel]],Produkte!A:B,2,0)</f>
        <v>M ONE FUERROT</v>
      </c>
      <c r="J2169" s="75">
        <v>4</v>
      </c>
      <c r="K2169" s="76" t="str">
        <f>VLOOKUP(Tabelle2[[#This Row],[Kunden Nr.]],KUNDEN!A:G,7)</f>
        <v>Mensuri</v>
      </c>
      <c r="L2169" s="76">
        <f>VLOOKUP(Tabelle2[[#This Row],[Artikel]],Produkte!A:H,8)</f>
        <v>0.15</v>
      </c>
    </row>
    <row r="2170" spans="1:12" x14ac:dyDescent="0.2">
      <c r="A2170" s="75" t="s">
        <v>823</v>
      </c>
      <c r="B2170" s="79">
        <v>46118</v>
      </c>
      <c r="C2170" s="75"/>
      <c r="D2170" s="75"/>
      <c r="E2170" s="75"/>
      <c r="F2170" s="75">
        <v>20118</v>
      </c>
      <c r="G2170" s="76" t="str">
        <f>VLOOKUP(Tabelle2[[#This Row],[Kunden Nr.]],KUNDEN!A:B,2,0)</f>
        <v>AP WOLF</v>
      </c>
      <c r="H2170" s="75">
        <v>55718</v>
      </c>
      <c r="I2170" s="76" t="str">
        <f>VLOOKUP(Tabelle2[[#This Row],[Artikel]],Produkte!A:B,2,0)</f>
        <v>M ONE MOTORSTART</v>
      </c>
      <c r="J2170" s="75">
        <v>2</v>
      </c>
      <c r="K2170" s="76" t="str">
        <f>VLOOKUP(Tabelle2[[#This Row],[Kunden Nr.]],KUNDEN!A:G,7)</f>
        <v>Mensuri</v>
      </c>
      <c r="L2170" s="76">
        <f>VLOOKUP(Tabelle2[[#This Row],[Artikel]],Produkte!A:H,8)</f>
        <v>0.2</v>
      </c>
    </row>
    <row r="2171" spans="1:12" x14ac:dyDescent="0.2">
      <c r="A2171" s="75" t="s">
        <v>1298</v>
      </c>
      <c r="B2171" s="79">
        <v>46119</v>
      </c>
      <c r="C2171" s="89">
        <v>208.8</v>
      </c>
      <c r="D2171" s="75"/>
      <c r="E2171" s="75"/>
      <c r="F2171" s="75">
        <v>10255</v>
      </c>
      <c r="G2171" s="76" t="str">
        <f>VLOOKUP(Tabelle2[[#This Row],[Kunden Nr.]],KUNDEN!A:B,2,0)</f>
        <v>QEMA</v>
      </c>
      <c r="H2171" s="75">
        <v>66701</v>
      </c>
      <c r="I2171" s="76" t="str">
        <f>VLOOKUP(Tabelle2[[#This Row],[Artikel]],Produkte!A:B,2,0)</f>
        <v>PROFIMONT EXTREME</v>
      </c>
      <c r="J2171" s="75">
        <v>36</v>
      </c>
      <c r="K2171" s="76" t="str">
        <f>VLOOKUP(Tabelle2[[#This Row],[Kunden Nr.]],KUNDEN!A:G,7)</f>
        <v>Qerimi</v>
      </c>
      <c r="L2171" s="76">
        <f>VLOOKUP(Tabelle2[[#This Row],[Artikel]],Produkte!A:H,8)</f>
        <v>0.2</v>
      </c>
    </row>
    <row r="2172" spans="1:12" x14ac:dyDescent="0.2">
      <c r="A2172" s="75" t="s">
        <v>520</v>
      </c>
      <c r="B2172" s="79">
        <v>46119</v>
      </c>
      <c r="C2172" s="89">
        <v>73.8</v>
      </c>
      <c r="D2172" s="75"/>
      <c r="E2172" s="75"/>
      <c r="F2172" s="75">
        <v>10210</v>
      </c>
      <c r="G2172" s="76" t="str">
        <f>VLOOKUP(Tabelle2[[#This Row],[Kunden Nr.]],KUNDEN!A:B,2,0)</f>
        <v>MONI 2</v>
      </c>
      <c r="H2172" s="75">
        <v>35121</v>
      </c>
      <c r="I2172" s="76" t="str">
        <f>VLOOKUP(Tabelle2[[#This Row],[Artikel]],Produkte!A:B,2,0)</f>
        <v>M-ONE Sanitar Silikon</v>
      </c>
      <c r="J2172" s="75">
        <v>12</v>
      </c>
      <c r="K2172" s="76" t="str">
        <f>VLOOKUP(Tabelle2[[#This Row],[Kunden Nr.]],KUNDEN!A:G,7)</f>
        <v>Qerimi</v>
      </c>
      <c r="L2172" s="76">
        <f>VLOOKUP(Tabelle2[[#This Row],[Artikel]],Produkte!A:H,8)</f>
        <v>0.17</v>
      </c>
    </row>
    <row r="2173" spans="1:12" x14ac:dyDescent="0.2">
      <c r="A2173" s="75" t="s">
        <v>520</v>
      </c>
      <c r="B2173" s="79">
        <v>46119</v>
      </c>
      <c r="C2173" s="75"/>
      <c r="D2173" s="75"/>
      <c r="E2173" s="75"/>
      <c r="F2173" s="75">
        <v>10210</v>
      </c>
      <c r="G2173" s="76" t="str">
        <f>VLOOKUP(Tabelle2[[#This Row],[Kunden Nr.]],KUNDEN!A:B,2,0)</f>
        <v>MONI 2</v>
      </c>
      <c r="H2173" s="75">
        <v>51612</v>
      </c>
      <c r="I2173" s="76" t="str">
        <f>VLOOKUP(Tabelle2[[#This Row],[Artikel]],Produkte!A:B,2,0)</f>
        <v>struktural akryl</v>
      </c>
      <c r="J2173" s="75">
        <v>12</v>
      </c>
      <c r="K2173" s="76" t="str">
        <f>VLOOKUP(Tabelle2[[#This Row],[Kunden Nr.]],KUNDEN!A:G,7)</f>
        <v>Qerimi</v>
      </c>
      <c r="L2173" s="76">
        <f>VLOOKUP(Tabelle2[[#This Row],[Artikel]],Produkte!A:H,8)</f>
        <v>0.06</v>
      </c>
    </row>
    <row r="2174" spans="1:12" x14ac:dyDescent="0.2">
      <c r="A2174" s="75" t="s">
        <v>509</v>
      </c>
      <c r="B2174" s="79">
        <v>46119</v>
      </c>
      <c r="C2174" s="89">
        <v>184.8</v>
      </c>
      <c r="D2174" s="75"/>
      <c r="E2174" s="75"/>
      <c r="F2174" s="75">
        <v>10201</v>
      </c>
      <c r="G2174" s="76" t="str">
        <f>VLOOKUP(Tabelle2[[#This Row],[Kunden Nr.]],KUNDEN!A:B,2,0)</f>
        <v>TE BESNIKU</v>
      </c>
      <c r="H2174" s="75">
        <v>35112</v>
      </c>
      <c r="I2174" s="76" t="str">
        <f>VLOOKUP(Tabelle2[[#This Row],[Artikel]],Produkte!A:B,2,0)</f>
        <v>M-ONE Sanitar Silikon</v>
      </c>
      <c r="J2174" s="75">
        <v>12</v>
      </c>
      <c r="K2174" s="76" t="str">
        <f>VLOOKUP(Tabelle2[[#This Row],[Kunden Nr.]],KUNDEN!A:G,7)</f>
        <v>Qerimi</v>
      </c>
      <c r="L2174" s="76">
        <f>VLOOKUP(Tabelle2[[#This Row],[Artikel]],Produkte!A:H,8)</f>
        <v>0.17</v>
      </c>
    </row>
    <row r="2175" spans="1:12" x14ac:dyDescent="0.2">
      <c r="A2175" s="75" t="s">
        <v>509</v>
      </c>
      <c r="B2175" s="79">
        <v>46119</v>
      </c>
      <c r="C2175" s="75"/>
      <c r="D2175" s="75"/>
      <c r="E2175" s="75"/>
      <c r="F2175" s="75">
        <v>10201</v>
      </c>
      <c r="G2175" s="76" t="str">
        <f>VLOOKUP(Tabelle2[[#This Row],[Kunden Nr.]],KUNDEN!A:B,2,0)</f>
        <v>TE BESNIKU</v>
      </c>
      <c r="H2175" s="75">
        <v>35109</v>
      </c>
      <c r="I2175" s="76" t="str">
        <f>VLOOKUP(Tabelle2[[#This Row],[Artikel]],Produkte!A:B,2,0)</f>
        <v>M-ONE Sanitar Silikon</v>
      </c>
      <c r="J2175" s="75">
        <v>12</v>
      </c>
      <c r="K2175" s="76" t="str">
        <f>VLOOKUP(Tabelle2[[#This Row],[Kunden Nr.]],KUNDEN!A:G,7)</f>
        <v>Qerimi</v>
      </c>
      <c r="L2175" s="76">
        <f>VLOOKUP(Tabelle2[[#This Row],[Artikel]],Produkte!A:H,8)</f>
        <v>0.17</v>
      </c>
    </row>
    <row r="2176" spans="1:12" x14ac:dyDescent="0.2">
      <c r="A2176" s="75" t="s">
        <v>509</v>
      </c>
      <c r="B2176" s="79">
        <v>46119</v>
      </c>
      <c r="C2176" s="75"/>
      <c r="D2176" s="75"/>
      <c r="E2176" s="75"/>
      <c r="F2176" s="75">
        <v>10201</v>
      </c>
      <c r="G2176" s="76" t="str">
        <f>VLOOKUP(Tabelle2[[#This Row],[Kunden Nr.]],KUNDEN!A:B,2,0)</f>
        <v>TE BESNIKU</v>
      </c>
      <c r="H2176" s="75">
        <v>35121</v>
      </c>
      <c r="I2176" s="76" t="str">
        <f>VLOOKUP(Tabelle2[[#This Row],[Artikel]],Produkte!A:B,2,0)</f>
        <v>M-ONE Sanitar Silikon</v>
      </c>
      <c r="J2176" s="75">
        <v>12</v>
      </c>
      <c r="K2176" s="76" t="str">
        <f>VLOOKUP(Tabelle2[[#This Row],[Kunden Nr.]],KUNDEN!A:G,7)</f>
        <v>Qerimi</v>
      </c>
      <c r="L2176" s="76">
        <f>VLOOKUP(Tabelle2[[#This Row],[Artikel]],Produkte!A:H,8)</f>
        <v>0.17</v>
      </c>
    </row>
    <row r="2177" spans="1:12" x14ac:dyDescent="0.2">
      <c r="A2177" s="75" t="s">
        <v>509</v>
      </c>
      <c r="B2177" s="79">
        <v>46119</v>
      </c>
      <c r="C2177" s="75"/>
      <c r="D2177" s="75"/>
      <c r="E2177" s="75"/>
      <c r="F2177" s="75">
        <v>10201</v>
      </c>
      <c r="G2177" s="76" t="str">
        <f>VLOOKUP(Tabelle2[[#This Row],[Kunden Nr.]],KUNDEN!A:B,2,0)</f>
        <v>TE BESNIKU</v>
      </c>
      <c r="H2177" s="75">
        <v>35115</v>
      </c>
      <c r="I2177" s="76" t="str">
        <f>VLOOKUP(Tabelle2[[#This Row],[Artikel]],Produkte!A:B,2,0)</f>
        <v>M-ONE Sanitar Silikon</v>
      </c>
      <c r="J2177" s="75">
        <v>12</v>
      </c>
      <c r="K2177" s="76" t="str">
        <f>VLOOKUP(Tabelle2[[#This Row],[Kunden Nr.]],KUNDEN!A:G,7)</f>
        <v>Qerimi</v>
      </c>
      <c r="L2177" s="76">
        <f>VLOOKUP(Tabelle2[[#This Row],[Artikel]],Produkte!A:H,8)</f>
        <v>0.17</v>
      </c>
    </row>
    <row r="2178" spans="1:12" x14ac:dyDescent="0.2">
      <c r="A2178" s="75" t="s">
        <v>646</v>
      </c>
      <c r="B2178" s="79">
        <v>46119</v>
      </c>
      <c r="C2178" s="89">
        <v>46.2</v>
      </c>
      <c r="D2178" s="75"/>
      <c r="E2178" s="75"/>
      <c r="F2178" s="75">
        <v>10251</v>
      </c>
      <c r="G2178" s="76" t="e">
        <f>VLOOKUP(Tabelle2[[#This Row],[Kunden Nr.]],KUNDEN!A:B,2,0)</f>
        <v>#N/A</v>
      </c>
      <c r="H2178" s="75">
        <v>35113</v>
      </c>
      <c r="I2178" s="76" t="str">
        <f>VLOOKUP(Tabelle2[[#This Row],[Artikel]],Produkte!A:B,2,0)</f>
        <v>M-ONE Sanitar Silikon</v>
      </c>
      <c r="J2178" s="75">
        <v>12</v>
      </c>
      <c r="K2178" s="76" t="str">
        <f>VLOOKUP(Tabelle2[[#This Row],[Kunden Nr.]],KUNDEN!A:G,7)</f>
        <v>Qerimi</v>
      </c>
      <c r="L2178" s="76">
        <f>VLOOKUP(Tabelle2[[#This Row],[Artikel]],Produkte!A:H,8)</f>
        <v>0.17</v>
      </c>
    </row>
    <row r="2179" spans="1:12" x14ac:dyDescent="0.2">
      <c r="A2179" s="75" t="s">
        <v>515</v>
      </c>
      <c r="B2179" s="79">
        <v>46119</v>
      </c>
      <c r="C2179" s="89">
        <v>231</v>
      </c>
      <c r="D2179" s="75"/>
      <c r="E2179" s="75"/>
      <c r="F2179" s="75">
        <v>10205</v>
      </c>
      <c r="G2179" s="76" t="str">
        <f>VLOOKUP(Tabelle2[[#This Row],[Kunden Nr.]],KUNDEN!A:B,2,0)</f>
        <v>XHAFA</v>
      </c>
      <c r="H2179" s="75">
        <v>35108</v>
      </c>
      <c r="I2179" s="76" t="str">
        <f>VLOOKUP(Tabelle2[[#This Row],[Artikel]],Produkte!A:B,2,0)</f>
        <v>M-ONE Sanitar Silikon</v>
      </c>
      <c r="J2179" s="75">
        <v>12</v>
      </c>
      <c r="K2179" s="76" t="str">
        <f>VLOOKUP(Tabelle2[[#This Row],[Kunden Nr.]],KUNDEN!A:G,7)</f>
        <v>Qerimi</v>
      </c>
      <c r="L2179" s="76">
        <f>VLOOKUP(Tabelle2[[#This Row],[Artikel]],Produkte!A:H,8)</f>
        <v>0.17</v>
      </c>
    </row>
    <row r="2180" spans="1:12" x14ac:dyDescent="0.2">
      <c r="A2180" s="75" t="s">
        <v>515</v>
      </c>
      <c r="B2180" s="79">
        <v>46119</v>
      </c>
      <c r="C2180" s="75"/>
      <c r="D2180" s="75"/>
      <c r="E2180" s="75"/>
      <c r="F2180" s="75">
        <v>10205</v>
      </c>
      <c r="G2180" s="76" t="str">
        <f>VLOOKUP(Tabelle2[[#This Row],[Kunden Nr.]],KUNDEN!A:B,2,0)</f>
        <v>XHAFA</v>
      </c>
      <c r="H2180" s="75">
        <v>35110</v>
      </c>
      <c r="I2180" s="76" t="str">
        <f>VLOOKUP(Tabelle2[[#This Row],[Artikel]],Produkte!A:B,2,0)</f>
        <v>M-ONE Sanitar Silikon</v>
      </c>
      <c r="J2180" s="75">
        <v>12</v>
      </c>
      <c r="K2180" s="76" t="str">
        <f>VLOOKUP(Tabelle2[[#This Row],[Kunden Nr.]],KUNDEN!A:G,7)</f>
        <v>Qerimi</v>
      </c>
      <c r="L2180" s="76">
        <f>VLOOKUP(Tabelle2[[#This Row],[Artikel]],Produkte!A:H,8)</f>
        <v>0.17</v>
      </c>
    </row>
    <row r="2181" spans="1:12" x14ac:dyDescent="0.2">
      <c r="A2181" s="75" t="s">
        <v>515</v>
      </c>
      <c r="B2181" s="79">
        <v>46119</v>
      </c>
      <c r="C2181" s="75"/>
      <c r="D2181" s="75"/>
      <c r="E2181" s="75"/>
      <c r="F2181" s="75">
        <v>10205</v>
      </c>
      <c r="G2181" s="76" t="str">
        <f>VLOOKUP(Tabelle2[[#This Row],[Kunden Nr.]],KUNDEN!A:B,2,0)</f>
        <v>XHAFA</v>
      </c>
      <c r="H2181" s="75">
        <v>35111</v>
      </c>
      <c r="I2181" s="76" t="str">
        <f>VLOOKUP(Tabelle2[[#This Row],[Artikel]],Produkte!A:B,2,0)</f>
        <v>M-ONE Sanitar Silikon</v>
      </c>
      <c r="J2181" s="75">
        <v>12</v>
      </c>
      <c r="K2181" s="76" t="str">
        <f>VLOOKUP(Tabelle2[[#This Row],[Kunden Nr.]],KUNDEN!A:G,7)</f>
        <v>Qerimi</v>
      </c>
      <c r="L2181" s="76">
        <f>VLOOKUP(Tabelle2[[#This Row],[Artikel]],Produkte!A:H,8)</f>
        <v>0.17</v>
      </c>
    </row>
    <row r="2182" spans="1:12" x14ac:dyDescent="0.2">
      <c r="A2182" s="75" t="s">
        <v>515</v>
      </c>
      <c r="B2182" s="79">
        <v>46119</v>
      </c>
      <c r="C2182" s="75"/>
      <c r="D2182" s="75"/>
      <c r="E2182" s="75"/>
      <c r="F2182" s="75">
        <v>10205</v>
      </c>
      <c r="G2182" s="76" t="str">
        <f>VLOOKUP(Tabelle2[[#This Row],[Kunden Nr.]],KUNDEN!A:B,2,0)</f>
        <v>XHAFA</v>
      </c>
      <c r="H2182" s="75">
        <v>35115</v>
      </c>
      <c r="I2182" s="76" t="str">
        <f>VLOOKUP(Tabelle2[[#This Row],[Artikel]],Produkte!A:B,2,0)</f>
        <v>M-ONE Sanitar Silikon</v>
      </c>
      <c r="J2182" s="75">
        <v>12</v>
      </c>
      <c r="K2182" s="76" t="str">
        <f>VLOOKUP(Tabelle2[[#This Row],[Kunden Nr.]],KUNDEN!A:G,7)</f>
        <v>Qerimi</v>
      </c>
      <c r="L2182" s="76">
        <f>VLOOKUP(Tabelle2[[#This Row],[Artikel]],Produkte!A:H,8)</f>
        <v>0.17</v>
      </c>
    </row>
    <row r="2183" spans="1:12" x14ac:dyDescent="0.2">
      <c r="A2183" s="75" t="s">
        <v>515</v>
      </c>
      <c r="B2183" s="79">
        <v>46119</v>
      </c>
      <c r="C2183" s="75"/>
      <c r="D2183" s="75"/>
      <c r="E2183" s="75"/>
      <c r="F2183" s="75">
        <v>10205</v>
      </c>
      <c r="G2183" s="76" t="str">
        <f>VLOOKUP(Tabelle2[[#This Row],[Kunden Nr.]],KUNDEN!A:B,2,0)</f>
        <v>XHAFA</v>
      </c>
      <c r="H2183" s="75">
        <v>35121</v>
      </c>
      <c r="I2183" s="76" t="str">
        <f>VLOOKUP(Tabelle2[[#This Row],[Artikel]],Produkte!A:B,2,0)</f>
        <v>M-ONE Sanitar Silikon</v>
      </c>
      <c r="J2183" s="75">
        <v>12</v>
      </c>
      <c r="K2183" s="76" t="str">
        <f>VLOOKUP(Tabelle2[[#This Row],[Kunden Nr.]],KUNDEN!A:G,7)</f>
        <v>Qerimi</v>
      </c>
      <c r="L2183" s="76">
        <f>VLOOKUP(Tabelle2[[#This Row],[Artikel]],Produkte!A:H,8)</f>
        <v>0.17</v>
      </c>
    </row>
    <row r="2184" spans="1:12" x14ac:dyDescent="0.2">
      <c r="A2184" s="75" t="s">
        <v>1201</v>
      </c>
      <c r="B2184" s="79">
        <v>46119</v>
      </c>
      <c r="C2184" s="89">
        <v>138.6</v>
      </c>
      <c r="D2184" s="75"/>
      <c r="E2184" s="75"/>
      <c r="F2184" s="75">
        <v>10240</v>
      </c>
      <c r="G2184" s="76" t="str">
        <f>VLOOKUP(Tabelle2[[#This Row],[Kunden Nr.]],KUNDEN!A:B,2,0)</f>
        <v>ARPO</v>
      </c>
      <c r="H2184" s="75">
        <v>35112</v>
      </c>
      <c r="I2184" s="76" t="str">
        <f>VLOOKUP(Tabelle2[[#This Row],[Artikel]],Produkte!A:B,2,0)</f>
        <v>M-ONE Sanitar Silikon</v>
      </c>
      <c r="J2184" s="75">
        <v>12</v>
      </c>
      <c r="K2184" s="76" t="str">
        <f>VLOOKUP(Tabelle2[[#This Row],[Kunden Nr.]],KUNDEN!A:G,7)</f>
        <v>Qerimi</v>
      </c>
      <c r="L2184" s="76">
        <f>VLOOKUP(Tabelle2[[#This Row],[Artikel]],Produkte!A:H,8)</f>
        <v>0.17</v>
      </c>
    </row>
    <row r="2185" spans="1:12" x14ac:dyDescent="0.2">
      <c r="A2185" s="75" t="s">
        <v>1201</v>
      </c>
      <c r="B2185" s="79">
        <v>46119</v>
      </c>
      <c r="C2185" s="75"/>
      <c r="D2185" s="75"/>
      <c r="E2185" s="75"/>
      <c r="F2185" s="75">
        <v>10240</v>
      </c>
      <c r="G2185" s="76" t="str">
        <f>VLOOKUP(Tabelle2[[#This Row],[Kunden Nr.]],KUNDEN!A:B,2,0)</f>
        <v>ARPO</v>
      </c>
      <c r="H2185" s="75">
        <v>35115</v>
      </c>
      <c r="I2185" s="76" t="str">
        <f>VLOOKUP(Tabelle2[[#This Row],[Artikel]],Produkte!A:B,2,0)</f>
        <v>M-ONE Sanitar Silikon</v>
      </c>
      <c r="J2185" s="75">
        <v>12</v>
      </c>
      <c r="K2185" s="76" t="str">
        <f>VLOOKUP(Tabelle2[[#This Row],[Kunden Nr.]],KUNDEN!A:G,7)</f>
        <v>Qerimi</v>
      </c>
      <c r="L2185" s="76">
        <f>VLOOKUP(Tabelle2[[#This Row],[Artikel]],Produkte!A:H,8)</f>
        <v>0.17</v>
      </c>
    </row>
    <row r="2186" spans="1:12" x14ac:dyDescent="0.2">
      <c r="A2186" s="75" t="s">
        <v>1201</v>
      </c>
      <c r="B2186" s="79">
        <v>46119</v>
      </c>
      <c r="C2186" s="75"/>
      <c r="D2186" s="75"/>
      <c r="E2186" s="75"/>
      <c r="F2186" s="75">
        <v>10240</v>
      </c>
      <c r="G2186" s="76" t="str">
        <f>VLOOKUP(Tabelle2[[#This Row],[Kunden Nr.]],KUNDEN!A:B,2,0)</f>
        <v>ARPO</v>
      </c>
      <c r="H2186" s="75">
        <v>35128</v>
      </c>
      <c r="I2186" s="76" t="str">
        <f>VLOOKUP(Tabelle2[[#This Row],[Artikel]],Produkte!A:B,2,0)</f>
        <v>M-ONE Sanitar Silikon</v>
      </c>
      <c r="J2186" s="75">
        <v>12</v>
      </c>
      <c r="K2186" s="76" t="str">
        <f>VLOOKUP(Tabelle2[[#This Row],[Kunden Nr.]],KUNDEN!A:G,7)</f>
        <v>Qerimi</v>
      </c>
      <c r="L2186" s="76">
        <f>VLOOKUP(Tabelle2[[#This Row],[Artikel]],Produkte!A:H,8)</f>
        <v>0.17</v>
      </c>
    </row>
    <row r="2187" spans="1:12" x14ac:dyDescent="0.2">
      <c r="A2187" s="75" t="s">
        <v>1298</v>
      </c>
      <c r="B2187" s="79">
        <v>46119</v>
      </c>
      <c r="C2187" s="89">
        <v>46.2</v>
      </c>
      <c r="D2187" s="75"/>
      <c r="E2187" s="75"/>
      <c r="F2187" s="75">
        <v>10256</v>
      </c>
      <c r="G2187" s="76" t="e">
        <f>VLOOKUP(Tabelle2[[#This Row],[Kunden Nr.]],KUNDEN!A:B,2,0)</f>
        <v>#N/A</v>
      </c>
      <c r="H2187" s="75">
        <v>35110</v>
      </c>
      <c r="I2187" s="76" t="str">
        <f>VLOOKUP(Tabelle2[[#This Row],[Artikel]],Produkte!A:B,2,0)</f>
        <v>M-ONE Sanitar Silikon</v>
      </c>
      <c r="J2187" s="75">
        <v>12</v>
      </c>
      <c r="K2187" s="76" t="str">
        <f>VLOOKUP(Tabelle2[[#This Row],[Kunden Nr.]],KUNDEN!A:G,7)</f>
        <v>Qerimi</v>
      </c>
      <c r="L2187" s="76">
        <f>VLOOKUP(Tabelle2[[#This Row],[Artikel]],Produkte!A:H,8)</f>
        <v>0.17</v>
      </c>
    </row>
    <row r="2188" spans="1:12" x14ac:dyDescent="0.2">
      <c r="A2188" s="75" t="s">
        <v>1300</v>
      </c>
      <c r="B2188" s="79">
        <v>46119</v>
      </c>
      <c r="C2188" s="89">
        <v>162</v>
      </c>
      <c r="D2188" s="75"/>
      <c r="E2188" s="75"/>
      <c r="F2188" s="75">
        <v>10257</v>
      </c>
      <c r="G2188" s="76" t="str">
        <f>VLOOKUP(Tabelle2[[#This Row],[Kunden Nr.]],KUNDEN!A:B,2,0)</f>
        <v>BERISHA</v>
      </c>
      <c r="H2188" s="75">
        <v>66701</v>
      </c>
      <c r="I2188" s="76" t="str">
        <f>VLOOKUP(Tabelle2[[#This Row],[Artikel]],Produkte!A:B,2,0)</f>
        <v>PROFIMONT EXTREME</v>
      </c>
      <c r="J2188" s="75">
        <v>12</v>
      </c>
      <c r="K2188" s="76" t="str">
        <f>VLOOKUP(Tabelle2[[#This Row],[Kunden Nr.]],KUNDEN!A:G,7)</f>
        <v>Qerimi</v>
      </c>
      <c r="L2188" s="76">
        <f>VLOOKUP(Tabelle2[[#This Row],[Artikel]],Produkte!A:H,8)</f>
        <v>0.2</v>
      </c>
    </row>
    <row r="2189" spans="1:12" x14ac:dyDescent="0.2">
      <c r="A2189" s="75" t="s">
        <v>1300</v>
      </c>
      <c r="B2189" s="79">
        <v>46119</v>
      </c>
      <c r="C2189" s="75"/>
      <c r="D2189" s="75"/>
      <c r="E2189" s="75"/>
      <c r="F2189" s="75">
        <v>10257</v>
      </c>
      <c r="G2189" s="76" t="str">
        <f>VLOOKUP(Tabelle2[[#This Row],[Kunden Nr.]],KUNDEN!A:B,2,0)</f>
        <v>BERISHA</v>
      </c>
      <c r="H2189" s="75">
        <v>35109</v>
      </c>
      <c r="I2189" s="76" t="str">
        <f>VLOOKUP(Tabelle2[[#This Row],[Artikel]],Produkte!A:B,2,0)</f>
        <v>M-ONE Sanitar Silikon</v>
      </c>
      <c r="J2189" s="75">
        <v>24</v>
      </c>
      <c r="K2189" s="76" t="str">
        <f>VLOOKUP(Tabelle2[[#This Row],[Kunden Nr.]],KUNDEN!A:G,7)</f>
        <v>Qerimi</v>
      </c>
      <c r="L2189" s="76">
        <f>VLOOKUP(Tabelle2[[#This Row],[Artikel]],Produkte!A:H,8)</f>
        <v>0.17</v>
      </c>
    </row>
    <row r="2190" spans="1:12" x14ac:dyDescent="0.2">
      <c r="A2190" s="75" t="s">
        <v>511</v>
      </c>
      <c r="B2190" s="79">
        <v>46119</v>
      </c>
      <c r="C2190" s="89">
        <v>46.2</v>
      </c>
      <c r="D2190" s="75"/>
      <c r="E2190" s="75"/>
      <c r="F2190" s="75">
        <v>10202</v>
      </c>
      <c r="G2190" s="76" t="str">
        <f>VLOOKUP(Tabelle2[[#This Row],[Kunden Nr.]],KUNDEN!A:B,2,0)</f>
        <v>METAL FATI</v>
      </c>
      <c r="H2190" s="75">
        <v>35109</v>
      </c>
      <c r="I2190" s="76" t="str">
        <f>VLOOKUP(Tabelle2[[#This Row],[Artikel]],Produkte!A:B,2,0)</f>
        <v>M-ONE Sanitar Silikon</v>
      </c>
      <c r="J2190" s="75">
        <v>12</v>
      </c>
      <c r="K2190" s="76" t="str">
        <f>VLOOKUP(Tabelle2[[#This Row],[Kunden Nr.]],KUNDEN!A:G,7)</f>
        <v>Qerimi</v>
      </c>
      <c r="L2190" s="76">
        <f>VLOOKUP(Tabelle2[[#This Row],[Artikel]],Produkte!A:H,8)</f>
        <v>0.17</v>
      </c>
    </row>
    <row r="2191" spans="1:12" x14ac:dyDescent="0.2">
      <c r="A2191" s="75" t="s">
        <v>512</v>
      </c>
      <c r="B2191" s="79">
        <v>46119</v>
      </c>
      <c r="C2191" s="89">
        <v>273.60000000000002</v>
      </c>
      <c r="D2191" s="75"/>
      <c r="E2191" s="75"/>
      <c r="F2191" s="75">
        <v>10203</v>
      </c>
      <c r="G2191" s="76" t="str">
        <f>VLOOKUP(Tabelle2[[#This Row],[Kunden Nr.]],KUNDEN!A:B,2,0)</f>
        <v>EMSA</v>
      </c>
      <c r="H2191" s="75">
        <v>35109</v>
      </c>
      <c r="I2191" s="76" t="str">
        <f>VLOOKUP(Tabelle2[[#This Row],[Artikel]],Produkte!A:B,2,0)</f>
        <v>M-ONE Sanitar Silikon</v>
      </c>
      <c r="J2191" s="75">
        <v>60</v>
      </c>
      <c r="K2191" s="76" t="str">
        <f>VLOOKUP(Tabelle2[[#This Row],[Kunden Nr.]],KUNDEN!A:G,7)</f>
        <v>Qerimi</v>
      </c>
      <c r="L2191" s="76">
        <f>VLOOKUP(Tabelle2[[#This Row],[Artikel]],Produkte!A:H,8)</f>
        <v>0.17</v>
      </c>
    </row>
    <row r="2192" spans="1:12" x14ac:dyDescent="0.2">
      <c r="A2192" s="75" t="s">
        <v>512</v>
      </c>
      <c r="B2192" s="79">
        <v>46119</v>
      </c>
      <c r="C2192" s="75"/>
      <c r="D2192" s="75"/>
      <c r="E2192" s="75"/>
      <c r="F2192" s="75">
        <v>10203</v>
      </c>
      <c r="G2192" s="76" t="str">
        <f>VLOOKUP(Tabelle2[[#This Row],[Kunden Nr.]],KUNDEN!A:B,2,0)</f>
        <v>EMSA</v>
      </c>
      <c r="H2192" s="75">
        <v>51611</v>
      </c>
      <c r="I2192" s="76" t="str">
        <f>VLOOKUP(Tabelle2[[#This Row],[Artikel]],Produkte!A:B,2,0)</f>
        <v>universal akryl</v>
      </c>
      <c r="J2192" s="75">
        <v>12</v>
      </c>
      <c r="K2192" s="76" t="str">
        <f>VLOOKUP(Tabelle2[[#This Row],[Kunden Nr.]],KUNDEN!A:G,7)</f>
        <v>Qerimi</v>
      </c>
      <c r="L2192" s="76">
        <f>VLOOKUP(Tabelle2[[#This Row],[Artikel]],Produkte!A:H,8)</f>
        <v>0.06</v>
      </c>
    </row>
    <row r="2193" spans="1:12" x14ac:dyDescent="0.2">
      <c r="A2193" s="75" t="s">
        <v>512</v>
      </c>
      <c r="B2193" s="79">
        <v>46119</v>
      </c>
      <c r="C2193" s="75"/>
      <c r="D2193" s="75"/>
      <c r="E2193" s="75"/>
      <c r="F2193" s="75">
        <v>10203</v>
      </c>
      <c r="G2193" s="76" t="str">
        <f>VLOOKUP(Tabelle2[[#This Row],[Kunden Nr.]],KUNDEN!A:B,2,0)</f>
        <v>EMSA</v>
      </c>
      <c r="H2193" s="75">
        <v>51612</v>
      </c>
      <c r="I2193" s="76" t="str">
        <f>VLOOKUP(Tabelle2[[#This Row],[Artikel]],Produkte!A:B,2,0)</f>
        <v>struktural akryl</v>
      </c>
      <c r="J2193" s="75">
        <v>12</v>
      </c>
      <c r="K2193" s="76" t="str">
        <f>VLOOKUP(Tabelle2[[#This Row],[Kunden Nr.]],KUNDEN!A:G,7)</f>
        <v>Qerimi</v>
      </c>
      <c r="L2193" s="76">
        <f>VLOOKUP(Tabelle2[[#This Row],[Artikel]],Produkte!A:H,8)</f>
        <v>0.06</v>
      </c>
    </row>
    <row r="2194" spans="1:12" x14ac:dyDescent="0.2">
      <c r="A2194" s="75" t="s">
        <v>643</v>
      </c>
      <c r="B2194" s="79">
        <v>46119</v>
      </c>
      <c r="C2194" s="89">
        <v>138.6</v>
      </c>
      <c r="D2194" s="75"/>
      <c r="E2194" s="75"/>
      <c r="F2194" s="75">
        <v>20224</v>
      </c>
      <c r="G2194" s="76" t="str">
        <f>VLOOKUP(Tabelle2[[#This Row],[Kunden Nr.]],KUNDEN!A:B,2,0)</f>
        <v>TANI</v>
      </c>
      <c r="H2194" s="75">
        <v>35109</v>
      </c>
      <c r="I2194" s="76" t="str">
        <f>VLOOKUP(Tabelle2[[#This Row],[Artikel]],Produkte!A:B,2,0)</f>
        <v>M-ONE Sanitar Silikon</v>
      </c>
      <c r="J2194" s="75">
        <v>12</v>
      </c>
      <c r="K2194" s="76" t="str">
        <f>VLOOKUP(Tabelle2[[#This Row],[Kunden Nr.]],KUNDEN!A:G,7)</f>
        <v>Mensuri</v>
      </c>
      <c r="L2194" s="76">
        <f>VLOOKUP(Tabelle2[[#This Row],[Artikel]],Produkte!A:H,8)</f>
        <v>0.17</v>
      </c>
    </row>
    <row r="2195" spans="1:12" x14ac:dyDescent="0.2">
      <c r="A2195" s="75" t="s">
        <v>643</v>
      </c>
      <c r="B2195" s="79">
        <v>46119</v>
      </c>
      <c r="C2195" s="75"/>
      <c r="D2195" s="75"/>
      <c r="E2195" s="75"/>
      <c r="F2195" s="75">
        <v>20224</v>
      </c>
      <c r="G2195" s="76" t="str">
        <f>VLOOKUP(Tabelle2[[#This Row],[Kunden Nr.]],KUNDEN!A:B,2,0)</f>
        <v>TANI</v>
      </c>
      <c r="H2195" s="75">
        <v>35110</v>
      </c>
      <c r="I2195" s="76" t="str">
        <f>VLOOKUP(Tabelle2[[#This Row],[Artikel]],Produkte!A:B,2,0)</f>
        <v>M-ONE Sanitar Silikon</v>
      </c>
      <c r="J2195" s="75">
        <v>12</v>
      </c>
      <c r="K2195" s="76" t="str">
        <f>VLOOKUP(Tabelle2[[#This Row],[Kunden Nr.]],KUNDEN!A:G,7)</f>
        <v>Mensuri</v>
      </c>
      <c r="L2195" s="76">
        <f>VLOOKUP(Tabelle2[[#This Row],[Artikel]],Produkte!A:H,8)</f>
        <v>0.17</v>
      </c>
    </row>
    <row r="2196" spans="1:12" x14ac:dyDescent="0.2">
      <c r="A2196" s="75" t="s">
        <v>422</v>
      </c>
      <c r="B2196" s="79">
        <v>46119</v>
      </c>
      <c r="C2196" s="89">
        <v>393</v>
      </c>
      <c r="D2196" s="75"/>
      <c r="E2196" s="75"/>
      <c r="F2196" s="75">
        <v>20209</v>
      </c>
      <c r="G2196" s="76" t="str">
        <f>VLOOKUP(Tabelle2[[#This Row],[Kunden Nr.]],KUNDEN!A:B,2,0)</f>
        <v>LETAJ</v>
      </c>
      <c r="H2196" s="75">
        <v>35109</v>
      </c>
      <c r="I2196" s="76" t="str">
        <f>VLOOKUP(Tabelle2[[#This Row],[Artikel]],Produkte!A:B,2,0)</f>
        <v>M-ONE Sanitar Silikon</v>
      </c>
      <c r="J2196" s="75">
        <v>24</v>
      </c>
      <c r="K2196" s="76" t="str">
        <f>VLOOKUP(Tabelle2[[#This Row],[Kunden Nr.]],KUNDEN!A:G,7)</f>
        <v>Mensuri</v>
      </c>
      <c r="L2196" s="76">
        <f>VLOOKUP(Tabelle2[[#This Row],[Artikel]],Produkte!A:H,8)</f>
        <v>0.17</v>
      </c>
    </row>
    <row r="2197" spans="1:12" x14ac:dyDescent="0.2">
      <c r="A2197" s="75" t="s">
        <v>422</v>
      </c>
      <c r="B2197" s="79">
        <v>46119</v>
      </c>
      <c r="C2197" s="75"/>
      <c r="D2197" s="75"/>
      <c r="E2197" s="75"/>
      <c r="F2197" s="75">
        <v>20209</v>
      </c>
      <c r="G2197" s="76" t="str">
        <f>VLOOKUP(Tabelle2[[#This Row],[Kunden Nr.]],KUNDEN!A:B,2,0)</f>
        <v>LETAJ</v>
      </c>
      <c r="H2197" s="75">
        <v>35110</v>
      </c>
      <c r="I2197" s="76" t="str">
        <f>VLOOKUP(Tabelle2[[#This Row],[Artikel]],Produkte!A:B,2,0)</f>
        <v>M-ONE Sanitar Silikon</v>
      </c>
      <c r="J2197" s="75">
        <v>24</v>
      </c>
      <c r="K2197" s="76" t="str">
        <f>VLOOKUP(Tabelle2[[#This Row],[Kunden Nr.]],KUNDEN!A:G,7)</f>
        <v>Mensuri</v>
      </c>
      <c r="L2197" s="76">
        <f>VLOOKUP(Tabelle2[[#This Row],[Artikel]],Produkte!A:H,8)</f>
        <v>0.17</v>
      </c>
    </row>
    <row r="2198" spans="1:12" x14ac:dyDescent="0.2">
      <c r="A2198" s="75" t="s">
        <v>422</v>
      </c>
      <c r="B2198" s="79">
        <v>46119</v>
      </c>
      <c r="C2198" s="75"/>
      <c r="D2198" s="75"/>
      <c r="E2198" s="75"/>
      <c r="F2198" s="75">
        <v>20209</v>
      </c>
      <c r="G2198" s="76" t="str">
        <f>VLOOKUP(Tabelle2[[#This Row],[Kunden Nr.]],KUNDEN!A:B,2,0)</f>
        <v>LETAJ</v>
      </c>
      <c r="H2198" s="75">
        <v>35112</v>
      </c>
      <c r="I2198" s="76" t="str">
        <f>VLOOKUP(Tabelle2[[#This Row],[Artikel]],Produkte!A:B,2,0)</f>
        <v>M-ONE Sanitar Silikon</v>
      </c>
      <c r="J2198" s="75">
        <v>24</v>
      </c>
      <c r="K2198" s="76" t="str">
        <f>VLOOKUP(Tabelle2[[#This Row],[Kunden Nr.]],KUNDEN!A:G,7)</f>
        <v>Mensuri</v>
      </c>
      <c r="L2198" s="76">
        <f>VLOOKUP(Tabelle2[[#This Row],[Artikel]],Produkte!A:H,8)</f>
        <v>0.17</v>
      </c>
    </row>
    <row r="2199" spans="1:12" x14ac:dyDescent="0.2">
      <c r="A2199" s="75" t="s">
        <v>422</v>
      </c>
      <c r="B2199" s="79">
        <v>46119</v>
      </c>
      <c r="C2199" s="75"/>
      <c r="D2199" s="75"/>
      <c r="E2199" s="75"/>
      <c r="F2199" s="75">
        <v>20209</v>
      </c>
      <c r="G2199" s="76" t="str">
        <f>VLOOKUP(Tabelle2[[#This Row],[Kunden Nr.]],KUNDEN!A:B,2,0)</f>
        <v>LETAJ</v>
      </c>
      <c r="H2199" s="75">
        <v>35114</v>
      </c>
      <c r="I2199" s="76" t="str">
        <f>VLOOKUP(Tabelle2[[#This Row],[Artikel]],Produkte!A:B,2,0)</f>
        <v>M-ONE Sanitar Silikon</v>
      </c>
      <c r="J2199" s="75">
        <v>12</v>
      </c>
      <c r="K2199" s="76" t="str">
        <f>VLOOKUP(Tabelle2[[#This Row],[Kunden Nr.]],KUNDEN!A:G,7)</f>
        <v>Mensuri</v>
      </c>
      <c r="L2199" s="76">
        <f>VLOOKUP(Tabelle2[[#This Row],[Artikel]],Produkte!A:H,8)</f>
        <v>0.17</v>
      </c>
    </row>
    <row r="2200" spans="1:12" x14ac:dyDescent="0.2">
      <c r="A2200" s="75" t="s">
        <v>422</v>
      </c>
      <c r="B2200" s="79">
        <v>46119</v>
      </c>
      <c r="C2200" s="75"/>
      <c r="D2200" s="75"/>
      <c r="E2200" s="75"/>
      <c r="F2200" s="75">
        <v>20209</v>
      </c>
      <c r="G2200" s="76" t="str">
        <f>VLOOKUP(Tabelle2[[#This Row],[Kunden Nr.]],KUNDEN!A:B,2,0)</f>
        <v>LETAJ</v>
      </c>
      <c r="H2200" s="75">
        <v>66701</v>
      </c>
      <c r="I2200" s="76" t="str">
        <f>VLOOKUP(Tabelle2[[#This Row],[Artikel]],Produkte!A:B,2,0)</f>
        <v>PROFIMONT EXTREME</v>
      </c>
      <c r="J2200" s="75">
        <v>12</v>
      </c>
      <c r="K2200" s="76" t="str">
        <f>VLOOKUP(Tabelle2[[#This Row],[Kunden Nr.]],KUNDEN!A:G,7)</f>
        <v>Mensuri</v>
      </c>
      <c r="L2200" s="76">
        <f>VLOOKUP(Tabelle2[[#This Row],[Artikel]],Produkte!A:H,8)</f>
        <v>0.2</v>
      </c>
    </row>
    <row r="2201" spans="1:12" x14ac:dyDescent="0.2">
      <c r="A2201" s="75" t="s">
        <v>420</v>
      </c>
      <c r="B2201" s="79">
        <v>46119</v>
      </c>
      <c r="C2201" s="89">
        <v>120</v>
      </c>
      <c r="D2201" s="75"/>
      <c r="E2201" s="75"/>
      <c r="F2201" s="75">
        <v>20205</v>
      </c>
      <c r="G2201" s="76" t="str">
        <f>VLOOKUP(Tabelle2[[#This Row],[Kunden Nr.]],KUNDEN!A:B,2,0)</f>
        <v>GACAFERI-RG</v>
      </c>
      <c r="H2201" s="75">
        <v>35110</v>
      </c>
      <c r="I2201" s="76" t="str">
        <f>VLOOKUP(Tabelle2[[#This Row],[Artikel]],Produkte!A:B,2,0)</f>
        <v>M-ONE Sanitar Silikon</v>
      </c>
      <c r="J2201" s="75">
        <v>12</v>
      </c>
      <c r="K2201" s="76" t="str">
        <f>VLOOKUP(Tabelle2[[#This Row],[Kunden Nr.]],KUNDEN!A:G,7)</f>
        <v>Mensuri</v>
      </c>
      <c r="L2201" s="76">
        <f>VLOOKUP(Tabelle2[[#This Row],[Artikel]],Produkte!A:H,8)</f>
        <v>0.17</v>
      </c>
    </row>
    <row r="2202" spans="1:12" x14ac:dyDescent="0.2">
      <c r="A2202" s="75" t="s">
        <v>420</v>
      </c>
      <c r="B2202" s="79">
        <v>46119</v>
      </c>
      <c r="C2202" s="75"/>
      <c r="D2202" s="75"/>
      <c r="E2202" s="75"/>
      <c r="F2202" s="75">
        <v>20205</v>
      </c>
      <c r="G2202" s="76" t="str">
        <f>VLOOKUP(Tabelle2[[#This Row],[Kunden Nr.]],KUNDEN!A:B,2,0)</f>
        <v>GACAFERI-RG</v>
      </c>
      <c r="H2202" s="75">
        <v>35112</v>
      </c>
      <c r="I2202" s="76" t="str">
        <f>VLOOKUP(Tabelle2[[#This Row],[Artikel]],Produkte!A:B,2,0)</f>
        <v>M-ONE Sanitar Silikon</v>
      </c>
      <c r="J2202" s="75">
        <v>12</v>
      </c>
      <c r="K2202" s="76" t="str">
        <f>VLOOKUP(Tabelle2[[#This Row],[Kunden Nr.]],KUNDEN!A:G,7)</f>
        <v>Mensuri</v>
      </c>
      <c r="L2202" s="76">
        <f>VLOOKUP(Tabelle2[[#This Row],[Artikel]],Produkte!A:H,8)</f>
        <v>0.17</v>
      </c>
    </row>
    <row r="2203" spans="1:12" x14ac:dyDescent="0.2">
      <c r="A2203" s="75" t="s">
        <v>420</v>
      </c>
      <c r="B2203" s="79">
        <v>46119</v>
      </c>
      <c r="C2203" s="75"/>
      <c r="D2203" s="75"/>
      <c r="E2203" s="75"/>
      <c r="F2203" s="75">
        <v>20205</v>
      </c>
      <c r="G2203" s="76" t="str">
        <f>VLOOKUP(Tabelle2[[#This Row],[Kunden Nr.]],KUNDEN!A:B,2,0)</f>
        <v>GACAFERI-RG</v>
      </c>
      <c r="H2203" s="75">
        <v>51612</v>
      </c>
      <c r="I2203" s="76" t="str">
        <f>VLOOKUP(Tabelle2[[#This Row],[Artikel]],Produkte!A:B,2,0)</f>
        <v>struktural akryl</v>
      </c>
      <c r="J2203" s="75">
        <v>12</v>
      </c>
      <c r="K2203" s="76" t="str">
        <f>VLOOKUP(Tabelle2[[#This Row],[Kunden Nr.]],KUNDEN!A:G,7)</f>
        <v>Mensuri</v>
      </c>
      <c r="L2203" s="76">
        <f>VLOOKUP(Tabelle2[[#This Row],[Artikel]],Produkte!A:H,8)</f>
        <v>0.06</v>
      </c>
    </row>
    <row r="2204" spans="1:12" x14ac:dyDescent="0.2">
      <c r="A2204" s="75" t="s">
        <v>670</v>
      </c>
      <c r="B2204" s="79">
        <v>46119</v>
      </c>
      <c r="C2204" s="89">
        <v>107.4</v>
      </c>
      <c r="D2204" s="75"/>
      <c r="E2204" s="75"/>
      <c r="F2204" s="75">
        <v>20206</v>
      </c>
      <c r="G2204" s="76" t="str">
        <f>VLOOKUP(Tabelle2[[#This Row],[Kunden Nr.]],KUNDEN!A:B,2,0)</f>
        <v>ERENIKU</v>
      </c>
      <c r="H2204" s="75">
        <v>35119</v>
      </c>
      <c r="I2204" s="76" t="str">
        <f>VLOOKUP(Tabelle2[[#This Row],[Artikel]],Produkte!A:B,2,0)</f>
        <v>M-ONE Sanitar Silikon</v>
      </c>
      <c r="J2204" s="75">
        <v>12</v>
      </c>
      <c r="K2204" s="76" t="str">
        <f>VLOOKUP(Tabelle2[[#This Row],[Kunden Nr.]],KUNDEN!A:G,7)</f>
        <v>Mensuri</v>
      </c>
      <c r="L2204" s="76">
        <f>VLOOKUP(Tabelle2[[#This Row],[Artikel]],Produkte!A:H,8)</f>
        <v>0.17</v>
      </c>
    </row>
    <row r="2205" spans="1:12" x14ac:dyDescent="0.2">
      <c r="A2205" s="75" t="s">
        <v>670</v>
      </c>
      <c r="B2205" s="79">
        <v>46119</v>
      </c>
      <c r="C2205" s="75"/>
      <c r="D2205" s="75"/>
      <c r="E2205" s="75"/>
      <c r="F2205" s="75">
        <v>20206</v>
      </c>
      <c r="G2205" s="76" t="str">
        <f>VLOOKUP(Tabelle2[[#This Row],[Kunden Nr.]],KUNDEN!A:B,2,0)</f>
        <v>ERENIKU</v>
      </c>
      <c r="H2205" s="75">
        <v>35115</v>
      </c>
      <c r="I2205" s="76" t="str">
        <f>VLOOKUP(Tabelle2[[#This Row],[Artikel]],Produkte!A:B,2,0)</f>
        <v>M-ONE Sanitar Silikon</v>
      </c>
      <c r="J2205" s="75">
        <v>12</v>
      </c>
      <c r="K2205" s="76" t="str">
        <f>VLOOKUP(Tabelle2[[#This Row],[Kunden Nr.]],KUNDEN!A:G,7)</f>
        <v>Mensuri</v>
      </c>
      <c r="L2205" s="76">
        <f>VLOOKUP(Tabelle2[[#This Row],[Artikel]],Produkte!A:H,8)</f>
        <v>0.17</v>
      </c>
    </row>
    <row r="2206" spans="1:12" x14ac:dyDescent="0.2">
      <c r="A2206" s="75" t="s">
        <v>670</v>
      </c>
      <c r="B2206" s="79">
        <v>46119</v>
      </c>
      <c r="C2206" s="75"/>
      <c r="D2206" s="75"/>
      <c r="E2206" s="75"/>
      <c r="F2206" s="75">
        <v>20206</v>
      </c>
      <c r="G2206" s="76" t="str">
        <f>VLOOKUP(Tabelle2[[#This Row],[Kunden Nr.]],KUNDEN!A:B,2,0)</f>
        <v>ERENIKU</v>
      </c>
      <c r="H2206" s="75">
        <v>51611</v>
      </c>
      <c r="I2206" s="76" t="str">
        <f>VLOOKUP(Tabelle2[[#This Row],[Artikel]],Produkte!A:B,2,0)</f>
        <v>universal akryl</v>
      </c>
      <c r="J2206" s="75">
        <v>12</v>
      </c>
      <c r="K2206" s="76" t="str">
        <f>VLOOKUP(Tabelle2[[#This Row],[Kunden Nr.]],KUNDEN!A:G,7)</f>
        <v>Mensuri</v>
      </c>
      <c r="L2206" s="76">
        <f>VLOOKUP(Tabelle2[[#This Row],[Artikel]],Produkte!A:H,8)</f>
        <v>0.06</v>
      </c>
    </row>
    <row r="2207" spans="1:12" x14ac:dyDescent="0.2">
      <c r="A2207" s="75" t="s">
        <v>425</v>
      </c>
      <c r="B2207" s="79">
        <v>46119</v>
      </c>
      <c r="C2207" s="89">
        <v>153.6</v>
      </c>
      <c r="D2207" s="75"/>
      <c r="E2207" s="75"/>
      <c r="F2207" s="75">
        <v>20212</v>
      </c>
      <c r="G2207" s="76" t="str">
        <f>VLOOKUP(Tabelle2[[#This Row],[Kunden Nr.]],KUNDEN!A:B,2,0)</f>
        <v>INOX 2</v>
      </c>
      <c r="H2207" s="75">
        <v>35108</v>
      </c>
      <c r="I2207" s="76" t="str">
        <f>VLOOKUP(Tabelle2[[#This Row],[Artikel]],Produkte!A:B,2,0)</f>
        <v>M-ONE Sanitar Silikon</v>
      </c>
      <c r="J2207" s="75">
        <v>12</v>
      </c>
      <c r="K2207" s="76" t="str">
        <f>VLOOKUP(Tabelle2[[#This Row],[Kunden Nr.]],KUNDEN!A:G,7)</f>
        <v>Mensuri</v>
      </c>
      <c r="L2207" s="76">
        <f>VLOOKUP(Tabelle2[[#This Row],[Artikel]],Produkte!A:H,8)</f>
        <v>0.17</v>
      </c>
    </row>
    <row r="2208" spans="1:12" x14ac:dyDescent="0.2">
      <c r="A2208" s="75" t="s">
        <v>425</v>
      </c>
      <c r="B2208" s="79">
        <v>46119</v>
      </c>
      <c r="C2208" s="75"/>
      <c r="D2208" s="75"/>
      <c r="E2208" s="75"/>
      <c r="F2208" s="75">
        <v>20212</v>
      </c>
      <c r="G2208" s="76" t="str">
        <f>VLOOKUP(Tabelle2[[#This Row],[Kunden Nr.]],KUNDEN!A:B,2,0)</f>
        <v>INOX 2</v>
      </c>
      <c r="H2208" s="75">
        <v>35109</v>
      </c>
      <c r="I2208" s="76" t="str">
        <f>VLOOKUP(Tabelle2[[#This Row],[Artikel]],Produkte!A:B,2,0)</f>
        <v>M-ONE Sanitar Silikon</v>
      </c>
      <c r="J2208" s="75">
        <v>12</v>
      </c>
      <c r="K2208" s="76" t="str">
        <f>VLOOKUP(Tabelle2[[#This Row],[Kunden Nr.]],KUNDEN!A:G,7)</f>
        <v>Mensuri</v>
      </c>
      <c r="L2208" s="76">
        <f>VLOOKUP(Tabelle2[[#This Row],[Artikel]],Produkte!A:H,8)</f>
        <v>0.17</v>
      </c>
    </row>
    <row r="2209" spans="1:12" x14ac:dyDescent="0.2">
      <c r="A2209" s="75" t="s">
        <v>425</v>
      </c>
      <c r="B2209" s="79">
        <v>46119</v>
      </c>
      <c r="C2209" s="75"/>
      <c r="D2209" s="75"/>
      <c r="E2209" s="75"/>
      <c r="F2209" s="75">
        <v>20212</v>
      </c>
      <c r="G2209" s="76" t="str">
        <f>VLOOKUP(Tabelle2[[#This Row],[Kunden Nr.]],KUNDEN!A:B,2,0)</f>
        <v>INOX 2</v>
      </c>
      <c r="H2209" s="75">
        <v>35113</v>
      </c>
      <c r="I2209" s="76" t="str">
        <f>VLOOKUP(Tabelle2[[#This Row],[Artikel]],Produkte!A:B,2,0)</f>
        <v>M-ONE Sanitar Silikon</v>
      </c>
      <c r="J2209" s="75">
        <v>12</v>
      </c>
      <c r="K2209" s="76" t="str">
        <f>VLOOKUP(Tabelle2[[#This Row],[Kunden Nr.]],KUNDEN!A:G,7)</f>
        <v>Mensuri</v>
      </c>
      <c r="L2209" s="76">
        <f>VLOOKUP(Tabelle2[[#This Row],[Artikel]],Produkte!A:H,8)</f>
        <v>0.17</v>
      </c>
    </row>
    <row r="2210" spans="1:12" x14ac:dyDescent="0.2">
      <c r="A2210" s="75" t="s">
        <v>425</v>
      </c>
      <c r="B2210" s="79">
        <v>46119</v>
      </c>
      <c r="C2210" s="75"/>
      <c r="D2210" s="75"/>
      <c r="E2210" s="75"/>
      <c r="F2210" s="75">
        <v>20212</v>
      </c>
      <c r="G2210" s="76" t="str">
        <f>VLOOKUP(Tabelle2[[#This Row],[Kunden Nr.]],KUNDEN!A:B,2,0)</f>
        <v>INOX 2</v>
      </c>
      <c r="H2210" s="75">
        <v>51612</v>
      </c>
      <c r="I2210" s="76" t="str">
        <f>VLOOKUP(Tabelle2[[#This Row],[Artikel]],Produkte!A:B,2,0)</f>
        <v>struktural akryl</v>
      </c>
      <c r="J2210" s="75">
        <v>12</v>
      </c>
      <c r="K2210" s="76" t="str">
        <f>VLOOKUP(Tabelle2[[#This Row],[Kunden Nr.]],KUNDEN!A:G,7)</f>
        <v>Mensuri</v>
      </c>
      <c r="L2210" s="76">
        <f>VLOOKUP(Tabelle2[[#This Row],[Artikel]],Produkte!A:H,8)</f>
        <v>0.06</v>
      </c>
    </row>
    <row r="2211" spans="1:12" x14ac:dyDescent="0.2">
      <c r="A2211" s="75" t="s">
        <v>424</v>
      </c>
      <c r="B2211" s="79">
        <v>46119</v>
      </c>
      <c r="C2211" s="89">
        <v>92.4</v>
      </c>
      <c r="D2211" s="75"/>
      <c r="E2211" s="75"/>
      <c r="F2211" s="75">
        <v>20211</v>
      </c>
      <c r="G2211" s="76" t="str">
        <f>VLOOKUP(Tabelle2[[#This Row],[Kunden Nr.]],KUNDEN!A:B,2,0)</f>
        <v>INOX 1</v>
      </c>
      <c r="H2211" s="75">
        <v>35109</v>
      </c>
      <c r="I2211" s="76" t="str">
        <f>VLOOKUP(Tabelle2[[#This Row],[Artikel]],Produkte!A:B,2,0)</f>
        <v>M-ONE Sanitar Silikon</v>
      </c>
      <c r="J2211" s="75">
        <v>12</v>
      </c>
      <c r="K2211" s="76" t="str">
        <f>VLOOKUP(Tabelle2[[#This Row],[Kunden Nr.]],KUNDEN!A:G,7)</f>
        <v>Mensuri</v>
      </c>
      <c r="L2211" s="76">
        <f>VLOOKUP(Tabelle2[[#This Row],[Artikel]],Produkte!A:H,8)</f>
        <v>0.17</v>
      </c>
    </row>
    <row r="2212" spans="1:12" x14ac:dyDescent="0.2">
      <c r="A2212" s="75" t="s">
        <v>424</v>
      </c>
      <c r="B2212" s="79">
        <v>46119</v>
      </c>
      <c r="C2212" s="75"/>
      <c r="D2212" s="75"/>
      <c r="E2212" s="75"/>
      <c r="F2212" s="75">
        <v>20211</v>
      </c>
      <c r="G2212" s="76" t="str">
        <f>VLOOKUP(Tabelle2[[#This Row],[Kunden Nr.]],KUNDEN!A:B,2,0)</f>
        <v>INOX 1</v>
      </c>
      <c r="H2212" s="75">
        <v>35112</v>
      </c>
      <c r="I2212" s="76" t="str">
        <f>VLOOKUP(Tabelle2[[#This Row],[Artikel]],Produkte!A:B,2,0)</f>
        <v>M-ONE Sanitar Silikon</v>
      </c>
      <c r="J2212" s="75">
        <v>12</v>
      </c>
      <c r="K2212" s="76" t="str">
        <f>VLOOKUP(Tabelle2[[#This Row],[Kunden Nr.]],KUNDEN!A:G,7)</f>
        <v>Mensuri</v>
      </c>
      <c r="L2212" s="76">
        <f>VLOOKUP(Tabelle2[[#This Row],[Artikel]],Produkte!A:H,8)</f>
        <v>0.17</v>
      </c>
    </row>
    <row r="2213" spans="1:12" x14ac:dyDescent="0.2">
      <c r="A2213" s="75" t="s">
        <v>1041</v>
      </c>
      <c r="B2213" s="79">
        <v>46119</v>
      </c>
      <c r="C2213" s="89">
        <v>115.8</v>
      </c>
      <c r="D2213" s="75"/>
      <c r="E2213" s="75"/>
      <c r="F2213" s="75">
        <v>20223</v>
      </c>
      <c r="G2213" s="76" t="str">
        <f>VLOOKUP(Tabelle2[[#This Row],[Kunden Nr.]],KUNDEN!A:B,2,0)</f>
        <v>GER COLORS</v>
      </c>
      <c r="H2213" s="75">
        <v>35115</v>
      </c>
      <c r="I2213" s="76" t="str">
        <f>VLOOKUP(Tabelle2[[#This Row],[Artikel]],Produkte!A:B,2,0)</f>
        <v>M-ONE Sanitar Silikon</v>
      </c>
      <c r="J2213" s="75">
        <v>12</v>
      </c>
      <c r="K2213" s="76" t="str">
        <f>VLOOKUP(Tabelle2[[#This Row],[Kunden Nr.]],KUNDEN!A:G,7)</f>
        <v>Mensuri</v>
      </c>
      <c r="L2213" s="76">
        <f>VLOOKUP(Tabelle2[[#This Row],[Artikel]],Produkte!A:H,8)</f>
        <v>0.17</v>
      </c>
    </row>
    <row r="2214" spans="1:12" x14ac:dyDescent="0.2">
      <c r="A2214" s="75" t="s">
        <v>1041</v>
      </c>
      <c r="B2214" s="79">
        <v>46119</v>
      </c>
      <c r="C2214" s="75"/>
      <c r="D2214" s="75"/>
      <c r="E2214" s="75"/>
      <c r="F2214" s="75">
        <v>20223</v>
      </c>
      <c r="G2214" s="76" t="str">
        <f>VLOOKUP(Tabelle2[[#This Row],[Kunden Nr.]],KUNDEN!A:B,2,0)</f>
        <v>GER COLORS</v>
      </c>
      <c r="H2214" s="75">
        <v>66701</v>
      </c>
      <c r="I2214" s="76" t="str">
        <f>VLOOKUP(Tabelle2[[#This Row],[Artikel]],Produkte!A:B,2,0)</f>
        <v>PROFIMONT EXTREME</v>
      </c>
      <c r="J2214" s="75">
        <v>12</v>
      </c>
      <c r="K2214" s="76" t="str">
        <f>VLOOKUP(Tabelle2[[#This Row],[Kunden Nr.]],KUNDEN!A:G,7)</f>
        <v>Mensuri</v>
      </c>
      <c r="L2214" s="76">
        <f>VLOOKUP(Tabelle2[[#This Row],[Artikel]],Produkte!A:H,8)</f>
        <v>0.2</v>
      </c>
    </row>
    <row r="2215" spans="1:12" x14ac:dyDescent="0.2">
      <c r="A2215" s="75" t="s">
        <v>418</v>
      </c>
      <c r="B2215" s="79">
        <v>46119</v>
      </c>
      <c r="C2215" s="89">
        <v>254.4</v>
      </c>
      <c r="D2215" s="75"/>
      <c r="E2215" s="75"/>
      <c r="F2215" s="75">
        <v>20203</v>
      </c>
      <c r="G2215" s="76" t="str">
        <f>VLOOKUP(Tabelle2[[#This Row],[Kunden Nr.]],KUNDEN!A:B,2,0)</f>
        <v>AFRIMI-AG</v>
      </c>
      <c r="H2215" s="75">
        <v>35109</v>
      </c>
      <c r="I2215" s="76" t="str">
        <f>VLOOKUP(Tabelle2[[#This Row],[Artikel]],Produkte!A:B,2,0)</f>
        <v>M-ONE Sanitar Silikon</v>
      </c>
      <c r="J2215" s="75">
        <v>12</v>
      </c>
      <c r="K2215" s="76" t="str">
        <f>VLOOKUP(Tabelle2[[#This Row],[Kunden Nr.]],KUNDEN!A:G,7)</f>
        <v>Mensuri</v>
      </c>
      <c r="L2215" s="76">
        <f>VLOOKUP(Tabelle2[[#This Row],[Artikel]],Produkte!A:H,8)</f>
        <v>0.17</v>
      </c>
    </row>
    <row r="2216" spans="1:12" x14ac:dyDescent="0.2">
      <c r="A2216" s="75" t="s">
        <v>418</v>
      </c>
      <c r="B2216" s="79">
        <v>46119</v>
      </c>
      <c r="C2216" s="75"/>
      <c r="D2216" s="75"/>
      <c r="E2216" s="75"/>
      <c r="F2216" s="75">
        <v>20203</v>
      </c>
      <c r="G2216" s="76" t="str">
        <f>VLOOKUP(Tabelle2[[#This Row],[Kunden Nr.]],KUNDEN!A:B,2,0)</f>
        <v>AFRIMI-AG</v>
      </c>
      <c r="H2216" s="75">
        <v>35112</v>
      </c>
      <c r="I2216" s="76" t="str">
        <f>VLOOKUP(Tabelle2[[#This Row],[Artikel]],Produkte!A:B,2,0)</f>
        <v>M-ONE Sanitar Silikon</v>
      </c>
      <c r="J2216" s="75">
        <v>12</v>
      </c>
      <c r="K2216" s="76" t="str">
        <f>VLOOKUP(Tabelle2[[#This Row],[Kunden Nr.]],KUNDEN!A:G,7)</f>
        <v>Mensuri</v>
      </c>
      <c r="L2216" s="76">
        <f>VLOOKUP(Tabelle2[[#This Row],[Artikel]],Produkte!A:H,8)</f>
        <v>0.17</v>
      </c>
    </row>
    <row r="2217" spans="1:12" x14ac:dyDescent="0.2">
      <c r="A2217" s="75" t="s">
        <v>418</v>
      </c>
      <c r="B2217" s="79">
        <v>46119</v>
      </c>
      <c r="C2217" s="75"/>
      <c r="D2217" s="75"/>
      <c r="E2217" s="75"/>
      <c r="F2217" s="75">
        <v>20203</v>
      </c>
      <c r="G2217" s="76" t="str">
        <f>VLOOKUP(Tabelle2[[#This Row],[Kunden Nr.]],KUNDEN!A:B,2,0)</f>
        <v>AFRIMI-AG</v>
      </c>
      <c r="H2217" s="75">
        <v>35113</v>
      </c>
      <c r="I2217" s="76" t="str">
        <f>VLOOKUP(Tabelle2[[#This Row],[Artikel]],Produkte!A:B,2,0)</f>
        <v>M-ONE Sanitar Silikon</v>
      </c>
      <c r="J2217" s="75">
        <v>12</v>
      </c>
      <c r="K2217" s="76" t="str">
        <f>VLOOKUP(Tabelle2[[#This Row],[Kunden Nr.]],KUNDEN!A:G,7)</f>
        <v>Mensuri</v>
      </c>
      <c r="L2217" s="76">
        <f>VLOOKUP(Tabelle2[[#This Row],[Artikel]],Produkte!A:H,8)</f>
        <v>0.17</v>
      </c>
    </row>
    <row r="2218" spans="1:12" x14ac:dyDescent="0.2">
      <c r="A2218" s="75" t="s">
        <v>418</v>
      </c>
      <c r="B2218" s="79">
        <v>46119</v>
      </c>
      <c r="C2218" s="75"/>
      <c r="D2218" s="75"/>
      <c r="E2218" s="75"/>
      <c r="F2218" s="75">
        <v>20203</v>
      </c>
      <c r="G2218" s="76" t="str">
        <f>VLOOKUP(Tabelle2[[#This Row],[Kunden Nr.]],KUNDEN!A:B,2,0)</f>
        <v>AFRIMI-AG</v>
      </c>
      <c r="H2218" s="75">
        <v>35115</v>
      </c>
      <c r="I2218" s="76" t="str">
        <f>VLOOKUP(Tabelle2[[#This Row],[Artikel]],Produkte!A:B,2,0)</f>
        <v>M-ONE Sanitar Silikon</v>
      </c>
      <c r="J2218" s="75">
        <v>12</v>
      </c>
      <c r="K2218" s="76" t="str">
        <f>VLOOKUP(Tabelle2[[#This Row],[Kunden Nr.]],KUNDEN!A:G,7)</f>
        <v>Mensuri</v>
      </c>
      <c r="L2218" s="76">
        <f>VLOOKUP(Tabelle2[[#This Row],[Artikel]],Produkte!A:H,8)</f>
        <v>0.17</v>
      </c>
    </row>
    <row r="2219" spans="1:12" x14ac:dyDescent="0.2">
      <c r="A2219" s="75" t="s">
        <v>418</v>
      </c>
      <c r="B2219" s="79">
        <v>46119</v>
      </c>
      <c r="C2219" s="75"/>
      <c r="D2219" s="75"/>
      <c r="E2219" s="75"/>
      <c r="F2219" s="75">
        <v>20203</v>
      </c>
      <c r="G2219" s="76" t="str">
        <f>VLOOKUP(Tabelle2[[#This Row],[Kunden Nr.]],KUNDEN!A:B,2,0)</f>
        <v>AFRIMI-AG</v>
      </c>
      <c r="H2219" s="75">
        <v>66701</v>
      </c>
      <c r="I2219" s="76" t="str">
        <f>VLOOKUP(Tabelle2[[#This Row],[Artikel]],Produkte!A:B,2,0)</f>
        <v>PROFIMONT EXTREME</v>
      </c>
      <c r="J2219" s="75">
        <v>12</v>
      </c>
      <c r="K2219" s="76" t="str">
        <f>VLOOKUP(Tabelle2[[#This Row],[Kunden Nr.]],KUNDEN!A:G,7)</f>
        <v>Mensuri</v>
      </c>
      <c r="L2219" s="76">
        <f>VLOOKUP(Tabelle2[[#This Row],[Artikel]],Produkte!A:H,8)</f>
        <v>0.2</v>
      </c>
    </row>
    <row r="2220" spans="1:12" x14ac:dyDescent="0.2">
      <c r="A2220" s="75" t="s">
        <v>963</v>
      </c>
      <c r="B2220" s="79">
        <v>46119</v>
      </c>
      <c r="C2220" s="89">
        <v>327.60000000000002</v>
      </c>
      <c r="D2220" s="75"/>
      <c r="E2220" s="75"/>
      <c r="F2220" s="75">
        <v>20201</v>
      </c>
      <c r="G2220" s="76" t="str">
        <f>VLOOKUP(Tabelle2[[#This Row],[Kunden Nr.]],KUNDEN!A:B,2,0)</f>
        <v>TE BESIMI</v>
      </c>
      <c r="H2220" s="75">
        <v>35109</v>
      </c>
      <c r="I2220" s="76" t="str">
        <f>VLOOKUP(Tabelle2[[#This Row],[Artikel]],Produkte!A:B,2,0)</f>
        <v>M-ONE Sanitar Silikon</v>
      </c>
      <c r="J2220" s="75">
        <v>48</v>
      </c>
      <c r="K2220" s="76" t="str">
        <f>VLOOKUP(Tabelle2[[#This Row],[Kunden Nr.]],KUNDEN!A:G,7)</f>
        <v>Mensuri</v>
      </c>
      <c r="L2220" s="76">
        <f>VLOOKUP(Tabelle2[[#This Row],[Artikel]],Produkte!A:H,8)</f>
        <v>0.17</v>
      </c>
    </row>
    <row r="2221" spans="1:12" x14ac:dyDescent="0.2">
      <c r="A2221" s="75" t="s">
        <v>963</v>
      </c>
      <c r="B2221" s="79">
        <v>46119</v>
      </c>
      <c r="C2221" s="75"/>
      <c r="D2221" s="75"/>
      <c r="E2221" s="75"/>
      <c r="F2221" s="75">
        <v>20201</v>
      </c>
      <c r="G2221" s="76" t="str">
        <f>VLOOKUP(Tabelle2[[#This Row],[Kunden Nr.]],KUNDEN!A:B,2,0)</f>
        <v>TE BESIMI</v>
      </c>
      <c r="H2221" s="75">
        <v>35112</v>
      </c>
      <c r="I2221" s="76" t="str">
        <f>VLOOKUP(Tabelle2[[#This Row],[Artikel]],Produkte!A:B,2,0)</f>
        <v>M-ONE Sanitar Silikon</v>
      </c>
      <c r="J2221" s="75">
        <v>12</v>
      </c>
      <c r="K2221" s="76" t="str">
        <f>VLOOKUP(Tabelle2[[#This Row],[Kunden Nr.]],KUNDEN!A:G,7)</f>
        <v>Mensuri</v>
      </c>
      <c r="L2221" s="76">
        <f>VLOOKUP(Tabelle2[[#This Row],[Artikel]],Produkte!A:H,8)</f>
        <v>0.17</v>
      </c>
    </row>
    <row r="2222" spans="1:12" x14ac:dyDescent="0.2">
      <c r="A2222" s="75" t="s">
        <v>963</v>
      </c>
      <c r="B2222" s="79">
        <v>46119</v>
      </c>
      <c r="C2222" s="75"/>
      <c r="D2222" s="75"/>
      <c r="E2222" s="75"/>
      <c r="F2222" s="75">
        <v>20201</v>
      </c>
      <c r="G2222" s="76" t="str">
        <f>VLOOKUP(Tabelle2[[#This Row],[Kunden Nr.]],KUNDEN!A:B,2,0)</f>
        <v>TE BESIMI</v>
      </c>
      <c r="H2222" s="75">
        <v>51611</v>
      </c>
      <c r="I2222" s="76" t="str">
        <f>VLOOKUP(Tabelle2[[#This Row],[Artikel]],Produkte!A:B,2,0)</f>
        <v>universal akryl</v>
      </c>
      <c r="J2222" s="75">
        <v>36</v>
      </c>
      <c r="K2222" s="76" t="str">
        <f>VLOOKUP(Tabelle2[[#This Row],[Kunden Nr.]],KUNDEN!A:G,7)</f>
        <v>Mensuri</v>
      </c>
      <c r="L2222" s="76">
        <f>VLOOKUP(Tabelle2[[#This Row],[Artikel]],Produkte!A:H,8)</f>
        <v>0.06</v>
      </c>
    </row>
    <row r="2223" spans="1:12" x14ac:dyDescent="0.2">
      <c r="A2223" s="75" t="s">
        <v>963</v>
      </c>
      <c r="B2223" s="79">
        <v>46119</v>
      </c>
      <c r="C2223" s="75"/>
      <c r="D2223" s="75"/>
      <c r="E2223" s="75"/>
      <c r="F2223" s="75">
        <v>20201</v>
      </c>
      <c r="G2223" s="76" t="str">
        <f>VLOOKUP(Tabelle2[[#This Row],[Kunden Nr.]],KUNDEN!A:B,2,0)</f>
        <v>TE BESIMI</v>
      </c>
      <c r="H2223" s="75">
        <v>29802</v>
      </c>
      <c r="I2223" s="76" t="str">
        <f>VLOOKUP(Tabelle2[[#This Row],[Artikel]],Produkte!A:B,2,0)</f>
        <v>beMaker Handwaschpaste</v>
      </c>
      <c r="J2223" s="75">
        <v>8</v>
      </c>
      <c r="K2223" s="76" t="str">
        <f>VLOOKUP(Tabelle2[[#This Row],[Kunden Nr.]],KUNDEN!A:G,7)</f>
        <v>Mensuri</v>
      </c>
      <c r="L2223" s="76">
        <f>VLOOKUP(Tabelle2[[#This Row],[Artikel]],Produkte!A:H,8)</f>
        <v>0.1</v>
      </c>
    </row>
    <row r="2224" spans="1:12" x14ac:dyDescent="0.2">
      <c r="A2224" s="75" t="s">
        <v>963</v>
      </c>
      <c r="B2224" s="79">
        <v>46119</v>
      </c>
      <c r="C2224" s="75"/>
      <c r="D2224" s="75"/>
      <c r="E2224" s="75"/>
      <c r="F2224" s="75">
        <v>20201</v>
      </c>
      <c r="G2224" s="76" t="str">
        <f>VLOOKUP(Tabelle2[[#This Row],[Kunden Nr.]],KUNDEN!A:B,2,0)</f>
        <v>TE BESIMI</v>
      </c>
      <c r="H2224" s="75">
        <v>56117</v>
      </c>
      <c r="I2224" s="76" t="str">
        <f>VLOOKUP(Tabelle2[[#This Row],[Artikel]],Produkte!A:B,2,0)</f>
        <v>M ONE UBS</v>
      </c>
      <c r="J2224" s="75">
        <v>6</v>
      </c>
      <c r="K2224" s="76" t="str">
        <f>VLOOKUP(Tabelle2[[#This Row],[Kunden Nr.]],KUNDEN!A:G,7)</f>
        <v>Mensuri</v>
      </c>
      <c r="L2224" s="76">
        <f>VLOOKUP(Tabelle2[[#This Row],[Artikel]],Produkte!A:H,8)</f>
        <v>0.2</v>
      </c>
    </row>
    <row r="2225" spans="1:12" x14ac:dyDescent="0.2">
      <c r="A2225" s="75" t="s">
        <v>963</v>
      </c>
      <c r="B2225" s="79">
        <v>46119</v>
      </c>
      <c r="C2225" s="75"/>
      <c r="D2225" s="75"/>
      <c r="E2225" s="75"/>
      <c r="F2225" s="75">
        <v>20201</v>
      </c>
      <c r="G2225" s="76" t="str">
        <f>VLOOKUP(Tabelle2[[#This Row],[Kunden Nr.]],KUNDEN!A:B,2,0)</f>
        <v>TE BESIMI</v>
      </c>
      <c r="H2225" s="75">
        <v>49644</v>
      </c>
      <c r="I2225" s="76" t="str">
        <f>VLOOKUP(Tabelle2[[#This Row],[Artikel]],Produkte!A:B,2,0)</f>
        <v>beMAKER Rostlöser</v>
      </c>
      <c r="J2225" s="75">
        <v>6</v>
      </c>
      <c r="K2225" s="76" t="str">
        <f>VLOOKUP(Tabelle2[[#This Row],[Kunden Nr.]],KUNDEN!A:G,7)</f>
        <v>Mensuri</v>
      </c>
      <c r="L2225" s="76">
        <f>VLOOKUP(Tabelle2[[#This Row],[Artikel]],Produkte!A:H,8)</f>
        <v>0.2</v>
      </c>
    </row>
    <row r="2226" spans="1:12" x14ac:dyDescent="0.2">
      <c r="A2226" s="75" t="s">
        <v>963</v>
      </c>
      <c r="B2226" s="79">
        <v>46119</v>
      </c>
      <c r="C2226" s="75"/>
      <c r="D2226" s="75"/>
      <c r="E2226" s="75"/>
      <c r="F2226" s="75">
        <v>20201</v>
      </c>
      <c r="G2226" s="76" t="str">
        <f>VLOOKUP(Tabelle2[[#This Row],[Kunden Nr.]],KUNDEN!A:B,2,0)</f>
        <v>TE BESIMI</v>
      </c>
      <c r="H2226" s="75">
        <v>26736</v>
      </c>
      <c r="I2226" s="76" t="str">
        <f>VLOOKUP(Tabelle2[[#This Row],[Artikel]],Produkte!A:B,2,0)</f>
        <v>M ONE HAFTGRUND</v>
      </c>
      <c r="J2226" s="75">
        <v>6</v>
      </c>
      <c r="K2226" s="76" t="str">
        <f>VLOOKUP(Tabelle2[[#This Row],[Kunden Nr.]],KUNDEN!A:G,7)</f>
        <v>Mensuri</v>
      </c>
      <c r="L2226" s="76">
        <f>VLOOKUP(Tabelle2[[#This Row],[Artikel]],Produkte!A:H,8)</f>
        <v>0.15</v>
      </c>
    </row>
    <row r="2227" spans="1:12" x14ac:dyDescent="0.2">
      <c r="A2227" s="75" t="s">
        <v>1163</v>
      </c>
      <c r="B2227" s="79">
        <v>46119</v>
      </c>
      <c r="C2227" s="89">
        <v>62</v>
      </c>
      <c r="D2227" s="75"/>
      <c r="E2227" s="75"/>
      <c r="F2227" s="75">
        <v>20121</v>
      </c>
      <c r="G2227" s="76" t="str">
        <f>VLOOKUP(Tabelle2[[#This Row],[Kunden Nr.]],KUNDEN!A:B,2,0)</f>
        <v>CAMA BAU</v>
      </c>
      <c r="H2227" s="75">
        <v>30277</v>
      </c>
      <c r="I2227" s="76" t="str">
        <f>VLOOKUP(Tabelle2[[#This Row],[Artikel]],Produkte!A:B,2,0)</f>
        <v>KAMIN CLEANER</v>
      </c>
      <c r="J2227" s="75">
        <v>10</v>
      </c>
      <c r="K2227" s="76" t="str">
        <f>VLOOKUP(Tabelle2[[#This Row],[Kunden Nr.]],KUNDEN!A:G,7)</f>
        <v>Mensuri</v>
      </c>
      <c r="L2227" s="76">
        <f>VLOOKUP(Tabelle2[[#This Row],[Artikel]],Produkte!A:H,8)</f>
        <v>0.5</v>
      </c>
    </row>
    <row r="2228" spans="1:12" x14ac:dyDescent="0.2">
      <c r="A2228" s="75" t="s">
        <v>1163</v>
      </c>
      <c r="B2228" s="79">
        <v>46119</v>
      </c>
      <c r="C2228" s="75"/>
      <c r="D2228" s="75"/>
      <c r="E2228" s="75"/>
      <c r="F2228" s="75">
        <v>20121</v>
      </c>
      <c r="G2228" s="76" t="str">
        <f>VLOOKUP(Tabelle2[[#This Row],[Kunden Nr.]],KUNDEN!A:B,2,0)</f>
        <v>CAMA BAU</v>
      </c>
      <c r="H2228" s="75">
        <v>31880</v>
      </c>
      <c r="I2228" s="76" t="str">
        <f>VLOOKUP(Tabelle2[[#This Row],[Artikel]],Produkte!A:B,2,0)</f>
        <v>HAT LACK 800</v>
      </c>
      <c r="J2228" s="75">
        <v>12</v>
      </c>
      <c r="K2228" s="76" t="str">
        <f>VLOOKUP(Tabelle2[[#This Row],[Kunden Nr.]],KUNDEN!A:G,7)</f>
        <v>Mensuri</v>
      </c>
      <c r="L2228" s="76">
        <f>VLOOKUP(Tabelle2[[#This Row],[Artikel]],Produkte!A:H,8)</f>
        <v>0.35</v>
      </c>
    </row>
    <row r="2229" spans="1:12" x14ac:dyDescent="0.2">
      <c r="A2229" s="75" t="s">
        <v>1304</v>
      </c>
      <c r="B2229" s="79">
        <v>46120</v>
      </c>
      <c r="C2229" s="89">
        <v>184.8</v>
      </c>
      <c r="D2229" s="75"/>
      <c r="E2229" s="75"/>
      <c r="F2229" s="75">
        <v>10366</v>
      </c>
      <c r="G2229" s="76" t="str">
        <f>VLOOKUP(Tabelle2[[#This Row],[Kunden Nr.]],KUNDEN!A:B,2,0)</f>
        <v>MIRSADI</v>
      </c>
      <c r="H2229" s="75">
        <v>35109</v>
      </c>
      <c r="I2229" s="76" t="str">
        <f>VLOOKUP(Tabelle2[[#This Row],[Artikel]],Produkte!A:B,2,0)</f>
        <v>M-ONE Sanitar Silikon</v>
      </c>
      <c r="J2229" s="75">
        <v>12</v>
      </c>
      <c r="K2229" s="76" t="str">
        <f>VLOOKUP(Tabelle2[[#This Row],[Kunden Nr.]],KUNDEN!A:G,7)</f>
        <v>Qerimi</v>
      </c>
      <c r="L2229" s="76">
        <f>VLOOKUP(Tabelle2[[#This Row],[Artikel]],Produkte!A:H,8)</f>
        <v>0.17</v>
      </c>
    </row>
    <row r="2230" spans="1:12" x14ac:dyDescent="0.2">
      <c r="A2230" s="75" t="s">
        <v>1304</v>
      </c>
      <c r="B2230" s="79">
        <v>46120</v>
      </c>
      <c r="C2230" s="75"/>
      <c r="D2230" s="75"/>
      <c r="E2230" s="75"/>
      <c r="F2230" s="75">
        <v>10366</v>
      </c>
      <c r="G2230" s="76" t="str">
        <f>VLOOKUP(Tabelle2[[#This Row],[Kunden Nr.]],KUNDEN!A:B,2,0)</f>
        <v>MIRSADI</v>
      </c>
      <c r="H2230" s="75">
        <v>35121</v>
      </c>
      <c r="I2230" s="76" t="str">
        <f>VLOOKUP(Tabelle2[[#This Row],[Artikel]],Produkte!A:B,2,0)</f>
        <v>M-ONE Sanitar Silikon</v>
      </c>
      <c r="J2230" s="75">
        <v>12</v>
      </c>
      <c r="K2230" s="76" t="str">
        <f>VLOOKUP(Tabelle2[[#This Row],[Kunden Nr.]],KUNDEN!A:G,7)</f>
        <v>Qerimi</v>
      </c>
      <c r="L2230" s="76">
        <f>VLOOKUP(Tabelle2[[#This Row],[Artikel]],Produkte!A:H,8)</f>
        <v>0.17</v>
      </c>
    </row>
    <row r="2231" spans="1:12" x14ac:dyDescent="0.2">
      <c r="A2231" s="75" t="s">
        <v>1304</v>
      </c>
      <c r="B2231" s="79">
        <v>46120</v>
      </c>
      <c r="C2231" s="75"/>
      <c r="D2231" s="75"/>
      <c r="E2231" s="75"/>
      <c r="F2231" s="75">
        <v>10366</v>
      </c>
      <c r="G2231" s="76" t="str">
        <f>VLOOKUP(Tabelle2[[#This Row],[Kunden Nr.]],KUNDEN!A:B,2,0)</f>
        <v>MIRSADI</v>
      </c>
      <c r="H2231" s="75">
        <v>35112</v>
      </c>
      <c r="I2231" s="76" t="str">
        <f>VLOOKUP(Tabelle2[[#This Row],[Artikel]],Produkte!A:B,2,0)</f>
        <v>M-ONE Sanitar Silikon</v>
      </c>
      <c r="J2231" s="75">
        <v>12</v>
      </c>
      <c r="K2231" s="76" t="str">
        <f>VLOOKUP(Tabelle2[[#This Row],[Kunden Nr.]],KUNDEN!A:G,7)</f>
        <v>Qerimi</v>
      </c>
      <c r="L2231" s="76">
        <f>VLOOKUP(Tabelle2[[#This Row],[Artikel]],Produkte!A:H,8)</f>
        <v>0.17</v>
      </c>
    </row>
    <row r="2232" spans="1:12" x14ac:dyDescent="0.2">
      <c r="A2232" s="75" t="s">
        <v>1304</v>
      </c>
      <c r="B2232" s="79">
        <v>46120</v>
      </c>
      <c r="C2232" s="75"/>
      <c r="D2232" s="75"/>
      <c r="E2232" s="75"/>
      <c r="F2232" s="75">
        <v>10366</v>
      </c>
      <c r="G2232" s="76" t="str">
        <f>VLOOKUP(Tabelle2[[#This Row],[Kunden Nr.]],KUNDEN!A:B,2,0)</f>
        <v>MIRSADI</v>
      </c>
      <c r="H2232" s="75">
        <v>35110</v>
      </c>
      <c r="I2232" s="76" t="str">
        <f>VLOOKUP(Tabelle2[[#This Row],[Artikel]],Produkte!A:B,2,0)</f>
        <v>M-ONE Sanitar Silikon</v>
      </c>
      <c r="J2232" s="75">
        <v>12</v>
      </c>
      <c r="K2232" s="76" t="str">
        <f>VLOOKUP(Tabelle2[[#This Row],[Kunden Nr.]],KUNDEN!A:G,7)</f>
        <v>Qerimi</v>
      </c>
      <c r="L2232" s="76">
        <f>VLOOKUP(Tabelle2[[#This Row],[Artikel]],Produkte!A:H,8)</f>
        <v>0.17</v>
      </c>
    </row>
    <row r="2233" spans="1:12" x14ac:dyDescent="0.2">
      <c r="A2233" s="75" t="s">
        <v>8</v>
      </c>
      <c r="B2233" s="79">
        <v>46120</v>
      </c>
      <c r="C2233" s="89">
        <v>273.60000000000002</v>
      </c>
      <c r="D2233" s="75"/>
      <c r="E2233" s="75"/>
      <c r="F2233" s="75">
        <v>10304</v>
      </c>
      <c r="G2233" s="76" t="str">
        <f>VLOOKUP(Tabelle2[[#This Row],[Kunden Nr.]],KUNDEN!A:B,2,0)</f>
        <v>EUROSAN</v>
      </c>
      <c r="H2233" s="75">
        <v>35108</v>
      </c>
      <c r="I2233" s="76" t="str">
        <f>VLOOKUP(Tabelle2[[#This Row],[Artikel]],Produkte!A:B,2,0)</f>
        <v>M-ONE Sanitar Silikon</v>
      </c>
      <c r="J2233" s="75">
        <v>12</v>
      </c>
      <c r="K2233" s="76" t="str">
        <f>VLOOKUP(Tabelle2[[#This Row],[Kunden Nr.]],KUNDEN!A:G,7)</f>
        <v>Qerimi</v>
      </c>
      <c r="L2233" s="76">
        <f>VLOOKUP(Tabelle2[[#This Row],[Artikel]],Produkte!A:H,8)</f>
        <v>0.17</v>
      </c>
    </row>
    <row r="2234" spans="1:12" x14ac:dyDescent="0.2">
      <c r="A2234" s="75" t="s">
        <v>8</v>
      </c>
      <c r="B2234" s="79">
        <v>46120</v>
      </c>
      <c r="C2234" s="75"/>
      <c r="D2234" s="75"/>
      <c r="E2234" s="75"/>
      <c r="F2234" s="75">
        <v>10304</v>
      </c>
      <c r="G2234" s="76" t="str">
        <f>VLOOKUP(Tabelle2[[#This Row],[Kunden Nr.]],KUNDEN!A:B,2,0)</f>
        <v>EUROSAN</v>
      </c>
      <c r="H2234" s="75">
        <v>35110</v>
      </c>
      <c r="I2234" s="76" t="str">
        <f>VLOOKUP(Tabelle2[[#This Row],[Artikel]],Produkte!A:B,2,0)</f>
        <v>M-ONE Sanitar Silikon</v>
      </c>
      <c r="J2234" s="75">
        <v>12</v>
      </c>
      <c r="K2234" s="76" t="str">
        <f>VLOOKUP(Tabelle2[[#This Row],[Kunden Nr.]],KUNDEN!A:G,7)</f>
        <v>Qerimi</v>
      </c>
      <c r="L2234" s="76">
        <f>VLOOKUP(Tabelle2[[#This Row],[Artikel]],Produkte!A:H,8)</f>
        <v>0.17</v>
      </c>
    </row>
    <row r="2235" spans="1:12" x14ac:dyDescent="0.2">
      <c r="A2235" s="75" t="s">
        <v>8</v>
      </c>
      <c r="B2235" s="79">
        <v>46120</v>
      </c>
      <c r="C2235" s="75"/>
      <c r="D2235" s="75"/>
      <c r="E2235" s="75"/>
      <c r="F2235" s="75">
        <v>10304</v>
      </c>
      <c r="G2235" s="76" t="str">
        <f>VLOOKUP(Tabelle2[[#This Row],[Kunden Nr.]],KUNDEN!A:B,2,0)</f>
        <v>EUROSAN</v>
      </c>
      <c r="H2235" s="75">
        <v>35111</v>
      </c>
      <c r="I2235" s="76" t="str">
        <f>VLOOKUP(Tabelle2[[#This Row],[Artikel]],Produkte!A:B,2,0)</f>
        <v>M-ONE Sanitar Silikon</v>
      </c>
      <c r="J2235" s="75">
        <v>12</v>
      </c>
      <c r="K2235" s="76" t="str">
        <f>VLOOKUP(Tabelle2[[#This Row],[Kunden Nr.]],KUNDEN!A:G,7)</f>
        <v>Qerimi</v>
      </c>
      <c r="L2235" s="76">
        <f>VLOOKUP(Tabelle2[[#This Row],[Artikel]],Produkte!A:H,8)</f>
        <v>0.17</v>
      </c>
    </row>
    <row r="2236" spans="1:12" x14ac:dyDescent="0.2">
      <c r="A2236" s="75" t="s">
        <v>8</v>
      </c>
      <c r="B2236" s="79">
        <v>46120</v>
      </c>
      <c r="C2236" s="75"/>
      <c r="D2236" s="75"/>
      <c r="E2236" s="75"/>
      <c r="F2236" s="75">
        <v>10304</v>
      </c>
      <c r="G2236" s="76" t="str">
        <f>VLOOKUP(Tabelle2[[#This Row],[Kunden Nr.]],KUNDEN!A:B,2,0)</f>
        <v>EUROSAN</v>
      </c>
      <c r="H2236" s="75">
        <v>35115</v>
      </c>
      <c r="I2236" s="76" t="str">
        <f>VLOOKUP(Tabelle2[[#This Row],[Artikel]],Produkte!A:B,2,0)</f>
        <v>M-ONE Sanitar Silikon</v>
      </c>
      <c r="J2236" s="75">
        <v>12</v>
      </c>
      <c r="K2236" s="76" t="str">
        <f>VLOOKUP(Tabelle2[[#This Row],[Kunden Nr.]],KUNDEN!A:G,7)</f>
        <v>Qerimi</v>
      </c>
      <c r="L2236" s="76">
        <f>VLOOKUP(Tabelle2[[#This Row],[Artikel]],Produkte!A:H,8)</f>
        <v>0.17</v>
      </c>
    </row>
    <row r="2237" spans="1:12" x14ac:dyDescent="0.2">
      <c r="A2237" s="75" t="s">
        <v>8</v>
      </c>
      <c r="B2237" s="79">
        <v>46120</v>
      </c>
      <c r="C2237" s="75"/>
      <c r="D2237" s="75"/>
      <c r="E2237" s="75"/>
      <c r="F2237" s="75">
        <v>10304</v>
      </c>
      <c r="G2237" s="76" t="str">
        <f>VLOOKUP(Tabelle2[[#This Row],[Kunden Nr.]],KUNDEN!A:B,2,0)</f>
        <v>EUROSAN</v>
      </c>
      <c r="H2237" s="75">
        <v>35121</v>
      </c>
      <c r="I2237" s="76" t="str">
        <f>VLOOKUP(Tabelle2[[#This Row],[Artikel]],Produkte!A:B,2,0)</f>
        <v>M-ONE Sanitar Silikon</v>
      </c>
      <c r="J2237" s="75">
        <v>12</v>
      </c>
      <c r="K2237" s="76" t="str">
        <f>VLOOKUP(Tabelle2[[#This Row],[Kunden Nr.]],KUNDEN!A:G,7)</f>
        <v>Qerimi</v>
      </c>
      <c r="L2237" s="76">
        <f>VLOOKUP(Tabelle2[[#This Row],[Artikel]],Produkte!A:H,8)</f>
        <v>0.17</v>
      </c>
    </row>
    <row r="2238" spans="1:12" x14ac:dyDescent="0.2">
      <c r="A2238" s="75" t="s">
        <v>8</v>
      </c>
      <c r="B2238" s="79">
        <v>46120</v>
      </c>
      <c r="C2238" s="75"/>
      <c r="D2238" s="75"/>
      <c r="E2238" s="75"/>
      <c r="F2238" s="75">
        <v>10304</v>
      </c>
      <c r="G2238" s="76" t="str">
        <f>VLOOKUP(Tabelle2[[#This Row],[Kunden Nr.]],KUNDEN!A:B,2,0)</f>
        <v>EUROSAN</v>
      </c>
      <c r="H2238" s="75">
        <v>51611</v>
      </c>
      <c r="I2238" s="76" t="str">
        <f>VLOOKUP(Tabelle2[[#This Row],[Artikel]],Produkte!A:B,2,0)</f>
        <v>universal akryl</v>
      </c>
      <c r="J2238" s="75">
        <v>12</v>
      </c>
      <c r="K2238" s="76" t="str">
        <f>VLOOKUP(Tabelle2[[#This Row],[Kunden Nr.]],KUNDEN!A:G,7)</f>
        <v>Qerimi</v>
      </c>
      <c r="L2238" s="76">
        <f>VLOOKUP(Tabelle2[[#This Row],[Artikel]],Produkte!A:H,8)</f>
        <v>0.06</v>
      </c>
    </row>
    <row r="2239" spans="1:12" x14ac:dyDescent="0.2">
      <c r="A2239" s="75" t="s">
        <v>8</v>
      </c>
      <c r="B2239" s="79">
        <v>46120</v>
      </c>
      <c r="C2239" s="75"/>
      <c r="D2239" s="75"/>
      <c r="E2239" s="75"/>
      <c r="F2239" s="75">
        <v>10304</v>
      </c>
      <c r="G2239" s="76" t="str">
        <f>VLOOKUP(Tabelle2[[#This Row],[Kunden Nr.]],KUNDEN!A:B,2,0)</f>
        <v>EUROSAN</v>
      </c>
      <c r="H2239" s="75">
        <v>51612</v>
      </c>
      <c r="I2239" s="76" t="str">
        <f>VLOOKUP(Tabelle2[[#This Row],[Artikel]],Produkte!A:B,2,0)</f>
        <v>struktural akryl</v>
      </c>
      <c r="J2239" s="75">
        <v>12</v>
      </c>
      <c r="K2239" s="76" t="str">
        <f>VLOOKUP(Tabelle2[[#This Row],[Kunden Nr.]],KUNDEN!A:G,7)</f>
        <v>Qerimi</v>
      </c>
      <c r="L2239" s="76">
        <f>VLOOKUP(Tabelle2[[#This Row],[Artikel]],Produkte!A:H,8)</f>
        <v>0.06</v>
      </c>
    </row>
    <row r="2240" spans="1:12" x14ac:dyDescent="0.2">
      <c r="A2240" s="75" t="s">
        <v>41</v>
      </c>
      <c r="B2240" s="79">
        <v>46120</v>
      </c>
      <c r="C2240" s="89">
        <v>92.4</v>
      </c>
      <c r="D2240" s="75"/>
      <c r="E2240" s="75"/>
      <c r="F2240" s="75">
        <v>10330</v>
      </c>
      <c r="G2240" s="76" t="str">
        <f>VLOOKUP(Tabelle2[[#This Row],[Kunden Nr.]],KUNDEN!A:B,2,0)</f>
        <v>BURIMI</v>
      </c>
      <c r="H2240" s="75">
        <v>35110</v>
      </c>
      <c r="I2240" s="76" t="str">
        <f>VLOOKUP(Tabelle2[[#This Row],[Artikel]],Produkte!A:B,2,0)</f>
        <v>M-ONE Sanitar Silikon</v>
      </c>
      <c r="J2240" s="75">
        <v>12</v>
      </c>
      <c r="K2240" s="76" t="str">
        <f>VLOOKUP(Tabelle2[[#This Row],[Kunden Nr.]],KUNDEN!A:G,7)</f>
        <v>Qerimi</v>
      </c>
      <c r="L2240" s="76">
        <f>VLOOKUP(Tabelle2[[#This Row],[Artikel]],Produkte!A:H,8)</f>
        <v>0.17</v>
      </c>
    </row>
    <row r="2241" spans="1:12" x14ac:dyDescent="0.2">
      <c r="A2241" s="75" t="s">
        <v>41</v>
      </c>
      <c r="B2241" s="79">
        <v>46120</v>
      </c>
      <c r="C2241" s="75"/>
      <c r="D2241" s="75"/>
      <c r="E2241" s="75"/>
      <c r="F2241" s="75">
        <v>10330</v>
      </c>
      <c r="G2241" s="76" t="str">
        <f>VLOOKUP(Tabelle2[[#This Row],[Kunden Nr.]],KUNDEN!A:B,2,0)</f>
        <v>BURIMI</v>
      </c>
      <c r="H2241" s="75">
        <v>35115</v>
      </c>
      <c r="I2241" s="76" t="str">
        <f>VLOOKUP(Tabelle2[[#This Row],[Artikel]],Produkte!A:B,2,0)</f>
        <v>M-ONE Sanitar Silikon</v>
      </c>
      <c r="J2241" s="75">
        <v>12</v>
      </c>
      <c r="K2241" s="76" t="str">
        <f>VLOOKUP(Tabelle2[[#This Row],[Kunden Nr.]],KUNDEN!A:G,7)</f>
        <v>Qerimi</v>
      </c>
      <c r="L2241" s="76">
        <f>VLOOKUP(Tabelle2[[#This Row],[Artikel]],Produkte!A:H,8)</f>
        <v>0.17</v>
      </c>
    </row>
    <row r="2242" spans="1:12" x14ac:dyDescent="0.2">
      <c r="A2242" s="75" t="s">
        <v>413</v>
      </c>
      <c r="B2242" s="79">
        <v>46120</v>
      </c>
      <c r="C2242" s="89">
        <v>138.6</v>
      </c>
      <c r="D2242" s="75"/>
      <c r="E2242" s="75"/>
      <c r="F2242" s="75">
        <v>10350</v>
      </c>
      <c r="G2242" s="76" t="str">
        <f>VLOOKUP(Tabelle2[[#This Row],[Kunden Nr.]],KUNDEN!A:B,2,0)</f>
        <v>BALLKANI</v>
      </c>
      <c r="H2242" s="75">
        <v>35113</v>
      </c>
      <c r="I2242" s="76" t="str">
        <f>VLOOKUP(Tabelle2[[#This Row],[Artikel]],Produkte!A:B,2,0)</f>
        <v>M-ONE Sanitar Silikon</v>
      </c>
      <c r="J2242" s="75">
        <v>12</v>
      </c>
      <c r="K2242" s="76" t="str">
        <f>VLOOKUP(Tabelle2[[#This Row],[Kunden Nr.]],KUNDEN!A:G,7)</f>
        <v>Qerimi</v>
      </c>
      <c r="L2242" s="76">
        <f>VLOOKUP(Tabelle2[[#This Row],[Artikel]],Produkte!A:H,8)</f>
        <v>0.17</v>
      </c>
    </row>
    <row r="2243" spans="1:12" x14ac:dyDescent="0.2">
      <c r="A2243" s="75" t="s">
        <v>413</v>
      </c>
      <c r="B2243" s="79">
        <v>46120</v>
      </c>
      <c r="C2243" s="75"/>
      <c r="D2243" s="75"/>
      <c r="E2243" s="75"/>
      <c r="F2243" s="75">
        <v>10350</v>
      </c>
      <c r="G2243" s="76" t="str">
        <f>VLOOKUP(Tabelle2[[#This Row],[Kunden Nr.]],KUNDEN!A:B,2,0)</f>
        <v>BALLKANI</v>
      </c>
      <c r="H2243" s="75">
        <v>35121</v>
      </c>
      <c r="I2243" s="76" t="str">
        <f>VLOOKUP(Tabelle2[[#This Row],[Artikel]],Produkte!A:B,2,0)</f>
        <v>M-ONE Sanitar Silikon</v>
      </c>
      <c r="J2243" s="75">
        <v>12</v>
      </c>
      <c r="K2243" s="76" t="str">
        <f>VLOOKUP(Tabelle2[[#This Row],[Kunden Nr.]],KUNDEN!A:G,7)</f>
        <v>Qerimi</v>
      </c>
      <c r="L2243" s="76">
        <f>VLOOKUP(Tabelle2[[#This Row],[Artikel]],Produkte!A:H,8)</f>
        <v>0.17</v>
      </c>
    </row>
    <row r="2244" spans="1:12" x14ac:dyDescent="0.2">
      <c r="A2244" s="75" t="s">
        <v>413</v>
      </c>
      <c r="B2244" s="79">
        <v>46120</v>
      </c>
      <c r="C2244" s="75"/>
      <c r="D2244" s="75"/>
      <c r="E2244" s="75"/>
      <c r="F2244" s="75">
        <v>10350</v>
      </c>
      <c r="G2244" s="76" t="str">
        <f>VLOOKUP(Tabelle2[[#This Row],[Kunden Nr.]],KUNDEN!A:B,2,0)</f>
        <v>BALLKANI</v>
      </c>
      <c r="H2244" s="75">
        <v>35128</v>
      </c>
      <c r="I2244" s="76" t="str">
        <f>VLOOKUP(Tabelle2[[#This Row],[Artikel]],Produkte!A:B,2,0)</f>
        <v>M-ONE Sanitar Silikon</v>
      </c>
      <c r="J2244" s="75">
        <v>12</v>
      </c>
      <c r="K2244" s="76" t="str">
        <f>VLOOKUP(Tabelle2[[#This Row],[Kunden Nr.]],KUNDEN!A:G,7)</f>
        <v>Qerimi</v>
      </c>
      <c r="L2244" s="76">
        <f>VLOOKUP(Tabelle2[[#This Row],[Artikel]],Produkte!A:H,8)</f>
        <v>0.17</v>
      </c>
    </row>
    <row r="2245" spans="1:12" x14ac:dyDescent="0.2">
      <c r="A2245" s="75" t="s">
        <v>415</v>
      </c>
      <c r="B2245" s="79">
        <v>46120</v>
      </c>
      <c r="C2245" s="89">
        <v>231</v>
      </c>
      <c r="D2245" s="75"/>
      <c r="E2245" s="75"/>
      <c r="F2245" s="75">
        <v>10352</v>
      </c>
      <c r="G2245" s="76" t="str">
        <f>VLOOKUP(Tabelle2[[#This Row],[Kunden Nr.]],KUNDEN!A:B,2,0)</f>
        <v>SMIRA</v>
      </c>
      <c r="H2245" s="75">
        <v>35121</v>
      </c>
      <c r="I2245" s="76" t="str">
        <f>VLOOKUP(Tabelle2[[#This Row],[Artikel]],Produkte!A:B,2,0)</f>
        <v>M-ONE Sanitar Silikon</v>
      </c>
      <c r="J2245" s="75">
        <v>24</v>
      </c>
      <c r="K2245" s="76" t="str">
        <f>VLOOKUP(Tabelle2[[#This Row],[Kunden Nr.]],KUNDEN!A:G,7)</f>
        <v>Qerimi</v>
      </c>
      <c r="L2245" s="76">
        <f>VLOOKUP(Tabelle2[[#This Row],[Artikel]],Produkte!A:H,8)</f>
        <v>0.17</v>
      </c>
    </row>
    <row r="2246" spans="1:12" x14ac:dyDescent="0.2">
      <c r="A2246" s="75" t="s">
        <v>415</v>
      </c>
      <c r="B2246" s="79">
        <v>46120</v>
      </c>
      <c r="C2246" s="75"/>
      <c r="D2246" s="75"/>
      <c r="E2246" s="75"/>
      <c r="F2246" s="75">
        <v>10352</v>
      </c>
      <c r="G2246" s="76" t="str">
        <f>VLOOKUP(Tabelle2[[#This Row],[Kunden Nr.]],KUNDEN!A:B,2,0)</f>
        <v>SMIRA</v>
      </c>
      <c r="H2246" s="75">
        <v>35114</v>
      </c>
      <c r="I2246" s="76" t="str">
        <f>VLOOKUP(Tabelle2[[#This Row],[Artikel]],Produkte!A:B,2,0)</f>
        <v>M-ONE Sanitar Silikon</v>
      </c>
      <c r="J2246" s="75">
        <v>12</v>
      </c>
      <c r="K2246" s="76" t="str">
        <f>VLOOKUP(Tabelle2[[#This Row],[Kunden Nr.]],KUNDEN!A:G,7)</f>
        <v>Qerimi</v>
      </c>
      <c r="L2246" s="76">
        <f>VLOOKUP(Tabelle2[[#This Row],[Artikel]],Produkte!A:H,8)</f>
        <v>0.17</v>
      </c>
    </row>
    <row r="2247" spans="1:12" x14ac:dyDescent="0.2">
      <c r="A2247" s="75" t="s">
        <v>415</v>
      </c>
      <c r="B2247" s="79">
        <v>46120</v>
      </c>
      <c r="C2247" s="75"/>
      <c r="D2247" s="75"/>
      <c r="E2247" s="75"/>
      <c r="F2247" s="75">
        <v>10352</v>
      </c>
      <c r="G2247" s="76" t="str">
        <f>VLOOKUP(Tabelle2[[#This Row],[Kunden Nr.]],KUNDEN!A:B,2,0)</f>
        <v>SMIRA</v>
      </c>
      <c r="H2247" s="75">
        <v>35115</v>
      </c>
      <c r="I2247" s="76" t="str">
        <f>VLOOKUP(Tabelle2[[#This Row],[Artikel]],Produkte!A:B,2,0)</f>
        <v>M-ONE Sanitar Silikon</v>
      </c>
      <c r="J2247" s="75">
        <v>12</v>
      </c>
      <c r="K2247" s="76" t="str">
        <f>VLOOKUP(Tabelle2[[#This Row],[Kunden Nr.]],KUNDEN!A:G,7)</f>
        <v>Qerimi</v>
      </c>
      <c r="L2247" s="76">
        <f>VLOOKUP(Tabelle2[[#This Row],[Artikel]],Produkte!A:H,8)</f>
        <v>0.17</v>
      </c>
    </row>
    <row r="2248" spans="1:12" x14ac:dyDescent="0.2">
      <c r="A2248" s="75" t="s">
        <v>415</v>
      </c>
      <c r="B2248" s="79">
        <v>46120</v>
      </c>
      <c r="C2248" s="75"/>
      <c r="D2248" s="75"/>
      <c r="E2248" s="75"/>
      <c r="F2248" s="75">
        <v>10352</v>
      </c>
      <c r="G2248" s="76" t="str">
        <f>VLOOKUP(Tabelle2[[#This Row],[Kunden Nr.]],KUNDEN!A:B,2,0)</f>
        <v>SMIRA</v>
      </c>
      <c r="H2248" s="75">
        <v>35113</v>
      </c>
      <c r="I2248" s="76" t="str">
        <f>VLOOKUP(Tabelle2[[#This Row],[Artikel]],Produkte!A:B,2,0)</f>
        <v>M-ONE Sanitar Silikon</v>
      </c>
      <c r="J2248" s="75">
        <v>12</v>
      </c>
      <c r="K2248" s="76" t="str">
        <f>VLOOKUP(Tabelle2[[#This Row],[Kunden Nr.]],KUNDEN!A:G,7)</f>
        <v>Qerimi</v>
      </c>
      <c r="L2248" s="76">
        <f>VLOOKUP(Tabelle2[[#This Row],[Artikel]],Produkte!A:H,8)</f>
        <v>0.17</v>
      </c>
    </row>
    <row r="2249" spans="1:12" x14ac:dyDescent="0.2">
      <c r="A2249" s="75" t="s">
        <v>36</v>
      </c>
      <c r="B2249" s="79">
        <v>46120</v>
      </c>
      <c r="C2249" s="89">
        <v>86.4</v>
      </c>
      <c r="D2249" s="75"/>
      <c r="E2249" s="75"/>
      <c r="F2249" s="75">
        <v>10327</v>
      </c>
      <c r="G2249" s="76" t="str">
        <f>VLOOKUP(Tabelle2[[#This Row],[Kunden Nr.]],KUNDEN!A:B,2,0)</f>
        <v>ER POWER</v>
      </c>
      <c r="H2249" s="75">
        <v>50912</v>
      </c>
      <c r="I2249" s="76" t="str">
        <f>VLOOKUP(Tabelle2[[#This Row],[Artikel]],Produkte!A:B,2,0)</f>
        <v>DICHTUNG</v>
      </c>
      <c r="J2249" s="75">
        <v>12</v>
      </c>
      <c r="K2249" s="76" t="str">
        <f>VLOOKUP(Tabelle2[[#This Row],[Kunden Nr.]],KUNDEN!A:G,7)</f>
        <v>Qerimi</v>
      </c>
      <c r="L2249" s="76">
        <f>VLOOKUP(Tabelle2[[#This Row],[Artikel]],Produkte!A:H,8)</f>
        <v>0.2</v>
      </c>
    </row>
    <row r="2250" spans="1:12" x14ac:dyDescent="0.2">
      <c r="A2250" s="75" t="s">
        <v>20</v>
      </c>
      <c r="B2250" s="79">
        <v>46120</v>
      </c>
      <c r="C2250" s="89">
        <v>92.4</v>
      </c>
      <c r="D2250" s="75"/>
      <c r="E2250" s="75"/>
      <c r="F2250" s="75">
        <v>10313</v>
      </c>
      <c r="G2250" s="76" t="str">
        <f>VLOOKUP(Tabelle2[[#This Row],[Kunden Nr.]],KUNDEN!A:B,2,0)</f>
        <v>FATMIRI</v>
      </c>
      <c r="H2250" s="75">
        <v>35121</v>
      </c>
      <c r="I2250" s="76" t="str">
        <f>VLOOKUP(Tabelle2[[#This Row],[Artikel]],Produkte!A:B,2,0)</f>
        <v>M-ONE Sanitar Silikon</v>
      </c>
      <c r="J2250" s="75">
        <v>24</v>
      </c>
      <c r="K2250" s="76" t="str">
        <f>VLOOKUP(Tabelle2[[#This Row],[Kunden Nr.]],KUNDEN!A:G,7)</f>
        <v>Qerimi</v>
      </c>
      <c r="L2250" s="76">
        <f>VLOOKUP(Tabelle2[[#This Row],[Artikel]],Produkte!A:H,8)</f>
        <v>0.17</v>
      </c>
    </row>
    <row r="2251" spans="1:12" x14ac:dyDescent="0.2">
      <c r="A2251" s="75" t="s">
        <v>34</v>
      </c>
      <c r="B2251" s="79">
        <v>46120</v>
      </c>
      <c r="C2251" s="89">
        <v>61.2</v>
      </c>
      <c r="D2251" s="75"/>
      <c r="E2251" s="75"/>
      <c r="F2251" s="75">
        <v>10325</v>
      </c>
      <c r="G2251" s="76" t="str">
        <f>VLOOKUP(Tabelle2[[#This Row],[Kunden Nr.]],KUNDEN!A:B,2,0)</f>
        <v>PARKETI</v>
      </c>
      <c r="H2251" s="75">
        <v>35110</v>
      </c>
      <c r="I2251" s="76" t="str">
        <f>VLOOKUP(Tabelle2[[#This Row],[Artikel]],Produkte!A:B,2,0)</f>
        <v>M-ONE Sanitar Silikon</v>
      </c>
      <c r="J2251" s="75">
        <v>12</v>
      </c>
      <c r="K2251" s="76" t="str">
        <f>VLOOKUP(Tabelle2[[#This Row],[Kunden Nr.]],KUNDEN!A:G,7)</f>
        <v>Qerimi</v>
      </c>
      <c r="L2251" s="76">
        <f>VLOOKUP(Tabelle2[[#This Row],[Artikel]],Produkte!A:H,8)</f>
        <v>0.17</v>
      </c>
    </row>
    <row r="2252" spans="1:12" x14ac:dyDescent="0.2">
      <c r="A2252" s="75" t="s">
        <v>34</v>
      </c>
      <c r="B2252" s="79">
        <v>46120</v>
      </c>
      <c r="C2252" s="75"/>
      <c r="D2252" s="75"/>
      <c r="E2252" s="75"/>
      <c r="F2252" s="75">
        <v>10325</v>
      </c>
      <c r="G2252" s="76" t="str">
        <f>VLOOKUP(Tabelle2[[#This Row],[Kunden Nr.]],KUNDEN!A:B,2,0)</f>
        <v>PARKETI</v>
      </c>
      <c r="H2252" s="75">
        <v>51611</v>
      </c>
      <c r="I2252" s="76" t="str">
        <f>VLOOKUP(Tabelle2[[#This Row],[Artikel]],Produkte!A:B,2,0)</f>
        <v>universal akryl</v>
      </c>
      <c r="J2252" s="75">
        <v>12</v>
      </c>
      <c r="K2252" s="76" t="str">
        <f>VLOOKUP(Tabelle2[[#This Row],[Kunden Nr.]],KUNDEN!A:G,7)</f>
        <v>Qerimi</v>
      </c>
      <c r="L2252" s="76">
        <f>VLOOKUP(Tabelle2[[#This Row],[Artikel]],Produkte!A:H,8)</f>
        <v>0.06</v>
      </c>
    </row>
    <row r="2253" spans="1:12" x14ac:dyDescent="0.2">
      <c r="A2253" s="75" t="s">
        <v>12</v>
      </c>
      <c r="B2253" s="79">
        <v>46120</v>
      </c>
      <c r="C2253" s="89">
        <v>92.4</v>
      </c>
      <c r="D2253" s="75"/>
      <c r="E2253" s="75"/>
      <c r="F2253" s="75">
        <v>10308</v>
      </c>
      <c r="G2253" s="76" t="str">
        <f>VLOOKUP(Tabelle2[[#This Row],[Kunden Nr.]],KUNDEN!A:B,2,0)</f>
        <v>ERALP</v>
      </c>
      <c r="H2253" s="75">
        <v>35113</v>
      </c>
      <c r="I2253" s="76" t="str">
        <f>VLOOKUP(Tabelle2[[#This Row],[Artikel]],Produkte!A:B,2,0)</f>
        <v>M-ONE Sanitar Silikon</v>
      </c>
      <c r="J2253" s="75">
        <v>12</v>
      </c>
      <c r="K2253" s="76" t="str">
        <f>VLOOKUP(Tabelle2[[#This Row],[Kunden Nr.]],KUNDEN!A:G,7)</f>
        <v>Qerimi</v>
      </c>
      <c r="L2253" s="76">
        <f>VLOOKUP(Tabelle2[[#This Row],[Artikel]],Produkte!A:H,8)</f>
        <v>0.17</v>
      </c>
    </row>
    <row r="2254" spans="1:12" x14ac:dyDescent="0.2">
      <c r="A2254" s="75" t="s">
        <v>12</v>
      </c>
      <c r="B2254" s="79">
        <v>46120</v>
      </c>
      <c r="C2254" s="75"/>
      <c r="D2254" s="75"/>
      <c r="E2254" s="75"/>
      <c r="F2254" s="75">
        <v>10308</v>
      </c>
      <c r="G2254" s="76" t="str">
        <f>VLOOKUP(Tabelle2[[#This Row],[Kunden Nr.]],KUNDEN!A:B,2,0)</f>
        <v>ERALP</v>
      </c>
      <c r="H2254" s="75">
        <v>35125</v>
      </c>
      <c r="I2254" s="76" t="str">
        <f>VLOOKUP(Tabelle2[[#This Row],[Artikel]],Produkte!A:B,2,0)</f>
        <v>M-ONE Sanitar Silikon</v>
      </c>
      <c r="J2254" s="75">
        <v>12</v>
      </c>
      <c r="K2254" s="76" t="str">
        <f>VLOOKUP(Tabelle2[[#This Row],[Kunden Nr.]],KUNDEN!A:G,7)</f>
        <v>Qerimi</v>
      </c>
      <c r="L2254" s="76">
        <f>VLOOKUP(Tabelle2[[#This Row],[Artikel]],Produkte!A:H,8)</f>
        <v>0.17</v>
      </c>
    </row>
    <row r="2255" spans="1:12" x14ac:dyDescent="0.2">
      <c r="A2255" s="75" t="s">
        <v>7</v>
      </c>
      <c r="B2255" s="79">
        <v>46120</v>
      </c>
      <c r="C2255" s="89">
        <v>56</v>
      </c>
      <c r="D2255" s="75"/>
      <c r="E2255" s="75"/>
      <c r="F2255" s="75">
        <v>10303</v>
      </c>
      <c r="G2255" s="76" t="str">
        <f>VLOOKUP(Tabelle2[[#This Row],[Kunden Nr.]],KUNDEN!A:B,2,0)</f>
        <v>BEKA-1</v>
      </c>
      <c r="H2255" s="75">
        <v>50912</v>
      </c>
      <c r="I2255" s="76" t="str">
        <f>VLOOKUP(Tabelle2[[#This Row],[Artikel]],Produkte!A:B,2,0)</f>
        <v>DICHTUNG</v>
      </c>
      <c r="J2255" s="75">
        <v>5</v>
      </c>
      <c r="K2255" s="76" t="str">
        <f>VLOOKUP(Tabelle2[[#This Row],[Kunden Nr.]],KUNDEN!A:G,7)</f>
        <v>Qerimi</v>
      </c>
      <c r="L2255" s="76">
        <f>VLOOKUP(Tabelle2[[#This Row],[Artikel]],Produkte!A:H,8)</f>
        <v>0.2</v>
      </c>
    </row>
    <row r="2256" spans="1:12" x14ac:dyDescent="0.2">
      <c r="A2256" s="75" t="s">
        <v>7</v>
      </c>
      <c r="B2256" s="79">
        <v>46120</v>
      </c>
      <c r="C2256" s="75"/>
      <c r="D2256" s="75"/>
      <c r="E2256" s="75"/>
      <c r="F2256" s="75">
        <v>10303</v>
      </c>
      <c r="G2256" s="76" t="str">
        <f>VLOOKUP(Tabelle2[[#This Row],[Kunden Nr.]],KUNDEN!A:B,2,0)</f>
        <v>BEKA-1</v>
      </c>
      <c r="H2256" s="75">
        <v>56117</v>
      </c>
      <c r="I2256" s="76" t="str">
        <f>VLOOKUP(Tabelle2[[#This Row],[Artikel]],Produkte!A:B,2,0)</f>
        <v>M ONE UBS</v>
      </c>
      <c r="J2256" s="75">
        <v>5</v>
      </c>
      <c r="K2256" s="76" t="str">
        <f>VLOOKUP(Tabelle2[[#This Row],[Kunden Nr.]],KUNDEN!A:G,7)</f>
        <v>Qerimi</v>
      </c>
      <c r="L2256" s="76">
        <f>VLOOKUP(Tabelle2[[#This Row],[Artikel]],Produkte!A:H,8)</f>
        <v>0.2</v>
      </c>
    </row>
    <row r="2257" spans="1:12" x14ac:dyDescent="0.2">
      <c r="A2257" s="75" t="s">
        <v>1253</v>
      </c>
      <c r="B2257" s="79">
        <v>46120</v>
      </c>
      <c r="C2257" s="89">
        <v>120</v>
      </c>
      <c r="D2257" s="75"/>
      <c r="E2257" s="75"/>
      <c r="F2257" s="75">
        <v>10359</v>
      </c>
      <c r="G2257" s="76" t="e">
        <f>VLOOKUP(Tabelle2[[#This Row],[Kunden Nr.]],KUNDEN!A:B,2,0)</f>
        <v>#N/A</v>
      </c>
      <c r="H2257" s="75">
        <v>35128</v>
      </c>
      <c r="I2257" s="76" t="str">
        <f>VLOOKUP(Tabelle2[[#This Row],[Artikel]],Produkte!A:B,2,0)</f>
        <v>M-ONE Sanitar Silikon</v>
      </c>
      <c r="J2257" s="75">
        <v>12</v>
      </c>
      <c r="K2257" s="76" t="str">
        <f>VLOOKUP(Tabelle2[[#This Row],[Kunden Nr.]],KUNDEN!A:G,7)</f>
        <v>Qerimi</v>
      </c>
      <c r="L2257" s="76">
        <f>VLOOKUP(Tabelle2[[#This Row],[Artikel]],Produkte!A:H,8)</f>
        <v>0.17</v>
      </c>
    </row>
    <row r="2258" spans="1:12" x14ac:dyDescent="0.2">
      <c r="A2258" s="75" t="s">
        <v>1253</v>
      </c>
      <c r="B2258" s="79">
        <v>46120</v>
      </c>
      <c r="C2258" s="75"/>
      <c r="D2258" s="75"/>
      <c r="E2258" s="75"/>
      <c r="F2258" s="75">
        <v>10359</v>
      </c>
      <c r="G2258" s="76" t="e">
        <f>VLOOKUP(Tabelle2[[#This Row],[Kunden Nr.]],KUNDEN!A:B,2,0)</f>
        <v>#N/A</v>
      </c>
      <c r="H2258" s="75">
        <v>35121</v>
      </c>
      <c r="I2258" s="76" t="str">
        <f>VLOOKUP(Tabelle2[[#This Row],[Artikel]],Produkte!A:B,2,0)</f>
        <v>M-ONE Sanitar Silikon</v>
      </c>
      <c r="J2258" s="75">
        <v>12</v>
      </c>
      <c r="K2258" s="76" t="str">
        <f>VLOOKUP(Tabelle2[[#This Row],[Kunden Nr.]],KUNDEN!A:G,7)</f>
        <v>Qerimi</v>
      </c>
      <c r="L2258" s="76">
        <f>VLOOKUP(Tabelle2[[#This Row],[Artikel]],Produkte!A:H,8)</f>
        <v>0.17</v>
      </c>
    </row>
    <row r="2259" spans="1:12" x14ac:dyDescent="0.2">
      <c r="A2259" s="75" t="s">
        <v>1253</v>
      </c>
      <c r="B2259" s="79">
        <v>46120</v>
      </c>
      <c r="C2259" s="75"/>
      <c r="D2259" s="75"/>
      <c r="E2259" s="75"/>
      <c r="F2259" s="75">
        <v>10359</v>
      </c>
      <c r="G2259" s="76" t="e">
        <f>VLOOKUP(Tabelle2[[#This Row],[Kunden Nr.]],KUNDEN!A:B,2,0)</f>
        <v>#N/A</v>
      </c>
      <c r="H2259" s="75">
        <v>51612</v>
      </c>
      <c r="I2259" s="76" t="str">
        <f>VLOOKUP(Tabelle2[[#This Row],[Artikel]],Produkte!A:B,2,0)</f>
        <v>struktural akryl</v>
      </c>
      <c r="J2259" s="75">
        <v>12</v>
      </c>
      <c r="K2259" s="76" t="str">
        <f>VLOOKUP(Tabelle2[[#This Row],[Kunden Nr.]],KUNDEN!A:G,7)</f>
        <v>Qerimi</v>
      </c>
      <c r="L2259" s="76">
        <f>VLOOKUP(Tabelle2[[#This Row],[Artikel]],Produkte!A:H,8)</f>
        <v>0.06</v>
      </c>
    </row>
    <row r="2260" spans="1:12" x14ac:dyDescent="0.2">
      <c r="A2260" s="75" t="s">
        <v>1296</v>
      </c>
      <c r="B2260" s="79">
        <v>46120</v>
      </c>
      <c r="C2260" s="89">
        <v>92.4</v>
      </c>
      <c r="D2260" s="75"/>
      <c r="E2260" s="75"/>
      <c r="F2260" s="75">
        <v>10364</v>
      </c>
      <c r="G2260" s="76" t="str">
        <f>VLOOKUP(Tabelle2[[#This Row],[Kunden Nr.]],KUNDEN!A:B,2,0)</f>
        <v>KOS CERAMIK</v>
      </c>
      <c r="H2260" s="75">
        <v>35113</v>
      </c>
      <c r="I2260" s="76" t="str">
        <f>VLOOKUP(Tabelle2[[#This Row],[Artikel]],Produkte!A:B,2,0)</f>
        <v>M-ONE Sanitar Silikon</v>
      </c>
      <c r="J2260" s="75">
        <v>12</v>
      </c>
      <c r="K2260" s="76" t="str">
        <f>VLOOKUP(Tabelle2[[#This Row],[Kunden Nr.]],KUNDEN!A:G,7)</f>
        <v>Qerimi</v>
      </c>
      <c r="L2260" s="76">
        <f>VLOOKUP(Tabelle2[[#This Row],[Artikel]],Produkte!A:H,8)</f>
        <v>0.17</v>
      </c>
    </row>
    <row r="2261" spans="1:12" x14ac:dyDescent="0.2">
      <c r="A2261" s="75" t="s">
        <v>1296</v>
      </c>
      <c r="B2261" s="79">
        <v>46120</v>
      </c>
      <c r="C2261" s="75"/>
      <c r="D2261" s="75"/>
      <c r="E2261" s="75"/>
      <c r="F2261" s="75">
        <v>10364</v>
      </c>
      <c r="G2261" s="76" t="str">
        <f>VLOOKUP(Tabelle2[[#This Row],[Kunden Nr.]],KUNDEN!A:B,2,0)</f>
        <v>KOS CERAMIK</v>
      </c>
      <c r="H2261" s="75">
        <v>35109</v>
      </c>
      <c r="I2261" s="76" t="str">
        <f>VLOOKUP(Tabelle2[[#This Row],[Artikel]],Produkte!A:B,2,0)</f>
        <v>M-ONE Sanitar Silikon</v>
      </c>
      <c r="J2261" s="75">
        <v>12</v>
      </c>
      <c r="K2261" s="76" t="str">
        <f>VLOOKUP(Tabelle2[[#This Row],[Kunden Nr.]],KUNDEN!A:G,7)</f>
        <v>Qerimi</v>
      </c>
      <c r="L2261" s="76">
        <f>VLOOKUP(Tabelle2[[#This Row],[Artikel]],Produkte!A:H,8)</f>
        <v>0.17</v>
      </c>
    </row>
    <row r="2262" spans="1:12" x14ac:dyDescent="0.2">
      <c r="A2262" s="75" t="s">
        <v>1183</v>
      </c>
      <c r="B2262" s="79">
        <v>46120</v>
      </c>
      <c r="C2262" s="89">
        <v>231</v>
      </c>
      <c r="D2262" s="75"/>
      <c r="E2262" s="75"/>
      <c r="F2262" s="75">
        <v>20329</v>
      </c>
      <c r="G2262" s="76" t="str">
        <f>VLOOKUP(Tabelle2[[#This Row],[Kunden Nr.]],KUNDEN!A:B,2,0)</f>
        <v>TERMOT</v>
      </c>
      <c r="H2262" s="75">
        <v>35109</v>
      </c>
      <c r="I2262" s="76" t="str">
        <f>VLOOKUP(Tabelle2[[#This Row],[Artikel]],Produkte!A:B,2,0)</f>
        <v>M-ONE Sanitar Silikon</v>
      </c>
      <c r="J2262" s="75">
        <v>36</v>
      </c>
      <c r="K2262" s="76" t="str">
        <f>VLOOKUP(Tabelle2[[#This Row],[Kunden Nr.]],KUNDEN!A:G,7)</f>
        <v>Mensuri</v>
      </c>
      <c r="L2262" s="76">
        <f>VLOOKUP(Tabelle2[[#This Row],[Artikel]],Produkte!A:H,8)</f>
        <v>0.17</v>
      </c>
    </row>
    <row r="2263" spans="1:12" x14ac:dyDescent="0.2">
      <c r="A2263" s="75" t="s">
        <v>1183</v>
      </c>
      <c r="B2263" s="79">
        <v>46120</v>
      </c>
      <c r="C2263" s="75"/>
      <c r="D2263" s="75"/>
      <c r="E2263" s="75"/>
      <c r="F2263" s="75">
        <v>20329</v>
      </c>
      <c r="G2263" s="76" t="str">
        <f>VLOOKUP(Tabelle2[[#This Row],[Kunden Nr.]],KUNDEN!A:B,2,0)</f>
        <v>TERMOT</v>
      </c>
      <c r="H2263" s="75">
        <v>35113</v>
      </c>
      <c r="I2263" s="76" t="str">
        <f>VLOOKUP(Tabelle2[[#This Row],[Artikel]],Produkte!A:B,2,0)</f>
        <v>M-ONE Sanitar Silikon</v>
      </c>
      <c r="J2263" s="75">
        <v>24</v>
      </c>
      <c r="K2263" s="76" t="str">
        <f>VLOOKUP(Tabelle2[[#This Row],[Kunden Nr.]],KUNDEN!A:G,7)</f>
        <v>Mensuri</v>
      </c>
      <c r="L2263" s="76">
        <f>VLOOKUP(Tabelle2[[#This Row],[Artikel]],Produkte!A:H,8)</f>
        <v>0.17</v>
      </c>
    </row>
    <row r="2264" spans="1:12" x14ac:dyDescent="0.2">
      <c r="A2264" s="75" t="s">
        <v>614</v>
      </c>
      <c r="B2264" s="79">
        <v>46120</v>
      </c>
      <c r="C2264" s="89">
        <v>115.8</v>
      </c>
      <c r="D2264" s="75"/>
      <c r="E2264" s="75"/>
      <c r="F2264" s="75">
        <v>20301</v>
      </c>
      <c r="G2264" s="76" t="str">
        <f>VLOOKUP(Tabelle2[[#This Row],[Kunden Nr.]],KUNDEN!A:B,2,0)</f>
        <v>HAZROLLI</v>
      </c>
      <c r="H2264" s="75">
        <v>35112</v>
      </c>
      <c r="I2264" s="76" t="str">
        <f>VLOOKUP(Tabelle2[[#This Row],[Artikel]],Produkte!A:B,2,0)</f>
        <v>M-ONE Sanitar Silikon</v>
      </c>
      <c r="J2264" s="75">
        <v>12</v>
      </c>
      <c r="K2264" s="76" t="str">
        <f>VLOOKUP(Tabelle2[[#This Row],[Kunden Nr.]],KUNDEN!A:G,7)</f>
        <v>Mensuri</v>
      </c>
      <c r="L2264" s="76">
        <f>VLOOKUP(Tabelle2[[#This Row],[Artikel]],Produkte!A:H,8)</f>
        <v>0.17</v>
      </c>
    </row>
    <row r="2265" spans="1:12" x14ac:dyDescent="0.2">
      <c r="A2265" s="75" t="s">
        <v>614</v>
      </c>
      <c r="B2265" s="79">
        <v>46120</v>
      </c>
      <c r="C2265" s="75"/>
      <c r="D2265" s="75"/>
      <c r="E2265" s="75"/>
      <c r="F2265" s="75">
        <v>20301</v>
      </c>
      <c r="G2265" s="76" t="str">
        <f>VLOOKUP(Tabelle2[[#This Row],[Kunden Nr.]],KUNDEN!A:B,2,0)</f>
        <v>HAZROLLI</v>
      </c>
      <c r="H2265" s="75">
        <v>66701</v>
      </c>
      <c r="I2265" s="76" t="str">
        <f>VLOOKUP(Tabelle2[[#This Row],[Artikel]],Produkte!A:B,2,0)</f>
        <v>PROFIMONT EXTREME</v>
      </c>
      <c r="J2265" s="75">
        <v>12</v>
      </c>
      <c r="K2265" s="76" t="str">
        <f>VLOOKUP(Tabelle2[[#This Row],[Kunden Nr.]],KUNDEN!A:G,7)</f>
        <v>Mensuri</v>
      </c>
      <c r="L2265" s="76">
        <f>VLOOKUP(Tabelle2[[#This Row],[Artikel]],Produkte!A:H,8)</f>
        <v>0.2</v>
      </c>
    </row>
    <row r="2266" spans="1:12" x14ac:dyDescent="0.2">
      <c r="A2266" s="75" t="s">
        <v>618</v>
      </c>
      <c r="B2266" s="79">
        <v>46120</v>
      </c>
      <c r="C2266" s="89">
        <v>268.10000000000002</v>
      </c>
      <c r="D2266" s="75"/>
      <c r="E2266" s="75"/>
      <c r="F2266" s="75">
        <v>20307</v>
      </c>
      <c r="G2266" s="76" t="str">
        <f>VLOOKUP(Tabelle2[[#This Row],[Kunden Nr.]],KUNDEN!A:B,2,0)</f>
        <v>CONDOR</v>
      </c>
      <c r="H2266" s="75">
        <v>35110</v>
      </c>
      <c r="I2266" s="76" t="str">
        <f>VLOOKUP(Tabelle2[[#This Row],[Artikel]],Produkte!A:B,2,0)</f>
        <v>M-ONE Sanitar Silikon</v>
      </c>
      <c r="J2266" s="75">
        <v>12</v>
      </c>
      <c r="K2266" s="76" t="str">
        <f>VLOOKUP(Tabelle2[[#This Row],[Kunden Nr.]],KUNDEN!A:G,7)</f>
        <v>Mensuri</v>
      </c>
      <c r="L2266" s="76">
        <f>VLOOKUP(Tabelle2[[#This Row],[Artikel]],Produkte!A:H,8)</f>
        <v>0.17</v>
      </c>
    </row>
    <row r="2267" spans="1:12" x14ac:dyDescent="0.2">
      <c r="A2267" s="75" t="s">
        <v>618</v>
      </c>
      <c r="B2267" s="79">
        <v>46120</v>
      </c>
      <c r="C2267" s="75"/>
      <c r="D2267" s="75"/>
      <c r="E2267" s="75"/>
      <c r="F2267" s="75">
        <v>20307</v>
      </c>
      <c r="G2267" s="76" t="str">
        <f>VLOOKUP(Tabelle2[[#This Row],[Kunden Nr.]],KUNDEN!A:B,2,0)</f>
        <v>CONDOR</v>
      </c>
      <c r="H2267" s="75">
        <v>35113</v>
      </c>
      <c r="I2267" s="76" t="str">
        <f>VLOOKUP(Tabelle2[[#This Row],[Artikel]],Produkte!A:B,2,0)</f>
        <v>M-ONE Sanitar Silikon</v>
      </c>
      <c r="J2267" s="75">
        <v>12</v>
      </c>
      <c r="K2267" s="76" t="str">
        <f>VLOOKUP(Tabelle2[[#This Row],[Kunden Nr.]],KUNDEN!A:G,7)</f>
        <v>Mensuri</v>
      </c>
      <c r="L2267" s="76">
        <f>VLOOKUP(Tabelle2[[#This Row],[Artikel]],Produkte!A:H,8)</f>
        <v>0.17</v>
      </c>
    </row>
    <row r="2268" spans="1:12" x14ac:dyDescent="0.2">
      <c r="A2268" s="75" t="s">
        <v>618</v>
      </c>
      <c r="B2268" s="79">
        <v>46120</v>
      </c>
      <c r="C2268" s="75"/>
      <c r="D2268" s="75"/>
      <c r="E2268" s="75"/>
      <c r="F2268" s="75">
        <v>20307</v>
      </c>
      <c r="G2268" s="76" t="str">
        <f>VLOOKUP(Tabelle2[[#This Row],[Kunden Nr.]],KUNDEN!A:B,2,0)</f>
        <v>CONDOR</v>
      </c>
      <c r="H2268" s="75">
        <v>51611</v>
      </c>
      <c r="I2268" s="76" t="str">
        <f>VLOOKUP(Tabelle2[[#This Row],[Artikel]],Produkte!A:B,2,0)</f>
        <v>universal akryl</v>
      </c>
      <c r="J2268" s="75">
        <v>12</v>
      </c>
      <c r="K2268" s="76" t="str">
        <f>VLOOKUP(Tabelle2[[#This Row],[Kunden Nr.]],KUNDEN!A:G,7)</f>
        <v>Mensuri</v>
      </c>
      <c r="L2268" s="76">
        <f>VLOOKUP(Tabelle2[[#This Row],[Artikel]],Produkte!A:H,8)</f>
        <v>0.06</v>
      </c>
    </row>
    <row r="2269" spans="1:12" x14ac:dyDescent="0.2">
      <c r="A2269" s="75" t="s">
        <v>618</v>
      </c>
      <c r="B2269" s="79">
        <v>46120</v>
      </c>
      <c r="C2269" s="75"/>
      <c r="D2269" s="75"/>
      <c r="E2269" s="75"/>
      <c r="F2269" s="75">
        <v>20307</v>
      </c>
      <c r="G2269" s="76" t="str">
        <f>VLOOKUP(Tabelle2[[#This Row],[Kunden Nr.]],KUNDEN!A:B,2,0)</f>
        <v>CONDOR</v>
      </c>
      <c r="H2269" s="75">
        <v>51612</v>
      </c>
      <c r="I2269" s="76" t="str">
        <f>VLOOKUP(Tabelle2[[#This Row],[Artikel]],Produkte!A:B,2,0)</f>
        <v>struktural akryl</v>
      </c>
      <c r="J2269" s="75">
        <v>12</v>
      </c>
      <c r="K2269" s="76" t="str">
        <f>VLOOKUP(Tabelle2[[#This Row],[Kunden Nr.]],KUNDEN!A:G,7)</f>
        <v>Mensuri</v>
      </c>
      <c r="L2269" s="76">
        <f>VLOOKUP(Tabelle2[[#This Row],[Artikel]],Produkte!A:H,8)</f>
        <v>0.06</v>
      </c>
    </row>
    <row r="2270" spans="1:12" x14ac:dyDescent="0.2">
      <c r="A2270" s="75" t="s">
        <v>618</v>
      </c>
      <c r="B2270" s="79">
        <v>46120</v>
      </c>
      <c r="C2270" s="75"/>
      <c r="D2270" s="75"/>
      <c r="E2270" s="75"/>
      <c r="F2270" s="75">
        <v>20307</v>
      </c>
      <c r="G2270" s="76" t="str">
        <f>VLOOKUP(Tabelle2[[#This Row],[Kunden Nr.]],KUNDEN!A:B,2,0)</f>
        <v>CONDOR</v>
      </c>
      <c r="H2270" s="75">
        <v>66701</v>
      </c>
      <c r="I2270" s="76" t="str">
        <f>VLOOKUP(Tabelle2[[#This Row],[Artikel]],Produkte!A:B,2,0)</f>
        <v>PROFIMONT EXTREME</v>
      </c>
      <c r="J2270" s="75">
        <v>12</v>
      </c>
      <c r="K2270" s="76" t="str">
        <f>VLOOKUP(Tabelle2[[#This Row],[Kunden Nr.]],KUNDEN!A:G,7)</f>
        <v>Mensuri</v>
      </c>
      <c r="L2270" s="76">
        <f>VLOOKUP(Tabelle2[[#This Row],[Artikel]],Produkte!A:H,8)</f>
        <v>0.2</v>
      </c>
    </row>
    <row r="2271" spans="1:12" x14ac:dyDescent="0.2">
      <c r="A2271" s="75" t="s">
        <v>618</v>
      </c>
      <c r="B2271" s="79">
        <v>46120</v>
      </c>
      <c r="C2271" s="75"/>
      <c r="D2271" s="75"/>
      <c r="E2271" s="75"/>
      <c r="F2271" s="75">
        <v>20307</v>
      </c>
      <c r="G2271" s="76" t="str">
        <f>VLOOKUP(Tabelle2[[#This Row],[Kunden Nr.]],KUNDEN!A:B,2,0)</f>
        <v>CONDOR</v>
      </c>
      <c r="H2271" s="75">
        <v>44001</v>
      </c>
      <c r="I2271" s="76" t="str">
        <f>VLOOKUP(Tabelle2[[#This Row],[Artikel]],Produkte!A:B,2,0)</f>
        <v>Fettspray</v>
      </c>
      <c r="J2271" s="75">
        <v>9</v>
      </c>
      <c r="K2271" s="76" t="str">
        <f>VLOOKUP(Tabelle2[[#This Row],[Kunden Nr.]],KUNDEN!A:G,7)</f>
        <v>Mensuri</v>
      </c>
      <c r="L2271" s="76">
        <f>VLOOKUP(Tabelle2[[#This Row],[Artikel]],Produkte!A:H,8)</f>
        <v>0.2</v>
      </c>
    </row>
    <row r="2272" spans="1:12" x14ac:dyDescent="0.2">
      <c r="A2272" s="75" t="s">
        <v>618</v>
      </c>
      <c r="B2272" s="79">
        <v>46120</v>
      </c>
      <c r="C2272" s="75"/>
      <c r="D2272" s="75"/>
      <c r="E2272" s="75"/>
      <c r="F2272" s="75">
        <v>20307</v>
      </c>
      <c r="G2272" s="76" t="str">
        <f>VLOOKUP(Tabelle2[[#This Row],[Kunden Nr.]],KUNDEN!A:B,2,0)</f>
        <v>CONDOR</v>
      </c>
      <c r="H2272" s="75">
        <v>50912</v>
      </c>
      <c r="I2272" s="76" t="str">
        <f>VLOOKUP(Tabelle2[[#This Row],[Artikel]],Produkte!A:B,2,0)</f>
        <v>DICHTUNG</v>
      </c>
      <c r="J2272" s="75">
        <v>4</v>
      </c>
      <c r="K2272" s="76" t="str">
        <f>VLOOKUP(Tabelle2[[#This Row],[Kunden Nr.]],KUNDEN!A:G,7)</f>
        <v>Mensuri</v>
      </c>
      <c r="L2272" s="76">
        <f>VLOOKUP(Tabelle2[[#This Row],[Artikel]],Produkte!A:H,8)</f>
        <v>0.2</v>
      </c>
    </row>
    <row r="2273" spans="1:12" x14ac:dyDescent="0.2">
      <c r="A2273" s="75" t="s">
        <v>1322</v>
      </c>
      <c r="B2273" s="79">
        <v>46120</v>
      </c>
      <c r="C2273" s="89">
        <v>73.8</v>
      </c>
      <c r="D2273" s="75"/>
      <c r="E2273" s="75"/>
      <c r="F2273" s="75">
        <v>20803</v>
      </c>
      <c r="G2273" s="76" t="e">
        <f>VLOOKUP(Tabelle2[[#This Row],[Kunden Nr.]],KUNDEN!A:B,2,0)</f>
        <v>#N/A</v>
      </c>
      <c r="H2273" s="75">
        <v>35128</v>
      </c>
      <c r="I2273" s="76" t="str">
        <f>VLOOKUP(Tabelle2[[#This Row],[Artikel]],Produkte!A:B,2,0)</f>
        <v>M-ONE Sanitar Silikon</v>
      </c>
      <c r="J2273" s="75">
        <v>12</v>
      </c>
      <c r="K2273" s="76" t="str">
        <f>VLOOKUP(Tabelle2[[#This Row],[Kunden Nr.]],KUNDEN!A:G,7)</f>
        <v>Mensuri</v>
      </c>
      <c r="L2273" s="76">
        <f>VLOOKUP(Tabelle2[[#This Row],[Artikel]],Produkte!A:H,8)</f>
        <v>0.17</v>
      </c>
    </row>
    <row r="2274" spans="1:12" x14ac:dyDescent="0.2">
      <c r="A2274" s="75" t="s">
        <v>1322</v>
      </c>
      <c r="B2274" s="79">
        <v>46120</v>
      </c>
      <c r="C2274" s="75"/>
      <c r="D2274" s="75"/>
      <c r="E2274" s="75"/>
      <c r="F2274" s="75">
        <v>20803</v>
      </c>
      <c r="G2274" s="76" t="e">
        <f>VLOOKUP(Tabelle2[[#This Row],[Kunden Nr.]],KUNDEN!A:B,2,0)</f>
        <v>#N/A</v>
      </c>
      <c r="H2274" s="75">
        <v>51612</v>
      </c>
      <c r="I2274" s="76" t="str">
        <f>VLOOKUP(Tabelle2[[#This Row],[Artikel]],Produkte!A:B,2,0)</f>
        <v>struktural akryl</v>
      </c>
      <c r="J2274" s="75">
        <v>12</v>
      </c>
      <c r="K2274" s="76" t="str">
        <f>VLOOKUP(Tabelle2[[#This Row],[Kunden Nr.]],KUNDEN!A:G,7)</f>
        <v>Mensuri</v>
      </c>
      <c r="L2274" s="76">
        <f>VLOOKUP(Tabelle2[[#This Row],[Artikel]],Produkte!A:H,8)</f>
        <v>0.06</v>
      </c>
    </row>
    <row r="2275" spans="1:12" x14ac:dyDescent="0.2">
      <c r="A2275" s="75" t="s">
        <v>616</v>
      </c>
      <c r="B2275" s="79">
        <v>46120</v>
      </c>
      <c r="C2275" s="89">
        <v>92.4</v>
      </c>
      <c r="D2275" s="75"/>
      <c r="E2275" s="75"/>
      <c r="F2275" s="75">
        <v>20305</v>
      </c>
      <c r="G2275" s="76" t="str">
        <f>VLOOKUP(Tabelle2[[#This Row],[Kunden Nr.]],KUNDEN!A:B,2,0)</f>
        <v>ABA QERAMIK</v>
      </c>
      <c r="H2275" s="75">
        <v>35109</v>
      </c>
      <c r="I2275" s="76" t="str">
        <f>VLOOKUP(Tabelle2[[#This Row],[Artikel]],Produkte!A:B,2,0)</f>
        <v>M-ONE Sanitar Silikon</v>
      </c>
      <c r="J2275" s="75">
        <v>12</v>
      </c>
      <c r="K2275" s="76" t="str">
        <f>VLOOKUP(Tabelle2[[#This Row],[Kunden Nr.]],KUNDEN!A:G,7)</f>
        <v>Mensuri</v>
      </c>
      <c r="L2275" s="76">
        <f>VLOOKUP(Tabelle2[[#This Row],[Artikel]],Produkte!A:H,8)</f>
        <v>0.17</v>
      </c>
    </row>
    <row r="2276" spans="1:12" x14ac:dyDescent="0.2">
      <c r="A2276" s="75" t="s">
        <v>616</v>
      </c>
      <c r="B2276" s="79">
        <v>46120</v>
      </c>
      <c r="C2276" s="75"/>
      <c r="D2276" s="75"/>
      <c r="E2276" s="75"/>
      <c r="F2276" s="75">
        <v>20305</v>
      </c>
      <c r="G2276" s="76" t="str">
        <f>VLOOKUP(Tabelle2[[#This Row],[Kunden Nr.]],KUNDEN!A:B,2,0)</f>
        <v>ABA QERAMIK</v>
      </c>
      <c r="H2276" s="75">
        <v>35110</v>
      </c>
      <c r="I2276" s="76" t="str">
        <f>VLOOKUP(Tabelle2[[#This Row],[Artikel]],Produkte!A:B,2,0)</f>
        <v>M-ONE Sanitar Silikon</v>
      </c>
      <c r="J2276" s="75">
        <v>12</v>
      </c>
      <c r="K2276" s="76" t="str">
        <f>VLOOKUP(Tabelle2[[#This Row],[Kunden Nr.]],KUNDEN!A:G,7)</f>
        <v>Mensuri</v>
      </c>
      <c r="L2276" s="76">
        <f>VLOOKUP(Tabelle2[[#This Row],[Artikel]],Produkte!A:H,8)</f>
        <v>0.17</v>
      </c>
    </row>
    <row r="2277" spans="1:12" x14ac:dyDescent="0.2">
      <c r="A2277" s="75" t="s">
        <v>1307</v>
      </c>
      <c r="B2277" s="79">
        <v>46120</v>
      </c>
      <c r="C2277" s="89">
        <v>162.6</v>
      </c>
      <c r="D2277" s="75"/>
      <c r="E2277" s="75"/>
      <c r="F2277" s="75">
        <v>20321</v>
      </c>
      <c r="G2277" s="76" t="str">
        <f>VLOOKUP(Tabelle2[[#This Row],[Kunden Nr.]],KUNDEN!A:B,2,0)</f>
        <v>BEREQETI</v>
      </c>
      <c r="H2277" s="75">
        <v>35121</v>
      </c>
      <c r="I2277" s="76" t="str">
        <f>VLOOKUP(Tabelle2[[#This Row],[Artikel]],Produkte!A:B,2,0)</f>
        <v>M-ONE Sanitar Silikon</v>
      </c>
      <c r="J2277" s="75">
        <v>24</v>
      </c>
      <c r="K2277" s="76" t="str">
        <f>VLOOKUP(Tabelle2[[#This Row],[Kunden Nr.]],KUNDEN!A:G,7)</f>
        <v>Mensuri</v>
      </c>
      <c r="L2277" s="76">
        <f>VLOOKUP(Tabelle2[[#This Row],[Artikel]],Produkte!A:H,8)</f>
        <v>0.17</v>
      </c>
    </row>
    <row r="2278" spans="1:12" x14ac:dyDescent="0.2">
      <c r="A2278" s="75" t="s">
        <v>1307</v>
      </c>
      <c r="B2278" s="79">
        <v>46120</v>
      </c>
      <c r="C2278" s="75"/>
      <c r="D2278" s="75"/>
      <c r="E2278" s="75"/>
      <c r="F2278" s="75">
        <v>20321</v>
      </c>
      <c r="G2278" s="76" t="str">
        <f>VLOOKUP(Tabelle2[[#This Row],[Kunden Nr.]],KUNDEN!A:B,2,0)</f>
        <v>BEREQETI</v>
      </c>
      <c r="H2278" s="75">
        <v>51612</v>
      </c>
      <c r="I2278" s="76" t="str">
        <f>VLOOKUP(Tabelle2[[#This Row],[Artikel]],Produkte!A:B,2,0)</f>
        <v>struktural akryl</v>
      </c>
      <c r="J2278" s="75">
        <v>24</v>
      </c>
      <c r="K2278" s="76" t="str">
        <f>VLOOKUP(Tabelle2[[#This Row],[Kunden Nr.]],KUNDEN!A:G,7)</f>
        <v>Mensuri</v>
      </c>
      <c r="L2278" s="76">
        <f>VLOOKUP(Tabelle2[[#This Row],[Artikel]],Produkte!A:H,8)</f>
        <v>0.06</v>
      </c>
    </row>
    <row r="2279" spans="1:12" x14ac:dyDescent="0.2">
      <c r="A2279" s="75" t="s">
        <v>1307</v>
      </c>
      <c r="B2279" s="79">
        <v>46120</v>
      </c>
      <c r="C2279" s="75"/>
      <c r="D2279" s="75"/>
      <c r="E2279" s="75"/>
      <c r="F2279" s="75">
        <v>20321</v>
      </c>
      <c r="G2279" s="76" t="str">
        <f>VLOOKUP(Tabelle2[[#This Row],[Kunden Nr.]],KUNDEN!A:B,2,0)</f>
        <v>BEREQETI</v>
      </c>
      <c r="H2279" s="75">
        <v>51611</v>
      </c>
      <c r="I2279" s="76" t="str">
        <f>VLOOKUP(Tabelle2[[#This Row],[Artikel]],Produkte!A:B,2,0)</f>
        <v>universal akryl</v>
      </c>
      <c r="J2279" s="75">
        <v>12</v>
      </c>
      <c r="K2279" s="76" t="str">
        <f>VLOOKUP(Tabelle2[[#This Row],[Kunden Nr.]],KUNDEN!A:G,7)</f>
        <v>Mensuri</v>
      </c>
      <c r="L2279" s="76">
        <f>VLOOKUP(Tabelle2[[#This Row],[Artikel]],Produkte!A:H,8)</f>
        <v>0.06</v>
      </c>
    </row>
    <row r="2280" spans="1:12" x14ac:dyDescent="0.2">
      <c r="A2280" s="75" t="s">
        <v>1252</v>
      </c>
      <c r="B2280" s="79">
        <v>46120</v>
      </c>
      <c r="C2280" s="89">
        <v>177.4</v>
      </c>
      <c r="D2280" s="75"/>
      <c r="E2280" s="75"/>
      <c r="F2280" s="75">
        <v>20331</v>
      </c>
      <c r="G2280" s="76" t="str">
        <f>VLOOKUP(Tabelle2[[#This Row],[Kunden Nr.]],KUNDEN!A:B,2,0)</f>
        <v>BARDHI-M</v>
      </c>
      <c r="H2280" s="75">
        <v>35110</v>
      </c>
      <c r="I2280" s="76" t="str">
        <f>VLOOKUP(Tabelle2[[#This Row],[Artikel]],Produkte!A:B,2,0)</f>
        <v>M-ONE Sanitar Silikon</v>
      </c>
      <c r="J2280" s="75">
        <v>12</v>
      </c>
      <c r="K2280" s="76" t="str">
        <f>VLOOKUP(Tabelle2[[#This Row],[Kunden Nr.]],KUNDEN!A:G,7)</f>
        <v>Mensuri</v>
      </c>
      <c r="L2280" s="76">
        <f>VLOOKUP(Tabelle2[[#This Row],[Artikel]],Produkte!A:H,8)</f>
        <v>0.17</v>
      </c>
    </row>
    <row r="2281" spans="1:12" x14ac:dyDescent="0.2">
      <c r="A2281" s="75" t="s">
        <v>1252</v>
      </c>
      <c r="B2281" s="79">
        <v>46120</v>
      </c>
      <c r="C2281" s="75"/>
      <c r="D2281" s="75"/>
      <c r="E2281" s="75"/>
      <c r="F2281" s="75">
        <v>20331</v>
      </c>
      <c r="G2281" s="76" t="str">
        <f>VLOOKUP(Tabelle2[[#This Row],[Kunden Nr.]],KUNDEN!A:B,2,0)</f>
        <v>BARDHI-M</v>
      </c>
      <c r="H2281" s="75">
        <v>35111</v>
      </c>
      <c r="I2281" s="76" t="str">
        <f>VLOOKUP(Tabelle2[[#This Row],[Artikel]],Produkte!A:B,2,0)</f>
        <v>M-ONE Sanitar Silikon</v>
      </c>
      <c r="J2281" s="75">
        <v>12</v>
      </c>
      <c r="K2281" s="76" t="str">
        <f>VLOOKUP(Tabelle2[[#This Row],[Kunden Nr.]],KUNDEN!A:G,7)</f>
        <v>Mensuri</v>
      </c>
      <c r="L2281" s="76">
        <f>VLOOKUP(Tabelle2[[#This Row],[Artikel]],Produkte!A:H,8)</f>
        <v>0.17</v>
      </c>
    </row>
    <row r="2282" spans="1:12" x14ac:dyDescent="0.2">
      <c r="A2282" s="75" t="s">
        <v>1252</v>
      </c>
      <c r="B2282" s="79">
        <v>46120</v>
      </c>
      <c r="C2282" s="75"/>
      <c r="D2282" s="75"/>
      <c r="E2282" s="75"/>
      <c r="F2282" s="75">
        <v>20331</v>
      </c>
      <c r="G2282" s="76" t="str">
        <f>VLOOKUP(Tabelle2[[#This Row],[Kunden Nr.]],KUNDEN!A:B,2,0)</f>
        <v>BARDHI-M</v>
      </c>
      <c r="H2282" s="75">
        <v>16936</v>
      </c>
      <c r="I2282" s="76" t="str">
        <f>VLOOKUP(Tabelle2[[#This Row],[Artikel]],Produkte!A:B,2,0)</f>
        <v>M ONE FELGENSILBER</v>
      </c>
      <c r="J2282" s="75">
        <v>12</v>
      </c>
      <c r="K2282" s="76" t="str">
        <f>VLOOKUP(Tabelle2[[#This Row],[Kunden Nr.]],KUNDEN!A:G,7)</f>
        <v>Mensuri</v>
      </c>
      <c r="L2282" s="76">
        <f>VLOOKUP(Tabelle2[[#This Row],[Artikel]],Produkte!A:H,8)</f>
        <v>0.15</v>
      </c>
    </row>
    <row r="2283" spans="1:12" x14ac:dyDescent="0.2">
      <c r="A2283" s="75" t="s">
        <v>1252</v>
      </c>
      <c r="B2283" s="79">
        <v>46120</v>
      </c>
      <c r="C2283" s="75"/>
      <c r="D2283" s="75"/>
      <c r="E2283" s="75"/>
      <c r="F2283" s="75">
        <v>20331</v>
      </c>
      <c r="G2283" s="76" t="str">
        <f>VLOOKUP(Tabelle2[[#This Row],[Kunden Nr.]],KUNDEN!A:B,2,0)</f>
        <v>BARDHI-M</v>
      </c>
      <c r="H2283" s="75">
        <v>26736</v>
      </c>
      <c r="I2283" s="76" t="str">
        <f>VLOOKUP(Tabelle2[[#This Row],[Artikel]],Produkte!A:B,2,0)</f>
        <v>M ONE HAFTGRUND</v>
      </c>
      <c r="J2283" s="75">
        <v>12</v>
      </c>
      <c r="K2283" s="76" t="str">
        <f>VLOOKUP(Tabelle2[[#This Row],[Kunden Nr.]],KUNDEN!A:G,7)</f>
        <v>Mensuri</v>
      </c>
      <c r="L2283" s="76">
        <f>VLOOKUP(Tabelle2[[#This Row],[Artikel]],Produkte!A:H,8)</f>
        <v>0.15</v>
      </c>
    </row>
    <row r="2284" spans="1:12" x14ac:dyDescent="0.2">
      <c r="A2284" s="75" t="s">
        <v>1252</v>
      </c>
      <c r="B2284" s="79">
        <v>46120</v>
      </c>
      <c r="C2284" s="75"/>
      <c r="D2284" s="75"/>
      <c r="E2284" s="75"/>
      <c r="F2284" s="75">
        <v>20331</v>
      </c>
      <c r="G2284" s="76" t="str">
        <f>VLOOKUP(Tabelle2[[#This Row],[Kunden Nr.]],KUNDEN!A:B,2,0)</f>
        <v>BARDHI-M</v>
      </c>
      <c r="H2284" s="75">
        <v>51936</v>
      </c>
      <c r="I2284" s="76" t="str">
        <f>VLOOKUP(Tabelle2[[#This Row],[Artikel]],Produkte!A:B,2,0)</f>
        <v>M ONE SCHWARZ GLÄNZED</v>
      </c>
      <c r="J2284" s="75">
        <v>10</v>
      </c>
      <c r="K2284" s="76" t="str">
        <f>VLOOKUP(Tabelle2[[#This Row],[Kunden Nr.]],KUNDEN!A:G,7)</f>
        <v>Mensuri</v>
      </c>
      <c r="L2284" s="76">
        <f>VLOOKUP(Tabelle2[[#This Row],[Artikel]],Produkte!A:H,8)</f>
        <v>0.15</v>
      </c>
    </row>
    <row r="2285" spans="1:12" x14ac:dyDescent="0.2">
      <c r="A2285" s="75" t="s">
        <v>623</v>
      </c>
      <c r="B2285" s="79">
        <v>46120</v>
      </c>
      <c r="C2285" s="89">
        <v>122.4</v>
      </c>
      <c r="D2285" s="75"/>
      <c r="E2285" s="75"/>
      <c r="F2285" s="75">
        <v>20313</v>
      </c>
      <c r="G2285" s="76" t="str">
        <f>VLOOKUP(Tabelle2[[#This Row],[Kunden Nr.]],KUNDEN!A:B,2,0)</f>
        <v>DURGUTI 3</v>
      </c>
      <c r="H2285" s="75">
        <v>35112</v>
      </c>
      <c r="I2285" s="76" t="str">
        <f>VLOOKUP(Tabelle2[[#This Row],[Artikel]],Produkte!A:B,2,0)</f>
        <v>M-ONE Sanitar Silikon</v>
      </c>
      <c r="J2285" s="75">
        <v>12</v>
      </c>
      <c r="K2285" s="76" t="str">
        <f>VLOOKUP(Tabelle2[[#This Row],[Kunden Nr.]],KUNDEN!A:G,7)</f>
        <v>Mensuri</v>
      </c>
      <c r="L2285" s="76">
        <f>VLOOKUP(Tabelle2[[#This Row],[Artikel]],Produkte!A:H,8)</f>
        <v>0.17</v>
      </c>
    </row>
    <row r="2286" spans="1:12" x14ac:dyDescent="0.2">
      <c r="A2286" s="75" t="s">
        <v>623</v>
      </c>
      <c r="B2286" s="79">
        <v>46120</v>
      </c>
      <c r="C2286" s="75"/>
      <c r="D2286" s="75"/>
      <c r="E2286" s="75"/>
      <c r="F2286" s="75">
        <v>20313</v>
      </c>
      <c r="G2286" s="76" t="str">
        <f>VLOOKUP(Tabelle2[[#This Row],[Kunden Nr.]],KUNDEN!A:B,2,0)</f>
        <v>DURGUTI 3</v>
      </c>
      <c r="H2286" s="75">
        <v>35111</v>
      </c>
      <c r="I2286" s="76" t="str">
        <f>VLOOKUP(Tabelle2[[#This Row],[Artikel]],Produkte!A:B,2,0)</f>
        <v>M-ONE Sanitar Silikon</v>
      </c>
      <c r="J2286" s="75">
        <v>12</v>
      </c>
      <c r="K2286" s="76" t="str">
        <f>VLOOKUP(Tabelle2[[#This Row],[Kunden Nr.]],KUNDEN!A:G,7)</f>
        <v>Mensuri</v>
      </c>
      <c r="L2286" s="76">
        <f>VLOOKUP(Tabelle2[[#This Row],[Artikel]],Produkte!A:H,8)</f>
        <v>0.17</v>
      </c>
    </row>
    <row r="2287" spans="1:12" x14ac:dyDescent="0.2">
      <c r="A2287" s="75" t="s">
        <v>623</v>
      </c>
      <c r="B2287" s="79">
        <v>46120</v>
      </c>
      <c r="C2287" s="75"/>
      <c r="D2287" s="75"/>
      <c r="E2287" s="75"/>
      <c r="F2287" s="75">
        <v>20313</v>
      </c>
      <c r="G2287" s="76" t="str">
        <f>VLOOKUP(Tabelle2[[#This Row],[Kunden Nr.]],KUNDEN!A:B,2,0)</f>
        <v>DURGUTI 3</v>
      </c>
      <c r="H2287" s="75">
        <v>51611</v>
      </c>
      <c r="I2287" s="76" t="str">
        <f>VLOOKUP(Tabelle2[[#This Row],[Artikel]],Produkte!A:B,2,0)</f>
        <v>universal akryl</v>
      </c>
      <c r="J2287" s="75">
        <v>24</v>
      </c>
      <c r="K2287" s="76" t="str">
        <f>VLOOKUP(Tabelle2[[#This Row],[Kunden Nr.]],KUNDEN!A:G,7)</f>
        <v>Mensuri</v>
      </c>
      <c r="L2287" s="76">
        <f>VLOOKUP(Tabelle2[[#This Row],[Artikel]],Produkte!A:H,8)</f>
        <v>0.06</v>
      </c>
    </row>
    <row r="2288" spans="1:12" x14ac:dyDescent="0.2">
      <c r="A2288" s="75" t="s">
        <v>626</v>
      </c>
      <c r="B2288" s="79">
        <v>46120</v>
      </c>
      <c r="C2288" s="89">
        <v>34</v>
      </c>
      <c r="D2288" s="75"/>
      <c r="E2288" s="75"/>
      <c r="F2288" s="75">
        <v>20317</v>
      </c>
      <c r="G2288" s="76" t="str">
        <f>VLOOKUP(Tabelle2[[#This Row],[Kunden Nr.]],KUNDEN!A:B,2,0)</f>
        <v>SHEHU-A</v>
      </c>
      <c r="H2288" s="75">
        <v>49644</v>
      </c>
      <c r="I2288" s="76" t="str">
        <f>VLOOKUP(Tabelle2[[#This Row],[Artikel]],Produkte!A:B,2,0)</f>
        <v>beMAKER Rostlöser</v>
      </c>
      <c r="J2288" s="75">
        <v>12</v>
      </c>
      <c r="K2288" s="76" t="str">
        <f>VLOOKUP(Tabelle2[[#This Row],[Kunden Nr.]],KUNDEN!A:G,7)</f>
        <v>Mensuri</v>
      </c>
      <c r="L2288" s="76">
        <f>VLOOKUP(Tabelle2[[#This Row],[Artikel]],Produkte!A:H,8)</f>
        <v>0.2</v>
      </c>
    </row>
    <row r="2289" spans="1:12" x14ac:dyDescent="0.2">
      <c r="A2289" s="75" t="s">
        <v>626</v>
      </c>
      <c r="B2289" s="79">
        <v>46120</v>
      </c>
      <c r="C2289" s="75"/>
      <c r="D2289" s="75"/>
      <c r="E2289" s="75"/>
      <c r="F2289" s="75">
        <v>20317</v>
      </c>
      <c r="G2289" s="76" t="str">
        <f>VLOOKUP(Tabelle2[[#This Row],[Kunden Nr.]],KUNDEN!A:B,2,0)</f>
        <v>SHEHU-A</v>
      </c>
      <c r="H2289" s="75">
        <v>31903</v>
      </c>
      <c r="I2289" s="76" t="str">
        <f>VLOOKUP(Tabelle2[[#This Row],[Artikel]],Produkte!A:B,2,0)</f>
        <v>M ONE CHROM SPRAY</v>
      </c>
      <c r="J2289" s="75">
        <v>4</v>
      </c>
      <c r="K2289" s="76" t="str">
        <f>VLOOKUP(Tabelle2[[#This Row],[Kunden Nr.]],KUNDEN!A:G,7)</f>
        <v>Mensuri</v>
      </c>
      <c r="L2289" s="76">
        <f>VLOOKUP(Tabelle2[[#This Row],[Artikel]],Produkte!A:H,8)</f>
        <v>0.15</v>
      </c>
    </row>
    <row r="2290" spans="1:12" x14ac:dyDescent="0.2">
      <c r="A2290" s="75" t="s">
        <v>558</v>
      </c>
      <c r="B2290" s="79">
        <v>46121</v>
      </c>
      <c r="C2290" s="89">
        <v>277.2</v>
      </c>
      <c r="D2290" s="75"/>
      <c r="E2290" s="75"/>
      <c r="F2290" s="75">
        <v>10418</v>
      </c>
      <c r="G2290" s="76" t="str">
        <f>VLOOKUP(Tabelle2[[#This Row],[Kunden Nr.]],KUNDEN!A:B,2,0)</f>
        <v>NDRIQIMI</v>
      </c>
      <c r="H2290" s="75">
        <v>35110</v>
      </c>
      <c r="I2290" s="76" t="str">
        <f>VLOOKUP(Tabelle2[[#This Row],[Artikel]],Produkte!A:B,2,0)</f>
        <v>M-ONE Sanitar Silikon</v>
      </c>
      <c r="J2290" s="75">
        <v>36</v>
      </c>
      <c r="K2290" s="76" t="str">
        <f>VLOOKUP(Tabelle2[[#This Row],[Kunden Nr.]],KUNDEN!A:G,7)</f>
        <v>Qerimi</v>
      </c>
      <c r="L2290" s="76">
        <f>VLOOKUP(Tabelle2[[#This Row],[Artikel]],Produkte!A:H,8)</f>
        <v>0.17</v>
      </c>
    </row>
    <row r="2291" spans="1:12" x14ac:dyDescent="0.2">
      <c r="A2291" s="75" t="s">
        <v>558</v>
      </c>
      <c r="B2291" s="79">
        <v>46121</v>
      </c>
      <c r="C2291" s="75"/>
      <c r="D2291" s="75"/>
      <c r="E2291" s="75"/>
      <c r="F2291" s="75">
        <v>10418</v>
      </c>
      <c r="G2291" s="76" t="str">
        <f>VLOOKUP(Tabelle2[[#This Row],[Kunden Nr.]],KUNDEN!A:B,2,0)</f>
        <v>NDRIQIMI</v>
      </c>
      <c r="H2291" s="75">
        <v>35111</v>
      </c>
      <c r="I2291" s="76" t="str">
        <f>VLOOKUP(Tabelle2[[#This Row],[Artikel]],Produkte!A:B,2,0)</f>
        <v>M-ONE Sanitar Silikon</v>
      </c>
      <c r="J2291" s="75">
        <v>24</v>
      </c>
      <c r="K2291" s="76" t="str">
        <f>VLOOKUP(Tabelle2[[#This Row],[Kunden Nr.]],KUNDEN!A:G,7)</f>
        <v>Qerimi</v>
      </c>
      <c r="L2291" s="76">
        <f>VLOOKUP(Tabelle2[[#This Row],[Artikel]],Produkte!A:H,8)</f>
        <v>0.17</v>
      </c>
    </row>
    <row r="2292" spans="1:12" x14ac:dyDescent="0.2">
      <c r="A2292" s="75" t="s">
        <v>558</v>
      </c>
      <c r="B2292" s="79">
        <v>46121</v>
      </c>
      <c r="C2292" s="75"/>
      <c r="D2292" s="75"/>
      <c r="E2292" s="75"/>
      <c r="F2292" s="75">
        <v>10418</v>
      </c>
      <c r="G2292" s="76" t="str">
        <f>VLOOKUP(Tabelle2[[#This Row],[Kunden Nr.]],KUNDEN!A:B,2,0)</f>
        <v>NDRIQIMI</v>
      </c>
      <c r="H2292" s="75">
        <v>35128</v>
      </c>
      <c r="I2292" s="76" t="str">
        <f>VLOOKUP(Tabelle2[[#This Row],[Artikel]],Produkte!A:B,2,0)</f>
        <v>M-ONE Sanitar Silikon</v>
      </c>
      <c r="J2292" s="75">
        <v>12</v>
      </c>
      <c r="K2292" s="76" t="str">
        <f>VLOOKUP(Tabelle2[[#This Row],[Kunden Nr.]],KUNDEN!A:G,7)</f>
        <v>Qerimi</v>
      </c>
      <c r="L2292" s="76">
        <f>VLOOKUP(Tabelle2[[#This Row],[Artikel]],Produkte!A:H,8)</f>
        <v>0.17</v>
      </c>
    </row>
    <row r="2293" spans="1:12" x14ac:dyDescent="0.2">
      <c r="A2293" s="75" t="s">
        <v>903</v>
      </c>
      <c r="B2293" s="79">
        <v>46121</v>
      </c>
      <c r="C2293" s="89">
        <v>46.2</v>
      </c>
      <c r="D2293" s="75"/>
      <c r="E2293" s="75"/>
      <c r="F2293" s="75">
        <v>10428</v>
      </c>
      <c r="G2293" s="76" t="str">
        <f>VLOOKUP(Tabelle2[[#This Row],[Kunden Nr.]],KUNDEN!A:B,2,0)</f>
        <v>ENISI - H</v>
      </c>
      <c r="H2293" s="75">
        <v>35128</v>
      </c>
      <c r="I2293" s="76" t="str">
        <f>VLOOKUP(Tabelle2[[#This Row],[Artikel]],Produkte!A:B,2,0)</f>
        <v>M-ONE Sanitar Silikon</v>
      </c>
      <c r="J2293" s="75">
        <v>12</v>
      </c>
      <c r="K2293" s="76" t="str">
        <f>VLOOKUP(Tabelle2[[#This Row],[Kunden Nr.]],KUNDEN!A:G,7)</f>
        <v>Qerimi</v>
      </c>
      <c r="L2293" s="76">
        <f>VLOOKUP(Tabelle2[[#This Row],[Artikel]],Produkte!A:H,8)</f>
        <v>0.17</v>
      </c>
    </row>
    <row r="2294" spans="1:12" x14ac:dyDescent="0.2">
      <c r="A2294" s="75" t="s">
        <v>546</v>
      </c>
      <c r="B2294" s="79">
        <v>46121</v>
      </c>
      <c r="C2294" s="89">
        <v>31.9</v>
      </c>
      <c r="D2294" s="75"/>
      <c r="E2294" s="75"/>
      <c r="F2294" s="75">
        <v>10406</v>
      </c>
      <c r="G2294" s="76" t="str">
        <f>VLOOKUP(Tabelle2[[#This Row],[Kunden Nr.]],KUNDEN!A:B,2,0)</f>
        <v>AGRONI</v>
      </c>
      <c r="H2294" s="75">
        <v>55718</v>
      </c>
      <c r="I2294" s="76" t="str">
        <f>VLOOKUP(Tabelle2[[#This Row],[Artikel]],Produkte!A:B,2,0)</f>
        <v>M ONE MOTORSTART</v>
      </c>
      <c r="J2294" s="75">
        <v>5</v>
      </c>
      <c r="K2294" s="76" t="str">
        <f>VLOOKUP(Tabelle2[[#This Row],[Kunden Nr.]],KUNDEN!A:G,7)</f>
        <v>Qerimi</v>
      </c>
      <c r="L2294" s="76">
        <f>VLOOKUP(Tabelle2[[#This Row],[Artikel]],Produkte!A:H,8)</f>
        <v>0.2</v>
      </c>
    </row>
    <row r="2295" spans="1:12" x14ac:dyDescent="0.2">
      <c r="A2295" s="75" t="s">
        <v>546</v>
      </c>
      <c r="B2295" s="79">
        <v>46121</v>
      </c>
      <c r="C2295" s="75"/>
      <c r="D2295" s="75"/>
      <c r="E2295" s="75"/>
      <c r="F2295" s="75">
        <v>10406</v>
      </c>
      <c r="G2295" s="76" t="str">
        <f>VLOOKUP(Tabelle2[[#This Row],[Kunden Nr.]],KUNDEN!A:B,2,0)</f>
        <v>AGRONI</v>
      </c>
      <c r="H2295" s="75">
        <v>50912</v>
      </c>
      <c r="I2295" s="76" t="str">
        <f>VLOOKUP(Tabelle2[[#This Row],[Artikel]],Produkte!A:B,2,0)</f>
        <v>DICHTUNG</v>
      </c>
      <c r="J2295" s="75">
        <v>2</v>
      </c>
      <c r="K2295" s="76" t="str">
        <f>VLOOKUP(Tabelle2[[#This Row],[Kunden Nr.]],KUNDEN!A:G,7)</f>
        <v>Qerimi</v>
      </c>
      <c r="L2295" s="76">
        <f>VLOOKUP(Tabelle2[[#This Row],[Artikel]],Produkte!A:H,8)</f>
        <v>0.2</v>
      </c>
    </row>
    <row r="2296" spans="1:12" x14ac:dyDescent="0.2">
      <c r="A2296" s="75" t="s">
        <v>550</v>
      </c>
      <c r="B2296" s="79">
        <v>46121</v>
      </c>
      <c r="C2296" s="89">
        <v>92.4</v>
      </c>
      <c r="D2296" s="75"/>
      <c r="E2296" s="75"/>
      <c r="F2296" s="75">
        <v>10410</v>
      </c>
      <c r="G2296" s="76" t="str">
        <f>VLOOKUP(Tabelle2[[#This Row],[Kunden Nr.]],KUNDEN!A:B,2,0)</f>
        <v>GRANITI</v>
      </c>
      <c r="H2296" s="75">
        <v>35109</v>
      </c>
      <c r="I2296" s="76" t="str">
        <f>VLOOKUP(Tabelle2[[#This Row],[Artikel]],Produkte!A:B,2,0)</f>
        <v>M-ONE Sanitar Silikon</v>
      </c>
      <c r="J2296" s="75">
        <v>12</v>
      </c>
      <c r="K2296" s="76" t="str">
        <f>VLOOKUP(Tabelle2[[#This Row],[Kunden Nr.]],KUNDEN!A:G,7)</f>
        <v>Qerimi</v>
      </c>
      <c r="L2296" s="76">
        <f>VLOOKUP(Tabelle2[[#This Row],[Artikel]],Produkte!A:H,8)</f>
        <v>0.17</v>
      </c>
    </row>
    <row r="2297" spans="1:12" x14ac:dyDescent="0.2">
      <c r="A2297" s="75" t="s">
        <v>550</v>
      </c>
      <c r="B2297" s="79">
        <v>46121</v>
      </c>
      <c r="C2297" s="75"/>
      <c r="D2297" s="75"/>
      <c r="E2297" s="75"/>
      <c r="F2297" s="75">
        <v>10410</v>
      </c>
      <c r="G2297" s="76" t="str">
        <f>VLOOKUP(Tabelle2[[#This Row],[Kunden Nr.]],KUNDEN!A:B,2,0)</f>
        <v>GRANITI</v>
      </c>
      <c r="H2297" s="75">
        <v>35121</v>
      </c>
      <c r="I2297" s="76" t="str">
        <f>VLOOKUP(Tabelle2[[#This Row],[Artikel]],Produkte!A:B,2,0)</f>
        <v>M-ONE Sanitar Silikon</v>
      </c>
      <c r="J2297" s="75">
        <v>12</v>
      </c>
      <c r="K2297" s="76" t="str">
        <f>VLOOKUP(Tabelle2[[#This Row],[Kunden Nr.]],KUNDEN!A:G,7)</f>
        <v>Qerimi</v>
      </c>
      <c r="L2297" s="76">
        <f>VLOOKUP(Tabelle2[[#This Row],[Artikel]],Produkte!A:H,8)</f>
        <v>0.17</v>
      </c>
    </row>
    <row r="2298" spans="1:12" x14ac:dyDescent="0.2">
      <c r="A2298" s="75" t="s">
        <v>553</v>
      </c>
      <c r="B2298" s="79">
        <v>46121</v>
      </c>
      <c r="C2298" s="89">
        <v>92.4</v>
      </c>
      <c r="D2298" s="75"/>
      <c r="E2298" s="75"/>
      <c r="F2298" s="75">
        <v>10413</v>
      </c>
      <c r="G2298" s="76" t="str">
        <f>VLOOKUP(Tabelle2[[#This Row],[Kunden Nr.]],KUNDEN!A:B,2,0)</f>
        <v>UNIVERZAL</v>
      </c>
      <c r="H2298" s="75">
        <v>35113</v>
      </c>
      <c r="I2298" s="76" t="str">
        <f>VLOOKUP(Tabelle2[[#This Row],[Artikel]],Produkte!A:B,2,0)</f>
        <v>M-ONE Sanitar Silikon</v>
      </c>
      <c r="J2298" s="75">
        <v>12</v>
      </c>
      <c r="K2298" s="76" t="str">
        <f>VLOOKUP(Tabelle2[[#This Row],[Kunden Nr.]],KUNDEN!A:G,7)</f>
        <v>Qerimi</v>
      </c>
      <c r="L2298" s="76">
        <f>VLOOKUP(Tabelle2[[#This Row],[Artikel]],Produkte!A:H,8)</f>
        <v>0.17</v>
      </c>
    </row>
    <row r="2299" spans="1:12" x14ac:dyDescent="0.2">
      <c r="A2299" s="75" t="s">
        <v>553</v>
      </c>
      <c r="B2299" s="79">
        <v>46121</v>
      </c>
      <c r="C2299" s="75"/>
      <c r="D2299" s="75"/>
      <c r="E2299" s="75"/>
      <c r="F2299" s="75">
        <v>10413</v>
      </c>
      <c r="G2299" s="76" t="str">
        <f>VLOOKUP(Tabelle2[[#This Row],[Kunden Nr.]],KUNDEN!A:B,2,0)</f>
        <v>UNIVERZAL</v>
      </c>
      <c r="H2299" s="75">
        <v>35115</v>
      </c>
      <c r="I2299" s="76" t="str">
        <f>VLOOKUP(Tabelle2[[#This Row],[Artikel]],Produkte!A:B,2,0)</f>
        <v>M-ONE Sanitar Silikon</v>
      </c>
      <c r="J2299" s="75">
        <v>12</v>
      </c>
      <c r="K2299" s="76" t="str">
        <f>VLOOKUP(Tabelle2[[#This Row],[Kunden Nr.]],KUNDEN!A:G,7)</f>
        <v>Qerimi</v>
      </c>
      <c r="L2299" s="76">
        <f>VLOOKUP(Tabelle2[[#This Row],[Artikel]],Produkte!A:H,8)</f>
        <v>0.17</v>
      </c>
    </row>
    <row r="2300" spans="1:12" x14ac:dyDescent="0.2">
      <c r="A2300" s="75" t="s">
        <v>552</v>
      </c>
      <c r="B2300" s="79">
        <v>46121</v>
      </c>
      <c r="C2300" s="89">
        <v>138.6</v>
      </c>
      <c r="D2300" s="75"/>
      <c r="E2300" s="75"/>
      <c r="F2300" s="75">
        <v>10412</v>
      </c>
      <c r="G2300" s="76" t="str">
        <f>VLOOKUP(Tabelle2[[#This Row],[Kunden Nr.]],KUNDEN!A:B,2,0)</f>
        <v>VISARI HH</v>
      </c>
      <c r="H2300" s="75">
        <v>35110</v>
      </c>
      <c r="I2300" s="76" t="str">
        <f>VLOOKUP(Tabelle2[[#This Row],[Artikel]],Produkte!A:B,2,0)</f>
        <v>M-ONE Sanitar Silikon</v>
      </c>
      <c r="J2300" s="75">
        <v>12</v>
      </c>
      <c r="K2300" s="76" t="str">
        <f>VLOOKUP(Tabelle2[[#This Row],[Kunden Nr.]],KUNDEN!A:G,7)</f>
        <v>Qerimi</v>
      </c>
      <c r="L2300" s="76">
        <f>VLOOKUP(Tabelle2[[#This Row],[Artikel]],Produkte!A:H,8)</f>
        <v>0.17</v>
      </c>
    </row>
    <row r="2301" spans="1:12" x14ac:dyDescent="0.2">
      <c r="A2301" s="75" t="s">
        <v>552</v>
      </c>
      <c r="B2301" s="79">
        <v>46121</v>
      </c>
      <c r="C2301" s="75"/>
      <c r="D2301" s="75"/>
      <c r="E2301" s="75"/>
      <c r="F2301" s="75">
        <v>10412</v>
      </c>
      <c r="G2301" s="76" t="str">
        <f>VLOOKUP(Tabelle2[[#This Row],[Kunden Nr.]],KUNDEN!A:B,2,0)</f>
        <v>VISARI HH</v>
      </c>
      <c r="H2301" s="75">
        <v>35112</v>
      </c>
      <c r="I2301" s="76" t="str">
        <f>VLOOKUP(Tabelle2[[#This Row],[Artikel]],Produkte!A:B,2,0)</f>
        <v>M-ONE Sanitar Silikon</v>
      </c>
      <c r="J2301" s="75">
        <v>12</v>
      </c>
      <c r="K2301" s="76" t="str">
        <f>VLOOKUP(Tabelle2[[#This Row],[Kunden Nr.]],KUNDEN!A:G,7)</f>
        <v>Qerimi</v>
      </c>
      <c r="L2301" s="76">
        <f>VLOOKUP(Tabelle2[[#This Row],[Artikel]],Produkte!A:H,8)</f>
        <v>0.17</v>
      </c>
    </row>
    <row r="2302" spans="1:12" x14ac:dyDescent="0.2">
      <c r="A2302" s="75" t="s">
        <v>552</v>
      </c>
      <c r="B2302" s="79">
        <v>46121</v>
      </c>
      <c r="C2302" s="75"/>
      <c r="D2302" s="75"/>
      <c r="E2302" s="75"/>
      <c r="F2302" s="75">
        <v>10412</v>
      </c>
      <c r="G2302" s="76" t="str">
        <f>VLOOKUP(Tabelle2[[#This Row],[Kunden Nr.]],KUNDEN!A:B,2,0)</f>
        <v>VISARI HH</v>
      </c>
      <c r="H2302" s="75">
        <v>35115</v>
      </c>
      <c r="I2302" s="76" t="str">
        <f>VLOOKUP(Tabelle2[[#This Row],[Artikel]],Produkte!A:B,2,0)</f>
        <v>M-ONE Sanitar Silikon</v>
      </c>
      <c r="J2302" s="75">
        <v>12</v>
      </c>
      <c r="K2302" s="76" t="str">
        <f>VLOOKUP(Tabelle2[[#This Row],[Kunden Nr.]],KUNDEN!A:G,7)</f>
        <v>Qerimi</v>
      </c>
      <c r="L2302" s="76">
        <f>VLOOKUP(Tabelle2[[#This Row],[Artikel]],Produkte!A:H,8)</f>
        <v>0.17</v>
      </c>
    </row>
    <row r="2303" spans="1:12" x14ac:dyDescent="0.2">
      <c r="A2303" s="75" t="s">
        <v>38</v>
      </c>
      <c r="B2303" s="79">
        <v>46122</v>
      </c>
      <c r="C2303" s="89">
        <v>46.2</v>
      </c>
      <c r="D2303" s="75"/>
      <c r="E2303" s="75"/>
      <c r="F2303" s="75">
        <v>10539</v>
      </c>
      <c r="G2303" s="76" t="str">
        <f>VLOOKUP(Tabelle2[[#This Row],[Kunden Nr.]],KUNDEN!A:B,2,0)</f>
        <v>BEKA</v>
      </c>
      <c r="H2303" s="75">
        <v>35111</v>
      </c>
      <c r="I2303" s="76" t="str">
        <f>VLOOKUP(Tabelle2[[#This Row],[Artikel]],Produkte!A:B,2,0)</f>
        <v>M-ONE Sanitar Silikon</v>
      </c>
      <c r="J2303" s="75">
        <v>12</v>
      </c>
      <c r="K2303" s="76" t="str">
        <f>VLOOKUP(Tabelle2[[#This Row],[Kunden Nr.]],KUNDEN!A:G,7)</f>
        <v>Qerimi</v>
      </c>
      <c r="L2303" s="76">
        <f>VLOOKUP(Tabelle2[[#This Row],[Artikel]],Produkte!A:H,8)</f>
        <v>0.17</v>
      </c>
    </row>
    <row r="2304" spans="1:12" x14ac:dyDescent="0.2">
      <c r="A2304" s="75" t="s">
        <v>435</v>
      </c>
      <c r="B2304" s="79">
        <v>46122</v>
      </c>
      <c r="C2304" s="89">
        <v>34</v>
      </c>
      <c r="D2304" s="75"/>
      <c r="E2304" s="75"/>
      <c r="F2304" s="75">
        <v>10509</v>
      </c>
      <c r="G2304" s="76" t="str">
        <f>VLOOKUP(Tabelle2[[#This Row],[Kunden Nr.]],KUNDEN!A:B,2,0)</f>
        <v>LONI</v>
      </c>
      <c r="H2304" s="75">
        <v>56117</v>
      </c>
      <c r="I2304" s="76" t="str">
        <f>VLOOKUP(Tabelle2[[#This Row],[Artikel]],Produkte!A:B,2,0)</f>
        <v>M ONE UBS</v>
      </c>
      <c r="J2304" s="75">
        <v>6</v>
      </c>
      <c r="K2304" s="76" t="str">
        <f>VLOOKUP(Tabelle2[[#This Row],[Kunden Nr.]],KUNDEN!A:G,7)</f>
        <v>Qerimi</v>
      </c>
      <c r="L2304" s="76">
        <f>VLOOKUP(Tabelle2[[#This Row],[Artikel]],Produkte!A:H,8)</f>
        <v>0.2</v>
      </c>
    </row>
    <row r="2305" spans="1:12" x14ac:dyDescent="0.2">
      <c r="A2305" s="75" t="s">
        <v>435</v>
      </c>
      <c r="B2305" s="79">
        <v>46122</v>
      </c>
      <c r="C2305" s="75"/>
      <c r="D2305" s="75"/>
      <c r="E2305" s="75"/>
      <c r="F2305" s="75">
        <v>10509</v>
      </c>
      <c r="G2305" s="76" t="str">
        <f>VLOOKUP(Tabelle2[[#This Row],[Kunden Nr.]],KUNDEN!A:B,2,0)</f>
        <v>LONI</v>
      </c>
      <c r="H2305" s="75">
        <v>49644</v>
      </c>
      <c r="I2305" s="76" t="str">
        <f>VLOOKUP(Tabelle2[[#This Row],[Artikel]],Produkte!A:B,2,0)</f>
        <v>beMAKER Rostlöser</v>
      </c>
      <c r="J2305" s="75">
        <v>5</v>
      </c>
      <c r="K2305" s="76" t="str">
        <f>VLOOKUP(Tabelle2[[#This Row],[Kunden Nr.]],KUNDEN!A:G,7)</f>
        <v>Qerimi</v>
      </c>
      <c r="L2305" s="76">
        <f>VLOOKUP(Tabelle2[[#This Row],[Artikel]],Produkte!A:H,8)</f>
        <v>0.2</v>
      </c>
    </row>
    <row r="2306" spans="1:12" x14ac:dyDescent="0.2">
      <c r="A2306" s="75" t="s">
        <v>491</v>
      </c>
      <c r="B2306" s="79">
        <v>46122</v>
      </c>
      <c r="C2306" s="89">
        <v>107.4</v>
      </c>
      <c r="D2306" s="75"/>
      <c r="E2306" s="75"/>
      <c r="F2306" s="75">
        <v>10508</v>
      </c>
      <c r="G2306" s="76" t="str">
        <f>VLOOKUP(Tabelle2[[#This Row],[Kunden Nr.]],KUNDEN!A:B,2,0)</f>
        <v>CARRALEVA 2</v>
      </c>
      <c r="H2306" s="75">
        <v>51611</v>
      </c>
      <c r="I2306" s="76" t="str">
        <f>VLOOKUP(Tabelle2[[#This Row],[Artikel]],Produkte!A:B,2,0)</f>
        <v>universal akryl</v>
      </c>
      <c r="J2306" s="75">
        <v>12</v>
      </c>
      <c r="K2306" s="76" t="str">
        <f>VLOOKUP(Tabelle2[[#This Row],[Kunden Nr.]],KUNDEN!A:G,7)</f>
        <v>Qerimi</v>
      </c>
      <c r="L2306" s="76">
        <f>VLOOKUP(Tabelle2[[#This Row],[Artikel]],Produkte!A:H,8)</f>
        <v>0.06</v>
      </c>
    </row>
    <row r="2307" spans="1:12" x14ac:dyDescent="0.2">
      <c r="A2307" s="75" t="s">
        <v>491</v>
      </c>
      <c r="B2307" s="79">
        <v>46122</v>
      </c>
      <c r="C2307" s="75"/>
      <c r="D2307" s="75"/>
      <c r="E2307" s="75"/>
      <c r="F2307" s="75">
        <v>10508</v>
      </c>
      <c r="G2307" s="76" t="str">
        <f>VLOOKUP(Tabelle2[[#This Row],[Kunden Nr.]],KUNDEN!A:B,2,0)</f>
        <v>CARRALEVA 2</v>
      </c>
      <c r="H2307" s="75">
        <v>35109</v>
      </c>
      <c r="I2307" s="76" t="str">
        <f>VLOOKUP(Tabelle2[[#This Row],[Artikel]],Produkte!A:B,2,0)</f>
        <v>M-ONE Sanitar Silikon</v>
      </c>
      <c r="J2307" s="75">
        <v>12</v>
      </c>
      <c r="K2307" s="76" t="str">
        <f>VLOOKUP(Tabelle2[[#This Row],[Kunden Nr.]],KUNDEN!A:G,7)</f>
        <v>Qerimi</v>
      </c>
      <c r="L2307" s="76">
        <f>VLOOKUP(Tabelle2[[#This Row],[Artikel]],Produkte!A:H,8)</f>
        <v>0.17</v>
      </c>
    </row>
    <row r="2308" spans="1:12" x14ac:dyDescent="0.2">
      <c r="A2308" s="75" t="s">
        <v>491</v>
      </c>
      <c r="B2308" s="79">
        <v>46122</v>
      </c>
      <c r="C2308" s="75"/>
      <c r="D2308" s="75"/>
      <c r="E2308" s="75"/>
      <c r="F2308" s="75">
        <v>10508</v>
      </c>
      <c r="G2308" s="76" t="str">
        <f>VLOOKUP(Tabelle2[[#This Row],[Kunden Nr.]],KUNDEN!A:B,2,0)</f>
        <v>CARRALEVA 2</v>
      </c>
      <c r="H2308" s="75">
        <v>35121</v>
      </c>
      <c r="I2308" s="76" t="str">
        <f>VLOOKUP(Tabelle2[[#This Row],[Artikel]],Produkte!A:B,2,0)</f>
        <v>M-ONE Sanitar Silikon</v>
      </c>
      <c r="J2308" s="75">
        <v>12</v>
      </c>
      <c r="K2308" s="76" t="str">
        <f>VLOOKUP(Tabelle2[[#This Row],[Kunden Nr.]],KUNDEN!A:G,7)</f>
        <v>Qerimi</v>
      </c>
      <c r="L2308" s="76">
        <f>VLOOKUP(Tabelle2[[#This Row],[Artikel]],Produkte!A:H,8)</f>
        <v>0.17</v>
      </c>
    </row>
    <row r="2309" spans="1:12" x14ac:dyDescent="0.2">
      <c r="A2309" s="75" t="s">
        <v>486</v>
      </c>
      <c r="B2309" s="79">
        <v>46122</v>
      </c>
      <c r="C2309" s="89">
        <v>46.2</v>
      </c>
      <c r="D2309" s="75"/>
      <c r="E2309" s="75"/>
      <c r="F2309" s="75">
        <v>10506</v>
      </c>
      <c r="G2309" s="76" t="str">
        <f>VLOOKUP(Tabelle2[[#This Row],[Kunden Nr.]],KUNDEN!A:B,2,0)</f>
        <v>ARBERI</v>
      </c>
      <c r="H2309" s="75">
        <v>35112</v>
      </c>
      <c r="I2309" s="76" t="str">
        <f>VLOOKUP(Tabelle2[[#This Row],[Artikel]],Produkte!A:B,2,0)</f>
        <v>M-ONE Sanitar Silikon</v>
      </c>
      <c r="J2309" s="75">
        <v>12</v>
      </c>
      <c r="K2309" s="76" t="str">
        <f>VLOOKUP(Tabelle2[[#This Row],[Kunden Nr.]],KUNDEN!A:G,7)</f>
        <v>Qerimi</v>
      </c>
      <c r="L2309" s="76">
        <f>VLOOKUP(Tabelle2[[#This Row],[Artikel]],Produkte!A:H,8)</f>
        <v>0.17</v>
      </c>
    </row>
    <row r="2310" spans="1:12" x14ac:dyDescent="0.2">
      <c r="A2310" s="75" t="s">
        <v>1235</v>
      </c>
      <c r="B2310" s="79">
        <v>46122</v>
      </c>
      <c r="C2310" s="89">
        <v>92.4</v>
      </c>
      <c r="D2310" s="75"/>
      <c r="E2310" s="75"/>
      <c r="F2310" s="75">
        <v>10547</v>
      </c>
      <c r="G2310" s="76" t="e">
        <f>VLOOKUP(Tabelle2[[#This Row],[Kunden Nr.]],KUNDEN!A:B,2,0)</f>
        <v>#N/A</v>
      </c>
      <c r="H2310" s="75">
        <v>35109</v>
      </c>
      <c r="I2310" s="76" t="str">
        <f>VLOOKUP(Tabelle2[[#This Row],[Artikel]],Produkte!A:B,2,0)</f>
        <v>M-ONE Sanitar Silikon</v>
      </c>
      <c r="J2310" s="75">
        <v>12</v>
      </c>
      <c r="K2310" s="76" t="str">
        <f>VLOOKUP(Tabelle2[[#This Row],[Kunden Nr.]],KUNDEN!A:G,7)</f>
        <v>Qerimi</v>
      </c>
      <c r="L2310" s="76">
        <f>VLOOKUP(Tabelle2[[#This Row],[Artikel]],Produkte!A:H,8)</f>
        <v>0.17</v>
      </c>
    </row>
    <row r="2311" spans="1:12" x14ac:dyDescent="0.2">
      <c r="A2311" s="75" t="s">
        <v>1235</v>
      </c>
      <c r="B2311" s="79">
        <v>46122</v>
      </c>
      <c r="C2311" s="75"/>
      <c r="D2311" s="75"/>
      <c r="E2311" s="75"/>
      <c r="F2311" s="75">
        <v>10547</v>
      </c>
      <c r="G2311" s="76" t="e">
        <f>VLOOKUP(Tabelle2[[#This Row],[Kunden Nr.]],KUNDEN!A:B,2,0)</f>
        <v>#N/A</v>
      </c>
      <c r="H2311" s="75">
        <v>35128</v>
      </c>
      <c r="I2311" s="76" t="str">
        <f>VLOOKUP(Tabelle2[[#This Row],[Artikel]],Produkte!A:B,2,0)</f>
        <v>M-ONE Sanitar Silikon</v>
      </c>
      <c r="J2311" s="75">
        <v>12</v>
      </c>
      <c r="K2311" s="76" t="str">
        <f>VLOOKUP(Tabelle2[[#This Row],[Kunden Nr.]],KUNDEN!A:G,7)</f>
        <v>Qerimi</v>
      </c>
      <c r="L2311" s="76">
        <f>VLOOKUP(Tabelle2[[#This Row],[Artikel]],Produkte!A:H,8)</f>
        <v>0.17</v>
      </c>
    </row>
    <row r="2312" spans="1:12" x14ac:dyDescent="0.2">
      <c r="A2312" s="75" t="s">
        <v>487</v>
      </c>
      <c r="B2312" s="79">
        <v>46122</v>
      </c>
      <c r="C2312" s="89">
        <v>138.6</v>
      </c>
      <c r="D2312" s="75"/>
      <c r="E2312" s="75"/>
      <c r="F2312" s="75">
        <v>10507</v>
      </c>
      <c r="G2312" s="76" t="str">
        <f>VLOOKUP(Tabelle2[[#This Row],[Kunden Nr.]],KUNDEN!A:B,2,0)</f>
        <v>REAL COLOR 2</v>
      </c>
      <c r="H2312" s="75">
        <v>35109</v>
      </c>
      <c r="I2312" s="76" t="str">
        <f>VLOOKUP(Tabelle2[[#This Row],[Artikel]],Produkte!A:B,2,0)</f>
        <v>M-ONE Sanitar Silikon</v>
      </c>
      <c r="J2312" s="75">
        <v>12</v>
      </c>
      <c r="K2312" s="76" t="str">
        <f>VLOOKUP(Tabelle2[[#This Row],[Kunden Nr.]],KUNDEN!A:G,7)</f>
        <v>Qerimi</v>
      </c>
      <c r="L2312" s="76">
        <f>VLOOKUP(Tabelle2[[#This Row],[Artikel]],Produkte!A:H,8)</f>
        <v>0.17</v>
      </c>
    </row>
    <row r="2313" spans="1:12" x14ac:dyDescent="0.2">
      <c r="A2313" s="75" t="s">
        <v>487</v>
      </c>
      <c r="B2313" s="79">
        <v>46122</v>
      </c>
      <c r="C2313" s="75"/>
      <c r="D2313" s="75"/>
      <c r="E2313" s="75"/>
      <c r="F2313" s="75">
        <v>10507</v>
      </c>
      <c r="G2313" s="76" t="str">
        <f>VLOOKUP(Tabelle2[[#This Row],[Kunden Nr.]],KUNDEN!A:B,2,0)</f>
        <v>REAL COLOR 2</v>
      </c>
      <c r="H2313" s="75">
        <v>35113</v>
      </c>
      <c r="I2313" s="76" t="str">
        <f>VLOOKUP(Tabelle2[[#This Row],[Artikel]],Produkte!A:B,2,0)</f>
        <v>M-ONE Sanitar Silikon</v>
      </c>
      <c r="J2313" s="75">
        <v>12</v>
      </c>
      <c r="K2313" s="76" t="str">
        <f>VLOOKUP(Tabelle2[[#This Row],[Kunden Nr.]],KUNDEN!A:G,7)</f>
        <v>Qerimi</v>
      </c>
      <c r="L2313" s="76">
        <f>VLOOKUP(Tabelle2[[#This Row],[Artikel]],Produkte!A:H,8)</f>
        <v>0.17</v>
      </c>
    </row>
    <row r="2314" spans="1:12" x14ac:dyDescent="0.2">
      <c r="A2314" s="75" t="s">
        <v>487</v>
      </c>
      <c r="B2314" s="79">
        <v>46122</v>
      </c>
      <c r="C2314" s="75"/>
      <c r="D2314" s="75"/>
      <c r="E2314" s="75"/>
      <c r="F2314" s="75">
        <v>10507</v>
      </c>
      <c r="G2314" s="76" t="str">
        <f>VLOOKUP(Tabelle2[[#This Row],[Kunden Nr.]],KUNDEN!A:B,2,0)</f>
        <v>REAL COLOR 2</v>
      </c>
      <c r="H2314" s="75">
        <v>35114</v>
      </c>
      <c r="I2314" s="76" t="str">
        <f>VLOOKUP(Tabelle2[[#This Row],[Artikel]],Produkte!A:B,2,0)</f>
        <v>M-ONE Sanitar Silikon</v>
      </c>
      <c r="J2314" s="75">
        <v>12</v>
      </c>
      <c r="K2314" s="76" t="str">
        <f>VLOOKUP(Tabelle2[[#This Row],[Kunden Nr.]],KUNDEN!A:G,7)</f>
        <v>Qerimi</v>
      </c>
      <c r="L2314" s="76">
        <f>VLOOKUP(Tabelle2[[#This Row],[Artikel]],Produkte!A:H,8)</f>
        <v>0.17</v>
      </c>
    </row>
    <row r="2315" spans="1:12" x14ac:dyDescent="0.2">
      <c r="A2315" s="75" t="s">
        <v>666</v>
      </c>
      <c r="B2315" s="79">
        <v>46122</v>
      </c>
      <c r="C2315" s="89">
        <v>79.5</v>
      </c>
      <c r="D2315" s="75"/>
      <c r="E2315" s="75"/>
      <c r="F2315" s="75">
        <v>10529</v>
      </c>
      <c r="G2315" s="76" t="str">
        <f>VLOOKUP(Tabelle2[[#This Row],[Kunden Nr.]],KUNDEN!A:B,2,0)</f>
        <v>ARDI LIPJAN</v>
      </c>
      <c r="H2315" s="75">
        <v>50912</v>
      </c>
      <c r="I2315" s="76" t="str">
        <f>VLOOKUP(Tabelle2[[#This Row],[Artikel]],Produkte!A:B,2,0)</f>
        <v>DICHTUNG</v>
      </c>
      <c r="J2315" s="75">
        <v>5</v>
      </c>
      <c r="K2315" s="76" t="str">
        <f>VLOOKUP(Tabelle2[[#This Row],[Kunden Nr.]],KUNDEN!A:G,7)</f>
        <v>Qerimi</v>
      </c>
      <c r="L2315" s="76">
        <f>VLOOKUP(Tabelle2[[#This Row],[Artikel]],Produkte!A:H,8)</f>
        <v>0.2</v>
      </c>
    </row>
    <row r="2316" spans="1:12" x14ac:dyDescent="0.2">
      <c r="A2316" s="75" t="s">
        <v>666</v>
      </c>
      <c r="B2316" s="79">
        <v>46122</v>
      </c>
      <c r="C2316" s="75"/>
      <c r="D2316" s="75"/>
      <c r="E2316" s="75"/>
      <c r="F2316" s="75">
        <v>10529</v>
      </c>
      <c r="G2316" s="76" t="str">
        <f>VLOOKUP(Tabelle2[[#This Row],[Kunden Nr.]],KUNDEN!A:B,2,0)</f>
        <v>ARDI LIPJAN</v>
      </c>
      <c r="H2316" s="75">
        <v>55718</v>
      </c>
      <c r="I2316" s="76" t="str">
        <f>VLOOKUP(Tabelle2[[#This Row],[Artikel]],Produkte!A:B,2,0)</f>
        <v>M ONE MOTORSTART</v>
      </c>
      <c r="J2316" s="75">
        <v>6</v>
      </c>
      <c r="K2316" s="76" t="str">
        <f>VLOOKUP(Tabelle2[[#This Row],[Kunden Nr.]],KUNDEN!A:G,7)</f>
        <v>Qerimi</v>
      </c>
      <c r="L2316" s="76">
        <f>VLOOKUP(Tabelle2[[#This Row],[Artikel]],Produkte!A:H,8)</f>
        <v>0.2</v>
      </c>
    </row>
    <row r="2317" spans="1:12" x14ac:dyDescent="0.2">
      <c r="A2317" s="75" t="s">
        <v>666</v>
      </c>
      <c r="B2317" s="79">
        <v>46122</v>
      </c>
      <c r="C2317" s="75"/>
      <c r="D2317" s="75"/>
      <c r="E2317" s="75"/>
      <c r="F2317" s="75">
        <v>10529</v>
      </c>
      <c r="G2317" s="76" t="str">
        <f>VLOOKUP(Tabelle2[[#This Row],[Kunden Nr.]],KUNDEN!A:B,2,0)</f>
        <v>ARDI LIPJAN</v>
      </c>
      <c r="H2317" s="75">
        <v>16936</v>
      </c>
      <c r="I2317" s="76" t="str">
        <f>VLOOKUP(Tabelle2[[#This Row],[Artikel]],Produkte!A:B,2,0)</f>
        <v>M ONE FELGENSILBER</v>
      </c>
      <c r="J2317" s="75">
        <v>4</v>
      </c>
      <c r="K2317" s="76" t="str">
        <f>VLOOKUP(Tabelle2[[#This Row],[Kunden Nr.]],KUNDEN!A:G,7)</f>
        <v>Qerimi</v>
      </c>
      <c r="L2317" s="76">
        <f>VLOOKUP(Tabelle2[[#This Row],[Artikel]],Produkte!A:H,8)</f>
        <v>0.15</v>
      </c>
    </row>
    <row r="2318" spans="1:12" x14ac:dyDescent="0.2">
      <c r="A2318" s="75" t="s">
        <v>666</v>
      </c>
      <c r="B2318" s="79">
        <v>46122</v>
      </c>
      <c r="C2318" s="75"/>
      <c r="D2318" s="75"/>
      <c r="E2318" s="75"/>
      <c r="F2318" s="75">
        <v>10529</v>
      </c>
      <c r="G2318" s="76" t="str">
        <f>VLOOKUP(Tabelle2[[#This Row],[Kunden Nr.]],KUNDEN!A:B,2,0)</f>
        <v>ARDI LIPJAN</v>
      </c>
      <c r="H2318" s="75">
        <v>69236</v>
      </c>
      <c r="I2318" s="76" t="str">
        <f>VLOOKUP(Tabelle2[[#This Row],[Artikel]],Produkte!A:B,2,0)</f>
        <v>M ONE WEISS GLÄNZEND</v>
      </c>
      <c r="J2318" s="75">
        <v>5</v>
      </c>
      <c r="K2318" s="76" t="str">
        <f>VLOOKUP(Tabelle2[[#This Row],[Kunden Nr.]],KUNDEN!A:G,7)</f>
        <v>Qerimi</v>
      </c>
      <c r="L2318" s="76">
        <f>VLOOKUP(Tabelle2[[#This Row],[Artikel]],Produkte!A:H,8)</f>
        <v>0.15</v>
      </c>
    </row>
    <row r="2319" spans="1:12" x14ac:dyDescent="0.2">
      <c r="A2319" s="75" t="s">
        <v>484</v>
      </c>
      <c r="B2319" s="79">
        <v>46122</v>
      </c>
      <c r="C2319" s="89">
        <v>46.2</v>
      </c>
      <c r="D2319" s="75"/>
      <c r="E2319" s="75"/>
      <c r="F2319" s="75">
        <v>10504</v>
      </c>
      <c r="G2319" s="76" t="str">
        <f>VLOOKUP(Tabelle2[[#This Row],[Kunden Nr.]],KUNDEN!A:B,2,0)</f>
        <v>CARRALEVA 1</v>
      </c>
      <c r="H2319" s="75">
        <v>35109</v>
      </c>
      <c r="I2319" s="76" t="str">
        <f>VLOOKUP(Tabelle2[[#This Row],[Artikel]],Produkte!A:B,2,0)</f>
        <v>M-ONE Sanitar Silikon</v>
      </c>
      <c r="J2319" s="75">
        <v>12</v>
      </c>
      <c r="K2319" s="76" t="str">
        <f>VLOOKUP(Tabelle2[[#This Row],[Kunden Nr.]],KUNDEN!A:G,7)</f>
        <v>Qerimi</v>
      </c>
      <c r="L2319" s="76">
        <f>VLOOKUP(Tabelle2[[#This Row],[Artikel]],Produkte!A:H,8)</f>
        <v>0.17</v>
      </c>
    </row>
    <row r="2320" spans="1:12" x14ac:dyDescent="0.2">
      <c r="A2320" s="75" t="s">
        <v>1123</v>
      </c>
      <c r="B2320" s="79">
        <v>46122</v>
      </c>
      <c r="C2320" s="89">
        <v>60</v>
      </c>
      <c r="D2320" s="75"/>
      <c r="E2320" s="75"/>
      <c r="F2320" s="75">
        <v>20427</v>
      </c>
      <c r="G2320" s="76" t="e">
        <f>VLOOKUP(Tabelle2[[#This Row],[Kunden Nr.]],KUNDEN!A:B,2,0)</f>
        <v>#N/A</v>
      </c>
      <c r="H2320" s="75">
        <v>56117</v>
      </c>
      <c r="I2320" s="76" t="str">
        <f>VLOOKUP(Tabelle2[[#This Row],[Artikel]],Produkte!A:B,2,0)</f>
        <v>M ONE UBS</v>
      </c>
      <c r="J2320" s="75">
        <v>4</v>
      </c>
      <c r="K2320" s="76" t="str">
        <f>VLOOKUP(Tabelle2[[#This Row],[Kunden Nr.]],KUNDEN!A:G,7)</f>
        <v>Mensuri</v>
      </c>
      <c r="L2320" s="76">
        <f>VLOOKUP(Tabelle2[[#This Row],[Artikel]],Produkte!A:H,8)</f>
        <v>0.2</v>
      </c>
    </row>
    <row r="2321" spans="1:12" x14ac:dyDescent="0.2">
      <c r="A2321" s="75" t="s">
        <v>1123</v>
      </c>
      <c r="B2321" s="79">
        <v>46122</v>
      </c>
      <c r="C2321" s="75"/>
      <c r="D2321" s="75"/>
      <c r="E2321" s="75"/>
      <c r="F2321" s="75">
        <v>20427</v>
      </c>
      <c r="G2321" s="76" t="e">
        <f>VLOOKUP(Tabelle2[[#This Row],[Kunden Nr.]],KUNDEN!A:B,2,0)</f>
        <v>#N/A</v>
      </c>
      <c r="H2321" s="75">
        <v>51936</v>
      </c>
      <c r="I2321" s="76" t="str">
        <f>VLOOKUP(Tabelle2[[#This Row],[Artikel]],Produkte!A:B,2,0)</f>
        <v>M ONE SCHWARZ GLÄNZED</v>
      </c>
      <c r="J2321" s="75">
        <v>4</v>
      </c>
      <c r="K2321" s="76" t="str">
        <f>VLOOKUP(Tabelle2[[#This Row],[Kunden Nr.]],KUNDEN!A:G,7)</f>
        <v>Mensuri</v>
      </c>
      <c r="L2321" s="76">
        <f>VLOOKUP(Tabelle2[[#This Row],[Artikel]],Produkte!A:H,8)</f>
        <v>0.15</v>
      </c>
    </row>
    <row r="2322" spans="1:12" x14ac:dyDescent="0.2">
      <c r="A2322" s="75" t="s">
        <v>1123</v>
      </c>
      <c r="B2322" s="79">
        <v>46122</v>
      </c>
      <c r="C2322" s="75"/>
      <c r="D2322" s="75"/>
      <c r="E2322" s="75"/>
      <c r="F2322" s="75">
        <v>20427</v>
      </c>
      <c r="G2322" s="76" t="e">
        <f>VLOOKUP(Tabelle2[[#This Row],[Kunden Nr.]],KUNDEN!A:B,2,0)</f>
        <v>#N/A</v>
      </c>
      <c r="H2322" s="75">
        <v>16936</v>
      </c>
      <c r="I2322" s="76" t="str">
        <f>VLOOKUP(Tabelle2[[#This Row],[Artikel]],Produkte!A:B,2,0)</f>
        <v>M ONE FELGENSILBER</v>
      </c>
      <c r="J2322" s="75">
        <v>4</v>
      </c>
      <c r="K2322" s="76" t="str">
        <f>VLOOKUP(Tabelle2[[#This Row],[Kunden Nr.]],KUNDEN!A:G,7)</f>
        <v>Mensuri</v>
      </c>
      <c r="L2322" s="76">
        <f>VLOOKUP(Tabelle2[[#This Row],[Artikel]],Produkte!A:H,8)</f>
        <v>0.15</v>
      </c>
    </row>
    <row r="2323" spans="1:12" x14ac:dyDescent="0.2">
      <c r="A2323" s="75" t="s">
        <v>1123</v>
      </c>
      <c r="B2323" s="79">
        <v>46122</v>
      </c>
      <c r="C2323" s="75"/>
      <c r="D2323" s="75"/>
      <c r="E2323" s="75"/>
      <c r="F2323" s="75">
        <v>20427</v>
      </c>
      <c r="G2323" s="76" t="e">
        <f>VLOOKUP(Tabelle2[[#This Row],[Kunden Nr.]],KUNDEN!A:B,2,0)</f>
        <v>#N/A</v>
      </c>
      <c r="H2323" s="75">
        <v>50912</v>
      </c>
      <c r="I2323" s="76" t="str">
        <f>VLOOKUP(Tabelle2[[#This Row],[Artikel]],Produkte!A:B,2,0)</f>
        <v>DICHTUNG</v>
      </c>
      <c r="J2323" s="75">
        <v>3</v>
      </c>
      <c r="K2323" s="76" t="str">
        <f>VLOOKUP(Tabelle2[[#This Row],[Kunden Nr.]],KUNDEN!A:G,7)</f>
        <v>Mensuri</v>
      </c>
      <c r="L2323" s="76">
        <f>VLOOKUP(Tabelle2[[#This Row],[Artikel]],Produkte!A:H,8)</f>
        <v>0.2</v>
      </c>
    </row>
    <row r="2324" spans="1:12" x14ac:dyDescent="0.2">
      <c r="A2324" s="75" t="s">
        <v>1258</v>
      </c>
      <c r="B2324" s="79">
        <v>46122</v>
      </c>
      <c r="C2324" s="89">
        <v>107.4</v>
      </c>
      <c r="D2324" s="75"/>
      <c r="E2324" s="75"/>
      <c r="F2324" s="75">
        <v>20511</v>
      </c>
      <c r="G2324" s="76" t="str">
        <f>VLOOKUP(Tabelle2[[#This Row],[Kunden Nr.]],KUNDEN!A:B,2,0)</f>
        <v>LIRIDONA KLINE</v>
      </c>
      <c r="H2324" s="75">
        <v>35111</v>
      </c>
      <c r="I2324" s="76" t="str">
        <f>VLOOKUP(Tabelle2[[#This Row],[Artikel]],Produkte!A:B,2,0)</f>
        <v>M-ONE Sanitar Silikon</v>
      </c>
      <c r="J2324" s="75">
        <v>12</v>
      </c>
      <c r="K2324" s="76" t="str">
        <f>VLOOKUP(Tabelle2[[#This Row],[Kunden Nr.]],KUNDEN!A:G,7)</f>
        <v>Mensuri</v>
      </c>
      <c r="L2324" s="76">
        <f>VLOOKUP(Tabelle2[[#This Row],[Artikel]],Produkte!A:H,8)</f>
        <v>0.17</v>
      </c>
    </row>
    <row r="2325" spans="1:12" x14ac:dyDescent="0.2">
      <c r="A2325" s="75" t="s">
        <v>1258</v>
      </c>
      <c r="B2325" s="79">
        <v>46122</v>
      </c>
      <c r="C2325" s="75"/>
      <c r="D2325" s="75"/>
      <c r="E2325" s="75"/>
      <c r="F2325" s="75">
        <v>20511</v>
      </c>
      <c r="G2325" s="76" t="str">
        <f>VLOOKUP(Tabelle2[[#This Row],[Kunden Nr.]],KUNDEN!A:B,2,0)</f>
        <v>LIRIDONA KLINE</v>
      </c>
      <c r="H2325" s="75">
        <v>35121</v>
      </c>
      <c r="I2325" s="76" t="str">
        <f>VLOOKUP(Tabelle2[[#This Row],[Artikel]],Produkte!A:B,2,0)</f>
        <v>M-ONE Sanitar Silikon</v>
      </c>
      <c r="J2325" s="75">
        <v>12</v>
      </c>
      <c r="K2325" s="76" t="str">
        <f>VLOOKUP(Tabelle2[[#This Row],[Kunden Nr.]],KUNDEN!A:G,7)</f>
        <v>Mensuri</v>
      </c>
      <c r="L2325" s="76">
        <f>VLOOKUP(Tabelle2[[#This Row],[Artikel]],Produkte!A:H,8)</f>
        <v>0.17</v>
      </c>
    </row>
    <row r="2326" spans="1:12" x14ac:dyDescent="0.2">
      <c r="A2326" s="75" t="s">
        <v>1258</v>
      </c>
      <c r="B2326" s="79">
        <v>46122</v>
      </c>
      <c r="C2326" s="75"/>
      <c r="D2326" s="75"/>
      <c r="E2326" s="75"/>
      <c r="F2326" s="75">
        <v>20511</v>
      </c>
      <c r="G2326" s="76" t="str">
        <f>VLOOKUP(Tabelle2[[#This Row],[Kunden Nr.]],KUNDEN!A:B,2,0)</f>
        <v>LIRIDONA KLINE</v>
      </c>
      <c r="H2326" s="75">
        <v>51611</v>
      </c>
      <c r="I2326" s="76" t="str">
        <f>VLOOKUP(Tabelle2[[#This Row],[Artikel]],Produkte!A:B,2,0)</f>
        <v>universal akryl</v>
      </c>
      <c r="J2326" s="75">
        <v>12</v>
      </c>
      <c r="K2326" s="76" t="str">
        <f>VLOOKUP(Tabelle2[[#This Row],[Kunden Nr.]],KUNDEN!A:G,7)</f>
        <v>Mensuri</v>
      </c>
      <c r="L2326" s="76">
        <f>VLOOKUP(Tabelle2[[#This Row],[Artikel]],Produkte!A:H,8)</f>
        <v>0.06</v>
      </c>
    </row>
    <row r="2327" spans="1:12" x14ac:dyDescent="0.2">
      <c r="A2327" s="75" t="s">
        <v>674</v>
      </c>
      <c r="B2327" s="79">
        <v>46122</v>
      </c>
      <c r="C2327" s="89">
        <v>277.2</v>
      </c>
      <c r="D2327" s="75"/>
      <c r="E2327" s="75"/>
      <c r="F2327" s="75">
        <v>20508</v>
      </c>
      <c r="G2327" s="76" t="str">
        <f>VLOOKUP(Tabelle2[[#This Row],[Kunden Nr.]],KUNDEN!A:B,2,0)</f>
        <v>LIRIDONA HOME</v>
      </c>
      <c r="H2327" s="75">
        <v>35109</v>
      </c>
      <c r="I2327" s="76" t="str">
        <f>VLOOKUP(Tabelle2[[#This Row],[Artikel]],Produkte!A:B,2,0)</f>
        <v>M-ONE Sanitar Silikon</v>
      </c>
      <c r="J2327" s="75">
        <v>24</v>
      </c>
      <c r="K2327" s="76" t="str">
        <f>VLOOKUP(Tabelle2[[#This Row],[Kunden Nr.]],KUNDEN!A:G,7)</f>
        <v>Mensuri</v>
      </c>
      <c r="L2327" s="76">
        <f>VLOOKUP(Tabelle2[[#This Row],[Artikel]],Produkte!A:H,8)</f>
        <v>0.17</v>
      </c>
    </row>
    <row r="2328" spans="1:12" x14ac:dyDescent="0.2">
      <c r="A2328" s="75" t="s">
        <v>674</v>
      </c>
      <c r="B2328" s="79">
        <v>46122</v>
      </c>
      <c r="C2328" s="75"/>
      <c r="D2328" s="75"/>
      <c r="E2328" s="75"/>
      <c r="F2328" s="75">
        <v>20508</v>
      </c>
      <c r="G2328" s="76" t="str">
        <f>VLOOKUP(Tabelle2[[#This Row],[Kunden Nr.]],KUNDEN!A:B,2,0)</f>
        <v>LIRIDONA HOME</v>
      </c>
      <c r="H2328" s="75">
        <v>35121</v>
      </c>
      <c r="I2328" s="76" t="str">
        <f>VLOOKUP(Tabelle2[[#This Row],[Artikel]],Produkte!A:B,2,0)</f>
        <v>M-ONE Sanitar Silikon</v>
      </c>
      <c r="J2328" s="75">
        <v>24</v>
      </c>
      <c r="K2328" s="76" t="str">
        <f>VLOOKUP(Tabelle2[[#This Row],[Kunden Nr.]],KUNDEN!A:G,7)</f>
        <v>Mensuri</v>
      </c>
      <c r="L2328" s="76">
        <f>VLOOKUP(Tabelle2[[#This Row],[Artikel]],Produkte!A:H,8)</f>
        <v>0.17</v>
      </c>
    </row>
    <row r="2329" spans="1:12" x14ac:dyDescent="0.2">
      <c r="A2329" s="75" t="s">
        <v>674</v>
      </c>
      <c r="B2329" s="79">
        <v>46122</v>
      </c>
      <c r="C2329" s="75"/>
      <c r="D2329" s="75"/>
      <c r="E2329" s="75"/>
      <c r="F2329" s="75">
        <v>20508</v>
      </c>
      <c r="G2329" s="76" t="str">
        <f>VLOOKUP(Tabelle2[[#This Row],[Kunden Nr.]],KUNDEN!A:B,2,0)</f>
        <v>LIRIDONA HOME</v>
      </c>
      <c r="H2329" s="75">
        <v>35110</v>
      </c>
      <c r="I2329" s="76" t="str">
        <f>VLOOKUP(Tabelle2[[#This Row],[Artikel]],Produkte!A:B,2,0)</f>
        <v>M-ONE Sanitar Silikon</v>
      </c>
      <c r="J2329" s="75">
        <v>12</v>
      </c>
      <c r="K2329" s="76" t="str">
        <f>VLOOKUP(Tabelle2[[#This Row],[Kunden Nr.]],KUNDEN!A:G,7)</f>
        <v>Mensuri</v>
      </c>
      <c r="L2329" s="76">
        <f>VLOOKUP(Tabelle2[[#This Row],[Artikel]],Produkte!A:H,8)</f>
        <v>0.17</v>
      </c>
    </row>
    <row r="2330" spans="1:12" x14ac:dyDescent="0.2">
      <c r="A2330" s="75" t="s">
        <v>674</v>
      </c>
      <c r="B2330" s="79">
        <v>46122</v>
      </c>
      <c r="C2330" s="75"/>
      <c r="D2330" s="75"/>
      <c r="E2330" s="75"/>
      <c r="F2330" s="75">
        <v>20508</v>
      </c>
      <c r="G2330" s="76" t="str">
        <f>VLOOKUP(Tabelle2[[#This Row],[Kunden Nr.]],KUNDEN!A:B,2,0)</f>
        <v>LIRIDONA HOME</v>
      </c>
      <c r="H2330" s="75">
        <v>35113</v>
      </c>
      <c r="I2330" s="76" t="str">
        <f>VLOOKUP(Tabelle2[[#This Row],[Artikel]],Produkte!A:B,2,0)</f>
        <v>M-ONE Sanitar Silikon</v>
      </c>
      <c r="J2330" s="75">
        <v>12</v>
      </c>
      <c r="K2330" s="76" t="str">
        <f>VLOOKUP(Tabelle2[[#This Row],[Kunden Nr.]],KUNDEN!A:G,7)</f>
        <v>Mensuri</v>
      </c>
      <c r="L2330" s="76">
        <f>VLOOKUP(Tabelle2[[#This Row],[Artikel]],Produkte!A:H,8)</f>
        <v>0.17</v>
      </c>
    </row>
    <row r="2331" spans="1:12" x14ac:dyDescent="0.2">
      <c r="A2331" s="75" t="s">
        <v>461</v>
      </c>
      <c r="B2331" s="79">
        <v>46122</v>
      </c>
      <c r="C2331" s="89">
        <v>42.5</v>
      </c>
      <c r="D2331" s="75"/>
      <c r="E2331" s="75"/>
      <c r="F2331" s="75">
        <v>20513</v>
      </c>
      <c r="G2331" s="76" t="str">
        <f>VLOOKUP(Tabelle2[[#This Row],[Kunden Nr.]],KUNDEN!A:B,2,0)</f>
        <v>BERATI A.P. (1)</v>
      </c>
      <c r="H2331" s="75">
        <v>50912</v>
      </c>
      <c r="I2331" s="76" t="str">
        <f>VLOOKUP(Tabelle2[[#This Row],[Artikel]],Produkte!A:B,2,0)</f>
        <v>DICHTUNG</v>
      </c>
      <c r="J2331" s="75">
        <v>2</v>
      </c>
      <c r="K2331" s="76" t="str">
        <f>VLOOKUP(Tabelle2[[#This Row],[Kunden Nr.]],KUNDEN!A:G,7)</f>
        <v>Mensuri</v>
      </c>
      <c r="L2331" s="76">
        <f>VLOOKUP(Tabelle2[[#This Row],[Artikel]],Produkte!A:H,8)</f>
        <v>0.2</v>
      </c>
    </row>
    <row r="2332" spans="1:12" x14ac:dyDescent="0.2">
      <c r="A2332" s="75" t="s">
        <v>461</v>
      </c>
      <c r="B2332" s="79">
        <v>46122</v>
      </c>
      <c r="C2332" s="75"/>
      <c r="D2332" s="75"/>
      <c r="E2332" s="75"/>
      <c r="F2332" s="75">
        <v>20513</v>
      </c>
      <c r="G2332" s="76" t="str">
        <f>VLOOKUP(Tabelle2[[#This Row],[Kunden Nr.]],KUNDEN!A:B,2,0)</f>
        <v>BERATI A.P. (1)</v>
      </c>
      <c r="H2332" s="75">
        <v>56117</v>
      </c>
      <c r="I2332" s="76" t="str">
        <f>VLOOKUP(Tabelle2[[#This Row],[Artikel]],Produkte!A:B,2,0)</f>
        <v>M ONE UBS</v>
      </c>
      <c r="J2332" s="75">
        <v>4</v>
      </c>
      <c r="K2332" s="76" t="str">
        <f>VLOOKUP(Tabelle2[[#This Row],[Kunden Nr.]],KUNDEN!A:G,7)</f>
        <v>Mensuri</v>
      </c>
      <c r="L2332" s="76">
        <f>VLOOKUP(Tabelle2[[#This Row],[Artikel]],Produkte!A:H,8)</f>
        <v>0.2</v>
      </c>
    </row>
    <row r="2333" spans="1:12" x14ac:dyDescent="0.2">
      <c r="A2333" s="75" t="s">
        <v>461</v>
      </c>
      <c r="B2333" s="79">
        <v>46122</v>
      </c>
      <c r="C2333" s="75"/>
      <c r="D2333" s="75"/>
      <c r="E2333" s="75"/>
      <c r="F2333" s="75">
        <v>20513</v>
      </c>
      <c r="G2333" s="76" t="str">
        <f>VLOOKUP(Tabelle2[[#This Row],[Kunden Nr.]],KUNDEN!A:B,2,0)</f>
        <v>BERATI A.P. (1)</v>
      </c>
      <c r="H2333" s="75">
        <v>44001</v>
      </c>
      <c r="I2333" s="76" t="str">
        <f>VLOOKUP(Tabelle2[[#This Row],[Artikel]],Produkte!A:B,2,0)</f>
        <v>Fettspray</v>
      </c>
      <c r="J2333" s="75">
        <v>2</v>
      </c>
      <c r="K2333" s="76" t="str">
        <f>VLOOKUP(Tabelle2[[#This Row],[Kunden Nr.]],KUNDEN!A:G,7)</f>
        <v>Mensuri</v>
      </c>
      <c r="L2333" s="76">
        <f>VLOOKUP(Tabelle2[[#This Row],[Artikel]],Produkte!A:H,8)</f>
        <v>0.2</v>
      </c>
    </row>
    <row r="2334" spans="1:12" x14ac:dyDescent="0.2">
      <c r="A2334" s="75" t="s">
        <v>461</v>
      </c>
      <c r="B2334" s="79">
        <v>46122</v>
      </c>
      <c r="C2334" s="75"/>
      <c r="D2334" s="75"/>
      <c r="E2334" s="75"/>
      <c r="F2334" s="75">
        <v>20513</v>
      </c>
      <c r="G2334" s="76" t="str">
        <f>VLOOKUP(Tabelle2[[#This Row],[Kunden Nr.]],KUNDEN!A:B,2,0)</f>
        <v>BERATI A.P. (1)</v>
      </c>
      <c r="H2334" s="75">
        <v>55718</v>
      </c>
      <c r="I2334" s="76" t="str">
        <f>VLOOKUP(Tabelle2[[#This Row],[Artikel]],Produkte!A:B,2,0)</f>
        <v>M ONE MOTORSTART</v>
      </c>
      <c r="J2334" s="75">
        <v>1</v>
      </c>
      <c r="K2334" s="76" t="str">
        <f>VLOOKUP(Tabelle2[[#This Row],[Kunden Nr.]],KUNDEN!A:G,7)</f>
        <v>Mensuri</v>
      </c>
      <c r="L2334" s="76">
        <f>VLOOKUP(Tabelle2[[#This Row],[Artikel]],Produkte!A:H,8)</f>
        <v>0.2</v>
      </c>
    </row>
    <row r="2335" spans="1:12" x14ac:dyDescent="0.2">
      <c r="A2335" s="75" t="s">
        <v>463</v>
      </c>
      <c r="B2335" s="79">
        <v>46122</v>
      </c>
      <c r="C2335" s="89">
        <v>462</v>
      </c>
      <c r="D2335" s="75"/>
      <c r="E2335" s="75"/>
      <c r="F2335" s="75">
        <v>20515</v>
      </c>
      <c r="G2335" s="76" t="str">
        <f>VLOOKUP(Tabelle2[[#This Row],[Kunden Nr.]],KUNDEN!A:B,2,0)</f>
        <v>LIRIDONA-A</v>
      </c>
      <c r="H2335" s="75">
        <v>35121</v>
      </c>
      <c r="I2335" s="76" t="str">
        <f>VLOOKUP(Tabelle2[[#This Row],[Artikel]],Produkte!A:B,2,0)</f>
        <v>M-ONE Sanitar Silikon</v>
      </c>
      <c r="J2335" s="75">
        <v>60</v>
      </c>
      <c r="K2335" s="76" t="str">
        <f>VLOOKUP(Tabelle2[[#This Row],[Kunden Nr.]],KUNDEN!A:G,7)</f>
        <v>Mensuri</v>
      </c>
      <c r="L2335" s="76">
        <f>VLOOKUP(Tabelle2[[#This Row],[Artikel]],Produkte!A:H,8)</f>
        <v>0.17</v>
      </c>
    </row>
    <row r="2336" spans="1:12" x14ac:dyDescent="0.2">
      <c r="A2336" s="75" t="s">
        <v>463</v>
      </c>
      <c r="B2336" s="79">
        <v>46122</v>
      </c>
      <c r="C2336" s="75"/>
      <c r="D2336" s="75"/>
      <c r="E2336" s="75"/>
      <c r="F2336" s="75">
        <v>20515</v>
      </c>
      <c r="G2336" s="76" t="str">
        <f>VLOOKUP(Tabelle2[[#This Row],[Kunden Nr.]],KUNDEN!A:B,2,0)</f>
        <v>LIRIDONA-A</v>
      </c>
      <c r="H2336" s="75">
        <v>35113</v>
      </c>
      <c r="I2336" s="76" t="str">
        <f>VLOOKUP(Tabelle2[[#This Row],[Artikel]],Produkte!A:B,2,0)</f>
        <v>M-ONE Sanitar Silikon</v>
      </c>
      <c r="J2336" s="75">
        <v>12</v>
      </c>
      <c r="K2336" s="76" t="str">
        <f>VLOOKUP(Tabelle2[[#This Row],[Kunden Nr.]],KUNDEN!A:G,7)</f>
        <v>Mensuri</v>
      </c>
      <c r="L2336" s="76">
        <f>VLOOKUP(Tabelle2[[#This Row],[Artikel]],Produkte!A:H,8)</f>
        <v>0.17</v>
      </c>
    </row>
    <row r="2337" spans="1:12" x14ac:dyDescent="0.2">
      <c r="A2337" s="75" t="s">
        <v>463</v>
      </c>
      <c r="B2337" s="79">
        <v>46122</v>
      </c>
      <c r="C2337" s="75"/>
      <c r="D2337" s="75"/>
      <c r="E2337" s="75"/>
      <c r="F2337" s="75">
        <v>20515</v>
      </c>
      <c r="G2337" s="76" t="str">
        <f>VLOOKUP(Tabelle2[[#This Row],[Kunden Nr.]],KUNDEN!A:B,2,0)</f>
        <v>LIRIDONA-A</v>
      </c>
      <c r="H2337" s="75">
        <v>66701</v>
      </c>
      <c r="I2337" s="76" t="str">
        <f>VLOOKUP(Tabelle2[[#This Row],[Artikel]],Produkte!A:B,2,0)</f>
        <v>PROFIMONT EXTREME</v>
      </c>
      <c r="J2337" s="75">
        <v>12</v>
      </c>
      <c r="K2337" s="76" t="str">
        <f>VLOOKUP(Tabelle2[[#This Row],[Kunden Nr.]],KUNDEN!A:G,7)</f>
        <v>Mensuri</v>
      </c>
      <c r="L2337" s="76">
        <f>VLOOKUP(Tabelle2[[#This Row],[Artikel]],Produkte!A:H,8)</f>
        <v>0.2</v>
      </c>
    </row>
    <row r="2338" spans="1:12" x14ac:dyDescent="0.2">
      <c r="A2338" s="75" t="s">
        <v>463</v>
      </c>
      <c r="B2338" s="79">
        <v>46122</v>
      </c>
      <c r="C2338" s="75"/>
      <c r="D2338" s="75"/>
      <c r="E2338" s="75"/>
      <c r="F2338" s="75">
        <v>20515</v>
      </c>
      <c r="G2338" s="76" t="str">
        <f>VLOOKUP(Tabelle2[[#This Row],[Kunden Nr.]],KUNDEN!A:B,2,0)</f>
        <v>LIRIDONA-A</v>
      </c>
      <c r="H2338" s="75">
        <v>51611</v>
      </c>
      <c r="I2338" s="76" t="str">
        <f>VLOOKUP(Tabelle2[[#This Row],[Artikel]],Produkte!A:B,2,0)</f>
        <v>universal akryl</v>
      </c>
      <c r="J2338" s="75">
        <v>48</v>
      </c>
      <c r="K2338" s="76" t="str">
        <f>VLOOKUP(Tabelle2[[#This Row],[Kunden Nr.]],KUNDEN!A:G,7)</f>
        <v>Mensuri</v>
      </c>
      <c r="L2338" s="76">
        <f>VLOOKUP(Tabelle2[[#This Row],[Artikel]],Produkte!A:H,8)</f>
        <v>0.06</v>
      </c>
    </row>
    <row r="2339" spans="1:12" x14ac:dyDescent="0.2">
      <c r="A2339" s="75" t="s">
        <v>463</v>
      </c>
      <c r="B2339" s="79">
        <v>46122</v>
      </c>
      <c r="C2339" s="75"/>
      <c r="D2339" s="75"/>
      <c r="E2339" s="75"/>
      <c r="F2339" s="75">
        <v>20515</v>
      </c>
      <c r="G2339" s="76" t="str">
        <f>VLOOKUP(Tabelle2[[#This Row],[Kunden Nr.]],KUNDEN!A:B,2,0)</f>
        <v>LIRIDONA-A</v>
      </c>
      <c r="H2339" s="75">
        <v>51621</v>
      </c>
      <c r="I2339" s="76" t="e">
        <f>VLOOKUP(Tabelle2[[#This Row],[Artikel]],Produkte!A:B,2,0)</f>
        <v>#N/A</v>
      </c>
      <c r="J2339" s="75">
        <v>24</v>
      </c>
      <c r="K2339" s="76" t="str">
        <f>VLOOKUP(Tabelle2[[#This Row],[Kunden Nr.]],KUNDEN!A:G,7)</f>
        <v>Mensuri</v>
      </c>
      <c r="L2339" s="76">
        <f>VLOOKUP(Tabelle2[[#This Row],[Artikel]],Produkte!A:H,8)</f>
        <v>0.06</v>
      </c>
    </row>
    <row r="2340" spans="1:12" x14ac:dyDescent="0.2">
      <c r="A2340" s="75" t="s">
        <v>53</v>
      </c>
      <c r="B2340" s="79">
        <v>46122</v>
      </c>
      <c r="C2340" s="89">
        <v>346.8</v>
      </c>
      <c r="D2340" s="75"/>
      <c r="E2340" s="75"/>
      <c r="F2340" s="75">
        <v>20407</v>
      </c>
      <c r="G2340" s="76" t="str">
        <f>VLOOKUP(Tabelle2[[#This Row],[Kunden Nr.]],KUNDEN!A:B,2,0)</f>
        <v>TE BENI</v>
      </c>
      <c r="H2340" s="75">
        <v>35109</v>
      </c>
      <c r="I2340" s="76" t="str">
        <f>VLOOKUP(Tabelle2[[#This Row],[Artikel]],Produkte!A:B,2,0)</f>
        <v>M-ONE Sanitar Silikon</v>
      </c>
      <c r="J2340" s="75">
        <v>12</v>
      </c>
      <c r="K2340" s="76" t="str">
        <f>VLOOKUP(Tabelle2[[#This Row],[Kunden Nr.]],KUNDEN!A:G,7)</f>
        <v>Mensuri</v>
      </c>
      <c r="L2340" s="76">
        <f>VLOOKUP(Tabelle2[[#This Row],[Artikel]],Produkte!A:H,8)</f>
        <v>0.17</v>
      </c>
    </row>
    <row r="2341" spans="1:12" x14ac:dyDescent="0.2">
      <c r="A2341" s="75" t="s">
        <v>53</v>
      </c>
      <c r="B2341" s="79">
        <v>46122</v>
      </c>
      <c r="C2341" s="75"/>
      <c r="D2341" s="75"/>
      <c r="E2341" s="75"/>
      <c r="F2341" s="75">
        <v>20407</v>
      </c>
      <c r="G2341" s="76" t="str">
        <f>VLOOKUP(Tabelle2[[#This Row],[Kunden Nr.]],KUNDEN!A:B,2,0)</f>
        <v>TE BENI</v>
      </c>
      <c r="H2341" s="75">
        <v>35110</v>
      </c>
      <c r="I2341" s="76" t="str">
        <f>VLOOKUP(Tabelle2[[#This Row],[Artikel]],Produkte!A:B,2,0)</f>
        <v>M-ONE Sanitar Silikon</v>
      </c>
      <c r="J2341" s="75">
        <v>12</v>
      </c>
      <c r="K2341" s="76" t="str">
        <f>VLOOKUP(Tabelle2[[#This Row],[Kunden Nr.]],KUNDEN!A:G,7)</f>
        <v>Mensuri</v>
      </c>
      <c r="L2341" s="76">
        <f>VLOOKUP(Tabelle2[[#This Row],[Artikel]],Produkte!A:H,8)</f>
        <v>0.17</v>
      </c>
    </row>
    <row r="2342" spans="1:12" x14ac:dyDescent="0.2">
      <c r="A2342" s="75" t="s">
        <v>53</v>
      </c>
      <c r="B2342" s="79">
        <v>46122</v>
      </c>
      <c r="C2342" s="75"/>
      <c r="D2342" s="75"/>
      <c r="E2342" s="75"/>
      <c r="F2342" s="75">
        <v>20407</v>
      </c>
      <c r="G2342" s="76" t="str">
        <f>VLOOKUP(Tabelle2[[#This Row],[Kunden Nr.]],KUNDEN!A:B,2,0)</f>
        <v>TE BENI</v>
      </c>
      <c r="H2342" s="75">
        <v>35111</v>
      </c>
      <c r="I2342" s="76" t="str">
        <f>VLOOKUP(Tabelle2[[#This Row],[Artikel]],Produkte!A:B,2,0)</f>
        <v>M-ONE Sanitar Silikon</v>
      </c>
      <c r="J2342" s="75">
        <v>12</v>
      </c>
      <c r="K2342" s="76" t="str">
        <f>VLOOKUP(Tabelle2[[#This Row],[Kunden Nr.]],KUNDEN!A:G,7)</f>
        <v>Mensuri</v>
      </c>
      <c r="L2342" s="76">
        <f>VLOOKUP(Tabelle2[[#This Row],[Artikel]],Produkte!A:H,8)</f>
        <v>0.17</v>
      </c>
    </row>
    <row r="2343" spans="1:12" x14ac:dyDescent="0.2">
      <c r="A2343" s="75" t="s">
        <v>53</v>
      </c>
      <c r="B2343" s="79">
        <v>46122</v>
      </c>
      <c r="C2343" s="75"/>
      <c r="D2343" s="75"/>
      <c r="E2343" s="75"/>
      <c r="F2343" s="75">
        <v>20407</v>
      </c>
      <c r="G2343" s="76" t="str">
        <f>VLOOKUP(Tabelle2[[#This Row],[Kunden Nr.]],KUNDEN!A:B,2,0)</f>
        <v>TE BENI</v>
      </c>
      <c r="H2343" s="75">
        <v>35112</v>
      </c>
      <c r="I2343" s="76" t="str">
        <f>VLOOKUP(Tabelle2[[#This Row],[Artikel]],Produkte!A:B,2,0)</f>
        <v>M-ONE Sanitar Silikon</v>
      </c>
      <c r="J2343" s="75">
        <v>12</v>
      </c>
      <c r="K2343" s="76" t="str">
        <f>VLOOKUP(Tabelle2[[#This Row],[Kunden Nr.]],KUNDEN!A:G,7)</f>
        <v>Mensuri</v>
      </c>
      <c r="L2343" s="76">
        <f>VLOOKUP(Tabelle2[[#This Row],[Artikel]],Produkte!A:H,8)</f>
        <v>0.17</v>
      </c>
    </row>
    <row r="2344" spans="1:12" x14ac:dyDescent="0.2">
      <c r="A2344" s="75" t="s">
        <v>53</v>
      </c>
      <c r="B2344" s="79">
        <v>46122</v>
      </c>
      <c r="C2344" s="75"/>
      <c r="D2344" s="75"/>
      <c r="E2344" s="75"/>
      <c r="F2344" s="75">
        <v>20407</v>
      </c>
      <c r="G2344" s="76" t="str">
        <f>VLOOKUP(Tabelle2[[#This Row],[Kunden Nr.]],KUNDEN!A:B,2,0)</f>
        <v>TE BENI</v>
      </c>
      <c r="H2344" s="75">
        <v>35113</v>
      </c>
      <c r="I2344" s="76" t="str">
        <f>VLOOKUP(Tabelle2[[#This Row],[Artikel]],Produkte!A:B,2,0)</f>
        <v>M-ONE Sanitar Silikon</v>
      </c>
      <c r="J2344" s="75">
        <v>12</v>
      </c>
      <c r="K2344" s="76" t="str">
        <f>VLOOKUP(Tabelle2[[#This Row],[Kunden Nr.]],KUNDEN!A:G,7)</f>
        <v>Mensuri</v>
      </c>
      <c r="L2344" s="76">
        <f>VLOOKUP(Tabelle2[[#This Row],[Artikel]],Produkte!A:H,8)</f>
        <v>0.17</v>
      </c>
    </row>
    <row r="2345" spans="1:12" x14ac:dyDescent="0.2">
      <c r="A2345" s="75" t="s">
        <v>53</v>
      </c>
      <c r="B2345" s="79">
        <v>46122</v>
      </c>
      <c r="C2345" s="75"/>
      <c r="D2345" s="75"/>
      <c r="E2345" s="75"/>
      <c r="F2345" s="75">
        <v>20407</v>
      </c>
      <c r="G2345" s="76" t="str">
        <f>VLOOKUP(Tabelle2[[#This Row],[Kunden Nr.]],KUNDEN!A:B,2,0)</f>
        <v>TE BENI</v>
      </c>
      <c r="H2345" s="75">
        <v>35125</v>
      </c>
      <c r="I2345" s="76" t="str">
        <f>VLOOKUP(Tabelle2[[#This Row],[Artikel]],Produkte!A:B,2,0)</f>
        <v>M-ONE Sanitar Silikon</v>
      </c>
      <c r="J2345" s="75">
        <v>12</v>
      </c>
      <c r="K2345" s="76" t="str">
        <f>VLOOKUP(Tabelle2[[#This Row],[Kunden Nr.]],KUNDEN!A:G,7)</f>
        <v>Mensuri</v>
      </c>
      <c r="L2345" s="76">
        <f>VLOOKUP(Tabelle2[[#This Row],[Artikel]],Produkte!A:H,8)</f>
        <v>0.17</v>
      </c>
    </row>
    <row r="2346" spans="1:12" x14ac:dyDescent="0.2">
      <c r="A2346" s="75" t="s">
        <v>53</v>
      </c>
      <c r="B2346" s="79">
        <v>46122</v>
      </c>
      <c r="C2346" s="75"/>
      <c r="D2346" s="75"/>
      <c r="E2346" s="75"/>
      <c r="F2346" s="75">
        <v>20407</v>
      </c>
      <c r="G2346" s="76" t="str">
        <f>VLOOKUP(Tabelle2[[#This Row],[Kunden Nr.]],KUNDEN!A:B,2,0)</f>
        <v>TE BENI</v>
      </c>
      <c r="H2346" s="75">
        <v>66701</v>
      </c>
      <c r="I2346" s="76" t="str">
        <f>VLOOKUP(Tabelle2[[#This Row],[Artikel]],Produkte!A:B,2,0)</f>
        <v>PROFIMONT EXTREME</v>
      </c>
      <c r="J2346" s="75">
        <v>12</v>
      </c>
      <c r="K2346" s="76" t="str">
        <f>VLOOKUP(Tabelle2[[#This Row],[Kunden Nr.]],KUNDEN!A:G,7)</f>
        <v>Mensuri</v>
      </c>
      <c r="L2346" s="76">
        <f>VLOOKUP(Tabelle2[[#This Row],[Artikel]],Produkte!A:H,8)</f>
        <v>0.2</v>
      </c>
    </row>
    <row r="2347" spans="1:12" x14ac:dyDescent="0.2">
      <c r="A2347" s="75" t="s">
        <v>51</v>
      </c>
      <c r="B2347" s="79">
        <v>46122</v>
      </c>
      <c r="C2347" s="89">
        <v>38</v>
      </c>
      <c r="D2347" s="75"/>
      <c r="E2347" s="75"/>
      <c r="F2347" s="75">
        <v>20408</v>
      </c>
      <c r="G2347" s="76" t="str">
        <f>VLOOKUP(Tabelle2[[#This Row],[Kunden Nr.]],KUNDEN!A:B,2,0)</f>
        <v>A.P. HOTI</v>
      </c>
      <c r="H2347" s="75">
        <v>56117</v>
      </c>
      <c r="I2347" s="76" t="str">
        <f>VLOOKUP(Tabelle2[[#This Row],[Artikel]],Produkte!A:B,2,0)</f>
        <v>M ONE UBS</v>
      </c>
      <c r="J2347" s="75">
        <v>4</v>
      </c>
      <c r="K2347" s="76" t="str">
        <f>VLOOKUP(Tabelle2[[#This Row],[Kunden Nr.]],KUNDEN!A:G,7)</f>
        <v>Mensuri</v>
      </c>
      <c r="L2347" s="76">
        <f>VLOOKUP(Tabelle2[[#This Row],[Artikel]],Produkte!A:H,8)</f>
        <v>0.2</v>
      </c>
    </row>
    <row r="2348" spans="1:12" x14ac:dyDescent="0.2">
      <c r="A2348" s="75" t="s">
        <v>51</v>
      </c>
      <c r="B2348" s="79">
        <v>46122</v>
      </c>
      <c r="C2348" s="75"/>
      <c r="D2348" s="75"/>
      <c r="E2348" s="75"/>
      <c r="F2348" s="75">
        <v>20408</v>
      </c>
      <c r="G2348" s="76" t="str">
        <f>VLOOKUP(Tabelle2[[#This Row],[Kunden Nr.]],KUNDEN!A:B,2,0)</f>
        <v>A.P. HOTI</v>
      </c>
      <c r="H2348" s="75">
        <v>44001</v>
      </c>
      <c r="I2348" s="76" t="str">
        <f>VLOOKUP(Tabelle2[[#This Row],[Artikel]],Produkte!A:B,2,0)</f>
        <v>Fettspray</v>
      </c>
      <c r="J2348" s="75">
        <v>4</v>
      </c>
      <c r="K2348" s="76" t="str">
        <f>VLOOKUP(Tabelle2[[#This Row],[Kunden Nr.]],KUNDEN!A:G,7)</f>
        <v>Mensuri</v>
      </c>
      <c r="L2348" s="76">
        <f>VLOOKUP(Tabelle2[[#This Row],[Artikel]],Produkte!A:H,8)</f>
        <v>0.2</v>
      </c>
    </row>
    <row r="2349" spans="1:12" x14ac:dyDescent="0.2">
      <c r="A2349" s="75" t="s">
        <v>51</v>
      </c>
      <c r="B2349" s="79">
        <v>46122</v>
      </c>
      <c r="C2349" s="75"/>
      <c r="D2349" s="75"/>
      <c r="E2349" s="75"/>
      <c r="F2349" s="75">
        <v>20408</v>
      </c>
      <c r="G2349" s="76" t="str">
        <f>VLOOKUP(Tabelle2[[#This Row],[Kunden Nr.]],KUNDEN!A:B,2,0)</f>
        <v>A.P. HOTI</v>
      </c>
      <c r="H2349" s="75">
        <v>31880</v>
      </c>
      <c r="I2349" s="76" t="str">
        <f>VLOOKUP(Tabelle2[[#This Row],[Artikel]],Produkte!A:B,2,0)</f>
        <v>HAT LACK 800</v>
      </c>
      <c r="J2349" s="75">
        <v>2</v>
      </c>
      <c r="K2349" s="76" t="str">
        <f>VLOOKUP(Tabelle2[[#This Row],[Kunden Nr.]],KUNDEN!A:G,7)</f>
        <v>Mensuri</v>
      </c>
      <c r="L2349" s="76">
        <f>VLOOKUP(Tabelle2[[#This Row],[Artikel]],Produkte!A:H,8)</f>
        <v>0.35</v>
      </c>
    </row>
    <row r="2350" spans="1:12" x14ac:dyDescent="0.2">
      <c r="A2350" s="75" t="s">
        <v>59</v>
      </c>
      <c r="B2350" s="79">
        <v>46122</v>
      </c>
      <c r="C2350" s="89">
        <v>86.4</v>
      </c>
      <c r="D2350" s="75"/>
      <c r="E2350" s="75"/>
      <c r="F2350" s="75">
        <v>20406</v>
      </c>
      <c r="G2350" s="76" t="str">
        <f>VLOOKUP(Tabelle2[[#This Row],[Kunden Nr.]],KUNDEN!A:B,2,0)</f>
        <v>MEGI</v>
      </c>
      <c r="H2350" s="75">
        <v>50912</v>
      </c>
      <c r="I2350" s="76" t="str">
        <f>VLOOKUP(Tabelle2[[#This Row],[Artikel]],Produkte!A:B,2,0)</f>
        <v>DICHTUNG</v>
      </c>
      <c r="J2350" s="75">
        <v>12</v>
      </c>
      <c r="K2350" s="76" t="str">
        <f>VLOOKUP(Tabelle2[[#This Row],[Kunden Nr.]],KUNDEN!A:G,7)</f>
        <v>Mensuri</v>
      </c>
      <c r="L2350" s="76">
        <f>VLOOKUP(Tabelle2[[#This Row],[Artikel]],Produkte!A:H,8)</f>
        <v>0.2</v>
      </c>
    </row>
    <row r="2351" spans="1:12" x14ac:dyDescent="0.2">
      <c r="A2351" s="75" t="s">
        <v>49</v>
      </c>
      <c r="B2351" s="79">
        <v>46122</v>
      </c>
      <c r="C2351" s="89">
        <v>138.6</v>
      </c>
      <c r="D2351" s="75"/>
      <c r="E2351" s="75"/>
      <c r="F2351" s="75">
        <v>20405</v>
      </c>
      <c r="G2351" s="76" t="str">
        <f>VLOOKUP(Tabelle2[[#This Row],[Kunden Nr.]],KUNDEN!A:B,2,0)</f>
        <v>BESI</v>
      </c>
      <c r="H2351" s="75">
        <v>35109</v>
      </c>
      <c r="I2351" s="76" t="str">
        <f>VLOOKUP(Tabelle2[[#This Row],[Artikel]],Produkte!A:B,2,0)</f>
        <v>M-ONE Sanitar Silikon</v>
      </c>
      <c r="J2351" s="75">
        <v>12</v>
      </c>
      <c r="K2351" s="76" t="str">
        <f>VLOOKUP(Tabelle2[[#This Row],[Kunden Nr.]],KUNDEN!A:G,7)</f>
        <v>Mensuri</v>
      </c>
      <c r="L2351" s="76">
        <f>VLOOKUP(Tabelle2[[#This Row],[Artikel]],Produkte!A:H,8)</f>
        <v>0.17</v>
      </c>
    </row>
    <row r="2352" spans="1:12" x14ac:dyDescent="0.2">
      <c r="A2352" s="75" t="s">
        <v>49</v>
      </c>
      <c r="B2352" s="79">
        <v>46122</v>
      </c>
      <c r="C2352" s="75"/>
      <c r="D2352" s="75"/>
      <c r="E2352" s="75"/>
      <c r="F2352" s="75">
        <v>20405</v>
      </c>
      <c r="G2352" s="76" t="str">
        <f>VLOOKUP(Tabelle2[[#This Row],[Kunden Nr.]],KUNDEN!A:B,2,0)</f>
        <v>BESI</v>
      </c>
      <c r="H2352" s="75">
        <v>35112</v>
      </c>
      <c r="I2352" s="76" t="str">
        <f>VLOOKUP(Tabelle2[[#This Row],[Artikel]],Produkte!A:B,2,0)</f>
        <v>M-ONE Sanitar Silikon</v>
      </c>
      <c r="J2352" s="75">
        <v>12</v>
      </c>
      <c r="K2352" s="76" t="str">
        <f>VLOOKUP(Tabelle2[[#This Row],[Kunden Nr.]],KUNDEN!A:G,7)</f>
        <v>Mensuri</v>
      </c>
      <c r="L2352" s="76">
        <f>VLOOKUP(Tabelle2[[#This Row],[Artikel]],Produkte!A:H,8)</f>
        <v>0.17</v>
      </c>
    </row>
    <row r="2353" spans="1:12" x14ac:dyDescent="0.2">
      <c r="A2353" s="75" t="s">
        <v>49</v>
      </c>
      <c r="B2353" s="79">
        <v>46122</v>
      </c>
      <c r="C2353" s="75"/>
      <c r="D2353" s="75"/>
      <c r="E2353" s="75"/>
      <c r="F2353" s="75">
        <v>20405</v>
      </c>
      <c r="G2353" s="76" t="str">
        <f>VLOOKUP(Tabelle2[[#This Row],[Kunden Nr.]],KUNDEN!A:B,2,0)</f>
        <v>BESI</v>
      </c>
      <c r="H2353" s="75">
        <v>35111</v>
      </c>
      <c r="I2353" s="76" t="str">
        <f>VLOOKUP(Tabelle2[[#This Row],[Artikel]],Produkte!A:B,2,0)</f>
        <v>M-ONE Sanitar Silikon</v>
      </c>
      <c r="J2353" s="75">
        <v>12</v>
      </c>
      <c r="K2353" s="76" t="str">
        <f>VLOOKUP(Tabelle2[[#This Row],[Kunden Nr.]],KUNDEN!A:G,7)</f>
        <v>Mensuri</v>
      </c>
      <c r="L2353" s="76">
        <f>VLOOKUP(Tabelle2[[#This Row],[Artikel]],Produkte!A:H,8)</f>
        <v>0.17</v>
      </c>
    </row>
    <row r="2354" spans="1:12" x14ac:dyDescent="0.2">
      <c r="A2354" s="75" t="s">
        <v>608</v>
      </c>
      <c r="B2354" s="79">
        <v>46123</v>
      </c>
      <c r="C2354" s="89">
        <v>92.4</v>
      </c>
      <c r="D2354" s="75"/>
      <c r="E2354" s="75"/>
      <c r="F2354" s="75">
        <v>10616</v>
      </c>
      <c r="G2354" s="76" t="str">
        <f>VLOOKUP(Tabelle2[[#This Row],[Kunden Nr.]],KUNDEN!A:B,2,0)</f>
        <v>TE ZENA</v>
      </c>
      <c r="H2354" s="75">
        <v>35128</v>
      </c>
      <c r="I2354" s="76" t="str">
        <f>VLOOKUP(Tabelle2[[#This Row],[Artikel]],Produkte!A:B,2,0)</f>
        <v>M-ONE Sanitar Silikon</v>
      </c>
      <c r="J2354" s="75">
        <v>12</v>
      </c>
      <c r="K2354" s="76" t="str">
        <f>VLOOKUP(Tabelle2[[#This Row],[Kunden Nr.]],KUNDEN!A:G,7)</f>
        <v>Qerimi</v>
      </c>
      <c r="L2354" s="76">
        <f>VLOOKUP(Tabelle2[[#This Row],[Artikel]],Produkte!A:H,8)</f>
        <v>0.17</v>
      </c>
    </row>
    <row r="2355" spans="1:12" x14ac:dyDescent="0.2">
      <c r="A2355" s="75" t="s">
        <v>608</v>
      </c>
      <c r="B2355" s="79">
        <v>46123</v>
      </c>
      <c r="C2355" s="75"/>
      <c r="D2355" s="75"/>
      <c r="E2355" s="75"/>
      <c r="F2355" s="75">
        <v>10616</v>
      </c>
      <c r="G2355" s="76" t="str">
        <f>VLOOKUP(Tabelle2[[#This Row],[Kunden Nr.]],KUNDEN!A:B,2,0)</f>
        <v>TE ZENA</v>
      </c>
      <c r="H2355" s="75">
        <v>35109</v>
      </c>
      <c r="I2355" s="76" t="str">
        <f>VLOOKUP(Tabelle2[[#This Row],[Artikel]],Produkte!A:B,2,0)</f>
        <v>M-ONE Sanitar Silikon</v>
      </c>
      <c r="J2355" s="75">
        <v>12</v>
      </c>
      <c r="K2355" s="76" t="str">
        <f>VLOOKUP(Tabelle2[[#This Row],[Kunden Nr.]],KUNDEN!A:G,7)</f>
        <v>Qerimi</v>
      </c>
      <c r="L2355" s="76">
        <f>VLOOKUP(Tabelle2[[#This Row],[Artikel]],Produkte!A:H,8)</f>
        <v>0.17</v>
      </c>
    </row>
    <row r="2356" spans="1:12" x14ac:dyDescent="0.2">
      <c r="A2356" s="75" t="s">
        <v>837</v>
      </c>
      <c r="B2356" s="79">
        <v>46123</v>
      </c>
      <c r="C2356" s="89">
        <v>92.4</v>
      </c>
      <c r="D2356" s="75"/>
      <c r="E2356" s="75"/>
      <c r="F2356" s="75">
        <v>10625</v>
      </c>
      <c r="G2356" s="76" t="str">
        <f>VLOOKUP(Tabelle2[[#This Row],[Kunden Nr.]],KUNDEN!A:B,2,0)</f>
        <v>KUJTA</v>
      </c>
      <c r="H2356" s="75">
        <v>35121</v>
      </c>
      <c r="I2356" s="76" t="str">
        <f>VLOOKUP(Tabelle2[[#This Row],[Artikel]],Produkte!A:B,2,0)</f>
        <v>M-ONE Sanitar Silikon</v>
      </c>
      <c r="J2356" s="75">
        <v>12</v>
      </c>
      <c r="K2356" s="76" t="str">
        <f>VLOOKUP(Tabelle2[[#This Row],[Kunden Nr.]],KUNDEN!A:G,7)</f>
        <v>Qerimi</v>
      </c>
      <c r="L2356" s="76">
        <f>VLOOKUP(Tabelle2[[#This Row],[Artikel]],Produkte!A:H,8)</f>
        <v>0.17</v>
      </c>
    </row>
    <row r="2357" spans="1:12" x14ac:dyDescent="0.2">
      <c r="A2357" s="75" t="s">
        <v>837</v>
      </c>
      <c r="B2357" s="79">
        <v>46123</v>
      </c>
      <c r="C2357" s="75"/>
      <c r="D2357" s="75"/>
      <c r="E2357" s="75"/>
      <c r="F2357" s="75">
        <v>10625</v>
      </c>
      <c r="G2357" s="76" t="str">
        <f>VLOOKUP(Tabelle2[[#This Row],[Kunden Nr.]],KUNDEN!A:B,2,0)</f>
        <v>KUJTA</v>
      </c>
      <c r="H2357" s="75">
        <v>35113</v>
      </c>
      <c r="I2357" s="76" t="str">
        <f>VLOOKUP(Tabelle2[[#This Row],[Artikel]],Produkte!A:B,2,0)</f>
        <v>M-ONE Sanitar Silikon</v>
      </c>
      <c r="J2357" s="75">
        <v>12</v>
      </c>
      <c r="K2357" s="76" t="str">
        <f>VLOOKUP(Tabelle2[[#This Row],[Kunden Nr.]],KUNDEN!A:G,7)</f>
        <v>Qerimi</v>
      </c>
      <c r="L2357" s="76">
        <f>VLOOKUP(Tabelle2[[#This Row],[Artikel]],Produkte!A:H,8)</f>
        <v>0.17</v>
      </c>
    </row>
    <row r="2358" spans="1:12" x14ac:dyDescent="0.2">
      <c r="A2358" s="75" t="s">
        <v>454</v>
      </c>
      <c r="B2358" s="79">
        <v>46123</v>
      </c>
      <c r="C2358" s="89">
        <v>25</v>
      </c>
      <c r="D2358" s="75"/>
      <c r="E2358" s="75"/>
      <c r="F2358" s="75">
        <v>10622</v>
      </c>
      <c r="G2358" s="76" t="str">
        <f>VLOOKUP(Tabelle2[[#This Row],[Kunden Nr.]],KUNDEN!A:B,2,0)</f>
        <v>HOXHA</v>
      </c>
      <c r="H2358" s="75">
        <v>54412</v>
      </c>
      <c r="I2358" s="76" t="str">
        <f>VLOOKUP(Tabelle2[[#This Row],[Artikel]],Produkte!A:B,2,0)</f>
        <v>beMAKER Bremsen&amp;Teile Reininger</v>
      </c>
      <c r="J2358" s="75">
        <v>6</v>
      </c>
      <c r="K2358" s="76" t="str">
        <f>VLOOKUP(Tabelle2[[#This Row],[Kunden Nr.]],KUNDEN!A:G,7)</f>
        <v>Qerimi</v>
      </c>
      <c r="L2358" s="76">
        <f>VLOOKUP(Tabelle2[[#This Row],[Artikel]],Produkte!A:H,8)</f>
        <v>0.2</v>
      </c>
    </row>
    <row r="2359" spans="1:12" x14ac:dyDescent="0.2">
      <c r="A2359" s="75" t="s">
        <v>454</v>
      </c>
      <c r="B2359" s="79">
        <v>46123</v>
      </c>
      <c r="C2359" s="75"/>
      <c r="D2359" s="75"/>
      <c r="E2359" s="75"/>
      <c r="F2359" s="75">
        <v>10622</v>
      </c>
      <c r="G2359" s="76" t="str">
        <f>VLOOKUP(Tabelle2[[#This Row],[Kunden Nr.]],KUNDEN!A:B,2,0)</f>
        <v>HOXHA</v>
      </c>
      <c r="H2359" s="75">
        <v>26736</v>
      </c>
      <c r="I2359" s="76" t="str">
        <f>VLOOKUP(Tabelle2[[#This Row],[Artikel]],Produkte!A:B,2,0)</f>
        <v>M ONE HAFTGRUND</v>
      </c>
      <c r="J2359" s="75">
        <v>2</v>
      </c>
      <c r="K2359" s="76" t="str">
        <f>VLOOKUP(Tabelle2[[#This Row],[Kunden Nr.]],KUNDEN!A:G,7)</f>
        <v>Qerimi</v>
      </c>
      <c r="L2359" s="76">
        <f>VLOOKUP(Tabelle2[[#This Row],[Artikel]],Produkte!A:H,8)</f>
        <v>0.15</v>
      </c>
    </row>
    <row r="2360" spans="1:12" x14ac:dyDescent="0.2">
      <c r="A2360" s="75" t="s">
        <v>454</v>
      </c>
      <c r="B2360" s="79">
        <v>46123</v>
      </c>
      <c r="C2360" s="75"/>
      <c r="D2360" s="75"/>
      <c r="E2360" s="75"/>
      <c r="F2360" s="75">
        <v>10622</v>
      </c>
      <c r="G2360" s="76" t="str">
        <f>VLOOKUP(Tabelle2[[#This Row],[Kunden Nr.]],KUNDEN!A:B,2,0)</f>
        <v>HOXHA</v>
      </c>
      <c r="H2360" s="75">
        <v>49644</v>
      </c>
      <c r="I2360" s="76" t="str">
        <f>VLOOKUP(Tabelle2[[#This Row],[Artikel]],Produkte!A:B,2,0)</f>
        <v>beMAKER Rostlöser</v>
      </c>
      <c r="J2360" s="75">
        <v>4</v>
      </c>
      <c r="K2360" s="76" t="str">
        <f>VLOOKUP(Tabelle2[[#This Row],[Kunden Nr.]],KUNDEN!A:G,7)</f>
        <v>Qerimi</v>
      </c>
      <c r="L2360" s="76">
        <f>VLOOKUP(Tabelle2[[#This Row],[Artikel]],Produkte!A:H,8)</f>
        <v>0.2</v>
      </c>
    </row>
    <row r="2361" spans="1:12" x14ac:dyDescent="0.2">
      <c r="A2361" s="75" t="s">
        <v>1230</v>
      </c>
      <c r="B2361" s="79">
        <v>46123</v>
      </c>
      <c r="C2361" s="89">
        <v>184.8</v>
      </c>
      <c r="D2361" s="75"/>
      <c r="E2361" s="75"/>
      <c r="F2361" s="75">
        <v>10636</v>
      </c>
      <c r="G2361" s="76" t="e">
        <f>VLOOKUP(Tabelle2[[#This Row],[Kunden Nr.]],KUNDEN!A:B,2,0)</f>
        <v>#N/A</v>
      </c>
      <c r="H2361" s="75">
        <v>35110</v>
      </c>
      <c r="I2361" s="76" t="str">
        <f>VLOOKUP(Tabelle2[[#This Row],[Artikel]],Produkte!A:B,2,0)</f>
        <v>M-ONE Sanitar Silikon</v>
      </c>
      <c r="J2361" s="75">
        <v>24</v>
      </c>
      <c r="K2361" s="76" t="str">
        <f>VLOOKUP(Tabelle2[[#This Row],[Kunden Nr.]],KUNDEN!A:G,7)</f>
        <v>Qerimi</v>
      </c>
      <c r="L2361" s="76">
        <f>VLOOKUP(Tabelle2[[#This Row],[Artikel]],Produkte!A:H,8)</f>
        <v>0.17</v>
      </c>
    </row>
    <row r="2362" spans="1:12" x14ac:dyDescent="0.2">
      <c r="A2362" s="75" t="s">
        <v>1230</v>
      </c>
      <c r="B2362" s="79">
        <v>46123</v>
      </c>
      <c r="C2362" s="75"/>
      <c r="D2362" s="75"/>
      <c r="E2362" s="75"/>
      <c r="F2362" s="75">
        <v>10636</v>
      </c>
      <c r="G2362" s="76" t="e">
        <f>VLOOKUP(Tabelle2[[#This Row],[Kunden Nr.]],KUNDEN!A:B,2,0)</f>
        <v>#N/A</v>
      </c>
      <c r="H2362" s="75">
        <v>35111</v>
      </c>
      <c r="I2362" s="76" t="str">
        <f>VLOOKUP(Tabelle2[[#This Row],[Artikel]],Produkte!A:B,2,0)</f>
        <v>M-ONE Sanitar Silikon</v>
      </c>
      <c r="J2362" s="75">
        <v>24</v>
      </c>
      <c r="K2362" s="76" t="str">
        <f>VLOOKUP(Tabelle2[[#This Row],[Kunden Nr.]],KUNDEN!A:G,7)</f>
        <v>Qerimi</v>
      </c>
      <c r="L2362" s="76">
        <f>VLOOKUP(Tabelle2[[#This Row],[Artikel]],Produkte!A:H,8)</f>
        <v>0.17</v>
      </c>
    </row>
    <row r="2363" spans="1:12" x14ac:dyDescent="0.2">
      <c r="A2363" s="75" t="s">
        <v>446</v>
      </c>
      <c r="B2363" s="79">
        <v>46123</v>
      </c>
      <c r="C2363" s="89">
        <v>184.8</v>
      </c>
      <c r="D2363" s="75"/>
      <c r="E2363" s="75"/>
      <c r="F2363" s="75">
        <v>20615</v>
      </c>
      <c r="G2363" s="76" t="str">
        <f>VLOOKUP(Tabelle2[[#This Row],[Kunden Nr.]],KUNDEN!A:B,2,0)</f>
        <v>MIX-B</v>
      </c>
      <c r="H2363" s="75">
        <v>35109</v>
      </c>
      <c r="I2363" s="76" t="str">
        <f>VLOOKUP(Tabelle2[[#This Row],[Artikel]],Produkte!A:B,2,0)</f>
        <v>M-ONE Sanitar Silikon</v>
      </c>
      <c r="J2363" s="75">
        <v>12</v>
      </c>
      <c r="K2363" s="76" t="str">
        <f>VLOOKUP(Tabelle2[[#This Row],[Kunden Nr.]],KUNDEN!A:G,7)</f>
        <v>Mensuri</v>
      </c>
      <c r="L2363" s="76">
        <f>VLOOKUP(Tabelle2[[#This Row],[Artikel]],Produkte!A:H,8)</f>
        <v>0.17</v>
      </c>
    </row>
    <row r="2364" spans="1:12" x14ac:dyDescent="0.2">
      <c r="A2364" s="75" t="s">
        <v>446</v>
      </c>
      <c r="B2364" s="79">
        <v>46123</v>
      </c>
      <c r="C2364" s="75"/>
      <c r="D2364" s="75"/>
      <c r="E2364" s="75"/>
      <c r="F2364" s="75">
        <v>20615</v>
      </c>
      <c r="G2364" s="76" t="str">
        <f>VLOOKUP(Tabelle2[[#This Row],[Kunden Nr.]],KUNDEN!A:B,2,0)</f>
        <v>MIX-B</v>
      </c>
      <c r="H2364" s="75">
        <v>35121</v>
      </c>
      <c r="I2364" s="76" t="str">
        <f>VLOOKUP(Tabelle2[[#This Row],[Artikel]],Produkte!A:B,2,0)</f>
        <v>M-ONE Sanitar Silikon</v>
      </c>
      <c r="J2364" s="75">
        <v>12</v>
      </c>
      <c r="K2364" s="76" t="str">
        <f>VLOOKUP(Tabelle2[[#This Row],[Kunden Nr.]],KUNDEN!A:G,7)</f>
        <v>Mensuri</v>
      </c>
      <c r="L2364" s="76">
        <f>VLOOKUP(Tabelle2[[#This Row],[Artikel]],Produkte!A:H,8)</f>
        <v>0.17</v>
      </c>
    </row>
    <row r="2365" spans="1:12" x14ac:dyDescent="0.2">
      <c r="A2365" s="75" t="s">
        <v>446</v>
      </c>
      <c r="B2365" s="79">
        <v>46123</v>
      </c>
      <c r="C2365" s="75"/>
      <c r="D2365" s="75"/>
      <c r="E2365" s="75"/>
      <c r="F2365" s="75">
        <v>20615</v>
      </c>
      <c r="G2365" s="76" t="str">
        <f>VLOOKUP(Tabelle2[[#This Row],[Kunden Nr.]],KUNDEN!A:B,2,0)</f>
        <v>MIX-B</v>
      </c>
      <c r="H2365" s="75">
        <v>35115</v>
      </c>
      <c r="I2365" s="76" t="str">
        <f>VLOOKUP(Tabelle2[[#This Row],[Artikel]],Produkte!A:B,2,0)</f>
        <v>M-ONE Sanitar Silikon</v>
      </c>
      <c r="J2365" s="75">
        <v>12</v>
      </c>
      <c r="K2365" s="76" t="str">
        <f>VLOOKUP(Tabelle2[[#This Row],[Kunden Nr.]],KUNDEN!A:G,7)</f>
        <v>Mensuri</v>
      </c>
      <c r="L2365" s="76">
        <f>VLOOKUP(Tabelle2[[#This Row],[Artikel]],Produkte!A:H,8)</f>
        <v>0.17</v>
      </c>
    </row>
    <row r="2366" spans="1:12" x14ac:dyDescent="0.2">
      <c r="A2366" s="75" t="s">
        <v>446</v>
      </c>
      <c r="B2366" s="79">
        <v>46123</v>
      </c>
      <c r="C2366" s="75"/>
      <c r="D2366" s="75"/>
      <c r="E2366" s="75"/>
      <c r="F2366" s="75">
        <v>20615</v>
      </c>
      <c r="G2366" s="76" t="str">
        <f>VLOOKUP(Tabelle2[[#This Row],[Kunden Nr.]],KUNDEN!A:B,2,0)</f>
        <v>MIX-B</v>
      </c>
      <c r="H2366" s="75">
        <v>35111</v>
      </c>
      <c r="I2366" s="76" t="str">
        <f>VLOOKUP(Tabelle2[[#This Row],[Artikel]],Produkte!A:B,2,0)</f>
        <v>M-ONE Sanitar Silikon</v>
      </c>
      <c r="J2366" s="75">
        <v>12</v>
      </c>
      <c r="K2366" s="76" t="str">
        <f>VLOOKUP(Tabelle2[[#This Row],[Kunden Nr.]],KUNDEN!A:G,7)</f>
        <v>Mensuri</v>
      </c>
      <c r="L2366" s="76">
        <f>VLOOKUP(Tabelle2[[#This Row],[Artikel]],Produkte!A:H,8)</f>
        <v>0.17</v>
      </c>
    </row>
    <row r="2367" spans="1:12" x14ac:dyDescent="0.2">
      <c r="A2367" s="75" t="s">
        <v>1185</v>
      </c>
      <c r="B2367" s="79">
        <v>46123</v>
      </c>
      <c r="C2367" s="89">
        <v>135</v>
      </c>
      <c r="D2367" s="75"/>
      <c r="E2367" s="75"/>
      <c r="F2367" s="75">
        <v>20628</v>
      </c>
      <c r="G2367" s="76" t="str">
        <f>VLOOKUP(Tabelle2[[#This Row],[Kunden Nr.]],KUNDEN!A:B,2,0)</f>
        <v>DIVA QERAMIKA</v>
      </c>
      <c r="H2367" s="75">
        <v>35110</v>
      </c>
      <c r="I2367" s="76" t="str">
        <f>VLOOKUP(Tabelle2[[#This Row],[Artikel]],Produkte!A:B,2,0)</f>
        <v>M-ONE Sanitar Silikon</v>
      </c>
      <c r="J2367" s="75">
        <v>12</v>
      </c>
      <c r="K2367" s="76" t="str">
        <f>VLOOKUP(Tabelle2[[#This Row],[Kunden Nr.]],KUNDEN!A:G,7)</f>
        <v>Mensuri</v>
      </c>
      <c r="L2367" s="76">
        <f>VLOOKUP(Tabelle2[[#This Row],[Artikel]],Produkte!A:H,8)</f>
        <v>0.17</v>
      </c>
    </row>
    <row r="2368" spans="1:12" x14ac:dyDescent="0.2">
      <c r="A2368" s="75" t="s">
        <v>1185</v>
      </c>
      <c r="B2368" s="79">
        <v>46123</v>
      </c>
      <c r="C2368" s="75"/>
      <c r="D2368" s="75"/>
      <c r="E2368" s="75"/>
      <c r="F2368" s="75">
        <v>20628</v>
      </c>
      <c r="G2368" s="76" t="str">
        <f>VLOOKUP(Tabelle2[[#This Row],[Kunden Nr.]],KUNDEN!A:B,2,0)</f>
        <v>DIVA QERAMIKA</v>
      </c>
      <c r="H2368" s="75">
        <v>35121</v>
      </c>
      <c r="I2368" s="76" t="str">
        <f>VLOOKUP(Tabelle2[[#This Row],[Artikel]],Produkte!A:B,2,0)</f>
        <v>M-ONE Sanitar Silikon</v>
      </c>
      <c r="J2368" s="75">
        <v>12</v>
      </c>
      <c r="K2368" s="76" t="str">
        <f>VLOOKUP(Tabelle2[[#This Row],[Kunden Nr.]],KUNDEN!A:G,7)</f>
        <v>Mensuri</v>
      </c>
      <c r="L2368" s="76">
        <f>VLOOKUP(Tabelle2[[#This Row],[Artikel]],Produkte!A:H,8)</f>
        <v>0.17</v>
      </c>
    </row>
    <row r="2369" spans="1:12" x14ac:dyDescent="0.2">
      <c r="A2369" s="75" t="s">
        <v>1185</v>
      </c>
      <c r="B2369" s="79">
        <v>46123</v>
      </c>
      <c r="C2369" s="75"/>
      <c r="D2369" s="75"/>
      <c r="E2369" s="75"/>
      <c r="F2369" s="75">
        <v>20628</v>
      </c>
      <c r="G2369" s="76" t="str">
        <f>VLOOKUP(Tabelle2[[#This Row],[Kunden Nr.]],KUNDEN!A:B,2,0)</f>
        <v>DIVA QERAMIKA</v>
      </c>
      <c r="H2369" s="75">
        <v>51611</v>
      </c>
      <c r="I2369" s="76" t="str">
        <f>VLOOKUP(Tabelle2[[#This Row],[Artikel]],Produkte!A:B,2,0)</f>
        <v>universal akryl</v>
      </c>
      <c r="J2369" s="75">
        <v>12</v>
      </c>
      <c r="K2369" s="76" t="str">
        <f>VLOOKUP(Tabelle2[[#This Row],[Kunden Nr.]],KUNDEN!A:G,7)</f>
        <v>Mensuri</v>
      </c>
      <c r="L2369" s="76">
        <f>VLOOKUP(Tabelle2[[#This Row],[Artikel]],Produkte!A:H,8)</f>
        <v>0.06</v>
      </c>
    </row>
    <row r="2370" spans="1:12" x14ac:dyDescent="0.2">
      <c r="A2370" s="75" t="s">
        <v>1185</v>
      </c>
      <c r="B2370" s="79">
        <v>46123</v>
      </c>
      <c r="C2370" s="75"/>
      <c r="D2370" s="75"/>
      <c r="E2370" s="75"/>
      <c r="F2370" s="75">
        <v>20628</v>
      </c>
      <c r="G2370" s="76" t="str">
        <f>VLOOKUP(Tabelle2[[#This Row],[Kunden Nr.]],KUNDEN!A:B,2,0)</f>
        <v>DIVA QERAMIKA</v>
      </c>
      <c r="H2370" s="75">
        <v>51612</v>
      </c>
      <c r="I2370" s="76" t="str">
        <f>VLOOKUP(Tabelle2[[#This Row],[Artikel]],Produkte!A:B,2,0)</f>
        <v>struktural akryl</v>
      </c>
      <c r="J2370" s="75">
        <v>12</v>
      </c>
      <c r="K2370" s="76" t="str">
        <f>VLOOKUP(Tabelle2[[#This Row],[Kunden Nr.]],KUNDEN!A:G,7)</f>
        <v>Mensuri</v>
      </c>
      <c r="L2370" s="76">
        <f>VLOOKUP(Tabelle2[[#This Row],[Artikel]],Produkte!A:H,8)</f>
        <v>0.06</v>
      </c>
    </row>
    <row r="2371" spans="1:12" x14ac:dyDescent="0.2">
      <c r="A2371" s="75" t="s">
        <v>1171</v>
      </c>
      <c r="B2371" s="79">
        <v>46123</v>
      </c>
      <c r="C2371" s="89">
        <v>92.4</v>
      </c>
      <c r="D2371" s="75"/>
      <c r="E2371" s="75"/>
      <c r="F2371" s="75">
        <v>20627</v>
      </c>
      <c r="G2371" s="76" t="str">
        <f>VLOOKUP(Tabelle2[[#This Row],[Kunden Nr.]],KUNDEN!A:B,2,0)</f>
        <v>UNIKA</v>
      </c>
      <c r="H2371" s="75">
        <v>35110</v>
      </c>
      <c r="I2371" s="76" t="str">
        <f>VLOOKUP(Tabelle2[[#This Row],[Artikel]],Produkte!A:B,2,0)</f>
        <v>M-ONE Sanitar Silikon</v>
      </c>
      <c r="J2371" s="75">
        <v>24</v>
      </c>
      <c r="K2371" s="76" t="str">
        <f>VLOOKUP(Tabelle2[[#This Row],[Kunden Nr.]],KUNDEN!A:G,7)</f>
        <v>Mensuri</v>
      </c>
      <c r="L2371" s="76">
        <f>VLOOKUP(Tabelle2[[#This Row],[Artikel]],Produkte!A:H,8)</f>
        <v>0.17</v>
      </c>
    </row>
    <row r="2372" spans="1:12" x14ac:dyDescent="0.2">
      <c r="A2372" s="75" t="s">
        <v>432</v>
      </c>
      <c r="B2372" s="79">
        <v>46123</v>
      </c>
      <c r="C2372" s="89">
        <v>138.6</v>
      </c>
      <c r="D2372" s="75"/>
      <c r="E2372" s="75"/>
      <c r="F2372" s="75">
        <v>20604</v>
      </c>
      <c r="G2372" s="76" t="str">
        <f>VLOOKUP(Tabelle2[[#This Row],[Kunden Nr.]],KUNDEN!A:B,2,0)</f>
        <v>ALFA-QERAMIKA</v>
      </c>
      <c r="H2372" s="75">
        <v>35121</v>
      </c>
      <c r="I2372" s="76" t="str">
        <f>VLOOKUP(Tabelle2[[#This Row],[Artikel]],Produkte!A:B,2,0)</f>
        <v>M-ONE Sanitar Silikon</v>
      </c>
      <c r="J2372" s="75">
        <v>24</v>
      </c>
      <c r="K2372" s="76" t="str">
        <f>VLOOKUP(Tabelle2[[#This Row],[Kunden Nr.]],KUNDEN!A:G,7)</f>
        <v>Mensuri</v>
      </c>
      <c r="L2372" s="76">
        <f>VLOOKUP(Tabelle2[[#This Row],[Artikel]],Produkte!A:H,8)</f>
        <v>0.17</v>
      </c>
    </row>
    <row r="2373" spans="1:12" x14ac:dyDescent="0.2">
      <c r="A2373" s="75" t="s">
        <v>432</v>
      </c>
      <c r="B2373" s="79">
        <v>46123</v>
      </c>
      <c r="C2373" s="75"/>
      <c r="D2373" s="75"/>
      <c r="E2373" s="75"/>
      <c r="F2373" s="75">
        <v>20604</v>
      </c>
      <c r="G2373" s="76" t="str">
        <f>VLOOKUP(Tabelle2[[#This Row],[Kunden Nr.]],KUNDEN!A:B,2,0)</f>
        <v>ALFA-QERAMIKA</v>
      </c>
      <c r="H2373" s="75">
        <v>35110</v>
      </c>
      <c r="I2373" s="76" t="str">
        <f>VLOOKUP(Tabelle2[[#This Row],[Artikel]],Produkte!A:B,2,0)</f>
        <v>M-ONE Sanitar Silikon</v>
      </c>
      <c r="J2373" s="75">
        <v>12</v>
      </c>
      <c r="K2373" s="76" t="str">
        <f>VLOOKUP(Tabelle2[[#This Row],[Kunden Nr.]],KUNDEN!A:G,7)</f>
        <v>Mensuri</v>
      </c>
      <c r="L2373" s="76">
        <f>VLOOKUP(Tabelle2[[#This Row],[Artikel]],Produkte!A:H,8)</f>
        <v>0.17</v>
      </c>
    </row>
    <row r="2374" spans="1:12" x14ac:dyDescent="0.2">
      <c r="A2374" s="75" t="s">
        <v>438</v>
      </c>
      <c r="B2374" s="79">
        <v>46123</v>
      </c>
      <c r="C2374" s="89">
        <v>231</v>
      </c>
      <c r="D2374" s="75"/>
      <c r="E2374" s="75"/>
      <c r="F2374" s="75">
        <v>20610</v>
      </c>
      <c r="G2374" s="76" t="str">
        <f>VLOOKUP(Tabelle2[[#This Row],[Kunden Nr.]],KUNDEN!A:B,2,0)</f>
        <v>AGRO-XHETI</v>
      </c>
      <c r="H2374" s="75">
        <v>35113</v>
      </c>
      <c r="I2374" s="76" t="str">
        <f>VLOOKUP(Tabelle2[[#This Row],[Artikel]],Produkte!A:B,2,0)</f>
        <v>M-ONE Sanitar Silikon</v>
      </c>
      <c r="J2374" s="75">
        <v>24</v>
      </c>
      <c r="K2374" s="76" t="str">
        <f>VLOOKUP(Tabelle2[[#This Row],[Kunden Nr.]],KUNDEN!A:G,7)</f>
        <v>Mensuri</v>
      </c>
      <c r="L2374" s="76">
        <f>VLOOKUP(Tabelle2[[#This Row],[Artikel]],Produkte!A:H,8)</f>
        <v>0.17</v>
      </c>
    </row>
    <row r="2375" spans="1:12" x14ac:dyDescent="0.2">
      <c r="A2375" s="75" t="s">
        <v>438</v>
      </c>
      <c r="B2375" s="79">
        <v>46123</v>
      </c>
      <c r="C2375" s="75"/>
      <c r="D2375" s="75"/>
      <c r="E2375" s="75"/>
      <c r="F2375" s="75">
        <v>20610</v>
      </c>
      <c r="G2375" s="76" t="str">
        <f>VLOOKUP(Tabelle2[[#This Row],[Kunden Nr.]],KUNDEN!A:B,2,0)</f>
        <v>AGRO-XHETI</v>
      </c>
      <c r="H2375" s="75">
        <v>35128</v>
      </c>
      <c r="I2375" s="76" t="str">
        <f>VLOOKUP(Tabelle2[[#This Row],[Artikel]],Produkte!A:B,2,0)</f>
        <v>M-ONE Sanitar Silikon</v>
      </c>
      <c r="J2375" s="75">
        <v>12</v>
      </c>
      <c r="K2375" s="76" t="str">
        <f>VLOOKUP(Tabelle2[[#This Row],[Kunden Nr.]],KUNDEN!A:G,7)</f>
        <v>Mensuri</v>
      </c>
      <c r="L2375" s="76">
        <f>VLOOKUP(Tabelle2[[#This Row],[Artikel]],Produkte!A:H,8)</f>
        <v>0.17</v>
      </c>
    </row>
    <row r="2376" spans="1:12" x14ac:dyDescent="0.2">
      <c r="A2376" s="75" t="s">
        <v>438</v>
      </c>
      <c r="B2376" s="79">
        <v>46123</v>
      </c>
      <c r="C2376" s="75"/>
      <c r="D2376" s="75"/>
      <c r="E2376" s="75"/>
      <c r="F2376" s="75">
        <v>20610</v>
      </c>
      <c r="G2376" s="76" t="str">
        <f>VLOOKUP(Tabelle2[[#This Row],[Kunden Nr.]],KUNDEN!A:B,2,0)</f>
        <v>AGRO-XHETI</v>
      </c>
      <c r="H2376" s="75">
        <v>35125</v>
      </c>
      <c r="I2376" s="76" t="str">
        <f>VLOOKUP(Tabelle2[[#This Row],[Artikel]],Produkte!A:B,2,0)</f>
        <v>M-ONE Sanitar Silikon</v>
      </c>
      <c r="J2376" s="75">
        <v>12</v>
      </c>
      <c r="K2376" s="76" t="str">
        <f>VLOOKUP(Tabelle2[[#This Row],[Kunden Nr.]],KUNDEN!A:G,7)</f>
        <v>Mensuri</v>
      </c>
      <c r="L2376" s="76">
        <f>VLOOKUP(Tabelle2[[#This Row],[Artikel]],Produkte!A:H,8)</f>
        <v>0.17</v>
      </c>
    </row>
    <row r="2377" spans="1:12" x14ac:dyDescent="0.2">
      <c r="A2377" s="75" t="s">
        <v>438</v>
      </c>
      <c r="B2377" s="79">
        <v>46123</v>
      </c>
      <c r="C2377" s="75"/>
      <c r="D2377" s="75"/>
      <c r="E2377" s="75"/>
      <c r="F2377" s="75">
        <v>20610</v>
      </c>
      <c r="G2377" s="76" t="str">
        <f>VLOOKUP(Tabelle2[[#This Row],[Kunden Nr.]],KUNDEN!A:B,2,0)</f>
        <v>AGRO-XHETI</v>
      </c>
      <c r="H2377" s="75">
        <v>35112</v>
      </c>
      <c r="I2377" s="76" t="str">
        <f>VLOOKUP(Tabelle2[[#This Row],[Artikel]],Produkte!A:B,2,0)</f>
        <v>M-ONE Sanitar Silikon</v>
      </c>
      <c r="J2377" s="75">
        <v>12</v>
      </c>
      <c r="K2377" s="76" t="str">
        <f>VLOOKUP(Tabelle2[[#This Row],[Kunden Nr.]],KUNDEN!A:G,7)</f>
        <v>Mensuri</v>
      </c>
      <c r="L2377" s="76">
        <f>VLOOKUP(Tabelle2[[#This Row],[Artikel]],Produkte!A:H,8)</f>
        <v>0.17</v>
      </c>
    </row>
    <row r="2378" spans="1:12" x14ac:dyDescent="0.2">
      <c r="A2378" s="75" t="s">
        <v>967</v>
      </c>
      <c r="B2378" s="79">
        <v>46123</v>
      </c>
      <c r="C2378" s="89">
        <v>187.1</v>
      </c>
      <c r="D2378" s="75"/>
      <c r="E2378" s="75"/>
      <c r="F2378" s="75">
        <v>20603</v>
      </c>
      <c r="G2378" s="76" t="str">
        <f>VLOOKUP(Tabelle2[[#This Row],[Kunden Nr.]],KUNDEN!A:B,2,0)</f>
        <v>PROMOIN</v>
      </c>
      <c r="H2378" s="75">
        <v>35115</v>
      </c>
      <c r="I2378" s="76" t="str">
        <f>VLOOKUP(Tabelle2[[#This Row],[Artikel]],Produkte!A:B,2,0)</f>
        <v>M-ONE Sanitar Silikon</v>
      </c>
      <c r="J2378" s="75">
        <v>12</v>
      </c>
      <c r="K2378" s="76" t="str">
        <f>VLOOKUP(Tabelle2[[#This Row],[Kunden Nr.]],KUNDEN!A:G,7)</f>
        <v>Mensuri</v>
      </c>
      <c r="L2378" s="76">
        <f>VLOOKUP(Tabelle2[[#This Row],[Artikel]],Produkte!A:H,8)</f>
        <v>0.17</v>
      </c>
    </row>
    <row r="2379" spans="1:12" x14ac:dyDescent="0.2">
      <c r="A2379" s="75" t="s">
        <v>967</v>
      </c>
      <c r="B2379" s="79">
        <v>46123</v>
      </c>
      <c r="C2379" s="75"/>
      <c r="D2379" s="75"/>
      <c r="E2379" s="75"/>
      <c r="F2379" s="75">
        <v>20603</v>
      </c>
      <c r="G2379" s="76" t="str">
        <f>VLOOKUP(Tabelle2[[#This Row],[Kunden Nr.]],KUNDEN!A:B,2,0)</f>
        <v>PROMOIN</v>
      </c>
      <c r="H2379" s="75">
        <v>35112</v>
      </c>
      <c r="I2379" s="76" t="str">
        <f>VLOOKUP(Tabelle2[[#This Row],[Artikel]],Produkte!A:B,2,0)</f>
        <v>M-ONE Sanitar Silikon</v>
      </c>
      <c r="J2379" s="75">
        <v>12</v>
      </c>
      <c r="K2379" s="76" t="str">
        <f>VLOOKUP(Tabelle2[[#This Row],[Kunden Nr.]],KUNDEN!A:G,7)</f>
        <v>Mensuri</v>
      </c>
      <c r="L2379" s="76">
        <f>VLOOKUP(Tabelle2[[#This Row],[Artikel]],Produkte!A:H,8)</f>
        <v>0.17</v>
      </c>
    </row>
    <row r="2380" spans="1:12" x14ac:dyDescent="0.2">
      <c r="A2380" s="75" t="s">
        <v>967</v>
      </c>
      <c r="B2380" s="79">
        <v>46123</v>
      </c>
      <c r="C2380" s="75"/>
      <c r="D2380" s="75"/>
      <c r="E2380" s="75"/>
      <c r="F2380" s="75">
        <v>20603</v>
      </c>
      <c r="G2380" s="76" t="str">
        <f>VLOOKUP(Tabelle2[[#This Row],[Kunden Nr.]],KUNDEN!A:B,2,0)</f>
        <v>PROMOIN</v>
      </c>
      <c r="H2380" s="75">
        <v>35121</v>
      </c>
      <c r="I2380" s="76" t="str">
        <f>VLOOKUP(Tabelle2[[#This Row],[Artikel]],Produkte!A:B,2,0)</f>
        <v>M-ONE Sanitar Silikon</v>
      </c>
      <c r="J2380" s="75">
        <v>12</v>
      </c>
      <c r="K2380" s="76" t="str">
        <f>VLOOKUP(Tabelle2[[#This Row],[Kunden Nr.]],KUNDEN!A:G,7)</f>
        <v>Mensuri</v>
      </c>
      <c r="L2380" s="76">
        <f>VLOOKUP(Tabelle2[[#This Row],[Artikel]],Produkte!A:H,8)</f>
        <v>0.17</v>
      </c>
    </row>
    <row r="2381" spans="1:12" x14ac:dyDescent="0.2">
      <c r="A2381" s="75" t="s">
        <v>967</v>
      </c>
      <c r="B2381" s="79">
        <v>46123</v>
      </c>
      <c r="C2381" s="75"/>
      <c r="D2381" s="75"/>
      <c r="E2381" s="75"/>
      <c r="F2381" s="75">
        <v>20603</v>
      </c>
      <c r="G2381" s="76" t="str">
        <f>VLOOKUP(Tabelle2[[#This Row],[Kunden Nr.]],KUNDEN!A:B,2,0)</f>
        <v>PROMOIN</v>
      </c>
      <c r="H2381" s="75">
        <v>16936</v>
      </c>
      <c r="I2381" s="76" t="str">
        <f>VLOOKUP(Tabelle2[[#This Row],[Artikel]],Produkte!A:B,2,0)</f>
        <v>M ONE FELGENSILBER</v>
      </c>
      <c r="J2381" s="75">
        <v>5</v>
      </c>
      <c r="K2381" s="76" t="str">
        <f>VLOOKUP(Tabelle2[[#This Row],[Kunden Nr.]],KUNDEN!A:G,7)</f>
        <v>Mensuri</v>
      </c>
      <c r="L2381" s="76">
        <f>VLOOKUP(Tabelle2[[#This Row],[Artikel]],Produkte!A:H,8)</f>
        <v>0.15</v>
      </c>
    </row>
    <row r="2382" spans="1:12" x14ac:dyDescent="0.2">
      <c r="A2382" s="75" t="s">
        <v>967</v>
      </c>
      <c r="B2382" s="79">
        <v>46123</v>
      </c>
      <c r="C2382" s="75"/>
      <c r="D2382" s="75"/>
      <c r="E2382" s="75"/>
      <c r="F2382" s="75">
        <v>20603</v>
      </c>
      <c r="G2382" s="76" t="str">
        <f>VLOOKUP(Tabelle2[[#This Row],[Kunden Nr.]],KUNDEN!A:B,2,0)</f>
        <v>PROMOIN</v>
      </c>
      <c r="H2382" s="75">
        <v>50912</v>
      </c>
      <c r="I2382" s="76" t="str">
        <f>VLOOKUP(Tabelle2[[#This Row],[Artikel]],Produkte!A:B,2,0)</f>
        <v>DICHTUNG</v>
      </c>
      <c r="J2382" s="75">
        <v>5</v>
      </c>
      <c r="K2382" s="76" t="str">
        <f>VLOOKUP(Tabelle2[[#This Row],[Kunden Nr.]],KUNDEN!A:G,7)</f>
        <v>Mensuri</v>
      </c>
      <c r="L2382" s="76">
        <f>VLOOKUP(Tabelle2[[#This Row],[Artikel]],Produkte!A:H,8)</f>
        <v>0.2</v>
      </c>
    </row>
    <row r="2383" spans="1:12" x14ac:dyDescent="0.2">
      <c r="A2383" s="75" t="s">
        <v>440</v>
      </c>
      <c r="B2383" s="79">
        <v>46123</v>
      </c>
      <c r="C2383" s="89">
        <v>329.5</v>
      </c>
      <c r="D2383" s="75"/>
      <c r="E2383" s="75"/>
      <c r="F2383" s="75">
        <v>20611</v>
      </c>
      <c r="G2383" s="76" t="str">
        <f>VLOOKUP(Tabelle2[[#This Row],[Kunden Nr.]],KUNDEN!A:B,2,0)</f>
        <v>TE-LUTA</v>
      </c>
      <c r="H2383" s="75">
        <v>35109</v>
      </c>
      <c r="I2383" s="76" t="str">
        <f>VLOOKUP(Tabelle2[[#This Row],[Artikel]],Produkte!A:B,2,0)</f>
        <v>M-ONE Sanitar Silikon</v>
      </c>
      <c r="J2383" s="75">
        <v>36</v>
      </c>
      <c r="K2383" s="76" t="str">
        <f>VLOOKUP(Tabelle2[[#This Row],[Kunden Nr.]],KUNDEN!A:G,7)</f>
        <v>Mensuri</v>
      </c>
      <c r="L2383" s="76">
        <f>VLOOKUP(Tabelle2[[#This Row],[Artikel]],Produkte!A:H,8)</f>
        <v>0.17</v>
      </c>
    </row>
    <row r="2384" spans="1:12" x14ac:dyDescent="0.2">
      <c r="A2384" s="75" t="s">
        <v>440</v>
      </c>
      <c r="B2384" s="79">
        <v>46123</v>
      </c>
      <c r="C2384" s="75"/>
      <c r="D2384" s="75"/>
      <c r="E2384" s="75"/>
      <c r="F2384" s="75">
        <v>20611</v>
      </c>
      <c r="G2384" s="76" t="str">
        <f>VLOOKUP(Tabelle2[[#This Row],[Kunden Nr.]],KUNDEN!A:B,2,0)</f>
        <v>TE-LUTA</v>
      </c>
      <c r="H2384" s="75">
        <v>35128</v>
      </c>
      <c r="I2384" s="76" t="str">
        <f>VLOOKUP(Tabelle2[[#This Row],[Artikel]],Produkte!A:B,2,0)</f>
        <v>M-ONE Sanitar Silikon</v>
      </c>
      <c r="J2384" s="75">
        <v>12</v>
      </c>
      <c r="K2384" s="76" t="str">
        <f>VLOOKUP(Tabelle2[[#This Row],[Kunden Nr.]],KUNDEN!A:G,7)</f>
        <v>Mensuri</v>
      </c>
      <c r="L2384" s="76">
        <f>VLOOKUP(Tabelle2[[#This Row],[Artikel]],Produkte!A:H,8)</f>
        <v>0.17</v>
      </c>
    </row>
    <row r="2385" spans="1:12" x14ac:dyDescent="0.2">
      <c r="A2385" s="75" t="s">
        <v>440</v>
      </c>
      <c r="B2385" s="79">
        <v>46123</v>
      </c>
      <c r="C2385" s="75"/>
      <c r="D2385" s="75"/>
      <c r="E2385" s="75"/>
      <c r="F2385" s="75">
        <v>20611</v>
      </c>
      <c r="G2385" s="76" t="str">
        <f>VLOOKUP(Tabelle2[[#This Row],[Kunden Nr.]],KUNDEN!A:B,2,0)</f>
        <v>TE-LUTA</v>
      </c>
      <c r="H2385" s="75">
        <v>35110</v>
      </c>
      <c r="I2385" s="76" t="str">
        <f>VLOOKUP(Tabelle2[[#This Row],[Artikel]],Produkte!A:B,2,0)</f>
        <v>M-ONE Sanitar Silikon</v>
      </c>
      <c r="J2385" s="75">
        <v>12</v>
      </c>
      <c r="K2385" s="76" t="str">
        <f>VLOOKUP(Tabelle2[[#This Row],[Kunden Nr.]],KUNDEN!A:G,7)</f>
        <v>Mensuri</v>
      </c>
      <c r="L2385" s="76">
        <f>VLOOKUP(Tabelle2[[#This Row],[Artikel]],Produkte!A:H,8)</f>
        <v>0.17</v>
      </c>
    </row>
    <row r="2386" spans="1:12" x14ac:dyDescent="0.2">
      <c r="A2386" s="75" t="s">
        <v>440</v>
      </c>
      <c r="B2386" s="79">
        <v>46123</v>
      </c>
      <c r="C2386" s="75"/>
      <c r="D2386" s="75"/>
      <c r="E2386" s="75"/>
      <c r="F2386" s="75">
        <v>20611</v>
      </c>
      <c r="G2386" s="76" t="str">
        <f>VLOOKUP(Tabelle2[[#This Row],[Kunden Nr.]],KUNDEN!A:B,2,0)</f>
        <v>TE-LUTA</v>
      </c>
      <c r="H2386" s="75">
        <v>35111</v>
      </c>
      <c r="I2386" s="76" t="str">
        <f>VLOOKUP(Tabelle2[[#This Row],[Artikel]],Produkte!A:B,2,0)</f>
        <v>M-ONE Sanitar Silikon</v>
      </c>
      <c r="J2386" s="75">
        <v>12</v>
      </c>
      <c r="K2386" s="76" t="str">
        <f>VLOOKUP(Tabelle2[[#This Row],[Kunden Nr.]],KUNDEN!A:G,7)</f>
        <v>Mensuri</v>
      </c>
      <c r="L2386" s="76">
        <f>VLOOKUP(Tabelle2[[#This Row],[Artikel]],Produkte!A:H,8)</f>
        <v>0.17</v>
      </c>
    </row>
    <row r="2387" spans="1:12" x14ac:dyDescent="0.2">
      <c r="A2387" s="75" t="s">
        <v>440</v>
      </c>
      <c r="B2387" s="79">
        <v>46123</v>
      </c>
      <c r="C2387" s="75"/>
      <c r="D2387" s="75"/>
      <c r="E2387" s="75"/>
      <c r="F2387" s="75">
        <v>20611</v>
      </c>
      <c r="G2387" s="76" t="str">
        <f>VLOOKUP(Tabelle2[[#This Row],[Kunden Nr.]],KUNDEN!A:B,2,0)</f>
        <v>TE-LUTA</v>
      </c>
      <c r="H2387" s="75">
        <v>66701</v>
      </c>
      <c r="I2387" s="76" t="str">
        <f>VLOOKUP(Tabelle2[[#This Row],[Artikel]],Produkte!A:B,2,0)</f>
        <v>PROFIMONT EXTREME</v>
      </c>
      <c r="J2387" s="75">
        <v>6</v>
      </c>
      <c r="K2387" s="76" t="str">
        <f>VLOOKUP(Tabelle2[[#This Row],[Kunden Nr.]],KUNDEN!A:G,7)</f>
        <v>Mensuri</v>
      </c>
      <c r="L2387" s="76">
        <f>VLOOKUP(Tabelle2[[#This Row],[Artikel]],Produkte!A:H,8)</f>
        <v>0.2</v>
      </c>
    </row>
    <row r="2388" spans="1:12" x14ac:dyDescent="0.2">
      <c r="A2388" s="75" t="s">
        <v>440</v>
      </c>
      <c r="B2388" s="79">
        <v>46123</v>
      </c>
      <c r="C2388" s="75"/>
      <c r="D2388" s="75"/>
      <c r="E2388" s="75"/>
      <c r="F2388" s="75">
        <v>20611</v>
      </c>
      <c r="G2388" s="76" t="str">
        <f>VLOOKUP(Tabelle2[[#This Row],[Kunden Nr.]],KUNDEN!A:B,2,0)</f>
        <v>TE-LUTA</v>
      </c>
      <c r="H2388" s="75">
        <v>44001</v>
      </c>
      <c r="I2388" s="76" t="str">
        <f>VLOOKUP(Tabelle2[[#This Row],[Artikel]],Produkte!A:B,2,0)</f>
        <v>Fettspray</v>
      </c>
      <c r="J2388" s="75">
        <v>5</v>
      </c>
      <c r="K2388" s="76" t="str">
        <f>VLOOKUP(Tabelle2[[#This Row],[Kunden Nr.]],KUNDEN!A:G,7)</f>
        <v>Mensuri</v>
      </c>
      <c r="L2388" s="76">
        <f>VLOOKUP(Tabelle2[[#This Row],[Artikel]],Produkte!A:H,8)</f>
        <v>0.2</v>
      </c>
    </row>
    <row r="2389" spans="1:12" x14ac:dyDescent="0.2">
      <c r="A2389" s="75" t="s">
        <v>435</v>
      </c>
      <c r="B2389" s="79">
        <v>46123</v>
      </c>
      <c r="C2389" s="89">
        <v>92.4</v>
      </c>
      <c r="D2389" s="75"/>
      <c r="E2389" s="75"/>
      <c r="F2389" s="75">
        <v>20608</v>
      </c>
      <c r="G2389" s="76" t="str">
        <f>VLOOKUP(Tabelle2[[#This Row],[Kunden Nr.]],KUNDEN!A:B,2,0)</f>
        <v>LONI</v>
      </c>
      <c r="H2389" s="75">
        <v>35115</v>
      </c>
      <c r="I2389" s="76" t="str">
        <f>VLOOKUP(Tabelle2[[#This Row],[Artikel]],Produkte!A:B,2,0)</f>
        <v>M-ONE Sanitar Silikon</v>
      </c>
      <c r="J2389" s="75">
        <v>12</v>
      </c>
      <c r="K2389" s="76" t="str">
        <f>VLOOKUP(Tabelle2[[#This Row],[Kunden Nr.]],KUNDEN!A:G,7)</f>
        <v>Mensuri</v>
      </c>
      <c r="L2389" s="76">
        <f>VLOOKUP(Tabelle2[[#This Row],[Artikel]],Produkte!A:H,8)</f>
        <v>0.17</v>
      </c>
    </row>
    <row r="2390" spans="1:12" x14ac:dyDescent="0.2">
      <c r="A2390" s="75" t="s">
        <v>435</v>
      </c>
      <c r="B2390" s="79">
        <v>46123</v>
      </c>
      <c r="C2390" s="75"/>
      <c r="D2390" s="75"/>
      <c r="E2390" s="75"/>
      <c r="F2390" s="75">
        <v>20608</v>
      </c>
      <c r="G2390" s="76" t="str">
        <f>VLOOKUP(Tabelle2[[#This Row],[Kunden Nr.]],KUNDEN!A:B,2,0)</f>
        <v>LONI</v>
      </c>
      <c r="H2390" s="75">
        <v>35121</v>
      </c>
      <c r="I2390" s="76" t="str">
        <f>VLOOKUP(Tabelle2[[#This Row],[Artikel]],Produkte!A:B,2,0)</f>
        <v>M-ONE Sanitar Silikon</v>
      </c>
      <c r="J2390" s="75">
        <v>12</v>
      </c>
      <c r="K2390" s="76" t="str">
        <f>VLOOKUP(Tabelle2[[#This Row],[Kunden Nr.]],KUNDEN!A:G,7)</f>
        <v>Mensuri</v>
      </c>
      <c r="L2390" s="76">
        <f>VLOOKUP(Tabelle2[[#This Row],[Artikel]],Produkte!A:H,8)</f>
        <v>0.17</v>
      </c>
    </row>
    <row r="2391" spans="1:12" x14ac:dyDescent="0.2">
      <c r="A2391" s="75" t="s">
        <v>434</v>
      </c>
      <c r="B2391" s="79">
        <v>46123</v>
      </c>
      <c r="C2391" s="89">
        <v>127.9</v>
      </c>
      <c r="D2391" s="75"/>
      <c r="E2391" s="75"/>
      <c r="F2391" s="75">
        <v>20606</v>
      </c>
      <c r="G2391" s="76" t="str">
        <f>VLOOKUP(Tabelle2[[#This Row],[Kunden Nr.]],KUNDEN!A:B,2,0)</f>
        <v>TE-SYLA</v>
      </c>
      <c r="H2391" s="75">
        <v>35108</v>
      </c>
      <c r="I2391" s="76" t="str">
        <f>VLOOKUP(Tabelle2[[#This Row],[Artikel]],Produkte!A:B,2,0)</f>
        <v>M-ONE Sanitar Silikon</v>
      </c>
      <c r="J2391" s="75">
        <v>12</v>
      </c>
      <c r="K2391" s="76" t="str">
        <f>VLOOKUP(Tabelle2[[#This Row],[Kunden Nr.]],KUNDEN!A:G,7)</f>
        <v>Mensuri</v>
      </c>
      <c r="L2391" s="76">
        <f>VLOOKUP(Tabelle2[[#This Row],[Artikel]],Produkte!A:H,8)</f>
        <v>0.17</v>
      </c>
    </row>
    <row r="2392" spans="1:12" x14ac:dyDescent="0.2">
      <c r="A2392" s="75" t="s">
        <v>434</v>
      </c>
      <c r="B2392" s="79">
        <v>46123</v>
      </c>
      <c r="C2392" s="75"/>
      <c r="D2392" s="75"/>
      <c r="E2392" s="75"/>
      <c r="F2392" s="75">
        <v>20606</v>
      </c>
      <c r="G2392" s="76" t="str">
        <f>VLOOKUP(Tabelle2[[#This Row],[Kunden Nr.]],KUNDEN!A:B,2,0)</f>
        <v>TE-SYLA</v>
      </c>
      <c r="H2392" s="75">
        <v>35111</v>
      </c>
      <c r="I2392" s="76" t="str">
        <f>VLOOKUP(Tabelle2[[#This Row],[Artikel]],Produkte!A:B,2,0)</f>
        <v>M-ONE Sanitar Silikon</v>
      </c>
      <c r="J2392" s="75">
        <v>12</v>
      </c>
      <c r="K2392" s="76" t="str">
        <f>VLOOKUP(Tabelle2[[#This Row],[Kunden Nr.]],KUNDEN!A:G,7)</f>
        <v>Mensuri</v>
      </c>
      <c r="L2392" s="76">
        <f>VLOOKUP(Tabelle2[[#This Row],[Artikel]],Produkte!A:H,8)</f>
        <v>0.17</v>
      </c>
    </row>
    <row r="2393" spans="1:12" x14ac:dyDescent="0.2">
      <c r="A2393" s="75" t="s">
        <v>434</v>
      </c>
      <c r="B2393" s="79">
        <v>46123</v>
      </c>
      <c r="C2393" s="75"/>
      <c r="D2393" s="75"/>
      <c r="E2393" s="75"/>
      <c r="F2393" s="75">
        <v>20606</v>
      </c>
      <c r="G2393" s="76" t="str">
        <f>VLOOKUP(Tabelle2[[#This Row],[Kunden Nr.]],KUNDEN!A:B,2,0)</f>
        <v>TE-SYLA</v>
      </c>
      <c r="H2393" s="75">
        <v>49644</v>
      </c>
      <c r="I2393" s="76" t="str">
        <f>VLOOKUP(Tabelle2[[#This Row],[Artikel]],Produkte!A:B,2,0)</f>
        <v>beMAKER Rostlöser</v>
      </c>
      <c r="J2393" s="75">
        <v>5</v>
      </c>
      <c r="K2393" s="76" t="str">
        <f>VLOOKUP(Tabelle2[[#This Row],[Kunden Nr.]],KUNDEN!A:G,7)</f>
        <v>Mensuri</v>
      </c>
      <c r="L2393" s="76">
        <f>VLOOKUP(Tabelle2[[#This Row],[Artikel]],Produkte!A:H,8)</f>
        <v>0.2</v>
      </c>
    </row>
    <row r="2394" spans="1:12" x14ac:dyDescent="0.2">
      <c r="A2394" s="75" t="s">
        <v>434</v>
      </c>
      <c r="B2394" s="79">
        <v>46123</v>
      </c>
      <c r="C2394" s="75"/>
      <c r="D2394" s="75"/>
      <c r="E2394" s="75"/>
      <c r="F2394" s="75">
        <v>20606</v>
      </c>
      <c r="G2394" s="76" t="str">
        <f>VLOOKUP(Tabelle2[[#This Row],[Kunden Nr.]],KUNDEN!A:B,2,0)</f>
        <v>TE-SYLA</v>
      </c>
      <c r="H2394" s="75">
        <v>16936</v>
      </c>
      <c r="I2394" s="76" t="str">
        <f>VLOOKUP(Tabelle2[[#This Row],[Artikel]],Produkte!A:B,2,0)</f>
        <v>M ONE FELGENSILBER</v>
      </c>
      <c r="J2394" s="75">
        <v>5</v>
      </c>
      <c r="K2394" s="76" t="str">
        <f>VLOOKUP(Tabelle2[[#This Row],[Kunden Nr.]],KUNDEN!A:G,7)</f>
        <v>Mensuri</v>
      </c>
      <c r="L2394" s="76">
        <f>VLOOKUP(Tabelle2[[#This Row],[Artikel]],Produkte!A:H,8)</f>
        <v>0.15</v>
      </c>
    </row>
    <row r="2395" spans="1:12" x14ac:dyDescent="0.2">
      <c r="A2395" s="75" t="s">
        <v>434</v>
      </c>
      <c r="B2395" s="79">
        <v>46123</v>
      </c>
      <c r="C2395" s="75"/>
      <c r="D2395" s="75"/>
      <c r="E2395" s="75"/>
      <c r="F2395" s="75">
        <v>20606</v>
      </c>
      <c r="G2395" s="76" t="str">
        <f>VLOOKUP(Tabelle2[[#This Row],[Kunden Nr.]],KUNDEN!A:B,2,0)</f>
        <v>TE-SYLA</v>
      </c>
      <c r="H2395" s="75">
        <v>39505</v>
      </c>
      <c r="I2395" s="76" t="str">
        <f>VLOOKUP(Tabelle2[[#This Row],[Artikel]],Produkte!A:B,2,0)</f>
        <v>M ONE SILIKON SPRAY</v>
      </c>
      <c r="J2395" s="75">
        <v>2</v>
      </c>
      <c r="K2395" s="76" t="str">
        <f>VLOOKUP(Tabelle2[[#This Row],[Kunden Nr.]],KUNDEN!A:G,7)</f>
        <v>Mensuri</v>
      </c>
      <c r="L2395" s="76">
        <f>VLOOKUP(Tabelle2[[#This Row],[Artikel]],Produkte!A:H,8)</f>
        <v>0.2</v>
      </c>
    </row>
    <row r="2396" spans="1:12" x14ac:dyDescent="0.2">
      <c r="A2396" s="75" t="s">
        <v>434</v>
      </c>
      <c r="B2396" s="79">
        <v>46123</v>
      </c>
      <c r="C2396" s="75"/>
      <c r="D2396" s="75"/>
      <c r="E2396" s="75"/>
      <c r="F2396" s="75">
        <v>20606</v>
      </c>
      <c r="G2396" s="76" t="str">
        <f>VLOOKUP(Tabelle2[[#This Row],[Kunden Nr.]],KUNDEN!A:B,2,0)</f>
        <v>TE-SYLA</v>
      </c>
      <c r="H2396" s="75">
        <v>44001</v>
      </c>
      <c r="I2396" s="76" t="str">
        <f>VLOOKUP(Tabelle2[[#This Row],[Artikel]],Produkte!A:B,2,0)</f>
        <v>Fettspray</v>
      </c>
      <c r="J2396" s="75">
        <v>2</v>
      </c>
      <c r="K2396" s="76" t="str">
        <f>VLOOKUP(Tabelle2[[#This Row],[Kunden Nr.]],KUNDEN!A:G,7)</f>
        <v>Mensuri</v>
      </c>
      <c r="L2396" s="76">
        <f>VLOOKUP(Tabelle2[[#This Row],[Artikel]],Produkte!A:H,8)</f>
        <v>0.2</v>
      </c>
    </row>
    <row r="2397" spans="1:12" x14ac:dyDescent="0.2">
      <c r="A2397" s="75" t="s">
        <v>968</v>
      </c>
      <c r="B2397" s="79">
        <v>46123</v>
      </c>
      <c r="C2397" s="89">
        <v>92.4</v>
      </c>
      <c r="D2397" s="75"/>
      <c r="E2397" s="75"/>
      <c r="F2397" s="75">
        <v>20624</v>
      </c>
      <c r="G2397" s="76" t="str">
        <f>VLOOKUP(Tabelle2[[#This Row],[Kunden Nr.]],KUNDEN!A:B,2,0)</f>
        <v>BULONI - SH</v>
      </c>
      <c r="H2397" s="75">
        <v>35111</v>
      </c>
      <c r="I2397" s="76" t="str">
        <f>VLOOKUP(Tabelle2[[#This Row],[Artikel]],Produkte!A:B,2,0)</f>
        <v>M-ONE Sanitar Silikon</v>
      </c>
      <c r="J2397" s="75">
        <v>12</v>
      </c>
      <c r="K2397" s="76" t="str">
        <f>VLOOKUP(Tabelle2[[#This Row],[Kunden Nr.]],KUNDEN!A:G,7)</f>
        <v>Mensuri</v>
      </c>
      <c r="L2397" s="76">
        <f>VLOOKUP(Tabelle2[[#This Row],[Artikel]],Produkte!A:H,8)</f>
        <v>0.17</v>
      </c>
    </row>
    <row r="2398" spans="1:12" x14ac:dyDescent="0.2">
      <c r="A2398" s="75" t="s">
        <v>968</v>
      </c>
      <c r="B2398" s="79">
        <v>46123</v>
      </c>
      <c r="C2398" s="75"/>
      <c r="D2398" s="75"/>
      <c r="E2398" s="75"/>
      <c r="F2398" s="75">
        <v>20624</v>
      </c>
      <c r="G2398" s="76" t="str">
        <f>VLOOKUP(Tabelle2[[#This Row],[Kunden Nr.]],KUNDEN!A:B,2,0)</f>
        <v>BULONI - SH</v>
      </c>
      <c r="H2398" s="75">
        <v>35128</v>
      </c>
      <c r="I2398" s="76" t="str">
        <f>VLOOKUP(Tabelle2[[#This Row],[Artikel]],Produkte!A:B,2,0)</f>
        <v>M-ONE Sanitar Silikon</v>
      </c>
      <c r="J2398" s="75">
        <v>12</v>
      </c>
      <c r="K2398" s="76" t="str">
        <f>VLOOKUP(Tabelle2[[#This Row],[Kunden Nr.]],KUNDEN!A:G,7)</f>
        <v>Mensuri</v>
      </c>
      <c r="L2398" s="76">
        <f>VLOOKUP(Tabelle2[[#This Row],[Artikel]],Produkte!A:H,8)</f>
        <v>0.17</v>
      </c>
    </row>
    <row r="2399" spans="1:12" x14ac:dyDescent="0.2">
      <c r="A2399" s="75" t="s">
        <v>1305</v>
      </c>
      <c r="B2399" s="79">
        <v>46123</v>
      </c>
      <c r="C2399" s="89">
        <v>120</v>
      </c>
      <c r="D2399" s="75"/>
      <c r="E2399" s="75"/>
      <c r="F2399" s="75">
        <v>20622</v>
      </c>
      <c r="G2399" s="76" t="str">
        <f>VLOOKUP(Tabelle2[[#This Row],[Kunden Nr.]],KUNDEN!A:B,2,0)</f>
        <v>ILIRI QERAMIKA</v>
      </c>
      <c r="H2399" s="75">
        <v>35112</v>
      </c>
      <c r="I2399" s="76" t="str">
        <f>VLOOKUP(Tabelle2[[#This Row],[Artikel]],Produkte!A:B,2,0)</f>
        <v>M-ONE Sanitar Silikon</v>
      </c>
      <c r="J2399" s="75">
        <v>12</v>
      </c>
      <c r="K2399" s="76" t="str">
        <f>VLOOKUP(Tabelle2[[#This Row],[Kunden Nr.]],KUNDEN!A:G,7)</f>
        <v>Mensuri</v>
      </c>
      <c r="L2399" s="76">
        <f>VLOOKUP(Tabelle2[[#This Row],[Artikel]],Produkte!A:H,8)</f>
        <v>0.17</v>
      </c>
    </row>
    <row r="2400" spans="1:12" x14ac:dyDescent="0.2">
      <c r="A2400" s="75" t="s">
        <v>1305</v>
      </c>
      <c r="B2400" s="79">
        <v>46123</v>
      </c>
      <c r="C2400" s="75"/>
      <c r="D2400" s="75"/>
      <c r="E2400" s="75"/>
      <c r="F2400" s="75">
        <v>20622</v>
      </c>
      <c r="G2400" s="76" t="str">
        <f>VLOOKUP(Tabelle2[[#This Row],[Kunden Nr.]],KUNDEN!A:B,2,0)</f>
        <v>ILIRI QERAMIKA</v>
      </c>
      <c r="H2400" s="75">
        <v>35115</v>
      </c>
      <c r="I2400" s="76" t="str">
        <f>VLOOKUP(Tabelle2[[#This Row],[Artikel]],Produkte!A:B,2,0)</f>
        <v>M-ONE Sanitar Silikon</v>
      </c>
      <c r="J2400" s="75">
        <v>12</v>
      </c>
      <c r="K2400" s="76" t="str">
        <f>VLOOKUP(Tabelle2[[#This Row],[Kunden Nr.]],KUNDEN!A:G,7)</f>
        <v>Mensuri</v>
      </c>
      <c r="L2400" s="76">
        <f>VLOOKUP(Tabelle2[[#This Row],[Artikel]],Produkte!A:H,8)</f>
        <v>0.17</v>
      </c>
    </row>
    <row r="2401" spans="1:12" x14ac:dyDescent="0.2">
      <c r="A2401" s="75" t="s">
        <v>1305</v>
      </c>
      <c r="B2401" s="79">
        <v>46123</v>
      </c>
      <c r="C2401" s="75"/>
      <c r="D2401" s="75"/>
      <c r="E2401" s="75"/>
      <c r="F2401" s="75">
        <v>20622</v>
      </c>
      <c r="G2401" s="76" t="str">
        <f>VLOOKUP(Tabelle2[[#This Row],[Kunden Nr.]],KUNDEN!A:B,2,0)</f>
        <v>ILIRI QERAMIKA</v>
      </c>
      <c r="H2401" s="75">
        <v>51612</v>
      </c>
      <c r="I2401" s="76" t="str">
        <f>VLOOKUP(Tabelle2[[#This Row],[Artikel]],Produkte!A:B,2,0)</f>
        <v>struktural akryl</v>
      </c>
      <c r="J2401" s="75">
        <v>12</v>
      </c>
      <c r="K2401" s="76" t="str">
        <f>VLOOKUP(Tabelle2[[#This Row],[Kunden Nr.]],KUNDEN!A:G,7)</f>
        <v>Mensuri</v>
      </c>
      <c r="L2401" s="76">
        <f>VLOOKUP(Tabelle2[[#This Row],[Artikel]],Produkte!A:H,8)</f>
        <v>0.06</v>
      </c>
    </row>
    <row r="2402" spans="1:12" x14ac:dyDescent="0.2">
      <c r="A2402" s="75" t="s">
        <v>565</v>
      </c>
      <c r="B2402" s="79">
        <v>46125</v>
      </c>
      <c r="C2402" s="89">
        <v>29</v>
      </c>
      <c r="D2402" s="75"/>
      <c r="E2402" s="75"/>
      <c r="F2402" s="75">
        <v>10103</v>
      </c>
      <c r="G2402" s="76" t="str">
        <f>VLOOKUP(Tabelle2[[#This Row],[Kunden Nr.]],KUNDEN!A:B,2,0)</f>
        <v>BESI COM</v>
      </c>
      <c r="H2402" s="75">
        <v>44001</v>
      </c>
      <c r="I2402" s="76" t="str">
        <f>VLOOKUP(Tabelle2[[#This Row],[Artikel]],Produkte!A:B,2,0)</f>
        <v>Fettspray</v>
      </c>
      <c r="J2402" s="75">
        <v>6</v>
      </c>
      <c r="K2402" s="76" t="str">
        <f>VLOOKUP(Tabelle2[[#This Row],[Kunden Nr.]],KUNDEN!A:G,7)</f>
        <v>Qerimi</v>
      </c>
      <c r="L2402" s="76">
        <f>VLOOKUP(Tabelle2[[#This Row],[Artikel]],Produkte!A:H,8)</f>
        <v>0.2</v>
      </c>
    </row>
    <row r="2403" spans="1:12" x14ac:dyDescent="0.2">
      <c r="A2403" s="75" t="s">
        <v>565</v>
      </c>
      <c r="B2403" s="79">
        <v>46125</v>
      </c>
      <c r="C2403" s="75"/>
      <c r="D2403" s="75"/>
      <c r="E2403" s="75"/>
      <c r="F2403" s="75">
        <v>10103</v>
      </c>
      <c r="G2403" s="76" t="str">
        <f>VLOOKUP(Tabelle2[[#This Row],[Kunden Nr.]],KUNDEN!A:B,2,0)</f>
        <v>BESI COM</v>
      </c>
      <c r="H2403" s="75">
        <v>56117</v>
      </c>
      <c r="I2403" s="76" t="str">
        <f>VLOOKUP(Tabelle2[[#This Row],[Artikel]],Produkte!A:B,2,0)</f>
        <v>M ONE UBS</v>
      </c>
      <c r="J2403" s="75">
        <v>2</v>
      </c>
      <c r="K2403" s="76" t="str">
        <f>VLOOKUP(Tabelle2[[#This Row],[Kunden Nr.]],KUNDEN!A:G,7)</f>
        <v>Qerimi</v>
      </c>
      <c r="L2403" s="76">
        <f>VLOOKUP(Tabelle2[[#This Row],[Artikel]],Produkte!A:H,8)</f>
        <v>0.2</v>
      </c>
    </row>
    <row r="2404" spans="1:12" x14ac:dyDescent="0.2">
      <c r="A2404" s="75" t="s">
        <v>573</v>
      </c>
      <c r="B2404" s="79">
        <v>46125</v>
      </c>
      <c r="C2404" s="89">
        <v>118.4</v>
      </c>
      <c r="D2404" s="75"/>
      <c r="E2404" s="75"/>
      <c r="F2404" s="75">
        <v>10111</v>
      </c>
      <c r="G2404" s="76" t="str">
        <f>VLOOKUP(Tabelle2[[#This Row],[Kunden Nr.]],KUNDEN!A:B,2,0)</f>
        <v>KADIJOLLET</v>
      </c>
      <c r="H2404" s="75">
        <v>35110</v>
      </c>
      <c r="I2404" s="76" t="str">
        <f>VLOOKUP(Tabelle2[[#This Row],[Artikel]],Produkte!A:B,2,0)</f>
        <v>M-ONE Sanitar Silikon</v>
      </c>
      <c r="J2404" s="75">
        <v>12</v>
      </c>
      <c r="K2404" s="76" t="str">
        <f>VLOOKUP(Tabelle2[[#This Row],[Kunden Nr.]],KUNDEN!A:G,7)</f>
        <v>Qerimi</v>
      </c>
      <c r="L2404" s="76">
        <f>VLOOKUP(Tabelle2[[#This Row],[Artikel]],Produkte!A:H,8)</f>
        <v>0.17</v>
      </c>
    </row>
    <row r="2405" spans="1:12" x14ac:dyDescent="0.2">
      <c r="A2405" s="75" t="s">
        <v>573</v>
      </c>
      <c r="B2405" s="79">
        <v>46125</v>
      </c>
      <c r="C2405" s="75"/>
      <c r="D2405" s="75"/>
      <c r="E2405" s="75"/>
      <c r="F2405" s="75">
        <v>10111</v>
      </c>
      <c r="G2405" s="76" t="str">
        <f>VLOOKUP(Tabelle2[[#This Row],[Kunden Nr.]],KUNDEN!A:B,2,0)</f>
        <v>KADIJOLLET</v>
      </c>
      <c r="H2405" s="75">
        <v>35125</v>
      </c>
      <c r="I2405" s="76" t="str">
        <f>VLOOKUP(Tabelle2[[#This Row],[Artikel]],Produkte!A:B,2,0)</f>
        <v>M-ONE Sanitar Silikon</v>
      </c>
      <c r="J2405" s="75">
        <v>12</v>
      </c>
      <c r="K2405" s="76" t="str">
        <f>VLOOKUP(Tabelle2[[#This Row],[Kunden Nr.]],KUNDEN!A:G,7)</f>
        <v>Qerimi</v>
      </c>
      <c r="L2405" s="76">
        <f>VLOOKUP(Tabelle2[[#This Row],[Artikel]],Produkte!A:H,8)</f>
        <v>0.17</v>
      </c>
    </row>
    <row r="2406" spans="1:12" x14ac:dyDescent="0.2">
      <c r="A2406" s="75" t="s">
        <v>573</v>
      </c>
      <c r="B2406" s="79">
        <v>46125</v>
      </c>
      <c r="C2406" s="75"/>
      <c r="D2406" s="75"/>
      <c r="E2406" s="75"/>
      <c r="F2406" s="75">
        <v>10111</v>
      </c>
      <c r="G2406" s="76" t="str">
        <f>VLOOKUP(Tabelle2[[#This Row],[Kunden Nr.]],KUNDEN!A:B,2,0)</f>
        <v>KADIJOLLET</v>
      </c>
      <c r="H2406" s="75">
        <v>49644</v>
      </c>
      <c r="I2406" s="76" t="str">
        <f>VLOOKUP(Tabelle2[[#This Row],[Artikel]],Produkte!A:B,2,0)</f>
        <v>beMAKER Rostlöser</v>
      </c>
      <c r="J2406" s="75">
        <v>3</v>
      </c>
      <c r="K2406" s="76" t="str">
        <f>VLOOKUP(Tabelle2[[#This Row],[Kunden Nr.]],KUNDEN!A:G,7)</f>
        <v>Qerimi</v>
      </c>
      <c r="L2406" s="76">
        <f>VLOOKUP(Tabelle2[[#This Row],[Artikel]],Produkte!A:H,8)</f>
        <v>0.2</v>
      </c>
    </row>
    <row r="2407" spans="1:12" x14ac:dyDescent="0.2">
      <c r="A2407" s="75" t="s">
        <v>573</v>
      </c>
      <c r="B2407" s="79">
        <v>46125</v>
      </c>
      <c r="C2407" s="75"/>
      <c r="D2407" s="75"/>
      <c r="E2407" s="75"/>
      <c r="F2407" s="75">
        <v>10111</v>
      </c>
      <c r="G2407" s="76" t="str">
        <f>VLOOKUP(Tabelle2[[#This Row],[Kunden Nr.]],KUNDEN!A:B,2,0)</f>
        <v>KADIJOLLET</v>
      </c>
      <c r="H2407" s="75">
        <v>54412</v>
      </c>
      <c r="I2407" s="76" t="str">
        <f>VLOOKUP(Tabelle2[[#This Row],[Artikel]],Produkte!A:B,2,0)</f>
        <v>beMAKER Bremsen&amp;Teile Reininger</v>
      </c>
      <c r="J2407" s="75">
        <v>3</v>
      </c>
      <c r="K2407" s="76" t="str">
        <f>VLOOKUP(Tabelle2[[#This Row],[Kunden Nr.]],KUNDEN!A:G,7)</f>
        <v>Qerimi</v>
      </c>
      <c r="L2407" s="76">
        <f>VLOOKUP(Tabelle2[[#This Row],[Artikel]],Produkte!A:H,8)</f>
        <v>0.2</v>
      </c>
    </row>
    <row r="2408" spans="1:12" x14ac:dyDescent="0.2">
      <c r="A2408" s="75" t="s">
        <v>573</v>
      </c>
      <c r="B2408" s="79">
        <v>46125</v>
      </c>
      <c r="C2408" s="75"/>
      <c r="D2408" s="75"/>
      <c r="E2408" s="75"/>
      <c r="F2408" s="75">
        <v>10111</v>
      </c>
      <c r="G2408" s="76" t="str">
        <f>VLOOKUP(Tabelle2[[#This Row],[Kunden Nr.]],KUNDEN!A:B,2,0)</f>
        <v>KADIJOLLET</v>
      </c>
      <c r="H2408" s="75">
        <v>55718</v>
      </c>
      <c r="I2408" s="76" t="str">
        <f>VLOOKUP(Tabelle2[[#This Row],[Artikel]],Produkte!A:B,2,0)</f>
        <v>M ONE MOTORSTART</v>
      </c>
      <c r="J2408" s="75">
        <v>4</v>
      </c>
      <c r="K2408" s="76" t="str">
        <f>VLOOKUP(Tabelle2[[#This Row],[Kunden Nr.]],KUNDEN!A:G,7)</f>
        <v>Qerimi</v>
      </c>
      <c r="L2408" s="76">
        <f>VLOOKUP(Tabelle2[[#This Row],[Artikel]],Produkte!A:H,8)</f>
        <v>0.2</v>
      </c>
    </row>
    <row r="2409" spans="1:12" x14ac:dyDescent="0.2">
      <c r="A2409" s="75" t="s">
        <v>567</v>
      </c>
      <c r="B2409" s="79">
        <v>46125</v>
      </c>
      <c r="C2409" s="89">
        <v>92.4</v>
      </c>
      <c r="D2409" s="75"/>
      <c r="E2409" s="75"/>
      <c r="F2409" s="75">
        <v>10105</v>
      </c>
      <c r="G2409" s="76" t="str">
        <f>VLOOKUP(Tabelle2[[#This Row],[Kunden Nr.]],KUNDEN!A:B,2,0)</f>
        <v>ARSIM</v>
      </c>
      <c r="H2409" s="75">
        <v>35111</v>
      </c>
      <c r="I2409" s="76" t="str">
        <f>VLOOKUP(Tabelle2[[#This Row],[Artikel]],Produkte!A:B,2,0)</f>
        <v>M-ONE Sanitar Silikon</v>
      </c>
      <c r="J2409" s="75">
        <v>12</v>
      </c>
      <c r="K2409" s="76" t="str">
        <f>VLOOKUP(Tabelle2[[#This Row],[Kunden Nr.]],KUNDEN!A:G,7)</f>
        <v>Qerimi</v>
      </c>
      <c r="L2409" s="76">
        <f>VLOOKUP(Tabelle2[[#This Row],[Artikel]],Produkte!A:H,8)</f>
        <v>0.17</v>
      </c>
    </row>
    <row r="2410" spans="1:12" x14ac:dyDescent="0.2">
      <c r="A2410" s="75" t="s">
        <v>567</v>
      </c>
      <c r="B2410" s="79">
        <v>46125</v>
      </c>
      <c r="C2410" s="75"/>
      <c r="D2410" s="75"/>
      <c r="E2410" s="75"/>
      <c r="F2410" s="75">
        <v>10105</v>
      </c>
      <c r="G2410" s="76" t="str">
        <f>VLOOKUP(Tabelle2[[#This Row],[Kunden Nr.]],KUNDEN!A:B,2,0)</f>
        <v>ARSIM</v>
      </c>
      <c r="H2410" s="75">
        <v>35115</v>
      </c>
      <c r="I2410" s="76" t="str">
        <f>VLOOKUP(Tabelle2[[#This Row],[Artikel]],Produkte!A:B,2,0)</f>
        <v>M-ONE Sanitar Silikon</v>
      </c>
      <c r="J2410" s="75">
        <v>12</v>
      </c>
      <c r="K2410" s="76" t="str">
        <f>VLOOKUP(Tabelle2[[#This Row],[Kunden Nr.]],KUNDEN!A:G,7)</f>
        <v>Qerimi</v>
      </c>
      <c r="L2410" s="76">
        <f>VLOOKUP(Tabelle2[[#This Row],[Artikel]],Produkte!A:H,8)</f>
        <v>0.17</v>
      </c>
    </row>
    <row r="2411" spans="1:12" x14ac:dyDescent="0.2">
      <c r="A2411" s="75" t="s">
        <v>666</v>
      </c>
      <c r="B2411" s="79">
        <v>46125</v>
      </c>
      <c r="C2411" s="89">
        <v>72</v>
      </c>
      <c r="D2411" s="75"/>
      <c r="E2411" s="75"/>
      <c r="F2411" s="75">
        <v>10529</v>
      </c>
      <c r="G2411" s="76" t="str">
        <f>VLOOKUP(Tabelle2[[#This Row],[Kunden Nr.]],KUNDEN!A:B,2,0)</f>
        <v>ARDI LIPJAN</v>
      </c>
      <c r="H2411" s="75">
        <v>26736</v>
      </c>
      <c r="I2411" s="76" t="str">
        <f>VLOOKUP(Tabelle2[[#This Row],[Artikel]],Produkte!A:B,2,0)</f>
        <v>M ONE HAFTGRUND</v>
      </c>
      <c r="J2411" s="75">
        <v>12</v>
      </c>
      <c r="K2411" s="76" t="str">
        <f>VLOOKUP(Tabelle2[[#This Row],[Kunden Nr.]],KUNDEN!A:G,7)</f>
        <v>Qerimi</v>
      </c>
      <c r="L2411" s="76">
        <f>VLOOKUP(Tabelle2[[#This Row],[Artikel]],Produkte!A:H,8)</f>
        <v>0.15</v>
      </c>
    </row>
    <row r="2412" spans="1:12" x14ac:dyDescent="0.2">
      <c r="A2412" s="75" t="s">
        <v>666</v>
      </c>
      <c r="B2412" s="79">
        <v>46125</v>
      </c>
      <c r="C2412" s="75"/>
      <c r="D2412" s="75"/>
      <c r="E2412" s="75"/>
      <c r="F2412" s="75">
        <v>10529</v>
      </c>
      <c r="G2412" s="76" t="str">
        <f>VLOOKUP(Tabelle2[[#This Row],[Kunden Nr.]],KUNDEN!A:B,2,0)</f>
        <v>ARDI LIPJAN</v>
      </c>
      <c r="H2412" s="75">
        <v>56117</v>
      </c>
      <c r="I2412" s="76" t="str">
        <f>VLOOKUP(Tabelle2[[#This Row],[Artikel]],Produkte!A:B,2,0)</f>
        <v>M ONE UBS</v>
      </c>
      <c r="J2412" s="75">
        <v>12</v>
      </c>
      <c r="K2412" s="76" t="str">
        <f>VLOOKUP(Tabelle2[[#This Row],[Kunden Nr.]],KUNDEN!A:G,7)</f>
        <v>Qerimi</v>
      </c>
      <c r="L2412" s="76">
        <f>VLOOKUP(Tabelle2[[#This Row],[Artikel]],Produkte!A:H,8)</f>
        <v>0.2</v>
      </c>
    </row>
    <row r="2413" spans="1:12" x14ac:dyDescent="0.2">
      <c r="A2413" s="75" t="s">
        <v>576</v>
      </c>
      <c r="B2413" s="79">
        <v>46125</v>
      </c>
      <c r="C2413" s="89">
        <v>92.4</v>
      </c>
      <c r="D2413" s="75"/>
      <c r="E2413" s="75"/>
      <c r="F2413" s="75">
        <v>10114</v>
      </c>
      <c r="G2413" s="76" t="str">
        <f>VLOOKUP(Tabelle2[[#This Row],[Kunden Nr.]],KUNDEN!A:B,2,0)</f>
        <v>QELA</v>
      </c>
      <c r="H2413" s="75">
        <v>35112</v>
      </c>
      <c r="I2413" s="76" t="str">
        <f>VLOOKUP(Tabelle2[[#This Row],[Artikel]],Produkte!A:B,2,0)</f>
        <v>M-ONE Sanitar Silikon</v>
      </c>
      <c r="J2413" s="75">
        <v>12</v>
      </c>
      <c r="K2413" s="76" t="str">
        <f>VLOOKUP(Tabelle2[[#This Row],[Kunden Nr.]],KUNDEN!A:G,7)</f>
        <v>Qerimi</v>
      </c>
      <c r="L2413" s="76">
        <f>VLOOKUP(Tabelle2[[#This Row],[Artikel]],Produkte!A:H,8)</f>
        <v>0.17</v>
      </c>
    </row>
    <row r="2414" spans="1:12" x14ac:dyDescent="0.2">
      <c r="A2414" s="75" t="s">
        <v>576</v>
      </c>
      <c r="B2414" s="79">
        <v>46125</v>
      </c>
      <c r="C2414" s="75"/>
      <c r="D2414" s="75"/>
      <c r="E2414" s="75"/>
      <c r="F2414" s="75">
        <v>10114</v>
      </c>
      <c r="G2414" s="76" t="str">
        <f>VLOOKUP(Tabelle2[[#This Row],[Kunden Nr.]],KUNDEN!A:B,2,0)</f>
        <v>QELA</v>
      </c>
      <c r="H2414" s="75">
        <v>35114</v>
      </c>
      <c r="I2414" s="76" t="str">
        <f>VLOOKUP(Tabelle2[[#This Row],[Artikel]],Produkte!A:B,2,0)</f>
        <v>M-ONE Sanitar Silikon</v>
      </c>
      <c r="J2414" s="75">
        <v>12</v>
      </c>
      <c r="K2414" s="76" t="str">
        <f>VLOOKUP(Tabelle2[[#This Row],[Kunden Nr.]],KUNDEN!A:G,7)</f>
        <v>Qerimi</v>
      </c>
      <c r="L2414" s="76">
        <f>VLOOKUP(Tabelle2[[#This Row],[Artikel]],Produkte!A:H,8)</f>
        <v>0.17</v>
      </c>
    </row>
    <row r="2415" spans="1:12" x14ac:dyDescent="0.2">
      <c r="A2415" s="75" t="s">
        <v>1244</v>
      </c>
      <c r="B2415" s="79">
        <v>46125</v>
      </c>
      <c r="C2415" s="89">
        <v>46.2</v>
      </c>
      <c r="D2415" s="75"/>
      <c r="E2415" s="75"/>
      <c r="F2415" s="75">
        <v>40024</v>
      </c>
      <c r="G2415" s="76" t="str">
        <f>VLOOKUP(Tabelle2[[#This Row],[Kunden Nr.]],KUNDEN!A:B,2,0)</f>
        <v>BAU MIX FATONI</v>
      </c>
      <c r="H2415" s="75">
        <v>35128</v>
      </c>
      <c r="I2415" s="76" t="str">
        <f>VLOOKUP(Tabelle2[[#This Row],[Artikel]],Produkte!A:B,2,0)</f>
        <v>M-ONE Sanitar Silikon</v>
      </c>
      <c r="J2415" s="75">
        <v>12</v>
      </c>
      <c r="K2415" s="76">
        <f>VLOOKUP(Tabelle2[[#This Row],[Kunden Nr.]],KUNDEN!A:G,7)</f>
        <v>0</v>
      </c>
      <c r="L2415" s="76">
        <f>VLOOKUP(Tabelle2[[#This Row],[Artikel]],Produkte!A:H,8)</f>
        <v>0.17</v>
      </c>
    </row>
    <row r="2416" spans="1:12" x14ac:dyDescent="0.2">
      <c r="A2416" s="75" t="s">
        <v>474</v>
      </c>
      <c r="B2416" s="79">
        <v>46125</v>
      </c>
      <c r="C2416" s="89">
        <v>184.8</v>
      </c>
      <c r="D2416" s="75"/>
      <c r="E2416" s="75"/>
      <c r="F2416" s="75">
        <v>20109</v>
      </c>
      <c r="G2416" s="76" t="str">
        <f>VLOOKUP(Tabelle2[[#This Row],[Kunden Nr.]],KUNDEN!A:B,2,0)</f>
        <v>KENA COMERC</v>
      </c>
      <c r="H2416" s="75">
        <v>35110</v>
      </c>
      <c r="I2416" s="76" t="str">
        <f>VLOOKUP(Tabelle2[[#This Row],[Artikel]],Produkte!A:B,2,0)</f>
        <v>M-ONE Sanitar Silikon</v>
      </c>
      <c r="J2416" s="75">
        <v>12</v>
      </c>
      <c r="K2416" s="76" t="str">
        <f>VLOOKUP(Tabelle2[[#This Row],[Kunden Nr.]],KUNDEN!A:G,7)</f>
        <v>Mensuri</v>
      </c>
      <c r="L2416" s="76">
        <f>VLOOKUP(Tabelle2[[#This Row],[Artikel]],Produkte!A:H,8)</f>
        <v>0.17</v>
      </c>
    </row>
    <row r="2417" spans="1:12" x14ac:dyDescent="0.2">
      <c r="A2417" s="75" t="s">
        <v>474</v>
      </c>
      <c r="B2417" s="79">
        <v>46125</v>
      </c>
      <c r="C2417" s="75"/>
      <c r="D2417" s="75"/>
      <c r="E2417" s="75"/>
      <c r="F2417" s="75">
        <v>20109</v>
      </c>
      <c r="G2417" s="76" t="str">
        <f>VLOOKUP(Tabelle2[[#This Row],[Kunden Nr.]],KUNDEN!A:B,2,0)</f>
        <v>KENA COMERC</v>
      </c>
      <c r="H2417" s="75">
        <v>35111</v>
      </c>
      <c r="I2417" s="76" t="str">
        <f>VLOOKUP(Tabelle2[[#This Row],[Artikel]],Produkte!A:B,2,0)</f>
        <v>M-ONE Sanitar Silikon</v>
      </c>
      <c r="J2417" s="75">
        <v>12</v>
      </c>
      <c r="K2417" s="76" t="str">
        <f>VLOOKUP(Tabelle2[[#This Row],[Kunden Nr.]],KUNDEN!A:G,7)</f>
        <v>Mensuri</v>
      </c>
      <c r="L2417" s="76">
        <f>VLOOKUP(Tabelle2[[#This Row],[Artikel]],Produkte!A:H,8)</f>
        <v>0.17</v>
      </c>
    </row>
    <row r="2418" spans="1:12" x14ac:dyDescent="0.2">
      <c r="A2418" s="75" t="s">
        <v>474</v>
      </c>
      <c r="B2418" s="79">
        <v>46125</v>
      </c>
      <c r="C2418" s="75"/>
      <c r="D2418" s="75"/>
      <c r="E2418" s="75"/>
      <c r="F2418" s="75">
        <v>20109</v>
      </c>
      <c r="G2418" s="76" t="str">
        <f>VLOOKUP(Tabelle2[[#This Row],[Kunden Nr.]],KUNDEN!A:B,2,0)</f>
        <v>KENA COMERC</v>
      </c>
      <c r="H2418" s="75">
        <v>35125</v>
      </c>
      <c r="I2418" s="76" t="str">
        <f>VLOOKUP(Tabelle2[[#This Row],[Artikel]],Produkte!A:B,2,0)</f>
        <v>M-ONE Sanitar Silikon</v>
      </c>
      <c r="J2418" s="75">
        <v>12</v>
      </c>
      <c r="K2418" s="76" t="str">
        <f>VLOOKUP(Tabelle2[[#This Row],[Kunden Nr.]],KUNDEN!A:G,7)</f>
        <v>Mensuri</v>
      </c>
      <c r="L2418" s="76">
        <f>VLOOKUP(Tabelle2[[#This Row],[Artikel]],Produkte!A:H,8)</f>
        <v>0.17</v>
      </c>
    </row>
    <row r="2419" spans="1:12" x14ac:dyDescent="0.2">
      <c r="A2419" s="75" t="s">
        <v>474</v>
      </c>
      <c r="B2419" s="79">
        <v>46125</v>
      </c>
      <c r="C2419" s="75"/>
      <c r="D2419" s="75"/>
      <c r="E2419" s="75"/>
      <c r="F2419" s="75">
        <v>20109</v>
      </c>
      <c r="G2419" s="76" t="str">
        <f>VLOOKUP(Tabelle2[[#This Row],[Kunden Nr.]],KUNDEN!A:B,2,0)</f>
        <v>KENA COMERC</v>
      </c>
      <c r="H2419" s="75">
        <v>35128</v>
      </c>
      <c r="I2419" s="76" t="str">
        <f>VLOOKUP(Tabelle2[[#This Row],[Artikel]],Produkte!A:B,2,0)</f>
        <v>M-ONE Sanitar Silikon</v>
      </c>
      <c r="J2419" s="75">
        <v>12</v>
      </c>
      <c r="K2419" s="76" t="str">
        <f>VLOOKUP(Tabelle2[[#This Row],[Kunden Nr.]],KUNDEN!A:G,7)</f>
        <v>Mensuri</v>
      </c>
      <c r="L2419" s="76">
        <f>VLOOKUP(Tabelle2[[#This Row],[Artikel]],Produkte!A:H,8)</f>
        <v>0.17</v>
      </c>
    </row>
    <row r="2420" spans="1:12" x14ac:dyDescent="0.2">
      <c r="A2420" s="75" t="s">
        <v>468</v>
      </c>
      <c r="B2420" s="79">
        <v>46125</v>
      </c>
      <c r="C2420" s="89">
        <v>60.2</v>
      </c>
      <c r="D2420" s="75"/>
      <c r="E2420" s="75"/>
      <c r="F2420" s="75">
        <v>20101</v>
      </c>
      <c r="G2420" s="76" t="str">
        <f>VLOOKUP(Tabelle2[[#This Row],[Kunden Nr.]],KUNDEN!A:B,2,0)</f>
        <v>TE GZIMI</v>
      </c>
      <c r="H2420" s="75">
        <v>50912</v>
      </c>
      <c r="I2420" s="76" t="str">
        <f>VLOOKUP(Tabelle2[[#This Row],[Artikel]],Produkte!A:B,2,0)</f>
        <v>DICHTUNG</v>
      </c>
      <c r="J2420" s="75">
        <v>6</v>
      </c>
      <c r="K2420" s="76" t="str">
        <f>VLOOKUP(Tabelle2[[#This Row],[Kunden Nr.]],KUNDEN!A:G,7)</f>
        <v>Mensuri</v>
      </c>
      <c r="L2420" s="76">
        <f>VLOOKUP(Tabelle2[[#This Row],[Artikel]],Produkte!A:H,8)</f>
        <v>0.2</v>
      </c>
    </row>
    <row r="2421" spans="1:12" x14ac:dyDescent="0.2">
      <c r="A2421" s="75" t="s">
        <v>468</v>
      </c>
      <c r="B2421" s="79">
        <v>46125</v>
      </c>
      <c r="C2421" s="75"/>
      <c r="D2421" s="75"/>
      <c r="E2421" s="75"/>
      <c r="F2421" s="75">
        <v>20101</v>
      </c>
      <c r="G2421" s="76" t="str">
        <f>VLOOKUP(Tabelle2[[#This Row],[Kunden Nr.]],KUNDEN!A:B,2,0)</f>
        <v>TE GZIMI</v>
      </c>
      <c r="H2421" s="75">
        <v>49644</v>
      </c>
      <c r="I2421" s="76" t="str">
        <f>VLOOKUP(Tabelle2[[#This Row],[Artikel]],Produkte!A:B,2,0)</f>
        <v>beMAKER Rostlöser</v>
      </c>
      <c r="J2421" s="75">
        <v>3</v>
      </c>
      <c r="K2421" s="76" t="str">
        <f>VLOOKUP(Tabelle2[[#This Row],[Kunden Nr.]],KUNDEN!A:G,7)</f>
        <v>Mensuri</v>
      </c>
      <c r="L2421" s="76">
        <f>VLOOKUP(Tabelle2[[#This Row],[Artikel]],Produkte!A:H,8)</f>
        <v>0.2</v>
      </c>
    </row>
    <row r="2422" spans="1:12" x14ac:dyDescent="0.2">
      <c r="A2422" s="75" t="s">
        <v>468</v>
      </c>
      <c r="B2422" s="79">
        <v>46125</v>
      </c>
      <c r="C2422" s="75"/>
      <c r="D2422" s="75"/>
      <c r="E2422" s="75"/>
      <c r="F2422" s="75">
        <v>20101</v>
      </c>
      <c r="G2422" s="76" t="str">
        <f>VLOOKUP(Tabelle2[[#This Row],[Kunden Nr.]],KUNDEN!A:B,2,0)</f>
        <v>TE GZIMI</v>
      </c>
      <c r="H2422" s="75">
        <v>54412</v>
      </c>
      <c r="I2422" s="76" t="str">
        <f>VLOOKUP(Tabelle2[[#This Row],[Artikel]],Produkte!A:B,2,0)</f>
        <v>beMAKER Bremsen&amp;Teile Reininger</v>
      </c>
      <c r="J2422" s="75">
        <v>2</v>
      </c>
      <c r="K2422" s="76" t="str">
        <f>VLOOKUP(Tabelle2[[#This Row],[Kunden Nr.]],KUNDEN!A:G,7)</f>
        <v>Mensuri</v>
      </c>
      <c r="L2422" s="76">
        <f>VLOOKUP(Tabelle2[[#This Row],[Artikel]],Produkte!A:H,8)</f>
        <v>0.2</v>
      </c>
    </row>
    <row r="2423" spans="1:12" x14ac:dyDescent="0.2">
      <c r="A2423" s="75" t="s">
        <v>468</v>
      </c>
      <c r="B2423" s="79">
        <v>46125</v>
      </c>
      <c r="C2423" s="75"/>
      <c r="D2423" s="75"/>
      <c r="E2423" s="75"/>
      <c r="F2423" s="75">
        <v>20101</v>
      </c>
      <c r="G2423" s="76" t="str">
        <f>VLOOKUP(Tabelle2[[#This Row],[Kunden Nr.]],KUNDEN!A:B,2,0)</f>
        <v>TE GZIMI</v>
      </c>
      <c r="H2423" s="75">
        <v>44001</v>
      </c>
      <c r="I2423" s="76" t="str">
        <f>VLOOKUP(Tabelle2[[#This Row],[Artikel]],Produkte!A:B,2,0)</f>
        <v>Fettspray</v>
      </c>
      <c r="J2423" s="75">
        <v>2</v>
      </c>
      <c r="K2423" s="76" t="str">
        <f>VLOOKUP(Tabelle2[[#This Row],[Kunden Nr.]],KUNDEN!A:G,7)</f>
        <v>Mensuri</v>
      </c>
      <c r="L2423" s="76">
        <f>VLOOKUP(Tabelle2[[#This Row],[Artikel]],Produkte!A:H,8)</f>
        <v>0.2</v>
      </c>
    </row>
    <row r="2424" spans="1:12" x14ac:dyDescent="0.2">
      <c r="A2424" s="75" t="s">
        <v>1129</v>
      </c>
      <c r="B2424" s="79">
        <v>46125</v>
      </c>
      <c r="C2424" s="89">
        <v>92.4</v>
      </c>
      <c r="D2424" s="75"/>
      <c r="E2424" s="75"/>
      <c r="F2424" s="75">
        <v>20127</v>
      </c>
      <c r="G2424" s="76" t="str">
        <f>VLOOKUP(Tabelle2[[#This Row],[Kunden Nr.]],KUNDEN!A:B,2,0)</f>
        <v>TERMO PROJEKT</v>
      </c>
      <c r="H2424" s="75">
        <v>35121</v>
      </c>
      <c r="I2424" s="76" t="str">
        <f>VLOOKUP(Tabelle2[[#This Row],[Artikel]],Produkte!A:B,2,0)</f>
        <v>M-ONE Sanitar Silikon</v>
      </c>
      <c r="J2424" s="75">
        <v>24</v>
      </c>
      <c r="K2424" s="76" t="str">
        <f>VLOOKUP(Tabelle2[[#This Row],[Kunden Nr.]],KUNDEN!A:G,7)</f>
        <v>Mensuri</v>
      </c>
      <c r="L2424" s="76">
        <f>VLOOKUP(Tabelle2[[#This Row],[Artikel]],Produkte!A:H,8)</f>
        <v>0.17</v>
      </c>
    </row>
    <row r="2425" spans="1:12" x14ac:dyDescent="0.2">
      <c r="A2425" s="75" t="s">
        <v>1180</v>
      </c>
      <c r="B2425" s="79">
        <v>46125</v>
      </c>
      <c r="C2425" s="89">
        <v>107.4</v>
      </c>
      <c r="D2425" s="75"/>
      <c r="E2425" s="75"/>
      <c r="F2425" s="75">
        <v>20126</v>
      </c>
      <c r="G2425" s="76" t="str">
        <f>VLOOKUP(Tabelle2[[#This Row],[Kunden Nr.]],KUNDEN!A:B,2,0)</f>
        <v>LULI-C</v>
      </c>
      <c r="H2425" s="75">
        <v>35108</v>
      </c>
      <c r="I2425" s="76" t="str">
        <f>VLOOKUP(Tabelle2[[#This Row],[Artikel]],Produkte!A:B,2,0)</f>
        <v>M-ONE Sanitar Silikon</v>
      </c>
      <c r="J2425" s="75">
        <v>12</v>
      </c>
      <c r="K2425" s="76" t="str">
        <f>VLOOKUP(Tabelle2[[#This Row],[Kunden Nr.]],KUNDEN!A:G,7)</f>
        <v>Mensuri</v>
      </c>
      <c r="L2425" s="76">
        <f>VLOOKUP(Tabelle2[[#This Row],[Artikel]],Produkte!A:H,8)</f>
        <v>0.17</v>
      </c>
    </row>
    <row r="2426" spans="1:12" x14ac:dyDescent="0.2">
      <c r="A2426" s="75" t="s">
        <v>1180</v>
      </c>
      <c r="B2426" s="79">
        <v>46125</v>
      </c>
      <c r="C2426" s="75"/>
      <c r="D2426" s="75"/>
      <c r="E2426" s="75"/>
      <c r="F2426" s="75">
        <v>20126</v>
      </c>
      <c r="G2426" s="76" t="str">
        <f>VLOOKUP(Tabelle2[[#This Row],[Kunden Nr.]],KUNDEN!A:B,2,0)</f>
        <v>LULI-C</v>
      </c>
      <c r="H2426" s="75">
        <v>35109</v>
      </c>
      <c r="I2426" s="76" t="str">
        <f>VLOOKUP(Tabelle2[[#This Row],[Artikel]],Produkte!A:B,2,0)</f>
        <v>M-ONE Sanitar Silikon</v>
      </c>
      <c r="J2426" s="75">
        <v>12</v>
      </c>
      <c r="K2426" s="76" t="str">
        <f>VLOOKUP(Tabelle2[[#This Row],[Kunden Nr.]],KUNDEN!A:G,7)</f>
        <v>Mensuri</v>
      </c>
      <c r="L2426" s="76">
        <f>VLOOKUP(Tabelle2[[#This Row],[Artikel]],Produkte!A:H,8)</f>
        <v>0.17</v>
      </c>
    </row>
    <row r="2427" spans="1:12" x14ac:dyDescent="0.2">
      <c r="A2427" s="75" t="s">
        <v>1180</v>
      </c>
      <c r="B2427" s="79">
        <v>46125</v>
      </c>
      <c r="C2427" s="75"/>
      <c r="D2427" s="75"/>
      <c r="E2427" s="75"/>
      <c r="F2427" s="75">
        <v>20126</v>
      </c>
      <c r="G2427" s="76" t="str">
        <f>VLOOKUP(Tabelle2[[#This Row],[Kunden Nr.]],KUNDEN!A:B,2,0)</f>
        <v>LULI-C</v>
      </c>
      <c r="H2427" s="75">
        <v>51611</v>
      </c>
      <c r="I2427" s="76" t="str">
        <f>VLOOKUP(Tabelle2[[#This Row],[Artikel]],Produkte!A:B,2,0)</f>
        <v>universal akryl</v>
      </c>
      <c r="J2427" s="75">
        <v>12</v>
      </c>
      <c r="K2427" s="76" t="str">
        <f>VLOOKUP(Tabelle2[[#This Row],[Kunden Nr.]],KUNDEN!A:G,7)</f>
        <v>Mensuri</v>
      </c>
      <c r="L2427" s="76">
        <f>VLOOKUP(Tabelle2[[#This Row],[Artikel]],Produkte!A:H,8)</f>
        <v>0.06</v>
      </c>
    </row>
    <row r="2428" spans="1:12" x14ac:dyDescent="0.2">
      <c r="A2428" s="75" t="s">
        <v>1163</v>
      </c>
      <c r="B2428" s="79">
        <v>46125</v>
      </c>
      <c r="C2428" s="89">
        <v>138.6</v>
      </c>
      <c r="D2428" s="75"/>
      <c r="E2428" s="75"/>
      <c r="F2428" s="75">
        <v>20121</v>
      </c>
      <c r="G2428" s="76" t="str">
        <f>VLOOKUP(Tabelle2[[#This Row],[Kunden Nr.]],KUNDEN!A:B,2,0)</f>
        <v>CAMA BAU</v>
      </c>
      <c r="H2428" s="75">
        <v>35110</v>
      </c>
      <c r="I2428" s="76" t="str">
        <f>VLOOKUP(Tabelle2[[#This Row],[Artikel]],Produkte!A:B,2,0)</f>
        <v>M-ONE Sanitar Silikon</v>
      </c>
      <c r="J2428" s="75">
        <v>12</v>
      </c>
      <c r="K2428" s="76" t="str">
        <f>VLOOKUP(Tabelle2[[#This Row],[Kunden Nr.]],KUNDEN!A:G,7)</f>
        <v>Mensuri</v>
      </c>
      <c r="L2428" s="76">
        <f>VLOOKUP(Tabelle2[[#This Row],[Artikel]],Produkte!A:H,8)</f>
        <v>0.17</v>
      </c>
    </row>
    <row r="2429" spans="1:12" x14ac:dyDescent="0.2">
      <c r="A2429" s="75" t="s">
        <v>1163</v>
      </c>
      <c r="B2429" s="79">
        <v>46125</v>
      </c>
      <c r="C2429" s="75"/>
      <c r="D2429" s="75"/>
      <c r="E2429" s="75"/>
      <c r="F2429" s="75">
        <v>20121</v>
      </c>
      <c r="G2429" s="76" t="str">
        <f>VLOOKUP(Tabelle2[[#This Row],[Kunden Nr.]],KUNDEN!A:B,2,0)</f>
        <v>CAMA BAU</v>
      </c>
      <c r="H2429" s="75">
        <v>35111</v>
      </c>
      <c r="I2429" s="76" t="str">
        <f>VLOOKUP(Tabelle2[[#This Row],[Artikel]],Produkte!A:B,2,0)</f>
        <v>M-ONE Sanitar Silikon</v>
      </c>
      <c r="J2429" s="75">
        <v>12</v>
      </c>
      <c r="K2429" s="76" t="str">
        <f>VLOOKUP(Tabelle2[[#This Row],[Kunden Nr.]],KUNDEN!A:G,7)</f>
        <v>Mensuri</v>
      </c>
      <c r="L2429" s="76">
        <f>VLOOKUP(Tabelle2[[#This Row],[Artikel]],Produkte!A:H,8)</f>
        <v>0.17</v>
      </c>
    </row>
    <row r="2430" spans="1:12" x14ac:dyDescent="0.2">
      <c r="A2430" s="75" t="s">
        <v>1163</v>
      </c>
      <c r="B2430" s="79">
        <v>46125</v>
      </c>
      <c r="C2430" s="75"/>
      <c r="D2430" s="75"/>
      <c r="E2430" s="75"/>
      <c r="F2430" s="75">
        <v>20121</v>
      </c>
      <c r="G2430" s="76" t="str">
        <f>VLOOKUP(Tabelle2[[#This Row],[Kunden Nr.]],KUNDEN!A:B,2,0)</f>
        <v>CAMA BAU</v>
      </c>
      <c r="H2430" s="75">
        <v>35128</v>
      </c>
      <c r="I2430" s="76" t="str">
        <f>VLOOKUP(Tabelle2[[#This Row],[Artikel]],Produkte!A:B,2,0)</f>
        <v>M-ONE Sanitar Silikon</v>
      </c>
      <c r="J2430" s="75">
        <v>12</v>
      </c>
      <c r="K2430" s="76" t="str">
        <f>VLOOKUP(Tabelle2[[#This Row],[Kunden Nr.]],KUNDEN!A:G,7)</f>
        <v>Mensuri</v>
      </c>
      <c r="L2430" s="76">
        <f>VLOOKUP(Tabelle2[[#This Row],[Artikel]],Produkte!A:H,8)</f>
        <v>0.17</v>
      </c>
    </row>
    <row r="2431" spans="1:12" x14ac:dyDescent="0.2">
      <c r="A2431" s="75" t="s">
        <v>959</v>
      </c>
      <c r="B2431" s="79">
        <v>46125</v>
      </c>
      <c r="C2431" s="89">
        <v>92.4</v>
      </c>
      <c r="D2431" s="75"/>
      <c r="E2431" s="75"/>
      <c r="F2431" s="75">
        <v>20108</v>
      </c>
      <c r="G2431" s="76" t="str">
        <f>VLOOKUP(Tabelle2[[#This Row],[Kunden Nr.]],KUNDEN!A:B,2,0)</f>
        <v>ING PROJEKT</v>
      </c>
      <c r="H2431" s="75">
        <v>35112</v>
      </c>
      <c r="I2431" s="76" t="str">
        <f>VLOOKUP(Tabelle2[[#This Row],[Artikel]],Produkte!A:B,2,0)</f>
        <v>M-ONE Sanitar Silikon</v>
      </c>
      <c r="J2431" s="75">
        <v>24</v>
      </c>
      <c r="K2431" s="76" t="str">
        <f>VLOOKUP(Tabelle2[[#This Row],[Kunden Nr.]],KUNDEN!A:G,7)</f>
        <v>Mensuri</v>
      </c>
      <c r="L2431" s="76">
        <f>VLOOKUP(Tabelle2[[#This Row],[Artikel]],Produkte!A:H,8)</f>
        <v>0.17</v>
      </c>
    </row>
    <row r="2432" spans="1:12" x14ac:dyDescent="0.2">
      <c r="A2432" s="75" t="s">
        <v>959</v>
      </c>
      <c r="B2432" s="79">
        <v>46125</v>
      </c>
      <c r="C2432" s="75"/>
      <c r="D2432" s="75"/>
      <c r="E2432" s="75"/>
      <c r="F2432" s="75">
        <v>20108</v>
      </c>
      <c r="G2432" s="76" t="str">
        <f>VLOOKUP(Tabelle2[[#This Row],[Kunden Nr.]],KUNDEN!A:B,2,0)</f>
        <v>ING PROJEKT</v>
      </c>
      <c r="H2432" s="75">
        <v>35114</v>
      </c>
      <c r="I2432" s="76" t="str">
        <f>VLOOKUP(Tabelle2[[#This Row],[Artikel]],Produkte!A:B,2,0)</f>
        <v>M-ONE Sanitar Silikon</v>
      </c>
      <c r="J2432" s="75">
        <v>24</v>
      </c>
      <c r="K2432" s="76" t="str">
        <f>VLOOKUP(Tabelle2[[#This Row],[Kunden Nr.]],KUNDEN!A:G,7)</f>
        <v>Mensuri</v>
      </c>
      <c r="L2432" s="76">
        <f>VLOOKUP(Tabelle2[[#This Row],[Artikel]],Produkte!A:H,8)</f>
        <v>0.17</v>
      </c>
    </row>
    <row r="2433" spans="1:12" x14ac:dyDescent="0.2">
      <c r="A2433" s="75" t="s">
        <v>471</v>
      </c>
      <c r="B2433" s="79">
        <v>46125</v>
      </c>
      <c r="C2433" s="89">
        <v>99.4</v>
      </c>
      <c r="D2433" s="75"/>
      <c r="E2433" s="75"/>
      <c r="F2433" s="75">
        <v>20104</v>
      </c>
      <c r="G2433" s="76" t="str">
        <f>VLOOKUP(Tabelle2[[#This Row],[Kunden Nr.]],KUNDEN!A:B,2,0)</f>
        <v>KTHIMI</v>
      </c>
      <c r="H2433" s="75">
        <v>35121</v>
      </c>
      <c r="I2433" s="76" t="str">
        <f>VLOOKUP(Tabelle2[[#This Row],[Artikel]],Produkte!A:B,2,0)</f>
        <v>M-ONE Sanitar Silikon</v>
      </c>
      <c r="J2433" s="75">
        <v>12</v>
      </c>
      <c r="K2433" s="76" t="str">
        <f>VLOOKUP(Tabelle2[[#This Row],[Kunden Nr.]],KUNDEN!A:G,7)</f>
        <v>Mensuri</v>
      </c>
      <c r="L2433" s="76">
        <f>VLOOKUP(Tabelle2[[#This Row],[Artikel]],Produkte!A:H,8)</f>
        <v>0.17</v>
      </c>
    </row>
    <row r="2434" spans="1:12" x14ac:dyDescent="0.2">
      <c r="A2434" s="75" t="s">
        <v>471</v>
      </c>
      <c r="B2434" s="79">
        <v>46125</v>
      </c>
      <c r="C2434" s="75"/>
      <c r="D2434" s="75"/>
      <c r="E2434" s="75"/>
      <c r="F2434" s="75">
        <v>20104</v>
      </c>
      <c r="G2434" s="76" t="str">
        <f>VLOOKUP(Tabelle2[[#This Row],[Kunden Nr.]],KUNDEN!A:B,2,0)</f>
        <v>KTHIMI</v>
      </c>
      <c r="H2434" s="75">
        <v>35128</v>
      </c>
      <c r="I2434" s="76" t="str">
        <f>VLOOKUP(Tabelle2[[#This Row],[Artikel]],Produkte!A:B,2,0)</f>
        <v>M-ONE Sanitar Silikon</v>
      </c>
      <c r="J2434" s="75">
        <v>12</v>
      </c>
      <c r="K2434" s="76" t="str">
        <f>VLOOKUP(Tabelle2[[#This Row],[Kunden Nr.]],KUNDEN!A:G,7)</f>
        <v>Mensuri</v>
      </c>
      <c r="L2434" s="76">
        <f>VLOOKUP(Tabelle2[[#This Row],[Artikel]],Produkte!A:H,8)</f>
        <v>0.17</v>
      </c>
    </row>
    <row r="2435" spans="1:12" x14ac:dyDescent="0.2">
      <c r="A2435" s="75" t="s">
        <v>471</v>
      </c>
      <c r="B2435" s="79">
        <v>46125</v>
      </c>
      <c r="C2435" s="75"/>
      <c r="D2435" s="75"/>
      <c r="E2435" s="75"/>
      <c r="F2435" s="75">
        <v>20104</v>
      </c>
      <c r="G2435" s="76" t="str">
        <f>VLOOKUP(Tabelle2[[#This Row],[Kunden Nr.]],KUNDEN!A:B,2,0)</f>
        <v>KTHIMI</v>
      </c>
      <c r="H2435" s="75">
        <v>55718</v>
      </c>
      <c r="I2435" s="76" t="str">
        <f>VLOOKUP(Tabelle2[[#This Row],[Artikel]],Produkte!A:B,2,0)</f>
        <v>M ONE MOTORSTART</v>
      </c>
      <c r="J2435" s="75">
        <v>2</v>
      </c>
      <c r="K2435" s="76" t="str">
        <f>VLOOKUP(Tabelle2[[#This Row],[Kunden Nr.]],KUNDEN!A:G,7)</f>
        <v>Mensuri</v>
      </c>
      <c r="L2435" s="76">
        <f>VLOOKUP(Tabelle2[[#This Row],[Artikel]],Produkte!A:H,8)</f>
        <v>0.2</v>
      </c>
    </row>
    <row r="2436" spans="1:12" x14ac:dyDescent="0.2">
      <c r="A2436" s="75" t="s">
        <v>1299</v>
      </c>
      <c r="B2436" s="79">
        <v>46126</v>
      </c>
      <c r="C2436" s="89">
        <v>924</v>
      </c>
      <c r="D2436" s="75"/>
      <c r="E2436" s="75"/>
      <c r="F2436" s="75">
        <v>10261</v>
      </c>
      <c r="G2436" s="76" t="e">
        <f>VLOOKUP(Tabelle2[[#This Row],[Kunden Nr.]],KUNDEN!A:B,2,0)</f>
        <v>#N/A</v>
      </c>
      <c r="H2436" s="75">
        <v>35109</v>
      </c>
      <c r="I2436" s="76" t="str">
        <f>VLOOKUP(Tabelle2[[#This Row],[Artikel]],Produkte!A:B,2,0)</f>
        <v>M-ONE Sanitar Silikon</v>
      </c>
      <c r="J2436" s="75">
        <v>240</v>
      </c>
      <c r="K2436" s="76" t="str">
        <f>VLOOKUP(Tabelle2[[#This Row],[Kunden Nr.]],KUNDEN!A:G,7)</f>
        <v>Qerimi</v>
      </c>
      <c r="L2436" s="76">
        <f>VLOOKUP(Tabelle2[[#This Row],[Artikel]],Produkte!A:H,8)</f>
        <v>0.17</v>
      </c>
    </row>
    <row r="2437" spans="1:12" x14ac:dyDescent="0.2">
      <c r="A2437" s="75" t="s">
        <v>520</v>
      </c>
      <c r="B2437" s="79">
        <v>46126</v>
      </c>
      <c r="C2437" s="89">
        <v>92.4</v>
      </c>
      <c r="D2437" s="75"/>
      <c r="E2437" s="75"/>
      <c r="F2437" s="75">
        <v>10210</v>
      </c>
      <c r="G2437" s="76" t="str">
        <f>VLOOKUP(Tabelle2[[#This Row],[Kunden Nr.]],KUNDEN!A:B,2,0)</f>
        <v>MONI 2</v>
      </c>
      <c r="H2437" s="75">
        <v>35115</v>
      </c>
      <c r="I2437" s="76" t="str">
        <f>VLOOKUP(Tabelle2[[#This Row],[Artikel]],Produkte!A:B,2,0)</f>
        <v>M-ONE Sanitar Silikon</v>
      </c>
      <c r="J2437" s="75">
        <v>12</v>
      </c>
      <c r="K2437" s="76" t="str">
        <f>VLOOKUP(Tabelle2[[#This Row],[Kunden Nr.]],KUNDEN!A:G,7)</f>
        <v>Qerimi</v>
      </c>
      <c r="L2437" s="76">
        <f>VLOOKUP(Tabelle2[[#This Row],[Artikel]],Produkte!A:H,8)</f>
        <v>0.17</v>
      </c>
    </row>
    <row r="2438" spans="1:12" x14ac:dyDescent="0.2">
      <c r="A2438" s="75" t="s">
        <v>520</v>
      </c>
      <c r="B2438" s="79">
        <v>46126</v>
      </c>
      <c r="C2438" s="75"/>
      <c r="D2438" s="75"/>
      <c r="E2438" s="75"/>
      <c r="F2438" s="75">
        <v>10210</v>
      </c>
      <c r="G2438" s="76" t="str">
        <f>VLOOKUP(Tabelle2[[#This Row],[Kunden Nr.]],KUNDEN!A:B,2,0)</f>
        <v>MONI 2</v>
      </c>
      <c r="H2438" s="75">
        <v>35121</v>
      </c>
      <c r="I2438" s="76" t="str">
        <f>VLOOKUP(Tabelle2[[#This Row],[Artikel]],Produkte!A:B,2,0)</f>
        <v>M-ONE Sanitar Silikon</v>
      </c>
      <c r="J2438" s="75">
        <v>12</v>
      </c>
      <c r="K2438" s="76" t="str">
        <f>VLOOKUP(Tabelle2[[#This Row],[Kunden Nr.]],KUNDEN!A:G,7)</f>
        <v>Qerimi</v>
      </c>
      <c r="L2438" s="76">
        <f>VLOOKUP(Tabelle2[[#This Row],[Artikel]],Produkte!A:H,8)</f>
        <v>0.17</v>
      </c>
    </row>
    <row r="2439" spans="1:12" x14ac:dyDescent="0.2">
      <c r="A2439" s="75" t="s">
        <v>1201</v>
      </c>
      <c r="B2439" s="79">
        <v>46126</v>
      </c>
      <c r="C2439" s="89">
        <v>430.8</v>
      </c>
      <c r="D2439" s="75"/>
      <c r="E2439" s="75"/>
      <c r="F2439" s="75">
        <v>10240</v>
      </c>
      <c r="G2439" s="76" t="str">
        <f>VLOOKUP(Tabelle2[[#This Row],[Kunden Nr.]],KUNDEN!A:B,2,0)</f>
        <v>ARPO</v>
      </c>
      <c r="H2439" s="75">
        <v>35108</v>
      </c>
      <c r="I2439" s="76" t="str">
        <f>VLOOKUP(Tabelle2[[#This Row],[Artikel]],Produkte!A:B,2,0)</f>
        <v>M-ONE Sanitar Silikon</v>
      </c>
      <c r="J2439" s="75">
        <v>12</v>
      </c>
      <c r="K2439" s="76" t="str">
        <f>VLOOKUP(Tabelle2[[#This Row],[Kunden Nr.]],KUNDEN!A:G,7)</f>
        <v>Qerimi</v>
      </c>
      <c r="L2439" s="76">
        <f>VLOOKUP(Tabelle2[[#This Row],[Artikel]],Produkte!A:H,8)</f>
        <v>0.17</v>
      </c>
    </row>
    <row r="2440" spans="1:12" x14ac:dyDescent="0.2">
      <c r="A2440" s="75" t="s">
        <v>1201</v>
      </c>
      <c r="B2440" s="79">
        <v>46126</v>
      </c>
      <c r="C2440" s="75"/>
      <c r="D2440" s="75"/>
      <c r="E2440" s="75"/>
      <c r="F2440" s="75">
        <v>10240</v>
      </c>
      <c r="G2440" s="76" t="str">
        <f>VLOOKUP(Tabelle2[[#This Row],[Kunden Nr.]],KUNDEN!A:B,2,0)</f>
        <v>ARPO</v>
      </c>
      <c r="H2440" s="75">
        <v>35110</v>
      </c>
      <c r="I2440" s="76" t="str">
        <f>VLOOKUP(Tabelle2[[#This Row],[Artikel]],Produkte!A:B,2,0)</f>
        <v>M-ONE Sanitar Silikon</v>
      </c>
      <c r="J2440" s="75">
        <v>12</v>
      </c>
      <c r="K2440" s="76" t="str">
        <f>VLOOKUP(Tabelle2[[#This Row],[Kunden Nr.]],KUNDEN!A:G,7)</f>
        <v>Qerimi</v>
      </c>
      <c r="L2440" s="76">
        <f>VLOOKUP(Tabelle2[[#This Row],[Artikel]],Produkte!A:H,8)</f>
        <v>0.17</v>
      </c>
    </row>
    <row r="2441" spans="1:12" x14ac:dyDescent="0.2">
      <c r="A2441" s="75" t="s">
        <v>1201</v>
      </c>
      <c r="B2441" s="79">
        <v>46126</v>
      </c>
      <c r="C2441" s="75"/>
      <c r="D2441" s="75"/>
      <c r="E2441" s="75"/>
      <c r="F2441" s="75">
        <v>10240</v>
      </c>
      <c r="G2441" s="76" t="str">
        <f>VLOOKUP(Tabelle2[[#This Row],[Kunden Nr.]],KUNDEN!A:B,2,0)</f>
        <v>ARPO</v>
      </c>
      <c r="H2441" s="75">
        <v>35111</v>
      </c>
      <c r="I2441" s="76" t="str">
        <f>VLOOKUP(Tabelle2[[#This Row],[Artikel]],Produkte!A:B,2,0)</f>
        <v>M-ONE Sanitar Silikon</v>
      </c>
      <c r="J2441" s="75">
        <v>12</v>
      </c>
      <c r="K2441" s="76" t="str">
        <f>VLOOKUP(Tabelle2[[#This Row],[Kunden Nr.]],KUNDEN!A:G,7)</f>
        <v>Qerimi</v>
      </c>
      <c r="L2441" s="76">
        <f>VLOOKUP(Tabelle2[[#This Row],[Artikel]],Produkte!A:H,8)</f>
        <v>0.17</v>
      </c>
    </row>
    <row r="2442" spans="1:12" x14ac:dyDescent="0.2">
      <c r="A2442" s="75" t="s">
        <v>1201</v>
      </c>
      <c r="B2442" s="79">
        <v>46126</v>
      </c>
      <c r="C2442" s="75"/>
      <c r="D2442" s="75"/>
      <c r="E2442" s="75"/>
      <c r="F2442" s="75">
        <v>10240</v>
      </c>
      <c r="G2442" s="76" t="str">
        <f>VLOOKUP(Tabelle2[[#This Row],[Kunden Nr.]],KUNDEN!A:B,2,0)</f>
        <v>ARPO</v>
      </c>
      <c r="H2442" s="75">
        <v>35125</v>
      </c>
      <c r="I2442" s="76" t="str">
        <f>VLOOKUP(Tabelle2[[#This Row],[Artikel]],Produkte!A:B,2,0)</f>
        <v>M-ONE Sanitar Silikon</v>
      </c>
      <c r="J2442" s="75">
        <v>12</v>
      </c>
      <c r="K2442" s="76" t="str">
        <f>VLOOKUP(Tabelle2[[#This Row],[Kunden Nr.]],KUNDEN!A:G,7)</f>
        <v>Qerimi</v>
      </c>
      <c r="L2442" s="76">
        <f>VLOOKUP(Tabelle2[[#This Row],[Artikel]],Produkte!A:H,8)</f>
        <v>0.17</v>
      </c>
    </row>
    <row r="2443" spans="1:12" x14ac:dyDescent="0.2">
      <c r="A2443" s="75" t="s">
        <v>1201</v>
      </c>
      <c r="B2443" s="79">
        <v>46126</v>
      </c>
      <c r="C2443" s="75"/>
      <c r="D2443" s="75"/>
      <c r="E2443" s="75"/>
      <c r="F2443" s="75">
        <v>10240</v>
      </c>
      <c r="G2443" s="76" t="str">
        <f>VLOOKUP(Tabelle2[[#This Row],[Kunden Nr.]],KUNDEN!A:B,2,0)</f>
        <v>ARPO</v>
      </c>
      <c r="H2443" s="75">
        <v>35121</v>
      </c>
      <c r="I2443" s="76" t="str">
        <f>VLOOKUP(Tabelle2[[#This Row],[Artikel]],Produkte!A:B,2,0)</f>
        <v>M-ONE Sanitar Silikon</v>
      </c>
      <c r="J2443" s="75">
        <v>24</v>
      </c>
      <c r="K2443" s="76" t="str">
        <f>VLOOKUP(Tabelle2[[#This Row],[Kunden Nr.]],KUNDEN!A:G,7)</f>
        <v>Qerimi</v>
      </c>
      <c r="L2443" s="76">
        <f>VLOOKUP(Tabelle2[[#This Row],[Artikel]],Produkte!A:H,8)</f>
        <v>0.17</v>
      </c>
    </row>
    <row r="2444" spans="1:12" x14ac:dyDescent="0.2">
      <c r="A2444" s="75" t="s">
        <v>1201</v>
      </c>
      <c r="B2444" s="79">
        <v>46126</v>
      </c>
      <c r="C2444" s="75"/>
      <c r="D2444" s="75"/>
      <c r="E2444" s="75"/>
      <c r="F2444" s="75">
        <v>10240</v>
      </c>
      <c r="G2444" s="76" t="str">
        <f>VLOOKUP(Tabelle2[[#This Row],[Kunden Nr.]],KUNDEN!A:B,2,0)</f>
        <v>ARPO</v>
      </c>
      <c r="H2444" s="75">
        <v>35109</v>
      </c>
      <c r="I2444" s="76" t="str">
        <f>VLOOKUP(Tabelle2[[#This Row],[Artikel]],Produkte!A:B,2,0)</f>
        <v>M-ONE Sanitar Silikon</v>
      </c>
      <c r="J2444" s="75">
        <v>36</v>
      </c>
      <c r="K2444" s="76" t="str">
        <f>VLOOKUP(Tabelle2[[#This Row],[Kunden Nr.]],KUNDEN!A:G,7)</f>
        <v>Qerimi</v>
      </c>
      <c r="L2444" s="76">
        <f>VLOOKUP(Tabelle2[[#This Row],[Artikel]],Produkte!A:H,8)</f>
        <v>0.17</v>
      </c>
    </row>
    <row r="2445" spans="1:12" x14ac:dyDescent="0.2">
      <c r="A2445" s="75" t="s">
        <v>1201</v>
      </c>
      <c r="B2445" s="79">
        <v>46126</v>
      </c>
      <c r="C2445" s="75"/>
      <c r="D2445" s="75"/>
      <c r="E2445" s="75"/>
      <c r="F2445" s="75">
        <v>10240</v>
      </c>
      <c r="G2445" s="76" t="str">
        <f>VLOOKUP(Tabelle2[[#This Row],[Kunden Nr.]],KUNDEN!A:B,2,0)</f>
        <v>ARPO</v>
      </c>
      <c r="H2445" s="75">
        <v>51611</v>
      </c>
      <c r="I2445" s="76" t="str">
        <f>VLOOKUP(Tabelle2[[#This Row],[Artikel]],Produkte!A:B,2,0)</f>
        <v>universal akryl</v>
      </c>
      <c r="J2445" s="75">
        <v>12</v>
      </c>
      <c r="K2445" s="76" t="str">
        <f>VLOOKUP(Tabelle2[[#This Row],[Kunden Nr.]],KUNDEN!A:G,7)</f>
        <v>Qerimi</v>
      </c>
      <c r="L2445" s="76">
        <f>VLOOKUP(Tabelle2[[#This Row],[Artikel]],Produkte!A:H,8)</f>
        <v>0.06</v>
      </c>
    </row>
    <row r="2446" spans="1:12" x14ac:dyDescent="0.2">
      <c r="A2446" s="75" t="s">
        <v>646</v>
      </c>
      <c r="B2446" s="79">
        <v>46126</v>
      </c>
      <c r="C2446" s="89">
        <v>138.6</v>
      </c>
      <c r="D2446" s="75"/>
      <c r="E2446" s="75"/>
      <c r="F2446" s="75">
        <v>10251</v>
      </c>
      <c r="G2446" s="76" t="e">
        <f>VLOOKUP(Tabelle2[[#This Row],[Kunden Nr.]],KUNDEN!A:B,2,0)</f>
        <v>#N/A</v>
      </c>
      <c r="H2446" s="75">
        <v>35109</v>
      </c>
      <c r="I2446" s="76" t="str">
        <f>VLOOKUP(Tabelle2[[#This Row],[Artikel]],Produkte!A:B,2,0)</f>
        <v>M-ONE Sanitar Silikon</v>
      </c>
      <c r="J2446" s="75">
        <v>12</v>
      </c>
      <c r="K2446" s="76" t="str">
        <f>VLOOKUP(Tabelle2[[#This Row],[Kunden Nr.]],KUNDEN!A:G,7)</f>
        <v>Qerimi</v>
      </c>
      <c r="L2446" s="76">
        <f>VLOOKUP(Tabelle2[[#This Row],[Artikel]],Produkte!A:H,8)</f>
        <v>0.17</v>
      </c>
    </row>
    <row r="2447" spans="1:12" x14ac:dyDescent="0.2">
      <c r="A2447" s="75" t="s">
        <v>646</v>
      </c>
      <c r="B2447" s="79">
        <v>46126</v>
      </c>
      <c r="C2447" s="75"/>
      <c r="D2447" s="75"/>
      <c r="E2447" s="75"/>
      <c r="F2447" s="75">
        <v>10251</v>
      </c>
      <c r="G2447" s="76" t="e">
        <f>VLOOKUP(Tabelle2[[#This Row],[Kunden Nr.]],KUNDEN!A:B,2,0)</f>
        <v>#N/A</v>
      </c>
      <c r="H2447" s="75">
        <v>35110</v>
      </c>
      <c r="I2447" s="76" t="str">
        <f>VLOOKUP(Tabelle2[[#This Row],[Artikel]],Produkte!A:B,2,0)</f>
        <v>M-ONE Sanitar Silikon</v>
      </c>
      <c r="J2447" s="75">
        <v>12</v>
      </c>
      <c r="K2447" s="76" t="str">
        <f>VLOOKUP(Tabelle2[[#This Row],[Kunden Nr.]],KUNDEN!A:G,7)</f>
        <v>Qerimi</v>
      </c>
      <c r="L2447" s="76">
        <f>VLOOKUP(Tabelle2[[#This Row],[Artikel]],Produkte!A:H,8)</f>
        <v>0.17</v>
      </c>
    </row>
    <row r="2448" spans="1:12" x14ac:dyDescent="0.2">
      <c r="A2448" s="75" t="s">
        <v>646</v>
      </c>
      <c r="B2448" s="79">
        <v>46126</v>
      </c>
      <c r="C2448" s="75"/>
      <c r="D2448" s="75"/>
      <c r="E2448" s="75"/>
      <c r="F2448" s="75">
        <v>10251</v>
      </c>
      <c r="G2448" s="76" t="e">
        <f>VLOOKUP(Tabelle2[[#This Row],[Kunden Nr.]],KUNDEN!A:B,2,0)</f>
        <v>#N/A</v>
      </c>
      <c r="H2448" s="75">
        <v>35115</v>
      </c>
      <c r="I2448" s="76" t="str">
        <f>VLOOKUP(Tabelle2[[#This Row],[Artikel]],Produkte!A:B,2,0)</f>
        <v>M-ONE Sanitar Silikon</v>
      </c>
      <c r="J2448" s="75">
        <v>12</v>
      </c>
      <c r="K2448" s="76" t="str">
        <f>VLOOKUP(Tabelle2[[#This Row],[Kunden Nr.]],KUNDEN!A:G,7)</f>
        <v>Qerimi</v>
      </c>
      <c r="L2448" s="76">
        <f>VLOOKUP(Tabelle2[[#This Row],[Artikel]],Produkte!A:H,8)</f>
        <v>0.17</v>
      </c>
    </row>
    <row r="2449" spans="1:12" x14ac:dyDescent="0.2">
      <c r="A2449" s="75" t="s">
        <v>509</v>
      </c>
      <c r="B2449" s="79">
        <v>46126</v>
      </c>
      <c r="C2449" s="89">
        <v>46.2</v>
      </c>
      <c r="D2449" s="75"/>
      <c r="E2449" s="75"/>
      <c r="F2449" s="75">
        <v>10201</v>
      </c>
      <c r="G2449" s="76" t="str">
        <f>VLOOKUP(Tabelle2[[#This Row],[Kunden Nr.]],KUNDEN!A:B,2,0)</f>
        <v>TE BESNIKU</v>
      </c>
      <c r="H2449" s="75">
        <v>35108</v>
      </c>
      <c r="I2449" s="76" t="str">
        <f>VLOOKUP(Tabelle2[[#This Row],[Artikel]],Produkte!A:B,2,0)</f>
        <v>M-ONE Sanitar Silikon</v>
      </c>
      <c r="J2449" s="75">
        <v>12</v>
      </c>
      <c r="K2449" s="76" t="str">
        <f>VLOOKUP(Tabelle2[[#This Row],[Kunden Nr.]],KUNDEN!A:G,7)</f>
        <v>Qerimi</v>
      </c>
      <c r="L2449" s="76">
        <f>VLOOKUP(Tabelle2[[#This Row],[Artikel]],Produkte!A:H,8)</f>
        <v>0.17</v>
      </c>
    </row>
    <row r="2450" spans="1:12" x14ac:dyDescent="0.2">
      <c r="A2450" s="75" t="s">
        <v>939</v>
      </c>
      <c r="B2450" s="79">
        <v>46126</v>
      </c>
      <c r="C2450" s="89">
        <v>92.4</v>
      </c>
      <c r="D2450" s="75"/>
      <c r="E2450" s="75"/>
      <c r="F2450" s="75">
        <v>10230</v>
      </c>
      <c r="G2450" s="76" t="str">
        <f>VLOOKUP(Tabelle2[[#This Row],[Kunden Nr.]],KUNDEN!A:B,2,0)</f>
        <v>JETA DUHEL</v>
      </c>
      <c r="H2450" s="75">
        <v>35111</v>
      </c>
      <c r="I2450" s="76" t="str">
        <f>VLOOKUP(Tabelle2[[#This Row],[Artikel]],Produkte!A:B,2,0)</f>
        <v>M-ONE Sanitar Silikon</v>
      </c>
      <c r="J2450" s="75">
        <v>12</v>
      </c>
      <c r="K2450" s="76" t="str">
        <f>VLOOKUP(Tabelle2[[#This Row],[Kunden Nr.]],KUNDEN!A:G,7)</f>
        <v>Qerimi</v>
      </c>
      <c r="L2450" s="76">
        <f>VLOOKUP(Tabelle2[[#This Row],[Artikel]],Produkte!A:H,8)</f>
        <v>0.17</v>
      </c>
    </row>
    <row r="2451" spans="1:12" x14ac:dyDescent="0.2">
      <c r="A2451" s="75" t="s">
        <v>939</v>
      </c>
      <c r="B2451" s="79">
        <v>46126</v>
      </c>
      <c r="C2451" s="75"/>
      <c r="D2451" s="75"/>
      <c r="E2451" s="75"/>
      <c r="F2451" s="75">
        <v>10230</v>
      </c>
      <c r="G2451" s="76" t="str">
        <f>VLOOKUP(Tabelle2[[#This Row],[Kunden Nr.]],KUNDEN!A:B,2,0)</f>
        <v>JETA DUHEL</v>
      </c>
      <c r="H2451" s="75">
        <v>35121</v>
      </c>
      <c r="I2451" s="76" t="str">
        <f>VLOOKUP(Tabelle2[[#This Row],[Artikel]],Produkte!A:B,2,0)</f>
        <v>M-ONE Sanitar Silikon</v>
      </c>
      <c r="J2451" s="75">
        <v>12</v>
      </c>
      <c r="K2451" s="76" t="str">
        <f>VLOOKUP(Tabelle2[[#This Row],[Kunden Nr.]],KUNDEN!A:G,7)</f>
        <v>Qerimi</v>
      </c>
      <c r="L2451" s="76">
        <f>VLOOKUP(Tabelle2[[#This Row],[Artikel]],Produkte!A:H,8)</f>
        <v>0.17</v>
      </c>
    </row>
    <row r="2452" spans="1:12" x14ac:dyDescent="0.2">
      <c r="A2452" s="75" t="s">
        <v>515</v>
      </c>
      <c r="B2452" s="79">
        <v>46126</v>
      </c>
      <c r="C2452" s="89">
        <v>280.2</v>
      </c>
      <c r="D2452" s="75"/>
      <c r="E2452" s="75"/>
      <c r="F2452" s="75">
        <v>10205</v>
      </c>
      <c r="G2452" s="76" t="str">
        <f>VLOOKUP(Tabelle2[[#This Row],[Kunden Nr.]],KUNDEN!A:B,2,0)</f>
        <v>XHAFA</v>
      </c>
      <c r="H2452" s="75">
        <v>35109</v>
      </c>
      <c r="I2452" s="76" t="str">
        <f>VLOOKUP(Tabelle2[[#This Row],[Artikel]],Produkte!A:B,2,0)</f>
        <v>M-ONE Sanitar Silikon</v>
      </c>
      <c r="J2452" s="75">
        <v>12</v>
      </c>
      <c r="K2452" s="76" t="str">
        <f>VLOOKUP(Tabelle2[[#This Row],[Kunden Nr.]],KUNDEN!A:G,7)</f>
        <v>Qerimi</v>
      </c>
      <c r="L2452" s="76">
        <f>VLOOKUP(Tabelle2[[#This Row],[Artikel]],Produkte!A:H,8)</f>
        <v>0.17</v>
      </c>
    </row>
    <row r="2453" spans="1:12" x14ac:dyDescent="0.2">
      <c r="A2453" s="75" t="s">
        <v>515</v>
      </c>
      <c r="B2453" s="79">
        <v>46126</v>
      </c>
      <c r="C2453" s="75"/>
      <c r="D2453" s="75"/>
      <c r="E2453" s="75"/>
      <c r="F2453" s="75">
        <v>10205</v>
      </c>
      <c r="G2453" s="76" t="str">
        <f>VLOOKUP(Tabelle2[[#This Row],[Kunden Nr.]],KUNDEN!A:B,2,0)</f>
        <v>XHAFA</v>
      </c>
      <c r="H2453" s="75">
        <v>35125</v>
      </c>
      <c r="I2453" s="76" t="str">
        <f>VLOOKUP(Tabelle2[[#This Row],[Artikel]],Produkte!A:B,2,0)</f>
        <v>M-ONE Sanitar Silikon</v>
      </c>
      <c r="J2453" s="75">
        <v>12</v>
      </c>
      <c r="K2453" s="76" t="str">
        <f>VLOOKUP(Tabelle2[[#This Row],[Kunden Nr.]],KUNDEN!A:G,7)</f>
        <v>Qerimi</v>
      </c>
      <c r="L2453" s="76">
        <f>VLOOKUP(Tabelle2[[#This Row],[Artikel]],Produkte!A:H,8)</f>
        <v>0.17</v>
      </c>
    </row>
    <row r="2454" spans="1:12" x14ac:dyDescent="0.2">
      <c r="A2454" s="75" t="s">
        <v>515</v>
      </c>
      <c r="B2454" s="79">
        <v>46126</v>
      </c>
      <c r="C2454" s="75"/>
      <c r="D2454" s="75"/>
      <c r="E2454" s="75"/>
      <c r="F2454" s="75">
        <v>10205</v>
      </c>
      <c r="G2454" s="76" t="str">
        <f>VLOOKUP(Tabelle2[[#This Row],[Kunden Nr.]],KUNDEN!A:B,2,0)</f>
        <v>XHAFA</v>
      </c>
      <c r="H2454" s="75">
        <v>35121</v>
      </c>
      <c r="I2454" s="76" t="str">
        <f>VLOOKUP(Tabelle2[[#This Row],[Artikel]],Produkte!A:B,2,0)</f>
        <v>M-ONE Sanitar Silikon</v>
      </c>
      <c r="J2454" s="75">
        <v>12</v>
      </c>
      <c r="K2454" s="76" t="str">
        <f>VLOOKUP(Tabelle2[[#This Row],[Kunden Nr.]],KUNDEN!A:G,7)</f>
        <v>Qerimi</v>
      </c>
      <c r="L2454" s="76">
        <f>VLOOKUP(Tabelle2[[#This Row],[Artikel]],Produkte!A:H,8)</f>
        <v>0.17</v>
      </c>
    </row>
    <row r="2455" spans="1:12" x14ac:dyDescent="0.2">
      <c r="A2455" s="75" t="s">
        <v>515</v>
      </c>
      <c r="B2455" s="79">
        <v>46126</v>
      </c>
      <c r="C2455" s="75"/>
      <c r="D2455" s="75"/>
      <c r="E2455" s="75"/>
      <c r="F2455" s="75">
        <v>10205</v>
      </c>
      <c r="G2455" s="76" t="str">
        <f>VLOOKUP(Tabelle2[[#This Row],[Kunden Nr.]],KUNDEN!A:B,2,0)</f>
        <v>XHAFA</v>
      </c>
      <c r="H2455" s="75">
        <v>35128</v>
      </c>
      <c r="I2455" s="76" t="str">
        <f>VLOOKUP(Tabelle2[[#This Row],[Artikel]],Produkte!A:B,2,0)</f>
        <v>M-ONE Sanitar Silikon</v>
      </c>
      <c r="J2455" s="75">
        <v>12</v>
      </c>
      <c r="K2455" s="76" t="str">
        <f>VLOOKUP(Tabelle2[[#This Row],[Kunden Nr.]],KUNDEN!A:G,7)</f>
        <v>Qerimi</v>
      </c>
      <c r="L2455" s="76">
        <f>VLOOKUP(Tabelle2[[#This Row],[Artikel]],Produkte!A:H,8)</f>
        <v>0.17</v>
      </c>
    </row>
    <row r="2456" spans="1:12" x14ac:dyDescent="0.2">
      <c r="A2456" s="75" t="s">
        <v>515</v>
      </c>
      <c r="B2456" s="79">
        <v>46126</v>
      </c>
      <c r="C2456" s="75"/>
      <c r="D2456" s="75"/>
      <c r="E2456" s="75"/>
      <c r="F2456" s="75">
        <v>10205</v>
      </c>
      <c r="G2456" s="76" t="str">
        <f>VLOOKUP(Tabelle2[[#This Row],[Kunden Nr.]],KUNDEN!A:B,2,0)</f>
        <v>XHAFA</v>
      </c>
      <c r="H2456" s="75">
        <v>35110</v>
      </c>
      <c r="I2456" s="76" t="str">
        <f>VLOOKUP(Tabelle2[[#This Row],[Artikel]],Produkte!A:B,2,0)</f>
        <v>M-ONE Sanitar Silikon</v>
      </c>
      <c r="J2456" s="75">
        <v>12</v>
      </c>
      <c r="K2456" s="76" t="str">
        <f>VLOOKUP(Tabelle2[[#This Row],[Kunden Nr.]],KUNDEN!A:G,7)</f>
        <v>Qerimi</v>
      </c>
      <c r="L2456" s="76">
        <f>VLOOKUP(Tabelle2[[#This Row],[Artikel]],Produkte!A:H,8)</f>
        <v>0.17</v>
      </c>
    </row>
    <row r="2457" spans="1:12" x14ac:dyDescent="0.2">
      <c r="A2457" s="75" t="s">
        <v>515</v>
      </c>
      <c r="B2457" s="79">
        <v>46126</v>
      </c>
      <c r="C2457" s="75"/>
      <c r="D2457" s="75"/>
      <c r="E2457" s="75"/>
      <c r="F2457" s="75">
        <v>10205</v>
      </c>
      <c r="G2457" s="76" t="str">
        <f>VLOOKUP(Tabelle2[[#This Row],[Kunden Nr.]],KUNDEN!A:B,2,0)</f>
        <v>XHAFA</v>
      </c>
      <c r="H2457" s="75">
        <v>51612</v>
      </c>
      <c r="I2457" s="76" t="str">
        <f>VLOOKUP(Tabelle2[[#This Row],[Artikel]],Produkte!A:B,2,0)</f>
        <v>struktural akryl</v>
      </c>
      <c r="J2457" s="75">
        <v>12</v>
      </c>
      <c r="K2457" s="76" t="str">
        <f>VLOOKUP(Tabelle2[[#This Row],[Kunden Nr.]],KUNDEN!A:G,7)</f>
        <v>Qerimi</v>
      </c>
      <c r="L2457" s="76">
        <f>VLOOKUP(Tabelle2[[#This Row],[Artikel]],Produkte!A:H,8)</f>
        <v>0.06</v>
      </c>
    </row>
    <row r="2458" spans="1:12" x14ac:dyDescent="0.2">
      <c r="A2458" s="75" t="s">
        <v>515</v>
      </c>
      <c r="B2458" s="79">
        <v>46126</v>
      </c>
      <c r="C2458" s="75"/>
      <c r="D2458" s="75"/>
      <c r="E2458" s="75"/>
      <c r="F2458" s="75">
        <v>10205</v>
      </c>
      <c r="G2458" s="76" t="str">
        <f>VLOOKUP(Tabelle2[[#This Row],[Kunden Nr.]],KUNDEN!A:B,2,0)</f>
        <v>XHAFA</v>
      </c>
      <c r="H2458" s="75">
        <v>50912</v>
      </c>
      <c r="I2458" s="76" t="str">
        <f>VLOOKUP(Tabelle2[[#This Row],[Artikel]],Produkte!A:B,2,0)</f>
        <v>DICHTUNG</v>
      </c>
      <c r="J2458" s="75">
        <v>3</v>
      </c>
      <c r="K2458" s="76" t="str">
        <f>VLOOKUP(Tabelle2[[#This Row],[Kunden Nr.]],KUNDEN!A:G,7)</f>
        <v>Qerimi</v>
      </c>
      <c r="L2458" s="76">
        <f>VLOOKUP(Tabelle2[[#This Row],[Artikel]],Produkte!A:H,8)</f>
        <v>0.2</v>
      </c>
    </row>
    <row r="2459" spans="1:12" x14ac:dyDescent="0.2">
      <c r="A2459" s="75" t="s">
        <v>422</v>
      </c>
      <c r="B2459" s="79">
        <v>46126</v>
      </c>
      <c r="C2459" s="89">
        <v>277.2</v>
      </c>
      <c r="D2459" s="75"/>
      <c r="E2459" s="75"/>
      <c r="F2459" s="75">
        <v>20209</v>
      </c>
      <c r="G2459" s="76" t="str">
        <f>VLOOKUP(Tabelle2[[#This Row],[Kunden Nr.]],KUNDEN!A:B,2,0)</f>
        <v>LETAJ</v>
      </c>
      <c r="H2459" s="75">
        <v>35110</v>
      </c>
      <c r="I2459" s="76" t="str">
        <f>VLOOKUP(Tabelle2[[#This Row],[Artikel]],Produkte!A:B,2,0)</f>
        <v>M-ONE Sanitar Silikon</v>
      </c>
      <c r="J2459" s="75">
        <v>36</v>
      </c>
      <c r="K2459" s="76" t="str">
        <f>VLOOKUP(Tabelle2[[#This Row],[Kunden Nr.]],KUNDEN!A:G,7)</f>
        <v>Mensuri</v>
      </c>
      <c r="L2459" s="76">
        <f>VLOOKUP(Tabelle2[[#This Row],[Artikel]],Produkte!A:H,8)</f>
        <v>0.17</v>
      </c>
    </row>
    <row r="2460" spans="1:12" x14ac:dyDescent="0.2">
      <c r="A2460" s="75" t="s">
        <v>422</v>
      </c>
      <c r="B2460" s="79">
        <v>46126</v>
      </c>
      <c r="C2460" s="75"/>
      <c r="D2460" s="75"/>
      <c r="E2460" s="75"/>
      <c r="F2460" s="75">
        <v>20209</v>
      </c>
      <c r="G2460" s="76" t="str">
        <f>VLOOKUP(Tabelle2[[#This Row],[Kunden Nr.]],KUNDEN!A:B,2,0)</f>
        <v>LETAJ</v>
      </c>
      <c r="H2460" s="75">
        <v>35115</v>
      </c>
      <c r="I2460" s="76" t="str">
        <f>VLOOKUP(Tabelle2[[#This Row],[Artikel]],Produkte!A:B,2,0)</f>
        <v>M-ONE Sanitar Silikon</v>
      </c>
      <c r="J2460" s="75">
        <v>36</v>
      </c>
      <c r="K2460" s="76" t="str">
        <f>VLOOKUP(Tabelle2[[#This Row],[Kunden Nr.]],KUNDEN!A:G,7)</f>
        <v>Mensuri</v>
      </c>
      <c r="L2460" s="76">
        <f>VLOOKUP(Tabelle2[[#This Row],[Artikel]],Produkte!A:H,8)</f>
        <v>0.17</v>
      </c>
    </row>
    <row r="2461" spans="1:12" x14ac:dyDescent="0.2">
      <c r="A2461" s="75" t="s">
        <v>425</v>
      </c>
      <c r="B2461" s="79">
        <v>46126</v>
      </c>
      <c r="C2461" s="89">
        <v>92.4</v>
      </c>
      <c r="D2461" s="75"/>
      <c r="E2461" s="75"/>
      <c r="F2461" s="75">
        <v>20212</v>
      </c>
      <c r="G2461" s="76" t="str">
        <f>VLOOKUP(Tabelle2[[#This Row],[Kunden Nr.]],KUNDEN!A:B,2,0)</f>
        <v>INOX 2</v>
      </c>
      <c r="H2461" s="75">
        <v>35110</v>
      </c>
      <c r="I2461" s="76" t="str">
        <f>VLOOKUP(Tabelle2[[#This Row],[Artikel]],Produkte!A:B,2,0)</f>
        <v>M-ONE Sanitar Silikon</v>
      </c>
      <c r="J2461" s="75">
        <v>12</v>
      </c>
      <c r="K2461" s="76" t="str">
        <f>VLOOKUP(Tabelle2[[#This Row],[Kunden Nr.]],KUNDEN!A:G,7)</f>
        <v>Mensuri</v>
      </c>
      <c r="L2461" s="76">
        <f>VLOOKUP(Tabelle2[[#This Row],[Artikel]],Produkte!A:H,8)</f>
        <v>0.17</v>
      </c>
    </row>
    <row r="2462" spans="1:12" x14ac:dyDescent="0.2">
      <c r="A2462" s="75" t="s">
        <v>425</v>
      </c>
      <c r="B2462" s="79">
        <v>46126</v>
      </c>
      <c r="C2462" s="75"/>
      <c r="D2462" s="75"/>
      <c r="E2462" s="75"/>
      <c r="F2462" s="75">
        <v>20212</v>
      </c>
      <c r="G2462" s="76" t="str">
        <f>VLOOKUP(Tabelle2[[#This Row],[Kunden Nr.]],KUNDEN!A:B,2,0)</f>
        <v>INOX 2</v>
      </c>
      <c r="H2462" s="75">
        <v>35111</v>
      </c>
      <c r="I2462" s="76" t="str">
        <f>VLOOKUP(Tabelle2[[#This Row],[Artikel]],Produkte!A:B,2,0)</f>
        <v>M-ONE Sanitar Silikon</v>
      </c>
      <c r="J2462" s="75">
        <v>12</v>
      </c>
      <c r="K2462" s="76" t="str">
        <f>VLOOKUP(Tabelle2[[#This Row],[Kunden Nr.]],KUNDEN!A:G,7)</f>
        <v>Mensuri</v>
      </c>
      <c r="L2462" s="76">
        <f>VLOOKUP(Tabelle2[[#This Row],[Artikel]],Produkte!A:H,8)</f>
        <v>0.17</v>
      </c>
    </row>
    <row r="2463" spans="1:12" x14ac:dyDescent="0.2">
      <c r="A2463" s="75" t="s">
        <v>1041</v>
      </c>
      <c r="B2463" s="79">
        <v>46126</v>
      </c>
      <c r="C2463" s="89">
        <v>138.6</v>
      </c>
      <c r="D2463" s="75"/>
      <c r="E2463" s="75"/>
      <c r="F2463" s="75">
        <v>20223</v>
      </c>
      <c r="G2463" s="76" t="str">
        <f>VLOOKUP(Tabelle2[[#This Row],[Kunden Nr.]],KUNDEN!A:B,2,0)</f>
        <v>GER COLORS</v>
      </c>
      <c r="H2463" s="75">
        <v>35109</v>
      </c>
      <c r="I2463" s="76" t="str">
        <f>VLOOKUP(Tabelle2[[#This Row],[Artikel]],Produkte!A:B,2,0)</f>
        <v>M-ONE Sanitar Silikon</v>
      </c>
      <c r="J2463" s="75">
        <v>12</v>
      </c>
      <c r="K2463" s="76" t="str">
        <f>VLOOKUP(Tabelle2[[#This Row],[Kunden Nr.]],KUNDEN!A:G,7)</f>
        <v>Mensuri</v>
      </c>
      <c r="L2463" s="76">
        <f>VLOOKUP(Tabelle2[[#This Row],[Artikel]],Produkte!A:H,8)</f>
        <v>0.17</v>
      </c>
    </row>
    <row r="2464" spans="1:12" x14ac:dyDescent="0.2">
      <c r="A2464" s="75" t="s">
        <v>1041</v>
      </c>
      <c r="B2464" s="79">
        <v>46126</v>
      </c>
      <c r="C2464" s="75"/>
      <c r="D2464" s="75"/>
      <c r="E2464" s="75"/>
      <c r="F2464" s="75">
        <v>20223</v>
      </c>
      <c r="G2464" s="76" t="str">
        <f>VLOOKUP(Tabelle2[[#This Row],[Kunden Nr.]],KUNDEN!A:B,2,0)</f>
        <v>GER COLORS</v>
      </c>
      <c r="H2464" s="75">
        <v>35112</v>
      </c>
      <c r="I2464" s="76" t="str">
        <f>VLOOKUP(Tabelle2[[#This Row],[Artikel]],Produkte!A:B,2,0)</f>
        <v>M-ONE Sanitar Silikon</v>
      </c>
      <c r="J2464" s="75">
        <v>12</v>
      </c>
      <c r="K2464" s="76" t="str">
        <f>VLOOKUP(Tabelle2[[#This Row],[Kunden Nr.]],KUNDEN!A:G,7)</f>
        <v>Mensuri</v>
      </c>
      <c r="L2464" s="76">
        <f>VLOOKUP(Tabelle2[[#This Row],[Artikel]],Produkte!A:H,8)</f>
        <v>0.17</v>
      </c>
    </row>
    <row r="2465" spans="1:12" x14ac:dyDescent="0.2">
      <c r="A2465" s="75" t="s">
        <v>1041</v>
      </c>
      <c r="B2465" s="79">
        <v>46126</v>
      </c>
      <c r="C2465" s="75"/>
      <c r="D2465" s="75"/>
      <c r="E2465" s="75"/>
      <c r="F2465" s="75">
        <v>20223</v>
      </c>
      <c r="G2465" s="76" t="str">
        <f>VLOOKUP(Tabelle2[[#This Row],[Kunden Nr.]],KUNDEN!A:B,2,0)</f>
        <v>GER COLORS</v>
      </c>
      <c r="H2465" s="75">
        <v>35128</v>
      </c>
      <c r="I2465" s="76" t="str">
        <f>VLOOKUP(Tabelle2[[#This Row],[Artikel]],Produkte!A:B,2,0)</f>
        <v>M-ONE Sanitar Silikon</v>
      </c>
      <c r="J2465" s="75">
        <v>12</v>
      </c>
      <c r="K2465" s="76" t="str">
        <f>VLOOKUP(Tabelle2[[#This Row],[Kunden Nr.]],KUNDEN!A:G,7)</f>
        <v>Mensuri</v>
      </c>
      <c r="L2465" s="76">
        <f>VLOOKUP(Tabelle2[[#This Row],[Artikel]],Produkte!A:H,8)</f>
        <v>0.17</v>
      </c>
    </row>
    <row r="2466" spans="1:12" x14ac:dyDescent="0.2">
      <c r="A2466" s="75" t="s">
        <v>1291</v>
      </c>
      <c r="B2466" s="79">
        <v>46126</v>
      </c>
      <c r="C2466" s="89">
        <v>92.4</v>
      </c>
      <c r="D2466" s="75"/>
      <c r="E2466" s="75"/>
      <c r="F2466" s="75">
        <v>20227</v>
      </c>
      <c r="G2466" s="76" t="str">
        <f>VLOOKUP(Tabelle2[[#This Row],[Kunden Nr.]],KUNDEN!A:B,2,0)</f>
        <v>DIKI BAU SHPK</v>
      </c>
      <c r="H2466" s="75">
        <v>35112</v>
      </c>
      <c r="I2466" s="76" t="str">
        <f>VLOOKUP(Tabelle2[[#This Row],[Artikel]],Produkte!A:B,2,0)</f>
        <v>M-ONE Sanitar Silikon</v>
      </c>
      <c r="J2466" s="75">
        <v>12</v>
      </c>
      <c r="K2466" s="76" t="str">
        <f>VLOOKUP(Tabelle2[[#This Row],[Kunden Nr.]],KUNDEN!A:G,7)</f>
        <v>Mensuri</v>
      </c>
      <c r="L2466" s="76">
        <f>VLOOKUP(Tabelle2[[#This Row],[Artikel]],Produkte!A:H,8)</f>
        <v>0.17</v>
      </c>
    </row>
    <row r="2467" spans="1:12" x14ac:dyDescent="0.2">
      <c r="A2467" s="75" t="s">
        <v>1291</v>
      </c>
      <c r="B2467" s="79">
        <v>46126</v>
      </c>
      <c r="C2467" s="75"/>
      <c r="D2467" s="75"/>
      <c r="E2467" s="75"/>
      <c r="F2467" s="75">
        <v>20227</v>
      </c>
      <c r="G2467" s="76" t="str">
        <f>VLOOKUP(Tabelle2[[#This Row],[Kunden Nr.]],KUNDEN!A:B,2,0)</f>
        <v>DIKI BAU SHPK</v>
      </c>
      <c r="H2467" s="75">
        <v>35119</v>
      </c>
      <c r="I2467" s="76" t="str">
        <f>VLOOKUP(Tabelle2[[#This Row],[Artikel]],Produkte!A:B,2,0)</f>
        <v>M-ONE Sanitar Silikon</v>
      </c>
      <c r="J2467" s="75">
        <v>12</v>
      </c>
      <c r="K2467" s="76" t="str">
        <f>VLOOKUP(Tabelle2[[#This Row],[Kunden Nr.]],KUNDEN!A:G,7)</f>
        <v>Mensuri</v>
      </c>
      <c r="L2467" s="76">
        <f>VLOOKUP(Tabelle2[[#This Row],[Artikel]],Produkte!A:H,8)</f>
        <v>0.17</v>
      </c>
    </row>
    <row r="2468" spans="1:12" x14ac:dyDescent="0.2">
      <c r="A2468" s="75" t="s">
        <v>670</v>
      </c>
      <c r="B2468" s="79">
        <v>46126</v>
      </c>
      <c r="C2468" s="89">
        <v>116.4</v>
      </c>
      <c r="D2468" s="75"/>
      <c r="E2468" s="75"/>
      <c r="F2468" s="75">
        <v>20206</v>
      </c>
      <c r="G2468" s="76" t="str">
        <f>VLOOKUP(Tabelle2[[#This Row],[Kunden Nr.]],KUNDEN!A:B,2,0)</f>
        <v>ERENIKU</v>
      </c>
      <c r="H2468" s="75">
        <v>35112</v>
      </c>
      <c r="I2468" s="76" t="str">
        <f>VLOOKUP(Tabelle2[[#This Row],[Artikel]],Produkte!A:B,2,0)</f>
        <v>M-ONE Sanitar Silikon</v>
      </c>
      <c r="J2468" s="75">
        <v>12</v>
      </c>
      <c r="K2468" s="76" t="str">
        <f>VLOOKUP(Tabelle2[[#This Row],[Kunden Nr.]],KUNDEN!A:G,7)</f>
        <v>Mensuri</v>
      </c>
      <c r="L2468" s="76">
        <f>VLOOKUP(Tabelle2[[#This Row],[Artikel]],Produkte!A:H,8)</f>
        <v>0.17</v>
      </c>
    </row>
    <row r="2469" spans="1:12" x14ac:dyDescent="0.2">
      <c r="A2469" s="75" t="s">
        <v>670</v>
      </c>
      <c r="B2469" s="79">
        <v>46126</v>
      </c>
      <c r="C2469" s="75"/>
      <c r="D2469" s="75"/>
      <c r="E2469" s="75"/>
      <c r="F2469" s="75">
        <v>20206</v>
      </c>
      <c r="G2469" s="76" t="str">
        <f>VLOOKUP(Tabelle2[[#This Row],[Kunden Nr.]],KUNDEN!A:B,2,0)</f>
        <v>ERENIKU</v>
      </c>
      <c r="H2469" s="75">
        <v>51611</v>
      </c>
      <c r="I2469" s="76" t="str">
        <f>VLOOKUP(Tabelle2[[#This Row],[Artikel]],Produkte!A:B,2,0)</f>
        <v>universal akryl</v>
      </c>
      <c r="J2469" s="75">
        <v>12</v>
      </c>
      <c r="K2469" s="76" t="str">
        <f>VLOOKUP(Tabelle2[[#This Row],[Kunden Nr.]],KUNDEN!A:G,7)</f>
        <v>Mensuri</v>
      </c>
      <c r="L2469" s="76">
        <f>VLOOKUP(Tabelle2[[#This Row],[Artikel]],Produkte!A:H,8)</f>
        <v>0.06</v>
      </c>
    </row>
    <row r="2470" spans="1:12" x14ac:dyDescent="0.2">
      <c r="A2470" s="75" t="s">
        <v>670</v>
      </c>
      <c r="B2470" s="79">
        <v>46126</v>
      </c>
      <c r="C2470" s="75"/>
      <c r="D2470" s="75"/>
      <c r="E2470" s="75"/>
      <c r="F2470" s="75">
        <v>20206</v>
      </c>
      <c r="G2470" s="76" t="str">
        <f>VLOOKUP(Tabelle2[[#This Row],[Kunden Nr.]],KUNDEN!A:B,2,0)</f>
        <v>ERENIKU</v>
      </c>
      <c r="H2470" s="75">
        <v>51612</v>
      </c>
      <c r="I2470" s="76" t="str">
        <f>VLOOKUP(Tabelle2[[#This Row],[Artikel]],Produkte!A:B,2,0)</f>
        <v>struktural akryl</v>
      </c>
      <c r="J2470" s="75">
        <v>24</v>
      </c>
      <c r="K2470" s="76" t="str">
        <f>VLOOKUP(Tabelle2[[#This Row],[Kunden Nr.]],KUNDEN!A:G,7)</f>
        <v>Mensuri</v>
      </c>
      <c r="L2470" s="76">
        <f>VLOOKUP(Tabelle2[[#This Row],[Artikel]],Produkte!A:H,8)</f>
        <v>0.06</v>
      </c>
    </row>
    <row r="2471" spans="1:12" x14ac:dyDescent="0.2">
      <c r="A2471" s="75" t="s">
        <v>418</v>
      </c>
      <c r="B2471" s="79">
        <v>46126</v>
      </c>
      <c r="C2471" s="89">
        <v>208.2</v>
      </c>
      <c r="D2471" s="75"/>
      <c r="E2471" s="75"/>
      <c r="F2471" s="75">
        <v>20203</v>
      </c>
      <c r="G2471" s="76" t="str">
        <f>VLOOKUP(Tabelle2[[#This Row],[Kunden Nr.]],KUNDEN!A:B,2,0)</f>
        <v>AFRIMI-AG</v>
      </c>
      <c r="H2471" s="75">
        <v>35109</v>
      </c>
      <c r="I2471" s="76" t="str">
        <f>VLOOKUP(Tabelle2[[#This Row],[Artikel]],Produkte!A:B,2,0)</f>
        <v>M-ONE Sanitar Silikon</v>
      </c>
      <c r="J2471" s="75">
        <v>24</v>
      </c>
      <c r="K2471" s="76" t="str">
        <f>VLOOKUP(Tabelle2[[#This Row],[Kunden Nr.]],KUNDEN!A:G,7)</f>
        <v>Mensuri</v>
      </c>
      <c r="L2471" s="76">
        <f>VLOOKUP(Tabelle2[[#This Row],[Artikel]],Produkte!A:H,8)</f>
        <v>0.17</v>
      </c>
    </row>
    <row r="2472" spans="1:12" x14ac:dyDescent="0.2">
      <c r="A2472" s="75" t="s">
        <v>418</v>
      </c>
      <c r="B2472" s="79">
        <v>46126</v>
      </c>
      <c r="C2472" s="75"/>
      <c r="D2472" s="75"/>
      <c r="E2472" s="75"/>
      <c r="F2472" s="75">
        <v>20203</v>
      </c>
      <c r="G2472" s="76" t="str">
        <f>VLOOKUP(Tabelle2[[#This Row],[Kunden Nr.]],KUNDEN!A:B,2,0)</f>
        <v>AFRIMI-AG</v>
      </c>
      <c r="H2472" s="75">
        <v>35121</v>
      </c>
      <c r="I2472" s="76" t="str">
        <f>VLOOKUP(Tabelle2[[#This Row],[Artikel]],Produkte!A:B,2,0)</f>
        <v>M-ONE Sanitar Silikon</v>
      </c>
      <c r="J2472" s="75">
        <v>12</v>
      </c>
      <c r="K2472" s="76" t="str">
        <f>VLOOKUP(Tabelle2[[#This Row],[Kunden Nr.]],KUNDEN!A:G,7)</f>
        <v>Mensuri</v>
      </c>
      <c r="L2472" s="76">
        <f>VLOOKUP(Tabelle2[[#This Row],[Artikel]],Produkte!A:H,8)</f>
        <v>0.17</v>
      </c>
    </row>
    <row r="2473" spans="1:12" x14ac:dyDescent="0.2">
      <c r="A2473" s="75" t="s">
        <v>418</v>
      </c>
      <c r="B2473" s="79">
        <v>46126</v>
      </c>
      <c r="C2473" s="75"/>
      <c r="D2473" s="75"/>
      <c r="E2473" s="75"/>
      <c r="F2473" s="75">
        <v>20203</v>
      </c>
      <c r="G2473" s="76" t="str">
        <f>VLOOKUP(Tabelle2[[#This Row],[Kunden Nr.]],KUNDEN!A:B,2,0)</f>
        <v>AFRIMI-AG</v>
      </c>
      <c r="H2473" s="75">
        <v>66701</v>
      </c>
      <c r="I2473" s="76" t="str">
        <f>VLOOKUP(Tabelle2[[#This Row],[Artikel]],Produkte!A:B,2,0)</f>
        <v>PROFIMONT EXTREME</v>
      </c>
      <c r="J2473" s="75">
        <v>12</v>
      </c>
      <c r="K2473" s="76" t="str">
        <f>VLOOKUP(Tabelle2[[#This Row],[Kunden Nr.]],KUNDEN!A:G,7)</f>
        <v>Mensuri</v>
      </c>
      <c r="L2473" s="76">
        <f>VLOOKUP(Tabelle2[[#This Row],[Artikel]],Produkte!A:H,8)</f>
        <v>0.2</v>
      </c>
    </row>
    <row r="2474" spans="1:12" x14ac:dyDescent="0.2">
      <c r="A2474" s="75" t="s">
        <v>963</v>
      </c>
      <c r="B2474" s="79">
        <v>46126</v>
      </c>
      <c r="C2474" s="89">
        <v>216.3</v>
      </c>
      <c r="D2474" s="75"/>
      <c r="E2474" s="75"/>
      <c r="F2474" s="75">
        <v>20201</v>
      </c>
      <c r="G2474" s="76" t="str">
        <f>VLOOKUP(Tabelle2[[#This Row],[Kunden Nr.]],KUNDEN!A:B,2,0)</f>
        <v>TE BESIMI</v>
      </c>
      <c r="H2474" s="75">
        <v>35113</v>
      </c>
      <c r="I2474" s="76" t="str">
        <f>VLOOKUP(Tabelle2[[#This Row],[Artikel]],Produkte!A:B,2,0)</f>
        <v>M-ONE Sanitar Silikon</v>
      </c>
      <c r="J2474" s="75">
        <v>12</v>
      </c>
      <c r="K2474" s="76" t="str">
        <f>VLOOKUP(Tabelle2[[#This Row],[Kunden Nr.]],KUNDEN!A:G,7)</f>
        <v>Mensuri</v>
      </c>
      <c r="L2474" s="76">
        <f>VLOOKUP(Tabelle2[[#This Row],[Artikel]],Produkte!A:H,8)</f>
        <v>0.17</v>
      </c>
    </row>
    <row r="2475" spans="1:12" x14ac:dyDescent="0.2">
      <c r="A2475" s="75" t="s">
        <v>963</v>
      </c>
      <c r="B2475" s="79">
        <v>46126</v>
      </c>
      <c r="C2475" s="75"/>
      <c r="D2475" s="75"/>
      <c r="E2475" s="75"/>
      <c r="F2475" s="75">
        <v>20201</v>
      </c>
      <c r="G2475" s="76" t="str">
        <f>VLOOKUP(Tabelle2[[#This Row],[Kunden Nr.]],KUNDEN!A:B,2,0)</f>
        <v>TE BESIMI</v>
      </c>
      <c r="H2475" s="75">
        <v>35128</v>
      </c>
      <c r="I2475" s="76" t="str">
        <f>VLOOKUP(Tabelle2[[#This Row],[Artikel]],Produkte!A:B,2,0)</f>
        <v>M-ONE Sanitar Silikon</v>
      </c>
      <c r="J2475" s="75">
        <v>12</v>
      </c>
      <c r="K2475" s="76" t="str">
        <f>VLOOKUP(Tabelle2[[#This Row],[Kunden Nr.]],KUNDEN!A:G,7)</f>
        <v>Mensuri</v>
      </c>
      <c r="L2475" s="76">
        <f>VLOOKUP(Tabelle2[[#This Row],[Artikel]],Produkte!A:H,8)</f>
        <v>0.17</v>
      </c>
    </row>
    <row r="2476" spans="1:12" x14ac:dyDescent="0.2">
      <c r="A2476" s="75" t="s">
        <v>963</v>
      </c>
      <c r="B2476" s="79">
        <v>46126</v>
      </c>
      <c r="C2476" s="75"/>
      <c r="D2476" s="75"/>
      <c r="E2476" s="75"/>
      <c r="F2476" s="75">
        <v>20201</v>
      </c>
      <c r="G2476" s="76" t="str">
        <f>VLOOKUP(Tabelle2[[#This Row],[Kunden Nr.]],KUNDEN!A:B,2,0)</f>
        <v>TE BESIMI</v>
      </c>
      <c r="H2476" s="75">
        <v>35125</v>
      </c>
      <c r="I2476" s="76" t="str">
        <f>VLOOKUP(Tabelle2[[#This Row],[Artikel]],Produkte!A:B,2,0)</f>
        <v>M-ONE Sanitar Silikon</v>
      </c>
      <c r="J2476" s="75">
        <v>12</v>
      </c>
      <c r="K2476" s="76" t="str">
        <f>VLOOKUP(Tabelle2[[#This Row],[Kunden Nr.]],KUNDEN!A:G,7)</f>
        <v>Mensuri</v>
      </c>
      <c r="L2476" s="76">
        <f>VLOOKUP(Tabelle2[[#This Row],[Artikel]],Produkte!A:H,8)</f>
        <v>0.17</v>
      </c>
    </row>
    <row r="2477" spans="1:12" x14ac:dyDescent="0.2">
      <c r="A2477" s="75" t="s">
        <v>963</v>
      </c>
      <c r="B2477" s="79">
        <v>46126</v>
      </c>
      <c r="C2477" s="75"/>
      <c r="D2477" s="75"/>
      <c r="E2477" s="75"/>
      <c r="F2477" s="75">
        <v>20201</v>
      </c>
      <c r="G2477" s="76" t="str">
        <f>VLOOKUP(Tabelle2[[#This Row],[Kunden Nr.]],KUNDEN!A:B,2,0)</f>
        <v>TE BESIMI</v>
      </c>
      <c r="H2477" s="75">
        <v>51612</v>
      </c>
      <c r="I2477" s="76" t="str">
        <f>VLOOKUP(Tabelle2[[#This Row],[Artikel]],Produkte!A:B,2,0)</f>
        <v>struktural akryl</v>
      </c>
      <c r="J2477" s="75">
        <v>24</v>
      </c>
      <c r="K2477" s="76" t="str">
        <f>VLOOKUP(Tabelle2[[#This Row],[Kunden Nr.]],KUNDEN!A:G,7)</f>
        <v>Mensuri</v>
      </c>
      <c r="L2477" s="76">
        <f>VLOOKUP(Tabelle2[[#This Row],[Artikel]],Produkte!A:H,8)</f>
        <v>0.06</v>
      </c>
    </row>
    <row r="2478" spans="1:12" x14ac:dyDescent="0.2">
      <c r="A2478" s="75" t="s">
        <v>963</v>
      </c>
      <c r="B2478" s="79">
        <v>46126</v>
      </c>
      <c r="C2478" s="75"/>
      <c r="D2478" s="75"/>
      <c r="E2478" s="75"/>
      <c r="F2478" s="75">
        <v>20201</v>
      </c>
      <c r="G2478" s="76" t="str">
        <f>VLOOKUP(Tabelle2[[#This Row],[Kunden Nr.]],KUNDEN!A:B,2,0)</f>
        <v>TE BESIMI</v>
      </c>
      <c r="H2478" s="75">
        <v>51611</v>
      </c>
      <c r="I2478" s="76" t="str">
        <f>VLOOKUP(Tabelle2[[#This Row],[Artikel]],Produkte!A:B,2,0)</f>
        <v>universal akryl</v>
      </c>
      <c r="J2478" s="75">
        <v>12</v>
      </c>
      <c r="K2478" s="76" t="str">
        <f>VLOOKUP(Tabelle2[[#This Row],[Kunden Nr.]],KUNDEN!A:G,7)</f>
        <v>Mensuri</v>
      </c>
      <c r="L2478" s="76">
        <f>VLOOKUP(Tabelle2[[#This Row],[Artikel]],Produkte!A:H,8)</f>
        <v>0.06</v>
      </c>
    </row>
    <row r="2479" spans="1:12" x14ac:dyDescent="0.2">
      <c r="A2479" s="75" t="s">
        <v>963</v>
      </c>
      <c r="B2479" s="79">
        <v>46126</v>
      </c>
      <c r="C2479" s="75"/>
      <c r="D2479" s="75"/>
      <c r="E2479" s="75"/>
      <c r="F2479" s="75">
        <v>20201</v>
      </c>
      <c r="G2479" s="76" t="str">
        <f>VLOOKUP(Tabelle2[[#This Row],[Kunden Nr.]],KUNDEN!A:B,2,0)</f>
        <v>TE BESIMI</v>
      </c>
      <c r="H2479" s="75">
        <v>26736</v>
      </c>
      <c r="I2479" s="76" t="str">
        <f>VLOOKUP(Tabelle2[[#This Row],[Artikel]],Produkte!A:B,2,0)</f>
        <v>M ONE HAFTGRUND</v>
      </c>
      <c r="J2479" s="75">
        <v>7</v>
      </c>
      <c r="K2479" s="76" t="str">
        <f>VLOOKUP(Tabelle2[[#This Row],[Kunden Nr.]],KUNDEN!A:G,7)</f>
        <v>Mensuri</v>
      </c>
      <c r="L2479" s="76">
        <f>VLOOKUP(Tabelle2[[#This Row],[Artikel]],Produkte!A:H,8)</f>
        <v>0.15</v>
      </c>
    </row>
    <row r="2480" spans="1:12" x14ac:dyDescent="0.2">
      <c r="A2480" s="75" t="s">
        <v>770</v>
      </c>
      <c r="B2480" s="79">
        <v>46126</v>
      </c>
      <c r="C2480" s="89">
        <v>249</v>
      </c>
      <c r="D2480" s="75"/>
      <c r="E2480" s="75"/>
      <c r="F2480" s="75">
        <v>40003</v>
      </c>
      <c r="G2480" s="76" t="str">
        <f>VLOOKUP(Tabelle2[[#This Row],[Kunden Nr.]],KUNDEN!A:B,2,0)</f>
        <v>ARBENI BIOBLIC</v>
      </c>
      <c r="H2480" s="75">
        <v>20001</v>
      </c>
      <c r="I2480" s="76" t="str">
        <f>VLOOKUP(Tabelle2[[#This Row],[Artikel]],Produkte!A:B,2,0)</f>
        <v>BioBlic Universalreiniger</v>
      </c>
      <c r="J2480" s="75">
        <v>140</v>
      </c>
      <c r="K2480" s="76">
        <f>VLOOKUP(Tabelle2[[#This Row],[Kunden Nr.]],KUNDEN!A:G,7)</f>
        <v>0</v>
      </c>
      <c r="L2480" s="76">
        <f>VLOOKUP(Tabelle2[[#This Row],[Artikel]],Produkte!A:H,8)</f>
        <v>0.30000000000000004</v>
      </c>
    </row>
    <row r="2481" spans="1:12" x14ac:dyDescent="0.2">
      <c r="A2481" s="75" t="s">
        <v>770</v>
      </c>
      <c r="B2481" s="79">
        <v>46126</v>
      </c>
      <c r="C2481" s="75"/>
      <c r="D2481" s="75"/>
      <c r="E2481" s="75"/>
      <c r="F2481" s="75">
        <v>40003</v>
      </c>
      <c r="G2481" s="76" t="str">
        <f>VLOOKUP(Tabelle2[[#This Row],[Kunden Nr.]],KUNDEN!A:B,2,0)</f>
        <v>ARBENI BIOBLIC</v>
      </c>
      <c r="H2481" s="75">
        <v>30275</v>
      </c>
      <c r="I2481" s="76" t="str">
        <f>VLOOKUP(Tabelle2[[#This Row],[Artikel]],Produkte!A:B,2,0)</f>
        <v>Blic Blic Sanitärreiniger</v>
      </c>
      <c r="J2481" s="75">
        <v>50</v>
      </c>
      <c r="K2481" s="76">
        <f>VLOOKUP(Tabelle2[[#This Row],[Kunden Nr.]],KUNDEN!A:G,7)</f>
        <v>0</v>
      </c>
      <c r="L2481" s="76">
        <f>VLOOKUP(Tabelle2[[#This Row],[Artikel]],Produkte!A:H,8)</f>
        <v>0.30000000000000004</v>
      </c>
    </row>
    <row r="2482" spans="1:12" x14ac:dyDescent="0.2">
      <c r="A2482" s="75" t="s">
        <v>43</v>
      </c>
      <c r="B2482" s="79">
        <v>46127</v>
      </c>
      <c r="C2482" s="89">
        <v>184.8</v>
      </c>
      <c r="D2482" s="75"/>
      <c r="E2482" s="75"/>
      <c r="F2482" s="75">
        <v>10332</v>
      </c>
      <c r="G2482" s="76" t="str">
        <f>VLOOKUP(Tabelle2[[#This Row],[Kunden Nr.]],KUNDEN!A:B,2,0)</f>
        <v>DARDANIA</v>
      </c>
      <c r="H2482" s="75">
        <v>35110</v>
      </c>
      <c r="I2482" s="76" t="str">
        <f>VLOOKUP(Tabelle2[[#This Row],[Artikel]],Produkte!A:B,2,0)</f>
        <v>M-ONE Sanitar Silikon</v>
      </c>
      <c r="J2482" s="75">
        <v>12</v>
      </c>
      <c r="K2482" s="76" t="str">
        <f>VLOOKUP(Tabelle2[[#This Row],[Kunden Nr.]],KUNDEN!A:G,7)</f>
        <v>Qerimi</v>
      </c>
      <c r="L2482" s="76">
        <f>VLOOKUP(Tabelle2[[#This Row],[Artikel]],Produkte!A:H,8)</f>
        <v>0.17</v>
      </c>
    </row>
    <row r="2483" spans="1:12" x14ac:dyDescent="0.2">
      <c r="A2483" s="75" t="s">
        <v>43</v>
      </c>
      <c r="B2483" s="79">
        <v>46127</v>
      </c>
      <c r="C2483" s="75"/>
      <c r="D2483" s="75"/>
      <c r="E2483" s="75"/>
      <c r="F2483" s="75">
        <v>10332</v>
      </c>
      <c r="G2483" s="76" t="str">
        <f>VLOOKUP(Tabelle2[[#This Row],[Kunden Nr.]],KUNDEN!A:B,2,0)</f>
        <v>DARDANIA</v>
      </c>
      <c r="H2483" s="75">
        <v>35111</v>
      </c>
      <c r="I2483" s="76" t="str">
        <f>VLOOKUP(Tabelle2[[#This Row],[Artikel]],Produkte!A:B,2,0)</f>
        <v>M-ONE Sanitar Silikon</v>
      </c>
      <c r="J2483" s="75">
        <v>12</v>
      </c>
      <c r="K2483" s="76" t="str">
        <f>VLOOKUP(Tabelle2[[#This Row],[Kunden Nr.]],KUNDEN!A:G,7)</f>
        <v>Qerimi</v>
      </c>
      <c r="L2483" s="76">
        <f>VLOOKUP(Tabelle2[[#This Row],[Artikel]],Produkte!A:H,8)</f>
        <v>0.17</v>
      </c>
    </row>
    <row r="2484" spans="1:12" x14ac:dyDescent="0.2">
      <c r="A2484" s="75" t="s">
        <v>43</v>
      </c>
      <c r="B2484" s="79">
        <v>46127</v>
      </c>
      <c r="C2484" s="75"/>
      <c r="D2484" s="75"/>
      <c r="E2484" s="75"/>
      <c r="F2484" s="75">
        <v>10332</v>
      </c>
      <c r="G2484" s="76" t="str">
        <f>VLOOKUP(Tabelle2[[#This Row],[Kunden Nr.]],KUNDEN!A:B,2,0)</f>
        <v>DARDANIA</v>
      </c>
      <c r="H2484" s="75">
        <v>35109</v>
      </c>
      <c r="I2484" s="76" t="str">
        <f>VLOOKUP(Tabelle2[[#This Row],[Artikel]],Produkte!A:B,2,0)</f>
        <v>M-ONE Sanitar Silikon</v>
      </c>
      <c r="J2484" s="75">
        <v>12</v>
      </c>
      <c r="K2484" s="76" t="str">
        <f>VLOOKUP(Tabelle2[[#This Row],[Kunden Nr.]],KUNDEN!A:G,7)</f>
        <v>Qerimi</v>
      </c>
      <c r="L2484" s="76">
        <f>VLOOKUP(Tabelle2[[#This Row],[Artikel]],Produkte!A:H,8)</f>
        <v>0.17</v>
      </c>
    </row>
    <row r="2485" spans="1:12" x14ac:dyDescent="0.2">
      <c r="A2485" s="75" t="s">
        <v>43</v>
      </c>
      <c r="B2485" s="79">
        <v>46127</v>
      </c>
      <c r="C2485" s="75"/>
      <c r="D2485" s="75"/>
      <c r="E2485" s="75"/>
      <c r="F2485" s="75">
        <v>10332</v>
      </c>
      <c r="G2485" s="76" t="str">
        <f>VLOOKUP(Tabelle2[[#This Row],[Kunden Nr.]],KUNDEN!A:B,2,0)</f>
        <v>DARDANIA</v>
      </c>
      <c r="H2485" s="75">
        <v>35125</v>
      </c>
      <c r="I2485" s="76" t="str">
        <f>VLOOKUP(Tabelle2[[#This Row],[Artikel]],Produkte!A:B,2,0)</f>
        <v>M-ONE Sanitar Silikon</v>
      </c>
      <c r="J2485" s="75">
        <v>12</v>
      </c>
      <c r="K2485" s="76" t="str">
        <f>VLOOKUP(Tabelle2[[#This Row],[Kunden Nr.]],KUNDEN!A:G,7)</f>
        <v>Qerimi</v>
      </c>
      <c r="L2485" s="76">
        <f>VLOOKUP(Tabelle2[[#This Row],[Artikel]],Produkte!A:H,8)</f>
        <v>0.17</v>
      </c>
    </row>
    <row r="2486" spans="1:12" x14ac:dyDescent="0.2">
      <c r="A2486" s="75" t="s">
        <v>413</v>
      </c>
      <c r="B2486" s="79">
        <v>46127</v>
      </c>
      <c r="C2486" s="89">
        <v>323.39999999999998</v>
      </c>
      <c r="D2486" s="75"/>
      <c r="E2486" s="75"/>
      <c r="F2486" s="75">
        <v>10350</v>
      </c>
      <c r="G2486" s="76" t="str">
        <f>VLOOKUP(Tabelle2[[#This Row],[Kunden Nr.]],KUNDEN!A:B,2,0)</f>
        <v>BALLKANI</v>
      </c>
      <c r="H2486" s="75">
        <v>35121</v>
      </c>
      <c r="I2486" s="76" t="str">
        <f>VLOOKUP(Tabelle2[[#This Row],[Artikel]],Produkte!A:B,2,0)</f>
        <v>M-ONE Sanitar Silikon</v>
      </c>
      <c r="J2486" s="75">
        <v>48</v>
      </c>
      <c r="K2486" s="76" t="str">
        <f>VLOOKUP(Tabelle2[[#This Row],[Kunden Nr.]],KUNDEN!A:G,7)</f>
        <v>Qerimi</v>
      </c>
      <c r="L2486" s="76">
        <f>VLOOKUP(Tabelle2[[#This Row],[Artikel]],Produkte!A:H,8)</f>
        <v>0.17</v>
      </c>
    </row>
    <row r="2487" spans="1:12" x14ac:dyDescent="0.2">
      <c r="A2487" s="75" t="s">
        <v>413</v>
      </c>
      <c r="B2487" s="79">
        <v>46127</v>
      </c>
      <c r="C2487" s="75"/>
      <c r="D2487" s="75"/>
      <c r="E2487" s="75"/>
      <c r="F2487" s="75">
        <v>10350</v>
      </c>
      <c r="G2487" s="76" t="str">
        <f>VLOOKUP(Tabelle2[[#This Row],[Kunden Nr.]],KUNDEN!A:B,2,0)</f>
        <v>BALLKANI</v>
      </c>
      <c r="H2487" s="75">
        <v>35119</v>
      </c>
      <c r="I2487" s="76" t="str">
        <f>VLOOKUP(Tabelle2[[#This Row],[Artikel]],Produkte!A:B,2,0)</f>
        <v>M-ONE Sanitar Silikon</v>
      </c>
      <c r="J2487" s="75">
        <v>12</v>
      </c>
      <c r="K2487" s="76" t="str">
        <f>VLOOKUP(Tabelle2[[#This Row],[Kunden Nr.]],KUNDEN!A:G,7)</f>
        <v>Qerimi</v>
      </c>
      <c r="L2487" s="76">
        <f>VLOOKUP(Tabelle2[[#This Row],[Artikel]],Produkte!A:H,8)</f>
        <v>0.17</v>
      </c>
    </row>
    <row r="2488" spans="1:12" x14ac:dyDescent="0.2">
      <c r="A2488" s="75" t="s">
        <v>413</v>
      </c>
      <c r="B2488" s="79">
        <v>46127</v>
      </c>
      <c r="C2488" s="75"/>
      <c r="D2488" s="75"/>
      <c r="E2488" s="75"/>
      <c r="F2488" s="75">
        <v>10350</v>
      </c>
      <c r="G2488" s="76" t="str">
        <f>VLOOKUP(Tabelle2[[#This Row],[Kunden Nr.]],KUNDEN!A:B,2,0)</f>
        <v>BALLKANI</v>
      </c>
      <c r="H2488" s="75">
        <v>35113</v>
      </c>
      <c r="I2488" s="76" t="str">
        <f>VLOOKUP(Tabelle2[[#This Row],[Artikel]],Produkte!A:B,2,0)</f>
        <v>M-ONE Sanitar Silikon</v>
      </c>
      <c r="J2488" s="75">
        <v>12</v>
      </c>
      <c r="K2488" s="76" t="str">
        <f>VLOOKUP(Tabelle2[[#This Row],[Kunden Nr.]],KUNDEN!A:G,7)</f>
        <v>Qerimi</v>
      </c>
      <c r="L2488" s="76">
        <f>VLOOKUP(Tabelle2[[#This Row],[Artikel]],Produkte!A:H,8)</f>
        <v>0.17</v>
      </c>
    </row>
    <row r="2489" spans="1:12" x14ac:dyDescent="0.2">
      <c r="A2489" s="75" t="s">
        <v>413</v>
      </c>
      <c r="B2489" s="79">
        <v>46127</v>
      </c>
      <c r="C2489" s="75"/>
      <c r="D2489" s="75"/>
      <c r="E2489" s="75"/>
      <c r="F2489" s="75">
        <v>10350</v>
      </c>
      <c r="G2489" s="76" t="str">
        <f>VLOOKUP(Tabelle2[[#This Row],[Kunden Nr.]],KUNDEN!A:B,2,0)</f>
        <v>BALLKANI</v>
      </c>
      <c r="H2489" s="75">
        <v>35128</v>
      </c>
      <c r="I2489" s="76" t="str">
        <f>VLOOKUP(Tabelle2[[#This Row],[Artikel]],Produkte!A:B,2,0)</f>
        <v>M-ONE Sanitar Silikon</v>
      </c>
      <c r="J2489" s="75">
        <v>12</v>
      </c>
      <c r="K2489" s="76" t="str">
        <f>VLOOKUP(Tabelle2[[#This Row],[Kunden Nr.]],KUNDEN!A:G,7)</f>
        <v>Qerimi</v>
      </c>
      <c r="L2489" s="76">
        <f>VLOOKUP(Tabelle2[[#This Row],[Artikel]],Produkte!A:H,8)</f>
        <v>0.17</v>
      </c>
    </row>
    <row r="2490" spans="1:12" x14ac:dyDescent="0.2">
      <c r="A2490" s="75" t="s">
        <v>415</v>
      </c>
      <c r="B2490" s="79">
        <v>46127</v>
      </c>
      <c r="C2490" s="89">
        <v>277.2</v>
      </c>
      <c r="D2490" s="75"/>
      <c r="E2490" s="75"/>
      <c r="F2490" s="75">
        <v>10352</v>
      </c>
      <c r="G2490" s="76" t="str">
        <f>VLOOKUP(Tabelle2[[#This Row],[Kunden Nr.]],KUNDEN!A:B,2,0)</f>
        <v>SMIRA</v>
      </c>
      <c r="H2490" s="75">
        <v>35110</v>
      </c>
      <c r="I2490" s="76" t="str">
        <f>VLOOKUP(Tabelle2[[#This Row],[Artikel]],Produkte!A:B,2,0)</f>
        <v>M-ONE Sanitar Silikon</v>
      </c>
      <c r="J2490" s="75">
        <v>12</v>
      </c>
      <c r="K2490" s="76" t="str">
        <f>VLOOKUP(Tabelle2[[#This Row],[Kunden Nr.]],KUNDEN!A:G,7)</f>
        <v>Qerimi</v>
      </c>
      <c r="L2490" s="76">
        <f>VLOOKUP(Tabelle2[[#This Row],[Artikel]],Produkte!A:H,8)</f>
        <v>0.17</v>
      </c>
    </row>
    <row r="2491" spans="1:12" x14ac:dyDescent="0.2">
      <c r="A2491" s="75" t="s">
        <v>415</v>
      </c>
      <c r="B2491" s="79">
        <v>46127</v>
      </c>
      <c r="C2491" s="75"/>
      <c r="D2491" s="75"/>
      <c r="E2491" s="75"/>
      <c r="F2491" s="75">
        <v>10352</v>
      </c>
      <c r="G2491" s="76" t="str">
        <f>VLOOKUP(Tabelle2[[#This Row],[Kunden Nr.]],KUNDEN!A:B,2,0)</f>
        <v>SMIRA</v>
      </c>
      <c r="H2491" s="75">
        <v>35111</v>
      </c>
      <c r="I2491" s="76" t="str">
        <f>VLOOKUP(Tabelle2[[#This Row],[Artikel]],Produkte!A:B,2,0)</f>
        <v>M-ONE Sanitar Silikon</v>
      </c>
      <c r="J2491" s="75">
        <v>12</v>
      </c>
      <c r="K2491" s="76" t="str">
        <f>VLOOKUP(Tabelle2[[#This Row],[Kunden Nr.]],KUNDEN!A:G,7)</f>
        <v>Qerimi</v>
      </c>
      <c r="L2491" s="76">
        <f>VLOOKUP(Tabelle2[[#This Row],[Artikel]],Produkte!A:H,8)</f>
        <v>0.17</v>
      </c>
    </row>
    <row r="2492" spans="1:12" x14ac:dyDescent="0.2">
      <c r="A2492" s="75" t="s">
        <v>415</v>
      </c>
      <c r="B2492" s="79">
        <v>46127</v>
      </c>
      <c r="C2492" s="75"/>
      <c r="D2492" s="75"/>
      <c r="E2492" s="75"/>
      <c r="F2492" s="75">
        <v>10352</v>
      </c>
      <c r="G2492" s="76" t="str">
        <f>VLOOKUP(Tabelle2[[#This Row],[Kunden Nr.]],KUNDEN!A:B,2,0)</f>
        <v>SMIRA</v>
      </c>
      <c r="H2492" s="75">
        <v>35112</v>
      </c>
      <c r="I2492" s="76" t="str">
        <f>VLOOKUP(Tabelle2[[#This Row],[Artikel]],Produkte!A:B,2,0)</f>
        <v>M-ONE Sanitar Silikon</v>
      </c>
      <c r="J2492" s="75">
        <v>12</v>
      </c>
      <c r="K2492" s="76" t="str">
        <f>VLOOKUP(Tabelle2[[#This Row],[Kunden Nr.]],KUNDEN!A:G,7)</f>
        <v>Qerimi</v>
      </c>
      <c r="L2492" s="76">
        <f>VLOOKUP(Tabelle2[[#This Row],[Artikel]],Produkte!A:H,8)</f>
        <v>0.17</v>
      </c>
    </row>
    <row r="2493" spans="1:12" x14ac:dyDescent="0.2">
      <c r="A2493" s="75" t="s">
        <v>415</v>
      </c>
      <c r="B2493" s="79">
        <v>46127</v>
      </c>
      <c r="C2493" s="75"/>
      <c r="D2493" s="75"/>
      <c r="E2493" s="75"/>
      <c r="F2493" s="75">
        <v>10352</v>
      </c>
      <c r="G2493" s="76" t="str">
        <f>VLOOKUP(Tabelle2[[#This Row],[Kunden Nr.]],KUNDEN!A:B,2,0)</f>
        <v>SMIRA</v>
      </c>
      <c r="H2493" s="75">
        <v>35121</v>
      </c>
      <c r="I2493" s="76" t="str">
        <f>VLOOKUP(Tabelle2[[#This Row],[Artikel]],Produkte!A:B,2,0)</f>
        <v>M-ONE Sanitar Silikon</v>
      </c>
      <c r="J2493" s="75">
        <v>12</v>
      </c>
      <c r="K2493" s="76" t="str">
        <f>VLOOKUP(Tabelle2[[#This Row],[Kunden Nr.]],KUNDEN!A:G,7)</f>
        <v>Qerimi</v>
      </c>
      <c r="L2493" s="76">
        <f>VLOOKUP(Tabelle2[[#This Row],[Artikel]],Produkte!A:H,8)</f>
        <v>0.17</v>
      </c>
    </row>
    <row r="2494" spans="1:12" x14ac:dyDescent="0.2">
      <c r="A2494" s="75" t="s">
        <v>415</v>
      </c>
      <c r="B2494" s="79">
        <v>46127</v>
      </c>
      <c r="C2494" s="75"/>
      <c r="D2494" s="75"/>
      <c r="E2494" s="75"/>
      <c r="F2494" s="75">
        <v>10352</v>
      </c>
      <c r="G2494" s="76" t="str">
        <f>VLOOKUP(Tabelle2[[#This Row],[Kunden Nr.]],KUNDEN!A:B,2,0)</f>
        <v>SMIRA</v>
      </c>
      <c r="H2494" s="75">
        <v>35109</v>
      </c>
      <c r="I2494" s="76" t="str">
        <f>VLOOKUP(Tabelle2[[#This Row],[Artikel]],Produkte!A:B,2,0)</f>
        <v>M-ONE Sanitar Silikon</v>
      </c>
      <c r="J2494" s="75">
        <v>24</v>
      </c>
      <c r="K2494" s="76" t="str">
        <f>VLOOKUP(Tabelle2[[#This Row],[Kunden Nr.]],KUNDEN!A:G,7)</f>
        <v>Qerimi</v>
      </c>
      <c r="L2494" s="76">
        <f>VLOOKUP(Tabelle2[[#This Row],[Artikel]],Produkte!A:H,8)</f>
        <v>0.17</v>
      </c>
    </row>
    <row r="2495" spans="1:12" x14ac:dyDescent="0.2">
      <c r="A2495" s="75" t="s">
        <v>34</v>
      </c>
      <c r="B2495" s="79">
        <v>46127</v>
      </c>
      <c r="C2495" s="89">
        <v>92.4</v>
      </c>
      <c r="D2495" s="75"/>
      <c r="E2495" s="75"/>
      <c r="F2495" s="75">
        <v>10325</v>
      </c>
      <c r="G2495" s="76" t="str">
        <f>VLOOKUP(Tabelle2[[#This Row],[Kunden Nr.]],KUNDEN!A:B,2,0)</f>
        <v>PARKETI</v>
      </c>
      <c r="H2495" s="75">
        <v>35114</v>
      </c>
      <c r="I2495" s="76" t="str">
        <f>VLOOKUP(Tabelle2[[#This Row],[Artikel]],Produkte!A:B,2,0)</f>
        <v>M-ONE Sanitar Silikon</v>
      </c>
      <c r="J2495" s="75">
        <v>12</v>
      </c>
      <c r="K2495" s="76" t="str">
        <f>VLOOKUP(Tabelle2[[#This Row],[Kunden Nr.]],KUNDEN!A:G,7)</f>
        <v>Qerimi</v>
      </c>
      <c r="L2495" s="76">
        <f>VLOOKUP(Tabelle2[[#This Row],[Artikel]],Produkte!A:H,8)</f>
        <v>0.17</v>
      </c>
    </row>
    <row r="2496" spans="1:12" x14ac:dyDescent="0.2">
      <c r="A2496" s="75" t="s">
        <v>34</v>
      </c>
      <c r="B2496" s="79">
        <v>46127</v>
      </c>
      <c r="C2496" s="75"/>
      <c r="D2496" s="75"/>
      <c r="E2496" s="75"/>
      <c r="F2496" s="75">
        <v>10325</v>
      </c>
      <c r="G2496" s="76" t="str">
        <f>VLOOKUP(Tabelle2[[#This Row],[Kunden Nr.]],KUNDEN!A:B,2,0)</f>
        <v>PARKETI</v>
      </c>
      <c r="H2496" s="75">
        <v>35121</v>
      </c>
      <c r="I2496" s="76" t="str">
        <f>VLOOKUP(Tabelle2[[#This Row],[Artikel]],Produkte!A:B,2,0)</f>
        <v>M-ONE Sanitar Silikon</v>
      </c>
      <c r="J2496" s="75">
        <v>12</v>
      </c>
      <c r="K2496" s="76" t="str">
        <f>VLOOKUP(Tabelle2[[#This Row],[Kunden Nr.]],KUNDEN!A:G,7)</f>
        <v>Qerimi</v>
      </c>
      <c r="L2496" s="76">
        <f>VLOOKUP(Tabelle2[[#This Row],[Artikel]],Produkte!A:H,8)</f>
        <v>0.17</v>
      </c>
    </row>
    <row r="2497" spans="1:12" x14ac:dyDescent="0.2">
      <c r="A2497" s="75" t="s">
        <v>1154</v>
      </c>
      <c r="B2497" s="79">
        <v>46127</v>
      </c>
      <c r="C2497" s="89">
        <v>138.6</v>
      </c>
      <c r="D2497" s="75"/>
      <c r="E2497" s="75"/>
      <c r="F2497" s="75">
        <v>10344</v>
      </c>
      <c r="G2497" s="76" t="str">
        <f>VLOOKUP(Tabelle2[[#This Row],[Kunden Nr.]],KUNDEN!A:B,2,0)</f>
        <v>TINA</v>
      </c>
      <c r="H2497" s="75">
        <v>35110</v>
      </c>
      <c r="I2497" s="76" t="str">
        <f>VLOOKUP(Tabelle2[[#This Row],[Artikel]],Produkte!A:B,2,0)</f>
        <v>M-ONE Sanitar Silikon</v>
      </c>
      <c r="J2497" s="75">
        <v>12</v>
      </c>
      <c r="K2497" s="76" t="str">
        <f>VLOOKUP(Tabelle2[[#This Row],[Kunden Nr.]],KUNDEN!A:G,7)</f>
        <v>Qerimi</v>
      </c>
      <c r="L2497" s="76">
        <f>VLOOKUP(Tabelle2[[#This Row],[Artikel]],Produkte!A:H,8)</f>
        <v>0.17</v>
      </c>
    </row>
    <row r="2498" spans="1:12" x14ac:dyDescent="0.2">
      <c r="A2498" s="75" t="s">
        <v>1154</v>
      </c>
      <c r="B2498" s="79">
        <v>46127</v>
      </c>
      <c r="C2498" s="75"/>
      <c r="D2498" s="75"/>
      <c r="E2498" s="75"/>
      <c r="F2498" s="75">
        <v>10344</v>
      </c>
      <c r="G2498" s="76" t="str">
        <f>VLOOKUP(Tabelle2[[#This Row],[Kunden Nr.]],KUNDEN!A:B,2,0)</f>
        <v>TINA</v>
      </c>
      <c r="H2498" s="75">
        <v>35111</v>
      </c>
      <c r="I2498" s="76" t="str">
        <f>VLOOKUP(Tabelle2[[#This Row],[Artikel]],Produkte!A:B,2,0)</f>
        <v>M-ONE Sanitar Silikon</v>
      </c>
      <c r="J2498" s="75">
        <v>12</v>
      </c>
      <c r="K2498" s="76" t="str">
        <f>VLOOKUP(Tabelle2[[#This Row],[Kunden Nr.]],KUNDEN!A:G,7)</f>
        <v>Qerimi</v>
      </c>
      <c r="L2498" s="76">
        <f>VLOOKUP(Tabelle2[[#This Row],[Artikel]],Produkte!A:H,8)</f>
        <v>0.17</v>
      </c>
    </row>
    <row r="2499" spans="1:12" x14ac:dyDescent="0.2">
      <c r="A2499" s="75" t="s">
        <v>1154</v>
      </c>
      <c r="B2499" s="79">
        <v>46127</v>
      </c>
      <c r="C2499" s="75"/>
      <c r="D2499" s="75"/>
      <c r="E2499" s="75"/>
      <c r="F2499" s="75">
        <v>10344</v>
      </c>
      <c r="G2499" s="76" t="str">
        <f>VLOOKUP(Tabelle2[[#This Row],[Kunden Nr.]],KUNDEN!A:B,2,0)</f>
        <v>TINA</v>
      </c>
      <c r="H2499" s="75">
        <v>35108</v>
      </c>
      <c r="I2499" s="76" t="str">
        <f>VLOOKUP(Tabelle2[[#This Row],[Artikel]],Produkte!A:B,2,0)</f>
        <v>M-ONE Sanitar Silikon</v>
      </c>
      <c r="J2499" s="75">
        <v>12</v>
      </c>
      <c r="K2499" s="76" t="str">
        <f>VLOOKUP(Tabelle2[[#This Row],[Kunden Nr.]],KUNDEN!A:G,7)</f>
        <v>Qerimi</v>
      </c>
      <c r="L2499" s="76">
        <f>VLOOKUP(Tabelle2[[#This Row],[Artikel]],Produkte!A:H,8)</f>
        <v>0.17</v>
      </c>
    </row>
    <row r="2500" spans="1:12" x14ac:dyDescent="0.2">
      <c r="A2500" s="75" t="s">
        <v>12</v>
      </c>
      <c r="B2500" s="79">
        <v>46127</v>
      </c>
      <c r="C2500" s="89">
        <v>92.4</v>
      </c>
      <c r="D2500" s="75"/>
      <c r="E2500" s="75"/>
      <c r="F2500" s="75">
        <v>10308</v>
      </c>
      <c r="G2500" s="76" t="str">
        <f>VLOOKUP(Tabelle2[[#This Row],[Kunden Nr.]],KUNDEN!A:B,2,0)</f>
        <v>ERALP</v>
      </c>
      <c r="H2500" s="75">
        <v>35128</v>
      </c>
      <c r="I2500" s="76" t="str">
        <f>VLOOKUP(Tabelle2[[#This Row],[Artikel]],Produkte!A:B,2,0)</f>
        <v>M-ONE Sanitar Silikon</v>
      </c>
      <c r="J2500" s="75">
        <v>12</v>
      </c>
      <c r="K2500" s="76" t="str">
        <f>VLOOKUP(Tabelle2[[#This Row],[Kunden Nr.]],KUNDEN!A:G,7)</f>
        <v>Qerimi</v>
      </c>
      <c r="L2500" s="76">
        <f>VLOOKUP(Tabelle2[[#This Row],[Artikel]],Produkte!A:H,8)</f>
        <v>0.17</v>
      </c>
    </row>
    <row r="2501" spans="1:12" x14ac:dyDescent="0.2">
      <c r="A2501" s="75" t="s">
        <v>12</v>
      </c>
      <c r="B2501" s="79">
        <v>46127</v>
      </c>
      <c r="C2501" s="75"/>
      <c r="D2501" s="75"/>
      <c r="E2501" s="75"/>
      <c r="F2501" s="75">
        <v>10308</v>
      </c>
      <c r="G2501" s="76" t="str">
        <f>VLOOKUP(Tabelle2[[#This Row],[Kunden Nr.]],KUNDEN!A:B,2,0)</f>
        <v>ERALP</v>
      </c>
      <c r="H2501" s="75">
        <v>35112</v>
      </c>
      <c r="I2501" s="76" t="str">
        <f>VLOOKUP(Tabelle2[[#This Row],[Artikel]],Produkte!A:B,2,0)</f>
        <v>M-ONE Sanitar Silikon</v>
      </c>
      <c r="J2501" s="75">
        <v>12</v>
      </c>
      <c r="K2501" s="76" t="str">
        <f>VLOOKUP(Tabelle2[[#This Row],[Kunden Nr.]],KUNDEN!A:G,7)</f>
        <v>Qerimi</v>
      </c>
      <c r="L2501" s="76">
        <f>VLOOKUP(Tabelle2[[#This Row],[Artikel]],Produkte!A:H,8)</f>
        <v>0.17</v>
      </c>
    </row>
    <row r="2502" spans="1:12" x14ac:dyDescent="0.2">
      <c r="A2502" s="75" t="s">
        <v>27</v>
      </c>
      <c r="B2502" s="79">
        <v>46127</v>
      </c>
      <c r="C2502" s="89">
        <v>46.2</v>
      </c>
      <c r="D2502" s="75"/>
      <c r="E2502" s="75"/>
      <c r="F2502" s="75">
        <v>10320</v>
      </c>
      <c r="G2502" s="76" t="str">
        <f>VLOOKUP(Tabelle2[[#This Row],[Kunden Nr.]],KUNDEN!A:B,2,0)</f>
        <v>DANI-COM</v>
      </c>
      <c r="H2502" s="75">
        <v>35112</v>
      </c>
      <c r="I2502" s="76" t="str">
        <f>VLOOKUP(Tabelle2[[#This Row],[Artikel]],Produkte!A:B,2,0)</f>
        <v>M-ONE Sanitar Silikon</v>
      </c>
      <c r="J2502" s="75">
        <v>12</v>
      </c>
      <c r="K2502" s="76" t="str">
        <f>VLOOKUP(Tabelle2[[#This Row],[Kunden Nr.]],KUNDEN!A:G,7)</f>
        <v>Qerimi</v>
      </c>
      <c r="L2502" s="76">
        <f>VLOOKUP(Tabelle2[[#This Row],[Artikel]],Produkte!A:H,8)</f>
        <v>0.17</v>
      </c>
    </row>
    <row r="2503" spans="1:12" x14ac:dyDescent="0.2">
      <c r="A2503" s="75" t="s">
        <v>30</v>
      </c>
      <c r="B2503" s="79">
        <v>46127</v>
      </c>
      <c r="C2503" s="89">
        <v>86.4</v>
      </c>
      <c r="D2503" s="75"/>
      <c r="E2503" s="75"/>
      <c r="F2503" s="75">
        <v>10323</v>
      </c>
      <c r="G2503" s="76" t="str">
        <f>VLOOKUP(Tabelle2[[#This Row],[Kunden Nr.]],KUNDEN!A:B,2,0)</f>
        <v>BEKA-3</v>
      </c>
      <c r="H2503" s="75">
        <v>50912</v>
      </c>
      <c r="I2503" s="76" t="str">
        <f>VLOOKUP(Tabelle2[[#This Row],[Artikel]],Produkte!A:B,2,0)</f>
        <v>DICHTUNG</v>
      </c>
      <c r="J2503" s="75">
        <v>12</v>
      </c>
      <c r="K2503" s="76" t="str">
        <f>VLOOKUP(Tabelle2[[#This Row],[Kunden Nr.]],KUNDEN!A:G,7)</f>
        <v>Qerimi</v>
      </c>
      <c r="L2503" s="76">
        <f>VLOOKUP(Tabelle2[[#This Row],[Artikel]],Produkte!A:H,8)</f>
        <v>0.2</v>
      </c>
    </row>
    <row r="2504" spans="1:12" x14ac:dyDescent="0.2">
      <c r="A2504" s="75" t="s">
        <v>995</v>
      </c>
      <c r="B2504" s="79">
        <v>46127</v>
      </c>
      <c r="C2504" s="89">
        <v>61.2</v>
      </c>
      <c r="D2504" s="75"/>
      <c r="E2504" s="75"/>
      <c r="F2504" s="75">
        <v>10353</v>
      </c>
      <c r="G2504" s="76" t="str">
        <f>VLOOKUP(Tabelle2[[#This Row],[Kunden Nr.]],KUNDEN!A:B,2,0)</f>
        <v>TREND CERAMIKA</v>
      </c>
      <c r="H2504" s="75">
        <v>35113</v>
      </c>
      <c r="I2504" s="76" t="str">
        <f>VLOOKUP(Tabelle2[[#This Row],[Artikel]],Produkte!A:B,2,0)</f>
        <v>M-ONE Sanitar Silikon</v>
      </c>
      <c r="J2504" s="75">
        <v>12</v>
      </c>
      <c r="K2504" s="76" t="str">
        <f>VLOOKUP(Tabelle2[[#This Row],[Kunden Nr.]],KUNDEN!A:G,7)</f>
        <v>Qerimi</v>
      </c>
      <c r="L2504" s="76">
        <f>VLOOKUP(Tabelle2[[#This Row],[Artikel]],Produkte!A:H,8)</f>
        <v>0.17</v>
      </c>
    </row>
    <row r="2505" spans="1:12" x14ac:dyDescent="0.2">
      <c r="A2505" s="75" t="s">
        <v>995</v>
      </c>
      <c r="B2505" s="79">
        <v>46127</v>
      </c>
      <c r="C2505" s="75"/>
      <c r="D2505" s="75"/>
      <c r="E2505" s="75"/>
      <c r="F2505" s="75">
        <v>10353</v>
      </c>
      <c r="G2505" s="76" t="str">
        <f>VLOOKUP(Tabelle2[[#This Row],[Kunden Nr.]],KUNDEN!A:B,2,0)</f>
        <v>TREND CERAMIKA</v>
      </c>
      <c r="H2505" s="75">
        <v>51611</v>
      </c>
      <c r="I2505" s="76" t="str">
        <f>VLOOKUP(Tabelle2[[#This Row],[Artikel]],Produkte!A:B,2,0)</f>
        <v>universal akryl</v>
      </c>
      <c r="J2505" s="75">
        <v>12</v>
      </c>
      <c r="K2505" s="76" t="str">
        <f>VLOOKUP(Tabelle2[[#This Row],[Kunden Nr.]],KUNDEN!A:G,7)</f>
        <v>Qerimi</v>
      </c>
      <c r="L2505" s="76">
        <f>VLOOKUP(Tabelle2[[#This Row],[Artikel]],Produkte!A:H,8)</f>
        <v>0.06</v>
      </c>
    </row>
    <row r="2506" spans="1:12" x14ac:dyDescent="0.2">
      <c r="A2506" s="75" t="s">
        <v>770</v>
      </c>
      <c r="B2506" s="79">
        <v>46127</v>
      </c>
      <c r="C2506" s="89">
        <v>87</v>
      </c>
      <c r="D2506" s="75"/>
      <c r="E2506" s="75"/>
      <c r="F2506" s="75">
        <v>40003</v>
      </c>
      <c r="G2506" s="76" t="str">
        <f>VLOOKUP(Tabelle2[[#This Row],[Kunden Nr.]],KUNDEN!A:B,2,0)</f>
        <v>ARBENI BIOBLIC</v>
      </c>
      <c r="H2506" s="75">
        <v>20001</v>
      </c>
      <c r="I2506" s="76" t="str">
        <f>VLOOKUP(Tabelle2[[#This Row],[Artikel]],Produkte!A:B,2,0)</f>
        <v>BioBlic Universalreiniger</v>
      </c>
      <c r="J2506" s="75">
        <v>10</v>
      </c>
      <c r="K2506" s="76">
        <f>VLOOKUP(Tabelle2[[#This Row],[Kunden Nr.]],KUNDEN!A:G,7)</f>
        <v>0</v>
      </c>
      <c r="L2506" s="76">
        <f>VLOOKUP(Tabelle2[[#This Row],[Artikel]],Produkte!A:H,8)</f>
        <v>0.30000000000000004</v>
      </c>
    </row>
    <row r="2507" spans="1:12" x14ac:dyDescent="0.2">
      <c r="A2507" s="75" t="s">
        <v>770</v>
      </c>
      <c r="B2507" s="79">
        <v>46127</v>
      </c>
      <c r="C2507" s="75"/>
      <c r="D2507" s="75"/>
      <c r="E2507" s="75"/>
      <c r="F2507" s="75">
        <v>40003</v>
      </c>
      <c r="G2507" s="76" t="str">
        <f>VLOOKUP(Tabelle2[[#This Row],[Kunden Nr.]],KUNDEN!A:B,2,0)</f>
        <v>ARBENI BIOBLIC</v>
      </c>
      <c r="H2507" s="75">
        <v>30277</v>
      </c>
      <c r="I2507" s="76" t="str">
        <f>VLOOKUP(Tabelle2[[#This Row],[Artikel]],Produkte!A:B,2,0)</f>
        <v>KAMIN CLEANER</v>
      </c>
      <c r="J2507" s="75">
        <v>10</v>
      </c>
      <c r="K2507" s="76">
        <f>VLOOKUP(Tabelle2[[#This Row],[Kunden Nr.]],KUNDEN!A:G,7)</f>
        <v>0</v>
      </c>
      <c r="L2507" s="76">
        <f>VLOOKUP(Tabelle2[[#This Row],[Artikel]],Produkte!A:H,8)</f>
        <v>0.5</v>
      </c>
    </row>
    <row r="2508" spans="1:12" x14ac:dyDescent="0.2">
      <c r="A2508" s="75" t="s">
        <v>770</v>
      </c>
      <c r="B2508" s="79">
        <v>46127</v>
      </c>
      <c r="C2508" s="75"/>
      <c r="D2508" s="75"/>
      <c r="E2508" s="75"/>
      <c r="F2508" s="75">
        <v>40003</v>
      </c>
      <c r="G2508" s="76" t="str">
        <f>VLOOKUP(Tabelle2[[#This Row],[Kunden Nr.]],KUNDEN!A:B,2,0)</f>
        <v>ARBENI BIOBLIC</v>
      </c>
      <c r="H2508" s="75">
        <v>30275</v>
      </c>
      <c r="I2508" s="76" t="str">
        <f>VLOOKUP(Tabelle2[[#This Row],[Artikel]],Produkte!A:B,2,0)</f>
        <v>Blic Blic Sanitärreiniger</v>
      </c>
      <c r="J2508" s="75">
        <v>60</v>
      </c>
      <c r="K2508" s="76">
        <f>VLOOKUP(Tabelle2[[#This Row],[Kunden Nr.]],KUNDEN!A:G,7)</f>
        <v>0</v>
      </c>
      <c r="L2508" s="76">
        <f>VLOOKUP(Tabelle2[[#This Row],[Artikel]],Produkte!A:H,8)</f>
        <v>0.30000000000000004</v>
      </c>
    </row>
    <row r="2509" spans="1:12" x14ac:dyDescent="0.2">
      <c r="A2509" s="75" t="s">
        <v>614</v>
      </c>
      <c r="B2509" s="79">
        <v>46127</v>
      </c>
      <c r="C2509" s="89">
        <v>123.6</v>
      </c>
      <c r="D2509" s="75"/>
      <c r="E2509" s="75"/>
      <c r="F2509" s="75">
        <v>20301</v>
      </c>
      <c r="G2509" s="76" t="str">
        <f>VLOOKUP(Tabelle2[[#This Row],[Kunden Nr.]],KUNDEN!A:B,2,0)</f>
        <v>HAZROLLI</v>
      </c>
      <c r="H2509" s="75">
        <v>66701</v>
      </c>
      <c r="I2509" s="76" t="str">
        <f>VLOOKUP(Tabelle2[[#This Row],[Artikel]],Produkte!A:B,2,0)</f>
        <v>PROFIMONT EXTREME</v>
      </c>
      <c r="J2509" s="75">
        <v>12</v>
      </c>
      <c r="K2509" s="76" t="str">
        <f>VLOOKUP(Tabelle2[[#This Row],[Kunden Nr.]],KUNDEN!A:G,7)</f>
        <v>Mensuri</v>
      </c>
      <c r="L2509" s="76">
        <f>VLOOKUP(Tabelle2[[#This Row],[Artikel]],Produkte!A:H,8)</f>
        <v>0.2</v>
      </c>
    </row>
    <row r="2510" spans="1:12" x14ac:dyDescent="0.2">
      <c r="A2510" s="75" t="s">
        <v>614</v>
      </c>
      <c r="B2510" s="79">
        <v>46127</v>
      </c>
      <c r="C2510" s="75"/>
      <c r="D2510" s="75"/>
      <c r="E2510" s="75"/>
      <c r="F2510" s="75">
        <v>20301</v>
      </c>
      <c r="G2510" s="76" t="str">
        <f>VLOOKUP(Tabelle2[[#This Row],[Kunden Nr.]],KUNDEN!A:B,2,0)</f>
        <v>HAZROLLI</v>
      </c>
      <c r="H2510" s="75">
        <v>56117</v>
      </c>
      <c r="I2510" s="76" t="str">
        <f>VLOOKUP(Tabelle2[[#This Row],[Artikel]],Produkte!A:B,2,0)</f>
        <v>M ONE UBS</v>
      </c>
      <c r="J2510" s="75">
        <v>6</v>
      </c>
      <c r="K2510" s="76" t="str">
        <f>VLOOKUP(Tabelle2[[#This Row],[Kunden Nr.]],KUNDEN!A:G,7)</f>
        <v>Mensuri</v>
      </c>
      <c r="L2510" s="76">
        <f>VLOOKUP(Tabelle2[[#This Row],[Artikel]],Produkte!A:H,8)</f>
        <v>0.2</v>
      </c>
    </row>
    <row r="2511" spans="1:12" x14ac:dyDescent="0.2">
      <c r="A2511" s="75" t="s">
        <v>614</v>
      </c>
      <c r="B2511" s="79">
        <v>46127</v>
      </c>
      <c r="C2511" s="75"/>
      <c r="D2511" s="75"/>
      <c r="E2511" s="75"/>
      <c r="F2511" s="75">
        <v>20301</v>
      </c>
      <c r="G2511" s="76" t="str">
        <f>VLOOKUP(Tabelle2[[#This Row],[Kunden Nr.]],KUNDEN!A:B,2,0)</f>
        <v>HAZROLLI</v>
      </c>
      <c r="H2511" s="75">
        <v>51936</v>
      </c>
      <c r="I2511" s="76" t="str">
        <f>VLOOKUP(Tabelle2[[#This Row],[Artikel]],Produkte!A:B,2,0)</f>
        <v>M ONE SCHWARZ GLÄNZED</v>
      </c>
      <c r="J2511" s="75">
        <v>6</v>
      </c>
      <c r="K2511" s="76" t="str">
        <f>VLOOKUP(Tabelle2[[#This Row],[Kunden Nr.]],KUNDEN!A:G,7)</f>
        <v>Mensuri</v>
      </c>
      <c r="L2511" s="76">
        <f>VLOOKUP(Tabelle2[[#This Row],[Artikel]],Produkte!A:H,8)</f>
        <v>0.15</v>
      </c>
    </row>
    <row r="2512" spans="1:12" x14ac:dyDescent="0.2">
      <c r="A2512" s="75" t="s">
        <v>614</v>
      </c>
      <c r="B2512" s="79">
        <v>46127</v>
      </c>
      <c r="C2512" s="75"/>
      <c r="D2512" s="75"/>
      <c r="E2512" s="75"/>
      <c r="F2512" s="75">
        <v>20301</v>
      </c>
      <c r="G2512" s="76" t="str">
        <f>VLOOKUP(Tabelle2[[#This Row],[Kunden Nr.]],KUNDEN!A:B,2,0)</f>
        <v>HAZROLLI</v>
      </c>
      <c r="H2512" s="75">
        <v>51736</v>
      </c>
      <c r="I2512" s="76" t="str">
        <f>VLOOKUP(Tabelle2[[#This Row],[Artikel]],Produkte!A:B,2,0)</f>
        <v>M ONE SCHWARZ MATT</v>
      </c>
      <c r="J2512" s="75">
        <v>6</v>
      </c>
      <c r="K2512" s="76" t="str">
        <f>VLOOKUP(Tabelle2[[#This Row],[Kunden Nr.]],KUNDEN!A:G,7)</f>
        <v>Mensuri</v>
      </c>
      <c r="L2512" s="76">
        <f>VLOOKUP(Tabelle2[[#This Row],[Artikel]],Produkte!A:H,8)</f>
        <v>0.15</v>
      </c>
    </row>
    <row r="2513" spans="1:12" x14ac:dyDescent="0.2">
      <c r="A2513" s="75" t="s">
        <v>1041</v>
      </c>
      <c r="B2513" s="79">
        <v>46127</v>
      </c>
      <c r="C2513" s="89">
        <v>80</v>
      </c>
      <c r="D2513" s="75"/>
      <c r="E2513" s="75"/>
      <c r="F2513" s="75">
        <v>20223</v>
      </c>
      <c r="G2513" s="76" t="str">
        <f>VLOOKUP(Tabelle2[[#This Row],[Kunden Nr.]],KUNDEN!A:B,2,0)</f>
        <v>GER COLORS</v>
      </c>
      <c r="H2513" s="75">
        <v>12000</v>
      </c>
      <c r="I2513" s="76" t="str">
        <f>VLOOKUP(Tabelle2[[#This Row],[Artikel]],Produkte!A:B,2,0)</f>
        <v>BAU CLEAN</v>
      </c>
      <c r="J2513" s="75">
        <v>10</v>
      </c>
      <c r="K2513" s="76" t="str">
        <f>VLOOKUP(Tabelle2[[#This Row],[Kunden Nr.]],KUNDEN!A:G,7)</f>
        <v>Mensuri</v>
      </c>
      <c r="L2513" s="76">
        <f>VLOOKUP(Tabelle2[[#This Row],[Artikel]],Produkte!A:H,8)</f>
        <v>0.5</v>
      </c>
    </row>
    <row r="2514" spans="1:12" x14ac:dyDescent="0.2">
      <c r="A2514" s="75" t="s">
        <v>1057</v>
      </c>
      <c r="B2514" s="79">
        <v>46127</v>
      </c>
      <c r="C2514" s="89">
        <v>120</v>
      </c>
      <c r="D2514" s="75"/>
      <c r="E2514" s="75"/>
      <c r="F2514" s="75">
        <v>20324</v>
      </c>
      <c r="G2514" s="76" t="str">
        <f>VLOOKUP(Tabelle2[[#This Row],[Kunden Nr.]],KUNDEN!A:B,2,0)</f>
        <v>BAU HOME</v>
      </c>
      <c r="H2514" s="75">
        <v>35110</v>
      </c>
      <c r="I2514" s="76" t="str">
        <f>VLOOKUP(Tabelle2[[#This Row],[Artikel]],Produkte!A:B,2,0)</f>
        <v>M-ONE Sanitar Silikon</v>
      </c>
      <c r="J2514" s="75">
        <v>12</v>
      </c>
      <c r="K2514" s="76" t="str">
        <f>VLOOKUP(Tabelle2[[#This Row],[Kunden Nr.]],KUNDEN!A:G,7)</f>
        <v>Mensuri</v>
      </c>
      <c r="L2514" s="76">
        <f>VLOOKUP(Tabelle2[[#This Row],[Artikel]],Produkte!A:H,8)</f>
        <v>0.17</v>
      </c>
    </row>
    <row r="2515" spans="1:12" x14ac:dyDescent="0.2">
      <c r="A2515" s="75" t="s">
        <v>1057</v>
      </c>
      <c r="B2515" s="79">
        <v>46127</v>
      </c>
      <c r="C2515" s="75"/>
      <c r="D2515" s="75"/>
      <c r="E2515" s="75"/>
      <c r="F2515" s="75">
        <v>20324</v>
      </c>
      <c r="G2515" s="76" t="str">
        <f>VLOOKUP(Tabelle2[[#This Row],[Kunden Nr.]],KUNDEN!A:B,2,0)</f>
        <v>BAU HOME</v>
      </c>
      <c r="H2515" s="75">
        <v>35111</v>
      </c>
      <c r="I2515" s="76" t="str">
        <f>VLOOKUP(Tabelle2[[#This Row],[Artikel]],Produkte!A:B,2,0)</f>
        <v>M-ONE Sanitar Silikon</v>
      </c>
      <c r="J2515" s="75">
        <v>12</v>
      </c>
      <c r="K2515" s="76" t="str">
        <f>VLOOKUP(Tabelle2[[#This Row],[Kunden Nr.]],KUNDEN!A:G,7)</f>
        <v>Mensuri</v>
      </c>
      <c r="L2515" s="76">
        <f>VLOOKUP(Tabelle2[[#This Row],[Artikel]],Produkte!A:H,8)</f>
        <v>0.17</v>
      </c>
    </row>
    <row r="2516" spans="1:12" x14ac:dyDescent="0.2">
      <c r="A2516" s="75" t="s">
        <v>1057</v>
      </c>
      <c r="B2516" s="79">
        <v>46127</v>
      </c>
      <c r="C2516" s="75"/>
      <c r="D2516" s="75"/>
      <c r="E2516" s="75"/>
      <c r="F2516" s="75">
        <v>20324</v>
      </c>
      <c r="G2516" s="76" t="str">
        <f>VLOOKUP(Tabelle2[[#This Row],[Kunden Nr.]],KUNDEN!A:B,2,0)</f>
        <v>BAU HOME</v>
      </c>
      <c r="H2516" s="75">
        <v>51612</v>
      </c>
      <c r="I2516" s="76" t="str">
        <f>VLOOKUP(Tabelle2[[#This Row],[Artikel]],Produkte!A:B,2,0)</f>
        <v>struktural akryl</v>
      </c>
      <c r="J2516" s="75">
        <v>12</v>
      </c>
      <c r="K2516" s="76" t="str">
        <f>VLOOKUP(Tabelle2[[#This Row],[Kunden Nr.]],KUNDEN!A:G,7)</f>
        <v>Mensuri</v>
      </c>
      <c r="L2516" s="76">
        <f>VLOOKUP(Tabelle2[[#This Row],[Artikel]],Produkte!A:H,8)</f>
        <v>0.06</v>
      </c>
    </row>
    <row r="2517" spans="1:12" x14ac:dyDescent="0.2">
      <c r="A2517" s="75" t="s">
        <v>618</v>
      </c>
      <c r="B2517" s="79">
        <v>46127</v>
      </c>
      <c r="C2517" s="89">
        <v>280.8</v>
      </c>
      <c r="D2517" s="75"/>
      <c r="E2517" s="75"/>
      <c r="F2517" s="75">
        <v>20307</v>
      </c>
      <c r="G2517" s="76" t="str">
        <f>VLOOKUP(Tabelle2[[#This Row],[Kunden Nr.]],KUNDEN!A:B,2,0)</f>
        <v>CONDOR</v>
      </c>
      <c r="H2517" s="75">
        <v>66701</v>
      </c>
      <c r="I2517" s="76" t="str">
        <f>VLOOKUP(Tabelle2[[#This Row],[Artikel]],Produkte!A:B,2,0)</f>
        <v>PROFIMONT EXTREME</v>
      </c>
      <c r="J2517" s="75">
        <v>36</v>
      </c>
      <c r="K2517" s="76" t="str">
        <f>VLOOKUP(Tabelle2[[#This Row],[Kunden Nr.]],KUNDEN!A:G,7)</f>
        <v>Mensuri</v>
      </c>
      <c r="L2517" s="76">
        <f>VLOOKUP(Tabelle2[[#This Row],[Artikel]],Produkte!A:H,8)</f>
        <v>0.2</v>
      </c>
    </row>
    <row r="2518" spans="1:12" x14ac:dyDescent="0.2">
      <c r="A2518" s="75" t="s">
        <v>618</v>
      </c>
      <c r="B2518" s="79">
        <v>46127</v>
      </c>
      <c r="C2518" s="75"/>
      <c r="D2518" s="75"/>
      <c r="E2518" s="75"/>
      <c r="F2518" s="75">
        <v>20307</v>
      </c>
      <c r="G2518" s="76" t="str">
        <f>VLOOKUP(Tabelle2[[#This Row],[Kunden Nr.]],KUNDEN!A:B,2,0)</f>
        <v>CONDOR</v>
      </c>
      <c r="H2518" s="75">
        <v>51936</v>
      </c>
      <c r="I2518" s="76" t="str">
        <f>VLOOKUP(Tabelle2[[#This Row],[Artikel]],Produkte!A:B,2,0)</f>
        <v>M ONE SCHWARZ GLÄNZED</v>
      </c>
      <c r="J2518" s="75">
        <v>12</v>
      </c>
      <c r="K2518" s="76" t="str">
        <f>VLOOKUP(Tabelle2[[#This Row],[Kunden Nr.]],KUNDEN!A:G,7)</f>
        <v>Mensuri</v>
      </c>
      <c r="L2518" s="76">
        <f>VLOOKUP(Tabelle2[[#This Row],[Artikel]],Produkte!A:H,8)</f>
        <v>0.15</v>
      </c>
    </row>
    <row r="2519" spans="1:12" x14ac:dyDescent="0.2">
      <c r="A2519" s="75" t="s">
        <v>618</v>
      </c>
      <c r="B2519" s="79">
        <v>46127</v>
      </c>
      <c r="C2519" s="75"/>
      <c r="D2519" s="75"/>
      <c r="E2519" s="75"/>
      <c r="F2519" s="75">
        <v>20307</v>
      </c>
      <c r="G2519" s="76" t="str">
        <f>VLOOKUP(Tabelle2[[#This Row],[Kunden Nr.]],KUNDEN!A:B,2,0)</f>
        <v>CONDOR</v>
      </c>
      <c r="H2519" s="75">
        <v>51736</v>
      </c>
      <c r="I2519" s="76" t="str">
        <f>VLOOKUP(Tabelle2[[#This Row],[Artikel]],Produkte!A:B,2,0)</f>
        <v>M ONE SCHWARZ MATT</v>
      </c>
      <c r="J2519" s="75">
        <v>12</v>
      </c>
      <c r="K2519" s="76" t="str">
        <f>VLOOKUP(Tabelle2[[#This Row],[Kunden Nr.]],KUNDEN!A:G,7)</f>
        <v>Mensuri</v>
      </c>
      <c r="L2519" s="76">
        <f>VLOOKUP(Tabelle2[[#This Row],[Artikel]],Produkte!A:H,8)</f>
        <v>0.15</v>
      </c>
    </row>
    <row r="2520" spans="1:12" x14ac:dyDescent="0.2">
      <c r="A2520" s="75" t="s">
        <v>618</v>
      </c>
      <c r="B2520" s="79">
        <v>46127</v>
      </c>
      <c r="C2520" s="75"/>
      <c r="D2520" s="75"/>
      <c r="E2520" s="75"/>
      <c r="F2520" s="75">
        <v>20307</v>
      </c>
      <c r="G2520" s="76" t="str">
        <f>VLOOKUP(Tabelle2[[#This Row],[Kunden Nr.]],KUNDEN!A:B,2,0)</f>
        <v>CONDOR</v>
      </c>
      <c r="H2520" s="75">
        <v>54412</v>
      </c>
      <c r="I2520" s="76" t="str">
        <f>VLOOKUP(Tabelle2[[#This Row],[Artikel]],Produkte!A:B,2,0)</f>
        <v>beMAKER Bremsen&amp;Teile Reininger</v>
      </c>
      <c r="J2520" s="75">
        <v>6</v>
      </c>
      <c r="K2520" s="76" t="str">
        <f>VLOOKUP(Tabelle2[[#This Row],[Kunden Nr.]],KUNDEN!A:G,7)</f>
        <v>Mensuri</v>
      </c>
      <c r="L2520" s="76">
        <f>VLOOKUP(Tabelle2[[#This Row],[Artikel]],Produkte!A:H,8)</f>
        <v>0.2</v>
      </c>
    </row>
    <row r="2521" spans="1:12" x14ac:dyDescent="0.2">
      <c r="A2521" s="75" t="s">
        <v>618</v>
      </c>
      <c r="B2521" s="79">
        <v>46127</v>
      </c>
      <c r="C2521" s="75"/>
      <c r="D2521" s="75"/>
      <c r="E2521" s="75"/>
      <c r="F2521" s="75">
        <v>20307</v>
      </c>
      <c r="G2521" s="76" t="str">
        <f>VLOOKUP(Tabelle2[[#This Row],[Kunden Nr.]],KUNDEN!A:B,2,0)</f>
        <v>CONDOR</v>
      </c>
      <c r="H2521" s="75">
        <v>35110</v>
      </c>
      <c r="I2521" s="76" t="str">
        <f>VLOOKUP(Tabelle2[[#This Row],[Artikel]],Produkte!A:B,2,0)</f>
        <v>M-ONE Sanitar Silikon</v>
      </c>
      <c r="J2521" s="75">
        <v>12</v>
      </c>
      <c r="K2521" s="76" t="str">
        <f>VLOOKUP(Tabelle2[[#This Row],[Kunden Nr.]],KUNDEN!A:G,7)</f>
        <v>Mensuri</v>
      </c>
      <c r="L2521" s="76">
        <f>VLOOKUP(Tabelle2[[#This Row],[Artikel]],Produkte!A:H,8)</f>
        <v>0.17</v>
      </c>
    </row>
    <row r="2522" spans="1:12" x14ac:dyDescent="0.2">
      <c r="A2522" s="75" t="s">
        <v>618</v>
      </c>
      <c r="B2522" s="79">
        <v>46127</v>
      </c>
      <c r="C2522" s="75"/>
      <c r="D2522" s="75"/>
      <c r="E2522" s="75"/>
      <c r="F2522" s="75">
        <v>20307</v>
      </c>
      <c r="G2522" s="76" t="str">
        <f>VLOOKUP(Tabelle2[[#This Row],[Kunden Nr.]],KUNDEN!A:B,2,0)</f>
        <v>CONDOR</v>
      </c>
      <c r="H2522" s="75">
        <v>35111</v>
      </c>
      <c r="I2522" s="76" t="str">
        <f>VLOOKUP(Tabelle2[[#This Row],[Artikel]],Produkte!A:B,2,0)</f>
        <v>M-ONE Sanitar Silikon</v>
      </c>
      <c r="J2522" s="75">
        <v>12</v>
      </c>
      <c r="K2522" s="76" t="str">
        <f>VLOOKUP(Tabelle2[[#This Row],[Kunden Nr.]],KUNDEN!A:G,7)</f>
        <v>Mensuri</v>
      </c>
      <c r="L2522" s="76">
        <f>VLOOKUP(Tabelle2[[#This Row],[Artikel]],Produkte!A:H,8)</f>
        <v>0.17</v>
      </c>
    </row>
    <row r="2523" spans="1:12" x14ac:dyDescent="0.2">
      <c r="A2523" s="75" t="s">
        <v>618</v>
      </c>
      <c r="B2523" s="79">
        <v>46127</v>
      </c>
      <c r="C2523" s="75"/>
      <c r="D2523" s="75"/>
      <c r="E2523" s="75"/>
      <c r="F2523" s="75">
        <v>20307</v>
      </c>
      <c r="G2523" s="76" t="str">
        <f>VLOOKUP(Tabelle2[[#This Row],[Kunden Nr.]],KUNDEN!A:B,2,0)</f>
        <v>CONDOR</v>
      </c>
      <c r="H2523" s="75">
        <v>35113</v>
      </c>
      <c r="I2523" s="76" t="str">
        <f>VLOOKUP(Tabelle2[[#This Row],[Artikel]],Produkte!A:B,2,0)</f>
        <v>M-ONE Sanitar Silikon</v>
      </c>
      <c r="J2523" s="75">
        <v>12</v>
      </c>
      <c r="K2523" s="76" t="str">
        <f>VLOOKUP(Tabelle2[[#This Row],[Kunden Nr.]],KUNDEN!A:G,7)</f>
        <v>Mensuri</v>
      </c>
      <c r="L2523" s="76">
        <f>VLOOKUP(Tabelle2[[#This Row],[Artikel]],Produkte!A:H,8)</f>
        <v>0.17</v>
      </c>
    </row>
    <row r="2524" spans="1:12" x14ac:dyDescent="0.2">
      <c r="A2524" s="75" t="s">
        <v>618</v>
      </c>
      <c r="B2524" s="79">
        <v>46127</v>
      </c>
      <c r="C2524" s="75"/>
      <c r="D2524" s="75"/>
      <c r="E2524" s="75"/>
      <c r="F2524" s="75">
        <v>20307</v>
      </c>
      <c r="G2524" s="76" t="str">
        <f>VLOOKUP(Tabelle2[[#This Row],[Kunden Nr.]],KUNDEN!A:B,2,0)</f>
        <v>CONDOR</v>
      </c>
      <c r="H2524" s="75">
        <v>35114</v>
      </c>
      <c r="I2524" s="76" t="str">
        <f>VLOOKUP(Tabelle2[[#This Row],[Artikel]],Produkte!A:B,2,0)</f>
        <v>M-ONE Sanitar Silikon</v>
      </c>
      <c r="J2524" s="75">
        <v>12</v>
      </c>
      <c r="K2524" s="76" t="str">
        <f>VLOOKUP(Tabelle2[[#This Row],[Kunden Nr.]],KUNDEN!A:G,7)</f>
        <v>Mensuri</v>
      </c>
      <c r="L2524" s="76">
        <f>VLOOKUP(Tabelle2[[#This Row],[Artikel]],Produkte!A:H,8)</f>
        <v>0.17</v>
      </c>
    </row>
    <row r="2525" spans="1:12" x14ac:dyDescent="0.2">
      <c r="A2525" s="75" t="s">
        <v>618</v>
      </c>
      <c r="B2525" s="79">
        <v>46127</v>
      </c>
      <c r="C2525" s="75"/>
      <c r="D2525" s="75"/>
      <c r="E2525" s="75"/>
      <c r="F2525" s="75">
        <v>20307</v>
      </c>
      <c r="G2525" s="76" t="str">
        <f>VLOOKUP(Tabelle2[[#This Row],[Kunden Nr.]],KUNDEN!A:B,2,0)</f>
        <v>CONDOR</v>
      </c>
      <c r="H2525" s="75">
        <v>35128</v>
      </c>
      <c r="I2525" s="76" t="str">
        <f>VLOOKUP(Tabelle2[[#This Row],[Artikel]],Produkte!A:B,2,0)</f>
        <v>M-ONE Sanitar Silikon</v>
      </c>
      <c r="J2525" s="75">
        <v>12</v>
      </c>
      <c r="K2525" s="76" t="str">
        <f>VLOOKUP(Tabelle2[[#This Row],[Kunden Nr.]],KUNDEN!A:G,7)</f>
        <v>Mensuri</v>
      </c>
      <c r="L2525" s="76">
        <f>VLOOKUP(Tabelle2[[#This Row],[Artikel]],Produkte!A:H,8)</f>
        <v>0.17</v>
      </c>
    </row>
    <row r="2526" spans="1:12" x14ac:dyDescent="0.2">
      <c r="A2526" s="75" t="s">
        <v>618</v>
      </c>
      <c r="B2526" s="79">
        <v>46127</v>
      </c>
      <c r="C2526" s="75"/>
      <c r="D2526" s="75"/>
      <c r="E2526" s="75"/>
      <c r="F2526" s="75">
        <v>20307</v>
      </c>
      <c r="G2526" s="76" t="str">
        <f>VLOOKUP(Tabelle2[[#This Row],[Kunden Nr.]],KUNDEN!A:B,2,0)</f>
        <v>CONDOR</v>
      </c>
      <c r="H2526" s="75">
        <v>51612</v>
      </c>
      <c r="I2526" s="76" t="str">
        <f>VLOOKUP(Tabelle2[[#This Row],[Artikel]],Produkte!A:B,2,0)</f>
        <v>struktural akryl</v>
      </c>
      <c r="J2526" s="75">
        <v>12</v>
      </c>
      <c r="K2526" s="76" t="str">
        <f>VLOOKUP(Tabelle2[[#This Row],[Kunden Nr.]],KUNDEN!A:G,7)</f>
        <v>Mensuri</v>
      </c>
      <c r="L2526" s="76">
        <f>VLOOKUP(Tabelle2[[#This Row],[Artikel]],Produkte!A:H,8)</f>
        <v>0.06</v>
      </c>
    </row>
    <row r="2527" spans="1:12" x14ac:dyDescent="0.2">
      <c r="A2527" s="75" t="s">
        <v>1307</v>
      </c>
      <c r="B2527" s="79">
        <v>46127</v>
      </c>
      <c r="C2527" s="89">
        <v>193.8</v>
      </c>
      <c r="D2527" s="75"/>
      <c r="E2527" s="75"/>
      <c r="F2527" s="75">
        <v>20321</v>
      </c>
      <c r="G2527" s="76" t="str">
        <f>VLOOKUP(Tabelle2[[#This Row],[Kunden Nr.]],KUNDEN!A:B,2,0)</f>
        <v>BEREQETI</v>
      </c>
      <c r="H2527" s="75">
        <v>35121</v>
      </c>
      <c r="I2527" s="76" t="str">
        <f>VLOOKUP(Tabelle2[[#This Row],[Artikel]],Produkte!A:B,2,0)</f>
        <v>M-ONE Sanitar Silikon</v>
      </c>
      <c r="J2527" s="75">
        <v>36</v>
      </c>
      <c r="K2527" s="76" t="str">
        <f>VLOOKUP(Tabelle2[[#This Row],[Kunden Nr.]],KUNDEN!A:G,7)</f>
        <v>Mensuri</v>
      </c>
      <c r="L2527" s="76">
        <f>VLOOKUP(Tabelle2[[#This Row],[Artikel]],Produkte!A:H,8)</f>
        <v>0.17</v>
      </c>
    </row>
    <row r="2528" spans="1:12" x14ac:dyDescent="0.2">
      <c r="A2528" s="75" t="s">
        <v>1307</v>
      </c>
      <c r="B2528" s="79">
        <v>46127</v>
      </c>
      <c r="C2528" s="75"/>
      <c r="D2528" s="75"/>
      <c r="E2528" s="75"/>
      <c r="F2528" s="75">
        <v>20321</v>
      </c>
      <c r="G2528" s="76" t="str">
        <f>VLOOKUP(Tabelle2[[#This Row],[Kunden Nr.]],KUNDEN!A:B,2,0)</f>
        <v>BEREQETI</v>
      </c>
      <c r="H2528" s="75">
        <v>51612</v>
      </c>
      <c r="I2528" s="76" t="str">
        <f>VLOOKUP(Tabelle2[[#This Row],[Artikel]],Produkte!A:B,2,0)</f>
        <v>struktural akryl</v>
      </c>
      <c r="J2528" s="75">
        <v>24</v>
      </c>
      <c r="K2528" s="76" t="str">
        <f>VLOOKUP(Tabelle2[[#This Row],[Kunden Nr.]],KUNDEN!A:G,7)</f>
        <v>Mensuri</v>
      </c>
      <c r="L2528" s="76">
        <f>VLOOKUP(Tabelle2[[#This Row],[Artikel]],Produkte!A:H,8)</f>
        <v>0.06</v>
      </c>
    </row>
    <row r="2529" spans="1:12" x14ac:dyDescent="0.2">
      <c r="A2529" s="75" t="s">
        <v>617</v>
      </c>
      <c r="B2529" s="79">
        <v>46127</v>
      </c>
      <c r="C2529" s="89">
        <v>92.4</v>
      </c>
      <c r="D2529" s="75"/>
      <c r="E2529" s="75"/>
      <c r="F2529" s="75">
        <v>20306</v>
      </c>
      <c r="G2529" s="76" t="str">
        <f>VLOOKUP(Tabelle2[[#This Row],[Kunden Nr.]],KUNDEN!A:B,2,0)</f>
        <v>FITIMI</v>
      </c>
      <c r="H2529" s="75">
        <v>35110</v>
      </c>
      <c r="I2529" s="76" t="str">
        <f>VLOOKUP(Tabelle2[[#This Row],[Artikel]],Produkte!A:B,2,0)</f>
        <v>M-ONE Sanitar Silikon</v>
      </c>
      <c r="J2529" s="75">
        <v>12</v>
      </c>
      <c r="K2529" s="76" t="str">
        <f>VLOOKUP(Tabelle2[[#This Row],[Kunden Nr.]],KUNDEN!A:G,7)</f>
        <v>Mensuri</v>
      </c>
      <c r="L2529" s="76">
        <f>VLOOKUP(Tabelle2[[#This Row],[Artikel]],Produkte!A:H,8)</f>
        <v>0.17</v>
      </c>
    </row>
    <row r="2530" spans="1:12" x14ac:dyDescent="0.2">
      <c r="A2530" s="75" t="s">
        <v>617</v>
      </c>
      <c r="B2530" s="79">
        <v>46127</v>
      </c>
      <c r="C2530" s="75"/>
      <c r="D2530" s="75"/>
      <c r="E2530" s="75"/>
      <c r="F2530" s="75">
        <v>20306</v>
      </c>
      <c r="G2530" s="76" t="str">
        <f>VLOOKUP(Tabelle2[[#This Row],[Kunden Nr.]],KUNDEN!A:B,2,0)</f>
        <v>FITIMI</v>
      </c>
      <c r="H2530" s="75">
        <v>35121</v>
      </c>
      <c r="I2530" s="76" t="str">
        <f>VLOOKUP(Tabelle2[[#This Row],[Artikel]],Produkte!A:B,2,0)</f>
        <v>M-ONE Sanitar Silikon</v>
      </c>
      <c r="J2530" s="75">
        <v>12</v>
      </c>
      <c r="K2530" s="76" t="str">
        <f>VLOOKUP(Tabelle2[[#This Row],[Kunden Nr.]],KUNDEN!A:G,7)</f>
        <v>Mensuri</v>
      </c>
      <c r="L2530" s="76">
        <f>VLOOKUP(Tabelle2[[#This Row],[Artikel]],Produkte!A:H,8)</f>
        <v>0.17</v>
      </c>
    </row>
    <row r="2531" spans="1:12" x14ac:dyDescent="0.2">
      <c r="A2531" s="75" t="s">
        <v>907</v>
      </c>
      <c r="B2531" s="79">
        <v>46127</v>
      </c>
      <c r="C2531" s="89">
        <v>103.9</v>
      </c>
      <c r="D2531" s="75"/>
      <c r="E2531" s="75"/>
      <c r="F2531" s="75">
        <v>20322</v>
      </c>
      <c r="G2531" s="76" t="str">
        <f>VLOOKUP(Tabelle2[[#This Row],[Kunden Nr.]],KUNDEN!A:B,2,0)</f>
        <v>HYSENAJ</v>
      </c>
      <c r="H2531" s="75">
        <v>50912</v>
      </c>
      <c r="I2531" s="76" t="str">
        <f>VLOOKUP(Tabelle2[[#This Row],[Artikel]],Produkte!A:B,2,0)</f>
        <v>DICHTUNG</v>
      </c>
      <c r="J2531" s="75">
        <v>12</v>
      </c>
      <c r="K2531" s="76" t="str">
        <f>VLOOKUP(Tabelle2[[#This Row],[Kunden Nr.]],KUNDEN!A:G,7)</f>
        <v>Mensuri</v>
      </c>
      <c r="L2531" s="76">
        <f>VLOOKUP(Tabelle2[[#This Row],[Artikel]],Produkte!A:H,8)</f>
        <v>0.2</v>
      </c>
    </row>
    <row r="2532" spans="1:12" x14ac:dyDescent="0.2">
      <c r="A2532" s="75" t="s">
        <v>907</v>
      </c>
      <c r="B2532" s="79">
        <v>46127</v>
      </c>
      <c r="C2532" s="75"/>
      <c r="D2532" s="75"/>
      <c r="E2532" s="75"/>
      <c r="F2532" s="75">
        <v>20322</v>
      </c>
      <c r="G2532" s="76" t="str">
        <f>VLOOKUP(Tabelle2[[#This Row],[Kunden Nr.]],KUNDEN!A:B,2,0)</f>
        <v>HYSENAJ</v>
      </c>
      <c r="H2532" s="75">
        <v>44001</v>
      </c>
      <c r="I2532" s="76" t="str">
        <f>VLOOKUP(Tabelle2[[#This Row],[Artikel]],Produkte!A:B,2,0)</f>
        <v>Fettspray</v>
      </c>
      <c r="J2532" s="75">
        <v>6</v>
      </c>
      <c r="K2532" s="76" t="str">
        <f>VLOOKUP(Tabelle2[[#This Row],[Kunden Nr.]],KUNDEN!A:G,7)</f>
        <v>Mensuri</v>
      </c>
      <c r="L2532" s="76">
        <f>VLOOKUP(Tabelle2[[#This Row],[Artikel]],Produkte!A:H,8)</f>
        <v>0.2</v>
      </c>
    </row>
    <row r="2533" spans="1:12" x14ac:dyDescent="0.2">
      <c r="A2533" s="75" t="s">
        <v>624</v>
      </c>
      <c r="B2533" s="79">
        <v>46127</v>
      </c>
      <c r="C2533" s="89">
        <v>92.4</v>
      </c>
      <c r="D2533" s="75"/>
      <c r="E2533" s="75"/>
      <c r="F2533" s="75">
        <v>20314</v>
      </c>
      <c r="G2533" s="76" t="str">
        <f>VLOOKUP(Tabelle2[[#This Row],[Kunden Nr.]],KUNDEN!A:B,2,0)</f>
        <v>URA</v>
      </c>
      <c r="H2533" s="75">
        <v>35110</v>
      </c>
      <c r="I2533" s="76" t="str">
        <f>VLOOKUP(Tabelle2[[#This Row],[Artikel]],Produkte!A:B,2,0)</f>
        <v>M-ONE Sanitar Silikon</v>
      </c>
      <c r="J2533" s="75">
        <v>12</v>
      </c>
      <c r="K2533" s="76" t="str">
        <f>VLOOKUP(Tabelle2[[#This Row],[Kunden Nr.]],KUNDEN!A:G,7)</f>
        <v>Mensuri</v>
      </c>
      <c r="L2533" s="76">
        <f>VLOOKUP(Tabelle2[[#This Row],[Artikel]],Produkte!A:H,8)</f>
        <v>0.17</v>
      </c>
    </row>
    <row r="2534" spans="1:12" x14ac:dyDescent="0.2">
      <c r="A2534" s="75" t="s">
        <v>624</v>
      </c>
      <c r="B2534" s="79">
        <v>46127</v>
      </c>
      <c r="C2534" s="75"/>
      <c r="D2534" s="75"/>
      <c r="E2534" s="75"/>
      <c r="F2534" s="75">
        <v>20314</v>
      </c>
      <c r="G2534" s="76" t="str">
        <f>VLOOKUP(Tabelle2[[#This Row],[Kunden Nr.]],KUNDEN!A:B,2,0)</f>
        <v>URA</v>
      </c>
      <c r="H2534" s="75">
        <v>35111</v>
      </c>
      <c r="I2534" s="76" t="str">
        <f>VLOOKUP(Tabelle2[[#This Row],[Artikel]],Produkte!A:B,2,0)</f>
        <v>M-ONE Sanitar Silikon</v>
      </c>
      <c r="J2534" s="75">
        <v>12</v>
      </c>
      <c r="K2534" s="76" t="str">
        <f>VLOOKUP(Tabelle2[[#This Row],[Kunden Nr.]],KUNDEN!A:G,7)</f>
        <v>Mensuri</v>
      </c>
      <c r="L2534" s="76">
        <f>VLOOKUP(Tabelle2[[#This Row],[Artikel]],Produkte!A:H,8)</f>
        <v>0.17</v>
      </c>
    </row>
    <row r="2535" spans="1:12" x14ac:dyDescent="0.2">
      <c r="A2535" s="75" t="s">
        <v>623</v>
      </c>
      <c r="B2535" s="79">
        <v>46127</v>
      </c>
      <c r="C2535" s="89">
        <v>115.8</v>
      </c>
      <c r="D2535" s="75"/>
      <c r="E2535" s="75"/>
      <c r="F2535" s="75">
        <v>20313</v>
      </c>
      <c r="G2535" s="76" t="str">
        <f>VLOOKUP(Tabelle2[[#This Row],[Kunden Nr.]],KUNDEN!A:B,2,0)</f>
        <v>DURGUTI 3</v>
      </c>
      <c r="H2535" s="75">
        <v>35109</v>
      </c>
      <c r="I2535" s="76" t="str">
        <f>VLOOKUP(Tabelle2[[#This Row],[Artikel]],Produkte!A:B,2,0)</f>
        <v>M-ONE Sanitar Silikon</v>
      </c>
      <c r="J2535" s="75">
        <v>12</v>
      </c>
      <c r="K2535" s="76" t="str">
        <f>VLOOKUP(Tabelle2[[#This Row],[Kunden Nr.]],KUNDEN!A:G,7)</f>
        <v>Mensuri</v>
      </c>
      <c r="L2535" s="76">
        <f>VLOOKUP(Tabelle2[[#This Row],[Artikel]],Produkte!A:H,8)</f>
        <v>0.17</v>
      </c>
    </row>
    <row r="2536" spans="1:12" x14ac:dyDescent="0.2">
      <c r="A2536" s="75" t="s">
        <v>623</v>
      </c>
      <c r="B2536" s="79">
        <v>46127</v>
      </c>
      <c r="C2536" s="75"/>
      <c r="D2536" s="75"/>
      <c r="E2536" s="75"/>
      <c r="F2536" s="75">
        <v>20313</v>
      </c>
      <c r="G2536" s="76" t="str">
        <f>VLOOKUP(Tabelle2[[#This Row],[Kunden Nr.]],KUNDEN!A:B,2,0)</f>
        <v>DURGUTI 3</v>
      </c>
      <c r="H2536" s="75">
        <v>66701</v>
      </c>
      <c r="I2536" s="76" t="str">
        <f>VLOOKUP(Tabelle2[[#This Row],[Artikel]],Produkte!A:B,2,0)</f>
        <v>PROFIMONT EXTREME</v>
      </c>
      <c r="J2536" s="75">
        <v>12</v>
      </c>
      <c r="K2536" s="76" t="str">
        <f>VLOOKUP(Tabelle2[[#This Row],[Kunden Nr.]],KUNDEN!A:G,7)</f>
        <v>Mensuri</v>
      </c>
      <c r="L2536" s="76">
        <f>VLOOKUP(Tabelle2[[#This Row],[Artikel]],Produkte!A:H,8)</f>
        <v>0.2</v>
      </c>
    </row>
    <row r="2537" spans="1:12" x14ac:dyDescent="0.2">
      <c r="A2537" s="75" t="s">
        <v>558</v>
      </c>
      <c r="B2537" s="79">
        <v>46128</v>
      </c>
      <c r="C2537" s="89">
        <v>92.4</v>
      </c>
      <c r="D2537" s="75"/>
      <c r="E2537" s="75"/>
      <c r="F2537" s="75">
        <v>10418</v>
      </c>
      <c r="G2537" s="76" t="str">
        <f>VLOOKUP(Tabelle2[[#This Row],[Kunden Nr.]],KUNDEN!A:B,2,0)</f>
        <v>NDRIQIMI</v>
      </c>
      <c r="H2537" s="75">
        <v>35111</v>
      </c>
      <c r="I2537" s="76" t="str">
        <f>VLOOKUP(Tabelle2[[#This Row],[Artikel]],Produkte!A:B,2,0)</f>
        <v>M-ONE Sanitar Silikon</v>
      </c>
      <c r="J2537" s="75">
        <v>24</v>
      </c>
      <c r="K2537" s="76" t="str">
        <f>VLOOKUP(Tabelle2[[#This Row],[Kunden Nr.]],KUNDEN!A:G,7)</f>
        <v>Qerimi</v>
      </c>
      <c r="L2537" s="76">
        <f>VLOOKUP(Tabelle2[[#This Row],[Artikel]],Produkte!A:H,8)</f>
        <v>0.17</v>
      </c>
    </row>
    <row r="2538" spans="1:12" x14ac:dyDescent="0.2">
      <c r="A2538" s="75" t="s">
        <v>540</v>
      </c>
      <c r="B2538" s="79">
        <v>46128</v>
      </c>
      <c r="C2538" s="89">
        <v>138.6</v>
      </c>
      <c r="D2538" s="75"/>
      <c r="E2538" s="75"/>
      <c r="F2538" s="75">
        <v>10401</v>
      </c>
      <c r="G2538" s="76" t="str">
        <f>VLOOKUP(Tabelle2[[#This Row],[Kunden Nr.]],KUNDEN!A:B,2,0)</f>
        <v>DRCOR</v>
      </c>
      <c r="H2538" s="75">
        <v>35109</v>
      </c>
      <c r="I2538" s="76" t="str">
        <f>VLOOKUP(Tabelle2[[#This Row],[Artikel]],Produkte!A:B,2,0)</f>
        <v>M-ONE Sanitar Silikon</v>
      </c>
      <c r="J2538" s="75">
        <v>36</v>
      </c>
      <c r="K2538" s="76" t="str">
        <f>VLOOKUP(Tabelle2[[#This Row],[Kunden Nr.]],KUNDEN!A:G,7)</f>
        <v>Qerimi</v>
      </c>
      <c r="L2538" s="76">
        <f>VLOOKUP(Tabelle2[[#This Row],[Artikel]],Produkte!A:H,8)</f>
        <v>0.17</v>
      </c>
    </row>
    <row r="2539" spans="1:12" x14ac:dyDescent="0.2">
      <c r="A2539" s="75" t="s">
        <v>1215</v>
      </c>
      <c r="B2539" s="79">
        <v>46128</v>
      </c>
      <c r="C2539" s="89">
        <v>73.8</v>
      </c>
      <c r="D2539" s="75"/>
      <c r="E2539" s="75"/>
      <c r="F2539" s="75">
        <v>10429</v>
      </c>
      <c r="G2539" s="76" t="str">
        <f>VLOOKUP(Tabelle2[[#This Row],[Kunden Nr.]],KUNDEN!A:B,2,0)</f>
        <v>SAN KOS</v>
      </c>
      <c r="H2539" s="75">
        <v>35109</v>
      </c>
      <c r="I2539" s="76" t="str">
        <f>VLOOKUP(Tabelle2[[#This Row],[Artikel]],Produkte!A:B,2,0)</f>
        <v>M-ONE Sanitar Silikon</v>
      </c>
      <c r="J2539" s="75">
        <v>12</v>
      </c>
      <c r="K2539" s="76" t="str">
        <f>VLOOKUP(Tabelle2[[#This Row],[Kunden Nr.]],KUNDEN!A:G,7)</f>
        <v>Qerimi</v>
      </c>
      <c r="L2539" s="76">
        <f>VLOOKUP(Tabelle2[[#This Row],[Artikel]],Produkte!A:H,8)</f>
        <v>0.17</v>
      </c>
    </row>
    <row r="2540" spans="1:12" x14ac:dyDescent="0.2">
      <c r="A2540" s="75" t="s">
        <v>1215</v>
      </c>
      <c r="B2540" s="79">
        <v>46128</v>
      </c>
      <c r="C2540" s="75"/>
      <c r="D2540" s="75"/>
      <c r="E2540" s="75"/>
      <c r="F2540" s="75">
        <v>10429</v>
      </c>
      <c r="G2540" s="76" t="str">
        <f>VLOOKUP(Tabelle2[[#This Row],[Kunden Nr.]],KUNDEN!A:B,2,0)</f>
        <v>SAN KOS</v>
      </c>
      <c r="H2540" s="75">
        <v>51612</v>
      </c>
      <c r="I2540" s="76" t="str">
        <f>VLOOKUP(Tabelle2[[#This Row],[Artikel]],Produkte!A:B,2,0)</f>
        <v>struktural akryl</v>
      </c>
      <c r="J2540" s="75">
        <v>12</v>
      </c>
      <c r="K2540" s="76" t="str">
        <f>VLOOKUP(Tabelle2[[#This Row],[Kunden Nr.]],KUNDEN!A:G,7)</f>
        <v>Qerimi</v>
      </c>
      <c r="L2540" s="76">
        <f>VLOOKUP(Tabelle2[[#This Row],[Artikel]],Produkte!A:H,8)</f>
        <v>0.06</v>
      </c>
    </row>
    <row r="2541" spans="1:12" x14ac:dyDescent="0.2">
      <c r="A2541" s="75" t="s">
        <v>550</v>
      </c>
      <c r="B2541" s="79">
        <v>46128</v>
      </c>
      <c r="C2541" s="89">
        <v>92.4</v>
      </c>
      <c r="D2541" s="75"/>
      <c r="E2541" s="75"/>
      <c r="F2541" s="75">
        <v>10410</v>
      </c>
      <c r="G2541" s="76" t="str">
        <f>VLOOKUP(Tabelle2[[#This Row],[Kunden Nr.]],KUNDEN!A:B,2,0)</f>
        <v>GRANITI</v>
      </c>
      <c r="H2541" s="75">
        <v>35111</v>
      </c>
      <c r="I2541" s="76" t="str">
        <f>VLOOKUP(Tabelle2[[#This Row],[Artikel]],Produkte!A:B,2,0)</f>
        <v>M-ONE Sanitar Silikon</v>
      </c>
      <c r="J2541" s="75">
        <v>12</v>
      </c>
      <c r="K2541" s="76" t="str">
        <f>VLOOKUP(Tabelle2[[#This Row],[Kunden Nr.]],KUNDEN!A:G,7)</f>
        <v>Qerimi</v>
      </c>
      <c r="L2541" s="76">
        <f>VLOOKUP(Tabelle2[[#This Row],[Artikel]],Produkte!A:H,8)</f>
        <v>0.17</v>
      </c>
    </row>
    <row r="2542" spans="1:12" x14ac:dyDescent="0.2">
      <c r="A2542" s="75" t="s">
        <v>550</v>
      </c>
      <c r="B2542" s="79">
        <v>46128</v>
      </c>
      <c r="C2542" s="75"/>
      <c r="D2542" s="75"/>
      <c r="E2542" s="75"/>
      <c r="F2542" s="75">
        <v>10410</v>
      </c>
      <c r="G2542" s="76" t="str">
        <f>VLOOKUP(Tabelle2[[#This Row],[Kunden Nr.]],KUNDEN!A:B,2,0)</f>
        <v>GRANITI</v>
      </c>
      <c r="H2542" s="75">
        <v>35115</v>
      </c>
      <c r="I2542" s="76" t="str">
        <f>VLOOKUP(Tabelle2[[#This Row],[Artikel]],Produkte!A:B,2,0)</f>
        <v>M-ONE Sanitar Silikon</v>
      </c>
      <c r="J2542" s="75">
        <v>12</v>
      </c>
      <c r="K2542" s="76" t="str">
        <f>VLOOKUP(Tabelle2[[#This Row],[Kunden Nr.]],KUNDEN!A:G,7)</f>
        <v>Qerimi</v>
      </c>
      <c r="L2542" s="76">
        <f>VLOOKUP(Tabelle2[[#This Row],[Artikel]],Produkte!A:H,8)</f>
        <v>0.17</v>
      </c>
    </row>
    <row r="2543" spans="1:12" x14ac:dyDescent="0.2">
      <c r="A2543" s="75" t="s">
        <v>879</v>
      </c>
      <c r="B2543" s="79">
        <v>46128</v>
      </c>
      <c r="C2543" s="89">
        <v>60.2</v>
      </c>
      <c r="D2543" s="75"/>
      <c r="E2543" s="75"/>
      <c r="F2543" s="75">
        <v>10430</v>
      </c>
      <c r="G2543" s="76" t="str">
        <f>VLOOKUP(Tabelle2[[#This Row],[Kunden Nr.]],KUNDEN!A:B,2,0)</f>
        <v>EURO COM</v>
      </c>
      <c r="H2543" s="75">
        <v>44001</v>
      </c>
      <c r="I2543" s="76" t="str">
        <f>VLOOKUP(Tabelle2[[#This Row],[Artikel]],Produkte!A:B,2,0)</f>
        <v>Fettspray</v>
      </c>
      <c r="J2543" s="75">
        <v>4</v>
      </c>
      <c r="K2543" s="76" t="str">
        <f>VLOOKUP(Tabelle2[[#This Row],[Kunden Nr.]],KUNDEN!A:G,7)</f>
        <v>Qerimi</v>
      </c>
      <c r="L2543" s="76">
        <f>VLOOKUP(Tabelle2[[#This Row],[Artikel]],Produkte!A:H,8)</f>
        <v>0.2</v>
      </c>
    </row>
    <row r="2544" spans="1:12" x14ac:dyDescent="0.2">
      <c r="A2544" s="75" t="s">
        <v>879</v>
      </c>
      <c r="B2544" s="79">
        <v>46128</v>
      </c>
      <c r="C2544" s="75"/>
      <c r="D2544" s="75"/>
      <c r="E2544" s="75"/>
      <c r="F2544" s="75">
        <v>10430</v>
      </c>
      <c r="G2544" s="76" t="str">
        <f>VLOOKUP(Tabelle2[[#This Row],[Kunden Nr.]],KUNDEN!A:B,2,0)</f>
        <v>EURO COM</v>
      </c>
      <c r="H2544" s="75">
        <v>35114</v>
      </c>
      <c r="I2544" s="76" t="str">
        <f>VLOOKUP(Tabelle2[[#This Row],[Artikel]],Produkte!A:B,2,0)</f>
        <v>M-ONE Sanitar Silikon</v>
      </c>
      <c r="J2544" s="75">
        <v>12</v>
      </c>
      <c r="K2544" s="76" t="str">
        <f>VLOOKUP(Tabelle2[[#This Row],[Kunden Nr.]],KUNDEN!A:G,7)</f>
        <v>Qerimi</v>
      </c>
      <c r="L2544" s="76">
        <f>VLOOKUP(Tabelle2[[#This Row],[Artikel]],Produkte!A:H,8)</f>
        <v>0.17</v>
      </c>
    </row>
    <row r="2545" spans="1:12" x14ac:dyDescent="0.2">
      <c r="A2545" s="75" t="s">
        <v>553</v>
      </c>
      <c r="B2545" s="79">
        <v>46128</v>
      </c>
      <c r="C2545" s="89">
        <v>46.2</v>
      </c>
      <c r="D2545" s="75"/>
      <c r="E2545" s="75"/>
      <c r="F2545" s="75">
        <v>10413</v>
      </c>
      <c r="G2545" s="76" t="str">
        <f>VLOOKUP(Tabelle2[[#This Row],[Kunden Nr.]],KUNDEN!A:B,2,0)</f>
        <v>UNIVERZAL</v>
      </c>
      <c r="H2545" s="75">
        <v>35121</v>
      </c>
      <c r="I2545" s="76" t="str">
        <f>VLOOKUP(Tabelle2[[#This Row],[Artikel]],Produkte!A:B,2,0)</f>
        <v>M-ONE Sanitar Silikon</v>
      </c>
      <c r="J2545" s="75">
        <v>12</v>
      </c>
      <c r="K2545" s="76" t="str">
        <f>VLOOKUP(Tabelle2[[#This Row],[Kunden Nr.]],KUNDEN!A:G,7)</f>
        <v>Qerimi</v>
      </c>
      <c r="L2545" s="76">
        <f>VLOOKUP(Tabelle2[[#This Row],[Artikel]],Produkte!A:H,8)</f>
        <v>0.17</v>
      </c>
    </row>
    <row r="2546" spans="1:12" x14ac:dyDescent="0.2">
      <c r="A2546" s="75" t="s">
        <v>1265</v>
      </c>
      <c r="B2546" s="79">
        <v>46129</v>
      </c>
      <c r="C2546" s="89">
        <v>120</v>
      </c>
      <c r="D2546" s="75"/>
      <c r="E2546" s="75"/>
      <c r="F2546" s="75">
        <v>10147</v>
      </c>
      <c r="G2546" s="76" t="e">
        <f>VLOOKUP(Tabelle2[[#This Row],[Kunden Nr.]],KUNDEN!A:B,2,0)</f>
        <v>#N/A</v>
      </c>
      <c r="H2546" s="75">
        <v>50912</v>
      </c>
      <c r="I2546" s="76" t="str">
        <f>VLOOKUP(Tabelle2[[#This Row],[Artikel]],Produkte!A:B,2,0)</f>
        <v>DICHTUNG</v>
      </c>
      <c r="J2546" s="75">
        <v>12</v>
      </c>
      <c r="K2546" s="76" t="str">
        <f>VLOOKUP(Tabelle2[[#This Row],[Kunden Nr.]],KUNDEN!A:G,7)</f>
        <v>Qerimi</v>
      </c>
      <c r="L2546" s="76">
        <f>VLOOKUP(Tabelle2[[#This Row],[Artikel]],Produkte!A:H,8)</f>
        <v>0.2</v>
      </c>
    </row>
    <row r="2547" spans="1:12" x14ac:dyDescent="0.2">
      <c r="A2547" s="75" t="s">
        <v>1265</v>
      </c>
      <c r="B2547" s="79">
        <v>46129</v>
      </c>
      <c r="C2547" s="75"/>
      <c r="D2547" s="75"/>
      <c r="E2547" s="75"/>
      <c r="F2547" s="75">
        <v>10147</v>
      </c>
      <c r="G2547" s="76" t="e">
        <f>VLOOKUP(Tabelle2[[#This Row],[Kunden Nr.]],KUNDEN!A:B,2,0)</f>
        <v>#N/A</v>
      </c>
      <c r="H2547" s="75">
        <v>49644</v>
      </c>
      <c r="I2547" s="76" t="str">
        <f>VLOOKUP(Tabelle2[[#This Row],[Artikel]],Produkte!A:B,2,0)</f>
        <v>beMAKER Rostlöser</v>
      </c>
      <c r="J2547" s="75">
        <v>12</v>
      </c>
      <c r="K2547" s="76" t="str">
        <f>VLOOKUP(Tabelle2[[#This Row],[Kunden Nr.]],KUNDEN!A:G,7)</f>
        <v>Qerimi</v>
      </c>
      <c r="L2547" s="76">
        <f>VLOOKUP(Tabelle2[[#This Row],[Artikel]],Produkte!A:H,8)</f>
        <v>0.2</v>
      </c>
    </row>
    <row r="2548" spans="1:12" x14ac:dyDescent="0.2">
      <c r="A2548" s="75" t="s">
        <v>486</v>
      </c>
      <c r="B2548" s="79">
        <v>46129</v>
      </c>
      <c r="C2548" s="89">
        <v>46.2</v>
      </c>
      <c r="D2548" s="75"/>
      <c r="E2548" s="75"/>
      <c r="F2548" s="75">
        <v>10506</v>
      </c>
      <c r="G2548" s="76" t="str">
        <f>VLOOKUP(Tabelle2[[#This Row],[Kunden Nr.]],KUNDEN!A:B,2,0)</f>
        <v>ARBERI</v>
      </c>
      <c r="H2548" s="75">
        <v>35109</v>
      </c>
      <c r="I2548" s="76" t="str">
        <f>VLOOKUP(Tabelle2[[#This Row],[Artikel]],Produkte!A:B,2,0)</f>
        <v>M-ONE Sanitar Silikon</v>
      </c>
      <c r="J2548" s="75">
        <v>12</v>
      </c>
      <c r="K2548" s="76" t="str">
        <f>VLOOKUP(Tabelle2[[#This Row],[Kunden Nr.]],KUNDEN!A:G,7)</f>
        <v>Qerimi</v>
      </c>
      <c r="L2548" s="76">
        <f>VLOOKUP(Tabelle2[[#This Row],[Artikel]],Produkte!A:H,8)</f>
        <v>0.17</v>
      </c>
    </row>
    <row r="2549" spans="1:12" x14ac:dyDescent="0.2">
      <c r="A2549" s="75" t="s">
        <v>484</v>
      </c>
      <c r="B2549" s="79">
        <v>46129</v>
      </c>
      <c r="C2549" s="89">
        <v>73.8</v>
      </c>
      <c r="D2549" s="75"/>
      <c r="E2549" s="75"/>
      <c r="F2549" s="75">
        <v>10504</v>
      </c>
      <c r="G2549" s="76" t="str">
        <f>VLOOKUP(Tabelle2[[#This Row],[Kunden Nr.]],KUNDEN!A:B,2,0)</f>
        <v>CARRALEVA 1</v>
      </c>
      <c r="H2549" s="75">
        <v>35121</v>
      </c>
      <c r="I2549" s="76" t="str">
        <f>VLOOKUP(Tabelle2[[#This Row],[Artikel]],Produkte!A:B,2,0)</f>
        <v>M-ONE Sanitar Silikon</v>
      </c>
      <c r="J2549" s="75">
        <v>12</v>
      </c>
      <c r="K2549" s="76" t="str">
        <f>VLOOKUP(Tabelle2[[#This Row],[Kunden Nr.]],KUNDEN!A:G,7)</f>
        <v>Qerimi</v>
      </c>
      <c r="L2549" s="76">
        <f>VLOOKUP(Tabelle2[[#This Row],[Artikel]],Produkte!A:H,8)</f>
        <v>0.17</v>
      </c>
    </row>
    <row r="2550" spans="1:12" x14ac:dyDescent="0.2">
      <c r="A2550" s="75" t="s">
        <v>484</v>
      </c>
      <c r="B2550" s="79">
        <v>46129</v>
      </c>
      <c r="C2550" s="75"/>
      <c r="D2550" s="75"/>
      <c r="E2550" s="75"/>
      <c r="F2550" s="75">
        <v>10504</v>
      </c>
      <c r="G2550" s="76" t="str">
        <f>VLOOKUP(Tabelle2[[#This Row],[Kunden Nr.]],KUNDEN!A:B,2,0)</f>
        <v>CARRALEVA 1</v>
      </c>
      <c r="H2550" s="75">
        <v>51612</v>
      </c>
      <c r="I2550" s="76" t="str">
        <f>VLOOKUP(Tabelle2[[#This Row],[Artikel]],Produkte!A:B,2,0)</f>
        <v>struktural akryl</v>
      </c>
      <c r="J2550" s="75">
        <v>12</v>
      </c>
      <c r="K2550" s="76" t="str">
        <f>VLOOKUP(Tabelle2[[#This Row],[Kunden Nr.]],KUNDEN!A:G,7)</f>
        <v>Qerimi</v>
      </c>
      <c r="L2550" s="76">
        <f>VLOOKUP(Tabelle2[[#This Row],[Artikel]],Produkte!A:H,8)</f>
        <v>0.06</v>
      </c>
    </row>
    <row r="2551" spans="1:12" x14ac:dyDescent="0.2">
      <c r="A2551" s="75" t="s">
        <v>487</v>
      </c>
      <c r="B2551" s="79">
        <v>46129</v>
      </c>
      <c r="C2551" s="89">
        <v>138.6</v>
      </c>
      <c r="D2551" s="75"/>
      <c r="E2551" s="75"/>
      <c r="F2551" s="75">
        <v>10507</v>
      </c>
      <c r="G2551" s="76" t="str">
        <f>VLOOKUP(Tabelle2[[#This Row],[Kunden Nr.]],KUNDEN!A:B,2,0)</f>
        <v>REAL COLOR 2</v>
      </c>
      <c r="H2551" s="75">
        <v>35110</v>
      </c>
      <c r="I2551" s="76" t="str">
        <f>VLOOKUP(Tabelle2[[#This Row],[Artikel]],Produkte!A:B,2,0)</f>
        <v>M-ONE Sanitar Silikon</v>
      </c>
      <c r="J2551" s="75">
        <v>12</v>
      </c>
      <c r="K2551" s="76" t="str">
        <f>VLOOKUP(Tabelle2[[#This Row],[Kunden Nr.]],KUNDEN!A:G,7)</f>
        <v>Qerimi</v>
      </c>
      <c r="L2551" s="76">
        <f>VLOOKUP(Tabelle2[[#This Row],[Artikel]],Produkte!A:H,8)</f>
        <v>0.17</v>
      </c>
    </row>
    <row r="2552" spans="1:12" x14ac:dyDescent="0.2">
      <c r="A2552" s="75" t="s">
        <v>487</v>
      </c>
      <c r="B2552" s="79">
        <v>46129</v>
      </c>
      <c r="C2552" s="75"/>
      <c r="D2552" s="75"/>
      <c r="E2552" s="75"/>
      <c r="F2552" s="75">
        <v>10507</v>
      </c>
      <c r="G2552" s="76" t="str">
        <f>VLOOKUP(Tabelle2[[#This Row],[Kunden Nr.]],KUNDEN!A:B,2,0)</f>
        <v>REAL COLOR 2</v>
      </c>
      <c r="H2552" s="75">
        <v>35111</v>
      </c>
      <c r="I2552" s="76" t="str">
        <f>VLOOKUP(Tabelle2[[#This Row],[Artikel]],Produkte!A:B,2,0)</f>
        <v>M-ONE Sanitar Silikon</v>
      </c>
      <c r="J2552" s="75">
        <v>12</v>
      </c>
      <c r="K2552" s="76" t="str">
        <f>VLOOKUP(Tabelle2[[#This Row],[Kunden Nr.]],KUNDEN!A:G,7)</f>
        <v>Qerimi</v>
      </c>
      <c r="L2552" s="76">
        <f>VLOOKUP(Tabelle2[[#This Row],[Artikel]],Produkte!A:H,8)</f>
        <v>0.17</v>
      </c>
    </row>
    <row r="2553" spans="1:12" x14ac:dyDescent="0.2">
      <c r="A2553" s="75" t="s">
        <v>487</v>
      </c>
      <c r="B2553" s="79">
        <v>46129</v>
      </c>
      <c r="C2553" s="75"/>
      <c r="D2553" s="75"/>
      <c r="E2553" s="75"/>
      <c r="F2553" s="75">
        <v>10507</v>
      </c>
      <c r="G2553" s="76" t="str">
        <f>VLOOKUP(Tabelle2[[#This Row],[Kunden Nr.]],KUNDEN!A:B,2,0)</f>
        <v>REAL COLOR 2</v>
      </c>
      <c r="H2553" s="75">
        <v>35115</v>
      </c>
      <c r="I2553" s="76" t="str">
        <f>VLOOKUP(Tabelle2[[#This Row],[Artikel]],Produkte!A:B,2,0)</f>
        <v>M-ONE Sanitar Silikon</v>
      </c>
      <c r="J2553" s="75">
        <v>12</v>
      </c>
      <c r="K2553" s="76" t="str">
        <f>VLOOKUP(Tabelle2[[#This Row],[Kunden Nr.]],KUNDEN!A:G,7)</f>
        <v>Qerimi</v>
      </c>
      <c r="L2553" s="76">
        <f>VLOOKUP(Tabelle2[[#This Row],[Artikel]],Produkte!A:H,8)</f>
        <v>0.17</v>
      </c>
    </row>
    <row r="2554" spans="1:12" x14ac:dyDescent="0.2">
      <c r="A2554" s="75" t="s">
        <v>435</v>
      </c>
      <c r="B2554" s="79">
        <v>46129</v>
      </c>
      <c r="C2554" s="89">
        <v>105.4</v>
      </c>
      <c r="D2554" s="75"/>
      <c r="E2554" s="75"/>
      <c r="F2554" s="75">
        <v>10509</v>
      </c>
      <c r="G2554" s="76" t="str">
        <f>VLOOKUP(Tabelle2[[#This Row],[Kunden Nr.]],KUNDEN!A:B,2,0)</f>
        <v>LONI</v>
      </c>
      <c r="H2554" s="75">
        <v>50912</v>
      </c>
      <c r="I2554" s="76" t="str">
        <f>VLOOKUP(Tabelle2[[#This Row],[Artikel]],Produkte!A:B,2,0)</f>
        <v>DICHTUNG</v>
      </c>
      <c r="J2554" s="75">
        <v>12</v>
      </c>
      <c r="K2554" s="76" t="str">
        <f>VLOOKUP(Tabelle2[[#This Row],[Kunden Nr.]],KUNDEN!A:G,7)</f>
        <v>Qerimi</v>
      </c>
      <c r="L2554" s="76">
        <f>VLOOKUP(Tabelle2[[#This Row],[Artikel]],Produkte!A:H,8)</f>
        <v>0.2</v>
      </c>
    </row>
    <row r="2555" spans="1:12" x14ac:dyDescent="0.2">
      <c r="A2555" s="75" t="s">
        <v>435</v>
      </c>
      <c r="B2555" s="79">
        <v>46129</v>
      </c>
      <c r="C2555" s="75"/>
      <c r="D2555" s="75"/>
      <c r="E2555" s="75"/>
      <c r="F2555" s="75">
        <v>10509</v>
      </c>
      <c r="G2555" s="76" t="str">
        <f>VLOOKUP(Tabelle2[[#This Row],[Kunden Nr.]],KUNDEN!A:B,2,0)</f>
        <v>LONI</v>
      </c>
      <c r="H2555" s="75">
        <v>31819</v>
      </c>
      <c r="I2555" s="76" t="str">
        <f>VLOOKUP(Tabelle2[[#This Row],[Artikel]],Produkte!A:B,2,0)</f>
        <v>M ONE FUERROT</v>
      </c>
      <c r="J2555" s="75">
        <v>2</v>
      </c>
      <c r="K2555" s="76" t="str">
        <f>VLOOKUP(Tabelle2[[#This Row],[Kunden Nr.]],KUNDEN!A:G,7)</f>
        <v>Qerimi</v>
      </c>
      <c r="L2555" s="76">
        <f>VLOOKUP(Tabelle2[[#This Row],[Artikel]],Produkte!A:H,8)</f>
        <v>0.15</v>
      </c>
    </row>
    <row r="2556" spans="1:12" x14ac:dyDescent="0.2">
      <c r="A2556" s="75" t="s">
        <v>435</v>
      </c>
      <c r="B2556" s="79">
        <v>46129</v>
      </c>
      <c r="C2556" s="75"/>
      <c r="D2556" s="75"/>
      <c r="E2556" s="75"/>
      <c r="F2556" s="75">
        <v>10509</v>
      </c>
      <c r="G2556" s="76" t="str">
        <f>VLOOKUP(Tabelle2[[#This Row],[Kunden Nr.]],KUNDEN!A:B,2,0)</f>
        <v>LONI</v>
      </c>
      <c r="H2556" s="75">
        <v>44001</v>
      </c>
      <c r="I2556" s="76" t="str">
        <f>VLOOKUP(Tabelle2[[#This Row],[Artikel]],Produkte!A:B,2,0)</f>
        <v>Fettspray</v>
      </c>
      <c r="J2556" s="75">
        <v>4</v>
      </c>
      <c r="K2556" s="76" t="str">
        <f>VLOOKUP(Tabelle2[[#This Row],[Kunden Nr.]],KUNDEN!A:G,7)</f>
        <v>Qerimi</v>
      </c>
      <c r="L2556" s="76">
        <f>VLOOKUP(Tabelle2[[#This Row],[Artikel]],Produkte!A:H,8)</f>
        <v>0.2</v>
      </c>
    </row>
    <row r="2557" spans="1:12" x14ac:dyDescent="0.2">
      <c r="A2557" s="75" t="s">
        <v>491</v>
      </c>
      <c r="B2557" s="79">
        <v>46129</v>
      </c>
      <c r="C2557" s="89">
        <v>92.4</v>
      </c>
      <c r="D2557" s="75"/>
      <c r="E2557" s="75"/>
      <c r="F2557" s="75">
        <v>10508</v>
      </c>
      <c r="G2557" s="76" t="str">
        <f>VLOOKUP(Tabelle2[[#This Row],[Kunden Nr.]],KUNDEN!A:B,2,0)</f>
        <v>CARRALEVA 2</v>
      </c>
      <c r="H2557" s="75">
        <v>35109</v>
      </c>
      <c r="I2557" s="76" t="str">
        <f>VLOOKUP(Tabelle2[[#This Row],[Artikel]],Produkte!A:B,2,0)</f>
        <v>M-ONE Sanitar Silikon</v>
      </c>
      <c r="J2557" s="75">
        <v>12</v>
      </c>
      <c r="K2557" s="76" t="str">
        <f>VLOOKUP(Tabelle2[[#This Row],[Kunden Nr.]],KUNDEN!A:G,7)</f>
        <v>Qerimi</v>
      </c>
      <c r="L2557" s="76">
        <f>VLOOKUP(Tabelle2[[#This Row],[Artikel]],Produkte!A:H,8)</f>
        <v>0.17</v>
      </c>
    </row>
    <row r="2558" spans="1:12" x14ac:dyDescent="0.2">
      <c r="A2558" s="75" t="s">
        <v>491</v>
      </c>
      <c r="B2558" s="79">
        <v>46129</v>
      </c>
      <c r="C2558" s="75"/>
      <c r="D2558" s="75"/>
      <c r="E2558" s="75"/>
      <c r="F2558" s="75">
        <v>10508</v>
      </c>
      <c r="G2558" s="76" t="str">
        <f>VLOOKUP(Tabelle2[[#This Row],[Kunden Nr.]],KUNDEN!A:B,2,0)</f>
        <v>CARRALEVA 2</v>
      </c>
      <c r="H2558" s="75">
        <v>35113</v>
      </c>
      <c r="I2558" s="76" t="str">
        <f>VLOOKUP(Tabelle2[[#This Row],[Artikel]],Produkte!A:B,2,0)</f>
        <v>M-ONE Sanitar Silikon</v>
      </c>
      <c r="J2558" s="75">
        <v>12</v>
      </c>
      <c r="K2558" s="76" t="str">
        <f>VLOOKUP(Tabelle2[[#This Row],[Kunden Nr.]],KUNDEN!A:G,7)</f>
        <v>Qerimi</v>
      </c>
      <c r="L2558" s="76">
        <f>VLOOKUP(Tabelle2[[#This Row],[Artikel]],Produkte!A:H,8)</f>
        <v>0.17</v>
      </c>
    </row>
    <row r="2559" spans="1:12" x14ac:dyDescent="0.2">
      <c r="A2559" s="75" t="s">
        <v>489</v>
      </c>
      <c r="B2559" s="79">
        <v>46129</v>
      </c>
      <c r="C2559" s="89">
        <v>46.2</v>
      </c>
      <c r="D2559" s="75"/>
      <c r="E2559" s="75"/>
      <c r="F2559" s="75">
        <v>10511</v>
      </c>
      <c r="G2559" s="76" t="str">
        <f>VLOOKUP(Tabelle2[[#This Row],[Kunden Nr.]],KUNDEN!A:B,2,0)</f>
        <v>MULI</v>
      </c>
      <c r="H2559" s="75">
        <v>35128</v>
      </c>
      <c r="I2559" s="76" t="str">
        <f>VLOOKUP(Tabelle2[[#This Row],[Artikel]],Produkte!A:B,2,0)</f>
        <v>M-ONE Sanitar Silikon</v>
      </c>
      <c r="J2559" s="75">
        <v>12</v>
      </c>
      <c r="K2559" s="76" t="str">
        <f>VLOOKUP(Tabelle2[[#This Row],[Kunden Nr.]],KUNDEN!A:G,7)</f>
        <v>Qerimi</v>
      </c>
      <c r="L2559" s="76">
        <f>VLOOKUP(Tabelle2[[#This Row],[Artikel]],Produkte!A:H,8)</f>
        <v>0.17</v>
      </c>
    </row>
    <row r="2560" spans="1:12" x14ac:dyDescent="0.2">
      <c r="A2560" s="75" t="s">
        <v>38</v>
      </c>
      <c r="B2560" s="79">
        <v>46129</v>
      </c>
      <c r="C2560" s="89">
        <v>92.4</v>
      </c>
      <c r="D2560" s="75"/>
      <c r="E2560" s="75"/>
      <c r="F2560" s="75">
        <v>10539</v>
      </c>
      <c r="G2560" s="76" t="str">
        <f>VLOOKUP(Tabelle2[[#This Row],[Kunden Nr.]],KUNDEN!A:B,2,0)</f>
        <v>BEKA</v>
      </c>
      <c r="H2560" s="75">
        <v>35110</v>
      </c>
      <c r="I2560" s="76" t="str">
        <f>VLOOKUP(Tabelle2[[#This Row],[Artikel]],Produkte!A:B,2,0)</f>
        <v>M-ONE Sanitar Silikon</v>
      </c>
      <c r="J2560" s="75">
        <v>12</v>
      </c>
      <c r="K2560" s="76" t="str">
        <f>VLOOKUP(Tabelle2[[#This Row],[Kunden Nr.]],KUNDEN!A:G,7)</f>
        <v>Qerimi</v>
      </c>
      <c r="L2560" s="76">
        <f>VLOOKUP(Tabelle2[[#This Row],[Artikel]],Produkte!A:H,8)</f>
        <v>0.17</v>
      </c>
    </row>
    <row r="2561" spans="1:12" x14ac:dyDescent="0.2">
      <c r="A2561" s="75" t="s">
        <v>38</v>
      </c>
      <c r="B2561" s="79">
        <v>46129</v>
      </c>
      <c r="C2561" s="75"/>
      <c r="D2561" s="75"/>
      <c r="E2561" s="75"/>
      <c r="F2561" s="75">
        <v>10539</v>
      </c>
      <c r="G2561" s="76" t="str">
        <f>VLOOKUP(Tabelle2[[#This Row],[Kunden Nr.]],KUNDEN!A:B,2,0)</f>
        <v>BEKA</v>
      </c>
      <c r="H2561" s="75">
        <v>35125</v>
      </c>
      <c r="I2561" s="76" t="str">
        <f>VLOOKUP(Tabelle2[[#This Row],[Artikel]],Produkte!A:B,2,0)</f>
        <v>M-ONE Sanitar Silikon</v>
      </c>
      <c r="J2561" s="75">
        <v>12</v>
      </c>
      <c r="K2561" s="76" t="str">
        <f>VLOOKUP(Tabelle2[[#This Row],[Kunden Nr.]],KUNDEN!A:G,7)</f>
        <v>Qerimi</v>
      </c>
      <c r="L2561" s="76">
        <f>VLOOKUP(Tabelle2[[#This Row],[Artikel]],Produkte!A:H,8)</f>
        <v>0.17</v>
      </c>
    </row>
    <row r="2562" spans="1:12" x14ac:dyDescent="0.2">
      <c r="A2562" s="75" t="s">
        <v>453</v>
      </c>
      <c r="B2562" s="79">
        <v>46129</v>
      </c>
      <c r="C2562" s="89">
        <v>225.7</v>
      </c>
      <c r="D2562" s="75"/>
      <c r="E2562" s="75"/>
      <c r="F2562" s="75">
        <v>20501</v>
      </c>
      <c r="G2562" s="76" t="str">
        <f>VLOOKUP(Tabelle2[[#This Row],[Kunden Nr.]],KUNDEN!A:B,2,0)</f>
        <v>RACI</v>
      </c>
      <c r="H2562" s="75">
        <v>35110</v>
      </c>
      <c r="I2562" s="76" t="str">
        <f>VLOOKUP(Tabelle2[[#This Row],[Artikel]],Produkte!A:B,2,0)</f>
        <v>M-ONE Sanitar Silikon</v>
      </c>
      <c r="J2562" s="75">
        <v>12</v>
      </c>
      <c r="K2562" s="76" t="str">
        <f>VLOOKUP(Tabelle2[[#This Row],[Kunden Nr.]],KUNDEN!A:G,7)</f>
        <v>Mensuri</v>
      </c>
      <c r="L2562" s="76">
        <f>VLOOKUP(Tabelle2[[#This Row],[Artikel]],Produkte!A:H,8)</f>
        <v>0.17</v>
      </c>
    </row>
    <row r="2563" spans="1:12" x14ac:dyDescent="0.2">
      <c r="A2563" s="75" t="s">
        <v>453</v>
      </c>
      <c r="B2563" s="79">
        <v>46129</v>
      </c>
      <c r="C2563" s="75"/>
      <c r="D2563" s="75"/>
      <c r="E2563" s="75"/>
      <c r="F2563" s="75">
        <v>20501</v>
      </c>
      <c r="G2563" s="76" t="str">
        <f>VLOOKUP(Tabelle2[[#This Row],[Kunden Nr.]],KUNDEN!A:B,2,0)</f>
        <v>RACI</v>
      </c>
      <c r="H2563" s="75">
        <v>66701</v>
      </c>
      <c r="I2563" s="76" t="str">
        <f>VLOOKUP(Tabelle2[[#This Row],[Artikel]],Produkte!A:B,2,0)</f>
        <v>PROFIMONT EXTREME</v>
      </c>
      <c r="J2563" s="75">
        <v>12</v>
      </c>
      <c r="K2563" s="76" t="str">
        <f>VLOOKUP(Tabelle2[[#This Row],[Kunden Nr.]],KUNDEN!A:G,7)</f>
        <v>Mensuri</v>
      </c>
      <c r="L2563" s="76">
        <f>VLOOKUP(Tabelle2[[#This Row],[Artikel]],Produkte!A:H,8)</f>
        <v>0.2</v>
      </c>
    </row>
    <row r="2564" spans="1:12" x14ac:dyDescent="0.2">
      <c r="A2564" s="75" t="s">
        <v>453</v>
      </c>
      <c r="B2564" s="79">
        <v>46129</v>
      </c>
      <c r="C2564" s="75"/>
      <c r="D2564" s="75"/>
      <c r="E2564" s="75"/>
      <c r="F2564" s="75">
        <v>20501</v>
      </c>
      <c r="G2564" s="76" t="str">
        <f>VLOOKUP(Tabelle2[[#This Row],[Kunden Nr.]],KUNDEN!A:B,2,0)</f>
        <v>RACI</v>
      </c>
      <c r="H2564" s="75">
        <v>35111</v>
      </c>
      <c r="I2564" s="76" t="str">
        <f>VLOOKUP(Tabelle2[[#This Row],[Artikel]],Produkte!A:B,2,0)</f>
        <v>M-ONE Sanitar Silikon</v>
      </c>
      <c r="J2564" s="75">
        <v>12</v>
      </c>
      <c r="K2564" s="76" t="str">
        <f>VLOOKUP(Tabelle2[[#This Row],[Kunden Nr.]],KUNDEN!A:G,7)</f>
        <v>Mensuri</v>
      </c>
      <c r="L2564" s="76">
        <f>VLOOKUP(Tabelle2[[#This Row],[Artikel]],Produkte!A:H,8)</f>
        <v>0.17</v>
      </c>
    </row>
    <row r="2565" spans="1:12" x14ac:dyDescent="0.2">
      <c r="A2565" s="75" t="s">
        <v>453</v>
      </c>
      <c r="B2565" s="79">
        <v>46129</v>
      </c>
      <c r="C2565" s="75"/>
      <c r="D2565" s="75"/>
      <c r="E2565" s="75"/>
      <c r="F2565" s="75">
        <v>20501</v>
      </c>
      <c r="G2565" s="76" t="str">
        <f>VLOOKUP(Tabelle2[[#This Row],[Kunden Nr.]],KUNDEN!A:B,2,0)</f>
        <v>RACI</v>
      </c>
      <c r="H2565" s="75">
        <v>35115</v>
      </c>
      <c r="I2565" s="76" t="str">
        <f>VLOOKUP(Tabelle2[[#This Row],[Artikel]],Produkte!A:B,2,0)</f>
        <v>M-ONE Sanitar Silikon</v>
      </c>
      <c r="J2565" s="75">
        <v>12</v>
      </c>
      <c r="K2565" s="76" t="str">
        <f>VLOOKUP(Tabelle2[[#This Row],[Kunden Nr.]],KUNDEN!A:G,7)</f>
        <v>Mensuri</v>
      </c>
      <c r="L2565" s="76">
        <f>VLOOKUP(Tabelle2[[#This Row],[Artikel]],Produkte!A:H,8)</f>
        <v>0.17</v>
      </c>
    </row>
    <row r="2566" spans="1:12" x14ac:dyDescent="0.2">
      <c r="A2566" s="75" t="s">
        <v>453</v>
      </c>
      <c r="B2566" s="79">
        <v>46129</v>
      </c>
      <c r="C2566" s="75"/>
      <c r="D2566" s="75"/>
      <c r="E2566" s="75"/>
      <c r="F2566" s="75">
        <v>20501</v>
      </c>
      <c r="G2566" s="76" t="str">
        <f>VLOOKUP(Tabelle2[[#This Row],[Kunden Nr.]],KUNDEN!A:B,2,0)</f>
        <v>RACI</v>
      </c>
      <c r="H2566" s="75">
        <v>44001</v>
      </c>
      <c r="I2566" s="76" t="str">
        <f>VLOOKUP(Tabelle2[[#This Row],[Artikel]],Produkte!A:B,2,0)</f>
        <v>Fettspray</v>
      </c>
      <c r="J2566" s="75">
        <v>5</v>
      </c>
      <c r="K2566" s="76" t="str">
        <f>VLOOKUP(Tabelle2[[#This Row],[Kunden Nr.]],KUNDEN!A:G,7)</f>
        <v>Mensuri</v>
      </c>
      <c r="L2566" s="76">
        <f>VLOOKUP(Tabelle2[[#This Row],[Artikel]],Produkte!A:H,8)</f>
        <v>0.2</v>
      </c>
    </row>
    <row r="2567" spans="1:12" x14ac:dyDescent="0.2">
      <c r="A2567" s="75" t="s">
        <v>1258</v>
      </c>
      <c r="B2567" s="79">
        <v>46129</v>
      </c>
      <c r="C2567" s="89">
        <v>323.39999999999998</v>
      </c>
      <c r="D2567" s="75"/>
      <c r="E2567" s="75"/>
      <c r="F2567" s="75">
        <v>20511</v>
      </c>
      <c r="G2567" s="76" t="str">
        <f>VLOOKUP(Tabelle2[[#This Row],[Kunden Nr.]],KUNDEN!A:B,2,0)</f>
        <v>LIRIDONA KLINE</v>
      </c>
      <c r="H2567" s="75">
        <v>35113</v>
      </c>
      <c r="I2567" s="76" t="str">
        <f>VLOOKUP(Tabelle2[[#This Row],[Artikel]],Produkte!A:B,2,0)</f>
        <v>M-ONE Sanitar Silikon</v>
      </c>
      <c r="J2567" s="75">
        <v>36</v>
      </c>
      <c r="K2567" s="76" t="str">
        <f>VLOOKUP(Tabelle2[[#This Row],[Kunden Nr.]],KUNDEN!A:G,7)</f>
        <v>Mensuri</v>
      </c>
      <c r="L2567" s="76">
        <f>VLOOKUP(Tabelle2[[#This Row],[Artikel]],Produkte!A:H,8)</f>
        <v>0.17</v>
      </c>
    </row>
    <row r="2568" spans="1:12" x14ac:dyDescent="0.2">
      <c r="A2568" s="75" t="s">
        <v>1258</v>
      </c>
      <c r="B2568" s="79">
        <v>46129</v>
      </c>
      <c r="C2568" s="75"/>
      <c r="D2568" s="75"/>
      <c r="E2568" s="75"/>
      <c r="F2568" s="75">
        <v>20511</v>
      </c>
      <c r="G2568" s="76" t="str">
        <f>VLOOKUP(Tabelle2[[#This Row],[Kunden Nr.]],KUNDEN!A:B,2,0)</f>
        <v>LIRIDONA KLINE</v>
      </c>
      <c r="H2568" s="75">
        <v>35108</v>
      </c>
      <c r="I2568" s="76" t="str">
        <f>VLOOKUP(Tabelle2[[#This Row],[Artikel]],Produkte!A:B,2,0)</f>
        <v>M-ONE Sanitar Silikon</v>
      </c>
      <c r="J2568" s="75">
        <v>12</v>
      </c>
      <c r="K2568" s="76" t="str">
        <f>VLOOKUP(Tabelle2[[#This Row],[Kunden Nr.]],KUNDEN!A:G,7)</f>
        <v>Mensuri</v>
      </c>
      <c r="L2568" s="76">
        <f>VLOOKUP(Tabelle2[[#This Row],[Artikel]],Produkte!A:H,8)</f>
        <v>0.17</v>
      </c>
    </row>
    <row r="2569" spans="1:12" x14ac:dyDescent="0.2">
      <c r="A2569" s="75" t="s">
        <v>1258</v>
      </c>
      <c r="B2569" s="79">
        <v>46129</v>
      </c>
      <c r="C2569" s="75"/>
      <c r="D2569" s="75"/>
      <c r="E2569" s="75"/>
      <c r="F2569" s="75">
        <v>20511</v>
      </c>
      <c r="G2569" s="76" t="str">
        <f>VLOOKUP(Tabelle2[[#This Row],[Kunden Nr.]],KUNDEN!A:B,2,0)</f>
        <v>LIRIDONA KLINE</v>
      </c>
      <c r="H2569" s="75">
        <v>35119</v>
      </c>
      <c r="I2569" s="76" t="str">
        <f>VLOOKUP(Tabelle2[[#This Row],[Artikel]],Produkte!A:B,2,0)</f>
        <v>M-ONE Sanitar Silikon</v>
      </c>
      <c r="J2569" s="75">
        <v>12</v>
      </c>
      <c r="K2569" s="76" t="str">
        <f>VLOOKUP(Tabelle2[[#This Row],[Kunden Nr.]],KUNDEN!A:G,7)</f>
        <v>Mensuri</v>
      </c>
      <c r="L2569" s="76">
        <f>VLOOKUP(Tabelle2[[#This Row],[Artikel]],Produkte!A:H,8)</f>
        <v>0.17</v>
      </c>
    </row>
    <row r="2570" spans="1:12" x14ac:dyDescent="0.2">
      <c r="A2570" s="75" t="s">
        <v>1258</v>
      </c>
      <c r="B2570" s="79">
        <v>46129</v>
      </c>
      <c r="C2570" s="75"/>
      <c r="D2570" s="75"/>
      <c r="E2570" s="75"/>
      <c r="F2570" s="75">
        <v>20511</v>
      </c>
      <c r="G2570" s="76" t="str">
        <f>VLOOKUP(Tabelle2[[#This Row],[Kunden Nr.]],KUNDEN!A:B,2,0)</f>
        <v>LIRIDONA KLINE</v>
      </c>
      <c r="H2570" s="75">
        <v>35109</v>
      </c>
      <c r="I2570" s="76" t="str">
        <f>VLOOKUP(Tabelle2[[#This Row],[Artikel]],Produkte!A:B,2,0)</f>
        <v>M-ONE Sanitar Silikon</v>
      </c>
      <c r="J2570" s="75">
        <v>12</v>
      </c>
      <c r="K2570" s="76" t="str">
        <f>VLOOKUP(Tabelle2[[#This Row],[Kunden Nr.]],KUNDEN!A:G,7)</f>
        <v>Mensuri</v>
      </c>
      <c r="L2570" s="76">
        <f>VLOOKUP(Tabelle2[[#This Row],[Artikel]],Produkte!A:H,8)</f>
        <v>0.17</v>
      </c>
    </row>
    <row r="2571" spans="1:12" x14ac:dyDescent="0.2">
      <c r="A2571" s="75" t="s">
        <v>1258</v>
      </c>
      <c r="B2571" s="79">
        <v>46129</v>
      </c>
      <c r="C2571" s="75"/>
      <c r="D2571" s="75"/>
      <c r="E2571" s="75"/>
      <c r="F2571" s="75">
        <v>20511</v>
      </c>
      <c r="G2571" s="76" t="str">
        <f>VLOOKUP(Tabelle2[[#This Row],[Kunden Nr.]],KUNDEN!A:B,2,0)</f>
        <v>LIRIDONA KLINE</v>
      </c>
      <c r="H2571" s="75">
        <v>35125</v>
      </c>
      <c r="I2571" s="76" t="str">
        <f>VLOOKUP(Tabelle2[[#This Row],[Artikel]],Produkte!A:B,2,0)</f>
        <v>M-ONE Sanitar Silikon</v>
      </c>
      <c r="J2571" s="75">
        <v>12</v>
      </c>
      <c r="K2571" s="76" t="str">
        <f>VLOOKUP(Tabelle2[[#This Row],[Kunden Nr.]],KUNDEN!A:G,7)</f>
        <v>Mensuri</v>
      </c>
      <c r="L2571" s="76">
        <f>VLOOKUP(Tabelle2[[#This Row],[Artikel]],Produkte!A:H,8)</f>
        <v>0.17</v>
      </c>
    </row>
    <row r="2572" spans="1:12" x14ac:dyDescent="0.2">
      <c r="A2572" s="75" t="s">
        <v>461</v>
      </c>
      <c r="B2572" s="79">
        <v>46129</v>
      </c>
      <c r="C2572" s="89">
        <v>30</v>
      </c>
      <c r="D2572" s="75"/>
      <c r="E2572" s="75"/>
      <c r="F2572" s="75">
        <v>20513</v>
      </c>
      <c r="G2572" s="76" t="str">
        <f>VLOOKUP(Tabelle2[[#This Row],[Kunden Nr.]],KUNDEN!A:B,2,0)</f>
        <v>BERATI A.P. (1)</v>
      </c>
      <c r="H2572" s="75">
        <v>51936</v>
      </c>
      <c r="I2572" s="76" t="str">
        <f>VLOOKUP(Tabelle2[[#This Row],[Artikel]],Produkte!A:B,2,0)</f>
        <v>M ONE SCHWARZ GLÄNZED</v>
      </c>
      <c r="J2572" s="75">
        <v>4</v>
      </c>
      <c r="K2572" s="76" t="str">
        <f>VLOOKUP(Tabelle2[[#This Row],[Kunden Nr.]],KUNDEN!A:G,7)</f>
        <v>Mensuri</v>
      </c>
      <c r="L2572" s="76">
        <f>VLOOKUP(Tabelle2[[#This Row],[Artikel]],Produkte!A:H,8)</f>
        <v>0.15</v>
      </c>
    </row>
    <row r="2573" spans="1:12" x14ac:dyDescent="0.2">
      <c r="A2573" s="75" t="s">
        <v>461</v>
      </c>
      <c r="B2573" s="79">
        <v>46129</v>
      </c>
      <c r="C2573" s="75"/>
      <c r="D2573" s="75"/>
      <c r="E2573" s="75"/>
      <c r="F2573" s="75">
        <v>20513</v>
      </c>
      <c r="G2573" s="76" t="str">
        <f>VLOOKUP(Tabelle2[[#This Row],[Kunden Nr.]],KUNDEN!A:B,2,0)</f>
        <v>BERATI A.P. (1)</v>
      </c>
      <c r="H2573" s="75">
        <v>51736</v>
      </c>
      <c r="I2573" s="76" t="str">
        <f>VLOOKUP(Tabelle2[[#This Row],[Artikel]],Produkte!A:B,2,0)</f>
        <v>M ONE SCHWARZ MATT</v>
      </c>
      <c r="J2573" s="75">
        <v>4</v>
      </c>
      <c r="K2573" s="76" t="str">
        <f>VLOOKUP(Tabelle2[[#This Row],[Kunden Nr.]],KUNDEN!A:G,7)</f>
        <v>Mensuri</v>
      </c>
      <c r="L2573" s="76">
        <f>VLOOKUP(Tabelle2[[#This Row],[Artikel]],Produkte!A:H,8)</f>
        <v>0.15</v>
      </c>
    </row>
    <row r="2574" spans="1:12" x14ac:dyDescent="0.2">
      <c r="A2574" s="75" t="s">
        <v>461</v>
      </c>
      <c r="B2574" s="79">
        <v>46129</v>
      </c>
      <c r="C2574" s="75"/>
      <c r="D2574" s="75"/>
      <c r="E2574" s="75"/>
      <c r="F2574" s="75">
        <v>20513</v>
      </c>
      <c r="G2574" s="76" t="str">
        <f>VLOOKUP(Tabelle2[[#This Row],[Kunden Nr.]],KUNDEN!A:B,2,0)</f>
        <v>BERATI A.P. (1)</v>
      </c>
      <c r="H2574" s="75">
        <v>16936</v>
      </c>
      <c r="I2574" s="76" t="str">
        <f>VLOOKUP(Tabelle2[[#This Row],[Artikel]],Produkte!A:B,2,0)</f>
        <v>M ONE FELGENSILBER</v>
      </c>
      <c r="J2574" s="75">
        <v>4</v>
      </c>
      <c r="K2574" s="76" t="str">
        <f>VLOOKUP(Tabelle2[[#This Row],[Kunden Nr.]],KUNDEN!A:G,7)</f>
        <v>Mensuri</v>
      </c>
      <c r="L2574" s="76">
        <f>VLOOKUP(Tabelle2[[#This Row],[Artikel]],Produkte!A:H,8)</f>
        <v>0.15</v>
      </c>
    </row>
    <row r="2575" spans="1:12" x14ac:dyDescent="0.2">
      <c r="A2575" s="75" t="s">
        <v>454</v>
      </c>
      <c r="B2575" s="79">
        <v>46129</v>
      </c>
      <c r="C2575" s="89">
        <v>92.4</v>
      </c>
      <c r="D2575" s="75"/>
      <c r="E2575" s="75"/>
      <c r="F2575" s="75">
        <v>20502</v>
      </c>
      <c r="G2575" s="76" t="str">
        <f>VLOOKUP(Tabelle2[[#This Row],[Kunden Nr.]],KUNDEN!A:B,2,0)</f>
        <v>HOXHA</v>
      </c>
      <c r="H2575" s="75">
        <v>35119</v>
      </c>
      <c r="I2575" s="76" t="str">
        <f>VLOOKUP(Tabelle2[[#This Row],[Artikel]],Produkte!A:B,2,0)</f>
        <v>M-ONE Sanitar Silikon</v>
      </c>
      <c r="J2575" s="75">
        <v>12</v>
      </c>
      <c r="K2575" s="76" t="str">
        <f>VLOOKUP(Tabelle2[[#This Row],[Kunden Nr.]],KUNDEN!A:G,7)</f>
        <v>Mensuri</v>
      </c>
      <c r="L2575" s="76">
        <f>VLOOKUP(Tabelle2[[#This Row],[Artikel]],Produkte!A:H,8)</f>
        <v>0.17</v>
      </c>
    </row>
    <row r="2576" spans="1:12" x14ac:dyDescent="0.2">
      <c r="A2576" s="75" t="s">
        <v>454</v>
      </c>
      <c r="B2576" s="79">
        <v>46129</v>
      </c>
      <c r="C2576" s="75"/>
      <c r="D2576" s="75"/>
      <c r="E2576" s="75"/>
      <c r="F2576" s="75">
        <v>20502</v>
      </c>
      <c r="G2576" s="76" t="str">
        <f>VLOOKUP(Tabelle2[[#This Row],[Kunden Nr.]],KUNDEN!A:B,2,0)</f>
        <v>HOXHA</v>
      </c>
      <c r="H2576" s="75">
        <v>35125</v>
      </c>
      <c r="I2576" s="76" t="str">
        <f>VLOOKUP(Tabelle2[[#This Row],[Artikel]],Produkte!A:B,2,0)</f>
        <v>M-ONE Sanitar Silikon</v>
      </c>
      <c r="J2576" s="75">
        <v>12</v>
      </c>
      <c r="K2576" s="76" t="str">
        <f>VLOOKUP(Tabelle2[[#This Row],[Kunden Nr.]],KUNDEN!A:G,7)</f>
        <v>Mensuri</v>
      </c>
      <c r="L2576" s="76">
        <f>VLOOKUP(Tabelle2[[#This Row],[Artikel]],Produkte!A:H,8)</f>
        <v>0.17</v>
      </c>
    </row>
    <row r="2577" spans="1:12" x14ac:dyDescent="0.2">
      <c r="A2577" s="75" t="s">
        <v>674</v>
      </c>
      <c r="B2577" s="79">
        <v>46129</v>
      </c>
      <c r="C2577" s="89">
        <v>153.6</v>
      </c>
      <c r="D2577" s="75"/>
      <c r="E2577" s="75"/>
      <c r="F2577" s="75">
        <v>20508</v>
      </c>
      <c r="G2577" s="76" t="str">
        <f>VLOOKUP(Tabelle2[[#This Row],[Kunden Nr.]],KUNDEN!A:B,2,0)</f>
        <v>LIRIDONA HOME</v>
      </c>
      <c r="H2577" s="75">
        <v>35115</v>
      </c>
      <c r="I2577" s="76" t="str">
        <f>VLOOKUP(Tabelle2[[#This Row],[Artikel]],Produkte!A:B,2,0)</f>
        <v>M-ONE Sanitar Silikon</v>
      </c>
      <c r="J2577" s="75">
        <v>12</v>
      </c>
      <c r="K2577" s="76" t="str">
        <f>VLOOKUP(Tabelle2[[#This Row],[Kunden Nr.]],KUNDEN!A:G,7)</f>
        <v>Mensuri</v>
      </c>
      <c r="L2577" s="76">
        <f>VLOOKUP(Tabelle2[[#This Row],[Artikel]],Produkte!A:H,8)</f>
        <v>0.17</v>
      </c>
    </row>
    <row r="2578" spans="1:12" x14ac:dyDescent="0.2">
      <c r="A2578" s="75" t="s">
        <v>674</v>
      </c>
      <c r="B2578" s="79">
        <v>46129</v>
      </c>
      <c r="C2578" s="75"/>
      <c r="D2578" s="75"/>
      <c r="E2578" s="75"/>
      <c r="F2578" s="75">
        <v>20508</v>
      </c>
      <c r="G2578" s="76" t="str">
        <f>VLOOKUP(Tabelle2[[#This Row],[Kunden Nr.]],KUNDEN!A:B,2,0)</f>
        <v>LIRIDONA HOME</v>
      </c>
      <c r="H2578" s="75">
        <v>35112</v>
      </c>
      <c r="I2578" s="76" t="str">
        <f>VLOOKUP(Tabelle2[[#This Row],[Artikel]],Produkte!A:B,2,0)</f>
        <v>M-ONE Sanitar Silikon</v>
      </c>
      <c r="J2578" s="75">
        <v>12</v>
      </c>
      <c r="K2578" s="76" t="str">
        <f>VLOOKUP(Tabelle2[[#This Row],[Kunden Nr.]],KUNDEN!A:G,7)</f>
        <v>Mensuri</v>
      </c>
      <c r="L2578" s="76">
        <f>VLOOKUP(Tabelle2[[#This Row],[Artikel]],Produkte!A:H,8)</f>
        <v>0.17</v>
      </c>
    </row>
    <row r="2579" spans="1:12" x14ac:dyDescent="0.2">
      <c r="A2579" s="75" t="s">
        <v>674</v>
      </c>
      <c r="B2579" s="79">
        <v>46129</v>
      </c>
      <c r="C2579" s="75"/>
      <c r="D2579" s="75"/>
      <c r="E2579" s="75"/>
      <c r="F2579" s="75">
        <v>20508</v>
      </c>
      <c r="G2579" s="76" t="str">
        <f>VLOOKUP(Tabelle2[[#This Row],[Kunden Nr.]],KUNDEN!A:B,2,0)</f>
        <v>LIRIDONA HOME</v>
      </c>
      <c r="H2579" s="75">
        <v>35121</v>
      </c>
      <c r="I2579" s="76" t="str">
        <f>VLOOKUP(Tabelle2[[#This Row],[Artikel]],Produkte!A:B,2,0)</f>
        <v>M-ONE Sanitar Silikon</v>
      </c>
      <c r="J2579" s="75">
        <v>12</v>
      </c>
      <c r="K2579" s="76" t="str">
        <f>VLOOKUP(Tabelle2[[#This Row],[Kunden Nr.]],KUNDEN!A:G,7)</f>
        <v>Mensuri</v>
      </c>
      <c r="L2579" s="76">
        <f>VLOOKUP(Tabelle2[[#This Row],[Artikel]],Produkte!A:H,8)</f>
        <v>0.17</v>
      </c>
    </row>
    <row r="2580" spans="1:12" x14ac:dyDescent="0.2">
      <c r="A2580" s="75" t="s">
        <v>674</v>
      </c>
      <c r="B2580" s="79">
        <v>46129</v>
      </c>
      <c r="C2580" s="75"/>
      <c r="D2580" s="75"/>
      <c r="E2580" s="75"/>
      <c r="F2580" s="75">
        <v>20508</v>
      </c>
      <c r="G2580" s="76" t="str">
        <f>VLOOKUP(Tabelle2[[#This Row],[Kunden Nr.]],KUNDEN!A:B,2,0)</f>
        <v>LIRIDONA HOME</v>
      </c>
      <c r="H2580" s="75">
        <v>51611</v>
      </c>
      <c r="I2580" s="76" t="str">
        <f>VLOOKUP(Tabelle2[[#This Row],[Artikel]],Produkte!A:B,2,0)</f>
        <v>universal akryl</v>
      </c>
      <c r="J2580" s="75">
        <v>12</v>
      </c>
      <c r="K2580" s="76" t="str">
        <f>VLOOKUP(Tabelle2[[#This Row],[Kunden Nr.]],KUNDEN!A:G,7)</f>
        <v>Mensuri</v>
      </c>
      <c r="L2580" s="76">
        <f>VLOOKUP(Tabelle2[[#This Row],[Artikel]],Produkte!A:H,8)</f>
        <v>0.06</v>
      </c>
    </row>
    <row r="2581" spans="1:12" x14ac:dyDescent="0.2">
      <c r="A2581" s="75" t="s">
        <v>463</v>
      </c>
      <c r="B2581" s="79">
        <v>46129</v>
      </c>
      <c r="C2581" s="89">
        <v>138.6</v>
      </c>
      <c r="D2581" s="75"/>
      <c r="E2581" s="75"/>
      <c r="F2581" s="75">
        <v>20515</v>
      </c>
      <c r="G2581" s="76" t="str">
        <f>VLOOKUP(Tabelle2[[#This Row],[Kunden Nr.]],KUNDEN!A:B,2,0)</f>
        <v>LIRIDONA-A</v>
      </c>
      <c r="H2581" s="75">
        <v>35109</v>
      </c>
      <c r="I2581" s="76" t="str">
        <f>VLOOKUP(Tabelle2[[#This Row],[Artikel]],Produkte!A:B,2,0)</f>
        <v>M-ONE Sanitar Silikon</v>
      </c>
      <c r="J2581" s="75">
        <v>24</v>
      </c>
      <c r="K2581" s="76" t="str">
        <f>VLOOKUP(Tabelle2[[#This Row],[Kunden Nr.]],KUNDEN!A:G,7)</f>
        <v>Mensuri</v>
      </c>
      <c r="L2581" s="76">
        <f>VLOOKUP(Tabelle2[[#This Row],[Artikel]],Produkte!A:H,8)</f>
        <v>0.17</v>
      </c>
    </row>
    <row r="2582" spans="1:12" x14ac:dyDescent="0.2">
      <c r="A2582" s="75" t="s">
        <v>463</v>
      </c>
      <c r="B2582" s="79">
        <v>46129</v>
      </c>
      <c r="C2582" s="75"/>
      <c r="D2582" s="75"/>
      <c r="E2582" s="75"/>
      <c r="F2582" s="75">
        <v>20515</v>
      </c>
      <c r="G2582" s="76" t="str">
        <f>VLOOKUP(Tabelle2[[#This Row],[Kunden Nr.]],KUNDEN!A:B,2,0)</f>
        <v>LIRIDONA-A</v>
      </c>
      <c r="H2582" s="75">
        <v>35128</v>
      </c>
      <c r="I2582" s="76" t="str">
        <f>VLOOKUP(Tabelle2[[#This Row],[Artikel]],Produkte!A:B,2,0)</f>
        <v>M-ONE Sanitar Silikon</v>
      </c>
      <c r="J2582" s="75">
        <v>12</v>
      </c>
      <c r="K2582" s="76" t="str">
        <f>VLOOKUP(Tabelle2[[#This Row],[Kunden Nr.]],KUNDEN!A:G,7)</f>
        <v>Mensuri</v>
      </c>
      <c r="L2582" s="76">
        <f>VLOOKUP(Tabelle2[[#This Row],[Artikel]],Produkte!A:H,8)</f>
        <v>0.17</v>
      </c>
    </row>
    <row r="2583" spans="1:12" x14ac:dyDescent="0.2">
      <c r="A2583" s="75" t="s">
        <v>51</v>
      </c>
      <c r="B2583" s="79">
        <v>46129</v>
      </c>
      <c r="C2583" s="89">
        <v>47.1</v>
      </c>
      <c r="D2583" s="75"/>
      <c r="E2583" s="75"/>
      <c r="F2583" s="75">
        <v>20408</v>
      </c>
      <c r="G2583" s="76" t="str">
        <f>VLOOKUP(Tabelle2[[#This Row],[Kunden Nr.]],KUNDEN!A:B,2,0)</f>
        <v>A.P. HOTI</v>
      </c>
      <c r="H2583" s="75">
        <v>16936</v>
      </c>
      <c r="I2583" s="76" t="str">
        <f>VLOOKUP(Tabelle2[[#This Row],[Artikel]],Produkte!A:B,2,0)</f>
        <v>M ONE FELGENSILBER</v>
      </c>
      <c r="J2583" s="75">
        <v>4</v>
      </c>
      <c r="K2583" s="76" t="str">
        <f>VLOOKUP(Tabelle2[[#This Row],[Kunden Nr.]],KUNDEN!A:G,7)</f>
        <v>Mensuri</v>
      </c>
      <c r="L2583" s="76">
        <f>VLOOKUP(Tabelle2[[#This Row],[Artikel]],Produkte!A:H,8)</f>
        <v>0.15</v>
      </c>
    </row>
    <row r="2584" spans="1:12" x14ac:dyDescent="0.2">
      <c r="A2584" s="75" t="s">
        <v>51</v>
      </c>
      <c r="B2584" s="79">
        <v>46129</v>
      </c>
      <c r="C2584" s="75"/>
      <c r="D2584" s="75"/>
      <c r="E2584" s="75"/>
      <c r="F2584" s="75">
        <v>20408</v>
      </c>
      <c r="G2584" s="76" t="str">
        <f>VLOOKUP(Tabelle2[[#This Row],[Kunden Nr.]],KUNDEN!A:B,2,0)</f>
        <v>A.P. HOTI</v>
      </c>
      <c r="H2584" s="75">
        <v>49644</v>
      </c>
      <c r="I2584" s="76" t="str">
        <f>VLOOKUP(Tabelle2[[#This Row],[Artikel]],Produkte!A:B,2,0)</f>
        <v>beMAKER Rostlöser</v>
      </c>
      <c r="J2584" s="75">
        <v>4</v>
      </c>
      <c r="K2584" s="76" t="str">
        <f>VLOOKUP(Tabelle2[[#This Row],[Kunden Nr.]],KUNDEN!A:G,7)</f>
        <v>Mensuri</v>
      </c>
      <c r="L2584" s="76">
        <f>VLOOKUP(Tabelle2[[#This Row],[Artikel]],Produkte!A:H,8)</f>
        <v>0.2</v>
      </c>
    </row>
    <row r="2585" spans="1:12" x14ac:dyDescent="0.2">
      <c r="A2585" s="75" t="s">
        <v>51</v>
      </c>
      <c r="B2585" s="79">
        <v>46129</v>
      </c>
      <c r="C2585" s="75"/>
      <c r="D2585" s="75"/>
      <c r="E2585" s="75"/>
      <c r="F2585" s="75">
        <v>20408</v>
      </c>
      <c r="G2585" s="76" t="str">
        <f>VLOOKUP(Tabelle2[[#This Row],[Kunden Nr.]],KUNDEN!A:B,2,0)</f>
        <v>A.P. HOTI</v>
      </c>
      <c r="H2585" s="75">
        <v>44001</v>
      </c>
      <c r="I2585" s="76" t="str">
        <f>VLOOKUP(Tabelle2[[#This Row],[Artikel]],Produkte!A:B,2,0)</f>
        <v>Fettspray</v>
      </c>
      <c r="J2585" s="75">
        <v>2</v>
      </c>
      <c r="K2585" s="76" t="str">
        <f>VLOOKUP(Tabelle2[[#This Row],[Kunden Nr.]],KUNDEN!A:G,7)</f>
        <v>Mensuri</v>
      </c>
      <c r="L2585" s="76">
        <f>VLOOKUP(Tabelle2[[#This Row],[Artikel]],Produkte!A:H,8)</f>
        <v>0.2</v>
      </c>
    </row>
    <row r="2586" spans="1:12" x14ac:dyDescent="0.2">
      <c r="A2586" s="75" t="s">
        <v>51</v>
      </c>
      <c r="B2586" s="79">
        <v>46129</v>
      </c>
      <c r="C2586" s="75"/>
      <c r="D2586" s="75"/>
      <c r="E2586" s="75"/>
      <c r="F2586" s="75">
        <v>20408</v>
      </c>
      <c r="G2586" s="76" t="str">
        <f>VLOOKUP(Tabelle2[[#This Row],[Kunden Nr.]],KUNDEN!A:B,2,0)</f>
        <v>A.P. HOTI</v>
      </c>
      <c r="H2586" s="75">
        <v>51736</v>
      </c>
      <c r="I2586" s="76" t="str">
        <f>VLOOKUP(Tabelle2[[#This Row],[Artikel]],Produkte!A:B,2,0)</f>
        <v>M ONE SCHWARZ MATT</v>
      </c>
      <c r="J2586" s="75">
        <v>3</v>
      </c>
      <c r="K2586" s="76" t="str">
        <f>VLOOKUP(Tabelle2[[#This Row],[Kunden Nr.]],KUNDEN!A:G,7)</f>
        <v>Mensuri</v>
      </c>
      <c r="L2586" s="76">
        <f>VLOOKUP(Tabelle2[[#This Row],[Artikel]],Produkte!A:H,8)</f>
        <v>0.15</v>
      </c>
    </row>
    <row r="2587" spans="1:12" x14ac:dyDescent="0.2">
      <c r="A2587" s="75" t="s">
        <v>51</v>
      </c>
      <c r="B2587" s="79">
        <v>46129</v>
      </c>
      <c r="C2587" s="75"/>
      <c r="D2587" s="75"/>
      <c r="E2587" s="75"/>
      <c r="F2587" s="75">
        <v>20408</v>
      </c>
      <c r="G2587" s="76" t="str">
        <f>VLOOKUP(Tabelle2[[#This Row],[Kunden Nr.]],KUNDEN!A:B,2,0)</f>
        <v>A.P. HOTI</v>
      </c>
      <c r="H2587" s="75">
        <v>31827</v>
      </c>
      <c r="I2587" s="76" t="str">
        <f>VLOOKUP(Tabelle2[[#This Row],[Artikel]],Produkte!A:B,2,0)</f>
        <v>M ONE LACK GRUN</v>
      </c>
      <c r="J2587" s="75">
        <v>2</v>
      </c>
      <c r="K2587" s="76" t="str">
        <f>VLOOKUP(Tabelle2[[#This Row],[Kunden Nr.]],KUNDEN!A:G,7)</f>
        <v>Mensuri</v>
      </c>
      <c r="L2587" s="76">
        <f>VLOOKUP(Tabelle2[[#This Row],[Artikel]],Produkte!A:H,8)</f>
        <v>0.15</v>
      </c>
    </row>
    <row r="2588" spans="1:12" x14ac:dyDescent="0.2">
      <c r="A2588" s="75" t="s">
        <v>51</v>
      </c>
      <c r="B2588" s="79">
        <v>46129</v>
      </c>
      <c r="C2588" s="75"/>
      <c r="D2588" s="75"/>
      <c r="E2588" s="75"/>
      <c r="F2588" s="75">
        <v>20408</v>
      </c>
      <c r="G2588" s="76" t="str">
        <f>VLOOKUP(Tabelle2[[#This Row],[Kunden Nr.]],KUNDEN!A:B,2,0)</f>
        <v>A.P. HOTI</v>
      </c>
      <c r="H2588" s="75">
        <v>50912</v>
      </c>
      <c r="I2588" s="76" t="str">
        <f>VLOOKUP(Tabelle2[[#This Row],[Artikel]],Produkte!A:B,2,0)</f>
        <v>DICHTUNG</v>
      </c>
      <c r="J2588" s="75">
        <v>3</v>
      </c>
      <c r="K2588" s="76" t="str">
        <f>VLOOKUP(Tabelle2[[#This Row],[Kunden Nr.]],KUNDEN!A:G,7)</f>
        <v>Mensuri</v>
      </c>
      <c r="L2588" s="76">
        <f>VLOOKUP(Tabelle2[[#This Row],[Artikel]],Produkte!A:H,8)</f>
        <v>0.2</v>
      </c>
    </row>
    <row r="2589" spans="1:12" x14ac:dyDescent="0.2">
      <c r="A2589" s="75" t="s">
        <v>52</v>
      </c>
      <c r="B2589" s="79">
        <v>46129</v>
      </c>
      <c r="C2589" s="89">
        <v>66.5</v>
      </c>
      <c r="D2589" s="75"/>
      <c r="E2589" s="75"/>
      <c r="F2589" s="75">
        <v>20409</v>
      </c>
      <c r="G2589" s="76" t="str">
        <f>VLOOKUP(Tabelle2[[#This Row],[Kunden Nr.]],KUNDEN!A:B,2,0)</f>
        <v>BENI</v>
      </c>
      <c r="H2589" s="75">
        <v>49644</v>
      </c>
      <c r="I2589" s="76" t="str">
        <f>VLOOKUP(Tabelle2[[#This Row],[Artikel]],Produkte!A:B,2,0)</f>
        <v>beMAKER Rostlöser</v>
      </c>
      <c r="J2589" s="75">
        <v>12</v>
      </c>
      <c r="K2589" s="76" t="str">
        <f>VLOOKUP(Tabelle2[[#This Row],[Kunden Nr.]],KUNDEN!A:G,7)</f>
        <v>Mensuri</v>
      </c>
      <c r="L2589" s="76">
        <f>VLOOKUP(Tabelle2[[#This Row],[Artikel]],Produkte!A:H,8)</f>
        <v>0.2</v>
      </c>
    </row>
    <row r="2590" spans="1:12" x14ac:dyDescent="0.2">
      <c r="A2590" s="75" t="s">
        <v>52</v>
      </c>
      <c r="B2590" s="79">
        <v>46129</v>
      </c>
      <c r="C2590" s="75"/>
      <c r="D2590" s="75"/>
      <c r="E2590" s="75"/>
      <c r="F2590" s="75">
        <v>20409</v>
      </c>
      <c r="G2590" s="76" t="str">
        <f>VLOOKUP(Tabelle2[[#This Row],[Kunden Nr.]],KUNDEN!A:B,2,0)</f>
        <v>BENI</v>
      </c>
      <c r="H2590" s="75">
        <v>16936</v>
      </c>
      <c r="I2590" s="76" t="str">
        <f>VLOOKUP(Tabelle2[[#This Row],[Artikel]],Produkte!A:B,2,0)</f>
        <v>M ONE FELGENSILBER</v>
      </c>
      <c r="J2590" s="75">
        <v>5</v>
      </c>
      <c r="K2590" s="76" t="str">
        <f>VLOOKUP(Tabelle2[[#This Row],[Kunden Nr.]],KUNDEN!A:G,7)</f>
        <v>Mensuri</v>
      </c>
      <c r="L2590" s="76">
        <f>VLOOKUP(Tabelle2[[#This Row],[Artikel]],Produkte!A:H,8)</f>
        <v>0.15</v>
      </c>
    </row>
    <row r="2591" spans="1:12" x14ac:dyDescent="0.2">
      <c r="A2591" s="75" t="s">
        <v>52</v>
      </c>
      <c r="B2591" s="79">
        <v>46129</v>
      </c>
      <c r="C2591" s="75"/>
      <c r="D2591" s="75"/>
      <c r="E2591" s="75"/>
      <c r="F2591" s="75">
        <v>20409</v>
      </c>
      <c r="G2591" s="76" t="str">
        <f>VLOOKUP(Tabelle2[[#This Row],[Kunden Nr.]],KUNDEN!A:B,2,0)</f>
        <v>BENI</v>
      </c>
      <c r="H2591" s="75">
        <v>44001</v>
      </c>
      <c r="I2591" s="76" t="str">
        <f>VLOOKUP(Tabelle2[[#This Row],[Artikel]],Produkte!A:B,2,0)</f>
        <v>Fettspray</v>
      </c>
      <c r="J2591" s="75">
        <v>5</v>
      </c>
      <c r="K2591" s="76" t="str">
        <f>VLOOKUP(Tabelle2[[#This Row],[Kunden Nr.]],KUNDEN!A:G,7)</f>
        <v>Mensuri</v>
      </c>
      <c r="L2591" s="76">
        <f>VLOOKUP(Tabelle2[[#This Row],[Artikel]],Produkte!A:H,8)</f>
        <v>0.2</v>
      </c>
    </row>
    <row r="2592" spans="1:12" x14ac:dyDescent="0.2">
      <c r="A2592" s="75" t="s">
        <v>52</v>
      </c>
      <c r="B2592" s="79">
        <v>46129</v>
      </c>
      <c r="C2592" s="75"/>
      <c r="D2592" s="75"/>
      <c r="E2592" s="75"/>
      <c r="F2592" s="75">
        <v>20409</v>
      </c>
      <c r="G2592" s="76" t="str">
        <f>VLOOKUP(Tabelle2[[#This Row],[Kunden Nr.]],KUNDEN!A:B,2,0)</f>
        <v>BENI</v>
      </c>
      <c r="H2592" s="75">
        <v>26736</v>
      </c>
      <c r="I2592" s="76" t="str">
        <f>VLOOKUP(Tabelle2[[#This Row],[Artikel]],Produkte!A:B,2,0)</f>
        <v>M ONE HAFTGRUND</v>
      </c>
      <c r="J2592" s="75">
        <v>5</v>
      </c>
      <c r="K2592" s="76" t="str">
        <f>VLOOKUP(Tabelle2[[#This Row],[Kunden Nr.]],KUNDEN!A:G,7)</f>
        <v>Mensuri</v>
      </c>
      <c r="L2592" s="76">
        <f>VLOOKUP(Tabelle2[[#This Row],[Artikel]],Produkte!A:H,8)</f>
        <v>0.15</v>
      </c>
    </row>
    <row r="2593" spans="1:12" x14ac:dyDescent="0.2">
      <c r="A2593" s="75" t="s">
        <v>52</v>
      </c>
      <c r="B2593" s="79">
        <v>46129</v>
      </c>
      <c r="C2593" s="75"/>
      <c r="D2593" s="75"/>
      <c r="E2593" s="75"/>
      <c r="F2593" s="75">
        <v>20409</v>
      </c>
      <c r="G2593" s="76" t="str">
        <f>VLOOKUP(Tabelle2[[#This Row],[Kunden Nr.]],KUNDEN!A:B,2,0)</f>
        <v>BENI</v>
      </c>
      <c r="H2593" s="75">
        <v>54412</v>
      </c>
      <c r="I2593" s="76" t="str">
        <f>VLOOKUP(Tabelle2[[#This Row],[Artikel]],Produkte!A:B,2,0)</f>
        <v>beMAKER Bremsen&amp;Teile Reininger</v>
      </c>
      <c r="J2593" s="75">
        <v>4</v>
      </c>
      <c r="K2593" s="76" t="str">
        <f>VLOOKUP(Tabelle2[[#This Row],[Kunden Nr.]],KUNDEN!A:G,7)</f>
        <v>Mensuri</v>
      </c>
      <c r="L2593" s="76">
        <f>VLOOKUP(Tabelle2[[#This Row],[Artikel]],Produkte!A:H,8)</f>
        <v>0.2</v>
      </c>
    </row>
    <row r="2594" spans="1:12" x14ac:dyDescent="0.2">
      <c r="A2594" s="75" t="s">
        <v>53</v>
      </c>
      <c r="B2594" s="79">
        <v>46129</v>
      </c>
      <c r="C2594" s="89">
        <v>138.6</v>
      </c>
      <c r="D2594" s="75"/>
      <c r="E2594" s="75"/>
      <c r="F2594" s="75">
        <v>20407</v>
      </c>
      <c r="G2594" s="76" t="str">
        <f>VLOOKUP(Tabelle2[[#This Row],[Kunden Nr.]],KUNDEN!A:B,2,0)</f>
        <v>TE BENI</v>
      </c>
      <c r="H2594" s="75">
        <v>35110</v>
      </c>
      <c r="I2594" s="76" t="str">
        <f>VLOOKUP(Tabelle2[[#This Row],[Artikel]],Produkte!A:B,2,0)</f>
        <v>M-ONE Sanitar Silikon</v>
      </c>
      <c r="J2594" s="75">
        <v>24</v>
      </c>
      <c r="K2594" s="76" t="str">
        <f>VLOOKUP(Tabelle2[[#This Row],[Kunden Nr.]],KUNDEN!A:G,7)</f>
        <v>Mensuri</v>
      </c>
      <c r="L2594" s="76">
        <f>VLOOKUP(Tabelle2[[#This Row],[Artikel]],Produkte!A:H,8)</f>
        <v>0.17</v>
      </c>
    </row>
    <row r="2595" spans="1:12" x14ac:dyDescent="0.2">
      <c r="A2595" s="75" t="s">
        <v>53</v>
      </c>
      <c r="B2595" s="79">
        <v>46129</v>
      </c>
      <c r="C2595" s="75"/>
      <c r="D2595" s="75"/>
      <c r="E2595" s="75"/>
      <c r="F2595" s="75">
        <v>20407</v>
      </c>
      <c r="G2595" s="76" t="str">
        <f>VLOOKUP(Tabelle2[[#This Row],[Kunden Nr.]],KUNDEN!A:B,2,0)</f>
        <v>TE BENI</v>
      </c>
      <c r="H2595" s="75">
        <v>35121</v>
      </c>
      <c r="I2595" s="76" t="str">
        <f>VLOOKUP(Tabelle2[[#This Row],[Artikel]],Produkte!A:B,2,0)</f>
        <v>M-ONE Sanitar Silikon</v>
      </c>
      <c r="J2595" s="75">
        <v>12</v>
      </c>
      <c r="K2595" s="76" t="str">
        <f>VLOOKUP(Tabelle2[[#This Row],[Kunden Nr.]],KUNDEN!A:G,7)</f>
        <v>Mensuri</v>
      </c>
      <c r="L2595" s="76">
        <f>VLOOKUP(Tabelle2[[#This Row],[Artikel]],Produkte!A:H,8)</f>
        <v>0.17</v>
      </c>
    </row>
    <row r="2596" spans="1:12" x14ac:dyDescent="0.2">
      <c r="A2596" s="75" t="s">
        <v>608</v>
      </c>
      <c r="B2596" s="79">
        <v>46130</v>
      </c>
      <c r="C2596" s="89">
        <v>92.4</v>
      </c>
      <c r="D2596" s="75"/>
      <c r="E2596" s="75"/>
      <c r="F2596" s="75">
        <v>10616</v>
      </c>
      <c r="G2596" s="76" t="str">
        <f>VLOOKUP(Tabelle2[[#This Row],[Kunden Nr.]],KUNDEN!A:B,2,0)</f>
        <v>TE ZENA</v>
      </c>
      <c r="H2596" s="75">
        <v>35113</v>
      </c>
      <c r="I2596" s="76" t="str">
        <f>VLOOKUP(Tabelle2[[#This Row],[Artikel]],Produkte!A:B,2,0)</f>
        <v>M-ONE Sanitar Silikon</v>
      </c>
      <c r="J2596" s="75">
        <v>12</v>
      </c>
      <c r="K2596" s="76" t="str">
        <f>VLOOKUP(Tabelle2[[#This Row],[Kunden Nr.]],KUNDEN!A:G,7)</f>
        <v>Qerimi</v>
      </c>
      <c r="L2596" s="76">
        <f>VLOOKUP(Tabelle2[[#This Row],[Artikel]],Produkte!A:H,8)</f>
        <v>0.17</v>
      </c>
    </row>
    <row r="2597" spans="1:12" x14ac:dyDescent="0.2">
      <c r="A2597" s="75" t="s">
        <v>608</v>
      </c>
      <c r="B2597" s="79">
        <v>46130</v>
      </c>
      <c r="C2597" s="75"/>
      <c r="D2597" s="75"/>
      <c r="E2597" s="75"/>
      <c r="F2597" s="75">
        <v>10616</v>
      </c>
      <c r="G2597" s="76" t="str">
        <f>VLOOKUP(Tabelle2[[#This Row],[Kunden Nr.]],KUNDEN!A:B,2,0)</f>
        <v>TE ZENA</v>
      </c>
      <c r="H2597" s="75">
        <v>35119</v>
      </c>
      <c r="I2597" s="76" t="str">
        <f>VLOOKUP(Tabelle2[[#This Row],[Artikel]],Produkte!A:B,2,0)</f>
        <v>M-ONE Sanitar Silikon</v>
      </c>
      <c r="J2597" s="75">
        <v>12</v>
      </c>
      <c r="K2597" s="76" t="str">
        <f>VLOOKUP(Tabelle2[[#This Row],[Kunden Nr.]],KUNDEN!A:G,7)</f>
        <v>Qerimi</v>
      </c>
      <c r="L2597" s="76">
        <f>VLOOKUP(Tabelle2[[#This Row],[Artikel]],Produkte!A:H,8)</f>
        <v>0.17</v>
      </c>
    </row>
    <row r="2598" spans="1:12" x14ac:dyDescent="0.2">
      <c r="A2598" s="75" t="s">
        <v>1230</v>
      </c>
      <c r="B2598" s="79">
        <v>46130</v>
      </c>
      <c r="C2598" s="89">
        <v>46.2</v>
      </c>
      <c r="D2598" s="75"/>
      <c r="E2598" s="75"/>
      <c r="F2598" s="75">
        <v>10635</v>
      </c>
      <c r="G2598" s="76" t="e">
        <f>VLOOKUP(Tabelle2[[#This Row],[Kunden Nr.]],KUNDEN!A:B,2,0)</f>
        <v>#N/A</v>
      </c>
      <c r="H2598" s="75">
        <v>35128</v>
      </c>
      <c r="I2598" s="76" t="str">
        <f>VLOOKUP(Tabelle2[[#This Row],[Artikel]],Produkte!A:B,2,0)</f>
        <v>M-ONE Sanitar Silikon</v>
      </c>
      <c r="J2598" s="75">
        <v>12</v>
      </c>
      <c r="K2598" s="76" t="str">
        <f>VLOOKUP(Tabelle2[[#This Row],[Kunden Nr.]],KUNDEN!A:G,7)</f>
        <v>Qerimi</v>
      </c>
      <c r="L2598" s="76">
        <f>VLOOKUP(Tabelle2[[#This Row],[Artikel]],Produkte!A:H,8)</f>
        <v>0.17</v>
      </c>
    </row>
    <row r="2599" spans="1:12" x14ac:dyDescent="0.2">
      <c r="A2599" s="75" t="s">
        <v>837</v>
      </c>
      <c r="B2599" s="79">
        <v>46130</v>
      </c>
      <c r="C2599" s="89">
        <v>166.2</v>
      </c>
      <c r="D2599" s="75"/>
      <c r="E2599" s="75"/>
      <c r="F2599" s="75">
        <v>10625</v>
      </c>
      <c r="G2599" s="76" t="str">
        <f>VLOOKUP(Tabelle2[[#This Row],[Kunden Nr.]],KUNDEN!A:B,2,0)</f>
        <v>KUJTA</v>
      </c>
      <c r="H2599" s="75">
        <v>35109</v>
      </c>
      <c r="I2599" s="76" t="str">
        <f>VLOOKUP(Tabelle2[[#This Row],[Artikel]],Produkte!A:B,2,0)</f>
        <v>M-ONE Sanitar Silikon</v>
      </c>
      <c r="J2599" s="75">
        <v>12</v>
      </c>
      <c r="K2599" s="76" t="str">
        <f>VLOOKUP(Tabelle2[[#This Row],[Kunden Nr.]],KUNDEN!A:G,7)</f>
        <v>Qerimi</v>
      </c>
      <c r="L2599" s="76">
        <f>VLOOKUP(Tabelle2[[#This Row],[Artikel]],Produkte!A:H,8)</f>
        <v>0.17</v>
      </c>
    </row>
    <row r="2600" spans="1:12" x14ac:dyDescent="0.2">
      <c r="A2600" s="75" t="s">
        <v>837</v>
      </c>
      <c r="B2600" s="79">
        <v>46130</v>
      </c>
      <c r="C2600" s="75"/>
      <c r="D2600" s="75"/>
      <c r="E2600" s="75"/>
      <c r="F2600" s="75">
        <v>10625</v>
      </c>
      <c r="G2600" s="76" t="str">
        <f>VLOOKUP(Tabelle2[[#This Row],[Kunden Nr.]],KUNDEN!A:B,2,0)</f>
        <v>KUJTA</v>
      </c>
      <c r="H2600" s="75">
        <v>35114</v>
      </c>
      <c r="I2600" s="76" t="str">
        <f>VLOOKUP(Tabelle2[[#This Row],[Artikel]],Produkte!A:B,2,0)</f>
        <v>M-ONE Sanitar Silikon</v>
      </c>
      <c r="J2600" s="75">
        <v>12</v>
      </c>
      <c r="K2600" s="76" t="str">
        <f>VLOOKUP(Tabelle2[[#This Row],[Kunden Nr.]],KUNDEN!A:G,7)</f>
        <v>Qerimi</v>
      </c>
      <c r="L2600" s="76">
        <f>VLOOKUP(Tabelle2[[#This Row],[Artikel]],Produkte!A:H,8)</f>
        <v>0.17</v>
      </c>
    </row>
    <row r="2601" spans="1:12" x14ac:dyDescent="0.2">
      <c r="A2601" s="75" t="s">
        <v>837</v>
      </c>
      <c r="B2601" s="79">
        <v>46130</v>
      </c>
      <c r="C2601" s="75"/>
      <c r="D2601" s="75"/>
      <c r="E2601" s="75"/>
      <c r="F2601" s="75">
        <v>10625</v>
      </c>
      <c r="G2601" s="76" t="str">
        <f>VLOOKUP(Tabelle2[[#This Row],[Kunden Nr.]],KUNDEN!A:B,2,0)</f>
        <v>KUJTA</v>
      </c>
      <c r="H2601" s="75">
        <v>35115</v>
      </c>
      <c r="I2601" s="76" t="str">
        <f>VLOOKUP(Tabelle2[[#This Row],[Artikel]],Produkte!A:B,2,0)</f>
        <v>M-ONE Sanitar Silikon</v>
      </c>
      <c r="J2601" s="75">
        <v>12</v>
      </c>
      <c r="K2601" s="76" t="str">
        <f>VLOOKUP(Tabelle2[[#This Row],[Kunden Nr.]],KUNDEN!A:G,7)</f>
        <v>Qerimi</v>
      </c>
      <c r="L2601" s="76">
        <f>VLOOKUP(Tabelle2[[#This Row],[Artikel]],Produkte!A:H,8)</f>
        <v>0.17</v>
      </c>
    </row>
    <row r="2602" spans="1:12" x14ac:dyDescent="0.2">
      <c r="A2602" s="75" t="s">
        <v>837</v>
      </c>
      <c r="B2602" s="79">
        <v>46130</v>
      </c>
      <c r="C2602" s="75"/>
      <c r="D2602" s="75"/>
      <c r="E2602" s="75"/>
      <c r="F2602" s="75">
        <v>10625</v>
      </c>
      <c r="G2602" s="76" t="str">
        <f>VLOOKUP(Tabelle2[[#This Row],[Kunden Nr.]],KUNDEN!A:B,2,0)</f>
        <v>KUJTA</v>
      </c>
      <c r="H2602" s="75">
        <v>51612</v>
      </c>
      <c r="I2602" s="76" t="str">
        <f>VLOOKUP(Tabelle2[[#This Row],[Artikel]],Produkte!A:B,2,0)</f>
        <v>struktural akryl</v>
      </c>
      <c r="J2602" s="75">
        <v>12</v>
      </c>
      <c r="K2602" s="76" t="str">
        <f>VLOOKUP(Tabelle2[[#This Row],[Kunden Nr.]],KUNDEN!A:G,7)</f>
        <v>Qerimi</v>
      </c>
      <c r="L2602" s="76">
        <f>VLOOKUP(Tabelle2[[#This Row],[Artikel]],Produkte!A:H,8)</f>
        <v>0.06</v>
      </c>
    </row>
    <row r="2603" spans="1:12" x14ac:dyDescent="0.2">
      <c r="A2603" s="75" t="s">
        <v>597</v>
      </c>
      <c r="B2603" s="79">
        <v>46130</v>
      </c>
      <c r="C2603" s="89">
        <v>27.5</v>
      </c>
      <c r="D2603" s="75"/>
      <c r="E2603" s="75"/>
      <c r="F2603" s="75">
        <v>10605</v>
      </c>
      <c r="G2603" s="76" t="str">
        <f>VLOOKUP(Tabelle2[[#This Row],[Kunden Nr.]],KUNDEN!A:B,2,0)</f>
        <v>SABITI</v>
      </c>
      <c r="H2603" s="75">
        <v>54412</v>
      </c>
      <c r="I2603" s="76" t="str">
        <f>VLOOKUP(Tabelle2[[#This Row],[Artikel]],Produkte!A:B,2,0)</f>
        <v>beMAKER Bremsen&amp;Teile Reininger</v>
      </c>
      <c r="J2603" s="75">
        <v>5</v>
      </c>
      <c r="K2603" s="76" t="str">
        <f>VLOOKUP(Tabelle2[[#This Row],[Kunden Nr.]],KUNDEN!A:G,7)</f>
        <v>Qerimi</v>
      </c>
      <c r="L2603" s="76">
        <f>VLOOKUP(Tabelle2[[#This Row],[Artikel]],Produkte!A:H,8)</f>
        <v>0.2</v>
      </c>
    </row>
    <row r="2604" spans="1:12" x14ac:dyDescent="0.2">
      <c r="A2604" s="75" t="s">
        <v>597</v>
      </c>
      <c r="B2604" s="79">
        <v>46130</v>
      </c>
      <c r="C2604" s="75"/>
      <c r="D2604" s="75"/>
      <c r="E2604" s="75"/>
      <c r="F2604" s="75">
        <v>10605</v>
      </c>
      <c r="G2604" s="76" t="str">
        <f>VLOOKUP(Tabelle2[[#This Row],[Kunden Nr.]],KUNDEN!A:B,2,0)</f>
        <v>SABITI</v>
      </c>
      <c r="H2604" s="75">
        <v>44001</v>
      </c>
      <c r="I2604" s="76" t="str">
        <f>VLOOKUP(Tabelle2[[#This Row],[Artikel]],Produkte!A:B,2,0)</f>
        <v>Fettspray</v>
      </c>
      <c r="J2604" s="75">
        <v>5</v>
      </c>
      <c r="K2604" s="76" t="str">
        <f>VLOOKUP(Tabelle2[[#This Row],[Kunden Nr.]],KUNDEN!A:G,7)</f>
        <v>Qerimi</v>
      </c>
      <c r="L2604" s="76">
        <f>VLOOKUP(Tabelle2[[#This Row],[Artikel]],Produkte!A:H,8)</f>
        <v>0.2</v>
      </c>
    </row>
    <row r="2605" spans="1:12" x14ac:dyDescent="0.2">
      <c r="A2605" s="75" t="s">
        <v>1230</v>
      </c>
      <c r="B2605" s="79">
        <v>46130</v>
      </c>
      <c r="C2605" s="89">
        <v>92.4</v>
      </c>
      <c r="D2605" s="75"/>
      <c r="E2605" s="75"/>
      <c r="F2605" s="75">
        <v>10636</v>
      </c>
      <c r="G2605" s="76" t="e">
        <f>VLOOKUP(Tabelle2[[#This Row],[Kunden Nr.]],KUNDEN!A:B,2,0)</f>
        <v>#N/A</v>
      </c>
      <c r="H2605" s="75">
        <v>35112</v>
      </c>
      <c r="I2605" s="76" t="str">
        <f>VLOOKUP(Tabelle2[[#This Row],[Artikel]],Produkte!A:B,2,0)</f>
        <v>M-ONE Sanitar Silikon</v>
      </c>
      <c r="J2605" s="75">
        <v>12</v>
      </c>
      <c r="K2605" s="76" t="str">
        <f>VLOOKUP(Tabelle2[[#This Row],[Kunden Nr.]],KUNDEN!A:G,7)</f>
        <v>Qerimi</v>
      </c>
      <c r="L2605" s="76">
        <f>VLOOKUP(Tabelle2[[#This Row],[Artikel]],Produkte!A:H,8)</f>
        <v>0.17</v>
      </c>
    </row>
    <row r="2606" spans="1:12" x14ac:dyDescent="0.2">
      <c r="A2606" s="75" t="s">
        <v>1230</v>
      </c>
      <c r="B2606" s="79">
        <v>46130</v>
      </c>
      <c r="C2606" s="75"/>
      <c r="D2606" s="75"/>
      <c r="E2606" s="75"/>
      <c r="F2606" s="75">
        <v>10636</v>
      </c>
      <c r="G2606" s="76" t="e">
        <f>VLOOKUP(Tabelle2[[#This Row],[Kunden Nr.]],KUNDEN!A:B,2,0)</f>
        <v>#N/A</v>
      </c>
      <c r="H2606" s="75">
        <v>35108</v>
      </c>
      <c r="I2606" s="76" t="str">
        <f>VLOOKUP(Tabelle2[[#This Row],[Artikel]],Produkte!A:B,2,0)</f>
        <v>M-ONE Sanitar Silikon</v>
      </c>
      <c r="J2606" s="75">
        <v>12</v>
      </c>
      <c r="K2606" s="76" t="str">
        <f>VLOOKUP(Tabelle2[[#This Row],[Kunden Nr.]],KUNDEN!A:G,7)</f>
        <v>Qerimi</v>
      </c>
      <c r="L2606" s="76">
        <f>VLOOKUP(Tabelle2[[#This Row],[Artikel]],Produkte!A:H,8)</f>
        <v>0.17</v>
      </c>
    </row>
    <row r="2607" spans="1:12" x14ac:dyDescent="0.2">
      <c r="A2607" s="75" t="s">
        <v>974</v>
      </c>
      <c r="B2607" s="79">
        <v>46130</v>
      </c>
      <c r="C2607" s="89">
        <v>415.8</v>
      </c>
      <c r="D2607" s="75"/>
      <c r="E2607" s="75"/>
      <c r="F2607" s="75">
        <v>20614</v>
      </c>
      <c r="G2607" s="76" t="str">
        <f>VLOOKUP(Tabelle2[[#This Row],[Kunden Nr.]],KUNDEN!A:B,2,0)</f>
        <v>AS QERAMIKA</v>
      </c>
      <c r="H2607" s="75">
        <v>35109</v>
      </c>
      <c r="I2607" s="76" t="str">
        <f>VLOOKUP(Tabelle2[[#This Row],[Artikel]],Produkte!A:B,2,0)</f>
        <v>M-ONE Sanitar Silikon</v>
      </c>
      <c r="J2607" s="75">
        <v>60</v>
      </c>
      <c r="K2607" s="76" t="str">
        <f>VLOOKUP(Tabelle2[[#This Row],[Kunden Nr.]],KUNDEN!A:G,7)</f>
        <v>Mensuri</v>
      </c>
      <c r="L2607" s="76">
        <f>VLOOKUP(Tabelle2[[#This Row],[Artikel]],Produkte!A:H,8)</f>
        <v>0.17</v>
      </c>
    </row>
    <row r="2608" spans="1:12" x14ac:dyDescent="0.2">
      <c r="A2608" s="75" t="s">
        <v>974</v>
      </c>
      <c r="B2608" s="79">
        <v>46130</v>
      </c>
      <c r="C2608" s="75"/>
      <c r="D2608" s="75"/>
      <c r="E2608" s="75"/>
      <c r="F2608" s="75">
        <v>20614</v>
      </c>
      <c r="G2608" s="76" t="str">
        <f>VLOOKUP(Tabelle2[[#This Row],[Kunden Nr.]],KUNDEN!A:B,2,0)</f>
        <v>AS QERAMIKA</v>
      </c>
      <c r="H2608" s="75">
        <v>35121</v>
      </c>
      <c r="I2608" s="76" t="str">
        <f>VLOOKUP(Tabelle2[[#This Row],[Artikel]],Produkte!A:B,2,0)</f>
        <v>M-ONE Sanitar Silikon</v>
      </c>
      <c r="J2608" s="75">
        <v>36</v>
      </c>
      <c r="K2608" s="76" t="str">
        <f>VLOOKUP(Tabelle2[[#This Row],[Kunden Nr.]],KUNDEN!A:G,7)</f>
        <v>Mensuri</v>
      </c>
      <c r="L2608" s="76">
        <f>VLOOKUP(Tabelle2[[#This Row],[Artikel]],Produkte!A:H,8)</f>
        <v>0.17</v>
      </c>
    </row>
    <row r="2609" spans="1:12" x14ac:dyDescent="0.2">
      <c r="A2609" s="75" t="s">
        <v>974</v>
      </c>
      <c r="B2609" s="79">
        <v>46130</v>
      </c>
      <c r="C2609" s="75"/>
      <c r="D2609" s="75"/>
      <c r="E2609" s="75"/>
      <c r="F2609" s="75">
        <v>20614</v>
      </c>
      <c r="G2609" s="76" t="str">
        <f>VLOOKUP(Tabelle2[[#This Row],[Kunden Nr.]],KUNDEN!A:B,2,0)</f>
        <v>AS QERAMIKA</v>
      </c>
      <c r="H2609" s="75">
        <v>35125</v>
      </c>
      <c r="I2609" s="76" t="str">
        <f>VLOOKUP(Tabelle2[[#This Row],[Artikel]],Produkte!A:B,2,0)</f>
        <v>M-ONE Sanitar Silikon</v>
      </c>
      <c r="J2609" s="75">
        <v>12</v>
      </c>
      <c r="K2609" s="76" t="str">
        <f>VLOOKUP(Tabelle2[[#This Row],[Kunden Nr.]],KUNDEN!A:G,7)</f>
        <v>Mensuri</v>
      </c>
      <c r="L2609" s="76">
        <f>VLOOKUP(Tabelle2[[#This Row],[Artikel]],Produkte!A:H,8)</f>
        <v>0.17</v>
      </c>
    </row>
    <row r="2610" spans="1:12" x14ac:dyDescent="0.2">
      <c r="A2610" s="75" t="s">
        <v>1322</v>
      </c>
      <c r="B2610" s="79">
        <v>46130</v>
      </c>
      <c r="C2610" s="89">
        <v>92.4</v>
      </c>
      <c r="D2610" s="75"/>
      <c r="E2610" s="75"/>
      <c r="F2610" s="75">
        <v>20635</v>
      </c>
      <c r="G2610" s="76" t="e">
        <f>VLOOKUP(Tabelle2[[#This Row],[Kunden Nr.]],KUNDEN!A:B,2,0)</f>
        <v>#N/A</v>
      </c>
      <c r="H2610" s="75">
        <v>35109</v>
      </c>
      <c r="I2610" s="76" t="str">
        <f>VLOOKUP(Tabelle2[[#This Row],[Artikel]],Produkte!A:B,2,0)</f>
        <v>M-ONE Sanitar Silikon</v>
      </c>
      <c r="J2610" s="75">
        <v>24</v>
      </c>
      <c r="K2610" s="76" t="str">
        <f>VLOOKUP(Tabelle2[[#This Row],[Kunden Nr.]],KUNDEN!A:G,7)</f>
        <v>Mensuri</v>
      </c>
      <c r="L2610" s="76">
        <f>VLOOKUP(Tabelle2[[#This Row],[Artikel]],Produkte!A:H,8)</f>
        <v>0.17</v>
      </c>
    </row>
    <row r="2611" spans="1:12" x14ac:dyDescent="0.2">
      <c r="A2611" s="75" t="s">
        <v>1009</v>
      </c>
      <c r="B2611" s="79">
        <v>46130</v>
      </c>
      <c r="C2611" s="89">
        <v>92.4</v>
      </c>
      <c r="D2611" s="75"/>
      <c r="E2611" s="75"/>
      <c r="F2611" s="75">
        <v>20623</v>
      </c>
      <c r="G2611" s="76" t="str">
        <f>VLOOKUP(Tabelle2[[#This Row],[Kunden Nr.]],KUNDEN!A:B,2,0)</f>
        <v>LTI</v>
      </c>
      <c r="H2611" s="75">
        <v>35110</v>
      </c>
      <c r="I2611" s="76" t="str">
        <f>VLOOKUP(Tabelle2[[#This Row],[Artikel]],Produkte!A:B,2,0)</f>
        <v>M-ONE Sanitar Silikon</v>
      </c>
      <c r="J2611" s="75">
        <v>12</v>
      </c>
      <c r="K2611" s="76" t="str">
        <f>VLOOKUP(Tabelle2[[#This Row],[Kunden Nr.]],KUNDEN!A:G,7)</f>
        <v>Mensuri</v>
      </c>
      <c r="L2611" s="76">
        <f>VLOOKUP(Tabelle2[[#This Row],[Artikel]],Produkte!A:H,8)</f>
        <v>0.17</v>
      </c>
    </row>
    <row r="2612" spans="1:12" x14ac:dyDescent="0.2">
      <c r="A2612" s="75" t="s">
        <v>1009</v>
      </c>
      <c r="B2612" s="79">
        <v>46130</v>
      </c>
      <c r="C2612" s="75"/>
      <c r="D2612" s="75"/>
      <c r="E2612" s="75"/>
      <c r="F2612" s="75">
        <v>20623</v>
      </c>
      <c r="G2612" s="76" t="str">
        <f>VLOOKUP(Tabelle2[[#This Row],[Kunden Nr.]],KUNDEN!A:B,2,0)</f>
        <v>LTI</v>
      </c>
      <c r="H2612" s="75">
        <v>35121</v>
      </c>
      <c r="I2612" s="76" t="str">
        <f>VLOOKUP(Tabelle2[[#This Row],[Artikel]],Produkte!A:B,2,0)</f>
        <v>M-ONE Sanitar Silikon</v>
      </c>
      <c r="J2612" s="75">
        <v>12</v>
      </c>
      <c r="K2612" s="76" t="str">
        <f>VLOOKUP(Tabelle2[[#This Row],[Kunden Nr.]],KUNDEN!A:G,7)</f>
        <v>Mensuri</v>
      </c>
      <c r="L2612" s="76">
        <f>VLOOKUP(Tabelle2[[#This Row],[Artikel]],Produkte!A:H,8)</f>
        <v>0.17</v>
      </c>
    </row>
    <row r="2613" spans="1:12" x14ac:dyDescent="0.2">
      <c r="A2613" s="75" t="s">
        <v>967</v>
      </c>
      <c r="B2613" s="79">
        <v>46130</v>
      </c>
      <c r="C2613" s="89">
        <v>92.4</v>
      </c>
      <c r="D2613" s="75"/>
      <c r="E2613" s="75"/>
      <c r="F2613" s="75">
        <v>20603</v>
      </c>
      <c r="G2613" s="76" t="str">
        <f>VLOOKUP(Tabelle2[[#This Row],[Kunden Nr.]],KUNDEN!A:B,2,0)</f>
        <v>PROMOIN</v>
      </c>
      <c r="H2613" s="75">
        <v>35110</v>
      </c>
      <c r="I2613" s="76" t="str">
        <f>VLOOKUP(Tabelle2[[#This Row],[Artikel]],Produkte!A:B,2,0)</f>
        <v>M-ONE Sanitar Silikon</v>
      </c>
      <c r="J2613" s="75">
        <v>12</v>
      </c>
      <c r="K2613" s="76" t="str">
        <f>VLOOKUP(Tabelle2[[#This Row],[Kunden Nr.]],KUNDEN!A:G,7)</f>
        <v>Mensuri</v>
      </c>
      <c r="L2613" s="76">
        <f>VLOOKUP(Tabelle2[[#This Row],[Artikel]],Produkte!A:H,8)</f>
        <v>0.17</v>
      </c>
    </row>
    <row r="2614" spans="1:12" x14ac:dyDescent="0.2">
      <c r="A2614" s="75" t="s">
        <v>967</v>
      </c>
      <c r="B2614" s="79">
        <v>46130</v>
      </c>
      <c r="C2614" s="75"/>
      <c r="D2614" s="75"/>
      <c r="E2614" s="75"/>
      <c r="F2614" s="75">
        <v>20603</v>
      </c>
      <c r="G2614" s="76" t="str">
        <f>VLOOKUP(Tabelle2[[#This Row],[Kunden Nr.]],KUNDEN!A:B,2,0)</f>
        <v>PROMOIN</v>
      </c>
      <c r="H2614" s="75">
        <v>35113</v>
      </c>
      <c r="I2614" s="76" t="str">
        <f>VLOOKUP(Tabelle2[[#This Row],[Artikel]],Produkte!A:B,2,0)</f>
        <v>M-ONE Sanitar Silikon</v>
      </c>
      <c r="J2614" s="75">
        <v>12</v>
      </c>
      <c r="K2614" s="76" t="str">
        <f>VLOOKUP(Tabelle2[[#This Row],[Kunden Nr.]],KUNDEN!A:G,7)</f>
        <v>Mensuri</v>
      </c>
      <c r="L2614" s="76">
        <f>VLOOKUP(Tabelle2[[#This Row],[Artikel]],Produkte!A:H,8)</f>
        <v>0.17</v>
      </c>
    </row>
    <row r="2615" spans="1:12" x14ac:dyDescent="0.2">
      <c r="A2615" s="75" t="s">
        <v>430</v>
      </c>
      <c r="B2615" s="79">
        <v>46130</v>
      </c>
      <c r="C2615" s="89">
        <v>92.4</v>
      </c>
      <c r="D2615" s="75"/>
      <c r="E2615" s="75"/>
      <c r="F2615" s="75">
        <v>20602</v>
      </c>
      <c r="G2615" s="76" t="str">
        <f>VLOOKUP(Tabelle2[[#This Row],[Kunden Nr.]],KUNDEN!A:B,2,0)</f>
        <v>AGROLONDI</v>
      </c>
      <c r="H2615" s="75">
        <v>35111</v>
      </c>
      <c r="I2615" s="76" t="str">
        <f>VLOOKUP(Tabelle2[[#This Row],[Artikel]],Produkte!A:B,2,0)</f>
        <v>M-ONE Sanitar Silikon</v>
      </c>
      <c r="J2615" s="75">
        <v>12</v>
      </c>
      <c r="K2615" s="76" t="str">
        <f>VLOOKUP(Tabelle2[[#This Row],[Kunden Nr.]],KUNDEN!A:G,7)</f>
        <v>Mensuri</v>
      </c>
      <c r="L2615" s="76">
        <f>VLOOKUP(Tabelle2[[#This Row],[Artikel]],Produkte!A:H,8)</f>
        <v>0.17</v>
      </c>
    </row>
    <row r="2616" spans="1:12" x14ac:dyDescent="0.2">
      <c r="A2616" s="75" t="s">
        <v>430</v>
      </c>
      <c r="B2616" s="79">
        <v>46130</v>
      </c>
      <c r="C2616" s="75"/>
      <c r="D2616" s="75"/>
      <c r="E2616" s="75"/>
      <c r="F2616" s="75">
        <v>20602</v>
      </c>
      <c r="G2616" s="76" t="str">
        <f>VLOOKUP(Tabelle2[[#This Row],[Kunden Nr.]],KUNDEN!A:B,2,0)</f>
        <v>AGROLONDI</v>
      </c>
      <c r="H2616" s="75">
        <v>35113</v>
      </c>
      <c r="I2616" s="76" t="str">
        <f>VLOOKUP(Tabelle2[[#This Row],[Artikel]],Produkte!A:B,2,0)</f>
        <v>M-ONE Sanitar Silikon</v>
      </c>
      <c r="J2616" s="75">
        <v>12</v>
      </c>
      <c r="K2616" s="76" t="str">
        <f>VLOOKUP(Tabelle2[[#This Row],[Kunden Nr.]],KUNDEN!A:G,7)</f>
        <v>Mensuri</v>
      </c>
      <c r="L2616" s="76">
        <f>VLOOKUP(Tabelle2[[#This Row],[Artikel]],Produkte!A:H,8)</f>
        <v>0.17</v>
      </c>
    </row>
    <row r="2617" spans="1:12" x14ac:dyDescent="0.2">
      <c r="A2617" s="75" t="s">
        <v>1232</v>
      </c>
      <c r="B2617" s="79">
        <v>46130</v>
      </c>
      <c r="C2617" s="89">
        <v>184.8</v>
      </c>
      <c r="D2617" s="75"/>
      <c r="E2617" s="75"/>
      <c r="F2617" s="75">
        <v>20630</v>
      </c>
      <c r="G2617" s="76" t="str">
        <f>VLOOKUP(Tabelle2[[#This Row],[Kunden Nr.]],KUNDEN!A:B,2,0)</f>
        <v>HIDRO DANI</v>
      </c>
      <c r="H2617" s="75">
        <v>35110</v>
      </c>
      <c r="I2617" s="76" t="str">
        <f>VLOOKUP(Tabelle2[[#This Row],[Artikel]],Produkte!A:B,2,0)</f>
        <v>M-ONE Sanitar Silikon</v>
      </c>
      <c r="J2617" s="75">
        <v>12</v>
      </c>
      <c r="K2617" s="76" t="str">
        <f>VLOOKUP(Tabelle2[[#This Row],[Kunden Nr.]],KUNDEN!A:G,7)</f>
        <v>Mensuri</v>
      </c>
      <c r="L2617" s="76">
        <f>VLOOKUP(Tabelle2[[#This Row],[Artikel]],Produkte!A:H,8)</f>
        <v>0.17</v>
      </c>
    </row>
    <row r="2618" spans="1:12" x14ac:dyDescent="0.2">
      <c r="A2618" s="75" t="s">
        <v>1232</v>
      </c>
      <c r="B2618" s="79">
        <v>46130</v>
      </c>
      <c r="C2618" s="75"/>
      <c r="D2618" s="75"/>
      <c r="E2618" s="75"/>
      <c r="F2618" s="75">
        <v>20630</v>
      </c>
      <c r="G2618" s="76" t="str">
        <f>VLOOKUP(Tabelle2[[#This Row],[Kunden Nr.]],KUNDEN!A:B,2,0)</f>
        <v>HIDRO DANI</v>
      </c>
      <c r="H2618" s="75">
        <v>35111</v>
      </c>
      <c r="I2618" s="76" t="str">
        <f>VLOOKUP(Tabelle2[[#This Row],[Artikel]],Produkte!A:B,2,0)</f>
        <v>M-ONE Sanitar Silikon</v>
      </c>
      <c r="J2618" s="75">
        <v>12</v>
      </c>
      <c r="K2618" s="76" t="str">
        <f>VLOOKUP(Tabelle2[[#This Row],[Kunden Nr.]],KUNDEN!A:G,7)</f>
        <v>Mensuri</v>
      </c>
      <c r="L2618" s="76">
        <f>VLOOKUP(Tabelle2[[#This Row],[Artikel]],Produkte!A:H,8)</f>
        <v>0.17</v>
      </c>
    </row>
    <row r="2619" spans="1:12" x14ac:dyDescent="0.2">
      <c r="A2619" s="75" t="s">
        <v>1232</v>
      </c>
      <c r="B2619" s="79">
        <v>46130</v>
      </c>
      <c r="C2619" s="75"/>
      <c r="D2619" s="75"/>
      <c r="E2619" s="75"/>
      <c r="F2619" s="75">
        <v>20630</v>
      </c>
      <c r="G2619" s="76" t="str">
        <f>VLOOKUP(Tabelle2[[#This Row],[Kunden Nr.]],KUNDEN!A:B,2,0)</f>
        <v>HIDRO DANI</v>
      </c>
      <c r="H2619" s="75">
        <v>35128</v>
      </c>
      <c r="I2619" s="76" t="str">
        <f>VLOOKUP(Tabelle2[[#This Row],[Artikel]],Produkte!A:B,2,0)</f>
        <v>M-ONE Sanitar Silikon</v>
      </c>
      <c r="J2619" s="75">
        <v>12</v>
      </c>
      <c r="K2619" s="76" t="str">
        <f>VLOOKUP(Tabelle2[[#This Row],[Kunden Nr.]],KUNDEN!A:G,7)</f>
        <v>Mensuri</v>
      </c>
      <c r="L2619" s="76">
        <f>VLOOKUP(Tabelle2[[#This Row],[Artikel]],Produkte!A:H,8)</f>
        <v>0.17</v>
      </c>
    </row>
    <row r="2620" spans="1:12" x14ac:dyDescent="0.2">
      <c r="A2620" s="75" t="s">
        <v>1232</v>
      </c>
      <c r="B2620" s="79">
        <v>46130</v>
      </c>
      <c r="C2620" s="75"/>
      <c r="D2620" s="75"/>
      <c r="E2620" s="75"/>
      <c r="F2620" s="75">
        <v>20630</v>
      </c>
      <c r="G2620" s="76" t="str">
        <f>VLOOKUP(Tabelle2[[#This Row],[Kunden Nr.]],KUNDEN!A:B,2,0)</f>
        <v>HIDRO DANI</v>
      </c>
      <c r="H2620" s="75">
        <v>35115</v>
      </c>
      <c r="I2620" s="76" t="str">
        <f>VLOOKUP(Tabelle2[[#This Row],[Artikel]],Produkte!A:B,2,0)</f>
        <v>M-ONE Sanitar Silikon</v>
      </c>
      <c r="J2620" s="75">
        <v>12</v>
      </c>
      <c r="K2620" s="76" t="str">
        <f>VLOOKUP(Tabelle2[[#This Row],[Kunden Nr.]],KUNDEN!A:G,7)</f>
        <v>Mensuri</v>
      </c>
      <c r="L2620" s="76">
        <f>VLOOKUP(Tabelle2[[#This Row],[Artikel]],Produkte!A:H,8)</f>
        <v>0.17</v>
      </c>
    </row>
    <row r="2621" spans="1:12" x14ac:dyDescent="0.2">
      <c r="A2621" s="75" t="s">
        <v>1171</v>
      </c>
      <c r="B2621" s="79">
        <v>46130</v>
      </c>
      <c r="C2621" s="89">
        <v>92.4</v>
      </c>
      <c r="D2621" s="75"/>
      <c r="E2621" s="75"/>
      <c r="F2621" s="75">
        <v>20627</v>
      </c>
      <c r="G2621" s="76" t="str">
        <f>VLOOKUP(Tabelle2[[#This Row],[Kunden Nr.]],KUNDEN!A:B,2,0)</f>
        <v>UNIKA</v>
      </c>
      <c r="H2621" s="75">
        <v>35115</v>
      </c>
      <c r="I2621" s="76" t="str">
        <f>VLOOKUP(Tabelle2[[#This Row],[Artikel]],Produkte!A:B,2,0)</f>
        <v>M-ONE Sanitar Silikon</v>
      </c>
      <c r="J2621" s="75">
        <v>12</v>
      </c>
      <c r="K2621" s="76" t="str">
        <f>VLOOKUP(Tabelle2[[#This Row],[Kunden Nr.]],KUNDEN!A:G,7)</f>
        <v>Mensuri</v>
      </c>
      <c r="L2621" s="76">
        <f>VLOOKUP(Tabelle2[[#This Row],[Artikel]],Produkte!A:H,8)</f>
        <v>0.17</v>
      </c>
    </row>
    <row r="2622" spans="1:12" x14ac:dyDescent="0.2">
      <c r="A2622" s="75" t="s">
        <v>1171</v>
      </c>
      <c r="B2622" s="79">
        <v>46130</v>
      </c>
      <c r="C2622" s="75"/>
      <c r="D2622" s="75"/>
      <c r="E2622" s="75"/>
      <c r="F2622" s="75">
        <v>20627</v>
      </c>
      <c r="G2622" s="76" t="str">
        <f>VLOOKUP(Tabelle2[[#This Row],[Kunden Nr.]],KUNDEN!A:B,2,0)</f>
        <v>UNIKA</v>
      </c>
      <c r="H2622" s="75">
        <v>35128</v>
      </c>
      <c r="I2622" s="76" t="str">
        <f>VLOOKUP(Tabelle2[[#This Row],[Artikel]],Produkte!A:B,2,0)</f>
        <v>M-ONE Sanitar Silikon</v>
      </c>
      <c r="J2622" s="75">
        <v>12</v>
      </c>
      <c r="K2622" s="76" t="str">
        <f>VLOOKUP(Tabelle2[[#This Row],[Kunden Nr.]],KUNDEN!A:G,7)</f>
        <v>Mensuri</v>
      </c>
      <c r="L2622" s="76">
        <f>VLOOKUP(Tabelle2[[#This Row],[Artikel]],Produkte!A:H,8)</f>
        <v>0.17</v>
      </c>
    </row>
    <row r="2623" spans="1:12" x14ac:dyDescent="0.2">
      <c r="A2623" s="75" t="s">
        <v>432</v>
      </c>
      <c r="B2623" s="79">
        <v>46130</v>
      </c>
      <c r="C2623" s="89">
        <v>323.39999999999998</v>
      </c>
      <c r="D2623" s="75"/>
      <c r="E2623" s="75"/>
      <c r="F2623" s="75">
        <v>20604</v>
      </c>
      <c r="G2623" s="76" t="str">
        <f>VLOOKUP(Tabelle2[[#This Row],[Kunden Nr.]],KUNDEN!A:B,2,0)</f>
        <v>ALFA-QERAMIKA</v>
      </c>
      <c r="H2623" s="75">
        <v>35121</v>
      </c>
      <c r="I2623" s="76" t="str">
        <f>VLOOKUP(Tabelle2[[#This Row],[Artikel]],Produkte!A:B,2,0)</f>
        <v>M-ONE Sanitar Silikon</v>
      </c>
      <c r="J2623" s="75">
        <v>60</v>
      </c>
      <c r="K2623" s="76" t="str">
        <f>VLOOKUP(Tabelle2[[#This Row],[Kunden Nr.]],KUNDEN!A:G,7)</f>
        <v>Mensuri</v>
      </c>
      <c r="L2623" s="76">
        <f>VLOOKUP(Tabelle2[[#This Row],[Artikel]],Produkte!A:H,8)</f>
        <v>0.17</v>
      </c>
    </row>
    <row r="2624" spans="1:12" x14ac:dyDescent="0.2">
      <c r="A2624" s="75" t="s">
        <v>432</v>
      </c>
      <c r="B2624" s="79">
        <v>46130</v>
      </c>
      <c r="C2624" s="75"/>
      <c r="D2624" s="75"/>
      <c r="E2624" s="75"/>
      <c r="F2624" s="75">
        <v>20604</v>
      </c>
      <c r="G2624" s="76" t="str">
        <f>VLOOKUP(Tabelle2[[#This Row],[Kunden Nr.]],KUNDEN!A:B,2,0)</f>
        <v>ALFA-QERAMIKA</v>
      </c>
      <c r="H2624" s="75">
        <v>35114</v>
      </c>
      <c r="I2624" s="76" t="str">
        <f>VLOOKUP(Tabelle2[[#This Row],[Artikel]],Produkte!A:B,2,0)</f>
        <v>M-ONE Sanitar Silikon</v>
      </c>
      <c r="J2624" s="75">
        <v>24</v>
      </c>
      <c r="K2624" s="76" t="str">
        <f>VLOOKUP(Tabelle2[[#This Row],[Kunden Nr.]],KUNDEN!A:G,7)</f>
        <v>Mensuri</v>
      </c>
      <c r="L2624" s="76">
        <f>VLOOKUP(Tabelle2[[#This Row],[Artikel]],Produkte!A:H,8)</f>
        <v>0.17</v>
      </c>
    </row>
    <row r="2625" spans="1:12" x14ac:dyDescent="0.2">
      <c r="A2625" s="75" t="s">
        <v>434</v>
      </c>
      <c r="B2625" s="79">
        <v>46130</v>
      </c>
      <c r="C2625" s="89">
        <v>200.3</v>
      </c>
      <c r="D2625" s="75"/>
      <c r="E2625" s="75"/>
      <c r="F2625" s="75">
        <v>20606</v>
      </c>
      <c r="G2625" s="76" t="str">
        <f>VLOOKUP(Tabelle2[[#This Row],[Kunden Nr.]],KUNDEN!A:B,2,0)</f>
        <v>TE-SYLA</v>
      </c>
      <c r="H2625" s="75">
        <v>35108</v>
      </c>
      <c r="I2625" s="76" t="str">
        <f>VLOOKUP(Tabelle2[[#This Row],[Artikel]],Produkte!A:B,2,0)</f>
        <v>M-ONE Sanitar Silikon</v>
      </c>
      <c r="J2625" s="75">
        <v>12</v>
      </c>
      <c r="K2625" s="76" t="str">
        <f>VLOOKUP(Tabelle2[[#This Row],[Kunden Nr.]],KUNDEN!A:G,7)</f>
        <v>Mensuri</v>
      </c>
      <c r="L2625" s="76">
        <f>VLOOKUP(Tabelle2[[#This Row],[Artikel]],Produkte!A:H,8)</f>
        <v>0.17</v>
      </c>
    </row>
    <row r="2626" spans="1:12" x14ac:dyDescent="0.2">
      <c r="A2626" s="75" t="s">
        <v>434</v>
      </c>
      <c r="B2626" s="79">
        <v>46130</v>
      </c>
      <c r="C2626" s="75"/>
      <c r="D2626" s="75"/>
      <c r="E2626" s="75"/>
      <c r="F2626" s="75">
        <v>20606</v>
      </c>
      <c r="G2626" s="76" t="str">
        <f>VLOOKUP(Tabelle2[[#This Row],[Kunden Nr.]],KUNDEN!A:B,2,0)</f>
        <v>TE-SYLA</v>
      </c>
      <c r="H2626" s="75">
        <v>35121</v>
      </c>
      <c r="I2626" s="76" t="str">
        <f>VLOOKUP(Tabelle2[[#This Row],[Artikel]],Produkte!A:B,2,0)</f>
        <v>M-ONE Sanitar Silikon</v>
      </c>
      <c r="J2626" s="75">
        <v>12</v>
      </c>
      <c r="K2626" s="76" t="str">
        <f>VLOOKUP(Tabelle2[[#This Row],[Kunden Nr.]],KUNDEN!A:G,7)</f>
        <v>Mensuri</v>
      </c>
      <c r="L2626" s="76">
        <f>VLOOKUP(Tabelle2[[#This Row],[Artikel]],Produkte!A:H,8)</f>
        <v>0.17</v>
      </c>
    </row>
    <row r="2627" spans="1:12" x14ac:dyDescent="0.2">
      <c r="A2627" s="75" t="s">
        <v>434</v>
      </c>
      <c r="B2627" s="79">
        <v>46130</v>
      </c>
      <c r="C2627" s="75"/>
      <c r="D2627" s="75"/>
      <c r="E2627" s="75"/>
      <c r="F2627" s="75">
        <v>20606</v>
      </c>
      <c r="G2627" s="76" t="str">
        <f>VLOOKUP(Tabelle2[[#This Row],[Kunden Nr.]],KUNDEN!A:B,2,0)</f>
        <v>TE-SYLA</v>
      </c>
      <c r="H2627" s="75">
        <v>35125</v>
      </c>
      <c r="I2627" s="76" t="str">
        <f>VLOOKUP(Tabelle2[[#This Row],[Artikel]],Produkte!A:B,2,0)</f>
        <v>M-ONE Sanitar Silikon</v>
      </c>
      <c r="J2627" s="75">
        <v>12</v>
      </c>
      <c r="K2627" s="76" t="str">
        <f>VLOOKUP(Tabelle2[[#This Row],[Kunden Nr.]],KUNDEN!A:G,7)</f>
        <v>Mensuri</v>
      </c>
      <c r="L2627" s="76">
        <f>VLOOKUP(Tabelle2[[#This Row],[Artikel]],Produkte!A:H,8)</f>
        <v>0.17</v>
      </c>
    </row>
    <row r="2628" spans="1:12" x14ac:dyDescent="0.2">
      <c r="A2628" s="75" t="s">
        <v>434</v>
      </c>
      <c r="B2628" s="79">
        <v>46130</v>
      </c>
      <c r="C2628" s="75"/>
      <c r="D2628" s="75"/>
      <c r="E2628" s="75"/>
      <c r="F2628" s="75">
        <v>20606</v>
      </c>
      <c r="G2628" s="76" t="str">
        <f>VLOOKUP(Tabelle2[[#This Row],[Kunden Nr.]],KUNDEN!A:B,2,0)</f>
        <v>TE-SYLA</v>
      </c>
      <c r="H2628" s="75">
        <v>50912</v>
      </c>
      <c r="I2628" s="76" t="str">
        <f>VLOOKUP(Tabelle2[[#This Row],[Artikel]],Produkte!A:B,2,0)</f>
        <v>DICHTUNG</v>
      </c>
      <c r="J2628" s="75">
        <v>6</v>
      </c>
      <c r="K2628" s="76" t="str">
        <f>VLOOKUP(Tabelle2[[#This Row],[Kunden Nr.]],KUNDEN!A:G,7)</f>
        <v>Mensuri</v>
      </c>
      <c r="L2628" s="76">
        <f>VLOOKUP(Tabelle2[[#This Row],[Artikel]],Produkte!A:H,8)</f>
        <v>0.2</v>
      </c>
    </row>
    <row r="2629" spans="1:12" x14ac:dyDescent="0.2">
      <c r="A2629" s="75" t="s">
        <v>434</v>
      </c>
      <c r="B2629" s="79">
        <v>46130</v>
      </c>
      <c r="C2629" s="75"/>
      <c r="D2629" s="75"/>
      <c r="E2629" s="75"/>
      <c r="F2629" s="75">
        <v>20606</v>
      </c>
      <c r="G2629" s="76" t="str">
        <f>VLOOKUP(Tabelle2[[#This Row],[Kunden Nr.]],KUNDEN!A:B,2,0)</f>
        <v>TE-SYLA</v>
      </c>
      <c r="H2629" s="75">
        <v>55718</v>
      </c>
      <c r="I2629" s="76" t="str">
        <f>VLOOKUP(Tabelle2[[#This Row],[Artikel]],Produkte!A:B,2,0)</f>
        <v>M ONE MOTORSTART</v>
      </c>
      <c r="J2629" s="75">
        <v>3</v>
      </c>
      <c r="K2629" s="76" t="str">
        <f>VLOOKUP(Tabelle2[[#This Row],[Kunden Nr.]],KUNDEN!A:G,7)</f>
        <v>Mensuri</v>
      </c>
      <c r="L2629" s="76">
        <f>VLOOKUP(Tabelle2[[#This Row],[Artikel]],Produkte!A:H,8)</f>
        <v>0.2</v>
      </c>
    </row>
    <row r="2630" spans="1:12" x14ac:dyDescent="0.2">
      <c r="A2630" s="75" t="s">
        <v>434</v>
      </c>
      <c r="B2630" s="79">
        <v>46130</v>
      </c>
      <c r="C2630" s="75"/>
      <c r="D2630" s="75"/>
      <c r="E2630" s="75"/>
      <c r="F2630" s="75">
        <v>20606</v>
      </c>
      <c r="G2630" s="76" t="str">
        <f>VLOOKUP(Tabelle2[[#This Row],[Kunden Nr.]],KUNDEN!A:B,2,0)</f>
        <v>TE-SYLA</v>
      </c>
      <c r="H2630" s="75">
        <v>49644</v>
      </c>
      <c r="I2630" s="76" t="str">
        <f>VLOOKUP(Tabelle2[[#This Row],[Artikel]],Produkte!A:B,2,0)</f>
        <v>beMAKER Rostlöser</v>
      </c>
      <c r="J2630" s="75">
        <v>4</v>
      </c>
      <c r="K2630" s="76" t="str">
        <f>VLOOKUP(Tabelle2[[#This Row],[Kunden Nr.]],KUNDEN!A:G,7)</f>
        <v>Mensuri</v>
      </c>
      <c r="L2630" s="76">
        <f>VLOOKUP(Tabelle2[[#This Row],[Artikel]],Produkte!A:H,8)</f>
        <v>0.2</v>
      </c>
    </row>
    <row r="2631" spans="1:12" x14ac:dyDescent="0.2">
      <c r="A2631" s="75" t="s">
        <v>435</v>
      </c>
      <c r="B2631" s="79">
        <v>46130</v>
      </c>
      <c r="C2631" s="89">
        <v>184.8</v>
      </c>
      <c r="D2631" s="75"/>
      <c r="E2631" s="75"/>
      <c r="F2631" s="75">
        <v>20608</v>
      </c>
      <c r="G2631" s="76" t="str">
        <f>VLOOKUP(Tabelle2[[#This Row],[Kunden Nr.]],KUNDEN!A:B,2,0)</f>
        <v>LONI</v>
      </c>
      <c r="H2631" s="75">
        <v>35110</v>
      </c>
      <c r="I2631" s="76" t="str">
        <f>VLOOKUP(Tabelle2[[#This Row],[Artikel]],Produkte!A:B,2,0)</f>
        <v>M-ONE Sanitar Silikon</v>
      </c>
      <c r="J2631" s="75">
        <v>24</v>
      </c>
      <c r="K2631" s="76" t="str">
        <f>VLOOKUP(Tabelle2[[#This Row],[Kunden Nr.]],KUNDEN!A:G,7)</f>
        <v>Mensuri</v>
      </c>
      <c r="L2631" s="76">
        <f>VLOOKUP(Tabelle2[[#This Row],[Artikel]],Produkte!A:H,8)</f>
        <v>0.17</v>
      </c>
    </row>
    <row r="2632" spans="1:12" x14ac:dyDescent="0.2">
      <c r="A2632" s="75" t="s">
        <v>435</v>
      </c>
      <c r="B2632" s="79">
        <v>46130</v>
      </c>
      <c r="C2632" s="75"/>
      <c r="D2632" s="75"/>
      <c r="E2632" s="75"/>
      <c r="F2632" s="75">
        <v>20608</v>
      </c>
      <c r="G2632" s="76" t="str">
        <f>VLOOKUP(Tabelle2[[#This Row],[Kunden Nr.]],KUNDEN!A:B,2,0)</f>
        <v>LONI</v>
      </c>
      <c r="H2632" s="75">
        <v>35121</v>
      </c>
      <c r="I2632" s="76" t="str">
        <f>VLOOKUP(Tabelle2[[#This Row],[Artikel]],Produkte!A:B,2,0)</f>
        <v>M-ONE Sanitar Silikon</v>
      </c>
      <c r="J2632" s="75">
        <v>24</v>
      </c>
      <c r="K2632" s="76" t="str">
        <f>VLOOKUP(Tabelle2[[#This Row],[Kunden Nr.]],KUNDEN!A:G,7)</f>
        <v>Mensuri</v>
      </c>
      <c r="L2632" s="76">
        <f>VLOOKUP(Tabelle2[[#This Row],[Artikel]],Produkte!A:H,8)</f>
        <v>0.17</v>
      </c>
    </row>
    <row r="2633" spans="1:12" x14ac:dyDescent="0.2">
      <c r="A2633" s="75" t="s">
        <v>446</v>
      </c>
      <c r="B2633" s="79">
        <v>46130</v>
      </c>
      <c r="C2633" s="89">
        <v>138.6</v>
      </c>
      <c r="D2633" s="75"/>
      <c r="E2633" s="75"/>
      <c r="F2633" s="75">
        <v>20615</v>
      </c>
      <c r="G2633" s="76" t="str">
        <f>VLOOKUP(Tabelle2[[#This Row],[Kunden Nr.]],KUNDEN!A:B,2,0)</f>
        <v>MIX-B</v>
      </c>
      <c r="H2633" s="75">
        <v>35113</v>
      </c>
      <c r="I2633" s="76" t="str">
        <f>VLOOKUP(Tabelle2[[#This Row],[Artikel]],Produkte!A:B,2,0)</f>
        <v>M-ONE Sanitar Silikon</v>
      </c>
      <c r="J2633" s="75">
        <v>12</v>
      </c>
      <c r="K2633" s="76" t="str">
        <f>VLOOKUP(Tabelle2[[#This Row],[Kunden Nr.]],KUNDEN!A:G,7)</f>
        <v>Mensuri</v>
      </c>
      <c r="L2633" s="76">
        <f>VLOOKUP(Tabelle2[[#This Row],[Artikel]],Produkte!A:H,8)</f>
        <v>0.17</v>
      </c>
    </row>
    <row r="2634" spans="1:12" x14ac:dyDescent="0.2">
      <c r="A2634" s="75" t="s">
        <v>446</v>
      </c>
      <c r="B2634" s="79">
        <v>46130</v>
      </c>
      <c r="C2634" s="75"/>
      <c r="D2634" s="75"/>
      <c r="E2634" s="75"/>
      <c r="F2634" s="75">
        <v>20615</v>
      </c>
      <c r="G2634" s="76" t="str">
        <f>VLOOKUP(Tabelle2[[#This Row],[Kunden Nr.]],KUNDEN!A:B,2,0)</f>
        <v>MIX-B</v>
      </c>
      <c r="H2634" s="75">
        <v>35128</v>
      </c>
      <c r="I2634" s="76" t="str">
        <f>VLOOKUP(Tabelle2[[#This Row],[Artikel]],Produkte!A:B,2,0)</f>
        <v>M-ONE Sanitar Silikon</v>
      </c>
      <c r="J2634" s="75">
        <v>12</v>
      </c>
      <c r="K2634" s="76" t="str">
        <f>VLOOKUP(Tabelle2[[#This Row],[Kunden Nr.]],KUNDEN!A:G,7)</f>
        <v>Mensuri</v>
      </c>
      <c r="L2634" s="76">
        <f>VLOOKUP(Tabelle2[[#This Row],[Artikel]],Produkte!A:H,8)</f>
        <v>0.17</v>
      </c>
    </row>
    <row r="2635" spans="1:12" x14ac:dyDescent="0.2">
      <c r="A2635" s="75" t="s">
        <v>446</v>
      </c>
      <c r="B2635" s="79">
        <v>46130</v>
      </c>
      <c r="C2635" s="75"/>
      <c r="D2635" s="75"/>
      <c r="E2635" s="75"/>
      <c r="F2635" s="75">
        <v>20615</v>
      </c>
      <c r="G2635" s="76" t="str">
        <f>VLOOKUP(Tabelle2[[#This Row],[Kunden Nr.]],KUNDEN!A:B,2,0)</f>
        <v>MIX-B</v>
      </c>
      <c r="H2635" s="75">
        <v>35121</v>
      </c>
      <c r="I2635" s="76" t="str">
        <f>VLOOKUP(Tabelle2[[#This Row],[Artikel]],Produkte!A:B,2,0)</f>
        <v>M-ONE Sanitar Silikon</v>
      </c>
      <c r="J2635" s="75">
        <v>12</v>
      </c>
      <c r="K2635" s="76" t="str">
        <f>VLOOKUP(Tabelle2[[#This Row],[Kunden Nr.]],KUNDEN!A:G,7)</f>
        <v>Mensuri</v>
      </c>
      <c r="L2635" s="76">
        <f>VLOOKUP(Tabelle2[[#This Row],[Artikel]],Produkte!A:H,8)</f>
        <v>0.17</v>
      </c>
    </row>
    <row r="2636" spans="1:12" x14ac:dyDescent="0.2">
      <c r="A2636" s="75" t="s">
        <v>1188</v>
      </c>
      <c r="B2636" s="79">
        <v>46132</v>
      </c>
      <c r="C2636" s="89">
        <v>92.4</v>
      </c>
      <c r="D2636" s="75"/>
      <c r="E2636" s="75"/>
      <c r="F2636" s="75">
        <v>10133</v>
      </c>
      <c r="G2636" s="76" t="str">
        <f>VLOOKUP(Tabelle2[[#This Row],[Kunden Nr.]],KUNDEN!A:B,2,0)</f>
        <v>HIDROELDI</v>
      </c>
      <c r="H2636" s="75">
        <v>35109</v>
      </c>
      <c r="I2636" s="76" t="str">
        <f>VLOOKUP(Tabelle2[[#This Row],[Artikel]],Produkte!A:B,2,0)</f>
        <v>M-ONE Sanitar Silikon</v>
      </c>
      <c r="J2636" s="75">
        <v>12</v>
      </c>
      <c r="K2636" s="76" t="str">
        <f>VLOOKUP(Tabelle2[[#This Row],[Kunden Nr.]],KUNDEN!A:G,7)</f>
        <v>Qerimi</v>
      </c>
      <c r="L2636" s="76">
        <f>VLOOKUP(Tabelle2[[#This Row],[Artikel]],Produkte!A:H,8)</f>
        <v>0.17</v>
      </c>
    </row>
    <row r="2637" spans="1:12" x14ac:dyDescent="0.2">
      <c r="A2637" s="75" t="s">
        <v>1188</v>
      </c>
      <c r="B2637" s="79">
        <v>46132</v>
      </c>
      <c r="C2637" s="75"/>
      <c r="D2637" s="75"/>
      <c r="E2637" s="75"/>
      <c r="F2637" s="75">
        <v>10133</v>
      </c>
      <c r="G2637" s="76" t="str">
        <f>VLOOKUP(Tabelle2[[#This Row],[Kunden Nr.]],KUNDEN!A:B,2,0)</f>
        <v>HIDROELDI</v>
      </c>
      <c r="H2637" s="75">
        <v>35119</v>
      </c>
      <c r="I2637" s="76" t="str">
        <f>VLOOKUP(Tabelle2[[#This Row],[Artikel]],Produkte!A:B,2,0)</f>
        <v>M-ONE Sanitar Silikon</v>
      </c>
      <c r="J2637" s="75">
        <v>12</v>
      </c>
      <c r="K2637" s="76" t="str">
        <f>VLOOKUP(Tabelle2[[#This Row],[Kunden Nr.]],KUNDEN!A:G,7)</f>
        <v>Qerimi</v>
      </c>
      <c r="L2637" s="76">
        <f>VLOOKUP(Tabelle2[[#This Row],[Artikel]],Produkte!A:H,8)</f>
        <v>0.17</v>
      </c>
    </row>
    <row r="2638" spans="1:12" x14ac:dyDescent="0.2">
      <c r="A2638" s="75" t="s">
        <v>1265</v>
      </c>
      <c r="B2638" s="79">
        <v>46132</v>
      </c>
      <c r="C2638" s="89">
        <v>184.8</v>
      </c>
      <c r="D2638" s="75"/>
      <c r="E2638" s="75"/>
      <c r="F2638" s="75">
        <v>10145</v>
      </c>
      <c r="G2638" s="76" t="str">
        <f>VLOOKUP(Tabelle2[[#This Row],[Kunden Nr.]],KUNDEN!A:B,2,0)</f>
        <v>KRRABAJ</v>
      </c>
      <c r="H2638" s="75">
        <v>35109</v>
      </c>
      <c r="I2638" s="76" t="str">
        <f>VLOOKUP(Tabelle2[[#This Row],[Artikel]],Produkte!A:B,2,0)</f>
        <v>M-ONE Sanitar Silikon</v>
      </c>
      <c r="J2638" s="75">
        <v>12</v>
      </c>
      <c r="K2638" s="76" t="str">
        <f>VLOOKUP(Tabelle2[[#This Row],[Kunden Nr.]],KUNDEN!A:G,7)</f>
        <v>Qerimi</v>
      </c>
      <c r="L2638" s="76">
        <f>VLOOKUP(Tabelle2[[#This Row],[Artikel]],Produkte!A:H,8)</f>
        <v>0.17</v>
      </c>
    </row>
    <row r="2639" spans="1:12" x14ac:dyDescent="0.2">
      <c r="A2639" s="75" t="s">
        <v>1265</v>
      </c>
      <c r="B2639" s="79">
        <v>46132</v>
      </c>
      <c r="C2639" s="75"/>
      <c r="D2639" s="75"/>
      <c r="E2639" s="75"/>
      <c r="F2639" s="75">
        <v>10145</v>
      </c>
      <c r="G2639" s="76" t="str">
        <f>VLOOKUP(Tabelle2[[#This Row],[Kunden Nr.]],KUNDEN!A:B,2,0)</f>
        <v>KRRABAJ</v>
      </c>
      <c r="H2639" s="75">
        <v>35112</v>
      </c>
      <c r="I2639" s="76" t="str">
        <f>VLOOKUP(Tabelle2[[#This Row],[Artikel]],Produkte!A:B,2,0)</f>
        <v>M-ONE Sanitar Silikon</v>
      </c>
      <c r="J2639" s="75">
        <v>12</v>
      </c>
      <c r="K2639" s="76" t="str">
        <f>VLOOKUP(Tabelle2[[#This Row],[Kunden Nr.]],KUNDEN!A:G,7)</f>
        <v>Qerimi</v>
      </c>
      <c r="L2639" s="76">
        <f>VLOOKUP(Tabelle2[[#This Row],[Artikel]],Produkte!A:H,8)</f>
        <v>0.17</v>
      </c>
    </row>
    <row r="2640" spans="1:12" x14ac:dyDescent="0.2">
      <c r="A2640" s="75" t="s">
        <v>1265</v>
      </c>
      <c r="B2640" s="79">
        <v>46132</v>
      </c>
      <c r="C2640" s="75"/>
      <c r="D2640" s="75"/>
      <c r="E2640" s="75"/>
      <c r="F2640" s="75">
        <v>10145</v>
      </c>
      <c r="G2640" s="76" t="str">
        <f>VLOOKUP(Tabelle2[[#This Row],[Kunden Nr.]],KUNDEN!A:B,2,0)</f>
        <v>KRRABAJ</v>
      </c>
      <c r="H2640" s="75">
        <v>35114</v>
      </c>
      <c r="I2640" s="76" t="str">
        <f>VLOOKUP(Tabelle2[[#This Row],[Artikel]],Produkte!A:B,2,0)</f>
        <v>M-ONE Sanitar Silikon</v>
      </c>
      <c r="J2640" s="75">
        <v>12</v>
      </c>
      <c r="K2640" s="76" t="str">
        <f>VLOOKUP(Tabelle2[[#This Row],[Kunden Nr.]],KUNDEN!A:G,7)</f>
        <v>Qerimi</v>
      </c>
      <c r="L2640" s="76">
        <f>VLOOKUP(Tabelle2[[#This Row],[Artikel]],Produkte!A:H,8)</f>
        <v>0.17</v>
      </c>
    </row>
    <row r="2641" spans="1:12" x14ac:dyDescent="0.2">
      <c r="A2641" s="75" t="s">
        <v>1265</v>
      </c>
      <c r="B2641" s="79">
        <v>46132</v>
      </c>
      <c r="C2641" s="75"/>
      <c r="D2641" s="75"/>
      <c r="E2641" s="75"/>
      <c r="F2641" s="75">
        <v>10145</v>
      </c>
      <c r="G2641" s="76" t="str">
        <f>VLOOKUP(Tabelle2[[#This Row],[Kunden Nr.]],KUNDEN!A:B,2,0)</f>
        <v>KRRABAJ</v>
      </c>
      <c r="H2641" s="75">
        <v>35115</v>
      </c>
      <c r="I2641" s="76" t="str">
        <f>VLOOKUP(Tabelle2[[#This Row],[Artikel]],Produkte!A:B,2,0)</f>
        <v>M-ONE Sanitar Silikon</v>
      </c>
      <c r="J2641" s="75">
        <v>12</v>
      </c>
      <c r="K2641" s="76" t="str">
        <f>VLOOKUP(Tabelle2[[#This Row],[Kunden Nr.]],KUNDEN!A:G,7)</f>
        <v>Qerimi</v>
      </c>
      <c r="L2641" s="76">
        <f>VLOOKUP(Tabelle2[[#This Row],[Artikel]],Produkte!A:H,8)</f>
        <v>0.17</v>
      </c>
    </row>
    <row r="2642" spans="1:12" x14ac:dyDescent="0.2">
      <c r="A2642" s="75" t="s">
        <v>573</v>
      </c>
      <c r="B2642" s="79">
        <v>46132</v>
      </c>
      <c r="C2642" s="89">
        <v>127.9</v>
      </c>
      <c r="D2642" s="75"/>
      <c r="E2642" s="75"/>
      <c r="F2642" s="75">
        <v>10111</v>
      </c>
      <c r="G2642" s="76" t="str">
        <f>VLOOKUP(Tabelle2[[#This Row],[Kunden Nr.]],KUNDEN!A:B,2,0)</f>
        <v>KADIJOLLET</v>
      </c>
      <c r="H2642" s="75">
        <v>35109</v>
      </c>
      <c r="I2642" s="76" t="str">
        <f>VLOOKUP(Tabelle2[[#This Row],[Artikel]],Produkte!A:B,2,0)</f>
        <v>M-ONE Sanitar Silikon</v>
      </c>
      <c r="J2642" s="75">
        <v>12</v>
      </c>
      <c r="K2642" s="76" t="str">
        <f>VLOOKUP(Tabelle2[[#This Row],[Kunden Nr.]],KUNDEN!A:G,7)</f>
        <v>Qerimi</v>
      </c>
      <c r="L2642" s="76">
        <f>VLOOKUP(Tabelle2[[#This Row],[Artikel]],Produkte!A:H,8)</f>
        <v>0.17</v>
      </c>
    </row>
    <row r="2643" spans="1:12" x14ac:dyDescent="0.2">
      <c r="A2643" s="75" t="s">
        <v>573</v>
      </c>
      <c r="B2643" s="79">
        <v>46132</v>
      </c>
      <c r="C2643" s="75"/>
      <c r="D2643" s="75"/>
      <c r="E2643" s="75"/>
      <c r="F2643" s="75">
        <v>10111</v>
      </c>
      <c r="G2643" s="76" t="str">
        <f>VLOOKUP(Tabelle2[[#This Row],[Kunden Nr.]],KUNDEN!A:B,2,0)</f>
        <v>KADIJOLLET</v>
      </c>
      <c r="H2643" s="75">
        <v>35128</v>
      </c>
      <c r="I2643" s="76" t="str">
        <f>VLOOKUP(Tabelle2[[#This Row],[Artikel]],Produkte!A:B,2,0)</f>
        <v>M-ONE Sanitar Silikon</v>
      </c>
      <c r="J2643" s="75">
        <v>12</v>
      </c>
      <c r="K2643" s="76" t="str">
        <f>VLOOKUP(Tabelle2[[#This Row],[Kunden Nr.]],KUNDEN!A:G,7)</f>
        <v>Qerimi</v>
      </c>
      <c r="L2643" s="76">
        <f>VLOOKUP(Tabelle2[[#This Row],[Artikel]],Produkte!A:H,8)</f>
        <v>0.17</v>
      </c>
    </row>
    <row r="2644" spans="1:12" x14ac:dyDescent="0.2">
      <c r="A2644" s="75" t="s">
        <v>573</v>
      </c>
      <c r="B2644" s="79">
        <v>46132</v>
      </c>
      <c r="C2644" s="75"/>
      <c r="D2644" s="75"/>
      <c r="E2644" s="75"/>
      <c r="F2644" s="75">
        <v>10111</v>
      </c>
      <c r="G2644" s="76" t="str">
        <f>VLOOKUP(Tabelle2[[#This Row],[Kunden Nr.]],KUNDEN!A:B,2,0)</f>
        <v>KADIJOLLET</v>
      </c>
      <c r="H2644" s="75">
        <v>51611</v>
      </c>
      <c r="I2644" s="76" t="str">
        <f>VLOOKUP(Tabelle2[[#This Row],[Artikel]],Produkte!A:B,2,0)</f>
        <v>universal akryl</v>
      </c>
      <c r="J2644" s="75">
        <v>12</v>
      </c>
      <c r="K2644" s="76" t="str">
        <f>VLOOKUP(Tabelle2[[#This Row],[Kunden Nr.]],KUNDEN!A:G,7)</f>
        <v>Qerimi</v>
      </c>
      <c r="L2644" s="76">
        <f>VLOOKUP(Tabelle2[[#This Row],[Artikel]],Produkte!A:H,8)</f>
        <v>0.06</v>
      </c>
    </row>
    <row r="2645" spans="1:12" x14ac:dyDescent="0.2">
      <c r="A2645" s="75" t="s">
        <v>573</v>
      </c>
      <c r="B2645" s="79">
        <v>46132</v>
      </c>
      <c r="C2645" s="75"/>
      <c r="D2645" s="75"/>
      <c r="E2645" s="75"/>
      <c r="F2645" s="75">
        <v>10111</v>
      </c>
      <c r="G2645" s="76" t="str">
        <f>VLOOKUP(Tabelle2[[#This Row],[Kunden Nr.]],KUNDEN!A:B,2,0)</f>
        <v>KADIJOLLET</v>
      </c>
      <c r="H2645" s="75">
        <v>54412</v>
      </c>
      <c r="I2645" s="76" t="str">
        <f>VLOOKUP(Tabelle2[[#This Row],[Artikel]],Produkte!A:B,2,0)</f>
        <v>beMAKER Bremsen&amp;Teile Reininger</v>
      </c>
      <c r="J2645" s="75">
        <v>5</v>
      </c>
      <c r="K2645" s="76" t="str">
        <f>VLOOKUP(Tabelle2[[#This Row],[Kunden Nr.]],KUNDEN!A:G,7)</f>
        <v>Qerimi</v>
      </c>
      <c r="L2645" s="76">
        <f>VLOOKUP(Tabelle2[[#This Row],[Artikel]],Produkte!A:H,8)</f>
        <v>0.2</v>
      </c>
    </row>
    <row r="2646" spans="1:12" x14ac:dyDescent="0.2">
      <c r="A2646" s="75" t="s">
        <v>573</v>
      </c>
      <c r="B2646" s="79">
        <v>46132</v>
      </c>
      <c r="C2646" s="75"/>
      <c r="D2646" s="75"/>
      <c r="E2646" s="75"/>
      <c r="F2646" s="75">
        <v>10111</v>
      </c>
      <c r="G2646" s="76" t="str">
        <f>VLOOKUP(Tabelle2[[#This Row],[Kunden Nr.]],KUNDEN!A:B,2,0)</f>
        <v>KADIJOLLET</v>
      </c>
      <c r="H2646" s="75">
        <v>55718</v>
      </c>
      <c r="I2646" s="76" t="str">
        <f>VLOOKUP(Tabelle2[[#This Row],[Artikel]],Produkte!A:B,2,0)</f>
        <v>M ONE MOTORSTART</v>
      </c>
      <c r="J2646" s="75">
        <v>3</v>
      </c>
      <c r="K2646" s="76" t="str">
        <f>VLOOKUP(Tabelle2[[#This Row],[Kunden Nr.]],KUNDEN!A:G,7)</f>
        <v>Qerimi</v>
      </c>
      <c r="L2646" s="76">
        <f>VLOOKUP(Tabelle2[[#This Row],[Artikel]],Produkte!A:H,8)</f>
        <v>0.2</v>
      </c>
    </row>
    <row r="2647" spans="1:12" x14ac:dyDescent="0.2">
      <c r="A2647" s="75" t="s">
        <v>576</v>
      </c>
      <c r="B2647" s="79">
        <v>46132</v>
      </c>
      <c r="C2647" s="89">
        <v>36.6</v>
      </c>
      <c r="D2647" s="75"/>
      <c r="E2647" s="75"/>
      <c r="F2647" s="75">
        <v>10114</v>
      </c>
      <c r="G2647" s="76" t="str">
        <f>VLOOKUP(Tabelle2[[#This Row],[Kunden Nr.]],KUNDEN!A:B,2,0)</f>
        <v>QELA</v>
      </c>
      <c r="H2647" s="75">
        <v>51611</v>
      </c>
      <c r="I2647" s="76" t="str">
        <f>VLOOKUP(Tabelle2[[#This Row],[Artikel]],Produkte!A:B,2,0)</f>
        <v>universal akryl</v>
      </c>
      <c r="J2647" s="75">
        <v>12</v>
      </c>
      <c r="K2647" s="76" t="str">
        <f>VLOOKUP(Tabelle2[[#This Row],[Kunden Nr.]],KUNDEN!A:G,7)</f>
        <v>Qerimi</v>
      </c>
      <c r="L2647" s="76">
        <f>VLOOKUP(Tabelle2[[#This Row],[Artikel]],Produkte!A:H,8)</f>
        <v>0.06</v>
      </c>
    </row>
    <row r="2648" spans="1:12" x14ac:dyDescent="0.2">
      <c r="A2648" s="75" t="s">
        <v>576</v>
      </c>
      <c r="B2648" s="79">
        <v>46132</v>
      </c>
      <c r="C2648" s="75"/>
      <c r="D2648" s="75"/>
      <c r="E2648" s="75"/>
      <c r="F2648" s="75">
        <v>10114</v>
      </c>
      <c r="G2648" s="76" t="str">
        <f>VLOOKUP(Tabelle2[[#This Row],[Kunden Nr.]],KUNDEN!A:B,2,0)</f>
        <v>QELA</v>
      </c>
      <c r="H2648" s="75">
        <v>50912</v>
      </c>
      <c r="I2648" s="76" t="str">
        <f>VLOOKUP(Tabelle2[[#This Row],[Artikel]],Produkte!A:B,2,0)</f>
        <v>DICHTUNG</v>
      </c>
      <c r="J2648" s="75">
        <v>3</v>
      </c>
      <c r="K2648" s="76" t="str">
        <f>VLOOKUP(Tabelle2[[#This Row],[Kunden Nr.]],KUNDEN!A:G,7)</f>
        <v>Qerimi</v>
      </c>
      <c r="L2648" s="76">
        <f>VLOOKUP(Tabelle2[[#This Row],[Artikel]],Produkte!A:H,8)</f>
        <v>0.2</v>
      </c>
    </row>
    <row r="2649" spans="1:12" x14ac:dyDescent="0.2">
      <c r="A2649" s="75" t="s">
        <v>1179</v>
      </c>
      <c r="B2649" s="79">
        <v>46132</v>
      </c>
      <c r="C2649" s="89">
        <v>107.4</v>
      </c>
      <c r="D2649" s="75"/>
      <c r="E2649" s="75"/>
      <c r="F2649" s="75">
        <v>40019</v>
      </c>
      <c r="G2649" s="76" t="str">
        <f>VLOOKUP(Tabelle2[[#This Row],[Kunden Nr.]],KUNDEN!A:B,2,0)</f>
        <v>TEMAJ</v>
      </c>
      <c r="H2649" s="75">
        <v>35119</v>
      </c>
      <c r="I2649" s="76" t="str">
        <f>VLOOKUP(Tabelle2[[#This Row],[Artikel]],Produkte!A:B,2,0)</f>
        <v>M-ONE Sanitar Silikon</v>
      </c>
      <c r="J2649" s="75">
        <v>12</v>
      </c>
      <c r="K2649" s="76">
        <f>VLOOKUP(Tabelle2[[#This Row],[Kunden Nr.]],KUNDEN!A:G,7)</f>
        <v>0</v>
      </c>
      <c r="L2649" s="76">
        <f>VLOOKUP(Tabelle2[[#This Row],[Artikel]],Produkte!A:H,8)</f>
        <v>0.17</v>
      </c>
    </row>
    <row r="2650" spans="1:12" x14ac:dyDescent="0.2">
      <c r="A2650" s="75" t="s">
        <v>1179</v>
      </c>
      <c r="B2650" s="79">
        <v>46132</v>
      </c>
      <c r="C2650" s="75"/>
      <c r="D2650" s="75"/>
      <c r="E2650" s="75"/>
      <c r="F2650" s="75">
        <v>40019</v>
      </c>
      <c r="G2650" s="76" t="str">
        <f>VLOOKUP(Tabelle2[[#This Row],[Kunden Nr.]],KUNDEN!A:B,2,0)</f>
        <v>TEMAJ</v>
      </c>
      <c r="H2650" s="75">
        <v>35128</v>
      </c>
      <c r="I2650" s="76" t="str">
        <f>VLOOKUP(Tabelle2[[#This Row],[Artikel]],Produkte!A:B,2,0)</f>
        <v>M-ONE Sanitar Silikon</v>
      </c>
      <c r="J2650" s="75">
        <v>12</v>
      </c>
      <c r="K2650" s="76">
        <f>VLOOKUP(Tabelle2[[#This Row],[Kunden Nr.]],KUNDEN!A:G,7)</f>
        <v>0</v>
      </c>
      <c r="L2650" s="76">
        <f>VLOOKUP(Tabelle2[[#This Row],[Artikel]],Produkte!A:H,8)</f>
        <v>0.17</v>
      </c>
    </row>
    <row r="2651" spans="1:12" x14ac:dyDescent="0.2">
      <c r="A2651" s="75" t="s">
        <v>1179</v>
      </c>
      <c r="B2651" s="79">
        <v>46132</v>
      </c>
      <c r="C2651" s="75"/>
      <c r="D2651" s="75"/>
      <c r="E2651" s="75"/>
      <c r="F2651" s="75">
        <v>40019</v>
      </c>
      <c r="G2651" s="76" t="str">
        <f>VLOOKUP(Tabelle2[[#This Row],[Kunden Nr.]],KUNDEN!A:B,2,0)</f>
        <v>TEMAJ</v>
      </c>
      <c r="H2651" s="75">
        <v>51611</v>
      </c>
      <c r="I2651" s="76" t="str">
        <f>VLOOKUP(Tabelle2[[#This Row],[Artikel]],Produkte!A:B,2,0)</f>
        <v>universal akryl</v>
      </c>
      <c r="J2651" s="75">
        <v>12</v>
      </c>
      <c r="K2651" s="76">
        <f>VLOOKUP(Tabelle2[[#This Row],[Kunden Nr.]],KUNDEN!A:G,7)</f>
        <v>0</v>
      </c>
      <c r="L2651" s="76">
        <f>VLOOKUP(Tabelle2[[#This Row],[Artikel]],Produkte!A:H,8)</f>
        <v>0.06</v>
      </c>
    </row>
    <row r="2652" spans="1:12" x14ac:dyDescent="0.2">
      <c r="A2652" s="75" t="s">
        <v>474</v>
      </c>
      <c r="B2652" s="79">
        <v>46132</v>
      </c>
      <c r="C2652" s="89">
        <v>198.6</v>
      </c>
      <c r="D2652" s="75"/>
      <c r="E2652" s="75"/>
      <c r="F2652" s="75">
        <v>20109</v>
      </c>
      <c r="G2652" s="76" t="str">
        <f>VLOOKUP(Tabelle2[[#This Row],[Kunden Nr.]],KUNDEN!A:B,2,0)</f>
        <v>KENA COMERC</v>
      </c>
      <c r="H2652" s="75">
        <v>35125</v>
      </c>
      <c r="I2652" s="76" t="str">
        <f>VLOOKUP(Tabelle2[[#This Row],[Artikel]],Produkte!A:B,2,0)</f>
        <v>M-ONE Sanitar Silikon</v>
      </c>
      <c r="J2652" s="75">
        <v>24</v>
      </c>
      <c r="K2652" s="76" t="str">
        <f>VLOOKUP(Tabelle2[[#This Row],[Kunden Nr.]],KUNDEN!A:G,7)</f>
        <v>Mensuri</v>
      </c>
      <c r="L2652" s="76">
        <f>VLOOKUP(Tabelle2[[#This Row],[Artikel]],Produkte!A:H,8)</f>
        <v>0.17</v>
      </c>
    </row>
    <row r="2653" spans="1:12" x14ac:dyDescent="0.2">
      <c r="A2653" s="75" t="s">
        <v>474</v>
      </c>
      <c r="B2653" s="79">
        <v>46132</v>
      </c>
      <c r="C2653" s="75"/>
      <c r="D2653" s="75"/>
      <c r="E2653" s="75"/>
      <c r="F2653" s="75">
        <v>20109</v>
      </c>
      <c r="G2653" s="76" t="str">
        <f>VLOOKUP(Tabelle2[[#This Row],[Kunden Nr.]],KUNDEN!A:B,2,0)</f>
        <v>KENA COMERC</v>
      </c>
      <c r="H2653" s="75">
        <v>35110</v>
      </c>
      <c r="I2653" s="76" t="str">
        <f>VLOOKUP(Tabelle2[[#This Row],[Artikel]],Produkte!A:B,2,0)</f>
        <v>M-ONE Sanitar Silikon</v>
      </c>
      <c r="J2653" s="75">
        <v>12</v>
      </c>
      <c r="K2653" s="76" t="str">
        <f>VLOOKUP(Tabelle2[[#This Row],[Kunden Nr.]],KUNDEN!A:G,7)</f>
        <v>Mensuri</v>
      </c>
      <c r="L2653" s="76">
        <f>VLOOKUP(Tabelle2[[#This Row],[Artikel]],Produkte!A:H,8)</f>
        <v>0.17</v>
      </c>
    </row>
    <row r="2654" spans="1:12" x14ac:dyDescent="0.2">
      <c r="A2654" s="75" t="s">
        <v>474</v>
      </c>
      <c r="B2654" s="79">
        <v>46132</v>
      </c>
      <c r="C2654" s="75"/>
      <c r="D2654" s="75"/>
      <c r="E2654" s="75"/>
      <c r="F2654" s="75">
        <v>20109</v>
      </c>
      <c r="G2654" s="76" t="str">
        <f>VLOOKUP(Tabelle2[[#This Row],[Kunden Nr.]],KUNDEN!A:B,2,0)</f>
        <v>KENA COMERC</v>
      </c>
      <c r="H2654" s="75">
        <v>51611</v>
      </c>
      <c r="I2654" s="76" t="str">
        <f>VLOOKUP(Tabelle2[[#This Row],[Artikel]],Produkte!A:B,2,0)</f>
        <v>universal akryl</v>
      </c>
      <c r="J2654" s="75">
        <v>48</v>
      </c>
      <c r="K2654" s="76" t="str">
        <f>VLOOKUP(Tabelle2[[#This Row],[Kunden Nr.]],KUNDEN!A:G,7)</f>
        <v>Mensuri</v>
      </c>
      <c r="L2654" s="76">
        <f>VLOOKUP(Tabelle2[[#This Row],[Artikel]],Produkte!A:H,8)</f>
        <v>0.06</v>
      </c>
    </row>
    <row r="2655" spans="1:12" x14ac:dyDescent="0.2">
      <c r="A2655" s="75" t="s">
        <v>476</v>
      </c>
      <c r="B2655" s="79">
        <v>46132</v>
      </c>
      <c r="C2655" s="89">
        <v>49.5</v>
      </c>
      <c r="D2655" s="75"/>
      <c r="E2655" s="75"/>
      <c r="F2655" s="75">
        <v>20111</v>
      </c>
      <c r="G2655" s="76" t="str">
        <f>VLOOKUP(Tabelle2[[#This Row],[Kunden Nr.]],KUNDEN!A:B,2,0)</f>
        <v>TECOL 2</v>
      </c>
      <c r="H2655" s="75">
        <v>51936</v>
      </c>
      <c r="I2655" s="76" t="str">
        <f>VLOOKUP(Tabelle2[[#This Row],[Artikel]],Produkte!A:B,2,0)</f>
        <v>M ONE SCHWARZ GLÄNZED</v>
      </c>
      <c r="J2655" s="75">
        <v>6</v>
      </c>
      <c r="K2655" s="76" t="str">
        <f>VLOOKUP(Tabelle2[[#This Row],[Kunden Nr.]],KUNDEN!A:G,7)</f>
        <v>Mensuri</v>
      </c>
      <c r="L2655" s="76">
        <f>VLOOKUP(Tabelle2[[#This Row],[Artikel]],Produkte!A:H,8)</f>
        <v>0.15</v>
      </c>
    </row>
    <row r="2656" spans="1:12" x14ac:dyDescent="0.2">
      <c r="A2656" s="75" t="s">
        <v>476</v>
      </c>
      <c r="B2656" s="79">
        <v>46132</v>
      </c>
      <c r="C2656" s="75"/>
      <c r="D2656" s="75"/>
      <c r="E2656" s="75"/>
      <c r="F2656" s="75">
        <v>20111</v>
      </c>
      <c r="G2656" s="76" t="str">
        <f>VLOOKUP(Tabelle2[[#This Row],[Kunden Nr.]],KUNDEN!A:B,2,0)</f>
        <v>TECOL 2</v>
      </c>
      <c r="H2656" s="75">
        <v>51736</v>
      </c>
      <c r="I2656" s="76" t="str">
        <f>VLOOKUP(Tabelle2[[#This Row],[Artikel]],Produkte!A:B,2,0)</f>
        <v>M ONE SCHWARZ MATT</v>
      </c>
      <c r="J2656" s="75">
        <v>6</v>
      </c>
      <c r="K2656" s="76" t="str">
        <f>VLOOKUP(Tabelle2[[#This Row],[Kunden Nr.]],KUNDEN!A:G,7)</f>
        <v>Mensuri</v>
      </c>
      <c r="L2656" s="76">
        <f>VLOOKUP(Tabelle2[[#This Row],[Artikel]],Produkte!A:H,8)</f>
        <v>0.15</v>
      </c>
    </row>
    <row r="2657" spans="1:12" x14ac:dyDescent="0.2">
      <c r="A2657" s="75" t="s">
        <v>476</v>
      </c>
      <c r="B2657" s="79">
        <v>46132</v>
      </c>
      <c r="C2657" s="75"/>
      <c r="D2657" s="75"/>
      <c r="E2657" s="75"/>
      <c r="F2657" s="75">
        <v>20111</v>
      </c>
      <c r="G2657" s="76" t="str">
        <f>VLOOKUP(Tabelle2[[#This Row],[Kunden Nr.]],KUNDEN!A:B,2,0)</f>
        <v>TECOL 2</v>
      </c>
      <c r="H2657" s="75">
        <v>56117</v>
      </c>
      <c r="I2657" s="76" t="str">
        <f>VLOOKUP(Tabelle2[[#This Row],[Artikel]],Produkte!A:B,2,0)</f>
        <v>M ONE UBS</v>
      </c>
      <c r="J2657" s="75">
        <v>3</v>
      </c>
      <c r="K2657" s="76" t="str">
        <f>VLOOKUP(Tabelle2[[#This Row],[Kunden Nr.]],KUNDEN!A:G,7)</f>
        <v>Mensuri</v>
      </c>
      <c r="L2657" s="76">
        <f>VLOOKUP(Tabelle2[[#This Row],[Artikel]],Produkte!A:H,8)</f>
        <v>0.2</v>
      </c>
    </row>
    <row r="2658" spans="1:12" x14ac:dyDescent="0.2">
      <c r="A2658" s="75" t="s">
        <v>476</v>
      </c>
      <c r="B2658" s="79">
        <v>46132</v>
      </c>
      <c r="C2658" s="75"/>
      <c r="D2658" s="75"/>
      <c r="E2658" s="75"/>
      <c r="F2658" s="75">
        <v>20111</v>
      </c>
      <c r="G2658" s="76" t="str">
        <f>VLOOKUP(Tabelle2[[#This Row],[Kunden Nr.]],KUNDEN!A:B,2,0)</f>
        <v>TECOL 2</v>
      </c>
      <c r="H2658" s="75">
        <v>16936</v>
      </c>
      <c r="I2658" s="76" t="str">
        <f>VLOOKUP(Tabelle2[[#This Row],[Artikel]],Produkte!A:B,2,0)</f>
        <v>M ONE FELGENSILBER</v>
      </c>
      <c r="J2658" s="75">
        <v>3</v>
      </c>
      <c r="K2658" s="76" t="str">
        <f>VLOOKUP(Tabelle2[[#This Row],[Kunden Nr.]],KUNDEN!A:G,7)</f>
        <v>Mensuri</v>
      </c>
      <c r="L2658" s="76">
        <f>VLOOKUP(Tabelle2[[#This Row],[Artikel]],Produkte!A:H,8)</f>
        <v>0.15</v>
      </c>
    </row>
    <row r="2659" spans="1:12" x14ac:dyDescent="0.2">
      <c r="A2659" s="75" t="s">
        <v>1180</v>
      </c>
      <c r="B2659" s="79">
        <v>46132</v>
      </c>
      <c r="C2659" s="89">
        <v>174</v>
      </c>
      <c r="D2659" s="75"/>
      <c r="E2659" s="75"/>
      <c r="F2659" s="75">
        <v>20126</v>
      </c>
      <c r="G2659" s="76" t="str">
        <f>VLOOKUP(Tabelle2[[#This Row],[Kunden Nr.]],KUNDEN!A:B,2,0)</f>
        <v>LULI-C</v>
      </c>
      <c r="H2659" s="75">
        <v>66701</v>
      </c>
      <c r="I2659" s="76" t="str">
        <f>VLOOKUP(Tabelle2[[#This Row],[Artikel]],Produkte!A:B,2,0)</f>
        <v>PROFIMONT EXTREME</v>
      </c>
      <c r="J2659" s="75">
        <v>12</v>
      </c>
      <c r="K2659" s="76" t="str">
        <f>VLOOKUP(Tabelle2[[#This Row],[Kunden Nr.]],KUNDEN!A:G,7)</f>
        <v>Mensuri</v>
      </c>
      <c r="L2659" s="76">
        <f>VLOOKUP(Tabelle2[[#This Row],[Artikel]],Produkte!A:H,8)</f>
        <v>0.2</v>
      </c>
    </row>
    <row r="2660" spans="1:12" x14ac:dyDescent="0.2">
      <c r="A2660" s="75" t="s">
        <v>1180</v>
      </c>
      <c r="B2660" s="79">
        <v>46132</v>
      </c>
      <c r="C2660" s="75"/>
      <c r="D2660" s="75"/>
      <c r="E2660" s="75"/>
      <c r="F2660" s="75">
        <v>20126</v>
      </c>
      <c r="G2660" s="76" t="str">
        <f>VLOOKUP(Tabelle2[[#This Row],[Kunden Nr.]],KUNDEN!A:B,2,0)</f>
        <v>LULI-C</v>
      </c>
      <c r="H2660" s="75">
        <v>35119</v>
      </c>
      <c r="I2660" s="76" t="str">
        <f>VLOOKUP(Tabelle2[[#This Row],[Artikel]],Produkte!A:B,2,0)</f>
        <v>M-ONE Sanitar Silikon</v>
      </c>
      <c r="J2660" s="75">
        <v>12</v>
      </c>
      <c r="K2660" s="76" t="str">
        <f>VLOOKUP(Tabelle2[[#This Row],[Kunden Nr.]],KUNDEN!A:G,7)</f>
        <v>Mensuri</v>
      </c>
      <c r="L2660" s="76">
        <f>VLOOKUP(Tabelle2[[#This Row],[Artikel]],Produkte!A:H,8)</f>
        <v>0.17</v>
      </c>
    </row>
    <row r="2661" spans="1:12" x14ac:dyDescent="0.2">
      <c r="A2661" s="75" t="s">
        <v>1180</v>
      </c>
      <c r="B2661" s="79">
        <v>46132</v>
      </c>
      <c r="C2661" s="75"/>
      <c r="D2661" s="75"/>
      <c r="E2661" s="75"/>
      <c r="F2661" s="75">
        <v>20126</v>
      </c>
      <c r="G2661" s="76" t="str">
        <f>VLOOKUP(Tabelle2[[#This Row],[Kunden Nr.]],KUNDEN!A:B,2,0)</f>
        <v>LULI-C</v>
      </c>
      <c r="H2661" s="75">
        <v>35128</v>
      </c>
      <c r="I2661" s="76" t="str">
        <f>VLOOKUP(Tabelle2[[#This Row],[Artikel]],Produkte!A:B,2,0)</f>
        <v>M-ONE Sanitar Silikon</v>
      </c>
      <c r="J2661" s="75">
        <v>12</v>
      </c>
      <c r="K2661" s="76" t="str">
        <f>VLOOKUP(Tabelle2[[#This Row],[Kunden Nr.]],KUNDEN!A:G,7)</f>
        <v>Mensuri</v>
      </c>
      <c r="L2661" s="76">
        <f>VLOOKUP(Tabelle2[[#This Row],[Artikel]],Produkte!A:H,8)</f>
        <v>0.17</v>
      </c>
    </row>
    <row r="2662" spans="1:12" x14ac:dyDescent="0.2">
      <c r="A2662" s="75" t="s">
        <v>1180</v>
      </c>
      <c r="B2662" s="79">
        <v>46132</v>
      </c>
      <c r="C2662" s="75"/>
      <c r="D2662" s="75"/>
      <c r="E2662" s="75"/>
      <c r="F2662" s="75">
        <v>20126</v>
      </c>
      <c r="G2662" s="76" t="str">
        <f>VLOOKUP(Tabelle2[[#This Row],[Kunden Nr.]],KUNDEN!A:B,2,0)</f>
        <v>LULI-C</v>
      </c>
      <c r="H2662" s="75">
        <v>49644</v>
      </c>
      <c r="I2662" s="76" t="str">
        <f>VLOOKUP(Tabelle2[[#This Row],[Artikel]],Produkte!A:B,2,0)</f>
        <v>beMAKER Rostlöser</v>
      </c>
      <c r="J2662" s="75">
        <v>6</v>
      </c>
      <c r="K2662" s="76" t="str">
        <f>VLOOKUP(Tabelle2[[#This Row],[Kunden Nr.]],KUNDEN!A:G,7)</f>
        <v>Mensuri</v>
      </c>
      <c r="L2662" s="76">
        <f>VLOOKUP(Tabelle2[[#This Row],[Artikel]],Produkte!A:H,8)</f>
        <v>0.2</v>
      </c>
    </row>
    <row r="2663" spans="1:12" x14ac:dyDescent="0.2">
      <c r="A2663" s="75" t="s">
        <v>1163</v>
      </c>
      <c r="B2663" s="79">
        <v>46132</v>
      </c>
      <c r="C2663" s="89">
        <v>184.8</v>
      </c>
      <c r="D2663" s="75"/>
      <c r="E2663" s="75"/>
      <c r="F2663" s="75">
        <v>20121</v>
      </c>
      <c r="G2663" s="76" t="str">
        <f>VLOOKUP(Tabelle2[[#This Row],[Kunden Nr.]],KUNDEN!A:B,2,0)</f>
        <v>CAMA BAU</v>
      </c>
      <c r="H2663" s="75">
        <v>35108</v>
      </c>
      <c r="I2663" s="76" t="str">
        <f>VLOOKUP(Tabelle2[[#This Row],[Artikel]],Produkte!A:B,2,0)</f>
        <v>M-ONE Sanitar Silikon</v>
      </c>
      <c r="J2663" s="75">
        <v>12</v>
      </c>
      <c r="K2663" s="76" t="str">
        <f>VLOOKUP(Tabelle2[[#This Row],[Kunden Nr.]],KUNDEN!A:G,7)</f>
        <v>Mensuri</v>
      </c>
      <c r="L2663" s="76">
        <f>VLOOKUP(Tabelle2[[#This Row],[Artikel]],Produkte!A:H,8)</f>
        <v>0.17</v>
      </c>
    </row>
    <row r="2664" spans="1:12" x14ac:dyDescent="0.2">
      <c r="A2664" s="75" t="s">
        <v>1163</v>
      </c>
      <c r="B2664" s="79">
        <v>46132</v>
      </c>
      <c r="C2664" s="75"/>
      <c r="D2664" s="75"/>
      <c r="E2664" s="75"/>
      <c r="F2664" s="75">
        <v>20121</v>
      </c>
      <c r="G2664" s="76" t="str">
        <f>VLOOKUP(Tabelle2[[#This Row],[Kunden Nr.]],KUNDEN!A:B,2,0)</f>
        <v>CAMA BAU</v>
      </c>
      <c r="H2664" s="75">
        <v>35121</v>
      </c>
      <c r="I2664" s="76" t="str">
        <f>VLOOKUP(Tabelle2[[#This Row],[Artikel]],Produkte!A:B,2,0)</f>
        <v>M-ONE Sanitar Silikon</v>
      </c>
      <c r="J2664" s="75">
        <v>36</v>
      </c>
      <c r="K2664" s="76" t="str">
        <f>VLOOKUP(Tabelle2[[#This Row],[Kunden Nr.]],KUNDEN!A:G,7)</f>
        <v>Mensuri</v>
      </c>
      <c r="L2664" s="76">
        <f>VLOOKUP(Tabelle2[[#This Row],[Artikel]],Produkte!A:H,8)</f>
        <v>0.17</v>
      </c>
    </row>
    <row r="2665" spans="1:12" x14ac:dyDescent="0.2">
      <c r="A2665" s="75" t="s">
        <v>471</v>
      </c>
      <c r="B2665" s="79">
        <v>46132</v>
      </c>
      <c r="C2665" s="89">
        <v>138.6</v>
      </c>
      <c r="D2665" s="75"/>
      <c r="E2665" s="75"/>
      <c r="F2665" s="75">
        <v>20104</v>
      </c>
      <c r="G2665" s="76" t="str">
        <f>VLOOKUP(Tabelle2[[#This Row],[Kunden Nr.]],KUNDEN!A:B,2,0)</f>
        <v>KTHIMI</v>
      </c>
      <c r="H2665" s="75">
        <v>35113</v>
      </c>
      <c r="I2665" s="76" t="str">
        <f>VLOOKUP(Tabelle2[[#This Row],[Artikel]],Produkte!A:B,2,0)</f>
        <v>M-ONE Sanitar Silikon</v>
      </c>
      <c r="J2665" s="75">
        <v>24</v>
      </c>
      <c r="K2665" s="76" t="str">
        <f>VLOOKUP(Tabelle2[[#This Row],[Kunden Nr.]],KUNDEN!A:G,7)</f>
        <v>Mensuri</v>
      </c>
      <c r="L2665" s="76">
        <f>VLOOKUP(Tabelle2[[#This Row],[Artikel]],Produkte!A:H,8)</f>
        <v>0.17</v>
      </c>
    </row>
    <row r="2666" spans="1:12" x14ac:dyDescent="0.2">
      <c r="A2666" s="75" t="s">
        <v>471</v>
      </c>
      <c r="B2666" s="79">
        <v>46132</v>
      </c>
      <c r="C2666" s="75"/>
      <c r="D2666" s="75"/>
      <c r="E2666" s="75"/>
      <c r="F2666" s="75">
        <v>20104</v>
      </c>
      <c r="G2666" s="76" t="str">
        <f>VLOOKUP(Tabelle2[[#This Row],[Kunden Nr.]],KUNDEN!A:B,2,0)</f>
        <v>KTHIMI</v>
      </c>
      <c r="H2666" s="75">
        <v>35108</v>
      </c>
      <c r="I2666" s="76" t="str">
        <f>VLOOKUP(Tabelle2[[#This Row],[Artikel]],Produkte!A:B,2,0)</f>
        <v>M-ONE Sanitar Silikon</v>
      </c>
      <c r="J2666" s="75">
        <v>12</v>
      </c>
      <c r="K2666" s="76" t="str">
        <f>VLOOKUP(Tabelle2[[#This Row],[Kunden Nr.]],KUNDEN!A:G,7)</f>
        <v>Mensuri</v>
      </c>
      <c r="L2666" s="76">
        <f>VLOOKUP(Tabelle2[[#This Row],[Artikel]],Produkte!A:H,8)</f>
        <v>0.17</v>
      </c>
    </row>
    <row r="2667" spans="1:12" x14ac:dyDescent="0.2">
      <c r="A2667" s="75" t="s">
        <v>959</v>
      </c>
      <c r="B2667" s="79">
        <v>46132</v>
      </c>
      <c r="C2667" s="89">
        <v>101.4</v>
      </c>
      <c r="D2667" s="75"/>
      <c r="E2667" s="75"/>
      <c r="F2667" s="75">
        <v>20108</v>
      </c>
      <c r="G2667" s="76" t="str">
        <f>VLOOKUP(Tabelle2[[#This Row],[Kunden Nr.]],KUNDEN!A:B,2,0)</f>
        <v>ING PROJEKT</v>
      </c>
      <c r="H2667" s="75">
        <v>35115</v>
      </c>
      <c r="I2667" s="76" t="str">
        <f>VLOOKUP(Tabelle2[[#This Row],[Artikel]],Produkte!A:B,2,0)</f>
        <v>M-ONE Sanitar Silikon</v>
      </c>
      <c r="J2667" s="75">
        <v>12</v>
      </c>
      <c r="K2667" s="76" t="str">
        <f>VLOOKUP(Tabelle2[[#This Row],[Kunden Nr.]],KUNDEN!A:G,7)</f>
        <v>Mensuri</v>
      </c>
      <c r="L2667" s="76">
        <f>VLOOKUP(Tabelle2[[#This Row],[Artikel]],Produkte!A:H,8)</f>
        <v>0.17</v>
      </c>
    </row>
    <row r="2668" spans="1:12" x14ac:dyDescent="0.2">
      <c r="A2668" s="75" t="s">
        <v>959</v>
      </c>
      <c r="B2668" s="79">
        <v>46132</v>
      </c>
      <c r="C2668" s="75"/>
      <c r="D2668" s="75"/>
      <c r="E2668" s="75"/>
      <c r="F2668" s="75">
        <v>20108</v>
      </c>
      <c r="G2668" s="76" t="str">
        <f>VLOOKUP(Tabelle2[[#This Row],[Kunden Nr.]],KUNDEN!A:B,2,0)</f>
        <v>ING PROJEKT</v>
      </c>
      <c r="H2668" s="75">
        <v>51612</v>
      </c>
      <c r="I2668" s="76" t="str">
        <f>VLOOKUP(Tabelle2[[#This Row],[Artikel]],Produkte!A:B,2,0)</f>
        <v>struktural akryl</v>
      </c>
      <c r="J2668" s="75">
        <v>24</v>
      </c>
      <c r="K2668" s="76" t="str">
        <f>VLOOKUP(Tabelle2[[#This Row],[Kunden Nr.]],KUNDEN!A:G,7)</f>
        <v>Mensuri</v>
      </c>
      <c r="L2668" s="76">
        <f>VLOOKUP(Tabelle2[[#This Row],[Artikel]],Produkte!A:H,8)</f>
        <v>0.06</v>
      </c>
    </row>
    <row r="2669" spans="1:12" x14ac:dyDescent="0.2">
      <c r="A2669" s="75" t="s">
        <v>1129</v>
      </c>
      <c r="B2669" s="79">
        <v>46132</v>
      </c>
      <c r="C2669" s="89">
        <v>69.599999999999994</v>
      </c>
      <c r="D2669" s="75"/>
      <c r="E2669" s="75"/>
      <c r="F2669" s="75">
        <v>20127</v>
      </c>
      <c r="G2669" s="76" t="str">
        <f>VLOOKUP(Tabelle2[[#This Row],[Kunden Nr.]],KUNDEN!A:B,2,0)</f>
        <v>TERMO PROJEKT</v>
      </c>
      <c r="H2669" s="75">
        <v>66701</v>
      </c>
      <c r="I2669" s="76" t="str">
        <f>VLOOKUP(Tabelle2[[#This Row],[Artikel]],Produkte!A:B,2,0)</f>
        <v>PROFIMONT EXTREME</v>
      </c>
      <c r="J2669" s="75">
        <v>12</v>
      </c>
      <c r="K2669" s="76" t="str">
        <f>VLOOKUP(Tabelle2[[#This Row],[Kunden Nr.]],KUNDEN!A:G,7)</f>
        <v>Mensuri</v>
      </c>
      <c r="L2669" s="76">
        <f>VLOOKUP(Tabelle2[[#This Row],[Artikel]],Produkte!A:H,8)</f>
        <v>0.2</v>
      </c>
    </row>
    <row r="2670" spans="1:12" x14ac:dyDescent="0.2">
      <c r="A2670" s="75" t="s">
        <v>469</v>
      </c>
      <c r="B2670" s="79">
        <v>46132</v>
      </c>
      <c r="C2670" s="89">
        <v>34</v>
      </c>
      <c r="D2670" s="75"/>
      <c r="E2670" s="75"/>
      <c r="F2670" s="75">
        <v>20102</v>
      </c>
      <c r="G2670" s="76" t="str">
        <f>VLOOKUP(Tabelle2[[#This Row],[Kunden Nr.]],KUNDEN!A:B,2,0)</f>
        <v>KUQI-LKW</v>
      </c>
      <c r="H2670" s="75">
        <v>49644</v>
      </c>
      <c r="I2670" s="76" t="str">
        <f>VLOOKUP(Tabelle2[[#This Row],[Artikel]],Produkte!A:B,2,0)</f>
        <v>beMAKER Rostlöser</v>
      </c>
      <c r="J2670" s="75">
        <v>7</v>
      </c>
      <c r="K2670" s="76" t="str">
        <f>VLOOKUP(Tabelle2[[#This Row],[Kunden Nr.]],KUNDEN!A:G,7)</f>
        <v>Mensuri</v>
      </c>
      <c r="L2670" s="76">
        <f>VLOOKUP(Tabelle2[[#This Row],[Artikel]],Produkte!A:H,8)</f>
        <v>0.2</v>
      </c>
    </row>
    <row r="2671" spans="1:12" x14ac:dyDescent="0.2">
      <c r="A2671" s="75" t="s">
        <v>469</v>
      </c>
      <c r="B2671" s="79">
        <v>46132</v>
      </c>
      <c r="C2671" s="75"/>
      <c r="D2671" s="75"/>
      <c r="E2671" s="75"/>
      <c r="F2671" s="75">
        <v>20102</v>
      </c>
      <c r="G2671" s="76" t="str">
        <f>VLOOKUP(Tabelle2[[#This Row],[Kunden Nr.]],KUNDEN!A:B,2,0)</f>
        <v>KUQI-LKW</v>
      </c>
      <c r="H2671" s="75">
        <v>55718</v>
      </c>
      <c r="I2671" s="76" t="str">
        <f>VLOOKUP(Tabelle2[[#This Row],[Artikel]],Produkte!A:B,2,0)</f>
        <v>M ONE MOTORSTART</v>
      </c>
      <c r="J2671" s="75">
        <v>4</v>
      </c>
      <c r="K2671" s="76" t="str">
        <f>VLOOKUP(Tabelle2[[#This Row],[Kunden Nr.]],KUNDEN!A:G,7)</f>
        <v>Mensuri</v>
      </c>
      <c r="L2671" s="76">
        <f>VLOOKUP(Tabelle2[[#This Row],[Artikel]],Produkte!A:H,8)</f>
        <v>0.2</v>
      </c>
    </row>
    <row r="2672" spans="1:12" x14ac:dyDescent="0.2">
      <c r="A2672" s="75" t="s">
        <v>469</v>
      </c>
      <c r="B2672" s="79">
        <v>46132</v>
      </c>
      <c r="C2672" s="75"/>
      <c r="D2672" s="75"/>
      <c r="E2672" s="75"/>
      <c r="F2672" s="75">
        <v>20102</v>
      </c>
      <c r="G2672" s="76" t="str">
        <f>VLOOKUP(Tabelle2[[#This Row],[Kunden Nr.]],KUNDEN!A:B,2,0)</f>
        <v>KUQI-LKW</v>
      </c>
      <c r="H2672" s="75">
        <v>54412</v>
      </c>
      <c r="I2672" s="76" t="str">
        <f>VLOOKUP(Tabelle2[[#This Row],[Artikel]],Produkte!A:B,2,0)</f>
        <v>beMAKER Bremsen&amp;Teile Reininger</v>
      </c>
      <c r="J2672" s="75">
        <v>3</v>
      </c>
      <c r="K2672" s="76" t="str">
        <f>VLOOKUP(Tabelle2[[#This Row],[Kunden Nr.]],KUNDEN!A:G,7)</f>
        <v>Mensuri</v>
      </c>
      <c r="L2672" s="76">
        <f>VLOOKUP(Tabelle2[[#This Row],[Artikel]],Produkte!A:H,8)</f>
        <v>0.2</v>
      </c>
    </row>
    <row r="2673" spans="1:12" x14ac:dyDescent="0.2">
      <c r="A2673" s="75" t="s">
        <v>19</v>
      </c>
      <c r="B2673" s="79">
        <v>46133</v>
      </c>
      <c r="C2673" s="89">
        <v>46.2</v>
      </c>
      <c r="D2673" s="75"/>
      <c r="E2673" s="75"/>
      <c r="F2673" s="75">
        <v>10244</v>
      </c>
      <c r="G2673" s="76" t="str">
        <f>VLOOKUP(Tabelle2[[#This Row],[Kunden Nr.]],KUNDEN!A:B,2,0)</f>
        <v>BARDHI</v>
      </c>
      <c r="H2673" s="75">
        <v>35121</v>
      </c>
      <c r="I2673" s="76" t="str">
        <f>VLOOKUP(Tabelle2[[#This Row],[Artikel]],Produkte!A:B,2,0)</f>
        <v>M-ONE Sanitar Silikon</v>
      </c>
      <c r="J2673" s="75">
        <v>12</v>
      </c>
      <c r="K2673" s="76" t="str">
        <f>VLOOKUP(Tabelle2[[#This Row],[Kunden Nr.]],KUNDEN!A:G,7)</f>
        <v>Qerimi</v>
      </c>
      <c r="L2673" s="76">
        <f>VLOOKUP(Tabelle2[[#This Row],[Artikel]],Produkte!A:H,8)</f>
        <v>0.17</v>
      </c>
    </row>
    <row r="2674" spans="1:12" x14ac:dyDescent="0.2">
      <c r="A2674" s="75" t="s">
        <v>1038</v>
      </c>
      <c r="B2674" s="79">
        <v>46133</v>
      </c>
      <c r="C2674" s="89">
        <v>138.6</v>
      </c>
      <c r="D2674" s="75"/>
      <c r="E2674" s="75"/>
      <c r="F2674" s="75">
        <v>10241</v>
      </c>
      <c r="G2674" s="76" t="str">
        <f>VLOOKUP(Tabelle2[[#This Row],[Kunden Nr.]],KUNDEN!A:B,2,0)</f>
        <v>AB SHPK</v>
      </c>
      <c r="H2674" s="75">
        <v>35108</v>
      </c>
      <c r="I2674" s="76" t="str">
        <f>VLOOKUP(Tabelle2[[#This Row],[Artikel]],Produkte!A:B,2,0)</f>
        <v>M-ONE Sanitar Silikon</v>
      </c>
      <c r="J2674" s="75">
        <v>12</v>
      </c>
      <c r="K2674" s="76" t="str">
        <f>VLOOKUP(Tabelle2[[#This Row],[Kunden Nr.]],KUNDEN!A:G,7)</f>
        <v>Qerimi</v>
      </c>
      <c r="L2674" s="76">
        <f>VLOOKUP(Tabelle2[[#This Row],[Artikel]],Produkte!A:H,8)</f>
        <v>0.17</v>
      </c>
    </row>
    <row r="2675" spans="1:12" x14ac:dyDescent="0.2">
      <c r="A2675" s="75" t="s">
        <v>1038</v>
      </c>
      <c r="B2675" s="79">
        <v>46133</v>
      </c>
      <c r="C2675" s="75"/>
      <c r="D2675" s="75"/>
      <c r="E2675" s="75"/>
      <c r="F2675" s="75">
        <v>10241</v>
      </c>
      <c r="G2675" s="76" t="str">
        <f>VLOOKUP(Tabelle2[[#This Row],[Kunden Nr.]],KUNDEN!A:B,2,0)</f>
        <v>AB SHPK</v>
      </c>
      <c r="H2675" s="75">
        <v>35109</v>
      </c>
      <c r="I2675" s="76" t="str">
        <f>VLOOKUP(Tabelle2[[#This Row],[Artikel]],Produkte!A:B,2,0)</f>
        <v>M-ONE Sanitar Silikon</v>
      </c>
      <c r="J2675" s="75">
        <v>12</v>
      </c>
      <c r="K2675" s="76" t="str">
        <f>VLOOKUP(Tabelle2[[#This Row],[Kunden Nr.]],KUNDEN!A:G,7)</f>
        <v>Qerimi</v>
      </c>
      <c r="L2675" s="76">
        <f>VLOOKUP(Tabelle2[[#This Row],[Artikel]],Produkte!A:H,8)</f>
        <v>0.17</v>
      </c>
    </row>
    <row r="2676" spans="1:12" x14ac:dyDescent="0.2">
      <c r="A2676" s="75" t="s">
        <v>1038</v>
      </c>
      <c r="B2676" s="79">
        <v>46133</v>
      </c>
      <c r="C2676" s="75"/>
      <c r="D2676" s="75"/>
      <c r="E2676" s="75"/>
      <c r="F2676" s="75">
        <v>10241</v>
      </c>
      <c r="G2676" s="76" t="str">
        <f>VLOOKUP(Tabelle2[[#This Row],[Kunden Nr.]],KUNDEN!A:B,2,0)</f>
        <v>AB SHPK</v>
      </c>
      <c r="H2676" s="75">
        <v>35110</v>
      </c>
      <c r="I2676" s="76" t="str">
        <f>VLOOKUP(Tabelle2[[#This Row],[Artikel]],Produkte!A:B,2,0)</f>
        <v>M-ONE Sanitar Silikon</v>
      </c>
      <c r="J2676" s="75">
        <v>12</v>
      </c>
      <c r="K2676" s="76" t="str">
        <f>VLOOKUP(Tabelle2[[#This Row],[Kunden Nr.]],KUNDEN!A:G,7)</f>
        <v>Qerimi</v>
      </c>
      <c r="L2676" s="76">
        <f>VLOOKUP(Tabelle2[[#This Row],[Artikel]],Produkte!A:H,8)</f>
        <v>0.17</v>
      </c>
    </row>
    <row r="2677" spans="1:12" x14ac:dyDescent="0.2">
      <c r="A2677" s="75" t="s">
        <v>1204</v>
      </c>
      <c r="B2677" s="79">
        <v>46133</v>
      </c>
      <c r="C2677" s="89">
        <v>138.6</v>
      </c>
      <c r="D2677" s="75"/>
      <c r="E2677" s="75"/>
      <c r="F2677" s="75">
        <v>10245</v>
      </c>
      <c r="G2677" s="76" t="str">
        <f>VLOOKUP(Tabelle2[[#This Row],[Kunden Nr.]],KUNDEN!A:B,2,0)</f>
        <v>BEK TRADE</v>
      </c>
      <c r="H2677" s="75">
        <v>35109</v>
      </c>
      <c r="I2677" s="76" t="str">
        <f>VLOOKUP(Tabelle2[[#This Row],[Artikel]],Produkte!A:B,2,0)</f>
        <v>M-ONE Sanitar Silikon</v>
      </c>
      <c r="J2677" s="75">
        <v>12</v>
      </c>
      <c r="K2677" s="76" t="str">
        <f>VLOOKUP(Tabelle2[[#This Row],[Kunden Nr.]],KUNDEN!A:G,7)</f>
        <v>Qerimi</v>
      </c>
      <c r="L2677" s="76">
        <f>VLOOKUP(Tabelle2[[#This Row],[Artikel]],Produkte!A:H,8)</f>
        <v>0.17</v>
      </c>
    </row>
    <row r="2678" spans="1:12" x14ac:dyDescent="0.2">
      <c r="A2678" s="75" t="s">
        <v>1204</v>
      </c>
      <c r="B2678" s="79">
        <v>46133</v>
      </c>
      <c r="C2678" s="75"/>
      <c r="D2678" s="75"/>
      <c r="E2678" s="75"/>
      <c r="F2678" s="75">
        <v>10245</v>
      </c>
      <c r="G2678" s="76" t="str">
        <f>VLOOKUP(Tabelle2[[#This Row],[Kunden Nr.]],KUNDEN!A:B,2,0)</f>
        <v>BEK TRADE</v>
      </c>
      <c r="H2678" s="75">
        <v>35111</v>
      </c>
      <c r="I2678" s="76" t="str">
        <f>VLOOKUP(Tabelle2[[#This Row],[Artikel]],Produkte!A:B,2,0)</f>
        <v>M-ONE Sanitar Silikon</v>
      </c>
      <c r="J2678" s="75">
        <v>12</v>
      </c>
      <c r="K2678" s="76" t="str">
        <f>VLOOKUP(Tabelle2[[#This Row],[Kunden Nr.]],KUNDEN!A:G,7)</f>
        <v>Qerimi</v>
      </c>
      <c r="L2678" s="76">
        <f>VLOOKUP(Tabelle2[[#This Row],[Artikel]],Produkte!A:H,8)</f>
        <v>0.17</v>
      </c>
    </row>
    <row r="2679" spans="1:12" x14ac:dyDescent="0.2">
      <c r="A2679" s="75" t="s">
        <v>1204</v>
      </c>
      <c r="B2679" s="79">
        <v>46133</v>
      </c>
      <c r="C2679" s="75"/>
      <c r="D2679" s="75"/>
      <c r="E2679" s="75"/>
      <c r="F2679" s="75">
        <v>10245</v>
      </c>
      <c r="G2679" s="76" t="str">
        <f>VLOOKUP(Tabelle2[[#This Row],[Kunden Nr.]],KUNDEN!A:B,2,0)</f>
        <v>BEK TRADE</v>
      </c>
      <c r="H2679" s="75">
        <v>35128</v>
      </c>
      <c r="I2679" s="76" t="str">
        <f>VLOOKUP(Tabelle2[[#This Row],[Artikel]],Produkte!A:B,2,0)</f>
        <v>M-ONE Sanitar Silikon</v>
      </c>
      <c r="J2679" s="75">
        <v>12</v>
      </c>
      <c r="K2679" s="76" t="str">
        <f>VLOOKUP(Tabelle2[[#This Row],[Kunden Nr.]],KUNDEN!A:G,7)</f>
        <v>Qerimi</v>
      </c>
      <c r="L2679" s="76">
        <f>VLOOKUP(Tabelle2[[#This Row],[Artikel]],Produkte!A:H,8)</f>
        <v>0.17</v>
      </c>
    </row>
    <row r="2680" spans="1:12" x14ac:dyDescent="0.2">
      <c r="A2680" s="75" t="s">
        <v>1201</v>
      </c>
      <c r="B2680" s="79">
        <v>46133</v>
      </c>
      <c r="C2680" s="89">
        <v>184.8</v>
      </c>
      <c r="D2680" s="75"/>
      <c r="E2680" s="75"/>
      <c r="F2680" s="75">
        <v>10240</v>
      </c>
      <c r="G2680" s="76" t="str">
        <f>VLOOKUP(Tabelle2[[#This Row],[Kunden Nr.]],KUNDEN!A:B,2,0)</f>
        <v>ARPO</v>
      </c>
      <c r="H2680" s="75">
        <v>35113</v>
      </c>
      <c r="I2680" s="76" t="str">
        <f>VLOOKUP(Tabelle2[[#This Row],[Artikel]],Produkte!A:B,2,0)</f>
        <v>M-ONE Sanitar Silikon</v>
      </c>
      <c r="J2680" s="75">
        <v>12</v>
      </c>
      <c r="K2680" s="76" t="str">
        <f>VLOOKUP(Tabelle2[[#This Row],[Kunden Nr.]],KUNDEN!A:G,7)</f>
        <v>Qerimi</v>
      </c>
      <c r="L2680" s="76">
        <f>VLOOKUP(Tabelle2[[#This Row],[Artikel]],Produkte!A:H,8)</f>
        <v>0.17</v>
      </c>
    </row>
    <row r="2681" spans="1:12" x14ac:dyDescent="0.2">
      <c r="A2681" s="75" t="s">
        <v>1201</v>
      </c>
      <c r="B2681" s="79">
        <v>46133</v>
      </c>
      <c r="C2681" s="75"/>
      <c r="D2681" s="75"/>
      <c r="E2681" s="75"/>
      <c r="F2681" s="75">
        <v>10240</v>
      </c>
      <c r="G2681" s="76" t="str">
        <f>VLOOKUP(Tabelle2[[#This Row],[Kunden Nr.]],KUNDEN!A:B,2,0)</f>
        <v>ARPO</v>
      </c>
      <c r="H2681" s="75">
        <v>35114</v>
      </c>
      <c r="I2681" s="76" t="str">
        <f>VLOOKUP(Tabelle2[[#This Row],[Artikel]],Produkte!A:B,2,0)</f>
        <v>M-ONE Sanitar Silikon</v>
      </c>
      <c r="J2681" s="75">
        <v>12</v>
      </c>
      <c r="K2681" s="76" t="str">
        <f>VLOOKUP(Tabelle2[[#This Row],[Kunden Nr.]],KUNDEN!A:G,7)</f>
        <v>Qerimi</v>
      </c>
      <c r="L2681" s="76">
        <f>VLOOKUP(Tabelle2[[#This Row],[Artikel]],Produkte!A:H,8)</f>
        <v>0.17</v>
      </c>
    </row>
    <row r="2682" spans="1:12" x14ac:dyDescent="0.2">
      <c r="A2682" s="75" t="s">
        <v>1201</v>
      </c>
      <c r="B2682" s="79">
        <v>46133</v>
      </c>
      <c r="C2682" s="75"/>
      <c r="D2682" s="75"/>
      <c r="E2682" s="75"/>
      <c r="F2682" s="75">
        <v>10240</v>
      </c>
      <c r="G2682" s="76" t="str">
        <f>VLOOKUP(Tabelle2[[#This Row],[Kunden Nr.]],KUNDEN!A:B,2,0)</f>
        <v>ARPO</v>
      </c>
      <c r="H2682" s="75">
        <v>35128</v>
      </c>
      <c r="I2682" s="76" t="str">
        <f>VLOOKUP(Tabelle2[[#This Row],[Artikel]],Produkte!A:B,2,0)</f>
        <v>M-ONE Sanitar Silikon</v>
      </c>
      <c r="J2682" s="75">
        <v>12</v>
      </c>
      <c r="K2682" s="76" t="str">
        <f>VLOOKUP(Tabelle2[[#This Row],[Kunden Nr.]],KUNDEN!A:G,7)</f>
        <v>Qerimi</v>
      </c>
      <c r="L2682" s="76">
        <f>VLOOKUP(Tabelle2[[#This Row],[Artikel]],Produkte!A:H,8)</f>
        <v>0.17</v>
      </c>
    </row>
    <row r="2683" spans="1:12" x14ac:dyDescent="0.2">
      <c r="A2683" s="75" t="s">
        <v>1201</v>
      </c>
      <c r="B2683" s="79">
        <v>46133</v>
      </c>
      <c r="C2683" s="75"/>
      <c r="D2683" s="75"/>
      <c r="E2683" s="75"/>
      <c r="F2683" s="75">
        <v>10240</v>
      </c>
      <c r="G2683" s="76" t="str">
        <f>VLOOKUP(Tabelle2[[#This Row],[Kunden Nr.]],KUNDEN!A:B,2,0)</f>
        <v>ARPO</v>
      </c>
      <c r="H2683" s="75">
        <v>35109</v>
      </c>
      <c r="I2683" s="76" t="str">
        <f>VLOOKUP(Tabelle2[[#This Row],[Artikel]],Produkte!A:B,2,0)</f>
        <v>M-ONE Sanitar Silikon</v>
      </c>
      <c r="J2683" s="75">
        <v>12</v>
      </c>
      <c r="K2683" s="76" t="str">
        <f>VLOOKUP(Tabelle2[[#This Row],[Kunden Nr.]],KUNDEN!A:G,7)</f>
        <v>Qerimi</v>
      </c>
      <c r="L2683" s="76">
        <f>VLOOKUP(Tabelle2[[#This Row],[Artikel]],Produkte!A:H,8)</f>
        <v>0.17</v>
      </c>
    </row>
    <row r="2684" spans="1:12" x14ac:dyDescent="0.2">
      <c r="A2684" s="75" t="s">
        <v>515</v>
      </c>
      <c r="B2684" s="79">
        <v>46133</v>
      </c>
      <c r="C2684" s="89">
        <v>106.8</v>
      </c>
      <c r="D2684" s="75"/>
      <c r="E2684" s="75"/>
      <c r="F2684" s="75">
        <v>10205</v>
      </c>
      <c r="G2684" s="76" t="str">
        <f>VLOOKUP(Tabelle2[[#This Row],[Kunden Nr.]],KUNDEN!A:B,2,0)</f>
        <v>XHAFA</v>
      </c>
      <c r="H2684" s="75">
        <v>35121</v>
      </c>
      <c r="I2684" s="76" t="str">
        <f>VLOOKUP(Tabelle2[[#This Row],[Artikel]],Produkte!A:B,2,0)</f>
        <v>M-ONE Sanitar Silikon</v>
      </c>
      <c r="J2684" s="75">
        <v>12</v>
      </c>
      <c r="K2684" s="76" t="str">
        <f>VLOOKUP(Tabelle2[[#This Row],[Kunden Nr.]],KUNDEN!A:G,7)</f>
        <v>Qerimi</v>
      </c>
      <c r="L2684" s="76">
        <f>VLOOKUP(Tabelle2[[#This Row],[Artikel]],Produkte!A:H,8)</f>
        <v>0.17</v>
      </c>
    </row>
    <row r="2685" spans="1:12" x14ac:dyDescent="0.2">
      <c r="A2685" s="75" t="s">
        <v>515</v>
      </c>
      <c r="B2685" s="79">
        <v>46133</v>
      </c>
      <c r="C2685" s="75"/>
      <c r="D2685" s="75"/>
      <c r="E2685" s="75"/>
      <c r="F2685" s="75">
        <v>10205</v>
      </c>
      <c r="G2685" s="76" t="str">
        <f>VLOOKUP(Tabelle2[[#This Row],[Kunden Nr.]],KUNDEN!A:B,2,0)</f>
        <v>XHAFA</v>
      </c>
      <c r="H2685" s="75">
        <v>35128</v>
      </c>
      <c r="I2685" s="76" t="str">
        <f>VLOOKUP(Tabelle2[[#This Row],[Artikel]],Produkte!A:B,2,0)</f>
        <v>M-ONE Sanitar Silikon</v>
      </c>
      <c r="J2685" s="75">
        <v>12</v>
      </c>
      <c r="K2685" s="76" t="str">
        <f>VLOOKUP(Tabelle2[[#This Row],[Kunden Nr.]],KUNDEN!A:G,7)</f>
        <v>Qerimi</v>
      </c>
      <c r="L2685" s="76">
        <f>VLOOKUP(Tabelle2[[#This Row],[Artikel]],Produkte!A:H,8)</f>
        <v>0.17</v>
      </c>
    </row>
    <row r="2686" spans="1:12" x14ac:dyDescent="0.2">
      <c r="A2686" s="75" t="s">
        <v>515</v>
      </c>
      <c r="B2686" s="79">
        <v>46133</v>
      </c>
      <c r="C2686" s="75"/>
      <c r="D2686" s="75"/>
      <c r="E2686" s="75"/>
      <c r="F2686" s="75">
        <v>10205</v>
      </c>
      <c r="G2686" s="76" t="str">
        <f>VLOOKUP(Tabelle2[[#This Row],[Kunden Nr.]],KUNDEN!A:B,2,0)</f>
        <v>XHAFA</v>
      </c>
      <c r="H2686" s="75">
        <v>50912</v>
      </c>
      <c r="I2686" s="76" t="str">
        <f>VLOOKUP(Tabelle2[[#This Row],[Artikel]],Produkte!A:B,2,0)</f>
        <v>DICHTUNG</v>
      </c>
      <c r="J2686" s="75">
        <v>2</v>
      </c>
      <c r="K2686" s="76" t="str">
        <f>VLOOKUP(Tabelle2[[#This Row],[Kunden Nr.]],KUNDEN!A:G,7)</f>
        <v>Qerimi</v>
      </c>
      <c r="L2686" s="76">
        <f>VLOOKUP(Tabelle2[[#This Row],[Artikel]],Produkte!A:H,8)</f>
        <v>0.2</v>
      </c>
    </row>
    <row r="2687" spans="1:12" x14ac:dyDescent="0.2">
      <c r="A2687" s="75" t="s">
        <v>509</v>
      </c>
      <c r="B2687" s="79">
        <v>46133</v>
      </c>
      <c r="C2687" s="89">
        <v>46.2</v>
      </c>
      <c r="D2687" s="75"/>
      <c r="E2687" s="75"/>
      <c r="F2687" s="75">
        <v>10201</v>
      </c>
      <c r="G2687" s="76" t="str">
        <f>VLOOKUP(Tabelle2[[#This Row],[Kunden Nr.]],KUNDEN!A:B,2,0)</f>
        <v>TE BESNIKU</v>
      </c>
      <c r="H2687" s="75">
        <v>35119</v>
      </c>
      <c r="I2687" s="76" t="str">
        <f>VLOOKUP(Tabelle2[[#This Row],[Artikel]],Produkte!A:B,2,0)</f>
        <v>M-ONE Sanitar Silikon</v>
      </c>
      <c r="J2687" s="75">
        <v>12</v>
      </c>
      <c r="K2687" s="76" t="str">
        <f>VLOOKUP(Tabelle2[[#This Row],[Kunden Nr.]],KUNDEN!A:G,7)</f>
        <v>Qerimi</v>
      </c>
      <c r="L2687" s="76">
        <f>VLOOKUP(Tabelle2[[#This Row],[Artikel]],Produkte!A:H,8)</f>
        <v>0.17</v>
      </c>
    </row>
    <row r="2688" spans="1:12" x14ac:dyDescent="0.2">
      <c r="A2688" s="75" t="s">
        <v>939</v>
      </c>
      <c r="B2688" s="79">
        <v>46133</v>
      </c>
      <c r="C2688" s="89">
        <v>138.6</v>
      </c>
      <c r="D2688" s="75"/>
      <c r="E2688" s="75"/>
      <c r="F2688" s="75">
        <v>10230</v>
      </c>
      <c r="G2688" s="76" t="str">
        <f>VLOOKUP(Tabelle2[[#This Row],[Kunden Nr.]],KUNDEN!A:B,2,0)</f>
        <v>JETA DUHEL</v>
      </c>
      <c r="H2688" s="75">
        <v>35109</v>
      </c>
      <c r="I2688" s="76" t="str">
        <f>VLOOKUP(Tabelle2[[#This Row],[Artikel]],Produkte!A:B,2,0)</f>
        <v>M-ONE Sanitar Silikon</v>
      </c>
      <c r="J2688" s="75">
        <v>12</v>
      </c>
      <c r="K2688" s="76" t="str">
        <f>VLOOKUP(Tabelle2[[#This Row],[Kunden Nr.]],KUNDEN!A:G,7)</f>
        <v>Qerimi</v>
      </c>
      <c r="L2688" s="76">
        <f>VLOOKUP(Tabelle2[[#This Row],[Artikel]],Produkte!A:H,8)</f>
        <v>0.17</v>
      </c>
    </row>
    <row r="2689" spans="1:12" x14ac:dyDescent="0.2">
      <c r="A2689" s="75" t="s">
        <v>939</v>
      </c>
      <c r="B2689" s="79">
        <v>46133</v>
      </c>
      <c r="C2689" s="75"/>
      <c r="D2689" s="75"/>
      <c r="E2689" s="75"/>
      <c r="F2689" s="75">
        <v>10230</v>
      </c>
      <c r="G2689" s="76" t="str">
        <f>VLOOKUP(Tabelle2[[#This Row],[Kunden Nr.]],KUNDEN!A:B,2,0)</f>
        <v>JETA DUHEL</v>
      </c>
      <c r="H2689" s="75">
        <v>35112</v>
      </c>
      <c r="I2689" s="76" t="str">
        <f>VLOOKUP(Tabelle2[[#This Row],[Artikel]],Produkte!A:B,2,0)</f>
        <v>M-ONE Sanitar Silikon</v>
      </c>
      <c r="J2689" s="75">
        <v>12</v>
      </c>
      <c r="K2689" s="76" t="str">
        <f>VLOOKUP(Tabelle2[[#This Row],[Kunden Nr.]],KUNDEN!A:G,7)</f>
        <v>Qerimi</v>
      </c>
      <c r="L2689" s="76">
        <f>VLOOKUP(Tabelle2[[#This Row],[Artikel]],Produkte!A:H,8)</f>
        <v>0.17</v>
      </c>
    </row>
    <row r="2690" spans="1:12" x14ac:dyDescent="0.2">
      <c r="A2690" s="75" t="s">
        <v>939</v>
      </c>
      <c r="B2690" s="79">
        <v>46133</v>
      </c>
      <c r="C2690" s="75"/>
      <c r="D2690" s="75"/>
      <c r="E2690" s="75"/>
      <c r="F2690" s="75">
        <v>10230</v>
      </c>
      <c r="G2690" s="76" t="str">
        <f>VLOOKUP(Tabelle2[[#This Row],[Kunden Nr.]],KUNDEN!A:B,2,0)</f>
        <v>JETA DUHEL</v>
      </c>
      <c r="H2690" s="75">
        <v>35121</v>
      </c>
      <c r="I2690" s="76" t="str">
        <f>VLOOKUP(Tabelle2[[#This Row],[Artikel]],Produkte!A:B,2,0)</f>
        <v>M-ONE Sanitar Silikon</v>
      </c>
      <c r="J2690" s="75">
        <v>12</v>
      </c>
      <c r="K2690" s="76" t="str">
        <f>VLOOKUP(Tabelle2[[#This Row],[Kunden Nr.]],KUNDEN!A:G,7)</f>
        <v>Qerimi</v>
      </c>
      <c r="L2690" s="76">
        <f>VLOOKUP(Tabelle2[[#This Row],[Artikel]],Produkte!A:H,8)</f>
        <v>0.17</v>
      </c>
    </row>
    <row r="2691" spans="1:12" x14ac:dyDescent="0.2">
      <c r="A2691" s="75" t="s">
        <v>507</v>
      </c>
      <c r="B2691" s="79">
        <v>46133</v>
      </c>
      <c r="C2691" s="89">
        <v>46.2</v>
      </c>
      <c r="D2691" s="75"/>
      <c r="E2691" s="75"/>
      <c r="F2691" s="75">
        <v>10528</v>
      </c>
      <c r="G2691" s="76" t="str">
        <f>VLOOKUP(Tabelle2[[#This Row],[Kunden Nr.]],KUNDEN!A:B,2,0)</f>
        <v>TE RAMIZI</v>
      </c>
      <c r="H2691" s="75">
        <v>35121</v>
      </c>
      <c r="I2691" s="76" t="str">
        <f>VLOOKUP(Tabelle2[[#This Row],[Artikel]],Produkte!A:B,2,0)</f>
        <v>M-ONE Sanitar Silikon</v>
      </c>
      <c r="J2691" s="75">
        <v>12</v>
      </c>
      <c r="K2691" s="76" t="str">
        <f>VLOOKUP(Tabelle2[[#This Row],[Kunden Nr.]],KUNDEN!A:G,7)</f>
        <v>Qerimi</v>
      </c>
      <c r="L2691" s="76">
        <f>VLOOKUP(Tabelle2[[#This Row],[Artikel]],Produkte!A:H,8)</f>
        <v>0.17</v>
      </c>
    </row>
    <row r="2692" spans="1:12" x14ac:dyDescent="0.2">
      <c r="A2692" s="75" t="s">
        <v>1179</v>
      </c>
      <c r="B2692" s="79">
        <v>46133</v>
      </c>
      <c r="C2692" s="89">
        <v>231</v>
      </c>
      <c r="D2692" s="75"/>
      <c r="E2692" s="75"/>
      <c r="F2692" s="75">
        <v>40019</v>
      </c>
      <c r="G2692" s="76" t="str">
        <f>VLOOKUP(Tabelle2[[#This Row],[Kunden Nr.]],KUNDEN!A:B,2,0)</f>
        <v>TEMAJ</v>
      </c>
      <c r="H2692" s="75">
        <v>35109</v>
      </c>
      <c r="I2692" s="76" t="str">
        <f>VLOOKUP(Tabelle2[[#This Row],[Artikel]],Produkte!A:B,2,0)</f>
        <v>M-ONE Sanitar Silikon</v>
      </c>
      <c r="J2692" s="75">
        <v>24</v>
      </c>
      <c r="K2692" s="76">
        <f>VLOOKUP(Tabelle2[[#This Row],[Kunden Nr.]],KUNDEN!A:G,7)</f>
        <v>0</v>
      </c>
      <c r="L2692" s="76">
        <f>VLOOKUP(Tabelle2[[#This Row],[Artikel]],Produkte!A:H,8)</f>
        <v>0.17</v>
      </c>
    </row>
    <row r="2693" spans="1:12" x14ac:dyDescent="0.2">
      <c r="A2693" s="75" t="s">
        <v>1179</v>
      </c>
      <c r="B2693" s="79">
        <v>46133</v>
      </c>
      <c r="C2693" s="75"/>
      <c r="D2693" s="75"/>
      <c r="E2693" s="75"/>
      <c r="F2693" s="75">
        <v>40019</v>
      </c>
      <c r="G2693" s="76" t="str">
        <f>VLOOKUP(Tabelle2[[#This Row],[Kunden Nr.]],KUNDEN!A:B,2,0)</f>
        <v>TEMAJ</v>
      </c>
      <c r="H2693" s="75">
        <v>35108</v>
      </c>
      <c r="I2693" s="76" t="str">
        <f>VLOOKUP(Tabelle2[[#This Row],[Artikel]],Produkte!A:B,2,0)</f>
        <v>M-ONE Sanitar Silikon</v>
      </c>
      <c r="J2693" s="75">
        <v>12</v>
      </c>
      <c r="K2693" s="76">
        <f>VLOOKUP(Tabelle2[[#This Row],[Kunden Nr.]],KUNDEN!A:G,7)</f>
        <v>0</v>
      </c>
      <c r="L2693" s="76">
        <f>VLOOKUP(Tabelle2[[#This Row],[Artikel]],Produkte!A:H,8)</f>
        <v>0.17</v>
      </c>
    </row>
    <row r="2694" spans="1:12" x14ac:dyDescent="0.2">
      <c r="A2694" s="75" t="s">
        <v>1179</v>
      </c>
      <c r="B2694" s="79">
        <v>46133</v>
      </c>
      <c r="C2694" s="75"/>
      <c r="D2694" s="75"/>
      <c r="E2694" s="75"/>
      <c r="F2694" s="75">
        <v>40019</v>
      </c>
      <c r="G2694" s="76" t="str">
        <f>VLOOKUP(Tabelle2[[#This Row],[Kunden Nr.]],KUNDEN!A:B,2,0)</f>
        <v>TEMAJ</v>
      </c>
      <c r="H2694" s="75">
        <v>35121</v>
      </c>
      <c r="I2694" s="76" t="str">
        <f>VLOOKUP(Tabelle2[[#This Row],[Artikel]],Produkte!A:B,2,0)</f>
        <v>M-ONE Sanitar Silikon</v>
      </c>
      <c r="J2694" s="75">
        <v>12</v>
      </c>
      <c r="K2694" s="76">
        <f>VLOOKUP(Tabelle2[[#This Row],[Kunden Nr.]],KUNDEN!A:G,7)</f>
        <v>0</v>
      </c>
      <c r="L2694" s="76">
        <f>VLOOKUP(Tabelle2[[#This Row],[Artikel]],Produkte!A:H,8)</f>
        <v>0.17</v>
      </c>
    </row>
    <row r="2695" spans="1:12" x14ac:dyDescent="0.2">
      <c r="A2695" s="75" t="s">
        <v>1179</v>
      </c>
      <c r="B2695" s="79">
        <v>46133</v>
      </c>
      <c r="C2695" s="75"/>
      <c r="D2695" s="75"/>
      <c r="E2695" s="75"/>
      <c r="F2695" s="75">
        <v>40019</v>
      </c>
      <c r="G2695" s="76" t="str">
        <f>VLOOKUP(Tabelle2[[#This Row],[Kunden Nr.]],KUNDEN!A:B,2,0)</f>
        <v>TEMAJ</v>
      </c>
      <c r="H2695" s="75">
        <v>35119</v>
      </c>
      <c r="I2695" s="76" t="str">
        <f>VLOOKUP(Tabelle2[[#This Row],[Artikel]],Produkte!A:B,2,0)</f>
        <v>M-ONE Sanitar Silikon</v>
      </c>
      <c r="J2695" s="75">
        <v>12</v>
      </c>
      <c r="K2695" s="76">
        <f>VLOOKUP(Tabelle2[[#This Row],[Kunden Nr.]],KUNDEN!A:G,7)</f>
        <v>0</v>
      </c>
      <c r="L2695" s="76">
        <f>VLOOKUP(Tabelle2[[#This Row],[Artikel]],Produkte!A:H,8)</f>
        <v>0.17</v>
      </c>
    </row>
    <row r="2696" spans="1:12" x14ac:dyDescent="0.2">
      <c r="A2696" s="75" t="s">
        <v>643</v>
      </c>
      <c r="B2696" s="79">
        <v>46133</v>
      </c>
      <c r="C2696" s="89">
        <v>138.6</v>
      </c>
      <c r="D2696" s="75"/>
      <c r="E2696" s="75"/>
      <c r="F2696" s="75">
        <v>20224</v>
      </c>
      <c r="G2696" s="76" t="str">
        <f>VLOOKUP(Tabelle2[[#This Row],[Kunden Nr.]],KUNDEN!A:B,2,0)</f>
        <v>TANI</v>
      </c>
      <c r="H2696" s="75">
        <v>35110</v>
      </c>
      <c r="I2696" s="76" t="str">
        <f>VLOOKUP(Tabelle2[[#This Row],[Artikel]],Produkte!A:B,2,0)</f>
        <v>M-ONE Sanitar Silikon</v>
      </c>
      <c r="J2696" s="75">
        <v>12</v>
      </c>
      <c r="K2696" s="76" t="str">
        <f>VLOOKUP(Tabelle2[[#This Row],[Kunden Nr.]],KUNDEN!A:G,7)</f>
        <v>Mensuri</v>
      </c>
      <c r="L2696" s="76">
        <f>VLOOKUP(Tabelle2[[#This Row],[Artikel]],Produkte!A:H,8)</f>
        <v>0.17</v>
      </c>
    </row>
    <row r="2697" spans="1:12" x14ac:dyDescent="0.2">
      <c r="A2697" s="75" t="s">
        <v>643</v>
      </c>
      <c r="B2697" s="79">
        <v>46133</v>
      </c>
      <c r="C2697" s="75"/>
      <c r="D2697" s="75"/>
      <c r="E2697" s="75"/>
      <c r="F2697" s="75">
        <v>20224</v>
      </c>
      <c r="G2697" s="76" t="str">
        <f>VLOOKUP(Tabelle2[[#This Row],[Kunden Nr.]],KUNDEN!A:B,2,0)</f>
        <v>TANI</v>
      </c>
      <c r="H2697" s="75">
        <v>35111</v>
      </c>
      <c r="I2697" s="76" t="str">
        <f>VLOOKUP(Tabelle2[[#This Row],[Artikel]],Produkte!A:B,2,0)</f>
        <v>M-ONE Sanitar Silikon</v>
      </c>
      <c r="J2697" s="75">
        <v>12</v>
      </c>
      <c r="K2697" s="76" t="str">
        <f>VLOOKUP(Tabelle2[[#This Row],[Kunden Nr.]],KUNDEN!A:G,7)</f>
        <v>Mensuri</v>
      </c>
      <c r="L2697" s="76">
        <f>VLOOKUP(Tabelle2[[#This Row],[Artikel]],Produkte!A:H,8)</f>
        <v>0.17</v>
      </c>
    </row>
    <row r="2698" spans="1:12" x14ac:dyDescent="0.2">
      <c r="A2698" s="75" t="s">
        <v>643</v>
      </c>
      <c r="B2698" s="79">
        <v>46133</v>
      </c>
      <c r="C2698" s="75"/>
      <c r="D2698" s="75"/>
      <c r="E2698" s="75"/>
      <c r="F2698" s="75">
        <v>20224</v>
      </c>
      <c r="G2698" s="76" t="str">
        <f>VLOOKUP(Tabelle2[[#This Row],[Kunden Nr.]],KUNDEN!A:B,2,0)</f>
        <v>TANI</v>
      </c>
      <c r="H2698" s="75">
        <v>35112</v>
      </c>
      <c r="I2698" s="76" t="str">
        <f>VLOOKUP(Tabelle2[[#This Row],[Artikel]],Produkte!A:B,2,0)</f>
        <v>M-ONE Sanitar Silikon</v>
      </c>
      <c r="J2698" s="75">
        <v>12</v>
      </c>
      <c r="K2698" s="76" t="str">
        <f>VLOOKUP(Tabelle2[[#This Row],[Kunden Nr.]],KUNDEN!A:G,7)</f>
        <v>Mensuri</v>
      </c>
      <c r="L2698" s="76">
        <f>VLOOKUP(Tabelle2[[#This Row],[Artikel]],Produkte!A:H,8)</f>
        <v>0.17</v>
      </c>
    </row>
    <row r="2699" spans="1:12" x14ac:dyDescent="0.2">
      <c r="A2699" s="75" t="s">
        <v>422</v>
      </c>
      <c r="B2699" s="79">
        <v>46133</v>
      </c>
      <c r="C2699" s="89">
        <v>142.19999999999999</v>
      </c>
      <c r="D2699" s="75"/>
      <c r="E2699" s="75"/>
      <c r="F2699" s="75">
        <v>20209</v>
      </c>
      <c r="G2699" s="76" t="str">
        <f>VLOOKUP(Tabelle2[[#This Row],[Kunden Nr.]],KUNDEN!A:B,2,0)</f>
        <v>LETAJ</v>
      </c>
      <c r="H2699" s="75">
        <v>50912</v>
      </c>
      <c r="I2699" s="76" t="str">
        <f>VLOOKUP(Tabelle2[[#This Row],[Artikel]],Produkte!A:B,2,0)</f>
        <v>DICHTUNG</v>
      </c>
      <c r="J2699" s="75">
        <v>12</v>
      </c>
      <c r="K2699" s="76" t="str">
        <f>VLOOKUP(Tabelle2[[#This Row],[Kunden Nr.]],KUNDEN!A:G,7)</f>
        <v>Mensuri</v>
      </c>
      <c r="L2699" s="76">
        <f>VLOOKUP(Tabelle2[[#This Row],[Artikel]],Produkte!A:H,8)</f>
        <v>0.2</v>
      </c>
    </row>
    <row r="2700" spans="1:12" x14ac:dyDescent="0.2">
      <c r="A2700" s="75" t="s">
        <v>422</v>
      </c>
      <c r="B2700" s="79">
        <v>46133</v>
      </c>
      <c r="C2700" s="75"/>
      <c r="D2700" s="75"/>
      <c r="E2700" s="75"/>
      <c r="F2700" s="75">
        <v>20209</v>
      </c>
      <c r="G2700" s="76" t="str">
        <f>VLOOKUP(Tabelle2[[#This Row],[Kunden Nr.]],KUNDEN!A:B,2,0)</f>
        <v>LETAJ</v>
      </c>
      <c r="H2700" s="75">
        <v>35128</v>
      </c>
      <c r="I2700" s="76" t="str">
        <f>VLOOKUP(Tabelle2[[#This Row],[Artikel]],Produkte!A:B,2,0)</f>
        <v>M-ONE Sanitar Silikon</v>
      </c>
      <c r="J2700" s="75">
        <v>12</v>
      </c>
      <c r="K2700" s="76" t="str">
        <f>VLOOKUP(Tabelle2[[#This Row],[Kunden Nr.]],KUNDEN!A:G,7)</f>
        <v>Mensuri</v>
      </c>
      <c r="L2700" s="76">
        <f>VLOOKUP(Tabelle2[[#This Row],[Artikel]],Produkte!A:H,8)</f>
        <v>0.17</v>
      </c>
    </row>
    <row r="2701" spans="1:12" x14ac:dyDescent="0.2">
      <c r="A2701" s="75" t="s">
        <v>420</v>
      </c>
      <c r="B2701" s="79">
        <v>46133</v>
      </c>
      <c r="C2701" s="89">
        <v>51.6</v>
      </c>
      <c r="D2701" s="75"/>
      <c r="E2701" s="75"/>
      <c r="F2701" s="75">
        <v>20205</v>
      </c>
      <c r="G2701" s="76" t="str">
        <f>VLOOKUP(Tabelle2[[#This Row],[Kunden Nr.]],KUNDEN!A:B,2,0)</f>
        <v>GACAFERI-RG</v>
      </c>
      <c r="H2701" s="75">
        <v>56117</v>
      </c>
      <c r="I2701" s="76" t="str">
        <f>VLOOKUP(Tabelle2[[#This Row],[Artikel]],Produkte!A:B,2,0)</f>
        <v>M ONE UBS</v>
      </c>
      <c r="J2701" s="75">
        <v>6</v>
      </c>
      <c r="K2701" s="76" t="str">
        <f>VLOOKUP(Tabelle2[[#This Row],[Kunden Nr.]],KUNDEN!A:G,7)</f>
        <v>Mensuri</v>
      </c>
      <c r="L2701" s="76">
        <f>VLOOKUP(Tabelle2[[#This Row],[Artikel]],Produkte!A:H,8)</f>
        <v>0.2</v>
      </c>
    </row>
    <row r="2702" spans="1:12" x14ac:dyDescent="0.2">
      <c r="A2702" s="75" t="s">
        <v>420</v>
      </c>
      <c r="B2702" s="79">
        <v>46133</v>
      </c>
      <c r="C2702" s="75"/>
      <c r="D2702" s="75"/>
      <c r="E2702" s="75"/>
      <c r="F2702" s="75">
        <v>20205</v>
      </c>
      <c r="G2702" s="76" t="str">
        <f>VLOOKUP(Tabelle2[[#This Row],[Kunden Nr.]],KUNDEN!A:B,2,0)</f>
        <v>GACAFERI-RG</v>
      </c>
      <c r="H2702" s="75">
        <v>51612</v>
      </c>
      <c r="I2702" s="76" t="str">
        <f>VLOOKUP(Tabelle2[[#This Row],[Artikel]],Produkte!A:B,2,0)</f>
        <v>struktural akryl</v>
      </c>
      <c r="J2702" s="75">
        <v>12</v>
      </c>
      <c r="K2702" s="76" t="str">
        <f>VLOOKUP(Tabelle2[[#This Row],[Kunden Nr.]],KUNDEN!A:G,7)</f>
        <v>Mensuri</v>
      </c>
      <c r="L2702" s="76">
        <f>VLOOKUP(Tabelle2[[#This Row],[Artikel]],Produkte!A:H,8)</f>
        <v>0.06</v>
      </c>
    </row>
    <row r="2703" spans="1:12" x14ac:dyDescent="0.2">
      <c r="A2703" s="75" t="s">
        <v>424</v>
      </c>
      <c r="B2703" s="79">
        <v>46133</v>
      </c>
      <c r="C2703" s="89">
        <v>107.4</v>
      </c>
      <c r="D2703" s="75"/>
      <c r="E2703" s="75"/>
      <c r="F2703" s="75">
        <v>20211</v>
      </c>
      <c r="G2703" s="76" t="str">
        <f>VLOOKUP(Tabelle2[[#This Row],[Kunden Nr.]],KUNDEN!A:B,2,0)</f>
        <v>INOX 1</v>
      </c>
      <c r="H2703" s="75">
        <v>35112</v>
      </c>
      <c r="I2703" s="76" t="str">
        <f>VLOOKUP(Tabelle2[[#This Row],[Artikel]],Produkte!A:B,2,0)</f>
        <v>M-ONE Sanitar Silikon</v>
      </c>
      <c r="J2703" s="75">
        <v>12</v>
      </c>
      <c r="K2703" s="76" t="str">
        <f>VLOOKUP(Tabelle2[[#This Row],[Kunden Nr.]],KUNDEN!A:G,7)</f>
        <v>Mensuri</v>
      </c>
      <c r="L2703" s="76">
        <f>VLOOKUP(Tabelle2[[#This Row],[Artikel]],Produkte!A:H,8)</f>
        <v>0.17</v>
      </c>
    </row>
    <row r="2704" spans="1:12" x14ac:dyDescent="0.2">
      <c r="A2704" s="75" t="s">
        <v>424</v>
      </c>
      <c r="B2704" s="79">
        <v>46133</v>
      </c>
      <c r="C2704" s="75"/>
      <c r="D2704" s="75"/>
      <c r="E2704" s="75"/>
      <c r="F2704" s="75">
        <v>20211</v>
      </c>
      <c r="G2704" s="76" t="str">
        <f>VLOOKUP(Tabelle2[[#This Row],[Kunden Nr.]],KUNDEN!A:B,2,0)</f>
        <v>INOX 1</v>
      </c>
      <c r="H2704" s="75">
        <v>35113</v>
      </c>
      <c r="I2704" s="76" t="str">
        <f>VLOOKUP(Tabelle2[[#This Row],[Artikel]],Produkte!A:B,2,0)</f>
        <v>M-ONE Sanitar Silikon</v>
      </c>
      <c r="J2704" s="75">
        <v>12</v>
      </c>
      <c r="K2704" s="76" t="str">
        <f>VLOOKUP(Tabelle2[[#This Row],[Kunden Nr.]],KUNDEN!A:G,7)</f>
        <v>Mensuri</v>
      </c>
      <c r="L2704" s="76">
        <f>VLOOKUP(Tabelle2[[#This Row],[Artikel]],Produkte!A:H,8)</f>
        <v>0.17</v>
      </c>
    </row>
    <row r="2705" spans="1:12" x14ac:dyDescent="0.2">
      <c r="A2705" s="75" t="s">
        <v>424</v>
      </c>
      <c r="B2705" s="79">
        <v>46133</v>
      </c>
      <c r="C2705" s="75"/>
      <c r="D2705" s="75"/>
      <c r="E2705" s="75"/>
      <c r="F2705" s="75">
        <v>20211</v>
      </c>
      <c r="G2705" s="76" t="str">
        <f>VLOOKUP(Tabelle2[[#This Row],[Kunden Nr.]],KUNDEN!A:B,2,0)</f>
        <v>INOX 1</v>
      </c>
      <c r="H2705" s="75">
        <v>51611</v>
      </c>
      <c r="I2705" s="76" t="str">
        <f>VLOOKUP(Tabelle2[[#This Row],[Artikel]],Produkte!A:B,2,0)</f>
        <v>universal akryl</v>
      </c>
      <c r="J2705" s="75">
        <v>12</v>
      </c>
      <c r="K2705" s="76" t="str">
        <f>VLOOKUP(Tabelle2[[#This Row],[Kunden Nr.]],KUNDEN!A:G,7)</f>
        <v>Mensuri</v>
      </c>
      <c r="L2705" s="76">
        <f>VLOOKUP(Tabelle2[[#This Row],[Artikel]],Produkte!A:H,8)</f>
        <v>0.06</v>
      </c>
    </row>
    <row r="2706" spans="1:12" x14ac:dyDescent="0.2">
      <c r="A2706" s="75" t="s">
        <v>425</v>
      </c>
      <c r="B2706" s="79">
        <v>46133</v>
      </c>
      <c r="C2706" s="89">
        <v>92.4</v>
      </c>
      <c r="D2706" s="75"/>
      <c r="E2706" s="75"/>
      <c r="F2706" s="75">
        <v>20212</v>
      </c>
      <c r="G2706" s="76" t="str">
        <f>VLOOKUP(Tabelle2[[#This Row],[Kunden Nr.]],KUNDEN!A:B,2,0)</f>
        <v>INOX 2</v>
      </c>
      <c r="H2706" s="75">
        <v>35113</v>
      </c>
      <c r="I2706" s="76" t="str">
        <f>VLOOKUP(Tabelle2[[#This Row],[Artikel]],Produkte!A:B,2,0)</f>
        <v>M-ONE Sanitar Silikon</v>
      </c>
      <c r="J2706" s="75">
        <v>12</v>
      </c>
      <c r="K2706" s="76" t="str">
        <f>VLOOKUP(Tabelle2[[#This Row],[Kunden Nr.]],KUNDEN!A:G,7)</f>
        <v>Mensuri</v>
      </c>
      <c r="L2706" s="76">
        <f>VLOOKUP(Tabelle2[[#This Row],[Artikel]],Produkte!A:H,8)</f>
        <v>0.17</v>
      </c>
    </row>
    <row r="2707" spans="1:12" x14ac:dyDescent="0.2">
      <c r="A2707" s="75" t="s">
        <v>425</v>
      </c>
      <c r="B2707" s="79">
        <v>46133</v>
      </c>
      <c r="C2707" s="75"/>
      <c r="D2707" s="75"/>
      <c r="E2707" s="75"/>
      <c r="F2707" s="75">
        <v>20212</v>
      </c>
      <c r="G2707" s="76" t="str">
        <f>VLOOKUP(Tabelle2[[#This Row],[Kunden Nr.]],KUNDEN!A:B,2,0)</f>
        <v>INOX 2</v>
      </c>
      <c r="H2707" s="75">
        <v>35121</v>
      </c>
      <c r="I2707" s="76" t="str">
        <f>VLOOKUP(Tabelle2[[#This Row],[Artikel]],Produkte!A:B,2,0)</f>
        <v>M-ONE Sanitar Silikon</v>
      </c>
      <c r="J2707" s="75">
        <v>12</v>
      </c>
      <c r="K2707" s="76" t="str">
        <f>VLOOKUP(Tabelle2[[#This Row],[Kunden Nr.]],KUNDEN!A:G,7)</f>
        <v>Mensuri</v>
      </c>
      <c r="L2707" s="76">
        <f>VLOOKUP(Tabelle2[[#This Row],[Artikel]],Produkte!A:H,8)</f>
        <v>0.17</v>
      </c>
    </row>
    <row r="2708" spans="1:12" x14ac:dyDescent="0.2">
      <c r="A2708" s="75" t="s">
        <v>442</v>
      </c>
      <c r="B2708" s="79">
        <v>46133</v>
      </c>
      <c r="C2708" s="89">
        <v>147.6</v>
      </c>
      <c r="D2708" s="75"/>
      <c r="E2708" s="75"/>
      <c r="F2708" s="75">
        <v>20208</v>
      </c>
      <c r="G2708" s="76" t="str">
        <f>VLOOKUP(Tabelle2[[#This Row],[Kunden Nr.]],KUNDEN!A:B,2,0)</f>
        <v>V. GJONAJ</v>
      </c>
      <c r="H2708" s="75">
        <v>35125</v>
      </c>
      <c r="I2708" s="76" t="str">
        <f>VLOOKUP(Tabelle2[[#This Row],[Artikel]],Produkte!A:B,2,0)</f>
        <v>M-ONE Sanitar Silikon</v>
      </c>
      <c r="J2708" s="75">
        <v>24</v>
      </c>
      <c r="K2708" s="76" t="str">
        <f>VLOOKUP(Tabelle2[[#This Row],[Kunden Nr.]],KUNDEN!A:G,7)</f>
        <v>Mensuri</v>
      </c>
      <c r="L2708" s="76">
        <f>VLOOKUP(Tabelle2[[#This Row],[Artikel]],Produkte!A:H,8)</f>
        <v>0.17</v>
      </c>
    </row>
    <row r="2709" spans="1:12" x14ac:dyDescent="0.2">
      <c r="A2709" s="75" t="s">
        <v>442</v>
      </c>
      <c r="B2709" s="79">
        <v>46133</v>
      </c>
      <c r="C2709" s="75"/>
      <c r="D2709" s="75"/>
      <c r="E2709" s="75"/>
      <c r="F2709" s="75">
        <v>20208</v>
      </c>
      <c r="G2709" s="76" t="str">
        <f>VLOOKUP(Tabelle2[[#This Row],[Kunden Nr.]],KUNDEN!A:B,2,0)</f>
        <v>V. GJONAJ</v>
      </c>
      <c r="H2709" s="75">
        <v>51612</v>
      </c>
      <c r="I2709" s="76" t="str">
        <f>VLOOKUP(Tabelle2[[#This Row],[Artikel]],Produkte!A:B,2,0)</f>
        <v>struktural akryl</v>
      </c>
      <c r="J2709" s="75">
        <v>24</v>
      </c>
      <c r="K2709" s="76" t="str">
        <f>VLOOKUP(Tabelle2[[#This Row],[Kunden Nr.]],KUNDEN!A:G,7)</f>
        <v>Mensuri</v>
      </c>
      <c r="L2709" s="76">
        <f>VLOOKUP(Tabelle2[[#This Row],[Artikel]],Produkte!A:H,8)</f>
        <v>0.06</v>
      </c>
    </row>
    <row r="2710" spans="1:12" x14ac:dyDescent="0.2">
      <c r="A2710" s="75" t="s">
        <v>670</v>
      </c>
      <c r="B2710" s="79">
        <v>46133</v>
      </c>
      <c r="C2710" s="89">
        <v>101.4</v>
      </c>
      <c r="D2710" s="75"/>
      <c r="E2710" s="75"/>
      <c r="F2710" s="75">
        <v>20206</v>
      </c>
      <c r="G2710" s="76" t="str">
        <f>VLOOKUP(Tabelle2[[#This Row],[Kunden Nr.]],KUNDEN!A:B,2,0)</f>
        <v>ERENIKU</v>
      </c>
      <c r="H2710" s="75">
        <v>35109</v>
      </c>
      <c r="I2710" s="76" t="str">
        <f>VLOOKUP(Tabelle2[[#This Row],[Artikel]],Produkte!A:B,2,0)</f>
        <v>M-ONE Sanitar Silikon</v>
      </c>
      <c r="J2710" s="75">
        <v>12</v>
      </c>
      <c r="K2710" s="76" t="str">
        <f>VLOOKUP(Tabelle2[[#This Row],[Kunden Nr.]],KUNDEN!A:G,7)</f>
        <v>Mensuri</v>
      </c>
      <c r="L2710" s="76">
        <f>VLOOKUP(Tabelle2[[#This Row],[Artikel]],Produkte!A:H,8)</f>
        <v>0.17</v>
      </c>
    </row>
    <row r="2711" spans="1:12" x14ac:dyDescent="0.2">
      <c r="A2711" s="75" t="s">
        <v>670</v>
      </c>
      <c r="B2711" s="79">
        <v>46133</v>
      </c>
      <c r="C2711" s="75"/>
      <c r="D2711" s="75"/>
      <c r="E2711" s="75"/>
      <c r="F2711" s="75">
        <v>20206</v>
      </c>
      <c r="G2711" s="76" t="str">
        <f>VLOOKUP(Tabelle2[[#This Row],[Kunden Nr.]],KUNDEN!A:B,2,0)</f>
        <v>ERENIKU</v>
      </c>
      <c r="H2711" s="75">
        <v>51612</v>
      </c>
      <c r="I2711" s="76" t="str">
        <f>VLOOKUP(Tabelle2[[#This Row],[Artikel]],Produkte!A:B,2,0)</f>
        <v>struktural akryl</v>
      </c>
      <c r="J2711" s="75">
        <v>24</v>
      </c>
      <c r="K2711" s="76" t="str">
        <f>VLOOKUP(Tabelle2[[#This Row],[Kunden Nr.]],KUNDEN!A:G,7)</f>
        <v>Mensuri</v>
      </c>
      <c r="L2711" s="76">
        <f>VLOOKUP(Tabelle2[[#This Row],[Artikel]],Produkte!A:H,8)</f>
        <v>0.06</v>
      </c>
    </row>
    <row r="2712" spans="1:12" x14ac:dyDescent="0.2">
      <c r="A2712" s="75" t="s">
        <v>418</v>
      </c>
      <c r="B2712" s="79">
        <v>46133</v>
      </c>
      <c r="C2712" s="89">
        <v>323.39999999999998</v>
      </c>
      <c r="D2712" s="75"/>
      <c r="E2712" s="75"/>
      <c r="F2712" s="75">
        <v>20203</v>
      </c>
      <c r="G2712" s="76" t="str">
        <f>VLOOKUP(Tabelle2[[#This Row],[Kunden Nr.]],KUNDEN!A:B,2,0)</f>
        <v>AFRIMI-AG</v>
      </c>
      <c r="H2712" s="75">
        <v>35109</v>
      </c>
      <c r="I2712" s="76" t="str">
        <f>VLOOKUP(Tabelle2[[#This Row],[Artikel]],Produkte!A:B,2,0)</f>
        <v>M-ONE Sanitar Silikon</v>
      </c>
      <c r="J2712" s="75">
        <v>48</v>
      </c>
      <c r="K2712" s="76" t="str">
        <f>VLOOKUP(Tabelle2[[#This Row],[Kunden Nr.]],KUNDEN!A:G,7)</f>
        <v>Mensuri</v>
      </c>
      <c r="L2712" s="76">
        <f>VLOOKUP(Tabelle2[[#This Row],[Artikel]],Produkte!A:H,8)</f>
        <v>0.17</v>
      </c>
    </row>
    <row r="2713" spans="1:12" x14ac:dyDescent="0.2">
      <c r="A2713" s="75" t="s">
        <v>418</v>
      </c>
      <c r="B2713" s="79">
        <v>46133</v>
      </c>
      <c r="C2713" s="75"/>
      <c r="D2713" s="75"/>
      <c r="E2713" s="75"/>
      <c r="F2713" s="75">
        <v>20203</v>
      </c>
      <c r="G2713" s="76" t="str">
        <f>VLOOKUP(Tabelle2[[#This Row],[Kunden Nr.]],KUNDEN!A:B,2,0)</f>
        <v>AFRIMI-AG</v>
      </c>
      <c r="H2713" s="75">
        <v>35108</v>
      </c>
      <c r="I2713" s="76" t="str">
        <f>VLOOKUP(Tabelle2[[#This Row],[Artikel]],Produkte!A:B,2,0)</f>
        <v>M-ONE Sanitar Silikon</v>
      </c>
      <c r="J2713" s="75">
        <v>12</v>
      </c>
      <c r="K2713" s="76" t="str">
        <f>VLOOKUP(Tabelle2[[#This Row],[Kunden Nr.]],KUNDEN!A:G,7)</f>
        <v>Mensuri</v>
      </c>
      <c r="L2713" s="76">
        <f>VLOOKUP(Tabelle2[[#This Row],[Artikel]],Produkte!A:H,8)</f>
        <v>0.17</v>
      </c>
    </row>
    <row r="2714" spans="1:12" x14ac:dyDescent="0.2">
      <c r="A2714" s="75" t="s">
        <v>418</v>
      </c>
      <c r="B2714" s="79">
        <v>46133</v>
      </c>
      <c r="C2714" s="75"/>
      <c r="D2714" s="75"/>
      <c r="E2714" s="75"/>
      <c r="F2714" s="75">
        <v>20203</v>
      </c>
      <c r="G2714" s="76" t="str">
        <f>VLOOKUP(Tabelle2[[#This Row],[Kunden Nr.]],KUNDEN!A:B,2,0)</f>
        <v>AFRIMI-AG</v>
      </c>
      <c r="H2714" s="75">
        <v>35112</v>
      </c>
      <c r="I2714" s="76" t="str">
        <f>VLOOKUP(Tabelle2[[#This Row],[Artikel]],Produkte!A:B,2,0)</f>
        <v>M-ONE Sanitar Silikon</v>
      </c>
      <c r="J2714" s="75">
        <v>12</v>
      </c>
      <c r="K2714" s="76" t="str">
        <f>VLOOKUP(Tabelle2[[#This Row],[Kunden Nr.]],KUNDEN!A:G,7)</f>
        <v>Mensuri</v>
      </c>
      <c r="L2714" s="76">
        <f>VLOOKUP(Tabelle2[[#This Row],[Artikel]],Produkte!A:H,8)</f>
        <v>0.17</v>
      </c>
    </row>
    <row r="2715" spans="1:12" x14ac:dyDescent="0.2">
      <c r="A2715" s="75" t="s">
        <v>418</v>
      </c>
      <c r="B2715" s="79">
        <v>46133</v>
      </c>
      <c r="C2715" s="75"/>
      <c r="D2715" s="75"/>
      <c r="E2715" s="75"/>
      <c r="F2715" s="75">
        <v>20203</v>
      </c>
      <c r="G2715" s="76" t="str">
        <f>VLOOKUP(Tabelle2[[#This Row],[Kunden Nr.]],KUNDEN!A:B,2,0)</f>
        <v>AFRIMI-AG</v>
      </c>
      <c r="H2715" s="75">
        <v>35128</v>
      </c>
      <c r="I2715" s="76" t="str">
        <f>VLOOKUP(Tabelle2[[#This Row],[Artikel]],Produkte!A:B,2,0)</f>
        <v>M-ONE Sanitar Silikon</v>
      </c>
      <c r="J2715" s="75">
        <v>12</v>
      </c>
      <c r="K2715" s="76" t="str">
        <f>VLOOKUP(Tabelle2[[#This Row],[Kunden Nr.]],KUNDEN!A:G,7)</f>
        <v>Mensuri</v>
      </c>
      <c r="L2715" s="76">
        <f>VLOOKUP(Tabelle2[[#This Row],[Artikel]],Produkte!A:H,8)</f>
        <v>0.17</v>
      </c>
    </row>
    <row r="2716" spans="1:12" x14ac:dyDescent="0.2">
      <c r="A2716" s="75" t="s">
        <v>963</v>
      </c>
      <c r="B2716" s="79">
        <v>46133</v>
      </c>
      <c r="C2716" s="89">
        <v>114</v>
      </c>
      <c r="D2716" s="75"/>
      <c r="E2716" s="75"/>
      <c r="F2716" s="75">
        <v>20201</v>
      </c>
      <c r="G2716" s="76" t="str">
        <f>VLOOKUP(Tabelle2[[#This Row],[Kunden Nr.]],KUNDEN!A:B,2,0)</f>
        <v>TE BESIMI</v>
      </c>
      <c r="H2716" s="75">
        <v>35110</v>
      </c>
      <c r="I2716" s="76" t="str">
        <f>VLOOKUP(Tabelle2[[#This Row],[Artikel]],Produkte!A:B,2,0)</f>
        <v>M-ONE Sanitar Silikon</v>
      </c>
      <c r="J2716" s="75">
        <v>12</v>
      </c>
      <c r="K2716" s="76" t="str">
        <f>VLOOKUP(Tabelle2[[#This Row],[Kunden Nr.]],KUNDEN!A:G,7)</f>
        <v>Mensuri</v>
      </c>
      <c r="L2716" s="76">
        <f>VLOOKUP(Tabelle2[[#This Row],[Artikel]],Produkte!A:H,8)</f>
        <v>0.17</v>
      </c>
    </row>
    <row r="2717" spans="1:12" x14ac:dyDescent="0.2">
      <c r="A2717" s="75" t="s">
        <v>963</v>
      </c>
      <c r="B2717" s="79">
        <v>46133</v>
      </c>
      <c r="C2717" s="75"/>
      <c r="D2717" s="75"/>
      <c r="E2717" s="75"/>
      <c r="F2717" s="75">
        <v>20201</v>
      </c>
      <c r="G2717" s="76" t="str">
        <f>VLOOKUP(Tabelle2[[#This Row],[Kunden Nr.]],KUNDEN!A:B,2,0)</f>
        <v>TE BESIMI</v>
      </c>
      <c r="H2717" s="75">
        <v>35125</v>
      </c>
      <c r="I2717" s="76" t="str">
        <f>VLOOKUP(Tabelle2[[#This Row],[Artikel]],Produkte!A:B,2,0)</f>
        <v>M-ONE Sanitar Silikon</v>
      </c>
      <c r="J2717" s="75">
        <v>12</v>
      </c>
      <c r="K2717" s="76" t="str">
        <f>VLOOKUP(Tabelle2[[#This Row],[Kunden Nr.]],KUNDEN!A:G,7)</f>
        <v>Mensuri</v>
      </c>
      <c r="L2717" s="76">
        <f>VLOOKUP(Tabelle2[[#This Row],[Artikel]],Produkte!A:H,8)</f>
        <v>0.17</v>
      </c>
    </row>
    <row r="2718" spans="1:12" x14ac:dyDescent="0.2">
      <c r="A2718" s="75" t="s">
        <v>963</v>
      </c>
      <c r="B2718" s="79">
        <v>46133</v>
      </c>
      <c r="C2718" s="75"/>
      <c r="D2718" s="75"/>
      <c r="E2718" s="75"/>
      <c r="F2718" s="75">
        <v>20201</v>
      </c>
      <c r="G2718" s="76" t="str">
        <f>VLOOKUP(Tabelle2[[#This Row],[Kunden Nr.]],KUNDEN!A:B,2,0)</f>
        <v>TE BESIMI</v>
      </c>
      <c r="H2718" s="75">
        <v>50912</v>
      </c>
      <c r="I2718" s="76" t="str">
        <f>VLOOKUP(Tabelle2[[#This Row],[Artikel]],Produkte!A:B,2,0)</f>
        <v>DICHTUNG</v>
      </c>
      <c r="J2718" s="75">
        <v>3</v>
      </c>
      <c r="K2718" s="76" t="str">
        <f>VLOOKUP(Tabelle2[[#This Row],[Kunden Nr.]],KUNDEN!A:G,7)</f>
        <v>Mensuri</v>
      </c>
      <c r="L2718" s="76">
        <f>VLOOKUP(Tabelle2[[#This Row],[Artikel]],Produkte!A:H,8)</f>
        <v>0.2</v>
      </c>
    </row>
    <row r="2719" spans="1:12" x14ac:dyDescent="0.2">
      <c r="A2719" s="75" t="s">
        <v>1177</v>
      </c>
      <c r="B2719" s="79">
        <v>46133</v>
      </c>
      <c r="C2719" s="89">
        <v>48</v>
      </c>
      <c r="D2719" s="75"/>
      <c r="E2719" s="75"/>
      <c r="F2719" s="75">
        <v>40017</v>
      </c>
      <c r="G2719" s="76" t="str">
        <f>VLOOKUP(Tabelle2[[#This Row],[Kunden Nr.]],KUNDEN!A:B,2,0)</f>
        <v>YLLI CONSTRUCION</v>
      </c>
      <c r="H2719" s="75">
        <v>35108</v>
      </c>
      <c r="I2719" s="76" t="str">
        <f>VLOOKUP(Tabelle2[[#This Row],[Artikel]],Produkte!A:B,2,0)</f>
        <v>M-ONE Sanitar Silikon</v>
      </c>
      <c r="J2719" s="75">
        <v>4</v>
      </c>
      <c r="K2719" s="76">
        <f>VLOOKUP(Tabelle2[[#This Row],[Kunden Nr.]],KUNDEN!A:G,7)</f>
        <v>0</v>
      </c>
      <c r="L2719" s="76">
        <f>VLOOKUP(Tabelle2[[#This Row],[Artikel]],Produkte!A:H,8)</f>
        <v>0.17</v>
      </c>
    </row>
    <row r="2720" spans="1:12" x14ac:dyDescent="0.2">
      <c r="A2720" s="75" t="s">
        <v>1177</v>
      </c>
      <c r="B2720" s="79">
        <v>46133</v>
      </c>
      <c r="C2720" s="75"/>
      <c r="D2720" s="75"/>
      <c r="E2720" s="75"/>
      <c r="F2720" s="75">
        <v>40017</v>
      </c>
      <c r="G2720" s="76" t="str">
        <f>VLOOKUP(Tabelle2[[#This Row],[Kunden Nr.]],KUNDEN!A:B,2,0)</f>
        <v>YLLI CONSTRUCION</v>
      </c>
      <c r="H2720" s="75">
        <v>35110</v>
      </c>
      <c r="I2720" s="76" t="str">
        <f>VLOOKUP(Tabelle2[[#This Row],[Artikel]],Produkte!A:B,2,0)</f>
        <v>M-ONE Sanitar Silikon</v>
      </c>
      <c r="J2720" s="75">
        <v>4</v>
      </c>
      <c r="K2720" s="76">
        <f>VLOOKUP(Tabelle2[[#This Row],[Kunden Nr.]],KUNDEN!A:G,7)</f>
        <v>0</v>
      </c>
      <c r="L2720" s="76">
        <f>VLOOKUP(Tabelle2[[#This Row],[Artikel]],Produkte!A:H,8)</f>
        <v>0.17</v>
      </c>
    </row>
    <row r="2721" spans="1:12" x14ac:dyDescent="0.2">
      <c r="A2721" s="75" t="s">
        <v>1177</v>
      </c>
      <c r="B2721" s="79">
        <v>46133</v>
      </c>
      <c r="C2721" s="75"/>
      <c r="D2721" s="75"/>
      <c r="E2721" s="75"/>
      <c r="F2721" s="75">
        <v>40017</v>
      </c>
      <c r="G2721" s="76" t="str">
        <f>VLOOKUP(Tabelle2[[#This Row],[Kunden Nr.]],KUNDEN!A:B,2,0)</f>
        <v>YLLI CONSTRUCION</v>
      </c>
      <c r="H2721" s="75">
        <v>35111</v>
      </c>
      <c r="I2721" s="76" t="str">
        <f>VLOOKUP(Tabelle2[[#This Row],[Artikel]],Produkte!A:B,2,0)</f>
        <v>M-ONE Sanitar Silikon</v>
      </c>
      <c r="J2721" s="75">
        <v>4</v>
      </c>
      <c r="K2721" s="76">
        <f>VLOOKUP(Tabelle2[[#This Row],[Kunden Nr.]],KUNDEN!A:G,7)</f>
        <v>0</v>
      </c>
      <c r="L2721" s="76">
        <f>VLOOKUP(Tabelle2[[#This Row],[Artikel]],Produkte!A:H,8)</f>
        <v>0.17</v>
      </c>
    </row>
    <row r="2722" spans="1:12" x14ac:dyDescent="0.2">
      <c r="A2722" s="75" t="s">
        <v>770</v>
      </c>
      <c r="B2722" s="79">
        <v>46133</v>
      </c>
      <c r="C2722" s="89">
        <v>171.5</v>
      </c>
      <c r="D2722" s="75"/>
      <c r="E2722" s="75"/>
      <c r="F2722" s="75">
        <v>40003</v>
      </c>
      <c r="G2722" s="76" t="str">
        <f>VLOOKUP(Tabelle2[[#This Row],[Kunden Nr.]],KUNDEN!A:B,2,0)</f>
        <v>ARBENI BIOBLIC</v>
      </c>
      <c r="H2722" s="75">
        <v>20001</v>
      </c>
      <c r="I2722" s="76" t="str">
        <f>VLOOKUP(Tabelle2[[#This Row],[Artikel]],Produkte!A:B,2,0)</f>
        <v>BioBlic Universalreiniger</v>
      </c>
      <c r="J2722" s="75">
        <v>90</v>
      </c>
      <c r="K2722" s="76">
        <f>VLOOKUP(Tabelle2[[#This Row],[Kunden Nr.]],KUNDEN!A:G,7)</f>
        <v>0</v>
      </c>
      <c r="L2722" s="76">
        <f>VLOOKUP(Tabelle2[[#This Row],[Artikel]],Produkte!A:H,8)</f>
        <v>0.30000000000000004</v>
      </c>
    </row>
    <row r="2723" spans="1:12" x14ac:dyDescent="0.2">
      <c r="A2723" s="75" t="s">
        <v>770</v>
      </c>
      <c r="B2723" s="79">
        <v>46133</v>
      </c>
      <c r="C2723" s="75"/>
      <c r="D2723" s="75"/>
      <c r="E2723" s="75"/>
      <c r="F2723" s="75">
        <v>40003</v>
      </c>
      <c r="G2723" s="76" t="str">
        <f>VLOOKUP(Tabelle2[[#This Row],[Kunden Nr.]],KUNDEN!A:B,2,0)</f>
        <v>ARBENI BIOBLIC</v>
      </c>
      <c r="H2723" s="75">
        <v>30275</v>
      </c>
      <c r="I2723" s="76" t="str">
        <f>VLOOKUP(Tabelle2[[#This Row],[Artikel]],Produkte!A:B,2,0)</f>
        <v>Blic Blic Sanitärreiniger</v>
      </c>
      <c r="J2723" s="75">
        <v>50</v>
      </c>
      <c r="K2723" s="76">
        <f>VLOOKUP(Tabelle2[[#This Row],[Kunden Nr.]],KUNDEN!A:G,7)</f>
        <v>0</v>
      </c>
      <c r="L2723" s="76">
        <f>VLOOKUP(Tabelle2[[#This Row],[Artikel]],Produkte!A:H,8)</f>
        <v>0.30000000000000004</v>
      </c>
    </row>
    <row r="2724" spans="1:12" x14ac:dyDescent="0.2">
      <c r="A2724" s="75" t="s">
        <v>20</v>
      </c>
      <c r="B2724" s="79">
        <v>46134</v>
      </c>
      <c r="C2724" s="89">
        <v>92.4</v>
      </c>
      <c r="D2724" s="75"/>
      <c r="E2724" s="75"/>
      <c r="F2724" s="75">
        <v>10313</v>
      </c>
      <c r="G2724" s="76" t="str">
        <f>VLOOKUP(Tabelle2[[#This Row],[Kunden Nr.]],KUNDEN!A:B,2,0)</f>
        <v>FATMIRI</v>
      </c>
      <c r="H2724" s="75">
        <v>35110</v>
      </c>
      <c r="I2724" s="76" t="str">
        <f>VLOOKUP(Tabelle2[[#This Row],[Artikel]],Produkte!A:B,2,0)</f>
        <v>M-ONE Sanitar Silikon</v>
      </c>
      <c r="J2724" s="75">
        <v>12</v>
      </c>
      <c r="K2724" s="76" t="str">
        <f>VLOOKUP(Tabelle2[[#This Row],[Kunden Nr.]],KUNDEN!A:G,7)</f>
        <v>Qerimi</v>
      </c>
      <c r="L2724" s="76">
        <f>VLOOKUP(Tabelle2[[#This Row],[Artikel]],Produkte!A:H,8)</f>
        <v>0.17</v>
      </c>
    </row>
    <row r="2725" spans="1:12" x14ac:dyDescent="0.2">
      <c r="A2725" s="75" t="s">
        <v>20</v>
      </c>
      <c r="B2725" s="79">
        <v>46134</v>
      </c>
      <c r="C2725" s="75"/>
      <c r="D2725" s="75"/>
      <c r="E2725" s="75"/>
      <c r="F2725" s="75">
        <v>10313</v>
      </c>
      <c r="G2725" s="76" t="str">
        <f>VLOOKUP(Tabelle2[[#This Row],[Kunden Nr.]],KUNDEN!A:B,2,0)</f>
        <v>FATMIRI</v>
      </c>
      <c r="H2725" s="75">
        <v>35115</v>
      </c>
      <c r="I2725" s="76" t="str">
        <f>VLOOKUP(Tabelle2[[#This Row],[Artikel]],Produkte!A:B,2,0)</f>
        <v>M-ONE Sanitar Silikon</v>
      </c>
      <c r="J2725" s="75">
        <v>12</v>
      </c>
      <c r="K2725" s="76" t="str">
        <f>VLOOKUP(Tabelle2[[#This Row],[Kunden Nr.]],KUNDEN!A:G,7)</f>
        <v>Qerimi</v>
      </c>
      <c r="L2725" s="76">
        <f>VLOOKUP(Tabelle2[[#This Row],[Artikel]],Produkte!A:H,8)</f>
        <v>0.17</v>
      </c>
    </row>
    <row r="2726" spans="1:12" x14ac:dyDescent="0.2">
      <c r="A2726" s="75" t="s">
        <v>30</v>
      </c>
      <c r="B2726" s="79">
        <v>46134</v>
      </c>
      <c r="C2726" s="89">
        <v>86.4</v>
      </c>
      <c r="D2726" s="75"/>
      <c r="E2726" s="75"/>
      <c r="F2726" s="75">
        <v>10323</v>
      </c>
      <c r="G2726" s="76" t="str">
        <f>VLOOKUP(Tabelle2[[#This Row],[Kunden Nr.]],KUNDEN!A:B,2,0)</f>
        <v>BEKA-3</v>
      </c>
      <c r="H2726" s="75">
        <v>50912</v>
      </c>
      <c r="I2726" s="76" t="str">
        <f>VLOOKUP(Tabelle2[[#This Row],[Artikel]],Produkte!A:B,2,0)</f>
        <v>DICHTUNG</v>
      </c>
      <c r="J2726" s="75">
        <v>12</v>
      </c>
      <c r="K2726" s="76" t="str">
        <f>VLOOKUP(Tabelle2[[#This Row],[Kunden Nr.]],KUNDEN!A:G,7)</f>
        <v>Qerimi</v>
      </c>
      <c r="L2726" s="76">
        <f>VLOOKUP(Tabelle2[[#This Row],[Artikel]],Produkte!A:H,8)</f>
        <v>0.2</v>
      </c>
    </row>
    <row r="2727" spans="1:12" x14ac:dyDescent="0.2">
      <c r="A2727" s="75" t="s">
        <v>413</v>
      </c>
      <c r="B2727" s="79">
        <v>46134</v>
      </c>
      <c r="C2727" s="89">
        <v>369.6</v>
      </c>
      <c r="D2727" s="75"/>
      <c r="E2727" s="75"/>
      <c r="F2727" s="75">
        <v>10350</v>
      </c>
      <c r="G2727" s="76" t="str">
        <f>VLOOKUP(Tabelle2[[#This Row],[Kunden Nr.]],KUNDEN!A:B,2,0)</f>
        <v>BALLKANI</v>
      </c>
      <c r="H2727" s="75">
        <v>35121</v>
      </c>
      <c r="I2727" s="76" t="str">
        <f>VLOOKUP(Tabelle2[[#This Row],[Artikel]],Produkte!A:B,2,0)</f>
        <v>M-ONE Sanitar Silikon</v>
      </c>
      <c r="J2727" s="75">
        <v>48</v>
      </c>
      <c r="K2727" s="76" t="str">
        <f>VLOOKUP(Tabelle2[[#This Row],[Kunden Nr.]],KUNDEN!A:G,7)</f>
        <v>Qerimi</v>
      </c>
      <c r="L2727" s="76">
        <f>VLOOKUP(Tabelle2[[#This Row],[Artikel]],Produkte!A:H,8)</f>
        <v>0.17</v>
      </c>
    </row>
    <row r="2728" spans="1:12" x14ac:dyDescent="0.2">
      <c r="A2728" s="75" t="s">
        <v>413</v>
      </c>
      <c r="B2728" s="79">
        <v>46134</v>
      </c>
      <c r="C2728" s="75"/>
      <c r="D2728" s="75"/>
      <c r="E2728" s="75"/>
      <c r="F2728" s="75">
        <v>10350</v>
      </c>
      <c r="G2728" s="76" t="str">
        <f>VLOOKUP(Tabelle2[[#This Row],[Kunden Nr.]],KUNDEN!A:B,2,0)</f>
        <v>BALLKANI</v>
      </c>
      <c r="H2728" s="75">
        <v>35114</v>
      </c>
      <c r="I2728" s="76" t="str">
        <f>VLOOKUP(Tabelle2[[#This Row],[Artikel]],Produkte!A:B,2,0)</f>
        <v>M-ONE Sanitar Silikon</v>
      </c>
      <c r="J2728" s="75">
        <v>12</v>
      </c>
      <c r="K2728" s="76" t="str">
        <f>VLOOKUP(Tabelle2[[#This Row],[Kunden Nr.]],KUNDEN!A:G,7)</f>
        <v>Qerimi</v>
      </c>
      <c r="L2728" s="76">
        <f>VLOOKUP(Tabelle2[[#This Row],[Artikel]],Produkte!A:H,8)</f>
        <v>0.17</v>
      </c>
    </row>
    <row r="2729" spans="1:12" x14ac:dyDescent="0.2">
      <c r="A2729" s="75" t="s">
        <v>413</v>
      </c>
      <c r="B2729" s="79">
        <v>46134</v>
      </c>
      <c r="C2729" s="75"/>
      <c r="D2729" s="75"/>
      <c r="E2729" s="75"/>
      <c r="F2729" s="75">
        <v>10350</v>
      </c>
      <c r="G2729" s="76" t="str">
        <f>VLOOKUP(Tabelle2[[#This Row],[Kunden Nr.]],KUNDEN!A:B,2,0)</f>
        <v>BALLKANI</v>
      </c>
      <c r="H2729" s="75">
        <v>35128</v>
      </c>
      <c r="I2729" s="76" t="str">
        <f>VLOOKUP(Tabelle2[[#This Row],[Artikel]],Produkte!A:B,2,0)</f>
        <v>M-ONE Sanitar Silikon</v>
      </c>
      <c r="J2729" s="75">
        <v>12</v>
      </c>
      <c r="K2729" s="76" t="str">
        <f>VLOOKUP(Tabelle2[[#This Row],[Kunden Nr.]],KUNDEN!A:G,7)</f>
        <v>Qerimi</v>
      </c>
      <c r="L2729" s="76">
        <f>VLOOKUP(Tabelle2[[#This Row],[Artikel]],Produkte!A:H,8)</f>
        <v>0.17</v>
      </c>
    </row>
    <row r="2730" spans="1:12" x14ac:dyDescent="0.2">
      <c r="A2730" s="75" t="s">
        <v>413</v>
      </c>
      <c r="B2730" s="79">
        <v>46134</v>
      </c>
      <c r="C2730" s="75"/>
      <c r="D2730" s="75"/>
      <c r="E2730" s="75"/>
      <c r="F2730" s="75">
        <v>10350</v>
      </c>
      <c r="G2730" s="76" t="str">
        <f>VLOOKUP(Tabelle2[[#This Row],[Kunden Nr.]],KUNDEN!A:B,2,0)</f>
        <v>BALLKANI</v>
      </c>
      <c r="H2730" s="75">
        <v>35113</v>
      </c>
      <c r="I2730" s="76" t="str">
        <f>VLOOKUP(Tabelle2[[#This Row],[Artikel]],Produkte!A:B,2,0)</f>
        <v>M-ONE Sanitar Silikon</v>
      </c>
      <c r="J2730" s="75">
        <v>12</v>
      </c>
      <c r="K2730" s="76" t="str">
        <f>VLOOKUP(Tabelle2[[#This Row],[Kunden Nr.]],KUNDEN!A:G,7)</f>
        <v>Qerimi</v>
      </c>
      <c r="L2730" s="76">
        <f>VLOOKUP(Tabelle2[[#This Row],[Artikel]],Produkte!A:H,8)</f>
        <v>0.17</v>
      </c>
    </row>
    <row r="2731" spans="1:12" x14ac:dyDescent="0.2">
      <c r="A2731" s="75" t="s">
        <v>413</v>
      </c>
      <c r="B2731" s="79">
        <v>46134</v>
      </c>
      <c r="C2731" s="75"/>
      <c r="D2731" s="75"/>
      <c r="E2731" s="75"/>
      <c r="F2731" s="75">
        <v>10350</v>
      </c>
      <c r="G2731" s="76" t="str">
        <f>VLOOKUP(Tabelle2[[#This Row],[Kunden Nr.]],KUNDEN!A:B,2,0)</f>
        <v>BALLKANI</v>
      </c>
      <c r="H2731" s="75">
        <v>35111</v>
      </c>
      <c r="I2731" s="76" t="str">
        <f>VLOOKUP(Tabelle2[[#This Row],[Artikel]],Produkte!A:B,2,0)</f>
        <v>M-ONE Sanitar Silikon</v>
      </c>
      <c r="J2731" s="75">
        <v>12</v>
      </c>
      <c r="K2731" s="76" t="str">
        <f>VLOOKUP(Tabelle2[[#This Row],[Kunden Nr.]],KUNDEN!A:G,7)</f>
        <v>Qerimi</v>
      </c>
      <c r="L2731" s="76">
        <f>VLOOKUP(Tabelle2[[#This Row],[Artikel]],Produkte!A:H,8)</f>
        <v>0.17</v>
      </c>
    </row>
    <row r="2732" spans="1:12" x14ac:dyDescent="0.2">
      <c r="A2732" s="75" t="s">
        <v>1173</v>
      </c>
      <c r="B2732" s="79">
        <v>46134</v>
      </c>
      <c r="C2732" s="89">
        <v>138.6</v>
      </c>
      <c r="D2732" s="75"/>
      <c r="E2732" s="75"/>
      <c r="F2732" s="75">
        <v>10346</v>
      </c>
      <c r="G2732" s="76" t="str">
        <f>VLOOKUP(Tabelle2[[#This Row],[Kunden Nr.]],KUNDEN!A:B,2,0)</f>
        <v>AME</v>
      </c>
      <c r="H2732" s="75">
        <v>35108</v>
      </c>
      <c r="I2732" s="76" t="str">
        <f>VLOOKUP(Tabelle2[[#This Row],[Artikel]],Produkte!A:B,2,0)</f>
        <v>M-ONE Sanitar Silikon</v>
      </c>
      <c r="J2732" s="75">
        <v>12</v>
      </c>
      <c r="K2732" s="76" t="str">
        <f>VLOOKUP(Tabelle2[[#This Row],[Kunden Nr.]],KUNDEN!A:G,7)</f>
        <v>Qerimi</v>
      </c>
      <c r="L2732" s="76">
        <f>VLOOKUP(Tabelle2[[#This Row],[Artikel]],Produkte!A:H,8)</f>
        <v>0.17</v>
      </c>
    </row>
    <row r="2733" spans="1:12" x14ac:dyDescent="0.2">
      <c r="A2733" s="75" t="s">
        <v>1173</v>
      </c>
      <c r="B2733" s="79">
        <v>46134</v>
      </c>
      <c r="C2733" s="75"/>
      <c r="D2733" s="75"/>
      <c r="E2733" s="75"/>
      <c r="F2733" s="75">
        <v>10346</v>
      </c>
      <c r="G2733" s="76" t="str">
        <f>VLOOKUP(Tabelle2[[#This Row],[Kunden Nr.]],KUNDEN!A:B,2,0)</f>
        <v>AME</v>
      </c>
      <c r="H2733" s="75">
        <v>35109</v>
      </c>
      <c r="I2733" s="76" t="str">
        <f>VLOOKUP(Tabelle2[[#This Row],[Artikel]],Produkte!A:B,2,0)</f>
        <v>M-ONE Sanitar Silikon</v>
      </c>
      <c r="J2733" s="75">
        <v>12</v>
      </c>
      <c r="K2733" s="76" t="str">
        <f>VLOOKUP(Tabelle2[[#This Row],[Kunden Nr.]],KUNDEN!A:G,7)</f>
        <v>Qerimi</v>
      </c>
      <c r="L2733" s="76">
        <f>VLOOKUP(Tabelle2[[#This Row],[Artikel]],Produkte!A:H,8)</f>
        <v>0.17</v>
      </c>
    </row>
    <row r="2734" spans="1:12" x14ac:dyDescent="0.2">
      <c r="A2734" s="75" t="s">
        <v>1173</v>
      </c>
      <c r="B2734" s="79">
        <v>46134</v>
      </c>
      <c r="C2734" s="75"/>
      <c r="D2734" s="75"/>
      <c r="E2734" s="75"/>
      <c r="F2734" s="75">
        <v>10346</v>
      </c>
      <c r="G2734" s="76" t="str">
        <f>VLOOKUP(Tabelle2[[#This Row],[Kunden Nr.]],KUNDEN!A:B,2,0)</f>
        <v>AME</v>
      </c>
      <c r="H2734" s="75">
        <v>35121</v>
      </c>
      <c r="I2734" s="76" t="str">
        <f>VLOOKUP(Tabelle2[[#This Row],[Artikel]],Produkte!A:B,2,0)</f>
        <v>M-ONE Sanitar Silikon</v>
      </c>
      <c r="J2734" s="75">
        <v>12</v>
      </c>
      <c r="K2734" s="76" t="str">
        <f>VLOOKUP(Tabelle2[[#This Row],[Kunden Nr.]],KUNDEN!A:G,7)</f>
        <v>Qerimi</v>
      </c>
      <c r="L2734" s="76">
        <f>VLOOKUP(Tabelle2[[#This Row],[Artikel]],Produkte!A:H,8)</f>
        <v>0.17</v>
      </c>
    </row>
    <row r="2735" spans="1:12" x14ac:dyDescent="0.2">
      <c r="A2735" s="75" t="s">
        <v>8</v>
      </c>
      <c r="B2735" s="79">
        <v>46134</v>
      </c>
      <c r="C2735" s="89">
        <v>61.2</v>
      </c>
      <c r="D2735" s="75"/>
      <c r="E2735" s="75"/>
      <c r="F2735" s="75">
        <v>10304</v>
      </c>
      <c r="G2735" s="76" t="str">
        <f>VLOOKUP(Tabelle2[[#This Row],[Kunden Nr.]],KUNDEN!A:B,2,0)</f>
        <v>EUROSAN</v>
      </c>
      <c r="H2735" s="75">
        <v>35110</v>
      </c>
      <c r="I2735" s="76" t="str">
        <f>VLOOKUP(Tabelle2[[#This Row],[Artikel]],Produkte!A:B,2,0)</f>
        <v>M-ONE Sanitar Silikon</v>
      </c>
      <c r="J2735" s="75">
        <v>12</v>
      </c>
      <c r="K2735" s="76" t="str">
        <f>VLOOKUP(Tabelle2[[#This Row],[Kunden Nr.]],KUNDEN!A:G,7)</f>
        <v>Qerimi</v>
      </c>
      <c r="L2735" s="76">
        <f>VLOOKUP(Tabelle2[[#This Row],[Artikel]],Produkte!A:H,8)</f>
        <v>0.17</v>
      </c>
    </row>
    <row r="2736" spans="1:12" x14ac:dyDescent="0.2">
      <c r="A2736" s="75" t="s">
        <v>8</v>
      </c>
      <c r="B2736" s="79">
        <v>46134</v>
      </c>
      <c r="C2736" s="75"/>
      <c r="D2736" s="75"/>
      <c r="E2736" s="75"/>
      <c r="F2736" s="75">
        <v>10304</v>
      </c>
      <c r="G2736" s="76" t="str">
        <f>VLOOKUP(Tabelle2[[#This Row],[Kunden Nr.]],KUNDEN!A:B,2,0)</f>
        <v>EUROSAN</v>
      </c>
      <c r="H2736" s="75">
        <v>51611</v>
      </c>
      <c r="I2736" s="76" t="str">
        <f>VLOOKUP(Tabelle2[[#This Row],[Artikel]],Produkte!A:B,2,0)</f>
        <v>universal akryl</v>
      </c>
      <c r="J2736" s="75">
        <v>12</v>
      </c>
      <c r="K2736" s="76" t="str">
        <f>VLOOKUP(Tabelle2[[#This Row],[Kunden Nr.]],KUNDEN!A:G,7)</f>
        <v>Qerimi</v>
      </c>
      <c r="L2736" s="76">
        <f>VLOOKUP(Tabelle2[[#This Row],[Artikel]],Produkte!A:H,8)</f>
        <v>0.06</v>
      </c>
    </row>
    <row r="2737" spans="1:12" x14ac:dyDescent="0.2">
      <c r="A2737" s="75" t="s">
        <v>23</v>
      </c>
      <c r="B2737" s="79">
        <v>46134</v>
      </c>
      <c r="C2737" s="89">
        <v>51.3</v>
      </c>
      <c r="D2737" s="75"/>
      <c r="E2737" s="75"/>
      <c r="F2737" s="75">
        <v>10317</v>
      </c>
      <c r="G2737" s="76" t="str">
        <f>VLOOKUP(Tabelle2[[#This Row],[Kunden Nr.]],KUNDEN!A:B,2,0)</f>
        <v>BEKA-2</v>
      </c>
      <c r="H2737" s="75">
        <v>50912</v>
      </c>
      <c r="I2737" s="76" t="str">
        <f>VLOOKUP(Tabelle2[[#This Row],[Artikel]],Produkte!A:B,2,0)</f>
        <v>DICHTUNG</v>
      </c>
      <c r="J2737" s="75">
        <v>4</v>
      </c>
      <c r="K2737" s="76" t="str">
        <f>VLOOKUP(Tabelle2[[#This Row],[Kunden Nr.]],KUNDEN!A:G,7)</f>
        <v>Qerimi</v>
      </c>
      <c r="L2737" s="76">
        <f>VLOOKUP(Tabelle2[[#This Row],[Artikel]],Produkte!A:H,8)</f>
        <v>0.2</v>
      </c>
    </row>
    <row r="2738" spans="1:12" x14ac:dyDescent="0.2">
      <c r="A2738" s="75" t="s">
        <v>23</v>
      </c>
      <c r="B2738" s="79">
        <v>46134</v>
      </c>
      <c r="C2738" s="75"/>
      <c r="D2738" s="75"/>
      <c r="E2738" s="75"/>
      <c r="F2738" s="75">
        <v>10317</v>
      </c>
      <c r="G2738" s="76" t="str">
        <f>VLOOKUP(Tabelle2[[#This Row],[Kunden Nr.]],KUNDEN!A:B,2,0)</f>
        <v>BEKA-2</v>
      </c>
      <c r="H2738" s="75">
        <v>56117</v>
      </c>
      <c r="I2738" s="76" t="str">
        <f>VLOOKUP(Tabelle2[[#This Row],[Artikel]],Produkte!A:B,2,0)</f>
        <v>M ONE UBS</v>
      </c>
      <c r="J2738" s="75">
        <v>3</v>
      </c>
      <c r="K2738" s="76" t="str">
        <f>VLOOKUP(Tabelle2[[#This Row],[Kunden Nr.]],KUNDEN!A:G,7)</f>
        <v>Qerimi</v>
      </c>
      <c r="L2738" s="76">
        <f>VLOOKUP(Tabelle2[[#This Row],[Artikel]],Produkte!A:H,8)</f>
        <v>0.2</v>
      </c>
    </row>
    <row r="2739" spans="1:12" x14ac:dyDescent="0.2">
      <c r="A2739" s="75" t="s">
        <v>23</v>
      </c>
      <c r="B2739" s="79">
        <v>46134</v>
      </c>
      <c r="C2739" s="75"/>
      <c r="D2739" s="75"/>
      <c r="E2739" s="75"/>
      <c r="F2739" s="75">
        <v>10317</v>
      </c>
      <c r="G2739" s="76" t="str">
        <f>VLOOKUP(Tabelle2[[#This Row],[Kunden Nr.]],KUNDEN!A:B,2,0)</f>
        <v>BEKA-2</v>
      </c>
      <c r="H2739" s="75">
        <v>55718</v>
      </c>
      <c r="I2739" s="76" t="str">
        <f>VLOOKUP(Tabelle2[[#This Row],[Artikel]],Produkte!A:B,2,0)</f>
        <v>M ONE MOTORSTART</v>
      </c>
      <c r="J2739" s="75">
        <v>3</v>
      </c>
      <c r="K2739" s="76" t="str">
        <f>VLOOKUP(Tabelle2[[#This Row],[Kunden Nr.]],KUNDEN!A:G,7)</f>
        <v>Qerimi</v>
      </c>
      <c r="L2739" s="76">
        <f>VLOOKUP(Tabelle2[[#This Row],[Artikel]],Produkte!A:H,8)</f>
        <v>0.2</v>
      </c>
    </row>
    <row r="2740" spans="1:12" x14ac:dyDescent="0.2">
      <c r="A2740" s="75" t="s">
        <v>1154</v>
      </c>
      <c r="B2740" s="79">
        <v>46134</v>
      </c>
      <c r="C2740" s="89">
        <v>138.6</v>
      </c>
      <c r="D2740" s="75"/>
      <c r="E2740" s="75"/>
      <c r="F2740" s="75">
        <v>10344</v>
      </c>
      <c r="G2740" s="76" t="str">
        <f>VLOOKUP(Tabelle2[[#This Row],[Kunden Nr.]],KUNDEN!A:B,2,0)</f>
        <v>TINA</v>
      </c>
      <c r="H2740" s="75">
        <v>35108</v>
      </c>
      <c r="I2740" s="76" t="str">
        <f>VLOOKUP(Tabelle2[[#This Row],[Artikel]],Produkte!A:B,2,0)</f>
        <v>M-ONE Sanitar Silikon</v>
      </c>
      <c r="J2740" s="75">
        <v>12</v>
      </c>
      <c r="K2740" s="76" t="str">
        <f>VLOOKUP(Tabelle2[[#This Row],[Kunden Nr.]],KUNDEN!A:G,7)</f>
        <v>Qerimi</v>
      </c>
      <c r="L2740" s="76">
        <f>VLOOKUP(Tabelle2[[#This Row],[Artikel]],Produkte!A:H,8)</f>
        <v>0.17</v>
      </c>
    </row>
    <row r="2741" spans="1:12" x14ac:dyDescent="0.2">
      <c r="A2741" s="75" t="s">
        <v>1154</v>
      </c>
      <c r="B2741" s="79">
        <v>46134</v>
      </c>
      <c r="C2741" s="75"/>
      <c r="D2741" s="75"/>
      <c r="E2741" s="75"/>
      <c r="F2741" s="75">
        <v>10344</v>
      </c>
      <c r="G2741" s="76" t="str">
        <f>VLOOKUP(Tabelle2[[#This Row],[Kunden Nr.]],KUNDEN!A:B,2,0)</f>
        <v>TINA</v>
      </c>
      <c r="H2741" s="75">
        <v>35112</v>
      </c>
      <c r="I2741" s="76" t="str">
        <f>VLOOKUP(Tabelle2[[#This Row],[Artikel]],Produkte!A:B,2,0)</f>
        <v>M-ONE Sanitar Silikon</v>
      </c>
      <c r="J2741" s="75">
        <v>12</v>
      </c>
      <c r="K2741" s="76" t="str">
        <f>VLOOKUP(Tabelle2[[#This Row],[Kunden Nr.]],KUNDEN!A:G,7)</f>
        <v>Qerimi</v>
      </c>
      <c r="L2741" s="76">
        <f>VLOOKUP(Tabelle2[[#This Row],[Artikel]],Produkte!A:H,8)</f>
        <v>0.17</v>
      </c>
    </row>
    <row r="2742" spans="1:12" x14ac:dyDescent="0.2">
      <c r="A2742" s="75" t="s">
        <v>1154</v>
      </c>
      <c r="B2742" s="79">
        <v>46134</v>
      </c>
      <c r="C2742" s="75"/>
      <c r="D2742" s="75"/>
      <c r="E2742" s="75"/>
      <c r="F2742" s="75">
        <v>10344</v>
      </c>
      <c r="G2742" s="76" t="str">
        <f>VLOOKUP(Tabelle2[[#This Row],[Kunden Nr.]],KUNDEN!A:B,2,0)</f>
        <v>TINA</v>
      </c>
      <c r="H2742" s="75">
        <v>35115</v>
      </c>
      <c r="I2742" s="76" t="str">
        <f>VLOOKUP(Tabelle2[[#This Row],[Artikel]],Produkte!A:B,2,0)</f>
        <v>M-ONE Sanitar Silikon</v>
      </c>
      <c r="J2742" s="75">
        <v>12</v>
      </c>
      <c r="K2742" s="76" t="str">
        <f>VLOOKUP(Tabelle2[[#This Row],[Kunden Nr.]],KUNDEN!A:G,7)</f>
        <v>Qerimi</v>
      </c>
      <c r="L2742" s="76">
        <f>VLOOKUP(Tabelle2[[#This Row],[Artikel]],Produkte!A:H,8)</f>
        <v>0.17</v>
      </c>
    </row>
    <row r="2743" spans="1:12" x14ac:dyDescent="0.2">
      <c r="A2743" s="75" t="s">
        <v>7</v>
      </c>
      <c r="B2743" s="79">
        <v>46134</v>
      </c>
      <c r="C2743" s="89">
        <v>34.9</v>
      </c>
      <c r="D2743" s="75"/>
      <c r="E2743" s="75"/>
      <c r="F2743" s="75">
        <v>10303</v>
      </c>
      <c r="G2743" s="76" t="str">
        <f>VLOOKUP(Tabelle2[[#This Row],[Kunden Nr.]],KUNDEN!A:B,2,0)</f>
        <v>BEKA-1</v>
      </c>
      <c r="H2743" s="75">
        <v>50912</v>
      </c>
      <c r="I2743" s="76" t="str">
        <f>VLOOKUP(Tabelle2[[#This Row],[Artikel]],Produkte!A:B,2,0)</f>
        <v>DICHTUNG</v>
      </c>
      <c r="J2743" s="75">
        <v>2</v>
      </c>
      <c r="K2743" s="76" t="str">
        <f>VLOOKUP(Tabelle2[[#This Row],[Kunden Nr.]],KUNDEN!A:G,7)</f>
        <v>Qerimi</v>
      </c>
      <c r="L2743" s="76">
        <f>VLOOKUP(Tabelle2[[#This Row],[Artikel]],Produkte!A:H,8)</f>
        <v>0.2</v>
      </c>
    </row>
    <row r="2744" spans="1:12" x14ac:dyDescent="0.2">
      <c r="A2744" s="75" t="s">
        <v>7</v>
      </c>
      <c r="B2744" s="79">
        <v>46134</v>
      </c>
      <c r="C2744" s="75"/>
      <c r="D2744" s="75"/>
      <c r="E2744" s="75"/>
      <c r="F2744" s="75">
        <v>10303</v>
      </c>
      <c r="G2744" s="76" t="str">
        <f>VLOOKUP(Tabelle2[[#This Row],[Kunden Nr.]],KUNDEN!A:B,2,0)</f>
        <v>BEKA-1</v>
      </c>
      <c r="H2744" s="75">
        <v>44001</v>
      </c>
      <c r="I2744" s="76" t="str">
        <f>VLOOKUP(Tabelle2[[#This Row],[Artikel]],Produkte!A:B,2,0)</f>
        <v>Fettspray</v>
      </c>
      <c r="J2744" s="75">
        <v>3</v>
      </c>
      <c r="K2744" s="76" t="str">
        <f>VLOOKUP(Tabelle2[[#This Row],[Kunden Nr.]],KUNDEN!A:G,7)</f>
        <v>Qerimi</v>
      </c>
      <c r="L2744" s="76">
        <f>VLOOKUP(Tabelle2[[#This Row],[Artikel]],Produkte!A:H,8)</f>
        <v>0.2</v>
      </c>
    </row>
    <row r="2745" spans="1:12" x14ac:dyDescent="0.2">
      <c r="A2745" s="75" t="s">
        <v>7</v>
      </c>
      <c r="B2745" s="79">
        <v>46134</v>
      </c>
      <c r="C2745" s="75"/>
      <c r="D2745" s="75"/>
      <c r="E2745" s="75"/>
      <c r="F2745" s="75">
        <v>10303</v>
      </c>
      <c r="G2745" s="76" t="str">
        <f>VLOOKUP(Tabelle2[[#This Row],[Kunden Nr.]],KUNDEN!A:B,2,0)</f>
        <v>BEKA-1</v>
      </c>
      <c r="H2745" s="75">
        <v>49644</v>
      </c>
      <c r="I2745" s="76" t="str">
        <f>VLOOKUP(Tabelle2[[#This Row],[Artikel]],Produkte!A:B,2,0)</f>
        <v>beMAKER Rostlöser</v>
      </c>
      <c r="J2745" s="75">
        <v>5</v>
      </c>
      <c r="K2745" s="76" t="str">
        <f>VLOOKUP(Tabelle2[[#This Row],[Kunden Nr.]],KUNDEN!A:G,7)</f>
        <v>Qerimi</v>
      </c>
      <c r="L2745" s="76">
        <f>VLOOKUP(Tabelle2[[#This Row],[Artikel]],Produkte!A:H,8)</f>
        <v>0.2</v>
      </c>
    </row>
    <row r="2746" spans="1:12" x14ac:dyDescent="0.2">
      <c r="A2746" s="75" t="s">
        <v>1253</v>
      </c>
      <c r="B2746" s="79">
        <v>46134</v>
      </c>
      <c r="C2746" s="89">
        <v>107.4</v>
      </c>
      <c r="D2746" s="75"/>
      <c r="E2746" s="75"/>
      <c r="F2746" s="75">
        <v>10360</v>
      </c>
      <c r="G2746" s="76" t="e">
        <f>VLOOKUP(Tabelle2[[#This Row],[Kunden Nr.]],KUNDEN!A:B,2,0)</f>
        <v>#N/A</v>
      </c>
      <c r="H2746" s="75">
        <v>35108</v>
      </c>
      <c r="I2746" s="76" t="str">
        <f>VLOOKUP(Tabelle2[[#This Row],[Artikel]],Produkte!A:B,2,0)</f>
        <v>M-ONE Sanitar Silikon</v>
      </c>
      <c r="J2746" s="75">
        <v>12</v>
      </c>
      <c r="K2746" s="76" t="str">
        <f>VLOOKUP(Tabelle2[[#This Row],[Kunden Nr.]],KUNDEN!A:G,7)</f>
        <v>Qerimi</v>
      </c>
      <c r="L2746" s="76">
        <f>VLOOKUP(Tabelle2[[#This Row],[Artikel]],Produkte!A:H,8)</f>
        <v>0.17</v>
      </c>
    </row>
    <row r="2747" spans="1:12" x14ac:dyDescent="0.2">
      <c r="A2747" s="75" t="s">
        <v>1253</v>
      </c>
      <c r="B2747" s="79">
        <v>46134</v>
      </c>
      <c r="C2747" s="75"/>
      <c r="D2747" s="75"/>
      <c r="E2747" s="75"/>
      <c r="F2747" s="75">
        <v>10360</v>
      </c>
      <c r="G2747" s="76" t="e">
        <f>VLOOKUP(Tabelle2[[#This Row],[Kunden Nr.]],KUNDEN!A:B,2,0)</f>
        <v>#N/A</v>
      </c>
      <c r="H2747" s="75">
        <v>35111</v>
      </c>
      <c r="I2747" s="76" t="str">
        <f>VLOOKUP(Tabelle2[[#This Row],[Artikel]],Produkte!A:B,2,0)</f>
        <v>M-ONE Sanitar Silikon</v>
      </c>
      <c r="J2747" s="75">
        <v>12</v>
      </c>
      <c r="K2747" s="76" t="str">
        <f>VLOOKUP(Tabelle2[[#This Row],[Kunden Nr.]],KUNDEN!A:G,7)</f>
        <v>Qerimi</v>
      </c>
      <c r="L2747" s="76">
        <f>VLOOKUP(Tabelle2[[#This Row],[Artikel]],Produkte!A:H,8)</f>
        <v>0.17</v>
      </c>
    </row>
    <row r="2748" spans="1:12" x14ac:dyDescent="0.2">
      <c r="A2748" s="75" t="s">
        <v>1253</v>
      </c>
      <c r="B2748" s="79">
        <v>46134</v>
      </c>
      <c r="C2748" s="75"/>
      <c r="D2748" s="75"/>
      <c r="E2748" s="75"/>
      <c r="F2748" s="75">
        <v>10360</v>
      </c>
      <c r="G2748" s="76" t="e">
        <f>VLOOKUP(Tabelle2[[#This Row],[Kunden Nr.]],KUNDEN!A:B,2,0)</f>
        <v>#N/A</v>
      </c>
      <c r="H2748" s="75">
        <v>51611</v>
      </c>
      <c r="I2748" s="76" t="str">
        <f>VLOOKUP(Tabelle2[[#This Row],[Artikel]],Produkte!A:B,2,0)</f>
        <v>universal akryl</v>
      </c>
      <c r="J2748" s="75">
        <v>12</v>
      </c>
      <c r="K2748" s="76" t="str">
        <f>VLOOKUP(Tabelle2[[#This Row],[Kunden Nr.]],KUNDEN!A:G,7)</f>
        <v>Qerimi</v>
      </c>
      <c r="L2748" s="76">
        <f>VLOOKUP(Tabelle2[[#This Row],[Artikel]],Produkte!A:H,8)</f>
        <v>0.06</v>
      </c>
    </row>
    <row r="2749" spans="1:12" x14ac:dyDescent="0.2">
      <c r="A2749" s="75" t="s">
        <v>995</v>
      </c>
      <c r="B2749" s="79">
        <v>46134</v>
      </c>
      <c r="C2749" s="89">
        <v>46.2</v>
      </c>
      <c r="D2749" s="75"/>
      <c r="E2749" s="75"/>
      <c r="F2749" s="75">
        <v>10353</v>
      </c>
      <c r="G2749" s="76" t="str">
        <f>VLOOKUP(Tabelle2[[#This Row],[Kunden Nr.]],KUNDEN!A:B,2,0)</f>
        <v>TREND CERAMIKA</v>
      </c>
      <c r="H2749" s="75">
        <v>35121</v>
      </c>
      <c r="I2749" s="76" t="str">
        <f>VLOOKUP(Tabelle2[[#This Row],[Artikel]],Produkte!A:B,2,0)</f>
        <v>M-ONE Sanitar Silikon</v>
      </c>
      <c r="J2749" s="75">
        <v>12</v>
      </c>
      <c r="K2749" s="76" t="str">
        <f>VLOOKUP(Tabelle2[[#This Row],[Kunden Nr.]],KUNDEN!A:G,7)</f>
        <v>Qerimi</v>
      </c>
      <c r="L2749" s="76">
        <f>VLOOKUP(Tabelle2[[#This Row],[Artikel]],Produkte!A:H,8)</f>
        <v>0.17</v>
      </c>
    </row>
    <row r="2750" spans="1:12" x14ac:dyDescent="0.2">
      <c r="A2750" s="75" t="s">
        <v>1253</v>
      </c>
      <c r="B2750" s="79">
        <v>46134</v>
      </c>
      <c r="C2750" s="89">
        <v>15</v>
      </c>
      <c r="D2750" s="75"/>
      <c r="E2750" s="75"/>
      <c r="F2750" s="75">
        <v>10359</v>
      </c>
      <c r="G2750" s="76" t="e">
        <f>VLOOKUP(Tabelle2[[#This Row],[Kunden Nr.]],KUNDEN!A:B,2,0)</f>
        <v>#N/A</v>
      </c>
      <c r="H2750" s="75">
        <v>51611</v>
      </c>
      <c r="I2750" s="76" t="str">
        <f>VLOOKUP(Tabelle2[[#This Row],[Artikel]],Produkte!A:B,2,0)</f>
        <v>universal akryl</v>
      </c>
      <c r="J2750" s="75">
        <v>12</v>
      </c>
      <c r="K2750" s="76" t="str">
        <f>VLOOKUP(Tabelle2[[#This Row],[Kunden Nr.]],KUNDEN!A:G,7)</f>
        <v>Qerimi</v>
      </c>
      <c r="L2750" s="76">
        <f>VLOOKUP(Tabelle2[[#This Row],[Artikel]],Produkte!A:H,8)</f>
        <v>0.06</v>
      </c>
    </row>
    <row r="2751" spans="1:12" x14ac:dyDescent="0.2">
      <c r="A2751" s="75" t="s">
        <v>623</v>
      </c>
      <c r="B2751" s="79">
        <v>46134</v>
      </c>
      <c r="C2751" s="89">
        <v>120</v>
      </c>
      <c r="D2751" s="75"/>
      <c r="E2751" s="75"/>
      <c r="F2751" s="75">
        <v>20313</v>
      </c>
      <c r="G2751" s="76" t="str">
        <f>VLOOKUP(Tabelle2[[#This Row],[Kunden Nr.]],KUNDEN!A:B,2,0)</f>
        <v>DURGUTI 3</v>
      </c>
      <c r="H2751" s="75">
        <v>35113</v>
      </c>
      <c r="I2751" s="76" t="str">
        <f>VLOOKUP(Tabelle2[[#This Row],[Artikel]],Produkte!A:B,2,0)</f>
        <v>M-ONE Sanitar Silikon</v>
      </c>
      <c r="J2751" s="75">
        <v>12</v>
      </c>
      <c r="K2751" s="76" t="str">
        <f>VLOOKUP(Tabelle2[[#This Row],[Kunden Nr.]],KUNDEN!A:G,7)</f>
        <v>Mensuri</v>
      </c>
      <c r="L2751" s="76">
        <f>VLOOKUP(Tabelle2[[#This Row],[Artikel]],Produkte!A:H,8)</f>
        <v>0.17</v>
      </c>
    </row>
    <row r="2752" spans="1:12" x14ac:dyDescent="0.2">
      <c r="A2752" s="75" t="s">
        <v>623</v>
      </c>
      <c r="B2752" s="79">
        <v>46134</v>
      </c>
      <c r="C2752" s="75"/>
      <c r="D2752" s="75"/>
      <c r="E2752" s="75"/>
      <c r="F2752" s="75">
        <v>20313</v>
      </c>
      <c r="G2752" s="76" t="str">
        <f>VLOOKUP(Tabelle2[[#This Row],[Kunden Nr.]],KUNDEN!A:B,2,0)</f>
        <v>DURGUTI 3</v>
      </c>
      <c r="H2752" s="75">
        <v>35125</v>
      </c>
      <c r="I2752" s="76" t="str">
        <f>VLOOKUP(Tabelle2[[#This Row],[Artikel]],Produkte!A:B,2,0)</f>
        <v>M-ONE Sanitar Silikon</v>
      </c>
      <c r="J2752" s="75">
        <v>12</v>
      </c>
      <c r="K2752" s="76" t="str">
        <f>VLOOKUP(Tabelle2[[#This Row],[Kunden Nr.]],KUNDEN!A:G,7)</f>
        <v>Mensuri</v>
      </c>
      <c r="L2752" s="76">
        <f>VLOOKUP(Tabelle2[[#This Row],[Artikel]],Produkte!A:H,8)</f>
        <v>0.17</v>
      </c>
    </row>
    <row r="2753" spans="1:12" x14ac:dyDescent="0.2">
      <c r="A2753" s="75" t="s">
        <v>623</v>
      </c>
      <c r="B2753" s="79">
        <v>46134</v>
      </c>
      <c r="C2753" s="75"/>
      <c r="D2753" s="75"/>
      <c r="E2753" s="75"/>
      <c r="F2753" s="75">
        <v>20313</v>
      </c>
      <c r="G2753" s="76" t="str">
        <f>VLOOKUP(Tabelle2[[#This Row],[Kunden Nr.]],KUNDEN!A:B,2,0)</f>
        <v>DURGUTI 3</v>
      </c>
      <c r="H2753" s="75">
        <v>51612</v>
      </c>
      <c r="I2753" s="76" t="str">
        <f>VLOOKUP(Tabelle2[[#This Row],[Artikel]],Produkte!A:B,2,0)</f>
        <v>struktural akryl</v>
      </c>
      <c r="J2753" s="75">
        <v>12</v>
      </c>
      <c r="K2753" s="76" t="str">
        <f>VLOOKUP(Tabelle2[[#This Row],[Kunden Nr.]],KUNDEN!A:G,7)</f>
        <v>Mensuri</v>
      </c>
      <c r="L2753" s="76">
        <f>VLOOKUP(Tabelle2[[#This Row],[Artikel]],Produkte!A:H,8)</f>
        <v>0.06</v>
      </c>
    </row>
    <row r="2754" spans="1:12" x14ac:dyDescent="0.2">
      <c r="A2754" s="75" t="s">
        <v>614</v>
      </c>
      <c r="B2754" s="79">
        <v>46134</v>
      </c>
      <c r="C2754" s="89">
        <v>69.599999999999994</v>
      </c>
      <c r="D2754" s="75"/>
      <c r="E2754" s="75"/>
      <c r="F2754" s="75">
        <v>20301</v>
      </c>
      <c r="G2754" s="76" t="str">
        <f>VLOOKUP(Tabelle2[[#This Row],[Kunden Nr.]],KUNDEN!A:B,2,0)</f>
        <v>HAZROLLI</v>
      </c>
      <c r="H2754" s="75">
        <v>66701</v>
      </c>
      <c r="I2754" s="76" t="str">
        <f>VLOOKUP(Tabelle2[[#This Row],[Artikel]],Produkte!A:B,2,0)</f>
        <v>PROFIMONT EXTREME</v>
      </c>
      <c r="J2754" s="75">
        <v>12</v>
      </c>
      <c r="K2754" s="76" t="str">
        <f>VLOOKUP(Tabelle2[[#This Row],[Kunden Nr.]],KUNDEN!A:G,7)</f>
        <v>Mensuri</v>
      </c>
      <c r="L2754" s="76">
        <f>VLOOKUP(Tabelle2[[#This Row],[Artikel]],Produkte!A:H,8)</f>
        <v>0.2</v>
      </c>
    </row>
    <row r="2755" spans="1:12" x14ac:dyDescent="0.2">
      <c r="A2755" s="75" t="s">
        <v>1057</v>
      </c>
      <c r="B2755" s="79">
        <v>46134</v>
      </c>
      <c r="C2755" s="89">
        <v>46.2</v>
      </c>
      <c r="D2755" s="75"/>
      <c r="E2755" s="75"/>
      <c r="F2755" s="75">
        <v>20324</v>
      </c>
      <c r="G2755" s="76" t="str">
        <f>VLOOKUP(Tabelle2[[#This Row],[Kunden Nr.]],KUNDEN!A:B,2,0)</f>
        <v>BAU HOME</v>
      </c>
      <c r="H2755" s="75">
        <v>35108</v>
      </c>
      <c r="I2755" s="76" t="str">
        <f>VLOOKUP(Tabelle2[[#This Row],[Artikel]],Produkte!A:B,2,0)</f>
        <v>M-ONE Sanitar Silikon</v>
      </c>
      <c r="J2755" s="75">
        <v>12</v>
      </c>
      <c r="K2755" s="76" t="str">
        <f>VLOOKUP(Tabelle2[[#This Row],[Kunden Nr.]],KUNDEN!A:G,7)</f>
        <v>Mensuri</v>
      </c>
      <c r="L2755" s="76">
        <f>VLOOKUP(Tabelle2[[#This Row],[Artikel]],Produkte!A:H,8)</f>
        <v>0.17</v>
      </c>
    </row>
    <row r="2756" spans="1:12" x14ac:dyDescent="0.2">
      <c r="A2756" s="75" t="s">
        <v>618</v>
      </c>
      <c r="B2756" s="79">
        <v>46134</v>
      </c>
      <c r="C2756" s="89">
        <v>238.8</v>
      </c>
      <c r="D2756" s="75"/>
      <c r="E2756" s="75"/>
      <c r="F2756" s="75">
        <v>20307</v>
      </c>
      <c r="G2756" s="76" t="str">
        <f>VLOOKUP(Tabelle2[[#This Row],[Kunden Nr.]],KUNDEN!A:B,2,0)</f>
        <v>CONDOR</v>
      </c>
      <c r="H2756" s="75">
        <v>35128</v>
      </c>
      <c r="I2756" s="76" t="str">
        <f>VLOOKUP(Tabelle2[[#This Row],[Artikel]],Produkte!A:B,2,0)</f>
        <v>M-ONE Sanitar Silikon</v>
      </c>
      <c r="J2756" s="75">
        <v>24</v>
      </c>
      <c r="K2756" s="76" t="str">
        <f>VLOOKUP(Tabelle2[[#This Row],[Kunden Nr.]],KUNDEN!A:G,7)</f>
        <v>Mensuri</v>
      </c>
      <c r="L2756" s="76">
        <f>VLOOKUP(Tabelle2[[#This Row],[Artikel]],Produkte!A:H,8)</f>
        <v>0.17</v>
      </c>
    </row>
    <row r="2757" spans="1:12" x14ac:dyDescent="0.2">
      <c r="A2757" s="75" t="s">
        <v>618</v>
      </c>
      <c r="B2757" s="79">
        <v>46134</v>
      </c>
      <c r="C2757" s="75"/>
      <c r="D2757" s="75"/>
      <c r="E2757" s="75"/>
      <c r="F2757" s="75">
        <v>20307</v>
      </c>
      <c r="G2757" s="76" t="str">
        <f>VLOOKUP(Tabelle2[[#This Row],[Kunden Nr.]],KUNDEN!A:B,2,0)</f>
        <v>CONDOR</v>
      </c>
      <c r="H2757" s="75">
        <v>35113</v>
      </c>
      <c r="I2757" s="76" t="str">
        <f>VLOOKUP(Tabelle2[[#This Row],[Artikel]],Produkte!A:B,2,0)</f>
        <v>M-ONE Sanitar Silikon</v>
      </c>
      <c r="J2757" s="75">
        <v>12</v>
      </c>
      <c r="K2757" s="76" t="str">
        <f>VLOOKUP(Tabelle2[[#This Row],[Kunden Nr.]],KUNDEN!A:G,7)</f>
        <v>Mensuri</v>
      </c>
      <c r="L2757" s="76">
        <f>VLOOKUP(Tabelle2[[#This Row],[Artikel]],Produkte!A:H,8)</f>
        <v>0.17</v>
      </c>
    </row>
    <row r="2758" spans="1:12" x14ac:dyDescent="0.2">
      <c r="A2758" s="75" t="s">
        <v>618</v>
      </c>
      <c r="B2758" s="79">
        <v>46134</v>
      </c>
      <c r="C2758" s="75"/>
      <c r="D2758" s="75"/>
      <c r="E2758" s="75"/>
      <c r="F2758" s="75">
        <v>20307</v>
      </c>
      <c r="G2758" s="76" t="str">
        <f>VLOOKUP(Tabelle2[[#This Row],[Kunden Nr.]],KUNDEN!A:B,2,0)</f>
        <v>CONDOR</v>
      </c>
      <c r="H2758" s="75">
        <v>51611</v>
      </c>
      <c r="I2758" s="76" t="str">
        <f>VLOOKUP(Tabelle2[[#This Row],[Artikel]],Produkte!A:B,2,0)</f>
        <v>universal akryl</v>
      </c>
      <c r="J2758" s="75">
        <v>24</v>
      </c>
      <c r="K2758" s="76" t="str">
        <f>VLOOKUP(Tabelle2[[#This Row],[Kunden Nr.]],KUNDEN!A:G,7)</f>
        <v>Mensuri</v>
      </c>
      <c r="L2758" s="76">
        <f>VLOOKUP(Tabelle2[[#This Row],[Artikel]],Produkte!A:H,8)</f>
        <v>0.06</v>
      </c>
    </row>
    <row r="2759" spans="1:12" x14ac:dyDescent="0.2">
      <c r="A2759" s="75" t="s">
        <v>618</v>
      </c>
      <c r="B2759" s="79">
        <v>46134</v>
      </c>
      <c r="C2759" s="75"/>
      <c r="D2759" s="75"/>
      <c r="E2759" s="75"/>
      <c r="F2759" s="75">
        <v>20307</v>
      </c>
      <c r="G2759" s="76" t="str">
        <f>VLOOKUP(Tabelle2[[#This Row],[Kunden Nr.]],KUNDEN!A:B,2,0)</f>
        <v>CONDOR</v>
      </c>
      <c r="H2759" s="75">
        <v>51611</v>
      </c>
      <c r="I2759" s="76" t="str">
        <f>VLOOKUP(Tabelle2[[#This Row],[Artikel]],Produkte!A:B,2,0)</f>
        <v>universal akryl</v>
      </c>
      <c r="J2759" s="75">
        <v>24</v>
      </c>
      <c r="K2759" s="76" t="str">
        <f>VLOOKUP(Tabelle2[[#This Row],[Kunden Nr.]],KUNDEN!A:G,7)</f>
        <v>Mensuri</v>
      </c>
      <c r="L2759" s="76">
        <f>VLOOKUP(Tabelle2[[#This Row],[Artikel]],Produkte!A:H,8)</f>
        <v>0.06</v>
      </c>
    </row>
    <row r="2760" spans="1:12" x14ac:dyDescent="0.2">
      <c r="A2760" s="75" t="s">
        <v>618</v>
      </c>
      <c r="B2760" s="79">
        <v>46134</v>
      </c>
      <c r="C2760" s="75"/>
      <c r="D2760" s="75"/>
      <c r="E2760" s="75"/>
      <c r="F2760" s="75">
        <v>20307</v>
      </c>
      <c r="G2760" s="76" t="str">
        <f>VLOOKUP(Tabelle2[[#This Row],[Kunden Nr.]],KUNDEN!A:B,2,0)</f>
        <v>CONDOR</v>
      </c>
      <c r="H2760" s="75">
        <v>16936</v>
      </c>
      <c r="I2760" s="76" t="str">
        <f>VLOOKUP(Tabelle2[[#This Row],[Artikel]],Produkte!A:B,2,0)</f>
        <v>M ONE FELGENSILBER</v>
      </c>
      <c r="J2760" s="75">
        <v>6</v>
      </c>
      <c r="K2760" s="76" t="str">
        <f>VLOOKUP(Tabelle2[[#This Row],[Kunden Nr.]],KUNDEN!A:G,7)</f>
        <v>Mensuri</v>
      </c>
      <c r="L2760" s="76">
        <f>VLOOKUP(Tabelle2[[#This Row],[Artikel]],Produkte!A:H,8)</f>
        <v>0.15</v>
      </c>
    </row>
    <row r="2761" spans="1:12" x14ac:dyDescent="0.2">
      <c r="A2761" s="75" t="s">
        <v>615</v>
      </c>
      <c r="B2761" s="79">
        <v>46134</v>
      </c>
      <c r="C2761" s="89">
        <v>76.2</v>
      </c>
      <c r="D2761" s="75"/>
      <c r="E2761" s="75"/>
      <c r="F2761" s="75">
        <v>20304</v>
      </c>
      <c r="G2761" s="76" t="str">
        <f>VLOOKUP(Tabelle2[[#This Row],[Kunden Nr.]],KUNDEN!A:B,2,0)</f>
        <v>AGRO-FARM</v>
      </c>
      <c r="H2761" s="75">
        <v>35111</v>
      </c>
      <c r="I2761" s="76" t="str">
        <f>VLOOKUP(Tabelle2[[#This Row],[Artikel]],Produkte!A:B,2,0)</f>
        <v>M-ONE Sanitar Silikon</v>
      </c>
      <c r="J2761" s="75">
        <v>12</v>
      </c>
      <c r="K2761" s="76" t="str">
        <f>VLOOKUP(Tabelle2[[#This Row],[Kunden Nr.]],KUNDEN!A:G,7)</f>
        <v>Mensuri</v>
      </c>
      <c r="L2761" s="76">
        <f>VLOOKUP(Tabelle2[[#This Row],[Artikel]],Produkte!A:H,8)</f>
        <v>0.17</v>
      </c>
    </row>
    <row r="2762" spans="1:12" x14ac:dyDescent="0.2">
      <c r="A2762" s="75" t="s">
        <v>615</v>
      </c>
      <c r="B2762" s="79">
        <v>46134</v>
      </c>
      <c r="C2762" s="75"/>
      <c r="D2762" s="75"/>
      <c r="E2762" s="75"/>
      <c r="F2762" s="75">
        <v>20304</v>
      </c>
      <c r="G2762" s="76" t="str">
        <f>VLOOKUP(Tabelle2[[#This Row],[Kunden Nr.]],KUNDEN!A:B,2,0)</f>
        <v>AGRO-FARM</v>
      </c>
      <c r="H2762" s="75">
        <v>26736</v>
      </c>
      <c r="I2762" s="76" t="str">
        <f>VLOOKUP(Tabelle2[[#This Row],[Artikel]],Produkte!A:B,2,0)</f>
        <v>M ONE HAFTGRUND</v>
      </c>
      <c r="J2762" s="75">
        <v>12</v>
      </c>
      <c r="K2762" s="76" t="str">
        <f>VLOOKUP(Tabelle2[[#This Row],[Kunden Nr.]],KUNDEN!A:G,7)</f>
        <v>Mensuri</v>
      </c>
      <c r="L2762" s="76">
        <f>VLOOKUP(Tabelle2[[#This Row],[Artikel]],Produkte!A:H,8)</f>
        <v>0.15</v>
      </c>
    </row>
    <row r="2763" spans="1:12" x14ac:dyDescent="0.2">
      <c r="A2763" s="75" t="s">
        <v>626</v>
      </c>
      <c r="B2763" s="79">
        <v>46134</v>
      </c>
      <c r="C2763" s="89">
        <v>70.2</v>
      </c>
      <c r="D2763" s="75"/>
      <c r="E2763" s="75"/>
      <c r="F2763" s="75">
        <v>20317</v>
      </c>
      <c r="G2763" s="76" t="str">
        <f>VLOOKUP(Tabelle2[[#This Row],[Kunden Nr.]],KUNDEN!A:B,2,0)</f>
        <v>SHEHU-A</v>
      </c>
      <c r="H2763" s="75">
        <v>35110</v>
      </c>
      <c r="I2763" s="76" t="str">
        <f>VLOOKUP(Tabelle2[[#This Row],[Artikel]],Produkte!A:B,2,0)</f>
        <v>M-ONE Sanitar Silikon</v>
      </c>
      <c r="J2763" s="75">
        <v>12</v>
      </c>
      <c r="K2763" s="76" t="str">
        <f>VLOOKUP(Tabelle2[[#This Row],[Kunden Nr.]],KUNDEN!A:G,7)</f>
        <v>Mensuri</v>
      </c>
      <c r="L2763" s="76">
        <f>VLOOKUP(Tabelle2[[#This Row],[Artikel]],Produkte!A:H,8)</f>
        <v>0.17</v>
      </c>
    </row>
    <row r="2764" spans="1:12" x14ac:dyDescent="0.2">
      <c r="A2764" s="75" t="s">
        <v>626</v>
      </c>
      <c r="B2764" s="79">
        <v>46134</v>
      </c>
      <c r="C2764" s="75"/>
      <c r="D2764" s="75"/>
      <c r="E2764" s="75"/>
      <c r="F2764" s="75">
        <v>20317</v>
      </c>
      <c r="G2764" s="76" t="str">
        <f>VLOOKUP(Tabelle2[[#This Row],[Kunden Nr.]],KUNDEN!A:B,2,0)</f>
        <v>SHEHU-A</v>
      </c>
      <c r="H2764" s="75">
        <v>49644</v>
      </c>
      <c r="I2764" s="76" t="str">
        <f>VLOOKUP(Tabelle2[[#This Row],[Artikel]],Produkte!A:B,2,0)</f>
        <v>beMAKER Rostlöser</v>
      </c>
      <c r="J2764" s="75">
        <v>12</v>
      </c>
      <c r="K2764" s="76" t="str">
        <f>VLOOKUP(Tabelle2[[#This Row],[Kunden Nr.]],KUNDEN!A:G,7)</f>
        <v>Mensuri</v>
      </c>
      <c r="L2764" s="76">
        <f>VLOOKUP(Tabelle2[[#This Row],[Artikel]],Produkte!A:H,8)</f>
        <v>0.2</v>
      </c>
    </row>
    <row r="2765" spans="1:12" x14ac:dyDescent="0.2">
      <c r="A2765" s="75" t="s">
        <v>1252</v>
      </c>
      <c r="B2765" s="79">
        <v>46134</v>
      </c>
      <c r="C2765" s="89">
        <v>92.4</v>
      </c>
      <c r="D2765" s="75"/>
      <c r="E2765" s="75"/>
      <c r="F2765" s="75">
        <v>20331</v>
      </c>
      <c r="G2765" s="76" t="str">
        <f>VLOOKUP(Tabelle2[[#This Row],[Kunden Nr.]],KUNDEN!A:B,2,0)</f>
        <v>BARDHI-M</v>
      </c>
      <c r="H2765" s="75">
        <v>35121</v>
      </c>
      <c r="I2765" s="76" t="str">
        <f>VLOOKUP(Tabelle2[[#This Row],[Artikel]],Produkte!A:B,2,0)</f>
        <v>M-ONE Sanitar Silikon</v>
      </c>
      <c r="J2765" s="75">
        <v>24</v>
      </c>
      <c r="K2765" s="76" t="str">
        <f>VLOOKUP(Tabelle2[[#This Row],[Kunden Nr.]],KUNDEN!A:G,7)</f>
        <v>Mensuri</v>
      </c>
      <c r="L2765" s="76">
        <f>VLOOKUP(Tabelle2[[#This Row],[Artikel]],Produkte!A:H,8)</f>
        <v>0.17</v>
      </c>
    </row>
    <row r="2766" spans="1:12" x14ac:dyDescent="0.2">
      <c r="A2766" s="75" t="s">
        <v>949</v>
      </c>
      <c r="B2766" s="79">
        <v>46134</v>
      </c>
      <c r="C2766" s="89">
        <v>74</v>
      </c>
      <c r="D2766" s="75"/>
      <c r="E2766" s="75"/>
      <c r="F2766" s="75">
        <v>20311</v>
      </c>
      <c r="G2766" s="76" t="str">
        <f>VLOOKUP(Tabelle2[[#This Row],[Kunden Nr.]],KUNDEN!A:B,2,0)</f>
        <v>SOPAJ</v>
      </c>
      <c r="H2766" s="75">
        <v>51936</v>
      </c>
      <c r="I2766" s="76" t="str">
        <f>VLOOKUP(Tabelle2[[#This Row],[Artikel]],Produkte!A:B,2,0)</f>
        <v>M ONE SCHWARZ GLÄNZED</v>
      </c>
      <c r="J2766" s="75">
        <v>6</v>
      </c>
      <c r="K2766" s="76" t="str">
        <f>VLOOKUP(Tabelle2[[#This Row],[Kunden Nr.]],KUNDEN!A:G,7)</f>
        <v>Mensuri</v>
      </c>
      <c r="L2766" s="76">
        <f>VLOOKUP(Tabelle2[[#This Row],[Artikel]],Produkte!A:H,8)</f>
        <v>0.15</v>
      </c>
    </row>
    <row r="2767" spans="1:12" x14ac:dyDescent="0.2">
      <c r="A2767" s="75" t="s">
        <v>949</v>
      </c>
      <c r="B2767" s="79">
        <v>46134</v>
      </c>
      <c r="C2767" s="75"/>
      <c r="D2767" s="75"/>
      <c r="E2767" s="75"/>
      <c r="F2767" s="75">
        <v>20311</v>
      </c>
      <c r="G2767" s="76" t="str">
        <f>VLOOKUP(Tabelle2[[#This Row],[Kunden Nr.]],KUNDEN!A:B,2,0)</f>
        <v>SOPAJ</v>
      </c>
      <c r="H2767" s="75">
        <v>51736</v>
      </c>
      <c r="I2767" s="76" t="str">
        <f>VLOOKUP(Tabelle2[[#This Row],[Artikel]],Produkte!A:B,2,0)</f>
        <v>M ONE SCHWARZ MATT</v>
      </c>
      <c r="J2767" s="75">
        <v>6</v>
      </c>
      <c r="K2767" s="76" t="str">
        <f>VLOOKUP(Tabelle2[[#This Row],[Kunden Nr.]],KUNDEN!A:G,7)</f>
        <v>Mensuri</v>
      </c>
      <c r="L2767" s="76">
        <f>VLOOKUP(Tabelle2[[#This Row],[Artikel]],Produkte!A:H,8)</f>
        <v>0.15</v>
      </c>
    </row>
    <row r="2768" spans="1:12" x14ac:dyDescent="0.2">
      <c r="A2768" s="75" t="s">
        <v>949</v>
      </c>
      <c r="B2768" s="79">
        <v>46134</v>
      </c>
      <c r="C2768" s="75"/>
      <c r="D2768" s="75"/>
      <c r="E2768" s="75"/>
      <c r="F2768" s="75">
        <v>20311</v>
      </c>
      <c r="G2768" s="76" t="str">
        <f>VLOOKUP(Tabelle2[[#This Row],[Kunden Nr.]],KUNDEN!A:B,2,0)</f>
        <v>SOPAJ</v>
      </c>
      <c r="H2768" s="75">
        <v>69236</v>
      </c>
      <c r="I2768" s="76" t="str">
        <f>VLOOKUP(Tabelle2[[#This Row],[Artikel]],Produkte!A:B,2,0)</f>
        <v>M ONE WEISS GLÄNZEND</v>
      </c>
      <c r="J2768" s="75">
        <v>6</v>
      </c>
      <c r="K2768" s="76" t="str">
        <f>VLOOKUP(Tabelle2[[#This Row],[Kunden Nr.]],KUNDEN!A:G,7)</f>
        <v>Mensuri</v>
      </c>
      <c r="L2768" s="76">
        <f>VLOOKUP(Tabelle2[[#This Row],[Artikel]],Produkte!A:H,8)</f>
        <v>0.15</v>
      </c>
    </row>
    <row r="2769" spans="1:12" x14ac:dyDescent="0.2">
      <c r="A2769" s="75" t="s">
        <v>949</v>
      </c>
      <c r="B2769" s="79">
        <v>46134</v>
      </c>
      <c r="C2769" s="75"/>
      <c r="D2769" s="75"/>
      <c r="E2769" s="75"/>
      <c r="F2769" s="75">
        <v>20311</v>
      </c>
      <c r="G2769" s="76" t="str">
        <f>VLOOKUP(Tabelle2[[#This Row],[Kunden Nr.]],KUNDEN!A:B,2,0)</f>
        <v>SOPAJ</v>
      </c>
      <c r="H2769" s="75">
        <v>31819</v>
      </c>
      <c r="I2769" s="76" t="str">
        <f>VLOOKUP(Tabelle2[[#This Row],[Artikel]],Produkte!A:B,2,0)</f>
        <v>M ONE FUERROT</v>
      </c>
      <c r="J2769" s="75">
        <v>6</v>
      </c>
      <c r="K2769" s="76" t="str">
        <f>VLOOKUP(Tabelle2[[#This Row],[Kunden Nr.]],KUNDEN!A:G,7)</f>
        <v>Mensuri</v>
      </c>
      <c r="L2769" s="76">
        <f>VLOOKUP(Tabelle2[[#This Row],[Artikel]],Produkte!A:H,8)</f>
        <v>0.15</v>
      </c>
    </row>
    <row r="2770" spans="1:12" x14ac:dyDescent="0.2">
      <c r="A2770" s="75" t="s">
        <v>949</v>
      </c>
      <c r="B2770" s="79">
        <v>46134</v>
      </c>
      <c r="C2770" s="75"/>
      <c r="D2770" s="75"/>
      <c r="E2770" s="75"/>
      <c r="F2770" s="75">
        <v>20311</v>
      </c>
      <c r="G2770" s="76" t="str">
        <f>VLOOKUP(Tabelle2[[#This Row],[Kunden Nr.]],KUNDEN!A:B,2,0)</f>
        <v>SOPAJ</v>
      </c>
      <c r="H2770" s="75">
        <v>49644</v>
      </c>
      <c r="I2770" s="76" t="str">
        <f>VLOOKUP(Tabelle2[[#This Row],[Artikel]],Produkte!A:B,2,0)</f>
        <v>beMAKER Rostlöser</v>
      </c>
      <c r="J2770" s="75">
        <v>7</v>
      </c>
      <c r="K2770" s="76" t="str">
        <f>VLOOKUP(Tabelle2[[#This Row],[Kunden Nr.]],KUNDEN!A:G,7)</f>
        <v>Mensuri</v>
      </c>
      <c r="L2770" s="76">
        <f>VLOOKUP(Tabelle2[[#This Row],[Artikel]],Produkte!A:H,8)</f>
        <v>0.2</v>
      </c>
    </row>
    <row r="2771" spans="1:12" x14ac:dyDescent="0.2">
      <c r="A2771" s="75" t="s">
        <v>558</v>
      </c>
      <c r="B2771" s="79">
        <v>46135</v>
      </c>
      <c r="C2771" s="89">
        <v>353.4</v>
      </c>
      <c r="D2771" s="75"/>
      <c r="E2771" s="75"/>
      <c r="F2771" s="75">
        <v>10418</v>
      </c>
      <c r="G2771" s="76" t="str">
        <f>VLOOKUP(Tabelle2[[#This Row],[Kunden Nr.]],KUNDEN!A:B,2,0)</f>
        <v>NDRIQIMI</v>
      </c>
      <c r="H2771" s="75">
        <v>35128</v>
      </c>
      <c r="I2771" s="76" t="str">
        <f>VLOOKUP(Tabelle2[[#This Row],[Artikel]],Produkte!A:B,2,0)</f>
        <v>M-ONE Sanitar Silikon</v>
      </c>
      <c r="J2771" s="75">
        <v>48</v>
      </c>
      <c r="K2771" s="76" t="str">
        <f>VLOOKUP(Tabelle2[[#This Row],[Kunden Nr.]],KUNDEN!A:G,7)</f>
        <v>Qerimi</v>
      </c>
      <c r="L2771" s="76">
        <f>VLOOKUP(Tabelle2[[#This Row],[Artikel]],Produkte!A:H,8)</f>
        <v>0.17</v>
      </c>
    </row>
    <row r="2772" spans="1:12" x14ac:dyDescent="0.2">
      <c r="A2772" s="75" t="s">
        <v>558</v>
      </c>
      <c r="B2772" s="79">
        <v>46135</v>
      </c>
      <c r="C2772" s="75"/>
      <c r="D2772" s="75"/>
      <c r="E2772" s="75"/>
      <c r="F2772" s="75">
        <v>10418</v>
      </c>
      <c r="G2772" s="76" t="str">
        <f>VLOOKUP(Tabelle2[[#This Row],[Kunden Nr.]],KUNDEN!A:B,2,0)</f>
        <v>NDRIQIMI</v>
      </c>
      <c r="H2772" s="75">
        <v>35111</v>
      </c>
      <c r="I2772" s="76" t="str">
        <f>VLOOKUP(Tabelle2[[#This Row],[Artikel]],Produkte!A:B,2,0)</f>
        <v>M-ONE Sanitar Silikon</v>
      </c>
      <c r="J2772" s="75">
        <v>24</v>
      </c>
      <c r="K2772" s="76" t="str">
        <f>VLOOKUP(Tabelle2[[#This Row],[Kunden Nr.]],KUNDEN!A:G,7)</f>
        <v>Qerimi</v>
      </c>
      <c r="L2772" s="76">
        <f>VLOOKUP(Tabelle2[[#This Row],[Artikel]],Produkte!A:H,8)</f>
        <v>0.17</v>
      </c>
    </row>
    <row r="2773" spans="1:12" x14ac:dyDescent="0.2">
      <c r="A2773" s="75" t="s">
        <v>558</v>
      </c>
      <c r="B2773" s="79">
        <v>46135</v>
      </c>
      <c r="C2773" s="75"/>
      <c r="D2773" s="75"/>
      <c r="E2773" s="75"/>
      <c r="F2773" s="75">
        <v>10418</v>
      </c>
      <c r="G2773" s="76" t="str">
        <f>VLOOKUP(Tabelle2[[#This Row],[Kunden Nr.]],KUNDEN!A:B,2,0)</f>
        <v>NDRIQIMI</v>
      </c>
      <c r="H2773" s="75">
        <v>35121</v>
      </c>
      <c r="I2773" s="76" t="str">
        <f>VLOOKUP(Tabelle2[[#This Row],[Artikel]],Produkte!A:B,2,0)</f>
        <v>M-ONE Sanitar Silikon</v>
      </c>
      <c r="J2773" s="75">
        <v>12</v>
      </c>
      <c r="K2773" s="76" t="str">
        <f>VLOOKUP(Tabelle2[[#This Row],[Kunden Nr.]],KUNDEN!A:G,7)</f>
        <v>Qerimi</v>
      </c>
      <c r="L2773" s="76">
        <f>VLOOKUP(Tabelle2[[#This Row],[Artikel]],Produkte!A:H,8)</f>
        <v>0.17</v>
      </c>
    </row>
    <row r="2774" spans="1:12" x14ac:dyDescent="0.2">
      <c r="A2774" s="75" t="s">
        <v>558</v>
      </c>
      <c r="B2774" s="79">
        <v>46135</v>
      </c>
      <c r="C2774" s="75"/>
      <c r="D2774" s="75"/>
      <c r="E2774" s="75"/>
      <c r="F2774" s="75">
        <v>10418</v>
      </c>
      <c r="G2774" s="76" t="str">
        <f>VLOOKUP(Tabelle2[[#This Row],[Kunden Nr.]],KUNDEN!A:B,2,0)</f>
        <v>NDRIQIMI</v>
      </c>
      <c r="H2774" s="75">
        <v>51611</v>
      </c>
      <c r="I2774" s="76" t="str">
        <f>VLOOKUP(Tabelle2[[#This Row],[Artikel]],Produkte!A:B,2,0)</f>
        <v>universal akryl</v>
      </c>
      <c r="J2774" s="75">
        <v>24</v>
      </c>
      <c r="K2774" s="76" t="str">
        <f>VLOOKUP(Tabelle2[[#This Row],[Kunden Nr.]],KUNDEN!A:G,7)</f>
        <v>Qerimi</v>
      </c>
      <c r="L2774" s="76">
        <f>VLOOKUP(Tabelle2[[#This Row],[Artikel]],Produkte!A:H,8)</f>
        <v>0.06</v>
      </c>
    </row>
    <row r="2775" spans="1:12" x14ac:dyDescent="0.2">
      <c r="A2775" s="75" t="s">
        <v>879</v>
      </c>
      <c r="B2775" s="79">
        <v>46135</v>
      </c>
      <c r="C2775" s="89">
        <v>46.2</v>
      </c>
      <c r="D2775" s="75"/>
      <c r="E2775" s="75"/>
      <c r="F2775" s="75">
        <v>10430</v>
      </c>
      <c r="G2775" s="76" t="str">
        <f>VLOOKUP(Tabelle2[[#This Row],[Kunden Nr.]],KUNDEN!A:B,2,0)</f>
        <v>EURO COM</v>
      </c>
      <c r="H2775" s="75">
        <v>35128</v>
      </c>
      <c r="I2775" s="76" t="str">
        <f>VLOOKUP(Tabelle2[[#This Row],[Artikel]],Produkte!A:B,2,0)</f>
        <v>M-ONE Sanitar Silikon</v>
      </c>
      <c r="J2775" s="75">
        <v>12</v>
      </c>
      <c r="K2775" s="76" t="str">
        <f>VLOOKUP(Tabelle2[[#This Row],[Kunden Nr.]],KUNDEN!A:G,7)</f>
        <v>Qerimi</v>
      </c>
      <c r="L2775" s="76">
        <f>VLOOKUP(Tabelle2[[#This Row],[Artikel]],Produkte!A:H,8)</f>
        <v>0.17</v>
      </c>
    </row>
    <row r="2776" spans="1:12" x14ac:dyDescent="0.2">
      <c r="A2776" s="75" t="s">
        <v>546</v>
      </c>
      <c r="B2776" s="79">
        <v>46135</v>
      </c>
      <c r="C2776" s="89">
        <v>113.4</v>
      </c>
      <c r="D2776" s="75"/>
      <c r="E2776" s="75"/>
      <c r="F2776" s="75">
        <v>10406</v>
      </c>
      <c r="G2776" s="76" t="str">
        <f>VLOOKUP(Tabelle2[[#This Row],[Kunden Nr.]],KUNDEN!A:B,2,0)</f>
        <v>AGRONI</v>
      </c>
      <c r="H2776" s="75">
        <v>50912</v>
      </c>
      <c r="I2776" s="76" t="str">
        <f>VLOOKUP(Tabelle2[[#This Row],[Artikel]],Produkte!A:B,2,0)</f>
        <v>DICHTUNG</v>
      </c>
      <c r="J2776" s="75">
        <v>12</v>
      </c>
      <c r="K2776" s="76" t="str">
        <f>VLOOKUP(Tabelle2[[#This Row],[Kunden Nr.]],KUNDEN!A:G,7)</f>
        <v>Qerimi</v>
      </c>
      <c r="L2776" s="76">
        <f>VLOOKUP(Tabelle2[[#This Row],[Artikel]],Produkte!A:H,8)</f>
        <v>0.2</v>
      </c>
    </row>
    <row r="2777" spans="1:12" x14ac:dyDescent="0.2">
      <c r="A2777" s="75" t="s">
        <v>546</v>
      </c>
      <c r="B2777" s="79">
        <v>46135</v>
      </c>
      <c r="C2777" s="75"/>
      <c r="D2777" s="75"/>
      <c r="E2777" s="75"/>
      <c r="F2777" s="75">
        <v>10406</v>
      </c>
      <c r="G2777" s="76" t="str">
        <f>VLOOKUP(Tabelle2[[#This Row],[Kunden Nr.]],KUNDEN!A:B,2,0)</f>
        <v>AGRONI</v>
      </c>
      <c r="H2777" s="75">
        <v>51736</v>
      </c>
      <c r="I2777" s="76" t="str">
        <f>VLOOKUP(Tabelle2[[#This Row],[Artikel]],Produkte!A:B,2,0)</f>
        <v>M ONE SCHWARZ MATT</v>
      </c>
      <c r="J2777" s="75">
        <v>4</v>
      </c>
      <c r="K2777" s="76" t="str">
        <f>VLOOKUP(Tabelle2[[#This Row],[Kunden Nr.]],KUNDEN!A:G,7)</f>
        <v>Qerimi</v>
      </c>
      <c r="L2777" s="76">
        <f>VLOOKUP(Tabelle2[[#This Row],[Artikel]],Produkte!A:H,8)</f>
        <v>0.15</v>
      </c>
    </row>
    <row r="2778" spans="1:12" x14ac:dyDescent="0.2">
      <c r="A2778" s="75" t="s">
        <v>546</v>
      </c>
      <c r="B2778" s="79">
        <v>46135</v>
      </c>
      <c r="C2778" s="75"/>
      <c r="D2778" s="75"/>
      <c r="E2778" s="75"/>
      <c r="F2778" s="75">
        <v>10406</v>
      </c>
      <c r="G2778" s="76" t="str">
        <f>VLOOKUP(Tabelle2[[#This Row],[Kunden Nr.]],KUNDEN!A:B,2,0)</f>
        <v>AGRONI</v>
      </c>
      <c r="H2778" s="75">
        <v>49644</v>
      </c>
      <c r="I2778" s="76" t="str">
        <f>VLOOKUP(Tabelle2[[#This Row],[Artikel]],Produkte!A:B,2,0)</f>
        <v>beMAKER Rostlöser</v>
      </c>
      <c r="J2778" s="75">
        <v>2</v>
      </c>
      <c r="K2778" s="76" t="str">
        <f>VLOOKUP(Tabelle2[[#This Row],[Kunden Nr.]],KUNDEN!A:G,7)</f>
        <v>Qerimi</v>
      </c>
      <c r="L2778" s="76">
        <f>VLOOKUP(Tabelle2[[#This Row],[Artikel]],Produkte!A:H,8)</f>
        <v>0.2</v>
      </c>
    </row>
    <row r="2779" spans="1:12" x14ac:dyDescent="0.2">
      <c r="A2779" s="75" t="s">
        <v>546</v>
      </c>
      <c r="B2779" s="79">
        <v>46135</v>
      </c>
      <c r="C2779" s="75"/>
      <c r="D2779" s="75"/>
      <c r="E2779" s="75"/>
      <c r="F2779" s="75">
        <v>10406</v>
      </c>
      <c r="G2779" s="76" t="str">
        <f>VLOOKUP(Tabelle2[[#This Row],[Kunden Nr.]],KUNDEN!A:B,2,0)</f>
        <v>AGRONI</v>
      </c>
      <c r="H2779" s="75">
        <v>31819</v>
      </c>
      <c r="I2779" s="76" t="str">
        <f>VLOOKUP(Tabelle2[[#This Row],[Artikel]],Produkte!A:B,2,0)</f>
        <v>M ONE FUERROT</v>
      </c>
      <c r="J2779" s="75">
        <v>2</v>
      </c>
      <c r="K2779" s="76" t="str">
        <f>VLOOKUP(Tabelle2[[#This Row],[Kunden Nr.]],KUNDEN!A:G,7)</f>
        <v>Qerimi</v>
      </c>
      <c r="L2779" s="76">
        <f>VLOOKUP(Tabelle2[[#This Row],[Artikel]],Produkte!A:H,8)</f>
        <v>0.15</v>
      </c>
    </row>
    <row r="2780" spans="1:12" x14ac:dyDescent="0.2">
      <c r="A2780" s="75" t="s">
        <v>546</v>
      </c>
      <c r="B2780" s="79">
        <v>46135</v>
      </c>
      <c r="C2780" s="75"/>
      <c r="D2780" s="75"/>
      <c r="E2780" s="75"/>
      <c r="F2780" s="75">
        <v>10406</v>
      </c>
      <c r="G2780" s="76" t="str">
        <f>VLOOKUP(Tabelle2[[#This Row],[Kunden Nr.]],KUNDEN!A:B,2,0)</f>
        <v>AGRONI</v>
      </c>
      <c r="H2780" s="75">
        <v>56117</v>
      </c>
      <c r="I2780" s="76" t="str">
        <f>VLOOKUP(Tabelle2[[#This Row],[Artikel]],Produkte!A:B,2,0)</f>
        <v>M ONE UBS</v>
      </c>
      <c r="J2780" s="75">
        <v>2</v>
      </c>
      <c r="K2780" s="76" t="str">
        <f>VLOOKUP(Tabelle2[[#This Row],[Kunden Nr.]],KUNDEN!A:G,7)</f>
        <v>Qerimi</v>
      </c>
      <c r="L2780" s="76">
        <f>VLOOKUP(Tabelle2[[#This Row],[Artikel]],Produkte!A:H,8)</f>
        <v>0.2</v>
      </c>
    </row>
    <row r="2781" spans="1:12" x14ac:dyDescent="0.2">
      <c r="A2781" s="75" t="s">
        <v>550</v>
      </c>
      <c r="B2781" s="79">
        <v>46135</v>
      </c>
      <c r="C2781" s="89">
        <v>46.2</v>
      </c>
      <c r="D2781" s="75"/>
      <c r="E2781" s="75"/>
      <c r="F2781" s="75">
        <v>10410</v>
      </c>
      <c r="G2781" s="76" t="str">
        <f>VLOOKUP(Tabelle2[[#This Row],[Kunden Nr.]],KUNDEN!A:B,2,0)</f>
        <v>GRANITI</v>
      </c>
      <c r="H2781" s="75">
        <v>35112</v>
      </c>
      <c r="I2781" s="76" t="str">
        <f>VLOOKUP(Tabelle2[[#This Row],[Artikel]],Produkte!A:B,2,0)</f>
        <v>M-ONE Sanitar Silikon</v>
      </c>
      <c r="J2781" s="75">
        <v>12</v>
      </c>
      <c r="K2781" s="76" t="str">
        <f>VLOOKUP(Tabelle2[[#This Row],[Kunden Nr.]],KUNDEN!A:G,7)</f>
        <v>Qerimi</v>
      </c>
      <c r="L2781" s="76">
        <f>VLOOKUP(Tabelle2[[#This Row],[Artikel]],Produkte!A:H,8)</f>
        <v>0.17</v>
      </c>
    </row>
    <row r="2782" spans="1:12" x14ac:dyDescent="0.2">
      <c r="A2782" s="75" t="s">
        <v>553</v>
      </c>
      <c r="B2782" s="79">
        <v>46135</v>
      </c>
      <c r="C2782" s="89">
        <v>92.4</v>
      </c>
      <c r="D2782" s="75"/>
      <c r="E2782" s="75"/>
      <c r="F2782" s="75">
        <v>10413</v>
      </c>
      <c r="G2782" s="76" t="str">
        <f>VLOOKUP(Tabelle2[[#This Row],[Kunden Nr.]],KUNDEN!A:B,2,0)</f>
        <v>UNIVERZAL</v>
      </c>
      <c r="H2782" s="75">
        <v>35110</v>
      </c>
      <c r="I2782" s="76" t="str">
        <f>VLOOKUP(Tabelle2[[#This Row],[Artikel]],Produkte!A:B,2,0)</f>
        <v>M-ONE Sanitar Silikon</v>
      </c>
      <c r="J2782" s="75">
        <v>12</v>
      </c>
      <c r="K2782" s="76" t="str">
        <f>VLOOKUP(Tabelle2[[#This Row],[Kunden Nr.]],KUNDEN!A:G,7)</f>
        <v>Qerimi</v>
      </c>
      <c r="L2782" s="76">
        <f>VLOOKUP(Tabelle2[[#This Row],[Artikel]],Produkte!A:H,8)</f>
        <v>0.17</v>
      </c>
    </row>
    <row r="2783" spans="1:12" x14ac:dyDescent="0.2">
      <c r="A2783" s="75" t="s">
        <v>553</v>
      </c>
      <c r="B2783" s="79">
        <v>46135</v>
      </c>
      <c r="C2783" s="75"/>
      <c r="D2783" s="75"/>
      <c r="E2783" s="75"/>
      <c r="F2783" s="75">
        <v>10413</v>
      </c>
      <c r="G2783" s="76" t="str">
        <f>VLOOKUP(Tabelle2[[#This Row],[Kunden Nr.]],KUNDEN!A:B,2,0)</f>
        <v>UNIVERZAL</v>
      </c>
      <c r="H2783" s="75">
        <v>35113</v>
      </c>
      <c r="I2783" s="76" t="str">
        <f>VLOOKUP(Tabelle2[[#This Row],[Artikel]],Produkte!A:B,2,0)</f>
        <v>M-ONE Sanitar Silikon</v>
      </c>
      <c r="J2783" s="75">
        <v>12</v>
      </c>
      <c r="K2783" s="76" t="str">
        <f>VLOOKUP(Tabelle2[[#This Row],[Kunden Nr.]],KUNDEN!A:G,7)</f>
        <v>Qerimi</v>
      </c>
      <c r="L2783" s="76">
        <f>VLOOKUP(Tabelle2[[#This Row],[Artikel]],Produkte!A:H,8)</f>
        <v>0.17</v>
      </c>
    </row>
    <row r="2784" spans="1:12" x14ac:dyDescent="0.2">
      <c r="A2784" s="75" t="s">
        <v>903</v>
      </c>
      <c r="B2784" s="79">
        <v>46135</v>
      </c>
      <c r="C2784" s="89">
        <v>138.6</v>
      </c>
      <c r="D2784" s="75"/>
      <c r="E2784" s="75"/>
      <c r="F2784" s="75">
        <v>10428</v>
      </c>
      <c r="G2784" s="76" t="str">
        <f>VLOOKUP(Tabelle2[[#This Row],[Kunden Nr.]],KUNDEN!A:B,2,0)</f>
        <v>ENISI - H</v>
      </c>
      <c r="H2784" s="75">
        <v>35121</v>
      </c>
      <c r="I2784" s="76" t="str">
        <f>VLOOKUP(Tabelle2[[#This Row],[Artikel]],Produkte!A:B,2,0)</f>
        <v>M-ONE Sanitar Silikon</v>
      </c>
      <c r="J2784" s="75">
        <v>12</v>
      </c>
      <c r="K2784" s="76" t="str">
        <f>VLOOKUP(Tabelle2[[#This Row],[Kunden Nr.]],KUNDEN!A:G,7)</f>
        <v>Qerimi</v>
      </c>
      <c r="L2784" s="76">
        <f>VLOOKUP(Tabelle2[[#This Row],[Artikel]],Produkte!A:H,8)</f>
        <v>0.17</v>
      </c>
    </row>
    <row r="2785" spans="1:12" x14ac:dyDescent="0.2">
      <c r="A2785" s="75" t="s">
        <v>903</v>
      </c>
      <c r="B2785" s="79">
        <v>46135</v>
      </c>
      <c r="C2785" s="75"/>
      <c r="D2785" s="75"/>
      <c r="E2785" s="75"/>
      <c r="F2785" s="75">
        <v>10428</v>
      </c>
      <c r="G2785" s="76" t="str">
        <f>VLOOKUP(Tabelle2[[#This Row],[Kunden Nr.]],KUNDEN!A:B,2,0)</f>
        <v>ENISI - H</v>
      </c>
      <c r="H2785" s="75">
        <v>35109</v>
      </c>
      <c r="I2785" s="76" t="str">
        <f>VLOOKUP(Tabelle2[[#This Row],[Artikel]],Produkte!A:B,2,0)</f>
        <v>M-ONE Sanitar Silikon</v>
      </c>
      <c r="J2785" s="75">
        <v>12</v>
      </c>
      <c r="K2785" s="76" t="str">
        <f>VLOOKUP(Tabelle2[[#This Row],[Kunden Nr.]],KUNDEN!A:G,7)</f>
        <v>Qerimi</v>
      </c>
      <c r="L2785" s="76">
        <f>VLOOKUP(Tabelle2[[#This Row],[Artikel]],Produkte!A:H,8)</f>
        <v>0.17</v>
      </c>
    </row>
    <row r="2786" spans="1:12" x14ac:dyDescent="0.2">
      <c r="A2786" s="75" t="s">
        <v>903</v>
      </c>
      <c r="B2786" s="79">
        <v>46135</v>
      </c>
      <c r="C2786" s="75"/>
      <c r="D2786" s="75"/>
      <c r="E2786" s="75"/>
      <c r="F2786" s="75">
        <v>10428</v>
      </c>
      <c r="G2786" s="76" t="str">
        <f>VLOOKUP(Tabelle2[[#This Row],[Kunden Nr.]],KUNDEN!A:B,2,0)</f>
        <v>ENISI - H</v>
      </c>
      <c r="H2786" s="75">
        <v>35125</v>
      </c>
      <c r="I2786" s="76" t="str">
        <f>VLOOKUP(Tabelle2[[#This Row],[Artikel]],Produkte!A:B,2,0)</f>
        <v>M-ONE Sanitar Silikon</v>
      </c>
      <c r="J2786" s="75">
        <v>12</v>
      </c>
      <c r="K2786" s="76" t="str">
        <f>VLOOKUP(Tabelle2[[#This Row],[Kunden Nr.]],KUNDEN!A:G,7)</f>
        <v>Qerimi</v>
      </c>
      <c r="L2786" s="76">
        <f>VLOOKUP(Tabelle2[[#This Row],[Artikel]],Produkte!A:H,8)</f>
        <v>0.17</v>
      </c>
    </row>
    <row r="2787" spans="1:12" x14ac:dyDescent="0.2">
      <c r="A2787" s="75" t="s">
        <v>1215</v>
      </c>
      <c r="B2787" s="79">
        <v>46135</v>
      </c>
      <c r="C2787" s="89">
        <v>46.2</v>
      </c>
      <c r="D2787" s="75"/>
      <c r="E2787" s="75"/>
      <c r="F2787" s="75">
        <v>10429</v>
      </c>
      <c r="G2787" s="76" t="str">
        <f>VLOOKUP(Tabelle2[[#This Row],[Kunden Nr.]],KUNDEN!A:B,2,0)</f>
        <v>SAN KOS</v>
      </c>
      <c r="H2787" s="75">
        <v>35113</v>
      </c>
      <c r="I2787" s="76" t="str">
        <f>VLOOKUP(Tabelle2[[#This Row],[Artikel]],Produkte!A:B,2,0)</f>
        <v>M-ONE Sanitar Silikon</v>
      </c>
      <c r="J2787" s="75">
        <v>12</v>
      </c>
      <c r="K2787" s="76" t="str">
        <f>VLOOKUP(Tabelle2[[#This Row],[Kunden Nr.]],KUNDEN!A:G,7)</f>
        <v>Qerimi</v>
      </c>
      <c r="L2787" s="76">
        <f>VLOOKUP(Tabelle2[[#This Row],[Artikel]],Produkte!A:H,8)</f>
        <v>0.17</v>
      </c>
    </row>
    <row r="2788" spans="1:12" x14ac:dyDescent="0.2">
      <c r="A2788" s="75" t="s">
        <v>483</v>
      </c>
      <c r="B2788" s="79">
        <v>46136</v>
      </c>
      <c r="C2788" s="89">
        <v>92.4</v>
      </c>
      <c r="D2788" s="75"/>
      <c r="E2788" s="75"/>
      <c r="F2788" s="75">
        <v>10503</v>
      </c>
      <c r="G2788" s="76" t="str">
        <f>VLOOKUP(Tabelle2[[#This Row],[Kunden Nr.]],KUNDEN!A:B,2,0)</f>
        <v>REAL COLOR 1</v>
      </c>
      <c r="H2788" s="75">
        <v>35109</v>
      </c>
      <c r="I2788" s="76" t="str">
        <f>VLOOKUP(Tabelle2[[#This Row],[Artikel]],Produkte!A:B,2,0)</f>
        <v>M-ONE Sanitar Silikon</v>
      </c>
      <c r="J2788" s="75">
        <v>12</v>
      </c>
      <c r="K2788" s="76" t="str">
        <f>VLOOKUP(Tabelle2[[#This Row],[Kunden Nr.]],KUNDEN!A:G,7)</f>
        <v>Qerimi</v>
      </c>
      <c r="L2788" s="76">
        <f>VLOOKUP(Tabelle2[[#This Row],[Artikel]],Produkte!A:H,8)</f>
        <v>0.17</v>
      </c>
    </row>
    <row r="2789" spans="1:12" x14ac:dyDescent="0.2">
      <c r="A2789" s="75" t="s">
        <v>483</v>
      </c>
      <c r="B2789" s="79">
        <v>46136</v>
      </c>
      <c r="C2789" s="75"/>
      <c r="D2789" s="75"/>
      <c r="E2789" s="75"/>
      <c r="F2789" s="75">
        <v>10503</v>
      </c>
      <c r="G2789" s="76" t="str">
        <f>VLOOKUP(Tabelle2[[#This Row],[Kunden Nr.]],KUNDEN!A:B,2,0)</f>
        <v>REAL COLOR 1</v>
      </c>
      <c r="H2789" s="75">
        <v>35113</v>
      </c>
      <c r="I2789" s="76" t="str">
        <f>VLOOKUP(Tabelle2[[#This Row],[Artikel]],Produkte!A:B,2,0)</f>
        <v>M-ONE Sanitar Silikon</v>
      </c>
      <c r="J2789" s="75">
        <v>12</v>
      </c>
      <c r="K2789" s="76" t="str">
        <f>VLOOKUP(Tabelle2[[#This Row],[Kunden Nr.]],KUNDEN!A:G,7)</f>
        <v>Qerimi</v>
      </c>
      <c r="L2789" s="76">
        <f>VLOOKUP(Tabelle2[[#This Row],[Artikel]],Produkte!A:H,8)</f>
        <v>0.17</v>
      </c>
    </row>
    <row r="2790" spans="1:12" x14ac:dyDescent="0.2">
      <c r="A2790" s="75" t="s">
        <v>1170</v>
      </c>
      <c r="B2790" s="79">
        <v>46136</v>
      </c>
      <c r="C2790" s="89">
        <v>46.2</v>
      </c>
      <c r="D2790" s="75"/>
      <c r="E2790" s="75"/>
      <c r="F2790" s="75">
        <v>10542</v>
      </c>
      <c r="G2790" s="76" t="str">
        <f>VLOOKUP(Tabelle2[[#This Row],[Kunden Nr.]],KUNDEN!A:B,2,0)</f>
        <v>LITA</v>
      </c>
      <c r="H2790" s="75">
        <v>35110</v>
      </c>
      <c r="I2790" s="76" t="str">
        <f>VLOOKUP(Tabelle2[[#This Row],[Artikel]],Produkte!A:B,2,0)</f>
        <v>M-ONE Sanitar Silikon</v>
      </c>
      <c r="J2790" s="75">
        <v>12</v>
      </c>
      <c r="K2790" s="76" t="str">
        <f>VLOOKUP(Tabelle2[[#This Row],[Kunden Nr.]],KUNDEN!A:G,7)</f>
        <v>Qerimi</v>
      </c>
      <c r="L2790" s="76">
        <f>VLOOKUP(Tabelle2[[#This Row],[Artikel]],Produkte!A:H,8)</f>
        <v>0.17</v>
      </c>
    </row>
    <row r="2791" spans="1:12" x14ac:dyDescent="0.2">
      <c r="A2791" s="75" t="s">
        <v>491</v>
      </c>
      <c r="B2791" s="79">
        <v>46136</v>
      </c>
      <c r="C2791" s="89">
        <v>92.4</v>
      </c>
      <c r="D2791" s="75"/>
      <c r="E2791" s="75"/>
      <c r="F2791" s="75">
        <v>10508</v>
      </c>
      <c r="G2791" s="76" t="str">
        <f>VLOOKUP(Tabelle2[[#This Row],[Kunden Nr.]],KUNDEN!A:B,2,0)</f>
        <v>CARRALEVA 2</v>
      </c>
      <c r="H2791" s="75">
        <v>35110</v>
      </c>
      <c r="I2791" s="76" t="str">
        <f>VLOOKUP(Tabelle2[[#This Row],[Artikel]],Produkte!A:B,2,0)</f>
        <v>M-ONE Sanitar Silikon</v>
      </c>
      <c r="J2791" s="75">
        <v>12</v>
      </c>
      <c r="K2791" s="76" t="str">
        <f>VLOOKUP(Tabelle2[[#This Row],[Kunden Nr.]],KUNDEN!A:G,7)</f>
        <v>Qerimi</v>
      </c>
      <c r="L2791" s="76">
        <f>VLOOKUP(Tabelle2[[#This Row],[Artikel]],Produkte!A:H,8)</f>
        <v>0.17</v>
      </c>
    </row>
    <row r="2792" spans="1:12" x14ac:dyDescent="0.2">
      <c r="A2792" s="75" t="s">
        <v>491</v>
      </c>
      <c r="B2792" s="79">
        <v>46136</v>
      </c>
      <c r="C2792" s="75"/>
      <c r="D2792" s="75"/>
      <c r="E2792" s="75"/>
      <c r="F2792" s="75">
        <v>10508</v>
      </c>
      <c r="G2792" s="76" t="str">
        <f>VLOOKUP(Tabelle2[[#This Row],[Kunden Nr.]],KUNDEN!A:B,2,0)</f>
        <v>CARRALEVA 2</v>
      </c>
      <c r="H2792" s="75">
        <v>35128</v>
      </c>
      <c r="I2792" s="76" t="str">
        <f>VLOOKUP(Tabelle2[[#This Row],[Artikel]],Produkte!A:B,2,0)</f>
        <v>M-ONE Sanitar Silikon</v>
      </c>
      <c r="J2792" s="75">
        <v>12</v>
      </c>
      <c r="K2792" s="76" t="str">
        <f>VLOOKUP(Tabelle2[[#This Row],[Kunden Nr.]],KUNDEN!A:G,7)</f>
        <v>Qerimi</v>
      </c>
      <c r="L2792" s="76">
        <f>VLOOKUP(Tabelle2[[#This Row],[Artikel]],Produkte!A:H,8)</f>
        <v>0.17</v>
      </c>
    </row>
    <row r="2793" spans="1:12" x14ac:dyDescent="0.2">
      <c r="A2793" s="75" t="s">
        <v>487</v>
      </c>
      <c r="B2793" s="79">
        <v>46136</v>
      </c>
      <c r="C2793" s="89">
        <v>138.6</v>
      </c>
      <c r="D2793" s="75"/>
      <c r="E2793" s="75"/>
      <c r="F2793" s="75">
        <v>10507</v>
      </c>
      <c r="G2793" s="76" t="str">
        <f>VLOOKUP(Tabelle2[[#This Row],[Kunden Nr.]],KUNDEN!A:B,2,0)</f>
        <v>REAL COLOR 2</v>
      </c>
      <c r="H2793" s="75">
        <v>35109</v>
      </c>
      <c r="I2793" s="76" t="str">
        <f>VLOOKUP(Tabelle2[[#This Row],[Artikel]],Produkte!A:B,2,0)</f>
        <v>M-ONE Sanitar Silikon</v>
      </c>
      <c r="J2793" s="75">
        <v>12</v>
      </c>
      <c r="K2793" s="76" t="str">
        <f>VLOOKUP(Tabelle2[[#This Row],[Kunden Nr.]],KUNDEN!A:G,7)</f>
        <v>Qerimi</v>
      </c>
      <c r="L2793" s="76">
        <f>VLOOKUP(Tabelle2[[#This Row],[Artikel]],Produkte!A:H,8)</f>
        <v>0.17</v>
      </c>
    </row>
    <row r="2794" spans="1:12" x14ac:dyDescent="0.2">
      <c r="A2794" s="75" t="s">
        <v>487</v>
      </c>
      <c r="B2794" s="79">
        <v>46136</v>
      </c>
      <c r="C2794" s="75"/>
      <c r="D2794" s="75"/>
      <c r="E2794" s="75"/>
      <c r="F2794" s="75">
        <v>10507</v>
      </c>
      <c r="G2794" s="76" t="str">
        <f>VLOOKUP(Tabelle2[[#This Row],[Kunden Nr.]],KUNDEN!A:B,2,0)</f>
        <v>REAL COLOR 2</v>
      </c>
      <c r="H2794" s="75">
        <v>35121</v>
      </c>
      <c r="I2794" s="76" t="str">
        <f>VLOOKUP(Tabelle2[[#This Row],[Artikel]],Produkte!A:B,2,0)</f>
        <v>M-ONE Sanitar Silikon</v>
      </c>
      <c r="J2794" s="75">
        <v>12</v>
      </c>
      <c r="K2794" s="76" t="str">
        <f>VLOOKUP(Tabelle2[[#This Row],[Kunden Nr.]],KUNDEN!A:G,7)</f>
        <v>Qerimi</v>
      </c>
      <c r="L2794" s="76">
        <f>VLOOKUP(Tabelle2[[#This Row],[Artikel]],Produkte!A:H,8)</f>
        <v>0.17</v>
      </c>
    </row>
    <row r="2795" spans="1:12" x14ac:dyDescent="0.2">
      <c r="A2795" s="75" t="s">
        <v>487</v>
      </c>
      <c r="B2795" s="79">
        <v>46136</v>
      </c>
      <c r="C2795" s="75"/>
      <c r="D2795" s="75"/>
      <c r="E2795" s="75"/>
      <c r="F2795" s="75">
        <v>10507</v>
      </c>
      <c r="G2795" s="76" t="str">
        <f>VLOOKUP(Tabelle2[[#This Row],[Kunden Nr.]],KUNDEN!A:B,2,0)</f>
        <v>REAL COLOR 2</v>
      </c>
      <c r="H2795" s="75">
        <v>35128</v>
      </c>
      <c r="I2795" s="76" t="str">
        <f>VLOOKUP(Tabelle2[[#This Row],[Artikel]],Produkte!A:B,2,0)</f>
        <v>M-ONE Sanitar Silikon</v>
      </c>
      <c r="J2795" s="75">
        <v>12</v>
      </c>
      <c r="K2795" s="76" t="str">
        <f>VLOOKUP(Tabelle2[[#This Row],[Kunden Nr.]],KUNDEN!A:G,7)</f>
        <v>Qerimi</v>
      </c>
      <c r="L2795" s="76">
        <f>VLOOKUP(Tabelle2[[#This Row],[Artikel]],Produkte!A:H,8)</f>
        <v>0.17</v>
      </c>
    </row>
    <row r="2796" spans="1:12" x14ac:dyDescent="0.2">
      <c r="A2796" s="75" t="s">
        <v>413</v>
      </c>
      <c r="B2796" s="79">
        <v>46136</v>
      </c>
      <c r="C2796" s="89">
        <v>231</v>
      </c>
      <c r="D2796" s="75"/>
      <c r="E2796" s="75"/>
      <c r="F2796" s="75">
        <v>10350</v>
      </c>
      <c r="G2796" s="76" t="str">
        <f>VLOOKUP(Tabelle2[[#This Row],[Kunden Nr.]],KUNDEN!A:B,2,0)</f>
        <v>BALLKANI</v>
      </c>
      <c r="H2796" s="75">
        <v>35113</v>
      </c>
      <c r="I2796" s="76" t="str">
        <f>VLOOKUP(Tabelle2[[#This Row],[Artikel]],Produkte!A:B,2,0)</f>
        <v>M-ONE Sanitar Silikon</v>
      </c>
      <c r="J2796" s="75">
        <v>12</v>
      </c>
      <c r="K2796" s="76" t="str">
        <f>VLOOKUP(Tabelle2[[#This Row],[Kunden Nr.]],KUNDEN!A:G,7)</f>
        <v>Qerimi</v>
      </c>
      <c r="L2796" s="76">
        <f>VLOOKUP(Tabelle2[[#This Row],[Artikel]],Produkte!A:H,8)</f>
        <v>0.17</v>
      </c>
    </row>
    <row r="2797" spans="1:12" x14ac:dyDescent="0.2">
      <c r="A2797" s="75" t="s">
        <v>413</v>
      </c>
      <c r="B2797" s="79">
        <v>46136</v>
      </c>
      <c r="C2797" s="75"/>
      <c r="D2797" s="75"/>
      <c r="E2797" s="75"/>
      <c r="F2797" s="75">
        <v>10350</v>
      </c>
      <c r="G2797" s="76" t="str">
        <f>VLOOKUP(Tabelle2[[#This Row],[Kunden Nr.]],KUNDEN!A:B,2,0)</f>
        <v>BALLKANI</v>
      </c>
      <c r="H2797" s="75">
        <v>35121</v>
      </c>
      <c r="I2797" s="76" t="str">
        <f>VLOOKUP(Tabelle2[[#This Row],[Artikel]],Produkte!A:B,2,0)</f>
        <v>M-ONE Sanitar Silikon</v>
      </c>
      <c r="J2797" s="75">
        <v>48</v>
      </c>
      <c r="K2797" s="76" t="str">
        <f>VLOOKUP(Tabelle2[[#This Row],[Kunden Nr.]],KUNDEN!A:G,7)</f>
        <v>Qerimi</v>
      </c>
      <c r="L2797" s="76">
        <f>VLOOKUP(Tabelle2[[#This Row],[Artikel]],Produkte!A:H,8)</f>
        <v>0.17</v>
      </c>
    </row>
    <row r="2798" spans="1:12" x14ac:dyDescent="0.2">
      <c r="A2798" s="75" t="s">
        <v>486</v>
      </c>
      <c r="B2798" s="79">
        <v>46136</v>
      </c>
      <c r="C2798" s="89">
        <v>92.4</v>
      </c>
      <c r="D2798" s="75"/>
      <c r="E2798" s="75"/>
      <c r="F2798" s="75">
        <v>10506</v>
      </c>
      <c r="G2798" s="76" t="str">
        <f>VLOOKUP(Tabelle2[[#This Row],[Kunden Nr.]],KUNDEN!A:B,2,0)</f>
        <v>ARBERI</v>
      </c>
      <c r="H2798" s="75">
        <v>35113</v>
      </c>
      <c r="I2798" s="76" t="str">
        <f>VLOOKUP(Tabelle2[[#This Row],[Artikel]],Produkte!A:B,2,0)</f>
        <v>M-ONE Sanitar Silikon</v>
      </c>
      <c r="J2798" s="75">
        <v>12</v>
      </c>
      <c r="K2798" s="76" t="str">
        <f>VLOOKUP(Tabelle2[[#This Row],[Kunden Nr.]],KUNDEN!A:G,7)</f>
        <v>Qerimi</v>
      </c>
      <c r="L2798" s="76">
        <f>VLOOKUP(Tabelle2[[#This Row],[Artikel]],Produkte!A:H,8)</f>
        <v>0.17</v>
      </c>
    </row>
    <row r="2799" spans="1:12" x14ac:dyDescent="0.2">
      <c r="A2799" s="75" t="s">
        <v>486</v>
      </c>
      <c r="B2799" s="79">
        <v>46136</v>
      </c>
      <c r="C2799" s="75"/>
      <c r="D2799" s="75"/>
      <c r="E2799" s="75"/>
      <c r="F2799" s="75">
        <v>10506</v>
      </c>
      <c r="G2799" s="76" t="str">
        <f>VLOOKUP(Tabelle2[[#This Row],[Kunden Nr.]],KUNDEN!A:B,2,0)</f>
        <v>ARBERI</v>
      </c>
      <c r="H2799" s="75">
        <v>35115</v>
      </c>
      <c r="I2799" s="76" t="str">
        <f>VLOOKUP(Tabelle2[[#This Row],[Artikel]],Produkte!A:B,2,0)</f>
        <v>M-ONE Sanitar Silikon</v>
      </c>
      <c r="J2799" s="75">
        <v>12</v>
      </c>
      <c r="K2799" s="76" t="str">
        <f>VLOOKUP(Tabelle2[[#This Row],[Kunden Nr.]],KUNDEN!A:G,7)</f>
        <v>Qerimi</v>
      </c>
      <c r="L2799" s="76">
        <f>VLOOKUP(Tabelle2[[#This Row],[Artikel]],Produkte!A:H,8)</f>
        <v>0.17</v>
      </c>
    </row>
    <row r="2800" spans="1:12" x14ac:dyDescent="0.2">
      <c r="A2800" s="75" t="s">
        <v>1258</v>
      </c>
      <c r="B2800" s="79">
        <v>46136</v>
      </c>
      <c r="C2800" s="89">
        <v>507</v>
      </c>
      <c r="D2800" s="75"/>
      <c r="E2800" s="75"/>
      <c r="F2800" s="75">
        <v>20511</v>
      </c>
      <c r="G2800" s="76" t="str">
        <f>VLOOKUP(Tabelle2[[#This Row],[Kunden Nr.]],KUNDEN!A:B,2,0)</f>
        <v>LIRIDONA KLINE</v>
      </c>
      <c r="H2800" s="75">
        <v>35115</v>
      </c>
      <c r="I2800" s="76" t="str">
        <f>VLOOKUP(Tabelle2[[#This Row],[Artikel]],Produkte!A:B,2,0)</f>
        <v>M-ONE Sanitar Silikon</v>
      </c>
      <c r="J2800" s="75">
        <v>48</v>
      </c>
      <c r="K2800" s="76" t="str">
        <f>VLOOKUP(Tabelle2[[#This Row],[Kunden Nr.]],KUNDEN!A:G,7)</f>
        <v>Mensuri</v>
      </c>
      <c r="L2800" s="76">
        <f>VLOOKUP(Tabelle2[[#This Row],[Artikel]],Produkte!A:H,8)</f>
        <v>0.17</v>
      </c>
    </row>
    <row r="2801" spans="1:12" x14ac:dyDescent="0.2">
      <c r="A2801" s="75" t="s">
        <v>1258</v>
      </c>
      <c r="B2801" s="79">
        <v>46136</v>
      </c>
      <c r="C2801" s="75"/>
      <c r="D2801" s="75"/>
      <c r="E2801" s="75"/>
      <c r="F2801" s="75">
        <v>20511</v>
      </c>
      <c r="G2801" s="76" t="str">
        <f>VLOOKUP(Tabelle2[[#This Row],[Kunden Nr.]],KUNDEN!A:B,2,0)</f>
        <v>LIRIDONA KLINE</v>
      </c>
      <c r="H2801" s="75">
        <v>35109</v>
      </c>
      <c r="I2801" s="76" t="str">
        <f>VLOOKUP(Tabelle2[[#This Row],[Artikel]],Produkte!A:B,2,0)</f>
        <v>M-ONE Sanitar Silikon</v>
      </c>
      <c r="J2801" s="75">
        <v>24</v>
      </c>
      <c r="K2801" s="76" t="str">
        <f>VLOOKUP(Tabelle2[[#This Row],[Kunden Nr.]],KUNDEN!A:G,7)</f>
        <v>Mensuri</v>
      </c>
      <c r="L2801" s="76">
        <f>VLOOKUP(Tabelle2[[#This Row],[Artikel]],Produkte!A:H,8)</f>
        <v>0.17</v>
      </c>
    </row>
    <row r="2802" spans="1:12" x14ac:dyDescent="0.2">
      <c r="A2802" s="75" t="s">
        <v>1258</v>
      </c>
      <c r="B2802" s="79">
        <v>46136</v>
      </c>
      <c r="C2802" s="75"/>
      <c r="D2802" s="75"/>
      <c r="E2802" s="75"/>
      <c r="F2802" s="75">
        <v>20511</v>
      </c>
      <c r="G2802" s="76" t="str">
        <f>VLOOKUP(Tabelle2[[#This Row],[Kunden Nr.]],KUNDEN!A:B,2,0)</f>
        <v>LIRIDONA KLINE</v>
      </c>
      <c r="H2802" s="75">
        <v>35119</v>
      </c>
      <c r="I2802" s="76" t="str">
        <f>VLOOKUP(Tabelle2[[#This Row],[Artikel]],Produkte!A:B,2,0)</f>
        <v>M-ONE Sanitar Silikon</v>
      </c>
      <c r="J2802" s="75">
        <v>24</v>
      </c>
      <c r="K2802" s="76" t="str">
        <f>VLOOKUP(Tabelle2[[#This Row],[Kunden Nr.]],KUNDEN!A:G,7)</f>
        <v>Mensuri</v>
      </c>
      <c r="L2802" s="76">
        <f>VLOOKUP(Tabelle2[[#This Row],[Artikel]],Produkte!A:H,8)</f>
        <v>0.17</v>
      </c>
    </row>
    <row r="2803" spans="1:12" x14ac:dyDescent="0.2">
      <c r="A2803" s="75" t="s">
        <v>1258</v>
      </c>
      <c r="B2803" s="79">
        <v>46136</v>
      </c>
      <c r="C2803" s="75"/>
      <c r="D2803" s="75"/>
      <c r="E2803" s="75"/>
      <c r="F2803" s="75">
        <v>20511</v>
      </c>
      <c r="G2803" s="76" t="str">
        <f>VLOOKUP(Tabelle2[[#This Row],[Kunden Nr.]],KUNDEN!A:B,2,0)</f>
        <v>LIRIDONA KLINE</v>
      </c>
      <c r="H2803" s="75">
        <v>35112</v>
      </c>
      <c r="I2803" s="76" t="str">
        <f>VLOOKUP(Tabelle2[[#This Row],[Artikel]],Produkte!A:B,2,0)</f>
        <v>M-ONE Sanitar Silikon</v>
      </c>
      <c r="J2803" s="75">
        <v>12</v>
      </c>
      <c r="K2803" s="76" t="str">
        <f>VLOOKUP(Tabelle2[[#This Row],[Kunden Nr.]],KUNDEN!A:G,7)</f>
        <v>Mensuri</v>
      </c>
      <c r="L2803" s="76">
        <f>VLOOKUP(Tabelle2[[#This Row],[Artikel]],Produkte!A:H,8)</f>
        <v>0.17</v>
      </c>
    </row>
    <row r="2804" spans="1:12" x14ac:dyDescent="0.2">
      <c r="A2804" s="75" t="s">
        <v>1258</v>
      </c>
      <c r="B2804" s="79">
        <v>46136</v>
      </c>
      <c r="C2804" s="75"/>
      <c r="D2804" s="75"/>
      <c r="E2804" s="75"/>
      <c r="F2804" s="75">
        <v>20511</v>
      </c>
      <c r="G2804" s="76" t="str">
        <f>VLOOKUP(Tabelle2[[#This Row],[Kunden Nr.]],KUNDEN!A:B,2,0)</f>
        <v>LIRIDONA KLINE</v>
      </c>
      <c r="H2804" s="75">
        <v>35125</v>
      </c>
      <c r="I2804" s="76" t="str">
        <f>VLOOKUP(Tabelle2[[#This Row],[Artikel]],Produkte!A:B,2,0)</f>
        <v>M-ONE Sanitar Silikon</v>
      </c>
      <c r="J2804" s="75">
        <v>12</v>
      </c>
      <c r="K2804" s="76" t="str">
        <f>VLOOKUP(Tabelle2[[#This Row],[Kunden Nr.]],KUNDEN!A:G,7)</f>
        <v>Mensuri</v>
      </c>
      <c r="L2804" s="76">
        <f>VLOOKUP(Tabelle2[[#This Row],[Artikel]],Produkte!A:H,8)</f>
        <v>0.17</v>
      </c>
    </row>
    <row r="2805" spans="1:12" x14ac:dyDescent="0.2">
      <c r="A2805" s="75" t="s">
        <v>1258</v>
      </c>
      <c r="B2805" s="79">
        <v>46136</v>
      </c>
      <c r="C2805" s="75"/>
      <c r="D2805" s="75"/>
      <c r="E2805" s="75"/>
      <c r="F2805" s="75">
        <v>20511</v>
      </c>
      <c r="G2805" s="76" t="str">
        <f>VLOOKUP(Tabelle2[[#This Row],[Kunden Nr.]],KUNDEN!A:B,2,0)</f>
        <v>LIRIDONA KLINE</v>
      </c>
      <c r="H2805" s="75">
        <v>51611</v>
      </c>
      <c r="I2805" s="76" t="str">
        <f>VLOOKUP(Tabelle2[[#This Row],[Artikel]],Produkte!A:B,2,0)</f>
        <v>universal akryl</v>
      </c>
      <c r="J2805" s="75">
        <v>36</v>
      </c>
      <c r="K2805" s="76" t="str">
        <f>VLOOKUP(Tabelle2[[#This Row],[Kunden Nr.]],KUNDEN!A:G,7)</f>
        <v>Mensuri</v>
      </c>
      <c r="L2805" s="76">
        <f>VLOOKUP(Tabelle2[[#This Row],[Artikel]],Produkte!A:H,8)</f>
        <v>0.06</v>
      </c>
    </row>
    <row r="2806" spans="1:12" x14ac:dyDescent="0.2">
      <c r="A2806" s="75" t="s">
        <v>453</v>
      </c>
      <c r="B2806" s="79">
        <v>46136</v>
      </c>
      <c r="C2806" s="89">
        <v>138.6</v>
      </c>
      <c r="D2806" s="75"/>
      <c r="E2806" s="75"/>
      <c r="F2806" s="75">
        <v>20501</v>
      </c>
      <c r="G2806" s="76" t="str">
        <f>VLOOKUP(Tabelle2[[#This Row],[Kunden Nr.]],KUNDEN!A:B,2,0)</f>
        <v>RACI</v>
      </c>
      <c r="H2806" s="75">
        <v>35110</v>
      </c>
      <c r="I2806" s="76" t="str">
        <f>VLOOKUP(Tabelle2[[#This Row],[Artikel]],Produkte!A:B,2,0)</f>
        <v>M-ONE Sanitar Silikon</v>
      </c>
      <c r="J2806" s="75">
        <v>12</v>
      </c>
      <c r="K2806" s="76" t="str">
        <f>VLOOKUP(Tabelle2[[#This Row],[Kunden Nr.]],KUNDEN!A:G,7)</f>
        <v>Mensuri</v>
      </c>
      <c r="L2806" s="76">
        <f>VLOOKUP(Tabelle2[[#This Row],[Artikel]],Produkte!A:H,8)</f>
        <v>0.17</v>
      </c>
    </row>
    <row r="2807" spans="1:12" x14ac:dyDescent="0.2">
      <c r="A2807" s="75" t="s">
        <v>453</v>
      </c>
      <c r="B2807" s="79">
        <v>46136</v>
      </c>
      <c r="C2807" s="75"/>
      <c r="D2807" s="75"/>
      <c r="E2807" s="75"/>
      <c r="F2807" s="75">
        <v>20501</v>
      </c>
      <c r="G2807" s="76" t="str">
        <f>VLOOKUP(Tabelle2[[#This Row],[Kunden Nr.]],KUNDEN!A:B,2,0)</f>
        <v>RACI</v>
      </c>
      <c r="H2807" s="75">
        <v>35125</v>
      </c>
      <c r="I2807" s="76" t="str">
        <f>VLOOKUP(Tabelle2[[#This Row],[Artikel]],Produkte!A:B,2,0)</f>
        <v>M-ONE Sanitar Silikon</v>
      </c>
      <c r="J2807" s="75">
        <v>12</v>
      </c>
      <c r="K2807" s="76" t="str">
        <f>VLOOKUP(Tabelle2[[#This Row],[Kunden Nr.]],KUNDEN!A:G,7)</f>
        <v>Mensuri</v>
      </c>
      <c r="L2807" s="76">
        <f>VLOOKUP(Tabelle2[[#This Row],[Artikel]],Produkte!A:H,8)</f>
        <v>0.17</v>
      </c>
    </row>
    <row r="2808" spans="1:12" x14ac:dyDescent="0.2">
      <c r="A2808" s="75" t="s">
        <v>453</v>
      </c>
      <c r="B2808" s="79">
        <v>46136</v>
      </c>
      <c r="C2808" s="75"/>
      <c r="D2808" s="75"/>
      <c r="E2808" s="75"/>
      <c r="F2808" s="75">
        <v>20501</v>
      </c>
      <c r="G2808" s="76" t="str">
        <f>VLOOKUP(Tabelle2[[#This Row],[Kunden Nr.]],KUNDEN!A:B,2,0)</f>
        <v>RACI</v>
      </c>
      <c r="H2808" s="75">
        <v>35128</v>
      </c>
      <c r="I2808" s="76" t="str">
        <f>VLOOKUP(Tabelle2[[#This Row],[Artikel]],Produkte!A:B,2,0)</f>
        <v>M-ONE Sanitar Silikon</v>
      </c>
      <c r="J2808" s="75">
        <v>12</v>
      </c>
      <c r="K2808" s="76" t="str">
        <f>VLOOKUP(Tabelle2[[#This Row],[Kunden Nr.]],KUNDEN!A:G,7)</f>
        <v>Mensuri</v>
      </c>
      <c r="L2808" s="76">
        <f>VLOOKUP(Tabelle2[[#This Row],[Artikel]],Produkte!A:H,8)</f>
        <v>0.17</v>
      </c>
    </row>
    <row r="2809" spans="1:12" x14ac:dyDescent="0.2">
      <c r="A2809" s="75" t="s">
        <v>454</v>
      </c>
      <c r="B2809" s="79">
        <v>46136</v>
      </c>
      <c r="C2809" s="89">
        <v>73.8</v>
      </c>
      <c r="D2809" s="75"/>
      <c r="E2809" s="75"/>
      <c r="F2809" s="75">
        <v>20502</v>
      </c>
      <c r="G2809" s="76" t="str">
        <f>VLOOKUP(Tabelle2[[#This Row],[Kunden Nr.]],KUNDEN!A:B,2,0)</f>
        <v>HOXHA</v>
      </c>
      <c r="H2809" s="75">
        <v>35110</v>
      </c>
      <c r="I2809" s="76" t="str">
        <f>VLOOKUP(Tabelle2[[#This Row],[Artikel]],Produkte!A:B,2,0)</f>
        <v>M-ONE Sanitar Silikon</v>
      </c>
      <c r="J2809" s="75">
        <v>12</v>
      </c>
      <c r="K2809" s="76" t="str">
        <f>VLOOKUP(Tabelle2[[#This Row],[Kunden Nr.]],KUNDEN!A:G,7)</f>
        <v>Mensuri</v>
      </c>
      <c r="L2809" s="76">
        <f>VLOOKUP(Tabelle2[[#This Row],[Artikel]],Produkte!A:H,8)</f>
        <v>0.17</v>
      </c>
    </row>
    <row r="2810" spans="1:12" x14ac:dyDescent="0.2">
      <c r="A2810" s="75" t="s">
        <v>454</v>
      </c>
      <c r="B2810" s="79">
        <v>46136</v>
      </c>
      <c r="C2810" s="75"/>
      <c r="D2810" s="75"/>
      <c r="E2810" s="75"/>
      <c r="F2810" s="75">
        <v>20502</v>
      </c>
      <c r="G2810" s="76" t="str">
        <f>VLOOKUP(Tabelle2[[#This Row],[Kunden Nr.]],KUNDEN!A:B,2,0)</f>
        <v>HOXHA</v>
      </c>
      <c r="H2810" s="75">
        <v>51612</v>
      </c>
      <c r="I2810" s="76" t="str">
        <f>VLOOKUP(Tabelle2[[#This Row],[Artikel]],Produkte!A:B,2,0)</f>
        <v>struktural akryl</v>
      </c>
      <c r="J2810" s="75">
        <v>12</v>
      </c>
      <c r="K2810" s="76" t="str">
        <f>VLOOKUP(Tabelle2[[#This Row],[Kunden Nr.]],KUNDEN!A:G,7)</f>
        <v>Mensuri</v>
      </c>
      <c r="L2810" s="76">
        <f>VLOOKUP(Tabelle2[[#This Row],[Artikel]],Produkte!A:H,8)</f>
        <v>0.06</v>
      </c>
    </row>
    <row r="2811" spans="1:12" x14ac:dyDescent="0.2">
      <c r="A2811" s="75" t="s">
        <v>674</v>
      </c>
      <c r="B2811" s="79">
        <v>46136</v>
      </c>
      <c r="C2811" s="89">
        <v>166.2</v>
      </c>
      <c r="D2811" s="75"/>
      <c r="E2811" s="75"/>
      <c r="F2811" s="75">
        <v>20508</v>
      </c>
      <c r="G2811" s="76" t="str">
        <f>VLOOKUP(Tabelle2[[#This Row],[Kunden Nr.]],KUNDEN!A:B,2,0)</f>
        <v>LIRIDONA HOME</v>
      </c>
      <c r="H2811" s="75">
        <v>35109</v>
      </c>
      <c r="I2811" s="76" t="str">
        <f>VLOOKUP(Tabelle2[[#This Row],[Artikel]],Produkte!A:B,2,0)</f>
        <v>M-ONE Sanitar Silikon</v>
      </c>
      <c r="J2811" s="75">
        <v>24</v>
      </c>
      <c r="K2811" s="76" t="str">
        <f>VLOOKUP(Tabelle2[[#This Row],[Kunden Nr.]],KUNDEN!A:G,7)</f>
        <v>Mensuri</v>
      </c>
      <c r="L2811" s="76">
        <f>VLOOKUP(Tabelle2[[#This Row],[Artikel]],Produkte!A:H,8)</f>
        <v>0.17</v>
      </c>
    </row>
    <row r="2812" spans="1:12" x14ac:dyDescent="0.2">
      <c r="A2812" s="75" t="s">
        <v>674</v>
      </c>
      <c r="B2812" s="79">
        <v>46136</v>
      </c>
      <c r="C2812" s="75"/>
      <c r="D2812" s="75"/>
      <c r="E2812" s="75"/>
      <c r="F2812" s="75">
        <v>20508</v>
      </c>
      <c r="G2812" s="76" t="str">
        <f>VLOOKUP(Tabelle2[[#This Row],[Kunden Nr.]],KUNDEN!A:B,2,0)</f>
        <v>LIRIDONA HOME</v>
      </c>
      <c r="H2812" s="75">
        <v>35115</v>
      </c>
      <c r="I2812" s="76" t="str">
        <f>VLOOKUP(Tabelle2[[#This Row],[Artikel]],Produkte!A:B,2,0)</f>
        <v>M-ONE Sanitar Silikon</v>
      </c>
      <c r="J2812" s="75">
        <v>12</v>
      </c>
      <c r="K2812" s="76" t="str">
        <f>VLOOKUP(Tabelle2[[#This Row],[Kunden Nr.]],KUNDEN!A:G,7)</f>
        <v>Mensuri</v>
      </c>
      <c r="L2812" s="76">
        <f>VLOOKUP(Tabelle2[[#This Row],[Artikel]],Produkte!A:H,8)</f>
        <v>0.17</v>
      </c>
    </row>
    <row r="2813" spans="1:12" x14ac:dyDescent="0.2">
      <c r="A2813" s="75" t="s">
        <v>674</v>
      </c>
      <c r="B2813" s="79">
        <v>46136</v>
      </c>
      <c r="C2813" s="75"/>
      <c r="D2813" s="75"/>
      <c r="E2813" s="75"/>
      <c r="F2813" s="75">
        <v>20508</v>
      </c>
      <c r="G2813" s="76" t="str">
        <f>VLOOKUP(Tabelle2[[#This Row],[Kunden Nr.]],KUNDEN!A:B,2,0)</f>
        <v>LIRIDONA HOME</v>
      </c>
      <c r="H2813" s="75">
        <v>51612</v>
      </c>
      <c r="I2813" s="76" t="str">
        <f>VLOOKUP(Tabelle2[[#This Row],[Artikel]],Produkte!A:B,2,0)</f>
        <v>struktural akryl</v>
      </c>
      <c r="J2813" s="75">
        <v>12</v>
      </c>
      <c r="K2813" s="76" t="str">
        <f>VLOOKUP(Tabelle2[[#This Row],[Kunden Nr.]],KUNDEN!A:G,7)</f>
        <v>Mensuri</v>
      </c>
      <c r="L2813" s="76">
        <f>VLOOKUP(Tabelle2[[#This Row],[Artikel]],Produkte!A:H,8)</f>
        <v>0.06</v>
      </c>
    </row>
    <row r="2814" spans="1:12" x14ac:dyDescent="0.2">
      <c r="A2814" s="75" t="s">
        <v>463</v>
      </c>
      <c r="B2814" s="79">
        <v>46136</v>
      </c>
      <c r="C2814" s="89">
        <v>231</v>
      </c>
      <c r="D2814" s="75"/>
      <c r="E2814" s="75"/>
      <c r="F2814" s="75">
        <v>20515</v>
      </c>
      <c r="G2814" s="76" t="str">
        <f>VLOOKUP(Tabelle2[[#This Row],[Kunden Nr.]],KUNDEN!A:B,2,0)</f>
        <v>LIRIDONA-A</v>
      </c>
      <c r="H2814" s="75">
        <v>35110</v>
      </c>
      <c r="I2814" s="76" t="str">
        <f>VLOOKUP(Tabelle2[[#This Row],[Artikel]],Produkte!A:B,2,0)</f>
        <v>M-ONE Sanitar Silikon</v>
      </c>
      <c r="J2814" s="75">
        <v>24</v>
      </c>
      <c r="K2814" s="76" t="str">
        <f>VLOOKUP(Tabelle2[[#This Row],[Kunden Nr.]],KUNDEN!A:G,7)</f>
        <v>Mensuri</v>
      </c>
      <c r="L2814" s="76">
        <f>VLOOKUP(Tabelle2[[#This Row],[Artikel]],Produkte!A:H,8)</f>
        <v>0.17</v>
      </c>
    </row>
    <row r="2815" spans="1:12" x14ac:dyDescent="0.2">
      <c r="A2815" s="75" t="s">
        <v>463</v>
      </c>
      <c r="B2815" s="79">
        <v>46136</v>
      </c>
      <c r="C2815" s="75"/>
      <c r="D2815" s="75"/>
      <c r="E2815" s="75"/>
      <c r="F2815" s="75">
        <v>20515</v>
      </c>
      <c r="G2815" s="76" t="str">
        <f>VLOOKUP(Tabelle2[[#This Row],[Kunden Nr.]],KUNDEN!A:B,2,0)</f>
        <v>LIRIDONA-A</v>
      </c>
      <c r="H2815" s="75">
        <v>35113</v>
      </c>
      <c r="I2815" s="76" t="str">
        <f>VLOOKUP(Tabelle2[[#This Row],[Artikel]],Produkte!A:B,2,0)</f>
        <v>M-ONE Sanitar Silikon</v>
      </c>
      <c r="J2815" s="75">
        <v>24</v>
      </c>
      <c r="K2815" s="76" t="str">
        <f>VLOOKUP(Tabelle2[[#This Row],[Kunden Nr.]],KUNDEN!A:G,7)</f>
        <v>Mensuri</v>
      </c>
      <c r="L2815" s="76">
        <f>VLOOKUP(Tabelle2[[#This Row],[Artikel]],Produkte!A:H,8)</f>
        <v>0.17</v>
      </c>
    </row>
    <row r="2816" spans="1:12" x14ac:dyDescent="0.2">
      <c r="A2816" s="75" t="s">
        <v>463</v>
      </c>
      <c r="B2816" s="79">
        <v>46136</v>
      </c>
      <c r="C2816" s="75"/>
      <c r="D2816" s="75"/>
      <c r="E2816" s="75"/>
      <c r="F2816" s="75">
        <v>20515</v>
      </c>
      <c r="G2816" s="76" t="str">
        <f>VLOOKUP(Tabelle2[[#This Row],[Kunden Nr.]],KUNDEN!A:B,2,0)</f>
        <v>LIRIDONA-A</v>
      </c>
      <c r="H2816" s="75">
        <v>35114</v>
      </c>
      <c r="I2816" s="76" t="str">
        <f>VLOOKUP(Tabelle2[[#This Row],[Artikel]],Produkte!A:B,2,0)</f>
        <v>M-ONE Sanitar Silikon</v>
      </c>
      <c r="J2816" s="75">
        <v>12</v>
      </c>
      <c r="K2816" s="76" t="str">
        <f>VLOOKUP(Tabelle2[[#This Row],[Kunden Nr.]],KUNDEN!A:G,7)</f>
        <v>Mensuri</v>
      </c>
      <c r="L2816" s="76">
        <f>VLOOKUP(Tabelle2[[#This Row],[Artikel]],Produkte!A:H,8)</f>
        <v>0.17</v>
      </c>
    </row>
    <row r="2817" spans="1:12" x14ac:dyDescent="0.2">
      <c r="A2817" s="75" t="s">
        <v>52</v>
      </c>
      <c r="B2817" s="79">
        <v>46136</v>
      </c>
      <c r="C2817" s="89">
        <v>85.8</v>
      </c>
      <c r="D2817" s="75"/>
      <c r="E2817" s="75"/>
      <c r="F2817" s="75">
        <v>20409</v>
      </c>
      <c r="G2817" s="76" t="str">
        <f>VLOOKUP(Tabelle2[[#This Row],[Kunden Nr.]],KUNDEN!A:B,2,0)</f>
        <v>BENI</v>
      </c>
      <c r="H2817" s="75">
        <v>50912</v>
      </c>
      <c r="I2817" s="76" t="str">
        <f>VLOOKUP(Tabelle2[[#This Row],[Artikel]],Produkte!A:B,2,0)</f>
        <v>DICHTUNG</v>
      </c>
      <c r="J2817" s="75">
        <v>9</v>
      </c>
      <c r="K2817" s="76" t="str">
        <f>VLOOKUP(Tabelle2[[#This Row],[Kunden Nr.]],KUNDEN!A:G,7)</f>
        <v>Mensuri</v>
      </c>
      <c r="L2817" s="76">
        <f>VLOOKUP(Tabelle2[[#This Row],[Artikel]],Produkte!A:H,8)</f>
        <v>0.2</v>
      </c>
    </row>
    <row r="2818" spans="1:12" x14ac:dyDescent="0.2">
      <c r="A2818" s="75" t="s">
        <v>52</v>
      </c>
      <c r="B2818" s="79">
        <v>46136</v>
      </c>
      <c r="C2818" s="75"/>
      <c r="D2818" s="75"/>
      <c r="E2818" s="75"/>
      <c r="F2818" s="75">
        <v>20409</v>
      </c>
      <c r="G2818" s="76" t="str">
        <f>VLOOKUP(Tabelle2[[#This Row],[Kunden Nr.]],KUNDEN!A:B,2,0)</f>
        <v>BENI</v>
      </c>
      <c r="H2818" s="75">
        <v>44001</v>
      </c>
      <c r="I2818" s="76" t="str">
        <f>VLOOKUP(Tabelle2[[#This Row],[Artikel]],Produkte!A:B,2,0)</f>
        <v>Fettspray</v>
      </c>
      <c r="J2818" s="75">
        <v>6</v>
      </c>
      <c r="K2818" s="76" t="str">
        <f>VLOOKUP(Tabelle2[[#This Row],[Kunden Nr.]],KUNDEN!A:G,7)</f>
        <v>Mensuri</v>
      </c>
      <c r="L2818" s="76">
        <f>VLOOKUP(Tabelle2[[#This Row],[Artikel]],Produkte!A:H,8)</f>
        <v>0.2</v>
      </c>
    </row>
    <row r="2819" spans="1:12" x14ac:dyDescent="0.2">
      <c r="A2819" s="75" t="s">
        <v>51</v>
      </c>
      <c r="B2819" s="79">
        <v>46136</v>
      </c>
      <c r="C2819" s="89">
        <v>34.5</v>
      </c>
      <c r="D2819" s="75"/>
      <c r="E2819" s="75"/>
      <c r="F2819" s="75">
        <v>20408</v>
      </c>
      <c r="G2819" s="76" t="str">
        <f>VLOOKUP(Tabelle2[[#This Row],[Kunden Nr.]],KUNDEN!A:B,2,0)</f>
        <v>A.P. HOTI</v>
      </c>
      <c r="H2819" s="75">
        <v>16936</v>
      </c>
      <c r="I2819" s="76" t="str">
        <f>VLOOKUP(Tabelle2[[#This Row],[Artikel]],Produkte!A:B,2,0)</f>
        <v>M ONE FELGENSILBER</v>
      </c>
      <c r="J2819" s="75">
        <v>3</v>
      </c>
      <c r="K2819" s="76" t="str">
        <f>VLOOKUP(Tabelle2[[#This Row],[Kunden Nr.]],KUNDEN!A:G,7)</f>
        <v>Mensuri</v>
      </c>
      <c r="L2819" s="76">
        <f>VLOOKUP(Tabelle2[[#This Row],[Artikel]],Produkte!A:H,8)</f>
        <v>0.15</v>
      </c>
    </row>
    <row r="2820" spans="1:12" x14ac:dyDescent="0.2">
      <c r="A2820" s="75" t="s">
        <v>51</v>
      </c>
      <c r="B2820" s="79">
        <v>46136</v>
      </c>
      <c r="C2820" s="75"/>
      <c r="D2820" s="75"/>
      <c r="E2820" s="75"/>
      <c r="F2820" s="75">
        <v>20408</v>
      </c>
      <c r="G2820" s="76" t="str">
        <f>VLOOKUP(Tabelle2[[#This Row],[Kunden Nr.]],KUNDEN!A:B,2,0)</f>
        <v>A.P. HOTI</v>
      </c>
      <c r="H2820" s="75">
        <v>51936</v>
      </c>
      <c r="I2820" s="76" t="str">
        <f>VLOOKUP(Tabelle2[[#This Row],[Artikel]],Produkte!A:B,2,0)</f>
        <v>M ONE SCHWARZ GLÄNZED</v>
      </c>
      <c r="J2820" s="75">
        <v>3</v>
      </c>
      <c r="K2820" s="76" t="str">
        <f>VLOOKUP(Tabelle2[[#This Row],[Kunden Nr.]],KUNDEN!A:G,7)</f>
        <v>Mensuri</v>
      </c>
      <c r="L2820" s="76">
        <f>VLOOKUP(Tabelle2[[#This Row],[Artikel]],Produkte!A:H,8)</f>
        <v>0.15</v>
      </c>
    </row>
    <row r="2821" spans="1:12" x14ac:dyDescent="0.2">
      <c r="A2821" s="75" t="s">
        <v>51</v>
      </c>
      <c r="B2821" s="79">
        <v>46136</v>
      </c>
      <c r="C2821" s="75"/>
      <c r="D2821" s="75"/>
      <c r="E2821" s="75"/>
      <c r="F2821" s="75">
        <v>20408</v>
      </c>
      <c r="G2821" s="76" t="str">
        <f>VLOOKUP(Tabelle2[[#This Row],[Kunden Nr.]],KUNDEN!A:B,2,0)</f>
        <v>A.P. HOTI</v>
      </c>
      <c r="H2821" s="75">
        <v>51736</v>
      </c>
      <c r="I2821" s="76" t="str">
        <f>VLOOKUP(Tabelle2[[#This Row],[Artikel]],Produkte!A:B,2,0)</f>
        <v>M ONE SCHWARZ MATT</v>
      </c>
      <c r="J2821" s="75">
        <v>3</v>
      </c>
      <c r="K2821" s="76" t="str">
        <f>VLOOKUP(Tabelle2[[#This Row],[Kunden Nr.]],KUNDEN!A:G,7)</f>
        <v>Mensuri</v>
      </c>
      <c r="L2821" s="76">
        <f>VLOOKUP(Tabelle2[[#This Row],[Artikel]],Produkte!A:H,8)</f>
        <v>0.15</v>
      </c>
    </row>
    <row r="2822" spans="1:12" x14ac:dyDescent="0.2">
      <c r="A2822" s="75" t="s">
        <v>51</v>
      </c>
      <c r="B2822" s="79">
        <v>46136</v>
      </c>
      <c r="C2822" s="75"/>
      <c r="D2822" s="75"/>
      <c r="E2822" s="75"/>
      <c r="F2822" s="75">
        <v>20408</v>
      </c>
      <c r="G2822" s="76" t="str">
        <f>VLOOKUP(Tabelle2[[#This Row],[Kunden Nr.]],KUNDEN!A:B,2,0)</f>
        <v>A.P. HOTI</v>
      </c>
      <c r="H2822" s="75">
        <v>56117</v>
      </c>
      <c r="I2822" s="76" t="str">
        <f>VLOOKUP(Tabelle2[[#This Row],[Artikel]],Produkte!A:B,2,0)</f>
        <v>M ONE UBS</v>
      </c>
      <c r="J2822" s="75">
        <v>3</v>
      </c>
      <c r="K2822" s="76" t="str">
        <f>VLOOKUP(Tabelle2[[#This Row],[Kunden Nr.]],KUNDEN!A:G,7)</f>
        <v>Mensuri</v>
      </c>
      <c r="L2822" s="76">
        <f>VLOOKUP(Tabelle2[[#This Row],[Artikel]],Produkte!A:H,8)</f>
        <v>0.2</v>
      </c>
    </row>
    <row r="2823" spans="1:12" x14ac:dyDescent="0.2">
      <c r="A2823" s="75" t="s">
        <v>53</v>
      </c>
      <c r="B2823" s="79">
        <v>46136</v>
      </c>
      <c r="C2823" s="89">
        <v>184.8</v>
      </c>
      <c r="D2823" s="75"/>
      <c r="E2823" s="75"/>
      <c r="F2823" s="75">
        <v>20407</v>
      </c>
      <c r="G2823" s="76" t="str">
        <f>VLOOKUP(Tabelle2[[#This Row],[Kunden Nr.]],KUNDEN!A:B,2,0)</f>
        <v>TE BENI</v>
      </c>
      <c r="H2823" s="75">
        <v>35111</v>
      </c>
      <c r="I2823" s="76" t="str">
        <f>VLOOKUP(Tabelle2[[#This Row],[Artikel]],Produkte!A:B,2,0)</f>
        <v>M-ONE Sanitar Silikon</v>
      </c>
      <c r="J2823" s="75">
        <v>24</v>
      </c>
      <c r="K2823" s="76" t="str">
        <f>VLOOKUP(Tabelle2[[#This Row],[Kunden Nr.]],KUNDEN!A:G,7)</f>
        <v>Mensuri</v>
      </c>
      <c r="L2823" s="76">
        <f>VLOOKUP(Tabelle2[[#This Row],[Artikel]],Produkte!A:H,8)</f>
        <v>0.17</v>
      </c>
    </row>
    <row r="2824" spans="1:12" x14ac:dyDescent="0.2">
      <c r="A2824" s="75" t="s">
        <v>53</v>
      </c>
      <c r="B2824" s="79">
        <v>46136</v>
      </c>
      <c r="C2824" s="75"/>
      <c r="D2824" s="75"/>
      <c r="E2824" s="75"/>
      <c r="F2824" s="75">
        <v>20407</v>
      </c>
      <c r="G2824" s="76" t="str">
        <f>VLOOKUP(Tabelle2[[#This Row],[Kunden Nr.]],KUNDEN!A:B,2,0)</f>
        <v>TE BENI</v>
      </c>
      <c r="H2824" s="75">
        <v>35112</v>
      </c>
      <c r="I2824" s="76" t="str">
        <f>VLOOKUP(Tabelle2[[#This Row],[Artikel]],Produkte!A:B,2,0)</f>
        <v>M-ONE Sanitar Silikon</v>
      </c>
      <c r="J2824" s="75">
        <v>12</v>
      </c>
      <c r="K2824" s="76" t="str">
        <f>VLOOKUP(Tabelle2[[#This Row],[Kunden Nr.]],KUNDEN!A:G,7)</f>
        <v>Mensuri</v>
      </c>
      <c r="L2824" s="76">
        <f>VLOOKUP(Tabelle2[[#This Row],[Artikel]],Produkte!A:H,8)</f>
        <v>0.17</v>
      </c>
    </row>
    <row r="2825" spans="1:12" x14ac:dyDescent="0.2">
      <c r="A2825" s="75" t="s">
        <v>53</v>
      </c>
      <c r="B2825" s="79">
        <v>46136</v>
      </c>
      <c r="C2825" s="75"/>
      <c r="D2825" s="75"/>
      <c r="E2825" s="75"/>
      <c r="F2825" s="75">
        <v>20407</v>
      </c>
      <c r="G2825" s="76" t="str">
        <f>VLOOKUP(Tabelle2[[#This Row],[Kunden Nr.]],KUNDEN!A:B,2,0)</f>
        <v>TE BENI</v>
      </c>
      <c r="H2825" s="75">
        <v>35113</v>
      </c>
      <c r="I2825" s="76" t="str">
        <f>VLOOKUP(Tabelle2[[#This Row],[Artikel]],Produkte!A:B,2,0)</f>
        <v>M-ONE Sanitar Silikon</v>
      </c>
      <c r="J2825" s="75">
        <v>12</v>
      </c>
      <c r="K2825" s="76" t="str">
        <f>VLOOKUP(Tabelle2[[#This Row],[Kunden Nr.]],KUNDEN!A:G,7)</f>
        <v>Mensuri</v>
      </c>
      <c r="L2825" s="76">
        <f>VLOOKUP(Tabelle2[[#This Row],[Artikel]],Produkte!A:H,8)</f>
        <v>0.17</v>
      </c>
    </row>
    <row r="2826" spans="1:12" x14ac:dyDescent="0.2">
      <c r="A2826" s="75" t="s">
        <v>770</v>
      </c>
      <c r="B2826" s="79">
        <v>46136</v>
      </c>
      <c r="C2826" s="89">
        <v>256</v>
      </c>
      <c r="D2826" s="75"/>
      <c r="E2826" s="75"/>
      <c r="F2826" s="75">
        <v>40003</v>
      </c>
      <c r="G2826" s="76" t="str">
        <f>VLOOKUP(Tabelle2[[#This Row],[Kunden Nr.]],KUNDEN!A:B,2,0)</f>
        <v>ARBENI BIOBLIC</v>
      </c>
      <c r="H2826" s="75">
        <v>20001</v>
      </c>
      <c r="I2826" s="76" t="str">
        <f>VLOOKUP(Tabelle2[[#This Row],[Artikel]],Produkte!A:B,2,0)</f>
        <v>BioBlic Universalreiniger</v>
      </c>
      <c r="J2826" s="75">
        <v>150</v>
      </c>
      <c r="K2826" s="76">
        <f>VLOOKUP(Tabelle2[[#This Row],[Kunden Nr.]],KUNDEN!A:G,7)</f>
        <v>0</v>
      </c>
      <c r="L2826" s="76">
        <f>VLOOKUP(Tabelle2[[#This Row],[Artikel]],Produkte!A:H,8)</f>
        <v>0.30000000000000004</v>
      </c>
    </row>
    <row r="2827" spans="1:12" x14ac:dyDescent="0.2">
      <c r="A2827" s="75" t="s">
        <v>770</v>
      </c>
      <c r="B2827" s="79">
        <v>46136</v>
      </c>
      <c r="C2827" s="75"/>
      <c r="D2827" s="75"/>
      <c r="E2827" s="75"/>
      <c r="F2827" s="75">
        <v>40003</v>
      </c>
      <c r="G2827" s="76" t="str">
        <f>VLOOKUP(Tabelle2[[#This Row],[Kunden Nr.]],KUNDEN!A:B,2,0)</f>
        <v>ARBENI BIOBLIC</v>
      </c>
      <c r="H2827" s="75">
        <v>30275</v>
      </c>
      <c r="I2827" s="76" t="str">
        <f>VLOOKUP(Tabelle2[[#This Row],[Artikel]],Produkte!A:B,2,0)</f>
        <v>Blic Blic Sanitärreiniger</v>
      </c>
      <c r="J2827" s="75">
        <v>40</v>
      </c>
      <c r="K2827" s="76">
        <f>VLOOKUP(Tabelle2[[#This Row],[Kunden Nr.]],KUNDEN!A:G,7)</f>
        <v>0</v>
      </c>
      <c r="L2827" s="76">
        <f>VLOOKUP(Tabelle2[[#This Row],[Artikel]],Produkte!A:H,8)</f>
        <v>0.30000000000000004</v>
      </c>
    </row>
    <row r="2828" spans="1:12" x14ac:dyDescent="0.2">
      <c r="A2828" s="75" t="s">
        <v>770</v>
      </c>
      <c r="B2828" s="79">
        <v>46136</v>
      </c>
      <c r="C2828" s="75"/>
      <c r="D2828" s="75"/>
      <c r="E2828" s="75"/>
      <c r="F2828" s="75">
        <v>40003</v>
      </c>
      <c r="G2828" s="76" t="str">
        <f>VLOOKUP(Tabelle2[[#This Row],[Kunden Nr.]],KUNDEN!A:B,2,0)</f>
        <v>ARBENI BIOBLIC</v>
      </c>
      <c r="H2828" s="75">
        <v>20000</v>
      </c>
      <c r="I2828" s="76" t="str">
        <f>VLOOKUP(Tabelle2[[#This Row],[Artikel]],Produkte!A:B,2,0)</f>
        <v>BioBlic AutoInnenreiniger</v>
      </c>
      <c r="J2828" s="75">
        <v>10</v>
      </c>
      <c r="K2828" s="76">
        <f>VLOOKUP(Tabelle2[[#This Row],[Kunden Nr.]],KUNDEN!A:G,7)</f>
        <v>0</v>
      </c>
      <c r="L2828" s="76">
        <f>VLOOKUP(Tabelle2[[#This Row],[Artikel]],Produkte!A:H,8)</f>
        <v>0.30000000000000004</v>
      </c>
    </row>
    <row r="2829" spans="1:12" x14ac:dyDescent="0.2">
      <c r="A2829" s="75" t="s">
        <v>605</v>
      </c>
      <c r="B2829" s="79">
        <v>46137</v>
      </c>
      <c r="C2829" s="89">
        <v>12</v>
      </c>
      <c r="D2829" s="75"/>
      <c r="E2829" s="75"/>
      <c r="F2829" s="75">
        <v>10613</v>
      </c>
      <c r="G2829" s="76" t="str">
        <f>VLOOKUP(Tabelle2[[#This Row],[Kunden Nr.]],KUNDEN!A:B,2,0)</f>
        <v>TE KELA</v>
      </c>
      <c r="H2829" s="75">
        <v>49644</v>
      </c>
      <c r="I2829" s="76" t="str">
        <f>VLOOKUP(Tabelle2[[#This Row],[Artikel]],Produkte!A:B,2,0)</f>
        <v>beMAKER Rostlöser</v>
      </c>
      <c r="J2829" s="75">
        <v>6</v>
      </c>
      <c r="K2829" s="76" t="str">
        <f>VLOOKUP(Tabelle2[[#This Row],[Kunden Nr.]],KUNDEN!A:G,7)</f>
        <v>Qerimi</v>
      </c>
      <c r="L2829" s="76">
        <f>VLOOKUP(Tabelle2[[#This Row],[Artikel]],Produkte!A:H,8)</f>
        <v>0.2</v>
      </c>
    </row>
    <row r="2830" spans="1:12" x14ac:dyDescent="0.2">
      <c r="A2830" s="75" t="s">
        <v>608</v>
      </c>
      <c r="B2830" s="79">
        <v>46137</v>
      </c>
      <c r="C2830" s="89">
        <v>138.6</v>
      </c>
      <c r="D2830" s="75"/>
      <c r="E2830" s="75"/>
      <c r="F2830" s="75">
        <v>10616</v>
      </c>
      <c r="G2830" s="76" t="str">
        <f>VLOOKUP(Tabelle2[[#This Row],[Kunden Nr.]],KUNDEN!A:B,2,0)</f>
        <v>TE ZENA</v>
      </c>
      <c r="H2830" s="75">
        <v>35121</v>
      </c>
      <c r="I2830" s="76" t="str">
        <f>VLOOKUP(Tabelle2[[#This Row],[Artikel]],Produkte!A:B,2,0)</f>
        <v>M-ONE Sanitar Silikon</v>
      </c>
      <c r="J2830" s="75">
        <v>12</v>
      </c>
      <c r="K2830" s="76" t="str">
        <f>VLOOKUP(Tabelle2[[#This Row],[Kunden Nr.]],KUNDEN!A:G,7)</f>
        <v>Qerimi</v>
      </c>
      <c r="L2830" s="76">
        <f>VLOOKUP(Tabelle2[[#This Row],[Artikel]],Produkte!A:H,8)</f>
        <v>0.17</v>
      </c>
    </row>
    <row r="2831" spans="1:12" x14ac:dyDescent="0.2">
      <c r="A2831" s="75" t="s">
        <v>608</v>
      </c>
      <c r="B2831" s="79">
        <v>46137</v>
      </c>
      <c r="C2831" s="75"/>
      <c r="D2831" s="75"/>
      <c r="E2831" s="75"/>
      <c r="F2831" s="75">
        <v>10616</v>
      </c>
      <c r="G2831" s="76" t="str">
        <f>VLOOKUP(Tabelle2[[#This Row],[Kunden Nr.]],KUNDEN!A:B,2,0)</f>
        <v>TE ZENA</v>
      </c>
      <c r="H2831" s="75">
        <v>35128</v>
      </c>
      <c r="I2831" s="76" t="str">
        <f>VLOOKUP(Tabelle2[[#This Row],[Artikel]],Produkte!A:B,2,0)</f>
        <v>M-ONE Sanitar Silikon</v>
      </c>
      <c r="J2831" s="75">
        <v>12</v>
      </c>
      <c r="K2831" s="76" t="str">
        <f>VLOOKUP(Tabelle2[[#This Row],[Kunden Nr.]],KUNDEN!A:G,7)</f>
        <v>Qerimi</v>
      </c>
      <c r="L2831" s="76">
        <f>VLOOKUP(Tabelle2[[#This Row],[Artikel]],Produkte!A:H,8)</f>
        <v>0.17</v>
      </c>
    </row>
    <row r="2832" spans="1:12" x14ac:dyDescent="0.2">
      <c r="A2832" s="75" t="s">
        <v>608</v>
      </c>
      <c r="B2832" s="79">
        <v>46137</v>
      </c>
      <c r="C2832" s="75"/>
      <c r="D2832" s="75"/>
      <c r="E2832" s="75"/>
      <c r="F2832" s="75">
        <v>10616</v>
      </c>
      <c r="G2832" s="76" t="str">
        <f>VLOOKUP(Tabelle2[[#This Row],[Kunden Nr.]],KUNDEN!A:B,2,0)</f>
        <v>TE ZENA</v>
      </c>
      <c r="H2832" s="75">
        <v>35111</v>
      </c>
      <c r="I2832" s="76" t="str">
        <f>VLOOKUP(Tabelle2[[#This Row],[Artikel]],Produkte!A:B,2,0)</f>
        <v>M-ONE Sanitar Silikon</v>
      </c>
      <c r="J2832" s="75">
        <v>12</v>
      </c>
      <c r="K2832" s="76" t="str">
        <f>VLOOKUP(Tabelle2[[#This Row],[Kunden Nr.]],KUNDEN!A:G,7)</f>
        <v>Qerimi</v>
      </c>
      <c r="L2832" s="76">
        <f>VLOOKUP(Tabelle2[[#This Row],[Artikel]],Produkte!A:H,8)</f>
        <v>0.17</v>
      </c>
    </row>
    <row r="2833" spans="1:12" x14ac:dyDescent="0.2">
      <c r="A2833" s="75" t="s">
        <v>1230</v>
      </c>
      <c r="B2833" s="79">
        <v>46137</v>
      </c>
      <c r="C2833" s="89">
        <v>92.4</v>
      </c>
      <c r="D2833" s="75"/>
      <c r="E2833" s="75"/>
      <c r="F2833" s="75">
        <v>10635</v>
      </c>
      <c r="G2833" s="76" t="e">
        <f>VLOOKUP(Tabelle2[[#This Row],[Kunden Nr.]],KUNDEN!A:B,2,0)</f>
        <v>#N/A</v>
      </c>
      <c r="H2833" s="75">
        <v>35109</v>
      </c>
      <c r="I2833" s="76" t="str">
        <f>VLOOKUP(Tabelle2[[#This Row],[Artikel]],Produkte!A:B,2,0)</f>
        <v>M-ONE Sanitar Silikon</v>
      </c>
      <c r="J2833" s="75">
        <v>12</v>
      </c>
      <c r="K2833" s="76" t="str">
        <f>VLOOKUP(Tabelle2[[#This Row],[Kunden Nr.]],KUNDEN!A:G,7)</f>
        <v>Qerimi</v>
      </c>
      <c r="L2833" s="76">
        <f>VLOOKUP(Tabelle2[[#This Row],[Artikel]],Produkte!A:H,8)</f>
        <v>0.17</v>
      </c>
    </row>
    <row r="2834" spans="1:12" x14ac:dyDescent="0.2">
      <c r="A2834" s="75" t="s">
        <v>1230</v>
      </c>
      <c r="B2834" s="79">
        <v>46137</v>
      </c>
      <c r="C2834" s="75"/>
      <c r="D2834" s="75"/>
      <c r="E2834" s="75"/>
      <c r="F2834" s="75">
        <v>10635</v>
      </c>
      <c r="G2834" s="76" t="e">
        <f>VLOOKUP(Tabelle2[[#This Row],[Kunden Nr.]],KUNDEN!A:B,2,0)</f>
        <v>#N/A</v>
      </c>
      <c r="H2834" s="75">
        <v>35113</v>
      </c>
      <c r="I2834" s="76" t="str">
        <f>VLOOKUP(Tabelle2[[#This Row],[Artikel]],Produkte!A:B,2,0)</f>
        <v>M-ONE Sanitar Silikon</v>
      </c>
      <c r="J2834" s="75">
        <v>12</v>
      </c>
      <c r="K2834" s="76" t="str">
        <f>VLOOKUP(Tabelle2[[#This Row],[Kunden Nr.]],KUNDEN!A:G,7)</f>
        <v>Qerimi</v>
      </c>
      <c r="L2834" s="76">
        <f>VLOOKUP(Tabelle2[[#This Row],[Artikel]],Produkte!A:H,8)</f>
        <v>0.17</v>
      </c>
    </row>
    <row r="2835" spans="1:12" x14ac:dyDescent="0.2">
      <c r="A2835" s="75" t="s">
        <v>454</v>
      </c>
      <c r="B2835" s="79">
        <v>46137</v>
      </c>
      <c r="C2835" s="89">
        <v>37.5</v>
      </c>
      <c r="D2835" s="75"/>
      <c r="E2835" s="75"/>
      <c r="F2835" s="75">
        <v>10622</v>
      </c>
      <c r="G2835" s="76" t="str">
        <f>VLOOKUP(Tabelle2[[#This Row],[Kunden Nr.]],KUNDEN!A:B,2,0)</f>
        <v>HOXHA</v>
      </c>
      <c r="H2835" s="75">
        <v>16936</v>
      </c>
      <c r="I2835" s="76" t="str">
        <f>VLOOKUP(Tabelle2[[#This Row],[Artikel]],Produkte!A:B,2,0)</f>
        <v>M ONE FELGENSILBER</v>
      </c>
      <c r="J2835" s="75">
        <v>2</v>
      </c>
      <c r="K2835" s="76" t="str">
        <f>VLOOKUP(Tabelle2[[#This Row],[Kunden Nr.]],KUNDEN!A:G,7)</f>
        <v>Qerimi</v>
      </c>
      <c r="L2835" s="76">
        <f>VLOOKUP(Tabelle2[[#This Row],[Artikel]],Produkte!A:H,8)</f>
        <v>0.15</v>
      </c>
    </row>
    <row r="2836" spans="1:12" x14ac:dyDescent="0.2">
      <c r="A2836" s="75" t="s">
        <v>454</v>
      </c>
      <c r="B2836" s="79">
        <v>46137</v>
      </c>
      <c r="C2836" s="75"/>
      <c r="D2836" s="75"/>
      <c r="E2836" s="75"/>
      <c r="F2836" s="75">
        <v>10622</v>
      </c>
      <c r="G2836" s="76" t="str">
        <f>VLOOKUP(Tabelle2[[#This Row],[Kunden Nr.]],KUNDEN!A:B,2,0)</f>
        <v>HOXHA</v>
      </c>
      <c r="H2836" s="75">
        <v>31818</v>
      </c>
      <c r="I2836" s="76" t="str">
        <f>VLOOKUP(Tabelle2[[#This Row],[Artikel]],Produkte!A:B,2,0)</f>
        <v>M ONE ANTHRAZIT</v>
      </c>
      <c r="J2836" s="75">
        <v>2</v>
      </c>
      <c r="K2836" s="76" t="str">
        <f>VLOOKUP(Tabelle2[[#This Row],[Kunden Nr.]],KUNDEN!A:G,7)</f>
        <v>Qerimi</v>
      </c>
      <c r="L2836" s="76">
        <f>VLOOKUP(Tabelle2[[#This Row],[Artikel]],Produkte!A:H,8)</f>
        <v>0.15</v>
      </c>
    </row>
    <row r="2837" spans="1:12" x14ac:dyDescent="0.2">
      <c r="A2837" s="75" t="s">
        <v>454</v>
      </c>
      <c r="B2837" s="79">
        <v>46137</v>
      </c>
      <c r="C2837" s="75"/>
      <c r="D2837" s="75"/>
      <c r="E2837" s="75"/>
      <c r="F2837" s="75">
        <v>10622</v>
      </c>
      <c r="G2837" s="76" t="str">
        <f>VLOOKUP(Tabelle2[[#This Row],[Kunden Nr.]],KUNDEN!A:B,2,0)</f>
        <v>HOXHA</v>
      </c>
      <c r="H2837" s="75">
        <v>51936</v>
      </c>
      <c r="I2837" s="76" t="str">
        <f>VLOOKUP(Tabelle2[[#This Row],[Artikel]],Produkte!A:B,2,0)</f>
        <v>M ONE SCHWARZ GLÄNZED</v>
      </c>
      <c r="J2837" s="75">
        <v>2</v>
      </c>
      <c r="K2837" s="76" t="str">
        <f>VLOOKUP(Tabelle2[[#This Row],[Kunden Nr.]],KUNDEN!A:G,7)</f>
        <v>Qerimi</v>
      </c>
      <c r="L2837" s="76">
        <f>VLOOKUP(Tabelle2[[#This Row],[Artikel]],Produkte!A:H,8)</f>
        <v>0.15</v>
      </c>
    </row>
    <row r="2838" spans="1:12" x14ac:dyDescent="0.2">
      <c r="A2838" s="75" t="s">
        <v>454</v>
      </c>
      <c r="B2838" s="79">
        <v>46137</v>
      </c>
      <c r="C2838" s="75"/>
      <c r="D2838" s="75"/>
      <c r="E2838" s="75"/>
      <c r="F2838" s="75">
        <v>10622</v>
      </c>
      <c r="G2838" s="76" t="str">
        <f>VLOOKUP(Tabelle2[[#This Row],[Kunden Nr.]],KUNDEN!A:B,2,0)</f>
        <v>HOXHA</v>
      </c>
      <c r="H2838" s="75">
        <v>56117</v>
      </c>
      <c r="I2838" s="76" t="str">
        <f>VLOOKUP(Tabelle2[[#This Row],[Artikel]],Produkte!A:B,2,0)</f>
        <v>M ONE UBS</v>
      </c>
      <c r="J2838" s="75">
        <v>3</v>
      </c>
      <c r="K2838" s="76" t="str">
        <f>VLOOKUP(Tabelle2[[#This Row],[Kunden Nr.]],KUNDEN!A:G,7)</f>
        <v>Qerimi</v>
      </c>
      <c r="L2838" s="76">
        <f>VLOOKUP(Tabelle2[[#This Row],[Artikel]],Produkte!A:H,8)</f>
        <v>0.2</v>
      </c>
    </row>
    <row r="2839" spans="1:12" x14ac:dyDescent="0.2">
      <c r="A2839" s="75" t="s">
        <v>454</v>
      </c>
      <c r="B2839" s="79">
        <v>46137</v>
      </c>
      <c r="C2839" s="75"/>
      <c r="D2839" s="75"/>
      <c r="E2839" s="75"/>
      <c r="F2839" s="75">
        <v>10622</v>
      </c>
      <c r="G2839" s="76" t="str">
        <f>VLOOKUP(Tabelle2[[#This Row],[Kunden Nr.]],KUNDEN!A:B,2,0)</f>
        <v>HOXHA</v>
      </c>
      <c r="H2839" s="75">
        <v>55718</v>
      </c>
      <c r="I2839" s="76" t="str">
        <f>VLOOKUP(Tabelle2[[#This Row],[Artikel]],Produkte!A:B,2,0)</f>
        <v>M ONE MOTORSTART</v>
      </c>
      <c r="J2839" s="75">
        <v>3</v>
      </c>
      <c r="K2839" s="76" t="str">
        <f>VLOOKUP(Tabelle2[[#This Row],[Kunden Nr.]],KUNDEN!A:G,7)</f>
        <v>Qerimi</v>
      </c>
      <c r="L2839" s="76">
        <f>VLOOKUP(Tabelle2[[#This Row],[Artikel]],Produkte!A:H,8)</f>
        <v>0.2</v>
      </c>
    </row>
    <row r="2840" spans="1:12" x14ac:dyDescent="0.2">
      <c r="A2840" s="75" t="s">
        <v>837</v>
      </c>
      <c r="B2840" s="79">
        <v>46137</v>
      </c>
      <c r="C2840" s="89">
        <v>120</v>
      </c>
      <c r="D2840" s="75"/>
      <c r="E2840" s="75"/>
      <c r="F2840" s="75">
        <v>10625</v>
      </c>
      <c r="G2840" s="76" t="str">
        <f>VLOOKUP(Tabelle2[[#This Row],[Kunden Nr.]],KUNDEN!A:B,2,0)</f>
        <v>KUJTA</v>
      </c>
      <c r="H2840" s="75">
        <v>35115</v>
      </c>
      <c r="I2840" s="76" t="str">
        <f>VLOOKUP(Tabelle2[[#This Row],[Artikel]],Produkte!A:B,2,0)</f>
        <v>M-ONE Sanitar Silikon</v>
      </c>
      <c r="J2840" s="75">
        <v>12</v>
      </c>
      <c r="K2840" s="76" t="str">
        <f>VLOOKUP(Tabelle2[[#This Row],[Kunden Nr.]],KUNDEN!A:G,7)</f>
        <v>Qerimi</v>
      </c>
      <c r="L2840" s="76">
        <f>VLOOKUP(Tabelle2[[#This Row],[Artikel]],Produkte!A:H,8)</f>
        <v>0.17</v>
      </c>
    </row>
    <row r="2841" spans="1:12" x14ac:dyDescent="0.2">
      <c r="A2841" s="75" t="s">
        <v>837</v>
      </c>
      <c r="B2841" s="79">
        <v>46137</v>
      </c>
      <c r="C2841" s="75"/>
      <c r="D2841" s="75"/>
      <c r="E2841" s="75"/>
      <c r="F2841" s="75">
        <v>10625</v>
      </c>
      <c r="G2841" s="76" t="str">
        <f>VLOOKUP(Tabelle2[[#This Row],[Kunden Nr.]],KUNDEN!A:B,2,0)</f>
        <v>KUJTA</v>
      </c>
      <c r="H2841" s="75">
        <v>35113</v>
      </c>
      <c r="I2841" s="76" t="str">
        <f>VLOOKUP(Tabelle2[[#This Row],[Artikel]],Produkte!A:B,2,0)</f>
        <v>M-ONE Sanitar Silikon</v>
      </c>
      <c r="J2841" s="75">
        <v>12</v>
      </c>
      <c r="K2841" s="76" t="str">
        <f>VLOOKUP(Tabelle2[[#This Row],[Kunden Nr.]],KUNDEN!A:G,7)</f>
        <v>Qerimi</v>
      </c>
      <c r="L2841" s="76">
        <f>VLOOKUP(Tabelle2[[#This Row],[Artikel]],Produkte!A:H,8)</f>
        <v>0.17</v>
      </c>
    </row>
    <row r="2842" spans="1:12" x14ac:dyDescent="0.2">
      <c r="A2842" s="75" t="s">
        <v>837</v>
      </c>
      <c r="B2842" s="79">
        <v>46137</v>
      </c>
      <c r="C2842" s="75"/>
      <c r="D2842" s="75"/>
      <c r="E2842" s="75"/>
      <c r="F2842" s="75">
        <v>10625</v>
      </c>
      <c r="G2842" s="76" t="str">
        <f>VLOOKUP(Tabelle2[[#This Row],[Kunden Nr.]],KUNDEN!A:B,2,0)</f>
        <v>KUJTA</v>
      </c>
      <c r="H2842" s="75">
        <v>51612</v>
      </c>
      <c r="I2842" s="76" t="str">
        <f>VLOOKUP(Tabelle2[[#This Row],[Artikel]],Produkte!A:B,2,0)</f>
        <v>struktural akryl</v>
      </c>
      <c r="J2842" s="75">
        <v>12</v>
      </c>
      <c r="K2842" s="76" t="str">
        <f>VLOOKUP(Tabelle2[[#This Row],[Kunden Nr.]],KUNDEN!A:G,7)</f>
        <v>Qerimi</v>
      </c>
      <c r="L2842" s="76">
        <f>VLOOKUP(Tabelle2[[#This Row],[Artikel]],Produkte!A:H,8)</f>
        <v>0.06</v>
      </c>
    </row>
    <row r="2843" spans="1:12" x14ac:dyDescent="0.2">
      <c r="A2843" s="75" t="s">
        <v>440</v>
      </c>
      <c r="B2843" s="79">
        <v>46137</v>
      </c>
      <c r="C2843" s="89">
        <v>277</v>
      </c>
      <c r="D2843" s="75"/>
      <c r="E2843" s="75"/>
      <c r="F2843" s="75">
        <v>20611</v>
      </c>
      <c r="G2843" s="76" t="str">
        <f>VLOOKUP(Tabelle2[[#This Row],[Kunden Nr.]],KUNDEN!A:B,2,0)</f>
        <v>TE-LUTA</v>
      </c>
      <c r="H2843" s="75">
        <v>35115</v>
      </c>
      <c r="I2843" s="76" t="str">
        <f>VLOOKUP(Tabelle2[[#This Row],[Artikel]],Produkte!A:B,2,0)</f>
        <v>M-ONE Sanitar Silikon</v>
      </c>
      <c r="J2843" s="75">
        <v>12</v>
      </c>
      <c r="K2843" s="76" t="str">
        <f>VLOOKUP(Tabelle2[[#This Row],[Kunden Nr.]],KUNDEN!A:G,7)</f>
        <v>Mensuri</v>
      </c>
      <c r="L2843" s="76">
        <f>VLOOKUP(Tabelle2[[#This Row],[Artikel]],Produkte!A:H,8)</f>
        <v>0.17</v>
      </c>
    </row>
    <row r="2844" spans="1:12" x14ac:dyDescent="0.2">
      <c r="A2844" s="75" t="s">
        <v>440</v>
      </c>
      <c r="B2844" s="79">
        <v>46137</v>
      </c>
      <c r="C2844" s="75"/>
      <c r="D2844" s="75"/>
      <c r="E2844" s="75"/>
      <c r="F2844" s="75">
        <v>20611</v>
      </c>
      <c r="G2844" s="76" t="str">
        <f>VLOOKUP(Tabelle2[[#This Row],[Kunden Nr.]],KUNDEN!A:B,2,0)</f>
        <v>TE-LUTA</v>
      </c>
      <c r="H2844" s="75">
        <v>35111</v>
      </c>
      <c r="I2844" s="76" t="str">
        <f>VLOOKUP(Tabelle2[[#This Row],[Artikel]],Produkte!A:B,2,0)</f>
        <v>M-ONE Sanitar Silikon</v>
      </c>
      <c r="J2844" s="75">
        <v>12</v>
      </c>
      <c r="K2844" s="76" t="str">
        <f>VLOOKUP(Tabelle2[[#This Row],[Kunden Nr.]],KUNDEN!A:G,7)</f>
        <v>Mensuri</v>
      </c>
      <c r="L2844" s="76">
        <f>VLOOKUP(Tabelle2[[#This Row],[Artikel]],Produkte!A:H,8)</f>
        <v>0.17</v>
      </c>
    </row>
    <row r="2845" spans="1:12" x14ac:dyDescent="0.2">
      <c r="A2845" s="75" t="s">
        <v>440</v>
      </c>
      <c r="B2845" s="79">
        <v>46137</v>
      </c>
      <c r="C2845" s="75"/>
      <c r="D2845" s="75"/>
      <c r="E2845" s="75"/>
      <c r="F2845" s="75">
        <v>20611</v>
      </c>
      <c r="G2845" s="76" t="str">
        <f>VLOOKUP(Tabelle2[[#This Row],[Kunden Nr.]],KUNDEN!A:B,2,0)</f>
        <v>TE-LUTA</v>
      </c>
      <c r="H2845" s="75">
        <v>35114</v>
      </c>
      <c r="I2845" s="76" t="str">
        <f>VLOOKUP(Tabelle2[[#This Row],[Artikel]],Produkte!A:B,2,0)</f>
        <v>M-ONE Sanitar Silikon</v>
      </c>
      <c r="J2845" s="75">
        <v>12</v>
      </c>
      <c r="K2845" s="76" t="str">
        <f>VLOOKUP(Tabelle2[[#This Row],[Kunden Nr.]],KUNDEN!A:G,7)</f>
        <v>Mensuri</v>
      </c>
      <c r="L2845" s="76">
        <f>VLOOKUP(Tabelle2[[#This Row],[Artikel]],Produkte!A:H,8)</f>
        <v>0.17</v>
      </c>
    </row>
    <row r="2846" spans="1:12" x14ac:dyDescent="0.2">
      <c r="A2846" s="75" t="s">
        <v>440</v>
      </c>
      <c r="B2846" s="79">
        <v>46137</v>
      </c>
      <c r="C2846" s="75"/>
      <c r="D2846" s="75"/>
      <c r="E2846" s="75"/>
      <c r="F2846" s="75">
        <v>20611</v>
      </c>
      <c r="G2846" s="76" t="str">
        <f>VLOOKUP(Tabelle2[[#This Row],[Kunden Nr.]],KUNDEN!A:B,2,0)</f>
        <v>TE-LUTA</v>
      </c>
      <c r="H2846" s="75">
        <v>35110</v>
      </c>
      <c r="I2846" s="76" t="str">
        <f>VLOOKUP(Tabelle2[[#This Row],[Artikel]],Produkte!A:B,2,0)</f>
        <v>M-ONE Sanitar Silikon</v>
      </c>
      <c r="J2846" s="75">
        <v>12</v>
      </c>
      <c r="K2846" s="76" t="str">
        <f>VLOOKUP(Tabelle2[[#This Row],[Kunden Nr.]],KUNDEN!A:G,7)</f>
        <v>Mensuri</v>
      </c>
      <c r="L2846" s="76">
        <f>VLOOKUP(Tabelle2[[#This Row],[Artikel]],Produkte!A:H,8)</f>
        <v>0.17</v>
      </c>
    </row>
    <row r="2847" spans="1:12" x14ac:dyDescent="0.2">
      <c r="A2847" s="75" t="s">
        <v>440</v>
      </c>
      <c r="B2847" s="79">
        <v>46137</v>
      </c>
      <c r="C2847" s="75"/>
      <c r="D2847" s="75"/>
      <c r="E2847" s="75"/>
      <c r="F2847" s="75">
        <v>20611</v>
      </c>
      <c r="G2847" s="76" t="str">
        <f>VLOOKUP(Tabelle2[[#This Row],[Kunden Nr.]],KUNDEN!A:B,2,0)</f>
        <v>TE-LUTA</v>
      </c>
      <c r="H2847" s="75">
        <v>35109</v>
      </c>
      <c r="I2847" s="76" t="str">
        <f>VLOOKUP(Tabelle2[[#This Row],[Artikel]],Produkte!A:B,2,0)</f>
        <v>M-ONE Sanitar Silikon</v>
      </c>
      <c r="J2847" s="75">
        <v>12</v>
      </c>
      <c r="K2847" s="76" t="str">
        <f>VLOOKUP(Tabelle2[[#This Row],[Kunden Nr.]],KUNDEN!A:G,7)</f>
        <v>Mensuri</v>
      </c>
      <c r="L2847" s="76">
        <f>VLOOKUP(Tabelle2[[#This Row],[Artikel]],Produkte!A:H,8)</f>
        <v>0.17</v>
      </c>
    </row>
    <row r="2848" spans="1:12" x14ac:dyDescent="0.2">
      <c r="A2848" s="75" t="s">
        <v>440</v>
      </c>
      <c r="B2848" s="79">
        <v>46137</v>
      </c>
      <c r="C2848" s="75"/>
      <c r="D2848" s="75"/>
      <c r="E2848" s="75"/>
      <c r="F2848" s="75">
        <v>20611</v>
      </c>
      <c r="G2848" s="76" t="str">
        <f>VLOOKUP(Tabelle2[[#This Row],[Kunden Nr.]],KUNDEN!A:B,2,0)</f>
        <v>TE-LUTA</v>
      </c>
      <c r="H2848" s="75">
        <v>35121</v>
      </c>
      <c r="I2848" s="76" t="str">
        <f>VLOOKUP(Tabelle2[[#This Row],[Artikel]],Produkte!A:B,2,0)</f>
        <v>M-ONE Sanitar Silikon</v>
      </c>
      <c r="J2848" s="75">
        <v>12</v>
      </c>
      <c r="K2848" s="76" t="str">
        <f>VLOOKUP(Tabelle2[[#This Row],[Kunden Nr.]],KUNDEN!A:G,7)</f>
        <v>Mensuri</v>
      </c>
      <c r="L2848" s="76">
        <f>VLOOKUP(Tabelle2[[#This Row],[Artikel]],Produkte!A:H,8)</f>
        <v>0.17</v>
      </c>
    </row>
    <row r="2849" spans="1:12" x14ac:dyDescent="0.2">
      <c r="A2849" s="75" t="s">
        <v>440</v>
      </c>
      <c r="B2849" s="79">
        <v>46137</v>
      </c>
      <c r="C2849" s="75"/>
      <c r="D2849" s="75"/>
      <c r="E2849" s="75"/>
      <c r="F2849" s="75">
        <v>20611</v>
      </c>
      <c r="G2849" s="76" t="str">
        <f>VLOOKUP(Tabelle2[[#This Row],[Kunden Nr.]],KUNDEN!A:B,2,0)</f>
        <v>TE-LUTA</v>
      </c>
      <c r="H2849" s="75">
        <v>35121</v>
      </c>
      <c r="I2849" s="76" t="str">
        <f>VLOOKUP(Tabelle2[[#This Row],[Artikel]],Produkte!A:B,2,0)</f>
        <v>M-ONE Sanitar Silikon</v>
      </c>
      <c r="J2849" s="75">
        <v>24</v>
      </c>
      <c r="K2849" s="76" t="str">
        <f>VLOOKUP(Tabelle2[[#This Row],[Kunden Nr.]],KUNDEN!A:G,7)</f>
        <v>Mensuri</v>
      </c>
      <c r="L2849" s="76">
        <f>VLOOKUP(Tabelle2[[#This Row],[Artikel]],Produkte!A:H,8)</f>
        <v>0.17</v>
      </c>
    </row>
    <row r="2850" spans="1:12" x14ac:dyDescent="0.2">
      <c r="A2850" s="75" t="s">
        <v>440</v>
      </c>
      <c r="B2850" s="79">
        <v>46137</v>
      </c>
      <c r="C2850" s="75"/>
      <c r="D2850" s="75"/>
      <c r="E2850" s="75"/>
      <c r="F2850" s="75">
        <v>20611</v>
      </c>
      <c r="G2850" s="76" t="str">
        <f>VLOOKUP(Tabelle2[[#This Row],[Kunden Nr.]],KUNDEN!A:B,2,0)</f>
        <v>TE-LUTA</v>
      </c>
      <c r="H2850" s="75">
        <v>66701</v>
      </c>
      <c r="I2850" s="76" t="str">
        <f>VLOOKUP(Tabelle2[[#This Row],[Artikel]],Produkte!A:B,2,0)</f>
        <v>PROFIMONT EXTREME</v>
      </c>
      <c r="J2850" s="75">
        <v>12</v>
      </c>
      <c r="K2850" s="76" t="str">
        <f>VLOOKUP(Tabelle2[[#This Row],[Kunden Nr.]],KUNDEN!A:G,7)</f>
        <v>Mensuri</v>
      </c>
      <c r="L2850" s="76">
        <f>VLOOKUP(Tabelle2[[#This Row],[Artikel]],Produkte!A:H,8)</f>
        <v>0.2</v>
      </c>
    </row>
    <row r="2851" spans="1:12" x14ac:dyDescent="0.2">
      <c r="A2851" s="75" t="s">
        <v>430</v>
      </c>
      <c r="B2851" s="79">
        <v>46137</v>
      </c>
      <c r="C2851" s="89">
        <v>153.6</v>
      </c>
      <c r="D2851" s="75"/>
      <c r="E2851" s="75"/>
      <c r="F2851" s="75">
        <v>20602</v>
      </c>
      <c r="G2851" s="76" t="str">
        <f>VLOOKUP(Tabelle2[[#This Row],[Kunden Nr.]],KUNDEN!A:B,2,0)</f>
        <v>AGROLONDI</v>
      </c>
      <c r="H2851" s="75">
        <v>35109</v>
      </c>
      <c r="I2851" s="76" t="str">
        <f>VLOOKUP(Tabelle2[[#This Row],[Artikel]],Produkte!A:B,2,0)</f>
        <v>M-ONE Sanitar Silikon</v>
      </c>
      <c r="J2851" s="75">
        <v>12</v>
      </c>
      <c r="K2851" s="76" t="str">
        <f>VLOOKUP(Tabelle2[[#This Row],[Kunden Nr.]],KUNDEN!A:G,7)</f>
        <v>Mensuri</v>
      </c>
      <c r="L2851" s="76">
        <f>VLOOKUP(Tabelle2[[#This Row],[Artikel]],Produkte!A:H,8)</f>
        <v>0.17</v>
      </c>
    </row>
    <row r="2852" spans="1:12" x14ac:dyDescent="0.2">
      <c r="A2852" s="75" t="s">
        <v>430</v>
      </c>
      <c r="B2852" s="79">
        <v>46137</v>
      </c>
      <c r="C2852" s="75"/>
      <c r="D2852" s="75"/>
      <c r="E2852" s="75"/>
      <c r="F2852" s="75">
        <v>20602</v>
      </c>
      <c r="G2852" s="76" t="str">
        <f>VLOOKUP(Tabelle2[[#This Row],[Kunden Nr.]],KUNDEN!A:B,2,0)</f>
        <v>AGROLONDI</v>
      </c>
      <c r="H2852" s="75">
        <v>35128</v>
      </c>
      <c r="I2852" s="76" t="str">
        <f>VLOOKUP(Tabelle2[[#This Row],[Artikel]],Produkte!A:B,2,0)</f>
        <v>M-ONE Sanitar Silikon</v>
      </c>
      <c r="J2852" s="75">
        <v>12</v>
      </c>
      <c r="K2852" s="76" t="str">
        <f>VLOOKUP(Tabelle2[[#This Row],[Kunden Nr.]],KUNDEN!A:G,7)</f>
        <v>Mensuri</v>
      </c>
      <c r="L2852" s="76">
        <f>VLOOKUP(Tabelle2[[#This Row],[Artikel]],Produkte!A:H,8)</f>
        <v>0.17</v>
      </c>
    </row>
    <row r="2853" spans="1:12" x14ac:dyDescent="0.2">
      <c r="A2853" s="75" t="s">
        <v>430</v>
      </c>
      <c r="B2853" s="79">
        <v>46137</v>
      </c>
      <c r="C2853" s="75"/>
      <c r="D2853" s="75"/>
      <c r="E2853" s="75"/>
      <c r="F2853" s="75">
        <v>20602</v>
      </c>
      <c r="G2853" s="76" t="str">
        <f>VLOOKUP(Tabelle2[[#This Row],[Kunden Nr.]],KUNDEN!A:B,2,0)</f>
        <v>AGROLONDI</v>
      </c>
      <c r="H2853" s="75">
        <v>35113</v>
      </c>
      <c r="I2853" s="76" t="str">
        <f>VLOOKUP(Tabelle2[[#This Row],[Artikel]],Produkte!A:B,2,0)</f>
        <v>M-ONE Sanitar Silikon</v>
      </c>
      <c r="J2853" s="75">
        <v>12</v>
      </c>
      <c r="K2853" s="76" t="str">
        <f>VLOOKUP(Tabelle2[[#This Row],[Kunden Nr.]],KUNDEN!A:G,7)</f>
        <v>Mensuri</v>
      </c>
      <c r="L2853" s="76">
        <f>VLOOKUP(Tabelle2[[#This Row],[Artikel]],Produkte!A:H,8)</f>
        <v>0.17</v>
      </c>
    </row>
    <row r="2854" spans="1:12" x14ac:dyDescent="0.2">
      <c r="A2854" s="75" t="s">
        <v>430</v>
      </c>
      <c r="B2854" s="79">
        <v>46137</v>
      </c>
      <c r="C2854" s="75"/>
      <c r="D2854" s="75"/>
      <c r="E2854" s="75"/>
      <c r="F2854" s="75">
        <v>20602</v>
      </c>
      <c r="G2854" s="76" t="str">
        <f>VLOOKUP(Tabelle2[[#This Row],[Kunden Nr.]],KUNDEN!A:B,2,0)</f>
        <v>AGROLONDI</v>
      </c>
      <c r="H2854" s="75">
        <v>51611</v>
      </c>
      <c r="I2854" s="76" t="str">
        <f>VLOOKUP(Tabelle2[[#This Row],[Artikel]],Produkte!A:B,2,0)</f>
        <v>universal akryl</v>
      </c>
      <c r="J2854" s="75">
        <v>12</v>
      </c>
      <c r="K2854" s="76" t="str">
        <f>VLOOKUP(Tabelle2[[#This Row],[Kunden Nr.]],KUNDEN!A:G,7)</f>
        <v>Mensuri</v>
      </c>
      <c r="L2854" s="76">
        <f>VLOOKUP(Tabelle2[[#This Row],[Artikel]],Produkte!A:H,8)</f>
        <v>0.06</v>
      </c>
    </row>
    <row r="2855" spans="1:12" x14ac:dyDescent="0.2">
      <c r="A2855" s="75" t="s">
        <v>1009</v>
      </c>
      <c r="B2855" s="79">
        <v>46137</v>
      </c>
      <c r="C2855" s="89">
        <v>162</v>
      </c>
      <c r="D2855" s="75"/>
      <c r="E2855" s="75"/>
      <c r="F2855" s="75">
        <v>20623</v>
      </c>
      <c r="G2855" s="76" t="str">
        <f>VLOOKUP(Tabelle2[[#This Row],[Kunden Nr.]],KUNDEN!A:B,2,0)</f>
        <v>LTI</v>
      </c>
      <c r="H2855" s="75">
        <v>35111</v>
      </c>
      <c r="I2855" s="76" t="str">
        <f>VLOOKUP(Tabelle2[[#This Row],[Artikel]],Produkte!A:B,2,0)</f>
        <v>M-ONE Sanitar Silikon</v>
      </c>
      <c r="J2855" s="75">
        <v>12</v>
      </c>
      <c r="K2855" s="76" t="str">
        <f>VLOOKUP(Tabelle2[[#This Row],[Kunden Nr.]],KUNDEN!A:G,7)</f>
        <v>Mensuri</v>
      </c>
      <c r="L2855" s="76">
        <f>VLOOKUP(Tabelle2[[#This Row],[Artikel]],Produkte!A:H,8)</f>
        <v>0.17</v>
      </c>
    </row>
    <row r="2856" spans="1:12" x14ac:dyDescent="0.2">
      <c r="A2856" s="75" t="s">
        <v>1009</v>
      </c>
      <c r="B2856" s="79">
        <v>46137</v>
      </c>
      <c r="C2856" s="75"/>
      <c r="D2856" s="75"/>
      <c r="E2856" s="75"/>
      <c r="F2856" s="75">
        <v>20623</v>
      </c>
      <c r="G2856" s="76" t="str">
        <f>VLOOKUP(Tabelle2[[#This Row],[Kunden Nr.]],KUNDEN!A:B,2,0)</f>
        <v>LTI</v>
      </c>
      <c r="H2856" s="75">
        <v>35119</v>
      </c>
      <c r="I2856" s="76" t="str">
        <f>VLOOKUP(Tabelle2[[#This Row],[Artikel]],Produkte!A:B,2,0)</f>
        <v>M-ONE Sanitar Silikon</v>
      </c>
      <c r="J2856" s="75">
        <v>12</v>
      </c>
      <c r="K2856" s="76" t="str">
        <f>VLOOKUP(Tabelle2[[#This Row],[Kunden Nr.]],KUNDEN!A:G,7)</f>
        <v>Mensuri</v>
      </c>
      <c r="L2856" s="76">
        <f>VLOOKUP(Tabelle2[[#This Row],[Artikel]],Produkte!A:H,8)</f>
        <v>0.17</v>
      </c>
    </row>
    <row r="2857" spans="1:12" x14ac:dyDescent="0.2">
      <c r="A2857" s="75" t="s">
        <v>1009</v>
      </c>
      <c r="B2857" s="79">
        <v>46137</v>
      </c>
      <c r="C2857" s="75"/>
      <c r="D2857" s="75"/>
      <c r="E2857" s="75"/>
      <c r="F2857" s="75">
        <v>20623</v>
      </c>
      <c r="G2857" s="76" t="str">
        <f>VLOOKUP(Tabelle2[[#This Row],[Kunden Nr.]],KUNDEN!A:B,2,0)</f>
        <v>LTI</v>
      </c>
      <c r="H2857" s="75">
        <v>66701</v>
      </c>
      <c r="I2857" s="76" t="str">
        <f>VLOOKUP(Tabelle2[[#This Row],[Artikel]],Produkte!A:B,2,0)</f>
        <v>PROFIMONT EXTREME</v>
      </c>
      <c r="J2857" s="75">
        <v>12</v>
      </c>
      <c r="K2857" s="76" t="str">
        <f>VLOOKUP(Tabelle2[[#This Row],[Kunden Nr.]],KUNDEN!A:G,7)</f>
        <v>Mensuri</v>
      </c>
      <c r="L2857" s="76">
        <f>VLOOKUP(Tabelle2[[#This Row],[Artikel]],Produkte!A:H,8)</f>
        <v>0.2</v>
      </c>
    </row>
    <row r="2858" spans="1:12" x14ac:dyDescent="0.2">
      <c r="A2858" s="75" t="s">
        <v>1305</v>
      </c>
      <c r="B2858" s="79">
        <v>46137</v>
      </c>
      <c r="C2858" s="89">
        <v>138.6</v>
      </c>
      <c r="D2858" s="75"/>
      <c r="E2858" s="75"/>
      <c r="F2858" s="75">
        <v>20622</v>
      </c>
      <c r="G2858" s="76" t="str">
        <f>VLOOKUP(Tabelle2[[#This Row],[Kunden Nr.]],KUNDEN!A:B,2,0)</f>
        <v>ILIRI QERAMIKA</v>
      </c>
      <c r="H2858" s="75">
        <v>35109</v>
      </c>
      <c r="I2858" s="76" t="str">
        <f>VLOOKUP(Tabelle2[[#This Row],[Artikel]],Produkte!A:B,2,0)</f>
        <v>M-ONE Sanitar Silikon</v>
      </c>
      <c r="J2858" s="75">
        <v>12</v>
      </c>
      <c r="K2858" s="76" t="str">
        <f>VLOOKUP(Tabelle2[[#This Row],[Kunden Nr.]],KUNDEN!A:G,7)</f>
        <v>Mensuri</v>
      </c>
      <c r="L2858" s="76">
        <f>VLOOKUP(Tabelle2[[#This Row],[Artikel]],Produkte!A:H,8)</f>
        <v>0.17</v>
      </c>
    </row>
    <row r="2859" spans="1:12" x14ac:dyDescent="0.2">
      <c r="A2859" s="75" t="s">
        <v>1305</v>
      </c>
      <c r="B2859" s="79">
        <v>46137</v>
      </c>
      <c r="C2859" s="75"/>
      <c r="D2859" s="75"/>
      <c r="E2859" s="75"/>
      <c r="F2859" s="75">
        <v>20622</v>
      </c>
      <c r="G2859" s="76" t="str">
        <f>VLOOKUP(Tabelle2[[#This Row],[Kunden Nr.]],KUNDEN!A:B,2,0)</f>
        <v>ILIRI QERAMIKA</v>
      </c>
      <c r="H2859" s="75">
        <v>35113</v>
      </c>
      <c r="I2859" s="76" t="str">
        <f>VLOOKUP(Tabelle2[[#This Row],[Artikel]],Produkte!A:B,2,0)</f>
        <v>M-ONE Sanitar Silikon</v>
      </c>
      <c r="J2859" s="75">
        <v>12</v>
      </c>
      <c r="K2859" s="76" t="str">
        <f>VLOOKUP(Tabelle2[[#This Row],[Kunden Nr.]],KUNDEN!A:G,7)</f>
        <v>Mensuri</v>
      </c>
      <c r="L2859" s="76">
        <f>VLOOKUP(Tabelle2[[#This Row],[Artikel]],Produkte!A:H,8)</f>
        <v>0.17</v>
      </c>
    </row>
    <row r="2860" spans="1:12" x14ac:dyDescent="0.2">
      <c r="A2860" s="75" t="s">
        <v>1305</v>
      </c>
      <c r="B2860" s="79">
        <v>46137</v>
      </c>
      <c r="C2860" s="75"/>
      <c r="D2860" s="75"/>
      <c r="E2860" s="75"/>
      <c r="F2860" s="75">
        <v>20622</v>
      </c>
      <c r="G2860" s="76" t="str">
        <f>VLOOKUP(Tabelle2[[#This Row],[Kunden Nr.]],KUNDEN!A:B,2,0)</f>
        <v>ILIRI QERAMIKA</v>
      </c>
      <c r="H2860" s="75">
        <v>35121</v>
      </c>
      <c r="I2860" s="76" t="str">
        <f>VLOOKUP(Tabelle2[[#This Row],[Artikel]],Produkte!A:B,2,0)</f>
        <v>M-ONE Sanitar Silikon</v>
      </c>
      <c r="J2860" s="75">
        <v>12</v>
      </c>
      <c r="K2860" s="76" t="str">
        <f>VLOOKUP(Tabelle2[[#This Row],[Kunden Nr.]],KUNDEN!A:G,7)</f>
        <v>Mensuri</v>
      </c>
      <c r="L2860" s="76">
        <f>VLOOKUP(Tabelle2[[#This Row],[Artikel]],Produkte!A:H,8)</f>
        <v>0.17</v>
      </c>
    </row>
    <row r="2861" spans="1:12" x14ac:dyDescent="0.2">
      <c r="A2861" s="75" t="s">
        <v>1261</v>
      </c>
      <c r="B2861" s="79">
        <v>46137</v>
      </c>
      <c r="C2861" s="89">
        <v>92.4</v>
      </c>
      <c r="D2861" s="75"/>
      <c r="E2861" s="75"/>
      <c r="F2861" s="75">
        <v>20631</v>
      </c>
      <c r="G2861" s="76" t="str">
        <f>VLOOKUP(Tabelle2[[#This Row],[Kunden Nr.]],KUNDEN!A:B,2,0)</f>
        <v>ALMIRI QERAMIKA</v>
      </c>
      <c r="H2861" s="75">
        <v>35109</v>
      </c>
      <c r="I2861" s="76" t="str">
        <f>VLOOKUP(Tabelle2[[#This Row],[Artikel]],Produkte!A:B,2,0)</f>
        <v>M-ONE Sanitar Silikon</v>
      </c>
      <c r="J2861" s="75">
        <v>12</v>
      </c>
      <c r="K2861" s="76" t="str">
        <f>VLOOKUP(Tabelle2[[#This Row],[Kunden Nr.]],KUNDEN!A:G,7)</f>
        <v>Mensuri</v>
      </c>
      <c r="L2861" s="76">
        <f>VLOOKUP(Tabelle2[[#This Row],[Artikel]],Produkte!A:H,8)</f>
        <v>0.17</v>
      </c>
    </row>
    <row r="2862" spans="1:12" x14ac:dyDescent="0.2">
      <c r="A2862" s="75" t="s">
        <v>1261</v>
      </c>
      <c r="B2862" s="79">
        <v>46137</v>
      </c>
      <c r="C2862" s="75"/>
      <c r="D2862" s="75"/>
      <c r="E2862" s="75"/>
      <c r="F2862" s="75">
        <v>20631</v>
      </c>
      <c r="G2862" s="76" t="str">
        <f>VLOOKUP(Tabelle2[[#This Row],[Kunden Nr.]],KUNDEN!A:B,2,0)</f>
        <v>ALMIRI QERAMIKA</v>
      </c>
      <c r="H2862" s="75">
        <v>35121</v>
      </c>
      <c r="I2862" s="76" t="str">
        <f>VLOOKUP(Tabelle2[[#This Row],[Artikel]],Produkte!A:B,2,0)</f>
        <v>M-ONE Sanitar Silikon</v>
      </c>
      <c r="J2862" s="75">
        <v>12</v>
      </c>
      <c r="K2862" s="76" t="str">
        <f>VLOOKUP(Tabelle2[[#This Row],[Kunden Nr.]],KUNDEN!A:G,7)</f>
        <v>Mensuri</v>
      </c>
      <c r="L2862" s="76">
        <f>VLOOKUP(Tabelle2[[#This Row],[Artikel]],Produkte!A:H,8)</f>
        <v>0.17</v>
      </c>
    </row>
    <row r="2863" spans="1:12" x14ac:dyDescent="0.2">
      <c r="A2863" s="75" t="s">
        <v>1264</v>
      </c>
      <c r="B2863" s="79">
        <v>46137</v>
      </c>
      <c r="C2863" s="89">
        <v>92.4</v>
      </c>
      <c r="D2863" s="75"/>
      <c r="E2863" s="75"/>
      <c r="F2863" s="75">
        <v>20633</v>
      </c>
      <c r="G2863" s="76" t="str">
        <f>VLOOKUP(Tabelle2[[#This Row],[Kunden Nr.]],KUNDEN!A:B,2,0)</f>
        <v>ORCA</v>
      </c>
      <c r="H2863" s="75">
        <v>35109</v>
      </c>
      <c r="I2863" s="76" t="str">
        <f>VLOOKUP(Tabelle2[[#This Row],[Artikel]],Produkte!A:B,2,0)</f>
        <v>M-ONE Sanitar Silikon</v>
      </c>
      <c r="J2863" s="75">
        <v>12</v>
      </c>
      <c r="K2863" s="76" t="str">
        <f>VLOOKUP(Tabelle2[[#This Row],[Kunden Nr.]],KUNDEN!A:G,7)</f>
        <v>Mensuri</v>
      </c>
      <c r="L2863" s="76">
        <f>VLOOKUP(Tabelle2[[#This Row],[Artikel]],Produkte!A:H,8)</f>
        <v>0.17</v>
      </c>
    </row>
    <row r="2864" spans="1:12" x14ac:dyDescent="0.2">
      <c r="A2864" s="75" t="s">
        <v>1264</v>
      </c>
      <c r="B2864" s="79">
        <v>46137</v>
      </c>
      <c r="C2864" s="75"/>
      <c r="D2864" s="75"/>
      <c r="E2864" s="75"/>
      <c r="F2864" s="75">
        <v>20633</v>
      </c>
      <c r="G2864" s="76" t="str">
        <f>VLOOKUP(Tabelle2[[#This Row],[Kunden Nr.]],KUNDEN!A:B,2,0)</f>
        <v>ORCA</v>
      </c>
      <c r="H2864" s="75">
        <v>35115</v>
      </c>
      <c r="I2864" s="76" t="str">
        <f>VLOOKUP(Tabelle2[[#This Row],[Artikel]],Produkte!A:B,2,0)</f>
        <v>M-ONE Sanitar Silikon</v>
      </c>
      <c r="J2864" s="75">
        <v>12</v>
      </c>
      <c r="K2864" s="76" t="str">
        <f>VLOOKUP(Tabelle2[[#This Row],[Kunden Nr.]],KUNDEN!A:G,7)</f>
        <v>Mensuri</v>
      </c>
      <c r="L2864" s="76">
        <f>VLOOKUP(Tabelle2[[#This Row],[Artikel]],Produkte!A:H,8)</f>
        <v>0.17</v>
      </c>
    </row>
    <row r="2865" spans="1:12" x14ac:dyDescent="0.2">
      <c r="A2865" s="75" t="s">
        <v>1171</v>
      </c>
      <c r="B2865" s="79">
        <v>46137</v>
      </c>
      <c r="C2865" s="89">
        <v>231</v>
      </c>
      <c r="D2865" s="75"/>
      <c r="E2865" s="75"/>
      <c r="F2865" s="75">
        <v>20627</v>
      </c>
      <c r="G2865" s="76" t="str">
        <f>VLOOKUP(Tabelle2[[#This Row],[Kunden Nr.]],KUNDEN!A:B,2,0)</f>
        <v>UNIKA</v>
      </c>
      <c r="H2865" s="75">
        <v>35108</v>
      </c>
      <c r="I2865" s="76" t="str">
        <f>VLOOKUP(Tabelle2[[#This Row],[Artikel]],Produkte!A:B,2,0)</f>
        <v>M-ONE Sanitar Silikon</v>
      </c>
      <c r="J2865" s="75">
        <v>12</v>
      </c>
      <c r="K2865" s="76" t="str">
        <f>VLOOKUP(Tabelle2[[#This Row],[Kunden Nr.]],KUNDEN!A:G,7)</f>
        <v>Mensuri</v>
      </c>
      <c r="L2865" s="76">
        <f>VLOOKUP(Tabelle2[[#This Row],[Artikel]],Produkte!A:H,8)</f>
        <v>0.17</v>
      </c>
    </row>
    <row r="2866" spans="1:12" x14ac:dyDescent="0.2">
      <c r="A2866" s="75" t="s">
        <v>1171</v>
      </c>
      <c r="B2866" s="79">
        <v>46137</v>
      </c>
      <c r="C2866" s="75"/>
      <c r="D2866" s="75"/>
      <c r="E2866" s="75"/>
      <c r="F2866" s="75">
        <v>20627</v>
      </c>
      <c r="G2866" s="76" t="str">
        <f>VLOOKUP(Tabelle2[[#This Row],[Kunden Nr.]],KUNDEN!A:B,2,0)</f>
        <v>UNIKA</v>
      </c>
      <c r="H2866" s="75">
        <v>35109</v>
      </c>
      <c r="I2866" s="76" t="str">
        <f>VLOOKUP(Tabelle2[[#This Row],[Artikel]],Produkte!A:B,2,0)</f>
        <v>M-ONE Sanitar Silikon</v>
      </c>
      <c r="J2866" s="75">
        <v>12</v>
      </c>
      <c r="K2866" s="76" t="str">
        <f>VLOOKUP(Tabelle2[[#This Row],[Kunden Nr.]],KUNDEN!A:G,7)</f>
        <v>Mensuri</v>
      </c>
      <c r="L2866" s="76">
        <f>VLOOKUP(Tabelle2[[#This Row],[Artikel]],Produkte!A:H,8)</f>
        <v>0.17</v>
      </c>
    </row>
    <row r="2867" spans="1:12" x14ac:dyDescent="0.2">
      <c r="A2867" s="75" t="s">
        <v>1171</v>
      </c>
      <c r="B2867" s="79">
        <v>46137</v>
      </c>
      <c r="C2867" s="75"/>
      <c r="D2867" s="75"/>
      <c r="E2867" s="75"/>
      <c r="F2867" s="75">
        <v>20627</v>
      </c>
      <c r="G2867" s="76" t="str">
        <f>VLOOKUP(Tabelle2[[#This Row],[Kunden Nr.]],KUNDEN!A:B,2,0)</f>
        <v>UNIKA</v>
      </c>
      <c r="H2867" s="75">
        <v>35113</v>
      </c>
      <c r="I2867" s="76" t="str">
        <f>VLOOKUP(Tabelle2[[#This Row],[Artikel]],Produkte!A:B,2,0)</f>
        <v>M-ONE Sanitar Silikon</v>
      </c>
      <c r="J2867" s="75">
        <v>12</v>
      </c>
      <c r="K2867" s="76" t="str">
        <f>VLOOKUP(Tabelle2[[#This Row],[Kunden Nr.]],KUNDEN!A:G,7)</f>
        <v>Mensuri</v>
      </c>
      <c r="L2867" s="76">
        <f>VLOOKUP(Tabelle2[[#This Row],[Artikel]],Produkte!A:H,8)</f>
        <v>0.17</v>
      </c>
    </row>
    <row r="2868" spans="1:12" x14ac:dyDescent="0.2">
      <c r="A2868" s="75" t="s">
        <v>1171</v>
      </c>
      <c r="B2868" s="79">
        <v>46137</v>
      </c>
      <c r="C2868" s="75"/>
      <c r="D2868" s="75"/>
      <c r="E2868" s="75"/>
      <c r="F2868" s="75">
        <v>20627</v>
      </c>
      <c r="G2868" s="76" t="str">
        <f>VLOOKUP(Tabelle2[[#This Row],[Kunden Nr.]],KUNDEN!A:B,2,0)</f>
        <v>UNIKA</v>
      </c>
      <c r="H2868" s="75">
        <v>35110</v>
      </c>
      <c r="I2868" s="76" t="str">
        <f>VLOOKUP(Tabelle2[[#This Row],[Artikel]],Produkte!A:B,2,0)</f>
        <v>M-ONE Sanitar Silikon</v>
      </c>
      <c r="J2868" s="75">
        <v>24</v>
      </c>
      <c r="K2868" s="76" t="str">
        <f>VLOOKUP(Tabelle2[[#This Row],[Kunden Nr.]],KUNDEN!A:G,7)</f>
        <v>Mensuri</v>
      </c>
      <c r="L2868" s="76">
        <f>VLOOKUP(Tabelle2[[#This Row],[Artikel]],Produkte!A:H,8)</f>
        <v>0.17</v>
      </c>
    </row>
    <row r="2869" spans="1:12" x14ac:dyDescent="0.2">
      <c r="A2869" s="75" t="s">
        <v>1322</v>
      </c>
      <c r="B2869" s="79">
        <v>46137</v>
      </c>
      <c r="C2869" s="89">
        <v>231</v>
      </c>
      <c r="D2869" s="75"/>
      <c r="E2869" s="75"/>
      <c r="F2869" s="75">
        <v>20635</v>
      </c>
      <c r="G2869" s="76" t="e">
        <f>VLOOKUP(Tabelle2[[#This Row],[Kunden Nr.]],KUNDEN!A:B,2,0)</f>
        <v>#N/A</v>
      </c>
      <c r="H2869" s="75">
        <v>35109</v>
      </c>
      <c r="I2869" s="76" t="str">
        <f>VLOOKUP(Tabelle2[[#This Row],[Artikel]],Produkte!A:B,2,0)</f>
        <v>M-ONE Sanitar Silikon</v>
      </c>
      <c r="J2869" s="75">
        <v>36</v>
      </c>
      <c r="K2869" s="76" t="str">
        <f>VLOOKUP(Tabelle2[[#This Row],[Kunden Nr.]],KUNDEN!A:G,7)</f>
        <v>Mensuri</v>
      </c>
      <c r="L2869" s="76">
        <f>VLOOKUP(Tabelle2[[#This Row],[Artikel]],Produkte!A:H,8)</f>
        <v>0.17</v>
      </c>
    </row>
    <row r="2870" spans="1:12" x14ac:dyDescent="0.2">
      <c r="A2870" s="75" t="s">
        <v>1322</v>
      </c>
      <c r="B2870" s="79">
        <v>46137</v>
      </c>
      <c r="C2870" s="75"/>
      <c r="D2870" s="75"/>
      <c r="E2870" s="75"/>
      <c r="F2870" s="75">
        <v>20635</v>
      </c>
      <c r="G2870" s="76" t="e">
        <f>VLOOKUP(Tabelle2[[#This Row],[Kunden Nr.]],KUNDEN!A:B,2,0)</f>
        <v>#N/A</v>
      </c>
      <c r="H2870" s="75">
        <v>35110</v>
      </c>
      <c r="I2870" s="76" t="str">
        <f>VLOOKUP(Tabelle2[[#This Row],[Artikel]],Produkte!A:B,2,0)</f>
        <v>M-ONE Sanitar Silikon</v>
      </c>
      <c r="J2870" s="75">
        <v>24</v>
      </c>
      <c r="K2870" s="76" t="str">
        <f>VLOOKUP(Tabelle2[[#This Row],[Kunden Nr.]],KUNDEN!A:G,7)</f>
        <v>Mensuri</v>
      </c>
      <c r="L2870" s="76">
        <f>VLOOKUP(Tabelle2[[#This Row],[Artikel]],Produkte!A:H,8)</f>
        <v>0.17</v>
      </c>
    </row>
    <row r="2871" spans="1:12" x14ac:dyDescent="0.2">
      <c r="A2871" s="75" t="s">
        <v>432</v>
      </c>
      <c r="B2871" s="79">
        <v>46137</v>
      </c>
      <c r="C2871" s="89">
        <v>231</v>
      </c>
      <c r="D2871" s="75"/>
      <c r="E2871" s="75"/>
      <c r="F2871" s="75">
        <v>20604</v>
      </c>
      <c r="G2871" s="76" t="str">
        <f>VLOOKUP(Tabelle2[[#This Row],[Kunden Nr.]],KUNDEN!A:B,2,0)</f>
        <v>ALFA-QERAMIKA</v>
      </c>
      <c r="H2871" s="75">
        <v>35113</v>
      </c>
      <c r="I2871" s="76" t="str">
        <f>VLOOKUP(Tabelle2[[#This Row],[Artikel]],Produkte!A:B,2,0)</f>
        <v>M-ONE Sanitar Silikon</v>
      </c>
      <c r="J2871" s="75">
        <v>24</v>
      </c>
      <c r="K2871" s="76" t="str">
        <f>VLOOKUP(Tabelle2[[#This Row],[Kunden Nr.]],KUNDEN!A:G,7)</f>
        <v>Mensuri</v>
      </c>
      <c r="L2871" s="76">
        <f>VLOOKUP(Tabelle2[[#This Row],[Artikel]],Produkte!A:H,8)</f>
        <v>0.17</v>
      </c>
    </row>
    <row r="2872" spans="1:12" x14ac:dyDescent="0.2">
      <c r="A2872" s="75" t="s">
        <v>432</v>
      </c>
      <c r="B2872" s="79">
        <v>46137</v>
      </c>
      <c r="C2872" s="75"/>
      <c r="D2872" s="75"/>
      <c r="E2872" s="75"/>
      <c r="F2872" s="75">
        <v>20604</v>
      </c>
      <c r="G2872" s="76" t="str">
        <f>VLOOKUP(Tabelle2[[#This Row],[Kunden Nr.]],KUNDEN!A:B,2,0)</f>
        <v>ALFA-QERAMIKA</v>
      </c>
      <c r="H2872" s="75">
        <v>35109</v>
      </c>
      <c r="I2872" s="76" t="str">
        <f>VLOOKUP(Tabelle2[[#This Row],[Artikel]],Produkte!A:B,2,0)</f>
        <v>M-ONE Sanitar Silikon</v>
      </c>
      <c r="J2872" s="75">
        <v>12</v>
      </c>
      <c r="K2872" s="76" t="str">
        <f>VLOOKUP(Tabelle2[[#This Row],[Kunden Nr.]],KUNDEN!A:G,7)</f>
        <v>Mensuri</v>
      </c>
      <c r="L2872" s="76">
        <f>VLOOKUP(Tabelle2[[#This Row],[Artikel]],Produkte!A:H,8)</f>
        <v>0.17</v>
      </c>
    </row>
    <row r="2873" spans="1:12" x14ac:dyDescent="0.2">
      <c r="A2873" s="75" t="s">
        <v>432</v>
      </c>
      <c r="B2873" s="79">
        <v>46137</v>
      </c>
      <c r="C2873" s="75"/>
      <c r="D2873" s="75"/>
      <c r="E2873" s="75"/>
      <c r="F2873" s="75">
        <v>20604</v>
      </c>
      <c r="G2873" s="76" t="str">
        <f>VLOOKUP(Tabelle2[[#This Row],[Kunden Nr.]],KUNDEN!A:B,2,0)</f>
        <v>ALFA-QERAMIKA</v>
      </c>
      <c r="H2873" s="75">
        <v>35112</v>
      </c>
      <c r="I2873" s="76" t="str">
        <f>VLOOKUP(Tabelle2[[#This Row],[Artikel]],Produkte!A:B,2,0)</f>
        <v>M-ONE Sanitar Silikon</v>
      </c>
      <c r="J2873" s="75">
        <v>12</v>
      </c>
      <c r="K2873" s="76" t="str">
        <f>VLOOKUP(Tabelle2[[#This Row],[Kunden Nr.]],KUNDEN!A:G,7)</f>
        <v>Mensuri</v>
      </c>
      <c r="L2873" s="76">
        <f>VLOOKUP(Tabelle2[[#This Row],[Artikel]],Produkte!A:H,8)</f>
        <v>0.17</v>
      </c>
    </row>
    <row r="2874" spans="1:12" x14ac:dyDescent="0.2">
      <c r="A2874" s="75" t="s">
        <v>432</v>
      </c>
      <c r="B2874" s="79">
        <v>46137</v>
      </c>
      <c r="C2874" s="75"/>
      <c r="D2874" s="75"/>
      <c r="E2874" s="75"/>
      <c r="F2874" s="75">
        <v>20604</v>
      </c>
      <c r="G2874" s="76" t="str">
        <f>VLOOKUP(Tabelle2[[#This Row],[Kunden Nr.]],KUNDEN!A:B,2,0)</f>
        <v>ALFA-QERAMIKA</v>
      </c>
      <c r="H2874" s="75">
        <v>35115</v>
      </c>
      <c r="I2874" s="76" t="str">
        <f>VLOOKUP(Tabelle2[[#This Row],[Artikel]],Produkte!A:B,2,0)</f>
        <v>M-ONE Sanitar Silikon</v>
      </c>
      <c r="J2874" s="75">
        <v>12</v>
      </c>
      <c r="K2874" s="76" t="str">
        <f>VLOOKUP(Tabelle2[[#This Row],[Kunden Nr.]],KUNDEN!A:G,7)</f>
        <v>Mensuri</v>
      </c>
      <c r="L2874" s="76">
        <f>VLOOKUP(Tabelle2[[#This Row],[Artikel]],Produkte!A:H,8)</f>
        <v>0.17</v>
      </c>
    </row>
    <row r="2875" spans="1:12" x14ac:dyDescent="0.2">
      <c r="A2875" s="75" t="s">
        <v>434</v>
      </c>
      <c r="B2875" s="79">
        <v>46137</v>
      </c>
      <c r="C2875" s="89">
        <v>125.2</v>
      </c>
      <c r="D2875" s="75"/>
      <c r="E2875" s="75"/>
      <c r="F2875" s="75">
        <v>20606</v>
      </c>
      <c r="G2875" s="76" t="str">
        <f>VLOOKUP(Tabelle2[[#This Row],[Kunden Nr.]],KUNDEN!A:B,2,0)</f>
        <v>TE-SYLA</v>
      </c>
      <c r="H2875" s="75">
        <v>35109</v>
      </c>
      <c r="I2875" s="76" t="str">
        <f>VLOOKUP(Tabelle2[[#This Row],[Artikel]],Produkte!A:B,2,0)</f>
        <v>M-ONE Sanitar Silikon</v>
      </c>
      <c r="J2875" s="75">
        <v>12</v>
      </c>
      <c r="K2875" s="76" t="str">
        <f>VLOOKUP(Tabelle2[[#This Row],[Kunden Nr.]],KUNDEN!A:G,7)</f>
        <v>Mensuri</v>
      </c>
      <c r="L2875" s="76">
        <f>VLOOKUP(Tabelle2[[#This Row],[Artikel]],Produkte!A:H,8)</f>
        <v>0.17</v>
      </c>
    </row>
    <row r="2876" spans="1:12" x14ac:dyDescent="0.2">
      <c r="A2876" s="75" t="s">
        <v>434</v>
      </c>
      <c r="B2876" s="79">
        <v>46137</v>
      </c>
      <c r="C2876" s="75"/>
      <c r="D2876" s="75"/>
      <c r="E2876" s="75"/>
      <c r="F2876" s="75">
        <v>20606</v>
      </c>
      <c r="G2876" s="76" t="str">
        <f>VLOOKUP(Tabelle2[[#This Row],[Kunden Nr.]],KUNDEN!A:B,2,0)</f>
        <v>TE-SYLA</v>
      </c>
      <c r="H2876" s="75">
        <v>35110</v>
      </c>
      <c r="I2876" s="76" t="str">
        <f>VLOOKUP(Tabelle2[[#This Row],[Artikel]],Produkte!A:B,2,0)</f>
        <v>M-ONE Sanitar Silikon</v>
      </c>
      <c r="J2876" s="75">
        <v>12</v>
      </c>
      <c r="K2876" s="76" t="str">
        <f>VLOOKUP(Tabelle2[[#This Row],[Kunden Nr.]],KUNDEN!A:G,7)</f>
        <v>Mensuri</v>
      </c>
      <c r="L2876" s="76">
        <f>VLOOKUP(Tabelle2[[#This Row],[Artikel]],Produkte!A:H,8)</f>
        <v>0.17</v>
      </c>
    </row>
    <row r="2877" spans="1:12" x14ac:dyDescent="0.2">
      <c r="A2877" s="75" t="s">
        <v>434</v>
      </c>
      <c r="B2877" s="79">
        <v>46137</v>
      </c>
      <c r="C2877" s="75"/>
      <c r="D2877" s="75"/>
      <c r="E2877" s="75"/>
      <c r="F2877" s="75">
        <v>20606</v>
      </c>
      <c r="G2877" s="76" t="str">
        <f>VLOOKUP(Tabelle2[[#This Row],[Kunden Nr.]],KUNDEN!A:B,2,0)</f>
        <v>TE-SYLA</v>
      </c>
      <c r="H2877" s="75">
        <v>31880</v>
      </c>
      <c r="I2877" s="76" t="str">
        <f>VLOOKUP(Tabelle2[[#This Row],[Artikel]],Produkte!A:B,2,0)</f>
        <v>HAT LACK 800</v>
      </c>
      <c r="J2877" s="75">
        <v>6</v>
      </c>
      <c r="K2877" s="76" t="str">
        <f>VLOOKUP(Tabelle2[[#This Row],[Kunden Nr.]],KUNDEN!A:G,7)</f>
        <v>Mensuri</v>
      </c>
      <c r="L2877" s="76">
        <f>VLOOKUP(Tabelle2[[#This Row],[Artikel]],Produkte!A:H,8)</f>
        <v>0.35</v>
      </c>
    </row>
    <row r="2878" spans="1:12" x14ac:dyDescent="0.2">
      <c r="A2878" s="75" t="s">
        <v>434</v>
      </c>
      <c r="B2878" s="79">
        <v>46137</v>
      </c>
      <c r="C2878" s="75"/>
      <c r="D2878" s="75"/>
      <c r="E2878" s="75"/>
      <c r="F2878" s="75">
        <v>20606</v>
      </c>
      <c r="G2878" s="76" t="str">
        <f>VLOOKUP(Tabelle2[[#This Row],[Kunden Nr.]],KUNDEN!A:B,2,0)</f>
        <v>TE-SYLA</v>
      </c>
      <c r="H2878" s="75">
        <v>50912</v>
      </c>
      <c r="I2878" s="76" t="str">
        <f>VLOOKUP(Tabelle2[[#This Row],[Artikel]],Produkte!A:B,2,0)</f>
        <v>DICHTUNG</v>
      </c>
      <c r="J2878" s="75">
        <v>4</v>
      </c>
      <c r="K2878" s="76" t="str">
        <f>VLOOKUP(Tabelle2[[#This Row],[Kunden Nr.]],KUNDEN!A:G,7)</f>
        <v>Mensuri</v>
      </c>
      <c r="L2878" s="76">
        <f>VLOOKUP(Tabelle2[[#This Row],[Artikel]],Produkte!A:H,8)</f>
        <v>0.2</v>
      </c>
    </row>
    <row r="2879" spans="1:12" x14ac:dyDescent="0.2">
      <c r="A2879" s="75" t="s">
        <v>434</v>
      </c>
      <c r="B2879" s="79">
        <v>46137</v>
      </c>
      <c r="C2879" s="75"/>
      <c r="D2879" s="75"/>
      <c r="E2879" s="75"/>
      <c r="F2879" s="75">
        <v>20606</v>
      </c>
      <c r="G2879" s="76" t="str">
        <f>VLOOKUP(Tabelle2[[#This Row],[Kunden Nr.]],KUNDEN!A:B,2,0)</f>
        <v>TE-SYLA</v>
      </c>
      <c r="H2879" s="75">
        <v>44001</v>
      </c>
      <c r="I2879" s="76" t="str">
        <f>VLOOKUP(Tabelle2[[#This Row],[Artikel]],Produkte!A:B,2,0)</f>
        <v>Fettspray</v>
      </c>
      <c r="J2879" s="75">
        <v>4</v>
      </c>
      <c r="K2879" s="76" t="str">
        <f>VLOOKUP(Tabelle2[[#This Row],[Kunden Nr.]],KUNDEN!A:G,7)</f>
        <v>Mensuri</v>
      </c>
      <c r="L2879" s="76">
        <f>VLOOKUP(Tabelle2[[#This Row],[Artikel]],Produkte!A:H,8)</f>
        <v>0.2</v>
      </c>
    </row>
    <row r="2880" spans="1:12" x14ac:dyDescent="0.2">
      <c r="A2880" s="75" t="s">
        <v>968</v>
      </c>
      <c r="B2880" s="79">
        <v>46137</v>
      </c>
      <c r="C2880" s="89">
        <v>369.6</v>
      </c>
      <c r="D2880" s="75"/>
      <c r="E2880" s="75"/>
      <c r="F2880" s="75">
        <v>20624</v>
      </c>
      <c r="G2880" s="76" t="str">
        <f>VLOOKUP(Tabelle2[[#This Row],[Kunden Nr.]],KUNDEN!A:B,2,0)</f>
        <v>BULONI - SH</v>
      </c>
      <c r="H2880" s="75">
        <v>35128</v>
      </c>
      <c r="I2880" s="76" t="str">
        <f>VLOOKUP(Tabelle2[[#This Row],[Artikel]],Produkte!A:B,2,0)</f>
        <v>M-ONE Sanitar Silikon</v>
      </c>
      <c r="J2880" s="75">
        <v>24</v>
      </c>
      <c r="K2880" s="76" t="str">
        <f>VLOOKUP(Tabelle2[[#This Row],[Kunden Nr.]],KUNDEN!A:G,7)</f>
        <v>Mensuri</v>
      </c>
      <c r="L2880" s="76">
        <f>VLOOKUP(Tabelle2[[#This Row],[Artikel]],Produkte!A:H,8)</f>
        <v>0.17</v>
      </c>
    </row>
    <row r="2881" spans="1:12" x14ac:dyDescent="0.2">
      <c r="A2881" s="75" t="s">
        <v>968</v>
      </c>
      <c r="B2881" s="79">
        <v>46137</v>
      </c>
      <c r="C2881" s="75"/>
      <c r="D2881" s="75"/>
      <c r="E2881" s="75"/>
      <c r="F2881" s="75">
        <v>20624</v>
      </c>
      <c r="G2881" s="76" t="str">
        <f>VLOOKUP(Tabelle2[[#This Row],[Kunden Nr.]],KUNDEN!A:B,2,0)</f>
        <v>BULONI - SH</v>
      </c>
      <c r="H2881" s="75">
        <v>35108</v>
      </c>
      <c r="I2881" s="76" t="str">
        <f>VLOOKUP(Tabelle2[[#This Row],[Artikel]],Produkte!A:B,2,0)</f>
        <v>M-ONE Sanitar Silikon</v>
      </c>
      <c r="J2881" s="75">
        <v>12</v>
      </c>
      <c r="K2881" s="76" t="str">
        <f>VLOOKUP(Tabelle2[[#This Row],[Kunden Nr.]],KUNDEN!A:G,7)</f>
        <v>Mensuri</v>
      </c>
      <c r="L2881" s="76">
        <f>VLOOKUP(Tabelle2[[#This Row],[Artikel]],Produkte!A:H,8)</f>
        <v>0.17</v>
      </c>
    </row>
    <row r="2882" spans="1:12" x14ac:dyDescent="0.2">
      <c r="A2882" s="75" t="s">
        <v>968</v>
      </c>
      <c r="B2882" s="79">
        <v>46137</v>
      </c>
      <c r="C2882" s="75"/>
      <c r="D2882" s="75"/>
      <c r="E2882" s="75"/>
      <c r="F2882" s="75">
        <v>20624</v>
      </c>
      <c r="G2882" s="76" t="str">
        <f>VLOOKUP(Tabelle2[[#This Row],[Kunden Nr.]],KUNDEN!A:B,2,0)</f>
        <v>BULONI - SH</v>
      </c>
      <c r="H2882" s="75">
        <v>35111</v>
      </c>
      <c r="I2882" s="76" t="str">
        <f>VLOOKUP(Tabelle2[[#This Row],[Artikel]],Produkte!A:B,2,0)</f>
        <v>M-ONE Sanitar Silikon</v>
      </c>
      <c r="J2882" s="75">
        <v>12</v>
      </c>
      <c r="K2882" s="76" t="str">
        <f>VLOOKUP(Tabelle2[[#This Row],[Kunden Nr.]],KUNDEN!A:G,7)</f>
        <v>Mensuri</v>
      </c>
      <c r="L2882" s="76">
        <f>VLOOKUP(Tabelle2[[#This Row],[Artikel]],Produkte!A:H,8)</f>
        <v>0.17</v>
      </c>
    </row>
    <row r="2883" spans="1:12" x14ac:dyDescent="0.2">
      <c r="A2883" s="75" t="s">
        <v>968</v>
      </c>
      <c r="B2883" s="79">
        <v>46137</v>
      </c>
      <c r="C2883" s="75"/>
      <c r="D2883" s="75"/>
      <c r="E2883" s="75"/>
      <c r="F2883" s="75">
        <v>20624</v>
      </c>
      <c r="G2883" s="76" t="str">
        <f>VLOOKUP(Tabelle2[[#This Row],[Kunden Nr.]],KUNDEN!A:B,2,0)</f>
        <v>BULONI - SH</v>
      </c>
      <c r="H2883" s="75">
        <v>35112</v>
      </c>
      <c r="I2883" s="76" t="str">
        <f>VLOOKUP(Tabelle2[[#This Row],[Artikel]],Produkte!A:B,2,0)</f>
        <v>M-ONE Sanitar Silikon</v>
      </c>
      <c r="J2883" s="75">
        <v>12</v>
      </c>
      <c r="K2883" s="76" t="str">
        <f>VLOOKUP(Tabelle2[[#This Row],[Kunden Nr.]],KUNDEN!A:G,7)</f>
        <v>Mensuri</v>
      </c>
      <c r="L2883" s="76">
        <f>VLOOKUP(Tabelle2[[#This Row],[Artikel]],Produkte!A:H,8)</f>
        <v>0.17</v>
      </c>
    </row>
    <row r="2884" spans="1:12" x14ac:dyDescent="0.2">
      <c r="A2884" s="75" t="s">
        <v>968</v>
      </c>
      <c r="B2884" s="79">
        <v>46137</v>
      </c>
      <c r="C2884" s="75"/>
      <c r="D2884" s="75"/>
      <c r="E2884" s="75"/>
      <c r="F2884" s="75">
        <v>20624</v>
      </c>
      <c r="G2884" s="76" t="str">
        <f>VLOOKUP(Tabelle2[[#This Row],[Kunden Nr.]],KUNDEN!A:B,2,0)</f>
        <v>BULONI - SH</v>
      </c>
      <c r="H2884" s="75">
        <v>35121</v>
      </c>
      <c r="I2884" s="76" t="str">
        <f>VLOOKUP(Tabelle2[[#This Row],[Artikel]],Produkte!A:B,2,0)</f>
        <v>M-ONE Sanitar Silikon</v>
      </c>
      <c r="J2884" s="75">
        <v>12</v>
      </c>
      <c r="K2884" s="76" t="str">
        <f>VLOOKUP(Tabelle2[[#This Row],[Kunden Nr.]],KUNDEN!A:G,7)</f>
        <v>Mensuri</v>
      </c>
      <c r="L2884" s="76">
        <f>VLOOKUP(Tabelle2[[#This Row],[Artikel]],Produkte!A:H,8)</f>
        <v>0.17</v>
      </c>
    </row>
    <row r="2885" spans="1:12" x14ac:dyDescent="0.2">
      <c r="A2885" s="75" t="s">
        <v>968</v>
      </c>
      <c r="B2885" s="79">
        <v>46137</v>
      </c>
      <c r="C2885" s="75"/>
      <c r="D2885" s="75"/>
      <c r="E2885" s="75"/>
      <c r="F2885" s="75">
        <v>20624</v>
      </c>
      <c r="G2885" s="76" t="str">
        <f>VLOOKUP(Tabelle2[[#This Row],[Kunden Nr.]],KUNDEN!A:B,2,0)</f>
        <v>BULONI - SH</v>
      </c>
      <c r="H2885" s="75">
        <v>35125</v>
      </c>
      <c r="I2885" s="76" t="str">
        <f>VLOOKUP(Tabelle2[[#This Row],[Artikel]],Produkte!A:B,2,0)</f>
        <v>M-ONE Sanitar Silikon</v>
      </c>
      <c r="J2885" s="75">
        <v>12</v>
      </c>
      <c r="K2885" s="76" t="str">
        <f>VLOOKUP(Tabelle2[[#This Row],[Kunden Nr.]],KUNDEN!A:G,7)</f>
        <v>Mensuri</v>
      </c>
      <c r="L2885" s="76">
        <f>VLOOKUP(Tabelle2[[#This Row],[Artikel]],Produkte!A:H,8)</f>
        <v>0.17</v>
      </c>
    </row>
    <row r="2886" spans="1:12" x14ac:dyDescent="0.2">
      <c r="A2886" s="75" t="s">
        <v>968</v>
      </c>
      <c r="B2886" s="79">
        <v>46137</v>
      </c>
      <c r="C2886" s="75"/>
      <c r="D2886" s="75"/>
      <c r="E2886" s="75"/>
      <c r="F2886" s="75">
        <v>20624</v>
      </c>
      <c r="G2886" s="76" t="str">
        <f>VLOOKUP(Tabelle2[[#This Row],[Kunden Nr.]],KUNDEN!A:B,2,0)</f>
        <v>BULONI - SH</v>
      </c>
      <c r="H2886" s="75">
        <v>35114</v>
      </c>
      <c r="I2886" s="76" t="str">
        <f>VLOOKUP(Tabelle2[[#This Row],[Artikel]],Produkte!A:B,2,0)</f>
        <v>M-ONE Sanitar Silikon</v>
      </c>
      <c r="J2886" s="75">
        <v>12</v>
      </c>
      <c r="K2886" s="76" t="str">
        <f>VLOOKUP(Tabelle2[[#This Row],[Kunden Nr.]],KUNDEN!A:G,7)</f>
        <v>Mensuri</v>
      </c>
      <c r="L2886" s="76">
        <f>VLOOKUP(Tabelle2[[#This Row],[Artikel]],Produkte!A:H,8)</f>
        <v>0.17</v>
      </c>
    </row>
    <row r="2887" spans="1:12" x14ac:dyDescent="0.2">
      <c r="A2887" s="75" t="s">
        <v>967</v>
      </c>
      <c r="B2887" s="79">
        <v>46137</v>
      </c>
      <c r="C2887" s="89">
        <v>85.2</v>
      </c>
      <c r="D2887" s="75"/>
      <c r="E2887" s="75"/>
      <c r="F2887" s="75">
        <v>20603</v>
      </c>
      <c r="G2887" s="76" t="str">
        <f>VLOOKUP(Tabelle2[[#This Row],[Kunden Nr.]],KUNDEN!A:B,2,0)</f>
        <v>PROMOIN</v>
      </c>
      <c r="H2887" s="75">
        <v>51611</v>
      </c>
      <c r="I2887" s="76" t="str">
        <f>VLOOKUP(Tabelle2[[#This Row],[Artikel]],Produkte!A:B,2,0)</f>
        <v>universal akryl</v>
      </c>
      <c r="J2887" s="75">
        <v>24</v>
      </c>
      <c r="K2887" s="76" t="str">
        <f>VLOOKUP(Tabelle2[[#This Row],[Kunden Nr.]],KUNDEN!A:G,7)</f>
        <v>Mensuri</v>
      </c>
      <c r="L2887" s="76">
        <f>VLOOKUP(Tabelle2[[#This Row],[Artikel]],Produkte!A:H,8)</f>
        <v>0.06</v>
      </c>
    </row>
    <row r="2888" spans="1:12" x14ac:dyDescent="0.2">
      <c r="A2888" s="75" t="s">
        <v>967</v>
      </c>
      <c r="B2888" s="79">
        <v>46137</v>
      </c>
      <c r="C2888" s="75"/>
      <c r="D2888" s="75"/>
      <c r="E2888" s="75"/>
      <c r="F2888" s="75">
        <v>20603</v>
      </c>
      <c r="G2888" s="76" t="str">
        <f>VLOOKUP(Tabelle2[[#This Row],[Kunden Nr.]],KUNDEN!A:B,2,0)</f>
        <v>PROMOIN</v>
      </c>
      <c r="H2888" s="75">
        <v>51612</v>
      </c>
      <c r="I2888" s="76" t="str">
        <f>VLOOKUP(Tabelle2[[#This Row],[Artikel]],Produkte!A:B,2,0)</f>
        <v>struktural akryl</v>
      </c>
      <c r="J2888" s="75">
        <v>24</v>
      </c>
      <c r="K2888" s="76" t="str">
        <f>VLOOKUP(Tabelle2[[#This Row],[Kunden Nr.]],KUNDEN!A:G,7)</f>
        <v>Mensuri</v>
      </c>
      <c r="L2888" s="76">
        <f>VLOOKUP(Tabelle2[[#This Row],[Artikel]],Produkte!A:H,8)</f>
        <v>0.06</v>
      </c>
    </row>
    <row r="2889" spans="1:12" x14ac:dyDescent="0.2">
      <c r="A2889" s="75" t="s">
        <v>1265</v>
      </c>
      <c r="B2889" s="79">
        <v>46139</v>
      </c>
      <c r="C2889" s="89">
        <v>92.4</v>
      </c>
      <c r="D2889" s="75"/>
      <c r="E2889" s="75"/>
      <c r="F2889" s="75">
        <v>10145</v>
      </c>
      <c r="G2889" s="76" t="str">
        <f>VLOOKUP(Tabelle2[[#This Row],[Kunden Nr.]],KUNDEN!A:B,2,0)</f>
        <v>KRRABAJ</v>
      </c>
      <c r="H2889" s="75">
        <v>35121</v>
      </c>
      <c r="I2889" s="76" t="str">
        <f>VLOOKUP(Tabelle2[[#This Row],[Artikel]],Produkte!A:B,2,0)</f>
        <v>M-ONE Sanitar Silikon</v>
      </c>
      <c r="J2889" s="75">
        <v>12</v>
      </c>
      <c r="K2889" s="76" t="str">
        <f>VLOOKUP(Tabelle2[[#This Row],[Kunden Nr.]],KUNDEN!A:G,7)</f>
        <v>Qerimi</v>
      </c>
      <c r="L2889" s="76">
        <f>VLOOKUP(Tabelle2[[#This Row],[Artikel]],Produkte!A:H,8)</f>
        <v>0.17</v>
      </c>
    </row>
    <row r="2890" spans="1:12" x14ac:dyDescent="0.2">
      <c r="A2890" s="75" t="s">
        <v>1265</v>
      </c>
      <c r="B2890" s="79">
        <v>46139</v>
      </c>
      <c r="C2890" s="75"/>
      <c r="D2890" s="75"/>
      <c r="E2890" s="75"/>
      <c r="F2890" s="75">
        <v>10145</v>
      </c>
      <c r="G2890" s="76" t="str">
        <f>VLOOKUP(Tabelle2[[#This Row],[Kunden Nr.]],KUNDEN!A:B,2,0)</f>
        <v>KRRABAJ</v>
      </c>
      <c r="H2890" s="75">
        <v>35128</v>
      </c>
      <c r="I2890" s="76" t="str">
        <f>VLOOKUP(Tabelle2[[#This Row],[Artikel]],Produkte!A:B,2,0)</f>
        <v>M-ONE Sanitar Silikon</v>
      </c>
      <c r="J2890" s="75">
        <v>12</v>
      </c>
      <c r="K2890" s="76" t="str">
        <f>VLOOKUP(Tabelle2[[#This Row],[Kunden Nr.]],KUNDEN!A:G,7)</f>
        <v>Qerimi</v>
      </c>
      <c r="L2890" s="76">
        <f>VLOOKUP(Tabelle2[[#This Row],[Artikel]],Produkte!A:H,8)</f>
        <v>0.17</v>
      </c>
    </row>
    <row r="2891" spans="1:12" x14ac:dyDescent="0.2">
      <c r="A2891" s="75" t="s">
        <v>573</v>
      </c>
      <c r="B2891" s="79">
        <v>46139</v>
      </c>
      <c r="C2891" s="89">
        <v>184.8</v>
      </c>
      <c r="D2891" s="75"/>
      <c r="E2891" s="75"/>
      <c r="F2891" s="75">
        <v>10111</v>
      </c>
      <c r="G2891" s="76" t="str">
        <f>VLOOKUP(Tabelle2[[#This Row],[Kunden Nr.]],KUNDEN!A:B,2,0)</f>
        <v>KADIJOLLET</v>
      </c>
      <c r="H2891" s="75">
        <v>35110</v>
      </c>
      <c r="I2891" s="76" t="str">
        <f>VLOOKUP(Tabelle2[[#This Row],[Artikel]],Produkte!A:B,2,0)</f>
        <v>M-ONE Sanitar Silikon</v>
      </c>
      <c r="J2891" s="75">
        <v>12</v>
      </c>
      <c r="K2891" s="76" t="str">
        <f>VLOOKUP(Tabelle2[[#This Row],[Kunden Nr.]],KUNDEN!A:G,7)</f>
        <v>Qerimi</v>
      </c>
      <c r="L2891" s="76">
        <f>VLOOKUP(Tabelle2[[#This Row],[Artikel]],Produkte!A:H,8)</f>
        <v>0.17</v>
      </c>
    </row>
    <row r="2892" spans="1:12" x14ac:dyDescent="0.2">
      <c r="A2892" s="75" t="s">
        <v>573</v>
      </c>
      <c r="B2892" s="79">
        <v>46139</v>
      </c>
      <c r="C2892" s="75"/>
      <c r="D2892" s="75"/>
      <c r="E2892" s="75"/>
      <c r="F2892" s="75">
        <v>10111</v>
      </c>
      <c r="G2892" s="76" t="str">
        <f>VLOOKUP(Tabelle2[[#This Row],[Kunden Nr.]],KUNDEN!A:B,2,0)</f>
        <v>KADIJOLLET</v>
      </c>
      <c r="H2892" s="75">
        <v>35111</v>
      </c>
      <c r="I2892" s="76" t="str">
        <f>VLOOKUP(Tabelle2[[#This Row],[Artikel]],Produkte!A:B,2,0)</f>
        <v>M-ONE Sanitar Silikon</v>
      </c>
      <c r="J2892" s="75">
        <v>12</v>
      </c>
      <c r="K2892" s="76" t="str">
        <f>VLOOKUP(Tabelle2[[#This Row],[Kunden Nr.]],KUNDEN!A:G,7)</f>
        <v>Qerimi</v>
      </c>
      <c r="L2892" s="76">
        <f>VLOOKUP(Tabelle2[[#This Row],[Artikel]],Produkte!A:H,8)</f>
        <v>0.17</v>
      </c>
    </row>
    <row r="2893" spans="1:12" x14ac:dyDescent="0.2">
      <c r="A2893" s="75" t="s">
        <v>573</v>
      </c>
      <c r="B2893" s="79">
        <v>46139</v>
      </c>
      <c r="C2893" s="75"/>
      <c r="D2893" s="75"/>
      <c r="E2893" s="75"/>
      <c r="F2893" s="75">
        <v>10111</v>
      </c>
      <c r="G2893" s="76" t="str">
        <f>VLOOKUP(Tabelle2[[#This Row],[Kunden Nr.]],KUNDEN!A:B,2,0)</f>
        <v>KADIJOLLET</v>
      </c>
      <c r="H2893" s="75">
        <v>35112</v>
      </c>
      <c r="I2893" s="76" t="str">
        <f>VLOOKUP(Tabelle2[[#This Row],[Artikel]],Produkte!A:B,2,0)</f>
        <v>M-ONE Sanitar Silikon</v>
      </c>
      <c r="J2893" s="75">
        <v>12</v>
      </c>
      <c r="K2893" s="76" t="str">
        <f>VLOOKUP(Tabelle2[[#This Row],[Kunden Nr.]],KUNDEN!A:G,7)</f>
        <v>Qerimi</v>
      </c>
      <c r="L2893" s="76">
        <f>VLOOKUP(Tabelle2[[#This Row],[Artikel]],Produkte!A:H,8)</f>
        <v>0.17</v>
      </c>
    </row>
    <row r="2894" spans="1:12" x14ac:dyDescent="0.2">
      <c r="A2894" s="75" t="s">
        <v>573</v>
      </c>
      <c r="B2894" s="79">
        <v>46139</v>
      </c>
      <c r="C2894" s="75"/>
      <c r="D2894" s="75"/>
      <c r="E2894" s="75"/>
      <c r="F2894" s="75">
        <v>10111</v>
      </c>
      <c r="G2894" s="76" t="str">
        <f>VLOOKUP(Tabelle2[[#This Row],[Kunden Nr.]],KUNDEN!A:B,2,0)</f>
        <v>KADIJOLLET</v>
      </c>
      <c r="H2894" s="75">
        <v>35119</v>
      </c>
      <c r="I2894" s="76" t="str">
        <f>VLOOKUP(Tabelle2[[#This Row],[Artikel]],Produkte!A:B,2,0)</f>
        <v>M-ONE Sanitar Silikon</v>
      </c>
      <c r="J2894" s="75">
        <v>12</v>
      </c>
      <c r="K2894" s="76" t="str">
        <f>VLOOKUP(Tabelle2[[#This Row],[Kunden Nr.]],KUNDEN!A:G,7)</f>
        <v>Qerimi</v>
      </c>
      <c r="L2894" s="76">
        <f>VLOOKUP(Tabelle2[[#This Row],[Artikel]],Produkte!A:H,8)</f>
        <v>0.17</v>
      </c>
    </row>
    <row r="2895" spans="1:12" x14ac:dyDescent="0.2">
      <c r="A2895" s="75" t="s">
        <v>576</v>
      </c>
      <c r="B2895" s="79">
        <v>46139</v>
      </c>
      <c r="C2895" s="89">
        <v>138.6</v>
      </c>
      <c r="D2895" s="75"/>
      <c r="E2895" s="75"/>
      <c r="F2895" s="75">
        <v>10114</v>
      </c>
      <c r="G2895" s="76" t="str">
        <f>VLOOKUP(Tabelle2[[#This Row],[Kunden Nr.]],KUNDEN!A:B,2,0)</f>
        <v>QELA</v>
      </c>
      <c r="H2895" s="75">
        <v>35110</v>
      </c>
      <c r="I2895" s="76" t="str">
        <f>VLOOKUP(Tabelle2[[#This Row],[Artikel]],Produkte!A:B,2,0)</f>
        <v>M-ONE Sanitar Silikon</v>
      </c>
      <c r="J2895" s="75">
        <v>12</v>
      </c>
      <c r="K2895" s="76" t="str">
        <f>VLOOKUP(Tabelle2[[#This Row],[Kunden Nr.]],KUNDEN!A:G,7)</f>
        <v>Qerimi</v>
      </c>
      <c r="L2895" s="76">
        <f>VLOOKUP(Tabelle2[[#This Row],[Artikel]],Produkte!A:H,8)</f>
        <v>0.17</v>
      </c>
    </row>
    <row r="2896" spans="1:12" x14ac:dyDescent="0.2">
      <c r="A2896" s="75" t="s">
        <v>576</v>
      </c>
      <c r="B2896" s="79">
        <v>46139</v>
      </c>
      <c r="C2896" s="75"/>
      <c r="D2896" s="75"/>
      <c r="E2896" s="75"/>
      <c r="F2896" s="75">
        <v>10114</v>
      </c>
      <c r="G2896" s="76" t="str">
        <f>VLOOKUP(Tabelle2[[#This Row],[Kunden Nr.]],KUNDEN!A:B,2,0)</f>
        <v>QELA</v>
      </c>
      <c r="H2896" s="75">
        <v>35111</v>
      </c>
      <c r="I2896" s="76" t="str">
        <f>VLOOKUP(Tabelle2[[#This Row],[Artikel]],Produkte!A:B,2,0)</f>
        <v>M-ONE Sanitar Silikon</v>
      </c>
      <c r="J2896" s="75">
        <v>12</v>
      </c>
      <c r="K2896" s="76" t="str">
        <f>VLOOKUP(Tabelle2[[#This Row],[Kunden Nr.]],KUNDEN!A:G,7)</f>
        <v>Qerimi</v>
      </c>
      <c r="L2896" s="76">
        <f>VLOOKUP(Tabelle2[[#This Row],[Artikel]],Produkte!A:H,8)</f>
        <v>0.17</v>
      </c>
    </row>
    <row r="2897" spans="1:12" x14ac:dyDescent="0.2">
      <c r="A2897" s="75" t="s">
        <v>576</v>
      </c>
      <c r="B2897" s="79">
        <v>46139</v>
      </c>
      <c r="C2897" s="75"/>
      <c r="D2897" s="75"/>
      <c r="E2897" s="75"/>
      <c r="F2897" s="75">
        <v>10114</v>
      </c>
      <c r="G2897" s="76" t="str">
        <f>VLOOKUP(Tabelle2[[#This Row],[Kunden Nr.]],KUNDEN!A:B,2,0)</f>
        <v>QELA</v>
      </c>
      <c r="H2897" s="75">
        <v>35113</v>
      </c>
      <c r="I2897" s="76" t="str">
        <f>VLOOKUP(Tabelle2[[#This Row],[Artikel]],Produkte!A:B,2,0)</f>
        <v>M-ONE Sanitar Silikon</v>
      </c>
      <c r="J2897" s="75">
        <v>12</v>
      </c>
      <c r="K2897" s="76" t="str">
        <f>VLOOKUP(Tabelle2[[#This Row],[Kunden Nr.]],KUNDEN!A:G,7)</f>
        <v>Qerimi</v>
      </c>
      <c r="L2897" s="76">
        <f>VLOOKUP(Tabelle2[[#This Row],[Artikel]],Produkte!A:H,8)</f>
        <v>0.17</v>
      </c>
    </row>
    <row r="2898" spans="1:12" x14ac:dyDescent="0.2">
      <c r="A2898" s="75" t="s">
        <v>1188</v>
      </c>
      <c r="B2898" s="79">
        <v>46139</v>
      </c>
      <c r="C2898" s="89">
        <v>92.4</v>
      </c>
      <c r="D2898" s="75"/>
      <c r="E2898" s="75"/>
      <c r="F2898" s="75">
        <v>10133</v>
      </c>
      <c r="G2898" s="76" t="str">
        <f>VLOOKUP(Tabelle2[[#This Row],[Kunden Nr.]],KUNDEN!A:B,2,0)</f>
        <v>HIDROELDI</v>
      </c>
      <c r="H2898" s="75">
        <v>35108</v>
      </c>
      <c r="I2898" s="76" t="str">
        <f>VLOOKUP(Tabelle2[[#This Row],[Artikel]],Produkte!A:B,2,0)</f>
        <v>M-ONE Sanitar Silikon</v>
      </c>
      <c r="J2898" s="75">
        <v>12</v>
      </c>
      <c r="K2898" s="76" t="str">
        <f>VLOOKUP(Tabelle2[[#This Row],[Kunden Nr.]],KUNDEN!A:G,7)</f>
        <v>Qerimi</v>
      </c>
      <c r="L2898" s="76">
        <f>VLOOKUP(Tabelle2[[#This Row],[Artikel]],Produkte!A:H,8)</f>
        <v>0.17</v>
      </c>
    </row>
    <row r="2899" spans="1:12" x14ac:dyDescent="0.2">
      <c r="A2899" s="75" t="s">
        <v>1188</v>
      </c>
      <c r="B2899" s="79">
        <v>46139</v>
      </c>
      <c r="C2899" s="75"/>
      <c r="D2899" s="75"/>
      <c r="E2899" s="75"/>
      <c r="F2899" s="75">
        <v>10133</v>
      </c>
      <c r="G2899" s="76" t="str">
        <f>VLOOKUP(Tabelle2[[#This Row],[Kunden Nr.]],KUNDEN!A:B,2,0)</f>
        <v>HIDROELDI</v>
      </c>
      <c r="H2899" s="75">
        <v>35121</v>
      </c>
      <c r="I2899" s="76" t="str">
        <f>VLOOKUP(Tabelle2[[#This Row],[Artikel]],Produkte!A:B,2,0)</f>
        <v>M-ONE Sanitar Silikon</v>
      </c>
      <c r="J2899" s="75">
        <v>12</v>
      </c>
      <c r="K2899" s="76" t="str">
        <f>VLOOKUP(Tabelle2[[#This Row],[Kunden Nr.]],KUNDEN!A:G,7)</f>
        <v>Qerimi</v>
      </c>
      <c r="L2899" s="76">
        <f>VLOOKUP(Tabelle2[[#This Row],[Artikel]],Produkte!A:H,8)</f>
        <v>0.17</v>
      </c>
    </row>
    <row r="2900" spans="1:12" x14ac:dyDescent="0.2">
      <c r="A2900" s="75" t="s">
        <v>566</v>
      </c>
      <c r="B2900" s="79">
        <v>46139</v>
      </c>
      <c r="C2900" s="89">
        <v>46.2</v>
      </c>
      <c r="D2900" s="75"/>
      <c r="E2900" s="75"/>
      <c r="F2900" s="75">
        <v>10104</v>
      </c>
      <c r="G2900" s="76" t="str">
        <f>VLOOKUP(Tabelle2[[#This Row],[Kunden Nr.]],KUNDEN!A:B,2,0)</f>
        <v>JETARI</v>
      </c>
      <c r="H2900" s="75">
        <v>35111</v>
      </c>
      <c r="I2900" s="76" t="str">
        <f>VLOOKUP(Tabelle2[[#This Row],[Artikel]],Produkte!A:B,2,0)</f>
        <v>M-ONE Sanitar Silikon</v>
      </c>
      <c r="J2900" s="75">
        <v>12</v>
      </c>
      <c r="K2900" s="76" t="str">
        <f>VLOOKUP(Tabelle2[[#This Row],[Kunden Nr.]],KUNDEN!A:G,7)</f>
        <v>Qerimi</v>
      </c>
      <c r="L2900" s="76">
        <f>VLOOKUP(Tabelle2[[#This Row],[Artikel]],Produkte!A:H,8)</f>
        <v>0.17</v>
      </c>
    </row>
    <row r="2901" spans="1:12" x14ac:dyDescent="0.2">
      <c r="A2901" s="75" t="s">
        <v>474</v>
      </c>
      <c r="B2901" s="79">
        <v>46139</v>
      </c>
      <c r="C2901" s="89">
        <v>261</v>
      </c>
      <c r="D2901" s="75"/>
      <c r="E2901" s="75"/>
      <c r="F2901" s="75">
        <v>20109</v>
      </c>
      <c r="G2901" s="76" t="str">
        <f>VLOOKUP(Tabelle2[[#This Row],[Kunden Nr.]],KUNDEN!A:B,2,0)</f>
        <v>KENA COMERC</v>
      </c>
      <c r="H2901" s="75">
        <v>35109</v>
      </c>
      <c r="I2901" s="76" t="str">
        <f>VLOOKUP(Tabelle2[[#This Row],[Artikel]],Produkte!A:B,2,0)</f>
        <v>M-ONE Sanitar Silikon</v>
      </c>
      <c r="J2901" s="75">
        <v>12</v>
      </c>
      <c r="K2901" s="76" t="str">
        <f>VLOOKUP(Tabelle2[[#This Row],[Kunden Nr.]],KUNDEN!A:G,7)</f>
        <v>Mensuri</v>
      </c>
      <c r="L2901" s="76">
        <f>VLOOKUP(Tabelle2[[#This Row],[Artikel]],Produkte!A:H,8)</f>
        <v>0.17</v>
      </c>
    </row>
    <row r="2902" spans="1:12" x14ac:dyDescent="0.2">
      <c r="A2902" s="75" t="s">
        <v>474</v>
      </c>
      <c r="B2902" s="79">
        <v>46139</v>
      </c>
      <c r="C2902" s="75"/>
      <c r="D2902" s="75"/>
      <c r="E2902" s="75"/>
      <c r="F2902" s="75">
        <v>20109</v>
      </c>
      <c r="G2902" s="76" t="str">
        <f>VLOOKUP(Tabelle2[[#This Row],[Kunden Nr.]],KUNDEN!A:B,2,0)</f>
        <v>KENA COMERC</v>
      </c>
      <c r="H2902" s="75">
        <v>35111</v>
      </c>
      <c r="I2902" s="76" t="str">
        <f>VLOOKUP(Tabelle2[[#This Row],[Artikel]],Produkte!A:B,2,0)</f>
        <v>M-ONE Sanitar Silikon</v>
      </c>
      <c r="J2902" s="75">
        <v>12</v>
      </c>
      <c r="K2902" s="76" t="str">
        <f>VLOOKUP(Tabelle2[[#This Row],[Kunden Nr.]],KUNDEN!A:G,7)</f>
        <v>Mensuri</v>
      </c>
      <c r="L2902" s="76">
        <f>VLOOKUP(Tabelle2[[#This Row],[Artikel]],Produkte!A:H,8)</f>
        <v>0.17</v>
      </c>
    </row>
    <row r="2903" spans="1:12" x14ac:dyDescent="0.2">
      <c r="A2903" s="75" t="s">
        <v>474</v>
      </c>
      <c r="B2903" s="79">
        <v>46139</v>
      </c>
      <c r="C2903" s="75"/>
      <c r="D2903" s="75"/>
      <c r="E2903" s="75"/>
      <c r="F2903" s="75">
        <v>20109</v>
      </c>
      <c r="G2903" s="76" t="str">
        <f>VLOOKUP(Tabelle2[[#This Row],[Kunden Nr.]],KUNDEN!A:B,2,0)</f>
        <v>KENA COMERC</v>
      </c>
      <c r="H2903" s="75">
        <v>35115</v>
      </c>
      <c r="I2903" s="76" t="str">
        <f>VLOOKUP(Tabelle2[[#This Row],[Artikel]],Produkte!A:B,2,0)</f>
        <v>M-ONE Sanitar Silikon</v>
      </c>
      <c r="J2903" s="75">
        <v>12</v>
      </c>
      <c r="K2903" s="76" t="str">
        <f>VLOOKUP(Tabelle2[[#This Row],[Kunden Nr.]],KUNDEN!A:G,7)</f>
        <v>Mensuri</v>
      </c>
      <c r="L2903" s="76">
        <f>VLOOKUP(Tabelle2[[#This Row],[Artikel]],Produkte!A:H,8)</f>
        <v>0.17</v>
      </c>
    </row>
    <row r="2904" spans="1:12" x14ac:dyDescent="0.2">
      <c r="A2904" s="75" t="s">
        <v>474</v>
      </c>
      <c r="B2904" s="79">
        <v>46139</v>
      </c>
      <c r="C2904" s="75"/>
      <c r="D2904" s="75"/>
      <c r="E2904" s="75"/>
      <c r="F2904" s="75">
        <v>20109</v>
      </c>
      <c r="G2904" s="76" t="str">
        <f>VLOOKUP(Tabelle2[[#This Row],[Kunden Nr.]],KUNDEN!A:B,2,0)</f>
        <v>KENA COMERC</v>
      </c>
      <c r="H2904" s="75">
        <v>35113</v>
      </c>
      <c r="I2904" s="76" t="str">
        <f>VLOOKUP(Tabelle2[[#This Row],[Artikel]],Produkte!A:B,2,0)</f>
        <v>M-ONE Sanitar Silikon</v>
      </c>
      <c r="J2904" s="75">
        <v>12</v>
      </c>
      <c r="K2904" s="76" t="str">
        <f>VLOOKUP(Tabelle2[[#This Row],[Kunden Nr.]],KUNDEN!A:G,7)</f>
        <v>Mensuri</v>
      </c>
      <c r="L2904" s="76">
        <f>VLOOKUP(Tabelle2[[#This Row],[Artikel]],Produkte!A:H,8)</f>
        <v>0.17</v>
      </c>
    </row>
    <row r="2905" spans="1:12" x14ac:dyDescent="0.2">
      <c r="A2905" s="75" t="s">
        <v>474</v>
      </c>
      <c r="B2905" s="79">
        <v>46139</v>
      </c>
      <c r="C2905" s="75"/>
      <c r="D2905" s="75"/>
      <c r="E2905" s="75"/>
      <c r="F2905" s="75">
        <v>20109</v>
      </c>
      <c r="G2905" s="76" t="str">
        <f>VLOOKUP(Tabelle2[[#This Row],[Kunden Nr.]],KUNDEN!A:B,2,0)</f>
        <v>KENA COMERC</v>
      </c>
      <c r="H2905" s="75">
        <v>35112</v>
      </c>
      <c r="I2905" s="76" t="str">
        <f>VLOOKUP(Tabelle2[[#This Row],[Artikel]],Produkte!A:B,2,0)</f>
        <v>M-ONE Sanitar Silikon</v>
      </c>
      <c r="J2905" s="75">
        <v>12</v>
      </c>
      <c r="K2905" s="76" t="str">
        <f>VLOOKUP(Tabelle2[[#This Row],[Kunden Nr.]],KUNDEN!A:G,7)</f>
        <v>Mensuri</v>
      </c>
      <c r="L2905" s="76">
        <f>VLOOKUP(Tabelle2[[#This Row],[Artikel]],Produkte!A:H,8)</f>
        <v>0.17</v>
      </c>
    </row>
    <row r="2906" spans="1:12" x14ac:dyDescent="0.2">
      <c r="A2906" s="75" t="s">
        <v>474</v>
      </c>
      <c r="B2906" s="79">
        <v>46139</v>
      </c>
      <c r="C2906" s="75"/>
      <c r="D2906" s="75"/>
      <c r="E2906" s="75"/>
      <c r="F2906" s="75">
        <v>20109</v>
      </c>
      <c r="G2906" s="76" t="str">
        <f>VLOOKUP(Tabelle2[[#This Row],[Kunden Nr.]],KUNDEN!A:B,2,0)</f>
        <v>KENA COMERC</v>
      </c>
      <c r="H2906" s="75">
        <v>51611</v>
      </c>
      <c r="I2906" s="76" t="str">
        <f>VLOOKUP(Tabelle2[[#This Row],[Artikel]],Produkte!A:B,2,0)</f>
        <v>universal akryl</v>
      </c>
      <c r="J2906" s="75">
        <v>24</v>
      </c>
      <c r="K2906" s="76" t="str">
        <f>VLOOKUP(Tabelle2[[#This Row],[Kunden Nr.]],KUNDEN!A:G,7)</f>
        <v>Mensuri</v>
      </c>
      <c r="L2906" s="76">
        <f>VLOOKUP(Tabelle2[[#This Row],[Artikel]],Produkte!A:H,8)</f>
        <v>0.06</v>
      </c>
    </row>
    <row r="2907" spans="1:12" x14ac:dyDescent="0.2">
      <c r="A2907" s="75" t="s">
        <v>1163</v>
      </c>
      <c r="B2907" s="79">
        <v>46139</v>
      </c>
      <c r="C2907" s="89">
        <v>138.6</v>
      </c>
      <c r="D2907" s="75"/>
      <c r="E2907" s="75"/>
      <c r="F2907" s="75">
        <v>20121</v>
      </c>
      <c r="G2907" s="76" t="str">
        <f>VLOOKUP(Tabelle2[[#This Row],[Kunden Nr.]],KUNDEN!A:B,2,0)</f>
        <v>CAMA BAU</v>
      </c>
      <c r="H2907" s="75">
        <v>35109</v>
      </c>
      <c r="I2907" s="76" t="str">
        <f>VLOOKUP(Tabelle2[[#This Row],[Artikel]],Produkte!A:B,2,0)</f>
        <v>M-ONE Sanitar Silikon</v>
      </c>
      <c r="J2907" s="75">
        <v>12</v>
      </c>
      <c r="K2907" s="76" t="str">
        <f>VLOOKUP(Tabelle2[[#This Row],[Kunden Nr.]],KUNDEN!A:G,7)</f>
        <v>Mensuri</v>
      </c>
      <c r="L2907" s="76">
        <f>VLOOKUP(Tabelle2[[#This Row],[Artikel]],Produkte!A:H,8)</f>
        <v>0.17</v>
      </c>
    </row>
    <row r="2908" spans="1:12" x14ac:dyDescent="0.2">
      <c r="A2908" s="75" t="s">
        <v>1163</v>
      </c>
      <c r="B2908" s="79">
        <v>46139</v>
      </c>
      <c r="C2908" s="75"/>
      <c r="D2908" s="75"/>
      <c r="E2908" s="75"/>
      <c r="F2908" s="75">
        <v>20121</v>
      </c>
      <c r="G2908" s="76" t="str">
        <f>VLOOKUP(Tabelle2[[#This Row],[Kunden Nr.]],KUNDEN!A:B,2,0)</f>
        <v>CAMA BAU</v>
      </c>
      <c r="H2908" s="75">
        <v>35115</v>
      </c>
      <c r="I2908" s="76" t="str">
        <f>VLOOKUP(Tabelle2[[#This Row],[Artikel]],Produkte!A:B,2,0)</f>
        <v>M-ONE Sanitar Silikon</v>
      </c>
      <c r="J2908" s="75">
        <v>12</v>
      </c>
      <c r="K2908" s="76" t="str">
        <f>VLOOKUP(Tabelle2[[#This Row],[Kunden Nr.]],KUNDEN!A:G,7)</f>
        <v>Mensuri</v>
      </c>
      <c r="L2908" s="76">
        <f>VLOOKUP(Tabelle2[[#This Row],[Artikel]],Produkte!A:H,8)</f>
        <v>0.17</v>
      </c>
    </row>
    <row r="2909" spans="1:12" x14ac:dyDescent="0.2">
      <c r="A2909" s="75" t="s">
        <v>1163</v>
      </c>
      <c r="B2909" s="79">
        <v>46139</v>
      </c>
      <c r="C2909" s="75"/>
      <c r="D2909" s="75"/>
      <c r="E2909" s="75"/>
      <c r="F2909" s="75">
        <v>20121</v>
      </c>
      <c r="G2909" s="76" t="str">
        <f>VLOOKUP(Tabelle2[[#This Row],[Kunden Nr.]],KUNDEN!A:B,2,0)</f>
        <v>CAMA BAU</v>
      </c>
      <c r="H2909" s="75">
        <v>35125</v>
      </c>
      <c r="I2909" s="76" t="str">
        <f>VLOOKUP(Tabelle2[[#This Row],[Artikel]],Produkte!A:B,2,0)</f>
        <v>M-ONE Sanitar Silikon</v>
      </c>
      <c r="J2909" s="75">
        <v>12</v>
      </c>
      <c r="K2909" s="76" t="str">
        <f>VLOOKUP(Tabelle2[[#This Row],[Kunden Nr.]],KUNDEN!A:G,7)</f>
        <v>Mensuri</v>
      </c>
      <c r="L2909" s="76">
        <f>VLOOKUP(Tabelle2[[#This Row],[Artikel]],Produkte!A:H,8)</f>
        <v>0.17</v>
      </c>
    </row>
    <row r="2910" spans="1:12" x14ac:dyDescent="0.2">
      <c r="A2910" s="75" t="s">
        <v>469</v>
      </c>
      <c r="B2910" s="79">
        <v>46139</v>
      </c>
      <c r="C2910" s="89">
        <v>65.2</v>
      </c>
      <c r="D2910" s="75"/>
      <c r="E2910" s="75"/>
      <c r="F2910" s="75">
        <v>20102</v>
      </c>
      <c r="G2910" s="76" t="str">
        <f>VLOOKUP(Tabelle2[[#This Row],[Kunden Nr.]],KUNDEN!A:B,2,0)</f>
        <v>KUQI-LKW</v>
      </c>
      <c r="H2910" s="75">
        <v>54412</v>
      </c>
      <c r="I2910" s="76" t="str">
        <f>VLOOKUP(Tabelle2[[#This Row],[Artikel]],Produkte!A:B,2,0)</f>
        <v>beMAKER Bremsen&amp;Teile Reininger</v>
      </c>
      <c r="J2910" s="75">
        <v>5</v>
      </c>
      <c r="K2910" s="76" t="str">
        <f>VLOOKUP(Tabelle2[[#This Row],[Kunden Nr.]],KUNDEN!A:G,7)</f>
        <v>Mensuri</v>
      </c>
      <c r="L2910" s="76">
        <f>VLOOKUP(Tabelle2[[#This Row],[Artikel]],Produkte!A:H,8)</f>
        <v>0.2</v>
      </c>
    </row>
    <row r="2911" spans="1:12" x14ac:dyDescent="0.2">
      <c r="A2911" s="75" t="s">
        <v>469</v>
      </c>
      <c r="B2911" s="79">
        <v>46139</v>
      </c>
      <c r="C2911" s="75"/>
      <c r="D2911" s="75"/>
      <c r="E2911" s="75"/>
      <c r="F2911" s="75">
        <v>20102</v>
      </c>
      <c r="G2911" s="76" t="str">
        <f>VLOOKUP(Tabelle2[[#This Row],[Kunden Nr.]],KUNDEN!A:B,2,0)</f>
        <v>KUQI-LKW</v>
      </c>
      <c r="H2911" s="75">
        <v>56117</v>
      </c>
      <c r="I2911" s="76" t="str">
        <f>VLOOKUP(Tabelle2[[#This Row],[Artikel]],Produkte!A:B,2,0)</f>
        <v>M ONE UBS</v>
      </c>
      <c r="J2911" s="75">
        <v>3</v>
      </c>
      <c r="K2911" s="76" t="str">
        <f>VLOOKUP(Tabelle2[[#This Row],[Kunden Nr.]],KUNDEN!A:G,7)</f>
        <v>Mensuri</v>
      </c>
      <c r="L2911" s="76">
        <f>VLOOKUP(Tabelle2[[#This Row],[Artikel]],Produkte!A:H,8)</f>
        <v>0.2</v>
      </c>
    </row>
    <row r="2912" spans="1:12" x14ac:dyDescent="0.2">
      <c r="A2912" s="75" t="s">
        <v>469</v>
      </c>
      <c r="B2912" s="79">
        <v>46139</v>
      </c>
      <c r="C2912" s="75"/>
      <c r="D2912" s="75"/>
      <c r="E2912" s="75"/>
      <c r="F2912" s="75">
        <v>20102</v>
      </c>
      <c r="G2912" s="76" t="str">
        <f>VLOOKUP(Tabelle2[[#This Row],[Kunden Nr.]],KUNDEN!A:B,2,0)</f>
        <v>KUQI-LKW</v>
      </c>
      <c r="H2912" s="75">
        <v>50912</v>
      </c>
      <c r="I2912" s="76" t="str">
        <f>VLOOKUP(Tabelle2[[#This Row],[Artikel]],Produkte!A:B,2,0)</f>
        <v>DICHTUNG</v>
      </c>
      <c r="J2912" s="75">
        <v>6</v>
      </c>
      <c r="K2912" s="76" t="str">
        <f>VLOOKUP(Tabelle2[[#This Row],[Kunden Nr.]],KUNDEN!A:G,7)</f>
        <v>Mensuri</v>
      </c>
      <c r="L2912" s="76">
        <f>VLOOKUP(Tabelle2[[#This Row],[Artikel]],Produkte!A:H,8)</f>
        <v>0.2</v>
      </c>
    </row>
    <row r="2913" spans="1:12" x14ac:dyDescent="0.2">
      <c r="A2913" s="75" t="s">
        <v>395</v>
      </c>
      <c r="B2913" s="79">
        <v>46139</v>
      </c>
      <c r="C2913" s="89">
        <v>32.6</v>
      </c>
      <c r="D2913" s="75"/>
      <c r="E2913" s="75"/>
      <c r="F2913" s="75">
        <v>20122</v>
      </c>
      <c r="G2913" s="76" t="str">
        <f>VLOOKUP(Tabelle2[[#This Row],[Kunden Nr.]],KUNDEN!A:B,2,0)</f>
        <v>GLOBI TERM</v>
      </c>
      <c r="H2913" s="75">
        <v>50912</v>
      </c>
      <c r="I2913" s="76" t="str">
        <f>VLOOKUP(Tabelle2[[#This Row],[Artikel]],Produkte!A:B,2,0)</f>
        <v>DICHTUNG</v>
      </c>
      <c r="J2913" s="75">
        <v>3</v>
      </c>
      <c r="K2913" s="76" t="str">
        <f>VLOOKUP(Tabelle2[[#This Row],[Kunden Nr.]],KUNDEN!A:G,7)</f>
        <v>Mensuri</v>
      </c>
      <c r="L2913" s="76">
        <f>VLOOKUP(Tabelle2[[#This Row],[Artikel]],Produkte!A:H,8)</f>
        <v>0.2</v>
      </c>
    </row>
    <row r="2914" spans="1:12" x14ac:dyDescent="0.2">
      <c r="A2914" s="75" t="s">
        <v>395</v>
      </c>
      <c r="B2914" s="79">
        <v>46139</v>
      </c>
      <c r="C2914" s="75"/>
      <c r="D2914" s="75"/>
      <c r="E2914" s="75"/>
      <c r="F2914" s="75">
        <v>20122</v>
      </c>
      <c r="G2914" s="76" t="str">
        <f>VLOOKUP(Tabelle2[[#This Row],[Kunden Nr.]],KUNDEN!A:B,2,0)</f>
        <v>GLOBI TERM</v>
      </c>
      <c r="H2914" s="75">
        <v>44001</v>
      </c>
      <c r="I2914" s="76" t="str">
        <f>VLOOKUP(Tabelle2[[#This Row],[Artikel]],Produkte!A:B,2,0)</f>
        <v>Fettspray</v>
      </c>
      <c r="J2914" s="75">
        <v>2</v>
      </c>
      <c r="K2914" s="76" t="str">
        <f>VLOOKUP(Tabelle2[[#This Row],[Kunden Nr.]],KUNDEN!A:G,7)</f>
        <v>Mensuri</v>
      </c>
      <c r="L2914" s="76">
        <f>VLOOKUP(Tabelle2[[#This Row],[Artikel]],Produkte!A:H,8)</f>
        <v>0.2</v>
      </c>
    </row>
    <row r="2915" spans="1:12" x14ac:dyDescent="0.2">
      <c r="A2915" s="75" t="s">
        <v>395</v>
      </c>
      <c r="B2915" s="79">
        <v>46139</v>
      </c>
      <c r="C2915" s="75"/>
      <c r="D2915" s="75"/>
      <c r="E2915" s="75"/>
      <c r="F2915" s="75">
        <v>20122</v>
      </c>
      <c r="G2915" s="76" t="str">
        <f>VLOOKUP(Tabelle2[[#This Row],[Kunden Nr.]],KUNDEN!A:B,2,0)</f>
        <v>GLOBI TERM</v>
      </c>
      <c r="H2915" s="75">
        <v>31880</v>
      </c>
      <c r="I2915" s="76" t="str">
        <f>VLOOKUP(Tabelle2[[#This Row],[Artikel]],Produkte!A:B,2,0)</f>
        <v>HAT LACK 800</v>
      </c>
      <c r="J2915" s="75">
        <v>1</v>
      </c>
      <c r="K2915" s="76" t="str">
        <f>VLOOKUP(Tabelle2[[#This Row],[Kunden Nr.]],KUNDEN!A:G,7)</f>
        <v>Mensuri</v>
      </c>
      <c r="L2915" s="76">
        <f>VLOOKUP(Tabelle2[[#This Row],[Artikel]],Produkte!A:H,8)</f>
        <v>0.35</v>
      </c>
    </row>
    <row r="2916" spans="1:12" x14ac:dyDescent="0.2">
      <c r="A2916" s="75" t="s">
        <v>424</v>
      </c>
      <c r="B2916" s="79">
        <v>46139</v>
      </c>
      <c r="C2916" s="89">
        <v>60</v>
      </c>
      <c r="D2916" s="75"/>
      <c r="E2916" s="75"/>
      <c r="F2916" s="75">
        <v>20211</v>
      </c>
      <c r="G2916" s="76" t="str">
        <f>VLOOKUP(Tabelle2[[#This Row],[Kunden Nr.]],KUNDEN!A:B,2,0)</f>
        <v>INOX 1</v>
      </c>
      <c r="H2916" s="75">
        <v>16936</v>
      </c>
      <c r="I2916" s="76" t="str">
        <f>VLOOKUP(Tabelle2[[#This Row],[Artikel]],Produkte!A:B,2,0)</f>
        <v>M ONE FELGENSILBER</v>
      </c>
      <c r="J2916" s="75">
        <v>12</v>
      </c>
      <c r="K2916" s="76" t="str">
        <f>VLOOKUP(Tabelle2[[#This Row],[Kunden Nr.]],KUNDEN!A:G,7)</f>
        <v>Mensuri</v>
      </c>
      <c r="L2916" s="76">
        <f>VLOOKUP(Tabelle2[[#This Row],[Artikel]],Produkte!A:H,8)</f>
        <v>0.15</v>
      </c>
    </row>
    <row r="2917" spans="1:12" x14ac:dyDescent="0.2">
      <c r="A2917" s="75" t="s">
        <v>424</v>
      </c>
      <c r="B2917" s="79">
        <v>46139</v>
      </c>
      <c r="C2917" s="75"/>
      <c r="D2917" s="75"/>
      <c r="E2917" s="75"/>
      <c r="F2917" s="75">
        <v>20211</v>
      </c>
      <c r="G2917" s="76" t="str">
        <f>VLOOKUP(Tabelle2[[#This Row],[Kunden Nr.]],KUNDEN!A:B,2,0)</f>
        <v>INOX 1</v>
      </c>
      <c r="H2917" s="75">
        <v>26736</v>
      </c>
      <c r="I2917" s="76" t="str">
        <f>VLOOKUP(Tabelle2[[#This Row],[Artikel]],Produkte!A:B,2,0)</f>
        <v>M ONE HAFTGRUND</v>
      </c>
      <c r="J2917" s="75">
        <v>6</v>
      </c>
      <c r="K2917" s="76" t="str">
        <f>VLOOKUP(Tabelle2[[#This Row],[Kunden Nr.]],KUNDEN!A:G,7)</f>
        <v>Mensuri</v>
      </c>
      <c r="L2917" s="76">
        <f>VLOOKUP(Tabelle2[[#This Row],[Artikel]],Produkte!A:H,8)</f>
        <v>0.15</v>
      </c>
    </row>
    <row r="2918" spans="1:12" x14ac:dyDescent="0.2">
      <c r="A2918" s="75" t="s">
        <v>424</v>
      </c>
      <c r="B2918" s="79">
        <v>46139</v>
      </c>
      <c r="C2918" s="75"/>
      <c r="D2918" s="75"/>
      <c r="E2918" s="75"/>
      <c r="F2918" s="75">
        <v>20211</v>
      </c>
      <c r="G2918" s="76" t="str">
        <f>VLOOKUP(Tabelle2[[#This Row],[Kunden Nr.]],KUNDEN!A:B,2,0)</f>
        <v>INOX 1</v>
      </c>
      <c r="H2918" s="75">
        <v>51936</v>
      </c>
      <c r="I2918" s="76" t="str">
        <f>VLOOKUP(Tabelle2[[#This Row],[Artikel]],Produkte!A:B,2,0)</f>
        <v>M ONE SCHWARZ GLÄNZED</v>
      </c>
      <c r="J2918" s="75">
        <v>6</v>
      </c>
      <c r="K2918" s="76" t="str">
        <f>VLOOKUP(Tabelle2[[#This Row],[Kunden Nr.]],KUNDEN!A:G,7)</f>
        <v>Mensuri</v>
      </c>
      <c r="L2918" s="76">
        <f>VLOOKUP(Tabelle2[[#This Row],[Artikel]],Produkte!A:H,8)</f>
        <v>0.15</v>
      </c>
    </row>
    <row r="2919" spans="1:12" x14ac:dyDescent="0.2">
      <c r="A2919" s="75" t="s">
        <v>1129</v>
      </c>
      <c r="B2919" s="79">
        <v>46139</v>
      </c>
      <c r="C2919" s="89">
        <v>184.8</v>
      </c>
      <c r="D2919" s="75"/>
      <c r="E2919" s="75"/>
      <c r="F2919" s="75">
        <v>20127</v>
      </c>
      <c r="G2919" s="76" t="str">
        <f>VLOOKUP(Tabelle2[[#This Row],[Kunden Nr.]],KUNDEN!A:B,2,0)</f>
        <v>TERMO PROJEKT</v>
      </c>
      <c r="H2919" s="75">
        <v>35110</v>
      </c>
      <c r="I2919" s="76" t="str">
        <f>VLOOKUP(Tabelle2[[#This Row],[Artikel]],Produkte!A:B,2,0)</f>
        <v>M-ONE Sanitar Silikon</v>
      </c>
      <c r="J2919" s="75">
        <v>24</v>
      </c>
      <c r="K2919" s="76" t="str">
        <f>VLOOKUP(Tabelle2[[#This Row],[Kunden Nr.]],KUNDEN!A:G,7)</f>
        <v>Mensuri</v>
      </c>
      <c r="L2919" s="76">
        <f>VLOOKUP(Tabelle2[[#This Row],[Artikel]],Produkte!A:H,8)</f>
        <v>0.17</v>
      </c>
    </row>
    <row r="2920" spans="1:12" x14ac:dyDescent="0.2">
      <c r="A2920" s="75" t="s">
        <v>1129</v>
      </c>
      <c r="B2920" s="79">
        <v>46139</v>
      </c>
      <c r="C2920" s="75"/>
      <c r="D2920" s="75"/>
      <c r="E2920" s="75"/>
      <c r="F2920" s="75">
        <v>20127</v>
      </c>
      <c r="G2920" s="76" t="str">
        <f>VLOOKUP(Tabelle2[[#This Row],[Kunden Nr.]],KUNDEN!A:B,2,0)</f>
        <v>TERMO PROJEKT</v>
      </c>
      <c r="H2920" s="75">
        <v>35112</v>
      </c>
      <c r="I2920" s="76" t="str">
        <f>VLOOKUP(Tabelle2[[#This Row],[Artikel]],Produkte!A:B,2,0)</f>
        <v>M-ONE Sanitar Silikon</v>
      </c>
      <c r="J2920" s="75">
        <v>12</v>
      </c>
      <c r="K2920" s="76" t="str">
        <f>VLOOKUP(Tabelle2[[#This Row],[Kunden Nr.]],KUNDEN!A:G,7)</f>
        <v>Mensuri</v>
      </c>
      <c r="L2920" s="76">
        <f>VLOOKUP(Tabelle2[[#This Row],[Artikel]],Produkte!A:H,8)</f>
        <v>0.17</v>
      </c>
    </row>
    <row r="2921" spans="1:12" x14ac:dyDescent="0.2">
      <c r="A2921" s="75" t="s">
        <v>1129</v>
      </c>
      <c r="B2921" s="79">
        <v>46139</v>
      </c>
      <c r="C2921" s="75"/>
      <c r="D2921" s="75"/>
      <c r="E2921" s="75"/>
      <c r="F2921" s="75">
        <v>20127</v>
      </c>
      <c r="G2921" s="76" t="str">
        <f>VLOOKUP(Tabelle2[[#This Row],[Kunden Nr.]],KUNDEN!A:B,2,0)</f>
        <v>TERMO PROJEKT</v>
      </c>
      <c r="H2921" s="75">
        <v>35125</v>
      </c>
      <c r="I2921" s="76" t="str">
        <f>VLOOKUP(Tabelle2[[#This Row],[Artikel]],Produkte!A:B,2,0)</f>
        <v>M-ONE Sanitar Silikon</v>
      </c>
      <c r="J2921" s="75">
        <v>12</v>
      </c>
      <c r="K2921" s="76" t="str">
        <f>VLOOKUP(Tabelle2[[#This Row],[Kunden Nr.]],KUNDEN!A:G,7)</f>
        <v>Mensuri</v>
      </c>
      <c r="L2921" s="76">
        <f>VLOOKUP(Tabelle2[[#This Row],[Artikel]],Produkte!A:H,8)</f>
        <v>0.17</v>
      </c>
    </row>
    <row r="2922" spans="1:12" x14ac:dyDescent="0.2">
      <c r="A2922" s="75" t="s">
        <v>471</v>
      </c>
      <c r="B2922" s="79">
        <v>46139</v>
      </c>
      <c r="C2922" s="89">
        <v>138.6</v>
      </c>
      <c r="D2922" s="75"/>
      <c r="E2922" s="75"/>
      <c r="F2922" s="75">
        <v>20104</v>
      </c>
      <c r="G2922" s="76" t="str">
        <f>VLOOKUP(Tabelle2[[#This Row],[Kunden Nr.]],KUNDEN!A:B,2,0)</f>
        <v>KTHIMI</v>
      </c>
      <c r="H2922" s="75">
        <v>35109</v>
      </c>
      <c r="I2922" s="76" t="str">
        <f>VLOOKUP(Tabelle2[[#This Row],[Artikel]],Produkte!A:B,2,0)</f>
        <v>M-ONE Sanitar Silikon</v>
      </c>
      <c r="J2922" s="75">
        <v>24</v>
      </c>
      <c r="K2922" s="76" t="str">
        <f>VLOOKUP(Tabelle2[[#This Row],[Kunden Nr.]],KUNDEN!A:G,7)</f>
        <v>Mensuri</v>
      </c>
      <c r="L2922" s="76">
        <f>VLOOKUP(Tabelle2[[#This Row],[Artikel]],Produkte!A:H,8)</f>
        <v>0.17</v>
      </c>
    </row>
    <row r="2923" spans="1:12" x14ac:dyDescent="0.2">
      <c r="A2923" s="75" t="s">
        <v>471</v>
      </c>
      <c r="B2923" s="79">
        <v>46139</v>
      </c>
      <c r="C2923" s="75"/>
      <c r="D2923" s="75"/>
      <c r="E2923" s="75"/>
      <c r="F2923" s="75">
        <v>20104</v>
      </c>
      <c r="G2923" s="76" t="str">
        <f>VLOOKUP(Tabelle2[[#This Row],[Kunden Nr.]],KUNDEN!A:B,2,0)</f>
        <v>KTHIMI</v>
      </c>
      <c r="H2923" s="75">
        <v>35121</v>
      </c>
      <c r="I2923" s="76" t="str">
        <f>VLOOKUP(Tabelle2[[#This Row],[Artikel]],Produkte!A:B,2,0)</f>
        <v>M-ONE Sanitar Silikon</v>
      </c>
      <c r="J2923" s="75">
        <v>12</v>
      </c>
      <c r="K2923" s="76" t="str">
        <f>VLOOKUP(Tabelle2[[#This Row],[Kunden Nr.]],KUNDEN!A:G,7)</f>
        <v>Mensuri</v>
      </c>
      <c r="L2923" s="76">
        <f>VLOOKUP(Tabelle2[[#This Row],[Artikel]],Produkte!A:H,8)</f>
        <v>0.17</v>
      </c>
    </row>
    <row r="2924" spans="1:12" x14ac:dyDescent="0.2">
      <c r="A2924" s="75" t="s">
        <v>1180</v>
      </c>
      <c r="B2924" s="79">
        <v>46139</v>
      </c>
      <c r="C2924" s="89">
        <v>138.6</v>
      </c>
      <c r="D2924" s="75"/>
      <c r="E2924" s="75"/>
      <c r="F2924" s="75">
        <v>20126</v>
      </c>
      <c r="G2924" s="76" t="str">
        <f>VLOOKUP(Tabelle2[[#This Row],[Kunden Nr.]],KUNDEN!A:B,2,0)</f>
        <v>LULI-C</v>
      </c>
      <c r="H2924" s="75">
        <v>35113</v>
      </c>
      <c r="I2924" s="76" t="str">
        <f>VLOOKUP(Tabelle2[[#This Row],[Artikel]],Produkte!A:B,2,0)</f>
        <v>M-ONE Sanitar Silikon</v>
      </c>
      <c r="J2924" s="75">
        <v>24</v>
      </c>
      <c r="K2924" s="76" t="str">
        <f>VLOOKUP(Tabelle2[[#This Row],[Kunden Nr.]],KUNDEN!A:G,7)</f>
        <v>Mensuri</v>
      </c>
      <c r="L2924" s="76">
        <f>VLOOKUP(Tabelle2[[#This Row],[Artikel]],Produkte!A:H,8)</f>
        <v>0.17</v>
      </c>
    </row>
    <row r="2925" spans="1:12" x14ac:dyDescent="0.2">
      <c r="A2925" s="75" t="s">
        <v>1180</v>
      </c>
      <c r="B2925" s="79">
        <v>46139</v>
      </c>
      <c r="C2925" s="75"/>
      <c r="D2925" s="75"/>
      <c r="E2925" s="75"/>
      <c r="F2925" s="75">
        <v>20126</v>
      </c>
      <c r="G2925" s="76" t="str">
        <f>VLOOKUP(Tabelle2[[#This Row],[Kunden Nr.]],KUNDEN!A:B,2,0)</f>
        <v>LULI-C</v>
      </c>
      <c r="H2925" s="75">
        <v>35119</v>
      </c>
      <c r="I2925" s="76" t="str">
        <f>VLOOKUP(Tabelle2[[#This Row],[Artikel]],Produkte!A:B,2,0)</f>
        <v>M-ONE Sanitar Silikon</v>
      </c>
      <c r="J2925" s="75">
        <v>12</v>
      </c>
      <c r="K2925" s="76" t="str">
        <f>VLOOKUP(Tabelle2[[#This Row],[Kunden Nr.]],KUNDEN!A:G,7)</f>
        <v>Mensuri</v>
      </c>
      <c r="L2925" s="76">
        <f>VLOOKUP(Tabelle2[[#This Row],[Artikel]],Produkte!A:H,8)</f>
        <v>0.17</v>
      </c>
    </row>
    <row r="2926" spans="1:12" x14ac:dyDescent="0.2">
      <c r="A2926" s="75" t="s">
        <v>770</v>
      </c>
      <c r="B2926" s="79">
        <v>46140</v>
      </c>
      <c r="C2926" s="89">
        <v>265</v>
      </c>
      <c r="D2926" s="75"/>
      <c r="E2926" s="75"/>
      <c r="F2926" s="75">
        <v>40003</v>
      </c>
      <c r="G2926" s="76" t="str">
        <f>VLOOKUP(Tabelle2[[#This Row],[Kunden Nr.]],KUNDEN!A:B,2,0)</f>
        <v>ARBENI BIOBLIC</v>
      </c>
      <c r="H2926" s="75">
        <v>20001</v>
      </c>
      <c r="I2926" s="76" t="str">
        <f>VLOOKUP(Tabelle2[[#This Row],[Artikel]],Produkte!A:B,2,0)</f>
        <v>BioBlic Universalreiniger</v>
      </c>
      <c r="J2926" s="75">
        <v>140</v>
      </c>
      <c r="K2926" s="76">
        <f>VLOOKUP(Tabelle2[[#This Row],[Kunden Nr.]],KUNDEN!A:G,7)</f>
        <v>0</v>
      </c>
      <c r="L2926" s="76">
        <f>VLOOKUP(Tabelle2[[#This Row],[Artikel]],Produkte!A:H,8)</f>
        <v>0.30000000000000004</v>
      </c>
    </row>
    <row r="2927" spans="1:12" x14ac:dyDescent="0.2">
      <c r="A2927" s="75" t="s">
        <v>770</v>
      </c>
      <c r="B2927" s="79">
        <v>46140</v>
      </c>
      <c r="C2927" s="75"/>
      <c r="D2927" s="75"/>
      <c r="E2927" s="75"/>
      <c r="F2927" s="75">
        <v>40003</v>
      </c>
      <c r="G2927" s="76" t="str">
        <f>VLOOKUP(Tabelle2[[#This Row],[Kunden Nr.]],KUNDEN!A:B,2,0)</f>
        <v>ARBENI BIOBLIC</v>
      </c>
      <c r="H2927" s="75">
        <v>30275</v>
      </c>
      <c r="I2927" s="76" t="str">
        <f>VLOOKUP(Tabelle2[[#This Row],[Artikel]],Produkte!A:B,2,0)</f>
        <v>Blic Blic Sanitärreiniger</v>
      </c>
      <c r="J2927" s="75">
        <v>60</v>
      </c>
      <c r="K2927" s="76">
        <f>VLOOKUP(Tabelle2[[#This Row],[Kunden Nr.]],KUNDEN!A:G,7)</f>
        <v>0</v>
      </c>
      <c r="L2927" s="76">
        <f>VLOOKUP(Tabelle2[[#This Row],[Artikel]],Produkte!A:H,8)</f>
        <v>0.30000000000000004</v>
      </c>
    </row>
    <row r="2928" spans="1:12" x14ac:dyDescent="0.2">
      <c r="A2928" s="75" t="s">
        <v>770</v>
      </c>
      <c r="B2928" s="79">
        <v>46140</v>
      </c>
      <c r="C2928" s="75"/>
      <c r="D2928" s="75"/>
      <c r="E2928" s="75"/>
      <c r="F2928" s="75">
        <v>40003</v>
      </c>
      <c r="G2928" s="76" t="str">
        <f>VLOOKUP(Tabelle2[[#This Row],[Kunden Nr.]],KUNDEN!A:B,2,0)</f>
        <v>ARBENI BIOBLIC</v>
      </c>
      <c r="H2928" s="75">
        <v>50912</v>
      </c>
      <c r="I2928" s="76" t="str">
        <f>VLOOKUP(Tabelle2[[#This Row],[Artikel]],Produkte!A:B,2,0)</f>
        <v>DICHTUNG</v>
      </c>
      <c r="J2928" s="75">
        <v>2</v>
      </c>
      <c r="K2928" s="76">
        <f>VLOOKUP(Tabelle2[[#This Row],[Kunden Nr.]],KUNDEN!A:G,7)</f>
        <v>0</v>
      </c>
      <c r="L2928" s="76">
        <f>VLOOKUP(Tabelle2[[#This Row],[Artikel]],Produkte!A:H,8)</f>
        <v>0.2</v>
      </c>
    </row>
    <row r="2929" spans="1:12" x14ac:dyDescent="0.2">
      <c r="A2929" s="75" t="s">
        <v>1177</v>
      </c>
      <c r="B2929" s="79">
        <v>46140</v>
      </c>
      <c r="C2929" s="89">
        <v>48</v>
      </c>
      <c r="D2929" s="75"/>
      <c r="E2929" s="75"/>
      <c r="F2929" s="75">
        <v>40017</v>
      </c>
      <c r="G2929" s="76" t="str">
        <f>VLOOKUP(Tabelle2[[#This Row],[Kunden Nr.]],KUNDEN!A:B,2,0)</f>
        <v>YLLI CONSTRUCION</v>
      </c>
      <c r="H2929" s="75">
        <v>35108</v>
      </c>
      <c r="I2929" s="76" t="str">
        <f>VLOOKUP(Tabelle2[[#This Row],[Artikel]],Produkte!A:B,2,0)</f>
        <v>M-ONE Sanitar Silikon</v>
      </c>
      <c r="J2929" s="75">
        <v>8</v>
      </c>
      <c r="K2929" s="76">
        <f>VLOOKUP(Tabelle2[[#This Row],[Kunden Nr.]],KUNDEN!A:G,7)</f>
        <v>0</v>
      </c>
      <c r="L2929" s="76">
        <f>VLOOKUP(Tabelle2[[#This Row],[Artikel]],Produkte!A:H,8)</f>
        <v>0.17</v>
      </c>
    </row>
    <row r="2930" spans="1:12" x14ac:dyDescent="0.2">
      <c r="A2930" s="75" t="s">
        <v>1177</v>
      </c>
      <c r="B2930" s="79">
        <v>46140</v>
      </c>
      <c r="C2930" s="75"/>
      <c r="D2930" s="75"/>
      <c r="E2930" s="75"/>
      <c r="F2930" s="75">
        <v>40017</v>
      </c>
      <c r="G2930" s="76" t="str">
        <f>VLOOKUP(Tabelle2[[#This Row],[Kunden Nr.]],KUNDEN!A:B,2,0)</f>
        <v>YLLI CONSTRUCION</v>
      </c>
      <c r="H2930" s="75">
        <v>35115</v>
      </c>
      <c r="I2930" s="76" t="str">
        <f>VLOOKUP(Tabelle2[[#This Row],[Artikel]],Produkte!A:B,2,0)</f>
        <v>M-ONE Sanitar Silikon</v>
      </c>
      <c r="J2930" s="75">
        <v>4</v>
      </c>
      <c r="K2930" s="76">
        <f>VLOOKUP(Tabelle2[[#This Row],[Kunden Nr.]],KUNDEN!A:G,7)</f>
        <v>0</v>
      </c>
      <c r="L2930" s="76">
        <f>VLOOKUP(Tabelle2[[#This Row],[Artikel]],Produkte!A:H,8)</f>
        <v>0.17</v>
      </c>
    </row>
    <row r="2931" spans="1:12" x14ac:dyDescent="0.2">
      <c r="A2931" s="75" t="s">
        <v>511</v>
      </c>
      <c r="B2931" s="79">
        <v>46140</v>
      </c>
      <c r="C2931" s="89">
        <v>46.2</v>
      </c>
      <c r="D2931" s="75"/>
      <c r="E2931" s="75"/>
      <c r="F2931" s="75">
        <v>10202</v>
      </c>
      <c r="G2931" s="76" t="str">
        <f>VLOOKUP(Tabelle2[[#This Row],[Kunden Nr.]],KUNDEN!A:B,2,0)</f>
        <v>METAL FATI</v>
      </c>
      <c r="H2931" s="75">
        <v>35128</v>
      </c>
      <c r="I2931" s="76" t="str">
        <f>VLOOKUP(Tabelle2[[#This Row],[Artikel]],Produkte!A:B,2,0)</f>
        <v>M-ONE Sanitar Silikon</v>
      </c>
      <c r="J2931" s="75">
        <v>12</v>
      </c>
      <c r="K2931" s="76" t="str">
        <f>VLOOKUP(Tabelle2[[#This Row],[Kunden Nr.]],KUNDEN!A:G,7)</f>
        <v>Qerimi</v>
      </c>
      <c r="L2931" s="76">
        <f>VLOOKUP(Tabelle2[[#This Row],[Artikel]],Produkte!A:H,8)</f>
        <v>0.17</v>
      </c>
    </row>
    <row r="2932" spans="1:12" x14ac:dyDescent="0.2">
      <c r="A2932" s="75" t="s">
        <v>515</v>
      </c>
      <c r="B2932" s="79">
        <v>46140</v>
      </c>
      <c r="C2932" s="89">
        <v>199.2</v>
      </c>
      <c r="D2932" s="75"/>
      <c r="E2932" s="75"/>
      <c r="F2932" s="75">
        <v>10205</v>
      </c>
      <c r="G2932" s="76" t="str">
        <f>VLOOKUP(Tabelle2[[#This Row],[Kunden Nr.]],KUNDEN!A:B,2,0)</f>
        <v>XHAFA</v>
      </c>
      <c r="H2932" s="75">
        <v>35108</v>
      </c>
      <c r="I2932" s="76" t="str">
        <f>VLOOKUP(Tabelle2[[#This Row],[Artikel]],Produkte!A:B,2,0)</f>
        <v>M-ONE Sanitar Silikon</v>
      </c>
      <c r="J2932" s="75">
        <v>12</v>
      </c>
      <c r="K2932" s="76" t="str">
        <f>VLOOKUP(Tabelle2[[#This Row],[Kunden Nr.]],KUNDEN!A:G,7)</f>
        <v>Qerimi</v>
      </c>
      <c r="L2932" s="76">
        <f>VLOOKUP(Tabelle2[[#This Row],[Artikel]],Produkte!A:H,8)</f>
        <v>0.17</v>
      </c>
    </row>
    <row r="2933" spans="1:12" x14ac:dyDescent="0.2">
      <c r="A2933" s="75" t="s">
        <v>515</v>
      </c>
      <c r="B2933" s="79">
        <v>46140</v>
      </c>
      <c r="C2933" s="75"/>
      <c r="D2933" s="75"/>
      <c r="E2933" s="75"/>
      <c r="F2933" s="75">
        <v>10205</v>
      </c>
      <c r="G2933" s="76" t="str">
        <f>VLOOKUP(Tabelle2[[#This Row],[Kunden Nr.]],KUNDEN!A:B,2,0)</f>
        <v>XHAFA</v>
      </c>
      <c r="H2933" s="75">
        <v>35111</v>
      </c>
      <c r="I2933" s="76" t="str">
        <f>VLOOKUP(Tabelle2[[#This Row],[Artikel]],Produkte!A:B,2,0)</f>
        <v>M-ONE Sanitar Silikon</v>
      </c>
      <c r="J2933" s="75">
        <v>12</v>
      </c>
      <c r="K2933" s="76" t="str">
        <f>VLOOKUP(Tabelle2[[#This Row],[Kunden Nr.]],KUNDEN!A:G,7)</f>
        <v>Qerimi</v>
      </c>
      <c r="L2933" s="76">
        <f>VLOOKUP(Tabelle2[[#This Row],[Artikel]],Produkte!A:H,8)</f>
        <v>0.17</v>
      </c>
    </row>
    <row r="2934" spans="1:12" x14ac:dyDescent="0.2">
      <c r="A2934" s="75" t="s">
        <v>515</v>
      </c>
      <c r="B2934" s="79">
        <v>46140</v>
      </c>
      <c r="C2934" s="75"/>
      <c r="D2934" s="75"/>
      <c r="E2934" s="75"/>
      <c r="F2934" s="75">
        <v>10205</v>
      </c>
      <c r="G2934" s="76" t="str">
        <f>VLOOKUP(Tabelle2[[#This Row],[Kunden Nr.]],KUNDEN!A:B,2,0)</f>
        <v>XHAFA</v>
      </c>
      <c r="H2934" s="75">
        <v>35115</v>
      </c>
      <c r="I2934" s="76" t="str">
        <f>VLOOKUP(Tabelle2[[#This Row],[Artikel]],Produkte!A:B,2,0)</f>
        <v>M-ONE Sanitar Silikon</v>
      </c>
      <c r="J2934" s="75">
        <v>12</v>
      </c>
      <c r="K2934" s="76" t="str">
        <f>VLOOKUP(Tabelle2[[#This Row],[Kunden Nr.]],KUNDEN!A:G,7)</f>
        <v>Qerimi</v>
      </c>
      <c r="L2934" s="76">
        <f>VLOOKUP(Tabelle2[[#This Row],[Artikel]],Produkte!A:H,8)</f>
        <v>0.17</v>
      </c>
    </row>
    <row r="2935" spans="1:12" x14ac:dyDescent="0.2">
      <c r="A2935" s="75" t="s">
        <v>515</v>
      </c>
      <c r="B2935" s="79">
        <v>46140</v>
      </c>
      <c r="C2935" s="75"/>
      <c r="D2935" s="75"/>
      <c r="E2935" s="75"/>
      <c r="F2935" s="75">
        <v>10205</v>
      </c>
      <c r="G2935" s="76" t="str">
        <f>VLOOKUP(Tabelle2[[#This Row],[Kunden Nr.]],KUNDEN!A:B,2,0)</f>
        <v>XHAFA</v>
      </c>
      <c r="H2935" s="75">
        <v>35113</v>
      </c>
      <c r="I2935" s="76" t="str">
        <f>VLOOKUP(Tabelle2[[#This Row],[Artikel]],Produkte!A:B,2,0)</f>
        <v>M-ONE Sanitar Silikon</v>
      </c>
      <c r="J2935" s="75">
        <v>12</v>
      </c>
      <c r="K2935" s="76" t="str">
        <f>VLOOKUP(Tabelle2[[#This Row],[Kunden Nr.]],KUNDEN!A:G,7)</f>
        <v>Qerimi</v>
      </c>
      <c r="L2935" s="76">
        <f>VLOOKUP(Tabelle2[[#This Row],[Artikel]],Produkte!A:H,8)</f>
        <v>0.17</v>
      </c>
    </row>
    <row r="2936" spans="1:12" x14ac:dyDescent="0.2">
      <c r="A2936" s="75" t="s">
        <v>515</v>
      </c>
      <c r="B2936" s="79">
        <v>46140</v>
      </c>
      <c r="C2936" s="75"/>
      <c r="D2936" s="75"/>
      <c r="E2936" s="75"/>
      <c r="F2936" s="75">
        <v>10205</v>
      </c>
      <c r="G2936" s="76" t="str">
        <f>VLOOKUP(Tabelle2[[#This Row],[Kunden Nr.]],KUNDEN!A:B,2,0)</f>
        <v>XHAFA</v>
      </c>
      <c r="H2936" s="75">
        <v>50912</v>
      </c>
      <c r="I2936" s="76" t="str">
        <f>VLOOKUP(Tabelle2[[#This Row],[Artikel]],Produkte!A:B,2,0)</f>
        <v>DICHTUNG</v>
      </c>
      <c r="J2936" s="75">
        <v>2</v>
      </c>
      <c r="K2936" s="76" t="str">
        <f>VLOOKUP(Tabelle2[[#This Row],[Kunden Nr.]],KUNDEN!A:G,7)</f>
        <v>Qerimi</v>
      </c>
      <c r="L2936" s="76">
        <f>VLOOKUP(Tabelle2[[#This Row],[Artikel]],Produkte!A:H,8)</f>
        <v>0.2</v>
      </c>
    </row>
    <row r="2937" spans="1:12" x14ac:dyDescent="0.2">
      <c r="A2937" s="75" t="s">
        <v>1298</v>
      </c>
      <c r="B2937" s="79">
        <v>46140</v>
      </c>
      <c r="C2937" s="89">
        <v>46.2</v>
      </c>
      <c r="D2937" s="75"/>
      <c r="E2937" s="75"/>
      <c r="F2937" s="75">
        <v>10256</v>
      </c>
      <c r="G2937" s="76" t="e">
        <f>VLOOKUP(Tabelle2[[#This Row],[Kunden Nr.]],KUNDEN!A:B,2,0)</f>
        <v>#N/A</v>
      </c>
      <c r="H2937" s="75">
        <v>35121</v>
      </c>
      <c r="I2937" s="76" t="str">
        <f>VLOOKUP(Tabelle2[[#This Row],[Artikel]],Produkte!A:B,2,0)</f>
        <v>M-ONE Sanitar Silikon</v>
      </c>
      <c r="J2937" s="75">
        <v>12</v>
      </c>
      <c r="K2937" s="76" t="str">
        <f>VLOOKUP(Tabelle2[[#This Row],[Kunden Nr.]],KUNDEN!A:G,7)</f>
        <v>Qerimi</v>
      </c>
      <c r="L2937" s="76">
        <f>VLOOKUP(Tabelle2[[#This Row],[Artikel]],Produkte!A:H,8)</f>
        <v>0.17</v>
      </c>
    </row>
    <row r="2938" spans="1:12" x14ac:dyDescent="0.2">
      <c r="A2938" s="75" t="s">
        <v>1201</v>
      </c>
      <c r="B2938" s="79">
        <v>46140</v>
      </c>
      <c r="C2938" s="89">
        <v>277.2</v>
      </c>
      <c r="D2938" s="75"/>
      <c r="E2938" s="75"/>
      <c r="F2938" s="75">
        <v>10240</v>
      </c>
      <c r="G2938" s="76" t="str">
        <f>VLOOKUP(Tabelle2[[#This Row],[Kunden Nr.]],KUNDEN!A:B,2,0)</f>
        <v>ARPO</v>
      </c>
      <c r="H2938" s="75">
        <v>35111</v>
      </c>
      <c r="I2938" s="76" t="str">
        <f>VLOOKUP(Tabelle2[[#This Row],[Artikel]],Produkte!A:B,2,0)</f>
        <v>M-ONE Sanitar Silikon</v>
      </c>
      <c r="J2938" s="75">
        <v>12</v>
      </c>
      <c r="K2938" s="76" t="str">
        <f>VLOOKUP(Tabelle2[[#This Row],[Kunden Nr.]],KUNDEN!A:G,7)</f>
        <v>Qerimi</v>
      </c>
      <c r="L2938" s="76">
        <f>VLOOKUP(Tabelle2[[#This Row],[Artikel]],Produkte!A:H,8)</f>
        <v>0.17</v>
      </c>
    </row>
    <row r="2939" spans="1:12" x14ac:dyDescent="0.2">
      <c r="A2939" s="75" t="s">
        <v>1201</v>
      </c>
      <c r="B2939" s="79">
        <v>46140</v>
      </c>
      <c r="C2939" s="75"/>
      <c r="D2939" s="75"/>
      <c r="E2939" s="75"/>
      <c r="F2939" s="75">
        <v>10240</v>
      </c>
      <c r="G2939" s="76" t="str">
        <f>VLOOKUP(Tabelle2[[#This Row],[Kunden Nr.]],KUNDEN!A:B,2,0)</f>
        <v>ARPO</v>
      </c>
      <c r="H2939" s="75">
        <v>35128</v>
      </c>
      <c r="I2939" s="76" t="str">
        <f>VLOOKUP(Tabelle2[[#This Row],[Artikel]],Produkte!A:B,2,0)</f>
        <v>M-ONE Sanitar Silikon</v>
      </c>
      <c r="J2939" s="75">
        <v>12</v>
      </c>
      <c r="K2939" s="76" t="str">
        <f>VLOOKUP(Tabelle2[[#This Row],[Kunden Nr.]],KUNDEN!A:G,7)</f>
        <v>Qerimi</v>
      </c>
      <c r="L2939" s="76">
        <f>VLOOKUP(Tabelle2[[#This Row],[Artikel]],Produkte!A:H,8)</f>
        <v>0.17</v>
      </c>
    </row>
    <row r="2940" spans="1:12" x14ac:dyDescent="0.2">
      <c r="A2940" s="75" t="s">
        <v>1201</v>
      </c>
      <c r="B2940" s="79">
        <v>46140</v>
      </c>
      <c r="C2940" s="75"/>
      <c r="D2940" s="75"/>
      <c r="E2940" s="75"/>
      <c r="F2940" s="75">
        <v>10240</v>
      </c>
      <c r="G2940" s="76" t="str">
        <f>VLOOKUP(Tabelle2[[#This Row],[Kunden Nr.]],KUNDEN!A:B,2,0)</f>
        <v>ARPO</v>
      </c>
      <c r="H2940" s="75">
        <v>35109</v>
      </c>
      <c r="I2940" s="76" t="str">
        <f>VLOOKUP(Tabelle2[[#This Row],[Artikel]],Produkte!A:B,2,0)</f>
        <v>M-ONE Sanitar Silikon</v>
      </c>
      <c r="J2940" s="75">
        <v>24</v>
      </c>
      <c r="K2940" s="76" t="str">
        <f>VLOOKUP(Tabelle2[[#This Row],[Kunden Nr.]],KUNDEN!A:G,7)</f>
        <v>Qerimi</v>
      </c>
      <c r="L2940" s="76">
        <f>VLOOKUP(Tabelle2[[#This Row],[Artikel]],Produkte!A:H,8)</f>
        <v>0.17</v>
      </c>
    </row>
    <row r="2941" spans="1:12" x14ac:dyDescent="0.2">
      <c r="A2941" s="75" t="s">
        <v>1201</v>
      </c>
      <c r="B2941" s="79">
        <v>46140</v>
      </c>
      <c r="C2941" s="75"/>
      <c r="D2941" s="75"/>
      <c r="E2941" s="75"/>
      <c r="F2941" s="75">
        <v>10240</v>
      </c>
      <c r="G2941" s="76" t="str">
        <f>VLOOKUP(Tabelle2[[#This Row],[Kunden Nr.]],KUNDEN!A:B,2,0)</f>
        <v>ARPO</v>
      </c>
      <c r="H2941" s="75">
        <v>35115</v>
      </c>
      <c r="I2941" s="76" t="str">
        <f>VLOOKUP(Tabelle2[[#This Row],[Artikel]],Produkte!A:B,2,0)</f>
        <v>M-ONE Sanitar Silikon</v>
      </c>
      <c r="J2941" s="75">
        <v>24</v>
      </c>
      <c r="K2941" s="76" t="str">
        <f>VLOOKUP(Tabelle2[[#This Row],[Kunden Nr.]],KUNDEN!A:G,7)</f>
        <v>Qerimi</v>
      </c>
      <c r="L2941" s="76">
        <f>VLOOKUP(Tabelle2[[#This Row],[Artikel]],Produkte!A:H,8)</f>
        <v>0.17</v>
      </c>
    </row>
    <row r="2942" spans="1:12" x14ac:dyDescent="0.2">
      <c r="A2942" s="75" t="s">
        <v>1204</v>
      </c>
      <c r="B2942" s="79">
        <v>46140</v>
      </c>
      <c r="C2942" s="89">
        <v>462</v>
      </c>
      <c r="D2942" s="75"/>
      <c r="E2942" s="75"/>
      <c r="F2942" s="75">
        <v>10245</v>
      </c>
      <c r="G2942" s="76" t="str">
        <f>VLOOKUP(Tabelle2[[#This Row],[Kunden Nr.]],KUNDEN!A:B,2,0)</f>
        <v>BEK TRADE</v>
      </c>
      <c r="H2942" s="75">
        <v>35109</v>
      </c>
      <c r="I2942" s="76" t="str">
        <f>VLOOKUP(Tabelle2[[#This Row],[Artikel]],Produkte!A:B,2,0)</f>
        <v>M-ONE Sanitar Silikon</v>
      </c>
      <c r="J2942" s="75">
        <v>36</v>
      </c>
      <c r="K2942" s="76" t="str">
        <f>VLOOKUP(Tabelle2[[#This Row],[Kunden Nr.]],KUNDEN!A:G,7)</f>
        <v>Qerimi</v>
      </c>
      <c r="L2942" s="76">
        <f>VLOOKUP(Tabelle2[[#This Row],[Artikel]],Produkte!A:H,8)</f>
        <v>0.17</v>
      </c>
    </row>
    <row r="2943" spans="1:12" x14ac:dyDescent="0.2">
      <c r="A2943" s="75" t="s">
        <v>1204</v>
      </c>
      <c r="B2943" s="79">
        <v>46140</v>
      </c>
      <c r="C2943" s="75"/>
      <c r="D2943" s="75"/>
      <c r="E2943" s="75"/>
      <c r="F2943" s="75">
        <v>10245</v>
      </c>
      <c r="G2943" s="76" t="str">
        <f>VLOOKUP(Tabelle2[[#This Row],[Kunden Nr.]],KUNDEN!A:B,2,0)</f>
        <v>BEK TRADE</v>
      </c>
      <c r="H2943" s="75">
        <v>35115</v>
      </c>
      <c r="I2943" s="76" t="str">
        <f>VLOOKUP(Tabelle2[[#This Row],[Artikel]],Produkte!A:B,2,0)</f>
        <v>M-ONE Sanitar Silikon</v>
      </c>
      <c r="J2943" s="75">
        <v>24</v>
      </c>
      <c r="K2943" s="76" t="str">
        <f>VLOOKUP(Tabelle2[[#This Row],[Kunden Nr.]],KUNDEN!A:G,7)</f>
        <v>Qerimi</v>
      </c>
      <c r="L2943" s="76">
        <f>VLOOKUP(Tabelle2[[#This Row],[Artikel]],Produkte!A:H,8)</f>
        <v>0.17</v>
      </c>
    </row>
    <row r="2944" spans="1:12" x14ac:dyDescent="0.2">
      <c r="A2944" s="75" t="s">
        <v>1204</v>
      </c>
      <c r="B2944" s="79">
        <v>46140</v>
      </c>
      <c r="C2944" s="75"/>
      <c r="D2944" s="75"/>
      <c r="E2944" s="75"/>
      <c r="F2944" s="75">
        <v>10245</v>
      </c>
      <c r="G2944" s="76" t="str">
        <f>VLOOKUP(Tabelle2[[#This Row],[Kunden Nr.]],KUNDEN!A:B,2,0)</f>
        <v>BEK TRADE</v>
      </c>
      <c r="H2944" s="75">
        <v>35121</v>
      </c>
      <c r="I2944" s="76" t="str">
        <f>VLOOKUP(Tabelle2[[#This Row],[Artikel]],Produkte!A:B,2,0)</f>
        <v>M-ONE Sanitar Silikon</v>
      </c>
      <c r="J2944" s="75">
        <v>24</v>
      </c>
      <c r="K2944" s="76" t="str">
        <f>VLOOKUP(Tabelle2[[#This Row],[Kunden Nr.]],KUNDEN!A:G,7)</f>
        <v>Qerimi</v>
      </c>
      <c r="L2944" s="76">
        <f>VLOOKUP(Tabelle2[[#This Row],[Artikel]],Produkte!A:H,8)</f>
        <v>0.17</v>
      </c>
    </row>
    <row r="2945" spans="1:12" x14ac:dyDescent="0.2">
      <c r="A2945" s="75" t="s">
        <v>1204</v>
      </c>
      <c r="B2945" s="79">
        <v>46140</v>
      </c>
      <c r="C2945" s="75"/>
      <c r="D2945" s="75"/>
      <c r="E2945" s="75"/>
      <c r="F2945" s="75">
        <v>10245</v>
      </c>
      <c r="G2945" s="76" t="str">
        <f>VLOOKUP(Tabelle2[[#This Row],[Kunden Nr.]],KUNDEN!A:B,2,0)</f>
        <v>BEK TRADE</v>
      </c>
      <c r="H2945" s="75">
        <v>35110</v>
      </c>
      <c r="I2945" s="76" t="str">
        <f>VLOOKUP(Tabelle2[[#This Row],[Artikel]],Produkte!A:B,2,0)</f>
        <v>M-ONE Sanitar Silikon</v>
      </c>
      <c r="J2945" s="75">
        <v>12</v>
      </c>
      <c r="K2945" s="76" t="str">
        <f>VLOOKUP(Tabelle2[[#This Row],[Kunden Nr.]],KUNDEN!A:G,7)</f>
        <v>Qerimi</v>
      </c>
      <c r="L2945" s="76">
        <f>VLOOKUP(Tabelle2[[#This Row],[Artikel]],Produkte!A:H,8)</f>
        <v>0.17</v>
      </c>
    </row>
    <row r="2946" spans="1:12" x14ac:dyDescent="0.2">
      <c r="A2946" s="75" t="s">
        <v>1204</v>
      </c>
      <c r="B2946" s="79">
        <v>46140</v>
      </c>
      <c r="C2946" s="75"/>
      <c r="D2946" s="75"/>
      <c r="E2946" s="75"/>
      <c r="F2946" s="75">
        <v>10245</v>
      </c>
      <c r="G2946" s="76" t="str">
        <f>VLOOKUP(Tabelle2[[#This Row],[Kunden Nr.]],KUNDEN!A:B,2,0)</f>
        <v>BEK TRADE</v>
      </c>
      <c r="H2946" s="75">
        <v>35111</v>
      </c>
      <c r="I2946" s="76" t="str">
        <f>VLOOKUP(Tabelle2[[#This Row],[Artikel]],Produkte!A:B,2,0)</f>
        <v>M-ONE Sanitar Silikon</v>
      </c>
      <c r="J2946" s="75">
        <v>12</v>
      </c>
      <c r="K2946" s="76" t="str">
        <f>VLOOKUP(Tabelle2[[#This Row],[Kunden Nr.]],KUNDEN!A:G,7)</f>
        <v>Qerimi</v>
      </c>
      <c r="L2946" s="76">
        <f>VLOOKUP(Tabelle2[[#This Row],[Artikel]],Produkte!A:H,8)</f>
        <v>0.17</v>
      </c>
    </row>
    <row r="2947" spans="1:12" x14ac:dyDescent="0.2">
      <c r="A2947" s="75" t="s">
        <v>1204</v>
      </c>
      <c r="B2947" s="79">
        <v>46140</v>
      </c>
      <c r="C2947" s="75"/>
      <c r="D2947" s="75"/>
      <c r="E2947" s="75"/>
      <c r="F2947" s="75">
        <v>10245</v>
      </c>
      <c r="G2947" s="76" t="str">
        <f>VLOOKUP(Tabelle2[[#This Row],[Kunden Nr.]],KUNDEN!A:B,2,0)</f>
        <v>BEK TRADE</v>
      </c>
      <c r="H2947" s="75">
        <v>35113</v>
      </c>
      <c r="I2947" s="76" t="str">
        <f>VLOOKUP(Tabelle2[[#This Row],[Artikel]],Produkte!A:B,2,0)</f>
        <v>M-ONE Sanitar Silikon</v>
      </c>
      <c r="J2947" s="75">
        <v>12</v>
      </c>
      <c r="K2947" s="76" t="str">
        <f>VLOOKUP(Tabelle2[[#This Row],[Kunden Nr.]],KUNDEN!A:G,7)</f>
        <v>Qerimi</v>
      </c>
      <c r="L2947" s="76">
        <f>VLOOKUP(Tabelle2[[#This Row],[Artikel]],Produkte!A:H,8)</f>
        <v>0.17</v>
      </c>
    </row>
    <row r="2948" spans="1:12" x14ac:dyDescent="0.2">
      <c r="A2948" s="75" t="s">
        <v>509</v>
      </c>
      <c r="B2948" s="79">
        <v>46140</v>
      </c>
      <c r="C2948" s="89">
        <v>46.2</v>
      </c>
      <c r="D2948" s="75"/>
      <c r="E2948" s="75"/>
      <c r="F2948" s="75">
        <v>10201</v>
      </c>
      <c r="G2948" s="76" t="str">
        <f>VLOOKUP(Tabelle2[[#This Row],[Kunden Nr.]],KUNDEN!A:B,2,0)</f>
        <v>TE BESNIKU</v>
      </c>
      <c r="H2948" s="75">
        <v>35110</v>
      </c>
      <c r="I2948" s="76" t="str">
        <f>VLOOKUP(Tabelle2[[#This Row],[Artikel]],Produkte!A:B,2,0)</f>
        <v>M-ONE Sanitar Silikon</v>
      </c>
      <c r="J2948" s="75">
        <v>12</v>
      </c>
      <c r="K2948" s="76" t="str">
        <f>VLOOKUP(Tabelle2[[#This Row],[Kunden Nr.]],KUNDEN!A:G,7)</f>
        <v>Qerimi</v>
      </c>
      <c r="L2948" s="76">
        <f>VLOOKUP(Tabelle2[[#This Row],[Artikel]],Produkte!A:H,8)</f>
        <v>0.17</v>
      </c>
    </row>
    <row r="2949" spans="1:12" x14ac:dyDescent="0.2">
      <c r="A2949" s="75" t="s">
        <v>1226</v>
      </c>
      <c r="B2949" s="79">
        <v>46140</v>
      </c>
      <c r="C2949" s="89">
        <v>92.4</v>
      </c>
      <c r="D2949" s="75"/>
      <c r="E2949" s="75"/>
      <c r="F2949" s="75">
        <v>10541</v>
      </c>
      <c r="G2949" s="76" t="str">
        <f>VLOOKUP(Tabelle2[[#This Row],[Kunden Nr.]],KUNDEN!A:B,2,0)</f>
        <v>ALTINI</v>
      </c>
      <c r="H2949" s="75">
        <v>35108</v>
      </c>
      <c r="I2949" s="76" t="str">
        <f>VLOOKUP(Tabelle2[[#This Row],[Artikel]],Produkte!A:B,2,0)</f>
        <v>M-ONE Sanitar Silikon</v>
      </c>
      <c r="J2949" s="75">
        <v>12</v>
      </c>
      <c r="K2949" s="76" t="str">
        <f>VLOOKUP(Tabelle2[[#This Row],[Kunden Nr.]],KUNDEN!A:G,7)</f>
        <v>Qerimi</v>
      </c>
      <c r="L2949" s="76">
        <f>VLOOKUP(Tabelle2[[#This Row],[Artikel]],Produkte!A:H,8)</f>
        <v>0.17</v>
      </c>
    </row>
    <row r="2950" spans="1:12" x14ac:dyDescent="0.2">
      <c r="A2950" s="75" t="s">
        <v>1226</v>
      </c>
      <c r="B2950" s="79">
        <v>46140</v>
      </c>
      <c r="C2950" s="75"/>
      <c r="D2950" s="75"/>
      <c r="E2950" s="75"/>
      <c r="F2950" s="75">
        <v>10541</v>
      </c>
      <c r="G2950" s="76" t="str">
        <f>VLOOKUP(Tabelle2[[#This Row],[Kunden Nr.]],KUNDEN!A:B,2,0)</f>
        <v>ALTINI</v>
      </c>
      <c r="H2950" s="75">
        <v>35109</v>
      </c>
      <c r="I2950" s="76" t="str">
        <f>VLOOKUP(Tabelle2[[#This Row],[Artikel]],Produkte!A:B,2,0)</f>
        <v>M-ONE Sanitar Silikon</v>
      </c>
      <c r="J2950" s="75">
        <v>12</v>
      </c>
      <c r="K2950" s="76" t="str">
        <f>VLOOKUP(Tabelle2[[#This Row],[Kunden Nr.]],KUNDEN!A:G,7)</f>
        <v>Qerimi</v>
      </c>
      <c r="L2950" s="76">
        <f>VLOOKUP(Tabelle2[[#This Row],[Artikel]],Produkte!A:H,8)</f>
        <v>0.17</v>
      </c>
    </row>
    <row r="2951" spans="1:12" x14ac:dyDescent="0.2">
      <c r="A2951" s="75" t="s">
        <v>939</v>
      </c>
      <c r="B2951" s="79">
        <v>46140</v>
      </c>
      <c r="C2951" s="89">
        <v>323.39999999999998</v>
      </c>
      <c r="D2951" s="75"/>
      <c r="E2951" s="75"/>
      <c r="F2951" s="75">
        <v>10230</v>
      </c>
      <c r="G2951" s="76" t="str">
        <f>VLOOKUP(Tabelle2[[#This Row],[Kunden Nr.]],KUNDEN!A:B,2,0)</f>
        <v>JETA DUHEL</v>
      </c>
      <c r="H2951" s="75">
        <v>35121</v>
      </c>
      <c r="I2951" s="76" t="str">
        <f>VLOOKUP(Tabelle2[[#This Row],[Artikel]],Produkte!A:B,2,0)</f>
        <v>M-ONE Sanitar Silikon</v>
      </c>
      <c r="J2951" s="75">
        <v>36</v>
      </c>
      <c r="K2951" s="76" t="str">
        <f>VLOOKUP(Tabelle2[[#This Row],[Kunden Nr.]],KUNDEN!A:G,7)</f>
        <v>Qerimi</v>
      </c>
      <c r="L2951" s="76">
        <f>VLOOKUP(Tabelle2[[#This Row],[Artikel]],Produkte!A:H,8)</f>
        <v>0.17</v>
      </c>
    </row>
    <row r="2952" spans="1:12" x14ac:dyDescent="0.2">
      <c r="A2952" s="75" t="s">
        <v>939</v>
      </c>
      <c r="B2952" s="79">
        <v>46140</v>
      </c>
      <c r="C2952" s="75"/>
      <c r="D2952" s="75"/>
      <c r="E2952" s="75"/>
      <c r="F2952" s="75">
        <v>10230</v>
      </c>
      <c r="G2952" s="76" t="str">
        <f>VLOOKUP(Tabelle2[[#This Row],[Kunden Nr.]],KUNDEN!A:B,2,0)</f>
        <v>JETA DUHEL</v>
      </c>
      <c r="H2952" s="75">
        <v>35110</v>
      </c>
      <c r="I2952" s="76" t="str">
        <f>VLOOKUP(Tabelle2[[#This Row],[Artikel]],Produkte!A:B,2,0)</f>
        <v>M-ONE Sanitar Silikon</v>
      </c>
      <c r="J2952" s="75">
        <v>12</v>
      </c>
      <c r="K2952" s="76" t="str">
        <f>VLOOKUP(Tabelle2[[#This Row],[Kunden Nr.]],KUNDEN!A:G,7)</f>
        <v>Qerimi</v>
      </c>
      <c r="L2952" s="76">
        <f>VLOOKUP(Tabelle2[[#This Row],[Artikel]],Produkte!A:H,8)</f>
        <v>0.17</v>
      </c>
    </row>
    <row r="2953" spans="1:12" x14ac:dyDescent="0.2">
      <c r="A2953" s="75" t="s">
        <v>939</v>
      </c>
      <c r="B2953" s="79">
        <v>46140</v>
      </c>
      <c r="C2953" s="75"/>
      <c r="D2953" s="75"/>
      <c r="E2953" s="75"/>
      <c r="F2953" s="75">
        <v>10230</v>
      </c>
      <c r="G2953" s="76" t="str">
        <f>VLOOKUP(Tabelle2[[#This Row],[Kunden Nr.]],KUNDEN!A:B,2,0)</f>
        <v>JETA DUHEL</v>
      </c>
      <c r="H2953" s="75">
        <v>35111</v>
      </c>
      <c r="I2953" s="76" t="str">
        <f>VLOOKUP(Tabelle2[[#This Row],[Artikel]],Produkte!A:B,2,0)</f>
        <v>M-ONE Sanitar Silikon</v>
      </c>
      <c r="J2953" s="75">
        <v>12</v>
      </c>
      <c r="K2953" s="76" t="str">
        <f>VLOOKUP(Tabelle2[[#This Row],[Kunden Nr.]],KUNDEN!A:G,7)</f>
        <v>Qerimi</v>
      </c>
      <c r="L2953" s="76">
        <f>VLOOKUP(Tabelle2[[#This Row],[Artikel]],Produkte!A:H,8)</f>
        <v>0.17</v>
      </c>
    </row>
    <row r="2954" spans="1:12" x14ac:dyDescent="0.2">
      <c r="A2954" s="75" t="s">
        <v>939</v>
      </c>
      <c r="B2954" s="79">
        <v>46140</v>
      </c>
      <c r="C2954" s="75"/>
      <c r="D2954" s="75"/>
      <c r="E2954" s="75"/>
      <c r="F2954" s="75">
        <v>10230</v>
      </c>
      <c r="G2954" s="76" t="str">
        <f>VLOOKUP(Tabelle2[[#This Row],[Kunden Nr.]],KUNDEN!A:B,2,0)</f>
        <v>JETA DUHEL</v>
      </c>
      <c r="H2954" s="75">
        <v>35115</v>
      </c>
      <c r="I2954" s="76" t="str">
        <f>VLOOKUP(Tabelle2[[#This Row],[Artikel]],Produkte!A:B,2,0)</f>
        <v>M-ONE Sanitar Silikon</v>
      </c>
      <c r="J2954" s="75">
        <v>12</v>
      </c>
      <c r="K2954" s="76" t="str">
        <f>VLOOKUP(Tabelle2[[#This Row],[Kunden Nr.]],KUNDEN!A:G,7)</f>
        <v>Qerimi</v>
      </c>
      <c r="L2954" s="76">
        <f>VLOOKUP(Tabelle2[[#This Row],[Artikel]],Produkte!A:H,8)</f>
        <v>0.17</v>
      </c>
    </row>
    <row r="2955" spans="1:12" x14ac:dyDescent="0.2">
      <c r="A2955" s="75" t="s">
        <v>939</v>
      </c>
      <c r="B2955" s="79">
        <v>46140</v>
      </c>
      <c r="C2955" s="75"/>
      <c r="D2955" s="75"/>
      <c r="E2955" s="75"/>
      <c r="F2955" s="75">
        <v>10230</v>
      </c>
      <c r="G2955" s="76" t="str">
        <f>VLOOKUP(Tabelle2[[#This Row],[Kunden Nr.]],KUNDEN!A:B,2,0)</f>
        <v>JETA DUHEL</v>
      </c>
      <c r="H2955" s="75">
        <v>35128</v>
      </c>
      <c r="I2955" s="76" t="str">
        <f>VLOOKUP(Tabelle2[[#This Row],[Artikel]],Produkte!A:B,2,0)</f>
        <v>M-ONE Sanitar Silikon</v>
      </c>
      <c r="J2955" s="75">
        <v>12</v>
      </c>
      <c r="K2955" s="76" t="str">
        <f>VLOOKUP(Tabelle2[[#This Row],[Kunden Nr.]],KUNDEN!A:G,7)</f>
        <v>Qerimi</v>
      </c>
      <c r="L2955" s="76">
        <f>VLOOKUP(Tabelle2[[#This Row],[Artikel]],Produkte!A:H,8)</f>
        <v>0.17</v>
      </c>
    </row>
    <row r="2956" spans="1:12" x14ac:dyDescent="0.2">
      <c r="A2956" s="75" t="s">
        <v>1179</v>
      </c>
      <c r="B2956" s="79">
        <v>46140</v>
      </c>
      <c r="C2956" s="89">
        <v>462</v>
      </c>
      <c r="D2956" s="75"/>
      <c r="E2956" s="75"/>
      <c r="F2956" s="75">
        <v>40019</v>
      </c>
      <c r="G2956" s="76" t="str">
        <f>VLOOKUP(Tabelle2[[#This Row],[Kunden Nr.]],KUNDEN!A:B,2,0)</f>
        <v>TEMAJ</v>
      </c>
      <c r="H2956" s="75">
        <v>35109</v>
      </c>
      <c r="I2956" s="76" t="str">
        <f>VLOOKUP(Tabelle2[[#This Row],[Artikel]],Produkte!A:B,2,0)</f>
        <v>M-ONE Sanitar Silikon</v>
      </c>
      <c r="J2956" s="75">
        <v>24</v>
      </c>
      <c r="K2956" s="76">
        <f>VLOOKUP(Tabelle2[[#This Row],[Kunden Nr.]],KUNDEN!A:G,7)</f>
        <v>0</v>
      </c>
      <c r="L2956" s="76">
        <f>VLOOKUP(Tabelle2[[#This Row],[Artikel]],Produkte!A:H,8)</f>
        <v>0.17</v>
      </c>
    </row>
    <row r="2957" spans="1:12" x14ac:dyDescent="0.2">
      <c r="A2957" s="75" t="s">
        <v>1179</v>
      </c>
      <c r="B2957" s="79">
        <v>46140</v>
      </c>
      <c r="C2957" s="75"/>
      <c r="D2957" s="75"/>
      <c r="E2957" s="75"/>
      <c r="F2957" s="75">
        <v>40019</v>
      </c>
      <c r="G2957" s="76" t="str">
        <f>VLOOKUP(Tabelle2[[#This Row],[Kunden Nr.]],KUNDEN!A:B,2,0)</f>
        <v>TEMAJ</v>
      </c>
      <c r="H2957" s="75">
        <v>35113</v>
      </c>
      <c r="I2957" s="76" t="str">
        <f>VLOOKUP(Tabelle2[[#This Row],[Artikel]],Produkte!A:B,2,0)</f>
        <v>M-ONE Sanitar Silikon</v>
      </c>
      <c r="J2957" s="75">
        <v>36</v>
      </c>
      <c r="K2957" s="76">
        <f>VLOOKUP(Tabelle2[[#This Row],[Kunden Nr.]],KUNDEN!A:G,7)</f>
        <v>0</v>
      </c>
      <c r="L2957" s="76">
        <f>VLOOKUP(Tabelle2[[#This Row],[Artikel]],Produkte!A:H,8)</f>
        <v>0.17</v>
      </c>
    </row>
    <row r="2958" spans="1:12" x14ac:dyDescent="0.2">
      <c r="A2958" s="75" t="s">
        <v>1179</v>
      </c>
      <c r="B2958" s="79">
        <v>46140</v>
      </c>
      <c r="C2958" s="75"/>
      <c r="D2958" s="75"/>
      <c r="E2958" s="75"/>
      <c r="F2958" s="75">
        <v>40019</v>
      </c>
      <c r="G2958" s="76" t="str">
        <f>VLOOKUP(Tabelle2[[#This Row],[Kunden Nr.]],KUNDEN!A:B,2,0)</f>
        <v>TEMAJ</v>
      </c>
      <c r="H2958" s="75">
        <v>35121</v>
      </c>
      <c r="I2958" s="76" t="str">
        <f>VLOOKUP(Tabelle2[[#This Row],[Artikel]],Produkte!A:B,2,0)</f>
        <v>M-ONE Sanitar Silikon</v>
      </c>
      <c r="J2958" s="75">
        <v>24</v>
      </c>
      <c r="K2958" s="76">
        <f>VLOOKUP(Tabelle2[[#This Row],[Kunden Nr.]],KUNDEN!A:G,7)</f>
        <v>0</v>
      </c>
      <c r="L2958" s="76">
        <f>VLOOKUP(Tabelle2[[#This Row],[Artikel]],Produkte!A:H,8)</f>
        <v>0.17</v>
      </c>
    </row>
    <row r="2959" spans="1:12" x14ac:dyDescent="0.2">
      <c r="A2959" s="75" t="s">
        <v>1179</v>
      </c>
      <c r="B2959" s="79">
        <v>46140</v>
      </c>
      <c r="C2959" s="75"/>
      <c r="D2959" s="75"/>
      <c r="E2959" s="75"/>
      <c r="F2959" s="75">
        <v>40019</v>
      </c>
      <c r="G2959" s="76" t="str">
        <f>VLOOKUP(Tabelle2[[#This Row],[Kunden Nr.]],KUNDEN!A:B,2,0)</f>
        <v>TEMAJ</v>
      </c>
      <c r="H2959" s="75">
        <v>35108</v>
      </c>
      <c r="I2959" s="76" t="str">
        <f>VLOOKUP(Tabelle2[[#This Row],[Artikel]],Produkte!A:B,2,0)</f>
        <v>M-ONE Sanitar Silikon</v>
      </c>
      <c r="J2959" s="75">
        <v>12</v>
      </c>
      <c r="K2959" s="76">
        <f>VLOOKUP(Tabelle2[[#This Row],[Kunden Nr.]],KUNDEN!A:G,7)</f>
        <v>0</v>
      </c>
      <c r="L2959" s="76">
        <f>VLOOKUP(Tabelle2[[#This Row],[Artikel]],Produkte!A:H,8)</f>
        <v>0.17</v>
      </c>
    </row>
    <row r="2960" spans="1:12" x14ac:dyDescent="0.2">
      <c r="A2960" s="75" t="s">
        <v>1179</v>
      </c>
      <c r="B2960" s="79">
        <v>46140</v>
      </c>
      <c r="C2960" s="75"/>
      <c r="D2960" s="75"/>
      <c r="E2960" s="75"/>
      <c r="F2960" s="75">
        <v>40019</v>
      </c>
      <c r="G2960" s="76" t="str">
        <f>VLOOKUP(Tabelle2[[#This Row],[Kunden Nr.]],KUNDEN!A:B,2,0)</f>
        <v>TEMAJ</v>
      </c>
      <c r="H2960" s="75">
        <v>35128</v>
      </c>
      <c r="I2960" s="76" t="str">
        <f>VLOOKUP(Tabelle2[[#This Row],[Artikel]],Produkte!A:B,2,0)</f>
        <v>M-ONE Sanitar Silikon</v>
      </c>
      <c r="J2960" s="75">
        <v>12</v>
      </c>
      <c r="K2960" s="76">
        <f>VLOOKUP(Tabelle2[[#This Row],[Kunden Nr.]],KUNDEN!A:G,7)</f>
        <v>0</v>
      </c>
      <c r="L2960" s="76">
        <f>VLOOKUP(Tabelle2[[#This Row],[Artikel]],Produkte!A:H,8)</f>
        <v>0.17</v>
      </c>
    </row>
    <row r="2961" spans="1:12" x14ac:dyDescent="0.2">
      <c r="A2961" s="75" t="s">
        <v>1179</v>
      </c>
      <c r="B2961" s="79">
        <v>46140</v>
      </c>
      <c r="C2961" s="75"/>
      <c r="D2961" s="75"/>
      <c r="E2961" s="75"/>
      <c r="F2961" s="75">
        <v>40019</v>
      </c>
      <c r="G2961" s="76" t="str">
        <f>VLOOKUP(Tabelle2[[#This Row],[Kunden Nr.]],KUNDEN!A:B,2,0)</f>
        <v>TEMAJ</v>
      </c>
      <c r="H2961" s="75">
        <v>35119</v>
      </c>
      <c r="I2961" s="76" t="str">
        <f>VLOOKUP(Tabelle2[[#This Row],[Artikel]],Produkte!A:B,2,0)</f>
        <v>M-ONE Sanitar Silikon</v>
      </c>
      <c r="J2961" s="75">
        <v>12</v>
      </c>
      <c r="K2961" s="76">
        <f>VLOOKUP(Tabelle2[[#This Row],[Kunden Nr.]],KUNDEN!A:G,7)</f>
        <v>0</v>
      </c>
      <c r="L2961" s="76">
        <f>VLOOKUP(Tabelle2[[#This Row],[Artikel]],Produkte!A:H,8)</f>
        <v>0.17</v>
      </c>
    </row>
    <row r="2962" spans="1:12" x14ac:dyDescent="0.2">
      <c r="A2962" s="75" t="s">
        <v>643</v>
      </c>
      <c r="B2962" s="79">
        <v>46140</v>
      </c>
      <c r="C2962" s="89">
        <v>277.2</v>
      </c>
      <c r="D2962" s="75"/>
      <c r="E2962" s="75"/>
      <c r="F2962" s="75">
        <v>20224</v>
      </c>
      <c r="G2962" s="76" t="str">
        <f>VLOOKUP(Tabelle2[[#This Row],[Kunden Nr.]],KUNDEN!A:B,2,0)</f>
        <v>TANI</v>
      </c>
      <c r="H2962" s="75">
        <v>35110</v>
      </c>
      <c r="I2962" s="76" t="str">
        <f>VLOOKUP(Tabelle2[[#This Row],[Artikel]],Produkte!A:B,2,0)</f>
        <v>M-ONE Sanitar Silikon</v>
      </c>
      <c r="J2962" s="75">
        <v>36</v>
      </c>
      <c r="K2962" s="76" t="str">
        <f>VLOOKUP(Tabelle2[[#This Row],[Kunden Nr.]],KUNDEN!A:G,7)</f>
        <v>Mensuri</v>
      </c>
      <c r="L2962" s="76">
        <f>VLOOKUP(Tabelle2[[#This Row],[Artikel]],Produkte!A:H,8)</f>
        <v>0.17</v>
      </c>
    </row>
    <row r="2963" spans="1:12" x14ac:dyDescent="0.2">
      <c r="A2963" s="75" t="s">
        <v>643</v>
      </c>
      <c r="B2963" s="79">
        <v>46140</v>
      </c>
      <c r="C2963" s="75"/>
      <c r="D2963" s="75"/>
      <c r="E2963" s="75"/>
      <c r="F2963" s="75">
        <v>20224</v>
      </c>
      <c r="G2963" s="76" t="str">
        <f>VLOOKUP(Tabelle2[[#This Row],[Kunden Nr.]],KUNDEN!A:B,2,0)</f>
        <v>TANI</v>
      </c>
      <c r="H2963" s="75">
        <v>35111</v>
      </c>
      <c r="I2963" s="76" t="str">
        <f>VLOOKUP(Tabelle2[[#This Row],[Artikel]],Produkte!A:B,2,0)</f>
        <v>M-ONE Sanitar Silikon</v>
      </c>
      <c r="J2963" s="75">
        <v>36</v>
      </c>
      <c r="K2963" s="76" t="str">
        <f>VLOOKUP(Tabelle2[[#This Row],[Kunden Nr.]],KUNDEN!A:G,7)</f>
        <v>Mensuri</v>
      </c>
      <c r="L2963" s="76">
        <f>VLOOKUP(Tabelle2[[#This Row],[Artikel]],Produkte!A:H,8)</f>
        <v>0.17</v>
      </c>
    </row>
    <row r="2964" spans="1:12" x14ac:dyDescent="0.2">
      <c r="A2964" s="75" t="s">
        <v>643</v>
      </c>
      <c r="B2964" s="79">
        <v>46140</v>
      </c>
      <c r="C2964" s="75"/>
      <c r="D2964" s="75"/>
      <c r="E2964" s="75"/>
      <c r="F2964" s="75">
        <v>20224</v>
      </c>
      <c r="G2964" s="76" t="str">
        <f>VLOOKUP(Tabelle2[[#This Row],[Kunden Nr.]],KUNDEN!A:B,2,0)</f>
        <v>TANI</v>
      </c>
      <c r="H2964" s="75">
        <v>35121</v>
      </c>
      <c r="I2964" s="76" t="str">
        <f>VLOOKUP(Tabelle2[[#This Row],[Artikel]],Produkte!A:B,2,0)</f>
        <v>M-ONE Sanitar Silikon</v>
      </c>
      <c r="J2964" s="75">
        <v>12</v>
      </c>
      <c r="K2964" s="76" t="str">
        <f>VLOOKUP(Tabelle2[[#This Row],[Kunden Nr.]],KUNDEN!A:G,7)</f>
        <v>Mensuri</v>
      </c>
      <c r="L2964" s="76">
        <f>VLOOKUP(Tabelle2[[#This Row],[Artikel]],Produkte!A:H,8)</f>
        <v>0.17</v>
      </c>
    </row>
    <row r="2965" spans="1:12" x14ac:dyDescent="0.2">
      <c r="A2965" s="75" t="s">
        <v>643</v>
      </c>
      <c r="B2965" s="79">
        <v>46140</v>
      </c>
      <c r="C2965" s="75"/>
      <c r="D2965" s="75"/>
      <c r="E2965" s="75"/>
      <c r="F2965" s="75">
        <v>20224</v>
      </c>
      <c r="G2965" s="76" t="str">
        <f>VLOOKUP(Tabelle2[[#This Row],[Kunden Nr.]],KUNDEN!A:B,2,0)</f>
        <v>TANI</v>
      </c>
      <c r="H2965" s="75">
        <v>66701</v>
      </c>
      <c r="I2965" s="76" t="str">
        <f>VLOOKUP(Tabelle2[[#This Row],[Artikel]],Produkte!A:B,2,0)</f>
        <v>PROFIMONT EXTREME</v>
      </c>
      <c r="J2965" s="75">
        <v>12</v>
      </c>
      <c r="K2965" s="76" t="str">
        <f>VLOOKUP(Tabelle2[[#This Row],[Kunden Nr.]],KUNDEN!A:G,7)</f>
        <v>Mensuri</v>
      </c>
      <c r="L2965" s="76">
        <f>VLOOKUP(Tabelle2[[#This Row],[Artikel]],Produkte!A:H,8)</f>
        <v>0.2</v>
      </c>
    </row>
    <row r="2966" spans="1:12" x14ac:dyDescent="0.2">
      <c r="A2966" s="75" t="s">
        <v>422</v>
      </c>
      <c r="B2966" s="79">
        <v>46140</v>
      </c>
      <c r="C2966" s="89">
        <v>120</v>
      </c>
      <c r="D2966" s="75"/>
      <c r="E2966" s="75"/>
      <c r="F2966" s="75">
        <v>20209</v>
      </c>
      <c r="G2966" s="76" t="str">
        <f>VLOOKUP(Tabelle2[[#This Row],[Kunden Nr.]],KUNDEN!A:B,2,0)</f>
        <v>LETAJ</v>
      </c>
      <c r="H2966" s="75">
        <v>35119</v>
      </c>
      <c r="I2966" s="76" t="str">
        <f>VLOOKUP(Tabelle2[[#This Row],[Artikel]],Produkte!A:B,2,0)</f>
        <v>M-ONE Sanitar Silikon</v>
      </c>
      <c r="J2966" s="75">
        <v>12</v>
      </c>
      <c r="K2966" s="76" t="str">
        <f>VLOOKUP(Tabelle2[[#This Row],[Kunden Nr.]],KUNDEN!A:G,7)</f>
        <v>Mensuri</v>
      </c>
      <c r="L2966" s="76">
        <f>VLOOKUP(Tabelle2[[#This Row],[Artikel]],Produkte!A:H,8)</f>
        <v>0.17</v>
      </c>
    </row>
    <row r="2967" spans="1:12" x14ac:dyDescent="0.2">
      <c r="A2967" s="75" t="s">
        <v>422</v>
      </c>
      <c r="B2967" s="79">
        <v>46140</v>
      </c>
      <c r="C2967" s="75"/>
      <c r="D2967" s="75"/>
      <c r="E2967" s="75"/>
      <c r="F2967" s="75">
        <v>20209</v>
      </c>
      <c r="G2967" s="76" t="str">
        <f>VLOOKUP(Tabelle2[[#This Row],[Kunden Nr.]],KUNDEN!A:B,2,0)</f>
        <v>LETAJ</v>
      </c>
      <c r="H2967" s="75">
        <v>35125</v>
      </c>
      <c r="I2967" s="76" t="str">
        <f>VLOOKUP(Tabelle2[[#This Row],[Artikel]],Produkte!A:B,2,0)</f>
        <v>M-ONE Sanitar Silikon</v>
      </c>
      <c r="J2967" s="75">
        <v>12</v>
      </c>
      <c r="K2967" s="76" t="str">
        <f>VLOOKUP(Tabelle2[[#This Row],[Kunden Nr.]],KUNDEN!A:G,7)</f>
        <v>Mensuri</v>
      </c>
      <c r="L2967" s="76">
        <f>VLOOKUP(Tabelle2[[#This Row],[Artikel]],Produkte!A:H,8)</f>
        <v>0.17</v>
      </c>
    </row>
    <row r="2968" spans="1:12" x14ac:dyDescent="0.2">
      <c r="A2968" s="75" t="s">
        <v>422</v>
      </c>
      <c r="B2968" s="79">
        <v>46140</v>
      </c>
      <c r="C2968" s="75"/>
      <c r="D2968" s="75"/>
      <c r="E2968" s="75"/>
      <c r="F2968" s="75">
        <v>20209</v>
      </c>
      <c r="G2968" s="76" t="str">
        <f>VLOOKUP(Tabelle2[[#This Row],[Kunden Nr.]],KUNDEN!A:B,2,0)</f>
        <v>LETAJ</v>
      </c>
      <c r="H2968" s="75">
        <v>51612</v>
      </c>
      <c r="I2968" s="76" t="str">
        <f>VLOOKUP(Tabelle2[[#This Row],[Artikel]],Produkte!A:B,2,0)</f>
        <v>struktural akryl</v>
      </c>
      <c r="J2968" s="75">
        <v>12</v>
      </c>
      <c r="K2968" s="76" t="str">
        <f>VLOOKUP(Tabelle2[[#This Row],[Kunden Nr.]],KUNDEN!A:G,7)</f>
        <v>Mensuri</v>
      </c>
      <c r="L2968" s="76">
        <f>VLOOKUP(Tabelle2[[#This Row],[Artikel]],Produkte!A:H,8)</f>
        <v>0.06</v>
      </c>
    </row>
    <row r="2969" spans="1:12" x14ac:dyDescent="0.2">
      <c r="A2969" s="75" t="s">
        <v>1155</v>
      </c>
      <c r="B2969" s="79">
        <v>46140</v>
      </c>
      <c r="C2969" s="89">
        <v>138.6</v>
      </c>
      <c r="D2969" s="75"/>
      <c r="E2969" s="75"/>
      <c r="F2969" s="75">
        <v>20220</v>
      </c>
      <c r="G2969" s="76" t="str">
        <f>VLOOKUP(Tabelle2[[#This Row],[Kunden Nr.]],KUNDEN!A:B,2,0)</f>
        <v>GERMAN FABRE</v>
      </c>
      <c r="H2969" s="75">
        <v>35111</v>
      </c>
      <c r="I2969" s="76" t="str">
        <f>VLOOKUP(Tabelle2[[#This Row],[Artikel]],Produkte!A:B,2,0)</f>
        <v>M-ONE Sanitar Silikon</v>
      </c>
      <c r="J2969" s="75">
        <v>12</v>
      </c>
      <c r="K2969" s="76" t="str">
        <f>VLOOKUP(Tabelle2[[#This Row],[Kunden Nr.]],KUNDEN!A:G,7)</f>
        <v>Mensuri</v>
      </c>
      <c r="L2969" s="76">
        <f>VLOOKUP(Tabelle2[[#This Row],[Artikel]],Produkte!A:H,8)</f>
        <v>0.17</v>
      </c>
    </row>
    <row r="2970" spans="1:12" x14ac:dyDescent="0.2">
      <c r="A2970" s="75" t="s">
        <v>1155</v>
      </c>
      <c r="B2970" s="79">
        <v>46140</v>
      </c>
      <c r="C2970" s="75"/>
      <c r="D2970" s="75"/>
      <c r="E2970" s="75"/>
      <c r="F2970" s="75">
        <v>20220</v>
      </c>
      <c r="G2970" s="76" t="str">
        <f>VLOOKUP(Tabelle2[[#This Row],[Kunden Nr.]],KUNDEN!A:B,2,0)</f>
        <v>GERMAN FABRE</v>
      </c>
      <c r="H2970" s="75">
        <v>35115</v>
      </c>
      <c r="I2970" s="76" t="str">
        <f>VLOOKUP(Tabelle2[[#This Row],[Artikel]],Produkte!A:B,2,0)</f>
        <v>M-ONE Sanitar Silikon</v>
      </c>
      <c r="J2970" s="75">
        <v>12</v>
      </c>
      <c r="K2970" s="76" t="str">
        <f>VLOOKUP(Tabelle2[[#This Row],[Kunden Nr.]],KUNDEN!A:G,7)</f>
        <v>Mensuri</v>
      </c>
      <c r="L2970" s="76">
        <f>VLOOKUP(Tabelle2[[#This Row],[Artikel]],Produkte!A:H,8)</f>
        <v>0.17</v>
      </c>
    </row>
    <row r="2971" spans="1:12" x14ac:dyDescent="0.2">
      <c r="A2971" s="75" t="s">
        <v>1155</v>
      </c>
      <c r="B2971" s="79">
        <v>46140</v>
      </c>
      <c r="C2971" s="75"/>
      <c r="D2971" s="75"/>
      <c r="E2971" s="75"/>
      <c r="F2971" s="75">
        <v>20220</v>
      </c>
      <c r="G2971" s="76" t="str">
        <f>VLOOKUP(Tabelle2[[#This Row],[Kunden Nr.]],KUNDEN!A:B,2,0)</f>
        <v>GERMAN FABRE</v>
      </c>
      <c r="H2971" s="75">
        <v>35125</v>
      </c>
      <c r="I2971" s="76" t="str">
        <f>VLOOKUP(Tabelle2[[#This Row],[Artikel]],Produkte!A:B,2,0)</f>
        <v>M-ONE Sanitar Silikon</v>
      </c>
      <c r="J2971" s="75">
        <v>12</v>
      </c>
      <c r="K2971" s="76" t="str">
        <f>VLOOKUP(Tabelle2[[#This Row],[Kunden Nr.]],KUNDEN!A:G,7)</f>
        <v>Mensuri</v>
      </c>
      <c r="L2971" s="76">
        <f>VLOOKUP(Tabelle2[[#This Row],[Artikel]],Produkte!A:H,8)</f>
        <v>0.17</v>
      </c>
    </row>
    <row r="2972" spans="1:12" x14ac:dyDescent="0.2">
      <c r="A2972" s="75" t="s">
        <v>425</v>
      </c>
      <c r="B2972" s="79">
        <v>46140</v>
      </c>
      <c r="C2972" s="89">
        <v>92.4</v>
      </c>
      <c r="D2972" s="75"/>
      <c r="E2972" s="75"/>
      <c r="F2972" s="75">
        <v>20212</v>
      </c>
      <c r="G2972" s="76" t="str">
        <f>VLOOKUP(Tabelle2[[#This Row],[Kunden Nr.]],KUNDEN!A:B,2,0)</f>
        <v>INOX 2</v>
      </c>
      <c r="H2972" s="75">
        <v>35109</v>
      </c>
      <c r="I2972" s="76" t="str">
        <f>VLOOKUP(Tabelle2[[#This Row],[Artikel]],Produkte!A:B,2,0)</f>
        <v>M-ONE Sanitar Silikon</v>
      </c>
      <c r="J2972" s="75">
        <v>24</v>
      </c>
      <c r="K2972" s="76" t="str">
        <f>VLOOKUP(Tabelle2[[#This Row],[Kunden Nr.]],KUNDEN!A:G,7)</f>
        <v>Mensuri</v>
      </c>
      <c r="L2972" s="76">
        <f>VLOOKUP(Tabelle2[[#This Row],[Artikel]],Produkte!A:H,8)</f>
        <v>0.17</v>
      </c>
    </row>
    <row r="2973" spans="1:12" x14ac:dyDescent="0.2">
      <c r="A2973" s="75" t="s">
        <v>1041</v>
      </c>
      <c r="B2973" s="79">
        <v>46140</v>
      </c>
      <c r="C2973" s="89">
        <v>138.6</v>
      </c>
      <c r="D2973" s="75"/>
      <c r="E2973" s="75"/>
      <c r="F2973" s="75">
        <v>20223</v>
      </c>
      <c r="G2973" s="76" t="str">
        <f>VLOOKUP(Tabelle2[[#This Row],[Kunden Nr.]],KUNDEN!A:B,2,0)</f>
        <v>GER COLORS</v>
      </c>
      <c r="H2973" s="75">
        <v>35111</v>
      </c>
      <c r="I2973" s="76" t="str">
        <f>VLOOKUP(Tabelle2[[#This Row],[Artikel]],Produkte!A:B,2,0)</f>
        <v>M-ONE Sanitar Silikon</v>
      </c>
      <c r="J2973" s="75">
        <v>12</v>
      </c>
      <c r="K2973" s="76" t="str">
        <f>VLOOKUP(Tabelle2[[#This Row],[Kunden Nr.]],KUNDEN!A:G,7)</f>
        <v>Mensuri</v>
      </c>
      <c r="L2973" s="76">
        <f>VLOOKUP(Tabelle2[[#This Row],[Artikel]],Produkte!A:H,8)</f>
        <v>0.17</v>
      </c>
    </row>
    <row r="2974" spans="1:12" x14ac:dyDescent="0.2">
      <c r="A2974" s="75" t="s">
        <v>1041</v>
      </c>
      <c r="B2974" s="79">
        <v>46140</v>
      </c>
      <c r="C2974" s="75"/>
      <c r="D2974" s="75"/>
      <c r="E2974" s="75"/>
      <c r="F2974" s="75">
        <v>20223</v>
      </c>
      <c r="G2974" s="76" t="str">
        <f>VLOOKUP(Tabelle2[[#This Row],[Kunden Nr.]],KUNDEN!A:B,2,0)</f>
        <v>GER COLORS</v>
      </c>
      <c r="H2974" s="75">
        <v>35114</v>
      </c>
      <c r="I2974" s="76" t="str">
        <f>VLOOKUP(Tabelle2[[#This Row],[Artikel]],Produkte!A:B,2,0)</f>
        <v>M-ONE Sanitar Silikon</v>
      </c>
      <c r="J2974" s="75">
        <v>12</v>
      </c>
      <c r="K2974" s="76" t="str">
        <f>VLOOKUP(Tabelle2[[#This Row],[Kunden Nr.]],KUNDEN!A:G,7)</f>
        <v>Mensuri</v>
      </c>
      <c r="L2974" s="76">
        <f>VLOOKUP(Tabelle2[[#This Row],[Artikel]],Produkte!A:H,8)</f>
        <v>0.17</v>
      </c>
    </row>
    <row r="2975" spans="1:12" x14ac:dyDescent="0.2">
      <c r="A2975" s="75" t="s">
        <v>1041</v>
      </c>
      <c r="B2975" s="79">
        <v>46140</v>
      </c>
      <c r="C2975" s="75"/>
      <c r="D2975" s="75"/>
      <c r="E2975" s="75"/>
      <c r="F2975" s="75">
        <v>20223</v>
      </c>
      <c r="G2975" s="76" t="str">
        <f>VLOOKUP(Tabelle2[[#This Row],[Kunden Nr.]],KUNDEN!A:B,2,0)</f>
        <v>GER COLORS</v>
      </c>
      <c r="H2975" s="75">
        <v>35125</v>
      </c>
      <c r="I2975" s="76" t="str">
        <f>VLOOKUP(Tabelle2[[#This Row],[Artikel]],Produkte!A:B,2,0)</f>
        <v>M-ONE Sanitar Silikon</v>
      </c>
      <c r="J2975" s="75">
        <v>12</v>
      </c>
      <c r="K2975" s="76" t="str">
        <f>VLOOKUP(Tabelle2[[#This Row],[Kunden Nr.]],KUNDEN!A:G,7)</f>
        <v>Mensuri</v>
      </c>
      <c r="L2975" s="76">
        <f>VLOOKUP(Tabelle2[[#This Row],[Artikel]],Produkte!A:H,8)</f>
        <v>0.17</v>
      </c>
    </row>
    <row r="2976" spans="1:12" x14ac:dyDescent="0.2">
      <c r="A2976" s="75" t="s">
        <v>442</v>
      </c>
      <c r="B2976" s="79">
        <v>46140</v>
      </c>
      <c r="C2976" s="89">
        <v>138.6</v>
      </c>
      <c r="D2976" s="75"/>
      <c r="E2976" s="75"/>
      <c r="F2976" s="75">
        <v>20208</v>
      </c>
      <c r="G2976" s="76" t="str">
        <f>VLOOKUP(Tabelle2[[#This Row],[Kunden Nr.]],KUNDEN!A:B,2,0)</f>
        <v>V. GJONAJ</v>
      </c>
      <c r="H2976" s="75">
        <v>35111</v>
      </c>
      <c r="I2976" s="76" t="str">
        <f>VLOOKUP(Tabelle2[[#This Row],[Artikel]],Produkte!A:B,2,0)</f>
        <v>M-ONE Sanitar Silikon</v>
      </c>
      <c r="J2976" s="75">
        <v>12</v>
      </c>
      <c r="K2976" s="76" t="str">
        <f>VLOOKUP(Tabelle2[[#This Row],[Kunden Nr.]],KUNDEN!A:G,7)</f>
        <v>Mensuri</v>
      </c>
      <c r="L2976" s="76">
        <f>VLOOKUP(Tabelle2[[#This Row],[Artikel]],Produkte!A:H,8)</f>
        <v>0.17</v>
      </c>
    </row>
    <row r="2977" spans="1:12" x14ac:dyDescent="0.2">
      <c r="A2977" s="75" t="s">
        <v>442</v>
      </c>
      <c r="B2977" s="79">
        <v>46140</v>
      </c>
      <c r="C2977" s="75"/>
      <c r="D2977" s="75"/>
      <c r="E2977" s="75"/>
      <c r="F2977" s="75">
        <v>20208</v>
      </c>
      <c r="G2977" s="76" t="str">
        <f>VLOOKUP(Tabelle2[[#This Row],[Kunden Nr.]],KUNDEN!A:B,2,0)</f>
        <v>V. GJONAJ</v>
      </c>
      <c r="H2977" s="75">
        <v>35112</v>
      </c>
      <c r="I2977" s="76" t="str">
        <f>VLOOKUP(Tabelle2[[#This Row],[Artikel]],Produkte!A:B,2,0)</f>
        <v>M-ONE Sanitar Silikon</v>
      </c>
      <c r="J2977" s="75">
        <v>12</v>
      </c>
      <c r="K2977" s="76" t="str">
        <f>VLOOKUP(Tabelle2[[#This Row],[Kunden Nr.]],KUNDEN!A:G,7)</f>
        <v>Mensuri</v>
      </c>
      <c r="L2977" s="76">
        <f>VLOOKUP(Tabelle2[[#This Row],[Artikel]],Produkte!A:H,8)</f>
        <v>0.17</v>
      </c>
    </row>
    <row r="2978" spans="1:12" x14ac:dyDescent="0.2">
      <c r="A2978" s="75" t="s">
        <v>442</v>
      </c>
      <c r="B2978" s="79">
        <v>46140</v>
      </c>
      <c r="C2978" s="75"/>
      <c r="D2978" s="75"/>
      <c r="E2978" s="75"/>
      <c r="F2978" s="75">
        <v>20208</v>
      </c>
      <c r="G2978" s="76" t="str">
        <f>VLOOKUP(Tabelle2[[#This Row],[Kunden Nr.]],KUNDEN!A:B,2,0)</f>
        <v>V. GJONAJ</v>
      </c>
      <c r="H2978" s="75">
        <v>35128</v>
      </c>
      <c r="I2978" s="76" t="str">
        <f>VLOOKUP(Tabelle2[[#This Row],[Artikel]],Produkte!A:B,2,0)</f>
        <v>M-ONE Sanitar Silikon</v>
      </c>
      <c r="J2978" s="75">
        <v>12</v>
      </c>
      <c r="K2978" s="76" t="str">
        <f>VLOOKUP(Tabelle2[[#This Row],[Kunden Nr.]],KUNDEN!A:G,7)</f>
        <v>Mensuri</v>
      </c>
      <c r="L2978" s="76">
        <f>VLOOKUP(Tabelle2[[#This Row],[Artikel]],Produkte!A:H,8)</f>
        <v>0.17</v>
      </c>
    </row>
    <row r="2979" spans="1:12" x14ac:dyDescent="0.2">
      <c r="A2979" s="75" t="s">
        <v>670</v>
      </c>
      <c r="B2979" s="79">
        <v>46140</v>
      </c>
      <c r="C2979" s="89">
        <v>184.8</v>
      </c>
      <c r="D2979" s="75"/>
      <c r="E2979" s="75"/>
      <c r="F2979" s="75">
        <v>20206</v>
      </c>
      <c r="G2979" s="76" t="str">
        <f>VLOOKUP(Tabelle2[[#This Row],[Kunden Nr.]],KUNDEN!A:B,2,0)</f>
        <v>ERENIKU</v>
      </c>
      <c r="H2979" s="75">
        <v>35110</v>
      </c>
      <c r="I2979" s="76" t="str">
        <f>VLOOKUP(Tabelle2[[#This Row],[Artikel]],Produkte!A:B,2,0)</f>
        <v>M-ONE Sanitar Silikon</v>
      </c>
      <c r="J2979" s="75">
        <v>12</v>
      </c>
      <c r="K2979" s="76" t="str">
        <f>VLOOKUP(Tabelle2[[#This Row],[Kunden Nr.]],KUNDEN!A:G,7)</f>
        <v>Mensuri</v>
      </c>
      <c r="L2979" s="76">
        <f>VLOOKUP(Tabelle2[[#This Row],[Artikel]],Produkte!A:H,8)</f>
        <v>0.17</v>
      </c>
    </row>
    <row r="2980" spans="1:12" x14ac:dyDescent="0.2">
      <c r="A2980" s="75" t="s">
        <v>670</v>
      </c>
      <c r="B2980" s="79">
        <v>46140</v>
      </c>
      <c r="C2980" s="75"/>
      <c r="D2980" s="75"/>
      <c r="E2980" s="75"/>
      <c r="F2980" s="75">
        <v>20206</v>
      </c>
      <c r="G2980" s="76" t="str">
        <f>VLOOKUP(Tabelle2[[#This Row],[Kunden Nr.]],KUNDEN!A:B,2,0)</f>
        <v>ERENIKU</v>
      </c>
      <c r="H2980" s="75">
        <v>35111</v>
      </c>
      <c r="I2980" s="76" t="str">
        <f>VLOOKUP(Tabelle2[[#This Row],[Artikel]],Produkte!A:B,2,0)</f>
        <v>M-ONE Sanitar Silikon</v>
      </c>
      <c r="J2980" s="75">
        <v>12</v>
      </c>
      <c r="K2980" s="76" t="str">
        <f>VLOOKUP(Tabelle2[[#This Row],[Kunden Nr.]],KUNDEN!A:G,7)</f>
        <v>Mensuri</v>
      </c>
      <c r="L2980" s="76">
        <f>VLOOKUP(Tabelle2[[#This Row],[Artikel]],Produkte!A:H,8)</f>
        <v>0.17</v>
      </c>
    </row>
    <row r="2981" spans="1:12" x14ac:dyDescent="0.2">
      <c r="A2981" s="75" t="s">
        <v>670</v>
      </c>
      <c r="B2981" s="79">
        <v>46140</v>
      </c>
      <c r="C2981" s="75"/>
      <c r="D2981" s="75"/>
      <c r="E2981" s="75"/>
      <c r="F2981" s="75">
        <v>20206</v>
      </c>
      <c r="G2981" s="76" t="str">
        <f>VLOOKUP(Tabelle2[[#This Row],[Kunden Nr.]],KUNDEN!A:B,2,0)</f>
        <v>ERENIKU</v>
      </c>
      <c r="H2981" s="75">
        <v>35113</v>
      </c>
      <c r="I2981" s="76" t="str">
        <f>VLOOKUP(Tabelle2[[#This Row],[Artikel]],Produkte!A:B,2,0)</f>
        <v>M-ONE Sanitar Silikon</v>
      </c>
      <c r="J2981" s="75">
        <v>12</v>
      </c>
      <c r="K2981" s="76" t="str">
        <f>VLOOKUP(Tabelle2[[#This Row],[Kunden Nr.]],KUNDEN!A:G,7)</f>
        <v>Mensuri</v>
      </c>
      <c r="L2981" s="76">
        <f>VLOOKUP(Tabelle2[[#This Row],[Artikel]],Produkte!A:H,8)</f>
        <v>0.17</v>
      </c>
    </row>
    <row r="2982" spans="1:12" x14ac:dyDescent="0.2">
      <c r="A2982" s="75" t="s">
        <v>670</v>
      </c>
      <c r="B2982" s="79">
        <v>46140</v>
      </c>
      <c r="C2982" s="75"/>
      <c r="D2982" s="75"/>
      <c r="E2982" s="75"/>
      <c r="F2982" s="75">
        <v>20206</v>
      </c>
      <c r="G2982" s="76" t="str">
        <f>VLOOKUP(Tabelle2[[#This Row],[Kunden Nr.]],KUNDEN!A:B,2,0)</f>
        <v>ERENIKU</v>
      </c>
      <c r="H2982" s="75">
        <v>35128</v>
      </c>
      <c r="I2982" s="76" t="str">
        <f>VLOOKUP(Tabelle2[[#This Row],[Artikel]],Produkte!A:B,2,0)</f>
        <v>M-ONE Sanitar Silikon</v>
      </c>
      <c r="J2982" s="75">
        <v>12</v>
      </c>
      <c r="K2982" s="76" t="str">
        <f>VLOOKUP(Tabelle2[[#This Row],[Kunden Nr.]],KUNDEN!A:G,7)</f>
        <v>Mensuri</v>
      </c>
      <c r="L2982" s="76">
        <f>VLOOKUP(Tabelle2[[#This Row],[Artikel]],Produkte!A:H,8)</f>
        <v>0.17</v>
      </c>
    </row>
    <row r="2983" spans="1:12" x14ac:dyDescent="0.2">
      <c r="A2983" s="75" t="s">
        <v>420</v>
      </c>
      <c r="B2983" s="79">
        <v>46140</v>
      </c>
      <c r="C2983" s="89">
        <v>112.8</v>
      </c>
      <c r="D2983" s="75"/>
      <c r="E2983" s="75"/>
      <c r="F2983" s="75">
        <v>20205</v>
      </c>
      <c r="G2983" s="76" t="str">
        <f>VLOOKUP(Tabelle2[[#This Row],[Kunden Nr.]],KUNDEN!A:B,2,0)</f>
        <v>GACAFERI-RG</v>
      </c>
      <c r="H2983" s="75">
        <v>35111</v>
      </c>
      <c r="I2983" s="76" t="str">
        <f>VLOOKUP(Tabelle2[[#This Row],[Artikel]],Produkte!A:B,2,0)</f>
        <v>M-ONE Sanitar Silikon</v>
      </c>
      <c r="J2983" s="75">
        <v>12</v>
      </c>
      <c r="K2983" s="76" t="str">
        <f>VLOOKUP(Tabelle2[[#This Row],[Kunden Nr.]],KUNDEN!A:G,7)</f>
        <v>Mensuri</v>
      </c>
      <c r="L2983" s="76">
        <f>VLOOKUP(Tabelle2[[#This Row],[Artikel]],Produkte!A:H,8)</f>
        <v>0.17</v>
      </c>
    </row>
    <row r="2984" spans="1:12" x14ac:dyDescent="0.2">
      <c r="A2984" s="75" t="s">
        <v>420</v>
      </c>
      <c r="B2984" s="79">
        <v>46140</v>
      </c>
      <c r="C2984" s="75"/>
      <c r="D2984" s="75"/>
      <c r="E2984" s="75"/>
      <c r="F2984" s="75">
        <v>20205</v>
      </c>
      <c r="G2984" s="76" t="str">
        <f>VLOOKUP(Tabelle2[[#This Row],[Kunden Nr.]],KUNDEN!A:B,2,0)</f>
        <v>GACAFERI-RG</v>
      </c>
      <c r="H2984" s="75">
        <v>51611</v>
      </c>
      <c r="I2984" s="76" t="str">
        <f>VLOOKUP(Tabelle2[[#This Row],[Artikel]],Produkte!A:B,2,0)</f>
        <v>universal akryl</v>
      </c>
      <c r="J2984" s="75">
        <v>12</v>
      </c>
      <c r="K2984" s="76" t="str">
        <f>VLOOKUP(Tabelle2[[#This Row],[Kunden Nr.]],KUNDEN!A:G,7)</f>
        <v>Mensuri</v>
      </c>
      <c r="L2984" s="76">
        <f>VLOOKUP(Tabelle2[[#This Row],[Artikel]],Produkte!A:H,8)</f>
        <v>0.06</v>
      </c>
    </row>
    <row r="2985" spans="1:12" x14ac:dyDescent="0.2">
      <c r="A2985" s="75" t="s">
        <v>420</v>
      </c>
      <c r="B2985" s="79">
        <v>46140</v>
      </c>
      <c r="C2985" s="75"/>
      <c r="D2985" s="75"/>
      <c r="E2985" s="75"/>
      <c r="F2985" s="75">
        <v>20205</v>
      </c>
      <c r="G2985" s="76" t="str">
        <f>VLOOKUP(Tabelle2[[#This Row],[Kunden Nr.]],KUNDEN!A:B,2,0)</f>
        <v>GACAFERI-RG</v>
      </c>
      <c r="H2985" s="75">
        <v>51612</v>
      </c>
      <c r="I2985" s="76" t="str">
        <f>VLOOKUP(Tabelle2[[#This Row],[Artikel]],Produkte!A:B,2,0)</f>
        <v>struktural akryl</v>
      </c>
      <c r="J2985" s="75">
        <v>12</v>
      </c>
      <c r="K2985" s="76" t="str">
        <f>VLOOKUP(Tabelle2[[#This Row],[Kunden Nr.]],KUNDEN!A:G,7)</f>
        <v>Mensuri</v>
      </c>
      <c r="L2985" s="76">
        <f>VLOOKUP(Tabelle2[[#This Row],[Artikel]],Produkte!A:H,8)</f>
        <v>0.06</v>
      </c>
    </row>
    <row r="2986" spans="1:12" x14ac:dyDescent="0.2">
      <c r="A2986" s="75" t="s">
        <v>420</v>
      </c>
      <c r="B2986" s="79">
        <v>46140</v>
      </c>
      <c r="C2986" s="75"/>
      <c r="D2986" s="75"/>
      <c r="E2986" s="75"/>
      <c r="F2986" s="75">
        <v>20205</v>
      </c>
      <c r="G2986" s="76" t="str">
        <f>VLOOKUP(Tabelle2[[#This Row],[Kunden Nr.]],KUNDEN!A:B,2,0)</f>
        <v>GACAFERI-RG</v>
      </c>
      <c r="H2986" s="75">
        <v>56117</v>
      </c>
      <c r="I2986" s="76" t="str">
        <f>VLOOKUP(Tabelle2[[#This Row],[Artikel]],Produkte!A:B,2,0)</f>
        <v>M ONE UBS</v>
      </c>
      <c r="J2986" s="75">
        <v>6</v>
      </c>
      <c r="K2986" s="76" t="str">
        <f>VLOOKUP(Tabelle2[[#This Row],[Kunden Nr.]],KUNDEN!A:G,7)</f>
        <v>Mensuri</v>
      </c>
      <c r="L2986" s="76">
        <f>VLOOKUP(Tabelle2[[#This Row],[Artikel]],Produkte!A:H,8)</f>
        <v>0.2</v>
      </c>
    </row>
    <row r="2987" spans="1:12" x14ac:dyDescent="0.2">
      <c r="A2987" s="75" t="s">
        <v>418</v>
      </c>
      <c r="B2987" s="79">
        <v>46140</v>
      </c>
      <c r="C2987" s="89">
        <v>92.4</v>
      </c>
      <c r="D2987" s="75"/>
      <c r="E2987" s="75"/>
      <c r="F2987" s="75">
        <v>20203</v>
      </c>
      <c r="G2987" s="76" t="str">
        <f>VLOOKUP(Tabelle2[[#This Row],[Kunden Nr.]],KUNDEN!A:B,2,0)</f>
        <v>AFRIMI-AG</v>
      </c>
      <c r="H2987" s="75">
        <v>35110</v>
      </c>
      <c r="I2987" s="76" t="str">
        <f>VLOOKUP(Tabelle2[[#This Row],[Artikel]],Produkte!A:B,2,0)</f>
        <v>M-ONE Sanitar Silikon</v>
      </c>
      <c r="J2987" s="75">
        <v>24</v>
      </c>
      <c r="K2987" s="76" t="str">
        <f>VLOOKUP(Tabelle2[[#This Row],[Kunden Nr.]],KUNDEN!A:G,7)</f>
        <v>Mensuri</v>
      </c>
      <c r="L2987" s="76">
        <f>VLOOKUP(Tabelle2[[#This Row],[Artikel]],Produkte!A:H,8)</f>
        <v>0.17</v>
      </c>
    </row>
    <row r="2988" spans="1:12" x14ac:dyDescent="0.2">
      <c r="A2988" s="75" t="s">
        <v>963</v>
      </c>
      <c r="B2988" s="79">
        <v>46140</v>
      </c>
      <c r="C2988" s="89">
        <v>138.19999999999999</v>
      </c>
      <c r="D2988" s="75"/>
      <c r="E2988" s="75"/>
      <c r="F2988" s="75">
        <v>20201</v>
      </c>
      <c r="G2988" s="76" t="str">
        <f>VLOOKUP(Tabelle2[[#This Row],[Kunden Nr.]],KUNDEN!A:B,2,0)</f>
        <v>TE BESIMI</v>
      </c>
      <c r="H2988" s="75">
        <v>35110</v>
      </c>
      <c r="I2988" s="76" t="str">
        <f>VLOOKUP(Tabelle2[[#This Row],[Artikel]],Produkte!A:B,2,0)</f>
        <v>M-ONE Sanitar Silikon</v>
      </c>
      <c r="J2988" s="75">
        <v>12</v>
      </c>
      <c r="K2988" s="76" t="str">
        <f>VLOOKUP(Tabelle2[[#This Row],[Kunden Nr.]],KUNDEN!A:G,7)</f>
        <v>Mensuri</v>
      </c>
      <c r="L2988" s="76">
        <f>VLOOKUP(Tabelle2[[#This Row],[Artikel]],Produkte!A:H,8)</f>
        <v>0.17</v>
      </c>
    </row>
    <row r="2989" spans="1:12" x14ac:dyDescent="0.2">
      <c r="A2989" s="75" t="s">
        <v>963</v>
      </c>
      <c r="B2989" s="79">
        <v>46140</v>
      </c>
      <c r="C2989" s="75"/>
      <c r="D2989" s="75"/>
      <c r="E2989" s="75"/>
      <c r="F2989" s="75">
        <v>20201</v>
      </c>
      <c r="G2989" s="76" t="str">
        <f>VLOOKUP(Tabelle2[[#This Row],[Kunden Nr.]],KUNDEN!A:B,2,0)</f>
        <v>TE BESIMI</v>
      </c>
      <c r="H2989" s="75">
        <v>35112</v>
      </c>
      <c r="I2989" s="76" t="str">
        <f>VLOOKUP(Tabelle2[[#This Row],[Artikel]],Produkte!A:B,2,0)</f>
        <v>M-ONE Sanitar Silikon</v>
      </c>
      <c r="J2989" s="75">
        <v>12</v>
      </c>
      <c r="K2989" s="76" t="str">
        <f>VLOOKUP(Tabelle2[[#This Row],[Kunden Nr.]],KUNDEN!A:G,7)</f>
        <v>Mensuri</v>
      </c>
      <c r="L2989" s="76">
        <f>VLOOKUP(Tabelle2[[#This Row],[Artikel]],Produkte!A:H,8)</f>
        <v>0.17</v>
      </c>
    </row>
    <row r="2990" spans="1:12" x14ac:dyDescent="0.2">
      <c r="A2990" s="75" t="s">
        <v>963</v>
      </c>
      <c r="B2990" s="79">
        <v>46140</v>
      </c>
      <c r="C2990" s="75"/>
      <c r="D2990" s="75"/>
      <c r="E2990" s="75"/>
      <c r="F2990" s="75">
        <v>20201</v>
      </c>
      <c r="G2990" s="76" t="str">
        <f>VLOOKUP(Tabelle2[[#This Row],[Kunden Nr.]],KUNDEN!A:B,2,0)</f>
        <v>TE BESIMI</v>
      </c>
      <c r="H2990" s="75">
        <v>50912</v>
      </c>
      <c r="I2990" s="76" t="str">
        <f>VLOOKUP(Tabelle2[[#This Row],[Artikel]],Produkte!A:B,2,0)</f>
        <v>DICHTUNG</v>
      </c>
      <c r="J2990" s="75">
        <v>4</v>
      </c>
      <c r="K2990" s="76" t="str">
        <f>VLOOKUP(Tabelle2[[#This Row],[Kunden Nr.]],KUNDEN!A:G,7)</f>
        <v>Mensuri</v>
      </c>
      <c r="L2990" s="76">
        <f>VLOOKUP(Tabelle2[[#This Row],[Artikel]],Produkte!A:H,8)</f>
        <v>0.2</v>
      </c>
    </row>
    <row r="2991" spans="1:12" x14ac:dyDescent="0.2">
      <c r="A2991" s="75" t="s">
        <v>963</v>
      </c>
      <c r="B2991" s="79">
        <v>46140</v>
      </c>
      <c r="C2991" s="75"/>
      <c r="D2991" s="75"/>
      <c r="E2991" s="75"/>
      <c r="F2991" s="75">
        <v>20201</v>
      </c>
      <c r="G2991" s="76" t="str">
        <f>VLOOKUP(Tabelle2[[#This Row],[Kunden Nr.]],KUNDEN!A:B,2,0)</f>
        <v>TE BESIMI</v>
      </c>
      <c r="H2991" s="75">
        <v>54412</v>
      </c>
      <c r="I2991" s="76" t="str">
        <f>VLOOKUP(Tabelle2[[#This Row],[Artikel]],Produkte!A:B,2,0)</f>
        <v>beMAKER Bremsen&amp;Teile Reininger</v>
      </c>
      <c r="J2991" s="75">
        <v>4</v>
      </c>
      <c r="K2991" s="76" t="str">
        <f>VLOOKUP(Tabelle2[[#This Row],[Kunden Nr.]],KUNDEN!A:G,7)</f>
        <v>Mensuri</v>
      </c>
      <c r="L2991" s="76">
        <f>VLOOKUP(Tabelle2[[#This Row],[Artikel]],Produkte!A:H,8)</f>
        <v>0.2</v>
      </c>
    </row>
    <row r="2992" spans="1:12" x14ac:dyDescent="0.2">
      <c r="A2992" s="75" t="s">
        <v>963</v>
      </c>
      <c r="B2992" s="79">
        <v>46140</v>
      </c>
      <c r="C2992" s="75"/>
      <c r="D2992" s="75"/>
      <c r="E2992" s="75"/>
      <c r="F2992" s="75">
        <v>20201</v>
      </c>
      <c r="G2992" s="76" t="str">
        <f>VLOOKUP(Tabelle2[[#This Row],[Kunden Nr.]],KUNDEN!A:B,2,0)</f>
        <v>TE BESIMI</v>
      </c>
      <c r="H2992" s="75">
        <v>26736</v>
      </c>
      <c r="I2992" s="76" t="str">
        <f>VLOOKUP(Tabelle2[[#This Row],[Artikel]],Produkte!A:B,2,0)</f>
        <v>M ONE HAFTGRUND</v>
      </c>
      <c r="J2992" s="75">
        <v>4</v>
      </c>
      <c r="K2992" s="76" t="str">
        <f>VLOOKUP(Tabelle2[[#This Row],[Kunden Nr.]],KUNDEN!A:G,7)</f>
        <v>Mensuri</v>
      </c>
      <c r="L2992" s="76">
        <f>VLOOKUP(Tabelle2[[#This Row],[Artikel]],Produkte!A:H,8)</f>
        <v>0.15</v>
      </c>
    </row>
    <row r="2993" spans="1:12" x14ac:dyDescent="0.2">
      <c r="A2993" s="75" t="s">
        <v>963</v>
      </c>
      <c r="B2993" s="79">
        <v>46140</v>
      </c>
      <c r="C2993" s="75"/>
      <c r="D2993" s="75"/>
      <c r="E2993" s="75"/>
      <c r="F2993" s="75">
        <v>20201</v>
      </c>
      <c r="G2993" s="76" t="str">
        <f>VLOOKUP(Tabelle2[[#This Row],[Kunden Nr.]],KUNDEN!A:B,2,0)</f>
        <v>TE BESIMI</v>
      </c>
      <c r="H2993" s="75">
        <v>49644</v>
      </c>
      <c r="I2993" s="76" t="str">
        <f>VLOOKUP(Tabelle2[[#This Row],[Artikel]],Produkte!A:B,2,0)</f>
        <v>beMAKER Rostlöser</v>
      </c>
      <c r="J2993" s="75">
        <v>2</v>
      </c>
      <c r="K2993" s="76" t="str">
        <f>VLOOKUP(Tabelle2[[#This Row],[Kunden Nr.]],KUNDEN!A:G,7)</f>
        <v>Mensuri</v>
      </c>
      <c r="L2993" s="76">
        <f>VLOOKUP(Tabelle2[[#This Row],[Artikel]],Produkte!A:H,8)</f>
        <v>0.2</v>
      </c>
    </row>
    <row r="2994" spans="1:12" x14ac:dyDescent="0.2">
      <c r="A2994" s="75" t="s">
        <v>8</v>
      </c>
      <c r="B2994" s="79">
        <v>46141</v>
      </c>
      <c r="C2994" s="89">
        <v>231</v>
      </c>
      <c r="D2994" s="75"/>
      <c r="E2994" s="75"/>
      <c r="F2994" s="75">
        <v>10304</v>
      </c>
      <c r="G2994" s="76" t="str">
        <f>VLOOKUP(Tabelle2[[#This Row],[Kunden Nr.]],KUNDEN!A:B,2,0)</f>
        <v>EUROSAN</v>
      </c>
      <c r="H2994" s="75">
        <v>35108</v>
      </c>
      <c r="I2994" s="76" t="str">
        <f>VLOOKUP(Tabelle2[[#This Row],[Artikel]],Produkte!A:B,2,0)</f>
        <v>M-ONE Sanitar Silikon</v>
      </c>
      <c r="J2994" s="75">
        <v>24</v>
      </c>
      <c r="K2994" s="76" t="str">
        <f>VLOOKUP(Tabelle2[[#This Row],[Kunden Nr.]],KUNDEN!A:G,7)</f>
        <v>Qerimi</v>
      </c>
      <c r="L2994" s="76">
        <f>VLOOKUP(Tabelle2[[#This Row],[Artikel]],Produkte!A:H,8)</f>
        <v>0.17</v>
      </c>
    </row>
    <row r="2995" spans="1:12" x14ac:dyDescent="0.2">
      <c r="A2995" s="75" t="s">
        <v>8</v>
      </c>
      <c r="B2995" s="79">
        <v>46141</v>
      </c>
      <c r="C2995" s="75"/>
      <c r="D2995" s="75"/>
      <c r="E2995" s="75"/>
      <c r="F2995" s="75">
        <v>10304</v>
      </c>
      <c r="G2995" s="76" t="str">
        <f>VLOOKUP(Tabelle2[[#This Row],[Kunden Nr.]],KUNDEN!A:B,2,0)</f>
        <v>EUROSAN</v>
      </c>
      <c r="H2995" s="75">
        <v>35109</v>
      </c>
      <c r="I2995" s="76" t="str">
        <f>VLOOKUP(Tabelle2[[#This Row],[Artikel]],Produkte!A:B,2,0)</f>
        <v>M-ONE Sanitar Silikon</v>
      </c>
      <c r="J2995" s="75">
        <v>36</v>
      </c>
      <c r="K2995" s="76" t="str">
        <f>VLOOKUP(Tabelle2[[#This Row],[Kunden Nr.]],KUNDEN!A:G,7)</f>
        <v>Qerimi</v>
      </c>
      <c r="L2995" s="76">
        <f>VLOOKUP(Tabelle2[[#This Row],[Artikel]],Produkte!A:H,8)</f>
        <v>0.17</v>
      </c>
    </row>
    <row r="2996" spans="1:12" x14ac:dyDescent="0.2">
      <c r="A2996" s="75" t="s">
        <v>8</v>
      </c>
      <c r="B2996" s="79">
        <v>46141</v>
      </c>
      <c r="C2996" s="75"/>
      <c r="D2996" s="75"/>
      <c r="E2996" s="75"/>
      <c r="F2996" s="75">
        <v>10304</v>
      </c>
      <c r="G2996" s="76" t="str">
        <f>VLOOKUP(Tabelle2[[#This Row],[Kunden Nr.]],KUNDEN!A:B,2,0)</f>
        <v>EUROSAN</v>
      </c>
      <c r="H2996" s="75">
        <v>35110</v>
      </c>
      <c r="I2996" s="76" t="str">
        <f>VLOOKUP(Tabelle2[[#This Row],[Artikel]],Produkte!A:B,2,0)</f>
        <v>M-ONE Sanitar Silikon</v>
      </c>
      <c r="J2996" s="75">
        <v>12</v>
      </c>
      <c r="K2996" s="76" t="str">
        <f>VLOOKUP(Tabelle2[[#This Row],[Kunden Nr.]],KUNDEN!A:G,7)</f>
        <v>Qerimi</v>
      </c>
      <c r="L2996" s="76">
        <f>VLOOKUP(Tabelle2[[#This Row],[Artikel]],Produkte!A:H,8)</f>
        <v>0.17</v>
      </c>
    </row>
    <row r="2997" spans="1:12" x14ac:dyDescent="0.2">
      <c r="A2997" s="75" t="s">
        <v>8</v>
      </c>
      <c r="B2997" s="79">
        <v>46141</v>
      </c>
      <c r="C2997" s="75"/>
      <c r="D2997" s="75"/>
      <c r="E2997" s="75"/>
      <c r="F2997" s="75">
        <v>10304</v>
      </c>
      <c r="G2997" s="76" t="str">
        <f>VLOOKUP(Tabelle2[[#This Row],[Kunden Nr.]],KUNDEN!A:B,2,0)</f>
        <v>EUROSAN</v>
      </c>
      <c r="H2997" s="75">
        <v>35111</v>
      </c>
      <c r="I2997" s="76" t="str">
        <f>VLOOKUP(Tabelle2[[#This Row],[Artikel]],Produkte!A:B,2,0)</f>
        <v>M-ONE Sanitar Silikon</v>
      </c>
      <c r="J2997" s="75">
        <v>12</v>
      </c>
      <c r="K2997" s="76" t="str">
        <f>VLOOKUP(Tabelle2[[#This Row],[Kunden Nr.]],KUNDEN!A:G,7)</f>
        <v>Qerimi</v>
      </c>
      <c r="L2997" s="76">
        <f>VLOOKUP(Tabelle2[[#This Row],[Artikel]],Produkte!A:H,8)</f>
        <v>0.17</v>
      </c>
    </row>
    <row r="2998" spans="1:12" x14ac:dyDescent="0.2">
      <c r="A2998" s="75" t="s">
        <v>8</v>
      </c>
      <c r="B2998" s="79">
        <v>46141</v>
      </c>
      <c r="C2998" s="75"/>
      <c r="D2998" s="75"/>
      <c r="E2998" s="75"/>
      <c r="F2998" s="75">
        <v>10304</v>
      </c>
      <c r="G2998" s="76" t="str">
        <f>VLOOKUP(Tabelle2[[#This Row],[Kunden Nr.]],KUNDEN!A:B,2,0)</f>
        <v>EUROSAN</v>
      </c>
      <c r="H2998" s="75">
        <v>35115</v>
      </c>
      <c r="I2998" s="76" t="str">
        <f>VLOOKUP(Tabelle2[[#This Row],[Artikel]],Produkte!A:B,2,0)</f>
        <v>M-ONE Sanitar Silikon</v>
      </c>
      <c r="J2998" s="75">
        <v>12</v>
      </c>
      <c r="K2998" s="76" t="str">
        <f>VLOOKUP(Tabelle2[[#This Row],[Kunden Nr.]],KUNDEN!A:G,7)</f>
        <v>Qerimi</v>
      </c>
      <c r="L2998" s="76">
        <f>VLOOKUP(Tabelle2[[#This Row],[Artikel]],Produkte!A:H,8)</f>
        <v>0.17</v>
      </c>
    </row>
    <row r="2999" spans="1:12" x14ac:dyDescent="0.2">
      <c r="A2999" s="75" t="s">
        <v>8</v>
      </c>
      <c r="B2999" s="79">
        <v>46141</v>
      </c>
      <c r="C2999" s="75"/>
      <c r="D2999" s="75"/>
      <c r="E2999" s="75"/>
      <c r="F2999" s="75">
        <v>10304</v>
      </c>
      <c r="G2999" s="76" t="str">
        <f>VLOOKUP(Tabelle2[[#This Row],[Kunden Nr.]],KUNDEN!A:B,2,0)</f>
        <v>EUROSAN</v>
      </c>
      <c r="H2999" s="75">
        <v>35121</v>
      </c>
      <c r="I2999" s="76" t="str">
        <f>VLOOKUP(Tabelle2[[#This Row],[Artikel]],Produkte!A:B,2,0)</f>
        <v>M-ONE Sanitar Silikon</v>
      </c>
      <c r="J2999" s="75">
        <v>24</v>
      </c>
      <c r="K2999" s="76" t="str">
        <f>VLOOKUP(Tabelle2[[#This Row],[Kunden Nr.]],KUNDEN!A:G,7)</f>
        <v>Qerimi</v>
      </c>
      <c r="L2999" s="76">
        <f>VLOOKUP(Tabelle2[[#This Row],[Artikel]],Produkte!A:H,8)</f>
        <v>0.17</v>
      </c>
    </row>
    <row r="3000" spans="1:12" x14ac:dyDescent="0.2">
      <c r="A3000" s="75" t="s">
        <v>1154</v>
      </c>
      <c r="B3000" s="79">
        <v>46141</v>
      </c>
      <c r="C3000" s="89">
        <v>646.79999999999995</v>
      </c>
      <c r="D3000" s="75"/>
      <c r="E3000" s="75"/>
      <c r="F3000" s="75">
        <v>10344</v>
      </c>
      <c r="G3000" s="76" t="str">
        <f>VLOOKUP(Tabelle2[[#This Row],[Kunden Nr.]],KUNDEN!A:B,2,0)</f>
        <v>TINA</v>
      </c>
      <c r="H3000" s="75">
        <v>35108</v>
      </c>
      <c r="I3000" s="76" t="str">
        <f>VLOOKUP(Tabelle2[[#This Row],[Artikel]],Produkte!A:B,2,0)</f>
        <v>M-ONE Sanitar Silikon</v>
      </c>
      <c r="J3000" s="75">
        <v>60</v>
      </c>
      <c r="K3000" s="76" t="str">
        <f>VLOOKUP(Tabelle2[[#This Row],[Kunden Nr.]],KUNDEN!A:G,7)</f>
        <v>Qerimi</v>
      </c>
      <c r="L3000" s="76">
        <f>VLOOKUP(Tabelle2[[#This Row],[Artikel]],Produkte!A:H,8)</f>
        <v>0.17</v>
      </c>
    </row>
    <row r="3001" spans="1:12" x14ac:dyDescent="0.2">
      <c r="A3001" s="75" t="s">
        <v>1154</v>
      </c>
      <c r="B3001" s="79">
        <v>46141</v>
      </c>
      <c r="C3001" s="75"/>
      <c r="D3001" s="75"/>
      <c r="E3001" s="75"/>
      <c r="F3001" s="75">
        <v>10344</v>
      </c>
      <c r="G3001" s="76" t="str">
        <f>VLOOKUP(Tabelle2[[#This Row],[Kunden Nr.]],KUNDEN!A:B,2,0)</f>
        <v>TINA</v>
      </c>
      <c r="H3001" s="75">
        <v>35113</v>
      </c>
      <c r="I3001" s="76" t="str">
        <f>VLOOKUP(Tabelle2[[#This Row],[Artikel]],Produkte!A:B,2,0)</f>
        <v>M-ONE Sanitar Silikon</v>
      </c>
      <c r="J3001" s="75">
        <v>36</v>
      </c>
      <c r="K3001" s="76" t="str">
        <f>VLOOKUP(Tabelle2[[#This Row],[Kunden Nr.]],KUNDEN!A:G,7)</f>
        <v>Qerimi</v>
      </c>
      <c r="L3001" s="76">
        <f>VLOOKUP(Tabelle2[[#This Row],[Artikel]],Produkte!A:H,8)</f>
        <v>0.17</v>
      </c>
    </row>
    <row r="3002" spans="1:12" x14ac:dyDescent="0.2">
      <c r="A3002" s="75" t="s">
        <v>1154</v>
      </c>
      <c r="B3002" s="79">
        <v>46141</v>
      </c>
      <c r="C3002" s="75"/>
      <c r="D3002" s="75"/>
      <c r="E3002" s="75"/>
      <c r="F3002" s="75">
        <v>10344</v>
      </c>
      <c r="G3002" s="76" t="str">
        <f>VLOOKUP(Tabelle2[[#This Row],[Kunden Nr.]],KUNDEN!A:B,2,0)</f>
        <v>TINA</v>
      </c>
      <c r="H3002" s="75">
        <v>35115</v>
      </c>
      <c r="I3002" s="76" t="str">
        <f>VLOOKUP(Tabelle2[[#This Row],[Artikel]],Produkte!A:B,2,0)</f>
        <v>M-ONE Sanitar Silikon</v>
      </c>
      <c r="J3002" s="75">
        <v>36</v>
      </c>
      <c r="K3002" s="76" t="str">
        <f>VLOOKUP(Tabelle2[[#This Row],[Kunden Nr.]],KUNDEN!A:G,7)</f>
        <v>Qerimi</v>
      </c>
      <c r="L3002" s="76">
        <f>VLOOKUP(Tabelle2[[#This Row],[Artikel]],Produkte!A:H,8)</f>
        <v>0.17</v>
      </c>
    </row>
    <row r="3003" spans="1:12" x14ac:dyDescent="0.2">
      <c r="A3003" s="75" t="s">
        <v>1154</v>
      </c>
      <c r="B3003" s="79">
        <v>46141</v>
      </c>
      <c r="C3003" s="75"/>
      <c r="D3003" s="75"/>
      <c r="E3003" s="75"/>
      <c r="F3003" s="75">
        <v>10344</v>
      </c>
      <c r="G3003" s="76" t="str">
        <f>VLOOKUP(Tabelle2[[#This Row],[Kunden Nr.]],KUNDEN!A:B,2,0)</f>
        <v>TINA</v>
      </c>
      <c r="H3003" s="75">
        <v>35111</v>
      </c>
      <c r="I3003" s="76" t="str">
        <f>VLOOKUP(Tabelle2[[#This Row],[Artikel]],Produkte!A:B,2,0)</f>
        <v>M-ONE Sanitar Silikon</v>
      </c>
      <c r="J3003" s="75">
        <v>24</v>
      </c>
      <c r="K3003" s="76" t="str">
        <f>VLOOKUP(Tabelle2[[#This Row],[Kunden Nr.]],KUNDEN!A:G,7)</f>
        <v>Qerimi</v>
      </c>
      <c r="L3003" s="76">
        <f>VLOOKUP(Tabelle2[[#This Row],[Artikel]],Produkte!A:H,8)</f>
        <v>0.17</v>
      </c>
    </row>
    <row r="3004" spans="1:12" x14ac:dyDescent="0.2">
      <c r="A3004" s="75" t="s">
        <v>1154</v>
      </c>
      <c r="B3004" s="79">
        <v>46141</v>
      </c>
      <c r="C3004" s="75"/>
      <c r="D3004" s="75"/>
      <c r="E3004" s="75"/>
      <c r="F3004" s="75">
        <v>10344</v>
      </c>
      <c r="G3004" s="76" t="str">
        <f>VLOOKUP(Tabelle2[[#This Row],[Kunden Nr.]],KUNDEN!A:B,2,0)</f>
        <v>TINA</v>
      </c>
      <c r="H3004" s="75">
        <v>35110</v>
      </c>
      <c r="I3004" s="76" t="str">
        <f>VLOOKUP(Tabelle2[[#This Row],[Artikel]],Produkte!A:B,2,0)</f>
        <v>M-ONE Sanitar Silikon</v>
      </c>
      <c r="J3004" s="75">
        <v>12</v>
      </c>
      <c r="K3004" s="76" t="str">
        <f>VLOOKUP(Tabelle2[[#This Row],[Kunden Nr.]],KUNDEN!A:G,7)</f>
        <v>Qerimi</v>
      </c>
      <c r="L3004" s="76">
        <f>VLOOKUP(Tabelle2[[#This Row],[Artikel]],Produkte!A:H,8)</f>
        <v>0.17</v>
      </c>
    </row>
    <row r="3005" spans="1:12" x14ac:dyDescent="0.2">
      <c r="A3005" s="75" t="s">
        <v>415</v>
      </c>
      <c r="B3005" s="79">
        <v>46141</v>
      </c>
      <c r="C3005" s="89">
        <v>138.6</v>
      </c>
      <c r="D3005" s="75"/>
      <c r="E3005" s="75"/>
      <c r="F3005" s="75">
        <v>10352</v>
      </c>
      <c r="G3005" s="76" t="str">
        <f>VLOOKUP(Tabelle2[[#This Row],[Kunden Nr.]],KUNDEN!A:B,2,0)</f>
        <v>SMIRA</v>
      </c>
      <c r="H3005" s="75">
        <v>35109</v>
      </c>
      <c r="I3005" s="76" t="str">
        <f>VLOOKUP(Tabelle2[[#This Row],[Artikel]],Produkte!A:B,2,0)</f>
        <v>M-ONE Sanitar Silikon</v>
      </c>
      <c r="J3005" s="75">
        <v>12</v>
      </c>
      <c r="K3005" s="76" t="str">
        <f>VLOOKUP(Tabelle2[[#This Row],[Kunden Nr.]],KUNDEN!A:G,7)</f>
        <v>Qerimi</v>
      </c>
      <c r="L3005" s="76">
        <f>VLOOKUP(Tabelle2[[#This Row],[Artikel]],Produkte!A:H,8)</f>
        <v>0.17</v>
      </c>
    </row>
    <row r="3006" spans="1:12" x14ac:dyDescent="0.2">
      <c r="A3006" s="75" t="s">
        <v>415</v>
      </c>
      <c r="B3006" s="79">
        <v>46141</v>
      </c>
      <c r="C3006" s="75"/>
      <c r="D3006" s="75"/>
      <c r="E3006" s="75"/>
      <c r="F3006" s="75">
        <v>10352</v>
      </c>
      <c r="G3006" s="76" t="str">
        <f>VLOOKUP(Tabelle2[[#This Row],[Kunden Nr.]],KUNDEN!A:B,2,0)</f>
        <v>SMIRA</v>
      </c>
      <c r="H3006" s="75">
        <v>35111</v>
      </c>
      <c r="I3006" s="76" t="str">
        <f>VLOOKUP(Tabelle2[[#This Row],[Artikel]],Produkte!A:B,2,0)</f>
        <v>M-ONE Sanitar Silikon</v>
      </c>
      <c r="J3006" s="75">
        <v>12</v>
      </c>
      <c r="K3006" s="76" t="str">
        <f>VLOOKUP(Tabelle2[[#This Row],[Kunden Nr.]],KUNDEN!A:G,7)</f>
        <v>Qerimi</v>
      </c>
      <c r="L3006" s="76">
        <f>VLOOKUP(Tabelle2[[#This Row],[Artikel]],Produkte!A:H,8)</f>
        <v>0.17</v>
      </c>
    </row>
    <row r="3007" spans="1:12" x14ac:dyDescent="0.2">
      <c r="A3007" s="75" t="s">
        <v>415</v>
      </c>
      <c r="B3007" s="79">
        <v>46141</v>
      </c>
      <c r="C3007" s="75"/>
      <c r="D3007" s="75"/>
      <c r="E3007" s="75"/>
      <c r="F3007" s="75">
        <v>10352</v>
      </c>
      <c r="G3007" s="76" t="str">
        <f>VLOOKUP(Tabelle2[[#This Row],[Kunden Nr.]],KUNDEN!A:B,2,0)</f>
        <v>SMIRA</v>
      </c>
      <c r="H3007" s="75">
        <v>35115</v>
      </c>
      <c r="I3007" s="76" t="str">
        <f>VLOOKUP(Tabelle2[[#This Row],[Artikel]],Produkte!A:B,2,0)</f>
        <v>M-ONE Sanitar Silikon</v>
      </c>
      <c r="J3007" s="75">
        <v>12</v>
      </c>
      <c r="K3007" s="76" t="str">
        <f>VLOOKUP(Tabelle2[[#This Row],[Kunden Nr.]],KUNDEN!A:G,7)</f>
        <v>Qerimi</v>
      </c>
      <c r="L3007" s="76">
        <f>VLOOKUP(Tabelle2[[#This Row],[Artikel]],Produkte!A:H,8)</f>
        <v>0.17</v>
      </c>
    </row>
    <row r="3008" spans="1:12" x14ac:dyDescent="0.2">
      <c r="A3008" s="75" t="s">
        <v>413</v>
      </c>
      <c r="B3008" s="79">
        <v>46141</v>
      </c>
      <c r="C3008" s="89">
        <v>138.6</v>
      </c>
      <c r="D3008" s="75"/>
      <c r="E3008" s="75"/>
      <c r="F3008" s="75">
        <v>10350</v>
      </c>
      <c r="G3008" s="76" t="str">
        <f>VLOOKUP(Tabelle2[[#This Row],[Kunden Nr.]],KUNDEN!A:B,2,0)</f>
        <v>BALLKANI</v>
      </c>
      <c r="H3008" s="75">
        <v>35110</v>
      </c>
      <c r="I3008" s="76" t="str">
        <f>VLOOKUP(Tabelle2[[#This Row],[Artikel]],Produkte!A:B,2,0)</f>
        <v>M-ONE Sanitar Silikon</v>
      </c>
      <c r="J3008" s="75">
        <v>12</v>
      </c>
      <c r="K3008" s="76" t="str">
        <f>VLOOKUP(Tabelle2[[#This Row],[Kunden Nr.]],KUNDEN!A:G,7)</f>
        <v>Qerimi</v>
      </c>
      <c r="L3008" s="76">
        <f>VLOOKUP(Tabelle2[[#This Row],[Artikel]],Produkte!A:H,8)</f>
        <v>0.17</v>
      </c>
    </row>
    <row r="3009" spans="1:12" x14ac:dyDescent="0.2">
      <c r="A3009" s="75" t="s">
        <v>413</v>
      </c>
      <c r="B3009" s="79">
        <v>46141</v>
      </c>
      <c r="C3009" s="75"/>
      <c r="D3009" s="75"/>
      <c r="E3009" s="75"/>
      <c r="F3009" s="75">
        <v>10350</v>
      </c>
      <c r="G3009" s="76" t="str">
        <f>VLOOKUP(Tabelle2[[#This Row],[Kunden Nr.]],KUNDEN!A:B,2,0)</f>
        <v>BALLKANI</v>
      </c>
      <c r="H3009" s="75">
        <v>35121</v>
      </c>
      <c r="I3009" s="76" t="str">
        <f>VLOOKUP(Tabelle2[[#This Row],[Artikel]],Produkte!A:B,2,0)</f>
        <v>M-ONE Sanitar Silikon</v>
      </c>
      <c r="J3009" s="75">
        <v>24</v>
      </c>
      <c r="K3009" s="76" t="str">
        <f>VLOOKUP(Tabelle2[[#This Row],[Kunden Nr.]],KUNDEN!A:G,7)</f>
        <v>Qerimi</v>
      </c>
      <c r="L3009" s="76">
        <f>VLOOKUP(Tabelle2[[#This Row],[Artikel]],Produkte!A:H,8)</f>
        <v>0.17</v>
      </c>
    </row>
    <row r="3010" spans="1:12" x14ac:dyDescent="0.2">
      <c r="A3010" s="75" t="s">
        <v>41</v>
      </c>
      <c r="B3010" s="79">
        <v>46141</v>
      </c>
      <c r="C3010" s="89">
        <v>92.4</v>
      </c>
      <c r="D3010" s="75"/>
      <c r="E3010" s="75"/>
      <c r="F3010" s="75">
        <v>10330</v>
      </c>
      <c r="G3010" s="76" t="str">
        <f>VLOOKUP(Tabelle2[[#This Row],[Kunden Nr.]],KUNDEN!A:B,2,0)</f>
        <v>BURIMI</v>
      </c>
      <c r="H3010" s="75">
        <v>35109</v>
      </c>
      <c r="I3010" s="76" t="str">
        <f>VLOOKUP(Tabelle2[[#This Row],[Artikel]],Produkte!A:B,2,0)</f>
        <v>M-ONE Sanitar Silikon</v>
      </c>
      <c r="J3010" s="75">
        <v>12</v>
      </c>
      <c r="K3010" s="76" t="str">
        <f>VLOOKUP(Tabelle2[[#This Row],[Kunden Nr.]],KUNDEN!A:G,7)</f>
        <v>Qerimi</v>
      </c>
      <c r="L3010" s="76">
        <f>VLOOKUP(Tabelle2[[#This Row],[Artikel]],Produkte!A:H,8)</f>
        <v>0.17</v>
      </c>
    </row>
    <row r="3011" spans="1:12" x14ac:dyDescent="0.2">
      <c r="A3011" s="75" t="s">
        <v>41</v>
      </c>
      <c r="B3011" s="79">
        <v>46141</v>
      </c>
      <c r="C3011" s="75"/>
      <c r="D3011" s="75"/>
      <c r="E3011" s="75"/>
      <c r="F3011" s="75">
        <v>10330</v>
      </c>
      <c r="G3011" s="76" t="str">
        <f>VLOOKUP(Tabelle2[[#This Row],[Kunden Nr.]],KUNDEN!A:B,2,0)</f>
        <v>BURIMI</v>
      </c>
      <c r="H3011" s="75">
        <v>35121</v>
      </c>
      <c r="I3011" s="76" t="str">
        <f>VLOOKUP(Tabelle2[[#This Row],[Artikel]],Produkte!A:B,2,0)</f>
        <v>M-ONE Sanitar Silikon</v>
      </c>
      <c r="J3011" s="75">
        <v>12</v>
      </c>
      <c r="K3011" s="76" t="str">
        <f>VLOOKUP(Tabelle2[[#This Row],[Kunden Nr.]],KUNDEN!A:G,7)</f>
        <v>Qerimi</v>
      </c>
      <c r="L3011" s="76">
        <f>VLOOKUP(Tabelle2[[#This Row],[Artikel]],Produkte!A:H,8)</f>
        <v>0.17</v>
      </c>
    </row>
    <row r="3012" spans="1:12" x14ac:dyDescent="0.2">
      <c r="A3012" s="75" t="s">
        <v>43</v>
      </c>
      <c r="B3012" s="79">
        <v>46141</v>
      </c>
      <c r="C3012" s="89">
        <v>277.2</v>
      </c>
      <c r="D3012" s="75"/>
      <c r="E3012" s="75"/>
      <c r="F3012" s="75">
        <v>10332</v>
      </c>
      <c r="G3012" s="76" t="str">
        <f>VLOOKUP(Tabelle2[[#This Row],[Kunden Nr.]],KUNDEN!A:B,2,0)</f>
        <v>DARDANIA</v>
      </c>
      <c r="H3012" s="75">
        <v>35109</v>
      </c>
      <c r="I3012" s="76" t="str">
        <f>VLOOKUP(Tabelle2[[#This Row],[Artikel]],Produkte!A:B,2,0)</f>
        <v>M-ONE Sanitar Silikon</v>
      </c>
      <c r="J3012" s="75">
        <v>12</v>
      </c>
      <c r="K3012" s="76" t="str">
        <f>VLOOKUP(Tabelle2[[#This Row],[Kunden Nr.]],KUNDEN!A:G,7)</f>
        <v>Qerimi</v>
      </c>
      <c r="L3012" s="76">
        <f>VLOOKUP(Tabelle2[[#This Row],[Artikel]],Produkte!A:H,8)</f>
        <v>0.17</v>
      </c>
    </row>
    <row r="3013" spans="1:12" x14ac:dyDescent="0.2">
      <c r="A3013" s="75" t="s">
        <v>43</v>
      </c>
      <c r="B3013" s="79">
        <v>46141</v>
      </c>
      <c r="C3013" s="75"/>
      <c r="D3013" s="75"/>
      <c r="E3013" s="75"/>
      <c r="F3013" s="75">
        <v>10332</v>
      </c>
      <c r="G3013" s="76" t="str">
        <f>VLOOKUP(Tabelle2[[#This Row],[Kunden Nr.]],KUNDEN!A:B,2,0)</f>
        <v>DARDANIA</v>
      </c>
      <c r="H3013" s="75">
        <v>35110</v>
      </c>
      <c r="I3013" s="76" t="str">
        <f>VLOOKUP(Tabelle2[[#This Row],[Artikel]],Produkte!A:B,2,0)</f>
        <v>M-ONE Sanitar Silikon</v>
      </c>
      <c r="J3013" s="75">
        <v>12</v>
      </c>
      <c r="K3013" s="76" t="str">
        <f>VLOOKUP(Tabelle2[[#This Row],[Kunden Nr.]],KUNDEN!A:G,7)</f>
        <v>Qerimi</v>
      </c>
      <c r="L3013" s="76">
        <f>VLOOKUP(Tabelle2[[#This Row],[Artikel]],Produkte!A:H,8)</f>
        <v>0.17</v>
      </c>
    </row>
    <row r="3014" spans="1:12" x14ac:dyDescent="0.2">
      <c r="A3014" s="75" t="s">
        <v>43</v>
      </c>
      <c r="B3014" s="79">
        <v>46141</v>
      </c>
      <c r="C3014" s="75"/>
      <c r="D3014" s="75"/>
      <c r="E3014" s="75"/>
      <c r="F3014" s="75">
        <v>10332</v>
      </c>
      <c r="G3014" s="76" t="str">
        <f>VLOOKUP(Tabelle2[[#This Row],[Kunden Nr.]],KUNDEN!A:B,2,0)</f>
        <v>DARDANIA</v>
      </c>
      <c r="H3014" s="75">
        <v>35111</v>
      </c>
      <c r="I3014" s="76" t="str">
        <f>VLOOKUP(Tabelle2[[#This Row],[Artikel]],Produkte!A:B,2,0)</f>
        <v>M-ONE Sanitar Silikon</v>
      </c>
      <c r="J3014" s="75">
        <v>12</v>
      </c>
      <c r="K3014" s="76" t="str">
        <f>VLOOKUP(Tabelle2[[#This Row],[Kunden Nr.]],KUNDEN!A:G,7)</f>
        <v>Qerimi</v>
      </c>
      <c r="L3014" s="76">
        <f>VLOOKUP(Tabelle2[[#This Row],[Artikel]],Produkte!A:H,8)</f>
        <v>0.17</v>
      </c>
    </row>
    <row r="3015" spans="1:12" x14ac:dyDescent="0.2">
      <c r="A3015" s="75" t="s">
        <v>43</v>
      </c>
      <c r="B3015" s="79">
        <v>46141</v>
      </c>
      <c r="C3015" s="75"/>
      <c r="D3015" s="75"/>
      <c r="E3015" s="75"/>
      <c r="F3015" s="75">
        <v>10332</v>
      </c>
      <c r="G3015" s="76" t="str">
        <f>VLOOKUP(Tabelle2[[#This Row],[Kunden Nr.]],KUNDEN!A:B,2,0)</f>
        <v>DARDANIA</v>
      </c>
      <c r="H3015" s="75">
        <v>35113</v>
      </c>
      <c r="I3015" s="76" t="str">
        <f>VLOOKUP(Tabelle2[[#This Row],[Artikel]],Produkte!A:B,2,0)</f>
        <v>M-ONE Sanitar Silikon</v>
      </c>
      <c r="J3015" s="75">
        <v>12</v>
      </c>
      <c r="K3015" s="76" t="str">
        <f>VLOOKUP(Tabelle2[[#This Row],[Kunden Nr.]],KUNDEN!A:G,7)</f>
        <v>Qerimi</v>
      </c>
      <c r="L3015" s="76">
        <f>VLOOKUP(Tabelle2[[#This Row],[Artikel]],Produkte!A:H,8)</f>
        <v>0.17</v>
      </c>
    </row>
    <row r="3016" spans="1:12" x14ac:dyDescent="0.2">
      <c r="A3016" s="75" t="s">
        <v>43</v>
      </c>
      <c r="B3016" s="79">
        <v>46141</v>
      </c>
      <c r="C3016" s="75"/>
      <c r="D3016" s="75"/>
      <c r="E3016" s="75"/>
      <c r="F3016" s="75">
        <v>10332</v>
      </c>
      <c r="G3016" s="76" t="str">
        <f>VLOOKUP(Tabelle2[[#This Row],[Kunden Nr.]],KUNDEN!A:B,2,0)</f>
        <v>DARDANIA</v>
      </c>
      <c r="H3016" s="75">
        <v>35121</v>
      </c>
      <c r="I3016" s="76" t="str">
        <f>VLOOKUP(Tabelle2[[#This Row],[Artikel]],Produkte!A:B,2,0)</f>
        <v>M-ONE Sanitar Silikon</v>
      </c>
      <c r="J3016" s="75">
        <v>12</v>
      </c>
      <c r="K3016" s="76" t="str">
        <f>VLOOKUP(Tabelle2[[#This Row],[Kunden Nr.]],KUNDEN!A:G,7)</f>
        <v>Qerimi</v>
      </c>
      <c r="L3016" s="76">
        <f>VLOOKUP(Tabelle2[[#This Row],[Artikel]],Produkte!A:H,8)</f>
        <v>0.17</v>
      </c>
    </row>
    <row r="3017" spans="1:12" x14ac:dyDescent="0.2">
      <c r="A3017" s="75" t="s">
        <v>43</v>
      </c>
      <c r="B3017" s="79">
        <v>46141</v>
      </c>
      <c r="C3017" s="75"/>
      <c r="D3017" s="75"/>
      <c r="E3017" s="75"/>
      <c r="F3017" s="75">
        <v>10332</v>
      </c>
      <c r="G3017" s="76" t="str">
        <f>VLOOKUP(Tabelle2[[#This Row],[Kunden Nr.]],KUNDEN!A:B,2,0)</f>
        <v>DARDANIA</v>
      </c>
      <c r="H3017" s="75">
        <v>35128</v>
      </c>
      <c r="I3017" s="76" t="str">
        <f>VLOOKUP(Tabelle2[[#This Row],[Artikel]],Produkte!A:B,2,0)</f>
        <v>M-ONE Sanitar Silikon</v>
      </c>
      <c r="J3017" s="75">
        <v>12</v>
      </c>
      <c r="K3017" s="76" t="str">
        <f>VLOOKUP(Tabelle2[[#This Row],[Kunden Nr.]],KUNDEN!A:G,7)</f>
        <v>Qerimi</v>
      </c>
      <c r="L3017" s="76">
        <f>VLOOKUP(Tabelle2[[#This Row],[Artikel]],Produkte!A:H,8)</f>
        <v>0.17</v>
      </c>
    </row>
    <row r="3018" spans="1:12" x14ac:dyDescent="0.2">
      <c r="A3018" s="75" t="s">
        <v>20</v>
      </c>
      <c r="B3018" s="79">
        <v>46141</v>
      </c>
      <c r="C3018" s="89">
        <v>138.6</v>
      </c>
      <c r="D3018" s="75"/>
      <c r="E3018" s="75"/>
      <c r="F3018" s="75">
        <v>10313</v>
      </c>
      <c r="G3018" s="76" t="str">
        <f>VLOOKUP(Tabelle2[[#This Row],[Kunden Nr.]],KUNDEN!A:B,2,0)</f>
        <v>FATMIRI</v>
      </c>
      <c r="H3018" s="75">
        <v>35109</v>
      </c>
      <c r="I3018" s="76" t="str">
        <f>VLOOKUP(Tabelle2[[#This Row],[Artikel]],Produkte!A:B,2,0)</f>
        <v>M-ONE Sanitar Silikon</v>
      </c>
      <c r="J3018" s="75">
        <v>12</v>
      </c>
      <c r="K3018" s="76" t="str">
        <f>VLOOKUP(Tabelle2[[#This Row],[Kunden Nr.]],KUNDEN!A:G,7)</f>
        <v>Qerimi</v>
      </c>
      <c r="L3018" s="76">
        <f>VLOOKUP(Tabelle2[[#This Row],[Artikel]],Produkte!A:H,8)</f>
        <v>0.17</v>
      </c>
    </row>
    <row r="3019" spans="1:12" x14ac:dyDescent="0.2">
      <c r="A3019" s="75" t="s">
        <v>20</v>
      </c>
      <c r="B3019" s="79">
        <v>46141</v>
      </c>
      <c r="C3019" s="75"/>
      <c r="D3019" s="75"/>
      <c r="E3019" s="75"/>
      <c r="F3019" s="75">
        <v>10313</v>
      </c>
      <c r="G3019" s="76" t="str">
        <f>VLOOKUP(Tabelle2[[#This Row],[Kunden Nr.]],KUNDEN!A:B,2,0)</f>
        <v>FATMIRI</v>
      </c>
      <c r="H3019" s="75">
        <v>35115</v>
      </c>
      <c r="I3019" s="76" t="str">
        <f>VLOOKUP(Tabelle2[[#This Row],[Artikel]],Produkte!A:B,2,0)</f>
        <v>M-ONE Sanitar Silikon</v>
      </c>
      <c r="J3019" s="75">
        <v>12</v>
      </c>
      <c r="K3019" s="76" t="str">
        <f>VLOOKUP(Tabelle2[[#This Row],[Kunden Nr.]],KUNDEN!A:G,7)</f>
        <v>Qerimi</v>
      </c>
      <c r="L3019" s="76">
        <f>VLOOKUP(Tabelle2[[#This Row],[Artikel]],Produkte!A:H,8)</f>
        <v>0.17</v>
      </c>
    </row>
    <row r="3020" spans="1:12" x14ac:dyDescent="0.2">
      <c r="A3020" s="75" t="s">
        <v>20</v>
      </c>
      <c r="B3020" s="79">
        <v>46141</v>
      </c>
      <c r="C3020" s="75"/>
      <c r="D3020" s="75"/>
      <c r="E3020" s="75"/>
      <c r="F3020" s="75">
        <v>10313</v>
      </c>
      <c r="G3020" s="76" t="str">
        <f>VLOOKUP(Tabelle2[[#This Row],[Kunden Nr.]],KUNDEN!A:B,2,0)</f>
        <v>FATMIRI</v>
      </c>
      <c r="H3020" s="75">
        <v>35121</v>
      </c>
      <c r="I3020" s="76" t="str">
        <f>VLOOKUP(Tabelle2[[#This Row],[Artikel]],Produkte!A:B,2,0)</f>
        <v>M-ONE Sanitar Silikon</v>
      </c>
      <c r="J3020" s="75">
        <v>12</v>
      </c>
      <c r="K3020" s="76" t="str">
        <f>VLOOKUP(Tabelle2[[#This Row],[Kunden Nr.]],KUNDEN!A:G,7)</f>
        <v>Qerimi</v>
      </c>
      <c r="L3020" s="76">
        <f>VLOOKUP(Tabelle2[[#This Row],[Artikel]],Produkte!A:H,8)</f>
        <v>0.17</v>
      </c>
    </row>
    <row r="3021" spans="1:12" x14ac:dyDescent="0.2">
      <c r="A3021" s="75" t="s">
        <v>1296</v>
      </c>
      <c r="B3021" s="79">
        <v>46141</v>
      </c>
      <c r="C3021" s="89">
        <v>231</v>
      </c>
      <c r="D3021" s="75"/>
      <c r="E3021" s="75"/>
      <c r="F3021" s="75">
        <v>10364</v>
      </c>
      <c r="G3021" s="76" t="str">
        <f>VLOOKUP(Tabelle2[[#This Row],[Kunden Nr.]],KUNDEN!A:B,2,0)</f>
        <v>KOS CERAMIK</v>
      </c>
      <c r="H3021" s="75">
        <v>35109</v>
      </c>
      <c r="I3021" s="76" t="str">
        <f>VLOOKUP(Tabelle2[[#This Row],[Artikel]],Produkte!A:B,2,0)</f>
        <v>M-ONE Sanitar Silikon</v>
      </c>
      <c r="J3021" s="75">
        <v>36</v>
      </c>
      <c r="K3021" s="76" t="str">
        <f>VLOOKUP(Tabelle2[[#This Row],[Kunden Nr.]],KUNDEN!A:G,7)</f>
        <v>Qerimi</v>
      </c>
      <c r="L3021" s="76">
        <f>VLOOKUP(Tabelle2[[#This Row],[Artikel]],Produkte!A:H,8)</f>
        <v>0.17</v>
      </c>
    </row>
    <row r="3022" spans="1:12" x14ac:dyDescent="0.2">
      <c r="A3022" s="75" t="s">
        <v>1296</v>
      </c>
      <c r="B3022" s="79">
        <v>46141</v>
      </c>
      <c r="C3022" s="75"/>
      <c r="D3022" s="75"/>
      <c r="E3022" s="75"/>
      <c r="F3022" s="75">
        <v>10364</v>
      </c>
      <c r="G3022" s="76" t="str">
        <f>VLOOKUP(Tabelle2[[#This Row],[Kunden Nr.]],KUNDEN!A:B,2,0)</f>
        <v>KOS CERAMIK</v>
      </c>
      <c r="H3022" s="75">
        <v>35113</v>
      </c>
      <c r="I3022" s="76" t="str">
        <f>VLOOKUP(Tabelle2[[#This Row],[Artikel]],Produkte!A:B,2,0)</f>
        <v>M-ONE Sanitar Silikon</v>
      </c>
      <c r="J3022" s="75">
        <v>12</v>
      </c>
      <c r="K3022" s="76" t="str">
        <f>VLOOKUP(Tabelle2[[#This Row],[Kunden Nr.]],KUNDEN!A:G,7)</f>
        <v>Qerimi</v>
      </c>
      <c r="L3022" s="76">
        <f>VLOOKUP(Tabelle2[[#This Row],[Artikel]],Produkte!A:H,8)</f>
        <v>0.17</v>
      </c>
    </row>
    <row r="3023" spans="1:12" x14ac:dyDescent="0.2">
      <c r="A3023" s="75" t="s">
        <v>1296</v>
      </c>
      <c r="B3023" s="79">
        <v>46141</v>
      </c>
      <c r="C3023" s="75"/>
      <c r="D3023" s="75"/>
      <c r="E3023" s="75"/>
      <c r="F3023" s="75">
        <v>10364</v>
      </c>
      <c r="G3023" s="76" t="str">
        <f>VLOOKUP(Tabelle2[[#This Row],[Kunden Nr.]],KUNDEN!A:B,2,0)</f>
        <v>KOS CERAMIK</v>
      </c>
      <c r="H3023" s="75">
        <v>35121</v>
      </c>
      <c r="I3023" s="76" t="str">
        <f>VLOOKUP(Tabelle2[[#This Row],[Artikel]],Produkte!A:B,2,0)</f>
        <v>M-ONE Sanitar Silikon</v>
      </c>
      <c r="J3023" s="75">
        <v>12</v>
      </c>
      <c r="K3023" s="76" t="str">
        <f>VLOOKUP(Tabelle2[[#This Row],[Kunden Nr.]],KUNDEN!A:G,7)</f>
        <v>Qerimi</v>
      </c>
      <c r="L3023" s="76">
        <f>VLOOKUP(Tabelle2[[#This Row],[Artikel]],Produkte!A:H,8)</f>
        <v>0.17</v>
      </c>
    </row>
    <row r="3024" spans="1:12" x14ac:dyDescent="0.2">
      <c r="A3024" s="75" t="s">
        <v>12</v>
      </c>
      <c r="B3024" s="79">
        <v>46141</v>
      </c>
      <c r="C3024" s="89">
        <v>184.8</v>
      </c>
      <c r="D3024" s="75"/>
      <c r="E3024" s="75"/>
      <c r="F3024" s="75">
        <v>10308</v>
      </c>
      <c r="G3024" s="76" t="str">
        <f>VLOOKUP(Tabelle2[[#This Row],[Kunden Nr.]],KUNDEN!A:B,2,0)</f>
        <v>ERALP</v>
      </c>
      <c r="H3024" s="75">
        <v>35112</v>
      </c>
      <c r="I3024" s="76" t="str">
        <f>VLOOKUP(Tabelle2[[#This Row],[Artikel]],Produkte!A:B,2,0)</f>
        <v>M-ONE Sanitar Silikon</v>
      </c>
      <c r="J3024" s="75">
        <v>12</v>
      </c>
      <c r="K3024" s="76" t="str">
        <f>VLOOKUP(Tabelle2[[#This Row],[Kunden Nr.]],KUNDEN!A:G,7)</f>
        <v>Qerimi</v>
      </c>
      <c r="L3024" s="76">
        <f>VLOOKUP(Tabelle2[[#This Row],[Artikel]],Produkte!A:H,8)</f>
        <v>0.17</v>
      </c>
    </row>
    <row r="3025" spans="1:12" x14ac:dyDescent="0.2">
      <c r="A3025" s="75" t="s">
        <v>12</v>
      </c>
      <c r="B3025" s="79">
        <v>46141</v>
      </c>
      <c r="C3025" s="75"/>
      <c r="D3025" s="75"/>
      <c r="E3025" s="75"/>
      <c r="F3025" s="75">
        <v>10308</v>
      </c>
      <c r="G3025" s="76" t="str">
        <f>VLOOKUP(Tabelle2[[#This Row],[Kunden Nr.]],KUNDEN!A:B,2,0)</f>
        <v>ERALP</v>
      </c>
      <c r="H3025" s="75">
        <v>35114</v>
      </c>
      <c r="I3025" s="76" t="str">
        <f>VLOOKUP(Tabelle2[[#This Row],[Artikel]],Produkte!A:B,2,0)</f>
        <v>M-ONE Sanitar Silikon</v>
      </c>
      <c r="J3025" s="75">
        <v>12</v>
      </c>
      <c r="K3025" s="76" t="str">
        <f>VLOOKUP(Tabelle2[[#This Row],[Kunden Nr.]],KUNDEN!A:G,7)</f>
        <v>Qerimi</v>
      </c>
      <c r="L3025" s="76">
        <f>VLOOKUP(Tabelle2[[#This Row],[Artikel]],Produkte!A:H,8)</f>
        <v>0.17</v>
      </c>
    </row>
    <row r="3026" spans="1:12" x14ac:dyDescent="0.2">
      <c r="A3026" s="75" t="s">
        <v>12</v>
      </c>
      <c r="B3026" s="79">
        <v>46141</v>
      </c>
      <c r="C3026" s="75"/>
      <c r="D3026" s="75"/>
      <c r="E3026" s="75"/>
      <c r="F3026" s="75">
        <v>10308</v>
      </c>
      <c r="G3026" s="76" t="str">
        <f>VLOOKUP(Tabelle2[[#This Row],[Kunden Nr.]],KUNDEN!A:B,2,0)</f>
        <v>ERALP</v>
      </c>
      <c r="H3026" s="75">
        <v>35113</v>
      </c>
      <c r="I3026" s="76" t="str">
        <f>VLOOKUP(Tabelle2[[#This Row],[Artikel]],Produkte!A:B,2,0)</f>
        <v>M-ONE Sanitar Silikon</v>
      </c>
      <c r="J3026" s="75">
        <v>12</v>
      </c>
      <c r="K3026" s="76" t="str">
        <f>VLOOKUP(Tabelle2[[#This Row],[Kunden Nr.]],KUNDEN!A:G,7)</f>
        <v>Qerimi</v>
      </c>
      <c r="L3026" s="76">
        <f>VLOOKUP(Tabelle2[[#This Row],[Artikel]],Produkte!A:H,8)</f>
        <v>0.17</v>
      </c>
    </row>
    <row r="3027" spans="1:12" x14ac:dyDescent="0.2">
      <c r="A3027" s="75" t="s">
        <v>12</v>
      </c>
      <c r="B3027" s="79">
        <v>46141</v>
      </c>
      <c r="C3027" s="75"/>
      <c r="D3027" s="75"/>
      <c r="E3027" s="75"/>
      <c r="F3027" s="75">
        <v>10308</v>
      </c>
      <c r="G3027" s="76" t="str">
        <f>VLOOKUP(Tabelle2[[#This Row],[Kunden Nr.]],KUNDEN!A:B,2,0)</f>
        <v>ERALP</v>
      </c>
      <c r="H3027" s="75">
        <v>35121</v>
      </c>
      <c r="I3027" s="76" t="str">
        <f>VLOOKUP(Tabelle2[[#This Row],[Artikel]],Produkte!A:B,2,0)</f>
        <v>M-ONE Sanitar Silikon</v>
      </c>
      <c r="J3027" s="75">
        <v>12</v>
      </c>
      <c r="K3027" s="76" t="str">
        <f>VLOOKUP(Tabelle2[[#This Row],[Kunden Nr.]],KUNDEN!A:G,7)</f>
        <v>Qerimi</v>
      </c>
      <c r="L3027" s="76">
        <f>VLOOKUP(Tabelle2[[#This Row],[Artikel]],Produkte!A:H,8)</f>
        <v>0.17</v>
      </c>
    </row>
    <row r="3028" spans="1:12" x14ac:dyDescent="0.2">
      <c r="A3028" s="75" t="s">
        <v>10</v>
      </c>
      <c r="B3028" s="79">
        <v>46141</v>
      </c>
      <c r="C3028" s="89">
        <v>138.6</v>
      </c>
      <c r="D3028" s="75"/>
      <c r="E3028" s="75"/>
      <c r="F3028" s="75">
        <v>10306</v>
      </c>
      <c r="G3028" s="76" t="str">
        <f>VLOOKUP(Tabelle2[[#This Row],[Kunden Nr.]],KUNDEN!A:B,2,0)</f>
        <v>ELIONI-1</v>
      </c>
      <c r="H3028" s="75">
        <v>35113</v>
      </c>
      <c r="I3028" s="76" t="str">
        <f>VLOOKUP(Tabelle2[[#This Row],[Artikel]],Produkte!A:B,2,0)</f>
        <v>M-ONE Sanitar Silikon</v>
      </c>
      <c r="J3028" s="75">
        <v>12</v>
      </c>
      <c r="K3028" s="76" t="str">
        <f>VLOOKUP(Tabelle2[[#This Row],[Kunden Nr.]],KUNDEN!A:G,7)</f>
        <v>Qerimi</v>
      </c>
      <c r="L3028" s="76">
        <f>VLOOKUP(Tabelle2[[#This Row],[Artikel]],Produkte!A:H,8)</f>
        <v>0.17</v>
      </c>
    </row>
    <row r="3029" spans="1:12" x14ac:dyDescent="0.2">
      <c r="A3029" s="75" t="s">
        <v>10</v>
      </c>
      <c r="B3029" s="79">
        <v>46141</v>
      </c>
      <c r="C3029" s="75"/>
      <c r="D3029" s="75"/>
      <c r="E3029" s="75"/>
      <c r="F3029" s="75">
        <v>10306</v>
      </c>
      <c r="G3029" s="76" t="str">
        <f>VLOOKUP(Tabelle2[[#This Row],[Kunden Nr.]],KUNDEN!A:B,2,0)</f>
        <v>ELIONI-1</v>
      </c>
      <c r="H3029" s="75">
        <v>35121</v>
      </c>
      <c r="I3029" s="76" t="str">
        <f>VLOOKUP(Tabelle2[[#This Row],[Artikel]],Produkte!A:B,2,0)</f>
        <v>M-ONE Sanitar Silikon</v>
      </c>
      <c r="J3029" s="75">
        <v>12</v>
      </c>
      <c r="K3029" s="76" t="str">
        <f>VLOOKUP(Tabelle2[[#This Row],[Kunden Nr.]],KUNDEN!A:G,7)</f>
        <v>Qerimi</v>
      </c>
      <c r="L3029" s="76">
        <f>VLOOKUP(Tabelle2[[#This Row],[Artikel]],Produkte!A:H,8)</f>
        <v>0.17</v>
      </c>
    </row>
    <row r="3030" spans="1:12" x14ac:dyDescent="0.2">
      <c r="A3030" s="75" t="s">
        <v>10</v>
      </c>
      <c r="B3030" s="79">
        <v>46141</v>
      </c>
      <c r="C3030" s="75"/>
      <c r="D3030" s="75"/>
      <c r="E3030" s="75"/>
      <c r="F3030" s="75">
        <v>10306</v>
      </c>
      <c r="G3030" s="76" t="str">
        <f>VLOOKUP(Tabelle2[[#This Row],[Kunden Nr.]],KUNDEN!A:B,2,0)</f>
        <v>ELIONI-1</v>
      </c>
      <c r="H3030" s="75">
        <v>35128</v>
      </c>
      <c r="I3030" s="76" t="str">
        <f>VLOOKUP(Tabelle2[[#This Row],[Artikel]],Produkte!A:B,2,0)</f>
        <v>M-ONE Sanitar Silikon</v>
      </c>
      <c r="J3030" s="75">
        <v>12</v>
      </c>
      <c r="K3030" s="76" t="str">
        <f>VLOOKUP(Tabelle2[[#This Row],[Kunden Nr.]],KUNDEN!A:G,7)</f>
        <v>Qerimi</v>
      </c>
      <c r="L3030" s="76">
        <f>VLOOKUP(Tabelle2[[#This Row],[Artikel]],Produkte!A:H,8)</f>
        <v>0.17</v>
      </c>
    </row>
    <row r="3031" spans="1:12" x14ac:dyDescent="0.2">
      <c r="A3031" s="75" t="s">
        <v>1153</v>
      </c>
      <c r="B3031" s="79">
        <v>46141</v>
      </c>
      <c r="C3031" s="89">
        <v>92.4</v>
      </c>
      <c r="D3031" s="75"/>
      <c r="E3031" s="75"/>
      <c r="F3031" s="75">
        <v>10340</v>
      </c>
      <c r="G3031" s="76" t="str">
        <f>VLOOKUP(Tabelle2[[#This Row],[Kunden Nr.]],KUNDEN!A:B,2,0)</f>
        <v>IBAK</v>
      </c>
      <c r="H3031" s="75">
        <v>35109</v>
      </c>
      <c r="I3031" s="76" t="str">
        <f>VLOOKUP(Tabelle2[[#This Row],[Artikel]],Produkte!A:B,2,0)</f>
        <v>M-ONE Sanitar Silikon</v>
      </c>
      <c r="J3031" s="75">
        <v>24</v>
      </c>
      <c r="K3031" s="76" t="str">
        <f>VLOOKUP(Tabelle2[[#This Row],[Kunden Nr.]],KUNDEN!A:G,7)</f>
        <v>Qerimi</v>
      </c>
      <c r="L3031" s="76">
        <f>VLOOKUP(Tabelle2[[#This Row],[Artikel]],Produkte!A:H,8)</f>
        <v>0.17</v>
      </c>
    </row>
    <row r="3032" spans="1:12" x14ac:dyDescent="0.2">
      <c r="A3032" s="75" t="s">
        <v>618</v>
      </c>
      <c r="B3032" s="79">
        <v>46141</v>
      </c>
      <c r="C3032" s="89">
        <v>169.4</v>
      </c>
      <c r="D3032" s="75"/>
      <c r="E3032" s="75"/>
      <c r="F3032" s="75">
        <v>20307</v>
      </c>
      <c r="G3032" s="76" t="str">
        <f>VLOOKUP(Tabelle2[[#This Row],[Kunden Nr.]],KUNDEN!A:B,2,0)</f>
        <v>CONDOR</v>
      </c>
      <c r="H3032" s="75">
        <v>35109</v>
      </c>
      <c r="I3032" s="76" t="str">
        <f>VLOOKUP(Tabelle2[[#This Row],[Artikel]],Produkte!A:B,2,0)</f>
        <v>M-ONE Sanitar Silikon</v>
      </c>
      <c r="J3032" s="75">
        <v>12</v>
      </c>
      <c r="K3032" s="76" t="str">
        <f>VLOOKUP(Tabelle2[[#This Row],[Kunden Nr.]],KUNDEN!A:G,7)</f>
        <v>Mensuri</v>
      </c>
      <c r="L3032" s="76">
        <f>VLOOKUP(Tabelle2[[#This Row],[Artikel]],Produkte!A:H,8)</f>
        <v>0.17</v>
      </c>
    </row>
    <row r="3033" spans="1:12" x14ac:dyDescent="0.2">
      <c r="A3033" s="75" t="s">
        <v>618</v>
      </c>
      <c r="B3033" s="79">
        <v>46141</v>
      </c>
      <c r="C3033" s="75"/>
      <c r="D3033" s="75"/>
      <c r="E3033" s="75"/>
      <c r="F3033" s="75">
        <v>20307</v>
      </c>
      <c r="G3033" s="76" t="str">
        <f>VLOOKUP(Tabelle2[[#This Row],[Kunden Nr.]],KUNDEN!A:B,2,0)</f>
        <v>CONDOR</v>
      </c>
      <c r="H3033" s="75">
        <v>35121</v>
      </c>
      <c r="I3033" s="76" t="str">
        <f>VLOOKUP(Tabelle2[[#This Row],[Artikel]],Produkte!A:B,2,0)</f>
        <v>M-ONE Sanitar Silikon</v>
      </c>
      <c r="J3033" s="75">
        <v>12</v>
      </c>
      <c r="K3033" s="76" t="str">
        <f>VLOOKUP(Tabelle2[[#This Row],[Kunden Nr.]],KUNDEN!A:G,7)</f>
        <v>Mensuri</v>
      </c>
      <c r="L3033" s="76">
        <f>VLOOKUP(Tabelle2[[#This Row],[Artikel]],Produkte!A:H,8)</f>
        <v>0.17</v>
      </c>
    </row>
    <row r="3034" spans="1:12" x14ac:dyDescent="0.2">
      <c r="A3034" s="75" t="s">
        <v>618</v>
      </c>
      <c r="B3034" s="79">
        <v>46141</v>
      </c>
      <c r="C3034" s="75"/>
      <c r="D3034" s="75"/>
      <c r="E3034" s="75"/>
      <c r="F3034" s="75">
        <v>20307</v>
      </c>
      <c r="G3034" s="76" t="str">
        <f>VLOOKUP(Tabelle2[[#This Row],[Kunden Nr.]],KUNDEN!A:B,2,0)</f>
        <v>CONDOR</v>
      </c>
      <c r="H3034" s="75">
        <v>51611</v>
      </c>
      <c r="I3034" s="76" t="str">
        <f>VLOOKUP(Tabelle2[[#This Row],[Artikel]],Produkte!A:B,2,0)</f>
        <v>universal akryl</v>
      </c>
      <c r="J3034" s="75">
        <v>24</v>
      </c>
      <c r="K3034" s="76" t="str">
        <f>VLOOKUP(Tabelle2[[#This Row],[Kunden Nr.]],KUNDEN!A:G,7)</f>
        <v>Mensuri</v>
      </c>
      <c r="L3034" s="76">
        <f>VLOOKUP(Tabelle2[[#This Row],[Artikel]],Produkte!A:H,8)</f>
        <v>0.06</v>
      </c>
    </row>
    <row r="3035" spans="1:12" x14ac:dyDescent="0.2">
      <c r="A3035" s="75" t="s">
        <v>618</v>
      </c>
      <c r="B3035" s="79">
        <v>46141</v>
      </c>
      <c r="C3035" s="75"/>
      <c r="D3035" s="75"/>
      <c r="E3035" s="75"/>
      <c r="F3035" s="75">
        <v>20307</v>
      </c>
      <c r="G3035" s="76" t="str">
        <f>VLOOKUP(Tabelle2[[#This Row],[Kunden Nr.]],KUNDEN!A:B,2,0)</f>
        <v>CONDOR</v>
      </c>
      <c r="H3035" s="75">
        <v>26736</v>
      </c>
      <c r="I3035" s="76" t="str">
        <f>VLOOKUP(Tabelle2[[#This Row],[Artikel]],Produkte!A:B,2,0)</f>
        <v>M ONE HAFTGRUND</v>
      </c>
      <c r="J3035" s="75">
        <v>6</v>
      </c>
      <c r="K3035" s="76" t="str">
        <f>VLOOKUP(Tabelle2[[#This Row],[Kunden Nr.]],KUNDEN!A:G,7)</f>
        <v>Mensuri</v>
      </c>
      <c r="L3035" s="76">
        <f>VLOOKUP(Tabelle2[[#This Row],[Artikel]],Produkte!A:H,8)</f>
        <v>0.15</v>
      </c>
    </row>
    <row r="3036" spans="1:12" x14ac:dyDescent="0.2">
      <c r="A3036" s="75" t="s">
        <v>618</v>
      </c>
      <c r="B3036" s="79">
        <v>46141</v>
      </c>
      <c r="C3036" s="75"/>
      <c r="D3036" s="75"/>
      <c r="E3036" s="75"/>
      <c r="F3036" s="75">
        <v>20307</v>
      </c>
      <c r="G3036" s="76" t="str">
        <f>VLOOKUP(Tabelle2[[#This Row],[Kunden Nr.]],KUNDEN!A:B,2,0)</f>
        <v>CONDOR</v>
      </c>
      <c r="H3036" s="75">
        <v>50912</v>
      </c>
      <c r="I3036" s="76" t="str">
        <f>VLOOKUP(Tabelle2[[#This Row],[Artikel]],Produkte!A:B,2,0)</f>
        <v>DICHTUNG</v>
      </c>
      <c r="J3036" s="75">
        <v>4</v>
      </c>
      <c r="K3036" s="76" t="str">
        <f>VLOOKUP(Tabelle2[[#This Row],[Kunden Nr.]],KUNDEN!A:G,7)</f>
        <v>Mensuri</v>
      </c>
      <c r="L3036" s="76">
        <f>VLOOKUP(Tabelle2[[#This Row],[Artikel]],Produkte!A:H,8)</f>
        <v>0.2</v>
      </c>
    </row>
    <row r="3037" spans="1:12" x14ac:dyDescent="0.2">
      <c r="A3037" s="75" t="s">
        <v>895</v>
      </c>
      <c r="B3037" s="79">
        <v>46141</v>
      </c>
      <c r="C3037" s="89">
        <v>162</v>
      </c>
      <c r="D3037" s="75"/>
      <c r="E3037" s="75"/>
      <c r="F3037" s="75">
        <v>20303</v>
      </c>
      <c r="G3037" s="76" t="str">
        <f>VLOOKUP(Tabelle2[[#This Row],[Kunden Nr.]],KUNDEN!A:B,2,0)</f>
        <v>NITA 3</v>
      </c>
      <c r="H3037" s="75">
        <v>35110</v>
      </c>
      <c r="I3037" s="76" t="str">
        <f>VLOOKUP(Tabelle2[[#This Row],[Artikel]],Produkte!A:B,2,0)</f>
        <v>M-ONE Sanitar Silikon</v>
      </c>
      <c r="J3037" s="75">
        <v>12</v>
      </c>
      <c r="K3037" s="76" t="str">
        <f>VLOOKUP(Tabelle2[[#This Row],[Kunden Nr.]],KUNDEN!A:G,7)</f>
        <v>Mensuri</v>
      </c>
      <c r="L3037" s="76">
        <f>VLOOKUP(Tabelle2[[#This Row],[Artikel]],Produkte!A:H,8)</f>
        <v>0.17</v>
      </c>
    </row>
    <row r="3038" spans="1:12" x14ac:dyDescent="0.2">
      <c r="A3038" s="75" t="s">
        <v>895</v>
      </c>
      <c r="B3038" s="79">
        <v>46141</v>
      </c>
      <c r="C3038" s="75"/>
      <c r="D3038" s="75"/>
      <c r="E3038" s="75"/>
      <c r="F3038" s="75">
        <v>20303</v>
      </c>
      <c r="G3038" s="76" t="str">
        <f>VLOOKUP(Tabelle2[[#This Row],[Kunden Nr.]],KUNDEN!A:B,2,0)</f>
        <v>NITA 3</v>
      </c>
      <c r="H3038" s="75">
        <v>35115</v>
      </c>
      <c r="I3038" s="76" t="str">
        <f>VLOOKUP(Tabelle2[[#This Row],[Artikel]],Produkte!A:B,2,0)</f>
        <v>M-ONE Sanitar Silikon</v>
      </c>
      <c r="J3038" s="75">
        <v>12</v>
      </c>
      <c r="K3038" s="76" t="str">
        <f>VLOOKUP(Tabelle2[[#This Row],[Kunden Nr.]],KUNDEN!A:G,7)</f>
        <v>Mensuri</v>
      </c>
      <c r="L3038" s="76">
        <f>VLOOKUP(Tabelle2[[#This Row],[Artikel]],Produkte!A:H,8)</f>
        <v>0.17</v>
      </c>
    </row>
    <row r="3039" spans="1:12" x14ac:dyDescent="0.2">
      <c r="A3039" s="75" t="s">
        <v>895</v>
      </c>
      <c r="B3039" s="79">
        <v>46141</v>
      </c>
      <c r="C3039" s="75"/>
      <c r="D3039" s="75"/>
      <c r="E3039" s="75"/>
      <c r="F3039" s="75">
        <v>20303</v>
      </c>
      <c r="G3039" s="76" t="str">
        <f>VLOOKUP(Tabelle2[[#This Row],[Kunden Nr.]],KUNDEN!A:B,2,0)</f>
        <v>NITA 3</v>
      </c>
      <c r="H3039" s="75">
        <v>66701</v>
      </c>
      <c r="I3039" s="76" t="str">
        <f>VLOOKUP(Tabelle2[[#This Row],[Artikel]],Produkte!A:B,2,0)</f>
        <v>PROFIMONT EXTREME</v>
      </c>
      <c r="J3039" s="75">
        <v>12</v>
      </c>
      <c r="K3039" s="76" t="str">
        <f>VLOOKUP(Tabelle2[[#This Row],[Kunden Nr.]],KUNDEN!A:G,7)</f>
        <v>Mensuri</v>
      </c>
      <c r="L3039" s="76">
        <f>VLOOKUP(Tabelle2[[#This Row],[Artikel]],Produkte!A:H,8)</f>
        <v>0.2</v>
      </c>
    </row>
    <row r="3040" spans="1:12" x14ac:dyDescent="0.2">
      <c r="A3040" s="75" t="s">
        <v>623</v>
      </c>
      <c r="B3040" s="79">
        <v>46141</v>
      </c>
      <c r="C3040" s="89">
        <v>166.2</v>
      </c>
      <c r="D3040" s="75"/>
      <c r="E3040" s="75"/>
      <c r="F3040" s="75">
        <v>20313</v>
      </c>
      <c r="G3040" s="76" t="str">
        <f>VLOOKUP(Tabelle2[[#This Row],[Kunden Nr.]],KUNDEN!A:B,2,0)</f>
        <v>DURGUTI 3</v>
      </c>
      <c r="H3040" s="75">
        <v>35109</v>
      </c>
      <c r="I3040" s="76" t="str">
        <f>VLOOKUP(Tabelle2[[#This Row],[Artikel]],Produkte!A:B,2,0)</f>
        <v>M-ONE Sanitar Silikon</v>
      </c>
      <c r="J3040" s="75">
        <v>12</v>
      </c>
      <c r="K3040" s="76" t="str">
        <f>VLOOKUP(Tabelle2[[#This Row],[Kunden Nr.]],KUNDEN!A:G,7)</f>
        <v>Mensuri</v>
      </c>
      <c r="L3040" s="76">
        <f>VLOOKUP(Tabelle2[[#This Row],[Artikel]],Produkte!A:H,8)</f>
        <v>0.17</v>
      </c>
    </row>
    <row r="3041" spans="1:12" x14ac:dyDescent="0.2">
      <c r="A3041" s="75" t="s">
        <v>623</v>
      </c>
      <c r="B3041" s="79">
        <v>46141</v>
      </c>
      <c r="C3041" s="75"/>
      <c r="D3041" s="75"/>
      <c r="E3041" s="75"/>
      <c r="F3041" s="75">
        <v>20313</v>
      </c>
      <c r="G3041" s="76" t="str">
        <f>VLOOKUP(Tabelle2[[#This Row],[Kunden Nr.]],KUNDEN!A:B,2,0)</f>
        <v>DURGUTI 3</v>
      </c>
      <c r="H3041" s="75">
        <v>35114</v>
      </c>
      <c r="I3041" s="76" t="str">
        <f>VLOOKUP(Tabelle2[[#This Row],[Artikel]],Produkte!A:B,2,0)</f>
        <v>M-ONE Sanitar Silikon</v>
      </c>
      <c r="J3041" s="75">
        <v>12</v>
      </c>
      <c r="K3041" s="76" t="str">
        <f>VLOOKUP(Tabelle2[[#This Row],[Kunden Nr.]],KUNDEN!A:G,7)</f>
        <v>Mensuri</v>
      </c>
      <c r="L3041" s="76">
        <f>VLOOKUP(Tabelle2[[#This Row],[Artikel]],Produkte!A:H,8)</f>
        <v>0.17</v>
      </c>
    </row>
    <row r="3042" spans="1:12" x14ac:dyDescent="0.2">
      <c r="A3042" s="75" t="s">
        <v>623</v>
      </c>
      <c r="B3042" s="79">
        <v>46141</v>
      </c>
      <c r="C3042" s="75"/>
      <c r="D3042" s="75"/>
      <c r="E3042" s="75"/>
      <c r="F3042" s="75">
        <v>20313</v>
      </c>
      <c r="G3042" s="76" t="str">
        <f>VLOOKUP(Tabelle2[[#This Row],[Kunden Nr.]],KUNDEN!A:B,2,0)</f>
        <v>DURGUTI 3</v>
      </c>
      <c r="H3042" s="75">
        <v>35121</v>
      </c>
      <c r="I3042" s="76" t="str">
        <f>VLOOKUP(Tabelle2[[#This Row],[Artikel]],Produkte!A:B,2,0)</f>
        <v>M-ONE Sanitar Silikon</v>
      </c>
      <c r="J3042" s="75">
        <v>12</v>
      </c>
      <c r="K3042" s="76" t="str">
        <f>VLOOKUP(Tabelle2[[#This Row],[Kunden Nr.]],KUNDEN!A:G,7)</f>
        <v>Mensuri</v>
      </c>
      <c r="L3042" s="76">
        <f>VLOOKUP(Tabelle2[[#This Row],[Artikel]],Produkte!A:H,8)</f>
        <v>0.17</v>
      </c>
    </row>
    <row r="3043" spans="1:12" x14ac:dyDescent="0.2">
      <c r="A3043" s="75" t="s">
        <v>623</v>
      </c>
      <c r="B3043" s="79">
        <v>46141</v>
      </c>
      <c r="C3043" s="75"/>
      <c r="D3043" s="75"/>
      <c r="E3043" s="75"/>
      <c r="F3043" s="75">
        <v>20313</v>
      </c>
      <c r="G3043" s="76" t="str">
        <f>VLOOKUP(Tabelle2[[#This Row],[Kunden Nr.]],KUNDEN!A:B,2,0)</f>
        <v>DURGUTI 3</v>
      </c>
      <c r="H3043" s="75">
        <v>51612</v>
      </c>
      <c r="I3043" s="76" t="str">
        <f>VLOOKUP(Tabelle2[[#This Row],[Artikel]],Produkte!A:B,2,0)</f>
        <v>struktural akryl</v>
      </c>
      <c r="J3043" s="75">
        <v>12</v>
      </c>
      <c r="K3043" s="76" t="str">
        <f>VLOOKUP(Tabelle2[[#This Row],[Kunden Nr.]],KUNDEN!A:G,7)</f>
        <v>Mensuri</v>
      </c>
      <c r="L3043" s="76">
        <f>VLOOKUP(Tabelle2[[#This Row],[Artikel]],Produkte!A:H,8)</f>
        <v>0.06</v>
      </c>
    </row>
    <row r="3044" spans="1:12" x14ac:dyDescent="0.2">
      <c r="A3044" s="75" t="s">
        <v>626</v>
      </c>
      <c r="B3044" s="79">
        <v>46141</v>
      </c>
      <c r="C3044" s="89">
        <v>90.2</v>
      </c>
      <c r="D3044" s="75"/>
      <c r="E3044" s="75"/>
      <c r="F3044" s="75">
        <v>20317</v>
      </c>
      <c r="G3044" s="76" t="str">
        <f>VLOOKUP(Tabelle2[[#This Row],[Kunden Nr.]],KUNDEN!A:B,2,0)</f>
        <v>SHEHU-A</v>
      </c>
      <c r="H3044" s="75">
        <v>44001</v>
      </c>
      <c r="I3044" s="76" t="str">
        <f>VLOOKUP(Tabelle2[[#This Row],[Artikel]],Produkte!A:B,2,0)</f>
        <v>Fettspray</v>
      </c>
      <c r="J3044" s="75">
        <v>12</v>
      </c>
      <c r="K3044" s="76" t="str">
        <f>VLOOKUP(Tabelle2[[#This Row],[Kunden Nr.]],KUNDEN!A:G,7)</f>
        <v>Mensuri</v>
      </c>
      <c r="L3044" s="76">
        <f>VLOOKUP(Tabelle2[[#This Row],[Artikel]],Produkte!A:H,8)</f>
        <v>0.2</v>
      </c>
    </row>
    <row r="3045" spans="1:12" x14ac:dyDescent="0.2">
      <c r="A3045" s="75" t="s">
        <v>626</v>
      </c>
      <c r="B3045" s="79">
        <v>46141</v>
      </c>
      <c r="C3045" s="75"/>
      <c r="D3045" s="75"/>
      <c r="E3045" s="75"/>
      <c r="F3045" s="75">
        <v>20317</v>
      </c>
      <c r="G3045" s="76" t="str">
        <f>VLOOKUP(Tabelle2[[#This Row],[Kunden Nr.]],KUNDEN!A:B,2,0)</f>
        <v>SHEHU-A</v>
      </c>
      <c r="H3045" s="75">
        <v>50912</v>
      </c>
      <c r="I3045" s="76" t="str">
        <f>VLOOKUP(Tabelle2[[#This Row],[Artikel]],Produkte!A:B,2,0)</f>
        <v>DICHTUNG</v>
      </c>
      <c r="J3045" s="75">
        <v>6</v>
      </c>
      <c r="K3045" s="76" t="str">
        <f>VLOOKUP(Tabelle2[[#This Row],[Kunden Nr.]],KUNDEN!A:G,7)</f>
        <v>Mensuri</v>
      </c>
      <c r="L3045" s="76">
        <f>VLOOKUP(Tabelle2[[#This Row],[Artikel]],Produkte!A:H,8)</f>
        <v>0.2</v>
      </c>
    </row>
    <row r="3046" spans="1:12" x14ac:dyDescent="0.2">
      <c r="A3046" s="75" t="s">
        <v>626</v>
      </c>
      <c r="B3046" s="79">
        <v>46141</v>
      </c>
      <c r="C3046" s="75"/>
      <c r="D3046" s="75"/>
      <c r="E3046" s="75"/>
      <c r="F3046" s="75">
        <v>20317</v>
      </c>
      <c r="G3046" s="76" t="str">
        <f>VLOOKUP(Tabelle2[[#This Row],[Kunden Nr.]],KUNDEN!A:B,2,0)</f>
        <v>SHEHU-A</v>
      </c>
      <c r="H3046" s="75">
        <v>31903</v>
      </c>
      <c r="I3046" s="76" t="str">
        <f>VLOOKUP(Tabelle2[[#This Row],[Artikel]],Produkte!A:B,2,0)</f>
        <v>M ONE CHROM SPRAY</v>
      </c>
      <c r="J3046" s="75">
        <v>2</v>
      </c>
      <c r="K3046" s="76" t="str">
        <f>VLOOKUP(Tabelle2[[#This Row],[Kunden Nr.]],KUNDEN!A:G,7)</f>
        <v>Mensuri</v>
      </c>
      <c r="L3046" s="76">
        <f>VLOOKUP(Tabelle2[[#This Row],[Artikel]],Produkte!A:H,8)</f>
        <v>0.15</v>
      </c>
    </row>
    <row r="3047" spans="1:12" x14ac:dyDescent="0.2">
      <c r="A3047" s="75" t="s">
        <v>949</v>
      </c>
      <c r="B3047" s="79">
        <v>46141</v>
      </c>
      <c r="C3047" s="89">
        <v>107.4</v>
      </c>
      <c r="D3047" s="75"/>
      <c r="E3047" s="75"/>
      <c r="F3047" s="75">
        <v>20311</v>
      </c>
      <c r="G3047" s="76" t="str">
        <f>VLOOKUP(Tabelle2[[#This Row],[Kunden Nr.]],KUNDEN!A:B,2,0)</f>
        <v>SOPAJ</v>
      </c>
      <c r="H3047" s="75">
        <v>35110</v>
      </c>
      <c r="I3047" s="76" t="str">
        <f>VLOOKUP(Tabelle2[[#This Row],[Artikel]],Produkte!A:B,2,0)</f>
        <v>M-ONE Sanitar Silikon</v>
      </c>
      <c r="J3047" s="75">
        <v>12</v>
      </c>
      <c r="K3047" s="76" t="str">
        <f>VLOOKUP(Tabelle2[[#This Row],[Kunden Nr.]],KUNDEN!A:G,7)</f>
        <v>Mensuri</v>
      </c>
      <c r="L3047" s="76">
        <f>VLOOKUP(Tabelle2[[#This Row],[Artikel]],Produkte!A:H,8)</f>
        <v>0.17</v>
      </c>
    </row>
    <row r="3048" spans="1:12" x14ac:dyDescent="0.2">
      <c r="A3048" s="75" t="s">
        <v>949</v>
      </c>
      <c r="B3048" s="79">
        <v>46141</v>
      </c>
      <c r="C3048" s="75"/>
      <c r="D3048" s="75"/>
      <c r="E3048" s="75"/>
      <c r="F3048" s="75">
        <v>20311</v>
      </c>
      <c r="G3048" s="76" t="str">
        <f>VLOOKUP(Tabelle2[[#This Row],[Kunden Nr.]],KUNDEN!A:B,2,0)</f>
        <v>SOPAJ</v>
      </c>
      <c r="H3048" s="75">
        <v>35121</v>
      </c>
      <c r="I3048" s="76" t="str">
        <f>VLOOKUP(Tabelle2[[#This Row],[Artikel]],Produkte!A:B,2,0)</f>
        <v>M-ONE Sanitar Silikon</v>
      </c>
      <c r="J3048" s="75">
        <v>12</v>
      </c>
      <c r="K3048" s="76" t="str">
        <f>VLOOKUP(Tabelle2[[#This Row],[Kunden Nr.]],KUNDEN!A:G,7)</f>
        <v>Mensuri</v>
      </c>
      <c r="L3048" s="76">
        <f>VLOOKUP(Tabelle2[[#This Row],[Artikel]],Produkte!A:H,8)</f>
        <v>0.17</v>
      </c>
    </row>
    <row r="3049" spans="1:12" x14ac:dyDescent="0.2">
      <c r="A3049" s="75" t="s">
        <v>949</v>
      </c>
      <c r="B3049" s="79">
        <v>46141</v>
      </c>
      <c r="C3049" s="75"/>
      <c r="D3049" s="75"/>
      <c r="E3049" s="75"/>
      <c r="F3049" s="75">
        <v>20311</v>
      </c>
      <c r="G3049" s="76" t="str">
        <f>VLOOKUP(Tabelle2[[#This Row],[Kunden Nr.]],KUNDEN!A:B,2,0)</f>
        <v>SOPAJ</v>
      </c>
      <c r="H3049" s="75">
        <v>51611</v>
      </c>
      <c r="I3049" s="76" t="str">
        <f>VLOOKUP(Tabelle2[[#This Row],[Artikel]],Produkte!A:B,2,0)</f>
        <v>universal akryl</v>
      </c>
      <c r="J3049" s="75">
        <v>12</v>
      </c>
      <c r="K3049" s="76" t="str">
        <f>VLOOKUP(Tabelle2[[#This Row],[Kunden Nr.]],KUNDEN!A:G,7)</f>
        <v>Mensuri</v>
      </c>
      <c r="L3049" s="76">
        <f>VLOOKUP(Tabelle2[[#This Row],[Artikel]],Produkte!A:H,8)</f>
        <v>0.06</v>
      </c>
    </row>
    <row r="3050" spans="1:12" x14ac:dyDescent="0.2">
      <c r="A3050" s="75" t="s">
        <v>1307</v>
      </c>
      <c r="B3050" s="79">
        <v>46141</v>
      </c>
      <c r="C3050" s="89">
        <v>193.8</v>
      </c>
      <c r="D3050" s="75"/>
      <c r="E3050" s="75"/>
      <c r="F3050" s="75">
        <v>20321</v>
      </c>
      <c r="G3050" s="76" t="str">
        <f>VLOOKUP(Tabelle2[[#This Row],[Kunden Nr.]],KUNDEN!A:B,2,0)</f>
        <v>BEREQETI</v>
      </c>
      <c r="H3050" s="75">
        <v>35109</v>
      </c>
      <c r="I3050" s="76" t="str">
        <f>VLOOKUP(Tabelle2[[#This Row],[Artikel]],Produkte!A:B,2,0)</f>
        <v>M-ONE Sanitar Silikon</v>
      </c>
      <c r="J3050" s="75">
        <v>12</v>
      </c>
      <c r="K3050" s="76" t="str">
        <f>VLOOKUP(Tabelle2[[#This Row],[Kunden Nr.]],KUNDEN!A:G,7)</f>
        <v>Mensuri</v>
      </c>
      <c r="L3050" s="76">
        <f>VLOOKUP(Tabelle2[[#This Row],[Artikel]],Produkte!A:H,8)</f>
        <v>0.17</v>
      </c>
    </row>
    <row r="3051" spans="1:12" x14ac:dyDescent="0.2">
      <c r="A3051" s="75" t="s">
        <v>1307</v>
      </c>
      <c r="B3051" s="79">
        <v>46141</v>
      </c>
      <c r="C3051" s="75"/>
      <c r="D3051" s="75"/>
      <c r="E3051" s="75"/>
      <c r="F3051" s="75">
        <v>20321</v>
      </c>
      <c r="G3051" s="76" t="str">
        <f>VLOOKUP(Tabelle2[[#This Row],[Kunden Nr.]],KUNDEN!A:B,2,0)</f>
        <v>BEREQETI</v>
      </c>
      <c r="H3051" s="75">
        <v>35113</v>
      </c>
      <c r="I3051" s="76" t="str">
        <f>VLOOKUP(Tabelle2[[#This Row],[Artikel]],Produkte!A:B,2,0)</f>
        <v>M-ONE Sanitar Silikon</v>
      </c>
      <c r="J3051" s="75">
        <v>12</v>
      </c>
      <c r="K3051" s="76" t="str">
        <f>VLOOKUP(Tabelle2[[#This Row],[Kunden Nr.]],KUNDEN!A:G,7)</f>
        <v>Mensuri</v>
      </c>
      <c r="L3051" s="76">
        <f>VLOOKUP(Tabelle2[[#This Row],[Artikel]],Produkte!A:H,8)</f>
        <v>0.17</v>
      </c>
    </row>
    <row r="3052" spans="1:12" x14ac:dyDescent="0.2">
      <c r="A3052" s="75" t="s">
        <v>1307</v>
      </c>
      <c r="B3052" s="79">
        <v>46141</v>
      </c>
      <c r="C3052" s="75"/>
      <c r="D3052" s="75"/>
      <c r="E3052" s="75"/>
      <c r="F3052" s="75">
        <v>20321</v>
      </c>
      <c r="G3052" s="76" t="str">
        <f>VLOOKUP(Tabelle2[[#This Row],[Kunden Nr.]],KUNDEN!A:B,2,0)</f>
        <v>BEREQETI</v>
      </c>
      <c r="H3052" s="75">
        <v>35125</v>
      </c>
      <c r="I3052" s="76" t="str">
        <f>VLOOKUP(Tabelle2[[#This Row],[Artikel]],Produkte!A:B,2,0)</f>
        <v>M-ONE Sanitar Silikon</v>
      </c>
      <c r="J3052" s="75">
        <v>12</v>
      </c>
      <c r="K3052" s="76" t="str">
        <f>VLOOKUP(Tabelle2[[#This Row],[Kunden Nr.]],KUNDEN!A:G,7)</f>
        <v>Mensuri</v>
      </c>
      <c r="L3052" s="76">
        <f>VLOOKUP(Tabelle2[[#This Row],[Artikel]],Produkte!A:H,8)</f>
        <v>0.17</v>
      </c>
    </row>
    <row r="3053" spans="1:12" x14ac:dyDescent="0.2">
      <c r="A3053" s="75" t="s">
        <v>1307</v>
      </c>
      <c r="B3053" s="79">
        <v>46141</v>
      </c>
      <c r="C3053" s="75"/>
      <c r="D3053" s="75"/>
      <c r="E3053" s="75"/>
      <c r="F3053" s="75">
        <v>20321</v>
      </c>
      <c r="G3053" s="76" t="str">
        <f>VLOOKUP(Tabelle2[[#This Row],[Kunden Nr.]],KUNDEN!A:B,2,0)</f>
        <v>BEREQETI</v>
      </c>
      <c r="H3053" s="75">
        <v>51612</v>
      </c>
      <c r="I3053" s="76" t="str">
        <f>VLOOKUP(Tabelle2[[#This Row],[Artikel]],Produkte!A:B,2,0)</f>
        <v>struktural akryl</v>
      </c>
      <c r="J3053" s="75">
        <v>24</v>
      </c>
      <c r="K3053" s="76" t="str">
        <f>VLOOKUP(Tabelle2[[#This Row],[Kunden Nr.]],KUNDEN!A:G,7)</f>
        <v>Mensuri</v>
      </c>
      <c r="L3053" s="76">
        <f>VLOOKUP(Tabelle2[[#This Row],[Artikel]],Produkte!A:H,8)</f>
        <v>0.06</v>
      </c>
    </row>
    <row r="3054" spans="1:12" x14ac:dyDescent="0.2">
      <c r="A3054" s="75" t="s">
        <v>60</v>
      </c>
      <c r="B3054" s="79">
        <v>46141</v>
      </c>
      <c r="C3054" s="89">
        <v>92.4</v>
      </c>
      <c r="D3054" s="75"/>
      <c r="E3054" s="75"/>
      <c r="F3054" s="75">
        <v>20302</v>
      </c>
      <c r="G3054" s="76" t="str">
        <f>VLOOKUP(Tabelle2[[#This Row],[Kunden Nr.]],KUNDEN!A:B,2,0)</f>
        <v>NIVELIZIMI-D SH.P.K.</v>
      </c>
      <c r="H3054" s="75">
        <v>35110</v>
      </c>
      <c r="I3054" s="76" t="str">
        <f>VLOOKUP(Tabelle2[[#This Row],[Artikel]],Produkte!A:B,2,0)</f>
        <v>M-ONE Sanitar Silikon</v>
      </c>
      <c r="J3054" s="75">
        <v>12</v>
      </c>
      <c r="K3054" s="76" t="str">
        <f>VLOOKUP(Tabelle2[[#This Row],[Kunden Nr.]],KUNDEN!A:G,7)</f>
        <v>Mensuri</v>
      </c>
      <c r="L3054" s="76">
        <f>VLOOKUP(Tabelle2[[#This Row],[Artikel]],Produkte!A:H,8)</f>
        <v>0.17</v>
      </c>
    </row>
    <row r="3055" spans="1:12" x14ac:dyDescent="0.2">
      <c r="A3055" s="75" t="s">
        <v>60</v>
      </c>
      <c r="B3055" s="79">
        <v>46141</v>
      </c>
      <c r="C3055" s="75"/>
      <c r="D3055" s="75"/>
      <c r="E3055" s="75"/>
      <c r="F3055" s="75">
        <v>20302</v>
      </c>
      <c r="G3055" s="76" t="str">
        <f>VLOOKUP(Tabelle2[[#This Row],[Kunden Nr.]],KUNDEN!A:B,2,0)</f>
        <v>NIVELIZIMI-D SH.P.K.</v>
      </c>
      <c r="H3055" s="75">
        <v>35121</v>
      </c>
      <c r="I3055" s="76" t="str">
        <f>VLOOKUP(Tabelle2[[#This Row],[Artikel]],Produkte!A:B,2,0)</f>
        <v>M-ONE Sanitar Silikon</v>
      </c>
      <c r="J3055" s="75">
        <v>12</v>
      </c>
      <c r="K3055" s="76" t="str">
        <f>VLOOKUP(Tabelle2[[#This Row],[Kunden Nr.]],KUNDEN!A:G,7)</f>
        <v>Mensuri</v>
      </c>
      <c r="L3055" s="76">
        <f>VLOOKUP(Tabelle2[[#This Row],[Artikel]],Produkte!A:H,8)</f>
        <v>0.17</v>
      </c>
    </row>
    <row r="3056" spans="1:12" x14ac:dyDescent="0.2">
      <c r="A3056" s="75" t="s">
        <v>1252</v>
      </c>
      <c r="B3056" s="79">
        <v>46141</v>
      </c>
      <c r="C3056" s="89">
        <v>231</v>
      </c>
      <c r="D3056" s="75"/>
      <c r="E3056" s="75"/>
      <c r="F3056" s="75">
        <v>20331</v>
      </c>
      <c r="G3056" s="76" t="str">
        <f>VLOOKUP(Tabelle2[[#This Row],[Kunden Nr.]],KUNDEN!A:B,2,0)</f>
        <v>BARDHI-M</v>
      </c>
      <c r="H3056" s="75">
        <v>35108</v>
      </c>
      <c r="I3056" s="76" t="str">
        <f>VLOOKUP(Tabelle2[[#This Row],[Artikel]],Produkte!A:B,2,0)</f>
        <v>M-ONE Sanitar Silikon</v>
      </c>
      <c r="J3056" s="75">
        <v>12</v>
      </c>
      <c r="K3056" s="76" t="str">
        <f>VLOOKUP(Tabelle2[[#This Row],[Kunden Nr.]],KUNDEN!A:G,7)</f>
        <v>Mensuri</v>
      </c>
      <c r="L3056" s="76">
        <f>VLOOKUP(Tabelle2[[#This Row],[Artikel]],Produkte!A:H,8)</f>
        <v>0.17</v>
      </c>
    </row>
    <row r="3057" spans="1:12" x14ac:dyDescent="0.2">
      <c r="A3057" s="75" t="s">
        <v>1252</v>
      </c>
      <c r="B3057" s="79">
        <v>46141</v>
      </c>
      <c r="C3057" s="75"/>
      <c r="D3057" s="75"/>
      <c r="E3057" s="75"/>
      <c r="F3057" s="75">
        <v>20331</v>
      </c>
      <c r="G3057" s="76" t="str">
        <f>VLOOKUP(Tabelle2[[#This Row],[Kunden Nr.]],KUNDEN!A:B,2,0)</f>
        <v>BARDHI-M</v>
      </c>
      <c r="H3057" s="75">
        <v>35110</v>
      </c>
      <c r="I3057" s="76" t="str">
        <f>VLOOKUP(Tabelle2[[#This Row],[Artikel]],Produkte!A:B,2,0)</f>
        <v>M-ONE Sanitar Silikon</v>
      </c>
      <c r="J3057" s="75">
        <v>12</v>
      </c>
      <c r="K3057" s="76" t="str">
        <f>VLOOKUP(Tabelle2[[#This Row],[Kunden Nr.]],KUNDEN!A:G,7)</f>
        <v>Mensuri</v>
      </c>
      <c r="L3057" s="76">
        <f>VLOOKUP(Tabelle2[[#This Row],[Artikel]],Produkte!A:H,8)</f>
        <v>0.17</v>
      </c>
    </row>
    <row r="3058" spans="1:12" x14ac:dyDescent="0.2">
      <c r="A3058" s="75" t="s">
        <v>1252</v>
      </c>
      <c r="B3058" s="79">
        <v>46141</v>
      </c>
      <c r="C3058" s="75"/>
      <c r="D3058" s="75"/>
      <c r="E3058" s="75"/>
      <c r="F3058" s="75">
        <v>20331</v>
      </c>
      <c r="G3058" s="76" t="str">
        <f>VLOOKUP(Tabelle2[[#This Row],[Kunden Nr.]],KUNDEN!A:B,2,0)</f>
        <v>BARDHI-M</v>
      </c>
      <c r="H3058" s="75">
        <v>35121</v>
      </c>
      <c r="I3058" s="76" t="str">
        <f>VLOOKUP(Tabelle2[[#This Row],[Artikel]],Produkte!A:B,2,0)</f>
        <v>M-ONE Sanitar Silikon</v>
      </c>
      <c r="J3058" s="75">
        <v>24</v>
      </c>
      <c r="K3058" s="76" t="str">
        <f>VLOOKUP(Tabelle2[[#This Row],[Kunden Nr.]],KUNDEN!A:G,7)</f>
        <v>Mensuri</v>
      </c>
      <c r="L3058" s="76">
        <f>VLOOKUP(Tabelle2[[#This Row],[Artikel]],Produkte!A:H,8)</f>
        <v>0.17</v>
      </c>
    </row>
    <row r="3059" spans="1:12" x14ac:dyDescent="0.2">
      <c r="A3059" s="75" t="s">
        <v>1252</v>
      </c>
      <c r="B3059" s="79">
        <v>46141</v>
      </c>
      <c r="C3059" s="75"/>
      <c r="D3059" s="75"/>
      <c r="E3059" s="75"/>
      <c r="F3059" s="75">
        <v>20331</v>
      </c>
      <c r="G3059" s="76" t="str">
        <f>VLOOKUP(Tabelle2[[#This Row],[Kunden Nr.]],KUNDEN!A:B,2,0)</f>
        <v>BARDHI-M</v>
      </c>
      <c r="H3059" s="75">
        <v>35125</v>
      </c>
      <c r="I3059" s="76" t="str">
        <f>VLOOKUP(Tabelle2[[#This Row],[Artikel]],Produkte!A:B,2,0)</f>
        <v>M-ONE Sanitar Silikon</v>
      </c>
      <c r="J3059" s="75">
        <v>12</v>
      </c>
      <c r="K3059" s="76" t="str">
        <f>VLOOKUP(Tabelle2[[#This Row],[Kunden Nr.]],KUNDEN!A:G,7)</f>
        <v>Mensuri</v>
      </c>
      <c r="L3059" s="76">
        <f>VLOOKUP(Tabelle2[[#This Row],[Artikel]],Produkte!A:H,8)</f>
        <v>0.17</v>
      </c>
    </row>
    <row r="3060" spans="1:12" x14ac:dyDescent="0.2">
      <c r="A3060" s="75" t="s">
        <v>616</v>
      </c>
      <c r="B3060" s="79">
        <v>46141</v>
      </c>
      <c r="C3060" s="89">
        <v>184.8</v>
      </c>
      <c r="D3060" s="75"/>
      <c r="E3060" s="75"/>
      <c r="F3060" s="75">
        <v>20305</v>
      </c>
      <c r="G3060" s="76" t="str">
        <f>VLOOKUP(Tabelle2[[#This Row],[Kunden Nr.]],KUNDEN!A:B,2,0)</f>
        <v>ABA QERAMIK</v>
      </c>
      <c r="H3060" s="75">
        <v>35109</v>
      </c>
      <c r="I3060" s="76" t="str">
        <f>VLOOKUP(Tabelle2[[#This Row],[Artikel]],Produkte!A:B,2,0)</f>
        <v>M-ONE Sanitar Silikon</v>
      </c>
      <c r="J3060" s="75">
        <v>12</v>
      </c>
      <c r="K3060" s="76" t="str">
        <f>VLOOKUP(Tabelle2[[#This Row],[Kunden Nr.]],KUNDEN!A:G,7)</f>
        <v>Mensuri</v>
      </c>
      <c r="L3060" s="76">
        <f>VLOOKUP(Tabelle2[[#This Row],[Artikel]],Produkte!A:H,8)</f>
        <v>0.17</v>
      </c>
    </row>
    <row r="3061" spans="1:12" x14ac:dyDescent="0.2">
      <c r="A3061" s="75" t="s">
        <v>616</v>
      </c>
      <c r="B3061" s="79">
        <v>46141</v>
      </c>
      <c r="C3061" s="75"/>
      <c r="D3061" s="75"/>
      <c r="E3061" s="75"/>
      <c r="F3061" s="75">
        <v>20305</v>
      </c>
      <c r="G3061" s="76" t="str">
        <f>VLOOKUP(Tabelle2[[#This Row],[Kunden Nr.]],KUNDEN!A:B,2,0)</f>
        <v>ABA QERAMIK</v>
      </c>
      <c r="H3061" s="75">
        <v>35110</v>
      </c>
      <c r="I3061" s="76" t="str">
        <f>VLOOKUP(Tabelle2[[#This Row],[Artikel]],Produkte!A:B,2,0)</f>
        <v>M-ONE Sanitar Silikon</v>
      </c>
      <c r="J3061" s="75">
        <v>12</v>
      </c>
      <c r="K3061" s="76" t="str">
        <f>VLOOKUP(Tabelle2[[#This Row],[Kunden Nr.]],KUNDEN!A:G,7)</f>
        <v>Mensuri</v>
      </c>
      <c r="L3061" s="76">
        <f>VLOOKUP(Tabelle2[[#This Row],[Artikel]],Produkte!A:H,8)</f>
        <v>0.17</v>
      </c>
    </row>
    <row r="3062" spans="1:12" x14ac:dyDescent="0.2">
      <c r="A3062" s="75" t="s">
        <v>616</v>
      </c>
      <c r="B3062" s="79">
        <v>46141</v>
      </c>
      <c r="C3062" s="75"/>
      <c r="D3062" s="75"/>
      <c r="E3062" s="75"/>
      <c r="F3062" s="75">
        <v>20305</v>
      </c>
      <c r="G3062" s="76" t="str">
        <f>VLOOKUP(Tabelle2[[#This Row],[Kunden Nr.]],KUNDEN!A:B,2,0)</f>
        <v>ABA QERAMIK</v>
      </c>
      <c r="H3062" s="75">
        <v>35111</v>
      </c>
      <c r="I3062" s="76" t="str">
        <f>VLOOKUP(Tabelle2[[#This Row],[Artikel]],Produkte!A:B,2,0)</f>
        <v>M-ONE Sanitar Silikon</v>
      </c>
      <c r="J3062" s="75">
        <v>12</v>
      </c>
      <c r="K3062" s="76" t="str">
        <f>VLOOKUP(Tabelle2[[#This Row],[Kunden Nr.]],KUNDEN!A:G,7)</f>
        <v>Mensuri</v>
      </c>
      <c r="L3062" s="76">
        <f>VLOOKUP(Tabelle2[[#This Row],[Artikel]],Produkte!A:H,8)</f>
        <v>0.17</v>
      </c>
    </row>
    <row r="3063" spans="1:12" x14ac:dyDescent="0.2">
      <c r="A3063" s="75" t="s">
        <v>616</v>
      </c>
      <c r="B3063" s="79">
        <v>46141</v>
      </c>
      <c r="C3063" s="75"/>
      <c r="D3063" s="75"/>
      <c r="E3063" s="75"/>
      <c r="F3063" s="75">
        <v>20305</v>
      </c>
      <c r="G3063" s="76" t="str">
        <f>VLOOKUP(Tabelle2[[#This Row],[Kunden Nr.]],KUNDEN!A:B,2,0)</f>
        <v>ABA QERAMIK</v>
      </c>
      <c r="H3063" s="75">
        <v>35121</v>
      </c>
      <c r="I3063" s="76" t="str">
        <f>VLOOKUP(Tabelle2[[#This Row],[Artikel]],Produkte!A:B,2,0)</f>
        <v>M-ONE Sanitar Silikon</v>
      </c>
      <c r="J3063" s="75">
        <v>12</v>
      </c>
      <c r="K3063" s="76" t="str">
        <f>VLOOKUP(Tabelle2[[#This Row],[Kunden Nr.]],KUNDEN!A:G,7)</f>
        <v>Mensuri</v>
      </c>
      <c r="L3063" s="76">
        <f>VLOOKUP(Tabelle2[[#This Row],[Artikel]],Produkte!A:H,8)</f>
        <v>0.17</v>
      </c>
    </row>
    <row r="3064" spans="1:12" x14ac:dyDescent="0.2">
      <c r="A3064" s="75" t="s">
        <v>770</v>
      </c>
      <c r="B3064" s="79">
        <v>46142</v>
      </c>
      <c r="C3064" s="89">
        <v>248</v>
      </c>
      <c r="D3064" s="75"/>
      <c r="E3064" s="75"/>
      <c r="F3064" s="75">
        <v>40003</v>
      </c>
      <c r="G3064" s="76" t="str">
        <f>VLOOKUP(Tabelle2[[#This Row],[Kunden Nr.]],KUNDEN!A:B,2,0)</f>
        <v>ARBENI BIOBLIC</v>
      </c>
      <c r="H3064" s="75">
        <v>20001</v>
      </c>
      <c r="I3064" s="76" t="str">
        <f>VLOOKUP(Tabelle2[[#This Row],[Artikel]],Produkte!A:B,2,0)</f>
        <v>BioBlic Universalreiniger</v>
      </c>
      <c r="J3064" s="75">
        <v>120</v>
      </c>
      <c r="K3064" s="76">
        <f>VLOOKUP(Tabelle2[[#This Row],[Kunden Nr.]],KUNDEN!A:G,7)</f>
        <v>0</v>
      </c>
      <c r="L3064" s="76">
        <f>VLOOKUP(Tabelle2[[#This Row],[Artikel]],Produkte!A:H,8)</f>
        <v>0.30000000000000004</v>
      </c>
    </row>
    <row r="3065" spans="1:12" x14ac:dyDescent="0.2">
      <c r="A3065" s="75" t="s">
        <v>770</v>
      </c>
      <c r="B3065" s="79">
        <v>46142</v>
      </c>
      <c r="C3065" s="75"/>
      <c r="D3065" s="75"/>
      <c r="E3065" s="75"/>
      <c r="F3065" s="75">
        <v>40003</v>
      </c>
      <c r="G3065" s="76" t="str">
        <f>VLOOKUP(Tabelle2[[#This Row],[Kunden Nr.]],KUNDEN!A:B,2,0)</f>
        <v>ARBENI BIOBLIC</v>
      </c>
      <c r="H3065" s="75">
        <v>30275</v>
      </c>
      <c r="I3065" s="76" t="str">
        <f>VLOOKUP(Tabelle2[[#This Row],[Artikel]],Produkte!A:B,2,0)</f>
        <v>Blic Blic Sanitärreiniger</v>
      </c>
      <c r="J3065" s="75">
        <v>40</v>
      </c>
      <c r="K3065" s="76">
        <f>VLOOKUP(Tabelle2[[#This Row],[Kunden Nr.]],KUNDEN!A:G,7)</f>
        <v>0</v>
      </c>
      <c r="L3065" s="76">
        <f>VLOOKUP(Tabelle2[[#This Row],[Artikel]],Produkte!A:H,8)</f>
        <v>0.30000000000000004</v>
      </c>
    </row>
    <row r="3066" spans="1:12" x14ac:dyDescent="0.2">
      <c r="A3066" s="75" t="s">
        <v>770</v>
      </c>
      <c r="B3066" s="79">
        <v>46142</v>
      </c>
      <c r="C3066" s="75"/>
      <c r="D3066" s="75"/>
      <c r="E3066" s="75"/>
      <c r="F3066" s="75">
        <v>40003</v>
      </c>
      <c r="G3066" s="76" t="str">
        <f>VLOOKUP(Tabelle2[[#This Row],[Kunden Nr.]],KUNDEN!A:B,2,0)</f>
        <v>ARBENI BIOBLIC</v>
      </c>
      <c r="H3066" s="75">
        <v>39505</v>
      </c>
      <c r="I3066" s="76" t="str">
        <f>VLOOKUP(Tabelle2[[#This Row],[Artikel]],Produkte!A:B,2,0)</f>
        <v>M ONE SILIKON SPRAY</v>
      </c>
      <c r="J3066" s="75">
        <v>12</v>
      </c>
      <c r="K3066" s="76">
        <f>VLOOKUP(Tabelle2[[#This Row],[Kunden Nr.]],KUNDEN!A:G,7)</f>
        <v>0</v>
      </c>
      <c r="L3066" s="76">
        <f>VLOOKUP(Tabelle2[[#This Row],[Artikel]],Produkte!A:H,8)</f>
        <v>0.2</v>
      </c>
    </row>
    <row r="3067" spans="1:12" x14ac:dyDescent="0.2">
      <c r="A3067" s="75" t="s">
        <v>770</v>
      </c>
      <c r="B3067" s="79">
        <v>46142</v>
      </c>
      <c r="C3067" s="75"/>
      <c r="D3067" s="75"/>
      <c r="E3067" s="75"/>
      <c r="F3067" s="75">
        <v>40003</v>
      </c>
      <c r="G3067" s="76" t="str">
        <f>VLOOKUP(Tabelle2[[#This Row],[Kunden Nr.]],KUNDEN!A:B,2,0)</f>
        <v>ARBENI BIOBLIC</v>
      </c>
      <c r="H3067" s="75">
        <v>49644</v>
      </c>
      <c r="I3067" s="76" t="str">
        <f>VLOOKUP(Tabelle2[[#This Row],[Artikel]],Produkte!A:B,2,0)</f>
        <v>beMAKER Rostlöser</v>
      </c>
      <c r="J3067" s="75">
        <v>5</v>
      </c>
      <c r="K3067" s="76">
        <f>VLOOKUP(Tabelle2[[#This Row],[Kunden Nr.]],KUNDEN!A:G,7)</f>
        <v>0</v>
      </c>
      <c r="L3067" s="76">
        <f>VLOOKUP(Tabelle2[[#This Row],[Artikel]],Produkte!A:H,8)</f>
        <v>0.2</v>
      </c>
    </row>
    <row r="3068" spans="1:12" x14ac:dyDescent="0.2">
      <c r="A3068" s="75" t="s">
        <v>558</v>
      </c>
      <c r="B3068" s="79">
        <v>46142</v>
      </c>
      <c r="C3068" s="89">
        <v>1830.6</v>
      </c>
      <c r="D3068" s="75"/>
      <c r="E3068" s="75"/>
      <c r="F3068" s="75">
        <v>10418</v>
      </c>
      <c r="G3068" s="76" t="str">
        <f>VLOOKUP(Tabelle2[[#This Row],[Kunden Nr.]],KUNDEN!A:B,2,0)</f>
        <v>NDRIQIMI</v>
      </c>
      <c r="H3068" s="75">
        <v>35128</v>
      </c>
      <c r="I3068" s="76" t="str">
        <f>VLOOKUP(Tabelle2[[#This Row],[Artikel]],Produkte!A:B,2,0)</f>
        <v>M-ONE Sanitar Silikon</v>
      </c>
      <c r="J3068" s="75">
        <v>144</v>
      </c>
      <c r="K3068" s="76" t="str">
        <f>VLOOKUP(Tabelle2[[#This Row],[Kunden Nr.]],KUNDEN!A:G,7)</f>
        <v>Qerimi</v>
      </c>
      <c r="L3068" s="76">
        <f>VLOOKUP(Tabelle2[[#This Row],[Artikel]],Produkte!A:H,8)</f>
        <v>0.17</v>
      </c>
    </row>
    <row r="3069" spans="1:12" x14ac:dyDescent="0.2">
      <c r="A3069" s="75" t="s">
        <v>558</v>
      </c>
      <c r="B3069" s="79">
        <v>46142</v>
      </c>
      <c r="C3069" s="75"/>
      <c r="D3069" s="75"/>
      <c r="E3069" s="75"/>
      <c r="F3069" s="75">
        <v>10418</v>
      </c>
      <c r="G3069" s="76" t="str">
        <f>VLOOKUP(Tabelle2[[#This Row],[Kunden Nr.]],KUNDEN!A:B,2,0)</f>
        <v>NDRIQIMI</v>
      </c>
      <c r="H3069" s="75">
        <v>35110</v>
      </c>
      <c r="I3069" s="76" t="str">
        <f>VLOOKUP(Tabelle2[[#This Row],[Artikel]],Produkte!A:B,2,0)</f>
        <v>M-ONE Sanitar Silikon</v>
      </c>
      <c r="J3069" s="75">
        <v>144</v>
      </c>
      <c r="K3069" s="76" t="str">
        <f>VLOOKUP(Tabelle2[[#This Row],[Kunden Nr.]],KUNDEN!A:G,7)</f>
        <v>Qerimi</v>
      </c>
      <c r="L3069" s="76">
        <f>VLOOKUP(Tabelle2[[#This Row],[Artikel]],Produkte!A:H,8)</f>
        <v>0.17</v>
      </c>
    </row>
    <row r="3070" spans="1:12" x14ac:dyDescent="0.2">
      <c r="A3070" s="75" t="s">
        <v>558</v>
      </c>
      <c r="B3070" s="79">
        <v>46142</v>
      </c>
      <c r="C3070" s="75"/>
      <c r="D3070" s="75"/>
      <c r="E3070" s="75"/>
      <c r="F3070" s="75">
        <v>10418</v>
      </c>
      <c r="G3070" s="76" t="str">
        <f>VLOOKUP(Tabelle2[[#This Row],[Kunden Nr.]],KUNDEN!A:B,2,0)</f>
        <v>NDRIQIMI</v>
      </c>
      <c r="H3070" s="75">
        <v>35111</v>
      </c>
      <c r="I3070" s="76" t="str">
        <f>VLOOKUP(Tabelle2[[#This Row],[Artikel]],Produkte!A:B,2,0)</f>
        <v>M-ONE Sanitar Silikon</v>
      </c>
      <c r="J3070" s="75">
        <v>60</v>
      </c>
      <c r="K3070" s="76" t="str">
        <f>VLOOKUP(Tabelle2[[#This Row],[Kunden Nr.]],KUNDEN!A:G,7)</f>
        <v>Qerimi</v>
      </c>
      <c r="L3070" s="76">
        <f>VLOOKUP(Tabelle2[[#This Row],[Artikel]],Produkte!A:H,8)</f>
        <v>0.17</v>
      </c>
    </row>
    <row r="3071" spans="1:12" x14ac:dyDescent="0.2">
      <c r="A3071" s="75" t="s">
        <v>558</v>
      </c>
      <c r="B3071" s="79">
        <v>46142</v>
      </c>
      <c r="C3071" s="75"/>
      <c r="D3071" s="75"/>
      <c r="E3071" s="75"/>
      <c r="F3071" s="75">
        <v>10418</v>
      </c>
      <c r="G3071" s="76" t="str">
        <f>VLOOKUP(Tabelle2[[#This Row],[Kunden Nr.]],KUNDEN!A:B,2,0)</f>
        <v>NDRIQIMI</v>
      </c>
      <c r="H3071" s="75">
        <v>35121</v>
      </c>
      <c r="I3071" s="76" t="str">
        <f>VLOOKUP(Tabelle2[[#This Row],[Artikel]],Produkte!A:B,2,0)</f>
        <v>M-ONE Sanitar Silikon</v>
      </c>
      <c r="J3071" s="75">
        <v>24</v>
      </c>
      <c r="K3071" s="76" t="str">
        <f>VLOOKUP(Tabelle2[[#This Row],[Kunden Nr.]],KUNDEN!A:G,7)</f>
        <v>Qerimi</v>
      </c>
      <c r="L3071" s="76">
        <f>VLOOKUP(Tabelle2[[#This Row],[Artikel]],Produkte!A:H,8)</f>
        <v>0.17</v>
      </c>
    </row>
    <row r="3072" spans="1:12" x14ac:dyDescent="0.2">
      <c r="A3072" s="75" t="s">
        <v>558</v>
      </c>
      <c r="B3072" s="79">
        <v>46142</v>
      </c>
      <c r="C3072" s="75"/>
      <c r="D3072" s="75"/>
      <c r="E3072" s="75"/>
      <c r="F3072" s="75">
        <v>10418</v>
      </c>
      <c r="G3072" s="76" t="str">
        <f>VLOOKUP(Tabelle2[[#This Row],[Kunden Nr.]],KUNDEN!A:B,2,0)</f>
        <v>NDRIQIMI</v>
      </c>
      <c r="H3072" s="75">
        <v>35109</v>
      </c>
      <c r="I3072" s="76" t="str">
        <f>VLOOKUP(Tabelle2[[#This Row],[Artikel]],Produkte!A:B,2,0)</f>
        <v>M-ONE Sanitar Silikon</v>
      </c>
      <c r="J3072" s="75">
        <v>24</v>
      </c>
      <c r="K3072" s="76" t="str">
        <f>VLOOKUP(Tabelle2[[#This Row],[Kunden Nr.]],KUNDEN!A:G,7)</f>
        <v>Qerimi</v>
      </c>
      <c r="L3072" s="76">
        <f>VLOOKUP(Tabelle2[[#This Row],[Artikel]],Produkte!A:H,8)</f>
        <v>0.17</v>
      </c>
    </row>
    <row r="3073" spans="1:12" x14ac:dyDescent="0.2">
      <c r="A3073" s="75" t="s">
        <v>558</v>
      </c>
      <c r="B3073" s="79">
        <v>46142</v>
      </c>
      <c r="C3073" s="75"/>
      <c r="D3073" s="75"/>
      <c r="E3073" s="75"/>
      <c r="F3073" s="75">
        <v>10418</v>
      </c>
      <c r="G3073" s="76" t="str">
        <f>VLOOKUP(Tabelle2[[#This Row],[Kunden Nr.]],KUNDEN!A:B,2,0)</f>
        <v>NDRIQIMI</v>
      </c>
      <c r="H3073" s="75">
        <v>35115</v>
      </c>
      <c r="I3073" s="76" t="str">
        <f>VLOOKUP(Tabelle2[[#This Row],[Artikel]],Produkte!A:B,2,0)</f>
        <v>M-ONE Sanitar Silikon</v>
      </c>
      <c r="J3073" s="75">
        <v>24</v>
      </c>
      <c r="K3073" s="76" t="str">
        <f>VLOOKUP(Tabelle2[[#This Row],[Kunden Nr.]],KUNDEN!A:G,7)</f>
        <v>Qerimi</v>
      </c>
      <c r="L3073" s="76">
        <f>VLOOKUP(Tabelle2[[#This Row],[Artikel]],Produkte!A:H,8)</f>
        <v>0.17</v>
      </c>
    </row>
    <row r="3074" spans="1:12" x14ac:dyDescent="0.2">
      <c r="A3074" s="75" t="s">
        <v>558</v>
      </c>
      <c r="B3074" s="79">
        <v>46142</v>
      </c>
      <c r="C3074" s="75"/>
      <c r="D3074" s="75"/>
      <c r="E3074" s="75"/>
      <c r="F3074" s="75">
        <v>10418</v>
      </c>
      <c r="G3074" s="76" t="str">
        <f>VLOOKUP(Tabelle2[[#This Row],[Kunden Nr.]],KUNDEN!A:B,2,0)</f>
        <v>NDRIQIMI</v>
      </c>
      <c r="H3074" s="75">
        <v>35112</v>
      </c>
      <c r="I3074" s="76" t="str">
        <f>VLOOKUP(Tabelle2[[#This Row],[Artikel]],Produkte!A:B,2,0)</f>
        <v>M-ONE Sanitar Silikon</v>
      </c>
      <c r="J3074" s="75">
        <v>36</v>
      </c>
      <c r="K3074" s="76" t="str">
        <f>VLOOKUP(Tabelle2[[#This Row],[Kunden Nr.]],KUNDEN!A:G,7)</f>
        <v>Qerimi</v>
      </c>
      <c r="L3074" s="76">
        <f>VLOOKUP(Tabelle2[[#This Row],[Artikel]],Produkte!A:H,8)</f>
        <v>0.17</v>
      </c>
    </row>
    <row r="3075" spans="1:12" x14ac:dyDescent="0.2">
      <c r="A3075" s="75" t="s">
        <v>558</v>
      </c>
      <c r="B3075" s="79">
        <v>46142</v>
      </c>
      <c r="C3075" s="75"/>
      <c r="D3075" s="75"/>
      <c r="E3075" s="75"/>
      <c r="F3075" s="75">
        <v>10418</v>
      </c>
      <c r="G3075" s="76" t="str">
        <f>VLOOKUP(Tabelle2[[#This Row],[Kunden Nr.]],KUNDEN!A:B,2,0)</f>
        <v>NDRIQIMI</v>
      </c>
      <c r="H3075" s="75">
        <v>51611</v>
      </c>
      <c r="I3075" s="76" t="str">
        <f>VLOOKUP(Tabelle2[[#This Row],[Artikel]],Produkte!A:B,2,0)</f>
        <v>universal akryl</v>
      </c>
      <c r="J3075" s="75">
        <v>60</v>
      </c>
      <c r="K3075" s="76" t="str">
        <f>VLOOKUP(Tabelle2[[#This Row],[Kunden Nr.]],KUNDEN!A:G,7)</f>
        <v>Qerimi</v>
      </c>
      <c r="L3075" s="76">
        <f>VLOOKUP(Tabelle2[[#This Row],[Artikel]],Produkte!A:H,8)</f>
        <v>0.06</v>
      </c>
    </row>
    <row r="3076" spans="1:12" x14ac:dyDescent="0.2">
      <c r="A3076" s="75" t="s">
        <v>1215</v>
      </c>
      <c r="B3076" s="79">
        <v>46142</v>
      </c>
      <c r="C3076" s="89">
        <v>92.4</v>
      </c>
      <c r="D3076" s="75"/>
      <c r="E3076" s="75"/>
      <c r="F3076" s="75">
        <v>10429</v>
      </c>
      <c r="G3076" s="76" t="str">
        <f>VLOOKUP(Tabelle2[[#This Row],[Kunden Nr.]],KUNDEN!A:B,2,0)</f>
        <v>SAN KOS</v>
      </c>
      <c r="H3076" s="75">
        <v>35128</v>
      </c>
      <c r="I3076" s="76" t="str">
        <f>VLOOKUP(Tabelle2[[#This Row],[Artikel]],Produkte!A:B,2,0)</f>
        <v>M-ONE Sanitar Silikon</v>
      </c>
      <c r="J3076" s="75">
        <v>24</v>
      </c>
      <c r="K3076" s="76" t="str">
        <f>VLOOKUP(Tabelle2[[#This Row],[Kunden Nr.]],KUNDEN!A:G,7)</f>
        <v>Qerimi</v>
      </c>
      <c r="L3076" s="76">
        <f>VLOOKUP(Tabelle2[[#This Row],[Artikel]],Produkte!A:H,8)</f>
        <v>0.17</v>
      </c>
    </row>
    <row r="3077" spans="1:12" x14ac:dyDescent="0.2">
      <c r="A3077" s="75" t="s">
        <v>550</v>
      </c>
      <c r="B3077" s="79">
        <v>46142</v>
      </c>
      <c r="C3077" s="89">
        <v>304.8</v>
      </c>
      <c r="D3077" s="75"/>
      <c r="E3077" s="75"/>
      <c r="F3077" s="75">
        <v>10410</v>
      </c>
      <c r="G3077" s="76" t="str">
        <f>VLOOKUP(Tabelle2[[#This Row],[Kunden Nr.]],KUNDEN!A:B,2,0)</f>
        <v>GRANITI</v>
      </c>
      <c r="H3077" s="75">
        <v>35113</v>
      </c>
      <c r="I3077" s="76" t="str">
        <f>VLOOKUP(Tabelle2[[#This Row],[Artikel]],Produkte!A:B,2,0)</f>
        <v>M-ONE Sanitar Silikon</v>
      </c>
      <c r="J3077" s="75">
        <v>24</v>
      </c>
      <c r="K3077" s="76" t="str">
        <f>VLOOKUP(Tabelle2[[#This Row],[Kunden Nr.]],KUNDEN!A:G,7)</f>
        <v>Qerimi</v>
      </c>
      <c r="L3077" s="76">
        <f>VLOOKUP(Tabelle2[[#This Row],[Artikel]],Produkte!A:H,8)</f>
        <v>0.17</v>
      </c>
    </row>
    <row r="3078" spans="1:12" x14ac:dyDescent="0.2">
      <c r="A3078" s="75" t="s">
        <v>550</v>
      </c>
      <c r="B3078" s="79">
        <v>46142</v>
      </c>
      <c r="C3078" s="75"/>
      <c r="D3078" s="75"/>
      <c r="E3078" s="75"/>
      <c r="F3078" s="75">
        <v>10410</v>
      </c>
      <c r="G3078" s="76" t="str">
        <f>VLOOKUP(Tabelle2[[#This Row],[Kunden Nr.]],KUNDEN!A:B,2,0)</f>
        <v>GRANITI</v>
      </c>
      <c r="H3078" s="75">
        <v>35121</v>
      </c>
      <c r="I3078" s="76" t="str">
        <f>VLOOKUP(Tabelle2[[#This Row],[Artikel]],Produkte!A:B,2,0)</f>
        <v>M-ONE Sanitar Silikon</v>
      </c>
      <c r="J3078" s="75">
        <v>24</v>
      </c>
      <c r="K3078" s="76" t="str">
        <f>VLOOKUP(Tabelle2[[#This Row],[Kunden Nr.]],KUNDEN!A:G,7)</f>
        <v>Qerimi</v>
      </c>
      <c r="L3078" s="76">
        <f>VLOOKUP(Tabelle2[[#This Row],[Artikel]],Produkte!A:H,8)</f>
        <v>0.17</v>
      </c>
    </row>
    <row r="3079" spans="1:12" x14ac:dyDescent="0.2">
      <c r="A3079" s="75" t="s">
        <v>550</v>
      </c>
      <c r="B3079" s="79">
        <v>46142</v>
      </c>
      <c r="C3079" s="75"/>
      <c r="D3079" s="75"/>
      <c r="E3079" s="75"/>
      <c r="F3079" s="75">
        <v>10410</v>
      </c>
      <c r="G3079" s="76" t="str">
        <f>VLOOKUP(Tabelle2[[#This Row],[Kunden Nr.]],KUNDEN!A:B,2,0)</f>
        <v>GRANITI</v>
      </c>
      <c r="H3079" s="75">
        <v>35110</v>
      </c>
      <c r="I3079" s="76" t="str">
        <f>VLOOKUP(Tabelle2[[#This Row],[Artikel]],Produkte!A:B,2,0)</f>
        <v>M-ONE Sanitar Silikon</v>
      </c>
      <c r="J3079" s="75">
        <v>12</v>
      </c>
      <c r="K3079" s="76" t="str">
        <f>VLOOKUP(Tabelle2[[#This Row],[Kunden Nr.]],KUNDEN!A:G,7)</f>
        <v>Qerimi</v>
      </c>
      <c r="L3079" s="76">
        <f>VLOOKUP(Tabelle2[[#This Row],[Artikel]],Produkte!A:H,8)</f>
        <v>0.17</v>
      </c>
    </row>
    <row r="3080" spans="1:12" x14ac:dyDescent="0.2">
      <c r="A3080" s="75" t="s">
        <v>550</v>
      </c>
      <c r="B3080" s="79">
        <v>46142</v>
      </c>
      <c r="C3080" s="75"/>
      <c r="D3080" s="75"/>
      <c r="E3080" s="75"/>
      <c r="F3080" s="75">
        <v>10410</v>
      </c>
      <c r="G3080" s="76" t="str">
        <f>VLOOKUP(Tabelle2[[#This Row],[Kunden Nr.]],KUNDEN!A:B,2,0)</f>
        <v>GRANITI</v>
      </c>
      <c r="H3080" s="75">
        <v>35125</v>
      </c>
      <c r="I3080" s="76" t="str">
        <f>VLOOKUP(Tabelle2[[#This Row],[Artikel]],Produkte!A:B,2,0)</f>
        <v>M-ONE Sanitar Silikon</v>
      </c>
      <c r="J3080" s="75">
        <v>12</v>
      </c>
      <c r="K3080" s="76" t="str">
        <f>VLOOKUP(Tabelle2[[#This Row],[Kunden Nr.]],KUNDEN!A:G,7)</f>
        <v>Qerimi</v>
      </c>
      <c r="L3080" s="76">
        <f>VLOOKUP(Tabelle2[[#This Row],[Artikel]],Produkte!A:H,8)</f>
        <v>0.17</v>
      </c>
    </row>
    <row r="3081" spans="1:12" x14ac:dyDescent="0.2">
      <c r="A3081" s="75" t="s">
        <v>550</v>
      </c>
      <c r="B3081" s="79">
        <v>46142</v>
      </c>
      <c r="C3081" s="75"/>
      <c r="D3081" s="75"/>
      <c r="E3081" s="75"/>
      <c r="F3081" s="75">
        <v>10410</v>
      </c>
      <c r="G3081" s="76" t="str">
        <f>VLOOKUP(Tabelle2[[#This Row],[Kunden Nr.]],KUNDEN!A:B,2,0)</f>
        <v>GRANITI</v>
      </c>
      <c r="H3081" s="75">
        <v>51612</v>
      </c>
      <c r="I3081" s="76" t="str">
        <f>VLOOKUP(Tabelle2[[#This Row],[Artikel]],Produkte!A:B,2,0)</f>
        <v>struktural akryl</v>
      </c>
      <c r="J3081" s="75">
        <v>12</v>
      </c>
      <c r="K3081" s="76" t="str">
        <f>VLOOKUP(Tabelle2[[#This Row],[Kunden Nr.]],KUNDEN!A:G,7)</f>
        <v>Qerimi</v>
      </c>
      <c r="L3081" s="76">
        <f>VLOOKUP(Tabelle2[[#This Row],[Artikel]],Produkte!A:H,8)</f>
        <v>0.06</v>
      </c>
    </row>
    <row r="3082" spans="1:12" x14ac:dyDescent="0.2">
      <c r="A3082" s="75" t="s">
        <v>903</v>
      </c>
      <c r="B3082" s="79">
        <v>46142</v>
      </c>
      <c r="C3082" s="89">
        <v>92.4</v>
      </c>
      <c r="D3082" s="75"/>
      <c r="E3082" s="75"/>
      <c r="F3082" s="75">
        <v>10428</v>
      </c>
      <c r="G3082" s="76" t="str">
        <f>VLOOKUP(Tabelle2[[#This Row],[Kunden Nr.]],KUNDEN!A:B,2,0)</f>
        <v>ENISI - H</v>
      </c>
      <c r="H3082" s="75">
        <v>35128</v>
      </c>
      <c r="I3082" s="76" t="str">
        <f>VLOOKUP(Tabelle2[[#This Row],[Artikel]],Produkte!A:B,2,0)</f>
        <v>M-ONE Sanitar Silikon</v>
      </c>
      <c r="J3082" s="75">
        <v>12</v>
      </c>
      <c r="K3082" s="76" t="str">
        <f>VLOOKUP(Tabelle2[[#This Row],[Kunden Nr.]],KUNDEN!A:G,7)</f>
        <v>Qerimi</v>
      </c>
      <c r="L3082" s="76">
        <f>VLOOKUP(Tabelle2[[#This Row],[Artikel]],Produkte!A:H,8)</f>
        <v>0.17</v>
      </c>
    </row>
    <row r="3083" spans="1:12" x14ac:dyDescent="0.2">
      <c r="A3083" s="75" t="s">
        <v>903</v>
      </c>
      <c r="B3083" s="79">
        <v>46142</v>
      </c>
      <c r="C3083" s="75"/>
      <c r="D3083" s="75"/>
      <c r="E3083" s="75"/>
      <c r="F3083" s="75">
        <v>10428</v>
      </c>
      <c r="G3083" s="76" t="str">
        <f>VLOOKUP(Tabelle2[[#This Row],[Kunden Nr.]],KUNDEN!A:B,2,0)</f>
        <v>ENISI - H</v>
      </c>
      <c r="H3083" s="75">
        <v>35125</v>
      </c>
      <c r="I3083" s="76" t="str">
        <f>VLOOKUP(Tabelle2[[#This Row],[Artikel]],Produkte!A:B,2,0)</f>
        <v>M-ONE Sanitar Silikon</v>
      </c>
      <c r="J3083" s="75">
        <v>12</v>
      </c>
      <c r="K3083" s="76" t="str">
        <f>VLOOKUP(Tabelle2[[#This Row],[Kunden Nr.]],KUNDEN!A:G,7)</f>
        <v>Qerimi</v>
      </c>
      <c r="L3083" s="76">
        <f>VLOOKUP(Tabelle2[[#This Row],[Artikel]],Produkte!A:H,8)</f>
        <v>0.17</v>
      </c>
    </row>
    <row r="3084" spans="1:12" x14ac:dyDescent="0.2">
      <c r="A3084" s="75" t="s">
        <v>553</v>
      </c>
      <c r="B3084" s="79">
        <v>46142</v>
      </c>
      <c r="C3084" s="89">
        <v>92.4</v>
      </c>
      <c r="D3084" s="75"/>
      <c r="E3084" s="75"/>
      <c r="F3084" s="75">
        <v>10413</v>
      </c>
      <c r="G3084" s="76" t="str">
        <f>VLOOKUP(Tabelle2[[#This Row],[Kunden Nr.]],KUNDEN!A:B,2,0)</f>
        <v>UNIVERZAL</v>
      </c>
      <c r="H3084" s="75">
        <v>35121</v>
      </c>
      <c r="I3084" s="76" t="str">
        <f>VLOOKUP(Tabelle2[[#This Row],[Artikel]],Produkte!A:B,2,0)</f>
        <v>M-ONE Sanitar Silikon</v>
      </c>
      <c r="J3084" s="75">
        <v>12</v>
      </c>
      <c r="K3084" s="76" t="str">
        <f>VLOOKUP(Tabelle2[[#This Row],[Kunden Nr.]],KUNDEN!A:G,7)</f>
        <v>Qerimi</v>
      </c>
      <c r="L3084" s="76">
        <f>VLOOKUP(Tabelle2[[#This Row],[Artikel]],Produkte!A:H,8)</f>
        <v>0.17</v>
      </c>
    </row>
    <row r="3085" spans="1:12" x14ac:dyDescent="0.2">
      <c r="A3085" s="75" t="s">
        <v>553</v>
      </c>
      <c r="B3085" s="79">
        <v>46142</v>
      </c>
      <c r="C3085" s="75"/>
      <c r="D3085" s="75"/>
      <c r="E3085" s="75"/>
      <c r="F3085" s="75">
        <v>10413</v>
      </c>
      <c r="G3085" s="76" t="str">
        <f>VLOOKUP(Tabelle2[[#This Row],[Kunden Nr.]],KUNDEN!A:B,2,0)</f>
        <v>UNIVERZAL</v>
      </c>
      <c r="H3085" s="75">
        <v>35113</v>
      </c>
      <c r="I3085" s="76" t="str">
        <f>VLOOKUP(Tabelle2[[#This Row],[Artikel]],Produkte!A:B,2,0)</f>
        <v>M-ONE Sanitar Silikon</v>
      </c>
      <c r="J3085" s="75">
        <v>12</v>
      </c>
      <c r="K3085" s="76" t="str">
        <f>VLOOKUP(Tabelle2[[#This Row],[Kunden Nr.]],KUNDEN!A:G,7)</f>
        <v>Qerimi</v>
      </c>
      <c r="L3085" s="76">
        <f>VLOOKUP(Tabelle2[[#This Row],[Artikel]],Produkte!A:H,8)</f>
        <v>0.17</v>
      </c>
    </row>
    <row r="3086" spans="1:12" x14ac:dyDescent="0.2">
      <c r="A3086" s="75" t="s">
        <v>53</v>
      </c>
      <c r="B3086" s="79">
        <v>46142</v>
      </c>
      <c r="C3086" s="89">
        <v>646.79999999999995</v>
      </c>
      <c r="D3086" s="75"/>
      <c r="E3086" s="75"/>
      <c r="F3086" s="75">
        <v>20407</v>
      </c>
      <c r="G3086" s="76" t="str">
        <f>VLOOKUP(Tabelle2[[#This Row],[Kunden Nr.]],KUNDEN!A:B,2,0)</f>
        <v>TE BENI</v>
      </c>
      <c r="H3086" s="75">
        <v>35110</v>
      </c>
      <c r="I3086" s="76" t="str">
        <f>VLOOKUP(Tabelle2[[#This Row],[Artikel]],Produkte!A:B,2,0)</f>
        <v>M-ONE Sanitar Silikon</v>
      </c>
      <c r="J3086" s="75">
        <v>36</v>
      </c>
      <c r="K3086" s="76" t="str">
        <f>VLOOKUP(Tabelle2[[#This Row],[Kunden Nr.]],KUNDEN!A:G,7)</f>
        <v>Mensuri</v>
      </c>
      <c r="L3086" s="76">
        <f>VLOOKUP(Tabelle2[[#This Row],[Artikel]],Produkte!A:H,8)</f>
        <v>0.17</v>
      </c>
    </row>
    <row r="3087" spans="1:12" x14ac:dyDescent="0.2">
      <c r="A3087" s="75" t="s">
        <v>53</v>
      </c>
      <c r="B3087" s="79">
        <v>46142</v>
      </c>
      <c r="C3087" s="75"/>
      <c r="D3087" s="75"/>
      <c r="E3087" s="75"/>
      <c r="F3087" s="75">
        <v>20407</v>
      </c>
      <c r="G3087" s="76" t="str">
        <f>VLOOKUP(Tabelle2[[#This Row],[Kunden Nr.]],KUNDEN!A:B,2,0)</f>
        <v>TE BENI</v>
      </c>
      <c r="H3087" s="75">
        <v>35111</v>
      </c>
      <c r="I3087" s="76" t="str">
        <f>VLOOKUP(Tabelle2[[#This Row],[Artikel]],Produkte!A:B,2,0)</f>
        <v>M-ONE Sanitar Silikon</v>
      </c>
      <c r="J3087" s="75">
        <v>24</v>
      </c>
      <c r="K3087" s="76" t="str">
        <f>VLOOKUP(Tabelle2[[#This Row],[Kunden Nr.]],KUNDEN!A:G,7)</f>
        <v>Mensuri</v>
      </c>
      <c r="L3087" s="76">
        <f>VLOOKUP(Tabelle2[[#This Row],[Artikel]],Produkte!A:H,8)</f>
        <v>0.17</v>
      </c>
    </row>
    <row r="3088" spans="1:12" x14ac:dyDescent="0.2">
      <c r="A3088" s="75" t="s">
        <v>53</v>
      </c>
      <c r="B3088" s="79">
        <v>46142</v>
      </c>
      <c r="C3088" s="75"/>
      <c r="D3088" s="75"/>
      <c r="E3088" s="75"/>
      <c r="F3088" s="75">
        <v>20407</v>
      </c>
      <c r="G3088" s="76" t="str">
        <f>VLOOKUP(Tabelle2[[#This Row],[Kunden Nr.]],KUNDEN!A:B,2,0)</f>
        <v>TE BENI</v>
      </c>
      <c r="H3088" s="75">
        <v>35121</v>
      </c>
      <c r="I3088" s="76" t="str">
        <f>VLOOKUP(Tabelle2[[#This Row],[Artikel]],Produkte!A:B,2,0)</f>
        <v>M-ONE Sanitar Silikon</v>
      </c>
      <c r="J3088" s="75">
        <v>36</v>
      </c>
      <c r="K3088" s="76" t="str">
        <f>VLOOKUP(Tabelle2[[#This Row],[Kunden Nr.]],KUNDEN!A:G,7)</f>
        <v>Mensuri</v>
      </c>
      <c r="L3088" s="76">
        <f>VLOOKUP(Tabelle2[[#This Row],[Artikel]],Produkte!A:H,8)</f>
        <v>0.17</v>
      </c>
    </row>
    <row r="3089" spans="1:12" x14ac:dyDescent="0.2">
      <c r="A3089" s="75" t="s">
        <v>53</v>
      </c>
      <c r="B3089" s="79">
        <v>46142</v>
      </c>
      <c r="C3089" s="75"/>
      <c r="D3089" s="75"/>
      <c r="E3089" s="75"/>
      <c r="F3089" s="75">
        <v>20407</v>
      </c>
      <c r="G3089" s="76" t="str">
        <f>VLOOKUP(Tabelle2[[#This Row],[Kunden Nr.]],KUNDEN!A:B,2,0)</f>
        <v>TE BENI</v>
      </c>
      <c r="H3089" s="75">
        <v>35128</v>
      </c>
      <c r="I3089" s="76" t="str">
        <f>VLOOKUP(Tabelle2[[#This Row],[Artikel]],Produkte!A:B,2,0)</f>
        <v>M-ONE Sanitar Silikon</v>
      </c>
      <c r="J3089" s="75">
        <v>24</v>
      </c>
      <c r="K3089" s="76" t="str">
        <f>VLOOKUP(Tabelle2[[#This Row],[Kunden Nr.]],KUNDEN!A:G,7)</f>
        <v>Mensuri</v>
      </c>
      <c r="L3089" s="76">
        <f>VLOOKUP(Tabelle2[[#This Row],[Artikel]],Produkte!A:H,8)</f>
        <v>0.17</v>
      </c>
    </row>
    <row r="3090" spans="1:12" x14ac:dyDescent="0.2">
      <c r="A3090" s="75" t="s">
        <v>53</v>
      </c>
      <c r="B3090" s="79">
        <v>46142</v>
      </c>
      <c r="C3090" s="75"/>
      <c r="D3090" s="75"/>
      <c r="E3090" s="75"/>
      <c r="F3090" s="75">
        <v>20407</v>
      </c>
      <c r="G3090" s="76" t="str">
        <f>VLOOKUP(Tabelle2[[#This Row],[Kunden Nr.]],KUNDEN!A:B,2,0)</f>
        <v>TE BENI</v>
      </c>
      <c r="H3090" s="75">
        <v>35115</v>
      </c>
      <c r="I3090" s="76" t="str">
        <f>VLOOKUP(Tabelle2[[#This Row],[Artikel]],Produkte!A:B,2,0)</f>
        <v>M-ONE Sanitar Silikon</v>
      </c>
      <c r="J3090" s="75">
        <v>24</v>
      </c>
      <c r="K3090" s="76" t="str">
        <f>VLOOKUP(Tabelle2[[#This Row],[Kunden Nr.]],KUNDEN!A:G,7)</f>
        <v>Mensuri</v>
      </c>
      <c r="L3090" s="76">
        <f>VLOOKUP(Tabelle2[[#This Row],[Artikel]],Produkte!A:H,8)</f>
        <v>0.17</v>
      </c>
    </row>
    <row r="3091" spans="1:12" x14ac:dyDescent="0.2">
      <c r="A3091" s="75" t="s">
        <v>53</v>
      </c>
      <c r="B3091" s="79">
        <v>46142</v>
      </c>
      <c r="C3091" s="75"/>
      <c r="D3091" s="75"/>
      <c r="E3091" s="75"/>
      <c r="F3091" s="75">
        <v>20407</v>
      </c>
      <c r="G3091" s="76" t="str">
        <f>VLOOKUP(Tabelle2[[#This Row],[Kunden Nr.]],KUNDEN!A:B,2,0)</f>
        <v>TE BENI</v>
      </c>
      <c r="H3091" s="75">
        <v>35112</v>
      </c>
      <c r="I3091" s="76" t="str">
        <f>VLOOKUP(Tabelle2[[#This Row],[Artikel]],Produkte!A:B,2,0)</f>
        <v>M-ONE Sanitar Silikon</v>
      </c>
      <c r="J3091" s="75">
        <v>12</v>
      </c>
      <c r="K3091" s="76" t="str">
        <f>VLOOKUP(Tabelle2[[#This Row],[Kunden Nr.]],KUNDEN!A:G,7)</f>
        <v>Mensuri</v>
      </c>
      <c r="L3091" s="76">
        <f>VLOOKUP(Tabelle2[[#This Row],[Artikel]],Produkte!A:H,8)</f>
        <v>0.17</v>
      </c>
    </row>
    <row r="3092" spans="1:12" x14ac:dyDescent="0.2">
      <c r="A3092" s="75" t="s">
        <v>53</v>
      </c>
      <c r="B3092" s="79">
        <v>46142</v>
      </c>
      <c r="C3092" s="75"/>
      <c r="D3092" s="75"/>
      <c r="E3092" s="75"/>
      <c r="F3092" s="75">
        <v>20407</v>
      </c>
      <c r="G3092" s="76" t="str">
        <f>VLOOKUP(Tabelle2[[#This Row],[Kunden Nr.]],KUNDEN!A:B,2,0)</f>
        <v>TE BENI</v>
      </c>
      <c r="H3092" s="75">
        <v>35108</v>
      </c>
      <c r="I3092" s="76" t="str">
        <f>VLOOKUP(Tabelle2[[#This Row],[Artikel]],Produkte!A:B,2,0)</f>
        <v>M-ONE Sanitar Silikon</v>
      </c>
      <c r="J3092" s="75">
        <v>12</v>
      </c>
      <c r="K3092" s="76" t="str">
        <f>VLOOKUP(Tabelle2[[#This Row],[Kunden Nr.]],KUNDEN!A:G,7)</f>
        <v>Mensuri</v>
      </c>
      <c r="L3092" s="76">
        <f>VLOOKUP(Tabelle2[[#This Row],[Artikel]],Produkte!A:H,8)</f>
        <v>0.17</v>
      </c>
    </row>
    <row r="3093" spans="1:12" x14ac:dyDescent="0.2">
      <c r="A3093" s="75" t="s">
        <v>463</v>
      </c>
      <c r="B3093" s="79">
        <v>46142</v>
      </c>
      <c r="C3093" s="89">
        <v>184.8</v>
      </c>
      <c r="D3093" s="75"/>
      <c r="E3093" s="75"/>
      <c r="F3093" s="75">
        <v>20515</v>
      </c>
      <c r="G3093" s="76" t="str">
        <f>VLOOKUP(Tabelle2[[#This Row],[Kunden Nr.]],KUNDEN!A:B,2,0)</f>
        <v>LIRIDONA-A</v>
      </c>
      <c r="H3093" s="75">
        <v>35109</v>
      </c>
      <c r="I3093" s="76" t="str">
        <f>VLOOKUP(Tabelle2[[#This Row],[Artikel]],Produkte!A:B,2,0)</f>
        <v>M-ONE Sanitar Silikon</v>
      </c>
      <c r="J3093" s="75">
        <v>12</v>
      </c>
      <c r="K3093" s="76" t="str">
        <f>VLOOKUP(Tabelle2[[#This Row],[Kunden Nr.]],KUNDEN!A:G,7)</f>
        <v>Mensuri</v>
      </c>
      <c r="L3093" s="76">
        <f>VLOOKUP(Tabelle2[[#This Row],[Artikel]],Produkte!A:H,8)</f>
        <v>0.17</v>
      </c>
    </row>
    <row r="3094" spans="1:12" x14ac:dyDescent="0.2">
      <c r="A3094" s="75" t="s">
        <v>463</v>
      </c>
      <c r="B3094" s="79">
        <v>46142</v>
      </c>
      <c r="C3094" s="75"/>
      <c r="D3094" s="75"/>
      <c r="E3094" s="75"/>
      <c r="F3094" s="75">
        <v>20515</v>
      </c>
      <c r="G3094" s="76" t="str">
        <f>VLOOKUP(Tabelle2[[#This Row],[Kunden Nr.]],KUNDEN!A:B,2,0)</f>
        <v>LIRIDONA-A</v>
      </c>
      <c r="H3094" s="75">
        <v>35113</v>
      </c>
      <c r="I3094" s="76" t="str">
        <f>VLOOKUP(Tabelle2[[#This Row],[Artikel]],Produkte!A:B,2,0)</f>
        <v>M-ONE Sanitar Silikon</v>
      </c>
      <c r="J3094" s="75">
        <v>12</v>
      </c>
      <c r="K3094" s="76" t="str">
        <f>VLOOKUP(Tabelle2[[#This Row],[Kunden Nr.]],KUNDEN!A:G,7)</f>
        <v>Mensuri</v>
      </c>
      <c r="L3094" s="76">
        <f>VLOOKUP(Tabelle2[[#This Row],[Artikel]],Produkte!A:H,8)</f>
        <v>0.17</v>
      </c>
    </row>
    <row r="3095" spans="1:12" x14ac:dyDescent="0.2">
      <c r="A3095" s="75" t="s">
        <v>463</v>
      </c>
      <c r="B3095" s="79">
        <v>46142</v>
      </c>
      <c r="C3095" s="75"/>
      <c r="D3095" s="75"/>
      <c r="E3095" s="75"/>
      <c r="F3095" s="75">
        <v>20515</v>
      </c>
      <c r="G3095" s="76" t="str">
        <f>VLOOKUP(Tabelle2[[#This Row],[Kunden Nr.]],KUNDEN!A:B,2,0)</f>
        <v>LIRIDONA-A</v>
      </c>
      <c r="H3095" s="75">
        <v>35114</v>
      </c>
      <c r="I3095" s="76" t="str">
        <f>VLOOKUP(Tabelle2[[#This Row],[Artikel]],Produkte!A:B,2,0)</f>
        <v>M-ONE Sanitar Silikon</v>
      </c>
      <c r="J3095" s="75">
        <v>12</v>
      </c>
      <c r="K3095" s="76" t="str">
        <f>VLOOKUP(Tabelle2[[#This Row],[Kunden Nr.]],KUNDEN!A:G,7)</f>
        <v>Mensuri</v>
      </c>
      <c r="L3095" s="76">
        <f>VLOOKUP(Tabelle2[[#This Row],[Artikel]],Produkte!A:H,8)</f>
        <v>0.17</v>
      </c>
    </row>
    <row r="3096" spans="1:12" x14ac:dyDescent="0.2">
      <c r="A3096" s="75" t="s">
        <v>463</v>
      </c>
      <c r="B3096" s="79">
        <v>46142</v>
      </c>
      <c r="C3096" s="75"/>
      <c r="D3096" s="75"/>
      <c r="E3096" s="75"/>
      <c r="F3096" s="75">
        <v>20515</v>
      </c>
      <c r="G3096" s="76" t="str">
        <f>VLOOKUP(Tabelle2[[#This Row],[Kunden Nr.]],KUNDEN!A:B,2,0)</f>
        <v>LIRIDONA-A</v>
      </c>
      <c r="H3096" s="75">
        <v>35125</v>
      </c>
      <c r="I3096" s="76" t="str">
        <f>VLOOKUP(Tabelle2[[#This Row],[Artikel]],Produkte!A:B,2,0)</f>
        <v>M-ONE Sanitar Silikon</v>
      </c>
      <c r="J3096" s="75">
        <v>12</v>
      </c>
      <c r="K3096" s="76" t="str">
        <f>VLOOKUP(Tabelle2[[#This Row],[Kunden Nr.]],KUNDEN!A:G,7)</f>
        <v>Mensuri</v>
      </c>
      <c r="L3096" s="76">
        <f>VLOOKUP(Tabelle2[[#This Row],[Artikel]],Produkte!A:H,8)</f>
        <v>0.17</v>
      </c>
    </row>
    <row r="3097" spans="1:12" x14ac:dyDescent="0.2">
      <c r="A3097" s="75" t="s">
        <v>675</v>
      </c>
      <c r="B3097" s="79">
        <v>46142</v>
      </c>
      <c r="C3097" s="89">
        <v>69.599999999999994</v>
      </c>
      <c r="D3097" s="75"/>
      <c r="E3097" s="75"/>
      <c r="F3097" s="75">
        <v>20510</v>
      </c>
      <c r="G3097" s="76" t="str">
        <f>VLOOKUP(Tabelle2[[#This Row],[Kunden Nr.]],KUNDEN!A:B,2,0)</f>
        <v>BYTYQI-V</v>
      </c>
      <c r="H3097" s="75">
        <v>66701</v>
      </c>
      <c r="I3097" s="76" t="str">
        <f>VLOOKUP(Tabelle2[[#This Row],[Artikel]],Produkte!A:B,2,0)</f>
        <v>PROFIMONT EXTREME</v>
      </c>
      <c r="J3097" s="75">
        <v>12</v>
      </c>
      <c r="K3097" s="76" t="str">
        <f>VLOOKUP(Tabelle2[[#This Row],[Kunden Nr.]],KUNDEN!A:G,7)</f>
        <v>Mensuri</v>
      </c>
      <c r="L3097" s="76">
        <f>VLOOKUP(Tabelle2[[#This Row],[Artikel]],Produkte!A:H,8)</f>
        <v>0.2</v>
      </c>
    </row>
    <row r="3098" spans="1:12" x14ac:dyDescent="0.2">
      <c r="A3098" s="75" t="s">
        <v>52</v>
      </c>
      <c r="B3098" s="79">
        <v>46142</v>
      </c>
      <c r="C3098" s="89">
        <v>70.5</v>
      </c>
      <c r="D3098" s="75"/>
      <c r="E3098" s="75"/>
      <c r="F3098" s="75">
        <v>20409</v>
      </c>
      <c r="G3098" s="76" t="str">
        <f>VLOOKUP(Tabelle2[[#This Row],[Kunden Nr.]],KUNDEN!A:B,2,0)</f>
        <v>BENI</v>
      </c>
      <c r="H3098" s="75">
        <v>50912</v>
      </c>
      <c r="I3098" s="76" t="str">
        <f>VLOOKUP(Tabelle2[[#This Row],[Artikel]],Produkte!A:B,2,0)</f>
        <v>DICHTUNG</v>
      </c>
      <c r="J3098" s="75">
        <v>5</v>
      </c>
      <c r="K3098" s="76" t="str">
        <f>VLOOKUP(Tabelle2[[#This Row],[Kunden Nr.]],KUNDEN!A:G,7)</f>
        <v>Mensuri</v>
      </c>
      <c r="L3098" s="76">
        <f>VLOOKUP(Tabelle2[[#This Row],[Artikel]],Produkte!A:H,8)</f>
        <v>0.2</v>
      </c>
    </row>
    <row r="3099" spans="1:12" x14ac:dyDescent="0.2">
      <c r="A3099" s="75" t="s">
        <v>52</v>
      </c>
      <c r="B3099" s="79">
        <v>46142</v>
      </c>
      <c r="C3099" s="75"/>
      <c r="D3099" s="75"/>
      <c r="E3099" s="75"/>
      <c r="F3099" s="75">
        <v>20409</v>
      </c>
      <c r="G3099" s="76" t="str">
        <f>VLOOKUP(Tabelle2[[#This Row],[Kunden Nr.]],KUNDEN!A:B,2,0)</f>
        <v>BENI</v>
      </c>
      <c r="H3099" s="75">
        <v>31819</v>
      </c>
      <c r="I3099" s="76" t="str">
        <f>VLOOKUP(Tabelle2[[#This Row],[Artikel]],Produkte!A:B,2,0)</f>
        <v>M ONE FUERROT</v>
      </c>
      <c r="J3099" s="75">
        <v>4</v>
      </c>
      <c r="K3099" s="76" t="str">
        <f>VLOOKUP(Tabelle2[[#This Row],[Kunden Nr.]],KUNDEN!A:G,7)</f>
        <v>Mensuri</v>
      </c>
      <c r="L3099" s="76">
        <f>VLOOKUP(Tabelle2[[#This Row],[Artikel]],Produkte!A:H,8)</f>
        <v>0.15</v>
      </c>
    </row>
    <row r="3100" spans="1:12" x14ac:dyDescent="0.2">
      <c r="A3100" s="75" t="s">
        <v>52</v>
      </c>
      <c r="B3100" s="79">
        <v>46142</v>
      </c>
      <c r="C3100" s="75"/>
      <c r="D3100" s="75"/>
      <c r="E3100" s="75"/>
      <c r="F3100" s="75">
        <v>20409</v>
      </c>
      <c r="G3100" s="76" t="str">
        <f>VLOOKUP(Tabelle2[[#This Row],[Kunden Nr.]],KUNDEN!A:B,2,0)</f>
        <v>BENI</v>
      </c>
      <c r="H3100" s="75">
        <v>51736</v>
      </c>
      <c r="I3100" s="76" t="str">
        <f>VLOOKUP(Tabelle2[[#This Row],[Artikel]],Produkte!A:B,2,0)</f>
        <v>M ONE SCHWARZ MATT</v>
      </c>
      <c r="J3100" s="75">
        <v>4</v>
      </c>
      <c r="K3100" s="76" t="str">
        <f>VLOOKUP(Tabelle2[[#This Row],[Kunden Nr.]],KUNDEN!A:G,7)</f>
        <v>Mensuri</v>
      </c>
      <c r="L3100" s="76">
        <f>VLOOKUP(Tabelle2[[#This Row],[Artikel]],Produkte!A:H,8)</f>
        <v>0.15</v>
      </c>
    </row>
    <row r="3101" spans="1:12" x14ac:dyDescent="0.2">
      <c r="A3101" s="75" t="s">
        <v>52</v>
      </c>
      <c r="B3101" s="79">
        <v>46142</v>
      </c>
      <c r="C3101" s="75"/>
      <c r="D3101" s="75"/>
      <c r="E3101" s="75"/>
      <c r="F3101" s="75">
        <v>20409</v>
      </c>
      <c r="G3101" s="76" t="str">
        <f>VLOOKUP(Tabelle2[[#This Row],[Kunden Nr.]],KUNDEN!A:B,2,0)</f>
        <v>BENI</v>
      </c>
      <c r="H3101" s="75">
        <v>49644</v>
      </c>
      <c r="I3101" s="76" t="str">
        <f>VLOOKUP(Tabelle2[[#This Row],[Artikel]],Produkte!A:B,2,0)</f>
        <v>beMAKER Rostlöser</v>
      </c>
      <c r="J3101" s="75">
        <v>5</v>
      </c>
      <c r="K3101" s="76" t="str">
        <f>VLOOKUP(Tabelle2[[#This Row],[Kunden Nr.]],KUNDEN!A:G,7)</f>
        <v>Mensuri</v>
      </c>
      <c r="L3101" s="76">
        <f>VLOOKUP(Tabelle2[[#This Row],[Artikel]],Produkte!A:H,8)</f>
        <v>0.2</v>
      </c>
    </row>
    <row r="3102" spans="1:12" x14ac:dyDescent="0.2">
      <c r="A3102" s="75" t="s">
        <v>52</v>
      </c>
      <c r="B3102" s="79">
        <v>46142</v>
      </c>
      <c r="C3102" s="75"/>
      <c r="D3102" s="75"/>
      <c r="E3102" s="75"/>
      <c r="F3102" s="75">
        <v>20409</v>
      </c>
      <c r="G3102" s="76" t="str">
        <f>VLOOKUP(Tabelle2[[#This Row],[Kunden Nr.]],KUNDEN!A:B,2,0)</f>
        <v>BENI</v>
      </c>
      <c r="H3102" s="75">
        <v>44001</v>
      </c>
      <c r="I3102" s="76" t="str">
        <f>VLOOKUP(Tabelle2[[#This Row],[Artikel]],Produkte!A:B,2,0)</f>
        <v>Fettspray</v>
      </c>
      <c r="J3102" s="75">
        <v>3</v>
      </c>
      <c r="K3102" s="76" t="str">
        <f>VLOOKUP(Tabelle2[[#This Row],[Kunden Nr.]],KUNDEN!A:G,7)</f>
        <v>Mensuri</v>
      </c>
      <c r="L3102" s="76">
        <f>VLOOKUP(Tabelle2[[#This Row],[Artikel]],Produkte!A:H,8)</f>
        <v>0.2</v>
      </c>
    </row>
    <row r="3103" spans="1:12" x14ac:dyDescent="0.2">
      <c r="A3103" s="75" t="s">
        <v>52</v>
      </c>
      <c r="B3103" s="79">
        <v>46142</v>
      </c>
      <c r="C3103" s="75"/>
      <c r="D3103" s="75"/>
      <c r="E3103" s="75"/>
      <c r="F3103" s="75">
        <v>20409</v>
      </c>
      <c r="G3103" s="76" t="str">
        <f>VLOOKUP(Tabelle2[[#This Row],[Kunden Nr.]],KUNDEN!A:B,2,0)</f>
        <v>BENI</v>
      </c>
      <c r="H3103" s="75">
        <v>56117</v>
      </c>
      <c r="I3103" s="76" t="str">
        <f>VLOOKUP(Tabelle2[[#This Row],[Artikel]],Produkte!A:B,2,0)</f>
        <v>M ONE UBS</v>
      </c>
      <c r="J3103" s="75">
        <v>1</v>
      </c>
      <c r="K3103" s="76" t="str">
        <f>VLOOKUP(Tabelle2[[#This Row],[Kunden Nr.]],KUNDEN!A:G,7)</f>
        <v>Mensuri</v>
      </c>
      <c r="L3103" s="76">
        <f>VLOOKUP(Tabelle2[[#This Row],[Artikel]],Produkte!A:H,8)</f>
        <v>0.2</v>
      </c>
    </row>
    <row r="3104" spans="1:12" x14ac:dyDescent="0.2">
      <c r="A3104" s="75" t="s">
        <v>674</v>
      </c>
      <c r="B3104" s="79">
        <v>46142</v>
      </c>
      <c r="C3104" s="89">
        <v>184.8</v>
      </c>
      <c r="D3104" s="75"/>
      <c r="E3104" s="75"/>
      <c r="F3104" s="75">
        <v>20508</v>
      </c>
      <c r="G3104" s="76" t="str">
        <f>VLOOKUP(Tabelle2[[#This Row],[Kunden Nr.]],KUNDEN!A:B,2,0)</f>
        <v>LIRIDONA HOME</v>
      </c>
      <c r="H3104" s="75">
        <v>35110</v>
      </c>
      <c r="I3104" s="76" t="str">
        <f>VLOOKUP(Tabelle2[[#This Row],[Artikel]],Produkte!A:B,2,0)</f>
        <v>M-ONE Sanitar Silikon</v>
      </c>
      <c r="J3104" s="75">
        <v>12</v>
      </c>
      <c r="K3104" s="76" t="str">
        <f>VLOOKUP(Tabelle2[[#This Row],[Kunden Nr.]],KUNDEN!A:G,7)</f>
        <v>Mensuri</v>
      </c>
      <c r="L3104" s="76">
        <f>VLOOKUP(Tabelle2[[#This Row],[Artikel]],Produkte!A:H,8)</f>
        <v>0.17</v>
      </c>
    </row>
    <row r="3105" spans="1:12" x14ac:dyDescent="0.2">
      <c r="A3105" s="75" t="s">
        <v>674</v>
      </c>
      <c r="B3105" s="79">
        <v>46142</v>
      </c>
      <c r="C3105" s="75"/>
      <c r="D3105" s="75"/>
      <c r="E3105" s="75"/>
      <c r="F3105" s="75">
        <v>20508</v>
      </c>
      <c r="G3105" s="76" t="str">
        <f>VLOOKUP(Tabelle2[[#This Row],[Kunden Nr.]],KUNDEN!A:B,2,0)</f>
        <v>LIRIDONA HOME</v>
      </c>
      <c r="H3105" s="75">
        <v>35112</v>
      </c>
      <c r="I3105" s="76" t="str">
        <f>VLOOKUP(Tabelle2[[#This Row],[Artikel]],Produkte!A:B,2,0)</f>
        <v>M-ONE Sanitar Silikon</v>
      </c>
      <c r="J3105" s="75">
        <v>12</v>
      </c>
      <c r="K3105" s="76" t="str">
        <f>VLOOKUP(Tabelle2[[#This Row],[Kunden Nr.]],KUNDEN!A:G,7)</f>
        <v>Mensuri</v>
      </c>
      <c r="L3105" s="76">
        <f>VLOOKUP(Tabelle2[[#This Row],[Artikel]],Produkte!A:H,8)</f>
        <v>0.17</v>
      </c>
    </row>
    <row r="3106" spans="1:12" x14ac:dyDescent="0.2">
      <c r="A3106" s="75" t="s">
        <v>674</v>
      </c>
      <c r="B3106" s="79">
        <v>46142</v>
      </c>
      <c r="C3106" s="75"/>
      <c r="D3106" s="75"/>
      <c r="E3106" s="75"/>
      <c r="F3106" s="75">
        <v>20508</v>
      </c>
      <c r="G3106" s="76" t="str">
        <f>VLOOKUP(Tabelle2[[#This Row],[Kunden Nr.]],KUNDEN!A:B,2,0)</f>
        <v>LIRIDONA HOME</v>
      </c>
      <c r="H3106" s="75">
        <v>35113</v>
      </c>
      <c r="I3106" s="76" t="str">
        <f>VLOOKUP(Tabelle2[[#This Row],[Artikel]],Produkte!A:B,2,0)</f>
        <v>M-ONE Sanitar Silikon</v>
      </c>
      <c r="J3106" s="75">
        <v>12</v>
      </c>
      <c r="K3106" s="76" t="str">
        <f>VLOOKUP(Tabelle2[[#This Row],[Kunden Nr.]],KUNDEN!A:G,7)</f>
        <v>Mensuri</v>
      </c>
      <c r="L3106" s="76">
        <f>VLOOKUP(Tabelle2[[#This Row],[Artikel]],Produkte!A:H,8)</f>
        <v>0.17</v>
      </c>
    </row>
    <row r="3107" spans="1:12" x14ac:dyDescent="0.2">
      <c r="A3107" s="75" t="s">
        <v>674</v>
      </c>
      <c r="B3107" s="79">
        <v>46142</v>
      </c>
      <c r="C3107" s="75"/>
      <c r="D3107" s="75"/>
      <c r="E3107" s="75"/>
      <c r="F3107" s="75">
        <v>20508</v>
      </c>
      <c r="G3107" s="76" t="str">
        <f>VLOOKUP(Tabelle2[[#This Row],[Kunden Nr.]],KUNDEN!A:B,2,0)</f>
        <v>LIRIDONA HOME</v>
      </c>
      <c r="H3107" s="75">
        <v>35115</v>
      </c>
      <c r="I3107" s="76" t="str">
        <f>VLOOKUP(Tabelle2[[#This Row],[Artikel]],Produkte!A:B,2,0)</f>
        <v>M-ONE Sanitar Silikon</v>
      </c>
      <c r="J3107" s="75">
        <v>12</v>
      </c>
      <c r="K3107" s="76" t="str">
        <f>VLOOKUP(Tabelle2[[#This Row],[Kunden Nr.]],KUNDEN!A:G,7)</f>
        <v>Mensuri</v>
      </c>
      <c r="L3107" s="76">
        <f>VLOOKUP(Tabelle2[[#This Row],[Artikel]],Produkte!A:H,8)</f>
        <v>0.17</v>
      </c>
    </row>
    <row r="3108" spans="1:12" x14ac:dyDescent="0.2">
      <c r="A3108" s="75" t="s">
        <v>48</v>
      </c>
      <c r="B3108" s="79">
        <v>46142</v>
      </c>
      <c r="C3108" s="89">
        <v>184.8</v>
      </c>
      <c r="D3108" s="75"/>
      <c r="E3108" s="75"/>
      <c r="F3108" s="75">
        <v>20404</v>
      </c>
      <c r="G3108" s="76" t="str">
        <f>VLOOKUP(Tabelle2[[#This Row],[Kunden Nr.]],KUNDEN!A:B,2,0)</f>
        <v>TE MENTORI</v>
      </c>
      <c r="H3108" s="75">
        <v>35112</v>
      </c>
      <c r="I3108" s="76" t="str">
        <f>VLOOKUP(Tabelle2[[#This Row],[Artikel]],Produkte!A:B,2,0)</f>
        <v>M-ONE Sanitar Silikon</v>
      </c>
      <c r="J3108" s="75">
        <v>12</v>
      </c>
      <c r="K3108" s="76" t="str">
        <f>VLOOKUP(Tabelle2[[#This Row],[Kunden Nr.]],KUNDEN!A:G,7)</f>
        <v>Mensuri</v>
      </c>
      <c r="L3108" s="76">
        <f>VLOOKUP(Tabelle2[[#This Row],[Artikel]],Produkte!A:H,8)</f>
        <v>0.17</v>
      </c>
    </row>
    <row r="3109" spans="1:12" x14ac:dyDescent="0.2">
      <c r="A3109" s="75" t="s">
        <v>48</v>
      </c>
      <c r="B3109" s="79">
        <v>46142</v>
      </c>
      <c r="C3109" s="75"/>
      <c r="D3109" s="75"/>
      <c r="E3109" s="75"/>
      <c r="F3109" s="75">
        <v>20404</v>
      </c>
      <c r="G3109" s="76" t="str">
        <f>VLOOKUP(Tabelle2[[#This Row],[Kunden Nr.]],KUNDEN!A:B,2,0)</f>
        <v>TE MENTORI</v>
      </c>
      <c r="H3109" s="75">
        <v>35115</v>
      </c>
      <c r="I3109" s="76" t="str">
        <f>VLOOKUP(Tabelle2[[#This Row],[Artikel]],Produkte!A:B,2,0)</f>
        <v>M-ONE Sanitar Silikon</v>
      </c>
      <c r="J3109" s="75">
        <v>12</v>
      </c>
      <c r="K3109" s="76" t="str">
        <f>VLOOKUP(Tabelle2[[#This Row],[Kunden Nr.]],KUNDEN!A:G,7)</f>
        <v>Mensuri</v>
      </c>
      <c r="L3109" s="76">
        <f>VLOOKUP(Tabelle2[[#This Row],[Artikel]],Produkte!A:H,8)</f>
        <v>0.17</v>
      </c>
    </row>
    <row r="3110" spans="1:12" x14ac:dyDescent="0.2">
      <c r="A3110" s="75" t="s">
        <v>48</v>
      </c>
      <c r="B3110" s="79">
        <v>46142</v>
      </c>
      <c r="C3110" s="75"/>
      <c r="D3110" s="75"/>
      <c r="E3110" s="75"/>
      <c r="F3110" s="75">
        <v>20404</v>
      </c>
      <c r="G3110" s="76" t="str">
        <f>VLOOKUP(Tabelle2[[#This Row],[Kunden Nr.]],KUNDEN!A:B,2,0)</f>
        <v>TE MENTORI</v>
      </c>
      <c r="H3110" s="75">
        <v>35128</v>
      </c>
      <c r="I3110" s="76" t="str">
        <f>VLOOKUP(Tabelle2[[#This Row],[Artikel]],Produkte!A:B,2,0)</f>
        <v>M-ONE Sanitar Silikon</v>
      </c>
      <c r="J3110" s="75">
        <v>12</v>
      </c>
      <c r="K3110" s="76" t="str">
        <f>VLOOKUP(Tabelle2[[#This Row],[Kunden Nr.]],KUNDEN!A:G,7)</f>
        <v>Mensuri</v>
      </c>
      <c r="L3110" s="76">
        <f>VLOOKUP(Tabelle2[[#This Row],[Artikel]],Produkte!A:H,8)</f>
        <v>0.17</v>
      </c>
    </row>
    <row r="3111" spans="1:12" x14ac:dyDescent="0.2">
      <c r="A3111" s="75" t="s">
        <v>48</v>
      </c>
      <c r="B3111" s="79">
        <v>46142</v>
      </c>
      <c r="C3111" s="75"/>
      <c r="D3111" s="75"/>
      <c r="E3111" s="75"/>
      <c r="F3111" s="75">
        <v>20404</v>
      </c>
      <c r="G3111" s="76" t="str">
        <f>VLOOKUP(Tabelle2[[#This Row],[Kunden Nr.]],KUNDEN!A:B,2,0)</f>
        <v>TE MENTORI</v>
      </c>
      <c r="H3111" s="75">
        <v>35121</v>
      </c>
      <c r="I3111" s="76" t="str">
        <f>VLOOKUP(Tabelle2[[#This Row],[Artikel]],Produkte!A:B,2,0)</f>
        <v>M-ONE Sanitar Silikon</v>
      </c>
      <c r="J3111" s="75">
        <v>12</v>
      </c>
      <c r="K3111" s="76" t="str">
        <f>VLOOKUP(Tabelle2[[#This Row],[Kunden Nr.]],KUNDEN!A:G,7)</f>
        <v>Mensuri</v>
      </c>
      <c r="L3111" s="76">
        <f>VLOOKUP(Tabelle2[[#This Row],[Artikel]],Produkte!A:H,8)</f>
        <v>0.17</v>
      </c>
    </row>
    <row r="3112" spans="1:12" x14ac:dyDescent="0.2">
      <c r="A3112" s="75" t="s">
        <v>608</v>
      </c>
      <c r="B3112" s="79">
        <v>46144</v>
      </c>
      <c r="C3112" s="89">
        <v>96</v>
      </c>
      <c r="D3112" s="75"/>
      <c r="E3112" s="75"/>
      <c r="F3112" s="75">
        <v>10616</v>
      </c>
      <c r="G3112" s="76" t="str">
        <f>VLOOKUP(Tabelle2[[#This Row],[Kunden Nr.]],KUNDEN!A:B,2,0)</f>
        <v>TE ZENA</v>
      </c>
      <c r="H3112" s="75">
        <v>35113</v>
      </c>
      <c r="I3112" s="76" t="str">
        <f>VLOOKUP(Tabelle2[[#This Row],[Artikel]],Produkte!A:B,2,0)</f>
        <v>M-ONE Sanitar Silikon</v>
      </c>
      <c r="J3112" s="75">
        <v>12</v>
      </c>
      <c r="K3112" s="76" t="str">
        <f>VLOOKUP(Tabelle2[[#This Row],[Kunden Nr.]],KUNDEN!A:G,7)</f>
        <v>Qerimi</v>
      </c>
      <c r="L3112" s="76">
        <f>VLOOKUP(Tabelle2[[#This Row],[Artikel]],Produkte!A:H,8)</f>
        <v>0.17</v>
      </c>
    </row>
    <row r="3113" spans="1:12" x14ac:dyDescent="0.2">
      <c r="A3113" s="75" t="s">
        <v>608</v>
      </c>
      <c r="B3113" s="79">
        <v>46144</v>
      </c>
      <c r="C3113" s="75"/>
      <c r="D3113" s="75"/>
      <c r="E3113" s="75"/>
      <c r="F3113" s="75">
        <v>10616</v>
      </c>
      <c r="G3113" s="76" t="str">
        <f>VLOOKUP(Tabelle2[[#This Row],[Kunden Nr.]],KUNDEN!A:B,2,0)</f>
        <v>TE ZENA</v>
      </c>
      <c r="H3113" s="75">
        <v>35121</v>
      </c>
      <c r="I3113" s="76" t="str">
        <f>VLOOKUP(Tabelle2[[#This Row],[Artikel]],Produkte!A:B,2,0)</f>
        <v>M-ONE Sanitar Silikon</v>
      </c>
      <c r="J3113" s="75">
        <v>12</v>
      </c>
      <c r="K3113" s="76" t="str">
        <f>VLOOKUP(Tabelle2[[#This Row],[Kunden Nr.]],KUNDEN!A:G,7)</f>
        <v>Qerimi</v>
      </c>
      <c r="L3113" s="76">
        <f>VLOOKUP(Tabelle2[[#This Row],[Artikel]],Produkte!A:H,8)</f>
        <v>0.17</v>
      </c>
    </row>
    <row r="3114" spans="1:12" x14ac:dyDescent="0.2">
      <c r="A3114" s="75" t="s">
        <v>611</v>
      </c>
      <c r="B3114" s="79">
        <v>46144</v>
      </c>
      <c r="C3114" s="89">
        <v>12.5</v>
      </c>
      <c r="D3114" s="75"/>
      <c r="E3114" s="75"/>
      <c r="F3114" s="75">
        <v>10619</v>
      </c>
      <c r="G3114" s="76" t="str">
        <f>VLOOKUP(Tabelle2[[#This Row],[Kunden Nr.]],KUNDEN!A:B,2,0)</f>
        <v>BECOLOR</v>
      </c>
      <c r="H3114" s="75">
        <v>31818</v>
      </c>
      <c r="I3114" s="76" t="str">
        <f>VLOOKUP(Tabelle2[[#This Row],[Artikel]],Produkte!A:B,2,0)</f>
        <v>M ONE ANTHRAZIT</v>
      </c>
      <c r="J3114" s="75">
        <v>5</v>
      </c>
      <c r="K3114" s="76" t="str">
        <f>VLOOKUP(Tabelle2[[#This Row],[Kunden Nr.]],KUNDEN!A:G,7)</f>
        <v>Qerimi</v>
      </c>
      <c r="L3114" s="76">
        <f>VLOOKUP(Tabelle2[[#This Row],[Artikel]],Produkte!A:H,8)</f>
        <v>0.15</v>
      </c>
    </row>
    <row r="3115" spans="1:12" x14ac:dyDescent="0.2">
      <c r="A3115" s="75" t="s">
        <v>1230</v>
      </c>
      <c r="B3115" s="79">
        <v>46144</v>
      </c>
      <c r="C3115" s="89">
        <v>138.6</v>
      </c>
      <c r="D3115" s="75"/>
      <c r="E3115" s="75"/>
      <c r="F3115" s="75">
        <v>10637</v>
      </c>
      <c r="G3115" s="76" t="e">
        <f>VLOOKUP(Tabelle2[[#This Row],[Kunden Nr.]],KUNDEN!A:B,2,0)</f>
        <v>#N/A</v>
      </c>
      <c r="H3115" s="75">
        <v>35109</v>
      </c>
      <c r="I3115" s="76" t="str">
        <f>VLOOKUP(Tabelle2[[#This Row],[Artikel]],Produkte!A:B,2,0)</f>
        <v>M-ONE Sanitar Silikon</v>
      </c>
      <c r="J3115" s="75">
        <v>24</v>
      </c>
      <c r="K3115" s="76" t="str">
        <f>VLOOKUP(Tabelle2[[#This Row],[Kunden Nr.]],KUNDEN!A:G,7)</f>
        <v>Qerimi</v>
      </c>
      <c r="L3115" s="76">
        <f>VLOOKUP(Tabelle2[[#This Row],[Artikel]],Produkte!A:H,8)</f>
        <v>0.17</v>
      </c>
    </row>
    <row r="3116" spans="1:12" x14ac:dyDescent="0.2">
      <c r="A3116" s="75" t="s">
        <v>1230</v>
      </c>
      <c r="B3116" s="79">
        <v>46144</v>
      </c>
      <c r="C3116" s="75"/>
      <c r="D3116" s="75"/>
      <c r="E3116" s="75"/>
      <c r="F3116" s="75">
        <v>10637</v>
      </c>
      <c r="G3116" s="76" t="e">
        <f>VLOOKUP(Tabelle2[[#This Row],[Kunden Nr.]],KUNDEN!A:B,2,0)</f>
        <v>#N/A</v>
      </c>
      <c r="H3116" s="75">
        <v>35110</v>
      </c>
      <c r="I3116" s="76" t="str">
        <f>VLOOKUP(Tabelle2[[#This Row],[Artikel]],Produkte!A:B,2,0)</f>
        <v>M-ONE Sanitar Silikon</v>
      </c>
      <c r="J3116" s="75">
        <v>12</v>
      </c>
      <c r="K3116" s="76" t="str">
        <f>VLOOKUP(Tabelle2[[#This Row],[Kunden Nr.]],KUNDEN!A:G,7)</f>
        <v>Qerimi</v>
      </c>
      <c r="L3116" s="76">
        <f>VLOOKUP(Tabelle2[[#This Row],[Artikel]],Produkte!A:H,8)</f>
        <v>0.17</v>
      </c>
    </row>
    <row r="3117" spans="1:12" x14ac:dyDescent="0.2">
      <c r="A3117" s="75" t="s">
        <v>1230</v>
      </c>
      <c r="B3117" s="79">
        <v>46144</v>
      </c>
      <c r="C3117" s="75"/>
      <c r="D3117" s="75"/>
      <c r="E3117" s="75"/>
      <c r="F3117" s="75">
        <v>10638</v>
      </c>
      <c r="G3117" s="76" t="e">
        <f>VLOOKUP(Tabelle2[[#This Row],[Kunden Nr.]],KUNDEN!A:B,2,0)</f>
        <v>#N/A</v>
      </c>
      <c r="H3117" s="75">
        <v>35121</v>
      </c>
      <c r="I3117" s="76" t="str">
        <f>VLOOKUP(Tabelle2[[#This Row],[Artikel]],Produkte!A:B,2,0)</f>
        <v>M-ONE Sanitar Silikon</v>
      </c>
      <c r="J3117" s="75">
        <v>60</v>
      </c>
      <c r="K3117" s="76" t="str">
        <f>VLOOKUP(Tabelle2[[#This Row],[Kunden Nr.]],KUNDEN!A:G,7)</f>
        <v>Qerimi</v>
      </c>
      <c r="L3117" s="76">
        <f>VLOOKUP(Tabelle2[[#This Row],[Artikel]],Produkte!A:H,8)</f>
        <v>0.17</v>
      </c>
    </row>
    <row r="3118" spans="1:12" x14ac:dyDescent="0.2">
      <c r="A3118" s="75" t="s">
        <v>967</v>
      </c>
      <c r="B3118" s="79">
        <v>46144</v>
      </c>
      <c r="C3118" s="89">
        <v>96</v>
      </c>
      <c r="D3118" s="75"/>
      <c r="E3118" s="75"/>
      <c r="F3118" s="75">
        <v>20603</v>
      </c>
      <c r="G3118" s="76" t="str">
        <f>VLOOKUP(Tabelle2[[#This Row],[Kunden Nr.]],KUNDEN!A:B,2,0)</f>
        <v>PROMOIN</v>
      </c>
      <c r="H3118" s="75">
        <v>35121</v>
      </c>
      <c r="I3118" s="76" t="str">
        <f>VLOOKUP(Tabelle2[[#This Row],[Artikel]],Produkte!A:B,2,0)</f>
        <v>M-ONE Sanitar Silikon</v>
      </c>
      <c r="J3118" s="75">
        <v>24</v>
      </c>
      <c r="K3118" s="76" t="str">
        <f>VLOOKUP(Tabelle2[[#This Row],[Kunden Nr.]],KUNDEN!A:G,7)</f>
        <v>Mensuri</v>
      </c>
      <c r="L3118" s="76">
        <f>VLOOKUP(Tabelle2[[#This Row],[Artikel]],Produkte!A:H,8)</f>
        <v>0.17</v>
      </c>
    </row>
    <row r="3119" spans="1:12" x14ac:dyDescent="0.2">
      <c r="A3119" s="75" t="s">
        <v>430</v>
      </c>
      <c r="B3119" s="79">
        <v>46144</v>
      </c>
      <c r="C3119" s="89">
        <v>144</v>
      </c>
      <c r="D3119" s="75"/>
      <c r="E3119" s="75"/>
      <c r="F3119" s="75">
        <v>20602</v>
      </c>
      <c r="G3119" s="76" t="str">
        <f>VLOOKUP(Tabelle2[[#This Row],[Kunden Nr.]],KUNDEN!A:B,2,0)</f>
        <v>AGROLONDI</v>
      </c>
      <c r="H3119" s="75">
        <v>35109</v>
      </c>
      <c r="I3119" s="76" t="str">
        <f>VLOOKUP(Tabelle2[[#This Row],[Artikel]],Produkte!A:B,2,0)</f>
        <v>M-ONE Sanitar Silikon</v>
      </c>
      <c r="J3119" s="75">
        <v>24</v>
      </c>
      <c r="K3119" s="76" t="str">
        <f>VLOOKUP(Tabelle2[[#This Row],[Kunden Nr.]],KUNDEN!A:G,7)</f>
        <v>Mensuri</v>
      </c>
      <c r="L3119" s="76">
        <f>VLOOKUP(Tabelle2[[#This Row],[Artikel]],Produkte!A:H,8)</f>
        <v>0.17</v>
      </c>
    </row>
    <row r="3120" spans="1:12" x14ac:dyDescent="0.2">
      <c r="A3120" s="75" t="s">
        <v>430</v>
      </c>
      <c r="B3120" s="79">
        <v>46144</v>
      </c>
      <c r="C3120" s="75"/>
      <c r="D3120" s="75"/>
      <c r="E3120" s="75"/>
      <c r="F3120" s="75">
        <v>20602</v>
      </c>
      <c r="G3120" s="76" t="str">
        <f>VLOOKUP(Tabelle2[[#This Row],[Kunden Nr.]],KUNDEN!A:B,2,0)</f>
        <v>AGROLONDI</v>
      </c>
      <c r="H3120" s="75">
        <v>35110</v>
      </c>
      <c r="I3120" s="76" t="str">
        <f>VLOOKUP(Tabelle2[[#This Row],[Artikel]],Produkte!A:B,2,0)</f>
        <v>M-ONE Sanitar Silikon</v>
      </c>
      <c r="J3120" s="75">
        <v>12</v>
      </c>
      <c r="K3120" s="76" t="str">
        <f>VLOOKUP(Tabelle2[[#This Row],[Kunden Nr.]],KUNDEN!A:G,7)</f>
        <v>Mensuri</v>
      </c>
      <c r="L3120" s="76">
        <f>VLOOKUP(Tabelle2[[#This Row],[Artikel]],Produkte!A:H,8)</f>
        <v>0.17</v>
      </c>
    </row>
    <row r="3121" spans="1:12" x14ac:dyDescent="0.2">
      <c r="A3121" s="75" t="s">
        <v>1322</v>
      </c>
      <c r="B3121" s="79">
        <v>46144</v>
      </c>
      <c r="C3121" s="89">
        <v>144</v>
      </c>
      <c r="D3121" s="75"/>
      <c r="E3121" s="75"/>
      <c r="F3121" s="75">
        <v>20635</v>
      </c>
      <c r="G3121" s="76" t="e">
        <f>VLOOKUP(Tabelle2[[#This Row],[Kunden Nr.]],KUNDEN!A:B,2,0)</f>
        <v>#N/A</v>
      </c>
      <c r="H3121" s="75">
        <v>35128</v>
      </c>
      <c r="I3121" s="76" t="str">
        <f>VLOOKUP(Tabelle2[[#This Row],[Artikel]],Produkte!A:B,2,0)</f>
        <v>M-ONE Sanitar Silikon</v>
      </c>
      <c r="J3121" s="75">
        <v>12</v>
      </c>
      <c r="K3121" s="76" t="str">
        <f>VLOOKUP(Tabelle2[[#This Row],[Kunden Nr.]],KUNDEN!A:G,7)</f>
        <v>Mensuri</v>
      </c>
      <c r="L3121" s="76">
        <f>VLOOKUP(Tabelle2[[#This Row],[Artikel]],Produkte!A:H,8)</f>
        <v>0.17</v>
      </c>
    </row>
    <row r="3122" spans="1:12" x14ac:dyDescent="0.2">
      <c r="A3122" s="75" t="s">
        <v>1322</v>
      </c>
      <c r="B3122" s="79">
        <v>46144</v>
      </c>
      <c r="C3122" s="75"/>
      <c r="D3122" s="75"/>
      <c r="E3122" s="75"/>
      <c r="F3122" s="75">
        <v>20635</v>
      </c>
      <c r="G3122" s="76" t="e">
        <f>VLOOKUP(Tabelle2[[#This Row],[Kunden Nr.]],KUNDEN!A:B,2,0)</f>
        <v>#N/A</v>
      </c>
      <c r="H3122" s="75">
        <v>35111</v>
      </c>
      <c r="I3122" s="76" t="str">
        <f>VLOOKUP(Tabelle2[[#This Row],[Artikel]],Produkte!A:B,2,0)</f>
        <v>M-ONE Sanitar Silikon</v>
      </c>
      <c r="J3122" s="75">
        <v>12</v>
      </c>
      <c r="K3122" s="76" t="str">
        <f>VLOOKUP(Tabelle2[[#This Row],[Kunden Nr.]],KUNDEN!A:G,7)</f>
        <v>Mensuri</v>
      </c>
      <c r="L3122" s="76">
        <f>VLOOKUP(Tabelle2[[#This Row],[Artikel]],Produkte!A:H,8)</f>
        <v>0.17</v>
      </c>
    </row>
    <row r="3123" spans="1:12" x14ac:dyDescent="0.2">
      <c r="A3123" s="75" t="s">
        <v>1322</v>
      </c>
      <c r="B3123" s="79">
        <v>46144</v>
      </c>
      <c r="C3123" s="75"/>
      <c r="D3123" s="75"/>
      <c r="E3123" s="75"/>
      <c r="F3123" s="75">
        <v>20635</v>
      </c>
      <c r="G3123" s="76" t="e">
        <f>VLOOKUP(Tabelle2[[#This Row],[Kunden Nr.]],KUNDEN!A:B,2,0)</f>
        <v>#N/A</v>
      </c>
      <c r="H3123" s="75">
        <v>35114</v>
      </c>
      <c r="I3123" s="76" t="str">
        <f>VLOOKUP(Tabelle2[[#This Row],[Artikel]],Produkte!A:B,2,0)</f>
        <v>M-ONE Sanitar Silikon</v>
      </c>
      <c r="J3123" s="75">
        <v>12</v>
      </c>
      <c r="K3123" s="76" t="str">
        <f>VLOOKUP(Tabelle2[[#This Row],[Kunden Nr.]],KUNDEN!A:G,7)</f>
        <v>Mensuri</v>
      </c>
      <c r="L3123" s="76">
        <f>VLOOKUP(Tabelle2[[#This Row],[Artikel]],Produkte!A:H,8)</f>
        <v>0.17</v>
      </c>
    </row>
    <row r="3124" spans="1:12" x14ac:dyDescent="0.2">
      <c r="A3124" s="75" t="s">
        <v>1232</v>
      </c>
      <c r="B3124" s="79">
        <v>46144</v>
      </c>
      <c r="C3124" s="89">
        <v>150</v>
      </c>
      <c r="D3124" s="75"/>
      <c r="E3124" s="75"/>
      <c r="F3124" s="75">
        <v>20630</v>
      </c>
      <c r="G3124" s="76" t="str">
        <f>VLOOKUP(Tabelle2[[#This Row],[Kunden Nr.]],KUNDEN!A:B,2,0)</f>
        <v>HIDRO DANI</v>
      </c>
      <c r="H3124" s="75">
        <v>35113</v>
      </c>
      <c r="I3124" s="76" t="str">
        <f>VLOOKUP(Tabelle2[[#This Row],[Artikel]],Produkte!A:B,2,0)</f>
        <v>M-ONE Sanitar Silikon</v>
      </c>
      <c r="J3124" s="75">
        <v>12</v>
      </c>
      <c r="K3124" s="76" t="str">
        <f>VLOOKUP(Tabelle2[[#This Row],[Kunden Nr.]],KUNDEN!A:G,7)</f>
        <v>Mensuri</v>
      </c>
      <c r="L3124" s="76">
        <f>VLOOKUP(Tabelle2[[#This Row],[Artikel]],Produkte!A:H,8)</f>
        <v>0.17</v>
      </c>
    </row>
    <row r="3125" spans="1:12" x14ac:dyDescent="0.2">
      <c r="A3125" s="75" t="s">
        <v>1232</v>
      </c>
      <c r="B3125" s="79">
        <v>46144</v>
      </c>
      <c r="C3125" s="75"/>
      <c r="D3125" s="75"/>
      <c r="E3125" s="75"/>
      <c r="F3125" s="75">
        <v>20630</v>
      </c>
      <c r="G3125" s="76" t="str">
        <f>VLOOKUP(Tabelle2[[#This Row],[Kunden Nr.]],KUNDEN!A:B,2,0)</f>
        <v>HIDRO DANI</v>
      </c>
      <c r="H3125" s="75">
        <v>35128</v>
      </c>
      <c r="I3125" s="76" t="str">
        <f>VLOOKUP(Tabelle2[[#This Row],[Artikel]],Produkte!A:B,2,0)</f>
        <v>M-ONE Sanitar Silikon</v>
      </c>
      <c r="J3125" s="75">
        <v>12</v>
      </c>
      <c r="K3125" s="76" t="str">
        <f>VLOOKUP(Tabelle2[[#This Row],[Kunden Nr.]],KUNDEN!A:G,7)</f>
        <v>Mensuri</v>
      </c>
      <c r="L3125" s="76">
        <f>VLOOKUP(Tabelle2[[#This Row],[Artikel]],Produkte!A:H,8)</f>
        <v>0.17</v>
      </c>
    </row>
    <row r="3126" spans="1:12" x14ac:dyDescent="0.2">
      <c r="A3126" s="75" t="s">
        <v>1232</v>
      </c>
      <c r="B3126" s="79">
        <v>46144</v>
      </c>
      <c r="C3126" s="75"/>
      <c r="D3126" s="75"/>
      <c r="E3126" s="75"/>
      <c r="F3126" s="75">
        <v>20630</v>
      </c>
      <c r="G3126" s="76" t="str">
        <f>VLOOKUP(Tabelle2[[#This Row],[Kunden Nr.]],KUNDEN!A:B,2,0)</f>
        <v>HIDRO DANI</v>
      </c>
      <c r="H3126" s="75">
        <v>35121</v>
      </c>
      <c r="I3126" s="76" t="str">
        <f>VLOOKUP(Tabelle2[[#This Row],[Artikel]],Produkte!A:B,2,0)</f>
        <v>M-ONE Sanitar Silikon</v>
      </c>
      <c r="J3126" s="75">
        <v>12</v>
      </c>
      <c r="K3126" s="76" t="str">
        <f>VLOOKUP(Tabelle2[[#This Row],[Kunden Nr.]],KUNDEN!A:G,7)</f>
        <v>Mensuri</v>
      </c>
      <c r="L3126" s="76">
        <f>VLOOKUP(Tabelle2[[#This Row],[Artikel]],Produkte!A:H,8)</f>
        <v>0.17</v>
      </c>
    </row>
    <row r="3127" spans="1:12" x14ac:dyDescent="0.2">
      <c r="A3127" s="75" t="s">
        <v>1232</v>
      </c>
      <c r="B3127" s="79">
        <v>46144</v>
      </c>
      <c r="C3127" s="75"/>
      <c r="D3127" s="75"/>
      <c r="E3127" s="75"/>
      <c r="F3127" s="75">
        <v>20630</v>
      </c>
      <c r="G3127" s="76" t="str">
        <f>VLOOKUP(Tabelle2[[#This Row],[Kunden Nr.]],KUNDEN!A:B,2,0)</f>
        <v>HIDRO DANI</v>
      </c>
      <c r="H3127" s="75">
        <v>49644</v>
      </c>
      <c r="I3127" s="76" t="str">
        <f>VLOOKUP(Tabelle2[[#This Row],[Artikel]],Produkte!A:B,2,0)</f>
        <v>beMAKER Rostlöser</v>
      </c>
      <c r="J3127" s="75">
        <v>3</v>
      </c>
      <c r="K3127" s="76" t="str">
        <f>VLOOKUP(Tabelle2[[#This Row],[Kunden Nr.]],KUNDEN!A:G,7)</f>
        <v>Mensuri</v>
      </c>
      <c r="L3127" s="76">
        <f>VLOOKUP(Tabelle2[[#This Row],[Artikel]],Produkte!A:H,8)</f>
        <v>0.2</v>
      </c>
    </row>
    <row r="3128" spans="1:12" x14ac:dyDescent="0.2">
      <c r="A3128" s="75" t="s">
        <v>1305</v>
      </c>
      <c r="B3128" s="79">
        <v>46144</v>
      </c>
      <c r="C3128" s="89">
        <v>159</v>
      </c>
      <c r="D3128" s="75"/>
      <c r="E3128" s="75"/>
      <c r="F3128" s="75">
        <v>20622</v>
      </c>
      <c r="G3128" s="76" t="str">
        <f>VLOOKUP(Tabelle2[[#This Row],[Kunden Nr.]],KUNDEN!A:B,2,0)</f>
        <v>ILIRI QERAMIKA</v>
      </c>
      <c r="H3128" s="75">
        <v>35109</v>
      </c>
      <c r="I3128" s="76" t="str">
        <f>VLOOKUP(Tabelle2[[#This Row],[Artikel]],Produkte!A:B,2,0)</f>
        <v>M-ONE Sanitar Silikon</v>
      </c>
      <c r="J3128" s="75">
        <v>12</v>
      </c>
      <c r="K3128" s="76" t="str">
        <f>VLOOKUP(Tabelle2[[#This Row],[Kunden Nr.]],KUNDEN!A:G,7)</f>
        <v>Mensuri</v>
      </c>
      <c r="L3128" s="76">
        <f>VLOOKUP(Tabelle2[[#This Row],[Artikel]],Produkte!A:H,8)</f>
        <v>0.17</v>
      </c>
    </row>
    <row r="3129" spans="1:12" x14ac:dyDescent="0.2">
      <c r="A3129" s="75" t="s">
        <v>1305</v>
      </c>
      <c r="B3129" s="79">
        <v>46144</v>
      </c>
      <c r="C3129" s="75"/>
      <c r="D3129" s="75"/>
      <c r="E3129" s="75"/>
      <c r="F3129" s="75">
        <v>20622</v>
      </c>
      <c r="G3129" s="76" t="str">
        <f>VLOOKUP(Tabelle2[[#This Row],[Kunden Nr.]],KUNDEN!A:B,2,0)</f>
        <v>ILIRI QERAMIKA</v>
      </c>
      <c r="H3129" s="75">
        <v>35110</v>
      </c>
      <c r="I3129" s="76" t="str">
        <f>VLOOKUP(Tabelle2[[#This Row],[Artikel]],Produkte!A:B,2,0)</f>
        <v>M-ONE Sanitar Silikon</v>
      </c>
      <c r="J3129" s="75">
        <v>12</v>
      </c>
      <c r="K3129" s="76" t="str">
        <f>VLOOKUP(Tabelle2[[#This Row],[Kunden Nr.]],KUNDEN!A:G,7)</f>
        <v>Mensuri</v>
      </c>
      <c r="L3129" s="76">
        <f>VLOOKUP(Tabelle2[[#This Row],[Artikel]],Produkte!A:H,8)</f>
        <v>0.17</v>
      </c>
    </row>
    <row r="3130" spans="1:12" x14ac:dyDescent="0.2">
      <c r="A3130" s="75" t="s">
        <v>1305</v>
      </c>
      <c r="B3130" s="79">
        <v>46144</v>
      </c>
      <c r="C3130" s="75"/>
      <c r="D3130" s="75"/>
      <c r="E3130" s="75"/>
      <c r="F3130" s="75">
        <v>20622</v>
      </c>
      <c r="G3130" s="76" t="str">
        <f>VLOOKUP(Tabelle2[[#This Row],[Kunden Nr.]],KUNDEN!A:B,2,0)</f>
        <v>ILIRI QERAMIKA</v>
      </c>
      <c r="H3130" s="75">
        <v>51611</v>
      </c>
      <c r="I3130" s="76" t="str">
        <f>VLOOKUP(Tabelle2[[#This Row],[Artikel]],Produkte!A:B,2,0)</f>
        <v>universal akryl</v>
      </c>
      <c r="J3130" s="75">
        <v>12</v>
      </c>
      <c r="K3130" s="76" t="str">
        <f>VLOOKUP(Tabelle2[[#This Row],[Kunden Nr.]],KUNDEN!A:G,7)</f>
        <v>Mensuri</v>
      </c>
      <c r="L3130" s="76">
        <f>VLOOKUP(Tabelle2[[#This Row],[Artikel]],Produkte!A:H,8)</f>
        <v>0.06</v>
      </c>
    </row>
    <row r="3131" spans="1:12" x14ac:dyDescent="0.2">
      <c r="A3131" s="75" t="s">
        <v>1305</v>
      </c>
      <c r="B3131" s="79">
        <v>46144</v>
      </c>
      <c r="C3131" s="75"/>
      <c r="D3131" s="75"/>
      <c r="E3131" s="75"/>
      <c r="F3131" s="75">
        <v>20622</v>
      </c>
      <c r="G3131" s="76" t="str">
        <f>VLOOKUP(Tabelle2[[#This Row],[Kunden Nr.]],KUNDEN!A:B,2,0)</f>
        <v>ILIRI QERAMIKA</v>
      </c>
      <c r="H3131" s="75">
        <v>35113</v>
      </c>
      <c r="I3131" s="76" t="str">
        <f>VLOOKUP(Tabelle2[[#This Row],[Artikel]],Produkte!A:B,2,0)</f>
        <v>M-ONE Sanitar Silikon</v>
      </c>
      <c r="J3131" s="75">
        <v>12</v>
      </c>
      <c r="K3131" s="76" t="str">
        <f>VLOOKUP(Tabelle2[[#This Row],[Kunden Nr.]],KUNDEN!A:G,7)</f>
        <v>Mensuri</v>
      </c>
      <c r="L3131" s="76">
        <f>VLOOKUP(Tabelle2[[#This Row],[Artikel]],Produkte!A:H,8)</f>
        <v>0.17</v>
      </c>
    </row>
    <row r="3132" spans="1:12" x14ac:dyDescent="0.2">
      <c r="A3132" s="75" t="s">
        <v>438</v>
      </c>
      <c r="B3132" s="79">
        <v>46144</v>
      </c>
      <c r="C3132" s="89">
        <v>524</v>
      </c>
      <c r="D3132" s="75"/>
      <c r="E3132" s="75"/>
      <c r="F3132" s="75">
        <v>20610</v>
      </c>
      <c r="G3132" s="76" t="str">
        <f>VLOOKUP(Tabelle2[[#This Row],[Kunden Nr.]],KUNDEN!A:B,2,0)</f>
        <v>AGRO-XHETI</v>
      </c>
      <c r="H3132" s="75">
        <v>35119</v>
      </c>
      <c r="I3132" s="76" t="str">
        <f>VLOOKUP(Tabelle2[[#This Row],[Artikel]],Produkte!A:B,2,0)</f>
        <v>M-ONE Sanitar Silikon</v>
      </c>
      <c r="J3132" s="75">
        <v>24</v>
      </c>
      <c r="K3132" s="76" t="str">
        <f>VLOOKUP(Tabelle2[[#This Row],[Kunden Nr.]],KUNDEN!A:G,7)</f>
        <v>Mensuri</v>
      </c>
      <c r="L3132" s="76">
        <f>VLOOKUP(Tabelle2[[#This Row],[Artikel]],Produkte!A:H,8)</f>
        <v>0.17</v>
      </c>
    </row>
    <row r="3133" spans="1:12" x14ac:dyDescent="0.2">
      <c r="A3133" s="75" t="s">
        <v>438</v>
      </c>
      <c r="B3133" s="79">
        <v>46144</v>
      </c>
      <c r="C3133" s="75"/>
      <c r="D3133" s="75"/>
      <c r="E3133" s="75"/>
      <c r="F3133" s="75">
        <v>20610</v>
      </c>
      <c r="G3133" s="76" t="str">
        <f>VLOOKUP(Tabelle2[[#This Row],[Kunden Nr.]],KUNDEN!A:B,2,0)</f>
        <v>AGRO-XHETI</v>
      </c>
      <c r="H3133" s="75">
        <v>35125</v>
      </c>
      <c r="I3133" s="76" t="str">
        <f>VLOOKUP(Tabelle2[[#This Row],[Artikel]],Produkte!A:B,2,0)</f>
        <v>M-ONE Sanitar Silikon</v>
      </c>
      <c r="J3133" s="75">
        <v>24</v>
      </c>
      <c r="K3133" s="76" t="str">
        <f>VLOOKUP(Tabelle2[[#This Row],[Kunden Nr.]],KUNDEN!A:G,7)</f>
        <v>Mensuri</v>
      </c>
      <c r="L3133" s="76">
        <f>VLOOKUP(Tabelle2[[#This Row],[Artikel]],Produkte!A:H,8)</f>
        <v>0.17</v>
      </c>
    </row>
    <row r="3134" spans="1:12" x14ac:dyDescent="0.2">
      <c r="A3134" s="75" t="s">
        <v>438</v>
      </c>
      <c r="B3134" s="79">
        <v>46144</v>
      </c>
      <c r="C3134" s="75"/>
      <c r="D3134" s="75"/>
      <c r="E3134" s="75"/>
      <c r="F3134" s="75">
        <v>20610</v>
      </c>
      <c r="G3134" s="76" t="str">
        <f>VLOOKUP(Tabelle2[[#This Row],[Kunden Nr.]],KUNDEN!A:B,2,0)</f>
        <v>AGRO-XHETI</v>
      </c>
      <c r="H3134" s="75">
        <v>35111</v>
      </c>
      <c r="I3134" s="76" t="str">
        <f>VLOOKUP(Tabelle2[[#This Row],[Artikel]],Produkte!A:B,2,0)</f>
        <v>M-ONE Sanitar Silikon</v>
      </c>
      <c r="J3134" s="75">
        <v>12</v>
      </c>
      <c r="K3134" s="76" t="str">
        <f>VLOOKUP(Tabelle2[[#This Row],[Kunden Nr.]],KUNDEN!A:G,7)</f>
        <v>Mensuri</v>
      </c>
      <c r="L3134" s="76">
        <f>VLOOKUP(Tabelle2[[#This Row],[Artikel]],Produkte!A:H,8)</f>
        <v>0.17</v>
      </c>
    </row>
    <row r="3135" spans="1:12" x14ac:dyDescent="0.2">
      <c r="A3135" s="75" t="s">
        <v>438</v>
      </c>
      <c r="B3135" s="79">
        <v>46144</v>
      </c>
      <c r="C3135" s="75"/>
      <c r="D3135" s="75"/>
      <c r="E3135" s="75"/>
      <c r="F3135" s="75">
        <v>20610</v>
      </c>
      <c r="G3135" s="76" t="str">
        <f>VLOOKUP(Tabelle2[[#This Row],[Kunden Nr.]],KUNDEN!A:B,2,0)</f>
        <v>AGRO-XHETI</v>
      </c>
      <c r="H3135" s="75">
        <v>35110</v>
      </c>
      <c r="I3135" s="76" t="str">
        <f>VLOOKUP(Tabelle2[[#This Row],[Artikel]],Produkte!A:B,2,0)</f>
        <v>M-ONE Sanitar Silikon</v>
      </c>
      <c r="J3135" s="75">
        <v>12</v>
      </c>
      <c r="K3135" s="76" t="str">
        <f>VLOOKUP(Tabelle2[[#This Row],[Kunden Nr.]],KUNDEN!A:G,7)</f>
        <v>Mensuri</v>
      </c>
      <c r="L3135" s="76">
        <f>VLOOKUP(Tabelle2[[#This Row],[Artikel]],Produkte!A:H,8)</f>
        <v>0.17</v>
      </c>
    </row>
    <row r="3136" spans="1:12" x14ac:dyDescent="0.2">
      <c r="A3136" s="75" t="s">
        <v>438</v>
      </c>
      <c r="B3136" s="79">
        <v>46144</v>
      </c>
      <c r="C3136" s="75"/>
      <c r="D3136" s="75"/>
      <c r="E3136" s="75"/>
      <c r="F3136" s="75">
        <v>20610</v>
      </c>
      <c r="G3136" s="76" t="str">
        <f>VLOOKUP(Tabelle2[[#This Row],[Kunden Nr.]],KUNDEN!A:B,2,0)</f>
        <v>AGRO-XHETI</v>
      </c>
      <c r="H3136" s="75">
        <v>35108</v>
      </c>
      <c r="I3136" s="76" t="str">
        <f>VLOOKUP(Tabelle2[[#This Row],[Artikel]],Produkte!A:B,2,0)</f>
        <v>M-ONE Sanitar Silikon</v>
      </c>
      <c r="J3136" s="75">
        <v>12</v>
      </c>
      <c r="K3136" s="76" t="str">
        <f>VLOOKUP(Tabelle2[[#This Row],[Kunden Nr.]],KUNDEN!A:G,7)</f>
        <v>Mensuri</v>
      </c>
      <c r="L3136" s="76">
        <f>VLOOKUP(Tabelle2[[#This Row],[Artikel]],Produkte!A:H,8)</f>
        <v>0.17</v>
      </c>
    </row>
    <row r="3137" spans="1:12" x14ac:dyDescent="0.2">
      <c r="A3137" s="75" t="s">
        <v>438</v>
      </c>
      <c r="B3137" s="79">
        <v>46144</v>
      </c>
      <c r="C3137" s="75"/>
      <c r="D3137" s="75"/>
      <c r="E3137" s="75"/>
      <c r="F3137" s="75">
        <v>20610</v>
      </c>
      <c r="G3137" s="76" t="str">
        <f>VLOOKUP(Tabelle2[[#This Row],[Kunden Nr.]],KUNDEN!A:B,2,0)</f>
        <v>AGRO-XHETI</v>
      </c>
      <c r="H3137" s="75">
        <v>35115</v>
      </c>
      <c r="I3137" s="76" t="str">
        <f>VLOOKUP(Tabelle2[[#This Row],[Artikel]],Produkte!A:B,2,0)</f>
        <v>M-ONE Sanitar Silikon</v>
      </c>
      <c r="J3137" s="75">
        <v>12</v>
      </c>
      <c r="K3137" s="76" t="str">
        <f>VLOOKUP(Tabelle2[[#This Row],[Kunden Nr.]],KUNDEN!A:G,7)</f>
        <v>Mensuri</v>
      </c>
      <c r="L3137" s="76">
        <f>VLOOKUP(Tabelle2[[#This Row],[Artikel]],Produkte!A:H,8)</f>
        <v>0.17</v>
      </c>
    </row>
    <row r="3138" spans="1:12" x14ac:dyDescent="0.2">
      <c r="A3138" s="75" t="s">
        <v>438</v>
      </c>
      <c r="B3138" s="79">
        <v>46144</v>
      </c>
      <c r="C3138" s="75"/>
      <c r="D3138" s="75"/>
      <c r="E3138" s="75"/>
      <c r="F3138" s="75">
        <v>20610</v>
      </c>
      <c r="G3138" s="76" t="str">
        <f>VLOOKUP(Tabelle2[[#This Row],[Kunden Nr.]],KUNDEN!A:B,2,0)</f>
        <v>AGRO-XHETI</v>
      </c>
      <c r="H3138" s="75">
        <v>35121</v>
      </c>
      <c r="I3138" s="76" t="str">
        <f>VLOOKUP(Tabelle2[[#This Row],[Artikel]],Produkte!A:B,2,0)</f>
        <v>M-ONE Sanitar Silikon</v>
      </c>
      <c r="J3138" s="75">
        <v>12</v>
      </c>
      <c r="K3138" s="76" t="str">
        <f>VLOOKUP(Tabelle2[[#This Row],[Kunden Nr.]],KUNDEN!A:G,7)</f>
        <v>Mensuri</v>
      </c>
      <c r="L3138" s="76">
        <f>VLOOKUP(Tabelle2[[#This Row],[Artikel]],Produkte!A:H,8)</f>
        <v>0.17</v>
      </c>
    </row>
    <row r="3139" spans="1:12" x14ac:dyDescent="0.2">
      <c r="A3139" s="75" t="s">
        <v>438</v>
      </c>
      <c r="B3139" s="79">
        <v>46144</v>
      </c>
      <c r="C3139" s="75"/>
      <c r="D3139" s="75"/>
      <c r="E3139" s="75"/>
      <c r="F3139" s="75">
        <v>20610</v>
      </c>
      <c r="G3139" s="76" t="str">
        <f>VLOOKUP(Tabelle2[[#This Row],[Kunden Nr.]],KUNDEN!A:B,2,0)</f>
        <v>AGRO-XHETI</v>
      </c>
      <c r="H3139" s="75">
        <v>35114</v>
      </c>
      <c r="I3139" s="76" t="str">
        <f>VLOOKUP(Tabelle2[[#This Row],[Artikel]],Produkte!A:B,2,0)</f>
        <v>M-ONE Sanitar Silikon</v>
      </c>
      <c r="J3139" s="75">
        <v>12</v>
      </c>
      <c r="K3139" s="76" t="str">
        <f>VLOOKUP(Tabelle2[[#This Row],[Kunden Nr.]],KUNDEN!A:G,7)</f>
        <v>Mensuri</v>
      </c>
      <c r="L3139" s="76">
        <f>VLOOKUP(Tabelle2[[#This Row],[Artikel]],Produkte!A:H,8)</f>
        <v>0.17</v>
      </c>
    </row>
    <row r="3140" spans="1:12" x14ac:dyDescent="0.2">
      <c r="A3140" s="75" t="s">
        <v>438</v>
      </c>
      <c r="B3140" s="79">
        <v>46144</v>
      </c>
      <c r="C3140" s="75"/>
      <c r="D3140" s="75"/>
      <c r="E3140" s="75"/>
      <c r="F3140" s="75">
        <v>20610</v>
      </c>
      <c r="G3140" s="76" t="str">
        <f>VLOOKUP(Tabelle2[[#This Row],[Kunden Nr.]],KUNDEN!A:B,2,0)</f>
        <v>AGRO-XHETI</v>
      </c>
      <c r="H3140" s="75">
        <v>56117</v>
      </c>
      <c r="I3140" s="76" t="str">
        <f>VLOOKUP(Tabelle2[[#This Row],[Artikel]],Produkte!A:B,2,0)</f>
        <v>M ONE UBS</v>
      </c>
      <c r="J3140" s="75">
        <v>11</v>
      </c>
      <c r="K3140" s="76" t="str">
        <f>VLOOKUP(Tabelle2[[#This Row],[Kunden Nr.]],KUNDEN!A:G,7)</f>
        <v>Mensuri</v>
      </c>
      <c r="L3140" s="76">
        <f>VLOOKUP(Tabelle2[[#This Row],[Artikel]],Produkte!A:H,8)</f>
        <v>0.2</v>
      </c>
    </row>
    <row r="3141" spans="1:12" x14ac:dyDescent="0.2">
      <c r="A3141" s="75" t="s">
        <v>1186</v>
      </c>
      <c r="B3141" s="79">
        <v>46144</v>
      </c>
      <c r="C3141" s="89">
        <v>432</v>
      </c>
      <c r="D3141" s="75"/>
      <c r="E3141" s="75"/>
      <c r="F3141" s="75">
        <v>20629</v>
      </c>
      <c r="G3141" s="76" t="str">
        <f>VLOOKUP(Tabelle2[[#This Row],[Kunden Nr.]],KUNDEN!A:B,2,0)</f>
        <v>LUTA QERAMIKA</v>
      </c>
      <c r="H3141" s="75">
        <v>35109</v>
      </c>
      <c r="I3141" s="76" t="str">
        <f>VLOOKUP(Tabelle2[[#This Row],[Artikel]],Produkte!A:B,2,0)</f>
        <v>M-ONE Sanitar Silikon</v>
      </c>
      <c r="J3141" s="75">
        <v>36</v>
      </c>
      <c r="K3141" s="76" t="str">
        <f>VLOOKUP(Tabelle2[[#This Row],[Kunden Nr.]],KUNDEN!A:G,7)</f>
        <v>Mensuri</v>
      </c>
      <c r="L3141" s="76">
        <f>VLOOKUP(Tabelle2[[#This Row],[Artikel]],Produkte!A:H,8)</f>
        <v>0.17</v>
      </c>
    </row>
    <row r="3142" spans="1:12" x14ac:dyDescent="0.2">
      <c r="A3142" s="75" t="s">
        <v>1186</v>
      </c>
      <c r="B3142" s="79">
        <v>46144</v>
      </c>
      <c r="C3142" s="75"/>
      <c r="D3142" s="75"/>
      <c r="E3142" s="75"/>
      <c r="F3142" s="75">
        <v>20629</v>
      </c>
      <c r="G3142" s="76" t="str">
        <f>VLOOKUP(Tabelle2[[#This Row],[Kunden Nr.]],KUNDEN!A:B,2,0)</f>
        <v>LUTA QERAMIKA</v>
      </c>
      <c r="H3142" s="75">
        <v>35115</v>
      </c>
      <c r="I3142" s="76" t="str">
        <f>VLOOKUP(Tabelle2[[#This Row],[Artikel]],Produkte!A:B,2,0)</f>
        <v>M-ONE Sanitar Silikon</v>
      </c>
      <c r="J3142" s="75">
        <v>36</v>
      </c>
      <c r="K3142" s="76" t="str">
        <f>VLOOKUP(Tabelle2[[#This Row],[Kunden Nr.]],KUNDEN!A:G,7)</f>
        <v>Mensuri</v>
      </c>
      <c r="L3142" s="76">
        <f>VLOOKUP(Tabelle2[[#This Row],[Artikel]],Produkte!A:H,8)</f>
        <v>0.17</v>
      </c>
    </row>
    <row r="3143" spans="1:12" x14ac:dyDescent="0.2">
      <c r="A3143" s="75" t="s">
        <v>1186</v>
      </c>
      <c r="B3143" s="79">
        <v>46144</v>
      </c>
      <c r="C3143" s="75"/>
      <c r="D3143" s="75"/>
      <c r="E3143" s="75"/>
      <c r="F3143" s="75">
        <v>20629</v>
      </c>
      <c r="G3143" s="76" t="str">
        <f>VLOOKUP(Tabelle2[[#This Row],[Kunden Nr.]],KUNDEN!A:B,2,0)</f>
        <v>LUTA QERAMIKA</v>
      </c>
      <c r="H3143" s="75">
        <v>35121</v>
      </c>
      <c r="I3143" s="76" t="str">
        <f>VLOOKUP(Tabelle2[[#This Row],[Artikel]],Produkte!A:B,2,0)</f>
        <v>M-ONE Sanitar Silikon</v>
      </c>
      <c r="J3143" s="75">
        <v>36</v>
      </c>
      <c r="K3143" s="76" t="str">
        <f>VLOOKUP(Tabelle2[[#This Row],[Kunden Nr.]],KUNDEN!A:G,7)</f>
        <v>Mensuri</v>
      </c>
      <c r="L3143" s="76">
        <f>VLOOKUP(Tabelle2[[#This Row],[Artikel]],Produkte!A:H,8)</f>
        <v>0.17</v>
      </c>
    </row>
    <row r="3144" spans="1:12" x14ac:dyDescent="0.2">
      <c r="A3144" s="75" t="s">
        <v>1257</v>
      </c>
      <c r="B3144" s="79">
        <v>46144</v>
      </c>
      <c r="C3144" s="89">
        <v>336</v>
      </c>
      <c r="D3144" s="75"/>
      <c r="E3144" s="75"/>
      <c r="F3144" s="75">
        <v>20632</v>
      </c>
      <c r="G3144" s="76" t="str">
        <f>VLOOKUP(Tabelle2[[#This Row],[Kunden Nr.]],KUNDEN!A:B,2,0)</f>
        <v>GLOBAL TOOLS</v>
      </c>
      <c r="H3144" s="75">
        <v>35125</v>
      </c>
      <c r="I3144" s="76" t="str">
        <f>VLOOKUP(Tabelle2[[#This Row],[Artikel]],Produkte!A:B,2,0)</f>
        <v>M-ONE Sanitar Silikon</v>
      </c>
      <c r="J3144" s="75">
        <v>24</v>
      </c>
      <c r="K3144" s="76" t="str">
        <f>VLOOKUP(Tabelle2[[#This Row],[Kunden Nr.]],KUNDEN!A:G,7)</f>
        <v>Mensuri</v>
      </c>
      <c r="L3144" s="76">
        <f>VLOOKUP(Tabelle2[[#This Row],[Artikel]],Produkte!A:H,8)</f>
        <v>0.17</v>
      </c>
    </row>
    <row r="3145" spans="1:12" x14ac:dyDescent="0.2">
      <c r="A3145" s="75" t="s">
        <v>1257</v>
      </c>
      <c r="B3145" s="79">
        <v>46144</v>
      </c>
      <c r="C3145" s="75"/>
      <c r="D3145" s="75"/>
      <c r="E3145" s="75"/>
      <c r="F3145" s="75">
        <v>20632</v>
      </c>
      <c r="G3145" s="76" t="str">
        <f>VLOOKUP(Tabelle2[[#This Row],[Kunden Nr.]],KUNDEN!A:B,2,0)</f>
        <v>GLOBAL TOOLS</v>
      </c>
      <c r="H3145" s="75">
        <v>35113</v>
      </c>
      <c r="I3145" s="76" t="str">
        <f>VLOOKUP(Tabelle2[[#This Row],[Artikel]],Produkte!A:B,2,0)</f>
        <v>M-ONE Sanitar Silikon</v>
      </c>
      <c r="J3145" s="75">
        <v>24</v>
      </c>
      <c r="K3145" s="76" t="str">
        <f>VLOOKUP(Tabelle2[[#This Row],[Kunden Nr.]],KUNDEN!A:G,7)</f>
        <v>Mensuri</v>
      </c>
      <c r="L3145" s="76">
        <f>VLOOKUP(Tabelle2[[#This Row],[Artikel]],Produkte!A:H,8)</f>
        <v>0.17</v>
      </c>
    </row>
    <row r="3146" spans="1:12" x14ac:dyDescent="0.2">
      <c r="A3146" s="75" t="s">
        <v>1257</v>
      </c>
      <c r="B3146" s="79">
        <v>46144</v>
      </c>
      <c r="C3146" s="75"/>
      <c r="D3146" s="75"/>
      <c r="E3146" s="75"/>
      <c r="F3146" s="75">
        <v>20632</v>
      </c>
      <c r="G3146" s="76" t="str">
        <f>VLOOKUP(Tabelle2[[#This Row],[Kunden Nr.]],KUNDEN!A:B,2,0)</f>
        <v>GLOBAL TOOLS</v>
      </c>
      <c r="H3146" s="75">
        <v>35114</v>
      </c>
      <c r="I3146" s="76" t="str">
        <f>VLOOKUP(Tabelle2[[#This Row],[Artikel]],Produkte!A:B,2,0)</f>
        <v>M-ONE Sanitar Silikon</v>
      </c>
      <c r="J3146" s="75">
        <v>12</v>
      </c>
      <c r="K3146" s="76" t="str">
        <f>VLOOKUP(Tabelle2[[#This Row],[Kunden Nr.]],KUNDEN!A:G,7)</f>
        <v>Mensuri</v>
      </c>
      <c r="L3146" s="76">
        <f>VLOOKUP(Tabelle2[[#This Row],[Artikel]],Produkte!A:H,8)</f>
        <v>0.17</v>
      </c>
    </row>
    <row r="3147" spans="1:12" x14ac:dyDescent="0.2">
      <c r="A3147" s="75" t="s">
        <v>1257</v>
      </c>
      <c r="B3147" s="79">
        <v>46144</v>
      </c>
      <c r="C3147" s="75"/>
      <c r="D3147" s="75"/>
      <c r="E3147" s="75"/>
      <c r="F3147" s="75">
        <v>20632</v>
      </c>
      <c r="G3147" s="76" t="str">
        <f>VLOOKUP(Tabelle2[[#This Row],[Kunden Nr.]],KUNDEN!A:B,2,0)</f>
        <v>GLOBAL TOOLS</v>
      </c>
      <c r="H3147" s="75">
        <v>35119</v>
      </c>
      <c r="I3147" s="76" t="str">
        <f>VLOOKUP(Tabelle2[[#This Row],[Artikel]],Produkte!A:B,2,0)</f>
        <v>M-ONE Sanitar Silikon</v>
      </c>
      <c r="J3147" s="75">
        <v>12</v>
      </c>
      <c r="K3147" s="76" t="str">
        <f>VLOOKUP(Tabelle2[[#This Row],[Kunden Nr.]],KUNDEN!A:G,7)</f>
        <v>Mensuri</v>
      </c>
      <c r="L3147" s="76">
        <f>VLOOKUP(Tabelle2[[#This Row],[Artikel]],Produkte!A:H,8)</f>
        <v>0.17</v>
      </c>
    </row>
    <row r="3148" spans="1:12" x14ac:dyDescent="0.2">
      <c r="A3148" s="75" t="s">
        <v>1257</v>
      </c>
      <c r="B3148" s="79">
        <v>46144</v>
      </c>
      <c r="C3148" s="75"/>
      <c r="D3148" s="75"/>
      <c r="E3148" s="75"/>
      <c r="F3148" s="75">
        <v>20632</v>
      </c>
      <c r="G3148" s="76" t="str">
        <f>VLOOKUP(Tabelle2[[#This Row],[Kunden Nr.]],KUNDEN!A:B,2,0)</f>
        <v>GLOBAL TOOLS</v>
      </c>
      <c r="H3148" s="75">
        <v>35121</v>
      </c>
      <c r="I3148" s="76" t="str">
        <f>VLOOKUP(Tabelle2[[#This Row],[Artikel]],Produkte!A:B,2,0)</f>
        <v>M-ONE Sanitar Silikon</v>
      </c>
      <c r="J3148" s="75">
        <v>12</v>
      </c>
      <c r="K3148" s="76" t="str">
        <f>VLOOKUP(Tabelle2[[#This Row],[Kunden Nr.]],KUNDEN!A:G,7)</f>
        <v>Mensuri</v>
      </c>
      <c r="L3148" s="76">
        <f>VLOOKUP(Tabelle2[[#This Row],[Artikel]],Produkte!A:H,8)</f>
        <v>0.17</v>
      </c>
    </row>
    <row r="3149" spans="1:12" x14ac:dyDescent="0.2">
      <c r="A3149" s="75" t="s">
        <v>974</v>
      </c>
      <c r="B3149" s="79">
        <v>46144</v>
      </c>
      <c r="C3149" s="89">
        <v>336</v>
      </c>
      <c r="D3149" s="75"/>
      <c r="E3149" s="75"/>
      <c r="F3149" s="75">
        <v>20614</v>
      </c>
      <c r="G3149" s="76" t="str">
        <f>VLOOKUP(Tabelle2[[#This Row],[Kunden Nr.]],KUNDEN!A:B,2,0)</f>
        <v>AS QERAMIKA</v>
      </c>
      <c r="H3149" s="75">
        <v>35110</v>
      </c>
      <c r="I3149" s="76" t="str">
        <f>VLOOKUP(Tabelle2[[#This Row],[Artikel]],Produkte!A:B,2,0)</f>
        <v>M-ONE Sanitar Silikon</v>
      </c>
      <c r="J3149" s="75">
        <v>24</v>
      </c>
      <c r="K3149" s="76" t="str">
        <f>VLOOKUP(Tabelle2[[#This Row],[Kunden Nr.]],KUNDEN!A:G,7)</f>
        <v>Mensuri</v>
      </c>
      <c r="L3149" s="76">
        <f>VLOOKUP(Tabelle2[[#This Row],[Artikel]],Produkte!A:H,8)</f>
        <v>0.17</v>
      </c>
    </row>
    <row r="3150" spans="1:12" x14ac:dyDescent="0.2">
      <c r="A3150" s="75" t="s">
        <v>974</v>
      </c>
      <c r="B3150" s="79">
        <v>46144</v>
      </c>
      <c r="C3150" s="75"/>
      <c r="D3150" s="75"/>
      <c r="E3150" s="75"/>
      <c r="F3150" s="75">
        <v>20614</v>
      </c>
      <c r="G3150" s="76" t="str">
        <f>VLOOKUP(Tabelle2[[#This Row],[Kunden Nr.]],KUNDEN!A:B,2,0)</f>
        <v>AS QERAMIKA</v>
      </c>
      <c r="H3150" s="75">
        <v>35111</v>
      </c>
      <c r="I3150" s="76" t="str">
        <f>VLOOKUP(Tabelle2[[#This Row],[Artikel]],Produkte!A:B,2,0)</f>
        <v>M-ONE Sanitar Silikon</v>
      </c>
      <c r="J3150" s="75">
        <v>24</v>
      </c>
      <c r="K3150" s="76" t="str">
        <f>VLOOKUP(Tabelle2[[#This Row],[Kunden Nr.]],KUNDEN!A:G,7)</f>
        <v>Mensuri</v>
      </c>
      <c r="L3150" s="76">
        <f>VLOOKUP(Tabelle2[[#This Row],[Artikel]],Produkte!A:H,8)</f>
        <v>0.17</v>
      </c>
    </row>
    <row r="3151" spans="1:12" x14ac:dyDescent="0.2">
      <c r="A3151" s="75" t="s">
        <v>974</v>
      </c>
      <c r="B3151" s="79">
        <v>46144</v>
      </c>
      <c r="C3151" s="75"/>
      <c r="D3151" s="75"/>
      <c r="E3151" s="75"/>
      <c r="F3151" s="75">
        <v>20614</v>
      </c>
      <c r="G3151" s="76" t="str">
        <f>VLOOKUP(Tabelle2[[#This Row],[Kunden Nr.]],KUNDEN!A:B,2,0)</f>
        <v>AS QERAMIKA</v>
      </c>
      <c r="H3151" s="75">
        <v>35128</v>
      </c>
      <c r="I3151" s="76" t="str">
        <f>VLOOKUP(Tabelle2[[#This Row],[Artikel]],Produkte!A:B,2,0)</f>
        <v>M-ONE Sanitar Silikon</v>
      </c>
      <c r="J3151" s="75">
        <v>36</v>
      </c>
      <c r="K3151" s="76" t="str">
        <f>VLOOKUP(Tabelle2[[#This Row],[Kunden Nr.]],KUNDEN!A:G,7)</f>
        <v>Mensuri</v>
      </c>
      <c r="L3151" s="76">
        <f>VLOOKUP(Tabelle2[[#This Row],[Artikel]],Produkte!A:H,8)</f>
        <v>0.17</v>
      </c>
    </row>
    <row r="3152" spans="1:12" x14ac:dyDescent="0.2">
      <c r="A3152" s="75" t="s">
        <v>434</v>
      </c>
      <c r="B3152" s="79">
        <v>46144</v>
      </c>
      <c r="C3152" s="89">
        <v>67</v>
      </c>
      <c r="D3152" s="75"/>
      <c r="E3152" s="75"/>
      <c r="F3152" s="75">
        <v>20606</v>
      </c>
      <c r="G3152" s="76" t="str">
        <f>VLOOKUP(Tabelle2[[#This Row],[Kunden Nr.]],KUNDEN!A:B,2,0)</f>
        <v>TE-SYLA</v>
      </c>
      <c r="H3152" s="75">
        <v>35111</v>
      </c>
      <c r="I3152" s="76" t="str">
        <f>VLOOKUP(Tabelle2[[#This Row],[Artikel]],Produkte!A:B,2,0)</f>
        <v>M-ONE Sanitar Silikon</v>
      </c>
      <c r="J3152" s="75">
        <v>12</v>
      </c>
      <c r="K3152" s="76" t="str">
        <f>VLOOKUP(Tabelle2[[#This Row],[Kunden Nr.]],KUNDEN!A:G,7)</f>
        <v>Mensuri</v>
      </c>
      <c r="L3152" s="76">
        <f>VLOOKUP(Tabelle2[[#This Row],[Artikel]],Produkte!A:H,8)</f>
        <v>0.17</v>
      </c>
    </row>
    <row r="3153" spans="1:12" x14ac:dyDescent="0.2">
      <c r="A3153" s="75" t="s">
        <v>434</v>
      </c>
      <c r="B3153" s="79">
        <v>46144</v>
      </c>
      <c r="C3153" s="75"/>
      <c r="D3153" s="75"/>
      <c r="E3153" s="75"/>
      <c r="F3153" s="75">
        <v>20606</v>
      </c>
      <c r="G3153" s="76" t="str">
        <f>VLOOKUP(Tabelle2[[#This Row],[Kunden Nr.]],KUNDEN!A:B,2,0)</f>
        <v>TE-SYLA</v>
      </c>
      <c r="H3153" s="75">
        <v>44001</v>
      </c>
      <c r="I3153" s="76" t="str">
        <f>VLOOKUP(Tabelle2[[#This Row],[Artikel]],Produkte!A:B,2,0)</f>
        <v>Fettspray</v>
      </c>
      <c r="J3153" s="75">
        <v>2</v>
      </c>
      <c r="K3153" s="76" t="str">
        <f>VLOOKUP(Tabelle2[[#This Row],[Kunden Nr.]],KUNDEN!A:G,7)</f>
        <v>Mensuri</v>
      </c>
      <c r="L3153" s="76">
        <f>VLOOKUP(Tabelle2[[#This Row],[Artikel]],Produkte!A:H,8)</f>
        <v>0.2</v>
      </c>
    </row>
    <row r="3154" spans="1:12" x14ac:dyDescent="0.2">
      <c r="A3154" s="75" t="s">
        <v>434</v>
      </c>
      <c r="B3154" s="79">
        <v>46144</v>
      </c>
      <c r="C3154" s="75"/>
      <c r="D3154" s="75"/>
      <c r="E3154" s="75"/>
      <c r="F3154" s="75">
        <v>20606</v>
      </c>
      <c r="G3154" s="76" t="str">
        <f>VLOOKUP(Tabelle2[[#This Row],[Kunden Nr.]],KUNDEN!A:B,2,0)</f>
        <v>TE-SYLA</v>
      </c>
      <c r="H3154" s="75">
        <v>55718</v>
      </c>
      <c r="I3154" s="76" t="str">
        <f>VLOOKUP(Tabelle2[[#This Row],[Artikel]],Produkte!A:B,2,0)</f>
        <v>M ONE MOTORSTART</v>
      </c>
      <c r="J3154" s="75">
        <v>2</v>
      </c>
      <c r="K3154" s="76" t="str">
        <f>VLOOKUP(Tabelle2[[#This Row],[Kunden Nr.]],KUNDEN!A:G,7)</f>
        <v>Mensuri</v>
      </c>
      <c r="L3154" s="76">
        <f>VLOOKUP(Tabelle2[[#This Row],[Artikel]],Produkte!A:H,8)</f>
        <v>0.2</v>
      </c>
    </row>
    <row r="3155" spans="1:12" x14ac:dyDescent="0.2">
      <c r="A3155" s="75" t="s">
        <v>434</v>
      </c>
      <c r="B3155" s="79">
        <v>46144</v>
      </c>
      <c r="C3155" s="75"/>
      <c r="D3155" s="75"/>
      <c r="E3155" s="75"/>
      <c r="F3155" s="75">
        <v>20606</v>
      </c>
      <c r="G3155" s="76" t="str">
        <f>VLOOKUP(Tabelle2[[#This Row],[Kunden Nr.]],KUNDEN!A:B,2,0)</f>
        <v>TE-SYLA</v>
      </c>
      <c r="H3155" s="75">
        <v>16936</v>
      </c>
      <c r="I3155" s="76" t="str">
        <f>VLOOKUP(Tabelle2[[#This Row],[Artikel]],Produkte!A:B,2,0)</f>
        <v>M ONE FELGENSILBER</v>
      </c>
      <c r="J3155" s="75">
        <v>2</v>
      </c>
      <c r="K3155" s="76" t="str">
        <f>VLOOKUP(Tabelle2[[#This Row],[Kunden Nr.]],KUNDEN!A:G,7)</f>
        <v>Mensuri</v>
      </c>
      <c r="L3155" s="76">
        <f>VLOOKUP(Tabelle2[[#This Row],[Artikel]],Produkte!A:H,8)</f>
        <v>0.15</v>
      </c>
    </row>
    <row r="3156" spans="1:12" x14ac:dyDescent="0.2">
      <c r="A3156" s="75" t="s">
        <v>1171</v>
      </c>
      <c r="B3156" s="79">
        <v>46144</v>
      </c>
      <c r="C3156" s="89">
        <v>144</v>
      </c>
      <c r="D3156" s="75"/>
      <c r="E3156" s="75"/>
      <c r="F3156" s="75">
        <v>20627</v>
      </c>
      <c r="G3156" s="76" t="str">
        <f>VLOOKUP(Tabelle2[[#This Row],[Kunden Nr.]],KUNDEN!A:B,2,0)</f>
        <v>UNIKA</v>
      </c>
      <c r="H3156" s="75">
        <v>35108</v>
      </c>
      <c r="I3156" s="76" t="str">
        <f>VLOOKUP(Tabelle2[[#This Row],[Artikel]],Produkte!A:B,2,0)</f>
        <v>M-ONE Sanitar Silikon</v>
      </c>
      <c r="J3156" s="75">
        <v>24</v>
      </c>
      <c r="K3156" s="76" t="str">
        <f>VLOOKUP(Tabelle2[[#This Row],[Kunden Nr.]],KUNDEN!A:G,7)</f>
        <v>Mensuri</v>
      </c>
      <c r="L3156" s="76">
        <f>VLOOKUP(Tabelle2[[#This Row],[Artikel]],Produkte!A:H,8)</f>
        <v>0.17</v>
      </c>
    </row>
    <row r="3157" spans="1:12" x14ac:dyDescent="0.2">
      <c r="A3157" s="75" t="s">
        <v>1171</v>
      </c>
      <c r="B3157" s="79">
        <v>46144</v>
      </c>
      <c r="C3157" s="75"/>
      <c r="D3157" s="75"/>
      <c r="E3157" s="75"/>
      <c r="F3157" s="75">
        <v>20627</v>
      </c>
      <c r="G3157" s="76" t="str">
        <f>VLOOKUP(Tabelle2[[#This Row],[Kunden Nr.]],KUNDEN!A:B,2,0)</f>
        <v>UNIKA</v>
      </c>
      <c r="H3157" s="75">
        <v>35115</v>
      </c>
      <c r="I3157" s="76" t="str">
        <f>VLOOKUP(Tabelle2[[#This Row],[Artikel]],Produkte!A:B,2,0)</f>
        <v>M-ONE Sanitar Silikon</v>
      </c>
      <c r="J3157" s="75">
        <v>12</v>
      </c>
      <c r="K3157" s="76" t="str">
        <f>VLOOKUP(Tabelle2[[#This Row],[Kunden Nr.]],KUNDEN!A:G,7)</f>
        <v>Mensuri</v>
      </c>
      <c r="L3157" s="76">
        <f>VLOOKUP(Tabelle2[[#This Row],[Artikel]],Produkte!A:H,8)</f>
        <v>0.17</v>
      </c>
    </row>
    <row r="3158" spans="1:12" x14ac:dyDescent="0.2">
      <c r="A3158" s="75" t="s">
        <v>566</v>
      </c>
      <c r="B3158" s="79">
        <v>46146</v>
      </c>
      <c r="C3158" s="89">
        <v>96</v>
      </c>
      <c r="D3158" s="75"/>
      <c r="E3158" s="75"/>
      <c r="F3158" s="75">
        <v>10104</v>
      </c>
      <c r="G3158" s="76" t="str">
        <f>VLOOKUP(Tabelle2[[#This Row],[Kunden Nr.]],KUNDEN!A:B,2,0)</f>
        <v>JETARI</v>
      </c>
      <c r="H3158" s="75">
        <v>35115</v>
      </c>
      <c r="I3158" s="76" t="str">
        <f>VLOOKUP(Tabelle2[[#This Row],[Artikel]],Produkte!A:B,2,0)</f>
        <v>M-ONE Sanitar Silikon</v>
      </c>
      <c r="J3158" s="75">
        <v>12</v>
      </c>
      <c r="K3158" s="76" t="str">
        <f>VLOOKUP(Tabelle2[[#This Row],[Kunden Nr.]],KUNDEN!A:G,7)</f>
        <v>Qerimi</v>
      </c>
      <c r="L3158" s="76">
        <f>VLOOKUP(Tabelle2[[#This Row],[Artikel]],Produkte!A:H,8)</f>
        <v>0.17</v>
      </c>
    </row>
    <row r="3159" spans="1:12" x14ac:dyDescent="0.2">
      <c r="A3159" s="75" t="s">
        <v>566</v>
      </c>
      <c r="B3159" s="79">
        <v>46146</v>
      </c>
      <c r="C3159" s="75"/>
      <c r="D3159" s="75"/>
      <c r="E3159" s="75"/>
      <c r="F3159" s="75">
        <v>10104</v>
      </c>
      <c r="G3159" s="76" t="str">
        <f>VLOOKUP(Tabelle2[[#This Row],[Kunden Nr.]],KUNDEN!A:B,2,0)</f>
        <v>JETARI</v>
      </c>
      <c r="H3159" s="75">
        <v>35125</v>
      </c>
      <c r="I3159" s="76" t="str">
        <f>VLOOKUP(Tabelle2[[#This Row],[Artikel]],Produkte!A:B,2,0)</f>
        <v>M-ONE Sanitar Silikon</v>
      </c>
      <c r="J3159" s="75">
        <v>12</v>
      </c>
      <c r="K3159" s="76" t="str">
        <f>VLOOKUP(Tabelle2[[#This Row],[Kunden Nr.]],KUNDEN!A:G,7)</f>
        <v>Qerimi</v>
      </c>
      <c r="L3159" s="76">
        <f>VLOOKUP(Tabelle2[[#This Row],[Artikel]],Produkte!A:H,8)</f>
        <v>0.17</v>
      </c>
    </row>
    <row r="3160" spans="1:12" x14ac:dyDescent="0.2">
      <c r="A3160" s="75" t="s">
        <v>588</v>
      </c>
      <c r="B3160" s="79">
        <v>46146</v>
      </c>
      <c r="C3160" s="89">
        <v>86.2</v>
      </c>
      <c r="D3160" s="75"/>
      <c r="E3160" s="75"/>
      <c r="F3160" s="75">
        <v>10126</v>
      </c>
      <c r="G3160" s="76" t="str">
        <f>VLOOKUP(Tabelle2[[#This Row],[Kunden Nr.]],KUNDEN!A:B,2,0)</f>
        <v>BOSCH</v>
      </c>
      <c r="H3160" s="75">
        <v>50912</v>
      </c>
      <c r="I3160" s="76" t="str">
        <f>VLOOKUP(Tabelle2[[#This Row],[Artikel]],Produkte!A:B,2,0)</f>
        <v>DICHTUNG</v>
      </c>
      <c r="J3160" s="75">
        <v>12</v>
      </c>
      <c r="K3160" s="76" t="str">
        <f>VLOOKUP(Tabelle2[[#This Row],[Kunden Nr.]],KUNDEN!A:G,7)</f>
        <v>Qerimi</v>
      </c>
      <c r="L3160" s="76">
        <f>VLOOKUP(Tabelle2[[#This Row],[Artikel]],Produkte!A:H,8)</f>
        <v>0.2</v>
      </c>
    </row>
    <row r="3161" spans="1:12" x14ac:dyDescent="0.2">
      <c r="A3161" s="75" t="s">
        <v>565</v>
      </c>
      <c r="B3161" s="79">
        <v>46146</v>
      </c>
      <c r="C3161" s="89">
        <v>39</v>
      </c>
      <c r="D3161" s="75"/>
      <c r="E3161" s="75"/>
      <c r="F3161" s="75">
        <v>10103</v>
      </c>
      <c r="G3161" s="76" t="str">
        <f>VLOOKUP(Tabelle2[[#This Row],[Kunden Nr.]],KUNDEN!A:B,2,0)</f>
        <v>BESI COM</v>
      </c>
      <c r="H3161" s="75">
        <v>44001</v>
      </c>
      <c r="I3161" s="76" t="str">
        <f>VLOOKUP(Tabelle2[[#This Row],[Artikel]],Produkte!A:B,2,0)</f>
        <v>Fettspray</v>
      </c>
      <c r="J3161" s="75">
        <v>6</v>
      </c>
      <c r="K3161" s="76" t="str">
        <f>VLOOKUP(Tabelle2[[#This Row],[Kunden Nr.]],KUNDEN!A:G,7)</f>
        <v>Qerimi</v>
      </c>
      <c r="L3161" s="76">
        <f>VLOOKUP(Tabelle2[[#This Row],[Artikel]],Produkte!A:H,8)</f>
        <v>0.2</v>
      </c>
    </row>
    <row r="3162" spans="1:12" x14ac:dyDescent="0.2">
      <c r="A3162" s="75" t="s">
        <v>565</v>
      </c>
      <c r="B3162" s="79">
        <v>46146</v>
      </c>
      <c r="C3162" s="75"/>
      <c r="D3162" s="75"/>
      <c r="E3162" s="75"/>
      <c r="F3162" s="75">
        <v>10103</v>
      </c>
      <c r="G3162" s="76" t="str">
        <f>VLOOKUP(Tabelle2[[#This Row],[Kunden Nr.]],KUNDEN!A:B,2,0)</f>
        <v>BESI COM</v>
      </c>
      <c r="H3162" s="75">
        <v>26736</v>
      </c>
      <c r="I3162" s="76" t="str">
        <f>VLOOKUP(Tabelle2[[#This Row],[Artikel]],Produkte!A:B,2,0)</f>
        <v>M ONE HAFTGRUND</v>
      </c>
      <c r="J3162" s="75">
        <v>3</v>
      </c>
      <c r="K3162" s="76" t="str">
        <f>VLOOKUP(Tabelle2[[#This Row],[Kunden Nr.]],KUNDEN!A:G,7)</f>
        <v>Qerimi</v>
      </c>
      <c r="L3162" s="76">
        <f>VLOOKUP(Tabelle2[[#This Row],[Artikel]],Produkte!A:H,8)</f>
        <v>0.15</v>
      </c>
    </row>
    <row r="3163" spans="1:12" x14ac:dyDescent="0.2">
      <c r="A3163" s="75" t="s">
        <v>565</v>
      </c>
      <c r="B3163" s="79">
        <v>46146</v>
      </c>
      <c r="C3163" s="75"/>
      <c r="D3163" s="75"/>
      <c r="E3163" s="75"/>
      <c r="F3163" s="75">
        <v>10103</v>
      </c>
      <c r="G3163" s="76" t="str">
        <f>VLOOKUP(Tabelle2[[#This Row],[Kunden Nr.]],KUNDEN!A:B,2,0)</f>
        <v>BESI COM</v>
      </c>
      <c r="H3163" s="75">
        <v>49644</v>
      </c>
      <c r="I3163" s="76" t="str">
        <f>VLOOKUP(Tabelle2[[#This Row],[Artikel]],Produkte!A:B,2,0)</f>
        <v>beMAKER Rostlöser</v>
      </c>
      <c r="J3163" s="75">
        <v>6</v>
      </c>
      <c r="K3163" s="76" t="str">
        <f>VLOOKUP(Tabelle2[[#This Row],[Kunden Nr.]],KUNDEN!A:G,7)</f>
        <v>Qerimi</v>
      </c>
      <c r="L3163" s="76">
        <f>VLOOKUP(Tabelle2[[#This Row],[Artikel]],Produkte!A:H,8)</f>
        <v>0.2</v>
      </c>
    </row>
    <row r="3164" spans="1:12" x14ac:dyDescent="0.2">
      <c r="A3164" s="75" t="s">
        <v>576</v>
      </c>
      <c r="B3164" s="79">
        <v>46146</v>
      </c>
      <c r="C3164" s="89">
        <v>96</v>
      </c>
      <c r="D3164" s="75"/>
      <c r="E3164" s="75"/>
      <c r="F3164" s="75">
        <v>10114</v>
      </c>
      <c r="G3164" s="76" t="str">
        <f>VLOOKUP(Tabelle2[[#This Row],[Kunden Nr.]],KUNDEN!A:B,2,0)</f>
        <v>QELA</v>
      </c>
      <c r="H3164" s="75">
        <v>35110</v>
      </c>
      <c r="I3164" s="76" t="str">
        <f>VLOOKUP(Tabelle2[[#This Row],[Artikel]],Produkte!A:B,2,0)</f>
        <v>M-ONE Sanitar Silikon</v>
      </c>
      <c r="J3164" s="75">
        <v>12</v>
      </c>
      <c r="K3164" s="76" t="str">
        <f>VLOOKUP(Tabelle2[[#This Row],[Kunden Nr.]],KUNDEN!A:G,7)</f>
        <v>Qerimi</v>
      </c>
      <c r="L3164" s="76">
        <f>VLOOKUP(Tabelle2[[#This Row],[Artikel]],Produkte!A:H,8)</f>
        <v>0.17</v>
      </c>
    </row>
    <row r="3165" spans="1:12" x14ac:dyDescent="0.2">
      <c r="A3165" s="75" t="s">
        <v>576</v>
      </c>
      <c r="B3165" s="79">
        <v>46146</v>
      </c>
      <c r="C3165" s="75"/>
      <c r="D3165" s="75"/>
      <c r="E3165" s="75"/>
      <c r="F3165" s="75">
        <v>10114</v>
      </c>
      <c r="G3165" s="76" t="str">
        <f>VLOOKUP(Tabelle2[[#This Row],[Kunden Nr.]],KUNDEN!A:B,2,0)</f>
        <v>QELA</v>
      </c>
      <c r="H3165" s="75">
        <v>35108</v>
      </c>
      <c r="I3165" s="76" t="str">
        <f>VLOOKUP(Tabelle2[[#This Row],[Artikel]],Produkte!A:B,2,0)</f>
        <v>M-ONE Sanitar Silikon</v>
      </c>
      <c r="J3165" s="75">
        <v>12</v>
      </c>
      <c r="K3165" s="76" t="str">
        <f>VLOOKUP(Tabelle2[[#This Row],[Kunden Nr.]],KUNDEN!A:G,7)</f>
        <v>Qerimi</v>
      </c>
      <c r="L3165" s="76">
        <f>VLOOKUP(Tabelle2[[#This Row],[Artikel]],Produkte!A:H,8)</f>
        <v>0.17</v>
      </c>
    </row>
    <row r="3166" spans="1:12" x14ac:dyDescent="0.2">
      <c r="A3166" s="75" t="s">
        <v>573</v>
      </c>
      <c r="B3166" s="79">
        <v>46146</v>
      </c>
      <c r="C3166" s="89">
        <v>140.80000000000001</v>
      </c>
      <c r="D3166" s="75"/>
      <c r="E3166" s="75"/>
      <c r="F3166" s="75">
        <v>10111</v>
      </c>
      <c r="G3166" s="76" t="str">
        <f>VLOOKUP(Tabelle2[[#This Row],[Kunden Nr.]],KUNDEN!A:B,2,0)</f>
        <v>KADIJOLLET</v>
      </c>
      <c r="H3166" s="75">
        <v>35128</v>
      </c>
      <c r="I3166" s="76" t="str">
        <f>VLOOKUP(Tabelle2[[#This Row],[Artikel]],Produkte!A:B,2,0)</f>
        <v>M-ONE Sanitar Silikon</v>
      </c>
      <c r="J3166" s="75">
        <v>12</v>
      </c>
      <c r="K3166" s="76" t="str">
        <f>VLOOKUP(Tabelle2[[#This Row],[Kunden Nr.]],KUNDEN!A:G,7)</f>
        <v>Qerimi</v>
      </c>
      <c r="L3166" s="76">
        <f>VLOOKUP(Tabelle2[[#This Row],[Artikel]],Produkte!A:H,8)</f>
        <v>0.17</v>
      </c>
    </row>
    <row r="3167" spans="1:12" x14ac:dyDescent="0.2">
      <c r="A3167" s="75" t="s">
        <v>573</v>
      </c>
      <c r="B3167" s="79">
        <v>46146</v>
      </c>
      <c r="C3167" s="75"/>
      <c r="D3167" s="75"/>
      <c r="E3167" s="75"/>
      <c r="F3167" s="75">
        <v>10111</v>
      </c>
      <c r="G3167" s="76" t="str">
        <f>VLOOKUP(Tabelle2[[#This Row],[Kunden Nr.]],KUNDEN!A:B,2,0)</f>
        <v>KADIJOLLET</v>
      </c>
      <c r="H3167" s="75">
        <v>35125</v>
      </c>
      <c r="I3167" s="76" t="str">
        <f>VLOOKUP(Tabelle2[[#This Row],[Artikel]],Produkte!A:B,2,0)</f>
        <v>M-ONE Sanitar Silikon</v>
      </c>
      <c r="J3167" s="75">
        <v>12</v>
      </c>
      <c r="K3167" s="76" t="str">
        <f>VLOOKUP(Tabelle2[[#This Row],[Kunden Nr.]],KUNDEN!A:G,7)</f>
        <v>Qerimi</v>
      </c>
      <c r="L3167" s="76">
        <f>VLOOKUP(Tabelle2[[#This Row],[Artikel]],Produkte!A:H,8)</f>
        <v>0.17</v>
      </c>
    </row>
    <row r="3168" spans="1:12" x14ac:dyDescent="0.2">
      <c r="A3168" s="75" t="s">
        <v>573</v>
      </c>
      <c r="B3168" s="79">
        <v>46146</v>
      </c>
      <c r="C3168" s="75"/>
      <c r="D3168" s="75"/>
      <c r="E3168" s="75"/>
      <c r="F3168" s="75">
        <v>10111</v>
      </c>
      <c r="G3168" s="76" t="str">
        <f>VLOOKUP(Tabelle2[[#This Row],[Kunden Nr.]],KUNDEN!A:B,2,0)</f>
        <v>KADIJOLLET</v>
      </c>
      <c r="H3168" s="75">
        <v>50912</v>
      </c>
      <c r="I3168" s="76" t="str">
        <f>VLOOKUP(Tabelle2[[#This Row],[Artikel]],Produkte!A:B,2,0)</f>
        <v>DICHTUNG</v>
      </c>
      <c r="J3168" s="75">
        <v>4</v>
      </c>
      <c r="K3168" s="76" t="str">
        <f>VLOOKUP(Tabelle2[[#This Row],[Kunden Nr.]],KUNDEN!A:G,7)</f>
        <v>Qerimi</v>
      </c>
      <c r="L3168" s="76">
        <f>VLOOKUP(Tabelle2[[#This Row],[Artikel]],Produkte!A:H,8)</f>
        <v>0.2</v>
      </c>
    </row>
    <row r="3169" spans="1:12" x14ac:dyDescent="0.2">
      <c r="A3169" s="75" t="s">
        <v>573</v>
      </c>
      <c r="B3169" s="79">
        <v>46146</v>
      </c>
      <c r="C3169" s="75"/>
      <c r="D3169" s="75"/>
      <c r="E3169" s="75"/>
      <c r="F3169" s="75">
        <v>10111</v>
      </c>
      <c r="G3169" s="76" t="str">
        <f>VLOOKUP(Tabelle2[[#This Row],[Kunden Nr.]],KUNDEN!A:B,2,0)</f>
        <v>KADIJOLLET</v>
      </c>
      <c r="H3169" s="75">
        <v>56117</v>
      </c>
      <c r="I3169" s="76" t="str">
        <f>VLOOKUP(Tabelle2[[#This Row],[Artikel]],Produkte!A:B,2,0)</f>
        <v>M ONE UBS</v>
      </c>
      <c r="J3169" s="75">
        <v>4</v>
      </c>
      <c r="K3169" s="76" t="str">
        <f>VLOOKUP(Tabelle2[[#This Row],[Kunden Nr.]],KUNDEN!A:G,7)</f>
        <v>Qerimi</v>
      </c>
      <c r="L3169" s="76">
        <f>VLOOKUP(Tabelle2[[#This Row],[Artikel]],Produkte!A:H,8)</f>
        <v>0.2</v>
      </c>
    </row>
    <row r="3170" spans="1:12" x14ac:dyDescent="0.2">
      <c r="A3170" s="75" t="s">
        <v>1231</v>
      </c>
      <c r="B3170" s="79">
        <v>46146</v>
      </c>
      <c r="C3170" s="89">
        <v>1008</v>
      </c>
      <c r="D3170" s="75"/>
      <c r="E3170" s="75"/>
      <c r="F3170" s="75">
        <v>40021</v>
      </c>
      <c r="G3170" s="76" t="str">
        <f>VLOOKUP(Tabelle2[[#This Row],[Kunden Nr.]],KUNDEN!A:B,2,0)</f>
        <v>ARENA ENGINEERING N.T.P</v>
      </c>
      <c r="H3170" s="75">
        <v>72101</v>
      </c>
      <c r="I3170" s="76" t="str">
        <f>VLOOKUP(Tabelle2[[#This Row],[Artikel]],Produkte!A:B,2,0)</f>
        <v>Zink Spray Hell</v>
      </c>
      <c r="J3170" s="75">
        <v>240</v>
      </c>
      <c r="K3170" s="76">
        <f>VLOOKUP(Tabelle2[[#This Row],[Kunden Nr.]],KUNDEN!A:G,7)</f>
        <v>0</v>
      </c>
      <c r="L3170" s="76">
        <f>VLOOKUP(Tabelle2[[#This Row],[Artikel]],Produkte!A:H,8)</f>
        <v>0.2</v>
      </c>
    </row>
    <row r="3171" spans="1:12" x14ac:dyDescent="0.2">
      <c r="A3171" s="75" t="s">
        <v>1244</v>
      </c>
      <c r="B3171" s="79">
        <v>46146</v>
      </c>
      <c r="C3171" s="89">
        <v>48</v>
      </c>
      <c r="D3171" s="75"/>
      <c r="E3171" s="75"/>
      <c r="F3171" s="75">
        <v>40024</v>
      </c>
      <c r="G3171" s="76" t="str">
        <f>VLOOKUP(Tabelle2[[#This Row],[Kunden Nr.]],KUNDEN!A:B,2,0)</f>
        <v>BAU MIX FATONI</v>
      </c>
      <c r="H3171" s="75">
        <v>35121</v>
      </c>
      <c r="I3171" s="76" t="str">
        <f>VLOOKUP(Tabelle2[[#This Row],[Artikel]],Produkte!A:B,2,0)</f>
        <v>M-ONE Sanitar Silikon</v>
      </c>
      <c r="J3171" s="75">
        <v>12</v>
      </c>
      <c r="K3171" s="76">
        <f>VLOOKUP(Tabelle2[[#This Row],[Kunden Nr.]],KUNDEN!A:G,7)</f>
        <v>0</v>
      </c>
      <c r="L3171" s="76">
        <f>VLOOKUP(Tabelle2[[#This Row],[Artikel]],Produkte!A:H,8)</f>
        <v>0.17</v>
      </c>
    </row>
    <row r="3172" spans="1:12" x14ac:dyDescent="0.2">
      <c r="A3172" s="75" t="s">
        <v>474</v>
      </c>
      <c r="B3172" s="79">
        <v>46146</v>
      </c>
      <c r="C3172" s="89">
        <v>96</v>
      </c>
      <c r="D3172" s="75"/>
      <c r="E3172" s="75"/>
      <c r="F3172" s="75">
        <v>20109</v>
      </c>
      <c r="G3172" s="76" t="str">
        <f>VLOOKUP(Tabelle2[[#This Row],[Kunden Nr.]],KUNDEN!A:B,2,0)</f>
        <v>KENA COMERC</v>
      </c>
      <c r="H3172" s="75">
        <v>35114</v>
      </c>
      <c r="I3172" s="76" t="str">
        <f>VLOOKUP(Tabelle2[[#This Row],[Artikel]],Produkte!A:B,2,0)</f>
        <v>M-ONE Sanitar Silikon</v>
      </c>
      <c r="J3172" s="75">
        <v>12</v>
      </c>
      <c r="K3172" s="76" t="str">
        <f>VLOOKUP(Tabelle2[[#This Row],[Kunden Nr.]],KUNDEN!A:G,7)</f>
        <v>Mensuri</v>
      </c>
      <c r="L3172" s="76">
        <f>VLOOKUP(Tabelle2[[#This Row],[Artikel]],Produkte!A:H,8)</f>
        <v>0.17</v>
      </c>
    </row>
    <row r="3173" spans="1:12" x14ac:dyDescent="0.2">
      <c r="A3173" s="75" t="s">
        <v>474</v>
      </c>
      <c r="B3173" s="79">
        <v>46146</v>
      </c>
      <c r="C3173" s="75"/>
      <c r="D3173" s="75"/>
      <c r="E3173" s="75"/>
      <c r="F3173" s="75">
        <v>20109</v>
      </c>
      <c r="G3173" s="76" t="str">
        <f>VLOOKUP(Tabelle2[[#This Row],[Kunden Nr.]],KUNDEN!A:B,2,0)</f>
        <v>KENA COMERC</v>
      </c>
      <c r="H3173" s="75">
        <v>35128</v>
      </c>
      <c r="I3173" s="76" t="str">
        <f>VLOOKUP(Tabelle2[[#This Row],[Artikel]],Produkte!A:B,2,0)</f>
        <v>M-ONE Sanitar Silikon</v>
      </c>
      <c r="J3173" s="75">
        <v>12</v>
      </c>
      <c r="K3173" s="76" t="str">
        <f>VLOOKUP(Tabelle2[[#This Row],[Kunden Nr.]],KUNDEN!A:G,7)</f>
        <v>Mensuri</v>
      </c>
      <c r="L3173" s="76">
        <f>VLOOKUP(Tabelle2[[#This Row],[Artikel]],Produkte!A:H,8)</f>
        <v>0.17</v>
      </c>
    </row>
    <row r="3174" spans="1:12" x14ac:dyDescent="0.2">
      <c r="A3174" s="75" t="s">
        <v>1129</v>
      </c>
      <c r="B3174" s="79">
        <v>46146</v>
      </c>
      <c r="C3174" s="89">
        <v>165.6</v>
      </c>
      <c r="D3174" s="75"/>
      <c r="E3174" s="75"/>
      <c r="F3174" s="75">
        <v>20127</v>
      </c>
      <c r="G3174" s="76" t="str">
        <f>VLOOKUP(Tabelle2[[#This Row],[Kunden Nr.]],KUNDEN!A:B,2,0)</f>
        <v>TERMO PROJEKT</v>
      </c>
      <c r="H3174" s="75">
        <v>35119</v>
      </c>
      <c r="I3174" s="76" t="str">
        <f>VLOOKUP(Tabelle2[[#This Row],[Artikel]],Produkte!A:B,2,0)</f>
        <v>M-ONE Sanitar Silikon</v>
      </c>
      <c r="J3174" s="75">
        <v>12</v>
      </c>
      <c r="K3174" s="76" t="str">
        <f>VLOOKUP(Tabelle2[[#This Row],[Kunden Nr.]],KUNDEN!A:G,7)</f>
        <v>Mensuri</v>
      </c>
      <c r="L3174" s="76">
        <f>VLOOKUP(Tabelle2[[#This Row],[Artikel]],Produkte!A:H,8)</f>
        <v>0.17</v>
      </c>
    </row>
    <row r="3175" spans="1:12" x14ac:dyDescent="0.2">
      <c r="A3175" s="75" t="s">
        <v>1129</v>
      </c>
      <c r="B3175" s="79">
        <v>46146</v>
      </c>
      <c r="C3175" s="75"/>
      <c r="D3175" s="75"/>
      <c r="E3175" s="75"/>
      <c r="F3175" s="75">
        <v>20127</v>
      </c>
      <c r="G3175" s="76" t="str">
        <f>VLOOKUP(Tabelle2[[#This Row],[Kunden Nr.]],KUNDEN!A:B,2,0)</f>
        <v>TERMO PROJEKT</v>
      </c>
      <c r="H3175" s="75">
        <v>35125</v>
      </c>
      <c r="I3175" s="76" t="str">
        <f>VLOOKUP(Tabelle2[[#This Row],[Artikel]],Produkte!A:B,2,0)</f>
        <v>M-ONE Sanitar Silikon</v>
      </c>
      <c r="J3175" s="75">
        <v>12</v>
      </c>
      <c r="K3175" s="76" t="str">
        <f>VLOOKUP(Tabelle2[[#This Row],[Kunden Nr.]],KUNDEN!A:G,7)</f>
        <v>Mensuri</v>
      </c>
      <c r="L3175" s="76">
        <f>VLOOKUP(Tabelle2[[#This Row],[Artikel]],Produkte!A:H,8)</f>
        <v>0.17</v>
      </c>
    </row>
    <row r="3176" spans="1:12" x14ac:dyDescent="0.2">
      <c r="A3176" s="75" t="s">
        <v>1129</v>
      </c>
      <c r="B3176" s="79">
        <v>46146</v>
      </c>
      <c r="C3176" s="75"/>
      <c r="D3176" s="75"/>
      <c r="E3176" s="75"/>
      <c r="F3176" s="75">
        <v>20127</v>
      </c>
      <c r="G3176" s="76" t="str">
        <f>VLOOKUP(Tabelle2[[#This Row],[Kunden Nr.]],KUNDEN!A:B,2,0)</f>
        <v>TERMO PROJEKT</v>
      </c>
      <c r="H3176" s="75">
        <v>66701</v>
      </c>
      <c r="I3176" s="76" t="str">
        <f>VLOOKUP(Tabelle2[[#This Row],[Artikel]],Produkte!A:B,2,0)</f>
        <v>PROFIMONT EXTREME</v>
      </c>
      <c r="J3176" s="75">
        <v>12</v>
      </c>
      <c r="K3176" s="76" t="str">
        <f>VLOOKUP(Tabelle2[[#This Row],[Kunden Nr.]],KUNDEN!A:G,7)</f>
        <v>Mensuri</v>
      </c>
      <c r="L3176" s="76">
        <f>VLOOKUP(Tabelle2[[#This Row],[Artikel]],Produkte!A:H,8)</f>
        <v>0.2</v>
      </c>
    </row>
    <row r="3177" spans="1:12" x14ac:dyDescent="0.2">
      <c r="A3177" s="75" t="s">
        <v>471</v>
      </c>
      <c r="B3177" s="79">
        <v>46146</v>
      </c>
      <c r="C3177" s="89">
        <v>63</v>
      </c>
      <c r="D3177" s="75"/>
      <c r="E3177" s="75"/>
      <c r="F3177" s="75">
        <v>20104</v>
      </c>
      <c r="G3177" s="76" t="str">
        <f>VLOOKUP(Tabelle2[[#This Row],[Kunden Nr.]],KUNDEN!A:B,2,0)</f>
        <v>KTHIMI</v>
      </c>
      <c r="H3177" s="75">
        <v>35115</v>
      </c>
      <c r="I3177" s="76" t="str">
        <f>VLOOKUP(Tabelle2[[#This Row],[Artikel]],Produkte!A:B,2,0)</f>
        <v>M-ONE Sanitar Silikon</v>
      </c>
      <c r="J3177" s="75">
        <v>12</v>
      </c>
      <c r="K3177" s="76" t="str">
        <f>VLOOKUP(Tabelle2[[#This Row],[Kunden Nr.]],KUNDEN!A:G,7)</f>
        <v>Mensuri</v>
      </c>
      <c r="L3177" s="76">
        <f>VLOOKUP(Tabelle2[[#This Row],[Artikel]],Produkte!A:H,8)</f>
        <v>0.17</v>
      </c>
    </row>
    <row r="3178" spans="1:12" x14ac:dyDescent="0.2">
      <c r="A3178" s="75" t="s">
        <v>471</v>
      </c>
      <c r="B3178" s="79">
        <v>46146</v>
      </c>
      <c r="C3178" s="75"/>
      <c r="D3178" s="75"/>
      <c r="E3178" s="75"/>
      <c r="F3178" s="75">
        <v>20104</v>
      </c>
      <c r="G3178" s="76" t="str">
        <f>VLOOKUP(Tabelle2[[#This Row],[Kunden Nr.]],KUNDEN!A:B,2,0)</f>
        <v>KTHIMI</v>
      </c>
      <c r="H3178" s="75">
        <v>51611</v>
      </c>
      <c r="I3178" s="76" t="str">
        <f>VLOOKUP(Tabelle2[[#This Row],[Artikel]],Produkte!A:B,2,0)</f>
        <v>universal akryl</v>
      </c>
      <c r="J3178" s="75">
        <v>12</v>
      </c>
      <c r="K3178" s="76" t="str">
        <f>VLOOKUP(Tabelle2[[#This Row],[Kunden Nr.]],KUNDEN!A:G,7)</f>
        <v>Mensuri</v>
      </c>
      <c r="L3178" s="76">
        <f>VLOOKUP(Tabelle2[[#This Row],[Artikel]],Produkte!A:H,8)</f>
        <v>0.06</v>
      </c>
    </row>
    <row r="3179" spans="1:12" x14ac:dyDescent="0.2">
      <c r="A3179" s="75" t="s">
        <v>1180</v>
      </c>
      <c r="B3179" s="79">
        <v>46146</v>
      </c>
      <c r="C3179" s="89">
        <v>123.6</v>
      </c>
      <c r="D3179" s="75"/>
      <c r="E3179" s="75"/>
      <c r="F3179" s="75">
        <v>20126</v>
      </c>
      <c r="G3179" s="76" t="str">
        <f>VLOOKUP(Tabelle2[[#This Row],[Kunden Nr.]],KUNDEN!A:B,2,0)</f>
        <v>LULI-C</v>
      </c>
      <c r="H3179" s="75">
        <v>35109</v>
      </c>
      <c r="I3179" s="76" t="str">
        <f>VLOOKUP(Tabelle2[[#This Row],[Artikel]],Produkte!A:B,2,0)</f>
        <v>M-ONE Sanitar Silikon</v>
      </c>
      <c r="J3179" s="75">
        <v>12</v>
      </c>
      <c r="K3179" s="76" t="str">
        <f>VLOOKUP(Tabelle2[[#This Row],[Kunden Nr.]],KUNDEN!A:G,7)</f>
        <v>Mensuri</v>
      </c>
      <c r="L3179" s="76">
        <f>VLOOKUP(Tabelle2[[#This Row],[Artikel]],Produkte!A:H,8)</f>
        <v>0.17</v>
      </c>
    </row>
    <row r="3180" spans="1:12" x14ac:dyDescent="0.2">
      <c r="A3180" s="75" t="s">
        <v>1180</v>
      </c>
      <c r="B3180" s="79">
        <v>46146</v>
      </c>
      <c r="C3180" s="75"/>
      <c r="D3180" s="75"/>
      <c r="E3180" s="75"/>
      <c r="F3180" s="75">
        <v>20126</v>
      </c>
      <c r="G3180" s="76" t="str">
        <f>VLOOKUP(Tabelle2[[#This Row],[Kunden Nr.]],KUNDEN!A:B,2,0)</f>
        <v>LULI-C</v>
      </c>
      <c r="H3180" s="75">
        <v>35110</v>
      </c>
      <c r="I3180" s="76" t="str">
        <f>VLOOKUP(Tabelle2[[#This Row],[Artikel]],Produkte!A:B,2,0)</f>
        <v>M-ONE Sanitar Silikon</v>
      </c>
      <c r="J3180" s="75">
        <v>12</v>
      </c>
      <c r="K3180" s="76" t="str">
        <f>VLOOKUP(Tabelle2[[#This Row],[Kunden Nr.]],KUNDEN!A:G,7)</f>
        <v>Mensuri</v>
      </c>
      <c r="L3180" s="76">
        <f>VLOOKUP(Tabelle2[[#This Row],[Artikel]],Produkte!A:H,8)</f>
        <v>0.17</v>
      </c>
    </row>
    <row r="3181" spans="1:12" x14ac:dyDescent="0.2">
      <c r="A3181" s="75" t="s">
        <v>1180</v>
      </c>
      <c r="B3181" s="79">
        <v>46146</v>
      </c>
      <c r="C3181" s="75"/>
      <c r="D3181" s="75"/>
      <c r="E3181" s="75"/>
      <c r="F3181" s="75">
        <v>20126</v>
      </c>
      <c r="G3181" s="76" t="str">
        <f>VLOOKUP(Tabelle2[[#This Row],[Kunden Nr.]],KUNDEN!A:B,2,0)</f>
        <v>LULI-C</v>
      </c>
      <c r="H3181" s="75">
        <v>51612</v>
      </c>
      <c r="I3181" s="76" t="str">
        <f>VLOOKUP(Tabelle2[[#This Row],[Artikel]],Produkte!A:B,2,0)</f>
        <v>struktural akryl</v>
      </c>
      <c r="J3181" s="75">
        <v>12</v>
      </c>
      <c r="K3181" s="76" t="str">
        <f>VLOOKUP(Tabelle2[[#This Row],[Kunden Nr.]],KUNDEN!A:G,7)</f>
        <v>Mensuri</v>
      </c>
      <c r="L3181" s="76">
        <f>VLOOKUP(Tabelle2[[#This Row],[Artikel]],Produkte!A:H,8)</f>
        <v>0.06</v>
      </c>
    </row>
    <row r="3182" spans="1:12" x14ac:dyDescent="0.2">
      <c r="A3182" s="75" t="s">
        <v>1163</v>
      </c>
      <c r="B3182" s="79">
        <v>46146</v>
      </c>
      <c r="C3182" s="89">
        <v>144</v>
      </c>
      <c r="D3182" s="75"/>
      <c r="E3182" s="75"/>
      <c r="F3182" s="75">
        <v>20121</v>
      </c>
      <c r="G3182" s="76" t="str">
        <f>VLOOKUP(Tabelle2[[#This Row],[Kunden Nr.]],KUNDEN!A:B,2,0)</f>
        <v>CAMA BAU</v>
      </c>
      <c r="H3182" s="75">
        <v>35119</v>
      </c>
      <c r="I3182" s="76" t="str">
        <f>VLOOKUP(Tabelle2[[#This Row],[Artikel]],Produkte!A:B,2,0)</f>
        <v>M-ONE Sanitar Silikon</v>
      </c>
      <c r="J3182" s="75">
        <v>12</v>
      </c>
      <c r="K3182" s="76" t="str">
        <f>VLOOKUP(Tabelle2[[#This Row],[Kunden Nr.]],KUNDEN!A:G,7)</f>
        <v>Mensuri</v>
      </c>
      <c r="L3182" s="76">
        <f>VLOOKUP(Tabelle2[[#This Row],[Artikel]],Produkte!A:H,8)</f>
        <v>0.17</v>
      </c>
    </row>
    <row r="3183" spans="1:12" x14ac:dyDescent="0.2">
      <c r="A3183" s="75" t="s">
        <v>1163</v>
      </c>
      <c r="B3183" s="79">
        <v>46146</v>
      </c>
      <c r="C3183" s="75"/>
      <c r="D3183" s="75"/>
      <c r="E3183" s="75"/>
      <c r="F3183" s="75">
        <v>20121</v>
      </c>
      <c r="G3183" s="76" t="str">
        <f>VLOOKUP(Tabelle2[[#This Row],[Kunden Nr.]],KUNDEN!A:B,2,0)</f>
        <v>CAMA BAU</v>
      </c>
      <c r="H3183" s="75">
        <v>35114</v>
      </c>
      <c r="I3183" s="76" t="str">
        <f>VLOOKUP(Tabelle2[[#This Row],[Artikel]],Produkte!A:B,2,0)</f>
        <v>M-ONE Sanitar Silikon</v>
      </c>
      <c r="J3183" s="75">
        <v>12</v>
      </c>
      <c r="K3183" s="76" t="str">
        <f>VLOOKUP(Tabelle2[[#This Row],[Kunden Nr.]],KUNDEN!A:G,7)</f>
        <v>Mensuri</v>
      </c>
      <c r="L3183" s="76">
        <f>VLOOKUP(Tabelle2[[#This Row],[Artikel]],Produkte!A:H,8)</f>
        <v>0.17</v>
      </c>
    </row>
    <row r="3184" spans="1:12" x14ac:dyDescent="0.2">
      <c r="A3184" s="75" t="s">
        <v>1163</v>
      </c>
      <c r="B3184" s="79">
        <v>46146</v>
      </c>
      <c r="C3184" s="75"/>
      <c r="D3184" s="75"/>
      <c r="E3184" s="75"/>
      <c r="F3184" s="75">
        <v>20121</v>
      </c>
      <c r="G3184" s="76" t="str">
        <f>VLOOKUP(Tabelle2[[#This Row],[Kunden Nr.]],KUNDEN!A:B,2,0)</f>
        <v>CAMA BAU</v>
      </c>
      <c r="H3184" s="75">
        <v>35128</v>
      </c>
      <c r="I3184" s="76" t="str">
        <f>VLOOKUP(Tabelle2[[#This Row],[Artikel]],Produkte!A:B,2,0)</f>
        <v>M-ONE Sanitar Silikon</v>
      </c>
      <c r="J3184" s="75">
        <v>12</v>
      </c>
      <c r="K3184" s="76" t="str">
        <f>VLOOKUP(Tabelle2[[#This Row],[Kunden Nr.]],KUNDEN!A:G,7)</f>
        <v>Mensuri</v>
      </c>
      <c r="L3184" s="76">
        <f>VLOOKUP(Tabelle2[[#This Row],[Artikel]],Produkte!A:H,8)</f>
        <v>0.17</v>
      </c>
    </row>
    <row r="3185" spans="1:12" x14ac:dyDescent="0.2">
      <c r="A3185" s="75" t="s">
        <v>963</v>
      </c>
      <c r="B3185" s="79">
        <v>46146</v>
      </c>
      <c r="C3185" s="89">
        <v>106</v>
      </c>
      <c r="D3185" s="75"/>
      <c r="E3185" s="75"/>
      <c r="F3185" s="75">
        <v>20201</v>
      </c>
      <c r="G3185" s="76" t="str">
        <f>VLOOKUP(Tabelle2[[#This Row],[Kunden Nr.]],KUNDEN!A:B,2,0)</f>
        <v>TE BESIMI</v>
      </c>
      <c r="H3185" s="75">
        <v>35111</v>
      </c>
      <c r="I3185" s="76" t="str">
        <f>VLOOKUP(Tabelle2[[#This Row],[Artikel]],Produkte!A:B,2,0)</f>
        <v>M-ONE Sanitar Silikon</v>
      </c>
      <c r="J3185" s="75">
        <v>12</v>
      </c>
      <c r="K3185" s="76" t="str">
        <f>VLOOKUP(Tabelle2[[#This Row],[Kunden Nr.]],KUNDEN!A:G,7)</f>
        <v>Mensuri</v>
      </c>
      <c r="L3185" s="76">
        <f>VLOOKUP(Tabelle2[[#This Row],[Artikel]],Produkte!A:H,8)</f>
        <v>0.17</v>
      </c>
    </row>
    <row r="3186" spans="1:12" x14ac:dyDescent="0.2">
      <c r="A3186" s="75" t="s">
        <v>963</v>
      </c>
      <c r="B3186" s="79">
        <v>46146</v>
      </c>
      <c r="C3186" s="75"/>
      <c r="D3186" s="75"/>
      <c r="E3186" s="75"/>
      <c r="F3186" s="75">
        <v>20201</v>
      </c>
      <c r="G3186" s="76" t="str">
        <f>VLOOKUP(Tabelle2[[#This Row],[Kunden Nr.]],KUNDEN!A:B,2,0)</f>
        <v>TE BESIMI</v>
      </c>
      <c r="H3186" s="75">
        <v>35113</v>
      </c>
      <c r="I3186" s="76" t="str">
        <f>VLOOKUP(Tabelle2[[#This Row],[Artikel]],Produkte!A:B,2,0)</f>
        <v>M-ONE Sanitar Silikon</v>
      </c>
      <c r="J3186" s="75">
        <v>12</v>
      </c>
      <c r="K3186" s="76" t="str">
        <f>VLOOKUP(Tabelle2[[#This Row],[Kunden Nr.]],KUNDEN!A:G,7)</f>
        <v>Mensuri</v>
      </c>
      <c r="L3186" s="76">
        <f>VLOOKUP(Tabelle2[[#This Row],[Artikel]],Produkte!A:H,8)</f>
        <v>0.17</v>
      </c>
    </row>
    <row r="3187" spans="1:12" x14ac:dyDescent="0.2">
      <c r="A3187" s="75" t="s">
        <v>963</v>
      </c>
      <c r="B3187" s="79">
        <v>46146</v>
      </c>
      <c r="C3187" s="75"/>
      <c r="D3187" s="75"/>
      <c r="E3187" s="75"/>
      <c r="F3187" s="75">
        <v>20201</v>
      </c>
      <c r="G3187" s="76" t="str">
        <f>VLOOKUP(Tabelle2[[#This Row],[Kunden Nr.]],KUNDEN!A:B,2,0)</f>
        <v>TE BESIMI</v>
      </c>
      <c r="H3187" s="75">
        <v>39505</v>
      </c>
      <c r="I3187" s="76" t="str">
        <f>VLOOKUP(Tabelle2[[#This Row],[Artikel]],Produkte!A:B,2,0)</f>
        <v>M ONE SILIKON SPRAY</v>
      </c>
      <c r="J3187" s="75">
        <v>2</v>
      </c>
      <c r="K3187" s="76" t="str">
        <f>VLOOKUP(Tabelle2[[#This Row],[Kunden Nr.]],KUNDEN!A:G,7)</f>
        <v>Mensuri</v>
      </c>
      <c r="L3187" s="76">
        <f>VLOOKUP(Tabelle2[[#This Row],[Artikel]],Produkte!A:H,8)</f>
        <v>0.2</v>
      </c>
    </row>
    <row r="3188" spans="1:12" x14ac:dyDescent="0.2">
      <c r="A3188" s="75" t="s">
        <v>963</v>
      </c>
      <c r="B3188" s="79">
        <v>46146</v>
      </c>
      <c r="C3188" s="75"/>
      <c r="D3188" s="75"/>
      <c r="E3188" s="75"/>
      <c r="F3188" s="75">
        <v>20201</v>
      </c>
      <c r="G3188" s="76" t="str">
        <f>VLOOKUP(Tabelle2[[#This Row],[Kunden Nr.]],KUNDEN!A:B,2,0)</f>
        <v>TE BESIMI</v>
      </c>
      <c r="H3188" s="75">
        <v>54412</v>
      </c>
      <c r="I3188" s="76" t="str">
        <f>VLOOKUP(Tabelle2[[#This Row],[Artikel]],Produkte!A:B,2,0)</f>
        <v>beMAKER Bremsen&amp;Teile Reininger</v>
      </c>
      <c r="J3188" s="75">
        <v>2</v>
      </c>
      <c r="K3188" s="76" t="str">
        <f>VLOOKUP(Tabelle2[[#This Row],[Kunden Nr.]],KUNDEN!A:G,7)</f>
        <v>Mensuri</v>
      </c>
      <c r="L3188" s="76">
        <f>VLOOKUP(Tabelle2[[#This Row],[Artikel]],Produkte!A:H,8)</f>
        <v>0.2</v>
      </c>
    </row>
    <row r="3189" spans="1:12" x14ac:dyDescent="0.2">
      <c r="A3189" s="75" t="s">
        <v>418</v>
      </c>
      <c r="B3189" s="79">
        <v>46146</v>
      </c>
      <c r="C3189" s="89">
        <v>192</v>
      </c>
      <c r="D3189" s="75"/>
      <c r="E3189" s="75"/>
      <c r="F3189" s="75">
        <v>20203</v>
      </c>
      <c r="G3189" s="76" t="str">
        <f>VLOOKUP(Tabelle2[[#This Row],[Kunden Nr.]],KUNDEN!A:B,2,0)</f>
        <v>AFRIMI-AG</v>
      </c>
      <c r="H3189" s="75">
        <v>35111</v>
      </c>
      <c r="I3189" s="76" t="str">
        <f>VLOOKUP(Tabelle2[[#This Row],[Artikel]],Produkte!A:B,2,0)</f>
        <v>M-ONE Sanitar Silikon</v>
      </c>
      <c r="J3189" s="75">
        <v>24</v>
      </c>
      <c r="K3189" s="76" t="str">
        <f>VLOOKUP(Tabelle2[[#This Row],[Kunden Nr.]],KUNDEN!A:G,7)</f>
        <v>Mensuri</v>
      </c>
      <c r="L3189" s="76">
        <f>VLOOKUP(Tabelle2[[#This Row],[Artikel]],Produkte!A:H,8)</f>
        <v>0.17</v>
      </c>
    </row>
    <row r="3190" spans="1:12" x14ac:dyDescent="0.2">
      <c r="A3190" s="75" t="s">
        <v>418</v>
      </c>
      <c r="B3190" s="79">
        <v>46146</v>
      </c>
      <c r="C3190" s="75"/>
      <c r="D3190" s="75"/>
      <c r="E3190" s="75"/>
      <c r="F3190" s="75">
        <v>20203</v>
      </c>
      <c r="G3190" s="76" t="str">
        <f>VLOOKUP(Tabelle2[[#This Row],[Kunden Nr.]],KUNDEN!A:B,2,0)</f>
        <v>AFRIMI-AG</v>
      </c>
      <c r="H3190" s="75">
        <v>35128</v>
      </c>
      <c r="I3190" s="76" t="str">
        <f>VLOOKUP(Tabelle2[[#This Row],[Artikel]],Produkte!A:B,2,0)</f>
        <v>M-ONE Sanitar Silikon</v>
      </c>
      <c r="J3190" s="75">
        <v>24</v>
      </c>
      <c r="K3190" s="76" t="str">
        <f>VLOOKUP(Tabelle2[[#This Row],[Kunden Nr.]],KUNDEN!A:G,7)</f>
        <v>Mensuri</v>
      </c>
      <c r="L3190" s="76">
        <f>VLOOKUP(Tabelle2[[#This Row],[Artikel]],Produkte!A:H,8)</f>
        <v>0.17</v>
      </c>
    </row>
    <row r="3191" spans="1:12" x14ac:dyDescent="0.2">
      <c r="A3191" s="75" t="s">
        <v>469</v>
      </c>
      <c r="B3191" s="79">
        <v>46146</v>
      </c>
      <c r="C3191" s="89">
        <v>65.400000000000006</v>
      </c>
      <c r="D3191" s="75"/>
      <c r="E3191" s="75"/>
      <c r="F3191" s="75">
        <v>20102</v>
      </c>
      <c r="G3191" s="76" t="str">
        <f>VLOOKUP(Tabelle2[[#This Row],[Kunden Nr.]],KUNDEN!A:B,2,0)</f>
        <v>KUQI-LKW</v>
      </c>
      <c r="H3191" s="75">
        <v>49644</v>
      </c>
      <c r="I3191" s="76" t="str">
        <f>VLOOKUP(Tabelle2[[#This Row],[Artikel]],Produkte!A:B,2,0)</f>
        <v>beMAKER Rostlöser</v>
      </c>
      <c r="J3191" s="75">
        <v>8</v>
      </c>
      <c r="K3191" s="76" t="str">
        <f>VLOOKUP(Tabelle2[[#This Row],[Kunden Nr.]],KUNDEN!A:G,7)</f>
        <v>Mensuri</v>
      </c>
      <c r="L3191" s="76">
        <f>VLOOKUP(Tabelle2[[#This Row],[Artikel]],Produkte!A:H,8)</f>
        <v>0.2</v>
      </c>
    </row>
    <row r="3192" spans="1:12" x14ac:dyDescent="0.2">
      <c r="A3192" s="75" t="s">
        <v>469</v>
      </c>
      <c r="B3192" s="79">
        <v>46146</v>
      </c>
      <c r="C3192" s="75"/>
      <c r="D3192" s="75"/>
      <c r="E3192" s="75"/>
      <c r="F3192" s="75">
        <v>20102</v>
      </c>
      <c r="G3192" s="76" t="str">
        <f>VLOOKUP(Tabelle2[[#This Row],[Kunden Nr.]],KUNDEN!A:B,2,0)</f>
        <v>KUQI-LKW</v>
      </c>
      <c r="H3192" s="75">
        <v>54412</v>
      </c>
      <c r="I3192" s="76" t="str">
        <f>VLOOKUP(Tabelle2[[#This Row],[Artikel]],Produkte!A:B,2,0)</f>
        <v>beMAKER Bremsen&amp;Teile Reininger</v>
      </c>
      <c r="J3192" s="75">
        <v>6</v>
      </c>
      <c r="K3192" s="76" t="str">
        <f>VLOOKUP(Tabelle2[[#This Row],[Kunden Nr.]],KUNDEN!A:G,7)</f>
        <v>Mensuri</v>
      </c>
      <c r="L3192" s="76">
        <f>VLOOKUP(Tabelle2[[#This Row],[Artikel]],Produkte!A:H,8)</f>
        <v>0.2</v>
      </c>
    </row>
    <row r="3193" spans="1:12" x14ac:dyDescent="0.2">
      <c r="A3193" s="75" t="s">
        <v>469</v>
      </c>
      <c r="B3193" s="79">
        <v>46146</v>
      </c>
      <c r="C3193" s="75"/>
      <c r="D3193" s="75"/>
      <c r="E3193" s="75"/>
      <c r="F3193" s="75">
        <v>20102</v>
      </c>
      <c r="G3193" s="76" t="str">
        <f>VLOOKUP(Tabelle2[[#This Row],[Kunden Nr.]],KUNDEN!A:B,2,0)</f>
        <v>KUQI-LKW</v>
      </c>
      <c r="H3193" s="75">
        <v>16936</v>
      </c>
      <c r="I3193" s="76" t="str">
        <f>VLOOKUP(Tabelle2[[#This Row],[Artikel]],Produkte!A:B,2,0)</f>
        <v>M ONE FELGENSILBER</v>
      </c>
      <c r="J3193" s="75">
        <v>7</v>
      </c>
      <c r="K3193" s="76" t="str">
        <f>VLOOKUP(Tabelle2[[#This Row],[Kunden Nr.]],KUNDEN!A:G,7)</f>
        <v>Mensuri</v>
      </c>
      <c r="L3193" s="76">
        <f>VLOOKUP(Tabelle2[[#This Row],[Artikel]],Produkte!A:H,8)</f>
        <v>0.15</v>
      </c>
    </row>
    <row r="3194" spans="1:12" x14ac:dyDescent="0.2">
      <c r="A3194" s="75" t="s">
        <v>469</v>
      </c>
      <c r="B3194" s="79">
        <v>46146</v>
      </c>
      <c r="C3194" s="75"/>
      <c r="D3194" s="75"/>
      <c r="E3194" s="75"/>
      <c r="F3194" s="75">
        <v>20102</v>
      </c>
      <c r="G3194" s="76" t="str">
        <f>VLOOKUP(Tabelle2[[#This Row],[Kunden Nr.]],KUNDEN!A:B,2,0)</f>
        <v>KUQI-LKW</v>
      </c>
      <c r="H3194" s="75">
        <v>44001</v>
      </c>
      <c r="I3194" s="76" t="str">
        <f>VLOOKUP(Tabelle2[[#This Row],[Artikel]],Produkte!A:B,2,0)</f>
        <v>Fettspray</v>
      </c>
      <c r="J3194" s="75">
        <v>3</v>
      </c>
      <c r="K3194" s="76" t="str">
        <f>VLOOKUP(Tabelle2[[#This Row],[Kunden Nr.]],KUNDEN!A:G,7)</f>
        <v>Mensuri</v>
      </c>
      <c r="L3194" s="76">
        <f>VLOOKUP(Tabelle2[[#This Row],[Artikel]],Produkte!A:H,8)</f>
        <v>0.2</v>
      </c>
    </row>
    <row r="3195" spans="1:12" x14ac:dyDescent="0.2">
      <c r="A3195" s="75" t="s">
        <v>469</v>
      </c>
      <c r="B3195" s="79">
        <v>46146</v>
      </c>
      <c r="C3195" s="75"/>
      <c r="D3195" s="75"/>
      <c r="E3195" s="75"/>
      <c r="F3195" s="75">
        <v>20102</v>
      </c>
      <c r="G3195" s="76" t="str">
        <f>VLOOKUP(Tabelle2[[#This Row],[Kunden Nr.]],KUNDEN!A:B,2,0)</f>
        <v>KUQI-LKW</v>
      </c>
      <c r="H3195" s="75">
        <v>50912</v>
      </c>
      <c r="I3195" s="76" t="str">
        <f>VLOOKUP(Tabelle2[[#This Row],[Artikel]],Produkte!A:B,2,0)</f>
        <v>DICHTUNG</v>
      </c>
      <c r="J3195" s="75">
        <v>2</v>
      </c>
      <c r="K3195" s="76" t="str">
        <f>VLOOKUP(Tabelle2[[#This Row],[Kunden Nr.]],KUNDEN!A:G,7)</f>
        <v>Mensuri</v>
      </c>
      <c r="L3195" s="76">
        <f>VLOOKUP(Tabelle2[[#This Row],[Artikel]],Produkte!A:H,8)</f>
        <v>0.2</v>
      </c>
    </row>
    <row r="3196" spans="1:12" x14ac:dyDescent="0.2">
      <c r="A3196" s="75" t="s">
        <v>425</v>
      </c>
      <c r="B3196" s="79">
        <v>46146</v>
      </c>
      <c r="C3196" s="89">
        <v>144</v>
      </c>
      <c r="D3196" s="75"/>
      <c r="E3196" s="75"/>
      <c r="F3196" s="75">
        <v>20212</v>
      </c>
      <c r="G3196" s="76" t="str">
        <f>VLOOKUP(Tabelle2[[#This Row],[Kunden Nr.]],KUNDEN!A:B,2,0)</f>
        <v>INOX 2</v>
      </c>
      <c r="H3196" s="75">
        <v>35112</v>
      </c>
      <c r="I3196" s="76" t="str">
        <f>VLOOKUP(Tabelle2[[#This Row],[Artikel]],Produkte!A:B,2,0)</f>
        <v>M-ONE Sanitar Silikon</v>
      </c>
      <c r="J3196" s="75">
        <v>12</v>
      </c>
      <c r="K3196" s="76" t="str">
        <f>VLOOKUP(Tabelle2[[#This Row],[Kunden Nr.]],KUNDEN!A:G,7)</f>
        <v>Mensuri</v>
      </c>
      <c r="L3196" s="76">
        <f>VLOOKUP(Tabelle2[[#This Row],[Artikel]],Produkte!A:H,8)</f>
        <v>0.17</v>
      </c>
    </row>
    <row r="3197" spans="1:12" x14ac:dyDescent="0.2">
      <c r="A3197" s="75" t="s">
        <v>425</v>
      </c>
      <c r="B3197" s="79">
        <v>46146</v>
      </c>
      <c r="C3197" s="75"/>
      <c r="D3197" s="75"/>
      <c r="E3197" s="75"/>
      <c r="F3197" s="75">
        <v>20212</v>
      </c>
      <c r="G3197" s="76" t="str">
        <f>VLOOKUP(Tabelle2[[#This Row],[Kunden Nr.]],KUNDEN!A:B,2,0)</f>
        <v>INOX 2</v>
      </c>
      <c r="H3197" s="75">
        <v>35113</v>
      </c>
      <c r="I3197" s="76" t="str">
        <f>VLOOKUP(Tabelle2[[#This Row],[Artikel]],Produkte!A:B,2,0)</f>
        <v>M-ONE Sanitar Silikon</v>
      </c>
      <c r="J3197" s="75">
        <v>12</v>
      </c>
      <c r="K3197" s="76" t="str">
        <f>VLOOKUP(Tabelle2[[#This Row],[Kunden Nr.]],KUNDEN!A:G,7)</f>
        <v>Mensuri</v>
      </c>
      <c r="L3197" s="76">
        <f>VLOOKUP(Tabelle2[[#This Row],[Artikel]],Produkte!A:H,8)</f>
        <v>0.17</v>
      </c>
    </row>
    <row r="3198" spans="1:12" x14ac:dyDescent="0.2">
      <c r="A3198" s="75" t="s">
        <v>425</v>
      </c>
      <c r="B3198" s="79">
        <v>46146</v>
      </c>
      <c r="C3198" s="75"/>
      <c r="D3198" s="75"/>
      <c r="E3198" s="75"/>
      <c r="F3198" s="75">
        <v>20212</v>
      </c>
      <c r="G3198" s="76" t="str">
        <f>VLOOKUP(Tabelle2[[#This Row],[Kunden Nr.]],KUNDEN!A:B,2,0)</f>
        <v>INOX 2</v>
      </c>
      <c r="H3198" s="75">
        <v>35115</v>
      </c>
      <c r="I3198" s="76" t="str">
        <f>VLOOKUP(Tabelle2[[#This Row],[Artikel]],Produkte!A:B,2,0)</f>
        <v>M-ONE Sanitar Silikon</v>
      </c>
      <c r="J3198" s="75">
        <v>12</v>
      </c>
      <c r="K3198" s="76" t="str">
        <f>VLOOKUP(Tabelle2[[#This Row],[Kunden Nr.]],KUNDEN!A:G,7)</f>
        <v>Mensuri</v>
      </c>
      <c r="L3198" s="76">
        <f>VLOOKUP(Tabelle2[[#This Row],[Artikel]],Produkte!A:H,8)</f>
        <v>0.17</v>
      </c>
    </row>
    <row r="3199" spans="1:12" x14ac:dyDescent="0.2">
      <c r="A3199" s="75" t="s">
        <v>442</v>
      </c>
      <c r="B3199" s="79">
        <v>46146</v>
      </c>
      <c r="C3199" s="89">
        <v>180.6</v>
      </c>
      <c r="D3199" s="75"/>
      <c r="E3199" s="75"/>
      <c r="F3199" s="75">
        <v>20208</v>
      </c>
      <c r="G3199" s="76" t="str">
        <f>VLOOKUP(Tabelle2[[#This Row],[Kunden Nr.]],KUNDEN!A:B,2,0)</f>
        <v>V. GJONAJ</v>
      </c>
      <c r="H3199" s="75">
        <v>35121</v>
      </c>
      <c r="I3199" s="76" t="str">
        <f>VLOOKUP(Tabelle2[[#This Row],[Artikel]],Produkte!A:B,2,0)</f>
        <v>M-ONE Sanitar Silikon</v>
      </c>
      <c r="J3199" s="75">
        <v>12</v>
      </c>
      <c r="K3199" s="76" t="str">
        <f>VLOOKUP(Tabelle2[[#This Row],[Kunden Nr.]],KUNDEN!A:G,7)</f>
        <v>Mensuri</v>
      </c>
      <c r="L3199" s="76">
        <f>VLOOKUP(Tabelle2[[#This Row],[Artikel]],Produkte!A:H,8)</f>
        <v>0.17</v>
      </c>
    </row>
    <row r="3200" spans="1:12" x14ac:dyDescent="0.2">
      <c r="A3200" s="75" t="s">
        <v>442</v>
      </c>
      <c r="B3200" s="79">
        <v>46146</v>
      </c>
      <c r="C3200" s="75"/>
      <c r="D3200" s="75"/>
      <c r="E3200" s="75"/>
      <c r="F3200" s="75">
        <v>20208</v>
      </c>
      <c r="G3200" s="76" t="str">
        <f>VLOOKUP(Tabelle2[[#This Row],[Kunden Nr.]],KUNDEN!A:B,2,0)</f>
        <v>V. GJONAJ</v>
      </c>
      <c r="H3200" s="75">
        <v>35125</v>
      </c>
      <c r="I3200" s="76" t="str">
        <f>VLOOKUP(Tabelle2[[#This Row],[Artikel]],Produkte!A:B,2,0)</f>
        <v>M-ONE Sanitar Silikon</v>
      </c>
      <c r="J3200" s="75">
        <v>12</v>
      </c>
      <c r="K3200" s="76" t="str">
        <f>VLOOKUP(Tabelle2[[#This Row],[Kunden Nr.]],KUNDEN!A:G,7)</f>
        <v>Mensuri</v>
      </c>
      <c r="L3200" s="76">
        <f>VLOOKUP(Tabelle2[[#This Row],[Artikel]],Produkte!A:H,8)</f>
        <v>0.17</v>
      </c>
    </row>
    <row r="3201" spans="1:12" x14ac:dyDescent="0.2">
      <c r="A3201" s="75" t="s">
        <v>442</v>
      </c>
      <c r="B3201" s="79">
        <v>46146</v>
      </c>
      <c r="C3201" s="75"/>
      <c r="D3201" s="75"/>
      <c r="E3201" s="75"/>
      <c r="F3201" s="75">
        <v>20208</v>
      </c>
      <c r="G3201" s="76" t="str">
        <f>VLOOKUP(Tabelle2[[#This Row],[Kunden Nr.]],KUNDEN!A:B,2,0)</f>
        <v>V. GJONAJ</v>
      </c>
      <c r="H3201" s="75">
        <v>51611</v>
      </c>
      <c r="I3201" s="76" t="str">
        <f>VLOOKUP(Tabelle2[[#This Row],[Artikel]],Produkte!A:B,2,0)</f>
        <v>universal akryl</v>
      </c>
      <c r="J3201" s="75">
        <v>12</v>
      </c>
      <c r="K3201" s="76" t="str">
        <f>VLOOKUP(Tabelle2[[#This Row],[Kunden Nr.]],KUNDEN!A:G,7)</f>
        <v>Mensuri</v>
      </c>
      <c r="L3201" s="76">
        <f>VLOOKUP(Tabelle2[[#This Row],[Artikel]],Produkte!A:H,8)</f>
        <v>0.06</v>
      </c>
    </row>
    <row r="3202" spans="1:12" x14ac:dyDescent="0.2">
      <c r="A3202" s="75" t="s">
        <v>442</v>
      </c>
      <c r="B3202" s="79">
        <v>46146</v>
      </c>
      <c r="C3202" s="75"/>
      <c r="D3202" s="75"/>
      <c r="E3202" s="75"/>
      <c r="F3202" s="75">
        <v>20208</v>
      </c>
      <c r="G3202" s="76" t="str">
        <f>VLOOKUP(Tabelle2[[#This Row],[Kunden Nr.]],KUNDEN!A:B,2,0)</f>
        <v>V. GJONAJ</v>
      </c>
      <c r="H3202" s="75">
        <v>66701</v>
      </c>
      <c r="I3202" s="76" t="str">
        <f>VLOOKUP(Tabelle2[[#This Row],[Artikel]],Produkte!A:B,2,0)</f>
        <v>PROFIMONT EXTREME</v>
      </c>
      <c r="J3202" s="75">
        <v>12</v>
      </c>
      <c r="K3202" s="76" t="str">
        <f>VLOOKUP(Tabelle2[[#This Row],[Kunden Nr.]],KUNDEN!A:G,7)</f>
        <v>Mensuri</v>
      </c>
      <c r="L3202" s="76">
        <f>VLOOKUP(Tabelle2[[#This Row],[Artikel]],Produkte!A:H,8)</f>
        <v>0.2</v>
      </c>
    </row>
    <row r="3203" spans="1:12" x14ac:dyDescent="0.2">
      <c r="A3203" s="75" t="s">
        <v>515</v>
      </c>
      <c r="B3203" s="79">
        <v>46147</v>
      </c>
      <c r="C3203" s="89">
        <v>240</v>
      </c>
      <c r="D3203" s="75"/>
      <c r="E3203" s="75"/>
      <c r="F3203" s="75">
        <v>10205</v>
      </c>
      <c r="G3203" s="76" t="str">
        <f>VLOOKUP(Tabelle2[[#This Row],[Kunden Nr.]],KUNDEN!A:B,2,0)</f>
        <v>XHAFA</v>
      </c>
      <c r="H3203" s="75">
        <v>35121</v>
      </c>
      <c r="I3203" s="76" t="str">
        <f>VLOOKUP(Tabelle2[[#This Row],[Artikel]],Produkte!A:B,2,0)</f>
        <v>M-ONE Sanitar Silikon</v>
      </c>
      <c r="J3203" s="75">
        <v>24</v>
      </c>
      <c r="K3203" s="76" t="str">
        <f>VLOOKUP(Tabelle2[[#This Row],[Kunden Nr.]],KUNDEN!A:G,7)</f>
        <v>Qerimi</v>
      </c>
      <c r="L3203" s="76">
        <f>VLOOKUP(Tabelle2[[#This Row],[Artikel]],Produkte!A:H,8)</f>
        <v>0.17</v>
      </c>
    </row>
    <row r="3204" spans="1:12" x14ac:dyDescent="0.2">
      <c r="A3204" s="75" t="s">
        <v>515</v>
      </c>
      <c r="B3204" s="79">
        <v>46147</v>
      </c>
      <c r="C3204" s="75"/>
      <c r="D3204" s="75"/>
      <c r="E3204" s="75"/>
      <c r="F3204" s="75">
        <v>10205</v>
      </c>
      <c r="G3204" s="76" t="str">
        <f>VLOOKUP(Tabelle2[[#This Row],[Kunden Nr.]],KUNDEN!A:B,2,0)</f>
        <v>XHAFA</v>
      </c>
      <c r="H3204" s="75">
        <v>35113</v>
      </c>
      <c r="I3204" s="76" t="str">
        <f>VLOOKUP(Tabelle2[[#This Row],[Artikel]],Produkte!A:B,2,0)</f>
        <v>M-ONE Sanitar Silikon</v>
      </c>
      <c r="J3204" s="75">
        <v>12</v>
      </c>
      <c r="K3204" s="76" t="str">
        <f>VLOOKUP(Tabelle2[[#This Row],[Kunden Nr.]],KUNDEN!A:G,7)</f>
        <v>Qerimi</v>
      </c>
      <c r="L3204" s="76">
        <f>VLOOKUP(Tabelle2[[#This Row],[Artikel]],Produkte!A:H,8)</f>
        <v>0.17</v>
      </c>
    </row>
    <row r="3205" spans="1:12" x14ac:dyDescent="0.2">
      <c r="A3205" s="75" t="s">
        <v>515</v>
      </c>
      <c r="B3205" s="79">
        <v>46147</v>
      </c>
      <c r="C3205" s="75"/>
      <c r="D3205" s="75"/>
      <c r="E3205" s="75"/>
      <c r="F3205" s="75">
        <v>10205</v>
      </c>
      <c r="G3205" s="76" t="str">
        <f>VLOOKUP(Tabelle2[[#This Row],[Kunden Nr.]],KUNDEN!A:B,2,0)</f>
        <v>XHAFA</v>
      </c>
      <c r="H3205" s="75">
        <v>35115</v>
      </c>
      <c r="I3205" s="76" t="str">
        <f>VLOOKUP(Tabelle2[[#This Row],[Artikel]],Produkte!A:B,2,0)</f>
        <v>M-ONE Sanitar Silikon</v>
      </c>
      <c r="J3205" s="75">
        <v>12</v>
      </c>
      <c r="K3205" s="76" t="str">
        <f>VLOOKUP(Tabelle2[[#This Row],[Kunden Nr.]],KUNDEN!A:G,7)</f>
        <v>Qerimi</v>
      </c>
      <c r="L3205" s="76">
        <f>VLOOKUP(Tabelle2[[#This Row],[Artikel]],Produkte!A:H,8)</f>
        <v>0.17</v>
      </c>
    </row>
    <row r="3206" spans="1:12" x14ac:dyDescent="0.2">
      <c r="A3206" s="75" t="s">
        <v>515</v>
      </c>
      <c r="B3206" s="79">
        <v>46147</v>
      </c>
      <c r="C3206" s="75"/>
      <c r="D3206" s="75"/>
      <c r="E3206" s="75"/>
      <c r="F3206" s="75">
        <v>10205</v>
      </c>
      <c r="G3206" s="76" t="str">
        <f>VLOOKUP(Tabelle2[[#This Row],[Kunden Nr.]],KUNDEN!A:B,2,0)</f>
        <v>XHAFA</v>
      </c>
      <c r="H3206" s="75">
        <v>35128</v>
      </c>
      <c r="I3206" s="76" t="str">
        <f>VLOOKUP(Tabelle2[[#This Row],[Artikel]],Produkte!A:B,2,0)</f>
        <v>M-ONE Sanitar Silikon</v>
      </c>
      <c r="J3206" s="75">
        <v>12</v>
      </c>
      <c r="K3206" s="76" t="str">
        <f>VLOOKUP(Tabelle2[[#This Row],[Kunden Nr.]],KUNDEN!A:G,7)</f>
        <v>Qerimi</v>
      </c>
      <c r="L3206" s="76">
        <f>VLOOKUP(Tabelle2[[#This Row],[Artikel]],Produkte!A:H,8)</f>
        <v>0.17</v>
      </c>
    </row>
    <row r="3207" spans="1:12" x14ac:dyDescent="0.2">
      <c r="A3207" s="75" t="s">
        <v>520</v>
      </c>
      <c r="B3207" s="79">
        <v>46147</v>
      </c>
      <c r="C3207" s="89">
        <v>258.60000000000002</v>
      </c>
      <c r="D3207" s="75"/>
      <c r="E3207" s="75"/>
      <c r="F3207" s="75">
        <v>10210</v>
      </c>
      <c r="G3207" s="76" t="str">
        <f>VLOOKUP(Tabelle2[[#This Row],[Kunden Nr.]],KUNDEN!A:B,2,0)</f>
        <v>MONI 2</v>
      </c>
      <c r="H3207" s="75">
        <v>35108</v>
      </c>
      <c r="I3207" s="76" t="str">
        <f>VLOOKUP(Tabelle2[[#This Row],[Artikel]],Produkte!A:B,2,0)</f>
        <v>M-ONE Sanitar Silikon</v>
      </c>
      <c r="J3207" s="75">
        <v>24</v>
      </c>
      <c r="K3207" s="76" t="str">
        <f>VLOOKUP(Tabelle2[[#This Row],[Kunden Nr.]],KUNDEN!A:G,7)</f>
        <v>Qerimi</v>
      </c>
      <c r="L3207" s="76">
        <f>VLOOKUP(Tabelle2[[#This Row],[Artikel]],Produkte!A:H,8)</f>
        <v>0.17</v>
      </c>
    </row>
    <row r="3208" spans="1:12" x14ac:dyDescent="0.2">
      <c r="A3208" s="75" t="s">
        <v>520</v>
      </c>
      <c r="B3208" s="79">
        <v>46147</v>
      </c>
      <c r="C3208" s="75"/>
      <c r="D3208" s="75"/>
      <c r="E3208" s="75"/>
      <c r="F3208" s="75">
        <v>10210</v>
      </c>
      <c r="G3208" s="76" t="str">
        <f>VLOOKUP(Tabelle2[[#This Row],[Kunden Nr.]],KUNDEN!A:B,2,0)</f>
        <v>MONI 2</v>
      </c>
      <c r="H3208" s="75">
        <v>35119</v>
      </c>
      <c r="I3208" s="76" t="str">
        <f>VLOOKUP(Tabelle2[[#This Row],[Artikel]],Produkte!A:B,2,0)</f>
        <v>M-ONE Sanitar Silikon</v>
      </c>
      <c r="J3208" s="75">
        <v>24</v>
      </c>
      <c r="K3208" s="76" t="str">
        <f>VLOOKUP(Tabelle2[[#This Row],[Kunden Nr.]],KUNDEN!A:G,7)</f>
        <v>Qerimi</v>
      </c>
      <c r="L3208" s="76">
        <f>VLOOKUP(Tabelle2[[#This Row],[Artikel]],Produkte!A:H,8)</f>
        <v>0.17</v>
      </c>
    </row>
    <row r="3209" spans="1:12" x14ac:dyDescent="0.2">
      <c r="A3209" s="75" t="s">
        <v>520</v>
      </c>
      <c r="B3209" s="79">
        <v>46147</v>
      </c>
      <c r="C3209" s="75"/>
      <c r="D3209" s="75"/>
      <c r="E3209" s="75"/>
      <c r="F3209" s="75">
        <v>10210</v>
      </c>
      <c r="G3209" s="76" t="str">
        <f>VLOOKUP(Tabelle2[[#This Row],[Kunden Nr.]],KUNDEN!A:B,2,0)</f>
        <v>MONI 2</v>
      </c>
      <c r="H3209" s="75">
        <v>35112</v>
      </c>
      <c r="I3209" s="76" t="str">
        <f>VLOOKUP(Tabelle2[[#This Row],[Artikel]],Produkte!A:B,2,0)</f>
        <v>M-ONE Sanitar Silikon</v>
      </c>
      <c r="J3209" s="75">
        <v>12</v>
      </c>
      <c r="K3209" s="76" t="str">
        <f>VLOOKUP(Tabelle2[[#This Row],[Kunden Nr.]],KUNDEN!A:G,7)</f>
        <v>Qerimi</v>
      </c>
      <c r="L3209" s="76">
        <f>VLOOKUP(Tabelle2[[#This Row],[Artikel]],Produkte!A:H,8)</f>
        <v>0.17</v>
      </c>
    </row>
    <row r="3210" spans="1:12" x14ac:dyDescent="0.2">
      <c r="A3210" s="75" t="s">
        <v>520</v>
      </c>
      <c r="B3210" s="79">
        <v>46147</v>
      </c>
      <c r="C3210" s="75"/>
      <c r="D3210" s="75"/>
      <c r="E3210" s="75"/>
      <c r="F3210" s="75">
        <v>10210</v>
      </c>
      <c r="G3210" s="76" t="str">
        <f>VLOOKUP(Tabelle2[[#This Row],[Kunden Nr.]],KUNDEN!A:B,2,0)</f>
        <v>MONI 2</v>
      </c>
      <c r="H3210" s="75">
        <v>51612</v>
      </c>
      <c r="I3210" s="76" t="str">
        <f>VLOOKUP(Tabelle2[[#This Row],[Artikel]],Produkte!A:B,2,0)</f>
        <v>struktural akryl</v>
      </c>
      <c r="J3210" s="75">
        <v>12</v>
      </c>
      <c r="K3210" s="76" t="str">
        <f>VLOOKUP(Tabelle2[[#This Row],[Kunden Nr.]],KUNDEN!A:G,7)</f>
        <v>Qerimi</v>
      </c>
      <c r="L3210" s="76">
        <f>VLOOKUP(Tabelle2[[#This Row],[Artikel]],Produkte!A:H,8)</f>
        <v>0.06</v>
      </c>
    </row>
    <row r="3211" spans="1:12" x14ac:dyDescent="0.2">
      <c r="A3211" s="75" t="s">
        <v>1201</v>
      </c>
      <c r="B3211" s="79">
        <v>46147</v>
      </c>
      <c r="C3211" s="89">
        <v>96</v>
      </c>
      <c r="D3211" s="75"/>
      <c r="E3211" s="75"/>
      <c r="F3211" s="75">
        <v>10240</v>
      </c>
      <c r="G3211" s="76" t="str">
        <f>VLOOKUP(Tabelle2[[#This Row],[Kunden Nr.]],KUNDEN!A:B,2,0)</f>
        <v>ARPO</v>
      </c>
      <c r="H3211" s="75">
        <v>35114</v>
      </c>
      <c r="I3211" s="76" t="str">
        <f>VLOOKUP(Tabelle2[[#This Row],[Artikel]],Produkte!A:B,2,0)</f>
        <v>M-ONE Sanitar Silikon</v>
      </c>
      <c r="J3211" s="75">
        <v>24</v>
      </c>
      <c r="K3211" s="76" t="str">
        <f>VLOOKUP(Tabelle2[[#This Row],[Kunden Nr.]],KUNDEN!A:G,7)</f>
        <v>Qerimi</v>
      </c>
      <c r="L3211" s="76">
        <f>VLOOKUP(Tabelle2[[#This Row],[Artikel]],Produkte!A:H,8)</f>
        <v>0.17</v>
      </c>
    </row>
    <row r="3212" spans="1:12" x14ac:dyDescent="0.2">
      <c r="A3212" s="75" t="s">
        <v>1201</v>
      </c>
      <c r="B3212" s="79">
        <v>46147</v>
      </c>
      <c r="C3212" s="75"/>
      <c r="D3212" s="75"/>
      <c r="E3212" s="75"/>
      <c r="F3212" s="75">
        <v>10240</v>
      </c>
      <c r="G3212" s="76" t="str">
        <f>VLOOKUP(Tabelle2[[#This Row],[Kunden Nr.]],KUNDEN!A:B,2,0)</f>
        <v>ARPO</v>
      </c>
      <c r="H3212" s="75">
        <v>35108</v>
      </c>
      <c r="I3212" s="76" t="str">
        <f>VLOOKUP(Tabelle2[[#This Row],[Artikel]],Produkte!A:B,2,0)</f>
        <v>M-ONE Sanitar Silikon</v>
      </c>
      <c r="J3212" s="75">
        <v>12</v>
      </c>
      <c r="K3212" s="76" t="str">
        <f>VLOOKUP(Tabelle2[[#This Row],[Kunden Nr.]],KUNDEN!A:G,7)</f>
        <v>Qerimi</v>
      </c>
      <c r="L3212" s="76">
        <f>VLOOKUP(Tabelle2[[#This Row],[Artikel]],Produkte!A:H,8)</f>
        <v>0.17</v>
      </c>
    </row>
    <row r="3213" spans="1:12" x14ac:dyDescent="0.2">
      <c r="A3213" s="75" t="s">
        <v>1201</v>
      </c>
      <c r="B3213" s="79">
        <v>46147</v>
      </c>
      <c r="C3213" s="75"/>
      <c r="D3213" s="75"/>
      <c r="E3213" s="75"/>
      <c r="F3213" s="75">
        <v>10240</v>
      </c>
      <c r="G3213" s="76" t="str">
        <f>VLOOKUP(Tabelle2[[#This Row],[Kunden Nr.]],KUNDEN!A:B,2,0)</f>
        <v>ARPO</v>
      </c>
      <c r="H3213" s="75">
        <v>35110</v>
      </c>
      <c r="I3213" s="76" t="str">
        <f>VLOOKUP(Tabelle2[[#This Row],[Artikel]],Produkte!A:B,2,0)</f>
        <v>M-ONE Sanitar Silikon</v>
      </c>
      <c r="J3213" s="75">
        <v>12</v>
      </c>
      <c r="K3213" s="76" t="str">
        <f>VLOOKUP(Tabelle2[[#This Row],[Kunden Nr.]],KUNDEN!A:G,7)</f>
        <v>Qerimi</v>
      </c>
      <c r="L3213" s="76">
        <f>VLOOKUP(Tabelle2[[#This Row],[Artikel]],Produkte!A:H,8)</f>
        <v>0.17</v>
      </c>
    </row>
    <row r="3214" spans="1:12" x14ac:dyDescent="0.2">
      <c r="A3214" s="75" t="s">
        <v>1201</v>
      </c>
      <c r="B3214" s="79">
        <v>46147</v>
      </c>
      <c r="C3214" s="75"/>
      <c r="D3214" s="75"/>
      <c r="E3214" s="75"/>
      <c r="F3214" s="75">
        <v>10240</v>
      </c>
      <c r="G3214" s="76" t="str">
        <f>VLOOKUP(Tabelle2[[#This Row],[Kunden Nr.]],KUNDEN!A:B,2,0)</f>
        <v>ARPO</v>
      </c>
      <c r="H3214" s="75">
        <v>35121</v>
      </c>
      <c r="I3214" s="76" t="str">
        <f>VLOOKUP(Tabelle2[[#This Row],[Artikel]],Produkte!A:B,2,0)</f>
        <v>M-ONE Sanitar Silikon</v>
      </c>
      <c r="J3214" s="75">
        <v>24</v>
      </c>
      <c r="K3214" s="76" t="str">
        <f>VLOOKUP(Tabelle2[[#This Row],[Kunden Nr.]],KUNDEN!A:G,7)</f>
        <v>Qerimi</v>
      </c>
      <c r="L3214" s="76">
        <f>VLOOKUP(Tabelle2[[#This Row],[Artikel]],Produkte!A:H,8)</f>
        <v>0.17</v>
      </c>
    </row>
    <row r="3215" spans="1:12" x14ac:dyDescent="0.2">
      <c r="A3215" s="75" t="s">
        <v>513</v>
      </c>
      <c r="B3215" s="79">
        <v>46147</v>
      </c>
      <c r="C3215" s="89">
        <v>192</v>
      </c>
      <c r="D3215" s="75"/>
      <c r="E3215" s="75"/>
      <c r="F3215" s="75">
        <v>10204</v>
      </c>
      <c r="G3215" s="76" t="str">
        <f>VLOOKUP(Tabelle2[[#This Row],[Kunden Nr.]],KUNDEN!A:B,2,0)</f>
        <v>GIMI</v>
      </c>
      <c r="H3215" s="75">
        <v>35109</v>
      </c>
      <c r="I3215" s="76" t="str">
        <f>VLOOKUP(Tabelle2[[#This Row],[Artikel]],Produkte!A:B,2,0)</f>
        <v>M-ONE Sanitar Silikon</v>
      </c>
      <c r="J3215" s="75">
        <v>24</v>
      </c>
      <c r="K3215" s="76" t="str">
        <f>VLOOKUP(Tabelle2[[#This Row],[Kunden Nr.]],KUNDEN!A:G,7)</f>
        <v>Qerimi</v>
      </c>
      <c r="L3215" s="76">
        <f>VLOOKUP(Tabelle2[[#This Row],[Artikel]],Produkte!A:H,8)</f>
        <v>0.17</v>
      </c>
    </row>
    <row r="3216" spans="1:12" x14ac:dyDescent="0.2">
      <c r="A3216" s="75" t="s">
        <v>513</v>
      </c>
      <c r="B3216" s="79">
        <v>46147</v>
      </c>
      <c r="C3216" s="75"/>
      <c r="D3216" s="75"/>
      <c r="E3216" s="75"/>
      <c r="F3216" s="75">
        <v>10204</v>
      </c>
      <c r="G3216" s="76" t="str">
        <f>VLOOKUP(Tabelle2[[#This Row],[Kunden Nr.]],KUNDEN!A:B,2,0)</f>
        <v>GIMI</v>
      </c>
      <c r="H3216" s="75">
        <v>35113</v>
      </c>
      <c r="I3216" s="76" t="str">
        <f>VLOOKUP(Tabelle2[[#This Row],[Artikel]],Produkte!A:B,2,0)</f>
        <v>M-ONE Sanitar Silikon</v>
      </c>
      <c r="J3216" s="75">
        <v>24</v>
      </c>
      <c r="K3216" s="76" t="str">
        <f>VLOOKUP(Tabelle2[[#This Row],[Kunden Nr.]],KUNDEN!A:G,7)</f>
        <v>Qerimi</v>
      </c>
      <c r="L3216" s="76">
        <f>VLOOKUP(Tabelle2[[#This Row],[Artikel]],Produkte!A:H,8)</f>
        <v>0.17</v>
      </c>
    </row>
    <row r="3217" spans="1:12" x14ac:dyDescent="0.2">
      <c r="A3217" s="75" t="s">
        <v>1204</v>
      </c>
      <c r="B3217" s="79">
        <v>46147</v>
      </c>
      <c r="C3217" s="89">
        <v>96</v>
      </c>
      <c r="D3217" s="75"/>
      <c r="E3217" s="75"/>
      <c r="F3217" s="75">
        <v>10245</v>
      </c>
      <c r="G3217" s="76" t="str">
        <f>VLOOKUP(Tabelle2[[#This Row],[Kunden Nr.]],KUNDEN!A:B,2,0)</f>
        <v>BEK TRADE</v>
      </c>
      <c r="H3217" s="75">
        <v>35109</v>
      </c>
      <c r="I3217" s="76" t="str">
        <f>VLOOKUP(Tabelle2[[#This Row],[Artikel]],Produkte!A:B,2,0)</f>
        <v>M-ONE Sanitar Silikon</v>
      </c>
      <c r="J3217" s="75">
        <v>12</v>
      </c>
      <c r="K3217" s="76" t="str">
        <f>VLOOKUP(Tabelle2[[#This Row],[Kunden Nr.]],KUNDEN!A:G,7)</f>
        <v>Qerimi</v>
      </c>
      <c r="L3217" s="76">
        <f>VLOOKUP(Tabelle2[[#This Row],[Artikel]],Produkte!A:H,8)</f>
        <v>0.17</v>
      </c>
    </row>
    <row r="3218" spans="1:12" x14ac:dyDescent="0.2">
      <c r="A3218" s="75" t="s">
        <v>1204</v>
      </c>
      <c r="B3218" s="79">
        <v>46147</v>
      </c>
      <c r="C3218" s="75"/>
      <c r="D3218" s="75"/>
      <c r="E3218" s="75"/>
      <c r="F3218" s="75">
        <v>10245</v>
      </c>
      <c r="G3218" s="76" t="str">
        <f>VLOOKUP(Tabelle2[[#This Row],[Kunden Nr.]],KUNDEN!A:B,2,0)</f>
        <v>BEK TRADE</v>
      </c>
      <c r="H3218" s="75">
        <v>35128</v>
      </c>
      <c r="I3218" s="76" t="str">
        <f>VLOOKUP(Tabelle2[[#This Row],[Artikel]],Produkte!A:B,2,0)</f>
        <v>M-ONE Sanitar Silikon</v>
      </c>
      <c r="J3218" s="75">
        <v>12</v>
      </c>
      <c r="K3218" s="76" t="str">
        <f>VLOOKUP(Tabelle2[[#This Row],[Kunden Nr.]],KUNDEN!A:G,7)</f>
        <v>Qerimi</v>
      </c>
      <c r="L3218" s="76">
        <f>VLOOKUP(Tabelle2[[#This Row],[Artikel]],Produkte!A:H,8)</f>
        <v>0.17</v>
      </c>
    </row>
    <row r="3219" spans="1:12" x14ac:dyDescent="0.2">
      <c r="A3219" s="75" t="s">
        <v>1038</v>
      </c>
      <c r="B3219" s="79">
        <v>46147</v>
      </c>
      <c r="C3219" s="89">
        <v>27.6</v>
      </c>
      <c r="D3219" s="75"/>
      <c r="E3219" s="75"/>
      <c r="F3219" s="75">
        <v>10241</v>
      </c>
      <c r="G3219" s="76" t="str">
        <f>VLOOKUP(Tabelle2[[#This Row],[Kunden Nr.]],KUNDEN!A:B,2,0)</f>
        <v>AB SHPK</v>
      </c>
      <c r="H3219" s="75">
        <v>51612</v>
      </c>
      <c r="I3219" s="76" t="str">
        <f>VLOOKUP(Tabelle2[[#This Row],[Artikel]],Produkte!A:B,2,0)</f>
        <v>struktural akryl</v>
      </c>
      <c r="J3219" s="75">
        <v>12</v>
      </c>
      <c r="K3219" s="76" t="str">
        <f>VLOOKUP(Tabelle2[[#This Row],[Kunden Nr.]],KUNDEN!A:G,7)</f>
        <v>Qerimi</v>
      </c>
      <c r="L3219" s="76">
        <f>VLOOKUP(Tabelle2[[#This Row],[Artikel]],Produkte!A:H,8)</f>
        <v>0.06</v>
      </c>
    </row>
    <row r="3220" spans="1:12" x14ac:dyDescent="0.2">
      <c r="A3220" s="75" t="s">
        <v>1179</v>
      </c>
      <c r="B3220" s="79">
        <v>46147</v>
      </c>
      <c r="C3220" s="89">
        <v>96</v>
      </c>
      <c r="D3220" s="75"/>
      <c r="E3220" s="75"/>
      <c r="F3220" s="75">
        <v>40019</v>
      </c>
      <c r="G3220" s="76" t="str">
        <f>VLOOKUP(Tabelle2[[#This Row],[Kunden Nr.]],KUNDEN!A:B,2,0)</f>
        <v>TEMAJ</v>
      </c>
      <c r="H3220" s="75">
        <v>35109</v>
      </c>
      <c r="I3220" s="76" t="str">
        <f>VLOOKUP(Tabelle2[[#This Row],[Artikel]],Produkte!A:B,2,0)</f>
        <v>M-ONE Sanitar Silikon</v>
      </c>
      <c r="J3220" s="75">
        <v>12</v>
      </c>
      <c r="K3220" s="76">
        <f>VLOOKUP(Tabelle2[[#This Row],[Kunden Nr.]],KUNDEN!A:G,7)</f>
        <v>0</v>
      </c>
      <c r="L3220" s="76">
        <f>VLOOKUP(Tabelle2[[#This Row],[Artikel]],Produkte!A:H,8)</f>
        <v>0.17</v>
      </c>
    </row>
    <row r="3221" spans="1:12" x14ac:dyDescent="0.2">
      <c r="A3221" s="75" t="s">
        <v>1179</v>
      </c>
      <c r="B3221" s="79">
        <v>46147</v>
      </c>
      <c r="C3221" s="75"/>
      <c r="D3221" s="75"/>
      <c r="E3221" s="75"/>
      <c r="F3221" s="75">
        <v>40019</v>
      </c>
      <c r="G3221" s="76" t="str">
        <f>VLOOKUP(Tabelle2[[#This Row],[Kunden Nr.]],KUNDEN!A:B,2,0)</f>
        <v>TEMAJ</v>
      </c>
      <c r="H3221" s="75">
        <v>35112</v>
      </c>
      <c r="I3221" s="76" t="str">
        <f>VLOOKUP(Tabelle2[[#This Row],[Artikel]],Produkte!A:B,2,0)</f>
        <v>M-ONE Sanitar Silikon</v>
      </c>
      <c r="J3221" s="75">
        <v>12</v>
      </c>
      <c r="K3221" s="76">
        <f>VLOOKUP(Tabelle2[[#This Row],[Kunden Nr.]],KUNDEN!A:G,7)</f>
        <v>0</v>
      </c>
      <c r="L3221" s="76">
        <f>VLOOKUP(Tabelle2[[#This Row],[Artikel]],Produkte!A:H,8)</f>
        <v>0.17</v>
      </c>
    </row>
    <row r="3222" spans="1:12" x14ac:dyDescent="0.2">
      <c r="A3222" s="75" t="s">
        <v>43</v>
      </c>
      <c r="B3222" s="79">
        <v>46148</v>
      </c>
      <c r="C3222" s="89">
        <v>63</v>
      </c>
      <c r="D3222" s="75"/>
      <c r="E3222" s="75"/>
      <c r="F3222" s="75">
        <v>10332</v>
      </c>
      <c r="G3222" s="76" t="str">
        <f>VLOOKUP(Tabelle2[[#This Row],[Kunden Nr.]],KUNDEN!A:B,2,0)</f>
        <v>DARDANIA</v>
      </c>
      <c r="H3222" s="75">
        <v>35112</v>
      </c>
      <c r="I3222" s="76" t="str">
        <f>VLOOKUP(Tabelle2[[#This Row],[Artikel]],Produkte!A:B,2,0)</f>
        <v>M-ONE Sanitar Silikon</v>
      </c>
      <c r="J3222" s="75">
        <v>12</v>
      </c>
      <c r="K3222" s="76" t="str">
        <f>VLOOKUP(Tabelle2[[#This Row],[Kunden Nr.]],KUNDEN!A:G,7)</f>
        <v>Qerimi</v>
      </c>
      <c r="L3222" s="76">
        <f>VLOOKUP(Tabelle2[[#This Row],[Artikel]],Produkte!A:H,8)</f>
        <v>0.17</v>
      </c>
    </row>
    <row r="3223" spans="1:12" x14ac:dyDescent="0.2">
      <c r="A3223" s="75" t="s">
        <v>43</v>
      </c>
      <c r="B3223" s="79">
        <v>46148</v>
      </c>
      <c r="C3223" s="75"/>
      <c r="D3223" s="75"/>
      <c r="E3223" s="75"/>
      <c r="F3223" s="75">
        <v>10332</v>
      </c>
      <c r="G3223" s="76" t="str">
        <f>VLOOKUP(Tabelle2[[#This Row],[Kunden Nr.]],KUNDEN!A:B,2,0)</f>
        <v>DARDANIA</v>
      </c>
      <c r="H3223" s="75">
        <v>51611</v>
      </c>
      <c r="I3223" s="76" t="str">
        <f>VLOOKUP(Tabelle2[[#This Row],[Artikel]],Produkte!A:B,2,0)</f>
        <v>universal akryl</v>
      </c>
      <c r="J3223" s="75">
        <v>12</v>
      </c>
      <c r="K3223" s="76" t="str">
        <f>VLOOKUP(Tabelle2[[#This Row],[Kunden Nr.]],KUNDEN!A:G,7)</f>
        <v>Qerimi</v>
      </c>
      <c r="L3223" s="76">
        <f>VLOOKUP(Tabelle2[[#This Row],[Artikel]],Produkte!A:H,8)</f>
        <v>0.06</v>
      </c>
    </row>
    <row r="3224" spans="1:12" x14ac:dyDescent="0.2">
      <c r="A3224" s="75" t="s">
        <v>41</v>
      </c>
      <c r="B3224" s="79">
        <v>46148</v>
      </c>
      <c r="C3224" s="89">
        <v>48</v>
      </c>
      <c r="D3224" s="75"/>
      <c r="E3224" s="75"/>
      <c r="F3224" s="75">
        <v>10330</v>
      </c>
      <c r="G3224" s="76" t="str">
        <f>VLOOKUP(Tabelle2[[#This Row],[Kunden Nr.]],KUNDEN!A:B,2,0)</f>
        <v>BURIMI</v>
      </c>
      <c r="H3224" s="75">
        <v>35110</v>
      </c>
      <c r="I3224" s="76" t="str">
        <f>VLOOKUP(Tabelle2[[#This Row],[Artikel]],Produkte!A:B,2,0)</f>
        <v>M-ONE Sanitar Silikon</v>
      </c>
      <c r="J3224" s="75">
        <v>12</v>
      </c>
      <c r="K3224" s="76" t="str">
        <f>VLOOKUP(Tabelle2[[#This Row],[Kunden Nr.]],KUNDEN!A:G,7)</f>
        <v>Qerimi</v>
      </c>
      <c r="L3224" s="76">
        <f>VLOOKUP(Tabelle2[[#This Row],[Artikel]],Produkte!A:H,8)</f>
        <v>0.17</v>
      </c>
    </row>
    <row r="3225" spans="1:12" x14ac:dyDescent="0.2">
      <c r="A3225" s="75" t="s">
        <v>413</v>
      </c>
      <c r="B3225" s="79">
        <v>46148</v>
      </c>
      <c r="C3225" s="89">
        <v>192</v>
      </c>
      <c r="D3225" s="75"/>
      <c r="E3225" s="75"/>
      <c r="F3225" s="75">
        <v>10350</v>
      </c>
      <c r="G3225" s="76" t="str">
        <f>VLOOKUP(Tabelle2[[#This Row],[Kunden Nr.]],KUNDEN!A:B,2,0)</f>
        <v>BALLKANI</v>
      </c>
      <c r="H3225" s="75">
        <v>35121</v>
      </c>
      <c r="I3225" s="76" t="str">
        <f>VLOOKUP(Tabelle2[[#This Row],[Artikel]],Produkte!A:B,2,0)</f>
        <v>M-ONE Sanitar Silikon</v>
      </c>
      <c r="J3225" s="75">
        <v>48</v>
      </c>
      <c r="K3225" s="76" t="str">
        <f>VLOOKUP(Tabelle2[[#This Row],[Kunden Nr.]],KUNDEN!A:G,7)</f>
        <v>Qerimi</v>
      </c>
      <c r="L3225" s="76">
        <f>VLOOKUP(Tabelle2[[#This Row],[Artikel]],Produkte!A:H,8)</f>
        <v>0.17</v>
      </c>
    </row>
    <row r="3226" spans="1:12" x14ac:dyDescent="0.2">
      <c r="A3226" s="75" t="s">
        <v>23</v>
      </c>
      <c r="B3226" s="79">
        <v>46148</v>
      </c>
      <c r="C3226" s="89">
        <v>110.4</v>
      </c>
      <c r="D3226" s="75"/>
      <c r="E3226" s="75"/>
      <c r="F3226" s="75">
        <v>10317</v>
      </c>
      <c r="G3226" s="76" t="str">
        <f>VLOOKUP(Tabelle2[[#This Row],[Kunden Nr.]],KUNDEN!A:B,2,0)</f>
        <v>BEKA-2</v>
      </c>
      <c r="H3226" s="75">
        <v>54412</v>
      </c>
      <c r="I3226" s="76" t="str">
        <f>VLOOKUP(Tabelle2[[#This Row],[Artikel]],Produkte!A:B,2,0)</f>
        <v>beMAKER Bremsen&amp;Teile Reininger</v>
      </c>
      <c r="J3226" s="75">
        <v>12</v>
      </c>
      <c r="K3226" s="76" t="str">
        <f>VLOOKUP(Tabelle2[[#This Row],[Kunden Nr.]],KUNDEN!A:G,7)</f>
        <v>Qerimi</v>
      </c>
      <c r="L3226" s="76">
        <f>VLOOKUP(Tabelle2[[#This Row],[Artikel]],Produkte!A:H,8)</f>
        <v>0.2</v>
      </c>
    </row>
    <row r="3227" spans="1:12" x14ac:dyDescent="0.2">
      <c r="A3227" s="75" t="s">
        <v>23</v>
      </c>
      <c r="B3227" s="79">
        <v>46148</v>
      </c>
      <c r="C3227" s="75"/>
      <c r="D3227" s="75"/>
      <c r="E3227" s="75"/>
      <c r="F3227" s="75">
        <v>10317</v>
      </c>
      <c r="G3227" s="76" t="str">
        <f>VLOOKUP(Tabelle2[[#This Row],[Kunden Nr.]],KUNDEN!A:B,2,0)</f>
        <v>BEKA-2</v>
      </c>
      <c r="H3227" s="75">
        <v>50912</v>
      </c>
      <c r="I3227" s="76" t="str">
        <f>VLOOKUP(Tabelle2[[#This Row],[Artikel]],Produkte!A:B,2,0)</f>
        <v>DICHTUNG</v>
      </c>
      <c r="J3227" s="75">
        <v>12</v>
      </c>
      <c r="K3227" s="76" t="str">
        <f>VLOOKUP(Tabelle2[[#This Row],[Kunden Nr.]],KUNDEN!A:G,7)</f>
        <v>Qerimi</v>
      </c>
      <c r="L3227" s="76">
        <f>VLOOKUP(Tabelle2[[#This Row],[Artikel]],Produkte!A:H,8)</f>
        <v>0.2</v>
      </c>
    </row>
    <row r="3228" spans="1:12" x14ac:dyDescent="0.2">
      <c r="A3228" s="75" t="s">
        <v>20</v>
      </c>
      <c r="B3228" s="79">
        <v>46148</v>
      </c>
      <c r="C3228" s="89">
        <v>96</v>
      </c>
      <c r="D3228" s="75"/>
      <c r="E3228" s="75"/>
      <c r="F3228" s="75">
        <v>10313</v>
      </c>
      <c r="G3228" s="76" t="str">
        <f>VLOOKUP(Tabelle2[[#This Row],[Kunden Nr.]],KUNDEN!A:B,2,0)</f>
        <v>FATMIRI</v>
      </c>
      <c r="H3228" s="75">
        <v>35115</v>
      </c>
      <c r="I3228" s="76" t="str">
        <f>VLOOKUP(Tabelle2[[#This Row],[Artikel]],Produkte!A:B,2,0)</f>
        <v>M-ONE Sanitar Silikon</v>
      </c>
      <c r="J3228" s="75">
        <v>12</v>
      </c>
      <c r="K3228" s="76" t="str">
        <f>VLOOKUP(Tabelle2[[#This Row],[Kunden Nr.]],KUNDEN!A:G,7)</f>
        <v>Qerimi</v>
      </c>
      <c r="L3228" s="76">
        <f>VLOOKUP(Tabelle2[[#This Row],[Artikel]],Produkte!A:H,8)</f>
        <v>0.17</v>
      </c>
    </row>
    <row r="3229" spans="1:12" x14ac:dyDescent="0.2">
      <c r="A3229" s="75" t="s">
        <v>20</v>
      </c>
      <c r="B3229" s="79">
        <v>46148</v>
      </c>
      <c r="C3229" s="75"/>
      <c r="D3229" s="75"/>
      <c r="E3229" s="75"/>
      <c r="F3229" s="75">
        <v>10313</v>
      </c>
      <c r="G3229" s="76" t="str">
        <f>VLOOKUP(Tabelle2[[#This Row],[Kunden Nr.]],KUNDEN!A:B,2,0)</f>
        <v>FATMIRI</v>
      </c>
      <c r="H3229" s="75">
        <v>35128</v>
      </c>
      <c r="I3229" s="76" t="str">
        <f>VLOOKUP(Tabelle2[[#This Row],[Artikel]],Produkte!A:B,2,0)</f>
        <v>M-ONE Sanitar Silikon</v>
      </c>
      <c r="J3229" s="75">
        <v>12</v>
      </c>
      <c r="K3229" s="76" t="str">
        <f>VLOOKUP(Tabelle2[[#This Row],[Kunden Nr.]],KUNDEN!A:G,7)</f>
        <v>Qerimi</v>
      </c>
      <c r="L3229" s="76">
        <f>VLOOKUP(Tabelle2[[#This Row],[Artikel]],Produkte!A:H,8)</f>
        <v>0.17</v>
      </c>
    </row>
    <row r="3230" spans="1:12" x14ac:dyDescent="0.2">
      <c r="A3230" s="75" t="s">
        <v>10</v>
      </c>
      <c r="B3230" s="79">
        <v>46148</v>
      </c>
      <c r="C3230" s="89">
        <v>48</v>
      </c>
      <c r="D3230" s="75"/>
      <c r="E3230" s="75"/>
      <c r="F3230" s="75">
        <v>10306</v>
      </c>
      <c r="G3230" s="76" t="str">
        <f>VLOOKUP(Tabelle2[[#This Row],[Kunden Nr.]],KUNDEN!A:B,2,0)</f>
        <v>ELIONI-1</v>
      </c>
      <c r="H3230" s="75">
        <v>35109</v>
      </c>
      <c r="I3230" s="76" t="str">
        <f>VLOOKUP(Tabelle2[[#This Row],[Artikel]],Produkte!A:B,2,0)</f>
        <v>M-ONE Sanitar Silikon</v>
      </c>
      <c r="J3230" s="75">
        <v>12</v>
      </c>
      <c r="K3230" s="76" t="str">
        <f>VLOOKUP(Tabelle2[[#This Row],[Kunden Nr.]],KUNDEN!A:G,7)</f>
        <v>Qerimi</v>
      </c>
      <c r="L3230" s="76">
        <f>VLOOKUP(Tabelle2[[#This Row],[Artikel]],Produkte!A:H,8)</f>
        <v>0.17</v>
      </c>
    </row>
    <row r="3231" spans="1:12" x14ac:dyDescent="0.2">
      <c r="A3231" s="75" t="s">
        <v>12</v>
      </c>
      <c r="B3231" s="79">
        <v>46148</v>
      </c>
      <c r="C3231" s="89">
        <v>96</v>
      </c>
      <c r="D3231" s="75"/>
      <c r="E3231" s="75"/>
      <c r="F3231" s="75">
        <v>10308</v>
      </c>
      <c r="G3231" s="76" t="str">
        <f>VLOOKUP(Tabelle2[[#This Row],[Kunden Nr.]],KUNDEN!A:B,2,0)</f>
        <v>ERALP</v>
      </c>
      <c r="H3231" s="75">
        <v>35108</v>
      </c>
      <c r="I3231" s="76" t="str">
        <f>VLOOKUP(Tabelle2[[#This Row],[Artikel]],Produkte!A:B,2,0)</f>
        <v>M-ONE Sanitar Silikon</v>
      </c>
      <c r="J3231" s="75">
        <v>12</v>
      </c>
      <c r="K3231" s="76" t="str">
        <f>VLOOKUP(Tabelle2[[#This Row],[Kunden Nr.]],KUNDEN!A:G,7)</f>
        <v>Qerimi</v>
      </c>
      <c r="L3231" s="76">
        <f>VLOOKUP(Tabelle2[[#This Row],[Artikel]],Produkte!A:H,8)</f>
        <v>0.17</v>
      </c>
    </row>
    <row r="3232" spans="1:12" x14ac:dyDescent="0.2">
      <c r="A3232" s="75" t="s">
        <v>12</v>
      </c>
      <c r="B3232" s="79">
        <v>46148</v>
      </c>
      <c r="C3232" s="75"/>
      <c r="D3232" s="75"/>
      <c r="E3232" s="75"/>
      <c r="F3232" s="75">
        <v>10308</v>
      </c>
      <c r="G3232" s="76" t="str">
        <f>VLOOKUP(Tabelle2[[#This Row],[Kunden Nr.]],KUNDEN!A:B,2,0)</f>
        <v>ERALP</v>
      </c>
      <c r="H3232" s="75">
        <v>35121</v>
      </c>
      <c r="I3232" s="76" t="str">
        <f>VLOOKUP(Tabelle2[[#This Row],[Artikel]],Produkte!A:B,2,0)</f>
        <v>M-ONE Sanitar Silikon</v>
      </c>
      <c r="J3232" s="75">
        <v>12</v>
      </c>
      <c r="K3232" s="76" t="str">
        <f>VLOOKUP(Tabelle2[[#This Row],[Kunden Nr.]],KUNDEN!A:G,7)</f>
        <v>Qerimi</v>
      </c>
      <c r="L3232" s="76">
        <f>VLOOKUP(Tabelle2[[#This Row],[Artikel]],Produkte!A:H,8)</f>
        <v>0.17</v>
      </c>
    </row>
    <row r="3233" spans="1:12" x14ac:dyDescent="0.2">
      <c r="A3233" s="75" t="s">
        <v>614</v>
      </c>
      <c r="B3233" s="79">
        <v>46148</v>
      </c>
      <c r="C3233" s="89">
        <v>213.6</v>
      </c>
      <c r="D3233" s="75"/>
      <c r="E3233" s="75"/>
      <c r="F3233" s="75">
        <v>20301</v>
      </c>
      <c r="G3233" s="76" t="str">
        <f>VLOOKUP(Tabelle2[[#This Row],[Kunden Nr.]],KUNDEN!A:B,2,0)</f>
        <v>HAZROLLI</v>
      </c>
      <c r="H3233" s="75">
        <v>35108</v>
      </c>
      <c r="I3233" s="76" t="str">
        <f>VLOOKUP(Tabelle2[[#This Row],[Artikel]],Produkte!A:B,2,0)</f>
        <v>M-ONE Sanitar Silikon</v>
      </c>
      <c r="J3233" s="75">
        <v>12</v>
      </c>
      <c r="K3233" s="76" t="str">
        <f>VLOOKUP(Tabelle2[[#This Row],[Kunden Nr.]],KUNDEN!A:G,7)</f>
        <v>Mensuri</v>
      </c>
      <c r="L3233" s="76">
        <f>VLOOKUP(Tabelle2[[#This Row],[Artikel]],Produkte!A:H,8)</f>
        <v>0.17</v>
      </c>
    </row>
    <row r="3234" spans="1:12" x14ac:dyDescent="0.2">
      <c r="A3234" s="75" t="s">
        <v>614</v>
      </c>
      <c r="B3234" s="79">
        <v>46148</v>
      </c>
      <c r="C3234" s="75"/>
      <c r="D3234" s="75"/>
      <c r="E3234" s="75"/>
      <c r="F3234" s="75">
        <v>20301</v>
      </c>
      <c r="G3234" s="76" t="str">
        <f>VLOOKUP(Tabelle2[[#This Row],[Kunden Nr.]],KUNDEN!A:B,2,0)</f>
        <v>HAZROLLI</v>
      </c>
      <c r="H3234" s="75">
        <v>35115</v>
      </c>
      <c r="I3234" s="76" t="str">
        <f>VLOOKUP(Tabelle2[[#This Row],[Artikel]],Produkte!A:B,2,0)</f>
        <v>M-ONE Sanitar Silikon</v>
      </c>
      <c r="J3234" s="75">
        <v>12</v>
      </c>
      <c r="K3234" s="76" t="str">
        <f>VLOOKUP(Tabelle2[[#This Row],[Kunden Nr.]],KUNDEN!A:G,7)</f>
        <v>Mensuri</v>
      </c>
      <c r="L3234" s="76">
        <f>VLOOKUP(Tabelle2[[#This Row],[Artikel]],Produkte!A:H,8)</f>
        <v>0.17</v>
      </c>
    </row>
    <row r="3235" spans="1:12" x14ac:dyDescent="0.2">
      <c r="A3235" s="75" t="s">
        <v>614</v>
      </c>
      <c r="B3235" s="79">
        <v>46148</v>
      </c>
      <c r="C3235" s="75"/>
      <c r="D3235" s="75"/>
      <c r="E3235" s="75"/>
      <c r="F3235" s="75">
        <v>20301</v>
      </c>
      <c r="G3235" s="76" t="str">
        <f>VLOOKUP(Tabelle2[[#This Row],[Kunden Nr.]],KUNDEN!A:B,2,0)</f>
        <v>HAZROLLI</v>
      </c>
      <c r="H3235" s="75">
        <v>35121</v>
      </c>
      <c r="I3235" s="76" t="str">
        <f>VLOOKUP(Tabelle2[[#This Row],[Artikel]],Produkte!A:B,2,0)</f>
        <v>M-ONE Sanitar Silikon</v>
      </c>
      <c r="J3235" s="75">
        <v>12</v>
      </c>
      <c r="K3235" s="76" t="str">
        <f>VLOOKUP(Tabelle2[[#This Row],[Kunden Nr.]],KUNDEN!A:G,7)</f>
        <v>Mensuri</v>
      </c>
      <c r="L3235" s="76">
        <f>VLOOKUP(Tabelle2[[#This Row],[Artikel]],Produkte!A:H,8)</f>
        <v>0.17</v>
      </c>
    </row>
    <row r="3236" spans="1:12" x14ac:dyDescent="0.2">
      <c r="A3236" s="75" t="s">
        <v>614</v>
      </c>
      <c r="B3236" s="79">
        <v>46148</v>
      </c>
      <c r="C3236" s="75"/>
      <c r="D3236" s="75"/>
      <c r="E3236" s="75"/>
      <c r="F3236" s="75">
        <v>20301</v>
      </c>
      <c r="G3236" s="76" t="str">
        <f>VLOOKUP(Tabelle2[[#This Row],[Kunden Nr.]],KUNDEN!A:B,2,0)</f>
        <v>HAZROLLI</v>
      </c>
      <c r="H3236" s="75">
        <v>66701</v>
      </c>
      <c r="I3236" s="76" t="str">
        <f>VLOOKUP(Tabelle2[[#This Row],[Artikel]],Produkte!A:B,2,0)</f>
        <v>PROFIMONT EXTREME</v>
      </c>
      <c r="J3236" s="75">
        <v>12</v>
      </c>
      <c r="K3236" s="76" t="str">
        <f>VLOOKUP(Tabelle2[[#This Row],[Kunden Nr.]],KUNDEN!A:G,7)</f>
        <v>Mensuri</v>
      </c>
      <c r="L3236" s="76">
        <f>VLOOKUP(Tabelle2[[#This Row],[Artikel]],Produkte!A:H,8)</f>
        <v>0.2</v>
      </c>
    </row>
    <row r="3237" spans="1:12" x14ac:dyDescent="0.2">
      <c r="A3237" s="75" t="s">
        <v>618</v>
      </c>
      <c r="B3237" s="79">
        <v>46148</v>
      </c>
      <c r="C3237" s="89">
        <v>324.60000000000002</v>
      </c>
      <c r="D3237" s="75"/>
      <c r="E3237" s="75"/>
      <c r="F3237" s="75">
        <v>20307</v>
      </c>
      <c r="G3237" s="76" t="str">
        <f>VLOOKUP(Tabelle2[[#This Row],[Kunden Nr.]],KUNDEN!A:B,2,0)</f>
        <v>CONDOR</v>
      </c>
      <c r="H3237" s="75">
        <v>35108</v>
      </c>
      <c r="I3237" s="76" t="str">
        <f>VLOOKUP(Tabelle2[[#This Row],[Artikel]],Produkte!A:B,2,0)</f>
        <v>M-ONE Sanitar Silikon</v>
      </c>
      <c r="J3237" s="75">
        <v>12</v>
      </c>
      <c r="K3237" s="76" t="str">
        <f>VLOOKUP(Tabelle2[[#This Row],[Kunden Nr.]],KUNDEN!A:G,7)</f>
        <v>Mensuri</v>
      </c>
      <c r="L3237" s="76">
        <f>VLOOKUP(Tabelle2[[#This Row],[Artikel]],Produkte!A:H,8)</f>
        <v>0.17</v>
      </c>
    </row>
    <row r="3238" spans="1:12" x14ac:dyDescent="0.2">
      <c r="A3238" s="75" t="s">
        <v>618</v>
      </c>
      <c r="B3238" s="79">
        <v>46148</v>
      </c>
      <c r="C3238" s="75"/>
      <c r="D3238" s="75"/>
      <c r="E3238" s="75"/>
      <c r="F3238" s="75">
        <v>20307</v>
      </c>
      <c r="G3238" s="76" t="str">
        <f>VLOOKUP(Tabelle2[[#This Row],[Kunden Nr.]],KUNDEN!A:B,2,0)</f>
        <v>CONDOR</v>
      </c>
      <c r="H3238" s="75">
        <v>35109</v>
      </c>
      <c r="I3238" s="76" t="str">
        <f>VLOOKUP(Tabelle2[[#This Row],[Artikel]],Produkte!A:B,2,0)</f>
        <v>M-ONE Sanitar Silikon</v>
      </c>
      <c r="J3238" s="75">
        <v>24</v>
      </c>
      <c r="K3238" s="76" t="str">
        <f>VLOOKUP(Tabelle2[[#This Row],[Kunden Nr.]],KUNDEN!A:G,7)</f>
        <v>Mensuri</v>
      </c>
      <c r="L3238" s="76">
        <f>VLOOKUP(Tabelle2[[#This Row],[Artikel]],Produkte!A:H,8)</f>
        <v>0.17</v>
      </c>
    </row>
    <row r="3239" spans="1:12" x14ac:dyDescent="0.2">
      <c r="A3239" s="75" t="s">
        <v>618</v>
      </c>
      <c r="B3239" s="79">
        <v>46148</v>
      </c>
      <c r="C3239" s="75"/>
      <c r="D3239" s="75"/>
      <c r="E3239" s="75"/>
      <c r="F3239" s="75">
        <v>20307</v>
      </c>
      <c r="G3239" s="76" t="str">
        <f>VLOOKUP(Tabelle2[[#This Row],[Kunden Nr.]],KUNDEN!A:B,2,0)</f>
        <v>CONDOR</v>
      </c>
      <c r="H3239" s="75">
        <v>35111</v>
      </c>
      <c r="I3239" s="76" t="str">
        <f>VLOOKUP(Tabelle2[[#This Row],[Artikel]],Produkte!A:B,2,0)</f>
        <v>M-ONE Sanitar Silikon</v>
      </c>
      <c r="J3239" s="75">
        <v>12</v>
      </c>
      <c r="K3239" s="76" t="str">
        <f>VLOOKUP(Tabelle2[[#This Row],[Kunden Nr.]],KUNDEN!A:G,7)</f>
        <v>Mensuri</v>
      </c>
      <c r="L3239" s="76">
        <f>VLOOKUP(Tabelle2[[#This Row],[Artikel]],Produkte!A:H,8)</f>
        <v>0.17</v>
      </c>
    </row>
    <row r="3240" spans="1:12" x14ac:dyDescent="0.2">
      <c r="A3240" s="75" t="s">
        <v>618</v>
      </c>
      <c r="B3240" s="79">
        <v>46148</v>
      </c>
      <c r="C3240" s="75"/>
      <c r="D3240" s="75"/>
      <c r="E3240" s="75"/>
      <c r="F3240" s="75">
        <v>20307</v>
      </c>
      <c r="G3240" s="76" t="str">
        <f>VLOOKUP(Tabelle2[[#This Row],[Kunden Nr.]],KUNDEN!A:B,2,0)</f>
        <v>CONDOR</v>
      </c>
      <c r="H3240" s="75">
        <v>35128</v>
      </c>
      <c r="I3240" s="76" t="str">
        <f>VLOOKUP(Tabelle2[[#This Row],[Artikel]],Produkte!A:B,2,0)</f>
        <v>M-ONE Sanitar Silikon</v>
      </c>
      <c r="J3240" s="75">
        <v>12</v>
      </c>
      <c r="K3240" s="76" t="str">
        <f>VLOOKUP(Tabelle2[[#This Row],[Kunden Nr.]],KUNDEN!A:G,7)</f>
        <v>Mensuri</v>
      </c>
      <c r="L3240" s="76">
        <f>VLOOKUP(Tabelle2[[#This Row],[Artikel]],Produkte!A:H,8)</f>
        <v>0.17</v>
      </c>
    </row>
    <row r="3241" spans="1:12" x14ac:dyDescent="0.2">
      <c r="A3241" s="75" t="s">
        <v>618</v>
      </c>
      <c r="B3241" s="79">
        <v>46148</v>
      </c>
      <c r="C3241" s="75"/>
      <c r="D3241" s="75"/>
      <c r="E3241" s="75"/>
      <c r="F3241" s="75">
        <v>20307</v>
      </c>
      <c r="G3241" s="76" t="str">
        <f>VLOOKUP(Tabelle2[[#This Row],[Kunden Nr.]],KUNDEN!A:B,2,0)</f>
        <v>CONDOR</v>
      </c>
      <c r="H3241" s="75">
        <v>66701</v>
      </c>
      <c r="I3241" s="76" t="str">
        <f>VLOOKUP(Tabelle2[[#This Row],[Artikel]],Produkte!A:B,2,0)</f>
        <v>PROFIMONT EXTREME</v>
      </c>
      <c r="J3241" s="75">
        <v>12</v>
      </c>
      <c r="K3241" s="76" t="str">
        <f>VLOOKUP(Tabelle2[[#This Row],[Kunden Nr.]],KUNDEN!A:G,7)</f>
        <v>Mensuri</v>
      </c>
      <c r="L3241" s="76">
        <f>VLOOKUP(Tabelle2[[#This Row],[Artikel]],Produkte!A:H,8)</f>
        <v>0.2</v>
      </c>
    </row>
    <row r="3242" spans="1:12" x14ac:dyDescent="0.2">
      <c r="A3242" s="75" t="s">
        <v>618</v>
      </c>
      <c r="B3242" s="79">
        <v>46148</v>
      </c>
      <c r="C3242" s="75"/>
      <c r="D3242" s="75"/>
      <c r="E3242" s="75"/>
      <c r="F3242" s="75">
        <v>20307</v>
      </c>
      <c r="G3242" s="76" t="str">
        <f>VLOOKUP(Tabelle2[[#This Row],[Kunden Nr.]],KUNDEN!A:B,2,0)</f>
        <v>CONDOR</v>
      </c>
      <c r="H3242" s="75">
        <v>26736</v>
      </c>
      <c r="I3242" s="76" t="str">
        <f>VLOOKUP(Tabelle2[[#This Row],[Artikel]],Produkte!A:B,2,0)</f>
        <v>M ONE HAFTGRUND</v>
      </c>
      <c r="J3242" s="75">
        <v>6</v>
      </c>
      <c r="K3242" s="76" t="str">
        <f>VLOOKUP(Tabelle2[[#This Row],[Kunden Nr.]],KUNDEN!A:G,7)</f>
        <v>Mensuri</v>
      </c>
      <c r="L3242" s="76">
        <f>VLOOKUP(Tabelle2[[#This Row],[Artikel]],Produkte!A:H,8)</f>
        <v>0.15</v>
      </c>
    </row>
    <row r="3243" spans="1:12" x14ac:dyDescent="0.2">
      <c r="A3243" s="75" t="s">
        <v>1252</v>
      </c>
      <c r="B3243" s="79">
        <v>46148</v>
      </c>
      <c r="C3243" s="89">
        <v>111</v>
      </c>
      <c r="D3243" s="75"/>
      <c r="E3243" s="75"/>
      <c r="F3243" s="75">
        <v>20331</v>
      </c>
      <c r="G3243" s="76" t="str">
        <f>VLOOKUP(Tabelle2[[#This Row],[Kunden Nr.]],KUNDEN!A:B,2,0)</f>
        <v>BARDHI-M</v>
      </c>
      <c r="H3243" s="75">
        <v>35110</v>
      </c>
      <c r="I3243" s="76" t="str">
        <f>VLOOKUP(Tabelle2[[#This Row],[Artikel]],Produkte!A:B,2,0)</f>
        <v>M-ONE Sanitar Silikon</v>
      </c>
      <c r="J3243" s="75">
        <v>12</v>
      </c>
      <c r="K3243" s="76" t="str">
        <f>VLOOKUP(Tabelle2[[#This Row],[Kunden Nr.]],KUNDEN!A:G,7)</f>
        <v>Mensuri</v>
      </c>
      <c r="L3243" s="76">
        <f>VLOOKUP(Tabelle2[[#This Row],[Artikel]],Produkte!A:H,8)</f>
        <v>0.17</v>
      </c>
    </row>
    <row r="3244" spans="1:12" x14ac:dyDescent="0.2">
      <c r="A3244" s="75" t="s">
        <v>1252</v>
      </c>
      <c r="B3244" s="79">
        <v>46148</v>
      </c>
      <c r="C3244" s="75"/>
      <c r="D3244" s="75"/>
      <c r="E3244" s="75"/>
      <c r="F3244" s="75">
        <v>20331</v>
      </c>
      <c r="G3244" s="76" t="str">
        <f>VLOOKUP(Tabelle2[[#This Row],[Kunden Nr.]],KUNDEN!A:B,2,0)</f>
        <v>BARDHI-M</v>
      </c>
      <c r="H3244" s="75">
        <v>35121</v>
      </c>
      <c r="I3244" s="76" t="str">
        <f>VLOOKUP(Tabelle2[[#This Row],[Artikel]],Produkte!A:B,2,0)</f>
        <v>M-ONE Sanitar Silikon</v>
      </c>
      <c r="J3244" s="75">
        <v>12</v>
      </c>
      <c r="K3244" s="76" t="str">
        <f>VLOOKUP(Tabelle2[[#This Row],[Kunden Nr.]],KUNDEN!A:G,7)</f>
        <v>Mensuri</v>
      </c>
      <c r="L3244" s="76">
        <f>VLOOKUP(Tabelle2[[#This Row],[Artikel]],Produkte!A:H,8)</f>
        <v>0.17</v>
      </c>
    </row>
    <row r="3245" spans="1:12" x14ac:dyDescent="0.2">
      <c r="A3245" s="75" t="s">
        <v>1252</v>
      </c>
      <c r="B3245" s="79">
        <v>46148</v>
      </c>
      <c r="C3245" s="75"/>
      <c r="D3245" s="75"/>
      <c r="E3245" s="75"/>
      <c r="F3245" s="75">
        <v>20331</v>
      </c>
      <c r="G3245" s="76" t="str">
        <f>VLOOKUP(Tabelle2[[#This Row],[Kunden Nr.]],KUNDEN!A:B,2,0)</f>
        <v>BARDHI-M</v>
      </c>
      <c r="H3245" s="75">
        <v>31903</v>
      </c>
      <c r="I3245" s="76" t="str">
        <f>VLOOKUP(Tabelle2[[#This Row],[Artikel]],Produkte!A:B,2,0)</f>
        <v>M ONE CHROM SPRAY</v>
      </c>
      <c r="J3245" s="75">
        <v>6</v>
      </c>
      <c r="K3245" s="76" t="str">
        <f>VLOOKUP(Tabelle2[[#This Row],[Kunden Nr.]],KUNDEN!A:G,7)</f>
        <v>Mensuri</v>
      </c>
      <c r="L3245" s="76">
        <f>VLOOKUP(Tabelle2[[#This Row],[Artikel]],Produkte!A:H,8)</f>
        <v>0.15</v>
      </c>
    </row>
    <row r="3246" spans="1:12" x14ac:dyDescent="0.2">
      <c r="A3246" s="75" t="s">
        <v>615</v>
      </c>
      <c r="B3246" s="79">
        <v>46148</v>
      </c>
      <c r="C3246" s="89">
        <v>123.6</v>
      </c>
      <c r="D3246" s="75"/>
      <c r="E3246" s="75"/>
      <c r="F3246" s="75">
        <v>20304</v>
      </c>
      <c r="G3246" s="76" t="str">
        <f>VLOOKUP(Tabelle2[[#This Row],[Kunden Nr.]],KUNDEN!A:B,2,0)</f>
        <v>AGRO-FARM</v>
      </c>
      <c r="H3246" s="75">
        <v>35114</v>
      </c>
      <c r="I3246" s="76" t="str">
        <f>VLOOKUP(Tabelle2[[#This Row],[Artikel]],Produkte!A:B,2,0)</f>
        <v>M-ONE Sanitar Silikon</v>
      </c>
      <c r="J3246" s="75">
        <v>12</v>
      </c>
      <c r="K3246" s="76" t="str">
        <f>VLOOKUP(Tabelle2[[#This Row],[Kunden Nr.]],KUNDEN!A:G,7)</f>
        <v>Mensuri</v>
      </c>
      <c r="L3246" s="76">
        <f>VLOOKUP(Tabelle2[[#This Row],[Artikel]],Produkte!A:H,8)</f>
        <v>0.17</v>
      </c>
    </row>
    <row r="3247" spans="1:12" x14ac:dyDescent="0.2">
      <c r="A3247" s="75" t="s">
        <v>615</v>
      </c>
      <c r="B3247" s="79">
        <v>46148</v>
      </c>
      <c r="C3247" s="75"/>
      <c r="D3247" s="75"/>
      <c r="E3247" s="75"/>
      <c r="F3247" s="75">
        <v>20304</v>
      </c>
      <c r="G3247" s="76" t="str">
        <f>VLOOKUP(Tabelle2[[#This Row],[Kunden Nr.]],KUNDEN!A:B,2,0)</f>
        <v>AGRO-FARM</v>
      </c>
      <c r="H3247" s="75">
        <v>35119</v>
      </c>
      <c r="I3247" s="76" t="str">
        <f>VLOOKUP(Tabelle2[[#This Row],[Artikel]],Produkte!A:B,2,0)</f>
        <v>M-ONE Sanitar Silikon</v>
      </c>
      <c r="J3247" s="75">
        <v>12</v>
      </c>
      <c r="K3247" s="76" t="str">
        <f>VLOOKUP(Tabelle2[[#This Row],[Kunden Nr.]],KUNDEN!A:G,7)</f>
        <v>Mensuri</v>
      </c>
      <c r="L3247" s="76">
        <f>VLOOKUP(Tabelle2[[#This Row],[Artikel]],Produkte!A:H,8)</f>
        <v>0.17</v>
      </c>
    </row>
    <row r="3248" spans="1:12" x14ac:dyDescent="0.2">
      <c r="A3248" s="75" t="s">
        <v>615</v>
      </c>
      <c r="B3248" s="79">
        <v>46148</v>
      </c>
      <c r="C3248" s="75"/>
      <c r="D3248" s="75"/>
      <c r="E3248" s="75"/>
      <c r="F3248" s="75">
        <v>20304</v>
      </c>
      <c r="G3248" s="76" t="str">
        <f>VLOOKUP(Tabelle2[[#This Row],[Kunden Nr.]],KUNDEN!A:B,2,0)</f>
        <v>AGRO-FARM</v>
      </c>
      <c r="H3248" s="75">
        <v>51612</v>
      </c>
      <c r="I3248" s="76" t="str">
        <f>VLOOKUP(Tabelle2[[#This Row],[Artikel]],Produkte!A:B,2,0)</f>
        <v>struktural akryl</v>
      </c>
      <c r="J3248" s="75">
        <v>12</v>
      </c>
      <c r="K3248" s="76" t="str">
        <f>VLOOKUP(Tabelle2[[#This Row],[Kunden Nr.]],KUNDEN!A:G,7)</f>
        <v>Mensuri</v>
      </c>
      <c r="L3248" s="76">
        <f>VLOOKUP(Tabelle2[[#This Row],[Artikel]],Produkte!A:H,8)</f>
        <v>0.06</v>
      </c>
    </row>
    <row r="3249" spans="1:12" x14ac:dyDescent="0.2">
      <c r="A3249" s="75" t="s">
        <v>617</v>
      </c>
      <c r="B3249" s="79">
        <v>46148</v>
      </c>
      <c r="C3249" s="89">
        <v>96</v>
      </c>
      <c r="D3249" s="75"/>
      <c r="E3249" s="75"/>
      <c r="F3249" s="75">
        <v>20306</v>
      </c>
      <c r="G3249" s="76" t="str">
        <f>VLOOKUP(Tabelle2[[#This Row],[Kunden Nr.]],KUNDEN!A:B,2,0)</f>
        <v>FITIMI</v>
      </c>
      <c r="H3249" s="75">
        <v>35110</v>
      </c>
      <c r="I3249" s="76" t="str">
        <f>VLOOKUP(Tabelle2[[#This Row],[Artikel]],Produkte!A:B,2,0)</f>
        <v>M-ONE Sanitar Silikon</v>
      </c>
      <c r="J3249" s="75">
        <v>12</v>
      </c>
      <c r="K3249" s="76" t="str">
        <f>VLOOKUP(Tabelle2[[#This Row],[Kunden Nr.]],KUNDEN!A:G,7)</f>
        <v>Mensuri</v>
      </c>
      <c r="L3249" s="76">
        <f>VLOOKUP(Tabelle2[[#This Row],[Artikel]],Produkte!A:H,8)</f>
        <v>0.17</v>
      </c>
    </row>
    <row r="3250" spans="1:12" x14ac:dyDescent="0.2">
      <c r="A3250" s="75" t="s">
        <v>617</v>
      </c>
      <c r="B3250" s="79">
        <v>46148</v>
      </c>
      <c r="C3250" s="75"/>
      <c r="D3250" s="75"/>
      <c r="E3250" s="75"/>
      <c r="F3250" s="75">
        <v>20306</v>
      </c>
      <c r="G3250" s="76" t="str">
        <f>VLOOKUP(Tabelle2[[#This Row],[Kunden Nr.]],KUNDEN!A:B,2,0)</f>
        <v>FITIMI</v>
      </c>
      <c r="H3250" s="75">
        <v>35111</v>
      </c>
      <c r="I3250" s="76" t="str">
        <f>VLOOKUP(Tabelle2[[#This Row],[Artikel]],Produkte!A:B,2,0)</f>
        <v>M-ONE Sanitar Silikon</v>
      </c>
      <c r="J3250" s="75">
        <v>12</v>
      </c>
      <c r="K3250" s="76" t="str">
        <f>VLOOKUP(Tabelle2[[#This Row],[Kunden Nr.]],KUNDEN!A:G,7)</f>
        <v>Mensuri</v>
      </c>
      <c r="L3250" s="76">
        <f>VLOOKUP(Tabelle2[[#This Row],[Artikel]],Produkte!A:H,8)</f>
        <v>0.17</v>
      </c>
    </row>
    <row r="3251" spans="1:12" x14ac:dyDescent="0.2">
      <c r="A3251" s="75" t="s">
        <v>949</v>
      </c>
      <c r="B3251" s="79">
        <v>46148</v>
      </c>
      <c r="C3251" s="89">
        <v>84.6</v>
      </c>
      <c r="D3251" s="75"/>
      <c r="E3251" s="75"/>
      <c r="F3251" s="75">
        <v>20311</v>
      </c>
      <c r="G3251" s="76" t="str">
        <f>VLOOKUP(Tabelle2[[#This Row],[Kunden Nr.]],KUNDEN!A:B,2,0)</f>
        <v>SOPAJ</v>
      </c>
      <c r="H3251" s="75">
        <v>66701</v>
      </c>
      <c r="I3251" s="76" t="str">
        <f>VLOOKUP(Tabelle2[[#This Row],[Artikel]],Produkte!A:B,2,0)</f>
        <v>PROFIMONT EXTREME</v>
      </c>
      <c r="J3251" s="75">
        <v>12</v>
      </c>
      <c r="K3251" s="76" t="str">
        <f>VLOOKUP(Tabelle2[[#This Row],[Kunden Nr.]],KUNDEN!A:G,7)</f>
        <v>Mensuri</v>
      </c>
      <c r="L3251" s="76">
        <f>VLOOKUP(Tabelle2[[#This Row],[Artikel]],Produkte!A:H,8)</f>
        <v>0.2</v>
      </c>
    </row>
    <row r="3252" spans="1:12" x14ac:dyDescent="0.2">
      <c r="A3252" s="75" t="s">
        <v>949</v>
      </c>
      <c r="B3252" s="79">
        <v>46148</v>
      </c>
      <c r="C3252" s="75"/>
      <c r="D3252" s="75"/>
      <c r="E3252" s="75"/>
      <c r="F3252" s="75">
        <v>20311</v>
      </c>
      <c r="G3252" s="76" t="str">
        <f>VLOOKUP(Tabelle2[[#This Row],[Kunden Nr.]],KUNDEN!A:B,2,0)</f>
        <v>SOPAJ</v>
      </c>
      <c r="H3252" s="75">
        <v>51611</v>
      </c>
      <c r="I3252" s="76" t="str">
        <f>VLOOKUP(Tabelle2[[#This Row],[Artikel]],Produkte!A:B,2,0)</f>
        <v>universal akryl</v>
      </c>
      <c r="J3252" s="75">
        <v>12</v>
      </c>
      <c r="K3252" s="76" t="str">
        <f>VLOOKUP(Tabelle2[[#This Row],[Kunden Nr.]],KUNDEN!A:G,7)</f>
        <v>Mensuri</v>
      </c>
      <c r="L3252" s="76">
        <f>VLOOKUP(Tabelle2[[#This Row],[Artikel]],Produkte!A:H,8)</f>
        <v>0.06</v>
      </c>
    </row>
    <row r="3253" spans="1:12" x14ac:dyDescent="0.2">
      <c r="A3253" s="75" t="s">
        <v>626</v>
      </c>
      <c r="B3253" s="79">
        <v>46148</v>
      </c>
      <c r="C3253" s="89">
        <v>128.4</v>
      </c>
      <c r="D3253" s="75"/>
      <c r="E3253" s="75"/>
      <c r="F3253" s="75">
        <v>20317</v>
      </c>
      <c r="G3253" s="76" t="str">
        <f>VLOOKUP(Tabelle2[[#This Row],[Kunden Nr.]],KUNDEN!A:B,2,0)</f>
        <v>SHEHU-A</v>
      </c>
      <c r="H3253" s="75">
        <v>50912</v>
      </c>
      <c r="I3253" s="76" t="str">
        <f>VLOOKUP(Tabelle2[[#This Row],[Artikel]],Produkte!A:B,2,0)</f>
        <v>DICHTUNG</v>
      </c>
      <c r="J3253" s="75">
        <v>12</v>
      </c>
      <c r="K3253" s="76" t="str">
        <f>VLOOKUP(Tabelle2[[#This Row],[Kunden Nr.]],KUNDEN!A:G,7)</f>
        <v>Mensuri</v>
      </c>
      <c r="L3253" s="76">
        <f>VLOOKUP(Tabelle2[[#This Row],[Artikel]],Produkte!A:H,8)</f>
        <v>0.2</v>
      </c>
    </row>
    <row r="3254" spans="1:12" x14ac:dyDescent="0.2">
      <c r="A3254" s="75" t="s">
        <v>626</v>
      </c>
      <c r="B3254" s="79">
        <v>46148</v>
      </c>
      <c r="C3254" s="75"/>
      <c r="D3254" s="75"/>
      <c r="E3254" s="75"/>
      <c r="F3254" s="75">
        <v>20317</v>
      </c>
      <c r="G3254" s="76" t="str">
        <f>VLOOKUP(Tabelle2[[#This Row],[Kunden Nr.]],KUNDEN!A:B,2,0)</f>
        <v>SHEHU-A</v>
      </c>
      <c r="H3254" s="75">
        <v>55718</v>
      </c>
      <c r="I3254" s="76" t="str">
        <f>VLOOKUP(Tabelle2[[#This Row],[Artikel]],Produkte!A:B,2,0)</f>
        <v>M ONE MOTORSTART</v>
      </c>
      <c r="J3254" s="75">
        <v>6</v>
      </c>
      <c r="K3254" s="76" t="str">
        <f>VLOOKUP(Tabelle2[[#This Row],[Kunden Nr.]],KUNDEN!A:G,7)</f>
        <v>Mensuri</v>
      </c>
      <c r="L3254" s="76">
        <f>VLOOKUP(Tabelle2[[#This Row],[Artikel]],Produkte!A:H,8)</f>
        <v>0.2</v>
      </c>
    </row>
    <row r="3255" spans="1:12" x14ac:dyDescent="0.2">
      <c r="A3255" s="75" t="s">
        <v>626</v>
      </c>
      <c r="B3255" s="79">
        <v>46148</v>
      </c>
      <c r="C3255" s="75"/>
      <c r="D3255" s="75"/>
      <c r="E3255" s="75"/>
      <c r="F3255" s="75">
        <v>20317</v>
      </c>
      <c r="G3255" s="76" t="str">
        <f>VLOOKUP(Tabelle2[[#This Row],[Kunden Nr.]],KUNDEN!A:B,2,0)</f>
        <v>SHEHU-A</v>
      </c>
      <c r="H3255" s="75">
        <v>44001</v>
      </c>
      <c r="I3255" s="76" t="str">
        <f>VLOOKUP(Tabelle2[[#This Row],[Artikel]],Produkte!A:B,2,0)</f>
        <v>Fettspray</v>
      </c>
      <c r="J3255" s="75">
        <v>6</v>
      </c>
      <c r="K3255" s="76" t="str">
        <f>VLOOKUP(Tabelle2[[#This Row],[Kunden Nr.]],KUNDEN!A:G,7)</f>
        <v>Mensuri</v>
      </c>
      <c r="L3255" s="76">
        <f>VLOOKUP(Tabelle2[[#This Row],[Artikel]],Produkte!A:H,8)</f>
        <v>0.2</v>
      </c>
    </row>
    <row r="3256" spans="1:12" x14ac:dyDescent="0.2">
      <c r="A3256" s="75" t="s">
        <v>553</v>
      </c>
      <c r="B3256" s="79">
        <v>46149</v>
      </c>
      <c r="C3256" s="89">
        <v>48</v>
      </c>
      <c r="D3256" s="75"/>
      <c r="E3256" s="75"/>
      <c r="F3256" s="75">
        <v>10413</v>
      </c>
      <c r="G3256" s="76" t="str">
        <f>VLOOKUP(Tabelle2[[#This Row],[Kunden Nr.]],KUNDEN!A:B,2,0)</f>
        <v>UNIVERZAL</v>
      </c>
      <c r="H3256" s="75">
        <v>35110</v>
      </c>
      <c r="I3256" s="76" t="str">
        <f>VLOOKUP(Tabelle2[[#This Row],[Artikel]],Produkte!A:B,2,0)</f>
        <v>M-ONE Sanitar Silikon</v>
      </c>
      <c r="J3256" s="75">
        <v>12</v>
      </c>
      <c r="K3256" s="76" t="str">
        <f>VLOOKUP(Tabelle2[[#This Row],[Kunden Nr.]],KUNDEN!A:G,7)</f>
        <v>Qerimi</v>
      </c>
      <c r="L3256" s="76">
        <f>VLOOKUP(Tabelle2[[#This Row],[Artikel]],Produkte!A:H,8)</f>
        <v>0.17</v>
      </c>
    </row>
    <row r="3257" spans="1:12" x14ac:dyDescent="0.2">
      <c r="A3257" s="75" t="s">
        <v>879</v>
      </c>
      <c r="B3257" s="79">
        <v>46149</v>
      </c>
      <c r="C3257" s="89">
        <v>96</v>
      </c>
      <c r="D3257" s="75"/>
      <c r="E3257" s="75"/>
      <c r="F3257" s="75">
        <v>10430</v>
      </c>
      <c r="G3257" s="76" t="str">
        <f>VLOOKUP(Tabelle2[[#This Row],[Kunden Nr.]],KUNDEN!A:B,2,0)</f>
        <v>EURO COM</v>
      </c>
      <c r="H3257" s="75">
        <v>35110</v>
      </c>
      <c r="I3257" s="76" t="str">
        <f>VLOOKUP(Tabelle2[[#This Row],[Artikel]],Produkte!A:B,2,0)</f>
        <v>M-ONE Sanitar Silikon</v>
      </c>
      <c r="J3257" s="75">
        <v>12</v>
      </c>
      <c r="K3257" s="76" t="str">
        <f>VLOOKUP(Tabelle2[[#This Row],[Kunden Nr.]],KUNDEN!A:G,7)</f>
        <v>Qerimi</v>
      </c>
      <c r="L3257" s="76">
        <f>VLOOKUP(Tabelle2[[#This Row],[Artikel]],Produkte!A:H,8)</f>
        <v>0.17</v>
      </c>
    </row>
    <row r="3258" spans="1:12" x14ac:dyDescent="0.2">
      <c r="A3258" s="75" t="s">
        <v>879</v>
      </c>
      <c r="B3258" s="79">
        <v>46149</v>
      </c>
      <c r="C3258" s="75"/>
      <c r="D3258" s="75"/>
      <c r="E3258" s="75"/>
      <c r="F3258" s="75">
        <v>10430</v>
      </c>
      <c r="G3258" s="76" t="str">
        <f>VLOOKUP(Tabelle2[[#This Row],[Kunden Nr.]],KUNDEN!A:B,2,0)</f>
        <v>EURO COM</v>
      </c>
      <c r="H3258" s="75">
        <v>35115</v>
      </c>
      <c r="I3258" s="76" t="str">
        <f>VLOOKUP(Tabelle2[[#This Row],[Artikel]],Produkte!A:B,2,0)</f>
        <v>M-ONE Sanitar Silikon</v>
      </c>
      <c r="J3258" s="75">
        <v>12</v>
      </c>
      <c r="K3258" s="76" t="str">
        <f>VLOOKUP(Tabelle2[[#This Row],[Kunden Nr.]],KUNDEN!A:G,7)</f>
        <v>Qerimi</v>
      </c>
      <c r="L3258" s="76">
        <f>VLOOKUP(Tabelle2[[#This Row],[Artikel]],Produkte!A:H,8)</f>
        <v>0.17</v>
      </c>
    </row>
    <row r="3259" spans="1:12" x14ac:dyDescent="0.2">
      <c r="A3259" s="75" t="s">
        <v>546</v>
      </c>
      <c r="B3259" s="79">
        <v>46149</v>
      </c>
      <c r="C3259" s="89">
        <v>34.799999999999997</v>
      </c>
      <c r="D3259" s="75"/>
      <c r="E3259" s="75"/>
      <c r="F3259" s="75">
        <v>10406</v>
      </c>
      <c r="G3259" s="76" t="str">
        <f>VLOOKUP(Tabelle2[[#This Row],[Kunden Nr.]],KUNDEN!A:B,2,0)</f>
        <v>AGRONI</v>
      </c>
      <c r="H3259" s="75">
        <v>66701</v>
      </c>
      <c r="I3259" s="76" t="str">
        <f>VLOOKUP(Tabelle2[[#This Row],[Artikel]],Produkte!A:B,2,0)</f>
        <v>PROFIMONT EXTREME</v>
      </c>
      <c r="J3259" s="75">
        <v>6</v>
      </c>
      <c r="K3259" s="76" t="str">
        <f>VLOOKUP(Tabelle2[[#This Row],[Kunden Nr.]],KUNDEN!A:G,7)</f>
        <v>Qerimi</v>
      </c>
      <c r="L3259" s="76">
        <f>VLOOKUP(Tabelle2[[#This Row],[Artikel]],Produkte!A:H,8)</f>
        <v>0.2</v>
      </c>
    </row>
    <row r="3260" spans="1:12" x14ac:dyDescent="0.2">
      <c r="A3260" s="75" t="s">
        <v>550</v>
      </c>
      <c r="B3260" s="79">
        <v>46149</v>
      </c>
      <c r="C3260" s="89">
        <v>96</v>
      </c>
      <c r="D3260" s="75"/>
      <c r="E3260" s="75"/>
      <c r="F3260" s="75">
        <v>10410</v>
      </c>
      <c r="G3260" s="76" t="str">
        <f>VLOOKUP(Tabelle2[[#This Row],[Kunden Nr.]],KUNDEN!A:B,2,0)</f>
        <v>GRANITI</v>
      </c>
      <c r="H3260" s="75">
        <v>35109</v>
      </c>
      <c r="I3260" s="76" t="str">
        <f>VLOOKUP(Tabelle2[[#This Row],[Artikel]],Produkte!A:B,2,0)</f>
        <v>M-ONE Sanitar Silikon</v>
      </c>
      <c r="J3260" s="75">
        <v>12</v>
      </c>
      <c r="K3260" s="76" t="str">
        <f>VLOOKUP(Tabelle2[[#This Row],[Kunden Nr.]],KUNDEN!A:G,7)</f>
        <v>Qerimi</v>
      </c>
      <c r="L3260" s="76">
        <f>VLOOKUP(Tabelle2[[#This Row],[Artikel]],Produkte!A:H,8)</f>
        <v>0.17</v>
      </c>
    </row>
    <row r="3261" spans="1:12" x14ac:dyDescent="0.2">
      <c r="A3261" s="75" t="s">
        <v>550</v>
      </c>
      <c r="B3261" s="79">
        <v>46149</v>
      </c>
      <c r="C3261" s="75"/>
      <c r="D3261" s="75"/>
      <c r="E3261" s="75"/>
      <c r="F3261" s="75">
        <v>10410</v>
      </c>
      <c r="G3261" s="76" t="str">
        <f>VLOOKUP(Tabelle2[[#This Row],[Kunden Nr.]],KUNDEN!A:B,2,0)</f>
        <v>GRANITI</v>
      </c>
      <c r="H3261" s="75">
        <v>35119</v>
      </c>
      <c r="I3261" s="76" t="str">
        <f>VLOOKUP(Tabelle2[[#This Row],[Artikel]],Produkte!A:B,2,0)</f>
        <v>M-ONE Sanitar Silikon</v>
      </c>
      <c r="J3261" s="75">
        <v>12</v>
      </c>
      <c r="K3261" s="76" t="str">
        <f>VLOOKUP(Tabelle2[[#This Row],[Kunden Nr.]],KUNDEN!A:G,7)</f>
        <v>Qerimi</v>
      </c>
      <c r="L3261" s="76">
        <f>VLOOKUP(Tabelle2[[#This Row],[Artikel]],Produkte!A:H,8)</f>
        <v>0.17</v>
      </c>
    </row>
    <row r="3262" spans="1:12" x14ac:dyDescent="0.2">
      <c r="A3262" s="75" t="s">
        <v>552</v>
      </c>
      <c r="B3262" s="79">
        <v>46149</v>
      </c>
      <c r="C3262" s="89">
        <v>144</v>
      </c>
      <c r="D3262" s="75"/>
      <c r="E3262" s="75"/>
      <c r="F3262" s="75">
        <v>10412</v>
      </c>
      <c r="G3262" s="76" t="str">
        <f>VLOOKUP(Tabelle2[[#This Row],[Kunden Nr.]],KUNDEN!A:B,2,0)</f>
        <v>VISARI HH</v>
      </c>
      <c r="H3262" s="75">
        <v>35111</v>
      </c>
      <c r="I3262" s="76" t="str">
        <f>VLOOKUP(Tabelle2[[#This Row],[Artikel]],Produkte!A:B,2,0)</f>
        <v>M-ONE Sanitar Silikon</v>
      </c>
      <c r="J3262" s="75">
        <v>12</v>
      </c>
      <c r="K3262" s="76" t="str">
        <f>VLOOKUP(Tabelle2[[#This Row],[Kunden Nr.]],KUNDEN!A:G,7)</f>
        <v>Qerimi</v>
      </c>
      <c r="L3262" s="76">
        <f>VLOOKUP(Tabelle2[[#This Row],[Artikel]],Produkte!A:H,8)</f>
        <v>0.17</v>
      </c>
    </row>
    <row r="3263" spans="1:12" x14ac:dyDescent="0.2">
      <c r="A3263" s="75" t="s">
        <v>552</v>
      </c>
      <c r="B3263" s="79">
        <v>46149</v>
      </c>
      <c r="C3263" s="75"/>
      <c r="D3263" s="75"/>
      <c r="E3263" s="75"/>
      <c r="F3263" s="75">
        <v>10412</v>
      </c>
      <c r="G3263" s="76" t="str">
        <f>VLOOKUP(Tabelle2[[#This Row],[Kunden Nr.]],KUNDEN!A:B,2,0)</f>
        <v>VISARI HH</v>
      </c>
      <c r="H3263" s="75">
        <v>35114</v>
      </c>
      <c r="I3263" s="76" t="str">
        <f>VLOOKUP(Tabelle2[[#This Row],[Artikel]],Produkte!A:B,2,0)</f>
        <v>M-ONE Sanitar Silikon</v>
      </c>
      <c r="J3263" s="75">
        <v>12</v>
      </c>
      <c r="K3263" s="76" t="str">
        <f>VLOOKUP(Tabelle2[[#This Row],[Kunden Nr.]],KUNDEN!A:G,7)</f>
        <v>Qerimi</v>
      </c>
      <c r="L3263" s="76">
        <f>VLOOKUP(Tabelle2[[#This Row],[Artikel]],Produkte!A:H,8)</f>
        <v>0.17</v>
      </c>
    </row>
    <row r="3264" spans="1:12" x14ac:dyDescent="0.2">
      <c r="A3264" s="75" t="s">
        <v>552</v>
      </c>
      <c r="B3264" s="79">
        <v>46149</v>
      </c>
      <c r="C3264" s="75"/>
      <c r="D3264" s="75"/>
      <c r="E3264" s="75"/>
      <c r="F3264" s="75">
        <v>10412</v>
      </c>
      <c r="G3264" s="76" t="str">
        <f>VLOOKUP(Tabelle2[[#This Row],[Kunden Nr.]],KUNDEN!A:B,2,0)</f>
        <v>VISARI HH</v>
      </c>
      <c r="H3264" s="75">
        <v>35113</v>
      </c>
      <c r="I3264" s="76" t="str">
        <f>VLOOKUP(Tabelle2[[#This Row],[Artikel]],Produkte!A:B,2,0)</f>
        <v>M-ONE Sanitar Silikon</v>
      </c>
      <c r="J3264" s="75">
        <v>12</v>
      </c>
      <c r="K3264" s="76" t="str">
        <f>VLOOKUP(Tabelle2[[#This Row],[Kunden Nr.]],KUNDEN!A:G,7)</f>
        <v>Qerimi</v>
      </c>
      <c r="L3264" s="76">
        <f>VLOOKUP(Tabelle2[[#This Row],[Artikel]],Produkte!A:H,8)</f>
        <v>0.17</v>
      </c>
    </row>
    <row r="3265" spans="1:12" x14ac:dyDescent="0.2">
      <c r="A3265" s="75" t="s">
        <v>491</v>
      </c>
      <c r="B3265" s="79">
        <v>46150</v>
      </c>
      <c r="C3265" s="89">
        <v>48</v>
      </c>
      <c r="D3265" s="75"/>
      <c r="E3265" s="75"/>
      <c r="F3265" s="75">
        <v>10508</v>
      </c>
      <c r="G3265" s="76" t="str">
        <f>VLOOKUP(Tabelle2[[#This Row],[Kunden Nr.]],KUNDEN!A:B,2,0)</f>
        <v>CARRALEVA 2</v>
      </c>
      <c r="H3265" s="75">
        <v>35119</v>
      </c>
      <c r="I3265" s="76" t="str">
        <f>VLOOKUP(Tabelle2[[#This Row],[Artikel]],Produkte!A:B,2,0)</f>
        <v>M-ONE Sanitar Silikon</v>
      </c>
      <c r="J3265" s="75">
        <v>12</v>
      </c>
      <c r="K3265" s="76" t="str">
        <f>VLOOKUP(Tabelle2[[#This Row],[Kunden Nr.]],KUNDEN!A:G,7)</f>
        <v>Qerimi</v>
      </c>
      <c r="L3265" s="76">
        <f>VLOOKUP(Tabelle2[[#This Row],[Artikel]],Produkte!A:H,8)</f>
        <v>0.17</v>
      </c>
    </row>
    <row r="3266" spans="1:12" x14ac:dyDescent="0.2">
      <c r="A3266" s="75" t="s">
        <v>487</v>
      </c>
      <c r="B3266" s="79">
        <v>46150</v>
      </c>
      <c r="C3266" s="89">
        <v>144</v>
      </c>
      <c r="D3266" s="75"/>
      <c r="E3266" s="75"/>
      <c r="F3266" s="75">
        <v>10507</v>
      </c>
      <c r="G3266" s="76" t="str">
        <f>VLOOKUP(Tabelle2[[#This Row],[Kunden Nr.]],KUNDEN!A:B,2,0)</f>
        <v>REAL COLOR 2</v>
      </c>
      <c r="H3266" s="75">
        <v>35115</v>
      </c>
      <c r="I3266" s="76" t="str">
        <f>VLOOKUP(Tabelle2[[#This Row],[Artikel]],Produkte!A:B,2,0)</f>
        <v>M-ONE Sanitar Silikon</v>
      </c>
      <c r="J3266" s="75">
        <v>12</v>
      </c>
      <c r="K3266" s="76" t="str">
        <f>VLOOKUP(Tabelle2[[#This Row],[Kunden Nr.]],KUNDEN!A:G,7)</f>
        <v>Qerimi</v>
      </c>
      <c r="L3266" s="76">
        <f>VLOOKUP(Tabelle2[[#This Row],[Artikel]],Produkte!A:H,8)</f>
        <v>0.17</v>
      </c>
    </row>
    <row r="3267" spans="1:12" x14ac:dyDescent="0.2">
      <c r="A3267" s="75" t="s">
        <v>487</v>
      </c>
      <c r="B3267" s="79">
        <v>46150</v>
      </c>
      <c r="C3267" s="75"/>
      <c r="D3267" s="75"/>
      <c r="E3267" s="75"/>
      <c r="F3267" s="75">
        <v>10507</v>
      </c>
      <c r="G3267" s="76" t="str">
        <f>VLOOKUP(Tabelle2[[#This Row],[Kunden Nr.]],KUNDEN!A:B,2,0)</f>
        <v>REAL COLOR 2</v>
      </c>
      <c r="H3267" s="75">
        <v>35121</v>
      </c>
      <c r="I3267" s="76" t="str">
        <f>VLOOKUP(Tabelle2[[#This Row],[Artikel]],Produkte!A:B,2,0)</f>
        <v>M-ONE Sanitar Silikon</v>
      </c>
      <c r="J3267" s="75">
        <v>12</v>
      </c>
      <c r="K3267" s="76" t="str">
        <f>VLOOKUP(Tabelle2[[#This Row],[Kunden Nr.]],KUNDEN!A:G,7)</f>
        <v>Qerimi</v>
      </c>
      <c r="L3267" s="76">
        <f>VLOOKUP(Tabelle2[[#This Row],[Artikel]],Produkte!A:H,8)</f>
        <v>0.17</v>
      </c>
    </row>
    <row r="3268" spans="1:12" x14ac:dyDescent="0.2">
      <c r="A3268" s="75" t="s">
        <v>487</v>
      </c>
      <c r="B3268" s="79">
        <v>46150</v>
      </c>
      <c r="C3268" s="75"/>
      <c r="D3268" s="75"/>
      <c r="E3268" s="75"/>
      <c r="F3268" s="75">
        <v>10507</v>
      </c>
      <c r="G3268" s="76" t="str">
        <f>VLOOKUP(Tabelle2[[#This Row],[Kunden Nr.]],KUNDEN!A:B,2,0)</f>
        <v>REAL COLOR 2</v>
      </c>
      <c r="H3268" s="75">
        <v>35128</v>
      </c>
      <c r="I3268" s="76" t="str">
        <f>VLOOKUP(Tabelle2[[#This Row],[Artikel]],Produkte!A:B,2,0)</f>
        <v>M-ONE Sanitar Silikon</v>
      </c>
      <c r="J3268" s="75">
        <v>12</v>
      </c>
      <c r="K3268" s="76" t="str">
        <f>VLOOKUP(Tabelle2[[#This Row],[Kunden Nr.]],KUNDEN!A:G,7)</f>
        <v>Qerimi</v>
      </c>
      <c r="L3268" s="76">
        <f>VLOOKUP(Tabelle2[[#This Row],[Artikel]],Produkte!A:H,8)</f>
        <v>0.17</v>
      </c>
    </row>
    <row r="3269" spans="1:12" x14ac:dyDescent="0.2">
      <c r="A3269" s="75" t="s">
        <v>484</v>
      </c>
      <c r="B3269" s="79">
        <v>46150</v>
      </c>
      <c r="C3269" s="89">
        <v>96</v>
      </c>
      <c r="D3269" s="75"/>
      <c r="E3269" s="75"/>
      <c r="F3269" s="75">
        <v>10504</v>
      </c>
      <c r="G3269" s="76" t="str">
        <f>VLOOKUP(Tabelle2[[#This Row],[Kunden Nr.]],KUNDEN!A:B,2,0)</f>
        <v>CARRALEVA 1</v>
      </c>
      <c r="H3269" s="75">
        <v>35112</v>
      </c>
      <c r="I3269" s="76" t="str">
        <f>VLOOKUP(Tabelle2[[#This Row],[Artikel]],Produkte!A:B,2,0)</f>
        <v>M-ONE Sanitar Silikon</v>
      </c>
      <c r="J3269" s="75">
        <v>12</v>
      </c>
      <c r="K3269" s="76" t="str">
        <f>VLOOKUP(Tabelle2[[#This Row],[Kunden Nr.]],KUNDEN!A:G,7)</f>
        <v>Qerimi</v>
      </c>
      <c r="L3269" s="76">
        <f>VLOOKUP(Tabelle2[[#This Row],[Artikel]],Produkte!A:H,8)</f>
        <v>0.17</v>
      </c>
    </row>
    <row r="3270" spans="1:12" x14ac:dyDescent="0.2">
      <c r="A3270" s="75" t="s">
        <v>484</v>
      </c>
      <c r="B3270" s="79">
        <v>46150</v>
      </c>
      <c r="C3270" s="75"/>
      <c r="D3270" s="75"/>
      <c r="E3270" s="75"/>
      <c r="F3270" s="75">
        <v>10504</v>
      </c>
      <c r="G3270" s="76" t="str">
        <f>VLOOKUP(Tabelle2[[#This Row],[Kunden Nr.]],KUNDEN!A:B,2,0)</f>
        <v>CARRALEVA 1</v>
      </c>
      <c r="H3270" s="75">
        <v>35115</v>
      </c>
      <c r="I3270" s="76" t="str">
        <f>VLOOKUP(Tabelle2[[#This Row],[Artikel]],Produkte!A:B,2,0)</f>
        <v>M-ONE Sanitar Silikon</v>
      </c>
      <c r="J3270" s="75">
        <v>12</v>
      </c>
      <c r="K3270" s="76" t="str">
        <f>VLOOKUP(Tabelle2[[#This Row],[Kunden Nr.]],KUNDEN!A:G,7)</f>
        <v>Qerimi</v>
      </c>
      <c r="L3270" s="76">
        <f>VLOOKUP(Tabelle2[[#This Row],[Artikel]],Produkte!A:H,8)</f>
        <v>0.17</v>
      </c>
    </row>
    <row r="3271" spans="1:12" x14ac:dyDescent="0.2">
      <c r="A3271" s="75" t="s">
        <v>666</v>
      </c>
      <c r="B3271" s="79">
        <v>46150</v>
      </c>
      <c r="C3271" s="89">
        <v>100.2</v>
      </c>
      <c r="D3271" s="75"/>
      <c r="E3271" s="75"/>
      <c r="F3271" s="75">
        <v>10529</v>
      </c>
      <c r="G3271" s="76" t="str">
        <f>VLOOKUP(Tabelle2[[#This Row],[Kunden Nr.]],KUNDEN!A:B,2,0)</f>
        <v>ARDI LIPJAN</v>
      </c>
      <c r="H3271" s="75">
        <v>56117</v>
      </c>
      <c r="I3271" s="76" t="str">
        <f>VLOOKUP(Tabelle2[[#This Row],[Artikel]],Produkte!A:B,2,0)</f>
        <v>M ONE UBS</v>
      </c>
      <c r="J3271" s="75">
        <v>6</v>
      </c>
      <c r="K3271" s="76" t="str">
        <f>VLOOKUP(Tabelle2[[#This Row],[Kunden Nr.]],KUNDEN!A:G,7)</f>
        <v>Qerimi</v>
      </c>
      <c r="L3271" s="76">
        <f>VLOOKUP(Tabelle2[[#This Row],[Artikel]],Produkte!A:H,8)</f>
        <v>0.2</v>
      </c>
    </row>
    <row r="3272" spans="1:12" x14ac:dyDescent="0.2">
      <c r="A3272" s="75" t="s">
        <v>666</v>
      </c>
      <c r="B3272" s="79">
        <v>46150</v>
      </c>
      <c r="C3272" s="75"/>
      <c r="D3272" s="75"/>
      <c r="E3272" s="75"/>
      <c r="F3272" s="75">
        <v>10529</v>
      </c>
      <c r="G3272" s="76" t="str">
        <f>VLOOKUP(Tabelle2[[#This Row],[Kunden Nr.]],KUNDEN!A:B,2,0)</f>
        <v>ARDI LIPJAN</v>
      </c>
      <c r="H3272" s="75">
        <v>55718</v>
      </c>
      <c r="I3272" s="76" t="str">
        <f>VLOOKUP(Tabelle2[[#This Row],[Artikel]],Produkte!A:B,2,0)</f>
        <v>M ONE MOTORSTART</v>
      </c>
      <c r="J3272" s="75">
        <v>6</v>
      </c>
      <c r="K3272" s="76" t="str">
        <f>VLOOKUP(Tabelle2[[#This Row],[Kunden Nr.]],KUNDEN!A:G,7)</f>
        <v>Qerimi</v>
      </c>
      <c r="L3272" s="76">
        <f>VLOOKUP(Tabelle2[[#This Row],[Artikel]],Produkte!A:H,8)</f>
        <v>0.2</v>
      </c>
    </row>
    <row r="3273" spans="1:12" x14ac:dyDescent="0.2">
      <c r="A3273" s="75" t="s">
        <v>666</v>
      </c>
      <c r="B3273" s="79">
        <v>46150</v>
      </c>
      <c r="C3273" s="75"/>
      <c r="D3273" s="75"/>
      <c r="E3273" s="75"/>
      <c r="F3273" s="75">
        <v>10529</v>
      </c>
      <c r="G3273" s="76" t="str">
        <f>VLOOKUP(Tabelle2[[#This Row],[Kunden Nr.]],KUNDEN!A:B,2,0)</f>
        <v>ARDI LIPJAN</v>
      </c>
      <c r="H3273" s="75">
        <v>31827</v>
      </c>
      <c r="I3273" s="76" t="str">
        <f>VLOOKUP(Tabelle2[[#This Row],[Artikel]],Produkte!A:B,2,0)</f>
        <v>M ONE LACK GRUN</v>
      </c>
      <c r="J3273" s="75">
        <v>6</v>
      </c>
      <c r="K3273" s="76" t="str">
        <f>VLOOKUP(Tabelle2[[#This Row],[Kunden Nr.]],KUNDEN!A:G,7)</f>
        <v>Qerimi</v>
      </c>
      <c r="L3273" s="76">
        <f>VLOOKUP(Tabelle2[[#This Row],[Artikel]],Produkte!A:H,8)</f>
        <v>0.15</v>
      </c>
    </row>
    <row r="3274" spans="1:12" x14ac:dyDescent="0.2">
      <c r="A3274" s="75" t="s">
        <v>666</v>
      </c>
      <c r="B3274" s="79">
        <v>46150</v>
      </c>
      <c r="C3274" s="75"/>
      <c r="D3274" s="75"/>
      <c r="E3274" s="75"/>
      <c r="F3274" s="75">
        <v>10529</v>
      </c>
      <c r="G3274" s="76" t="str">
        <f>VLOOKUP(Tabelle2[[#This Row],[Kunden Nr.]],KUNDEN!A:B,2,0)</f>
        <v>ARDI LIPJAN</v>
      </c>
      <c r="H3274" s="75">
        <v>50912</v>
      </c>
      <c r="I3274" s="76" t="str">
        <f>VLOOKUP(Tabelle2[[#This Row],[Artikel]],Produkte!A:B,2,0)</f>
        <v>DICHTUNG</v>
      </c>
      <c r="J3274" s="75">
        <v>6</v>
      </c>
      <c r="K3274" s="76" t="str">
        <f>VLOOKUP(Tabelle2[[#This Row],[Kunden Nr.]],KUNDEN!A:G,7)</f>
        <v>Qerimi</v>
      </c>
      <c r="L3274" s="76">
        <f>VLOOKUP(Tabelle2[[#This Row],[Artikel]],Produkte!A:H,8)</f>
        <v>0.2</v>
      </c>
    </row>
    <row r="3275" spans="1:12" x14ac:dyDescent="0.2">
      <c r="A3275" s="75" t="s">
        <v>486</v>
      </c>
      <c r="B3275" s="79">
        <v>46150</v>
      </c>
      <c r="C3275" s="89">
        <v>144</v>
      </c>
      <c r="D3275" s="75"/>
      <c r="E3275" s="75"/>
      <c r="F3275" s="75">
        <v>10506</v>
      </c>
      <c r="G3275" s="76" t="str">
        <f>VLOOKUP(Tabelle2[[#This Row],[Kunden Nr.]],KUNDEN!A:B,2,0)</f>
        <v>ARBERI</v>
      </c>
      <c r="H3275" s="75">
        <v>35108</v>
      </c>
      <c r="I3275" s="76" t="str">
        <f>VLOOKUP(Tabelle2[[#This Row],[Artikel]],Produkte!A:B,2,0)</f>
        <v>M-ONE Sanitar Silikon</v>
      </c>
      <c r="J3275" s="75">
        <v>12</v>
      </c>
      <c r="K3275" s="76" t="str">
        <f>VLOOKUP(Tabelle2[[#This Row],[Kunden Nr.]],KUNDEN!A:G,7)</f>
        <v>Qerimi</v>
      </c>
      <c r="L3275" s="76">
        <f>VLOOKUP(Tabelle2[[#This Row],[Artikel]],Produkte!A:H,8)</f>
        <v>0.17</v>
      </c>
    </row>
    <row r="3276" spans="1:12" x14ac:dyDescent="0.2">
      <c r="A3276" s="75" t="s">
        <v>486</v>
      </c>
      <c r="B3276" s="79">
        <v>46150</v>
      </c>
      <c r="C3276" s="75"/>
      <c r="D3276" s="75"/>
      <c r="E3276" s="75"/>
      <c r="F3276" s="75">
        <v>10506</v>
      </c>
      <c r="G3276" s="76" t="str">
        <f>VLOOKUP(Tabelle2[[#This Row],[Kunden Nr.]],KUNDEN!A:B,2,0)</f>
        <v>ARBERI</v>
      </c>
      <c r="H3276" s="75">
        <v>35109</v>
      </c>
      <c r="I3276" s="76" t="str">
        <f>VLOOKUP(Tabelle2[[#This Row],[Artikel]],Produkte!A:B,2,0)</f>
        <v>M-ONE Sanitar Silikon</v>
      </c>
      <c r="J3276" s="75">
        <v>12</v>
      </c>
      <c r="K3276" s="76" t="str">
        <f>VLOOKUP(Tabelle2[[#This Row],[Kunden Nr.]],KUNDEN!A:G,7)</f>
        <v>Qerimi</v>
      </c>
      <c r="L3276" s="76">
        <f>VLOOKUP(Tabelle2[[#This Row],[Artikel]],Produkte!A:H,8)</f>
        <v>0.17</v>
      </c>
    </row>
    <row r="3277" spans="1:12" x14ac:dyDescent="0.2">
      <c r="A3277" s="75" t="s">
        <v>486</v>
      </c>
      <c r="B3277" s="79">
        <v>46150</v>
      </c>
      <c r="C3277" s="75"/>
      <c r="D3277" s="75"/>
      <c r="E3277" s="75"/>
      <c r="F3277" s="75">
        <v>10506</v>
      </c>
      <c r="G3277" s="76" t="str">
        <f>VLOOKUP(Tabelle2[[#This Row],[Kunden Nr.]],KUNDEN!A:B,2,0)</f>
        <v>ARBERI</v>
      </c>
      <c r="H3277" s="75">
        <v>35113</v>
      </c>
      <c r="I3277" s="76" t="str">
        <f>VLOOKUP(Tabelle2[[#This Row],[Artikel]],Produkte!A:B,2,0)</f>
        <v>M-ONE Sanitar Silikon</v>
      </c>
      <c r="J3277" s="75">
        <v>12</v>
      </c>
      <c r="K3277" s="76" t="str">
        <f>VLOOKUP(Tabelle2[[#This Row],[Kunden Nr.]],KUNDEN!A:G,7)</f>
        <v>Qerimi</v>
      </c>
      <c r="L3277" s="76">
        <f>VLOOKUP(Tabelle2[[#This Row],[Artikel]],Produkte!A:H,8)</f>
        <v>0.17</v>
      </c>
    </row>
    <row r="3278" spans="1:12" x14ac:dyDescent="0.2">
      <c r="A3278" s="75" t="s">
        <v>484</v>
      </c>
      <c r="B3278" s="79">
        <v>46150</v>
      </c>
      <c r="C3278" s="89">
        <v>96</v>
      </c>
      <c r="D3278" s="75"/>
      <c r="E3278" s="75"/>
      <c r="F3278" s="75">
        <v>10504</v>
      </c>
      <c r="G3278" s="76" t="str">
        <f>VLOOKUP(Tabelle2[[#This Row],[Kunden Nr.]],KUNDEN!A:B,2,0)</f>
        <v>CARRALEVA 1</v>
      </c>
      <c r="H3278" s="75">
        <v>35114</v>
      </c>
      <c r="I3278" s="76" t="str">
        <f>VLOOKUP(Tabelle2[[#This Row],[Artikel]],Produkte!A:B,2,0)</f>
        <v>M-ONE Sanitar Silikon</v>
      </c>
      <c r="J3278" s="75">
        <v>12</v>
      </c>
      <c r="K3278" s="76" t="str">
        <f>VLOOKUP(Tabelle2[[#This Row],[Kunden Nr.]],KUNDEN!A:G,7)</f>
        <v>Qerimi</v>
      </c>
      <c r="L3278" s="76">
        <f>VLOOKUP(Tabelle2[[#This Row],[Artikel]],Produkte!A:H,8)</f>
        <v>0.17</v>
      </c>
    </row>
    <row r="3279" spans="1:12" x14ac:dyDescent="0.2">
      <c r="A3279" s="75" t="s">
        <v>484</v>
      </c>
      <c r="B3279" s="79">
        <v>46150</v>
      </c>
      <c r="C3279" s="75"/>
      <c r="D3279" s="75"/>
      <c r="E3279" s="75"/>
      <c r="F3279" s="75">
        <v>10504</v>
      </c>
      <c r="G3279" s="76" t="str">
        <f>VLOOKUP(Tabelle2[[#This Row],[Kunden Nr.]],KUNDEN!A:B,2,0)</f>
        <v>CARRALEVA 1</v>
      </c>
      <c r="H3279" s="75">
        <v>35125</v>
      </c>
      <c r="I3279" s="76" t="str">
        <f>VLOOKUP(Tabelle2[[#This Row],[Artikel]],Produkte!A:B,2,0)</f>
        <v>M-ONE Sanitar Silikon</v>
      </c>
      <c r="J3279" s="75">
        <v>12</v>
      </c>
      <c r="K3279" s="76" t="str">
        <f>VLOOKUP(Tabelle2[[#This Row],[Kunden Nr.]],KUNDEN!A:G,7)</f>
        <v>Qerimi</v>
      </c>
      <c r="L3279" s="76">
        <f>VLOOKUP(Tabelle2[[#This Row],[Artikel]],Produkte!A:H,8)</f>
        <v>0.17</v>
      </c>
    </row>
    <row r="3280" spans="1:12" x14ac:dyDescent="0.2">
      <c r="A3280" s="75" t="s">
        <v>453</v>
      </c>
      <c r="B3280" s="79">
        <v>46150</v>
      </c>
      <c r="C3280" s="89">
        <v>357.6</v>
      </c>
      <c r="D3280" s="75"/>
      <c r="E3280" s="75"/>
      <c r="F3280" s="75">
        <v>20501</v>
      </c>
      <c r="G3280" s="76" t="str">
        <f>VLOOKUP(Tabelle2[[#This Row],[Kunden Nr.]],KUNDEN!A:B,2,0)</f>
        <v>RACI</v>
      </c>
      <c r="H3280" s="75">
        <v>66701</v>
      </c>
      <c r="I3280" s="76" t="str">
        <f>VLOOKUP(Tabelle2[[#This Row],[Artikel]],Produkte!A:B,2,0)</f>
        <v>PROFIMONT EXTREME</v>
      </c>
      <c r="J3280" s="75">
        <v>12</v>
      </c>
      <c r="K3280" s="76" t="str">
        <f>VLOOKUP(Tabelle2[[#This Row],[Kunden Nr.]],KUNDEN!A:G,7)</f>
        <v>Mensuri</v>
      </c>
      <c r="L3280" s="76">
        <f>VLOOKUP(Tabelle2[[#This Row],[Artikel]],Produkte!A:H,8)</f>
        <v>0.2</v>
      </c>
    </row>
    <row r="3281" spans="1:12" x14ac:dyDescent="0.2">
      <c r="A3281" s="75" t="s">
        <v>453</v>
      </c>
      <c r="B3281" s="79">
        <v>46150</v>
      </c>
      <c r="C3281" s="75"/>
      <c r="D3281" s="75"/>
      <c r="E3281" s="75"/>
      <c r="F3281" s="75">
        <v>20501</v>
      </c>
      <c r="G3281" s="76" t="str">
        <f>VLOOKUP(Tabelle2[[#This Row],[Kunden Nr.]],KUNDEN!A:B,2,0)</f>
        <v>RACI</v>
      </c>
      <c r="H3281" s="75">
        <v>35109</v>
      </c>
      <c r="I3281" s="76" t="str">
        <f>VLOOKUP(Tabelle2[[#This Row],[Artikel]],Produkte!A:B,2,0)</f>
        <v>M-ONE Sanitar Silikon</v>
      </c>
      <c r="J3281" s="75">
        <v>12</v>
      </c>
      <c r="K3281" s="76" t="str">
        <f>VLOOKUP(Tabelle2[[#This Row],[Kunden Nr.]],KUNDEN!A:G,7)</f>
        <v>Mensuri</v>
      </c>
      <c r="L3281" s="76">
        <f>VLOOKUP(Tabelle2[[#This Row],[Artikel]],Produkte!A:H,8)</f>
        <v>0.17</v>
      </c>
    </row>
    <row r="3282" spans="1:12" x14ac:dyDescent="0.2">
      <c r="A3282" s="75" t="s">
        <v>453</v>
      </c>
      <c r="B3282" s="79">
        <v>46150</v>
      </c>
      <c r="C3282" s="75"/>
      <c r="D3282" s="75"/>
      <c r="E3282" s="75"/>
      <c r="F3282" s="75">
        <v>20501</v>
      </c>
      <c r="G3282" s="76" t="str">
        <f>VLOOKUP(Tabelle2[[#This Row],[Kunden Nr.]],KUNDEN!A:B,2,0)</f>
        <v>RACI</v>
      </c>
      <c r="H3282" s="75">
        <v>35111</v>
      </c>
      <c r="I3282" s="76" t="str">
        <f>VLOOKUP(Tabelle2[[#This Row],[Artikel]],Produkte!A:B,2,0)</f>
        <v>M-ONE Sanitar Silikon</v>
      </c>
      <c r="J3282" s="75">
        <v>12</v>
      </c>
      <c r="K3282" s="76" t="str">
        <f>VLOOKUP(Tabelle2[[#This Row],[Kunden Nr.]],KUNDEN!A:G,7)</f>
        <v>Mensuri</v>
      </c>
      <c r="L3282" s="76">
        <f>VLOOKUP(Tabelle2[[#This Row],[Artikel]],Produkte!A:H,8)</f>
        <v>0.17</v>
      </c>
    </row>
    <row r="3283" spans="1:12" x14ac:dyDescent="0.2">
      <c r="A3283" s="75" t="s">
        <v>453</v>
      </c>
      <c r="B3283" s="79">
        <v>46150</v>
      </c>
      <c r="C3283" s="75"/>
      <c r="D3283" s="75"/>
      <c r="E3283" s="75"/>
      <c r="F3283" s="75">
        <v>20501</v>
      </c>
      <c r="G3283" s="76" t="str">
        <f>VLOOKUP(Tabelle2[[#This Row],[Kunden Nr.]],KUNDEN!A:B,2,0)</f>
        <v>RACI</v>
      </c>
      <c r="H3283" s="75">
        <v>35112</v>
      </c>
      <c r="I3283" s="76" t="str">
        <f>VLOOKUP(Tabelle2[[#This Row],[Artikel]],Produkte!A:B,2,0)</f>
        <v>M-ONE Sanitar Silikon</v>
      </c>
      <c r="J3283" s="75">
        <v>12</v>
      </c>
      <c r="K3283" s="76" t="str">
        <f>VLOOKUP(Tabelle2[[#This Row],[Kunden Nr.]],KUNDEN!A:G,7)</f>
        <v>Mensuri</v>
      </c>
      <c r="L3283" s="76">
        <f>VLOOKUP(Tabelle2[[#This Row],[Artikel]],Produkte!A:H,8)</f>
        <v>0.17</v>
      </c>
    </row>
    <row r="3284" spans="1:12" x14ac:dyDescent="0.2">
      <c r="A3284" s="75" t="s">
        <v>453</v>
      </c>
      <c r="B3284" s="79">
        <v>46150</v>
      </c>
      <c r="C3284" s="75"/>
      <c r="D3284" s="75"/>
      <c r="E3284" s="75"/>
      <c r="F3284" s="75">
        <v>20501</v>
      </c>
      <c r="G3284" s="76" t="str">
        <f>VLOOKUP(Tabelle2[[#This Row],[Kunden Nr.]],KUNDEN!A:B,2,0)</f>
        <v>RACI</v>
      </c>
      <c r="H3284" s="75">
        <v>35119</v>
      </c>
      <c r="I3284" s="76" t="str">
        <f>VLOOKUP(Tabelle2[[#This Row],[Artikel]],Produkte!A:B,2,0)</f>
        <v>M-ONE Sanitar Silikon</v>
      </c>
      <c r="J3284" s="75">
        <v>12</v>
      </c>
      <c r="K3284" s="76" t="str">
        <f>VLOOKUP(Tabelle2[[#This Row],[Kunden Nr.]],KUNDEN!A:G,7)</f>
        <v>Mensuri</v>
      </c>
      <c r="L3284" s="76">
        <f>VLOOKUP(Tabelle2[[#This Row],[Artikel]],Produkte!A:H,8)</f>
        <v>0.17</v>
      </c>
    </row>
    <row r="3285" spans="1:12" x14ac:dyDescent="0.2">
      <c r="A3285" s="75" t="s">
        <v>453</v>
      </c>
      <c r="B3285" s="79">
        <v>46150</v>
      </c>
      <c r="C3285" s="75"/>
      <c r="D3285" s="75"/>
      <c r="E3285" s="75"/>
      <c r="F3285" s="75">
        <v>20501</v>
      </c>
      <c r="G3285" s="76" t="str">
        <f>VLOOKUP(Tabelle2[[#This Row],[Kunden Nr.]],KUNDEN!A:B,2,0)</f>
        <v>RACI</v>
      </c>
      <c r="H3285" s="75">
        <v>35121</v>
      </c>
      <c r="I3285" s="76" t="str">
        <f>VLOOKUP(Tabelle2[[#This Row],[Artikel]],Produkte!A:B,2,0)</f>
        <v>M-ONE Sanitar Silikon</v>
      </c>
      <c r="J3285" s="75">
        <v>12</v>
      </c>
      <c r="K3285" s="76" t="str">
        <f>VLOOKUP(Tabelle2[[#This Row],[Kunden Nr.]],KUNDEN!A:G,7)</f>
        <v>Mensuri</v>
      </c>
      <c r="L3285" s="76">
        <f>VLOOKUP(Tabelle2[[#This Row],[Artikel]],Produkte!A:H,8)</f>
        <v>0.17</v>
      </c>
    </row>
    <row r="3286" spans="1:12" x14ac:dyDescent="0.2">
      <c r="A3286" s="75" t="s">
        <v>453</v>
      </c>
      <c r="B3286" s="79">
        <v>46150</v>
      </c>
      <c r="C3286" s="75"/>
      <c r="D3286" s="75"/>
      <c r="E3286" s="75"/>
      <c r="F3286" s="75">
        <v>20501</v>
      </c>
      <c r="G3286" s="76" t="str">
        <f>VLOOKUP(Tabelle2[[#This Row],[Kunden Nr.]],KUNDEN!A:B,2,0)</f>
        <v>RACI</v>
      </c>
      <c r="H3286" s="75">
        <v>35128</v>
      </c>
      <c r="I3286" s="76" t="str">
        <f>VLOOKUP(Tabelle2[[#This Row],[Artikel]],Produkte!A:B,2,0)</f>
        <v>M-ONE Sanitar Silikon</v>
      </c>
      <c r="J3286" s="75">
        <v>12</v>
      </c>
      <c r="K3286" s="76" t="str">
        <f>VLOOKUP(Tabelle2[[#This Row],[Kunden Nr.]],KUNDEN!A:G,7)</f>
        <v>Mensuri</v>
      </c>
      <c r="L3286" s="76">
        <f>VLOOKUP(Tabelle2[[#This Row],[Artikel]],Produkte!A:H,8)</f>
        <v>0.17</v>
      </c>
    </row>
    <row r="3287" spans="1:12" x14ac:dyDescent="0.2">
      <c r="A3287" s="75" t="s">
        <v>1258</v>
      </c>
      <c r="B3287" s="79">
        <v>46150</v>
      </c>
      <c r="C3287" s="89">
        <v>240</v>
      </c>
      <c r="D3287" s="75"/>
      <c r="E3287" s="75"/>
      <c r="F3287" s="75">
        <v>20511</v>
      </c>
      <c r="G3287" s="76" t="str">
        <f>VLOOKUP(Tabelle2[[#This Row],[Kunden Nr.]],KUNDEN!A:B,2,0)</f>
        <v>LIRIDONA KLINE</v>
      </c>
      <c r="H3287" s="75">
        <v>35109</v>
      </c>
      <c r="I3287" s="76" t="str">
        <f>VLOOKUP(Tabelle2[[#This Row],[Artikel]],Produkte!A:B,2,0)</f>
        <v>M-ONE Sanitar Silikon</v>
      </c>
      <c r="J3287" s="75">
        <v>12</v>
      </c>
      <c r="K3287" s="76" t="str">
        <f>VLOOKUP(Tabelle2[[#This Row],[Kunden Nr.]],KUNDEN!A:G,7)</f>
        <v>Mensuri</v>
      </c>
      <c r="L3287" s="76">
        <f>VLOOKUP(Tabelle2[[#This Row],[Artikel]],Produkte!A:H,8)</f>
        <v>0.17</v>
      </c>
    </row>
    <row r="3288" spans="1:12" x14ac:dyDescent="0.2">
      <c r="A3288" s="75" t="s">
        <v>1258</v>
      </c>
      <c r="B3288" s="79">
        <v>46150</v>
      </c>
      <c r="C3288" s="75"/>
      <c r="D3288" s="75"/>
      <c r="E3288" s="75"/>
      <c r="F3288" s="75">
        <v>20511</v>
      </c>
      <c r="G3288" s="76" t="str">
        <f>VLOOKUP(Tabelle2[[#This Row],[Kunden Nr.]],KUNDEN!A:B,2,0)</f>
        <v>LIRIDONA KLINE</v>
      </c>
      <c r="H3288" s="75">
        <v>35111</v>
      </c>
      <c r="I3288" s="76" t="str">
        <f>VLOOKUP(Tabelle2[[#This Row],[Artikel]],Produkte!A:B,2,0)</f>
        <v>M-ONE Sanitar Silikon</v>
      </c>
      <c r="J3288" s="75">
        <v>12</v>
      </c>
      <c r="K3288" s="76" t="str">
        <f>VLOOKUP(Tabelle2[[#This Row],[Kunden Nr.]],KUNDEN!A:G,7)</f>
        <v>Mensuri</v>
      </c>
      <c r="L3288" s="76">
        <f>VLOOKUP(Tabelle2[[#This Row],[Artikel]],Produkte!A:H,8)</f>
        <v>0.17</v>
      </c>
    </row>
    <row r="3289" spans="1:12" x14ac:dyDescent="0.2">
      <c r="A3289" s="75" t="s">
        <v>1258</v>
      </c>
      <c r="B3289" s="79">
        <v>46150</v>
      </c>
      <c r="C3289" s="75"/>
      <c r="D3289" s="75"/>
      <c r="E3289" s="75"/>
      <c r="F3289" s="75">
        <v>20511</v>
      </c>
      <c r="G3289" s="76" t="str">
        <f>VLOOKUP(Tabelle2[[#This Row],[Kunden Nr.]],KUNDEN!A:B,2,0)</f>
        <v>LIRIDONA KLINE</v>
      </c>
      <c r="H3289" s="75">
        <v>35113</v>
      </c>
      <c r="I3289" s="76" t="str">
        <f>VLOOKUP(Tabelle2[[#This Row],[Artikel]],Produkte!A:B,2,0)</f>
        <v>M-ONE Sanitar Silikon</v>
      </c>
      <c r="J3289" s="75">
        <v>12</v>
      </c>
      <c r="K3289" s="76" t="str">
        <f>VLOOKUP(Tabelle2[[#This Row],[Kunden Nr.]],KUNDEN!A:G,7)</f>
        <v>Mensuri</v>
      </c>
      <c r="L3289" s="76">
        <f>VLOOKUP(Tabelle2[[#This Row],[Artikel]],Produkte!A:H,8)</f>
        <v>0.17</v>
      </c>
    </row>
    <row r="3290" spans="1:12" x14ac:dyDescent="0.2">
      <c r="A3290" s="75" t="s">
        <v>1258</v>
      </c>
      <c r="B3290" s="79">
        <v>46150</v>
      </c>
      <c r="C3290" s="75"/>
      <c r="D3290" s="75"/>
      <c r="E3290" s="75"/>
      <c r="F3290" s="75">
        <v>20511</v>
      </c>
      <c r="G3290" s="76" t="str">
        <f>VLOOKUP(Tabelle2[[#This Row],[Kunden Nr.]],KUNDEN!A:B,2,0)</f>
        <v>LIRIDONA KLINE</v>
      </c>
      <c r="H3290" s="75">
        <v>35115</v>
      </c>
      <c r="I3290" s="76" t="str">
        <f>VLOOKUP(Tabelle2[[#This Row],[Artikel]],Produkte!A:B,2,0)</f>
        <v>M-ONE Sanitar Silikon</v>
      </c>
      <c r="J3290" s="75">
        <v>12</v>
      </c>
      <c r="K3290" s="76" t="str">
        <f>VLOOKUP(Tabelle2[[#This Row],[Kunden Nr.]],KUNDEN!A:G,7)</f>
        <v>Mensuri</v>
      </c>
      <c r="L3290" s="76">
        <f>VLOOKUP(Tabelle2[[#This Row],[Artikel]],Produkte!A:H,8)</f>
        <v>0.17</v>
      </c>
    </row>
    <row r="3291" spans="1:12" x14ac:dyDescent="0.2">
      <c r="A3291" s="75" t="s">
        <v>1258</v>
      </c>
      <c r="B3291" s="79">
        <v>46150</v>
      </c>
      <c r="C3291" s="75"/>
      <c r="D3291" s="75"/>
      <c r="E3291" s="75"/>
      <c r="F3291" s="75">
        <v>20511</v>
      </c>
      <c r="G3291" s="76" t="str">
        <f>VLOOKUP(Tabelle2[[#This Row],[Kunden Nr.]],KUNDEN!A:B,2,0)</f>
        <v>LIRIDONA KLINE</v>
      </c>
      <c r="H3291" s="75">
        <v>35128</v>
      </c>
      <c r="I3291" s="76" t="str">
        <f>VLOOKUP(Tabelle2[[#This Row],[Artikel]],Produkte!A:B,2,0)</f>
        <v>M-ONE Sanitar Silikon</v>
      </c>
      <c r="J3291" s="75">
        <v>12</v>
      </c>
      <c r="K3291" s="76" t="str">
        <f>VLOOKUP(Tabelle2[[#This Row],[Kunden Nr.]],KUNDEN!A:G,7)</f>
        <v>Mensuri</v>
      </c>
      <c r="L3291" s="76">
        <f>VLOOKUP(Tabelle2[[#This Row],[Artikel]],Produkte!A:H,8)</f>
        <v>0.17</v>
      </c>
    </row>
    <row r="3292" spans="1:12" x14ac:dyDescent="0.2">
      <c r="A3292" s="75" t="s">
        <v>454</v>
      </c>
      <c r="B3292" s="79">
        <v>46150</v>
      </c>
      <c r="C3292" s="89">
        <v>48</v>
      </c>
      <c r="D3292" s="75"/>
      <c r="E3292" s="75"/>
      <c r="F3292" s="75">
        <v>20502</v>
      </c>
      <c r="G3292" s="76" t="str">
        <f>VLOOKUP(Tabelle2[[#This Row],[Kunden Nr.]],KUNDEN!A:B,2,0)</f>
        <v>HOXHA</v>
      </c>
      <c r="H3292" s="75">
        <v>35113</v>
      </c>
      <c r="I3292" s="76" t="str">
        <f>VLOOKUP(Tabelle2[[#This Row],[Artikel]],Produkte!A:B,2,0)</f>
        <v>M-ONE Sanitar Silikon</v>
      </c>
      <c r="J3292" s="75">
        <v>12</v>
      </c>
      <c r="K3292" s="76" t="str">
        <f>VLOOKUP(Tabelle2[[#This Row],[Kunden Nr.]],KUNDEN!A:G,7)</f>
        <v>Mensuri</v>
      </c>
      <c r="L3292" s="76">
        <f>VLOOKUP(Tabelle2[[#This Row],[Artikel]],Produkte!A:H,8)</f>
        <v>0.17</v>
      </c>
    </row>
    <row r="3293" spans="1:12" x14ac:dyDescent="0.2">
      <c r="A3293" s="75" t="s">
        <v>674</v>
      </c>
      <c r="B3293" s="79">
        <v>46150</v>
      </c>
      <c r="C3293" s="89">
        <v>111</v>
      </c>
      <c r="D3293" s="75"/>
      <c r="E3293" s="75"/>
      <c r="F3293" s="75">
        <v>20508</v>
      </c>
      <c r="G3293" s="76" t="str">
        <f>VLOOKUP(Tabelle2[[#This Row],[Kunden Nr.]],KUNDEN!A:B,2,0)</f>
        <v>LIRIDONA HOME</v>
      </c>
      <c r="H3293" s="75">
        <v>35109</v>
      </c>
      <c r="I3293" s="76" t="str">
        <f>VLOOKUP(Tabelle2[[#This Row],[Artikel]],Produkte!A:B,2,0)</f>
        <v>M-ONE Sanitar Silikon</v>
      </c>
      <c r="J3293" s="75">
        <v>12</v>
      </c>
      <c r="K3293" s="76" t="str">
        <f>VLOOKUP(Tabelle2[[#This Row],[Kunden Nr.]],KUNDEN!A:G,7)</f>
        <v>Mensuri</v>
      </c>
      <c r="L3293" s="76">
        <f>VLOOKUP(Tabelle2[[#This Row],[Artikel]],Produkte!A:H,8)</f>
        <v>0.17</v>
      </c>
    </row>
    <row r="3294" spans="1:12" x14ac:dyDescent="0.2">
      <c r="A3294" s="75" t="s">
        <v>674</v>
      </c>
      <c r="B3294" s="79">
        <v>46150</v>
      </c>
      <c r="C3294" s="75"/>
      <c r="D3294" s="75"/>
      <c r="E3294" s="75"/>
      <c r="F3294" s="75">
        <v>20508</v>
      </c>
      <c r="G3294" s="76" t="str">
        <f>VLOOKUP(Tabelle2[[#This Row],[Kunden Nr.]],KUNDEN!A:B,2,0)</f>
        <v>LIRIDONA HOME</v>
      </c>
      <c r="H3294" s="75">
        <v>35115</v>
      </c>
      <c r="I3294" s="76" t="str">
        <f>VLOOKUP(Tabelle2[[#This Row],[Artikel]],Produkte!A:B,2,0)</f>
        <v>M-ONE Sanitar Silikon</v>
      </c>
      <c r="J3294" s="75">
        <v>12</v>
      </c>
      <c r="K3294" s="76" t="str">
        <f>VLOOKUP(Tabelle2[[#This Row],[Kunden Nr.]],KUNDEN!A:G,7)</f>
        <v>Mensuri</v>
      </c>
      <c r="L3294" s="76">
        <f>VLOOKUP(Tabelle2[[#This Row],[Artikel]],Produkte!A:H,8)</f>
        <v>0.17</v>
      </c>
    </row>
    <row r="3295" spans="1:12" x14ac:dyDescent="0.2">
      <c r="A3295" s="75" t="s">
        <v>674</v>
      </c>
      <c r="B3295" s="79">
        <v>46150</v>
      </c>
      <c r="C3295" s="75"/>
      <c r="D3295" s="75"/>
      <c r="E3295" s="75"/>
      <c r="F3295" s="75">
        <v>20508</v>
      </c>
      <c r="G3295" s="76" t="str">
        <f>VLOOKUP(Tabelle2[[#This Row],[Kunden Nr.]],KUNDEN!A:B,2,0)</f>
        <v>LIRIDONA HOME</v>
      </c>
      <c r="H3295" s="75">
        <v>51611</v>
      </c>
      <c r="I3295" s="76" t="str">
        <f>VLOOKUP(Tabelle2[[#This Row],[Artikel]],Produkte!A:B,2,0)</f>
        <v>universal akryl</v>
      </c>
      <c r="J3295" s="75">
        <v>12</v>
      </c>
      <c r="K3295" s="76" t="str">
        <f>VLOOKUP(Tabelle2[[#This Row],[Kunden Nr.]],KUNDEN!A:G,7)</f>
        <v>Mensuri</v>
      </c>
      <c r="L3295" s="76">
        <f>VLOOKUP(Tabelle2[[#This Row],[Artikel]],Produkte!A:H,8)</f>
        <v>0.06</v>
      </c>
    </row>
    <row r="3296" spans="1:12" x14ac:dyDescent="0.2">
      <c r="A3296" s="75" t="s">
        <v>463</v>
      </c>
      <c r="B3296" s="79">
        <v>46150</v>
      </c>
      <c r="C3296" s="89">
        <v>96</v>
      </c>
      <c r="D3296" s="75"/>
      <c r="E3296" s="75"/>
      <c r="F3296" s="75">
        <v>20515</v>
      </c>
      <c r="G3296" s="76" t="str">
        <f>VLOOKUP(Tabelle2[[#This Row],[Kunden Nr.]],KUNDEN!A:B,2,0)</f>
        <v>LIRIDONA-A</v>
      </c>
      <c r="H3296" s="75">
        <v>35111</v>
      </c>
      <c r="I3296" s="76" t="str">
        <f>VLOOKUP(Tabelle2[[#This Row],[Artikel]],Produkte!A:B,2,0)</f>
        <v>M-ONE Sanitar Silikon</v>
      </c>
      <c r="J3296" s="75">
        <v>12</v>
      </c>
      <c r="K3296" s="76" t="str">
        <f>VLOOKUP(Tabelle2[[#This Row],[Kunden Nr.]],KUNDEN!A:G,7)</f>
        <v>Mensuri</v>
      </c>
      <c r="L3296" s="76">
        <f>VLOOKUP(Tabelle2[[#This Row],[Artikel]],Produkte!A:H,8)</f>
        <v>0.17</v>
      </c>
    </row>
    <row r="3297" spans="1:12" x14ac:dyDescent="0.2">
      <c r="A3297" s="75" t="s">
        <v>463</v>
      </c>
      <c r="B3297" s="79">
        <v>46150</v>
      </c>
      <c r="C3297" s="75"/>
      <c r="D3297" s="75"/>
      <c r="E3297" s="75"/>
      <c r="F3297" s="75">
        <v>20515</v>
      </c>
      <c r="G3297" s="76" t="str">
        <f>VLOOKUP(Tabelle2[[#This Row],[Kunden Nr.]],KUNDEN!A:B,2,0)</f>
        <v>LIRIDONA-A</v>
      </c>
      <c r="H3297" s="75">
        <v>35115</v>
      </c>
      <c r="I3297" s="76" t="str">
        <f>VLOOKUP(Tabelle2[[#This Row],[Artikel]],Produkte!A:B,2,0)</f>
        <v>M-ONE Sanitar Silikon</v>
      </c>
      <c r="J3297" s="75">
        <v>12</v>
      </c>
      <c r="K3297" s="76" t="str">
        <f>VLOOKUP(Tabelle2[[#This Row],[Kunden Nr.]],KUNDEN!A:G,7)</f>
        <v>Mensuri</v>
      </c>
      <c r="L3297" s="76">
        <f>VLOOKUP(Tabelle2[[#This Row],[Artikel]],Produkte!A:H,8)</f>
        <v>0.17</v>
      </c>
    </row>
    <row r="3298" spans="1:12" x14ac:dyDescent="0.2">
      <c r="A3298" s="75" t="s">
        <v>461</v>
      </c>
      <c r="B3298" s="79">
        <v>46150</v>
      </c>
      <c r="C3298" s="89">
        <v>96.9</v>
      </c>
      <c r="D3298" s="75"/>
      <c r="E3298" s="75"/>
      <c r="F3298" s="75">
        <v>20513</v>
      </c>
      <c r="G3298" s="76" t="str">
        <f>VLOOKUP(Tabelle2[[#This Row],[Kunden Nr.]],KUNDEN!A:B,2,0)</f>
        <v>BERATI A.P. (1)</v>
      </c>
      <c r="H3298" s="75">
        <v>50912</v>
      </c>
      <c r="I3298" s="76" t="str">
        <f>VLOOKUP(Tabelle2[[#This Row],[Artikel]],Produkte!A:B,2,0)</f>
        <v>DICHTUNG</v>
      </c>
      <c r="J3298" s="75">
        <v>12</v>
      </c>
      <c r="K3298" s="76" t="str">
        <f>VLOOKUP(Tabelle2[[#This Row],[Kunden Nr.]],KUNDEN!A:G,7)</f>
        <v>Mensuri</v>
      </c>
      <c r="L3298" s="76">
        <f>VLOOKUP(Tabelle2[[#This Row],[Artikel]],Produkte!A:H,8)</f>
        <v>0.2</v>
      </c>
    </row>
    <row r="3299" spans="1:12" x14ac:dyDescent="0.2">
      <c r="A3299" s="75" t="s">
        <v>461</v>
      </c>
      <c r="B3299" s="79">
        <v>46150</v>
      </c>
      <c r="C3299" s="75"/>
      <c r="D3299" s="75"/>
      <c r="E3299" s="75"/>
      <c r="F3299" s="75">
        <v>20513</v>
      </c>
      <c r="G3299" s="76" t="str">
        <f>VLOOKUP(Tabelle2[[#This Row],[Kunden Nr.]],KUNDEN!A:B,2,0)</f>
        <v>BERATI A.P. (1)</v>
      </c>
      <c r="H3299" s="75">
        <v>44001</v>
      </c>
      <c r="I3299" s="76" t="str">
        <f>VLOOKUP(Tabelle2[[#This Row],[Artikel]],Produkte!A:B,2,0)</f>
        <v>Fettspray</v>
      </c>
      <c r="J3299" s="75">
        <v>3</v>
      </c>
      <c r="K3299" s="76" t="str">
        <f>VLOOKUP(Tabelle2[[#This Row],[Kunden Nr.]],KUNDEN!A:G,7)</f>
        <v>Mensuri</v>
      </c>
      <c r="L3299" s="76">
        <f>VLOOKUP(Tabelle2[[#This Row],[Artikel]],Produkte!A:H,8)</f>
        <v>0.2</v>
      </c>
    </row>
    <row r="3300" spans="1:12" x14ac:dyDescent="0.2">
      <c r="A3300" s="75" t="s">
        <v>59</v>
      </c>
      <c r="B3300" s="79">
        <v>46150</v>
      </c>
      <c r="C3300" s="89">
        <v>157.4</v>
      </c>
      <c r="D3300" s="75"/>
      <c r="E3300" s="75"/>
      <c r="F3300" s="75">
        <v>20406</v>
      </c>
      <c r="G3300" s="76" t="str">
        <f>VLOOKUP(Tabelle2[[#This Row],[Kunden Nr.]],KUNDEN!A:B,2,0)</f>
        <v>MEGI</v>
      </c>
      <c r="H3300" s="75">
        <v>49644</v>
      </c>
      <c r="I3300" s="76" t="str">
        <f>VLOOKUP(Tabelle2[[#This Row],[Artikel]],Produkte!A:B,2,0)</f>
        <v>beMAKER Rostlöser</v>
      </c>
      <c r="J3300" s="75">
        <v>12</v>
      </c>
      <c r="K3300" s="76" t="str">
        <f>VLOOKUP(Tabelle2[[#This Row],[Kunden Nr.]],KUNDEN!A:G,7)</f>
        <v>Mensuri</v>
      </c>
      <c r="L3300" s="76">
        <f>VLOOKUP(Tabelle2[[#This Row],[Artikel]],Produkte!A:H,8)</f>
        <v>0.2</v>
      </c>
    </row>
    <row r="3301" spans="1:12" x14ac:dyDescent="0.2">
      <c r="A3301" s="75" t="s">
        <v>59</v>
      </c>
      <c r="B3301" s="79">
        <v>46150</v>
      </c>
      <c r="C3301" s="75"/>
      <c r="D3301" s="75"/>
      <c r="E3301" s="75"/>
      <c r="F3301" s="75">
        <v>20406</v>
      </c>
      <c r="G3301" s="76" t="str">
        <f>VLOOKUP(Tabelle2[[#This Row],[Kunden Nr.]],KUNDEN!A:B,2,0)</f>
        <v>MEGI</v>
      </c>
      <c r="H3301" s="75">
        <v>50912</v>
      </c>
      <c r="I3301" s="76" t="str">
        <f>VLOOKUP(Tabelle2[[#This Row],[Artikel]],Produkte!A:B,2,0)</f>
        <v>DICHTUNG</v>
      </c>
      <c r="J3301" s="75">
        <v>17</v>
      </c>
      <c r="K3301" s="76" t="str">
        <f>VLOOKUP(Tabelle2[[#This Row],[Kunden Nr.]],KUNDEN!A:G,7)</f>
        <v>Mensuri</v>
      </c>
      <c r="L3301" s="76">
        <f>VLOOKUP(Tabelle2[[#This Row],[Artikel]],Produkte!A:H,8)</f>
        <v>0.2</v>
      </c>
    </row>
    <row r="3302" spans="1:12" x14ac:dyDescent="0.2">
      <c r="A3302" s="75" t="s">
        <v>59</v>
      </c>
      <c r="B3302" s="79">
        <v>46150</v>
      </c>
      <c r="C3302" s="75"/>
      <c r="D3302" s="75"/>
      <c r="E3302" s="75"/>
      <c r="F3302" s="75">
        <v>20406</v>
      </c>
      <c r="G3302" s="76" t="str">
        <f>VLOOKUP(Tabelle2[[#This Row],[Kunden Nr.]],KUNDEN!A:B,2,0)</f>
        <v>MEGI</v>
      </c>
      <c r="H3302" s="75">
        <v>56117</v>
      </c>
      <c r="I3302" s="76" t="str">
        <f>VLOOKUP(Tabelle2[[#This Row],[Artikel]],Produkte!A:B,2,0)</f>
        <v>M ONE UBS</v>
      </c>
      <c r="J3302" s="75">
        <v>4</v>
      </c>
      <c r="K3302" s="76" t="str">
        <f>VLOOKUP(Tabelle2[[#This Row],[Kunden Nr.]],KUNDEN!A:G,7)</f>
        <v>Mensuri</v>
      </c>
      <c r="L3302" s="76">
        <f>VLOOKUP(Tabelle2[[#This Row],[Artikel]],Produkte!A:H,8)</f>
        <v>0.2</v>
      </c>
    </row>
    <row r="3303" spans="1:12" x14ac:dyDescent="0.2">
      <c r="A3303" s="75" t="s">
        <v>59</v>
      </c>
      <c r="B3303" s="79">
        <v>46150</v>
      </c>
      <c r="C3303" s="75"/>
      <c r="D3303" s="75"/>
      <c r="E3303" s="75"/>
      <c r="F3303" s="75">
        <v>20406</v>
      </c>
      <c r="G3303" s="76" t="str">
        <f>VLOOKUP(Tabelle2[[#This Row],[Kunden Nr.]],KUNDEN!A:B,2,0)</f>
        <v>MEGI</v>
      </c>
      <c r="H3303" s="75">
        <v>31819</v>
      </c>
      <c r="I3303" s="76" t="str">
        <f>VLOOKUP(Tabelle2[[#This Row],[Artikel]],Produkte!A:B,2,0)</f>
        <v>M ONE FUERROT</v>
      </c>
      <c r="J3303" s="75">
        <v>2</v>
      </c>
      <c r="K3303" s="76" t="str">
        <f>VLOOKUP(Tabelle2[[#This Row],[Kunden Nr.]],KUNDEN!A:G,7)</f>
        <v>Mensuri</v>
      </c>
      <c r="L3303" s="76">
        <f>VLOOKUP(Tabelle2[[#This Row],[Artikel]],Produkte!A:H,8)</f>
        <v>0.15</v>
      </c>
    </row>
    <row r="3304" spans="1:12" x14ac:dyDescent="0.2">
      <c r="A3304" s="75" t="s">
        <v>1123</v>
      </c>
      <c r="B3304" s="79">
        <v>46150</v>
      </c>
      <c r="C3304" s="89">
        <v>50</v>
      </c>
      <c r="D3304" s="75"/>
      <c r="E3304" s="75"/>
      <c r="F3304" s="75">
        <v>20427</v>
      </c>
      <c r="G3304" s="76" t="e">
        <f>VLOOKUP(Tabelle2[[#This Row],[Kunden Nr.]],KUNDEN!A:B,2,0)</f>
        <v>#N/A</v>
      </c>
      <c r="H3304" s="75">
        <v>49644</v>
      </c>
      <c r="I3304" s="76" t="str">
        <f>VLOOKUP(Tabelle2[[#This Row],[Artikel]],Produkte!A:B,2,0)</f>
        <v>beMAKER Rostlöser</v>
      </c>
      <c r="J3304" s="75">
        <v>6</v>
      </c>
      <c r="K3304" s="76" t="str">
        <f>VLOOKUP(Tabelle2[[#This Row],[Kunden Nr.]],KUNDEN!A:G,7)</f>
        <v>Mensuri</v>
      </c>
      <c r="L3304" s="76">
        <f>VLOOKUP(Tabelle2[[#This Row],[Artikel]],Produkte!A:H,8)</f>
        <v>0.2</v>
      </c>
    </row>
    <row r="3305" spans="1:12" x14ac:dyDescent="0.2">
      <c r="A3305" s="75" t="s">
        <v>1123</v>
      </c>
      <c r="B3305" s="79">
        <v>46150</v>
      </c>
      <c r="C3305" s="75"/>
      <c r="D3305" s="75"/>
      <c r="E3305" s="75"/>
      <c r="F3305" s="75">
        <v>20427</v>
      </c>
      <c r="G3305" s="76" t="e">
        <f>VLOOKUP(Tabelle2[[#This Row],[Kunden Nr.]],KUNDEN!A:B,2,0)</f>
        <v>#N/A</v>
      </c>
      <c r="H3305" s="75">
        <v>55718</v>
      </c>
      <c r="I3305" s="76" t="str">
        <f>VLOOKUP(Tabelle2[[#This Row],[Artikel]],Produkte!A:B,2,0)</f>
        <v>M ONE MOTORSTART</v>
      </c>
      <c r="J3305" s="75">
        <v>4</v>
      </c>
      <c r="K3305" s="76" t="str">
        <f>VLOOKUP(Tabelle2[[#This Row],[Kunden Nr.]],KUNDEN!A:G,7)</f>
        <v>Mensuri</v>
      </c>
      <c r="L3305" s="76">
        <f>VLOOKUP(Tabelle2[[#This Row],[Artikel]],Produkte!A:H,8)</f>
        <v>0.2</v>
      </c>
    </row>
    <row r="3306" spans="1:12" x14ac:dyDescent="0.2">
      <c r="A3306" s="75" t="s">
        <v>1123</v>
      </c>
      <c r="B3306" s="79">
        <v>46150</v>
      </c>
      <c r="C3306" s="75"/>
      <c r="D3306" s="75"/>
      <c r="E3306" s="75"/>
      <c r="F3306" s="75">
        <v>20427</v>
      </c>
      <c r="G3306" s="76" t="e">
        <f>VLOOKUP(Tabelle2[[#This Row],[Kunden Nr.]],KUNDEN!A:B,2,0)</f>
        <v>#N/A</v>
      </c>
      <c r="H3306" s="75">
        <v>44001</v>
      </c>
      <c r="I3306" s="76" t="str">
        <f>VLOOKUP(Tabelle2[[#This Row],[Artikel]],Produkte!A:B,2,0)</f>
        <v>Fettspray</v>
      </c>
      <c r="J3306" s="75">
        <v>3</v>
      </c>
      <c r="K3306" s="76" t="str">
        <f>VLOOKUP(Tabelle2[[#This Row],[Kunden Nr.]],KUNDEN!A:G,7)</f>
        <v>Mensuri</v>
      </c>
      <c r="L3306" s="76">
        <f>VLOOKUP(Tabelle2[[#This Row],[Artikel]],Produkte!A:H,8)</f>
        <v>0.2</v>
      </c>
    </row>
    <row r="3307" spans="1:12" x14ac:dyDescent="0.2">
      <c r="A3307" s="75" t="s">
        <v>1123</v>
      </c>
      <c r="B3307" s="79">
        <v>46150</v>
      </c>
      <c r="C3307" s="75"/>
      <c r="D3307" s="75"/>
      <c r="E3307" s="75"/>
      <c r="F3307" s="75">
        <v>20427</v>
      </c>
      <c r="G3307" s="76" t="e">
        <f>VLOOKUP(Tabelle2[[#This Row],[Kunden Nr.]],KUNDEN!A:B,2,0)</f>
        <v>#N/A</v>
      </c>
      <c r="H3307" s="75">
        <v>39505</v>
      </c>
      <c r="I3307" s="76" t="str">
        <f>VLOOKUP(Tabelle2[[#This Row],[Artikel]],Produkte!A:B,2,0)</f>
        <v>M ONE SILIKON SPRAY</v>
      </c>
      <c r="J3307" s="75">
        <v>2</v>
      </c>
      <c r="K3307" s="76" t="str">
        <f>VLOOKUP(Tabelle2[[#This Row],[Kunden Nr.]],KUNDEN!A:G,7)</f>
        <v>Mensuri</v>
      </c>
      <c r="L3307" s="76">
        <f>VLOOKUP(Tabelle2[[#This Row],[Artikel]],Produkte!A:H,8)</f>
        <v>0.2</v>
      </c>
    </row>
    <row r="3308" spans="1:12" x14ac:dyDescent="0.2">
      <c r="A3308" s="75" t="s">
        <v>1123</v>
      </c>
      <c r="B3308" s="79">
        <v>46150</v>
      </c>
      <c r="C3308" s="75"/>
      <c r="D3308" s="75"/>
      <c r="E3308" s="75"/>
      <c r="F3308" s="75">
        <v>20427</v>
      </c>
      <c r="G3308" s="76" t="e">
        <f>VLOOKUP(Tabelle2[[#This Row],[Kunden Nr.]],KUNDEN!A:B,2,0)</f>
        <v>#N/A</v>
      </c>
      <c r="H3308" s="75">
        <v>51736</v>
      </c>
      <c r="I3308" s="76" t="str">
        <f>VLOOKUP(Tabelle2[[#This Row],[Artikel]],Produkte!A:B,2,0)</f>
        <v>M ONE SCHWARZ MATT</v>
      </c>
      <c r="J3308" s="75">
        <v>3</v>
      </c>
      <c r="K3308" s="76" t="str">
        <f>VLOOKUP(Tabelle2[[#This Row],[Kunden Nr.]],KUNDEN!A:G,7)</f>
        <v>Mensuri</v>
      </c>
      <c r="L3308" s="76">
        <f>VLOOKUP(Tabelle2[[#This Row],[Artikel]],Produkte!A:H,8)</f>
        <v>0.15</v>
      </c>
    </row>
    <row r="3309" spans="1:12" x14ac:dyDescent="0.2">
      <c r="A3309" s="75" t="s">
        <v>454</v>
      </c>
      <c r="B3309" s="79">
        <v>46151</v>
      </c>
      <c r="C3309" s="89">
        <v>62</v>
      </c>
      <c r="D3309" s="75"/>
      <c r="E3309" s="75"/>
      <c r="F3309" s="75">
        <v>10622</v>
      </c>
      <c r="G3309" s="76" t="str">
        <f>VLOOKUP(Tabelle2[[#This Row],[Kunden Nr.]],KUNDEN!A:B,2,0)</f>
        <v>HOXHA</v>
      </c>
      <c r="H3309" s="75">
        <v>54412</v>
      </c>
      <c r="I3309" s="76" t="str">
        <f>VLOOKUP(Tabelle2[[#This Row],[Artikel]],Produkte!A:B,2,0)</f>
        <v>beMAKER Bremsen&amp;Teile Reininger</v>
      </c>
      <c r="J3309" s="75">
        <v>12</v>
      </c>
      <c r="K3309" s="76" t="str">
        <f>VLOOKUP(Tabelle2[[#This Row],[Kunden Nr.]],KUNDEN!A:G,7)</f>
        <v>Qerimi</v>
      </c>
      <c r="L3309" s="76">
        <f>VLOOKUP(Tabelle2[[#This Row],[Artikel]],Produkte!A:H,8)</f>
        <v>0.2</v>
      </c>
    </row>
    <row r="3310" spans="1:12" x14ac:dyDescent="0.2">
      <c r="A3310" s="75" t="s">
        <v>454</v>
      </c>
      <c r="B3310" s="79">
        <v>46151</v>
      </c>
      <c r="C3310" s="75"/>
      <c r="D3310" s="75"/>
      <c r="E3310" s="75"/>
      <c r="F3310" s="75">
        <v>10622</v>
      </c>
      <c r="G3310" s="76" t="str">
        <f>VLOOKUP(Tabelle2[[#This Row],[Kunden Nr.]],KUNDEN!A:B,2,0)</f>
        <v>HOXHA</v>
      </c>
      <c r="H3310" s="75">
        <v>49644</v>
      </c>
      <c r="I3310" s="76" t="str">
        <f>VLOOKUP(Tabelle2[[#This Row],[Artikel]],Produkte!A:B,2,0)</f>
        <v>beMAKER Rostlöser</v>
      </c>
      <c r="J3310" s="75">
        <v>12</v>
      </c>
      <c r="K3310" s="76" t="str">
        <f>VLOOKUP(Tabelle2[[#This Row],[Kunden Nr.]],KUNDEN!A:G,7)</f>
        <v>Qerimi</v>
      </c>
      <c r="L3310" s="76">
        <f>VLOOKUP(Tabelle2[[#This Row],[Artikel]],Produkte!A:H,8)</f>
        <v>0.2</v>
      </c>
    </row>
    <row r="3311" spans="1:12" x14ac:dyDescent="0.2">
      <c r="A3311" s="75" t="s">
        <v>454</v>
      </c>
      <c r="B3311" s="79">
        <v>46151</v>
      </c>
      <c r="C3311" s="75"/>
      <c r="D3311" s="75"/>
      <c r="E3311" s="75"/>
      <c r="F3311" s="75">
        <v>10622</v>
      </c>
      <c r="G3311" s="76" t="str">
        <f>VLOOKUP(Tabelle2[[#This Row],[Kunden Nr.]],KUNDEN!A:B,2,0)</f>
        <v>HOXHA</v>
      </c>
      <c r="H3311" s="75">
        <v>44001</v>
      </c>
      <c r="I3311" s="76" t="str">
        <f>VLOOKUP(Tabelle2[[#This Row],[Artikel]],Produkte!A:B,2,0)</f>
        <v>Fettspray</v>
      </c>
      <c r="J3311" s="75">
        <v>4</v>
      </c>
      <c r="K3311" s="76" t="str">
        <f>VLOOKUP(Tabelle2[[#This Row],[Kunden Nr.]],KUNDEN!A:G,7)</f>
        <v>Qerimi</v>
      </c>
      <c r="L3311" s="76">
        <f>VLOOKUP(Tabelle2[[#This Row],[Artikel]],Produkte!A:H,8)</f>
        <v>0.2</v>
      </c>
    </row>
    <row r="3312" spans="1:12" x14ac:dyDescent="0.2">
      <c r="A3312" s="75" t="s">
        <v>1230</v>
      </c>
      <c r="B3312" s="79">
        <v>46151</v>
      </c>
      <c r="C3312" s="89">
        <v>96</v>
      </c>
      <c r="D3312" s="75"/>
      <c r="E3312" s="75"/>
      <c r="F3312" s="75">
        <v>10635</v>
      </c>
      <c r="G3312" s="76" t="e">
        <f>VLOOKUP(Tabelle2[[#This Row],[Kunden Nr.]],KUNDEN!A:B,2,0)</f>
        <v>#N/A</v>
      </c>
      <c r="H3312" s="75">
        <v>35112</v>
      </c>
      <c r="I3312" s="76" t="str">
        <f>VLOOKUP(Tabelle2[[#This Row],[Artikel]],Produkte!A:B,2,0)</f>
        <v>M-ONE Sanitar Silikon</v>
      </c>
      <c r="J3312" s="75">
        <v>12</v>
      </c>
      <c r="K3312" s="76" t="str">
        <f>VLOOKUP(Tabelle2[[#This Row],[Kunden Nr.]],KUNDEN!A:G,7)</f>
        <v>Qerimi</v>
      </c>
      <c r="L3312" s="76">
        <f>VLOOKUP(Tabelle2[[#This Row],[Artikel]],Produkte!A:H,8)</f>
        <v>0.17</v>
      </c>
    </row>
    <row r="3313" spans="1:12" x14ac:dyDescent="0.2">
      <c r="A3313" s="75" t="s">
        <v>1230</v>
      </c>
      <c r="B3313" s="79">
        <v>46151</v>
      </c>
      <c r="C3313" s="75"/>
      <c r="D3313" s="75"/>
      <c r="E3313" s="75"/>
      <c r="F3313" s="75">
        <v>10635</v>
      </c>
      <c r="G3313" s="76" t="e">
        <f>VLOOKUP(Tabelle2[[#This Row],[Kunden Nr.]],KUNDEN!A:B,2,0)</f>
        <v>#N/A</v>
      </c>
      <c r="H3313" s="75">
        <v>35128</v>
      </c>
      <c r="I3313" s="76" t="str">
        <f>VLOOKUP(Tabelle2[[#This Row],[Artikel]],Produkte!A:B,2,0)</f>
        <v>M-ONE Sanitar Silikon</v>
      </c>
      <c r="J3313" s="75">
        <v>12</v>
      </c>
      <c r="K3313" s="76" t="str">
        <f>VLOOKUP(Tabelle2[[#This Row],[Kunden Nr.]],KUNDEN!A:G,7)</f>
        <v>Qerimi</v>
      </c>
      <c r="L3313" s="76">
        <f>VLOOKUP(Tabelle2[[#This Row],[Artikel]],Produkte!A:H,8)</f>
        <v>0.17</v>
      </c>
    </row>
    <row r="3314" spans="1:12" x14ac:dyDescent="0.2">
      <c r="A3314" s="75" t="s">
        <v>837</v>
      </c>
      <c r="B3314" s="79">
        <v>46151</v>
      </c>
      <c r="C3314" s="89">
        <v>144</v>
      </c>
      <c r="D3314" s="75"/>
      <c r="E3314" s="75"/>
      <c r="F3314" s="75">
        <v>10625</v>
      </c>
      <c r="G3314" s="76" t="str">
        <f>VLOOKUP(Tabelle2[[#This Row],[Kunden Nr.]],KUNDEN!A:B,2,0)</f>
        <v>KUJTA</v>
      </c>
      <c r="H3314" s="75">
        <v>35113</v>
      </c>
      <c r="I3314" s="76" t="str">
        <f>VLOOKUP(Tabelle2[[#This Row],[Artikel]],Produkte!A:B,2,0)</f>
        <v>M-ONE Sanitar Silikon</v>
      </c>
      <c r="J3314" s="75">
        <v>12</v>
      </c>
      <c r="K3314" s="76" t="str">
        <f>VLOOKUP(Tabelle2[[#This Row],[Kunden Nr.]],KUNDEN!A:G,7)</f>
        <v>Qerimi</v>
      </c>
      <c r="L3314" s="76">
        <f>VLOOKUP(Tabelle2[[#This Row],[Artikel]],Produkte!A:H,8)</f>
        <v>0.17</v>
      </c>
    </row>
    <row r="3315" spans="1:12" x14ac:dyDescent="0.2">
      <c r="A3315" s="75" t="s">
        <v>837</v>
      </c>
      <c r="B3315" s="79">
        <v>46151</v>
      </c>
      <c r="C3315" s="75"/>
      <c r="D3315" s="75"/>
      <c r="E3315" s="75"/>
      <c r="F3315" s="75">
        <v>10625</v>
      </c>
      <c r="G3315" s="76" t="str">
        <f>VLOOKUP(Tabelle2[[#This Row],[Kunden Nr.]],KUNDEN!A:B,2,0)</f>
        <v>KUJTA</v>
      </c>
      <c r="H3315" s="75">
        <v>35125</v>
      </c>
      <c r="I3315" s="76" t="str">
        <f>VLOOKUP(Tabelle2[[#This Row],[Artikel]],Produkte!A:B,2,0)</f>
        <v>M-ONE Sanitar Silikon</v>
      </c>
      <c r="J3315" s="75">
        <v>12</v>
      </c>
      <c r="K3315" s="76" t="str">
        <f>VLOOKUP(Tabelle2[[#This Row],[Kunden Nr.]],KUNDEN!A:G,7)</f>
        <v>Qerimi</v>
      </c>
      <c r="L3315" s="76">
        <f>VLOOKUP(Tabelle2[[#This Row],[Artikel]],Produkte!A:H,8)</f>
        <v>0.17</v>
      </c>
    </row>
    <row r="3316" spans="1:12" x14ac:dyDescent="0.2">
      <c r="A3316" s="75" t="s">
        <v>837</v>
      </c>
      <c r="B3316" s="79">
        <v>46151</v>
      </c>
      <c r="C3316" s="75"/>
      <c r="D3316" s="75"/>
      <c r="E3316" s="75"/>
      <c r="F3316" s="75">
        <v>10625</v>
      </c>
      <c r="G3316" s="76" t="str">
        <f>VLOOKUP(Tabelle2[[#This Row],[Kunden Nr.]],KUNDEN!A:B,2,0)</f>
        <v>KUJTA</v>
      </c>
      <c r="H3316" s="75">
        <v>35128</v>
      </c>
      <c r="I3316" s="76" t="str">
        <f>VLOOKUP(Tabelle2[[#This Row],[Artikel]],Produkte!A:B,2,0)</f>
        <v>M-ONE Sanitar Silikon</v>
      </c>
      <c r="J3316" s="75">
        <v>12</v>
      </c>
      <c r="K3316" s="76" t="str">
        <f>VLOOKUP(Tabelle2[[#This Row],[Kunden Nr.]],KUNDEN!A:G,7)</f>
        <v>Qerimi</v>
      </c>
      <c r="L3316" s="76">
        <f>VLOOKUP(Tabelle2[[#This Row],[Artikel]],Produkte!A:H,8)</f>
        <v>0.17</v>
      </c>
    </row>
    <row r="3317" spans="1:12" x14ac:dyDescent="0.2">
      <c r="A3317" s="75" t="s">
        <v>1230</v>
      </c>
      <c r="B3317" s="79">
        <v>46151</v>
      </c>
      <c r="C3317" s="89">
        <v>96</v>
      </c>
      <c r="D3317" s="75"/>
      <c r="E3317" s="75"/>
      <c r="F3317" s="75">
        <v>10636</v>
      </c>
      <c r="G3317" s="76" t="e">
        <f>VLOOKUP(Tabelle2[[#This Row],[Kunden Nr.]],KUNDEN!A:B,2,0)</f>
        <v>#N/A</v>
      </c>
      <c r="H3317" s="75">
        <v>35110</v>
      </c>
      <c r="I3317" s="76" t="str">
        <f>VLOOKUP(Tabelle2[[#This Row],[Artikel]],Produkte!A:B,2,0)</f>
        <v>M-ONE Sanitar Silikon</v>
      </c>
      <c r="J3317" s="75">
        <v>12</v>
      </c>
      <c r="K3317" s="76" t="str">
        <f>VLOOKUP(Tabelle2[[#This Row],[Kunden Nr.]],KUNDEN!A:G,7)</f>
        <v>Qerimi</v>
      </c>
      <c r="L3317" s="76">
        <f>VLOOKUP(Tabelle2[[#This Row],[Artikel]],Produkte!A:H,8)</f>
        <v>0.17</v>
      </c>
    </row>
    <row r="3318" spans="1:12" x14ac:dyDescent="0.2">
      <c r="A3318" s="75" t="s">
        <v>1230</v>
      </c>
      <c r="B3318" s="79">
        <v>46151</v>
      </c>
      <c r="C3318" s="75"/>
      <c r="D3318" s="75"/>
      <c r="E3318" s="75"/>
      <c r="F3318" s="75">
        <v>10636</v>
      </c>
      <c r="G3318" s="76" t="e">
        <f>VLOOKUP(Tabelle2[[#This Row],[Kunden Nr.]],KUNDEN!A:B,2,0)</f>
        <v>#N/A</v>
      </c>
      <c r="H3318" s="75">
        <v>35111</v>
      </c>
      <c r="I3318" s="76" t="str">
        <f>VLOOKUP(Tabelle2[[#This Row],[Artikel]],Produkte!A:B,2,0)</f>
        <v>M-ONE Sanitar Silikon</v>
      </c>
      <c r="J3318" s="75">
        <v>12</v>
      </c>
      <c r="K3318" s="76" t="str">
        <f>VLOOKUP(Tabelle2[[#This Row],[Kunden Nr.]],KUNDEN!A:G,7)</f>
        <v>Qerimi</v>
      </c>
      <c r="L3318" s="76">
        <f>VLOOKUP(Tabelle2[[#This Row],[Artikel]],Produkte!A:H,8)</f>
        <v>0.17</v>
      </c>
    </row>
    <row r="3319" spans="1:12" x14ac:dyDescent="0.2">
      <c r="A3319" s="75" t="s">
        <v>611</v>
      </c>
      <c r="B3319" s="79">
        <v>46151</v>
      </c>
      <c r="C3319" s="89">
        <v>27.6</v>
      </c>
      <c r="D3319" s="75"/>
      <c r="E3319" s="75"/>
      <c r="F3319" s="75">
        <v>10619</v>
      </c>
      <c r="G3319" s="76" t="str">
        <f>VLOOKUP(Tabelle2[[#This Row],[Kunden Nr.]],KUNDEN!A:B,2,0)</f>
        <v>BECOLOR</v>
      </c>
      <c r="H3319" s="75">
        <v>51612</v>
      </c>
      <c r="I3319" s="76" t="str">
        <f>VLOOKUP(Tabelle2[[#This Row],[Artikel]],Produkte!A:B,2,0)</f>
        <v>struktural akryl</v>
      </c>
      <c r="J3319" s="75">
        <v>12</v>
      </c>
      <c r="K3319" s="76" t="str">
        <f>VLOOKUP(Tabelle2[[#This Row],[Kunden Nr.]],KUNDEN!A:G,7)</f>
        <v>Qerimi</v>
      </c>
      <c r="L3319" s="76">
        <f>VLOOKUP(Tabelle2[[#This Row],[Artikel]],Produkte!A:H,8)</f>
        <v>0.06</v>
      </c>
    </row>
    <row r="3320" spans="1:12" x14ac:dyDescent="0.2">
      <c r="A3320" s="75" t="s">
        <v>670</v>
      </c>
      <c r="B3320" s="79">
        <v>46151</v>
      </c>
      <c r="C3320" s="89">
        <v>123.6</v>
      </c>
      <c r="D3320" s="75"/>
      <c r="E3320" s="75"/>
      <c r="F3320" s="75">
        <v>20206</v>
      </c>
      <c r="G3320" s="76" t="str">
        <f>VLOOKUP(Tabelle2[[#This Row],[Kunden Nr.]],KUNDEN!A:B,2,0)</f>
        <v>ERENIKU</v>
      </c>
      <c r="H3320" s="75">
        <v>35109</v>
      </c>
      <c r="I3320" s="76" t="str">
        <f>VLOOKUP(Tabelle2[[#This Row],[Artikel]],Produkte!A:B,2,0)</f>
        <v>M-ONE Sanitar Silikon</v>
      </c>
      <c r="J3320" s="75">
        <v>12</v>
      </c>
      <c r="K3320" s="76" t="str">
        <f>VLOOKUP(Tabelle2[[#This Row],[Kunden Nr.]],KUNDEN!A:G,7)</f>
        <v>Mensuri</v>
      </c>
      <c r="L3320" s="76">
        <f>VLOOKUP(Tabelle2[[#This Row],[Artikel]],Produkte!A:H,8)</f>
        <v>0.17</v>
      </c>
    </row>
    <row r="3321" spans="1:12" x14ac:dyDescent="0.2">
      <c r="A3321" s="75" t="s">
        <v>670</v>
      </c>
      <c r="B3321" s="79">
        <v>46151</v>
      </c>
      <c r="C3321" s="75"/>
      <c r="D3321" s="75"/>
      <c r="E3321" s="75"/>
      <c r="F3321" s="75">
        <v>20206</v>
      </c>
      <c r="G3321" s="76" t="str">
        <f>VLOOKUP(Tabelle2[[#This Row],[Kunden Nr.]],KUNDEN!A:B,2,0)</f>
        <v>ERENIKU</v>
      </c>
      <c r="H3321" s="75">
        <v>35121</v>
      </c>
      <c r="I3321" s="76" t="str">
        <f>VLOOKUP(Tabelle2[[#This Row],[Artikel]],Produkte!A:B,2,0)</f>
        <v>M-ONE Sanitar Silikon</v>
      </c>
      <c r="J3321" s="75">
        <v>12</v>
      </c>
      <c r="K3321" s="76" t="str">
        <f>VLOOKUP(Tabelle2[[#This Row],[Kunden Nr.]],KUNDEN!A:G,7)</f>
        <v>Mensuri</v>
      </c>
      <c r="L3321" s="76">
        <f>VLOOKUP(Tabelle2[[#This Row],[Artikel]],Produkte!A:H,8)</f>
        <v>0.17</v>
      </c>
    </row>
    <row r="3322" spans="1:12" x14ac:dyDescent="0.2">
      <c r="A3322" s="75" t="s">
        <v>670</v>
      </c>
      <c r="B3322" s="79">
        <v>46151</v>
      </c>
      <c r="C3322" s="75"/>
      <c r="D3322" s="75"/>
      <c r="E3322" s="75"/>
      <c r="F3322" s="75">
        <v>20206</v>
      </c>
      <c r="G3322" s="76" t="str">
        <f>VLOOKUP(Tabelle2[[#This Row],[Kunden Nr.]],KUNDEN!A:B,2,0)</f>
        <v>ERENIKU</v>
      </c>
      <c r="H3322" s="75">
        <v>51612</v>
      </c>
      <c r="I3322" s="76" t="str">
        <f>VLOOKUP(Tabelle2[[#This Row],[Artikel]],Produkte!A:B,2,0)</f>
        <v>struktural akryl</v>
      </c>
      <c r="J3322" s="75">
        <v>12</v>
      </c>
      <c r="K3322" s="76" t="str">
        <f>VLOOKUP(Tabelle2[[#This Row],[Kunden Nr.]],KUNDEN!A:G,7)</f>
        <v>Mensuri</v>
      </c>
      <c r="L3322" s="76">
        <f>VLOOKUP(Tabelle2[[#This Row],[Artikel]],Produkte!A:H,8)</f>
        <v>0.06</v>
      </c>
    </row>
    <row r="3323" spans="1:12" x14ac:dyDescent="0.2">
      <c r="A3323" s="75" t="s">
        <v>434</v>
      </c>
      <c r="B3323" s="79">
        <v>46151</v>
      </c>
      <c r="C3323" s="89">
        <v>108</v>
      </c>
      <c r="D3323" s="75"/>
      <c r="E3323" s="75"/>
      <c r="F3323" s="75">
        <v>20606</v>
      </c>
      <c r="G3323" s="76" t="str">
        <f>VLOOKUP(Tabelle2[[#This Row],[Kunden Nr.]],KUNDEN!A:B,2,0)</f>
        <v>TE-SYLA</v>
      </c>
      <c r="H3323" s="75">
        <v>35121</v>
      </c>
      <c r="I3323" s="76" t="str">
        <f>VLOOKUP(Tabelle2[[#This Row],[Artikel]],Produkte!A:B,2,0)</f>
        <v>M-ONE Sanitar Silikon</v>
      </c>
      <c r="J3323" s="75">
        <v>12</v>
      </c>
      <c r="K3323" s="76" t="str">
        <f>VLOOKUP(Tabelle2[[#This Row],[Kunden Nr.]],KUNDEN!A:G,7)</f>
        <v>Mensuri</v>
      </c>
      <c r="L3323" s="76">
        <f>VLOOKUP(Tabelle2[[#This Row],[Artikel]],Produkte!A:H,8)</f>
        <v>0.17</v>
      </c>
    </row>
    <row r="3324" spans="1:12" x14ac:dyDescent="0.2">
      <c r="A3324" s="75" t="s">
        <v>434</v>
      </c>
      <c r="B3324" s="79">
        <v>46151</v>
      </c>
      <c r="C3324" s="75"/>
      <c r="D3324" s="75"/>
      <c r="E3324" s="75"/>
      <c r="F3324" s="75">
        <v>20606</v>
      </c>
      <c r="G3324" s="76" t="str">
        <f>VLOOKUP(Tabelle2[[#This Row],[Kunden Nr.]],KUNDEN!A:B,2,0)</f>
        <v>TE-SYLA</v>
      </c>
      <c r="H3324" s="75">
        <v>35128</v>
      </c>
      <c r="I3324" s="76" t="str">
        <f>VLOOKUP(Tabelle2[[#This Row],[Artikel]],Produkte!A:B,2,0)</f>
        <v>M-ONE Sanitar Silikon</v>
      </c>
      <c r="J3324" s="75">
        <v>12</v>
      </c>
      <c r="K3324" s="76" t="str">
        <f>VLOOKUP(Tabelle2[[#This Row],[Kunden Nr.]],KUNDEN!A:G,7)</f>
        <v>Mensuri</v>
      </c>
      <c r="L3324" s="76">
        <f>VLOOKUP(Tabelle2[[#This Row],[Artikel]],Produkte!A:H,8)</f>
        <v>0.17</v>
      </c>
    </row>
    <row r="3325" spans="1:12" x14ac:dyDescent="0.2">
      <c r="A3325" s="75" t="s">
        <v>434</v>
      </c>
      <c r="B3325" s="79">
        <v>46151</v>
      </c>
      <c r="C3325" s="75"/>
      <c r="D3325" s="75"/>
      <c r="E3325" s="75"/>
      <c r="F3325" s="75">
        <v>20606</v>
      </c>
      <c r="G3325" s="76" t="str">
        <f>VLOOKUP(Tabelle2[[#This Row],[Kunden Nr.]],KUNDEN!A:B,2,0)</f>
        <v>TE-SYLA</v>
      </c>
      <c r="H3325" s="75">
        <v>31880</v>
      </c>
      <c r="I3325" s="76" t="str">
        <f>VLOOKUP(Tabelle2[[#This Row],[Artikel]],Produkte!A:B,2,0)</f>
        <v>HAT LACK 800</v>
      </c>
      <c r="J3325" s="75">
        <v>3</v>
      </c>
      <c r="K3325" s="76" t="str">
        <f>VLOOKUP(Tabelle2[[#This Row],[Kunden Nr.]],KUNDEN!A:G,7)</f>
        <v>Mensuri</v>
      </c>
      <c r="L3325" s="76">
        <f>VLOOKUP(Tabelle2[[#This Row],[Artikel]],Produkte!A:H,8)</f>
        <v>0.35</v>
      </c>
    </row>
    <row r="3326" spans="1:12" x14ac:dyDescent="0.2">
      <c r="A3326" s="75" t="s">
        <v>1322</v>
      </c>
      <c r="B3326" s="79">
        <v>46151</v>
      </c>
      <c r="C3326" s="89">
        <v>240</v>
      </c>
      <c r="D3326" s="75"/>
      <c r="E3326" s="75"/>
      <c r="F3326" s="75">
        <v>20636</v>
      </c>
      <c r="G3326" s="76" t="e">
        <f>VLOOKUP(Tabelle2[[#This Row],[Kunden Nr.]],KUNDEN!A:B,2,0)</f>
        <v>#N/A</v>
      </c>
      <c r="H3326" s="75">
        <v>35115</v>
      </c>
      <c r="I3326" s="76" t="str">
        <f>VLOOKUP(Tabelle2[[#This Row],[Artikel]],Produkte!A:B,2,0)</f>
        <v>M-ONE Sanitar Silikon</v>
      </c>
      <c r="J3326" s="75">
        <v>12</v>
      </c>
      <c r="K3326" s="76" t="str">
        <f>VLOOKUP(Tabelle2[[#This Row],[Kunden Nr.]],KUNDEN!A:G,7)</f>
        <v>Mensuri</v>
      </c>
      <c r="L3326" s="76">
        <f>VLOOKUP(Tabelle2[[#This Row],[Artikel]],Produkte!A:H,8)</f>
        <v>0.17</v>
      </c>
    </row>
    <row r="3327" spans="1:12" x14ac:dyDescent="0.2">
      <c r="A3327" s="75" t="s">
        <v>1322</v>
      </c>
      <c r="B3327" s="79">
        <v>46151</v>
      </c>
      <c r="C3327" s="75"/>
      <c r="D3327" s="75"/>
      <c r="E3327" s="75"/>
      <c r="F3327" s="75">
        <v>20636</v>
      </c>
      <c r="G3327" s="76" t="e">
        <f>VLOOKUP(Tabelle2[[#This Row],[Kunden Nr.]],KUNDEN!A:B,2,0)</f>
        <v>#N/A</v>
      </c>
      <c r="H3327" s="75">
        <v>35111</v>
      </c>
      <c r="I3327" s="76" t="str">
        <f>VLOOKUP(Tabelle2[[#This Row],[Artikel]],Produkte!A:B,2,0)</f>
        <v>M-ONE Sanitar Silikon</v>
      </c>
      <c r="J3327" s="75">
        <v>12</v>
      </c>
      <c r="K3327" s="76" t="str">
        <f>VLOOKUP(Tabelle2[[#This Row],[Kunden Nr.]],KUNDEN!A:G,7)</f>
        <v>Mensuri</v>
      </c>
      <c r="L3327" s="76">
        <f>VLOOKUP(Tabelle2[[#This Row],[Artikel]],Produkte!A:H,8)</f>
        <v>0.17</v>
      </c>
    </row>
    <row r="3328" spans="1:12" x14ac:dyDescent="0.2">
      <c r="A3328" s="75" t="s">
        <v>1322</v>
      </c>
      <c r="B3328" s="79">
        <v>46151</v>
      </c>
      <c r="C3328" s="75"/>
      <c r="D3328" s="75"/>
      <c r="E3328" s="75"/>
      <c r="F3328" s="75">
        <v>20636</v>
      </c>
      <c r="G3328" s="76" t="e">
        <f>VLOOKUP(Tabelle2[[#This Row],[Kunden Nr.]],KUNDEN!A:B,2,0)</f>
        <v>#N/A</v>
      </c>
      <c r="H3328" s="75">
        <v>35121</v>
      </c>
      <c r="I3328" s="76" t="str">
        <f>VLOOKUP(Tabelle2[[#This Row],[Artikel]],Produkte!A:B,2,0)</f>
        <v>M-ONE Sanitar Silikon</v>
      </c>
      <c r="J3328" s="75">
        <v>12</v>
      </c>
      <c r="K3328" s="76" t="str">
        <f>VLOOKUP(Tabelle2[[#This Row],[Kunden Nr.]],KUNDEN!A:G,7)</f>
        <v>Mensuri</v>
      </c>
      <c r="L3328" s="76">
        <f>VLOOKUP(Tabelle2[[#This Row],[Artikel]],Produkte!A:H,8)</f>
        <v>0.17</v>
      </c>
    </row>
    <row r="3329" spans="1:12" x14ac:dyDescent="0.2">
      <c r="A3329" s="75" t="s">
        <v>1322</v>
      </c>
      <c r="B3329" s="79">
        <v>46151</v>
      </c>
      <c r="C3329" s="75"/>
      <c r="D3329" s="75"/>
      <c r="E3329" s="75"/>
      <c r="F3329" s="75">
        <v>20636</v>
      </c>
      <c r="G3329" s="76" t="e">
        <f>VLOOKUP(Tabelle2[[#This Row],[Kunden Nr.]],KUNDEN!A:B,2,0)</f>
        <v>#N/A</v>
      </c>
      <c r="H3329" s="75">
        <v>35128</v>
      </c>
      <c r="I3329" s="76" t="str">
        <f>VLOOKUP(Tabelle2[[#This Row],[Artikel]],Produkte!A:B,2,0)</f>
        <v>M-ONE Sanitar Silikon</v>
      </c>
      <c r="J3329" s="75">
        <v>24</v>
      </c>
      <c r="K3329" s="76" t="str">
        <f>VLOOKUP(Tabelle2[[#This Row],[Kunden Nr.]],KUNDEN!A:G,7)</f>
        <v>Mensuri</v>
      </c>
      <c r="L3329" s="76">
        <f>VLOOKUP(Tabelle2[[#This Row],[Artikel]],Produkte!A:H,8)</f>
        <v>0.17</v>
      </c>
    </row>
    <row r="3330" spans="1:12" x14ac:dyDescent="0.2">
      <c r="A3330" s="75" t="s">
        <v>1322</v>
      </c>
      <c r="B3330" s="79">
        <v>46151</v>
      </c>
      <c r="C3330" s="75"/>
      <c r="D3330" s="75"/>
      <c r="E3330" s="75"/>
      <c r="F3330" s="75">
        <v>20634</v>
      </c>
      <c r="G3330" s="76" t="str">
        <f>VLOOKUP(Tabelle2[[#This Row],[Kunden Nr.]],KUNDEN!A:B,2,0)</f>
        <v>SALIHU CORPORATION</v>
      </c>
      <c r="H3330" s="75">
        <v>35115</v>
      </c>
      <c r="I3330" s="76" t="str">
        <f>VLOOKUP(Tabelle2[[#This Row],[Artikel]],Produkte!A:B,2,0)</f>
        <v>M-ONE Sanitar Silikon</v>
      </c>
      <c r="J3330" s="75">
        <v>24</v>
      </c>
      <c r="K3330" s="76" t="str">
        <f>VLOOKUP(Tabelle2[[#This Row],[Kunden Nr.]],KUNDEN!A:G,7)</f>
        <v>Mensuri</v>
      </c>
      <c r="L3330" s="76">
        <f>VLOOKUP(Tabelle2[[#This Row],[Artikel]],Produkte!A:H,8)</f>
        <v>0.17</v>
      </c>
    </row>
    <row r="3331" spans="1:12" x14ac:dyDescent="0.2">
      <c r="A3331" s="75" t="s">
        <v>1322</v>
      </c>
      <c r="B3331" s="79">
        <v>46151</v>
      </c>
      <c r="C3331" s="75"/>
      <c r="D3331" s="75"/>
      <c r="E3331" s="75"/>
      <c r="F3331" s="75">
        <v>20634</v>
      </c>
      <c r="G3331" s="76" t="str">
        <f>VLOOKUP(Tabelle2[[#This Row],[Kunden Nr.]],KUNDEN!A:B,2,0)</f>
        <v>SALIHU CORPORATION</v>
      </c>
      <c r="H3331" s="75">
        <v>35121</v>
      </c>
      <c r="I3331" s="76" t="str">
        <f>VLOOKUP(Tabelle2[[#This Row],[Artikel]],Produkte!A:B,2,0)</f>
        <v>M-ONE Sanitar Silikon</v>
      </c>
      <c r="J3331" s="75">
        <v>12</v>
      </c>
      <c r="K3331" s="76" t="str">
        <f>VLOOKUP(Tabelle2[[#This Row],[Kunden Nr.]],KUNDEN!A:G,7)</f>
        <v>Mensuri</v>
      </c>
      <c r="L3331" s="76">
        <f>VLOOKUP(Tabelle2[[#This Row],[Artikel]],Produkte!A:H,8)</f>
        <v>0.17</v>
      </c>
    </row>
    <row r="3332" spans="1:12" x14ac:dyDescent="0.2">
      <c r="A3332" s="75" t="s">
        <v>1322</v>
      </c>
      <c r="B3332" s="79">
        <v>46151</v>
      </c>
      <c r="C3332" s="75"/>
      <c r="D3332" s="75"/>
      <c r="E3332" s="75"/>
      <c r="F3332" s="75">
        <v>20634</v>
      </c>
      <c r="G3332" s="76" t="str">
        <f>VLOOKUP(Tabelle2[[#This Row],[Kunden Nr.]],KUNDEN!A:B,2,0)</f>
        <v>SALIHU CORPORATION</v>
      </c>
      <c r="H3332" s="75">
        <v>35110</v>
      </c>
      <c r="I3332" s="76" t="str">
        <f>VLOOKUP(Tabelle2[[#This Row],[Artikel]],Produkte!A:B,2,0)</f>
        <v>M-ONE Sanitar Silikon</v>
      </c>
      <c r="J3332" s="75">
        <v>12</v>
      </c>
      <c r="K3332" s="76" t="str">
        <f>VLOOKUP(Tabelle2[[#This Row],[Kunden Nr.]],KUNDEN!A:G,7)</f>
        <v>Mensuri</v>
      </c>
      <c r="L3332" s="76">
        <f>VLOOKUP(Tabelle2[[#This Row],[Artikel]],Produkte!A:H,8)</f>
        <v>0.17</v>
      </c>
    </row>
    <row r="3333" spans="1:12" x14ac:dyDescent="0.2">
      <c r="A3333" s="75" t="s">
        <v>440</v>
      </c>
      <c r="B3333" s="79">
        <v>46151</v>
      </c>
      <c r="C3333" s="89">
        <v>187.2</v>
      </c>
      <c r="D3333" s="75"/>
      <c r="E3333" s="75"/>
      <c r="F3333" s="75">
        <v>20611</v>
      </c>
      <c r="G3333" s="76" t="str">
        <f>VLOOKUP(Tabelle2[[#This Row],[Kunden Nr.]],KUNDEN!A:B,2,0)</f>
        <v>TE-LUTA</v>
      </c>
      <c r="H3333" s="75">
        <v>35109</v>
      </c>
      <c r="I3333" s="76" t="str">
        <f>VLOOKUP(Tabelle2[[#This Row],[Artikel]],Produkte!A:B,2,0)</f>
        <v>M-ONE Sanitar Silikon</v>
      </c>
      <c r="J3333" s="75">
        <v>12</v>
      </c>
      <c r="K3333" s="76" t="str">
        <f>VLOOKUP(Tabelle2[[#This Row],[Kunden Nr.]],KUNDEN!A:G,7)</f>
        <v>Mensuri</v>
      </c>
      <c r="L3333" s="76">
        <f>VLOOKUP(Tabelle2[[#This Row],[Artikel]],Produkte!A:H,8)</f>
        <v>0.17</v>
      </c>
    </row>
    <row r="3334" spans="1:12" x14ac:dyDescent="0.2">
      <c r="A3334" s="75" t="s">
        <v>440</v>
      </c>
      <c r="B3334" s="79">
        <v>46151</v>
      </c>
      <c r="C3334" s="75"/>
      <c r="D3334" s="75"/>
      <c r="E3334" s="75"/>
      <c r="F3334" s="75">
        <v>20611</v>
      </c>
      <c r="G3334" s="76" t="str">
        <f>VLOOKUP(Tabelle2[[#This Row],[Kunden Nr.]],KUNDEN!A:B,2,0)</f>
        <v>TE-LUTA</v>
      </c>
      <c r="H3334" s="75">
        <v>35111</v>
      </c>
      <c r="I3334" s="76" t="str">
        <f>VLOOKUP(Tabelle2[[#This Row],[Artikel]],Produkte!A:B,2,0)</f>
        <v>M-ONE Sanitar Silikon</v>
      </c>
      <c r="J3334" s="75">
        <v>12</v>
      </c>
      <c r="K3334" s="76" t="str">
        <f>VLOOKUP(Tabelle2[[#This Row],[Kunden Nr.]],KUNDEN!A:G,7)</f>
        <v>Mensuri</v>
      </c>
      <c r="L3334" s="76">
        <f>VLOOKUP(Tabelle2[[#This Row],[Artikel]],Produkte!A:H,8)</f>
        <v>0.17</v>
      </c>
    </row>
    <row r="3335" spans="1:12" x14ac:dyDescent="0.2">
      <c r="A3335" s="75" t="s">
        <v>440</v>
      </c>
      <c r="B3335" s="79">
        <v>46151</v>
      </c>
      <c r="C3335" s="75"/>
      <c r="D3335" s="75"/>
      <c r="E3335" s="75"/>
      <c r="F3335" s="75">
        <v>20611</v>
      </c>
      <c r="G3335" s="76" t="str">
        <f>VLOOKUP(Tabelle2[[#This Row],[Kunden Nr.]],KUNDEN!A:B,2,0)</f>
        <v>TE-LUTA</v>
      </c>
      <c r="H3335" s="75">
        <v>35119</v>
      </c>
      <c r="I3335" s="76" t="str">
        <f>VLOOKUP(Tabelle2[[#This Row],[Artikel]],Produkte!A:B,2,0)</f>
        <v>M-ONE Sanitar Silikon</v>
      </c>
      <c r="J3335" s="75">
        <v>12</v>
      </c>
      <c r="K3335" s="76" t="str">
        <f>VLOOKUP(Tabelle2[[#This Row],[Kunden Nr.]],KUNDEN!A:G,7)</f>
        <v>Mensuri</v>
      </c>
      <c r="L3335" s="76">
        <f>VLOOKUP(Tabelle2[[#This Row],[Artikel]],Produkte!A:H,8)</f>
        <v>0.17</v>
      </c>
    </row>
    <row r="3336" spans="1:12" x14ac:dyDescent="0.2">
      <c r="A3336" s="75" t="s">
        <v>440</v>
      </c>
      <c r="B3336" s="79">
        <v>46151</v>
      </c>
      <c r="C3336" s="75"/>
      <c r="D3336" s="75"/>
      <c r="E3336" s="75"/>
      <c r="F3336" s="75">
        <v>20611</v>
      </c>
      <c r="G3336" s="76" t="str">
        <f>VLOOKUP(Tabelle2[[#This Row],[Kunden Nr.]],KUNDEN!A:B,2,0)</f>
        <v>TE-LUTA</v>
      </c>
      <c r="H3336" s="75">
        <v>50912</v>
      </c>
      <c r="I3336" s="76" t="str">
        <f>VLOOKUP(Tabelle2[[#This Row],[Artikel]],Produkte!A:B,2,0)</f>
        <v>DICHTUNG</v>
      </c>
      <c r="J3336" s="75">
        <v>6</v>
      </c>
      <c r="K3336" s="76" t="str">
        <f>VLOOKUP(Tabelle2[[#This Row],[Kunden Nr.]],KUNDEN!A:G,7)</f>
        <v>Mensuri</v>
      </c>
      <c r="L3336" s="76">
        <f>VLOOKUP(Tabelle2[[#This Row],[Artikel]],Produkte!A:H,8)</f>
        <v>0.2</v>
      </c>
    </row>
    <row r="3337" spans="1:12" x14ac:dyDescent="0.2">
      <c r="A3337" s="75" t="s">
        <v>1261</v>
      </c>
      <c r="B3337" s="79">
        <v>46151</v>
      </c>
      <c r="C3337" s="89">
        <v>96</v>
      </c>
      <c r="D3337" s="75"/>
      <c r="E3337" s="75"/>
      <c r="F3337" s="75">
        <v>20631</v>
      </c>
      <c r="G3337" s="76" t="str">
        <f>VLOOKUP(Tabelle2[[#This Row],[Kunden Nr.]],KUNDEN!A:B,2,0)</f>
        <v>ALMIRI QERAMIKA</v>
      </c>
      <c r="H3337" s="75">
        <v>35109</v>
      </c>
      <c r="I3337" s="76" t="str">
        <f>VLOOKUP(Tabelle2[[#This Row],[Artikel]],Produkte!A:B,2,0)</f>
        <v>M-ONE Sanitar Silikon</v>
      </c>
      <c r="J3337" s="75">
        <v>12</v>
      </c>
      <c r="K3337" s="76" t="str">
        <f>VLOOKUP(Tabelle2[[#This Row],[Kunden Nr.]],KUNDEN!A:G,7)</f>
        <v>Mensuri</v>
      </c>
      <c r="L3337" s="76">
        <f>VLOOKUP(Tabelle2[[#This Row],[Artikel]],Produkte!A:H,8)</f>
        <v>0.17</v>
      </c>
    </row>
    <row r="3338" spans="1:12" x14ac:dyDescent="0.2">
      <c r="A3338" s="75" t="s">
        <v>1261</v>
      </c>
      <c r="B3338" s="79">
        <v>46151</v>
      </c>
      <c r="C3338" s="75"/>
      <c r="D3338" s="75"/>
      <c r="E3338" s="75"/>
      <c r="F3338" s="75">
        <v>20631</v>
      </c>
      <c r="G3338" s="76" t="str">
        <f>VLOOKUP(Tabelle2[[#This Row],[Kunden Nr.]],KUNDEN!A:B,2,0)</f>
        <v>ALMIRI QERAMIKA</v>
      </c>
      <c r="H3338" s="75">
        <v>35121</v>
      </c>
      <c r="I3338" s="76" t="str">
        <f>VLOOKUP(Tabelle2[[#This Row],[Artikel]],Produkte!A:B,2,0)</f>
        <v>M-ONE Sanitar Silikon</v>
      </c>
      <c r="J3338" s="75">
        <v>12</v>
      </c>
      <c r="K3338" s="76" t="str">
        <f>VLOOKUP(Tabelle2[[#This Row],[Kunden Nr.]],KUNDEN!A:G,7)</f>
        <v>Mensuri</v>
      </c>
      <c r="L3338" s="76">
        <f>VLOOKUP(Tabelle2[[#This Row],[Artikel]],Produkte!A:H,8)</f>
        <v>0.17</v>
      </c>
    </row>
    <row r="3339" spans="1:12" x14ac:dyDescent="0.2">
      <c r="A3339" s="75" t="s">
        <v>967</v>
      </c>
      <c r="B3339" s="79">
        <v>46151</v>
      </c>
      <c r="C3339" s="89">
        <v>159</v>
      </c>
      <c r="D3339" s="75"/>
      <c r="E3339" s="75"/>
      <c r="F3339" s="75">
        <v>20603</v>
      </c>
      <c r="G3339" s="76" t="str">
        <f>VLOOKUP(Tabelle2[[#This Row],[Kunden Nr.]],KUNDEN!A:B,2,0)</f>
        <v>PROMOIN</v>
      </c>
      <c r="H3339" s="75">
        <v>35110</v>
      </c>
      <c r="I3339" s="76" t="str">
        <f>VLOOKUP(Tabelle2[[#This Row],[Artikel]],Produkte!A:B,2,0)</f>
        <v>M-ONE Sanitar Silikon</v>
      </c>
      <c r="J3339" s="75">
        <v>12</v>
      </c>
      <c r="K3339" s="76" t="str">
        <f>VLOOKUP(Tabelle2[[#This Row],[Kunden Nr.]],KUNDEN!A:G,7)</f>
        <v>Mensuri</v>
      </c>
      <c r="L3339" s="76">
        <f>VLOOKUP(Tabelle2[[#This Row],[Artikel]],Produkte!A:H,8)</f>
        <v>0.17</v>
      </c>
    </row>
    <row r="3340" spans="1:12" x14ac:dyDescent="0.2">
      <c r="A3340" s="75" t="s">
        <v>967</v>
      </c>
      <c r="B3340" s="79">
        <v>46151</v>
      </c>
      <c r="C3340" s="75"/>
      <c r="D3340" s="75"/>
      <c r="E3340" s="75"/>
      <c r="F3340" s="75">
        <v>20603</v>
      </c>
      <c r="G3340" s="76" t="str">
        <f>VLOOKUP(Tabelle2[[#This Row],[Kunden Nr.]],KUNDEN!A:B,2,0)</f>
        <v>PROMOIN</v>
      </c>
      <c r="H3340" s="75">
        <v>35112</v>
      </c>
      <c r="I3340" s="76" t="str">
        <f>VLOOKUP(Tabelle2[[#This Row],[Artikel]],Produkte!A:B,2,0)</f>
        <v>M-ONE Sanitar Silikon</v>
      </c>
      <c r="J3340" s="75">
        <v>12</v>
      </c>
      <c r="K3340" s="76" t="str">
        <f>VLOOKUP(Tabelle2[[#This Row],[Kunden Nr.]],KUNDEN!A:G,7)</f>
        <v>Mensuri</v>
      </c>
      <c r="L3340" s="76">
        <f>VLOOKUP(Tabelle2[[#This Row],[Artikel]],Produkte!A:H,8)</f>
        <v>0.17</v>
      </c>
    </row>
    <row r="3341" spans="1:12" x14ac:dyDescent="0.2">
      <c r="A3341" s="75" t="s">
        <v>967</v>
      </c>
      <c r="B3341" s="79">
        <v>46151</v>
      </c>
      <c r="C3341" s="75"/>
      <c r="D3341" s="75"/>
      <c r="E3341" s="75"/>
      <c r="F3341" s="75">
        <v>20603</v>
      </c>
      <c r="G3341" s="76" t="str">
        <f>VLOOKUP(Tabelle2[[#This Row],[Kunden Nr.]],KUNDEN!A:B,2,0)</f>
        <v>PROMOIN</v>
      </c>
      <c r="H3341" s="75">
        <v>35113</v>
      </c>
      <c r="I3341" s="76" t="str">
        <f>VLOOKUP(Tabelle2[[#This Row],[Artikel]],Produkte!A:B,2,0)</f>
        <v>M-ONE Sanitar Silikon</v>
      </c>
      <c r="J3341" s="75">
        <v>12</v>
      </c>
      <c r="K3341" s="76" t="str">
        <f>VLOOKUP(Tabelle2[[#This Row],[Kunden Nr.]],KUNDEN!A:G,7)</f>
        <v>Mensuri</v>
      </c>
      <c r="L3341" s="76">
        <f>VLOOKUP(Tabelle2[[#This Row],[Artikel]],Produkte!A:H,8)</f>
        <v>0.17</v>
      </c>
    </row>
    <row r="3342" spans="1:12" x14ac:dyDescent="0.2">
      <c r="A3342" s="75" t="s">
        <v>967</v>
      </c>
      <c r="B3342" s="79">
        <v>46151</v>
      </c>
      <c r="C3342" s="75"/>
      <c r="D3342" s="75"/>
      <c r="E3342" s="75"/>
      <c r="F3342" s="75">
        <v>20603</v>
      </c>
      <c r="G3342" s="76" t="str">
        <f>VLOOKUP(Tabelle2[[#This Row],[Kunden Nr.]],KUNDEN!A:B,2,0)</f>
        <v>PROMOIN</v>
      </c>
      <c r="H3342" s="75">
        <v>51611</v>
      </c>
      <c r="I3342" s="76" t="str">
        <f>VLOOKUP(Tabelle2[[#This Row],[Artikel]],Produkte!A:B,2,0)</f>
        <v>universal akryl</v>
      </c>
      <c r="J3342" s="75">
        <v>12</v>
      </c>
      <c r="K3342" s="76" t="str">
        <f>VLOOKUP(Tabelle2[[#This Row],[Kunden Nr.]],KUNDEN!A:G,7)</f>
        <v>Mensuri</v>
      </c>
      <c r="L3342" s="76">
        <f>VLOOKUP(Tabelle2[[#This Row],[Artikel]],Produkte!A:H,8)</f>
        <v>0.06</v>
      </c>
    </row>
    <row r="3343" spans="1:12" x14ac:dyDescent="0.2">
      <c r="A3343" s="75" t="s">
        <v>446</v>
      </c>
      <c r="B3343" s="79">
        <v>46151</v>
      </c>
      <c r="C3343" s="89">
        <v>171.6</v>
      </c>
      <c r="D3343" s="75"/>
      <c r="E3343" s="75"/>
      <c r="F3343" s="75">
        <v>20615</v>
      </c>
      <c r="G3343" s="76" t="str">
        <f>VLOOKUP(Tabelle2[[#This Row],[Kunden Nr.]],KUNDEN!A:B,2,0)</f>
        <v>MIX-B</v>
      </c>
      <c r="H3343" s="75">
        <v>35113</v>
      </c>
      <c r="I3343" s="76" t="str">
        <f>VLOOKUP(Tabelle2[[#This Row],[Artikel]],Produkte!A:B,2,0)</f>
        <v>M-ONE Sanitar Silikon</v>
      </c>
      <c r="J3343" s="75">
        <v>12</v>
      </c>
      <c r="K3343" s="76" t="str">
        <f>VLOOKUP(Tabelle2[[#This Row],[Kunden Nr.]],KUNDEN!A:G,7)</f>
        <v>Mensuri</v>
      </c>
      <c r="L3343" s="76">
        <f>VLOOKUP(Tabelle2[[#This Row],[Artikel]],Produkte!A:H,8)</f>
        <v>0.17</v>
      </c>
    </row>
    <row r="3344" spans="1:12" x14ac:dyDescent="0.2">
      <c r="A3344" s="75" t="s">
        <v>446</v>
      </c>
      <c r="B3344" s="79">
        <v>46151</v>
      </c>
      <c r="C3344" s="75"/>
      <c r="D3344" s="75"/>
      <c r="E3344" s="75"/>
      <c r="F3344" s="75">
        <v>20615</v>
      </c>
      <c r="G3344" s="76" t="str">
        <f>VLOOKUP(Tabelle2[[#This Row],[Kunden Nr.]],KUNDEN!A:B,2,0)</f>
        <v>MIX-B</v>
      </c>
      <c r="H3344" s="75">
        <v>35110</v>
      </c>
      <c r="I3344" s="76" t="str">
        <f>VLOOKUP(Tabelle2[[#This Row],[Artikel]],Produkte!A:B,2,0)</f>
        <v>M-ONE Sanitar Silikon</v>
      </c>
      <c r="J3344" s="75">
        <v>12</v>
      </c>
      <c r="K3344" s="76" t="str">
        <f>VLOOKUP(Tabelle2[[#This Row],[Kunden Nr.]],KUNDEN!A:G,7)</f>
        <v>Mensuri</v>
      </c>
      <c r="L3344" s="76">
        <f>VLOOKUP(Tabelle2[[#This Row],[Artikel]],Produkte!A:H,8)</f>
        <v>0.17</v>
      </c>
    </row>
    <row r="3345" spans="1:12" x14ac:dyDescent="0.2">
      <c r="A3345" s="75" t="s">
        <v>446</v>
      </c>
      <c r="B3345" s="79">
        <v>46151</v>
      </c>
      <c r="C3345" s="75"/>
      <c r="D3345" s="75"/>
      <c r="E3345" s="75"/>
      <c r="F3345" s="75">
        <v>20615</v>
      </c>
      <c r="G3345" s="76" t="str">
        <f>VLOOKUP(Tabelle2[[#This Row],[Kunden Nr.]],KUNDEN!A:B,2,0)</f>
        <v>MIX-B</v>
      </c>
      <c r="H3345" s="75">
        <v>35111</v>
      </c>
      <c r="I3345" s="76" t="str">
        <f>VLOOKUP(Tabelle2[[#This Row],[Artikel]],Produkte!A:B,2,0)</f>
        <v>M-ONE Sanitar Silikon</v>
      </c>
      <c r="J3345" s="75">
        <v>12</v>
      </c>
      <c r="K3345" s="76" t="str">
        <f>VLOOKUP(Tabelle2[[#This Row],[Kunden Nr.]],KUNDEN!A:G,7)</f>
        <v>Mensuri</v>
      </c>
      <c r="L3345" s="76">
        <f>VLOOKUP(Tabelle2[[#This Row],[Artikel]],Produkte!A:H,8)</f>
        <v>0.17</v>
      </c>
    </row>
    <row r="3346" spans="1:12" x14ac:dyDescent="0.2">
      <c r="A3346" s="75" t="s">
        <v>446</v>
      </c>
      <c r="B3346" s="79">
        <v>46151</v>
      </c>
      <c r="C3346" s="75"/>
      <c r="D3346" s="75"/>
      <c r="E3346" s="75"/>
      <c r="F3346" s="75">
        <v>20615</v>
      </c>
      <c r="G3346" s="76" t="str">
        <f>VLOOKUP(Tabelle2[[#This Row],[Kunden Nr.]],KUNDEN!A:B,2,0)</f>
        <v>MIX-B</v>
      </c>
      <c r="H3346" s="75">
        <v>51612</v>
      </c>
      <c r="I3346" s="76" t="str">
        <f>VLOOKUP(Tabelle2[[#This Row],[Artikel]],Produkte!A:B,2,0)</f>
        <v>struktural akryl</v>
      </c>
      <c r="J3346" s="75">
        <v>12</v>
      </c>
      <c r="K3346" s="76" t="str">
        <f>VLOOKUP(Tabelle2[[#This Row],[Kunden Nr.]],KUNDEN!A:G,7)</f>
        <v>Mensuri</v>
      </c>
      <c r="L3346" s="76">
        <f>VLOOKUP(Tabelle2[[#This Row],[Artikel]],Produkte!A:H,8)</f>
        <v>0.06</v>
      </c>
    </row>
    <row r="3347" spans="1:12" x14ac:dyDescent="0.2">
      <c r="A3347" s="75" t="s">
        <v>1009</v>
      </c>
      <c r="B3347" s="79">
        <v>46151</v>
      </c>
      <c r="C3347" s="89">
        <v>96</v>
      </c>
      <c r="D3347" s="75"/>
      <c r="E3347" s="75"/>
      <c r="F3347" s="75">
        <v>20623</v>
      </c>
      <c r="G3347" s="76" t="str">
        <f>VLOOKUP(Tabelle2[[#This Row],[Kunden Nr.]],KUNDEN!A:B,2,0)</f>
        <v>LTI</v>
      </c>
      <c r="H3347" s="75">
        <v>35110</v>
      </c>
      <c r="I3347" s="76" t="str">
        <f>VLOOKUP(Tabelle2[[#This Row],[Artikel]],Produkte!A:B,2,0)</f>
        <v>M-ONE Sanitar Silikon</v>
      </c>
      <c r="J3347" s="75">
        <v>12</v>
      </c>
      <c r="K3347" s="76" t="str">
        <f>VLOOKUP(Tabelle2[[#This Row],[Kunden Nr.]],KUNDEN!A:G,7)</f>
        <v>Mensuri</v>
      </c>
      <c r="L3347" s="76">
        <f>VLOOKUP(Tabelle2[[#This Row],[Artikel]],Produkte!A:H,8)</f>
        <v>0.17</v>
      </c>
    </row>
    <row r="3348" spans="1:12" x14ac:dyDescent="0.2">
      <c r="A3348" s="75" t="s">
        <v>1009</v>
      </c>
      <c r="B3348" s="79">
        <v>46151</v>
      </c>
      <c r="C3348" s="75"/>
      <c r="D3348" s="75"/>
      <c r="E3348" s="75"/>
      <c r="F3348" s="75">
        <v>20623</v>
      </c>
      <c r="G3348" s="76" t="str">
        <f>VLOOKUP(Tabelle2[[#This Row],[Kunden Nr.]],KUNDEN!A:B,2,0)</f>
        <v>LTI</v>
      </c>
      <c r="H3348" s="75">
        <v>35115</v>
      </c>
      <c r="I3348" s="76" t="str">
        <f>VLOOKUP(Tabelle2[[#This Row],[Artikel]],Produkte!A:B,2,0)</f>
        <v>M-ONE Sanitar Silikon</v>
      </c>
      <c r="J3348" s="75">
        <v>12</v>
      </c>
      <c r="K3348" s="76" t="str">
        <f>VLOOKUP(Tabelle2[[#This Row],[Kunden Nr.]],KUNDEN!A:G,7)</f>
        <v>Mensuri</v>
      </c>
      <c r="L3348" s="76">
        <f>VLOOKUP(Tabelle2[[#This Row],[Artikel]],Produkte!A:H,8)</f>
        <v>0.17</v>
      </c>
    </row>
    <row r="3349" spans="1:12" x14ac:dyDescent="0.2">
      <c r="A3349" s="75" t="s">
        <v>1305</v>
      </c>
      <c r="B3349" s="79">
        <v>46151</v>
      </c>
      <c r="C3349" s="89">
        <v>111</v>
      </c>
      <c r="D3349" s="75"/>
      <c r="E3349" s="75"/>
      <c r="F3349" s="75">
        <v>20622</v>
      </c>
      <c r="G3349" s="76" t="str">
        <f>VLOOKUP(Tabelle2[[#This Row],[Kunden Nr.]],KUNDEN!A:B,2,0)</f>
        <v>ILIRI QERAMIKA</v>
      </c>
      <c r="H3349" s="75">
        <v>35109</v>
      </c>
      <c r="I3349" s="76" t="str">
        <f>VLOOKUP(Tabelle2[[#This Row],[Artikel]],Produkte!A:B,2,0)</f>
        <v>M-ONE Sanitar Silikon</v>
      </c>
      <c r="J3349" s="75">
        <v>12</v>
      </c>
      <c r="K3349" s="76" t="str">
        <f>VLOOKUP(Tabelle2[[#This Row],[Kunden Nr.]],KUNDEN!A:G,7)</f>
        <v>Mensuri</v>
      </c>
      <c r="L3349" s="76">
        <f>VLOOKUP(Tabelle2[[#This Row],[Artikel]],Produkte!A:H,8)</f>
        <v>0.17</v>
      </c>
    </row>
    <row r="3350" spans="1:12" x14ac:dyDescent="0.2">
      <c r="A3350" s="75" t="s">
        <v>1305</v>
      </c>
      <c r="B3350" s="79">
        <v>46151</v>
      </c>
      <c r="C3350" s="75"/>
      <c r="D3350" s="75"/>
      <c r="E3350" s="75"/>
      <c r="F3350" s="75">
        <v>20622</v>
      </c>
      <c r="G3350" s="76" t="str">
        <f>VLOOKUP(Tabelle2[[#This Row],[Kunden Nr.]],KUNDEN!A:B,2,0)</f>
        <v>ILIRI QERAMIKA</v>
      </c>
      <c r="H3350" s="75">
        <v>35110</v>
      </c>
      <c r="I3350" s="76" t="str">
        <f>VLOOKUP(Tabelle2[[#This Row],[Artikel]],Produkte!A:B,2,0)</f>
        <v>M-ONE Sanitar Silikon</v>
      </c>
      <c r="J3350" s="75">
        <v>12</v>
      </c>
      <c r="K3350" s="76" t="str">
        <f>VLOOKUP(Tabelle2[[#This Row],[Kunden Nr.]],KUNDEN!A:G,7)</f>
        <v>Mensuri</v>
      </c>
      <c r="L3350" s="76">
        <f>VLOOKUP(Tabelle2[[#This Row],[Artikel]],Produkte!A:H,8)</f>
        <v>0.17</v>
      </c>
    </row>
    <row r="3351" spans="1:12" x14ac:dyDescent="0.2">
      <c r="A3351" s="75" t="s">
        <v>1305</v>
      </c>
      <c r="B3351" s="79">
        <v>46151</v>
      </c>
      <c r="C3351" s="75"/>
      <c r="D3351" s="75"/>
      <c r="E3351" s="75"/>
      <c r="F3351" s="75">
        <v>20622</v>
      </c>
      <c r="G3351" s="76" t="str">
        <f>VLOOKUP(Tabelle2[[#This Row],[Kunden Nr.]],KUNDEN!A:B,2,0)</f>
        <v>ILIRI QERAMIKA</v>
      </c>
      <c r="H3351" s="75">
        <v>51611</v>
      </c>
      <c r="I3351" s="76" t="str">
        <f>VLOOKUP(Tabelle2[[#This Row],[Artikel]],Produkte!A:B,2,0)</f>
        <v>universal akryl</v>
      </c>
      <c r="J3351" s="75">
        <v>12</v>
      </c>
      <c r="K3351" s="76" t="str">
        <f>VLOOKUP(Tabelle2[[#This Row],[Kunden Nr.]],KUNDEN!A:G,7)</f>
        <v>Mensuri</v>
      </c>
      <c r="L3351" s="76">
        <f>VLOOKUP(Tabelle2[[#This Row],[Artikel]],Produkte!A:H,8)</f>
        <v>0.06</v>
      </c>
    </row>
    <row r="3352" spans="1:12" x14ac:dyDescent="0.2">
      <c r="A3352" s="75" t="s">
        <v>1171</v>
      </c>
      <c r="B3352" s="79">
        <v>46151</v>
      </c>
      <c r="C3352" s="89">
        <v>444</v>
      </c>
      <c r="D3352" s="75"/>
      <c r="E3352" s="75"/>
      <c r="F3352" s="75">
        <v>20627</v>
      </c>
      <c r="G3352" s="76" t="str">
        <f>VLOOKUP(Tabelle2[[#This Row],[Kunden Nr.]],KUNDEN!A:B,2,0)</f>
        <v>UNIKA</v>
      </c>
      <c r="H3352" s="75">
        <v>66701</v>
      </c>
      <c r="I3352" s="76" t="str">
        <f>VLOOKUP(Tabelle2[[#This Row],[Artikel]],Produkte!A:B,2,0)</f>
        <v>PROFIMONT EXTREME</v>
      </c>
      <c r="J3352" s="75">
        <v>60</v>
      </c>
      <c r="K3352" s="76" t="str">
        <f>VLOOKUP(Tabelle2[[#This Row],[Kunden Nr.]],KUNDEN!A:G,7)</f>
        <v>Mensuri</v>
      </c>
      <c r="L3352" s="76">
        <f>VLOOKUP(Tabelle2[[#This Row],[Artikel]],Produkte!A:H,8)</f>
        <v>0.2</v>
      </c>
    </row>
    <row r="3353" spans="1:12" x14ac:dyDescent="0.2">
      <c r="A3353" s="75" t="s">
        <v>1171</v>
      </c>
      <c r="B3353" s="79">
        <v>46151</v>
      </c>
      <c r="C3353" s="75"/>
      <c r="D3353" s="75"/>
      <c r="E3353" s="75"/>
      <c r="F3353" s="75">
        <v>20627</v>
      </c>
      <c r="G3353" s="76" t="str">
        <f>VLOOKUP(Tabelle2[[#This Row],[Kunden Nr.]],KUNDEN!A:B,2,0)</f>
        <v>UNIKA</v>
      </c>
      <c r="H3353" s="75">
        <v>35109</v>
      </c>
      <c r="I3353" s="76" t="str">
        <f>VLOOKUP(Tabelle2[[#This Row],[Artikel]],Produkte!A:B,2,0)</f>
        <v>M-ONE Sanitar Silikon</v>
      </c>
      <c r="J3353" s="75">
        <v>12</v>
      </c>
      <c r="K3353" s="76" t="str">
        <f>VLOOKUP(Tabelle2[[#This Row],[Kunden Nr.]],KUNDEN!A:G,7)</f>
        <v>Mensuri</v>
      </c>
      <c r="L3353" s="76">
        <f>VLOOKUP(Tabelle2[[#This Row],[Artikel]],Produkte!A:H,8)</f>
        <v>0.17</v>
      </c>
    </row>
    <row r="3354" spans="1:12" x14ac:dyDescent="0.2">
      <c r="A3354" s="75" t="s">
        <v>1171</v>
      </c>
      <c r="B3354" s="79">
        <v>46151</v>
      </c>
      <c r="C3354" s="75"/>
      <c r="D3354" s="75"/>
      <c r="E3354" s="75"/>
      <c r="F3354" s="75">
        <v>20627</v>
      </c>
      <c r="G3354" s="76" t="str">
        <f>VLOOKUP(Tabelle2[[#This Row],[Kunden Nr.]],KUNDEN!A:B,2,0)</f>
        <v>UNIKA</v>
      </c>
      <c r="H3354" s="75">
        <v>35113</v>
      </c>
      <c r="I3354" s="76" t="str">
        <f>VLOOKUP(Tabelle2[[#This Row],[Artikel]],Produkte!A:B,2,0)</f>
        <v>M-ONE Sanitar Silikon</v>
      </c>
      <c r="J3354" s="75">
        <v>12</v>
      </c>
      <c r="K3354" s="76" t="str">
        <f>VLOOKUP(Tabelle2[[#This Row],[Kunden Nr.]],KUNDEN!A:G,7)</f>
        <v>Mensuri</v>
      </c>
      <c r="L3354" s="76">
        <f>VLOOKUP(Tabelle2[[#This Row],[Artikel]],Produkte!A:H,8)</f>
        <v>0.17</v>
      </c>
    </row>
    <row r="3355" spans="1:12" x14ac:dyDescent="0.2">
      <c r="A3355" s="75" t="s">
        <v>432</v>
      </c>
      <c r="B3355" s="79">
        <v>46151</v>
      </c>
      <c r="C3355" s="89">
        <v>159</v>
      </c>
      <c r="D3355" s="75"/>
      <c r="E3355" s="75"/>
      <c r="F3355" s="75">
        <v>20604</v>
      </c>
      <c r="G3355" s="76" t="str">
        <f>VLOOKUP(Tabelle2[[#This Row],[Kunden Nr.]],KUNDEN!A:B,2,0)</f>
        <v>ALFA-QERAMIKA</v>
      </c>
      <c r="H3355" s="75">
        <v>35109</v>
      </c>
      <c r="I3355" s="76" t="str">
        <f>VLOOKUP(Tabelle2[[#This Row],[Artikel]],Produkte!A:B,2,0)</f>
        <v>M-ONE Sanitar Silikon</v>
      </c>
      <c r="J3355" s="75">
        <v>12</v>
      </c>
      <c r="K3355" s="76" t="str">
        <f>VLOOKUP(Tabelle2[[#This Row],[Kunden Nr.]],KUNDEN!A:G,7)</f>
        <v>Mensuri</v>
      </c>
      <c r="L3355" s="76">
        <f>VLOOKUP(Tabelle2[[#This Row],[Artikel]],Produkte!A:H,8)</f>
        <v>0.17</v>
      </c>
    </row>
    <row r="3356" spans="1:12" x14ac:dyDescent="0.2">
      <c r="A3356" s="75" t="s">
        <v>432</v>
      </c>
      <c r="B3356" s="79">
        <v>46151</v>
      </c>
      <c r="C3356" s="75"/>
      <c r="D3356" s="75"/>
      <c r="E3356" s="75"/>
      <c r="F3356" s="75">
        <v>20604</v>
      </c>
      <c r="G3356" s="76" t="str">
        <f>VLOOKUP(Tabelle2[[#This Row],[Kunden Nr.]],KUNDEN!A:B,2,0)</f>
        <v>ALFA-QERAMIKA</v>
      </c>
      <c r="H3356" s="75">
        <v>35110</v>
      </c>
      <c r="I3356" s="76" t="str">
        <f>VLOOKUP(Tabelle2[[#This Row],[Artikel]],Produkte!A:B,2,0)</f>
        <v>M-ONE Sanitar Silikon</v>
      </c>
      <c r="J3356" s="75">
        <v>12</v>
      </c>
      <c r="K3356" s="76" t="str">
        <f>VLOOKUP(Tabelle2[[#This Row],[Kunden Nr.]],KUNDEN!A:G,7)</f>
        <v>Mensuri</v>
      </c>
      <c r="L3356" s="76">
        <f>VLOOKUP(Tabelle2[[#This Row],[Artikel]],Produkte!A:H,8)</f>
        <v>0.17</v>
      </c>
    </row>
    <row r="3357" spans="1:12" x14ac:dyDescent="0.2">
      <c r="A3357" s="75" t="s">
        <v>432</v>
      </c>
      <c r="B3357" s="79">
        <v>46151</v>
      </c>
      <c r="C3357" s="75"/>
      <c r="D3357" s="75"/>
      <c r="E3357" s="75"/>
      <c r="F3357" s="75">
        <v>20604</v>
      </c>
      <c r="G3357" s="76" t="str">
        <f>VLOOKUP(Tabelle2[[#This Row],[Kunden Nr.]],KUNDEN!A:B,2,0)</f>
        <v>ALFA-QERAMIKA</v>
      </c>
      <c r="H3357" s="75">
        <v>35111</v>
      </c>
      <c r="I3357" s="76" t="str">
        <f>VLOOKUP(Tabelle2[[#This Row],[Artikel]],Produkte!A:B,2,0)</f>
        <v>M-ONE Sanitar Silikon</v>
      </c>
      <c r="J3357" s="75">
        <v>12</v>
      </c>
      <c r="K3357" s="76" t="str">
        <f>VLOOKUP(Tabelle2[[#This Row],[Kunden Nr.]],KUNDEN!A:G,7)</f>
        <v>Mensuri</v>
      </c>
      <c r="L3357" s="76">
        <f>VLOOKUP(Tabelle2[[#This Row],[Artikel]],Produkte!A:H,8)</f>
        <v>0.17</v>
      </c>
    </row>
    <row r="3358" spans="1:12" x14ac:dyDescent="0.2">
      <c r="A3358" s="75" t="s">
        <v>432</v>
      </c>
      <c r="B3358" s="79">
        <v>46151</v>
      </c>
      <c r="C3358" s="75"/>
      <c r="D3358" s="75"/>
      <c r="E3358" s="75"/>
      <c r="F3358" s="75">
        <v>20604</v>
      </c>
      <c r="G3358" s="76" t="str">
        <f>VLOOKUP(Tabelle2[[#This Row],[Kunden Nr.]],KUNDEN!A:B,2,0)</f>
        <v>ALFA-QERAMIKA</v>
      </c>
      <c r="H3358" s="75">
        <v>51611</v>
      </c>
      <c r="I3358" s="76" t="str">
        <f>VLOOKUP(Tabelle2[[#This Row],[Artikel]],Produkte!A:B,2,0)</f>
        <v>universal akryl</v>
      </c>
      <c r="J3358" s="75">
        <v>12</v>
      </c>
      <c r="K3358" s="76" t="str">
        <f>VLOOKUP(Tabelle2[[#This Row],[Kunden Nr.]],KUNDEN!A:G,7)</f>
        <v>Mensuri</v>
      </c>
      <c r="L3358" s="76">
        <f>VLOOKUP(Tabelle2[[#This Row],[Artikel]],Produkte!A:H,8)</f>
        <v>0.06</v>
      </c>
    </row>
    <row r="3359" spans="1:12" x14ac:dyDescent="0.2">
      <c r="A3359" s="75" t="s">
        <v>428</v>
      </c>
      <c r="B3359" s="79">
        <v>46151</v>
      </c>
      <c r="C3359" s="89">
        <v>27</v>
      </c>
      <c r="D3359" s="75"/>
      <c r="E3359" s="75"/>
      <c r="F3359" s="75">
        <v>20601</v>
      </c>
      <c r="G3359" s="76" t="str">
        <f>VLOOKUP(Tabelle2[[#This Row],[Kunden Nr.]],KUNDEN!A:B,2,0)</f>
        <v>ELEKTROMONT</v>
      </c>
      <c r="H3359" s="75">
        <v>49644</v>
      </c>
      <c r="I3359" s="76" t="str">
        <f>VLOOKUP(Tabelle2[[#This Row],[Artikel]],Produkte!A:B,2,0)</f>
        <v>beMAKER Rostlöser</v>
      </c>
      <c r="J3359" s="75">
        <v>12</v>
      </c>
      <c r="K3359" s="76" t="str">
        <f>VLOOKUP(Tabelle2[[#This Row],[Kunden Nr.]],KUNDEN!A:G,7)</f>
        <v>Mensuri</v>
      </c>
      <c r="L3359" s="76">
        <f>VLOOKUP(Tabelle2[[#This Row],[Artikel]],Produkte!A:H,8)</f>
        <v>0.2</v>
      </c>
    </row>
    <row r="3360" spans="1:12" x14ac:dyDescent="0.2">
      <c r="A3360" s="75" t="s">
        <v>428</v>
      </c>
      <c r="B3360" s="79">
        <v>46151</v>
      </c>
      <c r="C3360" s="75"/>
      <c r="D3360" s="75"/>
      <c r="E3360" s="75"/>
      <c r="F3360" s="75">
        <v>20601</v>
      </c>
      <c r="G3360" s="76" t="str">
        <f>VLOOKUP(Tabelle2[[#This Row],[Kunden Nr.]],KUNDEN!A:B,2,0)</f>
        <v>ELEKTROMONT</v>
      </c>
      <c r="H3360" s="75">
        <v>39505</v>
      </c>
      <c r="I3360" s="76" t="str">
        <f>VLOOKUP(Tabelle2[[#This Row],[Artikel]],Produkte!A:B,2,0)</f>
        <v>M ONE SILIKON SPRAY</v>
      </c>
      <c r="J3360" s="75">
        <v>1</v>
      </c>
      <c r="K3360" s="76" t="str">
        <f>VLOOKUP(Tabelle2[[#This Row],[Kunden Nr.]],KUNDEN!A:G,7)</f>
        <v>Mensuri</v>
      </c>
      <c r="L3360" s="76">
        <f>VLOOKUP(Tabelle2[[#This Row],[Artikel]],Produkte!A:H,8)</f>
        <v>0.2</v>
      </c>
    </row>
    <row r="3361" spans="1:12" x14ac:dyDescent="0.2">
      <c r="A3361" s="75" t="s">
        <v>1265</v>
      </c>
      <c r="B3361" s="79">
        <v>46153</v>
      </c>
      <c r="C3361" s="89">
        <v>80</v>
      </c>
      <c r="D3361" s="75"/>
      <c r="E3361" s="75"/>
      <c r="F3361" s="75">
        <v>10147</v>
      </c>
      <c r="G3361" s="76" t="e">
        <f>VLOOKUP(Tabelle2[[#This Row],[Kunden Nr.]],KUNDEN!A:B,2,0)</f>
        <v>#N/A</v>
      </c>
      <c r="H3361" s="75">
        <v>50912</v>
      </c>
      <c r="I3361" s="76" t="str">
        <f>VLOOKUP(Tabelle2[[#This Row],[Artikel]],Produkte!A:B,2,0)</f>
        <v>DICHTUNG</v>
      </c>
      <c r="J3361" s="75">
        <v>10</v>
      </c>
      <c r="K3361" s="76" t="str">
        <f>VLOOKUP(Tabelle2[[#This Row],[Kunden Nr.]],KUNDEN!A:G,7)</f>
        <v>Qerimi</v>
      </c>
      <c r="L3361" s="76">
        <f>VLOOKUP(Tabelle2[[#This Row],[Artikel]],Produkte!A:H,8)</f>
        <v>0.2</v>
      </c>
    </row>
    <row r="3362" spans="1:12" x14ac:dyDescent="0.2">
      <c r="A3362" s="75" t="s">
        <v>573</v>
      </c>
      <c r="B3362" s="79">
        <v>46153</v>
      </c>
      <c r="C3362" s="89">
        <v>141</v>
      </c>
      <c r="D3362" s="75"/>
      <c r="E3362" s="75"/>
      <c r="F3362" s="75">
        <v>10111</v>
      </c>
      <c r="G3362" s="76" t="str">
        <f>VLOOKUP(Tabelle2[[#This Row],[Kunden Nr.]],KUNDEN!A:B,2,0)</f>
        <v>KADIJOLLET</v>
      </c>
      <c r="H3362" s="75">
        <v>54412</v>
      </c>
      <c r="I3362" s="76" t="str">
        <f>VLOOKUP(Tabelle2[[#This Row],[Artikel]],Produkte!A:B,2,0)</f>
        <v>beMAKER Bremsen&amp;Teile Reininger</v>
      </c>
      <c r="J3362" s="75">
        <v>12</v>
      </c>
      <c r="K3362" s="76" t="str">
        <f>VLOOKUP(Tabelle2[[#This Row],[Kunden Nr.]],KUNDEN!A:G,7)</f>
        <v>Qerimi</v>
      </c>
      <c r="L3362" s="76">
        <f>VLOOKUP(Tabelle2[[#This Row],[Artikel]],Produkte!A:H,8)</f>
        <v>0.2</v>
      </c>
    </row>
    <row r="3363" spans="1:12" x14ac:dyDescent="0.2">
      <c r="A3363" s="75" t="s">
        <v>573</v>
      </c>
      <c r="B3363" s="79">
        <v>46153</v>
      </c>
      <c r="C3363" s="75"/>
      <c r="D3363" s="75"/>
      <c r="E3363" s="75"/>
      <c r="F3363" s="75">
        <v>10111</v>
      </c>
      <c r="G3363" s="76" t="str">
        <f>VLOOKUP(Tabelle2[[#This Row],[Kunden Nr.]],KUNDEN!A:B,2,0)</f>
        <v>KADIJOLLET</v>
      </c>
      <c r="H3363" s="75">
        <v>49644</v>
      </c>
      <c r="I3363" s="76" t="str">
        <f>VLOOKUP(Tabelle2[[#This Row],[Artikel]],Produkte!A:B,2,0)</f>
        <v>beMAKER Rostlöser</v>
      </c>
      <c r="J3363" s="75">
        <v>3</v>
      </c>
      <c r="K3363" s="76" t="str">
        <f>VLOOKUP(Tabelle2[[#This Row],[Kunden Nr.]],KUNDEN!A:G,7)</f>
        <v>Qerimi</v>
      </c>
      <c r="L3363" s="76">
        <f>VLOOKUP(Tabelle2[[#This Row],[Artikel]],Produkte!A:H,8)</f>
        <v>0.2</v>
      </c>
    </row>
    <row r="3364" spans="1:12" x14ac:dyDescent="0.2">
      <c r="A3364" s="75" t="s">
        <v>573</v>
      </c>
      <c r="B3364" s="79">
        <v>46153</v>
      </c>
      <c r="C3364" s="75"/>
      <c r="D3364" s="75"/>
      <c r="E3364" s="75"/>
      <c r="F3364" s="75">
        <v>10111</v>
      </c>
      <c r="G3364" s="76" t="str">
        <f>VLOOKUP(Tabelle2[[#This Row],[Kunden Nr.]],KUNDEN!A:B,2,0)</f>
        <v>KADIJOLLET</v>
      </c>
      <c r="H3364" s="75">
        <v>35113</v>
      </c>
      <c r="I3364" s="76" t="str">
        <f>VLOOKUP(Tabelle2[[#This Row],[Artikel]],Produkte!A:B,2,0)</f>
        <v>M-ONE Sanitar Silikon</v>
      </c>
      <c r="J3364" s="75">
        <v>12</v>
      </c>
      <c r="K3364" s="76" t="str">
        <f>VLOOKUP(Tabelle2[[#This Row],[Kunden Nr.]],KUNDEN!A:G,7)</f>
        <v>Qerimi</v>
      </c>
      <c r="L3364" s="76">
        <f>VLOOKUP(Tabelle2[[#This Row],[Artikel]],Produkte!A:H,8)</f>
        <v>0.17</v>
      </c>
    </row>
    <row r="3365" spans="1:12" x14ac:dyDescent="0.2">
      <c r="A3365" s="75" t="s">
        <v>573</v>
      </c>
      <c r="B3365" s="79">
        <v>46153</v>
      </c>
      <c r="C3365" s="75"/>
      <c r="D3365" s="75"/>
      <c r="E3365" s="75"/>
      <c r="F3365" s="75">
        <v>10111</v>
      </c>
      <c r="G3365" s="76" t="str">
        <f>VLOOKUP(Tabelle2[[#This Row],[Kunden Nr.]],KUNDEN!A:B,2,0)</f>
        <v>KADIJOLLET</v>
      </c>
      <c r="H3365" s="75">
        <v>35115</v>
      </c>
      <c r="I3365" s="76" t="str">
        <f>VLOOKUP(Tabelle2[[#This Row],[Artikel]],Produkte!A:B,2,0)</f>
        <v>M-ONE Sanitar Silikon</v>
      </c>
      <c r="J3365" s="75">
        <v>12</v>
      </c>
      <c r="K3365" s="76" t="str">
        <f>VLOOKUP(Tabelle2[[#This Row],[Kunden Nr.]],KUNDEN!A:G,7)</f>
        <v>Qerimi</v>
      </c>
      <c r="L3365" s="76">
        <f>VLOOKUP(Tabelle2[[#This Row],[Artikel]],Produkte!A:H,8)</f>
        <v>0.17</v>
      </c>
    </row>
    <row r="3366" spans="1:12" x14ac:dyDescent="0.2">
      <c r="A3366" s="75" t="s">
        <v>573</v>
      </c>
      <c r="B3366" s="79">
        <v>46153</v>
      </c>
      <c r="C3366" s="75"/>
      <c r="D3366" s="75"/>
      <c r="E3366" s="75"/>
      <c r="F3366" s="75">
        <v>10111</v>
      </c>
      <c r="G3366" s="76" t="str">
        <f>VLOOKUP(Tabelle2[[#This Row],[Kunden Nr.]],KUNDEN!A:B,2,0)</f>
        <v>KADIJOLLET</v>
      </c>
      <c r="H3366" s="75">
        <v>51611</v>
      </c>
      <c r="I3366" s="76" t="str">
        <f>VLOOKUP(Tabelle2[[#This Row],[Artikel]],Produkte!A:B,2,0)</f>
        <v>universal akryl</v>
      </c>
      <c r="J3366" s="75">
        <v>12</v>
      </c>
      <c r="K3366" s="76" t="str">
        <f>VLOOKUP(Tabelle2[[#This Row],[Kunden Nr.]],KUNDEN!A:G,7)</f>
        <v>Qerimi</v>
      </c>
      <c r="L3366" s="76">
        <f>VLOOKUP(Tabelle2[[#This Row],[Artikel]],Produkte!A:H,8)</f>
        <v>0.06</v>
      </c>
    </row>
    <row r="3367" spans="1:12" x14ac:dyDescent="0.2">
      <c r="A3367" s="75" t="s">
        <v>576</v>
      </c>
      <c r="B3367" s="79">
        <v>46153</v>
      </c>
      <c r="C3367" s="89">
        <v>96</v>
      </c>
      <c r="D3367" s="75"/>
      <c r="E3367" s="75"/>
      <c r="F3367" s="75">
        <v>10114</v>
      </c>
      <c r="G3367" s="76" t="str">
        <f>VLOOKUP(Tabelle2[[#This Row],[Kunden Nr.]],KUNDEN!A:B,2,0)</f>
        <v>QELA</v>
      </c>
      <c r="H3367" s="75">
        <v>35121</v>
      </c>
      <c r="I3367" s="76" t="str">
        <f>VLOOKUP(Tabelle2[[#This Row],[Artikel]],Produkte!A:B,2,0)</f>
        <v>M-ONE Sanitar Silikon</v>
      </c>
      <c r="J3367" s="75">
        <v>12</v>
      </c>
      <c r="K3367" s="76" t="str">
        <f>VLOOKUP(Tabelle2[[#This Row],[Kunden Nr.]],KUNDEN!A:G,7)</f>
        <v>Qerimi</v>
      </c>
      <c r="L3367" s="76">
        <f>VLOOKUP(Tabelle2[[#This Row],[Artikel]],Produkte!A:H,8)</f>
        <v>0.17</v>
      </c>
    </row>
    <row r="3368" spans="1:12" x14ac:dyDescent="0.2">
      <c r="A3368" s="75" t="s">
        <v>576</v>
      </c>
      <c r="B3368" s="79">
        <v>46153</v>
      </c>
      <c r="C3368" s="75"/>
      <c r="D3368" s="75"/>
      <c r="E3368" s="75"/>
      <c r="F3368" s="75">
        <v>10114</v>
      </c>
      <c r="G3368" s="76" t="str">
        <f>VLOOKUP(Tabelle2[[#This Row],[Kunden Nr.]],KUNDEN!A:B,2,0)</f>
        <v>QELA</v>
      </c>
      <c r="H3368" s="75">
        <v>35112</v>
      </c>
      <c r="I3368" s="76" t="str">
        <f>VLOOKUP(Tabelle2[[#This Row],[Artikel]],Produkte!A:B,2,0)</f>
        <v>M-ONE Sanitar Silikon</v>
      </c>
      <c r="J3368" s="75">
        <v>12</v>
      </c>
      <c r="K3368" s="76" t="str">
        <f>VLOOKUP(Tabelle2[[#This Row],[Kunden Nr.]],KUNDEN!A:G,7)</f>
        <v>Qerimi</v>
      </c>
      <c r="L3368" s="76">
        <f>VLOOKUP(Tabelle2[[#This Row],[Artikel]],Produkte!A:H,8)</f>
        <v>0.17</v>
      </c>
    </row>
    <row r="3369" spans="1:12" x14ac:dyDescent="0.2">
      <c r="A3369" s="75" t="s">
        <v>1189</v>
      </c>
      <c r="B3369" s="79">
        <v>46153</v>
      </c>
      <c r="C3369" s="89">
        <v>69.599999999999994</v>
      </c>
      <c r="D3369" s="75"/>
      <c r="E3369" s="75"/>
      <c r="F3369" s="75">
        <v>10134</v>
      </c>
      <c r="G3369" s="76" t="str">
        <f>VLOOKUP(Tabelle2[[#This Row],[Kunden Nr.]],KUNDEN!A:B,2,0)</f>
        <v>EURO COLORS</v>
      </c>
      <c r="H3369" s="75">
        <v>66701</v>
      </c>
      <c r="I3369" s="76" t="str">
        <f>VLOOKUP(Tabelle2[[#This Row],[Artikel]],Produkte!A:B,2,0)</f>
        <v>PROFIMONT EXTREME</v>
      </c>
      <c r="J3369" s="75">
        <v>12</v>
      </c>
      <c r="K3369" s="76" t="str">
        <f>VLOOKUP(Tabelle2[[#This Row],[Kunden Nr.]],KUNDEN!A:G,7)</f>
        <v>Qerimi</v>
      </c>
      <c r="L3369" s="76">
        <f>VLOOKUP(Tabelle2[[#This Row],[Artikel]],Produkte!A:H,8)</f>
        <v>0.2</v>
      </c>
    </row>
    <row r="3370" spans="1:12" x14ac:dyDescent="0.2">
      <c r="A3370" s="75" t="s">
        <v>566</v>
      </c>
      <c r="B3370" s="79">
        <v>46153</v>
      </c>
      <c r="C3370" s="89">
        <v>48</v>
      </c>
      <c r="D3370" s="75"/>
      <c r="E3370" s="75"/>
      <c r="F3370" s="75">
        <v>10104</v>
      </c>
      <c r="G3370" s="76" t="str">
        <f>VLOOKUP(Tabelle2[[#This Row],[Kunden Nr.]],KUNDEN!A:B,2,0)</f>
        <v>JETARI</v>
      </c>
      <c r="H3370" s="75">
        <v>35128</v>
      </c>
      <c r="I3370" s="76" t="str">
        <f>VLOOKUP(Tabelle2[[#This Row],[Artikel]],Produkte!A:B,2,0)</f>
        <v>M-ONE Sanitar Silikon</v>
      </c>
      <c r="J3370" s="75">
        <v>12</v>
      </c>
      <c r="K3370" s="76" t="str">
        <f>VLOOKUP(Tabelle2[[#This Row],[Kunden Nr.]],KUNDEN!A:G,7)</f>
        <v>Qerimi</v>
      </c>
      <c r="L3370" s="76">
        <f>VLOOKUP(Tabelle2[[#This Row],[Artikel]],Produkte!A:H,8)</f>
        <v>0.17</v>
      </c>
    </row>
    <row r="3371" spans="1:12" x14ac:dyDescent="0.2">
      <c r="A3371" s="75" t="s">
        <v>1244</v>
      </c>
      <c r="B3371" s="79">
        <v>46153</v>
      </c>
      <c r="C3371" s="89">
        <v>48</v>
      </c>
      <c r="D3371" s="75"/>
      <c r="E3371" s="75"/>
      <c r="F3371" s="75">
        <v>40024</v>
      </c>
      <c r="G3371" s="76" t="str">
        <f>VLOOKUP(Tabelle2[[#This Row],[Kunden Nr.]],KUNDEN!A:B,2,0)</f>
        <v>BAU MIX FATONI</v>
      </c>
      <c r="H3371" s="75">
        <v>35110</v>
      </c>
      <c r="I3371" s="76" t="str">
        <f>VLOOKUP(Tabelle2[[#This Row],[Artikel]],Produkte!A:B,2,0)</f>
        <v>M-ONE Sanitar Silikon</v>
      </c>
      <c r="J3371" s="75">
        <v>12</v>
      </c>
      <c r="K3371" s="76">
        <f>VLOOKUP(Tabelle2[[#This Row],[Kunden Nr.]],KUNDEN!A:G,7)</f>
        <v>0</v>
      </c>
      <c r="L3371" s="76">
        <f>VLOOKUP(Tabelle2[[#This Row],[Artikel]],Produkte!A:H,8)</f>
        <v>0.17</v>
      </c>
    </row>
    <row r="3372" spans="1:12" x14ac:dyDescent="0.2">
      <c r="A3372" s="75" t="s">
        <v>474</v>
      </c>
      <c r="B3372" s="79">
        <v>46153</v>
      </c>
      <c r="C3372" s="89">
        <v>141</v>
      </c>
      <c r="D3372" s="75"/>
      <c r="E3372" s="75"/>
      <c r="F3372" s="75">
        <v>20109</v>
      </c>
      <c r="G3372" s="76" t="str">
        <f>VLOOKUP(Tabelle2[[#This Row],[Kunden Nr.]],KUNDEN!A:B,2,0)</f>
        <v>KENA COMERC</v>
      </c>
      <c r="H3372" s="75">
        <v>35110</v>
      </c>
      <c r="I3372" s="76" t="str">
        <f>VLOOKUP(Tabelle2[[#This Row],[Artikel]],Produkte!A:B,2,0)</f>
        <v>M-ONE Sanitar Silikon</v>
      </c>
      <c r="J3372" s="75">
        <v>12</v>
      </c>
      <c r="K3372" s="76" t="str">
        <f>VLOOKUP(Tabelle2[[#This Row],[Kunden Nr.]],KUNDEN!A:G,7)</f>
        <v>Mensuri</v>
      </c>
      <c r="L3372" s="76">
        <f>VLOOKUP(Tabelle2[[#This Row],[Artikel]],Produkte!A:H,8)</f>
        <v>0.17</v>
      </c>
    </row>
    <row r="3373" spans="1:12" x14ac:dyDescent="0.2">
      <c r="A3373" s="75" t="s">
        <v>474</v>
      </c>
      <c r="B3373" s="79">
        <v>46153</v>
      </c>
      <c r="C3373" s="75"/>
      <c r="D3373" s="75"/>
      <c r="E3373" s="75"/>
      <c r="F3373" s="75">
        <v>20109</v>
      </c>
      <c r="G3373" s="76" t="str">
        <f>VLOOKUP(Tabelle2[[#This Row],[Kunden Nr.]],KUNDEN!A:B,2,0)</f>
        <v>KENA COMERC</v>
      </c>
      <c r="H3373" s="75">
        <v>35121</v>
      </c>
      <c r="I3373" s="76" t="str">
        <f>VLOOKUP(Tabelle2[[#This Row],[Artikel]],Produkte!A:B,2,0)</f>
        <v>M-ONE Sanitar Silikon</v>
      </c>
      <c r="J3373" s="75">
        <v>12</v>
      </c>
      <c r="K3373" s="76" t="str">
        <f>VLOOKUP(Tabelle2[[#This Row],[Kunden Nr.]],KUNDEN!A:G,7)</f>
        <v>Mensuri</v>
      </c>
      <c r="L3373" s="76">
        <f>VLOOKUP(Tabelle2[[#This Row],[Artikel]],Produkte!A:H,8)</f>
        <v>0.17</v>
      </c>
    </row>
    <row r="3374" spans="1:12" x14ac:dyDescent="0.2">
      <c r="A3374" s="75" t="s">
        <v>474</v>
      </c>
      <c r="B3374" s="79">
        <v>46153</v>
      </c>
      <c r="C3374" s="75"/>
      <c r="D3374" s="75"/>
      <c r="E3374" s="75"/>
      <c r="F3374" s="75">
        <v>20109</v>
      </c>
      <c r="G3374" s="76" t="str">
        <f>VLOOKUP(Tabelle2[[#This Row],[Kunden Nr.]],KUNDEN!A:B,2,0)</f>
        <v>KENA COMERC</v>
      </c>
      <c r="H3374" s="75">
        <v>51611</v>
      </c>
      <c r="I3374" s="76" t="str">
        <f>VLOOKUP(Tabelle2[[#This Row],[Artikel]],Produkte!A:B,2,0)</f>
        <v>universal akryl</v>
      </c>
      <c r="J3374" s="75">
        <v>36</v>
      </c>
      <c r="K3374" s="76" t="str">
        <f>VLOOKUP(Tabelle2[[#This Row],[Kunden Nr.]],KUNDEN!A:G,7)</f>
        <v>Mensuri</v>
      </c>
      <c r="L3374" s="76">
        <f>VLOOKUP(Tabelle2[[#This Row],[Artikel]],Produkte!A:H,8)</f>
        <v>0.06</v>
      </c>
    </row>
    <row r="3375" spans="1:12" x14ac:dyDescent="0.2">
      <c r="A3375" s="75" t="s">
        <v>1315</v>
      </c>
      <c r="B3375" s="79">
        <v>46153</v>
      </c>
      <c r="C3375" s="89">
        <v>96</v>
      </c>
      <c r="D3375" s="75"/>
      <c r="E3375" s="75"/>
      <c r="F3375" s="75">
        <v>20130</v>
      </c>
      <c r="G3375" s="76" t="str">
        <f>VLOOKUP(Tabelle2[[#This Row],[Kunden Nr.]],KUNDEN!A:B,2,0)</f>
        <v>ENESI</v>
      </c>
      <c r="H3375" s="75">
        <v>35119</v>
      </c>
      <c r="I3375" s="76" t="str">
        <f>VLOOKUP(Tabelle2[[#This Row],[Artikel]],Produkte!A:B,2,0)</f>
        <v>M-ONE Sanitar Silikon</v>
      </c>
      <c r="J3375" s="75">
        <v>12</v>
      </c>
      <c r="K3375" s="76" t="str">
        <f>VLOOKUP(Tabelle2[[#This Row],[Kunden Nr.]],KUNDEN!A:G,7)</f>
        <v>Mensuri</v>
      </c>
      <c r="L3375" s="76">
        <f>VLOOKUP(Tabelle2[[#This Row],[Artikel]],Produkte!A:H,8)</f>
        <v>0.17</v>
      </c>
    </row>
    <row r="3376" spans="1:12" x14ac:dyDescent="0.2">
      <c r="A3376" s="75" t="s">
        <v>1315</v>
      </c>
      <c r="B3376" s="79">
        <v>46153</v>
      </c>
      <c r="C3376" s="75"/>
      <c r="D3376" s="75"/>
      <c r="E3376" s="75"/>
      <c r="F3376" s="75">
        <v>20130</v>
      </c>
      <c r="G3376" s="76" t="str">
        <f>VLOOKUP(Tabelle2[[#This Row],[Kunden Nr.]],KUNDEN!A:B,2,0)</f>
        <v>ENESI</v>
      </c>
      <c r="H3376" s="75">
        <v>35121</v>
      </c>
      <c r="I3376" s="76" t="str">
        <f>VLOOKUP(Tabelle2[[#This Row],[Artikel]],Produkte!A:B,2,0)</f>
        <v>M-ONE Sanitar Silikon</v>
      </c>
      <c r="J3376" s="75">
        <v>12</v>
      </c>
      <c r="K3376" s="76" t="str">
        <f>VLOOKUP(Tabelle2[[#This Row],[Kunden Nr.]],KUNDEN!A:G,7)</f>
        <v>Mensuri</v>
      </c>
      <c r="L3376" s="76">
        <f>VLOOKUP(Tabelle2[[#This Row],[Artikel]],Produkte!A:H,8)</f>
        <v>0.17</v>
      </c>
    </row>
    <row r="3377" spans="1:12" x14ac:dyDescent="0.2">
      <c r="A3377" s="75" t="s">
        <v>1163</v>
      </c>
      <c r="B3377" s="79">
        <v>46153</v>
      </c>
      <c r="C3377" s="89">
        <v>192</v>
      </c>
      <c r="D3377" s="75"/>
      <c r="E3377" s="75"/>
      <c r="F3377" s="75">
        <v>20121</v>
      </c>
      <c r="G3377" s="76" t="str">
        <f>VLOOKUP(Tabelle2[[#This Row],[Kunden Nr.]],KUNDEN!A:B,2,0)</f>
        <v>CAMA BAU</v>
      </c>
      <c r="H3377" s="75">
        <v>35109</v>
      </c>
      <c r="I3377" s="76" t="str">
        <f>VLOOKUP(Tabelle2[[#This Row],[Artikel]],Produkte!A:B,2,0)</f>
        <v>M-ONE Sanitar Silikon</v>
      </c>
      <c r="J3377" s="75">
        <v>12</v>
      </c>
      <c r="K3377" s="76" t="str">
        <f>VLOOKUP(Tabelle2[[#This Row],[Kunden Nr.]],KUNDEN!A:G,7)</f>
        <v>Mensuri</v>
      </c>
      <c r="L3377" s="76">
        <f>VLOOKUP(Tabelle2[[#This Row],[Artikel]],Produkte!A:H,8)</f>
        <v>0.17</v>
      </c>
    </row>
    <row r="3378" spans="1:12" x14ac:dyDescent="0.2">
      <c r="A3378" s="75" t="s">
        <v>1163</v>
      </c>
      <c r="B3378" s="79">
        <v>46153</v>
      </c>
      <c r="C3378" s="75"/>
      <c r="D3378" s="75"/>
      <c r="E3378" s="75"/>
      <c r="F3378" s="75">
        <v>20121</v>
      </c>
      <c r="G3378" s="76" t="str">
        <f>VLOOKUP(Tabelle2[[#This Row],[Kunden Nr.]],KUNDEN!A:B,2,0)</f>
        <v>CAMA BAU</v>
      </c>
      <c r="H3378" s="75">
        <v>35113</v>
      </c>
      <c r="I3378" s="76" t="str">
        <f>VLOOKUP(Tabelle2[[#This Row],[Artikel]],Produkte!A:B,2,0)</f>
        <v>M-ONE Sanitar Silikon</v>
      </c>
      <c r="J3378" s="75">
        <v>12</v>
      </c>
      <c r="K3378" s="76" t="str">
        <f>VLOOKUP(Tabelle2[[#This Row],[Kunden Nr.]],KUNDEN!A:G,7)</f>
        <v>Mensuri</v>
      </c>
      <c r="L3378" s="76">
        <f>VLOOKUP(Tabelle2[[#This Row],[Artikel]],Produkte!A:H,8)</f>
        <v>0.17</v>
      </c>
    </row>
    <row r="3379" spans="1:12" x14ac:dyDescent="0.2">
      <c r="A3379" s="75" t="s">
        <v>1163</v>
      </c>
      <c r="B3379" s="79">
        <v>46153</v>
      </c>
      <c r="C3379" s="75"/>
      <c r="D3379" s="75"/>
      <c r="E3379" s="75"/>
      <c r="F3379" s="75">
        <v>20121</v>
      </c>
      <c r="G3379" s="76" t="str">
        <f>VLOOKUP(Tabelle2[[#This Row],[Kunden Nr.]],KUNDEN!A:B,2,0)</f>
        <v>CAMA BAU</v>
      </c>
      <c r="H3379" s="75">
        <v>35115</v>
      </c>
      <c r="I3379" s="76" t="str">
        <f>VLOOKUP(Tabelle2[[#This Row],[Artikel]],Produkte!A:B,2,0)</f>
        <v>M-ONE Sanitar Silikon</v>
      </c>
      <c r="J3379" s="75">
        <v>12</v>
      </c>
      <c r="K3379" s="76" t="str">
        <f>VLOOKUP(Tabelle2[[#This Row],[Kunden Nr.]],KUNDEN!A:G,7)</f>
        <v>Mensuri</v>
      </c>
      <c r="L3379" s="76">
        <f>VLOOKUP(Tabelle2[[#This Row],[Artikel]],Produkte!A:H,8)</f>
        <v>0.17</v>
      </c>
    </row>
    <row r="3380" spans="1:12" x14ac:dyDescent="0.2">
      <c r="A3380" s="75" t="s">
        <v>1163</v>
      </c>
      <c r="B3380" s="79">
        <v>46153</v>
      </c>
      <c r="C3380" s="75"/>
      <c r="D3380" s="75"/>
      <c r="E3380" s="75"/>
      <c r="F3380" s="75">
        <v>20121</v>
      </c>
      <c r="G3380" s="76" t="str">
        <f>VLOOKUP(Tabelle2[[#This Row],[Kunden Nr.]],KUNDEN!A:B,2,0)</f>
        <v>CAMA BAU</v>
      </c>
      <c r="H3380" s="75">
        <v>35125</v>
      </c>
      <c r="I3380" s="76" t="str">
        <f>VLOOKUP(Tabelle2[[#This Row],[Artikel]],Produkte!A:B,2,0)</f>
        <v>M-ONE Sanitar Silikon</v>
      </c>
      <c r="J3380" s="75">
        <v>12</v>
      </c>
      <c r="K3380" s="76" t="str">
        <f>VLOOKUP(Tabelle2[[#This Row],[Kunden Nr.]],KUNDEN!A:G,7)</f>
        <v>Mensuri</v>
      </c>
      <c r="L3380" s="76">
        <f>VLOOKUP(Tabelle2[[#This Row],[Artikel]],Produkte!A:H,8)</f>
        <v>0.17</v>
      </c>
    </row>
    <row r="3381" spans="1:12" x14ac:dyDescent="0.2">
      <c r="A3381" s="75" t="s">
        <v>1180</v>
      </c>
      <c r="B3381" s="79">
        <v>46153</v>
      </c>
      <c r="C3381" s="89">
        <v>250</v>
      </c>
      <c r="D3381" s="75"/>
      <c r="E3381" s="75"/>
      <c r="F3381" s="75">
        <v>20126</v>
      </c>
      <c r="G3381" s="76" t="str">
        <f>VLOOKUP(Tabelle2[[#This Row],[Kunden Nr.]],KUNDEN!A:B,2,0)</f>
        <v>LULI-C</v>
      </c>
      <c r="H3381" s="75">
        <v>35109</v>
      </c>
      <c r="I3381" s="76" t="str">
        <f>VLOOKUP(Tabelle2[[#This Row],[Artikel]],Produkte!A:B,2,0)</f>
        <v>M-ONE Sanitar Silikon</v>
      </c>
      <c r="J3381" s="75">
        <v>12</v>
      </c>
      <c r="K3381" s="76" t="str">
        <f>VLOOKUP(Tabelle2[[#This Row],[Kunden Nr.]],KUNDEN!A:G,7)</f>
        <v>Mensuri</v>
      </c>
      <c r="L3381" s="76">
        <f>VLOOKUP(Tabelle2[[#This Row],[Artikel]],Produkte!A:H,8)</f>
        <v>0.17</v>
      </c>
    </row>
    <row r="3382" spans="1:12" x14ac:dyDescent="0.2">
      <c r="A3382" s="75" t="s">
        <v>1180</v>
      </c>
      <c r="B3382" s="79">
        <v>46153</v>
      </c>
      <c r="C3382" s="75"/>
      <c r="D3382" s="75"/>
      <c r="E3382" s="75"/>
      <c r="F3382" s="75">
        <v>20126</v>
      </c>
      <c r="G3382" s="76" t="str">
        <f>VLOOKUP(Tabelle2[[#This Row],[Kunden Nr.]],KUNDEN!A:B,2,0)</f>
        <v>LULI-C</v>
      </c>
      <c r="H3382" s="75">
        <v>35119</v>
      </c>
      <c r="I3382" s="76" t="str">
        <f>VLOOKUP(Tabelle2[[#This Row],[Artikel]],Produkte!A:B,2,0)</f>
        <v>M-ONE Sanitar Silikon</v>
      </c>
      <c r="J3382" s="75">
        <v>12</v>
      </c>
      <c r="K3382" s="76" t="str">
        <f>VLOOKUP(Tabelle2[[#This Row],[Kunden Nr.]],KUNDEN!A:G,7)</f>
        <v>Mensuri</v>
      </c>
      <c r="L3382" s="76">
        <f>VLOOKUP(Tabelle2[[#This Row],[Artikel]],Produkte!A:H,8)</f>
        <v>0.17</v>
      </c>
    </row>
    <row r="3383" spans="1:12" x14ac:dyDescent="0.2">
      <c r="A3383" s="75" t="s">
        <v>1180</v>
      </c>
      <c r="B3383" s="79">
        <v>46153</v>
      </c>
      <c r="C3383" s="75"/>
      <c r="D3383" s="75"/>
      <c r="E3383" s="75"/>
      <c r="F3383" s="75">
        <v>20126</v>
      </c>
      <c r="G3383" s="76" t="str">
        <f>VLOOKUP(Tabelle2[[#This Row],[Kunden Nr.]],KUNDEN!A:B,2,0)</f>
        <v>LULI-C</v>
      </c>
      <c r="H3383" s="75">
        <v>35113</v>
      </c>
      <c r="I3383" s="76" t="str">
        <f>VLOOKUP(Tabelle2[[#This Row],[Artikel]],Produkte!A:B,2,0)</f>
        <v>M-ONE Sanitar Silikon</v>
      </c>
      <c r="J3383" s="75">
        <v>12</v>
      </c>
      <c r="K3383" s="76" t="str">
        <f>VLOOKUP(Tabelle2[[#This Row],[Kunden Nr.]],KUNDEN!A:G,7)</f>
        <v>Mensuri</v>
      </c>
      <c r="L3383" s="76">
        <f>VLOOKUP(Tabelle2[[#This Row],[Artikel]],Produkte!A:H,8)</f>
        <v>0.17</v>
      </c>
    </row>
    <row r="3384" spans="1:12" x14ac:dyDescent="0.2">
      <c r="A3384" s="75" t="s">
        <v>1180</v>
      </c>
      <c r="B3384" s="79">
        <v>46153</v>
      </c>
      <c r="C3384" s="75"/>
      <c r="D3384" s="75"/>
      <c r="E3384" s="75"/>
      <c r="F3384" s="75">
        <v>20126</v>
      </c>
      <c r="G3384" s="76" t="str">
        <f>VLOOKUP(Tabelle2[[#This Row],[Kunden Nr.]],KUNDEN!A:B,2,0)</f>
        <v>LULI-C</v>
      </c>
      <c r="H3384" s="75">
        <v>35115</v>
      </c>
      <c r="I3384" s="76" t="str">
        <f>VLOOKUP(Tabelle2[[#This Row],[Artikel]],Produkte!A:B,2,0)</f>
        <v>M-ONE Sanitar Silikon</v>
      </c>
      <c r="J3384" s="75">
        <v>12</v>
      </c>
      <c r="K3384" s="76" t="str">
        <f>VLOOKUP(Tabelle2[[#This Row],[Kunden Nr.]],KUNDEN!A:G,7)</f>
        <v>Mensuri</v>
      </c>
      <c r="L3384" s="76">
        <f>VLOOKUP(Tabelle2[[#This Row],[Artikel]],Produkte!A:H,8)</f>
        <v>0.17</v>
      </c>
    </row>
    <row r="3385" spans="1:12" x14ac:dyDescent="0.2">
      <c r="A3385" s="75" t="s">
        <v>1180</v>
      </c>
      <c r="B3385" s="79">
        <v>46153</v>
      </c>
      <c r="C3385" s="75"/>
      <c r="D3385" s="75"/>
      <c r="E3385" s="75"/>
      <c r="F3385" s="75">
        <v>20126</v>
      </c>
      <c r="G3385" s="76" t="str">
        <f>VLOOKUP(Tabelle2[[#This Row],[Kunden Nr.]],KUNDEN!A:B,2,0)</f>
        <v>LULI-C</v>
      </c>
      <c r="H3385" s="75">
        <v>35111</v>
      </c>
      <c r="I3385" s="76" t="str">
        <f>VLOOKUP(Tabelle2[[#This Row],[Artikel]],Produkte!A:B,2,0)</f>
        <v>M-ONE Sanitar Silikon</v>
      </c>
      <c r="J3385" s="75">
        <v>12</v>
      </c>
      <c r="K3385" s="76" t="str">
        <f>VLOOKUP(Tabelle2[[#This Row],[Kunden Nr.]],KUNDEN!A:G,7)</f>
        <v>Mensuri</v>
      </c>
      <c r="L3385" s="76">
        <f>VLOOKUP(Tabelle2[[#This Row],[Artikel]],Produkte!A:H,8)</f>
        <v>0.17</v>
      </c>
    </row>
    <row r="3386" spans="1:12" x14ac:dyDescent="0.2">
      <c r="A3386" s="75" t="s">
        <v>1180</v>
      </c>
      <c r="B3386" s="79">
        <v>46153</v>
      </c>
      <c r="C3386" s="75"/>
      <c r="D3386" s="75"/>
      <c r="E3386" s="75"/>
      <c r="F3386" s="75">
        <v>20126</v>
      </c>
      <c r="G3386" s="76" t="str">
        <f>VLOOKUP(Tabelle2[[#This Row],[Kunden Nr.]],KUNDEN!A:B,2,0)</f>
        <v>LULI-C</v>
      </c>
      <c r="H3386" s="75">
        <v>49644</v>
      </c>
      <c r="I3386" s="76" t="str">
        <f>VLOOKUP(Tabelle2[[#This Row],[Artikel]],Produkte!A:B,2,0)</f>
        <v>beMAKER Rostlöser</v>
      </c>
      <c r="J3386" s="75">
        <v>5</v>
      </c>
      <c r="K3386" s="76" t="str">
        <f>VLOOKUP(Tabelle2[[#This Row],[Kunden Nr.]],KUNDEN!A:G,7)</f>
        <v>Mensuri</v>
      </c>
      <c r="L3386" s="76">
        <f>VLOOKUP(Tabelle2[[#This Row],[Artikel]],Produkte!A:H,8)</f>
        <v>0.2</v>
      </c>
    </row>
    <row r="3387" spans="1:12" x14ac:dyDescent="0.2">
      <c r="A3387" s="75" t="s">
        <v>469</v>
      </c>
      <c r="B3387" s="79">
        <v>46153</v>
      </c>
      <c r="C3387" s="89">
        <v>61.5</v>
      </c>
      <c r="D3387" s="75"/>
      <c r="E3387" s="75"/>
      <c r="F3387" s="75">
        <v>20102</v>
      </c>
      <c r="G3387" s="76" t="str">
        <f>VLOOKUP(Tabelle2[[#This Row],[Kunden Nr.]],KUNDEN!A:B,2,0)</f>
        <v>KUQI-LKW</v>
      </c>
      <c r="H3387" s="75">
        <v>55718</v>
      </c>
      <c r="I3387" s="76" t="str">
        <f>VLOOKUP(Tabelle2[[#This Row],[Artikel]],Produkte!A:B,2,0)</f>
        <v>M ONE MOTORSTART</v>
      </c>
      <c r="J3387" s="75">
        <v>6</v>
      </c>
      <c r="K3387" s="76" t="str">
        <f>VLOOKUP(Tabelle2[[#This Row],[Kunden Nr.]],KUNDEN!A:G,7)</f>
        <v>Mensuri</v>
      </c>
      <c r="L3387" s="76">
        <f>VLOOKUP(Tabelle2[[#This Row],[Artikel]],Produkte!A:H,8)</f>
        <v>0.2</v>
      </c>
    </row>
    <row r="3388" spans="1:12" x14ac:dyDescent="0.2">
      <c r="A3388" s="75" t="s">
        <v>469</v>
      </c>
      <c r="B3388" s="79">
        <v>46153</v>
      </c>
      <c r="C3388" s="75"/>
      <c r="D3388" s="75"/>
      <c r="E3388" s="75"/>
      <c r="F3388" s="75">
        <v>20102</v>
      </c>
      <c r="G3388" s="76" t="str">
        <f>VLOOKUP(Tabelle2[[#This Row],[Kunden Nr.]],KUNDEN!A:B,2,0)</f>
        <v>KUQI-LKW</v>
      </c>
      <c r="H3388" s="75">
        <v>49644</v>
      </c>
      <c r="I3388" s="76" t="str">
        <f>VLOOKUP(Tabelle2[[#This Row],[Artikel]],Produkte!A:B,2,0)</f>
        <v>beMAKER Rostlöser</v>
      </c>
      <c r="J3388" s="75">
        <v>7</v>
      </c>
      <c r="K3388" s="76" t="str">
        <f>VLOOKUP(Tabelle2[[#This Row],[Kunden Nr.]],KUNDEN!A:G,7)</f>
        <v>Mensuri</v>
      </c>
      <c r="L3388" s="76">
        <f>VLOOKUP(Tabelle2[[#This Row],[Artikel]],Produkte!A:H,8)</f>
        <v>0.2</v>
      </c>
    </row>
    <row r="3389" spans="1:12" x14ac:dyDescent="0.2">
      <c r="A3389" s="75" t="s">
        <v>469</v>
      </c>
      <c r="B3389" s="79">
        <v>46153</v>
      </c>
      <c r="C3389" s="75"/>
      <c r="D3389" s="75"/>
      <c r="E3389" s="75"/>
      <c r="F3389" s="75">
        <v>20102</v>
      </c>
      <c r="G3389" s="76" t="str">
        <f>VLOOKUP(Tabelle2[[#This Row],[Kunden Nr.]],KUNDEN!A:B,2,0)</f>
        <v>KUQI-LKW</v>
      </c>
      <c r="H3389" s="75">
        <v>54412</v>
      </c>
      <c r="I3389" s="76" t="str">
        <f>VLOOKUP(Tabelle2[[#This Row],[Artikel]],Produkte!A:B,2,0)</f>
        <v>beMAKER Bremsen&amp;Teile Reininger</v>
      </c>
      <c r="J3389" s="75">
        <v>9</v>
      </c>
      <c r="K3389" s="76" t="str">
        <f>VLOOKUP(Tabelle2[[#This Row],[Kunden Nr.]],KUNDEN!A:G,7)</f>
        <v>Mensuri</v>
      </c>
      <c r="L3389" s="76">
        <f>VLOOKUP(Tabelle2[[#This Row],[Artikel]],Produkte!A:H,8)</f>
        <v>0.2</v>
      </c>
    </row>
    <row r="3390" spans="1:12" x14ac:dyDescent="0.2">
      <c r="A3390" s="75" t="s">
        <v>469</v>
      </c>
      <c r="B3390" s="79">
        <v>46153</v>
      </c>
      <c r="C3390" s="75"/>
      <c r="D3390" s="75"/>
      <c r="E3390" s="75"/>
      <c r="F3390" s="75">
        <v>20102</v>
      </c>
      <c r="G3390" s="76" t="str">
        <f>VLOOKUP(Tabelle2[[#This Row],[Kunden Nr.]],KUNDEN!A:B,2,0)</f>
        <v>KUQI-LKW</v>
      </c>
      <c r="H3390" s="75">
        <v>44001</v>
      </c>
      <c r="I3390" s="76" t="str">
        <f>VLOOKUP(Tabelle2[[#This Row],[Artikel]],Produkte!A:B,2,0)</f>
        <v>Fettspray</v>
      </c>
      <c r="J3390" s="75">
        <v>1</v>
      </c>
      <c r="K3390" s="76" t="str">
        <f>VLOOKUP(Tabelle2[[#This Row],[Kunden Nr.]],KUNDEN!A:G,7)</f>
        <v>Mensuri</v>
      </c>
      <c r="L3390" s="76">
        <f>VLOOKUP(Tabelle2[[#This Row],[Artikel]],Produkte!A:H,8)</f>
        <v>0.2</v>
      </c>
    </row>
    <row r="3391" spans="1:12" x14ac:dyDescent="0.2">
      <c r="A3391" s="75" t="s">
        <v>469</v>
      </c>
      <c r="B3391" s="79">
        <v>46153</v>
      </c>
      <c r="C3391" s="75"/>
      <c r="D3391" s="75"/>
      <c r="E3391" s="75"/>
      <c r="F3391" s="75">
        <v>20102</v>
      </c>
      <c r="G3391" s="76" t="str">
        <f>VLOOKUP(Tabelle2[[#This Row],[Kunden Nr.]],KUNDEN!A:B,2,0)</f>
        <v>KUQI-LKW</v>
      </c>
      <c r="H3391" s="75">
        <v>50912</v>
      </c>
      <c r="I3391" s="76" t="str">
        <f>VLOOKUP(Tabelle2[[#This Row],[Artikel]],Produkte!A:B,2,0)</f>
        <v>DICHTUNG</v>
      </c>
      <c r="J3391" s="75">
        <v>1</v>
      </c>
      <c r="K3391" s="76" t="str">
        <f>VLOOKUP(Tabelle2[[#This Row],[Kunden Nr.]],KUNDEN!A:G,7)</f>
        <v>Mensuri</v>
      </c>
      <c r="L3391" s="76">
        <f>VLOOKUP(Tabelle2[[#This Row],[Artikel]],Produkte!A:H,8)</f>
        <v>0.2</v>
      </c>
    </row>
    <row r="3392" spans="1:12" x14ac:dyDescent="0.2">
      <c r="A3392" s="75" t="s">
        <v>395</v>
      </c>
      <c r="B3392" s="79">
        <v>46153</v>
      </c>
      <c r="C3392" s="89">
        <v>139.19999999999999</v>
      </c>
      <c r="D3392" s="75"/>
      <c r="E3392" s="75"/>
      <c r="F3392" s="75">
        <v>20122</v>
      </c>
      <c r="G3392" s="76" t="str">
        <f>VLOOKUP(Tabelle2[[#This Row],[Kunden Nr.]],KUNDEN!A:B,2,0)</f>
        <v>GLOBI TERM</v>
      </c>
      <c r="H3392" s="75">
        <v>66701</v>
      </c>
      <c r="I3392" s="76" t="str">
        <f>VLOOKUP(Tabelle2[[#This Row],[Artikel]],Produkte!A:B,2,0)</f>
        <v>PROFIMONT EXTREME</v>
      </c>
      <c r="J3392" s="75">
        <v>24</v>
      </c>
      <c r="K3392" s="76" t="str">
        <f>VLOOKUP(Tabelle2[[#This Row],[Kunden Nr.]],KUNDEN!A:G,7)</f>
        <v>Mensuri</v>
      </c>
      <c r="L3392" s="76">
        <f>VLOOKUP(Tabelle2[[#This Row],[Artikel]],Produkte!A:H,8)</f>
        <v>0.2</v>
      </c>
    </row>
    <row r="3393" spans="1:12" x14ac:dyDescent="0.2">
      <c r="A3393" s="75" t="s">
        <v>471</v>
      </c>
      <c r="B3393" s="79">
        <v>46153</v>
      </c>
      <c r="C3393" s="89">
        <v>192</v>
      </c>
      <c r="D3393" s="75"/>
      <c r="E3393" s="75"/>
      <c r="F3393" s="75">
        <v>20104</v>
      </c>
      <c r="G3393" s="76" t="str">
        <f>VLOOKUP(Tabelle2[[#This Row],[Kunden Nr.]],KUNDEN!A:B,2,0)</f>
        <v>KTHIMI</v>
      </c>
      <c r="H3393" s="75">
        <v>35109</v>
      </c>
      <c r="I3393" s="76" t="str">
        <f>VLOOKUP(Tabelle2[[#This Row],[Artikel]],Produkte!A:B,2,0)</f>
        <v>M-ONE Sanitar Silikon</v>
      </c>
      <c r="J3393" s="75">
        <v>36</v>
      </c>
      <c r="K3393" s="76" t="str">
        <f>VLOOKUP(Tabelle2[[#This Row],[Kunden Nr.]],KUNDEN!A:G,7)</f>
        <v>Mensuri</v>
      </c>
      <c r="L3393" s="76">
        <f>VLOOKUP(Tabelle2[[#This Row],[Artikel]],Produkte!A:H,8)</f>
        <v>0.17</v>
      </c>
    </row>
    <row r="3394" spans="1:12" x14ac:dyDescent="0.2">
      <c r="A3394" s="75" t="s">
        <v>471</v>
      </c>
      <c r="B3394" s="79">
        <v>46153</v>
      </c>
      <c r="C3394" s="75"/>
      <c r="D3394" s="75"/>
      <c r="E3394" s="75"/>
      <c r="F3394" s="75">
        <v>20104</v>
      </c>
      <c r="G3394" s="76" t="str">
        <f>VLOOKUP(Tabelle2[[#This Row],[Kunden Nr.]],KUNDEN!A:B,2,0)</f>
        <v>KTHIMI</v>
      </c>
      <c r="H3394" s="75">
        <v>35119</v>
      </c>
      <c r="I3394" s="76" t="str">
        <f>VLOOKUP(Tabelle2[[#This Row],[Artikel]],Produkte!A:B,2,0)</f>
        <v>M-ONE Sanitar Silikon</v>
      </c>
      <c r="J3394" s="75">
        <v>12</v>
      </c>
      <c r="K3394" s="76" t="str">
        <f>VLOOKUP(Tabelle2[[#This Row],[Kunden Nr.]],KUNDEN!A:G,7)</f>
        <v>Mensuri</v>
      </c>
      <c r="L3394" s="76">
        <f>VLOOKUP(Tabelle2[[#This Row],[Artikel]],Produkte!A:H,8)</f>
        <v>0.17</v>
      </c>
    </row>
    <row r="3395" spans="1:12" x14ac:dyDescent="0.2">
      <c r="A3395" s="75" t="s">
        <v>1306</v>
      </c>
      <c r="B3395" s="79">
        <v>46153</v>
      </c>
      <c r="C3395" s="89">
        <v>96</v>
      </c>
      <c r="D3395" s="75"/>
      <c r="E3395" s="75"/>
      <c r="F3395" s="75">
        <v>20129</v>
      </c>
      <c r="G3395" s="76" t="str">
        <f>VLOOKUP(Tabelle2[[#This Row],[Kunden Nr.]],KUNDEN!A:B,2,0)</f>
        <v>LNI SHPK</v>
      </c>
      <c r="H3395" s="75">
        <v>35115</v>
      </c>
      <c r="I3395" s="76" t="str">
        <f>VLOOKUP(Tabelle2[[#This Row],[Artikel]],Produkte!A:B,2,0)</f>
        <v>M-ONE Sanitar Silikon</v>
      </c>
      <c r="J3395" s="75">
        <v>12</v>
      </c>
      <c r="K3395" s="76" t="str">
        <f>VLOOKUP(Tabelle2[[#This Row],[Kunden Nr.]],KUNDEN!A:G,7)</f>
        <v>Mensuri</v>
      </c>
      <c r="L3395" s="76">
        <f>VLOOKUP(Tabelle2[[#This Row],[Artikel]],Produkte!A:H,8)</f>
        <v>0.17</v>
      </c>
    </row>
    <row r="3396" spans="1:12" x14ac:dyDescent="0.2">
      <c r="A3396" s="75" t="s">
        <v>1306</v>
      </c>
      <c r="B3396" s="79">
        <v>46153</v>
      </c>
      <c r="C3396" s="75"/>
      <c r="D3396" s="75"/>
      <c r="E3396" s="75"/>
      <c r="F3396" s="75">
        <v>20129</v>
      </c>
      <c r="G3396" s="76" t="str">
        <f>VLOOKUP(Tabelle2[[#This Row],[Kunden Nr.]],KUNDEN!A:B,2,0)</f>
        <v>LNI SHPK</v>
      </c>
      <c r="H3396" s="75">
        <v>35121</v>
      </c>
      <c r="I3396" s="76" t="str">
        <f>VLOOKUP(Tabelle2[[#This Row],[Artikel]],Produkte!A:B,2,0)</f>
        <v>M-ONE Sanitar Silikon</v>
      </c>
      <c r="J3396" s="75">
        <v>12</v>
      </c>
      <c r="K3396" s="76" t="str">
        <f>VLOOKUP(Tabelle2[[#This Row],[Kunden Nr.]],KUNDEN!A:G,7)</f>
        <v>Mensuri</v>
      </c>
      <c r="L3396" s="76">
        <f>VLOOKUP(Tabelle2[[#This Row],[Artikel]],Produkte!A:H,8)</f>
        <v>0.17</v>
      </c>
    </row>
    <row r="3397" spans="1:12" x14ac:dyDescent="0.2">
      <c r="A3397" s="75" t="s">
        <v>1299</v>
      </c>
      <c r="B3397" s="79">
        <v>46154</v>
      </c>
      <c r="C3397" s="89">
        <v>480</v>
      </c>
      <c r="D3397" s="75"/>
      <c r="E3397" s="75"/>
      <c r="F3397" s="75">
        <v>10258</v>
      </c>
      <c r="G3397" s="76" t="str">
        <f>VLOOKUP(Tabelle2[[#This Row],[Kunden Nr.]],KUNDEN!A:B,2,0)</f>
        <v>ARSIMI</v>
      </c>
      <c r="H3397" s="75">
        <v>35109</v>
      </c>
      <c r="I3397" s="76" t="str">
        <f>VLOOKUP(Tabelle2[[#This Row],[Artikel]],Produkte!A:B,2,0)</f>
        <v>M-ONE Sanitar Silikon</v>
      </c>
      <c r="J3397" s="75">
        <v>120</v>
      </c>
      <c r="K3397" s="76" t="str">
        <f>VLOOKUP(Tabelle2[[#This Row],[Kunden Nr.]],KUNDEN!A:G,7)</f>
        <v>Qerimi</v>
      </c>
      <c r="L3397" s="76">
        <f>VLOOKUP(Tabelle2[[#This Row],[Artikel]],Produkte!A:H,8)</f>
        <v>0.17</v>
      </c>
    </row>
    <row r="3398" spans="1:12" x14ac:dyDescent="0.2">
      <c r="A3398" s="75" t="s">
        <v>1201</v>
      </c>
      <c r="B3398" s="79">
        <v>46154</v>
      </c>
      <c r="C3398" s="89">
        <v>530.4</v>
      </c>
      <c r="D3398" s="75"/>
      <c r="E3398" s="75"/>
      <c r="F3398" s="75">
        <v>10240</v>
      </c>
      <c r="G3398" s="76" t="str">
        <f>VLOOKUP(Tabelle2[[#This Row],[Kunden Nr.]],KUNDEN!A:B,2,0)</f>
        <v>ARPO</v>
      </c>
      <c r="H3398" s="75">
        <v>35113</v>
      </c>
      <c r="I3398" s="76" t="str">
        <f>VLOOKUP(Tabelle2[[#This Row],[Artikel]],Produkte!A:B,2,0)</f>
        <v>M-ONE Sanitar Silikon</v>
      </c>
      <c r="J3398" s="75">
        <v>24</v>
      </c>
      <c r="K3398" s="76" t="str">
        <f>VLOOKUP(Tabelle2[[#This Row],[Kunden Nr.]],KUNDEN!A:G,7)</f>
        <v>Qerimi</v>
      </c>
      <c r="L3398" s="76">
        <f>VLOOKUP(Tabelle2[[#This Row],[Artikel]],Produkte!A:H,8)</f>
        <v>0.17</v>
      </c>
    </row>
    <row r="3399" spans="1:12" x14ac:dyDescent="0.2">
      <c r="A3399" s="75" t="s">
        <v>1201</v>
      </c>
      <c r="B3399" s="79">
        <v>46154</v>
      </c>
      <c r="C3399" s="75"/>
      <c r="D3399" s="75"/>
      <c r="E3399" s="75"/>
      <c r="F3399" s="75">
        <v>10240</v>
      </c>
      <c r="G3399" s="76" t="str">
        <f>VLOOKUP(Tabelle2[[#This Row],[Kunden Nr.]],KUNDEN!A:B,2,0)</f>
        <v>ARPO</v>
      </c>
      <c r="H3399" s="75">
        <v>35108</v>
      </c>
      <c r="I3399" s="76" t="str">
        <f>VLOOKUP(Tabelle2[[#This Row],[Artikel]],Produkte!A:B,2,0)</f>
        <v>M-ONE Sanitar Silikon</v>
      </c>
      <c r="J3399" s="75">
        <v>24</v>
      </c>
      <c r="K3399" s="76" t="str">
        <f>VLOOKUP(Tabelle2[[#This Row],[Kunden Nr.]],KUNDEN!A:G,7)</f>
        <v>Qerimi</v>
      </c>
      <c r="L3399" s="76">
        <f>VLOOKUP(Tabelle2[[#This Row],[Artikel]],Produkte!A:H,8)</f>
        <v>0.17</v>
      </c>
    </row>
    <row r="3400" spans="1:12" x14ac:dyDescent="0.2">
      <c r="A3400" s="75" t="s">
        <v>1201</v>
      </c>
      <c r="B3400" s="79">
        <v>46154</v>
      </c>
      <c r="C3400" s="75"/>
      <c r="D3400" s="75"/>
      <c r="E3400" s="75"/>
      <c r="F3400" s="75">
        <v>10240</v>
      </c>
      <c r="G3400" s="76" t="str">
        <f>VLOOKUP(Tabelle2[[#This Row],[Kunden Nr.]],KUNDEN!A:B,2,0)</f>
        <v>ARPO</v>
      </c>
      <c r="H3400" s="75">
        <v>35119</v>
      </c>
      <c r="I3400" s="76" t="str">
        <f>VLOOKUP(Tabelle2[[#This Row],[Artikel]],Produkte!A:B,2,0)</f>
        <v>M-ONE Sanitar Silikon</v>
      </c>
      <c r="J3400" s="75">
        <v>24</v>
      </c>
      <c r="K3400" s="76" t="str">
        <f>VLOOKUP(Tabelle2[[#This Row],[Kunden Nr.]],KUNDEN!A:G,7)</f>
        <v>Qerimi</v>
      </c>
      <c r="L3400" s="76">
        <f>VLOOKUP(Tabelle2[[#This Row],[Artikel]],Produkte!A:H,8)</f>
        <v>0.17</v>
      </c>
    </row>
    <row r="3401" spans="1:12" x14ac:dyDescent="0.2">
      <c r="A3401" s="75" t="s">
        <v>1201</v>
      </c>
      <c r="B3401" s="79">
        <v>46154</v>
      </c>
      <c r="C3401" s="75"/>
      <c r="D3401" s="75"/>
      <c r="E3401" s="75"/>
      <c r="F3401" s="75">
        <v>10240</v>
      </c>
      <c r="G3401" s="76" t="str">
        <f>VLOOKUP(Tabelle2[[#This Row],[Kunden Nr.]],KUNDEN!A:B,2,0)</f>
        <v>ARPO</v>
      </c>
      <c r="H3401" s="75">
        <v>35110</v>
      </c>
      <c r="I3401" s="76" t="str">
        <f>VLOOKUP(Tabelle2[[#This Row],[Artikel]],Produkte!A:B,2,0)</f>
        <v>M-ONE Sanitar Silikon</v>
      </c>
      <c r="J3401" s="75">
        <v>12</v>
      </c>
      <c r="K3401" s="76" t="str">
        <f>VLOOKUP(Tabelle2[[#This Row],[Kunden Nr.]],KUNDEN!A:G,7)</f>
        <v>Qerimi</v>
      </c>
      <c r="L3401" s="76">
        <f>VLOOKUP(Tabelle2[[#This Row],[Artikel]],Produkte!A:H,8)</f>
        <v>0.17</v>
      </c>
    </row>
    <row r="3402" spans="1:12" x14ac:dyDescent="0.2">
      <c r="A3402" s="75" t="s">
        <v>1201</v>
      </c>
      <c r="B3402" s="79">
        <v>46154</v>
      </c>
      <c r="C3402" s="75"/>
      <c r="D3402" s="75"/>
      <c r="E3402" s="75"/>
      <c r="F3402" s="75">
        <v>10240</v>
      </c>
      <c r="G3402" s="76" t="str">
        <f>VLOOKUP(Tabelle2[[#This Row],[Kunden Nr.]],KUNDEN!A:B,2,0)</f>
        <v>ARPO</v>
      </c>
      <c r="H3402" s="75">
        <v>35109</v>
      </c>
      <c r="I3402" s="76" t="str">
        <f>VLOOKUP(Tabelle2[[#This Row],[Artikel]],Produkte!A:B,2,0)</f>
        <v>M-ONE Sanitar Silikon</v>
      </c>
      <c r="J3402" s="75">
        <v>12</v>
      </c>
      <c r="K3402" s="76" t="str">
        <f>VLOOKUP(Tabelle2[[#This Row],[Kunden Nr.]],KUNDEN!A:G,7)</f>
        <v>Qerimi</v>
      </c>
      <c r="L3402" s="76">
        <f>VLOOKUP(Tabelle2[[#This Row],[Artikel]],Produkte!A:H,8)</f>
        <v>0.17</v>
      </c>
    </row>
    <row r="3403" spans="1:12" x14ac:dyDescent="0.2">
      <c r="A3403" s="75" t="s">
        <v>1201</v>
      </c>
      <c r="B3403" s="79">
        <v>46154</v>
      </c>
      <c r="C3403" s="75"/>
      <c r="D3403" s="75"/>
      <c r="E3403" s="75"/>
      <c r="F3403" s="75">
        <v>10240</v>
      </c>
      <c r="G3403" s="76" t="str">
        <f>VLOOKUP(Tabelle2[[#This Row],[Kunden Nr.]],KUNDEN!A:B,2,0)</f>
        <v>ARPO</v>
      </c>
      <c r="H3403" s="75">
        <v>35121</v>
      </c>
      <c r="I3403" s="76" t="str">
        <f>VLOOKUP(Tabelle2[[#This Row],[Artikel]],Produkte!A:B,2,0)</f>
        <v>M-ONE Sanitar Silikon</v>
      </c>
      <c r="J3403" s="75">
        <v>12</v>
      </c>
      <c r="K3403" s="76" t="str">
        <f>VLOOKUP(Tabelle2[[#This Row],[Kunden Nr.]],KUNDEN!A:G,7)</f>
        <v>Qerimi</v>
      </c>
      <c r="L3403" s="76">
        <f>VLOOKUP(Tabelle2[[#This Row],[Artikel]],Produkte!A:H,8)</f>
        <v>0.17</v>
      </c>
    </row>
    <row r="3404" spans="1:12" x14ac:dyDescent="0.2">
      <c r="A3404" s="75" t="s">
        <v>1201</v>
      </c>
      <c r="B3404" s="79">
        <v>46154</v>
      </c>
      <c r="C3404" s="75"/>
      <c r="D3404" s="75"/>
      <c r="E3404" s="75"/>
      <c r="F3404" s="75">
        <v>10240</v>
      </c>
      <c r="G3404" s="76" t="str">
        <f>VLOOKUP(Tabelle2[[#This Row],[Kunden Nr.]],KUNDEN!A:B,2,0)</f>
        <v>ARPO</v>
      </c>
      <c r="H3404" s="75">
        <v>35128</v>
      </c>
      <c r="I3404" s="76" t="str">
        <f>VLOOKUP(Tabelle2[[#This Row],[Artikel]],Produkte!A:B,2,0)</f>
        <v>M-ONE Sanitar Silikon</v>
      </c>
      <c r="J3404" s="75">
        <v>12</v>
      </c>
      <c r="K3404" s="76" t="str">
        <f>VLOOKUP(Tabelle2[[#This Row],[Kunden Nr.]],KUNDEN!A:G,7)</f>
        <v>Qerimi</v>
      </c>
      <c r="L3404" s="76">
        <f>VLOOKUP(Tabelle2[[#This Row],[Artikel]],Produkte!A:H,8)</f>
        <v>0.17</v>
      </c>
    </row>
    <row r="3405" spans="1:12" x14ac:dyDescent="0.2">
      <c r="A3405" s="75" t="s">
        <v>1201</v>
      </c>
      <c r="B3405" s="79">
        <v>46154</v>
      </c>
      <c r="C3405" s="75"/>
      <c r="D3405" s="75"/>
      <c r="E3405" s="75"/>
      <c r="F3405" s="75">
        <v>10240</v>
      </c>
      <c r="G3405" s="76" t="str">
        <f>VLOOKUP(Tabelle2[[#This Row],[Kunden Nr.]],KUNDEN!A:B,2,0)</f>
        <v>ARPO</v>
      </c>
      <c r="H3405" s="75">
        <v>72101</v>
      </c>
      <c r="I3405" s="76" t="str">
        <f>VLOOKUP(Tabelle2[[#This Row],[Artikel]],Produkte!A:B,2,0)</f>
        <v>Zink Spray Hell</v>
      </c>
      <c r="J3405" s="75">
        <v>12</v>
      </c>
      <c r="K3405" s="76" t="str">
        <f>VLOOKUP(Tabelle2[[#This Row],[Kunden Nr.]],KUNDEN!A:G,7)</f>
        <v>Qerimi</v>
      </c>
      <c r="L3405" s="76">
        <f>VLOOKUP(Tabelle2[[#This Row],[Artikel]],Produkte!A:H,8)</f>
        <v>0.2</v>
      </c>
    </row>
    <row r="3406" spans="1:12" x14ac:dyDescent="0.2">
      <c r="A3406" s="75" t="s">
        <v>515</v>
      </c>
      <c r="B3406" s="79">
        <v>46154</v>
      </c>
      <c r="C3406" s="89">
        <v>144</v>
      </c>
      <c r="D3406" s="75"/>
      <c r="E3406" s="75"/>
      <c r="F3406" s="75">
        <v>10205</v>
      </c>
      <c r="G3406" s="76" t="str">
        <f>VLOOKUP(Tabelle2[[#This Row],[Kunden Nr.]],KUNDEN!A:B,2,0)</f>
        <v>XHAFA</v>
      </c>
      <c r="H3406" s="75">
        <v>35109</v>
      </c>
      <c r="I3406" s="76" t="str">
        <f>VLOOKUP(Tabelle2[[#This Row],[Artikel]],Produkte!A:B,2,0)</f>
        <v>M-ONE Sanitar Silikon</v>
      </c>
      <c r="J3406" s="75">
        <v>12</v>
      </c>
      <c r="K3406" s="76" t="str">
        <f>VLOOKUP(Tabelle2[[#This Row],[Kunden Nr.]],KUNDEN!A:G,7)</f>
        <v>Qerimi</v>
      </c>
      <c r="L3406" s="76">
        <f>VLOOKUP(Tabelle2[[#This Row],[Artikel]],Produkte!A:H,8)</f>
        <v>0.17</v>
      </c>
    </row>
    <row r="3407" spans="1:12" x14ac:dyDescent="0.2">
      <c r="A3407" s="75" t="s">
        <v>515</v>
      </c>
      <c r="B3407" s="79">
        <v>46154</v>
      </c>
      <c r="C3407" s="75"/>
      <c r="D3407" s="75"/>
      <c r="E3407" s="75"/>
      <c r="F3407" s="75">
        <v>10205</v>
      </c>
      <c r="G3407" s="76" t="str">
        <f>VLOOKUP(Tabelle2[[#This Row],[Kunden Nr.]],KUNDEN!A:B,2,0)</f>
        <v>XHAFA</v>
      </c>
      <c r="H3407" s="75">
        <v>35121</v>
      </c>
      <c r="I3407" s="76" t="str">
        <f>VLOOKUP(Tabelle2[[#This Row],[Artikel]],Produkte!A:B,2,0)</f>
        <v>M-ONE Sanitar Silikon</v>
      </c>
      <c r="J3407" s="75">
        <v>12</v>
      </c>
      <c r="K3407" s="76" t="str">
        <f>VLOOKUP(Tabelle2[[#This Row],[Kunden Nr.]],KUNDEN!A:G,7)</f>
        <v>Qerimi</v>
      </c>
      <c r="L3407" s="76">
        <f>VLOOKUP(Tabelle2[[#This Row],[Artikel]],Produkte!A:H,8)</f>
        <v>0.17</v>
      </c>
    </row>
    <row r="3408" spans="1:12" x14ac:dyDescent="0.2">
      <c r="A3408" s="75" t="s">
        <v>515</v>
      </c>
      <c r="B3408" s="79">
        <v>46154</v>
      </c>
      <c r="C3408" s="75"/>
      <c r="D3408" s="75"/>
      <c r="E3408" s="75"/>
      <c r="F3408" s="75">
        <v>10205</v>
      </c>
      <c r="G3408" s="76" t="str">
        <f>VLOOKUP(Tabelle2[[#This Row],[Kunden Nr.]],KUNDEN!A:B,2,0)</f>
        <v>XHAFA</v>
      </c>
      <c r="H3408" s="75">
        <v>35112</v>
      </c>
      <c r="I3408" s="76" t="str">
        <f>VLOOKUP(Tabelle2[[#This Row],[Artikel]],Produkte!A:B,2,0)</f>
        <v>M-ONE Sanitar Silikon</v>
      </c>
      <c r="J3408" s="75">
        <v>12</v>
      </c>
      <c r="K3408" s="76" t="str">
        <f>VLOOKUP(Tabelle2[[#This Row],[Kunden Nr.]],KUNDEN!A:G,7)</f>
        <v>Qerimi</v>
      </c>
      <c r="L3408" s="76">
        <f>VLOOKUP(Tabelle2[[#This Row],[Artikel]],Produkte!A:H,8)</f>
        <v>0.17</v>
      </c>
    </row>
    <row r="3409" spans="1:12" x14ac:dyDescent="0.2">
      <c r="A3409" s="75" t="s">
        <v>1204</v>
      </c>
      <c r="B3409" s="79">
        <v>46154</v>
      </c>
      <c r="C3409" s="89">
        <v>192</v>
      </c>
      <c r="D3409" s="75"/>
      <c r="E3409" s="75"/>
      <c r="F3409" s="75">
        <v>10245</v>
      </c>
      <c r="G3409" s="76" t="str">
        <f>VLOOKUP(Tabelle2[[#This Row],[Kunden Nr.]],KUNDEN!A:B,2,0)</f>
        <v>BEK TRADE</v>
      </c>
      <c r="H3409" s="75">
        <v>35109</v>
      </c>
      <c r="I3409" s="76" t="str">
        <f>VLOOKUP(Tabelle2[[#This Row],[Artikel]],Produkte!A:B,2,0)</f>
        <v>M-ONE Sanitar Silikon</v>
      </c>
      <c r="J3409" s="75">
        <v>12</v>
      </c>
      <c r="K3409" s="76" t="str">
        <f>VLOOKUP(Tabelle2[[#This Row],[Kunden Nr.]],KUNDEN!A:G,7)</f>
        <v>Qerimi</v>
      </c>
      <c r="L3409" s="76">
        <f>VLOOKUP(Tabelle2[[#This Row],[Artikel]],Produkte!A:H,8)</f>
        <v>0.17</v>
      </c>
    </row>
    <row r="3410" spans="1:12" x14ac:dyDescent="0.2">
      <c r="A3410" s="75" t="s">
        <v>1204</v>
      </c>
      <c r="B3410" s="79">
        <v>46154</v>
      </c>
      <c r="C3410" s="75"/>
      <c r="D3410" s="75"/>
      <c r="E3410" s="75"/>
      <c r="F3410" s="75">
        <v>10245</v>
      </c>
      <c r="G3410" s="76" t="str">
        <f>VLOOKUP(Tabelle2[[#This Row],[Kunden Nr.]],KUNDEN!A:B,2,0)</f>
        <v>BEK TRADE</v>
      </c>
      <c r="H3410" s="75">
        <v>35121</v>
      </c>
      <c r="I3410" s="76" t="str">
        <f>VLOOKUP(Tabelle2[[#This Row],[Artikel]],Produkte!A:B,2,0)</f>
        <v>M-ONE Sanitar Silikon</v>
      </c>
      <c r="J3410" s="75">
        <v>12</v>
      </c>
      <c r="K3410" s="76" t="str">
        <f>VLOOKUP(Tabelle2[[#This Row],[Kunden Nr.]],KUNDEN!A:G,7)</f>
        <v>Qerimi</v>
      </c>
      <c r="L3410" s="76">
        <f>VLOOKUP(Tabelle2[[#This Row],[Artikel]],Produkte!A:H,8)</f>
        <v>0.17</v>
      </c>
    </row>
    <row r="3411" spans="1:12" x14ac:dyDescent="0.2">
      <c r="A3411" s="75" t="s">
        <v>1204</v>
      </c>
      <c r="B3411" s="79">
        <v>46154</v>
      </c>
      <c r="C3411" s="75"/>
      <c r="D3411" s="75"/>
      <c r="E3411" s="75"/>
      <c r="F3411" s="75">
        <v>10245</v>
      </c>
      <c r="G3411" s="76" t="str">
        <f>VLOOKUP(Tabelle2[[#This Row],[Kunden Nr.]],KUNDEN!A:B,2,0)</f>
        <v>BEK TRADE</v>
      </c>
      <c r="H3411" s="75">
        <v>35108</v>
      </c>
      <c r="I3411" s="76" t="str">
        <f>VLOOKUP(Tabelle2[[#This Row],[Artikel]],Produkte!A:B,2,0)</f>
        <v>M-ONE Sanitar Silikon</v>
      </c>
      <c r="J3411" s="75">
        <v>12</v>
      </c>
      <c r="K3411" s="76" t="str">
        <f>VLOOKUP(Tabelle2[[#This Row],[Kunden Nr.]],KUNDEN!A:G,7)</f>
        <v>Qerimi</v>
      </c>
      <c r="L3411" s="76">
        <f>VLOOKUP(Tabelle2[[#This Row],[Artikel]],Produkte!A:H,8)</f>
        <v>0.17</v>
      </c>
    </row>
    <row r="3412" spans="1:12" x14ac:dyDescent="0.2">
      <c r="A3412" s="75" t="s">
        <v>1204</v>
      </c>
      <c r="B3412" s="79">
        <v>46154</v>
      </c>
      <c r="C3412" s="75"/>
      <c r="D3412" s="75"/>
      <c r="E3412" s="75"/>
      <c r="F3412" s="75">
        <v>10245</v>
      </c>
      <c r="G3412" s="76" t="str">
        <f>VLOOKUP(Tabelle2[[#This Row],[Kunden Nr.]],KUNDEN!A:B,2,0)</f>
        <v>BEK TRADE</v>
      </c>
      <c r="H3412" s="75">
        <v>35128</v>
      </c>
      <c r="I3412" s="76" t="str">
        <f>VLOOKUP(Tabelle2[[#This Row],[Artikel]],Produkte!A:B,2,0)</f>
        <v>M-ONE Sanitar Silikon</v>
      </c>
      <c r="J3412" s="75">
        <v>12</v>
      </c>
      <c r="K3412" s="76" t="str">
        <f>VLOOKUP(Tabelle2[[#This Row],[Kunden Nr.]],KUNDEN!A:G,7)</f>
        <v>Qerimi</v>
      </c>
      <c r="L3412" s="76">
        <f>VLOOKUP(Tabelle2[[#This Row],[Artikel]],Produkte!A:H,8)</f>
        <v>0.17</v>
      </c>
    </row>
    <row r="3413" spans="1:12" x14ac:dyDescent="0.2">
      <c r="A3413" s="75" t="s">
        <v>1179</v>
      </c>
      <c r="B3413" s="79">
        <v>46154</v>
      </c>
      <c r="C3413" s="89">
        <v>144</v>
      </c>
      <c r="D3413" s="75"/>
      <c r="E3413" s="75"/>
      <c r="F3413" s="75">
        <v>40019</v>
      </c>
      <c r="G3413" s="76" t="str">
        <f>VLOOKUP(Tabelle2[[#This Row],[Kunden Nr.]],KUNDEN!A:B,2,0)</f>
        <v>TEMAJ</v>
      </c>
      <c r="H3413" s="75">
        <v>35109</v>
      </c>
      <c r="I3413" s="76" t="str">
        <f>VLOOKUP(Tabelle2[[#This Row],[Artikel]],Produkte!A:B,2,0)</f>
        <v>M-ONE Sanitar Silikon</v>
      </c>
      <c r="J3413" s="75">
        <v>12</v>
      </c>
      <c r="K3413" s="76">
        <f>VLOOKUP(Tabelle2[[#This Row],[Kunden Nr.]],KUNDEN!A:G,7)</f>
        <v>0</v>
      </c>
      <c r="L3413" s="76">
        <f>VLOOKUP(Tabelle2[[#This Row],[Artikel]],Produkte!A:H,8)</f>
        <v>0.17</v>
      </c>
    </row>
    <row r="3414" spans="1:12" x14ac:dyDescent="0.2">
      <c r="A3414" s="75" t="s">
        <v>1179</v>
      </c>
      <c r="B3414" s="79">
        <v>46154</v>
      </c>
      <c r="C3414" s="75"/>
      <c r="D3414" s="75"/>
      <c r="E3414" s="75"/>
      <c r="F3414" s="75">
        <v>40019</v>
      </c>
      <c r="G3414" s="76" t="str">
        <f>VLOOKUP(Tabelle2[[#This Row],[Kunden Nr.]],KUNDEN!A:B,2,0)</f>
        <v>TEMAJ</v>
      </c>
      <c r="H3414" s="75">
        <v>35119</v>
      </c>
      <c r="I3414" s="76" t="str">
        <f>VLOOKUP(Tabelle2[[#This Row],[Artikel]],Produkte!A:B,2,0)</f>
        <v>M-ONE Sanitar Silikon</v>
      </c>
      <c r="J3414" s="75">
        <v>12</v>
      </c>
      <c r="K3414" s="76">
        <f>VLOOKUP(Tabelle2[[#This Row],[Kunden Nr.]],KUNDEN!A:G,7)</f>
        <v>0</v>
      </c>
      <c r="L3414" s="76">
        <f>VLOOKUP(Tabelle2[[#This Row],[Artikel]],Produkte!A:H,8)</f>
        <v>0.17</v>
      </c>
    </row>
    <row r="3415" spans="1:12" x14ac:dyDescent="0.2">
      <c r="A3415" s="75" t="s">
        <v>1179</v>
      </c>
      <c r="B3415" s="79">
        <v>46154</v>
      </c>
      <c r="C3415" s="75"/>
      <c r="D3415" s="75"/>
      <c r="E3415" s="75"/>
      <c r="F3415" s="75">
        <v>40019</v>
      </c>
      <c r="G3415" s="76" t="str">
        <f>VLOOKUP(Tabelle2[[#This Row],[Kunden Nr.]],KUNDEN!A:B,2,0)</f>
        <v>TEMAJ</v>
      </c>
      <c r="H3415" s="75">
        <v>35111</v>
      </c>
      <c r="I3415" s="76" t="str">
        <f>VLOOKUP(Tabelle2[[#This Row],[Artikel]],Produkte!A:B,2,0)</f>
        <v>M-ONE Sanitar Silikon</v>
      </c>
      <c r="J3415" s="75">
        <v>12</v>
      </c>
      <c r="K3415" s="76">
        <f>VLOOKUP(Tabelle2[[#This Row],[Kunden Nr.]],KUNDEN!A:G,7)</f>
        <v>0</v>
      </c>
      <c r="L3415" s="76">
        <f>VLOOKUP(Tabelle2[[#This Row],[Artikel]],Produkte!A:H,8)</f>
        <v>0.17</v>
      </c>
    </row>
    <row r="3416" spans="1:12" x14ac:dyDescent="0.2">
      <c r="A3416" s="75" t="s">
        <v>423</v>
      </c>
      <c r="B3416" s="79">
        <v>46154</v>
      </c>
      <c r="C3416" s="89">
        <v>96</v>
      </c>
      <c r="D3416" s="75"/>
      <c r="E3416" s="75"/>
      <c r="F3416" s="75">
        <v>20210</v>
      </c>
      <c r="G3416" s="76" t="str">
        <f>VLOOKUP(Tabelle2[[#This Row],[Kunden Nr.]],KUNDEN!A:B,2,0)</f>
        <v>PROSAN</v>
      </c>
      <c r="H3416" s="75">
        <v>35113</v>
      </c>
      <c r="I3416" s="76" t="str">
        <f>VLOOKUP(Tabelle2[[#This Row],[Artikel]],Produkte!A:B,2,0)</f>
        <v>M-ONE Sanitar Silikon</v>
      </c>
      <c r="J3416" s="75">
        <v>24</v>
      </c>
      <c r="K3416" s="76" t="str">
        <f>VLOOKUP(Tabelle2[[#This Row],[Kunden Nr.]],KUNDEN!A:G,7)</f>
        <v>Mensuri</v>
      </c>
      <c r="L3416" s="76">
        <f>VLOOKUP(Tabelle2[[#This Row],[Artikel]],Produkte!A:H,8)</f>
        <v>0.17</v>
      </c>
    </row>
    <row r="3417" spans="1:12" x14ac:dyDescent="0.2">
      <c r="A3417" s="75" t="s">
        <v>422</v>
      </c>
      <c r="B3417" s="79">
        <v>46154</v>
      </c>
      <c r="C3417" s="89">
        <v>40.5</v>
      </c>
      <c r="D3417" s="75"/>
      <c r="E3417" s="75"/>
      <c r="F3417" s="75">
        <v>20209</v>
      </c>
      <c r="G3417" s="76" t="str">
        <f>VLOOKUP(Tabelle2[[#This Row],[Kunden Nr.]],KUNDEN!A:B,2,0)</f>
        <v>LETAJ</v>
      </c>
      <c r="H3417" s="75">
        <v>39505</v>
      </c>
      <c r="I3417" s="76" t="str">
        <f>VLOOKUP(Tabelle2[[#This Row],[Artikel]],Produkte!A:B,2,0)</f>
        <v>M ONE SILIKON SPRAY</v>
      </c>
      <c r="J3417" s="75">
        <v>3</v>
      </c>
      <c r="K3417" s="76" t="str">
        <f>VLOOKUP(Tabelle2[[#This Row],[Kunden Nr.]],KUNDEN!A:G,7)</f>
        <v>Mensuri</v>
      </c>
      <c r="L3417" s="76">
        <f>VLOOKUP(Tabelle2[[#This Row],[Artikel]],Produkte!A:H,8)</f>
        <v>0.2</v>
      </c>
    </row>
    <row r="3418" spans="1:12" x14ac:dyDescent="0.2">
      <c r="A3418" s="75" t="s">
        <v>422</v>
      </c>
      <c r="B3418" s="79">
        <v>46154</v>
      </c>
      <c r="C3418" s="75"/>
      <c r="D3418" s="75"/>
      <c r="E3418" s="75"/>
      <c r="F3418" s="75">
        <v>20209</v>
      </c>
      <c r="G3418" s="76" t="str">
        <f>VLOOKUP(Tabelle2[[#This Row],[Kunden Nr.]],KUNDEN!A:B,2,0)</f>
        <v>LETAJ</v>
      </c>
      <c r="H3418" s="75">
        <v>44001</v>
      </c>
      <c r="I3418" s="76" t="str">
        <f>VLOOKUP(Tabelle2[[#This Row],[Artikel]],Produkte!A:B,2,0)</f>
        <v>Fettspray</v>
      </c>
      <c r="J3418" s="75">
        <v>9</v>
      </c>
      <c r="K3418" s="76" t="str">
        <f>VLOOKUP(Tabelle2[[#This Row],[Kunden Nr.]],KUNDEN!A:G,7)</f>
        <v>Mensuri</v>
      </c>
      <c r="L3418" s="76">
        <f>VLOOKUP(Tabelle2[[#This Row],[Artikel]],Produkte!A:H,8)</f>
        <v>0.2</v>
      </c>
    </row>
    <row r="3419" spans="1:12" x14ac:dyDescent="0.2">
      <c r="A3419" s="75" t="s">
        <v>420</v>
      </c>
      <c r="B3419" s="79">
        <v>46154</v>
      </c>
      <c r="C3419" s="89">
        <v>161.19999999999999</v>
      </c>
      <c r="D3419" s="75"/>
      <c r="E3419" s="75"/>
      <c r="F3419" s="75">
        <v>20205</v>
      </c>
      <c r="G3419" s="76" t="str">
        <f>VLOOKUP(Tabelle2[[#This Row],[Kunden Nr.]],KUNDEN!A:B,2,0)</f>
        <v>GACAFERI-RG</v>
      </c>
      <c r="H3419" s="75">
        <v>35128</v>
      </c>
      <c r="I3419" s="76" t="str">
        <f>VLOOKUP(Tabelle2[[#This Row],[Artikel]],Produkte!A:B,2,0)</f>
        <v>M-ONE Sanitar Silikon</v>
      </c>
      <c r="J3419" s="75">
        <v>12</v>
      </c>
      <c r="K3419" s="76" t="str">
        <f>VLOOKUP(Tabelle2[[#This Row],[Kunden Nr.]],KUNDEN!A:G,7)</f>
        <v>Mensuri</v>
      </c>
      <c r="L3419" s="76">
        <f>VLOOKUP(Tabelle2[[#This Row],[Artikel]],Produkte!A:H,8)</f>
        <v>0.17</v>
      </c>
    </row>
    <row r="3420" spans="1:12" x14ac:dyDescent="0.2">
      <c r="A3420" s="75" t="s">
        <v>420</v>
      </c>
      <c r="B3420" s="79">
        <v>46154</v>
      </c>
      <c r="C3420" s="75"/>
      <c r="D3420" s="75"/>
      <c r="E3420" s="75"/>
      <c r="F3420" s="75">
        <v>20205</v>
      </c>
      <c r="G3420" s="76" t="str">
        <f>VLOOKUP(Tabelle2[[#This Row],[Kunden Nr.]],KUNDEN!A:B,2,0)</f>
        <v>GACAFERI-RG</v>
      </c>
      <c r="H3420" s="75">
        <v>66701</v>
      </c>
      <c r="I3420" s="76" t="str">
        <f>VLOOKUP(Tabelle2[[#This Row],[Artikel]],Produkte!A:B,2,0)</f>
        <v>PROFIMONT EXTREME</v>
      </c>
      <c r="J3420" s="75">
        <v>12</v>
      </c>
      <c r="K3420" s="76" t="str">
        <f>VLOOKUP(Tabelle2[[#This Row],[Kunden Nr.]],KUNDEN!A:G,7)</f>
        <v>Mensuri</v>
      </c>
      <c r="L3420" s="76">
        <f>VLOOKUP(Tabelle2[[#This Row],[Artikel]],Produkte!A:H,8)</f>
        <v>0.2</v>
      </c>
    </row>
    <row r="3421" spans="1:12" x14ac:dyDescent="0.2">
      <c r="A3421" s="75" t="s">
        <v>420</v>
      </c>
      <c r="B3421" s="79">
        <v>46154</v>
      </c>
      <c r="C3421" s="75"/>
      <c r="D3421" s="75"/>
      <c r="E3421" s="75"/>
      <c r="F3421" s="75">
        <v>20205</v>
      </c>
      <c r="G3421" s="76" t="str">
        <f>VLOOKUP(Tabelle2[[#This Row],[Kunden Nr.]],KUNDEN!A:B,2,0)</f>
        <v>GACAFERI-RG</v>
      </c>
      <c r="H3421" s="75">
        <v>51612</v>
      </c>
      <c r="I3421" s="76" t="str">
        <f>VLOOKUP(Tabelle2[[#This Row],[Artikel]],Produkte!A:B,2,0)</f>
        <v>struktural akryl</v>
      </c>
      <c r="J3421" s="75">
        <v>12</v>
      </c>
      <c r="K3421" s="76" t="str">
        <f>VLOOKUP(Tabelle2[[#This Row],[Kunden Nr.]],KUNDEN!A:G,7)</f>
        <v>Mensuri</v>
      </c>
      <c r="L3421" s="76">
        <f>VLOOKUP(Tabelle2[[#This Row],[Artikel]],Produkte!A:H,8)</f>
        <v>0.06</v>
      </c>
    </row>
    <row r="3422" spans="1:12" x14ac:dyDescent="0.2">
      <c r="A3422" s="75" t="s">
        <v>420</v>
      </c>
      <c r="B3422" s="79">
        <v>46154</v>
      </c>
      <c r="C3422" s="75"/>
      <c r="D3422" s="75"/>
      <c r="E3422" s="75"/>
      <c r="F3422" s="75">
        <v>20205</v>
      </c>
      <c r="G3422" s="76" t="str">
        <f>VLOOKUP(Tabelle2[[#This Row],[Kunden Nr.]],KUNDEN!A:B,2,0)</f>
        <v>GACAFERI-RG</v>
      </c>
      <c r="H3422" s="75">
        <v>50912</v>
      </c>
      <c r="I3422" s="76" t="str">
        <f>VLOOKUP(Tabelle2[[#This Row],[Artikel]],Produkte!A:B,2,0)</f>
        <v>DICHTUNG</v>
      </c>
      <c r="J3422" s="75">
        <v>2</v>
      </c>
      <c r="K3422" s="76" t="str">
        <f>VLOOKUP(Tabelle2[[#This Row],[Kunden Nr.]],KUNDEN!A:G,7)</f>
        <v>Mensuri</v>
      </c>
      <c r="L3422" s="76">
        <f>VLOOKUP(Tabelle2[[#This Row],[Artikel]],Produkte!A:H,8)</f>
        <v>0.2</v>
      </c>
    </row>
    <row r="3423" spans="1:12" x14ac:dyDescent="0.2">
      <c r="A3423" s="75" t="s">
        <v>425</v>
      </c>
      <c r="B3423" s="79">
        <v>46154</v>
      </c>
      <c r="C3423" s="89">
        <v>96</v>
      </c>
      <c r="D3423" s="75"/>
      <c r="E3423" s="75"/>
      <c r="F3423" s="75">
        <v>20212</v>
      </c>
      <c r="G3423" s="76" t="str">
        <f>VLOOKUP(Tabelle2[[#This Row],[Kunden Nr.]],KUNDEN!A:B,2,0)</f>
        <v>INOX 2</v>
      </c>
      <c r="H3423" s="75">
        <v>35110</v>
      </c>
      <c r="I3423" s="76" t="str">
        <f>VLOOKUP(Tabelle2[[#This Row],[Artikel]],Produkte!A:B,2,0)</f>
        <v>M-ONE Sanitar Silikon</v>
      </c>
      <c r="J3423" s="75">
        <v>12</v>
      </c>
      <c r="K3423" s="76" t="str">
        <f>VLOOKUP(Tabelle2[[#This Row],[Kunden Nr.]],KUNDEN!A:G,7)</f>
        <v>Mensuri</v>
      </c>
      <c r="L3423" s="76">
        <f>VLOOKUP(Tabelle2[[#This Row],[Artikel]],Produkte!A:H,8)</f>
        <v>0.17</v>
      </c>
    </row>
    <row r="3424" spans="1:12" x14ac:dyDescent="0.2">
      <c r="A3424" s="75" t="s">
        <v>425</v>
      </c>
      <c r="B3424" s="79">
        <v>46154</v>
      </c>
      <c r="C3424" s="75"/>
      <c r="D3424" s="75"/>
      <c r="E3424" s="75"/>
      <c r="F3424" s="75">
        <v>20212</v>
      </c>
      <c r="G3424" s="76" t="str">
        <f>VLOOKUP(Tabelle2[[#This Row],[Kunden Nr.]],KUNDEN!A:B,2,0)</f>
        <v>INOX 2</v>
      </c>
      <c r="H3424" s="75">
        <v>35111</v>
      </c>
      <c r="I3424" s="76" t="str">
        <f>VLOOKUP(Tabelle2[[#This Row],[Artikel]],Produkte!A:B,2,0)</f>
        <v>M-ONE Sanitar Silikon</v>
      </c>
      <c r="J3424" s="75">
        <v>12</v>
      </c>
      <c r="K3424" s="76" t="str">
        <f>VLOOKUP(Tabelle2[[#This Row],[Kunden Nr.]],KUNDEN!A:G,7)</f>
        <v>Mensuri</v>
      </c>
      <c r="L3424" s="76">
        <f>VLOOKUP(Tabelle2[[#This Row],[Artikel]],Produkte!A:H,8)</f>
        <v>0.17</v>
      </c>
    </row>
    <row r="3425" spans="1:12" x14ac:dyDescent="0.2">
      <c r="A3425" s="75" t="s">
        <v>424</v>
      </c>
      <c r="B3425" s="79">
        <v>46154</v>
      </c>
      <c r="C3425" s="89">
        <v>111</v>
      </c>
      <c r="D3425" s="75"/>
      <c r="E3425" s="75"/>
      <c r="F3425" s="75">
        <v>20211</v>
      </c>
      <c r="G3425" s="76" t="str">
        <f>VLOOKUP(Tabelle2[[#This Row],[Kunden Nr.]],KUNDEN!A:B,2,0)</f>
        <v>INOX 1</v>
      </c>
      <c r="H3425" s="75">
        <v>35111</v>
      </c>
      <c r="I3425" s="76" t="str">
        <f>VLOOKUP(Tabelle2[[#This Row],[Artikel]],Produkte!A:B,2,0)</f>
        <v>M-ONE Sanitar Silikon</v>
      </c>
      <c r="J3425" s="75">
        <v>12</v>
      </c>
      <c r="K3425" s="76" t="str">
        <f>VLOOKUP(Tabelle2[[#This Row],[Kunden Nr.]],KUNDEN!A:G,7)</f>
        <v>Mensuri</v>
      </c>
      <c r="L3425" s="76">
        <f>VLOOKUP(Tabelle2[[#This Row],[Artikel]],Produkte!A:H,8)</f>
        <v>0.17</v>
      </c>
    </row>
    <row r="3426" spans="1:12" x14ac:dyDescent="0.2">
      <c r="A3426" s="75" t="s">
        <v>424</v>
      </c>
      <c r="B3426" s="79">
        <v>46154</v>
      </c>
      <c r="C3426" s="75"/>
      <c r="D3426" s="75"/>
      <c r="E3426" s="75"/>
      <c r="F3426" s="75">
        <v>20211</v>
      </c>
      <c r="G3426" s="76" t="str">
        <f>VLOOKUP(Tabelle2[[#This Row],[Kunden Nr.]],KUNDEN!A:B,2,0)</f>
        <v>INOX 1</v>
      </c>
      <c r="H3426" s="75">
        <v>35113</v>
      </c>
      <c r="I3426" s="76" t="str">
        <f>VLOOKUP(Tabelle2[[#This Row],[Artikel]],Produkte!A:B,2,0)</f>
        <v>M-ONE Sanitar Silikon</v>
      </c>
      <c r="J3426" s="75">
        <v>12</v>
      </c>
      <c r="K3426" s="76" t="str">
        <f>VLOOKUP(Tabelle2[[#This Row],[Kunden Nr.]],KUNDEN!A:G,7)</f>
        <v>Mensuri</v>
      </c>
      <c r="L3426" s="76">
        <f>VLOOKUP(Tabelle2[[#This Row],[Artikel]],Produkte!A:H,8)</f>
        <v>0.17</v>
      </c>
    </row>
    <row r="3427" spans="1:12" x14ac:dyDescent="0.2">
      <c r="A3427" s="75" t="s">
        <v>424</v>
      </c>
      <c r="B3427" s="79">
        <v>46154</v>
      </c>
      <c r="C3427" s="75"/>
      <c r="D3427" s="75"/>
      <c r="E3427" s="75"/>
      <c r="F3427" s="75">
        <v>20211</v>
      </c>
      <c r="G3427" s="76" t="str">
        <f>VLOOKUP(Tabelle2[[#This Row],[Kunden Nr.]],KUNDEN!A:B,2,0)</f>
        <v>INOX 1</v>
      </c>
      <c r="H3427" s="75">
        <v>51611</v>
      </c>
      <c r="I3427" s="76" t="str">
        <f>VLOOKUP(Tabelle2[[#This Row],[Artikel]],Produkte!A:B,2,0)</f>
        <v>universal akryl</v>
      </c>
      <c r="J3427" s="75">
        <v>12</v>
      </c>
      <c r="K3427" s="76" t="str">
        <f>VLOOKUP(Tabelle2[[#This Row],[Kunden Nr.]],KUNDEN!A:G,7)</f>
        <v>Mensuri</v>
      </c>
      <c r="L3427" s="76">
        <f>VLOOKUP(Tabelle2[[#This Row],[Artikel]],Produkte!A:H,8)</f>
        <v>0.06</v>
      </c>
    </row>
    <row r="3428" spans="1:12" x14ac:dyDescent="0.2">
      <c r="A3428" s="75" t="s">
        <v>423</v>
      </c>
      <c r="B3428" s="79">
        <v>46154</v>
      </c>
      <c r="C3428" s="89">
        <v>174</v>
      </c>
      <c r="D3428" s="75"/>
      <c r="E3428" s="75"/>
      <c r="F3428" s="75">
        <v>20210</v>
      </c>
      <c r="G3428" s="76" t="str">
        <f>VLOOKUP(Tabelle2[[#This Row],[Kunden Nr.]],KUNDEN!A:B,2,0)</f>
        <v>PROSAN</v>
      </c>
      <c r="H3428" s="75">
        <v>35112</v>
      </c>
      <c r="I3428" s="76" t="str">
        <f>VLOOKUP(Tabelle2[[#This Row],[Artikel]],Produkte!A:B,2,0)</f>
        <v>M-ONE Sanitar Silikon</v>
      </c>
      <c r="J3428" s="75">
        <v>12</v>
      </c>
      <c r="K3428" s="76" t="str">
        <f>VLOOKUP(Tabelle2[[#This Row],[Kunden Nr.]],KUNDEN!A:G,7)</f>
        <v>Mensuri</v>
      </c>
      <c r="L3428" s="76">
        <f>VLOOKUP(Tabelle2[[#This Row],[Artikel]],Produkte!A:H,8)</f>
        <v>0.17</v>
      </c>
    </row>
    <row r="3429" spans="1:12" x14ac:dyDescent="0.2">
      <c r="A3429" s="75" t="s">
        <v>423</v>
      </c>
      <c r="B3429" s="79">
        <v>46154</v>
      </c>
      <c r="C3429" s="75"/>
      <c r="D3429" s="75"/>
      <c r="E3429" s="75"/>
      <c r="F3429" s="75">
        <v>20210</v>
      </c>
      <c r="G3429" s="76" t="str">
        <f>VLOOKUP(Tabelle2[[#This Row],[Kunden Nr.]],KUNDEN!A:B,2,0)</f>
        <v>PROSAN</v>
      </c>
      <c r="H3429" s="75">
        <v>35128</v>
      </c>
      <c r="I3429" s="76" t="str">
        <f>VLOOKUP(Tabelle2[[#This Row],[Artikel]],Produkte!A:B,2,0)</f>
        <v>M-ONE Sanitar Silikon</v>
      </c>
      <c r="J3429" s="75">
        <v>12</v>
      </c>
      <c r="K3429" s="76" t="str">
        <f>VLOOKUP(Tabelle2[[#This Row],[Kunden Nr.]],KUNDEN!A:G,7)</f>
        <v>Mensuri</v>
      </c>
      <c r="L3429" s="76">
        <f>VLOOKUP(Tabelle2[[#This Row],[Artikel]],Produkte!A:H,8)</f>
        <v>0.17</v>
      </c>
    </row>
    <row r="3430" spans="1:12" x14ac:dyDescent="0.2">
      <c r="A3430" s="75" t="s">
        <v>423</v>
      </c>
      <c r="B3430" s="79">
        <v>46154</v>
      </c>
      <c r="C3430" s="75"/>
      <c r="D3430" s="75"/>
      <c r="E3430" s="75"/>
      <c r="F3430" s="75">
        <v>20210</v>
      </c>
      <c r="G3430" s="76" t="str">
        <f>VLOOKUP(Tabelle2[[#This Row],[Kunden Nr.]],KUNDEN!A:B,2,0)</f>
        <v>PROSAN</v>
      </c>
      <c r="H3430" s="75">
        <v>35125</v>
      </c>
      <c r="I3430" s="76" t="str">
        <f>VLOOKUP(Tabelle2[[#This Row],[Artikel]],Produkte!A:B,2,0)</f>
        <v>M-ONE Sanitar Silikon</v>
      </c>
      <c r="J3430" s="75">
        <v>12</v>
      </c>
      <c r="K3430" s="76" t="str">
        <f>VLOOKUP(Tabelle2[[#This Row],[Kunden Nr.]],KUNDEN!A:G,7)</f>
        <v>Mensuri</v>
      </c>
      <c r="L3430" s="76">
        <f>VLOOKUP(Tabelle2[[#This Row],[Artikel]],Produkte!A:H,8)</f>
        <v>0.17</v>
      </c>
    </row>
    <row r="3431" spans="1:12" x14ac:dyDescent="0.2">
      <c r="A3431" s="75" t="s">
        <v>423</v>
      </c>
      <c r="B3431" s="79">
        <v>46154</v>
      </c>
      <c r="C3431" s="75"/>
      <c r="D3431" s="75"/>
      <c r="E3431" s="75"/>
      <c r="F3431" s="75">
        <v>20210</v>
      </c>
      <c r="G3431" s="76" t="str">
        <f>VLOOKUP(Tabelle2[[#This Row],[Kunden Nr.]],KUNDEN!A:B,2,0)</f>
        <v>PROSAN</v>
      </c>
      <c r="H3431" s="75">
        <v>51611</v>
      </c>
      <c r="I3431" s="76" t="str">
        <f>VLOOKUP(Tabelle2[[#This Row],[Artikel]],Produkte!A:B,2,0)</f>
        <v>universal akryl</v>
      </c>
      <c r="J3431" s="75">
        <v>24</v>
      </c>
      <c r="K3431" s="76" t="str">
        <f>VLOOKUP(Tabelle2[[#This Row],[Kunden Nr.]],KUNDEN!A:G,7)</f>
        <v>Mensuri</v>
      </c>
      <c r="L3431" s="76">
        <f>VLOOKUP(Tabelle2[[#This Row],[Artikel]],Produkte!A:H,8)</f>
        <v>0.06</v>
      </c>
    </row>
    <row r="3432" spans="1:12" x14ac:dyDescent="0.2">
      <c r="A3432" s="75" t="s">
        <v>670</v>
      </c>
      <c r="B3432" s="79">
        <v>46154</v>
      </c>
      <c r="C3432" s="89">
        <v>111</v>
      </c>
      <c r="D3432" s="75"/>
      <c r="E3432" s="75"/>
      <c r="F3432" s="75">
        <v>20206</v>
      </c>
      <c r="G3432" s="76" t="str">
        <f>VLOOKUP(Tabelle2[[#This Row],[Kunden Nr.]],KUNDEN!A:B,2,0)</f>
        <v>ERENIKU</v>
      </c>
      <c r="H3432" s="75">
        <v>35109</v>
      </c>
      <c r="I3432" s="76" t="str">
        <f>VLOOKUP(Tabelle2[[#This Row],[Artikel]],Produkte!A:B,2,0)</f>
        <v>M-ONE Sanitar Silikon</v>
      </c>
      <c r="J3432" s="75">
        <v>12</v>
      </c>
      <c r="K3432" s="76" t="str">
        <f>VLOOKUP(Tabelle2[[#This Row],[Kunden Nr.]],KUNDEN!A:G,7)</f>
        <v>Mensuri</v>
      </c>
      <c r="L3432" s="76">
        <f>VLOOKUP(Tabelle2[[#This Row],[Artikel]],Produkte!A:H,8)</f>
        <v>0.17</v>
      </c>
    </row>
    <row r="3433" spans="1:12" x14ac:dyDescent="0.2">
      <c r="A3433" s="75" t="s">
        <v>670</v>
      </c>
      <c r="B3433" s="79">
        <v>46154</v>
      </c>
      <c r="C3433" s="75"/>
      <c r="D3433" s="75"/>
      <c r="E3433" s="75"/>
      <c r="F3433" s="75">
        <v>20206</v>
      </c>
      <c r="G3433" s="76" t="str">
        <f>VLOOKUP(Tabelle2[[#This Row],[Kunden Nr.]],KUNDEN!A:B,2,0)</f>
        <v>ERENIKU</v>
      </c>
      <c r="H3433" s="75">
        <v>35113</v>
      </c>
      <c r="I3433" s="76" t="str">
        <f>VLOOKUP(Tabelle2[[#This Row],[Artikel]],Produkte!A:B,2,0)</f>
        <v>M-ONE Sanitar Silikon</v>
      </c>
      <c r="J3433" s="75">
        <v>12</v>
      </c>
      <c r="K3433" s="76" t="str">
        <f>VLOOKUP(Tabelle2[[#This Row],[Kunden Nr.]],KUNDEN!A:G,7)</f>
        <v>Mensuri</v>
      </c>
      <c r="L3433" s="76">
        <f>VLOOKUP(Tabelle2[[#This Row],[Artikel]],Produkte!A:H,8)</f>
        <v>0.17</v>
      </c>
    </row>
    <row r="3434" spans="1:12" x14ac:dyDescent="0.2">
      <c r="A3434" s="75" t="s">
        <v>670</v>
      </c>
      <c r="B3434" s="79">
        <v>46154</v>
      </c>
      <c r="C3434" s="75"/>
      <c r="D3434" s="75"/>
      <c r="E3434" s="75"/>
      <c r="F3434" s="75">
        <v>20206</v>
      </c>
      <c r="G3434" s="76" t="str">
        <f>VLOOKUP(Tabelle2[[#This Row],[Kunden Nr.]],KUNDEN!A:B,2,0)</f>
        <v>ERENIKU</v>
      </c>
      <c r="H3434" s="75">
        <v>51611</v>
      </c>
      <c r="I3434" s="76" t="str">
        <f>VLOOKUP(Tabelle2[[#This Row],[Artikel]],Produkte!A:B,2,0)</f>
        <v>universal akryl</v>
      </c>
      <c r="J3434" s="75">
        <v>12</v>
      </c>
      <c r="K3434" s="76" t="str">
        <f>VLOOKUP(Tabelle2[[#This Row],[Kunden Nr.]],KUNDEN!A:G,7)</f>
        <v>Mensuri</v>
      </c>
      <c r="L3434" s="76">
        <f>VLOOKUP(Tabelle2[[#This Row],[Artikel]],Produkte!A:H,8)</f>
        <v>0.06</v>
      </c>
    </row>
    <row r="3435" spans="1:12" x14ac:dyDescent="0.2">
      <c r="A3435" s="75" t="s">
        <v>418</v>
      </c>
      <c r="B3435" s="79">
        <v>46154</v>
      </c>
      <c r="C3435" s="89">
        <v>117.6</v>
      </c>
      <c r="D3435" s="75"/>
      <c r="E3435" s="75"/>
      <c r="F3435" s="75">
        <v>20203</v>
      </c>
      <c r="G3435" s="76" t="str">
        <f>VLOOKUP(Tabelle2[[#This Row],[Kunden Nr.]],KUNDEN!A:B,2,0)</f>
        <v>AFRIMI-AG</v>
      </c>
      <c r="H3435" s="75">
        <v>35113</v>
      </c>
      <c r="I3435" s="76" t="str">
        <f>VLOOKUP(Tabelle2[[#This Row],[Artikel]],Produkte!A:B,2,0)</f>
        <v>M-ONE Sanitar Silikon</v>
      </c>
      <c r="J3435" s="75">
        <v>12</v>
      </c>
      <c r="K3435" s="76" t="str">
        <f>VLOOKUP(Tabelle2[[#This Row],[Kunden Nr.]],KUNDEN!A:G,7)</f>
        <v>Mensuri</v>
      </c>
      <c r="L3435" s="76">
        <f>VLOOKUP(Tabelle2[[#This Row],[Artikel]],Produkte!A:H,8)</f>
        <v>0.17</v>
      </c>
    </row>
    <row r="3436" spans="1:12" x14ac:dyDescent="0.2">
      <c r="A3436" s="75" t="s">
        <v>418</v>
      </c>
      <c r="B3436" s="79">
        <v>46154</v>
      </c>
      <c r="C3436" s="75"/>
      <c r="D3436" s="75"/>
      <c r="E3436" s="75"/>
      <c r="F3436" s="75">
        <v>20203</v>
      </c>
      <c r="G3436" s="76" t="str">
        <f>VLOOKUP(Tabelle2[[#This Row],[Kunden Nr.]],KUNDEN!A:B,2,0)</f>
        <v>AFRIMI-AG</v>
      </c>
      <c r="H3436" s="75">
        <v>66701</v>
      </c>
      <c r="I3436" s="76" t="str">
        <f>VLOOKUP(Tabelle2[[#This Row],[Artikel]],Produkte!A:B,2,0)</f>
        <v>PROFIMONT EXTREME</v>
      </c>
      <c r="J3436" s="75">
        <v>12</v>
      </c>
      <c r="K3436" s="76" t="str">
        <f>VLOOKUP(Tabelle2[[#This Row],[Kunden Nr.]],KUNDEN!A:G,7)</f>
        <v>Mensuri</v>
      </c>
      <c r="L3436" s="76">
        <f>VLOOKUP(Tabelle2[[#This Row],[Artikel]],Produkte!A:H,8)</f>
        <v>0.2</v>
      </c>
    </row>
    <row r="3437" spans="1:12" x14ac:dyDescent="0.2">
      <c r="A3437" s="75" t="s">
        <v>963</v>
      </c>
      <c r="B3437" s="79">
        <v>46154</v>
      </c>
      <c r="C3437" s="89">
        <v>160.6</v>
      </c>
      <c r="D3437" s="75"/>
      <c r="E3437" s="75"/>
      <c r="F3437" s="75">
        <v>20201</v>
      </c>
      <c r="G3437" s="76" t="str">
        <f>VLOOKUP(Tabelle2[[#This Row],[Kunden Nr.]],KUNDEN!A:B,2,0)</f>
        <v>TE BESIMI</v>
      </c>
      <c r="H3437" s="75">
        <v>35110</v>
      </c>
      <c r="I3437" s="76" t="str">
        <f>VLOOKUP(Tabelle2[[#This Row],[Artikel]],Produkte!A:B,2,0)</f>
        <v>M-ONE Sanitar Silikon</v>
      </c>
      <c r="J3437" s="75">
        <v>12</v>
      </c>
      <c r="K3437" s="76" t="str">
        <f>VLOOKUP(Tabelle2[[#This Row],[Kunden Nr.]],KUNDEN!A:G,7)</f>
        <v>Mensuri</v>
      </c>
      <c r="L3437" s="76">
        <f>VLOOKUP(Tabelle2[[#This Row],[Artikel]],Produkte!A:H,8)</f>
        <v>0.17</v>
      </c>
    </row>
    <row r="3438" spans="1:12" x14ac:dyDescent="0.2">
      <c r="A3438" s="75" t="s">
        <v>963</v>
      </c>
      <c r="B3438" s="79">
        <v>46154</v>
      </c>
      <c r="C3438" s="75"/>
      <c r="D3438" s="75"/>
      <c r="E3438" s="75"/>
      <c r="F3438" s="75">
        <v>20201</v>
      </c>
      <c r="G3438" s="76" t="str">
        <f>VLOOKUP(Tabelle2[[#This Row],[Kunden Nr.]],KUNDEN!A:B,2,0)</f>
        <v>TE BESIMI</v>
      </c>
      <c r="H3438" s="75">
        <v>35119</v>
      </c>
      <c r="I3438" s="76" t="str">
        <f>VLOOKUP(Tabelle2[[#This Row],[Artikel]],Produkte!A:B,2,0)</f>
        <v>M-ONE Sanitar Silikon</v>
      </c>
      <c r="J3438" s="75">
        <v>12</v>
      </c>
      <c r="K3438" s="76" t="str">
        <f>VLOOKUP(Tabelle2[[#This Row],[Kunden Nr.]],KUNDEN!A:G,7)</f>
        <v>Mensuri</v>
      </c>
      <c r="L3438" s="76">
        <f>VLOOKUP(Tabelle2[[#This Row],[Artikel]],Produkte!A:H,8)</f>
        <v>0.17</v>
      </c>
    </row>
    <row r="3439" spans="1:12" x14ac:dyDescent="0.2">
      <c r="A3439" s="75" t="s">
        <v>963</v>
      </c>
      <c r="B3439" s="79">
        <v>46154</v>
      </c>
      <c r="C3439" s="75"/>
      <c r="D3439" s="75"/>
      <c r="E3439" s="75"/>
      <c r="F3439" s="75">
        <v>20201</v>
      </c>
      <c r="G3439" s="76" t="str">
        <f>VLOOKUP(Tabelle2[[#This Row],[Kunden Nr.]],KUNDEN!A:B,2,0)</f>
        <v>TE BESIMI</v>
      </c>
      <c r="H3439" s="75">
        <v>51611</v>
      </c>
      <c r="I3439" s="76" t="str">
        <f>VLOOKUP(Tabelle2[[#This Row],[Artikel]],Produkte!A:B,2,0)</f>
        <v>universal akryl</v>
      </c>
      <c r="J3439" s="75">
        <v>12</v>
      </c>
      <c r="K3439" s="76" t="str">
        <f>VLOOKUP(Tabelle2[[#This Row],[Kunden Nr.]],KUNDEN!A:G,7)</f>
        <v>Mensuri</v>
      </c>
      <c r="L3439" s="76">
        <f>VLOOKUP(Tabelle2[[#This Row],[Artikel]],Produkte!A:H,8)</f>
        <v>0.06</v>
      </c>
    </row>
    <row r="3440" spans="1:12" x14ac:dyDescent="0.2">
      <c r="A3440" s="75" t="s">
        <v>963</v>
      </c>
      <c r="B3440" s="79">
        <v>46154</v>
      </c>
      <c r="C3440" s="75"/>
      <c r="D3440" s="75"/>
      <c r="E3440" s="75"/>
      <c r="F3440" s="75">
        <v>20201</v>
      </c>
      <c r="G3440" s="76" t="str">
        <f>VLOOKUP(Tabelle2[[#This Row],[Kunden Nr.]],KUNDEN!A:B,2,0)</f>
        <v>TE BESIMI</v>
      </c>
      <c r="H3440" s="75">
        <v>56117</v>
      </c>
      <c r="I3440" s="76" t="str">
        <f>VLOOKUP(Tabelle2[[#This Row],[Artikel]],Produkte!A:B,2,0)</f>
        <v>M ONE UBS</v>
      </c>
      <c r="J3440" s="75">
        <v>4</v>
      </c>
      <c r="K3440" s="76" t="str">
        <f>VLOOKUP(Tabelle2[[#This Row],[Kunden Nr.]],KUNDEN!A:G,7)</f>
        <v>Mensuri</v>
      </c>
      <c r="L3440" s="76">
        <f>VLOOKUP(Tabelle2[[#This Row],[Artikel]],Produkte!A:H,8)</f>
        <v>0.2</v>
      </c>
    </row>
    <row r="3441" spans="1:12" x14ac:dyDescent="0.2">
      <c r="A3441" s="75" t="s">
        <v>963</v>
      </c>
      <c r="B3441" s="79">
        <v>46154</v>
      </c>
      <c r="C3441" s="75"/>
      <c r="D3441" s="75"/>
      <c r="E3441" s="75"/>
      <c r="F3441" s="75">
        <v>20201</v>
      </c>
      <c r="G3441" s="76" t="str">
        <f>VLOOKUP(Tabelle2[[#This Row],[Kunden Nr.]],KUNDEN!A:B,2,0)</f>
        <v>TE BESIMI</v>
      </c>
      <c r="H3441" s="75">
        <v>54412</v>
      </c>
      <c r="I3441" s="76" t="str">
        <f>VLOOKUP(Tabelle2[[#This Row],[Artikel]],Produkte!A:B,2,0)</f>
        <v>beMAKER Bremsen&amp;Teile Reininger</v>
      </c>
      <c r="J3441" s="75">
        <v>3</v>
      </c>
      <c r="K3441" s="76" t="str">
        <f>VLOOKUP(Tabelle2[[#This Row],[Kunden Nr.]],KUNDEN!A:G,7)</f>
        <v>Mensuri</v>
      </c>
      <c r="L3441" s="76">
        <f>VLOOKUP(Tabelle2[[#This Row],[Artikel]],Produkte!A:H,8)</f>
        <v>0.2</v>
      </c>
    </row>
    <row r="3442" spans="1:12" x14ac:dyDescent="0.2">
      <c r="A3442" s="75" t="s">
        <v>963</v>
      </c>
      <c r="B3442" s="79">
        <v>46154</v>
      </c>
      <c r="C3442" s="75"/>
      <c r="D3442" s="75"/>
      <c r="E3442" s="75"/>
      <c r="F3442" s="75">
        <v>20201</v>
      </c>
      <c r="G3442" s="76" t="str">
        <f>VLOOKUP(Tabelle2[[#This Row],[Kunden Nr.]],KUNDEN!A:B,2,0)</f>
        <v>TE BESIMI</v>
      </c>
      <c r="H3442" s="75">
        <v>51612</v>
      </c>
      <c r="I3442" s="76" t="str">
        <f>VLOOKUP(Tabelle2[[#This Row],[Artikel]],Produkte!A:B,2,0)</f>
        <v>struktural akryl</v>
      </c>
      <c r="J3442" s="75">
        <v>12</v>
      </c>
      <c r="K3442" s="76" t="str">
        <f>VLOOKUP(Tabelle2[[#This Row],[Kunden Nr.]],KUNDEN!A:G,7)</f>
        <v>Mensuri</v>
      </c>
      <c r="L3442" s="76">
        <f>VLOOKUP(Tabelle2[[#This Row],[Artikel]],Produkte!A:H,8)</f>
        <v>0.06</v>
      </c>
    </row>
    <row r="3443" spans="1:12" x14ac:dyDescent="0.2">
      <c r="A3443" s="75" t="s">
        <v>43</v>
      </c>
      <c r="B3443" s="79">
        <v>46155</v>
      </c>
      <c r="C3443" s="89">
        <v>96</v>
      </c>
      <c r="D3443" s="75"/>
      <c r="E3443" s="75"/>
      <c r="F3443" s="75">
        <v>10332</v>
      </c>
      <c r="G3443" s="76" t="str">
        <f>VLOOKUP(Tabelle2[[#This Row],[Kunden Nr.]],KUNDEN!A:B,2,0)</f>
        <v>DARDANIA</v>
      </c>
      <c r="H3443" s="75">
        <v>35114</v>
      </c>
      <c r="I3443" s="76" t="str">
        <f>VLOOKUP(Tabelle2[[#This Row],[Artikel]],Produkte!A:B,2,0)</f>
        <v>M-ONE Sanitar Silikon</v>
      </c>
      <c r="J3443" s="75">
        <v>12</v>
      </c>
      <c r="K3443" s="76" t="str">
        <f>VLOOKUP(Tabelle2[[#This Row],[Kunden Nr.]],KUNDEN!A:G,7)</f>
        <v>Qerimi</v>
      </c>
      <c r="L3443" s="76">
        <f>VLOOKUP(Tabelle2[[#This Row],[Artikel]],Produkte!A:H,8)</f>
        <v>0.17</v>
      </c>
    </row>
    <row r="3444" spans="1:12" x14ac:dyDescent="0.2">
      <c r="A3444" s="75" t="s">
        <v>43</v>
      </c>
      <c r="B3444" s="79">
        <v>46155</v>
      </c>
      <c r="C3444" s="75"/>
      <c r="D3444" s="75"/>
      <c r="E3444" s="75"/>
      <c r="F3444" s="75">
        <v>10332</v>
      </c>
      <c r="G3444" s="76" t="str">
        <f>VLOOKUP(Tabelle2[[#This Row],[Kunden Nr.]],KUNDEN!A:B,2,0)</f>
        <v>DARDANIA</v>
      </c>
      <c r="H3444" s="75">
        <v>35115</v>
      </c>
      <c r="I3444" s="76" t="str">
        <f>VLOOKUP(Tabelle2[[#This Row],[Artikel]],Produkte!A:B,2,0)</f>
        <v>M-ONE Sanitar Silikon</v>
      </c>
      <c r="J3444" s="75">
        <v>12</v>
      </c>
      <c r="K3444" s="76" t="str">
        <f>VLOOKUP(Tabelle2[[#This Row],[Kunden Nr.]],KUNDEN!A:G,7)</f>
        <v>Qerimi</v>
      </c>
      <c r="L3444" s="76">
        <f>VLOOKUP(Tabelle2[[#This Row],[Artikel]],Produkte!A:H,8)</f>
        <v>0.17</v>
      </c>
    </row>
    <row r="3445" spans="1:12" x14ac:dyDescent="0.2">
      <c r="A3445" s="75" t="s">
        <v>22</v>
      </c>
      <c r="B3445" s="79">
        <v>46155</v>
      </c>
      <c r="C3445" s="89">
        <v>86.4</v>
      </c>
      <c r="D3445" s="75"/>
      <c r="E3445" s="75"/>
      <c r="F3445" s="75">
        <v>10315</v>
      </c>
      <c r="G3445" s="76" t="str">
        <f>VLOOKUP(Tabelle2[[#This Row],[Kunden Nr.]],KUNDEN!A:B,2,0)</f>
        <v>BASHKIMI</v>
      </c>
      <c r="H3445" s="75">
        <v>50912</v>
      </c>
      <c r="I3445" s="76" t="str">
        <f>VLOOKUP(Tabelle2[[#This Row],[Artikel]],Produkte!A:B,2,0)</f>
        <v>DICHTUNG</v>
      </c>
      <c r="J3445" s="75">
        <v>12</v>
      </c>
      <c r="K3445" s="76" t="str">
        <f>VLOOKUP(Tabelle2[[#This Row],[Kunden Nr.]],KUNDEN!A:G,7)</f>
        <v>Qerimi</v>
      </c>
      <c r="L3445" s="76">
        <f>VLOOKUP(Tabelle2[[#This Row],[Artikel]],Produkte!A:H,8)</f>
        <v>0.2</v>
      </c>
    </row>
    <row r="3446" spans="1:12" x14ac:dyDescent="0.2">
      <c r="A3446" s="75" t="s">
        <v>413</v>
      </c>
      <c r="B3446" s="79">
        <v>46155</v>
      </c>
      <c r="C3446" s="89">
        <v>288</v>
      </c>
      <c r="D3446" s="75"/>
      <c r="E3446" s="75"/>
      <c r="F3446" s="75">
        <v>10350</v>
      </c>
      <c r="G3446" s="76" t="str">
        <f>VLOOKUP(Tabelle2[[#This Row],[Kunden Nr.]],KUNDEN!A:B,2,0)</f>
        <v>BALLKANI</v>
      </c>
      <c r="H3446" s="75">
        <v>35121</v>
      </c>
      <c r="I3446" s="76" t="str">
        <f>VLOOKUP(Tabelle2[[#This Row],[Artikel]],Produkte!A:B,2,0)</f>
        <v>M-ONE Sanitar Silikon</v>
      </c>
      <c r="J3446" s="75">
        <v>48</v>
      </c>
      <c r="K3446" s="76" t="str">
        <f>VLOOKUP(Tabelle2[[#This Row],[Kunden Nr.]],KUNDEN!A:G,7)</f>
        <v>Qerimi</v>
      </c>
      <c r="L3446" s="76">
        <f>VLOOKUP(Tabelle2[[#This Row],[Artikel]],Produkte!A:H,8)</f>
        <v>0.17</v>
      </c>
    </row>
    <row r="3447" spans="1:12" x14ac:dyDescent="0.2">
      <c r="A3447" s="75" t="s">
        <v>413</v>
      </c>
      <c r="B3447" s="79">
        <v>46155</v>
      </c>
      <c r="C3447" s="75"/>
      <c r="D3447" s="75"/>
      <c r="E3447" s="75"/>
      <c r="F3447" s="75">
        <v>10350</v>
      </c>
      <c r="G3447" s="76" t="str">
        <f>VLOOKUP(Tabelle2[[#This Row],[Kunden Nr.]],KUNDEN!A:B,2,0)</f>
        <v>BALLKANI</v>
      </c>
      <c r="H3447" s="75">
        <v>35113</v>
      </c>
      <c r="I3447" s="76" t="str">
        <f>VLOOKUP(Tabelle2[[#This Row],[Artikel]],Produkte!A:B,2,0)</f>
        <v>M-ONE Sanitar Silikon</v>
      </c>
      <c r="J3447" s="75">
        <v>12</v>
      </c>
      <c r="K3447" s="76" t="str">
        <f>VLOOKUP(Tabelle2[[#This Row],[Kunden Nr.]],KUNDEN!A:G,7)</f>
        <v>Qerimi</v>
      </c>
      <c r="L3447" s="76">
        <f>VLOOKUP(Tabelle2[[#This Row],[Artikel]],Produkte!A:H,8)</f>
        <v>0.17</v>
      </c>
    </row>
    <row r="3448" spans="1:12" x14ac:dyDescent="0.2">
      <c r="A3448" s="75" t="s">
        <v>413</v>
      </c>
      <c r="B3448" s="79">
        <v>46155</v>
      </c>
      <c r="C3448" s="75"/>
      <c r="D3448" s="75"/>
      <c r="E3448" s="75"/>
      <c r="F3448" s="75">
        <v>10350</v>
      </c>
      <c r="G3448" s="76" t="str">
        <f>VLOOKUP(Tabelle2[[#This Row],[Kunden Nr.]],KUNDEN!A:B,2,0)</f>
        <v>BALLKANI</v>
      </c>
      <c r="H3448" s="75">
        <v>35119</v>
      </c>
      <c r="I3448" s="76" t="str">
        <f>VLOOKUP(Tabelle2[[#This Row],[Artikel]],Produkte!A:B,2,0)</f>
        <v>M-ONE Sanitar Silikon</v>
      </c>
      <c r="J3448" s="75">
        <v>12</v>
      </c>
      <c r="K3448" s="76" t="str">
        <f>VLOOKUP(Tabelle2[[#This Row],[Kunden Nr.]],KUNDEN!A:G,7)</f>
        <v>Qerimi</v>
      </c>
      <c r="L3448" s="76">
        <f>VLOOKUP(Tabelle2[[#This Row],[Artikel]],Produkte!A:H,8)</f>
        <v>0.17</v>
      </c>
    </row>
    <row r="3449" spans="1:12" x14ac:dyDescent="0.2">
      <c r="A3449" s="75" t="s">
        <v>41</v>
      </c>
      <c r="B3449" s="79">
        <v>46155</v>
      </c>
      <c r="C3449" s="89">
        <v>144</v>
      </c>
      <c r="D3449" s="75"/>
      <c r="E3449" s="75"/>
      <c r="F3449" s="75">
        <v>10330</v>
      </c>
      <c r="G3449" s="76" t="str">
        <f>VLOOKUP(Tabelle2[[#This Row],[Kunden Nr.]],KUNDEN!A:B,2,0)</f>
        <v>BURIMI</v>
      </c>
      <c r="H3449" s="75">
        <v>35112</v>
      </c>
      <c r="I3449" s="76" t="str">
        <f>VLOOKUP(Tabelle2[[#This Row],[Artikel]],Produkte!A:B,2,0)</f>
        <v>M-ONE Sanitar Silikon</v>
      </c>
      <c r="J3449" s="75">
        <v>12</v>
      </c>
      <c r="K3449" s="76" t="str">
        <f>VLOOKUP(Tabelle2[[#This Row],[Kunden Nr.]],KUNDEN!A:G,7)</f>
        <v>Qerimi</v>
      </c>
      <c r="L3449" s="76">
        <f>VLOOKUP(Tabelle2[[#This Row],[Artikel]],Produkte!A:H,8)</f>
        <v>0.17</v>
      </c>
    </row>
    <row r="3450" spans="1:12" x14ac:dyDescent="0.2">
      <c r="A3450" s="75" t="s">
        <v>41</v>
      </c>
      <c r="B3450" s="79">
        <v>46155</v>
      </c>
      <c r="C3450" s="75"/>
      <c r="D3450" s="75"/>
      <c r="E3450" s="75"/>
      <c r="F3450" s="75">
        <v>10330</v>
      </c>
      <c r="G3450" s="76" t="str">
        <f>VLOOKUP(Tabelle2[[#This Row],[Kunden Nr.]],KUNDEN!A:B,2,0)</f>
        <v>BURIMI</v>
      </c>
      <c r="H3450" s="75">
        <v>35113</v>
      </c>
      <c r="I3450" s="76" t="str">
        <f>VLOOKUP(Tabelle2[[#This Row],[Artikel]],Produkte!A:B,2,0)</f>
        <v>M-ONE Sanitar Silikon</v>
      </c>
      <c r="J3450" s="75">
        <v>12</v>
      </c>
      <c r="K3450" s="76" t="str">
        <f>VLOOKUP(Tabelle2[[#This Row],[Kunden Nr.]],KUNDEN!A:G,7)</f>
        <v>Qerimi</v>
      </c>
      <c r="L3450" s="76">
        <f>VLOOKUP(Tabelle2[[#This Row],[Artikel]],Produkte!A:H,8)</f>
        <v>0.17</v>
      </c>
    </row>
    <row r="3451" spans="1:12" x14ac:dyDescent="0.2">
      <c r="A3451" s="75" t="s">
        <v>41</v>
      </c>
      <c r="B3451" s="79">
        <v>46155</v>
      </c>
      <c r="C3451" s="75"/>
      <c r="D3451" s="75"/>
      <c r="E3451" s="75"/>
      <c r="F3451" s="75">
        <v>10330</v>
      </c>
      <c r="G3451" s="76" t="str">
        <f>VLOOKUP(Tabelle2[[#This Row],[Kunden Nr.]],KUNDEN!A:B,2,0)</f>
        <v>BURIMI</v>
      </c>
      <c r="H3451" s="75">
        <v>35121</v>
      </c>
      <c r="I3451" s="76" t="str">
        <f>VLOOKUP(Tabelle2[[#This Row],[Artikel]],Produkte!A:B,2,0)</f>
        <v>M-ONE Sanitar Silikon</v>
      </c>
      <c r="J3451" s="75">
        <v>12</v>
      </c>
      <c r="K3451" s="76" t="str">
        <f>VLOOKUP(Tabelle2[[#This Row],[Kunden Nr.]],KUNDEN!A:G,7)</f>
        <v>Qerimi</v>
      </c>
      <c r="L3451" s="76">
        <f>VLOOKUP(Tabelle2[[#This Row],[Artikel]],Produkte!A:H,8)</f>
        <v>0.17</v>
      </c>
    </row>
    <row r="3452" spans="1:12" x14ac:dyDescent="0.2">
      <c r="A3452" s="75" t="s">
        <v>1173</v>
      </c>
      <c r="B3452" s="79">
        <v>46155</v>
      </c>
      <c r="C3452" s="89">
        <v>46.2</v>
      </c>
      <c r="D3452" s="75"/>
      <c r="E3452" s="75"/>
      <c r="F3452" s="75">
        <v>10346</v>
      </c>
      <c r="G3452" s="76" t="str">
        <f>VLOOKUP(Tabelle2[[#This Row],[Kunden Nr.]],KUNDEN!A:B,2,0)</f>
        <v>AME</v>
      </c>
      <c r="H3452" s="75">
        <v>35109</v>
      </c>
      <c r="I3452" s="76" t="str">
        <f>VLOOKUP(Tabelle2[[#This Row],[Artikel]],Produkte!A:B,2,0)</f>
        <v>M-ONE Sanitar Silikon</v>
      </c>
      <c r="J3452" s="75">
        <v>12</v>
      </c>
      <c r="K3452" s="76" t="str">
        <f>VLOOKUP(Tabelle2[[#This Row],[Kunden Nr.]],KUNDEN!A:G,7)</f>
        <v>Qerimi</v>
      </c>
      <c r="L3452" s="76">
        <f>VLOOKUP(Tabelle2[[#This Row],[Artikel]],Produkte!A:H,8)</f>
        <v>0.17</v>
      </c>
    </row>
    <row r="3453" spans="1:12" x14ac:dyDescent="0.2">
      <c r="A3453" s="75" t="s">
        <v>34</v>
      </c>
      <c r="B3453" s="79">
        <v>46155</v>
      </c>
      <c r="C3453" s="89">
        <v>63</v>
      </c>
      <c r="D3453" s="75"/>
      <c r="E3453" s="75"/>
      <c r="F3453" s="75">
        <v>10325</v>
      </c>
      <c r="G3453" s="76" t="str">
        <f>VLOOKUP(Tabelle2[[#This Row],[Kunden Nr.]],KUNDEN!A:B,2,0)</f>
        <v>PARKETI</v>
      </c>
      <c r="H3453" s="75">
        <v>35125</v>
      </c>
      <c r="I3453" s="76" t="str">
        <f>VLOOKUP(Tabelle2[[#This Row],[Artikel]],Produkte!A:B,2,0)</f>
        <v>M-ONE Sanitar Silikon</v>
      </c>
      <c r="J3453" s="75">
        <v>12</v>
      </c>
      <c r="K3453" s="76" t="str">
        <f>VLOOKUP(Tabelle2[[#This Row],[Kunden Nr.]],KUNDEN!A:G,7)</f>
        <v>Qerimi</v>
      </c>
      <c r="L3453" s="76">
        <f>VLOOKUP(Tabelle2[[#This Row],[Artikel]],Produkte!A:H,8)</f>
        <v>0.17</v>
      </c>
    </row>
    <row r="3454" spans="1:12" x14ac:dyDescent="0.2">
      <c r="A3454" s="75" t="s">
        <v>34</v>
      </c>
      <c r="B3454" s="79">
        <v>46155</v>
      </c>
      <c r="C3454" s="75"/>
      <c r="D3454" s="75"/>
      <c r="E3454" s="75"/>
      <c r="F3454" s="75">
        <v>10325</v>
      </c>
      <c r="G3454" s="76" t="str">
        <f>VLOOKUP(Tabelle2[[#This Row],[Kunden Nr.]],KUNDEN!A:B,2,0)</f>
        <v>PARKETI</v>
      </c>
      <c r="H3454" s="75">
        <v>51611</v>
      </c>
      <c r="I3454" s="76" t="str">
        <f>VLOOKUP(Tabelle2[[#This Row],[Artikel]],Produkte!A:B,2,0)</f>
        <v>universal akryl</v>
      </c>
      <c r="J3454" s="75">
        <v>12</v>
      </c>
      <c r="K3454" s="76" t="str">
        <f>VLOOKUP(Tabelle2[[#This Row],[Kunden Nr.]],KUNDEN!A:G,7)</f>
        <v>Qerimi</v>
      </c>
      <c r="L3454" s="76">
        <f>VLOOKUP(Tabelle2[[#This Row],[Artikel]],Produkte!A:H,8)</f>
        <v>0.06</v>
      </c>
    </row>
    <row r="3455" spans="1:12" x14ac:dyDescent="0.2">
      <c r="A3455" s="75" t="s">
        <v>1253</v>
      </c>
      <c r="B3455" s="79">
        <v>46155</v>
      </c>
      <c r="C3455" s="89">
        <v>111</v>
      </c>
      <c r="D3455" s="75"/>
      <c r="E3455" s="75"/>
      <c r="F3455" s="75">
        <v>10360</v>
      </c>
      <c r="G3455" s="76" t="e">
        <f>VLOOKUP(Tabelle2[[#This Row],[Kunden Nr.]],KUNDEN!A:B,2,0)</f>
        <v>#N/A</v>
      </c>
      <c r="H3455" s="75">
        <v>35115</v>
      </c>
      <c r="I3455" s="76" t="str">
        <f>VLOOKUP(Tabelle2[[#This Row],[Artikel]],Produkte!A:B,2,0)</f>
        <v>M-ONE Sanitar Silikon</v>
      </c>
      <c r="J3455" s="75">
        <v>12</v>
      </c>
      <c r="K3455" s="76" t="str">
        <f>VLOOKUP(Tabelle2[[#This Row],[Kunden Nr.]],KUNDEN!A:G,7)</f>
        <v>Qerimi</v>
      </c>
      <c r="L3455" s="76">
        <f>VLOOKUP(Tabelle2[[#This Row],[Artikel]],Produkte!A:H,8)</f>
        <v>0.17</v>
      </c>
    </row>
    <row r="3456" spans="1:12" x14ac:dyDescent="0.2">
      <c r="A3456" s="75" t="s">
        <v>1253</v>
      </c>
      <c r="B3456" s="79">
        <v>46155</v>
      </c>
      <c r="C3456" s="75"/>
      <c r="D3456" s="75"/>
      <c r="E3456" s="75"/>
      <c r="F3456" s="75">
        <v>10360</v>
      </c>
      <c r="G3456" s="76" t="e">
        <f>VLOOKUP(Tabelle2[[#This Row],[Kunden Nr.]],KUNDEN!A:B,2,0)</f>
        <v>#N/A</v>
      </c>
      <c r="H3456" s="75">
        <v>35119</v>
      </c>
      <c r="I3456" s="76" t="str">
        <f>VLOOKUP(Tabelle2[[#This Row],[Artikel]],Produkte!A:B,2,0)</f>
        <v>M-ONE Sanitar Silikon</v>
      </c>
      <c r="J3456" s="75">
        <v>12</v>
      </c>
      <c r="K3456" s="76" t="str">
        <f>VLOOKUP(Tabelle2[[#This Row],[Kunden Nr.]],KUNDEN!A:G,7)</f>
        <v>Qerimi</v>
      </c>
      <c r="L3456" s="76">
        <f>VLOOKUP(Tabelle2[[#This Row],[Artikel]],Produkte!A:H,8)</f>
        <v>0.17</v>
      </c>
    </row>
    <row r="3457" spans="1:12" x14ac:dyDescent="0.2">
      <c r="A3457" s="75" t="s">
        <v>1253</v>
      </c>
      <c r="B3457" s="79">
        <v>46155</v>
      </c>
      <c r="C3457" s="75"/>
      <c r="D3457" s="75"/>
      <c r="E3457" s="75"/>
      <c r="F3457" s="75">
        <v>10360</v>
      </c>
      <c r="G3457" s="76" t="e">
        <f>VLOOKUP(Tabelle2[[#This Row],[Kunden Nr.]],KUNDEN!A:B,2,0)</f>
        <v>#N/A</v>
      </c>
      <c r="H3457" s="75">
        <v>51611</v>
      </c>
      <c r="I3457" s="76" t="str">
        <f>VLOOKUP(Tabelle2[[#This Row],[Artikel]],Produkte!A:B,2,0)</f>
        <v>universal akryl</v>
      </c>
      <c r="J3457" s="75">
        <v>12</v>
      </c>
      <c r="K3457" s="76" t="str">
        <f>VLOOKUP(Tabelle2[[#This Row],[Kunden Nr.]],KUNDEN!A:G,7)</f>
        <v>Qerimi</v>
      </c>
      <c r="L3457" s="76">
        <f>VLOOKUP(Tabelle2[[#This Row],[Artikel]],Produkte!A:H,8)</f>
        <v>0.06</v>
      </c>
    </row>
    <row r="3458" spans="1:12" x14ac:dyDescent="0.2">
      <c r="A3458" s="75" t="s">
        <v>1316</v>
      </c>
      <c r="B3458" s="79">
        <v>46155</v>
      </c>
      <c r="C3458" s="89">
        <v>48</v>
      </c>
      <c r="D3458" s="75"/>
      <c r="E3458" s="75"/>
      <c r="F3458" s="75">
        <v>10367</v>
      </c>
      <c r="G3458" s="76" t="str">
        <f>VLOOKUP(Tabelle2[[#This Row],[Kunden Nr.]],KUNDEN!A:B,2,0)</f>
        <v>SMIRA COLOR</v>
      </c>
      <c r="H3458" s="75">
        <v>35113</v>
      </c>
      <c r="I3458" s="76" t="str">
        <f>VLOOKUP(Tabelle2[[#This Row],[Artikel]],Produkte!A:B,2,0)</f>
        <v>M-ONE Sanitar Silikon</v>
      </c>
      <c r="J3458" s="75">
        <v>12</v>
      </c>
      <c r="K3458" s="76" t="str">
        <f>VLOOKUP(Tabelle2[[#This Row],[Kunden Nr.]],KUNDEN!A:G,7)</f>
        <v>Qerimi</v>
      </c>
      <c r="L3458" s="76">
        <f>VLOOKUP(Tabelle2[[#This Row],[Artikel]],Produkte!A:H,8)</f>
        <v>0.17</v>
      </c>
    </row>
    <row r="3459" spans="1:12" x14ac:dyDescent="0.2">
      <c r="A3459" s="75" t="s">
        <v>1153</v>
      </c>
      <c r="B3459" s="79">
        <v>46155</v>
      </c>
      <c r="C3459" s="89">
        <v>144</v>
      </c>
      <c r="D3459" s="75"/>
      <c r="E3459" s="75"/>
      <c r="F3459" s="75">
        <v>10340</v>
      </c>
      <c r="G3459" s="76" t="str">
        <f>VLOOKUP(Tabelle2[[#This Row],[Kunden Nr.]],KUNDEN!A:B,2,0)</f>
        <v>IBAK</v>
      </c>
      <c r="H3459" s="75">
        <v>35121</v>
      </c>
      <c r="I3459" s="76" t="str">
        <f>VLOOKUP(Tabelle2[[#This Row],[Artikel]],Produkte!A:B,2,0)</f>
        <v>M-ONE Sanitar Silikon</v>
      </c>
      <c r="J3459" s="75">
        <v>36</v>
      </c>
      <c r="K3459" s="76" t="str">
        <f>VLOOKUP(Tabelle2[[#This Row],[Kunden Nr.]],KUNDEN!A:G,7)</f>
        <v>Qerimi</v>
      </c>
      <c r="L3459" s="76">
        <f>VLOOKUP(Tabelle2[[#This Row],[Artikel]],Produkte!A:H,8)</f>
        <v>0.17</v>
      </c>
    </row>
    <row r="3460" spans="1:12" x14ac:dyDescent="0.2">
      <c r="A3460" s="75" t="s">
        <v>30</v>
      </c>
      <c r="B3460" s="79">
        <v>46155</v>
      </c>
      <c r="C3460" s="89">
        <v>86.4</v>
      </c>
      <c r="D3460" s="75"/>
      <c r="E3460" s="75"/>
      <c r="F3460" s="75">
        <v>10323</v>
      </c>
      <c r="G3460" s="76" t="str">
        <f>VLOOKUP(Tabelle2[[#This Row],[Kunden Nr.]],KUNDEN!A:B,2,0)</f>
        <v>BEKA-3</v>
      </c>
      <c r="H3460" s="75">
        <v>50912</v>
      </c>
      <c r="I3460" s="76" t="str">
        <f>VLOOKUP(Tabelle2[[#This Row],[Artikel]],Produkte!A:B,2,0)</f>
        <v>DICHTUNG</v>
      </c>
      <c r="J3460" s="75">
        <v>12</v>
      </c>
      <c r="K3460" s="76" t="str">
        <f>VLOOKUP(Tabelle2[[#This Row],[Kunden Nr.]],KUNDEN!A:G,7)</f>
        <v>Qerimi</v>
      </c>
      <c r="L3460" s="76">
        <f>VLOOKUP(Tabelle2[[#This Row],[Artikel]],Produkte!A:H,8)</f>
        <v>0.2</v>
      </c>
    </row>
    <row r="3461" spans="1:12" x14ac:dyDescent="0.2">
      <c r="A3461" s="75" t="s">
        <v>995</v>
      </c>
      <c r="B3461" s="79">
        <v>46155</v>
      </c>
      <c r="C3461" s="89">
        <v>96</v>
      </c>
      <c r="D3461" s="75"/>
      <c r="E3461" s="75"/>
      <c r="F3461" s="75">
        <v>10353</v>
      </c>
      <c r="G3461" s="76" t="str">
        <f>VLOOKUP(Tabelle2[[#This Row],[Kunden Nr.]],KUNDEN!A:B,2,0)</f>
        <v>TREND CERAMIKA</v>
      </c>
      <c r="H3461" s="75">
        <v>35109</v>
      </c>
      <c r="I3461" s="76" t="str">
        <f>VLOOKUP(Tabelle2[[#This Row],[Artikel]],Produkte!A:B,2,0)</f>
        <v>M-ONE Sanitar Silikon</v>
      </c>
      <c r="J3461" s="75">
        <v>24</v>
      </c>
      <c r="K3461" s="76" t="str">
        <f>VLOOKUP(Tabelle2[[#This Row],[Kunden Nr.]],KUNDEN!A:G,7)</f>
        <v>Qerimi</v>
      </c>
      <c r="L3461" s="76">
        <f>VLOOKUP(Tabelle2[[#This Row],[Artikel]],Produkte!A:H,8)</f>
        <v>0.17</v>
      </c>
    </row>
    <row r="3462" spans="1:12" x14ac:dyDescent="0.2">
      <c r="A3462" s="75" t="s">
        <v>614</v>
      </c>
      <c r="B3462" s="79">
        <v>46155</v>
      </c>
      <c r="C3462" s="89">
        <v>96</v>
      </c>
      <c r="D3462" s="75"/>
      <c r="E3462" s="75"/>
      <c r="F3462" s="75">
        <v>20301</v>
      </c>
      <c r="G3462" s="76" t="str">
        <f>VLOOKUP(Tabelle2[[#This Row],[Kunden Nr.]],KUNDEN!A:B,2,0)</f>
        <v>HAZROLLI</v>
      </c>
      <c r="H3462" s="75">
        <v>35128</v>
      </c>
      <c r="I3462" s="76" t="str">
        <f>VLOOKUP(Tabelle2[[#This Row],[Artikel]],Produkte!A:B,2,0)</f>
        <v>M-ONE Sanitar Silikon</v>
      </c>
      <c r="J3462" s="75">
        <v>24</v>
      </c>
      <c r="K3462" s="76" t="str">
        <f>VLOOKUP(Tabelle2[[#This Row],[Kunden Nr.]],KUNDEN!A:G,7)</f>
        <v>Mensuri</v>
      </c>
      <c r="L3462" s="76">
        <f>VLOOKUP(Tabelle2[[#This Row],[Artikel]],Produkte!A:H,8)</f>
        <v>0.17</v>
      </c>
    </row>
    <row r="3463" spans="1:12" x14ac:dyDescent="0.2">
      <c r="A3463" s="75" t="s">
        <v>618</v>
      </c>
      <c r="B3463" s="79">
        <v>46155</v>
      </c>
      <c r="C3463" s="89">
        <v>325.8</v>
      </c>
      <c r="D3463" s="75"/>
      <c r="E3463" s="75"/>
      <c r="F3463" s="75">
        <v>20307</v>
      </c>
      <c r="G3463" s="76" t="str">
        <f>VLOOKUP(Tabelle2[[#This Row],[Kunden Nr.]],KUNDEN!A:B,2,0)</f>
        <v>CONDOR</v>
      </c>
      <c r="H3463" s="75">
        <v>35110</v>
      </c>
      <c r="I3463" s="76" t="str">
        <f>VLOOKUP(Tabelle2[[#This Row],[Artikel]],Produkte!A:B,2,0)</f>
        <v>M-ONE Sanitar Silikon</v>
      </c>
      <c r="J3463" s="75">
        <v>12</v>
      </c>
      <c r="K3463" s="76" t="str">
        <f>VLOOKUP(Tabelle2[[#This Row],[Kunden Nr.]],KUNDEN!A:G,7)</f>
        <v>Mensuri</v>
      </c>
      <c r="L3463" s="76">
        <f>VLOOKUP(Tabelle2[[#This Row],[Artikel]],Produkte!A:H,8)</f>
        <v>0.17</v>
      </c>
    </row>
    <row r="3464" spans="1:12" x14ac:dyDescent="0.2">
      <c r="A3464" s="75" t="s">
        <v>618</v>
      </c>
      <c r="B3464" s="79">
        <v>46155</v>
      </c>
      <c r="C3464" s="75"/>
      <c r="D3464" s="75"/>
      <c r="E3464" s="75"/>
      <c r="F3464" s="75">
        <v>20307</v>
      </c>
      <c r="G3464" s="76" t="str">
        <f>VLOOKUP(Tabelle2[[#This Row],[Kunden Nr.]],KUNDEN!A:B,2,0)</f>
        <v>CONDOR</v>
      </c>
      <c r="H3464" s="75">
        <v>35111</v>
      </c>
      <c r="I3464" s="76" t="str">
        <f>VLOOKUP(Tabelle2[[#This Row],[Artikel]],Produkte!A:B,2,0)</f>
        <v>M-ONE Sanitar Silikon</v>
      </c>
      <c r="J3464" s="75">
        <v>12</v>
      </c>
      <c r="K3464" s="76" t="str">
        <f>VLOOKUP(Tabelle2[[#This Row],[Kunden Nr.]],KUNDEN!A:G,7)</f>
        <v>Mensuri</v>
      </c>
      <c r="L3464" s="76">
        <f>VLOOKUP(Tabelle2[[#This Row],[Artikel]],Produkte!A:H,8)</f>
        <v>0.17</v>
      </c>
    </row>
    <row r="3465" spans="1:12" x14ac:dyDescent="0.2">
      <c r="A3465" s="75" t="s">
        <v>618</v>
      </c>
      <c r="B3465" s="79">
        <v>46155</v>
      </c>
      <c r="C3465" s="75"/>
      <c r="D3465" s="75"/>
      <c r="E3465" s="75"/>
      <c r="F3465" s="75">
        <v>20307</v>
      </c>
      <c r="G3465" s="76" t="str">
        <f>VLOOKUP(Tabelle2[[#This Row],[Kunden Nr.]],KUNDEN!A:B,2,0)</f>
        <v>CONDOR</v>
      </c>
      <c r="H3465" s="75">
        <v>35115</v>
      </c>
      <c r="I3465" s="76" t="str">
        <f>VLOOKUP(Tabelle2[[#This Row],[Artikel]],Produkte!A:B,2,0)</f>
        <v>M-ONE Sanitar Silikon</v>
      </c>
      <c r="J3465" s="75">
        <v>12</v>
      </c>
      <c r="K3465" s="76" t="str">
        <f>VLOOKUP(Tabelle2[[#This Row],[Kunden Nr.]],KUNDEN!A:G,7)</f>
        <v>Mensuri</v>
      </c>
      <c r="L3465" s="76">
        <f>VLOOKUP(Tabelle2[[#This Row],[Artikel]],Produkte!A:H,8)</f>
        <v>0.17</v>
      </c>
    </row>
    <row r="3466" spans="1:12" x14ac:dyDescent="0.2">
      <c r="A3466" s="75" t="s">
        <v>618</v>
      </c>
      <c r="B3466" s="79">
        <v>46155</v>
      </c>
      <c r="C3466" s="75"/>
      <c r="D3466" s="75"/>
      <c r="E3466" s="75"/>
      <c r="F3466" s="75">
        <v>20307</v>
      </c>
      <c r="G3466" s="76" t="str">
        <f>VLOOKUP(Tabelle2[[#This Row],[Kunden Nr.]],KUNDEN!A:B,2,0)</f>
        <v>CONDOR</v>
      </c>
      <c r="H3466" s="75">
        <v>35119</v>
      </c>
      <c r="I3466" s="76" t="str">
        <f>VLOOKUP(Tabelle2[[#This Row],[Artikel]],Produkte!A:B,2,0)</f>
        <v>M-ONE Sanitar Silikon</v>
      </c>
      <c r="J3466" s="75">
        <v>12</v>
      </c>
      <c r="K3466" s="76" t="str">
        <f>VLOOKUP(Tabelle2[[#This Row],[Kunden Nr.]],KUNDEN!A:G,7)</f>
        <v>Mensuri</v>
      </c>
      <c r="L3466" s="76">
        <f>VLOOKUP(Tabelle2[[#This Row],[Artikel]],Produkte!A:H,8)</f>
        <v>0.17</v>
      </c>
    </row>
    <row r="3467" spans="1:12" x14ac:dyDescent="0.2">
      <c r="A3467" s="75" t="s">
        <v>618</v>
      </c>
      <c r="B3467" s="79">
        <v>46155</v>
      </c>
      <c r="C3467" s="75"/>
      <c r="D3467" s="75"/>
      <c r="E3467" s="75"/>
      <c r="F3467" s="75">
        <v>20307</v>
      </c>
      <c r="G3467" s="76" t="str">
        <f>VLOOKUP(Tabelle2[[#This Row],[Kunden Nr.]],KUNDEN!A:B,2,0)</f>
        <v>CONDOR</v>
      </c>
      <c r="H3467" s="75">
        <v>51612</v>
      </c>
      <c r="I3467" s="76" t="str">
        <f>VLOOKUP(Tabelle2[[#This Row],[Artikel]],Produkte!A:B,2,0)</f>
        <v>struktural akryl</v>
      </c>
      <c r="J3467" s="75">
        <v>36</v>
      </c>
      <c r="K3467" s="76" t="str">
        <f>VLOOKUP(Tabelle2[[#This Row],[Kunden Nr.]],KUNDEN!A:G,7)</f>
        <v>Mensuri</v>
      </c>
      <c r="L3467" s="76">
        <f>VLOOKUP(Tabelle2[[#This Row],[Artikel]],Produkte!A:H,8)</f>
        <v>0.06</v>
      </c>
    </row>
    <row r="3468" spans="1:12" x14ac:dyDescent="0.2">
      <c r="A3468" s="75" t="s">
        <v>618</v>
      </c>
      <c r="B3468" s="79">
        <v>46155</v>
      </c>
      <c r="C3468" s="75"/>
      <c r="D3468" s="75"/>
      <c r="E3468" s="75"/>
      <c r="F3468" s="75">
        <v>20307</v>
      </c>
      <c r="G3468" s="76" t="str">
        <f>VLOOKUP(Tabelle2[[#This Row],[Kunden Nr.]],KUNDEN!A:B,2,0)</f>
        <v>CONDOR</v>
      </c>
      <c r="H3468" s="75">
        <v>51936</v>
      </c>
      <c r="I3468" s="76" t="str">
        <f>VLOOKUP(Tabelle2[[#This Row],[Artikel]],Produkte!A:B,2,0)</f>
        <v>M ONE SCHWARZ GLÄNZED</v>
      </c>
      <c r="J3468" s="75">
        <v>6</v>
      </c>
      <c r="K3468" s="76" t="str">
        <f>VLOOKUP(Tabelle2[[#This Row],[Kunden Nr.]],KUNDEN!A:G,7)</f>
        <v>Mensuri</v>
      </c>
      <c r="L3468" s="76">
        <f>VLOOKUP(Tabelle2[[#This Row],[Artikel]],Produkte!A:H,8)</f>
        <v>0.15</v>
      </c>
    </row>
    <row r="3469" spans="1:12" x14ac:dyDescent="0.2">
      <c r="A3469" s="75" t="s">
        <v>618</v>
      </c>
      <c r="B3469" s="79">
        <v>46155</v>
      </c>
      <c r="C3469" s="75"/>
      <c r="D3469" s="75"/>
      <c r="E3469" s="75"/>
      <c r="F3469" s="75">
        <v>20307</v>
      </c>
      <c r="G3469" s="76" t="str">
        <f>VLOOKUP(Tabelle2[[#This Row],[Kunden Nr.]],KUNDEN!A:B,2,0)</f>
        <v>CONDOR</v>
      </c>
      <c r="H3469" s="75">
        <v>31818</v>
      </c>
      <c r="I3469" s="76" t="str">
        <f>VLOOKUP(Tabelle2[[#This Row],[Artikel]],Produkte!A:B,2,0)</f>
        <v>M ONE ANTHRAZIT</v>
      </c>
      <c r="J3469" s="75">
        <v>6</v>
      </c>
      <c r="K3469" s="76" t="str">
        <f>VLOOKUP(Tabelle2[[#This Row],[Kunden Nr.]],KUNDEN!A:G,7)</f>
        <v>Mensuri</v>
      </c>
      <c r="L3469" s="76">
        <f>VLOOKUP(Tabelle2[[#This Row],[Artikel]],Produkte!A:H,8)</f>
        <v>0.15</v>
      </c>
    </row>
    <row r="3470" spans="1:12" x14ac:dyDescent="0.2">
      <c r="A3470" s="75" t="s">
        <v>618</v>
      </c>
      <c r="B3470" s="79">
        <v>46155</v>
      </c>
      <c r="C3470" s="75"/>
      <c r="D3470" s="75"/>
      <c r="E3470" s="75"/>
      <c r="F3470" s="75">
        <v>20307</v>
      </c>
      <c r="G3470" s="76" t="str">
        <f>VLOOKUP(Tabelle2[[#This Row],[Kunden Nr.]],KUNDEN!A:B,2,0)</f>
        <v>CONDOR</v>
      </c>
      <c r="H3470" s="75">
        <v>44001</v>
      </c>
      <c r="I3470" s="76" t="str">
        <f>VLOOKUP(Tabelle2[[#This Row],[Artikel]],Produkte!A:B,2,0)</f>
        <v>Fettspray</v>
      </c>
      <c r="J3470" s="75">
        <v>6</v>
      </c>
      <c r="K3470" s="76" t="str">
        <f>VLOOKUP(Tabelle2[[#This Row],[Kunden Nr.]],KUNDEN!A:G,7)</f>
        <v>Mensuri</v>
      </c>
      <c r="L3470" s="76">
        <f>VLOOKUP(Tabelle2[[#This Row],[Artikel]],Produkte!A:H,8)</f>
        <v>0.2</v>
      </c>
    </row>
    <row r="3471" spans="1:12" x14ac:dyDescent="0.2">
      <c r="A3471" s="75" t="s">
        <v>1307</v>
      </c>
      <c r="B3471" s="79">
        <v>46155</v>
      </c>
      <c r="C3471" s="89">
        <v>213.6</v>
      </c>
      <c r="D3471" s="75"/>
      <c r="E3471" s="75"/>
      <c r="F3471" s="75">
        <v>20321</v>
      </c>
      <c r="G3471" s="76" t="str">
        <f>VLOOKUP(Tabelle2[[#This Row],[Kunden Nr.]],KUNDEN!A:B,2,0)</f>
        <v>BEREQETI</v>
      </c>
      <c r="H3471" s="75">
        <v>51612</v>
      </c>
      <c r="I3471" s="76" t="str">
        <f>VLOOKUP(Tabelle2[[#This Row],[Artikel]],Produkte!A:B,2,0)</f>
        <v>struktural akryl</v>
      </c>
      <c r="J3471" s="75">
        <v>72</v>
      </c>
      <c r="K3471" s="76" t="str">
        <f>VLOOKUP(Tabelle2[[#This Row],[Kunden Nr.]],KUNDEN!A:G,7)</f>
        <v>Mensuri</v>
      </c>
      <c r="L3471" s="76">
        <f>VLOOKUP(Tabelle2[[#This Row],[Artikel]],Produkte!A:H,8)</f>
        <v>0.06</v>
      </c>
    </row>
    <row r="3472" spans="1:12" x14ac:dyDescent="0.2">
      <c r="A3472" s="75" t="s">
        <v>1307</v>
      </c>
      <c r="B3472" s="79">
        <v>46155</v>
      </c>
      <c r="C3472" s="75"/>
      <c r="D3472" s="75"/>
      <c r="E3472" s="75"/>
      <c r="F3472" s="75">
        <v>20321</v>
      </c>
      <c r="G3472" s="76" t="str">
        <f>VLOOKUP(Tabelle2[[#This Row],[Kunden Nr.]],KUNDEN!A:B,2,0)</f>
        <v>BEREQETI</v>
      </c>
      <c r="H3472" s="75">
        <v>35121</v>
      </c>
      <c r="I3472" s="76" t="str">
        <f>VLOOKUP(Tabelle2[[#This Row],[Artikel]],Produkte!A:B,2,0)</f>
        <v>M-ONE Sanitar Silikon</v>
      </c>
      <c r="J3472" s="75">
        <v>12</v>
      </c>
      <c r="K3472" s="76" t="str">
        <f>VLOOKUP(Tabelle2[[#This Row],[Kunden Nr.]],KUNDEN!A:G,7)</f>
        <v>Mensuri</v>
      </c>
      <c r="L3472" s="76">
        <f>VLOOKUP(Tabelle2[[#This Row],[Artikel]],Produkte!A:H,8)</f>
        <v>0.17</v>
      </c>
    </row>
    <row r="3473" spans="1:12" x14ac:dyDescent="0.2">
      <c r="A3473" s="75" t="s">
        <v>1252</v>
      </c>
      <c r="B3473" s="79">
        <v>46155</v>
      </c>
      <c r="C3473" s="89">
        <v>96</v>
      </c>
      <c r="D3473" s="75"/>
      <c r="E3473" s="75"/>
      <c r="F3473" s="75">
        <v>20331</v>
      </c>
      <c r="G3473" s="76" t="str">
        <f>VLOOKUP(Tabelle2[[#This Row],[Kunden Nr.]],KUNDEN!A:B,2,0)</f>
        <v>BARDHI-M</v>
      </c>
      <c r="H3473" s="75">
        <v>35111</v>
      </c>
      <c r="I3473" s="76" t="str">
        <f>VLOOKUP(Tabelle2[[#This Row],[Artikel]],Produkte!A:B,2,0)</f>
        <v>M-ONE Sanitar Silikon</v>
      </c>
      <c r="J3473" s="75">
        <v>12</v>
      </c>
      <c r="K3473" s="76" t="str">
        <f>VLOOKUP(Tabelle2[[#This Row],[Kunden Nr.]],KUNDEN!A:G,7)</f>
        <v>Mensuri</v>
      </c>
      <c r="L3473" s="76">
        <f>VLOOKUP(Tabelle2[[#This Row],[Artikel]],Produkte!A:H,8)</f>
        <v>0.17</v>
      </c>
    </row>
    <row r="3474" spans="1:12" x14ac:dyDescent="0.2">
      <c r="A3474" s="75" t="s">
        <v>1252</v>
      </c>
      <c r="B3474" s="79">
        <v>46155</v>
      </c>
      <c r="C3474" s="75"/>
      <c r="D3474" s="75"/>
      <c r="E3474" s="75"/>
      <c r="F3474" s="75">
        <v>20331</v>
      </c>
      <c r="G3474" s="76" t="str">
        <f>VLOOKUP(Tabelle2[[#This Row],[Kunden Nr.]],KUNDEN!A:B,2,0)</f>
        <v>BARDHI-M</v>
      </c>
      <c r="H3474" s="75">
        <v>35128</v>
      </c>
      <c r="I3474" s="76" t="str">
        <f>VLOOKUP(Tabelle2[[#This Row],[Artikel]],Produkte!A:B,2,0)</f>
        <v>M-ONE Sanitar Silikon</v>
      </c>
      <c r="J3474" s="75">
        <v>12</v>
      </c>
      <c r="K3474" s="76" t="str">
        <f>VLOOKUP(Tabelle2[[#This Row],[Kunden Nr.]],KUNDEN!A:G,7)</f>
        <v>Mensuri</v>
      </c>
      <c r="L3474" s="76">
        <f>VLOOKUP(Tabelle2[[#This Row],[Artikel]],Produkte!A:H,8)</f>
        <v>0.17</v>
      </c>
    </row>
    <row r="3475" spans="1:12" x14ac:dyDescent="0.2">
      <c r="A3475" s="75" t="s">
        <v>895</v>
      </c>
      <c r="B3475" s="79">
        <v>46155</v>
      </c>
      <c r="C3475" s="89">
        <v>111</v>
      </c>
      <c r="D3475" s="75"/>
      <c r="E3475" s="75"/>
      <c r="F3475" s="75">
        <v>20303</v>
      </c>
      <c r="G3475" s="76" t="str">
        <f>VLOOKUP(Tabelle2[[#This Row],[Kunden Nr.]],KUNDEN!A:B,2,0)</f>
        <v>NITA 3</v>
      </c>
      <c r="H3475" s="75">
        <v>35113</v>
      </c>
      <c r="I3475" s="76" t="str">
        <f>VLOOKUP(Tabelle2[[#This Row],[Artikel]],Produkte!A:B,2,0)</f>
        <v>M-ONE Sanitar Silikon</v>
      </c>
      <c r="J3475" s="75">
        <v>12</v>
      </c>
      <c r="K3475" s="76" t="str">
        <f>VLOOKUP(Tabelle2[[#This Row],[Kunden Nr.]],KUNDEN!A:G,7)</f>
        <v>Mensuri</v>
      </c>
      <c r="L3475" s="76">
        <f>VLOOKUP(Tabelle2[[#This Row],[Artikel]],Produkte!A:H,8)</f>
        <v>0.17</v>
      </c>
    </row>
    <row r="3476" spans="1:12" x14ac:dyDescent="0.2">
      <c r="A3476" s="75" t="s">
        <v>895</v>
      </c>
      <c r="B3476" s="79">
        <v>46155</v>
      </c>
      <c r="C3476" s="75"/>
      <c r="D3476" s="75"/>
      <c r="E3476" s="75"/>
      <c r="F3476" s="75">
        <v>20303</v>
      </c>
      <c r="G3476" s="76" t="str">
        <f>VLOOKUP(Tabelle2[[#This Row],[Kunden Nr.]],KUNDEN!A:B,2,0)</f>
        <v>NITA 3</v>
      </c>
      <c r="H3476" s="75">
        <v>35115</v>
      </c>
      <c r="I3476" s="76" t="str">
        <f>VLOOKUP(Tabelle2[[#This Row],[Artikel]],Produkte!A:B,2,0)</f>
        <v>M-ONE Sanitar Silikon</v>
      </c>
      <c r="J3476" s="75">
        <v>12</v>
      </c>
      <c r="K3476" s="76" t="str">
        <f>VLOOKUP(Tabelle2[[#This Row],[Kunden Nr.]],KUNDEN!A:G,7)</f>
        <v>Mensuri</v>
      </c>
      <c r="L3476" s="76">
        <f>VLOOKUP(Tabelle2[[#This Row],[Artikel]],Produkte!A:H,8)</f>
        <v>0.17</v>
      </c>
    </row>
    <row r="3477" spans="1:12" x14ac:dyDescent="0.2">
      <c r="A3477" s="75" t="s">
        <v>895</v>
      </c>
      <c r="B3477" s="79">
        <v>46155</v>
      </c>
      <c r="C3477" s="75"/>
      <c r="D3477" s="75"/>
      <c r="E3477" s="75"/>
      <c r="F3477" s="75">
        <v>20303</v>
      </c>
      <c r="G3477" s="76" t="str">
        <f>VLOOKUP(Tabelle2[[#This Row],[Kunden Nr.]],KUNDEN!A:B,2,0)</f>
        <v>NITA 3</v>
      </c>
      <c r="H3477" s="75">
        <v>51611</v>
      </c>
      <c r="I3477" s="76" t="str">
        <f>VLOOKUP(Tabelle2[[#This Row],[Artikel]],Produkte!A:B,2,0)</f>
        <v>universal akryl</v>
      </c>
      <c r="J3477" s="75">
        <v>12</v>
      </c>
      <c r="K3477" s="76" t="str">
        <f>VLOOKUP(Tabelle2[[#This Row],[Kunden Nr.]],KUNDEN!A:G,7)</f>
        <v>Mensuri</v>
      </c>
      <c r="L3477" s="76">
        <f>VLOOKUP(Tabelle2[[#This Row],[Artikel]],Produkte!A:H,8)</f>
        <v>0.06</v>
      </c>
    </row>
    <row r="3478" spans="1:12" x14ac:dyDescent="0.2">
      <c r="A3478" s="75" t="s">
        <v>623</v>
      </c>
      <c r="B3478" s="79">
        <v>46155</v>
      </c>
      <c r="C3478" s="89">
        <v>171.6</v>
      </c>
      <c r="D3478" s="75"/>
      <c r="E3478" s="75"/>
      <c r="F3478" s="75">
        <v>20313</v>
      </c>
      <c r="G3478" s="76" t="str">
        <f>VLOOKUP(Tabelle2[[#This Row],[Kunden Nr.]],KUNDEN!A:B,2,0)</f>
        <v>DURGUTI 3</v>
      </c>
      <c r="H3478" s="75">
        <v>35110</v>
      </c>
      <c r="I3478" s="76" t="str">
        <f>VLOOKUP(Tabelle2[[#This Row],[Artikel]],Produkte!A:B,2,0)</f>
        <v>M-ONE Sanitar Silikon</v>
      </c>
      <c r="J3478" s="75">
        <v>12</v>
      </c>
      <c r="K3478" s="76" t="str">
        <f>VLOOKUP(Tabelle2[[#This Row],[Kunden Nr.]],KUNDEN!A:G,7)</f>
        <v>Mensuri</v>
      </c>
      <c r="L3478" s="76">
        <f>VLOOKUP(Tabelle2[[#This Row],[Artikel]],Produkte!A:H,8)</f>
        <v>0.17</v>
      </c>
    </row>
    <row r="3479" spans="1:12" x14ac:dyDescent="0.2">
      <c r="A3479" s="75" t="s">
        <v>623</v>
      </c>
      <c r="B3479" s="79">
        <v>46155</v>
      </c>
      <c r="C3479" s="75"/>
      <c r="D3479" s="75"/>
      <c r="E3479" s="75"/>
      <c r="F3479" s="75">
        <v>20313</v>
      </c>
      <c r="G3479" s="76" t="str">
        <f>VLOOKUP(Tabelle2[[#This Row],[Kunden Nr.]],KUNDEN!A:B,2,0)</f>
        <v>DURGUTI 3</v>
      </c>
      <c r="H3479" s="75">
        <v>35111</v>
      </c>
      <c r="I3479" s="76" t="str">
        <f>VLOOKUP(Tabelle2[[#This Row],[Artikel]],Produkte!A:B,2,0)</f>
        <v>M-ONE Sanitar Silikon</v>
      </c>
      <c r="J3479" s="75">
        <v>12</v>
      </c>
      <c r="K3479" s="76" t="str">
        <f>VLOOKUP(Tabelle2[[#This Row],[Kunden Nr.]],KUNDEN!A:G,7)</f>
        <v>Mensuri</v>
      </c>
      <c r="L3479" s="76">
        <f>VLOOKUP(Tabelle2[[#This Row],[Artikel]],Produkte!A:H,8)</f>
        <v>0.17</v>
      </c>
    </row>
    <row r="3480" spans="1:12" x14ac:dyDescent="0.2">
      <c r="A3480" s="75" t="s">
        <v>623</v>
      </c>
      <c r="B3480" s="79">
        <v>46155</v>
      </c>
      <c r="C3480" s="75"/>
      <c r="D3480" s="75"/>
      <c r="E3480" s="75"/>
      <c r="F3480" s="75">
        <v>20313</v>
      </c>
      <c r="G3480" s="76" t="str">
        <f>VLOOKUP(Tabelle2[[#This Row],[Kunden Nr.]],KUNDEN!A:B,2,0)</f>
        <v>DURGUTI 3</v>
      </c>
      <c r="H3480" s="75">
        <v>35128</v>
      </c>
      <c r="I3480" s="76" t="str">
        <f>VLOOKUP(Tabelle2[[#This Row],[Artikel]],Produkte!A:B,2,0)</f>
        <v>M-ONE Sanitar Silikon</v>
      </c>
      <c r="J3480" s="75">
        <v>12</v>
      </c>
      <c r="K3480" s="76" t="str">
        <f>VLOOKUP(Tabelle2[[#This Row],[Kunden Nr.]],KUNDEN!A:G,7)</f>
        <v>Mensuri</v>
      </c>
      <c r="L3480" s="76">
        <f>VLOOKUP(Tabelle2[[#This Row],[Artikel]],Produkte!A:H,8)</f>
        <v>0.17</v>
      </c>
    </row>
    <row r="3481" spans="1:12" x14ac:dyDescent="0.2">
      <c r="A3481" s="75" t="s">
        <v>623</v>
      </c>
      <c r="B3481" s="79">
        <v>46155</v>
      </c>
      <c r="C3481" s="75"/>
      <c r="D3481" s="75"/>
      <c r="E3481" s="75"/>
      <c r="F3481" s="75">
        <v>20313</v>
      </c>
      <c r="G3481" s="76" t="str">
        <f>VLOOKUP(Tabelle2[[#This Row],[Kunden Nr.]],KUNDEN!A:B,2,0)</f>
        <v>DURGUTI 3</v>
      </c>
      <c r="H3481" s="75">
        <v>51612</v>
      </c>
      <c r="I3481" s="76" t="str">
        <f>VLOOKUP(Tabelle2[[#This Row],[Artikel]],Produkte!A:B,2,0)</f>
        <v>struktural akryl</v>
      </c>
      <c r="J3481" s="75">
        <v>12</v>
      </c>
      <c r="K3481" s="76" t="str">
        <f>VLOOKUP(Tabelle2[[#This Row],[Kunden Nr.]],KUNDEN!A:G,7)</f>
        <v>Mensuri</v>
      </c>
      <c r="L3481" s="76">
        <f>VLOOKUP(Tabelle2[[#This Row],[Artikel]],Produkte!A:H,8)</f>
        <v>0.06</v>
      </c>
    </row>
    <row r="3482" spans="1:12" x14ac:dyDescent="0.2">
      <c r="A3482" s="75" t="s">
        <v>1182</v>
      </c>
      <c r="B3482" s="79">
        <v>46155</v>
      </c>
      <c r="C3482" s="89">
        <v>192</v>
      </c>
      <c r="D3482" s="75"/>
      <c r="E3482" s="75"/>
      <c r="F3482" s="75">
        <v>20328</v>
      </c>
      <c r="G3482" s="76" t="str">
        <f>VLOOKUP(Tabelle2[[#This Row],[Kunden Nr.]],KUNDEN!A:B,2,0)</f>
        <v>ARTURI</v>
      </c>
      <c r="H3482" s="75">
        <v>35111</v>
      </c>
      <c r="I3482" s="76" t="str">
        <f>VLOOKUP(Tabelle2[[#This Row],[Artikel]],Produkte!A:B,2,0)</f>
        <v>M-ONE Sanitar Silikon</v>
      </c>
      <c r="J3482" s="75">
        <v>12</v>
      </c>
      <c r="K3482" s="76" t="str">
        <f>VLOOKUP(Tabelle2[[#This Row],[Kunden Nr.]],KUNDEN!A:G,7)</f>
        <v>Mensuri</v>
      </c>
      <c r="L3482" s="76">
        <f>VLOOKUP(Tabelle2[[#This Row],[Artikel]],Produkte!A:H,8)</f>
        <v>0.17</v>
      </c>
    </row>
    <row r="3483" spans="1:12" x14ac:dyDescent="0.2">
      <c r="A3483" s="75" t="s">
        <v>1182</v>
      </c>
      <c r="B3483" s="79">
        <v>46155</v>
      </c>
      <c r="C3483" s="75"/>
      <c r="D3483" s="75"/>
      <c r="E3483" s="75"/>
      <c r="F3483" s="75">
        <v>20328</v>
      </c>
      <c r="G3483" s="76" t="str">
        <f>VLOOKUP(Tabelle2[[#This Row],[Kunden Nr.]],KUNDEN!A:B,2,0)</f>
        <v>ARTURI</v>
      </c>
      <c r="H3483" s="75">
        <v>35115</v>
      </c>
      <c r="I3483" s="76" t="str">
        <f>VLOOKUP(Tabelle2[[#This Row],[Artikel]],Produkte!A:B,2,0)</f>
        <v>M-ONE Sanitar Silikon</v>
      </c>
      <c r="J3483" s="75">
        <v>12</v>
      </c>
      <c r="K3483" s="76" t="str">
        <f>VLOOKUP(Tabelle2[[#This Row],[Kunden Nr.]],KUNDEN!A:G,7)</f>
        <v>Mensuri</v>
      </c>
      <c r="L3483" s="76">
        <f>VLOOKUP(Tabelle2[[#This Row],[Artikel]],Produkte!A:H,8)</f>
        <v>0.17</v>
      </c>
    </row>
    <row r="3484" spans="1:12" x14ac:dyDescent="0.2">
      <c r="A3484" s="75" t="s">
        <v>1182</v>
      </c>
      <c r="B3484" s="79">
        <v>46155</v>
      </c>
      <c r="C3484" s="75"/>
      <c r="D3484" s="75"/>
      <c r="E3484" s="75"/>
      <c r="F3484" s="75">
        <v>20328</v>
      </c>
      <c r="G3484" s="76" t="str">
        <f>VLOOKUP(Tabelle2[[#This Row],[Kunden Nr.]],KUNDEN!A:B,2,0)</f>
        <v>ARTURI</v>
      </c>
      <c r="H3484" s="75">
        <v>35125</v>
      </c>
      <c r="I3484" s="76" t="str">
        <f>VLOOKUP(Tabelle2[[#This Row],[Artikel]],Produkte!A:B,2,0)</f>
        <v>M-ONE Sanitar Silikon</v>
      </c>
      <c r="J3484" s="75">
        <v>12</v>
      </c>
      <c r="K3484" s="76" t="str">
        <f>VLOOKUP(Tabelle2[[#This Row],[Kunden Nr.]],KUNDEN!A:G,7)</f>
        <v>Mensuri</v>
      </c>
      <c r="L3484" s="76">
        <f>VLOOKUP(Tabelle2[[#This Row],[Artikel]],Produkte!A:H,8)</f>
        <v>0.17</v>
      </c>
    </row>
    <row r="3485" spans="1:12" x14ac:dyDescent="0.2">
      <c r="A3485" s="75" t="s">
        <v>1182</v>
      </c>
      <c r="B3485" s="79">
        <v>46155</v>
      </c>
      <c r="C3485" s="75"/>
      <c r="D3485" s="75"/>
      <c r="E3485" s="75"/>
      <c r="F3485" s="75">
        <v>20328</v>
      </c>
      <c r="G3485" s="76" t="str">
        <f>VLOOKUP(Tabelle2[[#This Row],[Kunden Nr.]],KUNDEN!A:B,2,0)</f>
        <v>ARTURI</v>
      </c>
      <c r="H3485" s="75">
        <v>35112</v>
      </c>
      <c r="I3485" s="76" t="str">
        <f>VLOOKUP(Tabelle2[[#This Row],[Artikel]],Produkte!A:B,2,0)</f>
        <v>M-ONE Sanitar Silikon</v>
      </c>
      <c r="J3485" s="75">
        <v>12</v>
      </c>
      <c r="K3485" s="76" t="str">
        <f>VLOOKUP(Tabelle2[[#This Row],[Kunden Nr.]],KUNDEN!A:G,7)</f>
        <v>Mensuri</v>
      </c>
      <c r="L3485" s="76">
        <f>VLOOKUP(Tabelle2[[#This Row],[Artikel]],Produkte!A:H,8)</f>
        <v>0.17</v>
      </c>
    </row>
    <row r="3486" spans="1:12" x14ac:dyDescent="0.2">
      <c r="A3486" s="75" t="s">
        <v>626</v>
      </c>
      <c r="B3486" s="79">
        <v>46155</v>
      </c>
      <c r="C3486" s="89">
        <v>33</v>
      </c>
      <c r="D3486" s="75"/>
      <c r="E3486" s="75"/>
      <c r="F3486" s="75">
        <v>20317</v>
      </c>
      <c r="G3486" s="76" t="str">
        <f>VLOOKUP(Tabelle2[[#This Row],[Kunden Nr.]],KUNDEN!A:B,2,0)</f>
        <v>SHEHU-A</v>
      </c>
      <c r="H3486" s="75">
        <v>44001</v>
      </c>
      <c r="I3486" s="76" t="str">
        <f>VLOOKUP(Tabelle2[[#This Row],[Artikel]],Produkte!A:B,2,0)</f>
        <v>Fettspray</v>
      </c>
      <c r="J3486" s="75">
        <v>6</v>
      </c>
      <c r="K3486" s="76" t="str">
        <f>VLOOKUP(Tabelle2[[#This Row],[Kunden Nr.]],KUNDEN!A:G,7)</f>
        <v>Mensuri</v>
      </c>
      <c r="L3486" s="76">
        <f>VLOOKUP(Tabelle2[[#This Row],[Artikel]],Produkte!A:H,8)</f>
        <v>0.2</v>
      </c>
    </row>
    <row r="3487" spans="1:12" x14ac:dyDescent="0.2">
      <c r="A3487" s="75" t="s">
        <v>626</v>
      </c>
      <c r="B3487" s="79">
        <v>46155</v>
      </c>
      <c r="C3487" s="75"/>
      <c r="D3487" s="75"/>
      <c r="E3487" s="75"/>
      <c r="F3487" s="75">
        <v>20317</v>
      </c>
      <c r="G3487" s="76" t="str">
        <f>VLOOKUP(Tabelle2[[#This Row],[Kunden Nr.]],KUNDEN!A:B,2,0)</f>
        <v>SHEHU-A</v>
      </c>
      <c r="H3487" s="75">
        <v>49644</v>
      </c>
      <c r="I3487" s="76" t="str">
        <f>VLOOKUP(Tabelle2[[#This Row],[Artikel]],Produkte!A:B,2,0)</f>
        <v>beMAKER Rostlöser</v>
      </c>
      <c r="J3487" s="75">
        <v>6</v>
      </c>
      <c r="K3487" s="76" t="str">
        <f>VLOOKUP(Tabelle2[[#This Row],[Kunden Nr.]],KUNDEN!A:G,7)</f>
        <v>Mensuri</v>
      </c>
      <c r="L3487" s="76">
        <f>VLOOKUP(Tabelle2[[#This Row],[Artikel]],Produkte!A:H,8)</f>
        <v>0.2</v>
      </c>
    </row>
    <row r="3488" spans="1:12" x14ac:dyDescent="0.2">
      <c r="A3488" s="75" t="s">
        <v>624</v>
      </c>
      <c r="B3488" s="79">
        <v>46155</v>
      </c>
      <c r="C3488" s="89">
        <v>48</v>
      </c>
      <c r="D3488" s="75"/>
      <c r="E3488" s="75"/>
      <c r="F3488" s="75">
        <v>20314</v>
      </c>
      <c r="G3488" s="76" t="str">
        <f>VLOOKUP(Tabelle2[[#This Row],[Kunden Nr.]],KUNDEN!A:B,2,0)</f>
        <v>URA</v>
      </c>
      <c r="H3488" s="75">
        <v>35109</v>
      </c>
      <c r="I3488" s="76" t="str">
        <f>VLOOKUP(Tabelle2[[#This Row],[Artikel]],Produkte!A:B,2,0)</f>
        <v>M-ONE Sanitar Silikon</v>
      </c>
      <c r="J3488" s="75">
        <v>12</v>
      </c>
      <c r="K3488" s="76" t="str">
        <f>VLOOKUP(Tabelle2[[#This Row],[Kunden Nr.]],KUNDEN!A:G,7)</f>
        <v>Mensuri</v>
      </c>
      <c r="L3488" s="76">
        <f>VLOOKUP(Tabelle2[[#This Row],[Artikel]],Produkte!A:H,8)</f>
        <v>0.17</v>
      </c>
    </row>
    <row r="3489" spans="1:12" x14ac:dyDescent="0.2">
      <c r="A3489" s="75" t="s">
        <v>1215</v>
      </c>
      <c r="B3489" s="79">
        <v>46156</v>
      </c>
      <c r="C3489" s="89">
        <v>48</v>
      </c>
      <c r="D3489" s="75"/>
      <c r="E3489" s="75"/>
      <c r="F3489" s="75">
        <v>10429</v>
      </c>
      <c r="G3489" s="76" t="str">
        <f>VLOOKUP(Tabelle2[[#This Row],[Kunden Nr.]],KUNDEN!A:B,2,0)</f>
        <v>SAN KOS</v>
      </c>
      <c r="H3489" s="75">
        <v>35113</v>
      </c>
      <c r="I3489" s="76" t="str">
        <f>VLOOKUP(Tabelle2[[#This Row],[Artikel]],Produkte!A:B,2,0)</f>
        <v>M-ONE Sanitar Silikon</v>
      </c>
      <c r="J3489" s="75">
        <v>12</v>
      </c>
      <c r="K3489" s="76" t="str">
        <f>VLOOKUP(Tabelle2[[#This Row],[Kunden Nr.]],KUNDEN!A:G,7)</f>
        <v>Qerimi</v>
      </c>
      <c r="L3489" s="76">
        <f>VLOOKUP(Tabelle2[[#This Row],[Artikel]],Produkte!A:H,8)</f>
        <v>0.17</v>
      </c>
    </row>
    <row r="3490" spans="1:12" x14ac:dyDescent="0.2">
      <c r="A3490" s="75" t="s">
        <v>550</v>
      </c>
      <c r="B3490" s="79">
        <v>46156</v>
      </c>
      <c r="C3490" s="89">
        <v>27.6</v>
      </c>
      <c r="D3490" s="75"/>
      <c r="E3490" s="75"/>
      <c r="F3490" s="75">
        <v>10410</v>
      </c>
      <c r="G3490" s="76" t="str">
        <f>VLOOKUP(Tabelle2[[#This Row],[Kunden Nr.]],KUNDEN!A:B,2,0)</f>
        <v>GRANITI</v>
      </c>
      <c r="H3490" s="75">
        <v>51612</v>
      </c>
      <c r="I3490" s="76" t="str">
        <f>VLOOKUP(Tabelle2[[#This Row],[Artikel]],Produkte!A:B,2,0)</f>
        <v>struktural akryl</v>
      </c>
      <c r="J3490" s="75">
        <v>12</v>
      </c>
      <c r="K3490" s="76" t="str">
        <f>VLOOKUP(Tabelle2[[#This Row],[Kunden Nr.]],KUNDEN!A:G,7)</f>
        <v>Qerimi</v>
      </c>
      <c r="L3490" s="76">
        <f>VLOOKUP(Tabelle2[[#This Row],[Artikel]],Produkte!A:H,8)</f>
        <v>0.06</v>
      </c>
    </row>
    <row r="3491" spans="1:12" x14ac:dyDescent="0.2">
      <c r="A3491" s="75" t="s">
        <v>540</v>
      </c>
      <c r="B3491" s="79">
        <v>46156</v>
      </c>
      <c r="C3491" s="89">
        <v>192</v>
      </c>
      <c r="D3491" s="75"/>
      <c r="E3491" s="75"/>
      <c r="F3491" s="75">
        <v>10401</v>
      </c>
      <c r="G3491" s="76" t="str">
        <f>VLOOKUP(Tabelle2[[#This Row],[Kunden Nr.]],KUNDEN!A:B,2,0)</f>
        <v>DRCOR</v>
      </c>
      <c r="H3491" s="75">
        <v>35109</v>
      </c>
      <c r="I3491" s="76" t="str">
        <f>VLOOKUP(Tabelle2[[#This Row],[Artikel]],Produkte!A:B,2,0)</f>
        <v>M-ONE Sanitar Silikon</v>
      </c>
      <c r="J3491" s="75">
        <v>48</v>
      </c>
      <c r="K3491" s="76" t="str">
        <f>VLOOKUP(Tabelle2[[#This Row],[Kunden Nr.]],KUNDEN!A:G,7)</f>
        <v>Qerimi</v>
      </c>
      <c r="L3491" s="76">
        <f>VLOOKUP(Tabelle2[[#This Row],[Artikel]],Produkte!A:H,8)</f>
        <v>0.17</v>
      </c>
    </row>
    <row r="3492" spans="1:12" x14ac:dyDescent="0.2">
      <c r="A3492" s="75" t="s">
        <v>553</v>
      </c>
      <c r="B3492" s="79">
        <v>46156</v>
      </c>
      <c r="C3492" s="89">
        <v>128.5</v>
      </c>
      <c r="D3492" s="75"/>
      <c r="E3492" s="75"/>
      <c r="F3492" s="75">
        <v>10413</v>
      </c>
      <c r="G3492" s="76" t="str">
        <f>VLOOKUP(Tabelle2[[#This Row],[Kunden Nr.]],KUNDEN!A:B,2,0)</f>
        <v>UNIVERZAL</v>
      </c>
      <c r="H3492" s="75">
        <v>35128</v>
      </c>
      <c r="I3492" s="76" t="str">
        <f>VLOOKUP(Tabelle2[[#This Row],[Artikel]],Produkte!A:B,2,0)</f>
        <v>M-ONE Sanitar Silikon</v>
      </c>
      <c r="J3492" s="75">
        <v>24</v>
      </c>
      <c r="K3492" s="76" t="str">
        <f>VLOOKUP(Tabelle2[[#This Row],[Kunden Nr.]],KUNDEN!A:G,7)</f>
        <v>Qerimi</v>
      </c>
      <c r="L3492" s="76">
        <f>VLOOKUP(Tabelle2[[#This Row],[Artikel]],Produkte!A:H,8)</f>
        <v>0.17</v>
      </c>
    </row>
    <row r="3493" spans="1:12" x14ac:dyDescent="0.2">
      <c r="A3493" s="75" t="s">
        <v>553</v>
      </c>
      <c r="B3493" s="79">
        <v>46156</v>
      </c>
      <c r="C3493" s="75"/>
      <c r="D3493" s="75"/>
      <c r="E3493" s="75"/>
      <c r="F3493" s="75">
        <v>10413</v>
      </c>
      <c r="G3493" s="76" t="str">
        <f>VLOOKUP(Tabelle2[[#This Row],[Kunden Nr.]],KUNDEN!A:B,2,0)</f>
        <v>UNIVERZAL</v>
      </c>
      <c r="H3493" s="75">
        <v>51611</v>
      </c>
      <c r="I3493" s="76" t="str">
        <f>VLOOKUP(Tabelle2[[#This Row],[Artikel]],Produkte!A:B,2,0)</f>
        <v>universal akryl</v>
      </c>
      <c r="J3493" s="75">
        <v>12</v>
      </c>
      <c r="K3493" s="76" t="str">
        <f>VLOOKUP(Tabelle2[[#This Row],[Kunden Nr.]],KUNDEN!A:G,7)</f>
        <v>Qerimi</v>
      </c>
      <c r="L3493" s="76">
        <f>VLOOKUP(Tabelle2[[#This Row],[Artikel]],Produkte!A:H,8)</f>
        <v>0.06</v>
      </c>
    </row>
    <row r="3494" spans="1:12" x14ac:dyDescent="0.2">
      <c r="A3494" s="75" t="s">
        <v>553</v>
      </c>
      <c r="B3494" s="79">
        <v>46156</v>
      </c>
      <c r="C3494" s="75"/>
      <c r="D3494" s="75"/>
      <c r="E3494" s="75"/>
      <c r="F3494" s="75">
        <v>10413</v>
      </c>
      <c r="G3494" s="76" t="str">
        <f>VLOOKUP(Tabelle2[[#This Row],[Kunden Nr.]],KUNDEN!A:B,2,0)</f>
        <v>UNIVERZAL</v>
      </c>
      <c r="H3494" s="75">
        <v>44001</v>
      </c>
      <c r="I3494" s="76" t="str">
        <f>VLOOKUP(Tabelle2[[#This Row],[Artikel]],Produkte!A:B,2,0)</f>
        <v>Fettspray</v>
      </c>
      <c r="J3494" s="75">
        <v>5</v>
      </c>
      <c r="K3494" s="76" t="str">
        <f>VLOOKUP(Tabelle2[[#This Row],[Kunden Nr.]],KUNDEN!A:G,7)</f>
        <v>Qerimi</v>
      </c>
      <c r="L3494" s="76">
        <f>VLOOKUP(Tabelle2[[#This Row],[Artikel]],Produkte!A:H,8)</f>
        <v>0.2</v>
      </c>
    </row>
    <row r="3495" spans="1:12" x14ac:dyDescent="0.2">
      <c r="A3495" s="75" t="s">
        <v>552</v>
      </c>
      <c r="B3495" s="79">
        <v>46156</v>
      </c>
      <c r="C3495" s="89">
        <v>96</v>
      </c>
      <c r="D3495" s="75"/>
      <c r="E3495" s="75"/>
      <c r="F3495" s="75">
        <v>10412</v>
      </c>
      <c r="G3495" s="76" t="str">
        <f>VLOOKUP(Tabelle2[[#This Row],[Kunden Nr.]],KUNDEN!A:B,2,0)</f>
        <v>VISARI HH</v>
      </c>
      <c r="H3495" s="75">
        <v>35113</v>
      </c>
      <c r="I3495" s="76" t="str">
        <f>VLOOKUP(Tabelle2[[#This Row],[Artikel]],Produkte!A:B,2,0)</f>
        <v>M-ONE Sanitar Silikon</v>
      </c>
      <c r="J3495" s="75">
        <v>12</v>
      </c>
      <c r="K3495" s="76" t="str">
        <f>VLOOKUP(Tabelle2[[#This Row],[Kunden Nr.]],KUNDEN!A:G,7)</f>
        <v>Qerimi</v>
      </c>
      <c r="L3495" s="76">
        <f>VLOOKUP(Tabelle2[[#This Row],[Artikel]],Produkte!A:H,8)</f>
        <v>0.17</v>
      </c>
    </row>
    <row r="3496" spans="1:12" x14ac:dyDescent="0.2">
      <c r="A3496" s="75" t="s">
        <v>552</v>
      </c>
      <c r="B3496" s="79">
        <v>46156</v>
      </c>
      <c r="C3496" s="75"/>
      <c r="D3496" s="75"/>
      <c r="E3496" s="75"/>
      <c r="F3496" s="75">
        <v>10412</v>
      </c>
      <c r="G3496" s="76" t="str">
        <f>VLOOKUP(Tabelle2[[#This Row],[Kunden Nr.]],KUNDEN!A:B,2,0)</f>
        <v>VISARI HH</v>
      </c>
      <c r="H3496" s="75">
        <v>35121</v>
      </c>
      <c r="I3496" s="76" t="str">
        <f>VLOOKUP(Tabelle2[[#This Row],[Artikel]],Produkte!A:B,2,0)</f>
        <v>M-ONE Sanitar Silikon</v>
      </c>
      <c r="J3496" s="75">
        <v>12</v>
      </c>
      <c r="K3496" s="76" t="str">
        <f>VLOOKUP(Tabelle2[[#This Row],[Kunden Nr.]],KUNDEN!A:G,7)</f>
        <v>Qerimi</v>
      </c>
      <c r="L3496" s="76">
        <f>VLOOKUP(Tabelle2[[#This Row],[Artikel]],Produkte!A:H,8)</f>
        <v>0.17</v>
      </c>
    </row>
    <row r="3497" spans="1:12" x14ac:dyDescent="0.2">
      <c r="A3497" s="75" t="s">
        <v>666</v>
      </c>
      <c r="B3497" s="79">
        <v>46157</v>
      </c>
      <c r="C3497" s="89">
        <v>24.5</v>
      </c>
      <c r="D3497" s="75"/>
      <c r="E3497" s="75"/>
      <c r="F3497" s="75">
        <v>10529</v>
      </c>
      <c r="G3497" s="76" t="str">
        <f>VLOOKUP(Tabelle2[[#This Row],[Kunden Nr.]],KUNDEN!A:B,2,0)</f>
        <v>ARDI LIPJAN</v>
      </c>
      <c r="H3497" s="75">
        <v>55718</v>
      </c>
      <c r="I3497" s="76" t="str">
        <f>VLOOKUP(Tabelle2[[#This Row],[Artikel]],Produkte!A:B,2,0)</f>
        <v>M ONE MOTORSTART</v>
      </c>
      <c r="J3497" s="75">
        <v>4</v>
      </c>
      <c r="K3497" s="76" t="str">
        <f>VLOOKUP(Tabelle2[[#This Row],[Kunden Nr.]],KUNDEN!A:G,7)</f>
        <v>Qerimi</v>
      </c>
      <c r="L3497" s="76">
        <f>VLOOKUP(Tabelle2[[#This Row],[Artikel]],Produkte!A:H,8)</f>
        <v>0.2</v>
      </c>
    </row>
    <row r="3498" spans="1:12" x14ac:dyDescent="0.2">
      <c r="A3498" s="75" t="s">
        <v>666</v>
      </c>
      <c r="B3498" s="79">
        <v>46157</v>
      </c>
      <c r="C3498" s="75"/>
      <c r="D3498" s="75"/>
      <c r="E3498" s="75"/>
      <c r="F3498" s="75">
        <v>10529</v>
      </c>
      <c r="G3498" s="76" t="str">
        <f>VLOOKUP(Tabelle2[[#This Row],[Kunden Nr.]],KUNDEN!A:B,2,0)</f>
        <v>ARDI LIPJAN</v>
      </c>
      <c r="H3498" s="75">
        <v>44001</v>
      </c>
      <c r="I3498" s="76" t="str">
        <f>VLOOKUP(Tabelle2[[#This Row],[Artikel]],Produkte!A:B,2,0)</f>
        <v>Fettspray</v>
      </c>
      <c r="J3498" s="75">
        <v>3</v>
      </c>
      <c r="K3498" s="76" t="str">
        <f>VLOOKUP(Tabelle2[[#This Row],[Kunden Nr.]],KUNDEN!A:G,7)</f>
        <v>Qerimi</v>
      </c>
      <c r="L3498" s="76">
        <f>VLOOKUP(Tabelle2[[#This Row],[Artikel]],Produkte!A:H,8)</f>
        <v>0.2</v>
      </c>
    </row>
    <row r="3499" spans="1:12" x14ac:dyDescent="0.2">
      <c r="A3499" s="75" t="s">
        <v>491</v>
      </c>
      <c r="B3499" s="79">
        <v>46157</v>
      </c>
      <c r="C3499" s="89">
        <v>96</v>
      </c>
      <c r="D3499" s="75"/>
      <c r="E3499" s="75"/>
      <c r="F3499" s="75">
        <v>10508</v>
      </c>
      <c r="G3499" s="76" t="str">
        <f>VLOOKUP(Tabelle2[[#This Row],[Kunden Nr.]],KUNDEN!A:B,2,0)</f>
        <v>CARRALEVA 2</v>
      </c>
      <c r="H3499" s="75">
        <v>35109</v>
      </c>
      <c r="I3499" s="76" t="str">
        <f>VLOOKUP(Tabelle2[[#This Row],[Artikel]],Produkte!A:B,2,0)</f>
        <v>M-ONE Sanitar Silikon</v>
      </c>
      <c r="J3499" s="75">
        <v>12</v>
      </c>
      <c r="K3499" s="76" t="str">
        <f>VLOOKUP(Tabelle2[[#This Row],[Kunden Nr.]],KUNDEN!A:G,7)</f>
        <v>Qerimi</v>
      </c>
      <c r="L3499" s="76">
        <f>VLOOKUP(Tabelle2[[#This Row],[Artikel]],Produkte!A:H,8)</f>
        <v>0.17</v>
      </c>
    </row>
    <row r="3500" spans="1:12" x14ac:dyDescent="0.2">
      <c r="A3500" s="75" t="s">
        <v>491</v>
      </c>
      <c r="B3500" s="79">
        <v>46157</v>
      </c>
      <c r="C3500" s="75"/>
      <c r="D3500" s="75"/>
      <c r="E3500" s="75"/>
      <c r="F3500" s="75">
        <v>10508</v>
      </c>
      <c r="G3500" s="76" t="str">
        <f>VLOOKUP(Tabelle2[[#This Row],[Kunden Nr.]],KUNDEN!A:B,2,0)</f>
        <v>CARRALEVA 2</v>
      </c>
      <c r="H3500" s="75">
        <v>35110</v>
      </c>
      <c r="I3500" s="76" t="str">
        <f>VLOOKUP(Tabelle2[[#This Row],[Artikel]],Produkte!A:B,2,0)</f>
        <v>M-ONE Sanitar Silikon</v>
      </c>
      <c r="J3500" s="75">
        <v>12</v>
      </c>
      <c r="K3500" s="76" t="str">
        <f>VLOOKUP(Tabelle2[[#This Row],[Kunden Nr.]],KUNDEN!A:G,7)</f>
        <v>Qerimi</v>
      </c>
      <c r="L3500" s="76">
        <f>VLOOKUP(Tabelle2[[#This Row],[Artikel]],Produkte!A:H,8)</f>
        <v>0.17</v>
      </c>
    </row>
    <row r="3501" spans="1:12" x14ac:dyDescent="0.2">
      <c r="A3501" s="75" t="s">
        <v>487</v>
      </c>
      <c r="B3501" s="79">
        <v>46157</v>
      </c>
      <c r="C3501" s="89">
        <v>144</v>
      </c>
      <c r="D3501" s="75"/>
      <c r="E3501" s="75"/>
      <c r="F3501" s="75">
        <v>10507</v>
      </c>
      <c r="G3501" s="76" t="str">
        <f>VLOOKUP(Tabelle2[[#This Row],[Kunden Nr.]],KUNDEN!A:B,2,0)</f>
        <v>REAL COLOR 2</v>
      </c>
      <c r="H3501" s="75">
        <v>35121</v>
      </c>
      <c r="I3501" s="76" t="str">
        <f>VLOOKUP(Tabelle2[[#This Row],[Artikel]],Produkte!A:B,2,0)</f>
        <v>M-ONE Sanitar Silikon</v>
      </c>
      <c r="J3501" s="75">
        <v>12</v>
      </c>
      <c r="K3501" s="76" t="str">
        <f>VLOOKUP(Tabelle2[[#This Row],[Kunden Nr.]],KUNDEN!A:G,7)</f>
        <v>Qerimi</v>
      </c>
      <c r="L3501" s="76">
        <f>VLOOKUP(Tabelle2[[#This Row],[Artikel]],Produkte!A:H,8)</f>
        <v>0.17</v>
      </c>
    </row>
    <row r="3502" spans="1:12" x14ac:dyDescent="0.2">
      <c r="A3502" s="75" t="s">
        <v>487</v>
      </c>
      <c r="B3502" s="79">
        <v>46157</v>
      </c>
      <c r="C3502" s="75"/>
      <c r="D3502" s="75"/>
      <c r="E3502" s="75"/>
      <c r="F3502" s="75">
        <v>10507</v>
      </c>
      <c r="G3502" s="76" t="str">
        <f>VLOOKUP(Tabelle2[[#This Row],[Kunden Nr.]],KUNDEN!A:B,2,0)</f>
        <v>REAL COLOR 2</v>
      </c>
      <c r="H3502" s="75">
        <v>35125</v>
      </c>
      <c r="I3502" s="76" t="str">
        <f>VLOOKUP(Tabelle2[[#This Row],[Artikel]],Produkte!A:B,2,0)</f>
        <v>M-ONE Sanitar Silikon</v>
      </c>
      <c r="J3502" s="75">
        <v>12</v>
      </c>
      <c r="K3502" s="76" t="str">
        <f>VLOOKUP(Tabelle2[[#This Row],[Kunden Nr.]],KUNDEN!A:G,7)</f>
        <v>Qerimi</v>
      </c>
      <c r="L3502" s="76">
        <f>VLOOKUP(Tabelle2[[#This Row],[Artikel]],Produkte!A:H,8)</f>
        <v>0.17</v>
      </c>
    </row>
    <row r="3503" spans="1:12" x14ac:dyDescent="0.2">
      <c r="A3503" s="75" t="s">
        <v>487</v>
      </c>
      <c r="B3503" s="79">
        <v>46157</v>
      </c>
      <c r="C3503" s="75"/>
      <c r="D3503" s="75"/>
      <c r="E3503" s="75"/>
      <c r="F3503" s="75">
        <v>10507</v>
      </c>
      <c r="G3503" s="76" t="str">
        <f>VLOOKUP(Tabelle2[[#This Row],[Kunden Nr.]],KUNDEN!A:B,2,0)</f>
        <v>REAL COLOR 2</v>
      </c>
      <c r="H3503" s="75">
        <v>35115</v>
      </c>
      <c r="I3503" s="76" t="str">
        <f>VLOOKUP(Tabelle2[[#This Row],[Artikel]],Produkte!A:B,2,0)</f>
        <v>M-ONE Sanitar Silikon</v>
      </c>
      <c r="J3503" s="75">
        <v>12</v>
      </c>
      <c r="K3503" s="76" t="str">
        <f>VLOOKUP(Tabelle2[[#This Row],[Kunden Nr.]],KUNDEN!A:G,7)</f>
        <v>Qerimi</v>
      </c>
      <c r="L3503" s="76">
        <f>VLOOKUP(Tabelle2[[#This Row],[Artikel]],Produkte!A:H,8)</f>
        <v>0.17</v>
      </c>
    </row>
    <row r="3504" spans="1:12" x14ac:dyDescent="0.2">
      <c r="A3504" s="75" t="s">
        <v>1170</v>
      </c>
      <c r="B3504" s="79">
        <v>46157</v>
      </c>
      <c r="C3504" s="89">
        <v>96</v>
      </c>
      <c r="D3504" s="75"/>
      <c r="E3504" s="75"/>
      <c r="F3504" s="75">
        <v>10542</v>
      </c>
      <c r="G3504" s="76" t="str">
        <f>VLOOKUP(Tabelle2[[#This Row],[Kunden Nr.]],KUNDEN!A:B,2,0)</f>
        <v>LITA</v>
      </c>
      <c r="H3504" s="75">
        <v>35111</v>
      </c>
      <c r="I3504" s="76" t="str">
        <f>VLOOKUP(Tabelle2[[#This Row],[Artikel]],Produkte!A:B,2,0)</f>
        <v>M-ONE Sanitar Silikon</v>
      </c>
      <c r="J3504" s="75">
        <v>12</v>
      </c>
      <c r="K3504" s="76" t="str">
        <f>VLOOKUP(Tabelle2[[#This Row],[Kunden Nr.]],KUNDEN!A:G,7)</f>
        <v>Qerimi</v>
      </c>
      <c r="L3504" s="76">
        <f>VLOOKUP(Tabelle2[[#This Row],[Artikel]],Produkte!A:H,8)</f>
        <v>0.17</v>
      </c>
    </row>
    <row r="3505" spans="1:12" x14ac:dyDescent="0.2">
      <c r="A3505" s="75" t="s">
        <v>1170</v>
      </c>
      <c r="B3505" s="79">
        <v>46157</v>
      </c>
      <c r="C3505" s="75"/>
      <c r="D3505" s="75"/>
      <c r="E3505" s="75"/>
      <c r="F3505" s="75">
        <v>10542</v>
      </c>
      <c r="G3505" s="76" t="str">
        <f>VLOOKUP(Tabelle2[[#This Row],[Kunden Nr.]],KUNDEN!A:B,2,0)</f>
        <v>LITA</v>
      </c>
      <c r="H3505" s="75">
        <v>35112</v>
      </c>
      <c r="I3505" s="76" t="str">
        <f>VLOOKUP(Tabelle2[[#This Row],[Artikel]],Produkte!A:B,2,0)</f>
        <v>M-ONE Sanitar Silikon</v>
      </c>
      <c r="J3505" s="75">
        <v>12</v>
      </c>
      <c r="K3505" s="76" t="str">
        <f>VLOOKUP(Tabelle2[[#This Row],[Kunden Nr.]],KUNDEN!A:G,7)</f>
        <v>Qerimi</v>
      </c>
      <c r="L3505" s="76">
        <f>VLOOKUP(Tabelle2[[#This Row],[Artikel]],Produkte!A:H,8)</f>
        <v>0.17</v>
      </c>
    </row>
    <row r="3506" spans="1:12" x14ac:dyDescent="0.2">
      <c r="A3506" s="75" t="s">
        <v>38</v>
      </c>
      <c r="B3506" s="79">
        <v>46157</v>
      </c>
      <c r="C3506" s="89">
        <v>48</v>
      </c>
      <c r="D3506" s="75"/>
      <c r="E3506" s="75"/>
      <c r="F3506" s="75">
        <v>10539</v>
      </c>
      <c r="G3506" s="76" t="str">
        <f>VLOOKUP(Tabelle2[[#This Row],[Kunden Nr.]],KUNDEN!A:B,2,0)</f>
        <v>BEKA</v>
      </c>
      <c r="H3506" s="75">
        <v>35121</v>
      </c>
      <c r="I3506" s="76" t="str">
        <f>VLOOKUP(Tabelle2[[#This Row],[Artikel]],Produkte!A:B,2,0)</f>
        <v>M-ONE Sanitar Silikon</v>
      </c>
      <c r="J3506" s="75">
        <v>12</v>
      </c>
      <c r="K3506" s="76" t="str">
        <f>VLOOKUP(Tabelle2[[#This Row],[Kunden Nr.]],KUNDEN!A:G,7)</f>
        <v>Qerimi</v>
      </c>
      <c r="L3506" s="76">
        <f>VLOOKUP(Tabelle2[[#This Row],[Artikel]],Produkte!A:H,8)</f>
        <v>0.17</v>
      </c>
    </row>
    <row r="3507" spans="1:12" x14ac:dyDescent="0.2">
      <c r="A3507" s="75" t="s">
        <v>435</v>
      </c>
      <c r="B3507" s="79">
        <v>46157</v>
      </c>
      <c r="C3507" s="89">
        <v>48</v>
      </c>
      <c r="D3507" s="75"/>
      <c r="E3507" s="75"/>
      <c r="F3507" s="75">
        <v>10509</v>
      </c>
      <c r="G3507" s="76" t="str">
        <f>VLOOKUP(Tabelle2[[#This Row],[Kunden Nr.]],KUNDEN!A:B,2,0)</f>
        <v>LONI</v>
      </c>
      <c r="H3507" s="75">
        <v>50912</v>
      </c>
      <c r="I3507" s="76" t="str">
        <f>VLOOKUP(Tabelle2[[#This Row],[Artikel]],Produkte!A:B,2,0)</f>
        <v>DICHTUNG</v>
      </c>
      <c r="J3507" s="75">
        <v>5</v>
      </c>
      <c r="K3507" s="76" t="str">
        <f>VLOOKUP(Tabelle2[[#This Row],[Kunden Nr.]],KUNDEN!A:G,7)</f>
        <v>Qerimi</v>
      </c>
      <c r="L3507" s="76">
        <f>VLOOKUP(Tabelle2[[#This Row],[Artikel]],Produkte!A:H,8)</f>
        <v>0.2</v>
      </c>
    </row>
    <row r="3508" spans="1:12" x14ac:dyDescent="0.2">
      <c r="A3508" s="75" t="s">
        <v>435</v>
      </c>
      <c r="B3508" s="79">
        <v>46157</v>
      </c>
      <c r="C3508" s="75"/>
      <c r="D3508" s="75"/>
      <c r="E3508" s="75"/>
      <c r="F3508" s="75">
        <v>10509</v>
      </c>
      <c r="G3508" s="76" t="str">
        <f>VLOOKUP(Tabelle2[[#This Row],[Kunden Nr.]],KUNDEN!A:B,2,0)</f>
        <v>LONI</v>
      </c>
      <c r="H3508" s="75">
        <v>49644</v>
      </c>
      <c r="I3508" s="76" t="str">
        <f>VLOOKUP(Tabelle2[[#This Row],[Artikel]],Produkte!A:B,2,0)</f>
        <v>beMAKER Rostlöser</v>
      </c>
      <c r="J3508" s="75">
        <v>6</v>
      </c>
      <c r="K3508" s="76" t="str">
        <f>VLOOKUP(Tabelle2[[#This Row],[Kunden Nr.]],KUNDEN!A:G,7)</f>
        <v>Qerimi</v>
      </c>
      <c r="L3508" s="76">
        <f>VLOOKUP(Tabelle2[[#This Row],[Artikel]],Produkte!A:H,8)</f>
        <v>0.2</v>
      </c>
    </row>
    <row r="3509" spans="1:12" x14ac:dyDescent="0.2">
      <c r="A3509" s="75" t="s">
        <v>484</v>
      </c>
      <c r="B3509" s="79">
        <v>46157</v>
      </c>
      <c r="C3509" s="89">
        <v>144</v>
      </c>
      <c r="D3509" s="75"/>
      <c r="E3509" s="75"/>
      <c r="F3509" s="75">
        <v>10504</v>
      </c>
      <c r="G3509" s="76" t="str">
        <f>VLOOKUP(Tabelle2[[#This Row],[Kunden Nr.]],KUNDEN!A:B,2,0)</f>
        <v>CARRALEVA 1</v>
      </c>
      <c r="H3509" s="75">
        <v>35113</v>
      </c>
      <c r="I3509" s="76" t="str">
        <f>VLOOKUP(Tabelle2[[#This Row],[Artikel]],Produkte!A:B,2,0)</f>
        <v>M-ONE Sanitar Silikon</v>
      </c>
      <c r="J3509" s="75">
        <v>12</v>
      </c>
      <c r="K3509" s="76" t="str">
        <f>VLOOKUP(Tabelle2[[#This Row],[Kunden Nr.]],KUNDEN!A:G,7)</f>
        <v>Qerimi</v>
      </c>
      <c r="L3509" s="76">
        <f>VLOOKUP(Tabelle2[[#This Row],[Artikel]],Produkte!A:H,8)</f>
        <v>0.17</v>
      </c>
    </row>
    <row r="3510" spans="1:12" x14ac:dyDescent="0.2">
      <c r="A3510" s="75" t="s">
        <v>484</v>
      </c>
      <c r="B3510" s="79">
        <v>46157</v>
      </c>
      <c r="C3510" s="75"/>
      <c r="D3510" s="75"/>
      <c r="E3510" s="75"/>
      <c r="F3510" s="75">
        <v>10504</v>
      </c>
      <c r="G3510" s="76" t="str">
        <f>VLOOKUP(Tabelle2[[#This Row],[Kunden Nr.]],KUNDEN!A:B,2,0)</f>
        <v>CARRALEVA 1</v>
      </c>
      <c r="H3510" s="75">
        <v>35121</v>
      </c>
      <c r="I3510" s="76" t="str">
        <f>VLOOKUP(Tabelle2[[#This Row],[Artikel]],Produkte!A:B,2,0)</f>
        <v>M-ONE Sanitar Silikon</v>
      </c>
      <c r="J3510" s="75">
        <v>12</v>
      </c>
      <c r="K3510" s="76" t="str">
        <f>VLOOKUP(Tabelle2[[#This Row],[Kunden Nr.]],KUNDEN!A:G,7)</f>
        <v>Qerimi</v>
      </c>
      <c r="L3510" s="76">
        <f>VLOOKUP(Tabelle2[[#This Row],[Artikel]],Produkte!A:H,8)</f>
        <v>0.17</v>
      </c>
    </row>
    <row r="3511" spans="1:12" x14ac:dyDescent="0.2">
      <c r="A3511" s="75" t="s">
        <v>484</v>
      </c>
      <c r="B3511" s="79">
        <v>46157</v>
      </c>
      <c r="C3511" s="75"/>
      <c r="D3511" s="75"/>
      <c r="E3511" s="75"/>
      <c r="F3511" s="75">
        <v>10504</v>
      </c>
      <c r="G3511" s="76" t="str">
        <f>VLOOKUP(Tabelle2[[#This Row],[Kunden Nr.]],KUNDEN!A:B,2,0)</f>
        <v>CARRALEVA 1</v>
      </c>
      <c r="H3511" s="75">
        <v>35109</v>
      </c>
      <c r="I3511" s="76" t="str">
        <f>VLOOKUP(Tabelle2[[#This Row],[Artikel]],Produkte!A:B,2,0)</f>
        <v>M-ONE Sanitar Silikon</v>
      </c>
      <c r="J3511" s="75">
        <v>12</v>
      </c>
      <c r="K3511" s="76" t="str">
        <f>VLOOKUP(Tabelle2[[#This Row],[Kunden Nr.]],KUNDEN!A:G,7)</f>
        <v>Qerimi</v>
      </c>
      <c r="L3511" s="76">
        <f>VLOOKUP(Tabelle2[[#This Row],[Artikel]],Produkte!A:H,8)</f>
        <v>0.17</v>
      </c>
    </row>
    <row r="3512" spans="1:12" x14ac:dyDescent="0.2">
      <c r="A3512" s="75" t="s">
        <v>770</v>
      </c>
      <c r="B3512" s="79">
        <v>46157</v>
      </c>
      <c r="C3512" s="89">
        <v>319.5</v>
      </c>
      <c r="D3512" s="75"/>
      <c r="E3512" s="75"/>
      <c r="F3512" s="75">
        <v>40003</v>
      </c>
      <c r="G3512" s="76" t="str">
        <f>VLOOKUP(Tabelle2[[#This Row],[Kunden Nr.]],KUNDEN!A:B,2,0)</f>
        <v>ARBENI BIOBLIC</v>
      </c>
      <c r="H3512" s="75">
        <v>20001</v>
      </c>
      <c r="I3512" s="76" t="str">
        <f>VLOOKUP(Tabelle2[[#This Row],[Artikel]],Produkte!A:B,2,0)</f>
        <v>BioBlic Universalreiniger</v>
      </c>
      <c r="J3512" s="75">
        <v>190</v>
      </c>
      <c r="K3512" s="76">
        <f>VLOOKUP(Tabelle2[[#This Row],[Kunden Nr.]],KUNDEN!A:G,7)</f>
        <v>0</v>
      </c>
      <c r="L3512" s="76">
        <f>VLOOKUP(Tabelle2[[#This Row],[Artikel]],Produkte!A:H,8)</f>
        <v>0.30000000000000004</v>
      </c>
    </row>
    <row r="3513" spans="1:12" x14ac:dyDescent="0.2">
      <c r="A3513" s="75" t="s">
        <v>770</v>
      </c>
      <c r="B3513" s="79">
        <v>46157</v>
      </c>
      <c r="C3513" s="75"/>
      <c r="D3513" s="75"/>
      <c r="E3513" s="75"/>
      <c r="F3513" s="75">
        <v>40003</v>
      </c>
      <c r="G3513" s="76" t="str">
        <f>VLOOKUP(Tabelle2[[#This Row],[Kunden Nr.]],KUNDEN!A:B,2,0)</f>
        <v>ARBENI BIOBLIC</v>
      </c>
      <c r="H3513" s="75">
        <v>30275</v>
      </c>
      <c r="I3513" s="76" t="str">
        <f>VLOOKUP(Tabelle2[[#This Row],[Artikel]],Produkte!A:B,2,0)</f>
        <v>Blic Blic Sanitärreiniger</v>
      </c>
      <c r="J3513" s="75">
        <v>60</v>
      </c>
      <c r="K3513" s="76">
        <f>VLOOKUP(Tabelle2[[#This Row],[Kunden Nr.]],KUNDEN!A:G,7)</f>
        <v>0</v>
      </c>
      <c r="L3513" s="76">
        <f>VLOOKUP(Tabelle2[[#This Row],[Artikel]],Produkte!A:H,8)</f>
        <v>0.30000000000000004</v>
      </c>
    </row>
    <row r="3514" spans="1:12" x14ac:dyDescent="0.2">
      <c r="A3514" s="75" t="s">
        <v>453</v>
      </c>
      <c r="B3514" s="79">
        <v>46157</v>
      </c>
      <c r="C3514" s="89">
        <v>218</v>
      </c>
      <c r="D3514" s="75"/>
      <c r="E3514" s="75"/>
      <c r="F3514" s="75">
        <v>20501</v>
      </c>
      <c r="G3514" s="76" t="str">
        <f>VLOOKUP(Tabelle2[[#This Row],[Kunden Nr.]],KUNDEN!A:B,2,0)</f>
        <v>RACI</v>
      </c>
      <c r="H3514" s="75">
        <v>35108</v>
      </c>
      <c r="I3514" s="76" t="str">
        <f>VLOOKUP(Tabelle2[[#This Row],[Artikel]],Produkte!A:B,2,0)</f>
        <v>M-ONE Sanitar Silikon</v>
      </c>
      <c r="J3514" s="75">
        <v>12</v>
      </c>
      <c r="K3514" s="76" t="str">
        <f>VLOOKUP(Tabelle2[[#This Row],[Kunden Nr.]],KUNDEN!A:G,7)</f>
        <v>Mensuri</v>
      </c>
      <c r="L3514" s="76">
        <f>VLOOKUP(Tabelle2[[#This Row],[Artikel]],Produkte!A:H,8)</f>
        <v>0.17</v>
      </c>
    </row>
    <row r="3515" spans="1:12" x14ac:dyDescent="0.2">
      <c r="A3515" s="75" t="s">
        <v>453</v>
      </c>
      <c r="B3515" s="79">
        <v>46157</v>
      </c>
      <c r="C3515" s="75"/>
      <c r="D3515" s="75"/>
      <c r="E3515" s="75"/>
      <c r="F3515" s="75">
        <v>20501</v>
      </c>
      <c r="G3515" s="76" t="str">
        <f>VLOOKUP(Tabelle2[[#This Row],[Kunden Nr.]],KUNDEN!A:B,2,0)</f>
        <v>RACI</v>
      </c>
      <c r="H3515" s="75">
        <v>35110</v>
      </c>
      <c r="I3515" s="76" t="str">
        <f>VLOOKUP(Tabelle2[[#This Row],[Artikel]],Produkte!A:B,2,0)</f>
        <v>M-ONE Sanitar Silikon</v>
      </c>
      <c r="J3515" s="75">
        <v>12</v>
      </c>
      <c r="K3515" s="76" t="str">
        <f>VLOOKUP(Tabelle2[[#This Row],[Kunden Nr.]],KUNDEN!A:G,7)</f>
        <v>Mensuri</v>
      </c>
      <c r="L3515" s="76">
        <f>VLOOKUP(Tabelle2[[#This Row],[Artikel]],Produkte!A:H,8)</f>
        <v>0.17</v>
      </c>
    </row>
    <row r="3516" spans="1:12" x14ac:dyDescent="0.2">
      <c r="A3516" s="75" t="s">
        <v>453</v>
      </c>
      <c r="B3516" s="79">
        <v>46157</v>
      </c>
      <c r="C3516" s="75"/>
      <c r="D3516" s="75"/>
      <c r="E3516" s="75"/>
      <c r="F3516" s="75">
        <v>20501</v>
      </c>
      <c r="G3516" s="76" t="str">
        <f>VLOOKUP(Tabelle2[[#This Row],[Kunden Nr.]],KUNDEN!A:B,2,0)</f>
        <v>RACI</v>
      </c>
      <c r="H3516" s="75">
        <v>35113</v>
      </c>
      <c r="I3516" s="76" t="str">
        <f>VLOOKUP(Tabelle2[[#This Row],[Artikel]],Produkte!A:B,2,0)</f>
        <v>M-ONE Sanitar Silikon</v>
      </c>
      <c r="J3516" s="75">
        <v>12</v>
      </c>
      <c r="K3516" s="76" t="str">
        <f>VLOOKUP(Tabelle2[[#This Row],[Kunden Nr.]],KUNDEN!A:G,7)</f>
        <v>Mensuri</v>
      </c>
      <c r="L3516" s="76">
        <f>VLOOKUP(Tabelle2[[#This Row],[Artikel]],Produkte!A:H,8)</f>
        <v>0.17</v>
      </c>
    </row>
    <row r="3517" spans="1:12" x14ac:dyDescent="0.2">
      <c r="A3517" s="75" t="s">
        <v>453</v>
      </c>
      <c r="B3517" s="79">
        <v>46157</v>
      </c>
      <c r="C3517" s="75"/>
      <c r="D3517" s="75"/>
      <c r="E3517" s="75"/>
      <c r="F3517" s="75">
        <v>20501</v>
      </c>
      <c r="G3517" s="76" t="str">
        <f>VLOOKUP(Tabelle2[[#This Row],[Kunden Nr.]],KUNDEN!A:B,2,0)</f>
        <v>RACI</v>
      </c>
      <c r="H3517" s="75">
        <v>35128</v>
      </c>
      <c r="I3517" s="76" t="str">
        <f>VLOOKUP(Tabelle2[[#This Row],[Artikel]],Produkte!A:B,2,0)</f>
        <v>M-ONE Sanitar Silikon</v>
      </c>
      <c r="J3517" s="75">
        <v>12</v>
      </c>
      <c r="K3517" s="76" t="str">
        <f>VLOOKUP(Tabelle2[[#This Row],[Kunden Nr.]],KUNDEN!A:G,7)</f>
        <v>Mensuri</v>
      </c>
      <c r="L3517" s="76">
        <f>VLOOKUP(Tabelle2[[#This Row],[Artikel]],Produkte!A:H,8)</f>
        <v>0.17</v>
      </c>
    </row>
    <row r="3518" spans="1:12" x14ac:dyDescent="0.2">
      <c r="A3518" s="75" t="s">
        <v>453</v>
      </c>
      <c r="B3518" s="79">
        <v>46157</v>
      </c>
      <c r="C3518" s="75"/>
      <c r="D3518" s="75"/>
      <c r="E3518" s="75"/>
      <c r="F3518" s="75">
        <v>20501</v>
      </c>
      <c r="G3518" s="76" t="str">
        <f>VLOOKUP(Tabelle2[[#This Row],[Kunden Nr.]],KUNDEN!A:B,2,0)</f>
        <v>RACI</v>
      </c>
      <c r="H3518" s="75">
        <v>44001</v>
      </c>
      <c r="I3518" s="76" t="str">
        <f>VLOOKUP(Tabelle2[[#This Row],[Artikel]],Produkte!A:B,2,0)</f>
        <v>Fettspray</v>
      </c>
      <c r="J3518" s="75">
        <v>4</v>
      </c>
      <c r="K3518" s="76" t="str">
        <f>VLOOKUP(Tabelle2[[#This Row],[Kunden Nr.]],KUNDEN!A:G,7)</f>
        <v>Mensuri</v>
      </c>
      <c r="L3518" s="76">
        <f>VLOOKUP(Tabelle2[[#This Row],[Artikel]],Produkte!A:H,8)</f>
        <v>0.2</v>
      </c>
    </row>
    <row r="3519" spans="1:12" x14ac:dyDescent="0.2">
      <c r="A3519" s="75" t="s">
        <v>453</v>
      </c>
      <c r="B3519" s="79">
        <v>46157</v>
      </c>
      <c r="C3519" s="75"/>
      <c r="D3519" s="75"/>
      <c r="E3519" s="75"/>
      <c r="F3519" s="75">
        <v>20501</v>
      </c>
      <c r="G3519" s="76" t="str">
        <f>VLOOKUP(Tabelle2[[#This Row],[Kunden Nr.]],KUNDEN!A:B,2,0)</f>
        <v>RACI</v>
      </c>
      <c r="H3519" s="75">
        <v>39505</v>
      </c>
      <c r="I3519" s="76" t="str">
        <f>VLOOKUP(Tabelle2[[#This Row],[Artikel]],Produkte!A:B,2,0)</f>
        <v>M ONE SILIKON SPRAY</v>
      </c>
      <c r="J3519" s="75">
        <v>4</v>
      </c>
      <c r="K3519" s="76" t="str">
        <f>VLOOKUP(Tabelle2[[#This Row],[Kunden Nr.]],KUNDEN!A:G,7)</f>
        <v>Mensuri</v>
      </c>
      <c r="L3519" s="76">
        <f>VLOOKUP(Tabelle2[[#This Row],[Artikel]],Produkte!A:H,8)</f>
        <v>0.2</v>
      </c>
    </row>
    <row r="3520" spans="1:12" x14ac:dyDescent="0.2">
      <c r="A3520" s="75" t="s">
        <v>1258</v>
      </c>
      <c r="B3520" s="79">
        <v>46157</v>
      </c>
      <c r="C3520" s="89">
        <v>384</v>
      </c>
      <c r="D3520" s="75"/>
      <c r="E3520" s="75"/>
      <c r="F3520" s="75">
        <v>20511</v>
      </c>
      <c r="G3520" s="76" t="str">
        <f>VLOOKUP(Tabelle2[[#This Row],[Kunden Nr.]],KUNDEN!A:B,2,0)</f>
        <v>LIRIDONA KLINE</v>
      </c>
      <c r="H3520" s="75">
        <v>35109</v>
      </c>
      <c r="I3520" s="76" t="str">
        <f>VLOOKUP(Tabelle2[[#This Row],[Artikel]],Produkte!A:B,2,0)</f>
        <v>M-ONE Sanitar Silikon</v>
      </c>
      <c r="J3520" s="75">
        <v>24</v>
      </c>
      <c r="K3520" s="76" t="str">
        <f>VLOOKUP(Tabelle2[[#This Row],[Kunden Nr.]],KUNDEN!A:G,7)</f>
        <v>Mensuri</v>
      </c>
      <c r="L3520" s="76">
        <f>VLOOKUP(Tabelle2[[#This Row],[Artikel]],Produkte!A:H,8)</f>
        <v>0.17</v>
      </c>
    </row>
    <row r="3521" spans="1:12" x14ac:dyDescent="0.2">
      <c r="A3521" s="75" t="s">
        <v>1258</v>
      </c>
      <c r="B3521" s="79">
        <v>46157</v>
      </c>
      <c r="C3521" s="75"/>
      <c r="D3521" s="75"/>
      <c r="E3521" s="75"/>
      <c r="F3521" s="75">
        <v>20511</v>
      </c>
      <c r="G3521" s="76" t="str">
        <f>VLOOKUP(Tabelle2[[#This Row],[Kunden Nr.]],KUNDEN!A:B,2,0)</f>
        <v>LIRIDONA KLINE</v>
      </c>
      <c r="H3521" s="75">
        <v>35121</v>
      </c>
      <c r="I3521" s="76" t="str">
        <f>VLOOKUP(Tabelle2[[#This Row],[Artikel]],Produkte!A:B,2,0)</f>
        <v>M-ONE Sanitar Silikon</v>
      </c>
      <c r="J3521" s="75">
        <v>24</v>
      </c>
      <c r="K3521" s="76" t="str">
        <f>VLOOKUP(Tabelle2[[#This Row],[Kunden Nr.]],KUNDEN!A:G,7)</f>
        <v>Mensuri</v>
      </c>
      <c r="L3521" s="76">
        <f>VLOOKUP(Tabelle2[[#This Row],[Artikel]],Produkte!A:H,8)</f>
        <v>0.17</v>
      </c>
    </row>
    <row r="3522" spans="1:12" x14ac:dyDescent="0.2">
      <c r="A3522" s="75" t="s">
        <v>1258</v>
      </c>
      <c r="B3522" s="79">
        <v>46157</v>
      </c>
      <c r="C3522" s="75"/>
      <c r="D3522" s="75"/>
      <c r="E3522" s="75"/>
      <c r="F3522" s="75">
        <v>20511</v>
      </c>
      <c r="G3522" s="76" t="str">
        <f>VLOOKUP(Tabelle2[[#This Row],[Kunden Nr.]],KUNDEN!A:B,2,0)</f>
        <v>LIRIDONA KLINE</v>
      </c>
      <c r="H3522" s="75">
        <v>35115</v>
      </c>
      <c r="I3522" s="76" t="str">
        <f>VLOOKUP(Tabelle2[[#This Row],[Artikel]],Produkte!A:B,2,0)</f>
        <v>M-ONE Sanitar Silikon</v>
      </c>
      <c r="J3522" s="75">
        <v>24</v>
      </c>
      <c r="K3522" s="76" t="str">
        <f>VLOOKUP(Tabelle2[[#This Row],[Kunden Nr.]],KUNDEN!A:G,7)</f>
        <v>Mensuri</v>
      </c>
      <c r="L3522" s="76">
        <f>VLOOKUP(Tabelle2[[#This Row],[Artikel]],Produkte!A:H,8)</f>
        <v>0.17</v>
      </c>
    </row>
    <row r="3523" spans="1:12" x14ac:dyDescent="0.2">
      <c r="A3523" s="75" t="s">
        <v>1258</v>
      </c>
      <c r="B3523" s="79">
        <v>46157</v>
      </c>
      <c r="C3523" s="75"/>
      <c r="D3523" s="75"/>
      <c r="E3523" s="75"/>
      <c r="F3523" s="75">
        <v>20511</v>
      </c>
      <c r="G3523" s="76" t="str">
        <f>VLOOKUP(Tabelle2[[#This Row],[Kunden Nr.]],KUNDEN!A:B,2,0)</f>
        <v>LIRIDONA KLINE</v>
      </c>
      <c r="H3523" s="75">
        <v>35110</v>
      </c>
      <c r="I3523" s="76" t="str">
        <f>VLOOKUP(Tabelle2[[#This Row],[Artikel]],Produkte!A:B,2,0)</f>
        <v>M-ONE Sanitar Silikon</v>
      </c>
      <c r="J3523" s="75">
        <v>12</v>
      </c>
      <c r="K3523" s="76" t="str">
        <f>VLOOKUP(Tabelle2[[#This Row],[Kunden Nr.]],KUNDEN!A:G,7)</f>
        <v>Mensuri</v>
      </c>
      <c r="L3523" s="76">
        <f>VLOOKUP(Tabelle2[[#This Row],[Artikel]],Produkte!A:H,8)</f>
        <v>0.17</v>
      </c>
    </row>
    <row r="3524" spans="1:12" x14ac:dyDescent="0.2">
      <c r="A3524" s="75" t="s">
        <v>1258</v>
      </c>
      <c r="B3524" s="79">
        <v>46157</v>
      </c>
      <c r="C3524" s="75"/>
      <c r="D3524" s="75"/>
      <c r="E3524" s="75"/>
      <c r="F3524" s="75">
        <v>20511</v>
      </c>
      <c r="G3524" s="76" t="str">
        <f>VLOOKUP(Tabelle2[[#This Row],[Kunden Nr.]],KUNDEN!A:B,2,0)</f>
        <v>LIRIDONA KLINE</v>
      </c>
      <c r="H3524" s="75">
        <v>35128</v>
      </c>
      <c r="I3524" s="76" t="str">
        <f>VLOOKUP(Tabelle2[[#This Row],[Artikel]],Produkte!A:B,2,0)</f>
        <v>M-ONE Sanitar Silikon</v>
      </c>
      <c r="J3524" s="75">
        <v>12</v>
      </c>
      <c r="K3524" s="76" t="str">
        <f>VLOOKUP(Tabelle2[[#This Row],[Kunden Nr.]],KUNDEN!A:G,7)</f>
        <v>Mensuri</v>
      </c>
      <c r="L3524" s="76">
        <f>VLOOKUP(Tabelle2[[#This Row],[Artikel]],Produkte!A:H,8)</f>
        <v>0.17</v>
      </c>
    </row>
    <row r="3525" spans="1:12" x14ac:dyDescent="0.2">
      <c r="A3525" s="75" t="s">
        <v>454</v>
      </c>
      <c r="B3525" s="79">
        <v>46157</v>
      </c>
      <c r="C3525" s="89">
        <v>48</v>
      </c>
      <c r="D3525" s="75"/>
      <c r="E3525" s="75"/>
      <c r="F3525" s="75">
        <v>20502</v>
      </c>
      <c r="G3525" s="76" t="str">
        <f>VLOOKUP(Tabelle2[[#This Row],[Kunden Nr.]],KUNDEN!A:B,2,0)</f>
        <v>HOXHA</v>
      </c>
      <c r="H3525" s="75">
        <v>35110</v>
      </c>
      <c r="I3525" s="76" t="str">
        <f>VLOOKUP(Tabelle2[[#This Row],[Artikel]],Produkte!A:B,2,0)</f>
        <v>M-ONE Sanitar Silikon</v>
      </c>
      <c r="J3525" s="75">
        <v>12</v>
      </c>
      <c r="K3525" s="76" t="str">
        <f>VLOOKUP(Tabelle2[[#This Row],[Kunden Nr.]],KUNDEN!A:G,7)</f>
        <v>Mensuri</v>
      </c>
      <c r="L3525" s="76">
        <f>VLOOKUP(Tabelle2[[#This Row],[Artikel]],Produkte!A:H,8)</f>
        <v>0.17</v>
      </c>
    </row>
    <row r="3526" spans="1:12" x14ac:dyDescent="0.2">
      <c r="A3526" s="75" t="s">
        <v>674</v>
      </c>
      <c r="B3526" s="79">
        <v>46157</v>
      </c>
      <c r="C3526" s="89">
        <v>468.6</v>
      </c>
      <c r="D3526" s="75"/>
      <c r="E3526" s="75"/>
      <c r="F3526" s="75">
        <v>20508</v>
      </c>
      <c r="G3526" s="76" t="str">
        <f>VLOOKUP(Tabelle2[[#This Row],[Kunden Nr.]],KUNDEN!A:B,2,0)</f>
        <v>LIRIDONA HOME</v>
      </c>
      <c r="H3526" s="75">
        <v>35109</v>
      </c>
      <c r="I3526" s="76" t="str">
        <f>VLOOKUP(Tabelle2[[#This Row],[Artikel]],Produkte!A:B,2,0)</f>
        <v>M-ONE Sanitar Silikon</v>
      </c>
      <c r="J3526" s="75">
        <v>48</v>
      </c>
      <c r="K3526" s="76" t="str">
        <f>VLOOKUP(Tabelle2[[#This Row],[Kunden Nr.]],KUNDEN!A:G,7)</f>
        <v>Mensuri</v>
      </c>
      <c r="L3526" s="76">
        <f>VLOOKUP(Tabelle2[[#This Row],[Artikel]],Produkte!A:H,8)</f>
        <v>0.17</v>
      </c>
    </row>
    <row r="3527" spans="1:12" x14ac:dyDescent="0.2">
      <c r="A3527" s="75" t="s">
        <v>674</v>
      </c>
      <c r="B3527" s="79">
        <v>46157</v>
      </c>
      <c r="C3527" s="75"/>
      <c r="D3527" s="75"/>
      <c r="E3527" s="75"/>
      <c r="F3527" s="75">
        <v>20508</v>
      </c>
      <c r="G3527" s="76" t="str">
        <f>VLOOKUP(Tabelle2[[#This Row],[Kunden Nr.]],KUNDEN!A:B,2,0)</f>
        <v>LIRIDONA HOME</v>
      </c>
      <c r="H3527" s="75">
        <v>35121</v>
      </c>
      <c r="I3527" s="76" t="str">
        <f>VLOOKUP(Tabelle2[[#This Row],[Artikel]],Produkte!A:B,2,0)</f>
        <v>M-ONE Sanitar Silikon</v>
      </c>
      <c r="J3527" s="75">
        <v>24</v>
      </c>
      <c r="K3527" s="76" t="str">
        <f>VLOOKUP(Tabelle2[[#This Row],[Kunden Nr.]],KUNDEN!A:G,7)</f>
        <v>Mensuri</v>
      </c>
      <c r="L3527" s="76">
        <f>VLOOKUP(Tabelle2[[#This Row],[Artikel]],Produkte!A:H,8)</f>
        <v>0.17</v>
      </c>
    </row>
    <row r="3528" spans="1:12" x14ac:dyDescent="0.2">
      <c r="A3528" s="75" t="s">
        <v>674</v>
      </c>
      <c r="B3528" s="79">
        <v>46157</v>
      </c>
      <c r="C3528" s="75"/>
      <c r="D3528" s="75"/>
      <c r="E3528" s="75"/>
      <c r="F3528" s="75">
        <v>20508</v>
      </c>
      <c r="G3528" s="76" t="str">
        <f>VLOOKUP(Tabelle2[[#This Row],[Kunden Nr.]],KUNDEN!A:B,2,0)</f>
        <v>LIRIDONA HOME</v>
      </c>
      <c r="H3528" s="75">
        <v>35110</v>
      </c>
      <c r="I3528" s="76" t="str">
        <f>VLOOKUP(Tabelle2[[#This Row],[Artikel]],Produkte!A:B,2,0)</f>
        <v>M-ONE Sanitar Silikon</v>
      </c>
      <c r="J3528" s="75">
        <v>12</v>
      </c>
      <c r="K3528" s="76" t="str">
        <f>VLOOKUP(Tabelle2[[#This Row],[Kunden Nr.]],KUNDEN!A:G,7)</f>
        <v>Mensuri</v>
      </c>
      <c r="L3528" s="76">
        <f>VLOOKUP(Tabelle2[[#This Row],[Artikel]],Produkte!A:H,8)</f>
        <v>0.17</v>
      </c>
    </row>
    <row r="3529" spans="1:12" x14ac:dyDescent="0.2">
      <c r="A3529" s="75" t="s">
        <v>674</v>
      </c>
      <c r="B3529" s="79">
        <v>46157</v>
      </c>
      <c r="C3529" s="75"/>
      <c r="D3529" s="75"/>
      <c r="E3529" s="75"/>
      <c r="F3529" s="75">
        <v>20508</v>
      </c>
      <c r="G3529" s="76" t="str">
        <f>VLOOKUP(Tabelle2[[#This Row],[Kunden Nr.]],KUNDEN!A:B,2,0)</f>
        <v>LIRIDONA HOME</v>
      </c>
      <c r="H3529" s="75">
        <v>35128</v>
      </c>
      <c r="I3529" s="76" t="str">
        <f>VLOOKUP(Tabelle2[[#This Row],[Artikel]],Produkte!A:B,2,0)</f>
        <v>M-ONE Sanitar Silikon</v>
      </c>
      <c r="J3529" s="75">
        <v>12</v>
      </c>
      <c r="K3529" s="76" t="str">
        <f>VLOOKUP(Tabelle2[[#This Row],[Kunden Nr.]],KUNDEN!A:G,7)</f>
        <v>Mensuri</v>
      </c>
      <c r="L3529" s="76">
        <f>VLOOKUP(Tabelle2[[#This Row],[Artikel]],Produkte!A:H,8)</f>
        <v>0.17</v>
      </c>
    </row>
    <row r="3530" spans="1:12" x14ac:dyDescent="0.2">
      <c r="A3530" s="75" t="s">
        <v>674</v>
      </c>
      <c r="B3530" s="79">
        <v>46157</v>
      </c>
      <c r="C3530" s="75"/>
      <c r="D3530" s="75"/>
      <c r="E3530" s="75"/>
      <c r="F3530" s="75">
        <v>20508</v>
      </c>
      <c r="G3530" s="76" t="str">
        <f>VLOOKUP(Tabelle2[[#This Row],[Kunden Nr.]],KUNDEN!A:B,2,0)</f>
        <v>LIRIDONA HOME</v>
      </c>
      <c r="H3530" s="75">
        <v>66701</v>
      </c>
      <c r="I3530" s="76" t="str">
        <f>VLOOKUP(Tabelle2[[#This Row],[Artikel]],Produkte!A:B,2,0)</f>
        <v>PROFIMONT EXTREME</v>
      </c>
      <c r="J3530" s="75">
        <v>12</v>
      </c>
      <c r="K3530" s="76" t="str">
        <f>VLOOKUP(Tabelle2[[#This Row],[Kunden Nr.]],KUNDEN!A:G,7)</f>
        <v>Mensuri</v>
      </c>
      <c r="L3530" s="76">
        <f>VLOOKUP(Tabelle2[[#This Row],[Artikel]],Produkte!A:H,8)</f>
        <v>0.2</v>
      </c>
    </row>
    <row r="3531" spans="1:12" x14ac:dyDescent="0.2">
      <c r="A3531" s="75" t="s">
        <v>674</v>
      </c>
      <c r="B3531" s="79">
        <v>46157</v>
      </c>
      <c r="C3531" s="75"/>
      <c r="D3531" s="75"/>
      <c r="E3531" s="75"/>
      <c r="F3531" s="75">
        <v>20508</v>
      </c>
      <c r="G3531" s="76" t="str">
        <f>VLOOKUP(Tabelle2[[#This Row],[Kunden Nr.]],KUNDEN!A:B,2,0)</f>
        <v>LIRIDONA HOME</v>
      </c>
      <c r="H3531" s="75">
        <v>51611</v>
      </c>
      <c r="I3531" s="76" t="str">
        <f>VLOOKUP(Tabelle2[[#This Row],[Artikel]],Produkte!A:B,2,0)</f>
        <v>universal akryl</v>
      </c>
      <c r="J3531" s="75">
        <v>12</v>
      </c>
      <c r="K3531" s="76" t="str">
        <f>VLOOKUP(Tabelle2[[#This Row],[Kunden Nr.]],KUNDEN!A:G,7)</f>
        <v>Mensuri</v>
      </c>
      <c r="L3531" s="76">
        <f>VLOOKUP(Tabelle2[[#This Row],[Artikel]],Produkte!A:H,8)</f>
        <v>0.06</v>
      </c>
    </row>
    <row r="3532" spans="1:12" x14ac:dyDescent="0.2">
      <c r="A3532" s="75" t="s">
        <v>461</v>
      </c>
      <c r="B3532" s="79">
        <v>46157</v>
      </c>
      <c r="C3532" s="89">
        <v>113.9</v>
      </c>
      <c r="D3532" s="75"/>
      <c r="E3532" s="75"/>
      <c r="F3532" s="75">
        <v>20513</v>
      </c>
      <c r="G3532" s="76" t="str">
        <f>VLOOKUP(Tabelle2[[#This Row],[Kunden Nr.]],KUNDEN!A:B,2,0)</f>
        <v>BERATI A.P. (1)</v>
      </c>
      <c r="H3532" s="75">
        <v>50912</v>
      </c>
      <c r="I3532" s="76" t="str">
        <f>VLOOKUP(Tabelle2[[#This Row],[Artikel]],Produkte!A:B,2,0)</f>
        <v>DICHTUNG</v>
      </c>
      <c r="J3532" s="75">
        <v>12</v>
      </c>
      <c r="K3532" s="76" t="str">
        <f>VLOOKUP(Tabelle2[[#This Row],[Kunden Nr.]],KUNDEN!A:G,7)</f>
        <v>Mensuri</v>
      </c>
      <c r="L3532" s="76">
        <f>VLOOKUP(Tabelle2[[#This Row],[Artikel]],Produkte!A:H,8)</f>
        <v>0.2</v>
      </c>
    </row>
    <row r="3533" spans="1:12" x14ac:dyDescent="0.2">
      <c r="A3533" s="75" t="s">
        <v>461</v>
      </c>
      <c r="B3533" s="79">
        <v>46157</v>
      </c>
      <c r="C3533" s="75"/>
      <c r="D3533" s="75"/>
      <c r="E3533" s="75"/>
      <c r="F3533" s="75">
        <v>20513</v>
      </c>
      <c r="G3533" s="76" t="str">
        <f>VLOOKUP(Tabelle2[[#This Row],[Kunden Nr.]],KUNDEN!A:B,2,0)</f>
        <v>BERATI A.P. (1)</v>
      </c>
      <c r="H3533" s="75">
        <v>51736</v>
      </c>
      <c r="I3533" s="76" t="str">
        <f>VLOOKUP(Tabelle2[[#This Row],[Artikel]],Produkte!A:B,2,0)</f>
        <v>M ONE SCHWARZ MATT</v>
      </c>
      <c r="J3533" s="75">
        <v>10</v>
      </c>
      <c r="K3533" s="76" t="str">
        <f>VLOOKUP(Tabelle2[[#This Row],[Kunden Nr.]],KUNDEN!A:G,7)</f>
        <v>Mensuri</v>
      </c>
      <c r="L3533" s="76">
        <f>VLOOKUP(Tabelle2[[#This Row],[Artikel]],Produkte!A:H,8)</f>
        <v>0.15</v>
      </c>
    </row>
    <row r="3534" spans="1:12" x14ac:dyDescent="0.2">
      <c r="A3534" s="75" t="s">
        <v>461</v>
      </c>
      <c r="B3534" s="79">
        <v>46157</v>
      </c>
      <c r="C3534" s="75"/>
      <c r="D3534" s="75"/>
      <c r="E3534" s="75"/>
      <c r="F3534" s="75">
        <v>20513</v>
      </c>
      <c r="G3534" s="76" t="str">
        <f>VLOOKUP(Tabelle2[[#This Row],[Kunden Nr.]],KUNDEN!A:B,2,0)</f>
        <v>BERATI A.P. (1)</v>
      </c>
      <c r="H3534" s="75">
        <v>51936</v>
      </c>
      <c r="I3534" s="76" t="str">
        <f>VLOOKUP(Tabelle2[[#This Row],[Artikel]],Produkte!A:B,2,0)</f>
        <v>M ONE SCHWARZ GLÄNZED</v>
      </c>
      <c r="J3534" s="75">
        <v>5</v>
      </c>
      <c r="K3534" s="76" t="str">
        <f>VLOOKUP(Tabelle2[[#This Row],[Kunden Nr.]],KUNDEN!A:G,7)</f>
        <v>Mensuri</v>
      </c>
      <c r="L3534" s="76">
        <f>VLOOKUP(Tabelle2[[#This Row],[Artikel]],Produkte!A:H,8)</f>
        <v>0.15</v>
      </c>
    </row>
    <row r="3535" spans="1:12" x14ac:dyDescent="0.2">
      <c r="A3535" s="75" t="s">
        <v>463</v>
      </c>
      <c r="B3535" s="79">
        <v>46157</v>
      </c>
      <c r="C3535" s="89">
        <v>213.6</v>
      </c>
      <c r="D3535" s="75"/>
      <c r="E3535" s="75"/>
      <c r="F3535" s="75">
        <v>20515</v>
      </c>
      <c r="G3535" s="76" t="str">
        <f>VLOOKUP(Tabelle2[[#This Row],[Kunden Nr.]],KUNDEN!A:B,2,0)</f>
        <v>LIRIDONA-A</v>
      </c>
      <c r="H3535" s="75">
        <v>35109</v>
      </c>
      <c r="I3535" s="76" t="str">
        <f>VLOOKUP(Tabelle2[[#This Row],[Artikel]],Produkte!A:B,2,0)</f>
        <v>M-ONE Sanitar Silikon</v>
      </c>
      <c r="J3535" s="75">
        <v>12</v>
      </c>
      <c r="K3535" s="76" t="str">
        <f>VLOOKUP(Tabelle2[[#This Row],[Kunden Nr.]],KUNDEN!A:G,7)</f>
        <v>Mensuri</v>
      </c>
      <c r="L3535" s="76">
        <f>VLOOKUP(Tabelle2[[#This Row],[Artikel]],Produkte!A:H,8)</f>
        <v>0.17</v>
      </c>
    </row>
    <row r="3536" spans="1:12" x14ac:dyDescent="0.2">
      <c r="A3536" s="75" t="s">
        <v>463</v>
      </c>
      <c r="B3536" s="79">
        <v>46157</v>
      </c>
      <c r="C3536" s="75"/>
      <c r="D3536" s="75"/>
      <c r="E3536" s="75"/>
      <c r="F3536" s="75">
        <v>20515</v>
      </c>
      <c r="G3536" s="76" t="str">
        <f>VLOOKUP(Tabelle2[[#This Row],[Kunden Nr.]],KUNDEN!A:B,2,0)</f>
        <v>LIRIDONA-A</v>
      </c>
      <c r="H3536" s="75">
        <v>35110</v>
      </c>
      <c r="I3536" s="76" t="str">
        <f>VLOOKUP(Tabelle2[[#This Row],[Artikel]],Produkte!A:B,2,0)</f>
        <v>M-ONE Sanitar Silikon</v>
      </c>
      <c r="J3536" s="75">
        <v>12</v>
      </c>
      <c r="K3536" s="76" t="str">
        <f>VLOOKUP(Tabelle2[[#This Row],[Kunden Nr.]],KUNDEN!A:G,7)</f>
        <v>Mensuri</v>
      </c>
      <c r="L3536" s="76">
        <f>VLOOKUP(Tabelle2[[#This Row],[Artikel]],Produkte!A:H,8)</f>
        <v>0.17</v>
      </c>
    </row>
    <row r="3537" spans="1:12" x14ac:dyDescent="0.2">
      <c r="A3537" s="75" t="s">
        <v>463</v>
      </c>
      <c r="B3537" s="79">
        <v>46157</v>
      </c>
      <c r="C3537" s="75"/>
      <c r="D3537" s="75"/>
      <c r="E3537" s="75"/>
      <c r="F3537" s="75">
        <v>20515</v>
      </c>
      <c r="G3537" s="76" t="str">
        <f>VLOOKUP(Tabelle2[[#This Row],[Kunden Nr.]],KUNDEN!A:B,2,0)</f>
        <v>LIRIDONA-A</v>
      </c>
      <c r="H3537" s="75">
        <v>35121</v>
      </c>
      <c r="I3537" s="76" t="str">
        <f>VLOOKUP(Tabelle2[[#This Row],[Artikel]],Produkte!A:B,2,0)</f>
        <v>M-ONE Sanitar Silikon</v>
      </c>
      <c r="J3537" s="75">
        <v>12</v>
      </c>
      <c r="K3537" s="76" t="str">
        <f>VLOOKUP(Tabelle2[[#This Row],[Kunden Nr.]],KUNDEN!A:G,7)</f>
        <v>Mensuri</v>
      </c>
      <c r="L3537" s="76">
        <f>VLOOKUP(Tabelle2[[#This Row],[Artikel]],Produkte!A:H,8)</f>
        <v>0.17</v>
      </c>
    </row>
    <row r="3538" spans="1:12" x14ac:dyDescent="0.2">
      <c r="A3538" s="75" t="s">
        <v>463</v>
      </c>
      <c r="B3538" s="79">
        <v>46157</v>
      </c>
      <c r="C3538" s="75"/>
      <c r="D3538" s="75"/>
      <c r="E3538" s="75"/>
      <c r="F3538" s="75">
        <v>20515</v>
      </c>
      <c r="G3538" s="76" t="str">
        <f>VLOOKUP(Tabelle2[[#This Row],[Kunden Nr.]],KUNDEN!A:B,2,0)</f>
        <v>LIRIDONA-A</v>
      </c>
      <c r="H3538" s="75">
        <v>66701</v>
      </c>
      <c r="I3538" s="76" t="str">
        <f>VLOOKUP(Tabelle2[[#This Row],[Artikel]],Produkte!A:B,2,0)</f>
        <v>PROFIMONT EXTREME</v>
      </c>
      <c r="J3538" s="75">
        <v>12</v>
      </c>
      <c r="K3538" s="76" t="str">
        <f>VLOOKUP(Tabelle2[[#This Row],[Kunden Nr.]],KUNDEN!A:G,7)</f>
        <v>Mensuri</v>
      </c>
      <c r="L3538" s="76">
        <f>VLOOKUP(Tabelle2[[#This Row],[Artikel]],Produkte!A:H,8)</f>
        <v>0.2</v>
      </c>
    </row>
    <row r="3539" spans="1:12" x14ac:dyDescent="0.2">
      <c r="A3539" s="75" t="s">
        <v>53</v>
      </c>
      <c r="B3539" s="79">
        <v>46157</v>
      </c>
      <c r="C3539" s="89">
        <v>192</v>
      </c>
      <c r="D3539" s="75"/>
      <c r="E3539" s="75"/>
      <c r="F3539" s="75">
        <v>20407</v>
      </c>
      <c r="G3539" s="76" t="str">
        <f>VLOOKUP(Tabelle2[[#This Row],[Kunden Nr.]],KUNDEN!A:B,2,0)</f>
        <v>TE BENI</v>
      </c>
      <c r="H3539" s="75">
        <v>35110</v>
      </c>
      <c r="I3539" s="76" t="str">
        <f>VLOOKUP(Tabelle2[[#This Row],[Artikel]],Produkte!A:B,2,0)</f>
        <v>M-ONE Sanitar Silikon</v>
      </c>
      <c r="J3539" s="75">
        <v>12</v>
      </c>
      <c r="K3539" s="76" t="str">
        <f>VLOOKUP(Tabelle2[[#This Row],[Kunden Nr.]],KUNDEN!A:G,7)</f>
        <v>Mensuri</v>
      </c>
      <c r="L3539" s="76">
        <f>VLOOKUP(Tabelle2[[#This Row],[Artikel]],Produkte!A:H,8)</f>
        <v>0.17</v>
      </c>
    </row>
    <row r="3540" spans="1:12" x14ac:dyDescent="0.2">
      <c r="A3540" s="75" t="s">
        <v>53</v>
      </c>
      <c r="B3540" s="79">
        <v>46157</v>
      </c>
      <c r="C3540" s="75"/>
      <c r="D3540" s="75"/>
      <c r="E3540" s="75"/>
      <c r="F3540" s="75">
        <v>20407</v>
      </c>
      <c r="G3540" s="76" t="str">
        <f>VLOOKUP(Tabelle2[[#This Row],[Kunden Nr.]],KUNDEN!A:B,2,0)</f>
        <v>TE BENI</v>
      </c>
      <c r="H3540" s="75">
        <v>35111</v>
      </c>
      <c r="I3540" s="76" t="str">
        <f>VLOOKUP(Tabelle2[[#This Row],[Artikel]],Produkte!A:B,2,0)</f>
        <v>M-ONE Sanitar Silikon</v>
      </c>
      <c r="J3540" s="75">
        <v>12</v>
      </c>
      <c r="K3540" s="76" t="str">
        <f>VLOOKUP(Tabelle2[[#This Row],[Kunden Nr.]],KUNDEN!A:G,7)</f>
        <v>Mensuri</v>
      </c>
      <c r="L3540" s="76">
        <f>VLOOKUP(Tabelle2[[#This Row],[Artikel]],Produkte!A:H,8)</f>
        <v>0.17</v>
      </c>
    </row>
    <row r="3541" spans="1:12" x14ac:dyDescent="0.2">
      <c r="A3541" s="75" t="s">
        <v>53</v>
      </c>
      <c r="B3541" s="79">
        <v>46157</v>
      </c>
      <c r="C3541" s="75"/>
      <c r="D3541" s="75"/>
      <c r="E3541" s="75"/>
      <c r="F3541" s="75">
        <v>20407</v>
      </c>
      <c r="G3541" s="76" t="str">
        <f>VLOOKUP(Tabelle2[[#This Row],[Kunden Nr.]],KUNDEN!A:B,2,0)</f>
        <v>TE BENI</v>
      </c>
      <c r="H3541" s="75">
        <v>35115</v>
      </c>
      <c r="I3541" s="76" t="str">
        <f>VLOOKUP(Tabelle2[[#This Row],[Artikel]],Produkte!A:B,2,0)</f>
        <v>M-ONE Sanitar Silikon</v>
      </c>
      <c r="J3541" s="75">
        <v>24</v>
      </c>
      <c r="K3541" s="76" t="str">
        <f>VLOOKUP(Tabelle2[[#This Row],[Kunden Nr.]],KUNDEN!A:G,7)</f>
        <v>Mensuri</v>
      </c>
      <c r="L3541" s="76">
        <f>VLOOKUP(Tabelle2[[#This Row],[Artikel]],Produkte!A:H,8)</f>
        <v>0.17</v>
      </c>
    </row>
    <row r="3542" spans="1:12" x14ac:dyDescent="0.2">
      <c r="A3542" s="75" t="s">
        <v>59</v>
      </c>
      <c r="B3542" s="79">
        <v>46157</v>
      </c>
      <c r="C3542" s="89">
        <v>51.4</v>
      </c>
      <c r="D3542" s="75"/>
      <c r="E3542" s="75"/>
      <c r="F3542" s="75">
        <v>20406</v>
      </c>
      <c r="G3542" s="76" t="str">
        <f>VLOOKUP(Tabelle2[[#This Row],[Kunden Nr.]],KUNDEN!A:B,2,0)</f>
        <v>MEGI</v>
      </c>
      <c r="H3542" s="75">
        <v>54412</v>
      </c>
      <c r="I3542" s="76" t="str">
        <f>VLOOKUP(Tabelle2[[#This Row],[Artikel]],Produkte!A:B,2,0)</f>
        <v>beMAKER Bremsen&amp;Teile Reininger</v>
      </c>
      <c r="J3542" s="75">
        <v>6</v>
      </c>
      <c r="K3542" s="76" t="str">
        <f>VLOOKUP(Tabelle2[[#This Row],[Kunden Nr.]],KUNDEN!A:G,7)</f>
        <v>Mensuri</v>
      </c>
      <c r="L3542" s="76">
        <f>VLOOKUP(Tabelle2[[#This Row],[Artikel]],Produkte!A:H,8)</f>
        <v>0.2</v>
      </c>
    </row>
    <row r="3543" spans="1:12" x14ac:dyDescent="0.2">
      <c r="A3543" s="75" t="s">
        <v>59</v>
      </c>
      <c r="B3543" s="79">
        <v>46157</v>
      </c>
      <c r="C3543" s="75"/>
      <c r="D3543" s="75"/>
      <c r="E3543" s="75"/>
      <c r="F3543" s="75">
        <v>20406</v>
      </c>
      <c r="G3543" s="76" t="str">
        <f>VLOOKUP(Tabelle2[[#This Row],[Kunden Nr.]],KUNDEN!A:B,2,0)</f>
        <v>MEGI</v>
      </c>
      <c r="H3543" s="75">
        <v>55718</v>
      </c>
      <c r="I3543" s="76" t="str">
        <f>VLOOKUP(Tabelle2[[#This Row],[Artikel]],Produkte!A:B,2,0)</f>
        <v>M ONE MOTORSTART</v>
      </c>
      <c r="J3543" s="75">
        <v>4</v>
      </c>
      <c r="K3543" s="76" t="str">
        <f>VLOOKUP(Tabelle2[[#This Row],[Kunden Nr.]],KUNDEN!A:G,7)</f>
        <v>Mensuri</v>
      </c>
      <c r="L3543" s="76">
        <f>VLOOKUP(Tabelle2[[#This Row],[Artikel]],Produkte!A:H,8)</f>
        <v>0.2</v>
      </c>
    </row>
    <row r="3544" spans="1:12" x14ac:dyDescent="0.2">
      <c r="A3544" s="75" t="s">
        <v>59</v>
      </c>
      <c r="B3544" s="79">
        <v>46157</v>
      </c>
      <c r="C3544" s="75"/>
      <c r="D3544" s="75"/>
      <c r="E3544" s="75"/>
      <c r="F3544" s="75">
        <v>20406</v>
      </c>
      <c r="G3544" s="76" t="str">
        <f>VLOOKUP(Tabelle2[[#This Row],[Kunden Nr.]],KUNDEN!A:B,2,0)</f>
        <v>MEGI</v>
      </c>
      <c r="H3544" s="75">
        <v>44001</v>
      </c>
      <c r="I3544" s="76" t="str">
        <f>VLOOKUP(Tabelle2[[#This Row],[Artikel]],Produkte!A:B,2,0)</f>
        <v>Fettspray</v>
      </c>
      <c r="J3544" s="75">
        <v>2</v>
      </c>
      <c r="K3544" s="76" t="str">
        <f>VLOOKUP(Tabelle2[[#This Row],[Kunden Nr.]],KUNDEN!A:G,7)</f>
        <v>Mensuri</v>
      </c>
      <c r="L3544" s="76">
        <f>VLOOKUP(Tabelle2[[#This Row],[Artikel]],Produkte!A:H,8)</f>
        <v>0.2</v>
      </c>
    </row>
    <row r="3545" spans="1:12" x14ac:dyDescent="0.2">
      <c r="A3545" s="75" t="s">
        <v>59</v>
      </c>
      <c r="B3545" s="79">
        <v>46157</v>
      </c>
      <c r="C3545" s="75"/>
      <c r="D3545" s="75"/>
      <c r="E3545" s="75"/>
      <c r="F3545" s="75">
        <v>20406</v>
      </c>
      <c r="G3545" s="76" t="str">
        <f>VLOOKUP(Tabelle2[[#This Row],[Kunden Nr.]],KUNDEN!A:B,2,0)</f>
        <v>MEGI</v>
      </c>
      <c r="H3545" s="75">
        <v>50912</v>
      </c>
      <c r="I3545" s="76" t="str">
        <f>VLOOKUP(Tabelle2[[#This Row],[Artikel]],Produkte!A:B,2,0)</f>
        <v>DICHTUNG</v>
      </c>
      <c r="J3545" s="75">
        <v>3</v>
      </c>
      <c r="K3545" s="76" t="str">
        <f>VLOOKUP(Tabelle2[[#This Row],[Kunden Nr.]],KUNDEN!A:G,7)</f>
        <v>Mensuri</v>
      </c>
      <c r="L3545" s="76">
        <f>VLOOKUP(Tabelle2[[#This Row],[Artikel]],Produkte!A:H,8)</f>
        <v>0.2</v>
      </c>
    </row>
    <row r="3546" spans="1:12" x14ac:dyDescent="0.2">
      <c r="A3546" s="75" t="s">
        <v>52</v>
      </c>
      <c r="B3546" s="79">
        <v>46157</v>
      </c>
      <c r="C3546" s="89">
        <v>60.1</v>
      </c>
      <c r="D3546" s="75"/>
      <c r="E3546" s="75"/>
      <c r="F3546" s="75">
        <v>20409</v>
      </c>
      <c r="G3546" s="76" t="str">
        <f>VLOOKUP(Tabelle2[[#This Row],[Kunden Nr.]],KUNDEN!A:B,2,0)</f>
        <v>BENI</v>
      </c>
      <c r="H3546" s="75">
        <v>31827</v>
      </c>
      <c r="I3546" s="76" t="str">
        <f>VLOOKUP(Tabelle2[[#This Row],[Artikel]],Produkte!A:B,2,0)</f>
        <v>M ONE LACK GRUN</v>
      </c>
      <c r="J3546" s="75">
        <v>4</v>
      </c>
      <c r="K3546" s="76" t="str">
        <f>VLOOKUP(Tabelle2[[#This Row],[Kunden Nr.]],KUNDEN!A:G,7)</f>
        <v>Mensuri</v>
      </c>
      <c r="L3546" s="76">
        <f>VLOOKUP(Tabelle2[[#This Row],[Artikel]],Produkte!A:H,8)</f>
        <v>0.15</v>
      </c>
    </row>
    <row r="3547" spans="1:12" x14ac:dyDescent="0.2">
      <c r="A3547" s="75" t="s">
        <v>52</v>
      </c>
      <c r="B3547" s="79">
        <v>46157</v>
      </c>
      <c r="C3547" s="75"/>
      <c r="D3547" s="75"/>
      <c r="E3547" s="75"/>
      <c r="F3547" s="75">
        <v>20409</v>
      </c>
      <c r="G3547" s="76" t="str">
        <f>VLOOKUP(Tabelle2[[#This Row],[Kunden Nr.]],KUNDEN!A:B,2,0)</f>
        <v>BENI</v>
      </c>
      <c r="H3547" s="75">
        <v>31812</v>
      </c>
      <c r="I3547" s="76" t="str">
        <f>VLOOKUP(Tabelle2[[#This Row],[Artikel]],Produkte!A:B,2,0)</f>
        <v>M ONE LACK GELB</v>
      </c>
      <c r="J3547" s="75">
        <v>4</v>
      </c>
      <c r="K3547" s="76" t="str">
        <f>VLOOKUP(Tabelle2[[#This Row],[Kunden Nr.]],KUNDEN!A:G,7)</f>
        <v>Mensuri</v>
      </c>
      <c r="L3547" s="76">
        <f>VLOOKUP(Tabelle2[[#This Row],[Artikel]],Produkte!A:H,8)</f>
        <v>0.15</v>
      </c>
    </row>
    <row r="3548" spans="1:12" x14ac:dyDescent="0.2">
      <c r="A3548" s="75" t="s">
        <v>52</v>
      </c>
      <c r="B3548" s="79">
        <v>46157</v>
      </c>
      <c r="C3548" s="75"/>
      <c r="D3548" s="75"/>
      <c r="E3548" s="75"/>
      <c r="F3548" s="75">
        <v>20409</v>
      </c>
      <c r="G3548" s="76" t="str">
        <f>VLOOKUP(Tabelle2[[#This Row],[Kunden Nr.]],KUNDEN!A:B,2,0)</f>
        <v>BENI</v>
      </c>
      <c r="H3548" s="75">
        <v>44001</v>
      </c>
      <c r="I3548" s="76" t="str">
        <f>VLOOKUP(Tabelle2[[#This Row],[Artikel]],Produkte!A:B,2,0)</f>
        <v>Fettspray</v>
      </c>
      <c r="J3548" s="75">
        <v>4</v>
      </c>
      <c r="K3548" s="76" t="str">
        <f>VLOOKUP(Tabelle2[[#This Row],[Kunden Nr.]],KUNDEN!A:G,7)</f>
        <v>Mensuri</v>
      </c>
      <c r="L3548" s="76">
        <f>VLOOKUP(Tabelle2[[#This Row],[Artikel]],Produkte!A:H,8)</f>
        <v>0.2</v>
      </c>
    </row>
    <row r="3549" spans="1:12" x14ac:dyDescent="0.2">
      <c r="A3549" s="75" t="s">
        <v>52</v>
      </c>
      <c r="B3549" s="79">
        <v>46157</v>
      </c>
      <c r="C3549" s="75"/>
      <c r="D3549" s="75"/>
      <c r="E3549" s="75"/>
      <c r="F3549" s="75">
        <v>20409</v>
      </c>
      <c r="G3549" s="76" t="str">
        <f>VLOOKUP(Tabelle2[[#This Row],[Kunden Nr.]],KUNDEN!A:B,2,0)</f>
        <v>BENI</v>
      </c>
      <c r="H3549" s="75">
        <v>16936</v>
      </c>
      <c r="I3549" s="76" t="str">
        <f>VLOOKUP(Tabelle2[[#This Row],[Artikel]],Produkte!A:B,2,0)</f>
        <v>M ONE FELGENSILBER</v>
      </c>
      <c r="J3549" s="75">
        <v>3</v>
      </c>
      <c r="K3549" s="76" t="str">
        <f>VLOOKUP(Tabelle2[[#This Row],[Kunden Nr.]],KUNDEN!A:G,7)</f>
        <v>Mensuri</v>
      </c>
      <c r="L3549" s="76">
        <f>VLOOKUP(Tabelle2[[#This Row],[Artikel]],Produkte!A:H,8)</f>
        <v>0.15</v>
      </c>
    </row>
    <row r="3550" spans="1:12" x14ac:dyDescent="0.2">
      <c r="A3550" s="75" t="s">
        <v>52</v>
      </c>
      <c r="B3550" s="79">
        <v>46157</v>
      </c>
      <c r="C3550" s="75"/>
      <c r="D3550" s="75"/>
      <c r="E3550" s="75"/>
      <c r="F3550" s="75">
        <v>20409</v>
      </c>
      <c r="G3550" s="76" t="str">
        <f>VLOOKUP(Tabelle2[[#This Row],[Kunden Nr.]],KUNDEN!A:B,2,0)</f>
        <v>BENI</v>
      </c>
      <c r="H3550" s="75">
        <v>51736</v>
      </c>
      <c r="I3550" s="76" t="str">
        <f>VLOOKUP(Tabelle2[[#This Row],[Artikel]],Produkte!A:B,2,0)</f>
        <v>M ONE SCHWARZ MATT</v>
      </c>
      <c r="J3550" s="75">
        <v>2</v>
      </c>
      <c r="K3550" s="76" t="str">
        <f>VLOOKUP(Tabelle2[[#This Row],[Kunden Nr.]],KUNDEN!A:G,7)</f>
        <v>Mensuri</v>
      </c>
      <c r="L3550" s="76">
        <f>VLOOKUP(Tabelle2[[#This Row],[Artikel]],Produkte!A:H,8)</f>
        <v>0.15</v>
      </c>
    </row>
    <row r="3551" spans="1:12" x14ac:dyDescent="0.2">
      <c r="A3551" s="75" t="s">
        <v>52</v>
      </c>
      <c r="B3551" s="79">
        <v>46157</v>
      </c>
      <c r="C3551" s="75"/>
      <c r="D3551" s="75"/>
      <c r="E3551" s="75"/>
      <c r="F3551" s="75">
        <v>20409</v>
      </c>
      <c r="G3551" s="76" t="str">
        <f>VLOOKUP(Tabelle2[[#This Row],[Kunden Nr.]],KUNDEN!A:B,2,0)</f>
        <v>BENI</v>
      </c>
      <c r="H3551" s="75">
        <v>29802</v>
      </c>
      <c r="I3551" s="76" t="str">
        <f>VLOOKUP(Tabelle2[[#This Row],[Artikel]],Produkte!A:B,2,0)</f>
        <v>beMaker Handwaschpaste</v>
      </c>
      <c r="J3551" s="75">
        <v>8</v>
      </c>
      <c r="K3551" s="76" t="str">
        <f>VLOOKUP(Tabelle2[[#This Row],[Kunden Nr.]],KUNDEN!A:G,7)</f>
        <v>Mensuri</v>
      </c>
      <c r="L3551" s="76">
        <f>VLOOKUP(Tabelle2[[#This Row],[Artikel]],Produkte!A:H,8)</f>
        <v>0.1</v>
      </c>
    </row>
    <row r="3552" spans="1:12" x14ac:dyDescent="0.2">
      <c r="A3552" s="75" t="s">
        <v>47</v>
      </c>
      <c r="B3552" s="79">
        <v>46157</v>
      </c>
      <c r="C3552" s="89">
        <v>110.5</v>
      </c>
      <c r="D3552" s="75"/>
      <c r="E3552" s="75"/>
      <c r="F3552" s="75">
        <v>20403</v>
      </c>
      <c r="G3552" s="76" t="str">
        <f>VLOOKUP(Tabelle2[[#This Row],[Kunden Nr.]],KUNDEN!A:B,2,0)</f>
        <v>TERMIKA</v>
      </c>
      <c r="H3552" s="75">
        <v>35109</v>
      </c>
      <c r="I3552" s="76" t="str">
        <f>VLOOKUP(Tabelle2[[#This Row],[Artikel]],Produkte!A:B,2,0)</f>
        <v>M-ONE Sanitar Silikon</v>
      </c>
      <c r="J3552" s="75">
        <v>12</v>
      </c>
      <c r="K3552" s="76" t="str">
        <f>VLOOKUP(Tabelle2[[#This Row],[Kunden Nr.]],KUNDEN!A:G,7)</f>
        <v>Mensuri</v>
      </c>
      <c r="L3552" s="76">
        <f>VLOOKUP(Tabelle2[[#This Row],[Artikel]],Produkte!A:H,8)</f>
        <v>0.17</v>
      </c>
    </row>
    <row r="3553" spans="1:12" x14ac:dyDescent="0.2">
      <c r="A3553" s="75" t="s">
        <v>47</v>
      </c>
      <c r="B3553" s="79">
        <v>46157</v>
      </c>
      <c r="C3553" s="75"/>
      <c r="D3553" s="75"/>
      <c r="E3553" s="75"/>
      <c r="F3553" s="75">
        <v>20403</v>
      </c>
      <c r="G3553" s="76" t="str">
        <f>VLOOKUP(Tabelle2[[#This Row],[Kunden Nr.]],KUNDEN!A:B,2,0)</f>
        <v>TERMIKA</v>
      </c>
      <c r="H3553" s="75">
        <v>35110</v>
      </c>
      <c r="I3553" s="76" t="str">
        <f>VLOOKUP(Tabelle2[[#This Row],[Artikel]],Produkte!A:B,2,0)</f>
        <v>M-ONE Sanitar Silikon</v>
      </c>
      <c r="J3553" s="75">
        <v>12</v>
      </c>
      <c r="K3553" s="76" t="str">
        <f>VLOOKUP(Tabelle2[[#This Row],[Kunden Nr.]],KUNDEN!A:G,7)</f>
        <v>Mensuri</v>
      </c>
      <c r="L3553" s="76">
        <f>VLOOKUP(Tabelle2[[#This Row],[Artikel]],Produkte!A:H,8)</f>
        <v>0.17</v>
      </c>
    </row>
    <row r="3554" spans="1:12" x14ac:dyDescent="0.2">
      <c r="A3554" s="75" t="s">
        <v>47</v>
      </c>
      <c r="B3554" s="79">
        <v>46157</v>
      </c>
      <c r="C3554" s="75"/>
      <c r="D3554" s="75"/>
      <c r="E3554" s="75"/>
      <c r="F3554" s="75">
        <v>20403</v>
      </c>
      <c r="G3554" s="76" t="str">
        <f>VLOOKUP(Tabelle2[[#This Row],[Kunden Nr.]],KUNDEN!A:B,2,0)</f>
        <v>TERMIKA</v>
      </c>
      <c r="H3554" s="75">
        <v>49644</v>
      </c>
      <c r="I3554" s="76" t="str">
        <f>VLOOKUP(Tabelle2[[#This Row],[Artikel]],Produkte!A:B,2,0)</f>
        <v>beMAKER Rostlöser</v>
      </c>
      <c r="J3554" s="75">
        <v>6</v>
      </c>
      <c r="K3554" s="76" t="str">
        <f>VLOOKUP(Tabelle2[[#This Row],[Kunden Nr.]],KUNDEN!A:G,7)</f>
        <v>Mensuri</v>
      </c>
      <c r="L3554" s="76">
        <f>VLOOKUP(Tabelle2[[#This Row],[Artikel]],Produkte!A:H,8)</f>
        <v>0.2</v>
      </c>
    </row>
    <row r="3555" spans="1:12" x14ac:dyDescent="0.2">
      <c r="A3555" s="75" t="s">
        <v>47</v>
      </c>
      <c r="B3555" s="79">
        <v>46157</v>
      </c>
      <c r="C3555" s="75"/>
      <c r="D3555" s="75"/>
      <c r="E3555" s="75"/>
      <c r="F3555" s="75">
        <v>20403</v>
      </c>
      <c r="G3555" s="76" t="str">
        <f>VLOOKUP(Tabelle2[[#This Row],[Kunden Nr.]],KUNDEN!A:B,2,0)</f>
        <v>TERMIKA</v>
      </c>
      <c r="H3555" s="75">
        <v>51936</v>
      </c>
      <c r="I3555" s="76" t="str">
        <f>VLOOKUP(Tabelle2[[#This Row],[Artikel]],Produkte!A:B,2,0)</f>
        <v>M ONE SCHWARZ GLÄNZED</v>
      </c>
      <c r="J3555" s="75">
        <v>1</v>
      </c>
      <c r="K3555" s="76" t="str">
        <f>VLOOKUP(Tabelle2[[#This Row],[Kunden Nr.]],KUNDEN!A:G,7)</f>
        <v>Mensuri</v>
      </c>
      <c r="L3555" s="76">
        <f>VLOOKUP(Tabelle2[[#This Row],[Artikel]],Produkte!A:H,8)</f>
        <v>0.15</v>
      </c>
    </row>
    <row r="3556" spans="1:12" x14ac:dyDescent="0.2">
      <c r="A3556" s="75" t="s">
        <v>1230</v>
      </c>
      <c r="B3556" s="79">
        <v>46158</v>
      </c>
      <c r="C3556" s="89">
        <v>48</v>
      </c>
      <c r="D3556" s="75"/>
      <c r="E3556" s="75"/>
      <c r="F3556" s="75">
        <v>10636</v>
      </c>
      <c r="G3556" s="76" t="e">
        <f>VLOOKUP(Tabelle2[[#This Row],[Kunden Nr.]],KUNDEN!A:B,2,0)</f>
        <v>#N/A</v>
      </c>
      <c r="H3556" s="75">
        <v>35121</v>
      </c>
      <c r="I3556" s="76" t="str">
        <f>VLOOKUP(Tabelle2[[#This Row],[Artikel]],Produkte!A:B,2,0)</f>
        <v>M-ONE Sanitar Silikon</v>
      </c>
      <c r="J3556" s="75">
        <v>12</v>
      </c>
      <c r="K3556" s="76" t="str">
        <f>VLOOKUP(Tabelle2[[#This Row],[Kunden Nr.]],KUNDEN!A:G,7)</f>
        <v>Qerimi</v>
      </c>
      <c r="L3556" s="76">
        <f>VLOOKUP(Tabelle2[[#This Row],[Artikel]],Produkte!A:H,8)</f>
        <v>0.17</v>
      </c>
    </row>
    <row r="3557" spans="1:12" x14ac:dyDescent="0.2">
      <c r="A3557" s="75" t="s">
        <v>605</v>
      </c>
      <c r="B3557" s="79">
        <v>46158</v>
      </c>
      <c r="C3557" s="89">
        <v>60</v>
      </c>
      <c r="D3557" s="75"/>
      <c r="E3557" s="75"/>
      <c r="F3557" s="75">
        <v>10613</v>
      </c>
      <c r="G3557" s="76" t="str">
        <f>VLOOKUP(Tabelle2[[#This Row],[Kunden Nr.]],KUNDEN!A:B,2,0)</f>
        <v>TE KELA</v>
      </c>
      <c r="H3557" s="75">
        <v>50912</v>
      </c>
      <c r="I3557" s="76" t="str">
        <f>VLOOKUP(Tabelle2[[#This Row],[Artikel]],Produkte!A:B,2,0)</f>
        <v>DICHTUNG</v>
      </c>
      <c r="J3557" s="75">
        <v>5</v>
      </c>
      <c r="K3557" s="76" t="str">
        <f>VLOOKUP(Tabelle2[[#This Row],[Kunden Nr.]],KUNDEN!A:G,7)</f>
        <v>Qerimi</v>
      </c>
      <c r="L3557" s="76">
        <f>VLOOKUP(Tabelle2[[#This Row],[Artikel]],Produkte!A:H,8)</f>
        <v>0.2</v>
      </c>
    </row>
    <row r="3558" spans="1:12" x14ac:dyDescent="0.2">
      <c r="A3558" s="75" t="s">
        <v>605</v>
      </c>
      <c r="B3558" s="79">
        <v>46158</v>
      </c>
      <c r="C3558" s="75"/>
      <c r="D3558" s="75"/>
      <c r="E3558" s="75"/>
      <c r="F3558" s="75">
        <v>10613</v>
      </c>
      <c r="G3558" s="76" t="str">
        <f>VLOOKUP(Tabelle2[[#This Row],[Kunden Nr.]],KUNDEN!A:B,2,0)</f>
        <v>TE KELA</v>
      </c>
      <c r="H3558" s="75">
        <v>49644</v>
      </c>
      <c r="I3558" s="76" t="str">
        <f>VLOOKUP(Tabelle2[[#This Row],[Artikel]],Produkte!A:B,2,0)</f>
        <v>beMAKER Rostlöser</v>
      </c>
      <c r="J3558" s="75">
        <v>12</v>
      </c>
      <c r="K3558" s="76" t="str">
        <f>VLOOKUP(Tabelle2[[#This Row],[Kunden Nr.]],KUNDEN!A:G,7)</f>
        <v>Qerimi</v>
      </c>
      <c r="L3558" s="76">
        <f>VLOOKUP(Tabelle2[[#This Row],[Artikel]],Produkte!A:H,8)</f>
        <v>0.2</v>
      </c>
    </row>
    <row r="3559" spans="1:12" x14ac:dyDescent="0.2">
      <c r="A3559" s="75" t="s">
        <v>1230</v>
      </c>
      <c r="B3559" s="79">
        <v>46158</v>
      </c>
      <c r="C3559" s="89">
        <v>86.4</v>
      </c>
      <c r="D3559" s="75"/>
      <c r="E3559" s="75"/>
      <c r="F3559" s="75">
        <v>10637</v>
      </c>
      <c r="G3559" s="76" t="e">
        <f>VLOOKUP(Tabelle2[[#This Row],[Kunden Nr.]],KUNDEN!A:B,2,0)</f>
        <v>#N/A</v>
      </c>
      <c r="H3559" s="75">
        <v>50912</v>
      </c>
      <c r="I3559" s="76" t="str">
        <f>VLOOKUP(Tabelle2[[#This Row],[Artikel]],Produkte!A:B,2,0)</f>
        <v>DICHTUNG</v>
      </c>
      <c r="J3559" s="75">
        <v>12</v>
      </c>
      <c r="K3559" s="76" t="str">
        <f>VLOOKUP(Tabelle2[[#This Row],[Kunden Nr.]],KUNDEN!A:G,7)</f>
        <v>Qerimi</v>
      </c>
      <c r="L3559" s="76">
        <f>VLOOKUP(Tabelle2[[#This Row],[Artikel]],Produkte!A:H,8)</f>
        <v>0.2</v>
      </c>
    </row>
    <row r="3560" spans="1:12" x14ac:dyDescent="0.2">
      <c r="A3560" s="75" t="s">
        <v>837</v>
      </c>
      <c r="B3560" s="79">
        <v>46158</v>
      </c>
      <c r="C3560" s="89">
        <v>144</v>
      </c>
      <c r="D3560" s="75"/>
      <c r="E3560" s="75"/>
      <c r="F3560" s="75">
        <v>10625</v>
      </c>
      <c r="G3560" s="76" t="str">
        <f>VLOOKUP(Tabelle2[[#This Row],[Kunden Nr.]],KUNDEN!A:B,2,0)</f>
        <v>KUJTA</v>
      </c>
      <c r="H3560" s="75">
        <v>35128</v>
      </c>
      <c r="I3560" s="76" t="str">
        <f>VLOOKUP(Tabelle2[[#This Row],[Artikel]],Produkte!A:B,2,0)</f>
        <v>M-ONE Sanitar Silikon</v>
      </c>
      <c r="J3560" s="75">
        <v>12</v>
      </c>
      <c r="K3560" s="76" t="str">
        <f>VLOOKUP(Tabelle2[[#This Row],[Kunden Nr.]],KUNDEN!A:G,7)</f>
        <v>Qerimi</v>
      </c>
      <c r="L3560" s="76">
        <f>VLOOKUP(Tabelle2[[#This Row],[Artikel]],Produkte!A:H,8)</f>
        <v>0.17</v>
      </c>
    </row>
    <row r="3561" spans="1:12" x14ac:dyDescent="0.2">
      <c r="A3561" s="75" t="s">
        <v>837</v>
      </c>
      <c r="B3561" s="79">
        <v>46158</v>
      </c>
      <c r="C3561" s="75"/>
      <c r="D3561" s="75"/>
      <c r="E3561" s="75"/>
      <c r="F3561" s="75">
        <v>10625</v>
      </c>
      <c r="G3561" s="76" t="str">
        <f>VLOOKUP(Tabelle2[[#This Row],[Kunden Nr.]],KUNDEN!A:B,2,0)</f>
        <v>KUJTA</v>
      </c>
      <c r="H3561" s="75">
        <v>35125</v>
      </c>
      <c r="I3561" s="76" t="str">
        <f>VLOOKUP(Tabelle2[[#This Row],[Artikel]],Produkte!A:B,2,0)</f>
        <v>M-ONE Sanitar Silikon</v>
      </c>
      <c r="J3561" s="75">
        <v>12</v>
      </c>
      <c r="K3561" s="76" t="str">
        <f>VLOOKUP(Tabelle2[[#This Row],[Kunden Nr.]],KUNDEN!A:G,7)</f>
        <v>Qerimi</v>
      </c>
      <c r="L3561" s="76">
        <f>VLOOKUP(Tabelle2[[#This Row],[Artikel]],Produkte!A:H,8)</f>
        <v>0.17</v>
      </c>
    </row>
    <row r="3562" spans="1:12" x14ac:dyDescent="0.2">
      <c r="A3562" s="75" t="s">
        <v>837</v>
      </c>
      <c r="B3562" s="79">
        <v>46158</v>
      </c>
      <c r="C3562" s="75"/>
      <c r="D3562" s="75"/>
      <c r="E3562" s="75"/>
      <c r="F3562" s="75">
        <v>10625</v>
      </c>
      <c r="G3562" s="76" t="str">
        <f>VLOOKUP(Tabelle2[[#This Row],[Kunden Nr.]],KUNDEN!A:B,2,0)</f>
        <v>KUJTA</v>
      </c>
      <c r="H3562" s="75">
        <v>35113</v>
      </c>
      <c r="I3562" s="76" t="str">
        <f>VLOOKUP(Tabelle2[[#This Row],[Artikel]],Produkte!A:B,2,0)</f>
        <v>M-ONE Sanitar Silikon</v>
      </c>
      <c r="J3562" s="75">
        <v>12</v>
      </c>
      <c r="K3562" s="76" t="str">
        <f>VLOOKUP(Tabelle2[[#This Row],[Kunden Nr.]],KUNDEN!A:G,7)</f>
        <v>Qerimi</v>
      </c>
      <c r="L3562" s="76">
        <f>VLOOKUP(Tabelle2[[#This Row],[Artikel]],Produkte!A:H,8)</f>
        <v>0.17</v>
      </c>
    </row>
    <row r="3563" spans="1:12" x14ac:dyDescent="0.2">
      <c r="A3563" s="75" t="s">
        <v>608</v>
      </c>
      <c r="B3563" s="79">
        <v>46158</v>
      </c>
      <c r="C3563" s="89">
        <v>48</v>
      </c>
      <c r="D3563" s="75"/>
      <c r="E3563" s="75"/>
      <c r="F3563" s="75">
        <v>10616</v>
      </c>
      <c r="G3563" s="76" t="str">
        <f>VLOOKUP(Tabelle2[[#This Row],[Kunden Nr.]],KUNDEN!A:B,2,0)</f>
        <v>TE ZENA</v>
      </c>
      <c r="H3563" s="75">
        <v>35119</v>
      </c>
      <c r="I3563" s="76" t="str">
        <f>VLOOKUP(Tabelle2[[#This Row],[Artikel]],Produkte!A:B,2,0)</f>
        <v>M-ONE Sanitar Silikon</v>
      </c>
      <c r="J3563" s="75">
        <v>12</v>
      </c>
      <c r="K3563" s="76" t="str">
        <f>VLOOKUP(Tabelle2[[#This Row],[Kunden Nr.]],KUNDEN!A:G,7)</f>
        <v>Qerimi</v>
      </c>
      <c r="L3563" s="76">
        <f>VLOOKUP(Tabelle2[[#This Row],[Artikel]],Produkte!A:H,8)</f>
        <v>0.17</v>
      </c>
    </row>
    <row r="3564" spans="1:12" x14ac:dyDescent="0.2">
      <c r="A3564" s="75" t="s">
        <v>1230</v>
      </c>
      <c r="B3564" s="79">
        <v>46158</v>
      </c>
      <c r="C3564" s="89">
        <v>96</v>
      </c>
      <c r="D3564" s="75"/>
      <c r="E3564" s="75"/>
      <c r="F3564" s="75">
        <v>10635</v>
      </c>
      <c r="G3564" s="76" t="e">
        <f>VLOOKUP(Tabelle2[[#This Row],[Kunden Nr.]],KUNDEN!A:B,2,0)</f>
        <v>#N/A</v>
      </c>
      <c r="H3564" s="75">
        <v>35109</v>
      </c>
      <c r="I3564" s="76" t="str">
        <f>VLOOKUP(Tabelle2[[#This Row],[Artikel]],Produkte!A:B,2,0)</f>
        <v>M-ONE Sanitar Silikon</v>
      </c>
      <c r="J3564" s="75">
        <v>12</v>
      </c>
      <c r="K3564" s="76" t="str">
        <f>VLOOKUP(Tabelle2[[#This Row],[Kunden Nr.]],KUNDEN!A:G,7)</f>
        <v>Qerimi</v>
      </c>
      <c r="L3564" s="76">
        <f>VLOOKUP(Tabelle2[[#This Row],[Artikel]],Produkte!A:H,8)</f>
        <v>0.17</v>
      </c>
    </row>
    <row r="3565" spans="1:12" x14ac:dyDescent="0.2">
      <c r="A3565" s="75" t="s">
        <v>1230</v>
      </c>
      <c r="B3565" s="79">
        <v>46158</v>
      </c>
      <c r="C3565" s="75"/>
      <c r="D3565" s="75"/>
      <c r="E3565" s="75"/>
      <c r="F3565" s="75">
        <v>10635</v>
      </c>
      <c r="G3565" s="76" t="e">
        <f>VLOOKUP(Tabelle2[[#This Row],[Kunden Nr.]],KUNDEN!A:B,2,0)</f>
        <v>#N/A</v>
      </c>
      <c r="H3565" s="75">
        <v>35115</v>
      </c>
      <c r="I3565" s="76" t="str">
        <f>VLOOKUP(Tabelle2[[#This Row],[Artikel]],Produkte!A:B,2,0)</f>
        <v>M-ONE Sanitar Silikon</v>
      </c>
      <c r="J3565" s="75">
        <v>12</v>
      </c>
      <c r="K3565" s="76" t="str">
        <f>VLOOKUP(Tabelle2[[#This Row],[Kunden Nr.]],KUNDEN!A:G,7)</f>
        <v>Qerimi</v>
      </c>
      <c r="L3565" s="76">
        <f>VLOOKUP(Tabelle2[[#This Row],[Artikel]],Produkte!A:H,8)</f>
        <v>0.17</v>
      </c>
    </row>
    <row r="3566" spans="1:12" x14ac:dyDescent="0.2">
      <c r="A3566" s="75" t="s">
        <v>1263</v>
      </c>
      <c r="B3566" s="79">
        <v>46158</v>
      </c>
      <c r="C3566" s="89">
        <v>144</v>
      </c>
      <c r="D3566" s="75"/>
      <c r="E3566" s="75"/>
      <c r="F3566" s="75">
        <v>20609</v>
      </c>
      <c r="G3566" s="76" t="str">
        <f>VLOOKUP(Tabelle2[[#This Row],[Kunden Nr.]],KUNDEN!A:B,2,0)</f>
        <v>BUJARI Q - BESII</v>
      </c>
      <c r="H3566" s="75">
        <v>35109</v>
      </c>
      <c r="I3566" s="76" t="str">
        <f>VLOOKUP(Tabelle2[[#This Row],[Artikel]],Produkte!A:B,2,0)</f>
        <v>M-ONE Sanitar Silikon</v>
      </c>
      <c r="J3566" s="75">
        <v>24</v>
      </c>
      <c r="K3566" s="76" t="str">
        <f>VLOOKUP(Tabelle2[[#This Row],[Kunden Nr.]],KUNDEN!A:G,7)</f>
        <v>Mensuri</v>
      </c>
      <c r="L3566" s="76">
        <f>VLOOKUP(Tabelle2[[#This Row],[Artikel]],Produkte!A:H,8)</f>
        <v>0.17</v>
      </c>
    </row>
    <row r="3567" spans="1:12" x14ac:dyDescent="0.2">
      <c r="A3567" s="75" t="s">
        <v>1263</v>
      </c>
      <c r="B3567" s="79">
        <v>46158</v>
      </c>
      <c r="C3567" s="75"/>
      <c r="D3567" s="75"/>
      <c r="E3567" s="75"/>
      <c r="F3567" s="75">
        <v>20609</v>
      </c>
      <c r="G3567" s="76" t="str">
        <f>VLOOKUP(Tabelle2[[#This Row],[Kunden Nr.]],KUNDEN!A:B,2,0)</f>
        <v>BUJARI Q - BESII</v>
      </c>
      <c r="H3567" s="75">
        <v>35113</v>
      </c>
      <c r="I3567" s="76" t="str">
        <f>VLOOKUP(Tabelle2[[#This Row],[Artikel]],Produkte!A:B,2,0)</f>
        <v>M-ONE Sanitar Silikon</v>
      </c>
      <c r="J3567" s="75">
        <v>12</v>
      </c>
      <c r="K3567" s="76" t="str">
        <f>VLOOKUP(Tabelle2[[#This Row],[Kunden Nr.]],KUNDEN!A:G,7)</f>
        <v>Mensuri</v>
      </c>
      <c r="L3567" s="76">
        <f>VLOOKUP(Tabelle2[[#This Row],[Artikel]],Produkte!A:H,8)</f>
        <v>0.17</v>
      </c>
    </row>
    <row r="3568" spans="1:12" x14ac:dyDescent="0.2">
      <c r="A3568" s="75" t="s">
        <v>430</v>
      </c>
      <c r="B3568" s="79">
        <v>46158</v>
      </c>
      <c r="C3568" s="89">
        <v>147.5</v>
      </c>
      <c r="D3568" s="75"/>
      <c r="E3568" s="75"/>
      <c r="F3568" s="75">
        <v>20602</v>
      </c>
      <c r="G3568" s="76" t="str">
        <f>VLOOKUP(Tabelle2[[#This Row],[Kunden Nr.]],KUNDEN!A:B,2,0)</f>
        <v>AGROLONDI</v>
      </c>
      <c r="H3568" s="75">
        <v>35112</v>
      </c>
      <c r="I3568" s="76" t="str">
        <f>VLOOKUP(Tabelle2[[#This Row],[Artikel]],Produkte!A:B,2,0)</f>
        <v>M-ONE Sanitar Silikon</v>
      </c>
      <c r="J3568" s="75">
        <v>12</v>
      </c>
      <c r="K3568" s="76" t="str">
        <f>VLOOKUP(Tabelle2[[#This Row],[Kunden Nr.]],KUNDEN!A:G,7)</f>
        <v>Mensuri</v>
      </c>
      <c r="L3568" s="76">
        <f>VLOOKUP(Tabelle2[[#This Row],[Artikel]],Produkte!A:H,8)</f>
        <v>0.17</v>
      </c>
    </row>
    <row r="3569" spans="1:12" x14ac:dyDescent="0.2">
      <c r="A3569" s="75" t="s">
        <v>430</v>
      </c>
      <c r="B3569" s="79">
        <v>46158</v>
      </c>
      <c r="C3569" s="75"/>
      <c r="D3569" s="75"/>
      <c r="E3569" s="75"/>
      <c r="F3569" s="75">
        <v>20602</v>
      </c>
      <c r="G3569" s="76" t="str">
        <f>VLOOKUP(Tabelle2[[#This Row],[Kunden Nr.]],KUNDEN!A:B,2,0)</f>
        <v>AGROLONDI</v>
      </c>
      <c r="H3569" s="75">
        <v>35108</v>
      </c>
      <c r="I3569" s="76" t="str">
        <f>VLOOKUP(Tabelle2[[#This Row],[Artikel]],Produkte!A:B,2,0)</f>
        <v>M-ONE Sanitar Silikon</v>
      </c>
      <c r="J3569" s="75">
        <v>12</v>
      </c>
      <c r="K3569" s="76" t="str">
        <f>VLOOKUP(Tabelle2[[#This Row],[Kunden Nr.]],KUNDEN!A:G,7)</f>
        <v>Mensuri</v>
      </c>
      <c r="L3569" s="76">
        <f>VLOOKUP(Tabelle2[[#This Row],[Artikel]],Produkte!A:H,8)</f>
        <v>0.17</v>
      </c>
    </row>
    <row r="3570" spans="1:12" x14ac:dyDescent="0.2">
      <c r="A3570" s="75" t="s">
        <v>430</v>
      </c>
      <c r="B3570" s="79">
        <v>46158</v>
      </c>
      <c r="C3570" s="75"/>
      <c r="D3570" s="75"/>
      <c r="E3570" s="75"/>
      <c r="F3570" s="75">
        <v>20602</v>
      </c>
      <c r="G3570" s="76" t="str">
        <f>VLOOKUP(Tabelle2[[#This Row],[Kunden Nr.]],KUNDEN!A:B,2,0)</f>
        <v>AGROLONDI</v>
      </c>
      <c r="H3570" s="75">
        <v>35109</v>
      </c>
      <c r="I3570" s="76" t="str">
        <f>VLOOKUP(Tabelle2[[#This Row],[Artikel]],Produkte!A:B,2,0)</f>
        <v>M-ONE Sanitar Silikon</v>
      </c>
      <c r="J3570" s="75">
        <v>12</v>
      </c>
      <c r="K3570" s="76" t="str">
        <f>VLOOKUP(Tabelle2[[#This Row],[Kunden Nr.]],KUNDEN!A:G,7)</f>
        <v>Mensuri</v>
      </c>
      <c r="L3570" s="76">
        <f>VLOOKUP(Tabelle2[[#This Row],[Artikel]],Produkte!A:H,8)</f>
        <v>0.17</v>
      </c>
    </row>
    <row r="3571" spans="1:12" x14ac:dyDescent="0.2">
      <c r="A3571" s="75" t="s">
        <v>430</v>
      </c>
      <c r="B3571" s="79">
        <v>46158</v>
      </c>
      <c r="C3571" s="75"/>
      <c r="D3571" s="75"/>
      <c r="E3571" s="75"/>
      <c r="F3571" s="75">
        <v>20602</v>
      </c>
      <c r="G3571" s="76" t="str">
        <f>VLOOKUP(Tabelle2[[#This Row],[Kunden Nr.]],KUNDEN!A:B,2,0)</f>
        <v>AGROLONDI</v>
      </c>
      <c r="H3571" s="75">
        <v>44001</v>
      </c>
      <c r="I3571" s="76" t="str">
        <f>VLOOKUP(Tabelle2[[#This Row],[Artikel]],Produkte!A:B,2,0)</f>
        <v>Fettspray</v>
      </c>
      <c r="J3571" s="75">
        <v>1</v>
      </c>
      <c r="K3571" s="76" t="str">
        <f>VLOOKUP(Tabelle2[[#This Row],[Kunden Nr.]],KUNDEN!A:G,7)</f>
        <v>Mensuri</v>
      </c>
      <c r="L3571" s="76">
        <f>VLOOKUP(Tabelle2[[#This Row],[Artikel]],Produkte!A:H,8)</f>
        <v>0.2</v>
      </c>
    </row>
    <row r="3572" spans="1:12" x14ac:dyDescent="0.2">
      <c r="A3572" s="75" t="s">
        <v>1261</v>
      </c>
      <c r="B3572" s="79">
        <v>46158</v>
      </c>
      <c r="C3572" s="89">
        <v>96</v>
      </c>
      <c r="D3572" s="75"/>
      <c r="E3572" s="75"/>
      <c r="F3572" s="75">
        <v>20631</v>
      </c>
      <c r="G3572" s="76" t="str">
        <f>VLOOKUP(Tabelle2[[#This Row],[Kunden Nr.]],KUNDEN!A:B,2,0)</f>
        <v>ALMIRI QERAMIKA</v>
      </c>
      <c r="H3572" s="75">
        <v>35109</v>
      </c>
      <c r="I3572" s="76" t="str">
        <f>VLOOKUP(Tabelle2[[#This Row],[Artikel]],Produkte!A:B,2,0)</f>
        <v>M-ONE Sanitar Silikon</v>
      </c>
      <c r="J3572" s="75">
        <v>12</v>
      </c>
      <c r="K3572" s="76" t="str">
        <f>VLOOKUP(Tabelle2[[#This Row],[Kunden Nr.]],KUNDEN!A:G,7)</f>
        <v>Mensuri</v>
      </c>
      <c r="L3572" s="76">
        <f>VLOOKUP(Tabelle2[[#This Row],[Artikel]],Produkte!A:H,8)</f>
        <v>0.17</v>
      </c>
    </row>
    <row r="3573" spans="1:12" x14ac:dyDescent="0.2">
      <c r="A3573" s="75" t="s">
        <v>1261</v>
      </c>
      <c r="B3573" s="79">
        <v>46158</v>
      </c>
      <c r="C3573" s="75"/>
      <c r="D3573" s="75"/>
      <c r="E3573" s="75"/>
      <c r="F3573" s="75">
        <v>20631</v>
      </c>
      <c r="G3573" s="76" t="str">
        <f>VLOOKUP(Tabelle2[[#This Row],[Kunden Nr.]],KUNDEN!A:B,2,0)</f>
        <v>ALMIRI QERAMIKA</v>
      </c>
      <c r="H3573" s="75">
        <v>35113</v>
      </c>
      <c r="I3573" s="76" t="str">
        <f>VLOOKUP(Tabelle2[[#This Row],[Artikel]],Produkte!A:B,2,0)</f>
        <v>M-ONE Sanitar Silikon</v>
      </c>
      <c r="J3573" s="75">
        <v>12</v>
      </c>
      <c r="K3573" s="76" t="str">
        <f>VLOOKUP(Tabelle2[[#This Row],[Kunden Nr.]],KUNDEN!A:G,7)</f>
        <v>Mensuri</v>
      </c>
      <c r="L3573" s="76">
        <f>VLOOKUP(Tabelle2[[#This Row],[Artikel]],Produkte!A:H,8)</f>
        <v>0.17</v>
      </c>
    </row>
    <row r="3574" spans="1:12" x14ac:dyDescent="0.2">
      <c r="A3574" s="75" t="s">
        <v>1171</v>
      </c>
      <c r="B3574" s="79">
        <v>46158</v>
      </c>
      <c r="C3574" s="89">
        <v>192</v>
      </c>
      <c r="D3574" s="75"/>
      <c r="E3574" s="75"/>
      <c r="F3574" s="75">
        <v>20627</v>
      </c>
      <c r="G3574" s="76" t="str">
        <f>VLOOKUP(Tabelle2[[#This Row],[Kunden Nr.]],KUNDEN!A:B,2,0)</f>
        <v>UNIKA</v>
      </c>
      <c r="H3574" s="75">
        <v>35108</v>
      </c>
      <c r="I3574" s="76" t="str">
        <f>VLOOKUP(Tabelle2[[#This Row],[Artikel]],Produkte!A:B,2,0)</f>
        <v>M-ONE Sanitar Silikon</v>
      </c>
      <c r="J3574" s="75">
        <v>12</v>
      </c>
      <c r="K3574" s="76" t="str">
        <f>VLOOKUP(Tabelle2[[#This Row],[Kunden Nr.]],KUNDEN!A:G,7)</f>
        <v>Mensuri</v>
      </c>
      <c r="L3574" s="76">
        <f>VLOOKUP(Tabelle2[[#This Row],[Artikel]],Produkte!A:H,8)</f>
        <v>0.17</v>
      </c>
    </row>
    <row r="3575" spans="1:12" x14ac:dyDescent="0.2">
      <c r="A3575" s="75" t="s">
        <v>1171</v>
      </c>
      <c r="B3575" s="79">
        <v>46158</v>
      </c>
      <c r="C3575" s="75"/>
      <c r="D3575" s="75"/>
      <c r="E3575" s="75"/>
      <c r="F3575" s="75">
        <v>20627</v>
      </c>
      <c r="G3575" s="76" t="str">
        <f>VLOOKUP(Tabelle2[[#This Row],[Kunden Nr.]],KUNDEN!A:B,2,0)</f>
        <v>UNIKA</v>
      </c>
      <c r="H3575" s="75">
        <v>35109</v>
      </c>
      <c r="I3575" s="76" t="str">
        <f>VLOOKUP(Tabelle2[[#This Row],[Artikel]],Produkte!A:B,2,0)</f>
        <v>M-ONE Sanitar Silikon</v>
      </c>
      <c r="J3575" s="75">
        <v>12</v>
      </c>
      <c r="K3575" s="76" t="str">
        <f>VLOOKUP(Tabelle2[[#This Row],[Kunden Nr.]],KUNDEN!A:G,7)</f>
        <v>Mensuri</v>
      </c>
      <c r="L3575" s="76">
        <f>VLOOKUP(Tabelle2[[#This Row],[Artikel]],Produkte!A:H,8)</f>
        <v>0.17</v>
      </c>
    </row>
    <row r="3576" spans="1:12" x14ac:dyDescent="0.2">
      <c r="A3576" s="75" t="s">
        <v>1171</v>
      </c>
      <c r="B3576" s="79">
        <v>46158</v>
      </c>
      <c r="C3576" s="75"/>
      <c r="D3576" s="75"/>
      <c r="E3576" s="75"/>
      <c r="F3576" s="75">
        <v>20627</v>
      </c>
      <c r="G3576" s="76" t="str">
        <f>VLOOKUP(Tabelle2[[#This Row],[Kunden Nr.]],KUNDEN!A:B,2,0)</f>
        <v>UNIKA</v>
      </c>
      <c r="H3576" s="75">
        <v>35113</v>
      </c>
      <c r="I3576" s="76" t="str">
        <f>VLOOKUP(Tabelle2[[#This Row],[Artikel]],Produkte!A:B,2,0)</f>
        <v>M-ONE Sanitar Silikon</v>
      </c>
      <c r="J3576" s="75">
        <v>12</v>
      </c>
      <c r="K3576" s="76" t="str">
        <f>VLOOKUP(Tabelle2[[#This Row],[Kunden Nr.]],KUNDEN!A:G,7)</f>
        <v>Mensuri</v>
      </c>
      <c r="L3576" s="76">
        <f>VLOOKUP(Tabelle2[[#This Row],[Artikel]],Produkte!A:H,8)</f>
        <v>0.17</v>
      </c>
    </row>
    <row r="3577" spans="1:12" x14ac:dyDescent="0.2">
      <c r="A3577" s="75" t="s">
        <v>1171</v>
      </c>
      <c r="B3577" s="79">
        <v>46158</v>
      </c>
      <c r="C3577" s="75"/>
      <c r="D3577" s="75"/>
      <c r="E3577" s="75"/>
      <c r="F3577" s="75">
        <v>20627</v>
      </c>
      <c r="G3577" s="76" t="str">
        <f>VLOOKUP(Tabelle2[[#This Row],[Kunden Nr.]],KUNDEN!A:B,2,0)</f>
        <v>UNIKA</v>
      </c>
      <c r="H3577" s="75">
        <v>35121</v>
      </c>
      <c r="I3577" s="76" t="str">
        <f>VLOOKUP(Tabelle2[[#This Row],[Artikel]],Produkte!A:B,2,0)</f>
        <v>M-ONE Sanitar Silikon</v>
      </c>
      <c r="J3577" s="75">
        <v>12</v>
      </c>
      <c r="K3577" s="76" t="str">
        <f>VLOOKUP(Tabelle2[[#This Row],[Kunden Nr.]],KUNDEN!A:G,7)</f>
        <v>Mensuri</v>
      </c>
      <c r="L3577" s="76">
        <f>VLOOKUP(Tabelle2[[#This Row],[Artikel]],Produkte!A:H,8)</f>
        <v>0.17</v>
      </c>
    </row>
    <row r="3578" spans="1:12" x14ac:dyDescent="0.2">
      <c r="A3578" s="75" t="s">
        <v>435</v>
      </c>
      <c r="B3578" s="79">
        <v>46158</v>
      </c>
      <c r="C3578" s="89">
        <v>144</v>
      </c>
      <c r="D3578" s="75"/>
      <c r="E3578" s="75"/>
      <c r="F3578" s="75">
        <v>20608</v>
      </c>
      <c r="G3578" s="76" t="str">
        <f>VLOOKUP(Tabelle2[[#This Row],[Kunden Nr.]],KUNDEN!A:B,2,0)</f>
        <v>LONI</v>
      </c>
      <c r="H3578" s="75">
        <v>35110</v>
      </c>
      <c r="I3578" s="76" t="str">
        <f>VLOOKUP(Tabelle2[[#This Row],[Artikel]],Produkte!A:B,2,0)</f>
        <v>M-ONE Sanitar Silikon</v>
      </c>
      <c r="J3578" s="75">
        <v>12</v>
      </c>
      <c r="K3578" s="76" t="str">
        <f>VLOOKUP(Tabelle2[[#This Row],[Kunden Nr.]],KUNDEN!A:G,7)</f>
        <v>Mensuri</v>
      </c>
      <c r="L3578" s="76">
        <f>VLOOKUP(Tabelle2[[#This Row],[Artikel]],Produkte!A:H,8)</f>
        <v>0.17</v>
      </c>
    </row>
    <row r="3579" spans="1:12" x14ac:dyDescent="0.2">
      <c r="A3579" s="75" t="s">
        <v>435</v>
      </c>
      <c r="B3579" s="79">
        <v>46158</v>
      </c>
      <c r="C3579" s="75"/>
      <c r="D3579" s="75"/>
      <c r="E3579" s="75"/>
      <c r="F3579" s="75">
        <v>20608</v>
      </c>
      <c r="G3579" s="76" t="str">
        <f>VLOOKUP(Tabelle2[[#This Row],[Kunden Nr.]],KUNDEN!A:B,2,0)</f>
        <v>LONI</v>
      </c>
      <c r="H3579" s="75">
        <v>35115</v>
      </c>
      <c r="I3579" s="76" t="str">
        <f>VLOOKUP(Tabelle2[[#This Row],[Artikel]],Produkte!A:B,2,0)</f>
        <v>M-ONE Sanitar Silikon</v>
      </c>
      <c r="J3579" s="75">
        <v>12</v>
      </c>
      <c r="K3579" s="76" t="str">
        <f>VLOOKUP(Tabelle2[[#This Row],[Kunden Nr.]],KUNDEN!A:G,7)</f>
        <v>Mensuri</v>
      </c>
      <c r="L3579" s="76">
        <f>VLOOKUP(Tabelle2[[#This Row],[Artikel]],Produkte!A:H,8)</f>
        <v>0.17</v>
      </c>
    </row>
    <row r="3580" spans="1:12" x14ac:dyDescent="0.2">
      <c r="A3580" s="75" t="s">
        <v>435</v>
      </c>
      <c r="B3580" s="79">
        <v>46158</v>
      </c>
      <c r="C3580" s="75"/>
      <c r="D3580" s="75"/>
      <c r="E3580" s="75"/>
      <c r="F3580" s="75">
        <v>20608</v>
      </c>
      <c r="G3580" s="76" t="str">
        <f>VLOOKUP(Tabelle2[[#This Row],[Kunden Nr.]],KUNDEN!A:B,2,0)</f>
        <v>LONI</v>
      </c>
      <c r="H3580" s="75">
        <v>35121</v>
      </c>
      <c r="I3580" s="76" t="str">
        <f>VLOOKUP(Tabelle2[[#This Row],[Artikel]],Produkte!A:B,2,0)</f>
        <v>M-ONE Sanitar Silikon</v>
      </c>
      <c r="J3580" s="75">
        <v>12</v>
      </c>
      <c r="K3580" s="76" t="str">
        <f>VLOOKUP(Tabelle2[[#This Row],[Kunden Nr.]],KUNDEN!A:G,7)</f>
        <v>Mensuri</v>
      </c>
      <c r="L3580" s="76">
        <f>VLOOKUP(Tabelle2[[#This Row],[Artikel]],Produkte!A:H,8)</f>
        <v>0.17</v>
      </c>
    </row>
    <row r="3581" spans="1:12" x14ac:dyDescent="0.2">
      <c r="A3581" s="75" t="s">
        <v>1186</v>
      </c>
      <c r="B3581" s="79">
        <v>46158</v>
      </c>
      <c r="C3581" s="89">
        <v>432</v>
      </c>
      <c r="D3581" s="75"/>
      <c r="E3581" s="75"/>
      <c r="F3581" s="75">
        <v>20629</v>
      </c>
      <c r="G3581" s="76" t="str">
        <f>VLOOKUP(Tabelle2[[#This Row],[Kunden Nr.]],KUNDEN!A:B,2,0)</f>
        <v>LUTA QERAMIKA</v>
      </c>
      <c r="H3581" s="75">
        <v>35128</v>
      </c>
      <c r="I3581" s="76" t="str">
        <f>VLOOKUP(Tabelle2[[#This Row],[Artikel]],Produkte!A:B,2,0)</f>
        <v>M-ONE Sanitar Silikon</v>
      </c>
      <c r="J3581" s="75">
        <v>36</v>
      </c>
      <c r="K3581" s="76" t="str">
        <f>VLOOKUP(Tabelle2[[#This Row],[Kunden Nr.]],KUNDEN!A:G,7)</f>
        <v>Mensuri</v>
      </c>
      <c r="L3581" s="76">
        <f>VLOOKUP(Tabelle2[[#This Row],[Artikel]],Produkte!A:H,8)</f>
        <v>0.17</v>
      </c>
    </row>
    <row r="3582" spans="1:12" x14ac:dyDescent="0.2">
      <c r="A3582" s="75" t="s">
        <v>1186</v>
      </c>
      <c r="B3582" s="79">
        <v>46158</v>
      </c>
      <c r="C3582" s="75"/>
      <c r="D3582" s="75"/>
      <c r="E3582" s="75"/>
      <c r="F3582" s="75">
        <v>20629</v>
      </c>
      <c r="G3582" s="76" t="str">
        <f>VLOOKUP(Tabelle2[[#This Row],[Kunden Nr.]],KUNDEN!A:B,2,0)</f>
        <v>LUTA QERAMIKA</v>
      </c>
      <c r="H3582" s="75">
        <v>35113</v>
      </c>
      <c r="I3582" s="76" t="str">
        <f>VLOOKUP(Tabelle2[[#This Row],[Artikel]],Produkte!A:B,2,0)</f>
        <v>M-ONE Sanitar Silikon</v>
      </c>
      <c r="J3582" s="75">
        <v>36</v>
      </c>
      <c r="K3582" s="76" t="str">
        <f>VLOOKUP(Tabelle2[[#This Row],[Kunden Nr.]],KUNDEN!A:G,7)</f>
        <v>Mensuri</v>
      </c>
      <c r="L3582" s="76">
        <f>VLOOKUP(Tabelle2[[#This Row],[Artikel]],Produkte!A:H,8)</f>
        <v>0.17</v>
      </c>
    </row>
    <row r="3583" spans="1:12" x14ac:dyDescent="0.2">
      <c r="A3583" s="75" t="s">
        <v>1186</v>
      </c>
      <c r="B3583" s="79">
        <v>46158</v>
      </c>
      <c r="C3583" s="75"/>
      <c r="D3583" s="75"/>
      <c r="E3583" s="75"/>
      <c r="F3583" s="75">
        <v>20629</v>
      </c>
      <c r="G3583" s="76" t="str">
        <f>VLOOKUP(Tabelle2[[#This Row],[Kunden Nr.]],KUNDEN!A:B,2,0)</f>
        <v>LUTA QERAMIKA</v>
      </c>
      <c r="H3583" s="75">
        <v>35121</v>
      </c>
      <c r="I3583" s="76" t="str">
        <f>VLOOKUP(Tabelle2[[#This Row],[Artikel]],Produkte!A:B,2,0)</f>
        <v>M-ONE Sanitar Silikon</v>
      </c>
      <c r="J3583" s="75">
        <v>24</v>
      </c>
      <c r="K3583" s="76" t="str">
        <f>VLOOKUP(Tabelle2[[#This Row],[Kunden Nr.]],KUNDEN!A:G,7)</f>
        <v>Mensuri</v>
      </c>
      <c r="L3583" s="76">
        <f>VLOOKUP(Tabelle2[[#This Row],[Artikel]],Produkte!A:H,8)</f>
        <v>0.17</v>
      </c>
    </row>
    <row r="3584" spans="1:12" x14ac:dyDescent="0.2">
      <c r="A3584" s="75" t="s">
        <v>1186</v>
      </c>
      <c r="B3584" s="79">
        <v>46158</v>
      </c>
      <c r="C3584" s="75"/>
      <c r="D3584" s="75"/>
      <c r="E3584" s="75"/>
      <c r="F3584" s="75">
        <v>20629</v>
      </c>
      <c r="G3584" s="76" t="str">
        <f>VLOOKUP(Tabelle2[[#This Row],[Kunden Nr.]],KUNDEN!A:B,2,0)</f>
        <v>LUTA QERAMIKA</v>
      </c>
      <c r="H3584" s="75">
        <v>35115</v>
      </c>
      <c r="I3584" s="76" t="str">
        <f>VLOOKUP(Tabelle2[[#This Row],[Artikel]],Produkte!A:B,2,0)</f>
        <v>M-ONE Sanitar Silikon</v>
      </c>
      <c r="J3584" s="75">
        <v>12</v>
      </c>
      <c r="K3584" s="76" t="str">
        <f>VLOOKUP(Tabelle2[[#This Row],[Kunden Nr.]],KUNDEN!A:G,7)</f>
        <v>Mensuri</v>
      </c>
      <c r="L3584" s="76">
        <f>VLOOKUP(Tabelle2[[#This Row],[Artikel]],Produkte!A:H,8)</f>
        <v>0.17</v>
      </c>
    </row>
    <row r="3585" spans="1:12" x14ac:dyDescent="0.2">
      <c r="A3585" s="75" t="s">
        <v>1257</v>
      </c>
      <c r="B3585" s="79">
        <v>46158</v>
      </c>
      <c r="C3585" s="89">
        <v>368</v>
      </c>
      <c r="D3585" s="75"/>
      <c r="E3585" s="75"/>
      <c r="F3585" s="75">
        <v>20632</v>
      </c>
      <c r="G3585" s="76" t="str">
        <f>VLOOKUP(Tabelle2[[#This Row],[Kunden Nr.]],KUNDEN!A:B,2,0)</f>
        <v>GLOBAL TOOLS</v>
      </c>
      <c r="H3585" s="75">
        <v>35125</v>
      </c>
      <c r="I3585" s="76" t="str">
        <f>VLOOKUP(Tabelle2[[#This Row],[Artikel]],Produkte!A:B,2,0)</f>
        <v>M-ONE Sanitar Silikon</v>
      </c>
      <c r="J3585" s="75">
        <v>24</v>
      </c>
      <c r="K3585" s="76" t="str">
        <f>VLOOKUP(Tabelle2[[#This Row],[Kunden Nr.]],KUNDEN!A:G,7)</f>
        <v>Mensuri</v>
      </c>
      <c r="L3585" s="76">
        <f>VLOOKUP(Tabelle2[[#This Row],[Artikel]],Produkte!A:H,8)</f>
        <v>0.17</v>
      </c>
    </row>
    <row r="3586" spans="1:12" x14ac:dyDescent="0.2">
      <c r="A3586" s="75" t="s">
        <v>1257</v>
      </c>
      <c r="B3586" s="79">
        <v>46158</v>
      </c>
      <c r="C3586" s="75"/>
      <c r="D3586" s="75"/>
      <c r="E3586" s="75"/>
      <c r="F3586" s="75">
        <v>20632</v>
      </c>
      <c r="G3586" s="76" t="str">
        <f>VLOOKUP(Tabelle2[[#This Row],[Kunden Nr.]],KUNDEN!A:B,2,0)</f>
        <v>GLOBAL TOOLS</v>
      </c>
      <c r="H3586" s="75">
        <v>35128</v>
      </c>
      <c r="I3586" s="76" t="str">
        <f>VLOOKUP(Tabelle2[[#This Row],[Artikel]],Produkte!A:B,2,0)</f>
        <v>M-ONE Sanitar Silikon</v>
      </c>
      <c r="J3586" s="75">
        <v>24</v>
      </c>
      <c r="K3586" s="76" t="str">
        <f>VLOOKUP(Tabelle2[[#This Row],[Kunden Nr.]],KUNDEN!A:G,7)</f>
        <v>Mensuri</v>
      </c>
      <c r="L3586" s="76">
        <f>VLOOKUP(Tabelle2[[#This Row],[Artikel]],Produkte!A:H,8)</f>
        <v>0.17</v>
      </c>
    </row>
    <row r="3587" spans="1:12" x14ac:dyDescent="0.2">
      <c r="A3587" s="75" t="s">
        <v>1257</v>
      </c>
      <c r="B3587" s="79">
        <v>46158</v>
      </c>
      <c r="C3587" s="75"/>
      <c r="D3587" s="75"/>
      <c r="E3587" s="75"/>
      <c r="F3587" s="75">
        <v>20632</v>
      </c>
      <c r="G3587" s="76" t="str">
        <f>VLOOKUP(Tabelle2[[#This Row],[Kunden Nr.]],KUNDEN!A:B,2,0)</f>
        <v>GLOBAL TOOLS</v>
      </c>
      <c r="H3587" s="75">
        <v>35112</v>
      </c>
      <c r="I3587" s="76" t="str">
        <f>VLOOKUP(Tabelle2[[#This Row],[Artikel]],Produkte!A:B,2,0)</f>
        <v>M-ONE Sanitar Silikon</v>
      </c>
      <c r="J3587" s="75">
        <v>24</v>
      </c>
      <c r="K3587" s="76" t="str">
        <f>VLOOKUP(Tabelle2[[#This Row],[Kunden Nr.]],KUNDEN!A:G,7)</f>
        <v>Mensuri</v>
      </c>
      <c r="L3587" s="76">
        <f>VLOOKUP(Tabelle2[[#This Row],[Artikel]],Produkte!A:H,8)</f>
        <v>0.17</v>
      </c>
    </row>
    <row r="3588" spans="1:12" x14ac:dyDescent="0.2">
      <c r="A3588" s="75" t="s">
        <v>1257</v>
      </c>
      <c r="B3588" s="79">
        <v>46158</v>
      </c>
      <c r="C3588" s="75"/>
      <c r="D3588" s="75"/>
      <c r="E3588" s="75"/>
      <c r="F3588" s="75">
        <v>20632</v>
      </c>
      <c r="G3588" s="76" t="str">
        <f>VLOOKUP(Tabelle2[[#This Row],[Kunden Nr.]],KUNDEN!A:B,2,0)</f>
        <v>GLOBAL TOOLS</v>
      </c>
      <c r="H3588" s="75">
        <v>35114</v>
      </c>
      <c r="I3588" s="76" t="str">
        <f>VLOOKUP(Tabelle2[[#This Row],[Artikel]],Produkte!A:B,2,0)</f>
        <v>M-ONE Sanitar Silikon</v>
      </c>
      <c r="J3588" s="75">
        <v>12</v>
      </c>
      <c r="K3588" s="76" t="str">
        <f>VLOOKUP(Tabelle2[[#This Row],[Kunden Nr.]],KUNDEN!A:G,7)</f>
        <v>Mensuri</v>
      </c>
      <c r="L3588" s="76">
        <f>VLOOKUP(Tabelle2[[#This Row],[Artikel]],Produkte!A:H,8)</f>
        <v>0.17</v>
      </c>
    </row>
    <row r="3589" spans="1:12" x14ac:dyDescent="0.2">
      <c r="A3589" s="75" t="s">
        <v>1257</v>
      </c>
      <c r="B3589" s="79">
        <v>46158</v>
      </c>
      <c r="C3589" s="75"/>
      <c r="D3589" s="75"/>
      <c r="E3589" s="75"/>
      <c r="F3589" s="75">
        <v>20632</v>
      </c>
      <c r="G3589" s="76" t="str">
        <f>VLOOKUP(Tabelle2[[#This Row],[Kunden Nr.]],KUNDEN!A:B,2,0)</f>
        <v>GLOBAL TOOLS</v>
      </c>
      <c r="H3589" s="75">
        <v>35108</v>
      </c>
      <c r="I3589" s="76" t="str">
        <f>VLOOKUP(Tabelle2[[#This Row],[Artikel]],Produkte!A:B,2,0)</f>
        <v>M-ONE Sanitar Silikon</v>
      </c>
      <c r="J3589" s="75">
        <v>12</v>
      </c>
      <c r="K3589" s="76" t="str">
        <f>VLOOKUP(Tabelle2[[#This Row],[Kunden Nr.]],KUNDEN!A:G,7)</f>
        <v>Mensuri</v>
      </c>
      <c r="L3589" s="76">
        <f>VLOOKUP(Tabelle2[[#This Row],[Artikel]],Produkte!A:H,8)</f>
        <v>0.17</v>
      </c>
    </row>
    <row r="3590" spans="1:12" x14ac:dyDescent="0.2">
      <c r="A3590" s="75" t="s">
        <v>676</v>
      </c>
      <c r="B3590" s="79">
        <v>46158</v>
      </c>
      <c r="C3590" s="89">
        <v>96</v>
      </c>
      <c r="D3590" s="75"/>
      <c r="E3590" s="75"/>
      <c r="F3590" s="75">
        <v>20607</v>
      </c>
      <c r="G3590" s="76" t="str">
        <f>VLOOKUP(Tabelle2[[#This Row],[Kunden Nr.]],KUNDEN!A:B,2,0)</f>
        <v xml:space="preserve">F.V. SH.P.K. </v>
      </c>
      <c r="H3590" s="75">
        <v>35121</v>
      </c>
      <c r="I3590" s="76" t="str">
        <f>VLOOKUP(Tabelle2[[#This Row],[Artikel]],Produkte!A:B,2,0)</f>
        <v>M-ONE Sanitar Silikon</v>
      </c>
      <c r="J3590" s="75">
        <v>12</v>
      </c>
      <c r="K3590" s="76" t="str">
        <f>VLOOKUP(Tabelle2[[#This Row],[Kunden Nr.]],KUNDEN!A:G,7)</f>
        <v>Mensuri</v>
      </c>
      <c r="L3590" s="76">
        <f>VLOOKUP(Tabelle2[[#This Row],[Artikel]],Produkte!A:H,8)</f>
        <v>0.17</v>
      </c>
    </row>
    <row r="3591" spans="1:12" x14ac:dyDescent="0.2">
      <c r="A3591" s="75" t="s">
        <v>676</v>
      </c>
      <c r="B3591" s="79">
        <v>46158</v>
      </c>
      <c r="C3591" s="75"/>
      <c r="D3591" s="75"/>
      <c r="E3591" s="75"/>
      <c r="F3591" s="75">
        <v>20607</v>
      </c>
      <c r="G3591" s="76" t="str">
        <f>VLOOKUP(Tabelle2[[#This Row],[Kunden Nr.]],KUNDEN!A:B,2,0)</f>
        <v xml:space="preserve">F.V. SH.P.K. </v>
      </c>
      <c r="H3591" s="75">
        <v>35128</v>
      </c>
      <c r="I3591" s="76" t="str">
        <f>VLOOKUP(Tabelle2[[#This Row],[Artikel]],Produkte!A:B,2,0)</f>
        <v>M-ONE Sanitar Silikon</v>
      </c>
      <c r="J3591" s="75">
        <v>12</v>
      </c>
      <c r="K3591" s="76" t="str">
        <f>VLOOKUP(Tabelle2[[#This Row],[Kunden Nr.]],KUNDEN!A:G,7)</f>
        <v>Mensuri</v>
      </c>
      <c r="L3591" s="76">
        <f>VLOOKUP(Tabelle2[[#This Row],[Artikel]],Produkte!A:H,8)</f>
        <v>0.17</v>
      </c>
    </row>
    <row r="3592" spans="1:12" x14ac:dyDescent="0.2">
      <c r="A3592" s="75" t="s">
        <v>1305</v>
      </c>
      <c r="B3592" s="79">
        <v>46158</v>
      </c>
      <c r="C3592" s="89">
        <v>144</v>
      </c>
      <c r="D3592" s="75"/>
      <c r="E3592" s="75"/>
      <c r="F3592" s="75">
        <v>20622</v>
      </c>
      <c r="G3592" s="76" t="str">
        <f>VLOOKUP(Tabelle2[[#This Row],[Kunden Nr.]],KUNDEN!A:B,2,0)</f>
        <v>ILIRI QERAMIKA</v>
      </c>
      <c r="H3592" s="75">
        <v>35109</v>
      </c>
      <c r="I3592" s="76" t="str">
        <f>VLOOKUP(Tabelle2[[#This Row],[Artikel]],Produkte!A:B,2,0)</f>
        <v>M-ONE Sanitar Silikon</v>
      </c>
      <c r="J3592" s="75">
        <v>12</v>
      </c>
      <c r="K3592" s="76" t="str">
        <f>VLOOKUP(Tabelle2[[#This Row],[Kunden Nr.]],KUNDEN!A:G,7)</f>
        <v>Mensuri</v>
      </c>
      <c r="L3592" s="76">
        <f>VLOOKUP(Tabelle2[[#This Row],[Artikel]],Produkte!A:H,8)</f>
        <v>0.17</v>
      </c>
    </row>
    <row r="3593" spans="1:12" x14ac:dyDescent="0.2">
      <c r="A3593" s="75" t="s">
        <v>1305</v>
      </c>
      <c r="B3593" s="79">
        <v>46158</v>
      </c>
      <c r="C3593" s="75"/>
      <c r="D3593" s="75"/>
      <c r="E3593" s="75"/>
      <c r="F3593" s="75">
        <v>20622</v>
      </c>
      <c r="G3593" s="76" t="str">
        <f>VLOOKUP(Tabelle2[[#This Row],[Kunden Nr.]],KUNDEN!A:B,2,0)</f>
        <v>ILIRI QERAMIKA</v>
      </c>
      <c r="H3593" s="75">
        <v>35121</v>
      </c>
      <c r="I3593" s="76" t="str">
        <f>VLOOKUP(Tabelle2[[#This Row],[Artikel]],Produkte!A:B,2,0)</f>
        <v>M-ONE Sanitar Silikon</v>
      </c>
      <c r="J3593" s="75">
        <v>12</v>
      </c>
      <c r="K3593" s="76" t="str">
        <f>VLOOKUP(Tabelle2[[#This Row],[Kunden Nr.]],KUNDEN!A:G,7)</f>
        <v>Mensuri</v>
      </c>
      <c r="L3593" s="76">
        <f>VLOOKUP(Tabelle2[[#This Row],[Artikel]],Produkte!A:H,8)</f>
        <v>0.17</v>
      </c>
    </row>
    <row r="3594" spans="1:12" x14ac:dyDescent="0.2">
      <c r="A3594" s="75" t="s">
        <v>1305</v>
      </c>
      <c r="B3594" s="79">
        <v>46158</v>
      </c>
      <c r="C3594" s="75"/>
      <c r="D3594" s="75"/>
      <c r="E3594" s="75"/>
      <c r="F3594" s="75">
        <v>20622</v>
      </c>
      <c r="G3594" s="76" t="str">
        <f>VLOOKUP(Tabelle2[[#This Row],[Kunden Nr.]],KUNDEN!A:B,2,0)</f>
        <v>ILIRI QERAMIKA</v>
      </c>
      <c r="H3594" s="75">
        <v>35111</v>
      </c>
      <c r="I3594" s="76" t="str">
        <f>VLOOKUP(Tabelle2[[#This Row],[Artikel]],Produkte!A:B,2,0)</f>
        <v>M-ONE Sanitar Silikon</v>
      </c>
      <c r="J3594" s="75">
        <v>12</v>
      </c>
      <c r="K3594" s="76" t="str">
        <f>VLOOKUP(Tabelle2[[#This Row],[Kunden Nr.]],KUNDEN!A:G,7)</f>
        <v>Mensuri</v>
      </c>
      <c r="L3594" s="76">
        <f>VLOOKUP(Tabelle2[[#This Row],[Artikel]],Produkte!A:H,8)</f>
        <v>0.17</v>
      </c>
    </row>
    <row r="3595" spans="1:12" x14ac:dyDescent="0.2">
      <c r="A3595" s="75" t="s">
        <v>433</v>
      </c>
      <c r="B3595" s="79">
        <v>46158</v>
      </c>
      <c r="C3595" s="89">
        <v>96</v>
      </c>
      <c r="D3595" s="75"/>
      <c r="E3595" s="75"/>
      <c r="F3595" s="75">
        <v>20605</v>
      </c>
      <c r="G3595" s="76" t="str">
        <f>VLOOKUP(Tabelle2[[#This Row],[Kunden Nr.]],KUNDEN!A:B,2,0)</f>
        <v>HIDROTERMI</v>
      </c>
      <c r="H3595" s="75">
        <v>35109</v>
      </c>
      <c r="I3595" s="76" t="str">
        <f>VLOOKUP(Tabelle2[[#This Row],[Artikel]],Produkte!A:B,2,0)</f>
        <v>M-ONE Sanitar Silikon</v>
      </c>
      <c r="J3595" s="75">
        <v>12</v>
      </c>
      <c r="K3595" s="76" t="str">
        <f>VLOOKUP(Tabelle2[[#This Row],[Kunden Nr.]],KUNDEN!A:G,7)</f>
        <v>Mensuri</v>
      </c>
      <c r="L3595" s="76">
        <f>VLOOKUP(Tabelle2[[#This Row],[Artikel]],Produkte!A:H,8)</f>
        <v>0.17</v>
      </c>
    </row>
    <row r="3596" spans="1:12" x14ac:dyDescent="0.2">
      <c r="A3596" s="75" t="s">
        <v>433</v>
      </c>
      <c r="B3596" s="79">
        <v>46158</v>
      </c>
      <c r="C3596" s="75"/>
      <c r="D3596" s="75"/>
      <c r="E3596" s="75"/>
      <c r="F3596" s="75">
        <v>20605</v>
      </c>
      <c r="G3596" s="76" t="str">
        <f>VLOOKUP(Tabelle2[[#This Row],[Kunden Nr.]],KUNDEN!A:B,2,0)</f>
        <v>HIDROTERMI</v>
      </c>
      <c r="H3596" s="75">
        <v>35121</v>
      </c>
      <c r="I3596" s="76" t="str">
        <f>VLOOKUP(Tabelle2[[#This Row],[Artikel]],Produkte!A:B,2,0)</f>
        <v>M-ONE Sanitar Silikon</v>
      </c>
      <c r="J3596" s="75">
        <v>12</v>
      </c>
      <c r="K3596" s="76" t="str">
        <f>VLOOKUP(Tabelle2[[#This Row],[Kunden Nr.]],KUNDEN!A:G,7)</f>
        <v>Mensuri</v>
      </c>
      <c r="L3596" s="76">
        <f>VLOOKUP(Tabelle2[[#This Row],[Artikel]],Produkte!A:H,8)</f>
        <v>0.17</v>
      </c>
    </row>
    <row r="3597" spans="1:12" x14ac:dyDescent="0.2">
      <c r="A3597" s="75" t="s">
        <v>967</v>
      </c>
      <c r="B3597" s="79">
        <v>46158</v>
      </c>
      <c r="C3597" s="89">
        <v>109.6</v>
      </c>
      <c r="D3597" s="75"/>
      <c r="E3597" s="75"/>
      <c r="F3597" s="75">
        <v>20603</v>
      </c>
      <c r="G3597" s="76" t="str">
        <f>VLOOKUP(Tabelle2[[#This Row],[Kunden Nr.]],KUNDEN!A:B,2,0)</f>
        <v>PROMOIN</v>
      </c>
      <c r="H3597" s="75">
        <v>35111</v>
      </c>
      <c r="I3597" s="76" t="str">
        <f>VLOOKUP(Tabelle2[[#This Row],[Artikel]],Produkte!A:B,2,0)</f>
        <v>M-ONE Sanitar Silikon</v>
      </c>
      <c r="J3597" s="75">
        <v>12</v>
      </c>
      <c r="K3597" s="76" t="str">
        <f>VLOOKUP(Tabelle2[[#This Row],[Kunden Nr.]],KUNDEN!A:G,7)</f>
        <v>Mensuri</v>
      </c>
      <c r="L3597" s="76">
        <f>VLOOKUP(Tabelle2[[#This Row],[Artikel]],Produkte!A:H,8)</f>
        <v>0.17</v>
      </c>
    </row>
    <row r="3598" spans="1:12" x14ac:dyDescent="0.2">
      <c r="A3598" s="75" t="s">
        <v>967</v>
      </c>
      <c r="B3598" s="79">
        <v>46158</v>
      </c>
      <c r="C3598" s="75"/>
      <c r="D3598" s="75"/>
      <c r="E3598" s="75"/>
      <c r="F3598" s="75">
        <v>20603</v>
      </c>
      <c r="G3598" s="76" t="str">
        <f>VLOOKUP(Tabelle2[[#This Row],[Kunden Nr.]],KUNDEN!A:B,2,0)</f>
        <v>PROMOIN</v>
      </c>
      <c r="H3598" s="75">
        <v>35115</v>
      </c>
      <c r="I3598" s="76" t="str">
        <f>VLOOKUP(Tabelle2[[#This Row],[Artikel]],Produkte!A:B,2,0)</f>
        <v>M-ONE Sanitar Silikon</v>
      </c>
      <c r="J3598" s="75">
        <v>12</v>
      </c>
      <c r="K3598" s="76" t="str">
        <f>VLOOKUP(Tabelle2[[#This Row],[Kunden Nr.]],KUNDEN!A:G,7)</f>
        <v>Mensuri</v>
      </c>
      <c r="L3598" s="76">
        <f>VLOOKUP(Tabelle2[[#This Row],[Artikel]],Produkte!A:H,8)</f>
        <v>0.17</v>
      </c>
    </row>
    <row r="3599" spans="1:12" x14ac:dyDescent="0.2">
      <c r="A3599" s="75" t="s">
        <v>967</v>
      </c>
      <c r="B3599" s="79">
        <v>46158</v>
      </c>
      <c r="C3599" s="75"/>
      <c r="D3599" s="75"/>
      <c r="E3599" s="75"/>
      <c r="F3599" s="75">
        <v>20603</v>
      </c>
      <c r="G3599" s="76" t="str">
        <f>VLOOKUP(Tabelle2[[#This Row],[Kunden Nr.]],KUNDEN!A:B,2,0)</f>
        <v>PROMOIN</v>
      </c>
      <c r="H3599" s="75">
        <v>29802</v>
      </c>
      <c r="I3599" s="76" t="str">
        <f>VLOOKUP(Tabelle2[[#This Row],[Artikel]],Produkte!A:B,2,0)</f>
        <v>beMaker Handwaschpaste</v>
      </c>
      <c r="J3599" s="75">
        <v>8</v>
      </c>
      <c r="K3599" s="76" t="str">
        <f>VLOOKUP(Tabelle2[[#This Row],[Kunden Nr.]],KUNDEN!A:G,7)</f>
        <v>Mensuri</v>
      </c>
      <c r="L3599" s="76">
        <f>VLOOKUP(Tabelle2[[#This Row],[Artikel]],Produkte!A:H,8)</f>
        <v>0.1</v>
      </c>
    </row>
    <row r="3600" spans="1:12" x14ac:dyDescent="0.2">
      <c r="A3600" s="75" t="s">
        <v>1195</v>
      </c>
      <c r="B3600" s="79">
        <v>46160</v>
      </c>
      <c r="C3600" s="89">
        <v>40</v>
      </c>
      <c r="D3600" s="75"/>
      <c r="E3600" s="75"/>
      <c r="F3600" s="75">
        <v>10141</v>
      </c>
      <c r="G3600" s="76" t="str">
        <f>VLOOKUP(Tabelle2[[#This Row],[Kunden Nr.]],KUNDEN!A:B,2,0)</f>
        <v>CHE BAR LOUNGE BAR</v>
      </c>
      <c r="H3600" s="75">
        <v>20001</v>
      </c>
      <c r="I3600" s="76" t="str">
        <f>VLOOKUP(Tabelle2[[#This Row],[Artikel]],Produkte!A:B,2,0)</f>
        <v>BioBlic Universalreiniger</v>
      </c>
      <c r="J3600" s="75">
        <v>20</v>
      </c>
      <c r="K3600" s="76" t="str">
        <f>VLOOKUP(Tabelle2[[#This Row],[Kunden Nr.]],KUNDEN!A:G,7)</f>
        <v>Qerimi</v>
      </c>
      <c r="L3600" s="76">
        <f>VLOOKUP(Tabelle2[[#This Row],[Artikel]],Produkte!A:H,8)</f>
        <v>0.30000000000000004</v>
      </c>
    </row>
    <row r="3601" spans="1:12" x14ac:dyDescent="0.2">
      <c r="A3601" s="75" t="s">
        <v>576</v>
      </c>
      <c r="B3601" s="79">
        <v>46160</v>
      </c>
      <c r="C3601" s="89">
        <v>96</v>
      </c>
      <c r="D3601" s="75"/>
      <c r="E3601" s="75"/>
      <c r="F3601" s="75">
        <v>10114</v>
      </c>
      <c r="G3601" s="76" t="str">
        <f>VLOOKUP(Tabelle2[[#This Row],[Kunden Nr.]],KUNDEN!A:B,2,0)</f>
        <v>QELA</v>
      </c>
      <c r="H3601" s="75">
        <v>35110</v>
      </c>
      <c r="I3601" s="76" t="str">
        <f>VLOOKUP(Tabelle2[[#This Row],[Artikel]],Produkte!A:B,2,0)</f>
        <v>M-ONE Sanitar Silikon</v>
      </c>
      <c r="J3601" s="75">
        <v>12</v>
      </c>
      <c r="K3601" s="76" t="str">
        <f>VLOOKUP(Tabelle2[[#This Row],[Kunden Nr.]],KUNDEN!A:G,7)</f>
        <v>Qerimi</v>
      </c>
      <c r="L3601" s="76">
        <f>VLOOKUP(Tabelle2[[#This Row],[Artikel]],Produkte!A:H,8)</f>
        <v>0.17</v>
      </c>
    </row>
    <row r="3602" spans="1:12" x14ac:dyDescent="0.2">
      <c r="A3602" s="75" t="s">
        <v>576</v>
      </c>
      <c r="B3602" s="79">
        <v>46160</v>
      </c>
      <c r="C3602" s="75"/>
      <c r="D3602" s="75"/>
      <c r="E3602" s="75"/>
      <c r="F3602" s="75">
        <v>10114</v>
      </c>
      <c r="G3602" s="76" t="str">
        <f>VLOOKUP(Tabelle2[[#This Row],[Kunden Nr.]],KUNDEN!A:B,2,0)</f>
        <v>QELA</v>
      </c>
      <c r="H3602" s="75">
        <v>35128</v>
      </c>
      <c r="I3602" s="76" t="str">
        <f>VLOOKUP(Tabelle2[[#This Row],[Artikel]],Produkte!A:B,2,0)</f>
        <v>M-ONE Sanitar Silikon</v>
      </c>
      <c r="J3602" s="75">
        <v>12</v>
      </c>
      <c r="K3602" s="76" t="str">
        <f>VLOOKUP(Tabelle2[[#This Row],[Kunden Nr.]],KUNDEN!A:G,7)</f>
        <v>Qerimi</v>
      </c>
      <c r="L3602" s="76">
        <f>VLOOKUP(Tabelle2[[#This Row],[Artikel]],Produkte!A:H,8)</f>
        <v>0.17</v>
      </c>
    </row>
    <row r="3603" spans="1:12" x14ac:dyDescent="0.2">
      <c r="A3603" s="75" t="s">
        <v>1188</v>
      </c>
      <c r="B3603" s="79">
        <v>46160</v>
      </c>
      <c r="C3603" s="89">
        <v>114</v>
      </c>
      <c r="D3603" s="75"/>
      <c r="E3603" s="75"/>
      <c r="F3603" s="75">
        <v>10133</v>
      </c>
      <c r="G3603" s="76" t="str">
        <f>VLOOKUP(Tabelle2[[#This Row],[Kunden Nr.]],KUNDEN!A:B,2,0)</f>
        <v>HIDROELDI</v>
      </c>
      <c r="H3603" s="75">
        <v>30276</v>
      </c>
      <c r="I3603" s="76" t="str">
        <f>VLOOKUP(Tabelle2[[#This Row],[Artikel]],Produkte!A:B,2,0)</f>
        <v>Bio Blic Antikalk</v>
      </c>
      <c r="J3603" s="75">
        <v>10</v>
      </c>
      <c r="K3603" s="76" t="str">
        <f>VLOOKUP(Tabelle2[[#This Row],[Kunden Nr.]],KUNDEN!A:G,7)</f>
        <v>Qerimi</v>
      </c>
      <c r="L3603" s="76">
        <f>VLOOKUP(Tabelle2[[#This Row],[Artikel]],Produkte!A:H,8)</f>
        <v>0.30000000000000004</v>
      </c>
    </row>
    <row r="3604" spans="1:12" x14ac:dyDescent="0.2">
      <c r="A3604" s="75" t="s">
        <v>1188</v>
      </c>
      <c r="B3604" s="79">
        <v>46160</v>
      </c>
      <c r="C3604" s="75"/>
      <c r="D3604" s="75"/>
      <c r="E3604" s="75"/>
      <c r="F3604" s="75">
        <v>10133</v>
      </c>
      <c r="G3604" s="76" t="str">
        <f>VLOOKUP(Tabelle2[[#This Row],[Kunden Nr.]],KUNDEN!A:B,2,0)</f>
        <v>HIDROELDI</v>
      </c>
      <c r="H3604" s="75">
        <v>35109</v>
      </c>
      <c r="I3604" s="76" t="str">
        <f>VLOOKUP(Tabelle2[[#This Row],[Artikel]],Produkte!A:B,2,0)</f>
        <v>M-ONE Sanitar Silikon</v>
      </c>
      <c r="J3604" s="75">
        <v>12</v>
      </c>
      <c r="K3604" s="76" t="str">
        <f>VLOOKUP(Tabelle2[[#This Row],[Kunden Nr.]],KUNDEN!A:G,7)</f>
        <v>Qerimi</v>
      </c>
      <c r="L3604" s="76">
        <f>VLOOKUP(Tabelle2[[#This Row],[Artikel]],Produkte!A:H,8)</f>
        <v>0.17</v>
      </c>
    </row>
    <row r="3605" spans="1:12" x14ac:dyDescent="0.2">
      <c r="A3605" s="75" t="s">
        <v>1188</v>
      </c>
      <c r="B3605" s="79">
        <v>46160</v>
      </c>
      <c r="C3605" s="75"/>
      <c r="D3605" s="75"/>
      <c r="E3605" s="75"/>
      <c r="F3605" s="75">
        <v>10133</v>
      </c>
      <c r="G3605" s="76" t="str">
        <f>VLOOKUP(Tabelle2[[#This Row],[Kunden Nr.]],KUNDEN!A:B,2,0)</f>
        <v>HIDROELDI</v>
      </c>
      <c r="H3605" s="75">
        <v>35125</v>
      </c>
      <c r="I3605" s="76" t="str">
        <f>VLOOKUP(Tabelle2[[#This Row],[Artikel]],Produkte!A:B,2,0)</f>
        <v>M-ONE Sanitar Silikon</v>
      </c>
      <c r="J3605" s="75">
        <v>12</v>
      </c>
      <c r="K3605" s="76" t="str">
        <f>VLOOKUP(Tabelle2[[#This Row],[Kunden Nr.]],KUNDEN!A:G,7)</f>
        <v>Qerimi</v>
      </c>
      <c r="L3605" s="76">
        <f>VLOOKUP(Tabelle2[[#This Row],[Artikel]],Produkte!A:H,8)</f>
        <v>0.17</v>
      </c>
    </row>
    <row r="3606" spans="1:12" x14ac:dyDescent="0.2">
      <c r="A3606" s="75" t="s">
        <v>573</v>
      </c>
      <c r="B3606" s="79">
        <v>46160</v>
      </c>
      <c r="C3606" s="89">
        <v>144</v>
      </c>
      <c r="D3606" s="75"/>
      <c r="E3606" s="75"/>
      <c r="F3606" s="75">
        <v>10111</v>
      </c>
      <c r="G3606" s="76" t="str">
        <f>VLOOKUP(Tabelle2[[#This Row],[Kunden Nr.]],KUNDEN!A:B,2,0)</f>
        <v>KADIJOLLET</v>
      </c>
      <c r="H3606" s="75">
        <v>35114</v>
      </c>
      <c r="I3606" s="76" t="str">
        <f>VLOOKUP(Tabelle2[[#This Row],[Artikel]],Produkte!A:B,2,0)</f>
        <v>M-ONE Sanitar Silikon</v>
      </c>
      <c r="J3606" s="75">
        <v>12</v>
      </c>
      <c r="K3606" s="76" t="str">
        <f>VLOOKUP(Tabelle2[[#This Row],[Kunden Nr.]],KUNDEN!A:G,7)</f>
        <v>Qerimi</v>
      </c>
      <c r="L3606" s="76">
        <f>VLOOKUP(Tabelle2[[#This Row],[Artikel]],Produkte!A:H,8)</f>
        <v>0.17</v>
      </c>
    </row>
    <row r="3607" spans="1:12" x14ac:dyDescent="0.2">
      <c r="A3607" s="75" t="s">
        <v>573</v>
      </c>
      <c r="B3607" s="79">
        <v>46160</v>
      </c>
      <c r="C3607" s="75"/>
      <c r="D3607" s="75"/>
      <c r="E3607" s="75"/>
      <c r="F3607" s="75">
        <v>10111</v>
      </c>
      <c r="G3607" s="76" t="str">
        <f>VLOOKUP(Tabelle2[[#This Row],[Kunden Nr.]],KUNDEN!A:B,2,0)</f>
        <v>KADIJOLLET</v>
      </c>
      <c r="H3607" s="75">
        <v>35111</v>
      </c>
      <c r="I3607" s="76" t="str">
        <f>VLOOKUP(Tabelle2[[#This Row],[Artikel]],Produkte!A:B,2,0)</f>
        <v>M-ONE Sanitar Silikon</v>
      </c>
      <c r="J3607" s="75">
        <v>12</v>
      </c>
      <c r="K3607" s="76" t="str">
        <f>VLOOKUP(Tabelle2[[#This Row],[Kunden Nr.]],KUNDEN!A:G,7)</f>
        <v>Qerimi</v>
      </c>
      <c r="L3607" s="76">
        <f>VLOOKUP(Tabelle2[[#This Row],[Artikel]],Produkte!A:H,8)</f>
        <v>0.17</v>
      </c>
    </row>
    <row r="3608" spans="1:12" x14ac:dyDescent="0.2">
      <c r="A3608" s="75" t="s">
        <v>573</v>
      </c>
      <c r="B3608" s="79">
        <v>46160</v>
      </c>
      <c r="C3608" s="75"/>
      <c r="D3608" s="75"/>
      <c r="E3608" s="75"/>
      <c r="F3608" s="75">
        <v>10111</v>
      </c>
      <c r="G3608" s="76" t="str">
        <f>VLOOKUP(Tabelle2[[#This Row],[Kunden Nr.]],KUNDEN!A:B,2,0)</f>
        <v>KADIJOLLET</v>
      </c>
      <c r="H3608" s="75">
        <v>35115</v>
      </c>
      <c r="I3608" s="76" t="str">
        <f>VLOOKUP(Tabelle2[[#This Row],[Artikel]],Produkte!A:B,2,0)</f>
        <v>M-ONE Sanitar Silikon</v>
      </c>
      <c r="J3608" s="75">
        <v>12</v>
      </c>
      <c r="K3608" s="76" t="str">
        <f>VLOOKUP(Tabelle2[[#This Row],[Kunden Nr.]],KUNDEN!A:G,7)</f>
        <v>Qerimi</v>
      </c>
      <c r="L3608" s="76">
        <f>VLOOKUP(Tabelle2[[#This Row],[Artikel]],Produkte!A:H,8)</f>
        <v>0.17</v>
      </c>
    </row>
    <row r="3609" spans="1:12" x14ac:dyDescent="0.2">
      <c r="A3609" s="75" t="s">
        <v>1265</v>
      </c>
      <c r="B3609" s="79">
        <v>46160</v>
      </c>
      <c r="C3609" s="89">
        <v>96</v>
      </c>
      <c r="D3609" s="75"/>
      <c r="E3609" s="75"/>
      <c r="F3609" s="75">
        <v>10145</v>
      </c>
      <c r="G3609" s="76" t="str">
        <f>VLOOKUP(Tabelle2[[#This Row],[Kunden Nr.]],KUNDEN!A:B,2,0)</f>
        <v>KRRABAJ</v>
      </c>
      <c r="H3609" s="75">
        <v>35109</v>
      </c>
      <c r="I3609" s="76" t="str">
        <f>VLOOKUP(Tabelle2[[#This Row],[Artikel]],Produkte!A:B,2,0)</f>
        <v>M-ONE Sanitar Silikon</v>
      </c>
      <c r="J3609" s="75">
        <v>12</v>
      </c>
      <c r="K3609" s="76" t="str">
        <f>VLOOKUP(Tabelle2[[#This Row],[Kunden Nr.]],KUNDEN!A:G,7)</f>
        <v>Qerimi</v>
      </c>
      <c r="L3609" s="76">
        <f>VLOOKUP(Tabelle2[[#This Row],[Artikel]],Produkte!A:H,8)</f>
        <v>0.17</v>
      </c>
    </row>
    <row r="3610" spans="1:12" x14ac:dyDescent="0.2">
      <c r="A3610" s="75" t="s">
        <v>1265</v>
      </c>
      <c r="B3610" s="79">
        <v>46160</v>
      </c>
      <c r="C3610" s="75"/>
      <c r="D3610" s="75"/>
      <c r="E3610" s="75"/>
      <c r="F3610" s="75">
        <v>10145</v>
      </c>
      <c r="G3610" s="76" t="str">
        <f>VLOOKUP(Tabelle2[[#This Row],[Kunden Nr.]],KUNDEN!A:B,2,0)</f>
        <v>KRRABAJ</v>
      </c>
      <c r="H3610" s="75">
        <v>35121</v>
      </c>
      <c r="I3610" s="76" t="str">
        <f>VLOOKUP(Tabelle2[[#This Row],[Artikel]],Produkte!A:B,2,0)</f>
        <v>M-ONE Sanitar Silikon</v>
      </c>
      <c r="J3610" s="75">
        <v>12</v>
      </c>
      <c r="K3610" s="76" t="str">
        <f>VLOOKUP(Tabelle2[[#This Row],[Kunden Nr.]],KUNDEN!A:G,7)</f>
        <v>Qerimi</v>
      </c>
      <c r="L3610" s="76">
        <f>VLOOKUP(Tabelle2[[#This Row],[Artikel]],Produkte!A:H,8)</f>
        <v>0.17</v>
      </c>
    </row>
    <row r="3611" spans="1:12" x14ac:dyDescent="0.2">
      <c r="A3611" s="75" t="s">
        <v>474</v>
      </c>
      <c r="B3611" s="79">
        <v>46160</v>
      </c>
      <c r="C3611" s="89">
        <v>144</v>
      </c>
      <c r="D3611" s="75"/>
      <c r="E3611" s="75"/>
      <c r="F3611" s="75">
        <v>20109</v>
      </c>
      <c r="G3611" s="76" t="str">
        <f>VLOOKUP(Tabelle2[[#This Row],[Kunden Nr.]],KUNDEN!A:B,2,0)</f>
        <v>KENA COMERC</v>
      </c>
      <c r="H3611" s="75">
        <v>35111</v>
      </c>
      <c r="I3611" s="76" t="str">
        <f>VLOOKUP(Tabelle2[[#This Row],[Artikel]],Produkte!A:B,2,0)</f>
        <v>M-ONE Sanitar Silikon</v>
      </c>
      <c r="J3611" s="75">
        <v>24</v>
      </c>
      <c r="K3611" s="76" t="str">
        <f>VLOOKUP(Tabelle2[[#This Row],[Kunden Nr.]],KUNDEN!A:G,7)</f>
        <v>Mensuri</v>
      </c>
      <c r="L3611" s="76">
        <f>VLOOKUP(Tabelle2[[#This Row],[Artikel]],Produkte!A:H,8)</f>
        <v>0.17</v>
      </c>
    </row>
    <row r="3612" spans="1:12" x14ac:dyDescent="0.2">
      <c r="A3612" s="75" t="s">
        <v>474</v>
      </c>
      <c r="B3612" s="79">
        <v>46160</v>
      </c>
      <c r="C3612" s="75"/>
      <c r="D3612" s="75"/>
      <c r="E3612" s="75"/>
      <c r="F3612" s="75">
        <v>20109</v>
      </c>
      <c r="G3612" s="76" t="str">
        <f>VLOOKUP(Tabelle2[[#This Row],[Kunden Nr.]],KUNDEN!A:B,2,0)</f>
        <v>KENA COMERC</v>
      </c>
      <c r="H3612" s="75">
        <v>35125</v>
      </c>
      <c r="I3612" s="76" t="str">
        <f>VLOOKUP(Tabelle2[[#This Row],[Artikel]],Produkte!A:B,2,0)</f>
        <v>M-ONE Sanitar Silikon</v>
      </c>
      <c r="J3612" s="75">
        <v>12</v>
      </c>
      <c r="K3612" s="76" t="str">
        <f>VLOOKUP(Tabelle2[[#This Row],[Kunden Nr.]],KUNDEN!A:G,7)</f>
        <v>Mensuri</v>
      </c>
      <c r="L3612" s="76">
        <f>VLOOKUP(Tabelle2[[#This Row],[Artikel]],Produkte!A:H,8)</f>
        <v>0.17</v>
      </c>
    </row>
    <row r="3613" spans="1:12" x14ac:dyDescent="0.2">
      <c r="A3613" s="75" t="s">
        <v>1180</v>
      </c>
      <c r="B3613" s="79">
        <v>46160</v>
      </c>
      <c r="C3613" s="89">
        <v>162</v>
      </c>
      <c r="D3613" s="75"/>
      <c r="E3613" s="75"/>
      <c r="F3613" s="75">
        <v>20126</v>
      </c>
      <c r="G3613" s="76" t="str">
        <f>VLOOKUP(Tabelle2[[#This Row],[Kunden Nr.]],KUNDEN!A:B,2,0)</f>
        <v>LULI-C</v>
      </c>
      <c r="H3613" s="75">
        <v>35113</v>
      </c>
      <c r="I3613" s="76" t="str">
        <f>VLOOKUP(Tabelle2[[#This Row],[Artikel]],Produkte!A:B,2,0)</f>
        <v>M-ONE Sanitar Silikon</v>
      </c>
      <c r="J3613" s="75">
        <v>12</v>
      </c>
      <c r="K3613" s="76" t="str">
        <f>VLOOKUP(Tabelle2[[#This Row],[Kunden Nr.]],KUNDEN!A:G,7)</f>
        <v>Mensuri</v>
      </c>
      <c r="L3613" s="76">
        <f>VLOOKUP(Tabelle2[[#This Row],[Artikel]],Produkte!A:H,8)</f>
        <v>0.17</v>
      </c>
    </row>
    <row r="3614" spans="1:12" x14ac:dyDescent="0.2">
      <c r="A3614" s="75" t="s">
        <v>1180</v>
      </c>
      <c r="B3614" s="79">
        <v>46160</v>
      </c>
      <c r="C3614" s="75"/>
      <c r="D3614" s="75"/>
      <c r="E3614" s="75"/>
      <c r="F3614" s="75">
        <v>20126</v>
      </c>
      <c r="G3614" s="76" t="str">
        <f>VLOOKUP(Tabelle2[[#This Row],[Kunden Nr.]],KUNDEN!A:B,2,0)</f>
        <v>LULI-C</v>
      </c>
      <c r="H3614" s="75">
        <v>35119</v>
      </c>
      <c r="I3614" s="76" t="str">
        <f>VLOOKUP(Tabelle2[[#This Row],[Artikel]],Produkte!A:B,2,0)</f>
        <v>M-ONE Sanitar Silikon</v>
      </c>
      <c r="J3614" s="75">
        <v>12</v>
      </c>
      <c r="K3614" s="76" t="str">
        <f>VLOOKUP(Tabelle2[[#This Row],[Kunden Nr.]],KUNDEN!A:G,7)</f>
        <v>Mensuri</v>
      </c>
      <c r="L3614" s="76">
        <f>VLOOKUP(Tabelle2[[#This Row],[Artikel]],Produkte!A:H,8)</f>
        <v>0.17</v>
      </c>
    </row>
    <row r="3615" spans="1:12" x14ac:dyDescent="0.2">
      <c r="A3615" s="75" t="s">
        <v>1180</v>
      </c>
      <c r="B3615" s="79">
        <v>46160</v>
      </c>
      <c r="C3615" s="75"/>
      <c r="D3615" s="75"/>
      <c r="E3615" s="75"/>
      <c r="F3615" s="75">
        <v>20126</v>
      </c>
      <c r="G3615" s="76" t="str">
        <f>VLOOKUP(Tabelle2[[#This Row],[Kunden Nr.]],KUNDEN!A:B,2,0)</f>
        <v>LULI-C</v>
      </c>
      <c r="H3615" s="75">
        <v>35121</v>
      </c>
      <c r="I3615" s="76" t="str">
        <f>VLOOKUP(Tabelle2[[#This Row],[Artikel]],Produkte!A:B,2,0)</f>
        <v>M-ONE Sanitar Silikon</v>
      </c>
      <c r="J3615" s="75">
        <v>12</v>
      </c>
      <c r="K3615" s="76" t="str">
        <f>VLOOKUP(Tabelle2[[#This Row],[Kunden Nr.]],KUNDEN!A:G,7)</f>
        <v>Mensuri</v>
      </c>
      <c r="L3615" s="76">
        <f>VLOOKUP(Tabelle2[[#This Row],[Artikel]],Produkte!A:H,8)</f>
        <v>0.17</v>
      </c>
    </row>
    <row r="3616" spans="1:12" x14ac:dyDescent="0.2">
      <c r="A3616" s="75" t="s">
        <v>1180</v>
      </c>
      <c r="B3616" s="79">
        <v>46160</v>
      </c>
      <c r="C3616" s="75"/>
      <c r="D3616" s="75"/>
      <c r="E3616" s="75"/>
      <c r="F3616" s="75">
        <v>20126</v>
      </c>
      <c r="G3616" s="76" t="str">
        <f>VLOOKUP(Tabelle2[[#This Row],[Kunden Nr.]],KUNDEN!A:B,2,0)</f>
        <v>LULI-C</v>
      </c>
      <c r="H3616" s="75">
        <v>49644</v>
      </c>
      <c r="I3616" s="76" t="str">
        <f>VLOOKUP(Tabelle2[[#This Row],[Artikel]],Produkte!A:B,2,0)</f>
        <v>beMAKER Rostlöser</v>
      </c>
      <c r="J3616" s="75">
        <v>6</v>
      </c>
      <c r="K3616" s="76" t="str">
        <f>VLOOKUP(Tabelle2[[#This Row],[Kunden Nr.]],KUNDEN!A:G,7)</f>
        <v>Mensuri</v>
      </c>
      <c r="L3616" s="76">
        <f>VLOOKUP(Tabelle2[[#This Row],[Artikel]],Produkte!A:H,8)</f>
        <v>0.2</v>
      </c>
    </row>
    <row r="3617" spans="1:12" x14ac:dyDescent="0.2">
      <c r="A3617" s="75" t="s">
        <v>1180</v>
      </c>
      <c r="B3617" s="79">
        <v>46160</v>
      </c>
      <c r="C3617" s="75"/>
      <c r="D3617" s="75"/>
      <c r="E3617" s="75"/>
      <c r="F3617" s="75">
        <v>20126</v>
      </c>
      <c r="G3617" s="76" t="str">
        <f>VLOOKUP(Tabelle2[[#This Row],[Kunden Nr.]],KUNDEN!A:B,2,0)</f>
        <v>LULI-C</v>
      </c>
      <c r="H3617" s="75">
        <v>39505</v>
      </c>
      <c r="I3617" s="76" t="str">
        <f>VLOOKUP(Tabelle2[[#This Row],[Artikel]],Produkte!A:B,2,0)</f>
        <v>M ONE SILIKON SPRAY</v>
      </c>
      <c r="J3617" s="75">
        <v>2</v>
      </c>
      <c r="K3617" s="76" t="str">
        <f>VLOOKUP(Tabelle2[[#This Row],[Kunden Nr.]],KUNDEN!A:G,7)</f>
        <v>Mensuri</v>
      </c>
      <c r="L3617" s="76">
        <f>VLOOKUP(Tabelle2[[#This Row],[Artikel]],Produkte!A:H,8)</f>
        <v>0.2</v>
      </c>
    </row>
    <row r="3618" spans="1:12" x14ac:dyDescent="0.2">
      <c r="A3618" s="75" t="s">
        <v>469</v>
      </c>
      <c r="B3618" s="79">
        <v>46160</v>
      </c>
      <c r="C3618" s="89">
        <v>72.7</v>
      </c>
      <c r="D3618" s="75"/>
      <c r="E3618" s="75"/>
      <c r="F3618" s="75">
        <v>20102</v>
      </c>
      <c r="G3618" s="76" t="str">
        <f>VLOOKUP(Tabelle2[[#This Row],[Kunden Nr.]],KUNDEN!A:B,2,0)</f>
        <v>KUQI-LKW</v>
      </c>
      <c r="H3618" s="75">
        <v>50912</v>
      </c>
      <c r="I3618" s="76" t="str">
        <f>VLOOKUP(Tabelle2[[#This Row],[Artikel]],Produkte!A:B,2,0)</f>
        <v>DICHTUNG</v>
      </c>
      <c r="J3618" s="75">
        <v>6</v>
      </c>
      <c r="K3618" s="76" t="str">
        <f>VLOOKUP(Tabelle2[[#This Row],[Kunden Nr.]],KUNDEN!A:G,7)</f>
        <v>Mensuri</v>
      </c>
      <c r="L3618" s="76">
        <f>VLOOKUP(Tabelle2[[#This Row],[Artikel]],Produkte!A:H,8)</f>
        <v>0.2</v>
      </c>
    </row>
    <row r="3619" spans="1:12" x14ac:dyDescent="0.2">
      <c r="A3619" s="75" t="s">
        <v>469</v>
      </c>
      <c r="B3619" s="79">
        <v>46160</v>
      </c>
      <c r="C3619" s="75"/>
      <c r="D3619" s="75"/>
      <c r="E3619" s="75"/>
      <c r="F3619" s="75">
        <v>20102</v>
      </c>
      <c r="G3619" s="76" t="str">
        <f>VLOOKUP(Tabelle2[[#This Row],[Kunden Nr.]],KUNDEN!A:B,2,0)</f>
        <v>KUQI-LKW</v>
      </c>
      <c r="H3619" s="75">
        <v>54412</v>
      </c>
      <c r="I3619" s="76" t="str">
        <f>VLOOKUP(Tabelle2[[#This Row],[Artikel]],Produkte!A:B,2,0)</f>
        <v>beMAKER Bremsen&amp;Teile Reininger</v>
      </c>
      <c r="J3619" s="75">
        <v>6</v>
      </c>
      <c r="K3619" s="76" t="str">
        <f>VLOOKUP(Tabelle2[[#This Row],[Kunden Nr.]],KUNDEN!A:G,7)</f>
        <v>Mensuri</v>
      </c>
      <c r="L3619" s="76">
        <f>VLOOKUP(Tabelle2[[#This Row],[Artikel]],Produkte!A:H,8)</f>
        <v>0.2</v>
      </c>
    </row>
    <row r="3620" spans="1:12" x14ac:dyDescent="0.2">
      <c r="A3620" s="75" t="s">
        <v>469</v>
      </c>
      <c r="B3620" s="79">
        <v>46160</v>
      </c>
      <c r="C3620" s="75"/>
      <c r="D3620" s="75"/>
      <c r="E3620" s="75"/>
      <c r="F3620" s="75">
        <v>20102</v>
      </c>
      <c r="G3620" s="76" t="str">
        <f>VLOOKUP(Tabelle2[[#This Row],[Kunden Nr.]],KUNDEN!A:B,2,0)</f>
        <v>KUQI-LKW</v>
      </c>
      <c r="H3620" s="75">
        <v>55718</v>
      </c>
      <c r="I3620" s="76" t="str">
        <f>VLOOKUP(Tabelle2[[#This Row],[Artikel]],Produkte!A:B,2,0)</f>
        <v>M ONE MOTORSTART</v>
      </c>
      <c r="J3620" s="75">
        <v>5</v>
      </c>
      <c r="K3620" s="76" t="str">
        <f>VLOOKUP(Tabelle2[[#This Row],[Kunden Nr.]],KUNDEN!A:G,7)</f>
        <v>Mensuri</v>
      </c>
      <c r="L3620" s="76">
        <f>VLOOKUP(Tabelle2[[#This Row],[Artikel]],Produkte!A:H,8)</f>
        <v>0.2</v>
      </c>
    </row>
    <row r="3621" spans="1:12" x14ac:dyDescent="0.2">
      <c r="A3621" s="75" t="s">
        <v>1163</v>
      </c>
      <c r="B3621" s="79">
        <v>46160</v>
      </c>
      <c r="C3621" s="89">
        <v>192</v>
      </c>
      <c r="D3621" s="75"/>
      <c r="E3621" s="75"/>
      <c r="F3621" s="75">
        <v>20121</v>
      </c>
      <c r="G3621" s="76" t="str">
        <f>VLOOKUP(Tabelle2[[#This Row],[Kunden Nr.]],KUNDEN!A:B,2,0)</f>
        <v>CAMA BAU</v>
      </c>
      <c r="H3621" s="75">
        <v>35108</v>
      </c>
      <c r="I3621" s="76" t="str">
        <f>VLOOKUP(Tabelle2[[#This Row],[Artikel]],Produkte!A:B,2,0)</f>
        <v>M-ONE Sanitar Silikon</v>
      </c>
      <c r="J3621" s="75">
        <v>12</v>
      </c>
      <c r="K3621" s="76" t="str">
        <f>VLOOKUP(Tabelle2[[#This Row],[Kunden Nr.]],KUNDEN!A:G,7)</f>
        <v>Mensuri</v>
      </c>
      <c r="L3621" s="76">
        <f>VLOOKUP(Tabelle2[[#This Row],[Artikel]],Produkte!A:H,8)</f>
        <v>0.17</v>
      </c>
    </row>
    <row r="3622" spans="1:12" x14ac:dyDescent="0.2">
      <c r="A3622" s="75" t="s">
        <v>1163</v>
      </c>
      <c r="B3622" s="79">
        <v>46160</v>
      </c>
      <c r="C3622" s="75"/>
      <c r="D3622" s="75"/>
      <c r="E3622" s="75"/>
      <c r="F3622" s="75">
        <v>20121</v>
      </c>
      <c r="G3622" s="76" t="str">
        <f>VLOOKUP(Tabelle2[[#This Row],[Kunden Nr.]],KUNDEN!A:B,2,0)</f>
        <v>CAMA BAU</v>
      </c>
      <c r="H3622" s="75">
        <v>35113</v>
      </c>
      <c r="I3622" s="76" t="str">
        <f>VLOOKUP(Tabelle2[[#This Row],[Artikel]],Produkte!A:B,2,0)</f>
        <v>M-ONE Sanitar Silikon</v>
      </c>
      <c r="J3622" s="75">
        <v>12</v>
      </c>
      <c r="K3622" s="76" t="str">
        <f>VLOOKUP(Tabelle2[[#This Row],[Kunden Nr.]],KUNDEN!A:G,7)</f>
        <v>Mensuri</v>
      </c>
      <c r="L3622" s="76">
        <f>VLOOKUP(Tabelle2[[#This Row],[Artikel]],Produkte!A:H,8)</f>
        <v>0.17</v>
      </c>
    </row>
    <row r="3623" spans="1:12" x14ac:dyDescent="0.2">
      <c r="A3623" s="75" t="s">
        <v>1163</v>
      </c>
      <c r="B3623" s="79">
        <v>46160</v>
      </c>
      <c r="C3623" s="75"/>
      <c r="D3623" s="75"/>
      <c r="E3623" s="75"/>
      <c r="F3623" s="75">
        <v>20121</v>
      </c>
      <c r="G3623" s="76" t="str">
        <f>VLOOKUP(Tabelle2[[#This Row],[Kunden Nr.]],KUNDEN!A:B,2,0)</f>
        <v>CAMA BAU</v>
      </c>
      <c r="H3623" s="75">
        <v>35119</v>
      </c>
      <c r="I3623" s="76" t="str">
        <f>VLOOKUP(Tabelle2[[#This Row],[Artikel]],Produkte!A:B,2,0)</f>
        <v>M-ONE Sanitar Silikon</v>
      </c>
      <c r="J3623" s="75">
        <v>12</v>
      </c>
      <c r="K3623" s="76" t="str">
        <f>VLOOKUP(Tabelle2[[#This Row],[Kunden Nr.]],KUNDEN!A:G,7)</f>
        <v>Mensuri</v>
      </c>
      <c r="L3623" s="76">
        <f>VLOOKUP(Tabelle2[[#This Row],[Artikel]],Produkte!A:H,8)</f>
        <v>0.17</v>
      </c>
    </row>
    <row r="3624" spans="1:12" x14ac:dyDescent="0.2">
      <c r="A3624" s="75" t="s">
        <v>1163</v>
      </c>
      <c r="B3624" s="79">
        <v>46160</v>
      </c>
      <c r="C3624" s="75"/>
      <c r="D3624" s="75"/>
      <c r="E3624" s="75"/>
      <c r="F3624" s="75">
        <v>20121</v>
      </c>
      <c r="G3624" s="76" t="str">
        <f>VLOOKUP(Tabelle2[[#This Row],[Kunden Nr.]],KUNDEN!A:B,2,0)</f>
        <v>CAMA BAU</v>
      </c>
      <c r="H3624" s="75">
        <v>35125</v>
      </c>
      <c r="I3624" s="76" t="str">
        <f>VLOOKUP(Tabelle2[[#This Row],[Artikel]],Produkte!A:B,2,0)</f>
        <v>M-ONE Sanitar Silikon</v>
      </c>
      <c r="J3624" s="75">
        <v>12</v>
      </c>
      <c r="K3624" s="76" t="str">
        <f>VLOOKUP(Tabelle2[[#This Row],[Kunden Nr.]],KUNDEN!A:G,7)</f>
        <v>Mensuri</v>
      </c>
      <c r="L3624" s="76">
        <f>VLOOKUP(Tabelle2[[#This Row],[Artikel]],Produkte!A:H,8)</f>
        <v>0.17</v>
      </c>
    </row>
    <row r="3625" spans="1:12" x14ac:dyDescent="0.2">
      <c r="A3625" s="75" t="s">
        <v>476</v>
      </c>
      <c r="B3625" s="79">
        <v>46160</v>
      </c>
      <c r="C3625" s="89">
        <v>68</v>
      </c>
      <c r="D3625" s="75"/>
      <c r="E3625" s="75"/>
      <c r="F3625" s="75">
        <v>20111</v>
      </c>
      <c r="G3625" s="76" t="str">
        <f>VLOOKUP(Tabelle2[[#This Row],[Kunden Nr.]],KUNDEN!A:B,2,0)</f>
        <v>TECOL 2</v>
      </c>
      <c r="H3625" s="75">
        <v>31880</v>
      </c>
      <c r="I3625" s="76" t="str">
        <f>VLOOKUP(Tabelle2[[#This Row],[Artikel]],Produkte!A:B,2,0)</f>
        <v>HAT LACK 800</v>
      </c>
      <c r="J3625" s="75">
        <v>6</v>
      </c>
      <c r="K3625" s="76" t="str">
        <f>VLOOKUP(Tabelle2[[#This Row],[Kunden Nr.]],KUNDEN!A:G,7)</f>
        <v>Mensuri</v>
      </c>
      <c r="L3625" s="76">
        <f>VLOOKUP(Tabelle2[[#This Row],[Artikel]],Produkte!A:H,8)</f>
        <v>0.35</v>
      </c>
    </row>
    <row r="3626" spans="1:12" x14ac:dyDescent="0.2">
      <c r="A3626" s="75" t="s">
        <v>476</v>
      </c>
      <c r="B3626" s="79">
        <v>46160</v>
      </c>
      <c r="C3626" s="75"/>
      <c r="D3626" s="75"/>
      <c r="E3626" s="75"/>
      <c r="F3626" s="75">
        <v>20111</v>
      </c>
      <c r="G3626" s="76" t="str">
        <f>VLOOKUP(Tabelle2[[#This Row],[Kunden Nr.]],KUNDEN!A:B,2,0)</f>
        <v>TECOL 2</v>
      </c>
      <c r="H3626" s="75">
        <v>51617</v>
      </c>
      <c r="I3626" s="76" t="e">
        <f>VLOOKUP(Tabelle2[[#This Row],[Artikel]],Produkte!A:B,2,0)</f>
        <v>#N/A</v>
      </c>
      <c r="J3626" s="75">
        <v>6</v>
      </c>
      <c r="K3626" s="76" t="str">
        <f>VLOOKUP(Tabelle2[[#This Row],[Kunden Nr.]],KUNDEN!A:G,7)</f>
        <v>Mensuri</v>
      </c>
      <c r="L3626" s="76">
        <f>VLOOKUP(Tabelle2[[#This Row],[Artikel]],Produkte!A:H,8)</f>
        <v>0.06</v>
      </c>
    </row>
    <row r="3627" spans="1:12" x14ac:dyDescent="0.2">
      <c r="A3627" s="75" t="s">
        <v>476</v>
      </c>
      <c r="B3627" s="79">
        <v>46160</v>
      </c>
      <c r="C3627" s="75"/>
      <c r="D3627" s="75"/>
      <c r="E3627" s="75"/>
      <c r="F3627" s="75">
        <v>20111</v>
      </c>
      <c r="G3627" s="76" t="str">
        <f>VLOOKUP(Tabelle2[[#This Row],[Kunden Nr.]],KUNDEN!A:B,2,0)</f>
        <v>TECOL 2</v>
      </c>
      <c r="H3627" s="75">
        <v>16936</v>
      </c>
      <c r="I3627" s="76" t="str">
        <f>VLOOKUP(Tabelle2[[#This Row],[Artikel]],Produkte!A:B,2,0)</f>
        <v>M ONE FELGENSILBER</v>
      </c>
      <c r="J3627" s="75">
        <v>8</v>
      </c>
      <c r="K3627" s="76" t="str">
        <f>VLOOKUP(Tabelle2[[#This Row],[Kunden Nr.]],KUNDEN!A:G,7)</f>
        <v>Mensuri</v>
      </c>
      <c r="L3627" s="76">
        <f>VLOOKUP(Tabelle2[[#This Row],[Artikel]],Produkte!A:H,8)</f>
        <v>0.15</v>
      </c>
    </row>
    <row r="3628" spans="1:12" x14ac:dyDescent="0.2">
      <c r="A3628" s="75" t="s">
        <v>1129</v>
      </c>
      <c r="B3628" s="79">
        <v>46160</v>
      </c>
      <c r="C3628" s="89">
        <v>144</v>
      </c>
      <c r="D3628" s="75"/>
      <c r="E3628" s="75"/>
      <c r="F3628" s="75">
        <v>20127</v>
      </c>
      <c r="G3628" s="76" t="str">
        <f>VLOOKUP(Tabelle2[[#This Row],[Kunden Nr.]],KUNDEN!A:B,2,0)</f>
        <v>TERMO PROJEKT</v>
      </c>
      <c r="H3628" s="75">
        <v>35108</v>
      </c>
      <c r="I3628" s="76" t="str">
        <f>VLOOKUP(Tabelle2[[#This Row],[Artikel]],Produkte!A:B,2,0)</f>
        <v>M-ONE Sanitar Silikon</v>
      </c>
      <c r="J3628" s="75">
        <v>24</v>
      </c>
      <c r="K3628" s="76" t="str">
        <f>VLOOKUP(Tabelle2[[#This Row],[Kunden Nr.]],KUNDEN!A:G,7)</f>
        <v>Mensuri</v>
      </c>
      <c r="L3628" s="76">
        <f>VLOOKUP(Tabelle2[[#This Row],[Artikel]],Produkte!A:H,8)</f>
        <v>0.17</v>
      </c>
    </row>
    <row r="3629" spans="1:12" x14ac:dyDescent="0.2">
      <c r="A3629" s="75" t="s">
        <v>1129</v>
      </c>
      <c r="B3629" s="79">
        <v>46160</v>
      </c>
      <c r="C3629" s="75"/>
      <c r="D3629" s="75"/>
      <c r="E3629" s="75"/>
      <c r="F3629" s="75">
        <v>20127</v>
      </c>
      <c r="G3629" s="76" t="str">
        <f>VLOOKUP(Tabelle2[[#This Row],[Kunden Nr.]],KUNDEN!A:B,2,0)</f>
        <v>TERMO PROJEKT</v>
      </c>
      <c r="H3629" s="75">
        <v>35109</v>
      </c>
      <c r="I3629" s="76" t="str">
        <f>VLOOKUP(Tabelle2[[#This Row],[Artikel]],Produkte!A:B,2,0)</f>
        <v>M-ONE Sanitar Silikon</v>
      </c>
      <c r="J3629" s="75">
        <v>12</v>
      </c>
      <c r="K3629" s="76" t="str">
        <f>VLOOKUP(Tabelle2[[#This Row],[Kunden Nr.]],KUNDEN!A:G,7)</f>
        <v>Mensuri</v>
      </c>
      <c r="L3629" s="76">
        <f>VLOOKUP(Tabelle2[[#This Row],[Artikel]],Produkte!A:H,8)</f>
        <v>0.17</v>
      </c>
    </row>
    <row r="3630" spans="1:12" x14ac:dyDescent="0.2">
      <c r="A3630" s="75" t="s">
        <v>1306</v>
      </c>
      <c r="B3630" s="79">
        <v>46160</v>
      </c>
      <c r="C3630" s="89">
        <v>144</v>
      </c>
      <c r="D3630" s="75"/>
      <c r="E3630" s="75"/>
      <c r="F3630" s="75">
        <v>20129</v>
      </c>
      <c r="G3630" s="76" t="str">
        <f>VLOOKUP(Tabelle2[[#This Row],[Kunden Nr.]],KUNDEN!A:B,2,0)</f>
        <v>LNI SHPK</v>
      </c>
      <c r="H3630" s="75">
        <v>35113</v>
      </c>
      <c r="I3630" s="76" t="str">
        <f>VLOOKUP(Tabelle2[[#This Row],[Artikel]],Produkte!A:B,2,0)</f>
        <v>M-ONE Sanitar Silikon</v>
      </c>
      <c r="J3630" s="75">
        <v>12</v>
      </c>
      <c r="K3630" s="76" t="str">
        <f>VLOOKUP(Tabelle2[[#This Row],[Kunden Nr.]],KUNDEN!A:G,7)</f>
        <v>Mensuri</v>
      </c>
      <c r="L3630" s="76">
        <f>VLOOKUP(Tabelle2[[#This Row],[Artikel]],Produkte!A:H,8)</f>
        <v>0.17</v>
      </c>
    </row>
    <row r="3631" spans="1:12" x14ac:dyDescent="0.2">
      <c r="A3631" s="75" t="s">
        <v>1306</v>
      </c>
      <c r="B3631" s="79">
        <v>46160</v>
      </c>
      <c r="C3631" s="75"/>
      <c r="D3631" s="75"/>
      <c r="E3631" s="75"/>
      <c r="F3631" s="75">
        <v>20129</v>
      </c>
      <c r="G3631" s="76" t="str">
        <f>VLOOKUP(Tabelle2[[#This Row],[Kunden Nr.]],KUNDEN!A:B,2,0)</f>
        <v>LNI SHPK</v>
      </c>
      <c r="H3631" s="75">
        <v>35114</v>
      </c>
      <c r="I3631" s="76" t="str">
        <f>VLOOKUP(Tabelle2[[#This Row],[Artikel]],Produkte!A:B,2,0)</f>
        <v>M-ONE Sanitar Silikon</v>
      </c>
      <c r="J3631" s="75">
        <v>12</v>
      </c>
      <c r="K3631" s="76" t="str">
        <f>VLOOKUP(Tabelle2[[#This Row],[Kunden Nr.]],KUNDEN!A:G,7)</f>
        <v>Mensuri</v>
      </c>
      <c r="L3631" s="76">
        <f>VLOOKUP(Tabelle2[[#This Row],[Artikel]],Produkte!A:H,8)</f>
        <v>0.17</v>
      </c>
    </row>
    <row r="3632" spans="1:12" x14ac:dyDescent="0.2">
      <c r="A3632" s="75" t="s">
        <v>1306</v>
      </c>
      <c r="B3632" s="79">
        <v>46160</v>
      </c>
      <c r="C3632" s="75"/>
      <c r="D3632" s="75"/>
      <c r="E3632" s="75"/>
      <c r="F3632" s="75">
        <v>20129</v>
      </c>
      <c r="G3632" s="76" t="str">
        <f>VLOOKUP(Tabelle2[[#This Row],[Kunden Nr.]],KUNDEN!A:B,2,0)</f>
        <v>LNI SHPK</v>
      </c>
      <c r="H3632" s="75">
        <v>35125</v>
      </c>
      <c r="I3632" s="76" t="str">
        <f>VLOOKUP(Tabelle2[[#This Row],[Artikel]],Produkte!A:B,2,0)</f>
        <v>M-ONE Sanitar Silikon</v>
      </c>
      <c r="J3632" s="75">
        <v>12</v>
      </c>
      <c r="K3632" s="76" t="str">
        <f>VLOOKUP(Tabelle2[[#This Row],[Kunden Nr.]],KUNDEN!A:G,7)</f>
        <v>Mensuri</v>
      </c>
      <c r="L3632" s="76">
        <f>VLOOKUP(Tabelle2[[#This Row],[Artikel]],Produkte!A:H,8)</f>
        <v>0.17</v>
      </c>
    </row>
    <row r="3633" spans="1:12" x14ac:dyDescent="0.2">
      <c r="A3633" s="75" t="s">
        <v>770</v>
      </c>
      <c r="B3633" s="79">
        <v>46161</v>
      </c>
      <c r="C3633" s="89">
        <v>191</v>
      </c>
      <c r="D3633" s="75"/>
      <c r="E3633" s="75"/>
      <c r="F3633" s="75">
        <v>40003</v>
      </c>
      <c r="G3633" s="76" t="str">
        <f>VLOOKUP(Tabelle2[[#This Row],[Kunden Nr.]],KUNDEN!A:B,2,0)</f>
        <v>ARBENI BIOBLIC</v>
      </c>
      <c r="H3633" s="75">
        <v>20001</v>
      </c>
      <c r="I3633" s="76" t="str">
        <f>VLOOKUP(Tabelle2[[#This Row],[Artikel]],Produkte!A:B,2,0)</f>
        <v>BioBlic Universalreiniger</v>
      </c>
      <c r="J3633" s="75">
        <v>100</v>
      </c>
      <c r="K3633" s="76">
        <f>VLOOKUP(Tabelle2[[#This Row],[Kunden Nr.]],KUNDEN!A:G,7)</f>
        <v>0</v>
      </c>
      <c r="L3633" s="76">
        <f>VLOOKUP(Tabelle2[[#This Row],[Artikel]],Produkte!A:H,8)</f>
        <v>0.30000000000000004</v>
      </c>
    </row>
    <row r="3634" spans="1:12" x14ac:dyDescent="0.2">
      <c r="A3634" s="75" t="s">
        <v>770</v>
      </c>
      <c r="B3634" s="79">
        <v>46161</v>
      </c>
      <c r="C3634" s="75"/>
      <c r="D3634" s="75"/>
      <c r="E3634" s="75"/>
      <c r="F3634" s="75">
        <v>40003</v>
      </c>
      <c r="G3634" s="76" t="str">
        <f>VLOOKUP(Tabelle2[[#This Row],[Kunden Nr.]],KUNDEN!A:B,2,0)</f>
        <v>ARBENI BIOBLIC</v>
      </c>
      <c r="H3634" s="75">
        <v>30275</v>
      </c>
      <c r="I3634" s="76" t="str">
        <f>VLOOKUP(Tabelle2[[#This Row],[Artikel]],Produkte!A:B,2,0)</f>
        <v>Blic Blic Sanitärreiniger</v>
      </c>
      <c r="J3634" s="75">
        <v>40</v>
      </c>
      <c r="K3634" s="76">
        <f>VLOOKUP(Tabelle2[[#This Row],[Kunden Nr.]],KUNDEN!A:G,7)</f>
        <v>0</v>
      </c>
      <c r="L3634" s="76">
        <f>VLOOKUP(Tabelle2[[#This Row],[Artikel]],Produkte!A:H,8)</f>
        <v>0.30000000000000004</v>
      </c>
    </row>
    <row r="3635" spans="1:12" x14ac:dyDescent="0.2">
      <c r="A3635" s="75" t="s">
        <v>770</v>
      </c>
      <c r="B3635" s="79">
        <v>46161</v>
      </c>
      <c r="C3635" s="75"/>
      <c r="D3635" s="75"/>
      <c r="E3635" s="75"/>
      <c r="F3635" s="75">
        <v>40003</v>
      </c>
      <c r="G3635" s="76" t="str">
        <f>VLOOKUP(Tabelle2[[#This Row],[Kunden Nr.]],KUNDEN!A:B,2,0)</f>
        <v>ARBENI BIOBLIC</v>
      </c>
      <c r="H3635" s="75">
        <v>11000</v>
      </c>
      <c r="I3635" s="76" t="str">
        <f>VLOOKUP(Tabelle2[[#This Row],[Artikel]],Produkte!A:B,2,0)</f>
        <v>Bodenreiniger</v>
      </c>
      <c r="J3635" s="75">
        <v>4</v>
      </c>
      <c r="K3635" s="76">
        <f>VLOOKUP(Tabelle2[[#This Row],[Kunden Nr.]],KUNDEN!A:G,7)</f>
        <v>0</v>
      </c>
      <c r="L3635" s="76">
        <f>VLOOKUP(Tabelle2[[#This Row],[Artikel]],Produkte!A:H,8)</f>
        <v>0.5</v>
      </c>
    </row>
    <row r="3636" spans="1:12" x14ac:dyDescent="0.2">
      <c r="A3636" s="75" t="s">
        <v>1298</v>
      </c>
      <c r="B3636" s="79">
        <v>46161</v>
      </c>
      <c r="C3636" s="89">
        <v>348</v>
      </c>
      <c r="D3636" s="75"/>
      <c r="E3636" s="75"/>
      <c r="F3636" s="75">
        <v>10255</v>
      </c>
      <c r="G3636" s="76" t="str">
        <f>VLOOKUP(Tabelle2[[#This Row],[Kunden Nr.]],KUNDEN!A:B,2,0)</f>
        <v>QEMA</v>
      </c>
      <c r="H3636" s="75">
        <v>66701</v>
      </c>
      <c r="I3636" s="76" t="str">
        <f>VLOOKUP(Tabelle2[[#This Row],[Artikel]],Produkte!A:B,2,0)</f>
        <v>PROFIMONT EXTREME</v>
      </c>
      <c r="J3636" s="75">
        <v>60</v>
      </c>
      <c r="K3636" s="76" t="str">
        <f>VLOOKUP(Tabelle2[[#This Row],[Kunden Nr.]],KUNDEN!A:G,7)</f>
        <v>Qerimi</v>
      </c>
      <c r="L3636" s="76">
        <f>VLOOKUP(Tabelle2[[#This Row],[Artikel]],Produkte!A:H,8)</f>
        <v>0.2</v>
      </c>
    </row>
    <row r="3637" spans="1:12" x14ac:dyDescent="0.2">
      <c r="A3637" s="75" t="s">
        <v>509</v>
      </c>
      <c r="B3637" s="79">
        <v>46161</v>
      </c>
      <c r="C3637" s="89">
        <v>338.8</v>
      </c>
      <c r="D3637" s="75"/>
      <c r="E3637" s="75"/>
      <c r="F3637" s="75">
        <v>10201</v>
      </c>
      <c r="G3637" s="76" t="str">
        <f>VLOOKUP(Tabelle2[[#This Row],[Kunden Nr.]],KUNDEN!A:B,2,0)</f>
        <v>TE BESNIKU</v>
      </c>
      <c r="H3637" s="75">
        <v>35108</v>
      </c>
      <c r="I3637" s="76" t="str">
        <f>VLOOKUP(Tabelle2[[#This Row],[Artikel]],Produkte!A:B,2,0)</f>
        <v>M-ONE Sanitar Silikon</v>
      </c>
      <c r="J3637" s="75">
        <v>12</v>
      </c>
      <c r="K3637" s="76" t="str">
        <f>VLOOKUP(Tabelle2[[#This Row],[Kunden Nr.]],KUNDEN!A:G,7)</f>
        <v>Qerimi</v>
      </c>
      <c r="L3637" s="76">
        <f>VLOOKUP(Tabelle2[[#This Row],[Artikel]],Produkte!A:H,8)</f>
        <v>0.17</v>
      </c>
    </row>
    <row r="3638" spans="1:12" x14ac:dyDescent="0.2">
      <c r="A3638" s="75" t="s">
        <v>509</v>
      </c>
      <c r="B3638" s="79">
        <v>46161</v>
      </c>
      <c r="C3638" s="75"/>
      <c r="D3638" s="75"/>
      <c r="E3638" s="75"/>
      <c r="F3638" s="75">
        <v>10201</v>
      </c>
      <c r="G3638" s="76" t="str">
        <f>VLOOKUP(Tabelle2[[#This Row],[Kunden Nr.]],KUNDEN!A:B,2,0)</f>
        <v>TE BESNIKU</v>
      </c>
      <c r="H3638" s="75">
        <v>35109</v>
      </c>
      <c r="I3638" s="76" t="str">
        <f>VLOOKUP(Tabelle2[[#This Row],[Artikel]],Produkte!A:B,2,0)</f>
        <v>M-ONE Sanitar Silikon</v>
      </c>
      <c r="J3638" s="75">
        <v>12</v>
      </c>
      <c r="K3638" s="76" t="str">
        <f>VLOOKUP(Tabelle2[[#This Row],[Kunden Nr.]],KUNDEN!A:G,7)</f>
        <v>Qerimi</v>
      </c>
      <c r="L3638" s="76">
        <f>VLOOKUP(Tabelle2[[#This Row],[Artikel]],Produkte!A:H,8)</f>
        <v>0.17</v>
      </c>
    </row>
    <row r="3639" spans="1:12" x14ac:dyDescent="0.2">
      <c r="A3639" s="75" t="s">
        <v>509</v>
      </c>
      <c r="B3639" s="79">
        <v>46161</v>
      </c>
      <c r="C3639" s="75"/>
      <c r="D3639" s="75"/>
      <c r="E3639" s="75"/>
      <c r="F3639" s="75">
        <v>10201</v>
      </c>
      <c r="G3639" s="76" t="str">
        <f>VLOOKUP(Tabelle2[[#This Row],[Kunden Nr.]],KUNDEN!A:B,2,0)</f>
        <v>TE BESNIKU</v>
      </c>
      <c r="H3639" s="75">
        <v>35110</v>
      </c>
      <c r="I3639" s="76" t="str">
        <f>VLOOKUP(Tabelle2[[#This Row],[Artikel]],Produkte!A:B,2,0)</f>
        <v>M-ONE Sanitar Silikon</v>
      </c>
      <c r="J3639" s="75">
        <v>12</v>
      </c>
      <c r="K3639" s="76" t="str">
        <f>VLOOKUP(Tabelle2[[#This Row],[Kunden Nr.]],KUNDEN!A:G,7)</f>
        <v>Qerimi</v>
      </c>
      <c r="L3639" s="76">
        <f>VLOOKUP(Tabelle2[[#This Row],[Artikel]],Produkte!A:H,8)</f>
        <v>0.17</v>
      </c>
    </row>
    <row r="3640" spans="1:12" x14ac:dyDescent="0.2">
      <c r="A3640" s="75" t="s">
        <v>509</v>
      </c>
      <c r="B3640" s="79">
        <v>46161</v>
      </c>
      <c r="C3640" s="75"/>
      <c r="D3640" s="75"/>
      <c r="E3640" s="75"/>
      <c r="F3640" s="75">
        <v>10201</v>
      </c>
      <c r="G3640" s="76" t="str">
        <f>VLOOKUP(Tabelle2[[#This Row],[Kunden Nr.]],KUNDEN!A:B,2,0)</f>
        <v>TE BESNIKU</v>
      </c>
      <c r="H3640" s="75">
        <v>35111</v>
      </c>
      <c r="I3640" s="76" t="str">
        <f>VLOOKUP(Tabelle2[[#This Row],[Artikel]],Produkte!A:B,2,0)</f>
        <v>M-ONE Sanitar Silikon</v>
      </c>
      <c r="J3640" s="75">
        <v>12</v>
      </c>
      <c r="K3640" s="76" t="str">
        <f>VLOOKUP(Tabelle2[[#This Row],[Kunden Nr.]],KUNDEN!A:G,7)</f>
        <v>Qerimi</v>
      </c>
      <c r="L3640" s="76">
        <f>VLOOKUP(Tabelle2[[#This Row],[Artikel]],Produkte!A:H,8)</f>
        <v>0.17</v>
      </c>
    </row>
    <row r="3641" spans="1:12" x14ac:dyDescent="0.2">
      <c r="A3641" s="75" t="s">
        <v>509</v>
      </c>
      <c r="B3641" s="79">
        <v>46161</v>
      </c>
      <c r="C3641" s="75"/>
      <c r="D3641" s="75"/>
      <c r="E3641" s="75"/>
      <c r="F3641" s="75">
        <v>10201</v>
      </c>
      <c r="G3641" s="76" t="str">
        <f>VLOOKUP(Tabelle2[[#This Row],[Kunden Nr.]],KUNDEN!A:B,2,0)</f>
        <v>TE BESNIKU</v>
      </c>
      <c r="H3641" s="75">
        <v>35113</v>
      </c>
      <c r="I3641" s="76" t="str">
        <f>VLOOKUP(Tabelle2[[#This Row],[Artikel]],Produkte!A:B,2,0)</f>
        <v>M-ONE Sanitar Silikon</v>
      </c>
      <c r="J3641" s="75">
        <v>12</v>
      </c>
      <c r="K3641" s="76" t="str">
        <f>VLOOKUP(Tabelle2[[#This Row],[Kunden Nr.]],KUNDEN!A:G,7)</f>
        <v>Qerimi</v>
      </c>
      <c r="L3641" s="76">
        <f>VLOOKUP(Tabelle2[[#This Row],[Artikel]],Produkte!A:H,8)</f>
        <v>0.17</v>
      </c>
    </row>
    <row r="3642" spans="1:12" x14ac:dyDescent="0.2">
      <c r="A3642" s="75" t="s">
        <v>509</v>
      </c>
      <c r="B3642" s="79">
        <v>46161</v>
      </c>
      <c r="C3642" s="75"/>
      <c r="D3642" s="75"/>
      <c r="E3642" s="75"/>
      <c r="F3642" s="75">
        <v>10201</v>
      </c>
      <c r="G3642" s="76" t="str">
        <f>VLOOKUP(Tabelle2[[#This Row],[Kunden Nr.]],KUNDEN!A:B,2,0)</f>
        <v>TE BESNIKU</v>
      </c>
      <c r="H3642" s="75">
        <v>35115</v>
      </c>
      <c r="I3642" s="76" t="str">
        <f>VLOOKUP(Tabelle2[[#This Row],[Artikel]],Produkte!A:B,2,0)</f>
        <v>M-ONE Sanitar Silikon</v>
      </c>
      <c r="J3642" s="75">
        <v>12</v>
      </c>
      <c r="K3642" s="76" t="str">
        <f>VLOOKUP(Tabelle2[[#This Row],[Kunden Nr.]],KUNDEN!A:G,7)</f>
        <v>Qerimi</v>
      </c>
      <c r="L3642" s="76">
        <f>VLOOKUP(Tabelle2[[#This Row],[Artikel]],Produkte!A:H,8)</f>
        <v>0.17</v>
      </c>
    </row>
    <row r="3643" spans="1:12" x14ac:dyDescent="0.2">
      <c r="A3643" s="75" t="s">
        <v>509</v>
      </c>
      <c r="B3643" s="79">
        <v>46161</v>
      </c>
      <c r="C3643" s="75"/>
      <c r="D3643" s="75"/>
      <c r="E3643" s="75"/>
      <c r="F3643" s="75">
        <v>10201</v>
      </c>
      <c r="G3643" s="76" t="str">
        <f>VLOOKUP(Tabelle2[[#This Row],[Kunden Nr.]],KUNDEN!A:B,2,0)</f>
        <v>TE BESNIKU</v>
      </c>
      <c r="H3643" s="75">
        <v>35128</v>
      </c>
      <c r="I3643" s="76" t="str">
        <f>VLOOKUP(Tabelle2[[#This Row],[Artikel]],Produkte!A:B,2,0)</f>
        <v>M-ONE Sanitar Silikon</v>
      </c>
      <c r="J3643" s="75">
        <v>12</v>
      </c>
      <c r="K3643" s="76" t="str">
        <f>VLOOKUP(Tabelle2[[#This Row],[Kunden Nr.]],KUNDEN!A:G,7)</f>
        <v>Qerimi</v>
      </c>
      <c r="L3643" s="76">
        <f>VLOOKUP(Tabelle2[[#This Row],[Artikel]],Produkte!A:H,8)</f>
        <v>0.17</v>
      </c>
    </row>
    <row r="3644" spans="1:12" x14ac:dyDescent="0.2">
      <c r="A3644" s="75" t="s">
        <v>509</v>
      </c>
      <c r="B3644" s="79">
        <v>46161</v>
      </c>
      <c r="C3644" s="75"/>
      <c r="D3644" s="75"/>
      <c r="E3644" s="75"/>
      <c r="F3644" s="75">
        <v>10201</v>
      </c>
      <c r="G3644" s="76" t="str">
        <f>VLOOKUP(Tabelle2[[#This Row],[Kunden Nr.]],KUNDEN!A:B,2,0)</f>
        <v>TE BESNIKU</v>
      </c>
      <c r="H3644" s="75">
        <v>35125</v>
      </c>
      <c r="I3644" s="76" t="str">
        <f>VLOOKUP(Tabelle2[[#This Row],[Artikel]],Produkte!A:B,2,0)</f>
        <v>M-ONE Sanitar Silikon</v>
      </c>
      <c r="J3644" s="75">
        <v>4</v>
      </c>
      <c r="K3644" s="76" t="str">
        <f>VLOOKUP(Tabelle2[[#This Row],[Kunden Nr.]],KUNDEN!A:G,7)</f>
        <v>Qerimi</v>
      </c>
      <c r="L3644" s="76">
        <f>VLOOKUP(Tabelle2[[#This Row],[Artikel]],Produkte!A:H,8)</f>
        <v>0.17</v>
      </c>
    </row>
    <row r="3645" spans="1:12" x14ac:dyDescent="0.2">
      <c r="A3645" s="75" t="s">
        <v>509</v>
      </c>
      <c r="B3645" s="79">
        <v>46161</v>
      </c>
      <c r="C3645" s="75"/>
      <c r="D3645" s="75"/>
      <c r="E3645" s="75"/>
      <c r="F3645" s="75">
        <v>10201</v>
      </c>
      <c r="G3645" s="76" t="str">
        <f>VLOOKUP(Tabelle2[[#This Row],[Kunden Nr.]],KUNDEN!A:B,2,0)</f>
        <v>TE BESNIKU</v>
      </c>
      <c r="H3645" s="75">
        <v>35110</v>
      </c>
      <c r="I3645" s="76" t="str">
        <f>VLOOKUP(Tabelle2[[#This Row],[Artikel]],Produkte!A:B,2,0)</f>
        <v>M-ONE Sanitar Silikon</v>
      </c>
      <c r="J3645" s="75">
        <v>36</v>
      </c>
      <c r="K3645" s="76" t="str">
        <f>VLOOKUP(Tabelle2[[#This Row],[Kunden Nr.]],KUNDEN!A:G,7)</f>
        <v>Qerimi</v>
      </c>
      <c r="L3645" s="76">
        <f>VLOOKUP(Tabelle2[[#This Row],[Artikel]],Produkte!A:H,8)</f>
        <v>0.17</v>
      </c>
    </row>
    <row r="3646" spans="1:12" x14ac:dyDescent="0.2">
      <c r="A3646" s="75" t="s">
        <v>509</v>
      </c>
      <c r="B3646" s="79">
        <v>46161</v>
      </c>
      <c r="C3646" s="75"/>
      <c r="D3646" s="75"/>
      <c r="E3646" s="75"/>
      <c r="F3646" s="75">
        <v>10201</v>
      </c>
      <c r="G3646" s="76" t="str">
        <f>VLOOKUP(Tabelle2[[#This Row],[Kunden Nr.]],KUNDEN!A:B,2,0)</f>
        <v>TE BESNIKU</v>
      </c>
      <c r="H3646" s="75">
        <v>35111</v>
      </c>
      <c r="I3646" s="76" t="str">
        <f>VLOOKUP(Tabelle2[[#This Row],[Artikel]],Produkte!A:B,2,0)</f>
        <v>M-ONE Sanitar Silikon</v>
      </c>
      <c r="J3646" s="75">
        <v>36</v>
      </c>
      <c r="K3646" s="76" t="str">
        <f>VLOOKUP(Tabelle2[[#This Row],[Kunden Nr.]],KUNDEN!A:G,7)</f>
        <v>Qerimi</v>
      </c>
      <c r="L3646" s="76">
        <f>VLOOKUP(Tabelle2[[#This Row],[Artikel]],Produkte!A:H,8)</f>
        <v>0.17</v>
      </c>
    </row>
    <row r="3647" spans="1:12" x14ac:dyDescent="0.2">
      <c r="A3647" s="75" t="s">
        <v>509</v>
      </c>
      <c r="B3647" s="79">
        <v>46161</v>
      </c>
      <c r="C3647" s="75"/>
      <c r="D3647" s="75"/>
      <c r="E3647" s="75"/>
      <c r="F3647" s="75">
        <v>10201</v>
      </c>
      <c r="G3647" s="76" t="str">
        <f>VLOOKUP(Tabelle2[[#This Row],[Kunden Nr.]],KUNDEN!A:B,2,0)</f>
        <v>TE BESNIKU</v>
      </c>
      <c r="H3647" s="75">
        <v>35108</v>
      </c>
      <c r="I3647" s="76" t="str">
        <f>VLOOKUP(Tabelle2[[#This Row],[Artikel]],Produkte!A:B,2,0)</f>
        <v>M-ONE Sanitar Silikon</v>
      </c>
      <c r="J3647" s="75">
        <v>36</v>
      </c>
      <c r="K3647" s="76" t="str">
        <f>VLOOKUP(Tabelle2[[#This Row],[Kunden Nr.]],KUNDEN!A:G,7)</f>
        <v>Qerimi</v>
      </c>
      <c r="L3647" s="76">
        <f>VLOOKUP(Tabelle2[[#This Row],[Artikel]],Produkte!A:H,8)</f>
        <v>0.17</v>
      </c>
    </row>
    <row r="3648" spans="1:12" x14ac:dyDescent="0.2">
      <c r="A3648" s="75" t="s">
        <v>509</v>
      </c>
      <c r="B3648" s="79">
        <v>46161</v>
      </c>
      <c r="C3648" s="75"/>
      <c r="D3648" s="75"/>
      <c r="E3648" s="75"/>
      <c r="F3648" s="75">
        <v>10201</v>
      </c>
      <c r="G3648" s="76" t="str">
        <f>VLOOKUP(Tabelle2[[#This Row],[Kunden Nr.]],KUNDEN!A:B,2,0)</f>
        <v>TE BESNIKU</v>
      </c>
      <c r="H3648" s="75">
        <v>35113</v>
      </c>
      <c r="I3648" s="76" t="str">
        <f>VLOOKUP(Tabelle2[[#This Row],[Artikel]],Produkte!A:B,2,0)</f>
        <v>M-ONE Sanitar Silikon</v>
      </c>
      <c r="J3648" s="75">
        <v>36</v>
      </c>
      <c r="K3648" s="76" t="str">
        <f>VLOOKUP(Tabelle2[[#This Row],[Kunden Nr.]],KUNDEN!A:G,7)</f>
        <v>Qerimi</v>
      </c>
      <c r="L3648" s="76">
        <f>VLOOKUP(Tabelle2[[#This Row],[Artikel]],Produkte!A:H,8)</f>
        <v>0.17</v>
      </c>
    </row>
    <row r="3649" spans="1:12" x14ac:dyDescent="0.2">
      <c r="A3649" s="75" t="s">
        <v>509</v>
      </c>
      <c r="B3649" s="79">
        <v>46161</v>
      </c>
      <c r="C3649" s="75"/>
      <c r="D3649" s="75"/>
      <c r="E3649" s="75"/>
      <c r="F3649" s="75">
        <v>10201</v>
      </c>
      <c r="G3649" s="76" t="str">
        <f>VLOOKUP(Tabelle2[[#This Row],[Kunden Nr.]],KUNDEN!A:B,2,0)</f>
        <v>TE BESNIKU</v>
      </c>
      <c r="H3649" s="75">
        <v>35128</v>
      </c>
      <c r="I3649" s="76" t="str">
        <f>VLOOKUP(Tabelle2[[#This Row],[Artikel]],Produkte!A:B,2,0)</f>
        <v>M-ONE Sanitar Silikon</v>
      </c>
      <c r="J3649" s="75">
        <v>48</v>
      </c>
      <c r="K3649" s="76" t="str">
        <f>VLOOKUP(Tabelle2[[#This Row],[Kunden Nr.]],KUNDEN!A:G,7)</f>
        <v>Qerimi</v>
      </c>
      <c r="L3649" s="76">
        <f>VLOOKUP(Tabelle2[[#This Row],[Artikel]],Produkte!A:H,8)</f>
        <v>0.17</v>
      </c>
    </row>
    <row r="3650" spans="1:12" x14ac:dyDescent="0.2">
      <c r="A3650" s="75" t="s">
        <v>509</v>
      </c>
      <c r="B3650" s="79">
        <v>46161</v>
      </c>
      <c r="C3650" s="75"/>
      <c r="D3650" s="75"/>
      <c r="E3650" s="75"/>
      <c r="F3650" s="75">
        <v>10201</v>
      </c>
      <c r="G3650" s="76" t="str">
        <f>VLOOKUP(Tabelle2[[#This Row],[Kunden Nr.]],KUNDEN!A:B,2,0)</f>
        <v>TE BESNIKU</v>
      </c>
      <c r="H3650" s="75">
        <v>35115</v>
      </c>
      <c r="I3650" s="76" t="str">
        <f>VLOOKUP(Tabelle2[[#This Row],[Artikel]],Produkte!A:B,2,0)</f>
        <v>M-ONE Sanitar Silikon</v>
      </c>
      <c r="J3650" s="75">
        <v>12</v>
      </c>
      <c r="K3650" s="76" t="str">
        <f>VLOOKUP(Tabelle2[[#This Row],[Kunden Nr.]],KUNDEN!A:G,7)</f>
        <v>Qerimi</v>
      </c>
      <c r="L3650" s="76">
        <f>VLOOKUP(Tabelle2[[#This Row],[Artikel]],Produkte!A:H,8)</f>
        <v>0.17</v>
      </c>
    </row>
    <row r="3651" spans="1:12" x14ac:dyDescent="0.2">
      <c r="A3651" s="75" t="s">
        <v>509</v>
      </c>
      <c r="B3651" s="79">
        <v>46161</v>
      </c>
      <c r="C3651" s="75"/>
      <c r="D3651" s="75"/>
      <c r="E3651" s="75"/>
      <c r="F3651" s="75">
        <v>10201</v>
      </c>
      <c r="G3651" s="76" t="str">
        <f>VLOOKUP(Tabelle2[[#This Row],[Kunden Nr.]],KUNDEN!A:B,2,0)</f>
        <v>TE BESNIKU</v>
      </c>
      <c r="H3651" s="75">
        <v>35112</v>
      </c>
      <c r="I3651" s="76" t="str">
        <f>VLOOKUP(Tabelle2[[#This Row],[Artikel]],Produkte!A:B,2,0)</f>
        <v>M-ONE Sanitar Silikon</v>
      </c>
      <c r="J3651" s="75">
        <v>12</v>
      </c>
      <c r="K3651" s="76" t="str">
        <f>VLOOKUP(Tabelle2[[#This Row],[Kunden Nr.]],KUNDEN!A:G,7)</f>
        <v>Qerimi</v>
      </c>
      <c r="L3651" s="76">
        <f>VLOOKUP(Tabelle2[[#This Row],[Artikel]],Produkte!A:H,8)</f>
        <v>0.17</v>
      </c>
    </row>
    <row r="3652" spans="1:12" x14ac:dyDescent="0.2">
      <c r="A3652" s="75" t="s">
        <v>509</v>
      </c>
      <c r="B3652" s="79">
        <v>46161</v>
      </c>
      <c r="C3652" s="75"/>
      <c r="D3652" s="75"/>
      <c r="E3652" s="75"/>
      <c r="F3652" s="75">
        <v>10201</v>
      </c>
      <c r="G3652" s="76" t="str">
        <f>VLOOKUP(Tabelle2[[#This Row],[Kunden Nr.]],KUNDEN!A:B,2,0)</f>
        <v>TE BESNIKU</v>
      </c>
      <c r="H3652" s="75">
        <v>35125</v>
      </c>
      <c r="I3652" s="76" t="str">
        <f>VLOOKUP(Tabelle2[[#This Row],[Artikel]],Produkte!A:B,2,0)</f>
        <v>M-ONE Sanitar Silikon</v>
      </c>
      <c r="J3652" s="75">
        <v>8</v>
      </c>
      <c r="K3652" s="76" t="str">
        <f>VLOOKUP(Tabelle2[[#This Row],[Kunden Nr.]],KUNDEN!A:G,7)</f>
        <v>Qerimi</v>
      </c>
      <c r="L3652" s="76">
        <f>VLOOKUP(Tabelle2[[#This Row],[Artikel]],Produkte!A:H,8)</f>
        <v>0.17</v>
      </c>
    </row>
    <row r="3653" spans="1:12" x14ac:dyDescent="0.2">
      <c r="A3653" s="75" t="s">
        <v>509</v>
      </c>
      <c r="B3653" s="79">
        <v>46161</v>
      </c>
      <c r="C3653" s="75"/>
      <c r="D3653" s="75"/>
      <c r="E3653" s="75"/>
      <c r="F3653" s="75">
        <v>10201</v>
      </c>
      <c r="G3653" s="76" t="str">
        <f>VLOOKUP(Tabelle2[[#This Row],[Kunden Nr.]],KUNDEN!A:B,2,0)</f>
        <v>TE BESNIKU</v>
      </c>
      <c r="H3653" s="75">
        <v>35109</v>
      </c>
      <c r="I3653" s="76" t="str">
        <f>VLOOKUP(Tabelle2[[#This Row],[Artikel]],Produkte!A:B,2,0)</f>
        <v>M-ONE Sanitar Silikon</v>
      </c>
      <c r="J3653" s="75">
        <v>36</v>
      </c>
      <c r="K3653" s="76" t="str">
        <f>VLOOKUP(Tabelle2[[#This Row],[Kunden Nr.]],KUNDEN!A:G,7)</f>
        <v>Qerimi</v>
      </c>
      <c r="L3653" s="76">
        <f>VLOOKUP(Tabelle2[[#This Row],[Artikel]],Produkte!A:H,8)</f>
        <v>0.17</v>
      </c>
    </row>
    <row r="3654" spans="1:12" x14ac:dyDescent="0.2">
      <c r="A3654" s="75" t="s">
        <v>1201</v>
      </c>
      <c r="B3654" s="79">
        <v>46161</v>
      </c>
      <c r="C3654" s="89">
        <v>336</v>
      </c>
      <c r="D3654" s="75"/>
      <c r="E3654" s="75"/>
      <c r="F3654" s="75">
        <v>10240</v>
      </c>
      <c r="G3654" s="76" t="str">
        <f>VLOOKUP(Tabelle2[[#This Row],[Kunden Nr.]],KUNDEN!A:B,2,0)</f>
        <v>ARPO</v>
      </c>
      <c r="H3654" s="75">
        <v>35109</v>
      </c>
      <c r="I3654" s="76" t="str">
        <f>VLOOKUP(Tabelle2[[#This Row],[Artikel]],Produkte!A:B,2,0)</f>
        <v>M-ONE Sanitar Silikon</v>
      </c>
      <c r="J3654" s="75">
        <v>12</v>
      </c>
      <c r="K3654" s="76" t="str">
        <f>VLOOKUP(Tabelle2[[#This Row],[Kunden Nr.]],KUNDEN!A:G,7)</f>
        <v>Qerimi</v>
      </c>
      <c r="L3654" s="76">
        <f>VLOOKUP(Tabelle2[[#This Row],[Artikel]],Produkte!A:H,8)</f>
        <v>0.17</v>
      </c>
    </row>
    <row r="3655" spans="1:12" x14ac:dyDescent="0.2">
      <c r="A3655" s="75" t="s">
        <v>1201</v>
      </c>
      <c r="B3655" s="79">
        <v>46161</v>
      </c>
      <c r="C3655" s="75"/>
      <c r="D3655" s="75"/>
      <c r="E3655" s="75"/>
      <c r="F3655" s="75">
        <v>10240</v>
      </c>
      <c r="G3655" s="76" t="str">
        <f>VLOOKUP(Tabelle2[[#This Row],[Kunden Nr.]],KUNDEN!A:B,2,0)</f>
        <v>ARPO</v>
      </c>
      <c r="H3655" s="75">
        <v>35110</v>
      </c>
      <c r="I3655" s="76" t="str">
        <f>VLOOKUP(Tabelle2[[#This Row],[Artikel]],Produkte!A:B,2,0)</f>
        <v>M-ONE Sanitar Silikon</v>
      </c>
      <c r="J3655" s="75">
        <v>12</v>
      </c>
      <c r="K3655" s="76" t="str">
        <f>VLOOKUP(Tabelle2[[#This Row],[Kunden Nr.]],KUNDEN!A:G,7)</f>
        <v>Qerimi</v>
      </c>
      <c r="L3655" s="76">
        <f>VLOOKUP(Tabelle2[[#This Row],[Artikel]],Produkte!A:H,8)</f>
        <v>0.17</v>
      </c>
    </row>
    <row r="3656" spans="1:12" x14ac:dyDescent="0.2">
      <c r="A3656" s="75" t="s">
        <v>1201</v>
      </c>
      <c r="B3656" s="79">
        <v>46161</v>
      </c>
      <c r="C3656" s="75"/>
      <c r="D3656" s="75"/>
      <c r="E3656" s="75"/>
      <c r="F3656" s="75">
        <v>10240</v>
      </c>
      <c r="G3656" s="76" t="str">
        <f>VLOOKUP(Tabelle2[[#This Row],[Kunden Nr.]],KUNDEN!A:B,2,0)</f>
        <v>ARPO</v>
      </c>
      <c r="H3656" s="75">
        <v>35111</v>
      </c>
      <c r="I3656" s="76" t="str">
        <f>VLOOKUP(Tabelle2[[#This Row],[Artikel]],Produkte!A:B,2,0)</f>
        <v>M-ONE Sanitar Silikon</v>
      </c>
      <c r="J3656" s="75">
        <v>12</v>
      </c>
      <c r="K3656" s="76" t="str">
        <f>VLOOKUP(Tabelle2[[#This Row],[Kunden Nr.]],KUNDEN!A:G,7)</f>
        <v>Qerimi</v>
      </c>
      <c r="L3656" s="76">
        <f>VLOOKUP(Tabelle2[[#This Row],[Artikel]],Produkte!A:H,8)</f>
        <v>0.17</v>
      </c>
    </row>
    <row r="3657" spans="1:12" x14ac:dyDescent="0.2">
      <c r="A3657" s="75" t="s">
        <v>1201</v>
      </c>
      <c r="B3657" s="79">
        <v>46161</v>
      </c>
      <c r="C3657" s="75"/>
      <c r="D3657" s="75"/>
      <c r="E3657" s="75"/>
      <c r="F3657" s="75">
        <v>10240</v>
      </c>
      <c r="G3657" s="76" t="str">
        <f>VLOOKUP(Tabelle2[[#This Row],[Kunden Nr.]],KUNDEN!A:B,2,0)</f>
        <v>ARPO</v>
      </c>
      <c r="H3657" s="75">
        <v>35121</v>
      </c>
      <c r="I3657" s="76" t="str">
        <f>VLOOKUP(Tabelle2[[#This Row],[Artikel]],Produkte!A:B,2,0)</f>
        <v>M-ONE Sanitar Silikon</v>
      </c>
      <c r="J3657" s="75">
        <v>12</v>
      </c>
      <c r="K3657" s="76" t="str">
        <f>VLOOKUP(Tabelle2[[#This Row],[Kunden Nr.]],KUNDEN!A:G,7)</f>
        <v>Qerimi</v>
      </c>
      <c r="L3657" s="76">
        <f>VLOOKUP(Tabelle2[[#This Row],[Artikel]],Produkte!A:H,8)</f>
        <v>0.17</v>
      </c>
    </row>
    <row r="3658" spans="1:12" x14ac:dyDescent="0.2">
      <c r="A3658" s="75" t="s">
        <v>1201</v>
      </c>
      <c r="B3658" s="79">
        <v>46161</v>
      </c>
      <c r="C3658" s="75"/>
      <c r="D3658" s="75"/>
      <c r="E3658" s="75"/>
      <c r="F3658" s="75">
        <v>10240</v>
      </c>
      <c r="G3658" s="76" t="str">
        <f>VLOOKUP(Tabelle2[[#This Row],[Kunden Nr.]],KUNDEN!A:B,2,0)</f>
        <v>ARPO</v>
      </c>
      <c r="H3658" s="75">
        <v>35125</v>
      </c>
      <c r="I3658" s="76" t="str">
        <f>VLOOKUP(Tabelle2[[#This Row],[Artikel]],Produkte!A:B,2,0)</f>
        <v>M-ONE Sanitar Silikon</v>
      </c>
      <c r="J3658" s="75">
        <v>12</v>
      </c>
      <c r="K3658" s="76" t="str">
        <f>VLOOKUP(Tabelle2[[#This Row],[Kunden Nr.]],KUNDEN!A:G,7)</f>
        <v>Qerimi</v>
      </c>
      <c r="L3658" s="76">
        <f>VLOOKUP(Tabelle2[[#This Row],[Artikel]],Produkte!A:H,8)</f>
        <v>0.17</v>
      </c>
    </row>
    <row r="3659" spans="1:12" x14ac:dyDescent="0.2">
      <c r="A3659" s="75" t="s">
        <v>1201</v>
      </c>
      <c r="B3659" s="79">
        <v>46161</v>
      </c>
      <c r="C3659" s="75"/>
      <c r="D3659" s="75"/>
      <c r="E3659" s="75"/>
      <c r="F3659" s="75">
        <v>10240</v>
      </c>
      <c r="G3659" s="76" t="str">
        <f>VLOOKUP(Tabelle2[[#This Row],[Kunden Nr.]],KUNDEN!A:B,2,0)</f>
        <v>ARPO</v>
      </c>
      <c r="H3659" s="75">
        <v>35128</v>
      </c>
      <c r="I3659" s="76" t="str">
        <f>VLOOKUP(Tabelle2[[#This Row],[Artikel]],Produkte!A:B,2,0)</f>
        <v>M-ONE Sanitar Silikon</v>
      </c>
      <c r="J3659" s="75">
        <v>12</v>
      </c>
      <c r="K3659" s="76" t="str">
        <f>VLOOKUP(Tabelle2[[#This Row],[Kunden Nr.]],KUNDEN!A:G,7)</f>
        <v>Qerimi</v>
      </c>
      <c r="L3659" s="76">
        <f>VLOOKUP(Tabelle2[[#This Row],[Artikel]],Produkte!A:H,8)</f>
        <v>0.17</v>
      </c>
    </row>
    <row r="3660" spans="1:12" x14ac:dyDescent="0.2">
      <c r="A3660" s="75" t="s">
        <v>1201</v>
      </c>
      <c r="B3660" s="79">
        <v>46161</v>
      </c>
      <c r="C3660" s="75"/>
      <c r="D3660" s="75"/>
      <c r="E3660" s="75"/>
      <c r="F3660" s="75">
        <v>10240</v>
      </c>
      <c r="G3660" s="76" t="str">
        <f>VLOOKUP(Tabelle2[[#This Row],[Kunden Nr.]],KUNDEN!A:B,2,0)</f>
        <v>ARPO</v>
      </c>
      <c r="H3660" s="75">
        <v>35115</v>
      </c>
      <c r="I3660" s="76" t="str">
        <f>VLOOKUP(Tabelle2[[#This Row],[Artikel]],Produkte!A:B,2,0)</f>
        <v>M-ONE Sanitar Silikon</v>
      </c>
      <c r="J3660" s="75">
        <v>12</v>
      </c>
      <c r="K3660" s="76" t="str">
        <f>VLOOKUP(Tabelle2[[#This Row],[Kunden Nr.]],KUNDEN!A:G,7)</f>
        <v>Qerimi</v>
      </c>
      <c r="L3660" s="76">
        <f>VLOOKUP(Tabelle2[[#This Row],[Artikel]],Produkte!A:H,8)</f>
        <v>0.17</v>
      </c>
    </row>
    <row r="3661" spans="1:12" x14ac:dyDescent="0.2">
      <c r="A3661" s="75" t="s">
        <v>1298</v>
      </c>
      <c r="B3661" s="79">
        <v>46161</v>
      </c>
      <c r="C3661" s="89">
        <v>48</v>
      </c>
      <c r="D3661" s="75"/>
      <c r="E3661" s="75"/>
      <c r="F3661" s="75">
        <v>10256</v>
      </c>
      <c r="G3661" s="76" t="e">
        <f>VLOOKUP(Tabelle2[[#This Row],[Kunden Nr.]],KUNDEN!A:B,2,0)</f>
        <v>#N/A</v>
      </c>
      <c r="H3661" s="75">
        <v>35121</v>
      </c>
      <c r="I3661" s="76" t="str">
        <f>VLOOKUP(Tabelle2[[#This Row],[Artikel]],Produkte!A:B,2,0)</f>
        <v>M-ONE Sanitar Silikon</v>
      </c>
      <c r="J3661" s="75">
        <v>12</v>
      </c>
      <c r="K3661" s="76" t="str">
        <f>VLOOKUP(Tabelle2[[#This Row],[Kunden Nr.]],KUNDEN!A:G,7)</f>
        <v>Qerimi</v>
      </c>
      <c r="L3661" s="76">
        <f>VLOOKUP(Tabelle2[[#This Row],[Artikel]],Produkte!A:H,8)</f>
        <v>0.17</v>
      </c>
    </row>
    <row r="3662" spans="1:12" x14ac:dyDescent="0.2">
      <c r="A3662" s="75" t="s">
        <v>515</v>
      </c>
      <c r="B3662" s="79">
        <v>46161</v>
      </c>
      <c r="C3662" s="89">
        <v>96</v>
      </c>
      <c r="D3662" s="75"/>
      <c r="E3662" s="75"/>
      <c r="F3662" s="75">
        <v>10205</v>
      </c>
      <c r="G3662" s="76" t="str">
        <f>VLOOKUP(Tabelle2[[#This Row],[Kunden Nr.]],KUNDEN!A:B,2,0)</f>
        <v>XHAFA</v>
      </c>
      <c r="H3662" s="75">
        <v>35108</v>
      </c>
      <c r="I3662" s="76" t="str">
        <f>VLOOKUP(Tabelle2[[#This Row],[Artikel]],Produkte!A:B,2,0)</f>
        <v>M-ONE Sanitar Silikon</v>
      </c>
      <c r="J3662" s="75">
        <v>12</v>
      </c>
      <c r="K3662" s="76" t="str">
        <f>VLOOKUP(Tabelle2[[#This Row],[Kunden Nr.]],KUNDEN!A:G,7)</f>
        <v>Qerimi</v>
      </c>
      <c r="L3662" s="76">
        <f>VLOOKUP(Tabelle2[[#This Row],[Artikel]],Produkte!A:H,8)</f>
        <v>0.17</v>
      </c>
    </row>
    <row r="3663" spans="1:12" x14ac:dyDescent="0.2">
      <c r="A3663" s="75" t="s">
        <v>515</v>
      </c>
      <c r="B3663" s="79">
        <v>46161</v>
      </c>
      <c r="C3663" s="75"/>
      <c r="D3663" s="75"/>
      <c r="E3663" s="75"/>
      <c r="F3663" s="75">
        <v>10205</v>
      </c>
      <c r="G3663" s="76" t="str">
        <f>VLOOKUP(Tabelle2[[#This Row],[Kunden Nr.]],KUNDEN!A:B,2,0)</f>
        <v>XHAFA</v>
      </c>
      <c r="H3663" s="75">
        <v>35110</v>
      </c>
      <c r="I3663" s="76" t="str">
        <f>VLOOKUP(Tabelle2[[#This Row],[Artikel]],Produkte!A:B,2,0)</f>
        <v>M-ONE Sanitar Silikon</v>
      </c>
      <c r="J3663" s="75">
        <v>12</v>
      </c>
      <c r="K3663" s="76" t="str">
        <f>VLOOKUP(Tabelle2[[#This Row],[Kunden Nr.]],KUNDEN!A:G,7)</f>
        <v>Qerimi</v>
      </c>
      <c r="L3663" s="76">
        <f>VLOOKUP(Tabelle2[[#This Row],[Artikel]],Produkte!A:H,8)</f>
        <v>0.17</v>
      </c>
    </row>
    <row r="3664" spans="1:12" x14ac:dyDescent="0.2">
      <c r="A3664" s="75" t="s">
        <v>1300</v>
      </c>
      <c r="B3664" s="79">
        <v>46161</v>
      </c>
      <c r="C3664" s="89">
        <v>138.6</v>
      </c>
      <c r="D3664" s="75"/>
      <c r="E3664" s="75"/>
      <c r="F3664" s="75">
        <v>10257</v>
      </c>
      <c r="G3664" s="76" t="str">
        <f>VLOOKUP(Tabelle2[[#This Row],[Kunden Nr.]],KUNDEN!A:B,2,0)</f>
        <v>BERISHA</v>
      </c>
      <c r="H3664" s="75">
        <v>35109</v>
      </c>
      <c r="I3664" s="76" t="str">
        <f>VLOOKUP(Tabelle2[[#This Row],[Artikel]],Produkte!A:B,2,0)</f>
        <v>M-ONE Sanitar Silikon</v>
      </c>
      <c r="J3664" s="75">
        <v>24</v>
      </c>
      <c r="K3664" s="76" t="str">
        <f>VLOOKUP(Tabelle2[[#This Row],[Kunden Nr.]],KUNDEN!A:G,7)</f>
        <v>Qerimi</v>
      </c>
      <c r="L3664" s="76">
        <f>VLOOKUP(Tabelle2[[#This Row],[Artikel]],Produkte!A:H,8)</f>
        <v>0.17</v>
      </c>
    </row>
    <row r="3665" spans="1:12" x14ac:dyDescent="0.2">
      <c r="A3665" s="75" t="s">
        <v>1300</v>
      </c>
      <c r="B3665" s="79">
        <v>46161</v>
      </c>
      <c r="C3665" s="75"/>
      <c r="D3665" s="75"/>
      <c r="E3665" s="75"/>
      <c r="F3665" s="75">
        <v>10257</v>
      </c>
      <c r="G3665" s="76" t="str">
        <f>VLOOKUP(Tabelle2[[#This Row],[Kunden Nr.]],KUNDEN!A:B,2,0)</f>
        <v>BERISHA</v>
      </c>
      <c r="H3665" s="75">
        <v>51611</v>
      </c>
      <c r="I3665" s="76" t="str">
        <f>VLOOKUP(Tabelle2[[#This Row],[Artikel]],Produkte!A:B,2,0)</f>
        <v>universal akryl</v>
      </c>
      <c r="J3665" s="75">
        <v>12</v>
      </c>
      <c r="K3665" s="76" t="str">
        <f>VLOOKUP(Tabelle2[[#This Row],[Kunden Nr.]],KUNDEN!A:G,7)</f>
        <v>Qerimi</v>
      </c>
      <c r="L3665" s="76">
        <f>VLOOKUP(Tabelle2[[#This Row],[Artikel]],Produkte!A:H,8)</f>
        <v>0.06</v>
      </c>
    </row>
    <row r="3666" spans="1:12" x14ac:dyDescent="0.2">
      <c r="A3666" s="75" t="s">
        <v>1300</v>
      </c>
      <c r="B3666" s="79">
        <v>46161</v>
      </c>
      <c r="C3666" s="75"/>
      <c r="D3666" s="75"/>
      <c r="E3666" s="75"/>
      <c r="F3666" s="75">
        <v>10257</v>
      </c>
      <c r="G3666" s="76" t="str">
        <f>VLOOKUP(Tabelle2[[#This Row],[Kunden Nr.]],KUNDEN!A:B,2,0)</f>
        <v>BERISHA</v>
      </c>
      <c r="H3666" s="75">
        <v>51612</v>
      </c>
      <c r="I3666" s="76" t="str">
        <f>VLOOKUP(Tabelle2[[#This Row],[Artikel]],Produkte!A:B,2,0)</f>
        <v>struktural akryl</v>
      </c>
      <c r="J3666" s="75">
        <v>12</v>
      </c>
      <c r="K3666" s="76" t="str">
        <f>VLOOKUP(Tabelle2[[#This Row],[Kunden Nr.]],KUNDEN!A:G,7)</f>
        <v>Qerimi</v>
      </c>
      <c r="L3666" s="76">
        <f>VLOOKUP(Tabelle2[[#This Row],[Artikel]],Produkte!A:H,8)</f>
        <v>0.06</v>
      </c>
    </row>
    <row r="3667" spans="1:12" x14ac:dyDescent="0.2">
      <c r="A3667" s="75" t="s">
        <v>1179</v>
      </c>
      <c r="B3667" s="79">
        <v>46161</v>
      </c>
      <c r="C3667" s="89">
        <v>144</v>
      </c>
      <c r="D3667" s="75"/>
      <c r="E3667" s="75"/>
      <c r="F3667" s="75">
        <v>40019</v>
      </c>
      <c r="G3667" s="76" t="str">
        <f>VLOOKUP(Tabelle2[[#This Row],[Kunden Nr.]],KUNDEN!A:B,2,0)</f>
        <v>TEMAJ</v>
      </c>
      <c r="H3667" s="75">
        <v>35108</v>
      </c>
      <c r="I3667" s="76" t="str">
        <f>VLOOKUP(Tabelle2[[#This Row],[Artikel]],Produkte!A:B,2,0)</f>
        <v>M-ONE Sanitar Silikon</v>
      </c>
      <c r="J3667" s="75">
        <v>24</v>
      </c>
      <c r="K3667" s="76">
        <f>VLOOKUP(Tabelle2[[#This Row],[Kunden Nr.]],KUNDEN!A:G,7)</f>
        <v>0</v>
      </c>
      <c r="L3667" s="76">
        <f>VLOOKUP(Tabelle2[[#This Row],[Artikel]],Produkte!A:H,8)</f>
        <v>0.17</v>
      </c>
    </row>
    <row r="3668" spans="1:12" x14ac:dyDescent="0.2">
      <c r="A3668" s="75" t="s">
        <v>1179</v>
      </c>
      <c r="B3668" s="79">
        <v>46161</v>
      </c>
      <c r="C3668" s="75"/>
      <c r="D3668" s="75"/>
      <c r="E3668" s="75"/>
      <c r="F3668" s="75">
        <v>40019</v>
      </c>
      <c r="G3668" s="76" t="str">
        <f>VLOOKUP(Tabelle2[[#This Row],[Kunden Nr.]],KUNDEN!A:B,2,0)</f>
        <v>TEMAJ</v>
      </c>
      <c r="H3668" s="75">
        <v>35121</v>
      </c>
      <c r="I3668" s="76" t="str">
        <f>VLOOKUP(Tabelle2[[#This Row],[Artikel]],Produkte!A:B,2,0)</f>
        <v>M-ONE Sanitar Silikon</v>
      </c>
      <c r="J3668" s="75">
        <v>12</v>
      </c>
      <c r="K3668" s="76">
        <f>VLOOKUP(Tabelle2[[#This Row],[Kunden Nr.]],KUNDEN!A:G,7)</f>
        <v>0</v>
      </c>
      <c r="L3668" s="76">
        <f>VLOOKUP(Tabelle2[[#This Row],[Artikel]],Produkte!A:H,8)</f>
        <v>0.17</v>
      </c>
    </row>
    <row r="3669" spans="1:12" x14ac:dyDescent="0.2">
      <c r="A3669" s="75" t="s">
        <v>1129</v>
      </c>
      <c r="B3669" s="79">
        <v>46161</v>
      </c>
      <c r="C3669" s="89">
        <v>66</v>
      </c>
      <c r="D3669" s="75"/>
      <c r="E3669" s="75"/>
      <c r="F3669" s="75">
        <v>20127</v>
      </c>
      <c r="G3669" s="76" t="str">
        <f>VLOOKUP(Tabelle2[[#This Row],[Kunden Nr.]],KUNDEN!A:B,2,0)</f>
        <v>TERMO PROJEKT</v>
      </c>
      <c r="H3669" s="75">
        <v>44001</v>
      </c>
      <c r="I3669" s="76" t="str">
        <f>VLOOKUP(Tabelle2[[#This Row],[Artikel]],Produkte!A:B,2,0)</f>
        <v>Fettspray</v>
      </c>
      <c r="J3669" s="75">
        <v>12</v>
      </c>
      <c r="K3669" s="76" t="str">
        <f>VLOOKUP(Tabelle2[[#This Row],[Kunden Nr.]],KUNDEN!A:G,7)</f>
        <v>Mensuri</v>
      </c>
      <c r="L3669" s="76">
        <f>VLOOKUP(Tabelle2[[#This Row],[Artikel]],Produkte!A:H,8)</f>
        <v>0.2</v>
      </c>
    </row>
    <row r="3670" spans="1:12" x14ac:dyDescent="0.2">
      <c r="A3670" s="75" t="s">
        <v>1129</v>
      </c>
      <c r="B3670" s="79">
        <v>46161</v>
      </c>
      <c r="C3670" s="75"/>
      <c r="D3670" s="75"/>
      <c r="E3670" s="75"/>
      <c r="F3670" s="75">
        <v>20127</v>
      </c>
      <c r="G3670" s="76" t="str">
        <f>VLOOKUP(Tabelle2[[#This Row],[Kunden Nr.]],KUNDEN!A:B,2,0)</f>
        <v>TERMO PROJEKT</v>
      </c>
      <c r="H3670" s="75">
        <v>49644</v>
      </c>
      <c r="I3670" s="76" t="str">
        <f>VLOOKUP(Tabelle2[[#This Row],[Artikel]],Produkte!A:B,2,0)</f>
        <v>beMAKER Rostlöser</v>
      </c>
      <c r="J3670" s="75">
        <v>12</v>
      </c>
      <c r="K3670" s="76" t="str">
        <f>VLOOKUP(Tabelle2[[#This Row],[Kunden Nr.]],KUNDEN!A:G,7)</f>
        <v>Mensuri</v>
      </c>
      <c r="L3670" s="76">
        <f>VLOOKUP(Tabelle2[[#This Row],[Artikel]],Produkte!A:H,8)</f>
        <v>0.2</v>
      </c>
    </row>
    <row r="3671" spans="1:12" x14ac:dyDescent="0.2">
      <c r="A3671" s="75" t="s">
        <v>422</v>
      </c>
      <c r="B3671" s="79">
        <v>46161</v>
      </c>
      <c r="C3671" s="89">
        <v>145.19999999999999</v>
      </c>
      <c r="D3671" s="75"/>
      <c r="E3671" s="75"/>
      <c r="F3671" s="75">
        <v>20209</v>
      </c>
      <c r="G3671" s="76" t="str">
        <f>VLOOKUP(Tabelle2[[#This Row],[Kunden Nr.]],KUNDEN!A:B,2,0)</f>
        <v>LETAJ</v>
      </c>
      <c r="H3671" s="75">
        <v>66701</v>
      </c>
      <c r="I3671" s="76" t="str">
        <f>VLOOKUP(Tabelle2[[#This Row],[Artikel]],Produkte!A:B,2,0)</f>
        <v>PROFIMONT EXTREME</v>
      </c>
      <c r="J3671" s="75">
        <v>12</v>
      </c>
      <c r="K3671" s="76" t="str">
        <f>VLOOKUP(Tabelle2[[#This Row],[Kunden Nr.]],KUNDEN!A:G,7)</f>
        <v>Mensuri</v>
      </c>
      <c r="L3671" s="76">
        <f>VLOOKUP(Tabelle2[[#This Row],[Artikel]],Produkte!A:H,8)</f>
        <v>0.2</v>
      </c>
    </row>
    <row r="3672" spans="1:12" x14ac:dyDescent="0.2">
      <c r="A3672" s="75" t="s">
        <v>422</v>
      </c>
      <c r="B3672" s="79">
        <v>46161</v>
      </c>
      <c r="C3672" s="75"/>
      <c r="D3672" s="75"/>
      <c r="E3672" s="75"/>
      <c r="F3672" s="75">
        <v>20209</v>
      </c>
      <c r="G3672" s="76" t="str">
        <f>VLOOKUP(Tabelle2[[#This Row],[Kunden Nr.]],KUNDEN!A:B,2,0)</f>
        <v>LETAJ</v>
      </c>
      <c r="H3672" s="75">
        <v>35125</v>
      </c>
      <c r="I3672" s="76" t="str">
        <f>VLOOKUP(Tabelle2[[#This Row],[Artikel]],Produkte!A:B,2,0)</f>
        <v>M-ONE Sanitar Silikon</v>
      </c>
      <c r="J3672" s="75">
        <v>12</v>
      </c>
      <c r="K3672" s="76" t="str">
        <f>VLOOKUP(Tabelle2[[#This Row],[Kunden Nr.]],KUNDEN!A:G,7)</f>
        <v>Mensuri</v>
      </c>
      <c r="L3672" s="76">
        <f>VLOOKUP(Tabelle2[[#This Row],[Artikel]],Produkte!A:H,8)</f>
        <v>0.17</v>
      </c>
    </row>
    <row r="3673" spans="1:12" x14ac:dyDescent="0.2">
      <c r="A3673" s="75" t="s">
        <v>422</v>
      </c>
      <c r="B3673" s="79">
        <v>46161</v>
      </c>
      <c r="C3673" s="75"/>
      <c r="D3673" s="75"/>
      <c r="E3673" s="75"/>
      <c r="F3673" s="75">
        <v>20209</v>
      </c>
      <c r="G3673" s="76" t="str">
        <f>VLOOKUP(Tabelle2[[#This Row],[Kunden Nr.]],KUNDEN!A:B,2,0)</f>
        <v>LETAJ</v>
      </c>
      <c r="H3673" s="75">
        <v>51612</v>
      </c>
      <c r="I3673" s="76" t="str">
        <f>VLOOKUP(Tabelle2[[#This Row],[Artikel]],Produkte!A:B,2,0)</f>
        <v>struktural akryl</v>
      </c>
      <c r="J3673" s="75">
        <v>12</v>
      </c>
      <c r="K3673" s="76" t="str">
        <f>VLOOKUP(Tabelle2[[#This Row],[Kunden Nr.]],KUNDEN!A:G,7)</f>
        <v>Mensuri</v>
      </c>
      <c r="L3673" s="76">
        <f>VLOOKUP(Tabelle2[[#This Row],[Artikel]],Produkte!A:H,8)</f>
        <v>0.06</v>
      </c>
    </row>
    <row r="3674" spans="1:12" x14ac:dyDescent="0.2">
      <c r="A3674" s="75" t="s">
        <v>420</v>
      </c>
      <c r="B3674" s="79">
        <v>46161</v>
      </c>
      <c r="C3674" s="89">
        <v>120</v>
      </c>
      <c r="D3674" s="75"/>
      <c r="E3674" s="75"/>
      <c r="F3674" s="75">
        <v>20205</v>
      </c>
      <c r="G3674" s="76" t="str">
        <f>VLOOKUP(Tabelle2[[#This Row],[Kunden Nr.]],KUNDEN!A:B,2,0)</f>
        <v>GACAFERI-RG</v>
      </c>
      <c r="H3674" s="75">
        <v>35108</v>
      </c>
      <c r="I3674" s="76" t="str">
        <f>VLOOKUP(Tabelle2[[#This Row],[Artikel]],Produkte!A:B,2,0)</f>
        <v>M-ONE Sanitar Silikon</v>
      </c>
      <c r="J3674" s="75">
        <v>12</v>
      </c>
      <c r="K3674" s="76" t="str">
        <f>VLOOKUP(Tabelle2[[#This Row],[Kunden Nr.]],KUNDEN!A:G,7)</f>
        <v>Mensuri</v>
      </c>
      <c r="L3674" s="76">
        <f>VLOOKUP(Tabelle2[[#This Row],[Artikel]],Produkte!A:H,8)</f>
        <v>0.17</v>
      </c>
    </row>
    <row r="3675" spans="1:12" x14ac:dyDescent="0.2">
      <c r="A3675" s="75" t="s">
        <v>420</v>
      </c>
      <c r="B3675" s="79">
        <v>46161</v>
      </c>
      <c r="C3675" s="75"/>
      <c r="D3675" s="75"/>
      <c r="E3675" s="75"/>
      <c r="F3675" s="75">
        <v>20205</v>
      </c>
      <c r="G3675" s="76" t="str">
        <f>VLOOKUP(Tabelle2[[#This Row],[Kunden Nr.]],KUNDEN!A:B,2,0)</f>
        <v>GACAFERI-RG</v>
      </c>
      <c r="H3675" s="75">
        <v>35121</v>
      </c>
      <c r="I3675" s="76" t="str">
        <f>VLOOKUP(Tabelle2[[#This Row],[Artikel]],Produkte!A:B,2,0)</f>
        <v>M-ONE Sanitar Silikon</v>
      </c>
      <c r="J3675" s="75">
        <v>12</v>
      </c>
      <c r="K3675" s="76" t="str">
        <f>VLOOKUP(Tabelle2[[#This Row],[Kunden Nr.]],KUNDEN!A:G,7)</f>
        <v>Mensuri</v>
      </c>
      <c r="L3675" s="76">
        <f>VLOOKUP(Tabelle2[[#This Row],[Artikel]],Produkte!A:H,8)</f>
        <v>0.17</v>
      </c>
    </row>
    <row r="3676" spans="1:12" x14ac:dyDescent="0.2">
      <c r="A3676" s="75" t="s">
        <v>420</v>
      </c>
      <c r="B3676" s="79">
        <v>46161</v>
      </c>
      <c r="C3676" s="75"/>
      <c r="D3676" s="75"/>
      <c r="E3676" s="75"/>
      <c r="F3676" s="75">
        <v>20205</v>
      </c>
      <c r="G3676" s="76" t="str">
        <f>VLOOKUP(Tabelle2[[#This Row],[Kunden Nr.]],KUNDEN!A:B,2,0)</f>
        <v>GACAFERI-RG</v>
      </c>
      <c r="H3676" s="75">
        <v>56117</v>
      </c>
      <c r="I3676" s="76" t="str">
        <f>VLOOKUP(Tabelle2[[#This Row],[Artikel]],Produkte!A:B,2,0)</f>
        <v>M ONE UBS</v>
      </c>
      <c r="J3676" s="75">
        <v>6</v>
      </c>
      <c r="K3676" s="76" t="str">
        <f>VLOOKUP(Tabelle2[[#This Row],[Kunden Nr.]],KUNDEN!A:G,7)</f>
        <v>Mensuri</v>
      </c>
      <c r="L3676" s="76">
        <f>VLOOKUP(Tabelle2[[#This Row],[Artikel]],Produkte!A:H,8)</f>
        <v>0.2</v>
      </c>
    </row>
    <row r="3677" spans="1:12" x14ac:dyDescent="0.2">
      <c r="A3677" s="75" t="s">
        <v>1167</v>
      </c>
      <c r="B3677" s="79">
        <v>46161</v>
      </c>
      <c r="C3677" s="89">
        <v>96</v>
      </c>
      <c r="D3677" s="75"/>
      <c r="E3677" s="75"/>
      <c r="F3677" s="75">
        <v>20222</v>
      </c>
      <c r="G3677" s="76" t="str">
        <f>VLOOKUP(Tabelle2[[#This Row],[Kunden Nr.]],KUNDEN!A:B,2,0)</f>
        <v>ERINA</v>
      </c>
      <c r="H3677" s="75">
        <v>35114</v>
      </c>
      <c r="I3677" s="76" t="str">
        <f>VLOOKUP(Tabelle2[[#This Row],[Artikel]],Produkte!A:B,2,0)</f>
        <v>M-ONE Sanitar Silikon</v>
      </c>
      <c r="J3677" s="75">
        <v>12</v>
      </c>
      <c r="K3677" s="76" t="str">
        <f>VLOOKUP(Tabelle2[[#This Row],[Kunden Nr.]],KUNDEN!A:G,7)</f>
        <v>Mensuri</v>
      </c>
      <c r="L3677" s="76">
        <f>VLOOKUP(Tabelle2[[#This Row],[Artikel]],Produkte!A:H,8)</f>
        <v>0.17</v>
      </c>
    </row>
    <row r="3678" spans="1:12" x14ac:dyDescent="0.2">
      <c r="A3678" s="75" t="s">
        <v>1167</v>
      </c>
      <c r="B3678" s="79">
        <v>46161</v>
      </c>
      <c r="C3678" s="75"/>
      <c r="D3678" s="75"/>
      <c r="E3678" s="75"/>
      <c r="F3678" s="75">
        <v>20222</v>
      </c>
      <c r="G3678" s="76" t="str">
        <f>VLOOKUP(Tabelle2[[#This Row],[Kunden Nr.]],KUNDEN!A:B,2,0)</f>
        <v>ERINA</v>
      </c>
      <c r="H3678" s="75">
        <v>35121</v>
      </c>
      <c r="I3678" s="76" t="str">
        <f>VLOOKUP(Tabelle2[[#This Row],[Artikel]],Produkte!A:B,2,0)</f>
        <v>M-ONE Sanitar Silikon</v>
      </c>
      <c r="J3678" s="75">
        <v>12</v>
      </c>
      <c r="K3678" s="76" t="str">
        <f>VLOOKUP(Tabelle2[[#This Row],[Kunden Nr.]],KUNDEN!A:G,7)</f>
        <v>Mensuri</v>
      </c>
      <c r="L3678" s="76">
        <f>VLOOKUP(Tabelle2[[#This Row],[Artikel]],Produkte!A:H,8)</f>
        <v>0.17</v>
      </c>
    </row>
    <row r="3679" spans="1:12" x14ac:dyDescent="0.2">
      <c r="A3679" s="75" t="s">
        <v>425</v>
      </c>
      <c r="B3679" s="79">
        <v>46161</v>
      </c>
      <c r="C3679" s="89">
        <v>96</v>
      </c>
      <c r="D3679" s="75"/>
      <c r="E3679" s="75"/>
      <c r="F3679" s="75">
        <v>20212</v>
      </c>
      <c r="G3679" s="76" t="str">
        <f>VLOOKUP(Tabelle2[[#This Row],[Kunden Nr.]],KUNDEN!A:B,2,0)</f>
        <v>INOX 2</v>
      </c>
      <c r="H3679" s="75">
        <v>35113</v>
      </c>
      <c r="I3679" s="76" t="str">
        <f>VLOOKUP(Tabelle2[[#This Row],[Artikel]],Produkte!A:B,2,0)</f>
        <v>M-ONE Sanitar Silikon</v>
      </c>
      <c r="J3679" s="75">
        <v>12</v>
      </c>
      <c r="K3679" s="76" t="str">
        <f>VLOOKUP(Tabelle2[[#This Row],[Kunden Nr.]],KUNDEN!A:G,7)</f>
        <v>Mensuri</v>
      </c>
      <c r="L3679" s="76">
        <f>VLOOKUP(Tabelle2[[#This Row],[Artikel]],Produkte!A:H,8)</f>
        <v>0.17</v>
      </c>
    </row>
    <row r="3680" spans="1:12" x14ac:dyDescent="0.2">
      <c r="A3680" s="75" t="s">
        <v>425</v>
      </c>
      <c r="B3680" s="79">
        <v>46161</v>
      </c>
      <c r="C3680" s="75"/>
      <c r="D3680" s="75"/>
      <c r="E3680" s="75"/>
      <c r="F3680" s="75">
        <v>20212</v>
      </c>
      <c r="G3680" s="76" t="str">
        <f>VLOOKUP(Tabelle2[[#This Row],[Kunden Nr.]],KUNDEN!A:B,2,0)</f>
        <v>INOX 2</v>
      </c>
      <c r="H3680" s="75">
        <v>35121</v>
      </c>
      <c r="I3680" s="76" t="str">
        <f>VLOOKUP(Tabelle2[[#This Row],[Artikel]],Produkte!A:B,2,0)</f>
        <v>M-ONE Sanitar Silikon</v>
      </c>
      <c r="J3680" s="75">
        <v>12</v>
      </c>
      <c r="K3680" s="76" t="str">
        <f>VLOOKUP(Tabelle2[[#This Row],[Kunden Nr.]],KUNDEN!A:G,7)</f>
        <v>Mensuri</v>
      </c>
      <c r="L3680" s="76">
        <f>VLOOKUP(Tabelle2[[#This Row],[Artikel]],Produkte!A:H,8)</f>
        <v>0.17</v>
      </c>
    </row>
    <row r="3681" spans="1:12" x14ac:dyDescent="0.2">
      <c r="A3681" s="75" t="s">
        <v>670</v>
      </c>
      <c r="B3681" s="79">
        <v>46161</v>
      </c>
      <c r="C3681" s="89">
        <v>55.2</v>
      </c>
      <c r="D3681" s="75"/>
      <c r="E3681" s="75"/>
      <c r="F3681" s="75">
        <v>20206</v>
      </c>
      <c r="G3681" s="76" t="str">
        <f>VLOOKUP(Tabelle2[[#This Row],[Kunden Nr.]],KUNDEN!A:B,2,0)</f>
        <v>ERENIKU</v>
      </c>
      <c r="H3681" s="75">
        <v>51612</v>
      </c>
      <c r="I3681" s="76" t="str">
        <f>VLOOKUP(Tabelle2[[#This Row],[Artikel]],Produkte!A:B,2,0)</f>
        <v>struktural akryl</v>
      </c>
      <c r="J3681" s="75">
        <v>24</v>
      </c>
      <c r="K3681" s="76" t="str">
        <f>VLOOKUP(Tabelle2[[#This Row],[Kunden Nr.]],KUNDEN!A:G,7)</f>
        <v>Mensuri</v>
      </c>
      <c r="L3681" s="76">
        <f>VLOOKUP(Tabelle2[[#This Row],[Artikel]],Produkte!A:H,8)</f>
        <v>0.06</v>
      </c>
    </row>
    <row r="3682" spans="1:12" x14ac:dyDescent="0.2">
      <c r="A3682" s="75" t="s">
        <v>963</v>
      </c>
      <c r="B3682" s="79">
        <v>46161</v>
      </c>
      <c r="C3682" s="89">
        <v>159</v>
      </c>
      <c r="D3682" s="75"/>
      <c r="E3682" s="75"/>
      <c r="F3682" s="75">
        <v>20201</v>
      </c>
      <c r="G3682" s="76" t="str">
        <f>VLOOKUP(Tabelle2[[#This Row],[Kunden Nr.]],KUNDEN!A:B,2,0)</f>
        <v>TE BESIMI</v>
      </c>
      <c r="H3682" s="75">
        <v>35111</v>
      </c>
      <c r="I3682" s="76" t="str">
        <f>VLOOKUP(Tabelle2[[#This Row],[Artikel]],Produkte!A:B,2,0)</f>
        <v>M-ONE Sanitar Silikon</v>
      </c>
      <c r="J3682" s="75">
        <v>24</v>
      </c>
      <c r="K3682" s="76" t="str">
        <f>VLOOKUP(Tabelle2[[#This Row],[Kunden Nr.]],KUNDEN!A:G,7)</f>
        <v>Mensuri</v>
      </c>
      <c r="L3682" s="76">
        <f>VLOOKUP(Tabelle2[[#This Row],[Artikel]],Produkte!A:H,8)</f>
        <v>0.17</v>
      </c>
    </row>
    <row r="3683" spans="1:12" x14ac:dyDescent="0.2">
      <c r="A3683" s="75" t="s">
        <v>963</v>
      </c>
      <c r="B3683" s="79">
        <v>46161</v>
      </c>
      <c r="C3683" s="75"/>
      <c r="D3683" s="75"/>
      <c r="E3683" s="75"/>
      <c r="F3683" s="75">
        <v>20201</v>
      </c>
      <c r="G3683" s="76" t="str">
        <f>VLOOKUP(Tabelle2[[#This Row],[Kunden Nr.]],KUNDEN!A:B,2,0)</f>
        <v>TE BESIMI</v>
      </c>
      <c r="H3683" s="75">
        <v>35114</v>
      </c>
      <c r="I3683" s="76" t="str">
        <f>VLOOKUP(Tabelle2[[#This Row],[Artikel]],Produkte!A:B,2,0)</f>
        <v>M-ONE Sanitar Silikon</v>
      </c>
      <c r="J3683" s="75">
        <v>12</v>
      </c>
      <c r="K3683" s="76" t="str">
        <f>VLOOKUP(Tabelle2[[#This Row],[Kunden Nr.]],KUNDEN!A:G,7)</f>
        <v>Mensuri</v>
      </c>
      <c r="L3683" s="76">
        <f>VLOOKUP(Tabelle2[[#This Row],[Artikel]],Produkte!A:H,8)</f>
        <v>0.17</v>
      </c>
    </row>
    <row r="3684" spans="1:12" x14ac:dyDescent="0.2">
      <c r="A3684" s="75" t="s">
        <v>963</v>
      </c>
      <c r="B3684" s="79">
        <v>46161</v>
      </c>
      <c r="C3684" s="75"/>
      <c r="D3684" s="75"/>
      <c r="E3684" s="75"/>
      <c r="F3684" s="75">
        <v>20201</v>
      </c>
      <c r="G3684" s="76" t="str">
        <f>VLOOKUP(Tabelle2[[#This Row],[Kunden Nr.]],KUNDEN!A:B,2,0)</f>
        <v>TE BESIMI</v>
      </c>
      <c r="H3684" s="75">
        <v>51611</v>
      </c>
      <c r="I3684" s="76" t="str">
        <f>VLOOKUP(Tabelle2[[#This Row],[Artikel]],Produkte!A:B,2,0)</f>
        <v>universal akryl</v>
      </c>
      <c r="J3684" s="75">
        <v>12</v>
      </c>
      <c r="K3684" s="76" t="str">
        <f>VLOOKUP(Tabelle2[[#This Row],[Kunden Nr.]],KUNDEN!A:G,7)</f>
        <v>Mensuri</v>
      </c>
      <c r="L3684" s="76">
        <f>VLOOKUP(Tabelle2[[#This Row],[Artikel]],Produkte!A:H,8)</f>
        <v>0.06</v>
      </c>
    </row>
    <row r="3685" spans="1:12" x14ac:dyDescent="0.2">
      <c r="A3685" s="75" t="s">
        <v>1129</v>
      </c>
      <c r="B3685" s="79">
        <v>46161</v>
      </c>
      <c r="C3685" s="89">
        <v>100.4</v>
      </c>
      <c r="D3685" s="75"/>
      <c r="E3685" s="75"/>
      <c r="F3685" s="75">
        <v>20127</v>
      </c>
      <c r="G3685" s="76" t="str">
        <f>VLOOKUP(Tabelle2[[#This Row],[Kunden Nr.]],KUNDEN!A:B,2,0)</f>
        <v>TERMO PROJEKT</v>
      </c>
      <c r="H3685" s="75">
        <v>35121</v>
      </c>
      <c r="I3685" s="76" t="str">
        <f>VLOOKUP(Tabelle2[[#This Row],[Artikel]],Produkte!A:B,2,0)</f>
        <v>M-ONE Sanitar Silikon</v>
      </c>
      <c r="J3685" s="75">
        <v>24</v>
      </c>
      <c r="K3685" s="76" t="str">
        <f>VLOOKUP(Tabelle2[[#This Row],[Kunden Nr.]],KUNDEN!A:G,7)</f>
        <v>Mensuri</v>
      </c>
      <c r="L3685" s="76">
        <f>VLOOKUP(Tabelle2[[#This Row],[Artikel]],Produkte!A:H,8)</f>
        <v>0.17</v>
      </c>
    </row>
    <row r="3686" spans="1:12" x14ac:dyDescent="0.2">
      <c r="A3686" s="75" t="s">
        <v>1129</v>
      </c>
      <c r="B3686" s="79">
        <v>46161</v>
      </c>
      <c r="C3686" s="75"/>
      <c r="D3686" s="75"/>
      <c r="E3686" s="75"/>
      <c r="F3686" s="75">
        <v>20127</v>
      </c>
      <c r="G3686" s="76" t="str">
        <f>VLOOKUP(Tabelle2[[#This Row],[Kunden Nr.]],KUNDEN!A:B,2,0)</f>
        <v>TERMO PROJEKT</v>
      </c>
      <c r="H3686" s="75">
        <v>50912</v>
      </c>
      <c r="I3686" s="76" t="str">
        <f>VLOOKUP(Tabelle2[[#This Row],[Artikel]],Produkte!A:B,2,0)</f>
        <v>DICHTUNG</v>
      </c>
      <c r="J3686" s="75">
        <v>2</v>
      </c>
      <c r="K3686" s="76" t="str">
        <f>VLOOKUP(Tabelle2[[#This Row],[Kunden Nr.]],KUNDEN!A:G,7)</f>
        <v>Mensuri</v>
      </c>
      <c r="L3686" s="76">
        <f>VLOOKUP(Tabelle2[[#This Row],[Artikel]],Produkte!A:H,8)</f>
        <v>0.2</v>
      </c>
    </row>
    <row r="3687" spans="1:12" x14ac:dyDescent="0.2">
      <c r="A3687" s="75" t="s">
        <v>418</v>
      </c>
      <c r="B3687" s="79">
        <v>46161</v>
      </c>
      <c r="C3687" s="89">
        <v>193.4</v>
      </c>
      <c r="D3687" s="75"/>
      <c r="E3687" s="75"/>
      <c r="F3687" s="75">
        <v>20203</v>
      </c>
      <c r="G3687" s="76" t="str">
        <f>VLOOKUP(Tabelle2[[#This Row],[Kunden Nr.]],KUNDEN!A:B,2,0)</f>
        <v>AFRIMI-AG</v>
      </c>
      <c r="H3687" s="75">
        <v>66701</v>
      </c>
      <c r="I3687" s="76" t="str">
        <f>VLOOKUP(Tabelle2[[#This Row],[Artikel]],Produkte!A:B,2,0)</f>
        <v>PROFIMONT EXTREME</v>
      </c>
      <c r="J3687" s="75">
        <v>12</v>
      </c>
      <c r="K3687" s="76" t="str">
        <f>VLOOKUP(Tabelle2[[#This Row],[Kunden Nr.]],KUNDEN!A:G,7)</f>
        <v>Mensuri</v>
      </c>
      <c r="L3687" s="76">
        <f>VLOOKUP(Tabelle2[[#This Row],[Artikel]],Produkte!A:H,8)</f>
        <v>0.2</v>
      </c>
    </row>
    <row r="3688" spans="1:12" x14ac:dyDescent="0.2">
      <c r="A3688" s="75" t="s">
        <v>418</v>
      </c>
      <c r="B3688" s="79">
        <v>46161</v>
      </c>
      <c r="C3688" s="75"/>
      <c r="D3688" s="75"/>
      <c r="E3688" s="75"/>
      <c r="F3688" s="75">
        <v>20203</v>
      </c>
      <c r="G3688" s="76" t="str">
        <f>VLOOKUP(Tabelle2[[#This Row],[Kunden Nr.]],KUNDEN!A:B,2,0)</f>
        <v>AFRIMI-AG</v>
      </c>
      <c r="H3688" s="75">
        <v>35111</v>
      </c>
      <c r="I3688" s="76" t="str">
        <f>VLOOKUP(Tabelle2[[#This Row],[Artikel]],Produkte!A:B,2,0)</f>
        <v>M-ONE Sanitar Silikon</v>
      </c>
      <c r="J3688" s="75">
        <v>12</v>
      </c>
      <c r="K3688" s="76" t="str">
        <f>VLOOKUP(Tabelle2[[#This Row],[Kunden Nr.]],KUNDEN!A:G,7)</f>
        <v>Mensuri</v>
      </c>
      <c r="L3688" s="76">
        <f>VLOOKUP(Tabelle2[[#This Row],[Artikel]],Produkte!A:H,8)</f>
        <v>0.17</v>
      </c>
    </row>
    <row r="3689" spans="1:12" x14ac:dyDescent="0.2">
      <c r="A3689" s="75" t="s">
        <v>418</v>
      </c>
      <c r="B3689" s="79">
        <v>46161</v>
      </c>
      <c r="C3689" s="75"/>
      <c r="D3689" s="75"/>
      <c r="E3689" s="75"/>
      <c r="F3689" s="75">
        <v>20203</v>
      </c>
      <c r="G3689" s="76" t="str">
        <f>VLOOKUP(Tabelle2[[#This Row],[Kunden Nr.]],KUNDEN!A:B,2,0)</f>
        <v>AFRIMI-AG</v>
      </c>
      <c r="H3689" s="75">
        <v>35115</v>
      </c>
      <c r="I3689" s="76" t="str">
        <f>VLOOKUP(Tabelle2[[#This Row],[Artikel]],Produkte!A:B,2,0)</f>
        <v>M-ONE Sanitar Silikon</v>
      </c>
      <c r="J3689" s="75">
        <v>12</v>
      </c>
      <c r="K3689" s="76" t="str">
        <f>VLOOKUP(Tabelle2[[#This Row],[Kunden Nr.]],KUNDEN!A:G,7)</f>
        <v>Mensuri</v>
      </c>
      <c r="L3689" s="76">
        <f>VLOOKUP(Tabelle2[[#This Row],[Artikel]],Produkte!A:H,8)</f>
        <v>0.17</v>
      </c>
    </row>
    <row r="3690" spans="1:12" x14ac:dyDescent="0.2">
      <c r="A3690" s="75" t="s">
        <v>418</v>
      </c>
      <c r="B3690" s="79">
        <v>46161</v>
      </c>
      <c r="C3690" s="75"/>
      <c r="D3690" s="75"/>
      <c r="E3690" s="75"/>
      <c r="F3690" s="75">
        <v>20203</v>
      </c>
      <c r="G3690" s="76" t="str">
        <f>VLOOKUP(Tabelle2[[#This Row],[Kunden Nr.]],KUNDEN!A:B,2,0)</f>
        <v>AFRIMI-AG</v>
      </c>
      <c r="H3690" s="75">
        <v>44001</v>
      </c>
      <c r="I3690" s="76" t="str">
        <f>VLOOKUP(Tabelle2[[#This Row],[Artikel]],Produkte!A:B,2,0)</f>
        <v>Fettspray</v>
      </c>
      <c r="J3690" s="75">
        <v>7</v>
      </c>
      <c r="K3690" s="76" t="str">
        <f>VLOOKUP(Tabelle2[[#This Row],[Kunden Nr.]],KUNDEN!A:G,7)</f>
        <v>Mensuri</v>
      </c>
      <c r="L3690" s="76">
        <f>VLOOKUP(Tabelle2[[#This Row],[Artikel]],Produkte!A:H,8)</f>
        <v>0.2</v>
      </c>
    </row>
    <row r="3691" spans="1:12" x14ac:dyDescent="0.2">
      <c r="A3691" s="75" t="s">
        <v>418</v>
      </c>
      <c r="B3691" s="79">
        <v>46161</v>
      </c>
      <c r="C3691" s="75"/>
      <c r="D3691" s="75"/>
      <c r="E3691" s="75"/>
      <c r="F3691" s="75">
        <v>20203</v>
      </c>
      <c r="G3691" s="76" t="str">
        <f>VLOOKUP(Tabelle2[[#This Row],[Kunden Nr.]],KUNDEN!A:B,2,0)</f>
        <v>AFRIMI-AG</v>
      </c>
      <c r="H3691" s="75">
        <v>29802</v>
      </c>
      <c r="I3691" s="76" t="str">
        <f>VLOOKUP(Tabelle2[[#This Row],[Artikel]],Produkte!A:B,2,0)</f>
        <v>beMaker Handwaschpaste</v>
      </c>
      <c r="J3691" s="75">
        <v>4</v>
      </c>
      <c r="K3691" s="76" t="str">
        <f>VLOOKUP(Tabelle2[[#This Row],[Kunden Nr.]],KUNDEN!A:G,7)</f>
        <v>Mensuri</v>
      </c>
      <c r="L3691" s="76">
        <f>VLOOKUP(Tabelle2[[#This Row],[Artikel]],Produkte!A:H,8)</f>
        <v>0.1</v>
      </c>
    </row>
    <row r="3692" spans="1:12" x14ac:dyDescent="0.2">
      <c r="A3692" s="75" t="s">
        <v>5</v>
      </c>
      <c r="B3692" s="79">
        <v>46162</v>
      </c>
      <c r="C3692" s="89">
        <v>96</v>
      </c>
      <c r="D3692" s="75"/>
      <c r="E3692" s="75"/>
      <c r="F3692" s="75">
        <v>10301</v>
      </c>
      <c r="G3692" s="76" t="str">
        <f>VLOOKUP(Tabelle2[[#This Row],[Kunden Nr.]],KUNDEN!A:B,2,0)</f>
        <v>FUNDAMETI</v>
      </c>
      <c r="H3692" s="75">
        <v>35113</v>
      </c>
      <c r="I3692" s="76" t="str">
        <f>VLOOKUP(Tabelle2[[#This Row],[Artikel]],Produkte!A:B,2,0)</f>
        <v>M-ONE Sanitar Silikon</v>
      </c>
      <c r="J3692" s="75">
        <v>24</v>
      </c>
      <c r="K3692" s="76" t="str">
        <f>VLOOKUP(Tabelle2[[#This Row],[Kunden Nr.]],KUNDEN!A:G,7)</f>
        <v>Qerimi</v>
      </c>
      <c r="L3692" s="76">
        <f>VLOOKUP(Tabelle2[[#This Row],[Artikel]],Produkte!A:H,8)</f>
        <v>0.17</v>
      </c>
    </row>
    <row r="3693" spans="1:12" x14ac:dyDescent="0.2">
      <c r="A3693" s="75" t="s">
        <v>1304</v>
      </c>
      <c r="B3693" s="79">
        <v>46162</v>
      </c>
      <c r="C3693" s="89">
        <v>192</v>
      </c>
      <c r="D3693" s="75"/>
      <c r="E3693" s="75"/>
      <c r="F3693" s="75">
        <v>10366</v>
      </c>
      <c r="G3693" s="76" t="str">
        <f>VLOOKUP(Tabelle2[[#This Row],[Kunden Nr.]],KUNDEN!A:B,2,0)</f>
        <v>MIRSADI</v>
      </c>
      <c r="H3693" s="75">
        <v>35109</v>
      </c>
      <c r="I3693" s="76" t="str">
        <f>VLOOKUP(Tabelle2[[#This Row],[Artikel]],Produkte!A:B,2,0)</f>
        <v>M-ONE Sanitar Silikon</v>
      </c>
      <c r="J3693" s="75">
        <v>12</v>
      </c>
      <c r="K3693" s="76" t="str">
        <f>VLOOKUP(Tabelle2[[#This Row],[Kunden Nr.]],KUNDEN!A:G,7)</f>
        <v>Qerimi</v>
      </c>
      <c r="L3693" s="76">
        <f>VLOOKUP(Tabelle2[[#This Row],[Artikel]],Produkte!A:H,8)</f>
        <v>0.17</v>
      </c>
    </row>
    <row r="3694" spans="1:12" x14ac:dyDescent="0.2">
      <c r="A3694" s="75" t="s">
        <v>1304</v>
      </c>
      <c r="B3694" s="79">
        <v>46162</v>
      </c>
      <c r="C3694" s="75"/>
      <c r="D3694" s="75"/>
      <c r="E3694" s="75"/>
      <c r="F3694" s="75">
        <v>10366</v>
      </c>
      <c r="G3694" s="76" t="str">
        <f>VLOOKUP(Tabelle2[[#This Row],[Kunden Nr.]],KUNDEN!A:B,2,0)</f>
        <v>MIRSADI</v>
      </c>
      <c r="H3694" s="75">
        <v>35110</v>
      </c>
      <c r="I3694" s="76" t="str">
        <f>VLOOKUP(Tabelle2[[#This Row],[Artikel]],Produkte!A:B,2,0)</f>
        <v>M-ONE Sanitar Silikon</v>
      </c>
      <c r="J3694" s="75">
        <v>12</v>
      </c>
      <c r="K3694" s="76" t="str">
        <f>VLOOKUP(Tabelle2[[#This Row],[Kunden Nr.]],KUNDEN!A:G,7)</f>
        <v>Qerimi</v>
      </c>
      <c r="L3694" s="76">
        <f>VLOOKUP(Tabelle2[[#This Row],[Artikel]],Produkte!A:H,8)</f>
        <v>0.17</v>
      </c>
    </row>
    <row r="3695" spans="1:12" x14ac:dyDescent="0.2">
      <c r="A3695" s="75" t="s">
        <v>1304</v>
      </c>
      <c r="B3695" s="79">
        <v>46162</v>
      </c>
      <c r="C3695" s="75"/>
      <c r="D3695" s="75"/>
      <c r="E3695" s="75"/>
      <c r="F3695" s="75">
        <v>10366</v>
      </c>
      <c r="G3695" s="76" t="str">
        <f>VLOOKUP(Tabelle2[[#This Row],[Kunden Nr.]],KUNDEN!A:B,2,0)</f>
        <v>MIRSADI</v>
      </c>
      <c r="H3695" s="75">
        <v>35121</v>
      </c>
      <c r="I3695" s="76" t="str">
        <f>VLOOKUP(Tabelle2[[#This Row],[Artikel]],Produkte!A:B,2,0)</f>
        <v>M-ONE Sanitar Silikon</v>
      </c>
      <c r="J3695" s="75">
        <v>12</v>
      </c>
      <c r="K3695" s="76" t="str">
        <f>VLOOKUP(Tabelle2[[#This Row],[Kunden Nr.]],KUNDEN!A:G,7)</f>
        <v>Qerimi</v>
      </c>
      <c r="L3695" s="76">
        <f>VLOOKUP(Tabelle2[[#This Row],[Artikel]],Produkte!A:H,8)</f>
        <v>0.17</v>
      </c>
    </row>
    <row r="3696" spans="1:12" x14ac:dyDescent="0.2">
      <c r="A3696" s="75" t="s">
        <v>1304</v>
      </c>
      <c r="B3696" s="79">
        <v>46162</v>
      </c>
      <c r="C3696" s="75"/>
      <c r="D3696" s="75"/>
      <c r="E3696" s="75"/>
      <c r="F3696" s="75">
        <v>10366</v>
      </c>
      <c r="G3696" s="76" t="str">
        <f>VLOOKUP(Tabelle2[[#This Row],[Kunden Nr.]],KUNDEN!A:B,2,0)</f>
        <v>MIRSADI</v>
      </c>
      <c r="H3696" s="75">
        <v>35128</v>
      </c>
      <c r="I3696" s="76" t="str">
        <f>VLOOKUP(Tabelle2[[#This Row],[Artikel]],Produkte!A:B,2,0)</f>
        <v>M-ONE Sanitar Silikon</v>
      </c>
      <c r="J3696" s="75">
        <v>12</v>
      </c>
      <c r="K3696" s="76" t="str">
        <f>VLOOKUP(Tabelle2[[#This Row],[Kunden Nr.]],KUNDEN!A:G,7)</f>
        <v>Qerimi</v>
      </c>
      <c r="L3696" s="76">
        <f>VLOOKUP(Tabelle2[[#This Row],[Artikel]],Produkte!A:H,8)</f>
        <v>0.17</v>
      </c>
    </row>
    <row r="3697" spans="1:12" x14ac:dyDescent="0.2">
      <c r="A3697" s="75" t="s">
        <v>43</v>
      </c>
      <c r="B3697" s="79">
        <v>46162</v>
      </c>
      <c r="C3697" s="89">
        <v>144</v>
      </c>
      <c r="D3697" s="75"/>
      <c r="E3697" s="75"/>
      <c r="F3697" s="75">
        <v>10332</v>
      </c>
      <c r="G3697" s="76" t="str">
        <f>VLOOKUP(Tabelle2[[#This Row],[Kunden Nr.]],KUNDEN!A:B,2,0)</f>
        <v>DARDANIA</v>
      </c>
      <c r="H3697" s="75">
        <v>35125</v>
      </c>
      <c r="I3697" s="76" t="str">
        <f>VLOOKUP(Tabelle2[[#This Row],[Artikel]],Produkte!A:B,2,0)</f>
        <v>M-ONE Sanitar Silikon</v>
      </c>
      <c r="J3697" s="75">
        <v>12</v>
      </c>
      <c r="K3697" s="76" t="str">
        <f>VLOOKUP(Tabelle2[[#This Row],[Kunden Nr.]],KUNDEN!A:G,7)</f>
        <v>Qerimi</v>
      </c>
      <c r="L3697" s="76">
        <f>VLOOKUP(Tabelle2[[#This Row],[Artikel]],Produkte!A:H,8)</f>
        <v>0.17</v>
      </c>
    </row>
    <row r="3698" spans="1:12" x14ac:dyDescent="0.2">
      <c r="A3698" s="75" t="s">
        <v>43</v>
      </c>
      <c r="B3698" s="79">
        <v>46162</v>
      </c>
      <c r="C3698" s="75"/>
      <c r="D3698" s="75"/>
      <c r="E3698" s="75"/>
      <c r="F3698" s="75">
        <v>10332</v>
      </c>
      <c r="G3698" s="76" t="str">
        <f>VLOOKUP(Tabelle2[[#This Row],[Kunden Nr.]],KUNDEN!A:B,2,0)</f>
        <v>DARDANIA</v>
      </c>
      <c r="H3698" s="75">
        <v>35128</v>
      </c>
      <c r="I3698" s="76" t="str">
        <f>VLOOKUP(Tabelle2[[#This Row],[Artikel]],Produkte!A:B,2,0)</f>
        <v>M-ONE Sanitar Silikon</v>
      </c>
      <c r="J3698" s="75">
        <v>24</v>
      </c>
      <c r="K3698" s="76" t="str">
        <f>VLOOKUP(Tabelle2[[#This Row],[Kunden Nr.]],KUNDEN!A:G,7)</f>
        <v>Qerimi</v>
      </c>
      <c r="L3698" s="76">
        <f>VLOOKUP(Tabelle2[[#This Row],[Artikel]],Produkte!A:H,8)</f>
        <v>0.17</v>
      </c>
    </row>
    <row r="3699" spans="1:12" x14ac:dyDescent="0.2">
      <c r="A3699" s="75" t="s">
        <v>41</v>
      </c>
      <c r="B3699" s="79">
        <v>46162</v>
      </c>
      <c r="C3699" s="89">
        <v>48</v>
      </c>
      <c r="D3699" s="75"/>
      <c r="E3699" s="75"/>
      <c r="F3699" s="75">
        <v>10330</v>
      </c>
      <c r="G3699" s="76" t="str">
        <f>VLOOKUP(Tabelle2[[#This Row],[Kunden Nr.]],KUNDEN!A:B,2,0)</f>
        <v>BURIMI</v>
      </c>
      <c r="H3699" s="75">
        <v>35111</v>
      </c>
      <c r="I3699" s="76" t="str">
        <f>VLOOKUP(Tabelle2[[#This Row],[Artikel]],Produkte!A:B,2,0)</f>
        <v>M-ONE Sanitar Silikon</v>
      </c>
      <c r="J3699" s="75">
        <v>12</v>
      </c>
      <c r="K3699" s="76" t="str">
        <f>VLOOKUP(Tabelle2[[#This Row],[Kunden Nr.]],KUNDEN!A:G,7)</f>
        <v>Qerimi</v>
      </c>
      <c r="L3699" s="76">
        <f>VLOOKUP(Tabelle2[[#This Row],[Artikel]],Produkte!A:H,8)</f>
        <v>0.17</v>
      </c>
    </row>
    <row r="3700" spans="1:12" x14ac:dyDescent="0.2">
      <c r="A3700" s="75" t="s">
        <v>415</v>
      </c>
      <c r="B3700" s="79">
        <v>46162</v>
      </c>
      <c r="C3700" s="89">
        <v>96</v>
      </c>
      <c r="D3700" s="75"/>
      <c r="E3700" s="75"/>
      <c r="F3700" s="75">
        <v>10352</v>
      </c>
      <c r="G3700" s="76" t="str">
        <f>VLOOKUP(Tabelle2[[#This Row],[Kunden Nr.]],KUNDEN!A:B,2,0)</f>
        <v>SMIRA</v>
      </c>
      <c r="H3700" s="75">
        <v>35113</v>
      </c>
      <c r="I3700" s="76" t="str">
        <f>VLOOKUP(Tabelle2[[#This Row],[Artikel]],Produkte!A:B,2,0)</f>
        <v>M-ONE Sanitar Silikon</v>
      </c>
      <c r="J3700" s="75">
        <v>12</v>
      </c>
      <c r="K3700" s="76" t="str">
        <f>VLOOKUP(Tabelle2[[#This Row],[Kunden Nr.]],KUNDEN!A:G,7)</f>
        <v>Qerimi</v>
      </c>
      <c r="L3700" s="76">
        <f>VLOOKUP(Tabelle2[[#This Row],[Artikel]],Produkte!A:H,8)</f>
        <v>0.17</v>
      </c>
    </row>
    <row r="3701" spans="1:12" x14ac:dyDescent="0.2">
      <c r="A3701" s="75" t="s">
        <v>415</v>
      </c>
      <c r="B3701" s="79">
        <v>46162</v>
      </c>
      <c r="C3701" s="75"/>
      <c r="D3701" s="75"/>
      <c r="E3701" s="75"/>
      <c r="F3701" s="75">
        <v>10352</v>
      </c>
      <c r="G3701" s="76" t="str">
        <f>VLOOKUP(Tabelle2[[#This Row],[Kunden Nr.]],KUNDEN!A:B,2,0)</f>
        <v>SMIRA</v>
      </c>
      <c r="H3701" s="75">
        <v>35114</v>
      </c>
      <c r="I3701" s="76" t="str">
        <f>VLOOKUP(Tabelle2[[#This Row],[Artikel]],Produkte!A:B,2,0)</f>
        <v>M-ONE Sanitar Silikon</v>
      </c>
      <c r="J3701" s="75">
        <v>12</v>
      </c>
      <c r="K3701" s="76" t="str">
        <f>VLOOKUP(Tabelle2[[#This Row],[Kunden Nr.]],KUNDEN!A:G,7)</f>
        <v>Qerimi</v>
      </c>
      <c r="L3701" s="76">
        <f>VLOOKUP(Tabelle2[[#This Row],[Artikel]],Produkte!A:H,8)</f>
        <v>0.17</v>
      </c>
    </row>
    <row r="3702" spans="1:12" x14ac:dyDescent="0.2">
      <c r="A3702" s="75" t="s">
        <v>413</v>
      </c>
      <c r="B3702" s="79">
        <v>46162</v>
      </c>
      <c r="C3702" s="89">
        <v>192</v>
      </c>
      <c r="D3702" s="75"/>
      <c r="E3702" s="75"/>
      <c r="F3702" s="75">
        <v>10350</v>
      </c>
      <c r="G3702" s="76" t="str">
        <f>VLOOKUP(Tabelle2[[#This Row],[Kunden Nr.]],KUNDEN!A:B,2,0)</f>
        <v>BALLKANI</v>
      </c>
      <c r="H3702" s="75">
        <v>35128</v>
      </c>
      <c r="I3702" s="76" t="str">
        <f>VLOOKUP(Tabelle2[[#This Row],[Artikel]],Produkte!A:B,2,0)</f>
        <v>M-ONE Sanitar Silikon</v>
      </c>
      <c r="J3702" s="75">
        <v>12</v>
      </c>
      <c r="K3702" s="76" t="str">
        <f>VLOOKUP(Tabelle2[[#This Row],[Kunden Nr.]],KUNDEN!A:G,7)</f>
        <v>Qerimi</v>
      </c>
      <c r="L3702" s="76">
        <f>VLOOKUP(Tabelle2[[#This Row],[Artikel]],Produkte!A:H,8)</f>
        <v>0.17</v>
      </c>
    </row>
    <row r="3703" spans="1:12" x14ac:dyDescent="0.2">
      <c r="A3703" s="75" t="s">
        <v>413</v>
      </c>
      <c r="B3703" s="79">
        <v>46162</v>
      </c>
      <c r="C3703" s="75"/>
      <c r="D3703" s="75"/>
      <c r="E3703" s="75"/>
      <c r="F3703" s="75">
        <v>10350</v>
      </c>
      <c r="G3703" s="76" t="str">
        <f>VLOOKUP(Tabelle2[[#This Row],[Kunden Nr.]],KUNDEN!A:B,2,0)</f>
        <v>BALLKANI</v>
      </c>
      <c r="H3703" s="75">
        <v>35121</v>
      </c>
      <c r="I3703" s="76" t="str">
        <f>VLOOKUP(Tabelle2[[#This Row],[Artikel]],Produkte!A:B,2,0)</f>
        <v>M-ONE Sanitar Silikon</v>
      </c>
      <c r="J3703" s="75">
        <v>36</v>
      </c>
      <c r="K3703" s="76" t="str">
        <f>VLOOKUP(Tabelle2[[#This Row],[Kunden Nr.]],KUNDEN!A:G,7)</f>
        <v>Qerimi</v>
      </c>
      <c r="L3703" s="76">
        <f>VLOOKUP(Tabelle2[[#This Row],[Artikel]],Produkte!A:H,8)</f>
        <v>0.17</v>
      </c>
    </row>
    <row r="3704" spans="1:12" x14ac:dyDescent="0.2">
      <c r="A3704" s="75" t="s">
        <v>23</v>
      </c>
      <c r="B3704" s="79">
        <v>46162</v>
      </c>
      <c r="C3704" s="89">
        <v>60</v>
      </c>
      <c r="D3704" s="75"/>
      <c r="E3704" s="75"/>
      <c r="F3704" s="75">
        <v>10317</v>
      </c>
      <c r="G3704" s="76" t="str">
        <f>VLOOKUP(Tabelle2[[#This Row],[Kunden Nr.]],KUNDEN!A:B,2,0)</f>
        <v>BEKA-2</v>
      </c>
      <c r="H3704" s="75">
        <v>50912</v>
      </c>
      <c r="I3704" s="76" t="str">
        <f>VLOOKUP(Tabelle2[[#This Row],[Artikel]],Produkte!A:B,2,0)</f>
        <v>DICHTUNG</v>
      </c>
      <c r="J3704" s="75">
        <v>5</v>
      </c>
      <c r="K3704" s="76" t="str">
        <f>VLOOKUP(Tabelle2[[#This Row],[Kunden Nr.]],KUNDEN!A:G,7)</f>
        <v>Qerimi</v>
      </c>
      <c r="L3704" s="76">
        <f>VLOOKUP(Tabelle2[[#This Row],[Artikel]],Produkte!A:H,8)</f>
        <v>0.2</v>
      </c>
    </row>
    <row r="3705" spans="1:12" x14ac:dyDescent="0.2">
      <c r="A3705" s="75" t="s">
        <v>23</v>
      </c>
      <c r="B3705" s="79">
        <v>46162</v>
      </c>
      <c r="C3705" s="75"/>
      <c r="D3705" s="75"/>
      <c r="E3705" s="75"/>
      <c r="F3705" s="75">
        <v>10317</v>
      </c>
      <c r="G3705" s="76" t="str">
        <f>VLOOKUP(Tabelle2[[#This Row],[Kunden Nr.]],KUNDEN!A:B,2,0)</f>
        <v>BEKA-2</v>
      </c>
      <c r="H3705" s="75">
        <v>54412</v>
      </c>
      <c r="I3705" s="76" t="str">
        <f>VLOOKUP(Tabelle2[[#This Row],[Artikel]],Produkte!A:B,2,0)</f>
        <v>beMAKER Bremsen&amp;Teile Reininger</v>
      </c>
      <c r="J3705" s="75">
        <v>12</v>
      </c>
      <c r="K3705" s="76" t="str">
        <f>VLOOKUP(Tabelle2[[#This Row],[Kunden Nr.]],KUNDEN!A:G,7)</f>
        <v>Qerimi</v>
      </c>
      <c r="L3705" s="76">
        <f>VLOOKUP(Tabelle2[[#This Row],[Artikel]],Produkte!A:H,8)</f>
        <v>0.2</v>
      </c>
    </row>
    <row r="3706" spans="1:12" x14ac:dyDescent="0.2">
      <c r="A3706" s="75" t="s">
        <v>12</v>
      </c>
      <c r="B3706" s="79">
        <v>46162</v>
      </c>
      <c r="C3706" s="89">
        <v>144</v>
      </c>
      <c r="D3706" s="75"/>
      <c r="E3706" s="75"/>
      <c r="F3706" s="75">
        <v>10308</v>
      </c>
      <c r="G3706" s="76" t="str">
        <f>VLOOKUP(Tabelle2[[#This Row],[Kunden Nr.]],KUNDEN!A:B,2,0)</f>
        <v>ERALP</v>
      </c>
      <c r="H3706" s="75">
        <v>35112</v>
      </c>
      <c r="I3706" s="76" t="str">
        <f>VLOOKUP(Tabelle2[[#This Row],[Artikel]],Produkte!A:B,2,0)</f>
        <v>M-ONE Sanitar Silikon</v>
      </c>
      <c r="J3706" s="75">
        <v>12</v>
      </c>
      <c r="K3706" s="76" t="str">
        <f>VLOOKUP(Tabelle2[[#This Row],[Kunden Nr.]],KUNDEN!A:G,7)</f>
        <v>Qerimi</v>
      </c>
      <c r="L3706" s="76">
        <f>VLOOKUP(Tabelle2[[#This Row],[Artikel]],Produkte!A:H,8)</f>
        <v>0.17</v>
      </c>
    </row>
    <row r="3707" spans="1:12" x14ac:dyDescent="0.2">
      <c r="A3707" s="75" t="s">
        <v>12</v>
      </c>
      <c r="B3707" s="79">
        <v>46162</v>
      </c>
      <c r="C3707" s="75"/>
      <c r="D3707" s="75"/>
      <c r="E3707" s="75"/>
      <c r="F3707" s="75">
        <v>10308</v>
      </c>
      <c r="G3707" s="76" t="str">
        <f>VLOOKUP(Tabelle2[[#This Row],[Kunden Nr.]],KUNDEN!A:B,2,0)</f>
        <v>ERALP</v>
      </c>
      <c r="H3707" s="75">
        <v>35113</v>
      </c>
      <c r="I3707" s="76" t="str">
        <f>VLOOKUP(Tabelle2[[#This Row],[Artikel]],Produkte!A:B,2,0)</f>
        <v>M-ONE Sanitar Silikon</v>
      </c>
      <c r="J3707" s="75">
        <v>24</v>
      </c>
      <c r="K3707" s="76" t="str">
        <f>VLOOKUP(Tabelle2[[#This Row],[Kunden Nr.]],KUNDEN!A:G,7)</f>
        <v>Qerimi</v>
      </c>
      <c r="L3707" s="76">
        <f>VLOOKUP(Tabelle2[[#This Row],[Artikel]],Produkte!A:H,8)</f>
        <v>0.17</v>
      </c>
    </row>
    <row r="3708" spans="1:12" x14ac:dyDescent="0.2">
      <c r="A3708" s="75" t="s">
        <v>20</v>
      </c>
      <c r="B3708" s="79">
        <v>46162</v>
      </c>
      <c r="C3708" s="89">
        <v>144</v>
      </c>
      <c r="D3708" s="75"/>
      <c r="E3708" s="75"/>
      <c r="F3708" s="75">
        <v>10313</v>
      </c>
      <c r="G3708" s="76" t="str">
        <f>VLOOKUP(Tabelle2[[#This Row],[Kunden Nr.]],KUNDEN!A:B,2,0)</f>
        <v>FATMIRI</v>
      </c>
      <c r="H3708" s="75">
        <v>35112</v>
      </c>
      <c r="I3708" s="76" t="str">
        <f>VLOOKUP(Tabelle2[[#This Row],[Artikel]],Produkte!A:B,2,0)</f>
        <v>M-ONE Sanitar Silikon</v>
      </c>
      <c r="J3708" s="75">
        <v>12</v>
      </c>
      <c r="K3708" s="76" t="str">
        <f>VLOOKUP(Tabelle2[[#This Row],[Kunden Nr.]],KUNDEN!A:G,7)</f>
        <v>Qerimi</v>
      </c>
      <c r="L3708" s="76">
        <f>VLOOKUP(Tabelle2[[#This Row],[Artikel]],Produkte!A:H,8)</f>
        <v>0.17</v>
      </c>
    </row>
    <row r="3709" spans="1:12" x14ac:dyDescent="0.2">
      <c r="A3709" s="75" t="s">
        <v>20</v>
      </c>
      <c r="B3709" s="79">
        <v>46162</v>
      </c>
      <c r="C3709" s="75"/>
      <c r="D3709" s="75"/>
      <c r="E3709" s="75"/>
      <c r="F3709" s="75">
        <v>10313</v>
      </c>
      <c r="G3709" s="76" t="str">
        <f>VLOOKUP(Tabelle2[[#This Row],[Kunden Nr.]],KUNDEN!A:B,2,0)</f>
        <v>FATMIRI</v>
      </c>
      <c r="H3709" s="75">
        <v>35111</v>
      </c>
      <c r="I3709" s="76" t="str">
        <f>VLOOKUP(Tabelle2[[#This Row],[Artikel]],Produkte!A:B,2,0)</f>
        <v>M-ONE Sanitar Silikon</v>
      </c>
      <c r="J3709" s="75">
        <v>12</v>
      </c>
      <c r="K3709" s="76" t="str">
        <f>VLOOKUP(Tabelle2[[#This Row],[Kunden Nr.]],KUNDEN!A:G,7)</f>
        <v>Qerimi</v>
      </c>
      <c r="L3709" s="76">
        <f>VLOOKUP(Tabelle2[[#This Row],[Artikel]],Produkte!A:H,8)</f>
        <v>0.17</v>
      </c>
    </row>
    <row r="3710" spans="1:12" x14ac:dyDescent="0.2">
      <c r="A3710" s="75" t="s">
        <v>20</v>
      </c>
      <c r="B3710" s="79">
        <v>46162</v>
      </c>
      <c r="C3710" s="75"/>
      <c r="D3710" s="75"/>
      <c r="E3710" s="75"/>
      <c r="F3710" s="75">
        <v>10313</v>
      </c>
      <c r="G3710" s="76" t="str">
        <f>VLOOKUP(Tabelle2[[#This Row],[Kunden Nr.]],KUNDEN!A:B,2,0)</f>
        <v>FATMIRI</v>
      </c>
      <c r="H3710" s="75">
        <v>35113</v>
      </c>
      <c r="I3710" s="76" t="str">
        <f>VLOOKUP(Tabelle2[[#This Row],[Artikel]],Produkte!A:B,2,0)</f>
        <v>M-ONE Sanitar Silikon</v>
      </c>
      <c r="J3710" s="75">
        <v>12</v>
      </c>
      <c r="K3710" s="76" t="str">
        <f>VLOOKUP(Tabelle2[[#This Row],[Kunden Nr.]],KUNDEN!A:G,7)</f>
        <v>Qerimi</v>
      </c>
      <c r="L3710" s="76">
        <f>VLOOKUP(Tabelle2[[#This Row],[Artikel]],Produkte!A:H,8)</f>
        <v>0.17</v>
      </c>
    </row>
    <row r="3711" spans="1:12" x14ac:dyDescent="0.2">
      <c r="A3711" s="75" t="s">
        <v>618</v>
      </c>
      <c r="B3711" s="79">
        <v>46162</v>
      </c>
      <c r="C3711" s="89">
        <v>411</v>
      </c>
      <c r="D3711" s="75"/>
      <c r="E3711" s="75"/>
      <c r="F3711" s="75">
        <v>20307</v>
      </c>
      <c r="G3711" s="76" t="str">
        <f>VLOOKUP(Tabelle2[[#This Row],[Kunden Nr.]],KUNDEN!A:B,2,0)</f>
        <v>CONDOR</v>
      </c>
      <c r="H3711" s="75">
        <v>35110</v>
      </c>
      <c r="I3711" s="76" t="str">
        <f>VLOOKUP(Tabelle2[[#This Row],[Artikel]],Produkte!A:B,2,0)</f>
        <v>M-ONE Sanitar Silikon</v>
      </c>
      <c r="J3711" s="75">
        <v>12</v>
      </c>
      <c r="K3711" s="76" t="str">
        <f>VLOOKUP(Tabelle2[[#This Row],[Kunden Nr.]],KUNDEN!A:G,7)</f>
        <v>Mensuri</v>
      </c>
      <c r="L3711" s="76">
        <f>VLOOKUP(Tabelle2[[#This Row],[Artikel]],Produkte!A:H,8)</f>
        <v>0.17</v>
      </c>
    </row>
    <row r="3712" spans="1:12" x14ac:dyDescent="0.2">
      <c r="A3712" s="75" t="s">
        <v>618</v>
      </c>
      <c r="B3712" s="79">
        <v>46162</v>
      </c>
      <c r="C3712" s="75"/>
      <c r="D3712" s="75"/>
      <c r="E3712" s="75"/>
      <c r="F3712" s="75">
        <v>20307</v>
      </c>
      <c r="G3712" s="76" t="str">
        <f>VLOOKUP(Tabelle2[[#This Row],[Kunden Nr.]],KUNDEN!A:B,2,0)</f>
        <v>CONDOR</v>
      </c>
      <c r="H3712" s="75">
        <v>35113</v>
      </c>
      <c r="I3712" s="76" t="str">
        <f>VLOOKUP(Tabelle2[[#This Row],[Artikel]],Produkte!A:B,2,0)</f>
        <v>M-ONE Sanitar Silikon</v>
      </c>
      <c r="J3712" s="75">
        <v>12</v>
      </c>
      <c r="K3712" s="76" t="str">
        <f>VLOOKUP(Tabelle2[[#This Row],[Kunden Nr.]],KUNDEN!A:G,7)</f>
        <v>Mensuri</v>
      </c>
      <c r="L3712" s="76">
        <f>VLOOKUP(Tabelle2[[#This Row],[Artikel]],Produkte!A:H,8)</f>
        <v>0.17</v>
      </c>
    </row>
    <row r="3713" spans="1:12" x14ac:dyDescent="0.2">
      <c r="A3713" s="75" t="s">
        <v>618</v>
      </c>
      <c r="B3713" s="79">
        <v>46162</v>
      </c>
      <c r="C3713" s="75"/>
      <c r="D3713" s="75"/>
      <c r="E3713" s="75"/>
      <c r="F3713" s="75">
        <v>20307</v>
      </c>
      <c r="G3713" s="76" t="str">
        <f>VLOOKUP(Tabelle2[[#This Row],[Kunden Nr.]],KUNDEN!A:B,2,0)</f>
        <v>CONDOR</v>
      </c>
      <c r="H3713" s="75">
        <v>35125</v>
      </c>
      <c r="I3713" s="76" t="str">
        <f>VLOOKUP(Tabelle2[[#This Row],[Artikel]],Produkte!A:B,2,0)</f>
        <v>M-ONE Sanitar Silikon</v>
      </c>
      <c r="J3713" s="75">
        <v>12</v>
      </c>
      <c r="K3713" s="76" t="str">
        <f>VLOOKUP(Tabelle2[[#This Row],[Kunden Nr.]],KUNDEN!A:G,7)</f>
        <v>Mensuri</v>
      </c>
      <c r="L3713" s="76">
        <f>VLOOKUP(Tabelle2[[#This Row],[Artikel]],Produkte!A:H,8)</f>
        <v>0.17</v>
      </c>
    </row>
    <row r="3714" spans="1:12" x14ac:dyDescent="0.2">
      <c r="A3714" s="75" t="s">
        <v>618</v>
      </c>
      <c r="B3714" s="79">
        <v>46162</v>
      </c>
      <c r="C3714" s="75"/>
      <c r="D3714" s="75"/>
      <c r="E3714" s="75"/>
      <c r="F3714" s="75">
        <v>20307</v>
      </c>
      <c r="G3714" s="76" t="str">
        <f>VLOOKUP(Tabelle2[[#This Row],[Kunden Nr.]],KUNDEN!A:B,2,0)</f>
        <v>CONDOR</v>
      </c>
      <c r="H3714" s="75">
        <v>66701</v>
      </c>
      <c r="I3714" s="76" t="str">
        <f>VLOOKUP(Tabelle2[[#This Row],[Artikel]],Produkte!A:B,2,0)</f>
        <v>PROFIMONT EXTREME</v>
      </c>
      <c r="J3714" s="75">
        <v>24</v>
      </c>
      <c r="K3714" s="76" t="str">
        <f>VLOOKUP(Tabelle2[[#This Row],[Kunden Nr.]],KUNDEN!A:G,7)</f>
        <v>Mensuri</v>
      </c>
      <c r="L3714" s="76">
        <f>VLOOKUP(Tabelle2[[#This Row],[Artikel]],Produkte!A:H,8)</f>
        <v>0.2</v>
      </c>
    </row>
    <row r="3715" spans="1:12" x14ac:dyDescent="0.2">
      <c r="A3715" s="75" t="s">
        <v>618</v>
      </c>
      <c r="B3715" s="79">
        <v>46162</v>
      </c>
      <c r="C3715" s="75"/>
      <c r="D3715" s="75"/>
      <c r="E3715" s="75"/>
      <c r="F3715" s="75">
        <v>20307</v>
      </c>
      <c r="G3715" s="76" t="str">
        <f>VLOOKUP(Tabelle2[[#This Row],[Kunden Nr.]],KUNDEN!A:B,2,0)</f>
        <v>CONDOR</v>
      </c>
      <c r="H3715" s="75">
        <v>51611</v>
      </c>
      <c r="I3715" s="76" t="str">
        <f>VLOOKUP(Tabelle2[[#This Row],[Artikel]],Produkte!A:B,2,0)</f>
        <v>universal akryl</v>
      </c>
      <c r="J3715" s="75">
        <v>36</v>
      </c>
      <c r="K3715" s="76" t="str">
        <f>VLOOKUP(Tabelle2[[#This Row],[Kunden Nr.]],KUNDEN!A:G,7)</f>
        <v>Mensuri</v>
      </c>
      <c r="L3715" s="76">
        <f>VLOOKUP(Tabelle2[[#This Row],[Artikel]],Produkte!A:H,8)</f>
        <v>0.06</v>
      </c>
    </row>
    <row r="3716" spans="1:12" x14ac:dyDescent="0.2">
      <c r="A3716" s="75" t="s">
        <v>618</v>
      </c>
      <c r="B3716" s="79">
        <v>46162</v>
      </c>
      <c r="C3716" s="75"/>
      <c r="D3716" s="75"/>
      <c r="E3716" s="75"/>
      <c r="F3716" s="75">
        <v>20307</v>
      </c>
      <c r="G3716" s="76" t="str">
        <f>VLOOKUP(Tabelle2[[#This Row],[Kunden Nr.]],KUNDEN!A:B,2,0)</f>
        <v>CONDOR</v>
      </c>
      <c r="H3716" s="75">
        <v>51612</v>
      </c>
      <c r="I3716" s="76" t="str">
        <f>VLOOKUP(Tabelle2[[#This Row],[Artikel]],Produkte!A:B,2,0)</f>
        <v>struktural akryl</v>
      </c>
      <c r="J3716" s="75">
        <v>36</v>
      </c>
      <c r="K3716" s="76" t="str">
        <f>VLOOKUP(Tabelle2[[#This Row],[Kunden Nr.]],KUNDEN!A:G,7)</f>
        <v>Mensuri</v>
      </c>
      <c r="L3716" s="76">
        <f>VLOOKUP(Tabelle2[[#This Row],[Artikel]],Produkte!A:H,8)</f>
        <v>0.06</v>
      </c>
    </row>
    <row r="3717" spans="1:12" x14ac:dyDescent="0.2">
      <c r="A3717" s="75" t="s">
        <v>614</v>
      </c>
      <c r="B3717" s="79">
        <v>46162</v>
      </c>
      <c r="C3717" s="89">
        <v>69.599999999999994</v>
      </c>
      <c r="D3717" s="75"/>
      <c r="E3717" s="75"/>
      <c r="F3717" s="75">
        <v>20301</v>
      </c>
      <c r="G3717" s="76" t="str">
        <f>VLOOKUP(Tabelle2[[#This Row],[Kunden Nr.]],KUNDEN!A:B,2,0)</f>
        <v>HAZROLLI</v>
      </c>
      <c r="H3717" s="75">
        <v>66701</v>
      </c>
      <c r="I3717" s="76" t="str">
        <f>VLOOKUP(Tabelle2[[#This Row],[Artikel]],Produkte!A:B,2,0)</f>
        <v>PROFIMONT EXTREME</v>
      </c>
      <c r="J3717" s="75">
        <v>12</v>
      </c>
      <c r="K3717" s="76" t="str">
        <f>VLOOKUP(Tabelle2[[#This Row],[Kunden Nr.]],KUNDEN!A:G,7)</f>
        <v>Mensuri</v>
      </c>
      <c r="L3717" s="76">
        <f>VLOOKUP(Tabelle2[[#This Row],[Artikel]],Produkte!A:H,8)</f>
        <v>0.2</v>
      </c>
    </row>
    <row r="3718" spans="1:12" x14ac:dyDescent="0.2">
      <c r="A3718" s="75" t="s">
        <v>1307</v>
      </c>
      <c r="B3718" s="79">
        <v>46162</v>
      </c>
      <c r="C3718" s="89">
        <v>372</v>
      </c>
      <c r="D3718" s="75"/>
      <c r="E3718" s="75"/>
      <c r="F3718" s="75">
        <v>20321</v>
      </c>
      <c r="G3718" s="76" t="str">
        <f>VLOOKUP(Tabelle2[[#This Row],[Kunden Nr.]],KUNDEN!A:B,2,0)</f>
        <v>BEREQETI</v>
      </c>
      <c r="H3718" s="75">
        <v>35121</v>
      </c>
      <c r="I3718" s="76" t="str">
        <f>VLOOKUP(Tabelle2[[#This Row],[Artikel]],Produkte!A:B,2,0)</f>
        <v>M-ONE Sanitar Silikon</v>
      </c>
      <c r="J3718" s="75">
        <v>24</v>
      </c>
      <c r="K3718" s="76" t="str">
        <f>VLOOKUP(Tabelle2[[#This Row],[Kunden Nr.]],KUNDEN!A:G,7)</f>
        <v>Mensuri</v>
      </c>
      <c r="L3718" s="76">
        <f>VLOOKUP(Tabelle2[[#This Row],[Artikel]],Produkte!A:H,8)</f>
        <v>0.17</v>
      </c>
    </row>
    <row r="3719" spans="1:12" x14ac:dyDescent="0.2">
      <c r="A3719" s="75" t="s">
        <v>1307</v>
      </c>
      <c r="B3719" s="79">
        <v>46162</v>
      </c>
      <c r="C3719" s="75"/>
      <c r="D3719" s="75"/>
      <c r="E3719" s="75"/>
      <c r="F3719" s="75">
        <v>20321</v>
      </c>
      <c r="G3719" s="76" t="str">
        <f>VLOOKUP(Tabelle2[[#This Row],[Kunden Nr.]],KUNDEN!A:B,2,0)</f>
        <v>BEREQETI</v>
      </c>
      <c r="H3719" s="75">
        <v>51612</v>
      </c>
      <c r="I3719" s="76" t="str">
        <f>VLOOKUP(Tabelle2[[#This Row],[Artikel]],Produkte!A:B,2,0)</f>
        <v>struktural akryl</v>
      </c>
      <c r="J3719" s="75">
        <v>120</v>
      </c>
      <c r="K3719" s="76" t="str">
        <f>VLOOKUP(Tabelle2[[#This Row],[Kunden Nr.]],KUNDEN!A:G,7)</f>
        <v>Mensuri</v>
      </c>
      <c r="L3719" s="76">
        <f>VLOOKUP(Tabelle2[[#This Row],[Artikel]],Produkte!A:H,8)</f>
        <v>0.06</v>
      </c>
    </row>
    <row r="3720" spans="1:12" x14ac:dyDescent="0.2">
      <c r="A3720" s="75" t="s">
        <v>617</v>
      </c>
      <c r="B3720" s="79">
        <v>46162</v>
      </c>
      <c r="C3720" s="89">
        <v>96</v>
      </c>
      <c r="D3720" s="75"/>
      <c r="E3720" s="75"/>
      <c r="F3720" s="75">
        <v>20306</v>
      </c>
      <c r="G3720" s="76" t="str">
        <f>VLOOKUP(Tabelle2[[#This Row],[Kunden Nr.]],KUNDEN!A:B,2,0)</f>
        <v>FITIMI</v>
      </c>
      <c r="H3720" s="75">
        <v>35109</v>
      </c>
      <c r="I3720" s="76" t="str">
        <f>VLOOKUP(Tabelle2[[#This Row],[Artikel]],Produkte!A:B,2,0)</f>
        <v>M-ONE Sanitar Silikon</v>
      </c>
      <c r="J3720" s="75">
        <v>12</v>
      </c>
      <c r="K3720" s="76" t="str">
        <f>VLOOKUP(Tabelle2[[#This Row],[Kunden Nr.]],KUNDEN!A:G,7)</f>
        <v>Mensuri</v>
      </c>
      <c r="L3720" s="76">
        <f>VLOOKUP(Tabelle2[[#This Row],[Artikel]],Produkte!A:H,8)</f>
        <v>0.17</v>
      </c>
    </row>
    <row r="3721" spans="1:12" x14ac:dyDescent="0.2">
      <c r="A3721" s="75" t="s">
        <v>617</v>
      </c>
      <c r="B3721" s="79">
        <v>46162</v>
      </c>
      <c r="C3721" s="75"/>
      <c r="D3721" s="75"/>
      <c r="E3721" s="75"/>
      <c r="F3721" s="75">
        <v>20306</v>
      </c>
      <c r="G3721" s="76" t="str">
        <f>VLOOKUP(Tabelle2[[#This Row],[Kunden Nr.]],KUNDEN!A:B,2,0)</f>
        <v>FITIMI</v>
      </c>
      <c r="H3721" s="75">
        <v>35125</v>
      </c>
      <c r="I3721" s="76" t="str">
        <f>VLOOKUP(Tabelle2[[#This Row],[Artikel]],Produkte!A:B,2,0)</f>
        <v>M-ONE Sanitar Silikon</v>
      </c>
      <c r="J3721" s="75">
        <v>12</v>
      </c>
      <c r="K3721" s="76" t="str">
        <f>VLOOKUP(Tabelle2[[#This Row],[Kunden Nr.]],KUNDEN!A:G,7)</f>
        <v>Mensuri</v>
      </c>
      <c r="L3721" s="76">
        <f>VLOOKUP(Tabelle2[[#This Row],[Artikel]],Produkte!A:H,8)</f>
        <v>0.17</v>
      </c>
    </row>
    <row r="3722" spans="1:12" x14ac:dyDescent="0.2">
      <c r="A3722" s="75" t="s">
        <v>623</v>
      </c>
      <c r="B3722" s="79">
        <v>46162</v>
      </c>
      <c r="C3722" s="89">
        <v>75.599999999999994</v>
      </c>
      <c r="D3722" s="75"/>
      <c r="E3722" s="75"/>
      <c r="F3722" s="75">
        <v>20313</v>
      </c>
      <c r="G3722" s="76" t="str">
        <f>VLOOKUP(Tabelle2[[#This Row],[Kunden Nr.]],KUNDEN!A:B,2,0)</f>
        <v>DURGUTI 3</v>
      </c>
      <c r="H3722" s="75">
        <v>35119</v>
      </c>
      <c r="I3722" s="76" t="str">
        <f>VLOOKUP(Tabelle2[[#This Row],[Artikel]],Produkte!A:B,2,0)</f>
        <v>M-ONE Sanitar Silikon</v>
      </c>
      <c r="J3722" s="75">
        <v>12</v>
      </c>
      <c r="K3722" s="76" t="str">
        <f>VLOOKUP(Tabelle2[[#This Row],[Kunden Nr.]],KUNDEN!A:G,7)</f>
        <v>Mensuri</v>
      </c>
      <c r="L3722" s="76">
        <f>VLOOKUP(Tabelle2[[#This Row],[Artikel]],Produkte!A:H,8)</f>
        <v>0.17</v>
      </c>
    </row>
    <row r="3723" spans="1:12" x14ac:dyDescent="0.2">
      <c r="A3723" s="75" t="s">
        <v>623</v>
      </c>
      <c r="B3723" s="79">
        <v>46162</v>
      </c>
      <c r="C3723" s="75"/>
      <c r="D3723" s="75"/>
      <c r="E3723" s="75"/>
      <c r="F3723" s="75">
        <v>20313</v>
      </c>
      <c r="G3723" s="76" t="str">
        <f>VLOOKUP(Tabelle2[[#This Row],[Kunden Nr.]],KUNDEN!A:B,2,0)</f>
        <v>DURGUTI 3</v>
      </c>
      <c r="H3723" s="75">
        <v>51612</v>
      </c>
      <c r="I3723" s="76" t="str">
        <f>VLOOKUP(Tabelle2[[#This Row],[Artikel]],Produkte!A:B,2,0)</f>
        <v>struktural akryl</v>
      </c>
      <c r="J3723" s="75">
        <v>12</v>
      </c>
      <c r="K3723" s="76" t="str">
        <f>VLOOKUP(Tabelle2[[#This Row],[Kunden Nr.]],KUNDEN!A:G,7)</f>
        <v>Mensuri</v>
      </c>
      <c r="L3723" s="76">
        <f>VLOOKUP(Tabelle2[[#This Row],[Artikel]],Produkte!A:H,8)</f>
        <v>0.06</v>
      </c>
    </row>
    <row r="3724" spans="1:12" x14ac:dyDescent="0.2">
      <c r="A3724" s="75" t="s">
        <v>949</v>
      </c>
      <c r="B3724" s="79">
        <v>46162</v>
      </c>
      <c r="C3724" s="89">
        <v>144</v>
      </c>
      <c r="D3724" s="75"/>
      <c r="E3724" s="75"/>
      <c r="F3724" s="75">
        <v>20311</v>
      </c>
      <c r="G3724" s="76" t="str">
        <f>VLOOKUP(Tabelle2[[#This Row],[Kunden Nr.]],KUNDEN!A:B,2,0)</f>
        <v>SOPAJ</v>
      </c>
      <c r="H3724" s="75">
        <v>35110</v>
      </c>
      <c r="I3724" s="76" t="str">
        <f>VLOOKUP(Tabelle2[[#This Row],[Artikel]],Produkte!A:B,2,0)</f>
        <v>M-ONE Sanitar Silikon</v>
      </c>
      <c r="J3724" s="75">
        <v>12</v>
      </c>
      <c r="K3724" s="76" t="str">
        <f>VLOOKUP(Tabelle2[[#This Row],[Kunden Nr.]],KUNDEN!A:G,7)</f>
        <v>Mensuri</v>
      </c>
      <c r="L3724" s="76">
        <f>VLOOKUP(Tabelle2[[#This Row],[Artikel]],Produkte!A:H,8)</f>
        <v>0.17</v>
      </c>
    </row>
    <row r="3725" spans="1:12" x14ac:dyDescent="0.2">
      <c r="A3725" s="75" t="s">
        <v>949</v>
      </c>
      <c r="B3725" s="79">
        <v>46162</v>
      </c>
      <c r="C3725" s="75"/>
      <c r="D3725" s="75"/>
      <c r="E3725" s="75"/>
      <c r="F3725" s="75">
        <v>20311</v>
      </c>
      <c r="G3725" s="76" t="str">
        <f>VLOOKUP(Tabelle2[[#This Row],[Kunden Nr.]],KUNDEN!A:B,2,0)</f>
        <v>SOPAJ</v>
      </c>
      <c r="H3725" s="75">
        <v>35113</v>
      </c>
      <c r="I3725" s="76" t="str">
        <f>VLOOKUP(Tabelle2[[#This Row],[Artikel]],Produkte!A:B,2,0)</f>
        <v>M-ONE Sanitar Silikon</v>
      </c>
      <c r="J3725" s="75">
        <v>12</v>
      </c>
      <c r="K3725" s="76" t="str">
        <f>VLOOKUP(Tabelle2[[#This Row],[Kunden Nr.]],KUNDEN!A:G,7)</f>
        <v>Mensuri</v>
      </c>
      <c r="L3725" s="76">
        <f>VLOOKUP(Tabelle2[[#This Row],[Artikel]],Produkte!A:H,8)</f>
        <v>0.17</v>
      </c>
    </row>
    <row r="3726" spans="1:12" x14ac:dyDescent="0.2">
      <c r="A3726" s="75" t="s">
        <v>949</v>
      </c>
      <c r="B3726" s="79">
        <v>46162</v>
      </c>
      <c r="C3726" s="75"/>
      <c r="D3726" s="75"/>
      <c r="E3726" s="75"/>
      <c r="F3726" s="75">
        <v>20311</v>
      </c>
      <c r="G3726" s="76" t="str">
        <f>VLOOKUP(Tabelle2[[#This Row],[Kunden Nr.]],KUNDEN!A:B,2,0)</f>
        <v>SOPAJ</v>
      </c>
      <c r="H3726" s="75">
        <v>35119</v>
      </c>
      <c r="I3726" s="76" t="str">
        <f>VLOOKUP(Tabelle2[[#This Row],[Artikel]],Produkte!A:B,2,0)</f>
        <v>M-ONE Sanitar Silikon</v>
      </c>
      <c r="J3726" s="75">
        <v>12</v>
      </c>
      <c r="K3726" s="76" t="str">
        <f>VLOOKUP(Tabelle2[[#This Row],[Kunden Nr.]],KUNDEN!A:G,7)</f>
        <v>Mensuri</v>
      </c>
      <c r="L3726" s="76">
        <f>VLOOKUP(Tabelle2[[#This Row],[Artikel]],Produkte!A:H,8)</f>
        <v>0.17</v>
      </c>
    </row>
    <row r="3727" spans="1:12" x14ac:dyDescent="0.2">
      <c r="A3727" s="75" t="s">
        <v>1215</v>
      </c>
      <c r="B3727" s="79">
        <v>46163</v>
      </c>
      <c r="C3727" s="89">
        <v>4</v>
      </c>
      <c r="D3727" s="75"/>
      <c r="E3727" s="75"/>
      <c r="F3727" s="75">
        <v>10429</v>
      </c>
      <c r="G3727" s="76" t="str">
        <f>VLOOKUP(Tabelle2[[#This Row],[Kunden Nr.]],KUNDEN!A:B,2,0)</f>
        <v>SAN KOS</v>
      </c>
      <c r="H3727" s="75">
        <v>35112</v>
      </c>
      <c r="I3727" s="76" t="str">
        <f>VLOOKUP(Tabelle2[[#This Row],[Artikel]],Produkte!A:B,2,0)</f>
        <v>M-ONE Sanitar Silikon</v>
      </c>
      <c r="J3727" s="75">
        <v>1</v>
      </c>
      <c r="K3727" s="76" t="str">
        <f>VLOOKUP(Tabelle2[[#This Row],[Kunden Nr.]],KUNDEN!A:G,7)</f>
        <v>Qerimi</v>
      </c>
      <c r="L3727" s="76">
        <f>VLOOKUP(Tabelle2[[#This Row],[Artikel]],Produkte!A:H,8)</f>
        <v>0.17</v>
      </c>
    </row>
    <row r="3728" spans="1:12" x14ac:dyDescent="0.2">
      <c r="A3728" s="75" t="s">
        <v>1215</v>
      </c>
      <c r="B3728" s="79">
        <v>46163</v>
      </c>
      <c r="C3728" s="75"/>
      <c r="D3728" s="75"/>
      <c r="E3728" s="75"/>
      <c r="F3728" s="75">
        <v>10429</v>
      </c>
      <c r="G3728" s="76" t="str">
        <f>VLOOKUP(Tabelle2[[#This Row],[Kunden Nr.]],KUNDEN!A:B,2,0)</f>
        <v>SAN KOS</v>
      </c>
      <c r="H3728" s="75">
        <v>35113</v>
      </c>
      <c r="I3728" s="76" t="str">
        <f>VLOOKUP(Tabelle2[[#This Row],[Artikel]],Produkte!A:B,2,0)</f>
        <v>M-ONE Sanitar Silikon</v>
      </c>
      <c r="J3728" s="75">
        <v>12</v>
      </c>
      <c r="K3728" s="76" t="str">
        <f>VLOOKUP(Tabelle2[[#This Row],[Kunden Nr.]],KUNDEN!A:G,7)</f>
        <v>Qerimi</v>
      </c>
      <c r="L3728" s="76">
        <f>VLOOKUP(Tabelle2[[#This Row],[Artikel]],Produkte!A:H,8)</f>
        <v>0.17</v>
      </c>
    </row>
    <row r="3729" spans="1:12" x14ac:dyDescent="0.2">
      <c r="A3729" s="75" t="s">
        <v>553</v>
      </c>
      <c r="B3729" s="79">
        <v>46163</v>
      </c>
      <c r="C3729" s="89">
        <v>141.1</v>
      </c>
      <c r="D3729" s="75"/>
      <c r="E3729" s="75"/>
      <c r="F3729" s="75">
        <v>10413</v>
      </c>
      <c r="G3729" s="76" t="str">
        <f>VLOOKUP(Tabelle2[[#This Row],[Kunden Nr.]],KUNDEN!A:B,2,0)</f>
        <v>UNIVERZAL</v>
      </c>
      <c r="H3729" s="75">
        <v>35110</v>
      </c>
      <c r="I3729" s="76" t="str">
        <f>VLOOKUP(Tabelle2[[#This Row],[Artikel]],Produkte!A:B,2,0)</f>
        <v>M-ONE Sanitar Silikon</v>
      </c>
      <c r="J3729" s="75">
        <v>12</v>
      </c>
      <c r="K3729" s="76" t="str">
        <f>VLOOKUP(Tabelle2[[#This Row],[Kunden Nr.]],KUNDEN!A:G,7)</f>
        <v>Qerimi</v>
      </c>
      <c r="L3729" s="76">
        <f>VLOOKUP(Tabelle2[[#This Row],[Artikel]],Produkte!A:H,8)</f>
        <v>0.17</v>
      </c>
    </row>
    <row r="3730" spans="1:12" x14ac:dyDescent="0.2">
      <c r="A3730" s="75" t="s">
        <v>553</v>
      </c>
      <c r="B3730" s="79">
        <v>46163</v>
      </c>
      <c r="C3730" s="75"/>
      <c r="D3730" s="75"/>
      <c r="E3730" s="75"/>
      <c r="F3730" s="75">
        <v>10413</v>
      </c>
      <c r="G3730" s="76" t="str">
        <f>VLOOKUP(Tabelle2[[#This Row],[Kunden Nr.]],KUNDEN!A:B,2,0)</f>
        <v>UNIVERZAL</v>
      </c>
      <c r="H3730" s="75">
        <v>35111</v>
      </c>
      <c r="I3730" s="76" t="str">
        <f>VLOOKUP(Tabelle2[[#This Row],[Artikel]],Produkte!A:B,2,0)</f>
        <v>M-ONE Sanitar Silikon</v>
      </c>
      <c r="J3730" s="75">
        <v>12</v>
      </c>
      <c r="K3730" s="76" t="str">
        <f>VLOOKUP(Tabelle2[[#This Row],[Kunden Nr.]],KUNDEN!A:G,7)</f>
        <v>Qerimi</v>
      </c>
      <c r="L3730" s="76">
        <f>VLOOKUP(Tabelle2[[#This Row],[Artikel]],Produkte!A:H,8)</f>
        <v>0.17</v>
      </c>
    </row>
    <row r="3731" spans="1:12" x14ac:dyDescent="0.2">
      <c r="A3731" s="75" t="s">
        <v>553</v>
      </c>
      <c r="B3731" s="79">
        <v>46163</v>
      </c>
      <c r="C3731" s="75"/>
      <c r="D3731" s="75"/>
      <c r="E3731" s="75"/>
      <c r="F3731" s="75">
        <v>10413</v>
      </c>
      <c r="G3731" s="76" t="str">
        <f>VLOOKUP(Tabelle2[[#This Row],[Kunden Nr.]],KUNDEN!A:B,2,0)</f>
        <v>UNIVERZAL</v>
      </c>
      <c r="H3731" s="75">
        <v>55718</v>
      </c>
      <c r="I3731" s="76" t="str">
        <f>VLOOKUP(Tabelle2[[#This Row],[Artikel]],Produkte!A:B,2,0)</f>
        <v>M ONE MOTORSTART</v>
      </c>
      <c r="J3731" s="75">
        <v>5</v>
      </c>
      <c r="K3731" s="76" t="str">
        <f>VLOOKUP(Tabelle2[[#This Row],[Kunden Nr.]],KUNDEN!A:G,7)</f>
        <v>Qerimi</v>
      </c>
      <c r="L3731" s="76">
        <f>VLOOKUP(Tabelle2[[#This Row],[Artikel]],Produkte!A:H,8)</f>
        <v>0.2</v>
      </c>
    </row>
    <row r="3732" spans="1:12" x14ac:dyDescent="0.2">
      <c r="A3732" s="75" t="s">
        <v>553</v>
      </c>
      <c r="B3732" s="79">
        <v>46163</v>
      </c>
      <c r="C3732" s="75"/>
      <c r="D3732" s="75"/>
      <c r="E3732" s="75"/>
      <c r="F3732" s="75">
        <v>10413</v>
      </c>
      <c r="G3732" s="76" t="str">
        <f>VLOOKUP(Tabelle2[[#This Row],[Kunden Nr.]],KUNDEN!A:B,2,0)</f>
        <v>UNIVERZAL</v>
      </c>
      <c r="H3732" s="75">
        <v>51612</v>
      </c>
      <c r="I3732" s="76" t="str">
        <f>VLOOKUP(Tabelle2[[#This Row],[Artikel]],Produkte!A:B,2,0)</f>
        <v>struktural akryl</v>
      </c>
      <c r="J3732" s="75">
        <v>12</v>
      </c>
      <c r="K3732" s="76" t="str">
        <f>VLOOKUP(Tabelle2[[#This Row],[Kunden Nr.]],KUNDEN!A:G,7)</f>
        <v>Qerimi</v>
      </c>
      <c r="L3732" s="76">
        <f>VLOOKUP(Tabelle2[[#This Row],[Artikel]],Produkte!A:H,8)</f>
        <v>0.06</v>
      </c>
    </row>
    <row r="3733" spans="1:12" x14ac:dyDescent="0.2">
      <c r="A3733" s="75" t="s">
        <v>546</v>
      </c>
      <c r="B3733" s="79">
        <v>46163</v>
      </c>
      <c r="C3733" s="89">
        <v>79.2</v>
      </c>
      <c r="D3733" s="75"/>
      <c r="E3733" s="75"/>
      <c r="F3733" s="75">
        <v>10406</v>
      </c>
      <c r="G3733" s="76" t="str">
        <f>VLOOKUP(Tabelle2[[#This Row],[Kunden Nr.]],KUNDEN!A:B,2,0)</f>
        <v>AGRONI</v>
      </c>
      <c r="H3733" s="75">
        <v>50912</v>
      </c>
      <c r="I3733" s="76" t="str">
        <f>VLOOKUP(Tabelle2[[#This Row],[Artikel]],Produkte!A:B,2,0)</f>
        <v>DICHTUNG</v>
      </c>
      <c r="J3733" s="75">
        <v>6</v>
      </c>
      <c r="K3733" s="76" t="str">
        <f>VLOOKUP(Tabelle2[[#This Row],[Kunden Nr.]],KUNDEN!A:G,7)</f>
        <v>Qerimi</v>
      </c>
      <c r="L3733" s="76">
        <f>VLOOKUP(Tabelle2[[#This Row],[Artikel]],Produkte!A:H,8)</f>
        <v>0.2</v>
      </c>
    </row>
    <row r="3734" spans="1:12" x14ac:dyDescent="0.2">
      <c r="A3734" s="75" t="s">
        <v>546</v>
      </c>
      <c r="B3734" s="79">
        <v>46163</v>
      </c>
      <c r="C3734" s="75"/>
      <c r="D3734" s="75"/>
      <c r="E3734" s="75"/>
      <c r="F3734" s="75">
        <v>10406</v>
      </c>
      <c r="G3734" s="76" t="str">
        <f>VLOOKUP(Tabelle2[[#This Row],[Kunden Nr.]],KUNDEN!A:B,2,0)</f>
        <v>AGRONI</v>
      </c>
      <c r="H3734" s="75">
        <v>56117</v>
      </c>
      <c r="I3734" s="76" t="str">
        <f>VLOOKUP(Tabelle2[[#This Row],[Artikel]],Produkte!A:B,2,0)</f>
        <v>M ONE UBS</v>
      </c>
      <c r="J3734" s="75">
        <v>6</v>
      </c>
      <c r="K3734" s="76" t="str">
        <f>VLOOKUP(Tabelle2[[#This Row],[Kunden Nr.]],KUNDEN!A:G,7)</f>
        <v>Qerimi</v>
      </c>
      <c r="L3734" s="76">
        <f>VLOOKUP(Tabelle2[[#This Row],[Artikel]],Produkte!A:H,8)</f>
        <v>0.2</v>
      </c>
    </row>
    <row r="3735" spans="1:12" x14ac:dyDescent="0.2">
      <c r="A3735" s="75" t="s">
        <v>546</v>
      </c>
      <c r="B3735" s="79">
        <v>46163</v>
      </c>
      <c r="C3735" s="75"/>
      <c r="D3735" s="75"/>
      <c r="E3735" s="75"/>
      <c r="F3735" s="75">
        <v>10406</v>
      </c>
      <c r="G3735" s="76" t="str">
        <f>VLOOKUP(Tabelle2[[#This Row],[Kunden Nr.]],KUNDEN!A:B,2,0)</f>
        <v>AGRONI</v>
      </c>
      <c r="H3735" s="75">
        <v>49644</v>
      </c>
      <c r="I3735" s="76" t="str">
        <f>VLOOKUP(Tabelle2[[#This Row],[Artikel]],Produkte!A:B,2,0)</f>
        <v>beMAKER Rostlöser</v>
      </c>
      <c r="J3735" s="75">
        <v>6</v>
      </c>
      <c r="K3735" s="76" t="str">
        <f>VLOOKUP(Tabelle2[[#This Row],[Kunden Nr.]],KUNDEN!A:G,7)</f>
        <v>Qerimi</v>
      </c>
      <c r="L3735" s="76">
        <f>VLOOKUP(Tabelle2[[#This Row],[Artikel]],Produkte!A:H,8)</f>
        <v>0.2</v>
      </c>
    </row>
    <row r="3736" spans="1:12" x14ac:dyDescent="0.2">
      <c r="A3736" s="75" t="s">
        <v>550</v>
      </c>
      <c r="B3736" s="79">
        <v>46163</v>
      </c>
      <c r="C3736" s="89">
        <v>96</v>
      </c>
      <c r="D3736" s="75"/>
      <c r="E3736" s="75"/>
      <c r="F3736" s="75">
        <v>10410</v>
      </c>
      <c r="G3736" s="76" t="str">
        <f>VLOOKUP(Tabelle2[[#This Row],[Kunden Nr.]],KUNDEN!A:B,2,0)</f>
        <v>GRANITI</v>
      </c>
      <c r="H3736" s="75">
        <v>35111</v>
      </c>
      <c r="I3736" s="76" t="str">
        <f>VLOOKUP(Tabelle2[[#This Row],[Artikel]],Produkte!A:B,2,0)</f>
        <v>M-ONE Sanitar Silikon</v>
      </c>
      <c r="J3736" s="75">
        <v>12</v>
      </c>
      <c r="K3736" s="76" t="str">
        <f>VLOOKUP(Tabelle2[[#This Row],[Kunden Nr.]],KUNDEN!A:G,7)</f>
        <v>Qerimi</v>
      </c>
      <c r="L3736" s="76">
        <f>VLOOKUP(Tabelle2[[#This Row],[Artikel]],Produkte!A:H,8)</f>
        <v>0.17</v>
      </c>
    </row>
    <row r="3737" spans="1:12" x14ac:dyDescent="0.2">
      <c r="A3737" s="75" t="s">
        <v>550</v>
      </c>
      <c r="B3737" s="79">
        <v>46163</v>
      </c>
      <c r="C3737" s="75"/>
      <c r="D3737" s="75"/>
      <c r="E3737" s="75"/>
      <c r="F3737" s="75">
        <v>10410</v>
      </c>
      <c r="G3737" s="76" t="str">
        <f>VLOOKUP(Tabelle2[[#This Row],[Kunden Nr.]],KUNDEN!A:B,2,0)</f>
        <v>GRANITI</v>
      </c>
      <c r="H3737" s="75">
        <v>35121</v>
      </c>
      <c r="I3737" s="76" t="str">
        <f>VLOOKUP(Tabelle2[[#This Row],[Artikel]],Produkte!A:B,2,0)</f>
        <v>M-ONE Sanitar Silikon</v>
      </c>
      <c r="J3737" s="75">
        <v>12</v>
      </c>
      <c r="K3737" s="76" t="str">
        <f>VLOOKUP(Tabelle2[[#This Row],[Kunden Nr.]],KUNDEN!A:G,7)</f>
        <v>Qerimi</v>
      </c>
      <c r="L3737" s="76">
        <f>VLOOKUP(Tabelle2[[#This Row],[Artikel]],Produkte!A:H,8)</f>
        <v>0.17</v>
      </c>
    </row>
    <row r="3738" spans="1:12" x14ac:dyDescent="0.2">
      <c r="A3738" s="75" t="s">
        <v>552</v>
      </c>
      <c r="B3738" s="79">
        <v>46163</v>
      </c>
      <c r="C3738" s="89">
        <v>96</v>
      </c>
      <c r="D3738" s="75"/>
      <c r="E3738" s="75"/>
      <c r="F3738" s="75">
        <v>10412</v>
      </c>
      <c r="G3738" s="76" t="str">
        <f>VLOOKUP(Tabelle2[[#This Row],[Kunden Nr.]],KUNDEN!A:B,2,0)</f>
        <v>VISARI HH</v>
      </c>
      <c r="H3738" s="75">
        <v>35121</v>
      </c>
      <c r="I3738" s="76" t="str">
        <f>VLOOKUP(Tabelle2[[#This Row],[Artikel]],Produkte!A:B,2,0)</f>
        <v>M-ONE Sanitar Silikon</v>
      </c>
      <c r="J3738" s="75">
        <v>12</v>
      </c>
      <c r="K3738" s="76" t="str">
        <f>VLOOKUP(Tabelle2[[#This Row],[Kunden Nr.]],KUNDEN!A:G,7)</f>
        <v>Qerimi</v>
      </c>
      <c r="L3738" s="76">
        <f>VLOOKUP(Tabelle2[[#This Row],[Artikel]],Produkte!A:H,8)</f>
        <v>0.17</v>
      </c>
    </row>
    <row r="3739" spans="1:12" x14ac:dyDescent="0.2">
      <c r="A3739" s="75" t="s">
        <v>552</v>
      </c>
      <c r="B3739" s="79">
        <v>46163</v>
      </c>
      <c r="C3739" s="75"/>
      <c r="D3739" s="75"/>
      <c r="E3739" s="75"/>
      <c r="F3739" s="75">
        <v>10412</v>
      </c>
      <c r="G3739" s="76" t="str">
        <f>VLOOKUP(Tabelle2[[#This Row],[Kunden Nr.]],KUNDEN!A:B,2,0)</f>
        <v>VISARI HH</v>
      </c>
      <c r="H3739" s="75">
        <v>35110</v>
      </c>
      <c r="I3739" s="76" t="str">
        <f>VLOOKUP(Tabelle2[[#This Row],[Artikel]],Produkte!A:B,2,0)</f>
        <v>M-ONE Sanitar Silikon</v>
      </c>
      <c r="J3739" s="75">
        <v>12</v>
      </c>
      <c r="K3739" s="76" t="str">
        <f>VLOOKUP(Tabelle2[[#This Row],[Kunden Nr.]],KUNDEN!A:G,7)</f>
        <v>Qerimi</v>
      </c>
      <c r="L3739" s="76">
        <f>VLOOKUP(Tabelle2[[#This Row],[Artikel]],Produkte!A:H,8)</f>
        <v>0.17</v>
      </c>
    </row>
    <row r="3740" spans="1:12" x14ac:dyDescent="0.2">
      <c r="A3740" s="75" t="s">
        <v>903</v>
      </c>
      <c r="B3740" s="79">
        <v>46163</v>
      </c>
      <c r="C3740" s="89">
        <v>48</v>
      </c>
      <c r="D3740" s="75"/>
      <c r="E3740" s="75"/>
      <c r="F3740" s="75">
        <v>10428</v>
      </c>
      <c r="G3740" s="76" t="str">
        <f>VLOOKUP(Tabelle2[[#This Row],[Kunden Nr.]],KUNDEN!A:B,2,0)</f>
        <v>ENISI - H</v>
      </c>
      <c r="H3740" s="75">
        <v>35111</v>
      </c>
      <c r="I3740" s="76" t="str">
        <f>VLOOKUP(Tabelle2[[#This Row],[Artikel]],Produkte!A:B,2,0)</f>
        <v>M-ONE Sanitar Silikon</v>
      </c>
      <c r="J3740" s="75">
        <v>12</v>
      </c>
      <c r="K3740" s="76" t="str">
        <f>VLOOKUP(Tabelle2[[#This Row],[Kunden Nr.]],KUNDEN!A:G,7)</f>
        <v>Qerimi</v>
      </c>
      <c r="L3740" s="76">
        <f>VLOOKUP(Tabelle2[[#This Row],[Artikel]],Produkte!A:H,8)</f>
        <v>0.17</v>
      </c>
    </row>
    <row r="3741" spans="1:12" x14ac:dyDescent="0.2">
      <c r="A3741" s="75" t="s">
        <v>482</v>
      </c>
      <c r="B3741" s="79">
        <v>46164</v>
      </c>
      <c r="C3741" s="89">
        <v>52</v>
      </c>
      <c r="D3741" s="75"/>
      <c r="E3741" s="75"/>
      <c r="F3741" s="75">
        <v>10502</v>
      </c>
      <c r="G3741" s="76" t="str">
        <f>VLOOKUP(Tabelle2[[#This Row],[Kunden Nr.]],KUNDEN!A:B,2,0)</f>
        <v>PROCOM</v>
      </c>
      <c r="H3741" s="75">
        <v>50912</v>
      </c>
      <c r="I3741" s="76" t="str">
        <f>VLOOKUP(Tabelle2[[#This Row],[Artikel]],Produkte!A:B,2,0)</f>
        <v>DICHTUNG</v>
      </c>
      <c r="J3741" s="75">
        <v>3</v>
      </c>
      <c r="K3741" s="76" t="str">
        <f>VLOOKUP(Tabelle2[[#This Row],[Kunden Nr.]],KUNDEN!A:G,7)</f>
        <v>Qerimi</v>
      </c>
      <c r="L3741" s="76">
        <f>VLOOKUP(Tabelle2[[#This Row],[Artikel]],Produkte!A:H,8)</f>
        <v>0.2</v>
      </c>
    </row>
    <row r="3742" spans="1:12" x14ac:dyDescent="0.2">
      <c r="A3742" s="75" t="s">
        <v>482</v>
      </c>
      <c r="B3742" s="79">
        <v>46164</v>
      </c>
      <c r="C3742" s="75"/>
      <c r="D3742" s="75"/>
      <c r="E3742" s="75"/>
      <c r="F3742" s="75">
        <v>10502</v>
      </c>
      <c r="G3742" s="76" t="str">
        <f>VLOOKUP(Tabelle2[[#This Row],[Kunden Nr.]],KUNDEN!A:B,2,0)</f>
        <v>PROCOM</v>
      </c>
      <c r="H3742" s="75">
        <v>35113</v>
      </c>
      <c r="I3742" s="76" t="str">
        <f>VLOOKUP(Tabelle2[[#This Row],[Artikel]],Produkte!A:B,2,0)</f>
        <v>M-ONE Sanitar Silikon</v>
      </c>
      <c r="J3742" s="75">
        <v>7</v>
      </c>
      <c r="K3742" s="76" t="str">
        <f>VLOOKUP(Tabelle2[[#This Row],[Kunden Nr.]],KUNDEN!A:G,7)</f>
        <v>Qerimi</v>
      </c>
      <c r="L3742" s="76">
        <f>VLOOKUP(Tabelle2[[#This Row],[Artikel]],Produkte!A:H,8)</f>
        <v>0.17</v>
      </c>
    </row>
    <row r="3743" spans="1:12" x14ac:dyDescent="0.2">
      <c r="A3743" s="75" t="s">
        <v>482</v>
      </c>
      <c r="B3743" s="79">
        <v>46164</v>
      </c>
      <c r="C3743" s="75"/>
      <c r="D3743" s="75"/>
      <c r="E3743" s="75"/>
      <c r="F3743" s="75">
        <v>10502</v>
      </c>
      <c r="G3743" s="76" t="str">
        <f>VLOOKUP(Tabelle2[[#This Row],[Kunden Nr.]],KUNDEN!A:B,2,0)</f>
        <v>PROCOM</v>
      </c>
      <c r="H3743" s="75">
        <v>35113</v>
      </c>
      <c r="I3743" s="76" t="str">
        <f>VLOOKUP(Tabelle2[[#This Row],[Artikel]],Produkte!A:B,2,0)</f>
        <v>M-ONE Sanitar Silikon</v>
      </c>
      <c r="J3743" s="75">
        <v>5</v>
      </c>
      <c r="K3743" s="76" t="str">
        <f>VLOOKUP(Tabelle2[[#This Row],[Kunden Nr.]],KUNDEN!A:G,7)</f>
        <v>Qerimi</v>
      </c>
      <c r="L3743" s="76">
        <f>VLOOKUP(Tabelle2[[#This Row],[Artikel]],Produkte!A:H,8)</f>
        <v>0.17</v>
      </c>
    </row>
    <row r="3744" spans="1:12" x14ac:dyDescent="0.2">
      <c r="A3744" s="75" t="s">
        <v>482</v>
      </c>
      <c r="B3744" s="79">
        <v>46164</v>
      </c>
      <c r="C3744" s="75"/>
      <c r="D3744" s="75"/>
      <c r="E3744" s="75"/>
      <c r="F3744" s="75">
        <v>10502</v>
      </c>
      <c r="G3744" s="76" t="str">
        <f>VLOOKUP(Tabelle2[[#This Row],[Kunden Nr.]],KUNDEN!A:B,2,0)</f>
        <v>PROCOM</v>
      </c>
      <c r="H3744" s="75">
        <v>35121</v>
      </c>
      <c r="I3744" s="76" t="str">
        <f>VLOOKUP(Tabelle2[[#This Row],[Artikel]],Produkte!A:B,2,0)</f>
        <v>M-ONE Sanitar Silikon</v>
      </c>
      <c r="J3744" s="75">
        <v>12</v>
      </c>
      <c r="K3744" s="76" t="str">
        <f>VLOOKUP(Tabelle2[[#This Row],[Kunden Nr.]],KUNDEN!A:G,7)</f>
        <v>Qerimi</v>
      </c>
      <c r="L3744" s="76">
        <f>VLOOKUP(Tabelle2[[#This Row],[Artikel]],Produkte!A:H,8)</f>
        <v>0.17</v>
      </c>
    </row>
    <row r="3745" spans="1:12" x14ac:dyDescent="0.2">
      <c r="A3745" s="75" t="s">
        <v>38</v>
      </c>
      <c r="B3745" s="79">
        <v>46164</v>
      </c>
      <c r="C3745" s="89">
        <v>48</v>
      </c>
      <c r="D3745" s="75"/>
      <c r="E3745" s="75"/>
      <c r="F3745" s="75">
        <v>10539</v>
      </c>
      <c r="G3745" s="76" t="str">
        <f>VLOOKUP(Tabelle2[[#This Row],[Kunden Nr.]],KUNDEN!A:B,2,0)</f>
        <v>BEKA</v>
      </c>
      <c r="H3745" s="75">
        <v>35110</v>
      </c>
      <c r="I3745" s="76" t="str">
        <f>VLOOKUP(Tabelle2[[#This Row],[Artikel]],Produkte!A:B,2,0)</f>
        <v>M-ONE Sanitar Silikon</v>
      </c>
      <c r="J3745" s="75">
        <v>12</v>
      </c>
      <c r="K3745" s="76" t="str">
        <f>VLOOKUP(Tabelle2[[#This Row],[Kunden Nr.]],KUNDEN!A:G,7)</f>
        <v>Qerimi</v>
      </c>
      <c r="L3745" s="76">
        <f>VLOOKUP(Tabelle2[[#This Row],[Artikel]],Produkte!A:H,8)</f>
        <v>0.17</v>
      </c>
    </row>
    <row r="3746" spans="1:12" x14ac:dyDescent="0.2">
      <c r="A3746" s="75" t="s">
        <v>487</v>
      </c>
      <c r="B3746" s="79">
        <v>46164</v>
      </c>
      <c r="C3746" s="89">
        <v>96</v>
      </c>
      <c r="D3746" s="75"/>
      <c r="E3746" s="75"/>
      <c r="F3746" s="75">
        <v>10507</v>
      </c>
      <c r="G3746" s="76" t="str">
        <f>VLOOKUP(Tabelle2[[#This Row],[Kunden Nr.]],KUNDEN!A:B,2,0)</f>
        <v>REAL COLOR 2</v>
      </c>
      <c r="H3746" s="75">
        <v>35109</v>
      </c>
      <c r="I3746" s="76" t="str">
        <f>VLOOKUP(Tabelle2[[#This Row],[Artikel]],Produkte!A:B,2,0)</f>
        <v>M-ONE Sanitar Silikon</v>
      </c>
      <c r="J3746" s="75">
        <v>12</v>
      </c>
      <c r="K3746" s="76" t="str">
        <f>VLOOKUP(Tabelle2[[#This Row],[Kunden Nr.]],KUNDEN!A:G,7)</f>
        <v>Qerimi</v>
      </c>
      <c r="L3746" s="76">
        <f>VLOOKUP(Tabelle2[[#This Row],[Artikel]],Produkte!A:H,8)</f>
        <v>0.17</v>
      </c>
    </row>
    <row r="3747" spans="1:12" x14ac:dyDescent="0.2">
      <c r="A3747" s="75" t="s">
        <v>487</v>
      </c>
      <c r="B3747" s="79">
        <v>46164</v>
      </c>
      <c r="C3747" s="75"/>
      <c r="D3747" s="75"/>
      <c r="E3747" s="75"/>
      <c r="F3747" s="75">
        <v>10507</v>
      </c>
      <c r="G3747" s="76" t="str">
        <f>VLOOKUP(Tabelle2[[#This Row],[Kunden Nr.]],KUNDEN!A:B,2,0)</f>
        <v>REAL COLOR 2</v>
      </c>
      <c r="H3747" s="75">
        <v>35115</v>
      </c>
      <c r="I3747" s="76" t="str">
        <f>VLOOKUP(Tabelle2[[#This Row],[Artikel]],Produkte!A:B,2,0)</f>
        <v>M-ONE Sanitar Silikon</v>
      </c>
      <c r="J3747" s="75">
        <v>12</v>
      </c>
      <c r="K3747" s="76" t="str">
        <f>VLOOKUP(Tabelle2[[#This Row],[Kunden Nr.]],KUNDEN!A:G,7)</f>
        <v>Qerimi</v>
      </c>
      <c r="L3747" s="76">
        <f>VLOOKUP(Tabelle2[[#This Row],[Artikel]],Produkte!A:H,8)</f>
        <v>0.17</v>
      </c>
    </row>
    <row r="3748" spans="1:12" x14ac:dyDescent="0.2">
      <c r="A3748" s="75" t="s">
        <v>491</v>
      </c>
      <c r="B3748" s="79">
        <v>46164</v>
      </c>
      <c r="C3748" s="89">
        <v>48</v>
      </c>
      <c r="D3748" s="75"/>
      <c r="E3748" s="75"/>
      <c r="F3748" s="75">
        <v>10508</v>
      </c>
      <c r="G3748" s="76" t="str">
        <f>VLOOKUP(Tabelle2[[#This Row],[Kunden Nr.]],KUNDEN!A:B,2,0)</f>
        <v>CARRALEVA 2</v>
      </c>
      <c r="H3748" s="75">
        <v>35128</v>
      </c>
      <c r="I3748" s="76" t="str">
        <f>VLOOKUP(Tabelle2[[#This Row],[Artikel]],Produkte!A:B,2,0)</f>
        <v>M-ONE Sanitar Silikon</v>
      </c>
      <c r="J3748" s="75">
        <v>12</v>
      </c>
      <c r="K3748" s="76" t="str">
        <f>VLOOKUP(Tabelle2[[#This Row],[Kunden Nr.]],KUNDEN!A:G,7)</f>
        <v>Qerimi</v>
      </c>
      <c r="L3748" s="76">
        <f>VLOOKUP(Tabelle2[[#This Row],[Artikel]],Produkte!A:H,8)</f>
        <v>0.17</v>
      </c>
    </row>
    <row r="3749" spans="1:12" x14ac:dyDescent="0.2">
      <c r="A3749" s="75" t="s">
        <v>435</v>
      </c>
      <c r="B3749" s="79">
        <v>46164</v>
      </c>
      <c r="C3749" s="89">
        <v>63.5</v>
      </c>
      <c r="D3749" s="75"/>
      <c r="E3749" s="75"/>
      <c r="F3749" s="75">
        <v>10509</v>
      </c>
      <c r="G3749" s="76" t="str">
        <f>VLOOKUP(Tabelle2[[#This Row],[Kunden Nr.]],KUNDEN!A:B,2,0)</f>
        <v>LONI</v>
      </c>
      <c r="H3749" s="75">
        <v>44001</v>
      </c>
      <c r="I3749" s="76" t="str">
        <f>VLOOKUP(Tabelle2[[#This Row],[Artikel]],Produkte!A:B,2,0)</f>
        <v>Fettspray</v>
      </c>
      <c r="J3749" s="75">
        <v>5</v>
      </c>
      <c r="K3749" s="76" t="str">
        <f>VLOOKUP(Tabelle2[[#This Row],[Kunden Nr.]],KUNDEN!A:G,7)</f>
        <v>Qerimi</v>
      </c>
      <c r="L3749" s="76">
        <f>VLOOKUP(Tabelle2[[#This Row],[Artikel]],Produkte!A:H,8)</f>
        <v>0.2</v>
      </c>
    </row>
    <row r="3750" spans="1:12" x14ac:dyDescent="0.2">
      <c r="A3750" s="75" t="s">
        <v>435</v>
      </c>
      <c r="B3750" s="79">
        <v>46164</v>
      </c>
      <c r="C3750" s="75"/>
      <c r="D3750" s="75"/>
      <c r="E3750" s="75"/>
      <c r="F3750" s="75">
        <v>10509</v>
      </c>
      <c r="G3750" s="76" t="str">
        <f>VLOOKUP(Tabelle2[[#This Row],[Kunden Nr.]],KUNDEN!A:B,2,0)</f>
        <v>LONI</v>
      </c>
      <c r="H3750" s="75">
        <v>49644</v>
      </c>
      <c r="I3750" s="76" t="str">
        <f>VLOOKUP(Tabelle2[[#This Row],[Artikel]],Produkte!A:B,2,0)</f>
        <v>beMAKER Rostlöser</v>
      </c>
      <c r="J3750" s="75">
        <v>5</v>
      </c>
      <c r="K3750" s="76" t="str">
        <f>VLOOKUP(Tabelle2[[#This Row],[Kunden Nr.]],KUNDEN!A:G,7)</f>
        <v>Qerimi</v>
      </c>
      <c r="L3750" s="76">
        <f>VLOOKUP(Tabelle2[[#This Row],[Artikel]],Produkte!A:H,8)</f>
        <v>0.2</v>
      </c>
    </row>
    <row r="3751" spans="1:12" x14ac:dyDescent="0.2">
      <c r="A3751" s="75" t="s">
        <v>435</v>
      </c>
      <c r="B3751" s="79">
        <v>46164</v>
      </c>
      <c r="C3751" s="75"/>
      <c r="D3751" s="75"/>
      <c r="E3751" s="75"/>
      <c r="F3751" s="75">
        <v>10509</v>
      </c>
      <c r="G3751" s="76" t="str">
        <f>VLOOKUP(Tabelle2[[#This Row],[Kunden Nr.]],KUNDEN!A:B,2,0)</f>
        <v>LONI</v>
      </c>
      <c r="H3751" s="75">
        <v>50912</v>
      </c>
      <c r="I3751" s="76" t="str">
        <f>VLOOKUP(Tabelle2[[#This Row],[Artikel]],Produkte!A:B,2,0)</f>
        <v>DICHTUNG</v>
      </c>
      <c r="J3751" s="75">
        <v>5</v>
      </c>
      <c r="K3751" s="76" t="str">
        <f>VLOOKUP(Tabelle2[[#This Row],[Kunden Nr.]],KUNDEN!A:G,7)</f>
        <v>Qerimi</v>
      </c>
      <c r="L3751" s="76">
        <f>VLOOKUP(Tabelle2[[#This Row],[Artikel]],Produkte!A:H,8)</f>
        <v>0.2</v>
      </c>
    </row>
    <row r="3752" spans="1:12" x14ac:dyDescent="0.2">
      <c r="A3752" s="75" t="s">
        <v>484</v>
      </c>
      <c r="B3752" s="79">
        <v>46164</v>
      </c>
      <c r="C3752" s="89">
        <v>96</v>
      </c>
      <c r="D3752" s="75"/>
      <c r="E3752" s="75"/>
      <c r="F3752" s="75">
        <v>10504</v>
      </c>
      <c r="G3752" s="76" t="str">
        <f>VLOOKUP(Tabelle2[[#This Row],[Kunden Nr.]],KUNDEN!A:B,2,0)</f>
        <v>CARRALEVA 1</v>
      </c>
      <c r="H3752" s="75">
        <v>35115</v>
      </c>
      <c r="I3752" s="76" t="str">
        <f>VLOOKUP(Tabelle2[[#This Row],[Artikel]],Produkte!A:B,2,0)</f>
        <v>M-ONE Sanitar Silikon</v>
      </c>
      <c r="J3752" s="75">
        <v>12</v>
      </c>
      <c r="K3752" s="76" t="str">
        <f>VLOOKUP(Tabelle2[[#This Row],[Kunden Nr.]],KUNDEN!A:G,7)</f>
        <v>Qerimi</v>
      </c>
      <c r="L3752" s="76">
        <f>VLOOKUP(Tabelle2[[#This Row],[Artikel]],Produkte!A:H,8)</f>
        <v>0.17</v>
      </c>
    </row>
    <row r="3753" spans="1:12" x14ac:dyDescent="0.2">
      <c r="A3753" s="75" t="s">
        <v>484</v>
      </c>
      <c r="B3753" s="79">
        <v>46164</v>
      </c>
      <c r="C3753" s="75"/>
      <c r="D3753" s="75"/>
      <c r="E3753" s="75"/>
      <c r="F3753" s="75">
        <v>10504</v>
      </c>
      <c r="G3753" s="76" t="str">
        <f>VLOOKUP(Tabelle2[[#This Row],[Kunden Nr.]],KUNDEN!A:B,2,0)</f>
        <v>CARRALEVA 1</v>
      </c>
      <c r="H3753" s="75">
        <v>35109</v>
      </c>
      <c r="I3753" s="76" t="str">
        <f>VLOOKUP(Tabelle2[[#This Row],[Artikel]],Produkte!A:B,2,0)</f>
        <v>M-ONE Sanitar Silikon</v>
      </c>
      <c r="J3753" s="75">
        <v>12</v>
      </c>
      <c r="K3753" s="76" t="str">
        <f>VLOOKUP(Tabelle2[[#This Row],[Kunden Nr.]],KUNDEN!A:G,7)</f>
        <v>Qerimi</v>
      </c>
      <c r="L3753" s="76">
        <f>VLOOKUP(Tabelle2[[#This Row],[Artikel]],Produkte!A:H,8)</f>
        <v>0.17</v>
      </c>
    </row>
    <row r="3754" spans="1:12" x14ac:dyDescent="0.2">
      <c r="A3754" s="75" t="s">
        <v>666</v>
      </c>
      <c r="B3754" s="79">
        <v>46164</v>
      </c>
      <c r="C3754" s="89">
        <v>92</v>
      </c>
      <c r="D3754" s="75"/>
      <c r="E3754" s="75"/>
      <c r="F3754" s="75">
        <v>10529</v>
      </c>
      <c r="G3754" s="76" t="str">
        <f>VLOOKUP(Tabelle2[[#This Row],[Kunden Nr.]],KUNDEN!A:B,2,0)</f>
        <v>ARDI LIPJAN</v>
      </c>
      <c r="H3754" s="75">
        <v>49644</v>
      </c>
      <c r="I3754" s="76" t="str">
        <f>VLOOKUP(Tabelle2[[#This Row],[Artikel]],Produkte!A:B,2,0)</f>
        <v>beMAKER Rostlöser</v>
      </c>
      <c r="J3754" s="75">
        <v>10</v>
      </c>
      <c r="K3754" s="76" t="str">
        <f>VLOOKUP(Tabelle2[[#This Row],[Kunden Nr.]],KUNDEN!A:G,7)</f>
        <v>Qerimi</v>
      </c>
      <c r="L3754" s="76">
        <f>VLOOKUP(Tabelle2[[#This Row],[Artikel]],Produkte!A:H,8)</f>
        <v>0.2</v>
      </c>
    </row>
    <row r="3755" spans="1:12" x14ac:dyDescent="0.2">
      <c r="A3755" s="75" t="s">
        <v>666</v>
      </c>
      <c r="B3755" s="79">
        <v>46164</v>
      </c>
      <c r="C3755" s="75"/>
      <c r="D3755" s="75"/>
      <c r="E3755" s="75"/>
      <c r="F3755" s="75">
        <v>10529</v>
      </c>
      <c r="G3755" s="76" t="str">
        <f>VLOOKUP(Tabelle2[[#This Row],[Kunden Nr.]],KUNDEN!A:B,2,0)</f>
        <v>ARDI LIPJAN</v>
      </c>
      <c r="H3755" s="75">
        <v>50912</v>
      </c>
      <c r="I3755" s="76" t="str">
        <f>VLOOKUP(Tabelle2[[#This Row],[Artikel]],Produkte!A:B,2,0)</f>
        <v>DICHTUNG</v>
      </c>
      <c r="J3755" s="75">
        <v>10</v>
      </c>
      <c r="K3755" s="76" t="str">
        <f>VLOOKUP(Tabelle2[[#This Row],[Kunden Nr.]],KUNDEN!A:G,7)</f>
        <v>Qerimi</v>
      </c>
      <c r="L3755" s="76">
        <f>VLOOKUP(Tabelle2[[#This Row],[Artikel]],Produkte!A:H,8)</f>
        <v>0.2</v>
      </c>
    </row>
    <row r="3756" spans="1:12" x14ac:dyDescent="0.2">
      <c r="A3756" s="75" t="s">
        <v>507</v>
      </c>
      <c r="B3756" s="79">
        <v>46164</v>
      </c>
      <c r="C3756" s="89">
        <v>53</v>
      </c>
      <c r="D3756" s="75"/>
      <c r="E3756" s="75"/>
      <c r="F3756" s="75">
        <v>10528</v>
      </c>
      <c r="G3756" s="76" t="str">
        <f>VLOOKUP(Tabelle2[[#This Row],[Kunden Nr.]],KUNDEN!A:B,2,0)</f>
        <v>TE RAMIZI</v>
      </c>
      <c r="H3756" s="75">
        <v>35121</v>
      </c>
      <c r="I3756" s="76" t="str">
        <f>VLOOKUP(Tabelle2[[#This Row],[Artikel]],Produkte!A:B,2,0)</f>
        <v>M-ONE Sanitar Silikon</v>
      </c>
      <c r="J3756" s="75">
        <v>12</v>
      </c>
      <c r="K3756" s="76" t="str">
        <f>VLOOKUP(Tabelle2[[#This Row],[Kunden Nr.]],KUNDEN!A:G,7)</f>
        <v>Qerimi</v>
      </c>
      <c r="L3756" s="76">
        <f>VLOOKUP(Tabelle2[[#This Row],[Artikel]],Produkte!A:H,8)</f>
        <v>0.17</v>
      </c>
    </row>
    <row r="3757" spans="1:12" x14ac:dyDescent="0.2">
      <c r="A3757" s="75" t="s">
        <v>507</v>
      </c>
      <c r="B3757" s="79">
        <v>46164</v>
      </c>
      <c r="C3757" s="75"/>
      <c r="D3757" s="75"/>
      <c r="E3757" s="75"/>
      <c r="F3757" s="75">
        <v>10528</v>
      </c>
      <c r="G3757" s="76" t="str">
        <f>VLOOKUP(Tabelle2[[#This Row],[Kunden Nr.]],KUNDEN!A:B,2,0)</f>
        <v>TE RAMIZI</v>
      </c>
      <c r="H3757" s="75">
        <v>31819</v>
      </c>
      <c r="I3757" s="76" t="str">
        <f>VLOOKUP(Tabelle2[[#This Row],[Artikel]],Produkte!A:B,2,0)</f>
        <v>M ONE FUERROT</v>
      </c>
      <c r="J3757" s="75">
        <v>2</v>
      </c>
      <c r="K3757" s="76" t="str">
        <f>VLOOKUP(Tabelle2[[#This Row],[Kunden Nr.]],KUNDEN!A:G,7)</f>
        <v>Qerimi</v>
      </c>
      <c r="L3757" s="76">
        <f>VLOOKUP(Tabelle2[[#This Row],[Artikel]],Produkte!A:H,8)</f>
        <v>0.15</v>
      </c>
    </row>
    <row r="3758" spans="1:12" x14ac:dyDescent="0.2">
      <c r="A3758" s="75" t="s">
        <v>453</v>
      </c>
      <c r="B3758" s="79">
        <v>46164</v>
      </c>
      <c r="C3758" s="89">
        <v>165.6</v>
      </c>
      <c r="D3758" s="75"/>
      <c r="E3758" s="75"/>
      <c r="F3758" s="75">
        <v>20501</v>
      </c>
      <c r="G3758" s="76" t="str">
        <f>VLOOKUP(Tabelle2[[#This Row],[Kunden Nr.]],KUNDEN!A:B,2,0)</f>
        <v>RACI</v>
      </c>
      <c r="H3758" s="75">
        <v>35111</v>
      </c>
      <c r="I3758" s="76" t="str">
        <f>VLOOKUP(Tabelle2[[#This Row],[Artikel]],Produkte!A:B,2,0)</f>
        <v>M-ONE Sanitar Silikon</v>
      </c>
      <c r="J3758" s="75">
        <v>12</v>
      </c>
      <c r="K3758" s="76" t="str">
        <f>VLOOKUP(Tabelle2[[#This Row],[Kunden Nr.]],KUNDEN!A:G,7)</f>
        <v>Mensuri</v>
      </c>
      <c r="L3758" s="76">
        <f>VLOOKUP(Tabelle2[[#This Row],[Artikel]],Produkte!A:H,8)</f>
        <v>0.17</v>
      </c>
    </row>
    <row r="3759" spans="1:12" x14ac:dyDescent="0.2">
      <c r="A3759" s="75" t="s">
        <v>453</v>
      </c>
      <c r="B3759" s="79">
        <v>46164</v>
      </c>
      <c r="C3759" s="75"/>
      <c r="D3759" s="75"/>
      <c r="E3759" s="75"/>
      <c r="F3759" s="75">
        <v>20501</v>
      </c>
      <c r="G3759" s="76" t="str">
        <f>VLOOKUP(Tabelle2[[#This Row],[Kunden Nr.]],KUNDEN!A:B,2,0)</f>
        <v>RACI</v>
      </c>
      <c r="H3759" s="75">
        <v>35125</v>
      </c>
      <c r="I3759" s="76" t="str">
        <f>VLOOKUP(Tabelle2[[#This Row],[Artikel]],Produkte!A:B,2,0)</f>
        <v>M-ONE Sanitar Silikon</v>
      </c>
      <c r="J3759" s="75">
        <v>12</v>
      </c>
      <c r="K3759" s="76" t="str">
        <f>VLOOKUP(Tabelle2[[#This Row],[Kunden Nr.]],KUNDEN!A:G,7)</f>
        <v>Mensuri</v>
      </c>
      <c r="L3759" s="76">
        <f>VLOOKUP(Tabelle2[[#This Row],[Artikel]],Produkte!A:H,8)</f>
        <v>0.17</v>
      </c>
    </row>
    <row r="3760" spans="1:12" x14ac:dyDescent="0.2">
      <c r="A3760" s="75" t="s">
        <v>453</v>
      </c>
      <c r="B3760" s="79">
        <v>46164</v>
      </c>
      <c r="C3760" s="75"/>
      <c r="D3760" s="75"/>
      <c r="E3760" s="75"/>
      <c r="F3760" s="75">
        <v>20501</v>
      </c>
      <c r="G3760" s="76" t="str">
        <f>VLOOKUP(Tabelle2[[#This Row],[Kunden Nr.]],KUNDEN!A:B,2,0)</f>
        <v>RACI</v>
      </c>
      <c r="H3760" s="75">
        <v>66701</v>
      </c>
      <c r="I3760" s="76" t="str">
        <f>VLOOKUP(Tabelle2[[#This Row],[Artikel]],Produkte!A:B,2,0)</f>
        <v>PROFIMONT EXTREME</v>
      </c>
      <c r="J3760" s="75">
        <v>12</v>
      </c>
      <c r="K3760" s="76" t="str">
        <f>VLOOKUP(Tabelle2[[#This Row],[Kunden Nr.]],KUNDEN!A:G,7)</f>
        <v>Mensuri</v>
      </c>
      <c r="L3760" s="76">
        <f>VLOOKUP(Tabelle2[[#This Row],[Artikel]],Produkte!A:H,8)</f>
        <v>0.2</v>
      </c>
    </row>
    <row r="3761" spans="1:12" x14ac:dyDescent="0.2">
      <c r="A3761" s="75" t="s">
        <v>1258</v>
      </c>
      <c r="B3761" s="79">
        <v>46164</v>
      </c>
      <c r="C3761" s="89">
        <v>249.6</v>
      </c>
      <c r="D3761" s="75"/>
      <c r="E3761" s="75"/>
      <c r="F3761" s="75">
        <v>20511</v>
      </c>
      <c r="G3761" s="76" t="str">
        <f>VLOOKUP(Tabelle2[[#This Row],[Kunden Nr.]],KUNDEN!A:B,2,0)</f>
        <v>LIRIDONA KLINE</v>
      </c>
      <c r="H3761" s="75">
        <v>35109</v>
      </c>
      <c r="I3761" s="76" t="str">
        <f>VLOOKUP(Tabelle2[[#This Row],[Artikel]],Produkte!A:B,2,0)</f>
        <v>M-ONE Sanitar Silikon</v>
      </c>
      <c r="J3761" s="75">
        <v>24</v>
      </c>
      <c r="K3761" s="76" t="str">
        <f>VLOOKUP(Tabelle2[[#This Row],[Kunden Nr.]],KUNDEN!A:G,7)</f>
        <v>Mensuri</v>
      </c>
      <c r="L3761" s="76">
        <f>VLOOKUP(Tabelle2[[#This Row],[Artikel]],Produkte!A:H,8)</f>
        <v>0.17</v>
      </c>
    </row>
    <row r="3762" spans="1:12" x14ac:dyDescent="0.2">
      <c r="A3762" s="75" t="s">
        <v>1258</v>
      </c>
      <c r="B3762" s="79">
        <v>46164</v>
      </c>
      <c r="C3762" s="75"/>
      <c r="D3762" s="75"/>
      <c r="E3762" s="75"/>
      <c r="F3762" s="75">
        <v>20511</v>
      </c>
      <c r="G3762" s="76" t="str">
        <f>VLOOKUP(Tabelle2[[#This Row],[Kunden Nr.]],KUNDEN!A:B,2,0)</f>
        <v>LIRIDONA KLINE</v>
      </c>
      <c r="H3762" s="75">
        <v>35110</v>
      </c>
      <c r="I3762" s="76" t="str">
        <f>VLOOKUP(Tabelle2[[#This Row],[Artikel]],Produkte!A:B,2,0)</f>
        <v>M-ONE Sanitar Silikon</v>
      </c>
      <c r="J3762" s="75">
        <v>12</v>
      </c>
      <c r="K3762" s="76" t="str">
        <f>VLOOKUP(Tabelle2[[#This Row],[Kunden Nr.]],KUNDEN!A:G,7)</f>
        <v>Mensuri</v>
      </c>
      <c r="L3762" s="76">
        <f>VLOOKUP(Tabelle2[[#This Row],[Artikel]],Produkte!A:H,8)</f>
        <v>0.17</v>
      </c>
    </row>
    <row r="3763" spans="1:12" x14ac:dyDescent="0.2">
      <c r="A3763" s="75" t="s">
        <v>1258</v>
      </c>
      <c r="B3763" s="79">
        <v>46164</v>
      </c>
      <c r="C3763" s="75"/>
      <c r="D3763" s="75"/>
      <c r="E3763" s="75"/>
      <c r="F3763" s="75">
        <v>20511</v>
      </c>
      <c r="G3763" s="76" t="str">
        <f>VLOOKUP(Tabelle2[[#This Row],[Kunden Nr.]],KUNDEN!A:B,2,0)</f>
        <v>LIRIDONA KLINE</v>
      </c>
      <c r="H3763" s="75">
        <v>35114</v>
      </c>
      <c r="I3763" s="76" t="str">
        <f>VLOOKUP(Tabelle2[[#This Row],[Artikel]],Produkte!A:B,2,0)</f>
        <v>M-ONE Sanitar Silikon</v>
      </c>
      <c r="J3763" s="75">
        <v>12</v>
      </c>
      <c r="K3763" s="76" t="str">
        <f>VLOOKUP(Tabelle2[[#This Row],[Kunden Nr.]],KUNDEN!A:G,7)</f>
        <v>Mensuri</v>
      </c>
      <c r="L3763" s="76">
        <f>VLOOKUP(Tabelle2[[#This Row],[Artikel]],Produkte!A:H,8)</f>
        <v>0.17</v>
      </c>
    </row>
    <row r="3764" spans="1:12" x14ac:dyDescent="0.2">
      <c r="A3764" s="75" t="s">
        <v>1258</v>
      </c>
      <c r="B3764" s="79">
        <v>46164</v>
      </c>
      <c r="C3764" s="75"/>
      <c r="D3764" s="75"/>
      <c r="E3764" s="75"/>
      <c r="F3764" s="75">
        <v>20511</v>
      </c>
      <c r="G3764" s="76" t="str">
        <f>VLOOKUP(Tabelle2[[#This Row],[Kunden Nr.]],KUNDEN!A:B,2,0)</f>
        <v>LIRIDONA KLINE</v>
      </c>
      <c r="H3764" s="75">
        <v>51611</v>
      </c>
      <c r="I3764" s="76" t="str">
        <f>VLOOKUP(Tabelle2[[#This Row],[Artikel]],Produkte!A:B,2,0)</f>
        <v>universal akryl</v>
      </c>
      <c r="J3764" s="75">
        <v>12</v>
      </c>
      <c r="K3764" s="76" t="str">
        <f>VLOOKUP(Tabelle2[[#This Row],[Kunden Nr.]],KUNDEN!A:G,7)</f>
        <v>Mensuri</v>
      </c>
      <c r="L3764" s="76">
        <f>VLOOKUP(Tabelle2[[#This Row],[Artikel]],Produkte!A:H,8)</f>
        <v>0.06</v>
      </c>
    </row>
    <row r="3765" spans="1:12" x14ac:dyDescent="0.2">
      <c r="A3765" s="75" t="s">
        <v>1258</v>
      </c>
      <c r="B3765" s="79">
        <v>46164</v>
      </c>
      <c r="C3765" s="75"/>
      <c r="D3765" s="75"/>
      <c r="E3765" s="75"/>
      <c r="F3765" s="75">
        <v>20511</v>
      </c>
      <c r="G3765" s="76" t="str">
        <f>VLOOKUP(Tabelle2[[#This Row],[Kunden Nr.]],KUNDEN!A:B,2,0)</f>
        <v>LIRIDONA KLINE</v>
      </c>
      <c r="H3765" s="75">
        <v>51612</v>
      </c>
      <c r="I3765" s="76" t="str">
        <f>VLOOKUP(Tabelle2[[#This Row],[Artikel]],Produkte!A:B,2,0)</f>
        <v>struktural akryl</v>
      </c>
      <c r="J3765" s="75">
        <v>12</v>
      </c>
      <c r="K3765" s="76" t="str">
        <f>VLOOKUP(Tabelle2[[#This Row],[Kunden Nr.]],KUNDEN!A:G,7)</f>
        <v>Mensuri</v>
      </c>
      <c r="L3765" s="76">
        <f>VLOOKUP(Tabelle2[[#This Row],[Artikel]],Produkte!A:H,8)</f>
        <v>0.06</v>
      </c>
    </row>
    <row r="3766" spans="1:12" x14ac:dyDescent="0.2">
      <c r="A3766" s="75" t="s">
        <v>454</v>
      </c>
      <c r="B3766" s="79">
        <v>46164</v>
      </c>
      <c r="C3766" s="89">
        <v>48</v>
      </c>
      <c r="D3766" s="75"/>
      <c r="E3766" s="75"/>
      <c r="F3766" s="75">
        <v>20502</v>
      </c>
      <c r="G3766" s="76" t="str">
        <f>VLOOKUP(Tabelle2[[#This Row],[Kunden Nr.]],KUNDEN!A:B,2,0)</f>
        <v>HOXHA</v>
      </c>
      <c r="H3766" s="75">
        <v>35119</v>
      </c>
      <c r="I3766" s="76" t="str">
        <f>VLOOKUP(Tabelle2[[#This Row],[Artikel]],Produkte!A:B,2,0)</f>
        <v>M-ONE Sanitar Silikon</v>
      </c>
      <c r="J3766" s="75">
        <v>12</v>
      </c>
      <c r="K3766" s="76" t="str">
        <f>VLOOKUP(Tabelle2[[#This Row],[Kunden Nr.]],KUNDEN!A:G,7)</f>
        <v>Mensuri</v>
      </c>
      <c r="L3766" s="76">
        <f>VLOOKUP(Tabelle2[[#This Row],[Artikel]],Produkte!A:H,8)</f>
        <v>0.17</v>
      </c>
    </row>
    <row r="3767" spans="1:12" x14ac:dyDescent="0.2">
      <c r="A3767" s="75" t="s">
        <v>674</v>
      </c>
      <c r="B3767" s="79">
        <v>46164</v>
      </c>
      <c r="C3767" s="89">
        <v>144</v>
      </c>
      <c r="D3767" s="75"/>
      <c r="E3767" s="75"/>
      <c r="F3767" s="75">
        <v>20508</v>
      </c>
      <c r="G3767" s="76" t="str">
        <f>VLOOKUP(Tabelle2[[#This Row],[Kunden Nr.]],KUNDEN!A:B,2,0)</f>
        <v>LIRIDONA HOME</v>
      </c>
      <c r="H3767" s="75">
        <v>35109</v>
      </c>
      <c r="I3767" s="76" t="str">
        <f>VLOOKUP(Tabelle2[[#This Row],[Artikel]],Produkte!A:B,2,0)</f>
        <v>M-ONE Sanitar Silikon</v>
      </c>
      <c r="J3767" s="75">
        <v>24</v>
      </c>
      <c r="K3767" s="76" t="str">
        <f>VLOOKUP(Tabelle2[[#This Row],[Kunden Nr.]],KUNDEN!A:G,7)</f>
        <v>Mensuri</v>
      </c>
      <c r="L3767" s="76">
        <f>VLOOKUP(Tabelle2[[#This Row],[Artikel]],Produkte!A:H,8)</f>
        <v>0.17</v>
      </c>
    </row>
    <row r="3768" spans="1:12" x14ac:dyDescent="0.2">
      <c r="A3768" s="75" t="s">
        <v>674</v>
      </c>
      <c r="B3768" s="79">
        <v>46164</v>
      </c>
      <c r="C3768" s="75"/>
      <c r="D3768" s="75"/>
      <c r="E3768" s="75"/>
      <c r="F3768" s="75">
        <v>20508</v>
      </c>
      <c r="G3768" s="76" t="str">
        <f>VLOOKUP(Tabelle2[[#This Row],[Kunden Nr.]],KUNDEN!A:B,2,0)</f>
        <v>LIRIDONA HOME</v>
      </c>
      <c r="H3768" s="75">
        <v>35113</v>
      </c>
      <c r="I3768" s="76" t="str">
        <f>VLOOKUP(Tabelle2[[#This Row],[Artikel]],Produkte!A:B,2,0)</f>
        <v>M-ONE Sanitar Silikon</v>
      </c>
      <c r="J3768" s="75">
        <v>12</v>
      </c>
      <c r="K3768" s="76" t="str">
        <f>VLOOKUP(Tabelle2[[#This Row],[Kunden Nr.]],KUNDEN!A:G,7)</f>
        <v>Mensuri</v>
      </c>
      <c r="L3768" s="76">
        <f>VLOOKUP(Tabelle2[[#This Row],[Artikel]],Produkte!A:H,8)</f>
        <v>0.17</v>
      </c>
    </row>
    <row r="3769" spans="1:12" x14ac:dyDescent="0.2">
      <c r="A3769" s="75" t="s">
        <v>463</v>
      </c>
      <c r="B3769" s="79">
        <v>46164</v>
      </c>
      <c r="C3769" s="89">
        <v>138.6</v>
      </c>
      <c r="D3769" s="75"/>
      <c r="E3769" s="75"/>
      <c r="F3769" s="75">
        <v>20515</v>
      </c>
      <c r="G3769" s="76" t="str">
        <f>VLOOKUP(Tabelle2[[#This Row],[Kunden Nr.]],KUNDEN!A:B,2,0)</f>
        <v>LIRIDONA-A</v>
      </c>
      <c r="H3769" s="75">
        <v>35109</v>
      </c>
      <c r="I3769" s="76" t="str">
        <f>VLOOKUP(Tabelle2[[#This Row],[Artikel]],Produkte!A:B,2,0)</f>
        <v>M-ONE Sanitar Silikon</v>
      </c>
      <c r="J3769" s="75">
        <v>12</v>
      </c>
      <c r="K3769" s="76" t="str">
        <f>VLOOKUP(Tabelle2[[#This Row],[Kunden Nr.]],KUNDEN!A:G,7)</f>
        <v>Mensuri</v>
      </c>
      <c r="L3769" s="76">
        <f>VLOOKUP(Tabelle2[[#This Row],[Artikel]],Produkte!A:H,8)</f>
        <v>0.17</v>
      </c>
    </row>
    <row r="3770" spans="1:12" x14ac:dyDescent="0.2">
      <c r="A3770" s="75" t="s">
        <v>463</v>
      </c>
      <c r="B3770" s="79">
        <v>46164</v>
      </c>
      <c r="C3770" s="75"/>
      <c r="D3770" s="75"/>
      <c r="E3770" s="75"/>
      <c r="F3770" s="75">
        <v>20515</v>
      </c>
      <c r="G3770" s="76" t="str">
        <f>VLOOKUP(Tabelle2[[#This Row],[Kunden Nr.]],KUNDEN!A:B,2,0)</f>
        <v>LIRIDONA-A</v>
      </c>
      <c r="H3770" s="75">
        <v>35110</v>
      </c>
      <c r="I3770" s="76" t="str">
        <f>VLOOKUP(Tabelle2[[#This Row],[Artikel]],Produkte!A:B,2,0)</f>
        <v>M-ONE Sanitar Silikon</v>
      </c>
      <c r="J3770" s="75">
        <v>12</v>
      </c>
      <c r="K3770" s="76" t="str">
        <f>VLOOKUP(Tabelle2[[#This Row],[Kunden Nr.]],KUNDEN!A:G,7)</f>
        <v>Mensuri</v>
      </c>
      <c r="L3770" s="76">
        <f>VLOOKUP(Tabelle2[[#This Row],[Artikel]],Produkte!A:H,8)</f>
        <v>0.17</v>
      </c>
    </row>
    <row r="3771" spans="1:12" x14ac:dyDescent="0.2">
      <c r="A3771" s="75" t="s">
        <v>463</v>
      </c>
      <c r="B3771" s="79">
        <v>46164</v>
      </c>
      <c r="C3771" s="75"/>
      <c r="D3771" s="75"/>
      <c r="E3771" s="75"/>
      <c r="F3771" s="75">
        <v>20515</v>
      </c>
      <c r="G3771" s="76" t="str">
        <f>VLOOKUP(Tabelle2[[#This Row],[Kunden Nr.]],KUNDEN!A:B,2,0)</f>
        <v>LIRIDONA-A</v>
      </c>
      <c r="H3771" s="75">
        <v>51611</v>
      </c>
      <c r="I3771" s="76" t="str">
        <f>VLOOKUP(Tabelle2[[#This Row],[Artikel]],Produkte!A:B,2,0)</f>
        <v>universal akryl</v>
      </c>
      <c r="J3771" s="75">
        <v>12</v>
      </c>
      <c r="K3771" s="76" t="str">
        <f>VLOOKUP(Tabelle2[[#This Row],[Kunden Nr.]],KUNDEN!A:G,7)</f>
        <v>Mensuri</v>
      </c>
      <c r="L3771" s="76">
        <f>VLOOKUP(Tabelle2[[#This Row],[Artikel]],Produkte!A:H,8)</f>
        <v>0.06</v>
      </c>
    </row>
    <row r="3772" spans="1:12" x14ac:dyDescent="0.2">
      <c r="A3772" s="75" t="s">
        <v>463</v>
      </c>
      <c r="B3772" s="79">
        <v>46164</v>
      </c>
      <c r="C3772" s="75"/>
      <c r="D3772" s="75"/>
      <c r="E3772" s="75"/>
      <c r="F3772" s="75">
        <v>20515</v>
      </c>
      <c r="G3772" s="76" t="str">
        <f>VLOOKUP(Tabelle2[[#This Row],[Kunden Nr.]],KUNDEN!A:B,2,0)</f>
        <v>LIRIDONA-A</v>
      </c>
      <c r="H3772" s="75">
        <v>51612</v>
      </c>
      <c r="I3772" s="76" t="str">
        <f>VLOOKUP(Tabelle2[[#This Row],[Artikel]],Produkte!A:B,2,0)</f>
        <v>struktural akryl</v>
      </c>
      <c r="J3772" s="75">
        <v>12</v>
      </c>
      <c r="K3772" s="76" t="str">
        <f>VLOOKUP(Tabelle2[[#This Row],[Kunden Nr.]],KUNDEN!A:G,7)</f>
        <v>Mensuri</v>
      </c>
      <c r="L3772" s="76">
        <f>VLOOKUP(Tabelle2[[#This Row],[Artikel]],Produkte!A:H,8)</f>
        <v>0.06</v>
      </c>
    </row>
    <row r="3773" spans="1:12" x14ac:dyDescent="0.2">
      <c r="A3773" s="75" t="s">
        <v>53</v>
      </c>
      <c r="B3773" s="79">
        <v>46164</v>
      </c>
      <c r="C3773" s="89">
        <v>192</v>
      </c>
      <c r="D3773" s="75"/>
      <c r="E3773" s="75"/>
      <c r="F3773" s="75">
        <v>20407</v>
      </c>
      <c r="G3773" s="76" t="str">
        <f>VLOOKUP(Tabelle2[[#This Row],[Kunden Nr.]],KUNDEN!A:B,2,0)</f>
        <v>TE BENI</v>
      </c>
      <c r="H3773" s="75">
        <v>35113</v>
      </c>
      <c r="I3773" s="76" t="str">
        <f>VLOOKUP(Tabelle2[[#This Row],[Artikel]],Produkte!A:B,2,0)</f>
        <v>M-ONE Sanitar Silikon</v>
      </c>
      <c r="J3773" s="75">
        <v>24</v>
      </c>
      <c r="K3773" s="76" t="str">
        <f>VLOOKUP(Tabelle2[[#This Row],[Kunden Nr.]],KUNDEN!A:G,7)</f>
        <v>Mensuri</v>
      </c>
      <c r="L3773" s="76">
        <f>VLOOKUP(Tabelle2[[#This Row],[Artikel]],Produkte!A:H,8)</f>
        <v>0.17</v>
      </c>
    </row>
    <row r="3774" spans="1:12" x14ac:dyDescent="0.2">
      <c r="A3774" s="75" t="s">
        <v>53</v>
      </c>
      <c r="B3774" s="79">
        <v>46164</v>
      </c>
      <c r="C3774" s="75"/>
      <c r="D3774" s="75"/>
      <c r="E3774" s="75"/>
      <c r="F3774" s="75">
        <v>20407</v>
      </c>
      <c r="G3774" s="76" t="str">
        <f>VLOOKUP(Tabelle2[[#This Row],[Kunden Nr.]],KUNDEN!A:B,2,0)</f>
        <v>TE BENI</v>
      </c>
      <c r="H3774" s="75">
        <v>35115</v>
      </c>
      <c r="I3774" s="76" t="str">
        <f>VLOOKUP(Tabelle2[[#This Row],[Artikel]],Produkte!A:B,2,0)</f>
        <v>M-ONE Sanitar Silikon</v>
      </c>
      <c r="J3774" s="75">
        <v>12</v>
      </c>
      <c r="K3774" s="76" t="str">
        <f>VLOOKUP(Tabelle2[[#This Row],[Kunden Nr.]],KUNDEN!A:G,7)</f>
        <v>Mensuri</v>
      </c>
      <c r="L3774" s="76">
        <f>VLOOKUP(Tabelle2[[#This Row],[Artikel]],Produkte!A:H,8)</f>
        <v>0.17</v>
      </c>
    </row>
    <row r="3775" spans="1:12" x14ac:dyDescent="0.2">
      <c r="A3775" s="75" t="s">
        <v>53</v>
      </c>
      <c r="B3775" s="79">
        <v>46164</v>
      </c>
      <c r="C3775" s="75"/>
      <c r="D3775" s="75"/>
      <c r="E3775" s="75"/>
      <c r="F3775" s="75">
        <v>20407</v>
      </c>
      <c r="G3775" s="76" t="str">
        <f>VLOOKUP(Tabelle2[[#This Row],[Kunden Nr.]],KUNDEN!A:B,2,0)</f>
        <v>TE BENI</v>
      </c>
      <c r="H3775" s="75">
        <v>35121</v>
      </c>
      <c r="I3775" s="76" t="str">
        <f>VLOOKUP(Tabelle2[[#This Row],[Artikel]],Produkte!A:B,2,0)</f>
        <v>M-ONE Sanitar Silikon</v>
      </c>
      <c r="J3775" s="75">
        <v>12</v>
      </c>
      <c r="K3775" s="76" t="str">
        <f>VLOOKUP(Tabelle2[[#This Row],[Kunden Nr.]],KUNDEN!A:G,7)</f>
        <v>Mensuri</v>
      </c>
      <c r="L3775" s="76">
        <f>VLOOKUP(Tabelle2[[#This Row],[Artikel]],Produkte!A:H,8)</f>
        <v>0.17</v>
      </c>
    </row>
    <row r="3776" spans="1:12" x14ac:dyDescent="0.2">
      <c r="A3776" s="75" t="s">
        <v>461</v>
      </c>
      <c r="B3776" s="79">
        <v>46164</v>
      </c>
      <c r="C3776" s="89">
        <v>123.2</v>
      </c>
      <c r="D3776" s="75"/>
      <c r="E3776" s="75"/>
      <c r="F3776" s="75">
        <v>20513</v>
      </c>
      <c r="G3776" s="76" t="str">
        <f>VLOOKUP(Tabelle2[[#This Row],[Kunden Nr.]],KUNDEN!A:B,2,0)</f>
        <v>BERATI A.P. (1)</v>
      </c>
      <c r="H3776" s="75">
        <v>50912</v>
      </c>
      <c r="I3776" s="76" t="str">
        <f>VLOOKUP(Tabelle2[[#This Row],[Artikel]],Produkte!A:B,2,0)</f>
        <v>DICHTUNG</v>
      </c>
      <c r="J3776" s="75">
        <v>12</v>
      </c>
      <c r="K3776" s="76" t="str">
        <f>VLOOKUP(Tabelle2[[#This Row],[Kunden Nr.]],KUNDEN!A:G,7)</f>
        <v>Mensuri</v>
      </c>
      <c r="L3776" s="76">
        <f>VLOOKUP(Tabelle2[[#This Row],[Artikel]],Produkte!A:H,8)</f>
        <v>0.2</v>
      </c>
    </row>
    <row r="3777" spans="1:12" x14ac:dyDescent="0.2">
      <c r="A3777" s="75" t="s">
        <v>461</v>
      </c>
      <c r="B3777" s="79">
        <v>46164</v>
      </c>
      <c r="C3777" s="75"/>
      <c r="D3777" s="75"/>
      <c r="E3777" s="75"/>
      <c r="F3777" s="75">
        <v>20513</v>
      </c>
      <c r="G3777" s="76" t="str">
        <f>VLOOKUP(Tabelle2[[#This Row],[Kunden Nr.]],KUNDEN!A:B,2,0)</f>
        <v>BERATI A.P. (1)</v>
      </c>
      <c r="H3777" s="75">
        <v>55718</v>
      </c>
      <c r="I3777" s="76" t="str">
        <f>VLOOKUP(Tabelle2[[#This Row],[Artikel]],Produkte!A:B,2,0)</f>
        <v>M ONE MOTORSTART</v>
      </c>
      <c r="J3777" s="75">
        <v>5</v>
      </c>
      <c r="K3777" s="76" t="str">
        <f>VLOOKUP(Tabelle2[[#This Row],[Kunden Nr.]],KUNDEN!A:G,7)</f>
        <v>Mensuri</v>
      </c>
      <c r="L3777" s="76">
        <f>VLOOKUP(Tabelle2[[#This Row],[Artikel]],Produkte!A:H,8)</f>
        <v>0.2</v>
      </c>
    </row>
    <row r="3778" spans="1:12" x14ac:dyDescent="0.2">
      <c r="A3778" s="75" t="s">
        <v>461</v>
      </c>
      <c r="B3778" s="79">
        <v>46164</v>
      </c>
      <c r="C3778" s="75"/>
      <c r="D3778" s="75"/>
      <c r="E3778" s="75"/>
      <c r="F3778" s="75">
        <v>20513</v>
      </c>
      <c r="G3778" s="76" t="str">
        <f>VLOOKUP(Tabelle2[[#This Row],[Kunden Nr.]],KUNDEN!A:B,2,0)</f>
        <v>BERATI A.P. (1)</v>
      </c>
      <c r="H3778" s="75">
        <v>44001</v>
      </c>
      <c r="I3778" s="76" t="str">
        <f>VLOOKUP(Tabelle2[[#This Row],[Artikel]],Produkte!A:B,2,0)</f>
        <v>Fettspray</v>
      </c>
      <c r="J3778" s="75">
        <v>5</v>
      </c>
      <c r="K3778" s="76" t="str">
        <f>VLOOKUP(Tabelle2[[#This Row],[Kunden Nr.]],KUNDEN!A:G,7)</f>
        <v>Mensuri</v>
      </c>
      <c r="L3778" s="76">
        <f>VLOOKUP(Tabelle2[[#This Row],[Artikel]],Produkte!A:H,8)</f>
        <v>0.2</v>
      </c>
    </row>
    <row r="3779" spans="1:12" x14ac:dyDescent="0.2">
      <c r="A3779" s="75" t="s">
        <v>461</v>
      </c>
      <c r="B3779" s="79">
        <v>46164</v>
      </c>
      <c r="C3779" s="75"/>
      <c r="D3779" s="75"/>
      <c r="E3779" s="75"/>
      <c r="F3779" s="75">
        <v>20513</v>
      </c>
      <c r="G3779" s="76" t="str">
        <f>VLOOKUP(Tabelle2[[#This Row],[Kunden Nr.]],KUNDEN!A:B,2,0)</f>
        <v>BERATI A.P. (1)</v>
      </c>
      <c r="H3779" s="75">
        <v>51936</v>
      </c>
      <c r="I3779" s="76" t="str">
        <f>VLOOKUP(Tabelle2[[#This Row],[Artikel]],Produkte!A:B,2,0)</f>
        <v>M ONE SCHWARZ GLÄNZED</v>
      </c>
      <c r="J3779" s="75">
        <v>2</v>
      </c>
      <c r="K3779" s="76" t="str">
        <f>VLOOKUP(Tabelle2[[#This Row],[Kunden Nr.]],KUNDEN!A:G,7)</f>
        <v>Mensuri</v>
      </c>
      <c r="L3779" s="76">
        <f>VLOOKUP(Tabelle2[[#This Row],[Artikel]],Produkte!A:H,8)</f>
        <v>0.15</v>
      </c>
    </row>
    <row r="3780" spans="1:12" x14ac:dyDescent="0.2">
      <c r="A3780" s="75" t="s">
        <v>461</v>
      </c>
      <c r="B3780" s="79">
        <v>46164</v>
      </c>
      <c r="C3780" s="75"/>
      <c r="D3780" s="75"/>
      <c r="E3780" s="75"/>
      <c r="F3780" s="75">
        <v>20513</v>
      </c>
      <c r="G3780" s="76" t="str">
        <f>VLOOKUP(Tabelle2[[#This Row],[Kunden Nr.]],KUNDEN!A:B,2,0)</f>
        <v>BERATI A.P. (1)</v>
      </c>
      <c r="H3780" s="75">
        <v>29802</v>
      </c>
      <c r="I3780" s="76" t="str">
        <f>VLOOKUP(Tabelle2[[#This Row],[Artikel]],Produkte!A:B,2,0)</f>
        <v>beMaker Handwaschpaste</v>
      </c>
      <c r="J3780" s="75">
        <v>4</v>
      </c>
      <c r="K3780" s="76" t="str">
        <f>VLOOKUP(Tabelle2[[#This Row],[Kunden Nr.]],KUNDEN!A:G,7)</f>
        <v>Mensuri</v>
      </c>
      <c r="L3780" s="76">
        <f>VLOOKUP(Tabelle2[[#This Row],[Artikel]],Produkte!A:H,8)</f>
        <v>0.1</v>
      </c>
    </row>
    <row r="3781" spans="1:12" x14ac:dyDescent="0.2">
      <c r="A3781" s="75" t="s">
        <v>59</v>
      </c>
      <c r="B3781" s="79">
        <v>46164</v>
      </c>
      <c r="C3781" s="89">
        <v>131.19999999999999</v>
      </c>
      <c r="D3781" s="75"/>
      <c r="E3781" s="75"/>
      <c r="F3781" s="75">
        <v>20406</v>
      </c>
      <c r="G3781" s="76" t="str">
        <f>VLOOKUP(Tabelle2[[#This Row],[Kunden Nr.]],KUNDEN!A:B,2,0)</f>
        <v>MEGI</v>
      </c>
      <c r="H3781" s="75">
        <v>50912</v>
      </c>
      <c r="I3781" s="76" t="str">
        <f>VLOOKUP(Tabelle2[[#This Row],[Artikel]],Produkte!A:B,2,0)</f>
        <v>DICHTUNG</v>
      </c>
      <c r="J3781" s="75">
        <v>12</v>
      </c>
      <c r="K3781" s="76" t="str">
        <f>VLOOKUP(Tabelle2[[#This Row],[Kunden Nr.]],KUNDEN!A:G,7)</f>
        <v>Mensuri</v>
      </c>
      <c r="L3781" s="76">
        <f>VLOOKUP(Tabelle2[[#This Row],[Artikel]],Produkte!A:H,8)</f>
        <v>0.2</v>
      </c>
    </row>
    <row r="3782" spans="1:12" x14ac:dyDescent="0.2">
      <c r="A3782" s="75" t="s">
        <v>59</v>
      </c>
      <c r="B3782" s="79">
        <v>46164</v>
      </c>
      <c r="C3782" s="75"/>
      <c r="D3782" s="75"/>
      <c r="E3782" s="75"/>
      <c r="F3782" s="75">
        <v>20406</v>
      </c>
      <c r="G3782" s="76" t="str">
        <f>VLOOKUP(Tabelle2[[#This Row],[Kunden Nr.]],KUNDEN!A:B,2,0)</f>
        <v>MEGI</v>
      </c>
      <c r="H3782" s="75">
        <v>49644</v>
      </c>
      <c r="I3782" s="76" t="str">
        <f>VLOOKUP(Tabelle2[[#This Row],[Artikel]],Produkte!A:B,2,0)</f>
        <v>beMAKER Rostlöser</v>
      </c>
      <c r="J3782" s="75">
        <v>12</v>
      </c>
      <c r="K3782" s="76" t="str">
        <f>VLOOKUP(Tabelle2[[#This Row],[Kunden Nr.]],KUNDEN!A:G,7)</f>
        <v>Mensuri</v>
      </c>
      <c r="L3782" s="76">
        <f>VLOOKUP(Tabelle2[[#This Row],[Artikel]],Produkte!A:H,8)</f>
        <v>0.2</v>
      </c>
    </row>
    <row r="3783" spans="1:12" x14ac:dyDescent="0.2">
      <c r="A3783" s="75" t="s">
        <v>59</v>
      </c>
      <c r="B3783" s="79">
        <v>46164</v>
      </c>
      <c r="C3783" s="75"/>
      <c r="D3783" s="75"/>
      <c r="E3783" s="75"/>
      <c r="F3783" s="75">
        <v>20406</v>
      </c>
      <c r="G3783" s="76" t="str">
        <f>VLOOKUP(Tabelle2[[#This Row],[Kunden Nr.]],KUNDEN!A:B,2,0)</f>
        <v>MEGI</v>
      </c>
      <c r="H3783" s="75">
        <v>55718</v>
      </c>
      <c r="I3783" s="76" t="str">
        <f>VLOOKUP(Tabelle2[[#This Row],[Artikel]],Produkte!A:B,2,0)</f>
        <v>M ONE MOTORSTART</v>
      </c>
      <c r="J3783" s="75">
        <v>4</v>
      </c>
      <c r="K3783" s="76" t="str">
        <f>VLOOKUP(Tabelle2[[#This Row],[Kunden Nr.]],KUNDEN!A:G,7)</f>
        <v>Mensuri</v>
      </c>
      <c r="L3783" s="76">
        <f>VLOOKUP(Tabelle2[[#This Row],[Artikel]],Produkte!A:H,8)</f>
        <v>0.2</v>
      </c>
    </row>
    <row r="3784" spans="1:12" x14ac:dyDescent="0.2">
      <c r="A3784" s="75" t="s">
        <v>59</v>
      </c>
      <c r="B3784" s="79">
        <v>46164</v>
      </c>
      <c r="C3784" s="75"/>
      <c r="D3784" s="75"/>
      <c r="E3784" s="75"/>
      <c r="F3784" s="75">
        <v>20406</v>
      </c>
      <c r="G3784" s="76" t="str">
        <f>VLOOKUP(Tabelle2[[#This Row],[Kunden Nr.]],KUNDEN!A:B,2,0)</f>
        <v>MEGI</v>
      </c>
      <c r="H3784" s="75">
        <v>29802</v>
      </c>
      <c r="I3784" s="76" t="str">
        <f>VLOOKUP(Tabelle2[[#This Row],[Artikel]],Produkte!A:B,2,0)</f>
        <v>beMaker Handwaschpaste</v>
      </c>
      <c r="J3784" s="75">
        <v>4</v>
      </c>
      <c r="K3784" s="76" t="str">
        <f>VLOOKUP(Tabelle2[[#This Row],[Kunden Nr.]],KUNDEN!A:G,7)</f>
        <v>Mensuri</v>
      </c>
      <c r="L3784" s="76">
        <f>VLOOKUP(Tabelle2[[#This Row],[Artikel]],Produkte!A:H,8)</f>
        <v>0.1</v>
      </c>
    </row>
    <row r="3785" spans="1:12" x14ac:dyDescent="0.2">
      <c r="A3785" s="75" t="s">
        <v>49</v>
      </c>
      <c r="B3785" s="79">
        <v>46164</v>
      </c>
      <c r="C3785" s="89">
        <v>96</v>
      </c>
      <c r="D3785" s="75"/>
      <c r="E3785" s="75"/>
      <c r="F3785" s="75">
        <v>20405</v>
      </c>
      <c r="G3785" s="76" t="str">
        <f>VLOOKUP(Tabelle2[[#This Row],[Kunden Nr.]],KUNDEN!A:B,2,0)</f>
        <v>BESI</v>
      </c>
      <c r="H3785" s="75">
        <v>35108</v>
      </c>
      <c r="I3785" s="76" t="str">
        <f>VLOOKUP(Tabelle2[[#This Row],[Artikel]],Produkte!A:B,2,0)</f>
        <v>M-ONE Sanitar Silikon</v>
      </c>
      <c r="J3785" s="75">
        <v>12</v>
      </c>
      <c r="K3785" s="76" t="str">
        <f>VLOOKUP(Tabelle2[[#This Row],[Kunden Nr.]],KUNDEN!A:G,7)</f>
        <v>Mensuri</v>
      </c>
      <c r="L3785" s="76">
        <f>VLOOKUP(Tabelle2[[#This Row],[Artikel]],Produkte!A:H,8)</f>
        <v>0.17</v>
      </c>
    </row>
    <row r="3786" spans="1:12" x14ac:dyDescent="0.2">
      <c r="A3786" s="75" t="s">
        <v>49</v>
      </c>
      <c r="B3786" s="79">
        <v>46164</v>
      </c>
      <c r="C3786" s="75"/>
      <c r="D3786" s="75"/>
      <c r="E3786" s="75"/>
      <c r="F3786" s="75">
        <v>20405</v>
      </c>
      <c r="G3786" s="76" t="str">
        <f>VLOOKUP(Tabelle2[[#This Row],[Kunden Nr.]],KUNDEN!A:B,2,0)</f>
        <v>BESI</v>
      </c>
      <c r="H3786" s="75">
        <v>35114</v>
      </c>
      <c r="I3786" s="76" t="str">
        <f>VLOOKUP(Tabelle2[[#This Row],[Artikel]],Produkte!A:B,2,0)</f>
        <v>M-ONE Sanitar Silikon</v>
      </c>
      <c r="J3786" s="75">
        <v>12</v>
      </c>
      <c r="K3786" s="76" t="str">
        <f>VLOOKUP(Tabelle2[[#This Row],[Kunden Nr.]],KUNDEN!A:G,7)</f>
        <v>Mensuri</v>
      </c>
      <c r="L3786" s="76">
        <f>VLOOKUP(Tabelle2[[#This Row],[Artikel]],Produkte!A:H,8)</f>
        <v>0.17</v>
      </c>
    </row>
    <row r="3787" spans="1:12" x14ac:dyDescent="0.2">
      <c r="A3787" s="75" t="s">
        <v>1123</v>
      </c>
      <c r="B3787" s="79">
        <v>46164</v>
      </c>
      <c r="C3787" s="89">
        <v>35.6</v>
      </c>
      <c r="D3787" s="75"/>
      <c r="E3787" s="75"/>
      <c r="F3787" s="75">
        <v>20427</v>
      </c>
      <c r="G3787" s="76" t="e">
        <f>VLOOKUP(Tabelle2[[#This Row],[Kunden Nr.]],KUNDEN!A:B,2,0)</f>
        <v>#N/A</v>
      </c>
      <c r="H3787" s="75">
        <v>50912</v>
      </c>
      <c r="I3787" s="76" t="str">
        <f>VLOOKUP(Tabelle2[[#This Row],[Artikel]],Produkte!A:B,2,0)</f>
        <v>DICHTUNG</v>
      </c>
      <c r="J3787" s="75">
        <v>4</v>
      </c>
      <c r="K3787" s="76" t="str">
        <f>VLOOKUP(Tabelle2[[#This Row],[Kunden Nr.]],KUNDEN!A:G,7)</f>
        <v>Mensuri</v>
      </c>
      <c r="L3787" s="76">
        <f>VLOOKUP(Tabelle2[[#This Row],[Artikel]],Produkte!A:H,8)</f>
        <v>0.2</v>
      </c>
    </row>
    <row r="3788" spans="1:12" x14ac:dyDescent="0.2">
      <c r="A3788" s="75" t="s">
        <v>1123</v>
      </c>
      <c r="B3788" s="79">
        <v>46164</v>
      </c>
      <c r="C3788" s="75"/>
      <c r="D3788" s="75"/>
      <c r="E3788" s="75"/>
      <c r="F3788" s="75">
        <v>20427</v>
      </c>
      <c r="G3788" s="76" t="e">
        <f>VLOOKUP(Tabelle2[[#This Row],[Kunden Nr.]],KUNDEN!A:B,2,0)</f>
        <v>#N/A</v>
      </c>
      <c r="H3788" s="75">
        <v>29802</v>
      </c>
      <c r="I3788" s="76" t="str">
        <f>VLOOKUP(Tabelle2[[#This Row],[Artikel]],Produkte!A:B,2,0)</f>
        <v>beMaker Handwaschpaste</v>
      </c>
      <c r="J3788" s="75">
        <v>4</v>
      </c>
      <c r="K3788" s="76" t="str">
        <f>VLOOKUP(Tabelle2[[#This Row],[Kunden Nr.]],KUNDEN!A:G,7)</f>
        <v>Mensuri</v>
      </c>
      <c r="L3788" s="76">
        <f>VLOOKUP(Tabelle2[[#This Row],[Artikel]],Produkte!A:H,8)</f>
        <v>0.1</v>
      </c>
    </row>
    <row r="3789" spans="1:12" x14ac:dyDescent="0.2">
      <c r="A3789" s="75" t="s">
        <v>608</v>
      </c>
      <c r="B3789" s="79">
        <v>46165</v>
      </c>
      <c r="C3789" s="89">
        <v>96</v>
      </c>
      <c r="D3789" s="75"/>
      <c r="E3789" s="75"/>
      <c r="F3789" s="75">
        <v>10616</v>
      </c>
      <c r="G3789" s="76" t="str">
        <f>VLOOKUP(Tabelle2[[#This Row],[Kunden Nr.]],KUNDEN!A:B,2,0)</f>
        <v>TE ZENA</v>
      </c>
      <c r="H3789" s="75">
        <v>35113</v>
      </c>
      <c r="I3789" s="76" t="str">
        <f>VLOOKUP(Tabelle2[[#This Row],[Artikel]],Produkte!A:B,2,0)</f>
        <v>M-ONE Sanitar Silikon</v>
      </c>
      <c r="J3789" s="75">
        <v>12</v>
      </c>
      <c r="K3789" s="76" t="str">
        <f>VLOOKUP(Tabelle2[[#This Row],[Kunden Nr.]],KUNDEN!A:G,7)</f>
        <v>Qerimi</v>
      </c>
      <c r="L3789" s="76">
        <f>VLOOKUP(Tabelle2[[#This Row],[Artikel]],Produkte!A:H,8)</f>
        <v>0.17</v>
      </c>
    </row>
    <row r="3790" spans="1:12" x14ac:dyDescent="0.2">
      <c r="A3790" s="75" t="s">
        <v>608</v>
      </c>
      <c r="B3790" s="79">
        <v>46165</v>
      </c>
      <c r="C3790" s="75"/>
      <c r="D3790" s="75"/>
      <c r="E3790" s="75"/>
      <c r="F3790" s="75">
        <v>10616</v>
      </c>
      <c r="G3790" s="76" t="str">
        <f>VLOOKUP(Tabelle2[[#This Row],[Kunden Nr.]],KUNDEN!A:B,2,0)</f>
        <v>TE ZENA</v>
      </c>
      <c r="H3790" s="75">
        <v>35121</v>
      </c>
      <c r="I3790" s="76" t="str">
        <f>VLOOKUP(Tabelle2[[#This Row],[Artikel]],Produkte!A:B,2,0)</f>
        <v>M-ONE Sanitar Silikon</v>
      </c>
      <c r="J3790" s="75">
        <v>12</v>
      </c>
      <c r="K3790" s="76" t="str">
        <f>VLOOKUP(Tabelle2[[#This Row],[Kunden Nr.]],KUNDEN!A:G,7)</f>
        <v>Qerimi</v>
      </c>
      <c r="L3790" s="76">
        <f>VLOOKUP(Tabelle2[[#This Row],[Artikel]],Produkte!A:H,8)</f>
        <v>0.17</v>
      </c>
    </row>
    <row r="3791" spans="1:12" x14ac:dyDescent="0.2">
      <c r="A3791" s="75" t="s">
        <v>1230</v>
      </c>
      <c r="B3791" s="79">
        <v>46165</v>
      </c>
      <c r="C3791" s="89">
        <v>96</v>
      </c>
      <c r="D3791" s="75"/>
      <c r="E3791" s="75"/>
      <c r="F3791" s="75">
        <v>10636</v>
      </c>
      <c r="G3791" s="76" t="e">
        <f>VLOOKUP(Tabelle2[[#This Row],[Kunden Nr.]],KUNDEN!A:B,2,0)</f>
        <v>#N/A</v>
      </c>
      <c r="H3791" s="75">
        <v>35110</v>
      </c>
      <c r="I3791" s="76" t="str">
        <f>VLOOKUP(Tabelle2[[#This Row],[Artikel]],Produkte!A:B,2,0)</f>
        <v>M-ONE Sanitar Silikon</v>
      </c>
      <c r="J3791" s="75">
        <v>12</v>
      </c>
      <c r="K3791" s="76" t="str">
        <f>VLOOKUP(Tabelle2[[#This Row],[Kunden Nr.]],KUNDEN!A:G,7)</f>
        <v>Qerimi</v>
      </c>
      <c r="L3791" s="76">
        <f>VLOOKUP(Tabelle2[[#This Row],[Artikel]],Produkte!A:H,8)</f>
        <v>0.17</v>
      </c>
    </row>
    <row r="3792" spans="1:12" x14ac:dyDescent="0.2">
      <c r="A3792" s="75" t="s">
        <v>1230</v>
      </c>
      <c r="B3792" s="79">
        <v>46165</v>
      </c>
      <c r="C3792" s="75"/>
      <c r="D3792" s="75"/>
      <c r="E3792" s="75"/>
      <c r="F3792" s="75">
        <v>10636</v>
      </c>
      <c r="G3792" s="76" t="e">
        <f>VLOOKUP(Tabelle2[[#This Row],[Kunden Nr.]],KUNDEN!A:B,2,0)</f>
        <v>#N/A</v>
      </c>
      <c r="H3792" s="75">
        <v>35111</v>
      </c>
      <c r="I3792" s="76" t="str">
        <f>VLOOKUP(Tabelle2[[#This Row],[Artikel]],Produkte!A:B,2,0)</f>
        <v>M-ONE Sanitar Silikon</v>
      </c>
      <c r="J3792" s="75">
        <v>12</v>
      </c>
      <c r="K3792" s="76" t="str">
        <f>VLOOKUP(Tabelle2[[#This Row],[Kunden Nr.]],KUNDEN!A:G,7)</f>
        <v>Qerimi</v>
      </c>
      <c r="L3792" s="76">
        <f>VLOOKUP(Tabelle2[[#This Row],[Artikel]],Produkte!A:H,8)</f>
        <v>0.17</v>
      </c>
    </row>
    <row r="3793" spans="1:12" x14ac:dyDescent="0.2">
      <c r="A3793" s="75" t="s">
        <v>837</v>
      </c>
      <c r="B3793" s="79">
        <v>46165</v>
      </c>
      <c r="C3793" s="89">
        <v>96</v>
      </c>
      <c r="D3793" s="75"/>
      <c r="E3793" s="75"/>
      <c r="F3793" s="75">
        <v>10625</v>
      </c>
      <c r="G3793" s="76" t="str">
        <f>VLOOKUP(Tabelle2[[#This Row],[Kunden Nr.]],KUNDEN!A:B,2,0)</f>
        <v>KUJTA</v>
      </c>
      <c r="H3793" s="75">
        <v>35128</v>
      </c>
      <c r="I3793" s="76" t="str">
        <f>VLOOKUP(Tabelle2[[#This Row],[Artikel]],Produkte!A:B,2,0)</f>
        <v>M-ONE Sanitar Silikon</v>
      </c>
      <c r="J3793" s="75">
        <v>12</v>
      </c>
      <c r="K3793" s="76" t="str">
        <f>VLOOKUP(Tabelle2[[#This Row],[Kunden Nr.]],KUNDEN!A:G,7)</f>
        <v>Qerimi</v>
      </c>
      <c r="L3793" s="76">
        <f>VLOOKUP(Tabelle2[[#This Row],[Artikel]],Produkte!A:H,8)</f>
        <v>0.17</v>
      </c>
    </row>
    <row r="3794" spans="1:12" x14ac:dyDescent="0.2">
      <c r="A3794" s="75" t="s">
        <v>837</v>
      </c>
      <c r="B3794" s="79">
        <v>46165</v>
      </c>
      <c r="C3794" s="75"/>
      <c r="D3794" s="75"/>
      <c r="E3794" s="75"/>
      <c r="F3794" s="75">
        <v>10625</v>
      </c>
      <c r="G3794" s="76" t="str">
        <f>VLOOKUP(Tabelle2[[#This Row],[Kunden Nr.]],KUNDEN!A:B,2,0)</f>
        <v>KUJTA</v>
      </c>
      <c r="H3794" s="75">
        <v>35109</v>
      </c>
      <c r="I3794" s="76" t="str">
        <f>VLOOKUP(Tabelle2[[#This Row],[Artikel]],Produkte!A:B,2,0)</f>
        <v>M-ONE Sanitar Silikon</v>
      </c>
      <c r="J3794" s="75">
        <v>12</v>
      </c>
      <c r="K3794" s="76" t="str">
        <f>VLOOKUP(Tabelle2[[#This Row],[Kunden Nr.]],KUNDEN!A:G,7)</f>
        <v>Qerimi</v>
      </c>
      <c r="L3794" s="76">
        <f>VLOOKUP(Tabelle2[[#This Row],[Artikel]],Produkte!A:H,8)</f>
        <v>0.17</v>
      </c>
    </row>
    <row r="3795" spans="1:12" x14ac:dyDescent="0.2">
      <c r="A3795" s="75" t="s">
        <v>837</v>
      </c>
      <c r="B3795" s="79">
        <v>46165</v>
      </c>
      <c r="C3795" s="75"/>
      <c r="D3795" s="75"/>
      <c r="E3795" s="75"/>
      <c r="F3795" s="75">
        <v>10625</v>
      </c>
      <c r="G3795" s="76" t="str">
        <f>VLOOKUP(Tabelle2[[#This Row],[Kunden Nr.]],KUNDEN!A:B,2,0)</f>
        <v>KUJTA</v>
      </c>
      <c r="H3795" s="75">
        <v>35114</v>
      </c>
      <c r="I3795" s="76" t="str">
        <f>VLOOKUP(Tabelle2[[#This Row],[Artikel]],Produkte!A:B,2,0)</f>
        <v>M-ONE Sanitar Silikon</v>
      </c>
      <c r="J3795" s="75">
        <v>12</v>
      </c>
      <c r="K3795" s="76" t="str">
        <f>VLOOKUP(Tabelle2[[#This Row],[Kunden Nr.]],KUNDEN!A:G,7)</f>
        <v>Qerimi</v>
      </c>
      <c r="L3795" s="76">
        <f>VLOOKUP(Tabelle2[[#This Row],[Artikel]],Produkte!A:H,8)</f>
        <v>0.17</v>
      </c>
    </row>
    <row r="3796" spans="1:12" x14ac:dyDescent="0.2">
      <c r="A3796" s="75" t="s">
        <v>837</v>
      </c>
      <c r="B3796" s="79">
        <v>46165</v>
      </c>
      <c r="C3796" s="75"/>
      <c r="D3796" s="75"/>
      <c r="E3796" s="75"/>
      <c r="F3796" s="75">
        <v>10625</v>
      </c>
      <c r="G3796" s="76" t="str">
        <f>VLOOKUP(Tabelle2[[#This Row],[Kunden Nr.]],KUNDEN!A:B,2,0)</f>
        <v>KUJTA</v>
      </c>
      <c r="H3796" s="75">
        <v>51612</v>
      </c>
      <c r="I3796" s="76" t="str">
        <f>VLOOKUP(Tabelle2[[#This Row],[Artikel]],Produkte!A:B,2,0)</f>
        <v>struktural akryl</v>
      </c>
      <c r="J3796" s="75">
        <v>12</v>
      </c>
      <c r="K3796" s="76" t="str">
        <f>VLOOKUP(Tabelle2[[#This Row],[Kunden Nr.]],KUNDEN!A:G,7)</f>
        <v>Qerimi</v>
      </c>
      <c r="L3796" s="76">
        <f>VLOOKUP(Tabelle2[[#This Row],[Artikel]],Produkte!A:H,8)</f>
        <v>0.06</v>
      </c>
    </row>
    <row r="3797" spans="1:12" x14ac:dyDescent="0.2">
      <c r="A3797" s="75" t="s">
        <v>605</v>
      </c>
      <c r="B3797" s="79">
        <v>46165</v>
      </c>
      <c r="C3797" s="89">
        <v>39</v>
      </c>
      <c r="D3797" s="75"/>
      <c r="E3797" s="75"/>
      <c r="F3797" s="75">
        <v>10613</v>
      </c>
      <c r="G3797" s="76" t="str">
        <f>VLOOKUP(Tabelle2[[#This Row],[Kunden Nr.]],KUNDEN!A:B,2,0)</f>
        <v>TE KELA</v>
      </c>
      <c r="H3797" s="75">
        <v>49644</v>
      </c>
      <c r="I3797" s="76" t="str">
        <f>VLOOKUP(Tabelle2[[#This Row],[Artikel]],Produkte!A:B,2,0)</f>
        <v>beMAKER Rostlöser</v>
      </c>
      <c r="J3797" s="75">
        <v>12</v>
      </c>
      <c r="K3797" s="76" t="str">
        <f>VLOOKUP(Tabelle2[[#This Row],[Kunden Nr.]],KUNDEN!A:G,7)</f>
        <v>Qerimi</v>
      </c>
      <c r="L3797" s="76">
        <f>VLOOKUP(Tabelle2[[#This Row],[Artikel]],Produkte!A:H,8)</f>
        <v>0.2</v>
      </c>
    </row>
    <row r="3798" spans="1:12" x14ac:dyDescent="0.2">
      <c r="A3798" s="75" t="s">
        <v>605</v>
      </c>
      <c r="B3798" s="79">
        <v>46165</v>
      </c>
      <c r="C3798" s="75"/>
      <c r="D3798" s="75"/>
      <c r="E3798" s="75"/>
      <c r="F3798" s="75">
        <v>10613</v>
      </c>
      <c r="G3798" s="76" t="str">
        <f>VLOOKUP(Tabelle2[[#This Row],[Kunden Nr.]],KUNDEN!A:B,2,0)</f>
        <v>TE KELA</v>
      </c>
      <c r="H3798" s="75">
        <v>44001</v>
      </c>
      <c r="I3798" s="76" t="str">
        <f>VLOOKUP(Tabelle2[[#This Row],[Artikel]],Produkte!A:B,2,0)</f>
        <v>Fettspray</v>
      </c>
      <c r="J3798" s="75">
        <v>2</v>
      </c>
      <c r="K3798" s="76" t="str">
        <f>VLOOKUP(Tabelle2[[#This Row],[Kunden Nr.]],KUNDEN!A:G,7)</f>
        <v>Qerimi</v>
      </c>
      <c r="L3798" s="76">
        <f>VLOOKUP(Tabelle2[[#This Row],[Artikel]],Produkte!A:H,8)</f>
        <v>0.2</v>
      </c>
    </row>
    <row r="3799" spans="1:12" x14ac:dyDescent="0.2">
      <c r="A3799" s="75" t="s">
        <v>605</v>
      </c>
      <c r="B3799" s="79">
        <v>46165</v>
      </c>
      <c r="C3799" s="75"/>
      <c r="D3799" s="75"/>
      <c r="E3799" s="75"/>
      <c r="F3799" s="75">
        <v>10613</v>
      </c>
      <c r="G3799" s="76" t="str">
        <f>VLOOKUP(Tabelle2[[#This Row],[Kunden Nr.]],KUNDEN!A:B,2,0)</f>
        <v>TE KELA</v>
      </c>
      <c r="H3799" s="75">
        <v>54412</v>
      </c>
      <c r="I3799" s="76" t="str">
        <f>VLOOKUP(Tabelle2[[#This Row],[Artikel]],Produkte!A:B,2,0)</f>
        <v>beMAKER Bremsen&amp;Teile Reininger</v>
      </c>
      <c r="J3799" s="75">
        <v>4</v>
      </c>
      <c r="K3799" s="76" t="str">
        <f>VLOOKUP(Tabelle2[[#This Row],[Kunden Nr.]],KUNDEN!A:G,7)</f>
        <v>Qerimi</v>
      </c>
      <c r="L3799" s="76">
        <f>VLOOKUP(Tabelle2[[#This Row],[Artikel]],Produkte!A:H,8)</f>
        <v>0.2</v>
      </c>
    </row>
    <row r="3800" spans="1:12" x14ac:dyDescent="0.2">
      <c r="A3800" s="75" t="s">
        <v>610</v>
      </c>
      <c r="B3800" s="79">
        <v>46165</v>
      </c>
      <c r="C3800" s="89">
        <v>42.6</v>
      </c>
      <c r="D3800" s="75"/>
      <c r="E3800" s="75"/>
      <c r="F3800" s="75">
        <v>10618</v>
      </c>
      <c r="G3800" s="76" t="str">
        <f>VLOOKUP(Tabelle2[[#This Row],[Kunden Nr.]],KUNDEN!A:B,2,0)</f>
        <v>TE KASTRIOTI</v>
      </c>
      <c r="H3800" s="75">
        <v>51611</v>
      </c>
      <c r="I3800" s="76" t="str">
        <f>VLOOKUP(Tabelle2[[#This Row],[Artikel]],Produkte!A:B,2,0)</f>
        <v>universal akryl</v>
      </c>
      <c r="J3800" s="75">
        <v>12</v>
      </c>
      <c r="K3800" s="76" t="str">
        <f>VLOOKUP(Tabelle2[[#This Row],[Kunden Nr.]],KUNDEN!A:G,7)</f>
        <v>Qerimi</v>
      </c>
      <c r="L3800" s="76">
        <f>VLOOKUP(Tabelle2[[#This Row],[Artikel]],Produkte!A:H,8)</f>
        <v>0.06</v>
      </c>
    </row>
    <row r="3801" spans="1:12" x14ac:dyDescent="0.2">
      <c r="A3801" s="75" t="s">
        <v>610</v>
      </c>
      <c r="B3801" s="79">
        <v>46165</v>
      </c>
      <c r="C3801" s="75"/>
      <c r="D3801" s="75"/>
      <c r="E3801" s="75"/>
      <c r="F3801" s="75">
        <v>10618</v>
      </c>
      <c r="G3801" s="76" t="str">
        <f>VLOOKUP(Tabelle2[[#This Row],[Kunden Nr.]],KUNDEN!A:B,2,0)</f>
        <v>TE KASTRIOTI</v>
      </c>
      <c r="H3801" s="75">
        <v>51612</v>
      </c>
      <c r="I3801" s="76" t="str">
        <f>VLOOKUP(Tabelle2[[#This Row],[Artikel]],Produkte!A:B,2,0)</f>
        <v>struktural akryl</v>
      </c>
      <c r="J3801" s="75">
        <v>12</v>
      </c>
      <c r="K3801" s="76" t="str">
        <f>VLOOKUP(Tabelle2[[#This Row],[Kunden Nr.]],KUNDEN!A:G,7)</f>
        <v>Qerimi</v>
      </c>
      <c r="L3801" s="76">
        <f>VLOOKUP(Tabelle2[[#This Row],[Artikel]],Produkte!A:H,8)</f>
        <v>0.06</v>
      </c>
    </row>
    <row r="3802" spans="1:12" x14ac:dyDescent="0.2">
      <c r="A3802" s="75" t="s">
        <v>611</v>
      </c>
      <c r="B3802" s="79">
        <v>46165</v>
      </c>
      <c r="C3802" s="89">
        <v>39</v>
      </c>
      <c r="D3802" s="75"/>
      <c r="E3802" s="75"/>
      <c r="F3802" s="75">
        <v>10619</v>
      </c>
      <c r="G3802" s="76" t="str">
        <f>VLOOKUP(Tabelle2[[#This Row],[Kunden Nr.]],KUNDEN!A:B,2,0)</f>
        <v>BECOLOR</v>
      </c>
      <c r="H3802" s="75">
        <v>16936</v>
      </c>
      <c r="I3802" s="76" t="str">
        <f>VLOOKUP(Tabelle2[[#This Row],[Artikel]],Produkte!A:B,2,0)</f>
        <v>M ONE FELGENSILBER</v>
      </c>
      <c r="J3802" s="75">
        <v>4</v>
      </c>
      <c r="K3802" s="76" t="str">
        <f>VLOOKUP(Tabelle2[[#This Row],[Kunden Nr.]],KUNDEN!A:G,7)</f>
        <v>Qerimi</v>
      </c>
      <c r="L3802" s="76">
        <f>VLOOKUP(Tabelle2[[#This Row],[Artikel]],Produkte!A:H,8)</f>
        <v>0.15</v>
      </c>
    </row>
    <row r="3803" spans="1:12" x14ac:dyDescent="0.2">
      <c r="A3803" s="75" t="s">
        <v>611</v>
      </c>
      <c r="B3803" s="79">
        <v>46165</v>
      </c>
      <c r="C3803" s="75"/>
      <c r="D3803" s="75"/>
      <c r="E3803" s="75"/>
      <c r="F3803" s="75">
        <v>10619</v>
      </c>
      <c r="G3803" s="76" t="str">
        <f>VLOOKUP(Tabelle2[[#This Row],[Kunden Nr.]],KUNDEN!A:B,2,0)</f>
        <v>BECOLOR</v>
      </c>
      <c r="H3803" s="75">
        <v>69236</v>
      </c>
      <c r="I3803" s="76" t="str">
        <f>VLOOKUP(Tabelle2[[#This Row],[Artikel]],Produkte!A:B,2,0)</f>
        <v>M ONE WEISS GLÄNZEND</v>
      </c>
      <c r="J3803" s="75">
        <v>1</v>
      </c>
      <c r="K3803" s="76" t="str">
        <f>VLOOKUP(Tabelle2[[#This Row],[Kunden Nr.]],KUNDEN!A:G,7)</f>
        <v>Qerimi</v>
      </c>
      <c r="L3803" s="76">
        <f>VLOOKUP(Tabelle2[[#This Row],[Artikel]],Produkte!A:H,8)</f>
        <v>0.15</v>
      </c>
    </row>
    <row r="3804" spans="1:12" x14ac:dyDescent="0.2">
      <c r="A3804" s="75" t="s">
        <v>611</v>
      </c>
      <c r="B3804" s="79">
        <v>46165</v>
      </c>
      <c r="C3804" s="75"/>
      <c r="D3804" s="75"/>
      <c r="E3804" s="75"/>
      <c r="F3804" s="75">
        <v>10619</v>
      </c>
      <c r="G3804" s="76" t="str">
        <f>VLOOKUP(Tabelle2[[#This Row],[Kunden Nr.]],KUNDEN!A:B,2,0)</f>
        <v>BECOLOR</v>
      </c>
      <c r="H3804" s="75">
        <v>31812</v>
      </c>
      <c r="I3804" s="76" t="str">
        <f>VLOOKUP(Tabelle2[[#This Row],[Artikel]],Produkte!A:B,2,0)</f>
        <v>M ONE LACK GELB</v>
      </c>
      <c r="J3804" s="75">
        <v>1</v>
      </c>
      <c r="K3804" s="76" t="str">
        <f>VLOOKUP(Tabelle2[[#This Row],[Kunden Nr.]],KUNDEN!A:G,7)</f>
        <v>Qerimi</v>
      </c>
      <c r="L3804" s="76">
        <f>VLOOKUP(Tabelle2[[#This Row],[Artikel]],Produkte!A:H,8)</f>
        <v>0.15</v>
      </c>
    </row>
    <row r="3805" spans="1:12" x14ac:dyDescent="0.2">
      <c r="A3805" s="75" t="s">
        <v>611</v>
      </c>
      <c r="B3805" s="79">
        <v>46165</v>
      </c>
      <c r="C3805" s="75"/>
      <c r="D3805" s="75"/>
      <c r="E3805" s="75"/>
      <c r="F3805" s="75">
        <v>10619</v>
      </c>
      <c r="G3805" s="76" t="str">
        <f>VLOOKUP(Tabelle2[[#This Row],[Kunden Nr.]],KUNDEN!A:B,2,0)</f>
        <v>BECOLOR</v>
      </c>
      <c r="H3805" s="75">
        <v>56117</v>
      </c>
      <c r="I3805" s="76" t="str">
        <f>VLOOKUP(Tabelle2[[#This Row],[Artikel]],Produkte!A:B,2,0)</f>
        <v>M ONE UBS</v>
      </c>
      <c r="J3805" s="75">
        <v>6</v>
      </c>
      <c r="K3805" s="76" t="str">
        <f>VLOOKUP(Tabelle2[[#This Row],[Kunden Nr.]],KUNDEN!A:G,7)</f>
        <v>Qerimi</v>
      </c>
      <c r="L3805" s="76">
        <f>VLOOKUP(Tabelle2[[#This Row],[Artikel]],Produkte!A:H,8)</f>
        <v>0.2</v>
      </c>
    </row>
    <row r="3806" spans="1:12" x14ac:dyDescent="0.2">
      <c r="A3806" s="75" t="s">
        <v>974</v>
      </c>
      <c r="B3806" s="79">
        <v>46165</v>
      </c>
      <c r="C3806" s="89">
        <v>480</v>
      </c>
      <c r="D3806" s="75"/>
      <c r="E3806" s="75"/>
      <c r="F3806" s="75">
        <v>20614</v>
      </c>
      <c r="G3806" s="76" t="str">
        <f>VLOOKUP(Tabelle2[[#This Row],[Kunden Nr.]],KUNDEN!A:B,2,0)</f>
        <v>AS QERAMIKA</v>
      </c>
      <c r="H3806" s="75">
        <v>35109</v>
      </c>
      <c r="I3806" s="76" t="str">
        <f>VLOOKUP(Tabelle2[[#This Row],[Artikel]],Produkte!A:B,2,0)</f>
        <v>M-ONE Sanitar Silikon</v>
      </c>
      <c r="J3806" s="75">
        <v>240</v>
      </c>
      <c r="K3806" s="76" t="str">
        <f>VLOOKUP(Tabelle2[[#This Row],[Kunden Nr.]],KUNDEN!A:G,7)</f>
        <v>Mensuri</v>
      </c>
      <c r="L3806" s="76">
        <f>VLOOKUP(Tabelle2[[#This Row],[Artikel]],Produkte!A:H,8)</f>
        <v>0.17</v>
      </c>
    </row>
    <row r="3807" spans="1:12" x14ac:dyDescent="0.2">
      <c r="A3807" s="75" t="s">
        <v>1322</v>
      </c>
      <c r="B3807" s="79">
        <v>46165</v>
      </c>
      <c r="C3807" s="89">
        <v>144</v>
      </c>
      <c r="D3807" s="75"/>
      <c r="E3807" s="75"/>
      <c r="F3807" s="75">
        <v>20635</v>
      </c>
      <c r="G3807" s="76" t="e">
        <f>VLOOKUP(Tabelle2[[#This Row],[Kunden Nr.]],KUNDEN!A:B,2,0)</f>
        <v>#N/A</v>
      </c>
      <c r="H3807" s="75">
        <v>35110</v>
      </c>
      <c r="I3807" s="76" t="str">
        <f>VLOOKUP(Tabelle2[[#This Row],[Artikel]],Produkte!A:B,2,0)</f>
        <v>M-ONE Sanitar Silikon</v>
      </c>
      <c r="J3807" s="75">
        <v>12</v>
      </c>
      <c r="K3807" s="76" t="str">
        <f>VLOOKUP(Tabelle2[[#This Row],[Kunden Nr.]],KUNDEN!A:G,7)</f>
        <v>Mensuri</v>
      </c>
      <c r="L3807" s="76">
        <f>VLOOKUP(Tabelle2[[#This Row],[Artikel]],Produkte!A:H,8)</f>
        <v>0.17</v>
      </c>
    </row>
    <row r="3808" spans="1:12" x14ac:dyDescent="0.2">
      <c r="A3808" s="75" t="s">
        <v>1322</v>
      </c>
      <c r="B3808" s="79">
        <v>46165</v>
      </c>
      <c r="C3808" s="75"/>
      <c r="D3808" s="75"/>
      <c r="E3808" s="75"/>
      <c r="F3808" s="75">
        <v>20635</v>
      </c>
      <c r="G3808" s="76" t="e">
        <f>VLOOKUP(Tabelle2[[#This Row],[Kunden Nr.]],KUNDEN!A:B,2,0)</f>
        <v>#N/A</v>
      </c>
      <c r="H3808" s="75">
        <v>35111</v>
      </c>
      <c r="I3808" s="76" t="str">
        <f>VLOOKUP(Tabelle2[[#This Row],[Artikel]],Produkte!A:B,2,0)</f>
        <v>M-ONE Sanitar Silikon</v>
      </c>
      <c r="J3808" s="75">
        <v>12</v>
      </c>
      <c r="K3808" s="76" t="str">
        <f>VLOOKUP(Tabelle2[[#This Row],[Kunden Nr.]],KUNDEN!A:G,7)</f>
        <v>Mensuri</v>
      </c>
      <c r="L3808" s="76">
        <f>VLOOKUP(Tabelle2[[#This Row],[Artikel]],Produkte!A:H,8)</f>
        <v>0.17</v>
      </c>
    </row>
    <row r="3809" spans="1:12" x14ac:dyDescent="0.2">
      <c r="A3809" s="75" t="s">
        <v>1322</v>
      </c>
      <c r="B3809" s="79">
        <v>46165</v>
      </c>
      <c r="C3809" s="75"/>
      <c r="D3809" s="75"/>
      <c r="E3809" s="75"/>
      <c r="F3809" s="75">
        <v>20635</v>
      </c>
      <c r="G3809" s="76" t="e">
        <f>VLOOKUP(Tabelle2[[#This Row],[Kunden Nr.]],KUNDEN!A:B,2,0)</f>
        <v>#N/A</v>
      </c>
      <c r="H3809" s="75">
        <v>35115</v>
      </c>
      <c r="I3809" s="76" t="str">
        <f>VLOOKUP(Tabelle2[[#This Row],[Artikel]],Produkte!A:B,2,0)</f>
        <v>M-ONE Sanitar Silikon</v>
      </c>
      <c r="J3809" s="75">
        <v>12</v>
      </c>
      <c r="K3809" s="76" t="str">
        <f>VLOOKUP(Tabelle2[[#This Row],[Kunden Nr.]],KUNDEN!A:G,7)</f>
        <v>Mensuri</v>
      </c>
      <c r="L3809" s="76">
        <f>VLOOKUP(Tabelle2[[#This Row],[Artikel]],Produkte!A:H,8)</f>
        <v>0.17</v>
      </c>
    </row>
    <row r="3810" spans="1:12" x14ac:dyDescent="0.2">
      <c r="A3810" s="75" t="s">
        <v>1232</v>
      </c>
      <c r="B3810" s="79">
        <v>46165</v>
      </c>
      <c r="C3810" s="89">
        <v>251.1</v>
      </c>
      <c r="D3810" s="75"/>
      <c r="E3810" s="75"/>
      <c r="F3810" s="75">
        <v>20630</v>
      </c>
      <c r="G3810" s="76" t="str">
        <f>VLOOKUP(Tabelle2[[#This Row],[Kunden Nr.]],KUNDEN!A:B,2,0)</f>
        <v>HIDRO DANI</v>
      </c>
      <c r="H3810" s="75">
        <v>35110</v>
      </c>
      <c r="I3810" s="76" t="str">
        <f>VLOOKUP(Tabelle2[[#This Row],[Artikel]],Produkte!A:B,2,0)</f>
        <v>M-ONE Sanitar Silikon</v>
      </c>
      <c r="J3810" s="75">
        <v>12</v>
      </c>
      <c r="K3810" s="76" t="str">
        <f>VLOOKUP(Tabelle2[[#This Row],[Kunden Nr.]],KUNDEN!A:G,7)</f>
        <v>Mensuri</v>
      </c>
      <c r="L3810" s="76">
        <f>VLOOKUP(Tabelle2[[#This Row],[Artikel]],Produkte!A:H,8)</f>
        <v>0.17</v>
      </c>
    </row>
    <row r="3811" spans="1:12" x14ac:dyDescent="0.2">
      <c r="A3811" s="75" t="s">
        <v>1232</v>
      </c>
      <c r="B3811" s="79">
        <v>46165</v>
      </c>
      <c r="C3811" s="75"/>
      <c r="D3811" s="75"/>
      <c r="E3811" s="75"/>
      <c r="F3811" s="75">
        <v>20630</v>
      </c>
      <c r="G3811" s="76" t="str">
        <f>VLOOKUP(Tabelle2[[#This Row],[Kunden Nr.]],KUNDEN!A:B,2,0)</f>
        <v>HIDRO DANI</v>
      </c>
      <c r="H3811" s="75">
        <v>35111</v>
      </c>
      <c r="I3811" s="76" t="str">
        <f>VLOOKUP(Tabelle2[[#This Row],[Artikel]],Produkte!A:B,2,0)</f>
        <v>M-ONE Sanitar Silikon</v>
      </c>
      <c r="J3811" s="75">
        <v>12</v>
      </c>
      <c r="K3811" s="76" t="str">
        <f>VLOOKUP(Tabelle2[[#This Row],[Kunden Nr.]],KUNDEN!A:G,7)</f>
        <v>Mensuri</v>
      </c>
      <c r="L3811" s="76">
        <f>VLOOKUP(Tabelle2[[#This Row],[Artikel]],Produkte!A:H,8)</f>
        <v>0.17</v>
      </c>
    </row>
    <row r="3812" spans="1:12" x14ac:dyDescent="0.2">
      <c r="A3812" s="75" t="s">
        <v>1232</v>
      </c>
      <c r="B3812" s="79">
        <v>46165</v>
      </c>
      <c r="C3812" s="75"/>
      <c r="D3812" s="75"/>
      <c r="E3812" s="75"/>
      <c r="F3812" s="75">
        <v>20630</v>
      </c>
      <c r="G3812" s="76" t="str">
        <f>VLOOKUP(Tabelle2[[#This Row],[Kunden Nr.]],KUNDEN!A:B,2,0)</f>
        <v>HIDRO DANI</v>
      </c>
      <c r="H3812" s="75">
        <v>35109</v>
      </c>
      <c r="I3812" s="76" t="str">
        <f>VLOOKUP(Tabelle2[[#This Row],[Artikel]],Produkte!A:B,2,0)</f>
        <v>M-ONE Sanitar Silikon</v>
      </c>
      <c r="J3812" s="75">
        <v>12</v>
      </c>
      <c r="K3812" s="76" t="str">
        <f>VLOOKUP(Tabelle2[[#This Row],[Kunden Nr.]],KUNDEN!A:G,7)</f>
        <v>Mensuri</v>
      </c>
      <c r="L3812" s="76">
        <f>VLOOKUP(Tabelle2[[#This Row],[Artikel]],Produkte!A:H,8)</f>
        <v>0.17</v>
      </c>
    </row>
    <row r="3813" spans="1:12" x14ac:dyDescent="0.2">
      <c r="A3813" s="75" t="s">
        <v>1232</v>
      </c>
      <c r="B3813" s="79">
        <v>46165</v>
      </c>
      <c r="C3813" s="75"/>
      <c r="D3813" s="75"/>
      <c r="E3813" s="75"/>
      <c r="F3813" s="75">
        <v>20630</v>
      </c>
      <c r="G3813" s="76" t="str">
        <f>VLOOKUP(Tabelle2[[#This Row],[Kunden Nr.]],KUNDEN!A:B,2,0)</f>
        <v>HIDRO DANI</v>
      </c>
      <c r="H3813" s="75">
        <v>66701</v>
      </c>
      <c r="I3813" s="76" t="str">
        <f>VLOOKUP(Tabelle2[[#This Row],[Artikel]],Produkte!A:B,2,0)</f>
        <v>PROFIMONT EXTREME</v>
      </c>
      <c r="J3813" s="75">
        <v>12</v>
      </c>
      <c r="K3813" s="76" t="str">
        <f>VLOOKUP(Tabelle2[[#This Row],[Kunden Nr.]],KUNDEN!A:G,7)</f>
        <v>Mensuri</v>
      </c>
      <c r="L3813" s="76">
        <f>VLOOKUP(Tabelle2[[#This Row],[Artikel]],Produkte!A:H,8)</f>
        <v>0.2</v>
      </c>
    </row>
    <row r="3814" spans="1:12" x14ac:dyDescent="0.2">
      <c r="A3814" s="75" t="s">
        <v>1232</v>
      </c>
      <c r="B3814" s="79">
        <v>46165</v>
      </c>
      <c r="C3814" s="75"/>
      <c r="D3814" s="75"/>
      <c r="E3814" s="75"/>
      <c r="F3814" s="75">
        <v>20630</v>
      </c>
      <c r="G3814" s="76" t="str">
        <f>VLOOKUP(Tabelle2[[#This Row],[Kunden Nr.]],KUNDEN!A:B,2,0)</f>
        <v>HIDRO DANI</v>
      </c>
      <c r="H3814" s="75">
        <v>51611</v>
      </c>
      <c r="I3814" s="76" t="str">
        <f>VLOOKUP(Tabelle2[[#This Row],[Artikel]],Produkte!A:B,2,0)</f>
        <v>universal akryl</v>
      </c>
      <c r="J3814" s="75">
        <v>12</v>
      </c>
      <c r="K3814" s="76" t="str">
        <f>VLOOKUP(Tabelle2[[#This Row],[Kunden Nr.]],KUNDEN!A:G,7)</f>
        <v>Mensuri</v>
      </c>
      <c r="L3814" s="76">
        <f>VLOOKUP(Tabelle2[[#This Row],[Artikel]],Produkte!A:H,8)</f>
        <v>0.06</v>
      </c>
    </row>
    <row r="3815" spans="1:12" x14ac:dyDescent="0.2">
      <c r="A3815" s="75" t="s">
        <v>1232</v>
      </c>
      <c r="B3815" s="79">
        <v>46165</v>
      </c>
      <c r="C3815" s="75"/>
      <c r="D3815" s="75"/>
      <c r="E3815" s="75"/>
      <c r="F3815" s="75">
        <v>20630</v>
      </c>
      <c r="G3815" s="76" t="str">
        <f>VLOOKUP(Tabelle2[[#This Row],[Kunden Nr.]],KUNDEN!A:B,2,0)</f>
        <v>HIDRO DANI</v>
      </c>
      <c r="H3815" s="75">
        <v>31822</v>
      </c>
      <c r="I3815" s="76" t="str">
        <f>VLOOKUP(Tabelle2[[#This Row],[Artikel]],Produkte!A:B,2,0)</f>
        <v>M ONE GOLD SPRAY</v>
      </c>
      <c r="J3815" s="75">
        <v>6</v>
      </c>
      <c r="K3815" s="76" t="str">
        <f>VLOOKUP(Tabelle2[[#This Row],[Kunden Nr.]],KUNDEN!A:G,7)</f>
        <v>Mensuri</v>
      </c>
      <c r="L3815" s="76">
        <f>VLOOKUP(Tabelle2[[#This Row],[Artikel]],Produkte!A:H,8)</f>
        <v>0.15</v>
      </c>
    </row>
    <row r="3816" spans="1:12" x14ac:dyDescent="0.2">
      <c r="A3816" s="75" t="s">
        <v>1232</v>
      </c>
      <c r="B3816" s="79">
        <v>46165</v>
      </c>
      <c r="C3816" s="75"/>
      <c r="D3816" s="75"/>
      <c r="E3816" s="75"/>
      <c r="F3816" s="75">
        <v>20630</v>
      </c>
      <c r="G3816" s="76" t="str">
        <f>VLOOKUP(Tabelle2[[#This Row],[Kunden Nr.]],KUNDEN!A:B,2,0)</f>
        <v>HIDRO DANI</v>
      </c>
      <c r="H3816" s="75">
        <v>16936</v>
      </c>
      <c r="I3816" s="76" t="str">
        <f>VLOOKUP(Tabelle2[[#This Row],[Artikel]],Produkte!A:B,2,0)</f>
        <v>M ONE FELGENSILBER</v>
      </c>
      <c r="J3816" s="75">
        <v>3</v>
      </c>
      <c r="K3816" s="76" t="str">
        <f>VLOOKUP(Tabelle2[[#This Row],[Kunden Nr.]],KUNDEN!A:G,7)</f>
        <v>Mensuri</v>
      </c>
      <c r="L3816" s="76">
        <f>VLOOKUP(Tabelle2[[#This Row],[Artikel]],Produkte!A:H,8)</f>
        <v>0.15</v>
      </c>
    </row>
    <row r="3817" spans="1:12" x14ac:dyDescent="0.2">
      <c r="A3817" s="75" t="s">
        <v>1305</v>
      </c>
      <c r="B3817" s="79">
        <v>46165</v>
      </c>
      <c r="C3817" s="89">
        <v>96</v>
      </c>
      <c r="D3817" s="75"/>
      <c r="E3817" s="75"/>
      <c r="F3817" s="75">
        <v>20622</v>
      </c>
      <c r="G3817" s="76" t="str">
        <f>VLOOKUP(Tabelle2[[#This Row],[Kunden Nr.]],KUNDEN!A:B,2,0)</f>
        <v>ILIRI QERAMIKA</v>
      </c>
      <c r="H3817" s="75">
        <v>35109</v>
      </c>
      <c r="I3817" s="76" t="str">
        <f>VLOOKUP(Tabelle2[[#This Row],[Artikel]],Produkte!A:B,2,0)</f>
        <v>M-ONE Sanitar Silikon</v>
      </c>
      <c r="J3817" s="75">
        <v>12</v>
      </c>
      <c r="K3817" s="76" t="str">
        <f>VLOOKUP(Tabelle2[[#This Row],[Kunden Nr.]],KUNDEN!A:G,7)</f>
        <v>Mensuri</v>
      </c>
      <c r="L3817" s="76">
        <f>VLOOKUP(Tabelle2[[#This Row],[Artikel]],Produkte!A:H,8)</f>
        <v>0.17</v>
      </c>
    </row>
    <row r="3818" spans="1:12" x14ac:dyDescent="0.2">
      <c r="A3818" s="75" t="s">
        <v>1305</v>
      </c>
      <c r="B3818" s="79">
        <v>46165</v>
      </c>
      <c r="C3818" s="75"/>
      <c r="D3818" s="75"/>
      <c r="E3818" s="75"/>
      <c r="F3818" s="75">
        <v>20622</v>
      </c>
      <c r="G3818" s="76" t="str">
        <f>VLOOKUP(Tabelle2[[#This Row],[Kunden Nr.]],KUNDEN!A:B,2,0)</f>
        <v>ILIRI QERAMIKA</v>
      </c>
      <c r="H3818" s="75">
        <v>35121</v>
      </c>
      <c r="I3818" s="76" t="str">
        <f>VLOOKUP(Tabelle2[[#This Row],[Artikel]],Produkte!A:B,2,0)</f>
        <v>M-ONE Sanitar Silikon</v>
      </c>
      <c r="J3818" s="75">
        <v>12</v>
      </c>
      <c r="K3818" s="76" t="str">
        <f>VLOOKUP(Tabelle2[[#This Row],[Kunden Nr.]],KUNDEN!A:G,7)</f>
        <v>Mensuri</v>
      </c>
      <c r="L3818" s="76">
        <f>VLOOKUP(Tabelle2[[#This Row],[Artikel]],Produkte!A:H,8)</f>
        <v>0.17</v>
      </c>
    </row>
    <row r="3819" spans="1:12" x14ac:dyDescent="0.2">
      <c r="A3819" s="75" t="s">
        <v>1171</v>
      </c>
      <c r="B3819" s="79">
        <v>46165</v>
      </c>
      <c r="C3819" s="89">
        <v>186.6</v>
      </c>
      <c r="D3819" s="75"/>
      <c r="E3819" s="75"/>
      <c r="F3819" s="75">
        <v>20627</v>
      </c>
      <c r="G3819" s="76" t="str">
        <f>VLOOKUP(Tabelle2[[#This Row],[Kunden Nr.]],KUNDEN!A:B,2,0)</f>
        <v>UNIKA</v>
      </c>
      <c r="H3819" s="75">
        <v>35110</v>
      </c>
      <c r="I3819" s="76" t="str">
        <f>VLOOKUP(Tabelle2[[#This Row],[Artikel]],Produkte!A:B,2,0)</f>
        <v>M-ONE Sanitar Silikon</v>
      </c>
      <c r="J3819" s="75">
        <v>24</v>
      </c>
      <c r="K3819" s="76" t="str">
        <f>VLOOKUP(Tabelle2[[#This Row],[Kunden Nr.]],KUNDEN!A:G,7)</f>
        <v>Mensuri</v>
      </c>
      <c r="L3819" s="76">
        <f>VLOOKUP(Tabelle2[[#This Row],[Artikel]],Produkte!A:H,8)</f>
        <v>0.17</v>
      </c>
    </row>
    <row r="3820" spans="1:12" x14ac:dyDescent="0.2">
      <c r="A3820" s="75" t="s">
        <v>1171</v>
      </c>
      <c r="B3820" s="79">
        <v>46165</v>
      </c>
      <c r="C3820" s="75"/>
      <c r="D3820" s="75"/>
      <c r="E3820" s="75"/>
      <c r="F3820" s="75">
        <v>20627</v>
      </c>
      <c r="G3820" s="76" t="str">
        <f>VLOOKUP(Tabelle2[[#This Row],[Kunden Nr.]],KUNDEN!A:B,2,0)</f>
        <v>UNIKA</v>
      </c>
      <c r="H3820" s="75">
        <v>35128</v>
      </c>
      <c r="I3820" s="76" t="str">
        <f>VLOOKUP(Tabelle2[[#This Row],[Artikel]],Produkte!A:B,2,0)</f>
        <v>M-ONE Sanitar Silikon</v>
      </c>
      <c r="J3820" s="75">
        <v>12</v>
      </c>
      <c r="K3820" s="76" t="str">
        <f>VLOOKUP(Tabelle2[[#This Row],[Kunden Nr.]],KUNDEN!A:G,7)</f>
        <v>Mensuri</v>
      </c>
      <c r="L3820" s="76">
        <f>VLOOKUP(Tabelle2[[#This Row],[Artikel]],Produkte!A:H,8)</f>
        <v>0.17</v>
      </c>
    </row>
    <row r="3821" spans="1:12" x14ac:dyDescent="0.2">
      <c r="A3821" s="75" t="s">
        <v>1171</v>
      </c>
      <c r="B3821" s="79">
        <v>46165</v>
      </c>
      <c r="C3821" s="75"/>
      <c r="D3821" s="75"/>
      <c r="E3821" s="75"/>
      <c r="F3821" s="75">
        <v>20627</v>
      </c>
      <c r="G3821" s="76" t="str">
        <f>VLOOKUP(Tabelle2[[#This Row],[Kunden Nr.]],KUNDEN!A:B,2,0)</f>
        <v>UNIKA</v>
      </c>
      <c r="H3821" s="75">
        <v>51611</v>
      </c>
      <c r="I3821" s="76" t="str">
        <f>VLOOKUP(Tabelle2[[#This Row],[Artikel]],Produkte!A:B,2,0)</f>
        <v>universal akryl</v>
      </c>
      <c r="J3821" s="75">
        <v>12</v>
      </c>
      <c r="K3821" s="76" t="str">
        <f>VLOOKUP(Tabelle2[[#This Row],[Kunden Nr.]],KUNDEN!A:G,7)</f>
        <v>Mensuri</v>
      </c>
      <c r="L3821" s="76">
        <f>VLOOKUP(Tabelle2[[#This Row],[Artikel]],Produkte!A:H,8)</f>
        <v>0.06</v>
      </c>
    </row>
    <row r="3822" spans="1:12" x14ac:dyDescent="0.2">
      <c r="A3822" s="75" t="s">
        <v>1171</v>
      </c>
      <c r="B3822" s="79">
        <v>46165</v>
      </c>
      <c r="C3822" s="75"/>
      <c r="D3822" s="75"/>
      <c r="E3822" s="75"/>
      <c r="F3822" s="75">
        <v>20627</v>
      </c>
      <c r="G3822" s="76" t="str">
        <f>VLOOKUP(Tabelle2[[#This Row],[Kunden Nr.]],KUNDEN!A:B,2,0)</f>
        <v>UNIKA</v>
      </c>
      <c r="H3822" s="75">
        <v>51612</v>
      </c>
      <c r="I3822" s="76" t="str">
        <f>VLOOKUP(Tabelle2[[#This Row],[Artikel]],Produkte!A:B,2,0)</f>
        <v>struktural akryl</v>
      </c>
      <c r="J3822" s="75">
        <v>12</v>
      </c>
      <c r="K3822" s="76" t="str">
        <f>VLOOKUP(Tabelle2[[#This Row],[Kunden Nr.]],KUNDEN!A:G,7)</f>
        <v>Mensuri</v>
      </c>
      <c r="L3822" s="76">
        <f>VLOOKUP(Tabelle2[[#This Row],[Artikel]],Produkte!A:H,8)</f>
        <v>0.06</v>
      </c>
    </row>
    <row r="3823" spans="1:12" x14ac:dyDescent="0.2">
      <c r="A3823" s="75" t="s">
        <v>438</v>
      </c>
      <c r="B3823" s="79">
        <v>46165</v>
      </c>
      <c r="C3823" s="89">
        <v>444.5</v>
      </c>
      <c r="D3823" s="75"/>
      <c r="E3823" s="75"/>
      <c r="F3823" s="75">
        <v>20610</v>
      </c>
      <c r="G3823" s="76" t="str">
        <f>VLOOKUP(Tabelle2[[#This Row],[Kunden Nr.]],KUNDEN!A:B,2,0)</f>
        <v>AGRO-XHETI</v>
      </c>
      <c r="H3823" s="75">
        <v>35125</v>
      </c>
      <c r="I3823" s="76" t="str">
        <f>VLOOKUP(Tabelle2[[#This Row],[Artikel]],Produkte!A:B,2,0)</f>
        <v>M-ONE Sanitar Silikon</v>
      </c>
      <c r="J3823" s="75">
        <v>24</v>
      </c>
      <c r="K3823" s="76" t="str">
        <f>VLOOKUP(Tabelle2[[#This Row],[Kunden Nr.]],KUNDEN!A:G,7)</f>
        <v>Mensuri</v>
      </c>
      <c r="L3823" s="76">
        <f>VLOOKUP(Tabelle2[[#This Row],[Artikel]],Produkte!A:H,8)</f>
        <v>0.17</v>
      </c>
    </row>
    <row r="3824" spans="1:12" x14ac:dyDescent="0.2">
      <c r="A3824" s="75" t="s">
        <v>438</v>
      </c>
      <c r="B3824" s="79">
        <v>46165</v>
      </c>
      <c r="C3824" s="75"/>
      <c r="D3824" s="75"/>
      <c r="E3824" s="75"/>
      <c r="F3824" s="75">
        <v>20610</v>
      </c>
      <c r="G3824" s="76" t="str">
        <f>VLOOKUP(Tabelle2[[#This Row],[Kunden Nr.]],KUNDEN!A:B,2,0)</f>
        <v>AGRO-XHETI</v>
      </c>
      <c r="H3824" s="75">
        <v>35128</v>
      </c>
      <c r="I3824" s="76" t="str">
        <f>VLOOKUP(Tabelle2[[#This Row],[Artikel]],Produkte!A:B,2,0)</f>
        <v>M-ONE Sanitar Silikon</v>
      </c>
      <c r="J3824" s="75">
        <v>12</v>
      </c>
      <c r="K3824" s="76" t="str">
        <f>VLOOKUP(Tabelle2[[#This Row],[Kunden Nr.]],KUNDEN!A:G,7)</f>
        <v>Mensuri</v>
      </c>
      <c r="L3824" s="76">
        <f>VLOOKUP(Tabelle2[[#This Row],[Artikel]],Produkte!A:H,8)</f>
        <v>0.17</v>
      </c>
    </row>
    <row r="3825" spans="1:12" x14ac:dyDescent="0.2">
      <c r="A3825" s="75" t="s">
        <v>438</v>
      </c>
      <c r="B3825" s="79">
        <v>46165</v>
      </c>
      <c r="C3825" s="75"/>
      <c r="D3825" s="75"/>
      <c r="E3825" s="75"/>
      <c r="F3825" s="75">
        <v>20610</v>
      </c>
      <c r="G3825" s="76" t="str">
        <f>VLOOKUP(Tabelle2[[#This Row],[Kunden Nr.]],KUNDEN!A:B,2,0)</f>
        <v>AGRO-XHETI</v>
      </c>
      <c r="H3825" s="75">
        <v>35113</v>
      </c>
      <c r="I3825" s="76" t="str">
        <f>VLOOKUP(Tabelle2[[#This Row],[Artikel]],Produkte!A:B,2,0)</f>
        <v>M-ONE Sanitar Silikon</v>
      </c>
      <c r="J3825" s="75">
        <v>24</v>
      </c>
      <c r="K3825" s="76" t="str">
        <f>VLOOKUP(Tabelle2[[#This Row],[Kunden Nr.]],KUNDEN!A:G,7)</f>
        <v>Mensuri</v>
      </c>
      <c r="L3825" s="76">
        <f>VLOOKUP(Tabelle2[[#This Row],[Artikel]],Produkte!A:H,8)</f>
        <v>0.17</v>
      </c>
    </row>
    <row r="3826" spans="1:12" x14ac:dyDescent="0.2">
      <c r="A3826" s="75" t="s">
        <v>438</v>
      </c>
      <c r="B3826" s="79">
        <v>46165</v>
      </c>
      <c r="C3826" s="75"/>
      <c r="D3826" s="75"/>
      <c r="E3826" s="75"/>
      <c r="F3826" s="75">
        <v>20610</v>
      </c>
      <c r="G3826" s="76" t="str">
        <f>VLOOKUP(Tabelle2[[#This Row],[Kunden Nr.]],KUNDEN!A:B,2,0)</f>
        <v>AGRO-XHETI</v>
      </c>
      <c r="H3826" s="75">
        <v>35111</v>
      </c>
      <c r="I3826" s="76" t="str">
        <f>VLOOKUP(Tabelle2[[#This Row],[Artikel]],Produkte!A:B,2,0)</f>
        <v>M-ONE Sanitar Silikon</v>
      </c>
      <c r="J3826" s="75">
        <v>24</v>
      </c>
      <c r="K3826" s="76" t="str">
        <f>VLOOKUP(Tabelle2[[#This Row],[Kunden Nr.]],KUNDEN!A:G,7)</f>
        <v>Mensuri</v>
      </c>
      <c r="L3826" s="76">
        <f>VLOOKUP(Tabelle2[[#This Row],[Artikel]],Produkte!A:H,8)</f>
        <v>0.17</v>
      </c>
    </row>
    <row r="3827" spans="1:12" x14ac:dyDescent="0.2">
      <c r="A3827" s="75" t="s">
        <v>438</v>
      </c>
      <c r="B3827" s="79">
        <v>46165</v>
      </c>
      <c r="C3827" s="75"/>
      <c r="D3827" s="75"/>
      <c r="E3827" s="75"/>
      <c r="F3827" s="75">
        <v>20610</v>
      </c>
      <c r="G3827" s="76" t="str">
        <f>VLOOKUP(Tabelle2[[#This Row],[Kunden Nr.]],KUNDEN!A:B,2,0)</f>
        <v>AGRO-XHETI</v>
      </c>
      <c r="H3827" s="75">
        <v>39505</v>
      </c>
      <c r="I3827" s="76" t="str">
        <f>VLOOKUP(Tabelle2[[#This Row],[Artikel]],Produkte!A:B,2,0)</f>
        <v>M ONE SILIKON SPRAY</v>
      </c>
      <c r="J3827" s="75">
        <v>12</v>
      </c>
      <c r="K3827" s="76" t="str">
        <f>VLOOKUP(Tabelle2[[#This Row],[Kunden Nr.]],KUNDEN!A:G,7)</f>
        <v>Mensuri</v>
      </c>
      <c r="L3827" s="76">
        <f>VLOOKUP(Tabelle2[[#This Row],[Artikel]],Produkte!A:H,8)</f>
        <v>0.2</v>
      </c>
    </row>
    <row r="3828" spans="1:12" x14ac:dyDescent="0.2">
      <c r="A3828" s="75" t="s">
        <v>438</v>
      </c>
      <c r="B3828" s="79">
        <v>46165</v>
      </c>
      <c r="C3828" s="75"/>
      <c r="D3828" s="75"/>
      <c r="E3828" s="75"/>
      <c r="F3828" s="75">
        <v>20610</v>
      </c>
      <c r="G3828" s="76" t="str">
        <f>VLOOKUP(Tabelle2[[#This Row],[Kunden Nr.]],KUNDEN!A:B,2,0)</f>
        <v>AGRO-XHETI</v>
      </c>
      <c r="H3828" s="75">
        <v>44001</v>
      </c>
      <c r="I3828" s="76" t="str">
        <f>VLOOKUP(Tabelle2[[#This Row],[Artikel]],Produkte!A:B,2,0)</f>
        <v>Fettspray</v>
      </c>
      <c r="J3828" s="75">
        <v>7</v>
      </c>
      <c r="K3828" s="76" t="str">
        <f>VLOOKUP(Tabelle2[[#This Row],[Kunden Nr.]],KUNDEN!A:G,7)</f>
        <v>Mensuri</v>
      </c>
      <c r="L3828" s="76">
        <f>VLOOKUP(Tabelle2[[#This Row],[Artikel]],Produkte!A:H,8)</f>
        <v>0.2</v>
      </c>
    </row>
    <row r="3829" spans="1:12" x14ac:dyDescent="0.2">
      <c r="A3829" s="75" t="s">
        <v>438</v>
      </c>
      <c r="B3829" s="79">
        <v>46165</v>
      </c>
      <c r="C3829" s="75"/>
      <c r="D3829" s="75"/>
      <c r="E3829" s="75"/>
      <c r="F3829" s="75">
        <v>20610</v>
      </c>
      <c r="G3829" s="76" t="str">
        <f>VLOOKUP(Tabelle2[[#This Row],[Kunden Nr.]],KUNDEN!A:B,2,0)</f>
        <v>AGRO-XHETI</v>
      </c>
      <c r="H3829" s="75">
        <v>49644</v>
      </c>
      <c r="I3829" s="76" t="str">
        <f>VLOOKUP(Tabelle2[[#This Row],[Artikel]],Produkte!A:B,2,0)</f>
        <v>beMAKER Rostlöser</v>
      </c>
      <c r="J3829" s="75">
        <v>6</v>
      </c>
      <c r="K3829" s="76" t="str">
        <f>VLOOKUP(Tabelle2[[#This Row],[Kunden Nr.]],KUNDEN!A:G,7)</f>
        <v>Mensuri</v>
      </c>
      <c r="L3829" s="76">
        <f>VLOOKUP(Tabelle2[[#This Row],[Artikel]],Produkte!A:H,8)</f>
        <v>0.2</v>
      </c>
    </row>
    <row r="3830" spans="1:12" x14ac:dyDescent="0.2">
      <c r="A3830" s="75" t="s">
        <v>438</v>
      </c>
      <c r="B3830" s="79">
        <v>46165</v>
      </c>
      <c r="C3830" s="75"/>
      <c r="D3830" s="75"/>
      <c r="E3830" s="75"/>
      <c r="F3830" s="75">
        <v>20610</v>
      </c>
      <c r="G3830" s="76" t="str">
        <f>VLOOKUP(Tabelle2[[#This Row],[Kunden Nr.]],KUNDEN!A:B,2,0)</f>
        <v>AGRO-XHETI</v>
      </c>
      <c r="H3830" s="75">
        <v>50912</v>
      </c>
      <c r="I3830" s="76" t="str">
        <f>VLOOKUP(Tabelle2[[#This Row],[Artikel]],Produkte!A:B,2,0)</f>
        <v>DICHTUNG</v>
      </c>
      <c r="J3830" s="75">
        <v>5</v>
      </c>
      <c r="K3830" s="76" t="str">
        <f>VLOOKUP(Tabelle2[[#This Row],[Kunden Nr.]],KUNDEN!A:G,7)</f>
        <v>Mensuri</v>
      </c>
      <c r="L3830" s="76">
        <f>VLOOKUP(Tabelle2[[#This Row],[Artikel]],Produkte!A:H,8)</f>
        <v>0.2</v>
      </c>
    </row>
    <row r="3831" spans="1:12" x14ac:dyDescent="0.2">
      <c r="A3831" s="75" t="s">
        <v>676</v>
      </c>
      <c r="B3831" s="79">
        <v>46165</v>
      </c>
      <c r="C3831" s="89">
        <v>154</v>
      </c>
      <c r="D3831" s="75"/>
      <c r="E3831" s="75"/>
      <c r="F3831" s="75">
        <v>20607</v>
      </c>
      <c r="G3831" s="76" t="str">
        <f>VLOOKUP(Tabelle2[[#This Row],[Kunden Nr.]],KUNDEN!A:B,2,0)</f>
        <v xml:space="preserve">F.V. SH.P.K. </v>
      </c>
      <c r="H3831" s="75">
        <v>35115</v>
      </c>
      <c r="I3831" s="76" t="str">
        <f>VLOOKUP(Tabelle2[[#This Row],[Artikel]],Produkte!A:B,2,0)</f>
        <v>M-ONE Sanitar Silikon</v>
      </c>
      <c r="J3831" s="75">
        <v>12</v>
      </c>
      <c r="K3831" s="76" t="str">
        <f>VLOOKUP(Tabelle2[[#This Row],[Kunden Nr.]],KUNDEN!A:G,7)</f>
        <v>Mensuri</v>
      </c>
      <c r="L3831" s="76">
        <f>VLOOKUP(Tabelle2[[#This Row],[Artikel]],Produkte!A:H,8)</f>
        <v>0.17</v>
      </c>
    </row>
    <row r="3832" spans="1:12" x14ac:dyDescent="0.2">
      <c r="A3832" s="75" t="s">
        <v>676</v>
      </c>
      <c r="B3832" s="79">
        <v>46165</v>
      </c>
      <c r="C3832" s="75"/>
      <c r="D3832" s="75"/>
      <c r="E3832" s="75"/>
      <c r="F3832" s="75">
        <v>20607</v>
      </c>
      <c r="G3832" s="76" t="str">
        <f>VLOOKUP(Tabelle2[[#This Row],[Kunden Nr.]],KUNDEN!A:B,2,0)</f>
        <v xml:space="preserve">F.V. SH.P.K. </v>
      </c>
      <c r="H3832" s="75">
        <v>35121</v>
      </c>
      <c r="I3832" s="76" t="str">
        <f>VLOOKUP(Tabelle2[[#This Row],[Artikel]],Produkte!A:B,2,0)</f>
        <v>M-ONE Sanitar Silikon</v>
      </c>
      <c r="J3832" s="75">
        <v>12</v>
      </c>
      <c r="K3832" s="76" t="str">
        <f>VLOOKUP(Tabelle2[[#This Row],[Kunden Nr.]],KUNDEN!A:G,7)</f>
        <v>Mensuri</v>
      </c>
      <c r="L3832" s="76">
        <f>VLOOKUP(Tabelle2[[#This Row],[Artikel]],Produkte!A:H,8)</f>
        <v>0.17</v>
      </c>
    </row>
    <row r="3833" spans="1:12" x14ac:dyDescent="0.2">
      <c r="A3833" s="75" t="s">
        <v>676</v>
      </c>
      <c r="B3833" s="79">
        <v>46165</v>
      </c>
      <c r="C3833" s="75"/>
      <c r="D3833" s="75"/>
      <c r="E3833" s="75"/>
      <c r="F3833" s="75">
        <v>20607</v>
      </c>
      <c r="G3833" s="76" t="str">
        <f>VLOOKUP(Tabelle2[[#This Row],[Kunden Nr.]],KUNDEN!A:B,2,0)</f>
        <v xml:space="preserve">F.V. SH.P.K. </v>
      </c>
      <c r="H3833" s="75">
        <v>35109</v>
      </c>
      <c r="I3833" s="76" t="str">
        <f>VLOOKUP(Tabelle2[[#This Row],[Artikel]],Produkte!A:B,2,0)</f>
        <v>M-ONE Sanitar Silikon</v>
      </c>
      <c r="J3833" s="75">
        <v>12</v>
      </c>
      <c r="K3833" s="76" t="str">
        <f>VLOOKUP(Tabelle2[[#This Row],[Kunden Nr.]],KUNDEN!A:G,7)</f>
        <v>Mensuri</v>
      </c>
      <c r="L3833" s="76">
        <f>VLOOKUP(Tabelle2[[#This Row],[Artikel]],Produkte!A:H,8)</f>
        <v>0.17</v>
      </c>
    </row>
    <row r="3834" spans="1:12" x14ac:dyDescent="0.2">
      <c r="A3834" s="75" t="s">
        <v>676</v>
      </c>
      <c r="B3834" s="79">
        <v>46165</v>
      </c>
      <c r="C3834" s="75"/>
      <c r="D3834" s="75"/>
      <c r="E3834" s="75"/>
      <c r="F3834" s="75">
        <v>20607</v>
      </c>
      <c r="G3834" s="76" t="str">
        <f>VLOOKUP(Tabelle2[[#This Row],[Kunden Nr.]],KUNDEN!A:B,2,0)</f>
        <v xml:space="preserve">F.V. SH.P.K. </v>
      </c>
      <c r="H3834" s="75">
        <v>26736</v>
      </c>
      <c r="I3834" s="76" t="str">
        <f>VLOOKUP(Tabelle2[[#This Row],[Artikel]],Produkte!A:B,2,0)</f>
        <v>M ONE HAFTGRUND</v>
      </c>
      <c r="J3834" s="75">
        <v>2</v>
      </c>
      <c r="K3834" s="76" t="str">
        <f>VLOOKUP(Tabelle2[[#This Row],[Kunden Nr.]],KUNDEN!A:G,7)</f>
        <v>Mensuri</v>
      </c>
      <c r="L3834" s="76">
        <f>VLOOKUP(Tabelle2[[#This Row],[Artikel]],Produkte!A:H,8)</f>
        <v>0.15</v>
      </c>
    </row>
    <row r="3835" spans="1:12" x14ac:dyDescent="0.2">
      <c r="A3835" s="75" t="s">
        <v>676</v>
      </c>
      <c r="B3835" s="79">
        <v>46165</v>
      </c>
      <c r="C3835" s="75"/>
      <c r="D3835" s="75"/>
      <c r="E3835" s="75"/>
      <c r="F3835" s="75">
        <v>20607</v>
      </c>
      <c r="G3835" s="76" t="str">
        <f>VLOOKUP(Tabelle2[[#This Row],[Kunden Nr.]],KUNDEN!A:B,2,0)</f>
        <v xml:space="preserve">F.V. SH.P.K. </v>
      </c>
      <c r="H3835" s="75">
        <v>16936</v>
      </c>
      <c r="I3835" s="76" t="str">
        <f>VLOOKUP(Tabelle2[[#This Row],[Artikel]],Produkte!A:B,2,0)</f>
        <v>M ONE FELGENSILBER</v>
      </c>
      <c r="J3835" s="75">
        <v>2</v>
      </c>
      <c r="K3835" s="76" t="str">
        <f>VLOOKUP(Tabelle2[[#This Row],[Kunden Nr.]],KUNDEN!A:G,7)</f>
        <v>Mensuri</v>
      </c>
      <c r="L3835" s="76">
        <f>VLOOKUP(Tabelle2[[#This Row],[Artikel]],Produkte!A:H,8)</f>
        <v>0.15</v>
      </c>
    </row>
    <row r="3836" spans="1:12" x14ac:dyDescent="0.2">
      <c r="A3836" s="75" t="s">
        <v>440</v>
      </c>
      <c r="B3836" s="79">
        <v>46165</v>
      </c>
      <c r="C3836" s="89">
        <v>501.6</v>
      </c>
      <c r="D3836" s="75"/>
      <c r="E3836" s="75"/>
      <c r="F3836" s="75">
        <v>20611</v>
      </c>
      <c r="G3836" s="76" t="str">
        <f>VLOOKUP(Tabelle2[[#This Row],[Kunden Nr.]],KUNDEN!A:B,2,0)</f>
        <v>TE-LUTA</v>
      </c>
      <c r="H3836" s="75">
        <v>35109</v>
      </c>
      <c r="I3836" s="76" t="str">
        <f>VLOOKUP(Tabelle2[[#This Row],[Artikel]],Produkte!A:B,2,0)</f>
        <v>M-ONE Sanitar Silikon</v>
      </c>
      <c r="J3836" s="75">
        <v>24</v>
      </c>
      <c r="K3836" s="76" t="str">
        <f>VLOOKUP(Tabelle2[[#This Row],[Kunden Nr.]],KUNDEN!A:G,7)</f>
        <v>Mensuri</v>
      </c>
      <c r="L3836" s="76">
        <f>VLOOKUP(Tabelle2[[#This Row],[Artikel]],Produkte!A:H,8)</f>
        <v>0.17</v>
      </c>
    </row>
    <row r="3837" spans="1:12" x14ac:dyDescent="0.2">
      <c r="A3837" s="75" t="s">
        <v>440</v>
      </c>
      <c r="B3837" s="79">
        <v>46165</v>
      </c>
      <c r="C3837" s="75"/>
      <c r="D3837" s="75"/>
      <c r="E3837" s="75"/>
      <c r="F3837" s="75">
        <v>20611</v>
      </c>
      <c r="G3837" s="76" t="str">
        <f>VLOOKUP(Tabelle2[[#This Row],[Kunden Nr.]],KUNDEN!A:B,2,0)</f>
        <v>TE-LUTA</v>
      </c>
      <c r="H3837" s="75">
        <v>35115</v>
      </c>
      <c r="I3837" s="76" t="str">
        <f>VLOOKUP(Tabelle2[[#This Row],[Artikel]],Produkte!A:B,2,0)</f>
        <v>M-ONE Sanitar Silikon</v>
      </c>
      <c r="J3837" s="75">
        <v>12</v>
      </c>
      <c r="K3837" s="76" t="str">
        <f>VLOOKUP(Tabelle2[[#This Row],[Kunden Nr.]],KUNDEN!A:G,7)</f>
        <v>Mensuri</v>
      </c>
      <c r="L3837" s="76">
        <f>VLOOKUP(Tabelle2[[#This Row],[Artikel]],Produkte!A:H,8)</f>
        <v>0.17</v>
      </c>
    </row>
    <row r="3838" spans="1:12" x14ac:dyDescent="0.2">
      <c r="A3838" s="75" t="s">
        <v>440</v>
      </c>
      <c r="B3838" s="79">
        <v>46165</v>
      </c>
      <c r="C3838" s="75"/>
      <c r="D3838" s="75"/>
      <c r="E3838" s="75"/>
      <c r="F3838" s="75">
        <v>20611</v>
      </c>
      <c r="G3838" s="76" t="str">
        <f>VLOOKUP(Tabelle2[[#This Row],[Kunden Nr.]],KUNDEN!A:B,2,0)</f>
        <v>TE-LUTA</v>
      </c>
      <c r="H3838" s="75">
        <v>35128</v>
      </c>
      <c r="I3838" s="76" t="str">
        <f>VLOOKUP(Tabelle2[[#This Row],[Artikel]],Produkte!A:B,2,0)</f>
        <v>M-ONE Sanitar Silikon</v>
      </c>
      <c r="J3838" s="75">
        <v>12</v>
      </c>
      <c r="K3838" s="76" t="str">
        <f>VLOOKUP(Tabelle2[[#This Row],[Kunden Nr.]],KUNDEN!A:G,7)</f>
        <v>Mensuri</v>
      </c>
      <c r="L3838" s="76">
        <f>VLOOKUP(Tabelle2[[#This Row],[Artikel]],Produkte!A:H,8)</f>
        <v>0.17</v>
      </c>
    </row>
    <row r="3839" spans="1:12" x14ac:dyDescent="0.2">
      <c r="A3839" s="75" t="s">
        <v>440</v>
      </c>
      <c r="B3839" s="79">
        <v>46165</v>
      </c>
      <c r="C3839" s="75"/>
      <c r="D3839" s="75"/>
      <c r="E3839" s="75"/>
      <c r="F3839" s="75">
        <v>20611</v>
      </c>
      <c r="G3839" s="76" t="str">
        <f>VLOOKUP(Tabelle2[[#This Row],[Kunden Nr.]],KUNDEN!A:B,2,0)</f>
        <v>TE-LUTA</v>
      </c>
      <c r="H3839" s="75">
        <v>35113</v>
      </c>
      <c r="I3839" s="76" t="str">
        <f>VLOOKUP(Tabelle2[[#This Row],[Artikel]],Produkte!A:B,2,0)</f>
        <v>M-ONE Sanitar Silikon</v>
      </c>
      <c r="J3839" s="75">
        <v>24</v>
      </c>
      <c r="K3839" s="76" t="str">
        <f>VLOOKUP(Tabelle2[[#This Row],[Kunden Nr.]],KUNDEN!A:G,7)</f>
        <v>Mensuri</v>
      </c>
      <c r="L3839" s="76">
        <f>VLOOKUP(Tabelle2[[#This Row],[Artikel]],Produkte!A:H,8)</f>
        <v>0.17</v>
      </c>
    </row>
    <row r="3840" spans="1:12" x14ac:dyDescent="0.2">
      <c r="A3840" s="75" t="s">
        <v>440</v>
      </c>
      <c r="B3840" s="79">
        <v>46165</v>
      </c>
      <c r="C3840" s="75"/>
      <c r="D3840" s="75"/>
      <c r="E3840" s="75"/>
      <c r="F3840" s="75">
        <v>20611</v>
      </c>
      <c r="G3840" s="76" t="str">
        <f>VLOOKUP(Tabelle2[[#This Row],[Kunden Nr.]],KUNDEN!A:B,2,0)</f>
        <v>TE-LUTA</v>
      </c>
      <c r="H3840" s="75">
        <v>35114</v>
      </c>
      <c r="I3840" s="76" t="str">
        <f>VLOOKUP(Tabelle2[[#This Row],[Artikel]],Produkte!A:B,2,0)</f>
        <v>M-ONE Sanitar Silikon</v>
      </c>
      <c r="J3840" s="75">
        <v>12</v>
      </c>
      <c r="K3840" s="76" t="str">
        <f>VLOOKUP(Tabelle2[[#This Row],[Kunden Nr.]],KUNDEN!A:G,7)</f>
        <v>Mensuri</v>
      </c>
      <c r="L3840" s="76">
        <f>VLOOKUP(Tabelle2[[#This Row],[Artikel]],Produkte!A:H,8)</f>
        <v>0.17</v>
      </c>
    </row>
    <row r="3841" spans="1:12" x14ac:dyDescent="0.2">
      <c r="A3841" s="75" t="s">
        <v>440</v>
      </c>
      <c r="B3841" s="79">
        <v>46165</v>
      </c>
      <c r="C3841" s="75"/>
      <c r="D3841" s="75"/>
      <c r="E3841" s="75"/>
      <c r="F3841" s="75">
        <v>20611</v>
      </c>
      <c r="G3841" s="76" t="str">
        <f>VLOOKUP(Tabelle2[[#This Row],[Kunden Nr.]],KUNDEN!A:B,2,0)</f>
        <v>TE-LUTA</v>
      </c>
      <c r="H3841" s="75">
        <v>35110</v>
      </c>
      <c r="I3841" s="76" t="str">
        <f>VLOOKUP(Tabelle2[[#This Row],[Artikel]],Produkte!A:B,2,0)</f>
        <v>M-ONE Sanitar Silikon</v>
      </c>
      <c r="J3841" s="75">
        <v>12</v>
      </c>
      <c r="K3841" s="76" t="str">
        <f>VLOOKUP(Tabelle2[[#This Row],[Kunden Nr.]],KUNDEN!A:G,7)</f>
        <v>Mensuri</v>
      </c>
      <c r="L3841" s="76">
        <f>VLOOKUP(Tabelle2[[#This Row],[Artikel]],Produkte!A:H,8)</f>
        <v>0.17</v>
      </c>
    </row>
    <row r="3842" spans="1:12" x14ac:dyDescent="0.2">
      <c r="A3842" s="75" t="s">
        <v>440</v>
      </c>
      <c r="B3842" s="79">
        <v>46165</v>
      </c>
      <c r="C3842" s="75"/>
      <c r="D3842" s="75"/>
      <c r="E3842" s="75"/>
      <c r="F3842" s="75">
        <v>20611</v>
      </c>
      <c r="G3842" s="76" t="str">
        <f>VLOOKUP(Tabelle2[[#This Row],[Kunden Nr.]],KUNDEN!A:B,2,0)</f>
        <v>TE-LUTA</v>
      </c>
      <c r="H3842" s="75">
        <v>35111</v>
      </c>
      <c r="I3842" s="76" t="str">
        <f>VLOOKUP(Tabelle2[[#This Row],[Artikel]],Produkte!A:B,2,0)</f>
        <v>M-ONE Sanitar Silikon</v>
      </c>
      <c r="J3842" s="75">
        <v>12</v>
      </c>
      <c r="K3842" s="76" t="str">
        <f>VLOOKUP(Tabelle2[[#This Row],[Kunden Nr.]],KUNDEN!A:G,7)</f>
        <v>Mensuri</v>
      </c>
      <c r="L3842" s="76">
        <f>VLOOKUP(Tabelle2[[#This Row],[Artikel]],Produkte!A:H,8)</f>
        <v>0.17</v>
      </c>
    </row>
    <row r="3843" spans="1:12" x14ac:dyDescent="0.2">
      <c r="A3843" s="75" t="s">
        <v>440</v>
      </c>
      <c r="B3843" s="79">
        <v>46165</v>
      </c>
      <c r="C3843" s="75"/>
      <c r="D3843" s="75"/>
      <c r="E3843" s="75"/>
      <c r="F3843" s="75">
        <v>20611</v>
      </c>
      <c r="G3843" s="76" t="str">
        <f>VLOOKUP(Tabelle2[[#This Row],[Kunden Nr.]],KUNDEN!A:B,2,0)</f>
        <v>TE-LUTA</v>
      </c>
      <c r="H3843" s="75">
        <v>66701</v>
      </c>
      <c r="I3843" s="76" t="str">
        <f>VLOOKUP(Tabelle2[[#This Row],[Artikel]],Produkte!A:B,2,0)</f>
        <v>PROFIMONT EXTREME</v>
      </c>
      <c r="J3843" s="75">
        <v>12</v>
      </c>
      <c r="K3843" s="76" t="str">
        <f>VLOOKUP(Tabelle2[[#This Row],[Kunden Nr.]],KUNDEN!A:G,7)</f>
        <v>Mensuri</v>
      </c>
      <c r="L3843" s="76">
        <f>VLOOKUP(Tabelle2[[#This Row],[Artikel]],Produkte!A:H,8)</f>
        <v>0.2</v>
      </c>
    </row>
    <row r="3844" spans="1:12" x14ac:dyDescent="0.2">
      <c r="A3844" s="75" t="s">
        <v>434</v>
      </c>
      <c r="B3844" s="79">
        <v>46165</v>
      </c>
      <c r="C3844" s="89">
        <v>197</v>
      </c>
      <c r="D3844" s="75"/>
      <c r="E3844" s="75"/>
      <c r="F3844" s="75">
        <v>20606</v>
      </c>
      <c r="G3844" s="76" t="str">
        <f>VLOOKUP(Tabelle2[[#This Row],[Kunden Nr.]],KUNDEN!A:B,2,0)</f>
        <v>TE-SYLA</v>
      </c>
      <c r="H3844" s="75">
        <v>35110</v>
      </c>
      <c r="I3844" s="76" t="str">
        <f>VLOOKUP(Tabelle2[[#This Row],[Artikel]],Produkte!A:B,2,0)</f>
        <v>M-ONE Sanitar Silikon</v>
      </c>
      <c r="J3844" s="75">
        <v>12</v>
      </c>
      <c r="K3844" s="76" t="str">
        <f>VLOOKUP(Tabelle2[[#This Row],[Kunden Nr.]],KUNDEN!A:G,7)</f>
        <v>Mensuri</v>
      </c>
      <c r="L3844" s="76">
        <f>VLOOKUP(Tabelle2[[#This Row],[Artikel]],Produkte!A:H,8)</f>
        <v>0.17</v>
      </c>
    </row>
    <row r="3845" spans="1:12" x14ac:dyDescent="0.2">
      <c r="A3845" s="75" t="s">
        <v>434</v>
      </c>
      <c r="B3845" s="79">
        <v>46165</v>
      </c>
      <c r="C3845" s="75"/>
      <c r="D3845" s="75"/>
      <c r="E3845" s="75"/>
      <c r="F3845" s="75">
        <v>20606</v>
      </c>
      <c r="G3845" s="76" t="str">
        <f>VLOOKUP(Tabelle2[[#This Row],[Kunden Nr.]],KUNDEN!A:B,2,0)</f>
        <v>TE-SYLA</v>
      </c>
      <c r="H3845" s="75">
        <v>35113</v>
      </c>
      <c r="I3845" s="76" t="str">
        <f>VLOOKUP(Tabelle2[[#This Row],[Artikel]],Produkte!A:B,2,0)</f>
        <v>M-ONE Sanitar Silikon</v>
      </c>
      <c r="J3845" s="75">
        <v>12</v>
      </c>
      <c r="K3845" s="76" t="str">
        <f>VLOOKUP(Tabelle2[[#This Row],[Kunden Nr.]],KUNDEN!A:G,7)</f>
        <v>Mensuri</v>
      </c>
      <c r="L3845" s="76">
        <f>VLOOKUP(Tabelle2[[#This Row],[Artikel]],Produkte!A:H,8)</f>
        <v>0.17</v>
      </c>
    </row>
    <row r="3846" spans="1:12" x14ac:dyDescent="0.2">
      <c r="A3846" s="75" t="s">
        <v>434</v>
      </c>
      <c r="B3846" s="79">
        <v>46165</v>
      </c>
      <c r="C3846" s="75"/>
      <c r="D3846" s="75"/>
      <c r="E3846" s="75"/>
      <c r="F3846" s="75">
        <v>20606</v>
      </c>
      <c r="G3846" s="76" t="str">
        <f>VLOOKUP(Tabelle2[[#This Row],[Kunden Nr.]],KUNDEN!A:B,2,0)</f>
        <v>TE-SYLA</v>
      </c>
      <c r="H3846" s="75">
        <v>35115</v>
      </c>
      <c r="I3846" s="76" t="str">
        <f>VLOOKUP(Tabelle2[[#This Row],[Artikel]],Produkte!A:B,2,0)</f>
        <v>M-ONE Sanitar Silikon</v>
      </c>
      <c r="J3846" s="75">
        <v>24</v>
      </c>
      <c r="K3846" s="76" t="str">
        <f>VLOOKUP(Tabelle2[[#This Row],[Kunden Nr.]],KUNDEN!A:G,7)</f>
        <v>Mensuri</v>
      </c>
      <c r="L3846" s="76">
        <f>VLOOKUP(Tabelle2[[#This Row],[Artikel]],Produkte!A:H,8)</f>
        <v>0.17</v>
      </c>
    </row>
    <row r="3847" spans="1:12" x14ac:dyDescent="0.2">
      <c r="A3847" s="75" t="s">
        <v>434</v>
      </c>
      <c r="B3847" s="79">
        <v>46165</v>
      </c>
      <c r="C3847" s="75"/>
      <c r="D3847" s="75"/>
      <c r="E3847" s="75"/>
      <c r="F3847" s="75">
        <v>20606</v>
      </c>
      <c r="G3847" s="76" t="str">
        <f>VLOOKUP(Tabelle2[[#This Row],[Kunden Nr.]],KUNDEN!A:B,2,0)</f>
        <v>TE-SYLA</v>
      </c>
      <c r="H3847" s="75">
        <v>16936</v>
      </c>
      <c r="I3847" s="76" t="str">
        <f>VLOOKUP(Tabelle2[[#This Row],[Artikel]],Produkte!A:B,2,0)</f>
        <v>M ONE FELGENSILBER</v>
      </c>
      <c r="J3847" s="75">
        <v>2</v>
      </c>
      <c r="K3847" s="76" t="str">
        <f>VLOOKUP(Tabelle2[[#This Row],[Kunden Nr.]],KUNDEN!A:G,7)</f>
        <v>Mensuri</v>
      </c>
      <c r="L3847" s="76">
        <f>VLOOKUP(Tabelle2[[#This Row],[Artikel]],Produkte!A:H,8)</f>
        <v>0.15</v>
      </c>
    </row>
    <row r="3848" spans="1:12" x14ac:dyDescent="0.2">
      <c r="A3848" s="75" t="s">
        <v>428</v>
      </c>
      <c r="B3848" s="79">
        <v>46165</v>
      </c>
      <c r="C3848" s="89">
        <v>171.6</v>
      </c>
      <c r="D3848" s="75"/>
      <c r="E3848" s="75"/>
      <c r="F3848" s="75">
        <v>20601</v>
      </c>
      <c r="G3848" s="76" t="str">
        <f>VLOOKUP(Tabelle2[[#This Row],[Kunden Nr.]],KUNDEN!A:B,2,0)</f>
        <v>ELEKTROMONT</v>
      </c>
      <c r="H3848" s="75">
        <v>35109</v>
      </c>
      <c r="I3848" s="76" t="str">
        <f>VLOOKUP(Tabelle2[[#This Row],[Artikel]],Produkte!A:B,2,0)</f>
        <v>M-ONE Sanitar Silikon</v>
      </c>
      <c r="J3848" s="75">
        <v>36</v>
      </c>
      <c r="K3848" s="76" t="str">
        <f>VLOOKUP(Tabelle2[[#This Row],[Kunden Nr.]],KUNDEN!A:G,7)</f>
        <v>Mensuri</v>
      </c>
      <c r="L3848" s="76">
        <f>VLOOKUP(Tabelle2[[#This Row],[Artikel]],Produkte!A:H,8)</f>
        <v>0.17</v>
      </c>
    </row>
    <row r="3849" spans="1:12" x14ac:dyDescent="0.2">
      <c r="A3849" s="75" t="s">
        <v>428</v>
      </c>
      <c r="B3849" s="79">
        <v>46165</v>
      </c>
      <c r="C3849" s="75"/>
      <c r="D3849" s="75"/>
      <c r="E3849" s="75"/>
      <c r="F3849" s="75">
        <v>20601</v>
      </c>
      <c r="G3849" s="76" t="str">
        <f>VLOOKUP(Tabelle2[[#This Row],[Kunden Nr.]],KUNDEN!A:B,2,0)</f>
        <v>ELEKTROMONT</v>
      </c>
      <c r="H3849" s="75">
        <v>35121</v>
      </c>
      <c r="I3849" s="76" t="str">
        <f>VLOOKUP(Tabelle2[[#This Row],[Artikel]],Produkte!A:B,2,0)</f>
        <v>M-ONE Sanitar Silikon</v>
      </c>
      <c r="J3849" s="75">
        <v>12</v>
      </c>
      <c r="K3849" s="76" t="str">
        <f>VLOOKUP(Tabelle2[[#This Row],[Kunden Nr.]],KUNDEN!A:G,7)</f>
        <v>Mensuri</v>
      </c>
      <c r="L3849" s="76">
        <f>VLOOKUP(Tabelle2[[#This Row],[Artikel]],Produkte!A:H,8)</f>
        <v>0.17</v>
      </c>
    </row>
    <row r="3850" spans="1:12" x14ac:dyDescent="0.2">
      <c r="A3850" s="75" t="s">
        <v>428</v>
      </c>
      <c r="B3850" s="79">
        <v>46165</v>
      </c>
      <c r="C3850" s="75"/>
      <c r="D3850" s="75"/>
      <c r="E3850" s="75"/>
      <c r="F3850" s="75">
        <v>20601</v>
      </c>
      <c r="G3850" s="76" t="str">
        <f>VLOOKUP(Tabelle2[[#This Row],[Kunden Nr.]],KUNDEN!A:B,2,0)</f>
        <v>ELEKTROMONT</v>
      </c>
      <c r="H3850" s="75">
        <v>51612</v>
      </c>
      <c r="I3850" s="76" t="str">
        <f>VLOOKUP(Tabelle2[[#This Row],[Artikel]],Produkte!A:B,2,0)</f>
        <v>struktural akryl</v>
      </c>
      <c r="J3850" s="75">
        <v>12</v>
      </c>
      <c r="K3850" s="76" t="str">
        <f>VLOOKUP(Tabelle2[[#This Row],[Kunden Nr.]],KUNDEN!A:G,7)</f>
        <v>Mensuri</v>
      </c>
      <c r="L3850" s="76">
        <f>VLOOKUP(Tabelle2[[#This Row],[Artikel]],Produkte!A:H,8)</f>
        <v>0.06</v>
      </c>
    </row>
    <row r="3851" spans="1:12" x14ac:dyDescent="0.2">
      <c r="A3851" s="75" t="s">
        <v>1177</v>
      </c>
      <c r="B3851" s="79">
        <v>46167</v>
      </c>
      <c r="C3851" s="89">
        <v>48</v>
      </c>
      <c r="D3851" s="75"/>
      <c r="E3851" s="75"/>
      <c r="F3851" s="75">
        <v>40017</v>
      </c>
      <c r="G3851" s="76" t="str">
        <f>VLOOKUP(Tabelle2[[#This Row],[Kunden Nr.]],KUNDEN!A:B,2,0)</f>
        <v>YLLI CONSTRUCION</v>
      </c>
      <c r="H3851" s="75">
        <v>35108</v>
      </c>
      <c r="I3851" s="76" t="str">
        <f>VLOOKUP(Tabelle2[[#This Row],[Artikel]],Produkte!A:B,2,0)</f>
        <v>M-ONE Sanitar Silikon</v>
      </c>
      <c r="J3851" s="75">
        <v>3</v>
      </c>
      <c r="K3851" s="76">
        <f>VLOOKUP(Tabelle2[[#This Row],[Kunden Nr.]],KUNDEN!A:G,7)</f>
        <v>0</v>
      </c>
      <c r="L3851" s="76">
        <f>VLOOKUP(Tabelle2[[#This Row],[Artikel]],Produkte!A:H,8)</f>
        <v>0.17</v>
      </c>
    </row>
    <row r="3852" spans="1:12" x14ac:dyDescent="0.2">
      <c r="A3852" s="75" t="s">
        <v>1177</v>
      </c>
      <c r="B3852" s="79">
        <v>46167</v>
      </c>
      <c r="C3852" s="75"/>
      <c r="D3852" s="75"/>
      <c r="E3852" s="75"/>
      <c r="F3852" s="75">
        <v>40017</v>
      </c>
      <c r="G3852" s="76" t="str">
        <f>VLOOKUP(Tabelle2[[#This Row],[Kunden Nr.]],KUNDEN!A:B,2,0)</f>
        <v>YLLI CONSTRUCION</v>
      </c>
      <c r="H3852" s="75">
        <v>35128</v>
      </c>
      <c r="I3852" s="76" t="str">
        <f>VLOOKUP(Tabelle2[[#This Row],[Artikel]],Produkte!A:B,2,0)</f>
        <v>M-ONE Sanitar Silikon</v>
      </c>
      <c r="J3852" s="75">
        <v>5</v>
      </c>
      <c r="K3852" s="76">
        <f>VLOOKUP(Tabelle2[[#This Row],[Kunden Nr.]],KUNDEN!A:G,7)</f>
        <v>0</v>
      </c>
      <c r="L3852" s="76">
        <f>VLOOKUP(Tabelle2[[#This Row],[Artikel]],Produkte!A:H,8)</f>
        <v>0.17</v>
      </c>
    </row>
    <row r="3853" spans="1:12" x14ac:dyDescent="0.2">
      <c r="A3853" s="75" t="s">
        <v>1177</v>
      </c>
      <c r="B3853" s="79">
        <v>46167</v>
      </c>
      <c r="C3853" s="75"/>
      <c r="D3853" s="75"/>
      <c r="E3853" s="75"/>
      <c r="F3853" s="75">
        <v>40017</v>
      </c>
      <c r="G3853" s="76" t="str">
        <f>VLOOKUP(Tabelle2[[#This Row],[Kunden Nr.]],KUNDEN!A:B,2,0)</f>
        <v>YLLI CONSTRUCION</v>
      </c>
      <c r="H3853" s="75">
        <v>35121</v>
      </c>
      <c r="I3853" s="76" t="str">
        <f>VLOOKUP(Tabelle2[[#This Row],[Artikel]],Produkte!A:B,2,0)</f>
        <v>M-ONE Sanitar Silikon</v>
      </c>
      <c r="J3853" s="75">
        <v>4</v>
      </c>
      <c r="K3853" s="76">
        <f>VLOOKUP(Tabelle2[[#This Row],[Kunden Nr.]],KUNDEN!A:G,7)</f>
        <v>0</v>
      </c>
      <c r="L3853" s="76">
        <f>VLOOKUP(Tabelle2[[#This Row],[Artikel]],Produkte!A:H,8)</f>
        <v>0.17</v>
      </c>
    </row>
    <row r="3854" spans="1:12" x14ac:dyDescent="0.2">
      <c r="A3854" s="75" t="s">
        <v>567</v>
      </c>
      <c r="B3854" s="79">
        <v>46167</v>
      </c>
      <c r="C3854" s="89">
        <v>48</v>
      </c>
      <c r="D3854" s="75"/>
      <c r="E3854" s="75"/>
      <c r="F3854" s="75">
        <v>10105</v>
      </c>
      <c r="G3854" s="76" t="str">
        <f>VLOOKUP(Tabelle2[[#This Row],[Kunden Nr.]],KUNDEN!A:B,2,0)</f>
        <v>ARSIM</v>
      </c>
      <c r="H3854" s="75">
        <v>35125</v>
      </c>
      <c r="I3854" s="76" t="str">
        <f>VLOOKUP(Tabelle2[[#This Row],[Artikel]],Produkte!A:B,2,0)</f>
        <v>M-ONE Sanitar Silikon</v>
      </c>
      <c r="J3854" s="75">
        <v>12</v>
      </c>
      <c r="K3854" s="76" t="str">
        <f>VLOOKUP(Tabelle2[[#This Row],[Kunden Nr.]],KUNDEN!A:G,7)</f>
        <v>Qerimi</v>
      </c>
      <c r="L3854" s="76">
        <f>VLOOKUP(Tabelle2[[#This Row],[Artikel]],Produkte!A:H,8)</f>
        <v>0.17</v>
      </c>
    </row>
    <row r="3855" spans="1:12" x14ac:dyDescent="0.2">
      <c r="A3855" s="75" t="s">
        <v>573</v>
      </c>
      <c r="B3855" s="79">
        <v>46167</v>
      </c>
      <c r="C3855" s="89">
        <v>168.6</v>
      </c>
      <c r="D3855" s="75"/>
      <c r="E3855" s="75"/>
      <c r="F3855" s="75">
        <v>10111</v>
      </c>
      <c r="G3855" s="76" t="str">
        <f>VLOOKUP(Tabelle2[[#This Row],[Kunden Nr.]],KUNDEN!A:B,2,0)</f>
        <v>KADIJOLLET</v>
      </c>
      <c r="H3855" s="75">
        <v>35111</v>
      </c>
      <c r="I3855" s="76" t="str">
        <f>VLOOKUP(Tabelle2[[#This Row],[Artikel]],Produkte!A:B,2,0)</f>
        <v>M-ONE Sanitar Silikon</v>
      </c>
      <c r="J3855" s="75">
        <v>12</v>
      </c>
      <c r="K3855" s="76" t="str">
        <f>VLOOKUP(Tabelle2[[#This Row],[Kunden Nr.]],KUNDEN!A:G,7)</f>
        <v>Qerimi</v>
      </c>
      <c r="L3855" s="76">
        <f>VLOOKUP(Tabelle2[[#This Row],[Artikel]],Produkte!A:H,8)</f>
        <v>0.17</v>
      </c>
    </row>
    <row r="3856" spans="1:12" x14ac:dyDescent="0.2">
      <c r="A3856" s="75" t="s">
        <v>573</v>
      </c>
      <c r="B3856" s="79">
        <v>46167</v>
      </c>
      <c r="C3856" s="75"/>
      <c r="D3856" s="75"/>
      <c r="E3856" s="75"/>
      <c r="F3856" s="75">
        <v>10111</v>
      </c>
      <c r="G3856" s="76" t="str">
        <f>VLOOKUP(Tabelle2[[#This Row],[Kunden Nr.]],KUNDEN!A:B,2,0)</f>
        <v>KADIJOLLET</v>
      </c>
      <c r="H3856" s="75">
        <v>35121</v>
      </c>
      <c r="I3856" s="76" t="str">
        <f>VLOOKUP(Tabelle2[[#This Row],[Artikel]],Produkte!A:B,2,0)</f>
        <v>M-ONE Sanitar Silikon</v>
      </c>
      <c r="J3856" s="75">
        <v>12</v>
      </c>
      <c r="K3856" s="76" t="str">
        <f>VLOOKUP(Tabelle2[[#This Row],[Kunden Nr.]],KUNDEN!A:G,7)</f>
        <v>Qerimi</v>
      </c>
      <c r="L3856" s="76">
        <f>VLOOKUP(Tabelle2[[#This Row],[Artikel]],Produkte!A:H,8)</f>
        <v>0.17</v>
      </c>
    </row>
    <row r="3857" spans="1:12" x14ac:dyDescent="0.2">
      <c r="A3857" s="75" t="s">
        <v>573</v>
      </c>
      <c r="B3857" s="79">
        <v>46167</v>
      </c>
      <c r="C3857" s="75"/>
      <c r="D3857" s="75"/>
      <c r="E3857" s="75"/>
      <c r="F3857" s="75">
        <v>10111</v>
      </c>
      <c r="G3857" s="76" t="str">
        <f>VLOOKUP(Tabelle2[[#This Row],[Kunden Nr.]],KUNDEN!A:B,2,0)</f>
        <v>KADIJOLLET</v>
      </c>
      <c r="H3857" s="75">
        <v>50912</v>
      </c>
      <c r="I3857" s="76" t="str">
        <f>VLOOKUP(Tabelle2[[#This Row],[Artikel]],Produkte!A:B,2,0)</f>
        <v>DICHTUNG</v>
      </c>
      <c r="J3857" s="75">
        <v>8</v>
      </c>
      <c r="K3857" s="76" t="str">
        <f>VLOOKUP(Tabelle2[[#This Row],[Kunden Nr.]],KUNDEN!A:G,7)</f>
        <v>Qerimi</v>
      </c>
      <c r="L3857" s="76">
        <f>VLOOKUP(Tabelle2[[#This Row],[Artikel]],Produkte!A:H,8)</f>
        <v>0.2</v>
      </c>
    </row>
    <row r="3858" spans="1:12" x14ac:dyDescent="0.2">
      <c r="A3858" s="75" t="s">
        <v>573</v>
      </c>
      <c r="B3858" s="79">
        <v>46167</v>
      </c>
      <c r="C3858" s="75"/>
      <c r="D3858" s="75"/>
      <c r="E3858" s="75"/>
      <c r="F3858" s="75">
        <v>10111</v>
      </c>
      <c r="G3858" s="76" t="str">
        <f>VLOOKUP(Tabelle2[[#This Row],[Kunden Nr.]],KUNDEN!A:B,2,0)</f>
        <v>KADIJOLLET</v>
      </c>
      <c r="H3858" s="75">
        <v>51611</v>
      </c>
      <c r="I3858" s="76" t="str">
        <f>VLOOKUP(Tabelle2[[#This Row],[Artikel]],Produkte!A:B,2,0)</f>
        <v>universal akryl</v>
      </c>
      <c r="J3858" s="75">
        <v>12</v>
      </c>
      <c r="K3858" s="76" t="str">
        <f>VLOOKUP(Tabelle2[[#This Row],[Kunden Nr.]],KUNDEN!A:G,7)</f>
        <v>Qerimi</v>
      </c>
      <c r="L3858" s="76">
        <f>VLOOKUP(Tabelle2[[#This Row],[Artikel]],Produkte!A:H,8)</f>
        <v>0.06</v>
      </c>
    </row>
    <row r="3859" spans="1:12" x14ac:dyDescent="0.2">
      <c r="A3859" s="75" t="s">
        <v>576</v>
      </c>
      <c r="B3859" s="79">
        <v>46167</v>
      </c>
      <c r="C3859" s="89">
        <v>75.5</v>
      </c>
      <c r="D3859" s="75"/>
      <c r="E3859" s="75"/>
      <c r="F3859" s="75">
        <v>10114</v>
      </c>
      <c r="G3859" s="76" t="str">
        <f>VLOOKUP(Tabelle2[[#This Row],[Kunden Nr.]],KUNDEN!A:B,2,0)</f>
        <v>QELA</v>
      </c>
      <c r="H3859" s="75">
        <v>49644</v>
      </c>
      <c r="I3859" s="76" t="str">
        <f>VLOOKUP(Tabelle2[[#This Row],[Artikel]],Produkte!A:B,2,0)</f>
        <v>beMAKER Rostlöser</v>
      </c>
      <c r="J3859" s="75">
        <v>5</v>
      </c>
      <c r="K3859" s="76" t="str">
        <f>VLOOKUP(Tabelle2[[#This Row],[Kunden Nr.]],KUNDEN!A:G,7)</f>
        <v>Qerimi</v>
      </c>
      <c r="L3859" s="76">
        <f>VLOOKUP(Tabelle2[[#This Row],[Artikel]],Produkte!A:H,8)</f>
        <v>0.2</v>
      </c>
    </row>
    <row r="3860" spans="1:12" x14ac:dyDescent="0.2">
      <c r="A3860" s="75" t="s">
        <v>576</v>
      </c>
      <c r="B3860" s="79">
        <v>46167</v>
      </c>
      <c r="C3860" s="75"/>
      <c r="D3860" s="75"/>
      <c r="E3860" s="75"/>
      <c r="F3860" s="75">
        <v>10114</v>
      </c>
      <c r="G3860" s="76" t="str">
        <f>VLOOKUP(Tabelle2[[#This Row],[Kunden Nr.]],KUNDEN!A:B,2,0)</f>
        <v>QELA</v>
      </c>
      <c r="H3860" s="75">
        <v>44001</v>
      </c>
      <c r="I3860" s="76" t="str">
        <f>VLOOKUP(Tabelle2[[#This Row],[Artikel]],Produkte!A:B,2,0)</f>
        <v>Fettspray</v>
      </c>
      <c r="J3860" s="75">
        <v>5</v>
      </c>
      <c r="K3860" s="76" t="str">
        <f>VLOOKUP(Tabelle2[[#This Row],[Kunden Nr.]],KUNDEN!A:G,7)</f>
        <v>Qerimi</v>
      </c>
      <c r="L3860" s="76">
        <f>VLOOKUP(Tabelle2[[#This Row],[Artikel]],Produkte!A:H,8)</f>
        <v>0.2</v>
      </c>
    </row>
    <row r="3861" spans="1:12" x14ac:dyDescent="0.2">
      <c r="A3861" s="75" t="s">
        <v>576</v>
      </c>
      <c r="B3861" s="79">
        <v>46167</v>
      </c>
      <c r="C3861" s="75"/>
      <c r="D3861" s="75"/>
      <c r="E3861" s="75"/>
      <c r="F3861" s="75">
        <v>10114</v>
      </c>
      <c r="G3861" s="76" t="str">
        <f>VLOOKUP(Tabelle2[[#This Row],[Kunden Nr.]],KUNDEN!A:B,2,0)</f>
        <v>QELA</v>
      </c>
      <c r="H3861" s="75">
        <v>35109</v>
      </c>
      <c r="I3861" s="76" t="str">
        <f>VLOOKUP(Tabelle2[[#This Row],[Artikel]],Produkte!A:B,2,0)</f>
        <v>M-ONE Sanitar Silikon</v>
      </c>
      <c r="J3861" s="75">
        <v>12</v>
      </c>
      <c r="K3861" s="76" t="str">
        <f>VLOOKUP(Tabelle2[[#This Row],[Kunden Nr.]],KUNDEN!A:G,7)</f>
        <v>Qerimi</v>
      </c>
      <c r="L3861" s="76">
        <f>VLOOKUP(Tabelle2[[#This Row],[Artikel]],Produkte!A:H,8)</f>
        <v>0.17</v>
      </c>
    </row>
    <row r="3862" spans="1:12" x14ac:dyDescent="0.2">
      <c r="A3862" s="75" t="s">
        <v>1188</v>
      </c>
      <c r="B3862" s="79">
        <v>46167</v>
      </c>
      <c r="C3862" s="89">
        <v>96</v>
      </c>
      <c r="D3862" s="75"/>
      <c r="E3862" s="75"/>
      <c r="F3862" s="75">
        <v>10133</v>
      </c>
      <c r="G3862" s="76" t="str">
        <f>VLOOKUP(Tabelle2[[#This Row],[Kunden Nr.]],KUNDEN!A:B,2,0)</f>
        <v>HIDROELDI</v>
      </c>
      <c r="H3862" s="75">
        <v>35114</v>
      </c>
      <c r="I3862" s="76" t="str">
        <f>VLOOKUP(Tabelle2[[#This Row],[Artikel]],Produkte!A:B,2,0)</f>
        <v>M-ONE Sanitar Silikon</v>
      </c>
      <c r="J3862" s="75">
        <v>12</v>
      </c>
      <c r="K3862" s="76" t="str">
        <f>VLOOKUP(Tabelle2[[#This Row],[Kunden Nr.]],KUNDEN!A:G,7)</f>
        <v>Qerimi</v>
      </c>
      <c r="L3862" s="76">
        <f>VLOOKUP(Tabelle2[[#This Row],[Artikel]],Produkte!A:H,8)</f>
        <v>0.17</v>
      </c>
    </row>
    <row r="3863" spans="1:12" x14ac:dyDescent="0.2">
      <c r="A3863" s="75" t="s">
        <v>1188</v>
      </c>
      <c r="B3863" s="79">
        <v>46167</v>
      </c>
      <c r="C3863" s="75"/>
      <c r="D3863" s="75"/>
      <c r="E3863" s="75"/>
      <c r="F3863" s="75">
        <v>10133</v>
      </c>
      <c r="G3863" s="76" t="str">
        <f>VLOOKUP(Tabelle2[[#This Row],[Kunden Nr.]],KUNDEN!A:B,2,0)</f>
        <v>HIDROELDI</v>
      </c>
      <c r="H3863" s="75">
        <v>35128</v>
      </c>
      <c r="I3863" s="76" t="str">
        <f>VLOOKUP(Tabelle2[[#This Row],[Artikel]],Produkte!A:B,2,0)</f>
        <v>M-ONE Sanitar Silikon</v>
      </c>
      <c r="J3863" s="75">
        <v>12</v>
      </c>
      <c r="K3863" s="76" t="str">
        <f>VLOOKUP(Tabelle2[[#This Row],[Kunden Nr.]],KUNDEN!A:G,7)</f>
        <v>Qerimi</v>
      </c>
      <c r="L3863" s="76">
        <f>VLOOKUP(Tabelle2[[#This Row],[Artikel]],Produkte!A:H,8)</f>
        <v>0.17</v>
      </c>
    </row>
    <row r="3864" spans="1:12" x14ac:dyDescent="0.2">
      <c r="A3864" s="75" t="s">
        <v>565</v>
      </c>
      <c r="B3864" s="79">
        <v>46167</v>
      </c>
      <c r="C3864" s="89">
        <v>48</v>
      </c>
      <c r="D3864" s="75"/>
      <c r="E3864" s="75"/>
      <c r="F3864" s="75">
        <v>10103</v>
      </c>
      <c r="G3864" s="76" t="str">
        <f>VLOOKUP(Tabelle2[[#This Row],[Kunden Nr.]],KUNDEN!A:B,2,0)</f>
        <v>BESI COM</v>
      </c>
      <c r="H3864" s="75">
        <v>35115</v>
      </c>
      <c r="I3864" s="76" t="str">
        <f>VLOOKUP(Tabelle2[[#This Row],[Artikel]],Produkte!A:B,2,0)</f>
        <v>M-ONE Sanitar Silikon</v>
      </c>
      <c r="J3864" s="75">
        <v>12</v>
      </c>
      <c r="K3864" s="76" t="str">
        <f>VLOOKUP(Tabelle2[[#This Row],[Kunden Nr.]],KUNDEN!A:G,7)</f>
        <v>Qerimi</v>
      </c>
      <c r="L3864" s="76">
        <f>VLOOKUP(Tabelle2[[#This Row],[Artikel]],Produkte!A:H,8)</f>
        <v>0.17</v>
      </c>
    </row>
    <row r="3865" spans="1:12" x14ac:dyDescent="0.2">
      <c r="A3865" s="75" t="s">
        <v>1315</v>
      </c>
      <c r="B3865" s="79">
        <v>46167</v>
      </c>
      <c r="C3865" s="89">
        <v>192</v>
      </c>
      <c r="D3865" s="75"/>
      <c r="E3865" s="75"/>
      <c r="F3865" s="75">
        <v>20130</v>
      </c>
      <c r="G3865" s="76" t="str">
        <f>VLOOKUP(Tabelle2[[#This Row],[Kunden Nr.]],KUNDEN!A:B,2,0)</f>
        <v>ENESI</v>
      </c>
      <c r="H3865" s="75">
        <v>35109</v>
      </c>
      <c r="I3865" s="76" t="str">
        <f>VLOOKUP(Tabelle2[[#This Row],[Artikel]],Produkte!A:B,2,0)</f>
        <v>M-ONE Sanitar Silikon</v>
      </c>
      <c r="J3865" s="75">
        <v>12</v>
      </c>
      <c r="K3865" s="76" t="str">
        <f>VLOOKUP(Tabelle2[[#This Row],[Kunden Nr.]],KUNDEN!A:G,7)</f>
        <v>Mensuri</v>
      </c>
      <c r="L3865" s="76">
        <f>VLOOKUP(Tabelle2[[#This Row],[Artikel]],Produkte!A:H,8)</f>
        <v>0.17</v>
      </c>
    </row>
    <row r="3866" spans="1:12" x14ac:dyDescent="0.2">
      <c r="A3866" s="75" t="s">
        <v>1315</v>
      </c>
      <c r="B3866" s="79">
        <v>46167</v>
      </c>
      <c r="C3866" s="75"/>
      <c r="D3866" s="75"/>
      <c r="E3866" s="75"/>
      <c r="F3866" s="75">
        <v>20130</v>
      </c>
      <c r="G3866" s="76" t="str">
        <f>VLOOKUP(Tabelle2[[#This Row],[Kunden Nr.]],KUNDEN!A:B,2,0)</f>
        <v>ENESI</v>
      </c>
      <c r="H3866" s="75">
        <v>35111</v>
      </c>
      <c r="I3866" s="76" t="str">
        <f>VLOOKUP(Tabelle2[[#This Row],[Artikel]],Produkte!A:B,2,0)</f>
        <v>M-ONE Sanitar Silikon</v>
      </c>
      <c r="J3866" s="75">
        <v>12</v>
      </c>
      <c r="K3866" s="76" t="str">
        <f>VLOOKUP(Tabelle2[[#This Row],[Kunden Nr.]],KUNDEN!A:G,7)</f>
        <v>Mensuri</v>
      </c>
      <c r="L3866" s="76">
        <f>VLOOKUP(Tabelle2[[#This Row],[Artikel]],Produkte!A:H,8)</f>
        <v>0.17</v>
      </c>
    </row>
    <row r="3867" spans="1:12" x14ac:dyDescent="0.2">
      <c r="A3867" s="75" t="s">
        <v>1315</v>
      </c>
      <c r="B3867" s="79">
        <v>46167</v>
      </c>
      <c r="C3867" s="75"/>
      <c r="D3867" s="75"/>
      <c r="E3867" s="75"/>
      <c r="F3867" s="75">
        <v>20130</v>
      </c>
      <c r="G3867" s="76" t="str">
        <f>VLOOKUP(Tabelle2[[#This Row],[Kunden Nr.]],KUNDEN!A:B,2,0)</f>
        <v>ENESI</v>
      </c>
      <c r="H3867" s="75">
        <v>35114</v>
      </c>
      <c r="I3867" s="76" t="str">
        <f>VLOOKUP(Tabelle2[[#This Row],[Artikel]],Produkte!A:B,2,0)</f>
        <v>M-ONE Sanitar Silikon</v>
      </c>
      <c r="J3867" s="75">
        <v>12</v>
      </c>
      <c r="K3867" s="76" t="str">
        <f>VLOOKUP(Tabelle2[[#This Row],[Kunden Nr.]],KUNDEN!A:G,7)</f>
        <v>Mensuri</v>
      </c>
      <c r="L3867" s="76">
        <f>VLOOKUP(Tabelle2[[#This Row],[Artikel]],Produkte!A:H,8)</f>
        <v>0.17</v>
      </c>
    </row>
    <row r="3868" spans="1:12" x14ac:dyDescent="0.2">
      <c r="A3868" s="75" t="s">
        <v>1315</v>
      </c>
      <c r="B3868" s="79">
        <v>46167</v>
      </c>
      <c r="C3868" s="75"/>
      <c r="D3868" s="75"/>
      <c r="E3868" s="75"/>
      <c r="F3868" s="75">
        <v>20130</v>
      </c>
      <c r="G3868" s="76" t="str">
        <f>VLOOKUP(Tabelle2[[#This Row],[Kunden Nr.]],KUNDEN!A:B,2,0)</f>
        <v>ENESI</v>
      </c>
      <c r="H3868" s="75">
        <v>35115</v>
      </c>
      <c r="I3868" s="76" t="str">
        <f>VLOOKUP(Tabelle2[[#This Row],[Artikel]],Produkte!A:B,2,0)</f>
        <v>M-ONE Sanitar Silikon</v>
      </c>
      <c r="J3868" s="75">
        <v>12</v>
      </c>
      <c r="K3868" s="76" t="str">
        <f>VLOOKUP(Tabelle2[[#This Row],[Kunden Nr.]],KUNDEN!A:G,7)</f>
        <v>Mensuri</v>
      </c>
      <c r="L3868" s="76">
        <f>VLOOKUP(Tabelle2[[#This Row],[Artikel]],Produkte!A:H,8)</f>
        <v>0.17</v>
      </c>
    </row>
    <row r="3869" spans="1:12" x14ac:dyDescent="0.2">
      <c r="A3869" s="75" t="s">
        <v>476</v>
      </c>
      <c r="B3869" s="79">
        <v>46167</v>
      </c>
      <c r="C3869" s="89">
        <v>50</v>
      </c>
      <c r="D3869" s="75"/>
      <c r="E3869" s="75"/>
      <c r="F3869" s="75">
        <v>20111</v>
      </c>
      <c r="G3869" s="76" t="str">
        <f>VLOOKUP(Tabelle2[[#This Row],[Kunden Nr.]],KUNDEN!A:B,2,0)</f>
        <v>TECOL 2</v>
      </c>
      <c r="H3869" s="75">
        <v>51736</v>
      </c>
      <c r="I3869" s="76" t="str">
        <f>VLOOKUP(Tabelle2[[#This Row],[Artikel]],Produkte!A:B,2,0)</f>
        <v>M ONE SCHWARZ MATT</v>
      </c>
      <c r="J3869" s="75">
        <v>6</v>
      </c>
      <c r="K3869" s="76" t="str">
        <f>VLOOKUP(Tabelle2[[#This Row],[Kunden Nr.]],KUNDEN!A:G,7)</f>
        <v>Mensuri</v>
      </c>
      <c r="L3869" s="76">
        <f>VLOOKUP(Tabelle2[[#This Row],[Artikel]],Produkte!A:H,8)</f>
        <v>0.15</v>
      </c>
    </row>
    <row r="3870" spans="1:12" x14ac:dyDescent="0.2">
      <c r="A3870" s="75" t="s">
        <v>476</v>
      </c>
      <c r="B3870" s="79">
        <v>46167</v>
      </c>
      <c r="C3870" s="75"/>
      <c r="D3870" s="75"/>
      <c r="E3870" s="75"/>
      <c r="F3870" s="75">
        <v>20111</v>
      </c>
      <c r="G3870" s="76" t="str">
        <f>VLOOKUP(Tabelle2[[#This Row],[Kunden Nr.]],KUNDEN!A:B,2,0)</f>
        <v>TECOL 2</v>
      </c>
      <c r="H3870" s="75">
        <v>51936</v>
      </c>
      <c r="I3870" s="76" t="str">
        <f>VLOOKUP(Tabelle2[[#This Row],[Artikel]],Produkte!A:B,2,0)</f>
        <v>M ONE SCHWARZ GLÄNZED</v>
      </c>
      <c r="J3870" s="75">
        <v>6</v>
      </c>
      <c r="K3870" s="76" t="str">
        <f>VLOOKUP(Tabelle2[[#This Row],[Kunden Nr.]],KUNDEN!A:G,7)</f>
        <v>Mensuri</v>
      </c>
      <c r="L3870" s="76">
        <f>VLOOKUP(Tabelle2[[#This Row],[Artikel]],Produkte!A:H,8)</f>
        <v>0.15</v>
      </c>
    </row>
    <row r="3871" spans="1:12" x14ac:dyDescent="0.2">
      <c r="A3871" s="75" t="s">
        <v>476</v>
      </c>
      <c r="B3871" s="79">
        <v>46167</v>
      </c>
      <c r="C3871" s="75"/>
      <c r="D3871" s="75"/>
      <c r="E3871" s="75"/>
      <c r="F3871" s="75">
        <v>20111</v>
      </c>
      <c r="G3871" s="76" t="str">
        <f>VLOOKUP(Tabelle2[[#This Row],[Kunden Nr.]],KUNDEN!A:B,2,0)</f>
        <v>TECOL 2</v>
      </c>
      <c r="H3871" s="75">
        <v>16936</v>
      </c>
      <c r="I3871" s="76" t="str">
        <f>VLOOKUP(Tabelle2[[#This Row],[Artikel]],Produkte!A:B,2,0)</f>
        <v>M ONE FELGENSILBER</v>
      </c>
      <c r="J3871" s="75">
        <v>3</v>
      </c>
      <c r="K3871" s="76" t="str">
        <f>VLOOKUP(Tabelle2[[#This Row],[Kunden Nr.]],KUNDEN!A:G,7)</f>
        <v>Mensuri</v>
      </c>
      <c r="L3871" s="76">
        <f>VLOOKUP(Tabelle2[[#This Row],[Artikel]],Produkte!A:H,8)</f>
        <v>0.15</v>
      </c>
    </row>
    <row r="3872" spans="1:12" x14ac:dyDescent="0.2">
      <c r="A3872" s="75" t="s">
        <v>476</v>
      </c>
      <c r="B3872" s="79">
        <v>46167</v>
      </c>
      <c r="C3872" s="75"/>
      <c r="D3872" s="75"/>
      <c r="E3872" s="75"/>
      <c r="F3872" s="75">
        <v>20111</v>
      </c>
      <c r="G3872" s="76" t="str">
        <f>VLOOKUP(Tabelle2[[#This Row],[Kunden Nr.]],KUNDEN!A:B,2,0)</f>
        <v>TECOL 2</v>
      </c>
      <c r="H3872" s="75">
        <v>26736</v>
      </c>
      <c r="I3872" s="76" t="str">
        <f>VLOOKUP(Tabelle2[[#This Row],[Artikel]],Produkte!A:B,2,0)</f>
        <v>M ONE HAFTGRUND</v>
      </c>
      <c r="J3872" s="75">
        <v>3</v>
      </c>
      <c r="K3872" s="76" t="str">
        <f>VLOOKUP(Tabelle2[[#This Row],[Kunden Nr.]],KUNDEN!A:G,7)</f>
        <v>Mensuri</v>
      </c>
      <c r="L3872" s="76">
        <f>VLOOKUP(Tabelle2[[#This Row],[Artikel]],Produkte!A:H,8)</f>
        <v>0.15</v>
      </c>
    </row>
    <row r="3873" spans="1:12" x14ac:dyDescent="0.2">
      <c r="A3873" s="75" t="s">
        <v>476</v>
      </c>
      <c r="B3873" s="79">
        <v>46167</v>
      </c>
      <c r="C3873" s="75"/>
      <c r="D3873" s="75"/>
      <c r="E3873" s="75"/>
      <c r="F3873" s="75">
        <v>20111</v>
      </c>
      <c r="G3873" s="76" t="str">
        <f>VLOOKUP(Tabelle2[[#This Row],[Kunden Nr.]],KUNDEN!A:B,2,0)</f>
        <v>TECOL 2</v>
      </c>
      <c r="H3873" s="75">
        <v>31819</v>
      </c>
      <c r="I3873" s="76" t="str">
        <f>VLOOKUP(Tabelle2[[#This Row],[Artikel]],Produkte!A:B,2,0)</f>
        <v>M ONE FUERROT</v>
      </c>
      <c r="J3873" s="75">
        <v>2</v>
      </c>
      <c r="K3873" s="76" t="str">
        <f>VLOOKUP(Tabelle2[[#This Row],[Kunden Nr.]],KUNDEN!A:G,7)</f>
        <v>Mensuri</v>
      </c>
      <c r="L3873" s="76">
        <f>VLOOKUP(Tabelle2[[#This Row],[Artikel]],Produkte!A:H,8)</f>
        <v>0.15</v>
      </c>
    </row>
    <row r="3874" spans="1:12" x14ac:dyDescent="0.2">
      <c r="A3874" s="75" t="s">
        <v>1180</v>
      </c>
      <c r="B3874" s="79">
        <v>46167</v>
      </c>
      <c r="C3874" s="89">
        <v>144</v>
      </c>
      <c r="D3874" s="75"/>
      <c r="E3874" s="75"/>
      <c r="F3874" s="75">
        <v>20126</v>
      </c>
      <c r="G3874" s="76" t="str">
        <f>VLOOKUP(Tabelle2[[#This Row],[Kunden Nr.]],KUNDEN!A:B,2,0)</f>
        <v>LULI-C</v>
      </c>
      <c r="H3874" s="75">
        <v>35109</v>
      </c>
      <c r="I3874" s="76" t="str">
        <f>VLOOKUP(Tabelle2[[#This Row],[Artikel]],Produkte!A:B,2,0)</f>
        <v>M-ONE Sanitar Silikon</v>
      </c>
      <c r="J3874" s="75">
        <v>12</v>
      </c>
      <c r="K3874" s="76" t="str">
        <f>VLOOKUP(Tabelle2[[#This Row],[Kunden Nr.]],KUNDEN!A:G,7)</f>
        <v>Mensuri</v>
      </c>
      <c r="L3874" s="76">
        <f>VLOOKUP(Tabelle2[[#This Row],[Artikel]],Produkte!A:H,8)</f>
        <v>0.17</v>
      </c>
    </row>
    <row r="3875" spans="1:12" x14ac:dyDescent="0.2">
      <c r="A3875" s="75" t="s">
        <v>1180</v>
      </c>
      <c r="B3875" s="79">
        <v>46167</v>
      </c>
      <c r="C3875" s="75"/>
      <c r="D3875" s="75"/>
      <c r="E3875" s="75"/>
      <c r="F3875" s="75">
        <v>20126</v>
      </c>
      <c r="G3875" s="76" t="str">
        <f>VLOOKUP(Tabelle2[[#This Row],[Kunden Nr.]],KUNDEN!A:B,2,0)</f>
        <v>LULI-C</v>
      </c>
      <c r="H3875" s="75">
        <v>35114</v>
      </c>
      <c r="I3875" s="76" t="str">
        <f>VLOOKUP(Tabelle2[[#This Row],[Artikel]],Produkte!A:B,2,0)</f>
        <v>M-ONE Sanitar Silikon</v>
      </c>
      <c r="J3875" s="75">
        <v>12</v>
      </c>
      <c r="K3875" s="76" t="str">
        <f>VLOOKUP(Tabelle2[[#This Row],[Kunden Nr.]],KUNDEN!A:G,7)</f>
        <v>Mensuri</v>
      </c>
      <c r="L3875" s="76">
        <f>VLOOKUP(Tabelle2[[#This Row],[Artikel]],Produkte!A:H,8)</f>
        <v>0.17</v>
      </c>
    </row>
    <row r="3876" spans="1:12" x14ac:dyDescent="0.2">
      <c r="A3876" s="75" t="s">
        <v>1180</v>
      </c>
      <c r="B3876" s="79">
        <v>46167</v>
      </c>
      <c r="C3876" s="75"/>
      <c r="D3876" s="75"/>
      <c r="E3876" s="75"/>
      <c r="F3876" s="75">
        <v>20126</v>
      </c>
      <c r="G3876" s="76" t="str">
        <f>VLOOKUP(Tabelle2[[#This Row],[Kunden Nr.]],KUNDEN!A:B,2,0)</f>
        <v>LULI-C</v>
      </c>
      <c r="H3876" s="75">
        <v>35110</v>
      </c>
      <c r="I3876" s="76" t="str">
        <f>VLOOKUP(Tabelle2[[#This Row],[Artikel]],Produkte!A:B,2,0)</f>
        <v>M-ONE Sanitar Silikon</v>
      </c>
      <c r="J3876" s="75">
        <v>12</v>
      </c>
      <c r="K3876" s="76" t="str">
        <f>VLOOKUP(Tabelle2[[#This Row],[Kunden Nr.]],KUNDEN!A:G,7)</f>
        <v>Mensuri</v>
      </c>
      <c r="L3876" s="76">
        <f>VLOOKUP(Tabelle2[[#This Row],[Artikel]],Produkte!A:H,8)</f>
        <v>0.17</v>
      </c>
    </row>
    <row r="3877" spans="1:12" x14ac:dyDescent="0.2">
      <c r="A3877" s="75" t="s">
        <v>1163</v>
      </c>
      <c r="B3877" s="79">
        <v>46167</v>
      </c>
      <c r="C3877" s="89">
        <v>213.6</v>
      </c>
      <c r="D3877" s="75"/>
      <c r="E3877" s="75"/>
      <c r="F3877" s="75">
        <v>20121</v>
      </c>
      <c r="G3877" s="76" t="str">
        <f>VLOOKUP(Tabelle2[[#This Row],[Kunden Nr.]],KUNDEN!A:B,2,0)</f>
        <v>CAMA BAU</v>
      </c>
      <c r="H3877" s="75">
        <v>35108</v>
      </c>
      <c r="I3877" s="76" t="str">
        <f>VLOOKUP(Tabelle2[[#This Row],[Artikel]],Produkte!A:B,2,0)</f>
        <v>M-ONE Sanitar Silikon</v>
      </c>
      <c r="J3877" s="75">
        <v>12</v>
      </c>
      <c r="K3877" s="76" t="str">
        <f>VLOOKUP(Tabelle2[[#This Row],[Kunden Nr.]],KUNDEN!A:G,7)</f>
        <v>Mensuri</v>
      </c>
      <c r="L3877" s="76">
        <f>VLOOKUP(Tabelle2[[#This Row],[Artikel]],Produkte!A:H,8)</f>
        <v>0.17</v>
      </c>
    </row>
    <row r="3878" spans="1:12" x14ac:dyDescent="0.2">
      <c r="A3878" s="75" t="s">
        <v>1163</v>
      </c>
      <c r="B3878" s="79">
        <v>46167</v>
      </c>
      <c r="C3878" s="75"/>
      <c r="D3878" s="75"/>
      <c r="E3878" s="75"/>
      <c r="F3878" s="75">
        <v>20121</v>
      </c>
      <c r="G3878" s="76" t="str">
        <f>VLOOKUP(Tabelle2[[#This Row],[Kunden Nr.]],KUNDEN!A:B,2,0)</f>
        <v>CAMA BAU</v>
      </c>
      <c r="H3878" s="75">
        <v>35113</v>
      </c>
      <c r="I3878" s="76" t="str">
        <f>VLOOKUP(Tabelle2[[#This Row],[Artikel]],Produkte!A:B,2,0)</f>
        <v>M-ONE Sanitar Silikon</v>
      </c>
      <c r="J3878" s="75">
        <v>12</v>
      </c>
      <c r="K3878" s="76" t="str">
        <f>VLOOKUP(Tabelle2[[#This Row],[Kunden Nr.]],KUNDEN!A:G,7)</f>
        <v>Mensuri</v>
      </c>
      <c r="L3878" s="76">
        <f>VLOOKUP(Tabelle2[[#This Row],[Artikel]],Produkte!A:H,8)</f>
        <v>0.17</v>
      </c>
    </row>
    <row r="3879" spans="1:12" x14ac:dyDescent="0.2">
      <c r="A3879" s="75" t="s">
        <v>1163</v>
      </c>
      <c r="B3879" s="79">
        <v>46167</v>
      </c>
      <c r="C3879" s="75"/>
      <c r="D3879" s="75"/>
      <c r="E3879" s="75"/>
      <c r="F3879" s="75">
        <v>20121</v>
      </c>
      <c r="G3879" s="76" t="str">
        <f>VLOOKUP(Tabelle2[[#This Row],[Kunden Nr.]],KUNDEN!A:B,2,0)</f>
        <v>CAMA BAU</v>
      </c>
      <c r="H3879" s="75">
        <v>35125</v>
      </c>
      <c r="I3879" s="76" t="str">
        <f>VLOOKUP(Tabelle2[[#This Row],[Artikel]],Produkte!A:B,2,0)</f>
        <v>M-ONE Sanitar Silikon</v>
      </c>
      <c r="J3879" s="75">
        <v>12</v>
      </c>
      <c r="K3879" s="76" t="str">
        <f>VLOOKUP(Tabelle2[[#This Row],[Kunden Nr.]],KUNDEN!A:G,7)</f>
        <v>Mensuri</v>
      </c>
      <c r="L3879" s="76">
        <f>VLOOKUP(Tabelle2[[#This Row],[Artikel]],Produkte!A:H,8)</f>
        <v>0.17</v>
      </c>
    </row>
    <row r="3880" spans="1:12" x14ac:dyDescent="0.2">
      <c r="A3880" s="75" t="s">
        <v>1163</v>
      </c>
      <c r="B3880" s="79">
        <v>46167</v>
      </c>
      <c r="C3880" s="75"/>
      <c r="D3880" s="75"/>
      <c r="E3880" s="75"/>
      <c r="F3880" s="75">
        <v>20121</v>
      </c>
      <c r="G3880" s="76" t="str">
        <f>VLOOKUP(Tabelle2[[#This Row],[Kunden Nr.]],KUNDEN!A:B,2,0)</f>
        <v>CAMA BAU</v>
      </c>
      <c r="H3880" s="75">
        <v>66701</v>
      </c>
      <c r="I3880" s="76" t="str">
        <f>VLOOKUP(Tabelle2[[#This Row],[Artikel]],Produkte!A:B,2,0)</f>
        <v>PROFIMONT EXTREME</v>
      </c>
      <c r="J3880" s="75">
        <v>12</v>
      </c>
      <c r="K3880" s="76" t="str">
        <f>VLOOKUP(Tabelle2[[#This Row],[Kunden Nr.]],KUNDEN!A:G,7)</f>
        <v>Mensuri</v>
      </c>
      <c r="L3880" s="76">
        <f>VLOOKUP(Tabelle2[[#This Row],[Artikel]],Produkte!A:H,8)</f>
        <v>0.2</v>
      </c>
    </row>
    <row r="3881" spans="1:12" x14ac:dyDescent="0.2">
      <c r="A3881" s="75" t="s">
        <v>468</v>
      </c>
      <c r="B3881" s="79">
        <v>46167</v>
      </c>
      <c r="C3881" s="89">
        <v>52.8</v>
      </c>
      <c r="D3881" s="75"/>
      <c r="E3881" s="75"/>
      <c r="F3881" s="75">
        <v>20101</v>
      </c>
      <c r="G3881" s="76" t="str">
        <f>VLOOKUP(Tabelle2[[#This Row],[Kunden Nr.]],KUNDEN!A:B,2,0)</f>
        <v>TE GZIMI</v>
      </c>
      <c r="H3881" s="75">
        <v>54412</v>
      </c>
      <c r="I3881" s="76" t="str">
        <f>VLOOKUP(Tabelle2[[#This Row],[Artikel]],Produkte!A:B,2,0)</f>
        <v>beMAKER Bremsen&amp;Teile Reininger</v>
      </c>
      <c r="J3881" s="75">
        <v>6</v>
      </c>
      <c r="K3881" s="76" t="str">
        <f>VLOOKUP(Tabelle2[[#This Row],[Kunden Nr.]],KUNDEN!A:G,7)</f>
        <v>Mensuri</v>
      </c>
      <c r="L3881" s="76">
        <f>VLOOKUP(Tabelle2[[#This Row],[Artikel]],Produkte!A:H,8)</f>
        <v>0.2</v>
      </c>
    </row>
    <row r="3882" spans="1:12" x14ac:dyDescent="0.2">
      <c r="A3882" s="75" t="s">
        <v>468</v>
      </c>
      <c r="B3882" s="79">
        <v>46167</v>
      </c>
      <c r="C3882" s="75"/>
      <c r="D3882" s="75"/>
      <c r="E3882" s="75"/>
      <c r="F3882" s="75">
        <v>20101</v>
      </c>
      <c r="G3882" s="76" t="str">
        <f>VLOOKUP(Tabelle2[[#This Row],[Kunden Nr.]],KUNDEN!A:B,2,0)</f>
        <v>TE GZIMI</v>
      </c>
      <c r="H3882" s="75">
        <v>49644</v>
      </c>
      <c r="I3882" s="76" t="str">
        <f>VLOOKUP(Tabelle2[[#This Row],[Artikel]],Produkte!A:B,2,0)</f>
        <v>beMAKER Rostlöser</v>
      </c>
      <c r="J3882" s="75">
        <v>6</v>
      </c>
      <c r="K3882" s="76" t="str">
        <f>VLOOKUP(Tabelle2[[#This Row],[Kunden Nr.]],KUNDEN!A:G,7)</f>
        <v>Mensuri</v>
      </c>
      <c r="L3882" s="76">
        <f>VLOOKUP(Tabelle2[[#This Row],[Artikel]],Produkte!A:H,8)</f>
        <v>0.2</v>
      </c>
    </row>
    <row r="3883" spans="1:12" x14ac:dyDescent="0.2">
      <c r="A3883" s="75" t="s">
        <v>468</v>
      </c>
      <c r="B3883" s="79">
        <v>46167</v>
      </c>
      <c r="C3883" s="75"/>
      <c r="D3883" s="75"/>
      <c r="E3883" s="75"/>
      <c r="F3883" s="75">
        <v>20101</v>
      </c>
      <c r="G3883" s="76" t="str">
        <f>VLOOKUP(Tabelle2[[#This Row],[Kunden Nr.]],KUNDEN!A:B,2,0)</f>
        <v>TE GZIMI</v>
      </c>
      <c r="H3883" s="75">
        <v>50912</v>
      </c>
      <c r="I3883" s="76" t="str">
        <f>VLOOKUP(Tabelle2[[#This Row],[Artikel]],Produkte!A:B,2,0)</f>
        <v>DICHTUNG</v>
      </c>
      <c r="J3883" s="75">
        <v>4</v>
      </c>
      <c r="K3883" s="76" t="str">
        <f>VLOOKUP(Tabelle2[[#This Row],[Kunden Nr.]],KUNDEN!A:G,7)</f>
        <v>Mensuri</v>
      </c>
      <c r="L3883" s="76">
        <f>VLOOKUP(Tabelle2[[#This Row],[Artikel]],Produkte!A:H,8)</f>
        <v>0.2</v>
      </c>
    </row>
    <row r="3884" spans="1:12" x14ac:dyDescent="0.2">
      <c r="A3884" s="75" t="s">
        <v>471</v>
      </c>
      <c r="B3884" s="79">
        <v>46167</v>
      </c>
      <c r="C3884" s="89">
        <v>96</v>
      </c>
      <c r="D3884" s="75"/>
      <c r="E3884" s="75"/>
      <c r="F3884" s="75">
        <v>20104</v>
      </c>
      <c r="G3884" s="76" t="str">
        <f>VLOOKUP(Tabelle2[[#This Row],[Kunden Nr.]],KUNDEN!A:B,2,0)</f>
        <v>KTHIMI</v>
      </c>
      <c r="H3884" s="75">
        <v>35108</v>
      </c>
      <c r="I3884" s="76" t="str">
        <f>VLOOKUP(Tabelle2[[#This Row],[Artikel]],Produkte!A:B,2,0)</f>
        <v>M-ONE Sanitar Silikon</v>
      </c>
      <c r="J3884" s="75">
        <v>12</v>
      </c>
      <c r="K3884" s="76" t="str">
        <f>VLOOKUP(Tabelle2[[#This Row],[Kunden Nr.]],KUNDEN!A:G,7)</f>
        <v>Mensuri</v>
      </c>
      <c r="L3884" s="76">
        <f>VLOOKUP(Tabelle2[[#This Row],[Artikel]],Produkte!A:H,8)</f>
        <v>0.17</v>
      </c>
    </row>
    <row r="3885" spans="1:12" x14ac:dyDescent="0.2">
      <c r="A3885" s="75" t="s">
        <v>471</v>
      </c>
      <c r="B3885" s="79">
        <v>46167</v>
      </c>
      <c r="C3885" s="75"/>
      <c r="D3885" s="75"/>
      <c r="E3885" s="75"/>
      <c r="F3885" s="75">
        <v>20104</v>
      </c>
      <c r="G3885" s="76" t="str">
        <f>VLOOKUP(Tabelle2[[#This Row],[Kunden Nr.]],KUNDEN!A:B,2,0)</f>
        <v>KTHIMI</v>
      </c>
      <c r="H3885" s="75">
        <v>35109</v>
      </c>
      <c r="I3885" s="76" t="str">
        <f>VLOOKUP(Tabelle2[[#This Row],[Artikel]],Produkte!A:B,2,0)</f>
        <v>M-ONE Sanitar Silikon</v>
      </c>
      <c r="J3885" s="75">
        <v>12</v>
      </c>
      <c r="K3885" s="76" t="str">
        <f>VLOOKUP(Tabelle2[[#This Row],[Kunden Nr.]],KUNDEN!A:G,7)</f>
        <v>Mensuri</v>
      </c>
      <c r="L3885" s="76">
        <f>VLOOKUP(Tabelle2[[#This Row],[Artikel]],Produkte!A:H,8)</f>
        <v>0.17</v>
      </c>
    </row>
    <row r="3886" spans="1:12" x14ac:dyDescent="0.2">
      <c r="A3886" s="75" t="s">
        <v>1129</v>
      </c>
      <c r="B3886" s="79">
        <v>46167</v>
      </c>
      <c r="C3886" s="89">
        <v>145.19999999999999</v>
      </c>
      <c r="D3886" s="75"/>
      <c r="E3886" s="75"/>
      <c r="F3886" s="75">
        <v>20127</v>
      </c>
      <c r="G3886" s="76" t="str">
        <f>VLOOKUP(Tabelle2[[#This Row],[Kunden Nr.]],KUNDEN!A:B,2,0)</f>
        <v>TERMO PROJEKT</v>
      </c>
      <c r="H3886" s="75">
        <v>35111</v>
      </c>
      <c r="I3886" s="76" t="str">
        <f>VLOOKUP(Tabelle2[[#This Row],[Artikel]],Produkte!A:B,2,0)</f>
        <v>M-ONE Sanitar Silikon</v>
      </c>
      <c r="J3886" s="75">
        <v>12</v>
      </c>
      <c r="K3886" s="76" t="str">
        <f>VLOOKUP(Tabelle2[[#This Row],[Kunden Nr.]],KUNDEN!A:G,7)</f>
        <v>Mensuri</v>
      </c>
      <c r="L3886" s="76">
        <f>VLOOKUP(Tabelle2[[#This Row],[Artikel]],Produkte!A:H,8)</f>
        <v>0.17</v>
      </c>
    </row>
    <row r="3887" spans="1:12" x14ac:dyDescent="0.2">
      <c r="A3887" s="75" t="s">
        <v>1129</v>
      </c>
      <c r="B3887" s="79">
        <v>46167</v>
      </c>
      <c r="C3887" s="75"/>
      <c r="D3887" s="75"/>
      <c r="E3887" s="75"/>
      <c r="F3887" s="75">
        <v>20127</v>
      </c>
      <c r="G3887" s="76" t="str">
        <f>VLOOKUP(Tabelle2[[#This Row],[Kunden Nr.]],KUNDEN!A:B,2,0)</f>
        <v>TERMO PROJEKT</v>
      </c>
      <c r="H3887" s="75">
        <v>51612</v>
      </c>
      <c r="I3887" s="76" t="str">
        <f>VLOOKUP(Tabelle2[[#This Row],[Artikel]],Produkte!A:B,2,0)</f>
        <v>struktural akryl</v>
      </c>
      <c r="J3887" s="75">
        <v>12</v>
      </c>
      <c r="K3887" s="76" t="str">
        <f>VLOOKUP(Tabelle2[[#This Row],[Kunden Nr.]],KUNDEN!A:G,7)</f>
        <v>Mensuri</v>
      </c>
      <c r="L3887" s="76">
        <f>VLOOKUP(Tabelle2[[#This Row],[Artikel]],Produkte!A:H,8)</f>
        <v>0.06</v>
      </c>
    </row>
    <row r="3888" spans="1:12" x14ac:dyDescent="0.2">
      <c r="A3888" s="75" t="s">
        <v>1129</v>
      </c>
      <c r="B3888" s="79">
        <v>46167</v>
      </c>
      <c r="C3888" s="75"/>
      <c r="D3888" s="75"/>
      <c r="E3888" s="75"/>
      <c r="F3888" s="75">
        <v>20127</v>
      </c>
      <c r="G3888" s="76" t="str">
        <f>VLOOKUP(Tabelle2[[#This Row],[Kunden Nr.]],KUNDEN!A:B,2,0)</f>
        <v>TERMO PROJEKT</v>
      </c>
      <c r="H3888" s="75">
        <v>66701</v>
      </c>
      <c r="I3888" s="76" t="str">
        <f>VLOOKUP(Tabelle2[[#This Row],[Artikel]],Produkte!A:B,2,0)</f>
        <v>PROFIMONT EXTREME</v>
      </c>
      <c r="J3888" s="75">
        <v>12</v>
      </c>
      <c r="K3888" s="76" t="str">
        <f>VLOOKUP(Tabelle2[[#This Row],[Kunden Nr.]],KUNDEN!A:G,7)</f>
        <v>Mensuri</v>
      </c>
      <c r="L3888" s="76">
        <f>VLOOKUP(Tabelle2[[#This Row],[Artikel]],Produkte!A:H,8)</f>
        <v>0.2</v>
      </c>
    </row>
    <row r="3889" spans="1:12" x14ac:dyDescent="0.2">
      <c r="A3889" s="75" t="s">
        <v>1306</v>
      </c>
      <c r="B3889" s="79">
        <v>46167</v>
      </c>
      <c r="C3889" s="89">
        <v>144</v>
      </c>
      <c r="D3889" s="75"/>
      <c r="E3889" s="75"/>
      <c r="F3889" s="75">
        <v>20129</v>
      </c>
      <c r="G3889" s="76" t="str">
        <f>VLOOKUP(Tabelle2[[#This Row],[Kunden Nr.]],KUNDEN!A:B,2,0)</f>
        <v>LNI SHPK</v>
      </c>
      <c r="H3889" s="75">
        <v>35110</v>
      </c>
      <c r="I3889" s="76" t="str">
        <f>VLOOKUP(Tabelle2[[#This Row],[Artikel]],Produkte!A:B,2,0)</f>
        <v>M-ONE Sanitar Silikon</v>
      </c>
      <c r="J3889" s="75">
        <v>12</v>
      </c>
      <c r="K3889" s="76" t="str">
        <f>VLOOKUP(Tabelle2[[#This Row],[Kunden Nr.]],KUNDEN!A:G,7)</f>
        <v>Mensuri</v>
      </c>
      <c r="L3889" s="76">
        <f>VLOOKUP(Tabelle2[[#This Row],[Artikel]],Produkte!A:H,8)</f>
        <v>0.17</v>
      </c>
    </row>
    <row r="3890" spans="1:12" x14ac:dyDescent="0.2">
      <c r="A3890" s="75" t="s">
        <v>1306</v>
      </c>
      <c r="B3890" s="79">
        <v>46167</v>
      </c>
      <c r="C3890" s="75"/>
      <c r="D3890" s="75"/>
      <c r="E3890" s="75"/>
      <c r="F3890" s="75">
        <v>20129</v>
      </c>
      <c r="G3890" s="76" t="str">
        <f>VLOOKUP(Tabelle2[[#This Row],[Kunden Nr.]],KUNDEN!A:B,2,0)</f>
        <v>LNI SHPK</v>
      </c>
      <c r="H3890" s="75">
        <v>35109</v>
      </c>
      <c r="I3890" s="76" t="str">
        <f>VLOOKUP(Tabelle2[[#This Row],[Artikel]],Produkte!A:B,2,0)</f>
        <v>M-ONE Sanitar Silikon</v>
      </c>
      <c r="J3890" s="75">
        <v>12</v>
      </c>
      <c r="K3890" s="76" t="str">
        <f>VLOOKUP(Tabelle2[[#This Row],[Kunden Nr.]],KUNDEN!A:G,7)</f>
        <v>Mensuri</v>
      </c>
      <c r="L3890" s="76">
        <f>VLOOKUP(Tabelle2[[#This Row],[Artikel]],Produkte!A:H,8)</f>
        <v>0.17</v>
      </c>
    </row>
    <row r="3891" spans="1:12" x14ac:dyDescent="0.2">
      <c r="A3891" s="75" t="s">
        <v>1306</v>
      </c>
      <c r="B3891" s="79">
        <v>46167</v>
      </c>
      <c r="C3891" s="75"/>
      <c r="D3891" s="75"/>
      <c r="E3891" s="75"/>
      <c r="F3891" s="75">
        <v>20129</v>
      </c>
      <c r="G3891" s="76" t="str">
        <f>VLOOKUP(Tabelle2[[#This Row],[Kunden Nr.]],KUNDEN!A:B,2,0)</f>
        <v>LNI SHPK</v>
      </c>
      <c r="H3891" s="75">
        <v>35111</v>
      </c>
      <c r="I3891" s="76" t="str">
        <f>VLOOKUP(Tabelle2[[#This Row],[Artikel]],Produkte!A:B,2,0)</f>
        <v>M-ONE Sanitar Silikon</v>
      </c>
      <c r="J3891" s="75">
        <v>12</v>
      </c>
      <c r="K3891" s="76" t="str">
        <f>VLOOKUP(Tabelle2[[#This Row],[Kunden Nr.]],KUNDEN!A:G,7)</f>
        <v>Mensuri</v>
      </c>
      <c r="L3891" s="76">
        <f>VLOOKUP(Tabelle2[[#This Row],[Artikel]],Produkte!A:H,8)</f>
        <v>0.17</v>
      </c>
    </row>
    <row r="3892" spans="1:12" x14ac:dyDescent="0.2">
      <c r="A3892" s="75" t="s">
        <v>963</v>
      </c>
      <c r="B3892" s="79">
        <v>46167</v>
      </c>
      <c r="C3892" s="89">
        <v>207</v>
      </c>
      <c r="D3892" s="75"/>
      <c r="E3892" s="75"/>
      <c r="F3892" s="75">
        <v>20201</v>
      </c>
      <c r="G3892" s="76" t="str">
        <f>VLOOKUP(Tabelle2[[#This Row],[Kunden Nr.]],KUNDEN!A:B,2,0)</f>
        <v>TE BESIMI</v>
      </c>
      <c r="H3892" s="75">
        <v>35109</v>
      </c>
      <c r="I3892" s="76" t="str">
        <f>VLOOKUP(Tabelle2[[#This Row],[Artikel]],Produkte!A:B,2,0)</f>
        <v>M-ONE Sanitar Silikon</v>
      </c>
      <c r="J3892" s="75">
        <v>12</v>
      </c>
      <c r="K3892" s="76" t="str">
        <f>VLOOKUP(Tabelle2[[#This Row],[Kunden Nr.]],KUNDEN!A:G,7)</f>
        <v>Mensuri</v>
      </c>
      <c r="L3892" s="76">
        <f>VLOOKUP(Tabelle2[[#This Row],[Artikel]],Produkte!A:H,8)</f>
        <v>0.17</v>
      </c>
    </row>
    <row r="3893" spans="1:12" x14ac:dyDescent="0.2">
      <c r="A3893" s="75" t="s">
        <v>963</v>
      </c>
      <c r="B3893" s="79">
        <v>46167</v>
      </c>
      <c r="C3893" s="75"/>
      <c r="D3893" s="75"/>
      <c r="E3893" s="75"/>
      <c r="F3893" s="75">
        <v>20201</v>
      </c>
      <c r="G3893" s="76" t="str">
        <f>VLOOKUP(Tabelle2[[#This Row],[Kunden Nr.]],KUNDEN!A:B,2,0)</f>
        <v>TE BESIMI</v>
      </c>
      <c r="H3893" s="75">
        <v>35121</v>
      </c>
      <c r="I3893" s="76" t="str">
        <f>VLOOKUP(Tabelle2[[#This Row],[Artikel]],Produkte!A:B,2,0)</f>
        <v>M-ONE Sanitar Silikon</v>
      </c>
      <c r="J3893" s="75">
        <v>12</v>
      </c>
      <c r="K3893" s="76" t="str">
        <f>VLOOKUP(Tabelle2[[#This Row],[Kunden Nr.]],KUNDEN!A:G,7)</f>
        <v>Mensuri</v>
      </c>
      <c r="L3893" s="76">
        <f>VLOOKUP(Tabelle2[[#This Row],[Artikel]],Produkte!A:H,8)</f>
        <v>0.17</v>
      </c>
    </row>
    <row r="3894" spans="1:12" x14ac:dyDescent="0.2">
      <c r="A3894" s="75" t="s">
        <v>963</v>
      </c>
      <c r="B3894" s="79">
        <v>46167</v>
      </c>
      <c r="C3894" s="75"/>
      <c r="D3894" s="75"/>
      <c r="E3894" s="75"/>
      <c r="F3894" s="75">
        <v>20201</v>
      </c>
      <c r="G3894" s="76" t="str">
        <f>VLOOKUP(Tabelle2[[#This Row],[Kunden Nr.]],KUNDEN!A:B,2,0)</f>
        <v>TE BESIMI</v>
      </c>
      <c r="H3894" s="75">
        <v>35128</v>
      </c>
      <c r="I3894" s="76" t="str">
        <f>VLOOKUP(Tabelle2[[#This Row],[Artikel]],Produkte!A:B,2,0)</f>
        <v>M-ONE Sanitar Silikon</v>
      </c>
      <c r="J3894" s="75">
        <v>12</v>
      </c>
      <c r="K3894" s="76" t="str">
        <f>VLOOKUP(Tabelle2[[#This Row],[Kunden Nr.]],KUNDEN!A:G,7)</f>
        <v>Mensuri</v>
      </c>
      <c r="L3894" s="76">
        <f>VLOOKUP(Tabelle2[[#This Row],[Artikel]],Produkte!A:H,8)</f>
        <v>0.17</v>
      </c>
    </row>
    <row r="3895" spans="1:12" x14ac:dyDescent="0.2">
      <c r="A3895" s="75" t="s">
        <v>963</v>
      </c>
      <c r="B3895" s="79">
        <v>46167</v>
      </c>
      <c r="C3895" s="75"/>
      <c r="D3895" s="75"/>
      <c r="E3895" s="75"/>
      <c r="F3895" s="75">
        <v>20201</v>
      </c>
      <c r="G3895" s="76" t="str">
        <f>VLOOKUP(Tabelle2[[#This Row],[Kunden Nr.]],KUNDEN!A:B,2,0)</f>
        <v>TE BESIMI</v>
      </c>
      <c r="H3895" s="75">
        <v>51611</v>
      </c>
      <c r="I3895" s="76" t="str">
        <f>VLOOKUP(Tabelle2[[#This Row],[Artikel]],Produkte!A:B,2,0)</f>
        <v>universal akryl</v>
      </c>
      <c r="J3895" s="75">
        <v>12</v>
      </c>
      <c r="K3895" s="76" t="str">
        <f>VLOOKUP(Tabelle2[[#This Row],[Kunden Nr.]],KUNDEN!A:G,7)</f>
        <v>Mensuri</v>
      </c>
      <c r="L3895" s="76">
        <f>VLOOKUP(Tabelle2[[#This Row],[Artikel]],Produkte!A:H,8)</f>
        <v>0.06</v>
      </c>
    </row>
    <row r="3896" spans="1:12" x14ac:dyDescent="0.2">
      <c r="A3896" s="75" t="s">
        <v>963</v>
      </c>
      <c r="B3896" s="79">
        <v>46167</v>
      </c>
      <c r="C3896" s="75"/>
      <c r="D3896" s="75"/>
      <c r="E3896" s="75"/>
      <c r="F3896" s="75">
        <v>20201</v>
      </c>
      <c r="G3896" s="76" t="str">
        <f>VLOOKUP(Tabelle2[[#This Row],[Kunden Nr.]],KUNDEN!A:B,2,0)</f>
        <v>TE BESIMI</v>
      </c>
      <c r="H3896" s="75">
        <v>56117</v>
      </c>
      <c r="I3896" s="76" t="str">
        <f>VLOOKUP(Tabelle2[[#This Row],[Artikel]],Produkte!A:B,2,0)</f>
        <v>M ONE UBS</v>
      </c>
      <c r="J3896" s="75">
        <v>12</v>
      </c>
      <c r="K3896" s="76" t="str">
        <f>VLOOKUP(Tabelle2[[#This Row],[Kunden Nr.]],KUNDEN!A:G,7)</f>
        <v>Mensuri</v>
      </c>
      <c r="L3896" s="76">
        <f>VLOOKUP(Tabelle2[[#This Row],[Artikel]],Produkte!A:H,8)</f>
        <v>0.2</v>
      </c>
    </row>
    <row r="3897" spans="1:12" x14ac:dyDescent="0.2">
      <c r="A3897" s="75" t="s">
        <v>418</v>
      </c>
      <c r="B3897" s="79">
        <v>46167</v>
      </c>
      <c r="C3897" s="89">
        <v>165.6</v>
      </c>
      <c r="D3897" s="75"/>
      <c r="E3897" s="75"/>
      <c r="F3897" s="75">
        <v>20203</v>
      </c>
      <c r="G3897" s="76" t="str">
        <f>VLOOKUP(Tabelle2[[#This Row],[Kunden Nr.]],KUNDEN!A:B,2,0)</f>
        <v>AFRIMI-AG</v>
      </c>
      <c r="H3897" s="75">
        <v>35125</v>
      </c>
      <c r="I3897" s="76" t="str">
        <f>VLOOKUP(Tabelle2[[#This Row],[Artikel]],Produkte!A:B,2,0)</f>
        <v>M-ONE Sanitar Silikon</v>
      </c>
      <c r="J3897" s="75">
        <v>12</v>
      </c>
      <c r="K3897" s="76" t="str">
        <f>VLOOKUP(Tabelle2[[#This Row],[Kunden Nr.]],KUNDEN!A:G,7)</f>
        <v>Mensuri</v>
      </c>
      <c r="L3897" s="76">
        <f>VLOOKUP(Tabelle2[[#This Row],[Artikel]],Produkte!A:H,8)</f>
        <v>0.17</v>
      </c>
    </row>
    <row r="3898" spans="1:12" x14ac:dyDescent="0.2">
      <c r="A3898" s="75" t="s">
        <v>418</v>
      </c>
      <c r="B3898" s="79">
        <v>46167</v>
      </c>
      <c r="C3898" s="75"/>
      <c r="D3898" s="75"/>
      <c r="E3898" s="75"/>
      <c r="F3898" s="75">
        <v>20203</v>
      </c>
      <c r="G3898" s="76" t="str">
        <f>VLOOKUP(Tabelle2[[#This Row],[Kunden Nr.]],KUNDEN!A:B,2,0)</f>
        <v>AFRIMI-AG</v>
      </c>
      <c r="H3898" s="75">
        <v>35128</v>
      </c>
      <c r="I3898" s="76" t="str">
        <f>VLOOKUP(Tabelle2[[#This Row],[Artikel]],Produkte!A:B,2,0)</f>
        <v>M-ONE Sanitar Silikon</v>
      </c>
      <c r="J3898" s="75">
        <v>12</v>
      </c>
      <c r="K3898" s="76" t="str">
        <f>VLOOKUP(Tabelle2[[#This Row],[Kunden Nr.]],KUNDEN!A:G,7)</f>
        <v>Mensuri</v>
      </c>
      <c r="L3898" s="76">
        <f>VLOOKUP(Tabelle2[[#This Row],[Artikel]],Produkte!A:H,8)</f>
        <v>0.17</v>
      </c>
    </row>
    <row r="3899" spans="1:12" x14ac:dyDescent="0.2">
      <c r="A3899" s="75" t="s">
        <v>418</v>
      </c>
      <c r="B3899" s="79">
        <v>46167</v>
      </c>
      <c r="C3899" s="75"/>
      <c r="D3899" s="75"/>
      <c r="E3899" s="75"/>
      <c r="F3899" s="75">
        <v>20203</v>
      </c>
      <c r="G3899" s="76" t="str">
        <f>VLOOKUP(Tabelle2[[#This Row],[Kunden Nr.]],KUNDEN!A:B,2,0)</f>
        <v>AFRIMI-AG</v>
      </c>
      <c r="H3899" s="75">
        <v>66701</v>
      </c>
      <c r="I3899" s="76" t="str">
        <f>VLOOKUP(Tabelle2[[#This Row],[Artikel]],Produkte!A:B,2,0)</f>
        <v>PROFIMONT EXTREME</v>
      </c>
      <c r="J3899" s="75">
        <v>12</v>
      </c>
      <c r="K3899" s="76" t="str">
        <f>VLOOKUP(Tabelle2[[#This Row],[Kunden Nr.]],KUNDEN!A:G,7)</f>
        <v>Mensuri</v>
      </c>
      <c r="L3899" s="76">
        <f>VLOOKUP(Tabelle2[[#This Row],[Artikel]],Produkte!A:H,8)</f>
        <v>0.2</v>
      </c>
    </row>
    <row r="3900" spans="1:12" x14ac:dyDescent="0.2">
      <c r="A3900" s="75" t="s">
        <v>646</v>
      </c>
      <c r="B3900" s="79">
        <v>46168</v>
      </c>
      <c r="C3900" s="89">
        <v>144</v>
      </c>
      <c r="D3900" s="75"/>
      <c r="E3900" s="75"/>
      <c r="F3900" s="75">
        <v>10250</v>
      </c>
      <c r="G3900" s="76" t="e">
        <f>VLOOKUP(Tabelle2[[#This Row],[Kunden Nr.]],KUNDEN!A:B,2,0)</f>
        <v>#N/A</v>
      </c>
      <c r="H3900" s="75">
        <v>35113</v>
      </c>
      <c r="I3900" s="76" t="str">
        <f>VLOOKUP(Tabelle2[[#This Row],[Artikel]],Produkte!A:B,2,0)</f>
        <v>M-ONE Sanitar Silikon</v>
      </c>
      <c r="J3900" s="75">
        <v>12</v>
      </c>
      <c r="K3900" s="76" t="str">
        <f>VLOOKUP(Tabelle2[[#This Row],[Kunden Nr.]],KUNDEN!A:G,7)</f>
        <v>Qerimi</v>
      </c>
      <c r="L3900" s="76">
        <f>VLOOKUP(Tabelle2[[#This Row],[Artikel]],Produkte!A:H,8)</f>
        <v>0.17</v>
      </c>
    </row>
    <row r="3901" spans="1:12" x14ac:dyDescent="0.2">
      <c r="A3901" s="75" t="s">
        <v>646</v>
      </c>
      <c r="B3901" s="79">
        <v>46168</v>
      </c>
      <c r="C3901" s="75"/>
      <c r="D3901" s="75"/>
      <c r="E3901" s="75"/>
      <c r="F3901" s="75">
        <v>10250</v>
      </c>
      <c r="G3901" s="76" t="e">
        <f>VLOOKUP(Tabelle2[[#This Row],[Kunden Nr.]],KUNDEN!A:B,2,0)</f>
        <v>#N/A</v>
      </c>
      <c r="H3901" s="75">
        <v>35119</v>
      </c>
      <c r="I3901" s="76" t="str">
        <f>VLOOKUP(Tabelle2[[#This Row],[Artikel]],Produkte!A:B,2,0)</f>
        <v>M-ONE Sanitar Silikon</v>
      </c>
      <c r="J3901" s="75">
        <v>12</v>
      </c>
      <c r="K3901" s="76" t="str">
        <f>VLOOKUP(Tabelle2[[#This Row],[Kunden Nr.]],KUNDEN!A:G,7)</f>
        <v>Qerimi</v>
      </c>
      <c r="L3901" s="76">
        <f>VLOOKUP(Tabelle2[[#This Row],[Artikel]],Produkte!A:H,8)</f>
        <v>0.17</v>
      </c>
    </row>
    <row r="3902" spans="1:12" x14ac:dyDescent="0.2">
      <c r="A3902" s="75" t="s">
        <v>646</v>
      </c>
      <c r="B3902" s="79">
        <v>46168</v>
      </c>
      <c r="C3902" s="75"/>
      <c r="D3902" s="75"/>
      <c r="E3902" s="75"/>
      <c r="F3902" s="75">
        <v>10250</v>
      </c>
      <c r="G3902" s="76" t="e">
        <f>VLOOKUP(Tabelle2[[#This Row],[Kunden Nr.]],KUNDEN!A:B,2,0)</f>
        <v>#N/A</v>
      </c>
      <c r="H3902" s="75">
        <v>35128</v>
      </c>
      <c r="I3902" s="76" t="str">
        <f>VLOOKUP(Tabelle2[[#This Row],[Artikel]],Produkte!A:B,2,0)</f>
        <v>M-ONE Sanitar Silikon</v>
      </c>
      <c r="J3902" s="75">
        <v>12</v>
      </c>
      <c r="K3902" s="76" t="str">
        <f>VLOOKUP(Tabelle2[[#This Row],[Kunden Nr.]],KUNDEN!A:G,7)</f>
        <v>Qerimi</v>
      </c>
      <c r="L3902" s="76">
        <f>VLOOKUP(Tabelle2[[#This Row],[Artikel]],Produkte!A:H,8)</f>
        <v>0.17</v>
      </c>
    </row>
    <row r="3903" spans="1:12" x14ac:dyDescent="0.2">
      <c r="A3903" s="75" t="s">
        <v>1038</v>
      </c>
      <c r="B3903" s="79">
        <v>46168</v>
      </c>
      <c r="C3903" s="89">
        <v>267.60000000000002</v>
      </c>
      <c r="D3903" s="75"/>
      <c r="E3903" s="75"/>
      <c r="F3903" s="75">
        <v>10241</v>
      </c>
      <c r="G3903" s="76" t="str">
        <f>VLOOKUP(Tabelle2[[#This Row],[Kunden Nr.]],KUNDEN!A:B,2,0)</f>
        <v>AB SHPK</v>
      </c>
      <c r="H3903" s="75">
        <v>35114</v>
      </c>
      <c r="I3903" s="76" t="str">
        <f>VLOOKUP(Tabelle2[[#This Row],[Artikel]],Produkte!A:B,2,0)</f>
        <v>M-ONE Sanitar Silikon</v>
      </c>
      <c r="J3903" s="75">
        <v>36</v>
      </c>
      <c r="K3903" s="76" t="str">
        <f>VLOOKUP(Tabelle2[[#This Row],[Kunden Nr.]],KUNDEN!A:G,7)</f>
        <v>Qerimi</v>
      </c>
      <c r="L3903" s="76">
        <f>VLOOKUP(Tabelle2[[#This Row],[Artikel]],Produkte!A:H,8)</f>
        <v>0.17</v>
      </c>
    </row>
    <row r="3904" spans="1:12" x14ac:dyDescent="0.2">
      <c r="A3904" s="75" t="s">
        <v>1038</v>
      </c>
      <c r="B3904" s="79">
        <v>46168</v>
      </c>
      <c r="C3904" s="75"/>
      <c r="D3904" s="75"/>
      <c r="E3904" s="75"/>
      <c r="F3904" s="75">
        <v>10241</v>
      </c>
      <c r="G3904" s="76" t="str">
        <f>VLOOKUP(Tabelle2[[#This Row],[Kunden Nr.]],KUNDEN!A:B,2,0)</f>
        <v>AB SHPK</v>
      </c>
      <c r="H3904" s="75">
        <v>35128</v>
      </c>
      <c r="I3904" s="76" t="str">
        <f>VLOOKUP(Tabelle2[[#This Row],[Artikel]],Produkte!A:B,2,0)</f>
        <v>M-ONE Sanitar Silikon</v>
      </c>
      <c r="J3904" s="75">
        <v>24</v>
      </c>
      <c r="K3904" s="76" t="str">
        <f>VLOOKUP(Tabelle2[[#This Row],[Kunden Nr.]],KUNDEN!A:G,7)</f>
        <v>Qerimi</v>
      </c>
      <c r="L3904" s="76">
        <f>VLOOKUP(Tabelle2[[#This Row],[Artikel]],Produkte!A:H,8)</f>
        <v>0.17</v>
      </c>
    </row>
    <row r="3905" spans="1:12" x14ac:dyDescent="0.2">
      <c r="A3905" s="75" t="s">
        <v>1038</v>
      </c>
      <c r="B3905" s="79">
        <v>46168</v>
      </c>
      <c r="C3905" s="75"/>
      <c r="D3905" s="75"/>
      <c r="E3905" s="75"/>
      <c r="F3905" s="75">
        <v>10241</v>
      </c>
      <c r="G3905" s="76" t="str">
        <f>VLOOKUP(Tabelle2[[#This Row],[Kunden Nr.]],KUNDEN!A:B,2,0)</f>
        <v>AB SHPK</v>
      </c>
      <c r="H3905" s="75">
        <v>51612</v>
      </c>
      <c r="I3905" s="76" t="str">
        <f>VLOOKUP(Tabelle2[[#This Row],[Artikel]],Produkte!A:B,2,0)</f>
        <v>struktural akryl</v>
      </c>
      <c r="J3905" s="75">
        <v>12</v>
      </c>
      <c r="K3905" s="76" t="str">
        <f>VLOOKUP(Tabelle2[[#This Row],[Kunden Nr.]],KUNDEN!A:G,7)</f>
        <v>Qerimi</v>
      </c>
      <c r="L3905" s="76">
        <f>VLOOKUP(Tabelle2[[#This Row],[Artikel]],Produkte!A:H,8)</f>
        <v>0.06</v>
      </c>
    </row>
    <row r="3906" spans="1:12" x14ac:dyDescent="0.2">
      <c r="A3906" s="75" t="s">
        <v>520</v>
      </c>
      <c r="B3906" s="79">
        <v>46168</v>
      </c>
      <c r="C3906" s="89">
        <v>192</v>
      </c>
      <c r="D3906" s="75"/>
      <c r="E3906" s="75"/>
      <c r="F3906" s="75">
        <v>10210</v>
      </c>
      <c r="G3906" s="76" t="str">
        <f>VLOOKUP(Tabelle2[[#This Row],[Kunden Nr.]],KUNDEN!A:B,2,0)</f>
        <v>MONI 2</v>
      </c>
      <c r="H3906" s="75">
        <v>35108</v>
      </c>
      <c r="I3906" s="76" t="str">
        <f>VLOOKUP(Tabelle2[[#This Row],[Artikel]],Produkte!A:B,2,0)</f>
        <v>M-ONE Sanitar Silikon</v>
      </c>
      <c r="J3906" s="75">
        <v>24</v>
      </c>
      <c r="K3906" s="76" t="str">
        <f>VLOOKUP(Tabelle2[[#This Row],[Kunden Nr.]],KUNDEN!A:G,7)</f>
        <v>Qerimi</v>
      </c>
      <c r="L3906" s="76">
        <f>VLOOKUP(Tabelle2[[#This Row],[Artikel]],Produkte!A:H,8)</f>
        <v>0.17</v>
      </c>
    </row>
    <row r="3907" spans="1:12" x14ac:dyDescent="0.2">
      <c r="A3907" s="75" t="s">
        <v>520</v>
      </c>
      <c r="B3907" s="79">
        <v>46168</v>
      </c>
      <c r="C3907" s="75"/>
      <c r="D3907" s="75"/>
      <c r="E3907" s="75"/>
      <c r="F3907" s="75">
        <v>10210</v>
      </c>
      <c r="G3907" s="76" t="str">
        <f>VLOOKUP(Tabelle2[[#This Row],[Kunden Nr.]],KUNDEN!A:B,2,0)</f>
        <v>MONI 2</v>
      </c>
      <c r="H3907" s="75">
        <v>35115</v>
      </c>
      <c r="I3907" s="76" t="str">
        <f>VLOOKUP(Tabelle2[[#This Row],[Artikel]],Produkte!A:B,2,0)</f>
        <v>M-ONE Sanitar Silikon</v>
      </c>
      <c r="J3907" s="75">
        <v>12</v>
      </c>
      <c r="K3907" s="76" t="str">
        <f>VLOOKUP(Tabelle2[[#This Row],[Kunden Nr.]],KUNDEN!A:G,7)</f>
        <v>Qerimi</v>
      </c>
      <c r="L3907" s="76">
        <f>VLOOKUP(Tabelle2[[#This Row],[Artikel]],Produkte!A:H,8)</f>
        <v>0.17</v>
      </c>
    </row>
    <row r="3908" spans="1:12" x14ac:dyDescent="0.2">
      <c r="A3908" s="75" t="s">
        <v>520</v>
      </c>
      <c r="B3908" s="79">
        <v>46168</v>
      </c>
      <c r="C3908" s="75"/>
      <c r="D3908" s="75"/>
      <c r="E3908" s="75"/>
      <c r="F3908" s="75">
        <v>10210</v>
      </c>
      <c r="G3908" s="76" t="str">
        <f>VLOOKUP(Tabelle2[[#This Row],[Kunden Nr.]],KUNDEN!A:B,2,0)</f>
        <v>MONI 2</v>
      </c>
      <c r="H3908" s="75">
        <v>35121</v>
      </c>
      <c r="I3908" s="76" t="str">
        <f>VLOOKUP(Tabelle2[[#This Row],[Artikel]],Produkte!A:B,2,0)</f>
        <v>M-ONE Sanitar Silikon</v>
      </c>
      <c r="J3908" s="75">
        <v>12</v>
      </c>
      <c r="K3908" s="76" t="str">
        <f>VLOOKUP(Tabelle2[[#This Row],[Kunden Nr.]],KUNDEN!A:G,7)</f>
        <v>Qerimi</v>
      </c>
      <c r="L3908" s="76">
        <f>VLOOKUP(Tabelle2[[#This Row],[Artikel]],Produkte!A:H,8)</f>
        <v>0.17</v>
      </c>
    </row>
    <row r="3909" spans="1:12" x14ac:dyDescent="0.2">
      <c r="A3909" s="75" t="s">
        <v>1204</v>
      </c>
      <c r="B3909" s="79">
        <v>46168</v>
      </c>
      <c r="C3909" s="89">
        <v>48</v>
      </c>
      <c r="D3909" s="75"/>
      <c r="E3909" s="75"/>
      <c r="F3909" s="75">
        <v>10245</v>
      </c>
      <c r="G3909" s="76" t="str">
        <f>VLOOKUP(Tabelle2[[#This Row],[Kunden Nr.]],KUNDEN!A:B,2,0)</f>
        <v>BEK TRADE</v>
      </c>
      <c r="H3909" s="75">
        <v>35113</v>
      </c>
      <c r="I3909" s="76" t="str">
        <f>VLOOKUP(Tabelle2[[#This Row],[Artikel]],Produkte!A:B,2,0)</f>
        <v>M-ONE Sanitar Silikon</v>
      </c>
      <c r="J3909" s="75">
        <v>12</v>
      </c>
      <c r="K3909" s="76" t="str">
        <f>VLOOKUP(Tabelle2[[#This Row],[Kunden Nr.]],KUNDEN!A:G,7)</f>
        <v>Qerimi</v>
      </c>
      <c r="L3909" s="76">
        <f>VLOOKUP(Tabelle2[[#This Row],[Artikel]],Produkte!A:H,8)</f>
        <v>0.17</v>
      </c>
    </row>
    <row r="3910" spans="1:12" x14ac:dyDescent="0.2">
      <c r="A3910" s="75" t="s">
        <v>1201</v>
      </c>
      <c r="B3910" s="79">
        <v>46168</v>
      </c>
      <c r="C3910" s="89">
        <v>330.6</v>
      </c>
      <c r="D3910" s="75"/>
      <c r="E3910" s="75"/>
      <c r="F3910" s="75">
        <v>10240</v>
      </c>
      <c r="G3910" s="76" t="str">
        <f>VLOOKUP(Tabelle2[[#This Row],[Kunden Nr.]],KUNDEN!A:B,2,0)</f>
        <v>ARPO</v>
      </c>
      <c r="H3910" s="75">
        <v>35110</v>
      </c>
      <c r="I3910" s="76" t="str">
        <f>VLOOKUP(Tabelle2[[#This Row],[Artikel]],Produkte!A:B,2,0)</f>
        <v>M-ONE Sanitar Silikon</v>
      </c>
      <c r="J3910" s="75">
        <v>24</v>
      </c>
      <c r="K3910" s="76" t="str">
        <f>VLOOKUP(Tabelle2[[#This Row],[Kunden Nr.]],KUNDEN!A:G,7)</f>
        <v>Qerimi</v>
      </c>
      <c r="L3910" s="76">
        <f>VLOOKUP(Tabelle2[[#This Row],[Artikel]],Produkte!A:H,8)</f>
        <v>0.17</v>
      </c>
    </row>
    <row r="3911" spans="1:12" x14ac:dyDescent="0.2">
      <c r="A3911" s="75" t="s">
        <v>1201</v>
      </c>
      <c r="B3911" s="79">
        <v>46168</v>
      </c>
      <c r="C3911" s="75"/>
      <c r="D3911" s="75"/>
      <c r="E3911" s="75"/>
      <c r="F3911" s="75">
        <v>10240</v>
      </c>
      <c r="G3911" s="76" t="str">
        <f>VLOOKUP(Tabelle2[[#This Row],[Kunden Nr.]],KUNDEN!A:B,2,0)</f>
        <v>ARPO</v>
      </c>
      <c r="H3911" s="75">
        <v>35109</v>
      </c>
      <c r="I3911" s="76" t="str">
        <f>VLOOKUP(Tabelle2[[#This Row],[Artikel]],Produkte!A:B,2,0)</f>
        <v>M-ONE Sanitar Silikon</v>
      </c>
      <c r="J3911" s="75">
        <v>12</v>
      </c>
      <c r="K3911" s="76" t="str">
        <f>VLOOKUP(Tabelle2[[#This Row],[Kunden Nr.]],KUNDEN!A:G,7)</f>
        <v>Qerimi</v>
      </c>
      <c r="L3911" s="76">
        <f>VLOOKUP(Tabelle2[[#This Row],[Artikel]],Produkte!A:H,8)</f>
        <v>0.17</v>
      </c>
    </row>
    <row r="3912" spans="1:12" x14ac:dyDescent="0.2">
      <c r="A3912" s="75" t="s">
        <v>1201</v>
      </c>
      <c r="B3912" s="79">
        <v>46168</v>
      </c>
      <c r="C3912" s="75"/>
      <c r="D3912" s="75"/>
      <c r="E3912" s="75"/>
      <c r="F3912" s="75">
        <v>10240</v>
      </c>
      <c r="G3912" s="76" t="str">
        <f>VLOOKUP(Tabelle2[[#This Row],[Kunden Nr.]],KUNDEN!A:B,2,0)</f>
        <v>ARPO</v>
      </c>
      <c r="H3912" s="75">
        <v>35115</v>
      </c>
      <c r="I3912" s="76" t="str">
        <f>VLOOKUP(Tabelle2[[#This Row],[Artikel]],Produkte!A:B,2,0)</f>
        <v>M-ONE Sanitar Silikon</v>
      </c>
      <c r="J3912" s="75">
        <v>12</v>
      </c>
      <c r="K3912" s="76" t="str">
        <f>VLOOKUP(Tabelle2[[#This Row],[Kunden Nr.]],KUNDEN!A:G,7)</f>
        <v>Qerimi</v>
      </c>
      <c r="L3912" s="76">
        <f>VLOOKUP(Tabelle2[[#This Row],[Artikel]],Produkte!A:H,8)</f>
        <v>0.17</v>
      </c>
    </row>
    <row r="3913" spans="1:12" x14ac:dyDescent="0.2">
      <c r="A3913" s="75" t="s">
        <v>1201</v>
      </c>
      <c r="B3913" s="79">
        <v>46168</v>
      </c>
      <c r="C3913" s="75"/>
      <c r="D3913" s="75"/>
      <c r="E3913" s="75"/>
      <c r="F3913" s="75">
        <v>10240</v>
      </c>
      <c r="G3913" s="76" t="str">
        <f>VLOOKUP(Tabelle2[[#This Row],[Kunden Nr.]],KUNDEN!A:B,2,0)</f>
        <v>ARPO</v>
      </c>
      <c r="H3913" s="75">
        <v>35113</v>
      </c>
      <c r="I3913" s="76" t="str">
        <f>VLOOKUP(Tabelle2[[#This Row],[Artikel]],Produkte!A:B,2,0)</f>
        <v>M-ONE Sanitar Silikon</v>
      </c>
      <c r="J3913" s="75">
        <v>12</v>
      </c>
      <c r="K3913" s="76" t="str">
        <f>VLOOKUP(Tabelle2[[#This Row],[Kunden Nr.]],KUNDEN!A:G,7)</f>
        <v>Qerimi</v>
      </c>
      <c r="L3913" s="76">
        <f>VLOOKUP(Tabelle2[[#This Row],[Artikel]],Produkte!A:H,8)</f>
        <v>0.17</v>
      </c>
    </row>
    <row r="3914" spans="1:12" x14ac:dyDescent="0.2">
      <c r="A3914" s="75" t="s">
        <v>1201</v>
      </c>
      <c r="B3914" s="79">
        <v>46168</v>
      </c>
      <c r="C3914" s="75"/>
      <c r="D3914" s="75"/>
      <c r="E3914" s="75"/>
      <c r="F3914" s="75">
        <v>10240</v>
      </c>
      <c r="G3914" s="76" t="str">
        <f>VLOOKUP(Tabelle2[[#This Row],[Kunden Nr.]],KUNDEN!A:B,2,0)</f>
        <v>ARPO</v>
      </c>
      <c r="H3914" s="75">
        <v>35128</v>
      </c>
      <c r="I3914" s="76" t="str">
        <f>VLOOKUP(Tabelle2[[#This Row],[Artikel]],Produkte!A:B,2,0)</f>
        <v>M-ONE Sanitar Silikon</v>
      </c>
      <c r="J3914" s="75">
        <v>12</v>
      </c>
      <c r="K3914" s="76" t="str">
        <f>VLOOKUP(Tabelle2[[#This Row],[Kunden Nr.]],KUNDEN!A:G,7)</f>
        <v>Qerimi</v>
      </c>
      <c r="L3914" s="76">
        <f>VLOOKUP(Tabelle2[[#This Row],[Artikel]],Produkte!A:H,8)</f>
        <v>0.17</v>
      </c>
    </row>
    <row r="3915" spans="1:12" x14ac:dyDescent="0.2">
      <c r="A3915" s="75" t="s">
        <v>1201</v>
      </c>
      <c r="B3915" s="79">
        <v>46168</v>
      </c>
      <c r="C3915" s="75"/>
      <c r="D3915" s="75"/>
      <c r="E3915" s="75"/>
      <c r="F3915" s="75">
        <v>10240</v>
      </c>
      <c r="G3915" s="76" t="str">
        <f>VLOOKUP(Tabelle2[[#This Row],[Kunden Nr.]],KUNDEN!A:B,2,0)</f>
        <v>ARPO</v>
      </c>
      <c r="H3915" s="75">
        <v>51611</v>
      </c>
      <c r="I3915" s="76" t="str">
        <f>VLOOKUP(Tabelle2[[#This Row],[Artikel]],Produkte!A:B,2,0)</f>
        <v>universal akryl</v>
      </c>
      <c r="J3915" s="75">
        <v>12</v>
      </c>
      <c r="K3915" s="76" t="str">
        <f>VLOOKUP(Tabelle2[[#This Row],[Kunden Nr.]],KUNDEN!A:G,7)</f>
        <v>Qerimi</v>
      </c>
      <c r="L3915" s="76">
        <f>VLOOKUP(Tabelle2[[#This Row],[Artikel]],Produkte!A:H,8)</f>
        <v>0.06</v>
      </c>
    </row>
    <row r="3916" spans="1:12" x14ac:dyDescent="0.2">
      <c r="A3916" s="75" t="s">
        <v>1201</v>
      </c>
      <c r="B3916" s="79">
        <v>46168</v>
      </c>
      <c r="C3916" s="75"/>
      <c r="D3916" s="75"/>
      <c r="E3916" s="75"/>
      <c r="F3916" s="75">
        <v>10240</v>
      </c>
      <c r="G3916" s="76" t="str">
        <f>VLOOKUP(Tabelle2[[#This Row],[Kunden Nr.]],KUNDEN!A:B,2,0)</f>
        <v>ARPO</v>
      </c>
      <c r="H3916" s="75">
        <v>51612</v>
      </c>
      <c r="I3916" s="76" t="str">
        <f>VLOOKUP(Tabelle2[[#This Row],[Artikel]],Produkte!A:B,2,0)</f>
        <v>struktural akryl</v>
      </c>
      <c r="J3916" s="75">
        <v>12</v>
      </c>
      <c r="K3916" s="76" t="str">
        <f>VLOOKUP(Tabelle2[[#This Row],[Kunden Nr.]],KUNDEN!A:G,7)</f>
        <v>Qerimi</v>
      </c>
      <c r="L3916" s="76">
        <f>VLOOKUP(Tabelle2[[#This Row],[Artikel]],Produkte!A:H,8)</f>
        <v>0.06</v>
      </c>
    </row>
    <row r="3917" spans="1:12" x14ac:dyDescent="0.2">
      <c r="A3917" s="75" t="s">
        <v>515</v>
      </c>
      <c r="B3917" s="79">
        <v>46168</v>
      </c>
      <c r="C3917" s="89">
        <v>123.6</v>
      </c>
      <c r="D3917" s="75"/>
      <c r="E3917" s="75"/>
      <c r="F3917" s="75">
        <v>10205</v>
      </c>
      <c r="G3917" s="76" t="str">
        <f>VLOOKUP(Tabelle2[[#This Row],[Kunden Nr.]],KUNDEN!A:B,2,0)</f>
        <v>XHAFA</v>
      </c>
      <c r="H3917" s="75">
        <v>35111</v>
      </c>
      <c r="I3917" s="76" t="str">
        <f>VLOOKUP(Tabelle2[[#This Row],[Artikel]],Produkte!A:B,2,0)</f>
        <v>M-ONE Sanitar Silikon</v>
      </c>
      <c r="J3917" s="75">
        <v>12</v>
      </c>
      <c r="K3917" s="76" t="str">
        <f>VLOOKUP(Tabelle2[[#This Row],[Kunden Nr.]],KUNDEN!A:G,7)</f>
        <v>Qerimi</v>
      </c>
      <c r="L3917" s="76">
        <f>VLOOKUP(Tabelle2[[#This Row],[Artikel]],Produkte!A:H,8)</f>
        <v>0.17</v>
      </c>
    </row>
    <row r="3918" spans="1:12" x14ac:dyDescent="0.2">
      <c r="A3918" s="75" t="s">
        <v>515</v>
      </c>
      <c r="B3918" s="79">
        <v>46168</v>
      </c>
      <c r="C3918" s="75"/>
      <c r="D3918" s="75"/>
      <c r="E3918" s="75"/>
      <c r="F3918" s="75">
        <v>10205</v>
      </c>
      <c r="G3918" s="76" t="str">
        <f>VLOOKUP(Tabelle2[[#This Row],[Kunden Nr.]],KUNDEN!A:B,2,0)</f>
        <v>XHAFA</v>
      </c>
      <c r="H3918" s="75">
        <v>35128</v>
      </c>
      <c r="I3918" s="76" t="str">
        <f>VLOOKUP(Tabelle2[[#This Row],[Artikel]],Produkte!A:B,2,0)</f>
        <v>M-ONE Sanitar Silikon</v>
      </c>
      <c r="J3918" s="75">
        <v>12</v>
      </c>
      <c r="K3918" s="76" t="str">
        <f>VLOOKUP(Tabelle2[[#This Row],[Kunden Nr.]],KUNDEN!A:G,7)</f>
        <v>Qerimi</v>
      </c>
      <c r="L3918" s="76">
        <f>VLOOKUP(Tabelle2[[#This Row],[Artikel]],Produkte!A:H,8)</f>
        <v>0.17</v>
      </c>
    </row>
    <row r="3919" spans="1:12" x14ac:dyDescent="0.2">
      <c r="A3919" s="75" t="s">
        <v>515</v>
      </c>
      <c r="B3919" s="79">
        <v>46168</v>
      </c>
      <c r="C3919" s="75"/>
      <c r="D3919" s="75"/>
      <c r="E3919" s="75"/>
      <c r="F3919" s="75">
        <v>10205</v>
      </c>
      <c r="G3919" s="76" t="str">
        <f>VLOOKUP(Tabelle2[[#This Row],[Kunden Nr.]],KUNDEN!A:B,2,0)</f>
        <v>XHAFA</v>
      </c>
      <c r="H3919" s="75">
        <v>51612</v>
      </c>
      <c r="I3919" s="76" t="str">
        <f>VLOOKUP(Tabelle2[[#This Row],[Artikel]],Produkte!A:B,2,0)</f>
        <v>struktural akryl</v>
      </c>
      <c r="J3919" s="75">
        <v>12</v>
      </c>
      <c r="K3919" s="76" t="str">
        <f>VLOOKUP(Tabelle2[[#This Row],[Kunden Nr.]],KUNDEN!A:G,7)</f>
        <v>Qerimi</v>
      </c>
      <c r="L3919" s="76">
        <f>VLOOKUP(Tabelle2[[#This Row],[Artikel]],Produkte!A:H,8)</f>
        <v>0.06</v>
      </c>
    </row>
    <row r="3920" spans="1:12" x14ac:dyDescent="0.2">
      <c r="A3920" s="75" t="s">
        <v>1179</v>
      </c>
      <c r="B3920" s="79">
        <v>46168</v>
      </c>
      <c r="C3920" s="89">
        <v>48</v>
      </c>
      <c r="D3920" s="75"/>
      <c r="E3920" s="75"/>
      <c r="F3920" s="75">
        <v>40019</v>
      </c>
      <c r="G3920" s="76" t="str">
        <f>VLOOKUP(Tabelle2[[#This Row],[Kunden Nr.]],KUNDEN!A:B,2,0)</f>
        <v>TEMAJ</v>
      </c>
      <c r="H3920" s="75">
        <v>35113</v>
      </c>
      <c r="I3920" s="76" t="str">
        <f>VLOOKUP(Tabelle2[[#This Row],[Artikel]],Produkte!A:B,2,0)</f>
        <v>M-ONE Sanitar Silikon</v>
      </c>
      <c r="J3920" s="75">
        <v>12</v>
      </c>
      <c r="K3920" s="76">
        <f>VLOOKUP(Tabelle2[[#This Row],[Kunden Nr.]],KUNDEN!A:G,7)</f>
        <v>0</v>
      </c>
      <c r="L3920" s="76">
        <f>VLOOKUP(Tabelle2[[#This Row],[Artikel]],Produkte!A:H,8)</f>
        <v>0.17</v>
      </c>
    </row>
    <row r="3921" spans="1:12" x14ac:dyDescent="0.2">
      <c r="A3921" s="75" t="s">
        <v>423</v>
      </c>
      <c r="B3921" s="79">
        <v>46168</v>
      </c>
      <c r="C3921" s="89">
        <v>283.2</v>
      </c>
      <c r="D3921" s="75"/>
      <c r="E3921" s="75"/>
      <c r="F3921" s="75">
        <v>20210</v>
      </c>
      <c r="G3921" s="76" t="str">
        <f>VLOOKUP(Tabelle2[[#This Row],[Kunden Nr.]],KUNDEN!A:B,2,0)</f>
        <v>PROSAN</v>
      </c>
      <c r="H3921" s="75">
        <v>66701</v>
      </c>
      <c r="I3921" s="76" t="str">
        <f>VLOOKUP(Tabelle2[[#This Row],[Artikel]],Produkte!A:B,2,0)</f>
        <v>PROFIMONT EXTREME</v>
      </c>
      <c r="J3921" s="75">
        <v>24</v>
      </c>
      <c r="K3921" s="76" t="str">
        <f>VLOOKUP(Tabelle2[[#This Row],[Kunden Nr.]],KUNDEN!A:G,7)</f>
        <v>Mensuri</v>
      </c>
      <c r="L3921" s="76">
        <f>VLOOKUP(Tabelle2[[#This Row],[Artikel]],Produkte!A:H,8)</f>
        <v>0.2</v>
      </c>
    </row>
    <row r="3922" spans="1:12" x14ac:dyDescent="0.2">
      <c r="A3922" s="75" t="s">
        <v>423</v>
      </c>
      <c r="B3922" s="79">
        <v>46168</v>
      </c>
      <c r="C3922" s="75"/>
      <c r="D3922" s="75"/>
      <c r="E3922" s="75"/>
      <c r="F3922" s="75">
        <v>20210</v>
      </c>
      <c r="G3922" s="76" t="str">
        <f>VLOOKUP(Tabelle2[[#This Row],[Kunden Nr.]],KUNDEN!A:B,2,0)</f>
        <v>PROSAN</v>
      </c>
      <c r="H3922" s="75">
        <v>35113</v>
      </c>
      <c r="I3922" s="76" t="str">
        <f>VLOOKUP(Tabelle2[[#This Row],[Artikel]],Produkte!A:B,2,0)</f>
        <v>M-ONE Sanitar Silikon</v>
      </c>
      <c r="J3922" s="75">
        <v>36</v>
      </c>
      <c r="K3922" s="76" t="str">
        <f>VLOOKUP(Tabelle2[[#This Row],[Kunden Nr.]],KUNDEN!A:G,7)</f>
        <v>Mensuri</v>
      </c>
      <c r="L3922" s="76">
        <f>VLOOKUP(Tabelle2[[#This Row],[Artikel]],Produkte!A:H,8)</f>
        <v>0.17</v>
      </c>
    </row>
    <row r="3923" spans="1:12" x14ac:dyDescent="0.2">
      <c r="A3923" s="75" t="s">
        <v>618</v>
      </c>
      <c r="B3923" s="79">
        <v>46168</v>
      </c>
      <c r="C3923" s="89">
        <v>240</v>
      </c>
      <c r="D3923" s="75"/>
      <c r="E3923" s="75"/>
      <c r="F3923" s="75">
        <v>20307</v>
      </c>
      <c r="G3923" s="76" t="str">
        <f>VLOOKUP(Tabelle2[[#This Row],[Kunden Nr.]],KUNDEN!A:B,2,0)</f>
        <v>CONDOR</v>
      </c>
      <c r="H3923" s="75">
        <v>35108</v>
      </c>
      <c r="I3923" s="76" t="str">
        <f>VLOOKUP(Tabelle2[[#This Row],[Artikel]],Produkte!A:B,2,0)</f>
        <v>M-ONE Sanitar Silikon</v>
      </c>
      <c r="J3923" s="75">
        <v>12</v>
      </c>
      <c r="K3923" s="76" t="str">
        <f>VLOOKUP(Tabelle2[[#This Row],[Kunden Nr.]],KUNDEN!A:G,7)</f>
        <v>Mensuri</v>
      </c>
      <c r="L3923" s="76">
        <f>VLOOKUP(Tabelle2[[#This Row],[Artikel]],Produkte!A:H,8)</f>
        <v>0.17</v>
      </c>
    </row>
    <row r="3924" spans="1:12" x14ac:dyDescent="0.2">
      <c r="A3924" s="75" t="s">
        <v>618</v>
      </c>
      <c r="B3924" s="79">
        <v>46168</v>
      </c>
      <c r="C3924" s="75"/>
      <c r="D3924" s="75"/>
      <c r="E3924" s="75"/>
      <c r="F3924" s="75">
        <v>20307</v>
      </c>
      <c r="G3924" s="76" t="str">
        <f>VLOOKUP(Tabelle2[[#This Row],[Kunden Nr.]],KUNDEN!A:B,2,0)</f>
        <v>CONDOR</v>
      </c>
      <c r="H3924" s="75">
        <v>35109</v>
      </c>
      <c r="I3924" s="76" t="str">
        <f>VLOOKUP(Tabelle2[[#This Row],[Artikel]],Produkte!A:B,2,0)</f>
        <v>M-ONE Sanitar Silikon</v>
      </c>
      <c r="J3924" s="75">
        <v>24</v>
      </c>
      <c r="K3924" s="76" t="str">
        <f>VLOOKUP(Tabelle2[[#This Row],[Kunden Nr.]],KUNDEN!A:G,7)</f>
        <v>Mensuri</v>
      </c>
      <c r="L3924" s="76">
        <f>VLOOKUP(Tabelle2[[#This Row],[Artikel]],Produkte!A:H,8)</f>
        <v>0.17</v>
      </c>
    </row>
    <row r="3925" spans="1:12" x14ac:dyDescent="0.2">
      <c r="A3925" s="75" t="s">
        <v>618</v>
      </c>
      <c r="B3925" s="79">
        <v>46168</v>
      </c>
      <c r="C3925" s="75"/>
      <c r="D3925" s="75"/>
      <c r="E3925" s="75"/>
      <c r="F3925" s="75">
        <v>20307</v>
      </c>
      <c r="G3925" s="76" t="str">
        <f>VLOOKUP(Tabelle2[[#This Row],[Kunden Nr.]],KUNDEN!A:B,2,0)</f>
        <v>CONDOR</v>
      </c>
      <c r="H3925" s="75">
        <v>35110</v>
      </c>
      <c r="I3925" s="76" t="str">
        <f>VLOOKUP(Tabelle2[[#This Row],[Artikel]],Produkte!A:B,2,0)</f>
        <v>M-ONE Sanitar Silikon</v>
      </c>
      <c r="J3925" s="75">
        <v>12</v>
      </c>
      <c r="K3925" s="76" t="str">
        <f>VLOOKUP(Tabelle2[[#This Row],[Kunden Nr.]],KUNDEN!A:G,7)</f>
        <v>Mensuri</v>
      </c>
      <c r="L3925" s="76">
        <f>VLOOKUP(Tabelle2[[#This Row],[Artikel]],Produkte!A:H,8)</f>
        <v>0.17</v>
      </c>
    </row>
    <row r="3926" spans="1:12" x14ac:dyDescent="0.2">
      <c r="A3926" s="75" t="s">
        <v>618</v>
      </c>
      <c r="B3926" s="79">
        <v>46168</v>
      </c>
      <c r="C3926" s="75"/>
      <c r="D3926" s="75"/>
      <c r="E3926" s="75"/>
      <c r="F3926" s="75">
        <v>20307</v>
      </c>
      <c r="G3926" s="76" t="str">
        <f>VLOOKUP(Tabelle2[[#This Row],[Kunden Nr.]],KUNDEN!A:B,2,0)</f>
        <v>CONDOR</v>
      </c>
      <c r="H3926" s="75">
        <v>35111</v>
      </c>
      <c r="I3926" s="76" t="str">
        <f>VLOOKUP(Tabelle2[[#This Row],[Artikel]],Produkte!A:B,2,0)</f>
        <v>M-ONE Sanitar Silikon</v>
      </c>
      <c r="J3926" s="75">
        <v>12</v>
      </c>
      <c r="K3926" s="76" t="str">
        <f>VLOOKUP(Tabelle2[[#This Row],[Kunden Nr.]],KUNDEN!A:G,7)</f>
        <v>Mensuri</v>
      </c>
      <c r="L3926" s="76">
        <f>VLOOKUP(Tabelle2[[#This Row],[Artikel]],Produkte!A:H,8)</f>
        <v>0.17</v>
      </c>
    </row>
    <row r="3927" spans="1:12" x14ac:dyDescent="0.2">
      <c r="A3927" s="75" t="s">
        <v>1041</v>
      </c>
      <c r="B3927" s="79">
        <v>46168</v>
      </c>
      <c r="C3927" s="89">
        <v>149.6</v>
      </c>
      <c r="D3927" s="75"/>
      <c r="E3927" s="75"/>
      <c r="F3927" s="75">
        <v>20223</v>
      </c>
      <c r="G3927" s="76" t="str">
        <f>VLOOKUP(Tabelle2[[#This Row],[Kunden Nr.]],KUNDEN!A:B,2,0)</f>
        <v>GER COLORS</v>
      </c>
      <c r="H3927" s="75">
        <v>12000</v>
      </c>
      <c r="I3927" s="76" t="str">
        <f>VLOOKUP(Tabelle2[[#This Row],[Artikel]],Produkte!A:B,2,0)</f>
        <v>BAU CLEAN</v>
      </c>
      <c r="J3927" s="75">
        <v>10</v>
      </c>
      <c r="K3927" s="76" t="str">
        <f>VLOOKUP(Tabelle2[[#This Row],[Kunden Nr.]],KUNDEN!A:G,7)</f>
        <v>Mensuri</v>
      </c>
      <c r="L3927" s="76">
        <f>VLOOKUP(Tabelle2[[#This Row],[Artikel]],Produkte!A:H,8)</f>
        <v>0.5</v>
      </c>
    </row>
    <row r="3928" spans="1:12" x14ac:dyDescent="0.2">
      <c r="A3928" s="75" t="s">
        <v>1041</v>
      </c>
      <c r="B3928" s="79">
        <v>46168</v>
      </c>
      <c r="C3928" s="75"/>
      <c r="D3928" s="75"/>
      <c r="E3928" s="75"/>
      <c r="F3928" s="75">
        <v>20223</v>
      </c>
      <c r="G3928" s="76" t="str">
        <f>VLOOKUP(Tabelle2[[#This Row],[Kunden Nr.]],KUNDEN!A:B,2,0)</f>
        <v>GER COLORS</v>
      </c>
      <c r="H3928" s="75">
        <v>66701</v>
      </c>
      <c r="I3928" s="76" t="str">
        <f>VLOOKUP(Tabelle2[[#This Row],[Artikel]],Produkte!A:B,2,0)</f>
        <v>PROFIMONT EXTREME</v>
      </c>
      <c r="J3928" s="75">
        <v>12</v>
      </c>
      <c r="K3928" s="76" t="str">
        <f>VLOOKUP(Tabelle2[[#This Row],[Kunden Nr.]],KUNDEN!A:G,7)</f>
        <v>Mensuri</v>
      </c>
      <c r="L3928" s="76">
        <f>VLOOKUP(Tabelle2[[#This Row],[Artikel]],Produkte!A:H,8)</f>
        <v>0.2</v>
      </c>
    </row>
    <row r="3929" spans="1:12" x14ac:dyDescent="0.2">
      <c r="A3929" s="75" t="s">
        <v>425</v>
      </c>
      <c r="B3929" s="79">
        <v>46168</v>
      </c>
      <c r="C3929" s="89">
        <v>144</v>
      </c>
      <c r="D3929" s="75"/>
      <c r="E3929" s="75"/>
      <c r="F3929" s="75">
        <v>20212</v>
      </c>
      <c r="G3929" s="76" t="str">
        <f>VLOOKUP(Tabelle2[[#This Row],[Kunden Nr.]],KUNDEN!A:B,2,0)</f>
        <v>INOX 2</v>
      </c>
      <c r="H3929" s="75">
        <v>35109</v>
      </c>
      <c r="I3929" s="76" t="str">
        <f>VLOOKUP(Tabelle2[[#This Row],[Artikel]],Produkte!A:B,2,0)</f>
        <v>M-ONE Sanitar Silikon</v>
      </c>
      <c r="J3929" s="75">
        <v>24</v>
      </c>
      <c r="K3929" s="76" t="str">
        <f>VLOOKUP(Tabelle2[[#This Row],[Kunden Nr.]],KUNDEN!A:G,7)</f>
        <v>Mensuri</v>
      </c>
      <c r="L3929" s="76">
        <f>VLOOKUP(Tabelle2[[#This Row],[Artikel]],Produkte!A:H,8)</f>
        <v>0.17</v>
      </c>
    </row>
    <row r="3930" spans="1:12" x14ac:dyDescent="0.2">
      <c r="A3930" s="75" t="s">
        <v>425</v>
      </c>
      <c r="B3930" s="79">
        <v>46168</v>
      </c>
      <c r="C3930" s="75"/>
      <c r="D3930" s="75"/>
      <c r="E3930" s="75"/>
      <c r="F3930" s="75">
        <v>20212</v>
      </c>
      <c r="G3930" s="76" t="str">
        <f>VLOOKUP(Tabelle2[[#This Row],[Kunden Nr.]],KUNDEN!A:B,2,0)</f>
        <v>INOX 2</v>
      </c>
      <c r="H3930" s="75">
        <v>35125</v>
      </c>
      <c r="I3930" s="76" t="str">
        <f>VLOOKUP(Tabelle2[[#This Row],[Artikel]],Produkte!A:B,2,0)</f>
        <v>M-ONE Sanitar Silikon</v>
      </c>
      <c r="J3930" s="75">
        <v>12</v>
      </c>
      <c r="K3930" s="76" t="str">
        <f>VLOOKUP(Tabelle2[[#This Row],[Kunden Nr.]],KUNDEN!A:G,7)</f>
        <v>Mensuri</v>
      </c>
      <c r="L3930" s="76">
        <f>VLOOKUP(Tabelle2[[#This Row],[Artikel]],Produkte!A:H,8)</f>
        <v>0.17</v>
      </c>
    </row>
    <row r="3931" spans="1:12" x14ac:dyDescent="0.2">
      <c r="A3931" s="75" t="s">
        <v>1302</v>
      </c>
      <c r="B3931" s="79">
        <v>46168</v>
      </c>
      <c r="C3931" s="89">
        <v>69.599999999999994</v>
      </c>
      <c r="D3931" s="75"/>
      <c r="E3931" s="75"/>
      <c r="F3931" s="75">
        <v>20228</v>
      </c>
      <c r="G3931" s="76" t="str">
        <f>VLOOKUP(Tabelle2[[#This Row],[Kunden Nr.]],KUNDEN!A:B,2,0)</f>
        <v>HB-DECOR</v>
      </c>
      <c r="H3931" s="75">
        <v>66701</v>
      </c>
      <c r="I3931" s="76" t="str">
        <f>VLOOKUP(Tabelle2[[#This Row],[Artikel]],Produkte!A:B,2,0)</f>
        <v>PROFIMONT EXTREME</v>
      </c>
      <c r="J3931" s="75">
        <v>12</v>
      </c>
      <c r="K3931" s="76" t="str">
        <f>VLOOKUP(Tabelle2[[#This Row],[Kunden Nr.]],KUNDEN!A:G,7)</f>
        <v>Mensuri</v>
      </c>
      <c r="L3931" s="76">
        <f>VLOOKUP(Tabelle2[[#This Row],[Artikel]],Produkte!A:H,8)</f>
        <v>0.2</v>
      </c>
    </row>
    <row r="3932" spans="1:12" x14ac:dyDescent="0.2">
      <c r="A3932" s="75" t="s">
        <v>614</v>
      </c>
      <c r="B3932" s="79">
        <v>46168</v>
      </c>
      <c r="C3932" s="89">
        <v>144</v>
      </c>
      <c r="D3932" s="75"/>
      <c r="E3932" s="75"/>
      <c r="F3932" s="75">
        <v>20301</v>
      </c>
      <c r="G3932" s="76" t="str">
        <f>VLOOKUP(Tabelle2[[#This Row],[Kunden Nr.]],KUNDEN!A:B,2,0)</f>
        <v>HAZROLLI</v>
      </c>
      <c r="H3932" s="75">
        <v>35111</v>
      </c>
      <c r="I3932" s="76" t="str">
        <f>VLOOKUP(Tabelle2[[#This Row],[Artikel]],Produkte!A:B,2,0)</f>
        <v>M-ONE Sanitar Silikon</v>
      </c>
      <c r="J3932" s="75">
        <v>24</v>
      </c>
      <c r="K3932" s="76" t="str">
        <f>VLOOKUP(Tabelle2[[#This Row],[Kunden Nr.]],KUNDEN!A:G,7)</f>
        <v>Mensuri</v>
      </c>
      <c r="L3932" s="76">
        <f>VLOOKUP(Tabelle2[[#This Row],[Artikel]],Produkte!A:H,8)</f>
        <v>0.17</v>
      </c>
    </row>
    <row r="3933" spans="1:12" x14ac:dyDescent="0.2">
      <c r="A3933" s="75" t="s">
        <v>614</v>
      </c>
      <c r="B3933" s="79">
        <v>46168</v>
      </c>
      <c r="C3933" s="75"/>
      <c r="D3933" s="75"/>
      <c r="E3933" s="75"/>
      <c r="F3933" s="75">
        <v>20301</v>
      </c>
      <c r="G3933" s="76" t="str">
        <f>VLOOKUP(Tabelle2[[#This Row],[Kunden Nr.]],KUNDEN!A:B,2,0)</f>
        <v>HAZROLLI</v>
      </c>
      <c r="H3933" s="75">
        <v>35125</v>
      </c>
      <c r="I3933" s="76" t="str">
        <f>VLOOKUP(Tabelle2[[#This Row],[Artikel]],Produkte!A:B,2,0)</f>
        <v>M-ONE Sanitar Silikon</v>
      </c>
      <c r="J3933" s="75">
        <v>12</v>
      </c>
      <c r="K3933" s="76" t="str">
        <f>VLOOKUP(Tabelle2[[#This Row],[Kunden Nr.]],KUNDEN!A:G,7)</f>
        <v>Mensuri</v>
      </c>
      <c r="L3933" s="76">
        <f>VLOOKUP(Tabelle2[[#This Row],[Artikel]],Produkte!A:H,8)</f>
        <v>0.17</v>
      </c>
    </row>
    <row r="3934" spans="1:12" x14ac:dyDescent="0.2">
      <c r="A3934" s="75" t="s">
        <v>623</v>
      </c>
      <c r="B3934" s="79">
        <v>46168</v>
      </c>
      <c r="C3934" s="89">
        <v>63</v>
      </c>
      <c r="D3934" s="75"/>
      <c r="E3934" s="75"/>
      <c r="F3934" s="75">
        <v>20313</v>
      </c>
      <c r="G3934" s="76" t="str">
        <f>VLOOKUP(Tabelle2[[#This Row],[Kunden Nr.]],KUNDEN!A:B,2,0)</f>
        <v>DURGUTI 3</v>
      </c>
      <c r="H3934" s="75">
        <v>35108</v>
      </c>
      <c r="I3934" s="76" t="str">
        <f>VLOOKUP(Tabelle2[[#This Row],[Artikel]],Produkte!A:B,2,0)</f>
        <v>M-ONE Sanitar Silikon</v>
      </c>
      <c r="J3934" s="75">
        <v>12</v>
      </c>
      <c r="K3934" s="76" t="str">
        <f>VLOOKUP(Tabelle2[[#This Row],[Kunden Nr.]],KUNDEN!A:G,7)</f>
        <v>Mensuri</v>
      </c>
      <c r="L3934" s="76">
        <f>VLOOKUP(Tabelle2[[#This Row],[Artikel]],Produkte!A:H,8)</f>
        <v>0.17</v>
      </c>
    </row>
    <row r="3935" spans="1:12" x14ac:dyDescent="0.2">
      <c r="A3935" s="75" t="s">
        <v>623</v>
      </c>
      <c r="B3935" s="79">
        <v>46168</v>
      </c>
      <c r="C3935" s="75"/>
      <c r="D3935" s="75"/>
      <c r="E3935" s="75"/>
      <c r="F3935" s="75">
        <v>20313</v>
      </c>
      <c r="G3935" s="76" t="str">
        <f>VLOOKUP(Tabelle2[[#This Row],[Kunden Nr.]],KUNDEN!A:B,2,0)</f>
        <v>DURGUTI 3</v>
      </c>
      <c r="H3935" s="75">
        <v>51611</v>
      </c>
      <c r="I3935" s="76" t="str">
        <f>VLOOKUP(Tabelle2[[#This Row],[Artikel]],Produkte!A:B,2,0)</f>
        <v>universal akryl</v>
      </c>
      <c r="J3935" s="75">
        <v>12</v>
      </c>
      <c r="K3935" s="76" t="str">
        <f>VLOOKUP(Tabelle2[[#This Row],[Kunden Nr.]],KUNDEN!A:G,7)</f>
        <v>Mensuri</v>
      </c>
      <c r="L3935" s="76">
        <f>VLOOKUP(Tabelle2[[#This Row],[Artikel]],Produkte!A:H,8)</f>
        <v>0.06</v>
      </c>
    </row>
    <row r="3936" spans="1:12" x14ac:dyDescent="0.2">
      <c r="A3936" s="75" t="s">
        <v>507</v>
      </c>
      <c r="B3936" s="79">
        <v>46171</v>
      </c>
      <c r="C3936" s="89">
        <v>48</v>
      </c>
      <c r="D3936" s="75"/>
      <c r="E3936" s="75"/>
      <c r="F3936" s="75">
        <v>10528</v>
      </c>
      <c r="G3936" s="76" t="str">
        <f>VLOOKUP(Tabelle2[[#This Row],[Kunden Nr.]],KUNDEN!A:B,2,0)</f>
        <v>TE RAMIZI</v>
      </c>
      <c r="H3936" s="75">
        <v>35121</v>
      </c>
      <c r="I3936" s="76" t="str">
        <f>VLOOKUP(Tabelle2[[#This Row],[Artikel]],Produkte!A:B,2,0)</f>
        <v>M-ONE Sanitar Silikon</v>
      </c>
      <c r="J3936" s="75">
        <v>12</v>
      </c>
      <c r="K3936" s="76" t="str">
        <f>VLOOKUP(Tabelle2[[#This Row],[Kunden Nr.]],KUNDEN!A:G,7)</f>
        <v>Qerimi</v>
      </c>
      <c r="L3936" s="76">
        <f>VLOOKUP(Tabelle2[[#This Row],[Artikel]],Produkte!A:H,8)</f>
        <v>0.17</v>
      </c>
    </row>
    <row r="3937" spans="1:12" x14ac:dyDescent="0.2">
      <c r="A3937" s="75" t="s">
        <v>484</v>
      </c>
      <c r="B3937" s="79">
        <v>46171</v>
      </c>
      <c r="C3937" s="89">
        <v>96</v>
      </c>
      <c r="D3937" s="75"/>
      <c r="E3937" s="75"/>
      <c r="F3937" s="75">
        <v>10504</v>
      </c>
      <c r="G3937" s="76" t="str">
        <f>VLOOKUP(Tabelle2[[#This Row],[Kunden Nr.]],KUNDEN!A:B,2,0)</f>
        <v>CARRALEVA 1</v>
      </c>
      <c r="H3937" s="75">
        <v>35128</v>
      </c>
      <c r="I3937" s="76" t="str">
        <f>VLOOKUP(Tabelle2[[#This Row],[Artikel]],Produkte!A:B,2,0)</f>
        <v>M-ONE Sanitar Silikon</v>
      </c>
      <c r="J3937" s="75">
        <v>12</v>
      </c>
      <c r="K3937" s="76" t="str">
        <f>VLOOKUP(Tabelle2[[#This Row],[Kunden Nr.]],KUNDEN!A:G,7)</f>
        <v>Qerimi</v>
      </c>
      <c r="L3937" s="76">
        <f>VLOOKUP(Tabelle2[[#This Row],[Artikel]],Produkte!A:H,8)</f>
        <v>0.17</v>
      </c>
    </row>
    <row r="3938" spans="1:12" x14ac:dyDescent="0.2">
      <c r="A3938" s="75" t="s">
        <v>484</v>
      </c>
      <c r="B3938" s="79">
        <v>46171</v>
      </c>
      <c r="C3938" s="75"/>
      <c r="D3938" s="75"/>
      <c r="E3938" s="75"/>
      <c r="F3938" s="75">
        <v>10504</v>
      </c>
      <c r="G3938" s="76" t="str">
        <f>VLOOKUP(Tabelle2[[#This Row],[Kunden Nr.]],KUNDEN!A:B,2,0)</f>
        <v>CARRALEVA 1</v>
      </c>
      <c r="H3938" s="75">
        <v>35111</v>
      </c>
      <c r="I3938" s="76" t="str">
        <f>VLOOKUP(Tabelle2[[#This Row],[Artikel]],Produkte!A:B,2,0)</f>
        <v>M-ONE Sanitar Silikon</v>
      </c>
      <c r="J3938" s="75">
        <v>12</v>
      </c>
      <c r="K3938" s="76" t="str">
        <f>VLOOKUP(Tabelle2[[#This Row],[Kunden Nr.]],KUNDEN!A:G,7)</f>
        <v>Qerimi</v>
      </c>
      <c r="L3938" s="76">
        <f>VLOOKUP(Tabelle2[[#This Row],[Artikel]],Produkte!A:H,8)</f>
        <v>0.17</v>
      </c>
    </row>
    <row r="3939" spans="1:12" x14ac:dyDescent="0.2">
      <c r="A3939" s="75" t="s">
        <v>487</v>
      </c>
      <c r="B3939" s="79">
        <v>46171</v>
      </c>
      <c r="C3939" s="89">
        <v>144</v>
      </c>
      <c r="D3939" s="75"/>
      <c r="E3939" s="75"/>
      <c r="F3939" s="75">
        <v>10507</v>
      </c>
      <c r="G3939" s="76" t="str">
        <f>VLOOKUP(Tabelle2[[#This Row],[Kunden Nr.]],KUNDEN!A:B,2,0)</f>
        <v>REAL COLOR 2</v>
      </c>
      <c r="H3939" s="75">
        <v>35109</v>
      </c>
      <c r="I3939" s="76" t="str">
        <f>VLOOKUP(Tabelle2[[#This Row],[Artikel]],Produkte!A:B,2,0)</f>
        <v>M-ONE Sanitar Silikon</v>
      </c>
      <c r="J3939" s="75">
        <v>12</v>
      </c>
      <c r="K3939" s="76" t="str">
        <f>VLOOKUP(Tabelle2[[#This Row],[Kunden Nr.]],KUNDEN!A:G,7)</f>
        <v>Qerimi</v>
      </c>
      <c r="L3939" s="76">
        <f>VLOOKUP(Tabelle2[[#This Row],[Artikel]],Produkte!A:H,8)</f>
        <v>0.17</v>
      </c>
    </row>
    <row r="3940" spans="1:12" x14ac:dyDescent="0.2">
      <c r="A3940" s="75" t="s">
        <v>487</v>
      </c>
      <c r="B3940" s="79">
        <v>46171</v>
      </c>
      <c r="C3940" s="75"/>
      <c r="D3940" s="75"/>
      <c r="E3940" s="75"/>
      <c r="F3940" s="75">
        <v>10507</v>
      </c>
      <c r="G3940" s="76" t="str">
        <f>VLOOKUP(Tabelle2[[#This Row],[Kunden Nr.]],KUNDEN!A:B,2,0)</f>
        <v>REAL COLOR 2</v>
      </c>
      <c r="H3940" s="75">
        <v>35125</v>
      </c>
      <c r="I3940" s="76" t="str">
        <f>VLOOKUP(Tabelle2[[#This Row],[Artikel]],Produkte!A:B,2,0)</f>
        <v>M-ONE Sanitar Silikon</v>
      </c>
      <c r="J3940" s="75">
        <v>12</v>
      </c>
      <c r="K3940" s="76" t="str">
        <f>VLOOKUP(Tabelle2[[#This Row],[Kunden Nr.]],KUNDEN!A:G,7)</f>
        <v>Qerimi</v>
      </c>
      <c r="L3940" s="76">
        <f>VLOOKUP(Tabelle2[[#This Row],[Artikel]],Produkte!A:H,8)</f>
        <v>0.17</v>
      </c>
    </row>
    <row r="3941" spans="1:12" x14ac:dyDescent="0.2">
      <c r="A3941" s="75" t="s">
        <v>487</v>
      </c>
      <c r="B3941" s="79">
        <v>46171</v>
      </c>
      <c r="C3941" s="75"/>
      <c r="D3941" s="75"/>
      <c r="E3941" s="75"/>
      <c r="F3941" s="75">
        <v>10507</v>
      </c>
      <c r="G3941" s="76" t="str">
        <f>VLOOKUP(Tabelle2[[#This Row],[Kunden Nr.]],KUNDEN!A:B,2,0)</f>
        <v>REAL COLOR 2</v>
      </c>
      <c r="H3941" s="75">
        <v>35128</v>
      </c>
      <c r="I3941" s="76" t="str">
        <f>VLOOKUP(Tabelle2[[#This Row],[Artikel]],Produkte!A:B,2,0)</f>
        <v>M-ONE Sanitar Silikon</v>
      </c>
      <c r="J3941" s="75">
        <v>12</v>
      </c>
      <c r="K3941" s="76" t="str">
        <f>VLOOKUP(Tabelle2[[#This Row],[Kunden Nr.]],KUNDEN!A:G,7)</f>
        <v>Qerimi</v>
      </c>
      <c r="L3941" s="76">
        <f>VLOOKUP(Tabelle2[[#This Row],[Artikel]],Produkte!A:H,8)</f>
        <v>0.17</v>
      </c>
    </row>
    <row r="3942" spans="1:12" x14ac:dyDescent="0.2">
      <c r="A3942" s="75" t="s">
        <v>435</v>
      </c>
      <c r="B3942" s="79">
        <v>46171</v>
      </c>
      <c r="C3942" s="89">
        <v>45</v>
      </c>
      <c r="D3942" s="75"/>
      <c r="E3942" s="75"/>
      <c r="F3942" s="75">
        <v>10509</v>
      </c>
      <c r="G3942" s="76" t="str">
        <f>VLOOKUP(Tabelle2[[#This Row],[Kunden Nr.]],KUNDEN!A:B,2,0)</f>
        <v>LONI</v>
      </c>
      <c r="H3942" s="75">
        <v>49644</v>
      </c>
      <c r="I3942" s="76" t="str">
        <f>VLOOKUP(Tabelle2[[#This Row],[Artikel]],Produkte!A:B,2,0)</f>
        <v>beMAKER Rostlöser</v>
      </c>
      <c r="J3942" s="75">
        <v>5</v>
      </c>
      <c r="K3942" s="76" t="str">
        <f>VLOOKUP(Tabelle2[[#This Row],[Kunden Nr.]],KUNDEN!A:G,7)</f>
        <v>Qerimi</v>
      </c>
      <c r="L3942" s="76">
        <f>VLOOKUP(Tabelle2[[#This Row],[Artikel]],Produkte!A:H,8)</f>
        <v>0.2</v>
      </c>
    </row>
    <row r="3943" spans="1:12" x14ac:dyDescent="0.2">
      <c r="A3943" s="75" t="s">
        <v>435</v>
      </c>
      <c r="B3943" s="79">
        <v>46171</v>
      </c>
      <c r="C3943" s="75"/>
      <c r="D3943" s="75"/>
      <c r="E3943" s="75"/>
      <c r="F3943" s="75">
        <v>10509</v>
      </c>
      <c r="G3943" s="76" t="str">
        <f>VLOOKUP(Tabelle2[[#This Row],[Kunden Nr.]],KUNDEN!A:B,2,0)</f>
        <v>LONI</v>
      </c>
      <c r="H3943" s="75">
        <v>55718</v>
      </c>
      <c r="I3943" s="76" t="str">
        <f>VLOOKUP(Tabelle2[[#This Row],[Artikel]],Produkte!A:B,2,0)</f>
        <v>M ONE MOTORSTART</v>
      </c>
      <c r="J3943" s="75">
        <v>5</v>
      </c>
      <c r="K3943" s="76" t="str">
        <f>VLOOKUP(Tabelle2[[#This Row],[Kunden Nr.]],KUNDEN!A:G,7)</f>
        <v>Qerimi</v>
      </c>
      <c r="L3943" s="76">
        <f>VLOOKUP(Tabelle2[[#This Row],[Artikel]],Produkte!A:H,8)</f>
        <v>0.2</v>
      </c>
    </row>
    <row r="3944" spans="1:12" x14ac:dyDescent="0.2">
      <c r="A3944" s="75" t="s">
        <v>435</v>
      </c>
      <c r="B3944" s="79">
        <v>46171</v>
      </c>
      <c r="C3944" s="75"/>
      <c r="D3944" s="75"/>
      <c r="E3944" s="75"/>
      <c r="F3944" s="75">
        <v>10509</v>
      </c>
      <c r="G3944" s="76" t="str">
        <f>VLOOKUP(Tabelle2[[#This Row],[Kunden Nr.]],KUNDEN!A:B,2,0)</f>
        <v>LONI</v>
      </c>
      <c r="H3944" s="75">
        <v>44001</v>
      </c>
      <c r="I3944" s="76" t="str">
        <f>VLOOKUP(Tabelle2[[#This Row],[Artikel]],Produkte!A:B,2,0)</f>
        <v>Fettspray</v>
      </c>
      <c r="J3944" s="75">
        <v>5</v>
      </c>
      <c r="K3944" s="76" t="str">
        <f>VLOOKUP(Tabelle2[[#This Row],[Kunden Nr.]],KUNDEN!A:G,7)</f>
        <v>Qerimi</v>
      </c>
      <c r="L3944" s="76">
        <f>VLOOKUP(Tabelle2[[#This Row],[Artikel]],Produkte!A:H,8)</f>
        <v>0.2</v>
      </c>
    </row>
    <row r="3945" spans="1:12" x14ac:dyDescent="0.2">
      <c r="A3945" s="75" t="s">
        <v>489</v>
      </c>
      <c r="B3945" s="79">
        <v>46171</v>
      </c>
      <c r="C3945" s="89">
        <v>96</v>
      </c>
      <c r="D3945" s="75"/>
      <c r="E3945" s="75"/>
      <c r="F3945" s="75">
        <v>10511</v>
      </c>
      <c r="G3945" s="76" t="str">
        <f>VLOOKUP(Tabelle2[[#This Row],[Kunden Nr.]],KUNDEN!A:B,2,0)</f>
        <v>MULI</v>
      </c>
      <c r="H3945" s="75">
        <v>35109</v>
      </c>
      <c r="I3945" s="76" t="str">
        <f>VLOOKUP(Tabelle2[[#This Row],[Artikel]],Produkte!A:B,2,0)</f>
        <v>M-ONE Sanitar Silikon</v>
      </c>
      <c r="J3945" s="75">
        <v>12</v>
      </c>
      <c r="K3945" s="76" t="str">
        <f>VLOOKUP(Tabelle2[[#This Row],[Kunden Nr.]],KUNDEN!A:G,7)</f>
        <v>Qerimi</v>
      </c>
      <c r="L3945" s="76">
        <f>VLOOKUP(Tabelle2[[#This Row],[Artikel]],Produkte!A:H,8)</f>
        <v>0.17</v>
      </c>
    </row>
    <row r="3946" spans="1:12" x14ac:dyDescent="0.2">
      <c r="A3946" s="75" t="s">
        <v>489</v>
      </c>
      <c r="B3946" s="79">
        <v>46171</v>
      </c>
      <c r="C3946" s="75"/>
      <c r="D3946" s="75"/>
      <c r="E3946" s="75"/>
      <c r="F3946" s="75">
        <v>10511</v>
      </c>
      <c r="G3946" s="76" t="str">
        <f>VLOOKUP(Tabelle2[[#This Row],[Kunden Nr.]],KUNDEN!A:B,2,0)</f>
        <v>MULI</v>
      </c>
      <c r="H3946" s="75">
        <v>35128</v>
      </c>
      <c r="I3946" s="76" t="str">
        <f>VLOOKUP(Tabelle2[[#This Row],[Artikel]],Produkte!A:B,2,0)</f>
        <v>M-ONE Sanitar Silikon</v>
      </c>
      <c r="J3946" s="75">
        <v>12</v>
      </c>
      <c r="K3946" s="76" t="str">
        <f>VLOOKUP(Tabelle2[[#This Row],[Kunden Nr.]],KUNDEN!A:G,7)</f>
        <v>Qerimi</v>
      </c>
      <c r="L3946" s="76">
        <f>VLOOKUP(Tabelle2[[#This Row],[Artikel]],Produkte!A:H,8)</f>
        <v>0.17</v>
      </c>
    </row>
    <row r="3947" spans="1:12" x14ac:dyDescent="0.2">
      <c r="A3947" s="75" t="s">
        <v>491</v>
      </c>
      <c r="B3947" s="79">
        <v>46171</v>
      </c>
      <c r="C3947" s="89">
        <v>48</v>
      </c>
      <c r="D3947" s="75"/>
      <c r="E3947" s="75"/>
      <c r="F3947" s="75">
        <v>10508</v>
      </c>
      <c r="G3947" s="76" t="str">
        <f>VLOOKUP(Tabelle2[[#This Row],[Kunden Nr.]],KUNDEN!A:B,2,0)</f>
        <v>CARRALEVA 2</v>
      </c>
      <c r="H3947" s="75">
        <v>35121</v>
      </c>
      <c r="I3947" s="76" t="str">
        <f>VLOOKUP(Tabelle2[[#This Row],[Artikel]],Produkte!A:B,2,0)</f>
        <v>M-ONE Sanitar Silikon</v>
      </c>
      <c r="J3947" s="75">
        <v>12</v>
      </c>
      <c r="K3947" s="76" t="str">
        <f>VLOOKUP(Tabelle2[[#This Row],[Kunden Nr.]],KUNDEN!A:G,7)</f>
        <v>Qerimi</v>
      </c>
      <c r="L3947" s="76">
        <f>VLOOKUP(Tabelle2[[#This Row],[Artikel]],Produkte!A:H,8)</f>
        <v>0.17</v>
      </c>
    </row>
    <row r="3948" spans="1:12" x14ac:dyDescent="0.2">
      <c r="A3948" s="75" t="s">
        <v>482</v>
      </c>
      <c r="B3948" s="79">
        <v>46171</v>
      </c>
      <c r="C3948" s="89">
        <v>128</v>
      </c>
      <c r="D3948" s="75"/>
      <c r="E3948" s="75"/>
      <c r="F3948" s="75">
        <v>10502</v>
      </c>
      <c r="G3948" s="76" t="str">
        <f>VLOOKUP(Tabelle2[[#This Row],[Kunden Nr.]],KUNDEN!A:B,2,0)</f>
        <v>PROCOM</v>
      </c>
      <c r="H3948" s="75">
        <v>35114</v>
      </c>
      <c r="I3948" s="76" t="str">
        <f>VLOOKUP(Tabelle2[[#This Row],[Artikel]],Produkte!A:B,2,0)</f>
        <v>M-ONE Sanitar Silikon</v>
      </c>
      <c r="J3948" s="75">
        <v>12</v>
      </c>
      <c r="K3948" s="76" t="str">
        <f>VLOOKUP(Tabelle2[[#This Row],[Kunden Nr.]],KUNDEN!A:G,7)</f>
        <v>Qerimi</v>
      </c>
      <c r="L3948" s="76">
        <f>VLOOKUP(Tabelle2[[#This Row],[Artikel]],Produkte!A:H,8)</f>
        <v>0.17</v>
      </c>
    </row>
    <row r="3949" spans="1:12" x14ac:dyDescent="0.2">
      <c r="A3949" s="75" t="s">
        <v>482</v>
      </c>
      <c r="B3949" s="79">
        <v>46171</v>
      </c>
      <c r="C3949" s="75"/>
      <c r="D3949" s="75"/>
      <c r="E3949" s="75"/>
      <c r="F3949" s="75">
        <v>10502</v>
      </c>
      <c r="G3949" s="76" t="str">
        <f>VLOOKUP(Tabelle2[[#This Row],[Kunden Nr.]],KUNDEN!A:B,2,0)</f>
        <v>PROCOM</v>
      </c>
      <c r="H3949" s="75">
        <v>35112</v>
      </c>
      <c r="I3949" s="76" t="str">
        <f>VLOOKUP(Tabelle2[[#This Row],[Artikel]],Produkte!A:B,2,0)</f>
        <v>M-ONE Sanitar Silikon</v>
      </c>
      <c r="J3949" s="75">
        <v>8</v>
      </c>
      <c r="K3949" s="76" t="str">
        <f>VLOOKUP(Tabelle2[[#This Row],[Kunden Nr.]],KUNDEN!A:G,7)</f>
        <v>Qerimi</v>
      </c>
      <c r="L3949" s="76">
        <f>VLOOKUP(Tabelle2[[#This Row],[Artikel]],Produkte!A:H,8)</f>
        <v>0.17</v>
      </c>
    </row>
    <row r="3950" spans="1:12" x14ac:dyDescent="0.2">
      <c r="A3950" s="75" t="s">
        <v>482</v>
      </c>
      <c r="B3950" s="79">
        <v>46171</v>
      </c>
      <c r="C3950" s="75"/>
      <c r="D3950" s="75"/>
      <c r="E3950" s="75"/>
      <c r="F3950" s="75">
        <v>10502</v>
      </c>
      <c r="G3950" s="76" t="str">
        <f>VLOOKUP(Tabelle2[[#This Row],[Kunden Nr.]],KUNDEN!A:B,2,0)</f>
        <v>PROCOM</v>
      </c>
      <c r="H3950" s="75">
        <v>35121</v>
      </c>
      <c r="I3950" s="76" t="str">
        <f>VLOOKUP(Tabelle2[[#This Row],[Artikel]],Produkte!A:B,2,0)</f>
        <v>M-ONE Sanitar Silikon</v>
      </c>
      <c r="J3950" s="75">
        <v>12</v>
      </c>
      <c r="K3950" s="76" t="str">
        <f>VLOOKUP(Tabelle2[[#This Row],[Kunden Nr.]],KUNDEN!A:G,7)</f>
        <v>Qerimi</v>
      </c>
      <c r="L3950" s="76">
        <f>VLOOKUP(Tabelle2[[#This Row],[Artikel]],Produkte!A:H,8)</f>
        <v>0.17</v>
      </c>
    </row>
    <row r="3951" spans="1:12" x14ac:dyDescent="0.2">
      <c r="A3951" s="75" t="s">
        <v>453</v>
      </c>
      <c r="B3951" s="79">
        <v>46171</v>
      </c>
      <c r="C3951" s="89">
        <v>48</v>
      </c>
      <c r="D3951" s="75"/>
      <c r="E3951" s="75"/>
      <c r="F3951" s="75">
        <v>20501</v>
      </c>
      <c r="G3951" s="76" t="str">
        <f>VLOOKUP(Tabelle2[[#This Row],[Kunden Nr.]],KUNDEN!A:B,2,0)</f>
        <v>RACI</v>
      </c>
      <c r="H3951" s="75">
        <v>35111</v>
      </c>
      <c r="I3951" s="76" t="str">
        <f>VLOOKUP(Tabelle2[[#This Row],[Artikel]],Produkte!A:B,2,0)</f>
        <v>M-ONE Sanitar Silikon</v>
      </c>
      <c r="J3951" s="75">
        <v>12</v>
      </c>
      <c r="K3951" s="76" t="str">
        <f>VLOOKUP(Tabelle2[[#This Row],[Kunden Nr.]],KUNDEN!A:G,7)</f>
        <v>Mensuri</v>
      </c>
      <c r="L3951" s="76">
        <f>VLOOKUP(Tabelle2[[#This Row],[Artikel]],Produkte!A:H,8)</f>
        <v>0.17</v>
      </c>
    </row>
    <row r="3952" spans="1:12" x14ac:dyDescent="0.2">
      <c r="A3952" s="75" t="s">
        <v>454</v>
      </c>
      <c r="B3952" s="79">
        <v>46171</v>
      </c>
      <c r="C3952" s="89">
        <v>96</v>
      </c>
      <c r="D3952" s="75"/>
      <c r="E3952" s="75"/>
      <c r="F3952" s="75">
        <v>20502</v>
      </c>
      <c r="G3952" s="76" t="str">
        <f>VLOOKUP(Tabelle2[[#This Row],[Kunden Nr.]],KUNDEN!A:B,2,0)</f>
        <v>HOXHA</v>
      </c>
      <c r="H3952" s="75">
        <v>35109</v>
      </c>
      <c r="I3952" s="76" t="str">
        <f>VLOOKUP(Tabelle2[[#This Row],[Artikel]],Produkte!A:B,2,0)</f>
        <v>M-ONE Sanitar Silikon</v>
      </c>
      <c r="J3952" s="75">
        <v>12</v>
      </c>
      <c r="K3952" s="76" t="str">
        <f>VLOOKUP(Tabelle2[[#This Row],[Kunden Nr.]],KUNDEN!A:G,7)</f>
        <v>Mensuri</v>
      </c>
      <c r="L3952" s="76">
        <f>VLOOKUP(Tabelle2[[#This Row],[Artikel]],Produkte!A:H,8)</f>
        <v>0.17</v>
      </c>
    </row>
    <row r="3953" spans="1:12" x14ac:dyDescent="0.2">
      <c r="A3953" s="75" t="s">
        <v>454</v>
      </c>
      <c r="B3953" s="79">
        <v>46171</v>
      </c>
      <c r="C3953" s="75"/>
      <c r="D3953" s="75"/>
      <c r="E3953" s="75"/>
      <c r="F3953" s="75">
        <v>20502</v>
      </c>
      <c r="G3953" s="76" t="str">
        <f>VLOOKUP(Tabelle2[[#This Row],[Kunden Nr.]],KUNDEN!A:B,2,0)</f>
        <v>HOXHA</v>
      </c>
      <c r="H3953" s="75">
        <v>35128</v>
      </c>
      <c r="I3953" s="76" t="str">
        <f>VLOOKUP(Tabelle2[[#This Row],[Artikel]],Produkte!A:B,2,0)</f>
        <v>M-ONE Sanitar Silikon</v>
      </c>
      <c r="J3953" s="75">
        <v>12</v>
      </c>
      <c r="K3953" s="76" t="str">
        <f>VLOOKUP(Tabelle2[[#This Row],[Kunden Nr.]],KUNDEN!A:G,7)</f>
        <v>Mensuri</v>
      </c>
      <c r="L3953" s="76">
        <f>VLOOKUP(Tabelle2[[#This Row],[Artikel]],Produkte!A:H,8)</f>
        <v>0.17</v>
      </c>
    </row>
    <row r="3954" spans="1:12" x14ac:dyDescent="0.2">
      <c r="A3954" s="75" t="s">
        <v>463</v>
      </c>
      <c r="B3954" s="79">
        <v>46171</v>
      </c>
      <c r="C3954" s="89">
        <v>144</v>
      </c>
      <c r="D3954" s="75"/>
      <c r="E3954" s="75"/>
      <c r="F3954" s="75">
        <v>20515</v>
      </c>
      <c r="G3954" s="76" t="str">
        <f>VLOOKUP(Tabelle2[[#This Row],[Kunden Nr.]],KUNDEN!A:B,2,0)</f>
        <v>LIRIDONA-A</v>
      </c>
      <c r="H3954" s="75">
        <v>35121</v>
      </c>
      <c r="I3954" s="76" t="str">
        <f>VLOOKUP(Tabelle2[[#This Row],[Artikel]],Produkte!A:B,2,0)</f>
        <v>M-ONE Sanitar Silikon</v>
      </c>
      <c r="J3954" s="75">
        <v>36</v>
      </c>
      <c r="K3954" s="76" t="str">
        <f>VLOOKUP(Tabelle2[[#This Row],[Kunden Nr.]],KUNDEN!A:G,7)</f>
        <v>Mensuri</v>
      </c>
      <c r="L3954" s="76">
        <f>VLOOKUP(Tabelle2[[#This Row],[Artikel]],Produkte!A:H,8)</f>
        <v>0.17</v>
      </c>
    </row>
    <row r="3955" spans="1:12" x14ac:dyDescent="0.2">
      <c r="A3955" s="75" t="s">
        <v>464</v>
      </c>
      <c r="B3955" s="79">
        <v>46171</v>
      </c>
      <c r="C3955" s="89">
        <v>126</v>
      </c>
      <c r="D3955" s="75"/>
      <c r="E3955" s="75"/>
      <c r="F3955" s="75">
        <v>20516</v>
      </c>
      <c r="G3955" s="76" t="str">
        <f>VLOOKUP(Tabelle2[[#This Row],[Kunden Nr.]],KUNDEN!A:B,2,0)</f>
        <v>GASHI-COM</v>
      </c>
      <c r="H3955" s="75">
        <v>35111</v>
      </c>
      <c r="I3955" s="76" t="str">
        <f>VLOOKUP(Tabelle2[[#This Row],[Artikel]],Produkte!A:B,2,0)</f>
        <v>M-ONE Sanitar Silikon</v>
      </c>
      <c r="J3955" s="75">
        <v>24</v>
      </c>
      <c r="K3955" s="76" t="str">
        <f>VLOOKUP(Tabelle2[[#This Row],[Kunden Nr.]],KUNDEN!A:G,7)</f>
        <v>Mensuri</v>
      </c>
      <c r="L3955" s="76">
        <f>VLOOKUP(Tabelle2[[#This Row],[Artikel]],Produkte!A:H,8)</f>
        <v>0.17</v>
      </c>
    </row>
    <row r="3956" spans="1:12" x14ac:dyDescent="0.2">
      <c r="A3956" s="75" t="s">
        <v>464</v>
      </c>
      <c r="B3956" s="79">
        <v>46171</v>
      </c>
      <c r="C3956" s="75"/>
      <c r="D3956" s="75"/>
      <c r="E3956" s="75"/>
      <c r="F3956" s="75">
        <v>20516</v>
      </c>
      <c r="G3956" s="76" t="str">
        <f>VLOOKUP(Tabelle2[[#This Row],[Kunden Nr.]],KUNDEN!A:B,2,0)</f>
        <v>GASHI-COM</v>
      </c>
      <c r="H3956" s="75">
        <v>51611</v>
      </c>
      <c r="I3956" s="76" t="str">
        <f>VLOOKUP(Tabelle2[[#This Row],[Artikel]],Produkte!A:B,2,0)</f>
        <v>universal akryl</v>
      </c>
      <c r="J3956" s="75">
        <v>24</v>
      </c>
      <c r="K3956" s="76" t="str">
        <f>VLOOKUP(Tabelle2[[#This Row],[Kunden Nr.]],KUNDEN!A:G,7)</f>
        <v>Mensuri</v>
      </c>
      <c r="L3956" s="76">
        <f>VLOOKUP(Tabelle2[[#This Row],[Artikel]],Produkte!A:H,8)</f>
        <v>0.06</v>
      </c>
    </row>
    <row r="3957" spans="1:12" x14ac:dyDescent="0.2">
      <c r="A3957" s="75" t="s">
        <v>53</v>
      </c>
      <c r="B3957" s="79">
        <v>46171</v>
      </c>
      <c r="C3957" s="89">
        <v>144</v>
      </c>
      <c r="D3957" s="75"/>
      <c r="E3957" s="75"/>
      <c r="F3957" s="75">
        <v>20407</v>
      </c>
      <c r="G3957" s="76" t="str">
        <f>VLOOKUP(Tabelle2[[#This Row],[Kunden Nr.]],KUNDEN!A:B,2,0)</f>
        <v>TE BENI</v>
      </c>
      <c r="H3957" s="75">
        <v>35108</v>
      </c>
      <c r="I3957" s="76" t="str">
        <f>VLOOKUP(Tabelle2[[#This Row],[Artikel]],Produkte!A:B,2,0)</f>
        <v>M-ONE Sanitar Silikon</v>
      </c>
      <c r="J3957" s="75">
        <v>12</v>
      </c>
      <c r="K3957" s="76" t="str">
        <f>VLOOKUP(Tabelle2[[#This Row],[Kunden Nr.]],KUNDEN!A:G,7)</f>
        <v>Mensuri</v>
      </c>
      <c r="L3957" s="76">
        <f>VLOOKUP(Tabelle2[[#This Row],[Artikel]],Produkte!A:H,8)</f>
        <v>0.17</v>
      </c>
    </row>
    <row r="3958" spans="1:12" x14ac:dyDescent="0.2">
      <c r="A3958" s="75" t="s">
        <v>53</v>
      </c>
      <c r="B3958" s="79">
        <v>46171</v>
      </c>
      <c r="C3958" s="75"/>
      <c r="D3958" s="75"/>
      <c r="E3958" s="75"/>
      <c r="F3958" s="75">
        <v>20407</v>
      </c>
      <c r="G3958" s="76" t="str">
        <f>VLOOKUP(Tabelle2[[#This Row],[Kunden Nr.]],KUNDEN!A:B,2,0)</f>
        <v>TE BENI</v>
      </c>
      <c r="H3958" s="75">
        <v>35110</v>
      </c>
      <c r="I3958" s="76" t="str">
        <f>VLOOKUP(Tabelle2[[#This Row],[Artikel]],Produkte!A:B,2,0)</f>
        <v>M-ONE Sanitar Silikon</v>
      </c>
      <c r="J3958" s="75">
        <v>12</v>
      </c>
      <c r="K3958" s="76" t="str">
        <f>VLOOKUP(Tabelle2[[#This Row],[Kunden Nr.]],KUNDEN!A:G,7)</f>
        <v>Mensuri</v>
      </c>
      <c r="L3958" s="76">
        <f>VLOOKUP(Tabelle2[[#This Row],[Artikel]],Produkte!A:H,8)</f>
        <v>0.17</v>
      </c>
    </row>
    <row r="3959" spans="1:12" x14ac:dyDescent="0.2">
      <c r="A3959" s="75" t="s">
        <v>53</v>
      </c>
      <c r="B3959" s="79">
        <v>46171</v>
      </c>
      <c r="C3959" s="75"/>
      <c r="D3959" s="75"/>
      <c r="E3959" s="75"/>
      <c r="F3959" s="75">
        <v>20407</v>
      </c>
      <c r="G3959" s="76" t="str">
        <f>VLOOKUP(Tabelle2[[#This Row],[Kunden Nr.]],KUNDEN!A:B,2,0)</f>
        <v>TE BENI</v>
      </c>
      <c r="H3959" s="75">
        <v>35125</v>
      </c>
      <c r="I3959" s="76" t="str">
        <f>VLOOKUP(Tabelle2[[#This Row],[Artikel]],Produkte!A:B,2,0)</f>
        <v>M-ONE Sanitar Silikon</v>
      </c>
      <c r="J3959" s="75">
        <v>12</v>
      </c>
      <c r="K3959" s="76" t="str">
        <f>VLOOKUP(Tabelle2[[#This Row],[Kunden Nr.]],KUNDEN!A:G,7)</f>
        <v>Mensuri</v>
      </c>
      <c r="L3959" s="76">
        <f>VLOOKUP(Tabelle2[[#This Row],[Artikel]],Produkte!A:H,8)</f>
        <v>0.17</v>
      </c>
    </row>
    <row r="3960" spans="1:12" x14ac:dyDescent="0.2">
      <c r="A3960" s="75" t="s">
        <v>52</v>
      </c>
      <c r="B3960" s="79">
        <v>46171</v>
      </c>
      <c r="C3960" s="89">
        <v>43.5</v>
      </c>
      <c r="D3960" s="75"/>
      <c r="E3960" s="75"/>
      <c r="F3960" s="75">
        <v>20409</v>
      </c>
      <c r="G3960" s="76" t="str">
        <f>VLOOKUP(Tabelle2[[#This Row],[Kunden Nr.]],KUNDEN!A:B,2,0)</f>
        <v>BENI</v>
      </c>
      <c r="H3960" s="75">
        <v>55718</v>
      </c>
      <c r="I3960" s="76" t="str">
        <f>VLOOKUP(Tabelle2[[#This Row],[Artikel]],Produkte!A:B,2,0)</f>
        <v>M ONE MOTORSTART</v>
      </c>
      <c r="J3960" s="75">
        <v>6</v>
      </c>
      <c r="K3960" s="76" t="str">
        <f>VLOOKUP(Tabelle2[[#This Row],[Kunden Nr.]],KUNDEN!A:G,7)</f>
        <v>Mensuri</v>
      </c>
      <c r="L3960" s="76">
        <f>VLOOKUP(Tabelle2[[#This Row],[Artikel]],Produkte!A:H,8)</f>
        <v>0.2</v>
      </c>
    </row>
    <row r="3961" spans="1:12" x14ac:dyDescent="0.2">
      <c r="A3961" s="75" t="s">
        <v>52</v>
      </c>
      <c r="B3961" s="79">
        <v>46171</v>
      </c>
      <c r="C3961" s="75"/>
      <c r="D3961" s="75"/>
      <c r="E3961" s="75"/>
      <c r="F3961" s="75">
        <v>20409</v>
      </c>
      <c r="G3961" s="76" t="str">
        <f>VLOOKUP(Tabelle2[[#This Row],[Kunden Nr.]],KUNDEN!A:B,2,0)</f>
        <v>BENI</v>
      </c>
      <c r="H3961" s="75">
        <v>31819</v>
      </c>
      <c r="I3961" s="76" t="str">
        <f>VLOOKUP(Tabelle2[[#This Row],[Artikel]],Produkte!A:B,2,0)</f>
        <v>M ONE FUERROT</v>
      </c>
      <c r="J3961" s="75">
        <v>5</v>
      </c>
      <c r="K3961" s="76" t="str">
        <f>VLOOKUP(Tabelle2[[#This Row],[Kunden Nr.]],KUNDEN!A:G,7)</f>
        <v>Mensuri</v>
      </c>
      <c r="L3961" s="76">
        <f>VLOOKUP(Tabelle2[[#This Row],[Artikel]],Produkte!A:H,8)</f>
        <v>0.15</v>
      </c>
    </row>
    <row r="3962" spans="1:12" x14ac:dyDescent="0.2">
      <c r="A3962" s="75" t="s">
        <v>52</v>
      </c>
      <c r="B3962" s="79">
        <v>46171</v>
      </c>
      <c r="C3962" s="75"/>
      <c r="D3962" s="75"/>
      <c r="E3962" s="75"/>
      <c r="F3962" s="75">
        <v>20409</v>
      </c>
      <c r="G3962" s="76" t="str">
        <f>VLOOKUP(Tabelle2[[#This Row],[Kunden Nr.]],KUNDEN!A:B,2,0)</f>
        <v>BENI</v>
      </c>
      <c r="H3962" s="75">
        <v>51736</v>
      </c>
      <c r="I3962" s="76" t="str">
        <f>VLOOKUP(Tabelle2[[#This Row],[Artikel]],Produkte!A:B,2,0)</f>
        <v>M ONE SCHWARZ MATT</v>
      </c>
      <c r="J3962" s="75">
        <v>4</v>
      </c>
      <c r="K3962" s="76" t="str">
        <f>VLOOKUP(Tabelle2[[#This Row],[Kunden Nr.]],KUNDEN!A:G,7)</f>
        <v>Mensuri</v>
      </c>
      <c r="L3962" s="76">
        <f>VLOOKUP(Tabelle2[[#This Row],[Artikel]],Produkte!A:H,8)</f>
        <v>0.15</v>
      </c>
    </row>
    <row r="3963" spans="1:12" x14ac:dyDescent="0.2">
      <c r="A3963" s="75" t="s">
        <v>608</v>
      </c>
      <c r="B3963" s="79">
        <v>46172</v>
      </c>
      <c r="C3963" s="89">
        <v>96</v>
      </c>
      <c r="D3963" s="75"/>
      <c r="E3963" s="75"/>
      <c r="F3963" s="75">
        <v>10616</v>
      </c>
      <c r="G3963" s="76" t="str">
        <f>VLOOKUP(Tabelle2[[#This Row],[Kunden Nr.]],KUNDEN!A:B,2,0)</f>
        <v>TE ZENA</v>
      </c>
      <c r="H3963" s="75">
        <v>35114</v>
      </c>
      <c r="I3963" s="76" t="str">
        <f>VLOOKUP(Tabelle2[[#This Row],[Artikel]],Produkte!A:B,2,0)</f>
        <v>M-ONE Sanitar Silikon</v>
      </c>
      <c r="J3963" s="75">
        <v>12</v>
      </c>
      <c r="K3963" s="76" t="str">
        <f>VLOOKUP(Tabelle2[[#This Row],[Kunden Nr.]],KUNDEN!A:G,7)</f>
        <v>Qerimi</v>
      </c>
      <c r="L3963" s="76">
        <f>VLOOKUP(Tabelle2[[#This Row],[Artikel]],Produkte!A:H,8)</f>
        <v>0.17</v>
      </c>
    </row>
    <row r="3964" spans="1:12" x14ac:dyDescent="0.2">
      <c r="A3964" s="75" t="s">
        <v>608</v>
      </c>
      <c r="B3964" s="79">
        <v>46172</v>
      </c>
      <c r="C3964" s="75"/>
      <c r="D3964" s="75"/>
      <c r="E3964" s="75"/>
      <c r="F3964" s="75">
        <v>10616</v>
      </c>
      <c r="G3964" s="76" t="str">
        <f>VLOOKUP(Tabelle2[[#This Row],[Kunden Nr.]],KUNDEN!A:B,2,0)</f>
        <v>TE ZENA</v>
      </c>
      <c r="H3964" s="75">
        <v>35119</v>
      </c>
      <c r="I3964" s="76" t="str">
        <f>VLOOKUP(Tabelle2[[#This Row],[Artikel]],Produkte!A:B,2,0)</f>
        <v>M-ONE Sanitar Silikon</v>
      </c>
      <c r="J3964" s="75">
        <v>12</v>
      </c>
      <c r="K3964" s="76" t="str">
        <f>VLOOKUP(Tabelle2[[#This Row],[Kunden Nr.]],KUNDEN!A:G,7)</f>
        <v>Qerimi</v>
      </c>
      <c r="L3964" s="76">
        <f>VLOOKUP(Tabelle2[[#This Row],[Artikel]],Produkte!A:H,8)</f>
        <v>0.17</v>
      </c>
    </row>
    <row r="3965" spans="1:12" x14ac:dyDescent="0.2">
      <c r="A3965" s="75" t="s">
        <v>1230</v>
      </c>
      <c r="B3965" s="79">
        <v>46172</v>
      </c>
      <c r="C3965" s="89">
        <v>111</v>
      </c>
      <c r="D3965" s="75"/>
      <c r="E3965" s="75"/>
      <c r="F3965" s="75">
        <v>10636</v>
      </c>
      <c r="G3965" s="76" t="e">
        <f>VLOOKUP(Tabelle2[[#This Row],[Kunden Nr.]],KUNDEN!A:B,2,0)</f>
        <v>#N/A</v>
      </c>
      <c r="H3965" s="75">
        <v>35111</v>
      </c>
      <c r="I3965" s="76" t="str">
        <f>VLOOKUP(Tabelle2[[#This Row],[Artikel]],Produkte!A:B,2,0)</f>
        <v>M-ONE Sanitar Silikon</v>
      </c>
      <c r="J3965" s="75">
        <v>12</v>
      </c>
      <c r="K3965" s="76" t="str">
        <f>VLOOKUP(Tabelle2[[#This Row],[Kunden Nr.]],KUNDEN!A:G,7)</f>
        <v>Qerimi</v>
      </c>
      <c r="L3965" s="76">
        <f>VLOOKUP(Tabelle2[[#This Row],[Artikel]],Produkte!A:H,8)</f>
        <v>0.17</v>
      </c>
    </row>
    <row r="3966" spans="1:12" x14ac:dyDescent="0.2">
      <c r="A3966" s="75" t="s">
        <v>1230</v>
      </c>
      <c r="B3966" s="79">
        <v>46172</v>
      </c>
      <c r="C3966" s="75"/>
      <c r="D3966" s="75"/>
      <c r="E3966" s="75"/>
      <c r="F3966" s="75">
        <v>10636</v>
      </c>
      <c r="G3966" s="76" t="e">
        <f>VLOOKUP(Tabelle2[[#This Row],[Kunden Nr.]],KUNDEN!A:B,2,0)</f>
        <v>#N/A</v>
      </c>
      <c r="H3966" s="75">
        <v>35128</v>
      </c>
      <c r="I3966" s="76" t="str">
        <f>VLOOKUP(Tabelle2[[#This Row],[Artikel]],Produkte!A:B,2,0)</f>
        <v>M-ONE Sanitar Silikon</v>
      </c>
      <c r="J3966" s="75">
        <v>12</v>
      </c>
      <c r="K3966" s="76" t="str">
        <f>VLOOKUP(Tabelle2[[#This Row],[Kunden Nr.]],KUNDEN!A:G,7)</f>
        <v>Qerimi</v>
      </c>
      <c r="L3966" s="76">
        <f>VLOOKUP(Tabelle2[[#This Row],[Artikel]],Produkte!A:H,8)</f>
        <v>0.17</v>
      </c>
    </row>
    <row r="3967" spans="1:12" x14ac:dyDescent="0.2">
      <c r="A3967" s="75" t="s">
        <v>1230</v>
      </c>
      <c r="B3967" s="79">
        <v>46172</v>
      </c>
      <c r="C3967" s="75"/>
      <c r="D3967" s="75"/>
      <c r="E3967" s="75"/>
      <c r="F3967" s="75">
        <v>10636</v>
      </c>
      <c r="G3967" s="76" t="e">
        <f>VLOOKUP(Tabelle2[[#This Row],[Kunden Nr.]],KUNDEN!A:B,2,0)</f>
        <v>#N/A</v>
      </c>
      <c r="H3967" s="75">
        <v>51611</v>
      </c>
      <c r="I3967" s="76" t="str">
        <f>VLOOKUP(Tabelle2[[#This Row],[Artikel]],Produkte!A:B,2,0)</f>
        <v>universal akryl</v>
      </c>
      <c r="J3967" s="75">
        <v>12</v>
      </c>
      <c r="K3967" s="76" t="str">
        <f>VLOOKUP(Tabelle2[[#This Row],[Kunden Nr.]],KUNDEN!A:G,7)</f>
        <v>Qerimi</v>
      </c>
      <c r="L3967" s="76">
        <f>VLOOKUP(Tabelle2[[#This Row],[Artikel]],Produkte!A:H,8)</f>
        <v>0.06</v>
      </c>
    </row>
    <row r="3968" spans="1:12" x14ac:dyDescent="0.2">
      <c r="A3968" s="75" t="s">
        <v>454</v>
      </c>
      <c r="B3968" s="79">
        <v>46172</v>
      </c>
      <c r="C3968" s="89">
        <v>52.9</v>
      </c>
      <c r="D3968" s="75"/>
      <c r="E3968" s="75"/>
      <c r="F3968" s="75">
        <v>10622</v>
      </c>
      <c r="G3968" s="76" t="str">
        <f>VLOOKUP(Tabelle2[[#This Row],[Kunden Nr.]],KUNDEN!A:B,2,0)</f>
        <v>HOXHA</v>
      </c>
      <c r="H3968" s="75">
        <v>54412</v>
      </c>
      <c r="I3968" s="76" t="str">
        <f>VLOOKUP(Tabelle2[[#This Row],[Artikel]],Produkte!A:B,2,0)</f>
        <v>beMAKER Bremsen&amp;Teile Reininger</v>
      </c>
      <c r="J3968" s="75">
        <v>12</v>
      </c>
      <c r="K3968" s="76" t="str">
        <f>VLOOKUP(Tabelle2[[#This Row],[Kunden Nr.]],KUNDEN!A:G,7)</f>
        <v>Qerimi</v>
      </c>
      <c r="L3968" s="76">
        <f>VLOOKUP(Tabelle2[[#This Row],[Artikel]],Produkte!A:H,8)</f>
        <v>0.2</v>
      </c>
    </row>
    <row r="3969" spans="1:12" x14ac:dyDescent="0.2">
      <c r="A3969" s="75" t="s">
        <v>454</v>
      </c>
      <c r="B3969" s="79">
        <v>46172</v>
      </c>
      <c r="C3969" s="75"/>
      <c r="D3969" s="75"/>
      <c r="E3969" s="75"/>
      <c r="F3969" s="75">
        <v>10622</v>
      </c>
      <c r="G3969" s="76" t="str">
        <f>VLOOKUP(Tabelle2[[#This Row],[Kunden Nr.]],KUNDEN!A:B,2,0)</f>
        <v>HOXHA</v>
      </c>
      <c r="H3969" s="75">
        <v>55718</v>
      </c>
      <c r="I3969" s="76" t="str">
        <f>VLOOKUP(Tabelle2[[#This Row],[Artikel]],Produkte!A:B,2,0)</f>
        <v>M ONE MOTORSTART</v>
      </c>
      <c r="J3969" s="75">
        <v>2</v>
      </c>
      <c r="K3969" s="76" t="str">
        <f>VLOOKUP(Tabelle2[[#This Row],[Kunden Nr.]],KUNDEN!A:G,7)</f>
        <v>Qerimi</v>
      </c>
      <c r="L3969" s="76">
        <f>VLOOKUP(Tabelle2[[#This Row],[Artikel]],Produkte!A:H,8)</f>
        <v>0.2</v>
      </c>
    </row>
    <row r="3970" spans="1:12" x14ac:dyDescent="0.2">
      <c r="A3970" s="75" t="s">
        <v>454</v>
      </c>
      <c r="B3970" s="79">
        <v>46172</v>
      </c>
      <c r="C3970" s="75"/>
      <c r="D3970" s="75"/>
      <c r="E3970" s="75"/>
      <c r="F3970" s="75">
        <v>10622</v>
      </c>
      <c r="G3970" s="76" t="str">
        <f>VLOOKUP(Tabelle2[[#This Row],[Kunden Nr.]],KUNDEN!A:B,2,0)</f>
        <v>HOXHA</v>
      </c>
      <c r="H3970" s="75">
        <v>49644</v>
      </c>
      <c r="I3970" s="76" t="str">
        <f>VLOOKUP(Tabelle2[[#This Row],[Artikel]],Produkte!A:B,2,0)</f>
        <v>beMAKER Rostlöser</v>
      </c>
      <c r="J3970" s="75">
        <v>2</v>
      </c>
      <c r="K3970" s="76" t="str">
        <f>VLOOKUP(Tabelle2[[#This Row],[Kunden Nr.]],KUNDEN!A:G,7)</f>
        <v>Qerimi</v>
      </c>
      <c r="L3970" s="76">
        <f>VLOOKUP(Tabelle2[[#This Row],[Artikel]],Produkte!A:H,8)</f>
        <v>0.2</v>
      </c>
    </row>
    <row r="3971" spans="1:12" x14ac:dyDescent="0.2">
      <c r="A3971" s="75" t="s">
        <v>454</v>
      </c>
      <c r="B3971" s="79">
        <v>46172</v>
      </c>
      <c r="C3971" s="75"/>
      <c r="D3971" s="75"/>
      <c r="E3971" s="75"/>
      <c r="F3971" s="75">
        <v>10622</v>
      </c>
      <c r="G3971" s="76" t="str">
        <f>VLOOKUP(Tabelle2[[#This Row],[Kunden Nr.]],KUNDEN!A:B,2,0)</f>
        <v>HOXHA</v>
      </c>
      <c r="H3971" s="75">
        <v>50912</v>
      </c>
      <c r="I3971" s="76" t="str">
        <f>VLOOKUP(Tabelle2[[#This Row],[Artikel]],Produkte!A:B,2,0)</f>
        <v>DICHTUNG</v>
      </c>
      <c r="J3971" s="75">
        <v>2</v>
      </c>
      <c r="K3971" s="76" t="str">
        <f>VLOOKUP(Tabelle2[[#This Row],[Kunden Nr.]],KUNDEN!A:G,7)</f>
        <v>Qerimi</v>
      </c>
      <c r="L3971" s="76">
        <f>VLOOKUP(Tabelle2[[#This Row],[Artikel]],Produkte!A:H,8)</f>
        <v>0.2</v>
      </c>
    </row>
    <row r="3972" spans="1:12" x14ac:dyDescent="0.2">
      <c r="A3972" s="75" t="s">
        <v>454</v>
      </c>
      <c r="B3972" s="79">
        <v>46172</v>
      </c>
      <c r="C3972" s="75"/>
      <c r="D3972" s="75"/>
      <c r="E3972" s="75"/>
      <c r="F3972" s="75">
        <v>10622</v>
      </c>
      <c r="G3972" s="76" t="str">
        <f>VLOOKUP(Tabelle2[[#This Row],[Kunden Nr.]],KUNDEN!A:B,2,0)</f>
        <v>HOXHA</v>
      </c>
      <c r="H3972" s="75">
        <v>44001</v>
      </c>
      <c r="I3972" s="76" t="str">
        <f>VLOOKUP(Tabelle2[[#This Row],[Artikel]],Produkte!A:B,2,0)</f>
        <v>Fettspray</v>
      </c>
      <c r="J3972" s="75">
        <v>1</v>
      </c>
      <c r="K3972" s="76" t="str">
        <f>VLOOKUP(Tabelle2[[#This Row],[Kunden Nr.]],KUNDEN!A:G,7)</f>
        <v>Qerimi</v>
      </c>
      <c r="L3972" s="76">
        <f>VLOOKUP(Tabelle2[[#This Row],[Artikel]],Produkte!A:H,8)</f>
        <v>0.2</v>
      </c>
    </row>
    <row r="3973" spans="1:12" x14ac:dyDescent="0.2">
      <c r="A3973" s="75" t="s">
        <v>1230</v>
      </c>
      <c r="B3973" s="79">
        <v>46172</v>
      </c>
      <c r="C3973" s="89">
        <v>96</v>
      </c>
      <c r="D3973" s="75"/>
      <c r="E3973" s="75"/>
      <c r="F3973" s="75">
        <v>10635</v>
      </c>
      <c r="G3973" s="76" t="e">
        <f>VLOOKUP(Tabelle2[[#This Row],[Kunden Nr.]],KUNDEN!A:B,2,0)</f>
        <v>#N/A</v>
      </c>
      <c r="H3973" s="75">
        <v>35109</v>
      </c>
      <c r="I3973" s="76" t="str">
        <f>VLOOKUP(Tabelle2[[#This Row],[Artikel]],Produkte!A:B,2,0)</f>
        <v>M-ONE Sanitar Silikon</v>
      </c>
      <c r="J3973" s="75">
        <v>12</v>
      </c>
      <c r="K3973" s="76" t="str">
        <f>VLOOKUP(Tabelle2[[#This Row],[Kunden Nr.]],KUNDEN!A:G,7)</f>
        <v>Qerimi</v>
      </c>
      <c r="L3973" s="76">
        <f>VLOOKUP(Tabelle2[[#This Row],[Artikel]],Produkte!A:H,8)</f>
        <v>0.17</v>
      </c>
    </row>
    <row r="3974" spans="1:12" x14ac:dyDescent="0.2">
      <c r="A3974" s="75" t="s">
        <v>1230</v>
      </c>
      <c r="B3974" s="79">
        <v>46172</v>
      </c>
      <c r="C3974" s="75"/>
      <c r="D3974" s="75"/>
      <c r="E3974" s="75"/>
      <c r="F3974" s="75">
        <v>10635</v>
      </c>
      <c r="G3974" s="76" t="e">
        <f>VLOOKUP(Tabelle2[[#This Row],[Kunden Nr.]],KUNDEN!A:B,2,0)</f>
        <v>#N/A</v>
      </c>
      <c r="H3974" s="75">
        <v>35113</v>
      </c>
      <c r="I3974" s="76" t="str">
        <f>VLOOKUP(Tabelle2[[#This Row],[Artikel]],Produkte!A:B,2,0)</f>
        <v>M-ONE Sanitar Silikon</v>
      </c>
      <c r="J3974" s="75">
        <v>12</v>
      </c>
      <c r="K3974" s="76" t="str">
        <f>VLOOKUP(Tabelle2[[#This Row],[Kunden Nr.]],KUNDEN!A:G,7)</f>
        <v>Qerimi</v>
      </c>
      <c r="L3974" s="76">
        <f>VLOOKUP(Tabelle2[[#This Row],[Artikel]],Produkte!A:H,8)</f>
        <v>0.17</v>
      </c>
    </row>
    <row r="3975" spans="1:12" x14ac:dyDescent="0.2">
      <c r="A3975" s="75" t="s">
        <v>837</v>
      </c>
      <c r="B3975" s="79">
        <v>46172</v>
      </c>
      <c r="C3975" s="89">
        <v>77</v>
      </c>
      <c r="D3975" s="75"/>
      <c r="E3975" s="75"/>
      <c r="F3975" s="75">
        <v>10625</v>
      </c>
      <c r="G3975" s="76" t="str">
        <f>VLOOKUP(Tabelle2[[#This Row],[Kunden Nr.]],KUNDEN!A:B,2,0)</f>
        <v>KUJTA</v>
      </c>
      <c r="H3975" s="75">
        <v>35125</v>
      </c>
      <c r="I3975" s="76" t="str">
        <f>VLOOKUP(Tabelle2[[#This Row],[Artikel]],Produkte!A:B,2,0)</f>
        <v>M-ONE Sanitar Silikon</v>
      </c>
      <c r="J3975" s="75">
        <v>12</v>
      </c>
      <c r="K3975" s="76" t="str">
        <f>VLOOKUP(Tabelle2[[#This Row],[Kunden Nr.]],KUNDEN!A:G,7)</f>
        <v>Qerimi</v>
      </c>
      <c r="L3975" s="76">
        <f>VLOOKUP(Tabelle2[[#This Row],[Artikel]],Produkte!A:H,8)</f>
        <v>0.17</v>
      </c>
    </row>
    <row r="3976" spans="1:12" x14ac:dyDescent="0.2">
      <c r="A3976" s="75" t="s">
        <v>837</v>
      </c>
      <c r="B3976" s="79">
        <v>46172</v>
      </c>
      <c r="C3976" s="75"/>
      <c r="D3976" s="75"/>
      <c r="E3976" s="75"/>
      <c r="F3976" s="75">
        <v>10625</v>
      </c>
      <c r="G3976" s="76" t="str">
        <f>VLOOKUP(Tabelle2[[#This Row],[Kunden Nr.]],KUNDEN!A:B,2,0)</f>
        <v>KUJTA</v>
      </c>
      <c r="H3976" s="75">
        <v>54412</v>
      </c>
      <c r="I3976" s="76" t="str">
        <f>VLOOKUP(Tabelle2[[#This Row],[Artikel]],Produkte!A:B,2,0)</f>
        <v>beMAKER Bremsen&amp;Teile Reininger</v>
      </c>
      <c r="J3976" s="75">
        <v>5</v>
      </c>
      <c r="K3976" s="76" t="str">
        <f>VLOOKUP(Tabelle2[[#This Row],[Kunden Nr.]],KUNDEN!A:G,7)</f>
        <v>Qerimi</v>
      </c>
      <c r="L3976" s="76">
        <f>VLOOKUP(Tabelle2[[#This Row],[Artikel]],Produkte!A:H,8)</f>
        <v>0.2</v>
      </c>
    </row>
    <row r="3977" spans="1:12" x14ac:dyDescent="0.2">
      <c r="A3977" s="75" t="s">
        <v>837</v>
      </c>
      <c r="B3977" s="79">
        <v>46172</v>
      </c>
      <c r="C3977" s="75"/>
      <c r="D3977" s="75"/>
      <c r="E3977" s="75"/>
      <c r="F3977" s="75">
        <v>10625</v>
      </c>
      <c r="G3977" s="76" t="str">
        <f>VLOOKUP(Tabelle2[[#This Row],[Kunden Nr.]],KUNDEN!A:B,2,0)</f>
        <v>KUJTA</v>
      </c>
      <c r="H3977" s="75">
        <v>50912</v>
      </c>
      <c r="I3977" s="76" t="str">
        <f>VLOOKUP(Tabelle2[[#This Row],[Artikel]],Produkte!A:B,2,0)</f>
        <v>DICHTUNG</v>
      </c>
      <c r="J3977" s="75">
        <v>2</v>
      </c>
      <c r="K3977" s="76" t="str">
        <f>VLOOKUP(Tabelle2[[#This Row],[Kunden Nr.]],KUNDEN!A:G,7)</f>
        <v>Qerimi</v>
      </c>
      <c r="L3977" s="76">
        <f>VLOOKUP(Tabelle2[[#This Row],[Artikel]],Produkte!A:H,8)</f>
        <v>0.2</v>
      </c>
    </row>
    <row r="3978" spans="1:12" x14ac:dyDescent="0.2">
      <c r="A3978" s="75" t="s">
        <v>837</v>
      </c>
      <c r="B3978" s="79">
        <v>46172</v>
      </c>
      <c r="C3978" s="75"/>
      <c r="D3978" s="75"/>
      <c r="E3978" s="75"/>
      <c r="F3978" s="75">
        <v>10625</v>
      </c>
      <c r="G3978" s="76" t="str">
        <f>VLOOKUP(Tabelle2[[#This Row],[Kunden Nr.]],KUNDEN!A:B,2,0)</f>
        <v>KUJTA</v>
      </c>
      <c r="H3978" s="75">
        <v>49644</v>
      </c>
      <c r="I3978" s="76" t="str">
        <f>VLOOKUP(Tabelle2[[#This Row],[Artikel]],Produkte!A:B,2,0)</f>
        <v>beMAKER Rostlöser</v>
      </c>
      <c r="J3978" s="75">
        <v>2</v>
      </c>
      <c r="K3978" s="76" t="str">
        <f>VLOOKUP(Tabelle2[[#This Row],[Kunden Nr.]],KUNDEN!A:G,7)</f>
        <v>Qerimi</v>
      </c>
      <c r="L3978" s="76">
        <f>VLOOKUP(Tabelle2[[#This Row],[Artikel]],Produkte!A:H,8)</f>
        <v>0.2</v>
      </c>
    </row>
    <row r="3979" spans="1:12" x14ac:dyDescent="0.2">
      <c r="A3979" s="75" t="s">
        <v>1263</v>
      </c>
      <c r="B3979" s="79">
        <v>46172</v>
      </c>
      <c r="C3979" s="89">
        <v>240</v>
      </c>
      <c r="D3979" s="75"/>
      <c r="E3979" s="75"/>
      <c r="F3979" s="75">
        <v>20609</v>
      </c>
      <c r="G3979" s="76" t="str">
        <f>VLOOKUP(Tabelle2[[#This Row],[Kunden Nr.]],KUNDEN!A:B,2,0)</f>
        <v>BUJARI Q - BESII</v>
      </c>
      <c r="H3979" s="75">
        <v>35109</v>
      </c>
      <c r="I3979" s="76" t="str">
        <f>VLOOKUP(Tabelle2[[#This Row],[Artikel]],Produkte!A:B,2,0)</f>
        <v>M-ONE Sanitar Silikon</v>
      </c>
      <c r="J3979" s="75">
        <v>48</v>
      </c>
      <c r="K3979" s="76" t="str">
        <f>VLOOKUP(Tabelle2[[#This Row],[Kunden Nr.]],KUNDEN!A:G,7)</f>
        <v>Mensuri</v>
      </c>
      <c r="L3979" s="76">
        <f>VLOOKUP(Tabelle2[[#This Row],[Artikel]],Produkte!A:H,8)</f>
        <v>0.17</v>
      </c>
    </row>
    <row r="3980" spans="1:12" x14ac:dyDescent="0.2">
      <c r="A3980" s="75" t="s">
        <v>1263</v>
      </c>
      <c r="B3980" s="79">
        <v>46172</v>
      </c>
      <c r="C3980" s="75"/>
      <c r="D3980" s="75"/>
      <c r="E3980" s="75"/>
      <c r="F3980" s="75">
        <v>20609</v>
      </c>
      <c r="G3980" s="76" t="str">
        <f>VLOOKUP(Tabelle2[[#This Row],[Kunden Nr.]],KUNDEN!A:B,2,0)</f>
        <v>BUJARI Q - BESII</v>
      </c>
      <c r="H3980" s="75">
        <v>35113</v>
      </c>
      <c r="I3980" s="76" t="str">
        <f>VLOOKUP(Tabelle2[[#This Row],[Artikel]],Produkte!A:B,2,0)</f>
        <v>M-ONE Sanitar Silikon</v>
      </c>
      <c r="J3980" s="75">
        <v>12</v>
      </c>
      <c r="K3980" s="76" t="str">
        <f>VLOOKUP(Tabelle2[[#This Row],[Kunden Nr.]],KUNDEN!A:G,7)</f>
        <v>Mensuri</v>
      </c>
      <c r="L3980" s="76">
        <f>VLOOKUP(Tabelle2[[#This Row],[Artikel]],Produkte!A:H,8)</f>
        <v>0.17</v>
      </c>
    </row>
    <row r="3981" spans="1:12" x14ac:dyDescent="0.2">
      <c r="A3981" s="75" t="s">
        <v>430</v>
      </c>
      <c r="B3981" s="79">
        <v>46172</v>
      </c>
      <c r="C3981" s="89">
        <v>111</v>
      </c>
      <c r="D3981" s="75"/>
      <c r="E3981" s="75"/>
      <c r="F3981" s="75">
        <v>20602</v>
      </c>
      <c r="G3981" s="76" t="str">
        <f>VLOOKUP(Tabelle2[[#This Row],[Kunden Nr.]],KUNDEN!A:B,2,0)</f>
        <v>AGROLONDI</v>
      </c>
      <c r="H3981" s="75">
        <v>35119</v>
      </c>
      <c r="I3981" s="76" t="str">
        <f>VLOOKUP(Tabelle2[[#This Row],[Artikel]],Produkte!A:B,2,0)</f>
        <v>M-ONE Sanitar Silikon</v>
      </c>
      <c r="J3981" s="75">
        <v>12</v>
      </c>
      <c r="K3981" s="76" t="str">
        <f>VLOOKUP(Tabelle2[[#This Row],[Kunden Nr.]],KUNDEN!A:G,7)</f>
        <v>Mensuri</v>
      </c>
      <c r="L3981" s="76">
        <f>VLOOKUP(Tabelle2[[#This Row],[Artikel]],Produkte!A:H,8)</f>
        <v>0.17</v>
      </c>
    </row>
    <row r="3982" spans="1:12" x14ac:dyDescent="0.2">
      <c r="A3982" s="75" t="s">
        <v>430</v>
      </c>
      <c r="B3982" s="79">
        <v>46172</v>
      </c>
      <c r="C3982" s="75"/>
      <c r="D3982" s="75"/>
      <c r="E3982" s="75"/>
      <c r="F3982" s="75">
        <v>20602</v>
      </c>
      <c r="G3982" s="76" t="str">
        <f>VLOOKUP(Tabelle2[[#This Row],[Kunden Nr.]],KUNDEN!A:B,2,0)</f>
        <v>AGROLONDI</v>
      </c>
      <c r="H3982" s="75">
        <v>35115</v>
      </c>
      <c r="I3982" s="76" t="str">
        <f>VLOOKUP(Tabelle2[[#This Row],[Artikel]],Produkte!A:B,2,0)</f>
        <v>M-ONE Sanitar Silikon</v>
      </c>
      <c r="J3982" s="75">
        <v>12</v>
      </c>
      <c r="K3982" s="76" t="str">
        <f>VLOOKUP(Tabelle2[[#This Row],[Kunden Nr.]],KUNDEN!A:G,7)</f>
        <v>Mensuri</v>
      </c>
      <c r="L3982" s="76">
        <f>VLOOKUP(Tabelle2[[#This Row],[Artikel]],Produkte!A:H,8)</f>
        <v>0.17</v>
      </c>
    </row>
    <row r="3983" spans="1:12" x14ac:dyDescent="0.2">
      <c r="A3983" s="75" t="s">
        <v>430</v>
      </c>
      <c r="B3983" s="79">
        <v>46172</v>
      </c>
      <c r="C3983" s="75"/>
      <c r="D3983" s="75"/>
      <c r="E3983" s="75"/>
      <c r="F3983" s="75">
        <v>20602</v>
      </c>
      <c r="G3983" s="76" t="str">
        <f>VLOOKUP(Tabelle2[[#This Row],[Kunden Nr.]],KUNDEN!A:B,2,0)</f>
        <v>AGROLONDI</v>
      </c>
      <c r="H3983" s="75">
        <v>51611</v>
      </c>
      <c r="I3983" s="76" t="str">
        <f>VLOOKUP(Tabelle2[[#This Row],[Artikel]],Produkte!A:B,2,0)</f>
        <v>universal akryl</v>
      </c>
      <c r="J3983" s="75">
        <v>12</v>
      </c>
      <c r="K3983" s="76" t="str">
        <f>VLOOKUP(Tabelle2[[#This Row],[Kunden Nr.]],KUNDEN!A:G,7)</f>
        <v>Mensuri</v>
      </c>
      <c r="L3983" s="76">
        <f>VLOOKUP(Tabelle2[[#This Row],[Artikel]],Produkte!A:H,8)</f>
        <v>0.06</v>
      </c>
    </row>
    <row r="3984" spans="1:12" x14ac:dyDescent="0.2">
      <c r="A3984" s="75" t="s">
        <v>1322</v>
      </c>
      <c r="B3984" s="79">
        <v>46172</v>
      </c>
      <c r="C3984" s="89">
        <v>144</v>
      </c>
      <c r="D3984" s="75"/>
      <c r="E3984" s="75"/>
      <c r="F3984" s="75">
        <v>20635</v>
      </c>
      <c r="G3984" s="76" t="e">
        <f>VLOOKUP(Tabelle2[[#This Row],[Kunden Nr.]],KUNDEN!A:B,2,0)</f>
        <v>#N/A</v>
      </c>
      <c r="H3984" s="75">
        <v>35109</v>
      </c>
      <c r="I3984" s="76" t="str">
        <f>VLOOKUP(Tabelle2[[#This Row],[Artikel]],Produkte!A:B,2,0)</f>
        <v>M-ONE Sanitar Silikon</v>
      </c>
      <c r="J3984" s="75">
        <v>24</v>
      </c>
      <c r="K3984" s="76" t="str">
        <f>VLOOKUP(Tabelle2[[#This Row],[Kunden Nr.]],KUNDEN!A:G,7)</f>
        <v>Mensuri</v>
      </c>
      <c r="L3984" s="76">
        <f>VLOOKUP(Tabelle2[[#This Row],[Artikel]],Produkte!A:H,8)</f>
        <v>0.17</v>
      </c>
    </row>
    <row r="3985" spans="1:12" x14ac:dyDescent="0.2">
      <c r="A3985" s="75" t="s">
        <v>1322</v>
      </c>
      <c r="B3985" s="79">
        <v>46172</v>
      </c>
      <c r="C3985" s="75"/>
      <c r="D3985" s="75"/>
      <c r="E3985" s="75"/>
      <c r="F3985" s="75">
        <v>20635</v>
      </c>
      <c r="G3985" s="76" t="e">
        <f>VLOOKUP(Tabelle2[[#This Row],[Kunden Nr.]],KUNDEN!A:B,2,0)</f>
        <v>#N/A</v>
      </c>
      <c r="H3985" s="75">
        <v>35115</v>
      </c>
      <c r="I3985" s="76" t="str">
        <f>VLOOKUP(Tabelle2[[#This Row],[Artikel]],Produkte!A:B,2,0)</f>
        <v>M-ONE Sanitar Silikon</v>
      </c>
      <c r="J3985" s="75">
        <v>12</v>
      </c>
      <c r="K3985" s="76" t="str">
        <f>VLOOKUP(Tabelle2[[#This Row],[Kunden Nr.]],KUNDEN!A:G,7)</f>
        <v>Mensuri</v>
      </c>
      <c r="L3985" s="76">
        <f>VLOOKUP(Tabelle2[[#This Row],[Artikel]],Produkte!A:H,8)</f>
        <v>0.17</v>
      </c>
    </row>
    <row r="3986" spans="1:12" x14ac:dyDescent="0.2">
      <c r="A3986" s="75" t="s">
        <v>435</v>
      </c>
      <c r="B3986" s="79">
        <v>46172</v>
      </c>
      <c r="C3986" s="89">
        <v>192</v>
      </c>
      <c r="D3986" s="75"/>
      <c r="E3986" s="75"/>
      <c r="F3986" s="75">
        <v>20608</v>
      </c>
      <c r="G3986" s="76" t="str">
        <f>VLOOKUP(Tabelle2[[#This Row],[Kunden Nr.]],KUNDEN!A:B,2,0)</f>
        <v>LONI</v>
      </c>
      <c r="H3986" s="75">
        <v>35113</v>
      </c>
      <c r="I3986" s="76" t="str">
        <f>VLOOKUP(Tabelle2[[#This Row],[Artikel]],Produkte!A:B,2,0)</f>
        <v>M-ONE Sanitar Silikon</v>
      </c>
      <c r="J3986" s="75">
        <v>12</v>
      </c>
      <c r="K3986" s="76" t="str">
        <f>VLOOKUP(Tabelle2[[#This Row],[Kunden Nr.]],KUNDEN!A:G,7)</f>
        <v>Mensuri</v>
      </c>
      <c r="L3986" s="76">
        <f>VLOOKUP(Tabelle2[[#This Row],[Artikel]],Produkte!A:H,8)</f>
        <v>0.17</v>
      </c>
    </row>
    <row r="3987" spans="1:12" x14ac:dyDescent="0.2">
      <c r="A3987" s="75" t="s">
        <v>435</v>
      </c>
      <c r="B3987" s="79">
        <v>46172</v>
      </c>
      <c r="C3987" s="75"/>
      <c r="D3987" s="75"/>
      <c r="E3987" s="75"/>
      <c r="F3987" s="75">
        <v>20608</v>
      </c>
      <c r="G3987" s="76" t="str">
        <f>VLOOKUP(Tabelle2[[#This Row],[Kunden Nr.]],KUNDEN!A:B,2,0)</f>
        <v>LONI</v>
      </c>
      <c r="H3987" s="75">
        <v>35115</v>
      </c>
      <c r="I3987" s="76" t="str">
        <f>VLOOKUP(Tabelle2[[#This Row],[Artikel]],Produkte!A:B,2,0)</f>
        <v>M-ONE Sanitar Silikon</v>
      </c>
      <c r="J3987" s="75">
        <v>12</v>
      </c>
      <c r="K3987" s="76" t="str">
        <f>VLOOKUP(Tabelle2[[#This Row],[Kunden Nr.]],KUNDEN!A:G,7)</f>
        <v>Mensuri</v>
      </c>
      <c r="L3987" s="76">
        <f>VLOOKUP(Tabelle2[[#This Row],[Artikel]],Produkte!A:H,8)</f>
        <v>0.17</v>
      </c>
    </row>
    <row r="3988" spans="1:12" x14ac:dyDescent="0.2">
      <c r="A3988" s="75" t="s">
        <v>435</v>
      </c>
      <c r="B3988" s="79">
        <v>46172</v>
      </c>
      <c r="C3988" s="75"/>
      <c r="D3988" s="75"/>
      <c r="E3988" s="75"/>
      <c r="F3988" s="75">
        <v>20608</v>
      </c>
      <c r="G3988" s="76" t="str">
        <f>VLOOKUP(Tabelle2[[#This Row],[Kunden Nr.]],KUNDEN!A:B,2,0)</f>
        <v>LONI</v>
      </c>
      <c r="H3988" s="75">
        <v>35121</v>
      </c>
      <c r="I3988" s="76" t="str">
        <f>VLOOKUP(Tabelle2[[#This Row],[Artikel]],Produkte!A:B,2,0)</f>
        <v>M-ONE Sanitar Silikon</v>
      </c>
      <c r="J3988" s="75">
        <v>12</v>
      </c>
      <c r="K3988" s="76" t="str">
        <f>VLOOKUP(Tabelle2[[#This Row],[Kunden Nr.]],KUNDEN!A:G,7)</f>
        <v>Mensuri</v>
      </c>
      <c r="L3988" s="76">
        <f>VLOOKUP(Tabelle2[[#This Row],[Artikel]],Produkte!A:H,8)</f>
        <v>0.17</v>
      </c>
    </row>
    <row r="3989" spans="1:12" x14ac:dyDescent="0.2">
      <c r="A3989" s="75" t="s">
        <v>435</v>
      </c>
      <c r="B3989" s="79">
        <v>46172</v>
      </c>
      <c r="C3989" s="75"/>
      <c r="D3989" s="75"/>
      <c r="E3989" s="75"/>
      <c r="F3989" s="75">
        <v>20608</v>
      </c>
      <c r="G3989" s="76" t="str">
        <f>VLOOKUP(Tabelle2[[#This Row],[Kunden Nr.]],KUNDEN!A:B,2,0)</f>
        <v>LONI</v>
      </c>
      <c r="H3989" s="75">
        <v>35125</v>
      </c>
      <c r="I3989" s="76" t="str">
        <f>VLOOKUP(Tabelle2[[#This Row],[Artikel]],Produkte!A:B,2,0)</f>
        <v>M-ONE Sanitar Silikon</v>
      </c>
      <c r="J3989" s="75">
        <v>12</v>
      </c>
      <c r="K3989" s="76" t="str">
        <f>VLOOKUP(Tabelle2[[#This Row],[Kunden Nr.]],KUNDEN!A:G,7)</f>
        <v>Mensuri</v>
      </c>
      <c r="L3989" s="76">
        <f>VLOOKUP(Tabelle2[[#This Row],[Artikel]],Produkte!A:H,8)</f>
        <v>0.17</v>
      </c>
    </row>
    <row r="3990" spans="1:12" x14ac:dyDescent="0.2">
      <c r="A3990" s="75" t="s">
        <v>968</v>
      </c>
      <c r="B3990" s="79">
        <v>46172</v>
      </c>
      <c r="C3990" s="89">
        <v>192</v>
      </c>
      <c r="D3990" s="75"/>
      <c r="E3990" s="75"/>
      <c r="F3990" s="75">
        <v>20624</v>
      </c>
      <c r="G3990" s="76" t="str">
        <f>VLOOKUP(Tabelle2[[#This Row],[Kunden Nr.]],KUNDEN!A:B,2,0)</f>
        <v>BULONI - SH</v>
      </c>
      <c r="H3990" s="75">
        <v>35113</v>
      </c>
      <c r="I3990" s="76" t="str">
        <f>VLOOKUP(Tabelle2[[#This Row],[Artikel]],Produkte!A:B,2,0)</f>
        <v>M-ONE Sanitar Silikon</v>
      </c>
      <c r="J3990" s="75">
        <v>12</v>
      </c>
      <c r="K3990" s="76" t="str">
        <f>VLOOKUP(Tabelle2[[#This Row],[Kunden Nr.]],KUNDEN!A:G,7)</f>
        <v>Mensuri</v>
      </c>
      <c r="L3990" s="76">
        <f>VLOOKUP(Tabelle2[[#This Row],[Artikel]],Produkte!A:H,8)</f>
        <v>0.17</v>
      </c>
    </row>
    <row r="3991" spans="1:12" x14ac:dyDescent="0.2">
      <c r="A3991" s="75" t="s">
        <v>968</v>
      </c>
      <c r="B3991" s="79">
        <v>46172</v>
      </c>
      <c r="C3991" s="75"/>
      <c r="D3991" s="75"/>
      <c r="E3991" s="75"/>
      <c r="F3991" s="75">
        <v>20624</v>
      </c>
      <c r="G3991" s="76" t="str">
        <f>VLOOKUP(Tabelle2[[#This Row],[Kunden Nr.]],KUNDEN!A:B,2,0)</f>
        <v>BULONI - SH</v>
      </c>
      <c r="H3991" s="75">
        <v>35121</v>
      </c>
      <c r="I3991" s="76" t="str">
        <f>VLOOKUP(Tabelle2[[#This Row],[Artikel]],Produkte!A:B,2,0)</f>
        <v>M-ONE Sanitar Silikon</v>
      </c>
      <c r="J3991" s="75">
        <v>12</v>
      </c>
      <c r="K3991" s="76" t="str">
        <f>VLOOKUP(Tabelle2[[#This Row],[Kunden Nr.]],KUNDEN!A:G,7)</f>
        <v>Mensuri</v>
      </c>
      <c r="L3991" s="76">
        <f>VLOOKUP(Tabelle2[[#This Row],[Artikel]],Produkte!A:H,8)</f>
        <v>0.17</v>
      </c>
    </row>
    <row r="3992" spans="1:12" x14ac:dyDescent="0.2">
      <c r="A3992" s="75" t="s">
        <v>968</v>
      </c>
      <c r="B3992" s="79">
        <v>46172</v>
      </c>
      <c r="C3992" s="75"/>
      <c r="D3992" s="75"/>
      <c r="E3992" s="75"/>
      <c r="F3992" s="75">
        <v>20624</v>
      </c>
      <c r="G3992" s="76" t="str">
        <f>VLOOKUP(Tabelle2[[#This Row],[Kunden Nr.]],KUNDEN!A:B,2,0)</f>
        <v>BULONI - SH</v>
      </c>
      <c r="H3992" s="75">
        <v>35113</v>
      </c>
      <c r="I3992" s="76" t="str">
        <f>VLOOKUP(Tabelle2[[#This Row],[Artikel]],Produkte!A:B,2,0)</f>
        <v>M-ONE Sanitar Silikon</v>
      </c>
      <c r="J3992" s="75">
        <v>12</v>
      </c>
      <c r="K3992" s="76" t="str">
        <f>VLOOKUP(Tabelle2[[#This Row],[Kunden Nr.]],KUNDEN!A:G,7)</f>
        <v>Mensuri</v>
      </c>
      <c r="L3992" s="76">
        <f>VLOOKUP(Tabelle2[[#This Row],[Artikel]],Produkte!A:H,8)</f>
        <v>0.17</v>
      </c>
    </row>
    <row r="3993" spans="1:12" x14ac:dyDescent="0.2">
      <c r="A3993" s="75" t="s">
        <v>968</v>
      </c>
      <c r="B3993" s="79">
        <v>46172</v>
      </c>
      <c r="C3993" s="75"/>
      <c r="D3993" s="75"/>
      <c r="E3993" s="75"/>
      <c r="F3993" s="75">
        <v>20624</v>
      </c>
      <c r="G3993" s="76" t="str">
        <f>VLOOKUP(Tabelle2[[#This Row],[Kunden Nr.]],KUNDEN!A:B,2,0)</f>
        <v>BULONI - SH</v>
      </c>
      <c r="H3993" s="75">
        <v>35111</v>
      </c>
      <c r="I3993" s="76" t="str">
        <f>VLOOKUP(Tabelle2[[#This Row],[Artikel]],Produkte!A:B,2,0)</f>
        <v>M-ONE Sanitar Silikon</v>
      </c>
      <c r="J3993" s="75">
        <v>12</v>
      </c>
      <c r="K3993" s="76" t="str">
        <f>VLOOKUP(Tabelle2[[#This Row],[Kunden Nr.]],KUNDEN!A:G,7)</f>
        <v>Mensuri</v>
      </c>
      <c r="L3993" s="76">
        <f>VLOOKUP(Tabelle2[[#This Row],[Artikel]],Produkte!A:H,8)</f>
        <v>0.17</v>
      </c>
    </row>
    <row r="3994" spans="1:12" x14ac:dyDescent="0.2">
      <c r="A3994" s="75" t="s">
        <v>432</v>
      </c>
      <c r="B3994" s="79">
        <v>46172</v>
      </c>
      <c r="C3994" s="89">
        <v>144</v>
      </c>
      <c r="D3994" s="75"/>
      <c r="E3994" s="75"/>
      <c r="F3994" s="75">
        <v>20604</v>
      </c>
      <c r="G3994" s="76" t="str">
        <f>VLOOKUP(Tabelle2[[#This Row],[Kunden Nr.]],KUNDEN!A:B,2,0)</f>
        <v>ALFA-QERAMIKA</v>
      </c>
      <c r="H3994" s="75">
        <v>35110</v>
      </c>
      <c r="I3994" s="76" t="str">
        <f>VLOOKUP(Tabelle2[[#This Row],[Artikel]],Produkte!A:B,2,0)</f>
        <v>M-ONE Sanitar Silikon</v>
      </c>
      <c r="J3994" s="75">
        <v>12</v>
      </c>
      <c r="K3994" s="76" t="str">
        <f>VLOOKUP(Tabelle2[[#This Row],[Kunden Nr.]],KUNDEN!A:G,7)</f>
        <v>Mensuri</v>
      </c>
      <c r="L3994" s="76">
        <f>VLOOKUP(Tabelle2[[#This Row],[Artikel]],Produkte!A:H,8)</f>
        <v>0.17</v>
      </c>
    </row>
    <row r="3995" spans="1:12" x14ac:dyDescent="0.2">
      <c r="A3995" s="75" t="s">
        <v>432</v>
      </c>
      <c r="B3995" s="79">
        <v>46172</v>
      </c>
      <c r="C3995" s="75"/>
      <c r="D3995" s="75"/>
      <c r="E3995" s="75"/>
      <c r="F3995" s="75">
        <v>20604</v>
      </c>
      <c r="G3995" s="76" t="str">
        <f>VLOOKUP(Tabelle2[[#This Row],[Kunden Nr.]],KUNDEN!A:B,2,0)</f>
        <v>ALFA-QERAMIKA</v>
      </c>
      <c r="H3995" s="75">
        <v>35128</v>
      </c>
      <c r="I3995" s="76" t="str">
        <f>VLOOKUP(Tabelle2[[#This Row],[Artikel]],Produkte!A:B,2,0)</f>
        <v>M-ONE Sanitar Silikon</v>
      </c>
      <c r="J3995" s="75">
        <v>24</v>
      </c>
      <c r="K3995" s="76" t="str">
        <f>VLOOKUP(Tabelle2[[#This Row],[Kunden Nr.]],KUNDEN!A:G,7)</f>
        <v>Mensuri</v>
      </c>
      <c r="L3995" s="76">
        <f>VLOOKUP(Tabelle2[[#This Row],[Artikel]],Produkte!A:H,8)</f>
        <v>0.17</v>
      </c>
    </row>
    <row r="3996" spans="1:12" x14ac:dyDescent="0.2">
      <c r="A3996" s="75" t="s">
        <v>434</v>
      </c>
      <c r="B3996" s="79">
        <v>46172</v>
      </c>
      <c r="C3996" s="89">
        <v>240</v>
      </c>
      <c r="D3996" s="75"/>
      <c r="E3996" s="75"/>
      <c r="F3996" s="75">
        <v>20606</v>
      </c>
      <c r="G3996" s="76" t="str">
        <f>VLOOKUP(Tabelle2[[#This Row],[Kunden Nr.]],KUNDEN!A:B,2,0)</f>
        <v>TE-SYLA</v>
      </c>
      <c r="H3996" s="75">
        <v>35109</v>
      </c>
      <c r="I3996" s="76" t="str">
        <f>VLOOKUP(Tabelle2[[#This Row],[Artikel]],Produkte!A:B,2,0)</f>
        <v>M-ONE Sanitar Silikon</v>
      </c>
      <c r="J3996" s="75">
        <v>12</v>
      </c>
      <c r="K3996" s="76" t="str">
        <f>VLOOKUP(Tabelle2[[#This Row],[Kunden Nr.]],KUNDEN!A:G,7)</f>
        <v>Mensuri</v>
      </c>
      <c r="L3996" s="76">
        <f>VLOOKUP(Tabelle2[[#This Row],[Artikel]],Produkte!A:H,8)</f>
        <v>0.17</v>
      </c>
    </row>
    <row r="3997" spans="1:12" x14ac:dyDescent="0.2">
      <c r="A3997" s="75" t="s">
        <v>434</v>
      </c>
      <c r="B3997" s="79">
        <v>46172</v>
      </c>
      <c r="C3997" s="75"/>
      <c r="D3997" s="75"/>
      <c r="E3997" s="75"/>
      <c r="F3997" s="75">
        <v>20606</v>
      </c>
      <c r="G3997" s="76" t="str">
        <f>VLOOKUP(Tabelle2[[#This Row],[Kunden Nr.]],KUNDEN!A:B,2,0)</f>
        <v>TE-SYLA</v>
      </c>
      <c r="H3997" s="75">
        <v>35121</v>
      </c>
      <c r="I3997" s="76" t="str">
        <f>VLOOKUP(Tabelle2[[#This Row],[Artikel]],Produkte!A:B,2,0)</f>
        <v>M-ONE Sanitar Silikon</v>
      </c>
      <c r="J3997" s="75">
        <v>12</v>
      </c>
      <c r="K3997" s="76" t="str">
        <f>VLOOKUP(Tabelle2[[#This Row],[Kunden Nr.]],KUNDEN!A:G,7)</f>
        <v>Mensuri</v>
      </c>
      <c r="L3997" s="76">
        <f>VLOOKUP(Tabelle2[[#This Row],[Artikel]],Produkte!A:H,8)</f>
        <v>0.17</v>
      </c>
    </row>
    <row r="3998" spans="1:12" x14ac:dyDescent="0.2">
      <c r="A3998" s="75" t="s">
        <v>434</v>
      </c>
      <c r="B3998" s="79">
        <v>46172</v>
      </c>
      <c r="C3998" s="75"/>
      <c r="D3998" s="75"/>
      <c r="E3998" s="75"/>
      <c r="F3998" s="75">
        <v>20606</v>
      </c>
      <c r="G3998" s="76" t="str">
        <f>VLOOKUP(Tabelle2[[#This Row],[Kunden Nr.]],KUNDEN!A:B,2,0)</f>
        <v>TE-SYLA</v>
      </c>
      <c r="H3998" s="75">
        <v>35125</v>
      </c>
      <c r="I3998" s="76" t="str">
        <f>VLOOKUP(Tabelle2[[#This Row],[Artikel]],Produkte!A:B,2,0)</f>
        <v>M-ONE Sanitar Silikon</v>
      </c>
      <c r="J3998" s="75">
        <v>12</v>
      </c>
      <c r="K3998" s="76" t="str">
        <f>VLOOKUP(Tabelle2[[#This Row],[Kunden Nr.]],KUNDEN!A:G,7)</f>
        <v>Mensuri</v>
      </c>
      <c r="L3998" s="76">
        <f>VLOOKUP(Tabelle2[[#This Row],[Artikel]],Produkte!A:H,8)</f>
        <v>0.17</v>
      </c>
    </row>
    <row r="3999" spans="1:12" x14ac:dyDescent="0.2">
      <c r="A3999" s="75" t="s">
        <v>434</v>
      </c>
      <c r="B3999" s="79">
        <v>46172</v>
      </c>
      <c r="C3999" s="75"/>
      <c r="D3999" s="75"/>
      <c r="E3999" s="75"/>
      <c r="F3999" s="75">
        <v>20606</v>
      </c>
      <c r="G3999" s="76" t="str">
        <f>VLOOKUP(Tabelle2[[#This Row],[Kunden Nr.]],KUNDEN!A:B,2,0)</f>
        <v>TE-SYLA</v>
      </c>
      <c r="H3999" s="75">
        <v>35115</v>
      </c>
      <c r="I3999" s="76" t="str">
        <f>VLOOKUP(Tabelle2[[#This Row],[Artikel]],Produkte!A:B,2,0)</f>
        <v>M-ONE Sanitar Silikon</v>
      </c>
      <c r="J3999" s="75">
        <v>12</v>
      </c>
      <c r="K3999" s="76" t="str">
        <f>VLOOKUP(Tabelle2[[#This Row],[Kunden Nr.]],KUNDEN!A:G,7)</f>
        <v>Mensuri</v>
      </c>
      <c r="L3999" s="76">
        <f>VLOOKUP(Tabelle2[[#This Row],[Artikel]],Produkte!A:H,8)</f>
        <v>0.17</v>
      </c>
    </row>
    <row r="4000" spans="1:12" x14ac:dyDescent="0.2">
      <c r="A4000" s="75" t="s">
        <v>434</v>
      </c>
      <c r="B4000" s="79">
        <v>46172</v>
      </c>
      <c r="C4000" s="75"/>
      <c r="D4000" s="75"/>
      <c r="E4000" s="75"/>
      <c r="F4000" s="75">
        <v>20606</v>
      </c>
      <c r="G4000" s="76" t="str">
        <f>VLOOKUP(Tabelle2[[#This Row],[Kunden Nr.]],KUNDEN!A:B,2,0)</f>
        <v>TE-SYLA</v>
      </c>
      <c r="H4000" s="75">
        <v>49644</v>
      </c>
      <c r="I4000" s="76" t="str">
        <f>VLOOKUP(Tabelle2[[#This Row],[Artikel]],Produkte!A:B,2,0)</f>
        <v>beMAKER Rostlöser</v>
      </c>
      <c r="J4000" s="75">
        <v>12</v>
      </c>
      <c r="K4000" s="76" t="str">
        <f>VLOOKUP(Tabelle2[[#This Row],[Kunden Nr.]],KUNDEN!A:G,7)</f>
        <v>Mensuri</v>
      </c>
      <c r="L4000" s="76">
        <f>VLOOKUP(Tabelle2[[#This Row],[Artikel]],Produkte!A:H,8)</f>
        <v>0.2</v>
      </c>
    </row>
    <row r="4001" spans="1:12" x14ac:dyDescent="0.2">
      <c r="A4001" s="75" t="s">
        <v>434</v>
      </c>
      <c r="B4001" s="79">
        <v>46172</v>
      </c>
      <c r="C4001" s="75"/>
      <c r="D4001" s="75"/>
      <c r="E4001" s="75"/>
      <c r="F4001" s="75">
        <v>20606</v>
      </c>
      <c r="G4001" s="76" t="str">
        <f>VLOOKUP(Tabelle2[[#This Row],[Kunden Nr.]],KUNDEN!A:B,2,0)</f>
        <v>TE-SYLA</v>
      </c>
      <c r="H4001" s="75">
        <v>31822</v>
      </c>
      <c r="I4001" s="76" t="str">
        <f>VLOOKUP(Tabelle2[[#This Row],[Artikel]],Produkte!A:B,2,0)</f>
        <v>M ONE GOLD SPRAY</v>
      </c>
      <c r="J4001" s="75">
        <v>12</v>
      </c>
      <c r="K4001" s="76" t="str">
        <f>VLOOKUP(Tabelle2[[#This Row],[Kunden Nr.]],KUNDEN!A:G,7)</f>
        <v>Mensuri</v>
      </c>
      <c r="L4001" s="76">
        <f>VLOOKUP(Tabelle2[[#This Row],[Artikel]],Produkte!A:H,8)</f>
        <v>0.15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Auswertung_erstellen">
                <anchor moveWithCells="1" sizeWithCells="1">
                  <from>
                    <xdr:col>8</xdr:col>
                    <xdr:colOff>1466850</xdr:colOff>
                    <xdr:row>0</xdr:row>
                    <xdr:rowOff>47625</xdr:rowOff>
                  </from>
                  <to>
                    <xdr:col>10</xdr:col>
                    <xdr:colOff>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</vt:i4>
      </vt:variant>
    </vt:vector>
  </HeadingPairs>
  <TitlesOfParts>
    <vt:vector size="13" baseType="lpstr">
      <vt:lpstr>Renditja</vt:lpstr>
      <vt:lpstr>KUNDEN</vt:lpstr>
      <vt:lpstr>FIRMA INFO</vt:lpstr>
      <vt:lpstr>Tabelle2</vt:lpstr>
      <vt:lpstr>Tabelle3</vt:lpstr>
      <vt:lpstr>AGENT INFO</vt:lpstr>
      <vt:lpstr>Tabelle1</vt:lpstr>
      <vt:lpstr>INFO</vt:lpstr>
      <vt:lpstr>Produkt Info</vt:lpstr>
      <vt:lpstr>Produkte</vt:lpstr>
      <vt:lpstr>Formular</vt:lpstr>
      <vt:lpstr>Datenbasis aufbereitet</vt:lpstr>
      <vt:lpstr>Formular!Druckbereich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Fujitsu</dc:creator>
  <cp:lastModifiedBy>arxhent latifi</cp:lastModifiedBy>
  <cp:lastPrinted>2023-12-04T09:28:30Z</cp:lastPrinted>
  <dcterms:created xsi:type="dcterms:W3CDTF">2019-05-03T12:17:16Z</dcterms:created>
  <dcterms:modified xsi:type="dcterms:W3CDTF">2026-06-05T11:03:53Z</dcterms:modified>
</cp:coreProperties>
</file>